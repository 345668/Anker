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taylordavidson/Desktop/"/>
    </mc:Choice>
  </mc:AlternateContent>
  <xr:revisionPtr revIDLastSave="0" documentId="13_ncr:1_{76BCDCD5-496A-DA4C-89E7-CFD735013A0F}" xr6:coauthVersionLast="47" xr6:coauthVersionMax="47" xr10:uidLastSave="{00000000-0000-0000-0000-000000000000}"/>
  <bookViews>
    <workbookView xWindow="0" yWindow="640" windowWidth="29400" windowHeight="18480" xr2:uid="{00000000-000D-0000-FFFF-FFFF00000000}"/>
  </bookViews>
  <sheets>
    <sheet name="README" sheetId="1" r:id="rId1"/>
    <sheet name="License" sheetId="2" r:id="rId2"/>
    <sheet name="Get Started" sheetId="3" r:id="rId3"/>
    <sheet name="Get Started  2" sheetId="4" state="hidden" r:id="rId4"/>
    <sheet name="Forecast  2" sheetId="5" state="hidden" r:id="rId5"/>
    <sheet name="Get Started  3" sheetId="6" state="hidden" r:id="rId6"/>
    <sheet name="Forecast  3" sheetId="7" state="hidden" r:id="rId7"/>
    <sheet name="Scenarios" sheetId="8" r:id="rId8"/>
    <sheet name="Key Reports" sheetId="9" r:id="rId9"/>
    <sheet name="Forecast" sheetId="10" r:id="rId10"/>
    <sheet name="Management Company" sheetId="11" r:id="rId11"/>
    <sheet name="Resources" sheetId="12" r:id="rId12"/>
    <sheet name="Model Comparison" sheetId="13" r:id="rId13"/>
    <sheet name="Glossary" sheetId="14" r:id="rId14"/>
    <sheet name="Changelog"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1" l="1"/>
  <c r="CH32" i="11"/>
  <c r="CG32" i="11"/>
  <c r="CE32" i="11"/>
  <c r="BZ32" i="11"/>
  <c r="BY32" i="11"/>
  <c r="BW32" i="11"/>
  <c r="BR32" i="11"/>
  <c r="BQ32" i="11"/>
  <c r="BO32" i="11"/>
  <c r="BJ32" i="11"/>
  <c r="BI32" i="11"/>
  <c r="BG32" i="11"/>
  <c r="BC32" i="11"/>
  <c r="BB32" i="11"/>
  <c r="BA32" i="11"/>
  <c r="AY32" i="11"/>
  <c r="AT32" i="11"/>
  <c r="AS32" i="11"/>
  <c r="AQ32" i="11"/>
  <c r="AM32" i="11"/>
  <c r="AL32" i="11"/>
  <c r="AK32" i="11"/>
  <c r="AI32" i="11"/>
  <c r="AD32" i="11"/>
  <c r="AC32" i="11"/>
  <c r="AA32" i="11"/>
  <c r="V32" i="11"/>
  <c r="U32" i="11"/>
  <c r="S32" i="11"/>
  <c r="N32" i="11"/>
  <c r="M32" i="11"/>
  <c r="K32" i="11"/>
  <c r="G32" i="11"/>
  <c r="E30" i="11"/>
  <c r="CH27" i="11"/>
  <c r="CG27" i="11"/>
  <c r="CF27" i="11"/>
  <c r="CF32" i="11" s="1"/>
  <c r="CE27" i="11"/>
  <c r="CD27" i="11"/>
  <c r="CD32" i="11" s="1"/>
  <c r="CC27" i="11"/>
  <c r="CC32" i="11" s="1"/>
  <c r="CB27" i="11"/>
  <c r="CB32" i="11" s="1"/>
  <c r="CA27" i="11"/>
  <c r="CA32" i="11" s="1"/>
  <c r="BZ27" i="11"/>
  <c r="BY27" i="11"/>
  <c r="BX27" i="11"/>
  <c r="BX32" i="11" s="1"/>
  <c r="BW27" i="11"/>
  <c r="BV27" i="11"/>
  <c r="BV32" i="11" s="1"/>
  <c r="BU27" i="11"/>
  <c r="BU32" i="11" s="1"/>
  <c r="BT27" i="11"/>
  <c r="BT32" i="11" s="1"/>
  <c r="BS27" i="11"/>
  <c r="BS32" i="11" s="1"/>
  <c r="BR27" i="11"/>
  <c r="BQ27" i="11"/>
  <c r="BP27" i="11"/>
  <c r="BP32" i="11" s="1"/>
  <c r="BO27" i="11"/>
  <c r="BN27" i="11"/>
  <c r="BN32" i="11" s="1"/>
  <c r="BM27" i="11"/>
  <c r="BM32" i="11" s="1"/>
  <c r="BL27" i="11"/>
  <c r="BL32" i="11" s="1"/>
  <c r="BK27" i="11"/>
  <c r="BK32" i="11" s="1"/>
  <c r="BJ27" i="11"/>
  <c r="BI27" i="11"/>
  <c r="BH27" i="11"/>
  <c r="BH32" i="11" s="1"/>
  <c r="BG27" i="11"/>
  <c r="BF27" i="11"/>
  <c r="BF32" i="11" s="1"/>
  <c r="BE27" i="11"/>
  <c r="BE32" i="11" s="1"/>
  <c r="BD27" i="11"/>
  <c r="BD32" i="11" s="1"/>
  <c r="BC27" i="11"/>
  <c r="BB27" i="11"/>
  <c r="BA27" i="11"/>
  <c r="AZ27" i="11"/>
  <c r="AZ32" i="11" s="1"/>
  <c r="AY27" i="11"/>
  <c r="AX27" i="11"/>
  <c r="AX32" i="11" s="1"/>
  <c r="AW27" i="11"/>
  <c r="AW32" i="11" s="1"/>
  <c r="AV27" i="11"/>
  <c r="AV32" i="11" s="1"/>
  <c r="AU27" i="11"/>
  <c r="AU32" i="11" s="1"/>
  <c r="AT27" i="11"/>
  <c r="AS27" i="11"/>
  <c r="AR27" i="11"/>
  <c r="AR32" i="11" s="1"/>
  <c r="AQ27" i="11"/>
  <c r="AP27" i="11"/>
  <c r="AP32" i="11" s="1"/>
  <c r="AO27" i="11"/>
  <c r="AO32" i="11" s="1"/>
  <c r="AN27" i="11"/>
  <c r="AN32" i="11" s="1"/>
  <c r="AM27" i="11"/>
  <c r="AL27" i="11"/>
  <c r="AK27" i="11"/>
  <c r="AJ27" i="11"/>
  <c r="AJ32" i="11" s="1"/>
  <c r="AI27" i="11"/>
  <c r="AH27" i="11"/>
  <c r="AH32" i="11" s="1"/>
  <c r="AG27" i="11"/>
  <c r="AG32" i="11" s="1"/>
  <c r="AF27" i="11"/>
  <c r="AF32" i="11" s="1"/>
  <c r="AE27" i="11"/>
  <c r="AE32" i="11" s="1"/>
  <c r="AD27" i="11"/>
  <c r="AC27" i="11"/>
  <c r="AB27" i="11"/>
  <c r="AB32" i="11" s="1"/>
  <c r="AA27" i="11"/>
  <c r="Z27" i="11"/>
  <c r="Z32" i="11" s="1"/>
  <c r="Y27" i="11"/>
  <c r="Y32" i="11" s="1"/>
  <c r="X27" i="11"/>
  <c r="X32" i="11" s="1"/>
  <c r="W27" i="11"/>
  <c r="W32" i="11" s="1"/>
  <c r="V27" i="11"/>
  <c r="U27" i="11"/>
  <c r="T27" i="11"/>
  <c r="T32" i="11" s="1"/>
  <c r="S27" i="11"/>
  <c r="R27" i="11"/>
  <c r="R32" i="11" s="1"/>
  <c r="Q27" i="11"/>
  <c r="Q32" i="11" s="1"/>
  <c r="P27" i="11"/>
  <c r="P32" i="11" s="1"/>
  <c r="O27" i="11"/>
  <c r="O32" i="11" s="1"/>
  <c r="N27" i="11"/>
  <c r="M27" i="11"/>
  <c r="L27" i="11"/>
  <c r="L32" i="11" s="1"/>
  <c r="K27" i="11"/>
  <c r="J27" i="11"/>
  <c r="J32" i="11" s="1"/>
  <c r="I27" i="11"/>
  <c r="I32" i="11" s="1"/>
  <c r="H27" i="11"/>
  <c r="H32" i="11" s="1"/>
  <c r="G27" i="11"/>
  <c r="E26" i="11"/>
  <c r="E25" i="11"/>
  <c r="E24" i="11"/>
  <c r="E23" i="11"/>
  <c r="E22" i="11"/>
  <c r="E21" i="11"/>
  <c r="E20" i="11"/>
  <c r="E19" i="11"/>
  <c r="E18" i="11"/>
  <c r="E17" i="11"/>
  <c r="E16" i="11"/>
  <c r="E15" i="11"/>
  <c r="E14" i="11"/>
  <c r="E13" i="11"/>
  <c r="E9" i="11"/>
  <c r="B5" i="11"/>
  <c r="B4" i="11"/>
  <c r="G267" i="10"/>
  <c r="B265" i="10"/>
  <c r="B260" i="10"/>
  <c r="B255" i="10"/>
  <c r="B250" i="10"/>
  <c r="B243" i="10"/>
  <c r="B242" i="10"/>
  <c r="B210" i="10"/>
  <c r="F201" i="10"/>
  <c r="F200" i="10"/>
  <c r="F199" i="10"/>
  <c r="F198" i="10"/>
  <c r="F197" i="10"/>
  <c r="B187" i="10"/>
  <c r="B105" i="10"/>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B163" i="10" s="1"/>
  <c r="B164" i="10" s="1"/>
  <c r="B165" i="10" s="1"/>
  <c r="B166" i="10" s="1"/>
  <c r="B167" i="10" s="1"/>
  <c r="B168" i="10" s="1"/>
  <c r="B169" i="10" s="1"/>
  <c r="B170" i="10" s="1"/>
  <c r="B171" i="10" s="1"/>
  <c r="B172" i="10" s="1"/>
  <c r="B173" i="10" s="1"/>
  <c r="B174" i="10" s="1"/>
  <c r="B175" i="10" s="1"/>
  <c r="B176" i="10" s="1"/>
  <c r="B177" i="10" s="1"/>
  <c r="B178" i="10" s="1"/>
  <c r="B179" i="10" s="1"/>
  <c r="B180" i="10" s="1"/>
  <c r="B181" i="10" s="1"/>
  <c r="B182" i="10" s="1"/>
  <c r="B183" i="10" s="1"/>
  <c r="B100" i="10"/>
  <c r="B96" i="10"/>
  <c r="F92" i="10"/>
  <c r="F91" i="10"/>
  <c r="F90" i="10"/>
  <c r="F89" i="10"/>
  <c r="B87" i="10"/>
  <c r="B86" i="10"/>
  <c r="B84" i="10"/>
  <c r="B83" i="10"/>
  <c r="B82" i="10"/>
  <c r="B81" i="10"/>
  <c r="B80" i="10"/>
  <c r="B79" i="10"/>
  <c r="B78" i="10"/>
  <c r="B77" i="10"/>
  <c r="B76" i="10"/>
  <c r="B75" i="10"/>
  <c r="G74" i="10"/>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4" i="10" s="1"/>
  <c r="AD74" i="10" s="1"/>
  <c r="AE74" i="10" s="1"/>
  <c r="AF74" i="10" s="1"/>
  <c r="AG74" i="10" s="1"/>
  <c r="AH74" i="10" s="1"/>
  <c r="AI74" i="10" s="1"/>
  <c r="AJ74" i="10" s="1"/>
  <c r="AK74" i="10" s="1"/>
  <c r="AL74" i="10" s="1"/>
  <c r="AM74" i="10" s="1"/>
  <c r="AN74" i="10" s="1"/>
  <c r="AO74" i="10" s="1"/>
  <c r="AP74" i="10" s="1"/>
  <c r="AQ74" i="10" s="1"/>
  <c r="AR74" i="10" s="1"/>
  <c r="AS74" i="10" s="1"/>
  <c r="AT74" i="10" s="1"/>
  <c r="AU74" i="10" s="1"/>
  <c r="AV74" i="10" s="1"/>
  <c r="AW74" i="10" s="1"/>
  <c r="AX74" i="10" s="1"/>
  <c r="AY74" i="10" s="1"/>
  <c r="AZ74" i="10" s="1"/>
  <c r="BA74" i="10" s="1"/>
  <c r="BB74" i="10" s="1"/>
  <c r="BC74" i="10" s="1"/>
  <c r="BD74" i="10" s="1"/>
  <c r="BE74" i="10" s="1"/>
  <c r="BF74" i="10" s="1"/>
  <c r="BG74" i="10" s="1"/>
  <c r="BH74" i="10" s="1"/>
  <c r="BI74" i="10" s="1"/>
  <c r="BJ74" i="10" s="1"/>
  <c r="BK74" i="10" s="1"/>
  <c r="BL74" i="10" s="1"/>
  <c r="BM74" i="10" s="1"/>
  <c r="BN74" i="10" s="1"/>
  <c r="BO74" i="10" s="1"/>
  <c r="BP74" i="10" s="1"/>
  <c r="BQ74" i="10" s="1"/>
  <c r="BR74" i="10" s="1"/>
  <c r="BS74" i="10" s="1"/>
  <c r="BT74" i="10" s="1"/>
  <c r="BU74" i="10" s="1"/>
  <c r="BV74" i="10" s="1"/>
  <c r="BW74" i="10" s="1"/>
  <c r="BX74" i="10" s="1"/>
  <c r="BY74" i="10" s="1"/>
  <c r="BZ74" i="10" s="1"/>
  <c r="CA74" i="10" s="1"/>
  <c r="CB74" i="10" s="1"/>
  <c r="CC74" i="10" s="1"/>
  <c r="CD74" i="10" s="1"/>
  <c r="CE74" i="10" s="1"/>
  <c r="CF74" i="10" s="1"/>
  <c r="CG74" i="10" s="1"/>
  <c r="CH74" i="10" s="1"/>
  <c r="E74" i="10" s="1"/>
  <c r="B74" i="10"/>
  <c r="AP73" i="10"/>
  <c r="AQ73" i="10" s="1"/>
  <c r="AR73" i="10" s="1"/>
  <c r="AS73" i="10" s="1"/>
  <c r="AT73" i="10" s="1"/>
  <c r="AU73" i="10" s="1"/>
  <c r="AV73" i="10" s="1"/>
  <c r="AW73" i="10" s="1"/>
  <c r="AX73" i="10" s="1"/>
  <c r="AY73" i="10" s="1"/>
  <c r="AZ73" i="10" s="1"/>
  <c r="BA73" i="10" s="1"/>
  <c r="BB73" i="10" s="1"/>
  <c r="BC73" i="10" s="1"/>
  <c r="BD73" i="10" s="1"/>
  <c r="BE73" i="10" s="1"/>
  <c r="BF73" i="10" s="1"/>
  <c r="BG73" i="10" s="1"/>
  <c r="BH73" i="10" s="1"/>
  <c r="BI73" i="10" s="1"/>
  <c r="BJ73" i="10" s="1"/>
  <c r="BK73" i="10" s="1"/>
  <c r="BL73" i="10" s="1"/>
  <c r="BM73" i="10" s="1"/>
  <c r="BN73" i="10" s="1"/>
  <c r="BO73" i="10" s="1"/>
  <c r="BP73" i="10" s="1"/>
  <c r="BQ73" i="10" s="1"/>
  <c r="BR73" i="10" s="1"/>
  <c r="BS73" i="10" s="1"/>
  <c r="BT73" i="10" s="1"/>
  <c r="BU73" i="10" s="1"/>
  <c r="BV73" i="10" s="1"/>
  <c r="BW73" i="10" s="1"/>
  <c r="BX73" i="10" s="1"/>
  <c r="BY73" i="10" s="1"/>
  <c r="BZ73" i="10" s="1"/>
  <c r="CA73" i="10" s="1"/>
  <c r="CB73" i="10" s="1"/>
  <c r="CC73" i="10" s="1"/>
  <c r="CD73" i="10" s="1"/>
  <c r="CE73" i="10" s="1"/>
  <c r="CF73" i="10" s="1"/>
  <c r="CG73" i="10" s="1"/>
  <c r="CH73" i="10" s="1"/>
  <c r="E73" i="10" s="1"/>
  <c r="J73" i="10"/>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H73" i="10"/>
  <c r="I73" i="10" s="1"/>
  <c r="G73" i="10"/>
  <c r="B73" i="10"/>
  <c r="B72" i="10"/>
  <c r="B71" i="10"/>
  <c r="B70" i="10"/>
  <c r="B69" i="10"/>
  <c r="B68" i="10"/>
  <c r="B67" i="10"/>
  <c r="B66" i="10"/>
  <c r="B65" i="10"/>
  <c r="J64" i="10"/>
  <c r="K64" i="10" s="1"/>
  <c r="L64" i="10" s="1"/>
  <c r="M64" i="10" s="1"/>
  <c r="N64" i="10" s="1"/>
  <c r="O64" i="10" s="1"/>
  <c r="P64" i="10" s="1"/>
  <c r="Q64" i="10" s="1"/>
  <c r="R64" i="10" s="1"/>
  <c r="S64" i="10" s="1"/>
  <c r="T64" i="10" s="1"/>
  <c r="U64" i="10" s="1"/>
  <c r="V64" i="10" s="1"/>
  <c r="W64" i="10" s="1"/>
  <c r="X64" i="10" s="1"/>
  <c r="Y64" i="10" s="1"/>
  <c r="Z64" i="10" s="1"/>
  <c r="AA64" i="10" s="1"/>
  <c r="AB64" i="10" s="1"/>
  <c r="AC64" i="10" s="1"/>
  <c r="AD64" i="10" s="1"/>
  <c r="AE64" i="10" s="1"/>
  <c r="AF64" i="10" s="1"/>
  <c r="AG64" i="10" s="1"/>
  <c r="AH64" i="10" s="1"/>
  <c r="AI64" i="10" s="1"/>
  <c r="AJ64" i="10" s="1"/>
  <c r="AK64" i="10" s="1"/>
  <c r="AL64" i="10" s="1"/>
  <c r="AM64" i="10" s="1"/>
  <c r="AN64" i="10" s="1"/>
  <c r="AO64" i="10" s="1"/>
  <c r="AP64" i="10" s="1"/>
  <c r="AQ64" i="10" s="1"/>
  <c r="AR64" i="10" s="1"/>
  <c r="AS64" i="10" s="1"/>
  <c r="AT64" i="10" s="1"/>
  <c r="AU64" i="10" s="1"/>
  <c r="AV64" i="10" s="1"/>
  <c r="AW64" i="10" s="1"/>
  <c r="AX64" i="10" s="1"/>
  <c r="AY64" i="10" s="1"/>
  <c r="AZ64" i="10" s="1"/>
  <c r="BA64" i="10" s="1"/>
  <c r="BB64" i="10" s="1"/>
  <c r="BC64" i="10" s="1"/>
  <c r="BD64" i="10" s="1"/>
  <c r="BE64" i="10" s="1"/>
  <c r="BF64" i="10" s="1"/>
  <c r="BG64" i="10" s="1"/>
  <c r="BH64" i="10" s="1"/>
  <c r="BI64" i="10" s="1"/>
  <c r="BJ64" i="10" s="1"/>
  <c r="BK64" i="10" s="1"/>
  <c r="BL64" i="10" s="1"/>
  <c r="BM64" i="10" s="1"/>
  <c r="BN64" i="10" s="1"/>
  <c r="BO64" i="10" s="1"/>
  <c r="BP64" i="10" s="1"/>
  <c r="BQ64" i="10" s="1"/>
  <c r="BR64" i="10" s="1"/>
  <c r="BS64" i="10" s="1"/>
  <c r="BT64" i="10" s="1"/>
  <c r="BU64" i="10" s="1"/>
  <c r="BV64" i="10" s="1"/>
  <c r="BW64" i="10" s="1"/>
  <c r="BX64" i="10" s="1"/>
  <c r="BY64" i="10" s="1"/>
  <c r="BZ64" i="10" s="1"/>
  <c r="CA64" i="10" s="1"/>
  <c r="CB64" i="10" s="1"/>
  <c r="CC64" i="10" s="1"/>
  <c r="CD64" i="10" s="1"/>
  <c r="CE64" i="10" s="1"/>
  <c r="CF64" i="10" s="1"/>
  <c r="CG64" i="10" s="1"/>
  <c r="CH64" i="10" s="1"/>
  <c r="E64" i="10" s="1"/>
  <c r="H64" i="10"/>
  <c r="I64" i="10" s="1"/>
  <c r="G64" i="10"/>
  <c r="B64" i="10"/>
  <c r="G63" i="10"/>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3" i="10" s="1"/>
  <c r="AD63" i="10" s="1"/>
  <c r="AE63" i="10" s="1"/>
  <c r="AF63" i="10" s="1"/>
  <c r="AG63" i="10" s="1"/>
  <c r="AH63" i="10" s="1"/>
  <c r="AI63" i="10" s="1"/>
  <c r="AJ63" i="10" s="1"/>
  <c r="AK63" i="10" s="1"/>
  <c r="AL63" i="10" s="1"/>
  <c r="AM63" i="10" s="1"/>
  <c r="AN63" i="10" s="1"/>
  <c r="AO63" i="10" s="1"/>
  <c r="AP63" i="10" s="1"/>
  <c r="AQ63" i="10" s="1"/>
  <c r="AR63" i="10" s="1"/>
  <c r="AS63" i="10" s="1"/>
  <c r="AT63" i="10" s="1"/>
  <c r="AU63" i="10" s="1"/>
  <c r="AV63" i="10" s="1"/>
  <c r="AW63" i="10" s="1"/>
  <c r="AX63" i="10" s="1"/>
  <c r="AY63" i="10" s="1"/>
  <c r="AZ63" i="10" s="1"/>
  <c r="BA63" i="10" s="1"/>
  <c r="BB63" i="10" s="1"/>
  <c r="BC63" i="10" s="1"/>
  <c r="BD63" i="10" s="1"/>
  <c r="BE63" i="10" s="1"/>
  <c r="BF63" i="10" s="1"/>
  <c r="BG63" i="10" s="1"/>
  <c r="BH63" i="10" s="1"/>
  <c r="BI63" i="10" s="1"/>
  <c r="BJ63" i="10" s="1"/>
  <c r="BK63" i="10" s="1"/>
  <c r="BL63" i="10" s="1"/>
  <c r="BM63" i="10" s="1"/>
  <c r="BN63" i="10" s="1"/>
  <c r="BO63" i="10" s="1"/>
  <c r="BP63" i="10" s="1"/>
  <c r="BQ63" i="10" s="1"/>
  <c r="BR63" i="10" s="1"/>
  <c r="BS63" i="10" s="1"/>
  <c r="BT63" i="10" s="1"/>
  <c r="BU63" i="10" s="1"/>
  <c r="BV63" i="10" s="1"/>
  <c r="BW63" i="10" s="1"/>
  <c r="BX63" i="10" s="1"/>
  <c r="BY63" i="10" s="1"/>
  <c r="BZ63" i="10" s="1"/>
  <c r="CA63" i="10" s="1"/>
  <c r="CB63" i="10" s="1"/>
  <c r="CC63" i="10" s="1"/>
  <c r="CD63" i="10" s="1"/>
  <c r="CE63" i="10" s="1"/>
  <c r="CF63" i="10" s="1"/>
  <c r="CG63" i="10" s="1"/>
  <c r="CH63" i="10" s="1"/>
  <c r="E63" i="10" s="1"/>
  <c r="B63" i="10"/>
  <c r="B62" i="10"/>
  <c r="H61" i="10"/>
  <c r="I61" i="10" s="1"/>
  <c r="J61" i="10" s="1"/>
  <c r="K61" i="10" s="1"/>
  <c r="L61" i="10" s="1"/>
  <c r="M61" i="10" s="1"/>
  <c r="N61" i="10" s="1"/>
  <c r="O61" i="10" s="1"/>
  <c r="P61" i="10" s="1"/>
  <c r="Q61" i="10" s="1"/>
  <c r="R61" i="10" s="1"/>
  <c r="S61" i="10" s="1"/>
  <c r="T61" i="10" s="1"/>
  <c r="U61" i="10" s="1"/>
  <c r="V61" i="10" s="1"/>
  <c r="W61" i="10" s="1"/>
  <c r="X61" i="10" s="1"/>
  <c r="Y61" i="10" s="1"/>
  <c r="Z61" i="10" s="1"/>
  <c r="AA61" i="10" s="1"/>
  <c r="AB61" i="10" s="1"/>
  <c r="AC61" i="10" s="1"/>
  <c r="AD61" i="10" s="1"/>
  <c r="AE61" i="10" s="1"/>
  <c r="AF61" i="10" s="1"/>
  <c r="AG61" i="10" s="1"/>
  <c r="AH61" i="10" s="1"/>
  <c r="AI61" i="10" s="1"/>
  <c r="AJ61" i="10" s="1"/>
  <c r="AK61" i="10" s="1"/>
  <c r="AL61" i="10" s="1"/>
  <c r="AM61" i="10" s="1"/>
  <c r="AN61" i="10" s="1"/>
  <c r="AO61" i="10" s="1"/>
  <c r="AP61" i="10" s="1"/>
  <c r="AQ61" i="10" s="1"/>
  <c r="AR61" i="10" s="1"/>
  <c r="AS61" i="10" s="1"/>
  <c r="AT61" i="10" s="1"/>
  <c r="AU61" i="10" s="1"/>
  <c r="AV61" i="10" s="1"/>
  <c r="AW61" i="10" s="1"/>
  <c r="AX61" i="10" s="1"/>
  <c r="AY61" i="10" s="1"/>
  <c r="AZ61" i="10" s="1"/>
  <c r="BA61" i="10" s="1"/>
  <c r="BB61" i="10" s="1"/>
  <c r="BC61" i="10" s="1"/>
  <c r="BD61" i="10" s="1"/>
  <c r="BE61" i="10" s="1"/>
  <c r="BF61" i="10" s="1"/>
  <c r="BG61" i="10" s="1"/>
  <c r="BH61" i="10" s="1"/>
  <c r="BI61" i="10" s="1"/>
  <c r="BJ61" i="10" s="1"/>
  <c r="BK61" i="10" s="1"/>
  <c r="BL61" i="10" s="1"/>
  <c r="BM61" i="10" s="1"/>
  <c r="BN61" i="10" s="1"/>
  <c r="BO61" i="10" s="1"/>
  <c r="BP61" i="10" s="1"/>
  <c r="BQ61" i="10" s="1"/>
  <c r="BR61" i="10" s="1"/>
  <c r="BS61" i="10" s="1"/>
  <c r="BT61" i="10" s="1"/>
  <c r="BU61" i="10" s="1"/>
  <c r="BV61" i="10" s="1"/>
  <c r="BW61" i="10" s="1"/>
  <c r="BX61" i="10" s="1"/>
  <c r="BY61" i="10" s="1"/>
  <c r="BZ61" i="10" s="1"/>
  <c r="CA61" i="10" s="1"/>
  <c r="CB61" i="10" s="1"/>
  <c r="CC61" i="10" s="1"/>
  <c r="CD61" i="10" s="1"/>
  <c r="CE61" i="10" s="1"/>
  <c r="CF61" i="10" s="1"/>
  <c r="CG61" i="10" s="1"/>
  <c r="CH61" i="10" s="1"/>
  <c r="E61" i="10" s="1"/>
  <c r="G61" i="10"/>
  <c r="B61" i="10"/>
  <c r="B60" i="10"/>
  <c r="B59" i="10"/>
  <c r="B56" i="10"/>
  <c r="B85" i="10" s="1"/>
  <c r="CG54" i="10"/>
  <c r="CF54" i="10"/>
  <c r="BY54" i="10"/>
  <c r="BQ54" i="10"/>
  <c r="BI54" i="10"/>
  <c r="BA54" i="10"/>
  <c r="AZ54" i="10"/>
  <c r="AS54" i="10"/>
  <c r="AK54" i="10"/>
  <c r="AC54" i="10"/>
  <c r="U54" i="10"/>
  <c r="T54" i="10"/>
  <c r="M54" i="10"/>
  <c r="E45" i="10"/>
  <c r="E44" i="10"/>
  <c r="E35" i="10"/>
  <c r="E34" i="10"/>
  <c r="E32" i="10"/>
  <c r="CH30" i="10"/>
  <c r="CH54" i="10" s="1"/>
  <c r="CG30" i="10"/>
  <c r="CF30" i="10"/>
  <c r="CE30" i="10"/>
  <c r="CD30" i="10"/>
  <c r="CC30" i="10"/>
  <c r="CB30" i="10"/>
  <c r="CA30" i="10"/>
  <c r="BZ30" i="10"/>
  <c r="BZ54" i="10" s="1"/>
  <c r="BY30" i="10"/>
  <c r="BX30" i="10"/>
  <c r="BW30" i="10"/>
  <c r="BV30" i="10"/>
  <c r="BU30" i="10"/>
  <c r="BT30" i="10"/>
  <c r="BS30" i="10"/>
  <c r="BR30" i="10"/>
  <c r="BR54" i="10" s="1"/>
  <c r="BQ30" i="10"/>
  <c r="BP30" i="10"/>
  <c r="BP54" i="10" s="1"/>
  <c r="BO30" i="10"/>
  <c r="BN30" i="10"/>
  <c r="BM30" i="10"/>
  <c r="BL30" i="10"/>
  <c r="BK30" i="10"/>
  <c r="BJ30" i="10"/>
  <c r="BJ54" i="10" s="1"/>
  <c r="BI30" i="10"/>
  <c r="BH30" i="10"/>
  <c r="BG30" i="10"/>
  <c r="BF30" i="10"/>
  <c r="BE30" i="10"/>
  <c r="BD30" i="10"/>
  <c r="BC30" i="10"/>
  <c r="BB30" i="10"/>
  <c r="BB54" i="10" s="1"/>
  <c r="BA30" i="10"/>
  <c r="AZ30" i="10"/>
  <c r="AY30" i="10"/>
  <c r="AX30" i="10"/>
  <c r="AW30" i="10"/>
  <c r="AV30" i="10"/>
  <c r="AU30" i="10"/>
  <c r="AT30" i="10"/>
  <c r="AT54" i="10" s="1"/>
  <c r="AS30" i="10"/>
  <c r="AR30" i="10"/>
  <c r="AQ30" i="10"/>
  <c r="AP30" i="10"/>
  <c r="AO30" i="10"/>
  <c r="AN30" i="10"/>
  <c r="AM30" i="10"/>
  <c r="AL30" i="10"/>
  <c r="AL54" i="10" s="1"/>
  <c r="AK30" i="10"/>
  <c r="AJ30" i="10"/>
  <c r="AJ54" i="10" s="1"/>
  <c r="AI30" i="10"/>
  <c r="AH30" i="10"/>
  <c r="AG30" i="10"/>
  <c r="AF30" i="10"/>
  <c r="AE30" i="10"/>
  <c r="AD30" i="10"/>
  <c r="AD54" i="10" s="1"/>
  <c r="AC30" i="10"/>
  <c r="AB30" i="10"/>
  <c r="AA30" i="10"/>
  <c r="Z30" i="10"/>
  <c r="Y30" i="10"/>
  <c r="X30" i="10"/>
  <c r="W30" i="10"/>
  <c r="V30" i="10"/>
  <c r="V54" i="10" s="1"/>
  <c r="U30" i="10"/>
  <c r="T30" i="10"/>
  <c r="S30" i="10"/>
  <c r="R30" i="10"/>
  <c r="Q30" i="10"/>
  <c r="P30" i="10"/>
  <c r="O30" i="10"/>
  <c r="N30" i="10"/>
  <c r="N54" i="10" s="1"/>
  <c r="M30" i="10"/>
  <c r="L30" i="10"/>
  <c r="K30" i="10"/>
  <c r="J30" i="10"/>
  <c r="I30" i="10"/>
  <c r="H30" i="10"/>
  <c r="G30" i="10"/>
  <c r="G22" i="10"/>
  <c r="E20" i="10"/>
  <c r="E19" i="10"/>
  <c r="H18" i="10"/>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8" i="10" s="1"/>
  <c r="AD18" i="10" s="1"/>
  <c r="AE18" i="10" s="1"/>
  <c r="AF18" i="10" s="1"/>
  <c r="AG18" i="10" s="1"/>
  <c r="AH18" i="10" s="1"/>
  <c r="AI18" i="10" s="1"/>
  <c r="AJ18" i="10" s="1"/>
  <c r="AK18" i="10" s="1"/>
  <c r="AL18" i="10" s="1"/>
  <c r="AM18" i="10" s="1"/>
  <c r="AN18" i="10" s="1"/>
  <c r="AO18" i="10" s="1"/>
  <c r="AP18" i="10" s="1"/>
  <c r="AQ18" i="10" s="1"/>
  <c r="AR18" i="10" s="1"/>
  <c r="AS18" i="10" s="1"/>
  <c r="AT18" i="10" s="1"/>
  <c r="AU18" i="10" s="1"/>
  <c r="AV18" i="10" s="1"/>
  <c r="AW18" i="10" s="1"/>
  <c r="AX18" i="10" s="1"/>
  <c r="AY18" i="10" s="1"/>
  <c r="AZ18" i="10" s="1"/>
  <c r="BA18" i="10" s="1"/>
  <c r="BB18" i="10" s="1"/>
  <c r="BC18" i="10" s="1"/>
  <c r="BD18" i="10" s="1"/>
  <c r="BE18" i="10" s="1"/>
  <c r="BF18" i="10" s="1"/>
  <c r="BG18" i="10" s="1"/>
  <c r="BH18" i="10" s="1"/>
  <c r="BI18" i="10" s="1"/>
  <c r="BJ18" i="10" s="1"/>
  <c r="BK18" i="10" s="1"/>
  <c r="BL18" i="10" s="1"/>
  <c r="BM18" i="10" s="1"/>
  <c r="BN18" i="10" s="1"/>
  <c r="BO18" i="10" s="1"/>
  <c r="BP18" i="10" s="1"/>
  <c r="BQ18" i="10" s="1"/>
  <c r="BR18" i="10" s="1"/>
  <c r="BS18" i="10" s="1"/>
  <c r="BT18" i="10" s="1"/>
  <c r="BU18" i="10" s="1"/>
  <c r="BV18" i="10" s="1"/>
  <c r="BW18" i="10" s="1"/>
  <c r="BX18" i="10" s="1"/>
  <c r="BY18" i="10" s="1"/>
  <c r="BZ18" i="10" s="1"/>
  <c r="CA18" i="10" s="1"/>
  <c r="CB18" i="10" s="1"/>
  <c r="CC18" i="10" s="1"/>
  <c r="CD18" i="10" s="1"/>
  <c r="CE18" i="10" s="1"/>
  <c r="CF18" i="10" s="1"/>
  <c r="CG18" i="10" s="1"/>
  <c r="CH18" i="10" s="1"/>
  <c r="E18" i="10"/>
  <c r="CH16" i="10"/>
  <c r="CG16" i="10"/>
  <c r="CF16" i="10"/>
  <c r="CE16" i="10"/>
  <c r="CD16" i="10"/>
  <c r="CC16" i="10"/>
  <c r="CB16" i="10"/>
  <c r="CA16" i="10"/>
  <c r="BZ16" i="10"/>
  <c r="BY16" i="10"/>
  <c r="BX16" i="10"/>
  <c r="BW16" i="10"/>
  <c r="BV16" i="10"/>
  <c r="BU16" i="10"/>
  <c r="BT16" i="10"/>
  <c r="BS16" i="10"/>
  <c r="BR16" i="10"/>
  <c r="BQ16" i="10"/>
  <c r="BP16" i="10"/>
  <c r="BO16" i="10"/>
  <c r="BN16" i="10"/>
  <c r="BM16" i="10"/>
  <c r="BL16" i="10"/>
  <c r="BK16" i="10"/>
  <c r="BJ16" i="10"/>
  <c r="BI16" i="10"/>
  <c r="BH16" i="10"/>
  <c r="BG16" i="10"/>
  <c r="BF16" i="10"/>
  <c r="BE16" i="10"/>
  <c r="BD16" i="10"/>
  <c r="BC16" i="10"/>
  <c r="BB16" i="10"/>
  <c r="BA16" i="10"/>
  <c r="AZ16" i="10"/>
  <c r="AY16" i="10"/>
  <c r="AX16"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O16" i="10"/>
  <c r="N16" i="10"/>
  <c r="M16" i="10"/>
  <c r="L16" i="10"/>
  <c r="K16" i="10"/>
  <c r="J16" i="10"/>
  <c r="I16" i="10"/>
  <c r="H16" i="10"/>
  <c r="G16" i="10"/>
  <c r="E16" i="10"/>
  <c r="H15" i="10"/>
  <c r="B15" i="10"/>
  <c r="B10" i="10"/>
  <c r="B9" i="10"/>
  <c r="B8" i="10"/>
  <c r="G5" i="10"/>
  <c r="G5" i="7" s="1"/>
  <c r="H5" i="7" s="1"/>
  <c r="I5" i="7" s="1"/>
  <c r="J5" i="7" s="1"/>
  <c r="K5" i="7" s="1"/>
  <c r="L5" i="7" s="1"/>
  <c r="M5" i="7" s="1"/>
  <c r="N5" i="7" s="1"/>
  <c r="O5" i="7" s="1"/>
  <c r="P5" i="7" s="1"/>
  <c r="Q5" i="7" s="1"/>
  <c r="R5" i="7" s="1"/>
  <c r="S5" i="7" s="1"/>
  <c r="T5" i="7" s="1"/>
  <c r="U5" i="7" s="1"/>
  <c r="V5" i="7" s="1"/>
  <c r="W5" i="7" s="1"/>
  <c r="X5" i="7" s="1"/>
  <c r="Y5" i="7" s="1"/>
  <c r="Z5" i="7" s="1"/>
  <c r="AA5" i="7" s="1"/>
  <c r="AB5" i="7" s="1"/>
  <c r="AC5" i="7" s="1"/>
  <c r="AD5" i="7" s="1"/>
  <c r="AE5" i="7" s="1"/>
  <c r="AF5" i="7" s="1"/>
  <c r="AG5" i="7" s="1"/>
  <c r="AH5" i="7" s="1"/>
  <c r="AI5" i="7" s="1"/>
  <c r="AJ5" i="7" s="1"/>
  <c r="AK5" i="7" s="1"/>
  <c r="AL5" i="7" s="1"/>
  <c r="AM5" i="7" s="1"/>
  <c r="AN5" i="7" s="1"/>
  <c r="AO5" i="7" s="1"/>
  <c r="AP5" i="7" s="1"/>
  <c r="AQ5" i="7" s="1"/>
  <c r="AR5" i="7" s="1"/>
  <c r="AS5" i="7" s="1"/>
  <c r="AT5" i="7" s="1"/>
  <c r="AU5" i="7" s="1"/>
  <c r="AV5" i="7" s="1"/>
  <c r="AW5" i="7" s="1"/>
  <c r="AX5" i="7" s="1"/>
  <c r="AY5" i="7" s="1"/>
  <c r="AZ5" i="7" s="1"/>
  <c r="BA5" i="7" s="1"/>
  <c r="BB5" i="7" s="1"/>
  <c r="BC5" i="7" s="1"/>
  <c r="BD5" i="7" s="1"/>
  <c r="BE5" i="7" s="1"/>
  <c r="BF5" i="7" s="1"/>
  <c r="BG5" i="7" s="1"/>
  <c r="BH5" i="7" s="1"/>
  <c r="BI5" i="7" s="1"/>
  <c r="BJ5" i="7" s="1"/>
  <c r="BK5" i="7" s="1"/>
  <c r="BL5" i="7" s="1"/>
  <c r="BM5" i="7" s="1"/>
  <c r="BN5" i="7" s="1"/>
  <c r="BO5" i="7" s="1"/>
  <c r="BP5" i="7" s="1"/>
  <c r="BQ5" i="7" s="1"/>
  <c r="BR5" i="7" s="1"/>
  <c r="BS5" i="7" s="1"/>
  <c r="BT5" i="7" s="1"/>
  <c r="BU5" i="7" s="1"/>
  <c r="BV5" i="7" s="1"/>
  <c r="BW5" i="7" s="1"/>
  <c r="BX5" i="7" s="1"/>
  <c r="BY5" i="7" s="1"/>
  <c r="BZ5" i="7" s="1"/>
  <c r="CA5" i="7" s="1"/>
  <c r="CB5" i="7" s="1"/>
  <c r="CC5" i="7" s="1"/>
  <c r="CD5" i="7" s="1"/>
  <c r="CE5" i="7" s="1"/>
  <c r="CF5" i="7" s="1"/>
  <c r="CG5" i="7" s="1"/>
  <c r="CH5" i="7" s="1"/>
  <c r="G4" i="10"/>
  <c r="L26" i="8"/>
  <c r="G26" i="8"/>
  <c r="L25" i="8"/>
  <c r="G25" i="8"/>
  <c r="L24" i="8"/>
  <c r="G24" i="8"/>
  <c r="L23" i="8"/>
  <c r="G23" i="8"/>
  <c r="B265" i="7"/>
  <c r="B260" i="7"/>
  <c r="B255" i="7"/>
  <c r="B250" i="7"/>
  <c r="B243" i="7"/>
  <c r="B242" i="7"/>
  <c r="B210" i="7"/>
  <c r="F201" i="7"/>
  <c r="F200" i="7"/>
  <c r="F199" i="7"/>
  <c r="F198" i="7"/>
  <c r="F197" i="7"/>
  <c r="C187" i="7"/>
  <c r="B187" i="7"/>
  <c r="B107" i="7"/>
  <c r="B108" i="7" s="1"/>
  <c r="B109" i="7" s="1"/>
  <c r="B110" i="7" s="1"/>
  <c r="B111" i="7" s="1"/>
  <c r="B112" i="7" s="1"/>
  <c r="B113" i="7" s="1"/>
  <c r="B114" i="7" s="1"/>
  <c r="B115" i="7" s="1"/>
  <c r="B116" i="7" s="1"/>
  <c r="B117" i="7" s="1"/>
  <c r="B105" i="7"/>
  <c r="B106" i="7" s="1"/>
  <c r="B100" i="7"/>
  <c r="B96" i="7"/>
  <c r="F92" i="7"/>
  <c r="F91" i="7"/>
  <c r="F90" i="7"/>
  <c r="F89" i="7"/>
  <c r="B87" i="7"/>
  <c r="B86" i="7"/>
  <c r="B84" i="7"/>
  <c r="B83" i="7"/>
  <c r="B82" i="7"/>
  <c r="B81" i="7"/>
  <c r="B80" i="7"/>
  <c r="B79" i="7"/>
  <c r="B78" i="7"/>
  <c r="B77" i="7"/>
  <c r="B76" i="7"/>
  <c r="B75" i="7"/>
  <c r="G74" i="7"/>
  <c r="H74" i="7" s="1"/>
  <c r="I74" i="7" s="1"/>
  <c r="J74" i="7" s="1"/>
  <c r="K74" i="7" s="1"/>
  <c r="L74" i="7" s="1"/>
  <c r="M74" i="7" s="1"/>
  <c r="N74" i="7" s="1"/>
  <c r="O74" i="7" s="1"/>
  <c r="P74" i="7" s="1"/>
  <c r="Q74" i="7" s="1"/>
  <c r="R74" i="7" s="1"/>
  <c r="S74" i="7" s="1"/>
  <c r="T74" i="7" s="1"/>
  <c r="U74" i="7" s="1"/>
  <c r="V74" i="7" s="1"/>
  <c r="W74" i="7" s="1"/>
  <c r="X74" i="7" s="1"/>
  <c r="Y74" i="7" s="1"/>
  <c r="Z74" i="7" s="1"/>
  <c r="AA74" i="7" s="1"/>
  <c r="AB74" i="7" s="1"/>
  <c r="AC74" i="7" s="1"/>
  <c r="AD74" i="7" s="1"/>
  <c r="AE74" i="7" s="1"/>
  <c r="AF74" i="7" s="1"/>
  <c r="AG74" i="7" s="1"/>
  <c r="AH74" i="7" s="1"/>
  <c r="AI74" i="7" s="1"/>
  <c r="AJ74" i="7" s="1"/>
  <c r="AK74" i="7" s="1"/>
  <c r="AL74" i="7" s="1"/>
  <c r="AM74" i="7" s="1"/>
  <c r="AN74" i="7" s="1"/>
  <c r="AO74" i="7" s="1"/>
  <c r="AP74" i="7" s="1"/>
  <c r="AQ74" i="7" s="1"/>
  <c r="AR74" i="7" s="1"/>
  <c r="AS74" i="7" s="1"/>
  <c r="AT74" i="7" s="1"/>
  <c r="AU74" i="7" s="1"/>
  <c r="AV74" i="7" s="1"/>
  <c r="AW74" i="7" s="1"/>
  <c r="AX74" i="7" s="1"/>
  <c r="AY74" i="7" s="1"/>
  <c r="AZ74" i="7" s="1"/>
  <c r="BA74" i="7" s="1"/>
  <c r="BB74" i="7" s="1"/>
  <c r="BC74" i="7" s="1"/>
  <c r="BD74" i="7" s="1"/>
  <c r="BE74" i="7" s="1"/>
  <c r="BF74" i="7" s="1"/>
  <c r="BG74" i="7" s="1"/>
  <c r="BH74" i="7" s="1"/>
  <c r="BI74" i="7" s="1"/>
  <c r="BJ74" i="7" s="1"/>
  <c r="BK74" i="7" s="1"/>
  <c r="BL74" i="7" s="1"/>
  <c r="BM74" i="7" s="1"/>
  <c r="BN74" i="7" s="1"/>
  <c r="BO74" i="7" s="1"/>
  <c r="BP74" i="7" s="1"/>
  <c r="BQ74" i="7" s="1"/>
  <c r="BR74" i="7" s="1"/>
  <c r="BS74" i="7" s="1"/>
  <c r="BT74" i="7" s="1"/>
  <c r="BU74" i="7" s="1"/>
  <c r="BV74" i="7" s="1"/>
  <c r="BW74" i="7" s="1"/>
  <c r="BX74" i="7" s="1"/>
  <c r="BY74" i="7" s="1"/>
  <c r="BZ74" i="7" s="1"/>
  <c r="CA74" i="7" s="1"/>
  <c r="CB74" i="7" s="1"/>
  <c r="CC74" i="7" s="1"/>
  <c r="CD74" i="7" s="1"/>
  <c r="CE74" i="7" s="1"/>
  <c r="CF74" i="7" s="1"/>
  <c r="CG74" i="7" s="1"/>
  <c r="CH74" i="7" s="1"/>
  <c r="E74" i="7" s="1"/>
  <c r="B74" i="7"/>
  <c r="G73" i="7"/>
  <c r="H73" i="7" s="1"/>
  <c r="I73" i="7" s="1"/>
  <c r="J73" i="7" s="1"/>
  <c r="K73" i="7" s="1"/>
  <c r="L73" i="7" s="1"/>
  <c r="M73" i="7" s="1"/>
  <c r="N73" i="7" s="1"/>
  <c r="O73" i="7" s="1"/>
  <c r="P73" i="7" s="1"/>
  <c r="Q73" i="7" s="1"/>
  <c r="R73" i="7" s="1"/>
  <c r="S73" i="7" s="1"/>
  <c r="T73" i="7" s="1"/>
  <c r="U73" i="7" s="1"/>
  <c r="V73" i="7" s="1"/>
  <c r="W73" i="7" s="1"/>
  <c r="X73" i="7" s="1"/>
  <c r="Y73" i="7" s="1"/>
  <c r="Z73" i="7" s="1"/>
  <c r="AA73" i="7" s="1"/>
  <c r="AB73" i="7" s="1"/>
  <c r="AC73" i="7" s="1"/>
  <c r="AD73" i="7" s="1"/>
  <c r="AE73" i="7" s="1"/>
  <c r="AF73" i="7" s="1"/>
  <c r="AG73" i="7" s="1"/>
  <c r="AH73" i="7" s="1"/>
  <c r="AI73" i="7" s="1"/>
  <c r="AJ73" i="7" s="1"/>
  <c r="AK73" i="7" s="1"/>
  <c r="AL73" i="7" s="1"/>
  <c r="AM73" i="7" s="1"/>
  <c r="AN73" i="7" s="1"/>
  <c r="AO73" i="7" s="1"/>
  <c r="AP73" i="7" s="1"/>
  <c r="AQ73" i="7" s="1"/>
  <c r="AR73" i="7" s="1"/>
  <c r="AS73" i="7" s="1"/>
  <c r="AT73" i="7" s="1"/>
  <c r="AU73" i="7" s="1"/>
  <c r="AV73" i="7" s="1"/>
  <c r="AW73" i="7" s="1"/>
  <c r="AX73" i="7" s="1"/>
  <c r="AY73" i="7" s="1"/>
  <c r="AZ73" i="7" s="1"/>
  <c r="BA73" i="7" s="1"/>
  <c r="BB73" i="7" s="1"/>
  <c r="BC73" i="7" s="1"/>
  <c r="BD73" i="7" s="1"/>
  <c r="BE73" i="7" s="1"/>
  <c r="BF73" i="7" s="1"/>
  <c r="BG73" i="7" s="1"/>
  <c r="BH73" i="7" s="1"/>
  <c r="BI73" i="7" s="1"/>
  <c r="BJ73" i="7" s="1"/>
  <c r="BK73" i="7" s="1"/>
  <c r="BL73" i="7" s="1"/>
  <c r="BM73" i="7" s="1"/>
  <c r="BN73" i="7" s="1"/>
  <c r="BO73" i="7" s="1"/>
  <c r="BP73" i="7" s="1"/>
  <c r="BQ73" i="7" s="1"/>
  <c r="BR73" i="7" s="1"/>
  <c r="BS73" i="7" s="1"/>
  <c r="BT73" i="7" s="1"/>
  <c r="BU73" i="7" s="1"/>
  <c r="BV73" i="7" s="1"/>
  <c r="BW73" i="7" s="1"/>
  <c r="BX73" i="7" s="1"/>
  <c r="BY73" i="7" s="1"/>
  <c r="BZ73" i="7" s="1"/>
  <c r="CA73" i="7" s="1"/>
  <c r="CB73" i="7" s="1"/>
  <c r="CC73" i="7" s="1"/>
  <c r="CD73" i="7" s="1"/>
  <c r="CE73" i="7" s="1"/>
  <c r="CF73" i="7" s="1"/>
  <c r="CG73" i="7" s="1"/>
  <c r="CH73" i="7" s="1"/>
  <c r="E73" i="7" s="1"/>
  <c r="B73" i="7"/>
  <c r="B72" i="7"/>
  <c r="B71" i="7"/>
  <c r="B70" i="7"/>
  <c r="B69" i="7"/>
  <c r="B68" i="7"/>
  <c r="B67" i="7"/>
  <c r="B66" i="7"/>
  <c r="B65" i="7"/>
  <c r="G64" i="7"/>
  <c r="H64" i="7" s="1"/>
  <c r="I64" i="7" s="1"/>
  <c r="J64" i="7" s="1"/>
  <c r="K64" i="7" s="1"/>
  <c r="L64" i="7" s="1"/>
  <c r="M64" i="7" s="1"/>
  <c r="N64" i="7" s="1"/>
  <c r="O64" i="7" s="1"/>
  <c r="P64" i="7" s="1"/>
  <c r="Q64" i="7" s="1"/>
  <c r="R64" i="7" s="1"/>
  <c r="S64" i="7" s="1"/>
  <c r="T64" i="7" s="1"/>
  <c r="U64" i="7" s="1"/>
  <c r="V64" i="7" s="1"/>
  <c r="W64" i="7" s="1"/>
  <c r="X64" i="7" s="1"/>
  <c r="Y64" i="7" s="1"/>
  <c r="Z64" i="7" s="1"/>
  <c r="AA64" i="7" s="1"/>
  <c r="AB64" i="7" s="1"/>
  <c r="AC64" i="7" s="1"/>
  <c r="AD64" i="7" s="1"/>
  <c r="AE64" i="7" s="1"/>
  <c r="AF64" i="7" s="1"/>
  <c r="AG64" i="7" s="1"/>
  <c r="AH64" i="7" s="1"/>
  <c r="AI64" i="7" s="1"/>
  <c r="AJ64" i="7" s="1"/>
  <c r="AK64" i="7" s="1"/>
  <c r="AL64" i="7" s="1"/>
  <c r="AM64" i="7" s="1"/>
  <c r="AN64" i="7" s="1"/>
  <c r="AO64" i="7" s="1"/>
  <c r="AP64" i="7" s="1"/>
  <c r="AQ64" i="7" s="1"/>
  <c r="AR64" i="7" s="1"/>
  <c r="AS64" i="7" s="1"/>
  <c r="AT64" i="7" s="1"/>
  <c r="AU64" i="7" s="1"/>
  <c r="AV64" i="7" s="1"/>
  <c r="AW64" i="7" s="1"/>
  <c r="AX64" i="7" s="1"/>
  <c r="AY64" i="7" s="1"/>
  <c r="AZ64" i="7" s="1"/>
  <c r="BA64" i="7" s="1"/>
  <c r="BB64" i="7" s="1"/>
  <c r="BC64" i="7" s="1"/>
  <c r="BD64" i="7" s="1"/>
  <c r="BE64" i="7" s="1"/>
  <c r="BF64" i="7" s="1"/>
  <c r="BG64" i="7" s="1"/>
  <c r="BH64" i="7" s="1"/>
  <c r="BI64" i="7" s="1"/>
  <c r="BJ64" i="7" s="1"/>
  <c r="BK64" i="7" s="1"/>
  <c r="BL64" i="7" s="1"/>
  <c r="BM64" i="7" s="1"/>
  <c r="BN64" i="7" s="1"/>
  <c r="BO64" i="7" s="1"/>
  <c r="BP64" i="7" s="1"/>
  <c r="BQ64" i="7" s="1"/>
  <c r="BR64" i="7" s="1"/>
  <c r="BS64" i="7" s="1"/>
  <c r="BT64" i="7" s="1"/>
  <c r="BU64" i="7" s="1"/>
  <c r="BV64" i="7" s="1"/>
  <c r="BW64" i="7" s="1"/>
  <c r="BX64" i="7" s="1"/>
  <c r="BY64" i="7" s="1"/>
  <c r="BZ64" i="7" s="1"/>
  <c r="CA64" i="7" s="1"/>
  <c r="CB64" i="7" s="1"/>
  <c r="CC64" i="7" s="1"/>
  <c r="CD64" i="7" s="1"/>
  <c r="CE64" i="7" s="1"/>
  <c r="CF64" i="7" s="1"/>
  <c r="CG64" i="7" s="1"/>
  <c r="CH64" i="7" s="1"/>
  <c r="E64" i="7" s="1"/>
  <c r="B64" i="7"/>
  <c r="S63" i="7"/>
  <c r="T63" i="7" s="1"/>
  <c r="U63" i="7" s="1"/>
  <c r="V63" i="7" s="1"/>
  <c r="W63" i="7" s="1"/>
  <c r="X63" i="7" s="1"/>
  <c r="Y63" i="7" s="1"/>
  <c r="Z63" i="7" s="1"/>
  <c r="AA63" i="7" s="1"/>
  <c r="AB63" i="7" s="1"/>
  <c r="AC63" i="7" s="1"/>
  <c r="AD63" i="7" s="1"/>
  <c r="AE63" i="7" s="1"/>
  <c r="AF63" i="7" s="1"/>
  <c r="AG63" i="7" s="1"/>
  <c r="AH63" i="7" s="1"/>
  <c r="AI63" i="7" s="1"/>
  <c r="AJ63" i="7" s="1"/>
  <c r="AK63" i="7" s="1"/>
  <c r="AL63" i="7" s="1"/>
  <c r="AM63" i="7" s="1"/>
  <c r="AN63" i="7" s="1"/>
  <c r="AO63" i="7" s="1"/>
  <c r="AP63" i="7" s="1"/>
  <c r="AQ63" i="7" s="1"/>
  <c r="AR63" i="7" s="1"/>
  <c r="AS63" i="7" s="1"/>
  <c r="AT63" i="7" s="1"/>
  <c r="AU63" i="7" s="1"/>
  <c r="AV63" i="7" s="1"/>
  <c r="AW63" i="7" s="1"/>
  <c r="AX63" i="7" s="1"/>
  <c r="AY63" i="7" s="1"/>
  <c r="AZ63" i="7" s="1"/>
  <c r="BA63" i="7" s="1"/>
  <c r="BB63" i="7" s="1"/>
  <c r="BC63" i="7" s="1"/>
  <c r="BD63" i="7" s="1"/>
  <c r="BE63" i="7" s="1"/>
  <c r="BF63" i="7" s="1"/>
  <c r="BG63" i="7" s="1"/>
  <c r="BH63" i="7" s="1"/>
  <c r="BI63" i="7" s="1"/>
  <c r="BJ63" i="7" s="1"/>
  <c r="BK63" i="7" s="1"/>
  <c r="BL63" i="7" s="1"/>
  <c r="BM63" i="7" s="1"/>
  <c r="BN63" i="7" s="1"/>
  <c r="BO63" i="7" s="1"/>
  <c r="BP63" i="7" s="1"/>
  <c r="BQ63" i="7" s="1"/>
  <c r="BR63" i="7" s="1"/>
  <c r="BS63" i="7" s="1"/>
  <c r="BT63" i="7" s="1"/>
  <c r="BU63" i="7" s="1"/>
  <c r="BV63" i="7" s="1"/>
  <c r="BW63" i="7" s="1"/>
  <c r="BX63" i="7" s="1"/>
  <c r="BY63" i="7" s="1"/>
  <c r="BZ63" i="7" s="1"/>
  <c r="CA63" i="7" s="1"/>
  <c r="CB63" i="7" s="1"/>
  <c r="CC63" i="7" s="1"/>
  <c r="CD63" i="7" s="1"/>
  <c r="CE63" i="7" s="1"/>
  <c r="CF63" i="7" s="1"/>
  <c r="CG63" i="7" s="1"/>
  <c r="CH63" i="7" s="1"/>
  <c r="E63" i="7" s="1"/>
  <c r="G63" i="7"/>
  <c r="H63" i="7" s="1"/>
  <c r="I63" i="7" s="1"/>
  <c r="J63" i="7" s="1"/>
  <c r="K63" i="7" s="1"/>
  <c r="L63" i="7" s="1"/>
  <c r="M63" i="7" s="1"/>
  <c r="N63" i="7" s="1"/>
  <c r="O63" i="7" s="1"/>
  <c r="P63" i="7" s="1"/>
  <c r="Q63" i="7" s="1"/>
  <c r="R63" i="7" s="1"/>
  <c r="B63" i="7"/>
  <c r="B62" i="7"/>
  <c r="G61" i="7"/>
  <c r="H61" i="7" s="1"/>
  <c r="I61" i="7" s="1"/>
  <c r="J61" i="7" s="1"/>
  <c r="K61" i="7" s="1"/>
  <c r="L61" i="7" s="1"/>
  <c r="M61" i="7" s="1"/>
  <c r="N61" i="7" s="1"/>
  <c r="O61" i="7" s="1"/>
  <c r="P61" i="7" s="1"/>
  <c r="Q61" i="7" s="1"/>
  <c r="R61" i="7" s="1"/>
  <c r="S61" i="7" s="1"/>
  <c r="T61" i="7" s="1"/>
  <c r="U61" i="7" s="1"/>
  <c r="V61" i="7" s="1"/>
  <c r="W61" i="7" s="1"/>
  <c r="X61" i="7" s="1"/>
  <c r="Y61" i="7" s="1"/>
  <c r="Z61" i="7" s="1"/>
  <c r="AA61" i="7" s="1"/>
  <c r="AB61" i="7" s="1"/>
  <c r="AC61" i="7" s="1"/>
  <c r="AD61" i="7" s="1"/>
  <c r="AE61" i="7" s="1"/>
  <c r="AF61" i="7" s="1"/>
  <c r="AG61" i="7" s="1"/>
  <c r="AH61" i="7" s="1"/>
  <c r="AI61" i="7" s="1"/>
  <c r="AJ61" i="7" s="1"/>
  <c r="AK61" i="7" s="1"/>
  <c r="AL61" i="7" s="1"/>
  <c r="AM61" i="7" s="1"/>
  <c r="AN61" i="7" s="1"/>
  <c r="AO61" i="7" s="1"/>
  <c r="AP61" i="7" s="1"/>
  <c r="AQ61" i="7" s="1"/>
  <c r="AR61" i="7" s="1"/>
  <c r="AS61" i="7" s="1"/>
  <c r="AT61" i="7" s="1"/>
  <c r="AU61" i="7" s="1"/>
  <c r="AV61" i="7" s="1"/>
  <c r="AW61" i="7" s="1"/>
  <c r="AX61" i="7" s="1"/>
  <c r="AY61" i="7" s="1"/>
  <c r="AZ61" i="7" s="1"/>
  <c r="BA61" i="7" s="1"/>
  <c r="BB61" i="7" s="1"/>
  <c r="BC61" i="7" s="1"/>
  <c r="BD61" i="7" s="1"/>
  <c r="BE61" i="7" s="1"/>
  <c r="BF61" i="7" s="1"/>
  <c r="BG61" i="7" s="1"/>
  <c r="BH61" i="7" s="1"/>
  <c r="BI61" i="7" s="1"/>
  <c r="BJ61" i="7" s="1"/>
  <c r="BK61" i="7" s="1"/>
  <c r="BL61" i="7" s="1"/>
  <c r="BM61" i="7" s="1"/>
  <c r="BN61" i="7" s="1"/>
  <c r="BO61" i="7" s="1"/>
  <c r="BP61" i="7" s="1"/>
  <c r="BQ61" i="7" s="1"/>
  <c r="BR61" i="7" s="1"/>
  <c r="BS61" i="7" s="1"/>
  <c r="BT61" i="7" s="1"/>
  <c r="BU61" i="7" s="1"/>
  <c r="BV61" i="7" s="1"/>
  <c r="BW61" i="7" s="1"/>
  <c r="BX61" i="7" s="1"/>
  <c r="BY61" i="7" s="1"/>
  <c r="BZ61" i="7" s="1"/>
  <c r="CA61" i="7" s="1"/>
  <c r="CB61" i="7" s="1"/>
  <c r="CC61" i="7" s="1"/>
  <c r="CD61" i="7" s="1"/>
  <c r="CE61" i="7" s="1"/>
  <c r="CF61" i="7" s="1"/>
  <c r="CG61" i="7" s="1"/>
  <c r="CH61" i="7" s="1"/>
  <c r="E61" i="7" s="1"/>
  <c r="B61" i="7"/>
  <c r="B60" i="7"/>
  <c r="B59" i="7"/>
  <c r="B56" i="7"/>
  <c r="B85" i="7" s="1"/>
  <c r="BF54" i="7"/>
  <c r="AP54" i="7"/>
  <c r="Z54" i="7"/>
  <c r="E45" i="7"/>
  <c r="E44" i="7"/>
  <c r="E35" i="7"/>
  <c r="E34" i="7"/>
  <c r="E32" i="7"/>
  <c r="CH30" i="7"/>
  <c r="CD30" i="7"/>
  <c r="BW30" i="7"/>
  <c r="BV30" i="7"/>
  <c r="BN30" i="7"/>
  <c r="BK30" i="7"/>
  <c r="BF30" i="7"/>
  <c r="BA30" i="7"/>
  <c r="AZ30" i="7"/>
  <c r="AX30" i="7"/>
  <c r="AQ30" i="7"/>
  <c r="AP30" i="7"/>
  <c r="AH30" i="7"/>
  <c r="AE30" i="7"/>
  <c r="AD30" i="7"/>
  <c r="AB30" i="7"/>
  <c r="Z30" i="7"/>
  <c r="R30" i="7"/>
  <c r="L30" i="7"/>
  <c r="K30" i="7"/>
  <c r="J30" i="7"/>
  <c r="G22" i="7"/>
  <c r="E22" i="7"/>
  <c r="CH20"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E20" i="7" s="1"/>
  <c r="CH19" i="7"/>
  <c r="CG19" i="7"/>
  <c r="CG30" i="7" s="1"/>
  <c r="CF19" i="7"/>
  <c r="CF30" i="7" s="1"/>
  <c r="CE19" i="7"/>
  <c r="CE30" i="7" s="1"/>
  <c r="CD19" i="7"/>
  <c r="CC19" i="7"/>
  <c r="CB19" i="7"/>
  <c r="CA19" i="7"/>
  <c r="CA30" i="7" s="1"/>
  <c r="BZ19" i="7"/>
  <c r="BZ30" i="7" s="1"/>
  <c r="BY19" i="7"/>
  <c r="BY30" i="7" s="1"/>
  <c r="BX19" i="7"/>
  <c r="BX30" i="7" s="1"/>
  <c r="BW19" i="7"/>
  <c r="BV19" i="7"/>
  <c r="BU19" i="7"/>
  <c r="BT19" i="7"/>
  <c r="BS19" i="7"/>
  <c r="BS30" i="7" s="1"/>
  <c r="BR19" i="7"/>
  <c r="BR30" i="7" s="1"/>
  <c r="BQ19" i="7"/>
  <c r="BQ30" i="7" s="1"/>
  <c r="BP19" i="7"/>
  <c r="BP30" i="7" s="1"/>
  <c r="BO19" i="7"/>
  <c r="BO30" i="7" s="1"/>
  <c r="BN19" i="7"/>
  <c r="BM19" i="7"/>
  <c r="BL19" i="7"/>
  <c r="BK19" i="7"/>
  <c r="BJ19" i="7"/>
  <c r="BJ30" i="7" s="1"/>
  <c r="BI19" i="7"/>
  <c r="BI30" i="7" s="1"/>
  <c r="BH19" i="7"/>
  <c r="BH30" i="7" s="1"/>
  <c r="BG19" i="7"/>
  <c r="BG30" i="7" s="1"/>
  <c r="BF19" i="7"/>
  <c r="BE19" i="7"/>
  <c r="BD19" i="7"/>
  <c r="BC19" i="7"/>
  <c r="BC30" i="7" s="1"/>
  <c r="BB19" i="7"/>
  <c r="BB30" i="7" s="1"/>
  <c r="BA19" i="7"/>
  <c r="AZ19" i="7"/>
  <c r="AY19" i="7"/>
  <c r="AY30" i="7" s="1"/>
  <c r="AX19" i="7"/>
  <c r="AW19" i="7"/>
  <c r="AV19" i="7"/>
  <c r="AU19" i="7"/>
  <c r="AU30" i="7" s="1"/>
  <c r="AT19" i="7"/>
  <c r="AT30" i="7" s="1"/>
  <c r="AS19" i="7"/>
  <c r="AS30" i="7" s="1"/>
  <c r="AR19" i="7"/>
  <c r="AR30" i="7" s="1"/>
  <c r="AQ19" i="7"/>
  <c r="AP19" i="7"/>
  <c r="AO19" i="7"/>
  <c r="AN19" i="7"/>
  <c r="AM19" i="7"/>
  <c r="AM30" i="7" s="1"/>
  <c r="AL19" i="7"/>
  <c r="AL30" i="7" s="1"/>
  <c r="AK19" i="7"/>
  <c r="AK30" i="7" s="1"/>
  <c r="AJ19" i="7"/>
  <c r="AJ30" i="7" s="1"/>
  <c r="AI19" i="7"/>
  <c r="AI30" i="7" s="1"/>
  <c r="AH19" i="7"/>
  <c r="AG19" i="7"/>
  <c r="AF19" i="7"/>
  <c r="AE19" i="7"/>
  <c r="AD19" i="7"/>
  <c r="AC19" i="7"/>
  <c r="AC30" i="7" s="1"/>
  <c r="AB19" i="7"/>
  <c r="AA19" i="7"/>
  <c r="AA30" i="7" s="1"/>
  <c r="Z19" i="7"/>
  <c r="Y19" i="7"/>
  <c r="X19" i="7"/>
  <c r="W19" i="7"/>
  <c r="W30" i="7" s="1"/>
  <c r="V19" i="7"/>
  <c r="V30" i="7" s="1"/>
  <c r="U19" i="7"/>
  <c r="U30" i="7" s="1"/>
  <c r="T19" i="7"/>
  <c r="T30" i="7" s="1"/>
  <c r="S19" i="7"/>
  <c r="S30" i="7" s="1"/>
  <c r="R19" i="7"/>
  <c r="Q19" i="7"/>
  <c r="P19" i="7"/>
  <c r="O19" i="7"/>
  <c r="O30" i="7" s="1"/>
  <c r="N19" i="7"/>
  <c r="N30" i="7" s="1"/>
  <c r="M19" i="7"/>
  <c r="M30" i="7" s="1"/>
  <c r="L19" i="7"/>
  <c r="K19" i="7"/>
  <c r="J19" i="7"/>
  <c r="I19" i="7"/>
  <c r="H19" i="7"/>
  <c r="G19" i="7"/>
  <c r="G30" i="7" s="1"/>
  <c r="E19" i="7"/>
  <c r="CH18" i="7"/>
  <c r="CG18" i="7"/>
  <c r="CF18" i="7"/>
  <c r="CE18" i="7"/>
  <c r="CD18" i="7"/>
  <c r="CC18" i="7"/>
  <c r="CB18" i="7"/>
  <c r="CA18" i="7"/>
  <c r="BZ18" i="7"/>
  <c r="BY18" i="7"/>
  <c r="BX18" i="7"/>
  <c r="BW18" i="7"/>
  <c r="BV18" i="7"/>
  <c r="BU18" i="7"/>
  <c r="BT18" i="7"/>
  <c r="BS18" i="7"/>
  <c r="BR18" i="7"/>
  <c r="BQ18" i="7"/>
  <c r="BP18" i="7"/>
  <c r="BO18" i="7"/>
  <c r="BN18" i="7"/>
  <c r="BM18" i="7"/>
  <c r="BL18" i="7"/>
  <c r="BK18" i="7"/>
  <c r="BJ18" i="7"/>
  <c r="BI18" i="7"/>
  <c r="BH18" i="7"/>
  <c r="BG18" i="7"/>
  <c r="BF18" i="7"/>
  <c r="BE18" i="7"/>
  <c r="BD18" i="7"/>
  <c r="BC18" i="7"/>
  <c r="BB18" i="7"/>
  <c r="BA18" i="7"/>
  <c r="AZ18" i="7"/>
  <c r="AY18" i="7"/>
  <c r="AX18" i="7"/>
  <c r="AW18" i="7"/>
  <c r="AV18" i="7"/>
  <c r="AU18" i="7"/>
  <c r="AT18" i="7"/>
  <c r="AS18" i="7"/>
  <c r="AR18"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Q18" i="7"/>
  <c r="P18" i="7"/>
  <c r="O18" i="7"/>
  <c r="N18" i="7"/>
  <c r="M18" i="7"/>
  <c r="L18" i="7"/>
  <c r="K18" i="7"/>
  <c r="J18" i="7"/>
  <c r="I18" i="7"/>
  <c r="H18" i="7"/>
  <c r="G18" i="7"/>
  <c r="E18" i="7"/>
  <c r="C17" i="7"/>
  <c r="CF16" i="7"/>
  <c r="CE16" i="7"/>
  <c r="CD16" i="7"/>
  <c r="CC16" i="7"/>
  <c r="CB16" i="7"/>
  <c r="CA16" i="7"/>
  <c r="BX16" i="7"/>
  <c r="BW16" i="7"/>
  <c r="BV16" i="7"/>
  <c r="BU16" i="7"/>
  <c r="BT16" i="7"/>
  <c r="BS16" i="7"/>
  <c r="BP16" i="7"/>
  <c r="BO16" i="7"/>
  <c r="BN16" i="7"/>
  <c r="BM16" i="7"/>
  <c r="BL16" i="7"/>
  <c r="BK16" i="7"/>
  <c r="BH16" i="7"/>
  <c r="BG16" i="7"/>
  <c r="BF16" i="7"/>
  <c r="BE16" i="7"/>
  <c r="BD16" i="7"/>
  <c r="BC16" i="7"/>
  <c r="AZ16" i="7"/>
  <c r="AY16" i="7"/>
  <c r="AX16" i="7"/>
  <c r="AW16" i="7"/>
  <c r="AV16" i="7"/>
  <c r="AU16" i="7"/>
  <c r="AR16" i="7"/>
  <c r="AQ16" i="7"/>
  <c r="AP16" i="7"/>
  <c r="AO16" i="7"/>
  <c r="AN16" i="7"/>
  <c r="AM16" i="7"/>
  <c r="AJ16" i="7"/>
  <c r="AI16" i="7"/>
  <c r="AH16" i="7"/>
  <c r="AG16" i="7"/>
  <c r="AF16" i="7"/>
  <c r="AE16" i="7"/>
  <c r="AB16" i="7"/>
  <c r="AA16" i="7"/>
  <c r="Z16" i="7"/>
  <c r="Y16" i="7"/>
  <c r="X16" i="7"/>
  <c r="W16" i="7"/>
  <c r="T16" i="7"/>
  <c r="S16" i="7"/>
  <c r="R16" i="7"/>
  <c r="Q16" i="7"/>
  <c r="P16" i="7"/>
  <c r="O16" i="7"/>
  <c r="L16" i="7"/>
  <c r="K16" i="7"/>
  <c r="J16" i="7"/>
  <c r="I16" i="7"/>
  <c r="H16" i="7"/>
  <c r="G16" i="7"/>
  <c r="C16" i="7"/>
  <c r="H15" i="7"/>
  <c r="G15" i="7"/>
  <c r="B15" i="7"/>
  <c r="B10" i="7"/>
  <c r="B9" i="7"/>
  <c r="B8" i="7"/>
  <c r="H4" i="7"/>
  <c r="G4" i="7"/>
  <c r="C125" i="6"/>
  <c r="C124" i="6"/>
  <c r="C121" i="6"/>
  <c r="C120" i="6"/>
  <c r="B120" i="6"/>
  <c r="C118" i="6"/>
  <c r="B110" i="6"/>
  <c r="B109" i="6"/>
  <c r="C101" i="6"/>
  <c r="B92" i="6"/>
  <c r="C91" i="6"/>
  <c r="B90" i="6"/>
  <c r="B88" i="6"/>
  <c r="C87" i="6"/>
  <c r="B86" i="6"/>
  <c r="C85" i="6"/>
  <c r="B84" i="6"/>
  <c r="C83" i="6"/>
  <c r="B82" i="6"/>
  <c r="C80" i="6"/>
  <c r="C78" i="6"/>
  <c r="H76" i="6"/>
  <c r="G76" i="6"/>
  <c r="F76" i="6"/>
  <c r="E76" i="6"/>
  <c r="C76" i="6"/>
  <c r="H73" i="6"/>
  <c r="H68" i="6"/>
  <c r="G68" i="6"/>
  <c r="F68" i="6"/>
  <c r="E68" i="6"/>
  <c r="H67" i="6"/>
  <c r="G67" i="6"/>
  <c r="F67" i="6"/>
  <c r="E67" i="6"/>
  <c r="C66" i="6"/>
  <c r="H65" i="6"/>
  <c r="G65" i="6"/>
  <c r="F65" i="6"/>
  <c r="E65" i="6"/>
  <c r="C64" i="6"/>
  <c r="H63" i="6"/>
  <c r="G63" i="6"/>
  <c r="F63" i="6"/>
  <c r="E63" i="6"/>
  <c r="H58" i="6"/>
  <c r="G58" i="6"/>
  <c r="F58" i="6"/>
  <c r="E58" i="6"/>
  <c r="H57" i="6"/>
  <c r="G57" i="6"/>
  <c r="F57" i="6"/>
  <c r="E57" i="6"/>
  <c r="C56" i="6"/>
  <c r="H55" i="6"/>
  <c r="G55" i="6"/>
  <c r="F55" i="6"/>
  <c r="E55" i="6"/>
  <c r="H53" i="6"/>
  <c r="G53" i="6"/>
  <c r="F53" i="6"/>
  <c r="E53" i="6"/>
  <c r="H50" i="6"/>
  <c r="G50" i="6"/>
  <c r="F50" i="6"/>
  <c r="E50" i="6"/>
  <c r="H49" i="6"/>
  <c r="G49" i="6"/>
  <c r="F49" i="6"/>
  <c r="E49" i="6"/>
  <c r="E48" i="6" s="1"/>
  <c r="C49" i="6"/>
  <c r="F48" i="6"/>
  <c r="C48" i="6"/>
  <c r="H35" i="6"/>
  <c r="B112" i="6" s="1"/>
  <c r="G35" i="6"/>
  <c r="B111" i="6" s="1"/>
  <c r="F35" i="6"/>
  <c r="E35" i="6"/>
  <c r="E29" i="6"/>
  <c r="B29" i="6"/>
  <c r="E28" i="6"/>
  <c r="E26" i="6"/>
  <c r="F26" i="6" s="1"/>
  <c r="B26" i="6"/>
  <c r="E25" i="6"/>
  <c r="B25" i="6"/>
  <c r="E16" i="6"/>
  <c r="E15" i="6"/>
  <c r="E14" i="6"/>
  <c r="E13" i="6"/>
  <c r="E12" i="6"/>
  <c r="E11" i="6"/>
  <c r="C11" i="6"/>
  <c r="F10" i="6"/>
  <c r="E10" i="6"/>
  <c r="F9" i="6"/>
  <c r="E9" i="6"/>
  <c r="CC30" i="7" s="1"/>
  <c r="C9" i="6"/>
  <c r="B265" i="5"/>
  <c r="B260" i="5"/>
  <c r="B255" i="5"/>
  <c r="B250" i="5"/>
  <c r="B243" i="5"/>
  <c r="B242" i="5"/>
  <c r="B210" i="5"/>
  <c r="F201" i="5"/>
  <c r="F200" i="5"/>
  <c r="F199" i="5"/>
  <c r="F198" i="5"/>
  <c r="F197" i="5"/>
  <c r="C187" i="5"/>
  <c r="B113" i="5"/>
  <c r="B114" i="5" s="1"/>
  <c r="B115" i="5" s="1"/>
  <c r="B116" i="5" s="1"/>
  <c r="B109" i="5"/>
  <c r="B110" i="5" s="1"/>
  <c r="B111" i="5" s="1"/>
  <c r="B112" i="5" s="1"/>
  <c r="B107" i="5"/>
  <c r="B108" i="5" s="1"/>
  <c r="B105" i="5"/>
  <c r="B106" i="5" s="1"/>
  <c r="B100" i="5"/>
  <c r="B96" i="5"/>
  <c r="F92" i="5"/>
  <c r="F91" i="5"/>
  <c r="F90" i="5"/>
  <c r="F89" i="5"/>
  <c r="B87" i="5"/>
  <c r="B86" i="5"/>
  <c r="B84" i="5"/>
  <c r="B83" i="5"/>
  <c r="B82" i="5"/>
  <c r="B81" i="5"/>
  <c r="B80" i="5"/>
  <c r="B79" i="5"/>
  <c r="B78" i="5"/>
  <c r="B77" i="5"/>
  <c r="B76" i="5"/>
  <c r="B75" i="5"/>
  <c r="L74" i="5"/>
  <c r="M74" i="5" s="1"/>
  <c r="N74" i="5" s="1"/>
  <c r="O74" i="5" s="1"/>
  <c r="P74" i="5" s="1"/>
  <c r="Q74" i="5" s="1"/>
  <c r="R74" i="5" s="1"/>
  <c r="S74" i="5" s="1"/>
  <c r="T74" i="5" s="1"/>
  <c r="U74" i="5" s="1"/>
  <c r="V74" i="5" s="1"/>
  <c r="W74" i="5" s="1"/>
  <c r="X74" i="5" s="1"/>
  <c r="Y74" i="5" s="1"/>
  <c r="Z74" i="5" s="1"/>
  <c r="AA74" i="5" s="1"/>
  <c r="AB74" i="5" s="1"/>
  <c r="AC74" i="5" s="1"/>
  <c r="AD74" i="5" s="1"/>
  <c r="AE74" i="5" s="1"/>
  <c r="AF74" i="5" s="1"/>
  <c r="AG74" i="5" s="1"/>
  <c r="AH74" i="5" s="1"/>
  <c r="AI74" i="5" s="1"/>
  <c r="AJ74" i="5" s="1"/>
  <c r="AK74" i="5" s="1"/>
  <c r="AL74" i="5" s="1"/>
  <c r="AM74" i="5" s="1"/>
  <c r="AN74" i="5" s="1"/>
  <c r="AO74" i="5" s="1"/>
  <c r="AP74" i="5" s="1"/>
  <c r="AQ74" i="5" s="1"/>
  <c r="AR74" i="5" s="1"/>
  <c r="AS74" i="5" s="1"/>
  <c r="AT74" i="5" s="1"/>
  <c r="AU74" i="5" s="1"/>
  <c r="AV74" i="5" s="1"/>
  <c r="AW74" i="5" s="1"/>
  <c r="AX74" i="5" s="1"/>
  <c r="AY74" i="5" s="1"/>
  <c r="AZ74" i="5" s="1"/>
  <c r="BA74" i="5" s="1"/>
  <c r="BB74" i="5" s="1"/>
  <c r="BC74" i="5" s="1"/>
  <c r="BD74" i="5" s="1"/>
  <c r="BE74" i="5" s="1"/>
  <c r="BF74" i="5" s="1"/>
  <c r="BG74" i="5" s="1"/>
  <c r="BH74" i="5" s="1"/>
  <c r="BI74" i="5" s="1"/>
  <c r="BJ74" i="5" s="1"/>
  <c r="BK74" i="5" s="1"/>
  <c r="BL74" i="5" s="1"/>
  <c r="BM74" i="5" s="1"/>
  <c r="BN74" i="5" s="1"/>
  <c r="BO74" i="5" s="1"/>
  <c r="BP74" i="5" s="1"/>
  <c r="BQ74" i="5" s="1"/>
  <c r="BR74" i="5" s="1"/>
  <c r="BS74" i="5" s="1"/>
  <c r="BT74" i="5" s="1"/>
  <c r="BU74" i="5" s="1"/>
  <c r="BV74" i="5" s="1"/>
  <c r="BW74" i="5" s="1"/>
  <c r="BX74" i="5" s="1"/>
  <c r="BY74" i="5" s="1"/>
  <c r="BZ74" i="5" s="1"/>
  <c r="CA74" i="5" s="1"/>
  <c r="CB74" i="5" s="1"/>
  <c r="CC74" i="5" s="1"/>
  <c r="CD74" i="5" s="1"/>
  <c r="CE74" i="5" s="1"/>
  <c r="CF74" i="5" s="1"/>
  <c r="CG74" i="5" s="1"/>
  <c r="CH74" i="5" s="1"/>
  <c r="E74" i="5" s="1"/>
  <c r="G74" i="5"/>
  <c r="H74" i="5" s="1"/>
  <c r="I74" i="5" s="1"/>
  <c r="J74" i="5" s="1"/>
  <c r="K74" i="5" s="1"/>
  <c r="B74" i="5"/>
  <c r="L73" i="5"/>
  <c r="M73" i="5" s="1"/>
  <c r="N73" i="5" s="1"/>
  <c r="O73" i="5" s="1"/>
  <c r="P73" i="5" s="1"/>
  <c r="Q73" i="5" s="1"/>
  <c r="R73" i="5" s="1"/>
  <c r="S73" i="5" s="1"/>
  <c r="T73" i="5" s="1"/>
  <c r="U73" i="5" s="1"/>
  <c r="V73" i="5" s="1"/>
  <c r="W73" i="5" s="1"/>
  <c r="X73" i="5" s="1"/>
  <c r="Y73" i="5" s="1"/>
  <c r="Z73" i="5" s="1"/>
  <c r="AA73" i="5" s="1"/>
  <c r="AB73" i="5" s="1"/>
  <c r="AC73" i="5" s="1"/>
  <c r="AD73" i="5" s="1"/>
  <c r="AE73" i="5" s="1"/>
  <c r="AF73" i="5" s="1"/>
  <c r="AG73" i="5" s="1"/>
  <c r="AH73" i="5" s="1"/>
  <c r="AI73" i="5" s="1"/>
  <c r="AJ73" i="5" s="1"/>
  <c r="AK73" i="5" s="1"/>
  <c r="AL73" i="5" s="1"/>
  <c r="AM73" i="5" s="1"/>
  <c r="AN73" i="5" s="1"/>
  <c r="AO73" i="5" s="1"/>
  <c r="AP73" i="5" s="1"/>
  <c r="AQ73" i="5" s="1"/>
  <c r="AR73" i="5" s="1"/>
  <c r="AS73" i="5" s="1"/>
  <c r="AT73" i="5" s="1"/>
  <c r="AU73" i="5" s="1"/>
  <c r="AV73" i="5" s="1"/>
  <c r="AW73" i="5" s="1"/>
  <c r="AX73" i="5" s="1"/>
  <c r="AY73" i="5" s="1"/>
  <c r="AZ73" i="5" s="1"/>
  <c r="BA73" i="5" s="1"/>
  <c r="BB73" i="5" s="1"/>
  <c r="BC73" i="5" s="1"/>
  <c r="BD73" i="5" s="1"/>
  <c r="BE73" i="5" s="1"/>
  <c r="BF73" i="5" s="1"/>
  <c r="BG73" i="5" s="1"/>
  <c r="BH73" i="5" s="1"/>
  <c r="BI73" i="5" s="1"/>
  <c r="BJ73" i="5" s="1"/>
  <c r="BK73" i="5" s="1"/>
  <c r="BL73" i="5" s="1"/>
  <c r="BM73" i="5" s="1"/>
  <c r="BN73" i="5" s="1"/>
  <c r="BO73" i="5" s="1"/>
  <c r="BP73" i="5" s="1"/>
  <c r="BQ73" i="5" s="1"/>
  <c r="BR73" i="5" s="1"/>
  <c r="BS73" i="5" s="1"/>
  <c r="BT73" i="5" s="1"/>
  <c r="BU73" i="5" s="1"/>
  <c r="BV73" i="5" s="1"/>
  <c r="BW73" i="5" s="1"/>
  <c r="BX73" i="5" s="1"/>
  <c r="BY73" i="5" s="1"/>
  <c r="BZ73" i="5" s="1"/>
  <c r="CA73" i="5" s="1"/>
  <c r="CB73" i="5" s="1"/>
  <c r="CC73" i="5" s="1"/>
  <c r="CD73" i="5" s="1"/>
  <c r="CE73" i="5" s="1"/>
  <c r="CF73" i="5" s="1"/>
  <c r="CG73" i="5" s="1"/>
  <c r="CH73" i="5" s="1"/>
  <c r="E73" i="5" s="1"/>
  <c r="G73" i="5"/>
  <c r="H73" i="5" s="1"/>
  <c r="I73" i="5" s="1"/>
  <c r="J73" i="5" s="1"/>
  <c r="K73" i="5" s="1"/>
  <c r="B73" i="5"/>
  <c r="B72" i="5"/>
  <c r="B71" i="5"/>
  <c r="B70" i="5"/>
  <c r="B69" i="5"/>
  <c r="B68" i="5"/>
  <c r="B67" i="5"/>
  <c r="B66" i="5"/>
  <c r="B65" i="5"/>
  <c r="K64" i="5"/>
  <c r="L64" i="5" s="1"/>
  <c r="M64" i="5" s="1"/>
  <c r="N64" i="5" s="1"/>
  <c r="O64" i="5" s="1"/>
  <c r="P64" i="5" s="1"/>
  <c r="Q64" i="5" s="1"/>
  <c r="R64" i="5" s="1"/>
  <c r="S64" i="5" s="1"/>
  <c r="T64" i="5" s="1"/>
  <c r="U64" i="5" s="1"/>
  <c r="V64" i="5" s="1"/>
  <c r="W64" i="5" s="1"/>
  <c r="X64" i="5" s="1"/>
  <c r="Y64" i="5" s="1"/>
  <c r="Z64" i="5" s="1"/>
  <c r="AA64" i="5" s="1"/>
  <c r="AB64" i="5" s="1"/>
  <c r="AC64" i="5" s="1"/>
  <c r="AD64" i="5" s="1"/>
  <c r="AE64" i="5" s="1"/>
  <c r="AF64" i="5" s="1"/>
  <c r="AG64" i="5" s="1"/>
  <c r="AH64" i="5" s="1"/>
  <c r="AI64" i="5" s="1"/>
  <c r="AJ64" i="5" s="1"/>
  <c r="AK64" i="5" s="1"/>
  <c r="AL64" i="5" s="1"/>
  <c r="AM64" i="5" s="1"/>
  <c r="AN64" i="5" s="1"/>
  <c r="AO64" i="5" s="1"/>
  <c r="AP64" i="5" s="1"/>
  <c r="AQ64" i="5" s="1"/>
  <c r="AR64" i="5" s="1"/>
  <c r="AS64" i="5" s="1"/>
  <c r="AT64" i="5" s="1"/>
  <c r="AU64" i="5" s="1"/>
  <c r="AV64" i="5" s="1"/>
  <c r="AW64" i="5" s="1"/>
  <c r="AX64" i="5" s="1"/>
  <c r="AY64" i="5" s="1"/>
  <c r="AZ64" i="5" s="1"/>
  <c r="BA64" i="5" s="1"/>
  <c r="BB64" i="5" s="1"/>
  <c r="BC64" i="5" s="1"/>
  <c r="BD64" i="5" s="1"/>
  <c r="BE64" i="5" s="1"/>
  <c r="BF64" i="5" s="1"/>
  <c r="BG64" i="5" s="1"/>
  <c r="BH64" i="5" s="1"/>
  <c r="BI64" i="5" s="1"/>
  <c r="BJ64" i="5" s="1"/>
  <c r="BK64" i="5" s="1"/>
  <c r="BL64" i="5" s="1"/>
  <c r="BM64" i="5" s="1"/>
  <c r="BN64" i="5" s="1"/>
  <c r="BO64" i="5" s="1"/>
  <c r="BP64" i="5" s="1"/>
  <c r="BQ64" i="5" s="1"/>
  <c r="BR64" i="5" s="1"/>
  <c r="BS64" i="5" s="1"/>
  <c r="BT64" i="5" s="1"/>
  <c r="BU64" i="5" s="1"/>
  <c r="BV64" i="5" s="1"/>
  <c r="BW64" i="5" s="1"/>
  <c r="BX64" i="5" s="1"/>
  <c r="BY64" i="5" s="1"/>
  <c r="BZ64" i="5" s="1"/>
  <c r="CA64" i="5" s="1"/>
  <c r="CB64" i="5" s="1"/>
  <c r="CC64" i="5" s="1"/>
  <c r="CD64" i="5" s="1"/>
  <c r="CE64" i="5" s="1"/>
  <c r="CF64" i="5" s="1"/>
  <c r="CG64" i="5" s="1"/>
  <c r="CH64" i="5" s="1"/>
  <c r="E64" i="5" s="1"/>
  <c r="G64" i="5"/>
  <c r="H64" i="5" s="1"/>
  <c r="I64" i="5" s="1"/>
  <c r="J64" i="5" s="1"/>
  <c r="B64" i="5"/>
  <c r="L63" i="5"/>
  <c r="M63" i="5" s="1"/>
  <c r="N63" i="5" s="1"/>
  <c r="O63" i="5" s="1"/>
  <c r="P63" i="5" s="1"/>
  <c r="Q63" i="5" s="1"/>
  <c r="R63" i="5" s="1"/>
  <c r="S63" i="5" s="1"/>
  <c r="T63" i="5" s="1"/>
  <c r="U63" i="5" s="1"/>
  <c r="V63" i="5" s="1"/>
  <c r="W63" i="5" s="1"/>
  <c r="X63" i="5" s="1"/>
  <c r="Y63" i="5" s="1"/>
  <c r="Z63" i="5" s="1"/>
  <c r="AA63" i="5" s="1"/>
  <c r="AB63" i="5" s="1"/>
  <c r="AC63" i="5" s="1"/>
  <c r="AD63" i="5" s="1"/>
  <c r="AE63" i="5" s="1"/>
  <c r="AF63" i="5" s="1"/>
  <c r="AG63" i="5" s="1"/>
  <c r="AH63" i="5" s="1"/>
  <c r="AI63" i="5" s="1"/>
  <c r="AJ63" i="5" s="1"/>
  <c r="AK63" i="5" s="1"/>
  <c r="AL63" i="5" s="1"/>
  <c r="AM63" i="5" s="1"/>
  <c r="AN63" i="5" s="1"/>
  <c r="AO63" i="5" s="1"/>
  <c r="AP63" i="5" s="1"/>
  <c r="AQ63" i="5" s="1"/>
  <c r="AR63" i="5" s="1"/>
  <c r="AS63" i="5" s="1"/>
  <c r="AT63" i="5" s="1"/>
  <c r="AU63" i="5" s="1"/>
  <c r="AV63" i="5" s="1"/>
  <c r="AW63" i="5" s="1"/>
  <c r="AX63" i="5" s="1"/>
  <c r="AY63" i="5" s="1"/>
  <c r="AZ63" i="5" s="1"/>
  <c r="BA63" i="5" s="1"/>
  <c r="BB63" i="5" s="1"/>
  <c r="BC63" i="5" s="1"/>
  <c r="BD63" i="5" s="1"/>
  <c r="BE63" i="5" s="1"/>
  <c r="BF63" i="5" s="1"/>
  <c r="BG63" i="5" s="1"/>
  <c r="BH63" i="5" s="1"/>
  <c r="BI63" i="5" s="1"/>
  <c r="BJ63" i="5" s="1"/>
  <c r="BK63" i="5" s="1"/>
  <c r="BL63" i="5" s="1"/>
  <c r="BM63" i="5" s="1"/>
  <c r="BN63" i="5" s="1"/>
  <c r="BO63" i="5" s="1"/>
  <c r="BP63" i="5" s="1"/>
  <c r="BQ63" i="5" s="1"/>
  <c r="BR63" i="5" s="1"/>
  <c r="BS63" i="5" s="1"/>
  <c r="BT63" i="5" s="1"/>
  <c r="BU63" i="5" s="1"/>
  <c r="BV63" i="5" s="1"/>
  <c r="BW63" i="5" s="1"/>
  <c r="BX63" i="5" s="1"/>
  <c r="BY63" i="5" s="1"/>
  <c r="BZ63" i="5" s="1"/>
  <c r="CA63" i="5" s="1"/>
  <c r="CB63" i="5" s="1"/>
  <c r="CC63" i="5" s="1"/>
  <c r="CD63" i="5" s="1"/>
  <c r="CE63" i="5" s="1"/>
  <c r="CF63" i="5" s="1"/>
  <c r="CG63" i="5" s="1"/>
  <c r="CH63" i="5" s="1"/>
  <c r="E63" i="5" s="1"/>
  <c r="H63" i="5"/>
  <c r="I63" i="5" s="1"/>
  <c r="J63" i="5" s="1"/>
  <c r="K63" i="5" s="1"/>
  <c r="G63" i="5"/>
  <c r="B63" i="5"/>
  <c r="B62" i="5"/>
  <c r="H61" i="5"/>
  <c r="I61" i="5" s="1"/>
  <c r="J61" i="5" s="1"/>
  <c r="K61" i="5" s="1"/>
  <c r="L61" i="5" s="1"/>
  <c r="M61" i="5" s="1"/>
  <c r="N61" i="5" s="1"/>
  <c r="O61" i="5" s="1"/>
  <c r="P61" i="5" s="1"/>
  <c r="Q61" i="5" s="1"/>
  <c r="R61" i="5" s="1"/>
  <c r="S61" i="5" s="1"/>
  <c r="T61" i="5" s="1"/>
  <c r="U61" i="5" s="1"/>
  <c r="V61" i="5" s="1"/>
  <c r="W61" i="5" s="1"/>
  <c r="X61" i="5" s="1"/>
  <c r="Y61" i="5" s="1"/>
  <c r="Z61" i="5" s="1"/>
  <c r="AA61" i="5" s="1"/>
  <c r="AB61" i="5" s="1"/>
  <c r="AC61" i="5" s="1"/>
  <c r="AD61" i="5" s="1"/>
  <c r="AE61" i="5" s="1"/>
  <c r="AF61" i="5" s="1"/>
  <c r="AG61" i="5" s="1"/>
  <c r="AH61" i="5" s="1"/>
  <c r="AI61" i="5" s="1"/>
  <c r="AJ61" i="5" s="1"/>
  <c r="AK61" i="5" s="1"/>
  <c r="AL61" i="5" s="1"/>
  <c r="AM61" i="5" s="1"/>
  <c r="AN61" i="5" s="1"/>
  <c r="AO61" i="5" s="1"/>
  <c r="AP61" i="5" s="1"/>
  <c r="AQ61" i="5" s="1"/>
  <c r="AR61" i="5" s="1"/>
  <c r="AS61" i="5" s="1"/>
  <c r="AT61" i="5" s="1"/>
  <c r="AU61" i="5" s="1"/>
  <c r="AV61" i="5" s="1"/>
  <c r="AW61" i="5" s="1"/>
  <c r="AX61" i="5" s="1"/>
  <c r="AY61" i="5" s="1"/>
  <c r="AZ61" i="5" s="1"/>
  <c r="BA61" i="5" s="1"/>
  <c r="BB61" i="5" s="1"/>
  <c r="BC61" i="5" s="1"/>
  <c r="BD61" i="5" s="1"/>
  <c r="BE61" i="5" s="1"/>
  <c r="BF61" i="5" s="1"/>
  <c r="BG61" i="5" s="1"/>
  <c r="BH61" i="5" s="1"/>
  <c r="BI61" i="5" s="1"/>
  <c r="BJ61" i="5" s="1"/>
  <c r="BK61" i="5" s="1"/>
  <c r="BL61" i="5" s="1"/>
  <c r="BM61" i="5" s="1"/>
  <c r="BN61" i="5" s="1"/>
  <c r="BO61" i="5" s="1"/>
  <c r="BP61" i="5" s="1"/>
  <c r="BQ61" i="5" s="1"/>
  <c r="BR61" i="5" s="1"/>
  <c r="BS61" i="5" s="1"/>
  <c r="BT61" i="5" s="1"/>
  <c r="BU61" i="5" s="1"/>
  <c r="BV61" i="5" s="1"/>
  <c r="BW61" i="5" s="1"/>
  <c r="BX61" i="5" s="1"/>
  <c r="BY61" i="5" s="1"/>
  <c r="BZ61" i="5" s="1"/>
  <c r="CA61" i="5" s="1"/>
  <c r="CB61" i="5" s="1"/>
  <c r="CC61" i="5" s="1"/>
  <c r="CD61" i="5" s="1"/>
  <c r="CE61" i="5" s="1"/>
  <c r="CF61" i="5" s="1"/>
  <c r="CG61" i="5" s="1"/>
  <c r="CH61" i="5" s="1"/>
  <c r="E61" i="5" s="1"/>
  <c r="G61" i="5"/>
  <c r="B61" i="5"/>
  <c r="B60" i="5"/>
  <c r="B59" i="5"/>
  <c r="B56" i="5"/>
  <c r="B85" i="5" s="1"/>
  <c r="BT54" i="5"/>
  <c r="BD54" i="5"/>
  <c r="AN54" i="5"/>
  <c r="X54" i="5"/>
  <c r="H54" i="5"/>
  <c r="E45" i="5"/>
  <c r="E44" i="5"/>
  <c r="H39" i="5"/>
  <c r="G39" i="5"/>
  <c r="E35" i="5"/>
  <c r="E34" i="5"/>
  <c r="E32" i="5"/>
  <c r="BT30" i="5"/>
  <c r="BS30" i="5"/>
  <c r="BD30" i="5"/>
  <c r="BC30" i="5"/>
  <c r="AN30" i="5"/>
  <c r="AM30" i="5"/>
  <c r="X30" i="5"/>
  <c r="W30" i="5"/>
  <c r="H30" i="5"/>
  <c r="G30" i="5"/>
  <c r="G22" i="5"/>
  <c r="E22" i="5"/>
  <c r="CH20" i="5"/>
  <c r="CG20" i="5"/>
  <c r="CF20" i="5"/>
  <c r="CE20" i="5"/>
  <c r="CD20" i="5"/>
  <c r="CC20" i="5"/>
  <c r="CB20" i="5"/>
  <c r="CA20" i="5"/>
  <c r="BZ20" i="5"/>
  <c r="BY20" i="5"/>
  <c r="BX20" i="5"/>
  <c r="BW20" i="5"/>
  <c r="BV20" i="5"/>
  <c r="BU20" i="5"/>
  <c r="BT20" i="5"/>
  <c r="BS20" i="5"/>
  <c r="BR20" i="5"/>
  <c r="BQ20" i="5"/>
  <c r="BP20" i="5"/>
  <c r="BO20" i="5"/>
  <c r="BN20" i="5"/>
  <c r="BM20" i="5"/>
  <c r="BL20" i="5"/>
  <c r="BK20" i="5"/>
  <c r="BJ20" i="5"/>
  <c r="BI20" i="5"/>
  <c r="BH20" i="5"/>
  <c r="BG20" i="5"/>
  <c r="BF20" i="5"/>
  <c r="BE20" i="5"/>
  <c r="BD20" i="5"/>
  <c r="BC20" i="5"/>
  <c r="BB20" i="5"/>
  <c r="BA20" i="5"/>
  <c r="AZ20" i="5"/>
  <c r="AY20" i="5"/>
  <c r="AX20" i="5"/>
  <c r="AW20" i="5"/>
  <c r="AV20" i="5"/>
  <c r="AU20" i="5"/>
  <c r="AT20" i="5"/>
  <c r="AS20" i="5"/>
  <c r="AR20" i="5"/>
  <c r="AQ20" i="5"/>
  <c r="AP20" i="5"/>
  <c r="AO20" i="5"/>
  <c r="AN20" i="5"/>
  <c r="AM20" i="5"/>
  <c r="AL20" i="5"/>
  <c r="AK20" i="5"/>
  <c r="AJ20" i="5"/>
  <c r="AI20" i="5"/>
  <c r="AH20" i="5"/>
  <c r="AG20" i="5"/>
  <c r="AF20" i="5"/>
  <c r="AE20" i="5"/>
  <c r="AD20" i="5"/>
  <c r="AC20" i="5"/>
  <c r="AB20" i="5"/>
  <c r="AA20" i="5"/>
  <c r="Z20" i="5"/>
  <c r="Y20" i="5"/>
  <c r="X20" i="5"/>
  <c r="W20" i="5"/>
  <c r="V20" i="5"/>
  <c r="U20" i="5"/>
  <c r="T20" i="5"/>
  <c r="S20" i="5"/>
  <c r="R20" i="5"/>
  <c r="Q20" i="5"/>
  <c r="P20" i="5"/>
  <c r="O20" i="5"/>
  <c r="N20" i="5"/>
  <c r="M20" i="5"/>
  <c r="L20" i="5"/>
  <c r="K20" i="5"/>
  <c r="J20" i="5"/>
  <c r="I20" i="5"/>
  <c r="H20" i="5"/>
  <c r="G20" i="5"/>
  <c r="CH19" i="5"/>
  <c r="CG19" i="5"/>
  <c r="CF19" i="5"/>
  <c r="CE19" i="5"/>
  <c r="CD19" i="5"/>
  <c r="CC19" i="5"/>
  <c r="CB19" i="5"/>
  <c r="CA19" i="5"/>
  <c r="BZ19" i="5"/>
  <c r="BY19" i="5"/>
  <c r="BX19" i="5"/>
  <c r="BW19" i="5"/>
  <c r="BV19" i="5"/>
  <c r="BU19" i="5"/>
  <c r="BT19" i="5"/>
  <c r="BS19" i="5"/>
  <c r="BR19" i="5"/>
  <c r="BQ19" i="5"/>
  <c r="BP19" i="5"/>
  <c r="BO19" i="5"/>
  <c r="BN19" i="5"/>
  <c r="BM19" i="5"/>
  <c r="BL19" i="5"/>
  <c r="BK19" i="5"/>
  <c r="BJ19" i="5"/>
  <c r="BI19" i="5"/>
  <c r="BH19" i="5"/>
  <c r="BG19" i="5"/>
  <c r="BF19" i="5"/>
  <c r="BE19" i="5"/>
  <c r="BD19" i="5"/>
  <c r="BC19" i="5"/>
  <c r="BB19" i="5"/>
  <c r="BA19" i="5"/>
  <c r="AZ19" i="5"/>
  <c r="AY19" i="5"/>
  <c r="AX19" i="5"/>
  <c r="AW19" i="5"/>
  <c r="AV19" i="5"/>
  <c r="AU19" i="5"/>
  <c r="AT19" i="5"/>
  <c r="AS19" i="5"/>
  <c r="AR19" i="5"/>
  <c r="AQ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E19" i="5" s="1"/>
  <c r="H19" i="5"/>
  <c r="G19"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E18" i="5"/>
  <c r="C17" i="5"/>
  <c r="CH16" i="5"/>
  <c r="CF16" i="5"/>
  <c r="BZ16" i="5"/>
  <c r="BX16" i="5"/>
  <c r="BV16" i="5"/>
  <c r="BR16" i="5"/>
  <c r="BP16" i="5"/>
  <c r="BJ16" i="5"/>
  <c r="BH16" i="5"/>
  <c r="BF16" i="5"/>
  <c r="BB16" i="5"/>
  <c r="AZ16" i="5"/>
  <c r="AT16" i="5"/>
  <c r="AR16" i="5"/>
  <c r="AP16" i="5"/>
  <c r="AL16" i="5"/>
  <c r="AJ16" i="5"/>
  <c r="AD16" i="5"/>
  <c r="AB16" i="5"/>
  <c r="Z16" i="5"/>
  <c r="V16" i="5"/>
  <c r="T16" i="5"/>
  <c r="N16" i="5"/>
  <c r="L16" i="5"/>
  <c r="J16" i="5"/>
  <c r="C16" i="5"/>
  <c r="H15" i="5"/>
  <c r="G15" i="5"/>
  <c r="B10" i="5"/>
  <c r="B9" i="5"/>
  <c r="G8" i="5"/>
  <c r="B8" i="5"/>
  <c r="I4" i="5"/>
  <c r="H4" i="5"/>
  <c r="G4" i="5"/>
  <c r="C125" i="4"/>
  <c r="C124" i="4"/>
  <c r="C122" i="4"/>
  <c r="C121" i="4"/>
  <c r="B120" i="4"/>
  <c r="C118" i="4"/>
  <c r="H112" i="4"/>
  <c r="B112" i="4"/>
  <c r="B111" i="4"/>
  <c r="H110" i="4"/>
  <c r="B110" i="4"/>
  <c r="B109" i="4"/>
  <c r="B92" i="4"/>
  <c r="B90" i="4"/>
  <c r="C89" i="4"/>
  <c r="B88" i="4"/>
  <c r="B86" i="4"/>
  <c r="C85" i="4"/>
  <c r="B84" i="4"/>
  <c r="B82" i="4"/>
  <c r="H77" i="4"/>
  <c r="G77" i="4"/>
  <c r="H111" i="4" s="1"/>
  <c r="F77" i="4"/>
  <c r="H76" i="4"/>
  <c r="G76" i="4"/>
  <c r="F76" i="4"/>
  <c r="E76" i="4"/>
  <c r="H73" i="4"/>
  <c r="H68" i="4"/>
  <c r="G68" i="4"/>
  <c r="F68" i="4"/>
  <c r="E68" i="4"/>
  <c r="H67" i="4"/>
  <c r="G67" i="4"/>
  <c r="F67" i="4"/>
  <c r="E67" i="4"/>
  <c r="H66" i="4"/>
  <c r="H65" i="4"/>
  <c r="G65" i="4"/>
  <c r="F65" i="4"/>
  <c r="E65" i="4"/>
  <c r="H63" i="4"/>
  <c r="G63" i="4"/>
  <c r="F63" i="4"/>
  <c r="E63" i="4"/>
  <c r="H58" i="4"/>
  <c r="G58" i="4"/>
  <c r="F58" i="4"/>
  <c r="E58" i="4"/>
  <c r="H57" i="4"/>
  <c r="G57" i="4"/>
  <c r="F57" i="4"/>
  <c r="E57" i="4"/>
  <c r="H56" i="4"/>
  <c r="G56" i="4"/>
  <c r="H55" i="4"/>
  <c r="G55" i="4"/>
  <c r="F55" i="4"/>
  <c r="E55" i="4"/>
  <c r="C54" i="4"/>
  <c r="H53" i="4"/>
  <c r="G53" i="4"/>
  <c r="F53" i="4"/>
  <c r="E53" i="4"/>
  <c r="H50" i="4"/>
  <c r="G50" i="4"/>
  <c r="F50" i="4"/>
  <c r="E50" i="4"/>
  <c r="C50" i="4"/>
  <c r="H49" i="4"/>
  <c r="H48" i="4" s="1"/>
  <c r="G49" i="4"/>
  <c r="F49" i="4"/>
  <c r="E49" i="4"/>
  <c r="G48" i="4"/>
  <c r="F48" i="4"/>
  <c r="E48" i="4"/>
  <c r="H35" i="4"/>
  <c r="G35" i="4"/>
  <c r="F35" i="4"/>
  <c r="E35" i="4"/>
  <c r="E29" i="4"/>
  <c r="B29" i="4"/>
  <c r="E28" i="4"/>
  <c r="E26" i="4"/>
  <c r="B26" i="4" s="1"/>
  <c r="E25" i="4"/>
  <c r="B25" i="4"/>
  <c r="E16" i="4"/>
  <c r="E15" i="4"/>
  <c r="E14" i="4"/>
  <c r="E13" i="4"/>
  <c r="E12" i="4"/>
  <c r="C12" i="4"/>
  <c r="E11" i="4"/>
  <c r="C11" i="4"/>
  <c r="E10" i="4"/>
  <c r="E9" i="4"/>
  <c r="C9" i="4"/>
  <c r="C125" i="3"/>
  <c r="C124" i="3"/>
  <c r="C123" i="3"/>
  <c r="C122" i="3"/>
  <c r="C121" i="3"/>
  <c r="C120" i="3"/>
  <c r="B120" i="3"/>
  <c r="C119" i="3"/>
  <c r="C118" i="3"/>
  <c r="H112" i="3"/>
  <c r="B112" i="3"/>
  <c r="H111" i="3"/>
  <c r="E111" i="3"/>
  <c r="B111" i="3"/>
  <c r="H110" i="3"/>
  <c r="E110" i="3"/>
  <c r="B110" i="3"/>
  <c r="E109" i="3"/>
  <c r="B109" i="3"/>
  <c r="C101" i="3"/>
  <c r="B92" i="3"/>
  <c r="C91" i="3"/>
  <c r="B90" i="3"/>
  <c r="C89" i="3"/>
  <c r="B88" i="3"/>
  <c r="C87" i="3"/>
  <c r="B86" i="3"/>
  <c r="C85" i="3"/>
  <c r="B84" i="3"/>
  <c r="C83" i="3"/>
  <c r="B82" i="3"/>
  <c r="C81" i="3"/>
  <c r="C80" i="3"/>
  <c r="C78" i="3"/>
  <c r="H77" i="3"/>
  <c r="H77" i="6" s="1"/>
  <c r="H112" i="6" s="1"/>
  <c r="G77" i="3"/>
  <c r="G77" i="6" s="1"/>
  <c r="H111" i="6" s="1"/>
  <c r="F77" i="3"/>
  <c r="F77" i="6" s="1"/>
  <c r="H110" i="6" s="1"/>
  <c r="E77" i="3"/>
  <c r="C76" i="3"/>
  <c r="H73" i="3"/>
  <c r="H66" i="3"/>
  <c r="H66" i="6" s="1"/>
  <c r="G66" i="3"/>
  <c r="G66" i="6" s="1"/>
  <c r="C66" i="3"/>
  <c r="C64" i="3"/>
  <c r="G59" i="3"/>
  <c r="H56" i="3"/>
  <c r="H56" i="6" s="1"/>
  <c r="G56" i="3"/>
  <c r="G56" i="6" s="1"/>
  <c r="F56" i="3"/>
  <c r="F56" i="6" s="1"/>
  <c r="E56" i="3"/>
  <c r="C56" i="3"/>
  <c r="H54" i="3"/>
  <c r="G54" i="3"/>
  <c r="G54" i="6" s="1"/>
  <c r="F54" i="3"/>
  <c r="C54" i="3"/>
  <c r="C50" i="3"/>
  <c r="C49" i="3"/>
  <c r="H48" i="3"/>
  <c r="G48" i="3"/>
  <c r="F48" i="3"/>
  <c r="E48" i="3"/>
  <c r="C48" i="3"/>
  <c r="H38" i="3"/>
  <c r="B29" i="3"/>
  <c r="B28" i="3"/>
  <c r="E27" i="3"/>
  <c r="B27" i="3"/>
  <c r="F26" i="3"/>
  <c r="B26" i="3"/>
  <c r="B25" i="3"/>
  <c r="C12" i="3"/>
  <c r="C11" i="3"/>
  <c r="F10" i="3"/>
  <c r="F9" i="3"/>
  <c r="G5" i="5" l="1"/>
  <c r="H5" i="5" s="1"/>
  <c r="I5" i="5" s="1"/>
  <c r="J5" i="5" s="1"/>
  <c r="K5" i="5" s="1"/>
  <c r="L5" i="5" s="1"/>
  <c r="M5" i="5" s="1"/>
  <c r="N5" i="5" s="1"/>
  <c r="O5" i="5" s="1"/>
  <c r="P5" i="5" s="1"/>
  <c r="Q5" i="5" s="1"/>
  <c r="R5" i="5" s="1"/>
  <c r="S5" i="5" s="1"/>
  <c r="T5" i="5" s="1"/>
  <c r="U5" i="5" s="1"/>
  <c r="V5" i="5" s="1"/>
  <c r="W5" i="5" s="1"/>
  <c r="X5" i="5" s="1"/>
  <c r="Y5" i="5" s="1"/>
  <c r="Z5" i="5" s="1"/>
  <c r="AA5" i="5" s="1"/>
  <c r="AB5" i="5" s="1"/>
  <c r="AC5" i="5" s="1"/>
  <c r="AD5" i="5" s="1"/>
  <c r="AE5" i="5" s="1"/>
  <c r="AF5" i="5" s="1"/>
  <c r="AG5" i="5" s="1"/>
  <c r="AH5" i="5" s="1"/>
  <c r="AI5" i="5" s="1"/>
  <c r="AJ5" i="5" s="1"/>
  <c r="AK5" i="5" s="1"/>
  <c r="AL5" i="5" s="1"/>
  <c r="AM5" i="5" s="1"/>
  <c r="AN5" i="5" s="1"/>
  <c r="AO5" i="5" s="1"/>
  <c r="AP5" i="5" s="1"/>
  <c r="AQ5" i="5" s="1"/>
  <c r="AR5" i="5" s="1"/>
  <c r="AS5" i="5" s="1"/>
  <c r="AT5" i="5" s="1"/>
  <c r="AU5" i="5" s="1"/>
  <c r="AV5" i="5" s="1"/>
  <c r="AW5" i="5" s="1"/>
  <c r="AX5" i="5" s="1"/>
  <c r="AY5" i="5" s="1"/>
  <c r="AZ5" i="5" s="1"/>
  <c r="BA5" i="5" s="1"/>
  <c r="BB5" i="5" s="1"/>
  <c r="BC5" i="5" s="1"/>
  <c r="BD5" i="5" s="1"/>
  <c r="BE5" i="5" s="1"/>
  <c r="BF5" i="5" s="1"/>
  <c r="BG5" i="5" s="1"/>
  <c r="BH5" i="5" s="1"/>
  <c r="BI5" i="5" s="1"/>
  <c r="BJ5" i="5" s="1"/>
  <c r="BK5" i="5" s="1"/>
  <c r="BL5" i="5" s="1"/>
  <c r="BM5" i="5" s="1"/>
  <c r="BN5" i="5" s="1"/>
  <c r="BO5" i="5" s="1"/>
  <c r="BP5" i="5" s="1"/>
  <c r="BQ5" i="5" s="1"/>
  <c r="BR5" i="5" s="1"/>
  <c r="BS5" i="5" s="1"/>
  <c r="BT5" i="5" s="1"/>
  <c r="BU5" i="5" s="1"/>
  <c r="BV5" i="5" s="1"/>
  <c r="BW5" i="5" s="1"/>
  <c r="BX5" i="5" s="1"/>
  <c r="BY5" i="5" s="1"/>
  <c r="BZ5" i="5" s="1"/>
  <c r="CA5" i="5" s="1"/>
  <c r="CB5" i="5" s="1"/>
  <c r="CC5" i="5" s="1"/>
  <c r="CD5" i="5" s="1"/>
  <c r="CE5" i="5" s="1"/>
  <c r="CF5" i="5" s="1"/>
  <c r="CG5" i="5" s="1"/>
  <c r="CH5" i="5" s="1"/>
  <c r="H54" i="4"/>
  <c r="J4" i="5"/>
  <c r="CF30" i="5"/>
  <c r="BX30" i="5"/>
  <c r="BP30" i="5"/>
  <c r="BH30" i="5"/>
  <c r="AZ30" i="5"/>
  <c r="AR30" i="5"/>
  <c r="AJ30" i="5"/>
  <c r="AB30" i="5"/>
  <c r="T30" i="5"/>
  <c r="L30" i="5"/>
  <c r="CE30" i="5"/>
  <c r="BW30" i="5"/>
  <c r="BO30" i="5"/>
  <c r="BG30" i="5"/>
  <c r="AY30" i="5"/>
  <c r="AQ30" i="5"/>
  <c r="AI30" i="5"/>
  <c r="AA30" i="5"/>
  <c r="S30" i="5"/>
  <c r="K30" i="5"/>
  <c r="CD30" i="5"/>
  <c r="BV30" i="5"/>
  <c r="BN30" i="5"/>
  <c r="BF30" i="5"/>
  <c r="AX30" i="5"/>
  <c r="AP30" i="5"/>
  <c r="AH30" i="5"/>
  <c r="Z30" i="5"/>
  <c r="R30" i="5"/>
  <c r="J30" i="5"/>
  <c r="F9" i="4"/>
  <c r="F26" i="4" s="1"/>
  <c r="CH30" i="5"/>
  <c r="BZ30" i="5"/>
  <c r="BR30" i="5"/>
  <c r="BJ30" i="5"/>
  <c r="BB30" i="5"/>
  <c r="AT30" i="5"/>
  <c r="AL30" i="5"/>
  <c r="AD30" i="5"/>
  <c r="V30" i="5"/>
  <c r="N30" i="5"/>
  <c r="Q30" i="5"/>
  <c r="AW30" i="5"/>
  <c r="CC30" i="5"/>
  <c r="I11" i="5"/>
  <c r="AG30" i="5"/>
  <c r="BM30" i="5"/>
  <c r="F54" i="6"/>
  <c r="F54" i="4"/>
  <c r="F60" i="4" s="1"/>
  <c r="F60" i="3"/>
  <c r="F59" i="3"/>
  <c r="G66" i="4"/>
  <c r="H261" i="5"/>
  <c r="H262" i="5"/>
  <c r="H263" i="5"/>
  <c r="H264" i="5"/>
  <c r="H104" i="5"/>
  <c r="G267" i="5"/>
  <c r="B15" i="5"/>
  <c r="CF54" i="5"/>
  <c r="BX54" i="5"/>
  <c r="BP54" i="5"/>
  <c r="BH54" i="5"/>
  <c r="AZ54" i="5"/>
  <c r="AR54" i="5"/>
  <c r="AJ54" i="5"/>
  <c r="AB54" i="5"/>
  <c r="T54" i="5"/>
  <c r="L54" i="5"/>
  <c r="CC16" i="5"/>
  <c r="BU16" i="5"/>
  <c r="BM16" i="5"/>
  <c r="BE16" i="5"/>
  <c r="AW16" i="5"/>
  <c r="AO16" i="5"/>
  <c r="AG16" i="5"/>
  <c r="Y16" i="5"/>
  <c r="Q16" i="5"/>
  <c r="I16" i="5"/>
  <c r="BT16" i="5"/>
  <c r="BD16" i="5"/>
  <c r="AN16" i="5"/>
  <c r="P16" i="5"/>
  <c r="CE54" i="5"/>
  <c r="BW54" i="5"/>
  <c r="AY54" i="5"/>
  <c r="AQ54" i="5"/>
  <c r="AI54" i="5"/>
  <c r="AA54" i="5"/>
  <c r="S54" i="5"/>
  <c r="K54" i="5"/>
  <c r="CB16" i="5"/>
  <c r="BL16" i="5"/>
  <c r="AV16" i="5"/>
  <c r="AF16" i="5"/>
  <c r="X16" i="5"/>
  <c r="H16" i="5"/>
  <c r="CD54" i="5"/>
  <c r="BV54" i="5"/>
  <c r="BN54" i="5"/>
  <c r="BF54" i="5"/>
  <c r="AX54" i="5"/>
  <c r="AP54" i="5"/>
  <c r="AH54" i="5"/>
  <c r="Z54" i="5"/>
  <c r="R54" i="5"/>
  <c r="J54" i="5"/>
  <c r="CA16" i="5"/>
  <c r="BS16" i="5"/>
  <c r="BK16" i="5"/>
  <c r="BC16" i="5"/>
  <c r="AU16" i="5"/>
  <c r="AM16" i="5"/>
  <c r="AE16" i="5"/>
  <c r="W16" i="5"/>
  <c r="O16" i="5"/>
  <c r="G16" i="5"/>
  <c r="BZ54" i="5"/>
  <c r="BR54" i="5"/>
  <c r="BJ54" i="5"/>
  <c r="AT54" i="5"/>
  <c r="AL54" i="5"/>
  <c r="AD54" i="5"/>
  <c r="N54" i="5"/>
  <c r="CE16" i="5"/>
  <c r="BW16" i="5"/>
  <c r="BO16" i="5"/>
  <c r="BG16" i="5"/>
  <c r="AY16" i="5"/>
  <c r="AQ16" i="5"/>
  <c r="AI16" i="5"/>
  <c r="AA16" i="5"/>
  <c r="S16" i="5"/>
  <c r="K16" i="5"/>
  <c r="U16" i="5"/>
  <c r="AK16" i="5"/>
  <c r="BA16" i="5"/>
  <c r="BQ16" i="5"/>
  <c r="CG16" i="5"/>
  <c r="U30" i="5"/>
  <c r="AK30" i="5"/>
  <c r="BA30" i="5"/>
  <c r="BQ30" i="5"/>
  <c r="CG30" i="5"/>
  <c r="G54" i="5"/>
  <c r="W54" i="5"/>
  <c r="AM54" i="5"/>
  <c r="BC54" i="5"/>
  <c r="BS54" i="5"/>
  <c r="I262" i="5"/>
  <c r="I236" i="5"/>
  <c r="I263" i="5"/>
  <c r="I264" i="5"/>
  <c r="I104" i="5"/>
  <c r="I105" i="5"/>
  <c r="I39" i="5"/>
  <c r="I8" i="5"/>
  <c r="B117" i="5"/>
  <c r="H38" i="6"/>
  <c r="E112" i="3"/>
  <c r="E101" i="3"/>
  <c r="E77" i="6"/>
  <c r="H109" i="6" s="1"/>
  <c r="H109" i="3"/>
  <c r="E17" i="3" s="1"/>
  <c r="B28" i="4"/>
  <c r="H267" i="5"/>
  <c r="G59" i="5"/>
  <c r="H59" i="5" s="1"/>
  <c r="E77" i="4"/>
  <c r="H109" i="4" s="1"/>
  <c r="H236" i="5" s="1"/>
  <c r="I30" i="5"/>
  <c r="BE30" i="5"/>
  <c r="E56" i="6"/>
  <c r="E54" i="3"/>
  <c r="E56" i="4"/>
  <c r="E66" i="3"/>
  <c r="E113" i="3"/>
  <c r="H59" i="4"/>
  <c r="H8" i="5"/>
  <c r="M16" i="5"/>
  <c r="AC16" i="5"/>
  <c r="AS16" i="5"/>
  <c r="BI16" i="5"/>
  <c r="BY16" i="5"/>
  <c r="M30" i="5"/>
  <c r="AC30" i="5"/>
  <c r="AS30" i="5"/>
  <c r="BI30" i="5"/>
  <c r="BY30" i="5"/>
  <c r="O54" i="5"/>
  <c r="AE54" i="5"/>
  <c r="G68" i="5"/>
  <c r="H68" i="5" s="1"/>
  <c r="H11" i="5"/>
  <c r="H38" i="4"/>
  <c r="Y30" i="5"/>
  <c r="BU30" i="5"/>
  <c r="O30" i="5"/>
  <c r="AE30" i="5"/>
  <c r="BK30" i="5"/>
  <c r="CA30" i="5"/>
  <c r="CA54" i="5" s="1"/>
  <c r="BL54" i="5"/>
  <c r="CB54" i="5"/>
  <c r="H60" i="3"/>
  <c r="H54" i="6"/>
  <c r="H59" i="3"/>
  <c r="AO30" i="5"/>
  <c r="E20" i="5"/>
  <c r="AU30" i="5"/>
  <c r="B204" i="10"/>
  <c r="B206" i="10"/>
  <c r="B205" i="10"/>
  <c r="E27" i="6"/>
  <c r="E27" i="4"/>
  <c r="G64" i="3"/>
  <c r="C80" i="4"/>
  <c r="C66" i="4"/>
  <c r="C101" i="4"/>
  <c r="C91" i="4"/>
  <c r="C78" i="4"/>
  <c r="C64" i="4"/>
  <c r="C123" i="4"/>
  <c r="C83" i="4"/>
  <c r="C49" i="4"/>
  <c r="C119" i="4"/>
  <c r="C76" i="4"/>
  <c r="C56" i="4"/>
  <c r="C48" i="4"/>
  <c r="C81" i="4"/>
  <c r="C87" i="4"/>
  <c r="C120" i="4"/>
  <c r="G11" i="5"/>
  <c r="R16" i="5"/>
  <c r="AH16" i="5"/>
  <c r="AX16" i="5"/>
  <c r="BN16" i="5"/>
  <c r="CD16" i="5"/>
  <c r="P30" i="5"/>
  <c r="AF30" i="5"/>
  <c r="AV30" i="5"/>
  <c r="BL30" i="5"/>
  <c r="CB30" i="5"/>
  <c r="Q54" i="5"/>
  <c r="AG54" i="5"/>
  <c r="AW54" i="5"/>
  <c r="BM54" i="5"/>
  <c r="G261" i="5"/>
  <c r="G262" i="5"/>
  <c r="G236" i="5"/>
  <c r="G263" i="5"/>
  <c r="G264" i="5"/>
  <c r="B187" i="5"/>
  <c r="BV54" i="7"/>
  <c r="H204" i="5"/>
  <c r="L54" i="7"/>
  <c r="BR54" i="7"/>
  <c r="G60" i="3"/>
  <c r="H237" i="5"/>
  <c r="G237" i="5"/>
  <c r="I204" i="5"/>
  <c r="I237" i="5"/>
  <c r="G204" i="5"/>
  <c r="F66" i="3"/>
  <c r="H237" i="7"/>
  <c r="G237" i="7"/>
  <c r="H204" i="7"/>
  <c r="G54" i="4"/>
  <c r="G59" i="4" s="1"/>
  <c r="F56" i="4"/>
  <c r="G43" i="5"/>
  <c r="F59" i="6"/>
  <c r="B28" i="6"/>
  <c r="G59" i="6"/>
  <c r="G60" i="6"/>
  <c r="AX54" i="7"/>
  <c r="B118" i="7"/>
  <c r="B119" i="7" s="1"/>
  <c r="B120" i="7" s="1"/>
  <c r="B121" i="7" s="1"/>
  <c r="B122" i="7" s="1"/>
  <c r="B123" i="7" s="1"/>
  <c r="B124" i="7" s="1"/>
  <c r="B125" i="7" s="1"/>
  <c r="B126" i="7" s="1"/>
  <c r="B127" i="7" s="1"/>
  <c r="B128" i="7" s="1"/>
  <c r="B129" i="7" s="1"/>
  <c r="B130" i="7" s="1"/>
  <c r="B131" i="7" s="1"/>
  <c r="B132" i="7" s="1"/>
  <c r="B133" i="7" s="1"/>
  <c r="B134" i="7" s="1"/>
  <c r="B135" i="7" s="1"/>
  <c r="H59" i="6"/>
  <c r="H48" i="6"/>
  <c r="H60" i="6"/>
  <c r="AZ54" i="7"/>
  <c r="T54" i="7"/>
  <c r="AR54" i="7"/>
  <c r="BH54" i="7"/>
  <c r="BX54" i="7"/>
  <c r="CF54" i="7"/>
  <c r="AB54" i="7"/>
  <c r="BA54" i="7"/>
  <c r="CH54" i="7"/>
  <c r="U54" i="7"/>
  <c r="CG54" i="7"/>
  <c r="AD54" i="7"/>
  <c r="N54" i="7"/>
  <c r="V54" i="7"/>
  <c r="AL54" i="7"/>
  <c r="AT54" i="7"/>
  <c r="BB54" i="7"/>
  <c r="BJ54" i="7"/>
  <c r="BZ54" i="7"/>
  <c r="G59" i="7"/>
  <c r="J54" i="7"/>
  <c r="BN54" i="7"/>
  <c r="H262" i="7"/>
  <c r="H264" i="7"/>
  <c r="H263" i="7"/>
  <c r="H39" i="7"/>
  <c r="H8" i="7"/>
  <c r="H104" i="7"/>
  <c r="AJ54" i="7"/>
  <c r="BP54" i="7"/>
  <c r="I4" i="7"/>
  <c r="H11" i="7"/>
  <c r="M54" i="7"/>
  <c r="AC54" i="7"/>
  <c r="AS54" i="7"/>
  <c r="BI54" i="7"/>
  <c r="BY54" i="7"/>
  <c r="R54" i="7"/>
  <c r="AH54" i="7"/>
  <c r="BQ54" i="7"/>
  <c r="CD54" i="7"/>
  <c r="AK54" i="7"/>
  <c r="F60" i="6"/>
  <c r="G263" i="7"/>
  <c r="G262" i="7"/>
  <c r="G261" i="7"/>
  <c r="G264" i="7"/>
  <c r="G39" i="7"/>
  <c r="I11" i="7"/>
  <c r="G48" i="6"/>
  <c r="G43" i="7"/>
  <c r="C122" i="6"/>
  <c r="C89" i="6"/>
  <c r="C81" i="6"/>
  <c r="C54" i="6"/>
  <c r="C12" i="6"/>
  <c r="C50" i="6"/>
  <c r="C119" i="6"/>
  <c r="C123" i="6"/>
  <c r="G8" i="7"/>
  <c r="G11" i="7"/>
  <c r="K54" i="7"/>
  <c r="S54" i="7"/>
  <c r="AA54" i="7"/>
  <c r="AI54" i="7"/>
  <c r="AQ54" i="7"/>
  <c r="AY54" i="7"/>
  <c r="BG54" i="7"/>
  <c r="BO54" i="7"/>
  <c r="BW54" i="7"/>
  <c r="CE54" i="7"/>
  <c r="G54" i="7"/>
  <c r="O54" i="7"/>
  <c r="W54" i="7"/>
  <c r="AE54" i="7"/>
  <c r="AM54" i="7"/>
  <c r="AU54" i="7"/>
  <c r="BC54" i="7"/>
  <c r="BK54" i="7"/>
  <c r="BS54" i="7"/>
  <c r="CA54" i="7"/>
  <c r="G267" i="7"/>
  <c r="M16" i="7"/>
  <c r="U16" i="7"/>
  <c r="AC16" i="7"/>
  <c r="AK16" i="7"/>
  <c r="AS16" i="7"/>
  <c r="BA16" i="7"/>
  <c r="E16" i="7" s="1"/>
  <c r="BI16" i="7"/>
  <c r="BQ16" i="7"/>
  <c r="BY16" i="7"/>
  <c r="CG16" i="7"/>
  <c r="H30" i="7"/>
  <c r="P30" i="7"/>
  <c r="X30" i="7"/>
  <c r="E30" i="7" s="1"/>
  <c r="AF30" i="7"/>
  <c r="AF54" i="7" s="1"/>
  <c r="AN30" i="7"/>
  <c r="AV30" i="7"/>
  <c r="BD30" i="7"/>
  <c r="BL30" i="7"/>
  <c r="BT30" i="7"/>
  <c r="CB30" i="7"/>
  <c r="H54" i="7"/>
  <c r="P54" i="7"/>
  <c r="BD54" i="7"/>
  <c r="BL54" i="7"/>
  <c r="BT54" i="7"/>
  <c r="CB54" i="7"/>
  <c r="H267" i="7"/>
  <c r="N16" i="7"/>
  <c r="V16" i="7"/>
  <c r="AD16" i="7"/>
  <c r="AL16" i="7"/>
  <c r="AT16" i="7"/>
  <c r="BB16" i="7"/>
  <c r="BJ16" i="7"/>
  <c r="BR16" i="7"/>
  <c r="BZ16" i="7"/>
  <c r="CH16" i="7"/>
  <c r="I30" i="7"/>
  <c r="Q30" i="7"/>
  <c r="Y30" i="7"/>
  <c r="AG30" i="7"/>
  <c r="AO30" i="7"/>
  <c r="AW30" i="7"/>
  <c r="AW54" i="7" s="1"/>
  <c r="BE30" i="7"/>
  <c r="BM30" i="7"/>
  <c r="BU30" i="7"/>
  <c r="I54" i="7"/>
  <c r="Q54" i="7"/>
  <c r="Y54" i="7"/>
  <c r="AG54" i="7"/>
  <c r="BU54" i="7"/>
  <c r="CC54" i="7"/>
  <c r="K54" i="10"/>
  <c r="S54" i="10"/>
  <c r="AA54" i="10"/>
  <c r="AI54" i="10"/>
  <c r="AQ54" i="10"/>
  <c r="AY54" i="10"/>
  <c r="BG54" i="10"/>
  <c r="BO54" i="10"/>
  <c r="BW54" i="10"/>
  <c r="CE54" i="10"/>
  <c r="G10" i="10"/>
  <c r="H267" i="10"/>
  <c r="I15" i="10"/>
  <c r="E22" i="10"/>
  <c r="G4" i="11"/>
  <c r="G261" i="10"/>
  <c r="G264" i="10"/>
  <c r="G263" i="10"/>
  <c r="G262" i="10"/>
  <c r="G236" i="10"/>
  <c r="G11" i="10"/>
  <c r="G43" i="10"/>
  <c r="G8" i="10"/>
  <c r="H4" i="10"/>
  <c r="G5" i="11"/>
  <c r="H5" i="10"/>
  <c r="G39" i="10"/>
  <c r="L54" i="10"/>
  <c r="AB54" i="10"/>
  <c r="AR54" i="10"/>
  <c r="BH54" i="10"/>
  <c r="BX54" i="10"/>
  <c r="H54" i="10"/>
  <c r="E30" i="10"/>
  <c r="P54" i="10"/>
  <c r="X54" i="10"/>
  <c r="AF54" i="10"/>
  <c r="AN54" i="10"/>
  <c r="AV54" i="10"/>
  <c r="BD54" i="10"/>
  <c r="BL54" i="10"/>
  <c r="BT54" i="10"/>
  <c r="CB54" i="10"/>
  <c r="J54" i="10"/>
  <c r="R54" i="10"/>
  <c r="Z54" i="10"/>
  <c r="AH54" i="10"/>
  <c r="AP54" i="10"/>
  <c r="AX54" i="10"/>
  <c r="BF54" i="10"/>
  <c r="BN54" i="10"/>
  <c r="BV54" i="10"/>
  <c r="CD54" i="10"/>
  <c r="Q54" i="10"/>
  <c r="AG54" i="10"/>
  <c r="AW54" i="10"/>
  <c r="BM54" i="10"/>
  <c r="CC54" i="10"/>
  <c r="I54" i="10"/>
  <c r="Y54" i="10"/>
  <c r="AO54" i="10"/>
  <c r="BE54" i="10"/>
  <c r="BU54" i="10"/>
  <c r="G54" i="10"/>
  <c r="G59" i="10"/>
  <c r="O54" i="10"/>
  <c r="W54" i="10"/>
  <c r="AE54" i="10"/>
  <c r="AM54" i="10"/>
  <c r="AU54" i="10"/>
  <c r="BC54" i="10"/>
  <c r="BK54" i="10"/>
  <c r="BS54" i="10"/>
  <c r="CA54" i="10"/>
  <c r="E32" i="11"/>
  <c r="E27" i="11"/>
  <c r="H265" i="5" l="1"/>
  <c r="G216" i="7"/>
  <c r="G68" i="7"/>
  <c r="H68" i="7" s="1"/>
  <c r="G72" i="7"/>
  <c r="G24" i="7"/>
  <c r="AO54" i="5"/>
  <c r="BI54" i="5"/>
  <c r="BE54" i="5"/>
  <c r="U54" i="5"/>
  <c r="E16" i="5"/>
  <c r="J263" i="5"/>
  <c r="J264" i="5"/>
  <c r="J261" i="5"/>
  <c r="J104" i="5"/>
  <c r="J106" i="5"/>
  <c r="J262" i="5"/>
  <c r="J8" i="5"/>
  <c r="J39" i="5"/>
  <c r="K4" i="5"/>
  <c r="J236" i="5"/>
  <c r="J105" i="5"/>
  <c r="J43" i="5"/>
  <c r="J24" i="5" s="1"/>
  <c r="I261" i="7"/>
  <c r="I263" i="7"/>
  <c r="I264" i="7"/>
  <c r="I262" i="7"/>
  <c r="I236" i="7"/>
  <c r="I105" i="7"/>
  <c r="J4" i="7"/>
  <c r="I43" i="7"/>
  <c r="I24" i="7" s="1"/>
  <c r="I104" i="7"/>
  <c r="I39" i="7"/>
  <c r="I8" i="7"/>
  <c r="G72" i="10"/>
  <c r="G24" i="10"/>
  <c r="G265" i="10"/>
  <c r="H216" i="7"/>
  <c r="I237" i="7"/>
  <c r="AO54" i="7"/>
  <c r="X54" i="7"/>
  <c r="G236" i="7"/>
  <c r="G70" i="6"/>
  <c r="G79" i="6" s="1"/>
  <c r="E112" i="4"/>
  <c r="F38" i="4"/>
  <c r="G38" i="4"/>
  <c r="AS54" i="5"/>
  <c r="H237" i="10"/>
  <c r="I54" i="5"/>
  <c r="I59" i="5"/>
  <c r="J59" i="5" s="1"/>
  <c r="K59" i="5" s="1"/>
  <c r="L59" i="5" s="1"/>
  <c r="M59" i="5" s="1"/>
  <c r="N59" i="5" s="1"/>
  <c r="O59" i="5" s="1"/>
  <c r="P59" i="5" s="1"/>
  <c r="Q59" i="5" s="1"/>
  <c r="R59" i="5" s="1"/>
  <c r="S59" i="5" s="1"/>
  <c r="T59" i="5" s="1"/>
  <c r="U59" i="5" s="1"/>
  <c r="V59" i="5" s="1"/>
  <c r="W59" i="5" s="1"/>
  <c r="X59" i="5" s="1"/>
  <c r="Y59" i="5" s="1"/>
  <c r="Z59" i="5" s="1"/>
  <c r="AA59" i="5" s="1"/>
  <c r="AB59" i="5" s="1"/>
  <c r="AC59" i="5" s="1"/>
  <c r="AD59" i="5" s="1"/>
  <c r="AE59" i="5" s="1"/>
  <c r="AF59" i="5" s="1"/>
  <c r="AG59" i="5" s="1"/>
  <c r="AH59" i="5" s="1"/>
  <c r="AI59" i="5" s="1"/>
  <c r="AJ59" i="5" s="1"/>
  <c r="AK59" i="5" s="1"/>
  <c r="AL59" i="5" s="1"/>
  <c r="AM59" i="5" s="1"/>
  <c r="AN59" i="5" s="1"/>
  <c r="AO59" i="5" s="1"/>
  <c r="AP59" i="5" s="1"/>
  <c r="AQ59" i="5" s="1"/>
  <c r="AR59" i="5" s="1"/>
  <c r="AS59" i="5" s="1"/>
  <c r="AT59" i="5" s="1"/>
  <c r="AU59" i="5" s="1"/>
  <c r="AV59" i="5" s="1"/>
  <c r="AW59" i="5" s="1"/>
  <c r="AX59" i="5" s="1"/>
  <c r="AY59" i="5" s="1"/>
  <c r="AZ59" i="5" s="1"/>
  <c r="BA59" i="5" s="1"/>
  <c r="BB59" i="5" s="1"/>
  <c r="BC59" i="5" s="1"/>
  <c r="BD59" i="5" s="1"/>
  <c r="BE59" i="5" s="1"/>
  <c r="BF59" i="5" s="1"/>
  <c r="BG59" i="5" s="1"/>
  <c r="BH59" i="5" s="1"/>
  <c r="BI59" i="5" s="1"/>
  <c r="BJ59" i="5" s="1"/>
  <c r="BK59" i="5" s="1"/>
  <c r="BL59" i="5" s="1"/>
  <c r="BM59" i="5" s="1"/>
  <c r="BN59" i="5" s="1"/>
  <c r="BO59" i="5" s="1"/>
  <c r="BP59" i="5" s="1"/>
  <c r="BQ59" i="5" s="1"/>
  <c r="BR59" i="5" s="1"/>
  <c r="BS59" i="5" s="1"/>
  <c r="BT59" i="5" s="1"/>
  <c r="BU59" i="5" s="1"/>
  <c r="BV59" i="5" s="1"/>
  <c r="BW59" i="5" s="1"/>
  <c r="BX59" i="5" s="1"/>
  <c r="BY59" i="5" s="1"/>
  <c r="BZ59" i="5" s="1"/>
  <c r="CA59" i="5" s="1"/>
  <c r="CB59" i="5" s="1"/>
  <c r="CC59" i="5" s="1"/>
  <c r="CD59" i="5" s="1"/>
  <c r="CE59" i="5" s="1"/>
  <c r="CF59" i="5" s="1"/>
  <c r="CG59" i="5" s="1"/>
  <c r="CH59" i="5" s="1"/>
  <c r="E59" i="5" s="1"/>
  <c r="E112" i="6"/>
  <c r="G38" i="6"/>
  <c r="F38" i="6"/>
  <c r="I43" i="5"/>
  <c r="I24" i="5" s="1"/>
  <c r="I261" i="5"/>
  <c r="I265" i="5" s="1"/>
  <c r="V54" i="5"/>
  <c r="CH54" i="5"/>
  <c r="F70" i="3"/>
  <c r="F79" i="3" s="1"/>
  <c r="F69" i="3"/>
  <c r="G40" i="10"/>
  <c r="F66" i="6"/>
  <c r="F66" i="4"/>
  <c r="F64" i="3"/>
  <c r="AC54" i="5"/>
  <c r="E66" i="6"/>
  <c r="E66" i="4"/>
  <c r="E17" i="6"/>
  <c r="E18" i="3"/>
  <c r="E17" i="4"/>
  <c r="J10" i="5" s="1"/>
  <c r="M54" i="5"/>
  <c r="B118" i="5"/>
  <c r="I216" i="5"/>
  <c r="G83" i="5"/>
  <c r="F59" i="4"/>
  <c r="E54" i="6"/>
  <c r="E54" i="4"/>
  <c r="E60" i="3"/>
  <c r="E59" i="3"/>
  <c r="CG54" i="5"/>
  <c r="H43" i="7"/>
  <c r="H24" i="7" s="1"/>
  <c r="B136" i="7"/>
  <c r="J237" i="5"/>
  <c r="G64" i="6"/>
  <c r="G64" i="4"/>
  <c r="G78" i="3"/>
  <c r="G40" i="3" s="1"/>
  <c r="G41" i="3" s="1"/>
  <c r="H64" i="3"/>
  <c r="AV54" i="5"/>
  <c r="G69" i="3"/>
  <c r="I68" i="5"/>
  <c r="J68" i="5" s="1"/>
  <c r="H204" i="10"/>
  <c r="G237" i="10"/>
  <c r="BQ54" i="5"/>
  <c r="BB54" i="5"/>
  <c r="H59" i="10"/>
  <c r="I59" i="10" s="1"/>
  <c r="J59" i="10" s="1"/>
  <c r="K59" i="10" s="1"/>
  <c r="L59" i="10" s="1"/>
  <c r="M59" i="10" s="1"/>
  <c r="N59" i="10" s="1"/>
  <c r="O59" i="10" s="1"/>
  <c r="P59" i="10" s="1"/>
  <c r="Q59" i="10" s="1"/>
  <c r="R59" i="10" s="1"/>
  <c r="S59" i="10" s="1"/>
  <c r="T59" i="10" s="1"/>
  <c r="U59" i="10" s="1"/>
  <c r="V59" i="10" s="1"/>
  <c r="W59" i="10" s="1"/>
  <c r="X59" i="10" s="1"/>
  <c r="Y59" i="10" s="1"/>
  <c r="Z59" i="10" s="1"/>
  <c r="AA59" i="10" s="1"/>
  <c r="AB59" i="10" s="1"/>
  <c r="AC59" i="10" s="1"/>
  <c r="AD59" i="10" s="1"/>
  <c r="AE59" i="10" s="1"/>
  <c r="AF59" i="10" s="1"/>
  <c r="AG59" i="10" s="1"/>
  <c r="AH59" i="10" s="1"/>
  <c r="AI59" i="10" s="1"/>
  <c r="AJ59" i="10" s="1"/>
  <c r="AK59" i="10" s="1"/>
  <c r="AL59" i="10" s="1"/>
  <c r="AM59" i="10" s="1"/>
  <c r="AN59" i="10" s="1"/>
  <c r="AO59" i="10" s="1"/>
  <c r="AP59" i="10" s="1"/>
  <c r="AQ59" i="10" s="1"/>
  <c r="AR59" i="10" s="1"/>
  <c r="AS59" i="10" s="1"/>
  <c r="AT59" i="10" s="1"/>
  <c r="AU59" i="10" s="1"/>
  <c r="AV59" i="10" s="1"/>
  <c r="AW59" i="10" s="1"/>
  <c r="AX59" i="10" s="1"/>
  <c r="AY59" i="10" s="1"/>
  <c r="AZ59" i="10" s="1"/>
  <c r="BA59" i="10" s="1"/>
  <c r="BB59" i="10" s="1"/>
  <c r="BC59" i="10" s="1"/>
  <c r="BD59" i="10" s="1"/>
  <c r="BE59" i="10" s="1"/>
  <c r="BF59" i="10" s="1"/>
  <c r="BG59" i="10" s="1"/>
  <c r="BH59" i="10" s="1"/>
  <c r="BI59" i="10" s="1"/>
  <c r="BJ59" i="10" s="1"/>
  <c r="BK59" i="10" s="1"/>
  <c r="BL59" i="10" s="1"/>
  <c r="BM59" i="10" s="1"/>
  <c r="BN59" i="10" s="1"/>
  <c r="BO59" i="10" s="1"/>
  <c r="BP59" i="10" s="1"/>
  <c r="BQ59" i="10" s="1"/>
  <c r="BR59" i="10" s="1"/>
  <c r="BS59" i="10" s="1"/>
  <c r="BT59" i="10" s="1"/>
  <c r="BU59" i="10" s="1"/>
  <c r="BV59" i="10" s="1"/>
  <c r="BW59" i="10" s="1"/>
  <c r="BX59" i="10" s="1"/>
  <c r="BY59" i="10" s="1"/>
  <c r="BZ59" i="10" s="1"/>
  <c r="CA59" i="10" s="1"/>
  <c r="CB59" i="10" s="1"/>
  <c r="CC59" i="10" s="1"/>
  <c r="CD59" i="10" s="1"/>
  <c r="CE59" i="10" s="1"/>
  <c r="CF59" i="10" s="1"/>
  <c r="CG59" i="10" s="1"/>
  <c r="CH59" i="10" s="1"/>
  <c r="E59" i="10" s="1"/>
  <c r="H5" i="11"/>
  <c r="I5" i="10"/>
  <c r="H4" i="11"/>
  <c r="H264" i="10"/>
  <c r="H263" i="10"/>
  <c r="H262" i="10"/>
  <c r="H261" i="10"/>
  <c r="H236" i="10"/>
  <c r="H104" i="10"/>
  <c r="H8" i="10"/>
  <c r="H39" i="10"/>
  <c r="H10" i="10"/>
  <c r="H40" i="10" s="1"/>
  <c r="H217" i="10" s="1"/>
  <c r="H43" i="10"/>
  <c r="H24" i="10" s="1"/>
  <c r="H11" i="10"/>
  <c r="I4" i="10"/>
  <c r="I204" i="10" s="1"/>
  <c r="BM54" i="7"/>
  <c r="AV54" i="7"/>
  <c r="H261" i="7"/>
  <c r="H265" i="7" s="1"/>
  <c r="G204" i="7"/>
  <c r="I204" i="7"/>
  <c r="J237" i="7"/>
  <c r="J204" i="5"/>
  <c r="CC54" i="5"/>
  <c r="B206" i="5"/>
  <c r="B205" i="5"/>
  <c r="B204" i="5"/>
  <c r="B27" i="4"/>
  <c r="AF54" i="5"/>
  <c r="BU54" i="5"/>
  <c r="BK54" i="5"/>
  <c r="G60" i="4"/>
  <c r="G204" i="10"/>
  <c r="BA54" i="5"/>
  <c r="BG54" i="5"/>
  <c r="J11" i="5"/>
  <c r="H60" i="4"/>
  <c r="H43" i="5"/>
  <c r="H24" i="5" s="1"/>
  <c r="G70" i="3"/>
  <c r="G79" i="3" s="1"/>
  <c r="G83" i="10"/>
  <c r="E54" i="10"/>
  <c r="G216" i="10"/>
  <c r="G68" i="10"/>
  <c r="H68" i="10" s="1"/>
  <c r="G83" i="7"/>
  <c r="G78" i="6"/>
  <c r="G265" i="7"/>
  <c r="G9" i="10"/>
  <c r="I267" i="10"/>
  <c r="J15" i="10"/>
  <c r="I15" i="7"/>
  <c r="I15" i="5"/>
  <c r="BE54" i="7"/>
  <c r="AN54" i="7"/>
  <c r="E54" i="7" s="1"/>
  <c r="H236" i="7"/>
  <c r="H59" i="7"/>
  <c r="I59" i="7" s="1"/>
  <c r="J59" i="7" s="1"/>
  <c r="K59" i="7" s="1"/>
  <c r="L59" i="7" s="1"/>
  <c r="M59" i="7" s="1"/>
  <c r="N59" i="7" s="1"/>
  <c r="O59" i="7" s="1"/>
  <c r="P59" i="7" s="1"/>
  <c r="Q59" i="7" s="1"/>
  <c r="R59" i="7" s="1"/>
  <c r="S59" i="7" s="1"/>
  <c r="T59" i="7" s="1"/>
  <c r="U59" i="7" s="1"/>
  <c r="V59" i="7" s="1"/>
  <c r="W59" i="7" s="1"/>
  <c r="X59" i="7" s="1"/>
  <c r="Y59" i="7" s="1"/>
  <c r="Z59" i="7" s="1"/>
  <c r="AA59" i="7" s="1"/>
  <c r="AB59" i="7" s="1"/>
  <c r="AC59" i="7" s="1"/>
  <c r="AD59" i="7" s="1"/>
  <c r="AE59" i="7" s="1"/>
  <c r="AF59" i="7" s="1"/>
  <c r="AG59" i="7" s="1"/>
  <c r="AH59" i="7" s="1"/>
  <c r="AI59" i="7" s="1"/>
  <c r="AJ59" i="7" s="1"/>
  <c r="AK59" i="7" s="1"/>
  <c r="AL59" i="7" s="1"/>
  <c r="AM59" i="7" s="1"/>
  <c r="AN59" i="7" s="1"/>
  <c r="AO59" i="7" s="1"/>
  <c r="AP59" i="7" s="1"/>
  <c r="AQ59" i="7" s="1"/>
  <c r="AR59" i="7" s="1"/>
  <c r="AS59" i="7" s="1"/>
  <c r="AT59" i="7" s="1"/>
  <c r="AU59" i="7" s="1"/>
  <c r="AV59" i="7" s="1"/>
  <c r="AW59" i="7" s="1"/>
  <c r="AX59" i="7" s="1"/>
  <c r="AY59" i="7" s="1"/>
  <c r="AZ59" i="7" s="1"/>
  <c r="BA59" i="7" s="1"/>
  <c r="BB59" i="7" s="1"/>
  <c r="BC59" i="7" s="1"/>
  <c r="BD59" i="7" s="1"/>
  <c r="BE59" i="7" s="1"/>
  <c r="BF59" i="7" s="1"/>
  <c r="BG59" i="7" s="1"/>
  <c r="BH59" i="7" s="1"/>
  <c r="BI59" i="7" s="1"/>
  <c r="BJ59" i="7" s="1"/>
  <c r="BK59" i="7" s="1"/>
  <c r="BL59" i="7" s="1"/>
  <c r="BM59" i="7" s="1"/>
  <c r="BN59" i="7" s="1"/>
  <c r="BO59" i="7" s="1"/>
  <c r="BP59" i="7" s="1"/>
  <c r="BQ59" i="7" s="1"/>
  <c r="BR59" i="7" s="1"/>
  <c r="BS59" i="7" s="1"/>
  <c r="BT59" i="7" s="1"/>
  <c r="BU59" i="7" s="1"/>
  <c r="BV59" i="7" s="1"/>
  <c r="BW59" i="7" s="1"/>
  <c r="BX59" i="7" s="1"/>
  <c r="BY59" i="7" s="1"/>
  <c r="BZ59" i="7" s="1"/>
  <c r="CA59" i="7" s="1"/>
  <c r="CB59" i="7" s="1"/>
  <c r="CC59" i="7" s="1"/>
  <c r="CD59" i="7" s="1"/>
  <c r="CE59" i="7" s="1"/>
  <c r="CF59" i="7" s="1"/>
  <c r="CG59" i="7" s="1"/>
  <c r="CH59" i="7" s="1"/>
  <c r="E59" i="7" s="1"/>
  <c r="G24" i="5"/>
  <c r="G72" i="5"/>
  <c r="G265" i="5"/>
  <c r="B206" i="7"/>
  <c r="B205" i="7"/>
  <c r="B204" i="7"/>
  <c r="B27" i="6"/>
  <c r="P54" i="5"/>
  <c r="E54" i="5" s="1"/>
  <c r="Y54" i="5"/>
  <c r="AU54" i="5"/>
  <c r="BY54" i="5"/>
  <c r="E30" i="5"/>
  <c r="AK54" i="5"/>
  <c r="BO54" i="5"/>
  <c r="F10" i="4"/>
  <c r="H265" i="10" l="1"/>
  <c r="J40" i="5"/>
  <c r="J217" i="5" s="1"/>
  <c r="J9" i="5"/>
  <c r="J14" i="5" s="1"/>
  <c r="H83" i="7"/>
  <c r="H216" i="10"/>
  <c r="H83" i="5"/>
  <c r="H216" i="5"/>
  <c r="G216" i="5"/>
  <c r="H72" i="5"/>
  <c r="J267" i="10"/>
  <c r="K15" i="10"/>
  <c r="J15" i="7"/>
  <c r="J15" i="5"/>
  <c r="I237" i="10"/>
  <c r="G78" i="4"/>
  <c r="E110" i="6"/>
  <c r="E38" i="6"/>
  <c r="E110" i="4"/>
  <c r="E38" i="4"/>
  <c r="G80" i="6"/>
  <c r="G93" i="6" s="1"/>
  <c r="G111" i="6" s="1"/>
  <c r="I216" i="7"/>
  <c r="G80" i="3"/>
  <c r="G93" i="3" s="1"/>
  <c r="G111" i="3" s="1"/>
  <c r="I5" i="11"/>
  <c r="J5" i="10"/>
  <c r="G217" i="10"/>
  <c r="G69" i="10"/>
  <c r="H69" i="10" s="1"/>
  <c r="E111" i="6"/>
  <c r="G69" i="6"/>
  <c r="H72" i="10"/>
  <c r="K264" i="5"/>
  <c r="K262" i="5"/>
  <c r="K263" i="5"/>
  <c r="K106" i="5"/>
  <c r="K261" i="5"/>
  <c r="K236" i="5"/>
  <c r="K107" i="5"/>
  <c r="K39" i="5"/>
  <c r="K8" i="5"/>
  <c r="L4" i="5"/>
  <c r="K9" i="5"/>
  <c r="K14" i="5" s="1"/>
  <c r="K43" i="5"/>
  <c r="K104" i="5"/>
  <c r="K105" i="5"/>
  <c r="K11" i="5"/>
  <c r="K10" i="5"/>
  <c r="K40" i="5" s="1"/>
  <c r="K217" i="5" s="1"/>
  <c r="K237" i="5"/>
  <c r="K204" i="5"/>
  <c r="I4" i="11"/>
  <c r="I263" i="10"/>
  <c r="I261" i="10"/>
  <c r="I264" i="10"/>
  <c r="I236" i="10"/>
  <c r="I262" i="10"/>
  <c r="I104" i="10"/>
  <c r="I105" i="10"/>
  <c r="I8" i="10"/>
  <c r="I43" i="10"/>
  <c r="I39" i="10"/>
  <c r="I10" i="10"/>
  <c r="I9" i="10" s="1"/>
  <c r="I14" i="10" s="1"/>
  <c r="I218" i="10" s="1"/>
  <c r="I11" i="10"/>
  <c r="J4" i="10"/>
  <c r="H64" i="6"/>
  <c r="H64" i="4"/>
  <c r="H78" i="3"/>
  <c r="H40" i="3" s="1"/>
  <c r="H41" i="3" s="1"/>
  <c r="E60" i="4"/>
  <c r="E59" i="4"/>
  <c r="H72" i="7"/>
  <c r="G14" i="10"/>
  <c r="H70" i="3"/>
  <c r="H79" i="3" s="1"/>
  <c r="E18" i="6"/>
  <c r="H10" i="7"/>
  <c r="G10" i="7"/>
  <c r="I10" i="7"/>
  <c r="J262" i="7"/>
  <c r="J263" i="7"/>
  <c r="J236" i="7"/>
  <c r="J261" i="7"/>
  <c r="J264" i="7"/>
  <c r="J104" i="7"/>
  <c r="J43" i="7"/>
  <c r="J9" i="7"/>
  <c r="J14" i="7" s="1"/>
  <c r="J106" i="7"/>
  <c r="J10" i="7"/>
  <c r="J40" i="7" s="1"/>
  <c r="J217" i="7" s="1"/>
  <c r="J8" i="7"/>
  <c r="J39" i="7"/>
  <c r="J105" i="7"/>
  <c r="K4" i="7"/>
  <c r="J204" i="7"/>
  <c r="J11" i="7"/>
  <c r="I68" i="7"/>
  <c r="G70" i="4"/>
  <c r="G79" i="4" s="1"/>
  <c r="I68" i="10"/>
  <c r="E18" i="4"/>
  <c r="G10" i="5"/>
  <c r="I10" i="5"/>
  <c r="H10" i="5"/>
  <c r="F80" i="3"/>
  <c r="I267" i="5"/>
  <c r="H9" i="10"/>
  <c r="H14" i="10" s="1"/>
  <c r="H218" i="10" s="1"/>
  <c r="H69" i="3"/>
  <c r="B137" i="7"/>
  <c r="E60" i="6"/>
  <c r="E59" i="6"/>
  <c r="B119" i="5"/>
  <c r="F64" i="6"/>
  <c r="F64" i="4"/>
  <c r="F78" i="3"/>
  <c r="F40" i="3" s="1"/>
  <c r="F41" i="3" s="1"/>
  <c r="G69" i="4"/>
  <c r="I267" i="7"/>
  <c r="H83" i="10"/>
  <c r="G41" i="10"/>
  <c r="F69" i="4"/>
  <c r="F70" i="4"/>
  <c r="F79" i="4" s="1"/>
  <c r="E64" i="3"/>
  <c r="E111" i="4"/>
  <c r="J216" i="5"/>
  <c r="I265" i="7"/>
  <c r="J265" i="5"/>
  <c r="E64" i="6" l="1"/>
  <c r="E69" i="6" s="1"/>
  <c r="E64" i="4"/>
  <c r="E78" i="3"/>
  <c r="F78" i="4"/>
  <c r="G80" i="4"/>
  <c r="G93" i="4" s="1"/>
  <c r="G111" i="4" s="1"/>
  <c r="I40" i="7"/>
  <c r="I9" i="7"/>
  <c r="I14" i="7" s="1"/>
  <c r="I218" i="7" s="1"/>
  <c r="H69" i="4"/>
  <c r="H70" i="4"/>
  <c r="H79" i="4" s="1"/>
  <c r="H78" i="4"/>
  <c r="I216" i="10"/>
  <c r="I265" i="10"/>
  <c r="K216" i="5"/>
  <c r="E101" i="4"/>
  <c r="E109" i="4"/>
  <c r="E113" i="4" s="1"/>
  <c r="E70" i="3"/>
  <c r="E79" i="3" s="1"/>
  <c r="J218" i="5"/>
  <c r="J267" i="5"/>
  <c r="F80" i="4"/>
  <c r="E70" i="6"/>
  <c r="E79" i="6" s="1"/>
  <c r="F93" i="3"/>
  <c r="G110" i="3" s="1"/>
  <c r="J68" i="7"/>
  <c r="J265" i="7"/>
  <c r="G9" i="7"/>
  <c r="G40" i="7"/>
  <c r="J267" i="7"/>
  <c r="J218" i="7"/>
  <c r="F78" i="6"/>
  <c r="F69" i="6"/>
  <c r="F70" i="6"/>
  <c r="F79" i="6" s="1"/>
  <c r="H40" i="7"/>
  <c r="H9" i="7"/>
  <c r="H14" i="7" s="1"/>
  <c r="H218" i="7" s="1"/>
  <c r="G218" i="10"/>
  <c r="G14" i="7"/>
  <c r="G14" i="5"/>
  <c r="I24" i="10"/>
  <c r="E109" i="6"/>
  <c r="E113" i="6" s="1"/>
  <c r="E101" i="6"/>
  <c r="K267" i="10"/>
  <c r="L15" i="10"/>
  <c r="K15" i="7"/>
  <c r="K15" i="5"/>
  <c r="I83" i="7"/>
  <c r="H41" i="7"/>
  <c r="B120" i="5"/>
  <c r="J216" i="7"/>
  <c r="H9" i="5"/>
  <c r="H14" i="5" s="1"/>
  <c r="H218" i="5" s="1"/>
  <c r="H40" i="5"/>
  <c r="I83" i="10"/>
  <c r="H41" i="10"/>
  <c r="I40" i="5"/>
  <c r="I9" i="5"/>
  <c r="I14" i="5" s="1"/>
  <c r="I218" i="5" s="1"/>
  <c r="K236" i="7"/>
  <c r="K261" i="7"/>
  <c r="K262" i="7"/>
  <c r="K264" i="7"/>
  <c r="K263" i="7"/>
  <c r="K107" i="7"/>
  <c r="K104" i="7"/>
  <c r="K43" i="7"/>
  <c r="K24" i="7" s="1"/>
  <c r="K10" i="7"/>
  <c r="K40" i="7" s="1"/>
  <c r="K217" i="7" s="1"/>
  <c r="K105" i="7"/>
  <c r="K106" i="7"/>
  <c r="L4" i="7"/>
  <c r="K39" i="7"/>
  <c r="K9" i="7"/>
  <c r="K14" i="7" s="1"/>
  <c r="K8" i="7"/>
  <c r="K11" i="7"/>
  <c r="K237" i="7"/>
  <c r="K204" i="7"/>
  <c r="J24" i="7"/>
  <c r="H80" i="3"/>
  <c r="H93" i="3" s="1"/>
  <c r="G112" i="3" s="1"/>
  <c r="L264" i="5"/>
  <c r="L263" i="5"/>
  <c r="L236" i="5"/>
  <c r="L261" i="5"/>
  <c r="L106" i="5"/>
  <c r="L108" i="5"/>
  <c r="L262" i="5"/>
  <c r="L104" i="5"/>
  <c r="M4" i="5"/>
  <c r="L107" i="5"/>
  <c r="L43" i="5"/>
  <c r="L24" i="5" s="1"/>
  <c r="L8" i="5"/>
  <c r="L39" i="5"/>
  <c r="L105" i="5"/>
  <c r="L10" i="5"/>
  <c r="L40" i="5" s="1"/>
  <c r="L217" i="5" s="1"/>
  <c r="L11" i="5"/>
  <c r="L237" i="5"/>
  <c r="L204" i="5"/>
  <c r="J5" i="11"/>
  <c r="K5" i="10"/>
  <c r="H78" i="6"/>
  <c r="H70" i="6"/>
  <c r="H79" i="6" s="1"/>
  <c r="H69" i="6"/>
  <c r="G241" i="10"/>
  <c r="G8" i="11"/>
  <c r="G70" i="10"/>
  <c r="H70" i="10" s="1"/>
  <c r="G199" i="10"/>
  <c r="G26" i="10"/>
  <c r="I72" i="10"/>
  <c r="I83" i="5"/>
  <c r="G40" i="5"/>
  <c r="G9" i="5"/>
  <c r="J4" i="11"/>
  <c r="J262" i="10"/>
  <c r="J261" i="10"/>
  <c r="J263" i="10"/>
  <c r="J236" i="10"/>
  <c r="J264" i="10"/>
  <c r="J106" i="10"/>
  <c r="J105" i="10"/>
  <c r="J43" i="10"/>
  <c r="J24" i="10" s="1"/>
  <c r="J104" i="10"/>
  <c r="J8" i="10"/>
  <c r="J9" i="10"/>
  <c r="J14" i="10" s="1"/>
  <c r="J218" i="10" s="1"/>
  <c r="J11" i="10"/>
  <c r="J39" i="10"/>
  <c r="J10" i="10"/>
  <c r="J40" i="10" s="1"/>
  <c r="J217" i="10" s="1"/>
  <c r="K4" i="10"/>
  <c r="J204" i="10"/>
  <c r="J237" i="10"/>
  <c r="K68" i="5"/>
  <c r="L68" i="5" s="1"/>
  <c r="B138" i="7"/>
  <c r="K24" i="5"/>
  <c r="I72" i="7"/>
  <c r="I40" i="10"/>
  <c r="K265" i="5"/>
  <c r="E69" i="3"/>
  <c r="I72" i="5"/>
  <c r="E80" i="6" l="1"/>
  <c r="J72" i="5"/>
  <c r="B139" i="7"/>
  <c r="L216" i="5"/>
  <c r="J265" i="10"/>
  <c r="H41" i="5"/>
  <c r="G10" i="11"/>
  <c r="K218" i="5"/>
  <c r="K267" i="5"/>
  <c r="K68" i="7"/>
  <c r="E40" i="4"/>
  <c r="E41" i="4" s="1"/>
  <c r="G40" i="4"/>
  <c r="G41" i="4" s="1"/>
  <c r="F40" i="4"/>
  <c r="F41" i="4" s="1"/>
  <c r="F42" i="4" s="1"/>
  <c r="H40" i="4"/>
  <c r="H41" i="4" s="1"/>
  <c r="H241" i="10"/>
  <c r="J72" i="10"/>
  <c r="L265" i="5"/>
  <c r="L236" i="7"/>
  <c r="L264" i="7"/>
  <c r="L261" i="7"/>
  <c r="L263" i="7"/>
  <c r="L262" i="7"/>
  <c r="L104" i="7"/>
  <c r="L43" i="7"/>
  <c r="L24" i="7" s="1"/>
  <c r="L10" i="7"/>
  <c r="L40" i="7" s="1"/>
  <c r="L217" i="7" s="1"/>
  <c r="L106" i="7"/>
  <c r="M4" i="7"/>
  <c r="L105" i="7"/>
  <c r="L108" i="7"/>
  <c r="L107" i="7"/>
  <c r="L39" i="7"/>
  <c r="L11" i="7"/>
  <c r="L8" i="7"/>
  <c r="L204" i="7"/>
  <c r="L237" i="7"/>
  <c r="K265" i="7"/>
  <c r="H8" i="11"/>
  <c r="H10" i="11" s="1"/>
  <c r="H31" i="11" s="1"/>
  <c r="H199" i="10"/>
  <c r="H26" i="10"/>
  <c r="G217" i="7"/>
  <c r="G69" i="7"/>
  <c r="H69" i="7" s="1"/>
  <c r="I69" i="7" s="1"/>
  <c r="J69" i="7" s="1"/>
  <c r="K69" i="7" s="1"/>
  <c r="G199" i="7"/>
  <c r="J68" i="10"/>
  <c r="J83" i="5"/>
  <c r="I41" i="5"/>
  <c r="I199" i="5" s="1"/>
  <c r="E78" i="4"/>
  <c r="E100" i="4" s="1"/>
  <c r="F100" i="4" s="1"/>
  <c r="I217" i="5"/>
  <c r="E78" i="6"/>
  <c r="E100" i="6" s="1"/>
  <c r="F100" i="6" s="1"/>
  <c r="B121" i="5"/>
  <c r="G218" i="5"/>
  <c r="G41" i="5"/>
  <c r="E80" i="3"/>
  <c r="E93" i="3" s="1"/>
  <c r="H217" i="7"/>
  <c r="H199" i="7"/>
  <c r="H26" i="7"/>
  <c r="J72" i="7"/>
  <c r="J83" i="10"/>
  <c r="I41" i="10"/>
  <c r="I8" i="11" s="1"/>
  <c r="I10" i="11" s="1"/>
  <c r="I31" i="11" s="1"/>
  <c r="K263" i="10"/>
  <c r="K262" i="10"/>
  <c r="K264" i="10"/>
  <c r="K261" i="10"/>
  <c r="K236" i="10"/>
  <c r="K4" i="11"/>
  <c r="K107" i="10"/>
  <c r="K106" i="10"/>
  <c r="K105" i="10"/>
  <c r="K43" i="10"/>
  <c r="K24" i="10" s="1"/>
  <c r="K11" i="10"/>
  <c r="K104" i="10"/>
  <c r="K8" i="10"/>
  <c r="L4" i="10"/>
  <c r="K39" i="10"/>
  <c r="K10" i="10"/>
  <c r="K9" i="10"/>
  <c r="K14" i="10" s="1"/>
  <c r="K218" i="10" s="1"/>
  <c r="K204" i="10"/>
  <c r="K237" i="10"/>
  <c r="H80" i="6"/>
  <c r="H93" i="6" s="1"/>
  <c r="G112" i="6" s="1"/>
  <c r="M263" i="5"/>
  <c r="M236" i="5"/>
  <c r="M261" i="5"/>
  <c r="M264" i="5"/>
  <c r="M108" i="5"/>
  <c r="M262" i="5"/>
  <c r="M105" i="5"/>
  <c r="M109" i="5"/>
  <c r="M107" i="5"/>
  <c r="M43" i="5"/>
  <c r="M10" i="5"/>
  <c r="M40" i="5" s="1"/>
  <c r="M217" i="5" s="1"/>
  <c r="M104" i="5"/>
  <c r="M39" i="5"/>
  <c r="M8" i="5"/>
  <c r="N4" i="5"/>
  <c r="M106" i="5"/>
  <c r="M9" i="5"/>
  <c r="M14" i="5" s="1"/>
  <c r="M11" i="5"/>
  <c r="M237" i="5"/>
  <c r="M204" i="5"/>
  <c r="G218" i="7"/>
  <c r="G41" i="7"/>
  <c r="F80" i="6"/>
  <c r="F93" i="6" s="1"/>
  <c r="G110" i="6" s="1"/>
  <c r="F93" i="4"/>
  <c r="G110" i="4" s="1"/>
  <c r="K5" i="11"/>
  <c r="L5" i="10"/>
  <c r="H217" i="5"/>
  <c r="H26" i="5"/>
  <c r="H199" i="5"/>
  <c r="K218" i="7"/>
  <c r="K267" i="7"/>
  <c r="E69" i="4"/>
  <c r="I69" i="10"/>
  <c r="J69" i="10" s="1"/>
  <c r="I217" i="7"/>
  <c r="H80" i="4"/>
  <c r="H93" i="4" s="1"/>
  <c r="G112" i="4" s="1"/>
  <c r="L9" i="5"/>
  <c r="L14" i="5" s="1"/>
  <c r="L267" i="10"/>
  <c r="M15" i="10"/>
  <c r="L15" i="7"/>
  <c r="L15" i="5"/>
  <c r="I217" i="10"/>
  <c r="G217" i="5"/>
  <c r="G69" i="5"/>
  <c r="H69" i="5" s="1"/>
  <c r="I69" i="5" s="1"/>
  <c r="J69" i="5" s="1"/>
  <c r="K69" i="5" s="1"/>
  <c r="L69" i="5" s="1"/>
  <c r="M69" i="5" s="1"/>
  <c r="G26" i="5"/>
  <c r="G199" i="5"/>
  <c r="J216" i="10"/>
  <c r="K216" i="7"/>
  <c r="E70" i="4"/>
  <c r="E79" i="4" s="1"/>
  <c r="J83" i="7"/>
  <c r="I41" i="7"/>
  <c r="I199" i="7" s="1"/>
  <c r="H40" i="6"/>
  <c r="H41" i="6" s="1"/>
  <c r="G40" i="6"/>
  <c r="G41" i="6" s="1"/>
  <c r="F40" i="6"/>
  <c r="F41" i="6" s="1"/>
  <c r="G242" i="10"/>
  <c r="H242" i="10" s="1"/>
  <c r="I242" i="10" s="1"/>
  <c r="J242" i="10" s="1"/>
  <c r="K242" i="10" s="1"/>
  <c r="E100" i="3"/>
  <c r="F100" i="3" s="1"/>
  <c r="E40" i="3"/>
  <c r="E41" i="3" s="1"/>
  <c r="L265" i="7" l="1"/>
  <c r="L263" i="10"/>
  <c r="L264" i="10"/>
  <c r="L262" i="10"/>
  <c r="L4" i="11"/>
  <c r="L261" i="10"/>
  <c r="L236" i="10"/>
  <c r="L108" i="10"/>
  <c r="L107" i="10"/>
  <c r="L106" i="10"/>
  <c r="L105" i="10"/>
  <c r="L104" i="10"/>
  <c r="L43" i="10"/>
  <c r="L24" i="10" s="1"/>
  <c r="L11" i="10"/>
  <c r="L39" i="10"/>
  <c r="L10" i="10"/>
  <c r="L40" i="10" s="1"/>
  <c r="L217" i="10" s="1"/>
  <c r="L8" i="10"/>
  <c r="M4" i="10"/>
  <c r="L204" i="10"/>
  <c r="L237" i="10"/>
  <c r="K72" i="7"/>
  <c r="M267" i="10"/>
  <c r="N15" i="10"/>
  <c r="M15" i="7"/>
  <c r="M15" i="5"/>
  <c r="M24" i="5"/>
  <c r="G242" i="5"/>
  <c r="H242" i="5" s="1"/>
  <c r="I242" i="5" s="1"/>
  <c r="J242" i="5" s="1"/>
  <c r="K242" i="5" s="1"/>
  <c r="L242" i="5" s="1"/>
  <c r="E40" i="6"/>
  <c r="E41" i="6" s="1"/>
  <c r="E42" i="6" s="1"/>
  <c r="L267" i="5"/>
  <c r="L218" i="5"/>
  <c r="H42" i="6"/>
  <c r="L267" i="7"/>
  <c r="I26" i="7"/>
  <c r="G70" i="7"/>
  <c r="H70" i="7" s="1"/>
  <c r="I70" i="7" s="1"/>
  <c r="G70" i="5"/>
  <c r="H70" i="5" s="1"/>
  <c r="I70" i="5" s="1"/>
  <c r="B122" i="5"/>
  <c r="L69" i="7"/>
  <c r="L9" i="7"/>
  <c r="H42" i="4"/>
  <c r="E93" i="6"/>
  <c r="F43" i="4"/>
  <c r="G241" i="5"/>
  <c r="G241" i="7"/>
  <c r="I199" i="10"/>
  <c r="L5" i="11"/>
  <c r="M5" i="10"/>
  <c r="M265" i="5"/>
  <c r="I26" i="10"/>
  <c r="E42" i="4"/>
  <c r="G31" i="11"/>
  <c r="K83" i="5"/>
  <c r="J41" i="5"/>
  <c r="L68" i="7"/>
  <c r="B140" i="7"/>
  <c r="G242" i="7"/>
  <c r="H242" i="7" s="1"/>
  <c r="I242" i="7" s="1"/>
  <c r="J242" i="7" s="1"/>
  <c r="K242" i="7" s="1"/>
  <c r="K83" i="7"/>
  <c r="J41" i="7"/>
  <c r="M216" i="5"/>
  <c r="G42" i="4"/>
  <c r="E80" i="4"/>
  <c r="E93" i="4" s="1"/>
  <c r="K83" i="10"/>
  <c r="J41" i="10"/>
  <c r="M68" i="5"/>
  <c r="K72" i="10"/>
  <c r="K69" i="10"/>
  <c r="L69" i="10" s="1"/>
  <c r="F42" i="6"/>
  <c r="K40" i="10"/>
  <c r="G113" i="3"/>
  <c r="G109" i="3"/>
  <c r="I26" i="5"/>
  <c r="K68" i="10"/>
  <c r="L216" i="7"/>
  <c r="E42" i="3"/>
  <c r="G42" i="3"/>
  <c r="F42" i="3"/>
  <c r="H42" i="3"/>
  <c r="G42" i="6"/>
  <c r="N262" i="5"/>
  <c r="N261" i="5"/>
  <c r="N264" i="5"/>
  <c r="N108" i="5"/>
  <c r="N263" i="5"/>
  <c r="N105" i="5"/>
  <c r="N110" i="5"/>
  <c r="N106" i="5"/>
  <c r="N107" i="5"/>
  <c r="N10" i="5"/>
  <c r="N9" i="5" s="1"/>
  <c r="N109" i="5"/>
  <c r="O4" i="5"/>
  <c r="N8" i="5"/>
  <c r="N39" i="5"/>
  <c r="N104" i="5"/>
  <c r="N11" i="5"/>
  <c r="K216" i="10"/>
  <c r="K265" i="10"/>
  <c r="G26" i="7"/>
  <c r="M236" i="7"/>
  <c r="M264" i="7"/>
  <c r="M263" i="7"/>
  <c r="M262" i="7"/>
  <c r="M261" i="7"/>
  <c r="M109" i="7"/>
  <c r="M106" i="7"/>
  <c r="M107" i="7"/>
  <c r="N4" i="7"/>
  <c r="M105" i="7"/>
  <c r="M10" i="7"/>
  <c r="M40" i="7" s="1"/>
  <c r="M39" i="7"/>
  <c r="M108" i="7"/>
  <c r="M43" i="7"/>
  <c r="M104" i="7"/>
  <c r="M11" i="7"/>
  <c r="M8" i="7"/>
  <c r="M204" i="7"/>
  <c r="M237" i="7"/>
  <c r="I241" i="10"/>
  <c r="I70" i="10"/>
  <c r="J70" i="10" s="1"/>
  <c r="K72" i="5"/>
  <c r="L265" i="10" l="1"/>
  <c r="N14" i="5"/>
  <c r="J199" i="7"/>
  <c r="J26" i="7"/>
  <c r="H241" i="7"/>
  <c r="N264" i="7"/>
  <c r="N263" i="7"/>
  <c r="N262" i="7"/>
  <c r="N261" i="7"/>
  <c r="N106" i="7"/>
  <c r="N108" i="7"/>
  <c r="N104" i="7"/>
  <c r="N105" i="7"/>
  <c r="N10" i="7"/>
  <c r="N40" i="7" s="1"/>
  <c r="N217" i="7" s="1"/>
  <c r="N39" i="7"/>
  <c r="N8" i="7"/>
  <c r="N110" i="7"/>
  <c r="N107" i="7"/>
  <c r="N109" i="7"/>
  <c r="N11" i="7"/>
  <c r="O4" i="7"/>
  <c r="O262" i="5"/>
  <c r="O263" i="5"/>
  <c r="O105" i="5"/>
  <c r="O110" i="5"/>
  <c r="O107" i="5"/>
  <c r="O111" i="5"/>
  <c r="O10" i="5"/>
  <c r="O40" i="5" s="1"/>
  <c r="O217" i="5" s="1"/>
  <c r="O264" i="5"/>
  <c r="O106" i="5"/>
  <c r="O9" i="5"/>
  <c r="O14" i="5" s="1"/>
  <c r="O109" i="5"/>
  <c r="O104" i="5"/>
  <c r="O39" i="5"/>
  <c r="P4" i="5"/>
  <c r="O108" i="5"/>
  <c r="O8" i="5"/>
  <c r="O11" i="5"/>
  <c r="I48" i="10"/>
  <c r="L206" i="10"/>
  <c r="L207" i="10" s="1"/>
  <c r="I239" i="10"/>
  <c r="K206" i="10"/>
  <c r="G206" i="10"/>
  <c r="M49" i="10"/>
  <c r="M48" i="10"/>
  <c r="H48" i="10"/>
  <c r="G48" i="10"/>
  <c r="H206" i="10"/>
  <c r="J49" i="10"/>
  <c r="N49" i="10"/>
  <c r="J206" i="10"/>
  <c r="M206" i="10"/>
  <c r="J239" i="10"/>
  <c r="H239" i="10"/>
  <c r="K49" i="10"/>
  <c r="J48" i="10"/>
  <c r="H49" i="10"/>
  <c r="G239" i="10"/>
  <c r="I206" i="10"/>
  <c r="L48" i="10"/>
  <c r="K48" i="10"/>
  <c r="M239" i="10"/>
  <c r="K239" i="10"/>
  <c r="L239" i="10"/>
  <c r="L49" i="10"/>
  <c r="G49" i="10"/>
  <c r="I49" i="10"/>
  <c r="F43" i="6"/>
  <c r="J8" i="11"/>
  <c r="J199" i="10"/>
  <c r="J26" i="10"/>
  <c r="J70" i="7"/>
  <c r="H43" i="6"/>
  <c r="H113" i="6"/>
  <c r="E43" i="6"/>
  <c r="M267" i="7"/>
  <c r="M216" i="7"/>
  <c r="L83" i="10"/>
  <c r="K41" i="10"/>
  <c r="L216" i="10"/>
  <c r="M69" i="10"/>
  <c r="G109" i="6"/>
  <c r="G113" i="6"/>
  <c r="N267" i="10"/>
  <c r="O15" i="10"/>
  <c r="N15" i="7"/>
  <c r="N15" i="5"/>
  <c r="M217" i="7"/>
  <c r="M265" i="7"/>
  <c r="L83" i="5"/>
  <c r="K41" i="5"/>
  <c r="L9" i="10"/>
  <c r="M9" i="7"/>
  <c r="M14" i="7" s="1"/>
  <c r="M218" i="7" s="1"/>
  <c r="N216" i="5"/>
  <c r="H43" i="3"/>
  <c r="G109" i="4"/>
  <c r="G113" i="4"/>
  <c r="B141" i="7"/>
  <c r="M69" i="7"/>
  <c r="B123" i="5"/>
  <c r="M264" i="10"/>
  <c r="M263" i="10"/>
  <c r="M262" i="10"/>
  <c r="M261" i="10"/>
  <c r="M4" i="11"/>
  <c r="M236" i="10"/>
  <c r="M106" i="10"/>
  <c r="M107" i="10"/>
  <c r="M105" i="10"/>
  <c r="M104" i="10"/>
  <c r="M43" i="10"/>
  <c r="M11" i="10"/>
  <c r="M39" i="10"/>
  <c r="M10" i="10"/>
  <c r="M40" i="10" s="1"/>
  <c r="M217" i="10" s="1"/>
  <c r="M108" i="10"/>
  <c r="M109" i="10"/>
  <c r="N4" i="10"/>
  <c r="N206" i="10" s="1"/>
  <c r="M8" i="10"/>
  <c r="M204" i="10"/>
  <c r="M237" i="10"/>
  <c r="N265" i="5"/>
  <c r="F43" i="3"/>
  <c r="K217" i="10"/>
  <c r="M5" i="11"/>
  <c r="N5" i="10"/>
  <c r="H241" i="5"/>
  <c r="J199" i="5"/>
  <c r="J26" i="5"/>
  <c r="H43" i="4"/>
  <c r="M24" i="7"/>
  <c r="G43" i="6"/>
  <c r="L72" i="10"/>
  <c r="L83" i="7"/>
  <c r="K41" i="7"/>
  <c r="L14" i="7"/>
  <c r="J241" i="10"/>
  <c r="G43" i="3"/>
  <c r="L68" i="10"/>
  <c r="M68" i="10" s="1"/>
  <c r="G43" i="4"/>
  <c r="M68" i="7"/>
  <c r="N68" i="7" s="1"/>
  <c r="G34" i="11"/>
  <c r="H30" i="11" s="1"/>
  <c r="H34" i="11" s="1"/>
  <c r="I30" i="11" s="1"/>
  <c r="I34" i="11" s="1"/>
  <c r="J30" i="11" s="1"/>
  <c r="J70" i="5"/>
  <c r="K70" i="5" s="1"/>
  <c r="L72" i="7"/>
  <c r="N40" i="5"/>
  <c r="L72" i="5"/>
  <c r="H113" i="3"/>
  <c r="E43" i="3"/>
  <c r="N68" i="5"/>
  <c r="O68" i="5" s="1"/>
  <c r="H113" i="4"/>
  <c r="E43" i="4"/>
  <c r="F82" i="4"/>
  <c r="F44" i="4"/>
  <c r="F84" i="4" s="1"/>
  <c r="F45" i="4"/>
  <c r="F86" i="4" s="1"/>
  <c r="M267" i="5"/>
  <c r="M218" i="5"/>
  <c r="M83" i="5" l="1"/>
  <c r="L41" i="5"/>
  <c r="N267" i="7"/>
  <c r="F82" i="6"/>
  <c r="F44" i="6"/>
  <c r="F84" i="6" s="1"/>
  <c r="F45" i="6"/>
  <c r="F86" i="6" s="1"/>
  <c r="G240" i="10"/>
  <c r="L14" i="10"/>
  <c r="K8" i="11"/>
  <c r="K10" i="11" s="1"/>
  <c r="K31" i="11" s="1"/>
  <c r="K199" i="10"/>
  <c r="K26" i="10"/>
  <c r="G207" i="10"/>
  <c r="N216" i="7"/>
  <c r="N5" i="11"/>
  <c r="O5" i="10"/>
  <c r="G82" i="6"/>
  <c r="G44" i="6"/>
  <c r="G84" i="6" s="1"/>
  <c r="G45" i="6"/>
  <c r="G86" i="6" s="1"/>
  <c r="F82" i="3"/>
  <c r="F44" i="3"/>
  <c r="F84" i="3" s="1"/>
  <c r="F45" i="3"/>
  <c r="F86" i="3" s="1"/>
  <c r="P49" i="5"/>
  <c r="N49" i="5"/>
  <c r="J239" i="5"/>
  <c r="K239" i="5"/>
  <c r="I49" i="5"/>
  <c r="G48" i="5"/>
  <c r="H49" i="5"/>
  <c r="K49" i="5"/>
  <c r="M48" i="5"/>
  <c r="N206" i="5"/>
  <c r="N236" i="5"/>
  <c r="L49" i="5"/>
  <c r="I206" i="5"/>
  <c r="N43" i="5"/>
  <c r="N237" i="5"/>
  <c r="O239" i="5"/>
  <c r="O240" i="5" s="1"/>
  <c r="M49" i="5"/>
  <c r="M239" i="5"/>
  <c r="H206" i="5"/>
  <c r="Q49" i="5"/>
  <c r="O49" i="5"/>
  <c r="I48" i="5"/>
  <c r="L48" i="5"/>
  <c r="K48" i="5"/>
  <c r="K206" i="5"/>
  <c r="L239" i="5"/>
  <c r="G239" i="5"/>
  <c r="I239" i="5"/>
  <c r="N204" i="5"/>
  <c r="G206" i="5"/>
  <c r="M206" i="5"/>
  <c r="L206" i="5"/>
  <c r="J49" i="5"/>
  <c r="P206" i="5"/>
  <c r="G49" i="5"/>
  <c r="J48" i="5"/>
  <c r="H48" i="5"/>
  <c r="N48" i="5"/>
  <c r="N239" i="5"/>
  <c r="J206" i="5"/>
  <c r="H239" i="5"/>
  <c r="P239" i="5"/>
  <c r="O206" i="5"/>
  <c r="O207" i="5" s="1"/>
  <c r="I49" i="7"/>
  <c r="K206" i="7"/>
  <c r="K239" i="7"/>
  <c r="J239" i="7"/>
  <c r="N48" i="7"/>
  <c r="I48" i="7"/>
  <c r="G49" i="7"/>
  <c r="O49" i="7"/>
  <c r="G48" i="7"/>
  <c r="M48" i="7"/>
  <c r="L48" i="7"/>
  <c r="L206" i="7"/>
  <c r="M206" i="7"/>
  <c r="K48" i="7"/>
  <c r="O206" i="7"/>
  <c r="P49" i="7"/>
  <c r="G206" i="7"/>
  <c r="M49" i="7"/>
  <c r="H49" i="7"/>
  <c r="H48" i="7"/>
  <c r="K49" i="7"/>
  <c r="J206" i="7"/>
  <c r="N206" i="7"/>
  <c r="N207" i="7" s="1"/>
  <c r="O239" i="7"/>
  <c r="G239" i="7"/>
  <c r="I239" i="7"/>
  <c r="I206" i="7"/>
  <c r="N49" i="7"/>
  <c r="L49" i="7"/>
  <c r="N239" i="7"/>
  <c r="N240" i="7" s="1"/>
  <c r="H206" i="7"/>
  <c r="M239" i="7"/>
  <c r="H239" i="7"/>
  <c r="J49" i="7"/>
  <c r="L239" i="7"/>
  <c r="J48" i="7"/>
  <c r="H207" i="10"/>
  <c r="N217" i="5"/>
  <c r="N69" i="5"/>
  <c r="O69" i="5" s="1"/>
  <c r="K241" i="10"/>
  <c r="M9" i="10"/>
  <c r="M14" i="10" s="1"/>
  <c r="M218" i="10" s="1"/>
  <c r="M216" i="10"/>
  <c r="K26" i="5"/>
  <c r="K199" i="5"/>
  <c r="N267" i="5"/>
  <c r="N218" i="5"/>
  <c r="M83" i="10"/>
  <c r="L41" i="10"/>
  <c r="N236" i="7"/>
  <c r="N265" i="7"/>
  <c r="M72" i="7"/>
  <c r="J240" i="10"/>
  <c r="E82" i="3"/>
  <c r="E44" i="3"/>
  <c r="E84" i="3" s="1"/>
  <c r="E45" i="3"/>
  <c r="E86" i="3" s="1"/>
  <c r="N69" i="10"/>
  <c r="K199" i="7"/>
  <c r="K26" i="7"/>
  <c r="O267" i="10"/>
  <c r="P15" i="10"/>
  <c r="O15" i="7"/>
  <c r="O15" i="5"/>
  <c r="G78" i="10"/>
  <c r="H78" i="10" s="1"/>
  <c r="I78" i="10" s="1"/>
  <c r="J78" i="10" s="1"/>
  <c r="K78" i="10" s="1"/>
  <c r="L78" i="10" s="1"/>
  <c r="M78" i="10" s="1"/>
  <c r="N78" i="10" s="1"/>
  <c r="N204" i="7"/>
  <c r="N43" i="7"/>
  <c r="L70" i="5"/>
  <c r="N68" i="10"/>
  <c r="M83" i="7"/>
  <c r="L41" i="7"/>
  <c r="M24" i="10"/>
  <c r="K70" i="10"/>
  <c r="L70" i="10" s="1"/>
  <c r="H82" i="6"/>
  <c r="H44" i="6"/>
  <c r="H84" i="6" s="1"/>
  <c r="H45" i="6"/>
  <c r="H86" i="6" s="1"/>
  <c r="N239" i="10"/>
  <c r="I207" i="10"/>
  <c r="G77" i="10"/>
  <c r="H77" i="10" s="1"/>
  <c r="I77" i="10" s="1"/>
  <c r="J77" i="10" s="1"/>
  <c r="K77" i="10" s="1"/>
  <c r="L77" i="10" s="1"/>
  <c r="M77" i="10" s="1"/>
  <c r="K207" i="10"/>
  <c r="N237" i="7"/>
  <c r="I241" i="7"/>
  <c r="E82" i="6"/>
  <c r="E44" i="6"/>
  <c r="E84" i="6" s="1"/>
  <c r="E45" i="6"/>
  <c r="E86" i="6" s="1"/>
  <c r="L240" i="10"/>
  <c r="B124" i="5"/>
  <c r="B142" i="7"/>
  <c r="H240" i="10"/>
  <c r="I240" i="10"/>
  <c r="P262" i="5"/>
  <c r="P263" i="5"/>
  <c r="P110" i="5"/>
  <c r="P107" i="5"/>
  <c r="P112" i="5"/>
  <c r="P104" i="5"/>
  <c r="P264" i="5"/>
  <c r="P108" i="5"/>
  <c r="P106" i="5"/>
  <c r="P111" i="5"/>
  <c r="P39" i="5"/>
  <c r="P68" i="5" s="1"/>
  <c r="Q4" i="5"/>
  <c r="Q239" i="5" s="1"/>
  <c r="P105" i="5"/>
  <c r="P8" i="5"/>
  <c r="P109" i="5"/>
  <c r="P10" i="5"/>
  <c r="P9" i="5" s="1"/>
  <c r="P11" i="5"/>
  <c r="O263" i="7"/>
  <c r="O262" i="7"/>
  <c r="O264" i="7"/>
  <c r="O108" i="7"/>
  <c r="O39" i="7"/>
  <c r="O105" i="7"/>
  <c r="O109" i="7"/>
  <c r="O111" i="7"/>
  <c r="O8" i="7"/>
  <c r="O104" i="7"/>
  <c r="O110" i="7"/>
  <c r="O107" i="7"/>
  <c r="P4" i="7"/>
  <c r="P239" i="7" s="1"/>
  <c r="O106" i="7"/>
  <c r="O9" i="7"/>
  <c r="O14" i="7" s="1"/>
  <c r="O10" i="7"/>
  <c r="O40" i="7" s="1"/>
  <c r="O217" i="7" s="1"/>
  <c r="O11" i="7"/>
  <c r="G82" i="4"/>
  <c r="G44" i="4"/>
  <c r="G84" i="4" s="1"/>
  <c r="G45" i="4"/>
  <c r="G86" i="4" s="1"/>
  <c r="I241" i="5"/>
  <c r="H82" i="3"/>
  <c r="H44" i="3"/>
  <c r="H84" i="3" s="1"/>
  <c r="H45" i="3"/>
  <c r="H86" i="3" s="1"/>
  <c r="J10" i="11"/>
  <c r="L218" i="7"/>
  <c r="N264" i="10"/>
  <c r="N262" i="10"/>
  <c r="N261" i="10"/>
  <c r="N4" i="11"/>
  <c r="N263" i="10"/>
  <c r="N236" i="10"/>
  <c r="N106" i="10"/>
  <c r="N105" i="10"/>
  <c r="N104" i="10"/>
  <c r="N109" i="10"/>
  <c r="N108" i="10"/>
  <c r="N39" i="10"/>
  <c r="N10" i="10"/>
  <c r="N40" i="10" s="1"/>
  <c r="N217" i="10" s="1"/>
  <c r="N9" i="10"/>
  <c r="N14" i="10" s="1"/>
  <c r="N218" i="10" s="1"/>
  <c r="N107" i="10"/>
  <c r="N110" i="10"/>
  <c r="N8" i="10"/>
  <c r="N43" i="10"/>
  <c r="N24" i="10" s="1"/>
  <c r="N11" i="10"/>
  <c r="O4" i="10"/>
  <c r="N204" i="10"/>
  <c r="N237" i="10"/>
  <c r="M265" i="10"/>
  <c r="H82" i="4"/>
  <c r="H44" i="4"/>
  <c r="H84" i="4" s="1"/>
  <c r="H45" i="4"/>
  <c r="H86" i="4" s="1"/>
  <c r="M240" i="10"/>
  <c r="M207" i="10"/>
  <c r="N48" i="10"/>
  <c r="E82" i="4"/>
  <c r="E44" i="4"/>
  <c r="E84" i="4" s="1"/>
  <c r="E45" i="4"/>
  <c r="E86" i="4" s="1"/>
  <c r="M72" i="5"/>
  <c r="G82" i="3"/>
  <c r="G44" i="3"/>
  <c r="G84" i="3" s="1"/>
  <c r="G45" i="3"/>
  <c r="G86" i="3" s="1"/>
  <c r="M72" i="10"/>
  <c r="N69" i="7"/>
  <c r="O69" i="7" s="1"/>
  <c r="M242" i="5"/>
  <c r="K70" i="7"/>
  <c r="L70" i="7" s="1"/>
  <c r="K240" i="10"/>
  <c r="J207" i="10"/>
  <c r="O216" i="5"/>
  <c r="N9" i="7"/>
  <c r="P14" i="5" l="1"/>
  <c r="N83" i="10"/>
  <c r="M41" i="10"/>
  <c r="J240" i="7"/>
  <c r="L240" i="5"/>
  <c r="G219" i="10"/>
  <c r="G78" i="5"/>
  <c r="H78" i="5" s="1"/>
  <c r="I78" i="5" s="1"/>
  <c r="J78" i="5" s="1"/>
  <c r="K78" i="5" s="1"/>
  <c r="L78" i="5" s="1"/>
  <c r="M78" i="5" s="1"/>
  <c r="N78" i="5" s="1"/>
  <c r="O78" i="5" s="1"/>
  <c r="P78" i="5" s="1"/>
  <c r="Q78" i="5" s="1"/>
  <c r="I240" i="5"/>
  <c r="L242" i="7"/>
  <c r="M242" i="7" s="1"/>
  <c r="M70" i="10"/>
  <c r="H240" i="7"/>
  <c r="N72" i="10"/>
  <c r="O216" i="7"/>
  <c r="N265" i="10"/>
  <c r="L26" i="7"/>
  <c r="L199" i="7"/>
  <c r="O218" i="5"/>
  <c r="O267" i="5"/>
  <c r="H207" i="7"/>
  <c r="I240" i="7"/>
  <c r="J207" i="7"/>
  <c r="G78" i="7"/>
  <c r="H78" i="7" s="1"/>
  <c r="I78" i="7" s="1"/>
  <c r="J78" i="7" s="1"/>
  <c r="K78" i="7" s="1"/>
  <c r="L78" i="7" s="1"/>
  <c r="M78" i="7" s="1"/>
  <c r="N78" i="7" s="1"/>
  <c r="O78" i="7" s="1"/>
  <c r="P78" i="7" s="1"/>
  <c r="K240" i="7"/>
  <c r="K207" i="5"/>
  <c r="P240" i="5"/>
  <c r="P207" i="5"/>
  <c r="N14" i="7"/>
  <c r="N242" i="5"/>
  <c r="O242" i="5" s="1"/>
  <c r="P262" i="7"/>
  <c r="P264" i="7"/>
  <c r="P263" i="7"/>
  <c r="P111" i="7"/>
  <c r="P108" i="7"/>
  <c r="P39" i="7"/>
  <c r="P8" i="7"/>
  <c r="P105" i="7"/>
  <c r="P112" i="7"/>
  <c r="P106" i="7"/>
  <c r="P104" i="7"/>
  <c r="P109" i="7"/>
  <c r="P110" i="7"/>
  <c r="P107" i="7"/>
  <c r="P10" i="7"/>
  <c r="P40" i="7" s="1"/>
  <c r="P9" i="7"/>
  <c r="P14" i="7" s="1"/>
  <c r="Q4" i="7"/>
  <c r="P11" i="7"/>
  <c r="N77" i="10"/>
  <c r="N83" i="7"/>
  <c r="M41" i="7"/>
  <c r="O267" i="7"/>
  <c r="O218" i="7"/>
  <c r="N72" i="7"/>
  <c r="I207" i="7"/>
  <c r="G77" i="7"/>
  <c r="H77" i="7" s="1"/>
  <c r="I77" i="7" s="1"/>
  <c r="J77" i="7" s="1"/>
  <c r="K77" i="7" s="1"/>
  <c r="L77" i="7" s="1"/>
  <c r="M77" i="7" s="1"/>
  <c r="N77" i="7" s="1"/>
  <c r="H240" i="5"/>
  <c r="L207" i="5"/>
  <c r="M207" i="5"/>
  <c r="K240" i="5"/>
  <c r="L26" i="5"/>
  <c r="L199" i="5"/>
  <c r="P69" i="7"/>
  <c r="P267" i="10"/>
  <c r="Q15" i="10"/>
  <c r="P15" i="7"/>
  <c r="P15" i="5"/>
  <c r="L207" i="7"/>
  <c r="H207" i="5"/>
  <c r="N83" i="5"/>
  <c r="M41" i="5"/>
  <c r="M70" i="5" s="1"/>
  <c r="J241" i="7"/>
  <c r="N24" i="7"/>
  <c r="L241" i="10"/>
  <c r="L240" i="7"/>
  <c r="G207" i="7"/>
  <c r="N240" i="5"/>
  <c r="G208" i="10"/>
  <c r="L218" i="10"/>
  <c r="G207" i="5"/>
  <c r="N24" i="5"/>
  <c r="G77" i="5"/>
  <c r="H77" i="5" s="1"/>
  <c r="I77" i="5" s="1"/>
  <c r="J77" i="5" s="1"/>
  <c r="K77" i="5" s="1"/>
  <c r="L77" i="5" s="1"/>
  <c r="M77" i="5" s="1"/>
  <c r="N77" i="5" s="1"/>
  <c r="J241" i="5"/>
  <c r="O240" i="7"/>
  <c r="O207" i="7"/>
  <c r="P40" i="5"/>
  <c r="Q262" i="5"/>
  <c r="Q263" i="5"/>
  <c r="Q264" i="5"/>
  <c r="Q107" i="5"/>
  <c r="Q112" i="5"/>
  <c r="Q104" i="5"/>
  <c r="Q109" i="5"/>
  <c r="Q113" i="5"/>
  <c r="Q105" i="5"/>
  <c r="Q106" i="5"/>
  <c r="Q111" i="5"/>
  <c r="Q39" i="5"/>
  <c r="Q68" i="5" s="1"/>
  <c r="Q8" i="5"/>
  <c r="Q108" i="5"/>
  <c r="Q10" i="5"/>
  <c r="Q40" i="5" s="1"/>
  <c r="Q217" i="5" s="1"/>
  <c r="R4" i="5"/>
  <c r="Q110" i="5"/>
  <c r="Q11" i="5"/>
  <c r="N72" i="5"/>
  <c r="O264" i="10"/>
  <c r="O262" i="10"/>
  <c r="O263" i="10"/>
  <c r="O4" i="11"/>
  <c r="O108" i="10"/>
  <c r="O104" i="10"/>
  <c r="O111" i="10"/>
  <c r="O109" i="10"/>
  <c r="O107" i="10"/>
  <c r="O105" i="10"/>
  <c r="O110" i="10"/>
  <c r="O106" i="10"/>
  <c r="O11" i="10"/>
  <c r="P4" i="10"/>
  <c r="O39" i="10"/>
  <c r="O68" i="10" s="1"/>
  <c r="O8" i="10"/>
  <c r="O10" i="10"/>
  <c r="O40" i="10" s="1"/>
  <c r="O217" i="10" s="1"/>
  <c r="O239" i="10"/>
  <c r="O206" i="10"/>
  <c r="O49" i="10"/>
  <c r="O78" i="10" s="1"/>
  <c r="P216" i="5"/>
  <c r="B143" i="7"/>
  <c r="G240" i="7"/>
  <c r="P206" i="7"/>
  <c r="K207" i="7"/>
  <c r="J207" i="5"/>
  <c r="Q206" i="5"/>
  <c r="M240" i="5"/>
  <c r="I207" i="5"/>
  <c r="J240" i="5"/>
  <c r="O68" i="7"/>
  <c r="P68" i="7" s="1"/>
  <c r="M207" i="7"/>
  <c r="N240" i="10"/>
  <c r="N207" i="10"/>
  <c r="N216" i="10"/>
  <c r="J31" i="11"/>
  <c r="B125" i="5"/>
  <c r="L8" i="11"/>
  <c r="L10" i="11" s="1"/>
  <c r="L31" i="11" s="1"/>
  <c r="L26" i="10"/>
  <c r="L199" i="10"/>
  <c r="M240" i="7"/>
  <c r="G240" i="5"/>
  <c r="N207" i="5"/>
  <c r="O5" i="11"/>
  <c r="P5" i="10"/>
  <c r="G209" i="10" l="1"/>
  <c r="G210" i="10"/>
  <c r="G42" i="10"/>
  <c r="M26" i="7"/>
  <c r="M199" i="7"/>
  <c r="L242" i="10"/>
  <c r="M242" i="10" s="1"/>
  <c r="N242" i="10" s="1"/>
  <c r="M241" i="10"/>
  <c r="P207" i="7"/>
  <c r="P240" i="7"/>
  <c r="Q68" i="7"/>
  <c r="R262" i="5"/>
  <c r="R263" i="5"/>
  <c r="R264" i="5"/>
  <c r="R112" i="5"/>
  <c r="R104" i="5"/>
  <c r="R109" i="5"/>
  <c r="R114" i="5"/>
  <c r="R106" i="5"/>
  <c r="R110" i="5"/>
  <c r="R111" i="5"/>
  <c r="R39" i="5"/>
  <c r="R8" i="5"/>
  <c r="R105" i="5"/>
  <c r="S4" i="5"/>
  <c r="R113" i="5"/>
  <c r="R107" i="5"/>
  <c r="R10" i="5"/>
  <c r="R40" i="5" s="1"/>
  <c r="R217" i="5" s="1"/>
  <c r="R108" i="5"/>
  <c r="R11" i="5"/>
  <c r="R239" i="5"/>
  <c r="R206" i="5"/>
  <c r="R49" i="5"/>
  <c r="R78" i="5" s="1"/>
  <c r="P267" i="5"/>
  <c r="P218" i="5"/>
  <c r="P242" i="5" s="1"/>
  <c r="G219" i="5"/>
  <c r="J34" i="11"/>
  <c r="K30" i="11" s="1"/>
  <c r="K34" i="11" s="1"/>
  <c r="L30" i="11" s="1"/>
  <c r="L34" i="11" s="1"/>
  <c r="M30" i="11" s="1"/>
  <c r="M34" i="11" s="1"/>
  <c r="N30" i="11" s="1"/>
  <c r="G219" i="7"/>
  <c r="Q263" i="7"/>
  <c r="Q262" i="7"/>
  <c r="Q264" i="7"/>
  <c r="Q113" i="7"/>
  <c r="Q105" i="7"/>
  <c r="R4" i="7"/>
  <c r="Q112" i="7"/>
  <c r="Q111" i="7"/>
  <c r="Q110" i="7"/>
  <c r="Q107" i="7"/>
  <c r="Q104" i="7"/>
  <c r="Q39" i="7"/>
  <c r="Q8" i="7"/>
  <c r="Q109" i="7"/>
  <c r="Q106" i="7"/>
  <c r="Q10" i="7"/>
  <c r="Q40" i="7" s="1"/>
  <c r="Q217" i="7" s="1"/>
  <c r="Q108" i="7"/>
  <c r="Q11" i="7"/>
  <c r="Q206" i="7"/>
  <c r="Q239" i="7"/>
  <c r="Q49" i="7"/>
  <c r="Q78" i="7" s="1"/>
  <c r="Q207" i="5"/>
  <c r="Q240" i="5"/>
  <c r="P217" i="5"/>
  <c r="G208" i="7"/>
  <c r="O83" i="7"/>
  <c r="N41" i="7"/>
  <c r="P69" i="5"/>
  <c r="Q69" i="5" s="1"/>
  <c r="P4" i="11"/>
  <c r="P264" i="10"/>
  <c r="P262" i="10"/>
  <c r="P263" i="10"/>
  <c r="P104" i="10"/>
  <c r="P112" i="10"/>
  <c r="P111" i="10"/>
  <c r="P110" i="10"/>
  <c r="P109" i="10"/>
  <c r="P107" i="10"/>
  <c r="P106" i="10"/>
  <c r="P105" i="10"/>
  <c r="P108" i="10"/>
  <c r="P8" i="10"/>
  <c r="P39" i="10"/>
  <c r="P10" i="10"/>
  <c r="P40" i="10" s="1"/>
  <c r="P217" i="10" s="1"/>
  <c r="P11" i="10"/>
  <c r="Q4" i="10"/>
  <c r="P239" i="10"/>
  <c r="P206" i="10"/>
  <c r="P49" i="10"/>
  <c r="P78" i="10" s="1"/>
  <c r="Q9" i="5"/>
  <c r="Q14" i="5" s="1"/>
  <c r="G208" i="5"/>
  <c r="P217" i="7"/>
  <c r="M8" i="11"/>
  <c r="M10" i="11" s="1"/>
  <c r="M31" i="11" s="1"/>
  <c r="M199" i="10"/>
  <c r="M26" i="10"/>
  <c r="O69" i="10"/>
  <c r="P69" i="10" s="1"/>
  <c r="O216" i="10"/>
  <c r="Q216" i="5"/>
  <c r="M70" i="7"/>
  <c r="N70" i="7" s="1"/>
  <c r="N70" i="10"/>
  <c r="K241" i="5"/>
  <c r="M199" i="5"/>
  <c r="M26" i="5"/>
  <c r="Q267" i="10"/>
  <c r="R15" i="10"/>
  <c r="Q15" i="7"/>
  <c r="Q15" i="5"/>
  <c r="P216" i="7"/>
  <c r="O83" i="10"/>
  <c r="N41" i="10"/>
  <c r="G243" i="10"/>
  <c r="K241" i="7"/>
  <c r="P267" i="7"/>
  <c r="P218" i="7"/>
  <c r="P5" i="11"/>
  <c r="Q5" i="10"/>
  <c r="B126" i="5"/>
  <c r="B144" i="7"/>
  <c r="O207" i="10"/>
  <c r="O240" i="10"/>
  <c r="O9" i="10"/>
  <c r="O14" i="10" s="1"/>
  <c r="O83" i="5"/>
  <c r="N41" i="5"/>
  <c r="N70" i="5" s="1"/>
  <c r="N218" i="7"/>
  <c r="O70" i="5" l="1"/>
  <c r="O218" i="10"/>
  <c r="L241" i="7"/>
  <c r="P83" i="10"/>
  <c r="O41" i="10"/>
  <c r="O70" i="10" s="1"/>
  <c r="Q218" i="5"/>
  <c r="Q242" i="5" s="1"/>
  <c r="Q267" i="5"/>
  <c r="G210" i="7"/>
  <c r="G209" i="7"/>
  <c r="G42" i="7"/>
  <c r="Q9" i="7"/>
  <c r="Q14" i="7" s="1"/>
  <c r="B127" i="5"/>
  <c r="Q267" i="7"/>
  <c r="L241" i="5"/>
  <c r="P216" i="10"/>
  <c r="R267" i="10"/>
  <c r="S15" i="10"/>
  <c r="R15" i="5"/>
  <c r="R15" i="7"/>
  <c r="Q216" i="7"/>
  <c r="G210" i="5"/>
  <c r="G42" i="5"/>
  <c r="G209" i="5"/>
  <c r="R207" i="5"/>
  <c r="R240" i="5"/>
  <c r="R216" i="5"/>
  <c r="Q4" i="11"/>
  <c r="Q264" i="10"/>
  <c r="Q262" i="10"/>
  <c r="Q263" i="10"/>
  <c r="Q110" i="10"/>
  <c r="Q104" i="10"/>
  <c r="Q113" i="10"/>
  <c r="Q112" i="10"/>
  <c r="Q111" i="10"/>
  <c r="Q109" i="10"/>
  <c r="Q107" i="10"/>
  <c r="Q108" i="10"/>
  <c r="Q105" i="10"/>
  <c r="Q8" i="10"/>
  <c r="Q106" i="10"/>
  <c r="Q11" i="10"/>
  <c r="Q39" i="10"/>
  <c r="Q10" i="10"/>
  <c r="Q40" i="10" s="1"/>
  <c r="Q217" i="10" s="1"/>
  <c r="Q9" i="10"/>
  <c r="Q14" i="10" s="1"/>
  <c r="Q218" i="10" s="1"/>
  <c r="R4" i="10"/>
  <c r="Q239" i="10"/>
  <c r="Q206" i="10"/>
  <c r="Q49" i="10"/>
  <c r="P9" i="10"/>
  <c r="P14" i="10" s="1"/>
  <c r="P218" i="10" s="1"/>
  <c r="R69" i="5"/>
  <c r="Q69" i="7"/>
  <c r="R9" i="5"/>
  <c r="R14" i="5" s="1"/>
  <c r="G71" i="10"/>
  <c r="Q5" i="11"/>
  <c r="R5" i="10"/>
  <c r="R68" i="7"/>
  <c r="O70" i="7"/>
  <c r="R262" i="7"/>
  <c r="R263" i="7"/>
  <c r="R264" i="7"/>
  <c r="R113" i="7"/>
  <c r="R112" i="7"/>
  <c r="R111" i="7"/>
  <c r="R110" i="7"/>
  <c r="R107" i="7"/>
  <c r="R104" i="7"/>
  <c r="R108" i="7"/>
  <c r="R109" i="7"/>
  <c r="R106" i="7"/>
  <c r="R105" i="7"/>
  <c r="R10" i="7"/>
  <c r="R40" i="7" s="1"/>
  <c r="R217" i="7" s="1"/>
  <c r="R8" i="7"/>
  <c r="S4" i="7"/>
  <c r="R114" i="7"/>
  <c r="R39" i="7"/>
  <c r="R11" i="7"/>
  <c r="R239" i="7"/>
  <c r="R49" i="7"/>
  <c r="R206" i="7"/>
  <c r="P83" i="5"/>
  <c r="O41" i="5"/>
  <c r="N199" i="7"/>
  <c r="N26" i="7"/>
  <c r="Q240" i="7"/>
  <c r="Q207" i="7"/>
  <c r="S263" i="5"/>
  <c r="S264" i="5"/>
  <c r="S109" i="5"/>
  <c r="S114" i="5"/>
  <c r="S106" i="5"/>
  <c r="S111" i="5"/>
  <c r="S115" i="5"/>
  <c r="S107" i="5"/>
  <c r="S39" i="5"/>
  <c r="S8" i="5"/>
  <c r="T4" i="5"/>
  <c r="S105" i="5"/>
  <c r="S110" i="5"/>
  <c r="S104" i="5"/>
  <c r="S112" i="5"/>
  <c r="S108" i="5"/>
  <c r="S10" i="5"/>
  <c r="S40" i="5" s="1"/>
  <c r="S113" i="5"/>
  <c r="S11" i="5"/>
  <c r="N241" i="10"/>
  <c r="H208" i="10"/>
  <c r="H210" i="10" s="1"/>
  <c r="P68" i="10"/>
  <c r="N26" i="5"/>
  <c r="N199" i="5"/>
  <c r="H219" i="10"/>
  <c r="H243" i="10" s="1"/>
  <c r="G243" i="5"/>
  <c r="B145" i="7"/>
  <c r="N242" i="7"/>
  <c r="O242" i="7" s="1"/>
  <c r="P242" i="7" s="1"/>
  <c r="N8" i="11"/>
  <c r="N10" i="11" s="1"/>
  <c r="N31" i="11" s="1"/>
  <c r="N199" i="10"/>
  <c r="N26" i="10"/>
  <c r="P240" i="10"/>
  <c r="P207" i="10"/>
  <c r="P83" i="7"/>
  <c r="O41" i="7"/>
  <c r="G243" i="7"/>
  <c r="O242" i="10"/>
  <c r="P242" i="10" s="1"/>
  <c r="R68" i="5"/>
  <c r="I208" i="10" l="1"/>
  <c r="I210" i="10" s="1"/>
  <c r="Q83" i="7"/>
  <c r="P41" i="7"/>
  <c r="S68" i="5"/>
  <c r="T68" i="5" s="1"/>
  <c r="B146" i="7"/>
  <c r="P70" i="7"/>
  <c r="O199" i="7"/>
  <c r="O26" i="7"/>
  <c r="Q242" i="7"/>
  <c r="R4" i="11"/>
  <c r="R263" i="10"/>
  <c r="R262" i="10"/>
  <c r="R264" i="10"/>
  <c r="R107" i="10"/>
  <c r="R113" i="10"/>
  <c r="R112" i="10"/>
  <c r="R111" i="10"/>
  <c r="R110" i="10"/>
  <c r="R109" i="10"/>
  <c r="R108" i="10"/>
  <c r="R104" i="10"/>
  <c r="R105" i="10"/>
  <c r="R8" i="10"/>
  <c r="R114" i="10"/>
  <c r="R106" i="10"/>
  <c r="R9" i="10"/>
  <c r="R14" i="10" s="1"/>
  <c r="R218" i="10" s="1"/>
  <c r="R11" i="10"/>
  <c r="R39" i="10"/>
  <c r="R10" i="10"/>
  <c r="R40" i="10" s="1"/>
  <c r="R217" i="10" s="1"/>
  <c r="S4" i="10"/>
  <c r="R206" i="10"/>
  <c r="R239" i="10"/>
  <c r="R49" i="10"/>
  <c r="H209" i="10"/>
  <c r="H42" i="10"/>
  <c r="S216" i="5"/>
  <c r="S264" i="7"/>
  <c r="S110" i="7"/>
  <c r="S263" i="7"/>
  <c r="S111" i="7"/>
  <c r="S107" i="7"/>
  <c r="S104" i="7"/>
  <c r="S10" i="7"/>
  <c r="S40" i="7" s="1"/>
  <c r="S217" i="7" s="1"/>
  <c r="S109" i="7"/>
  <c r="S115" i="7"/>
  <c r="S114" i="7"/>
  <c r="S105" i="7"/>
  <c r="S9" i="7"/>
  <c r="S14" i="7" s="1"/>
  <c r="S108" i="7"/>
  <c r="S106" i="7"/>
  <c r="S113" i="7"/>
  <c r="S39" i="7"/>
  <c r="S8" i="7"/>
  <c r="T4" i="7"/>
  <c r="S112" i="7"/>
  <c r="S11" i="7"/>
  <c r="S217" i="5"/>
  <c r="O8" i="11"/>
  <c r="O10" i="11" s="1"/>
  <c r="O26" i="10"/>
  <c r="O199" i="10"/>
  <c r="O241" i="10"/>
  <c r="Q216" i="10"/>
  <c r="Q69" i="10"/>
  <c r="R69" i="10" s="1"/>
  <c r="M241" i="7"/>
  <c r="Q242" i="10"/>
  <c r="R242" i="10" s="1"/>
  <c r="R78" i="7"/>
  <c r="S68" i="7"/>
  <c r="H71" i="10"/>
  <c r="Q240" i="10"/>
  <c r="Q207" i="10"/>
  <c r="G71" i="5"/>
  <c r="R267" i="7"/>
  <c r="R218" i="7"/>
  <c r="B128" i="5"/>
  <c r="H208" i="7"/>
  <c r="I219" i="10"/>
  <c r="I243" i="10" s="1"/>
  <c r="R5" i="11"/>
  <c r="S5" i="10"/>
  <c r="G71" i="7"/>
  <c r="H208" i="5"/>
  <c r="H210" i="5" s="1"/>
  <c r="R218" i="5"/>
  <c r="R242" i="5" s="1"/>
  <c r="R267" i="5"/>
  <c r="R240" i="7"/>
  <c r="R207" i="7"/>
  <c r="R69" i="7"/>
  <c r="Q83" i="10"/>
  <c r="P41" i="10"/>
  <c r="P70" i="10" s="1"/>
  <c r="S9" i="5"/>
  <c r="S14" i="5" s="1"/>
  <c r="M241" i="5"/>
  <c r="H219" i="5"/>
  <c r="O26" i="5"/>
  <c r="O199" i="5"/>
  <c r="H219" i="7"/>
  <c r="Q68" i="10"/>
  <c r="T264" i="5"/>
  <c r="T263" i="5"/>
  <c r="T114" i="5"/>
  <c r="T106" i="5"/>
  <c r="T111" i="5"/>
  <c r="T116" i="5"/>
  <c r="T108" i="5"/>
  <c r="T112" i="5"/>
  <c r="T104" i="5"/>
  <c r="T105" i="5"/>
  <c r="U4" i="5"/>
  <c r="T110" i="5"/>
  <c r="T115" i="5"/>
  <c r="T107" i="5"/>
  <c r="T39" i="5"/>
  <c r="T10" i="5"/>
  <c r="T40" i="5" s="1"/>
  <c r="T217" i="5" s="1"/>
  <c r="T113" i="5"/>
  <c r="T9" i="5"/>
  <c r="T14" i="5" s="1"/>
  <c r="T8" i="5"/>
  <c r="T109" i="5"/>
  <c r="T11" i="5"/>
  <c r="Q83" i="5"/>
  <c r="P41" i="5"/>
  <c r="P70" i="5" s="1"/>
  <c r="R216" i="7"/>
  <c r="R9" i="7"/>
  <c r="R14" i="7" s="1"/>
  <c r="S69" i="5"/>
  <c r="S267" i="10"/>
  <c r="T15" i="10"/>
  <c r="S15" i="7"/>
  <c r="S15" i="5"/>
  <c r="Q218" i="7"/>
  <c r="N34" i="11"/>
  <c r="O30" i="11" s="1"/>
  <c r="Q78" i="10"/>
  <c r="U263" i="5" l="1"/>
  <c r="U264" i="5"/>
  <c r="U111" i="5"/>
  <c r="U116" i="5"/>
  <c r="U108" i="5"/>
  <c r="U113" i="5"/>
  <c r="U105" i="5"/>
  <c r="U117" i="5"/>
  <c r="U109" i="5"/>
  <c r="U110" i="5"/>
  <c r="U115" i="5"/>
  <c r="U104" i="5"/>
  <c r="U10" i="5"/>
  <c r="U40" i="5" s="1"/>
  <c r="U217" i="5" s="1"/>
  <c r="U112" i="5"/>
  <c r="U39" i="5"/>
  <c r="U8" i="5"/>
  <c r="U107" i="5"/>
  <c r="U114" i="5"/>
  <c r="U106" i="5"/>
  <c r="V4" i="5"/>
  <c r="U11" i="5"/>
  <c r="T264" i="7"/>
  <c r="T263" i="7"/>
  <c r="T115" i="7"/>
  <c r="T110" i="7"/>
  <c r="T104" i="7"/>
  <c r="T10" i="7"/>
  <c r="T40" i="7" s="1"/>
  <c r="T217" i="7" s="1"/>
  <c r="T109" i="7"/>
  <c r="T106" i="7"/>
  <c r="T116" i="7"/>
  <c r="T114" i="7"/>
  <c r="T113" i="7"/>
  <c r="T112" i="7"/>
  <c r="T9" i="7"/>
  <c r="T14" i="7" s="1"/>
  <c r="T108" i="7"/>
  <c r="U4" i="7"/>
  <c r="T105" i="7"/>
  <c r="T111" i="7"/>
  <c r="T8" i="7"/>
  <c r="T11" i="7"/>
  <c r="T107" i="7"/>
  <c r="T39" i="7"/>
  <c r="S4" i="11"/>
  <c r="S263" i="10"/>
  <c r="S264" i="10"/>
  <c r="S112" i="10"/>
  <c r="S111" i="10"/>
  <c r="S110" i="10"/>
  <c r="S109" i="10"/>
  <c r="S108" i="10"/>
  <c r="S107" i="10"/>
  <c r="S106" i="10"/>
  <c r="S105" i="10"/>
  <c r="S114" i="10"/>
  <c r="S115" i="10"/>
  <c r="S11" i="10"/>
  <c r="S113" i="10"/>
  <c r="S104" i="10"/>
  <c r="S39" i="10"/>
  <c r="S10" i="10"/>
  <c r="S40" i="10" s="1"/>
  <c r="S217" i="10" s="1"/>
  <c r="T4" i="10"/>
  <c r="S9" i="10"/>
  <c r="S14" i="10" s="1"/>
  <c r="S218" i="10" s="1"/>
  <c r="S8" i="10"/>
  <c r="S218" i="7"/>
  <c r="S267" i="7"/>
  <c r="H209" i="7"/>
  <c r="H42" i="7"/>
  <c r="H71" i="7" s="1"/>
  <c r="J208" i="10"/>
  <c r="J210" i="10"/>
  <c r="J219" i="10"/>
  <c r="J243" i="10" s="1"/>
  <c r="B129" i="5"/>
  <c r="P241" i="10"/>
  <c r="S218" i="5"/>
  <c r="S242" i="5" s="1"/>
  <c r="S267" i="5"/>
  <c r="R68" i="10"/>
  <c r="N241" i="5"/>
  <c r="I71" i="10"/>
  <c r="S69" i="10"/>
  <c r="B147" i="7"/>
  <c r="T68" i="7"/>
  <c r="R216" i="10"/>
  <c r="U68" i="5"/>
  <c r="S216" i="7"/>
  <c r="R240" i="10"/>
  <c r="R207" i="10"/>
  <c r="T267" i="10"/>
  <c r="U15" i="10"/>
  <c r="T15" i="7"/>
  <c r="T15" i="5"/>
  <c r="H243" i="7"/>
  <c r="H210" i="7"/>
  <c r="P8" i="11"/>
  <c r="P10" i="11" s="1"/>
  <c r="P31" i="11" s="1"/>
  <c r="P26" i="10"/>
  <c r="P199" i="10"/>
  <c r="S242" i="10"/>
  <c r="O31" i="11"/>
  <c r="R83" i="5"/>
  <c r="Q41" i="5"/>
  <c r="R83" i="10"/>
  <c r="Q41" i="10"/>
  <c r="H42" i="5"/>
  <c r="H71" i="5" s="1"/>
  <c r="H209" i="5"/>
  <c r="S5" i="11"/>
  <c r="T5" i="10"/>
  <c r="Q70" i="7"/>
  <c r="R242" i="7"/>
  <c r="S242" i="7" s="1"/>
  <c r="I208" i="5"/>
  <c r="N241" i="7"/>
  <c r="P26" i="7"/>
  <c r="P199" i="7"/>
  <c r="P199" i="5"/>
  <c r="P26" i="5"/>
  <c r="I209" i="10"/>
  <c r="I42" i="10"/>
  <c r="R78" i="10"/>
  <c r="O34" i="11"/>
  <c r="P30" i="11" s="1"/>
  <c r="P34" i="11" s="1"/>
  <c r="Q30" i="11" s="1"/>
  <c r="T69" i="5"/>
  <c r="U69" i="5" s="1"/>
  <c r="T216" i="5"/>
  <c r="H243" i="5"/>
  <c r="S69" i="7"/>
  <c r="T69" i="7" s="1"/>
  <c r="R83" i="7"/>
  <c r="Q41" i="7"/>
  <c r="T267" i="5" l="1"/>
  <c r="T218" i="5"/>
  <c r="T242" i="5" s="1"/>
  <c r="I219" i="5"/>
  <c r="B130" i="5"/>
  <c r="S216" i="10"/>
  <c r="T242" i="7"/>
  <c r="T267" i="7"/>
  <c r="T218" i="7"/>
  <c r="T69" i="10"/>
  <c r="T216" i="7"/>
  <c r="U267" i="10"/>
  <c r="V15" i="10"/>
  <c r="U15" i="7"/>
  <c r="U15" i="5"/>
  <c r="Q241" i="10"/>
  <c r="K243" i="10"/>
  <c r="K219" i="10"/>
  <c r="U264" i="7"/>
  <c r="U263" i="7"/>
  <c r="U112" i="7"/>
  <c r="U109" i="7"/>
  <c r="U106" i="7"/>
  <c r="U117" i="7"/>
  <c r="U116" i="7"/>
  <c r="U113" i="7"/>
  <c r="U111" i="7"/>
  <c r="U107" i="7"/>
  <c r="U108" i="7"/>
  <c r="V4" i="7"/>
  <c r="U114" i="7"/>
  <c r="U105" i="7"/>
  <c r="U115" i="7"/>
  <c r="U104" i="7"/>
  <c r="U8" i="7"/>
  <c r="U110" i="7"/>
  <c r="U39" i="7"/>
  <c r="U68" i="7" s="1"/>
  <c r="U10" i="7"/>
  <c r="U40" i="7" s="1"/>
  <c r="U217" i="7" s="1"/>
  <c r="U11" i="7"/>
  <c r="Q26" i="7"/>
  <c r="Q199" i="7"/>
  <c r="U216" i="5"/>
  <c r="Q199" i="5"/>
  <c r="Q26" i="5"/>
  <c r="T5" i="11"/>
  <c r="U5" i="10"/>
  <c r="S83" i="5"/>
  <c r="R41" i="5"/>
  <c r="S68" i="10"/>
  <c r="Q8" i="11"/>
  <c r="Q10" i="11" s="1"/>
  <c r="Q31" i="11" s="1"/>
  <c r="Q199" i="10"/>
  <c r="Q26" i="10"/>
  <c r="O241" i="5"/>
  <c r="Q70" i="10"/>
  <c r="S83" i="7"/>
  <c r="R41" i="7"/>
  <c r="I71" i="5"/>
  <c r="U69" i="7"/>
  <c r="I209" i="5"/>
  <c r="I42" i="5"/>
  <c r="I208" i="7"/>
  <c r="K208" i="10"/>
  <c r="T4" i="11"/>
  <c r="T263" i="10"/>
  <c r="T264" i="10"/>
  <c r="T109" i="10"/>
  <c r="T110" i="10"/>
  <c r="T108" i="10"/>
  <c r="T107" i="10"/>
  <c r="T106" i="10"/>
  <c r="T105" i="10"/>
  <c r="T116" i="10"/>
  <c r="T114" i="10"/>
  <c r="T113" i="10"/>
  <c r="T104" i="10"/>
  <c r="T115" i="10"/>
  <c r="T11" i="10"/>
  <c r="T111" i="10"/>
  <c r="T39" i="10"/>
  <c r="T10" i="10"/>
  <c r="T40" i="10" s="1"/>
  <c r="T217" i="10" s="1"/>
  <c r="T8" i="10"/>
  <c r="T112" i="10"/>
  <c r="U4" i="10"/>
  <c r="V263" i="5"/>
  <c r="V264" i="5"/>
  <c r="V116" i="5"/>
  <c r="V108" i="5"/>
  <c r="V113" i="5"/>
  <c r="V105" i="5"/>
  <c r="V118" i="5"/>
  <c r="V110" i="5"/>
  <c r="V114" i="5"/>
  <c r="V106" i="5"/>
  <c r="V115" i="5"/>
  <c r="V10" i="5"/>
  <c r="V40" i="5" s="1"/>
  <c r="V217" i="5" s="1"/>
  <c r="V104" i="5"/>
  <c r="V109" i="5"/>
  <c r="V117" i="5"/>
  <c r="W4" i="5"/>
  <c r="V112" i="5"/>
  <c r="V9" i="5"/>
  <c r="V14" i="5" s="1"/>
  <c r="V8" i="5"/>
  <c r="V111" i="5"/>
  <c r="V107" i="5"/>
  <c r="V39" i="5"/>
  <c r="V11" i="5"/>
  <c r="S83" i="10"/>
  <c r="R41" i="10"/>
  <c r="Q34" i="11"/>
  <c r="R30" i="11" s="1"/>
  <c r="O241" i="7"/>
  <c r="I210" i="5"/>
  <c r="I219" i="7"/>
  <c r="B148" i="7"/>
  <c r="J209" i="10"/>
  <c r="J42" i="10"/>
  <c r="U9" i="5"/>
  <c r="U14" i="5" s="1"/>
  <c r="Q70" i="5"/>
  <c r="V267" i="10" l="1"/>
  <c r="W15" i="10"/>
  <c r="V15" i="7"/>
  <c r="V15" i="5"/>
  <c r="R199" i="5"/>
  <c r="R26" i="5"/>
  <c r="I243" i="7"/>
  <c r="R8" i="11"/>
  <c r="R10" i="11" s="1"/>
  <c r="R31" i="11" s="1"/>
  <c r="R34" i="11" s="1"/>
  <c r="S30" i="11" s="1"/>
  <c r="R26" i="10"/>
  <c r="R199" i="10"/>
  <c r="P241" i="5"/>
  <c r="T83" i="5"/>
  <c r="S41" i="5"/>
  <c r="T83" i="10"/>
  <c r="S41" i="10"/>
  <c r="V216" i="5"/>
  <c r="T216" i="10"/>
  <c r="K209" i="10"/>
  <c r="K42" i="10"/>
  <c r="J208" i="5"/>
  <c r="J210" i="5" s="1"/>
  <c r="U69" i="10"/>
  <c r="R70" i="5"/>
  <c r="S70" i="5" s="1"/>
  <c r="I209" i="7"/>
  <c r="I42" i="7"/>
  <c r="V68" i="5"/>
  <c r="P241" i="7"/>
  <c r="T9" i="10"/>
  <c r="T14" i="10" s="1"/>
  <c r="T218" i="10" s="1"/>
  <c r="T242" i="10" s="1"/>
  <c r="U242" i="10" s="1"/>
  <c r="I210" i="7"/>
  <c r="R199" i="7"/>
  <c r="R26" i="7"/>
  <c r="J71" i="10"/>
  <c r="V69" i="5"/>
  <c r="L219" i="10"/>
  <c r="L243" i="10" s="1"/>
  <c r="R241" i="10"/>
  <c r="B131" i="5"/>
  <c r="W264" i="5"/>
  <c r="W113" i="5"/>
  <c r="W105" i="5"/>
  <c r="W118" i="5"/>
  <c r="W110" i="5"/>
  <c r="W115" i="5"/>
  <c r="W107" i="5"/>
  <c r="W119" i="5"/>
  <c r="W111" i="5"/>
  <c r="W104" i="5"/>
  <c r="W10" i="5"/>
  <c r="W40" i="5" s="1"/>
  <c r="W217" i="5" s="1"/>
  <c r="W109" i="5"/>
  <c r="W114" i="5"/>
  <c r="W106" i="5"/>
  <c r="W117" i="5"/>
  <c r="W8" i="5"/>
  <c r="W108" i="5"/>
  <c r="W116" i="5"/>
  <c r="W39" i="5"/>
  <c r="X4" i="5"/>
  <c r="W112" i="5"/>
  <c r="W11" i="5"/>
  <c r="U264" i="10"/>
  <c r="U4" i="11"/>
  <c r="U263" i="10"/>
  <c r="U114" i="10"/>
  <c r="U106" i="10"/>
  <c r="U109" i="10"/>
  <c r="U108" i="10"/>
  <c r="U107" i="10"/>
  <c r="U105" i="10"/>
  <c r="U117" i="10"/>
  <c r="U116" i="10"/>
  <c r="U112" i="10"/>
  <c r="U111" i="10"/>
  <c r="U115" i="10"/>
  <c r="U11" i="10"/>
  <c r="U39" i="10"/>
  <c r="U10" i="10"/>
  <c r="U40" i="10" s="1"/>
  <c r="U217" i="10" s="1"/>
  <c r="U110" i="10"/>
  <c r="U113" i="10"/>
  <c r="U104" i="10"/>
  <c r="V4" i="10"/>
  <c r="U9" i="10"/>
  <c r="U14" i="10" s="1"/>
  <c r="U218" i="10" s="1"/>
  <c r="U8" i="10"/>
  <c r="T83" i="7"/>
  <c r="S41" i="7"/>
  <c r="U216" i="7"/>
  <c r="U267" i="5"/>
  <c r="U218" i="5"/>
  <c r="U242" i="5" s="1"/>
  <c r="R70" i="7"/>
  <c r="U5" i="11"/>
  <c r="V5" i="10"/>
  <c r="K210" i="10"/>
  <c r="B149" i="7"/>
  <c r="R70" i="10"/>
  <c r="T68" i="10"/>
  <c r="V264" i="7"/>
  <c r="V263" i="7"/>
  <c r="V117" i="7"/>
  <c r="V106" i="7"/>
  <c r="V116" i="7"/>
  <c r="V108" i="7"/>
  <c r="V118" i="7"/>
  <c r="V110" i="7"/>
  <c r="V104" i="7"/>
  <c r="W4" i="7"/>
  <c r="V114" i="7"/>
  <c r="V112" i="7"/>
  <c r="V107" i="7"/>
  <c r="V10" i="7"/>
  <c r="V40" i="7" s="1"/>
  <c r="V217" i="7" s="1"/>
  <c r="V105" i="7"/>
  <c r="V113" i="7"/>
  <c r="V115" i="7"/>
  <c r="V111" i="7"/>
  <c r="V109" i="7"/>
  <c r="V11" i="7"/>
  <c r="V39" i="7"/>
  <c r="V8" i="7"/>
  <c r="U9" i="7"/>
  <c r="U14" i="7" s="1"/>
  <c r="U218" i="7" s="1"/>
  <c r="U242" i="7" s="1"/>
  <c r="U267" i="7"/>
  <c r="I243" i="5"/>
  <c r="M219" i="10" l="1"/>
  <c r="M243" i="10" s="1"/>
  <c r="S70" i="10"/>
  <c r="T70" i="10" s="1"/>
  <c r="B150" i="7"/>
  <c r="V264" i="10"/>
  <c r="V263" i="10"/>
  <c r="V4" i="11"/>
  <c r="V111" i="10"/>
  <c r="V107" i="10"/>
  <c r="V105" i="10"/>
  <c r="V118" i="10"/>
  <c r="V106" i="10"/>
  <c r="V117" i="10"/>
  <c r="V116" i="10"/>
  <c r="V115" i="10"/>
  <c r="V104" i="10"/>
  <c r="V114" i="10"/>
  <c r="V112" i="10"/>
  <c r="V110" i="10"/>
  <c r="V39" i="10"/>
  <c r="V10" i="10"/>
  <c r="V40" i="10" s="1"/>
  <c r="V217" i="10" s="1"/>
  <c r="V9" i="10"/>
  <c r="V14" i="10" s="1"/>
  <c r="V218" i="10" s="1"/>
  <c r="V242" i="10" s="1"/>
  <c r="V113" i="10"/>
  <c r="V109" i="10"/>
  <c r="V108" i="10"/>
  <c r="V8" i="10"/>
  <c r="W4" i="10"/>
  <c r="V11" i="10"/>
  <c r="U216" i="10"/>
  <c r="S241" i="10"/>
  <c r="K208" i="5"/>
  <c r="K210" i="5" s="1"/>
  <c r="W33" i="5"/>
  <c r="W9" i="5"/>
  <c r="W14" i="5" s="1"/>
  <c r="J208" i="7"/>
  <c r="S8" i="11"/>
  <c r="S10" i="11" s="1"/>
  <c r="S31" i="11" s="1"/>
  <c r="S34" i="11" s="1"/>
  <c r="T30" i="11" s="1"/>
  <c r="S199" i="10"/>
  <c r="S26" i="10"/>
  <c r="W264" i="7"/>
  <c r="W114" i="7"/>
  <c r="W119" i="7"/>
  <c r="W117" i="7"/>
  <c r="W116" i="7"/>
  <c r="W108" i="7"/>
  <c r="W39" i="7"/>
  <c r="W118" i="7"/>
  <c r="W115" i="7"/>
  <c r="W105" i="7"/>
  <c r="W109" i="7"/>
  <c r="W112" i="7"/>
  <c r="W107" i="7"/>
  <c r="W10" i="7"/>
  <c r="W40" i="7" s="1"/>
  <c r="W217" i="7" s="1"/>
  <c r="W110" i="7"/>
  <c r="W8" i="7"/>
  <c r="W113" i="7"/>
  <c r="W111" i="7"/>
  <c r="W104" i="7"/>
  <c r="W11" i="7"/>
  <c r="X4" i="7"/>
  <c r="W106" i="7"/>
  <c r="J219" i="7"/>
  <c r="J243" i="7" s="1"/>
  <c r="V5" i="11"/>
  <c r="W5" i="10"/>
  <c r="W216" i="5"/>
  <c r="W69" i="5"/>
  <c r="X69" i="5" s="1"/>
  <c r="W68" i="5"/>
  <c r="X68" i="5" s="1"/>
  <c r="U83" i="5"/>
  <c r="T41" i="5"/>
  <c r="V267" i="7"/>
  <c r="L208" i="10"/>
  <c r="V216" i="7"/>
  <c r="S199" i="5"/>
  <c r="S26" i="5"/>
  <c r="S199" i="7"/>
  <c r="S26" i="7"/>
  <c r="B132" i="5"/>
  <c r="K71" i="10"/>
  <c r="V69" i="7"/>
  <c r="W267" i="10"/>
  <c r="X15" i="10"/>
  <c r="W15" i="7"/>
  <c r="W15" i="5"/>
  <c r="V68" i="7"/>
  <c r="W68" i="7" s="1"/>
  <c r="U83" i="10"/>
  <c r="T41" i="10"/>
  <c r="X118" i="5"/>
  <c r="X110" i="5"/>
  <c r="X115" i="5"/>
  <c r="X107" i="5"/>
  <c r="X120" i="5"/>
  <c r="X112" i="5"/>
  <c r="X104" i="5"/>
  <c r="X264" i="5"/>
  <c r="X116" i="5"/>
  <c r="X108" i="5"/>
  <c r="X109" i="5"/>
  <c r="X9" i="5"/>
  <c r="X14" i="5" s="1"/>
  <c r="X114" i="5"/>
  <c r="X119" i="5"/>
  <c r="X111" i="5"/>
  <c r="X10" i="5"/>
  <c r="X40" i="5" s="1"/>
  <c r="X217" i="5" s="1"/>
  <c r="X113" i="5"/>
  <c r="X105" i="5"/>
  <c r="X8" i="5"/>
  <c r="Y4" i="5"/>
  <c r="X106" i="5"/>
  <c r="X39" i="5"/>
  <c r="X117" i="5"/>
  <c r="X11" i="5"/>
  <c r="Q241" i="7"/>
  <c r="V267" i="5"/>
  <c r="V218" i="5"/>
  <c r="V242" i="5" s="1"/>
  <c r="V9" i="7"/>
  <c r="V14" i="7" s="1"/>
  <c r="V218" i="7" s="1"/>
  <c r="V242" i="7" s="1"/>
  <c r="J219" i="5"/>
  <c r="J243" i="5" s="1"/>
  <c r="U68" i="10"/>
  <c r="V68" i="10" s="1"/>
  <c r="S70" i="7"/>
  <c r="T70" i="7" s="1"/>
  <c r="U83" i="7"/>
  <c r="T41" i="7"/>
  <c r="I71" i="7"/>
  <c r="J209" i="5"/>
  <c r="J42" i="5"/>
  <c r="J71" i="5" s="1"/>
  <c r="Q241" i="5"/>
  <c r="K219" i="7" l="1"/>
  <c r="K243" i="7" s="1"/>
  <c r="K219" i="5"/>
  <c r="K243" i="5" s="1"/>
  <c r="N219" i="10"/>
  <c r="N243" i="10" s="1"/>
  <c r="B133" i="5"/>
  <c r="V83" i="5"/>
  <c r="U41" i="5"/>
  <c r="K71" i="5"/>
  <c r="R241" i="5"/>
  <c r="V83" i="7"/>
  <c r="U41" i="7"/>
  <c r="X33" i="5"/>
  <c r="X68" i="7"/>
  <c r="T199" i="5"/>
  <c r="T26" i="5"/>
  <c r="W5" i="11"/>
  <c r="X5" i="10"/>
  <c r="W197" i="5"/>
  <c r="W37" i="5"/>
  <c r="B151" i="7"/>
  <c r="R241" i="7"/>
  <c r="W267" i="5"/>
  <c r="W218" i="5"/>
  <c r="W242" i="5" s="1"/>
  <c r="X216" i="5"/>
  <c r="L209" i="10"/>
  <c r="L42" i="10"/>
  <c r="L71" i="10" s="1"/>
  <c r="L210" i="10"/>
  <c r="W264" i="10"/>
  <c r="W4" i="11"/>
  <c r="W116" i="10"/>
  <c r="W108" i="10"/>
  <c r="W119" i="10"/>
  <c r="W118" i="10"/>
  <c r="W106" i="10"/>
  <c r="W117" i="10"/>
  <c r="W115" i="10"/>
  <c r="W104" i="10"/>
  <c r="W114" i="10"/>
  <c r="W113" i="10"/>
  <c r="W112" i="10"/>
  <c r="W110" i="10"/>
  <c r="W109" i="10"/>
  <c r="W111" i="10"/>
  <c r="W9" i="10"/>
  <c r="W14" i="10" s="1"/>
  <c r="W218" i="10" s="1"/>
  <c r="W242" i="10" s="1"/>
  <c r="W107" i="10"/>
  <c r="W11" i="10"/>
  <c r="W105" i="10"/>
  <c r="W8" i="10"/>
  <c r="X4" i="10"/>
  <c r="W10" i="10"/>
  <c r="W40" i="10" s="1"/>
  <c r="W217" i="10" s="1"/>
  <c r="W39" i="10"/>
  <c r="V216" i="10"/>
  <c r="W68" i="10"/>
  <c r="W216" i="7"/>
  <c r="W9" i="7"/>
  <c r="W14" i="7" s="1"/>
  <c r="J209" i="7"/>
  <c r="J42" i="7"/>
  <c r="K209" i="5"/>
  <c r="K42" i="5"/>
  <c r="U70" i="7"/>
  <c r="T241" i="10"/>
  <c r="W267" i="7"/>
  <c r="W218" i="7"/>
  <c r="W242" i="7" s="1"/>
  <c r="X267" i="10"/>
  <c r="Y15" i="10"/>
  <c r="X15" i="7"/>
  <c r="X15" i="5"/>
  <c r="Y69" i="5"/>
  <c r="T8" i="11"/>
  <c r="T10" i="11" s="1"/>
  <c r="T31" i="11" s="1"/>
  <c r="T34" i="11" s="1"/>
  <c r="U30" i="11" s="1"/>
  <c r="T26" i="10"/>
  <c r="T199" i="10"/>
  <c r="T70" i="5"/>
  <c r="J210" i="7"/>
  <c r="L208" i="5"/>
  <c r="L210" i="5" s="1"/>
  <c r="Y264" i="5"/>
  <c r="Y115" i="5"/>
  <c r="Y107" i="5"/>
  <c r="Y120" i="5"/>
  <c r="Y112" i="5"/>
  <c r="Y104" i="5"/>
  <c r="Y117" i="5"/>
  <c r="Y109" i="5"/>
  <c r="Y121" i="5"/>
  <c r="Y113" i="5"/>
  <c r="Y105" i="5"/>
  <c r="Y114" i="5"/>
  <c r="Y9" i="5"/>
  <c r="Y14" i="5" s="1"/>
  <c r="Y119" i="5"/>
  <c r="Y108" i="5"/>
  <c r="Y39" i="5"/>
  <c r="Y8" i="5"/>
  <c r="Y116" i="5"/>
  <c r="Y10" i="5"/>
  <c r="Y40" i="5" s="1"/>
  <c r="Y217" i="5" s="1"/>
  <c r="Y110" i="5"/>
  <c r="Z4" i="5"/>
  <c r="Y118" i="5"/>
  <c r="Y111" i="5"/>
  <c r="Y106" i="5"/>
  <c r="Y11" i="5"/>
  <c r="T26" i="7"/>
  <c r="T199" i="7"/>
  <c r="V83" i="10"/>
  <c r="U41" i="10"/>
  <c r="U70" i="10" s="1"/>
  <c r="W69" i="7"/>
  <c r="X69" i="7" s="1"/>
  <c r="V69" i="10"/>
  <c r="W69" i="10" s="1"/>
  <c r="X264" i="7"/>
  <c r="X119" i="7"/>
  <c r="X111" i="7"/>
  <c r="X117" i="7"/>
  <c r="X116" i="7"/>
  <c r="X108" i="7"/>
  <c r="X39" i="7"/>
  <c r="X8" i="7"/>
  <c r="X118" i="7"/>
  <c r="X115" i="7"/>
  <c r="X105" i="7"/>
  <c r="X114" i="7"/>
  <c r="X113" i="7"/>
  <c r="X120" i="7"/>
  <c r="X106" i="7"/>
  <c r="X112" i="7"/>
  <c r="X107" i="7"/>
  <c r="X10" i="7"/>
  <c r="X40" i="7" s="1"/>
  <c r="X217" i="7" s="1"/>
  <c r="X110" i="7"/>
  <c r="X104" i="7"/>
  <c r="X109" i="7"/>
  <c r="Y4" i="7"/>
  <c r="X11" i="7"/>
  <c r="W33" i="7"/>
  <c r="O219" i="10" l="1"/>
  <c r="O243" i="10"/>
  <c r="X242" i="7"/>
  <c r="L219" i="7"/>
  <c r="L243" i="7" s="1"/>
  <c r="L209" i="5"/>
  <c r="L42" i="5"/>
  <c r="L71" i="5" s="1"/>
  <c r="Z69" i="5"/>
  <c r="S241" i="5"/>
  <c r="W197" i="7"/>
  <c r="W37" i="7"/>
  <c r="X33" i="7"/>
  <c r="U70" i="5"/>
  <c r="Y267" i="10"/>
  <c r="Z15" i="10"/>
  <c r="Y15" i="7"/>
  <c r="Y15" i="5"/>
  <c r="X5" i="11"/>
  <c r="Y5" i="10"/>
  <c r="X197" i="5"/>
  <c r="X37" i="5"/>
  <c r="B134" i="5"/>
  <c r="M208" i="10"/>
  <c r="X9" i="7"/>
  <c r="X14" i="7" s="1"/>
  <c r="U241" i="10"/>
  <c r="X4" i="11"/>
  <c r="X264" i="10"/>
  <c r="X113" i="10"/>
  <c r="X117" i="10"/>
  <c r="X120" i="10"/>
  <c r="X116" i="10"/>
  <c r="X115" i="10"/>
  <c r="X104" i="10"/>
  <c r="X114" i="10"/>
  <c r="X112" i="10"/>
  <c r="X110" i="10"/>
  <c r="X108" i="10"/>
  <c r="X105" i="10"/>
  <c r="X107" i="10"/>
  <c r="X111" i="10"/>
  <c r="X9" i="10"/>
  <c r="X14" i="10" s="1"/>
  <c r="X218" i="10" s="1"/>
  <c r="X242" i="10" s="1"/>
  <c r="X118" i="10"/>
  <c r="X8" i="10"/>
  <c r="X106" i="10"/>
  <c r="X109" i="10"/>
  <c r="X39" i="10"/>
  <c r="X68" i="10" s="1"/>
  <c r="X10" i="10"/>
  <c r="X40" i="10" s="1"/>
  <c r="X217" i="10" s="1"/>
  <c r="X119" i="10"/>
  <c r="X11" i="10"/>
  <c r="Y4" i="10"/>
  <c r="S241" i="7"/>
  <c r="U26" i="7"/>
  <c r="U199" i="7"/>
  <c r="X267" i="5"/>
  <c r="X218" i="5"/>
  <c r="X242" i="5" s="1"/>
  <c r="L219" i="5"/>
  <c r="L243" i="5" s="1"/>
  <c r="W83" i="10"/>
  <c r="V41" i="10"/>
  <c r="V70" i="10" s="1"/>
  <c r="Z264" i="5"/>
  <c r="Z120" i="5"/>
  <c r="Z112" i="5"/>
  <c r="Z104" i="5"/>
  <c r="Z117" i="5"/>
  <c r="Z109" i="5"/>
  <c r="Z122" i="5"/>
  <c r="Z114" i="5"/>
  <c r="Z106" i="5"/>
  <c r="Z118" i="5"/>
  <c r="Z110" i="5"/>
  <c r="Z119" i="5"/>
  <c r="Z8" i="5"/>
  <c r="Z108" i="5"/>
  <c r="Z39" i="5"/>
  <c r="Z113" i="5"/>
  <c r="AA4" i="5"/>
  <c r="Z121" i="5"/>
  <c r="Z105" i="5"/>
  <c r="Z115" i="5"/>
  <c r="Z111" i="5"/>
  <c r="Z116" i="5"/>
  <c r="Z107" i="5"/>
  <c r="Z10" i="5"/>
  <c r="Z40" i="5" s="1"/>
  <c r="Z217" i="5" s="1"/>
  <c r="Z11" i="5"/>
  <c r="K208" i="7"/>
  <c r="K210" i="7" s="1"/>
  <c r="Y216" i="5"/>
  <c r="Y264" i="7"/>
  <c r="Y116" i="7"/>
  <c r="Y121" i="7"/>
  <c r="Y118" i="7"/>
  <c r="Y115" i="7"/>
  <c r="Y105" i="7"/>
  <c r="Z4" i="7"/>
  <c r="Y114" i="7"/>
  <c r="Y113" i="7"/>
  <c r="Y112" i="7"/>
  <c r="Y107" i="7"/>
  <c r="Y119" i="7"/>
  <c r="Y120" i="7"/>
  <c r="Y110" i="7"/>
  <c r="Y8" i="7"/>
  <c r="Y106" i="7"/>
  <c r="Y39" i="7"/>
  <c r="Y111" i="7"/>
  <c r="Y104" i="7"/>
  <c r="Y109" i="7"/>
  <c r="Y108" i="7"/>
  <c r="Y117" i="7"/>
  <c r="Y10" i="7"/>
  <c r="Y40" i="7" s="1"/>
  <c r="Y217" i="7" s="1"/>
  <c r="Y9" i="7"/>
  <c r="Y14" i="7" s="1"/>
  <c r="Y11" i="7"/>
  <c r="X216" i="7"/>
  <c r="V70" i="7"/>
  <c r="W33" i="10"/>
  <c r="B152" i="7"/>
  <c r="W83" i="7"/>
  <c r="V41" i="7"/>
  <c r="U8" i="11"/>
  <c r="U10" i="11" s="1"/>
  <c r="U31" i="11" s="1"/>
  <c r="U34" i="11" s="1"/>
  <c r="V30" i="11" s="1"/>
  <c r="U199" i="10"/>
  <c r="U26" i="10"/>
  <c r="M208" i="5"/>
  <c r="M210" i="5" s="1"/>
  <c r="Y33" i="5"/>
  <c r="X267" i="7"/>
  <c r="X218" i="7"/>
  <c r="U26" i="5"/>
  <c r="U199" i="5"/>
  <c r="W216" i="10"/>
  <c r="W83" i="5"/>
  <c r="V41" i="5"/>
  <c r="X69" i="10"/>
  <c r="J71" i="7"/>
  <c r="Y68" i="5"/>
  <c r="M219" i="5" l="1"/>
  <c r="M243" i="5" s="1"/>
  <c r="W70" i="10"/>
  <c r="Y242" i="5"/>
  <c r="P219" i="10"/>
  <c r="P243" i="10" s="1"/>
  <c r="Y197" i="5"/>
  <c r="Y37" i="5"/>
  <c r="Y218" i="5"/>
  <c r="Y267" i="5"/>
  <c r="M219" i="7"/>
  <c r="M243" i="7" s="1"/>
  <c r="N208" i="5"/>
  <c r="N210" i="5" s="1"/>
  <c r="X216" i="10"/>
  <c r="B135" i="5"/>
  <c r="Y242" i="7"/>
  <c r="Z9" i="5"/>
  <c r="Z14" i="5" s="1"/>
  <c r="X33" i="10"/>
  <c r="M209" i="5"/>
  <c r="M42" i="5"/>
  <c r="M71" i="5" s="1"/>
  <c r="B153" i="7"/>
  <c r="Y33" i="7"/>
  <c r="Y267" i="7"/>
  <c r="Y218" i="7"/>
  <c r="X197" i="7"/>
  <c r="X37" i="7"/>
  <c r="V26" i="5"/>
  <c r="V199" i="5"/>
  <c r="W197" i="10"/>
  <c r="W37" i="10"/>
  <c r="V8" i="11"/>
  <c r="V10" i="11" s="1"/>
  <c r="V31" i="11" s="1"/>
  <c r="V34" i="11" s="1"/>
  <c r="W30" i="11" s="1"/>
  <c r="V26" i="10"/>
  <c r="V199" i="10"/>
  <c r="Z216" i="5"/>
  <c r="X83" i="10"/>
  <c r="W41" i="10"/>
  <c r="X83" i="5"/>
  <c r="W41" i="5"/>
  <c r="V241" i="10"/>
  <c r="K209" i="7"/>
  <c r="K42" i="7"/>
  <c r="K71" i="7" s="1"/>
  <c r="Y4" i="11"/>
  <c r="Y264" i="10"/>
  <c r="Y118" i="10"/>
  <c r="Y110" i="10"/>
  <c r="Y120" i="10"/>
  <c r="Y121" i="10"/>
  <c r="Y116" i="10"/>
  <c r="Y115" i="10"/>
  <c r="Y104" i="10"/>
  <c r="Y114" i="10"/>
  <c r="Y113" i="10"/>
  <c r="Y112" i="10"/>
  <c r="Y111" i="10"/>
  <c r="Y108" i="10"/>
  <c r="Y105" i="10"/>
  <c r="Y119" i="10"/>
  <c r="Y106" i="10"/>
  <c r="Y107" i="10"/>
  <c r="Y8" i="10"/>
  <c r="Y117" i="10"/>
  <c r="Y109" i="10"/>
  <c r="Y9" i="10"/>
  <c r="Y14" i="10" s="1"/>
  <c r="Y218" i="10" s="1"/>
  <c r="Y242" i="10" s="1"/>
  <c r="Y39" i="10"/>
  <c r="Y68" i="10" s="1"/>
  <c r="Y10" i="10"/>
  <c r="Y40" i="10" s="1"/>
  <c r="Y217" i="10" s="1"/>
  <c r="Z4" i="10"/>
  <c r="Y11" i="10"/>
  <c r="T241" i="7"/>
  <c r="V70" i="5"/>
  <c r="W70" i="5" s="1"/>
  <c r="T241" i="5"/>
  <c r="Y69" i="7"/>
  <c r="Z69" i="7" s="1"/>
  <c r="Z267" i="10"/>
  <c r="AA15" i="10"/>
  <c r="Z15" i="7"/>
  <c r="Z15" i="5"/>
  <c r="V26" i="7"/>
  <c r="V199" i="7"/>
  <c r="Z264" i="7"/>
  <c r="Z121" i="7"/>
  <c r="Z113" i="7"/>
  <c r="Z118" i="7"/>
  <c r="Z114" i="7"/>
  <c r="Z112" i="7"/>
  <c r="Z107" i="7"/>
  <c r="Z119" i="7"/>
  <c r="Z111" i="7"/>
  <c r="Z110" i="7"/>
  <c r="Z104" i="7"/>
  <c r="Z120" i="7"/>
  <c r="Z117" i="7"/>
  <c r="Z108" i="7"/>
  <c r="Z8" i="7"/>
  <c r="Z106" i="7"/>
  <c r="Z39" i="7"/>
  <c r="Z122" i="7"/>
  <c r="Z116" i="7"/>
  <c r="Z109" i="7"/>
  <c r="Z115" i="7"/>
  <c r="Z10" i="7"/>
  <c r="Z40" i="7" s="1"/>
  <c r="Z217" i="7" s="1"/>
  <c r="Z105" i="7"/>
  <c r="AA4" i="7"/>
  <c r="Z9" i="7"/>
  <c r="Z14" i="7" s="1"/>
  <c r="Z11" i="7"/>
  <c r="L208" i="7"/>
  <c r="M209" i="10"/>
  <c r="M42" i="10"/>
  <c r="M71" i="10" s="1"/>
  <c r="Y5" i="11"/>
  <c r="Z5" i="10"/>
  <c r="Z68" i="5"/>
  <c r="X83" i="7"/>
  <c r="W41" i="7"/>
  <c r="W70" i="7" s="1"/>
  <c r="Y216" i="7"/>
  <c r="AA264" i="5"/>
  <c r="AA117" i="5"/>
  <c r="AA109" i="5"/>
  <c r="AA122" i="5"/>
  <c r="AA114" i="5"/>
  <c r="AA106" i="5"/>
  <c r="AA119" i="5"/>
  <c r="AA111" i="5"/>
  <c r="AA123" i="5"/>
  <c r="AA115" i="5"/>
  <c r="AA107" i="5"/>
  <c r="AA108" i="5"/>
  <c r="AA39" i="5"/>
  <c r="AA8" i="5"/>
  <c r="AA113" i="5"/>
  <c r="AB4" i="5"/>
  <c r="AA118" i="5"/>
  <c r="AA121" i="5"/>
  <c r="AA110" i="5"/>
  <c r="AA105" i="5"/>
  <c r="AA116" i="5"/>
  <c r="AA11" i="5"/>
  <c r="AA120" i="5"/>
  <c r="AA112" i="5"/>
  <c r="AA10" i="5"/>
  <c r="AA40" i="5" s="1"/>
  <c r="AA217" i="5" s="1"/>
  <c r="AA104" i="5"/>
  <c r="Z33" i="5"/>
  <c r="Y68" i="7"/>
  <c r="Z68" i="7" s="1"/>
  <c r="M210" i="10"/>
  <c r="O208" i="5" l="1"/>
  <c r="N219" i="7"/>
  <c r="N243" i="7" s="1"/>
  <c r="X70" i="7"/>
  <c r="Q219" i="10"/>
  <c r="Q243" i="10" s="1"/>
  <c r="N219" i="5"/>
  <c r="N243" i="5" s="1"/>
  <c r="AA69" i="7"/>
  <c r="Z218" i="5"/>
  <c r="Z267" i="5"/>
  <c r="Y197" i="7"/>
  <c r="Y37" i="7"/>
  <c r="X197" i="10"/>
  <c r="X37" i="10"/>
  <c r="U241" i="5"/>
  <c r="X70" i="5"/>
  <c r="X70" i="10"/>
  <c r="AA267" i="10"/>
  <c r="AB15" i="10"/>
  <c r="AA15" i="7"/>
  <c r="AA15" i="5"/>
  <c r="AA216" i="5"/>
  <c r="AA68" i="5"/>
  <c r="U241" i="7"/>
  <c r="Z4" i="11"/>
  <c r="Z264" i="10"/>
  <c r="Z115" i="10"/>
  <c r="Z107" i="10"/>
  <c r="Z120" i="10"/>
  <c r="Z121" i="10"/>
  <c r="Z114" i="10"/>
  <c r="Z113" i="10"/>
  <c r="Z112" i="10"/>
  <c r="Z111" i="10"/>
  <c r="Z110" i="10"/>
  <c r="Z109" i="10"/>
  <c r="Z108" i="10"/>
  <c r="Z105" i="10"/>
  <c r="Z119" i="10"/>
  <c r="Z106" i="10"/>
  <c r="Z117" i="10"/>
  <c r="Z118" i="10"/>
  <c r="Z8" i="10"/>
  <c r="Z104" i="10"/>
  <c r="Z122" i="10"/>
  <c r="Z116" i="10"/>
  <c r="Z9" i="10"/>
  <c r="Z14" i="10" s="1"/>
  <c r="Z218" i="10" s="1"/>
  <c r="Z242" i="10" s="1"/>
  <c r="Z10" i="10"/>
  <c r="Z40" i="10" s="1"/>
  <c r="Z217" i="10" s="1"/>
  <c r="Z39" i="10"/>
  <c r="Z11" i="10"/>
  <c r="AA4" i="10"/>
  <c r="Y33" i="10"/>
  <c r="Y83" i="5"/>
  <c r="X41" i="5"/>
  <c r="W241" i="10"/>
  <c r="Z197" i="5"/>
  <c r="Z37" i="5"/>
  <c r="AA264" i="7"/>
  <c r="AA118" i="7"/>
  <c r="AA110" i="7"/>
  <c r="AA123" i="7"/>
  <c r="AA113" i="7"/>
  <c r="AA112" i="7"/>
  <c r="AA107" i="7"/>
  <c r="AA119" i="7"/>
  <c r="AA111" i="7"/>
  <c r="AA104" i="7"/>
  <c r="AA10" i="7"/>
  <c r="AA40" i="7" s="1"/>
  <c r="AA217" i="7" s="1"/>
  <c r="AA120" i="7"/>
  <c r="AA109" i="7"/>
  <c r="AA121" i="7"/>
  <c r="AA117" i="7"/>
  <c r="AA122" i="7"/>
  <c r="AA116" i="7"/>
  <c r="AA115" i="7"/>
  <c r="AA105" i="7"/>
  <c r="AA114" i="7"/>
  <c r="AA106" i="7"/>
  <c r="AA39" i="7"/>
  <c r="AA108" i="7"/>
  <c r="AA8" i="7"/>
  <c r="AB4" i="7"/>
  <c r="AA9" i="7"/>
  <c r="AA14" i="7" s="1"/>
  <c r="AA11" i="7"/>
  <c r="Z216" i="7"/>
  <c r="W199" i="5"/>
  <c r="W26" i="5"/>
  <c r="B154" i="7"/>
  <c r="AA9" i="5"/>
  <c r="AA14" i="5" s="1"/>
  <c r="Z5" i="11"/>
  <c r="AA5" i="10"/>
  <c r="W8" i="11"/>
  <c r="W10" i="11" s="1"/>
  <c r="W31" i="11" s="1"/>
  <c r="W34" i="11" s="1"/>
  <c r="X30" i="11" s="1"/>
  <c r="W26" i="10"/>
  <c r="W199" i="10"/>
  <c r="L209" i="7"/>
  <c r="L42" i="7"/>
  <c r="L71" i="7" s="1"/>
  <c r="Z267" i="7"/>
  <c r="Z218" i="7"/>
  <c r="Z242" i="7" s="1"/>
  <c r="Z242" i="5"/>
  <c r="W26" i="7"/>
  <c r="W199" i="7"/>
  <c r="L210" i="7"/>
  <c r="N209" i="5"/>
  <c r="N42" i="5"/>
  <c r="N71" i="5" s="1"/>
  <c r="AA33" i="5"/>
  <c r="Y83" i="7"/>
  <c r="X41" i="7"/>
  <c r="N208" i="10"/>
  <c r="N210" i="10" s="1"/>
  <c r="AB264" i="5"/>
  <c r="AB122" i="5"/>
  <c r="AB114" i="5"/>
  <c r="AB106" i="5"/>
  <c r="AB119" i="5"/>
  <c r="AB111" i="5"/>
  <c r="AB124" i="5"/>
  <c r="AB116" i="5"/>
  <c r="AB108" i="5"/>
  <c r="AB120" i="5"/>
  <c r="AB112" i="5"/>
  <c r="AB104" i="5"/>
  <c r="AB113" i="5"/>
  <c r="AC4" i="5"/>
  <c r="AB118" i="5"/>
  <c r="AB123" i="5"/>
  <c r="AB107" i="5"/>
  <c r="AB115" i="5"/>
  <c r="AB110" i="5"/>
  <c r="AB105" i="5"/>
  <c r="AB9" i="5"/>
  <c r="AB14" i="5" s="1"/>
  <c r="AB8" i="5"/>
  <c r="AB10" i="5"/>
  <c r="AB40" i="5" s="1"/>
  <c r="AB217" i="5" s="1"/>
  <c r="AB121" i="5"/>
  <c r="AB39" i="5"/>
  <c r="AB109" i="5"/>
  <c r="AB117" i="5"/>
  <c r="AB11" i="5"/>
  <c r="Z33" i="7"/>
  <c r="AA69" i="5"/>
  <c r="AB69" i="5" s="1"/>
  <c r="Y216" i="10"/>
  <c r="Y83" i="10"/>
  <c r="X41" i="10"/>
  <c r="Y69" i="10"/>
  <c r="Z69" i="10" s="1"/>
  <c r="B136" i="5"/>
  <c r="O219" i="5" l="1"/>
  <c r="O243" i="5" s="1"/>
  <c r="R219" i="10"/>
  <c r="R243" i="10" s="1"/>
  <c r="O208" i="10"/>
  <c r="O210" i="10" s="1"/>
  <c r="Z83" i="10"/>
  <c r="Y41" i="10"/>
  <c r="Y70" i="10" s="1"/>
  <c r="AB264" i="7"/>
  <c r="AB124" i="7"/>
  <c r="AB123" i="7"/>
  <c r="AB115" i="7"/>
  <c r="AB120" i="7"/>
  <c r="AB119" i="7"/>
  <c r="AB111" i="7"/>
  <c r="AB104" i="7"/>
  <c r="AB10" i="7"/>
  <c r="AB40" i="7" s="1"/>
  <c r="AB217" i="7" s="1"/>
  <c r="AB110" i="7"/>
  <c r="AB109" i="7"/>
  <c r="AB106" i="7"/>
  <c r="AB121" i="7"/>
  <c r="AB117" i="7"/>
  <c r="AB122" i="7"/>
  <c r="AB116" i="7"/>
  <c r="AB114" i="7"/>
  <c r="AB105" i="7"/>
  <c r="AB9" i="7"/>
  <c r="AB14" i="7" s="1"/>
  <c r="AB118" i="7"/>
  <c r="AB108" i="7"/>
  <c r="AB8" i="7"/>
  <c r="AB112" i="7"/>
  <c r="AB107" i="7"/>
  <c r="AB113" i="7"/>
  <c r="AB39" i="7"/>
  <c r="AC4" i="7"/>
  <c r="AB11" i="7"/>
  <c r="Z216" i="10"/>
  <c r="Y70" i="7"/>
  <c r="AB216" i="5"/>
  <c r="AA218" i="7"/>
  <c r="AA242" i="7" s="1"/>
  <c r="AA267" i="7"/>
  <c r="V241" i="5"/>
  <c r="AA216" i="7"/>
  <c r="AA218" i="5"/>
  <c r="AA242" i="5" s="1"/>
  <c r="AA267" i="5"/>
  <c r="AC69" i="5"/>
  <c r="AA33" i="7"/>
  <c r="AB267" i="10"/>
  <c r="AC15" i="10"/>
  <c r="AB15" i="7"/>
  <c r="AB15" i="5"/>
  <c r="B137" i="5"/>
  <c r="Z197" i="7"/>
  <c r="Z37" i="7"/>
  <c r="X199" i="7"/>
  <c r="X26" i="7"/>
  <c r="B155" i="7"/>
  <c r="X26" i="5"/>
  <c r="X199" i="5"/>
  <c r="V241" i="7"/>
  <c r="AA68" i="7"/>
  <c r="AB68" i="7" s="1"/>
  <c r="O209" i="5"/>
  <c r="O42" i="5"/>
  <c r="O71" i="5" s="1"/>
  <c r="M208" i="7"/>
  <c r="M210" i="7" s="1"/>
  <c r="X241" i="10"/>
  <c r="O219" i="7"/>
  <c r="O243" i="7" s="1"/>
  <c r="Z68" i="10"/>
  <c r="AA68" i="10" s="1"/>
  <c r="Z83" i="7"/>
  <c r="Y41" i="7"/>
  <c r="AA5" i="11"/>
  <c r="AB5" i="10"/>
  <c r="Z83" i="5"/>
  <c r="Y41" i="5"/>
  <c r="AA4" i="11"/>
  <c r="AA264" i="10"/>
  <c r="AA120" i="10"/>
  <c r="AA112" i="10"/>
  <c r="AA122" i="10"/>
  <c r="AA113" i="10"/>
  <c r="AA111" i="10"/>
  <c r="AA110" i="10"/>
  <c r="AA109" i="10"/>
  <c r="AA108" i="10"/>
  <c r="AA105" i="10"/>
  <c r="AA123" i="10"/>
  <c r="AA119" i="10"/>
  <c r="AA106" i="10"/>
  <c r="AA117" i="10"/>
  <c r="AA116" i="10"/>
  <c r="AA107" i="10"/>
  <c r="AA118" i="10"/>
  <c r="AA114" i="10"/>
  <c r="AA11" i="10"/>
  <c r="AA104" i="10"/>
  <c r="AA121" i="10"/>
  <c r="AA115" i="10"/>
  <c r="AA8" i="10"/>
  <c r="AB4" i="10"/>
  <c r="AA10" i="10"/>
  <c r="AA40" i="10" s="1"/>
  <c r="AA217" i="10" s="1"/>
  <c r="AA39" i="10"/>
  <c r="AA9" i="10"/>
  <c r="AA14" i="10" s="1"/>
  <c r="AA218" i="10" s="1"/>
  <c r="AA242" i="10" s="1"/>
  <c r="AB68" i="5"/>
  <c r="AC68" i="5" s="1"/>
  <c r="O210" i="5"/>
  <c r="N209" i="10"/>
  <c r="N42" i="10"/>
  <c r="N71" i="10" s="1"/>
  <c r="X8" i="11"/>
  <c r="X10" i="11" s="1"/>
  <c r="X31" i="11" s="1"/>
  <c r="X34" i="11" s="1"/>
  <c r="Y30" i="11" s="1"/>
  <c r="X199" i="10"/>
  <c r="X26" i="10"/>
  <c r="AB33" i="5"/>
  <c r="AC264" i="5"/>
  <c r="AC119" i="5"/>
  <c r="AC111" i="5"/>
  <c r="AC124" i="5"/>
  <c r="AC116" i="5"/>
  <c r="AC108" i="5"/>
  <c r="AC121" i="5"/>
  <c r="AC113" i="5"/>
  <c r="AC105" i="5"/>
  <c r="AC125" i="5"/>
  <c r="AC117" i="5"/>
  <c r="AC109" i="5"/>
  <c r="AC118" i="5"/>
  <c r="AC123" i="5"/>
  <c r="AC107" i="5"/>
  <c r="AC112" i="5"/>
  <c r="AC10" i="5"/>
  <c r="AC40" i="5" s="1"/>
  <c r="AC217" i="5" s="1"/>
  <c r="AC122" i="5"/>
  <c r="AC120" i="5"/>
  <c r="AC104" i="5"/>
  <c r="AC39" i="5"/>
  <c r="AC8" i="5"/>
  <c r="AC115" i="5"/>
  <c r="AD4" i="5"/>
  <c r="AC106" i="5"/>
  <c r="AC114" i="5"/>
  <c r="AC110" i="5"/>
  <c r="AC9" i="5"/>
  <c r="AC14" i="5" s="1"/>
  <c r="AC11" i="5"/>
  <c r="AA197" i="5"/>
  <c r="AA37" i="5"/>
  <c r="Y197" i="10"/>
  <c r="Y37" i="10"/>
  <c r="Z33" i="10"/>
  <c r="P219" i="7" l="1"/>
  <c r="P243" i="7" s="1"/>
  <c r="P219" i="5"/>
  <c r="P243" i="5" s="1"/>
  <c r="AA83" i="5"/>
  <c r="Z41" i="5"/>
  <c r="N208" i="7"/>
  <c r="B138" i="5"/>
  <c r="W241" i="5"/>
  <c r="Z70" i="7"/>
  <c r="Z197" i="10"/>
  <c r="Z37" i="10"/>
  <c r="Y199" i="5"/>
  <c r="Y26" i="5"/>
  <c r="AB267" i="5"/>
  <c r="AB218" i="5"/>
  <c r="AB242" i="5" s="1"/>
  <c r="Y70" i="5"/>
  <c r="AB33" i="7"/>
  <c r="AB5" i="11"/>
  <c r="AC5" i="10"/>
  <c r="AC68" i="7"/>
  <c r="Y8" i="11"/>
  <c r="Y10" i="11" s="1"/>
  <c r="Y31" i="11" s="1"/>
  <c r="Y34" i="11" s="1"/>
  <c r="Z30" i="11" s="1"/>
  <c r="Y199" i="10"/>
  <c r="Y26" i="10"/>
  <c r="B156" i="7"/>
  <c r="AB197" i="5"/>
  <c r="AB37" i="5"/>
  <c r="Y199" i="7"/>
  <c r="Y26" i="7"/>
  <c r="W241" i="7"/>
  <c r="AC267" i="10"/>
  <c r="AD15" i="10"/>
  <c r="AC15" i="7"/>
  <c r="AC15" i="5"/>
  <c r="AC264" i="7"/>
  <c r="AC120" i="7"/>
  <c r="AC112" i="7"/>
  <c r="AC117" i="7"/>
  <c r="AC110" i="7"/>
  <c r="AC109" i="7"/>
  <c r="AC106" i="7"/>
  <c r="AC9" i="7"/>
  <c r="AC14" i="7" s="1"/>
  <c r="AC125" i="7"/>
  <c r="AC124" i="7"/>
  <c r="AC121" i="7"/>
  <c r="AC122" i="7"/>
  <c r="AC116" i="7"/>
  <c r="AC115" i="7"/>
  <c r="AC114" i="7"/>
  <c r="AC118" i="7"/>
  <c r="AC113" i="7"/>
  <c r="AC107" i="7"/>
  <c r="AC105" i="7"/>
  <c r="AD4" i="7"/>
  <c r="AC119" i="7"/>
  <c r="AC123" i="7"/>
  <c r="AC108" i="7"/>
  <c r="AC39" i="7"/>
  <c r="AC111" i="7"/>
  <c r="AC104" i="7"/>
  <c r="AC10" i="7"/>
  <c r="AC40" i="7" s="1"/>
  <c r="AC217" i="7" s="1"/>
  <c r="AC8" i="7"/>
  <c r="AC11" i="7"/>
  <c r="AB216" i="7"/>
  <c r="AA83" i="7"/>
  <c r="Z41" i="7"/>
  <c r="Y241" i="10"/>
  <c r="P208" i="10"/>
  <c r="P210" i="10" s="1"/>
  <c r="AB267" i="7"/>
  <c r="AB218" i="7"/>
  <c r="AB242" i="7" s="1"/>
  <c r="AD264" i="5"/>
  <c r="AD124" i="5"/>
  <c r="AD116" i="5"/>
  <c r="AD108" i="5"/>
  <c r="AD121" i="5"/>
  <c r="AD113" i="5"/>
  <c r="AD105" i="5"/>
  <c r="AD126" i="5"/>
  <c r="AD118" i="5"/>
  <c r="AD110" i="5"/>
  <c r="AD122" i="5"/>
  <c r="AD114" i="5"/>
  <c r="AD106" i="5"/>
  <c r="AD123" i="5"/>
  <c r="AD107" i="5"/>
  <c r="AD112" i="5"/>
  <c r="AD10" i="5"/>
  <c r="AD40" i="5" s="1"/>
  <c r="AD217" i="5" s="1"/>
  <c r="AD117" i="5"/>
  <c r="AD120" i="5"/>
  <c r="AD125" i="5"/>
  <c r="AD109" i="5"/>
  <c r="AE4" i="5"/>
  <c r="AD8" i="5"/>
  <c r="AD111" i="5"/>
  <c r="AD39" i="5"/>
  <c r="AD119" i="5"/>
  <c r="AD104" i="5"/>
  <c r="AD115" i="5"/>
  <c r="AD11" i="5"/>
  <c r="P208" i="5"/>
  <c r="AA216" i="10"/>
  <c r="AA83" i="10"/>
  <c r="Z41" i="10"/>
  <c r="AC33" i="5"/>
  <c r="AC216" i="5"/>
  <c r="AB4" i="11"/>
  <c r="AB264" i="10"/>
  <c r="AB117" i="10"/>
  <c r="AB109" i="10"/>
  <c r="AB122" i="10"/>
  <c r="AB119" i="10"/>
  <c r="AB123" i="10"/>
  <c r="AB120" i="10"/>
  <c r="AB112" i="10"/>
  <c r="AB111" i="10"/>
  <c r="AB124" i="10"/>
  <c r="AB110" i="10"/>
  <c r="AB108" i="10"/>
  <c r="AB105" i="10"/>
  <c r="AB107" i="10"/>
  <c r="AB106" i="10"/>
  <c r="AB121" i="10"/>
  <c r="AB115" i="10"/>
  <c r="AB104" i="10"/>
  <c r="AB114" i="10"/>
  <c r="AB118" i="10"/>
  <c r="AB11" i="10"/>
  <c r="AB39" i="10"/>
  <c r="AB10" i="10"/>
  <c r="AB40" i="10" s="1"/>
  <c r="AB217" i="10" s="1"/>
  <c r="AB113" i="10"/>
  <c r="AB116" i="10"/>
  <c r="AB8" i="10"/>
  <c r="AC4" i="10"/>
  <c r="AA33" i="10"/>
  <c r="AA69" i="10"/>
  <c r="M209" i="7"/>
  <c r="M42" i="7"/>
  <c r="M71" i="7" s="1"/>
  <c r="AA197" i="7"/>
  <c r="AA37" i="7"/>
  <c r="AB69" i="7"/>
  <c r="AC69" i="7" s="1"/>
  <c r="O209" i="10"/>
  <c r="O42" i="10"/>
  <c r="O71" i="10" s="1"/>
  <c r="Q219" i="5" l="1"/>
  <c r="Q243" i="5" s="1"/>
  <c r="Q219" i="7"/>
  <c r="Q243" i="7" s="1"/>
  <c r="AB33" i="10"/>
  <c r="AB83" i="10"/>
  <c r="AA41" i="10"/>
  <c r="Z199" i="7"/>
  <c r="Z26" i="7"/>
  <c r="X241" i="7"/>
  <c r="AD68" i="7"/>
  <c r="AC267" i="5"/>
  <c r="AC218" i="5"/>
  <c r="AC242" i="5" s="1"/>
  <c r="X241" i="5"/>
  <c r="AB69" i="10"/>
  <c r="AB216" i="10"/>
  <c r="P209" i="5"/>
  <c r="P42" i="5"/>
  <c r="P71" i="5" s="1"/>
  <c r="AD33" i="5"/>
  <c r="Q208" i="10"/>
  <c r="AC216" i="7"/>
  <c r="AD267" i="10"/>
  <c r="AE15" i="10"/>
  <c r="AD15" i="7"/>
  <c r="AD15" i="5"/>
  <c r="B157" i="7"/>
  <c r="AB197" i="7"/>
  <c r="AB37" i="7"/>
  <c r="AD69" i="5"/>
  <c r="AE69" i="5" s="1"/>
  <c r="N209" i="7"/>
  <c r="N42" i="7"/>
  <c r="N71" i="7" s="1"/>
  <c r="AD216" i="5"/>
  <c r="AB83" i="7"/>
  <c r="AA41" i="7"/>
  <c r="AC5" i="11"/>
  <c r="AD5" i="10"/>
  <c r="B139" i="5"/>
  <c r="AA197" i="10"/>
  <c r="AA37" i="10"/>
  <c r="AB9" i="10"/>
  <c r="AB14" i="10" s="1"/>
  <c r="AB218" i="10" s="1"/>
  <c r="AB242" i="10" s="1"/>
  <c r="P210" i="5"/>
  <c r="AE121" i="5"/>
  <c r="AE113" i="5"/>
  <c r="AE105" i="5"/>
  <c r="AE126" i="5"/>
  <c r="AE118" i="5"/>
  <c r="AE110" i="5"/>
  <c r="AE123" i="5"/>
  <c r="AE115" i="5"/>
  <c r="AE107" i="5"/>
  <c r="AE127" i="5"/>
  <c r="AE119" i="5"/>
  <c r="AE111" i="5"/>
  <c r="AE112" i="5"/>
  <c r="AE10" i="5"/>
  <c r="AE40" i="5" s="1"/>
  <c r="AE217" i="5" s="1"/>
  <c r="AE117" i="5"/>
  <c r="AE122" i="5"/>
  <c r="AE106" i="5"/>
  <c r="AE9" i="5"/>
  <c r="AE14" i="5" s="1"/>
  <c r="AE125" i="5"/>
  <c r="AE114" i="5"/>
  <c r="AE108" i="5"/>
  <c r="AE116" i="5"/>
  <c r="AE39" i="5"/>
  <c r="AF4" i="5"/>
  <c r="AE124" i="5"/>
  <c r="AE109" i="5"/>
  <c r="AE120" i="5"/>
  <c r="AE104" i="5"/>
  <c r="AE8" i="5"/>
  <c r="AE11" i="5"/>
  <c r="AE48" i="5"/>
  <c r="P209" i="10"/>
  <c r="P42" i="10"/>
  <c r="P71" i="10" s="1"/>
  <c r="AD68" i="5"/>
  <c r="AE68" i="5" s="1"/>
  <c r="N210" i="7"/>
  <c r="Z199" i="5"/>
  <c r="Z26" i="5"/>
  <c r="AD264" i="7"/>
  <c r="AD117" i="7"/>
  <c r="AD109" i="7"/>
  <c r="AD122" i="7"/>
  <c r="AD106" i="7"/>
  <c r="AD125" i="7"/>
  <c r="AD120" i="7"/>
  <c r="AD124" i="7"/>
  <c r="AD121" i="7"/>
  <c r="AD108" i="7"/>
  <c r="AD116" i="7"/>
  <c r="AD126" i="7"/>
  <c r="AD118" i="7"/>
  <c r="AD113" i="7"/>
  <c r="AD123" i="7"/>
  <c r="AD119" i="7"/>
  <c r="AD112" i="7"/>
  <c r="AD111" i="7"/>
  <c r="AD104" i="7"/>
  <c r="AD105" i="7"/>
  <c r="AE4" i="7"/>
  <c r="AD115" i="7"/>
  <c r="AD107" i="7"/>
  <c r="AD114" i="7"/>
  <c r="AD110" i="7"/>
  <c r="AD39" i="7"/>
  <c r="AD11" i="7"/>
  <c r="AD10" i="7"/>
  <c r="AD40" i="7" s="1"/>
  <c r="AD217" i="7" s="1"/>
  <c r="AD8" i="7"/>
  <c r="AB83" i="5"/>
  <c r="AA41" i="5"/>
  <c r="AC197" i="5"/>
  <c r="AC37" i="5"/>
  <c r="AD9" i="5"/>
  <c r="AD14" i="5" s="1"/>
  <c r="Z241" i="10"/>
  <c r="AC33" i="7"/>
  <c r="AB68" i="10"/>
  <c r="AC68" i="10" s="1"/>
  <c r="AC218" i="7"/>
  <c r="AC242" i="7" s="1"/>
  <c r="AC267" i="7"/>
  <c r="AD69" i="7"/>
  <c r="AC264" i="10"/>
  <c r="AC4" i="11"/>
  <c r="AC122" i="10"/>
  <c r="AC114" i="10"/>
  <c r="AC106" i="10"/>
  <c r="AC124" i="10"/>
  <c r="AC120" i="10"/>
  <c r="AC125" i="10"/>
  <c r="AC110" i="10"/>
  <c r="AC109" i="10"/>
  <c r="AC108" i="10"/>
  <c r="AC105" i="10"/>
  <c r="AC107" i="10"/>
  <c r="AC123" i="10"/>
  <c r="AC119" i="10"/>
  <c r="AC118" i="10"/>
  <c r="AC117" i="10"/>
  <c r="AC121" i="10"/>
  <c r="AC115" i="10"/>
  <c r="AC104" i="10"/>
  <c r="AC113" i="10"/>
  <c r="AC11" i="10"/>
  <c r="AC39" i="10"/>
  <c r="AC10" i="10"/>
  <c r="AC40" i="10" s="1"/>
  <c r="AC217" i="10" s="1"/>
  <c r="AC116" i="10"/>
  <c r="AC112" i="10"/>
  <c r="AC111" i="10"/>
  <c r="AD4" i="10"/>
  <c r="AC8" i="10"/>
  <c r="Z8" i="11"/>
  <c r="Z10" i="11" s="1"/>
  <c r="Z31" i="11" s="1"/>
  <c r="Z34" i="11" s="1"/>
  <c r="AA30" i="11" s="1"/>
  <c r="Z26" i="10"/>
  <c r="Z199" i="10"/>
  <c r="Z70" i="5"/>
  <c r="Z70" i="10"/>
  <c r="AA70" i="10" s="1"/>
  <c r="R219" i="7" l="1"/>
  <c r="R243" i="7" s="1"/>
  <c r="R219" i="5"/>
  <c r="R243" i="5" s="1"/>
  <c r="AC69" i="10"/>
  <c r="AC33" i="10"/>
  <c r="AE33" i="5"/>
  <c r="AD267" i="7"/>
  <c r="Q209" i="10"/>
  <c r="Q42" i="10"/>
  <c r="Q71" i="10" s="1"/>
  <c r="AC9" i="10"/>
  <c r="AC14" i="10" s="1"/>
  <c r="AC218" i="10" s="1"/>
  <c r="AC216" i="10"/>
  <c r="AE267" i="10"/>
  <c r="AF15" i="10"/>
  <c r="AE15" i="7"/>
  <c r="AE15" i="5"/>
  <c r="Q210" i="10"/>
  <c r="Y241" i="5"/>
  <c r="AD197" i="5"/>
  <c r="AD37" i="5"/>
  <c r="O208" i="7"/>
  <c r="O210" i="7" s="1"/>
  <c r="AD5" i="11"/>
  <c r="AE5" i="10"/>
  <c r="AA241" i="10"/>
  <c r="AD33" i="7"/>
  <c r="AD68" i="10"/>
  <c r="B140" i="5"/>
  <c r="AD264" i="10"/>
  <c r="AD4" i="11"/>
  <c r="AD119" i="10"/>
  <c r="AD111" i="10"/>
  <c r="AD124" i="10"/>
  <c r="AD121" i="10"/>
  <c r="AD125" i="10"/>
  <c r="AD109" i="10"/>
  <c r="AD108" i="10"/>
  <c r="AD105" i="10"/>
  <c r="AD107" i="10"/>
  <c r="AD123" i="10"/>
  <c r="AD118" i="10"/>
  <c r="AD106" i="10"/>
  <c r="AD117" i="10"/>
  <c r="AD116" i="10"/>
  <c r="AD104" i="10"/>
  <c r="AD126" i="10"/>
  <c r="AD115" i="10"/>
  <c r="AD113" i="10"/>
  <c r="AD112" i="10"/>
  <c r="AD39" i="10"/>
  <c r="AD10" i="10"/>
  <c r="AD40" i="10" s="1"/>
  <c r="AD217" i="10" s="1"/>
  <c r="AD114" i="10"/>
  <c r="AD120" i="10"/>
  <c r="AD110" i="10"/>
  <c r="AD122" i="10"/>
  <c r="AD8" i="10"/>
  <c r="AE4" i="10"/>
  <c r="AD11" i="10"/>
  <c r="AA26" i="5"/>
  <c r="AA199" i="5"/>
  <c r="Q208" i="5"/>
  <c r="AC83" i="5"/>
  <c r="AB41" i="5"/>
  <c r="AE122" i="7"/>
  <c r="AE114" i="7"/>
  <c r="AE119" i="7"/>
  <c r="AE125" i="7"/>
  <c r="AE120" i="7"/>
  <c r="AE124" i="7"/>
  <c r="AE121" i="7"/>
  <c r="AE108" i="7"/>
  <c r="AE39" i="7"/>
  <c r="AE116" i="7"/>
  <c r="AE105" i="7"/>
  <c r="AE126" i="7"/>
  <c r="AE117" i="7"/>
  <c r="AE118" i="7"/>
  <c r="AE127" i="7"/>
  <c r="AE123" i="7"/>
  <c r="AE110" i="7"/>
  <c r="AF4" i="7"/>
  <c r="AE9" i="7"/>
  <c r="AE14" i="7" s="1"/>
  <c r="AE113" i="7"/>
  <c r="AE111" i="7"/>
  <c r="AE104" i="7"/>
  <c r="AE107" i="7"/>
  <c r="AE112" i="7"/>
  <c r="AE106" i="7"/>
  <c r="AE115" i="7"/>
  <c r="AE109" i="7"/>
  <c r="AE10" i="7"/>
  <c r="AE40" i="7" s="1"/>
  <c r="AE217" i="7" s="1"/>
  <c r="AE8" i="7"/>
  <c r="AE11" i="7"/>
  <c r="AE48" i="7"/>
  <c r="AD9" i="7"/>
  <c r="AD14" i="7" s="1"/>
  <c r="AD218" i="7" s="1"/>
  <c r="AD242" i="7" s="1"/>
  <c r="AA199" i="7"/>
  <c r="AA26" i="7"/>
  <c r="AA8" i="11"/>
  <c r="AA10" i="11" s="1"/>
  <c r="AA31" i="11" s="1"/>
  <c r="AA34" i="11" s="1"/>
  <c r="AB30" i="11" s="1"/>
  <c r="AA199" i="10"/>
  <c r="AA26" i="10"/>
  <c r="Y241" i="7"/>
  <c r="AC197" i="7"/>
  <c r="AC37" i="7"/>
  <c r="AF68" i="5"/>
  <c r="AF126" i="5"/>
  <c r="AF118" i="5"/>
  <c r="AF110" i="5"/>
  <c r="AF123" i="5"/>
  <c r="AF115" i="5"/>
  <c r="AF107" i="5"/>
  <c r="AF128" i="5"/>
  <c r="AF120" i="5"/>
  <c r="AF112" i="5"/>
  <c r="AF104" i="5"/>
  <c r="AF124" i="5"/>
  <c r="AF116" i="5"/>
  <c r="AF108" i="5"/>
  <c r="AF117" i="5"/>
  <c r="AF122" i="5"/>
  <c r="AF106" i="5"/>
  <c r="AF127" i="5"/>
  <c r="AF111" i="5"/>
  <c r="AF121" i="5"/>
  <c r="AF119" i="5"/>
  <c r="AG4" i="5"/>
  <c r="AF125" i="5"/>
  <c r="AF113" i="5"/>
  <c r="AF39" i="5"/>
  <c r="AF109" i="5"/>
  <c r="AF114" i="5"/>
  <c r="AF8" i="5"/>
  <c r="AF105" i="5"/>
  <c r="AF10" i="5"/>
  <c r="AF40" i="5" s="1"/>
  <c r="AF217" i="5" s="1"/>
  <c r="AF11" i="5"/>
  <c r="AF48" i="5"/>
  <c r="AC83" i="7"/>
  <c r="AB41" i="7"/>
  <c r="B158" i="7"/>
  <c r="AC83" i="10"/>
  <c r="AB41" i="10"/>
  <c r="AB70" i="10" s="1"/>
  <c r="AA70" i="5"/>
  <c r="AD216" i="7"/>
  <c r="AE216" i="5"/>
  <c r="AC242" i="10"/>
  <c r="AD267" i="5"/>
  <c r="AD218" i="5"/>
  <c r="AD242" i="5" s="1"/>
  <c r="AA70" i="7"/>
  <c r="AB197" i="10"/>
  <c r="AB37" i="10"/>
  <c r="P208" i="7" l="1"/>
  <c r="AC70" i="10"/>
  <c r="AE242" i="5"/>
  <c r="AB199" i="5"/>
  <c r="AB26" i="5"/>
  <c r="AD83" i="5"/>
  <c r="AC41" i="5"/>
  <c r="AB241" i="10"/>
  <c r="AF125" i="7"/>
  <c r="AF119" i="7"/>
  <c r="AF111" i="7"/>
  <c r="AF128" i="7"/>
  <c r="AF127" i="7"/>
  <c r="AF124" i="7"/>
  <c r="AF121" i="7"/>
  <c r="AF108" i="7"/>
  <c r="AF39" i="7"/>
  <c r="AF8" i="7"/>
  <c r="AF116" i="7"/>
  <c r="AF105" i="7"/>
  <c r="AF126" i="7"/>
  <c r="AF117" i="7"/>
  <c r="AF115" i="7"/>
  <c r="AF122" i="7"/>
  <c r="AF118" i="7"/>
  <c r="AF123" i="7"/>
  <c r="AF109" i="7"/>
  <c r="AF106" i="7"/>
  <c r="AF9" i="7"/>
  <c r="AF14" i="7" s="1"/>
  <c r="AF113" i="7"/>
  <c r="AF104" i="7"/>
  <c r="AF10" i="7"/>
  <c r="AF40" i="7" s="1"/>
  <c r="AF217" i="7" s="1"/>
  <c r="AF120" i="7"/>
  <c r="AF107" i="7"/>
  <c r="AF112" i="7"/>
  <c r="AF114" i="7"/>
  <c r="AF110" i="7"/>
  <c r="AF11" i="7"/>
  <c r="AG4" i="7"/>
  <c r="AF48" i="7"/>
  <c r="AD9" i="10"/>
  <c r="AD14" i="10" s="1"/>
  <c r="AD218" i="10" s="1"/>
  <c r="AD242" i="10" s="1"/>
  <c r="AE5" i="11"/>
  <c r="AF5" i="10"/>
  <c r="Z241" i="5"/>
  <c r="Q209" i="5"/>
  <c r="Q42" i="5"/>
  <c r="Q71" i="5" s="1"/>
  <c r="R208" i="10"/>
  <c r="R210" i="10" s="1"/>
  <c r="AB199" i="7"/>
  <c r="AB26" i="7"/>
  <c r="AG68" i="5"/>
  <c r="AF216" i="5"/>
  <c r="AF33" i="5"/>
  <c r="AE216" i="7"/>
  <c r="AB70" i="5"/>
  <c r="AC70" i="5" s="1"/>
  <c r="AE33" i="7"/>
  <c r="AE267" i="5"/>
  <c r="AE218" i="5"/>
  <c r="AF69" i="5"/>
  <c r="AE267" i="7"/>
  <c r="AE218" i="7"/>
  <c r="AE242" i="7" s="1"/>
  <c r="AE197" i="5"/>
  <c r="AE37" i="5"/>
  <c r="AC197" i="10"/>
  <c r="AC37" i="10"/>
  <c r="AD83" i="7"/>
  <c r="AC41" i="7"/>
  <c r="AB8" i="11"/>
  <c r="AB10" i="11" s="1"/>
  <c r="AB31" i="11" s="1"/>
  <c r="AB34" i="11" s="1"/>
  <c r="AC30" i="11" s="1"/>
  <c r="AB199" i="10"/>
  <c r="AB26" i="10"/>
  <c r="AE4" i="11"/>
  <c r="AE124" i="10"/>
  <c r="AE116" i="10"/>
  <c r="AE108" i="10"/>
  <c r="AE121" i="10"/>
  <c r="AE126" i="10"/>
  <c r="AE122" i="10"/>
  <c r="AE107" i="10"/>
  <c r="AE123" i="10"/>
  <c r="AE118" i="10"/>
  <c r="AE106" i="10"/>
  <c r="AE119" i="10"/>
  <c r="AE117" i="10"/>
  <c r="AE104" i="10"/>
  <c r="AE115" i="10"/>
  <c r="AE127" i="10"/>
  <c r="AE113" i="10"/>
  <c r="AE111" i="10"/>
  <c r="AE120" i="10"/>
  <c r="AE110" i="10"/>
  <c r="AE114" i="10"/>
  <c r="AE109" i="10"/>
  <c r="AE112" i="10"/>
  <c r="AE125" i="10"/>
  <c r="AE105" i="10"/>
  <c r="AE11" i="10"/>
  <c r="AF4" i="10"/>
  <c r="AE39" i="10"/>
  <c r="AE10" i="10"/>
  <c r="AE40" i="10" s="1"/>
  <c r="AE217" i="10" s="1"/>
  <c r="AE8" i="10"/>
  <c r="AE48" i="10"/>
  <c r="AE68" i="10"/>
  <c r="AF267" i="10"/>
  <c r="AG15" i="10"/>
  <c r="AF15" i="7"/>
  <c r="AF15" i="5"/>
  <c r="AE68" i="7"/>
  <c r="AF68" i="7" s="1"/>
  <c r="Q210" i="5"/>
  <c r="B141" i="5"/>
  <c r="O209" i="7"/>
  <c r="O42" i="7"/>
  <c r="O71" i="7" s="1"/>
  <c r="AG123" i="5"/>
  <c r="AG115" i="5"/>
  <c r="AG107" i="5"/>
  <c r="AG128" i="5"/>
  <c r="AG120" i="5"/>
  <c r="AG112" i="5"/>
  <c r="AG104" i="5"/>
  <c r="AG125" i="5"/>
  <c r="AG117" i="5"/>
  <c r="AG109" i="5"/>
  <c r="AG129" i="5"/>
  <c r="AG121" i="5"/>
  <c r="AG113" i="5"/>
  <c r="AG105" i="5"/>
  <c r="AG122" i="5"/>
  <c r="AG106" i="5"/>
  <c r="AG127" i="5"/>
  <c r="AG111" i="5"/>
  <c r="AG116" i="5"/>
  <c r="AG39" i="5"/>
  <c r="AG8" i="5"/>
  <c r="AG126" i="5"/>
  <c r="AG124" i="5"/>
  <c r="AG108" i="5"/>
  <c r="AG10" i="5"/>
  <c r="AG40" i="5" s="1"/>
  <c r="AG217" i="5" s="1"/>
  <c r="AH4" i="5"/>
  <c r="AG118" i="5"/>
  <c r="AG114" i="5"/>
  <c r="AG119" i="5"/>
  <c r="AG110" i="5"/>
  <c r="AG11" i="5"/>
  <c r="AG48" i="5"/>
  <c r="Z241" i="7"/>
  <c r="AB70" i="7"/>
  <c r="AD83" i="10"/>
  <c r="AC41" i="10"/>
  <c r="B159" i="7"/>
  <c r="AF9" i="5"/>
  <c r="AF14" i="5" s="1"/>
  <c r="AE69" i="7"/>
  <c r="AF69" i="7" s="1"/>
  <c r="AD33" i="10"/>
  <c r="AD216" i="10"/>
  <c r="AD197" i="7"/>
  <c r="AD37" i="7"/>
  <c r="AD69" i="10"/>
  <c r="AG68" i="7" l="1"/>
  <c r="AE9" i="10"/>
  <c r="AE14" i="10" s="1"/>
  <c r="AE218" i="10" s="1"/>
  <c r="AE242" i="10" s="1"/>
  <c r="AF4" i="11"/>
  <c r="AF128" i="10"/>
  <c r="AF121" i="10"/>
  <c r="AF113" i="10"/>
  <c r="AF126" i="10"/>
  <c r="AF123" i="10"/>
  <c r="AF127" i="10"/>
  <c r="AF124" i="10"/>
  <c r="AF118" i="10"/>
  <c r="AF106" i="10"/>
  <c r="AF119" i="10"/>
  <c r="AF117" i="10"/>
  <c r="AF104" i="10"/>
  <c r="AF116" i="10"/>
  <c r="AF115" i="10"/>
  <c r="AF122" i="10"/>
  <c r="AF114" i="10"/>
  <c r="AF111" i="10"/>
  <c r="AF109" i="10"/>
  <c r="AF125" i="10"/>
  <c r="AF105" i="10"/>
  <c r="AF120" i="10"/>
  <c r="AF110" i="10"/>
  <c r="AF8" i="10"/>
  <c r="AF112" i="10"/>
  <c r="AF108" i="10"/>
  <c r="AF39" i="10"/>
  <c r="AF10" i="10"/>
  <c r="AF40" i="10" s="1"/>
  <c r="AF217" i="10" s="1"/>
  <c r="AF107" i="10"/>
  <c r="AF11" i="10"/>
  <c r="AG4" i="10"/>
  <c r="AF48" i="10"/>
  <c r="AH128" i="5"/>
  <c r="AH120" i="5"/>
  <c r="AH112" i="5"/>
  <c r="AH104" i="5"/>
  <c r="AH125" i="5"/>
  <c r="AH117" i="5"/>
  <c r="AH109" i="5"/>
  <c r="AH130" i="5"/>
  <c r="AH122" i="5"/>
  <c r="AH114" i="5"/>
  <c r="AH106" i="5"/>
  <c r="AH126" i="5"/>
  <c r="AH118" i="5"/>
  <c r="AH110" i="5"/>
  <c r="AH127" i="5"/>
  <c r="AH111" i="5"/>
  <c r="AH116" i="5"/>
  <c r="AH39" i="5"/>
  <c r="AH68" i="5" s="1"/>
  <c r="AH8" i="5"/>
  <c r="AH121" i="5"/>
  <c r="AH105" i="5"/>
  <c r="AI4" i="5"/>
  <c r="AH124" i="5"/>
  <c r="AH129" i="5"/>
  <c r="AH113" i="5"/>
  <c r="AH108" i="5"/>
  <c r="AH10" i="5"/>
  <c r="AH40" i="5" s="1"/>
  <c r="AH217" i="5" s="1"/>
  <c r="AH119" i="5"/>
  <c r="AH9" i="5"/>
  <c r="AH14" i="5" s="1"/>
  <c r="AH107" i="5"/>
  <c r="AH123" i="5"/>
  <c r="AH115" i="5"/>
  <c r="AH11" i="5"/>
  <c r="AH48" i="5"/>
  <c r="B142" i="5"/>
  <c r="AE33" i="10"/>
  <c r="AG69" i="5"/>
  <c r="AH69" i="5" s="1"/>
  <c r="AE216" i="10"/>
  <c r="AG9" i="5"/>
  <c r="AG14" i="5" s="1"/>
  <c r="AF267" i="7"/>
  <c r="AF218" i="7"/>
  <c r="AF242" i="7" s="1"/>
  <c r="AE83" i="7"/>
  <c r="AD41" i="7"/>
  <c r="AA241" i="7"/>
  <c r="R208" i="5"/>
  <c r="AF267" i="5"/>
  <c r="AF218" i="5"/>
  <c r="AF242" i="5" s="1"/>
  <c r="AC199" i="7"/>
  <c r="AC26" i="7"/>
  <c r="B160" i="7"/>
  <c r="AG216" i="5"/>
  <c r="AC8" i="11"/>
  <c r="AC10" i="11" s="1"/>
  <c r="AC31" i="11" s="1"/>
  <c r="AC34" i="11" s="1"/>
  <c r="AD30" i="11" s="1"/>
  <c r="AC199" i="10"/>
  <c r="AC26" i="10"/>
  <c r="AF197" i="5"/>
  <c r="AF37" i="5"/>
  <c r="AA241" i="5"/>
  <c r="AC241" i="10"/>
  <c r="P209" i="7"/>
  <c r="P42" i="7"/>
  <c r="P71" i="7" s="1"/>
  <c r="AF68" i="10"/>
  <c r="AE83" i="10"/>
  <c r="AD41" i="10"/>
  <c r="AD70" i="10" s="1"/>
  <c r="AG267" i="10"/>
  <c r="AH15" i="10"/>
  <c r="AG15" i="7"/>
  <c r="AG15" i="5"/>
  <c r="R209" i="10"/>
  <c r="R42" i="10"/>
  <c r="R71" i="10" s="1"/>
  <c r="AF5" i="11"/>
  <c r="AG5" i="10"/>
  <c r="AF33" i="7"/>
  <c r="AC199" i="5"/>
  <c r="AC26" i="5"/>
  <c r="P210" i="7"/>
  <c r="AG33" i="5"/>
  <c r="AD197" i="10"/>
  <c r="AD37" i="10"/>
  <c r="AE197" i="7"/>
  <c r="AE37" i="7"/>
  <c r="AE69" i="10"/>
  <c r="AF69" i="10" s="1"/>
  <c r="AC70" i="7"/>
  <c r="AG129" i="7"/>
  <c r="AG116" i="7"/>
  <c r="AG128" i="7"/>
  <c r="AG127" i="7"/>
  <c r="AG121" i="7"/>
  <c r="AG126" i="7"/>
  <c r="AG105" i="7"/>
  <c r="AH4" i="7"/>
  <c r="AG117" i="7"/>
  <c r="AG115" i="7"/>
  <c r="AG122" i="7"/>
  <c r="AG118" i="7"/>
  <c r="AG114" i="7"/>
  <c r="AG113" i="7"/>
  <c r="AG107" i="7"/>
  <c r="AG123" i="7"/>
  <c r="AG119" i="7"/>
  <c r="AG120" i="7"/>
  <c r="AG104" i="7"/>
  <c r="AG111" i="7"/>
  <c r="AG10" i="7"/>
  <c r="AG40" i="7" s="1"/>
  <c r="AG217" i="7" s="1"/>
  <c r="AG109" i="7"/>
  <c r="AG8" i="7"/>
  <c r="AG124" i="7"/>
  <c r="AG112" i="7"/>
  <c r="AG110" i="7"/>
  <c r="AG125" i="7"/>
  <c r="AG106" i="7"/>
  <c r="AG39" i="7"/>
  <c r="AG108" i="7"/>
  <c r="AG11" i="7"/>
  <c r="AG48" i="7"/>
  <c r="AF216" i="7"/>
  <c r="AE83" i="5"/>
  <c r="AD41" i="5"/>
  <c r="AI68" i="5" l="1"/>
  <c r="B161" i="7"/>
  <c r="AG69" i="7"/>
  <c r="AF33" i="10"/>
  <c r="Q208" i="7"/>
  <c r="AF83" i="10"/>
  <c r="AE41" i="10"/>
  <c r="AG267" i="5"/>
  <c r="AG218" i="5"/>
  <c r="AG242" i="5" s="1"/>
  <c r="AI125" i="5"/>
  <c r="AI117" i="5"/>
  <c r="AI109" i="5"/>
  <c r="AI130" i="5"/>
  <c r="AI122" i="5"/>
  <c r="AI114" i="5"/>
  <c r="AI106" i="5"/>
  <c r="AI127" i="5"/>
  <c r="AI119" i="5"/>
  <c r="AI111" i="5"/>
  <c r="AI131" i="5"/>
  <c r="AI123" i="5"/>
  <c r="AI115" i="5"/>
  <c r="AI107" i="5"/>
  <c r="AI116" i="5"/>
  <c r="AI39" i="5"/>
  <c r="AI8" i="5"/>
  <c r="AJ4" i="5"/>
  <c r="AI121" i="5"/>
  <c r="AI105" i="5"/>
  <c r="AI126" i="5"/>
  <c r="AI110" i="5"/>
  <c r="AI120" i="5"/>
  <c r="AI129" i="5"/>
  <c r="AI118" i="5"/>
  <c r="AI113" i="5"/>
  <c r="AI10" i="5"/>
  <c r="AI40" i="5" s="1"/>
  <c r="AI217" i="5" s="1"/>
  <c r="AI124" i="5"/>
  <c r="AI104" i="5"/>
  <c r="AI112" i="5"/>
  <c r="AI128" i="5"/>
  <c r="AI108" i="5"/>
  <c r="AI11" i="5"/>
  <c r="AI48" i="5"/>
  <c r="AG197" i="5"/>
  <c r="AG37" i="5"/>
  <c r="AH216" i="5"/>
  <c r="AF83" i="7"/>
  <c r="AE41" i="7"/>
  <c r="AG9" i="7"/>
  <c r="AG14" i="7" s="1"/>
  <c r="AG218" i="7" s="1"/>
  <c r="AG242" i="7" s="1"/>
  <c r="AG33" i="7"/>
  <c r="AG267" i="7"/>
  <c r="B143" i="5"/>
  <c r="AF9" i="10"/>
  <c r="AF14" i="10" s="1"/>
  <c r="AF218" i="10" s="1"/>
  <c r="AF242" i="10" s="1"/>
  <c r="AG242" i="10" s="1"/>
  <c r="AD8" i="11"/>
  <c r="AD10" i="11" s="1"/>
  <c r="AD31" i="11" s="1"/>
  <c r="AD34" i="11" s="1"/>
  <c r="AE30" i="11" s="1"/>
  <c r="AD199" i="10"/>
  <c r="AD26" i="10"/>
  <c r="AB241" i="5"/>
  <c r="AE197" i="10"/>
  <c r="AE37" i="10"/>
  <c r="AH33" i="5"/>
  <c r="AF216" i="10"/>
  <c r="AD199" i="7"/>
  <c r="AD26" i="7"/>
  <c r="AH127" i="7"/>
  <c r="AH128" i="7"/>
  <c r="AH121" i="7"/>
  <c r="AH113" i="7"/>
  <c r="AH126" i="7"/>
  <c r="AH118" i="7"/>
  <c r="AH125" i="7"/>
  <c r="AH117" i="7"/>
  <c r="AH116" i="7"/>
  <c r="AH115" i="7"/>
  <c r="AH122" i="7"/>
  <c r="AH114" i="7"/>
  <c r="AH107" i="7"/>
  <c r="AH129" i="7"/>
  <c r="AH123" i="7"/>
  <c r="AH112" i="7"/>
  <c r="AH104" i="7"/>
  <c r="AH119" i="7"/>
  <c r="AH130" i="7"/>
  <c r="AH120" i="7"/>
  <c r="AH124" i="7"/>
  <c r="AH108" i="7"/>
  <c r="AH111" i="7"/>
  <c r="AH10" i="7"/>
  <c r="AH40" i="7" s="1"/>
  <c r="AH217" i="7" s="1"/>
  <c r="AH109" i="7"/>
  <c r="AH8" i="7"/>
  <c r="AH110" i="7"/>
  <c r="AH106" i="7"/>
  <c r="AH9" i="7"/>
  <c r="AH14" i="7" s="1"/>
  <c r="AI4" i="7"/>
  <c r="AH105" i="7"/>
  <c r="AH39" i="7"/>
  <c r="AH11" i="7"/>
  <c r="AH48" i="7"/>
  <c r="AD199" i="5"/>
  <c r="AD26" i="5"/>
  <c r="AF197" i="7"/>
  <c r="AF37" i="7"/>
  <c r="R209" i="5"/>
  <c r="R42" i="5"/>
  <c r="R71" i="5" s="1"/>
  <c r="AD70" i="7"/>
  <c r="AE70" i="7" s="1"/>
  <c r="AB241" i="7"/>
  <c r="AG4" i="11"/>
  <c r="AG126" i="10"/>
  <c r="AG118" i="10"/>
  <c r="AG110" i="10"/>
  <c r="AG123" i="10"/>
  <c r="AG129" i="10"/>
  <c r="AG120" i="10"/>
  <c r="AG124" i="10"/>
  <c r="AG119" i="10"/>
  <c r="AG117" i="10"/>
  <c r="AG104" i="10"/>
  <c r="AG116" i="10"/>
  <c r="AG115" i="10"/>
  <c r="AG122" i="10"/>
  <c r="AG114" i="10"/>
  <c r="AG127" i="10"/>
  <c r="AG113" i="10"/>
  <c r="AG112" i="10"/>
  <c r="AG128" i="10"/>
  <c r="AG121" i="10"/>
  <c r="AG111" i="10"/>
  <c r="AG109" i="10"/>
  <c r="AG107" i="10"/>
  <c r="AG108" i="10"/>
  <c r="AG8" i="10"/>
  <c r="AG106" i="10"/>
  <c r="AG125" i="10"/>
  <c r="AG105" i="10"/>
  <c r="AG11" i="10"/>
  <c r="AG39" i="10"/>
  <c r="AG68" i="10" s="1"/>
  <c r="AG10" i="10"/>
  <c r="AG40" i="10" s="1"/>
  <c r="AG217" i="10" s="1"/>
  <c r="AH4" i="10"/>
  <c r="AG9" i="10"/>
  <c r="AG14" i="10" s="1"/>
  <c r="AG218" i="10" s="1"/>
  <c r="AG48" i="10"/>
  <c r="AG216" i="7"/>
  <c r="AD70" i="5"/>
  <c r="AH267" i="10"/>
  <c r="AI15" i="10"/>
  <c r="AH15" i="7"/>
  <c r="AH15" i="5"/>
  <c r="AF83" i="5"/>
  <c r="AE41" i="5"/>
  <c r="AG5" i="11"/>
  <c r="AH5" i="10"/>
  <c r="AD241" i="10"/>
  <c r="R210" i="5"/>
  <c r="AH242" i="7" l="1"/>
  <c r="AH242" i="5"/>
  <c r="AG69" i="10"/>
  <c r="AH69" i="10" s="1"/>
  <c r="B162" i="7"/>
  <c r="AH216" i="7"/>
  <c r="AE26" i="7"/>
  <c r="AE199" i="7"/>
  <c r="AJ130" i="5"/>
  <c r="AJ122" i="5"/>
  <c r="AJ114" i="5"/>
  <c r="AJ106" i="5"/>
  <c r="AJ127" i="5"/>
  <c r="AJ119" i="5"/>
  <c r="AJ111" i="5"/>
  <c r="AJ132" i="5"/>
  <c r="AJ124" i="5"/>
  <c r="AJ116" i="5"/>
  <c r="AJ108" i="5"/>
  <c r="AJ128" i="5"/>
  <c r="AJ120" i="5"/>
  <c r="AJ112" i="5"/>
  <c r="AJ104" i="5"/>
  <c r="AJ121" i="5"/>
  <c r="AJ105" i="5"/>
  <c r="AK4" i="5"/>
  <c r="AJ126" i="5"/>
  <c r="AJ110" i="5"/>
  <c r="AJ131" i="5"/>
  <c r="AJ115" i="5"/>
  <c r="AJ125" i="5"/>
  <c r="AJ129" i="5"/>
  <c r="AJ123" i="5"/>
  <c r="AJ107" i="5"/>
  <c r="AJ118" i="5"/>
  <c r="AJ39" i="5"/>
  <c r="AJ10" i="5"/>
  <c r="AJ40" i="5" s="1"/>
  <c r="AJ217" i="5" s="1"/>
  <c r="AJ109" i="5"/>
  <c r="AJ8" i="5"/>
  <c r="AJ117" i="5"/>
  <c r="AJ113" i="5"/>
  <c r="AJ9" i="5"/>
  <c r="AJ14" i="5" s="1"/>
  <c r="AJ11" i="5"/>
  <c r="AJ48" i="5"/>
  <c r="B144" i="5"/>
  <c r="AG83" i="7"/>
  <c r="AF41" i="7"/>
  <c r="AI33" i="5"/>
  <c r="AJ68" i="5"/>
  <c r="AH267" i="7"/>
  <c r="AH218" i="7"/>
  <c r="AC241" i="5"/>
  <c r="AH5" i="11"/>
  <c r="AI5" i="10"/>
  <c r="AI216" i="5"/>
  <c r="AE8" i="11"/>
  <c r="AE10" i="11" s="1"/>
  <c r="AE31" i="11" s="1"/>
  <c r="AE34" i="11" s="1"/>
  <c r="AF30" i="11" s="1"/>
  <c r="AE199" i="10"/>
  <c r="AE26" i="10"/>
  <c r="AF197" i="10"/>
  <c r="AF37" i="10"/>
  <c r="AG33" i="10"/>
  <c r="AI124" i="7"/>
  <c r="AI127" i="7"/>
  <c r="AI126" i="7"/>
  <c r="AI118" i="7"/>
  <c r="AI110" i="7"/>
  <c r="AI125" i="7"/>
  <c r="AI123" i="7"/>
  <c r="AI122" i="7"/>
  <c r="AI114" i="7"/>
  <c r="AI107" i="7"/>
  <c r="AI129" i="7"/>
  <c r="AI113" i="7"/>
  <c r="AI112" i="7"/>
  <c r="AI104" i="7"/>
  <c r="AI10" i="7"/>
  <c r="AI40" i="7" s="1"/>
  <c r="AI217" i="7" s="1"/>
  <c r="AI111" i="7"/>
  <c r="AI119" i="7"/>
  <c r="AI130" i="7"/>
  <c r="AI120" i="7"/>
  <c r="AI131" i="7"/>
  <c r="AI105" i="7"/>
  <c r="AI109" i="7"/>
  <c r="AI8" i="7"/>
  <c r="AI117" i="7"/>
  <c r="AI115" i="7"/>
  <c r="AI108" i="7"/>
  <c r="AI39" i="7"/>
  <c r="AI121" i="7"/>
  <c r="AI106" i="7"/>
  <c r="AI128" i="7"/>
  <c r="AI9" i="7"/>
  <c r="AI14" i="7" s="1"/>
  <c r="AI116" i="7"/>
  <c r="AJ4" i="7"/>
  <c r="AI11" i="7"/>
  <c r="AI48" i="7"/>
  <c r="AI9" i="5"/>
  <c r="AI14" i="5" s="1"/>
  <c r="AG83" i="10"/>
  <c r="AF41" i="10"/>
  <c r="AH69" i="7"/>
  <c r="AE70" i="10"/>
  <c r="AF70" i="10" s="1"/>
  <c r="AH218" i="5"/>
  <c r="AH267" i="5"/>
  <c r="AF70" i="7"/>
  <c r="AH4" i="11"/>
  <c r="AH130" i="10"/>
  <c r="AH123" i="10"/>
  <c r="AH115" i="10"/>
  <c r="AH107" i="10"/>
  <c r="AH129" i="10"/>
  <c r="AH120" i="10"/>
  <c r="AH128" i="10"/>
  <c r="AH125" i="10"/>
  <c r="AH121" i="10"/>
  <c r="AH116" i="10"/>
  <c r="AH122" i="10"/>
  <c r="AH114" i="10"/>
  <c r="AH127" i="10"/>
  <c r="AH113" i="10"/>
  <c r="AH112" i="10"/>
  <c r="AH111" i="10"/>
  <c r="AH109" i="10"/>
  <c r="AH104" i="10"/>
  <c r="AH106" i="10"/>
  <c r="AH110" i="10"/>
  <c r="AH8" i="10"/>
  <c r="AH117" i="10"/>
  <c r="AH105" i="10"/>
  <c r="AH108" i="10"/>
  <c r="AH126" i="10"/>
  <c r="AH119" i="10"/>
  <c r="AH124" i="10"/>
  <c r="AH118" i="10"/>
  <c r="AH11" i="10"/>
  <c r="AH39" i="10"/>
  <c r="AH10" i="10"/>
  <c r="AH40" i="10" s="1"/>
  <c r="AH217" i="10" s="1"/>
  <c r="AI4" i="10"/>
  <c r="AH48" i="10"/>
  <c r="AE241" i="10"/>
  <c r="AH33" i="7"/>
  <c r="AC241" i="7"/>
  <c r="AH68" i="7"/>
  <c r="AI68" i="7" s="1"/>
  <c r="AH197" i="5"/>
  <c r="AH37" i="5"/>
  <c r="Q209" i="7"/>
  <c r="Q42" i="7"/>
  <c r="Q71" i="7" s="1"/>
  <c r="AI69" i="5"/>
  <c r="AI267" i="10"/>
  <c r="AJ15" i="10"/>
  <c r="AI15" i="7"/>
  <c r="AI15" i="5"/>
  <c r="AG216" i="10"/>
  <c r="AE26" i="5"/>
  <c r="AE199" i="5"/>
  <c r="AE70" i="5"/>
  <c r="AG83" i="5"/>
  <c r="AF41" i="5"/>
  <c r="AG197" i="7"/>
  <c r="AG37" i="7"/>
  <c r="Q210" i="7"/>
  <c r="AI33" i="7" l="1"/>
  <c r="R208" i="7"/>
  <c r="AH9" i="10"/>
  <c r="AH14" i="10" s="1"/>
  <c r="AH218" i="10" s="1"/>
  <c r="AH242" i="10" s="1"/>
  <c r="AI242" i="10" s="1"/>
  <c r="AG70" i="7"/>
  <c r="B163" i="7"/>
  <c r="AJ33" i="5"/>
  <c r="AJ129" i="7"/>
  <c r="AJ125" i="7"/>
  <c r="AJ123" i="7"/>
  <c r="AJ115" i="7"/>
  <c r="AJ124" i="7"/>
  <c r="AJ120" i="7"/>
  <c r="AJ132" i="7"/>
  <c r="AJ113" i="7"/>
  <c r="AJ112" i="7"/>
  <c r="AJ104" i="7"/>
  <c r="AJ10" i="7"/>
  <c r="AJ40" i="7" s="1"/>
  <c r="AJ217" i="7" s="1"/>
  <c r="AJ126" i="7"/>
  <c r="AJ118" i="7"/>
  <c r="AJ111" i="7"/>
  <c r="AJ119" i="7"/>
  <c r="AJ110" i="7"/>
  <c r="AJ109" i="7"/>
  <c r="AJ106" i="7"/>
  <c r="AJ130" i="7"/>
  <c r="AJ127" i="7"/>
  <c r="AJ131" i="7"/>
  <c r="AJ128" i="7"/>
  <c r="AJ121" i="7"/>
  <c r="AJ117" i="7"/>
  <c r="AJ116" i="7"/>
  <c r="AJ108" i="7"/>
  <c r="AJ39" i="7"/>
  <c r="AJ122" i="7"/>
  <c r="AJ114" i="7"/>
  <c r="AJ105" i="7"/>
  <c r="AJ8" i="7"/>
  <c r="AK4" i="7"/>
  <c r="AJ107" i="7"/>
  <c r="AJ11" i="7"/>
  <c r="AJ48" i="7"/>
  <c r="AF241" i="10"/>
  <c r="AK68" i="5"/>
  <c r="B145" i="5"/>
  <c r="AI242" i="5"/>
  <c r="AI197" i="5"/>
  <c r="AI37" i="5"/>
  <c r="AF26" i="5"/>
  <c r="AF199" i="5"/>
  <c r="AF199" i="7"/>
  <c r="AF26" i="7"/>
  <c r="AJ216" i="5"/>
  <c r="AK127" i="5"/>
  <c r="AK119" i="5"/>
  <c r="AK111" i="5"/>
  <c r="AK132" i="5"/>
  <c r="AK124" i="5"/>
  <c r="AK116" i="5"/>
  <c r="AK108" i="5"/>
  <c r="AK129" i="5"/>
  <c r="AK121" i="5"/>
  <c r="AK113" i="5"/>
  <c r="AK105" i="5"/>
  <c r="AK133" i="5"/>
  <c r="AK125" i="5"/>
  <c r="AK117" i="5"/>
  <c r="AK109" i="5"/>
  <c r="AK126" i="5"/>
  <c r="AK110" i="5"/>
  <c r="AK131" i="5"/>
  <c r="AK115" i="5"/>
  <c r="AK120" i="5"/>
  <c r="AK104" i="5"/>
  <c r="AK10" i="5"/>
  <c r="AK40" i="5" s="1"/>
  <c r="AK217" i="5" s="1"/>
  <c r="AK130" i="5"/>
  <c r="AK123" i="5"/>
  <c r="AK128" i="5"/>
  <c r="AK112" i="5"/>
  <c r="AK39" i="5"/>
  <c r="AK8" i="5"/>
  <c r="AK122" i="5"/>
  <c r="AK114" i="5"/>
  <c r="AK106" i="5"/>
  <c r="AK107" i="5"/>
  <c r="AK118" i="5"/>
  <c r="AL4" i="5"/>
  <c r="AK11" i="5"/>
  <c r="AK48" i="5"/>
  <c r="AI4" i="11"/>
  <c r="AI130" i="10"/>
  <c r="AI129" i="10"/>
  <c r="AI120" i="10"/>
  <c r="AI112" i="10"/>
  <c r="AI128" i="10"/>
  <c r="AI125" i="10"/>
  <c r="AI122" i="10"/>
  <c r="AI126" i="10"/>
  <c r="AI131" i="10"/>
  <c r="AI123" i="10"/>
  <c r="AI115" i="10"/>
  <c r="AI114" i="10"/>
  <c r="AI127" i="10"/>
  <c r="AI113" i="10"/>
  <c r="AI111" i="10"/>
  <c r="AI121" i="10"/>
  <c r="AI110" i="10"/>
  <c r="AI109" i="10"/>
  <c r="AI105" i="10"/>
  <c r="AI107" i="10"/>
  <c r="AI124" i="10"/>
  <c r="AI118" i="10"/>
  <c r="AI119" i="10"/>
  <c r="AI117" i="10"/>
  <c r="AI106" i="10"/>
  <c r="AI104" i="10"/>
  <c r="AI11" i="10"/>
  <c r="AI116" i="10"/>
  <c r="AI108" i="10"/>
  <c r="AI39" i="10"/>
  <c r="AI10" i="10"/>
  <c r="AI40" i="10" s="1"/>
  <c r="AI217" i="10" s="1"/>
  <c r="AJ4" i="10"/>
  <c r="AI8" i="10"/>
  <c r="AI9" i="10"/>
  <c r="AI14" i="10" s="1"/>
  <c r="AI218" i="10" s="1"/>
  <c r="AI48" i="10"/>
  <c r="AJ69" i="5"/>
  <c r="AH216" i="10"/>
  <c r="AH83" i="5"/>
  <c r="AG41" i="5"/>
  <c r="AI218" i="7"/>
  <c r="AI267" i="7"/>
  <c r="AD241" i="7"/>
  <c r="AI69" i="7"/>
  <c r="AD241" i="5"/>
  <c r="AH83" i="7"/>
  <c r="AG41" i="7"/>
  <c r="AI5" i="11"/>
  <c r="AJ5" i="10"/>
  <c r="AI242" i="7"/>
  <c r="AI218" i="5"/>
  <c r="AI267" i="5"/>
  <c r="AF70" i="5"/>
  <c r="AH33" i="10"/>
  <c r="AF8" i="11"/>
  <c r="AF10" i="11" s="1"/>
  <c r="AF31" i="11" s="1"/>
  <c r="AF34" i="11" s="1"/>
  <c r="AG30" i="11" s="1"/>
  <c r="AF26" i="10"/>
  <c r="AF199" i="10"/>
  <c r="AJ267" i="10"/>
  <c r="AK15" i="10"/>
  <c r="AJ15" i="7"/>
  <c r="AJ15" i="5"/>
  <c r="AH197" i="7"/>
  <c r="AH37" i="7"/>
  <c r="AH83" i="10"/>
  <c r="AG41" i="10"/>
  <c r="AG70" i="10" s="1"/>
  <c r="AI216" i="7"/>
  <c r="AG197" i="10"/>
  <c r="AG37" i="10"/>
  <c r="AH68" i="10"/>
  <c r="AJ267" i="5" l="1"/>
  <c r="AJ218" i="5"/>
  <c r="AJ242" i="5" s="1"/>
  <c r="AI216" i="10"/>
  <c r="AJ197" i="5"/>
  <c r="AJ37" i="5"/>
  <c r="AJ267" i="7"/>
  <c r="AJ218" i="7"/>
  <c r="AJ242" i="7" s="1"/>
  <c r="AG26" i="7"/>
  <c r="AG199" i="7"/>
  <c r="AG241" i="10"/>
  <c r="AJ216" i="7"/>
  <c r="AH70" i="7"/>
  <c r="AI83" i="10"/>
  <c r="AH41" i="10"/>
  <c r="AH70" i="10" s="1"/>
  <c r="AI83" i="7"/>
  <c r="AH41" i="7"/>
  <c r="AK267" i="10"/>
  <c r="AL15" i="10"/>
  <c r="AK15" i="7"/>
  <c r="AK15" i="5"/>
  <c r="AE241" i="7"/>
  <c r="AE241" i="5"/>
  <c r="AK9" i="5"/>
  <c r="AK14" i="5" s="1"/>
  <c r="AK216" i="5"/>
  <c r="AK126" i="7"/>
  <c r="AK124" i="7"/>
  <c r="AK120" i="7"/>
  <c r="AK112" i="7"/>
  <c r="AK117" i="7"/>
  <c r="AK133" i="7"/>
  <c r="AK129" i="7"/>
  <c r="AK118" i="7"/>
  <c r="AK111" i="7"/>
  <c r="AK123" i="7"/>
  <c r="AK119" i="7"/>
  <c r="AK110" i="7"/>
  <c r="AK109" i="7"/>
  <c r="AK106" i="7"/>
  <c r="AK130" i="7"/>
  <c r="AK127" i="7"/>
  <c r="AK131" i="7"/>
  <c r="AK128" i="7"/>
  <c r="AK121" i="7"/>
  <c r="AK116" i="7"/>
  <c r="AK125" i="7"/>
  <c r="AK122" i="7"/>
  <c r="AK115" i="7"/>
  <c r="AK114" i="7"/>
  <c r="AK107" i="7"/>
  <c r="AK113" i="7"/>
  <c r="AK108" i="7"/>
  <c r="AK39" i="7"/>
  <c r="AK105" i="7"/>
  <c r="AK132" i="7"/>
  <c r="AK8" i="7"/>
  <c r="AK104" i="7"/>
  <c r="AL4" i="7"/>
  <c r="AK10" i="7"/>
  <c r="AK40" i="7" s="1"/>
  <c r="AK217" i="7" s="1"/>
  <c r="AK11" i="7"/>
  <c r="AK48" i="7"/>
  <c r="R209" i="7"/>
  <c r="R42" i="7"/>
  <c r="R71" i="7" s="1"/>
  <c r="AG199" i="5"/>
  <c r="AG26" i="5"/>
  <c r="AH197" i="10"/>
  <c r="AH37" i="10"/>
  <c r="AI83" i="5"/>
  <c r="AH41" i="5"/>
  <c r="AK33" i="5"/>
  <c r="AJ68" i="7"/>
  <c r="AK68" i="7" s="1"/>
  <c r="AK69" i="5"/>
  <c r="AL69" i="5" s="1"/>
  <c r="AI33" i="10"/>
  <c r="AJ33" i="7"/>
  <c r="R210" i="7"/>
  <c r="AI68" i="10"/>
  <c r="AJ4" i="11"/>
  <c r="AJ132" i="10"/>
  <c r="AJ128" i="10"/>
  <c r="AJ125" i="10"/>
  <c r="AJ117" i="10"/>
  <c r="AJ109" i="10"/>
  <c r="AJ122" i="10"/>
  <c r="AJ127" i="10"/>
  <c r="AJ119" i="10"/>
  <c r="AJ131" i="10"/>
  <c r="AJ123" i="10"/>
  <c r="AJ129" i="10"/>
  <c r="AJ113" i="10"/>
  <c r="AJ112" i="10"/>
  <c r="AJ111" i="10"/>
  <c r="AJ121" i="10"/>
  <c r="AJ110" i="10"/>
  <c r="AJ105" i="10"/>
  <c r="AJ126" i="10"/>
  <c r="AJ108" i="10"/>
  <c r="AJ130" i="10"/>
  <c r="AJ107" i="10"/>
  <c r="AJ124" i="10"/>
  <c r="AJ118" i="10"/>
  <c r="AJ116" i="10"/>
  <c r="AJ104" i="10"/>
  <c r="AJ120" i="10"/>
  <c r="AJ106" i="10"/>
  <c r="AJ11" i="10"/>
  <c r="AJ39" i="10"/>
  <c r="AJ10" i="10"/>
  <c r="AJ40" i="10" s="1"/>
  <c r="AJ217" i="10" s="1"/>
  <c r="AJ115" i="10"/>
  <c r="AJ8" i="10"/>
  <c r="AJ114" i="10"/>
  <c r="AK4" i="10"/>
  <c r="AJ9" i="10"/>
  <c r="AJ14" i="10" s="1"/>
  <c r="AJ218" i="10" s="1"/>
  <c r="AJ242" i="10" s="1"/>
  <c r="AJ48" i="10"/>
  <c r="AJ9" i="7"/>
  <c r="AJ14" i="7" s="1"/>
  <c r="AI197" i="7"/>
  <c r="AI37" i="7"/>
  <c r="AL132" i="5"/>
  <c r="AL124" i="5"/>
  <c r="AL116" i="5"/>
  <c r="AL108" i="5"/>
  <c r="AL129" i="5"/>
  <c r="AL121" i="5"/>
  <c r="AL113" i="5"/>
  <c r="AL105" i="5"/>
  <c r="AL134" i="5"/>
  <c r="AL126" i="5"/>
  <c r="AL118" i="5"/>
  <c r="AL110" i="5"/>
  <c r="AL130" i="5"/>
  <c r="AL122" i="5"/>
  <c r="AL114" i="5"/>
  <c r="AL106" i="5"/>
  <c r="AL131" i="5"/>
  <c r="AL115" i="5"/>
  <c r="AL10" i="5"/>
  <c r="AL40" i="5" s="1"/>
  <c r="AL217" i="5" s="1"/>
  <c r="AL120" i="5"/>
  <c r="AL104" i="5"/>
  <c r="AL125" i="5"/>
  <c r="AL109" i="5"/>
  <c r="AL128" i="5"/>
  <c r="AL133" i="5"/>
  <c r="AL117" i="5"/>
  <c r="AM4" i="5"/>
  <c r="AL111" i="5"/>
  <c r="AL107" i="5"/>
  <c r="AL119" i="5"/>
  <c r="AL127" i="5"/>
  <c r="AL112" i="5"/>
  <c r="AL123" i="5"/>
  <c r="AL8" i="5"/>
  <c r="AL39" i="5"/>
  <c r="AL11" i="5"/>
  <c r="AL48" i="5"/>
  <c r="AG8" i="11"/>
  <c r="AG10" i="11" s="1"/>
  <c r="AG31" i="11" s="1"/>
  <c r="AG34" i="11" s="1"/>
  <c r="AH30" i="11" s="1"/>
  <c r="AG199" i="10"/>
  <c r="AG26" i="10"/>
  <c r="AG70" i="5"/>
  <c r="AH70" i="5" s="1"/>
  <c r="AJ5" i="11"/>
  <c r="AK5" i="10"/>
  <c r="AJ69" i="7"/>
  <c r="AK69" i="7" s="1"/>
  <c r="B146" i="5"/>
  <c r="AI69" i="10"/>
  <c r="AJ69" i="10" s="1"/>
  <c r="B164" i="7"/>
  <c r="AJ33" i="10" l="1"/>
  <c r="AK267" i="7"/>
  <c r="AK218" i="7"/>
  <c r="AK242" i="7" s="1"/>
  <c r="AJ83" i="10"/>
  <c r="AI41" i="10"/>
  <c r="AL267" i="10"/>
  <c r="AM15" i="10"/>
  <c r="AL15" i="7"/>
  <c r="AL15" i="5"/>
  <c r="AJ197" i="7"/>
  <c r="AJ37" i="7"/>
  <c r="AI70" i="5"/>
  <c r="AI197" i="10"/>
  <c r="AI37" i="10"/>
  <c r="AF241" i="5"/>
  <c r="AH199" i="5"/>
  <c r="AH26" i="5"/>
  <c r="AJ83" i="5"/>
  <c r="AI41" i="5"/>
  <c r="AK9" i="7"/>
  <c r="AK14" i="7" s="1"/>
  <c r="B165" i="7"/>
  <c r="B147" i="5"/>
  <c r="AL9" i="5"/>
  <c r="AL14" i="5" s="1"/>
  <c r="AK37" i="5"/>
  <c r="AK197" i="5"/>
  <c r="AL131" i="7"/>
  <c r="AL117" i="7"/>
  <c r="AL109" i="7"/>
  <c r="AL134" i="7"/>
  <c r="AL133" i="7"/>
  <c r="AL122" i="7"/>
  <c r="AL132" i="7"/>
  <c r="AL126" i="7"/>
  <c r="AL123" i="7"/>
  <c r="AL119" i="7"/>
  <c r="AL110" i="7"/>
  <c r="AL106" i="7"/>
  <c r="AL130" i="7"/>
  <c r="AL127" i="7"/>
  <c r="AL108" i="7"/>
  <c r="AL120" i="7"/>
  <c r="AL128" i="7"/>
  <c r="AL121" i="7"/>
  <c r="AL116" i="7"/>
  <c r="AL125" i="7"/>
  <c r="AL124" i="7"/>
  <c r="AL115" i="7"/>
  <c r="AL114" i="7"/>
  <c r="AL113" i="7"/>
  <c r="AL104" i="7"/>
  <c r="AL118" i="7"/>
  <c r="AL107" i="7"/>
  <c r="AM4" i="7"/>
  <c r="AL105" i="7"/>
  <c r="AL10" i="7"/>
  <c r="AL40" i="7" s="1"/>
  <c r="AL217" i="7" s="1"/>
  <c r="AL129" i="7"/>
  <c r="AL111" i="7"/>
  <c r="AL8" i="7"/>
  <c r="AL112" i="7"/>
  <c r="AL39" i="7"/>
  <c r="AL11" i="7"/>
  <c r="AL48" i="7"/>
  <c r="AH26" i="7"/>
  <c r="AH199" i="7"/>
  <c r="AK4" i="11"/>
  <c r="AK129" i="10"/>
  <c r="AK122" i="10"/>
  <c r="AK114" i="10"/>
  <c r="AK106" i="10"/>
  <c r="AK127" i="10"/>
  <c r="AK124" i="10"/>
  <c r="AK130" i="10"/>
  <c r="AK120" i="10"/>
  <c r="AK112" i="10"/>
  <c r="AK111" i="10"/>
  <c r="AK121" i="10"/>
  <c r="AK110" i="10"/>
  <c r="AK105" i="10"/>
  <c r="AK126" i="10"/>
  <c r="AK109" i="10"/>
  <c r="AK108" i="10"/>
  <c r="AK132" i="10"/>
  <c r="AK107" i="10"/>
  <c r="AK128" i="10"/>
  <c r="AK133" i="10"/>
  <c r="AK118" i="10"/>
  <c r="AK116" i="10"/>
  <c r="AK131" i="10"/>
  <c r="AK115" i="10"/>
  <c r="AK11" i="10"/>
  <c r="AK117" i="10"/>
  <c r="AK104" i="10"/>
  <c r="AK39" i="10"/>
  <c r="AK10" i="10"/>
  <c r="AK40" i="10" s="1"/>
  <c r="AK217" i="10" s="1"/>
  <c r="AK123" i="10"/>
  <c r="AK113" i="10"/>
  <c r="AK125" i="10"/>
  <c r="AK119" i="10"/>
  <c r="AL4" i="10"/>
  <c r="AK9" i="10"/>
  <c r="AK14" i="10" s="1"/>
  <c r="AK218" i="10" s="1"/>
  <c r="AK242" i="10" s="1"/>
  <c r="AK8" i="10"/>
  <c r="AK48" i="10"/>
  <c r="AM129" i="5"/>
  <c r="AM121" i="5"/>
  <c r="AM113" i="5"/>
  <c r="AM105" i="5"/>
  <c r="AM134" i="5"/>
  <c r="AM126" i="5"/>
  <c r="AM118" i="5"/>
  <c r="AM110" i="5"/>
  <c r="AM131" i="5"/>
  <c r="AM123" i="5"/>
  <c r="AM115" i="5"/>
  <c r="AM107" i="5"/>
  <c r="AM135" i="5"/>
  <c r="AM127" i="5"/>
  <c r="AM119" i="5"/>
  <c r="AM111" i="5"/>
  <c r="AM120" i="5"/>
  <c r="AM104" i="5"/>
  <c r="AM10" i="5"/>
  <c r="AM40" i="5" s="1"/>
  <c r="AM217" i="5" s="1"/>
  <c r="AM125" i="5"/>
  <c r="AM109" i="5"/>
  <c r="AM130" i="5"/>
  <c r="AM114" i="5"/>
  <c r="AM124" i="5"/>
  <c r="AM128" i="5"/>
  <c r="AM133" i="5"/>
  <c r="AM122" i="5"/>
  <c r="AM106" i="5"/>
  <c r="AM132" i="5"/>
  <c r="AM116" i="5"/>
  <c r="AM112" i="5"/>
  <c r="AM8" i="5"/>
  <c r="AM117" i="5"/>
  <c r="AM108" i="5"/>
  <c r="AM39" i="5"/>
  <c r="AN4" i="5"/>
  <c r="AM11" i="5"/>
  <c r="AM48" i="5"/>
  <c r="AL69" i="7"/>
  <c r="AL216" i="5"/>
  <c r="AJ216" i="10"/>
  <c r="AF241" i="7"/>
  <c r="AJ83" i="7"/>
  <c r="AI41" i="7"/>
  <c r="AH241" i="10"/>
  <c r="AL68" i="7"/>
  <c r="AK216" i="7"/>
  <c r="AK69" i="10"/>
  <c r="AK5" i="11"/>
  <c r="AL5" i="10"/>
  <c r="AL33" i="5"/>
  <c r="AJ68" i="10"/>
  <c r="AK33" i="7"/>
  <c r="AK218" i="5"/>
  <c r="AK242" i="5" s="1"/>
  <c r="AK267" i="5"/>
  <c r="AH8" i="11"/>
  <c r="AH10" i="11" s="1"/>
  <c r="AH31" i="11" s="1"/>
  <c r="AH34" i="11" s="1"/>
  <c r="AI30" i="11" s="1"/>
  <c r="AH26" i="10"/>
  <c r="AH199" i="10"/>
  <c r="AL68" i="5"/>
  <c r="AM68" i="5" s="1"/>
  <c r="AK83" i="5" l="1"/>
  <c r="AJ41" i="5"/>
  <c r="AL218" i="5"/>
  <c r="AL242" i="5" s="1"/>
  <c r="AL267" i="5"/>
  <c r="AM69" i="5"/>
  <c r="AL5" i="11"/>
  <c r="AM5" i="10"/>
  <c r="AL33" i="7"/>
  <c r="AI26" i="7"/>
  <c r="AI199" i="7"/>
  <c r="AK83" i="7"/>
  <c r="AJ41" i="7"/>
  <c r="AM33" i="5"/>
  <c r="AL9" i="7"/>
  <c r="AL14" i="7" s="1"/>
  <c r="AM267" i="10"/>
  <c r="AN15" i="10"/>
  <c r="AM15" i="7"/>
  <c r="AM15" i="5"/>
  <c r="AI241" i="10"/>
  <c r="AL4" i="11"/>
  <c r="AL134" i="10"/>
  <c r="AL127" i="10"/>
  <c r="AL119" i="10"/>
  <c r="AL111" i="10"/>
  <c r="AL124" i="10"/>
  <c r="AL121" i="10"/>
  <c r="AL129" i="10"/>
  <c r="AL128" i="10"/>
  <c r="AL125" i="10"/>
  <c r="AL122" i="10"/>
  <c r="AL110" i="10"/>
  <c r="AL105" i="10"/>
  <c r="AL126" i="10"/>
  <c r="AL109" i="10"/>
  <c r="AL108" i="10"/>
  <c r="AL132" i="10"/>
  <c r="AL107" i="10"/>
  <c r="AL130" i="10"/>
  <c r="AL120" i="10"/>
  <c r="AL118" i="10"/>
  <c r="AL106" i="10"/>
  <c r="AL104" i="10"/>
  <c r="AL133" i="10"/>
  <c r="AL131" i="10"/>
  <c r="AL116" i="10"/>
  <c r="AL114" i="10"/>
  <c r="AL123" i="10"/>
  <c r="AL113" i="10"/>
  <c r="AL117" i="10"/>
  <c r="AL39" i="10"/>
  <c r="AL10" i="10"/>
  <c r="AL40" i="10" s="1"/>
  <c r="AL217" i="10" s="1"/>
  <c r="AL9" i="10"/>
  <c r="AL14" i="10" s="1"/>
  <c r="AL218" i="10" s="1"/>
  <c r="AL242" i="10" s="1"/>
  <c r="AL112" i="10"/>
  <c r="AL115" i="10"/>
  <c r="AL8" i="10"/>
  <c r="AM4" i="10"/>
  <c r="AL11" i="10"/>
  <c r="AL48" i="10"/>
  <c r="AK216" i="10"/>
  <c r="AL267" i="7"/>
  <c r="AL218" i="7"/>
  <c r="AL242" i="7" s="1"/>
  <c r="AJ197" i="10"/>
  <c r="AJ37" i="10"/>
  <c r="AK197" i="7"/>
  <c r="AK37" i="7"/>
  <c r="AK68" i="10"/>
  <c r="AL68" i="10" s="1"/>
  <c r="AG241" i="7"/>
  <c r="AM69" i="7"/>
  <c r="AM9" i="5"/>
  <c r="AM14" i="5" s="1"/>
  <c r="B166" i="7"/>
  <c r="AG241" i="5"/>
  <c r="B148" i="5"/>
  <c r="AI8" i="11"/>
  <c r="AI10" i="11" s="1"/>
  <c r="AI31" i="11" s="1"/>
  <c r="AI34" i="11" s="1"/>
  <c r="AJ30" i="11" s="1"/>
  <c r="AI199" i="10"/>
  <c r="AI26" i="10"/>
  <c r="AI70" i="10"/>
  <c r="AJ70" i="10" s="1"/>
  <c r="AN134" i="5"/>
  <c r="AN126" i="5"/>
  <c r="AN118" i="5"/>
  <c r="AN110" i="5"/>
  <c r="AN131" i="5"/>
  <c r="AN123" i="5"/>
  <c r="AN115" i="5"/>
  <c r="AN107" i="5"/>
  <c r="AN136" i="5"/>
  <c r="AN128" i="5"/>
  <c r="AN120" i="5"/>
  <c r="AN112" i="5"/>
  <c r="AN104" i="5"/>
  <c r="AN132" i="5"/>
  <c r="AN124" i="5"/>
  <c r="AN116" i="5"/>
  <c r="AN108" i="5"/>
  <c r="AN125" i="5"/>
  <c r="AN109" i="5"/>
  <c r="AN130" i="5"/>
  <c r="AN114" i="5"/>
  <c r="AN135" i="5"/>
  <c r="AN119" i="5"/>
  <c r="AN129" i="5"/>
  <c r="AN133" i="5"/>
  <c r="AN122" i="5"/>
  <c r="AN127" i="5"/>
  <c r="AN111" i="5"/>
  <c r="AN10" i="5"/>
  <c r="AN40" i="5" s="1"/>
  <c r="AN217" i="5" s="1"/>
  <c r="AO4" i="5"/>
  <c r="AN106" i="5"/>
  <c r="AN121" i="5"/>
  <c r="AN8" i="5"/>
  <c r="AN117" i="5"/>
  <c r="AN39" i="5"/>
  <c r="AN113" i="5"/>
  <c r="AN105" i="5"/>
  <c r="AN11" i="5"/>
  <c r="AN48" i="5"/>
  <c r="AK33" i="10"/>
  <c r="AL216" i="7"/>
  <c r="AL197" i="5"/>
  <c r="AL37" i="5"/>
  <c r="AM216" i="5"/>
  <c r="AM128" i="7"/>
  <c r="AM134" i="7"/>
  <c r="AM133" i="7"/>
  <c r="AM122" i="7"/>
  <c r="AM114" i="7"/>
  <c r="AM132" i="7"/>
  <c r="AM119" i="7"/>
  <c r="AM131" i="7"/>
  <c r="AM130" i="7"/>
  <c r="AM109" i="7"/>
  <c r="AM127" i="7"/>
  <c r="AM108" i="7"/>
  <c r="AM39" i="7"/>
  <c r="AM120" i="7"/>
  <c r="AM105" i="7"/>
  <c r="AM121" i="7"/>
  <c r="AM116" i="7"/>
  <c r="AM125" i="7"/>
  <c r="AM124" i="7"/>
  <c r="AM117" i="7"/>
  <c r="AM113" i="7"/>
  <c r="AM129" i="7"/>
  <c r="AM118" i="7"/>
  <c r="AM112" i="7"/>
  <c r="AM111" i="7"/>
  <c r="AM126" i="7"/>
  <c r="AM115" i="7"/>
  <c r="AM107" i="7"/>
  <c r="AN4" i="7"/>
  <c r="AM123" i="7"/>
  <c r="AM135" i="7"/>
  <c r="AM104" i="7"/>
  <c r="AM106" i="7"/>
  <c r="AM8" i="7"/>
  <c r="AM10" i="7"/>
  <c r="AM40" i="7" s="1"/>
  <c r="AM217" i="7" s="1"/>
  <c r="AM110" i="7"/>
  <c r="AM9" i="7"/>
  <c r="AM14" i="7" s="1"/>
  <c r="AM11" i="7"/>
  <c r="AM48" i="7"/>
  <c r="AI199" i="5"/>
  <c r="AI26" i="5"/>
  <c r="AI70" i="7"/>
  <c r="AJ70" i="7" s="1"/>
  <c r="AK83" i="10"/>
  <c r="AJ41" i="10"/>
  <c r="AM216" i="7" l="1"/>
  <c r="AK197" i="10"/>
  <c r="AK37" i="10"/>
  <c r="AK70" i="10"/>
  <c r="AO131" i="5"/>
  <c r="AO123" i="5"/>
  <c r="AO115" i="5"/>
  <c r="AO107" i="5"/>
  <c r="AO136" i="5"/>
  <c r="AO128" i="5"/>
  <c r="AO120" i="5"/>
  <c r="AO112" i="5"/>
  <c r="AO104" i="5"/>
  <c r="AO133" i="5"/>
  <c r="AO125" i="5"/>
  <c r="AO117" i="5"/>
  <c r="AO109" i="5"/>
  <c r="AO137" i="5"/>
  <c r="AO129" i="5"/>
  <c r="AO121" i="5"/>
  <c r="AO113" i="5"/>
  <c r="AO105" i="5"/>
  <c r="AO130" i="5"/>
  <c r="AO114" i="5"/>
  <c r="AO135" i="5"/>
  <c r="AO119" i="5"/>
  <c r="AO124" i="5"/>
  <c r="AO108" i="5"/>
  <c r="AO39" i="5"/>
  <c r="AO8" i="5"/>
  <c r="AO134" i="5"/>
  <c r="AO127" i="5"/>
  <c r="AO132" i="5"/>
  <c r="AO116" i="5"/>
  <c r="AO10" i="5"/>
  <c r="AO40" i="5" s="1"/>
  <c r="AO217" i="5" s="1"/>
  <c r="AO111" i="5"/>
  <c r="AO106" i="5"/>
  <c r="AP4" i="5"/>
  <c r="AO126" i="5"/>
  <c r="AO110" i="5"/>
  <c r="AO118" i="5"/>
  <c r="AO122" i="5"/>
  <c r="AO11" i="5"/>
  <c r="AO48" i="5"/>
  <c r="AH241" i="7"/>
  <c r="AJ199" i="5"/>
  <c r="AJ26" i="5"/>
  <c r="AL83" i="5"/>
  <c r="AK41" i="5"/>
  <c r="AM267" i="5"/>
  <c r="AM218" i="5"/>
  <c r="AM242" i="5" s="1"/>
  <c r="AM197" i="5"/>
  <c r="AM37" i="5"/>
  <c r="AN216" i="5"/>
  <c r="B149" i="5"/>
  <c r="AN68" i="5"/>
  <c r="AO68" i="5" s="1"/>
  <c r="AM4" i="11"/>
  <c r="AM131" i="10"/>
  <c r="AM124" i="10"/>
  <c r="AM116" i="10"/>
  <c r="AM108" i="10"/>
  <c r="AM135" i="10"/>
  <c r="AM121" i="10"/>
  <c r="AM134" i="10"/>
  <c r="AM133" i="10"/>
  <c r="AM126" i="10"/>
  <c r="AM122" i="10"/>
  <c r="AM127" i="10"/>
  <c r="AM109" i="10"/>
  <c r="AM132" i="10"/>
  <c r="AM107" i="10"/>
  <c r="AM130" i="10"/>
  <c r="AM120" i="10"/>
  <c r="AM118" i="10"/>
  <c r="AM106" i="10"/>
  <c r="AM104" i="10"/>
  <c r="AM128" i="10"/>
  <c r="AM125" i="10"/>
  <c r="AM117" i="10"/>
  <c r="AM114" i="10"/>
  <c r="AM112" i="10"/>
  <c r="AM129" i="10"/>
  <c r="AM123" i="10"/>
  <c r="AM113" i="10"/>
  <c r="AM9" i="10"/>
  <c r="AM14" i="10" s="1"/>
  <c r="AM218" i="10" s="1"/>
  <c r="AM242" i="10" s="1"/>
  <c r="AM105" i="10"/>
  <c r="AM119" i="10"/>
  <c r="AM115" i="10"/>
  <c r="AM111" i="10"/>
  <c r="AM11" i="10"/>
  <c r="AM110" i="10"/>
  <c r="AM8" i="10"/>
  <c r="AN4" i="10"/>
  <c r="AM39" i="10"/>
  <c r="AM10" i="10"/>
  <c r="AM40" i="10" s="1"/>
  <c r="AM217" i="10" s="1"/>
  <c r="AM48" i="10"/>
  <c r="AM267" i="7"/>
  <c r="AM218" i="7"/>
  <c r="AM242" i="7" s="1"/>
  <c r="AJ241" i="10"/>
  <c r="AL197" i="7"/>
  <c r="AL37" i="7"/>
  <c r="AL216" i="10"/>
  <c r="AJ8" i="11"/>
  <c r="AJ10" i="11" s="1"/>
  <c r="AJ31" i="11" s="1"/>
  <c r="AJ34" i="11" s="1"/>
  <c r="AK30" i="11" s="1"/>
  <c r="AJ26" i="10"/>
  <c r="AJ199" i="10"/>
  <c r="AM33" i="7"/>
  <c r="AM68" i="7"/>
  <c r="AH241" i="5"/>
  <c r="AN267" i="10"/>
  <c r="AO15" i="10"/>
  <c r="AN15" i="7"/>
  <c r="AN15" i="5"/>
  <c r="AJ199" i="7"/>
  <c r="AJ26" i="7"/>
  <c r="AN69" i="5"/>
  <c r="AO69" i="5" s="1"/>
  <c r="AM5" i="11"/>
  <c r="AN5" i="10"/>
  <c r="AL83" i="10"/>
  <c r="AK41" i="10"/>
  <c r="AN33" i="5"/>
  <c r="B167" i="7"/>
  <c r="AJ70" i="5"/>
  <c r="AL33" i="10"/>
  <c r="AL83" i="7"/>
  <c r="AK41" i="7"/>
  <c r="AM68" i="10"/>
  <c r="AN133" i="7"/>
  <c r="AN125" i="7"/>
  <c r="AN132" i="7"/>
  <c r="AN119" i="7"/>
  <c r="AN111" i="7"/>
  <c r="AN131" i="7"/>
  <c r="AN130" i="7"/>
  <c r="AN129" i="7"/>
  <c r="AN127" i="7"/>
  <c r="AN108" i="7"/>
  <c r="AN39" i="7"/>
  <c r="AN8" i="7"/>
  <c r="AN136" i="7"/>
  <c r="AN120" i="7"/>
  <c r="AN105" i="7"/>
  <c r="AN121" i="7"/>
  <c r="AN116" i="7"/>
  <c r="AN128" i="7"/>
  <c r="AN124" i="7"/>
  <c r="AN134" i="7"/>
  <c r="AN117" i="7"/>
  <c r="AN122" i="7"/>
  <c r="AN118" i="7"/>
  <c r="AN112" i="7"/>
  <c r="AN135" i="7"/>
  <c r="AN126" i="7"/>
  <c r="AN123" i="7"/>
  <c r="AN110" i="7"/>
  <c r="AN106" i="7"/>
  <c r="AN115" i="7"/>
  <c r="AN107" i="7"/>
  <c r="AO4" i="7"/>
  <c r="AN9" i="7"/>
  <c r="AN14" i="7" s="1"/>
  <c r="AN114" i="7"/>
  <c r="AN104" i="7"/>
  <c r="AN113" i="7"/>
  <c r="AN109" i="7"/>
  <c r="AN10" i="7"/>
  <c r="AN40" i="7" s="1"/>
  <c r="AN217" i="7" s="1"/>
  <c r="AN11" i="7"/>
  <c r="AN48" i="7"/>
  <c r="AN9" i="5"/>
  <c r="AN14" i="5" s="1"/>
  <c r="AL69" i="10"/>
  <c r="AM69" i="10" s="1"/>
  <c r="AK70" i="5" l="1"/>
  <c r="AL70" i="5" s="1"/>
  <c r="AN216" i="7"/>
  <c r="AM83" i="10"/>
  <c r="AL41" i="10"/>
  <c r="AO267" i="10"/>
  <c r="AP15" i="10"/>
  <c r="AO15" i="7"/>
  <c r="AO15" i="5"/>
  <c r="AN4" i="11"/>
  <c r="AN136" i="10"/>
  <c r="AN128" i="10"/>
  <c r="AN135" i="10"/>
  <c r="AN121" i="10"/>
  <c r="AN113" i="10"/>
  <c r="AN134" i="10"/>
  <c r="AN133" i="10"/>
  <c r="AN126" i="10"/>
  <c r="AN132" i="10"/>
  <c r="AN123" i="10"/>
  <c r="AN127" i="10"/>
  <c r="AN108" i="10"/>
  <c r="AN107" i="10"/>
  <c r="AN130" i="10"/>
  <c r="AN120" i="10"/>
  <c r="AN118" i="10"/>
  <c r="AN106" i="10"/>
  <c r="AN104" i="10"/>
  <c r="AN125" i="10"/>
  <c r="AN117" i="10"/>
  <c r="AN119" i="10"/>
  <c r="AN116" i="10"/>
  <c r="AN115" i="10"/>
  <c r="AN131" i="10"/>
  <c r="AN129" i="10"/>
  <c r="AN124" i="10"/>
  <c r="AN114" i="10"/>
  <c r="AN112" i="10"/>
  <c r="AN110" i="10"/>
  <c r="AN105" i="10"/>
  <c r="AN111" i="10"/>
  <c r="AN109" i="10"/>
  <c r="AN8" i="10"/>
  <c r="AN122" i="10"/>
  <c r="AN39" i="10"/>
  <c r="AN10" i="10"/>
  <c r="AN40" i="10" s="1"/>
  <c r="AN217" i="10" s="1"/>
  <c r="AN11" i="10"/>
  <c r="AO4" i="10"/>
  <c r="AN48" i="10"/>
  <c r="AN5" i="11"/>
  <c r="AO5" i="10"/>
  <c r="AK26" i="5"/>
  <c r="AK199" i="5"/>
  <c r="AM83" i="7"/>
  <c r="AL41" i="7"/>
  <c r="AP69" i="5"/>
  <c r="AO216" i="5"/>
  <c r="B168" i="7"/>
  <c r="AI241" i="5"/>
  <c r="B150" i="5"/>
  <c r="AK199" i="7"/>
  <c r="AK26" i="7"/>
  <c r="AM33" i="10"/>
  <c r="AK70" i="7"/>
  <c r="AL70" i="7" s="1"/>
  <c r="AO33" i="5"/>
  <c r="AN197" i="5"/>
  <c r="AN37" i="5"/>
  <c r="AN267" i="5"/>
  <c r="AN218" i="5"/>
  <c r="AN242" i="5" s="1"/>
  <c r="AN68" i="7"/>
  <c r="AI241" i="7"/>
  <c r="AO9" i="5"/>
  <c r="AO14" i="5" s="1"/>
  <c r="AK241" i="10"/>
  <c r="AM83" i="5"/>
  <c r="AL41" i="5"/>
  <c r="AL197" i="10"/>
  <c r="AL37" i="10"/>
  <c r="AP136" i="5"/>
  <c r="AP128" i="5"/>
  <c r="AP120" i="5"/>
  <c r="AP112" i="5"/>
  <c r="AP104" i="5"/>
  <c r="AP133" i="5"/>
  <c r="AP125" i="5"/>
  <c r="AP117" i="5"/>
  <c r="AP109" i="5"/>
  <c r="AP138" i="5"/>
  <c r="AP130" i="5"/>
  <c r="AP122" i="5"/>
  <c r="AP114" i="5"/>
  <c r="AP106" i="5"/>
  <c r="AP134" i="5"/>
  <c r="AP126" i="5"/>
  <c r="AP118" i="5"/>
  <c r="AP110" i="5"/>
  <c r="AP135" i="5"/>
  <c r="AP119" i="5"/>
  <c r="AP8" i="5"/>
  <c r="AP124" i="5"/>
  <c r="AP108" i="5"/>
  <c r="AP39" i="5"/>
  <c r="AP129" i="5"/>
  <c r="AP113" i="5"/>
  <c r="AQ4" i="5"/>
  <c r="AP123" i="5"/>
  <c r="AP127" i="5"/>
  <c r="AP132" i="5"/>
  <c r="AP137" i="5"/>
  <c r="AP121" i="5"/>
  <c r="AP105" i="5"/>
  <c r="AP116" i="5"/>
  <c r="AP107" i="5"/>
  <c r="AP115" i="5"/>
  <c r="AP131" i="5"/>
  <c r="AP111" i="5"/>
  <c r="AP10" i="5"/>
  <c r="AP40" i="5" s="1"/>
  <c r="AP217" i="5" s="1"/>
  <c r="AP11" i="5"/>
  <c r="AP48" i="5"/>
  <c r="AN69" i="7"/>
  <c r="AO130" i="7"/>
  <c r="AO131" i="7"/>
  <c r="AO116" i="7"/>
  <c r="AO129" i="7"/>
  <c r="AO121" i="7"/>
  <c r="AO128" i="7"/>
  <c r="AO127" i="7"/>
  <c r="AO136" i="7"/>
  <c r="AO120" i="7"/>
  <c r="AO105" i="7"/>
  <c r="AP4" i="7"/>
  <c r="AO133" i="7"/>
  <c r="AO137" i="7"/>
  <c r="AO124" i="7"/>
  <c r="AO115" i="7"/>
  <c r="AO107" i="7"/>
  <c r="AO134" i="7"/>
  <c r="AO125" i="7"/>
  <c r="AO117" i="7"/>
  <c r="AO122" i="7"/>
  <c r="AO118" i="7"/>
  <c r="AO135" i="7"/>
  <c r="AO126" i="7"/>
  <c r="AO123" i="7"/>
  <c r="AO132" i="7"/>
  <c r="AO109" i="7"/>
  <c r="AO119" i="7"/>
  <c r="AO112" i="7"/>
  <c r="AO110" i="7"/>
  <c r="AO106" i="7"/>
  <c r="AO104" i="7"/>
  <c r="AO113" i="7"/>
  <c r="AO111" i="7"/>
  <c r="AO39" i="7"/>
  <c r="AO108" i="7"/>
  <c r="AO114" i="7"/>
  <c r="AO10" i="7"/>
  <c r="AO40" i="7" s="1"/>
  <c r="AO217" i="7" s="1"/>
  <c r="AO8" i="7"/>
  <c r="AO11" i="7"/>
  <c r="AO48" i="7"/>
  <c r="AN33" i="7"/>
  <c r="AK8" i="11"/>
  <c r="AK10" i="11" s="1"/>
  <c r="AK31" i="11" s="1"/>
  <c r="AK34" i="11" s="1"/>
  <c r="AL30" i="11" s="1"/>
  <c r="AK199" i="10"/>
  <c r="AK26" i="10"/>
  <c r="AN267" i="7"/>
  <c r="AN218" i="7"/>
  <c r="AN242" i="7" s="1"/>
  <c r="AM197" i="7"/>
  <c r="AM37" i="7"/>
  <c r="AM216" i="10"/>
  <c r="AO33" i="7" l="1"/>
  <c r="AP216" i="5"/>
  <c r="AP267" i="10"/>
  <c r="AQ15" i="10"/>
  <c r="AP15" i="7"/>
  <c r="AP15" i="5"/>
  <c r="AP68" i="5"/>
  <c r="AL241" i="10"/>
  <c r="AN83" i="5"/>
  <c r="AM41" i="5"/>
  <c r="AM70" i="5" s="1"/>
  <c r="B151" i="5"/>
  <c r="AJ241" i="5"/>
  <c r="AL199" i="7"/>
  <c r="AL26" i="7"/>
  <c r="AN216" i="10"/>
  <c r="AL8" i="11"/>
  <c r="AL10" i="11" s="1"/>
  <c r="AL31" i="11" s="1"/>
  <c r="AL34" i="11" s="1"/>
  <c r="AM30" i="11" s="1"/>
  <c r="AL199" i="10"/>
  <c r="AL26" i="10"/>
  <c r="AM197" i="10"/>
  <c r="AM37" i="10"/>
  <c r="AO216" i="7"/>
  <c r="AN69" i="10"/>
  <c r="AP9" i="5"/>
  <c r="AP14" i="5" s="1"/>
  <c r="AQ133" i="5"/>
  <c r="AQ125" i="5"/>
  <c r="AQ117" i="5"/>
  <c r="AQ109" i="5"/>
  <c r="AQ138" i="5"/>
  <c r="AQ130" i="5"/>
  <c r="AQ122" i="5"/>
  <c r="AQ114" i="5"/>
  <c r="AQ106" i="5"/>
  <c r="AQ135" i="5"/>
  <c r="AQ127" i="5"/>
  <c r="AQ119" i="5"/>
  <c r="AQ111" i="5"/>
  <c r="AQ139" i="5"/>
  <c r="AQ131" i="5"/>
  <c r="AQ123" i="5"/>
  <c r="AQ115" i="5"/>
  <c r="AQ107" i="5"/>
  <c r="AQ124" i="5"/>
  <c r="AQ108" i="5"/>
  <c r="AQ39" i="5"/>
  <c r="AQ8" i="5"/>
  <c r="AQ129" i="5"/>
  <c r="AQ113" i="5"/>
  <c r="AR4" i="5"/>
  <c r="AQ134" i="5"/>
  <c r="AQ118" i="5"/>
  <c r="AQ128" i="5"/>
  <c r="AQ132" i="5"/>
  <c r="AQ137" i="5"/>
  <c r="AQ121" i="5"/>
  <c r="AQ126" i="5"/>
  <c r="AQ110" i="5"/>
  <c r="AQ11" i="5"/>
  <c r="AQ104" i="5"/>
  <c r="AQ112" i="5"/>
  <c r="AQ136" i="5"/>
  <c r="AQ120" i="5"/>
  <c r="AQ105" i="5"/>
  <c r="AQ10" i="5"/>
  <c r="AQ40" i="5" s="1"/>
  <c r="AQ217" i="5" s="1"/>
  <c r="AQ116" i="5"/>
  <c r="AQ48" i="5"/>
  <c r="AN83" i="7"/>
  <c r="AM41" i="7"/>
  <c r="AN83" i="10"/>
  <c r="AM41" i="10"/>
  <c r="AN33" i="10"/>
  <c r="AO267" i="5"/>
  <c r="AO218" i="5"/>
  <c r="AO242" i="5" s="1"/>
  <c r="AN68" i="10"/>
  <c r="AN197" i="7"/>
  <c r="AN37" i="7"/>
  <c r="AO9" i="7"/>
  <c r="AO14" i="7" s="1"/>
  <c r="AP135" i="7"/>
  <c r="AP127" i="7"/>
  <c r="AP130" i="7"/>
  <c r="AP129" i="7"/>
  <c r="AP121" i="7"/>
  <c r="AP113" i="7"/>
  <c r="AP128" i="7"/>
  <c r="AP118" i="7"/>
  <c r="AP126" i="7"/>
  <c r="AP133" i="7"/>
  <c r="AP137" i="7"/>
  <c r="AP124" i="7"/>
  <c r="AP116" i="7"/>
  <c r="AP115" i="7"/>
  <c r="AP107" i="7"/>
  <c r="AP134" i="7"/>
  <c r="AP125" i="7"/>
  <c r="AP117" i="7"/>
  <c r="AP114" i="7"/>
  <c r="AP104" i="7"/>
  <c r="AP131" i="7"/>
  <c r="AP122" i="7"/>
  <c r="AP138" i="7"/>
  <c r="AP123" i="7"/>
  <c r="AP132" i="7"/>
  <c r="AP119" i="7"/>
  <c r="AP108" i="7"/>
  <c r="AP112" i="7"/>
  <c r="AP110" i="7"/>
  <c r="AP106" i="7"/>
  <c r="AP120" i="7"/>
  <c r="AP10" i="7"/>
  <c r="AP40" i="7" s="1"/>
  <c r="AP217" i="7" s="1"/>
  <c r="AP8" i="7"/>
  <c r="AP111" i="7"/>
  <c r="AP109" i="7"/>
  <c r="AP136" i="7"/>
  <c r="AQ4" i="7"/>
  <c r="AP105" i="7"/>
  <c r="AP39" i="7"/>
  <c r="AP11" i="7"/>
  <c r="AP48" i="7"/>
  <c r="AP33" i="5"/>
  <c r="AJ241" i="7"/>
  <c r="AL70" i="10"/>
  <c r="AM70" i="10" s="1"/>
  <c r="AO267" i="7"/>
  <c r="AO218" i="7"/>
  <c r="AO242" i="7" s="1"/>
  <c r="AO69" i="7"/>
  <c r="B169" i="7"/>
  <c r="AL26" i="5"/>
  <c r="AL199" i="5"/>
  <c r="AO68" i="7"/>
  <c r="AP68" i="7" s="1"/>
  <c r="AO197" i="5"/>
  <c r="AO37" i="5"/>
  <c r="AO5" i="11"/>
  <c r="AP5" i="10"/>
  <c r="AO4" i="11"/>
  <c r="AO133" i="10"/>
  <c r="AO134" i="10"/>
  <c r="AO126" i="10"/>
  <c r="AO118" i="10"/>
  <c r="AO110" i="10"/>
  <c r="AO132" i="10"/>
  <c r="AO123" i="10"/>
  <c r="AO131" i="10"/>
  <c r="AO130" i="10"/>
  <c r="AO120" i="10"/>
  <c r="AO137" i="10"/>
  <c r="AO124" i="10"/>
  <c r="AO136" i="10"/>
  <c r="AO121" i="10"/>
  <c r="AO106" i="10"/>
  <c r="AO104" i="10"/>
  <c r="AO125" i="10"/>
  <c r="AO117" i="10"/>
  <c r="AO128" i="10"/>
  <c r="AO119" i="10"/>
  <c r="AO116" i="10"/>
  <c r="AO115" i="10"/>
  <c r="AO114" i="10"/>
  <c r="AO135" i="10"/>
  <c r="AO129" i="10"/>
  <c r="AO112" i="10"/>
  <c r="AO105" i="10"/>
  <c r="AO122" i="10"/>
  <c r="AO127" i="10"/>
  <c r="AO109" i="10"/>
  <c r="AO113" i="10"/>
  <c r="AO8" i="10"/>
  <c r="AO108" i="10"/>
  <c r="AO111" i="10"/>
  <c r="AO107" i="10"/>
  <c r="AO39" i="10"/>
  <c r="AO10" i="10"/>
  <c r="AO40" i="10" s="1"/>
  <c r="AO217" i="10" s="1"/>
  <c r="AO11" i="10"/>
  <c r="AP4" i="10"/>
  <c r="AO48" i="10"/>
  <c r="AN9" i="10"/>
  <c r="AN14" i="10" s="1"/>
  <c r="AN218" i="10" s="1"/>
  <c r="AN242" i="10" s="1"/>
  <c r="AO242" i="10" l="1"/>
  <c r="AO33" i="10"/>
  <c r="AP69" i="7"/>
  <c r="AP197" i="5"/>
  <c r="AP37" i="5"/>
  <c r="AP216" i="7"/>
  <c r="AP33" i="7"/>
  <c r="AM8" i="11"/>
  <c r="AM10" i="11" s="1"/>
  <c r="AM31" i="11" s="1"/>
  <c r="AM34" i="11" s="1"/>
  <c r="AN30" i="11" s="1"/>
  <c r="AM199" i="10"/>
  <c r="AM26" i="10"/>
  <c r="B152" i="5"/>
  <c r="AO83" i="10"/>
  <c r="AN41" i="10"/>
  <c r="AM26" i="5"/>
  <c r="AM199" i="5"/>
  <c r="AQ68" i="7"/>
  <c r="AQ132" i="7"/>
  <c r="AQ124" i="7"/>
  <c r="AQ128" i="7"/>
  <c r="AQ118" i="7"/>
  <c r="AQ110" i="7"/>
  <c r="AQ139" i="7"/>
  <c r="AQ127" i="7"/>
  <c r="AQ126" i="7"/>
  <c r="AQ123" i="7"/>
  <c r="AQ138" i="7"/>
  <c r="AQ137" i="7"/>
  <c r="AQ125" i="7"/>
  <c r="AQ130" i="7"/>
  <c r="AQ116" i="7"/>
  <c r="AQ115" i="7"/>
  <c r="AQ107" i="7"/>
  <c r="AQ134" i="7"/>
  <c r="AQ121" i="7"/>
  <c r="AQ117" i="7"/>
  <c r="AQ114" i="7"/>
  <c r="AQ104" i="7"/>
  <c r="AQ10" i="7"/>
  <c r="AQ40" i="7" s="1"/>
  <c r="AQ217" i="7" s="1"/>
  <c r="AQ131" i="7"/>
  <c r="AQ122" i="7"/>
  <c r="AQ113" i="7"/>
  <c r="AQ112" i="7"/>
  <c r="AQ135" i="7"/>
  <c r="AQ129" i="7"/>
  <c r="AQ119" i="7"/>
  <c r="AQ136" i="7"/>
  <c r="AQ120" i="7"/>
  <c r="AQ105" i="7"/>
  <c r="AQ133" i="7"/>
  <c r="AQ106" i="7"/>
  <c r="AQ8" i="7"/>
  <c r="AQ111" i="7"/>
  <c r="AQ109" i="7"/>
  <c r="AQ108" i="7"/>
  <c r="AR4" i="7"/>
  <c r="AQ39" i="7"/>
  <c r="AQ11" i="7"/>
  <c r="AQ48" i="7"/>
  <c r="AM199" i="7"/>
  <c r="AM26" i="7"/>
  <c r="AR138" i="5"/>
  <c r="AR130" i="5"/>
  <c r="AR122" i="5"/>
  <c r="AR114" i="5"/>
  <c r="AR106" i="5"/>
  <c r="AR135" i="5"/>
  <c r="AR127" i="5"/>
  <c r="AR119" i="5"/>
  <c r="AR111" i="5"/>
  <c r="AR132" i="5"/>
  <c r="AR124" i="5"/>
  <c r="AR116" i="5"/>
  <c r="AR108" i="5"/>
  <c r="AR136" i="5"/>
  <c r="AR128" i="5"/>
  <c r="AR120" i="5"/>
  <c r="AR112" i="5"/>
  <c r="AR104" i="5"/>
  <c r="AR129" i="5"/>
  <c r="AR113" i="5"/>
  <c r="AS4" i="5"/>
  <c r="AR134" i="5"/>
  <c r="AR118" i="5"/>
  <c r="AR139" i="5"/>
  <c r="AR123" i="5"/>
  <c r="AR107" i="5"/>
  <c r="AR133" i="5"/>
  <c r="AR137" i="5"/>
  <c r="AR140" i="5"/>
  <c r="AR126" i="5"/>
  <c r="AR131" i="5"/>
  <c r="AR115" i="5"/>
  <c r="AR125" i="5"/>
  <c r="AR121" i="5"/>
  <c r="AR109" i="5"/>
  <c r="AR8" i="5"/>
  <c r="AR39" i="5"/>
  <c r="AR117" i="5"/>
  <c r="AR110" i="5"/>
  <c r="AR105" i="5"/>
  <c r="AR10" i="5"/>
  <c r="AR40" i="5" s="1"/>
  <c r="AR217" i="5" s="1"/>
  <c r="AR11" i="5"/>
  <c r="AR48" i="5"/>
  <c r="AO69" i="10"/>
  <c r="AO83" i="5"/>
  <c r="AN41" i="5"/>
  <c r="AO68" i="10"/>
  <c r="AO83" i="7"/>
  <c r="AN41" i="7"/>
  <c r="AK241" i="5"/>
  <c r="AP267" i="5"/>
  <c r="AP218" i="5"/>
  <c r="AP242" i="5" s="1"/>
  <c r="AN70" i="10"/>
  <c r="AM241" i="10"/>
  <c r="AP267" i="7"/>
  <c r="AO197" i="7"/>
  <c r="AO37" i="7"/>
  <c r="AO216" i="10"/>
  <c r="AP5" i="11"/>
  <c r="AQ5" i="10"/>
  <c r="AK241" i="7"/>
  <c r="AP9" i="7"/>
  <c r="AP14" i="7" s="1"/>
  <c r="AP218" i="7" s="1"/>
  <c r="AP242" i="7" s="1"/>
  <c r="AQ9" i="5"/>
  <c r="AQ14" i="5" s="1"/>
  <c r="AQ33" i="5"/>
  <c r="AQ68" i="5"/>
  <c r="AQ267" i="10"/>
  <c r="AR15" i="10"/>
  <c r="AQ15" i="7"/>
  <c r="AQ15" i="5"/>
  <c r="AO9" i="10"/>
  <c r="AO14" i="10" s="1"/>
  <c r="AO218" i="10" s="1"/>
  <c r="AP4" i="11"/>
  <c r="AP138" i="10"/>
  <c r="AP130" i="10"/>
  <c r="AP133" i="10"/>
  <c r="AP132" i="10"/>
  <c r="AP123" i="10"/>
  <c r="AP115" i="10"/>
  <c r="AP107" i="10"/>
  <c r="AP131" i="10"/>
  <c r="AP120" i="10"/>
  <c r="AP129" i="10"/>
  <c r="AP125" i="10"/>
  <c r="AP136" i="10"/>
  <c r="AP135" i="10"/>
  <c r="AP121" i="10"/>
  <c r="AP134" i="10"/>
  <c r="AP126" i="10"/>
  <c r="AP118" i="10"/>
  <c r="AP117" i="10"/>
  <c r="AP128" i="10"/>
  <c r="AP119" i="10"/>
  <c r="AP116" i="10"/>
  <c r="AP114" i="10"/>
  <c r="AP137" i="10"/>
  <c r="AP124" i="10"/>
  <c r="AP113" i="10"/>
  <c r="AP112" i="10"/>
  <c r="AP127" i="10"/>
  <c r="AP105" i="10"/>
  <c r="AP122" i="10"/>
  <c r="AP110" i="10"/>
  <c r="AP108" i="10"/>
  <c r="AP104" i="10"/>
  <c r="AP8" i="10"/>
  <c r="AP109" i="10"/>
  <c r="AP111" i="10"/>
  <c r="AP106" i="10"/>
  <c r="AP11" i="10"/>
  <c r="AQ4" i="10"/>
  <c r="AP39" i="10"/>
  <c r="AP10" i="10"/>
  <c r="AP40" i="10" s="1"/>
  <c r="AP217" i="10" s="1"/>
  <c r="AP48" i="10"/>
  <c r="B170" i="7"/>
  <c r="AQ69" i="5"/>
  <c r="AN197" i="10"/>
  <c r="AN37" i="10"/>
  <c r="AQ216" i="5"/>
  <c r="AM70" i="7"/>
  <c r="AP69" i="10" l="1"/>
  <c r="AS135" i="5"/>
  <c r="AS127" i="5"/>
  <c r="AS119" i="5"/>
  <c r="AS111" i="5"/>
  <c r="AS132" i="5"/>
  <c r="AS124" i="5"/>
  <c r="AS116" i="5"/>
  <c r="AS108" i="5"/>
  <c r="AS141" i="5"/>
  <c r="AS137" i="5"/>
  <c r="AS129" i="5"/>
  <c r="AS121" i="5"/>
  <c r="AS113" i="5"/>
  <c r="AS105" i="5"/>
  <c r="AS133" i="5"/>
  <c r="AS125" i="5"/>
  <c r="AS117" i="5"/>
  <c r="AS109" i="5"/>
  <c r="AS134" i="5"/>
  <c r="AS118" i="5"/>
  <c r="AS139" i="5"/>
  <c r="AS123" i="5"/>
  <c r="AS107" i="5"/>
  <c r="AS128" i="5"/>
  <c r="AS112" i="5"/>
  <c r="AS10" i="5"/>
  <c r="AS40" i="5" s="1"/>
  <c r="AS217" i="5" s="1"/>
  <c r="AS138" i="5"/>
  <c r="AS122" i="5"/>
  <c r="AS140" i="5"/>
  <c r="AS131" i="5"/>
  <c r="AS136" i="5"/>
  <c r="AS120" i="5"/>
  <c r="AS104" i="5"/>
  <c r="AS39" i="5"/>
  <c r="AS8" i="5"/>
  <c r="AS114" i="5"/>
  <c r="AS130" i="5"/>
  <c r="AS126" i="5"/>
  <c r="AS110" i="5"/>
  <c r="AT4" i="5"/>
  <c r="AS115" i="5"/>
  <c r="AS106" i="5"/>
  <c r="AS9" i="5"/>
  <c r="AS14" i="5" s="1"/>
  <c r="AS11" i="5"/>
  <c r="AS48" i="5"/>
  <c r="AR137" i="7"/>
  <c r="AR129" i="7"/>
  <c r="AR140" i="7"/>
  <c r="AR139" i="7"/>
  <c r="AR127" i="7"/>
  <c r="AR126" i="7"/>
  <c r="AR123" i="7"/>
  <c r="AR115" i="7"/>
  <c r="AR138" i="7"/>
  <c r="AR125" i="7"/>
  <c r="AR120" i="7"/>
  <c r="AR136" i="7"/>
  <c r="AR134" i="7"/>
  <c r="AR124" i="7"/>
  <c r="AR121" i="7"/>
  <c r="AR117" i="7"/>
  <c r="AR114" i="7"/>
  <c r="AR104" i="7"/>
  <c r="AR10" i="7"/>
  <c r="AR40" i="7" s="1"/>
  <c r="AR217" i="7" s="1"/>
  <c r="AR131" i="7"/>
  <c r="AR122" i="7"/>
  <c r="AR113" i="7"/>
  <c r="AR112" i="7"/>
  <c r="AR128" i="7"/>
  <c r="AR111" i="7"/>
  <c r="AR106" i="7"/>
  <c r="AR135" i="7"/>
  <c r="AR118" i="7"/>
  <c r="AR132" i="7"/>
  <c r="AR119" i="7"/>
  <c r="AR133" i="7"/>
  <c r="AR110" i="7"/>
  <c r="AR8" i="7"/>
  <c r="AR130" i="7"/>
  <c r="AR116" i="7"/>
  <c r="AR105" i="7"/>
  <c r="AR109" i="7"/>
  <c r="AR108" i="7"/>
  <c r="AR9" i="7"/>
  <c r="AR14" i="7" s="1"/>
  <c r="AR107" i="7"/>
  <c r="AR11" i="7"/>
  <c r="AR39" i="7"/>
  <c r="AS4" i="7"/>
  <c r="AR48" i="7"/>
  <c r="AQ267" i="7"/>
  <c r="B171" i="7"/>
  <c r="AP216" i="10"/>
  <c r="AR267" i="10"/>
  <c r="AS15" i="10"/>
  <c r="AR15" i="7"/>
  <c r="AR15" i="5"/>
  <c r="AR9" i="5"/>
  <c r="AR14" i="5" s="1"/>
  <c r="AQ4" i="11"/>
  <c r="AQ135" i="10"/>
  <c r="AQ131" i="10"/>
  <c r="AQ120" i="10"/>
  <c r="AQ112" i="10"/>
  <c r="AQ130" i="10"/>
  <c r="AQ129" i="10"/>
  <c r="AQ125" i="10"/>
  <c r="AQ128" i="10"/>
  <c r="AQ122" i="10"/>
  <c r="AQ134" i="10"/>
  <c r="AQ126" i="10"/>
  <c r="AQ139" i="10"/>
  <c r="AQ132" i="10"/>
  <c r="AQ119" i="10"/>
  <c r="AQ116" i="10"/>
  <c r="AQ115" i="10"/>
  <c r="AQ114" i="10"/>
  <c r="AQ138" i="10"/>
  <c r="AQ137" i="10"/>
  <c r="AQ124" i="10"/>
  <c r="AQ113" i="10"/>
  <c r="AQ111" i="10"/>
  <c r="AQ105" i="10"/>
  <c r="AQ133" i="10"/>
  <c r="AQ127" i="10"/>
  <c r="AQ110" i="10"/>
  <c r="AQ108" i="10"/>
  <c r="AQ106" i="10"/>
  <c r="AQ136" i="10"/>
  <c r="AQ107" i="10"/>
  <c r="AQ123" i="10"/>
  <c r="AQ109" i="10"/>
  <c r="AQ11" i="10"/>
  <c r="AQ121" i="10"/>
  <c r="AQ118" i="10"/>
  <c r="AQ117" i="10"/>
  <c r="AQ104" i="10"/>
  <c r="AQ8" i="10"/>
  <c r="AR4" i="10"/>
  <c r="AQ39" i="10"/>
  <c r="AQ10" i="10"/>
  <c r="AQ40" i="10" s="1"/>
  <c r="AQ217" i="10" s="1"/>
  <c r="AQ48" i="10"/>
  <c r="AL241" i="7"/>
  <c r="B153" i="5"/>
  <c r="AP33" i="10"/>
  <c r="AL241" i="5"/>
  <c r="AN26" i="7"/>
  <c r="AN199" i="7"/>
  <c r="AP83" i="7"/>
  <c r="AO41" i="7"/>
  <c r="AR216" i="5"/>
  <c r="AN8" i="11"/>
  <c r="AN10" i="11" s="1"/>
  <c r="AN31" i="11" s="1"/>
  <c r="AN34" i="11" s="1"/>
  <c r="AO30" i="11" s="1"/>
  <c r="AN199" i="10"/>
  <c r="AN26" i="10"/>
  <c r="AP9" i="10"/>
  <c r="AP14" i="10" s="1"/>
  <c r="AP218" i="10" s="1"/>
  <c r="AP242" i="10" s="1"/>
  <c r="AR68" i="5"/>
  <c r="AQ5" i="11"/>
  <c r="AR5" i="10"/>
  <c r="AP68" i="10"/>
  <c r="AR33" i="5"/>
  <c r="AQ9" i="7"/>
  <c r="AQ14" i="7" s="1"/>
  <c r="AQ218" i="7" s="1"/>
  <c r="AQ242" i="7" s="1"/>
  <c r="AP83" i="10"/>
  <c r="AO41" i="10"/>
  <c r="AO70" i="10" s="1"/>
  <c r="AQ69" i="7"/>
  <c r="AR68" i="7"/>
  <c r="AN241" i="10"/>
  <c r="AR69" i="5"/>
  <c r="AS69" i="5" s="1"/>
  <c r="AQ197" i="5"/>
  <c r="AQ37" i="5"/>
  <c r="AN26" i="5"/>
  <c r="AN199" i="5"/>
  <c r="AQ216" i="7"/>
  <c r="AQ33" i="7"/>
  <c r="AP197" i="7"/>
  <c r="AP37" i="7"/>
  <c r="AO197" i="10"/>
  <c r="AO37" i="10"/>
  <c r="AN70" i="5"/>
  <c r="AO70" i="5" s="1"/>
  <c r="AN70" i="7"/>
  <c r="AQ218" i="5"/>
  <c r="AQ242" i="5" s="1"/>
  <c r="AQ267" i="5"/>
  <c r="AP83" i="5"/>
  <c r="AO41" i="5"/>
  <c r="AP70" i="5" l="1"/>
  <c r="AR197" i="5"/>
  <c r="AR37" i="5"/>
  <c r="AQ216" i="10"/>
  <c r="AO241" i="10"/>
  <c r="AQ33" i="10"/>
  <c r="B172" i="7"/>
  <c r="AS33" i="5"/>
  <c r="AS68" i="7"/>
  <c r="AQ68" i="10"/>
  <c r="AS216" i="5"/>
  <c r="AR69" i="7"/>
  <c r="AS134" i="7"/>
  <c r="AS126" i="7"/>
  <c r="AS138" i="7"/>
  <c r="AS125" i="7"/>
  <c r="AS120" i="7"/>
  <c r="AS112" i="7"/>
  <c r="AS137" i="7"/>
  <c r="AS136" i="7"/>
  <c r="AS124" i="7"/>
  <c r="AS117" i="7"/>
  <c r="AS135" i="7"/>
  <c r="AS131" i="7"/>
  <c r="AS122" i="7"/>
  <c r="AS113" i="7"/>
  <c r="AS140" i="7"/>
  <c r="AS128" i="7"/>
  <c r="AS111" i="7"/>
  <c r="AS106" i="7"/>
  <c r="AS118" i="7"/>
  <c r="AS110" i="7"/>
  <c r="AS109" i="7"/>
  <c r="AS141" i="7"/>
  <c r="AS132" i="7"/>
  <c r="AS123" i="7"/>
  <c r="AS119" i="7"/>
  <c r="AS129" i="7"/>
  <c r="AS133" i="7"/>
  <c r="AS139" i="7"/>
  <c r="AS130" i="7"/>
  <c r="AS116" i="7"/>
  <c r="AS107" i="7"/>
  <c r="AS105" i="7"/>
  <c r="AS10" i="7"/>
  <c r="AS40" i="7" s="1"/>
  <c r="AS217" i="7" s="1"/>
  <c r="AS127" i="7"/>
  <c r="AS121" i="7"/>
  <c r="AS114" i="7"/>
  <c r="AS39" i="7"/>
  <c r="AS108" i="7"/>
  <c r="AS115" i="7"/>
  <c r="AS11" i="7"/>
  <c r="AS104" i="7"/>
  <c r="AS8" i="7"/>
  <c r="AT4" i="7"/>
  <c r="AS48" i="7"/>
  <c r="AT141" i="5"/>
  <c r="AT132" i="5"/>
  <c r="AT124" i="5"/>
  <c r="AT116" i="5"/>
  <c r="AT108" i="5"/>
  <c r="AT142" i="5"/>
  <c r="AT137" i="5"/>
  <c r="AT129" i="5"/>
  <c r="AT121" i="5"/>
  <c r="AT113" i="5"/>
  <c r="AT105" i="5"/>
  <c r="AT140" i="5"/>
  <c r="AT134" i="5"/>
  <c r="AT126" i="5"/>
  <c r="AT118" i="5"/>
  <c r="AT110" i="5"/>
  <c r="AT138" i="5"/>
  <c r="AT130" i="5"/>
  <c r="AT122" i="5"/>
  <c r="AT114" i="5"/>
  <c r="AT106" i="5"/>
  <c r="AT139" i="5"/>
  <c r="AT123" i="5"/>
  <c r="AT107" i="5"/>
  <c r="AT128" i="5"/>
  <c r="AT112" i="5"/>
  <c r="AT10" i="5"/>
  <c r="AT40" i="5" s="1"/>
  <c r="AT217" i="5" s="1"/>
  <c r="AT133" i="5"/>
  <c r="AT117" i="5"/>
  <c r="AT127" i="5"/>
  <c r="AT131" i="5"/>
  <c r="AT136" i="5"/>
  <c r="AT120" i="5"/>
  <c r="AT125" i="5"/>
  <c r="AT109" i="5"/>
  <c r="AU4" i="5"/>
  <c r="AT8" i="5"/>
  <c r="AT135" i="5"/>
  <c r="AT119" i="5"/>
  <c r="AT39" i="5"/>
  <c r="AT104" i="5"/>
  <c r="AT115" i="5"/>
  <c r="AT111" i="5"/>
  <c r="AT11" i="5"/>
  <c r="AT48" i="5"/>
  <c r="AQ69" i="10"/>
  <c r="AR69" i="10" s="1"/>
  <c r="AM241" i="5"/>
  <c r="AR4" i="11"/>
  <c r="AR140" i="10"/>
  <c r="AR132" i="10"/>
  <c r="AR130" i="10"/>
  <c r="AR129" i="10"/>
  <c r="AR125" i="10"/>
  <c r="AR117" i="10"/>
  <c r="AR109" i="10"/>
  <c r="AR128" i="10"/>
  <c r="AR122" i="10"/>
  <c r="AR127" i="10"/>
  <c r="AR119" i="10"/>
  <c r="AR139" i="10"/>
  <c r="AR133" i="10"/>
  <c r="AR123" i="10"/>
  <c r="AR120" i="10"/>
  <c r="AR115" i="10"/>
  <c r="AR114" i="10"/>
  <c r="AR138" i="10"/>
  <c r="AR137" i="10"/>
  <c r="AR124" i="10"/>
  <c r="AR113" i="10"/>
  <c r="AR112" i="10"/>
  <c r="AR111" i="10"/>
  <c r="AR105" i="10"/>
  <c r="AR135" i="10"/>
  <c r="AR110" i="10"/>
  <c r="AR131" i="10"/>
  <c r="AR136" i="10"/>
  <c r="AR108" i="10"/>
  <c r="AR106" i="10"/>
  <c r="AR104" i="10"/>
  <c r="AR134" i="10"/>
  <c r="AR126" i="10"/>
  <c r="AR121" i="10"/>
  <c r="AR118" i="10"/>
  <c r="AR11" i="10"/>
  <c r="AR116" i="10"/>
  <c r="AR39" i="10"/>
  <c r="AR10" i="10"/>
  <c r="AR40" i="10" s="1"/>
  <c r="AR217" i="10" s="1"/>
  <c r="AR107" i="10"/>
  <c r="AR8" i="10"/>
  <c r="AS4" i="10"/>
  <c r="AR48" i="10"/>
  <c r="AQ83" i="7"/>
  <c r="AP41" i="7"/>
  <c r="AR5" i="11"/>
  <c r="AS5" i="10"/>
  <c r="B154" i="5"/>
  <c r="AR267" i="5"/>
  <c r="AR218" i="5"/>
  <c r="AR242" i="5" s="1"/>
  <c r="AR216" i="7"/>
  <c r="AR267" i="7"/>
  <c r="AR218" i="7"/>
  <c r="AR242" i="7" s="1"/>
  <c r="AT69" i="5"/>
  <c r="AS267" i="10"/>
  <c r="AT15" i="10"/>
  <c r="AS15" i="7"/>
  <c r="AS15" i="5"/>
  <c r="AO26" i="5"/>
  <c r="AO199" i="5"/>
  <c r="AO199" i="7"/>
  <c r="AO26" i="7"/>
  <c r="AQ83" i="5"/>
  <c r="AP41" i="5"/>
  <c r="AO8" i="11"/>
  <c r="AO10" i="11" s="1"/>
  <c r="AO31" i="11" s="1"/>
  <c r="AO34" i="11" s="1"/>
  <c r="AP30" i="11" s="1"/>
  <c r="AO199" i="10"/>
  <c r="AO26" i="10"/>
  <c r="AQ83" i="10"/>
  <c r="AP41" i="10"/>
  <c r="AO70" i="7"/>
  <c r="AP70" i="7" s="1"/>
  <c r="AQ197" i="7"/>
  <c r="AQ37" i="7"/>
  <c r="AS68" i="5"/>
  <c r="AP197" i="10"/>
  <c r="AP37" i="10"/>
  <c r="AM241" i="7"/>
  <c r="AQ9" i="10"/>
  <c r="AQ14" i="10" s="1"/>
  <c r="AQ218" i="10" s="1"/>
  <c r="AQ242" i="10" s="1"/>
  <c r="AR33" i="7"/>
  <c r="AP34" i="11" l="1"/>
  <c r="AQ30" i="11" s="1"/>
  <c r="AU142" i="5"/>
  <c r="AU137" i="5"/>
  <c r="AU129" i="5"/>
  <c r="AU121" i="5"/>
  <c r="AU113" i="5"/>
  <c r="AU105" i="5"/>
  <c r="AU141" i="5"/>
  <c r="AU140" i="5"/>
  <c r="AU134" i="5"/>
  <c r="AU126" i="5"/>
  <c r="AU118" i="5"/>
  <c r="AU110" i="5"/>
  <c r="AU139" i="5"/>
  <c r="AU131" i="5"/>
  <c r="AU123" i="5"/>
  <c r="AU115" i="5"/>
  <c r="AU107" i="5"/>
  <c r="AU135" i="5"/>
  <c r="AU127" i="5"/>
  <c r="AU119" i="5"/>
  <c r="AU111" i="5"/>
  <c r="AU128" i="5"/>
  <c r="AU112" i="5"/>
  <c r="AU43" i="5"/>
  <c r="AU24" i="5" s="1"/>
  <c r="AU10" i="5"/>
  <c r="AU40" i="5" s="1"/>
  <c r="AU217" i="5" s="1"/>
  <c r="AU133" i="5"/>
  <c r="AU117" i="5"/>
  <c r="AU138" i="5"/>
  <c r="AU122" i="5"/>
  <c r="AU106" i="5"/>
  <c r="AU9" i="5"/>
  <c r="AU14" i="5" s="1"/>
  <c r="AU132" i="5"/>
  <c r="AU136" i="5"/>
  <c r="AU125" i="5"/>
  <c r="AU130" i="5"/>
  <c r="AU114" i="5"/>
  <c r="AU109" i="5"/>
  <c r="AU104" i="5"/>
  <c r="AU11" i="5"/>
  <c r="AU143" i="5"/>
  <c r="AU124" i="5"/>
  <c r="AU39" i="5"/>
  <c r="AV4" i="5"/>
  <c r="AU120" i="5"/>
  <c r="AU108" i="5"/>
  <c r="AU116" i="5"/>
  <c r="AU8" i="5"/>
  <c r="AU204" i="5"/>
  <c r="AU206" i="5"/>
  <c r="AU48" i="5"/>
  <c r="AU49" i="5"/>
  <c r="AQ197" i="10"/>
  <c r="AQ37" i="10"/>
  <c r="AT216" i="5"/>
  <c r="AS197" i="5"/>
  <c r="AS37" i="5"/>
  <c r="AR83" i="10"/>
  <c r="AQ41" i="10"/>
  <c r="AU69" i="5"/>
  <c r="AR83" i="5"/>
  <c r="AQ41" i="5"/>
  <c r="B155" i="5"/>
  <c r="AS33" i="7"/>
  <c r="AR68" i="10"/>
  <c r="B173" i="7"/>
  <c r="AP8" i="11"/>
  <c r="AP10" i="11" s="1"/>
  <c r="AP31" i="11" s="1"/>
  <c r="AP26" i="10"/>
  <c r="AP199" i="10"/>
  <c r="AP241" i="10"/>
  <c r="AP70" i="10"/>
  <c r="AR197" i="7"/>
  <c r="AR37" i="7"/>
  <c r="AP26" i="7"/>
  <c r="AP199" i="7"/>
  <c r="AR9" i="10"/>
  <c r="AR14" i="10" s="1"/>
  <c r="AR218" i="10" s="1"/>
  <c r="AR242" i="10" s="1"/>
  <c r="AS242" i="10" s="1"/>
  <c r="AS69" i="7"/>
  <c r="AS69" i="10"/>
  <c r="AT9" i="5"/>
  <c r="AT14" i="5" s="1"/>
  <c r="AT68" i="5"/>
  <c r="AU68" i="5" s="1"/>
  <c r="AS267" i="5"/>
  <c r="AS218" i="5"/>
  <c r="AS242" i="5" s="1"/>
  <c r="AR83" i="7"/>
  <c r="AQ41" i="7"/>
  <c r="AS4" i="11"/>
  <c r="AS137" i="10"/>
  <c r="AS129" i="10"/>
  <c r="AS139" i="10"/>
  <c r="AS128" i="10"/>
  <c r="AS122" i="10"/>
  <c r="AS114" i="10"/>
  <c r="AS106" i="10"/>
  <c r="AS127" i="10"/>
  <c r="AS119" i="10"/>
  <c r="AS138" i="10"/>
  <c r="AS124" i="10"/>
  <c r="AS141" i="10"/>
  <c r="AS132" i="10"/>
  <c r="AS131" i="10"/>
  <c r="AS120" i="10"/>
  <c r="AS130" i="10"/>
  <c r="AS125" i="10"/>
  <c r="AS113" i="10"/>
  <c r="AS112" i="10"/>
  <c r="AS111" i="10"/>
  <c r="AS105" i="10"/>
  <c r="AS135" i="10"/>
  <c r="AS110" i="10"/>
  <c r="AS133" i="10"/>
  <c r="AS123" i="10"/>
  <c r="AS109" i="10"/>
  <c r="AS108" i="10"/>
  <c r="AS140" i="10"/>
  <c r="AS136" i="10"/>
  <c r="AS134" i="10"/>
  <c r="AS126" i="10"/>
  <c r="AS104" i="10"/>
  <c r="AS117" i="10"/>
  <c r="AS116" i="10"/>
  <c r="AS11" i="10"/>
  <c r="AS39" i="10"/>
  <c r="AS10" i="10"/>
  <c r="AS40" i="10" s="1"/>
  <c r="AS217" i="10" s="1"/>
  <c r="AS115" i="10"/>
  <c r="AS107" i="10"/>
  <c r="AS121" i="10"/>
  <c r="AS118" i="10"/>
  <c r="AT4" i="10"/>
  <c r="AS8" i="10"/>
  <c r="AS9" i="10"/>
  <c r="AS14" i="10" s="1"/>
  <c r="AS218" i="10" s="1"/>
  <c r="AS48" i="10"/>
  <c r="AS267" i="7"/>
  <c r="AR33" i="10"/>
  <c r="AT33" i="5"/>
  <c r="AS216" i="7"/>
  <c r="AS9" i="7"/>
  <c r="AS14" i="7" s="1"/>
  <c r="AS218" i="7" s="1"/>
  <c r="AS242" i="7" s="1"/>
  <c r="AN241" i="7"/>
  <c r="AS5" i="11"/>
  <c r="AT5" i="10"/>
  <c r="AR216" i="10"/>
  <c r="AN241" i="5"/>
  <c r="AP26" i="5"/>
  <c r="AP199" i="5"/>
  <c r="AT267" i="10"/>
  <c r="AU15" i="10"/>
  <c r="AT15" i="7"/>
  <c r="AT15" i="5"/>
  <c r="AT139" i="7"/>
  <c r="AT131" i="7"/>
  <c r="AT142" i="7"/>
  <c r="AT137" i="7"/>
  <c r="AT136" i="7"/>
  <c r="AT124" i="7"/>
  <c r="AT117" i="7"/>
  <c r="AT109" i="7"/>
  <c r="AT135" i="7"/>
  <c r="AT122" i="7"/>
  <c r="AT134" i="7"/>
  <c r="AT133" i="7"/>
  <c r="AT140" i="7"/>
  <c r="AT128" i="7"/>
  <c r="AT112" i="7"/>
  <c r="AT111" i="7"/>
  <c r="AT106" i="7"/>
  <c r="AT125" i="7"/>
  <c r="AT118" i="7"/>
  <c r="AT110" i="7"/>
  <c r="AT141" i="7"/>
  <c r="AT132" i="7"/>
  <c r="AT123" i="7"/>
  <c r="AT119" i="7"/>
  <c r="AT108" i="7"/>
  <c r="AT138" i="7"/>
  <c r="AT129" i="7"/>
  <c r="AT126" i="7"/>
  <c r="AT130" i="7"/>
  <c r="AT120" i="7"/>
  <c r="AT116" i="7"/>
  <c r="AT127" i="7"/>
  <c r="AT121" i="7"/>
  <c r="AT115" i="7"/>
  <c r="AT114" i="7"/>
  <c r="AT104" i="7"/>
  <c r="AT105" i="7"/>
  <c r="AT10" i="7"/>
  <c r="AT40" i="7" s="1"/>
  <c r="AT217" i="7" s="1"/>
  <c r="AT39" i="7"/>
  <c r="AT68" i="7" s="1"/>
  <c r="AT113" i="7"/>
  <c r="AT107" i="7"/>
  <c r="AT8" i="7"/>
  <c r="AT11" i="7"/>
  <c r="AU4" i="7"/>
  <c r="AT48" i="7"/>
  <c r="AU68" i="7" l="1"/>
  <c r="AT267" i="5"/>
  <c r="AT218" i="5"/>
  <c r="AT242" i="5" s="1"/>
  <c r="AQ241" i="10"/>
  <c r="AS197" i="7"/>
  <c r="AS37" i="7"/>
  <c r="B156" i="5"/>
  <c r="AU207" i="5"/>
  <c r="AO241" i="5"/>
  <c r="AR197" i="10"/>
  <c r="AR37" i="10"/>
  <c r="AQ199" i="7"/>
  <c r="AQ26" i="7"/>
  <c r="AQ26" i="5"/>
  <c r="AQ199" i="5"/>
  <c r="AS83" i="7"/>
  <c r="AR41" i="7"/>
  <c r="AQ70" i="7"/>
  <c r="AR70" i="7" s="1"/>
  <c r="AV69" i="5"/>
  <c r="AO241" i="7"/>
  <c r="AS83" i="5"/>
  <c r="AR41" i="5"/>
  <c r="AU136" i="7"/>
  <c r="AU128" i="7"/>
  <c r="AU141" i="7"/>
  <c r="AU143" i="7"/>
  <c r="AU135" i="7"/>
  <c r="AU122" i="7"/>
  <c r="AU114" i="7"/>
  <c r="AU134" i="7"/>
  <c r="AU133" i="7"/>
  <c r="AU119" i="7"/>
  <c r="AU132" i="7"/>
  <c r="AU137" i="7"/>
  <c r="AU125" i="7"/>
  <c r="AU118" i="7"/>
  <c r="AU110" i="7"/>
  <c r="AU123" i="7"/>
  <c r="AU109" i="7"/>
  <c r="AU108" i="7"/>
  <c r="AU39" i="7"/>
  <c r="AU138" i="7"/>
  <c r="AU129" i="7"/>
  <c r="AU105" i="7"/>
  <c r="AU126" i="7"/>
  <c r="AU142" i="7"/>
  <c r="AU130" i="7"/>
  <c r="AU120" i="7"/>
  <c r="AU116" i="7"/>
  <c r="AU139" i="7"/>
  <c r="AU127" i="7"/>
  <c r="AU121" i="7"/>
  <c r="AU115" i="7"/>
  <c r="AU113" i="7"/>
  <c r="AU140" i="7"/>
  <c r="AU112" i="7"/>
  <c r="AU117" i="7"/>
  <c r="AU104" i="7"/>
  <c r="AV4" i="7"/>
  <c r="AU131" i="7"/>
  <c r="AU124" i="7"/>
  <c r="AU107" i="7"/>
  <c r="AU43" i="7"/>
  <c r="AU24" i="7" s="1"/>
  <c r="AU106" i="7"/>
  <c r="AU10" i="7"/>
  <c r="AU40" i="7" s="1"/>
  <c r="AU217" i="7" s="1"/>
  <c r="AU111" i="7"/>
  <c r="AU8" i="7"/>
  <c r="AU9" i="7"/>
  <c r="AU14" i="7" s="1"/>
  <c r="AU11" i="7"/>
  <c r="AU204" i="7"/>
  <c r="AU48" i="7"/>
  <c r="AU206" i="7"/>
  <c r="AU49" i="7"/>
  <c r="AT69" i="7"/>
  <c r="AU69" i="7" s="1"/>
  <c r="AV143" i="5"/>
  <c r="AV141" i="5"/>
  <c r="AV140" i="5"/>
  <c r="AV134" i="5"/>
  <c r="AV126" i="5"/>
  <c r="AV118" i="5"/>
  <c r="AV110" i="5"/>
  <c r="AV139" i="5"/>
  <c r="AV131" i="5"/>
  <c r="AV123" i="5"/>
  <c r="AV115" i="5"/>
  <c r="AV107" i="5"/>
  <c r="AV136" i="5"/>
  <c r="AV128" i="5"/>
  <c r="AV120" i="5"/>
  <c r="AV112" i="5"/>
  <c r="AV104" i="5"/>
  <c r="AV144" i="5"/>
  <c r="AV132" i="5"/>
  <c r="AV124" i="5"/>
  <c r="AV116" i="5"/>
  <c r="AV108" i="5"/>
  <c r="AV133" i="5"/>
  <c r="AV117" i="5"/>
  <c r="AV138" i="5"/>
  <c r="AV122" i="5"/>
  <c r="AV106" i="5"/>
  <c r="AV9" i="5"/>
  <c r="AV14" i="5" s="1"/>
  <c r="AV127" i="5"/>
  <c r="AV111" i="5"/>
  <c r="AV142" i="5"/>
  <c r="AV137" i="5"/>
  <c r="AV121" i="5"/>
  <c r="AV130" i="5"/>
  <c r="AV135" i="5"/>
  <c r="AV119" i="5"/>
  <c r="AV129" i="5"/>
  <c r="AV114" i="5"/>
  <c r="AV43" i="5"/>
  <c r="AV24" i="5" s="1"/>
  <c r="AV39" i="5"/>
  <c r="AW4" i="5"/>
  <c r="AV10" i="5"/>
  <c r="AV40" i="5" s="1"/>
  <c r="AV217" i="5" s="1"/>
  <c r="AV105" i="5"/>
  <c r="AV113" i="5"/>
  <c r="AV8" i="5"/>
  <c r="AV125" i="5"/>
  <c r="AV109" i="5"/>
  <c r="AV11" i="5"/>
  <c r="AV204" i="5"/>
  <c r="AV48" i="5"/>
  <c r="AV49" i="5"/>
  <c r="AV206" i="5"/>
  <c r="AQ34" i="11"/>
  <c r="AR30" i="11" s="1"/>
  <c r="AT4" i="11"/>
  <c r="AT142" i="10"/>
  <c r="AT134" i="10"/>
  <c r="AT139" i="10"/>
  <c r="AT127" i="10"/>
  <c r="AT119" i="10"/>
  <c r="AT111" i="10"/>
  <c r="AT138" i="10"/>
  <c r="AT124" i="10"/>
  <c r="AT140" i="10"/>
  <c r="AT137" i="10"/>
  <c r="AT136" i="10"/>
  <c r="AT121" i="10"/>
  <c r="AT130" i="10"/>
  <c r="AT125" i="10"/>
  <c r="AT128" i="10"/>
  <c r="AT112" i="10"/>
  <c r="AT105" i="10"/>
  <c r="AT135" i="10"/>
  <c r="AT110" i="10"/>
  <c r="AT133" i="10"/>
  <c r="AT123" i="10"/>
  <c r="AT109" i="10"/>
  <c r="AT108" i="10"/>
  <c r="AT141" i="10"/>
  <c r="AT131" i="10"/>
  <c r="AT107" i="10"/>
  <c r="AT104" i="10"/>
  <c r="AT129" i="10"/>
  <c r="AT126" i="10"/>
  <c r="AT122" i="10"/>
  <c r="AT106" i="10"/>
  <c r="AT117" i="10"/>
  <c r="AT115" i="10"/>
  <c r="AT39" i="10"/>
  <c r="AT10" i="10"/>
  <c r="AT40" i="10" s="1"/>
  <c r="AT217" i="10" s="1"/>
  <c r="AT116" i="10"/>
  <c r="AT118" i="10"/>
  <c r="AT114" i="10"/>
  <c r="AT132" i="10"/>
  <c r="AT120" i="10"/>
  <c r="AT113" i="10"/>
  <c r="AT8" i="10"/>
  <c r="AT11" i="10"/>
  <c r="AU4" i="10"/>
  <c r="AT48" i="10"/>
  <c r="AS83" i="10"/>
  <c r="AR41" i="10"/>
  <c r="AU216" i="5"/>
  <c r="AT216" i="7"/>
  <c r="AT267" i="7"/>
  <c r="AS33" i="10"/>
  <c r="AS216" i="10"/>
  <c r="AQ8" i="11"/>
  <c r="AQ10" i="11" s="1"/>
  <c r="AQ31" i="11" s="1"/>
  <c r="AQ199" i="10"/>
  <c r="AQ26" i="10"/>
  <c r="AT5" i="11"/>
  <c r="AU5" i="10"/>
  <c r="AV68" i="5"/>
  <c r="AQ70" i="10"/>
  <c r="B174" i="7"/>
  <c r="AQ70" i="5"/>
  <c r="AR70" i="5" s="1"/>
  <c r="AU267" i="10"/>
  <c r="AV15" i="10"/>
  <c r="AU15" i="7"/>
  <c r="AU15" i="5"/>
  <c r="AT33" i="7"/>
  <c r="AT9" i="7"/>
  <c r="AT14" i="7" s="1"/>
  <c r="AT218" i="7" s="1"/>
  <c r="AT242" i="7" s="1"/>
  <c r="AT197" i="5"/>
  <c r="AT37" i="5"/>
  <c r="AS68" i="10"/>
  <c r="AU33" i="5"/>
  <c r="AS197" i="10" l="1"/>
  <c r="AS37" i="10"/>
  <c r="AT216" i="10"/>
  <c r="AU33" i="7"/>
  <c r="AV141" i="7"/>
  <c r="AV133" i="7"/>
  <c r="AV125" i="7"/>
  <c r="AV134" i="7"/>
  <c r="AV119" i="7"/>
  <c r="AV111" i="7"/>
  <c r="AV132" i="7"/>
  <c r="AV144" i="7"/>
  <c r="AV131" i="7"/>
  <c r="AV130" i="7"/>
  <c r="AV123" i="7"/>
  <c r="AV109" i="7"/>
  <c r="AV108" i="7"/>
  <c r="AV39" i="7"/>
  <c r="AV8" i="7"/>
  <c r="AV138" i="7"/>
  <c r="AV129" i="7"/>
  <c r="AV105" i="7"/>
  <c r="AV135" i="7"/>
  <c r="AV126" i="7"/>
  <c r="AV142" i="7"/>
  <c r="AV120" i="7"/>
  <c r="AV116" i="7"/>
  <c r="AV143" i="7"/>
  <c r="AV139" i="7"/>
  <c r="AV127" i="7"/>
  <c r="AV121" i="7"/>
  <c r="AV136" i="7"/>
  <c r="AV114" i="7"/>
  <c r="AV113" i="7"/>
  <c r="AV140" i="7"/>
  <c r="AV124" i="7"/>
  <c r="AV117" i="7"/>
  <c r="AV112" i="7"/>
  <c r="AV106" i="7"/>
  <c r="AV137" i="7"/>
  <c r="AV118" i="7"/>
  <c r="AV104" i="7"/>
  <c r="AW4" i="7"/>
  <c r="AV122" i="7"/>
  <c r="AV128" i="7"/>
  <c r="AV107" i="7"/>
  <c r="AV115" i="7"/>
  <c r="AV10" i="7"/>
  <c r="AV40" i="7" s="1"/>
  <c r="AV217" i="7" s="1"/>
  <c r="AV110" i="7"/>
  <c r="AV43" i="7"/>
  <c r="AV24" i="7" s="1"/>
  <c r="AV9" i="7"/>
  <c r="AV14" i="7" s="1"/>
  <c r="AV11" i="7"/>
  <c r="AV204" i="7"/>
  <c r="AV48" i="7"/>
  <c r="AV49" i="7"/>
  <c r="AV206" i="7"/>
  <c r="AT68" i="10"/>
  <c r="AU68" i="10" s="1"/>
  <c r="AU267" i="5"/>
  <c r="AU218" i="5"/>
  <c r="AU242" i="5" s="1"/>
  <c r="AU207" i="7"/>
  <c r="AP241" i="7"/>
  <c r="B157" i="5"/>
  <c r="AR8" i="11"/>
  <c r="AR10" i="11" s="1"/>
  <c r="AR31" i="11" s="1"/>
  <c r="AR34" i="11" s="1"/>
  <c r="AS30" i="11" s="1"/>
  <c r="AR26" i="10"/>
  <c r="AR199" i="10"/>
  <c r="AS70" i="7"/>
  <c r="AT197" i="7"/>
  <c r="AT37" i="7"/>
  <c r="AT83" i="10"/>
  <c r="AS41" i="10"/>
  <c r="AW140" i="5"/>
  <c r="AW139" i="5"/>
  <c r="AW131" i="5"/>
  <c r="AW123" i="5"/>
  <c r="AW115" i="5"/>
  <c r="AW107" i="5"/>
  <c r="AW136" i="5"/>
  <c r="AW128" i="5"/>
  <c r="AW120" i="5"/>
  <c r="AW112" i="5"/>
  <c r="AW104" i="5"/>
  <c r="AW133" i="5"/>
  <c r="AW125" i="5"/>
  <c r="AW117" i="5"/>
  <c r="AW109" i="5"/>
  <c r="AW143" i="5"/>
  <c r="AW142" i="5"/>
  <c r="AW137" i="5"/>
  <c r="AW129" i="5"/>
  <c r="AW121" i="5"/>
  <c r="AW113" i="5"/>
  <c r="AW105" i="5"/>
  <c r="AW138" i="5"/>
  <c r="AW122" i="5"/>
  <c r="AW106" i="5"/>
  <c r="AW127" i="5"/>
  <c r="AW111" i="5"/>
  <c r="AW144" i="5"/>
  <c r="AW132" i="5"/>
  <c r="AW116" i="5"/>
  <c r="AW39" i="5"/>
  <c r="AW68" i="5" s="1"/>
  <c r="AW8" i="5"/>
  <c r="AW126" i="5"/>
  <c r="AW130" i="5"/>
  <c r="AW145" i="5"/>
  <c r="AW135" i="5"/>
  <c r="AW124" i="5"/>
  <c r="AW108" i="5"/>
  <c r="AW43" i="5"/>
  <c r="AW24" i="5" s="1"/>
  <c r="AW10" i="5"/>
  <c r="AW40" i="5" s="1"/>
  <c r="AW217" i="5" s="1"/>
  <c r="AW119" i="5"/>
  <c r="AX4" i="5"/>
  <c r="AW110" i="5"/>
  <c r="AW141" i="5"/>
  <c r="AW118" i="5"/>
  <c r="AW134" i="5"/>
  <c r="AW114" i="5"/>
  <c r="AW204" i="5"/>
  <c r="AW11" i="5"/>
  <c r="AW48" i="5"/>
  <c r="AW49" i="5"/>
  <c r="AW206" i="5"/>
  <c r="AR26" i="5"/>
  <c r="AR199" i="5"/>
  <c r="AR199" i="7"/>
  <c r="AR26" i="7"/>
  <c r="AU267" i="7"/>
  <c r="AU218" i="7"/>
  <c r="AU242" i="7" s="1"/>
  <c r="AU5" i="11"/>
  <c r="AV5" i="10"/>
  <c r="AT33" i="10"/>
  <c r="AV267" i="10"/>
  <c r="AW15" i="10"/>
  <c r="AV15" i="7"/>
  <c r="AV15" i="5"/>
  <c r="AV68" i="7"/>
  <c r="AS70" i="5"/>
  <c r="B175" i="7"/>
  <c r="AU4" i="11"/>
  <c r="AU139" i="10"/>
  <c r="AU131" i="10"/>
  <c r="AU141" i="10"/>
  <c r="AU138" i="10"/>
  <c r="AU124" i="10"/>
  <c r="AU116" i="10"/>
  <c r="AU108" i="10"/>
  <c r="AU140" i="10"/>
  <c r="AU137" i="10"/>
  <c r="AU136" i="10"/>
  <c r="AU121" i="10"/>
  <c r="AU143" i="10"/>
  <c r="AU135" i="10"/>
  <c r="AU126" i="10"/>
  <c r="AU129" i="10"/>
  <c r="AU128" i="10"/>
  <c r="AU122" i="10"/>
  <c r="AU111" i="10"/>
  <c r="AU110" i="10"/>
  <c r="AU133" i="10"/>
  <c r="AU123" i="10"/>
  <c r="AU109" i="10"/>
  <c r="AU107" i="10"/>
  <c r="AU104" i="10"/>
  <c r="AU142" i="10"/>
  <c r="AU118" i="10"/>
  <c r="AU106" i="10"/>
  <c r="AU127" i="10"/>
  <c r="AU134" i="10"/>
  <c r="AU132" i="10"/>
  <c r="AU130" i="10"/>
  <c r="AU117" i="10"/>
  <c r="AU115" i="10"/>
  <c r="AU120" i="10"/>
  <c r="AU113" i="10"/>
  <c r="AU114" i="10"/>
  <c r="AU112" i="10"/>
  <c r="AU105" i="10"/>
  <c r="AU125" i="10"/>
  <c r="AU119" i="10"/>
  <c r="AU43" i="10"/>
  <c r="AU24" i="10" s="1"/>
  <c r="AU11" i="10"/>
  <c r="AV4" i="10"/>
  <c r="AU8" i="10"/>
  <c r="AU39" i="10"/>
  <c r="AU10" i="10"/>
  <c r="AU40" i="10" s="1"/>
  <c r="AU217" i="10" s="1"/>
  <c r="AU204" i="10"/>
  <c r="AU49" i="10"/>
  <c r="AU206" i="10"/>
  <c r="AU48" i="10"/>
  <c r="AV33" i="5"/>
  <c r="AV216" i="5"/>
  <c r="AU216" i="7"/>
  <c r="AT83" i="5"/>
  <c r="AS41" i="5"/>
  <c r="AT83" i="7"/>
  <c r="AS41" i="7"/>
  <c r="AV207" i="5"/>
  <c r="AU197" i="5"/>
  <c r="AU37" i="5"/>
  <c r="AR70" i="10"/>
  <c r="AS70" i="10" s="1"/>
  <c r="AT9" i="10"/>
  <c r="AT14" i="10" s="1"/>
  <c r="AT218" i="10" s="1"/>
  <c r="AT242" i="10" s="1"/>
  <c r="AT69" i="10"/>
  <c r="AP241" i="5"/>
  <c r="AR241" i="10"/>
  <c r="AW267" i="10" l="1"/>
  <c r="AX15" i="10"/>
  <c r="AW15" i="7"/>
  <c r="AW15" i="5"/>
  <c r="AU83" i="7"/>
  <c r="AT41" i="7"/>
  <c r="AT70" i="5"/>
  <c r="AS199" i="7"/>
  <c r="AS26" i="7"/>
  <c r="AV207" i="7"/>
  <c r="AQ241" i="7"/>
  <c r="AW138" i="7"/>
  <c r="AW130" i="7"/>
  <c r="AW143" i="7"/>
  <c r="AW133" i="7"/>
  <c r="AW132" i="7"/>
  <c r="AW116" i="7"/>
  <c r="AW144" i="7"/>
  <c r="AW131" i="7"/>
  <c r="AW121" i="7"/>
  <c r="AW145" i="7"/>
  <c r="AW129" i="7"/>
  <c r="AW105" i="7"/>
  <c r="AX4" i="7"/>
  <c r="AW141" i="7"/>
  <c r="AW135" i="7"/>
  <c r="AW126" i="7"/>
  <c r="AW119" i="7"/>
  <c r="AW142" i="7"/>
  <c r="AW120" i="7"/>
  <c r="AW107" i="7"/>
  <c r="AW139" i="7"/>
  <c r="AW127" i="7"/>
  <c r="AW136" i="7"/>
  <c r="AW140" i="7"/>
  <c r="AW124" i="7"/>
  <c r="AW117" i="7"/>
  <c r="AW112" i="7"/>
  <c r="AW137" i="7"/>
  <c r="AW128" i="7"/>
  <c r="AW122" i="7"/>
  <c r="AW118" i="7"/>
  <c r="AW111" i="7"/>
  <c r="AW110" i="7"/>
  <c r="AW104" i="7"/>
  <c r="AW39" i="7"/>
  <c r="AW114" i="7"/>
  <c r="AW134" i="7"/>
  <c r="AW123" i="7"/>
  <c r="AW113" i="7"/>
  <c r="AW125" i="7"/>
  <c r="AW115" i="7"/>
  <c r="AW106" i="7"/>
  <c r="AW109" i="7"/>
  <c r="AW43" i="7"/>
  <c r="AW24" i="7" s="1"/>
  <c r="AW108" i="7"/>
  <c r="AW10" i="7"/>
  <c r="AW40" i="7" s="1"/>
  <c r="AW217" i="7" s="1"/>
  <c r="AW8" i="7"/>
  <c r="AW9" i="7"/>
  <c r="AW14" i="7" s="1"/>
  <c r="AW204" i="7"/>
  <c r="AW11" i="7"/>
  <c r="AW206" i="7"/>
  <c r="AW48" i="7"/>
  <c r="AW49" i="7"/>
  <c r="AT70" i="10"/>
  <c r="AT197" i="10"/>
  <c r="AT37" i="10"/>
  <c r="AU83" i="10"/>
  <c r="AT41" i="10"/>
  <c r="AU242" i="10"/>
  <c r="AV242" i="10" s="1"/>
  <c r="AS199" i="5"/>
  <c r="AS26" i="5"/>
  <c r="AS241" i="10"/>
  <c r="AV197" i="5"/>
  <c r="AV37" i="5"/>
  <c r="AU33" i="10"/>
  <c r="AU9" i="10"/>
  <c r="AU14" i="10" s="1"/>
  <c r="AU218" i="10" s="1"/>
  <c r="AW69" i="5"/>
  <c r="AV5" i="11"/>
  <c r="AW5" i="10"/>
  <c r="B176" i="7"/>
  <c r="AW68" i="7"/>
  <c r="AW207" i="5"/>
  <c r="AS8" i="11"/>
  <c r="AS10" i="11" s="1"/>
  <c r="AS31" i="11" s="1"/>
  <c r="AS34" i="11" s="1"/>
  <c r="AT30" i="11" s="1"/>
  <c r="AS26" i="10"/>
  <c r="AS199" i="10"/>
  <c r="AU83" i="5"/>
  <c r="AT41" i="5"/>
  <c r="AV4" i="11"/>
  <c r="AV144" i="10"/>
  <c r="AV136" i="10"/>
  <c r="AV128" i="10"/>
  <c r="AV141" i="10"/>
  <c r="AV138" i="10"/>
  <c r="AV143" i="10"/>
  <c r="AV140" i="10"/>
  <c r="AV137" i="10"/>
  <c r="AV121" i="10"/>
  <c r="AV113" i="10"/>
  <c r="AV135" i="10"/>
  <c r="AV126" i="10"/>
  <c r="AV134" i="10"/>
  <c r="AV133" i="10"/>
  <c r="AV123" i="10"/>
  <c r="AV127" i="10"/>
  <c r="AV124" i="10"/>
  <c r="AV109" i="10"/>
  <c r="AV108" i="10"/>
  <c r="AV107" i="10"/>
  <c r="AV104" i="10"/>
  <c r="AV142" i="10"/>
  <c r="AV131" i="10"/>
  <c r="AV118" i="10"/>
  <c r="AV106" i="10"/>
  <c r="AV129" i="10"/>
  <c r="AV122" i="10"/>
  <c r="AV117" i="10"/>
  <c r="AV132" i="10"/>
  <c r="AV130" i="10"/>
  <c r="AV115" i="10"/>
  <c r="AV139" i="10"/>
  <c r="AV120" i="10"/>
  <c r="AV125" i="10"/>
  <c r="AV119" i="10"/>
  <c r="AV112" i="10"/>
  <c r="AV105" i="10"/>
  <c r="AV116" i="10"/>
  <c r="AV9" i="10"/>
  <c r="AV14" i="10" s="1"/>
  <c r="AV218" i="10" s="1"/>
  <c r="AV8" i="10"/>
  <c r="AV111" i="10"/>
  <c r="AV114" i="10"/>
  <c r="AV110" i="10"/>
  <c r="AV39" i="10"/>
  <c r="AV10" i="10"/>
  <c r="AV40" i="10" s="1"/>
  <c r="AV217" i="10" s="1"/>
  <c r="AV43" i="10"/>
  <c r="AV24" i="10" s="1"/>
  <c r="AV11" i="10"/>
  <c r="AW4" i="10"/>
  <c r="AV204" i="10"/>
  <c r="AV206" i="10"/>
  <c r="AV49" i="10"/>
  <c r="AV48" i="10"/>
  <c r="AV267" i="5"/>
  <c r="AV218" i="5"/>
  <c r="AV242" i="5" s="1"/>
  <c r="AX145" i="5"/>
  <c r="AX136" i="5"/>
  <c r="AX128" i="5"/>
  <c r="AX120" i="5"/>
  <c r="AX112" i="5"/>
  <c r="AX104" i="5"/>
  <c r="AX133" i="5"/>
  <c r="AX125" i="5"/>
  <c r="AX117" i="5"/>
  <c r="AX109" i="5"/>
  <c r="AX138" i="5"/>
  <c r="AX130" i="5"/>
  <c r="AX122" i="5"/>
  <c r="AX114" i="5"/>
  <c r="AX106" i="5"/>
  <c r="AX141" i="5"/>
  <c r="AX134" i="5"/>
  <c r="AX126" i="5"/>
  <c r="AX118" i="5"/>
  <c r="AX110" i="5"/>
  <c r="AX146" i="5"/>
  <c r="AX127" i="5"/>
  <c r="AX111" i="5"/>
  <c r="AX144" i="5"/>
  <c r="AX132" i="5"/>
  <c r="AX116" i="5"/>
  <c r="AX39" i="5"/>
  <c r="AX8" i="5"/>
  <c r="AX142" i="5"/>
  <c r="AX137" i="5"/>
  <c r="AX121" i="5"/>
  <c r="AX105" i="5"/>
  <c r="AY4" i="5"/>
  <c r="AX140" i="5"/>
  <c r="AX131" i="5"/>
  <c r="AX135" i="5"/>
  <c r="AX124" i="5"/>
  <c r="AX143" i="5"/>
  <c r="AX129" i="5"/>
  <c r="AX113" i="5"/>
  <c r="AX107" i="5"/>
  <c r="AX115" i="5"/>
  <c r="AX10" i="5"/>
  <c r="AX40" i="5" s="1"/>
  <c r="AX217" i="5" s="1"/>
  <c r="AX139" i="5"/>
  <c r="AX123" i="5"/>
  <c r="AX108" i="5"/>
  <c r="AX119" i="5"/>
  <c r="AX43" i="5"/>
  <c r="AX24" i="5" s="1"/>
  <c r="AX204" i="5"/>
  <c r="AX11" i="5"/>
  <c r="AX48" i="5"/>
  <c r="AX206" i="5"/>
  <c r="AX49" i="5"/>
  <c r="AW33" i="5"/>
  <c r="B158" i="5"/>
  <c r="AV33" i="7"/>
  <c r="AU216" i="10"/>
  <c r="AQ241" i="5"/>
  <c r="AU69" i="10"/>
  <c r="AV69" i="10" s="1"/>
  <c r="AU207" i="10"/>
  <c r="AV267" i="7"/>
  <c r="AV218" i="7"/>
  <c r="AV242" i="7" s="1"/>
  <c r="AW216" i="5"/>
  <c r="AW9" i="5"/>
  <c r="AW14" i="5" s="1"/>
  <c r="AV69" i="7"/>
  <c r="AV216" i="7"/>
  <c r="AU197" i="7"/>
  <c r="AU37" i="7"/>
  <c r="AX267" i="10" l="1"/>
  <c r="AY15" i="10"/>
  <c r="AX15" i="7"/>
  <c r="AX15" i="5"/>
  <c r="AV83" i="5"/>
  <c r="AU41" i="5"/>
  <c r="AV33" i="10"/>
  <c r="B177" i="7"/>
  <c r="AW33" i="7"/>
  <c r="AW4" i="11"/>
  <c r="AW141" i="10"/>
  <c r="AW133" i="10"/>
  <c r="AW138" i="10"/>
  <c r="AW143" i="10"/>
  <c r="AW136" i="10"/>
  <c r="AW135" i="10"/>
  <c r="AW126" i="10"/>
  <c r="AW118" i="10"/>
  <c r="AW110" i="10"/>
  <c r="AW144" i="10"/>
  <c r="AW134" i="10"/>
  <c r="AW123" i="10"/>
  <c r="AW132" i="10"/>
  <c r="AW120" i="10"/>
  <c r="AW145" i="10"/>
  <c r="AW124" i="10"/>
  <c r="AW137" i="10"/>
  <c r="AW108" i="10"/>
  <c r="AW107" i="10"/>
  <c r="AW104" i="10"/>
  <c r="AW142" i="10"/>
  <c r="AW131" i="10"/>
  <c r="AW106" i="10"/>
  <c r="AW129" i="10"/>
  <c r="AW122" i="10"/>
  <c r="AW117" i="10"/>
  <c r="AW127" i="10"/>
  <c r="AW116" i="10"/>
  <c r="AW115" i="10"/>
  <c r="AW140" i="10"/>
  <c r="AW130" i="10"/>
  <c r="AW139" i="10"/>
  <c r="AW128" i="10"/>
  <c r="AW125" i="10"/>
  <c r="AW119" i="10"/>
  <c r="AW113" i="10"/>
  <c r="AW111" i="10"/>
  <c r="AW112" i="10"/>
  <c r="AW105" i="10"/>
  <c r="AW8" i="10"/>
  <c r="AW121" i="10"/>
  <c r="AW114" i="10"/>
  <c r="AW109" i="10"/>
  <c r="AW43" i="10"/>
  <c r="AW24" i="10" s="1"/>
  <c r="AW11" i="10"/>
  <c r="AW39" i="10"/>
  <c r="AW10" i="10"/>
  <c r="AW40" i="10" s="1"/>
  <c r="AW217" i="10" s="1"/>
  <c r="AW9" i="10"/>
  <c r="AW14" i="10" s="1"/>
  <c r="AW218" i="10" s="1"/>
  <c r="AX4" i="10"/>
  <c r="AW204" i="10"/>
  <c r="AW206" i="10"/>
  <c r="AW49" i="10"/>
  <c r="AW48" i="10"/>
  <c r="AW69" i="10"/>
  <c r="AW242" i="10"/>
  <c r="AT8" i="11"/>
  <c r="AT10" i="11" s="1"/>
  <c r="AT31" i="11" s="1"/>
  <c r="AT34" i="11" s="1"/>
  <c r="AU30" i="11" s="1"/>
  <c r="AT26" i="10"/>
  <c r="AT199" i="10"/>
  <c r="AU70" i="5"/>
  <c r="B159" i="5"/>
  <c r="AX33" i="5"/>
  <c r="AT26" i="7"/>
  <c r="AT199" i="7"/>
  <c r="AX216" i="5"/>
  <c r="AV216" i="10"/>
  <c r="AT241" i="10"/>
  <c r="AV83" i="7"/>
  <c r="AU41" i="7"/>
  <c r="AR241" i="5"/>
  <c r="AW5" i="11"/>
  <c r="AX5" i="10"/>
  <c r="AV83" i="10"/>
  <c r="AU41" i="10"/>
  <c r="AU70" i="10" s="1"/>
  <c r="AW197" i="5"/>
  <c r="AW37" i="5"/>
  <c r="AX9" i="5"/>
  <c r="AX14" i="5" s="1"/>
  <c r="AY142" i="5"/>
  <c r="AY147" i="5"/>
  <c r="AY133" i="5"/>
  <c r="AY125" i="5"/>
  <c r="AY117" i="5"/>
  <c r="AY109" i="5"/>
  <c r="AY138" i="5"/>
  <c r="AY130" i="5"/>
  <c r="AY122" i="5"/>
  <c r="AY114" i="5"/>
  <c r="AY106" i="5"/>
  <c r="AY146" i="5"/>
  <c r="AY135" i="5"/>
  <c r="AY127" i="5"/>
  <c r="AY119" i="5"/>
  <c r="AY111" i="5"/>
  <c r="AY140" i="5"/>
  <c r="AY139" i="5"/>
  <c r="AY131" i="5"/>
  <c r="AY123" i="5"/>
  <c r="AY115" i="5"/>
  <c r="AY107" i="5"/>
  <c r="AY144" i="5"/>
  <c r="AY132" i="5"/>
  <c r="AY116" i="5"/>
  <c r="AY39" i="5"/>
  <c r="AY8" i="5"/>
  <c r="AZ4" i="5"/>
  <c r="AY137" i="5"/>
  <c r="AY121" i="5"/>
  <c r="AY105" i="5"/>
  <c r="AY126" i="5"/>
  <c r="AY110" i="5"/>
  <c r="AY136" i="5"/>
  <c r="AY120" i="5"/>
  <c r="AY145" i="5"/>
  <c r="AY143" i="5"/>
  <c r="AY129" i="5"/>
  <c r="AY141" i="5"/>
  <c r="AY134" i="5"/>
  <c r="AY118" i="5"/>
  <c r="AY104" i="5"/>
  <c r="AY124" i="5"/>
  <c r="AY112" i="5"/>
  <c r="AY10" i="5"/>
  <c r="AY40" i="5" s="1"/>
  <c r="AY217" i="5" s="1"/>
  <c r="AY108" i="5"/>
  <c r="AY113" i="5"/>
  <c r="AY128" i="5"/>
  <c r="AY43" i="5"/>
  <c r="AY24" i="5" s="1"/>
  <c r="AY11" i="5"/>
  <c r="AY204" i="5"/>
  <c r="AY49" i="5"/>
  <c r="AY206" i="5"/>
  <c r="AY48" i="5"/>
  <c r="AX69" i="5"/>
  <c r="AR241" i="7"/>
  <c r="AT70" i="7"/>
  <c r="AU70" i="7" s="1"/>
  <c r="AW69" i="7"/>
  <c r="AW207" i="7"/>
  <c r="AX143" i="7"/>
  <c r="AX135" i="7"/>
  <c r="AX127" i="7"/>
  <c r="AX144" i="7"/>
  <c r="AX131" i="7"/>
  <c r="AX121" i="7"/>
  <c r="AX113" i="7"/>
  <c r="AX145" i="7"/>
  <c r="AX130" i="7"/>
  <c r="AX129" i="7"/>
  <c r="AX118" i="7"/>
  <c r="AX140" i="7"/>
  <c r="AX128" i="7"/>
  <c r="AX141" i="7"/>
  <c r="AX138" i="7"/>
  <c r="AX126" i="7"/>
  <c r="AX119" i="7"/>
  <c r="AX142" i="7"/>
  <c r="AX132" i="7"/>
  <c r="AX120" i="7"/>
  <c r="AX107" i="7"/>
  <c r="AX139" i="7"/>
  <c r="AX116" i="7"/>
  <c r="AX115" i="7"/>
  <c r="AX104" i="7"/>
  <c r="AX43" i="7"/>
  <c r="AX24" i="7" s="1"/>
  <c r="AX136" i="7"/>
  <c r="AX133" i="7"/>
  <c r="AX124" i="7"/>
  <c r="AX117" i="7"/>
  <c r="AX137" i="7"/>
  <c r="AX122" i="7"/>
  <c r="AX146" i="7"/>
  <c r="AX134" i="7"/>
  <c r="AX125" i="7"/>
  <c r="AX123" i="7"/>
  <c r="AX109" i="7"/>
  <c r="AX108" i="7"/>
  <c r="AX114" i="7"/>
  <c r="AY4" i="7"/>
  <c r="AX111" i="7"/>
  <c r="AX106" i="7"/>
  <c r="AX110" i="7"/>
  <c r="AX112" i="7"/>
  <c r="AX105" i="7"/>
  <c r="AX39" i="7"/>
  <c r="AX10" i="7"/>
  <c r="AX40" i="7" s="1"/>
  <c r="AX217" i="7" s="1"/>
  <c r="AX8" i="7"/>
  <c r="AX11" i="7"/>
  <c r="AX204" i="7"/>
  <c r="AX48" i="7"/>
  <c r="AX206" i="7"/>
  <c r="AX49" i="7"/>
  <c r="AW267" i="5"/>
  <c r="AW218" i="5"/>
  <c r="AW242" i="5" s="1"/>
  <c r="AX207" i="5"/>
  <c r="AV207" i="10"/>
  <c r="AV197" i="7"/>
  <c r="AV37" i="7"/>
  <c r="AT26" i="5"/>
  <c r="AT199" i="5"/>
  <c r="AU197" i="10"/>
  <c r="AU37" i="10"/>
  <c r="AV68" i="10"/>
  <c r="AW68" i="10" s="1"/>
  <c r="AW216" i="7"/>
  <c r="AW267" i="7"/>
  <c r="AW218" i="7"/>
  <c r="AW242" i="7" s="1"/>
  <c r="AX68" i="5"/>
  <c r="AX197" i="5" l="1"/>
  <c r="AX37" i="5"/>
  <c r="AX267" i="7"/>
  <c r="AX4" i="11"/>
  <c r="AX146" i="10"/>
  <c r="AX138" i="10"/>
  <c r="AX130" i="10"/>
  <c r="AX143" i="10"/>
  <c r="AX140" i="10"/>
  <c r="AX145" i="10"/>
  <c r="AX144" i="10"/>
  <c r="AX134" i="10"/>
  <c r="AX123" i="10"/>
  <c r="AX115" i="10"/>
  <c r="AX107" i="10"/>
  <c r="AX133" i="10"/>
  <c r="AX132" i="10"/>
  <c r="AX120" i="10"/>
  <c r="AX142" i="10"/>
  <c r="AX131" i="10"/>
  <c r="AX125" i="10"/>
  <c r="AX137" i="10"/>
  <c r="AX121" i="10"/>
  <c r="AX135" i="10"/>
  <c r="AX106" i="10"/>
  <c r="AX129" i="10"/>
  <c r="AX122" i="10"/>
  <c r="AX118" i="10"/>
  <c r="AX117" i="10"/>
  <c r="AX141" i="10"/>
  <c r="AX127" i="10"/>
  <c r="AX116" i="10"/>
  <c r="AX114" i="10"/>
  <c r="AX136" i="10"/>
  <c r="AX139" i="10"/>
  <c r="AX128" i="10"/>
  <c r="AX119" i="10"/>
  <c r="AX113" i="10"/>
  <c r="AX104" i="10"/>
  <c r="AX111" i="10"/>
  <c r="AX43" i="10"/>
  <c r="AX24" i="10" s="1"/>
  <c r="AX109" i="10"/>
  <c r="AX110" i="10"/>
  <c r="AX112" i="10"/>
  <c r="AX105" i="10"/>
  <c r="AX8" i="10"/>
  <c r="AX108" i="10"/>
  <c r="AX126" i="10"/>
  <c r="AX124" i="10"/>
  <c r="AX11" i="10"/>
  <c r="AX39" i="10"/>
  <c r="AX68" i="10" s="1"/>
  <c r="AX10" i="10"/>
  <c r="AX40" i="10" s="1"/>
  <c r="AX217" i="10" s="1"/>
  <c r="AY4" i="10"/>
  <c r="AX204" i="10"/>
  <c r="AX48" i="10"/>
  <c r="AX206" i="10"/>
  <c r="AX49" i="10"/>
  <c r="AY33" i="5"/>
  <c r="AS241" i="5"/>
  <c r="AW33" i="10"/>
  <c r="B178" i="7"/>
  <c r="AY267" i="10"/>
  <c r="AZ15" i="10"/>
  <c r="AY15" i="7"/>
  <c r="AY15" i="5"/>
  <c r="AY69" i="5"/>
  <c r="AZ69" i="5" s="1"/>
  <c r="AY207" i="5"/>
  <c r="AY216" i="5"/>
  <c r="AU26" i="7"/>
  <c r="AU199" i="7"/>
  <c r="AV197" i="10"/>
  <c r="AV37" i="10"/>
  <c r="AX216" i="7"/>
  <c r="AS241" i="7"/>
  <c r="AY140" i="7"/>
  <c r="AY132" i="7"/>
  <c r="AY124" i="7"/>
  <c r="AY145" i="7"/>
  <c r="AY130" i="7"/>
  <c r="AY129" i="7"/>
  <c r="AY118" i="7"/>
  <c r="AY110" i="7"/>
  <c r="AY128" i="7"/>
  <c r="AY123" i="7"/>
  <c r="AY141" i="7"/>
  <c r="AY139" i="7"/>
  <c r="AY127" i="7"/>
  <c r="AY126" i="7"/>
  <c r="AY142" i="7"/>
  <c r="AY135" i="7"/>
  <c r="AY120" i="7"/>
  <c r="AY107" i="7"/>
  <c r="AY116" i="7"/>
  <c r="AY115" i="7"/>
  <c r="AY104" i="7"/>
  <c r="AY43" i="7"/>
  <c r="AY24" i="7" s="1"/>
  <c r="AY10" i="7"/>
  <c r="AY40" i="7" s="1"/>
  <c r="AY217" i="7" s="1"/>
  <c r="AY147" i="7"/>
  <c r="AY136" i="7"/>
  <c r="AY114" i="7"/>
  <c r="AY143" i="7"/>
  <c r="AY133" i="7"/>
  <c r="AY121" i="7"/>
  <c r="AY117" i="7"/>
  <c r="AY144" i="7"/>
  <c r="AY137" i="7"/>
  <c r="AY122" i="7"/>
  <c r="AY146" i="7"/>
  <c r="AY134" i="7"/>
  <c r="AY125" i="7"/>
  <c r="AY131" i="7"/>
  <c r="AY105" i="7"/>
  <c r="AY119" i="7"/>
  <c r="AY111" i="7"/>
  <c r="AY109" i="7"/>
  <c r="AY108" i="7"/>
  <c r="AY8" i="7"/>
  <c r="AY138" i="7"/>
  <c r="AY106" i="7"/>
  <c r="AY112" i="7"/>
  <c r="AY39" i="7"/>
  <c r="AY113" i="7"/>
  <c r="AZ4" i="7"/>
  <c r="AY11" i="7"/>
  <c r="AY204" i="7"/>
  <c r="AY48" i="7"/>
  <c r="AY49" i="7"/>
  <c r="AY206" i="7"/>
  <c r="AY9" i="5"/>
  <c r="AY14" i="5" s="1"/>
  <c r="AW83" i="7"/>
  <c r="AV41" i="7"/>
  <c r="B160" i="5"/>
  <c r="AW216" i="10"/>
  <c r="AU8" i="11"/>
  <c r="AU10" i="11" s="1"/>
  <c r="AU31" i="11" s="1"/>
  <c r="AU34" i="11" s="1"/>
  <c r="AV30" i="11" s="1"/>
  <c r="AU199" i="10"/>
  <c r="AU26" i="10"/>
  <c r="AW207" i="10"/>
  <c r="AU199" i="5"/>
  <c r="AU26" i="5"/>
  <c r="AZ147" i="5"/>
  <c r="AZ139" i="5"/>
  <c r="AZ138" i="5"/>
  <c r="AZ130" i="5"/>
  <c r="AZ122" i="5"/>
  <c r="AZ114" i="5"/>
  <c r="AZ106" i="5"/>
  <c r="AZ146" i="5"/>
  <c r="AZ135" i="5"/>
  <c r="AZ127" i="5"/>
  <c r="AZ119" i="5"/>
  <c r="AZ111" i="5"/>
  <c r="AZ145" i="5"/>
  <c r="AZ144" i="5"/>
  <c r="AZ132" i="5"/>
  <c r="AZ124" i="5"/>
  <c r="AZ116" i="5"/>
  <c r="AZ108" i="5"/>
  <c r="AZ136" i="5"/>
  <c r="AZ128" i="5"/>
  <c r="AZ120" i="5"/>
  <c r="AZ112" i="5"/>
  <c r="AZ104" i="5"/>
  <c r="AZ137" i="5"/>
  <c r="AZ121" i="5"/>
  <c r="AZ105" i="5"/>
  <c r="BA4" i="5"/>
  <c r="AZ142" i="5"/>
  <c r="AZ126" i="5"/>
  <c r="AZ110" i="5"/>
  <c r="AZ140" i="5"/>
  <c r="AZ131" i="5"/>
  <c r="AZ115" i="5"/>
  <c r="AZ143" i="5"/>
  <c r="AZ129" i="5"/>
  <c r="AZ148" i="5"/>
  <c r="AZ141" i="5"/>
  <c r="AZ134" i="5"/>
  <c r="AZ123" i="5"/>
  <c r="AZ107" i="5"/>
  <c r="AZ39" i="5"/>
  <c r="AZ117" i="5"/>
  <c r="AZ10" i="5"/>
  <c r="AZ40" i="5" s="1"/>
  <c r="AZ217" i="5" s="1"/>
  <c r="AZ133" i="5"/>
  <c r="AZ113" i="5"/>
  <c r="AZ118" i="5"/>
  <c r="AZ8" i="5"/>
  <c r="AZ43" i="5"/>
  <c r="AZ24" i="5" s="1"/>
  <c r="AZ125" i="5"/>
  <c r="AZ109" i="5"/>
  <c r="AZ9" i="5"/>
  <c r="AZ14" i="5" s="1"/>
  <c r="AZ11" i="5"/>
  <c r="AZ204" i="5"/>
  <c r="AZ48" i="5"/>
  <c r="AZ206" i="5"/>
  <c r="AZ49" i="5"/>
  <c r="AX207" i="7"/>
  <c r="AX68" i="7"/>
  <c r="AY68" i="7" s="1"/>
  <c r="AY68" i="5"/>
  <c r="AZ68" i="5" s="1"/>
  <c r="AW83" i="10"/>
  <c r="AV41" i="10"/>
  <c r="AW83" i="5"/>
  <c r="AV41" i="5"/>
  <c r="AV70" i="5" s="1"/>
  <c r="AX33" i="7"/>
  <c r="AX9" i="7"/>
  <c r="AX14" i="7" s="1"/>
  <c r="AX218" i="7" s="1"/>
  <c r="AX242" i="7" s="1"/>
  <c r="AX69" i="7"/>
  <c r="AY69" i="7" s="1"/>
  <c r="AX5" i="11"/>
  <c r="AY5" i="10"/>
  <c r="AU241" i="10"/>
  <c r="AW197" i="7"/>
  <c r="AW37" i="7"/>
  <c r="AX267" i="5"/>
  <c r="AX218" i="5"/>
  <c r="AX242" i="5" s="1"/>
  <c r="AW70" i="5" l="1"/>
  <c r="AV241" i="10"/>
  <c r="AX83" i="5"/>
  <c r="AW41" i="5"/>
  <c r="AX69" i="10"/>
  <c r="AZ216" i="5"/>
  <c r="BA144" i="5"/>
  <c r="BA149" i="5"/>
  <c r="BA146" i="5"/>
  <c r="BA135" i="5"/>
  <c r="BA127" i="5"/>
  <c r="BA119" i="5"/>
  <c r="BA111" i="5"/>
  <c r="BA145" i="5"/>
  <c r="BA132" i="5"/>
  <c r="BA124" i="5"/>
  <c r="BA116" i="5"/>
  <c r="BA108" i="5"/>
  <c r="BA147" i="5"/>
  <c r="BA143" i="5"/>
  <c r="BA137" i="5"/>
  <c r="BA129" i="5"/>
  <c r="BA121" i="5"/>
  <c r="BA113" i="5"/>
  <c r="BA105" i="5"/>
  <c r="BA133" i="5"/>
  <c r="BA125" i="5"/>
  <c r="BA117" i="5"/>
  <c r="BA109" i="5"/>
  <c r="BA142" i="5"/>
  <c r="BA126" i="5"/>
  <c r="BA110" i="5"/>
  <c r="BA140" i="5"/>
  <c r="BA131" i="5"/>
  <c r="BA115" i="5"/>
  <c r="BA136" i="5"/>
  <c r="BA120" i="5"/>
  <c r="BA104" i="5"/>
  <c r="BA43" i="5"/>
  <c r="BA24" i="5" s="1"/>
  <c r="BA10" i="5"/>
  <c r="BA40" i="5" s="1"/>
  <c r="BA217" i="5" s="1"/>
  <c r="BA130" i="5"/>
  <c r="BA148" i="5"/>
  <c r="BA141" i="5"/>
  <c r="BA134" i="5"/>
  <c r="BA123" i="5"/>
  <c r="BA139" i="5"/>
  <c r="BA128" i="5"/>
  <c r="BA112" i="5"/>
  <c r="BA39" i="5"/>
  <c r="BA8" i="5"/>
  <c r="BA107" i="5"/>
  <c r="BA138" i="5"/>
  <c r="BA9" i="5"/>
  <c r="BA14" i="5" s="1"/>
  <c r="BA118" i="5"/>
  <c r="BA122" i="5"/>
  <c r="BA114" i="5"/>
  <c r="BA106" i="5"/>
  <c r="BB4" i="5"/>
  <c r="BA204" i="5"/>
  <c r="BA11" i="5"/>
  <c r="BA48" i="5"/>
  <c r="BA206" i="5"/>
  <c r="BA49" i="5"/>
  <c r="B161" i="5"/>
  <c r="AY4" i="11"/>
  <c r="AY143" i="10"/>
  <c r="AY135" i="10"/>
  <c r="AY127" i="10"/>
  <c r="AY140" i="10"/>
  <c r="AY145" i="10"/>
  <c r="AY142" i="10"/>
  <c r="AY133" i="10"/>
  <c r="AY132" i="10"/>
  <c r="AY120" i="10"/>
  <c r="AY112" i="10"/>
  <c r="AY131" i="10"/>
  <c r="AY125" i="10"/>
  <c r="AY147" i="10"/>
  <c r="AY139" i="10"/>
  <c r="AY130" i="10"/>
  <c r="AY129" i="10"/>
  <c r="AY122" i="10"/>
  <c r="AY136" i="10"/>
  <c r="AY126" i="10"/>
  <c r="AY144" i="10"/>
  <c r="AY138" i="10"/>
  <c r="AY123" i="10"/>
  <c r="AY118" i="10"/>
  <c r="AY117" i="10"/>
  <c r="AY141" i="10"/>
  <c r="AY116" i="10"/>
  <c r="AY115" i="10"/>
  <c r="AY114" i="10"/>
  <c r="AY121" i="10"/>
  <c r="AY119" i="10"/>
  <c r="AY113" i="10"/>
  <c r="AY105" i="10"/>
  <c r="AY134" i="10"/>
  <c r="AY128" i="10"/>
  <c r="AY137" i="10"/>
  <c r="AY111" i="10"/>
  <c r="AY43" i="10"/>
  <c r="AY24" i="10" s="1"/>
  <c r="AY109" i="10"/>
  <c r="AY146" i="10"/>
  <c r="AY124" i="10"/>
  <c r="AY108" i="10"/>
  <c r="AY11" i="10"/>
  <c r="AY107" i="10"/>
  <c r="AY110" i="10"/>
  <c r="AY106" i="10"/>
  <c r="AY104" i="10"/>
  <c r="AY39" i="10"/>
  <c r="AY10" i="10"/>
  <c r="AY40" i="10" s="1"/>
  <c r="AY217" i="10" s="1"/>
  <c r="AZ4" i="10"/>
  <c r="AY9" i="10"/>
  <c r="AY14" i="10" s="1"/>
  <c r="AY218" i="10" s="1"/>
  <c r="AY8" i="10"/>
  <c r="AY204" i="10"/>
  <c r="AY49" i="10"/>
  <c r="AY48" i="10"/>
  <c r="AY206" i="10"/>
  <c r="AX33" i="10"/>
  <c r="AZ33" i="5"/>
  <c r="BA69" i="5"/>
  <c r="AX207" i="10"/>
  <c r="AY197" i="5"/>
  <c r="AY37" i="5"/>
  <c r="AY5" i="11"/>
  <c r="AZ5" i="10"/>
  <c r="AZ207" i="5"/>
  <c r="AY33" i="7"/>
  <c r="AX197" i="7"/>
  <c r="AX37" i="7"/>
  <c r="BA68" i="5"/>
  <c r="AV199" i="7"/>
  <c r="AV26" i="7"/>
  <c r="AT241" i="7"/>
  <c r="AX83" i="7"/>
  <c r="AW41" i="7"/>
  <c r="AY218" i="7"/>
  <c r="AY242" i="7" s="1"/>
  <c r="AY267" i="7"/>
  <c r="B179" i="7"/>
  <c r="AV70" i="7"/>
  <c r="AW70" i="7" s="1"/>
  <c r="AY216" i="7"/>
  <c r="AZ267" i="10"/>
  <c r="BA15" i="10"/>
  <c r="AZ15" i="7"/>
  <c r="AZ15" i="5"/>
  <c r="AW197" i="10"/>
  <c r="AW37" i="10"/>
  <c r="AX216" i="10"/>
  <c r="AV199" i="5"/>
  <c r="AV26" i="5"/>
  <c r="AY207" i="7"/>
  <c r="AZ145" i="7"/>
  <c r="AZ137" i="7"/>
  <c r="AZ129" i="7"/>
  <c r="AZ142" i="7"/>
  <c r="AZ128" i="7"/>
  <c r="AZ123" i="7"/>
  <c r="AZ115" i="7"/>
  <c r="AZ141" i="7"/>
  <c r="AZ140" i="7"/>
  <c r="AZ139" i="7"/>
  <c r="AZ127" i="7"/>
  <c r="AZ126" i="7"/>
  <c r="AZ120" i="7"/>
  <c r="AZ147" i="7"/>
  <c r="AZ146" i="7"/>
  <c r="AZ138" i="7"/>
  <c r="AZ125" i="7"/>
  <c r="AZ132" i="7"/>
  <c r="AZ116" i="7"/>
  <c r="AZ104" i="7"/>
  <c r="AZ43" i="7"/>
  <c r="AZ24" i="7" s="1"/>
  <c r="AZ10" i="7"/>
  <c r="AZ40" i="7" s="1"/>
  <c r="AZ217" i="7" s="1"/>
  <c r="AZ136" i="7"/>
  <c r="AZ114" i="7"/>
  <c r="AZ143" i="7"/>
  <c r="AZ133" i="7"/>
  <c r="AZ121" i="7"/>
  <c r="AZ117" i="7"/>
  <c r="AZ113" i="7"/>
  <c r="AZ112" i="7"/>
  <c r="AZ106" i="7"/>
  <c r="AZ148" i="7"/>
  <c r="AZ144" i="7"/>
  <c r="AZ130" i="7"/>
  <c r="AZ124" i="7"/>
  <c r="AZ122" i="7"/>
  <c r="AZ134" i="7"/>
  <c r="AZ131" i="7"/>
  <c r="AZ118" i="7"/>
  <c r="AZ119" i="7"/>
  <c r="AZ111" i="7"/>
  <c r="AZ9" i="7"/>
  <c r="AZ14" i="7" s="1"/>
  <c r="AZ109" i="7"/>
  <c r="AZ108" i="7"/>
  <c r="AZ8" i="7"/>
  <c r="AZ135" i="7"/>
  <c r="AZ110" i="7"/>
  <c r="AZ105" i="7"/>
  <c r="BA4" i="7"/>
  <c r="AZ107" i="7"/>
  <c r="AZ39" i="7"/>
  <c r="AZ11" i="7"/>
  <c r="AZ204" i="7"/>
  <c r="AZ49" i="7"/>
  <c r="AZ48" i="7"/>
  <c r="AZ206" i="7"/>
  <c r="AY267" i="5"/>
  <c r="AY218" i="5"/>
  <c r="AY242" i="5" s="1"/>
  <c r="AX9" i="10"/>
  <c r="AX14" i="10" s="1"/>
  <c r="AX218" i="10" s="1"/>
  <c r="AX242" i="10" s="1"/>
  <c r="AY242" i="10" s="1"/>
  <c r="AV8" i="11"/>
  <c r="AV10" i="11" s="1"/>
  <c r="AV31" i="11" s="1"/>
  <c r="AV34" i="11" s="1"/>
  <c r="AW30" i="11" s="1"/>
  <c r="AV199" i="10"/>
  <c r="AV26" i="10"/>
  <c r="AZ69" i="7"/>
  <c r="AX83" i="10"/>
  <c r="AW41" i="10"/>
  <c r="AY9" i="7"/>
  <c r="AY14" i="7" s="1"/>
  <c r="AT241" i="5"/>
  <c r="AV70" i="10"/>
  <c r="AW241" i="10" l="1"/>
  <c r="BA267" i="10"/>
  <c r="BB15" i="10"/>
  <c r="BA15" i="7"/>
  <c r="BA15" i="5"/>
  <c r="BA207" i="5"/>
  <c r="AZ33" i="7"/>
  <c r="AZ218" i="5"/>
  <c r="AZ242" i="5" s="1"/>
  <c r="AZ267" i="5"/>
  <c r="AY216" i="10"/>
  <c r="AY83" i="5"/>
  <c r="AX41" i="5"/>
  <c r="AZ216" i="7"/>
  <c r="BA33" i="5"/>
  <c r="AW199" i="7"/>
  <c r="AW26" i="7"/>
  <c r="BA216" i="5"/>
  <c r="AY83" i="10"/>
  <c r="AX41" i="10"/>
  <c r="AZ197" i="5"/>
  <c r="AZ37" i="5"/>
  <c r="AW70" i="10"/>
  <c r="AX70" i="10" s="1"/>
  <c r="AU241" i="5"/>
  <c r="BA142" i="7"/>
  <c r="BA134" i="7"/>
  <c r="BA126" i="7"/>
  <c r="BA147" i="7"/>
  <c r="BA148" i="7"/>
  <c r="BA145" i="7"/>
  <c r="BA141" i="7"/>
  <c r="BA140" i="7"/>
  <c r="BA139" i="7"/>
  <c r="BA127" i="7"/>
  <c r="BA120" i="7"/>
  <c r="BA112" i="7"/>
  <c r="BA146" i="7"/>
  <c r="BA138" i="7"/>
  <c r="BA125" i="7"/>
  <c r="BA117" i="7"/>
  <c r="BA137" i="7"/>
  <c r="BA136" i="7"/>
  <c r="BA129" i="7"/>
  <c r="BA115" i="7"/>
  <c r="BA114" i="7"/>
  <c r="BA143" i="7"/>
  <c r="BA133" i="7"/>
  <c r="BA121" i="7"/>
  <c r="BA113" i="7"/>
  <c r="BA106" i="7"/>
  <c r="BA149" i="7"/>
  <c r="BA144" i="7"/>
  <c r="BA130" i="7"/>
  <c r="BA124" i="7"/>
  <c r="BA122" i="7"/>
  <c r="BA111" i="7"/>
  <c r="BA131" i="7"/>
  <c r="BA118" i="7"/>
  <c r="BA128" i="7"/>
  <c r="BA123" i="7"/>
  <c r="BA119" i="7"/>
  <c r="BA135" i="7"/>
  <c r="BA107" i="7"/>
  <c r="BA109" i="7"/>
  <c r="BA108" i="7"/>
  <c r="BA8" i="7"/>
  <c r="BA116" i="7"/>
  <c r="BA110" i="7"/>
  <c r="BA132" i="7"/>
  <c r="BA105" i="7"/>
  <c r="BA104" i="7"/>
  <c r="BA43" i="7"/>
  <c r="BA24" i="7" s="1"/>
  <c r="BA39" i="7"/>
  <c r="BB4" i="7"/>
  <c r="BA10" i="7"/>
  <c r="BA40" i="7" s="1"/>
  <c r="BA217" i="7" s="1"/>
  <c r="BA11" i="7"/>
  <c r="BA204" i="7"/>
  <c r="BA206" i="7"/>
  <c r="BA49" i="7"/>
  <c r="BA48" i="7"/>
  <c r="AY83" i="7"/>
  <c r="AX41" i="7"/>
  <c r="AW8" i="11"/>
  <c r="AW10" i="11" s="1"/>
  <c r="AW31" i="11" s="1"/>
  <c r="AW34" i="11" s="1"/>
  <c r="AX30" i="11" s="1"/>
  <c r="AW26" i="10"/>
  <c r="AW199" i="10"/>
  <c r="AZ207" i="7"/>
  <c r="AZ267" i="7"/>
  <c r="AZ218" i="7"/>
  <c r="AZ242" i="7" s="1"/>
  <c r="AX70" i="7"/>
  <c r="AZ5" i="11"/>
  <c r="BA5" i="10"/>
  <c r="AZ68" i="7"/>
  <c r="AX197" i="10"/>
  <c r="AX37" i="10"/>
  <c r="AY207" i="10"/>
  <c r="AY33" i="10"/>
  <c r="B180" i="7"/>
  <c r="AU241" i="7"/>
  <c r="AY197" i="7"/>
  <c r="AY37" i="7"/>
  <c r="AZ4" i="11"/>
  <c r="AZ148" i="10"/>
  <c r="AZ140" i="10"/>
  <c r="AZ132" i="10"/>
  <c r="AZ145" i="10"/>
  <c r="AZ142" i="10"/>
  <c r="AZ147" i="10"/>
  <c r="AZ131" i="10"/>
  <c r="AZ125" i="10"/>
  <c r="AZ117" i="10"/>
  <c r="AZ109" i="10"/>
  <c r="AZ143" i="10"/>
  <c r="AZ139" i="10"/>
  <c r="AZ130" i="10"/>
  <c r="AZ129" i="10"/>
  <c r="AZ122" i="10"/>
  <c r="AZ141" i="10"/>
  <c r="AZ128" i="10"/>
  <c r="AZ119" i="10"/>
  <c r="AZ144" i="10"/>
  <c r="AZ138" i="10"/>
  <c r="AZ135" i="10"/>
  <c r="AZ134" i="10"/>
  <c r="AZ123" i="10"/>
  <c r="AZ133" i="10"/>
  <c r="AZ116" i="10"/>
  <c r="AZ127" i="10"/>
  <c r="AZ115" i="10"/>
  <c r="AZ114" i="10"/>
  <c r="AZ121" i="10"/>
  <c r="AZ113" i="10"/>
  <c r="AZ105" i="10"/>
  <c r="AZ136" i="10"/>
  <c r="AZ126" i="10"/>
  <c r="AZ112" i="10"/>
  <c r="AZ111" i="10"/>
  <c r="AZ146" i="10"/>
  <c r="AZ137" i="10"/>
  <c r="AZ120" i="10"/>
  <c r="AZ107" i="10"/>
  <c r="AZ106" i="10"/>
  <c r="AZ104" i="10"/>
  <c r="AZ108" i="10"/>
  <c r="AZ11" i="10"/>
  <c r="AZ39" i="10"/>
  <c r="AZ10" i="10"/>
  <c r="AZ40" i="10" s="1"/>
  <c r="AZ217" i="10" s="1"/>
  <c r="AZ118" i="10"/>
  <c r="AZ110" i="10"/>
  <c r="AZ124" i="10"/>
  <c r="AZ8" i="10"/>
  <c r="AZ43" i="10"/>
  <c r="AZ24" i="10" s="1"/>
  <c r="BA4" i="10"/>
  <c r="AZ9" i="10"/>
  <c r="AZ14" i="10" s="1"/>
  <c r="AZ218" i="10" s="1"/>
  <c r="AZ204" i="10"/>
  <c r="AZ48" i="10"/>
  <c r="AZ206" i="10"/>
  <c r="AZ49" i="10"/>
  <c r="AY69" i="10"/>
  <c r="BB68" i="5"/>
  <c r="AZ242" i="10"/>
  <c r="B162" i="5"/>
  <c r="BB149" i="5"/>
  <c r="BB141" i="5"/>
  <c r="BB150" i="5"/>
  <c r="BB145" i="5"/>
  <c r="BB132" i="5"/>
  <c r="BB124" i="5"/>
  <c r="BB116" i="5"/>
  <c r="BB108" i="5"/>
  <c r="BB147" i="5"/>
  <c r="BB144" i="5"/>
  <c r="BB143" i="5"/>
  <c r="BB137" i="5"/>
  <c r="BB129" i="5"/>
  <c r="BB121" i="5"/>
  <c r="BB113" i="5"/>
  <c r="BB105" i="5"/>
  <c r="BB148" i="5"/>
  <c r="BB142" i="5"/>
  <c r="BB134" i="5"/>
  <c r="BB126" i="5"/>
  <c r="BB118" i="5"/>
  <c r="BB110" i="5"/>
  <c r="BB138" i="5"/>
  <c r="BB130" i="5"/>
  <c r="BB122" i="5"/>
  <c r="BB114" i="5"/>
  <c r="BB106" i="5"/>
  <c r="BB140" i="5"/>
  <c r="BB131" i="5"/>
  <c r="BB115" i="5"/>
  <c r="BB10" i="5"/>
  <c r="BB40" i="5" s="1"/>
  <c r="BB217" i="5" s="1"/>
  <c r="BB136" i="5"/>
  <c r="BB120" i="5"/>
  <c r="BB104" i="5"/>
  <c r="BB43" i="5"/>
  <c r="BB24" i="5" s="1"/>
  <c r="BB125" i="5"/>
  <c r="BB109" i="5"/>
  <c r="BB135" i="5"/>
  <c r="BB139" i="5"/>
  <c r="BB128" i="5"/>
  <c r="BB133" i="5"/>
  <c r="BB117" i="5"/>
  <c r="BC4" i="5"/>
  <c r="BB112" i="5"/>
  <c r="BB9" i="5"/>
  <c r="BB14" i="5" s="1"/>
  <c r="BB127" i="5"/>
  <c r="BB123" i="5"/>
  <c r="BB146" i="5"/>
  <c r="BB111" i="5"/>
  <c r="BB119" i="5"/>
  <c r="BB107" i="5"/>
  <c r="BB39" i="5"/>
  <c r="BB8" i="5"/>
  <c r="BB11" i="5"/>
  <c r="BB204" i="5"/>
  <c r="BB206" i="5"/>
  <c r="BB48" i="5"/>
  <c r="BB49" i="5"/>
  <c r="AW26" i="5"/>
  <c r="AW199" i="5"/>
  <c r="AY68" i="10"/>
  <c r="AZ68" i="10" s="1"/>
  <c r="BB69" i="5" l="1"/>
  <c r="AX199" i="7"/>
  <c r="AX26" i="7"/>
  <c r="BA207" i="7"/>
  <c r="BA9" i="7"/>
  <c r="BA14" i="7" s="1"/>
  <c r="AX26" i="5"/>
  <c r="AX199" i="5"/>
  <c r="AZ197" i="7"/>
  <c r="AZ37" i="7"/>
  <c r="BA69" i="7"/>
  <c r="AZ83" i="7"/>
  <c r="AY41" i="7"/>
  <c r="AY70" i="7" s="1"/>
  <c r="AZ83" i="5"/>
  <c r="AY41" i="5"/>
  <c r="AZ69" i="10"/>
  <c r="BA4" i="11"/>
  <c r="BA145" i="10"/>
  <c r="BA137" i="10"/>
  <c r="BA129" i="10"/>
  <c r="BA142" i="10"/>
  <c r="BA147" i="10"/>
  <c r="BA139" i="10"/>
  <c r="BA144" i="10"/>
  <c r="BA143" i="10"/>
  <c r="BA130" i="10"/>
  <c r="BA122" i="10"/>
  <c r="BA114" i="10"/>
  <c r="BA106" i="10"/>
  <c r="BA148" i="10"/>
  <c r="BA141" i="10"/>
  <c r="BA128" i="10"/>
  <c r="BA119" i="10"/>
  <c r="BA127" i="10"/>
  <c r="BA124" i="10"/>
  <c r="BA149" i="10"/>
  <c r="BA140" i="10"/>
  <c r="BA133" i="10"/>
  <c r="BA120" i="10"/>
  <c r="BA131" i="10"/>
  <c r="BA115" i="10"/>
  <c r="BA121" i="10"/>
  <c r="BA113" i="10"/>
  <c r="BA105" i="10"/>
  <c r="BA136" i="10"/>
  <c r="BA126" i="10"/>
  <c r="BA112" i="10"/>
  <c r="BA111" i="10"/>
  <c r="BA134" i="10"/>
  <c r="BA110" i="10"/>
  <c r="BA132" i="10"/>
  <c r="BA146" i="10"/>
  <c r="BA125" i="10"/>
  <c r="BA109" i="10"/>
  <c r="BA135" i="10"/>
  <c r="BA107" i="10"/>
  <c r="BA118" i="10"/>
  <c r="BA138" i="10"/>
  <c r="BA108" i="10"/>
  <c r="BA11" i="10"/>
  <c r="BA39" i="10"/>
  <c r="BA10" i="10"/>
  <c r="BA40" i="10" s="1"/>
  <c r="BA217" i="10" s="1"/>
  <c r="BA43" i="10"/>
  <c r="BA24" i="10" s="1"/>
  <c r="BA104" i="10"/>
  <c r="BA117" i="10"/>
  <c r="BA123" i="10"/>
  <c r="BA116" i="10"/>
  <c r="BB4" i="10"/>
  <c r="BA9" i="10"/>
  <c r="BA14" i="10" s="1"/>
  <c r="BA218" i="10" s="1"/>
  <c r="BA242" i="10" s="1"/>
  <c r="BA8" i="10"/>
  <c r="BA204" i="10"/>
  <c r="BA49" i="10"/>
  <c r="BA48" i="10"/>
  <c r="BA206" i="10"/>
  <c r="AZ216" i="10"/>
  <c r="B181" i="7"/>
  <c r="BA68" i="7"/>
  <c r="BB68" i="7" s="1"/>
  <c r="BB147" i="7"/>
  <c r="BB139" i="7"/>
  <c r="BB131" i="7"/>
  <c r="BB144" i="7"/>
  <c r="BB149" i="7"/>
  <c r="BB146" i="7"/>
  <c r="BB138" i="7"/>
  <c r="BB126" i="7"/>
  <c r="BB125" i="7"/>
  <c r="BB117" i="7"/>
  <c r="BB109" i="7"/>
  <c r="BB137" i="7"/>
  <c r="BB136" i="7"/>
  <c r="BB124" i="7"/>
  <c r="BB122" i="7"/>
  <c r="BB142" i="7"/>
  <c r="BB135" i="7"/>
  <c r="BB143" i="7"/>
  <c r="BB133" i="7"/>
  <c r="BB121" i="7"/>
  <c r="BB113" i="7"/>
  <c r="BB106" i="7"/>
  <c r="BB9" i="7"/>
  <c r="BB14" i="7" s="1"/>
  <c r="BB130" i="7"/>
  <c r="BB112" i="7"/>
  <c r="BB111" i="7"/>
  <c r="BB148" i="7"/>
  <c r="BB127" i="7"/>
  <c r="BB110" i="7"/>
  <c r="BB108" i="7"/>
  <c r="BB134" i="7"/>
  <c r="BB118" i="7"/>
  <c r="BB145" i="7"/>
  <c r="BB140" i="7"/>
  <c r="BB128" i="7"/>
  <c r="BB123" i="7"/>
  <c r="BB119" i="7"/>
  <c r="BB132" i="7"/>
  <c r="BB116" i="7"/>
  <c r="BB104" i="7"/>
  <c r="BB43" i="7"/>
  <c r="BB24" i="7" s="1"/>
  <c r="BB120" i="7"/>
  <c r="BB150" i="7"/>
  <c r="BB141" i="7"/>
  <c r="BB107" i="7"/>
  <c r="BB10" i="7"/>
  <c r="BB40" i="7" s="1"/>
  <c r="BB217" i="7" s="1"/>
  <c r="BB115" i="7"/>
  <c r="BB105" i="7"/>
  <c r="BB129" i="7"/>
  <c r="BB114" i="7"/>
  <c r="BB39" i="7"/>
  <c r="BB8" i="7"/>
  <c r="BC4" i="7"/>
  <c r="BB11" i="7"/>
  <c r="BB204" i="7"/>
  <c r="BB206" i="7"/>
  <c r="BB49" i="7"/>
  <c r="BB48" i="7"/>
  <c r="AZ207" i="10"/>
  <c r="BA267" i="5"/>
  <c r="BA218" i="5"/>
  <c r="BA242" i="5" s="1"/>
  <c r="AX241" i="10"/>
  <c r="BB216" i="5"/>
  <c r="AZ33" i="10"/>
  <c r="AV241" i="7"/>
  <c r="AX8" i="11"/>
  <c r="AX10" i="11" s="1"/>
  <c r="AX31" i="11" s="1"/>
  <c r="AX34" i="11" s="1"/>
  <c r="AY30" i="11" s="1"/>
  <c r="AX199" i="10"/>
  <c r="AX26" i="10"/>
  <c r="BA37" i="5"/>
  <c r="BA197" i="5"/>
  <c r="BA267" i="7"/>
  <c r="BA218" i="7"/>
  <c r="BA242" i="7" s="1"/>
  <c r="B163" i="5"/>
  <c r="BA5" i="11"/>
  <c r="BB5" i="10"/>
  <c r="AZ83" i="10"/>
  <c r="AY41" i="10"/>
  <c r="BB267" i="10"/>
  <c r="BC15" i="10"/>
  <c r="BB15" i="7"/>
  <c r="BB15" i="5"/>
  <c r="BB207" i="5"/>
  <c r="BB33" i="5"/>
  <c r="AY197" i="10"/>
  <c r="AY37" i="10"/>
  <c r="BA216" i="7"/>
  <c r="BA33" i="7"/>
  <c r="BC146" i="5"/>
  <c r="BC151" i="5"/>
  <c r="BC147" i="5"/>
  <c r="BC144" i="5"/>
  <c r="BC143" i="5"/>
  <c r="BC137" i="5"/>
  <c r="BC129" i="5"/>
  <c r="BC121" i="5"/>
  <c r="BC113" i="5"/>
  <c r="BC105" i="5"/>
  <c r="BC149" i="5"/>
  <c r="BC148" i="5"/>
  <c r="BC142" i="5"/>
  <c r="BC134" i="5"/>
  <c r="BC126" i="5"/>
  <c r="BC118" i="5"/>
  <c r="BC110" i="5"/>
  <c r="BC141" i="5"/>
  <c r="BC140" i="5"/>
  <c r="BC131" i="5"/>
  <c r="BC123" i="5"/>
  <c r="BC115" i="5"/>
  <c r="BC107" i="5"/>
  <c r="BC135" i="5"/>
  <c r="BC127" i="5"/>
  <c r="BC119" i="5"/>
  <c r="BC111" i="5"/>
  <c r="BC136" i="5"/>
  <c r="BC120" i="5"/>
  <c r="BC104" i="5"/>
  <c r="BC43" i="5"/>
  <c r="BC24" i="5" s="1"/>
  <c r="BC10" i="5"/>
  <c r="BC40" i="5" s="1"/>
  <c r="BC217" i="5" s="1"/>
  <c r="BC125" i="5"/>
  <c r="BC109" i="5"/>
  <c r="BC130" i="5"/>
  <c r="BC114" i="5"/>
  <c r="BC145" i="5"/>
  <c r="BC124" i="5"/>
  <c r="BC139" i="5"/>
  <c r="BC128" i="5"/>
  <c r="BC133" i="5"/>
  <c r="BC150" i="5"/>
  <c r="BC138" i="5"/>
  <c r="BC122" i="5"/>
  <c r="BC106" i="5"/>
  <c r="BC132" i="5"/>
  <c r="BC117" i="5"/>
  <c r="BC8" i="5"/>
  <c r="BC108" i="5"/>
  <c r="BC116" i="5"/>
  <c r="BC39" i="5"/>
  <c r="BC68" i="5" s="1"/>
  <c r="BD4" i="5"/>
  <c r="BC112" i="5"/>
  <c r="BC11" i="5"/>
  <c r="BC204" i="5"/>
  <c r="BC49" i="5"/>
  <c r="BC48" i="5"/>
  <c r="BC206" i="5"/>
  <c r="AV241" i="5"/>
  <c r="AX70" i="5"/>
  <c r="AY70" i="5" s="1"/>
  <c r="AY70" i="10"/>
  <c r="BA197" i="7" l="1"/>
  <c r="BA37" i="7"/>
  <c r="AW241" i="7"/>
  <c r="B182" i="7"/>
  <c r="BA69" i="10"/>
  <c r="BB69" i="10" s="1"/>
  <c r="AW241" i="5"/>
  <c r="BC9" i="5"/>
  <c r="BC14" i="5" s="1"/>
  <c r="AY8" i="11"/>
  <c r="AY10" i="11" s="1"/>
  <c r="AY31" i="11" s="1"/>
  <c r="AY34" i="11" s="1"/>
  <c r="AZ30" i="11" s="1"/>
  <c r="AY199" i="10"/>
  <c r="AY26" i="10"/>
  <c r="AZ197" i="10"/>
  <c r="AZ37" i="10"/>
  <c r="BC68" i="7"/>
  <c r="AY199" i="5"/>
  <c r="AY26" i="5"/>
  <c r="BA83" i="10"/>
  <c r="AZ41" i="10"/>
  <c r="BA33" i="10"/>
  <c r="BA83" i="5"/>
  <c r="AZ41" i="5"/>
  <c r="BC69" i="5"/>
  <c r="BD69" i="5" s="1"/>
  <c r="BC207" i="5"/>
  <c r="BC144" i="7"/>
  <c r="BC136" i="7"/>
  <c r="BC128" i="7"/>
  <c r="BC149" i="7"/>
  <c r="BC141" i="7"/>
  <c r="BC150" i="7"/>
  <c r="BC137" i="7"/>
  <c r="BC124" i="7"/>
  <c r="BC122" i="7"/>
  <c r="BC114" i="7"/>
  <c r="BC147" i="7"/>
  <c r="BC142" i="7"/>
  <c r="BC135" i="7"/>
  <c r="BC119" i="7"/>
  <c r="BC143" i="7"/>
  <c r="BC134" i="7"/>
  <c r="BC133" i="7"/>
  <c r="BC130" i="7"/>
  <c r="BC112" i="7"/>
  <c r="BC111" i="7"/>
  <c r="BC148" i="7"/>
  <c r="BC139" i="7"/>
  <c r="BC127" i="7"/>
  <c r="BC117" i="7"/>
  <c r="BC110" i="7"/>
  <c r="BC108" i="7"/>
  <c r="BC39" i="7"/>
  <c r="BC118" i="7"/>
  <c r="BC109" i="7"/>
  <c r="BC105" i="7"/>
  <c r="BC145" i="7"/>
  <c r="BC140" i="7"/>
  <c r="BC131" i="7"/>
  <c r="BC123" i="7"/>
  <c r="BC151" i="7"/>
  <c r="BC146" i="7"/>
  <c r="BC125" i="7"/>
  <c r="BC132" i="7"/>
  <c r="BC116" i="7"/>
  <c r="BC138" i="7"/>
  <c r="BC129" i="7"/>
  <c r="BC120" i="7"/>
  <c r="BC115" i="7"/>
  <c r="BC121" i="7"/>
  <c r="BC107" i="7"/>
  <c r="BC10" i="7"/>
  <c r="BC40" i="7" s="1"/>
  <c r="BC217" i="7" s="1"/>
  <c r="BC113" i="7"/>
  <c r="BC43" i="7"/>
  <c r="BC24" i="7" s="1"/>
  <c r="BC104" i="7"/>
  <c r="BC8" i="7"/>
  <c r="BC126" i="7"/>
  <c r="BD4" i="7"/>
  <c r="BC9" i="7"/>
  <c r="BC14" i="7" s="1"/>
  <c r="BC106" i="7"/>
  <c r="BC11" i="7"/>
  <c r="BC204" i="7"/>
  <c r="BC49" i="7"/>
  <c r="BC48" i="7"/>
  <c r="BC206" i="7"/>
  <c r="BB4" i="11"/>
  <c r="BB150" i="10"/>
  <c r="BB142" i="10"/>
  <c r="BB134" i="10"/>
  <c r="BB147" i="10"/>
  <c r="BB139" i="10"/>
  <c r="BB144" i="10"/>
  <c r="BB149" i="10"/>
  <c r="BB148" i="10"/>
  <c r="BB141" i="10"/>
  <c r="BB129" i="10"/>
  <c r="BB128" i="10"/>
  <c r="BB119" i="10"/>
  <c r="BB111" i="10"/>
  <c r="BB127" i="10"/>
  <c r="BB124" i="10"/>
  <c r="BB146" i="10"/>
  <c r="BB121" i="10"/>
  <c r="BB132" i="10"/>
  <c r="BB131" i="10"/>
  <c r="BB125" i="10"/>
  <c r="BB122" i="10"/>
  <c r="BB114" i="10"/>
  <c r="BB113" i="10"/>
  <c r="BB105" i="10"/>
  <c r="BB136" i="10"/>
  <c r="BB126" i="10"/>
  <c r="BB112" i="10"/>
  <c r="BB110" i="10"/>
  <c r="BB145" i="10"/>
  <c r="BB140" i="10"/>
  <c r="BB120" i="10"/>
  <c r="BB109" i="10"/>
  <c r="BB108" i="10"/>
  <c r="BB104" i="10"/>
  <c r="BB143" i="10"/>
  <c r="BB130" i="10"/>
  <c r="BB137" i="10"/>
  <c r="BB138" i="10"/>
  <c r="BB135" i="10"/>
  <c r="BB107" i="10"/>
  <c r="BB118" i="10"/>
  <c r="BB133" i="10"/>
  <c r="BB123" i="10"/>
  <c r="BB116" i="10"/>
  <c r="BB117" i="10"/>
  <c r="BB39" i="10"/>
  <c r="BB10" i="10"/>
  <c r="BB40" i="10" s="1"/>
  <c r="BB217" i="10" s="1"/>
  <c r="BB43" i="10"/>
  <c r="BB24" i="10" s="1"/>
  <c r="BB115" i="10"/>
  <c r="BB9" i="10"/>
  <c r="BB14" i="10" s="1"/>
  <c r="BB218" i="10" s="1"/>
  <c r="BB242" i="10" s="1"/>
  <c r="BB106" i="10"/>
  <c r="BB8" i="10"/>
  <c r="BC4" i="10"/>
  <c r="BB11" i="10"/>
  <c r="BB204" i="10"/>
  <c r="BB206" i="10"/>
  <c r="BB48" i="10"/>
  <c r="BB49" i="10"/>
  <c r="BA216" i="10"/>
  <c r="BA83" i="7"/>
  <c r="AZ41" i="7"/>
  <c r="AZ70" i="7" s="1"/>
  <c r="BC33" i="5"/>
  <c r="BB267" i="5"/>
  <c r="BB218" i="5"/>
  <c r="BB242" i="5" s="1"/>
  <c r="BB207" i="7"/>
  <c r="BB218" i="7"/>
  <c r="BB242" i="7" s="1"/>
  <c r="BB267" i="7"/>
  <c r="BB5" i="11"/>
  <c r="BC5" i="10"/>
  <c r="BC267" i="10"/>
  <c r="BD15" i="10"/>
  <c r="BC15" i="7"/>
  <c r="BC15" i="5"/>
  <c r="B164" i="5"/>
  <c r="BB33" i="7"/>
  <c r="BA207" i="10"/>
  <c r="AY199" i="7"/>
  <c r="AY26" i="7"/>
  <c r="BB216" i="7"/>
  <c r="BA68" i="10"/>
  <c r="BB68" i="10" s="1"/>
  <c r="AZ70" i="10"/>
  <c r="BD151" i="5"/>
  <c r="BD143" i="5"/>
  <c r="BD148" i="5"/>
  <c r="BD152" i="5"/>
  <c r="BD149" i="5"/>
  <c r="BD142" i="5"/>
  <c r="BD134" i="5"/>
  <c r="BD126" i="5"/>
  <c r="BD118" i="5"/>
  <c r="BD110" i="5"/>
  <c r="BD141" i="5"/>
  <c r="BD140" i="5"/>
  <c r="BD131" i="5"/>
  <c r="BD123" i="5"/>
  <c r="BD115" i="5"/>
  <c r="BD107" i="5"/>
  <c r="BD139" i="5"/>
  <c r="BD136" i="5"/>
  <c r="BD128" i="5"/>
  <c r="BD120" i="5"/>
  <c r="BD112" i="5"/>
  <c r="BD104" i="5"/>
  <c r="BD146" i="5"/>
  <c r="BD145" i="5"/>
  <c r="BD132" i="5"/>
  <c r="BD124" i="5"/>
  <c r="BD116" i="5"/>
  <c r="BD108" i="5"/>
  <c r="BD125" i="5"/>
  <c r="BD109" i="5"/>
  <c r="BD130" i="5"/>
  <c r="BD114" i="5"/>
  <c r="BD135" i="5"/>
  <c r="BD119" i="5"/>
  <c r="BD147" i="5"/>
  <c r="BD129" i="5"/>
  <c r="BD133" i="5"/>
  <c r="BD150" i="5"/>
  <c r="BD138" i="5"/>
  <c r="BD122" i="5"/>
  <c r="BD127" i="5"/>
  <c r="BD111" i="5"/>
  <c r="BD121" i="5"/>
  <c r="BD10" i="5"/>
  <c r="BD40" i="5" s="1"/>
  <c r="BD217" i="5" s="1"/>
  <c r="BD43" i="5"/>
  <c r="BD24" i="5" s="1"/>
  <c r="BD113" i="5"/>
  <c r="BD105" i="5"/>
  <c r="BD8" i="5"/>
  <c r="BE4" i="5"/>
  <c r="BD144" i="5"/>
  <c r="BD106" i="5"/>
  <c r="BD39" i="5"/>
  <c r="BD68" i="5" s="1"/>
  <c r="BD137" i="5"/>
  <c r="BD117" i="5"/>
  <c r="BD204" i="5"/>
  <c r="BD11" i="5"/>
  <c r="BD206" i="5"/>
  <c r="BD49" i="5"/>
  <c r="BD48" i="5"/>
  <c r="BC216" i="5"/>
  <c r="BB197" i="5"/>
  <c r="BB37" i="5"/>
  <c r="AY241" i="10"/>
  <c r="BB69" i="7"/>
  <c r="BC69" i="7" s="1"/>
  <c r="AZ34" i="11" l="1"/>
  <c r="BA30" i="11" s="1"/>
  <c r="BC242" i="5"/>
  <c r="BC5" i="11"/>
  <c r="BD5" i="10"/>
  <c r="BB33" i="10"/>
  <c r="BC267" i="7"/>
  <c r="BC218" i="7"/>
  <c r="BC242" i="7" s="1"/>
  <c r="AZ241" i="10"/>
  <c r="B165" i="5"/>
  <c r="BC267" i="5"/>
  <c r="BC218" i="5"/>
  <c r="BC33" i="7"/>
  <c r="AX241" i="5"/>
  <c r="BC197" i="5"/>
  <c r="BC37" i="5"/>
  <c r="BD68" i="7"/>
  <c r="BB83" i="5"/>
  <c r="BA41" i="5"/>
  <c r="B183" i="7"/>
  <c r="BD267" i="10"/>
  <c r="BE15" i="10"/>
  <c r="BD15" i="7"/>
  <c r="BD15" i="5"/>
  <c r="BC207" i="7"/>
  <c r="BD207" i="5"/>
  <c r="BA70" i="10"/>
  <c r="BA197" i="10"/>
  <c r="BA37" i="10"/>
  <c r="AX241" i="7"/>
  <c r="BD216" i="5"/>
  <c r="BB207" i="10"/>
  <c r="BB216" i="10"/>
  <c r="BD149" i="7"/>
  <c r="BD141" i="7"/>
  <c r="BD133" i="7"/>
  <c r="BD125" i="7"/>
  <c r="BD146" i="7"/>
  <c r="BD151" i="7"/>
  <c r="BD147" i="7"/>
  <c r="BD142" i="7"/>
  <c r="BD136" i="7"/>
  <c r="BD135" i="7"/>
  <c r="BD119" i="7"/>
  <c r="BD111" i="7"/>
  <c r="BD152" i="7"/>
  <c r="BD143" i="7"/>
  <c r="BD134" i="7"/>
  <c r="BD132" i="7"/>
  <c r="BD148" i="7"/>
  <c r="BD139" i="7"/>
  <c r="BD127" i="7"/>
  <c r="BD117" i="7"/>
  <c r="BD110" i="7"/>
  <c r="BD108" i="7"/>
  <c r="BD39" i="7"/>
  <c r="BD8" i="7"/>
  <c r="BD144" i="7"/>
  <c r="BD124" i="7"/>
  <c r="BD122" i="7"/>
  <c r="BD118" i="7"/>
  <c r="BD109" i="7"/>
  <c r="BD105" i="7"/>
  <c r="BD145" i="7"/>
  <c r="BD140" i="7"/>
  <c r="BD131" i="7"/>
  <c r="BD123" i="7"/>
  <c r="BD137" i="7"/>
  <c r="BD128" i="7"/>
  <c r="BD116" i="7"/>
  <c r="BD138" i="7"/>
  <c r="BD129" i="7"/>
  <c r="BD120" i="7"/>
  <c r="BD115" i="7"/>
  <c r="BD150" i="7"/>
  <c r="BD126" i="7"/>
  <c r="BD121" i="7"/>
  <c r="BD114" i="7"/>
  <c r="BD113" i="7"/>
  <c r="BD106" i="7"/>
  <c r="BD130" i="7"/>
  <c r="BD107" i="7"/>
  <c r="BD10" i="7"/>
  <c r="BD40" i="7" s="1"/>
  <c r="BD217" i="7" s="1"/>
  <c r="BD43" i="7"/>
  <c r="BD24" i="7" s="1"/>
  <c r="BE4" i="7"/>
  <c r="BD112" i="7"/>
  <c r="BD104" i="7"/>
  <c r="BD11" i="7"/>
  <c r="BD204" i="7"/>
  <c r="BD48" i="7"/>
  <c r="BD49" i="7"/>
  <c r="BD206" i="7"/>
  <c r="AZ8" i="11"/>
  <c r="AZ10" i="11" s="1"/>
  <c r="AZ31" i="11" s="1"/>
  <c r="AZ199" i="10"/>
  <c r="AZ26" i="10"/>
  <c r="AZ199" i="7"/>
  <c r="AZ26" i="7"/>
  <c r="BC216" i="7"/>
  <c r="AZ199" i="5"/>
  <c r="AZ26" i="5"/>
  <c r="BD69" i="7"/>
  <c r="BB83" i="7"/>
  <c r="BA41" i="7"/>
  <c r="BA70" i="7" s="1"/>
  <c r="BE148" i="5"/>
  <c r="BE140" i="5"/>
  <c r="BE153" i="5"/>
  <c r="BE149" i="5"/>
  <c r="BE151" i="5"/>
  <c r="BE141" i="5"/>
  <c r="BE131" i="5"/>
  <c r="BE123" i="5"/>
  <c r="BE115" i="5"/>
  <c r="BE107" i="5"/>
  <c r="BE139" i="5"/>
  <c r="BE136" i="5"/>
  <c r="BE128" i="5"/>
  <c r="BE120" i="5"/>
  <c r="BE112" i="5"/>
  <c r="BE104" i="5"/>
  <c r="BE133" i="5"/>
  <c r="BE125" i="5"/>
  <c r="BE117" i="5"/>
  <c r="BE109" i="5"/>
  <c r="BE147" i="5"/>
  <c r="BE144" i="5"/>
  <c r="BE137" i="5"/>
  <c r="BE129" i="5"/>
  <c r="BE121" i="5"/>
  <c r="BE113" i="5"/>
  <c r="BE105" i="5"/>
  <c r="BE130" i="5"/>
  <c r="BE114" i="5"/>
  <c r="BE9" i="5"/>
  <c r="BE14" i="5" s="1"/>
  <c r="BE152" i="5"/>
  <c r="BE135" i="5"/>
  <c r="BE119" i="5"/>
  <c r="BE145" i="5"/>
  <c r="BE124" i="5"/>
  <c r="BE108" i="5"/>
  <c r="BE39" i="5"/>
  <c r="BE8" i="5"/>
  <c r="BE143" i="5"/>
  <c r="BE134" i="5"/>
  <c r="BE150" i="5"/>
  <c r="BE138" i="5"/>
  <c r="BE127" i="5"/>
  <c r="BE146" i="5"/>
  <c r="BE132" i="5"/>
  <c r="BE116" i="5"/>
  <c r="BE43" i="5"/>
  <c r="BE24" i="5" s="1"/>
  <c r="BE10" i="5"/>
  <c r="BE40" i="5" s="1"/>
  <c r="BE217" i="5" s="1"/>
  <c r="BE110" i="5"/>
  <c r="BE126" i="5"/>
  <c r="BE118" i="5"/>
  <c r="BE111" i="5"/>
  <c r="BE106" i="5"/>
  <c r="BE122" i="5"/>
  <c r="BE142" i="5"/>
  <c r="BE11" i="5"/>
  <c r="BF4" i="5"/>
  <c r="BE204" i="5"/>
  <c r="BE48" i="5"/>
  <c r="BE49" i="5"/>
  <c r="BE206" i="5"/>
  <c r="BD9" i="5"/>
  <c r="BD14" i="5" s="1"/>
  <c r="BB197" i="7"/>
  <c r="BB37" i="7"/>
  <c r="AZ70" i="5"/>
  <c r="BA70" i="5" s="1"/>
  <c r="BD33" i="5"/>
  <c r="BC4" i="11"/>
  <c r="BC147" i="10"/>
  <c r="BC139" i="10"/>
  <c r="BC131" i="10"/>
  <c r="BC144" i="10"/>
  <c r="BC149" i="10"/>
  <c r="BC141" i="10"/>
  <c r="BC146" i="10"/>
  <c r="BC127" i="10"/>
  <c r="BC124" i="10"/>
  <c r="BC116" i="10"/>
  <c r="BC108" i="10"/>
  <c r="BC142" i="10"/>
  <c r="BC121" i="10"/>
  <c r="BC151" i="10"/>
  <c r="BC137" i="10"/>
  <c r="BC136" i="10"/>
  <c r="BC126" i="10"/>
  <c r="BC143" i="10"/>
  <c r="BC130" i="10"/>
  <c r="BC122" i="10"/>
  <c r="BC129" i="10"/>
  <c r="BC112" i="10"/>
  <c r="BC111" i="10"/>
  <c r="BC110" i="10"/>
  <c r="BC145" i="10"/>
  <c r="BC140" i="10"/>
  <c r="BC134" i="10"/>
  <c r="BC120" i="10"/>
  <c r="BC119" i="10"/>
  <c r="BC109" i="10"/>
  <c r="BC104" i="10"/>
  <c r="BC150" i="10"/>
  <c r="BC132" i="10"/>
  <c r="BC125" i="10"/>
  <c r="BC107" i="10"/>
  <c r="BC148" i="10"/>
  <c r="BC128" i="10"/>
  <c r="BC138" i="10"/>
  <c r="BC135" i="10"/>
  <c r="BC133" i="10"/>
  <c r="BC118" i="10"/>
  <c r="BC123" i="10"/>
  <c r="BC115" i="10"/>
  <c r="BC43" i="10"/>
  <c r="BC24" i="10" s="1"/>
  <c r="BC114" i="10"/>
  <c r="BC106" i="10"/>
  <c r="BC117" i="10"/>
  <c r="BC113" i="10"/>
  <c r="BC11" i="10"/>
  <c r="BC105" i="10"/>
  <c r="BC8" i="10"/>
  <c r="BD4" i="10"/>
  <c r="BC10" i="10"/>
  <c r="BC40" i="10" s="1"/>
  <c r="BC217" i="10" s="1"/>
  <c r="BC39" i="10"/>
  <c r="BC68" i="10" s="1"/>
  <c r="BC204" i="10"/>
  <c r="BC48" i="10"/>
  <c r="BC49" i="10"/>
  <c r="BC206" i="10"/>
  <c r="BB83" i="10"/>
  <c r="BA41" i="10"/>
  <c r="BE216" i="5" l="1"/>
  <c r="BE267" i="10"/>
  <c r="BF15" i="10"/>
  <c r="BE15" i="7"/>
  <c r="BE15" i="5"/>
  <c r="BA199" i="5"/>
  <c r="BA26" i="5"/>
  <c r="BC197" i="7"/>
  <c r="BC37" i="7"/>
  <c r="B166" i="5"/>
  <c r="BD5" i="11"/>
  <c r="BE5" i="10"/>
  <c r="BE146" i="7"/>
  <c r="BE138" i="7"/>
  <c r="BE130" i="7"/>
  <c r="BE151" i="7"/>
  <c r="BE143" i="7"/>
  <c r="BE152" i="7"/>
  <c r="BE147" i="7"/>
  <c r="BE134" i="7"/>
  <c r="BE116" i="7"/>
  <c r="BE133" i="7"/>
  <c r="BE132" i="7"/>
  <c r="BE121" i="7"/>
  <c r="BE131" i="7"/>
  <c r="BE144" i="7"/>
  <c r="BE136" i="7"/>
  <c r="BE124" i="7"/>
  <c r="BE122" i="7"/>
  <c r="BE118" i="7"/>
  <c r="BE109" i="7"/>
  <c r="BE105" i="7"/>
  <c r="BF4" i="7"/>
  <c r="BE149" i="7"/>
  <c r="BE145" i="7"/>
  <c r="BE140" i="7"/>
  <c r="BE123" i="7"/>
  <c r="BE137" i="7"/>
  <c r="BE128" i="7"/>
  <c r="BE107" i="7"/>
  <c r="BE125" i="7"/>
  <c r="BE119" i="7"/>
  <c r="BE129" i="7"/>
  <c r="BE120" i="7"/>
  <c r="BE153" i="7"/>
  <c r="BE150" i="7"/>
  <c r="BE135" i="7"/>
  <c r="BE126" i="7"/>
  <c r="BE114" i="7"/>
  <c r="BE113" i="7"/>
  <c r="BE141" i="7"/>
  <c r="BE112" i="7"/>
  <c r="BE117" i="7"/>
  <c r="BE43" i="7"/>
  <c r="BE24" i="7" s="1"/>
  <c r="BE148" i="7"/>
  <c r="BE127" i="7"/>
  <c r="BE106" i="7"/>
  <c r="BE39" i="7"/>
  <c r="BE104" i="7"/>
  <c r="BE142" i="7"/>
  <c r="BE139" i="7"/>
  <c r="BE111" i="7"/>
  <c r="BE108" i="7"/>
  <c r="BE115" i="7"/>
  <c r="BE9" i="7"/>
  <c r="BE14" i="7" s="1"/>
  <c r="BE8" i="7"/>
  <c r="BE10" i="7"/>
  <c r="BE40" i="7" s="1"/>
  <c r="BE217" i="7" s="1"/>
  <c r="BE110" i="7"/>
  <c r="BE204" i="7"/>
  <c r="BE11" i="7"/>
  <c r="BE206" i="7"/>
  <c r="BE49" i="7"/>
  <c r="BE48" i="7"/>
  <c r="BA8" i="11"/>
  <c r="BA10" i="11" s="1"/>
  <c r="BA31" i="11" s="1"/>
  <c r="BA199" i="10"/>
  <c r="BA26" i="10"/>
  <c r="BA241" i="10"/>
  <c r="BC83" i="10"/>
  <c r="BB41" i="10"/>
  <c r="AY241" i="7"/>
  <c r="BF153" i="5"/>
  <c r="BF145" i="5"/>
  <c r="BF150" i="5"/>
  <c r="BF154" i="5"/>
  <c r="BF148" i="5"/>
  <c r="BF140" i="5"/>
  <c r="BF139" i="5"/>
  <c r="BF136" i="5"/>
  <c r="BF128" i="5"/>
  <c r="BF120" i="5"/>
  <c r="BF112" i="5"/>
  <c r="BF104" i="5"/>
  <c r="BF133" i="5"/>
  <c r="BF125" i="5"/>
  <c r="BF117" i="5"/>
  <c r="BF109" i="5"/>
  <c r="BF138" i="5"/>
  <c r="BF130" i="5"/>
  <c r="BF122" i="5"/>
  <c r="BF114" i="5"/>
  <c r="BF106" i="5"/>
  <c r="BF143" i="5"/>
  <c r="BF142" i="5"/>
  <c r="BF134" i="5"/>
  <c r="BF126" i="5"/>
  <c r="BF118" i="5"/>
  <c r="BF110" i="5"/>
  <c r="BF152" i="5"/>
  <c r="BF135" i="5"/>
  <c r="BF119" i="5"/>
  <c r="BF8" i="5"/>
  <c r="BF124" i="5"/>
  <c r="BF108" i="5"/>
  <c r="BF39" i="5"/>
  <c r="BF147" i="5"/>
  <c r="BF129" i="5"/>
  <c r="BF113" i="5"/>
  <c r="BG4" i="5"/>
  <c r="BF151" i="5"/>
  <c r="BF141" i="5"/>
  <c r="BF123" i="5"/>
  <c r="BF127" i="5"/>
  <c r="BF146" i="5"/>
  <c r="BF132" i="5"/>
  <c r="BF144" i="5"/>
  <c r="BF137" i="5"/>
  <c r="BF121" i="5"/>
  <c r="BF105" i="5"/>
  <c r="BF149" i="5"/>
  <c r="BF9" i="5"/>
  <c r="BF14" i="5" s="1"/>
  <c r="BF43" i="5"/>
  <c r="BF24" i="5" s="1"/>
  <c r="BF115" i="5"/>
  <c r="BF111" i="5"/>
  <c r="BF116" i="5"/>
  <c r="BF131" i="5"/>
  <c r="BF107" i="5"/>
  <c r="BF10" i="5"/>
  <c r="BF40" i="5" s="1"/>
  <c r="BF217" i="5" s="1"/>
  <c r="BF204" i="5"/>
  <c r="BF11" i="5"/>
  <c r="BF206" i="5"/>
  <c r="BF49" i="5"/>
  <c r="BF48" i="5"/>
  <c r="BA34" i="11"/>
  <c r="BB30" i="11" s="1"/>
  <c r="BC33" i="10"/>
  <c r="BE207" i="5"/>
  <c r="BD9" i="7"/>
  <c r="BD14" i="7" s="1"/>
  <c r="BE69" i="5"/>
  <c r="BF69" i="5" s="1"/>
  <c r="BE69" i="7"/>
  <c r="BD4" i="11"/>
  <c r="BD152" i="10"/>
  <c r="BD144" i="10"/>
  <c r="BD136" i="10"/>
  <c r="BD128" i="10"/>
  <c r="BD149" i="10"/>
  <c r="BD141" i="10"/>
  <c r="BD146" i="10"/>
  <c r="BD138" i="10"/>
  <c r="BD151" i="10"/>
  <c r="BD143" i="10"/>
  <c r="BD142" i="10"/>
  <c r="BD139" i="10"/>
  <c r="BD121" i="10"/>
  <c r="BD113" i="10"/>
  <c r="BD147" i="10"/>
  <c r="BD137" i="10"/>
  <c r="BD126" i="10"/>
  <c r="BD135" i="10"/>
  <c r="BD123" i="10"/>
  <c r="BD148" i="10"/>
  <c r="BD129" i="10"/>
  <c r="BD127" i="10"/>
  <c r="BD111" i="10"/>
  <c r="BD110" i="10"/>
  <c r="BD145" i="10"/>
  <c r="BD140" i="10"/>
  <c r="BD134" i="10"/>
  <c r="BD120" i="10"/>
  <c r="BD119" i="10"/>
  <c r="BD109" i="10"/>
  <c r="BD104" i="10"/>
  <c r="BD150" i="10"/>
  <c r="BD132" i="10"/>
  <c r="BD125" i="10"/>
  <c r="BD108" i="10"/>
  <c r="BD107" i="10"/>
  <c r="BD130" i="10"/>
  <c r="BD118" i="10"/>
  <c r="BD106" i="10"/>
  <c r="BD133" i="10"/>
  <c r="BD116" i="10"/>
  <c r="BD114" i="10"/>
  <c r="BD105" i="10"/>
  <c r="BD131" i="10"/>
  <c r="BD9" i="10"/>
  <c r="BD14" i="10" s="1"/>
  <c r="BD218" i="10" s="1"/>
  <c r="BD115" i="10"/>
  <c r="BD122" i="10"/>
  <c r="BD8" i="10"/>
  <c r="BD124" i="10"/>
  <c r="BD117" i="10"/>
  <c r="BD39" i="10"/>
  <c r="BD10" i="10"/>
  <c r="BD40" i="10" s="1"/>
  <c r="BD217" i="10" s="1"/>
  <c r="BD112" i="10"/>
  <c r="BD11" i="10"/>
  <c r="BD43" i="10"/>
  <c r="BD24" i="10" s="1"/>
  <c r="BE4" i="10"/>
  <c r="BD204" i="10"/>
  <c r="BD206" i="10"/>
  <c r="BD48" i="10"/>
  <c r="BD49" i="10"/>
  <c r="BD33" i="7"/>
  <c r="BD267" i="5"/>
  <c r="BD218" i="5"/>
  <c r="BD242" i="5" s="1"/>
  <c r="BA199" i="7"/>
  <c r="BA26" i="7"/>
  <c r="BC83" i="5"/>
  <c r="BB41" i="5"/>
  <c r="BB70" i="5" s="1"/>
  <c r="BC216" i="10"/>
  <c r="BD197" i="5"/>
  <c r="BD37" i="5"/>
  <c r="BC83" i="7"/>
  <c r="BB41" i="7"/>
  <c r="BB70" i="7" s="1"/>
  <c r="BC9" i="10"/>
  <c r="BC14" i="10" s="1"/>
  <c r="BC218" i="10" s="1"/>
  <c r="BC242" i="10" s="1"/>
  <c r="BD207" i="7"/>
  <c r="BC207" i="10"/>
  <c r="BE33" i="5"/>
  <c r="BD216" i="7"/>
  <c r="BD267" i="7"/>
  <c r="BD218" i="7"/>
  <c r="BD242" i="7" s="1"/>
  <c r="BC69" i="10"/>
  <c r="BD69" i="10" s="1"/>
  <c r="AY241" i="5"/>
  <c r="BB197" i="10"/>
  <c r="BB37" i="10"/>
  <c r="BE68" i="5"/>
  <c r="BF68" i="5" s="1"/>
  <c r="AZ241" i="7" l="1"/>
  <c r="BB241" i="10"/>
  <c r="BC197" i="10"/>
  <c r="BC37" i="10"/>
  <c r="BD83" i="10"/>
  <c r="BC41" i="10"/>
  <c r="BE207" i="7"/>
  <c r="BD83" i="7"/>
  <c r="BC41" i="7"/>
  <c r="BD83" i="5"/>
  <c r="BC41" i="5"/>
  <c r="BC70" i="5" s="1"/>
  <c r="BD197" i="7"/>
  <c r="BD37" i="7"/>
  <c r="BF216" i="5"/>
  <c r="BE33" i="7"/>
  <c r="BF151" i="7"/>
  <c r="BF143" i="7"/>
  <c r="BF135" i="7"/>
  <c r="BF127" i="7"/>
  <c r="BF148" i="7"/>
  <c r="BF153" i="7"/>
  <c r="BF149" i="7"/>
  <c r="BF154" i="7"/>
  <c r="BF152" i="7"/>
  <c r="BF133" i="7"/>
  <c r="BF132" i="7"/>
  <c r="BF121" i="7"/>
  <c r="BF113" i="7"/>
  <c r="BF131" i="7"/>
  <c r="BF118" i="7"/>
  <c r="BF144" i="7"/>
  <c r="BF130" i="7"/>
  <c r="BF129" i="7"/>
  <c r="BF145" i="7"/>
  <c r="BF140" i="7"/>
  <c r="BF123" i="7"/>
  <c r="BF147" i="7"/>
  <c r="BF137" i="7"/>
  <c r="BF128" i="7"/>
  <c r="BF107" i="7"/>
  <c r="BF134" i="7"/>
  <c r="BF125" i="7"/>
  <c r="BF119" i="7"/>
  <c r="BF104" i="7"/>
  <c r="BF43" i="7"/>
  <c r="BF24" i="7" s="1"/>
  <c r="BF146" i="7"/>
  <c r="BF120" i="7"/>
  <c r="BF116" i="7"/>
  <c r="BF115" i="7"/>
  <c r="BF150" i="7"/>
  <c r="BF138" i="7"/>
  <c r="BF126" i="7"/>
  <c r="BF141" i="7"/>
  <c r="BF112" i="7"/>
  <c r="BF142" i="7"/>
  <c r="BF139" i="7"/>
  <c r="BF117" i="7"/>
  <c r="BF111" i="7"/>
  <c r="BF110" i="7"/>
  <c r="BF108" i="7"/>
  <c r="BF122" i="7"/>
  <c r="BF106" i="7"/>
  <c r="BF39" i="7"/>
  <c r="BG4" i="7"/>
  <c r="BF124" i="7"/>
  <c r="BF136" i="7"/>
  <c r="BF114" i="7"/>
  <c r="BF10" i="7"/>
  <c r="BF40" i="7" s="1"/>
  <c r="BF217" i="7" s="1"/>
  <c r="BF109" i="7"/>
  <c r="BF9" i="7"/>
  <c r="BF14" i="7" s="1"/>
  <c r="BF8" i="7"/>
  <c r="BF105" i="7"/>
  <c r="BF11" i="7"/>
  <c r="BF204" i="7"/>
  <c r="BF48" i="7"/>
  <c r="BF49" i="7"/>
  <c r="BF206" i="7"/>
  <c r="BE4" i="11"/>
  <c r="BE153" i="10"/>
  <c r="BE149" i="10"/>
  <c r="BE141" i="10"/>
  <c r="BE133" i="10"/>
  <c r="BE152" i="10"/>
  <c r="BE146" i="10"/>
  <c r="BE138" i="10"/>
  <c r="BE151" i="10"/>
  <c r="BE143" i="10"/>
  <c r="BE148" i="10"/>
  <c r="BE147" i="10"/>
  <c r="BE137" i="10"/>
  <c r="BE126" i="10"/>
  <c r="BE118" i="10"/>
  <c r="BE110" i="10"/>
  <c r="BE136" i="10"/>
  <c r="BE135" i="10"/>
  <c r="BE123" i="10"/>
  <c r="BE145" i="10"/>
  <c r="BE140" i="10"/>
  <c r="BE134" i="10"/>
  <c r="BE120" i="10"/>
  <c r="BE128" i="10"/>
  <c r="BE127" i="10"/>
  <c r="BE124" i="10"/>
  <c r="BE142" i="10"/>
  <c r="BE121" i="10"/>
  <c r="BE119" i="10"/>
  <c r="BE109" i="10"/>
  <c r="BE104" i="10"/>
  <c r="BE150" i="10"/>
  <c r="BE132" i="10"/>
  <c r="BE125" i="10"/>
  <c r="BE108" i="10"/>
  <c r="BE107" i="10"/>
  <c r="BE130" i="10"/>
  <c r="BE106" i="10"/>
  <c r="BE117" i="10"/>
  <c r="BE139" i="10"/>
  <c r="BE131" i="10"/>
  <c r="BE116" i="10"/>
  <c r="BE114" i="10"/>
  <c r="BE105" i="10"/>
  <c r="BE144" i="10"/>
  <c r="BE112" i="10"/>
  <c r="BE43" i="10"/>
  <c r="BE24" i="10" s="1"/>
  <c r="BE129" i="10"/>
  <c r="BE122" i="10"/>
  <c r="BE113" i="10"/>
  <c r="BE115" i="10"/>
  <c r="BE8" i="10"/>
  <c r="BE111" i="10"/>
  <c r="BE39" i="10"/>
  <c r="BE10" i="10"/>
  <c r="BE40" i="10" s="1"/>
  <c r="BE217" i="10" s="1"/>
  <c r="BF4" i="10"/>
  <c r="BE11" i="10"/>
  <c r="BE204" i="10"/>
  <c r="BE49" i="10"/>
  <c r="BE206" i="10"/>
  <c r="BE48" i="10"/>
  <c r="BD33" i="10"/>
  <c r="BE216" i="7"/>
  <c r="BF207" i="5"/>
  <c r="BG150" i="5"/>
  <c r="BG142" i="5"/>
  <c r="BG155" i="5"/>
  <c r="BG147" i="5"/>
  <c r="BG151" i="5"/>
  <c r="BG133" i="5"/>
  <c r="BG125" i="5"/>
  <c r="BG117" i="5"/>
  <c r="BG109" i="5"/>
  <c r="BG138" i="5"/>
  <c r="BG130" i="5"/>
  <c r="BG122" i="5"/>
  <c r="BG114" i="5"/>
  <c r="BG106" i="5"/>
  <c r="BG152" i="5"/>
  <c r="BG135" i="5"/>
  <c r="BG127" i="5"/>
  <c r="BG119" i="5"/>
  <c r="BG111" i="5"/>
  <c r="BG149" i="5"/>
  <c r="BG141" i="5"/>
  <c r="BG131" i="5"/>
  <c r="BG123" i="5"/>
  <c r="BG115" i="5"/>
  <c r="BG107" i="5"/>
  <c r="BG124" i="5"/>
  <c r="BG108" i="5"/>
  <c r="BG39" i="5"/>
  <c r="BG8" i="5"/>
  <c r="BG145" i="5"/>
  <c r="BG129" i="5"/>
  <c r="BG113" i="5"/>
  <c r="BH4" i="5"/>
  <c r="BG143" i="5"/>
  <c r="BG134" i="5"/>
  <c r="BG118" i="5"/>
  <c r="BG148" i="5"/>
  <c r="BG139" i="5"/>
  <c r="BG128" i="5"/>
  <c r="BG154" i="5"/>
  <c r="BG146" i="5"/>
  <c r="BG132" i="5"/>
  <c r="BG144" i="5"/>
  <c r="BG137" i="5"/>
  <c r="BG121" i="5"/>
  <c r="BG126" i="5"/>
  <c r="BG110" i="5"/>
  <c r="BG105" i="5"/>
  <c r="BG120" i="5"/>
  <c r="BG43" i="5"/>
  <c r="BG24" i="5" s="1"/>
  <c r="BG136" i="5"/>
  <c r="BG116" i="5"/>
  <c r="BG11" i="5"/>
  <c r="BG153" i="5"/>
  <c r="BG112" i="5"/>
  <c r="BG10" i="5"/>
  <c r="BG40" i="5" s="1"/>
  <c r="BG217" i="5" s="1"/>
  <c r="BG140" i="5"/>
  <c r="BG104" i="5"/>
  <c r="BG204" i="5"/>
  <c r="BG49" i="5"/>
  <c r="BG48" i="5"/>
  <c r="BG206" i="5"/>
  <c r="BD207" i="10"/>
  <c r="BB8" i="11"/>
  <c r="BB10" i="11" s="1"/>
  <c r="BB31" i="11" s="1"/>
  <c r="BB34" i="11" s="1"/>
  <c r="BC30" i="11" s="1"/>
  <c r="BB26" i="10"/>
  <c r="BB199" i="10"/>
  <c r="BE218" i="5"/>
  <c r="BE242" i="5" s="1"/>
  <c r="BE267" i="5"/>
  <c r="BF33" i="5"/>
  <c r="BE267" i="7"/>
  <c r="BE218" i="7"/>
  <c r="BE242" i="7" s="1"/>
  <c r="BE5" i="11"/>
  <c r="BF5" i="10"/>
  <c r="BD242" i="10"/>
  <c r="BD216" i="10"/>
  <c r="BE68" i="7"/>
  <c r="BF68" i="7" s="1"/>
  <c r="BB70" i="10"/>
  <c r="BC70" i="10" s="1"/>
  <c r="B167" i="5"/>
  <c r="BF267" i="10"/>
  <c r="BG15" i="10"/>
  <c r="BF15" i="7"/>
  <c r="BF15" i="5"/>
  <c r="AZ241" i="5"/>
  <c r="BE197" i="5"/>
  <c r="BE37" i="5"/>
  <c r="BB26" i="7"/>
  <c r="BB199" i="7"/>
  <c r="BB199" i="5"/>
  <c r="BB26" i="5"/>
  <c r="BF69" i="7"/>
  <c r="BD68" i="10"/>
  <c r="BE68" i="10" s="1"/>
  <c r="BC34" i="11" l="1"/>
  <c r="BD30" i="11" s="1"/>
  <c r="BF68" i="10"/>
  <c r="BF216" i="7"/>
  <c r="BA241" i="7"/>
  <c r="BF218" i="5"/>
  <c r="BF242" i="5" s="1"/>
  <c r="BF267" i="5"/>
  <c r="BG33" i="5"/>
  <c r="BG69" i="5"/>
  <c r="BE69" i="10"/>
  <c r="BF267" i="7"/>
  <c r="BF218" i="7"/>
  <c r="BF242" i="7" s="1"/>
  <c r="B168" i="5"/>
  <c r="BF5" i="11"/>
  <c r="BG5" i="10"/>
  <c r="BG216" i="5"/>
  <c r="BC241" i="10"/>
  <c r="BG267" i="10"/>
  <c r="BH15" i="10"/>
  <c r="BG15" i="7"/>
  <c r="BG15" i="5"/>
  <c r="BF33" i="7"/>
  <c r="BC8" i="11"/>
  <c r="BC10" i="11" s="1"/>
  <c r="BC31" i="11" s="1"/>
  <c r="BC26" i="10"/>
  <c r="BC199" i="10"/>
  <c r="BE83" i="10"/>
  <c r="BD41" i="10"/>
  <c r="BG207" i="5"/>
  <c r="BE83" i="5"/>
  <c r="BD41" i="5"/>
  <c r="BD70" i="5" s="1"/>
  <c r="BG68" i="7"/>
  <c r="BG9" i="5"/>
  <c r="BG14" i="5" s="1"/>
  <c r="BE207" i="10"/>
  <c r="BF4" i="11"/>
  <c r="BF154" i="10"/>
  <c r="BF152" i="10"/>
  <c r="BF146" i="10"/>
  <c r="BF138" i="10"/>
  <c r="BF130" i="10"/>
  <c r="BF151" i="10"/>
  <c r="BF143" i="10"/>
  <c r="BF148" i="10"/>
  <c r="BF140" i="10"/>
  <c r="BF145" i="10"/>
  <c r="BF136" i="10"/>
  <c r="BF135" i="10"/>
  <c r="BF123" i="10"/>
  <c r="BF115" i="10"/>
  <c r="BF107" i="10"/>
  <c r="BF153" i="10"/>
  <c r="BF134" i="10"/>
  <c r="BF120" i="10"/>
  <c r="BF150" i="10"/>
  <c r="BF133" i="10"/>
  <c r="BF132" i="10"/>
  <c r="BF125" i="10"/>
  <c r="BF142" i="10"/>
  <c r="BF139" i="10"/>
  <c r="BF121" i="10"/>
  <c r="BF147" i="10"/>
  <c r="BF141" i="10"/>
  <c r="BF126" i="10"/>
  <c r="BF108" i="10"/>
  <c r="BF106" i="10"/>
  <c r="BF118" i="10"/>
  <c r="BF117" i="10"/>
  <c r="BF128" i="10"/>
  <c r="BF124" i="10"/>
  <c r="BF116" i="10"/>
  <c r="BF137" i="10"/>
  <c r="BF131" i="10"/>
  <c r="BF144" i="10"/>
  <c r="BF129" i="10"/>
  <c r="BF114" i="10"/>
  <c r="BF105" i="10"/>
  <c r="BF112" i="10"/>
  <c r="BF43" i="10"/>
  <c r="BF24" i="10" s="1"/>
  <c r="BF149" i="10"/>
  <c r="BF127" i="10"/>
  <c r="BF111" i="10"/>
  <c r="BF8" i="10"/>
  <c r="BF122" i="10"/>
  <c r="BF119" i="10"/>
  <c r="BF110" i="10"/>
  <c r="BF104" i="10"/>
  <c r="BF113" i="10"/>
  <c r="BF109" i="10"/>
  <c r="BF10" i="10"/>
  <c r="BF40" i="10" s="1"/>
  <c r="BF217" i="10" s="1"/>
  <c r="BF11" i="10"/>
  <c r="BF39" i="10"/>
  <c r="BG4" i="10"/>
  <c r="BF204" i="10"/>
  <c r="BF206" i="10"/>
  <c r="BF48" i="10"/>
  <c r="BF49" i="10"/>
  <c r="BC199" i="5"/>
  <c r="BC26" i="5"/>
  <c r="BG69" i="7"/>
  <c r="BG68" i="5"/>
  <c r="BE216" i="10"/>
  <c r="BF207" i="7"/>
  <c r="BC26" i="7"/>
  <c r="BC199" i="7"/>
  <c r="BE33" i="10"/>
  <c r="BG148" i="7"/>
  <c r="BG140" i="7"/>
  <c r="BG132" i="7"/>
  <c r="BG124" i="7"/>
  <c r="BG153" i="7"/>
  <c r="BG145" i="7"/>
  <c r="BG154" i="7"/>
  <c r="BG143" i="7"/>
  <c r="BG131" i="7"/>
  <c r="BG118" i="7"/>
  <c r="BG110" i="7"/>
  <c r="BG144" i="7"/>
  <c r="BG130" i="7"/>
  <c r="BG129" i="7"/>
  <c r="BG123" i="7"/>
  <c r="BG155" i="7"/>
  <c r="BG149" i="7"/>
  <c r="BG128" i="7"/>
  <c r="BG147" i="7"/>
  <c r="BG137" i="7"/>
  <c r="BG107" i="7"/>
  <c r="BG134" i="7"/>
  <c r="BG125" i="7"/>
  <c r="BG119" i="7"/>
  <c r="BG104" i="7"/>
  <c r="BG43" i="7"/>
  <c r="BG24" i="7" s="1"/>
  <c r="BG10" i="7"/>
  <c r="BG40" i="7" s="1"/>
  <c r="BG217" i="7" s="1"/>
  <c r="BG146" i="7"/>
  <c r="BG120" i="7"/>
  <c r="BG116" i="7"/>
  <c r="BG115" i="7"/>
  <c r="BG151" i="7"/>
  <c r="BG150" i="7"/>
  <c r="BG138" i="7"/>
  <c r="BG126" i="7"/>
  <c r="BG141" i="7"/>
  <c r="BG135" i="7"/>
  <c r="BG152" i="7"/>
  <c r="BG142" i="7"/>
  <c r="BG139" i="7"/>
  <c r="BG121" i="7"/>
  <c r="BG117" i="7"/>
  <c r="BG136" i="7"/>
  <c r="BG127" i="7"/>
  <c r="BG122" i="7"/>
  <c r="BG109" i="7"/>
  <c r="BG105" i="7"/>
  <c r="BG106" i="7"/>
  <c r="BG39" i="7"/>
  <c r="BH4" i="7"/>
  <c r="BG113" i="7"/>
  <c r="BG112" i="7"/>
  <c r="BG114" i="7"/>
  <c r="BG111" i="7"/>
  <c r="BG108" i="7"/>
  <c r="BG133" i="7"/>
  <c r="BG9" i="7"/>
  <c r="BG14" i="7" s="1"/>
  <c r="BG8" i="7"/>
  <c r="BG11" i="7"/>
  <c r="BG204" i="7"/>
  <c r="BG206" i="7"/>
  <c r="BG48" i="7"/>
  <c r="BG49" i="7"/>
  <c r="BD197" i="10"/>
  <c r="BD37" i="10"/>
  <c r="BE37" i="7"/>
  <c r="BE197" i="7"/>
  <c r="BF197" i="5"/>
  <c r="BF37" i="5"/>
  <c r="BA241" i="5"/>
  <c r="BH155" i="5"/>
  <c r="BH147" i="5"/>
  <c r="BH139" i="5"/>
  <c r="BH152" i="5"/>
  <c r="BH156" i="5"/>
  <c r="BH138" i="5"/>
  <c r="BH130" i="5"/>
  <c r="BH122" i="5"/>
  <c r="BH114" i="5"/>
  <c r="BH106" i="5"/>
  <c r="BH135" i="5"/>
  <c r="BH127" i="5"/>
  <c r="BH119" i="5"/>
  <c r="BH111" i="5"/>
  <c r="BH154" i="5"/>
  <c r="BH150" i="5"/>
  <c r="BH146" i="5"/>
  <c r="BH132" i="5"/>
  <c r="BH124" i="5"/>
  <c r="BH116" i="5"/>
  <c r="BH108" i="5"/>
  <c r="BH153" i="5"/>
  <c r="BH151" i="5"/>
  <c r="BH148" i="5"/>
  <c r="BH140" i="5"/>
  <c r="BH136" i="5"/>
  <c r="BH128" i="5"/>
  <c r="BH120" i="5"/>
  <c r="BH112" i="5"/>
  <c r="BH104" i="5"/>
  <c r="BH145" i="5"/>
  <c r="BH129" i="5"/>
  <c r="BH113" i="5"/>
  <c r="BI4" i="5"/>
  <c r="BH143" i="5"/>
  <c r="BH134" i="5"/>
  <c r="BH118" i="5"/>
  <c r="BH141" i="5"/>
  <c r="BH123" i="5"/>
  <c r="BH107" i="5"/>
  <c r="BH133" i="5"/>
  <c r="BH144" i="5"/>
  <c r="BH137" i="5"/>
  <c r="BH126" i="5"/>
  <c r="BH149" i="5"/>
  <c r="BH142" i="5"/>
  <c r="BH131" i="5"/>
  <c r="BH115" i="5"/>
  <c r="BH110" i="5"/>
  <c r="BH105" i="5"/>
  <c r="BH9" i="5"/>
  <c r="BH14" i="5" s="1"/>
  <c r="BH8" i="5"/>
  <c r="BH43" i="5"/>
  <c r="BH24" i="5" s="1"/>
  <c r="BH39" i="5"/>
  <c r="BH10" i="5"/>
  <c r="BH40" i="5" s="1"/>
  <c r="BH217" i="5" s="1"/>
  <c r="BH125" i="5"/>
  <c r="BH109" i="5"/>
  <c r="BH117" i="5"/>
  <c r="BH121" i="5"/>
  <c r="BH11" i="5"/>
  <c r="BH204" i="5"/>
  <c r="BH48" i="5"/>
  <c r="BH206" i="5"/>
  <c r="BH49" i="5"/>
  <c r="BE9" i="10"/>
  <c r="BE14" i="10" s="1"/>
  <c r="BE218" i="10" s="1"/>
  <c r="BE242" i="10" s="1"/>
  <c r="BE83" i="7"/>
  <c r="BD41" i="7"/>
  <c r="BC70" i="7"/>
  <c r="BG242" i="5" l="1"/>
  <c r="BD8" i="11"/>
  <c r="BD10" i="11" s="1"/>
  <c r="BD31" i="11" s="1"/>
  <c r="BD26" i="10"/>
  <c r="BD199" i="10"/>
  <c r="BG33" i="7"/>
  <c r="BF83" i="10"/>
  <c r="BE41" i="10"/>
  <c r="BH33" i="5"/>
  <c r="BD199" i="7"/>
  <c r="BD26" i="7"/>
  <c r="BH216" i="5"/>
  <c r="BH68" i="5"/>
  <c r="BG218" i="7"/>
  <c r="BG242" i="7" s="1"/>
  <c r="BG267" i="7"/>
  <c r="BF83" i="7"/>
  <c r="BE41" i="7"/>
  <c r="BH207" i="5"/>
  <c r="BG207" i="7"/>
  <c r="B169" i="5"/>
  <c r="BH153" i="7"/>
  <c r="BH145" i="7"/>
  <c r="BH137" i="7"/>
  <c r="BH129" i="7"/>
  <c r="BH150" i="7"/>
  <c r="BH142" i="7"/>
  <c r="BH155" i="7"/>
  <c r="BH151" i="7"/>
  <c r="BH144" i="7"/>
  <c r="BH130" i="7"/>
  <c r="BH123" i="7"/>
  <c r="BH115" i="7"/>
  <c r="BH149" i="7"/>
  <c r="BH128" i="7"/>
  <c r="BH120" i="7"/>
  <c r="BH148" i="7"/>
  <c r="BH140" i="7"/>
  <c r="BH139" i="7"/>
  <c r="BH127" i="7"/>
  <c r="BH126" i="7"/>
  <c r="BH154" i="7"/>
  <c r="BH134" i="7"/>
  <c r="BH125" i="7"/>
  <c r="BH119" i="7"/>
  <c r="BH104" i="7"/>
  <c r="BH43" i="7"/>
  <c r="BH24" i="7" s="1"/>
  <c r="BH10" i="7"/>
  <c r="BH40" i="7" s="1"/>
  <c r="BH217" i="7" s="1"/>
  <c r="BH146" i="7"/>
  <c r="BH131" i="7"/>
  <c r="BH116" i="7"/>
  <c r="BH156" i="7"/>
  <c r="BH138" i="7"/>
  <c r="BH114" i="7"/>
  <c r="BH106" i="7"/>
  <c r="BH141" i="7"/>
  <c r="BH135" i="7"/>
  <c r="BH152" i="7"/>
  <c r="BH132" i="7"/>
  <c r="BH121" i="7"/>
  <c r="BH117" i="7"/>
  <c r="BH136" i="7"/>
  <c r="BH122" i="7"/>
  <c r="BH133" i="7"/>
  <c r="BH124" i="7"/>
  <c r="BH143" i="7"/>
  <c r="BH118" i="7"/>
  <c r="BH113" i="7"/>
  <c r="BH110" i="7"/>
  <c r="BH105" i="7"/>
  <c r="BH8" i="7"/>
  <c r="BH147" i="7"/>
  <c r="BH111" i="7"/>
  <c r="BH108" i="7"/>
  <c r="BH109" i="7"/>
  <c r="BH107" i="7"/>
  <c r="BI4" i="7"/>
  <c r="BH112" i="7"/>
  <c r="BH39" i="7"/>
  <c r="BH68" i="7" s="1"/>
  <c r="BH11" i="7"/>
  <c r="BH204" i="7"/>
  <c r="BH49" i="7"/>
  <c r="BH206" i="7"/>
  <c r="BH48" i="7"/>
  <c r="BG68" i="10"/>
  <c r="BG4" i="11"/>
  <c r="BG151" i="10"/>
  <c r="BG143" i="10"/>
  <c r="BG135" i="10"/>
  <c r="BG127" i="10"/>
  <c r="BG148" i="10"/>
  <c r="BG140" i="10"/>
  <c r="BG145" i="10"/>
  <c r="BG150" i="10"/>
  <c r="BG142" i="10"/>
  <c r="BG153" i="10"/>
  <c r="BG134" i="10"/>
  <c r="BG120" i="10"/>
  <c r="BG112" i="10"/>
  <c r="BG146" i="10"/>
  <c r="BG133" i="10"/>
  <c r="BG132" i="10"/>
  <c r="BG125" i="10"/>
  <c r="BG138" i="10"/>
  <c r="BG131" i="10"/>
  <c r="BG122" i="10"/>
  <c r="BG147" i="10"/>
  <c r="BG141" i="10"/>
  <c r="BG137" i="10"/>
  <c r="BG126" i="10"/>
  <c r="BG136" i="10"/>
  <c r="BG107" i="10"/>
  <c r="BG106" i="10"/>
  <c r="BG130" i="10"/>
  <c r="BG118" i="10"/>
  <c r="BG117" i="10"/>
  <c r="BG128" i="10"/>
  <c r="BG124" i="10"/>
  <c r="BG116" i="10"/>
  <c r="BG152" i="10"/>
  <c r="BG139" i="10"/>
  <c r="BG115" i="10"/>
  <c r="BG114" i="10"/>
  <c r="BG105" i="10"/>
  <c r="BG155" i="10"/>
  <c r="BG144" i="10"/>
  <c r="BG129" i="10"/>
  <c r="BG154" i="10"/>
  <c r="BG149" i="10"/>
  <c r="BG123" i="10"/>
  <c r="BG43" i="10"/>
  <c r="BG24" i="10" s="1"/>
  <c r="BG110" i="10"/>
  <c r="BG119" i="10"/>
  <c r="BG109" i="10"/>
  <c r="BG111" i="10"/>
  <c r="BG11" i="10"/>
  <c r="BG121" i="10"/>
  <c r="BG104" i="10"/>
  <c r="BG113" i="10"/>
  <c r="BG108" i="10"/>
  <c r="BG8" i="10"/>
  <c r="BH4" i="10"/>
  <c r="BG10" i="10"/>
  <c r="BG40" i="10" s="1"/>
  <c r="BG217" i="10" s="1"/>
  <c r="BG39" i="10"/>
  <c r="BG9" i="10"/>
  <c r="BG14" i="10" s="1"/>
  <c r="BG218" i="10" s="1"/>
  <c r="BG204" i="10"/>
  <c r="BG206" i="10"/>
  <c r="BG48" i="10"/>
  <c r="BG49" i="10"/>
  <c r="BG216" i="7"/>
  <c r="BF33" i="10"/>
  <c r="BF83" i="5"/>
  <c r="BE41" i="5"/>
  <c r="BF69" i="10"/>
  <c r="BG69" i="10" s="1"/>
  <c r="BB241" i="7"/>
  <c r="BH267" i="10"/>
  <c r="BI15" i="10"/>
  <c r="BH15" i="7"/>
  <c r="BH15" i="5"/>
  <c r="BF207" i="10"/>
  <c r="BD34" i="11"/>
  <c r="BE30" i="11" s="1"/>
  <c r="BB241" i="5"/>
  <c r="BD70" i="10"/>
  <c r="BE70" i="10" s="1"/>
  <c r="BF9" i="10"/>
  <c r="BF14" i="10" s="1"/>
  <c r="BF218" i="10" s="1"/>
  <c r="BF242" i="10" s="1"/>
  <c r="BG242" i="10" s="1"/>
  <c r="BF197" i="7"/>
  <c r="BF37" i="7"/>
  <c r="BD241" i="10"/>
  <c r="BH69" i="5"/>
  <c r="BF216" i="10"/>
  <c r="BG5" i="11"/>
  <c r="BH5" i="10"/>
  <c r="BI152" i="5"/>
  <c r="BI144" i="5"/>
  <c r="BI157" i="5"/>
  <c r="BI149" i="5"/>
  <c r="BI153" i="5"/>
  <c r="BI135" i="5"/>
  <c r="BI127" i="5"/>
  <c r="BI119" i="5"/>
  <c r="BI111" i="5"/>
  <c r="BI154" i="5"/>
  <c r="BI150" i="5"/>
  <c r="BI146" i="5"/>
  <c r="BI132" i="5"/>
  <c r="BI124" i="5"/>
  <c r="BI116" i="5"/>
  <c r="BI108" i="5"/>
  <c r="BI156" i="5"/>
  <c r="BI145" i="5"/>
  <c r="BI137" i="5"/>
  <c r="BI129" i="5"/>
  <c r="BI121" i="5"/>
  <c r="BI113" i="5"/>
  <c r="BI105" i="5"/>
  <c r="BI155" i="5"/>
  <c r="BI139" i="5"/>
  <c r="BI133" i="5"/>
  <c r="BI125" i="5"/>
  <c r="BI117" i="5"/>
  <c r="BI109" i="5"/>
  <c r="BI143" i="5"/>
  <c r="BI134" i="5"/>
  <c r="BI118" i="5"/>
  <c r="BI147" i="5"/>
  <c r="BI141" i="5"/>
  <c r="BI123" i="5"/>
  <c r="BI107" i="5"/>
  <c r="BI151" i="5"/>
  <c r="BI148" i="5"/>
  <c r="BI128" i="5"/>
  <c r="BI112" i="5"/>
  <c r="BI43" i="5"/>
  <c r="BI24" i="5" s="1"/>
  <c r="BI10" i="5"/>
  <c r="BI40" i="5" s="1"/>
  <c r="BI217" i="5" s="1"/>
  <c r="BI138" i="5"/>
  <c r="BI122" i="5"/>
  <c r="BI142" i="5"/>
  <c r="BI131" i="5"/>
  <c r="BI140" i="5"/>
  <c r="BI136" i="5"/>
  <c r="BI120" i="5"/>
  <c r="BI104" i="5"/>
  <c r="BI39" i="5"/>
  <c r="BI8" i="5"/>
  <c r="BI115" i="5"/>
  <c r="BI126" i="5"/>
  <c r="BI106" i="5"/>
  <c r="BJ4" i="5"/>
  <c r="BI130" i="5"/>
  <c r="BI114" i="5"/>
  <c r="BI110" i="5"/>
  <c r="BI9" i="5"/>
  <c r="BI14" i="5" s="1"/>
  <c r="BI11" i="5"/>
  <c r="BI204" i="5"/>
  <c r="BI48" i="5"/>
  <c r="BI49" i="5"/>
  <c r="BI206" i="5"/>
  <c r="BD26" i="5"/>
  <c r="BD199" i="5"/>
  <c r="BD70" i="7"/>
  <c r="BE197" i="10"/>
  <c r="BE37" i="10"/>
  <c r="BG218" i="5"/>
  <c r="BG267" i="5"/>
  <c r="BG197" i="5"/>
  <c r="BG37" i="5"/>
  <c r="BE26" i="7" l="1"/>
  <c r="BE199" i="7"/>
  <c r="BE34" i="11"/>
  <c r="BF30" i="11" s="1"/>
  <c r="BF197" i="10"/>
  <c r="BF37" i="10"/>
  <c r="BE70" i="7"/>
  <c r="B170" i="5"/>
  <c r="BI33" i="5"/>
  <c r="BI69" i="5"/>
  <c r="BF70" i="10"/>
  <c r="BC241" i="7"/>
  <c r="BI150" i="7"/>
  <c r="BI142" i="7"/>
  <c r="BI134" i="7"/>
  <c r="BI126" i="7"/>
  <c r="BI155" i="7"/>
  <c r="BI147" i="7"/>
  <c r="BI152" i="7"/>
  <c r="BI156" i="7"/>
  <c r="BI148" i="7"/>
  <c r="BI153" i="7"/>
  <c r="BI157" i="7"/>
  <c r="BI149" i="7"/>
  <c r="BI129" i="7"/>
  <c r="BI128" i="7"/>
  <c r="BI120" i="7"/>
  <c r="BI112" i="7"/>
  <c r="BI140" i="7"/>
  <c r="BI139" i="7"/>
  <c r="BI127" i="7"/>
  <c r="BI117" i="7"/>
  <c r="BI145" i="7"/>
  <c r="BI141" i="7"/>
  <c r="BI138" i="7"/>
  <c r="BI125" i="7"/>
  <c r="BI146" i="7"/>
  <c r="BI131" i="7"/>
  <c r="BI116" i="7"/>
  <c r="BI115" i="7"/>
  <c r="BI114" i="7"/>
  <c r="BI106" i="7"/>
  <c r="BI151" i="7"/>
  <c r="BI135" i="7"/>
  <c r="BI113" i="7"/>
  <c r="BI132" i="7"/>
  <c r="BI121" i="7"/>
  <c r="BI136" i="7"/>
  <c r="BI122" i="7"/>
  <c r="BI133" i="7"/>
  <c r="BI124" i="7"/>
  <c r="BI143" i="7"/>
  <c r="BI130" i="7"/>
  <c r="BI118" i="7"/>
  <c r="BI107" i="7"/>
  <c r="BI137" i="7"/>
  <c r="BI119" i="7"/>
  <c r="BI123" i="7"/>
  <c r="BI110" i="7"/>
  <c r="BI105" i="7"/>
  <c r="BI8" i="7"/>
  <c r="BI144" i="7"/>
  <c r="BI111" i="7"/>
  <c r="BI108" i="7"/>
  <c r="BI109" i="7"/>
  <c r="BI154" i="7"/>
  <c r="BI39" i="7"/>
  <c r="BJ4" i="7"/>
  <c r="BI10" i="7"/>
  <c r="BI40" i="7" s="1"/>
  <c r="BI217" i="7" s="1"/>
  <c r="BI104" i="7"/>
  <c r="BI43" i="7"/>
  <c r="BI24" i="7" s="1"/>
  <c r="BI11" i="7"/>
  <c r="BI204" i="7"/>
  <c r="BI49" i="7"/>
  <c r="BI48" i="7"/>
  <c r="BI206" i="7"/>
  <c r="BH9" i="7"/>
  <c r="BH14" i="7" s="1"/>
  <c r="BE8" i="11"/>
  <c r="BE10" i="11" s="1"/>
  <c r="BE31" i="11" s="1"/>
  <c r="BE26" i="10"/>
  <c r="BE199" i="10"/>
  <c r="BH207" i="7"/>
  <c r="BG83" i="7"/>
  <c r="BF41" i="7"/>
  <c r="BI207" i="5"/>
  <c r="BH216" i="7"/>
  <c r="BH69" i="7"/>
  <c r="BI69" i="7" s="1"/>
  <c r="BH33" i="7"/>
  <c r="BI216" i="5"/>
  <c r="BH267" i="5"/>
  <c r="BH218" i="5"/>
  <c r="BH242" i="5" s="1"/>
  <c r="BG216" i="10"/>
  <c r="BG207" i="10"/>
  <c r="BI68" i="5"/>
  <c r="BG83" i="10"/>
  <c r="BF41" i="10"/>
  <c r="BG33" i="10"/>
  <c r="BH68" i="10"/>
  <c r="BE241" i="10"/>
  <c r="BC241" i="5"/>
  <c r="BH267" i="7"/>
  <c r="BH218" i="7"/>
  <c r="BH242" i="7" s="1"/>
  <c r="BE26" i="5"/>
  <c r="BE199" i="5"/>
  <c r="BG197" i="7"/>
  <c r="BG37" i="7"/>
  <c r="BH197" i="5"/>
  <c r="BH37" i="5"/>
  <c r="BJ157" i="5"/>
  <c r="BJ149" i="5"/>
  <c r="BJ141" i="5"/>
  <c r="BJ154" i="5"/>
  <c r="BJ158" i="5"/>
  <c r="BJ150" i="5"/>
  <c r="BJ146" i="5"/>
  <c r="BJ132" i="5"/>
  <c r="BJ124" i="5"/>
  <c r="BJ116" i="5"/>
  <c r="BJ108" i="5"/>
  <c r="BJ156" i="5"/>
  <c r="BJ152" i="5"/>
  <c r="BJ145" i="5"/>
  <c r="BJ137" i="5"/>
  <c r="BJ129" i="5"/>
  <c r="BJ121" i="5"/>
  <c r="BJ113" i="5"/>
  <c r="BJ105" i="5"/>
  <c r="BJ144" i="5"/>
  <c r="BJ143" i="5"/>
  <c r="BJ134" i="5"/>
  <c r="BJ126" i="5"/>
  <c r="BJ118" i="5"/>
  <c r="BJ110" i="5"/>
  <c r="BJ138" i="5"/>
  <c r="BJ130" i="5"/>
  <c r="BJ122" i="5"/>
  <c r="BJ114" i="5"/>
  <c r="BJ106" i="5"/>
  <c r="BJ147" i="5"/>
  <c r="BJ123" i="5"/>
  <c r="BJ107" i="5"/>
  <c r="BJ151" i="5"/>
  <c r="BJ148" i="5"/>
  <c r="BJ128" i="5"/>
  <c r="BJ112" i="5"/>
  <c r="BJ43" i="5"/>
  <c r="BJ24" i="5" s="1"/>
  <c r="BJ10" i="5"/>
  <c r="BJ40" i="5" s="1"/>
  <c r="BJ217" i="5" s="1"/>
  <c r="BJ155" i="5"/>
  <c r="BJ139" i="5"/>
  <c r="BJ133" i="5"/>
  <c r="BJ117" i="5"/>
  <c r="BJ142" i="5"/>
  <c r="BJ131" i="5"/>
  <c r="BJ140" i="5"/>
  <c r="BJ136" i="5"/>
  <c r="BJ120" i="5"/>
  <c r="BJ153" i="5"/>
  <c r="BJ125" i="5"/>
  <c r="BJ109" i="5"/>
  <c r="BK4" i="5"/>
  <c r="BJ135" i="5"/>
  <c r="BJ8" i="5"/>
  <c r="BJ39" i="5"/>
  <c r="BJ127" i="5"/>
  <c r="BJ111" i="5"/>
  <c r="BJ119" i="5"/>
  <c r="BJ104" i="5"/>
  <c r="BJ115" i="5"/>
  <c r="BJ204" i="5"/>
  <c r="BJ11" i="5"/>
  <c r="BJ49" i="5"/>
  <c r="BJ206" i="5"/>
  <c r="BJ48" i="5"/>
  <c r="BH5" i="11"/>
  <c r="BI5" i="10"/>
  <c r="BI267" i="10"/>
  <c r="BJ15" i="10"/>
  <c r="BI15" i="7"/>
  <c r="BI15" i="5"/>
  <c r="BG83" i="5"/>
  <c r="BF41" i="5"/>
  <c r="BH4" i="11"/>
  <c r="BH156" i="10"/>
  <c r="BH148" i="10"/>
  <c r="BH140" i="10"/>
  <c r="BH132" i="10"/>
  <c r="BH145" i="10"/>
  <c r="BH150" i="10"/>
  <c r="BH142" i="10"/>
  <c r="BH147" i="10"/>
  <c r="BH146" i="10"/>
  <c r="BH133" i="10"/>
  <c r="BH125" i="10"/>
  <c r="BH117" i="10"/>
  <c r="BH109" i="10"/>
  <c r="BH151" i="10"/>
  <c r="BH138" i="10"/>
  <c r="BH131" i="10"/>
  <c r="BH122" i="10"/>
  <c r="BH144" i="10"/>
  <c r="BH130" i="10"/>
  <c r="BH129" i="10"/>
  <c r="BH119" i="10"/>
  <c r="BH155" i="10"/>
  <c r="BH136" i="10"/>
  <c r="BH123" i="10"/>
  <c r="BH153" i="10"/>
  <c r="BH134" i="10"/>
  <c r="BH120" i="10"/>
  <c r="BH118" i="10"/>
  <c r="BH128" i="10"/>
  <c r="BH124" i="10"/>
  <c r="BH116" i="10"/>
  <c r="BH152" i="10"/>
  <c r="BH139" i="10"/>
  <c r="BH115" i="10"/>
  <c r="BH114" i="10"/>
  <c r="BH105" i="10"/>
  <c r="BH143" i="10"/>
  <c r="BH137" i="10"/>
  <c r="BH113" i="10"/>
  <c r="BH135" i="10"/>
  <c r="BH154" i="10"/>
  <c r="BH149" i="10"/>
  <c r="BH127" i="10"/>
  <c r="BH112" i="10"/>
  <c r="BH110" i="10"/>
  <c r="BH141" i="10"/>
  <c r="BH121" i="10"/>
  <c r="BH108" i="10"/>
  <c r="BH104" i="10"/>
  <c r="BH111" i="10"/>
  <c r="BH11" i="10"/>
  <c r="BH107" i="10"/>
  <c r="BH39" i="10"/>
  <c r="BH10" i="10"/>
  <c r="BH40" i="10" s="1"/>
  <c r="BH217" i="10" s="1"/>
  <c r="BH106" i="10"/>
  <c r="BH126" i="10"/>
  <c r="BH43" i="10"/>
  <c r="BH24" i="10" s="1"/>
  <c r="BH8" i="10"/>
  <c r="BI4" i="10"/>
  <c r="BH204" i="10"/>
  <c r="BH48" i="10"/>
  <c r="BH49" i="10"/>
  <c r="BH206" i="10"/>
  <c r="BE70" i="5"/>
  <c r="BH216" i="10" l="1"/>
  <c r="BJ216" i="5"/>
  <c r="BH33" i="10"/>
  <c r="BJ267" i="10"/>
  <c r="BK15" i="10"/>
  <c r="BJ15" i="7"/>
  <c r="BJ15" i="5"/>
  <c r="BK154" i="5"/>
  <c r="BK146" i="5"/>
  <c r="BK159" i="5"/>
  <c r="BK151" i="5"/>
  <c r="BK155" i="5"/>
  <c r="BK156" i="5"/>
  <c r="BK152" i="5"/>
  <c r="BK150" i="5"/>
  <c r="BK145" i="5"/>
  <c r="BK137" i="5"/>
  <c r="BK129" i="5"/>
  <c r="BK121" i="5"/>
  <c r="BK113" i="5"/>
  <c r="BK105" i="5"/>
  <c r="BK158" i="5"/>
  <c r="BK144" i="5"/>
  <c r="BK143" i="5"/>
  <c r="BK134" i="5"/>
  <c r="BK126" i="5"/>
  <c r="BK118" i="5"/>
  <c r="BK110" i="5"/>
  <c r="BK147" i="5"/>
  <c r="BK142" i="5"/>
  <c r="BK131" i="5"/>
  <c r="BK123" i="5"/>
  <c r="BK115" i="5"/>
  <c r="BK107" i="5"/>
  <c r="BK135" i="5"/>
  <c r="BK127" i="5"/>
  <c r="BK119" i="5"/>
  <c r="BK111" i="5"/>
  <c r="BK148" i="5"/>
  <c r="BK141" i="5"/>
  <c r="BK128" i="5"/>
  <c r="BK112" i="5"/>
  <c r="BK43" i="5"/>
  <c r="BK24" i="5" s="1"/>
  <c r="BK10" i="5"/>
  <c r="BK40" i="5" s="1"/>
  <c r="BK217" i="5" s="1"/>
  <c r="BK139" i="5"/>
  <c r="BK133" i="5"/>
  <c r="BK117" i="5"/>
  <c r="BK138" i="5"/>
  <c r="BK122" i="5"/>
  <c r="BK106" i="5"/>
  <c r="BK9" i="5"/>
  <c r="BK14" i="5" s="1"/>
  <c r="BK132" i="5"/>
  <c r="BK140" i="5"/>
  <c r="BK136" i="5"/>
  <c r="BK153" i="5"/>
  <c r="BK149" i="5"/>
  <c r="BK125" i="5"/>
  <c r="BK157" i="5"/>
  <c r="BK130" i="5"/>
  <c r="BK114" i="5"/>
  <c r="BK124" i="5"/>
  <c r="BK120" i="5"/>
  <c r="BK108" i="5"/>
  <c r="BK116" i="5"/>
  <c r="BK39" i="5"/>
  <c r="BL4" i="5"/>
  <c r="BK109" i="5"/>
  <c r="BK11" i="5"/>
  <c r="BK104" i="5"/>
  <c r="BK8" i="5"/>
  <c r="BK204" i="5"/>
  <c r="BK48" i="5"/>
  <c r="BK49" i="5"/>
  <c r="BK206" i="5"/>
  <c r="BD241" i="5"/>
  <c r="BJ68" i="5"/>
  <c r="BK68" i="5" s="1"/>
  <c r="BJ69" i="7"/>
  <c r="BI33" i="7"/>
  <c r="BJ155" i="7"/>
  <c r="BJ147" i="7"/>
  <c r="BJ139" i="7"/>
  <c r="BJ131" i="7"/>
  <c r="BJ152" i="7"/>
  <c r="BJ144" i="7"/>
  <c r="BJ157" i="7"/>
  <c r="BJ153" i="7"/>
  <c r="BJ158" i="7"/>
  <c r="BJ150" i="7"/>
  <c r="BJ140" i="7"/>
  <c r="BJ127" i="7"/>
  <c r="BJ117" i="7"/>
  <c r="BJ109" i="7"/>
  <c r="BJ148" i="7"/>
  <c r="BJ145" i="7"/>
  <c r="BJ141" i="7"/>
  <c r="BJ138" i="7"/>
  <c r="BJ126" i="7"/>
  <c r="BJ125" i="7"/>
  <c r="BJ122" i="7"/>
  <c r="BJ151" i="7"/>
  <c r="BJ146" i="7"/>
  <c r="BJ137" i="7"/>
  <c r="BJ136" i="7"/>
  <c r="BJ124" i="7"/>
  <c r="BJ149" i="7"/>
  <c r="BJ128" i="7"/>
  <c r="BJ115" i="7"/>
  <c r="BJ114" i="7"/>
  <c r="BJ106" i="7"/>
  <c r="BJ9" i="7"/>
  <c r="BJ14" i="7" s="1"/>
  <c r="BJ156" i="7"/>
  <c r="BJ135" i="7"/>
  <c r="BJ120" i="7"/>
  <c r="BJ113" i="7"/>
  <c r="BJ132" i="7"/>
  <c r="BJ121" i="7"/>
  <c r="BJ112" i="7"/>
  <c r="BJ111" i="7"/>
  <c r="BJ108" i="7"/>
  <c r="BJ129" i="7"/>
  <c r="BJ142" i="7"/>
  <c r="BJ133" i="7"/>
  <c r="BJ143" i="7"/>
  <c r="BJ130" i="7"/>
  <c r="BJ118" i="7"/>
  <c r="BJ154" i="7"/>
  <c r="BJ123" i="7"/>
  <c r="BJ119" i="7"/>
  <c r="BJ104" i="7"/>
  <c r="BJ43" i="7"/>
  <c r="BJ24" i="7" s="1"/>
  <c r="BJ116" i="7"/>
  <c r="BJ110" i="7"/>
  <c r="BJ105" i="7"/>
  <c r="BJ8" i="7"/>
  <c r="BJ134" i="7"/>
  <c r="BJ107" i="7"/>
  <c r="BJ10" i="7"/>
  <c r="BJ40" i="7" s="1"/>
  <c r="BJ217" i="7" s="1"/>
  <c r="BJ11" i="7"/>
  <c r="BJ39" i="7"/>
  <c r="BK4" i="7"/>
  <c r="BJ204" i="7"/>
  <c r="BJ206" i="7"/>
  <c r="BJ48" i="7"/>
  <c r="BJ49" i="7"/>
  <c r="BF241" i="10"/>
  <c r="BI216" i="7"/>
  <c r="BD241" i="7"/>
  <c r="BG70" i="10"/>
  <c r="BF199" i="5"/>
  <c r="BF26" i="5"/>
  <c r="BI5" i="11"/>
  <c r="BJ5" i="10"/>
  <c r="BI207" i="7"/>
  <c r="BJ69" i="5"/>
  <c r="BK69" i="5" s="1"/>
  <c r="B171" i="5"/>
  <c r="BI9" i="7"/>
  <c r="BI14" i="7" s="1"/>
  <c r="BI218" i="7" s="1"/>
  <c r="BI242" i="7" s="1"/>
  <c r="BI197" i="5"/>
  <c r="BI37" i="5"/>
  <c r="BF70" i="7"/>
  <c r="BH83" i="5"/>
  <c r="BG41" i="5"/>
  <c r="BG197" i="10"/>
  <c r="BG37" i="10"/>
  <c r="BI218" i="5"/>
  <c r="BI242" i="5" s="1"/>
  <c r="BI267" i="5"/>
  <c r="BJ33" i="5"/>
  <c r="BF8" i="11"/>
  <c r="BF10" i="11" s="1"/>
  <c r="BF31" i="11" s="1"/>
  <c r="BF34" i="11" s="1"/>
  <c r="BG30" i="11" s="1"/>
  <c r="BF199" i="10"/>
  <c r="BF26" i="10"/>
  <c r="BF26" i="7"/>
  <c r="BF199" i="7"/>
  <c r="BJ207" i="5"/>
  <c r="BH9" i="10"/>
  <c r="BH14" i="10" s="1"/>
  <c r="BH218" i="10" s="1"/>
  <c r="BH242" i="10" s="1"/>
  <c r="BF70" i="5"/>
  <c r="BG70" i="5" s="1"/>
  <c r="BI4" i="11"/>
  <c r="BI153" i="10"/>
  <c r="BI145" i="10"/>
  <c r="BI137" i="10"/>
  <c r="BI129" i="10"/>
  <c r="BI150" i="10"/>
  <c r="BI142" i="10"/>
  <c r="BI157" i="10"/>
  <c r="BI147" i="10"/>
  <c r="BI139" i="10"/>
  <c r="BI156" i="10"/>
  <c r="BI155" i="10"/>
  <c r="BI144" i="10"/>
  <c r="BI151" i="10"/>
  <c r="BI138" i="10"/>
  <c r="BI132" i="10"/>
  <c r="BI131" i="10"/>
  <c r="BI122" i="10"/>
  <c r="BI114" i="10"/>
  <c r="BI106" i="10"/>
  <c r="BI140" i="10"/>
  <c r="BI130" i="10"/>
  <c r="BI119" i="10"/>
  <c r="BI154" i="10"/>
  <c r="BI149" i="10"/>
  <c r="BI128" i="10"/>
  <c r="BI124" i="10"/>
  <c r="BI135" i="10"/>
  <c r="BI134" i="10"/>
  <c r="BI120" i="10"/>
  <c r="BI125" i="10"/>
  <c r="BI117" i="10"/>
  <c r="BI116" i="10"/>
  <c r="BI152" i="10"/>
  <c r="BI115" i="10"/>
  <c r="BI105" i="10"/>
  <c r="BI143" i="10"/>
  <c r="BI113" i="10"/>
  <c r="BI148" i="10"/>
  <c r="BI123" i="10"/>
  <c r="BI112" i="10"/>
  <c r="BI111" i="10"/>
  <c r="BI146" i="10"/>
  <c r="BI133" i="10"/>
  <c r="BI127" i="10"/>
  <c r="BI141" i="10"/>
  <c r="BI126" i="10"/>
  <c r="BI110" i="10"/>
  <c r="BI121" i="10"/>
  <c r="BI108" i="10"/>
  <c r="BI104" i="10"/>
  <c r="BI136" i="10"/>
  <c r="BI107" i="10"/>
  <c r="BI11" i="10"/>
  <c r="BI39" i="10"/>
  <c r="BI10" i="10"/>
  <c r="BI40" i="10" s="1"/>
  <c r="BI217" i="10" s="1"/>
  <c r="BI118" i="10"/>
  <c r="BI109" i="10"/>
  <c r="BJ4" i="10"/>
  <c r="BI43" i="10"/>
  <c r="BI24" i="10" s="1"/>
  <c r="BI8" i="10"/>
  <c r="BI204" i="10"/>
  <c r="BI49" i="10"/>
  <c r="BI206" i="10"/>
  <c r="BI48" i="10"/>
  <c r="BH207" i="10"/>
  <c r="BI267" i="7"/>
  <c r="BJ9" i="5"/>
  <c r="BJ14" i="5" s="1"/>
  <c r="BH83" i="10"/>
  <c r="BG41" i="10"/>
  <c r="BH69" i="10"/>
  <c r="BH197" i="7"/>
  <c r="BH37" i="7"/>
  <c r="BH83" i="7"/>
  <c r="BG41" i="7"/>
  <c r="BI68" i="7"/>
  <c r="BI83" i="7" l="1"/>
  <c r="BH41" i="7"/>
  <c r="BJ33" i="7"/>
  <c r="BJ267" i="5"/>
  <c r="BJ218" i="5"/>
  <c r="BJ242" i="5" s="1"/>
  <c r="BJ218" i="7"/>
  <c r="BJ242" i="7" s="1"/>
  <c r="BJ267" i="7"/>
  <c r="BL159" i="5"/>
  <c r="BL151" i="5"/>
  <c r="BL143" i="5"/>
  <c r="BL156" i="5"/>
  <c r="BL148" i="5"/>
  <c r="BL160" i="5"/>
  <c r="BL152" i="5"/>
  <c r="BL158" i="5"/>
  <c r="BL154" i="5"/>
  <c r="BL144" i="5"/>
  <c r="BL134" i="5"/>
  <c r="BL126" i="5"/>
  <c r="BL118" i="5"/>
  <c r="BL110" i="5"/>
  <c r="BL147" i="5"/>
  <c r="BL142" i="5"/>
  <c r="BL131" i="5"/>
  <c r="BL123" i="5"/>
  <c r="BL115" i="5"/>
  <c r="BL107" i="5"/>
  <c r="BL141" i="5"/>
  <c r="BL140" i="5"/>
  <c r="BL136" i="5"/>
  <c r="BL128" i="5"/>
  <c r="BL120" i="5"/>
  <c r="BL112" i="5"/>
  <c r="BL104" i="5"/>
  <c r="BL132" i="5"/>
  <c r="BL124" i="5"/>
  <c r="BL116" i="5"/>
  <c r="BL108" i="5"/>
  <c r="BL139" i="5"/>
  <c r="BL133" i="5"/>
  <c r="BL117" i="5"/>
  <c r="BL155" i="5"/>
  <c r="BL138" i="5"/>
  <c r="BL122" i="5"/>
  <c r="BL106" i="5"/>
  <c r="BL127" i="5"/>
  <c r="BL111" i="5"/>
  <c r="BL150" i="5"/>
  <c r="BL146" i="5"/>
  <c r="BL137" i="5"/>
  <c r="BL121" i="5"/>
  <c r="BL153" i="5"/>
  <c r="BL149" i="5"/>
  <c r="BL157" i="5"/>
  <c r="BL130" i="5"/>
  <c r="BL135" i="5"/>
  <c r="BL119" i="5"/>
  <c r="BL145" i="5"/>
  <c r="BL43" i="5"/>
  <c r="BL24" i="5" s="1"/>
  <c r="BM4" i="5"/>
  <c r="BL113" i="5"/>
  <c r="BL39" i="5"/>
  <c r="BL109" i="5"/>
  <c r="BL125" i="5"/>
  <c r="BL114" i="5"/>
  <c r="BL8" i="5"/>
  <c r="BL129" i="5"/>
  <c r="BL105" i="5"/>
  <c r="BL10" i="5"/>
  <c r="BL40" i="5" s="1"/>
  <c r="BL217" i="5" s="1"/>
  <c r="BL204" i="5"/>
  <c r="BL11" i="5"/>
  <c r="BL48" i="5"/>
  <c r="BL49" i="5"/>
  <c r="BL206" i="5"/>
  <c r="BG241" i="10"/>
  <c r="BL68" i="5"/>
  <c r="BL69" i="5"/>
  <c r="BI216" i="10"/>
  <c r="BI68" i="10"/>
  <c r="BJ197" i="5"/>
  <c r="BJ37" i="5"/>
  <c r="BG26" i="5"/>
  <c r="BG199" i="5"/>
  <c r="BJ207" i="7"/>
  <c r="BE241" i="5"/>
  <c r="BG8" i="11"/>
  <c r="BG10" i="11" s="1"/>
  <c r="BG31" i="11" s="1"/>
  <c r="BG34" i="11" s="1"/>
  <c r="BH30" i="11" s="1"/>
  <c r="BG199" i="10"/>
  <c r="BG26" i="10"/>
  <c r="BI9" i="10"/>
  <c r="BI14" i="10" s="1"/>
  <c r="BI218" i="10" s="1"/>
  <c r="BI207" i="10"/>
  <c r="BI83" i="5"/>
  <c r="BH41" i="5"/>
  <c r="BE241" i="7"/>
  <c r="BK216" i="5"/>
  <c r="BI242" i="10"/>
  <c r="BJ242" i="10" s="1"/>
  <c r="BK267" i="10"/>
  <c r="BL15" i="10"/>
  <c r="BK15" i="7"/>
  <c r="BK15" i="5"/>
  <c r="BI69" i="10"/>
  <c r="BJ68" i="7"/>
  <c r="BK68" i="7" s="1"/>
  <c r="BG70" i="7"/>
  <c r="BH70" i="7" s="1"/>
  <c r="BJ5" i="11"/>
  <c r="BK5" i="10"/>
  <c r="BK207" i="5"/>
  <c r="BH197" i="10"/>
  <c r="BH37" i="10"/>
  <c r="B172" i="5"/>
  <c r="BK152" i="7"/>
  <c r="BK144" i="7"/>
  <c r="BK136" i="7"/>
  <c r="BK128" i="7"/>
  <c r="BK157" i="7"/>
  <c r="BK149" i="7"/>
  <c r="BK141" i="7"/>
  <c r="BK154" i="7"/>
  <c r="BK158" i="7"/>
  <c r="BK150" i="7"/>
  <c r="BK148" i="7"/>
  <c r="BK145" i="7"/>
  <c r="BK139" i="7"/>
  <c r="BK138" i="7"/>
  <c r="BK126" i="7"/>
  <c r="BK125" i="7"/>
  <c r="BK122" i="7"/>
  <c r="BK114" i="7"/>
  <c r="BK155" i="7"/>
  <c r="BK151" i="7"/>
  <c r="BK146" i="7"/>
  <c r="BK137" i="7"/>
  <c r="BK124" i="7"/>
  <c r="BK119" i="7"/>
  <c r="BK153" i="7"/>
  <c r="BK135" i="7"/>
  <c r="BK159" i="7"/>
  <c r="BK156" i="7"/>
  <c r="BK120" i="7"/>
  <c r="BK113" i="7"/>
  <c r="BK132" i="7"/>
  <c r="BK121" i="7"/>
  <c r="BK112" i="7"/>
  <c r="BK111" i="7"/>
  <c r="BK108" i="7"/>
  <c r="BK39" i="7"/>
  <c r="BK129" i="7"/>
  <c r="BK110" i="7"/>
  <c r="BK105" i="7"/>
  <c r="BK142" i="7"/>
  <c r="BK133" i="7"/>
  <c r="BK117" i="7"/>
  <c r="BK143" i="7"/>
  <c r="BK130" i="7"/>
  <c r="BK118" i="7"/>
  <c r="BK127" i="7"/>
  <c r="BK123" i="7"/>
  <c r="BK147" i="7"/>
  <c r="BK134" i="7"/>
  <c r="BK116" i="7"/>
  <c r="BK131" i="7"/>
  <c r="BK115" i="7"/>
  <c r="BK104" i="7"/>
  <c r="BK109" i="7"/>
  <c r="BK107" i="7"/>
  <c r="BK43" i="7"/>
  <c r="BK24" i="7" s="1"/>
  <c r="BK140" i="7"/>
  <c r="BK106" i="7"/>
  <c r="BK8" i="7"/>
  <c r="BL4" i="7"/>
  <c r="BK10" i="7"/>
  <c r="BK40" i="7" s="1"/>
  <c r="BK217" i="7" s="1"/>
  <c r="BK11" i="7"/>
  <c r="BK204" i="7"/>
  <c r="BK49" i="7"/>
  <c r="BK206" i="7"/>
  <c r="BK48" i="7"/>
  <c r="BJ216" i="7"/>
  <c r="BK33" i="5"/>
  <c r="BI33" i="10"/>
  <c r="BI83" i="10"/>
  <c r="BH41" i="10"/>
  <c r="BG26" i="7"/>
  <c r="BG199" i="7"/>
  <c r="BJ4" i="11"/>
  <c r="BJ158" i="10"/>
  <c r="BJ150" i="10"/>
  <c r="BJ142" i="10"/>
  <c r="BJ134" i="10"/>
  <c r="BJ157" i="10"/>
  <c r="BJ147" i="10"/>
  <c r="BJ139" i="10"/>
  <c r="BJ156" i="10"/>
  <c r="BJ155" i="10"/>
  <c r="BJ144" i="10"/>
  <c r="BJ154" i="10"/>
  <c r="BJ149" i="10"/>
  <c r="BJ140" i="10"/>
  <c r="BJ130" i="10"/>
  <c r="BJ119" i="10"/>
  <c r="BJ111" i="10"/>
  <c r="BJ145" i="10"/>
  <c r="BJ129" i="10"/>
  <c r="BJ128" i="10"/>
  <c r="BJ124" i="10"/>
  <c r="BJ152" i="10"/>
  <c r="BJ127" i="10"/>
  <c r="BJ121" i="10"/>
  <c r="BJ153" i="10"/>
  <c r="BJ146" i="10"/>
  <c r="BJ133" i="10"/>
  <c r="BJ125" i="10"/>
  <c r="BJ132" i="10"/>
  <c r="BJ115" i="10"/>
  <c r="BJ105" i="10"/>
  <c r="BJ143" i="10"/>
  <c r="BJ114" i="10"/>
  <c r="BJ113" i="10"/>
  <c r="BJ148" i="10"/>
  <c r="BJ137" i="10"/>
  <c r="BJ123" i="10"/>
  <c r="BJ112" i="10"/>
  <c r="BJ135" i="10"/>
  <c r="BJ110" i="10"/>
  <c r="BJ104" i="10"/>
  <c r="BJ151" i="10"/>
  <c r="BJ138" i="10"/>
  <c r="BJ131" i="10"/>
  <c r="BJ141" i="10"/>
  <c r="BJ126" i="10"/>
  <c r="BJ136" i="10"/>
  <c r="BJ108" i="10"/>
  <c r="BJ106" i="10"/>
  <c r="BJ118" i="10"/>
  <c r="BJ122" i="10"/>
  <c r="BJ39" i="10"/>
  <c r="BJ10" i="10"/>
  <c r="BJ40" i="10" s="1"/>
  <c r="BJ217" i="10" s="1"/>
  <c r="BJ107" i="10"/>
  <c r="BJ9" i="10"/>
  <c r="BJ14" i="10" s="1"/>
  <c r="BJ218" i="10" s="1"/>
  <c r="BJ117" i="10"/>
  <c r="BJ109" i="10"/>
  <c r="BJ120" i="10"/>
  <c r="BJ116" i="10"/>
  <c r="BJ8" i="10"/>
  <c r="BJ43" i="10"/>
  <c r="BJ24" i="10" s="1"/>
  <c r="BK4" i="10"/>
  <c r="BJ11" i="10"/>
  <c r="BJ204" i="10"/>
  <c r="BJ206" i="10"/>
  <c r="BJ49" i="10"/>
  <c r="BJ48" i="10"/>
  <c r="BI197" i="7"/>
  <c r="BI37" i="7"/>
  <c r="BK197" i="5" l="1"/>
  <c r="BK37" i="5"/>
  <c r="BI70" i="7"/>
  <c r="BK207" i="7"/>
  <c r="BK4" i="11"/>
  <c r="BK155" i="10"/>
  <c r="BK157" i="10"/>
  <c r="BK147" i="10"/>
  <c r="BK139" i="10"/>
  <c r="BK131" i="10"/>
  <c r="BK156" i="10"/>
  <c r="BK144" i="10"/>
  <c r="BK154" i="10"/>
  <c r="BK149" i="10"/>
  <c r="BK141" i="10"/>
  <c r="BK153" i="10"/>
  <c r="BK152" i="10"/>
  <c r="BK146" i="10"/>
  <c r="BK145" i="10"/>
  <c r="BK129" i="10"/>
  <c r="BK128" i="10"/>
  <c r="BK124" i="10"/>
  <c r="BK116" i="10"/>
  <c r="BK108" i="10"/>
  <c r="BK159" i="10"/>
  <c r="BK150" i="10"/>
  <c r="BK127" i="10"/>
  <c r="BK121" i="10"/>
  <c r="BK158" i="10"/>
  <c r="BK143" i="10"/>
  <c r="BK126" i="10"/>
  <c r="BK151" i="10"/>
  <c r="BK138" i="10"/>
  <c r="BK132" i="10"/>
  <c r="BK122" i="10"/>
  <c r="BK140" i="10"/>
  <c r="BK130" i="10"/>
  <c r="BK114" i="10"/>
  <c r="BK113" i="10"/>
  <c r="BK148" i="10"/>
  <c r="BK137" i="10"/>
  <c r="BK123" i="10"/>
  <c r="BK112" i="10"/>
  <c r="BK135" i="10"/>
  <c r="BK111" i="10"/>
  <c r="BK110" i="10"/>
  <c r="BK104" i="10"/>
  <c r="BK133" i="10"/>
  <c r="BK109" i="10"/>
  <c r="BK136" i="10"/>
  <c r="BK106" i="10"/>
  <c r="BK117" i="10"/>
  <c r="BK134" i="10"/>
  <c r="BK120" i="10"/>
  <c r="BK107" i="10"/>
  <c r="BK119" i="10"/>
  <c r="BK118" i="10"/>
  <c r="BK9" i="10"/>
  <c r="BK14" i="10" s="1"/>
  <c r="BK218" i="10" s="1"/>
  <c r="BK242" i="10" s="1"/>
  <c r="BK142" i="10"/>
  <c r="BK125" i="10"/>
  <c r="BK105" i="10"/>
  <c r="BK11" i="10"/>
  <c r="BK115" i="10"/>
  <c r="BL4" i="10"/>
  <c r="BK39" i="10"/>
  <c r="BK43" i="10"/>
  <c r="BK24" i="10" s="1"/>
  <c r="BK10" i="10"/>
  <c r="BK40" i="10" s="1"/>
  <c r="BK217" i="10" s="1"/>
  <c r="BK8" i="10"/>
  <c r="BK204" i="10"/>
  <c r="BK49" i="10"/>
  <c r="BK48" i="10"/>
  <c r="BK206" i="10"/>
  <c r="BL157" i="7"/>
  <c r="BL149" i="7"/>
  <c r="BL141" i="7"/>
  <c r="BL133" i="7"/>
  <c r="BL125" i="7"/>
  <c r="BL154" i="7"/>
  <c r="BL146" i="7"/>
  <c r="BL159" i="7"/>
  <c r="BL151" i="7"/>
  <c r="BL155" i="7"/>
  <c r="BL147" i="7"/>
  <c r="BL152" i="7"/>
  <c r="BL137" i="7"/>
  <c r="BL124" i="7"/>
  <c r="BL119" i="7"/>
  <c r="BL111" i="7"/>
  <c r="BL153" i="7"/>
  <c r="BL136" i="7"/>
  <c r="BL135" i="7"/>
  <c r="BL150" i="7"/>
  <c r="BL142" i="7"/>
  <c r="BL134" i="7"/>
  <c r="BL132" i="7"/>
  <c r="BL121" i="7"/>
  <c r="BL112" i="7"/>
  <c r="BL108" i="7"/>
  <c r="BL39" i="7"/>
  <c r="BL8" i="7"/>
  <c r="BL138" i="7"/>
  <c r="BL129" i="7"/>
  <c r="BL110" i="7"/>
  <c r="BL105" i="7"/>
  <c r="BL158" i="7"/>
  <c r="BL126" i="7"/>
  <c r="BL117" i="7"/>
  <c r="BL109" i="7"/>
  <c r="BL143" i="7"/>
  <c r="BL130" i="7"/>
  <c r="BL122" i="7"/>
  <c r="BL118" i="7"/>
  <c r="BL139" i="7"/>
  <c r="BL127" i="7"/>
  <c r="BL123" i="7"/>
  <c r="BL160" i="7"/>
  <c r="BL116" i="7"/>
  <c r="BL148" i="7"/>
  <c r="BL144" i="7"/>
  <c r="BL140" i="7"/>
  <c r="BL131" i="7"/>
  <c r="BL115" i="7"/>
  <c r="BL106" i="7"/>
  <c r="BL156" i="7"/>
  <c r="BL120" i="7"/>
  <c r="BL104" i="7"/>
  <c r="BL10" i="7"/>
  <c r="BL40" i="7" s="1"/>
  <c r="BL217" i="7" s="1"/>
  <c r="BL128" i="7"/>
  <c r="BL114" i="7"/>
  <c r="BL107" i="7"/>
  <c r="BL145" i="7"/>
  <c r="BL113" i="7"/>
  <c r="BL11" i="7"/>
  <c r="BL43" i="7"/>
  <c r="BL24" i="7" s="1"/>
  <c r="BM4" i="7"/>
  <c r="BL204" i="7"/>
  <c r="BL49" i="7"/>
  <c r="BL48" i="7"/>
  <c r="BL206" i="7"/>
  <c r="BJ33" i="10"/>
  <c r="BJ216" i="10"/>
  <c r="BI197" i="10"/>
  <c r="BI37" i="10"/>
  <c r="BK9" i="7"/>
  <c r="BK14" i="7" s="1"/>
  <c r="B173" i="5"/>
  <c r="BL267" i="10"/>
  <c r="BM15" i="10"/>
  <c r="BL15" i="7"/>
  <c r="BL15" i="5"/>
  <c r="BM156" i="5"/>
  <c r="BM148" i="5"/>
  <c r="BM140" i="5"/>
  <c r="BM161" i="5"/>
  <c r="BM153" i="5"/>
  <c r="BM157" i="5"/>
  <c r="BM149" i="5"/>
  <c r="BM160" i="5"/>
  <c r="BM147" i="5"/>
  <c r="BM143" i="5"/>
  <c r="BM142" i="5"/>
  <c r="BM131" i="5"/>
  <c r="BM123" i="5"/>
  <c r="BM115" i="5"/>
  <c r="BM107" i="5"/>
  <c r="BM141" i="5"/>
  <c r="BM136" i="5"/>
  <c r="BM128" i="5"/>
  <c r="BM120" i="5"/>
  <c r="BM112" i="5"/>
  <c r="BM104" i="5"/>
  <c r="BM139" i="5"/>
  <c r="BM133" i="5"/>
  <c r="BM125" i="5"/>
  <c r="BM117" i="5"/>
  <c r="BM109" i="5"/>
  <c r="BM150" i="5"/>
  <c r="BM146" i="5"/>
  <c r="BM145" i="5"/>
  <c r="BM137" i="5"/>
  <c r="BM129" i="5"/>
  <c r="BM121" i="5"/>
  <c r="BM113" i="5"/>
  <c r="BM105" i="5"/>
  <c r="BM155" i="5"/>
  <c r="BM151" i="5"/>
  <c r="BM138" i="5"/>
  <c r="BM122" i="5"/>
  <c r="BM106" i="5"/>
  <c r="BM159" i="5"/>
  <c r="BM127" i="5"/>
  <c r="BM111" i="5"/>
  <c r="BM132" i="5"/>
  <c r="BM116" i="5"/>
  <c r="BM39" i="5"/>
  <c r="BM8" i="5"/>
  <c r="BM158" i="5"/>
  <c r="BM154" i="5"/>
  <c r="BM144" i="5"/>
  <c r="BM126" i="5"/>
  <c r="BM130" i="5"/>
  <c r="BM135" i="5"/>
  <c r="BM124" i="5"/>
  <c r="BM108" i="5"/>
  <c r="BM43" i="5"/>
  <c r="BM24" i="5" s="1"/>
  <c r="BM10" i="5"/>
  <c r="BM40" i="5" s="1"/>
  <c r="BM217" i="5" s="1"/>
  <c r="BN4" i="5"/>
  <c r="BM118" i="5"/>
  <c r="BM114" i="5"/>
  <c r="BM119" i="5"/>
  <c r="BM134" i="5"/>
  <c r="BM152" i="5"/>
  <c r="BM110" i="5"/>
  <c r="BM204" i="5"/>
  <c r="BM11" i="5"/>
  <c r="BM49" i="5"/>
  <c r="BM48" i="5"/>
  <c r="BM206" i="5"/>
  <c r="BJ197" i="7"/>
  <c r="BJ37" i="7"/>
  <c r="BM68" i="5"/>
  <c r="BH199" i="7"/>
  <c r="BH26" i="7"/>
  <c r="BL33" i="5"/>
  <c r="BJ69" i="10"/>
  <c r="BK69" i="10" s="1"/>
  <c r="BH199" i="5"/>
  <c r="BH26" i="5"/>
  <c r="BH241" i="10"/>
  <c r="BL207" i="5"/>
  <c r="BK216" i="7"/>
  <c r="BF241" i="7"/>
  <c r="BJ83" i="7"/>
  <c r="BI41" i="7"/>
  <c r="BJ207" i="10"/>
  <c r="BK218" i="5"/>
  <c r="BK242" i="5" s="1"/>
  <c r="BK267" i="5"/>
  <c r="BJ83" i="5"/>
  <c r="BI41" i="5"/>
  <c r="BF241" i="5"/>
  <c r="BJ68" i="10"/>
  <c r="BK69" i="7"/>
  <c r="BL9" i="5"/>
  <c r="BL14" i="5" s="1"/>
  <c r="BK267" i="7"/>
  <c r="BK218" i="7"/>
  <c r="BK242" i="7" s="1"/>
  <c r="BH70" i="5"/>
  <c r="BI70" i="5" s="1"/>
  <c r="BL216" i="5"/>
  <c r="BH8" i="11"/>
  <c r="BH10" i="11" s="1"/>
  <c r="BH31" i="11" s="1"/>
  <c r="BH34" i="11" s="1"/>
  <c r="BI30" i="11" s="1"/>
  <c r="BH26" i="10"/>
  <c r="BH199" i="10"/>
  <c r="BJ83" i="10"/>
  <c r="BI41" i="10"/>
  <c r="BK33" i="7"/>
  <c r="BK5" i="11"/>
  <c r="BL5" i="10"/>
  <c r="BH70" i="10"/>
  <c r="BI70" i="10" s="1"/>
  <c r="BJ197" i="10" l="1"/>
  <c r="BJ37" i="10"/>
  <c r="BI8" i="11"/>
  <c r="BI10" i="11" s="1"/>
  <c r="BI31" i="11" s="1"/>
  <c r="BI34" i="11" s="1"/>
  <c r="BJ30" i="11" s="1"/>
  <c r="BI199" i="10"/>
  <c r="BI26" i="10"/>
  <c r="BK68" i="10"/>
  <c r="BN161" i="5"/>
  <c r="BN153" i="5"/>
  <c r="BN145" i="5"/>
  <c r="BN158" i="5"/>
  <c r="BN150" i="5"/>
  <c r="BN162" i="5"/>
  <c r="BN154" i="5"/>
  <c r="BN141" i="5"/>
  <c r="BN136" i="5"/>
  <c r="BN128" i="5"/>
  <c r="BN120" i="5"/>
  <c r="BN112" i="5"/>
  <c r="BN104" i="5"/>
  <c r="BN140" i="5"/>
  <c r="BN139" i="5"/>
  <c r="BN133" i="5"/>
  <c r="BN125" i="5"/>
  <c r="BN117" i="5"/>
  <c r="BN109" i="5"/>
  <c r="BN155" i="5"/>
  <c r="BN151" i="5"/>
  <c r="BN149" i="5"/>
  <c r="BN148" i="5"/>
  <c r="BN138" i="5"/>
  <c r="BN130" i="5"/>
  <c r="BN122" i="5"/>
  <c r="BN114" i="5"/>
  <c r="BN106" i="5"/>
  <c r="BN152" i="5"/>
  <c r="BN144" i="5"/>
  <c r="BN134" i="5"/>
  <c r="BN126" i="5"/>
  <c r="BN118" i="5"/>
  <c r="BN110" i="5"/>
  <c r="BN159" i="5"/>
  <c r="BN127" i="5"/>
  <c r="BN111" i="5"/>
  <c r="BN132" i="5"/>
  <c r="BN116" i="5"/>
  <c r="BN39" i="5"/>
  <c r="BN8" i="5"/>
  <c r="BN146" i="5"/>
  <c r="BN137" i="5"/>
  <c r="BN121" i="5"/>
  <c r="BN105" i="5"/>
  <c r="BO4" i="5"/>
  <c r="BN142" i="5"/>
  <c r="BN131" i="5"/>
  <c r="BN157" i="5"/>
  <c r="BN135" i="5"/>
  <c r="BN124" i="5"/>
  <c r="BN129" i="5"/>
  <c r="BN113" i="5"/>
  <c r="BN108" i="5"/>
  <c r="BN156" i="5"/>
  <c r="BN143" i="5"/>
  <c r="BN10" i="5"/>
  <c r="BN40" i="5" s="1"/>
  <c r="BN217" i="5" s="1"/>
  <c r="BN123" i="5"/>
  <c r="BN119" i="5"/>
  <c r="BN160" i="5"/>
  <c r="BN107" i="5"/>
  <c r="BN115" i="5"/>
  <c r="BN147" i="5"/>
  <c r="BN43" i="5"/>
  <c r="BN24" i="5" s="1"/>
  <c r="BN204" i="5"/>
  <c r="BN11" i="5"/>
  <c r="BN48" i="5"/>
  <c r="BN206" i="5"/>
  <c r="BN49" i="5"/>
  <c r="BM216" i="5"/>
  <c r="BM267" i="10"/>
  <c r="BN15" i="10"/>
  <c r="BM15" i="7"/>
  <c r="BM15" i="5"/>
  <c r="BM69" i="5"/>
  <c r="BG241" i="5"/>
  <c r="BL197" i="5"/>
  <c r="BL37" i="5"/>
  <c r="BK216" i="10"/>
  <c r="BM9" i="5"/>
  <c r="BM14" i="5" s="1"/>
  <c r="BI26" i="5"/>
  <c r="BI199" i="5"/>
  <c r="BM154" i="7"/>
  <c r="BM146" i="7"/>
  <c r="BM138" i="7"/>
  <c r="BM130" i="7"/>
  <c r="BM159" i="7"/>
  <c r="BM151" i="7"/>
  <c r="BM143" i="7"/>
  <c r="BM156" i="7"/>
  <c r="BM160" i="7"/>
  <c r="BM152" i="7"/>
  <c r="BM157" i="7"/>
  <c r="BM155" i="7"/>
  <c r="BM153" i="7"/>
  <c r="BM141" i="7"/>
  <c r="BM136" i="7"/>
  <c r="BM135" i="7"/>
  <c r="BM116" i="7"/>
  <c r="BM150" i="7"/>
  <c r="BM142" i="7"/>
  <c r="BM134" i="7"/>
  <c r="BM121" i="7"/>
  <c r="BM133" i="7"/>
  <c r="BM132" i="7"/>
  <c r="BM161" i="7"/>
  <c r="BM129" i="7"/>
  <c r="BM111" i="7"/>
  <c r="BM110" i="7"/>
  <c r="BM105" i="7"/>
  <c r="BN4" i="7"/>
  <c r="BM158" i="7"/>
  <c r="BM126" i="7"/>
  <c r="BM117" i="7"/>
  <c r="BM109" i="7"/>
  <c r="BM122" i="7"/>
  <c r="BM118" i="7"/>
  <c r="BM107" i="7"/>
  <c r="BM139" i="7"/>
  <c r="BM127" i="7"/>
  <c r="BM123" i="7"/>
  <c r="BM124" i="7"/>
  <c r="BM148" i="7"/>
  <c r="BM147" i="7"/>
  <c r="BM144" i="7"/>
  <c r="BM140" i="7"/>
  <c r="BM131" i="7"/>
  <c r="BM119" i="7"/>
  <c r="BM115" i="7"/>
  <c r="BM145" i="7"/>
  <c r="BM137" i="7"/>
  <c r="BM128" i="7"/>
  <c r="BM120" i="7"/>
  <c r="BM114" i="7"/>
  <c r="BM113" i="7"/>
  <c r="BM104" i="7"/>
  <c r="BM10" i="7"/>
  <c r="BM40" i="7" s="1"/>
  <c r="BM217" i="7" s="1"/>
  <c r="BM112" i="7"/>
  <c r="BM125" i="7"/>
  <c r="BM149" i="7"/>
  <c r="BM106" i="7"/>
  <c r="BM8" i="7"/>
  <c r="BM11" i="7"/>
  <c r="BM108" i="7"/>
  <c r="BM43" i="7"/>
  <c r="BM24" i="7" s="1"/>
  <c r="BM39" i="7"/>
  <c r="BM9" i="7"/>
  <c r="BM14" i="7" s="1"/>
  <c r="BM204" i="7"/>
  <c r="BM49" i="7"/>
  <c r="BM206" i="7"/>
  <c r="BM48" i="7"/>
  <c r="BL33" i="7"/>
  <c r="BL4" i="11"/>
  <c r="BL160" i="10"/>
  <c r="BL152" i="10"/>
  <c r="BL157" i="10"/>
  <c r="BL156" i="10"/>
  <c r="BL144" i="10"/>
  <c r="BL136" i="10"/>
  <c r="BL128" i="10"/>
  <c r="BL155" i="10"/>
  <c r="BL154" i="10"/>
  <c r="BL149" i="10"/>
  <c r="BL141" i="10"/>
  <c r="BL153" i="10"/>
  <c r="BL146" i="10"/>
  <c r="BL138" i="10"/>
  <c r="BL158" i="10"/>
  <c r="BL151" i="10"/>
  <c r="BL143" i="10"/>
  <c r="BL159" i="10"/>
  <c r="BL150" i="10"/>
  <c r="BL127" i="10"/>
  <c r="BL121" i="10"/>
  <c r="BL113" i="10"/>
  <c r="BL126" i="10"/>
  <c r="BL148" i="10"/>
  <c r="BL137" i="10"/>
  <c r="BL123" i="10"/>
  <c r="BL140" i="10"/>
  <c r="BL131" i="10"/>
  <c r="BL130" i="10"/>
  <c r="BL145" i="10"/>
  <c r="BL124" i="10"/>
  <c r="BL112" i="10"/>
  <c r="BL139" i="10"/>
  <c r="BL135" i="10"/>
  <c r="BL111" i="10"/>
  <c r="BL110" i="10"/>
  <c r="BL104" i="10"/>
  <c r="BL133" i="10"/>
  <c r="BL109" i="10"/>
  <c r="BL122" i="10"/>
  <c r="BL108" i="10"/>
  <c r="BL107" i="10"/>
  <c r="BL129" i="10"/>
  <c r="BL142" i="10"/>
  <c r="BL134" i="10"/>
  <c r="BL125" i="10"/>
  <c r="BL106" i="10"/>
  <c r="BL117" i="10"/>
  <c r="BL147" i="10"/>
  <c r="BL115" i="10"/>
  <c r="BL132" i="10"/>
  <c r="BL116" i="10"/>
  <c r="BL105" i="10"/>
  <c r="BL119" i="10"/>
  <c r="BL118" i="10"/>
  <c r="BL9" i="10"/>
  <c r="BL14" i="10" s="1"/>
  <c r="BL218" i="10" s="1"/>
  <c r="BL242" i="10" s="1"/>
  <c r="BL114" i="10"/>
  <c r="BL43" i="10"/>
  <c r="BL24" i="10" s="1"/>
  <c r="BL8" i="10"/>
  <c r="BL120" i="10"/>
  <c r="BL39" i="10"/>
  <c r="BL10" i="10"/>
  <c r="BL40" i="10" s="1"/>
  <c r="BL217" i="10" s="1"/>
  <c r="BL11" i="10"/>
  <c r="BM4" i="10"/>
  <c r="BL204" i="10"/>
  <c r="BL49" i="10"/>
  <c r="BL48" i="10"/>
  <c r="BL206" i="10"/>
  <c r="BK83" i="7"/>
  <c r="BJ41" i="7"/>
  <c r="BI241" i="10"/>
  <c r="BL267" i="5"/>
  <c r="BL218" i="5"/>
  <c r="BL242" i="5" s="1"/>
  <c r="BL207" i="7"/>
  <c r="BL9" i="7"/>
  <c r="BL14" i="7" s="1"/>
  <c r="BL218" i="7" s="1"/>
  <c r="BL242" i="7" s="1"/>
  <c r="BK207" i="10"/>
  <c r="BK83" i="10"/>
  <c r="BJ41" i="10"/>
  <c r="BI199" i="7"/>
  <c r="BI26" i="7"/>
  <c r="BJ70" i="10"/>
  <c r="B174" i="5"/>
  <c r="BL216" i="7"/>
  <c r="BL267" i="7"/>
  <c r="BK83" i="5"/>
  <c r="BJ41" i="5"/>
  <c r="BJ70" i="5" s="1"/>
  <c r="BN68" i="5"/>
  <c r="BL5" i="11"/>
  <c r="BM5" i="10"/>
  <c r="BL68" i="7"/>
  <c r="BG241" i="7"/>
  <c r="BM207" i="5"/>
  <c r="BK197" i="7"/>
  <c r="BK37" i="7"/>
  <c r="BL69" i="7"/>
  <c r="BM69" i="7" s="1"/>
  <c r="BM33" i="5"/>
  <c r="BK33" i="10"/>
  <c r="BM242" i="7" l="1"/>
  <c r="BL83" i="10"/>
  <c r="BK41" i="10"/>
  <c r="BN159" i="7"/>
  <c r="BN151" i="7"/>
  <c r="BN143" i="7"/>
  <c r="BN135" i="7"/>
  <c r="BN127" i="7"/>
  <c r="BN156" i="7"/>
  <c r="BN148" i="7"/>
  <c r="BN161" i="7"/>
  <c r="BN153" i="7"/>
  <c r="BN157" i="7"/>
  <c r="BN149" i="7"/>
  <c r="BN162" i="7"/>
  <c r="BN150" i="7"/>
  <c r="BN146" i="7"/>
  <c r="BN142" i="7"/>
  <c r="BN134" i="7"/>
  <c r="BN121" i="7"/>
  <c r="BN113" i="7"/>
  <c r="BN133" i="7"/>
  <c r="BN132" i="7"/>
  <c r="BN118" i="7"/>
  <c r="BN160" i="7"/>
  <c r="BN158" i="7"/>
  <c r="BN147" i="7"/>
  <c r="BN131" i="7"/>
  <c r="BN138" i="7"/>
  <c r="BN126" i="7"/>
  <c r="BN117" i="7"/>
  <c r="BN109" i="7"/>
  <c r="BN122" i="7"/>
  <c r="BN107" i="7"/>
  <c r="BN141" i="7"/>
  <c r="BN139" i="7"/>
  <c r="BN130" i="7"/>
  <c r="BN123" i="7"/>
  <c r="BN104" i="7"/>
  <c r="BN43" i="7"/>
  <c r="BN24" i="7" s="1"/>
  <c r="BN152" i="7"/>
  <c r="BN136" i="7"/>
  <c r="BN124" i="7"/>
  <c r="BN144" i="7"/>
  <c r="BN140" i="7"/>
  <c r="BN119" i="7"/>
  <c r="BN116" i="7"/>
  <c r="BN154" i="7"/>
  <c r="BN145" i="7"/>
  <c r="BN137" i="7"/>
  <c r="BN128" i="7"/>
  <c r="BN120" i="7"/>
  <c r="BN114" i="7"/>
  <c r="BN125" i="7"/>
  <c r="BN112" i="7"/>
  <c r="BN108" i="7"/>
  <c r="BN10" i="7"/>
  <c r="BN40" i="7" s="1"/>
  <c r="BN217" i="7" s="1"/>
  <c r="BN115" i="7"/>
  <c r="BO4" i="7"/>
  <c r="BN155" i="7"/>
  <c r="BN129" i="7"/>
  <c r="BN106" i="7"/>
  <c r="BN110" i="7"/>
  <c r="BN105" i="7"/>
  <c r="BN39" i="7"/>
  <c r="BN111" i="7"/>
  <c r="BN8" i="7"/>
  <c r="BN204" i="7"/>
  <c r="BN11" i="7"/>
  <c r="BN206" i="7"/>
  <c r="BN48" i="7"/>
  <c r="BN49" i="7"/>
  <c r="BM267" i="7"/>
  <c r="BM218" i="7"/>
  <c r="BL197" i="7"/>
  <c r="BL37" i="7"/>
  <c r="BM218" i="5"/>
  <c r="BM242" i="5" s="1"/>
  <c r="BM267" i="5"/>
  <c r="BL33" i="10"/>
  <c r="BK197" i="10"/>
  <c r="BK37" i="10"/>
  <c r="BJ241" i="10"/>
  <c r="BN267" i="10"/>
  <c r="BO15" i="10"/>
  <c r="BN15" i="7"/>
  <c r="BN15" i="5"/>
  <c r="BN33" i="5"/>
  <c r="BJ199" i="7"/>
  <c r="BJ26" i="7"/>
  <c r="BM4" i="11"/>
  <c r="BM157" i="10"/>
  <c r="BM159" i="10"/>
  <c r="BM155" i="10"/>
  <c r="BM154" i="10"/>
  <c r="BM149" i="10"/>
  <c r="BM141" i="10"/>
  <c r="BM133" i="10"/>
  <c r="BM153" i="10"/>
  <c r="BM146" i="10"/>
  <c r="BM138" i="10"/>
  <c r="BM158" i="10"/>
  <c r="BM152" i="10"/>
  <c r="BM151" i="10"/>
  <c r="BM143" i="10"/>
  <c r="BM160" i="10"/>
  <c r="BM148" i="10"/>
  <c r="BM126" i="10"/>
  <c r="BM118" i="10"/>
  <c r="BM110" i="10"/>
  <c r="BM156" i="10"/>
  <c r="BM144" i="10"/>
  <c r="BM137" i="10"/>
  <c r="BM123" i="10"/>
  <c r="BM139" i="10"/>
  <c r="BM136" i="10"/>
  <c r="BM135" i="10"/>
  <c r="BM120" i="10"/>
  <c r="BM145" i="10"/>
  <c r="BM129" i="10"/>
  <c r="BM124" i="10"/>
  <c r="BM150" i="10"/>
  <c r="BM128" i="10"/>
  <c r="BM111" i="10"/>
  <c r="BM104" i="10"/>
  <c r="BM109" i="10"/>
  <c r="BM161" i="10"/>
  <c r="BM122" i="10"/>
  <c r="BM108" i="10"/>
  <c r="BM107" i="10"/>
  <c r="BM131" i="10"/>
  <c r="BM119" i="10"/>
  <c r="BM106" i="10"/>
  <c r="BM127" i="10"/>
  <c r="BM142" i="10"/>
  <c r="BM134" i="10"/>
  <c r="BM147" i="10"/>
  <c r="BM132" i="10"/>
  <c r="BM121" i="10"/>
  <c r="BM117" i="10"/>
  <c r="BM115" i="10"/>
  <c r="BM43" i="10"/>
  <c r="BM24" i="10" s="1"/>
  <c r="BM140" i="10"/>
  <c r="BM125" i="10"/>
  <c r="BM114" i="10"/>
  <c r="BM130" i="10"/>
  <c r="BM8" i="10"/>
  <c r="BM113" i="10"/>
  <c r="BM116" i="10"/>
  <c r="BM105" i="10"/>
  <c r="BM112" i="10"/>
  <c r="BM11" i="10"/>
  <c r="BM39" i="10"/>
  <c r="BM10" i="10"/>
  <c r="BM40" i="10" s="1"/>
  <c r="BM217" i="10" s="1"/>
  <c r="BN4" i="10"/>
  <c r="BM204" i="10"/>
  <c r="BM49" i="10"/>
  <c r="BM48" i="10"/>
  <c r="BM206" i="10"/>
  <c r="BN216" i="5"/>
  <c r="BL69" i="10"/>
  <c r="BM69" i="10" s="1"/>
  <c r="BH241" i="5"/>
  <c r="BM5" i="11"/>
  <c r="BN5" i="10"/>
  <c r="BL83" i="7"/>
  <c r="BK41" i="7"/>
  <c r="BL207" i="10"/>
  <c r="BM207" i="7"/>
  <c r="BJ70" i="7"/>
  <c r="BO158" i="5"/>
  <c r="BO150" i="5"/>
  <c r="BO142" i="5"/>
  <c r="BO163" i="5"/>
  <c r="BO155" i="5"/>
  <c r="BO147" i="5"/>
  <c r="BO159" i="5"/>
  <c r="BO151" i="5"/>
  <c r="BO140" i="5"/>
  <c r="BO139" i="5"/>
  <c r="BO133" i="5"/>
  <c r="BO125" i="5"/>
  <c r="BO117" i="5"/>
  <c r="BO109" i="5"/>
  <c r="BO149" i="5"/>
  <c r="BO148" i="5"/>
  <c r="BO138" i="5"/>
  <c r="BO130" i="5"/>
  <c r="BO122" i="5"/>
  <c r="BO114" i="5"/>
  <c r="BO106" i="5"/>
  <c r="BO157" i="5"/>
  <c r="BO153" i="5"/>
  <c r="BO135" i="5"/>
  <c r="BO127" i="5"/>
  <c r="BO119" i="5"/>
  <c r="BO111" i="5"/>
  <c r="BO160" i="5"/>
  <c r="BO156" i="5"/>
  <c r="BO154" i="5"/>
  <c r="BO143" i="5"/>
  <c r="BO131" i="5"/>
  <c r="BO123" i="5"/>
  <c r="BO115" i="5"/>
  <c r="BO107" i="5"/>
  <c r="BO132" i="5"/>
  <c r="BO116" i="5"/>
  <c r="BO39" i="5"/>
  <c r="BO8" i="5"/>
  <c r="BO146" i="5"/>
  <c r="BO137" i="5"/>
  <c r="BO121" i="5"/>
  <c r="BO105" i="5"/>
  <c r="BP4" i="5"/>
  <c r="BO144" i="5"/>
  <c r="BO126" i="5"/>
  <c r="BO110" i="5"/>
  <c r="BO162" i="5"/>
  <c r="BO136" i="5"/>
  <c r="BO120" i="5"/>
  <c r="BO161" i="5"/>
  <c r="BO129" i="5"/>
  <c r="BO152" i="5"/>
  <c r="BO145" i="5"/>
  <c r="BO134" i="5"/>
  <c r="BO118" i="5"/>
  <c r="BO113" i="5"/>
  <c r="BO141" i="5"/>
  <c r="BO10" i="5"/>
  <c r="BO40" i="5" s="1"/>
  <c r="BO217" i="5" s="1"/>
  <c r="BO128" i="5"/>
  <c r="BO104" i="5"/>
  <c r="BO112" i="5"/>
  <c r="BO43" i="5"/>
  <c r="BO24" i="5" s="1"/>
  <c r="BO124" i="5"/>
  <c r="BO108" i="5"/>
  <c r="BO204" i="5"/>
  <c r="BO11" i="5"/>
  <c r="BO206" i="5"/>
  <c r="BO48" i="5"/>
  <c r="BO49" i="5"/>
  <c r="BL68" i="10"/>
  <c r="BJ26" i="5"/>
  <c r="BJ199" i="5"/>
  <c r="BN9" i="5"/>
  <c r="BN14" i="5" s="1"/>
  <c r="BL83" i="5"/>
  <c r="BK41" i="5"/>
  <c r="BM216" i="7"/>
  <c r="BH241" i="7"/>
  <c r="BM68" i="7"/>
  <c r="BN68" i="7" s="1"/>
  <c r="BM33" i="7"/>
  <c r="BN207" i="5"/>
  <c r="BM197" i="5"/>
  <c r="BM37" i="5"/>
  <c r="B175" i="5"/>
  <c r="BO68" i="5"/>
  <c r="BJ8" i="11"/>
  <c r="BJ10" i="11" s="1"/>
  <c r="BJ31" i="11" s="1"/>
  <c r="BJ34" i="11" s="1"/>
  <c r="BK30" i="11" s="1"/>
  <c r="BJ199" i="10"/>
  <c r="BJ26" i="10"/>
  <c r="BL216" i="10"/>
  <c r="BN69" i="5"/>
  <c r="BK199" i="5" l="1"/>
  <c r="BK26" i="5"/>
  <c r="BP163" i="5"/>
  <c r="BP155" i="5"/>
  <c r="BP147" i="5"/>
  <c r="BP139" i="5"/>
  <c r="BP160" i="5"/>
  <c r="BP152" i="5"/>
  <c r="BP164" i="5"/>
  <c r="BP156" i="5"/>
  <c r="BP149" i="5"/>
  <c r="BP148" i="5"/>
  <c r="BP138" i="5"/>
  <c r="BP130" i="5"/>
  <c r="BP122" i="5"/>
  <c r="BP114" i="5"/>
  <c r="BP106" i="5"/>
  <c r="BP157" i="5"/>
  <c r="BP153" i="5"/>
  <c r="BP151" i="5"/>
  <c r="BP135" i="5"/>
  <c r="BP127" i="5"/>
  <c r="BP119" i="5"/>
  <c r="BP111" i="5"/>
  <c r="BP161" i="5"/>
  <c r="BP159" i="5"/>
  <c r="BP132" i="5"/>
  <c r="BP124" i="5"/>
  <c r="BP116" i="5"/>
  <c r="BP108" i="5"/>
  <c r="BP162" i="5"/>
  <c r="BP158" i="5"/>
  <c r="BP142" i="5"/>
  <c r="BP141" i="5"/>
  <c r="BP136" i="5"/>
  <c r="BP128" i="5"/>
  <c r="BP120" i="5"/>
  <c r="BP112" i="5"/>
  <c r="BP104" i="5"/>
  <c r="BP146" i="5"/>
  <c r="BP137" i="5"/>
  <c r="BP121" i="5"/>
  <c r="BP105" i="5"/>
  <c r="BQ4" i="5"/>
  <c r="BP144" i="5"/>
  <c r="BP126" i="5"/>
  <c r="BP110" i="5"/>
  <c r="BP154" i="5"/>
  <c r="BP150" i="5"/>
  <c r="BP131" i="5"/>
  <c r="BP115" i="5"/>
  <c r="BP140" i="5"/>
  <c r="BP129" i="5"/>
  <c r="BP145" i="5"/>
  <c r="BP134" i="5"/>
  <c r="BP143" i="5"/>
  <c r="BP123" i="5"/>
  <c r="BP107" i="5"/>
  <c r="BP118" i="5"/>
  <c r="BP39" i="5"/>
  <c r="BP68" i="5" s="1"/>
  <c r="BP10" i="5"/>
  <c r="BP40" i="5" s="1"/>
  <c r="BP217" i="5" s="1"/>
  <c r="BP133" i="5"/>
  <c r="BP109" i="5"/>
  <c r="BP125" i="5"/>
  <c r="BP8" i="5"/>
  <c r="BP117" i="5"/>
  <c r="BP43" i="5"/>
  <c r="BP24" i="5" s="1"/>
  <c r="BP113" i="5"/>
  <c r="BP11" i="5"/>
  <c r="BP204" i="5"/>
  <c r="BP206" i="5"/>
  <c r="BP48" i="5"/>
  <c r="BP49" i="5"/>
  <c r="BN218" i="5"/>
  <c r="BN242" i="5" s="1"/>
  <c r="BN267" i="5"/>
  <c r="BI241" i="5"/>
  <c r="BM216" i="10"/>
  <c r="BN267" i="7"/>
  <c r="BO69" i="5"/>
  <c r="BN9" i="7"/>
  <c r="BN14" i="7" s="1"/>
  <c r="BN218" i="7" s="1"/>
  <c r="BN242" i="7" s="1"/>
  <c r="BM83" i="10"/>
  <c r="BL41" i="10"/>
  <c r="BN207" i="7"/>
  <c r="BK8" i="11"/>
  <c r="BK10" i="11" s="1"/>
  <c r="BK31" i="11" s="1"/>
  <c r="BK34" i="11" s="1"/>
  <c r="BL30" i="11" s="1"/>
  <c r="BK199" i="10"/>
  <c r="BK26" i="10"/>
  <c r="BM207" i="10"/>
  <c r="BO267" i="10"/>
  <c r="BP15" i="10"/>
  <c r="BO15" i="7"/>
  <c r="BO15" i="5"/>
  <c r="BM83" i="5"/>
  <c r="BL41" i="5"/>
  <c r="BO9" i="5"/>
  <c r="BO14" i="5" s="1"/>
  <c r="BO33" i="5"/>
  <c r="BM83" i="7"/>
  <c r="BL41" i="7"/>
  <c r="BN33" i="7"/>
  <c r="BN69" i="7"/>
  <c r="BM68" i="10"/>
  <c r="BL197" i="10"/>
  <c r="BL37" i="10"/>
  <c r="BM197" i="7"/>
  <c r="BM37" i="7"/>
  <c r="BO216" i="5"/>
  <c r="BK70" i="7"/>
  <c r="BL70" i="7" s="1"/>
  <c r="BN5" i="11"/>
  <c r="BO5" i="10"/>
  <c r="BM9" i="10"/>
  <c r="BM14" i="10" s="1"/>
  <c r="BM218" i="10" s="1"/>
  <c r="BM242" i="10" s="1"/>
  <c r="BK70" i="10"/>
  <c r="BL70" i="10" s="1"/>
  <c r="BK241" i="10"/>
  <c r="BO156" i="7"/>
  <c r="BO148" i="7"/>
  <c r="BO140" i="7"/>
  <c r="BO132" i="7"/>
  <c r="BO124" i="7"/>
  <c r="BO161" i="7"/>
  <c r="BO153" i="7"/>
  <c r="BO145" i="7"/>
  <c r="BO158" i="7"/>
  <c r="BO162" i="7"/>
  <c r="BO154" i="7"/>
  <c r="BO151" i="7"/>
  <c r="BO133" i="7"/>
  <c r="BO118" i="7"/>
  <c r="BO110" i="7"/>
  <c r="BO160" i="7"/>
  <c r="BO147" i="7"/>
  <c r="BO131" i="7"/>
  <c r="BO123" i="7"/>
  <c r="BO143" i="7"/>
  <c r="BO130" i="7"/>
  <c r="BO129" i="7"/>
  <c r="BO135" i="7"/>
  <c r="BO122" i="7"/>
  <c r="BO107" i="7"/>
  <c r="BO141" i="7"/>
  <c r="BO139" i="7"/>
  <c r="BO104" i="7"/>
  <c r="BO43" i="7"/>
  <c r="BO24" i="7" s="1"/>
  <c r="BO10" i="7"/>
  <c r="BO40" i="7" s="1"/>
  <c r="BO217" i="7" s="1"/>
  <c r="BO152" i="7"/>
  <c r="BO150" i="7"/>
  <c r="BO142" i="7"/>
  <c r="BO136" i="7"/>
  <c r="BO127" i="7"/>
  <c r="BO144" i="7"/>
  <c r="BO119" i="7"/>
  <c r="BO116" i="7"/>
  <c r="BO115" i="7"/>
  <c r="BO157" i="7"/>
  <c r="BO137" i="7"/>
  <c r="BO128" i="7"/>
  <c r="BO120" i="7"/>
  <c r="BO134" i="7"/>
  <c r="BO125" i="7"/>
  <c r="BO113" i="7"/>
  <c r="BO112" i="7"/>
  <c r="BO163" i="7"/>
  <c r="BO155" i="7"/>
  <c r="BO149" i="7"/>
  <c r="BO111" i="7"/>
  <c r="BO105" i="7"/>
  <c r="BO121" i="7"/>
  <c r="BO159" i="7"/>
  <c r="BO146" i="7"/>
  <c r="BP4" i="7"/>
  <c r="BO138" i="7"/>
  <c r="BO108" i="7"/>
  <c r="BO39" i="7"/>
  <c r="BO106" i="7"/>
  <c r="BO126" i="7"/>
  <c r="BO117" i="7"/>
  <c r="BO114" i="7"/>
  <c r="BO109" i="7"/>
  <c r="BO9" i="7"/>
  <c r="BO14" i="7" s="1"/>
  <c r="BO8" i="7"/>
  <c r="BO11" i="7"/>
  <c r="BO204" i="7"/>
  <c r="BO49" i="7"/>
  <c r="BO48" i="7"/>
  <c r="BO206" i="7"/>
  <c r="BK70" i="5"/>
  <c r="BL70" i="5" s="1"/>
  <c r="BK26" i="7"/>
  <c r="BK199" i="7"/>
  <c r="B176" i="5"/>
  <c r="BO68" i="7"/>
  <c r="BI241" i="7"/>
  <c r="BO207" i="5"/>
  <c r="BN4" i="11"/>
  <c r="BN162" i="10"/>
  <c r="BN154" i="10"/>
  <c r="BN159" i="10"/>
  <c r="BN153" i="10"/>
  <c r="BN146" i="10"/>
  <c r="BN138" i="10"/>
  <c r="BN130" i="10"/>
  <c r="BN158" i="10"/>
  <c r="BN152" i="10"/>
  <c r="BN151" i="10"/>
  <c r="BN143" i="10"/>
  <c r="BN160" i="10"/>
  <c r="BN148" i="10"/>
  <c r="BN140" i="10"/>
  <c r="BN145" i="10"/>
  <c r="BN156" i="10"/>
  <c r="BN144" i="10"/>
  <c r="BN137" i="10"/>
  <c r="BN123" i="10"/>
  <c r="BN115" i="10"/>
  <c r="BN107" i="10"/>
  <c r="BN157" i="10"/>
  <c r="BN149" i="10"/>
  <c r="BN139" i="10"/>
  <c r="BN136" i="10"/>
  <c r="BN135" i="10"/>
  <c r="BN120" i="10"/>
  <c r="BN142" i="10"/>
  <c r="BN141" i="10"/>
  <c r="BN134" i="10"/>
  <c r="BN125" i="10"/>
  <c r="BN150" i="10"/>
  <c r="BN128" i="10"/>
  <c r="BN127" i="10"/>
  <c r="BN121" i="10"/>
  <c r="BN110" i="10"/>
  <c r="BN109" i="10"/>
  <c r="BN161" i="10"/>
  <c r="BN133" i="10"/>
  <c r="BN122" i="10"/>
  <c r="BN108" i="10"/>
  <c r="BN131" i="10"/>
  <c r="BN119" i="10"/>
  <c r="BN106" i="10"/>
  <c r="BN155" i="10"/>
  <c r="BN129" i="10"/>
  <c r="BN118" i="10"/>
  <c r="BN117" i="10"/>
  <c r="BN147" i="10"/>
  <c r="BN132" i="10"/>
  <c r="BN104" i="10"/>
  <c r="BN43" i="10"/>
  <c r="BN24" i="10" s="1"/>
  <c r="BN113" i="10"/>
  <c r="BN112" i="10"/>
  <c r="BN8" i="10"/>
  <c r="BN114" i="10"/>
  <c r="BN126" i="10"/>
  <c r="BN124" i="10"/>
  <c r="BN116" i="10"/>
  <c r="BN105" i="10"/>
  <c r="BN9" i="10"/>
  <c r="BN14" i="10" s="1"/>
  <c r="BN218" i="10" s="1"/>
  <c r="BN111" i="10"/>
  <c r="BN11" i="10"/>
  <c r="BN39" i="10"/>
  <c r="BN10" i="10"/>
  <c r="BN40" i="10" s="1"/>
  <c r="BN217" i="10" s="1"/>
  <c r="BO4" i="10"/>
  <c r="BN204" i="10"/>
  <c r="BN48" i="10"/>
  <c r="BN206" i="10"/>
  <c r="BN49" i="10"/>
  <c r="BM33" i="10"/>
  <c r="BN197" i="5"/>
  <c r="BN37" i="5"/>
  <c r="BN216" i="7"/>
  <c r="BO197" i="5" l="1"/>
  <c r="BO37" i="5"/>
  <c r="BO4" i="11"/>
  <c r="BO159" i="10"/>
  <c r="BO151" i="10"/>
  <c r="BO161" i="10"/>
  <c r="BO158" i="10"/>
  <c r="BO152" i="10"/>
  <c r="BO143" i="10"/>
  <c r="BO135" i="10"/>
  <c r="BO127" i="10"/>
  <c r="BO162" i="10"/>
  <c r="BO160" i="10"/>
  <c r="BO148" i="10"/>
  <c r="BO140" i="10"/>
  <c r="BO145" i="10"/>
  <c r="BO150" i="10"/>
  <c r="BO142" i="10"/>
  <c r="BO157" i="10"/>
  <c r="BO149" i="10"/>
  <c r="BO139" i="10"/>
  <c r="BO136" i="10"/>
  <c r="BO120" i="10"/>
  <c r="BO112" i="10"/>
  <c r="BO163" i="10"/>
  <c r="BO154" i="10"/>
  <c r="BO141" i="10"/>
  <c r="BO134" i="10"/>
  <c r="BO125" i="10"/>
  <c r="BO147" i="10"/>
  <c r="BO133" i="10"/>
  <c r="BO132" i="10"/>
  <c r="BO122" i="10"/>
  <c r="BO126" i="10"/>
  <c r="BO156" i="10"/>
  <c r="BO137" i="10"/>
  <c r="BO123" i="10"/>
  <c r="BO108" i="10"/>
  <c r="BO131" i="10"/>
  <c r="BO119" i="10"/>
  <c r="BO107" i="10"/>
  <c r="BO106" i="10"/>
  <c r="BO155" i="10"/>
  <c r="BO129" i="10"/>
  <c r="BO118" i="10"/>
  <c r="BO117" i="10"/>
  <c r="BO146" i="10"/>
  <c r="BO138" i="10"/>
  <c r="BO121" i="10"/>
  <c r="BO116" i="10"/>
  <c r="BO105" i="10"/>
  <c r="BO144" i="10"/>
  <c r="BO130" i="10"/>
  <c r="BO128" i="10"/>
  <c r="BO115" i="10"/>
  <c r="BO43" i="10"/>
  <c r="BO24" i="10" s="1"/>
  <c r="BO113" i="10"/>
  <c r="BO124" i="10"/>
  <c r="BO111" i="10"/>
  <c r="BO153" i="10"/>
  <c r="BO114" i="10"/>
  <c r="BO110" i="10"/>
  <c r="BO104" i="10"/>
  <c r="BO11" i="10"/>
  <c r="BO109" i="10"/>
  <c r="BO39" i="10"/>
  <c r="BO10" i="10"/>
  <c r="BO40" i="10" s="1"/>
  <c r="BO217" i="10" s="1"/>
  <c r="BP4" i="10"/>
  <c r="BO8" i="10"/>
  <c r="BO9" i="10"/>
  <c r="BO14" i="10" s="1"/>
  <c r="BO218" i="10" s="1"/>
  <c r="BO204" i="10"/>
  <c r="BO49" i="10"/>
  <c r="BO48" i="10"/>
  <c r="BO206" i="10"/>
  <c r="BN216" i="10"/>
  <c r="BP68" i="7"/>
  <c r="BO33" i="7"/>
  <c r="BO5" i="11"/>
  <c r="BP5" i="10"/>
  <c r="BN83" i="5"/>
  <c r="BM41" i="5"/>
  <c r="BN83" i="10"/>
  <c r="BM41" i="10"/>
  <c r="BP161" i="7"/>
  <c r="BP153" i="7"/>
  <c r="BP145" i="7"/>
  <c r="BP137" i="7"/>
  <c r="BP129" i="7"/>
  <c r="BP158" i="7"/>
  <c r="BP150" i="7"/>
  <c r="BP142" i="7"/>
  <c r="BP163" i="7"/>
  <c r="BP155" i="7"/>
  <c r="BP159" i="7"/>
  <c r="BP151" i="7"/>
  <c r="BP156" i="7"/>
  <c r="BP149" i="7"/>
  <c r="BP164" i="7"/>
  <c r="BP160" i="7"/>
  <c r="BP147" i="7"/>
  <c r="BP132" i="7"/>
  <c r="BP131" i="7"/>
  <c r="BP123" i="7"/>
  <c r="BP115" i="7"/>
  <c r="BP162" i="7"/>
  <c r="BP143" i="7"/>
  <c r="BP130" i="7"/>
  <c r="BP120" i="7"/>
  <c r="BP144" i="7"/>
  <c r="BP128" i="7"/>
  <c r="BP141" i="7"/>
  <c r="BP139" i="7"/>
  <c r="BP104" i="7"/>
  <c r="BP43" i="7"/>
  <c r="BP24" i="7" s="1"/>
  <c r="BP10" i="7"/>
  <c r="BP40" i="7" s="1"/>
  <c r="BP217" i="7" s="1"/>
  <c r="BP152" i="7"/>
  <c r="BP136" i="7"/>
  <c r="BP127" i="7"/>
  <c r="BP118" i="7"/>
  <c r="BP133" i="7"/>
  <c r="BP124" i="7"/>
  <c r="BP119" i="7"/>
  <c r="BP116" i="7"/>
  <c r="BP106" i="7"/>
  <c r="BP157" i="7"/>
  <c r="BP140" i="7"/>
  <c r="BP154" i="7"/>
  <c r="BP148" i="7"/>
  <c r="BP134" i="7"/>
  <c r="BP125" i="7"/>
  <c r="BP146" i="7"/>
  <c r="BP138" i="7"/>
  <c r="BP126" i="7"/>
  <c r="BP121" i="7"/>
  <c r="BP117" i="7"/>
  <c r="BP110" i="7"/>
  <c r="BP109" i="7"/>
  <c r="BP122" i="7"/>
  <c r="BQ4" i="7"/>
  <c r="BP112" i="7"/>
  <c r="BP108" i="7"/>
  <c r="BP39" i="7"/>
  <c r="BP114" i="7"/>
  <c r="BP111" i="7"/>
  <c r="BP135" i="7"/>
  <c r="BP113" i="7"/>
  <c r="BP105" i="7"/>
  <c r="BP107" i="7"/>
  <c r="BP11" i="7"/>
  <c r="BP8" i="7"/>
  <c r="BP204" i="7"/>
  <c r="BP49" i="7"/>
  <c r="BP48" i="7"/>
  <c r="BP206" i="7"/>
  <c r="BL26" i="7"/>
  <c r="BL199" i="7"/>
  <c r="BO218" i="7"/>
  <c r="BO242" i="7" s="1"/>
  <c r="BO267" i="7"/>
  <c r="BP69" i="5"/>
  <c r="BQ69" i="5" s="1"/>
  <c r="BP216" i="5"/>
  <c r="BQ160" i="5"/>
  <c r="BQ152" i="5"/>
  <c r="BQ144" i="5"/>
  <c r="BQ165" i="5"/>
  <c r="BQ157" i="5"/>
  <c r="BQ149" i="5"/>
  <c r="BQ161" i="5"/>
  <c r="BQ153" i="5"/>
  <c r="BQ151" i="5"/>
  <c r="BQ135" i="5"/>
  <c r="BQ127" i="5"/>
  <c r="BQ119" i="5"/>
  <c r="BQ111" i="5"/>
  <c r="BQ159" i="5"/>
  <c r="BQ155" i="5"/>
  <c r="BQ132" i="5"/>
  <c r="BQ124" i="5"/>
  <c r="BQ116" i="5"/>
  <c r="BQ108" i="5"/>
  <c r="BQ163" i="5"/>
  <c r="BQ146" i="5"/>
  <c r="BQ137" i="5"/>
  <c r="BQ129" i="5"/>
  <c r="BQ121" i="5"/>
  <c r="BQ113" i="5"/>
  <c r="BQ105" i="5"/>
  <c r="BQ164" i="5"/>
  <c r="BQ147" i="5"/>
  <c r="BQ140" i="5"/>
  <c r="BQ133" i="5"/>
  <c r="BQ125" i="5"/>
  <c r="BQ117" i="5"/>
  <c r="BQ109" i="5"/>
  <c r="BQ126" i="5"/>
  <c r="BQ110" i="5"/>
  <c r="BQ154" i="5"/>
  <c r="BQ150" i="5"/>
  <c r="BQ131" i="5"/>
  <c r="BQ115" i="5"/>
  <c r="BQ162" i="5"/>
  <c r="BQ158" i="5"/>
  <c r="BQ142" i="5"/>
  <c r="BQ136" i="5"/>
  <c r="BQ120" i="5"/>
  <c r="BQ104" i="5"/>
  <c r="BQ43" i="5"/>
  <c r="BQ24" i="5" s="1"/>
  <c r="BQ10" i="5"/>
  <c r="BQ40" i="5" s="1"/>
  <c r="BQ217" i="5" s="1"/>
  <c r="BQ130" i="5"/>
  <c r="BQ145" i="5"/>
  <c r="BQ134" i="5"/>
  <c r="BQ143" i="5"/>
  <c r="BQ123" i="5"/>
  <c r="BQ156" i="5"/>
  <c r="BQ141" i="5"/>
  <c r="BQ128" i="5"/>
  <c r="BQ112" i="5"/>
  <c r="BQ39" i="5"/>
  <c r="BQ8" i="5"/>
  <c r="BQ138" i="5"/>
  <c r="BQ9" i="5"/>
  <c r="BQ14" i="5" s="1"/>
  <c r="BQ114" i="5"/>
  <c r="BQ106" i="5"/>
  <c r="BQ139" i="5"/>
  <c r="BQ148" i="5"/>
  <c r="BQ122" i="5"/>
  <c r="BQ107" i="5"/>
  <c r="BQ118" i="5"/>
  <c r="BR4" i="5"/>
  <c r="BQ11" i="5"/>
  <c r="BQ204" i="5"/>
  <c r="BQ48" i="5"/>
  <c r="BQ206" i="5"/>
  <c r="BQ49" i="5"/>
  <c r="BN33" i="10"/>
  <c r="BN197" i="7"/>
  <c r="BN37" i="7"/>
  <c r="BJ241" i="5"/>
  <c r="BP267" i="10"/>
  <c r="BQ15" i="10"/>
  <c r="BP15" i="7"/>
  <c r="BP15" i="5"/>
  <c r="BP33" i="5"/>
  <c r="BO218" i="5"/>
  <c r="BO242" i="5" s="1"/>
  <c r="BO267" i="5"/>
  <c r="BN207" i="10"/>
  <c r="B177" i="5"/>
  <c r="BL241" i="10"/>
  <c r="BN68" i="10"/>
  <c r="BO68" i="10" s="1"/>
  <c r="BO69" i="7"/>
  <c r="BN69" i="10"/>
  <c r="BO69" i="10" s="1"/>
  <c r="BP207" i="5"/>
  <c r="BN83" i="7"/>
  <c r="BM41" i="7"/>
  <c r="BJ241" i="7"/>
  <c r="BM197" i="10"/>
  <c r="BM37" i="10"/>
  <c r="BO207" i="7"/>
  <c r="BO216" i="7"/>
  <c r="BN242" i="10"/>
  <c r="BL26" i="5"/>
  <c r="BL199" i="5"/>
  <c r="BL8" i="11"/>
  <c r="BL10" i="11" s="1"/>
  <c r="BL31" i="11" s="1"/>
  <c r="BL34" i="11" s="1"/>
  <c r="BM30" i="11" s="1"/>
  <c r="BL199" i="10"/>
  <c r="BL26" i="10"/>
  <c r="BP9" i="5"/>
  <c r="BP14" i="5" s="1"/>
  <c r="BP33" i="7" l="1"/>
  <c r="BO83" i="10"/>
  <c r="BN41" i="10"/>
  <c r="BM199" i="5"/>
  <c r="BM26" i="5"/>
  <c r="BK241" i="7"/>
  <c r="B178" i="5"/>
  <c r="BM70" i="5"/>
  <c r="BN70" i="5" s="1"/>
  <c r="BM26" i="7"/>
  <c r="BM199" i="7"/>
  <c r="BP267" i="5"/>
  <c r="BP218" i="5"/>
  <c r="BP242" i="5" s="1"/>
  <c r="BM8" i="11"/>
  <c r="BM10" i="11" s="1"/>
  <c r="BM31" i="11" s="1"/>
  <c r="BM34" i="11" s="1"/>
  <c r="BN30" i="11" s="1"/>
  <c r="BM199" i="10"/>
  <c r="BM26" i="10"/>
  <c r="BQ68" i="7"/>
  <c r="BO207" i="10"/>
  <c r="BQ33" i="5"/>
  <c r="BP267" i="7"/>
  <c r="BP218" i="7"/>
  <c r="BP242" i="7" s="1"/>
  <c r="BQ216" i="5"/>
  <c r="BQ267" i="10"/>
  <c r="BR15" i="10"/>
  <c r="BQ15" i="7"/>
  <c r="BQ15" i="5"/>
  <c r="BP216" i="7"/>
  <c r="BM241" i="10"/>
  <c r="BO83" i="7"/>
  <c r="BN41" i="7"/>
  <c r="BQ68" i="5"/>
  <c r="BR68" i="5" s="1"/>
  <c r="BR165" i="5"/>
  <c r="BR157" i="5"/>
  <c r="BR149" i="5"/>
  <c r="BR141" i="5"/>
  <c r="BR162" i="5"/>
  <c r="BR154" i="5"/>
  <c r="BR166" i="5"/>
  <c r="BR158" i="5"/>
  <c r="BR150" i="5"/>
  <c r="BR159" i="5"/>
  <c r="BR155" i="5"/>
  <c r="BR153" i="5"/>
  <c r="BR132" i="5"/>
  <c r="BR124" i="5"/>
  <c r="BR116" i="5"/>
  <c r="BR108" i="5"/>
  <c r="BR163" i="5"/>
  <c r="BR161" i="5"/>
  <c r="BR146" i="5"/>
  <c r="BR137" i="5"/>
  <c r="BR129" i="5"/>
  <c r="BR121" i="5"/>
  <c r="BR113" i="5"/>
  <c r="BR105" i="5"/>
  <c r="BR145" i="5"/>
  <c r="BR134" i="5"/>
  <c r="BR126" i="5"/>
  <c r="BR118" i="5"/>
  <c r="BR110" i="5"/>
  <c r="BR148" i="5"/>
  <c r="BR139" i="5"/>
  <c r="BR138" i="5"/>
  <c r="BR130" i="5"/>
  <c r="BR122" i="5"/>
  <c r="BR114" i="5"/>
  <c r="BR106" i="5"/>
  <c r="BR144" i="5"/>
  <c r="BR131" i="5"/>
  <c r="BR115" i="5"/>
  <c r="BR10" i="5"/>
  <c r="BR40" i="5" s="1"/>
  <c r="BR217" i="5" s="1"/>
  <c r="BR142" i="5"/>
  <c r="BR136" i="5"/>
  <c r="BR120" i="5"/>
  <c r="BR104" i="5"/>
  <c r="BR43" i="5"/>
  <c r="BR24" i="5" s="1"/>
  <c r="BR140" i="5"/>
  <c r="BR125" i="5"/>
  <c r="BR109" i="5"/>
  <c r="BR135" i="5"/>
  <c r="BR119" i="5"/>
  <c r="BR143" i="5"/>
  <c r="BR156" i="5"/>
  <c r="BR152" i="5"/>
  <c r="BR128" i="5"/>
  <c r="BR164" i="5"/>
  <c r="BR160" i="5"/>
  <c r="BR147" i="5"/>
  <c r="BR133" i="5"/>
  <c r="BR117" i="5"/>
  <c r="BS4" i="5"/>
  <c r="BR151" i="5"/>
  <c r="BR127" i="5"/>
  <c r="BR123" i="5"/>
  <c r="BR111" i="5"/>
  <c r="BR8" i="5"/>
  <c r="BR9" i="5"/>
  <c r="BR14" i="5" s="1"/>
  <c r="BR107" i="5"/>
  <c r="BR112" i="5"/>
  <c r="BR39" i="5"/>
  <c r="BR11" i="5"/>
  <c r="BR204" i="5"/>
  <c r="BR48" i="5"/>
  <c r="BR206" i="5"/>
  <c r="BR49" i="5"/>
  <c r="BP5" i="11"/>
  <c r="BQ5" i="10"/>
  <c r="BP4" i="11"/>
  <c r="BP164" i="10"/>
  <c r="BP156" i="10"/>
  <c r="BP161" i="10"/>
  <c r="BP158" i="10"/>
  <c r="BP162" i="10"/>
  <c r="BP160" i="10"/>
  <c r="BP151" i="10"/>
  <c r="BP148" i="10"/>
  <c r="BP140" i="10"/>
  <c r="BP132" i="10"/>
  <c r="BP145" i="10"/>
  <c r="BP150" i="10"/>
  <c r="BP142" i="10"/>
  <c r="BP147" i="10"/>
  <c r="BP163" i="10"/>
  <c r="BP154" i="10"/>
  <c r="BP141" i="10"/>
  <c r="BP135" i="10"/>
  <c r="BP134" i="10"/>
  <c r="BP125" i="10"/>
  <c r="BP117" i="10"/>
  <c r="BP109" i="10"/>
  <c r="BP152" i="10"/>
  <c r="BP143" i="10"/>
  <c r="BP133" i="10"/>
  <c r="BP122" i="10"/>
  <c r="BP131" i="10"/>
  <c r="BP119" i="10"/>
  <c r="BP144" i="10"/>
  <c r="BP137" i="10"/>
  <c r="BP123" i="10"/>
  <c r="BP157" i="10"/>
  <c r="BP139" i="10"/>
  <c r="BP107" i="10"/>
  <c r="BP106" i="10"/>
  <c r="BP155" i="10"/>
  <c r="BP129" i="10"/>
  <c r="BP118" i="10"/>
  <c r="BP146" i="10"/>
  <c r="BP138" i="10"/>
  <c r="BP121" i="10"/>
  <c r="BP116" i="10"/>
  <c r="BP105" i="10"/>
  <c r="BP127" i="10"/>
  <c r="BP126" i="10"/>
  <c r="BP115" i="10"/>
  <c r="BP114" i="10"/>
  <c r="BP159" i="10"/>
  <c r="BP149" i="10"/>
  <c r="BP136" i="10"/>
  <c r="BP130" i="10"/>
  <c r="BP153" i="10"/>
  <c r="BP128" i="10"/>
  <c r="BP113" i="10"/>
  <c r="BP124" i="10"/>
  <c r="BP111" i="10"/>
  <c r="BP110" i="10"/>
  <c r="BP104" i="10"/>
  <c r="BP43" i="10"/>
  <c r="BP24" i="10" s="1"/>
  <c r="BP11" i="10"/>
  <c r="BP39" i="10"/>
  <c r="BP10" i="10"/>
  <c r="BP40" i="10" s="1"/>
  <c r="BP217" i="10" s="1"/>
  <c r="BP120" i="10"/>
  <c r="BP112" i="10"/>
  <c r="BP108" i="10"/>
  <c r="BP8" i="10"/>
  <c r="BQ4" i="10"/>
  <c r="BP204" i="10"/>
  <c r="BP48" i="10"/>
  <c r="BP49" i="10"/>
  <c r="BP206" i="10"/>
  <c r="BP9" i="7"/>
  <c r="BP14" i="7" s="1"/>
  <c r="BN197" i="10"/>
  <c r="BN37" i="10"/>
  <c r="BP207" i="7"/>
  <c r="BO33" i="10"/>
  <c r="BO242" i="10"/>
  <c r="BM70" i="10"/>
  <c r="BQ158" i="7"/>
  <c r="BQ150" i="7"/>
  <c r="BQ142" i="7"/>
  <c r="BQ134" i="7"/>
  <c r="BQ126" i="7"/>
  <c r="BQ163" i="7"/>
  <c r="BQ155" i="7"/>
  <c r="BQ147" i="7"/>
  <c r="BQ160" i="7"/>
  <c r="BQ152" i="7"/>
  <c r="BQ164" i="7"/>
  <c r="BQ156" i="7"/>
  <c r="BQ148" i="7"/>
  <c r="BQ161" i="7"/>
  <c r="BQ162" i="7"/>
  <c r="BQ151" i="7"/>
  <c r="BQ143" i="7"/>
  <c r="BQ130" i="7"/>
  <c r="BQ120" i="7"/>
  <c r="BQ112" i="7"/>
  <c r="BQ144" i="7"/>
  <c r="BQ129" i="7"/>
  <c r="BQ128" i="7"/>
  <c r="BQ117" i="7"/>
  <c r="BQ165" i="7"/>
  <c r="BQ154" i="7"/>
  <c r="BQ140" i="7"/>
  <c r="BQ139" i="7"/>
  <c r="BQ127" i="7"/>
  <c r="BQ159" i="7"/>
  <c r="BQ157" i="7"/>
  <c r="BQ136" i="7"/>
  <c r="BQ118" i="7"/>
  <c r="BQ133" i="7"/>
  <c r="BQ124" i="7"/>
  <c r="BQ123" i="7"/>
  <c r="BQ119" i="7"/>
  <c r="BQ116" i="7"/>
  <c r="BQ106" i="7"/>
  <c r="BQ115" i="7"/>
  <c r="BQ114" i="7"/>
  <c r="BQ137" i="7"/>
  <c r="BQ125" i="7"/>
  <c r="BQ153" i="7"/>
  <c r="BQ145" i="7"/>
  <c r="BQ131" i="7"/>
  <c r="BQ149" i="7"/>
  <c r="BQ146" i="7"/>
  <c r="BQ138" i="7"/>
  <c r="BQ121" i="7"/>
  <c r="BQ135" i="7"/>
  <c r="BQ122" i="7"/>
  <c r="BQ107" i="7"/>
  <c r="BQ108" i="7"/>
  <c r="BQ39" i="7"/>
  <c r="BQ141" i="7"/>
  <c r="BQ111" i="7"/>
  <c r="BQ109" i="7"/>
  <c r="BQ8" i="7"/>
  <c r="BQ132" i="7"/>
  <c r="BQ113" i="7"/>
  <c r="BQ105" i="7"/>
  <c r="BQ110" i="7"/>
  <c r="BQ104" i="7"/>
  <c r="BQ43" i="7"/>
  <c r="BQ24" i="7" s="1"/>
  <c r="BQ10" i="7"/>
  <c r="BQ40" i="7" s="1"/>
  <c r="BQ217" i="7" s="1"/>
  <c r="BR4" i="7"/>
  <c r="BQ204" i="7"/>
  <c r="BQ11" i="7"/>
  <c r="BQ48" i="7"/>
  <c r="BQ206" i="7"/>
  <c r="BQ49" i="7"/>
  <c r="BM70" i="7"/>
  <c r="BN70" i="7" s="1"/>
  <c r="BQ207" i="5"/>
  <c r="BO83" i="5"/>
  <c r="BN41" i="5"/>
  <c r="BP69" i="7"/>
  <c r="BQ69" i="7" s="1"/>
  <c r="BP197" i="5"/>
  <c r="BP37" i="5"/>
  <c r="BK241" i="5"/>
  <c r="BO197" i="7"/>
  <c r="BO37" i="7"/>
  <c r="BO216" i="10"/>
  <c r="BR68" i="7" l="1"/>
  <c r="BQ267" i="5"/>
  <c r="BQ218" i="5"/>
  <c r="BQ242" i="5" s="1"/>
  <c r="B179" i="5"/>
  <c r="BN199" i="5"/>
  <c r="BN26" i="5"/>
  <c r="BQ9" i="7"/>
  <c r="BQ14" i="7" s="1"/>
  <c r="BO197" i="10"/>
  <c r="BO37" i="10"/>
  <c r="BQ33" i="7"/>
  <c r="BP216" i="10"/>
  <c r="BQ5" i="11"/>
  <c r="BR5" i="10"/>
  <c r="BR33" i="5"/>
  <c r="BN199" i="7"/>
  <c r="BN26" i="7"/>
  <c r="BQ267" i="7"/>
  <c r="BQ218" i="7"/>
  <c r="BQ242" i="7" s="1"/>
  <c r="BP68" i="10"/>
  <c r="BQ68" i="10" s="1"/>
  <c r="BP197" i="7"/>
  <c r="BP37" i="7"/>
  <c r="BS162" i="5"/>
  <c r="BS154" i="5"/>
  <c r="BS146" i="5"/>
  <c r="BS167" i="5"/>
  <c r="BS159" i="5"/>
  <c r="BS151" i="5"/>
  <c r="BS163" i="5"/>
  <c r="BS155" i="5"/>
  <c r="BS161" i="5"/>
  <c r="BS157" i="5"/>
  <c r="BS137" i="5"/>
  <c r="BS129" i="5"/>
  <c r="BS121" i="5"/>
  <c r="BS113" i="5"/>
  <c r="BS105" i="5"/>
  <c r="BS165" i="5"/>
  <c r="BS145" i="5"/>
  <c r="BS134" i="5"/>
  <c r="BS126" i="5"/>
  <c r="BS118" i="5"/>
  <c r="BS110" i="5"/>
  <c r="BS144" i="5"/>
  <c r="BS143" i="5"/>
  <c r="BS131" i="5"/>
  <c r="BS123" i="5"/>
  <c r="BS115" i="5"/>
  <c r="BS107" i="5"/>
  <c r="BS135" i="5"/>
  <c r="BS127" i="5"/>
  <c r="BS119" i="5"/>
  <c r="BS111" i="5"/>
  <c r="BS150" i="5"/>
  <c r="BS142" i="5"/>
  <c r="BS136" i="5"/>
  <c r="BS120" i="5"/>
  <c r="BS104" i="5"/>
  <c r="BS43" i="5"/>
  <c r="BS24" i="5" s="1"/>
  <c r="BS10" i="5"/>
  <c r="BS40" i="5" s="1"/>
  <c r="BS217" i="5" s="1"/>
  <c r="BS158" i="5"/>
  <c r="BS140" i="5"/>
  <c r="BS125" i="5"/>
  <c r="BS109" i="5"/>
  <c r="BS166" i="5"/>
  <c r="BS130" i="5"/>
  <c r="BS114" i="5"/>
  <c r="BS9" i="5"/>
  <c r="BS14" i="5" s="1"/>
  <c r="BS153" i="5"/>
  <c r="BS149" i="5"/>
  <c r="BS124" i="5"/>
  <c r="BS156" i="5"/>
  <c r="BS152" i="5"/>
  <c r="BS128" i="5"/>
  <c r="BS164" i="5"/>
  <c r="BS160" i="5"/>
  <c r="BS147" i="5"/>
  <c r="BS141" i="5"/>
  <c r="BS133" i="5"/>
  <c r="BS148" i="5"/>
  <c r="BS139" i="5"/>
  <c r="BS138" i="5"/>
  <c r="BS122" i="5"/>
  <c r="BS106" i="5"/>
  <c r="BS116" i="5"/>
  <c r="BS112" i="5"/>
  <c r="BS8" i="5"/>
  <c r="BS117" i="5"/>
  <c r="BS108" i="5"/>
  <c r="BS39" i="5"/>
  <c r="BS68" i="5" s="1"/>
  <c r="BT4" i="5"/>
  <c r="BS132" i="5"/>
  <c r="BS204" i="5"/>
  <c r="BS11" i="5"/>
  <c r="BS206" i="5"/>
  <c r="BS49" i="5"/>
  <c r="BS48" i="5"/>
  <c r="BN8" i="11"/>
  <c r="BN10" i="11" s="1"/>
  <c r="BN31" i="11" s="1"/>
  <c r="BN34" i="11" s="1"/>
  <c r="BO30" i="11" s="1"/>
  <c r="BN199" i="10"/>
  <c r="BN26" i="10"/>
  <c r="BP83" i="10"/>
  <c r="BO41" i="10"/>
  <c r="BP69" i="10"/>
  <c r="BP9" i="10"/>
  <c r="BP14" i="10" s="1"/>
  <c r="BP218" i="10" s="1"/>
  <c r="BP242" i="10" s="1"/>
  <c r="BR267" i="10"/>
  <c r="BS15" i="10"/>
  <c r="BR15" i="7"/>
  <c r="BR15" i="5"/>
  <c r="BN70" i="10"/>
  <c r="BO70" i="10" s="1"/>
  <c r="BQ4" i="11"/>
  <c r="BQ161" i="10"/>
  <c r="BQ153" i="10"/>
  <c r="BQ158" i="10"/>
  <c r="BQ163" i="10"/>
  <c r="BQ162" i="10"/>
  <c r="BQ145" i="10"/>
  <c r="BQ137" i="10"/>
  <c r="BQ129" i="10"/>
  <c r="BQ150" i="10"/>
  <c r="BQ142" i="10"/>
  <c r="BQ147" i="10"/>
  <c r="BQ139" i="10"/>
  <c r="BQ165" i="10"/>
  <c r="BQ144" i="10"/>
  <c r="BQ152" i="10"/>
  <c r="BQ143" i="10"/>
  <c r="BQ133" i="10"/>
  <c r="BQ122" i="10"/>
  <c r="BQ114" i="10"/>
  <c r="BQ106" i="10"/>
  <c r="BQ148" i="10"/>
  <c r="BQ132" i="10"/>
  <c r="BQ131" i="10"/>
  <c r="BQ119" i="10"/>
  <c r="BQ155" i="10"/>
  <c r="BQ130" i="10"/>
  <c r="BQ124" i="10"/>
  <c r="BQ159" i="10"/>
  <c r="BQ157" i="10"/>
  <c r="BQ156" i="10"/>
  <c r="BQ149" i="10"/>
  <c r="BQ136" i="10"/>
  <c r="BQ120" i="10"/>
  <c r="BQ135" i="10"/>
  <c r="BQ118" i="10"/>
  <c r="BQ164" i="10"/>
  <c r="BQ146" i="10"/>
  <c r="BQ138" i="10"/>
  <c r="BQ121" i="10"/>
  <c r="BQ117" i="10"/>
  <c r="BQ116" i="10"/>
  <c r="BQ105" i="10"/>
  <c r="BQ127" i="10"/>
  <c r="BQ126" i="10"/>
  <c r="BQ115" i="10"/>
  <c r="BQ151" i="10"/>
  <c r="BQ113" i="10"/>
  <c r="BQ154" i="10"/>
  <c r="BQ141" i="10"/>
  <c r="BQ134" i="10"/>
  <c r="BQ128" i="10"/>
  <c r="BQ140" i="10"/>
  <c r="BQ111" i="10"/>
  <c r="BQ109" i="10"/>
  <c r="BQ160" i="10"/>
  <c r="BQ108" i="10"/>
  <c r="BQ43" i="10"/>
  <c r="BQ24" i="10" s="1"/>
  <c r="BQ11" i="10"/>
  <c r="BQ125" i="10"/>
  <c r="BQ110" i="10"/>
  <c r="BQ104" i="10"/>
  <c r="BQ39" i="10"/>
  <c r="BQ10" i="10"/>
  <c r="BQ40" i="10" s="1"/>
  <c r="BQ217" i="10" s="1"/>
  <c r="BQ112" i="10"/>
  <c r="BQ123" i="10"/>
  <c r="BQ107" i="10"/>
  <c r="BR4" i="10"/>
  <c r="BQ8" i="10"/>
  <c r="BQ204" i="10"/>
  <c r="BQ49" i="10"/>
  <c r="BQ206" i="10"/>
  <c r="BQ48" i="10"/>
  <c r="BR207" i="5"/>
  <c r="BL241" i="7"/>
  <c r="BR163" i="7"/>
  <c r="BR155" i="7"/>
  <c r="BR147" i="7"/>
  <c r="BR139" i="7"/>
  <c r="BR131" i="7"/>
  <c r="BR160" i="7"/>
  <c r="BR152" i="7"/>
  <c r="BR144" i="7"/>
  <c r="BR165" i="7"/>
  <c r="BR157" i="7"/>
  <c r="BR161" i="7"/>
  <c r="BR153" i="7"/>
  <c r="BR166" i="7"/>
  <c r="BR129" i="7"/>
  <c r="BR128" i="7"/>
  <c r="BR117" i="7"/>
  <c r="BR109" i="7"/>
  <c r="BR158" i="7"/>
  <c r="BR154" i="7"/>
  <c r="BR140" i="7"/>
  <c r="BR127" i="7"/>
  <c r="BR122" i="7"/>
  <c r="BR156" i="7"/>
  <c r="BR138" i="7"/>
  <c r="BR126" i="7"/>
  <c r="BR125" i="7"/>
  <c r="BR162" i="7"/>
  <c r="BR133" i="7"/>
  <c r="BR124" i="7"/>
  <c r="BR123" i="7"/>
  <c r="BR119" i="7"/>
  <c r="BR116" i="7"/>
  <c r="BR106" i="7"/>
  <c r="BR9" i="7"/>
  <c r="BR14" i="7" s="1"/>
  <c r="BR151" i="7"/>
  <c r="BR150" i="7"/>
  <c r="BR142" i="7"/>
  <c r="BR130" i="7"/>
  <c r="BR115" i="7"/>
  <c r="BR114" i="7"/>
  <c r="BR143" i="7"/>
  <c r="BR137" i="7"/>
  <c r="BR113" i="7"/>
  <c r="BR108" i="7"/>
  <c r="BR148" i="7"/>
  <c r="BR145" i="7"/>
  <c r="BR134" i="7"/>
  <c r="BR120" i="7"/>
  <c r="BR164" i="7"/>
  <c r="BR149" i="7"/>
  <c r="BR146" i="7"/>
  <c r="BR121" i="7"/>
  <c r="BR135" i="7"/>
  <c r="BR159" i="7"/>
  <c r="BR141" i="7"/>
  <c r="BR132" i="7"/>
  <c r="BR104" i="7"/>
  <c r="BR43" i="7"/>
  <c r="BR24" i="7" s="1"/>
  <c r="BR112" i="7"/>
  <c r="BR111" i="7"/>
  <c r="BR8" i="7"/>
  <c r="BR107" i="7"/>
  <c r="BR105" i="7"/>
  <c r="BR136" i="7"/>
  <c r="BR110" i="7"/>
  <c r="BR10" i="7"/>
  <c r="BR40" i="7" s="1"/>
  <c r="BR217" i="7" s="1"/>
  <c r="BS4" i="7"/>
  <c r="BR118" i="7"/>
  <c r="BR39" i="7"/>
  <c r="BR11" i="7"/>
  <c r="BR204" i="7"/>
  <c r="BR206" i="7"/>
  <c r="BR49" i="7"/>
  <c r="BR48" i="7"/>
  <c r="BP207" i="10"/>
  <c r="BP83" i="7"/>
  <c r="BO41" i="7"/>
  <c r="BL241" i="5"/>
  <c r="BP83" i="5"/>
  <c r="BO41" i="5"/>
  <c r="BQ216" i="7"/>
  <c r="BQ207" i="7"/>
  <c r="BP33" i="10"/>
  <c r="BR69" i="5"/>
  <c r="BS69" i="5" s="1"/>
  <c r="BR216" i="5"/>
  <c r="BN241" i="10"/>
  <c r="BQ197" i="5"/>
  <c r="BQ37" i="5"/>
  <c r="BO34" i="11" l="1"/>
  <c r="BP30" i="11" s="1"/>
  <c r="BQ83" i="7"/>
  <c r="BP41" i="7"/>
  <c r="BM241" i="7"/>
  <c r="BO8" i="11"/>
  <c r="BO10" i="11" s="1"/>
  <c r="BO31" i="11" s="1"/>
  <c r="BO26" i="10"/>
  <c r="BO199" i="10"/>
  <c r="BO199" i="5"/>
  <c r="BO26" i="5"/>
  <c r="BR216" i="7"/>
  <c r="BO241" i="10"/>
  <c r="BO199" i="7"/>
  <c r="BO26" i="7"/>
  <c r="BS207" i="5"/>
  <c r="BR197" i="5"/>
  <c r="BR37" i="5"/>
  <c r="BO70" i="7"/>
  <c r="BR5" i="11"/>
  <c r="BS5" i="10"/>
  <c r="BQ216" i="10"/>
  <c r="BQ83" i="5"/>
  <c r="BP41" i="5"/>
  <c r="BR4" i="11"/>
  <c r="BR166" i="10"/>
  <c r="BR158" i="10"/>
  <c r="BR163" i="10"/>
  <c r="BR160" i="10"/>
  <c r="BR164" i="10"/>
  <c r="BR150" i="10"/>
  <c r="BR142" i="10"/>
  <c r="BR134" i="10"/>
  <c r="BR147" i="10"/>
  <c r="BR139" i="10"/>
  <c r="BR165" i="10"/>
  <c r="BR144" i="10"/>
  <c r="BR159" i="10"/>
  <c r="BR157" i="10"/>
  <c r="BR156" i="10"/>
  <c r="BR155" i="10"/>
  <c r="BR149" i="10"/>
  <c r="BR148" i="10"/>
  <c r="BR132" i="10"/>
  <c r="BR131" i="10"/>
  <c r="BR119" i="10"/>
  <c r="BR111" i="10"/>
  <c r="BR130" i="10"/>
  <c r="BR124" i="10"/>
  <c r="BR161" i="10"/>
  <c r="BR146" i="10"/>
  <c r="BR138" i="10"/>
  <c r="BR129" i="10"/>
  <c r="BR128" i="10"/>
  <c r="BR121" i="10"/>
  <c r="BR154" i="10"/>
  <c r="BR141" i="10"/>
  <c r="BR135" i="10"/>
  <c r="BR125" i="10"/>
  <c r="BR152" i="10"/>
  <c r="BR143" i="10"/>
  <c r="BR133" i="10"/>
  <c r="BR122" i="10"/>
  <c r="BR117" i="10"/>
  <c r="BR116" i="10"/>
  <c r="BR105" i="10"/>
  <c r="BR127" i="10"/>
  <c r="BR126" i="10"/>
  <c r="BR115" i="10"/>
  <c r="BR151" i="10"/>
  <c r="BR114" i="10"/>
  <c r="BR113" i="10"/>
  <c r="BR136" i="10"/>
  <c r="BR120" i="10"/>
  <c r="BR112" i="10"/>
  <c r="BR104" i="10"/>
  <c r="BR153" i="10"/>
  <c r="BR140" i="10"/>
  <c r="BR109" i="10"/>
  <c r="BR162" i="10"/>
  <c r="BR107" i="10"/>
  <c r="BR123" i="10"/>
  <c r="BR110" i="10"/>
  <c r="BR39" i="10"/>
  <c r="BR68" i="10" s="1"/>
  <c r="BR10" i="10"/>
  <c r="BR40" i="10" s="1"/>
  <c r="BR217" i="10" s="1"/>
  <c r="BR145" i="10"/>
  <c r="BR106" i="10"/>
  <c r="BR9" i="10"/>
  <c r="BR14" i="10" s="1"/>
  <c r="BR218" i="10" s="1"/>
  <c r="BR137" i="10"/>
  <c r="BR108" i="10"/>
  <c r="BR118" i="10"/>
  <c r="BR8" i="10"/>
  <c r="BS4" i="10"/>
  <c r="BR11" i="10"/>
  <c r="BR43" i="10"/>
  <c r="BR24" i="10" s="1"/>
  <c r="BR204" i="10"/>
  <c r="BR49" i="10"/>
  <c r="BR48" i="10"/>
  <c r="BR206" i="10"/>
  <c r="BO70" i="5"/>
  <c r="BP70" i="5" s="1"/>
  <c r="BQ69" i="10"/>
  <c r="BR69" i="10" s="1"/>
  <c r="BR267" i="5"/>
  <c r="BR218" i="5"/>
  <c r="BR242" i="5" s="1"/>
  <c r="BT167" i="5"/>
  <c r="BT159" i="5"/>
  <c r="BT151" i="5"/>
  <c r="BT143" i="5"/>
  <c r="BT164" i="5"/>
  <c r="BT156" i="5"/>
  <c r="BT148" i="5"/>
  <c r="BT168" i="5"/>
  <c r="BT160" i="5"/>
  <c r="BT152" i="5"/>
  <c r="BT165" i="5"/>
  <c r="BT163" i="5"/>
  <c r="BT146" i="5"/>
  <c r="BT145" i="5"/>
  <c r="BT134" i="5"/>
  <c r="BT126" i="5"/>
  <c r="BT118" i="5"/>
  <c r="BT110" i="5"/>
  <c r="BT144" i="5"/>
  <c r="BT131" i="5"/>
  <c r="BT123" i="5"/>
  <c r="BT115" i="5"/>
  <c r="BT107" i="5"/>
  <c r="BT150" i="5"/>
  <c r="BT142" i="5"/>
  <c r="BT136" i="5"/>
  <c r="BT128" i="5"/>
  <c r="BT120" i="5"/>
  <c r="BT112" i="5"/>
  <c r="BT104" i="5"/>
  <c r="BT153" i="5"/>
  <c r="BT149" i="5"/>
  <c r="BT132" i="5"/>
  <c r="BT124" i="5"/>
  <c r="BT116" i="5"/>
  <c r="BT108" i="5"/>
  <c r="BT158" i="5"/>
  <c r="BT154" i="5"/>
  <c r="BT140" i="5"/>
  <c r="BT125" i="5"/>
  <c r="BT109" i="5"/>
  <c r="BT166" i="5"/>
  <c r="BT162" i="5"/>
  <c r="BT130" i="5"/>
  <c r="BT114" i="5"/>
  <c r="BT135" i="5"/>
  <c r="BT119" i="5"/>
  <c r="BT161" i="5"/>
  <c r="BT157" i="5"/>
  <c r="BT129" i="5"/>
  <c r="BT147" i="5"/>
  <c r="BT141" i="5"/>
  <c r="BT133" i="5"/>
  <c r="BT139" i="5"/>
  <c r="BT138" i="5"/>
  <c r="BT122" i="5"/>
  <c r="BT127" i="5"/>
  <c r="BT111" i="5"/>
  <c r="BT10" i="5"/>
  <c r="BT40" i="5" s="1"/>
  <c r="BT217" i="5" s="1"/>
  <c r="BT106" i="5"/>
  <c r="BT8" i="5"/>
  <c r="BT117" i="5"/>
  <c r="BT43" i="5"/>
  <c r="BT24" i="5" s="1"/>
  <c r="BT155" i="5"/>
  <c r="BT137" i="5"/>
  <c r="BT39" i="5"/>
  <c r="BT68" i="5" s="1"/>
  <c r="BU4" i="5"/>
  <c r="BT121" i="5"/>
  <c r="BT113" i="5"/>
  <c r="BT105" i="5"/>
  <c r="BT11" i="5"/>
  <c r="BT204" i="5"/>
  <c r="BT206" i="5"/>
  <c r="BT48" i="5"/>
  <c r="BT49" i="5"/>
  <c r="BS68" i="7"/>
  <c r="BR33" i="7"/>
  <c r="BQ83" i="10"/>
  <c r="BP41" i="10"/>
  <c r="BS160" i="7"/>
  <c r="BS152" i="7"/>
  <c r="BS144" i="7"/>
  <c r="BS136" i="7"/>
  <c r="BS128" i="7"/>
  <c r="BS165" i="7"/>
  <c r="BS157" i="7"/>
  <c r="BS149" i="7"/>
  <c r="BS141" i="7"/>
  <c r="BS162" i="7"/>
  <c r="BS154" i="7"/>
  <c r="BS166" i="7"/>
  <c r="BS158" i="7"/>
  <c r="BS150" i="7"/>
  <c r="BS155" i="7"/>
  <c r="BS140" i="7"/>
  <c r="BS127" i="7"/>
  <c r="BS122" i="7"/>
  <c r="BS114" i="7"/>
  <c r="BS167" i="7"/>
  <c r="BS156" i="7"/>
  <c r="BS139" i="7"/>
  <c r="BS138" i="7"/>
  <c r="BS126" i="7"/>
  <c r="BS125" i="7"/>
  <c r="BS119" i="7"/>
  <c r="BS145" i="7"/>
  <c r="BS137" i="7"/>
  <c r="BS124" i="7"/>
  <c r="BS151" i="7"/>
  <c r="BS142" i="7"/>
  <c r="BS130" i="7"/>
  <c r="BS115" i="7"/>
  <c r="BS143" i="7"/>
  <c r="BS113" i="7"/>
  <c r="BS108" i="7"/>
  <c r="BS39" i="7"/>
  <c r="BS8" i="7"/>
  <c r="BS161" i="7"/>
  <c r="BS148" i="7"/>
  <c r="BS134" i="7"/>
  <c r="BS120" i="7"/>
  <c r="BS112" i="7"/>
  <c r="BS111" i="7"/>
  <c r="BS105" i="7"/>
  <c r="BS164" i="7"/>
  <c r="BS153" i="7"/>
  <c r="BS146" i="7"/>
  <c r="BS131" i="7"/>
  <c r="BS121" i="7"/>
  <c r="BS147" i="7"/>
  <c r="BS135" i="7"/>
  <c r="BS163" i="7"/>
  <c r="BS159" i="7"/>
  <c r="BS132" i="7"/>
  <c r="BS117" i="7"/>
  <c r="BS129" i="7"/>
  <c r="BS118" i="7"/>
  <c r="BS123" i="7"/>
  <c r="BS109" i="7"/>
  <c r="BS107" i="7"/>
  <c r="BS43" i="7"/>
  <c r="BS24" i="7" s="1"/>
  <c r="BS110" i="7"/>
  <c r="BS133" i="7"/>
  <c r="BS104" i="7"/>
  <c r="BS116" i="7"/>
  <c r="BS106" i="7"/>
  <c r="BT4" i="7"/>
  <c r="BS10" i="7"/>
  <c r="BS40" i="7" s="1"/>
  <c r="BS217" i="7" s="1"/>
  <c r="BS11" i="7"/>
  <c r="BS204" i="7"/>
  <c r="BS206" i="7"/>
  <c r="BS48" i="7"/>
  <c r="BS49" i="7"/>
  <c r="BS267" i="10"/>
  <c r="BT15" i="10"/>
  <c r="BS15" i="7"/>
  <c r="BS15" i="5"/>
  <c r="BR207" i="7"/>
  <c r="BQ33" i="10"/>
  <c r="BQ9" i="10"/>
  <c r="BQ14" i="10" s="1"/>
  <c r="BQ218" i="10" s="1"/>
  <c r="BQ242" i="10" s="1"/>
  <c r="BR242" i="10" s="1"/>
  <c r="BR267" i="7"/>
  <c r="BR218" i="7"/>
  <c r="BR242" i="7" s="1"/>
  <c r="BS216" i="5"/>
  <c r="BP197" i="10"/>
  <c r="BP37" i="10"/>
  <c r="BM241" i="5"/>
  <c r="BQ207" i="10"/>
  <c r="BR69" i="7"/>
  <c r="BS69" i="7" s="1"/>
  <c r="BS33" i="5"/>
  <c r="BQ197" i="7"/>
  <c r="BQ37" i="7"/>
  <c r="B180" i="5"/>
  <c r="BP8" i="11" l="1"/>
  <c r="BP10" i="11" s="1"/>
  <c r="BP31" i="11" s="1"/>
  <c r="BP34" i="11" s="1"/>
  <c r="BQ30" i="11" s="1"/>
  <c r="BP199" i="10"/>
  <c r="BP26" i="10"/>
  <c r="BR83" i="7"/>
  <c r="BQ41" i="7"/>
  <c r="BT69" i="5"/>
  <c r="BT68" i="7"/>
  <c r="BP70" i="10"/>
  <c r="BP26" i="5"/>
  <c r="BP199" i="5"/>
  <c r="BP70" i="7"/>
  <c r="BQ197" i="10"/>
  <c r="BQ37" i="10"/>
  <c r="B181" i="5"/>
  <c r="BT165" i="7"/>
  <c r="BT157" i="7"/>
  <c r="BT149" i="7"/>
  <c r="BT141" i="7"/>
  <c r="BT133" i="7"/>
  <c r="BT125" i="7"/>
  <c r="BT162" i="7"/>
  <c r="BT154" i="7"/>
  <c r="BT146" i="7"/>
  <c r="BT167" i="7"/>
  <c r="BT159" i="7"/>
  <c r="BT151" i="7"/>
  <c r="BT163" i="7"/>
  <c r="BT155" i="7"/>
  <c r="BT147" i="7"/>
  <c r="BT160" i="7"/>
  <c r="BT158" i="7"/>
  <c r="BT156" i="7"/>
  <c r="BT144" i="7"/>
  <c r="BT139" i="7"/>
  <c r="BT138" i="7"/>
  <c r="BT126" i="7"/>
  <c r="BT119" i="7"/>
  <c r="BT111" i="7"/>
  <c r="BT145" i="7"/>
  <c r="BT137" i="7"/>
  <c r="BT124" i="7"/>
  <c r="BT152" i="7"/>
  <c r="BT148" i="7"/>
  <c r="BT136" i="7"/>
  <c r="BT135" i="7"/>
  <c r="BT168" i="7"/>
  <c r="BT164" i="7"/>
  <c r="BT150" i="7"/>
  <c r="BT143" i="7"/>
  <c r="BT127" i="7"/>
  <c r="BT114" i="7"/>
  <c r="BT113" i="7"/>
  <c r="BT108" i="7"/>
  <c r="BT39" i="7"/>
  <c r="BT8" i="7"/>
  <c r="BT161" i="7"/>
  <c r="BT134" i="7"/>
  <c r="BT120" i="7"/>
  <c r="BT112" i="7"/>
  <c r="BT105" i="7"/>
  <c r="BT153" i="7"/>
  <c r="BT140" i="7"/>
  <c r="BT131" i="7"/>
  <c r="BT121" i="7"/>
  <c r="BT110" i="7"/>
  <c r="BT128" i="7"/>
  <c r="BT132" i="7"/>
  <c r="BT117" i="7"/>
  <c r="BT129" i="7"/>
  <c r="BT122" i="7"/>
  <c r="BT118" i="7"/>
  <c r="BT123" i="7"/>
  <c r="BT116" i="7"/>
  <c r="BT106" i="7"/>
  <c r="BT115" i="7"/>
  <c r="BT109" i="7"/>
  <c r="BT107" i="7"/>
  <c r="BT166" i="7"/>
  <c r="BT43" i="7"/>
  <c r="BT24" i="7" s="1"/>
  <c r="BT9" i="7"/>
  <c r="BT14" i="7" s="1"/>
  <c r="BT142" i="7"/>
  <c r="BT104" i="7"/>
  <c r="BT130" i="7"/>
  <c r="BU4" i="7"/>
  <c r="BT11" i="7"/>
  <c r="BT10" i="7"/>
  <c r="BT40" i="7" s="1"/>
  <c r="BT217" i="7" s="1"/>
  <c r="BT204" i="7"/>
  <c r="BT49" i="7"/>
  <c r="BT48" i="7"/>
  <c r="BT206" i="7"/>
  <c r="BR207" i="10"/>
  <c r="BR83" i="5"/>
  <c r="BQ41" i="5"/>
  <c r="BQ70" i="5" s="1"/>
  <c r="BP241" i="10"/>
  <c r="BS197" i="5"/>
  <c r="BS37" i="5"/>
  <c r="BR197" i="7"/>
  <c r="BR37" i="7"/>
  <c r="BS5" i="11"/>
  <c r="BT5" i="10"/>
  <c r="BT207" i="5"/>
  <c r="BS69" i="10"/>
  <c r="BS9" i="7"/>
  <c r="BS14" i="7" s="1"/>
  <c r="BS218" i="7" s="1"/>
  <c r="BS242" i="7" s="1"/>
  <c r="BS33" i="7"/>
  <c r="BT33" i="5"/>
  <c r="BT9" i="5"/>
  <c r="BT14" i="5" s="1"/>
  <c r="BS4" i="11"/>
  <c r="BS163" i="10"/>
  <c r="BS155" i="10"/>
  <c r="BS160" i="10"/>
  <c r="BS165" i="10"/>
  <c r="BS157" i="10"/>
  <c r="BS147" i="10"/>
  <c r="BS139" i="10"/>
  <c r="BS131" i="10"/>
  <c r="BS166" i="10"/>
  <c r="BS144" i="10"/>
  <c r="BS159" i="10"/>
  <c r="BS156" i="10"/>
  <c r="BS149" i="10"/>
  <c r="BS141" i="10"/>
  <c r="BS161" i="10"/>
  <c r="BS154" i="10"/>
  <c r="BS146" i="10"/>
  <c r="BS130" i="10"/>
  <c r="BS124" i="10"/>
  <c r="BS116" i="10"/>
  <c r="BS108" i="10"/>
  <c r="BS158" i="10"/>
  <c r="BS142" i="10"/>
  <c r="BS138" i="10"/>
  <c r="BS129" i="10"/>
  <c r="BS128" i="10"/>
  <c r="BS121" i="10"/>
  <c r="BS164" i="10"/>
  <c r="BS153" i="10"/>
  <c r="BS140" i="10"/>
  <c r="BS127" i="10"/>
  <c r="BS126" i="10"/>
  <c r="BS152" i="10"/>
  <c r="BS143" i="10"/>
  <c r="BS134" i="10"/>
  <c r="BS133" i="10"/>
  <c r="BS122" i="10"/>
  <c r="BS148" i="10"/>
  <c r="BS119" i="10"/>
  <c r="BS115" i="10"/>
  <c r="BS151" i="10"/>
  <c r="BS114" i="10"/>
  <c r="BS113" i="10"/>
  <c r="BS136" i="10"/>
  <c r="BS120" i="10"/>
  <c r="BS112" i="10"/>
  <c r="BS104" i="10"/>
  <c r="BS167" i="10"/>
  <c r="BS125" i="10"/>
  <c r="BS111" i="10"/>
  <c r="BS110" i="10"/>
  <c r="BS132" i="10"/>
  <c r="BS162" i="10"/>
  <c r="BS145" i="10"/>
  <c r="BS137" i="10"/>
  <c r="BS135" i="10"/>
  <c r="BS109" i="10"/>
  <c r="BS107" i="10"/>
  <c r="BS150" i="10"/>
  <c r="BS118" i="10"/>
  <c r="BS106" i="10"/>
  <c r="BS9" i="10"/>
  <c r="BS14" i="10" s="1"/>
  <c r="BS218" i="10" s="1"/>
  <c r="BS242" i="10" s="1"/>
  <c r="BS117" i="10"/>
  <c r="BS105" i="10"/>
  <c r="BS123" i="10"/>
  <c r="BS43" i="10"/>
  <c r="BS24" i="10" s="1"/>
  <c r="BS11" i="10"/>
  <c r="BS8" i="10"/>
  <c r="BT4" i="10"/>
  <c r="BS39" i="10"/>
  <c r="BS68" i="10" s="1"/>
  <c r="BS10" i="10"/>
  <c r="BS40" i="10" s="1"/>
  <c r="BS217" i="10" s="1"/>
  <c r="BS204" i="10"/>
  <c r="BS48" i="10"/>
  <c r="BS206" i="10"/>
  <c r="BS49" i="10"/>
  <c r="BS267" i="7"/>
  <c r="BU164" i="5"/>
  <c r="BU156" i="5"/>
  <c r="BU148" i="5"/>
  <c r="BU140" i="5"/>
  <c r="BU169" i="5"/>
  <c r="BU161" i="5"/>
  <c r="BU153" i="5"/>
  <c r="BU165" i="5"/>
  <c r="BU157" i="5"/>
  <c r="BU149" i="5"/>
  <c r="BU167" i="5"/>
  <c r="BU144" i="5"/>
  <c r="BU131" i="5"/>
  <c r="BU123" i="5"/>
  <c r="BU115" i="5"/>
  <c r="BU107" i="5"/>
  <c r="BU150" i="5"/>
  <c r="BU143" i="5"/>
  <c r="BU142" i="5"/>
  <c r="BU136" i="5"/>
  <c r="BU128" i="5"/>
  <c r="BU120" i="5"/>
  <c r="BU112" i="5"/>
  <c r="BU104" i="5"/>
  <c r="BU158" i="5"/>
  <c r="BU154" i="5"/>
  <c r="BU152" i="5"/>
  <c r="BU147" i="5"/>
  <c r="BU141" i="5"/>
  <c r="BU133" i="5"/>
  <c r="BU125" i="5"/>
  <c r="BU117" i="5"/>
  <c r="BU109" i="5"/>
  <c r="BU155" i="5"/>
  <c r="BU151" i="5"/>
  <c r="BU137" i="5"/>
  <c r="BU129" i="5"/>
  <c r="BU121" i="5"/>
  <c r="BU113" i="5"/>
  <c r="BU105" i="5"/>
  <c r="BU166" i="5"/>
  <c r="BU162" i="5"/>
  <c r="BU130" i="5"/>
  <c r="BU114" i="5"/>
  <c r="BU9" i="5"/>
  <c r="BU14" i="5" s="1"/>
  <c r="BU135" i="5"/>
  <c r="BU119" i="5"/>
  <c r="BU124" i="5"/>
  <c r="BU108" i="5"/>
  <c r="BU39" i="5"/>
  <c r="BU8" i="5"/>
  <c r="BU145" i="5"/>
  <c r="BU134" i="5"/>
  <c r="BU160" i="5"/>
  <c r="BU139" i="5"/>
  <c r="BU138" i="5"/>
  <c r="BU168" i="5"/>
  <c r="BU127" i="5"/>
  <c r="BU132" i="5"/>
  <c r="BU116" i="5"/>
  <c r="BU43" i="5"/>
  <c r="BU24" i="5" s="1"/>
  <c r="BU10" i="5"/>
  <c r="BU40" i="5" s="1"/>
  <c r="BU217" i="5" s="1"/>
  <c r="BU126" i="5"/>
  <c r="BU111" i="5"/>
  <c r="BU106" i="5"/>
  <c r="BU163" i="5"/>
  <c r="BU146" i="5"/>
  <c r="BU122" i="5"/>
  <c r="BU110" i="5"/>
  <c r="BU118" i="5"/>
  <c r="BU159" i="5"/>
  <c r="BU11" i="5"/>
  <c r="BV4" i="5"/>
  <c r="BU204" i="5"/>
  <c r="BU48" i="5"/>
  <c r="BU206" i="5"/>
  <c r="BU49" i="5"/>
  <c r="BT267" i="10"/>
  <c r="BU15" i="10"/>
  <c r="BT15" i="7"/>
  <c r="BT15" i="5"/>
  <c r="BR83" i="10"/>
  <c r="BQ41" i="10"/>
  <c r="BT216" i="5"/>
  <c r="BP26" i="7"/>
  <c r="BP199" i="7"/>
  <c r="BS207" i="7"/>
  <c r="BN241" i="5"/>
  <c r="BS267" i="5"/>
  <c r="BS218" i="5"/>
  <c r="BS242" i="5" s="1"/>
  <c r="BS216" i="7"/>
  <c r="BR33" i="10"/>
  <c r="BR216" i="10"/>
  <c r="BN241" i="7"/>
  <c r="BS197" i="7" l="1"/>
  <c r="BS37" i="7"/>
  <c r="BO241" i="5"/>
  <c r="B182" i="5"/>
  <c r="BR197" i="10"/>
  <c r="BR37" i="10"/>
  <c r="BV169" i="5"/>
  <c r="BV161" i="5"/>
  <c r="BV153" i="5"/>
  <c r="BV145" i="5"/>
  <c r="BV166" i="5"/>
  <c r="BV158" i="5"/>
  <c r="BV150" i="5"/>
  <c r="BV170" i="5"/>
  <c r="BV162" i="5"/>
  <c r="BV154" i="5"/>
  <c r="BV143" i="5"/>
  <c r="BV142" i="5"/>
  <c r="BV136" i="5"/>
  <c r="BV128" i="5"/>
  <c r="BV120" i="5"/>
  <c r="BV112" i="5"/>
  <c r="BV104" i="5"/>
  <c r="BV152" i="5"/>
  <c r="BV147" i="5"/>
  <c r="BV141" i="5"/>
  <c r="BV133" i="5"/>
  <c r="BV125" i="5"/>
  <c r="BV117" i="5"/>
  <c r="BV109" i="5"/>
  <c r="BV160" i="5"/>
  <c r="BV156" i="5"/>
  <c r="BV140" i="5"/>
  <c r="BV139" i="5"/>
  <c r="BV138" i="5"/>
  <c r="BV130" i="5"/>
  <c r="BV122" i="5"/>
  <c r="BV114" i="5"/>
  <c r="BV106" i="5"/>
  <c r="BV163" i="5"/>
  <c r="BV159" i="5"/>
  <c r="BV157" i="5"/>
  <c r="BV146" i="5"/>
  <c r="BV134" i="5"/>
  <c r="BV126" i="5"/>
  <c r="BV118" i="5"/>
  <c r="BV110" i="5"/>
  <c r="BV135" i="5"/>
  <c r="BV119" i="5"/>
  <c r="BV8" i="5"/>
  <c r="BV124" i="5"/>
  <c r="BV108" i="5"/>
  <c r="BV39" i="5"/>
  <c r="BV149" i="5"/>
  <c r="BV129" i="5"/>
  <c r="BV113" i="5"/>
  <c r="BW4" i="5"/>
  <c r="BV165" i="5"/>
  <c r="BV123" i="5"/>
  <c r="BV168" i="5"/>
  <c r="BV164" i="5"/>
  <c r="BV127" i="5"/>
  <c r="BV148" i="5"/>
  <c r="BV132" i="5"/>
  <c r="BV155" i="5"/>
  <c r="BV151" i="5"/>
  <c r="BV137" i="5"/>
  <c r="BV121" i="5"/>
  <c r="BV105" i="5"/>
  <c r="BV116" i="5"/>
  <c r="BV43" i="5"/>
  <c r="BV24" i="5" s="1"/>
  <c r="BV107" i="5"/>
  <c r="BV144" i="5"/>
  <c r="BV131" i="5"/>
  <c r="BV167" i="5"/>
  <c r="BV115" i="5"/>
  <c r="BV111" i="5"/>
  <c r="BV10" i="5"/>
  <c r="BV40" i="5" s="1"/>
  <c r="BV217" i="5" s="1"/>
  <c r="BV204" i="5"/>
  <c r="BV11" i="5"/>
  <c r="BV49" i="5"/>
  <c r="BV48" i="5"/>
  <c r="BV206" i="5"/>
  <c r="BT4" i="11"/>
  <c r="BT168" i="10"/>
  <c r="BT160" i="10"/>
  <c r="BT152" i="10"/>
  <c r="BT165" i="10"/>
  <c r="BT162" i="10"/>
  <c r="BT166" i="10"/>
  <c r="BT144" i="10"/>
  <c r="BT136" i="10"/>
  <c r="BT128" i="10"/>
  <c r="BT159" i="10"/>
  <c r="BT156" i="10"/>
  <c r="BT149" i="10"/>
  <c r="BT141" i="10"/>
  <c r="BT161" i="10"/>
  <c r="BT157" i="10"/>
  <c r="BT155" i="10"/>
  <c r="BT154" i="10"/>
  <c r="BT146" i="10"/>
  <c r="BT138" i="10"/>
  <c r="BT164" i="10"/>
  <c r="BT153" i="10"/>
  <c r="BT143" i="10"/>
  <c r="BT158" i="10"/>
  <c r="BT142" i="10"/>
  <c r="BT129" i="10"/>
  <c r="BT121" i="10"/>
  <c r="BT113" i="10"/>
  <c r="BT147" i="10"/>
  <c r="BT140" i="10"/>
  <c r="BT127" i="10"/>
  <c r="BT126" i="10"/>
  <c r="BT151" i="10"/>
  <c r="BT123" i="10"/>
  <c r="BT148" i="10"/>
  <c r="BT139" i="10"/>
  <c r="BT132" i="10"/>
  <c r="BT131" i="10"/>
  <c r="BT114" i="10"/>
  <c r="BT120" i="10"/>
  <c r="BT112" i="10"/>
  <c r="BT104" i="10"/>
  <c r="BT167" i="10"/>
  <c r="BT125" i="10"/>
  <c r="BT111" i="10"/>
  <c r="BT110" i="10"/>
  <c r="BT134" i="10"/>
  <c r="BT109" i="10"/>
  <c r="BT163" i="10"/>
  <c r="BT130" i="10"/>
  <c r="BT145" i="10"/>
  <c r="BT137" i="10"/>
  <c r="BT150" i="10"/>
  <c r="BT135" i="10"/>
  <c r="BT124" i="10"/>
  <c r="BT107" i="10"/>
  <c r="BT133" i="10"/>
  <c r="BT118" i="10"/>
  <c r="BT105" i="10"/>
  <c r="BT117" i="10"/>
  <c r="BT9" i="10"/>
  <c r="BT14" i="10" s="1"/>
  <c r="BT218" i="10" s="1"/>
  <c r="BT242" i="10" s="1"/>
  <c r="BT106" i="10"/>
  <c r="BT8" i="10"/>
  <c r="BT116" i="10"/>
  <c r="BT108" i="10"/>
  <c r="BT115" i="10"/>
  <c r="BT39" i="10"/>
  <c r="BT10" i="10"/>
  <c r="BT40" i="10" s="1"/>
  <c r="BT217" i="10" s="1"/>
  <c r="BT122" i="10"/>
  <c r="BT119" i="10"/>
  <c r="BT43" i="10"/>
  <c r="BT24" i="10" s="1"/>
  <c r="BT11" i="10"/>
  <c r="BU4" i="10"/>
  <c r="BT204" i="10"/>
  <c r="BT48" i="10"/>
  <c r="BT206" i="10"/>
  <c r="BT49" i="10"/>
  <c r="BS33" i="10"/>
  <c r="BS83" i="5"/>
  <c r="BR41" i="5"/>
  <c r="BQ8" i="11"/>
  <c r="BQ10" i="11" s="1"/>
  <c r="BQ31" i="11" s="1"/>
  <c r="BQ34" i="11" s="1"/>
  <c r="BR30" i="11" s="1"/>
  <c r="BQ26" i="10"/>
  <c r="BQ199" i="10"/>
  <c r="BQ70" i="10"/>
  <c r="BO241" i="7"/>
  <c r="BT69" i="7"/>
  <c r="BT207" i="7"/>
  <c r="BT33" i="7"/>
  <c r="BU69" i="5"/>
  <c r="BV69" i="5" s="1"/>
  <c r="BQ199" i="5"/>
  <c r="BQ26" i="5"/>
  <c r="BU33" i="5"/>
  <c r="BS207" i="10"/>
  <c r="BS83" i="10"/>
  <c r="BR41" i="10"/>
  <c r="BU68" i="7"/>
  <c r="BT267" i="5"/>
  <c r="BT218" i="5"/>
  <c r="BT242" i="5" s="1"/>
  <c r="BU162" i="7"/>
  <c r="BU154" i="7"/>
  <c r="BU146" i="7"/>
  <c r="BU138" i="7"/>
  <c r="BU130" i="7"/>
  <c r="BU167" i="7"/>
  <c r="BU159" i="7"/>
  <c r="BU151" i="7"/>
  <c r="BU143" i="7"/>
  <c r="BU164" i="7"/>
  <c r="BU156" i="7"/>
  <c r="BU168" i="7"/>
  <c r="BU160" i="7"/>
  <c r="BU152" i="7"/>
  <c r="BU165" i="7"/>
  <c r="BU145" i="7"/>
  <c r="BU137" i="7"/>
  <c r="BU125" i="7"/>
  <c r="BU124" i="7"/>
  <c r="BU116" i="7"/>
  <c r="BU148" i="7"/>
  <c r="BU136" i="7"/>
  <c r="BU135" i="7"/>
  <c r="BU121" i="7"/>
  <c r="BU163" i="7"/>
  <c r="BU161" i="7"/>
  <c r="BU149" i="7"/>
  <c r="BU141" i="7"/>
  <c r="BU134" i="7"/>
  <c r="BU166" i="7"/>
  <c r="BU169" i="7"/>
  <c r="BU158" i="7"/>
  <c r="BU120" i="7"/>
  <c r="BU112" i="7"/>
  <c r="BU105" i="7"/>
  <c r="BV4" i="7"/>
  <c r="BU153" i="7"/>
  <c r="BU140" i="7"/>
  <c r="BU131" i="7"/>
  <c r="BU111" i="7"/>
  <c r="BU110" i="7"/>
  <c r="BU157" i="7"/>
  <c r="BU144" i="7"/>
  <c r="BU128" i="7"/>
  <c r="BU109" i="7"/>
  <c r="BU107" i="7"/>
  <c r="BU147" i="7"/>
  <c r="BU132" i="7"/>
  <c r="BU117" i="7"/>
  <c r="BU129" i="7"/>
  <c r="BU122" i="7"/>
  <c r="BU118" i="7"/>
  <c r="BU155" i="7"/>
  <c r="BU126" i="7"/>
  <c r="BU123" i="7"/>
  <c r="BU142" i="7"/>
  <c r="BU133" i="7"/>
  <c r="BU115" i="7"/>
  <c r="BU127" i="7"/>
  <c r="BU43" i="7"/>
  <c r="BU24" i="7" s="1"/>
  <c r="BU8" i="7"/>
  <c r="BU150" i="7"/>
  <c r="BU114" i="7"/>
  <c r="BU106" i="7"/>
  <c r="BU139" i="7"/>
  <c r="BU113" i="7"/>
  <c r="BU104" i="7"/>
  <c r="BU39" i="7"/>
  <c r="BU119" i="7"/>
  <c r="BU108" i="7"/>
  <c r="BU10" i="7"/>
  <c r="BU40" i="7" s="1"/>
  <c r="BU217" i="7" s="1"/>
  <c r="BU11" i="7"/>
  <c r="BU204" i="7"/>
  <c r="BU49" i="7"/>
  <c r="BU206" i="7"/>
  <c r="BU48" i="7"/>
  <c r="BT216" i="7"/>
  <c r="BQ199" i="7"/>
  <c r="BQ26" i="7"/>
  <c r="BU207" i="5"/>
  <c r="BU216" i="5"/>
  <c r="BT267" i="7"/>
  <c r="BT218" i="7"/>
  <c r="BT242" i="7" s="1"/>
  <c r="BT197" i="5"/>
  <c r="BT37" i="5"/>
  <c r="BT5" i="11"/>
  <c r="BU5" i="10"/>
  <c r="BS83" i="7"/>
  <c r="BR41" i="7"/>
  <c r="BU267" i="10"/>
  <c r="BV15" i="10"/>
  <c r="BU15" i="7"/>
  <c r="BU15" i="5"/>
  <c r="BS216" i="10"/>
  <c r="BQ241" i="10"/>
  <c r="BQ70" i="7"/>
  <c r="BU68" i="5"/>
  <c r="BR34" i="11" l="1"/>
  <c r="BS30" i="11" s="1"/>
  <c r="BU218" i="5"/>
  <c r="BU242" i="5" s="1"/>
  <c r="BU267" i="5"/>
  <c r="BR8" i="11"/>
  <c r="BR10" i="11" s="1"/>
  <c r="BR31" i="11" s="1"/>
  <c r="BR199" i="10"/>
  <c r="BR26" i="10"/>
  <c r="BR199" i="5"/>
  <c r="BR26" i="5"/>
  <c r="BT69" i="10"/>
  <c r="BU207" i="7"/>
  <c r="BR70" i="10"/>
  <c r="BV207" i="5"/>
  <c r="BR199" i="7"/>
  <c r="BR26" i="7"/>
  <c r="BU9" i="7"/>
  <c r="BU14" i="7" s="1"/>
  <c r="BV9" i="5"/>
  <c r="BV14" i="5" s="1"/>
  <c r="BU267" i="7"/>
  <c r="BU218" i="7"/>
  <c r="BU242" i="7" s="1"/>
  <c r="BT216" i="10"/>
  <c r="BV33" i="5"/>
  <c r="BV216" i="5"/>
  <c r="BU5" i="11"/>
  <c r="BV5" i="10"/>
  <c r="BU33" i="7"/>
  <c r="BU69" i="7"/>
  <c r="BT83" i="5"/>
  <c r="BS41" i="5"/>
  <c r="BU4" i="11"/>
  <c r="BU165" i="10"/>
  <c r="BU157" i="10"/>
  <c r="BU162" i="10"/>
  <c r="BU167" i="10"/>
  <c r="BU159" i="10"/>
  <c r="BU163" i="10"/>
  <c r="BU166" i="10"/>
  <c r="BU156" i="10"/>
  <c r="BU149" i="10"/>
  <c r="BU141" i="10"/>
  <c r="BU133" i="10"/>
  <c r="BU161" i="10"/>
  <c r="BU155" i="10"/>
  <c r="BU154" i="10"/>
  <c r="BU146" i="10"/>
  <c r="BU138" i="10"/>
  <c r="BU164" i="10"/>
  <c r="BU153" i="10"/>
  <c r="BU143" i="10"/>
  <c r="BU169" i="10"/>
  <c r="BU152" i="10"/>
  <c r="BU151" i="10"/>
  <c r="BU148" i="10"/>
  <c r="BU147" i="10"/>
  <c r="BU140" i="10"/>
  <c r="BU128" i="10"/>
  <c r="BU127" i="10"/>
  <c r="BU126" i="10"/>
  <c r="BU118" i="10"/>
  <c r="BU110" i="10"/>
  <c r="BU123" i="10"/>
  <c r="BU145" i="10"/>
  <c r="BU137" i="10"/>
  <c r="BU120" i="10"/>
  <c r="BU131" i="10"/>
  <c r="BU130" i="10"/>
  <c r="BU124" i="10"/>
  <c r="BU168" i="10"/>
  <c r="BU158" i="10"/>
  <c r="BU129" i="10"/>
  <c r="BU121" i="10"/>
  <c r="BU113" i="10"/>
  <c r="BU112" i="10"/>
  <c r="BU104" i="10"/>
  <c r="BU136" i="10"/>
  <c r="BU125" i="10"/>
  <c r="BU111" i="10"/>
  <c r="BU134" i="10"/>
  <c r="BU109" i="10"/>
  <c r="BU144" i="10"/>
  <c r="BU132" i="10"/>
  <c r="BU108" i="10"/>
  <c r="BU107" i="10"/>
  <c r="BU142" i="10"/>
  <c r="BU150" i="10"/>
  <c r="BU135" i="10"/>
  <c r="BU160" i="10"/>
  <c r="BU139" i="10"/>
  <c r="BU105" i="10"/>
  <c r="BU122" i="10"/>
  <c r="BU119" i="10"/>
  <c r="BU116" i="10"/>
  <c r="BU43" i="10"/>
  <c r="BU24" i="10" s="1"/>
  <c r="BU115" i="10"/>
  <c r="BU106" i="10"/>
  <c r="BU117" i="10"/>
  <c r="BU8" i="10"/>
  <c r="BU114" i="10"/>
  <c r="BU39" i="10"/>
  <c r="BU10" i="10"/>
  <c r="BU40" i="10" s="1"/>
  <c r="BU217" i="10" s="1"/>
  <c r="BU11" i="10"/>
  <c r="BV4" i="10"/>
  <c r="BU204" i="10"/>
  <c r="BU48" i="10"/>
  <c r="BU49" i="10"/>
  <c r="BU206" i="10"/>
  <c r="BW166" i="5"/>
  <c r="BW158" i="5"/>
  <c r="BW150" i="5"/>
  <c r="BW142" i="5"/>
  <c r="BW171" i="5"/>
  <c r="BW163" i="5"/>
  <c r="BW155" i="5"/>
  <c r="BW147" i="5"/>
  <c r="BW167" i="5"/>
  <c r="BW159" i="5"/>
  <c r="BW151" i="5"/>
  <c r="BW152" i="5"/>
  <c r="BW141" i="5"/>
  <c r="BW133" i="5"/>
  <c r="BW125" i="5"/>
  <c r="BW117" i="5"/>
  <c r="BW109" i="5"/>
  <c r="BW160" i="5"/>
  <c r="BW156" i="5"/>
  <c r="BW154" i="5"/>
  <c r="BW140" i="5"/>
  <c r="BW139" i="5"/>
  <c r="BW138" i="5"/>
  <c r="BW130" i="5"/>
  <c r="BW122" i="5"/>
  <c r="BW114" i="5"/>
  <c r="BW106" i="5"/>
  <c r="BW168" i="5"/>
  <c r="BW164" i="5"/>
  <c r="BW162" i="5"/>
  <c r="BW135" i="5"/>
  <c r="BW127" i="5"/>
  <c r="BW119" i="5"/>
  <c r="BW111" i="5"/>
  <c r="BW165" i="5"/>
  <c r="BW161" i="5"/>
  <c r="BW145" i="5"/>
  <c r="BW144" i="5"/>
  <c r="BW131" i="5"/>
  <c r="BW123" i="5"/>
  <c r="BW115" i="5"/>
  <c r="BW107" i="5"/>
  <c r="BW170" i="5"/>
  <c r="BW124" i="5"/>
  <c r="BW108" i="5"/>
  <c r="BW39" i="5"/>
  <c r="BW8" i="5"/>
  <c r="BX4" i="5"/>
  <c r="BW149" i="5"/>
  <c r="BW129" i="5"/>
  <c r="BW113" i="5"/>
  <c r="BW157" i="5"/>
  <c r="BW153" i="5"/>
  <c r="BW134" i="5"/>
  <c r="BW118" i="5"/>
  <c r="BW169" i="5"/>
  <c r="BW143" i="5"/>
  <c r="BW128" i="5"/>
  <c r="BW148" i="5"/>
  <c r="BW132" i="5"/>
  <c r="BW137" i="5"/>
  <c r="BW121" i="5"/>
  <c r="BW146" i="5"/>
  <c r="BW126" i="5"/>
  <c r="BW110" i="5"/>
  <c r="BW120" i="5"/>
  <c r="BW136" i="5"/>
  <c r="BW112" i="5"/>
  <c r="BW43" i="5"/>
  <c r="BW24" i="5" s="1"/>
  <c r="BW104" i="5"/>
  <c r="BW105" i="5"/>
  <c r="BW11" i="5"/>
  <c r="BW10" i="5"/>
  <c r="BW40" i="5" s="1"/>
  <c r="BW217" i="5" s="1"/>
  <c r="BW116" i="5"/>
  <c r="BW204" i="5"/>
  <c r="BW206" i="5"/>
  <c r="BW49" i="5"/>
  <c r="BW48" i="5"/>
  <c r="B183" i="5"/>
  <c r="BV167" i="7"/>
  <c r="BV159" i="7"/>
  <c r="BV151" i="7"/>
  <c r="BV143" i="7"/>
  <c r="BV135" i="7"/>
  <c r="BV127" i="7"/>
  <c r="BV164" i="7"/>
  <c r="BV156" i="7"/>
  <c r="BV148" i="7"/>
  <c r="BV169" i="7"/>
  <c r="BV161" i="7"/>
  <c r="BV153" i="7"/>
  <c r="BV165" i="7"/>
  <c r="BV157" i="7"/>
  <c r="BV149" i="7"/>
  <c r="BV170" i="7"/>
  <c r="BV154" i="7"/>
  <c r="BV150" i="7"/>
  <c r="BV136" i="7"/>
  <c r="BV121" i="7"/>
  <c r="BV113" i="7"/>
  <c r="BV163" i="7"/>
  <c r="BV152" i="7"/>
  <c r="BV141" i="7"/>
  <c r="BV134" i="7"/>
  <c r="BV118" i="7"/>
  <c r="BV146" i="7"/>
  <c r="BV142" i="7"/>
  <c r="BV133" i="7"/>
  <c r="BV132" i="7"/>
  <c r="BV140" i="7"/>
  <c r="BV131" i="7"/>
  <c r="BV111" i="7"/>
  <c r="BV110" i="7"/>
  <c r="BV144" i="7"/>
  <c r="BV137" i="7"/>
  <c r="BV128" i="7"/>
  <c r="BV109" i="7"/>
  <c r="BV107" i="7"/>
  <c r="BV168" i="7"/>
  <c r="BV147" i="7"/>
  <c r="BV145" i="7"/>
  <c r="BV125" i="7"/>
  <c r="BV117" i="7"/>
  <c r="BV104" i="7"/>
  <c r="BV43" i="7"/>
  <c r="BV24" i="7" s="1"/>
  <c r="BV129" i="7"/>
  <c r="BV122" i="7"/>
  <c r="BV160" i="7"/>
  <c r="BV155" i="7"/>
  <c r="BV138" i="7"/>
  <c r="BV126" i="7"/>
  <c r="BV123" i="7"/>
  <c r="BV116" i="7"/>
  <c r="BV115" i="7"/>
  <c r="BV166" i="7"/>
  <c r="BV139" i="7"/>
  <c r="BV130" i="7"/>
  <c r="BV119" i="7"/>
  <c r="BV114" i="7"/>
  <c r="BV108" i="7"/>
  <c r="BV9" i="7"/>
  <c r="BV14" i="7" s="1"/>
  <c r="BV124" i="7"/>
  <c r="BV106" i="7"/>
  <c r="BV162" i="7"/>
  <c r="BV10" i="7"/>
  <c r="BV40" i="7" s="1"/>
  <c r="BV217" i="7" s="1"/>
  <c r="BV158" i="7"/>
  <c r="BV120" i="7"/>
  <c r="BV112" i="7"/>
  <c r="BW4" i="7"/>
  <c r="BV39" i="7"/>
  <c r="BV68" i="7" s="1"/>
  <c r="BV8" i="7"/>
  <c r="BV105" i="7"/>
  <c r="BV11" i="7"/>
  <c r="BV204" i="7"/>
  <c r="BV49" i="7"/>
  <c r="BV48" i="7"/>
  <c r="BV206" i="7"/>
  <c r="BS197" i="10"/>
  <c r="BS37" i="10"/>
  <c r="BT207" i="10"/>
  <c r="BP241" i="5"/>
  <c r="BR70" i="5"/>
  <c r="BS70" i="5" s="1"/>
  <c r="BT197" i="7"/>
  <c r="BT37" i="7"/>
  <c r="BV68" i="5"/>
  <c r="BW68" i="5" s="1"/>
  <c r="BT83" i="7"/>
  <c r="BS41" i="7"/>
  <c r="BT83" i="10"/>
  <c r="BS41" i="10"/>
  <c r="BR70" i="7"/>
  <c r="BU216" i="7"/>
  <c r="BT68" i="10"/>
  <c r="BV267" i="10"/>
  <c r="BW15" i="10"/>
  <c r="BV15" i="7"/>
  <c r="BV15" i="5"/>
  <c r="BR241" i="10"/>
  <c r="BU197" i="5"/>
  <c r="BU37" i="5"/>
  <c r="BP241" i="7"/>
  <c r="BT33" i="10"/>
  <c r="BU216" i="10" l="1"/>
  <c r="BU9" i="10"/>
  <c r="BU14" i="10" s="1"/>
  <c r="BU218" i="10" s="1"/>
  <c r="BU242" i="10" s="1"/>
  <c r="BW267" i="10"/>
  <c r="BX15" i="10"/>
  <c r="BW15" i="7"/>
  <c r="BW15" i="5"/>
  <c r="BV207" i="7"/>
  <c r="BW9" i="5"/>
  <c r="BW14" i="5" s="1"/>
  <c r="BX171" i="5"/>
  <c r="BX163" i="5"/>
  <c r="BX155" i="5"/>
  <c r="BX147" i="5"/>
  <c r="BX139" i="5"/>
  <c r="BX168" i="5"/>
  <c r="BX160" i="5"/>
  <c r="BX152" i="5"/>
  <c r="BX172" i="5"/>
  <c r="BX164" i="5"/>
  <c r="BX156" i="5"/>
  <c r="BX154" i="5"/>
  <c r="BX150" i="5"/>
  <c r="BX140" i="5"/>
  <c r="BX138" i="5"/>
  <c r="BX130" i="5"/>
  <c r="BX122" i="5"/>
  <c r="BX114" i="5"/>
  <c r="BX106" i="5"/>
  <c r="BX162" i="5"/>
  <c r="BX158" i="5"/>
  <c r="BX135" i="5"/>
  <c r="BX127" i="5"/>
  <c r="BX119" i="5"/>
  <c r="BX111" i="5"/>
  <c r="BX170" i="5"/>
  <c r="BX166" i="5"/>
  <c r="BX148" i="5"/>
  <c r="BX132" i="5"/>
  <c r="BX124" i="5"/>
  <c r="BX116" i="5"/>
  <c r="BX108" i="5"/>
  <c r="BX169" i="5"/>
  <c r="BX167" i="5"/>
  <c r="BX143" i="5"/>
  <c r="BX136" i="5"/>
  <c r="BX128" i="5"/>
  <c r="BX120" i="5"/>
  <c r="BX112" i="5"/>
  <c r="BX104" i="5"/>
  <c r="BX149" i="5"/>
  <c r="BX129" i="5"/>
  <c r="BX113" i="5"/>
  <c r="BY4" i="5"/>
  <c r="BX157" i="5"/>
  <c r="BX153" i="5"/>
  <c r="BX134" i="5"/>
  <c r="BX118" i="5"/>
  <c r="BX165" i="5"/>
  <c r="BX161" i="5"/>
  <c r="BX145" i="5"/>
  <c r="BX123" i="5"/>
  <c r="BX107" i="5"/>
  <c r="BX141" i="5"/>
  <c r="BX133" i="5"/>
  <c r="BX137" i="5"/>
  <c r="BX151" i="5"/>
  <c r="BX146" i="5"/>
  <c r="BX126" i="5"/>
  <c r="BX159" i="5"/>
  <c r="BX144" i="5"/>
  <c r="BX131" i="5"/>
  <c r="BX115" i="5"/>
  <c r="BX9" i="5"/>
  <c r="BX14" i="5" s="1"/>
  <c r="BX8" i="5"/>
  <c r="BX109" i="5"/>
  <c r="BX43" i="5"/>
  <c r="BX24" i="5" s="1"/>
  <c r="BX125" i="5"/>
  <c r="BX117" i="5"/>
  <c r="BX39" i="5"/>
  <c r="BX68" i="5" s="1"/>
  <c r="BX110" i="5"/>
  <c r="BX105" i="5"/>
  <c r="BX10" i="5"/>
  <c r="BX40" i="5" s="1"/>
  <c r="BX217" i="5" s="1"/>
  <c r="BX142" i="5"/>
  <c r="BX121" i="5"/>
  <c r="BX11" i="5"/>
  <c r="BX204" i="5"/>
  <c r="BX49" i="5"/>
  <c r="BX48" i="5"/>
  <c r="BX206" i="5"/>
  <c r="BV5" i="11"/>
  <c r="BW5" i="10"/>
  <c r="BS8" i="11"/>
  <c r="BS10" i="11" s="1"/>
  <c r="BS31" i="11" s="1"/>
  <c r="BS34" i="11" s="1"/>
  <c r="BT30" i="11" s="1"/>
  <c r="BS26" i="10"/>
  <c r="BS199" i="10"/>
  <c r="BW207" i="5"/>
  <c r="BW33" i="5"/>
  <c r="BU33" i="10"/>
  <c r="BS199" i="5"/>
  <c r="BS26" i="5"/>
  <c r="BQ241" i="7"/>
  <c r="BS70" i="7"/>
  <c r="BU83" i="10"/>
  <c r="BT41" i="10"/>
  <c r="BT70" i="5"/>
  <c r="BV33" i="7"/>
  <c r="BW216" i="5"/>
  <c r="BU83" i="5"/>
  <c r="BT41" i="5"/>
  <c r="BW69" i="5"/>
  <c r="BS70" i="10"/>
  <c r="BT70" i="10" s="1"/>
  <c r="BV69" i="7"/>
  <c r="BW69" i="7" s="1"/>
  <c r="BV197" i="5"/>
  <c r="BV37" i="5"/>
  <c r="BT197" i="10"/>
  <c r="BT37" i="10"/>
  <c r="BV218" i="5"/>
  <c r="BV242" i="5" s="1"/>
  <c r="BV267" i="5"/>
  <c r="BU69" i="10"/>
  <c r="BV267" i="7"/>
  <c r="BV218" i="7"/>
  <c r="BV242" i="7" s="1"/>
  <c r="BU68" i="10"/>
  <c r="BS199" i="7"/>
  <c r="BS26" i="7"/>
  <c r="BV216" i="7"/>
  <c r="BV4" i="11"/>
  <c r="BV170" i="10"/>
  <c r="BV162" i="10"/>
  <c r="BV154" i="10"/>
  <c r="BV167" i="10"/>
  <c r="BV159" i="10"/>
  <c r="BV164" i="10"/>
  <c r="BV168" i="10"/>
  <c r="BV161" i="10"/>
  <c r="BV155" i="10"/>
  <c r="BV146" i="10"/>
  <c r="BV138" i="10"/>
  <c r="BV130" i="10"/>
  <c r="BV165" i="10"/>
  <c r="BV157" i="10"/>
  <c r="BV153" i="10"/>
  <c r="BV143" i="10"/>
  <c r="BV169" i="10"/>
  <c r="BV152" i="10"/>
  <c r="BV151" i="10"/>
  <c r="BV148" i="10"/>
  <c r="BV140" i="10"/>
  <c r="BV145" i="10"/>
  <c r="BV123" i="10"/>
  <c r="BV115" i="10"/>
  <c r="BV107" i="10"/>
  <c r="BV166" i="10"/>
  <c r="BV137" i="10"/>
  <c r="BV120" i="10"/>
  <c r="BV150" i="10"/>
  <c r="BV136" i="10"/>
  <c r="BV135" i="10"/>
  <c r="BV125" i="10"/>
  <c r="BV163" i="10"/>
  <c r="BV158" i="10"/>
  <c r="BV142" i="10"/>
  <c r="BV129" i="10"/>
  <c r="BV121" i="10"/>
  <c r="BV127" i="10"/>
  <c r="BV126" i="10"/>
  <c r="BV111" i="10"/>
  <c r="BV134" i="10"/>
  <c r="BV110" i="10"/>
  <c r="BV109" i="10"/>
  <c r="BV144" i="10"/>
  <c r="BV132" i="10"/>
  <c r="BV108" i="10"/>
  <c r="BV149" i="10"/>
  <c r="BV141" i="10"/>
  <c r="BV124" i="10"/>
  <c r="BV106" i="10"/>
  <c r="BV147" i="10"/>
  <c r="BV128" i="10"/>
  <c r="BV160" i="10"/>
  <c r="BV139" i="10"/>
  <c r="BV133" i="10"/>
  <c r="BV118" i="10"/>
  <c r="BV105" i="10"/>
  <c r="BV122" i="10"/>
  <c r="BV119" i="10"/>
  <c r="BV116" i="10"/>
  <c r="BV43" i="10"/>
  <c r="BV24" i="10" s="1"/>
  <c r="BV131" i="10"/>
  <c r="BV114" i="10"/>
  <c r="BV156" i="10"/>
  <c r="BV117" i="10"/>
  <c r="BV104" i="10"/>
  <c r="BV8" i="10"/>
  <c r="BV113" i="10"/>
  <c r="BV112" i="10"/>
  <c r="BV9" i="10"/>
  <c r="BV14" i="10" s="1"/>
  <c r="BV218" i="10" s="1"/>
  <c r="BV11" i="10"/>
  <c r="BV39" i="10"/>
  <c r="BV10" i="10"/>
  <c r="BV40" i="10" s="1"/>
  <c r="BV217" i="10" s="1"/>
  <c r="BW4" i="10"/>
  <c r="BV204" i="10"/>
  <c r="BV206" i="10"/>
  <c r="BV49" i="10"/>
  <c r="BV48" i="10"/>
  <c r="BS241" i="10"/>
  <c r="BU83" i="7"/>
  <c r="BT41" i="7"/>
  <c r="BQ241" i="5"/>
  <c r="BW164" i="7"/>
  <c r="BW156" i="7"/>
  <c r="BW148" i="7"/>
  <c r="BW140" i="7"/>
  <c r="BW132" i="7"/>
  <c r="BW124" i="7"/>
  <c r="BW169" i="7"/>
  <c r="BW161" i="7"/>
  <c r="BW153" i="7"/>
  <c r="BW145" i="7"/>
  <c r="BW166" i="7"/>
  <c r="BW158" i="7"/>
  <c r="BW170" i="7"/>
  <c r="BW162" i="7"/>
  <c r="BW154" i="7"/>
  <c r="BW159" i="7"/>
  <c r="BW167" i="7"/>
  <c r="BW163" i="7"/>
  <c r="BW152" i="7"/>
  <c r="BW141" i="7"/>
  <c r="BW135" i="7"/>
  <c r="BW134" i="7"/>
  <c r="BW118" i="7"/>
  <c r="BW110" i="7"/>
  <c r="BW165" i="7"/>
  <c r="BW149" i="7"/>
  <c r="BW146" i="7"/>
  <c r="BW142" i="7"/>
  <c r="BW133" i="7"/>
  <c r="BW123" i="7"/>
  <c r="BW131" i="7"/>
  <c r="BW144" i="7"/>
  <c r="BW137" i="7"/>
  <c r="BW128" i="7"/>
  <c r="BW109" i="7"/>
  <c r="BW107" i="7"/>
  <c r="BW171" i="7"/>
  <c r="BW168" i="7"/>
  <c r="BW157" i="7"/>
  <c r="BW147" i="7"/>
  <c r="BW125" i="7"/>
  <c r="BW121" i="7"/>
  <c r="BW117" i="7"/>
  <c r="BW104" i="7"/>
  <c r="BW43" i="7"/>
  <c r="BW24" i="7" s="1"/>
  <c r="BW10" i="7"/>
  <c r="BW40" i="7" s="1"/>
  <c r="BW217" i="7" s="1"/>
  <c r="BW129" i="7"/>
  <c r="BW122" i="7"/>
  <c r="BW160" i="7"/>
  <c r="BW155" i="7"/>
  <c r="BW138" i="7"/>
  <c r="BW126" i="7"/>
  <c r="BW116" i="7"/>
  <c r="BW115" i="7"/>
  <c r="BW139" i="7"/>
  <c r="BW130" i="7"/>
  <c r="BW119" i="7"/>
  <c r="BW114" i="7"/>
  <c r="BW150" i="7"/>
  <c r="BW136" i="7"/>
  <c r="BW127" i="7"/>
  <c r="BW120" i="7"/>
  <c r="BW113" i="7"/>
  <c r="BW112" i="7"/>
  <c r="BW105" i="7"/>
  <c r="BW106" i="7"/>
  <c r="BX4" i="7"/>
  <c r="BW151" i="7"/>
  <c r="BW108" i="7"/>
  <c r="BW8" i="7"/>
  <c r="BW143" i="7"/>
  <c r="BW111" i="7"/>
  <c r="BW39" i="7"/>
  <c r="BW11" i="7"/>
  <c r="BW204" i="7"/>
  <c r="BW206" i="7"/>
  <c r="BW49" i="7"/>
  <c r="BW48" i="7"/>
  <c r="BU207" i="10"/>
  <c r="BU197" i="7"/>
  <c r="BU37" i="7"/>
  <c r="BW242" i="5" l="1"/>
  <c r="BW5" i="11"/>
  <c r="BX5" i="10"/>
  <c r="BW216" i="7"/>
  <c r="BT241" i="10"/>
  <c r="BY168" i="5"/>
  <c r="BY160" i="5"/>
  <c r="BY152" i="5"/>
  <c r="BY144" i="5"/>
  <c r="BY173" i="5"/>
  <c r="BY165" i="5"/>
  <c r="BY157" i="5"/>
  <c r="BY149" i="5"/>
  <c r="BY169" i="5"/>
  <c r="BY161" i="5"/>
  <c r="BY153" i="5"/>
  <c r="BY162" i="5"/>
  <c r="BY158" i="5"/>
  <c r="BY156" i="5"/>
  <c r="BY147" i="5"/>
  <c r="BY139" i="5"/>
  <c r="BY135" i="5"/>
  <c r="BY127" i="5"/>
  <c r="BY119" i="5"/>
  <c r="BY111" i="5"/>
  <c r="BY170" i="5"/>
  <c r="BY166" i="5"/>
  <c r="BY164" i="5"/>
  <c r="BY148" i="5"/>
  <c r="BY132" i="5"/>
  <c r="BY124" i="5"/>
  <c r="BY116" i="5"/>
  <c r="BY108" i="5"/>
  <c r="BY172" i="5"/>
  <c r="BY137" i="5"/>
  <c r="BY129" i="5"/>
  <c r="BY121" i="5"/>
  <c r="BY113" i="5"/>
  <c r="BY105" i="5"/>
  <c r="BY171" i="5"/>
  <c r="BY142" i="5"/>
  <c r="BY141" i="5"/>
  <c r="BY133" i="5"/>
  <c r="BY125" i="5"/>
  <c r="BY117" i="5"/>
  <c r="BY109" i="5"/>
  <c r="BY134" i="5"/>
  <c r="BY118" i="5"/>
  <c r="BY145" i="5"/>
  <c r="BY123" i="5"/>
  <c r="BY107" i="5"/>
  <c r="BY143" i="5"/>
  <c r="BY128" i="5"/>
  <c r="BY112" i="5"/>
  <c r="BY43" i="5"/>
  <c r="BY24" i="5" s="1"/>
  <c r="BY10" i="5"/>
  <c r="BY40" i="5" s="1"/>
  <c r="BY217" i="5" s="1"/>
  <c r="BY138" i="5"/>
  <c r="BY122" i="5"/>
  <c r="BY151" i="5"/>
  <c r="BY146" i="5"/>
  <c r="BY159" i="5"/>
  <c r="BY155" i="5"/>
  <c r="BY131" i="5"/>
  <c r="BY167" i="5"/>
  <c r="BY163" i="5"/>
  <c r="BY136" i="5"/>
  <c r="BY120" i="5"/>
  <c r="BY104" i="5"/>
  <c r="BY39" i="5"/>
  <c r="BY68" i="5" s="1"/>
  <c r="BY8" i="5"/>
  <c r="BZ4" i="5"/>
  <c r="BY130" i="5"/>
  <c r="BY114" i="5"/>
  <c r="BY110" i="5"/>
  <c r="BY150" i="5"/>
  <c r="BY115" i="5"/>
  <c r="BY140" i="5"/>
  <c r="BY154" i="5"/>
  <c r="BY126" i="5"/>
  <c r="BY106" i="5"/>
  <c r="BY9" i="5"/>
  <c r="BY14" i="5" s="1"/>
  <c r="BY11" i="5"/>
  <c r="BY204" i="5"/>
  <c r="BY48" i="5"/>
  <c r="BY206" i="5"/>
  <c r="BY49" i="5"/>
  <c r="BV242" i="10"/>
  <c r="BW242" i="10" s="1"/>
  <c r="BV216" i="10"/>
  <c r="BR241" i="7"/>
  <c r="BV207" i="10"/>
  <c r="BV197" i="7"/>
  <c r="BV37" i="7"/>
  <c r="BX33" i="5"/>
  <c r="BW218" i="5"/>
  <c r="BW267" i="5"/>
  <c r="BX69" i="5"/>
  <c r="BY69" i="5" s="1"/>
  <c r="BU70" i="5"/>
  <c r="BU197" i="10"/>
  <c r="BU37" i="10"/>
  <c r="BX216" i="5"/>
  <c r="BT26" i="7"/>
  <c r="BT199" i="7"/>
  <c r="BT26" i="5"/>
  <c r="BT199" i="5"/>
  <c r="BT8" i="11"/>
  <c r="BT10" i="11" s="1"/>
  <c r="BT31" i="11" s="1"/>
  <c r="BT34" i="11" s="1"/>
  <c r="BU30" i="11" s="1"/>
  <c r="BT26" i="10"/>
  <c r="BT199" i="10"/>
  <c r="BW197" i="5"/>
  <c r="BW37" i="5"/>
  <c r="BX207" i="5"/>
  <c r="BW68" i="7"/>
  <c r="BW33" i="7"/>
  <c r="BV68" i="10"/>
  <c r="BU70" i="10"/>
  <c r="BW218" i="7"/>
  <c r="BW242" i="7" s="1"/>
  <c r="BW267" i="7"/>
  <c r="BX267" i="10"/>
  <c r="BY15" i="10"/>
  <c r="BX15" i="7"/>
  <c r="BX15" i="5"/>
  <c r="BV83" i="7"/>
  <c r="BU41" i="7"/>
  <c r="BV33" i="10"/>
  <c r="BV83" i="5"/>
  <c r="BU41" i="5"/>
  <c r="BV83" i="10"/>
  <c r="BU41" i="10"/>
  <c r="BR241" i="5"/>
  <c r="BW207" i="7"/>
  <c r="BW9" i="7"/>
  <c r="BW14" i="7" s="1"/>
  <c r="BX169" i="7"/>
  <c r="BX161" i="7"/>
  <c r="BX153" i="7"/>
  <c r="BX145" i="7"/>
  <c r="BX137" i="7"/>
  <c r="BX129" i="7"/>
  <c r="BX166" i="7"/>
  <c r="BX158" i="7"/>
  <c r="BX150" i="7"/>
  <c r="BX142" i="7"/>
  <c r="BX171" i="7"/>
  <c r="BX163" i="7"/>
  <c r="BX155" i="7"/>
  <c r="BX167" i="7"/>
  <c r="BX159" i="7"/>
  <c r="BX151" i="7"/>
  <c r="BX164" i="7"/>
  <c r="BX170" i="7"/>
  <c r="BX165" i="7"/>
  <c r="BX154" i="7"/>
  <c r="BX149" i="7"/>
  <c r="BX148" i="7"/>
  <c r="BX146" i="7"/>
  <c r="BX133" i="7"/>
  <c r="BX123" i="7"/>
  <c r="BX115" i="7"/>
  <c r="BX172" i="7"/>
  <c r="BX132" i="7"/>
  <c r="BX131" i="7"/>
  <c r="BX120" i="7"/>
  <c r="BX168" i="7"/>
  <c r="BX157" i="7"/>
  <c r="BX130" i="7"/>
  <c r="BX162" i="7"/>
  <c r="BX160" i="7"/>
  <c r="BX152" i="7"/>
  <c r="BX147" i="7"/>
  <c r="BX134" i="7"/>
  <c r="BX125" i="7"/>
  <c r="BX121" i="7"/>
  <c r="BX117" i="7"/>
  <c r="BX104" i="7"/>
  <c r="BX43" i="7"/>
  <c r="BX24" i="7" s="1"/>
  <c r="BX10" i="7"/>
  <c r="BX40" i="7" s="1"/>
  <c r="BX217" i="7" s="1"/>
  <c r="BX122" i="7"/>
  <c r="BX138" i="7"/>
  <c r="BX126" i="7"/>
  <c r="BX106" i="7"/>
  <c r="BX135" i="7"/>
  <c r="BX118" i="7"/>
  <c r="BX116" i="7"/>
  <c r="BX139" i="7"/>
  <c r="BX119" i="7"/>
  <c r="BX141" i="7"/>
  <c r="BX136" i="7"/>
  <c r="BX127" i="7"/>
  <c r="BX113" i="7"/>
  <c r="BX112" i="7"/>
  <c r="BX156" i="7"/>
  <c r="BX143" i="7"/>
  <c r="BX124" i="7"/>
  <c r="BX111" i="7"/>
  <c r="BX114" i="7"/>
  <c r="BY4" i="7"/>
  <c r="BX144" i="7"/>
  <c r="BX128" i="7"/>
  <c r="BX105" i="7"/>
  <c r="BX108" i="7"/>
  <c r="BX140" i="7"/>
  <c r="BX109" i="7"/>
  <c r="BX107" i="7"/>
  <c r="BX39" i="7"/>
  <c r="BX8" i="7"/>
  <c r="BX110" i="7"/>
  <c r="BX11" i="7"/>
  <c r="BX204" i="7"/>
  <c r="BX206" i="7"/>
  <c r="BX49" i="7"/>
  <c r="BX48" i="7"/>
  <c r="BW4" i="11"/>
  <c r="BW167" i="10"/>
  <c r="BW159" i="10"/>
  <c r="BW151" i="10"/>
  <c r="BW164" i="10"/>
  <c r="BW169" i="10"/>
  <c r="BW161" i="10"/>
  <c r="BW165" i="10"/>
  <c r="BW157" i="10"/>
  <c r="BW154" i="10"/>
  <c r="BW153" i="10"/>
  <c r="BW143" i="10"/>
  <c r="BW135" i="10"/>
  <c r="BW127" i="10"/>
  <c r="BW170" i="10"/>
  <c r="BW152" i="10"/>
  <c r="BW148" i="10"/>
  <c r="BW140" i="10"/>
  <c r="BW145" i="10"/>
  <c r="BW163" i="10"/>
  <c r="BW158" i="10"/>
  <c r="BW150" i="10"/>
  <c r="BW142" i="10"/>
  <c r="BW166" i="10"/>
  <c r="BW138" i="10"/>
  <c r="BW137" i="10"/>
  <c r="BW120" i="10"/>
  <c r="BW112" i="10"/>
  <c r="BW171" i="10"/>
  <c r="BW155" i="10"/>
  <c r="BW146" i="10"/>
  <c r="BW136" i="10"/>
  <c r="BW125" i="10"/>
  <c r="BW160" i="10"/>
  <c r="BW134" i="10"/>
  <c r="BW122" i="10"/>
  <c r="BW168" i="10"/>
  <c r="BW147" i="10"/>
  <c r="BW128" i="10"/>
  <c r="BW126" i="10"/>
  <c r="BW110" i="10"/>
  <c r="BW109" i="10"/>
  <c r="BW144" i="10"/>
  <c r="BW132" i="10"/>
  <c r="BW108" i="10"/>
  <c r="BW149" i="10"/>
  <c r="BW141" i="10"/>
  <c r="BW124" i="10"/>
  <c r="BW107" i="10"/>
  <c r="BW106" i="10"/>
  <c r="BW130" i="10"/>
  <c r="BW118" i="10"/>
  <c r="BW117" i="10"/>
  <c r="BW105" i="10"/>
  <c r="BW162" i="10"/>
  <c r="BW139" i="10"/>
  <c r="BW133" i="10"/>
  <c r="BW156" i="10"/>
  <c r="BW131" i="10"/>
  <c r="BW119" i="10"/>
  <c r="BW116" i="10"/>
  <c r="BW43" i="10"/>
  <c r="BW24" i="10" s="1"/>
  <c r="BW114" i="10"/>
  <c r="BW129" i="10"/>
  <c r="BW113" i="10"/>
  <c r="BW121" i="10"/>
  <c r="BW11" i="10"/>
  <c r="BW123" i="10"/>
  <c r="BW115" i="10"/>
  <c r="BW111" i="10"/>
  <c r="BW104" i="10"/>
  <c r="BW8" i="10"/>
  <c r="BX4" i="10"/>
  <c r="BW39" i="10"/>
  <c r="BW10" i="10"/>
  <c r="BW40" i="10" s="1"/>
  <c r="BW217" i="10" s="1"/>
  <c r="BW9" i="10"/>
  <c r="BW14" i="10" s="1"/>
  <c r="BW218" i="10" s="1"/>
  <c r="BW204" i="10"/>
  <c r="BW49" i="10"/>
  <c r="BW206" i="10"/>
  <c r="BW48" i="10"/>
  <c r="BV69" i="10"/>
  <c r="BW69" i="10" s="1"/>
  <c r="BT70" i="7"/>
  <c r="BX216" i="7" l="1"/>
  <c r="BW216" i="10"/>
  <c r="BX9" i="7"/>
  <c r="BX14" i="7" s="1"/>
  <c r="BV197" i="10"/>
  <c r="BV37" i="10"/>
  <c r="BX68" i="7"/>
  <c r="BX197" i="5"/>
  <c r="BX37" i="5"/>
  <c r="BX4" i="11"/>
  <c r="BX172" i="10"/>
  <c r="BX164" i="10"/>
  <c r="BX156" i="10"/>
  <c r="BX169" i="10"/>
  <c r="BX161" i="10"/>
  <c r="BX166" i="10"/>
  <c r="BX158" i="10"/>
  <c r="BX170" i="10"/>
  <c r="BX162" i="10"/>
  <c r="BX165" i="10"/>
  <c r="BX159" i="10"/>
  <c r="BX152" i="10"/>
  <c r="BX148" i="10"/>
  <c r="BX140" i="10"/>
  <c r="BX132" i="10"/>
  <c r="BX151" i="10"/>
  <c r="BX145" i="10"/>
  <c r="BX163" i="10"/>
  <c r="BX150" i="10"/>
  <c r="BX142" i="10"/>
  <c r="BX168" i="10"/>
  <c r="BX160" i="10"/>
  <c r="BX147" i="10"/>
  <c r="BX171" i="10"/>
  <c r="BX155" i="10"/>
  <c r="BX146" i="10"/>
  <c r="BX136" i="10"/>
  <c r="BX125" i="10"/>
  <c r="BX117" i="10"/>
  <c r="BX109" i="10"/>
  <c r="BX153" i="10"/>
  <c r="BX135" i="10"/>
  <c r="BX134" i="10"/>
  <c r="BX122" i="10"/>
  <c r="BX144" i="10"/>
  <c r="BX139" i="10"/>
  <c r="BX133" i="10"/>
  <c r="BX119" i="10"/>
  <c r="BX127" i="10"/>
  <c r="BX123" i="10"/>
  <c r="BX138" i="10"/>
  <c r="BX120" i="10"/>
  <c r="BX108" i="10"/>
  <c r="BX167" i="10"/>
  <c r="BX149" i="10"/>
  <c r="BX141" i="10"/>
  <c r="BX124" i="10"/>
  <c r="BX107" i="10"/>
  <c r="BX106" i="10"/>
  <c r="BX130" i="10"/>
  <c r="BX118" i="10"/>
  <c r="BX105" i="10"/>
  <c r="BX154" i="10"/>
  <c r="BX128" i="10"/>
  <c r="BX116" i="10"/>
  <c r="BX137" i="10"/>
  <c r="BX131" i="10"/>
  <c r="BX129" i="10"/>
  <c r="BX114" i="10"/>
  <c r="BX157" i="10"/>
  <c r="BX126" i="10"/>
  <c r="BX112" i="10"/>
  <c r="BX104" i="10"/>
  <c r="BX143" i="10"/>
  <c r="BX121" i="10"/>
  <c r="BX111" i="10"/>
  <c r="BX113" i="10"/>
  <c r="BX11" i="10"/>
  <c r="BX39" i="10"/>
  <c r="BX10" i="10"/>
  <c r="BX40" i="10" s="1"/>
  <c r="BX217" i="10" s="1"/>
  <c r="BX115" i="10"/>
  <c r="BX8" i="10"/>
  <c r="BX110" i="10"/>
  <c r="BX43" i="10"/>
  <c r="BX24" i="10" s="1"/>
  <c r="BY4" i="10"/>
  <c r="BX9" i="10"/>
  <c r="BX14" i="10" s="1"/>
  <c r="BX218" i="10" s="1"/>
  <c r="BX242" i="10" s="1"/>
  <c r="BX204" i="10"/>
  <c r="BX48" i="10"/>
  <c r="BX206" i="10"/>
  <c r="BX49" i="10"/>
  <c r="BU26" i="7"/>
  <c r="BU199" i="7"/>
  <c r="BX5" i="11"/>
  <c r="BY5" i="10"/>
  <c r="BW33" i="10"/>
  <c r="BX207" i="7"/>
  <c r="BX267" i="5"/>
  <c r="BX218" i="5"/>
  <c r="BW83" i="7"/>
  <c r="BV41" i="7"/>
  <c r="BV70" i="5"/>
  <c r="BX33" i="7"/>
  <c r="BU8" i="11"/>
  <c r="BU10" i="11" s="1"/>
  <c r="BU31" i="11" s="1"/>
  <c r="BU34" i="11" s="1"/>
  <c r="BV30" i="11" s="1"/>
  <c r="BU199" i="10"/>
  <c r="BU26" i="10"/>
  <c r="BX267" i="7"/>
  <c r="BX218" i="7"/>
  <c r="BX242" i="7" s="1"/>
  <c r="BZ69" i="5"/>
  <c r="BS241" i="7"/>
  <c r="BX242" i="5"/>
  <c r="BS241" i="5"/>
  <c r="BV70" i="10"/>
  <c r="BX69" i="7"/>
  <c r="BY69" i="7" s="1"/>
  <c r="BZ173" i="5"/>
  <c r="BZ165" i="5"/>
  <c r="BZ157" i="5"/>
  <c r="BZ149" i="5"/>
  <c r="BZ141" i="5"/>
  <c r="BZ170" i="5"/>
  <c r="BZ162" i="5"/>
  <c r="BZ154" i="5"/>
  <c r="BZ174" i="5"/>
  <c r="BZ166" i="5"/>
  <c r="BZ158" i="5"/>
  <c r="BZ150" i="5"/>
  <c r="BZ164" i="5"/>
  <c r="BZ160" i="5"/>
  <c r="BZ148" i="5"/>
  <c r="BZ132" i="5"/>
  <c r="BZ124" i="5"/>
  <c r="BZ116" i="5"/>
  <c r="BZ108" i="5"/>
  <c r="BZ172" i="5"/>
  <c r="BZ168" i="5"/>
  <c r="BZ137" i="5"/>
  <c r="BZ129" i="5"/>
  <c r="BZ121" i="5"/>
  <c r="BZ113" i="5"/>
  <c r="BZ105" i="5"/>
  <c r="BZ151" i="5"/>
  <c r="BZ146" i="5"/>
  <c r="BZ134" i="5"/>
  <c r="BZ126" i="5"/>
  <c r="BZ118" i="5"/>
  <c r="BZ110" i="5"/>
  <c r="BZ140" i="5"/>
  <c r="BZ138" i="5"/>
  <c r="BZ130" i="5"/>
  <c r="BZ122" i="5"/>
  <c r="BZ114" i="5"/>
  <c r="BZ106" i="5"/>
  <c r="BZ153" i="5"/>
  <c r="BZ145" i="5"/>
  <c r="BZ123" i="5"/>
  <c r="BZ107" i="5"/>
  <c r="BZ161" i="5"/>
  <c r="BZ143" i="5"/>
  <c r="BZ128" i="5"/>
  <c r="BZ112" i="5"/>
  <c r="BZ43" i="5"/>
  <c r="BZ24" i="5" s="1"/>
  <c r="BZ10" i="5"/>
  <c r="BZ40" i="5" s="1"/>
  <c r="BZ217" i="5" s="1"/>
  <c r="BZ169" i="5"/>
  <c r="BZ133" i="5"/>
  <c r="BZ117" i="5"/>
  <c r="BZ156" i="5"/>
  <c r="BZ152" i="5"/>
  <c r="BZ147" i="5"/>
  <c r="BZ139" i="5"/>
  <c r="BZ127" i="5"/>
  <c r="BZ159" i="5"/>
  <c r="BZ155" i="5"/>
  <c r="BZ131" i="5"/>
  <c r="BZ167" i="5"/>
  <c r="BZ163" i="5"/>
  <c r="BZ144" i="5"/>
  <c r="BZ136" i="5"/>
  <c r="BZ120" i="5"/>
  <c r="BZ171" i="5"/>
  <c r="BZ142" i="5"/>
  <c r="BZ125" i="5"/>
  <c r="BZ109" i="5"/>
  <c r="CA4" i="5"/>
  <c r="BZ8" i="5"/>
  <c r="BZ119" i="5"/>
  <c r="BZ104" i="5"/>
  <c r="BZ115" i="5"/>
  <c r="BZ39" i="5"/>
  <c r="BZ111" i="5"/>
  <c r="BZ9" i="5"/>
  <c r="BZ14" i="5" s="1"/>
  <c r="BZ135" i="5"/>
  <c r="BZ204" i="5"/>
  <c r="BZ11" i="5"/>
  <c r="BZ48" i="5"/>
  <c r="BZ206" i="5"/>
  <c r="BZ49" i="5"/>
  <c r="BW83" i="10"/>
  <c r="BV41" i="10"/>
  <c r="BU70" i="7"/>
  <c r="BV70" i="7" s="1"/>
  <c r="BY166" i="7"/>
  <c r="BY158" i="7"/>
  <c r="BY150" i="7"/>
  <c r="BY142" i="7"/>
  <c r="BY134" i="7"/>
  <c r="BY126" i="7"/>
  <c r="BY171" i="7"/>
  <c r="BY163" i="7"/>
  <c r="BY155" i="7"/>
  <c r="BY147" i="7"/>
  <c r="BY168" i="7"/>
  <c r="BY160" i="7"/>
  <c r="BY152" i="7"/>
  <c r="BY172" i="7"/>
  <c r="BY164" i="7"/>
  <c r="BY156" i="7"/>
  <c r="BY148" i="7"/>
  <c r="BY169" i="7"/>
  <c r="BY153" i="7"/>
  <c r="BY173" i="7"/>
  <c r="BY132" i="7"/>
  <c r="BY131" i="7"/>
  <c r="BY120" i="7"/>
  <c r="BY112" i="7"/>
  <c r="BY161" i="7"/>
  <c r="BY157" i="7"/>
  <c r="BY130" i="7"/>
  <c r="BY117" i="7"/>
  <c r="BY159" i="7"/>
  <c r="BY143" i="7"/>
  <c r="BY129" i="7"/>
  <c r="BY128" i="7"/>
  <c r="BY170" i="7"/>
  <c r="BY165" i="7"/>
  <c r="BY122" i="7"/>
  <c r="BY145" i="7"/>
  <c r="BY138" i="7"/>
  <c r="BY106" i="7"/>
  <c r="BY146" i="7"/>
  <c r="BY135" i="7"/>
  <c r="BY118" i="7"/>
  <c r="BY116" i="7"/>
  <c r="BY154" i="7"/>
  <c r="BY149" i="7"/>
  <c r="BY139" i="7"/>
  <c r="BY123" i="7"/>
  <c r="BY119" i="7"/>
  <c r="BY115" i="7"/>
  <c r="BY167" i="7"/>
  <c r="BY141" i="7"/>
  <c r="BY136" i="7"/>
  <c r="BY127" i="7"/>
  <c r="BY133" i="7"/>
  <c r="BY124" i="7"/>
  <c r="BY162" i="7"/>
  <c r="BY151" i="7"/>
  <c r="BY144" i="7"/>
  <c r="BY140" i="7"/>
  <c r="BY110" i="7"/>
  <c r="BY109" i="7"/>
  <c r="BY107" i="7"/>
  <c r="BZ4" i="7"/>
  <c r="BY105" i="7"/>
  <c r="BY10" i="7"/>
  <c r="BY40" i="7" s="1"/>
  <c r="BY217" i="7" s="1"/>
  <c r="BY39" i="7"/>
  <c r="BY125" i="7"/>
  <c r="BY108" i="7"/>
  <c r="BY111" i="7"/>
  <c r="BY137" i="7"/>
  <c r="BY121" i="7"/>
  <c r="BY114" i="7"/>
  <c r="BY8" i="7"/>
  <c r="BY104" i="7"/>
  <c r="BY43" i="7"/>
  <c r="BY24" i="7" s="1"/>
  <c r="BY113" i="7"/>
  <c r="BY11" i="7"/>
  <c r="BY204" i="7"/>
  <c r="BY48" i="7"/>
  <c r="BY206" i="7"/>
  <c r="BY49" i="7"/>
  <c r="BU26" i="5"/>
  <c r="BU199" i="5"/>
  <c r="BW68" i="10"/>
  <c r="BY33" i="5"/>
  <c r="BU241" i="10"/>
  <c r="BY267" i="10"/>
  <c r="BZ15" i="10"/>
  <c r="BY15" i="7"/>
  <c r="BY15" i="5"/>
  <c r="BX69" i="10"/>
  <c r="BW207" i="10"/>
  <c r="BW83" i="5"/>
  <c r="BV41" i="5"/>
  <c r="BW197" i="7"/>
  <c r="BW37" i="7"/>
  <c r="BY207" i="5"/>
  <c r="BY216" i="5"/>
  <c r="BX197" i="7" l="1"/>
  <c r="BX37" i="7"/>
  <c r="BX216" i="10"/>
  <c r="BZ216" i="5"/>
  <c r="BY216" i="7"/>
  <c r="BY4" i="11"/>
  <c r="BY169" i="10"/>
  <c r="BY161" i="10"/>
  <c r="BY153" i="10"/>
  <c r="BY166" i="10"/>
  <c r="BY158" i="10"/>
  <c r="BY171" i="10"/>
  <c r="BY163" i="10"/>
  <c r="BY167" i="10"/>
  <c r="BY170" i="10"/>
  <c r="BY151" i="10"/>
  <c r="BY145" i="10"/>
  <c r="BY137" i="10"/>
  <c r="BY129" i="10"/>
  <c r="BY164" i="10"/>
  <c r="BY150" i="10"/>
  <c r="BY142" i="10"/>
  <c r="BY168" i="10"/>
  <c r="BY160" i="10"/>
  <c r="BY147" i="10"/>
  <c r="BY139" i="10"/>
  <c r="BY173" i="10"/>
  <c r="BY144" i="10"/>
  <c r="BY135" i="10"/>
  <c r="BY134" i="10"/>
  <c r="BY122" i="10"/>
  <c r="BY114" i="10"/>
  <c r="BY106" i="10"/>
  <c r="BY133" i="10"/>
  <c r="BY119" i="10"/>
  <c r="BY162" i="10"/>
  <c r="BY149" i="10"/>
  <c r="BY141" i="10"/>
  <c r="BY132" i="10"/>
  <c r="BY131" i="10"/>
  <c r="BY124" i="10"/>
  <c r="BY138" i="10"/>
  <c r="BY120" i="10"/>
  <c r="BY155" i="10"/>
  <c r="BY146" i="10"/>
  <c r="BY136" i="10"/>
  <c r="BY125" i="10"/>
  <c r="BY107" i="10"/>
  <c r="BY130" i="10"/>
  <c r="BY118" i="10"/>
  <c r="BY105" i="10"/>
  <c r="BY154" i="10"/>
  <c r="BY128" i="10"/>
  <c r="BY117" i="10"/>
  <c r="BY116" i="10"/>
  <c r="BY159" i="10"/>
  <c r="BY123" i="10"/>
  <c r="BY115" i="10"/>
  <c r="BY140" i="10"/>
  <c r="BY172" i="10"/>
  <c r="BY156" i="10"/>
  <c r="BY157" i="10"/>
  <c r="BY143" i="10"/>
  <c r="BY126" i="10"/>
  <c r="BY112" i="10"/>
  <c r="BY104" i="10"/>
  <c r="BY110" i="10"/>
  <c r="BY127" i="10"/>
  <c r="BY152" i="10"/>
  <c r="BY165" i="10"/>
  <c r="BY148" i="10"/>
  <c r="BY113" i="10"/>
  <c r="BY11" i="10"/>
  <c r="BY121" i="10"/>
  <c r="BY39" i="10"/>
  <c r="BY10" i="10"/>
  <c r="BY40" i="10" s="1"/>
  <c r="BY217" i="10" s="1"/>
  <c r="BY109" i="10"/>
  <c r="BY108" i="10"/>
  <c r="BY111" i="10"/>
  <c r="BY43" i="10"/>
  <c r="BY24" i="10" s="1"/>
  <c r="BZ4" i="10"/>
  <c r="BY8" i="10"/>
  <c r="BY9" i="10"/>
  <c r="BY14" i="10" s="1"/>
  <c r="BY218" i="10" s="1"/>
  <c r="BY242" i="10" s="1"/>
  <c r="BY204" i="10"/>
  <c r="BY48" i="10"/>
  <c r="BY49" i="10"/>
  <c r="BY206" i="10"/>
  <c r="BX207" i="10"/>
  <c r="BY68" i="7"/>
  <c r="BT241" i="7"/>
  <c r="BT241" i="5"/>
  <c r="BY197" i="5"/>
  <c r="BY37" i="5"/>
  <c r="BZ171" i="7"/>
  <c r="BZ163" i="7"/>
  <c r="BZ155" i="7"/>
  <c r="BZ147" i="7"/>
  <c r="BZ139" i="7"/>
  <c r="BZ131" i="7"/>
  <c r="BZ168" i="7"/>
  <c r="BZ160" i="7"/>
  <c r="BZ152" i="7"/>
  <c r="BZ144" i="7"/>
  <c r="BZ173" i="7"/>
  <c r="BZ165" i="7"/>
  <c r="BZ157" i="7"/>
  <c r="BZ169" i="7"/>
  <c r="BZ161" i="7"/>
  <c r="BZ153" i="7"/>
  <c r="BZ174" i="7"/>
  <c r="BZ158" i="7"/>
  <c r="BZ172" i="7"/>
  <c r="BZ142" i="7"/>
  <c r="BZ130" i="7"/>
  <c r="BZ117" i="7"/>
  <c r="BZ109" i="7"/>
  <c r="BZ159" i="7"/>
  <c r="BZ143" i="7"/>
  <c r="BZ129" i="7"/>
  <c r="BZ128" i="7"/>
  <c r="BZ122" i="7"/>
  <c r="BZ150" i="7"/>
  <c r="BZ140" i="7"/>
  <c r="BZ127" i="7"/>
  <c r="BZ145" i="7"/>
  <c r="BZ138" i="7"/>
  <c r="BZ106" i="7"/>
  <c r="BZ148" i="7"/>
  <c r="BZ146" i="7"/>
  <c r="BZ135" i="7"/>
  <c r="BZ126" i="7"/>
  <c r="BZ118" i="7"/>
  <c r="BZ116" i="7"/>
  <c r="BZ164" i="7"/>
  <c r="BZ154" i="7"/>
  <c r="BZ149" i="7"/>
  <c r="BZ132" i="7"/>
  <c r="BZ123" i="7"/>
  <c r="BZ119" i="7"/>
  <c r="BZ115" i="7"/>
  <c r="BZ114" i="7"/>
  <c r="BZ108" i="7"/>
  <c r="BZ167" i="7"/>
  <c r="BZ141" i="7"/>
  <c r="BZ136" i="7"/>
  <c r="BZ133" i="7"/>
  <c r="BZ124" i="7"/>
  <c r="BZ166" i="7"/>
  <c r="BZ162" i="7"/>
  <c r="BZ156" i="7"/>
  <c r="BZ151" i="7"/>
  <c r="BZ120" i="7"/>
  <c r="BZ137" i="7"/>
  <c r="BZ125" i="7"/>
  <c r="BZ121" i="7"/>
  <c r="BZ104" i="7"/>
  <c r="BZ43" i="7"/>
  <c r="BZ24" i="7" s="1"/>
  <c r="BZ170" i="7"/>
  <c r="BZ134" i="7"/>
  <c r="BZ105" i="7"/>
  <c r="BZ10" i="7"/>
  <c r="BZ40" i="7" s="1"/>
  <c r="BZ217" i="7" s="1"/>
  <c r="BZ39" i="7"/>
  <c r="BZ113" i="7"/>
  <c r="BZ110" i="7"/>
  <c r="BZ111" i="7"/>
  <c r="BZ112" i="7"/>
  <c r="BZ107" i="7"/>
  <c r="CA4" i="7"/>
  <c r="BZ8" i="7"/>
  <c r="BZ11" i="7"/>
  <c r="BZ204" i="7"/>
  <c r="BZ48" i="7"/>
  <c r="BZ206" i="7"/>
  <c r="BZ49" i="7"/>
  <c r="BV8" i="11"/>
  <c r="BV10" i="11" s="1"/>
  <c r="BV31" i="11" s="1"/>
  <c r="BV34" i="11" s="1"/>
  <c r="BW30" i="11" s="1"/>
  <c r="BV199" i="10"/>
  <c r="BV26" i="10"/>
  <c r="BZ33" i="5"/>
  <c r="BV199" i="7"/>
  <c r="BV26" i="7"/>
  <c r="BX33" i="10"/>
  <c r="BW197" i="10"/>
  <c r="BW37" i="10"/>
  <c r="BY267" i="7"/>
  <c r="BX83" i="10"/>
  <c r="BW41" i="10"/>
  <c r="CA170" i="5"/>
  <c r="CA162" i="5"/>
  <c r="CA154" i="5"/>
  <c r="CA146" i="5"/>
  <c r="CA175" i="5"/>
  <c r="CA167" i="5"/>
  <c r="CA159" i="5"/>
  <c r="CA151" i="5"/>
  <c r="CA171" i="5"/>
  <c r="CA163" i="5"/>
  <c r="CA155" i="5"/>
  <c r="CA172" i="5"/>
  <c r="CA168" i="5"/>
  <c r="CA166" i="5"/>
  <c r="CA137" i="5"/>
  <c r="CA129" i="5"/>
  <c r="CA121" i="5"/>
  <c r="CA113" i="5"/>
  <c r="CA105" i="5"/>
  <c r="CA174" i="5"/>
  <c r="CA134" i="5"/>
  <c r="CA126" i="5"/>
  <c r="CA118" i="5"/>
  <c r="CA110" i="5"/>
  <c r="CA153" i="5"/>
  <c r="CA149" i="5"/>
  <c r="CA145" i="5"/>
  <c r="CA131" i="5"/>
  <c r="CA123" i="5"/>
  <c r="CA115" i="5"/>
  <c r="CA107" i="5"/>
  <c r="CA156" i="5"/>
  <c r="CA152" i="5"/>
  <c r="CA150" i="5"/>
  <c r="CA147" i="5"/>
  <c r="CA139" i="5"/>
  <c r="CA135" i="5"/>
  <c r="CA127" i="5"/>
  <c r="CA119" i="5"/>
  <c r="CA111" i="5"/>
  <c r="CA161" i="5"/>
  <c r="CA157" i="5"/>
  <c r="CA143" i="5"/>
  <c r="CA128" i="5"/>
  <c r="CA112" i="5"/>
  <c r="CA43" i="5"/>
  <c r="CA24" i="5" s="1"/>
  <c r="CA10" i="5"/>
  <c r="CA40" i="5" s="1"/>
  <c r="CA217" i="5" s="1"/>
  <c r="CA169" i="5"/>
  <c r="CA165" i="5"/>
  <c r="CA133" i="5"/>
  <c r="CA117" i="5"/>
  <c r="CA173" i="5"/>
  <c r="CA141" i="5"/>
  <c r="CA138" i="5"/>
  <c r="CA122" i="5"/>
  <c r="CA106" i="5"/>
  <c r="CA9" i="5"/>
  <c r="CA14" i="5" s="1"/>
  <c r="CA164" i="5"/>
  <c r="CA160" i="5"/>
  <c r="CA148" i="5"/>
  <c r="CA132" i="5"/>
  <c r="CA144" i="5"/>
  <c r="CA136" i="5"/>
  <c r="CA142" i="5"/>
  <c r="CA125" i="5"/>
  <c r="CA140" i="5"/>
  <c r="CA130" i="5"/>
  <c r="CA114" i="5"/>
  <c r="CA109" i="5"/>
  <c r="CA104" i="5"/>
  <c r="CA158" i="5"/>
  <c r="CA39" i="5"/>
  <c r="CB4" i="5"/>
  <c r="CA11" i="5"/>
  <c r="CA108" i="5"/>
  <c r="CA124" i="5"/>
  <c r="CA116" i="5"/>
  <c r="CA120" i="5"/>
  <c r="CA8" i="5"/>
  <c r="CA204" i="5"/>
  <c r="CA48" i="5"/>
  <c r="CA206" i="5"/>
  <c r="CA49" i="5"/>
  <c r="BX83" i="7"/>
  <c r="BW41" i="7"/>
  <c r="BY5" i="11"/>
  <c r="BZ5" i="10"/>
  <c r="BV241" i="10"/>
  <c r="BV26" i="5"/>
  <c r="BV199" i="5"/>
  <c r="BY207" i="7"/>
  <c r="BZ68" i="5"/>
  <c r="CA68" i="5" s="1"/>
  <c r="BY33" i="7"/>
  <c r="BZ207" i="5"/>
  <c r="BW70" i="7"/>
  <c r="BY267" i="5"/>
  <c r="BY218" i="5"/>
  <c r="BY242" i="5" s="1"/>
  <c r="BX68" i="10"/>
  <c r="BZ267" i="10"/>
  <c r="CA15" i="10"/>
  <c r="BZ15" i="7"/>
  <c r="BZ15" i="5"/>
  <c r="BX83" i="5"/>
  <c r="BW41" i="5"/>
  <c r="BY9" i="7"/>
  <c r="BY14" i="7" s="1"/>
  <c r="BY218" i="7" s="1"/>
  <c r="BY242" i="7" s="1"/>
  <c r="BZ267" i="5" l="1"/>
  <c r="BZ218" i="5"/>
  <c r="BZ242" i="5" s="1"/>
  <c r="CA207" i="5"/>
  <c r="BW8" i="11"/>
  <c r="BW10" i="11" s="1"/>
  <c r="BW31" i="11" s="1"/>
  <c r="BW34" i="11" s="1"/>
  <c r="BX30" i="11" s="1"/>
  <c r="BW199" i="10"/>
  <c r="BW26" i="10"/>
  <c r="BX197" i="10"/>
  <c r="BX37" i="10"/>
  <c r="BY83" i="5"/>
  <c r="BX41" i="5"/>
  <c r="BZ33" i="7"/>
  <c r="BZ216" i="7"/>
  <c r="BZ68" i="7"/>
  <c r="CA168" i="7"/>
  <c r="CA160" i="7"/>
  <c r="CA152" i="7"/>
  <c r="CA144" i="7"/>
  <c r="CA136" i="7"/>
  <c r="CA128" i="7"/>
  <c r="CA173" i="7"/>
  <c r="CA165" i="7"/>
  <c r="CA157" i="7"/>
  <c r="CA149" i="7"/>
  <c r="CA141" i="7"/>
  <c r="CA170" i="7"/>
  <c r="CA162" i="7"/>
  <c r="CA154" i="7"/>
  <c r="CA174" i="7"/>
  <c r="CA166" i="7"/>
  <c r="CA158" i="7"/>
  <c r="CA150" i="7"/>
  <c r="CA163" i="7"/>
  <c r="CA172" i="7"/>
  <c r="CA161" i="7"/>
  <c r="CA159" i="7"/>
  <c r="CA143" i="7"/>
  <c r="CA129" i="7"/>
  <c r="CA122" i="7"/>
  <c r="CA114" i="7"/>
  <c r="CA140" i="7"/>
  <c r="CA127" i="7"/>
  <c r="CA119" i="7"/>
  <c r="CA175" i="7"/>
  <c r="CA171" i="7"/>
  <c r="CA155" i="7"/>
  <c r="CA151" i="7"/>
  <c r="CA147" i="7"/>
  <c r="CA139" i="7"/>
  <c r="CA138" i="7"/>
  <c r="CA126" i="7"/>
  <c r="CA125" i="7"/>
  <c r="CA167" i="7"/>
  <c r="CA153" i="7"/>
  <c r="CA148" i="7"/>
  <c r="CA146" i="7"/>
  <c r="CA135" i="7"/>
  <c r="CA118" i="7"/>
  <c r="CA116" i="7"/>
  <c r="CA164" i="7"/>
  <c r="CA132" i="7"/>
  <c r="CA123" i="7"/>
  <c r="CA115" i="7"/>
  <c r="CA108" i="7"/>
  <c r="CA39" i="7"/>
  <c r="CA8" i="7"/>
  <c r="CA113" i="7"/>
  <c r="CA105" i="7"/>
  <c r="CA133" i="7"/>
  <c r="CA124" i="7"/>
  <c r="CA156" i="7"/>
  <c r="CA130" i="7"/>
  <c r="CA120" i="7"/>
  <c r="CA142" i="7"/>
  <c r="CA137" i="7"/>
  <c r="CA121" i="7"/>
  <c r="CA134" i="7"/>
  <c r="CA131" i="7"/>
  <c r="CA110" i="7"/>
  <c r="CA169" i="7"/>
  <c r="CA104" i="7"/>
  <c r="CA111" i="7"/>
  <c r="CA145" i="7"/>
  <c r="CA112" i="7"/>
  <c r="CA107" i="7"/>
  <c r="CA117" i="7"/>
  <c r="CA109" i="7"/>
  <c r="CA43" i="7"/>
  <c r="CA24" i="7" s="1"/>
  <c r="CB4" i="7"/>
  <c r="CA106" i="7"/>
  <c r="CA10" i="7"/>
  <c r="CA40" i="7" s="1"/>
  <c r="CA217" i="7" s="1"/>
  <c r="CA204" i="7"/>
  <c r="CA11" i="7"/>
  <c r="CA49" i="7"/>
  <c r="CA48" i="7"/>
  <c r="CA206" i="7"/>
  <c r="BU241" i="5"/>
  <c r="BZ218" i="7"/>
  <c r="BZ242" i="7" s="1"/>
  <c r="BZ267" i="7"/>
  <c r="BY83" i="10"/>
  <c r="BX41" i="10"/>
  <c r="BY216" i="10"/>
  <c r="BZ4" i="11"/>
  <c r="BZ174" i="10"/>
  <c r="BZ166" i="10"/>
  <c r="BZ158" i="10"/>
  <c r="BZ171" i="10"/>
  <c r="BZ163" i="10"/>
  <c r="BZ168" i="10"/>
  <c r="BZ160" i="10"/>
  <c r="BZ172" i="10"/>
  <c r="BZ164" i="10"/>
  <c r="BZ150" i="10"/>
  <c r="BZ142" i="10"/>
  <c r="BZ134" i="10"/>
  <c r="BZ169" i="10"/>
  <c r="BZ147" i="10"/>
  <c r="BZ139" i="10"/>
  <c r="BZ173" i="10"/>
  <c r="BZ144" i="10"/>
  <c r="BZ162" i="10"/>
  <c r="BZ149" i="10"/>
  <c r="BZ153" i="10"/>
  <c r="BZ133" i="10"/>
  <c r="BZ119" i="10"/>
  <c r="BZ111" i="10"/>
  <c r="BZ161" i="10"/>
  <c r="BZ151" i="10"/>
  <c r="BZ145" i="10"/>
  <c r="BZ141" i="10"/>
  <c r="BZ132" i="10"/>
  <c r="BZ131" i="10"/>
  <c r="BZ124" i="10"/>
  <c r="BZ167" i="10"/>
  <c r="BZ156" i="10"/>
  <c r="BZ130" i="10"/>
  <c r="BZ121" i="10"/>
  <c r="BZ155" i="10"/>
  <c r="BZ146" i="10"/>
  <c r="BZ140" i="10"/>
  <c r="BZ137" i="10"/>
  <c r="BZ136" i="10"/>
  <c r="BZ125" i="10"/>
  <c r="BZ118" i="10"/>
  <c r="BZ106" i="10"/>
  <c r="BZ105" i="10"/>
  <c r="BZ154" i="10"/>
  <c r="BZ128" i="10"/>
  <c r="BZ117" i="10"/>
  <c r="BZ116" i="10"/>
  <c r="BZ159" i="10"/>
  <c r="BZ123" i="10"/>
  <c r="BZ115" i="10"/>
  <c r="BZ170" i="10"/>
  <c r="BZ114" i="10"/>
  <c r="BZ113" i="10"/>
  <c r="BZ104" i="10"/>
  <c r="BZ135" i="10"/>
  <c r="BZ157" i="10"/>
  <c r="BZ143" i="10"/>
  <c r="BZ129" i="10"/>
  <c r="BZ126" i="10"/>
  <c r="BZ165" i="10"/>
  <c r="BZ152" i="10"/>
  <c r="BZ148" i="10"/>
  <c r="BZ127" i="10"/>
  <c r="BZ122" i="10"/>
  <c r="BZ112" i="10"/>
  <c r="BZ110" i="10"/>
  <c r="BZ108" i="10"/>
  <c r="BZ138" i="10"/>
  <c r="BZ109" i="10"/>
  <c r="BZ39" i="10"/>
  <c r="BZ10" i="10"/>
  <c r="BZ40" i="10" s="1"/>
  <c r="BZ217" i="10" s="1"/>
  <c r="BZ43" i="10"/>
  <c r="BZ24" i="10" s="1"/>
  <c r="BZ9" i="10"/>
  <c r="BZ14" i="10" s="1"/>
  <c r="BZ218" i="10" s="1"/>
  <c r="BZ242" i="10" s="1"/>
  <c r="BZ120" i="10"/>
  <c r="BZ107" i="10"/>
  <c r="BZ8" i="10"/>
  <c r="BZ11" i="10"/>
  <c r="CA4" i="10"/>
  <c r="BZ204" i="10"/>
  <c r="BZ206" i="10"/>
  <c r="BZ48" i="10"/>
  <c r="BZ49" i="10"/>
  <c r="BY207" i="10"/>
  <c r="BY69" i="10"/>
  <c r="CA216" i="5"/>
  <c r="BZ9" i="7"/>
  <c r="BZ14" i="7" s="1"/>
  <c r="BU241" i="7"/>
  <c r="BZ197" i="5"/>
  <c r="BZ37" i="5"/>
  <c r="BW70" i="10"/>
  <c r="BX70" i="10" s="1"/>
  <c r="CB175" i="5"/>
  <c r="CB167" i="5"/>
  <c r="CB159" i="5"/>
  <c r="CB151" i="5"/>
  <c r="CB143" i="5"/>
  <c r="CB172" i="5"/>
  <c r="CB164" i="5"/>
  <c r="CB156" i="5"/>
  <c r="CB148" i="5"/>
  <c r="CB176" i="5"/>
  <c r="CB168" i="5"/>
  <c r="CB160" i="5"/>
  <c r="CB152" i="5"/>
  <c r="CB174" i="5"/>
  <c r="CB170" i="5"/>
  <c r="CB134" i="5"/>
  <c r="CB126" i="5"/>
  <c r="CB118" i="5"/>
  <c r="CB110" i="5"/>
  <c r="CB153" i="5"/>
  <c r="CB149" i="5"/>
  <c r="CB146" i="5"/>
  <c r="CB145" i="5"/>
  <c r="CB131" i="5"/>
  <c r="CB123" i="5"/>
  <c r="CB115" i="5"/>
  <c r="CB107" i="5"/>
  <c r="CB161" i="5"/>
  <c r="CB157" i="5"/>
  <c r="CB155" i="5"/>
  <c r="CB144" i="5"/>
  <c r="CB136" i="5"/>
  <c r="CB128" i="5"/>
  <c r="CB120" i="5"/>
  <c r="CB112" i="5"/>
  <c r="CB104" i="5"/>
  <c r="CB158" i="5"/>
  <c r="CB154" i="5"/>
  <c r="CB132" i="5"/>
  <c r="CB124" i="5"/>
  <c r="CB116" i="5"/>
  <c r="CB108" i="5"/>
  <c r="CB169" i="5"/>
  <c r="CB165" i="5"/>
  <c r="CB133" i="5"/>
  <c r="CB117" i="5"/>
  <c r="CB173" i="5"/>
  <c r="CB141" i="5"/>
  <c r="CB138" i="5"/>
  <c r="CB122" i="5"/>
  <c r="CB106" i="5"/>
  <c r="CB147" i="5"/>
  <c r="CB139" i="5"/>
  <c r="CB127" i="5"/>
  <c r="CB111" i="5"/>
  <c r="CB137" i="5"/>
  <c r="CB121" i="5"/>
  <c r="CB163" i="5"/>
  <c r="CB142" i="5"/>
  <c r="CB171" i="5"/>
  <c r="CB140" i="5"/>
  <c r="CB130" i="5"/>
  <c r="CB150" i="5"/>
  <c r="CB135" i="5"/>
  <c r="CB119" i="5"/>
  <c r="CB166" i="5"/>
  <c r="CB114" i="5"/>
  <c r="CB43" i="5"/>
  <c r="CB24" i="5" s="1"/>
  <c r="CB105" i="5"/>
  <c r="CB125" i="5"/>
  <c r="CB39" i="5"/>
  <c r="CC4" i="5"/>
  <c r="CB10" i="5"/>
  <c r="CB40" i="5" s="1"/>
  <c r="CB217" i="5" s="1"/>
  <c r="CB162" i="5"/>
  <c r="CB113" i="5"/>
  <c r="CB129" i="5"/>
  <c r="CB8" i="5"/>
  <c r="CB109" i="5"/>
  <c r="CB11" i="5"/>
  <c r="CB204" i="5"/>
  <c r="CB49" i="5"/>
  <c r="CB48" i="5"/>
  <c r="CB206" i="5"/>
  <c r="BZ5" i="11"/>
  <c r="CA5" i="10"/>
  <c r="BY33" i="10"/>
  <c r="CA267" i="10"/>
  <c r="CB15" i="10"/>
  <c r="CA15" i="7"/>
  <c r="CA15" i="5"/>
  <c r="BW26" i="7"/>
  <c r="BW199" i="7"/>
  <c r="BY83" i="7"/>
  <c r="BX41" i="7"/>
  <c r="CA33" i="5"/>
  <c r="BW26" i="5"/>
  <c r="BW199" i="5"/>
  <c r="BY68" i="10"/>
  <c r="BY197" i="7"/>
  <c r="BY37" i="7"/>
  <c r="BW241" i="10"/>
  <c r="BZ207" i="7"/>
  <c r="BW70" i="5"/>
  <c r="BX70" i="5" s="1"/>
  <c r="CA69" i="5"/>
  <c r="BZ69" i="7"/>
  <c r="CA69" i="7" s="1"/>
  <c r="BZ33" i="10" l="1"/>
  <c r="BX26" i="7"/>
  <c r="BX199" i="7"/>
  <c r="BY197" i="10"/>
  <c r="BY37" i="10"/>
  <c r="BY70" i="5"/>
  <c r="BZ68" i="10"/>
  <c r="CA68" i="10" s="1"/>
  <c r="CA218" i="5"/>
  <c r="CA242" i="5" s="1"/>
  <c r="CA267" i="5"/>
  <c r="CB216" i="5"/>
  <c r="BX70" i="7"/>
  <c r="CA207" i="7"/>
  <c r="CA216" i="7"/>
  <c r="CA68" i="7"/>
  <c r="CB68" i="5"/>
  <c r="BZ207" i="10"/>
  <c r="CA4" i="11"/>
  <c r="CA171" i="10"/>
  <c r="CA163" i="10"/>
  <c r="CA155" i="10"/>
  <c r="CA168" i="10"/>
  <c r="CA160" i="10"/>
  <c r="CA173" i="10"/>
  <c r="CA165" i="10"/>
  <c r="CA157" i="10"/>
  <c r="CA169" i="10"/>
  <c r="CA164" i="10"/>
  <c r="CA147" i="10"/>
  <c r="CA139" i="10"/>
  <c r="CA131" i="10"/>
  <c r="CA174" i="10"/>
  <c r="CA144" i="10"/>
  <c r="CA162" i="10"/>
  <c r="CA158" i="10"/>
  <c r="CA149" i="10"/>
  <c r="CA141" i="10"/>
  <c r="CA167" i="10"/>
  <c r="CA156" i="10"/>
  <c r="CA146" i="10"/>
  <c r="CA161" i="10"/>
  <c r="CA151" i="10"/>
  <c r="CA145" i="10"/>
  <c r="CA132" i="10"/>
  <c r="CA124" i="10"/>
  <c r="CA116" i="10"/>
  <c r="CA108" i="10"/>
  <c r="CA150" i="10"/>
  <c r="CA130" i="10"/>
  <c r="CA121" i="10"/>
  <c r="CA172" i="10"/>
  <c r="CA154" i="10"/>
  <c r="CA143" i="10"/>
  <c r="CA129" i="10"/>
  <c r="CA128" i="10"/>
  <c r="CA126" i="10"/>
  <c r="CA135" i="10"/>
  <c r="CA122" i="10"/>
  <c r="CA134" i="10"/>
  <c r="CA117" i="10"/>
  <c r="CA159" i="10"/>
  <c r="CA123" i="10"/>
  <c r="CA115" i="10"/>
  <c r="CA170" i="10"/>
  <c r="CA114" i="10"/>
  <c r="CA113" i="10"/>
  <c r="CA104" i="10"/>
  <c r="CA142" i="10"/>
  <c r="CA140" i="10"/>
  <c r="CA137" i="10"/>
  <c r="CA119" i="10"/>
  <c r="CA112" i="10"/>
  <c r="CA166" i="10"/>
  <c r="CA153" i="10"/>
  <c r="CA133" i="10"/>
  <c r="CA152" i="10"/>
  <c r="CA148" i="10"/>
  <c r="CA127" i="10"/>
  <c r="CA138" i="10"/>
  <c r="CA110" i="10"/>
  <c r="CA175" i="10"/>
  <c r="CA120" i="10"/>
  <c r="CA136" i="10"/>
  <c r="CA107" i="10"/>
  <c r="CA125" i="10"/>
  <c r="CA109" i="10"/>
  <c r="CA43" i="10"/>
  <c r="CA24" i="10" s="1"/>
  <c r="CA105" i="10"/>
  <c r="CA111" i="10"/>
  <c r="CA118" i="10"/>
  <c r="CA11" i="10"/>
  <c r="CA106" i="10"/>
  <c r="CB4" i="10"/>
  <c r="CA39" i="10"/>
  <c r="CA8" i="10"/>
  <c r="CA10" i="10"/>
  <c r="CA40" i="10" s="1"/>
  <c r="CA217" i="10" s="1"/>
  <c r="CA204" i="10"/>
  <c r="CA48" i="10"/>
  <c r="CA49" i="10"/>
  <c r="CA206" i="10"/>
  <c r="CA267" i="7"/>
  <c r="CA218" i="7"/>
  <c r="CA242" i="7" s="1"/>
  <c r="CB33" i="5"/>
  <c r="BV241" i="7"/>
  <c r="BZ216" i="10"/>
  <c r="BZ197" i="7"/>
  <c r="BZ37" i="7"/>
  <c r="BX241" i="10"/>
  <c r="BZ83" i="7"/>
  <c r="BY41" i="7"/>
  <c r="BY70" i="10"/>
  <c r="BX8" i="11"/>
  <c r="BX10" i="11" s="1"/>
  <c r="BX31" i="11" s="1"/>
  <c r="BX34" i="11" s="1"/>
  <c r="BY30" i="11" s="1"/>
  <c r="BX26" i="10"/>
  <c r="BX199" i="10"/>
  <c r="CA9" i="7"/>
  <c r="CA14" i="7" s="1"/>
  <c r="BZ83" i="10"/>
  <c r="BY41" i="10"/>
  <c r="BX199" i="5"/>
  <c r="BX26" i="5"/>
  <c r="CB267" i="10"/>
  <c r="CC15" i="10"/>
  <c r="CB15" i="7"/>
  <c r="CB15" i="5"/>
  <c r="CA197" i="5"/>
  <c r="CA37" i="5"/>
  <c r="BV241" i="5"/>
  <c r="CB69" i="5"/>
  <c r="CA5" i="11"/>
  <c r="CB5" i="10"/>
  <c r="CB207" i="5"/>
  <c r="CC172" i="5"/>
  <c r="CC164" i="5"/>
  <c r="CC156" i="5"/>
  <c r="CC148" i="5"/>
  <c r="CC140" i="5"/>
  <c r="CC177" i="5"/>
  <c r="CC169" i="5"/>
  <c r="CC161" i="5"/>
  <c r="CC153" i="5"/>
  <c r="CC173" i="5"/>
  <c r="CC165" i="5"/>
  <c r="CC157" i="5"/>
  <c r="CC149" i="5"/>
  <c r="CC176" i="5"/>
  <c r="CC146" i="5"/>
  <c r="CC145" i="5"/>
  <c r="CC131" i="5"/>
  <c r="CC123" i="5"/>
  <c r="CC115" i="5"/>
  <c r="CC107" i="5"/>
  <c r="CC155" i="5"/>
  <c r="CC151" i="5"/>
  <c r="CC144" i="5"/>
  <c r="CC136" i="5"/>
  <c r="CC128" i="5"/>
  <c r="CC120" i="5"/>
  <c r="CC112" i="5"/>
  <c r="CC104" i="5"/>
  <c r="CC163" i="5"/>
  <c r="CC159" i="5"/>
  <c r="CC143" i="5"/>
  <c r="CC142" i="5"/>
  <c r="CC133" i="5"/>
  <c r="CC125" i="5"/>
  <c r="CC117" i="5"/>
  <c r="CC109" i="5"/>
  <c r="CC166" i="5"/>
  <c r="CC162" i="5"/>
  <c r="CC160" i="5"/>
  <c r="CC137" i="5"/>
  <c r="CC129" i="5"/>
  <c r="CC121" i="5"/>
  <c r="CC113" i="5"/>
  <c r="CC105" i="5"/>
  <c r="CC141" i="5"/>
  <c r="CC138" i="5"/>
  <c r="CC122" i="5"/>
  <c r="CC106" i="5"/>
  <c r="CC147" i="5"/>
  <c r="CC139" i="5"/>
  <c r="CC127" i="5"/>
  <c r="CC111" i="5"/>
  <c r="CC152" i="5"/>
  <c r="CC132" i="5"/>
  <c r="CC116" i="5"/>
  <c r="CC39" i="5"/>
  <c r="CC8" i="5"/>
  <c r="CC168" i="5"/>
  <c r="CC126" i="5"/>
  <c r="CC171" i="5"/>
  <c r="CC167" i="5"/>
  <c r="CC130" i="5"/>
  <c r="CC175" i="5"/>
  <c r="CC150" i="5"/>
  <c r="CC135" i="5"/>
  <c r="CC119" i="5"/>
  <c r="CC158" i="5"/>
  <c r="CC154" i="5"/>
  <c r="CC124" i="5"/>
  <c r="CC108" i="5"/>
  <c r="CC43" i="5"/>
  <c r="CC24" i="5" s="1"/>
  <c r="CC10" i="5"/>
  <c r="CC40" i="5" s="1"/>
  <c r="CC217" i="5" s="1"/>
  <c r="CD4" i="5"/>
  <c r="CC110" i="5"/>
  <c r="CC170" i="5"/>
  <c r="CC134" i="5"/>
  <c r="CC118" i="5"/>
  <c r="CC174" i="5"/>
  <c r="CC114" i="5"/>
  <c r="CC204" i="5"/>
  <c r="CC11" i="5"/>
  <c r="CC206" i="5"/>
  <c r="CC49" i="5"/>
  <c r="CC48" i="5"/>
  <c r="CB9" i="5"/>
  <c r="CB14" i="5" s="1"/>
  <c r="BZ69" i="10"/>
  <c r="CA69" i="10" s="1"/>
  <c r="CB173" i="7"/>
  <c r="CB165" i="7"/>
  <c r="CB157" i="7"/>
  <c r="CB149" i="7"/>
  <c r="CB141" i="7"/>
  <c r="CB133" i="7"/>
  <c r="CB125" i="7"/>
  <c r="CB170" i="7"/>
  <c r="CB162" i="7"/>
  <c r="CB154" i="7"/>
  <c r="CB146" i="7"/>
  <c r="CB175" i="7"/>
  <c r="CB167" i="7"/>
  <c r="CB159" i="7"/>
  <c r="CB151" i="7"/>
  <c r="CB171" i="7"/>
  <c r="CB163" i="7"/>
  <c r="CB155" i="7"/>
  <c r="CB147" i="7"/>
  <c r="CB168" i="7"/>
  <c r="CB152" i="7"/>
  <c r="CB172" i="7"/>
  <c r="CB176" i="7"/>
  <c r="CB140" i="7"/>
  <c r="CB128" i="7"/>
  <c r="CB127" i="7"/>
  <c r="CB119" i="7"/>
  <c r="CB111" i="7"/>
  <c r="CB150" i="7"/>
  <c r="CB139" i="7"/>
  <c r="CB138" i="7"/>
  <c r="CB126" i="7"/>
  <c r="CB166" i="7"/>
  <c r="CB164" i="7"/>
  <c r="CB153" i="7"/>
  <c r="CB144" i="7"/>
  <c r="CB137" i="7"/>
  <c r="CB124" i="7"/>
  <c r="CB174" i="7"/>
  <c r="CB169" i="7"/>
  <c r="CB158" i="7"/>
  <c r="CB161" i="7"/>
  <c r="CB132" i="7"/>
  <c r="CB123" i="7"/>
  <c r="CB115" i="7"/>
  <c r="CB108" i="7"/>
  <c r="CB39" i="7"/>
  <c r="CB8" i="7"/>
  <c r="CB129" i="7"/>
  <c r="CB114" i="7"/>
  <c r="CB113" i="7"/>
  <c r="CB105" i="7"/>
  <c r="CB160" i="7"/>
  <c r="CB136" i="7"/>
  <c r="CB112" i="7"/>
  <c r="CB156" i="7"/>
  <c r="CB130" i="7"/>
  <c r="CB120" i="7"/>
  <c r="CB142" i="7"/>
  <c r="CB121" i="7"/>
  <c r="CB143" i="7"/>
  <c r="CB134" i="7"/>
  <c r="CB145" i="7"/>
  <c r="CB131" i="7"/>
  <c r="CB117" i="7"/>
  <c r="CB106" i="7"/>
  <c r="CB148" i="7"/>
  <c r="CB110" i="7"/>
  <c r="CB104" i="7"/>
  <c r="CB135" i="7"/>
  <c r="CB107" i="7"/>
  <c r="CB109" i="7"/>
  <c r="CB118" i="7"/>
  <c r="CB116" i="7"/>
  <c r="CB10" i="7"/>
  <c r="CB40" i="7" s="1"/>
  <c r="CB217" i="7" s="1"/>
  <c r="CB122" i="7"/>
  <c r="CB9" i="7"/>
  <c r="CB14" i="7" s="1"/>
  <c r="CB43" i="7"/>
  <c r="CB24" i="7" s="1"/>
  <c r="CC4" i="7"/>
  <c r="CB11" i="7"/>
  <c r="CB204" i="7"/>
  <c r="CB206" i="7"/>
  <c r="CB49" i="7"/>
  <c r="CB48" i="7"/>
  <c r="CA33" i="7"/>
  <c r="BZ83" i="5"/>
  <c r="BY41" i="5"/>
  <c r="CC207" i="5" l="1"/>
  <c r="CB267" i="5"/>
  <c r="CB218" i="5"/>
  <c r="CB242" i="5" s="1"/>
  <c r="CB267" i="7"/>
  <c r="CB218" i="7"/>
  <c r="CB242" i="7" s="1"/>
  <c r="CB216" i="7"/>
  <c r="BW241" i="7"/>
  <c r="CB4" i="11"/>
  <c r="CB168" i="10"/>
  <c r="CB160" i="10"/>
  <c r="CB152" i="10"/>
  <c r="CB173" i="10"/>
  <c r="CB165" i="10"/>
  <c r="CB176" i="10"/>
  <c r="CB170" i="10"/>
  <c r="CB162" i="10"/>
  <c r="CB174" i="10"/>
  <c r="CB166" i="10"/>
  <c r="CB169" i="10"/>
  <c r="CB144" i="10"/>
  <c r="CB136" i="10"/>
  <c r="CB128" i="10"/>
  <c r="CB163" i="10"/>
  <c r="CB158" i="10"/>
  <c r="CB149" i="10"/>
  <c r="CB141" i="10"/>
  <c r="CB167" i="10"/>
  <c r="CB156" i="10"/>
  <c r="CB146" i="10"/>
  <c r="CB138" i="10"/>
  <c r="CB172" i="10"/>
  <c r="CB155" i="10"/>
  <c r="CB154" i="10"/>
  <c r="CB143" i="10"/>
  <c r="CB150" i="10"/>
  <c r="CB131" i="10"/>
  <c r="CB130" i="10"/>
  <c r="CB121" i="10"/>
  <c r="CB113" i="10"/>
  <c r="CB105" i="10"/>
  <c r="CB164" i="10"/>
  <c r="CB139" i="10"/>
  <c r="CB129" i="10"/>
  <c r="CB126" i="10"/>
  <c r="CB159" i="10"/>
  <c r="CB157" i="10"/>
  <c r="CB148" i="10"/>
  <c r="CB127" i="10"/>
  <c r="CB123" i="10"/>
  <c r="CB153" i="10"/>
  <c r="CB134" i="10"/>
  <c r="CB133" i="10"/>
  <c r="CB171" i="10"/>
  <c r="CB161" i="10"/>
  <c r="CB151" i="10"/>
  <c r="CB132" i="10"/>
  <c r="CB124" i="10"/>
  <c r="CB116" i="10"/>
  <c r="CB115" i="10"/>
  <c r="CB114" i="10"/>
  <c r="CB104" i="10"/>
  <c r="CB142" i="10"/>
  <c r="CB140" i="10"/>
  <c r="CB137" i="10"/>
  <c r="CB119" i="10"/>
  <c r="CB112" i="10"/>
  <c r="CB147" i="10"/>
  <c r="CB135" i="10"/>
  <c r="CB122" i="10"/>
  <c r="CB111" i="10"/>
  <c r="CB110" i="10"/>
  <c r="CB145" i="10"/>
  <c r="CB175" i="10"/>
  <c r="CB125" i="10"/>
  <c r="CB120" i="10"/>
  <c r="CB108" i="10"/>
  <c r="CB106" i="10"/>
  <c r="CB118" i="10"/>
  <c r="CB109" i="10"/>
  <c r="CB43" i="10"/>
  <c r="CB24" i="10" s="1"/>
  <c r="CB8" i="10"/>
  <c r="CB107" i="10"/>
  <c r="CB39" i="10"/>
  <c r="CB10" i="10"/>
  <c r="CB40" i="10" s="1"/>
  <c r="CB217" i="10" s="1"/>
  <c r="CB117" i="10"/>
  <c r="CB11" i="10"/>
  <c r="CC4" i="10"/>
  <c r="CB204" i="10"/>
  <c r="CB49" i="10"/>
  <c r="CB48" i="10"/>
  <c r="CB206" i="10"/>
  <c r="CB69" i="7"/>
  <c r="CB197" i="5"/>
  <c r="CB37" i="5"/>
  <c r="BY199" i="7"/>
  <c r="BY26" i="7"/>
  <c r="BZ197" i="10"/>
  <c r="BZ37" i="10"/>
  <c r="CC9" i="5"/>
  <c r="CC14" i="5" s="1"/>
  <c r="CC267" i="10"/>
  <c r="CD15" i="10"/>
  <c r="CC15" i="5"/>
  <c r="CC15" i="7"/>
  <c r="CC68" i="5"/>
  <c r="CC33" i="5"/>
  <c r="CC216" i="5"/>
  <c r="BY199" i="5"/>
  <c r="BY26" i="5"/>
  <c r="BW241" i="5"/>
  <c r="BY241" i="10"/>
  <c r="CA33" i="10"/>
  <c r="CA9" i="10"/>
  <c r="CA14" i="10" s="1"/>
  <c r="CA218" i="10" s="1"/>
  <c r="CA242" i="10" s="1"/>
  <c r="CB68" i="7"/>
  <c r="CB5" i="11"/>
  <c r="CC5" i="10"/>
  <c r="CA207" i="10"/>
  <c r="CB69" i="10"/>
  <c r="CD177" i="5"/>
  <c r="CD169" i="5"/>
  <c r="CD161" i="5"/>
  <c r="CD153" i="5"/>
  <c r="CD145" i="5"/>
  <c r="CD174" i="5"/>
  <c r="CD166" i="5"/>
  <c r="CD158" i="5"/>
  <c r="CD150" i="5"/>
  <c r="CD178" i="5"/>
  <c r="CD170" i="5"/>
  <c r="CD162" i="5"/>
  <c r="CD154" i="5"/>
  <c r="CD155" i="5"/>
  <c r="CD151" i="5"/>
  <c r="CD149" i="5"/>
  <c r="CD144" i="5"/>
  <c r="CD136" i="5"/>
  <c r="CD128" i="5"/>
  <c r="CD120" i="5"/>
  <c r="CD112" i="5"/>
  <c r="CD104" i="5"/>
  <c r="CD163" i="5"/>
  <c r="CD159" i="5"/>
  <c r="CD157" i="5"/>
  <c r="CD143" i="5"/>
  <c r="CD142" i="5"/>
  <c r="CD133" i="5"/>
  <c r="CD125" i="5"/>
  <c r="CD117" i="5"/>
  <c r="CD109" i="5"/>
  <c r="CD171" i="5"/>
  <c r="CD167" i="5"/>
  <c r="CD165" i="5"/>
  <c r="CD141" i="5"/>
  <c r="CD138" i="5"/>
  <c r="CD130" i="5"/>
  <c r="CD122" i="5"/>
  <c r="CD114" i="5"/>
  <c r="CD106" i="5"/>
  <c r="CD168" i="5"/>
  <c r="CD164" i="5"/>
  <c r="CD148" i="5"/>
  <c r="CD134" i="5"/>
  <c r="CD126" i="5"/>
  <c r="CD118" i="5"/>
  <c r="CD110" i="5"/>
  <c r="CD173" i="5"/>
  <c r="CD147" i="5"/>
  <c r="CD139" i="5"/>
  <c r="CD127" i="5"/>
  <c r="CD111" i="5"/>
  <c r="CD152" i="5"/>
  <c r="CD132" i="5"/>
  <c r="CD116" i="5"/>
  <c r="CD39" i="5"/>
  <c r="CD8" i="5"/>
  <c r="CD160" i="5"/>
  <c r="CD156" i="5"/>
  <c r="CD137" i="5"/>
  <c r="CD121" i="5"/>
  <c r="CD105" i="5"/>
  <c r="CE4" i="5"/>
  <c r="CD176" i="5"/>
  <c r="CD172" i="5"/>
  <c r="CD146" i="5"/>
  <c r="CD131" i="5"/>
  <c r="CD175" i="5"/>
  <c r="CD140" i="5"/>
  <c r="CD135" i="5"/>
  <c r="CD124" i="5"/>
  <c r="CD129" i="5"/>
  <c r="CD113" i="5"/>
  <c r="CD123" i="5"/>
  <c r="CD10" i="5"/>
  <c r="CD40" i="5" s="1"/>
  <c r="CD217" i="5" s="1"/>
  <c r="CD119" i="5"/>
  <c r="CD107" i="5"/>
  <c r="CD115" i="5"/>
  <c r="CD108" i="5"/>
  <c r="CD43" i="5"/>
  <c r="CD24" i="5" s="1"/>
  <c r="CD204" i="5"/>
  <c r="CD11" i="5"/>
  <c r="CD49" i="5"/>
  <c r="CD48" i="5"/>
  <c r="CD206" i="5"/>
  <c r="BY8" i="11"/>
  <c r="BY10" i="11" s="1"/>
  <c r="BY31" i="11" s="1"/>
  <c r="BY34" i="11" s="1"/>
  <c r="BZ30" i="11" s="1"/>
  <c r="BY199" i="10"/>
  <c r="BY26" i="10"/>
  <c r="CB68" i="10"/>
  <c r="CC69" i="5"/>
  <c r="CD69" i="5" s="1"/>
  <c r="CA83" i="10"/>
  <c r="BZ41" i="10"/>
  <c r="CA83" i="7"/>
  <c r="BZ41" i="7"/>
  <c r="BY70" i="7"/>
  <c r="BZ70" i="7" s="1"/>
  <c r="CA83" i="5"/>
  <c r="BZ41" i="5"/>
  <c r="CB207" i="7"/>
  <c r="CA197" i="7"/>
  <c r="CA37" i="7"/>
  <c r="CC170" i="7"/>
  <c r="CC162" i="7"/>
  <c r="CC154" i="7"/>
  <c r="CC146" i="7"/>
  <c r="CC138" i="7"/>
  <c r="CC130" i="7"/>
  <c r="CC175" i="7"/>
  <c r="CC167" i="7"/>
  <c r="CC159" i="7"/>
  <c r="CC151" i="7"/>
  <c r="CC143" i="7"/>
  <c r="CC172" i="7"/>
  <c r="CC164" i="7"/>
  <c r="CC156" i="7"/>
  <c r="CC176" i="7"/>
  <c r="CC168" i="7"/>
  <c r="CC160" i="7"/>
  <c r="CC152" i="7"/>
  <c r="CC173" i="7"/>
  <c r="CC157" i="7"/>
  <c r="CC149" i="7"/>
  <c r="CC177" i="7"/>
  <c r="CC150" i="7"/>
  <c r="CC139" i="7"/>
  <c r="CC126" i="7"/>
  <c r="CC116" i="7"/>
  <c r="CC171" i="7"/>
  <c r="CC166" i="7"/>
  <c r="CC155" i="7"/>
  <c r="CC153" i="7"/>
  <c r="CC147" i="7"/>
  <c r="CC144" i="7"/>
  <c r="CC137" i="7"/>
  <c r="CC125" i="7"/>
  <c r="CC124" i="7"/>
  <c r="CC121" i="7"/>
  <c r="CC145" i="7"/>
  <c r="CC136" i="7"/>
  <c r="CC135" i="7"/>
  <c r="CC129" i="7"/>
  <c r="CC114" i="7"/>
  <c r="CC113" i="7"/>
  <c r="CC105" i="7"/>
  <c r="CD4" i="7"/>
  <c r="CC119" i="7"/>
  <c r="CC112" i="7"/>
  <c r="CC174" i="7"/>
  <c r="CC141" i="7"/>
  <c r="CC133" i="7"/>
  <c r="CC120" i="7"/>
  <c r="CC111" i="7"/>
  <c r="CC110" i="7"/>
  <c r="CC107" i="7"/>
  <c r="CC142" i="7"/>
  <c r="CC127" i="7"/>
  <c r="CC163" i="7"/>
  <c r="CC134" i="7"/>
  <c r="CC140" i="7"/>
  <c r="CC131" i="7"/>
  <c r="CC117" i="7"/>
  <c r="CC169" i="7"/>
  <c r="CC158" i="7"/>
  <c r="CC148" i="7"/>
  <c r="CC128" i="7"/>
  <c r="CC122" i="7"/>
  <c r="CC118" i="7"/>
  <c r="CC104" i="7"/>
  <c r="CC39" i="7"/>
  <c r="CC8" i="7"/>
  <c r="CC165" i="7"/>
  <c r="CC132" i="7"/>
  <c r="CC161" i="7"/>
  <c r="CC109" i="7"/>
  <c r="CC106" i="7"/>
  <c r="CC123" i="7"/>
  <c r="CC115" i="7"/>
  <c r="CC43" i="7"/>
  <c r="CC24" i="7" s="1"/>
  <c r="CC10" i="7"/>
  <c r="CC40" i="7" s="1"/>
  <c r="CC217" i="7" s="1"/>
  <c r="CC108" i="7"/>
  <c r="CC9" i="7"/>
  <c r="CC14" i="7" s="1"/>
  <c r="CC11" i="7"/>
  <c r="CC204" i="7"/>
  <c r="CC48" i="7"/>
  <c r="CC206" i="7"/>
  <c r="CC49" i="7"/>
  <c r="CB33" i="7"/>
  <c r="CA216" i="10"/>
  <c r="CB197" i="7" l="1"/>
  <c r="CB37" i="7"/>
  <c r="BZ199" i="5"/>
  <c r="BZ26" i="5"/>
  <c r="CD207" i="5"/>
  <c r="CD267" i="10"/>
  <c r="CE15" i="10"/>
  <c r="CD15" i="7"/>
  <c r="CD15" i="5"/>
  <c r="CD178" i="7"/>
  <c r="CD175" i="7"/>
  <c r="CD167" i="7"/>
  <c r="CD159" i="7"/>
  <c r="CD151" i="7"/>
  <c r="CD143" i="7"/>
  <c r="CD135" i="7"/>
  <c r="CD127" i="7"/>
  <c r="CD172" i="7"/>
  <c r="CD164" i="7"/>
  <c r="CD156" i="7"/>
  <c r="CD148" i="7"/>
  <c r="CD177" i="7"/>
  <c r="CD169" i="7"/>
  <c r="CD161" i="7"/>
  <c r="CD153" i="7"/>
  <c r="CD173" i="7"/>
  <c r="CD165" i="7"/>
  <c r="CD157" i="7"/>
  <c r="CD149" i="7"/>
  <c r="CD162" i="7"/>
  <c r="CD171" i="7"/>
  <c r="CD166" i="7"/>
  <c r="CD155" i="7"/>
  <c r="CD147" i="7"/>
  <c r="CD144" i="7"/>
  <c r="CD138" i="7"/>
  <c r="CD137" i="7"/>
  <c r="CD125" i="7"/>
  <c r="CD124" i="7"/>
  <c r="CD121" i="7"/>
  <c r="CD113" i="7"/>
  <c r="CD168" i="7"/>
  <c r="CD145" i="7"/>
  <c r="CD136" i="7"/>
  <c r="CD118" i="7"/>
  <c r="CD134" i="7"/>
  <c r="CD170" i="7"/>
  <c r="CD176" i="7"/>
  <c r="CD126" i="7"/>
  <c r="CD119" i="7"/>
  <c r="CD112" i="7"/>
  <c r="CD174" i="7"/>
  <c r="CD160" i="7"/>
  <c r="CD154" i="7"/>
  <c r="CD141" i="7"/>
  <c r="CD133" i="7"/>
  <c r="CD120" i="7"/>
  <c r="CD111" i="7"/>
  <c r="CD110" i="7"/>
  <c r="CD107" i="7"/>
  <c r="CD142" i="7"/>
  <c r="CD139" i="7"/>
  <c r="CD130" i="7"/>
  <c r="CD109" i="7"/>
  <c r="CD104" i="7"/>
  <c r="CD43" i="7"/>
  <c r="CD24" i="7" s="1"/>
  <c r="CD163" i="7"/>
  <c r="CD140" i="7"/>
  <c r="CD131" i="7"/>
  <c r="CD117" i="7"/>
  <c r="CD158" i="7"/>
  <c r="CD150" i="7"/>
  <c r="CD128" i="7"/>
  <c r="CD122" i="7"/>
  <c r="CD132" i="7"/>
  <c r="CD123" i="7"/>
  <c r="CD116" i="7"/>
  <c r="CD115" i="7"/>
  <c r="CD108" i="7"/>
  <c r="CD146" i="7"/>
  <c r="CD8" i="7"/>
  <c r="CD9" i="7"/>
  <c r="CD14" i="7" s="1"/>
  <c r="CD152" i="7"/>
  <c r="CD129" i="7"/>
  <c r="CD106" i="7"/>
  <c r="CD114" i="7"/>
  <c r="CD105" i="7"/>
  <c r="CD10" i="7"/>
  <c r="CD40" i="7" s="1"/>
  <c r="CD217" i="7" s="1"/>
  <c r="CE4" i="7"/>
  <c r="CD39" i="7"/>
  <c r="CD11" i="7"/>
  <c r="CD204" i="7"/>
  <c r="CD49" i="7"/>
  <c r="CD206" i="7"/>
  <c r="CD48" i="7"/>
  <c r="CC207" i="7"/>
  <c r="CB83" i="10"/>
  <c r="CA41" i="10"/>
  <c r="CD216" i="5"/>
  <c r="CA197" i="10"/>
  <c r="CA37" i="10"/>
  <c r="CC218" i="5"/>
  <c r="CC242" i="5" s="1"/>
  <c r="CC267" i="5"/>
  <c r="CC69" i="7"/>
  <c r="CD69" i="7" s="1"/>
  <c r="CB207" i="10"/>
  <c r="CC69" i="10"/>
  <c r="CC33" i="7"/>
  <c r="CA70" i="7"/>
  <c r="CC5" i="11"/>
  <c r="CD5" i="10"/>
  <c r="BX241" i="5"/>
  <c r="CC197" i="5"/>
  <c r="CC37" i="5"/>
  <c r="CE174" i="5"/>
  <c r="CE166" i="5"/>
  <c r="CE158" i="5"/>
  <c r="CE150" i="5"/>
  <c r="CE142" i="5"/>
  <c r="CE171" i="5"/>
  <c r="CE163" i="5"/>
  <c r="CE155" i="5"/>
  <c r="CE147" i="5"/>
  <c r="CE175" i="5"/>
  <c r="CE167" i="5"/>
  <c r="CE159" i="5"/>
  <c r="CE151" i="5"/>
  <c r="CE157" i="5"/>
  <c r="CE153" i="5"/>
  <c r="CE143" i="5"/>
  <c r="CE133" i="5"/>
  <c r="CE125" i="5"/>
  <c r="CE117" i="5"/>
  <c r="CE109" i="5"/>
  <c r="CE179" i="5"/>
  <c r="CE165" i="5"/>
  <c r="CE161" i="5"/>
  <c r="CE141" i="5"/>
  <c r="CE138" i="5"/>
  <c r="CE130" i="5"/>
  <c r="CE122" i="5"/>
  <c r="CE114" i="5"/>
  <c r="CE106" i="5"/>
  <c r="CE173" i="5"/>
  <c r="CE169" i="5"/>
  <c r="CE140" i="5"/>
  <c r="CE139" i="5"/>
  <c r="CE135" i="5"/>
  <c r="CE127" i="5"/>
  <c r="CE119" i="5"/>
  <c r="CE111" i="5"/>
  <c r="CE176" i="5"/>
  <c r="CE172" i="5"/>
  <c r="CE170" i="5"/>
  <c r="CE146" i="5"/>
  <c r="CE131" i="5"/>
  <c r="CE123" i="5"/>
  <c r="CE115" i="5"/>
  <c r="CE107" i="5"/>
  <c r="CE177" i="5"/>
  <c r="CE152" i="5"/>
  <c r="CE132" i="5"/>
  <c r="CE116" i="5"/>
  <c r="CE39" i="5"/>
  <c r="CE8" i="5"/>
  <c r="CF4" i="5"/>
  <c r="CE160" i="5"/>
  <c r="CE156" i="5"/>
  <c r="CE137" i="5"/>
  <c r="CE121" i="5"/>
  <c r="CE105" i="5"/>
  <c r="CE168" i="5"/>
  <c r="CE164" i="5"/>
  <c r="CE148" i="5"/>
  <c r="CE126" i="5"/>
  <c r="CE110" i="5"/>
  <c r="CE144" i="5"/>
  <c r="CE136" i="5"/>
  <c r="CE120" i="5"/>
  <c r="CE154" i="5"/>
  <c r="CE129" i="5"/>
  <c r="CE162" i="5"/>
  <c r="CE134" i="5"/>
  <c r="CE118" i="5"/>
  <c r="CE104" i="5"/>
  <c r="CE178" i="5"/>
  <c r="CE112" i="5"/>
  <c r="CE108" i="5"/>
  <c r="CE10" i="5"/>
  <c r="CE40" i="5" s="1"/>
  <c r="CE217" i="5" s="1"/>
  <c r="CE128" i="5"/>
  <c r="CE113" i="5"/>
  <c r="CE124" i="5"/>
  <c r="CE43" i="5"/>
  <c r="CE24" i="5" s="1"/>
  <c r="CE149" i="5"/>
  <c r="CE145" i="5"/>
  <c r="CE11" i="5"/>
  <c r="CE204" i="5"/>
  <c r="CE206" i="5"/>
  <c r="CE48" i="5"/>
  <c r="CE49" i="5"/>
  <c r="BZ241" i="10"/>
  <c r="CB216" i="10"/>
  <c r="BZ26" i="7"/>
  <c r="BZ199" i="7"/>
  <c r="CB33" i="10"/>
  <c r="CD68" i="5"/>
  <c r="CE68" i="5" s="1"/>
  <c r="BZ70" i="5"/>
  <c r="CA70" i="5" s="1"/>
  <c r="CB9" i="10"/>
  <c r="CB14" i="10" s="1"/>
  <c r="CB218" i="10" s="1"/>
  <c r="CB242" i="10" s="1"/>
  <c r="CC242" i="10" s="1"/>
  <c r="CB83" i="5"/>
  <c r="CA41" i="5"/>
  <c r="CC216" i="7"/>
  <c r="CB83" i="7"/>
  <c r="CA41" i="7"/>
  <c r="CC68" i="7"/>
  <c r="BZ8" i="11"/>
  <c r="BZ10" i="11" s="1"/>
  <c r="BZ31" i="11" s="1"/>
  <c r="BZ34" i="11" s="1"/>
  <c r="CA30" i="11" s="1"/>
  <c r="BZ26" i="10"/>
  <c r="BZ199" i="10"/>
  <c r="CD9" i="5"/>
  <c r="CD14" i="5" s="1"/>
  <c r="CD33" i="5"/>
  <c r="CC267" i="7"/>
  <c r="CC218" i="7"/>
  <c r="CC242" i="7" s="1"/>
  <c r="BZ70" i="10"/>
  <c r="CA70" i="10" s="1"/>
  <c r="CC4" i="11"/>
  <c r="CC177" i="10"/>
  <c r="CC173" i="10"/>
  <c r="CC165" i="10"/>
  <c r="CC157" i="10"/>
  <c r="CC176" i="10"/>
  <c r="CC170" i="10"/>
  <c r="CC162" i="10"/>
  <c r="CC175" i="10"/>
  <c r="CC167" i="10"/>
  <c r="CC159" i="10"/>
  <c r="CC171" i="10"/>
  <c r="CC163" i="10"/>
  <c r="CC174" i="10"/>
  <c r="CC158" i="10"/>
  <c r="CC149" i="10"/>
  <c r="CC141" i="10"/>
  <c r="CC133" i="10"/>
  <c r="CC168" i="10"/>
  <c r="CC160" i="10"/>
  <c r="CC156" i="10"/>
  <c r="CC146" i="10"/>
  <c r="CC138" i="10"/>
  <c r="CC172" i="10"/>
  <c r="CC155" i="10"/>
  <c r="CC154" i="10"/>
  <c r="CC143" i="10"/>
  <c r="CC153" i="10"/>
  <c r="CC148" i="10"/>
  <c r="CC164" i="10"/>
  <c r="CC139" i="10"/>
  <c r="CC129" i="10"/>
  <c r="CC126" i="10"/>
  <c r="CC118" i="10"/>
  <c r="CC110" i="10"/>
  <c r="CC169" i="10"/>
  <c r="CC144" i="10"/>
  <c r="CC128" i="10"/>
  <c r="CC127" i="10"/>
  <c r="CC123" i="10"/>
  <c r="CC152" i="10"/>
  <c r="CC120" i="10"/>
  <c r="CC166" i="10"/>
  <c r="CC161" i="10"/>
  <c r="CC151" i="10"/>
  <c r="CC145" i="10"/>
  <c r="CC132" i="10"/>
  <c r="CC124" i="10"/>
  <c r="CC130" i="10"/>
  <c r="CC114" i="10"/>
  <c r="CC104" i="10"/>
  <c r="CC142" i="10"/>
  <c r="CC140" i="10"/>
  <c r="CC137" i="10"/>
  <c r="CC119" i="10"/>
  <c r="CC113" i="10"/>
  <c r="CC112" i="10"/>
  <c r="CC147" i="10"/>
  <c r="CC135" i="10"/>
  <c r="CC122" i="10"/>
  <c r="CC111" i="10"/>
  <c r="CC109" i="10"/>
  <c r="CC150" i="10"/>
  <c r="CC131" i="10"/>
  <c r="CC125" i="10"/>
  <c r="CC136" i="10"/>
  <c r="CC108" i="10"/>
  <c r="CC106" i="10"/>
  <c r="CC117" i="10"/>
  <c r="CC43" i="10"/>
  <c r="CC24" i="10" s="1"/>
  <c r="CC134" i="10"/>
  <c r="CC105" i="10"/>
  <c r="CC121" i="10"/>
  <c r="CC8" i="10"/>
  <c r="CC116" i="10"/>
  <c r="CC115" i="10"/>
  <c r="CC107" i="10"/>
  <c r="CC11" i="10"/>
  <c r="CC39" i="10"/>
  <c r="CC10" i="10"/>
  <c r="CC40" i="10" s="1"/>
  <c r="CC217" i="10" s="1"/>
  <c r="CC9" i="10"/>
  <c r="CC14" i="10" s="1"/>
  <c r="CC218" i="10" s="1"/>
  <c r="CD4" i="10"/>
  <c r="CC204" i="10"/>
  <c r="CC206" i="10"/>
  <c r="CC49" i="10"/>
  <c r="CC48" i="10"/>
  <c r="BX241" i="7"/>
  <c r="CD197" i="5" l="1"/>
  <c r="CD37" i="5"/>
  <c r="CC83" i="7"/>
  <c r="CB41" i="7"/>
  <c r="CE69" i="5"/>
  <c r="CE9" i="5"/>
  <c r="CE14" i="5" s="1"/>
  <c r="CB70" i="7"/>
  <c r="CA8" i="11"/>
  <c r="CA10" i="11" s="1"/>
  <c r="CA31" i="11" s="1"/>
  <c r="CA34" i="11" s="1"/>
  <c r="CB30" i="11" s="1"/>
  <c r="CA199" i="10"/>
  <c r="CA26" i="10"/>
  <c r="CD218" i="5"/>
  <c r="CD242" i="5" s="1"/>
  <c r="CD267" i="5"/>
  <c r="CC216" i="10"/>
  <c r="CC207" i="10"/>
  <c r="CC197" i="7"/>
  <c r="CC37" i="7"/>
  <c r="CC83" i="10"/>
  <c r="CB41" i="10"/>
  <c r="CD267" i="7"/>
  <c r="CD218" i="7"/>
  <c r="CD242" i="7" s="1"/>
  <c r="CF68" i="5"/>
  <c r="CB197" i="10"/>
  <c r="CB37" i="10"/>
  <c r="CA241" i="10"/>
  <c r="CF171" i="5"/>
  <c r="CF163" i="5"/>
  <c r="CF155" i="5"/>
  <c r="CF147" i="5"/>
  <c r="CF139" i="5"/>
  <c r="CF176" i="5"/>
  <c r="CF168" i="5"/>
  <c r="CF160" i="5"/>
  <c r="CF152" i="5"/>
  <c r="CF172" i="5"/>
  <c r="CF164" i="5"/>
  <c r="CF156" i="5"/>
  <c r="CF179" i="5"/>
  <c r="CF165" i="5"/>
  <c r="CF161" i="5"/>
  <c r="CF159" i="5"/>
  <c r="CF142" i="5"/>
  <c r="CF141" i="5"/>
  <c r="CF138" i="5"/>
  <c r="CF130" i="5"/>
  <c r="CF122" i="5"/>
  <c r="CF114" i="5"/>
  <c r="CF106" i="5"/>
  <c r="CF173" i="5"/>
  <c r="CF169" i="5"/>
  <c r="CF167" i="5"/>
  <c r="CF140" i="5"/>
  <c r="CF135" i="5"/>
  <c r="CF127" i="5"/>
  <c r="CF119" i="5"/>
  <c r="CF111" i="5"/>
  <c r="CF177" i="5"/>
  <c r="CF175" i="5"/>
  <c r="CF132" i="5"/>
  <c r="CF124" i="5"/>
  <c r="CF116" i="5"/>
  <c r="CF108" i="5"/>
  <c r="CF178" i="5"/>
  <c r="CF174" i="5"/>
  <c r="CF149" i="5"/>
  <c r="CF145" i="5"/>
  <c r="CF144" i="5"/>
  <c r="CF136" i="5"/>
  <c r="CF128" i="5"/>
  <c r="CF120" i="5"/>
  <c r="CF112" i="5"/>
  <c r="CF104" i="5"/>
  <c r="CF180" i="5"/>
  <c r="CF137" i="5"/>
  <c r="CF121" i="5"/>
  <c r="CF105" i="5"/>
  <c r="CG4" i="5"/>
  <c r="CF148" i="5"/>
  <c r="CF126" i="5"/>
  <c r="CF110" i="5"/>
  <c r="CF146" i="5"/>
  <c r="CF131" i="5"/>
  <c r="CF115" i="5"/>
  <c r="CF151" i="5"/>
  <c r="CF125" i="5"/>
  <c r="CF154" i="5"/>
  <c r="CF150" i="5"/>
  <c r="CF129" i="5"/>
  <c r="CF162" i="5"/>
  <c r="CF158" i="5"/>
  <c r="CF134" i="5"/>
  <c r="CF170" i="5"/>
  <c r="CF166" i="5"/>
  <c r="CF123" i="5"/>
  <c r="CF107" i="5"/>
  <c r="CF143" i="5"/>
  <c r="CF39" i="5"/>
  <c r="CF10" i="5"/>
  <c r="CF40" i="5" s="1"/>
  <c r="CF217" i="5" s="1"/>
  <c r="CF8" i="5"/>
  <c r="CF133" i="5"/>
  <c r="CF117" i="5"/>
  <c r="CF153" i="5"/>
  <c r="CF113" i="5"/>
  <c r="CF9" i="5"/>
  <c r="CF14" i="5" s="1"/>
  <c r="CF118" i="5"/>
  <c r="CF157" i="5"/>
  <c r="CF43" i="5"/>
  <c r="CF24" i="5" s="1"/>
  <c r="CF109" i="5"/>
  <c r="CF204" i="5"/>
  <c r="CF11" i="5"/>
  <c r="CF48" i="5"/>
  <c r="CF49" i="5"/>
  <c r="CF206" i="5"/>
  <c r="CD207" i="7"/>
  <c r="CA199" i="5"/>
  <c r="CA26" i="5"/>
  <c r="CD4" i="11"/>
  <c r="CD177" i="10"/>
  <c r="CD176" i="10"/>
  <c r="CD170" i="10"/>
  <c r="CD162" i="10"/>
  <c r="CD154" i="10"/>
  <c r="CD178" i="10"/>
  <c r="CD175" i="10"/>
  <c r="CD167" i="10"/>
  <c r="CD159" i="10"/>
  <c r="CD172" i="10"/>
  <c r="CD164" i="10"/>
  <c r="CD156" i="10"/>
  <c r="CD168" i="10"/>
  <c r="CD163" i="10"/>
  <c r="CD160" i="10"/>
  <c r="CD146" i="10"/>
  <c r="CD138" i="10"/>
  <c r="CD130" i="10"/>
  <c r="CD173" i="10"/>
  <c r="CD155" i="10"/>
  <c r="CD143" i="10"/>
  <c r="CD153" i="10"/>
  <c r="CD148" i="10"/>
  <c r="CD140" i="10"/>
  <c r="CD166" i="10"/>
  <c r="CD161" i="10"/>
  <c r="CD157" i="10"/>
  <c r="CD152" i="10"/>
  <c r="CD151" i="10"/>
  <c r="CD145" i="10"/>
  <c r="CD169" i="10"/>
  <c r="CD144" i="10"/>
  <c r="CD141" i="10"/>
  <c r="CD128" i="10"/>
  <c r="CD127" i="10"/>
  <c r="CD123" i="10"/>
  <c r="CD115" i="10"/>
  <c r="CD107" i="10"/>
  <c r="CD174" i="10"/>
  <c r="CD149" i="10"/>
  <c r="CD120" i="10"/>
  <c r="CD142" i="10"/>
  <c r="CD137" i="10"/>
  <c r="CD125" i="10"/>
  <c r="CD171" i="10"/>
  <c r="CD150" i="10"/>
  <c r="CD131" i="10"/>
  <c r="CD121" i="10"/>
  <c r="CD119" i="10"/>
  <c r="CD113" i="10"/>
  <c r="CD112" i="10"/>
  <c r="CD147" i="10"/>
  <c r="CD135" i="10"/>
  <c r="CD122" i="10"/>
  <c r="CD111" i="10"/>
  <c r="CD110" i="10"/>
  <c r="CD109" i="10"/>
  <c r="CD133" i="10"/>
  <c r="CD108" i="10"/>
  <c r="CD139" i="10"/>
  <c r="CD129" i="10"/>
  <c r="CD165" i="10"/>
  <c r="CD136" i="10"/>
  <c r="CD134" i="10"/>
  <c r="CD158" i="10"/>
  <c r="CD106" i="10"/>
  <c r="CD104" i="10"/>
  <c r="CD126" i="10"/>
  <c r="CD117" i="10"/>
  <c r="CD43" i="10"/>
  <c r="CD24" i="10" s="1"/>
  <c r="CD132" i="10"/>
  <c r="CD116" i="10"/>
  <c r="CD8" i="10"/>
  <c r="CD105" i="10"/>
  <c r="CD124" i="10"/>
  <c r="CD118" i="10"/>
  <c r="CD114" i="10"/>
  <c r="CD11" i="10"/>
  <c r="CD39" i="10"/>
  <c r="CD10" i="10"/>
  <c r="CD40" i="10" s="1"/>
  <c r="CD217" i="10" s="1"/>
  <c r="CE4" i="10"/>
  <c r="CD204" i="10"/>
  <c r="CD206" i="10"/>
  <c r="CD48" i="10"/>
  <c r="CD49" i="10"/>
  <c r="CC83" i="5"/>
  <c r="CB41" i="5"/>
  <c r="CE33" i="5"/>
  <c r="BY241" i="5"/>
  <c r="CE179" i="7"/>
  <c r="CE172" i="7"/>
  <c r="CE164" i="7"/>
  <c r="CE156" i="7"/>
  <c r="CE148" i="7"/>
  <c r="CE140" i="7"/>
  <c r="CE132" i="7"/>
  <c r="CE124" i="7"/>
  <c r="CE177" i="7"/>
  <c r="CE169" i="7"/>
  <c r="CE161" i="7"/>
  <c r="CE153" i="7"/>
  <c r="CE145" i="7"/>
  <c r="CE174" i="7"/>
  <c r="CE166" i="7"/>
  <c r="CE158" i="7"/>
  <c r="CE170" i="7"/>
  <c r="CE162" i="7"/>
  <c r="CE154" i="7"/>
  <c r="CE146" i="7"/>
  <c r="CE178" i="7"/>
  <c r="CE167" i="7"/>
  <c r="CE151" i="7"/>
  <c r="CE171" i="7"/>
  <c r="CE176" i="7"/>
  <c r="CE168" i="7"/>
  <c r="CE157" i="7"/>
  <c r="CE136" i="7"/>
  <c r="CE118" i="7"/>
  <c r="CE110" i="7"/>
  <c r="CE175" i="7"/>
  <c r="CE135" i="7"/>
  <c r="CE134" i="7"/>
  <c r="CE123" i="7"/>
  <c r="CE160" i="7"/>
  <c r="CE141" i="7"/>
  <c r="CE133" i="7"/>
  <c r="CE165" i="7"/>
  <c r="CE163" i="7"/>
  <c r="CE120" i="7"/>
  <c r="CE111" i="7"/>
  <c r="CE107" i="7"/>
  <c r="CE149" i="7"/>
  <c r="CE142" i="7"/>
  <c r="CE139" i="7"/>
  <c r="CE130" i="7"/>
  <c r="CE109" i="7"/>
  <c r="CE104" i="7"/>
  <c r="CE43" i="7"/>
  <c r="CE24" i="7" s="1"/>
  <c r="CE10" i="7"/>
  <c r="CE40" i="7" s="1"/>
  <c r="CE217" i="7" s="1"/>
  <c r="CE155" i="7"/>
  <c r="CE127" i="7"/>
  <c r="CE131" i="7"/>
  <c r="CE121" i="7"/>
  <c r="CE117" i="7"/>
  <c r="CE159" i="7"/>
  <c r="CE150" i="7"/>
  <c r="CE143" i="7"/>
  <c r="CE137" i="7"/>
  <c r="CE128" i="7"/>
  <c r="CE122" i="7"/>
  <c r="CE144" i="7"/>
  <c r="CE125" i="7"/>
  <c r="CE116" i="7"/>
  <c r="CE115" i="7"/>
  <c r="CE152" i="7"/>
  <c r="CE129" i="7"/>
  <c r="CE114" i="7"/>
  <c r="CE105" i="7"/>
  <c r="CE8" i="7"/>
  <c r="CE138" i="7"/>
  <c r="CE113" i="7"/>
  <c r="CE9" i="7"/>
  <c r="CE14" i="7" s="1"/>
  <c r="CE108" i="7"/>
  <c r="CE173" i="7"/>
  <c r="CE147" i="7"/>
  <c r="CE112" i="7"/>
  <c r="CE106" i="7"/>
  <c r="CE126" i="7"/>
  <c r="CE119" i="7"/>
  <c r="CE39" i="7"/>
  <c r="CF4" i="7"/>
  <c r="CE11" i="7"/>
  <c r="CE204" i="7"/>
  <c r="CE206" i="7"/>
  <c r="CE48" i="7"/>
  <c r="CE49" i="7"/>
  <c r="CD33" i="7"/>
  <c r="CD68" i="7"/>
  <c r="CE68" i="7" s="1"/>
  <c r="CE216" i="5"/>
  <c r="CD5" i="11"/>
  <c r="CE5" i="10"/>
  <c r="CE69" i="7"/>
  <c r="CB70" i="5"/>
  <c r="CE267" i="10"/>
  <c r="CF15" i="10"/>
  <c r="CE15" i="7"/>
  <c r="CE15" i="5"/>
  <c r="CE207" i="5"/>
  <c r="CD216" i="7"/>
  <c r="BY241" i="7"/>
  <c r="CC33" i="10"/>
  <c r="CA26" i="7"/>
  <c r="CA199" i="7"/>
  <c r="CC68" i="10"/>
  <c r="CE197" i="5" l="1"/>
  <c r="CE37" i="5"/>
  <c r="CB8" i="11"/>
  <c r="CB10" i="11" s="1"/>
  <c r="CB31" i="11" s="1"/>
  <c r="CB34" i="11" s="1"/>
  <c r="CC30" i="11" s="1"/>
  <c r="CB199" i="10"/>
  <c r="CB26" i="10"/>
  <c r="CD83" i="7"/>
  <c r="CC41" i="7"/>
  <c r="CE218" i="5"/>
  <c r="CE242" i="5" s="1"/>
  <c r="CE267" i="5"/>
  <c r="CE218" i="7"/>
  <c r="CE242" i="7" s="1"/>
  <c r="CE267" i="7"/>
  <c r="CB199" i="5"/>
  <c r="CB26" i="5"/>
  <c r="CD83" i="10"/>
  <c r="CC41" i="10"/>
  <c r="CF69" i="7"/>
  <c r="CD83" i="5"/>
  <c r="CC41" i="5"/>
  <c r="CF267" i="10"/>
  <c r="CG15" i="10"/>
  <c r="CF15" i="7"/>
  <c r="CF15" i="5"/>
  <c r="CD207" i="10"/>
  <c r="CF33" i="5"/>
  <c r="CB70" i="10"/>
  <c r="CC70" i="5"/>
  <c r="CE207" i="7"/>
  <c r="CF179" i="7"/>
  <c r="CF180" i="7"/>
  <c r="CF177" i="7"/>
  <c r="CF169" i="7"/>
  <c r="CF161" i="7"/>
  <c r="CF153" i="7"/>
  <c r="CF145" i="7"/>
  <c r="CF137" i="7"/>
  <c r="CF129" i="7"/>
  <c r="CF174" i="7"/>
  <c r="CF166" i="7"/>
  <c r="CF158" i="7"/>
  <c r="CF150" i="7"/>
  <c r="CF142" i="7"/>
  <c r="CF171" i="7"/>
  <c r="CF163" i="7"/>
  <c r="CF155" i="7"/>
  <c r="CF178" i="7"/>
  <c r="CF175" i="7"/>
  <c r="CF167" i="7"/>
  <c r="CF159" i="7"/>
  <c r="CF151" i="7"/>
  <c r="CF172" i="7"/>
  <c r="CF156" i="7"/>
  <c r="CF176" i="7"/>
  <c r="CF135" i="7"/>
  <c r="CF134" i="7"/>
  <c r="CF123" i="7"/>
  <c r="CF115" i="7"/>
  <c r="CF164" i="7"/>
  <c r="CF160" i="7"/>
  <c r="CF141" i="7"/>
  <c r="CF133" i="7"/>
  <c r="CF120" i="7"/>
  <c r="CF162" i="7"/>
  <c r="CF132" i="7"/>
  <c r="CF131" i="7"/>
  <c r="CF173" i="7"/>
  <c r="CF168" i="7"/>
  <c r="CF157" i="7"/>
  <c r="CF154" i="7"/>
  <c r="CF149" i="7"/>
  <c r="CF139" i="7"/>
  <c r="CF130" i="7"/>
  <c r="CF110" i="7"/>
  <c r="CF109" i="7"/>
  <c r="CF104" i="7"/>
  <c r="CF43" i="7"/>
  <c r="CF24" i="7" s="1"/>
  <c r="CF10" i="7"/>
  <c r="CF40" i="7" s="1"/>
  <c r="CF217" i="7" s="1"/>
  <c r="CF136" i="7"/>
  <c r="CF127" i="7"/>
  <c r="CF124" i="7"/>
  <c r="CF121" i="7"/>
  <c r="CF117" i="7"/>
  <c r="CF106" i="7"/>
  <c r="CF143" i="7"/>
  <c r="CF140" i="7"/>
  <c r="CF128" i="7"/>
  <c r="CF122" i="7"/>
  <c r="CF144" i="7"/>
  <c r="CF125" i="7"/>
  <c r="CF116" i="7"/>
  <c r="CF152" i="7"/>
  <c r="CF148" i="7"/>
  <c r="CF118" i="7"/>
  <c r="CF114" i="7"/>
  <c r="CF170" i="7"/>
  <c r="CF165" i="7"/>
  <c r="CF147" i="7"/>
  <c r="CF146" i="7"/>
  <c r="CF138" i="7"/>
  <c r="CF126" i="7"/>
  <c r="CF119" i="7"/>
  <c r="CF113" i="7"/>
  <c r="CF112" i="7"/>
  <c r="CF9" i="7"/>
  <c r="CF14" i="7" s="1"/>
  <c r="CF108" i="7"/>
  <c r="CG4" i="7"/>
  <c r="CF105" i="7"/>
  <c r="CF107" i="7"/>
  <c r="CF11" i="7"/>
  <c r="CF111" i="7"/>
  <c r="CF39" i="7"/>
  <c r="CF68" i="7" s="1"/>
  <c r="CF8" i="7"/>
  <c r="CF204" i="7"/>
  <c r="CF49" i="7"/>
  <c r="CF206" i="7"/>
  <c r="CF48" i="7"/>
  <c r="BZ241" i="7"/>
  <c r="CE216" i="7"/>
  <c r="CE5" i="11"/>
  <c r="CF5" i="10"/>
  <c r="CD216" i="10"/>
  <c r="CE33" i="7"/>
  <c r="CD9" i="10"/>
  <c r="CD14" i="10" s="1"/>
  <c r="CD218" i="10" s="1"/>
  <c r="CD242" i="10" s="1"/>
  <c r="CG179" i="5"/>
  <c r="CG181" i="5"/>
  <c r="CG176" i="5"/>
  <c r="CG168" i="5"/>
  <c r="CG160" i="5"/>
  <c r="CG152" i="5"/>
  <c r="CG144" i="5"/>
  <c r="CG180" i="5"/>
  <c r="CG173" i="5"/>
  <c r="CG165" i="5"/>
  <c r="CG157" i="5"/>
  <c r="CG149" i="5"/>
  <c r="CG177" i="5"/>
  <c r="CG169" i="5"/>
  <c r="CG161" i="5"/>
  <c r="CG153" i="5"/>
  <c r="CG167" i="5"/>
  <c r="CG163" i="5"/>
  <c r="CG140" i="5"/>
  <c r="CG135" i="5"/>
  <c r="CG127" i="5"/>
  <c r="CG119" i="5"/>
  <c r="CG111" i="5"/>
  <c r="CG175" i="5"/>
  <c r="CG171" i="5"/>
  <c r="CG139" i="5"/>
  <c r="CG132" i="5"/>
  <c r="CG124" i="5"/>
  <c r="CG116" i="5"/>
  <c r="CG108" i="5"/>
  <c r="CG154" i="5"/>
  <c r="CG150" i="5"/>
  <c r="CG147" i="5"/>
  <c r="CG137" i="5"/>
  <c r="CG129" i="5"/>
  <c r="CG121" i="5"/>
  <c r="CG113" i="5"/>
  <c r="CG105" i="5"/>
  <c r="CG151" i="5"/>
  <c r="CG143" i="5"/>
  <c r="CG133" i="5"/>
  <c r="CG125" i="5"/>
  <c r="CG117" i="5"/>
  <c r="CG109" i="5"/>
  <c r="CG156" i="5"/>
  <c r="CG148" i="5"/>
  <c r="CG126" i="5"/>
  <c r="CG110" i="5"/>
  <c r="CG164" i="5"/>
  <c r="CG146" i="5"/>
  <c r="CG131" i="5"/>
  <c r="CG115" i="5"/>
  <c r="CG172" i="5"/>
  <c r="CG136" i="5"/>
  <c r="CG120" i="5"/>
  <c r="CG104" i="5"/>
  <c r="CG43" i="5"/>
  <c r="CG24" i="5" s="1"/>
  <c r="CG10" i="5"/>
  <c r="CG40" i="5" s="1"/>
  <c r="CG217" i="5" s="1"/>
  <c r="CG159" i="5"/>
  <c r="CG155" i="5"/>
  <c r="CG142" i="5"/>
  <c r="CG130" i="5"/>
  <c r="CG162" i="5"/>
  <c r="CG158" i="5"/>
  <c r="CG134" i="5"/>
  <c r="CG170" i="5"/>
  <c r="CG166" i="5"/>
  <c r="CG123" i="5"/>
  <c r="CG178" i="5"/>
  <c r="CG174" i="5"/>
  <c r="CG145" i="5"/>
  <c r="CG128" i="5"/>
  <c r="CG112" i="5"/>
  <c r="CG39" i="5"/>
  <c r="CG68" i="5" s="1"/>
  <c r="CG8" i="5"/>
  <c r="CG107" i="5"/>
  <c r="CG141" i="5"/>
  <c r="CG118" i="5"/>
  <c r="CG122" i="5"/>
  <c r="CG9" i="5"/>
  <c r="CG14" i="5" s="1"/>
  <c r="CG114" i="5"/>
  <c r="CG106" i="5"/>
  <c r="CG138" i="5"/>
  <c r="CH4" i="5"/>
  <c r="CG11" i="5"/>
  <c r="CG204" i="5"/>
  <c r="CG206" i="5"/>
  <c r="CG48" i="5"/>
  <c r="CG49" i="5"/>
  <c r="CC70" i="7"/>
  <c r="CD68" i="10"/>
  <c r="BZ241" i="5"/>
  <c r="CF216" i="5"/>
  <c r="CF69" i="5"/>
  <c r="CG69" i="5" s="1"/>
  <c r="CC197" i="10"/>
  <c r="CC37" i="10"/>
  <c r="CD197" i="7"/>
  <c r="CD37" i="7"/>
  <c r="CE4" i="11"/>
  <c r="CE178" i="10"/>
  <c r="CE175" i="10"/>
  <c r="CE167" i="10"/>
  <c r="CE159" i="10"/>
  <c r="CE151" i="10"/>
  <c r="CE172" i="10"/>
  <c r="CE164" i="10"/>
  <c r="CE179" i="10"/>
  <c r="CE169" i="10"/>
  <c r="CE161" i="10"/>
  <c r="CE173" i="10"/>
  <c r="CE165" i="10"/>
  <c r="CE168" i="10"/>
  <c r="CE156" i="10"/>
  <c r="CE155" i="10"/>
  <c r="CE143" i="10"/>
  <c r="CE135" i="10"/>
  <c r="CE127" i="10"/>
  <c r="CE176" i="10"/>
  <c r="CE162" i="10"/>
  <c r="CE154" i="10"/>
  <c r="CE153" i="10"/>
  <c r="CE148" i="10"/>
  <c r="CE140" i="10"/>
  <c r="CE166" i="10"/>
  <c r="CE157" i="10"/>
  <c r="CE152" i="10"/>
  <c r="CE145" i="10"/>
  <c r="CE171" i="10"/>
  <c r="CE150" i="10"/>
  <c r="CE142" i="10"/>
  <c r="CE174" i="10"/>
  <c r="CE149" i="10"/>
  <c r="CE120" i="10"/>
  <c r="CE112" i="10"/>
  <c r="CE160" i="10"/>
  <c r="CE137" i="10"/>
  <c r="CE125" i="10"/>
  <c r="CE147" i="10"/>
  <c r="CE136" i="10"/>
  <c r="CE122" i="10"/>
  <c r="CE139" i="10"/>
  <c r="CE130" i="10"/>
  <c r="CE129" i="10"/>
  <c r="CE126" i="10"/>
  <c r="CE144" i="10"/>
  <c r="CE141" i="10"/>
  <c r="CE128" i="10"/>
  <c r="CE123" i="10"/>
  <c r="CE111" i="10"/>
  <c r="CE170" i="10"/>
  <c r="CE110" i="10"/>
  <c r="CE109" i="10"/>
  <c r="CE133" i="10"/>
  <c r="CE108" i="10"/>
  <c r="CE163" i="10"/>
  <c r="CE131" i="10"/>
  <c r="CE121" i="10"/>
  <c r="CE107" i="10"/>
  <c r="CE106" i="10"/>
  <c r="CE177" i="10"/>
  <c r="CE138" i="10"/>
  <c r="CE134" i="10"/>
  <c r="CE158" i="10"/>
  <c r="CE132" i="10"/>
  <c r="CE117" i="10"/>
  <c r="CE43" i="10"/>
  <c r="CE24" i="10" s="1"/>
  <c r="CE115" i="10"/>
  <c r="CE146" i="10"/>
  <c r="CE124" i="10"/>
  <c r="CE114" i="10"/>
  <c r="CE105" i="10"/>
  <c r="CE116" i="10"/>
  <c r="CE11" i="10"/>
  <c r="CE118" i="10"/>
  <c r="CE119" i="10"/>
  <c r="CE104" i="10"/>
  <c r="CE113" i="10"/>
  <c r="CE39" i="10"/>
  <c r="CE10" i="10"/>
  <c r="CE40" i="10" s="1"/>
  <c r="CE217" i="10" s="1"/>
  <c r="CF4" i="10"/>
  <c r="CE8" i="10"/>
  <c r="CE204" i="10"/>
  <c r="CE49" i="10"/>
  <c r="CE48" i="10"/>
  <c r="CE206" i="10"/>
  <c r="CD33" i="10"/>
  <c r="CD69" i="10"/>
  <c r="CF207" i="5"/>
  <c r="CB241" i="10"/>
  <c r="CB26" i="7"/>
  <c r="CB199" i="7"/>
  <c r="CF242" i="7" l="1"/>
  <c r="CH68" i="5"/>
  <c r="E68" i="5" s="1"/>
  <c r="CG181" i="7"/>
  <c r="CG174" i="7"/>
  <c r="CG166" i="7"/>
  <c r="CG158" i="7"/>
  <c r="CG150" i="7"/>
  <c r="CG142" i="7"/>
  <c r="CG134" i="7"/>
  <c r="CG126" i="7"/>
  <c r="CG171" i="7"/>
  <c r="CG163" i="7"/>
  <c r="CG155" i="7"/>
  <c r="CG147" i="7"/>
  <c r="CG176" i="7"/>
  <c r="CG168" i="7"/>
  <c r="CG160" i="7"/>
  <c r="CG152" i="7"/>
  <c r="CG172" i="7"/>
  <c r="CG164" i="7"/>
  <c r="CG156" i="7"/>
  <c r="CG148" i="7"/>
  <c r="CG177" i="7"/>
  <c r="CG161" i="7"/>
  <c r="CG180" i="7"/>
  <c r="CG170" i="7"/>
  <c r="CG179" i="7"/>
  <c r="CG175" i="7"/>
  <c r="CG153" i="7"/>
  <c r="CG145" i="7"/>
  <c r="CG141" i="7"/>
  <c r="CG133" i="7"/>
  <c r="CG120" i="7"/>
  <c r="CG112" i="7"/>
  <c r="CG162" i="7"/>
  <c r="CG151" i="7"/>
  <c r="CG132" i="7"/>
  <c r="CG131" i="7"/>
  <c r="CG117" i="7"/>
  <c r="CG146" i="7"/>
  <c r="CG130" i="7"/>
  <c r="CG136" i="7"/>
  <c r="CG127" i="7"/>
  <c r="CG124" i="7"/>
  <c r="CG121" i="7"/>
  <c r="CG106" i="7"/>
  <c r="CG167" i="7"/>
  <c r="CG143" i="7"/>
  <c r="CG140" i="7"/>
  <c r="CG128" i="7"/>
  <c r="CG122" i="7"/>
  <c r="CG159" i="7"/>
  <c r="CG144" i="7"/>
  <c r="CG137" i="7"/>
  <c r="CG125" i="7"/>
  <c r="CG116" i="7"/>
  <c r="CG118" i="7"/>
  <c r="CG115" i="7"/>
  <c r="CG169" i="7"/>
  <c r="CG165" i="7"/>
  <c r="CG138" i="7"/>
  <c r="CG129" i="7"/>
  <c r="CG123" i="7"/>
  <c r="CG119" i="7"/>
  <c r="CG113" i="7"/>
  <c r="CG178" i="7"/>
  <c r="CG173" i="7"/>
  <c r="CG135" i="7"/>
  <c r="CG111" i="7"/>
  <c r="CG107" i="7"/>
  <c r="CG108" i="7"/>
  <c r="CH4" i="7"/>
  <c r="CG139" i="7"/>
  <c r="CG149" i="7"/>
  <c r="CG157" i="7"/>
  <c r="CG154" i="7"/>
  <c r="CG114" i="7"/>
  <c r="CG105" i="7"/>
  <c r="CG8" i="7"/>
  <c r="CG110" i="7"/>
  <c r="CG104" i="7"/>
  <c r="CG43" i="7"/>
  <c r="CG24" i="7" s="1"/>
  <c r="CG39" i="7"/>
  <c r="CG109" i="7"/>
  <c r="CG10" i="7"/>
  <c r="CG40" i="7" s="1"/>
  <c r="CG217" i="7" s="1"/>
  <c r="CG204" i="7"/>
  <c r="CG11" i="7"/>
  <c r="CG206" i="7"/>
  <c r="CG48" i="7"/>
  <c r="CG49" i="7"/>
  <c r="CC26" i="5"/>
  <c r="CC199" i="5"/>
  <c r="CD70" i="7"/>
  <c r="CF267" i="5"/>
  <c r="CF218" i="5"/>
  <c r="CF242" i="5" s="1"/>
  <c r="CE216" i="10"/>
  <c r="CE68" i="10"/>
  <c r="CF68" i="10" s="1"/>
  <c r="CG207" i="5"/>
  <c r="CE83" i="5"/>
  <c r="CD41" i="5"/>
  <c r="CC241" i="10"/>
  <c r="CH180" i="5"/>
  <c r="CH173" i="5"/>
  <c r="CH165" i="5"/>
  <c r="CH157" i="5"/>
  <c r="CH149" i="5"/>
  <c r="CH141" i="5"/>
  <c r="CH179" i="5"/>
  <c r="CH178" i="5"/>
  <c r="CH170" i="5"/>
  <c r="CH162" i="5"/>
  <c r="CH154" i="5"/>
  <c r="CH174" i="5"/>
  <c r="CH166" i="5"/>
  <c r="CH158" i="5"/>
  <c r="CH150" i="5"/>
  <c r="CH182" i="5"/>
  <c r="CH175" i="5"/>
  <c r="CH171" i="5"/>
  <c r="CH169" i="5"/>
  <c r="CH139" i="5"/>
  <c r="CH132" i="5"/>
  <c r="CH124" i="5"/>
  <c r="CH116" i="5"/>
  <c r="CH108" i="5"/>
  <c r="CH177" i="5"/>
  <c r="CH147" i="5"/>
  <c r="CH137" i="5"/>
  <c r="CH129" i="5"/>
  <c r="CH121" i="5"/>
  <c r="CH113" i="5"/>
  <c r="CH105" i="5"/>
  <c r="CH156" i="5"/>
  <c r="CH152" i="5"/>
  <c r="CH148" i="5"/>
  <c r="CH134" i="5"/>
  <c r="CH126" i="5"/>
  <c r="CH118" i="5"/>
  <c r="CH110" i="5"/>
  <c r="CH159" i="5"/>
  <c r="CH155" i="5"/>
  <c r="CH153" i="5"/>
  <c r="CH142" i="5"/>
  <c r="CH138" i="5"/>
  <c r="CH130" i="5"/>
  <c r="CH122" i="5"/>
  <c r="CH114" i="5"/>
  <c r="CH106" i="5"/>
  <c r="CH164" i="5"/>
  <c r="CH160" i="5"/>
  <c r="CH146" i="5"/>
  <c r="CH131" i="5"/>
  <c r="CH115" i="5"/>
  <c r="CH10" i="5"/>
  <c r="CH172" i="5"/>
  <c r="CH168" i="5"/>
  <c r="CH136" i="5"/>
  <c r="CH120" i="5"/>
  <c r="CH104" i="5"/>
  <c r="CH43" i="5"/>
  <c r="CH24" i="5" s="1"/>
  <c r="CH181" i="5"/>
  <c r="CH176" i="5"/>
  <c r="CH151" i="5"/>
  <c r="CH144" i="5"/>
  <c r="CH125" i="5"/>
  <c r="CH109" i="5"/>
  <c r="CH167" i="5"/>
  <c r="CH163" i="5"/>
  <c r="CH140" i="5"/>
  <c r="CH135" i="5"/>
  <c r="CH119" i="5"/>
  <c r="CH145" i="5"/>
  <c r="CH128" i="5"/>
  <c r="CH143" i="5"/>
  <c r="CH133" i="5"/>
  <c r="CH117" i="5"/>
  <c r="CH161" i="5"/>
  <c r="CH127" i="5"/>
  <c r="CH112" i="5"/>
  <c r="CH111" i="5"/>
  <c r="CH123" i="5"/>
  <c r="CH107" i="5"/>
  <c r="CH39" i="5"/>
  <c r="CH8" i="5"/>
  <c r="CH204" i="5"/>
  <c r="CH11" i="5"/>
  <c r="CH49" i="5"/>
  <c r="CH48" i="5"/>
  <c r="CH206" i="5"/>
  <c r="CG33" i="5"/>
  <c r="CF197" i="5"/>
  <c r="CF37" i="5"/>
  <c r="CE33" i="10"/>
  <c r="CG216" i="5"/>
  <c r="CF5" i="11"/>
  <c r="CG5" i="10"/>
  <c r="CF207" i="7"/>
  <c r="CC199" i="7"/>
  <c r="CC26" i="7"/>
  <c r="CF33" i="7"/>
  <c r="CD70" i="5"/>
  <c r="CG69" i="7"/>
  <c r="CA241" i="7"/>
  <c r="CC8" i="11"/>
  <c r="CC10" i="11" s="1"/>
  <c r="CC31" i="11" s="1"/>
  <c r="CC34" i="11" s="1"/>
  <c r="CD30" i="11" s="1"/>
  <c r="CC199" i="10"/>
  <c r="CC26" i="10"/>
  <c r="CG267" i="10"/>
  <c r="CH15" i="10"/>
  <c r="CG15" i="7"/>
  <c r="CG15" i="5"/>
  <c r="CE69" i="10"/>
  <c r="CF69" i="10" s="1"/>
  <c r="CE9" i="10"/>
  <c r="CE14" i="10" s="1"/>
  <c r="CE218" i="10" s="1"/>
  <c r="CE242" i="10" s="1"/>
  <c r="CF242" i="10" s="1"/>
  <c r="CE83" i="7"/>
  <c r="CD41" i="7"/>
  <c r="CF216" i="7"/>
  <c r="CC70" i="10"/>
  <c r="CD70" i="10" s="1"/>
  <c r="CF267" i="7"/>
  <c r="CF218" i="7"/>
  <c r="CE83" i="10"/>
  <c r="CD41" i="10"/>
  <c r="CD197" i="10"/>
  <c r="CD37" i="10"/>
  <c r="CE207" i="10"/>
  <c r="CF4" i="11"/>
  <c r="CF179" i="10"/>
  <c r="CF172" i="10"/>
  <c r="CF164" i="10"/>
  <c r="CF156" i="10"/>
  <c r="CF169" i="10"/>
  <c r="CF161" i="10"/>
  <c r="CF174" i="10"/>
  <c r="CF166" i="10"/>
  <c r="CF158" i="10"/>
  <c r="CF177" i="10"/>
  <c r="CF176" i="10"/>
  <c r="CF170" i="10"/>
  <c r="CF162" i="10"/>
  <c r="CF173" i="10"/>
  <c r="CF154" i="10"/>
  <c r="CF153" i="10"/>
  <c r="CF148" i="10"/>
  <c r="CF140" i="10"/>
  <c r="CF132" i="10"/>
  <c r="CF167" i="10"/>
  <c r="CF157" i="10"/>
  <c r="CF152" i="10"/>
  <c r="CF145" i="10"/>
  <c r="CF171" i="10"/>
  <c r="CF151" i="10"/>
  <c r="CF150" i="10"/>
  <c r="CF142" i="10"/>
  <c r="CF159" i="10"/>
  <c r="CF147" i="10"/>
  <c r="CF180" i="10"/>
  <c r="CF160" i="10"/>
  <c r="CF137" i="10"/>
  <c r="CF125" i="10"/>
  <c r="CF117" i="10"/>
  <c r="CF109" i="10"/>
  <c r="CF143" i="10"/>
  <c r="CF136" i="10"/>
  <c r="CF122" i="10"/>
  <c r="CF165" i="10"/>
  <c r="CF138" i="10"/>
  <c r="CF135" i="10"/>
  <c r="CF134" i="10"/>
  <c r="CF119" i="10"/>
  <c r="CF144" i="10"/>
  <c r="CF141" i="10"/>
  <c r="CF128" i="10"/>
  <c r="CF123" i="10"/>
  <c r="CF149" i="10"/>
  <c r="CF110" i="10"/>
  <c r="CF133" i="10"/>
  <c r="CF108" i="10"/>
  <c r="CF163" i="10"/>
  <c r="CF131" i="10"/>
  <c r="CF121" i="10"/>
  <c r="CF107" i="10"/>
  <c r="CF106" i="10"/>
  <c r="CF139" i="10"/>
  <c r="CF129" i="10"/>
  <c r="CF126" i="10"/>
  <c r="CF118" i="10"/>
  <c r="CF105" i="10"/>
  <c r="CF178" i="10"/>
  <c r="CF127" i="10"/>
  <c r="CF175" i="10"/>
  <c r="CF146" i="10"/>
  <c r="CF120" i="10"/>
  <c r="CF115" i="10"/>
  <c r="CF168" i="10"/>
  <c r="CF113" i="10"/>
  <c r="CF155" i="10"/>
  <c r="CF130" i="10"/>
  <c r="CF104" i="10"/>
  <c r="CF116" i="10"/>
  <c r="CF124" i="10"/>
  <c r="CF11" i="10"/>
  <c r="CF112" i="10"/>
  <c r="CF39" i="10"/>
  <c r="CF10" i="10"/>
  <c r="CF40" i="10" s="1"/>
  <c r="CF217" i="10" s="1"/>
  <c r="CF111" i="10"/>
  <c r="CF114" i="10"/>
  <c r="CF8" i="10"/>
  <c r="CG4" i="10"/>
  <c r="CF9" i="10"/>
  <c r="CF14" i="10" s="1"/>
  <c r="CF218" i="10" s="1"/>
  <c r="CF43" i="10"/>
  <c r="CF24" i="10" s="1"/>
  <c r="CF204" i="10"/>
  <c r="CF49" i="10"/>
  <c r="CF48" i="10"/>
  <c r="CF206" i="10"/>
  <c r="CA241" i="5"/>
  <c r="CE197" i="7"/>
  <c r="CE37" i="7"/>
  <c r="CF83" i="7" l="1"/>
  <c r="CE41" i="7"/>
  <c r="CE70" i="5"/>
  <c r="CH207" i="5"/>
  <c r="E11" i="5"/>
  <c r="CF83" i="5"/>
  <c r="CE41" i="5"/>
  <c r="CG216" i="7"/>
  <c r="CF216" i="10"/>
  <c r="CF197" i="7"/>
  <c r="CF37" i="7"/>
  <c r="CH40" i="5"/>
  <c r="E10" i="5"/>
  <c r="CH246" i="5"/>
  <c r="CH248" i="5"/>
  <c r="CH249" i="5"/>
  <c r="CH33" i="5"/>
  <c r="E8" i="5"/>
  <c r="CG69" i="10"/>
  <c r="CH216" i="5"/>
  <c r="E216" i="5" s="1"/>
  <c r="E39" i="5"/>
  <c r="CH181" i="7"/>
  <c r="CH182" i="7"/>
  <c r="CH171" i="7"/>
  <c r="CH163" i="7"/>
  <c r="CH155" i="7"/>
  <c r="CH147" i="7"/>
  <c r="CH139" i="7"/>
  <c r="CH131" i="7"/>
  <c r="CH176" i="7"/>
  <c r="CH168" i="7"/>
  <c r="CH160" i="7"/>
  <c r="CH152" i="7"/>
  <c r="CH144" i="7"/>
  <c r="CH180" i="7"/>
  <c r="CH173" i="7"/>
  <c r="CH165" i="7"/>
  <c r="CH157" i="7"/>
  <c r="CH179" i="7"/>
  <c r="CH177" i="7"/>
  <c r="CH169" i="7"/>
  <c r="CH161" i="7"/>
  <c r="CH153" i="7"/>
  <c r="CH166" i="7"/>
  <c r="CH175" i="7"/>
  <c r="CH164" i="7"/>
  <c r="CH162" i="7"/>
  <c r="CH151" i="7"/>
  <c r="CH132" i="7"/>
  <c r="CH117" i="7"/>
  <c r="CH109" i="7"/>
  <c r="CH146" i="7"/>
  <c r="CH130" i="7"/>
  <c r="CH122" i="7"/>
  <c r="CH174" i="7"/>
  <c r="CH158" i="7"/>
  <c r="CH154" i="7"/>
  <c r="CH149" i="7"/>
  <c r="CH148" i="7"/>
  <c r="CH142" i="7"/>
  <c r="CH129" i="7"/>
  <c r="CH128" i="7"/>
  <c r="CH159" i="7"/>
  <c r="CH141" i="7"/>
  <c r="CH133" i="7"/>
  <c r="CH124" i="7"/>
  <c r="CH121" i="7"/>
  <c r="CH106" i="7"/>
  <c r="CH9" i="7"/>
  <c r="CH167" i="7"/>
  <c r="CH143" i="7"/>
  <c r="CH140" i="7"/>
  <c r="CH156" i="7"/>
  <c r="CH137" i="7"/>
  <c r="CH125" i="7"/>
  <c r="CH116" i="7"/>
  <c r="CH108" i="7"/>
  <c r="CH150" i="7"/>
  <c r="CH134" i="7"/>
  <c r="CH118" i="7"/>
  <c r="CH115" i="7"/>
  <c r="CH172" i="7"/>
  <c r="CH138" i="7"/>
  <c r="CH123" i="7"/>
  <c r="CH119" i="7"/>
  <c r="CH178" i="7"/>
  <c r="CH170" i="7"/>
  <c r="CH145" i="7"/>
  <c r="CH135" i="7"/>
  <c r="CH126" i="7"/>
  <c r="CH112" i="7"/>
  <c r="CH110" i="7"/>
  <c r="CH104" i="7"/>
  <c r="CH43" i="7"/>
  <c r="CH113" i="7"/>
  <c r="CH111" i="7"/>
  <c r="CH107" i="7"/>
  <c r="CH10" i="7"/>
  <c r="CH136" i="7"/>
  <c r="CH114" i="7"/>
  <c r="CH105" i="7"/>
  <c r="CH120" i="7"/>
  <c r="CH127" i="7"/>
  <c r="CH11" i="7"/>
  <c r="CH39" i="7"/>
  <c r="CH8" i="7"/>
  <c r="CH204" i="7"/>
  <c r="CH206" i="7"/>
  <c r="CH49" i="7"/>
  <c r="CH48" i="7"/>
  <c r="CG267" i="5"/>
  <c r="CG218" i="5"/>
  <c r="CG242" i="5" s="1"/>
  <c r="CE70" i="7"/>
  <c r="CG207" i="7"/>
  <c r="CG33" i="7"/>
  <c r="CD8" i="11"/>
  <c r="CD10" i="11" s="1"/>
  <c r="CD31" i="11" s="1"/>
  <c r="CD34" i="11" s="1"/>
  <c r="CE30" i="11" s="1"/>
  <c r="CD199" i="10"/>
  <c r="CD26" i="10"/>
  <c r="CG267" i="7"/>
  <c r="CE197" i="10"/>
  <c r="CE37" i="10"/>
  <c r="CG68" i="7"/>
  <c r="CH68" i="7" s="1"/>
  <c r="E68" i="7" s="1"/>
  <c r="CG197" i="5"/>
  <c r="CG37" i="5"/>
  <c r="CF207" i="10"/>
  <c r="CF33" i="10"/>
  <c r="CF83" i="10"/>
  <c r="CE41" i="10"/>
  <c r="CH267" i="10"/>
  <c r="E267" i="10" s="1"/>
  <c r="CH15" i="7"/>
  <c r="CH15" i="5"/>
  <c r="E15" i="10"/>
  <c r="CB241" i="7"/>
  <c r="CD241" i="10"/>
  <c r="CG9" i="7"/>
  <c r="CG14" i="7" s="1"/>
  <c r="CG218" i="7" s="1"/>
  <c r="CG242" i="7" s="1"/>
  <c r="CB241" i="5"/>
  <c r="CG4" i="11"/>
  <c r="CG176" i="10"/>
  <c r="CG181" i="10"/>
  <c r="CG178" i="10"/>
  <c r="CG169" i="10"/>
  <c r="CG161" i="10"/>
  <c r="CG153" i="10"/>
  <c r="CG179" i="10"/>
  <c r="CG174" i="10"/>
  <c r="CG166" i="10"/>
  <c r="CG158" i="10"/>
  <c r="CG180" i="10"/>
  <c r="CG171" i="10"/>
  <c r="CG163" i="10"/>
  <c r="CG175" i="10"/>
  <c r="CG167" i="10"/>
  <c r="CG162" i="10"/>
  <c r="CG157" i="10"/>
  <c r="CG152" i="10"/>
  <c r="CG145" i="10"/>
  <c r="CG137" i="10"/>
  <c r="CG129" i="10"/>
  <c r="CG172" i="10"/>
  <c r="CG151" i="10"/>
  <c r="CG150" i="10"/>
  <c r="CG142" i="10"/>
  <c r="CG159" i="10"/>
  <c r="CG147" i="10"/>
  <c r="CG139" i="10"/>
  <c r="CG165" i="10"/>
  <c r="CG144" i="10"/>
  <c r="CG143" i="10"/>
  <c r="CG136" i="10"/>
  <c r="CG122" i="10"/>
  <c r="CG114" i="10"/>
  <c r="CG106" i="10"/>
  <c r="CG156" i="10"/>
  <c r="CG154" i="10"/>
  <c r="CG148" i="10"/>
  <c r="CG138" i="10"/>
  <c r="CG135" i="10"/>
  <c r="CG134" i="10"/>
  <c r="CG119" i="10"/>
  <c r="CG170" i="10"/>
  <c r="CG140" i="10"/>
  <c r="CG133" i="10"/>
  <c r="CG124" i="10"/>
  <c r="CG177" i="10"/>
  <c r="CG149" i="10"/>
  <c r="CG127" i="10"/>
  <c r="CG120" i="10"/>
  <c r="CG164" i="10"/>
  <c r="CG109" i="10"/>
  <c r="CG108" i="10"/>
  <c r="CG131" i="10"/>
  <c r="CG121" i="10"/>
  <c r="CG107" i="10"/>
  <c r="CG126" i="10"/>
  <c r="CG118" i="10"/>
  <c r="CG105" i="10"/>
  <c r="CG173" i="10"/>
  <c r="CG117" i="10"/>
  <c r="CG116" i="10"/>
  <c r="CG160" i="10"/>
  <c r="CG146" i="10"/>
  <c r="CG132" i="10"/>
  <c r="CG168" i="10"/>
  <c r="CG155" i="10"/>
  <c r="CG130" i="10"/>
  <c r="CG115" i="10"/>
  <c r="CG141" i="10"/>
  <c r="CG113" i="10"/>
  <c r="CG111" i="10"/>
  <c r="CG112" i="10"/>
  <c r="CG11" i="10"/>
  <c r="CG128" i="10"/>
  <c r="CG39" i="10"/>
  <c r="CG10" i="10"/>
  <c r="CG40" i="10" s="1"/>
  <c r="CG217" i="10" s="1"/>
  <c r="CG123" i="10"/>
  <c r="CG104" i="10"/>
  <c r="CG110" i="10"/>
  <c r="CG43" i="10"/>
  <c r="CG24" i="10" s="1"/>
  <c r="CG125" i="10"/>
  <c r="CH4" i="10"/>
  <c r="CG9" i="10"/>
  <c r="CG14" i="10" s="1"/>
  <c r="CG218" i="10" s="1"/>
  <c r="CG242" i="10" s="1"/>
  <c r="CG8" i="10"/>
  <c r="CG204" i="10"/>
  <c r="CG49" i="10"/>
  <c r="CG206" i="10"/>
  <c r="CG48" i="10"/>
  <c r="CD199" i="7"/>
  <c r="CD26" i="7"/>
  <c r="CG5" i="11"/>
  <c r="CH5" i="10"/>
  <c r="CH5" i="11" s="1"/>
  <c r="CH9" i="5"/>
  <c r="CD199" i="5"/>
  <c r="CD26" i="5"/>
  <c r="CH254" i="5" l="1"/>
  <c r="CH14" i="7"/>
  <c r="E14" i="7" s="1"/>
  <c r="E9" i="7"/>
  <c r="CH253" i="5"/>
  <c r="CG83" i="10"/>
  <c r="CF41" i="10"/>
  <c r="F11" i="4"/>
  <c r="CC241" i="5"/>
  <c r="CH267" i="5"/>
  <c r="E267" i="5" s="1"/>
  <c r="E15" i="5"/>
  <c r="CH217" i="5"/>
  <c r="E217" i="5" s="1"/>
  <c r="E40" i="5"/>
  <c r="F12" i="4" s="1"/>
  <c r="CH69" i="5"/>
  <c r="E69" i="5" s="1"/>
  <c r="CF70" i="5"/>
  <c r="CH218" i="7"/>
  <c r="E218" i="7" s="1"/>
  <c r="CH267" i="7"/>
  <c r="E267" i="7" s="1"/>
  <c r="E15" i="7"/>
  <c r="CH248" i="7"/>
  <c r="CH33" i="7"/>
  <c r="E8" i="7"/>
  <c r="CH40" i="7"/>
  <c r="E10" i="7"/>
  <c r="CE26" i="7"/>
  <c r="CE199" i="7"/>
  <c r="CG33" i="10"/>
  <c r="CH4" i="11"/>
  <c r="CH181" i="10"/>
  <c r="CH179" i="10"/>
  <c r="CH174" i="10"/>
  <c r="CH166" i="10"/>
  <c r="CH158" i="10"/>
  <c r="CH180" i="10"/>
  <c r="CH171" i="10"/>
  <c r="CH163" i="10"/>
  <c r="CH168" i="10"/>
  <c r="CH160" i="10"/>
  <c r="CH178" i="10"/>
  <c r="CH172" i="10"/>
  <c r="CH164" i="10"/>
  <c r="CH182" i="10"/>
  <c r="CH176" i="10"/>
  <c r="CH167" i="10"/>
  <c r="CH151" i="10"/>
  <c r="CH150" i="10"/>
  <c r="CH142" i="10"/>
  <c r="CH134" i="10"/>
  <c r="CH159" i="10"/>
  <c r="CH147" i="10"/>
  <c r="CH139" i="10"/>
  <c r="CH165" i="10"/>
  <c r="CH161" i="10"/>
  <c r="CH144" i="10"/>
  <c r="CH177" i="10"/>
  <c r="CH170" i="10"/>
  <c r="CH149" i="10"/>
  <c r="CH156" i="10"/>
  <c r="CH154" i="10"/>
  <c r="CH148" i="10"/>
  <c r="CH138" i="10"/>
  <c r="CH135" i="10"/>
  <c r="CH119" i="10"/>
  <c r="CH111" i="10"/>
  <c r="CH162" i="10"/>
  <c r="CH157" i="10"/>
  <c r="CH152" i="10"/>
  <c r="CH140" i="10"/>
  <c r="CH133" i="10"/>
  <c r="CH124" i="10"/>
  <c r="CH175" i="10"/>
  <c r="CH146" i="10"/>
  <c r="CH132" i="10"/>
  <c r="CH131" i="10"/>
  <c r="CH121" i="10"/>
  <c r="CH125" i="10"/>
  <c r="CH137" i="10"/>
  <c r="CH122" i="10"/>
  <c r="CH107" i="10"/>
  <c r="CH126" i="10"/>
  <c r="CH118" i="10"/>
  <c r="CH106" i="10"/>
  <c r="CH105" i="10"/>
  <c r="CH173" i="10"/>
  <c r="CH129" i="10"/>
  <c r="CH117" i="10"/>
  <c r="CH116" i="10"/>
  <c r="CH153" i="10"/>
  <c r="CH145" i="10"/>
  <c r="CH127" i="10"/>
  <c r="CH120" i="10"/>
  <c r="CH115" i="10"/>
  <c r="CH104" i="10"/>
  <c r="CH169" i="10"/>
  <c r="CH143" i="10"/>
  <c r="CH136" i="10"/>
  <c r="CH155" i="10"/>
  <c r="CH130" i="10"/>
  <c r="CH141" i="10"/>
  <c r="CH128" i="10"/>
  <c r="CH113" i="10"/>
  <c r="CH123" i="10"/>
  <c r="CH110" i="10"/>
  <c r="CH39" i="10"/>
  <c r="CH10" i="10"/>
  <c r="CH112" i="10"/>
  <c r="CH108" i="10"/>
  <c r="CH9" i="10"/>
  <c r="CH114" i="10"/>
  <c r="CH109" i="10"/>
  <c r="CH8" i="10"/>
  <c r="CH43" i="10"/>
  <c r="CH11" i="10"/>
  <c r="CH204" i="10"/>
  <c r="CH49" i="10"/>
  <c r="CH206" i="10"/>
  <c r="CH48" i="10"/>
  <c r="CH216" i="7"/>
  <c r="E216" i="7" s="1"/>
  <c r="E39" i="7"/>
  <c r="CE241" i="10"/>
  <c r="CG197" i="7"/>
  <c r="CG37" i="7"/>
  <c r="CH207" i="7"/>
  <c r="E11" i="7"/>
  <c r="G248" i="5"/>
  <c r="G249" i="5"/>
  <c r="G247" i="5"/>
  <c r="G246" i="5"/>
  <c r="I247" i="5"/>
  <c r="H249" i="5"/>
  <c r="I249" i="5"/>
  <c r="H248" i="5"/>
  <c r="I248" i="5"/>
  <c r="H246" i="5"/>
  <c r="I246" i="5"/>
  <c r="H247" i="5"/>
  <c r="J246" i="5"/>
  <c r="J249" i="5"/>
  <c r="J247" i="5"/>
  <c r="J248" i="5"/>
  <c r="K247" i="5"/>
  <c r="K249" i="5"/>
  <c r="K248" i="5"/>
  <c r="K246" i="5"/>
  <c r="L248" i="5"/>
  <c r="L247" i="5"/>
  <c r="L246" i="5"/>
  <c r="L249" i="5"/>
  <c r="M249" i="5"/>
  <c r="M248" i="5"/>
  <c r="M247" i="5"/>
  <c r="M246" i="5"/>
  <c r="N248" i="5"/>
  <c r="N246" i="5"/>
  <c r="N249" i="5"/>
  <c r="N247" i="5"/>
  <c r="O249" i="5"/>
  <c r="O248" i="5"/>
  <c r="O247" i="5"/>
  <c r="O246" i="5"/>
  <c r="P246" i="5"/>
  <c r="P249" i="5"/>
  <c r="P248" i="5"/>
  <c r="P247" i="5"/>
  <c r="Q248" i="5"/>
  <c r="Q246" i="5"/>
  <c r="Q247" i="5"/>
  <c r="Q249" i="5"/>
  <c r="R247" i="5"/>
  <c r="R249" i="5"/>
  <c r="R248" i="5"/>
  <c r="R246" i="5"/>
  <c r="S248" i="5"/>
  <c r="S246" i="5"/>
  <c r="S247" i="5"/>
  <c r="S249" i="5"/>
  <c r="T248" i="5"/>
  <c r="T247" i="5"/>
  <c r="T249" i="5"/>
  <c r="T246" i="5"/>
  <c r="U246" i="5"/>
  <c r="U248" i="5"/>
  <c r="U249" i="5"/>
  <c r="U247" i="5"/>
  <c r="V248" i="5"/>
  <c r="V246" i="5"/>
  <c r="V249" i="5"/>
  <c r="V247" i="5"/>
  <c r="W247" i="5"/>
  <c r="W249" i="5"/>
  <c r="W248" i="5"/>
  <c r="W246" i="5"/>
  <c r="X248" i="5"/>
  <c r="X249" i="5"/>
  <c r="X246" i="5"/>
  <c r="X247" i="5"/>
  <c r="Y246" i="5"/>
  <c r="Y247" i="5"/>
  <c r="Y248" i="5"/>
  <c r="Y249" i="5"/>
  <c r="Z247" i="5"/>
  <c r="Z246" i="5"/>
  <c r="Z249" i="5"/>
  <c r="Z248" i="5"/>
  <c r="AA249" i="5"/>
  <c r="AA248" i="5"/>
  <c r="AA246" i="5"/>
  <c r="AA247" i="5"/>
  <c r="AB248" i="5"/>
  <c r="AB249" i="5"/>
  <c r="AB247" i="5"/>
  <c r="AB246" i="5"/>
  <c r="AC248" i="5"/>
  <c r="AC247" i="5"/>
  <c r="AC246" i="5"/>
  <c r="AC249" i="5"/>
  <c r="AD249" i="5"/>
  <c r="AD248" i="5"/>
  <c r="AD247" i="5"/>
  <c r="AD246" i="5"/>
  <c r="AE247" i="5"/>
  <c r="AE248" i="5"/>
  <c r="AE249" i="5"/>
  <c r="AE246" i="5"/>
  <c r="AF248" i="5"/>
  <c r="AF246" i="5"/>
  <c r="AF249" i="5"/>
  <c r="AF247" i="5"/>
  <c r="AG246" i="5"/>
  <c r="AG249" i="5"/>
  <c r="AG247" i="5"/>
  <c r="AG248" i="5"/>
  <c r="AH248" i="5"/>
  <c r="AH249" i="5"/>
  <c r="AH247" i="5"/>
  <c r="AH246" i="5"/>
  <c r="AI246" i="5"/>
  <c r="AI249" i="5"/>
  <c r="AI248" i="5"/>
  <c r="AI247" i="5"/>
  <c r="AJ248" i="5"/>
  <c r="AJ247" i="5"/>
  <c r="AJ246" i="5"/>
  <c r="AJ249" i="5"/>
  <c r="AK249" i="5"/>
  <c r="AK247" i="5"/>
  <c r="AK248" i="5"/>
  <c r="AK246" i="5"/>
  <c r="AL247" i="5"/>
  <c r="AL249" i="5"/>
  <c r="AL246" i="5"/>
  <c r="AL248" i="5"/>
  <c r="AM246" i="5"/>
  <c r="AM247" i="5"/>
  <c r="AM248" i="5"/>
  <c r="AM249" i="5"/>
  <c r="AN247" i="5"/>
  <c r="AN249" i="5"/>
  <c r="AN246" i="5"/>
  <c r="AN248" i="5"/>
  <c r="AO246" i="5"/>
  <c r="AO249" i="5"/>
  <c r="AO247" i="5"/>
  <c r="AO248" i="5"/>
  <c r="AP249" i="5"/>
  <c r="AP248" i="5"/>
  <c r="AP246" i="5"/>
  <c r="AP247" i="5"/>
  <c r="AQ246" i="5"/>
  <c r="AQ249" i="5"/>
  <c r="AQ248" i="5"/>
  <c r="AQ247" i="5"/>
  <c r="AR248" i="5"/>
  <c r="AR247" i="5"/>
  <c r="AR246" i="5"/>
  <c r="AR249" i="5"/>
  <c r="AS246" i="5"/>
  <c r="AS248" i="5"/>
  <c r="AS247" i="5"/>
  <c r="AS249" i="5"/>
  <c r="AT247" i="5"/>
  <c r="AT246" i="5"/>
  <c r="AT248" i="5"/>
  <c r="AT249" i="5"/>
  <c r="AU246" i="5"/>
  <c r="AU248" i="5"/>
  <c r="AU247" i="5"/>
  <c r="AU249" i="5"/>
  <c r="AV249" i="5"/>
  <c r="AV248" i="5"/>
  <c r="AV247" i="5"/>
  <c r="AV246" i="5"/>
  <c r="AW246" i="5"/>
  <c r="AW247" i="5"/>
  <c r="AW249" i="5"/>
  <c r="AW248" i="5"/>
  <c r="AX247" i="5"/>
  <c r="AX248" i="5"/>
  <c r="AX249" i="5"/>
  <c r="AX246" i="5"/>
  <c r="AY247" i="5"/>
  <c r="AY249" i="5"/>
  <c r="AY246" i="5"/>
  <c r="AY248" i="5"/>
  <c r="AZ249" i="5"/>
  <c r="AZ246" i="5"/>
  <c r="AZ248" i="5"/>
  <c r="AZ247" i="5"/>
  <c r="BA247" i="5"/>
  <c r="BA249" i="5"/>
  <c r="BA248" i="5"/>
  <c r="BA246" i="5"/>
  <c r="BB247" i="5"/>
  <c r="BB246" i="5"/>
  <c r="BB249" i="5"/>
  <c r="BB248" i="5"/>
  <c r="BC247" i="5"/>
  <c r="BC249" i="5"/>
  <c r="BC248" i="5"/>
  <c r="BC246" i="5"/>
  <c r="BD247" i="5"/>
  <c r="BD246" i="5"/>
  <c r="BD248" i="5"/>
  <c r="BD249" i="5"/>
  <c r="BE248" i="5"/>
  <c r="BE247" i="5"/>
  <c r="BE246" i="5"/>
  <c r="BE249" i="5"/>
  <c r="BF249" i="5"/>
  <c r="BF246" i="5"/>
  <c r="BF248" i="5"/>
  <c r="BF247" i="5"/>
  <c r="BG249" i="5"/>
  <c r="BG248" i="5"/>
  <c r="BG246" i="5"/>
  <c r="BG247" i="5"/>
  <c r="BH249" i="5"/>
  <c r="BH248" i="5"/>
  <c r="BH246" i="5"/>
  <c r="BH247" i="5"/>
  <c r="BI249" i="5"/>
  <c r="BI248" i="5"/>
  <c r="BI247" i="5"/>
  <c r="BI246" i="5"/>
  <c r="BJ249" i="5"/>
  <c r="BJ248" i="5"/>
  <c r="BJ247" i="5"/>
  <c r="BJ246" i="5"/>
  <c r="BK247" i="5"/>
  <c r="BK248" i="5"/>
  <c r="BK246" i="5"/>
  <c r="BK249" i="5"/>
  <c r="BL247" i="5"/>
  <c r="BL248" i="5"/>
  <c r="BL249" i="5"/>
  <c r="BL246" i="5"/>
  <c r="BM246" i="5"/>
  <c r="BM248" i="5"/>
  <c r="BM247" i="5"/>
  <c r="BM249" i="5"/>
  <c r="BN249" i="5"/>
  <c r="BN247" i="5"/>
  <c r="BN246" i="5"/>
  <c r="BN248" i="5"/>
  <c r="BO247" i="5"/>
  <c r="BO249" i="5"/>
  <c r="BO248" i="5"/>
  <c r="BO246" i="5"/>
  <c r="BP249" i="5"/>
  <c r="BP248" i="5"/>
  <c r="BP247" i="5"/>
  <c r="BP246" i="5"/>
  <c r="BQ248" i="5"/>
  <c r="BQ247" i="5"/>
  <c r="BQ249" i="5"/>
  <c r="BQ246" i="5"/>
  <c r="BR246" i="5"/>
  <c r="BR247" i="5"/>
  <c r="BR249" i="5"/>
  <c r="BR248" i="5"/>
  <c r="BS248" i="5"/>
  <c r="BS247" i="5"/>
  <c r="BS246" i="5"/>
  <c r="BS249" i="5"/>
  <c r="BT247" i="5"/>
  <c r="BT249" i="5"/>
  <c r="BT248" i="5"/>
  <c r="BT246" i="5"/>
  <c r="BU246" i="5"/>
  <c r="BU249" i="5"/>
  <c r="BU248" i="5"/>
  <c r="BU247" i="5"/>
  <c r="BV249" i="5"/>
  <c r="BV247" i="5"/>
  <c r="BV248" i="5"/>
  <c r="BV246" i="5"/>
  <c r="BW246" i="5"/>
  <c r="BW247" i="5"/>
  <c r="BW249" i="5"/>
  <c r="BW248" i="5"/>
  <c r="BX248" i="5"/>
  <c r="BX247" i="5"/>
  <c r="BX246" i="5"/>
  <c r="BX249" i="5"/>
  <c r="BY249" i="5"/>
  <c r="BY246" i="5"/>
  <c r="BY248" i="5"/>
  <c r="BY247" i="5"/>
  <c r="BZ248" i="5"/>
  <c r="BZ249" i="5"/>
  <c r="BZ247" i="5"/>
  <c r="BZ246" i="5"/>
  <c r="CA249" i="5"/>
  <c r="CA247" i="5"/>
  <c r="CA246" i="5"/>
  <c r="CA248" i="5"/>
  <c r="CB249" i="5"/>
  <c r="CB246" i="5"/>
  <c r="CB247" i="5"/>
  <c r="CB248" i="5"/>
  <c r="CC248" i="5"/>
  <c r="CC249" i="5"/>
  <c r="CC247" i="5"/>
  <c r="CC246" i="5"/>
  <c r="CD248" i="5"/>
  <c r="CD247" i="5"/>
  <c r="CD246" i="5"/>
  <c r="CD249" i="5"/>
  <c r="CE248" i="5"/>
  <c r="CE247" i="5"/>
  <c r="CE246" i="5"/>
  <c r="CE249" i="5"/>
  <c r="CF246" i="5"/>
  <c r="CF248" i="5"/>
  <c r="CF247" i="5"/>
  <c r="CF249" i="5"/>
  <c r="CG246" i="5"/>
  <c r="CG249" i="5"/>
  <c r="CG247" i="5"/>
  <c r="CG248" i="5"/>
  <c r="CE199" i="5"/>
  <c r="CE26" i="5"/>
  <c r="CG216" i="10"/>
  <c r="CH251" i="5"/>
  <c r="CH197" i="5"/>
  <c r="CH37" i="5"/>
  <c r="CH247" i="5"/>
  <c r="CG83" i="5"/>
  <c r="CF41" i="5"/>
  <c r="CF197" i="10"/>
  <c r="CF37" i="10"/>
  <c r="CG83" i="7"/>
  <c r="CF41" i="7"/>
  <c r="CH14" i="5"/>
  <c r="E14" i="5" s="1"/>
  <c r="E9" i="5"/>
  <c r="CG207" i="10"/>
  <c r="CC241" i="7"/>
  <c r="CE8" i="11"/>
  <c r="CE10" i="11" s="1"/>
  <c r="CE31" i="11" s="1"/>
  <c r="CE34" i="11" s="1"/>
  <c r="CF30" i="11" s="1"/>
  <c r="CE199" i="10"/>
  <c r="CE26" i="10"/>
  <c r="CH24" i="7"/>
  <c r="CG68" i="10"/>
  <c r="CH68" i="10" s="1"/>
  <c r="E68" i="10" s="1"/>
  <c r="CE70" i="10"/>
  <c r="CF70" i="10" s="1"/>
  <c r="CG253" i="5" l="1"/>
  <c r="CC252" i="5"/>
  <c r="BY253" i="5"/>
  <c r="BU252" i="5"/>
  <c r="AZ253" i="5"/>
  <c r="Z253" i="5"/>
  <c r="W253" i="5"/>
  <c r="CD241" i="7"/>
  <c r="CF254" i="5"/>
  <c r="BU253" i="5"/>
  <c r="BS250" i="5"/>
  <c r="BS251" i="5"/>
  <c r="BM254" i="5"/>
  <c r="BK250" i="5"/>
  <c r="BK251" i="5"/>
  <c r="BI250" i="5"/>
  <c r="BI251" i="5"/>
  <c r="BE250" i="5"/>
  <c r="BE251" i="5"/>
  <c r="BC250" i="5"/>
  <c r="BC251" i="5"/>
  <c r="AO252" i="5"/>
  <c r="AM254" i="5"/>
  <c r="AF254" i="5"/>
  <c r="AB250" i="5"/>
  <c r="AB251" i="5"/>
  <c r="U254" i="5"/>
  <c r="L250" i="5"/>
  <c r="L251" i="5"/>
  <c r="BT253" i="5"/>
  <c r="BP252" i="5"/>
  <c r="BL250" i="5"/>
  <c r="BL251" i="5"/>
  <c r="BH250" i="5"/>
  <c r="BH251" i="5"/>
  <c r="BC253" i="5"/>
  <c r="AX254" i="5"/>
  <c r="AT250" i="5"/>
  <c r="AT251" i="5"/>
  <c r="AD252" i="5"/>
  <c r="Y252" i="5"/>
  <c r="R253" i="5"/>
  <c r="N250" i="5"/>
  <c r="N251" i="5"/>
  <c r="CF199" i="7"/>
  <c r="CF26" i="7"/>
  <c r="CH252" i="5"/>
  <c r="CH255" i="5" s="1"/>
  <c r="CE254" i="5"/>
  <c r="CD254" i="5"/>
  <c r="CC250" i="5"/>
  <c r="CC251" i="5"/>
  <c r="CB253" i="5"/>
  <c r="CA253" i="5"/>
  <c r="BY252" i="5"/>
  <c r="BR253" i="5"/>
  <c r="BN253" i="5"/>
  <c r="BB253" i="5"/>
  <c r="AZ252" i="5"/>
  <c r="AY253" i="5"/>
  <c r="AW253" i="5"/>
  <c r="AU254" i="5"/>
  <c r="AT254" i="5"/>
  <c r="AR254" i="5"/>
  <c r="AO253" i="5"/>
  <c r="AN253" i="5"/>
  <c r="AL253" i="5"/>
  <c r="AJ254" i="5"/>
  <c r="AG253" i="5"/>
  <c r="AD250" i="5"/>
  <c r="AD251" i="5"/>
  <c r="AC254" i="5"/>
  <c r="Y254" i="5"/>
  <c r="X252" i="5"/>
  <c r="W250" i="5"/>
  <c r="W251" i="5"/>
  <c r="T250" i="5"/>
  <c r="T251" i="5"/>
  <c r="S254" i="5"/>
  <c r="Q254" i="5"/>
  <c r="N252" i="5"/>
  <c r="L254" i="5"/>
  <c r="K250" i="5"/>
  <c r="K251" i="5"/>
  <c r="J253" i="5"/>
  <c r="H252" i="5"/>
  <c r="CF241" i="10"/>
  <c r="CH253" i="7"/>
  <c r="CH83" i="7"/>
  <c r="CG41" i="7"/>
  <c r="BR254" i="5"/>
  <c r="BJ250" i="5"/>
  <c r="BJ251" i="5"/>
  <c r="BF252" i="5"/>
  <c r="BA250" i="5"/>
  <c r="BA251" i="5"/>
  <c r="AW254" i="5"/>
  <c r="AT253" i="5"/>
  <c r="AQ252" i="5"/>
  <c r="AI252" i="5"/>
  <c r="N254" i="5"/>
  <c r="CH217" i="7"/>
  <c r="E217" i="7" s="1"/>
  <c r="G221" i="7" s="1"/>
  <c r="E40" i="7"/>
  <c r="F12" i="6" s="1"/>
  <c r="CH69" i="7"/>
  <c r="E69" i="7" s="1"/>
  <c r="CH218" i="5"/>
  <c r="CF8" i="11"/>
  <c r="CF10" i="11" s="1"/>
  <c r="CF31" i="11" s="1"/>
  <c r="CF34" i="11" s="1"/>
  <c r="CG30" i="11" s="1"/>
  <c r="CF26" i="10"/>
  <c r="CF199" i="10"/>
  <c r="CC254" i="5"/>
  <c r="BX250" i="5"/>
  <c r="BX251" i="5"/>
  <c r="BU254" i="5"/>
  <c r="BQ250" i="5"/>
  <c r="BQ251" i="5"/>
  <c r="BI252" i="5"/>
  <c r="BE252" i="5"/>
  <c r="AG254" i="5"/>
  <c r="AA252" i="5"/>
  <c r="E247" i="5"/>
  <c r="G252" i="5"/>
  <c r="H248" i="7"/>
  <c r="G246" i="7"/>
  <c r="H247" i="7"/>
  <c r="H221" i="7"/>
  <c r="G247" i="7"/>
  <c r="G249" i="7"/>
  <c r="H246" i="7"/>
  <c r="G248" i="7"/>
  <c r="H249" i="7"/>
  <c r="I248" i="7"/>
  <c r="I247" i="7"/>
  <c r="I246" i="7"/>
  <c r="I223" i="7"/>
  <c r="I249" i="7"/>
  <c r="J246" i="7"/>
  <c r="J249" i="7"/>
  <c r="J248" i="7"/>
  <c r="J222" i="7"/>
  <c r="J223" i="7"/>
  <c r="J247" i="7"/>
  <c r="K246" i="7"/>
  <c r="K248" i="7"/>
  <c r="K249" i="7"/>
  <c r="K221" i="7"/>
  <c r="K247" i="7"/>
  <c r="L247" i="7"/>
  <c r="L249" i="7"/>
  <c r="L246" i="7"/>
  <c r="L248" i="7"/>
  <c r="M249" i="7"/>
  <c r="M246" i="7"/>
  <c r="M248" i="7"/>
  <c r="M247" i="7"/>
  <c r="N246" i="7"/>
  <c r="N248" i="7"/>
  <c r="N220" i="7"/>
  <c r="N249" i="7"/>
  <c r="N247" i="7"/>
  <c r="O246" i="7"/>
  <c r="O247" i="7"/>
  <c r="O221" i="7"/>
  <c r="O249" i="7"/>
  <c r="O248" i="7"/>
  <c r="P248" i="7"/>
  <c r="P247" i="7"/>
  <c r="P222" i="7"/>
  <c r="P246" i="7"/>
  <c r="P249" i="7"/>
  <c r="Q248" i="7"/>
  <c r="Q247" i="7"/>
  <c r="Q249" i="7"/>
  <c r="Q223" i="7"/>
  <c r="Q246" i="7"/>
  <c r="R249" i="7"/>
  <c r="R248" i="7"/>
  <c r="R220" i="7"/>
  <c r="R247" i="7"/>
  <c r="R246" i="7"/>
  <c r="S246" i="7"/>
  <c r="S248" i="7"/>
  <c r="S247" i="7"/>
  <c r="S249" i="7"/>
  <c r="T246" i="7"/>
  <c r="T248" i="7"/>
  <c r="T249" i="7"/>
  <c r="T247" i="7"/>
  <c r="U248" i="7"/>
  <c r="U249" i="7"/>
  <c r="U247" i="7"/>
  <c r="U246" i="7"/>
  <c r="V248" i="7"/>
  <c r="V247" i="7"/>
  <c r="V246" i="7"/>
  <c r="V249" i="7"/>
  <c r="W248" i="7"/>
  <c r="W246" i="7"/>
  <c r="W247" i="7"/>
  <c r="W249" i="7"/>
  <c r="X247" i="7"/>
  <c r="X246" i="7"/>
  <c r="X249" i="7"/>
  <c r="X248" i="7"/>
  <c r="Y246" i="7"/>
  <c r="Y249" i="7"/>
  <c r="Y248" i="7"/>
  <c r="Y247" i="7"/>
  <c r="Z248" i="7"/>
  <c r="Z247" i="7"/>
  <c r="Z246" i="7"/>
  <c r="Z249" i="7"/>
  <c r="AA246" i="7"/>
  <c r="AA248" i="7"/>
  <c r="AA247" i="7"/>
  <c r="AA249" i="7"/>
  <c r="AB248" i="7"/>
  <c r="AB249" i="7"/>
  <c r="AB246" i="7"/>
  <c r="AB247" i="7"/>
  <c r="AC246" i="7"/>
  <c r="AC249" i="7"/>
  <c r="AC248" i="7"/>
  <c r="AC247" i="7"/>
  <c r="AD249" i="7"/>
  <c r="AD247" i="7"/>
  <c r="AD246" i="7"/>
  <c r="AD248" i="7"/>
  <c r="AE249" i="7"/>
  <c r="AE248" i="7"/>
  <c r="AE246" i="7"/>
  <c r="AE247" i="7"/>
  <c r="AF248" i="7"/>
  <c r="AF249" i="7"/>
  <c r="AF247" i="7"/>
  <c r="AF246" i="7"/>
  <c r="AG248" i="7"/>
  <c r="AG247" i="7"/>
  <c r="AG246" i="7"/>
  <c r="AG249" i="7"/>
  <c r="AH247" i="7"/>
  <c r="AH249" i="7"/>
  <c r="AH248" i="7"/>
  <c r="AH246" i="7"/>
  <c r="AI246" i="7"/>
  <c r="AI248" i="7"/>
  <c r="AI247" i="7"/>
  <c r="AI249" i="7"/>
  <c r="AJ246" i="7"/>
  <c r="AJ249" i="7"/>
  <c r="AJ247" i="7"/>
  <c r="AJ248" i="7"/>
  <c r="AK248" i="7"/>
  <c r="AK246" i="7"/>
  <c r="AK249" i="7"/>
  <c r="AK247" i="7"/>
  <c r="AL247" i="7"/>
  <c r="AL249" i="7"/>
  <c r="AL248" i="7"/>
  <c r="AL246" i="7"/>
  <c r="AM249" i="7"/>
  <c r="AM248" i="7"/>
  <c r="AM247" i="7"/>
  <c r="AM246" i="7"/>
  <c r="AN248" i="7"/>
  <c r="AN247" i="7"/>
  <c r="AN249" i="7"/>
  <c r="AN246" i="7"/>
  <c r="AO249" i="7"/>
  <c r="AO248" i="7"/>
  <c r="AO247" i="7"/>
  <c r="AO246" i="7"/>
  <c r="AP247" i="7"/>
  <c r="AP246" i="7"/>
  <c r="AP249" i="7"/>
  <c r="AP248" i="7"/>
  <c r="AQ246" i="7"/>
  <c r="AQ248" i="7"/>
  <c r="AQ249" i="7"/>
  <c r="AQ247" i="7"/>
  <c r="AR248" i="7"/>
  <c r="AR246" i="7"/>
  <c r="AR249" i="7"/>
  <c r="AR247" i="7"/>
  <c r="AS248" i="7"/>
  <c r="AS247" i="7"/>
  <c r="AS249" i="7"/>
  <c r="AS246" i="7"/>
  <c r="AT248" i="7"/>
  <c r="AT249" i="7"/>
  <c r="AT247" i="7"/>
  <c r="AT246" i="7"/>
  <c r="AU249" i="7"/>
  <c r="AU248" i="7"/>
  <c r="AU246" i="7"/>
  <c r="AU247" i="7"/>
  <c r="AV249" i="7"/>
  <c r="AV248" i="7"/>
  <c r="AV247" i="7"/>
  <c r="AV246" i="7"/>
  <c r="AW248" i="7"/>
  <c r="AW247" i="7"/>
  <c r="AW246" i="7"/>
  <c r="AW249" i="7"/>
  <c r="AX246" i="7"/>
  <c r="AX249" i="7"/>
  <c r="AX248" i="7"/>
  <c r="AX247" i="7"/>
  <c r="AY246" i="7"/>
  <c r="AY247" i="7"/>
  <c r="AY248" i="7"/>
  <c r="AY249" i="7"/>
  <c r="AZ246" i="7"/>
  <c r="AZ249" i="7"/>
  <c r="AZ248" i="7"/>
  <c r="AZ247" i="7"/>
  <c r="BA248" i="7"/>
  <c r="BA249" i="7"/>
  <c r="BA247" i="7"/>
  <c r="BA246" i="7"/>
  <c r="BB249" i="7"/>
  <c r="BB248" i="7"/>
  <c r="BB247" i="7"/>
  <c r="BB246" i="7"/>
  <c r="BC248" i="7"/>
  <c r="BC246" i="7"/>
  <c r="BC247" i="7"/>
  <c r="BC249" i="7"/>
  <c r="BD248" i="7"/>
  <c r="BD247" i="7"/>
  <c r="BD246" i="7"/>
  <c r="BD249" i="7"/>
  <c r="BE249" i="7"/>
  <c r="BE247" i="7"/>
  <c r="BE246" i="7"/>
  <c r="BE248" i="7"/>
  <c r="BF247" i="7"/>
  <c r="BF249" i="7"/>
  <c r="BF248" i="7"/>
  <c r="BF246" i="7"/>
  <c r="BG247" i="7"/>
  <c r="BG246" i="7"/>
  <c r="BG248" i="7"/>
  <c r="BG249" i="7"/>
  <c r="BH247" i="7"/>
  <c r="BH249" i="7"/>
  <c r="BH248" i="7"/>
  <c r="BH246" i="7"/>
  <c r="BI246" i="7"/>
  <c r="BI248" i="7"/>
  <c r="BI247" i="7"/>
  <c r="BI249" i="7"/>
  <c r="BJ246" i="7"/>
  <c r="BJ248" i="7"/>
  <c r="BJ249" i="7"/>
  <c r="BJ247" i="7"/>
  <c r="BK249" i="7"/>
  <c r="BK248" i="7"/>
  <c r="BK246" i="7"/>
  <c r="BK247" i="7"/>
  <c r="BL248" i="7"/>
  <c r="BL246" i="7"/>
  <c r="BL249" i="7"/>
  <c r="BL247" i="7"/>
  <c r="BM249" i="7"/>
  <c r="BM248" i="7"/>
  <c r="BM247" i="7"/>
  <c r="BM246" i="7"/>
  <c r="BN246" i="7"/>
  <c r="BN249" i="7"/>
  <c r="BN248" i="7"/>
  <c r="BN247" i="7"/>
  <c r="BO246" i="7"/>
  <c r="BO248" i="7"/>
  <c r="BO247" i="7"/>
  <c r="BO249" i="7"/>
  <c r="BP246" i="7"/>
  <c r="BP248" i="7"/>
  <c r="BP247" i="7"/>
  <c r="BP249" i="7"/>
  <c r="BQ246" i="7"/>
  <c r="BQ248" i="7"/>
  <c r="BQ247" i="7"/>
  <c r="BQ249" i="7"/>
  <c r="BR246" i="7"/>
  <c r="BR249" i="7"/>
  <c r="BR247" i="7"/>
  <c r="BR248" i="7"/>
  <c r="BS248" i="7"/>
  <c r="BS247" i="7"/>
  <c r="BS246" i="7"/>
  <c r="BS249" i="7"/>
  <c r="BT247" i="7"/>
  <c r="BT246" i="7"/>
  <c r="BT249" i="7"/>
  <c r="BT248" i="7"/>
  <c r="BU248" i="7"/>
  <c r="BU247" i="7"/>
  <c r="BU249" i="7"/>
  <c r="BU246" i="7"/>
  <c r="BV249" i="7"/>
  <c r="BV248" i="7"/>
  <c r="BV247" i="7"/>
  <c r="BV246" i="7"/>
  <c r="BW246" i="7"/>
  <c r="BW248" i="7"/>
  <c r="BW249" i="7"/>
  <c r="BW247" i="7"/>
  <c r="BX249" i="7"/>
  <c r="BX248" i="7"/>
  <c r="BX246" i="7"/>
  <c r="BX247" i="7"/>
  <c r="BY246" i="7"/>
  <c r="BY248" i="7"/>
  <c r="BY247" i="7"/>
  <c r="BY249" i="7"/>
  <c r="BZ248" i="7"/>
  <c r="BZ247" i="7"/>
  <c r="BZ249" i="7"/>
  <c r="BZ246" i="7"/>
  <c r="CA249" i="7"/>
  <c r="CA248" i="7"/>
  <c r="CA246" i="7"/>
  <c r="CA247" i="7"/>
  <c r="CB247" i="7"/>
  <c r="CB249" i="7"/>
  <c r="CB246" i="7"/>
  <c r="CB248" i="7"/>
  <c r="CC246" i="7"/>
  <c r="CC249" i="7"/>
  <c r="CC248" i="7"/>
  <c r="CC247" i="7"/>
  <c r="CD246" i="7"/>
  <c r="CD249" i="7"/>
  <c r="CD248" i="7"/>
  <c r="CD247" i="7"/>
  <c r="CE246" i="7"/>
  <c r="CE248" i="7"/>
  <c r="CE247" i="7"/>
  <c r="CE249" i="7"/>
  <c r="CF249" i="7"/>
  <c r="CF247" i="7"/>
  <c r="CF246" i="7"/>
  <c r="CF248" i="7"/>
  <c r="CG249" i="7"/>
  <c r="CG247" i="7"/>
  <c r="CG246" i="7"/>
  <c r="CG248" i="7"/>
  <c r="CH83" i="10"/>
  <c r="CG41" i="10"/>
  <c r="CF70" i="7"/>
  <c r="CG70" i="7" s="1"/>
  <c r="BA253" i="5"/>
  <c r="CG254" i="5"/>
  <c r="CE250" i="5"/>
  <c r="CE251" i="5"/>
  <c r="BZ252" i="5"/>
  <c r="BW254" i="5"/>
  <c r="BT254" i="5"/>
  <c r="BO254" i="5"/>
  <c r="BM252" i="5"/>
  <c r="BK253" i="5"/>
  <c r="BI253" i="5"/>
  <c r="BA254" i="5"/>
  <c r="AR250" i="5"/>
  <c r="AR251" i="5"/>
  <c r="AJ250" i="5"/>
  <c r="AJ251" i="5"/>
  <c r="AI254" i="5"/>
  <c r="AE253" i="5"/>
  <c r="AD253" i="5"/>
  <c r="AB254" i="5"/>
  <c r="U253" i="5"/>
  <c r="P254" i="5"/>
  <c r="O253" i="5"/>
  <c r="M252" i="5"/>
  <c r="K254" i="5"/>
  <c r="H250" i="5"/>
  <c r="H251" i="5"/>
  <c r="E249" i="5"/>
  <c r="G254" i="5"/>
  <c r="L238" i="7"/>
  <c r="O238" i="7"/>
  <c r="J238" i="7"/>
  <c r="G238" i="7"/>
  <c r="Q238" i="7"/>
  <c r="CH207" i="10"/>
  <c r="E11" i="10"/>
  <c r="CH40" i="10"/>
  <c r="E10" i="10"/>
  <c r="CH197" i="7"/>
  <c r="CH37" i="7"/>
  <c r="CH249" i="7"/>
  <c r="CH246" i="7"/>
  <c r="CD241" i="5"/>
  <c r="CH242" i="7"/>
  <c r="E242" i="7" s="1"/>
  <c r="BX254" i="5"/>
  <c r="BT250" i="5"/>
  <c r="BT251" i="5"/>
  <c r="BP250" i="5"/>
  <c r="BP251" i="5"/>
  <c r="BE254" i="5"/>
  <c r="BB254" i="5"/>
  <c r="AX250" i="5"/>
  <c r="AX251" i="5"/>
  <c r="AK250" i="5"/>
  <c r="AK251" i="5"/>
  <c r="AF252" i="5"/>
  <c r="R250" i="5"/>
  <c r="R251" i="5"/>
  <c r="P252" i="5"/>
  <c r="CG252" i="5"/>
  <c r="BZ250" i="5"/>
  <c r="BZ251" i="5"/>
  <c r="BV253" i="5"/>
  <c r="BR252" i="5"/>
  <c r="BH252" i="5"/>
  <c r="BD254" i="5"/>
  <c r="AY250" i="5"/>
  <c r="AY251" i="5"/>
  <c r="AW252" i="5"/>
  <c r="AU253" i="5"/>
  <c r="AS254" i="5"/>
  <c r="AL254" i="5"/>
  <c r="AH250" i="5"/>
  <c r="AH251" i="5"/>
  <c r="AG252" i="5"/>
  <c r="AE250" i="5"/>
  <c r="AE251" i="5"/>
  <c r="AC250" i="5"/>
  <c r="AC251" i="5"/>
  <c r="Y253" i="5"/>
  <c r="W254" i="5"/>
  <c r="V252" i="5"/>
  <c r="T254" i="5"/>
  <c r="Q252" i="5"/>
  <c r="P253" i="5"/>
  <c r="O250" i="5"/>
  <c r="O251" i="5"/>
  <c r="M250" i="5"/>
  <c r="M251" i="5"/>
  <c r="J252" i="5"/>
  <c r="I254" i="5"/>
  <c r="E246" i="5"/>
  <c r="G250" i="5"/>
  <c r="G251" i="5"/>
  <c r="F11" i="6"/>
  <c r="BW253" i="5"/>
  <c r="BS252" i="5"/>
  <c r="BO253" i="5"/>
  <c r="BG250" i="5"/>
  <c r="BG251" i="5"/>
  <c r="BD253" i="5"/>
  <c r="AY254" i="5"/>
  <c r="AV250" i="5"/>
  <c r="AV251" i="5"/>
  <c r="AM253" i="5"/>
  <c r="AI253" i="5"/>
  <c r="AE254" i="5"/>
  <c r="AB252" i="5"/>
  <c r="O252" i="5"/>
  <c r="H254" i="5"/>
  <c r="BS253" i="5"/>
  <c r="BL254" i="5"/>
  <c r="BJ253" i="5"/>
  <c r="BH253" i="5"/>
  <c r="BF250" i="5"/>
  <c r="BF251" i="5"/>
  <c r="AZ250" i="5"/>
  <c r="AZ251" i="5"/>
  <c r="AP250" i="5"/>
  <c r="AP251" i="5"/>
  <c r="AK253" i="5"/>
  <c r="Z254" i="5"/>
  <c r="CF252" i="5"/>
  <c r="CE252" i="5"/>
  <c r="CD252" i="5"/>
  <c r="CB252" i="5"/>
  <c r="CA250" i="5"/>
  <c r="CA251" i="5"/>
  <c r="BZ254" i="5"/>
  <c r="BW252" i="5"/>
  <c r="BV252" i="5"/>
  <c r="BU250" i="5"/>
  <c r="BU251" i="5"/>
  <c r="BR250" i="5"/>
  <c r="BR251" i="5"/>
  <c r="BQ254" i="5"/>
  <c r="BP253" i="5"/>
  <c r="BN250" i="5"/>
  <c r="BN251" i="5"/>
  <c r="BK252" i="5"/>
  <c r="BH254" i="5"/>
  <c r="BD250" i="5"/>
  <c r="BD251" i="5"/>
  <c r="BC254" i="5"/>
  <c r="BB250" i="5"/>
  <c r="BB251" i="5"/>
  <c r="BA252" i="5"/>
  <c r="AZ254" i="5"/>
  <c r="AX253" i="5"/>
  <c r="AV252" i="5"/>
  <c r="AS252" i="5"/>
  <c r="AQ253" i="5"/>
  <c r="AP253" i="5"/>
  <c r="AO254" i="5"/>
  <c r="AN250" i="5"/>
  <c r="AN251" i="5"/>
  <c r="AM252" i="5"/>
  <c r="AI250" i="5"/>
  <c r="AI251" i="5"/>
  <c r="AH252" i="5"/>
  <c r="AF250" i="5"/>
  <c r="AF251" i="5"/>
  <c r="AE252" i="5"/>
  <c r="AD254" i="5"/>
  <c r="AB253" i="5"/>
  <c r="AA250" i="5"/>
  <c r="AA251" i="5"/>
  <c r="X254" i="5"/>
  <c r="W252" i="5"/>
  <c r="V254" i="5"/>
  <c r="S250" i="5"/>
  <c r="S251" i="5"/>
  <c r="R254" i="5"/>
  <c r="P250" i="5"/>
  <c r="P251" i="5"/>
  <c r="N253" i="5"/>
  <c r="M253" i="5"/>
  <c r="J254" i="5"/>
  <c r="I253" i="5"/>
  <c r="I252" i="5"/>
  <c r="E248" i="5"/>
  <c r="G253" i="5"/>
  <c r="CH24" i="10"/>
  <c r="CH216" i="10"/>
  <c r="E216" i="10" s="1"/>
  <c r="E39" i="10"/>
  <c r="CF199" i="5"/>
  <c r="CF26" i="5"/>
  <c r="CH250" i="5"/>
  <c r="CF253" i="5"/>
  <c r="CD253" i="5"/>
  <c r="CC253" i="5"/>
  <c r="CB250" i="5"/>
  <c r="CB251" i="5"/>
  <c r="CA252" i="5"/>
  <c r="BX252" i="5"/>
  <c r="BV254" i="5"/>
  <c r="BQ252" i="5"/>
  <c r="BN252" i="5"/>
  <c r="BM253" i="5"/>
  <c r="BL253" i="5"/>
  <c r="BG253" i="5"/>
  <c r="BF254" i="5"/>
  <c r="BE253" i="5"/>
  <c r="BD252" i="5"/>
  <c r="BC252" i="5"/>
  <c r="AY252" i="5"/>
  <c r="AV253" i="5"/>
  <c r="AS253" i="5"/>
  <c r="AR252" i="5"/>
  <c r="AQ254" i="5"/>
  <c r="AO250" i="5"/>
  <c r="AO251" i="5"/>
  <c r="AN254" i="5"/>
  <c r="AM250" i="5"/>
  <c r="AM251" i="5"/>
  <c r="AK252" i="5"/>
  <c r="AJ252" i="5"/>
  <c r="AH254" i="5"/>
  <c r="AG250" i="5"/>
  <c r="AG251" i="5"/>
  <c r="AG255" i="5" s="1"/>
  <c r="AF253" i="5"/>
  <c r="AC253" i="5"/>
  <c r="AA253" i="5"/>
  <c r="Z250" i="5"/>
  <c r="Z251" i="5"/>
  <c r="V250" i="5"/>
  <c r="V251" i="5"/>
  <c r="T252" i="5"/>
  <c r="R252" i="5"/>
  <c r="Q250" i="5"/>
  <c r="Q251" i="5"/>
  <c r="O254" i="5"/>
  <c r="L252" i="5"/>
  <c r="J250" i="5"/>
  <c r="J251" i="5"/>
  <c r="CH249" i="10"/>
  <c r="CH247" i="10"/>
  <c r="CH246" i="10"/>
  <c r="CH33" i="10"/>
  <c r="E8" i="10"/>
  <c r="CD250" i="5"/>
  <c r="CD251" i="5"/>
  <c r="BV250" i="5"/>
  <c r="BV251" i="5"/>
  <c r="BS254" i="5"/>
  <c r="BO250" i="5"/>
  <c r="BO251" i="5"/>
  <c r="BK254" i="5"/>
  <c r="BG252" i="5"/>
  <c r="AU252" i="5"/>
  <c r="AP252" i="5"/>
  <c r="AL250" i="5"/>
  <c r="AL251" i="5"/>
  <c r="U252" i="5"/>
  <c r="S252" i="5"/>
  <c r="K253" i="5"/>
  <c r="I250" i="5"/>
  <c r="I251" i="5"/>
  <c r="H253" i="5"/>
  <c r="CH14" i="10"/>
  <c r="E9" i="10"/>
  <c r="CG197" i="10"/>
  <c r="CG37" i="10"/>
  <c r="CG70" i="10"/>
  <c r="BY250" i="5"/>
  <c r="BY251" i="5"/>
  <c r="BJ252" i="5"/>
  <c r="BF253" i="5"/>
  <c r="AC252" i="5"/>
  <c r="X250" i="5"/>
  <c r="X251" i="5"/>
  <c r="CH83" i="5"/>
  <c r="CG41" i="5"/>
  <c r="CG70" i="5" s="1"/>
  <c r="CG250" i="5"/>
  <c r="CG251" i="5"/>
  <c r="CF250" i="5"/>
  <c r="CF251" i="5"/>
  <c r="CE253" i="5"/>
  <c r="CB254" i="5"/>
  <c r="CA254" i="5"/>
  <c r="BZ253" i="5"/>
  <c r="BY254" i="5"/>
  <c r="BX253" i="5"/>
  <c r="BW250" i="5"/>
  <c r="BW251" i="5"/>
  <c r="BT252" i="5"/>
  <c r="BQ253" i="5"/>
  <c r="BP254" i="5"/>
  <c r="BO252" i="5"/>
  <c r="BN254" i="5"/>
  <c r="BM250" i="5"/>
  <c r="BM251" i="5"/>
  <c r="BL252" i="5"/>
  <c r="BJ254" i="5"/>
  <c r="BI254" i="5"/>
  <c r="BG254" i="5"/>
  <c r="BB252" i="5"/>
  <c r="AX252" i="5"/>
  <c r="AW250" i="5"/>
  <c r="AW251" i="5"/>
  <c r="AV254" i="5"/>
  <c r="AU250" i="5"/>
  <c r="AU251" i="5"/>
  <c r="AT252" i="5"/>
  <c r="AS250" i="5"/>
  <c r="AS251" i="5"/>
  <c r="AR253" i="5"/>
  <c r="AQ250" i="5"/>
  <c r="AQ251" i="5"/>
  <c r="AP254" i="5"/>
  <c r="AN252" i="5"/>
  <c r="AL252" i="5"/>
  <c r="AK254" i="5"/>
  <c r="AJ253" i="5"/>
  <c r="AH253" i="5"/>
  <c r="AA254" i="5"/>
  <c r="Z252" i="5"/>
  <c r="Y250" i="5"/>
  <c r="Y251" i="5"/>
  <c r="X253" i="5"/>
  <c r="V253" i="5"/>
  <c r="U250" i="5"/>
  <c r="U251" i="5"/>
  <c r="T253" i="5"/>
  <c r="S253" i="5"/>
  <c r="Q253" i="5"/>
  <c r="M254" i="5"/>
  <c r="L253" i="5"/>
  <c r="K252" i="5"/>
  <c r="CH247" i="7"/>
  <c r="Y255" i="5" l="1"/>
  <c r="BW255" i="5"/>
  <c r="BM255" i="5"/>
  <c r="S255" i="5"/>
  <c r="CG255" i="5"/>
  <c r="AM255" i="5"/>
  <c r="P255" i="5"/>
  <c r="AI255" i="5"/>
  <c r="BR255" i="5"/>
  <c r="BU255" i="5"/>
  <c r="AR255" i="5"/>
  <c r="CD255" i="5"/>
  <c r="AF255" i="5"/>
  <c r="H255" i="5"/>
  <c r="U255" i="5"/>
  <c r="AS255" i="5"/>
  <c r="BY255" i="5"/>
  <c r="G231" i="7"/>
  <c r="G226" i="7"/>
  <c r="CG34" i="11"/>
  <c r="CH30" i="11" s="1"/>
  <c r="E250" i="5"/>
  <c r="CH254" i="7"/>
  <c r="E14" i="10"/>
  <c r="CH218" i="10"/>
  <c r="CH252" i="10"/>
  <c r="CB255" i="5"/>
  <c r="BN255" i="5"/>
  <c r="AV255" i="5"/>
  <c r="AW255" i="5"/>
  <c r="I255" i="5"/>
  <c r="G248" i="10"/>
  <c r="G247" i="10"/>
  <c r="G246" i="10"/>
  <c r="G249" i="10"/>
  <c r="H247" i="10"/>
  <c r="H246" i="10"/>
  <c r="H248" i="10"/>
  <c r="H249" i="10"/>
  <c r="I246" i="10"/>
  <c r="I248" i="10"/>
  <c r="I247" i="10"/>
  <c r="I249" i="10"/>
  <c r="J249" i="10"/>
  <c r="J248" i="10"/>
  <c r="J246" i="10"/>
  <c r="J247" i="10"/>
  <c r="K247" i="10"/>
  <c r="K248" i="10"/>
  <c r="K249" i="10"/>
  <c r="K246" i="10"/>
  <c r="L247" i="10"/>
  <c r="L248" i="10"/>
  <c r="L246" i="10"/>
  <c r="L249" i="10"/>
  <c r="M249" i="10"/>
  <c r="M248" i="10"/>
  <c r="M246" i="10"/>
  <c r="M247" i="10"/>
  <c r="N247" i="10"/>
  <c r="N246" i="10"/>
  <c r="N249" i="10"/>
  <c r="N248" i="10"/>
  <c r="O248" i="10"/>
  <c r="O247" i="10"/>
  <c r="O246" i="10"/>
  <c r="O249" i="10"/>
  <c r="P246" i="10"/>
  <c r="P249" i="10"/>
  <c r="P247" i="10"/>
  <c r="P248" i="10"/>
  <c r="Q247" i="10"/>
  <c r="Q248" i="10"/>
  <c r="Q246" i="10"/>
  <c r="Q249" i="10"/>
  <c r="R248" i="10"/>
  <c r="R247" i="10"/>
  <c r="R249" i="10"/>
  <c r="R246" i="10"/>
  <c r="S249" i="10"/>
  <c r="S248" i="10"/>
  <c r="S247" i="10"/>
  <c r="S246" i="10"/>
  <c r="T249" i="10"/>
  <c r="T248" i="10"/>
  <c r="T247" i="10"/>
  <c r="T246" i="10"/>
  <c r="U246" i="10"/>
  <c r="U248" i="10"/>
  <c r="U249" i="10"/>
  <c r="U247" i="10"/>
  <c r="V249" i="10"/>
  <c r="V248" i="10"/>
  <c r="V247" i="10"/>
  <c r="V246" i="10"/>
  <c r="W249" i="10"/>
  <c r="W248" i="10"/>
  <c r="W247" i="10"/>
  <c r="W246" i="10"/>
  <c r="X248" i="10"/>
  <c r="X249" i="10"/>
  <c r="X247" i="10"/>
  <c r="X246" i="10"/>
  <c r="Y246" i="10"/>
  <c r="Y247" i="10"/>
  <c r="Y248" i="10"/>
  <c r="Y249" i="10"/>
  <c r="Z246" i="10"/>
  <c r="Z248" i="10"/>
  <c r="Z247" i="10"/>
  <c r="Z249" i="10"/>
  <c r="AA247" i="10"/>
  <c r="AA246" i="10"/>
  <c r="AA249" i="10"/>
  <c r="AA248" i="10"/>
  <c r="AB249" i="10"/>
  <c r="AB246" i="10"/>
  <c r="AB247" i="10"/>
  <c r="AB248" i="10"/>
  <c r="AC248" i="10"/>
  <c r="AC247" i="10"/>
  <c r="AC249" i="10"/>
  <c r="AC246" i="10"/>
  <c r="AD249" i="10"/>
  <c r="AD248" i="10"/>
  <c r="AD247" i="10"/>
  <c r="AD246" i="10"/>
  <c r="AE246" i="10"/>
  <c r="AE249" i="10"/>
  <c r="AE248" i="10"/>
  <c r="AE247" i="10"/>
  <c r="AF247" i="10"/>
  <c r="AF246" i="10"/>
  <c r="AF248" i="10"/>
  <c r="AF249" i="10"/>
  <c r="AG246" i="10"/>
  <c r="AG248" i="10"/>
  <c r="AG249" i="10"/>
  <c r="AG247" i="10"/>
  <c r="AH249" i="10"/>
  <c r="AH247" i="10"/>
  <c r="AH248" i="10"/>
  <c r="AH246" i="10"/>
  <c r="AI246" i="10"/>
  <c r="AI247" i="10"/>
  <c r="AI249" i="10"/>
  <c r="AI248" i="10"/>
  <c r="AJ248" i="10"/>
  <c r="AJ246" i="10"/>
  <c r="AJ249" i="10"/>
  <c r="AJ247" i="10"/>
  <c r="AK248" i="10"/>
  <c r="AK247" i="10"/>
  <c r="AK246" i="10"/>
  <c r="AK249" i="10"/>
  <c r="AL247" i="10"/>
  <c r="AL246" i="10"/>
  <c r="AL249" i="10"/>
  <c r="AL248" i="10"/>
  <c r="AM249" i="10"/>
  <c r="AM248" i="10"/>
  <c r="AM247" i="10"/>
  <c r="AM246" i="10"/>
  <c r="AN247" i="10"/>
  <c r="AN246" i="10"/>
  <c r="AN249" i="10"/>
  <c r="AN248" i="10"/>
  <c r="AO246" i="10"/>
  <c r="AO247" i="10"/>
  <c r="AO249" i="10"/>
  <c r="AO248" i="10"/>
  <c r="AP249" i="10"/>
  <c r="AP246" i="10"/>
  <c r="AP247" i="10"/>
  <c r="AP248" i="10"/>
  <c r="AQ247" i="10"/>
  <c r="AQ246" i="10"/>
  <c r="AQ249" i="10"/>
  <c r="AQ248" i="10"/>
  <c r="AR247" i="10"/>
  <c r="AR246" i="10"/>
  <c r="AR249" i="10"/>
  <c r="AR248" i="10"/>
  <c r="AS247" i="10"/>
  <c r="AS248" i="10"/>
  <c r="AS249" i="10"/>
  <c r="AS246" i="10"/>
  <c r="AT247" i="10"/>
  <c r="AT246" i="10"/>
  <c r="AT249" i="10"/>
  <c r="AT248" i="10"/>
  <c r="AU248" i="10"/>
  <c r="AU247" i="10"/>
  <c r="AU246" i="10"/>
  <c r="AU249" i="10"/>
  <c r="AV248" i="10"/>
  <c r="AV249" i="10"/>
  <c r="AV247" i="10"/>
  <c r="AV246" i="10"/>
  <c r="AW246" i="10"/>
  <c r="AW247" i="10"/>
  <c r="AW248" i="10"/>
  <c r="AW249" i="10"/>
  <c r="AX248" i="10"/>
  <c r="AX249" i="10"/>
  <c r="AX247" i="10"/>
  <c r="AX246" i="10"/>
  <c r="AY247" i="10"/>
  <c r="AY248" i="10"/>
  <c r="AY249" i="10"/>
  <c r="AY246" i="10"/>
  <c r="AZ247" i="10"/>
  <c r="AZ248" i="10"/>
  <c r="AZ249" i="10"/>
  <c r="AZ246" i="10"/>
  <c r="BA246" i="10"/>
  <c r="BA249" i="10"/>
  <c r="BA248" i="10"/>
  <c r="BA247" i="10"/>
  <c r="BB249" i="10"/>
  <c r="BB248" i="10"/>
  <c r="BB246" i="10"/>
  <c r="BB247" i="10"/>
  <c r="BC246" i="10"/>
  <c r="BC249" i="10"/>
  <c r="BC248" i="10"/>
  <c r="BC247" i="10"/>
  <c r="BD249" i="10"/>
  <c r="BD248" i="10"/>
  <c r="BD247" i="10"/>
  <c r="BD246" i="10"/>
  <c r="BE246" i="10"/>
  <c r="BE248" i="10"/>
  <c r="BE249" i="10"/>
  <c r="BE247" i="10"/>
  <c r="BF249" i="10"/>
  <c r="BF247" i="10"/>
  <c r="BF248" i="10"/>
  <c r="BF246" i="10"/>
  <c r="BG248" i="10"/>
  <c r="BG247" i="10"/>
  <c r="BG246" i="10"/>
  <c r="BG249" i="10"/>
  <c r="BH249" i="10"/>
  <c r="BH247" i="10"/>
  <c r="BH248" i="10"/>
  <c r="BH246" i="10"/>
  <c r="BI248" i="10"/>
  <c r="BI247" i="10"/>
  <c r="BI246" i="10"/>
  <c r="BI249" i="10"/>
  <c r="BJ246" i="10"/>
  <c r="BJ249" i="10"/>
  <c r="BJ248" i="10"/>
  <c r="BJ247" i="10"/>
  <c r="BK249" i="10"/>
  <c r="BK248" i="10"/>
  <c r="BK247" i="10"/>
  <c r="BK246" i="10"/>
  <c r="BL247" i="10"/>
  <c r="BL246" i="10"/>
  <c r="BL248" i="10"/>
  <c r="BL249" i="10"/>
  <c r="BM246" i="10"/>
  <c r="BM248" i="10"/>
  <c r="BM249" i="10"/>
  <c r="BM247" i="10"/>
  <c r="BN246" i="10"/>
  <c r="BN247" i="10"/>
  <c r="BN249" i="10"/>
  <c r="BN248" i="10"/>
  <c r="BO246" i="10"/>
  <c r="BO247" i="10"/>
  <c r="BO248" i="10"/>
  <c r="BO249" i="10"/>
  <c r="BP249" i="10"/>
  <c r="BP246" i="10"/>
  <c r="BP247" i="10"/>
  <c r="BP248" i="10"/>
  <c r="BQ248" i="10"/>
  <c r="BQ247" i="10"/>
  <c r="BQ246" i="10"/>
  <c r="BQ249" i="10"/>
  <c r="BR248" i="10"/>
  <c r="BR247" i="10"/>
  <c r="BR246" i="10"/>
  <c r="BR249" i="10"/>
  <c r="BS248" i="10"/>
  <c r="BS247" i="10"/>
  <c r="BS246" i="10"/>
  <c r="BS249" i="10"/>
  <c r="BT246" i="10"/>
  <c r="BT248" i="10"/>
  <c r="BT249" i="10"/>
  <c r="BT247" i="10"/>
  <c r="BU249" i="10"/>
  <c r="BU248" i="10"/>
  <c r="BU246" i="10"/>
  <c r="BU247" i="10"/>
  <c r="BV246" i="10"/>
  <c r="BV248" i="10"/>
  <c r="BV249" i="10"/>
  <c r="BV247" i="10"/>
  <c r="BW248" i="10"/>
  <c r="BW247" i="10"/>
  <c r="BW249" i="10"/>
  <c r="BW246" i="10"/>
  <c r="BX246" i="10"/>
  <c r="BX248" i="10"/>
  <c r="BX247" i="10"/>
  <c r="BX249" i="10"/>
  <c r="BY249" i="10"/>
  <c r="BY248" i="10"/>
  <c r="BY247" i="10"/>
  <c r="BY246" i="10"/>
  <c r="BZ248" i="10"/>
  <c r="BZ246" i="10"/>
  <c r="BZ249" i="10"/>
  <c r="BZ247" i="10"/>
  <c r="CA247" i="10"/>
  <c r="CA246" i="10"/>
  <c r="CA249" i="10"/>
  <c r="CA248" i="10"/>
  <c r="CB247" i="10"/>
  <c r="CB246" i="10"/>
  <c r="CB248" i="10"/>
  <c r="CB249" i="10"/>
  <c r="CC247" i="10"/>
  <c r="CC249" i="10"/>
  <c r="CC248" i="10"/>
  <c r="CC246" i="10"/>
  <c r="CD247" i="10"/>
  <c r="CD249" i="10"/>
  <c r="CD246" i="10"/>
  <c r="CD248" i="10"/>
  <c r="CE247" i="10"/>
  <c r="CE248" i="10"/>
  <c r="CE249" i="10"/>
  <c r="CE246" i="10"/>
  <c r="CF246" i="10"/>
  <c r="CF249" i="10"/>
  <c r="CF247" i="10"/>
  <c r="CF248" i="10"/>
  <c r="CG247" i="10"/>
  <c r="CG246" i="10"/>
  <c r="CG249" i="10"/>
  <c r="CG248" i="10"/>
  <c r="CH248" i="10"/>
  <c r="V255" i="5"/>
  <c r="AN255" i="5"/>
  <c r="BD255" i="5"/>
  <c r="BF255" i="5"/>
  <c r="AE255" i="5"/>
  <c r="AY255" i="5"/>
  <c r="AK255" i="5"/>
  <c r="H238" i="7"/>
  <c r="M238" i="7"/>
  <c r="E83" i="10"/>
  <c r="CH41" i="10"/>
  <c r="CF254" i="7"/>
  <c r="CD253" i="7"/>
  <c r="CA253" i="7"/>
  <c r="BZ253" i="7"/>
  <c r="BY252" i="7"/>
  <c r="BW254" i="7"/>
  <c r="BS252" i="7"/>
  <c r="BR254" i="7"/>
  <c r="BP250" i="7"/>
  <c r="BP251" i="7"/>
  <c r="BO253" i="7"/>
  <c r="BN253" i="7"/>
  <c r="BM253" i="7"/>
  <c r="BK250" i="7"/>
  <c r="BK251" i="7"/>
  <c r="BG250" i="7"/>
  <c r="BG251" i="7"/>
  <c r="BE252" i="7"/>
  <c r="BB253" i="7"/>
  <c r="AY252" i="7"/>
  <c r="AX253" i="7"/>
  <c r="AW252" i="7"/>
  <c r="AV252" i="7"/>
  <c r="AT254" i="7"/>
  <c r="AR250" i="7"/>
  <c r="AR251" i="7"/>
  <c r="AQ254" i="7"/>
  <c r="AN252" i="7"/>
  <c r="AM253" i="7"/>
  <c r="AL254" i="7"/>
  <c r="AJ252" i="7"/>
  <c r="AG250" i="7"/>
  <c r="AG251" i="7"/>
  <c r="AB253" i="7"/>
  <c r="AA253" i="7"/>
  <c r="Z253" i="7"/>
  <c r="W253" i="7"/>
  <c r="S253" i="7"/>
  <c r="R221" i="7"/>
  <c r="Q222" i="7"/>
  <c r="P252" i="7"/>
  <c r="O222" i="7"/>
  <c r="N221" i="7"/>
  <c r="M221" i="7"/>
  <c r="L252" i="7"/>
  <c r="K250" i="7"/>
  <c r="K251" i="7"/>
  <c r="J253" i="7"/>
  <c r="I252" i="7"/>
  <c r="G223" i="7"/>
  <c r="H222" i="7"/>
  <c r="K255" i="5"/>
  <c r="AT255" i="5"/>
  <c r="BK255" i="5"/>
  <c r="CH251" i="10"/>
  <c r="CH197" i="10"/>
  <c r="CH37" i="10"/>
  <c r="CH217" i="10"/>
  <c r="E217" i="10" s="1"/>
  <c r="E40" i="10"/>
  <c r="F12" i="3" s="1"/>
  <c r="CH69" i="10"/>
  <c r="E69" i="10" s="1"/>
  <c r="I238" i="7"/>
  <c r="E254" i="5"/>
  <c r="AJ255" i="5"/>
  <c r="CG252" i="7"/>
  <c r="CE253" i="7"/>
  <c r="CD254" i="7"/>
  <c r="CC250" i="7"/>
  <c r="CC251" i="7"/>
  <c r="CB254" i="7"/>
  <c r="BY253" i="7"/>
  <c r="BX253" i="7"/>
  <c r="BW253" i="7"/>
  <c r="BV253" i="7"/>
  <c r="BU252" i="7"/>
  <c r="BR250" i="7"/>
  <c r="BR251" i="7"/>
  <c r="BN254" i="7"/>
  <c r="BK253" i="7"/>
  <c r="BI253" i="7"/>
  <c r="BH254" i="7"/>
  <c r="BG252" i="7"/>
  <c r="BF252" i="7"/>
  <c r="BD252" i="7"/>
  <c r="BB254" i="7"/>
  <c r="BA253" i="7"/>
  <c r="AY250" i="7"/>
  <c r="AY251" i="7"/>
  <c r="AX254" i="7"/>
  <c r="AV253" i="7"/>
  <c r="AU253" i="7"/>
  <c r="AT253" i="7"/>
  <c r="AS252" i="7"/>
  <c r="AR253" i="7"/>
  <c r="AQ253" i="7"/>
  <c r="AP252" i="7"/>
  <c r="AL252" i="7"/>
  <c r="AK253" i="7"/>
  <c r="AJ254" i="7"/>
  <c r="AI250" i="7"/>
  <c r="AI251" i="7"/>
  <c r="AH254" i="7"/>
  <c r="AG252" i="7"/>
  <c r="AF253" i="7"/>
  <c r="AE254" i="7"/>
  <c r="AD252" i="7"/>
  <c r="X250" i="7"/>
  <c r="X251" i="7"/>
  <c r="V253" i="7"/>
  <c r="U254" i="7"/>
  <c r="T253" i="7"/>
  <c r="R253" i="7"/>
  <c r="Q252" i="7"/>
  <c r="P220" i="7"/>
  <c r="O252" i="7"/>
  <c r="N222" i="7"/>
  <c r="M254" i="7"/>
  <c r="L223" i="7"/>
  <c r="K222" i="7"/>
  <c r="J254" i="7"/>
  <c r="I253" i="7"/>
  <c r="H220" i="7"/>
  <c r="G250" i="7"/>
  <c r="E246" i="7"/>
  <c r="G251" i="7"/>
  <c r="L255" i="5"/>
  <c r="CH252" i="7"/>
  <c r="AQ255" i="5"/>
  <c r="CG26" i="5"/>
  <c r="CG199" i="5"/>
  <c r="AL255" i="5"/>
  <c r="BV255" i="5"/>
  <c r="CH254" i="10"/>
  <c r="Q255" i="5"/>
  <c r="E83" i="5"/>
  <c r="CH41" i="5"/>
  <c r="CH70" i="5" s="1"/>
  <c r="E70" i="5" s="1"/>
  <c r="J255" i="5"/>
  <c r="AO255" i="5"/>
  <c r="E253" i="5"/>
  <c r="CA255" i="5"/>
  <c r="AP255" i="5"/>
  <c r="BP255" i="5"/>
  <c r="CE241" i="5"/>
  <c r="N238" i="7"/>
  <c r="CG254" i="7"/>
  <c r="CE250" i="7"/>
  <c r="CE251" i="7"/>
  <c r="CD250" i="7"/>
  <c r="CD251" i="7"/>
  <c r="CB252" i="7"/>
  <c r="CA254" i="7"/>
  <c r="BY250" i="7"/>
  <c r="BY251" i="7"/>
  <c r="BX254" i="7"/>
  <c r="BW250" i="7"/>
  <c r="BW251" i="7"/>
  <c r="BV254" i="7"/>
  <c r="BU253" i="7"/>
  <c r="BS253" i="7"/>
  <c r="BQ250" i="7"/>
  <c r="BQ251" i="7"/>
  <c r="BO250" i="7"/>
  <c r="BO251" i="7"/>
  <c r="BN250" i="7"/>
  <c r="BN251" i="7"/>
  <c r="BM254" i="7"/>
  <c r="BK254" i="7"/>
  <c r="BJ250" i="7"/>
  <c r="BJ251" i="7"/>
  <c r="BI250" i="7"/>
  <c r="BI251" i="7"/>
  <c r="BH252" i="7"/>
  <c r="BE254" i="7"/>
  <c r="BD253" i="7"/>
  <c r="BC253" i="7"/>
  <c r="AZ250" i="7"/>
  <c r="AZ251" i="7"/>
  <c r="AX250" i="7"/>
  <c r="AX251" i="7"/>
  <c r="AW253" i="7"/>
  <c r="AV254" i="7"/>
  <c r="AU254" i="7"/>
  <c r="AS253" i="7"/>
  <c r="AQ250" i="7"/>
  <c r="AQ251" i="7"/>
  <c r="AO254" i="7"/>
  <c r="AN253" i="7"/>
  <c r="AM254" i="7"/>
  <c r="AJ250" i="7"/>
  <c r="AJ251" i="7"/>
  <c r="AH252" i="7"/>
  <c r="AG253" i="7"/>
  <c r="AD254" i="7"/>
  <c r="AA250" i="7"/>
  <c r="AA251" i="7"/>
  <c r="Y250" i="7"/>
  <c r="Y251" i="7"/>
  <c r="X252" i="7"/>
  <c r="U253" i="7"/>
  <c r="T250" i="7"/>
  <c r="T251" i="7"/>
  <c r="S250" i="7"/>
  <c r="S251" i="7"/>
  <c r="R254" i="7"/>
  <c r="Q253" i="7"/>
  <c r="P253" i="7"/>
  <c r="O250" i="7"/>
  <c r="O251" i="7"/>
  <c r="N250" i="7"/>
  <c r="N251" i="7"/>
  <c r="M222" i="7"/>
  <c r="L221" i="7"/>
  <c r="K223" i="7"/>
  <c r="J250" i="7"/>
  <c r="J251" i="7"/>
  <c r="I221" i="7"/>
  <c r="E247" i="7"/>
  <c r="G252" i="7"/>
  <c r="H253" i="7"/>
  <c r="BA255" i="5"/>
  <c r="BL255" i="5"/>
  <c r="BE255" i="5"/>
  <c r="X255" i="5"/>
  <c r="BT254" i="7"/>
  <c r="AU255" i="5"/>
  <c r="CF255" i="5"/>
  <c r="Z255" i="5"/>
  <c r="BB255" i="5"/>
  <c r="G255" i="5"/>
  <c r="G266" i="5" s="1"/>
  <c r="E251" i="5"/>
  <c r="M255" i="5"/>
  <c r="BZ255" i="5"/>
  <c r="R255" i="5"/>
  <c r="AX255" i="5"/>
  <c r="CH250" i="7"/>
  <c r="CH251" i="7"/>
  <c r="K238" i="7"/>
  <c r="CE254" i="7"/>
  <c r="CD252" i="7"/>
  <c r="CC252" i="7"/>
  <c r="BV250" i="7"/>
  <c r="BV251" i="7"/>
  <c r="BT253" i="7"/>
  <c r="BS254" i="7"/>
  <c r="BR253" i="7"/>
  <c r="BQ254" i="7"/>
  <c r="BP254" i="7"/>
  <c r="BO254" i="7"/>
  <c r="BL252" i="7"/>
  <c r="BK252" i="7"/>
  <c r="BJ252" i="7"/>
  <c r="BI254" i="7"/>
  <c r="BF250" i="7"/>
  <c r="BF251" i="7"/>
  <c r="BC254" i="7"/>
  <c r="BB250" i="7"/>
  <c r="BB251" i="7"/>
  <c r="BA250" i="7"/>
  <c r="BA251" i="7"/>
  <c r="AZ252" i="7"/>
  <c r="AY254" i="7"/>
  <c r="AN250" i="7"/>
  <c r="AN251" i="7"/>
  <c r="AI254" i="7"/>
  <c r="AH250" i="7"/>
  <c r="AH251" i="7"/>
  <c r="AF250" i="7"/>
  <c r="AF251" i="7"/>
  <c r="AE252" i="7"/>
  <c r="AD253" i="7"/>
  <c r="Y252" i="7"/>
  <c r="X253" i="7"/>
  <c r="R250" i="7"/>
  <c r="R251" i="7"/>
  <c r="Q250" i="7"/>
  <c r="Q251" i="7"/>
  <c r="P254" i="7"/>
  <c r="O223" i="7"/>
  <c r="N223" i="7"/>
  <c r="M223" i="7"/>
  <c r="L222" i="7"/>
  <c r="K252" i="7"/>
  <c r="J252" i="7"/>
  <c r="I222" i="7"/>
  <c r="G222" i="7"/>
  <c r="H223" i="7"/>
  <c r="E252" i="5"/>
  <c r="BX255" i="5"/>
  <c r="E218" i="5"/>
  <c r="CH242" i="5"/>
  <c r="E242" i="5" s="1"/>
  <c r="CG241" i="10"/>
  <c r="T255" i="5"/>
  <c r="CF253" i="7"/>
  <c r="CC253" i="7"/>
  <c r="CB253" i="7"/>
  <c r="BX252" i="7"/>
  <c r="BM250" i="7"/>
  <c r="BM251" i="7"/>
  <c r="BL254" i="7"/>
  <c r="BJ254" i="7"/>
  <c r="BE253" i="7"/>
  <c r="BD254" i="7"/>
  <c r="BC252" i="7"/>
  <c r="BB252" i="7"/>
  <c r="AW254" i="7"/>
  <c r="AV250" i="7"/>
  <c r="AV251" i="7"/>
  <c r="AT250" i="7"/>
  <c r="AT251" i="7"/>
  <c r="AS250" i="7"/>
  <c r="AS251" i="7"/>
  <c r="AR252" i="7"/>
  <c r="AQ252" i="7"/>
  <c r="AP253" i="7"/>
  <c r="AO250" i="7"/>
  <c r="AO251" i="7"/>
  <c r="AN254" i="7"/>
  <c r="AK252" i="7"/>
  <c r="AJ253" i="7"/>
  <c r="AC252" i="7"/>
  <c r="AB252" i="7"/>
  <c r="Y253" i="7"/>
  <c r="X254" i="7"/>
  <c r="W254" i="7"/>
  <c r="T252" i="7"/>
  <c r="R252" i="7"/>
  <c r="Q233" i="7"/>
  <c r="Q228" i="7"/>
  <c r="P250" i="7"/>
  <c r="P251" i="7"/>
  <c r="O253" i="7"/>
  <c r="N252" i="7"/>
  <c r="M252" i="7"/>
  <c r="L253" i="7"/>
  <c r="K231" i="7"/>
  <c r="K226" i="7"/>
  <c r="J233" i="7"/>
  <c r="J228" i="7"/>
  <c r="I254" i="7"/>
  <c r="H254" i="7"/>
  <c r="H231" i="7"/>
  <c r="H226" i="7"/>
  <c r="CG199" i="7"/>
  <c r="CG26" i="7"/>
  <c r="CC255" i="5"/>
  <c r="AA255" i="5"/>
  <c r="AZ255" i="5"/>
  <c r="AC255" i="5"/>
  <c r="AH255" i="5"/>
  <c r="BT255" i="5"/>
  <c r="R238" i="7"/>
  <c r="P238" i="7"/>
  <c r="CG253" i="7"/>
  <c r="CF250" i="7"/>
  <c r="CF251" i="7"/>
  <c r="CC254" i="7"/>
  <c r="CA252" i="7"/>
  <c r="BZ250" i="7"/>
  <c r="BZ251" i="7"/>
  <c r="BV252" i="7"/>
  <c r="BU250" i="7"/>
  <c r="BU251" i="7"/>
  <c r="BT250" i="7"/>
  <c r="BT251" i="7"/>
  <c r="BS250" i="7"/>
  <c r="BS251" i="7"/>
  <c r="BP252" i="7"/>
  <c r="BG254" i="7"/>
  <c r="BF253" i="7"/>
  <c r="BA252" i="7"/>
  <c r="AZ253" i="7"/>
  <c r="AU252" i="7"/>
  <c r="AR254" i="7"/>
  <c r="AM250" i="7"/>
  <c r="AM251" i="7"/>
  <c r="AL250" i="7"/>
  <c r="AL251" i="7"/>
  <c r="AK254" i="7"/>
  <c r="AI252" i="7"/>
  <c r="AF252" i="7"/>
  <c r="AE250" i="7"/>
  <c r="AE251" i="7"/>
  <c r="AC253" i="7"/>
  <c r="AB250" i="7"/>
  <c r="AB251" i="7"/>
  <c r="AA254" i="7"/>
  <c r="Z254" i="7"/>
  <c r="Y254" i="7"/>
  <c r="W252" i="7"/>
  <c r="V254" i="7"/>
  <c r="U250" i="7"/>
  <c r="U251" i="7"/>
  <c r="T254" i="7"/>
  <c r="S254" i="7"/>
  <c r="R223" i="7"/>
  <c r="Q221" i="7"/>
  <c r="P221" i="7"/>
  <c r="O254" i="7"/>
  <c r="N254" i="7"/>
  <c r="M253" i="7"/>
  <c r="L250" i="7"/>
  <c r="L251" i="7"/>
  <c r="K220" i="7"/>
  <c r="J220" i="7"/>
  <c r="I220" i="7"/>
  <c r="E248" i="7"/>
  <c r="G253" i="7"/>
  <c r="G220" i="7"/>
  <c r="E83" i="7"/>
  <c r="CH41" i="7"/>
  <c r="BI255" i="5"/>
  <c r="BS255" i="5"/>
  <c r="CE241" i="7"/>
  <c r="BO255" i="5"/>
  <c r="F11" i="3"/>
  <c r="BG255" i="5"/>
  <c r="O255" i="5"/>
  <c r="CF252" i="7"/>
  <c r="CE252" i="7"/>
  <c r="CB250" i="7"/>
  <c r="CB251" i="7"/>
  <c r="BZ254" i="7"/>
  <c r="BX250" i="7"/>
  <c r="BX251" i="7"/>
  <c r="BT252" i="7"/>
  <c r="BR252" i="7"/>
  <c r="BQ252" i="7"/>
  <c r="BN252" i="7"/>
  <c r="BM252" i="7"/>
  <c r="BL250" i="7"/>
  <c r="BL251" i="7"/>
  <c r="BJ253" i="7"/>
  <c r="BI252" i="7"/>
  <c r="BH250" i="7"/>
  <c r="BH251" i="7"/>
  <c r="BG253" i="7"/>
  <c r="BE250" i="7"/>
  <c r="BE251" i="7"/>
  <c r="BD250" i="7"/>
  <c r="BD251" i="7"/>
  <c r="BA254" i="7"/>
  <c r="AX252" i="7"/>
  <c r="AW250" i="7"/>
  <c r="AW251" i="7"/>
  <c r="AS254" i="7"/>
  <c r="AP254" i="7"/>
  <c r="AO252" i="7"/>
  <c r="AM252" i="7"/>
  <c r="AL253" i="7"/>
  <c r="AG254" i="7"/>
  <c r="AC254" i="7"/>
  <c r="AB254" i="7"/>
  <c r="Z250" i="7"/>
  <c r="Z251" i="7"/>
  <c r="W250" i="7"/>
  <c r="W251" i="7"/>
  <c r="V250" i="7"/>
  <c r="V251" i="7"/>
  <c r="R230" i="7"/>
  <c r="R225" i="7"/>
  <c r="Q254" i="7"/>
  <c r="P232" i="7"/>
  <c r="P227" i="7"/>
  <c r="O231" i="7"/>
  <c r="O226" i="7"/>
  <c r="N230" i="7"/>
  <c r="N225" i="7"/>
  <c r="M250" i="7"/>
  <c r="M251" i="7"/>
  <c r="L254" i="7"/>
  <c r="K254" i="7"/>
  <c r="J232" i="7"/>
  <c r="J227" i="7"/>
  <c r="I233" i="7"/>
  <c r="I228" i="7"/>
  <c r="H250" i="7"/>
  <c r="H251" i="7"/>
  <c r="H252" i="7"/>
  <c r="BQ255" i="5"/>
  <c r="W255" i="5"/>
  <c r="AB255" i="5"/>
  <c r="CE255" i="5"/>
  <c r="CG8" i="11"/>
  <c r="CG10" i="11" s="1"/>
  <c r="CG31" i="11" s="1"/>
  <c r="CG26" i="10"/>
  <c r="CG199" i="10"/>
  <c r="CG250" i="7"/>
  <c r="CG251" i="7"/>
  <c r="CA250" i="7"/>
  <c r="CA251" i="7"/>
  <c r="BZ252" i="7"/>
  <c r="BY254" i="7"/>
  <c r="BW252" i="7"/>
  <c r="BU254" i="7"/>
  <c r="BQ253" i="7"/>
  <c r="BP253" i="7"/>
  <c r="BO252" i="7"/>
  <c r="BL253" i="7"/>
  <c r="BH253" i="7"/>
  <c r="BF254" i="7"/>
  <c r="BC250" i="7"/>
  <c r="BC251" i="7"/>
  <c r="AZ254" i="7"/>
  <c r="AY253" i="7"/>
  <c r="AU250" i="7"/>
  <c r="AU251" i="7"/>
  <c r="AT252" i="7"/>
  <c r="AP250" i="7"/>
  <c r="AP251" i="7"/>
  <c r="AO253" i="7"/>
  <c r="AK250" i="7"/>
  <c r="AK251" i="7"/>
  <c r="AI253" i="7"/>
  <c r="AH253" i="7"/>
  <c r="AF254" i="7"/>
  <c r="AE253" i="7"/>
  <c r="AD250" i="7"/>
  <c r="AD251" i="7"/>
  <c r="AC250" i="7"/>
  <c r="AC251" i="7"/>
  <c r="AA252" i="7"/>
  <c r="Z252" i="7"/>
  <c r="V252" i="7"/>
  <c r="U252" i="7"/>
  <c r="S252" i="7"/>
  <c r="R222" i="7"/>
  <c r="Q220" i="7"/>
  <c r="P223" i="7"/>
  <c r="O220" i="7"/>
  <c r="N253" i="7"/>
  <c r="M220" i="7"/>
  <c r="L220" i="7"/>
  <c r="K253" i="7"/>
  <c r="J221" i="7"/>
  <c r="I250" i="7"/>
  <c r="I251" i="7"/>
  <c r="E249" i="7"/>
  <c r="G254" i="7"/>
  <c r="BJ255" i="5"/>
  <c r="AD255" i="5"/>
  <c r="N255" i="5"/>
  <c r="BH255" i="5"/>
  <c r="BC255" i="5"/>
  <c r="H266" i="5" l="1"/>
  <c r="Z255" i="7"/>
  <c r="R224" i="7"/>
  <c r="AD255" i="7"/>
  <c r="I266" i="5"/>
  <c r="J266" i="5" s="1"/>
  <c r="K266" i="5" s="1"/>
  <c r="L266" i="5" s="1"/>
  <c r="M266" i="5" s="1"/>
  <c r="N266" i="5" s="1"/>
  <c r="CG255" i="7"/>
  <c r="BL255" i="7"/>
  <c r="BF255" i="7"/>
  <c r="U255" i="7"/>
  <c r="AN255" i="7"/>
  <c r="AP255" i="7"/>
  <c r="BT255" i="7"/>
  <c r="AF255" i="7"/>
  <c r="BC255" i="7"/>
  <c r="BI255" i="7"/>
  <c r="BH255" i="7"/>
  <c r="CA255" i="7"/>
  <c r="BM255" i="7"/>
  <c r="N255" i="7"/>
  <c r="AM255" i="7"/>
  <c r="H255" i="7"/>
  <c r="AB255" i="7"/>
  <c r="AQ255" i="7"/>
  <c r="BJ255" i="7"/>
  <c r="BY255" i="7"/>
  <c r="Q232" i="7"/>
  <c r="Q227" i="7"/>
  <c r="CG250" i="10"/>
  <c r="CG251" i="10"/>
  <c r="CE253" i="10"/>
  <c r="CD250" i="10"/>
  <c r="CD251" i="10"/>
  <c r="CA250" i="10"/>
  <c r="CA251" i="10"/>
  <c r="BU254" i="10"/>
  <c r="BT254" i="10"/>
  <c r="BS252" i="10"/>
  <c r="BR250" i="10"/>
  <c r="BR251" i="10"/>
  <c r="BQ252" i="10"/>
  <c r="BO252" i="10"/>
  <c r="BM254" i="10"/>
  <c r="BJ250" i="10"/>
  <c r="BJ251" i="10"/>
  <c r="AZ252" i="10"/>
  <c r="AY253" i="10"/>
  <c r="AW252" i="10"/>
  <c r="AU252" i="10"/>
  <c r="AT252" i="10"/>
  <c r="AO252" i="10"/>
  <c r="AN254" i="10"/>
  <c r="AK252" i="10"/>
  <c r="AH252" i="10"/>
  <c r="AG254" i="10"/>
  <c r="AD253" i="10"/>
  <c r="AB252" i="10"/>
  <c r="AA250" i="10"/>
  <c r="AA251" i="10"/>
  <c r="Z253" i="10"/>
  <c r="Y252" i="10"/>
  <c r="V253" i="10"/>
  <c r="U253" i="10"/>
  <c r="T253" i="10"/>
  <c r="R252" i="10"/>
  <c r="P250" i="10"/>
  <c r="P251" i="10"/>
  <c r="K254" i="10"/>
  <c r="I250" i="10"/>
  <c r="I251" i="10"/>
  <c r="H252" i="10"/>
  <c r="E248" i="10"/>
  <c r="G253" i="10"/>
  <c r="J230" i="7"/>
  <c r="J224" i="7"/>
  <c r="J225" i="7"/>
  <c r="AO255" i="7"/>
  <c r="E255" i="5"/>
  <c r="L231" i="7"/>
  <c r="L226" i="7"/>
  <c r="K230" i="7"/>
  <c r="K224" i="7"/>
  <c r="K225" i="7"/>
  <c r="AS255" i="7"/>
  <c r="J238" i="5"/>
  <c r="G238" i="5"/>
  <c r="G220" i="5"/>
  <c r="I223" i="5"/>
  <c r="H222" i="5"/>
  <c r="J223" i="5"/>
  <c r="N221" i="5"/>
  <c r="O220" i="5"/>
  <c r="P221" i="5"/>
  <c r="R223" i="5"/>
  <c r="I222" i="5"/>
  <c r="L222" i="5"/>
  <c r="Q222" i="5"/>
  <c r="G222" i="5"/>
  <c r="L220" i="5"/>
  <c r="O222" i="5"/>
  <c r="Q221" i="5"/>
  <c r="K238" i="5"/>
  <c r="I238" i="5"/>
  <c r="G223" i="5"/>
  <c r="H221" i="5"/>
  <c r="I220" i="5"/>
  <c r="K221" i="5"/>
  <c r="M222" i="5"/>
  <c r="N220" i="5"/>
  <c r="P220" i="5"/>
  <c r="K220" i="5"/>
  <c r="L223" i="5"/>
  <c r="O223" i="5"/>
  <c r="Q223" i="5"/>
  <c r="Q238" i="5"/>
  <c r="M223" i="5"/>
  <c r="H223" i="5"/>
  <c r="K223" i="5"/>
  <c r="N222" i="5"/>
  <c r="R221" i="5"/>
  <c r="J220" i="5"/>
  <c r="N238" i="5"/>
  <c r="R238" i="5"/>
  <c r="P238" i="5"/>
  <c r="H220" i="5"/>
  <c r="J221" i="5"/>
  <c r="L221" i="5"/>
  <c r="N223" i="5"/>
  <c r="Q220" i="5"/>
  <c r="R220" i="5"/>
  <c r="K222" i="5"/>
  <c r="P222" i="5"/>
  <c r="O238" i="5"/>
  <c r="H238" i="5"/>
  <c r="L238" i="5"/>
  <c r="M238" i="5"/>
  <c r="G221" i="5"/>
  <c r="I221" i="5"/>
  <c r="M220" i="5"/>
  <c r="O221" i="5"/>
  <c r="P223" i="5"/>
  <c r="R222" i="5"/>
  <c r="J222" i="5"/>
  <c r="M221" i="5"/>
  <c r="Q255" i="7"/>
  <c r="BB255" i="7"/>
  <c r="M232" i="7"/>
  <c r="M227" i="7"/>
  <c r="T255" i="7"/>
  <c r="AZ255" i="7"/>
  <c r="AI255" i="7"/>
  <c r="G233" i="7"/>
  <c r="G228" i="7"/>
  <c r="R231" i="7"/>
  <c r="R226" i="7"/>
  <c r="CF254" i="10"/>
  <c r="CD254" i="10"/>
  <c r="CC254" i="10"/>
  <c r="BZ253" i="10"/>
  <c r="BY254" i="10"/>
  <c r="BW253" i="10"/>
  <c r="BT253" i="10"/>
  <c r="BS253" i="10"/>
  <c r="BR252" i="10"/>
  <c r="BQ253" i="10"/>
  <c r="BN250" i="10"/>
  <c r="BN251" i="10"/>
  <c r="BM253" i="10"/>
  <c r="BI252" i="10"/>
  <c r="BH254" i="10"/>
  <c r="BG253" i="10"/>
  <c r="BE253" i="10"/>
  <c r="BD254" i="10"/>
  <c r="BA250" i="10"/>
  <c r="BA251" i="10"/>
  <c r="AY252" i="10"/>
  <c r="AX253" i="10"/>
  <c r="AW250" i="10"/>
  <c r="AW251" i="10"/>
  <c r="AV253" i="10"/>
  <c r="AR250" i="10"/>
  <c r="AR251" i="10"/>
  <c r="AQ250" i="10"/>
  <c r="AQ251" i="10"/>
  <c r="AP250" i="10"/>
  <c r="AP251" i="10"/>
  <c r="AO250" i="10"/>
  <c r="AO251" i="10"/>
  <c r="AN250" i="10"/>
  <c r="AN251" i="10"/>
  <c r="AL252" i="10"/>
  <c r="AJ250" i="10"/>
  <c r="AJ251" i="10"/>
  <c r="AI250" i="10"/>
  <c r="AI251" i="10"/>
  <c r="AG253" i="10"/>
  <c r="AE254" i="10"/>
  <c r="AD254" i="10"/>
  <c r="AB250" i="10"/>
  <c r="AB251" i="10"/>
  <c r="AA252" i="10"/>
  <c r="X254" i="10"/>
  <c r="W254" i="10"/>
  <c r="S254" i="10"/>
  <c r="O253" i="10"/>
  <c r="L253" i="10"/>
  <c r="K253" i="10"/>
  <c r="J253" i="10"/>
  <c r="Q252" i="10"/>
  <c r="L252" i="10"/>
  <c r="K252" i="10"/>
  <c r="J254" i="10"/>
  <c r="E41" i="7"/>
  <c r="CH26" i="7"/>
  <c r="E26" i="7" s="1"/>
  <c r="CH199" i="7"/>
  <c r="E199" i="7" s="1"/>
  <c r="CH258" i="5"/>
  <c r="AL258" i="5"/>
  <c r="BB263" i="5" s="1"/>
  <c r="J258" i="5"/>
  <c r="Z263" i="5" s="1"/>
  <c r="AT258" i="5"/>
  <c r="BJ263" i="5" s="1"/>
  <c r="BC258" i="5"/>
  <c r="BS263" i="5" s="1"/>
  <c r="AE258" i="5"/>
  <c r="AU263" i="5" s="1"/>
  <c r="BW258" i="5"/>
  <c r="AM258" i="5"/>
  <c r="BC263" i="5" s="1"/>
  <c r="BJ258" i="5"/>
  <c r="BZ263" i="5" s="1"/>
  <c r="AX258" i="5"/>
  <c r="BN263" i="5" s="1"/>
  <c r="BH258" i="5"/>
  <c r="BX263" i="5" s="1"/>
  <c r="M258" i="5"/>
  <c r="AC263" i="5" s="1"/>
  <c r="BR258" i="5"/>
  <c r="CH263" i="5" s="1"/>
  <c r="AY258" i="5"/>
  <c r="BO263" i="5" s="1"/>
  <c r="BA258" i="5"/>
  <c r="BQ263" i="5" s="1"/>
  <c r="AU258" i="5"/>
  <c r="BK263" i="5" s="1"/>
  <c r="BD258" i="5"/>
  <c r="BT263" i="5" s="1"/>
  <c r="CG258" i="5"/>
  <c r="AZ258" i="5"/>
  <c r="BP263" i="5" s="1"/>
  <c r="R258" i="5"/>
  <c r="AH263" i="5" s="1"/>
  <c r="CB258" i="5"/>
  <c r="BN258" i="5"/>
  <c r="CD263" i="5" s="1"/>
  <c r="AW258" i="5"/>
  <c r="BM263" i="5" s="1"/>
  <c r="AO258" i="5"/>
  <c r="BE263" i="5" s="1"/>
  <c r="AG258" i="5"/>
  <c r="AW263" i="5" s="1"/>
  <c r="BP258" i="5"/>
  <c r="CF263" i="5" s="1"/>
  <c r="CC258" i="5"/>
  <c r="AF258" i="5"/>
  <c r="AV263" i="5" s="1"/>
  <c r="V258" i="5"/>
  <c r="AL263" i="5" s="1"/>
  <c r="X258" i="5"/>
  <c r="AN263" i="5" s="1"/>
  <c r="BE258" i="5"/>
  <c r="BU263" i="5" s="1"/>
  <c r="Z258" i="5"/>
  <c r="AP263" i="5" s="1"/>
  <c r="BI258" i="5"/>
  <c r="BY263" i="5" s="1"/>
  <c r="BV258" i="5"/>
  <c r="P258" i="5"/>
  <c r="AF263" i="5" s="1"/>
  <c r="BO258" i="5"/>
  <c r="CE263" i="5" s="1"/>
  <c r="BS258" i="5"/>
  <c r="BL258" i="5"/>
  <c r="CB263" i="5" s="1"/>
  <c r="AS258" i="5"/>
  <c r="BI263" i="5" s="1"/>
  <c r="BF258" i="5"/>
  <c r="BV263" i="5" s="1"/>
  <c r="CE258" i="5"/>
  <c r="Q258" i="5"/>
  <c r="AG263" i="5" s="1"/>
  <c r="AK258" i="5"/>
  <c r="BA263" i="5" s="1"/>
  <c r="AB258" i="5"/>
  <c r="AR263" i="5" s="1"/>
  <c r="AC258" i="5"/>
  <c r="AS263" i="5" s="1"/>
  <c r="BQ258" i="5"/>
  <c r="CG263" i="5" s="1"/>
  <c r="AA258" i="5"/>
  <c r="AQ263" i="5" s="1"/>
  <c r="L258" i="5"/>
  <c r="AB263" i="5" s="1"/>
  <c r="AR258" i="5"/>
  <c r="BH263" i="5" s="1"/>
  <c r="BU258" i="5"/>
  <c r="CA258" i="5"/>
  <c r="BB258" i="5"/>
  <c r="BR263" i="5" s="1"/>
  <c r="AN258" i="5"/>
  <c r="BD263" i="5" s="1"/>
  <c r="BY258" i="5"/>
  <c r="W258" i="5"/>
  <c r="AM263" i="5" s="1"/>
  <c r="BT258" i="5"/>
  <c r="U258" i="5"/>
  <c r="AK263" i="5" s="1"/>
  <c r="AQ258" i="5"/>
  <c r="BG263" i="5" s="1"/>
  <c r="I258" i="5"/>
  <c r="Y263" i="5" s="1"/>
  <c r="BG258" i="5"/>
  <c r="BW263" i="5" s="1"/>
  <c r="BX258" i="5"/>
  <c r="AJ258" i="5"/>
  <c r="AZ263" i="5" s="1"/>
  <c r="CF258" i="5"/>
  <c r="H258" i="5"/>
  <c r="X263" i="5" s="1"/>
  <c r="AP258" i="5"/>
  <c r="BF263" i="5" s="1"/>
  <c r="N258" i="5"/>
  <c r="AD263" i="5" s="1"/>
  <c r="AH258" i="5"/>
  <c r="AX263" i="5" s="1"/>
  <c r="T258" i="5"/>
  <c r="AJ263" i="5" s="1"/>
  <c r="CD258" i="5"/>
  <c r="BK258" i="5"/>
  <c r="CA263" i="5" s="1"/>
  <c r="AD258" i="5"/>
  <c r="AT263" i="5" s="1"/>
  <c r="O258" i="5"/>
  <c r="AE263" i="5" s="1"/>
  <c r="Y258" i="5"/>
  <c r="AO263" i="5" s="1"/>
  <c r="AI258" i="5"/>
  <c r="AY263" i="5" s="1"/>
  <c r="G258" i="5"/>
  <c r="BM258" i="5"/>
  <c r="CC263" i="5" s="1"/>
  <c r="AV258" i="5"/>
  <c r="BL263" i="5" s="1"/>
  <c r="K258" i="5"/>
  <c r="AA263" i="5" s="1"/>
  <c r="BZ258" i="5"/>
  <c r="S258" i="5"/>
  <c r="AI263" i="5" s="1"/>
  <c r="AK255" i="7"/>
  <c r="AL255" i="7"/>
  <c r="G255" i="7"/>
  <c r="G266" i="7" s="1"/>
  <c r="E251" i="7"/>
  <c r="P224" i="7"/>
  <c r="P230" i="7"/>
  <c r="P225" i="7"/>
  <c r="CH259" i="5"/>
  <c r="AT259" i="5"/>
  <c r="BR264" i="5" s="1"/>
  <c r="CC259" i="5"/>
  <c r="AC259" i="5"/>
  <c r="BA264" i="5" s="1"/>
  <c r="P259" i="5"/>
  <c r="AN264" i="5" s="1"/>
  <c r="T259" i="5"/>
  <c r="AR264" i="5" s="1"/>
  <c r="AQ259" i="5"/>
  <c r="BO264" i="5" s="1"/>
  <c r="BD259" i="5"/>
  <c r="CB264" i="5" s="1"/>
  <c r="H259" i="5"/>
  <c r="AF264" i="5" s="1"/>
  <c r="BH259" i="5"/>
  <c r="CF264" i="5" s="1"/>
  <c r="AO259" i="5"/>
  <c r="BM264" i="5" s="1"/>
  <c r="BJ259" i="5"/>
  <c r="CH264" i="5" s="1"/>
  <c r="U259" i="5"/>
  <c r="AS264" i="5" s="1"/>
  <c r="AR259" i="5"/>
  <c r="BP264" i="5" s="1"/>
  <c r="AJ259" i="5"/>
  <c r="BH264" i="5" s="1"/>
  <c r="BQ259" i="5"/>
  <c r="BM259" i="5"/>
  <c r="AM259" i="5"/>
  <c r="BK264" i="5" s="1"/>
  <c r="AX259" i="5"/>
  <c r="BV264" i="5" s="1"/>
  <c r="Y259" i="5"/>
  <c r="AW264" i="5" s="1"/>
  <c r="L259" i="5"/>
  <c r="AJ264" i="5" s="1"/>
  <c r="BW259" i="5"/>
  <c r="CF259" i="5"/>
  <c r="BR259" i="5"/>
  <c r="CG259" i="5"/>
  <c r="G259" i="5"/>
  <c r="AS259" i="5"/>
  <c r="BQ264" i="5" s="1"/>
  <c r="AY259" i="5"/>
  <c r="BW264" i="5" s="1"/>
  <c r="AD259" i="5"/>
  <c r="BB264" i="5" s="1"/>
  <c r="R259" i="5"/>
  <c r="AP264" i="5" s="1"/>
  <c r="BK259" i="5"/>
  <c r="BN259" i="5"/>
  <c r="X259" i="5"/>
  <c r="AV264" i="5" s="1"/>
  <c r="AF259" i="5"/>
  <c r="BD264" i="5" s="1"/>
  <c r="CE259" i="5"/>
  <c r="S259" i="5"/>
  <c r="AQ264" i="5" s="1"/>
  <c r="BU259" i="5"/>
  <c r="BT259" i="5"/>
  <c r="AB259" i="5"/>
  <c r="AZ264" i="5" s="1"/>
  <c r="W259" i="5"/>
  <c r="AU264" i="5" s="1"/>
  <c r="AE259" i="5"/>
  <c r="BC264" i="5" s="1"/>
  <c r="J259" i="5"/>
  <c r="AH264" i="5" s="1"/>
  <c r="BV259" i="5"/>
  <c r="BY259" i="5"/>
  <c r="BI259" i="5"/>
  <c r="CG264" i="5" s="1"/>
  <c r="AK259" i="5"/>
  <c r="BI264" i="5" s="1"/>
  <c r="BZ259" i="5"/>
  <c r="AN259" i="5"/>
  <c r="BL264" i="5" s="1"/>
  <c r="BP259" i="5"/>
  <c r="AV259" i="5"/>
  <c r="BT264" i="5" s="1"/>
  <c r="BF259" i="5"/>
  <c r="CD264" i="5" s="1"/>
  <c r="AU259" i="5"/>
  <c r="BS264" i="5" s="1"/>
  <c r="AW259" i="5"/>
  <c r="BU264" i="5" s="1"/>
  <c r="N259" i="5"/>
  <c r="AL264" i="5" s="1"/>
  <c r="AG259" i="5"/>
  <c r="BE264" i="5" s="1"/>
  <c r="BX259" i="5"/>
  <c r="BE259" i="5"/>
  <c r="CC264" i="5" s="1"/>
  <c r="AL259" i="5"/>
  <c r="BJ264" i="5" s="1"/>
  <c r="CD259" i="5"/>
  <c r="Q259" i="5"/>
  <c r="AO264" i="5" s="1"/>
  <c r="BO259" i="5"/>
  <c r="BA259" i="5"/>
  <c r="BY264" i="5" s="1"/>
  <c r="AI259" i="5"/>
  <c r="BG264" i="5" s="1"/>
  <c r="K259" i="5"/>
  <c r="AI264" i="5" s="1"/>
  <c r="I259" i="5"/>
  <c r="AG264" i="5" s="1"/>
  <c r="BL259" i="5"/>
  <c r="AZ259" i="5"/>
  <c r="BX264" i="5" s="1"/>
  <c r="V259" i="5"/>
  <c r="AT264" i="5" s="1"/>
  <c r="AH259" i="5"/>
  <c r="BF264" i="5" s="1"/>
  <c r="O259" i="5"/>
  <c r="AM264" i="5" s="1"/>
  <c r="BS259" i="5"/>
  <c r="CB259" i="5"/>
  <c r="BG259" i="5"/>
  <c r="CE264" i="5" s="1"/>
  <c r="AP259" i="5"/>
  <c r="BN264" i="5" s="1"/>
  <c r="M259" i="5"/>
  <c r="AK264" i="5" s="1"/>
  <c r="BB259" i="5"/>
  <c r="BZ264" i="5" s="1"/>
  <c r="Z259" i="5"/>
  <c r="AX264" i="5" s="1"/>
  <c r="BC259" i="5"/>
  <c r="CA264" i="5" s="1"/>
  <c r="CA259" i="5"/>
  <c r="AA259" i="5"/>
  <c r="AY264" i="5" s="1"/>
  <c r="CH253" i="10"/>
  <c r="CH255" i="10" s="1"/>
  <c r="CG252" i="10"/>
  <c r="CF250" i="10"/>
  <c r="CF251" i="10"/>
  <c r="CE252" i="10"/>
  <c r="CD252" i="10"/>
  <c r="CC252" i="10"/>
  <c r="CA252" i="10"/>
  <c r="BX250" i="10"/>
  <c r="BX251" i="10"/>
  <c r="BV250" i="10"/>
  <c r="BV251" i="10"/>
  <c r="BT250" i="10"/>
  <c r="BT251" i="10"/>
  <c r="BR253" i="10"/>
  <c r="BO250" i="10"/>
  <c r="BO251" i="10"/>
  <c r="BM250" i="10"/>
  <c r="BM251" i="10"/>
  <c r="BK254" i="10"/>
  <c r="BI253" i="10"/>
  <c r="BF254" i="10"/>
  <c r="BE250" i="10"/>
  <c r="BE251" i="10"/>
  <c r="BB254" i="10"/>
  <c r="AU253" i="10"/>
  <c r="AS252" i="10"/>
  <c r="AR252" i="10"/>
  <c r="AQ252" i="10"/>
  <c r="AP254" i="10"/>
  <c r="AN252" i="10"/>
  <c r="AM254" i="10"/>
  <c r="AK253" i="10"/>
  <c r="AJ253" i="10"/>
  <c r="AH254" i="10"/>
  <c r="AG250" i="10"/>
  <c r="AG251" i="10"/>
  <c r="AE250" i="10"/>
  <c r="AE251" i="10"/>
  <c r="AB254" i="10"/>
  <c r="Z250" i="10"/>
  <c r="Z251" i="10"/>
  <c r="Y250" i="10"/>
  <c r="Y251" i="10"/>
  <c r="X253" i="10"/>
  <c r="V254" i="10"/>
  <c r="U250" i="10"/>
  <c r="U251" i="10"/>
  <c r="T254" i="10"/>
  <c r="R253" i="10"/>
  <c r="L230" i="7"/>
  <c r="L224" i="7"/>
  <c r="L225" i="7"/>
  <c r="M255" i="7"/>
  <c r="AW255" i="7"/>
  <c r="CB255" i="7"/>
  <c r="BR205" i="10"/>
  <c r="BB205" i="10"/>
  <c r="J205" i="10"/>
  <c r="G224" i="7"/>
  <c r="G230" i="7"/>
  <c r="G225" i="7"/>
  <c r="P231" i="7"/>
  <c r="P226" i="7"/>
  <c r="AD257" i="5"/>
  <c r="AP262" i="5" s="1"/>
  <c r="BY257" i="5"/>
  <c r="AZ257" i="5"/>
  <c r="BL262" i="5" s="1"/>
  <c r="AA257" i="5"/>
  <c r="AM262" i="5" s="1"/>
  <c r="Q257" i="5"/>
  <c r="AC262" i="5" s="1"/>
  <c r="BS257" i="5"/>
  <c r="CE262" i="5" s="1"/>
  <c r="BU257" i="5"/>
  <c r="CG262" i="5" s="1"/>
  <c r="AO257" i="5"/>
  <c r="BA262" i="5" s="1"/>
  <c r="BP257" i="5"/>
  <c r="CB262" i="5" s="1"/>
  <c r="N257" i="5"/>
  <c r="Z262" i="5" s="1"/>
  <c r="BF257" i="5"/>
  <c r="BR262" i="5" s="1"/>
  <c r="BZ257" i="5"/>
  <c r="BM257" i="5"/>
  <c r="BY262" i="5" s="1"/>
  <c r="BH257" i="5"/>
  <c r="BT262" i="5" s="1"/>
  <c r="O257" i="5"/>
  <c r="AA262" i="5" s="1"/>
  <c r="CB257" i="5"/>
  <c r="BK257" i="5"/>
  <c r="BW262" i="5" s="1"/>
  <c r="I257" i="5"/>
  <c r="U262" i="5" s="1"/>
  <c r="L257" i="5"/>
  <c r="X262" i="5" s="1"/>
  <c r="BL257" i="5"/>
  <c r="BX262" i="5" s="1"/>
  <c r="CF257" i="5"/>
  <c r="K257" i="5"/>
  <c r="W262" i="5" s="1"/>
  <c r="Y257" i="5"/>
  <c r="AK262" i="5" s="1"/>
  <c r="H257" i="5"/>
  <c r="T262" i="5" s="1"/>
  <c r="AQ257" i="5"/>
  <c r="BC262" i="5" s="1"/>
  <c r="BI257" i="5"/>
  <c r="BU262" i="5" s="1"/>
  <c r="BV257" i="5"/>
  <c r="CH262" i="5" s="1"/>
  <c r="AE257" i="5"/>
  <c r="AQ262" i="5" s="1"/>
  <c r="CH257" i="5"/>
  <c r="G257" i="5"/>
  <c r="AI257" i="5"/>
  <c r="AU262" i="5" s="1"/>
  <c r="BE257" i="5"/>
  <c r="BQ262" i="5" s="1"/>
  <c r="BT257" i="5"/>
  <c r="CF262" i="5" s="1"/>
  <c r="BN257" i="5"/>
  <c r="BZ262" i="5" s="1"/>
  <c r="AY257" i="5"/>
  <c r="BK262" i="5" s="1"/>
  <c r="AN257" i="5"/>
  <c r="AZ262" i="5" s="1"/>
  <c r="AP257" i="5"/>
  <c r="BB262" i="5" s="1"/>
  <c r="BO257" i="5"/>
  <c r="CA262" i="5" s="1"/>
  <c r="AV257" i="5"/>
  <c r="BH262" i="5" s="1"/>
  <c r="AL257" i="5"/>
  <c r="AX262" i="5" s="1"/>
  <c r="CC257" i="5"/>
  <c r="X257" i="5"/>
  <c r="AJ262" i="5" s="1"/>
  <c r="M257" i="5"/>
  <c r="Y262" i="5" s="1"/>
  <c r="P257" i="5"/>
  <c r="AB262" i="5" s="1"/>
  <c r="J257" i="5"/>
  <c r="V262" i="5" s="1"/>
  <c r="CE257" i="5"/>
  <c r="BA257" i="5"/>
  <c r="BM262" i="5" s="1"/>
  <c r="AS257" i="5"/>
  <c r="BE262" i="5" s="1"/>
  <c r="AH257" i="5"/>
  <c r="AT262" i="5" s="1"/>
  <c r="W257" i="5"/>
  <c r="AI262" i="5" s="1"/>
  <c r="BD257" i="5"/>
  <c r="BP262" i="5" s="1"/>
  <c r="AJ257" i="5"/>
  <c r="AV262" i="5" s="1"/>
  <c r="AT257" i="5"/>
  <c r="BF262" i="5" s="1"/>
  <c r="Z257" i="5"/>
  <c r="AL262" i="5" s="1"/>
  <c r="BG257" i="5"/>
  <c r="BS262" i="5" s="1"/>
  <c r="CA257" i="5"/>
  <c r="BB257" i="5"/>
  <c r="BN262" i="5" s="1"/>
  <c r="R257" i="5"/>
  <c r="AD262" i="5" s="1"/>
  <c r="T257" i="5"/>
  <c r="AF262" i="5" s="1"/>
  <c r="BR257" i="5"/>
  <c r="CD262" i="5" s="1"/>
  <c r="V257" i="5"/>
  <c r="AH262" i="5" s="1"/>
  <c r="AB257" i="5"/>
  <c r="AN262" i="5" s="1"/>
  <c r="CD257" i="5"/>
  <c r="BQ257" i="5"/>
  <c r="CC262" i="5" s="1"/>
  <c r="BC257" i="5"/>
  <c r="BO262" i="5" s="1"/>
  <c r="AR257" i="5"/>
  <c r="BD262" i="5" s="1"/>
  <c r="U257" i="5"/>
  <c r="AG262" i="5" s="1"/>
  <c r="AC257" i="5"/>
  <c r="AO262" i="5" s="1"/>
  <c r="AF257" i="5"/>
  <c r="AR262" i="5" s="1"/>
  <c r="CG257" i="5"/>
  <c r="AW257" i="5"/>
  <c r="BI262" i="5" s="1"/>
  <c r="BW257" i="5"/>
  <c r="AM257" i="5"/>
  <c r="AY262" i="5" s="1"/>
  <c r="AU257" i="5"/>
  <c r="BG262" i="5" s="1"/>
  <c r="S257" i="5"/>
  <c r="AE262" i="5" s="1"/>
  <c r="AG257" i="5"/>
  <c r="AS262" i="5" s="1"/>
  <c r="BX257" i="5"/>
  <c r="AK257" i="5"/>
  <c r="AW262" i="5" s="1"/>
  <c r="BJ257" i="5"/>
  <c r="BV262" i="5" s="1"/>
  <c r="AX257" i="5"/>
  <c r="BJ262" i="5" s="1"/>
  <c r="L232" i="7"/>
  <c r="L227" i="7"/>
  <c r="I231" i="7"/>
  <c r="I226" i="7"/>
  <c r="BN255" i="7"/>
  <c r="CD255" i="7"/>
  <c r="K232" i="7"/>
  <c r="K227" i="7"/>
  <c r="M231" i="7"/>
  <c r="M226" i="7"/>
  <c r="CH8" i="11"/>
  <c r="E41" i="10"/>
  <c r="CH26" i="10"/>
  <c r="E26" i="10" s="1"/>
  <c r="CH199" i="10"/>
  <c r="E199" i="10" s="1"/>
  <c r="CG253" i="10"/>
  <c r="CF253" i="10"/>
  <c r="CC250" i="10"/>
  <c r="CC251" i="10"/>
  <c r="BZ252" i="10"/>
  <c r="BY250" i="10"/>
  <c r="BY251" i="10"/>
  <c r="BX254" i="10"/>
  <c r="BW250" i="10"/>
  <c r="BW251" i="10"/>
  <c r="BV252" i="10"/>
  <c r="BT252" i="10"/>
  <c r="BS254" i="10"/>
  <c r="BR254" i="10"/>
  <c r="BP253" i="10"/>
  <c r="BN253" i="10"/>
  <c r="BM252" i="10"/>
  <c r="BL254" i="10"/>
  <c r="BK250" i="10"/>
  <c r="BK251" i="10"/>
  <c r="BI254" i="10"/>
  <c r="BH250" i="10"/>
  <c r="BH251" i="10"/>
  <c r="BF250" i="10"/>
  <c r="BF251" i="10"/>
  <c r="BE252" i="10"/>
  <c r="BD250" i="10"/>
  <c r="BD251" i="10"/>
  <c r="BC252" i="10"/>
  <c r="AZ250" i="10"/>
  <c r="AZ251" i="10"/>
  <c r="AW254" i="10"/>
  <c r="AV250" i="10"/>
  <c r="AV251" i="10"/>
  <c r="AS250" i="10"/>
  <c r="AS251" i="10"/>
  <c r="AR253" i="10"/>
  <c r="AQ253" i="10"/>
  <c r="AL253" i="10"/>
  <c r="AK254" i="10"/>
  <c r="AJ252" i="10"/>
  <c r="AI253" i="10"/>
  <c r="AH250" i="10"/>
  <c r="AH251" i="10"/>
  <c r="AE252" i="10"/>
  <c r="AB253" i="10"/>
  <c r="X250" i="10"/>
  <c r="X251" i="10"/>
  <c r="W250" i="10"/>
  <c r="W251" i="10"/>
  <c r="U252" i="10"/>
  <c r="Q254" i="10"/>
  <c r="P253" i="10"/>
  <c r="N253" i="10"/>
  <c r="M252" i="10"/>
  <c r="J252" i="10"/>
  <c r="I254" i="10"/>
  <c r="E218" i="10"/>
  <c r="CH242" i="10"/>
  <c r="E242" i="10" s="1"/>
  <c r="CH205" i="10"/>
  <c r="E254" i="7"/>
  <c r="BZ205" i="10"/>
  <c r="BJ205" i="10"/>
  <c r="R205" i="10"/>
  <c r="M230" i="7"/>
  <c r="M224" i="7"/>
  <c r="M225" i="7"/>
  <c r="CG205" i="10"/>
  <c r="BY205" i="10"/>
  <c r="BQ205" i="10"/>
  <c r="BI205" i="10"/>
  <c r="BA205" i="10"/>
  <c r="Q205" i="10"/>
  <c r="I205" i="10"/>
  <c r="E253" i="7"/>
  <c r="Q231" i="7"/>
  <c r="Q226" i="7"/>
  <c r="BU255" i="7"/>
  <c r="BZ255" i="7"/>
  <c r="AT255" i="7"/>
  <c r="H233" i="7"/>
  <c r="H228" i="7"/>
  <c r="M233" i="7"/>
  <c r="M228" i="7"/>
  <c r="R255" i="7"/>
  <c r="AH255" i="7"/>
  <c r="BV255" i="7"/>
  <c r="J255" i="7"/>
  <c r="AJ255" i="7"/>
  <c r="E250" i="7"/>
  <c r="L233" i="7"/>
  <c r="L228" i="7"/>
  <c r="BR255" i="7"/>
  <c r="N231" i="7"/>
  <c r="N226" i="7"/>
  <c r="CG254" i="10"/>
  <c r="CE250" i="10"/>
  <c r="CE251" i="10"/>
  <c r="CC253" i="10"/>
  <c r="CB254" i="10"/>
  <c r="CA253" i="10"/>
  <c r="BZ254" i="10"/>
  <c r="BY252" i="10"/>
  <c r="BX252" i="10"/>
  <c r="BV254" i="10"/>
  <c r="BO254" i="10"/>
  <c r="BN254" i="10"/>
  <c r="BL253" i="10"/>
  <c r="BJ252" i="10"/>
  <c r="BD252" i="10"/>
  <c r="BC253" i="10"/>
  <c r="AZ254" i="10"/>
  <c r="AW253" i="10"/>
  <c r="AV252" i="10"/>
  <c r="AT253" i="10"/>
  <c r="AS254" i="10"/>
  <c r="AL254" i="10"/>
  <c r="AJ254" i="10"/>
  <c r="AI254" i="10"/>
  <c r="AH253" i="10"/>
  <c r="AG252" i="10"/>
  <c r="AF254" i="10"/>
  <c r="AE253" i="10"/>
  <c r="AC250" i="10"/>
  <c r="AC251" i="10"/>
  <c r="Z254" i="10"/>
  <c r="X252" i="10"/>
  <c r="V250" i="10"/>
  <c r="V251" i="10"/>
  <c r="U254" i="10"/>
  <c r="S250" i="10"/>
  <c r="S251" i="10"/>
  <c r="R250" i="10"/>
  <c r="R251" i="10"/>
  <c r="Q250" i="10"/>
  <c r="Q251" i="10"/>
  <c r="P252" i="10"/>
  <c r="O220" i="10"/>
  <c r="N254" i="10"/>
  <c r="M250" i="10"/>
  <c r="M251" i="10"/>
  <c r="L254" i="10"/>
  <c r="K250" i="10"/>
  <c r="K251" i="10"/>
  <c r="J220" i="10"/>
  <c r="I252" i="10"/>
  <c r="H223" i="10"/>
  <c r="G222" i="10"/>
  <c r="CH70" i="10"/>
  <c r="E70" i="10" s="1"/>
  <c r="R238" i="10"/>
  <c r="G238" i="10"/>
  <c r="P233" i="7"/>
  <c r="P228" i="7"/>
  <c r="E252" i="7"/>
  <c r="CF241" i="5"/>
  <c r="H232" i="7"/>
  <c r="H227" i="7"/>
  <c r="Q224" i="7"/>
  <c r="Q230" i="7"/>
  <c r="Q225" i="7"/>
  <c r="R232" i="7"/>
  <c r="R227" i="7"/>
  <c r="CH70" i="7"/>
  <c r="E70" i="7" s="1"/>
  <c r="BQ255" i="7"/>
  <c r="BE255" i="7"/>
  <c r="R233" i="7"/>
  <c r="R228" i="7"/>
  <c r="CB253" i="10"/>
  <c r="BZ250" i="10"/>
  <c r="BZ251" i="10"/>
  <c r="BU252" i="10"/>
  <c r="BQ254" i="10"/>
  <c r="BP252" i="10"/>
  <c r="BL250" i="10"/>
  <c r="BL251" i="10"/>
  <c r="BK252" i="10"/>
  <c r="BJ253" i="10"/>
  <c r="BH253" i="10"/>
  <c r="BG254" i="10"/>
  <c r="BF253" i="10"/>
  <c r="BD253" i="10"/>
  <c r="BB252" i="10"/>
  <c r="BA252" i="10"/>
  <c r="AY250" i="10"/>
  <c r="AY251" i="10"/>
  <c r="AX250" i="10"/>
  <c r="AX251" i="10"/>
  <c r="AV254" i="10"/>
  <c r="AU254" i="10"/>
  <c r="AT254" i="10"/>
  <c r="AS253" i="10"/>
  <c r="AQ254" i="10"/>
  <c r="AP253" i="10"/>
  <c r="AM250" i="10"/>
  <c r="AM251" i="10"/>
  <c r="AL250" i="10"/>
  <c r="AL251" i="10"/>
  <c r="AI252" i="10"/>
  <c r="AF253" i="10"/>
  <c r="AC254" i="10"/>
  <c r="Z252" i="10"/>
  <c r="Y254" i="10"/>
  <c r="W252" i="10"/>
  <c r="V252" i="10"/>
  <c r="O254" i="10"/>
  <c r="N250" i="10"/>
  <c r="N251" i="10"/>
  <c r="M253" i="10"/>
  <c r="J250" i="10"/>
  <c r="J251" i="10"/>
  <c r="I253" i="10"/>
  <c r="H254" i="10"/>
  <c r="E249" i="10"/>
  <c r="G254" i="10"/>
  <c r="Q238" i="10"/>
  <c r="BX255" i="7"/>
  <c r="CE205" i="10"/>
  <c r="BW205" i="10"/>
  <c r="BG205" i="10"/>
  <c r="AY205" i="10"/>
  <c r="O205" i="10"/>
  <c r="N205" i="10"/>
  <c r="AE255" i="7"/>
  <c r="BS255" i="7"/>
  <c r="CF255" i="7"/>
  <c r="CH241" i="10"/>
  <c r="E241" i="10" s="1"/>
  <c r="I232" i="7"/>
  <c r="I227" i="7"/>
  <c r="O233" i="7"/>
  <c r="O228" i="7"/>
  <c r="BA255" i="7"/>
  <c r="S255" i="7"/>
  <c r="AA255" i="7"/>
  <c r="BO255" i="7"/>
  <c r="CE255" i="7"/>
  <c r="E41" i="5"/>
  <c r="CH26" i="5"/>
  <c r="E26" i="5" s="1"/>
  <c r="CH199" i="5"/>
  <c r="E199" i="5" s="1"/>
  <c r="H224" i="7"/>
  <c r="H230" i="7"/>
  <c r="H225" i="7"/>
  <c r="AY255" i="7"/>
  <c r="CH250" i="10"/>
  <c r="K255" i="7"/>
  <c r="CF252" i="10"/>
  <c r="CB250" i="10"/>
  <c r="CB251" i="10"/>
  <c r="BX253" i="10"/>
  <c r="BW254" i="10"/>
  <c r="BU250" i="10"/>
  <c r="BU251" i="10"/>
  <c r="BP250" i="10"/>
  <c r="BP251" i="10"/>
  <c r="BN252" i="10"/>
  <c r="BL252" i="10"/>
  <c r="BK253" i="10"/>
  <c r="BJ254" i="10"/>
  <c r="BI250" i="10"/>
  <c r="BI251" i="10"/>
  <c r="BG250" i="10"/>
  <c r="BG251" i="10"/>
  <c r="BC254" i="10"/>
  <c r="BB250" i="10"/>
  <c r="BB251" i="10"/>
  <c r="BA253" i="10"/>
  <c r="AY254" i="10"/>
  <c r="AX252" i="10"/>
  <c r="AP252" i="10"/>
  <c r="AO253" i="10"/>
  <c r="AN253" i="10"/>
  <c r="AM252" i="10"/>
  <c r="AK250" i="10"/>
  <c r="AK251" i="10"/>
  <c r="AF250" i="10"/>
  <c r="AF251" i="10"/>
  <c r="AD250" i="10"/>
  <c r="AD251" i="10"/>
  <c r="AC252" i="10"/>
  <c r="AA253" i="10"/>
  <c r="W253" i="10"/>
  <c r="T250" i="10"/>
  <c r="T251" i="10"/>
  <c r="S252" i="10"/>
  <c r="R223" i="10"/>
  <c r="Q223" i="10"/>
  <c r="P254" i="10"/>
  <c r="O250" i="10"/>
  <c r="O251" i="10"/>
  <c r="N252" i="10"/>
  <c r="M223" i="10"/>
  <c r="L223" i="10"/>
  <c r="K222" i="10"/>
  <c r="J221" i="10"/>
  <c r="I220" i="10"/>
  <c r="H253" i="10"/>
  <c r="E246" i="10"/>
  <c r="G250" i="10"/>
  <c r="G251" i="10"/>
  <c r="P238" i="10"/>
  <c r="L238" i="10"/>
  <c r="J231" i="7"/>
  <c r="J226" i="7"/>
  <c r="AC255" i="7"/>
  <c r="AU255" i="7"/>
  <c r="V255" i="7"/>
  <c r="BD255" i="7"/>
  <c r="L255" i="7"/>
  <c r="Y255" i="7"/>
  <c r="I255" i="7"/>
  <c r="W255" i="7"/>
  <c r="CF241" i="7"/>
  <c r="G232" i="7"/>
  <c r="G227" i="7"/>
  <c r="N233" i="7"/>
  <c r="N228" i="7"/>
  <c r="O255" i="7"/>
  <c r="AX255" i="7"/>
  <c r="BW255" i="7"/>
  <c r="O232" i="7"/>
  <c r="O227" i="7"/>
  <c r="AG255" i="7"/>
  <c r="BK255" i="7"/>
  <c r="BO205" i="10"/>
  <c r="O230" i="7"/>
  <c r="O224" i="7"/>
  <c r="O225" i="7"/>
  <c r="N224" i="7"/>
  <c r="CD205" i="10"/>
  <c r="BV205" i="10"/>
  <c r="BN205" i="10"/>
  <c r="BF205" i="10"/>
  <c r="AX205" i="10"/>
  <c r="K205" i="10"/>
  <c r="I224" i="7"/>
  <c r="I230" i="7"/>
  <c r="I225" i="7"/>
  <c r="P255" i="7"/>
  <c r="AV255" i="7"/>
  <c r="CH255" i="7"/>
  <c r="CH256" i="5"/>
  <c r="BI256" i="5"/>
  <c r="W256" i="5"/>
  <c r="BP256" i="5"/>
  <c r="BS256" i="5"/>
  <c r="AR256" i="5"/>
  <c r="BT256" i="5"/>
  <c r="AH256" i="5"/>
  <c r="S256" i="5"/>
  <c r="BO256" i="5"/>
  <c r="CD256" i="5"/>
  <c r="AX256" i="5"/>
  <c r="R256" i="5"/>
  <c r="CC256" i="5"/>
  <c r="T256" i="5"/>
  <c r="H256" i="5"/>
  <c r="M256" i="5"/>
  <c r="G256" i="5"/>
  <c r="BB256" i="5"/>
  <c r="AI256" i="5"/>
  <c r="AG256" i="5"/>
  <c r="BA256" i="5"/>
  <c r="BX256" i="5"/>
  <c r="BE256" i="5"/>
  <c r="BL256" i="5"/>
  <c r="AJ256" i="5"/>
  <c r="AP256" i="5"/>
  <c r="CA256" i="5"/>
  <c r="AO256" i="5"/>
  <c r="J256" i="5"/>
  <c r="AL256" i="5"/>
  <c r="AQ256" i="5"/>
  <c r="AU256" i="5"/>
  <c r="L256" i="5"/>
  <c r="K256" i="5"/>
  <c r="AK256" i="5"/>
  <c r="AY256" i="5"/>
  <c r="AE256" i="5"/>
  <c r="BU256" i="5"/>
  <c r="V256" i="5"/>
  <c r="Q256" i="5"/>
  <c r="BV256" i="5"/>
  <c r="BF256" i="5"/>
  <c r="AN256" i="5"/>
  <c r="I256" i="5"/>
  <c r="AW256" i="5"/>
  <c r="U256" i="5"/>
  <c r="BY256" i="5"/>
  <c r="AM256" i="5"/>
  <c r="BW256" i="5"/>
  <c r="X256" i="5"/>
  <c r="BK256" i="5"/>
  <c r="BC256" i="5"/>
  <c r="BH256" i="5"/>
  <c r="AT256" i="5"/>
  <c r="AD256" i="5"/>
  <c r="CE256" i="5"/>
  <c r="BD256" i="5"/>
  <c r="Y256" i="5"/>
  <c r="AB256" i="5"/>
  <c r="N256" i="5"/>
  <c r="BJ256" i="5"/>
  <c r="BQ256" i="5"/>
  <c r="BG256" i="5"/>
  <c r="AV256" i="5"/>
  <c r="BR256" i="5"/>
  <c r="BN256" i="5"/>
  <c r="P256" i="5"/>
  <c r="CB256" i="5"/>
  <c r="CG256" i="5"/>
  <c r="CG260" i="5" s="1"/>
  <c r="BM256" i="5"/>
  <c r="AS256" i="5"/>
  <c r="AC256" i="5"/>
  <c r="O256" i="5"/>
  <c r="AZ256" i="5"/>
  <c r="AF256" i="5"/>
  <c r="AA256" i="5"/>
  <c r="CF256" i="5"/>
  <c r="BZ256" i="5"/>
  <c r="Z256" i="5"/>
  <c r="K233" i="7"/>
  <c r="K228" i="7"/>
  <c r="N232" i="7"/>
  <c r="N227" i="7"/>
  <c r="X255" i="7"/>
  <c r="CC255" i="7"/>
  <c r="AR255" i="7"/>
  <c r="BG255" i="7"/>
  <c r="BP255" i="7"/>
  <c r="CE254" i="10"/>
  <c r="CD253" i="10"/>
  <c r="CB252" i="10"/>
  <c r="CA254" i="10"/>
  <c r="BY253" i="10"/>
  <c r="BW252" i="10"/>
  <c r="BV253" i="10"/>
  <c r="BU253" i="10"/>
  <c r="BS250" i="10"/>
  <c r="BS251" i="10"/>
  <c r="BQ250" i="10"/>
  <c r="BQ251" i="10"/>
  <c r="BP254" i="10"/>
  <c r="BO253" i="10"/>
  <c r="BH252" i="10"/>
  <c r="BG252" i="10"/>
  <c r="BF252" i="10"/>
  <c r="BE254" i="10"/>
  <c r="BC250" i="10"/>
  <c r="BC251" i="10"/>
  <c r="BB253" i="10"/>
  <c r="BA254" i="10"/>
  <c r="AZ253" i="10"/>
  <c r="AX254" i="10"/>
  <c r="AU250" i="10"/>
  <c r="AU251" i="10"/>
  <c r="AT250" i="10"/>
  <c r="AT251" i="10"/>
  <c r="AR254" i="10"/>
  <c r="AO254" i="10"/>
  <c r="AM253" i="10"/>
  <c r="AF252" i="10"/>
  <c r="AD252" i="10"/>
  <c r="AC253" i="10"/>
  <c r="AA254" i="10"/>
  <c r="Y253" i="10"/>
  <c r="T252" i="10"/>
  <c r="S253" i="10"/>
  <c r="R254" i="10"/>
  <c r="Q253" i="10"/>
  <c r="P222" i="10"/>
  <c r="O252" i="10"/>
  <c r="N220" i="10"/>
  <c r="M254" i="10"/>
  <c r="L250" i="10"/>
  <c r="L251" i="10"/>
  <c r="K221" i="10"/>
  <c r="J222" i="10"/>
  <c r="I221" i="10"/>
  <c r="H250" i="10"/>
  <c r="H251" i="10"/>
  <c r="E247" i="10"/>
  <c r="G252" i="10"/>
  <c r="O238" i="10"/>
  <c r="H238" i="10"/>
  <c r="CC260" i="5" l="1"/>
  <c r="AK255" i="10"/>
  <c r="CB260" i="5"/>
  <c r="K255" i="10"/>
  <c r="CA260" i="5"/>
  <c r="I234" i="7"/>
  <c r="BS255" i="10"/>
  <c r="CD260" i="5"/>
  <c r="H266" i="7"/>
  <c r="R229" i="7"/>
  <c r="R235" i="7" s="1"/>
  <c r="R215" i="7" s="1"/>
  <c r="AU255" i="10"/>
  <c r="J255" i="10"/>
  <c r="H255" i="10"/>
  <c r="CE260" i="5"/>
  <c r="CH260" i="5"/>
  <c r="CF260" i="5"/>
  <c r="AT255" i="10"/>
  <c r="BC255" i="10"/>
  <c r="M234" i="7"/>
  <c r="Q229" i="7"/>
  <c r="Q235" i="7" s="1"/>
  <c r="Q215" i="7" s="1"/>
  <c r="X255" i="10"/>
  <c r="AL255" i="10"/>
  <c r="L234" i="7"/>
  <c r="S255" i="10"/>
  <c r="BG255" i="10"/>
  <c r="BP255" i="10"/>
  <c r="BM255" i="10"/>
  <c r="AF255" i="10"/>
  <c r="BU255" i="10"/>
  <c r="AM255" i="10"/>
  <c r="AX255" i="10"/>
  <c r="U255" i="10"/>
  <c r="AN255" i="10"/>
  <c r="BF255" i="10"/>
  <c r="AE255" i="10"/>
  <c r="BT255" i="10"/>
  <c r="BB255" i="10"/>
  <c r="BL255" i="10"/>
  <c r="Q234" i="7"/>
  <c r="N229" i="7"/>
  <c r="N235" i="7" s="1"/>
  <c r="N215" i="7" s="1"/>
  <c r="O229" i="7"/>
  <c r="O235" i="7" s="1"/>
  <c r="O215" i="7" s="1"/>
  <c r="I266" i="7"/>
  <c r="J266" i="7" s="1"/>
  <c r="K266" i="7" s="1"/>
  <c r="L266" i="7" s="1"/>
  <c r="M266" i="7" s="1"/>
  <c r="N266" i="7" s="1"/>
  <c r="R234" i="7"/>
  <c r="G234" i="7"/>
  <c r="BQ255" i="10"/>
  <c r="BZ260" i="5"/>
  <c r="CH261" i="5"/>
  <c r="CH265" i="5" s="1"/>
  <c r="BM260" i="5"/>
  <c r="BU261" i="5"/>
  <c r="BU265" i="5" s="1"/>
  <c r="BQ260" i="5"/>
  <c r="BY261" i="5"/>
  <c r="BY265" i="5" s="1"/>
  <c r="AT260" i="5"/>
  <c r="BB261" i="5"/>
  <c r="BB265" i="5" s="1"/>
  <c r="U260" i="5"/>
  <c r="AC261" i="5"/>
  <c r="AC265" i="5" s="1"/>
  <c r="BU260" i="5"/>
  <c r="CC261" i="5"/>
  <c r="CC265" i="5" s="1"/>
  <c r="AL260" i="5"/>
  <c r="AT261" i="5"/>
  <c r="AT265" i="5" s="1"/>
  <c r="BX260" i="5"/>
  <c r="CF261" i="5"/>
  <c r="CF265" i="5" s="1"/>
  <c r="T260" i="5"/>
  <c r="AB261" i="5"/>
  <c r="AB265" i="5" s="1"/>
  <c r="BT260" i="5"/>
  <c r="CB261" i="5"/>
  <c r="CB265" i="5" s="1"/>
  <c r="J231" i="10"/>
  <c r="J226" i="10"/>
  <c r="H234" i="7"/>
  <c r="R255" i="10"/>
  <c r="CH258" i="7"/>
  <c r="AK258" i="7"/>
  <c r="BA263" i="7" s="1"/>
  <c r="BS258" i="7"/>
  <c r="BC258" i="7"/>
  <c r="BS263" i="7" s="1"/>
  <c r="H258" i="7"/>
  <c r="X263" i="7" s="1"/>
  <c r="BF258" i="7"/>
  <c r="BV263" i="7" s="1"/>
  <c r="AZ258" i="7"/>
  <c r="BP263" i="7" s="1"/>
  <c r="BH258" i="7"/>
  <c r="BX263" i="7" s="1"/>
  <c r="AH258" i="7"/>
  <c r="AX263" i="7" s="1"/>
  <c r="N258" i="7"/>
  <c r="AD263" i="7" s="1"/>
  <c r="J258" i="7"/>
  <c r="Z263" i="7" s="1"/>
  <c r="CE258" i="7"/>
  <c r="V258" i="7"/>
  <c r="AL263" i="7" s="1"/>
  <c r="AS258" i="7"/>
  <c r="BI263" i="7" s="1"/>
  <c r="U258" i="7"/>
  <c r="AK263" i="7" s="1"/>
  <c r="AD258" i="7"/>
  <c r="AT263" i="7" s="1"/>
  <c r="X258" i="7"/>
  <c r="AN263" i="7" s="1"/>
  <c r="Y258" i="7"/>
  <c r="AO263" i="7" s="1"/>
  <c r="CF258" i="7"/>
  <c r="CG258" i="7"/>
  <c r="BP258" i="7"/>
  <c r="CF263" i="7" s="1"/>
  <c r="L258" i="7"/>
  <c r="AB263" i="7" s="1"/>
  <c r="CD258" i="7"/>
  <c r="BO258" i="7"/>
  <c r="CE263" i="7" s="1"/>
  <c r="AA258" i="7"/>
  <c r="AQ263" i="7" s="1"/>
  <c r="BW258" i="7"/>
  <c r="AT258" i="7"/>
  <c r="BJ263" i="7" s="1"/>
  <c r="R258" i="7"/>
  <c r="AH263" i="7" s="1"/>
  <c r="BR258" i="7"/>
  <c r="CH263" i="7" s="1"/>
  <c r="CB258" i="7"/>
  <c r="O258" i="7"/>
  <c r="AE263" i="7" s="1"/>
  <c r="M258" i="7"/>
  <c r="AC263" i="7" s="1"/>
  <c r="G258" i="7"/>
  <c r="BU258" i="7"/>
  <c r="BT258" i="7"/>
  <c r="AU258" i="7"/>
  <c r="BK263" i="7" s="1"/>
  <c r="CC258" i="7"/>
  <c r="BJ258" i="7"/>
  <c r="BZ263" i="7" s="1"/>
  <c r="BN258" i="7"/>
  <c r="CD263" i="7" s="1"/>
  <c r="Z258" i="7"/>
  <c r="AP263" i="7" s="1"/>
  <c r="BV258" i="7"/>
  <c r="BK258" i="7"/>
  <c r="CA263" i="7" s="1"/>
  <c r="AF258" i="7"/>
  <c r="AV263" i="7" s="1"/>
  <c r="AW258" i="7"/>
  <c r="BM263" i="7" s="1"/>
  <c r="AN258" i="7"/>
  <c r="BD263" i="7" s="1"/>
  <c r="AP258" i="7"/>
  <c r="BF263" i="7" s="1"/>
  <c r="AC258" i="7"/>
  <c r="AS263" i="7" s="1"/>
  <c r="BQ258" i="7"/>
  <c r="CG263" i="7" s="1"/>
  <c r="BL258" i="7"/>
  <c r="CB263" i="7" s="1"/>
  <c r="AX258" i="7"/>
  <c r="BN263" i="7" s="1"/>
  <c r="S258" i="7"/>
  <c r="AI263" i="7" s="1"/>
  <c r="BA258" i="7"/>
  <c r="BQ263" i="7" s="1"/>
  <c r="Q258" i="7"/>
  <c r="AG263" i="7" s="1"/>
  <c r="BE258" i="7"/>
  <c r="BU263" i="7" s="1"/>
  <c r="AJ258" i="7"/>
  <c r="AZ263" i="7" s="1"/>
  <c r="CA258" i="7"/>
  <c r="BM258" i="7"/>
  <c r="CC263" i="7" s="1"/>
  <c r="BY258" i="7"/>
  <c r="AV258" i="7"/>
  <c r="BL263" i="7" s="1"/>
  <c r="AR258" i="7"/>
  <c r="BH263" i="7" s="1"/>
  <c r="AL258" i="7"/>
  <c r="BB263" i="7" s="1"/>
  <c r="K258" i="7"/>
  <c r="AA263" i="7" s="1"/>
  <c r="AY258" i="7"/>
  <c r="BO263" i="7" s="1"/>
  <c r="AO258" i="7"/>
  <c r="BE263" i="7" s="1"/>
  <c r="AE258" i="7"/>
  <c r="AU263" i="7" s="1"/>
  <c r="BX258" i="7"/>
  <c r="AQ258" i="7"/>
  <c r="BG263" i="7" s="1"/>
  <c r="I258" i="7"/>
  <c r="Y263" i="7" s="1"/>
  <c r="BB258" i="7"/>
  <c r="BR263" i="7" s="1"/>
  <c r="BI258" i="7"/>
  <c r="BY263" i="7" s="1"/>
  <c r="T258" i="7"/>
  <c r="AJ263" i="7" s="1"/>
  <c r="BD258" i="7"/>
  <c r="BT263" i="7" s="1"/>
  <c r="P258" i="7"/>
  <c r="AF263" i="7" s="1"/>
  <c r="BG258" i="7"/>
  <c r="BW263" i="7" s="1"/>
  <c r="AG258" i="7"/>
  <c r="AW263" i="7" s="1"/>
  <c r="BZ258" i="7"/>
  <c r="AM258" i="7"/>
  <c r="BC263" i="7" s="1"/>
  <c r="AB258" i="7"/>
  <c r="AR263" i="7" s="1"/>
  <c r="W258" i="7"/>
  <c r="AM263" i="7" s="1"/>
  <c r="AI258" i="7"/>
  <c r="AY263" i="7" s="1"/>
  <c r="K223" i="10"/>
  <c r="L222" i="10"/>
  <c r="P221" i="10"/>
  <c r="Q221" i="10"/>
  <c r="R220" i="10"/>
  <c r="K238" i="10"/>
  <c r="G221" i="10"/>
  <c r="H222" i="10"/>
  <c r="K220" i="10"/>
  <c r="L220" i="10"/>
  <c r="O222" i="10"/>
  <c r="R222" i="10"/>
  <c r="H221" i="10"/>
  <c r="M220" i="10"/>
  <c r="O221" i="10"/>
  <c r="P223" i="10"/>
  <c r="M238" i="10"/>
  <c r="G220" i="10"/>
  <c r="I223" i="10"/>
  <c r="N221" i="10"/>
  <c r="J238" i="10"/>
  <c r="G223" i="10"/>
  <c r="H220" i="10"/>
  <c r="I222" i="10"/>
  <c r="M222" i="10"/>
  <c r="N223" i="10"/>
  <c r="P220" i="10"/>
  <c r="Q222" i="10"/>
  <c r="R221" i="10"/>
  <c r="AS255" i="10"/>
  <c r="AZ255" i="10"/>
  <c r="E119" i="3"/>
  <c r="F13" i="3"/>
  <c r="G205" i="10"/>
  <c r="AZ205" i="10"/>
  <c r="BH205" i="10"/>
  <c r="BX205" i="10"/>
  <c r="AU205" i="10"/>
  <c r="CA205" i="10"/>
  <c r="BM205" i="10"/>
  <c r="BE205" i="10"/>
  <c r="P205" i="10"/>
  <c r="BP205" i="10"/>
  <c r="CF205" i="10"/>
  <c r="BC205" i="10"/>
  <c r="L205" i="10"/>
  <c r="BU205" i="10"/>
  <c r="H205" i="10"/>
  <c r="BK205" i="10"/>
  <c r="BS205" i="10"/>
  <c r="M205" i="10"/>
  <c r="AV205" i="10"/>
  <c r="BD205" i="10"/>
  <c r="BL205" i="10"/>
  <c r="BT205" i="10"/>
  <c r="CB205" i="10"/>
  <c r="AW205" i="10"/>
  <c r="CC205" i="10"/>
  <c r="F13" i="6"/>
  <c r="E119" i="6"/>
  <c r="L205" i="7"/>
  <c r="BL205" i="7"/>
  <c r="K205" i="7"/>
  <c r="R205" i="7"/>
  <c r="BB205" i="7"/>
  <c r="BJ205" i="7"/>
  <c r="BR205" i="7"/>
  <c r="BZ205" i="7"/>
  <c r="BD205" i="7"/>
  <c r="I205" i="7"/>
  <c r="AU205" i="7"/>
  <c r="BC205" i="7"/>
  <c r="BK205" i="7"/>
  <c r="BS205" i="7"/>
  <c r="CA205" i="7"/>
  <c r="M205" i="7"/>
  <c r="AW205" i="7"/>
  <c r="BE205" i="7"/>
  <c r="BM205" i="7"/>
  <c r="BU205" i="7"/>
  <c r="CC205" i="7"/>
  <c r="CH205" i="7"/>
  <c r="BT205" i="7"/>
  <c r="G205" i="7"/>
  <c r="AX205" i="7"/>
  <c r="BF205" i="7"/>
  <c r="BN205" i="7"/>
  <c r="BV205" i="7"/>
  <c r="CD205" i="7"/>
  <c r="BO205" i="7"/>
  <c r="O205" i="7"/>
  <c r="H205" i="7"/>
  <c r="AY205" i="7"/>
  <c r="BG205" i="7"/>
  <c r="BW205" i="7"/>
  <c r="CE205" i="7"/>
  <c r="N205" i="7"/>
  <c r="P205" i="7"/>
  <c r="AZ205" i="7"/>
  <c r="BH205" i="7"/>
  <c r="BP205" i="7"/>
  <c r="BX205" i="7"/>
  <c r="CF205" i="7"/>
  <c r="J205" i="7"/>
  <c r="Q205" i="7"/>
  <c r="BA205" i="7"/>
  <c r="BI205" i="7"/>
  <c r="BQ205" i="7"/>
  <c r="BY205" i="7"/>
  <c r="CG205" i="7"/>
  <c r="AV205" i="7"/>
  <c r="CB205" i="7"/>
  <c r="AR255" i="10"/>
  <c r="M231" i="5"/>
  <c r="M226" i="5"/>
  <c r="G231" i="5"/>
  <c r="G226" i="5"/>
  <c r="N233" i="5"/>
  <c r="N228" i="5"/>
  <c r="P224" i="5"/>
  <c r="P230" i="5"/>
  <c r="P225" i="5"/>
  <c r="Q231" i="5"/>
  <c r="Q226" i="5"/>
  <c r="Q232" i="5"/>
  <c r="Q227" i="5"/>
  <c r="O230" i="5"/>
  <c r="O224" i="5"/>
  <c r="O225" i="5"/>
  <c r="CG255" i="10"/>
  <c r="AB260" i="5"/>
  <c r="AJ261" i="5"/>
  <c r="AJ265" i="5" s="1"/>
  <c r="AI260" i="5"/>
  <c r="AQ261" i="5"/>
  <c r="AQ265" i="5" s="1"/>
  <c r="Q233" i="10"/>
  <c r="Q228" i="10"/>
  <c r="I231" i="10"/>
  <c r="I226" i="10"/>
  <c r="AZ260" i="5"/>
  <c r="BH261" i="5"/>
  <c r="BH265" i="5" s="1"/>
  <c r="BN260" i="5"/>
  <c r="BV261" i="5"/>
  <c r="BV265" i="5" s="1"/>
  <c r="Y260" i="5"/>
  <c r="AG261" i="5"/>
  <c r="AG265" i="5" s="1"/>
  <c r="X260" i="5"/>
  <c r="AF261" i="5"/>
  <c r="AF265" i="5" s="1"/>
  <c r="BF260" i="5"/>
  <c r="BN261" i="5"/>
  <c r="BN265" i="5" s="1"/>
  <c r="K260" i="5"/>
  <c r="S261" i="5"/>
  <c r="AP260" i="5"/>
  <c r="AX261" i="5"/>
  <c r="AX265" i="5" s="1"/>
  <c r="BB260" i="5"/>
  <c r="BJ261" i="5"/>
  <c r="BJ265" i="5" s="1"/>
  <c r="W260" i="5"/>
  <c r="AE261" i="5"/>
  <c r="E252" i="10"/>
  <c r="BJ260" i="5"/>
  <c r="BR261" i="5"/>
  <c r="BR265" i="5" s="1"/>
  <c r="BH260" i="5"/>
  <c r="BP261" i="5"/>
  <c r="BP265" i="5" s="1"/>
  <c r="AW260" i="5"/>
  <c r="BE261" i="5"/>
  <c r="BE265" i="5" s="1"/>
  <c r="AE260" i="5"/>
  <c r="AM261" i="5"/>
  <c r="AM265" i="5" s="1"/>
  <c r="J260" i="5"/>
  <c r="R261" i="5"/>
  <c r="R265" i="5" s="1"/>
  <c r="BA260" i="5"/>
  <c r="BI261" i="5"/>
  <c r="BI265" i="5" s="1"/>
  <c r="AR260" i="5"/>
  <c r="AZ261" i="5"/>
  <c r="AZ265" i="5" s="1"/>
  <c r="G255" i="10"/>
  <c r="G266" i="10" s="1"/>
  <c r="H266" i="10" s="1"/>
  <c r="E251" i="10"/>
  <c r="K232" i="10"/>
  <c r="K227" i="10"/>
  <c r="V255" i="10"/>
  <c r="AC239" i="7"/>
  <c r="AH255" i="10"/>
  <c r="CH10" i="11"/>
  <c r="E8" i="11"/>
  <c r="Y255" i="10"/>
  <c r="BO255" i="10"/>
  <c r="BV255" i="10"/>
  <c r="BK256" i="7"/>
  <c r="AG256" i="7"/>
  <c r="K256" i="7"/>
  <c r="AY256" i="7"/>
  <c r="CE256" i="7"/>
  <c r="BO256" i="7"/>
  <c r="AX256" i="7"/>
  <c r="AA256" i="7"/>
  <c r="S256" i="7"/>
  <c r="O256" i="7"/>
  <c r="BA256" i="7"/>
  <c r="CF256" i="7"/>
  <c r="AM256" i="7"/>
  <c r="BX256" i="7"/>
  <c r="BE256" i="7"/>
  <c r="W256" i="7"/>
  <c r="I256" i="7"/>
  <c r="AD256" i="7"/>
  <c r="BR256" i="7"/>
  <c r="G256" i="7"/>
  <c r="CD256" i="7"/>
  <c r="BN256" i="7"/>
  <c r="AJ256" i="7"/>
  <c r="AT256" i="7"/>
  <c r="BZ256" i="7"/>
  <c r="AW256" i="7"/>
  <c r="AZ256" i="7"/>
  <c r="BF256" i="7"/>
  <c r="BM256" i="7"/>
  <c r="AO256" i="7"/>
  <c r="BL256" i="7"/>
  <c r="CH256" i="7"/>
  <c r="P256" i="7"/>
  <c r="BC256" i="7"/>
  <c r="BW256" i="7"/>
  <c r="J256" i="7"/>
  <c r="BV256" i="7"/>
  <c r="AN256" i="7"/>
  <c r="AH256" i="7"/>
  <c r="R256" i="7"/>
  <c r="BU256" i="7"/>
  <c r="BT256" i="7"/>
  <c r="T256" i="7"/>
  <c r="BB256" i="7"/>
  <c r="AS256" i="7"/>
  <c r="Z256" i="7"/>
  <c r="AV256" i="7"/>
  <c r="BS256" i="7"/>
  <c r="AE256" i="7"/>
  <c r="BJ256" i="7"/>
  <c r="Y256" i="7"/>
  <c r="CB256" i="7"/>
  <c r="M256" i="7"/>
  <c r="CA256" i="7"/>
  <c r="AU256" i="7"/>
  <c r="AP256" i="7"/>
  <c r="L256" i="7"/>
  <c r="BY256" i="7"/>
  <c r="BQ256" i="7"/>
  <c r="N256" i="7"/>
  <c r="Q256" i="7"/>
  <c r="AL256" i="7"/>
  <c r="U256" i="7"/>
  <c r="BH256" i="7"/>
  <c r="BD256" i="7"/>
  <c r="V256" i="7"/>
  <c r="CG256" i="7"/>
  <c r="AK256" i="7"/>
  <c r="AC256" i="7"/>
  <c r="AI256" i="7"/>
  <c r="X256" i="7"/>
  <c r="CC256" i="7"/>
  <c r="BI256" i="7"/>
  <c r="AQ256" i="7"/>
  <c r="AF256" i="7"/>
  <c r="AB256" i="7"/>
  <c r="H256" i="7"/>
  <c r="BP256" i="7"/>
  <c r="BG256" i="7"/>
  <c r="AR256" i="7"/>
  <c r="L231" i="5"/>
  <c r="L226" i="5"/>
  <c r="J224" i="5"/>
  <c r="J230" i="5"/>
  <c r="J225" i="5"/>
  <c r="N230" i="5"/>
  <c r="N224" i="5"/>
  <c r="N225" i="5"/>
  <c r="O232" i="5"/>
  <c r="O227" i="5"/>
  <c r="L232" i="5"/>
  <c r="L227" i="5"/>
  <c r="N231" i="5"/>
  <c r="N226" i="5"/>
  <c r="J229" i="7"/>
  <c r="J235" i="7" s="1"/>
  <c r="J215" i="7" s="1"/>
  <c r="Q220" i="10"/>
  <c r="AA255" i="10"/>
  <c r="P260" i="5"/>
  <c r="X261" i="5"/>
  <c r="X265" i="5" s="1"/>
  <c r="BK260" i="5"/>
  <c r="BS261" i="5"/>
  <c r="BS265" i="5" s="1"/>
  <c r="AN260" i="5"/>
  <c r="AV261" i="5"/>
  <c r="AV265" i="5" s="1"/>
  <c r="AK260" i="5"/>
  <c r="AS261" i="5"/>
  <c r="AS265" i="5" s="1"/>
  <c r="AX260" i="5"/>
  <c r="BF261" i="5"/>
  <c r="BF265" i="5" s="1"/>
  <c r="R233" i="10"/>
  <c r="R228" i="10"/>
  <c r="AA260" i="5"/>
  <c r="AI261" i="5"/>
  <c r="AI265" i="5" s="1"/>
  <c r="N260" i="5"/>
  <c r="V261" i="5"/>
  <c r="V265" i="5" s="1"/>
  <c r="BC260" i="5"/>
  <c r="BK261" i="5"/>
  <c r="BK265" i="5" s="1"/>
  <c r="I260" i="5"/>
  <c r="Q261" i="5"/>
  <c r="Q265" i="5" s="1"/>
  <c r="AY260" i="5"/>
  <c r="BG261" i="5"/>
  <c r="BG265" i="5" s="1"/>
  <c r="AO260" i="5"/>
  <c r="AW261" i="5"/>
  <c r="AW265" i="5" s="1"/>
  <c r="AG260" i="5"/>
  <c r="AO261" i="5"/>
  <c r="AO265" i="5" s="1"/>
  <c r="R260" i="5"/>
  <c r="Z261" i="5"/>
  <c r="Z265" i="5" s="1"/>
  <c r="BS260" i="5"/>
  <c r="CA261" i="5"/>
  <c r="CA265" i="5" s="1"/>
  <c r="E250" i="10"/>
  <c r="L233" i="10"/>
  <c r="L228" i="10"/>
  <c r="E254" i="10"/>
  <c r="BZ255" i="10"/>
  <c r="CG241" i="5"/>
  <c r="O230" i="10"/>
  <c r="O225" i="10"/>
  <c r="BK255" i="10"/>
  <c r="BY255" i="10"/>
  <c r="E255" i="7"/>
  <c r="AP255" i="10"/>
  <c r="J232" i="5"/>
  <c r="J227" i="5"/>
  <c r="J231" i="5"/>
  <c r="J226" i="5"/>
  <c r="R231" i="5"/>
  <c r="R226" i="5"/>
  <c r="M232" i="5"/>
  <c r="M227" i="5"/>
  <c r="L224" i="5"/>
  <c r="L230" i="5"/>
  <c r="L225" i="5"/>
  <c r="I232" i="5"/>
  <c r="I227" i="5"/>
  <c r="J233" i="5"/>
  <c r="J228" i="5"/>
  <c r="L221" i="10"/>
  <c r="BJ255" i="10"/>
  <c r="CD255" i="10"/>
  <c r="AV255" i="10"/>
  <c r="E257" i="5"/>
  <c r="S262" i="5"/>
  <c r="E262" i="5" s="1"/>
  <c r="L229" i="7"/>
  <c r="L235" i="7" s="1"/>
  <c r="L215" i="7" s="1"/>
  <c r="E258" i="5"/>
  <c r="W263" i="5"/>
  <c r="E263" i="5" s="1"/>
  <c r="AB255" i="10"/>
  <c r="BN255" i="10"/>
  <c r="R232" i="5"/>
  <c r="R227" i="5"/>
  <c r="P232" i="5"/>
  <c r="P227" i="5"/>
  <c r="H230" i="5"/>
  <c r="H224" i="5"/>
  <c r="H225" i="5"/>
  <c r="N232" i="5"/>
  <c r="N227" i="5"/>
  <c r="Q233" i="5"/>
  <c r="Q228" i="5"/>
  <c r="K231" i="5"/>
  <c r="K226" i="5"/>
  <c r="G232" i="5"/>
  <c r="G227" i="5"/>
  <c r="H232" i="5"/>
  <c r="H227" i="5"/>
  <c r="J234" i="7"/>
  <c r="M221" i="10"/>
  <c r="AI255" i="10"/>
  <c r="BA255" i="10"/>
  <c r="P233" i="5"/>
  <c r="P228" i="5"/>
  <c r="K232" i="5"/>
  <c r="K227" i="5"/>
  <c r="K233" i="5"/>
  <c r="K228" i="5"/>
  <c r="O233" i="5"/>
  <c r="O228" i="5"/>
  <c r="I224" i="5"/>
  <c r="I230" i="5"/>
  <c r="I225" i="5"/>
  <c r="I233" i="5"/>
  <c r="I228" i="5"/>
  <c r="I255" i="10"/>
  <c r="N222" i="10"/>
  <c r="AF260" i="5"/>
  <c r="AN261" i="5"/>
  <c r="AN265" i="5" s="1"/>
  <c r="M233" i="10"/>
  <c r="M228" i="10"/>
  <c r="G232" i="10"/>
  <c r="G227" i="10"/>
  <c r="N230" i="10"/>
  <c r="N225" i="10"/>
  <c r="F13" i="4"/>
  <c r="E119" i="4"/>
  <c r="L205" i="5"/>
  <c r="AU205" i="5"/>
  <c r="BC205" i="5"/>
  <c r="BK205" i="5"/>
  <c r="BS205" i="5"/>
  <c r="CA205" i="5"/>
  <c r="P205" i="5"/>
  <c r="AV205" i="5"/>
  <c r="BD205" i="5"/>
  <c r="BL205" i="5"/>
  <c r="BT205" i="5"/>
  <c r="CB205" i="5"/>
  <c r="N205" i="5"/>
  <c r="AW205" i="5"/>
  <c r="BE205" i="5"/>
  <c r="BM205" i="5"/>
  <c r="BU205" i="5"/>
  <c r="CC205" i="5"/>
  <c r="CH205" i="5"/>
  <c r="M205" i="5"/>
  <c r="AX205" i="5"/>
  <c r="BF205" i="5"/>
  <c r="BN205" i="5"/>
  <c r="BV205" i="5"/>
  <c r="CD205" i="5"/>
  <c r="I205" i="5"/>
  <c r="H205" i="5"/>
  <c r="AY205" i="5"/>
  <c r="BG205" i="5"/>
  <c r="BO205" i="5"/>
  <c r="BW205" i="5"/>
  <c r="CE205" i="5"/>
  <c r="BJ205" i="5"/>
  <c r="R205" i="5"/>
  <c r="BY205" i="5"/>
  <c r="BB205" i="5"/>
  <c r="BH205" i="5"/>
  <c r="J205" i="5"/>
  <c r="BQ205" i="5"/>
  <c r="O205" i="5"/>
  <c r="BI205" i="5"/>
  <c r="K205" i="5"/>
  <c r="BA205" i="5"/>
  <c r="BZ205" i="5"/>
  <c r="Q205" i="5"/>
  <c r="CF205" i="5"/>
  <c r="BR205" i="5"/>
  <c r="G205" i="5"/>
  <c r="BX205" i="5"/>
  <c r="BP205" i="5"/>
  <c r="CG205" i="5"/>
  <c r="AZ205" i="5"/>
  <c r="AV257" i="7"/>
  <c r="BH262" i="7" s="1"/>
  <c r="P257" i="7"/>
  <c r="AB262" i="7" s="1"/>
  <c r="BH257" i="7"/>
  <c r="BT262" i="7" s="1"/>
  <c r="AE257" i="7"/>
  <c r="AQ262" i="7" s="1"/>
  <c r="Y257" i="7"/>
  <c r="AK262" i="7" s="1"/>
  <c r="BC257" i="7"/>
  <c r="BO262" i="7" s="1"/>
  <c r="AB257" i="7"/>
  <c r="AN262" i="7" s="1"/>
  <c r="T257" i="7"/>
  <c r="AF262" i="7" s="1"/>
  <c r="CE257" i="7"/>
  <c r="BN257" i="7"/>
  <c r="BZ262" i="7" s="1"/>
  <c r="AX257" i="7"/>
  <c r="BJ262" i="7" s="1"/>
  <c r="H257" i="7"/>
  <c r="T262" i="7" s="1"/>
  <c r="U257" i="7"/>
  <c r="AG262" i="7" s="1"/>
  <c r="BI257" i="7"/>
  <c r="BU262" i="7" s="1"/>
  <c r="AO257" i="7"/>
  <c r="BA262" i="7" s="1"/>
  <c r="Z257" i="7"/>
  <c r="AL262" i="7" s="1"/>
  <c r="BE257" i="7"/>
  <c r="BQ262" i="7" s="1"/>
  <c r="AY257" i="7"/>
  <c r="BK262" i="7" s="1"/>
  <c r="BG257" i="7"/>
  <c r="BS262" i="7" s="1"/>
  <c r="AZ257" i="7"/>
  <c r="BL262" i="7" s="1"/>
  <c r="BB257" i="7"/>
  <c r="BN262" i="7" s="1"/>
  <c r="AK257" i="7"/>
  <c r="AW262" i="7" s="1"/>
  <c r="R257" i="7"/>
  <c r="AD262" i="7" s="1"/>
  <c r="BT257" i="7"/>
  <c r="CF262" i="7" s="1"/>
  <c r="AH257" i="7"/>
  <c r="AT262" i="7" s="1"/>
  <c r="K257" i="7"/>
  <c r="W262" i="7" s="1"/>
  <c r="M257" i="7"/>
  <c r="Y262" i="7" s="1"/>
  <c r="BV257" i="7"/>
  <c r="CH262" i="7" s="1"/>
  <c r="BO257" i="7"/>
  <c r="CA262" i="7" s="1"/>
  <c r="AA257" i="7"/>
  <c r="AM262" i="7" s="1"/>
  <c r="BY257" i="7"/>
  <c r="BS257" i="7"/>
  <c r="CE262" i="7" s="1"/>
  <c r="AP257" i="7"/>
  <c r="BB262" i="7" s="1"/>
  <c r="AG257" i="7"/>
  <c r="AS262" i="7" s="1"/>
  <c r="CC257" i="7"/>
  <c r="AQ257" i="7"/>
  <c r="BC262" i="7" s="1"/>
  <c r="AI257" i="7"/>
  <c r="AU262" i="7" s="1"/>
  <c r="BM257" i="7"/>
  <c r="BY262" i="7" s="1"/>
  <c r="BK257" i="7"/>
  <c r="BW262" i="7" s="1"/>
  <c r="AF257" i="7"/>
  <c r="AR262" i="7" s="1"/>
  <c r="BZ257" i="7"/>
  <c r="AT257" i="7"/>
  <c r="BF262" i="7" s="1"/>
  <c r="BD257" i="7"/>
  <c r="BP262" i="7" s="1"/>
  <c r="CD257" i="7"/>
  <c r="BJ257" i="7"/>
  <c r="BV262" i="7" s="1"/>
  <c r="AR257" i="7"/>
  <c r="BD262" i="7" s="1"/>
  <c r="AS257" i="7"/>
  <c r="BE262" i="7" s="1"/>
  <c r="Q257" i="7"/>
  <c r="AC262" i="7" s="1"/>
  <c r="BL257" i="7"/>
  <c r="BX262" i="7" s="1"/>
  <c r="BX257" i="7"/>
  <c r="N257" i="7"/>
  <c r="Z262" i="7" s="1"/>
  <c r="AM257" i="7"/>
  <c r="AY262" i="7" s="1"/>
  <c r="BW257" i="7"/>
  <c r="S257" i="7"/>
  <c r="AE262" i="7" s="1"/>
  <c r="AJ257" i="7"/>
  <c r="AV262" i="7" s="1"/>
  <c r="I257" i="7"/>
  <c r="U262" i="7" s="1"/>
  <c r="BF257" i="7"/>
  <c r="BR262" i="7" s="1"/>
  <c r="BP257" i="7"/>
  <c r="CB262" i="7" s="1"/>
  <c r="BR257" i="7"/>
  <c r="CD262" i="7" s="1"/>
  <c r="AN257" i="7"/>
  <c r="AZ262" i="7" s="1"/>
  <c r="L257" i="7"/>
  <c r="X262" i="7" s="1"/>
  <c r="BU257" i="7"/>
  <c r="CG262" i="7" s="1"/>
  <c r="CH257" i="7"/>
  <c r="V257" i="7"/>
  <c r="AH262" i="7" s="1"/>
  <c r="CG257" i="7"/>
  <c r="AD257" i="7"/>
  <c r="AP262" i="7" s="1"/>
  <c r="J257" i="7"/>
  <c r="V262" i="7" s="1"/>
  <c r="AW257" i="7"/>
  <c r="BI262" i="7" s="1"/>
  <c r="AL257" i="7"/>
  <c r="AX262" i="7" s="1"/>
  <c r="O257" i="7"/>
  <c r="AA262" i="7" s="1"/>
  <c r="CB257" i="7"/>
  <c r="X257" i="7"/>
  <c r="AJ262" i="7" s="1"/>
  <c r="G257" i="7"/>
  <c r="AC257" i="7"/>
  <c r="AO262" i="7" s="1"/>
  <c r="BA257" i="7"/>
  <c r="BM262" i="7" s="1"/>
  <c r="AU257" i="7"/>
  <c r="BG262" i="7" s="1"/>
  <c r="CF257" i="7"/>
  <c r="BQ257" i="7"/>
  <c r="CC262" i="7" s="1"/>
  <c r="CA257" i="7"/>
  <c r="W257" i="7"/>
  <c r="AI262" i="7" s="1"/>
  <c r="H233" i="10"/>
  <c r="H228" i="10"/>
  <c r="AC255" i="10"/>
  <c r="Z255" i="10"/>
  <c r="AG255" i="10"/>
  <c r="BX255" i="10"/>
  <c r="E259" i="5"/>
  <c r="AE264" i="5"/>
  <c r="E264" i="5" s="1"/>
  <c r="J232" i="10"/>
  <c r="J227" i="10"/>
  <c r="O260" i="5"/>
  <c r="W261" i="5"/>
  <c r="BR260" i="5"/>
  <c r="BZ261" i="5"/>
  <c r="BZ265" i="5" s="1"/>
  <c r="BD260" i="5"/>
  <c r="BL261" i="5"/>
  <c r="BL265" i="5" s="1"/>
  <c r="BW260" i="5"/>
  <c r="CE261" i="5"/>
  <c r="CE265" i="5" s="1"/>
  <c r="BV260" i="5"/>
  <c r="CD261" i="5"/>
  <c r="CD265" i="5" s="1"/>
  <c r="L260" i="5"/>
  <c r="T261" i="5"/>
  <c r="T265" i="5" s="1"/>
  <c r="AJ260" i="5"/>
  <c r="AR261" i="5"/>
  <c r="AR265" i="5" s="1"/>
  <c r="E256" i="5"/>
  <c r="G260" i="5"/>
  <c r="O261" i="5"/>
  <c r="BO260" i="5"/>
  <c r="BW261" i="5"/>
  <c r="BW265" i="5" s="1"/>
  <c r="BI260" i="5"/>
  <c r="BQ261" i="5"/>
  <c r="BQ265" i="5" s="1"/>
  <c r="I229" i="7"/>
  <c r="I235" i="7" s="1"/>
  <c r="I215" i="7" s="1"/>
  <c r="O234" i="7"/>
  <c r="M255" i="10"/>
  <c r="Q255" i="10"/>
  <c r="CE255" i="10"/>
  <c r="BH259" i="7"/>
  <c r="CF264" i="7" s="1"/>
  <c r="CA259" i="7"/>
  <c r="BK259" i="7"/>
  <c r="BL259" i="7"/>
  <c r="AN259" i="7"/>
  <c r="BL264" i="7" s="1"/>
  <c r="AA259" i="7"/>
  <c r="AY264" i="7" s="1"/>
  <c r="S259" i="7"/>
  <c r="AQ264" i="7" s="1"/>
  <c r="BY259" i="7"/>
  <c r="AC259" i="7"/>
  <c r="BA264" i="7" s="1"/>
  <c r="Q259" i="7"/>
  <c r="AO264" i="7" s="1"/>
  <c r="BB259" i="7"/>
  <c r="BZ264" i="7" s="1"/>
  <c r="AX259" i="7"/>
  <c r="BV264" i="7" s="1"/>
  <c r="AJ259" i="7"/>
  <c r="BH264" i="7" s="1"/>
  <c r="R259" i="7"/>
  <c r="AP264" i="7" s="1"/>
  <c r="BT259" i="7"/>
  <c r="BC259" i="7"/>
  <c r="CA264" i="7" s="1"/>
  <c r="BJ259" i="7"/>
  <c r="CH264" i="7" s="1"/>
  <c r="AR259" i="7"/>
  <c r="BP264" i="7" s="1"/>
  <c r="J259" i="7"/>
  <c r="AH264" i="7" s="1"/>
  <c r="BM259" i="7"/>
  <c r="AV259" i="7"/>
  <c r="BT264" i="7" s="1"/>
  <c r="I259" i="7"/>
  <c r="AG264" i="7" s="1"/>
  <c r="BZ259" i="7"/>
  <c r="BO259" i="7"/>
  <c r="AP259" i="7"/>
  <c r="BN264" i="7" s="1"/>
  <c r="CH259" i="7"/>
  <c r="AQ259" i="7"/>
  <c r="BO264" i="7" s="1"/>
  <c r="AL259" i="7"/>
  <c r="BJ264" i="7" s="1"/>
  <c r="CB259" i="7"/>
  <c r="M259" i="7"/>
  <c r="AK264" i="7" s="1"/>
  <c r="AO259" i="7"/>
  <c r="BM264" i="7" s="1"/>
  <c r="BI259" i="7"/>
  <c r="CG264" i="7" s="1"/>
  <c r="V259" i="7"/>
  <c r="AT264" i="7" s="1"/>
  <c r="Z259" i="7"/>
  <c r="AX264" i="7" s="1"/>
  <c r="AM259" i="7"/>
  <c r="BK264" i="7" s="1"/>
  <c r="CE259" i="7"/>
  <c r="BP259" i="7"/>
  <c r="L259" i="7"/>
  <c r="AJ264" i="7" s="1"/>
  <c r="BU259" i="7"/>
  <c r="BN259" i="7"/>
  <c r="BS259" i="7"/>
  <c r="AI259" i="7"/>
  <c r="BG264" i="7" s="1"/>
  <c r="P259" i="7"/>
  <c r="AN264" i="7" s="1"/>
  <c r="H259" i="7"/>
  <c r="AF264" i="7" s="1"/>
  <c r="K259" i="7"/>
  <c r="AI264" i="7" s="1"/>
  <c r="BR259" i="7"/>
  <c r="AT259" i="7"/>
  <c r="BR264" i="7" s="1"/>
  <c r="BV259" i="7"/>
  <c r="AD259" i="7"/>
  <c r="BB264" i="7" s="1"/>
  <c r="BQ259" i="7"/>
  <c r="AB259" i="7"/>
  <c r="AZ264" i="7" s="1"/>
  <c r="BF259" i="7"/>
  <c r="CD264" i="7" s="1"/>
  <c r="N259" i="7"/>
  <c r="AL264" i="7" s="1"/>
  <c r="BW259" i="7"/>
  <c r="CD259" i="7"/>
  <c r="U259" i="7"/>
  <c r="AS264" i="7" s="1"/>
  <c r="CG259" i="7"/>
  <c r="BE259" i="7"/>
  <c r="CC264" i="7" s="1"/>
  <c r="AY259" i="7"/>
  <c r="BW264" i="7" s="1"/>
  <c r="AW259" i="7"/>
  <c r="BU264" i="7" s="1"/>
  <c r="X259" i="7"/>
  <c r="AV264" i="7" s="1"/>
  <c r="CC259" i="7"/>
  <c r="Y259" i="7"/>
  <c r="AW264" i="7" s="1"/>
  <c r="AZ259" i="7"/>
  <c r="BX264" i="7" s="1"/>
  <c r="AF259" i="7"/>
  <c r="BD264" i="7" s="1"/>
  <c r="G259" i="7"/>
  <c r="AE259" i="7"/>
  <c r="BC264" i="7" s="1"/>
  <c r="O259" i="7"/>
  <c r="AM264" i="7" s="1"/>
  <c r="AS259" i="7"/>
  <c r="BQ264" i="7" s="1"/>
  <c r="AH259" i="7"/>
  <c r="BF264" i="7" s="1"/>
  <c r="AU259" i="7"/>
  <c r="BS264" i="7" s="1"/>
  <c r="AG259" i="7"/>
  <c r="BE264" i="7" s="1"/>
  <c r="CF259" i="7"/>
  <c r="BX259" i="7"/>
  <c r="BD259" i="7"/>
  <c r="CB264" i="7" s="1"/>
  <c r="W259" i="7"/>
  <c r="AU264" i="7" s="1"/>
  <c r="BG259" i="7"/>
  <c r="CE264" i="7" s="1"/>
  <c r="AK259" i="7"/>
  <c r="BI264" i="7" s="1"/>
  <c r="T259" i="7"/>
  <c r="AR264" i="7" s="1"/>
  <c r="BA259" i="7"/>
  <c r="BY264" i="7" s="1"/>
  <c r="BD255" i="10"/>
  <c r="BH255" i="10"/>
  <c r="BW255" i="10"/>
  <c r="G229" i="7"/>
  <c r="G235" i="7" s="1"/>
  <c r="BE255" i="10"/>
  <c r="AQ255" i="10"/>
  <c r="AW255" i="10"/>
  <c r="O231" i="5"/>
  <c r="O226" i="5"/>
  <c r="H233" i="5"/>
  <c r="H228" i="5"/>
  <c r="L233" i="5"/>
  <c r="L228" i="5"/>
  <c r="H231" i="5"/>
  <c r="H226" i="5"/>
  <c r="G230" i="5"/>
  <c r="G224" i="5"/>
  <c r="G225" i="5"/>
  <c r="K229" i="7"/>
  <c r="K235" i="7" s="1"/>
  <c r="K215" i="7" s="1"/>
  <c r="N234" i="7"/>
  <c r="O223" i="10"/>
  <c r="CA255" i="10"/>
  <c r="BP260" i="5"/>
  <c r="BX261" i="5"/>
  <c r="BX265" i="5" s="1"/>
  <c r="K231" i="10"/>
  <c r="K226" i="10"/>
  <c r="AC260" i="5"/>
  <c r="AK261" i="5"/>
  <c r="AK265" i="5" s="1"/>
  <c r="AV260" i="5"/>
  <c r="BD261" i="5"/>
  <c r="BD265" i="5" s="1"/>
  <c r="AM260" i="5"/>
  <c r="AU261" i="5"/>
  <c r="AU265" i="5" s="1"/>
  <c r="Q260" i="5"/>
  <c r="Y261" i="5"/>
  <c r="Y265" i="5" s="1"/>
  <c r="AU260" i="5"/>
  <c r="BC261" i="5"/>
  <c r="BC265" i="5" s="1"/>
  <c r="BL260" i="5"/>
  <c r="BT261" i="5"/>
  <c r="BT265" i="5" s="1"/>
  <c r="M260" i="5"/>
  <c r="U261" i="5"/>
  <c r="U265" i="5" s="1"/>
  <c r="S260" i="5"/>
  <c r="AA261" i="5"/>
  <c r="AA265" i="5" s="1"/>
  <c r="Q237" i="7"/>
  <c r="Q236" i="7"/>
  <c r="U236" i="7"/>
  <c r="U239" i="7"/>
  <c r="U237" i="7"/>
  <c r="Y237" i="7"/>
  <c r="Y236" i="7"/>
  <c r="Y239" i="7"/>
  <c r="O255" i="10"/>
  <c r="AD255" i="10"/>
  <c r="CB255" i="10"/>
  <c r="N255" i="10"/>
  <c r="AY255" i="10"/>
  <c r="M224" i="5"/>
  <c r="M230" i="5"/>
  <c r="M225" i="5"/>
  <c r="R230" i="5"/>
  <c r="R224" i="5"/>
  <c r="R225" i="5"/>
  <c r="M233" i="5"/>
  <c r="M228" i="5"/>
  <c r="K224" i="5"/>
  <c r="K230" i="5"/>
  <c r="K225" i="5"/>
  <c r="G233" i="5"/>
  <c r="G228" i="5"/>
  <c r="R233" i="5"/>
  <c r="R228" i="5"/>
  <c r="N238" i="10"/>
  <c r="P255" i="10"/>
  <c r="P229" i="7"/>
  <c r="P235" i="7" s="1"/>
  <c r="P215" i="7" s="1"/>
  <c r="L255" i="10"/>
  <c r="P232" i="10"/>
  <c r="P227" i="10"/>
  <c r="Z260" i="5"/>
  <c r="AH261" i="5"/>
  <c r="AH265" i="5" s="1"/>
  <c r="AS260" i="5"/>
  <c r="BA261" i="5"/>
  <c r="BA265" i="5" s="1"/>
  <c r="BG260" i="5"/>
  <c r="BO261" i="5"/>
  <c r="BO265" i="5" s="1"/>
  <c r="AD260" i="5"/>
  <c r="AL261" i="5"/>
  <c r="AL265" i="5" s="1"/>
  <c r="BY260" i="5"/>
  <c r="CG261" i="5"/>
  <c r="CG265" i="5" s="1"/>
  <c r="V260" i="5"/>
  <c r="AD261" i="5"/>
  <c r="AD265" i="5" s="1"/>
  <c r="AQ260" i="5"/>
  <c r="AY261" i="5"/>
  <c r="AY265" i="5" s="1"/>
  <c r="BE260" i="5"/>
  <c r="BM261" i="5"/>
  <c r="BM265" i="5" s="1"/>
  <c r="H260" i="5"/>
  <c r="P261" i="5"/>
  <c r="P265" i="5" s="1"/>
  <c r="AH260" i="5"/>
  <c r="AP261" i="5"/>
  <c r="AP265" i="5" s="1"/>
  <c r="CG241" i="7"/>
  <c r="I224" i="10"/>
  <c r="I230" i="10"/>
  <c r="I225" i="10"/>
  <c r="T255" i="10"/>
  <c r="BI255" i="10"/>
  <c r="H229" i="7"/>
  <c r="H235" i="7" s="1"/>
  <c r="H215" i="7" s="1"/>
  <c r="J230" i="10"/>
  <c r="J225" i="10"/>
  <c r="M229" i="7"/>
  <c r="M235" i="7" s="1"/>
  <c r="M215" i="7" s="1"/>
  <c r="W255" i="10"/>
  <c r="CC255" i="10"/>
  <c r="CF255" i="10"/>
  <c r="P234" i="7"/>
  <c r="AJ255" i="10"/>
  <c r="AO255" i="10"/>
  <c r="I231" i="5"/>
  <c r="I226" i="5"/>
  <c r="Q224" i="5"/>
  <c r="Q230" i="5"/>
  <c r="Q225" i="5"/>
  <c r="P231" i="5"/>
  <c r="P226" i="5"/>
  <c r="K234" i="7"/>
  <c r="E253" i="10"/>
  <c r="J223" i="10"/>
  <c r="BR255" i="10"/>
  <c r="I238" i="10"/>
  <c r="Q234" i="5" l="1"/>
  <c r="N224" i="10"/>
  <c r="O224" i="10"/>
  <c r="CE260" i="7"/>
  <c r="Q229" i="5"/>
  <c r="I266" i="10"/>
  <c r="J266" i="10" s="1"/>
  <c r="K266" i="10" s="1"/>
  <c r="L266" i="10" s="1"/>
  <c r="M266" i="10" s="1"/>
  <c r="N266" i="10" s="1"/>
  <c r="K234" i="5"/>
  <c r="M234" i="5"/>
  <c r="AC239" i="5" s="1"/>
  <c r="N229" i="5"/>
  <c r="G215" i="7"/>
  <c r="K229" i="5"/>
  <c r="M229" i="5"/>
  <c r="O265" i="5"/>
  <c r="O266" i="5" s="1"/>
  <c r="E261" i="5"/>
  <c r="E257" i="7"/>
  <c r="S262" i="7"/>
  <c r="E262" i="7" s="1"/>
  <c r="I234" i="5"/>
  <c r="BP260" i="7"/>
  <c r="BX261" i="7"/>
  <c r="BX265" i="7" s="1"/>
  <c r="AI260" i="7"/>
  <c r="AQ261" i="7"/>
  <c r="AQ265" i="7" s="1"/>
  <c r="AL260" i="7"/>
  <c r="AT261" i="7"/>
  <c r="AT265" i="7" s="1"/>
  <c r="CA260" i="7"/>
  <c r="Z260" i="7"/>
  <c r="AH261" i="7"/>
  <c r="AH265" i="7" s="1"/>
  <c r="AN260" i="7"/>
  <c r="AV261" i="7"/>
  <c r="AV265" i="7" s="1"/>
  <c r="AO260" i="7"/>
  <c r="AW261" i="7"/>
  <c r="AW265" i="7" s="1"/>
  <c r="BN260" i="7"/>
  <c r="BV261" i="7"/>
  <c r="BV265" i="7" s="1"/>
  <c r="BX260" i="7"/>
  <c r="CF261" i="7"/>
  <c r="CF265" i="7" s="1"/>
  <c r="BO260" i="7"/>
  <c r="BW261" i="7"/>
  <c r="BW265" i="7" s="1"/>
  <c r="I232" i="10"/>
  <c r="I227" i="10"/>
  <c r="O231" i="10"/>
  <c r="O226" i="10"/>
  <c r="K233" i="10"/>
  <c r="K228" i="10"/>
  <c r="U238" i="7"/>
  <c r="U240" i="7"/>
  <c r="AD239" i="7"/>
  <c r="E259" i="7"/>
  <c r="AE264" i="7"/>
  <c r="E264" i="7" s="1"/>
  <c r="E260" i="5"/>
  <c r="CH259" i="10"/>
  <c r="BU259" i="10"/>
  <c r="CD259" i="10"/>
  <c r="AD259" i="10"/>
  <c r="BB264" i="10" s="1"/>
  <c r="AW259" i="10"/>
  <c r="BU264" i="10" s="1"/>
  <c r="BQ259" i="10"/>
  <c r="BC259" i="10"/>
  <c r="CA264" i="10" s="1"/>
  <c r="AY259" i="10"/>
  <c r="BW264" i="10" s="1"/>
  <c r="BP259" i="10"/>
  <c r="BE259" i="10"/>
  <c r="CC264" i="10" s="1"/>
  <c r="BA259" i="10"/>
  <c r="BY264" i="10" s="1"/>
  <c r="AR259" i="10"/>
  <c r="BP264" i="10" s="1"/>
  <c r="V259" i="10"/>
  <c r="AT264" i="10" s="1"/>
  <c r="AN259" i="10"/>
  <c r="BL264" i="10" s="1"/>
  <c r="BV259" i="10"/>
  <c r="AS259" i="10"/>
  <c r="BQ264" i="10" s="1"/>
  <c r="AL259" i="10"/>
  <c r="BJ264" i="10" s="1"/>
  <c r="AT259" i="10"/>
  <c r="BR264" i="10" s="1"/>
  <c r="H259" i="10"/>
  <c r="AF264" i="10" s="1"/>
  <c r="BT259" i="10"/>
  <c r="CC259" i="10"/>
  <c r="BK259" i="10"/>
  <c r="BZ259" i="10"/>
  <c r="BB259" i="10"/>
  <c r="BZ264" i="10" s="1"/>
  <c r="Q259" i="10"/>
  <c r="AO264" i="10" s="1"/>
  <c r="BN259" i="10"/>
  <c r="L259" i="10"/>
  <c r="AJ264" i="10" s="1"/>
  <c r="AC259" i="10"/>
  <c r="BA264" i="10" s="1"/>
  <c r="G259" i="10"/>
  <c r="AJ259" i="10"/>
  <c r="BH264" i="10" s="1"/>
  <c r="AG259" i="10"/>
  <c r="BE264" i="10" s="1"/>
  <c r="S259" i="10"/>
  <c r="AQ264" i="10" s="1"/>
  <c r="J259" i="10"/>
  <c r="AH264" i="10" s="1"/>
  <c r="AP259" i="10"/>
  <c r="BN264" i="10" s="1"/>
  <c r="I259" i="10"/>
  <c r="AG264" i="10" s="1"/>
  <c r="CG259" i="10"/>
  <c r="BG259" i="10"/>
  <c r="CE264" i="10" s="1"/>
  <c r="AV259" i="10"/>
  <c r="BT264" i="10" s="1"/>
  <c r="AQ259" i="10"/>
  <c r="BO264" i="10" s="1"/>
  <c r="O259" i="10"/>
  <c r="AM264" i="10" s="1"/>
  <c r="P259" i="10"/>
  <c r="AN264" i="10" s="1"/>
  <c r="CE259" i="10"/>
  <c r="AX259" i="10"/>
  <c r="BV264" i="10" s="1"/>
  <c r="CA259" i="10"/>
  <c r="AO259" i="10"/>
  <c r="BM264" i="10" s="1"/>
  <c r="R259" i="10"/>
  <c r="AP264" i="10" s="1"/>
  <c r="K259" i="10"/>
  <c r="AI264" i="10" s="1"/>
  <c r="CF259" i="10"/>
  <c r="BY259" i="10"/>
  <c r="AE259" i="10"/>
  <c r="BC264" i="10" s="1"/>
  <c r="BF259" i="10"/>
  <c r="CD264" i="10" s="1"/>
  <c r="T259" i="10"/>
  <c r="AR264" i="10" s="1"/>
  <c r="BX259" i="10"/>
  <c r="BI259" i="10"/>
  <c r="CG264" i="10" s="1"/>
  <c r="AK259" i="10"/>
  <c r="BI264" i="10" s="1"/>
  <c r="CB259" i="10"/>
  <c r="AZ259" i="10"/>
  <c r="BX264" i="10" s="1"/>
  <c r="AI259" i="10"/>
  <c r="BG264" i="10" s="1"/>
  <c r="Z259" i="10"/>
  <c r="AX264" i="10" s="1"/>
  <c r="N259" i="10"/>
  <c r="AL264" i="10" s="1"/>
  <c r="AF259" i="10"/>
  <c r="BD264" i="10" s="1"/>
  <c r="BJ259" i="10"/>
  <c r="CH264" i="10" s="1"/>
  <c r="M259" i="10"/>
  <c r="AK264" i="10" s="1"/>
  <c r="BM259" i="10"/>
  <c r="BD259" i="10"/>
  <c r="CB264" i="10" s="1"/>
  <c r="X259" i="10"/>
  <c r="AV264" i="10" s="1"/>
  <c r="AH259" i="10"/>
  <c r="BF264" i="10" s="1"/>
  <c r="AB259" i="10"/>
  <c r="AZ264" i="10" s="1"/>
  <c r="BS259" i="10"/>
  <c r="U259" i="10"/>
  <c r="AS264" i="10" s="1"/>
  <c r="AU259" i="10"/>
  <c r="BS264" i="10" s="1"/>
  <c r="Y259" i="10"/>
  <c r="AW264" i="10" s="1"/>
  <c r="BW259" i="10"/>
  <c r="AA259" i="10"/>
  <c r="AY264" i="10" s="1"/>
  <c r="BH259" i="10"/>
  <c r="CF264" i="10" s="1"/>
  <c r="W259" i="10"/>
  <c r="AU264" i="10" s="1"/>
  <c r="AM259" i="10"/>
  <c r="BK264" i="10" s="1"/>
  <c r="BR259" i="10"/>
  <c r="BL259" i="10"/>
  <c r="BO259" i="10"/>
  <c r="H260" i="7"/>
  <c r="P261" i="7"/>
  <c r="P265" i="7" s="1"/>
  <c r="AC260" i="7"/>
  <c r="AK261" i="7"/>
  <c r="AK265" i="7" s="1"/>
  <c r="Q260" i="7"/>
  <c r="Y261" i="7"/>
  <c r="Y265" i="7" s="1"/>
  <c r="M260" i="7"/>
  <c r="U261" i="7"/>
  <c r="U265" i="7" s="1"/>
  <c r="AS260" i="7"/>
  <c r="BA261" i="7"/>
  <c r="BA265" i="7" s="1"/>
  <c r="BV260" i="7"/>
  <c r="CD261" i="7"/>
  <c r="CD265" i="7" s="1"/>
  <c r="BM260" i="7"/>
  <c r="BU261" i="7"/>
  <c r="BU265" i="7" s="1"/>
  <c r="CD260" i="7"/>
  <c r="AM260" i="7"/>
  <c r="AU261" i="7"/>
  <c r="AU265" i="7" s="1"/>
  <c r="H224" i="10"/>
  <c r="H230" i="10"/>
  <c r="H225" i="10"/>
  <c r="M230" i="10"/>
  <c r="M224" i="10"/>
  <c r="M225" i="10"/>
  <c r="R232" i="10"/>
  <c r="R227" i="10"/>
  <c r="H229" i="5"/>
  <c r="H235" i="5" s="1"/>
  <c r="H215" i="5" s="1"/>
  <c r="AB260" i="7"/>
  <c r="AJ261" i="7"/>
  <c r="AJ265" i="7" s="1"/>
  <c r="AK260" i="7"/>
  <c r="AS261" i="7"/>
  <c r="AS265" i="7" s="1"/>
  <c r="N260" i="7"/>
  <c r="V261" i="7"/>
  <c r="V265" i="7" s="1"/>
  <c r="CB260" i="7"/>
  <c r="BB260" i="7"/>
  <c r="BJ261" i="7"/>
  <c r="BJ265" i="7" s="1"/>
  <c r="J260" i="7"/>
  <c r="R261" i="7"/>
  <c r="R265" i="7" s="1"/>
  <c r="BF260" i="7"/>
  <c r="BN261" i="7"/>
  <c r="BN265" i="7" s="1"/>
  <c r="E256" i="7"/>
  <c r="G260" i="7"/>
  <c r="O261" i="7"/>
  <c r="O265" i="7" s="1"/>
  <c r="O266" i="7" s="1"/>
  <c r="CF260" i="7"/>
  <c r="AY260" i="7"/>
  <c r="BG261" i="7"/>
  <c r="BG265" i="7" s="1"/>
  <c r="P229" i="5"/>
  <c r="P235" i="5" s="1"/>
  <c r="P215" i="5" s="1"/>
  <c r="G233" i="10"/>
  <c r="G228" i="10"/>
  <c r="H231" i="10"/>
  <c r="H226" i="10"/>
  <c r="O232" i="10"/>
  <c r="O227" i="10"/>
  <c r="E258" i="7"/>
  <c r="W263" i="7"/>
  <c r="CH241" i="7"/>
  <c r="E241" i="7" s="1"/>
  <c r="G229" i="5"/>
  <c r="G235" i="5" s="1"/>
  <c r="N232" i="10"/>
  <c r="N227" i="10"/>
  <c r="L229" i="5"/>
  <c r="L235" i="5" s="1"/>
  <c r="L215" i="5" s="1"/>
  <c r="Q224" i="10"/>
  <c r="Q230" i="10"/>
  <c r="Q225" i="10"/>
  <c r="AF260" i="7"/>
  <c r="AN261" i="7"/>
  <c r="AN265" i="7" s="1"/>
  <c r="CG260" i="7"/>
  <c r="BQ260" i="7"/>
  <c r="BY261" i="7"/>
  <c r="BY265" i="7" s="1"/>
  <c r="Y260" i="7"/>
  <c r="AG261" i="7"/>
  <c r="AG265" i="7" s="1"/>
  <c r="T260" i="7"/>
  <c r="AB261" i="7"/>
  <c r="AB265" i="7" s="1"/>
  <c r="BW260" i="7"/>
  <c r="CE261" i="7"/>
  <c r="CE265" i="7" s="1"/>
  <c r="AZ260" i="7"/>
  <c r="BH261" i="7"/>
  <c r="BH265" i="7" s="1"/>
  <c r="BR260" i="7"/>
  <c r="BZ261" i="7"/>
  <c r="BZ265" i="7" s="1"/>
  <c r="BA260" i="7"/>
  <c r="BI261" i="7"/>
  <c r="BI265" i="7" s="1"/>
  <c r="K260" i="7"/>
  <c r="S261" i="7"/>
  <c r="CH31" i="11"/>
  <c r="E10" i="11"/>
  <c r="AC238" i="7"/>
  <c r="AC240" i="7"/>
  <c r="CH256" i="10"/>
  <c r="AW256" i="10"/>
  <c r="BE256" i="10"/>
  <c r="BW256" i="10"/>
  <c r="BD256" i="10"/>
  <c r="Q256" i="10"/>
  <c r="AD256" i="10"/>
  <c r="BX256" i="10"/>
  <c r="AG256" i="10"/>
  <c r="CA256" i="10"/>
  <c r="I256" i="10"/>
  <c r="M256" i="10"/>
  <c r="AM256" i="10"/>
  <c r="BG256" i="10"/>
  <c r="BB256" i="10"/>
  <c r="AF256" i="10"/>
  <c r="G256" i="10"/>
  <c r="BN256" i="10"/>
  <c r="AI256" i="10"/>
  <c r="AV256" i="10"/>
  <c r="AC256" i="10"/>
  <c r="AX256" i="10"/>
  <c r="BU256" i="10"/>
  <c r="BP256" i="10"/>
  <c r="U256" i="10"/>
  <c r="BF256" i="10"/>
  <c r="X256" i="10"/>
  <c r="S256" i="10"/>
  <c r="BZ256" i="10"/>
  <c r="BC256" i="10"/>
  <c r="J256" i="10"/>
  <c r="AT256" i="10"/>
  <c r="H256" i="10"/>
  <c r="CD256" i="10"/>
  <c r="BJ256" i="10"/>
  <c r="AP256" i="10"/>
  <c r="AB256" i="10"/>
  <c r="BV256" i="10"/>
  <c r="Y256" i="10"/>
  <c r="BY256" i="10"/>
  <c r="BK256" i="10"/>
  <c r="AH256" i="10"/>
  <c r="CG256" i="10"/>
  <c r="AA256" i="10"/>
  <c r="BO256" i="10"/>
  <c r="AE256" i="10"/>
  <c r="AS256" i="10"/>
  <c r="R256" i="10"/>
  <c r="K256" i="10"/>
  <c r="AL256" i="10"/>
  <c r="BQ256" i="10"/>
  <c r="AU256" i="10"/>
  <c r="BR256" i="10"/>
  <c r="AR256" i="10"/>
  <c r="AO256" i="10"/>
  <c r="CC256" i="10"/>
  <c r="AZ256" i="10"/>
  <c r="W256" i="10"/>
  <c r="BI256" i="10"/>
  <c r="L256" i="10"/>
  <c r="BS256" i="10"/>
  <c r="V256" i="10"/>
  <c r="BL256" i="10"/>
  <c r="AK256" i="10"/>
  <c r="P256" i="10"/>
  <c r="AJ256" i="10"/>
  <c r="CF256" i="10"/>
  <c r="BT256" i="10"/>
  <c r="BM256" i="10"/>
  <c r="AY256" i="10"/>
  <c r="N256" i="10"/>
  <c r="CB256" i="10"/>
  <c r="T256" i="10"/>
  <c r="O256" i="10"/>
  <c r="BA256" i="10"/>
  <c r="AQ256" i="10"/>
  <c r="AN256" i="10"/>
  <c r="Z256" i="10"/>
  <c r="BH256" i="10"/>
  <c r="CE256" i="10"/>
  <c r="O229" i="5"/>
  <c r="O235" i="5" s="1"/>
  <c r="O215" i="5" s="1"/>
  <c r="P234" i="5"/>
  <c r="R231" i="10"/>
  <c r="R226" i="10"/>
  <c r="L230" i="10"/>
  <c r="L224" i="10"/>
  <c r="L225" i="10"/>
  <c r="K235" i="5"/>
  <c r="K215" i="5" s="1"/>
  <c r="M235" i="5"/>
  <c r="M215" i="5" s="1"/>
  <c r="Q235" i="5"/>
  <c r="Q215" i="5" s="1"/>
  <c r="H234" i="5"/>
  <c r="L234" i="5"/>
  <c r="CH241" i="5"/>
  <c r="E241" i="5" s="1"/>
  <c r="N235" i="5"/>
  <c r="N215" i="5" s="1"/>
  <c r="AQ260" i="7"/>
  <c r="AY261" i="7"/>
  <c r="AY265" i="7" s="1"/>
  <c r="V260" i="7"/>
  <c r="AD261" i="7"/>
  <c r="AD265" i="7" s="1"/>
  <c r="BY260" i="7"/>
  <c r="CG261" i="7"/>
  <c r="CG265" i="7" s="1"/>
  <c r="BJ260" i="7"/>
  <c r="BR261" i="7"/>
  <c r="BR265" i="7" s="1"/>
  <c r="BT260" i="7"/>
  <c r="CB261" i="7"/>
  <c r="CB265" i="7" s="1"/>
  <c r="BC260" i="7"/>
  <c r="BK261" i="7"/>
  <c r="BK265" i="7" s="1"/>
  <c r="AW260" i="7"/>
  <c r="BE261" i="7"/>
  <c r="BE265" i="7" s="1"/>
  <c r="AD260" i="7"/>
  <c r="AL261" i="7"/>
  <c r="AL265" i="7" s="1"/>
  <c r="O260" i="7"/>
  <c r="W261" i="7"/>
  <c r="AG260" i="7"/>
  <c r="AO261" i="7"/>
  <c r="AO265" i="7" s="1"/>
  <c r="E255" i="10"/>
  <c r="CH257" i="10"/>
  <c r="AJ257" i="10"/>
  <c r="AV262" i="10" s="1"/>
  <c r="BD257" i="10"/>
  <c r="BP262" i="10" s="1"/>
  <c r="BL257" i="10"/>
  <c r="BX262" i="10" s="1"/>
  <c r="T257" i="10"/>
  <c r="AF262" i="10" s="1"/>
  <c r="AR257" i="10"/>
  <c r="BD262" i="10" s="1"/>
  <c r="BQ257" i="10"/>
  <c r="CC262" i="10" s="1"/>
  <c r="AT257" i="10"/>
  <c r="BF262" i="10" s="1"/>
  <c r="AH257" i="10"/>
  <c r="AT262" i="10" s="1"/>
  <c r="Y257" i="10"/>
  <c r="AK262" i="10" s="1"/>
  <c r="U257" i="10"/>
  <c r="AG262" i="10" s="1"/>
  <c r="BJ257" i="10"/>
  <c r="BV262" i="10" s="1"/>
  <c r="X257" i="10"/>
  <c r="AJ262" i="10" s="1"/>
  <c r="I257" i="10"/>
  <c r="U262" i="10" s="1"/>
  <c r="W257" i="10"/>
  <c r="AI262" i="10" s="1"/>
  <c r="AM257" i="10"/>
  <c r="AY262" i="10" s="1"/>
  <c r="S257" i="10"/>
  <c r="AE262" i="10" s="1"/>
  <c r="AP257" i="10"/>
  <c r="BB262" i="10" s="1"/>
  <c r="AB257" i="10"/>
  <c r="AN262" i="10" s="1"/>
  <c r="AG257" i="10"/>
  <c r="AS262" i="10" s="1"/>
  <c r="BP257" i="10"/>
  <c r="CB262" i="10" s="1"/>
  <c r="CF257" i="10"/>
  <c r="AX257" i="10"/>
  <c r="BJ262" i="10" s="1"/>
  <c r="AC257" i="10"/>
  <c r="AO262" i="10" s="1"/>
  <c r="N257" i="10"/>
  <c r="Z262" i="10" s="1"/>
  <c r="CB257" i="10"/>
  <c r="BW257" i="10"/>
  <c r="BH257" i="10"/>
  <c r="BT262" i="10" s="1"/>
  <c r="AD257" i="10"/>
  <c r="AP262" i="10" s="1"/>
  <c r="CD257" i="10"/>
  <c r="AQ257" i="10"/>
  <c r="BC262" i="10" s="1"/>
  <c r="BV257" i="10"/>
  <c r="CH262" i="10" s="1"/>
  <c r="BC257" i="10"/>
  <c r="BO262" i="10" s="1"/>
  <c r="J257" i="10"/>
  <c r="V262" i="10" s="1"/>
  <c r="P257" i="10"/>
  <c r="AB262" i="10" s="1"/>
  <c r="BB257" i="10"/>
  <c r="BN262" i="10" s="1"/>
  <c r="V257" i="10"/>
  <c r="AH262" i="10" s="1"/>
  <c r="BY257" i="10"/>
  <c r="BG257" i="10"/>
  <c r="BS262" i="10" s="1"/>
  <c r="BS257" i="10"/>
  <c r="CE262" i="10" s="1"/>
  <c r="BO257" i="10"/>
  <c r="CA262" i="10" s="1"/>
  <c r="AW257" i="10"/>
  <c r="BI262" i="10" s="1"/>
  <c r="R257" i="10"/>
  <c r="AD262" i="10" s="1"/>
  <c r="H257" i="10"/>
  <c r="T262" i="10" s="1"/>
  <c r="AY257" i="10"/>
  <c r="BK262" i="10" s="1"/>
  <c r="AL257" i="10"/>
  <c r="AX262" i="10" s="1"/>
  <c r="CG257" i="10"/>
  <c r="AK257" i="10"/>
  <c r="AW262" i="10" s="1"/>
  <c r="AA257" i="10"/>
  <c r="AM262" i="10" s="1"/>
  <c r="Q257" i="10"/>
  <c r="AC262" i="10" s="1"/>
  <c r="CC257" i="10"/>
  <c r="BT257" i="10"/>
  <c r="CF262" i="10" s="1"/>
  <c r="BA257" i="10"/>
  <c r="BM262" i="10" s="1"/>
  <c r="Z257" i="10"/>
  <c r="AL262" i="10" s="1"/>
  <c r="BN257" i="10"/>
  <c r="BZ262" i="10" s="1"/>
  <c r="AV257" i="10"/>
  <c r="BH262" i="10" s="1"/>
  <c r="BR257" i="10"/>
  <c r="CD262" i="10" s="1"/>
  <c r="BE257" i="10"/>
  <c r="BQ262" i="10" s="1"/>
  <c r="BX257" i="10"/>
  <c r="BU257" i="10"/>
  <c r="CG262" i="10" s="1"/>
  <c r="BF257" i="10"/>
  <c r="BR262" i="10" s="1"/>
  <c r="O257" i="10"/>
  <c r="AA262" i="10" s="1"/>
  <c r="AZ257" i="10"/>
  <c r="BL262" i="10" s="1"/>
  <c r="AU257" i="10"/>
  <c r="BG262" i="10" s="1"/>
  <c r="AO257" i="10"/>
  <c r="BA262" i="10" s="1"/>
  <c r="BI257" i="10"/>
  <c r="BU262" i="10" s="1"/>
  <c r="L257" i="10"/>
  <c r="X262" i="10" s="1"/>
  <c r="CA257" i="10"/>
  <c r="AS257" i="10"/>
  <c r="BE262" i="10" s="1"/>
  <c r="AN257" i="10"/>
  <c r="AZ262" i="10" s="1"/>
  <c r="BM257" i="10"/>
  <c r="BY262" i="10" s="1"/>
  <c r="AE257" i="10"/>
  <c r="AQ262" i="10" s="1"/>
  <c r="BK257" i="10"/>
  <c r="BW262" i="10" s="1"/>
  <c r="AI257" i="10"/>
  <c r="AU262" i="10" s="1"/>
  <c r="AF257" i="10"/>
  <c r="AR262" i="10" s="1"/>
  <c r="G257" i="10"/>
  <c r="K257" i="10"/>
  <c r="W262" i="10" s="1"/>
  <c r="CE257" i="10"/>
  <c r="BZ257" i="10"/>
  <c r="M257" i="10"/>
  <c r="Y262" i="10" s="1"/>
  <c r="S265" i="5"/>
  <c r="Q232" i="10"/>
  <c r="Q227" i="10"/>
  <c r="N231" i="10"/>
  <c r="N226" i="10"/>
  <c r="K224" i="10"/>
  <c r="K230" i="10"/>
  <c r="K234" i="10" s="1"/>
  <c r="K225" i="10"/>
  <c r="K229" i="10" s="1"/>
  <c r="R230" i="10"/>
  <c r="R224" i="10"/>
  <c r="R225" i="10"/>
  <c r="J233" i="10"/>
  <c r="J234" i="10" s="1"/>
  <c r="J228" i="10"/>
  <c r="J229" i="10" s="1"/>
  <c r="BW258" i="10"/>
  <c r="BQ258" i="10"/>
  <c r="CG263" i="10" s="1"/>
  <c r="R258" i="10"/>
  <c r="AH263" i="10" s="1"/>
  <c r="AR258" i="10"/>
  <c r="BH263" i="10" s="1"/>
  <c r="CA258" i="10"/>
  <c r="AH258" i="10"/>
  <c r="AX263" i="10" s="1"/>
  <c r="CE258" i="10"/>
  <c r="AY258" i="10"/>
  <c r="BO263" i="10" s="1"/>
  <c r="T258" i="10"/>
  <c r="AJ263" i="10" s="1"/>
  <c r="CB258" i="10"/>
  <c r="BJ258" i="10"/>
  <c r="BZ263" i="10" s="1"/>
  <c r="BD258" i="10"/>
  <c r="BT263" i="10" s="1"/>
  <c r="AF258" i="10"/>
  <c r="AV263" i="10" s="1"/>
  <c r="H258" i="10"/>
  <c r="X263" i="10" s="1"/>
  <c r="BT258" i="10"/>
  <c r="CH258" i="10"/>
  <c r="BR258" i="10"/>
  <c r="CH263" i="10" s="1"/>
  <c r="CG258" i="10"/>
  <c r="AQ258" i="10"/>
  <c r="BG263" i="10" s="1"/>
  <c r="AI258" i="10"/>
  <c r="AY263" i="10" s="1"/>
  <c r="BC258" i="10"/>
  <c r="BS263" i="10" s="1"/>
  <c r="AW258" i="10"/>
  <c r="BM263" i="10" s="1"/>
  <c r="M258" i="10"/>
  <c r="AC263" i="10" s="1"/>
  <c r="BK258" i="10"/>
  <c r="CA263" i="10" s="1"/>
  <c r="W258" i="10"/>
  <c r="AM263" i="10" s="1"/>
  <c r="BO258" i="10"/>
  <c r="CE263" i="10" s="1"/>
  <c r="AZ258" i="10"/>
  <c r="BP263" i="10" s="1"/>
  <c r="Y258" i="10"/>
  <c r="AO263" i="10" s="1"/>
  <c r="S258" i="10"/>
  <c r="AI263" i="10" s="1"/>
  <c r="AK258" i="10"/>
  <c r="BA263" i="10" s="1"/>
  <c r="BP258" i="10"/>
  <c r="CF263" i="10" s="1"/>
  <c r="BH258" i="10"/>
  <c r="BX263" i="10" s="1"/>
  <c r="AS258" i="10"/>
  <c r="BI263" i="10" s="1"/>
  <c r="BV258" i="10"/>
  <c r="AC258" i="10"/>
  <c r="AS263" i="10" s="1"/>
  <c r="BG258" i="10"/>
  <c r="BW263" i="10" s="1"/>
  <c r="AV258" i="10"/>
  <c r="BL263" i="10" s="1"/>
  <c r="J258" i="10"/>
  <c r="Z263" i="10" s="1"/>
  <c r="BZ258" i="10"/>
  <c r="BS258" i="10"/>
  <c r="AG258" i="10"/>
  <c r="AW263" i="10" s="1"/>
  <c r="BI258" i="10"/>
  <c r="BY263" i="10" s="1"/>
  <c r="CF258" i="10"/>
  <c r="AL258" i="10"/>
  <c r="BB263" i="10" s="1"/>
  <c r="V258" i="10"/>
  <c r="AL263" i="10" s="1"/>
  <c r="BM258" i="10"/>
  <c r="CC263" i="10" s="1"/>
  <c r="BE258" i="10"/>
  <c r="BU263" i="10" s="1"/>
  <c r="O258" i="10"/>
  <c r="AE263" i="10" s="1"/>
  <c r="AU258" i="10"/>
  <c r="BK263" i="10" s="1"/>
  <c r="AJ258" i="10"/>
  <c r="AZ263" i="10" s="1"/>
  <c r="BN258" i="10"/>
  <c r="CD263" i="10" s="1"/>
  <c r="P258" i="10"/>
  <c r="AF263" i="10" s="1"/>
  <c r="BX258" i="10"/>
  <c r="BA258" i="10"/>
  <c r="BQ263" i="10" s="1"/>
  <c r="AO258" i="10"/>
  <c r="BE263" i="10" s="1"/>
  <c r="AA258" i="10"/>
  <c r="AQ263" i="10" s="1"/>
  <c r="G258" i="10"/>
  <c r="AX258" i="10"/>
  <c r="BN263" i="10" s="1"/>
  <c r="BL258" i="10"/>
  <c r="CB263" i="10" s="1"/>
  <c r="AE258" i="10"/>
  <c r="AU263" i="10" s="1"/>
  <c r="BU258" i="10"/>
  <c r="BB258" i="10"/>
  <c r="BR263" i="10" s="1"/>
  <c r="Q258" i="10"/>
  <c r="AG263" i="10" s="1"/>
  <c r="CC258" i="10"/>
  <c r="AD258" i="10"/>
  <c r="AT263" i="10" s="1"/>
  <c r="Z258" i="10"/>
  <c r="AP263" i="10" s="1"/>
  <c r="U258" i="10"/>
  <c r="AK263" i="10" s="1"/>
  <c r="L258" i="10"/>
  <c r="AB263" i="10" s="1"/>
  <c r="X258" i="10"/>
  <c r="AN263" i="10" s="1"/>
  <c r="N258" i="10"/>
  <c r="AD263" i="10" s="1"/>
  <c r="AT258" i="10"/>
  <c r="BJ263" i="10" s="1"/>
  <c r="BF258" i="10"/>
  <c r="BV263" i="10" s="1"/>
  <c r="AP258" i="10"/>
  <c r="BF263" i="10" s="1"/>
  <c r="I258" i="10"/>
  <c r="Y263" i="10" s="1"/>
  <c r="AN258" i="10"/>
  <c r="BD263" i="10" s="1"/>
  <c r="CD258" i="10"/>
  <c r="BY258" i="10"/>
  <c r="AM258" i="10"/>
  <c r="BC263" i="10" s="1"/>
  <c r="K258" i="10"/>
  <c r="AA263" i="10" s="1"/>
  <c r="AB258" i="10"/>
  <c r="AR263" i="10" s="1"/>
  <c r="R229" i="5"/>
  <c r="R235" i="5" s="1"/>
  <c r="R215" i="5" s="1"/>
  <c r="Y238" i="7"/>
  <c r="Y240" i="7"/>
  <c r="AB239" i="7"/>
  <c r="M231" i="10"/>
  <c r="M226" i="10"/>
  <c r="L231" i="10"/>
  <c r="L226" i="10"/>
  <c r="N234" i="5"/>
  <c r="BI260" i="7"/>
  <c r="BQ261" i="7"/>
  <c r="BQ265" i="7" s="1"/>
  <c r="BD260" i="7"/>
  <c r="BL261" i="7"/>
  <c r="BL265" i="7" s="1"/>
  <c r="L260" i="7"/>
  <c r="T261" i="7"/>
  <c r="T265" i="7" s="1"/>
  <c r="AE260" i="7"/>
  <c r="AM261" i="7"/>
  <c r="AM265" i="7" s="1"/>
  <c r="BU260" i="7"/>
  <c r="CC261" i="7"/>
  <c r="CC265" i="7" s="1"/>
  <c r="P260" i="7"/>
  <c r="X261" i="7"/>
  <c r="X265" i="7" s="1"/>
  <c r="BZ260" i="7"/>
  <c r="CH261" i="7"/>
  <c r="I260" i="7"/>
  <c r="Q261" i="7"/>
  <c r="Q265" i="7" s="1"/>
  <c r="S260" i="7"/>
  <c r="AA261" i="7"/>
  <c r="AA265" i="7" s="1"/>
  <c r="BK260" i="7"/>
  <c r="BS261" i="7"/>
  <c r="BS265" i="7" s="1"/>
  <c r="O234" i="5"/>
  <c r="AA239" i="5" s="1"/>
  <c r="P230" i="10"/>
  <c r="P224" i="10"/>
  <c r="P225" i="10"/>
  <c r="I233" i="10"/>
  <c r="I228" i="10"/>
  <c r="I229" i="10" s="1"/>
  <c r="I235" i="10" s="1"/>
  <c r="I215" i="10" s="1"/>
  <c r="H232" i="10"/>
  <c r="H227" i="10"/>
  <c r="Q231" i="10"/>
  <c r="Q226" i="10"/>
  <c r="P237" i="7"/>
  <c r="P236" i="7"/>
  <c r="T237" i="7"/>
  <c r="T239" i="7"/>
  <c r="T236" i="7"/>
  <c r="X239" i="7"/>
  <c r="X236" i="7"/>
  <c r="X237" i="7"/>
  <c r="O236" i="7"/>
  <c r="O237" i="7"/>
  <c r="S236" i="7"/>
  <c r="S237" i="7"/>
  <c r="S239" i="7"/>
  <c r="W237" i="7"/>
  <c r="W236" i="7"/>
  <c r="W239" i="7"/>
  <c r="AA239" i="7"/>
  <c r="J224" i="10"/>
  <c r="P266" i="5"/>
  <c r="Q266" i="5" s="1"/>
  <c r="R266" i="5" s="1"/>
  <c r="G234" i="5"/>
  <c r="R237" i="7"/>
  <c r="R236" i="7"/>
  <c r="V239" i="7"/>
  <c r="V236" i="7"/>
  <c r="V237" i="7"/>
  <c r="Z239" i="7"/>
  <c r="Z236" i="7"/>
  <c r="Z237" i="7"/>
  <c r="J229" i="5"/>
  <c r="J235" i="5" s="1"/>
  <c r="J215" i="5" s="1"/>
  <c r="AR260" i="7"/>
  <c r="AZ261" i="7"/>
  <c r="AZ265" i="7" s="1"/>
  <c r="CC260" i="7"/>
  <c r="BH260" i="7"/>
  <c r="BP261" i="7"/>
  <c r="BP265" i="7" s="1"/>
  <c r="AP260" i="7"/>
  <c r="AX261" i="7"/>
  <c r="AX265" i="7" s="1"/>
  <c r="BS260" i="7"/>
  <c r="CA261" i="7"/>
  <c r="CA265" i="7" s="1"/>
  <c r="R260" i="7"/>
  <c r="Z261" i="7"/>
  <c r="Z265" i="7" s="1"/>
  <c r="CH260" i="7"/>
  <c r="AT260" i="7"/>
  <c r="BB261" i="7"/>
  <c r="BB265" i="7" s="1"/>
  <c r="W260" i="7"/>
  <c r="AE261" i="7"/>
  <c r="AA260" i="7"/>
  <c r="AI261" i="7"/>
  <c r="AI265" i="7" s="1"/>
  <c r="AE265" i="5"/>
  <c r="N233" i="10"/>
  <c r="N228" i="10"/>
  <c r="G230" i="10"/>
  <c r="G224" i="10"/>
  <c r="G225" i="10"/>
  <c r="G231" i="10"/>
  <c r="G226" i="10"/>
  <c r="P231" i="10"/>
  <c r="P226" i="10"/>
  <c r="E263" i="7"/>
  <c r="R234" i="5"/>
  <c r="O233" i="10"/>
  <c r="O228" i="10"/>
  <c r="W265" i="5"/>
  <c r="I229" i="5"/>
  <c r="I235" i="5" s="1"/>
  <c r="I215" i="5" s="1"/>
  <c r="J234" i="5"/>
  <c r="BG260" i="7"/>
  <c r="BO261" i="7"/>
  <c r="BO265" i="7" s="1"/>
  <c r="X260" i="7"/>
  <c r="AF261" i="7"/>
  <c r="AF265" i="7" s="1"/>
  <c r="U260" i="7"/>
  <c r="AC261" i="7"/>
  <c r="AC265" i="7" s="1"/>
  <c r="AU260" i="7"/>
  <c r="BC261" i="7"/>
  <c r="BC265" i="7" s="1"/>
  <c r="AV260" i="7"/>
  <c r="BD261" i="7"/>
  <c r="BD265" i="7" s="1"/>
  <c r="AH260" i="7"/>
  <c r="AP261" i="7"/>
  <c r="AP265" i="7" s="1"/>
  <c r="BL260" i="7"/>
  <c r="BT261" i="7"/>
  <c r="BT265" i="7" s="1"/>
  <c r="AJ260" i="7"/>
  <c r="AR261" i="7"/>
  <c r="AR265" i="7" s="1"/>
  <c r="BE260" i="7"/>
  <c r="BM261" i="7"/>
  <c r="BM265" i="7" s="1"/>
  <c r="AX260" i="7"/>
  <c r="BF261" i="7"/>
  <c r="BF265" i="7" s="1"/>
  <c r="M232" i="10"/>
  <c r="M227" i="10"/>
  <c r="P233" i="10"/>
  <c r="P228" i="10"/>
  <c r="L232" i="10"/>
  <c r="L227" i="10"/>
  <c r="I234" i="10" l="1"/>
  <c r="R234" i="10"/>
  <c r="K235" i="10"/>
  <c r="K215" i="10" s="1"/>
  <c r="AE265" i="7"/>
  <c r="O234" i="10"/>
  <c r="N234" i="10"/>
  <c r="Z237" i="10" s="1"/>
  <c r="O229" i="10"/>
  <c r="O235" i="10" s="1"/>
  <c r="O215" i="10" s="1"/>
  <c r="CD260" i="10"/>
  <c r="N229" i="10"/>
  <c r="N235" i="10" s="1"/>
  <c r="N215" i="10" s="1"/>
  <c r="R229" i="10"/>
  <c r="S265" i="7"/>
  <c r="CF260" i="10"/>
  <c r="CG260" i="10"/>
  <c r="R237" i="10"/>
  <c r="R236" i="10"/>
  <c r="V236" i="10"/>
  <c r="V239" i="10"/>
  <c r="G215" i="5"/>
  <c r="AA238" i="5"/>
  <c r="AA240" i="5"/>
  <c r="G234" i="10"/>
  <c r="G229" i="10"/>
  <c r="G235" i="10" s="1"/>
  <c r="S238" i="7"/>
  <c r="S240" i="7"/>
  <c r="S219" i="7" s="1"/>
  <c r="E258" i="10"/>
  <c r="W263" i="10"/>
  <c r="E263" i="10" s="1"/>
  <c r="E257" i="10"/>
  <c r="S262" i="10"/>
  <c r="E262" i="10" s="1"/>
  <c r="Z260" i="10"/>
  <c r="AH261" i="10"/>
  <c r="AH265" i="10" s="1"/>
  <c r="AY260" i="10"/>
  <c r="BG261" i="10"/>
  <c r="BG265" i="10" s="1"/>
  <c r="V260" i="10"/>
  <c r="AD261" i="10"/>
  <c r="AD265" i="10" s="1"/>
  <c r="AR260" i="10"/>
  <c r="AZ261" i="10"/>
  <c r="AZ265" i="10" s="1"/>
  <c r="AE260" i="10"/>
  <c r="AM261" i="10"/>
  <c r="AM265" i="10" s="1"/>
  <c r="BV260" i="10"/>
  <c r="CD261" i="10"/>
  <c r="CD265" i="10" s="1"/>
  <c r="BC260" i="10"/>
  <c r="BK261" i="10"/>
  <c r="BK265" i="10" s="1"/>
  <c r="AX260" i="10"/>
  <c r="BF261" i="10"/>
  <c r="BF265" i="10" s="1"/>
  <c r="BG260" i="10"/>
  <c r="BO261" i="10"/>
  <c r="BO265" i="10" s="1"/>
  <c r="Q260" i="10"/>
  <c r="Y261" i="10"/>
  <c r="Y265" i="10" s="1"/>
  <c r="AN260" i="10"/>
  <c r="AV261" i="10"/>
  <c r="AV265" i="10" s="1"/>
  <c r="BM260" i="10"/>
  <c r="BU261" i="10"/>
  <c r="BU265" i="10" s="1"/>
  <c r="BS260" i="10"/>
  <c r="CA261" i="10"/>
  <c r="CA265" i="10" s="1"/>
  <c r="BR260" i="10"/>
  <c r="BZ261" i="10"/>
  <c r="BZ265" i="10" s="1"/>
  <c r="BO260" i="10"/>
  <c r="BW261" i="10"/>
  <c r="BW265" i="10" s="1"/>
  <c r="AB260" i="10"/>
  <c r="AJ261" i="10"/>
  <c r="AJ265" i="10" s="1"/>
  <c r="BZ260" i="10"/>
  <c r="CH261" i="10"/>
  <c r="AC260" i="10"/>
  <c r="AK261" i="10"/>
  <c r="AK265" i="10" s="1"/>
  <c r="AM260" i="10"/>
  <c r="AU261" i="10"/>
  <c r="AU265" i="10" s="1"/>
  <c r="BD260" i="10"/>
  <c r="BL261" i="10"/>
  <c r="BL265" i="10" s="1"/>
  <c r="E31" i="11"/>
  <c r="CH34" i="11"/>
  <c r="E34" i="11" s="1"/>
  <c r="P266" i="7"/>
  <c r="Q266" i="7" s="1"/>
  <c r="R266" i="7" s="1"/>
  <c r="S266" i="5"/>
  <c r="T266" i="5" s="1"/>
  <c r="U266" i="5" s="1"/>
  <c r="V266" i="5" s="1"/>
  <c r="W266" i="5" s="1"/>
  <c r="X266" i="5" s="1"/>
  <c r="Y266" i="5" s="1"/>
  <c r="Z266" i="5" s="1"/>
  <c r="AA266" i="5" s="1"/>
  <c r="AB266" i="5" s="1"/>
  <c r="AC266" i="5" s="1"/>
  <c r="AD266" i="5" s="1"/>
  <c r="AE266" i="5" s="1"/>
  <c r="AF266" i="5" s="1"/>
  <c r="AG266" i="5" s="1"/>
  <c r="AH266" i="5" s="1"/>
  <c r="AI266" i="5" s="1"/>
  <c r="AJ266" i="5" s="1"/>
  <c r="AK266" i="5" s="1"/>
  <c r="AL266" i="5" s="1"/>
  <c r="AM266" i="5" s="1"/>
  <c r="AN266" i="5" s="1"/>
  <c r="AO266" i="5" s="1"/>
  <c r="AP266" i="5" s="1"/>
  <c r="AQ266" i="5" s="1"/>
  <c r="AR266" i="5" s="1"/>
  <c r="AS266" i="5" s="1"/>
  <c r="AT266" i="5" s="1"/>
  <c r="AU266" i="5" s="1"/>
  <c r="AV266" i="5" s="1"/>
  <c r="AW266" i="5" s="1"/>
  <c r="AX266" i="5" s="1"/>
  <c r="AY266" i="5" s="1"/>
  <c r="AZ266" i="5" s="1"/>
  <c r="BA266" i="5" s="1"/>
  <c r="BB266" i="5" s="1"/>
  <c r="BC266" i="5" s="1"/>
  <c r="BD266" i="5" s="1"/>
  <c r="BE266" i="5" s="1"/>
  <c r="BF266" i="5" s="1"/>
  <c r="BG266" i="5" s="1"/>
  <c r="BH266" i="5" s="1"/>
  <c r="BI266" i="5" s="1"/>
  <c r="BJ266" i="5" s="1"/>
  <c r="BK266" i="5" s="1"/>
  <c r="BL266" i="5" s="1"/>
  <c r="BM266" i="5" s="1"/>
  <c r="BN266" i="5" s="1"/>
  <c r="BO266" i="5" s="1"/>
  <c r="BP266" i="5" s="1"/>
  <c r="BQ266" i="5" s="1"/>
  <c r="BR266" i="5" s="1"/>
  <c r="BS266" i="5" s="1"/>
  <c r="BT266" i="5" s="1"/>
  <c r="BU266" i="5" s="1"/>
  <c r="BV266" i="5" s="1"/>
  <c r="BW266" i="5" s="1"/>
  <c r="BX266" i="5" s="1"/>
  <c r="BY266" i="5" s="1"/>
  <c r="BZ266" i="5" s="1"/>
  <c r="CA266" i="5" s="1"/>
  <c r="CB266" i="5" s="1"/>
  <c r="CC266" i="5" s="1"/>
  <c r="CD266" i="5" s="1"/>
  <c r="CE266" i="5" s="1"/>
  <c r="CF266" i="5" s="1"/>
  <c r="CG266" i="5" s="1"/>
  <c r="CH266" i="5" s="1"/>
  <c r="E266" i="5" s="1"/>
  <c r="Z238" i="7"/>
  <c r="Z240" i="7"/>
  <c r="O236" i="5"/>
  <c r="O237" i="5"/>
  <c r="S236" i="5"/>
  <c r="S239" i="5"/>
  <c r="S237" i="5"/>
  <c r="W239" i="5"/>
  <c r="W237" i="5"/>
  <c r="W236" i="5"/>
  <c r="J235" i="10"/>
  <c r="J215" i="10" s="1"/>
  <c r="T238" i="7"/>
  <c r="T240" i="7"/>
  <c r="AB238" i="7"/>
  <c r="AB240" i="7"/>
  <c r="AA239" i="10"/>
  <c r="AQ260" i="10"/>
  <c r="AY261" i="10"/>
  <c r="AY265" i="10" s="1"/>
  <c r="BT260" i="10"/>
  <c r="CB261" i="10"/>
  <c r="CB265" i="10" s="1"/>
  <c r="L260" i="10"/>
  <c r="T261" i="10"/>
  <c r="T265" i="10" s="1"/>
  <c r="AU260" i="10"/>
  <c r="BC261" i="10"/>
  <c r="BC265" i="10" s="1"/>
  <c r="AA260" i="10"/>
  <c r="AI261" i="10"/>
  <c r="AI265" i="10" s="1"/>
  <c r="AP260" i="10"/>
  <c r="AX261" i="10"/>
  <c r="AX265" i="10" s="1"/>
  <c r="S260" i="10"/>
  <c r="AA261" i="10"/>
  <c r="AA265" i="10" s="1"/>
  <c r="AV260" i="10"/>
  <c r="BD261" i="10"/>
  <c r="BD265" i="10" s="1"/>
  <c r="M260" i="10"/>
  <c r="U261" i="10"/>
  <c r="U265" i="10" s="1"/>
  <c r="BW260" i="10"/>
  <c r="CE261" i="10"/>
  <c r="CE265" i="10" s="1"/>
  <c r="M229" i="10"/>
  <c r="M235" i="10" s="1"/>
  <c r="M215" i="10" s="1"/>
  <c r="E259" i="10"/>
  <c r="AE264" i="10"/>
  <c r="E264" i="10" s="1"/>
  <c r="BA260" i="10"/>
  <c r="BI261" i="10"/>
  <c r="BI265" i="10" s="1"/>
  <c r="BI260" i="10"/>
  <c r="BQ261" i="10"/>
  <c r="BQ265" i="10" s="1"/>
  <c r="BQ260" i="10"/>
  <c r="BY261" i="10"/>
  <c r="BY265" i="10" s="1"/>
  <c r="BJ260" i="10"/>
  <c r="BR261" i="10"/>
  <c r="BR265" i="10" s="1"/>
  <c r="X260" i="10"/>
  <c r="AF261" i="10"/>
  <c r="AF265" i="10" s="1"/>
  <c r="AI260" i="10"/>
  <c r="AQ261" i="10"/>
  <c r="AQ265" i="10" s="1"/>
  <c r="I260" i="10"/>
  <c r="Q261" i="10"/>
  <c r="Q265" i="10" s="1"/>
  <c r="BE260" i="10"/>
  <c r="BM261" i="10"/>
  <c r="BM265" i="10" s="1"/>
  <c r="E260" i="7"/>
  <c r="M234" i="10"/>
  <c r="U237" i="10" s="1"/>
  <c r="AD238" i="7"/>
  <c r="AD240" i="7"/>
  <c r="AC238" i="5"/>
  <c r="AC240" i="5"/>
  <c r="R236" i="5"/>
  <c r="R237" i="5"/>
  <c r="V236" i="5"/>
  <c r="V239" i="5"/>
  <c r="V237" i="5"/>
  <c r="Z239" i="5"/>
  <c r="Z237" i="5"/>
  <c r="Z236" i="5"/>
  <c r="W238" i="7"/>
  <c r="W240" i="7"/>
  <c r="P234" i="10"/>
  <c r="AD239" i="5"/>
  <c r="P236" i="5"/>
  <c r="P237" i="5"/>
  <c r="T237" i="5"/>
  <c r="T236" i="5"/>
  <c r="T239" i="5"/>
  <c r="X237" i="5"/>
  <c r="X239" i="5"/>
  <c r="X236" i="5"/>
  <c r="L229" i="10"/>
  <c r="L235" i="10" s="1"/>
  <c r="L215" i="10" s="1"/>
  <c r="T260" i="10"/>
  <c r="AB261" i="10"/>
  <c r="AB265" i="10" s="1"/>
  <c r="P260" i="10"/>
  <c r="X261" i="10"/>
  <c r="X265" i="10" s="1"/>
  <c r="AZ260" i="10"/>
  <c r="BH261" i="10"/>
  <c r="BH265" i="10" s="1"/>
  <c r="K260" i="10"/>
  <c r="S261" i="10"/>
  <c r="S265" i="10" s="1"/>
  <c r="BK260" i="10"/>
  <c r="BS261" i="10"/>
  <c r="BS265" i="10" s="1"/>
  <c r="H260" i="10"/>
  <c r="P261" i="10"/>
  <c r="P265" i="10" s="1"/>
  <c r="U260" i="10"/>
  <c r="AC261" i="10"/>
  <c r="AC265" i="10" s="1"/>
  <c r="G260" i="10"/>
  <c r="E256" i="10"/>
  <c r="O261" i="10"/>
  <c r="O265" i="10" s="1"/>
  <c r="O266" i="10" s="1"/>
  <c r="AG260" i="10"/>
  <c r="AO261" i="10"/>
  <c r="AO265" i="10" s="1"/>
  <c r="CH260" i="10"/>
  <c r="Q229" i="10"/>
  <c r="Q235" i="10" s="1"/>
  <c r="Q215" i="10" s="1"/>
  <c r="H229" i="10"/>
  <c r="H235" i="10" s="1"/>
  <c r="H215" i="10" s="1"/>
  <c r="Q236" i="5"/>
  <c r="Q237" i="5"/>
  <c r="U236" i="5"/>
  <c r="U237" i="5"/>
  <c r="U239" i="5"/>
  <c r="Y236" i="5"/>
  <c r="Y239" i="5"/>
  <c r="Y237" i="5"/>
  <c r="Q236" i="10"/>
  <c r="Q237" i="10"/>
  <c r="U239" i="10"/>
  <c r="V238" i="7"/>
  <c r="V240" i="7"/>
  <c r="AB239" i="5"/>
  <c r="AJ260" i="10"/>
  <c r="AR261" i="10"/>
  <c r="AR265" i="10" s="1"/>
  <c r="AL260" i="10"/>
  <c r="AT261" i="10"/>
  <c r="AT265" i="10" s="1"/>
  <c r="CA260" i="10"/>
  <c r="P229" i="10"/>
  <c r="P235" i="10" s="1"/>
  <c r="P215" i="10" s="1"/>
  <c r="O260" i="10"/>
  <c r="W261" i="10"/>
  <c r="W265" i="10" s="1"/>
  <c r="W260" i="10"/>
  <c r="AE261" i="10"/>
  <c r="AH260" i="10"/>
  <c r="AP261" i="10"/>
  <c r="AP265" i="10" s="1"/>
  <c r="BF260" i="10"/>
  <c r="BN261" i="10"/>
  <c r="BN265" i="10" s="1"/>
  <c r="BN260" i="10"/>
  <c r="BV261" i="10"/>
  <c r="BV265" i="10" s="1"/>
  <c r="AW260" i="10"/>
  <c r="BE261" i="10"/>
  <c r="BE265" i="10" s="1"/>
  <c r="CE260" i="10"/>
  <c r="CB260" i="10"/>
  <c r="AK260" i="10"/>
  <c r="AS261" i="10"/>
  <c r="AS265" i="10" s="1"/>
  <c r="CC260" i="10"/>
  <c r="R260" i="10"/>
  <c r="Z261" i="10"/>
  <c r="Z265" i="10" s="1"/>
  <c r="BY260" i="10"/>
  <c r="CG261" i="10"/>
  <c r="CG265" i="10" s="1"/>
  <c r="AT260" i="10"/>
  <c r="BB261" i="10"/>
  <c r="BB265" i="10" s="1"/>
  <c r="BP260" i="10"/>
  <c r="BX261" i="10"/>
  <c r="BX265" i="10" s="1"/>
  <c r="AF260" i="10"/>
  <c r="AN261" i="10"/>
  <c r="AN265" i="10" s="1"/>
  <c r="BX260" i="10"/>
  <c r="CF261" i="10"/>
  <c r="CF265" i="10" s="1"/>
  <c r="Q234" i="10"/>
  <c r="H234" i="10"/>
  <c r="AA238" i="7"/>
  <c r="AA240" i="7"/>
  <c r="E265" i="5"/>
  <c r="X238" i="7"/>
  <c r="X240" i="7"/>
  <c r="CH265" i="7"/>
  <c r="E261" i="7"/>
  <c r="R235" i="10"/>
  <c r="R215" i="10" s="1"/>
  <c r="W265" i="7"/>
  <c r="L234" i="10"/>
  <c r="BH260" i="10"/>
  <c r="BP261" i="10"/>
  <c r="BP265" i="10" s="1"/>
  <c r="N260" i="10"/>
  <c r="V261" i="10"/>
  <c r="V265" i="10" s="1"/>
  <c r="BL260" i="10"/>
  <c r="BT261" i="10"/>
  <c r="BT265" i="10" s="1"/>
  <c r="AO260" i="10"/>
  <c r="AW261" i="10"/>
  <c r="AW265" i="10" s="1"/>
  <c r="AS260" i="10"/>
  <c r="BA261" i="10"/>
  <c r="BA265" i="10" s="1"/>
  <c r="Y260" i="10"/>
  <c r="AG261" i="10"/>
  <c r="AG265" i="10" s="1"/>
  <c r="J260" i="10"/>
  <c r="R261" i="10"/>
  <c r="R265" i="10" s="1"/>
  <c r="BU260" i="10"/>
  <c r="CC261" i="10"/>
  <c r="CC265" i="10" s="1"/>
  <c r="BB260" i="10"/>
  <c r="BJ261" i="10"/>
  <c r="BJ265" i="10" s="1"/>
  <c r="AD260" i="10"/>
  <c r="AL261" i="10"/>
  <c r="AL265" i="10" s="1"/>
  <c r="Y239" i="10" l="1"/>
  <c r="V237" i="10"/>
  <c r="AD239" i="10"/>
  <c r="Z236" i="10"/>
  <c r="Z239" i="10"/>
  <c r="Z238" i="10" s="1"/>
  <c r="S266" i="7"/>
  <c r="T266" i="7" s="1"/>
  <c r="U266" i="7" s="1"/>
  <c r="V266" i="7" s="1"/>
  <c r="W266" i="7" s="1"/>
  <c r="X266" i="7" s="1"/>
  <c r="Y266" i="7" s="1"/>
  <c r="Z266" i="7" s="1"/>
  <c r="AA266" i="7" s="1"/>
  <c r="AB266" i="7" s="1"/>
  <c r="AC266" i="7" s="1"/>
  <c r="AD266" i="7" s="1"/>
  <c r="AE266" i="7" s="1"/>
  <c r="AF266" i="7" s="1"/>
  <c r="AG266" i="7" s="1"/>
  <c r="AH266" i="7" s="1"/>
  <c r="AI266" i="7" s="1"/>
  <c r="AJ266" i="7" s="1"/>
  <c r="AK266" i="7" s="1"/>
  <c r="AL266" i="7" s="1"/>
  <c r="AM266" i="7" s="1"/>
  <c r="AN266" i="7" s="1"/>
  <c r="AO266" i="7" s="1"/>
  <c r="AP266" i="7" s="1"/>
  <c r="AQ266" i="7" s="1"/>
  <c r="AR266" i="7" s="1"/>
  <c r="AS266" i="7" s="1"/>
  <c r="AT266" i="7" s="1"/>
  <c r="AU266" i="7" s="1"/>
  <c r="AV266" i="7" s="1"/>
  <c r="AW266" i="7" s="1"/>
  <c r="AX266" i="7" s="1"/>
  <c r="AY266" i="7" s="1"/>
  <c r="AZ266" i="7" s="1"/>
  <c r="BA266" i="7" s="1"/>
  <c r="BB266" i="7" s="1"/>
  <c r="BC266" i="7" s="1"/>
  <c r="BD266" i="7" s="1"/>
  <c r="BE266" i="7" s="1"/>
  <c r="BF266" i="7" s="1"/>
  <c r="BG266" i="7" s="1"/>
  <c r="BH266" i="7" s="1"/>
  <c r="BI266" i="7" s="1"/>
  <c r="BJ266" i="7" s="1"/>
  <c r="BK266" i="7" s="1"/>
  <c r="BL266" i="7" s="1"/>
  <c r="BM266" i="7" s="1"/>
  <c r="BN266" i="7" s="1"/>
  <c r="BO266" i="7" s="1"/>
  <c r="BP266" i="7" s="1"/>
  <c r="BQ266" i="7" s="1"/>
  <c r="BR266" i="7" s="1"/>
  <c r="BS266" i="7" s="1"/>
  <c r="BT266" i="7" s="1"/>
  <c r="BU266" i="7" s="1"/>
  <c r="BV266" i="7" s="1"/>
  <c r="BW266" i="7" s="1"/>
  <c r="BX266" i="7" s="1"/>
  <c r="BY266" i="7" s="1"/>
  <c r="BZ266" i="7" s="1"/>
  <c r="CA266" i="7" s="1"/>
  <c r="CB266" i="7" s="1"/>
  <c r="CC266" i="7" s="1"/>
  <c r="CD266" i="7" s="1"/>
  <c r="CE266" i="7" s="1"/>
  <c r="CF266" i="7" s="1"/>
  <c r="CG266" i="7" s="1"/>
  <c r="CH266" i="7" s="1"/>
  <c r="E266" i="7" s="1"/>
  <c r="E260" i="10"/>
  <c r="S243" i="7"/>
  <c r="S222" i="7"/>
  <c r="S221" i="7"/>
  <c r="S223" i="7"/>
  <c r="S220" i="7"/>
  <c r="E265" i="7"/>
  <c r="Y238" i="5"/>
  <c r="Y240" i="5"/>
  <c r="AB239" i="10"/>
  <c r="P237" i="10"/>
  <c r="P236" i="10"/>
  <c r="T239" i="10"/>
  <c r="T237" i="10"/>
  <c r="T236" i="10"/>
  <c r="X239" i="10"/>
  <c r="X237" i="10"/>
  <c r="X236" i="10"/>
  <c r="AC239" i="10"/>
  <c r="AA238" i="10"/>
  <c r="AA240" i="10"/>
  <c r="AD238" i="10"/>
  <c r="AD240" i="10"/>
  <c r="V238" i="10"/>
  <c r="V240" i="10"/>
  <c r="CH265" i="10"/>
  <c r="E261" i="10"/>
  <c r="AB238" i="5"/>
  <c r="AB240" i="5"/>
  <c r="G215" i="10"/>
  <c r="W238" i="5"/>
  <c r="W240" i="5"/>
  <c r="T238" i="5"/>
  <c r="T240" i="5"/>
  <c r="Y238" i="10"/>
  <c r="Y240" i="10"/>
  <c r="Z238" i="5"/>
  <c r="Z240" i="5"/>
  <c r="Y236" i="10"/>
  <c r="Y237" i="10"/>
  <c r="U238" i="10"/>
  <c r="U240" i="10"/>
  <c r="P266" i="10"/>
  <c r="Q266" i="10" s="1"/>
  <c r="R266" i="10" s="1"/>
  <c r="S266" i="10" s="1"/>
  <c r="T266" i="10" s="1"/>
  <c r="U266" i="10" s="1"/>
  <c r="V266" i="10" s="1"/>
  <c r="W266" i="10" s="1"/>
  <c r="X266" i="10" s="1"/>
  <c r="Y266" i="10" s="1"/>
  <c r="Z266" i="10" s="1"/>
  <c r="AA266" i="10" s="1"/>
  <c r="AB266" i="10" s="1"/>
  <c r="AC266" i="10" s="1"/>
  <c r="AD266" i="10" s="1"/>
  <c r="AD238" i="5"/>
  <c r="AD240" i="5"/>
  <c r="U238" i="5"/>
  <c r="U240" i="5"/>
  <c r="V238" i="5"/>
  <c r="V240" i="5"/>
  <c r="AE265" i="10"/>
  <c r="U236" i="10"/>
  <c r="X238" i="5"/>
  <c r="X240" i="5"/>
  <c r="S238" i="5"/>
  <c r="S240" i="5"/>
  <c r="S219" i="5" s="1"/>
  <c r="O236" i="10"/>
  <c r="O237" i="10"/>
  <c r="S239" i="10"/>
  <c r="S236" i="10"/>
  <c r="S237" i="10"/>
  <c r="W239" i="10"/>
  <c r="W237" i="10"/>
  <c r="W236" i="10"/>
  <c r="Z240" i="10" l="1"/>
  <c r="W238" i="10"/>
  <c r="W240" i="10"/>
  <c r="AE266" i="10"/>
  <c r="AF266" i="10" s="1"/>
  <c r="AG266" i="10" s="1"/>
  <c r="AH266" i="10" s="1"/>
  <c r="AI266" i="10" s="1"/>
  <c r="AJ266" i="10" s="1"/>
  <c r="AK266" i="10" s="1"/>
  <c r="AL266" i="10" s="1"/>
  <c r="AM266" i="10" s="1"/>
  <c r="AN266" i="10" s="1"/>
  <c r="AO266" i="10" s="1"/>
  <c r="AP266" i="10" s="1"/>
  <c r="AQ266" i="10" s="1"/>
  <c r="AR266" i="10" s="1"/>
  <c r="AS266" i="10" s="1"/>
  <c r="AT266" i="10" s="1"/>
  <c r="AU266" i="10" s="1"/>
  <c r="AV266" i="10" s="1"/>
  <c r="AW266" i="10" s="1"/>
  <c r="AX266" i="10" s="1"/>
  <c r="AY266" i="10" s="1"/>
  <c r="AZ266" i="10" s="1"/>
  <c r="BA266" i="10" s="1"/>
  <c r="BB266" i="10" s="1"/>
  <c r="BC266" i="10" s="1"/>
  <c r="BD266" i="10" s="1"/>
  <c r="BE266" i="10" s="1"/>
  <c r="BF266" i="10" s="1"/>
  <c r="BG266" i="10" s="1"/>
  <c r="BH266" i="10" s="1"/>
  <c r="BI266" i="10" s="1"/>
  <c r="BJ266" i="10" s="1"/>
  <c r="BK266" i="10" s="1"/>
  <c r="BL266" i="10" s="1"/>
  <c r="BM266" i="10" s="1"/>
  <c r="BN266" i="10" s="1"/>
  <c r="BO266" i="10" s="1"/>
  <c r="BP266" i="10" s="1"/>
  <c r="BQ266" i="10" s="1"/>
  <c r="BR266" i="10" s="1"/>
  <c r="BS266" i="10" s="1"/>
  <c r="BT266" i="10" s="1"/>
  <c r="BU266" i="10" s="1"/>
  <c r="BV266" i="10" s="1"/>
  <c r="BW266" i="10" s="1"/>
  <c r="BX266" i="10" s="1"/>
  <c r="BY266" i="10" s="1"/>
  <c r="BZ266" i="10" s="1"/>
  <c r="CA266" i="10" s="1"/>
  <c r="CB266" i="10" s="1"/>
  <c r="CC266" i="10" s="1"/>
  <c r="CD266" i="10" s="1"/>
  <c r="CE266" i="10" s="1"/>
  <c r="CF266" i="10" s="1"/>
  <c r="CG266" i="10" s="1"/>
  <c r="CH266" i="10" s="1"/>
  <c r="E266" i="10" s="1"/>
  <c r="S243" i="5"/>
  <c r="S222" i="5"/>
  <c r="S221" i="5"/>
  <c r="S223" i="5"/>
  <c r="S220" i="5"/>
  <c r="AC238" i="10"/>
  <c r="AC240" i="10"/>
  <c r="X238" i="10"/>
  <c r="X240" i="10"/>
  <c r="S230" i="7"/>
  <c r="S224" i="7"/>
  <c r="S225" i="7"/>
  <c r="S233" i="7"/>
  <c r="S228" i="7"/>
  <c r="AB238" i="10"/>
  <c r="AB240" i="10"/>
  <c r="S231" i="7"/>
  <c r="S226" i="7"/>
  <c r="T238" i="10"/>
  <c r="T240" i="10"/>
  <c r="S232" i="7"/>
  <c r="S227" i="7"/>
  <c r="S238" i="10"/>
  <c r="S240" i="10"/>
  <c r="S219" i="10" s="1"/>
  <c r="E265" i="10"/>
  <c r="T219" i="7"/>
  <c r="S229" i="7" l="1"/>
  <c r="S224" i="5"/>
  <c r="S230" i="5"/>
  <c r="S225" i="5"/>
  <c r="T221" i="7"/>
  <c r="T220" i="7"/>
  <c r="T222" i="7"/>
  <c r="T223" i="7"/>
  <c r="S235" i="7"/>
  <c r="S231" i="5"/>
  <c r="S226" i="5"/>
  <c r="T243" i="7"/>
  <c r="S234" i="7"/>
  <c r="T219" i="5"/>
  <c r="T243" i="5" s="1"/>
  <c r="S243" i="10"/>
  <c r="S221" i="10"/>
  <c r="S223" i="10"/>
  <c r="S220" i="10"/>
  <c r="S222" i="10"/>
  <c r="S233" i="5"/>
  <c r="S228" i="5"/>
  <c r="S232" i="5"/>
  <c r="S227" i="5"/>
  <c r="S229" i="5" l="1"/>
  <c r="S215" i="7"/>
  <c r="T220" i="5"/>
  <c r="T221" i="5"/>
  <c r="T222" i="5"/>
  <c r="T223" i="5"/>
  <c r="U219" i="5"/>
  <c r="S234" i="5"/>
  <c r="S233" i="10"/>
  <c r="S228" i="10"/>
  <c r="U219" i="7"/>
  <c r="T224" i="7"/>
  <c r="T230" i="7"/>
  <c r="T225" i="7"/>
  <c r="S232" i="10"/>
  <c r="S227" i="10"/>
  <c r="S235" i="5"/>
  <c r="T232" i="7"/>
  <c r="T227" i="7"/>
  <c r="S231" i="10"/>
  <c r="S226" i="10"/>
  <c r="T231" i="7"/>
  <c r="T226" i="7"/>
  <c r="T233" i="7"/>
  <c r="T228" i="7"/>
  <c r="S230" i="10"/>
  <c r="S224" i="10"/>
  <c r="S225" i="10"/>
  <c r="AA236" i="7"/>
  <c r="AA237" i="7"/>
  <c r="AE239" i="7"/>
  <c r="T219" i="10"/>
  <c r="T243" i="10" s="1"/>
  <c r="T229" i="7" l="1"/>
  <c r="T232" i="5"/>
  <c r="T227" i="5"/>
  <c r="T234" i="7"/>
  <c r="T231" i="5"/>
  <c r="T226" i="5"/>
  <c r="S229" i="10"/>
  <c r="T235" i="7"/>
  <c r="AA237" i="5"/>
  <c r="AA236" i="5"/>
  <c r="AE239" i="5"/>
  <c r="T224" i="5"/>
  <c r="T230" i="5"/>
  <c r="T225" i="5"/>
  <c r="U219" i="10"/>
  <c r="U220" i="7"/>
  <c r="U223" i="7"/>
  <c r="U221" i="7"/>
  <c r="U222" i="7"/>
  <c r="U221" i="5"/>
  <c r="U220" i="5"/>
  <c r="U223" i="5"/>
  <c r="U222" i="5"/>
  <c r="U243" i="7"/>
  <c r="U243" i="5"/>
  <c r="AE238" i="7"/>
  <c r="AE240" i="7"/>
  <c r="T222" i="10"/>
  <c r="T223" i="10"/>
  <c r="T220" i="10"/>
  <c r="T221" i="10"/>
  <c r="S215" i="5"/>
  <c r="S234" i="10"/>
  <c r="T233" i="5"/>
  <c r="T228" i="5"/>
  <c r="U231" i="7" l="1"/>
  <c r="U226" i="7"/>
  <c r="AE238" i="5"/>
  <c r="AE240" i="5"/>
  <c r="T230" i="10"/>
  <c r="T224" i="10"/>
  <c r="T225" i="10"/>
  <c r="U224" i="5"/>
  <c r="U230" i="5"/>
  <c r="U225" i="5"/>
  <c r="AB237" i="7"/>
  <c r="AB236" i="7"/>
  <c r="AF239" i="7"/>
  <c r="T229" i="5"/>
  <c r="T215" i="7"/>
  <c r="T233" i="10"/>
  <c r="T228" i="10"/>
  <c r="U231" i="5"/>
  <c r="U226" i="5"/>
  <c r="T232" i="10"/>
  <c r="T227" i="10"/>
  <c r="V219" i="7"/>
  <c r="T234" i="5"/>
  <c r="U233" i="7"/>
  <c r="U228" i="7"/>
  <c r="U230" i="7"/>
  <c r="U224" i="7"/>
  <c r="U225" i="7"/>
  <c r="V219" i="5"/>
  <c r="AA237" i="10"/>
  <c r="AA236" i="10"/>
  <c r="AE239" i="10"/>
  <c r="U232" i="7"/>
  <c r="U227" i="7"/>
  <c r="S235" i="10"/>
  <c r="U232" i="5"/>
  <c r="U227" i="5"/>
  <c r="U223" i="10"/>
  <c r="U220" i="10"/>
  <c r="U221" i="10"/>
  <c r="U222" i="10"/>
  <c r="T231" i="10"/>
  <c r="T226" i="10"/>
  <c r="U233" i="5"/>
  <c r="U228" i="5"/>
  <c r="U243" i="10"/>
  <c r="U229" i="5" l="1"/>
  <c r="U231" i="10"/>
  <c r="U226" i="10"/>
  <c r="U233" i="10"/>
  <c r="U228" i="10"/>
  <c r="U234" i="5"/>
  <c r="U235" i="5"/>
  <c r="U215" i="5" s="1"/>
  <c r="T235" i="5"/>
  <c r="U230" i="10"/>
  <c r="U224" i="10"/>
  <c r="U225" i="10"/>
  <c r="AE238" i="10"/>
  <c r="AE240" i="10"/>
  <c r="U229" i="7"/>
  <c r="U235" i="7" s="1"/>
  <c r="U234" i="7"/>
  <c r="AF239" i="5"/>
  <c r="AB236" i="5"/>
  <c r="AB237" i="5"/>
  <c r="V223" i="5"/>
  <c r="V221" i="5"/>
  <c r="V220" i="5"/>
  <c r="V222" i="5"/>
  <c r="V223" i="7"/>
  <c r="V222" i="7"/>
  <c r="V220" i="7"/>
  <c r="V221" i="7"/>
  <c r="S215" i="10"/>
  <c r="AF238" i="7"/>
  <c r="AF240" i="7"/>
  <c r="T229" i="10"/>
  <c r="V219" i="10"/>
  <c r="U232" i="10"/>
  <c r="U227" i="10"/>
  <c r="V243" i="5"/>
  <c r="V243" i="7"/>
  <c r="T234" i="10"/>
  <c r="U234" i="10" l="1"/>
  <c r="U215" i="7"/>
  <c r="AF239" i="10"/>
  <c r="AB237" i="10"/>
  <c r="AB236" i="10"/>
  <c r="V233" i="5"/>
  <c r="V228" i="5"/>
  <c r="AC237" i="5"/>
  <c r="AC236" i="5"/>
  <c r="AG239" i="5"/>
  <c r="V231" i="7"/>
  <c r="V226" i="7"/>
  <c r="AG239" i="10"/>
  <c r="AC237" i="10"/>
  <c r="AC236" i="10"/>
  <c r="W219" i="7"/>
  <c r="W243" i="7" s="1"/>
  <c r="V230" i="7"/>
  <c r="V224" i="7"/>
  <c r="V225" i="7"/>
  <c r="T215" i="5"/>
  <c r="V233" i="7"/>
  <c r="V228" i="7"/>
  <c r="V232" i="5"/>
  <c r="V227" i="5"/>
  <c r="AF238" i="5"/>
  <c r="AF240" i="5"/>
  <c r="W219" i="5"/>
  <c r="W243" i="5" s="1"/>
  <c r="V232" i="7"/>
  <c r="V227" i="7"/>
  <c r="V220" i="10"/>
  <c r="V223" i="10"/>
  <c r="V221" i="10"/>
  <c r="V222" i="10"/>
  <c r="V230" i="5"/>
  <c r="V224" i="5"/>
  <c r="V225" i="5"/>
  <c r="V243" i="10"/>
  <c r="T235" i="10"/>
  <c r="V231" i="5"/>
  <c r="V226" i="5"/>
  <c r="AG239" i="7"/>
  <c r="AC237" i="7"/>
  <c r="AC236" i="7"/>
  <c r="U229" i="10"/>
  <c r="U235" i="10" s="1"/>
  <c r="U215" i="10" s="1"/>
  <c r="X219" i="7" l="1"/>
  <c r="X219" i="5"/>
  <c r="V232" i="10"/>
  <c r="V227" i="10"/>
  <c r="V234" i="7"/>
  <c r="V234" i="5"/>
  <c r="AF238" i="10"/>
  <c r="AF240" i="10"/>
  <c r="W222" i="5"/>
  <c r="W221" i="5"/>
  <c r="W223" i="5"/>
  <c r="W220" i="5"/>
  <c r="V231" i="10"/>
  <c r="V226" i="10"/>
  <c r="V230" i="10"/>
  <c r="V224" i="10"/>
  <c r="V225" i="10"/>
  <c r="V229" i="7"/>
  <c r="V235" i="7" s="1"/>
  <c r="T215" i="10"/>
  <c r="W219" i="10"/>
  <c r="V233" i="10"/>
  <c r="V228" i="10"/>
  <c r="AG238" i="5"/>
  <c r="AG240" i="5"/>
  <c r="V229" i="5"/>
  <c r="V235" i="5" s="1"/>
  <c r="W220" i="7"/>
  <c r="W223" i="7"/>
  <c r="W221" i="7"/>
  <c r="W222" i="7"/>
  <c r="AG238" i="10"/>
  <c r="AG240" i="10"/>
  <c r="AG238" i="7"/>
  <c r="AG240" i="7"/>
  <c r="W233" i="5" l="1"/>
  <c r="W228" i="5"/>
  <c r="AH239" i="7"/>
  <c r="AD237" i="7"/>
  <c r="AD236" i="7"/>
  <c r="V234" i="10"/>
  <c r="V215" i="5"/>
  <c r="X222" i="5"/>
  <c r="X223" i="5"/>
  <c r="X220" i="5"/>
  <c r="X221" i="5"/>
  <c r="W221" i="10"/>
  <c r="W220" i="10"/>
  <c r="W223" i="10"/>
  <c r="W222" i="10"/>
  <c r="W243" i="10"/>
  <c r="W232" i="7"/>
  <c r="W227" i="7"/>
  <c r="X243" i="5"/>
  <c r="W224" i="7"/>
  <c r="W230" i="7"/>
  <c r="W225" i="7"/>
  <c r="V229" i="10"/>
  <c r="V235" i="10" s="1"/>
  <c r="W232" i="5"/>
  <c r="W227" i="5"/>
  <c r="V215" i="7"/>
  <c r="AH239" i="5"/>
  <c r="AD236" i="5"/>
  <c r="AD237" i="5"/>
  <c r="X223" i="7"/>
  <c r="X220" i="7"/>
  <c r="X221" i="7"/>
  <c r="X222" i="7"/>
  <c r="W231" i="5"/>
  <c r="W226" i="5"/>
  <c r="W231" i="7"/>
  <c r="W226" i="7"/>
  <c r="W233" i="7"/>
  <c r="W228" i="7"/>
  <c r="W230" i="5"/>
  <c r="W224" i="5"/>
  <c r="W225" i="5"/>
  <c r="X243" i="7"/>
  <c r="X233" i="5" l="1"/>
  <c r="X228" i="5"/>
  <c r="Y219" i="7"/>
  <c r="X224" i="5"/>
  <c r="X230" i="5"/>
  <c r="X225" i="5"/>
  <c r="W229" i="5"/>
  <c r="W235" i="5" s="1"/>
  <c r="W229" i="7"/>
  <c r="W235" i="7" s="1"/>
  <c r="W215" i="7" s="1"/>
  <c r="X232" i="7"/>
  <c r="X227" i="7"/>
  <c r="W234" i="7"/>
  <c r="W233" i="10"/>
  <c r="W228" i="10"/>
  <c r="V215" i="10"/>
  <c r="X219" i="10"/>
  <c r="X232" i="5"/>
  <c r="X227" i="5"/>
  <c r="W232" i="10"/>
  <c r="W227" i="10"/>
  <c r="W230" i="10"/>
  <c r="W224" i="10"/>
  <c r="W225" i="10"/>
  <c r="X231" i="7"/>
  <c r="X226" i="7"/>
  <c r="X224" i="7"/>
  <c r="X230" i="7"/>
  <c r="X225" i="7"/>
  <c r="AH238" i="5"/>
  <c r="AH240" i="5"/>
  <c r="Y219" i="5"/>
  <c r="W231" i="10"/>
  <c r="W226" i="10"/>
  <c r="AH239" i="10"/>
  <c r="AD236" i="10"/>
  <c r="AD237" i="10"/>
  <c r="W234" i="5"/>
  <c r="X233" i="7"/>
  <c r="X228" i="7"/>
  <c r="X231" i="5"/>
  <c r="X226" i="5"/>
  <c r="AH238" i="7"/>
  <c r="AH240" i="7"/>
  <c r="X229" i="5" l="1"/>
  <c r="X234" i="5"/>
  <c r="X234" i="7"/>
  <c r="Y222" i="7"/>
  <c r="Y220" i="7"/>
  <c r="Y221" i="7"/>
  <c r="Y223" i="7"/>
  <c r="W229" i="10"/>
  <c r="X222" i="10"/>
  <c r="X221" i="10"/>
  <c r="X223" i="10"/>
  <c r="X220" i="10"/>
  <c r="Y243" i="7"/>
  <c r="AH238" i="10"/>
  <c r="AH240" i="10"/>
  <c r="Y222" i="5"/>
  <c r="Y223" i="5"/>
  <c r="Y221" i="5"/>
  <c r="Y220" i="5"/>
  <c r="AE237" i="7"/>
  <c r="AI239" i="7"/>
  <c r="AE236" i="7"/>
  <c r="Y243" i="5"/>
  <c r="W235" i="10"/>
  <c r="X243" i="10"/>
  <c r="AJ239" i="5"/>
  <c r="AF237" i="5"/>
  <c r="AF236" i="5"/>
  <c r="AE236" i="5"/>
  <c r="AI239" i="5"/>
  <c r="AE237" i="5"/>
  <c r="X235" i="5"/>
  <c r="X215" i="5" s="1"/>
  <c r="W215" i="5"/>
  <c r="X229" i="7"/>
  <c r="X235" i="7" s="1"/>
  <c r="X215" i="7" s="1"/>
  <c r="W234" i="10"/>
  <c r="X232" i="10" l="1"/>
  <c r="X227" i="10"/>
  <c r="AI238" i="5"/>
  <c r="AI240" i="5"/>
  <c r="Z219" i="7"/>
  <c r="Z243" i="7" s="1"/>
  <c r="Y231" i="7"/>
  <c r="Y226" i="7"/>
  <c r="AI238" i="7"/>
  <c r="AI240" i="7"/>
  <c r="X230" i="10"/>
  <c r="X224" i="10"/>
  <c r="X225" i="10"/>
  <c r="Y224" i="7"/>
  <c r="Y230" i="7"/>
  <c r="Y225" i="7"/>
  <c r="Y219" i="10"/>
  <c r="Y233" i="5"/>
  <c r="Y228" i="5"/>
  <c r="W215" i="10"/>
  <c r="Y233" i="7"/>
  <c r="Y228" i="7"/>
  <c r="Y224" i="5"/>
  <c r="Y230" i="5"/>
  <c r="Y225" i="5"/>
  <c r="X233" i="10"/>
  <c r="X228" i="10"/>
  <c r="Y232" i="7"/>
  <c r="Y227" i="7"/>
  <c r="Y232" i="5"/>
  <c r="Y227" i="5"/>
  <c r="Z219" i="5"/>
  <c r="AE237" i="10"/>
  <c r="AI239" i="10"/>
  <c r="AE236" i="10"/>
  <c r="AJ238" i="5"/>
  <c r="AJ240" i="5"/>
  <c r="Y231" i="5"/>
  <c r="Y226" i="5"/>
  <c r="X231" i="10"/>
  <c r="X226" i="10"/>
  <c r="AF237" i="7"/>
  <c r="AF236" i="7"/>
  <c r="AJ239" i="7"/>
  <c r="Y234" i="7" l="1"/>
  <c r="AG237" i="7"/>
  <c r="AG236" i="7"/>
  <c r="AK239" i="7"/>
  <c r="AI238" i="10"/>
  <c r="AI240" i="10"/>
  <c r="X229" i="10"/>
  <c r="X235" i="10" s="1"/>
  <c r="X215" i="10" s="1"/>
  <c r="Y229" i="7"/>
  <c r="Y235" i="7" s="1"/>
  <c r="Y215" i="7" s="1"/>
  <c r="Z220" i="5"/>
  <c r="Z221" i="5"/>
  <c r="Z222" i="5"/>
  <c r="Z223" i="5"/>
  <c r="Y229" i="5"/>
  <c r="Y235" i="5" s="1"/>
  <c r="Y215" i="5" s="1"/>
  <c r="X234" i="10"/>
  <c r="AJ238" i="7"/>
  <c r="AJ240" i="7"/>
  <c r="Z221" i="7"/>
  <c r="Z220" i="7"/>
  <c r="Z222" i="7"/>
  <c r="Z223" i="7"/>
  <c r="Z243" i="5"/>
  <c r="Y234" i="5"/>
  <c r="Y221" i="10"/>
  <c r="Y223" i="10"/>
  <c r="Y222" i="10"/>
  <c r="Y220" i="10"/>
  <c r="AA219" i="7"/>
  <c r="AA243" i="7" s="1"/>
  <c r="Y243" i="10"/>
  <c r="AB219" i="7" l="1"/>
  <c r="Y231" i="10"/>
  <c r="Y226" i="10"/>
  <c r="Y233" i="10"/>
  <c r="Y228" i="10"/>
  <c r="Z233" i="7"/>
  <c r="Z228" i="7"/>
  <c r="Z233" i="5"/>
  <c r="Z228" i="5"/>
  <c r="Z230" i="5"/>
  <c r="Z224" i="5"/>
  <c r="Z225" i="5"/>
  <c r="AJ239" i="10"/>
  <c r="AF237" i="10"/>
  <c r="AF236" i="10"/>
  <c r="Z232" i="7"/>
  <c r="Z227" i="7"/>
  <c r="Z230" i="7"/>
  <c r="Z224" i="7"/>
  <c r="Z225" i="7"/>
  <c r="Z219" i="10"/>
  <c r="AG236" i="5"/>
  <c r="AG237" i="5"/>
  <c r="AK239" i="5"/>
  <c r="AA219" i="5"/>
  <c r="AA243" i="5" s="1"/>
  <c r="AA220" i="7"/>
  <c r="AA223" i="7"/>
  <c r="AA221" i="7"/>
  <c r="AA222" i="7"/>
  <c r="AK238" i="7"/>
  <c r="AK240" i="7"/>
  <c r="Y230" i="10"/>
  <c r="Y224" i="10"/>
  <c r="Y225" i="10"/>
  <c r="Z232" i="5"/>
  <c r="Z227" i="5"/>
  <c r="Y232" i="10"/>
  <c r="Y227" i="10"/>
  <c r="Z231" i="7"/>
  <c r="Z226" i="7"/>
  <c r="Z231" i="5"/>
  <c r="Z226" i="5"/>
  <c r="Z229" i="7" l="1"/>
  <c r="AB219" i="5"/>
  <c r="Z229" i="5"/>
  <c r="AA232" i="7"/>
  <c r="AA227" i="7"/>
  <c r="Z220" i="10"/>
  <c r="Z222" i="10"/>
  <c r="Z223" i="10"/>
  <c r="Z221" i="10"/>
  <c r="AA233" i="7"/>
  <c r="AA228" i="7"/>
  <c r="Z243" i="10"/>
  <c r="AA230" i="7"/>
  <c r="AA234" i="7" s="1"/>
  <c r="AA224" i="7"/>
  <c r="AA225" i="7"/>
  <c r="Y234" i="10"/>
  <c r="Z234" i="7"/>
  <c r="Z234" i="5"/>
  <c r="AA231" i="7"/>
  <c r="AA226" i="7"/>
  <c r="AJ238" i="10"/>
  <c r="AJ240" i="10"/>
  <c r="Y229" i="10"/>
  <c r="Y235" i="10" s="1"/>
  <c r="Y215" i="10" s="1"/>
  <c r="AK238" i="5"/>
  <c r="AK240" i="5"/>
  <c r="AB222" i="7"/>
  <c r="AB223" i="7"/>
  <c r="AB221" i="7"/>
  <c r="AB220" i="7"/>
  <c r="AA221" i="5"/>
  <c r="AA222" i="5"/>
  <c r="AA220" i="5"/>
  <c r="AA223" i="5"/>
  <c r="Z235" i="7"/>
  <c r="Z215" i="7" s="1"/>
  <c r="Z235" i="5"/>
  <c r="Z215" i="5" s="1"/>
  <c r="AB243" i="7"/>
  <c r="AA229" i="7" l="1"/>
  <c r="AA232" i="5"/>
  <c r="AA227" i="5"/>
  <c r="Z232" i="10"/>
  <c r="Z227" i="10"/>
  <c r="AA231" i="5"/>
  <c r="AA226" i="5"/>
  <c r="AA235" i="7"/>
  <c r="AA215" i="7" s="1"/>
  <c r="AB230" i="7"/>
  <c r="AB224" i="7"/>
  <c r="AB225" i="7"/>
  <c r="AB231" i="7"/>
  <c r="AB226" i="7"/>
  <c r="Z230" i="10"/>
  <c r="Z224" i="10"/>
  <c r="Z225" i="10"/>
  <c r="AI236" i="7"/>
  <c r="AI237" i="7"/>
  <c r="AM239" i="7"/>
  <c r="AC219" i="7"/>
  <c r="AA219" i="10"/>
  <c r="AA243" i="10" s="1"/>
  <c r="AB233" i="7"/>
  <c r="AB228" i="7"/>
  <c r="AB232" i="7"/>
  <c r="AB227" i="7"/>
  <c r="AL239" i="5"/>
  <c r="AH236" i="5"/>
  <c r="AH237" i="5"/>
  <c r="AA233" i="5"/>
  <c r="AA228" i="5"/>
  <c r="AH237" i="7"/>
  <c r="AL239" i="7"/>
  <c r="AH236" i="7"/>
  <c r="Z231" i="10"/>
  <c r="Z226" i="10"/>
  <c r="AB220" i="5"/>
  <c r="AB223" i="5"/>
  <c r="AB221" i="5"/>
  <c r="AB222" i="5"/>
  <c r="AA224" i="5"/>
  <c r="AA230" i="5"/>
  <c r="AA225" i="5"/>
  <c r="AG237" i="10"/>
  <c r="AK239" i="10"/>
  <c r="AG236" i="10"/>
  <c r="Z233" i="10"/>
  <c r="Z228" i="10"/>
  <c r="AB243" i="5"/>
  <c r="Z229" i="10" l="1"/>
  <c r="AA234" i="5"/>
  <c r="AB231" i="5"/>
  <c r="AB226" i="5"/>
  <c r="AB224" i="5"/>
  <c r="AB230" i="5"/>
  <c r="AB225" i="5"/>
  <c r="AK238" i="10"/>
  <c r="AK240" i="10"/>
  <c r="AC221" i="7"/>
  <c r="AC222" i="7"/>
  <c r="AC223" i="7"/>
  <c r="AC220" i="7"/>
  <c r="AB232" i="5"/>
  <c r="AB227" i="5"/>
  <c r="AL238" i="7"/>
  <c r="AL240" i="7"/>
  <c r="AM238" i="7"/>
  <c r="AM240" i="7"/>
  <c r="AB234" i="7"/>
  <c r="AA221" i="10"/>
  <c r="AA222" i="10"/>
  <c r="AA223" i="10"/>
  <c r="AA220" i="10"/>
  <c r="Z235" i="10"/>
  <c r="Z215" i="10" s="1"/>
  <c r="Z234" i="10"/>
  <c r="AB233" i="5"/>
  <c r="AB228" i="5"/>
  <c r="AB219" i="10"/>
  <c r="AC243" i="7"/>
  <c r="AA229" i="5"/>
  <c r="AA235" i="5" s="1"/>
  <c r="AA215" i="5" s="1"/>
  <c r="AB229" i="7"/>
  <c r="AB235" i="7" s="1"/>
  <c r="AB215" i="7" s="1"/>
  <c r="AM239" i="5"/>
  <c r="AI236" i="5"/>
  <c r="AI237" i="5"/>
  <c r="AC219" i="5"/>
  <c r="AL238" i="5"/>
  <c r="AL240" i="5"/>
  <c r="AB229" i="5" l="1"/>
  <c r="AH237" i="10"/>
  <c r="AH236" i="10"/>
  <c r="AL239" i="10"/>
  <c r="AC231" i="7"/>
  <c r="AC226" i="7"/>
  <c r="AA230" i="10"/>
  <c r="AA224" i="10"/>
  <c r="AA225" i="10"/>
  <c r="AB222" i="10"/>
  <c r="AB220" i="10"/>
  <c r="AB221" i="10"/>
  <c r="AB223" i="10"/>
  <c r="AB243" i="10"/>
  <c r="AA231" i="10"/>
  <c r="AA226" i="10"/>
  <c r="AC230" i="7"/>
  <c r="AC224" i="7"/>
  <c r="AC225" i="7"/>
  <c r="AB235" i="5"/>
  <c r="AB215" i="5" s="1"/>
  <c r="AM238" i="5"/>
  <c r="AM240" i="5"/>
  <c r="AD219" i="7"/>
  <c r="AD243" i="7" s="1"/>
  <c r="AN239" i="7"/>
  <c r="AJ236" i="7"/>
  <c r="AJ237" i="7"/>
  <c r="AC233" i="7"/>
  <c r="AC228" i="7"/>
  <c r="AA233" i="10"/>
  <c r="AA228" i="10"/>
  <c r="AC220" i="5"/>
  <c r="AC222" i="5"/>
  <c r="AC223" i="5"/>
  <c r="AC221" i="5"/>
  <c r="AA232" i="10"/>
  <c r="AA227" i="10"/>
  <c r="AB234" i="5"/>
  <c r="AC243" i="5"/>
  <c r="AC232" i="7"/>
  <c r="AC227" i="7"/>
  <c r="AA234" i="10" l="1"/>
  <c r="AC224" i="5"/>
  <c r="AC230" i="5"/>
  <c r="AC225" i="5"/>
  <c r="AC232" i="5"/>
  <c r="AC227" i="5"/>
  <c r="AC234" i="7"/>
  <c r="AA229" i="10"/>
  <c r="AA235" i="10" s="1"/>
  <c r="AA215" i="10" s="1"/>
  <c r="AN238" i="7"/>
  <c r="AN240" i="7"/>
  <c r="AD220" i="7"/>
  <c r="AD221" i="7"/>
  <c r="AD222" i="7"/>
  <c r="AD223" i="7"/>
  <c r="AM239" i="10"/>
  <c r="AI237" i="10"/>
  <c r="AI236" i="10"/>
  <c r="AE219" i="7"/>
  <c r="AB231" i="10"/>
  <c r="AB226" i="10"/>
  <c r="AL238" i="10"/>
  <c r="AL240" i="10"/>
  <c r="AJ237" i="5"/>
  <c r="AN239" i="5"/>
  <c r="AJ236" i="5"/>
  <c r="AB233" i="10"/>
  <c r="AB228" i="10"/>
  <c r="AC231" i="5"/>
  <c r="AC226" i="5"/>
  <c r="AC229" i="7"/>
  <c r="AC235" i="7" s="1"/>
  <c r="AC215" i="7" s="1"/>
  <c r="AB230" i="10"/>
  <c r="AB224" i="10"/>
  <c r="AB225" i="10"/>
  <c r="AD219" i="5"/>
  <c r="AD243" i="5" s="1"/>
  <c r="AC219" i="10"/>
  <c r="AC233" i="5"/>
  <c r="AC228" i="5"/>
  <c r="AB232" i="10"/>
  <c r="AB227" i="10"/>
  <c r="AE219" i="5" l="1"/>
  <c r="AB234" i="10"/>
  <c r="AN238" i="5"/>
  <c r="AN240" i="5"/>
  <c r="AK236" i="7"/>
  <c r="AK237" i="7"/>
  <c r="AO239" i="7"/>
  <c r="AM238" i="10"/>
  <c r="AM240" i="10"/>
  <c r="AD233" i="7"/>
  <c r="AD228" i="7"/>
  <c r="AD232" i="7"/>
  <c r="AD227" i="7"/>
  <c r="AE222" i="7"/>
  <c r="AE221" i="7"/>
  <c r="AE223" i="7"/>
  <c r="AE220" i="7"/>
  <c r="AD231" i="7"/>
  <c r="AD226" i="7"/>
  <c r="AC229" i="5"/>
  <c r="AC235" i="5" s="1"/>
  <c r="AC215" i="5" s="1"/>
  <c r="AC223" i="10"/>
  <c r="AC221" i="10"/>
  <c r="AC222" i="10"/>
  <c r="AC220" i="10"/>
  <c r="AE243" i="7"/>
  <c r="AD224" i="7"/>
  <c r="AD230" i="7"/>
  <c r="AD225" i="7"/>
  <c r="AC234" i="5"/>
  <c r="AC243" i="10"/>
  <c r="AD222" i="5"/>
  <c r="AD221" i="5"/>
  <c r="AD223" i="5"/>
  <c r="AD220" i="5"/>
  <c r="AB229" i="10"/>
  <c r="AB235" i="10" s="1"/>
  <c r="AB215" i="10" s="1"/>
  <c r="AO239" i="5" l="1"/>
  <c r="AK236" i="5"/>
  <c r="AK237" i="5"/>
  <c r="AD229" i="7"/>
  <c r="AD235" i="7" s="1"/>
  <c r="AD215" i="7" s="1"/>
  <c r="AD232" i="5"/>
  <c r="AD227" i="5"/>
  <c r="AC232" i="10"/>
  <c r="AC227" i="10"/>
  <c r="AE231" i="7"/>
  <c r="AE226" i="7"/>
  <c r="AO238" i="7"/>
  <c r="AO240" i="7"/>
  <c r="AC233" i="10"/>
  <c r="AC228" i="10"/>
  <c r="AD234" i="7"/>
  <c r="AD230" i="5"/>
  <c r="AD224" i="5"/>
  <c r="AD225" i="5"/>
  <c r="AJ237" i="10"/>
  <c r="AN239" i="10"/>
  <c r="AJ236" i="10"/>
  <c r="AE224" i="7"/>
  <c r="AE230" i="7"/>
  <c r="AE225" i="7"/>
  <c r="AE222" i="5"/>
  <c r="AE221" i="5"/>
  <c r="AE220" i="5"/>
  <c r="AE223" i="5"/>
  <c r="AD219" i="10"/>
  <c r="AD243" i="10" s="1"/>
  <c r="AC231" i="10"/>
  <c r="AC226" i="10"/>
  <c r="AE232" i="7"/>
  <c r="AE227" i="7"/>
  <c r="AD233" i="5"/>
  <c r="AD228" i="5"/>
  <c r="AF219" i="7"/>
  <c r="AD231" i="5"/>
  <c r="AD226" i="5"/>
  <c r="AC230" i="10"/>
  <c r="AC224" i="10"/>
  <c r="AC225" i="10"/>
  <c r="AE233" i="7"/>
  <c r="AE228" i="7"/>
  <c r="AE243" i="5"/>
  <c r="AD229" i="5" l="1"/>
  <c r="AE219" i="10"/>
  <c r="AF221" i="7"/>
  <c r="AF220" i="7"/>
  <c r="AF222" i="7"/>
  <c r="AF223" i="7"/>
  <c r="AL236" i="7"/>
  <c r="AP239" i="7"/>
  <c r="AL237" i="7"/>
  <c r="AF243" i="7"/>
  <c r="AN238" i="10"/>
  <c r="AN240" i="10"/>
  <c r="AE234" i="7"/>
  <c r="AD234" i="5"/>
  <c r="AO238" i="5"/>
  <c r="AO240" i="5"/>
  <c r="AE233" i="5"/>
  <c r="AE228" i="5"/>
  <c r="AF219" i="5"/>
  <c r="AF243" i="5" s="1"/>
  <c r="AD223" i="10"/>
  <c r="AD220" i="10"/>
  <c r="AD222" i="10"/>
  <c r="AD221" i="10"/>
  <c r="AC229" i="10"/>
  <c r="AC235" i="10" s="1"/>
  <c r="AC215" i="10" s="1"/>
  <c r="AE230" i="5"/>
  <c r="AE224" i="5"/>
  <c r="AE225" i="5"/>
  <c r="AE231" i="5"/>
  <c r="AE226" i="5"/>
  <c r="AC234" i="10"/>
  <c r="AE232" i="5"/>
  <c r="AE227" i="5"/>
  <c r="AE229" i="7"/>
  <c r="AE235" i="7" s="1"/>
  <c r="AE215" i="7" s="1"/>
  <c r="AD235" i="5"/>
  <c r="AD215" i="5" s="1"/>
  <c r="AE229" i="5" l="1"/>
  <c r="AD231" i="10"/>
  <c r="AD226" i="10"/>
  <c r="AD232" i="10"/>
  <c r="AD227" i="10"/>
  <c r="AP238" i="7"/>
  <c r="AP240" i="7"/>
  <c r="AE235" i="5"/>
  <c r="AE215" i="5" s="1"/>
  <c r="AF220" i="5"/>
  <c r="AF221" i="5"/>
  <c r="AF223" i="5"/>
  <c r="AF222" i="5"/>
  <c r="AM236" i="7"/>
  <c r="AM237" i="7"/>
  <c r="AQ239" i="7"/>
  <c r="AD230" i="10"/>
  <c r="AD224" i="10"/>
  <c r="AD225" i="10"/>
  <c r="AD233" i="10"/>
  <c r="AD228" i="10"/>
  <c r="AL237" i="5"/>
  <c r="AL236" i="5"/>
  <c r="AP239" i="5"/>
  <c r="AF233" i="7"/>
  <c r="AF228" i="7"/>
  <c r="AF232" i="7"/>
  <c r="AF227" i="7"/>
  <c r="AE234" i="5"/>
  <c r="AF224" i="7"/>
  <c r="AF230" i="7"/>
  <c r="AF225" i="7"/>
  <c r="AF229" i="7" s="1"/>
  <c r="AF231" i="7"/>
  <c r="AF226" i="7"/>
  <c r="AG219" i="5"/>
  <c r="AG219" i="7"/>
  <c r="AG243" i="7" s="1"/>
  <c r="AE223" i="10"/>
  <c r="AE220" i="10"/>
  <c r="AE221" i="10"/>
  <c r="AE222" i="10"/>
  <c r="AK236" i="10"/>
  <c r="AK237" i="10"/>
  <c r="AO239" i="10"/>
  <c r="AE243" i="10"/>
  <c r="AD234" i="10" l="1"/>
  <c r="AH219" i="7"/>
  <c r="AE230" i="10"/>
  <c r="AE224" i="10"/>
  <c r="AE225" i="10"/>
  <c r="AE232" i="10"/>
  <c r="AE227" i="10"/>
  <c r="AF230" i="5"/>
  <c r="AF224" i="5"/>
  <c r="AF225" i="5"/>
  <c r="AE233" i="10"/>
  <c r="AE228" i="10"/>
  <c r="AE231" i="10"/>
  <c r="AE226" i="10"/>
  <c r="AQ239" i="5"/>
  <c r="AM237" i="5"/>
  <c r="AM236" i="5"/>
  <c r="AF232" i="5"/>
  <c r="AF227" i="5"/>
  <c r="AL236" i="10"/>
  <c r="AP239" i="10"/>
  <c r="AL237" i="10"/>
  <c r="AQ238" i="7"/>
  <c r="AQ240" i="7"/>
  <c r="AF234" i="7"/>
  <c r="AP238" i="5"/>
  <c r="AP240" i="5"/>
  <c r="AG222" i="5"/>
  <c r="AG220" i="5"/>
  <c r="AG221" i="5"/>
  <c r="AG223" i="5"/>
  <c r="AF233" i="5"/>
  <c r="AF228" i="5"/>
  <c r="AF219" i="10"/>
  <c r="AG223" i="7"/>
  <c r="AG220" i="7"/>
  <c r="AG221" i="7"/>
  <c r="AG222" i="7"/>
  <c r="AF235" i="7"/>
  <c r="AF215" i="7" s="1"/>
  <c r="AO238" i="10"/>
  <c r="AO240" i="10"/>
  <c r="AG243" i="5"/>
  <c r="AD229" i="10"/>
  <c r="AD235" i="10" s="1"/>
  <c r="AD215" i="10" s="1"/>
  <c r="AF231" i="5"/>
  <c r="AF226" i="5"/>
  <c r="AP238" i="10" l="1"/>
  <c r="AP240" i="10"/>
  <c r="AG232" i="7"/>
  <c r="AG227" i="7"/>
  <c r="AG233" i="5"/>
  <c r="AG228" i="5"/>
  <c r="AE229" i="10"/>
  <c r="AE235" i="10" s="1"/>
  <c r="AE215" i="10" s="1"/>
  <c r="AG230" i="5"/>
  <c r="AG224" i="5"/>
  <c r="AG225" i="5"/>
  <c r="AG233" i="7"/>
  <c r="AG228" i="7"/>
  <c r="AF221" i="10"/>
  <c r="AF220" i="10"/>
  <c r="AF222" i="10"/>
  <c r="AF223" i="10"/>
  <c r="AF229" i="5"/>
  <c r="AE234" i="10"/>
  <c r="AG224" i="7"/>
  <c r="AG230" i="7"/>
  <c r="AG225" i="7"/>
  <c r="AR239" i="7"/>
  <c r="AN236" i="7"/>
  <c r="AN237" i="7"/>
  <c r="AF235" i="5"/>
  <c r="AF215" i="5" s="1"/>
  <c r="AH221" i="7"/>
  <c r="AH222" i="7"/>
  <c r="AH220" i="7"/>
  <c r="AH223" i="7"/>
  <c r="AG231" i="7"/>
  <c r="AG226" i="7"/>
  <c r="AG231" i="5"/>
  <c r="AG226" i="5"/>
  <c r="AQ238" i="5"/>
  <c r="AQ240" i="5"/>
  <c r="AG232" i="5"/>
  <c r="AG227" i="5"/>
  <c r="AH219" i="5"/>
  <c r="AH243" i="5" s="1"/>
  <c r="AF243" i="10"/>
  <c r="AF234" i="5"/>
  <c r="AH243" i="7"/>
  <c r="AH221" i="5" l="1"/>
  <c r="AH223" i="5"/>
  <c r="AH220" i="5"/>
  <c r="AH222" i="5"/>
  <c r="AF233" i="10"/>
  <c r="AF228" i="10"/>
  <c r="AG234" i="5"/>
  <c r="AF224" i="10"/>
  <c r="AF230" i="10"/>
  <c r="AF225" i="10"/>
  <c r="AG234" i="7"/>
  <c r="AI219" i="7"/>
  <c r="AI243" i="7" s="1"/>
  <c r="AH231" i="7"/>
  <c r="AH226" i="7"/>
  <c r="AI219" i="5"/>
  <c r="AG229" i="7"/>
  <c r="AG235" i="7" s="1"/>
  <c r="AG215" i="7" s="1"/>
  <c r="AH232" i="7"/>
  <c r="AH227" i="7"/>
  <c r="AN236" i="5"/>
  <c r="AR239" i="5"/>
  <c r="AN237" i="5"/>
  <c r="AM236" i="10"/>
  <c r="AQ239" i="10"/>
  <c r="AM237" i="10"/>
  <c r="AG229" i="5"/>
  <c r="AG235" i="5" s="1"/>
  <c r="AG215" i="5" s="1"/>
  <c r="AR238" i="7"/>
  <c r="AR240" i="7"/>
  <c r="AF232" i="10"/>
  <c r="AF227" i="10"/>
  <c r="AH233" i="7"/>
  <c r="AH228" i="7"/>
  <c r="AH230" i="7"/>
  <c r="AH224" i="7"/>
  <c r="AH225" i="7"/>
  <c r="AF231" i="10"/>
  <c r="AF226" i="10"/>
  <c r="AG219" i="10"/>
  <c r="AG243" i="10" s="1"/>
  <c r="AO236" i="5" l="1"/>
  <c r="AS239" i="5"/>
  <c r="AO237" i="5"/>
  <c r="AR238" i="5"/>
  <c r="AR240" i="5"/>
  <c r="AI220" i="7"/>
  <c r="AI221" i="7"/>
  <c r="AI222" i="7"/>
  <c r="AI223" i="7"/>
  <c r="AS239" i="7"/>
  <c r="AO237" i="7"/>
  <c r="AO236" i="7"/>
  <c r="AH224" i="5"/>
  <c r="AH230" i="5"/>
  <c r="AH225" i="5"/>
  <c r="AH219" i="10"/>
  <c r="AH232" i="5"/>
  <c r="AH227" i="5"/>
  <c r="AI222" i="5"/>
  <c r="AI223" i="5"/>
  <c r="AI220" i="5"/>
  <c r="AI221" i="5"/>
  <c r="AF229" i="10"/>
  <c r="AF235" i="10" s="1"/>
  <c r="AF215" i="10" s="1"/>
  <c r="AH233" i="5"/>
  <c r="AH228" i="5"/>
  <c r="AH229" i="7"/>
  <c r="AH235" i="7" s="1"/>
  <c r="AH215" i="7" s="1"/>
  <c r="AJ219" i="7"/>
  <c r="AH234" i="7"/>
  <c r="AG221" i="10"/>
  <c r="AG223" i="10"/>
  <c r="AG222" i="10"/>
  <c r="AG220" i="10"/>
  <c r="AQ238" i="10"/>
  <c r="AQ240" i="10"/>
  <c r="AI243" i="5"/>
  <c r="AF234" i="10"/>
  <c r="AH231" i="5"/>
  <c r="AH226" i="5"/>
  <c r="AH234" i="5" l="1"/>
  <c r="AN237" i="10"/>
  <c r="AR239" i="10"/>
  <c r="AN236" i="10"/>
  <c r="AT239" i="7"/>
  <c r="AP236" i="7"/>
  <c r="AP237" i="7"/>
  <c r="AI231" i="5"/>
  <c r="AI226" i="5"/>
  <c r="AH229" i="5"/>
  <c r="AH235" i="5" s="1"/>
  <c r="AH215" i="5" s="1"/>
  <c r="AI231" i="7"/>
  <c r="AI226" i="7"/>
  <c r="AJ219" i="5"/>
  <c r="AJ243" i="5" s="1"/>
  <c r="AP237" i="5"/>
  <c r="AP236" i="5"/>
  <c r="AT239" i="5"/>
  <c r="AI230" i="7"/>
  <c r="AI224" i="7"/>
  <c r="AI225" i="7"/>
  <c r="AJ221" i="7"/>
  <c r="AJ220" i="7"/>
  <c r="AJ222" i="7"/>
  <c r="AJ223" i="7"/>
  <c r="AJ243" i="7"/>
  <c r="AI233" i="5"/>
  <c r="AI228" i="5"/>
  <c r="AS238" i="7"/>
  <c r="AS240" i="7"/>
  <c r="AI224" i="5"/>
  <c r="AI230" i="5"/>
  <c r="AI225" i="5"/>
  <c r="AG232" i="10"/>
  <c r="AG227" i="10"/>
  <c r="AI233" i="7"/>
  <c r="AI228" i="7"/>
  <c r="AS238" i="5"/>
  <c r="AS240" i="5"/>
  <c r="AI232" i="5"/>
  <c r="AI227" i="5"/>
  <c r="AG224" i="10"/>
  <c r="AG230" i="10"/>
  <c r="AG225" i="10"/>
  <c r="AG233" i="10"/>
  <c r="AG228" i="10"/>
  <c r="AH221" i="10"/>
  <c r="AH222" i="10"/>
  <c r="AH223" i="10"/>
  <c r="AH220" i="10"/>
  <c r="AG231" i="10"/>
  <c r="AG226" i="10"/>
  <c r="AH243" i="10"/>
  <c r="AI232" i="7"/>
  <c r="AI227" i="7"/>
  <c r="AI234" i="5" l="1"/>
  <c r="AQ237" i="5" s="1"/>
  <c r="AI229" i="7"/>
  <c r="AI235" i="7" s="1"/>
  <c r="AI215" i="7" s="1"/>
  <c r="AK219" i="5"/>
  <c r="AH232" i="10"/>
  <c r="AH227" i="10"/>
  <c r="AH231" i="10"/>
  <c r="AH226" i="10"/>
  <c r="AJ224" i="7"/>
  <c r="AJ230" i="7"/>
  <c r="AJ225" i="7"/>
  <c r="AI219" i="10"/>
  <c r="AI243" i="10" s="1"/>
  <c r="AH233" i="10"/>
  <c r="AH228" i="10"/>
  <c r="AI229" i="5"/>
  <c r="AI235" i="5" s="1"/>
  <c r="AI215" i="5" s="1"/>
  <c r="AJ233" i="7"/>
  <c r="AJ228" i="7"/>
  <c r="AT238" i="5"/>
  <c r="AT240" i="5"/>
  <c r="AT238" i="7"/>
  <c r="AT240" i="7"/>
  <c r="AJ232" i="7"/>
  <c r="AJ227" i="7"/>
  <c r="AJ231" i="7"/>
  <c r="AJ226" i="7"/>
  <c r="AI234" i="7"/>
  <c r="AR238" i="10"/>
  <c r="AR240" i="10"/>
  <c r="AJ221" i="5"/>
  <c r="AJ220" i="5"/>
  <c r="AJ223" i="5"/>
  <c r="AJ222" i="5"/>
  <c r="AG229" i="10"/>
  <c r="AG235" i="10" s="1"/>
  <c r="AG215" i="10" s="1"/>
  <c r="AG234" i="10"/>
  <c r="AH230" i="10"/>
  <c r="AH224" i="10"/>
  <c r="AH225" i="10"/>
  <c r="AK219" i="7"/>
  <c r="AK243" i="7" s="1"/>
  <c r="AU239" i="5" l="1"/>
  <c r="AQ236" i="5"/>
  <c r="AH234" i="10"/>
  <c r="AL219" i="7"/>
  <c r="AJ219" i="10"/>
  <c r="AJ243" i="10" s="1"/>
  <c r="AO236" i="10"/>
  <c r="AS239" i="10"/>
  <c r="AO237" i="10"/>
  <c r="AU238" i="5"/>
  <c r="AU240" i="5"/>
  <c r="AT239" i="10"/>
  <c r="AP236" i="10"/>
  <c r="AP237" i="10"/>
  <c r="AJ233" i="5"/>
  <c r="AJ228" i="5"/>
  <c r="AJ232" i="5"/>
  <c r="AJ227" i="5"/>
  <c r="AI223" i="10"/>
  <c r="AI220" i="10"/>
  <c r="AI221" i="10"/>
  <c r="AI222" i="10"/>
  <c r="AJ224" i="5"/>
  <c r="AJ230" i="5"/>
  <c r="AJ225" i="5"/>
  <c r="AJ229" i="7"/>
  <c r="AJ235" i="7" s="1"/>
  <c r="AJ215" i="7" s="1"/>
  <c r="AK222" i="5"/>
  <c r="AK220" i="5"/>
  <c r="AK223" i="5"/>
  <c r="AK221" i="5"/>
  <c r="AU239" i="7"/>
  <c r="AQ236" i="7"/>
  <c r="AQ237" i="7"/>
  <c r="AK222" i="7"/>
  <c r="AK221" i="7"/>
  <c r="AK220" i="7"/>
  <c r="AK223" i="7"/>
  <c r="AH229" i="10"/>
  <c r="AH235" i="10" s="1"/>
  <c r="AH215" i="10" s="1"/>
  <c r="AJ231" i="5"/>
  <c r="AJ226" i="5"/>
  <c r="AJ234" i="7"/>
  <c r="AK243" i="5"/>
  <c r="AJ234" i="5" l="1"/>
  <c r="AJ229" i="5"/>
  <c r="AJ235" i="5" s="1"/>
  <c r="AJ215" i="5" s="1"/>
  <c r="AU238" i="7"/>
  <c r="AU240" i="7"/>
  <c r="AK231" i="5"/>
  <c r="AK226" i="5"/>
  <c r="AI232" i="10"/>
  <c r="AI227" i="10"/>
  <c r="AS238" i="10"/>
  <c r="AS240" i="10"/>
  <c r="AV239" i="7"/>
  <c r="AR237" i="7"/>
  <c r="AR236" i="7"/>
  <c r="AK224" i="5"/>
  <c r="AK230" i="5"/>
  <c r="AK225" i="5"/>
  <c r="AI230" i="10"/>
  <c r="AI224" i="10"/>
  <c r="AI225" i="10"/>
  <c r="AK219" i="10"/>
  <c r="AK243" i="10" s="1"/>
  <c r="AK233" i="5"/>
  <c r="AK228" i="5"/>
  <c r="AI231" i="10"/>
  <c r="AI226" i="10"/>
  <c r="AK230" i="7"/>
  <c r="AK224" i="7"/>
  <c r="AK225" i="7"/>
  <c r="AK231" i="7"/>
  <c r="AK226" i="7"/>
  <c r="AK232" i="5"/>
  <c r="AK227" i="5"/>
  <c r="AI233" i="10"/>
  <c r="AI228" i="10"/>
  <c r="AJ220" i="10"/>
  <c r="AJ223" i="10"/>
  <c r="AJ221" i="10"/>
  <c r="AJ222" i="10"/>
  <c r="AV239" i="5"/>
  <c r="AR237" i="5"/>
  <c r="AR236" i="5"/>
  <c r="AK233" i="7"/>
  <c r="AK228" i="7"/>
  <c r="AL219" i="5"/>
  <c r="AK232" i="7"/>
  <c r="AK227" i="7"/>
  <c r="AT238" i="10"/>
  <c r="AT240" i="10"/>
  <c r="AL223" i="7"/>
  <c r="AL220" i="7"/>
  <c r="AL221" i="7"/>
  <c r="AL222" i="7"/>
  <c r="AL243" i="7"/>
  <c r="AK234" i="5" l="1"/>
  <c r="AL219" i="10"/>
  <c r="AL243" i="10" s="1"/>
  <c r="AL232" i="7"/>
  <c r="AL227" i="7"/>
  <c r="AI234" i="10"/>
  <c r="AV238" i="7"/>
  <c r="AV240" i="7"/>
  <c r="AM219" i="7"/>
  <c r="AM243" i="7" s="1"/>
  <c r="AK229" i="5"/>
  <c r="AL220" i="5"/>
  <c r="AL223" i="5"/>
  <c r="AL221" i="5"/>
  <c r="AL222" i="5"/>
  <c r="AL231" i="7"/>
  <c r="AL226" i="7"/>
  <c r="AJ231" i="10"/>
  <c r="AJ226" i="10"/>
  <c r="AJ233" i="10"/>
  <c r="AJ228" i="10"/>
  <c r="AK229" i="7"/>
  <c r="AK235" i="7" s="1"/>
  <c r="AK215" i="7" s="1"/>
  <c r="AK235" i="5"/>
  <c r="AK215" i="5" s="1"/>
  <c r="AL243" i="5"/>
  <c r="AL230" i="7"/>
  <c r="AL224" i="7"/>
  <c r="AL225" i="7"/>
  <c r="AL233" i="7"/>
  <c r="AL228" i="7"/>
  <c r="AJ224" i="10"/>
  <c r="AJ230" i="10"/>
  <c r="AJ225" i="10"/>
  <c r="AI229" i="10"/>
  <c r="AI235" i="10" s="1"/>
  <c r="AI215" i="10" s="1"/>
  <c r="AS237" i="5"/>
  <c r="AS236" i="5"/>
  <c r="AW239" i="5"/>
  <c r="AJ232" i="10"/>
  <c r="AJ227" i="10"/>
  <c r="AV238" i="5"/>
  <c r="AV240" i="5"/>
  <c r="AK220" i="10"/>
  <c r="AK222" i="10"/>
  <c r="AK223" i="10"/>
  <c r="AK221" i="10"/>
  <c r="AK234" i="7"/>
  <c r="AJ229" i="10" l="1"/>
  <c r="AJ235" i="10"/>
  <c r="AJ215" i="10" s="1"/>
  <c r="AL234" i="7"/>
  <c r="AN219" i="7"/>
  <c r="AL232" i="5"/>
  <c r="AL227" i="5"/>
  <c r="AL231" i="5"/>
  <c r="AL226" i="5"/>
  <c r="AQ236" i="10"/>
  <c r="AQ237" i="10"/>
  <c r="AU239" i="10"/>
  <c r="AL233" i="5"/>
  <c r="AL228" i="5"/>
  <c r="AM219" i="5"/>
  <c r="AS237" i="7"/>
  <c r="AS236" i="7"/>
  <c r="AW239" i="7"/>
  <c r="AL230" i="5"/>
  <c r="AL224" i="5"/>
  <c r="AL225" i="5"/>
  <c r="AK232" i="10"/>
  <c r="AK227" i="10"/>
  <c r="AM219" i="10"/>
  <c r="AM243" i="10" s="1"/>
  <c r="AJ234" i="10"/>
  <c r="AK231" i="10"/>
  <c r="AK226" i="10"/>
  <c r="AK233" i="10"/>
  <c r="AK228" i="10"/>
  <c r="AW238" i="5"/>
  <c r="AW240" i="5"/>
  <c r="AL229" i="7"/>
  <c r="AL235" i="7" s="1"/>
  <c r="AL215" i="7" s="1"/>
  <c r="AK224" i="10"/>
  <c r="AK230" i="10"/>
  <c r="AK225" i="10"/>
  <c r="AM220" i="7"/>
  <c r="AM222" i="7"/>
  <c r="AM223" i="7"/>
  <c r="AM221" i="7"/>
  <c r="AL220" i="10"/>
  <c r="AL222" i="10"/>
  <c r="AL223" i="10"/>
  <c r="AL221" i="10"/>
  <c r="AN219" i="10" l="1"/>
  <c r="AM220" i="5"/>
  <c r="AM223" i="5"/>
  <c r="AM222" i="5"/>
  <c r="AM221" i="5"/>
  <c r="AU238" i="10"/>
  <c r="AU240" i="10"/>
  <c r="AM224" i="7"/>
  <c r="AM230" i="7"/>
  <c r="AM225" i="7"/>
  <c r="AN220" i="7"/>
  <c r="AN222" i="7"/>
  <c r="AN221" i="7"/>
  <c r="AN223" i="7"/>
  <c r="AM243" i="5"/>
  <c r="AL231" i="10"/>
  <c r="AL226" i="10"/>
  <c r="AK234" i="10"/>
  <c r="AL234" i="5"/>
  <c r="AN243" i="7"/>
  <c r="AM231" i="7"/>
  <c r="AM226" i="7"/>
  <c r="AM221" i="10"/>
  <c r="AM220" i="10"/>
  <c r="AM222" i="10"/>
  <c r="AM223" i="10"/>
  <c r="AW238" i="7"/>
  <c r="AW240" i="7"/>
  <c r="AM233" i="7"/>
  <c r="AM228" i="7"/>
  <c r="AM232" i="7"/>
  <c r="AM227" i="7"/>
  <c r="AL229" i="5"/>
  <c r="AL235" i="5" s="1"/>
  <c r="AL215" i="5" s="1"/>
  <c r="AL233" i="10"/>
  <c r="AL228" i="10"/>
  <c r="AK229" i="10"/>
  <c r="AK235" i="10" s="1"/>
  <c r="AK215" i="10" s="1"/>
  <c r="AL232" i="10"/>
  <c r="AL227" i="10"/>
  <c r="AL224" i="10"/>
  <c r="AL230" i="10"/>
  <c r="AL225" i="10"/>
  <c r="AR236" i="10"/>
  <c r="AV239" i="10"/>
  <c r="AR237" i="10"/>
  <c r="AX239" i="7"/>
  <c r="AT236" i="7"/>
  <c r="AT237" i="7"/>
  <c r="AN233" i="7" l="1"/>
  <c r="AN228" i="7"/>
  <c r="AM231" i="5"/>
  <c r="AM226" i="5"/>
  <c r="AN224" i="7"/>
  <c r="AN230" i="7"/>
  <c r="AN225" i="7"/>
  <c r="AM232" i="5"/>
  <c r="AM227" i="5"/>
  <c r="AW239" i="10"/>
  <c r="AS236" i="10"/>
  <c r="AS237" i="10"/>
  <c r="AM233" i="5"/>
  <c r="AM228" i="5"/>
  <c r="AN231" i="7"/>
  <c r="AN226" i="7"/>
  <c r="AN232" i="7"/>
  <c r="AN227" i="7"/>
  <c r="AM232" i="10"/>
  <c r="AM227" i="10"/>
  <c r="AM229" i="7"/>
  <c r="AM235" i="7" s="1"/>
  <c r="AM215" i="7" s="1"/>
  <c r="AM230" i="5"/>
  <c r="AM224" i="5"/>
  <c r="AM225" i="5"/>
  <c r="AV238" i="10"/>
  <c r="AV240" i="10"/>
  <c r="AO219" i="7"/>
  <c r="AO243" i="7" s="1"/>
  <c r="AT236" i="5"/>
  <c r="AX239" i="5"/>
  <c r="AT237" i="5"/>
  <c r="AM233" i="10"/>
  <c r="AM228" i="10"/>
  <c r="AL229" i="10"/>
  <c r="AL235" i="10" s="1"/>
  <c r="AL215" i="10" s="1"/>
  <c r="AM234" i="7"/>
  <c r="AN221" i="10"/>
  <c r="AN222" i="10"/>
  <c r="AN223" i="10"/>
  <c r="AN220" i="10"/>
  <c r="AX238" i="7"/>
  <c r="AX240" i="7"/>
  <c r="AL234" i="10"/>
  <c r="AM230" i="10"/>
  <c r="AM224" i="10"/>
  <c r="AM225" i="10"/>
  <c r="AM231" i="10"/>
  <c r="AM226" i="10"/>
  <c r="AN219" i="5"/>
  <c r="AN243" i="5" s="1"/>
  <c r="AN243" i="10"/>
  <c r="AN229" i="7" l="1"/>
  <c r="AM229" i="10"/>
  <c r="AP219" i="7"/>
  <c r="AN233" i="10"/>
  <c r="AN228" i="10"/>
  <c r="AX238" i="5"/>
  <c r="AX240" i="5"/>
  <c r="AM234" i="5"/>
  <c r="AN232" i="10"/>
  <c r="AN227" i="10"/>
  <c r="AO219" i="10"/>
  <c r="AM229" i="5"/>
  <c r="AM235" i="5" s="1"/>
  <c r="AM215" i="5" s="1"/>
  <c r="AW238" i="10"/>
  <c r="AW240" i="10"/>
  <c r="AN224" i="10"/>
  <c r="AN230" i="10"/>
  <c r="AN225" i="10"/>
  <c r="AN234" i="7"/>
  <c r="AN235" i="7"/>
  <c r="AN215" i="7" s="1"/>
  <c r="AY239" i="7"/>
  <c r="AU237" i="7"/>
  <c r="AU236" i="7"/>
  <c r="AN231" i="10"/>
  <c r="AN226" i="10"/>
  <c r="AO222" i="7"/>
  <c r="AO221" i="7"/>
  <c r="AO223" i="7"/>
  <c r="AO220" i="7"/>
  <c r="AM234" i="10"/>
  <c r="AN220" i="5"/>
  <c r="AN221" i="5"/>
  <c r="AN223" i="5"/>
  <c r="AN222" i="5"/>
  <c r="AX239" i="10"/>
  <c r="AT237" i="10"/>
  <c r="AT236" i="10"/>
  <c r="AM235" i="10"/>
  <c r="AM215" i="10" s="1"/>
  <c r="AO219" i="5"/>
  <c r="AN234" i="10" l="1"/>
  <c r="AY239" i="5"/>
  <c r="AU237" i="5"/>
  <c r="AU236" i="5"/>
  <c r="AN230" i="5"/>
  <c r="AN224" i="5"/>
  <c r="AN225" i="5"/>
  <c r="AO231" i="7"/>
  <c r="AO226" i="7"/>
  <c r="AV236" i="7"/>
  <c r="AZ239" i="7"/>
  <c r="AV237" i="7"/>
  <c r="AO223" i="10"/>
  <c r="AO221" i="10"/>
  <c r="AO220" i="10"/>
  <c r="AO222" i="10"/>
  <c r="AO233" i="7"/>
  <c r="AO228" i="7"/>
  <c r="AN232" i="5"/>
  <c r="AN227" i="5"/>
  <c r="AO232" i="7"/>
  <c r="AO227" i="7"/>
  <c r="AO243" i="10"/>
  <c r="AP220" i="7"/>
  <c r="AP221" i="7"/>
  <c r="AP223" i="7"/>
  <c r="AP222" i="7"/>
  <c r="AO221" i="5"/>
  <c r="AO220" i="5"/>
  <c r="AO223" i="5"/>
  <c r="AO222" i="5"/>
  <c r="AN231" i="5"/>
  <c r="AN226" i="5"/>
  <c r="AO243" i="5"/>
  <c r="AU236" i="10"/>
  <c r="AU237" i="10"/>
  <c r="AY239" i="10"/>
  <c r="AO224" i="7"/>
  <c r="AO230" i="7"/>
  <c r="AO225" i="7"/>
  <c r="AY238" i="7"/>
  <c r="AY240" i="7"/>
  <c r="AX238" i="10"/>
  <c r="AX240" i="10"/>
  <c r="AN233" i="5"/>
  <c r="AN228" i="5"/>
  <c r="AN229" i="10"/>
  <c r="AN235" i="10" s="1"/>
  <c r="AN215" i="10" s="1"/>
  <c r="AP243" i="7"/>
  <c r="AY238" i="10" l="1"/>
  <c r="AY240" i="10"/>
  <c r="AQ219" i="7"/>
  <c r="AO234" i="7"/>
  <c r="AP230" i="7"/>
  <c r="AP224" i="7"/>
  <c r="AP225" i="7"/>
  <c r="AO232" i="10"/>
  <c r="AO227" i="10"/>
  <c r="AY238" i="5"/>
  <c r="AY240" i="5"/>
  <c r="AP219" i="10"/>
  <c r="AN229" i="5"/>
  <c r="AN235" i="5" s="1"/>
  <c r="AN215" i="5" s="1"/>
  <c r="AO233" i="5"/>
  <c r="AO228" i="5"/>
  <c r="AO232" i="5"/>
  <c r="AO227" i="5"/>
  <c r="AO224" i="10"/>
  <c r="AO230" i="10"/>
  <c r="AO225" i="10"/>
  <c r="AN234" i="5"/>
  <c r="AO231" i="5"/>
  <c r="AO226" i="5"/>
  <c r="AP232" i="7"/>
  <c r="AP227" i="7"/>
  <c r="AP219" i="5"/>
  <c r="AP233" i="7"/>
  <c r="AP228" i="7"/>
  <c r="AO231" i="10"/>
  <c r="AO226" i="10"/>
  <c r="AO224" i="5"/>
  <c r="AO230" i="5"/>
  <c r="AO225" i="5"/>
  <c r="AO233" i="10"/>
  <c r="AO228" i="10"/>
  <c r="AO229" i="7"/>
  <c r="AO235" i="7" s="1"/>
  <c r="AO215" i="7" s="1"/>
  <c r="AP231" i="7"/>
  <c r="AP226" i="7"/>
  <c r="AZ238" i="7"/>
  <c r="AZ240" i="7"/>
  <c r="AZ239" i="10"/>
  <c r="AV236" i="10"/>
  <c r="AV237" i="10"/>
  <c r="AP229" i="7" l="1"/>
  <c r="AO234" i="10"/>
  <c r="AP234" i="7"/>
  <c r="AP221" i="5"/>
  <c r="AP223" i="5"/>
  <c r="AP220" i="5"/>
  <c r="AP222" i="5"/>
  <c r="AP235" i="7"/>
  <c r="AP215" i="7" s="1"/>
  <c r="AZ238" i="10"/>
  <c r="AZ240" i="10"/>
  <c r="AW236" i="7"/>
  <c r="BA239" i="7"/>
  <c r="AW237" i="7"/>
  <c r="AZ239" i="5"/>
  <c r="AV236" i="5"/>
  <c r="AV237" i="5"/>
  <c r="AQ223" i="7"/>
  <c r="AQ220" i="7"/>
  <c r="AQ221" i="7"/>
  <c r="AQ222" i="7"/>
  <c r="AO229" i="10"/>
  <c r="AO229" i="5"/>
  <c r="AO235" i="5" s="1"/>
  <c r="AO215" i="5" s="1"/>
  <c r="AP243" i="5"/>
  <c r="AP223" i="10"/>
  <c r="AP221" i="10"/>
  <c r="AP220" i="10"/>
  <c r="AP222" i="10"/>
  <c r="AO234" i="5"/>
  <c r="AO235" i="10"/>
  <c r="AO215" i="10" s="1"/>
  <c r="AP243" i="10"/>
  <c r="AQ243" i="7"/>
  <c r="AQ219" i="10" l="1"/>
  <c r="AP232" i="5"/>
  <c r="AP227" i="5"/>
  <c r="AP233" i="5"/>
  <c r="AP228" i="5"/>
  <c r="AR219" i="7"/>
  <c r="AR243" i="7" s="1"/>
  <c r="AZ238" i="5"/>
  <c r="AZ240" i="5"/>
  <c r="AX237" i="7"/>
  <c r="BB239" i="7"/>
  <c r="AX236" i="7"/>
  <c r="AP224" i="5"/>
  <c r="AP230" i="5"/>
  <c r="AP225" i="5"/>
  <c r="AW236" i="5"/>
  <c r="AW237" i="5"/>
  <c r="BA239" i="5"/>
  <c r="AQ232" i="7"/>
  <c r="AQ227" i="7"/>
  <c r="AP232" i="10"/>
  <c r="AP227" i="10"/>
  <c r="AQ231" i="7"/>
  <c r="AQ226" i="7"/>
  <c r="AP231" i="5"/>
  <c r="AP226" i="5"/>
  <c r="AP231" i="10"/>
  <c r="AP226" i="10"/>
  <c r="BA238" i="7"/>
  <c r="BA240" i="7"/>
  <c r="AW237" i="10"/>
  <c r="AW236" i="10"/>
  <c r="BA239" i="10"/>
  <c r="AQ219" i="5"/>
  <c r="AQ243" i="5" s="1"/>
  <c r="AP230" i="10"/>
  <c r="AP224" i="10"/>
  <c r="AP225" i="10"/>
  <c r="AQ230" i="7"/>
  <c r="AQ224" i="7"/>
  <c r="AQ225" i="7"/>
  <c r="AQ233" i="7"/>
  <c r="AQ228" i="7"/>
  <c r="AP233" i="10"/>
  <c r="AP228" i="10"/>
  <c r="AP234" i="5" l="1"/>
  <c r="AP229" i="10"/>
  <c r="AR219" i="5"/>
  <c r="AP234" i="10"/>
  <c r="AQ234" i="7"/>
  <c r="BA238" i="10"/>
  <c r="BA240" i="10"/>
  <c r="AP229" i="5"/>
  <c r="AP235" i="5" s="1"/>
  <c r="AP215" i="5" s="1"/>
  <c r="AR221" i="7"/>
  <c r="AR223" i="7"/>
  <c r="AR222" i="7"/>
  <c r="AR220" i="7"/>
  <c r="AP235" i="10"/>
  <c r="AP215" i="10" s="1"/>
  <c r="BB239" i="5"/>
  <c r="AX236" i="5"/>
  <c r="AX237" i="5"/>
  <c r="AS219" i="7"/>
  <c r="AS243" i="7" s="1"/>
  <c r="AQ223" i="5"/>
  <c r="AQ222" i="5"/>
  <c r="AQ221" i="5"/>
  <c r="AQ220" i="5"/>
  <c r="BA238" i="5"/>
  <c r="BA240" i="5"/>
  <c r="BB238" i="7"/>
  <c r="BB240" i="7"/>
  <c r="AQ221" i="10"/>
  <c r="AQ223" i="10"/>
  <c r="AQ220" i="10"/>
  <c r="AQ222" i="10"/>
  <c r="AQ229" i="7"/>
  <c r="AQ235" i="7" s="1"/>
  <c r="AQ215" i="7" s="1"/>
  <c r="AQ243" i="10"/>
  <c r="AT219" i="7" l="1"/>
  <c r="AR231" i="7"/>
  <c r="AR226" i="7"/>
  <c r="AY236" i="7"/>
  <c r="BC239" i="7"/>
  <c r="AY237" i="7"/>
  <c r="AQ230" i="10"/>
  <c r="AQ224" i="10"/>
  <c r="AQ225" i="10"/>
  <c r="AQ231" i="5"/>
  <c r="AQ226" i="5"/>
  <c r="AQ232" i="5"/>
  <c r="AQ227" i="5"/>
  <c r="BB238" i="5"/>
  <c r="BB240" i="5"/>
  <c r="AR224" i="7"/>
  <c r="AR230" i="7"/>
  <c r="AR225" i="7"/>
  <c r="AX236" i="10"/>
  <c r="BB239" i="10"/>
  <c r="AX237" i="10"/>
  <c r="AQ233" i="10"/>
  <c r="AQ228" i="10"/>
  <c r="AR232" i="7"/>
  <c r="AR227" i="7"/>
  <c r="AR222" i="5"/>
  <c r="AR221" i="5"/>
  <c r="AR220" i="5"/>
  <c r="AR223" i="5"/>
  <c r="AQ232" i="10"/>
  <c r="AQ227" i="10"/>
  <c r="AQ224" i="5"/>
  <c r="AQ230" i="5"/>
  <c r="AQ225" i="5"/>
  <c r="AQ231" i="10"/>
  <c r="AQ226" i="10"/>
  <c r="AQ233" i="5"/>
  <c r="AQ228" i="5"/>
  <c r="AR219" i="10"/>
  <c r="AR243" i="10" s="1"/>
  <c r="AS222" i="7"/>
  <c r="AS223" i="7"/>
  <c r="AS220" i="7"/>
  <c r="AS221" i="7"/>
  <c r="AR233" i="7"/>
  <c r="AR228" i="7"/>
  <c r="AR243" i="5"/>
  <c r="AR233" i="5" l="1"/>
  <c r="AR228" i="5"/>
  <c r="AS219" i="5"/>
  <c r="AS243" i="5" s="1"/>
  <c r="AS219" i="10"/>
  <c r="AQ234" i="10"/>
  <c r="AS231" i="7"/>
  <c r="AS226" i="7"/>
  <c r="BB238" i="10"/>
  <c r="BB240" i="10"/>
  <c r="AR231" i="5"/>
  <c r="AR226" i="5"/>
  <c r="AR229" i="7"/>
  <c r="AR235" i="7" s="1"/>
  <c r="AR215" i="7" s="1"/>
  <c r="AS230" i="7"/>
  <c r="AS224" i="7"/>
  <c r="AS225" i="7"/>
  <c r="AQ229" i="5"/>
  <c r="AQ235" i="5" s="1"/>
  <c r="AQ215" i="5" s="1"/>
  <c r="AS232" i="7"/>
  <c r="AS227" i="7"/>
  <c r="AR234" i="7"/>
  <c r="AQ229" i="10"/>
  <c r="AQ235" i="10" s="1"/>
  <c r="AQ215" i="10" s="1"/>
  <c r="AT223" i="7"/>
  <c r="AT221" i="7"/>
  <c r="AT222" i="7"/>
  <c r="AT220" i="7"/>
  <c r="AR224" i="5"/>
  <c r="AR230" i="5"/>
  <c r="AR225" i="5"/>
  <c r="BC238" i="7"/>
  <c r="BC240" i="7"/>
  <c r="AS233" i="7"/>
  <c r="AS228" i="7"/>
  <c r="AR232" i="5"/>
  <c r="AR227" i="5"/>
  <c r="AQ234" i="5"/>
  <c r="AR221" i="10"/>
  <c r="AR223" i="10"/>
  <c r="AR222" i="10"/>
  <c r="AR220" i="10"/>
  <c r="AT243" i="7"/>
  <c r="AS234" i="7" l="1"/>
  <c r="AR234" i="5"/>
  <c r="AZ237" i="5" s="1"/>
  <c r="BA237" i="7"/>
  <c r="BA236" i="7"/>
  <c r="BE239" i="7"/>
  <c r="AR233" i="10"/>
  <c r="AR228" i="10"/>
  <c r="AS223" i="10"/>
  <c r="AS221" i="10"/>
  <c r="AS222" i="10"/>
  <c r="AS220" i="10"/>
  <c r="AR231" i="10"/>
  <c r="AR226" i="10"/>
  <c r="AU219" i="7"/>
  <c r="AS223" i="5"/>
  <c r="AS222" i="5"/>
  <c r="AS221" i="5"/>
  <c r="AS220" i="5"/>
  <c r="AR230" i="10"/>
  <c r="AR224" i="10"/>
  <c r="AR225" i="10"/>
  <c r="AT231" i="7"/>
  <c r="AT226" i="7"/>
  <c r="AT219" i="5"/>
  <c r="AT243" i="5" s="1"/>
  <c r="AR232" i="10"/>
  <c r="AR227" i="10"/>
  <c r="AT233" i="7"/>
  <c r="AT228" i="7"/>
  <c r="BC239" i="10"/>
  <c r="AY236" i="10"/>
  <c r="AY237" i="10"/>
  <c r="AR229" i="5"/>
  <c r="AR235" i="5" s="1"/>
  <c r="AR215" i="5" s="1"/>
  <c r="AZ237" i="7"/>
  <c r="BD239" i="7"/>
  <c r="AZ236" i="7"/>
  <c r="AS243" i="10"/>
  <c r="AY237" i="5"/>
  <c r="AY236" i="5"/>
  <c r="BC239" i="5"/>
  <c r="AT230" i="7"/>
  <c r="AT224" i="7"/>
  <c r="AT225" i="7"/>
  <c r="AT232" i="7"/>
  <c r="AT227" i="7"/>
  <c r="AS229" i="7"/>
  <c r="AS235" i="7" s="1"/>
  <c r="AS215" i="7" s="1"/>
  <c r="AZ236" i="5" l="1"/>
  <c r="BD239" i="5"/>
  <c r="AR229" i="10"/>
  <c r="AT229" i="7"/>
  <c r="AR234" i="10"/>
  <c r="BD239" i="10" s="1"/>
  <c r="AU219" i="5"/>
  <c r="AR235" i="10"/>
  <c r="AR215" i="10" s="1"/>
  <c r="AT234" i="7"/>
  <c r="BD238" i="7"/>
  <c r="BD240" i="7"/>
  <c r="AT219" i="10"/>
  <c r="AT243" i="10" s="1"/>
  <c r="AS232" i="10"/>
  <c r="AS227" i="10"/>
  <c r="AS231" i="10"/>
  <c r="AS226" i="10"/>
  <c r="AS233" i="10"/>
  <c r="AS228" i="10"/>
  <c r="AU220" i="7"/>
  <c r="AU222" i="7"/>
  <c r="AU221" i="7"/>
  <c r="AU223" i="7"/>
  <c r="AU243" i="7"/>
  <c r="AS231" i="5"/>
  <c r="AS226" i="5"/>
  <c r="BE238" i="7"/>
  <c r="BE240" i="7"/>
  <c r="BC238" i="10"/>
  <c r="BC240" i="10"/>
  <c r="AT235" i="7"/>
  <c r="AT215" i="7" s="1"/>
  <c r="BD238" i="5"/>
  <c r="BD240" i="5"/>
  <c r="AT221" i="5"/>
  <c r="AT222" i="5"/>
  <c r="AT223" i="5"/>
  <c r="AT220" i="5"/>
  <c r="AS232" i="5"/>
  <c r="AS227" i="5"/>
  <c r="AZ236" i="10"/>
  <c r="AS224" i="5"/>
  <c r="AS230" i="5"/>
  <c r="AS225" i="5"/>
  <c r="BC238" i="5"/>
  <c r="BC240" i="5"/>
  <c r="AS233" i="5"/>
  <c r="AS228" i="5"/>
  <c r="AS230" i="10"/>
  <c r="AS224" i="10"/>
  <c r="AS225" i="10"/>
  <c r="AZ237" i="10" l="1"/>
  <c r="AS229" i="10"/>
  <c r="AS234" i="5"/>
  <c r="AS234" i="10"/>
  <c r="AS229" i="5"/>
  <c r="AT230" i="5"/>
  <c r="AT224" i="5"/>
  <c r="AT225" i="5"/>
  <c r="AU232" i="7"/>
  <c r="AU227" i="7"/>
  <c r="AT222" i="10"/>
  <c r="AT223" i="10"/>
  <c r="AT220" i="10"/>
  <c r="AT221" i="10"/>
  <c r="AU230" i="7"/>
  <c r="AU224" i="7"/>
  <c r="AU225" i="7"/>
  <c r="AU219" i="10"/>
  <c r="AU243" i="10" s="1"/>
  <c r="AT232" i="5"/>
  <c r="AT227" i="5"/>
  <c r="BA236" i="10"/>
  <c r="BA237" i="10"/>
  <c r="BE239" i="10"/>
  <c r="AV219" i="7"/>
  <c r="AT233" i="5"/>
  <c r="AT228" i="5"/>
  <c r="BB237" i="7"/>
  <c r="BB236" i="7"/>
  <c r="BF239" i="7"/>
  <c r="AU233" i="7"/>
  <c r="AU228" i="7"/>
  <c r="AU221" i="5"/>
  <c r="AU223" i="5"/>
  <c r="AU220" i="5"/>
  <c r="AU222" i="5"/>
  <c r="BA237" i="5"/>
  <c r="BE239" i="5"/>
  <c r="BA236" i="5"/>
  <c r="AS235" i="10"/>
  <c r="AS215" i="10" s="1"/>
  <c r="AS235" i="5"/>
  <c r="AS215" i="5" s="1"/>
  <c r="AT231" i="5"/>
  <c r="AT226" i="5"/>
  <c r="BD238" i="10"/>
  <c r="BD240" i="10"/>
  <c r="AU231" i="7"/>
  <c r="AU226" i="7"/>
  <c r="AU243" i="5"/>
  <c r="AT233" i="10" l="1"/>
  <c r="AT228" i="10"/>
  <c r="AU220" i="10"/>
  <c r="AU223" i="10"/>
  <c r="AU222" i="10"/>
  <c r="AU221" i="10"/>
  <c r="AT232" i="10"/>
  <c r="AT227" i="10"/>
  <c r="AV219" i="10"/>
  <c r="AU230" i="5"/>
  <c r="AU224" i="5"/>
  <c r="AU225" i="5"/>
  <c r="AU232" i="5"/>
  <c r="AU227" i="5"/>
  <c r="AT224" i="10"/>
  <c r="AT230" i="10"/>
  <c r="AT225" i="10"/>
  <c r="AU231" i="5"/>
  <c r="AU226" i="5"/>
  <c r="AV219" i="5"/>
  <c r="AT229" i="5"/>
  <c r="AT235" i="5" s="1"/>
  <c r="AT215" i="5" s="1"/>
  <c r="AU233" i="5"/>
  <c r="AU228" i="5"/>
  <c r="AV221" i="7"/>
  <c r="AV222" i="7"/>
  <c r="AV223" i="7"/>
  <c r="AV220" i="7"/>
  <c r="AV243" i="7"/>
  <c r="AU229" i="7"/>
  <c r="AU235" i="7" s="1"/>
  <c r="AU215" i="7" s="1"/>
  <c r="BF238" i="7"/>
  <c r="BF240" i="7"/>
  <c r="BE238" i="10"/>
  <c r="BE240" i="10"/>
  <c r="AU234" i="7"/>
  <c r="BE238" i="5"/>
  <c r="BE240" i="5"/>
  <c r="AT231" i="10"/>
  <c r="AT226" i="10"/>
  <c r="AT234" i="5"/>
  <c r="AV233" i="7" l="1"/>
  <c r="AV228" i="7"/>
  <c r="AV223" i="5"/>
  <c r="AV220" i="5"/>
  <c r="AV221" i="5"/>
  <c r="AV222" i="5"/>
  <c r="AU231" i="10"/>
  <c r="AU226" i="10"/>
  <c r="BG239" i="7"/>
  <c r="BC236" i="7"/>
  <c r="BC237" i="7"/>
  <c r="AU232" i="10"/>
  <c r="AU227" i="10"/>
  <c r="AV231" i="7"/>
  <c r="AV226" i="7"/>
  <c r="AU234" i="5"/>
  <c r="AU230" i="10"/>
  <c r="AU224" i="10"/>
  <c r="AU225" i="10"/>
  <c r="AV224" i="7"/>
  <c r="AV230" i="7"/>
  <c r="AV225" i="7"/>
  <c r="AV243" i="5"/>
  <c r="AT229" i="10"/>
  <c r="AT235" i="10" s="1"/>
  <c r="AT215" i="10" s="1"/>
  <c r="AV221" i="10"/>
  <c r="AV220" i="10"/>
  <c r="AV222" i="10"/>
  <c r="AV223" i="10"/>
  <c r="AW219" i="7"/>
  <c r="AW243" i="7" s="1"/>
  <c r="AU229" i="5"/>
  <c r="AU235" i="5" s="1"/>
  <c r="AU215" i="5" s="1"/>
  <c r="AV232" i="7"/>
  <c r="AV227" i="7"/>
  <c r="AU233" i="10"/>
  <c r="AU228" i="10"/>
  <c r="BF239" i="5"/>
  <c r="BB237" i="5"/>
  <c r="BB236" i="5"/>
  <c r="AT234" i="10"/>
  <c r="AV243" i="10"/>
  <c r="AV229" i="7" l="1"/>
  <c r="AU229" i="10"/>
  <c r="AV233" i="10"/>
  <c r="AV228" i="10"/>
  <c r="AW219" i="10"/>
  <c r="AW223" i="7"/>
  <c r="AW221" i="7"/>
  <c r="AW222" i="7"/>
  <c r="AW220" i="7"/>
  <c r="AW219" i="5"/>
  <c r="AV232" i="5"/>
  <c r="AV227" i="5"/>
  <c r="AV234" i="7"/>
  <c r="AV231" i="5"/>
  <c r="AV226" i="5"/>
  <c r="AV224" i="5"/>
  <c r="AV230" i="5"/>
  <c r="AV225" i="5"/>
  <c r="AV224" i="10"/>
  <c r="AV230" i="10"/>
  <c r="AV225" i="10"/>
  <c r="AV233" i="5"/>
  <c r="AV228" i="5"/>
  <c r="AX243" i="7"/>
  <c r="AX219" i="7"/>
  <c r="AV232" i="10"/>
  <c r="AV227" i="10"/>
  <c r="AV235" i="7"/>
  <c r="AV215" i="7" s="1"/>
  <c r="AV231" i="10"/>
  <c r="AV226" i="10"/>
  <c r="AU235" i="10"/>
  <c r="AU215" i="10" s="1"/>
  <c r="BF238" i="5"/>
  <c r="BF240" i="5"/>
  <c r="AU234" i="10"/>
  <c r="BB237" i="10"/>
  <c r="BB236" i="10"/>
  <c r="BF239" i="10"/>
  <c r="BC237" i="5"/>
  <c r="BG239" i="5"/>
  <c r="BC236" i="5"/>
  <c r="BG238" i="7"/>
  <c r="BG240" i="7"/>
  <c r="AY219" i="7" l="1"/>
  <c r="AW224" i="7"/>
  <c r="AW230" i="7"/>
  <c r="AW225" i="7"/>
  <c r="AW232" i="7"/>
  <c r="AW227" i="7"/>
  <c r="AW233" i="7"/>
  <c r="AW228" i="7"/>
  <c r="AW223" i="10"/>
  <c r="AW221" i="10"/>
  <c r="AW222" i="10"/>
  <c r="AW220" i="10"/>
  <c r="BG238" i="5"/>
  <c r="BG240" i="5"/>
  <c r="AV234" i="10"/>
  <c r="AW243" i="10"/>
  <c r="AW231" i="7"/>
  <c r="AW226" i="7"/>
  <c r="BF238" i="10"/>
  <c r="BF240" i="10"/>
  <c r="AV229" i="10"/>
  <c r="AV235" i="10" s="1"/>
  <c r="AV215" i="10" s="1"/>
  <c r="BH239" i="7"/>
  <c r="BD237" i="7"/>
  <c r="BD236" i="7"/>
  <c r="BC236" i="10"/>
  <c r="BC237" i="10"/>
  <c r="BG239" i="10"/>
  <c r="AV229" i="5"/>
  <c r="AV235" i="5" s="1"/>
  <c r="AV215" i="5" s="1"/>
  <c r="AW220" i="5"/>
  <c r="AW223" i="5"/>
  <c r="AW222" i="5"/>
  <c r="AW221" i="5"/>
  <c r="AX221" i="7"/>
  <c r="AX220" i="7"/>
  <c r="AX223" i="7"/>
  <c r="AX222" i="7"/>
  <c r="AV234" i="5"/>
  <c r="AW243" i="5"/>
  <c r="AX231" i="7" l="1"/>
  <c r="AX226" i="7"/>
  <c r="BH239" i="5"/>
  <c r="BD237" i="5"/>
  <c r="BD236" i="5"/>
  <c r="AW224" i="5"/>
  <c r="AW230" i="5"/>
  <c r="AW225" i="5"/>
  <c r="AX232" i="7"/>
  <c r="AX227" i="7"/>
  <c r="AX233" i="7"/>
  <c r="AX228" i="7"/>
  <c r="AW229" i="7"/>
  <c r="AW235" i="7" s="1"/>
  <c r="AW215" i="7" s="1"/>
  <c r="AW234" i="7"/>
  <c r="AW231" i="10"/>
  <c r="AW226" i="10"/>
  <c r="BH238" i="7"/>
  <c r="BH240" i="7"/>
  <c r="AX230" i="7"/>
  <c r="AX224" i="7"/>
  <c r="AX225" i="7"/>
  <c r="AX229" i="7" s="1"/>
  <c r="AX219" i="10"/>
  <c r="AW233" i="10"/>
  <c r="AW228" i="10"/>
  <c r="AW224" i="10"/>
  <c r="AW230" i="10"/>
  <c r="AW225" i="10"/>
  <c r="AW231" i="5"/>
  <c r="AW226" i="5"/>
  <c r="AW232" i="5"/>
  <c r="AW227" i="5"/>
  <c r="AY222" i="7"/>
  <c r="AY223" i="7"/>
  <c r="AY220" i="7"/>
  <c r="AY221" i="7"/>
  <c r="BG238" i="10"/>
  <c r="BG240" i="10"/>
  <c r="AW232" i="10"/>
  <c r="AW227" i="10"/>
  <c r="AX219" i="5"/>
  <c r="AX243" i="5" s="1"/>
  <c r="AW233" i="5"/>
  <c r="AW228" i="5"/>
  <c r="BD236" i="10"/>
  <c r="BD237" i="10"/>
  <c r="BH239" i="10"/>
  <c r="AY243" i="7"/>
  <c r="AW234" i="5" l="1"/>
  <c r="AX234" i="7"/>
  <c r="AX223" i="10"/>
  <c r="AX222" i="10"/>
  <c r="AX220" i="10"/>
  <c r="AX221" i="10"/>
  <c r="BH238" i="10"/>
  <c r="BH240" i="10"/>
  <c r="AW229" i="5"/>
  <c r="AW235" i="5"/>
  <c r="AW215" i="5" s="1"/>
  <c r="AY230" i="7"/>
  <c r="AY224" i="7"/>
  <c r="AY225" i="7"/>
  <c r="AW229" i="10"/>
  <c r="AW235" i="10" s="1"/>
  <c r="AW215" i="10" s="1"/>
  <c r="AX235" i="7"/>
  <c r="AX215" i="7" s="1"/>
  <c r="AX223" i="5"/>
  <c r="AX222" i="5"/>
  <c r="AX220" i="5"/>
  <c r="AX221" i="5"/>
  <c r="AY233" i="7"/>
  <c r="AY228" i="7"/>
  <c r="AW234" i="10"/>
  <c r="BJ239" i="7"/>
  <c r="BF237" i="7"/>
  <c r="BF236" i="7"/>
  <c r="BE236" i="7"/>
  <c r="BI239" i="7"/>
  <c r="BE237" i="7"/>
  <c r="AY219" i="5"/>
  <c r="AY243" i="5" s="1"/>
  <c r="AY232" i="7"/>
  <c r="AY227" i="7"/>
  <c r="BI239" i="5"/>
  <c r="BE237" i="5"/>
  <c r="BE236" i="5"/>
  <c r="AX243" i="10"/>
  <c r="AY231" i="7"/>
  <c r="AY226" i="7"/>
  <c r="AZ219" i="7"/>
  <c r="AZ243" i="7" s="1"/>
  <c r="BH238" i="5"/>
  <c r="BH240" i="5"/>
  <c r="AZ219" i="5" l="1"/>
  <c r="AX224" i="5"/>
  <c r="AX230" i="5"/>
  <c r="AX225" i="5"/>
  <c r="AZ220" i="7"/>
  <c r="AZ221" i="7"/>
  <c r="AZ222" i="7"/>
  <c r="AZ223" i="7"/>
  <c r="BI238" i="7"/>
  <c r="BI240" i="7"/>
  <c r="AX232" i="5"/>
  <c r="AX227" i="5"/>
  <c r="BA219" i="7"/>
  <c r="BE237" i="10"/>
  <c r="BE236" i="10"/>
  <c r="BI239" i="10"/>
  <c r="AY219" i="10"/>
  <c r="AY243" i="10" s="1"/>
  <c r="AY229" i="7"/>
  <c r="AY235" i="7" s="1"/>
  <c r="AY215" i="7" s="1"/>
  <c r="AX230" i="10"/>
  <c r="AX224" i="10"/>
  <c r="AX225" i="10"/>
  <c r="AX233" i="5"/>
  <c r="AX228" i="5"/>
  <c r="AY222" i="5"/>
  <c r="AY223" i="5"/>
  <c r="AY221" i="5"/>
  <c r="AY220" i="5"/>
  <c r="AX232" i="10"/>
  <c r="AX227" i="10"/>
  <c r="BI238" i="5"/>
  <c r="BI240" i="5"/>
  <c r="BJ238" i="7"/>
  <c r="BJ240" i="7"/>
  <c r="AX231" i="10"/>
  <c r="AX226" i="10"/>
  <c r="AX231" i="5"/>
  <c r="AX226" i="5"/>
  <c r="AY234" i="7"/>
  <c r="AX233" i="10"/>
  <c r="AX228" i="10"/>
  <c r="AX229" i="10" l="1"/>
  <c r="AX235" i="10"/>
  <c r="AX215" i="10" s="1"/>
  <c r="AZ219" i="10"/>
  <c r="AZ232" i="7"/>
  <c r="AZ227" i="7"/>
  <c r="AZ231" i="7"/>
  <c r="AZ226" i="7"/>
  <c r="AX234" i="5"/>
  <c r="AY233" i="5"/>
  <c r="AY228" i="5"/>
  <c r="AY232" i="5"/>
  <c r="AY227" i="5"/>
  <c r="AY224" i="5"/>
  <c r="AY230" i="5"/>
  <c r="AY225" i="5"/>
  <c r="AZ224" i="7"/>
  <c r="AZ230" i="7"/>
  <c r="AZ225" i="7"/>
  <c r="AY222" i="10"/>
  <c r="AY223" i="10"/>
  <c r="AY221" i="10"/>
  <c r="AY220" i="10"/>
  <c r="BG237" i="7"/>
  <c r="BK239" i="7"/>
  <c r="BG236" i="7"/>
  <c r="AZ220" i="5"/>
  <c r="AZ223" i="5"/>
  <c r="AZ222" i="5"/>
  <c r="AZ221" i="5"/>
  <c r="BA223" i="7"/>
  <c r="BA221" i="7"/>
  <c r="BA222" i="7"/>
  <c r="BA220" i="7"/>
  <c r="AX234" i="10"/>
  <c r="BA243" i="7"/>
  <c r="AY231" i="5"/>
  <c r="AY226" i="5"/>
  <c r="AX229" i="5"/>
  <c r="AX235" i="5" s="1"/>
  <c r="AX215" i="5" s="1"/>
  <c r="BI238" i="10"/>
  <c r="BI240" i="10"/>
  <c r="AZ233" i="7"/>
  <c r="AZ228" i="7"/>
  <c r="AZ243" i="5"/>
  <c r="AY234" i="5" l="1"/>
  <c r="BA231" i="7"/>
  <c r="BA226" i="7"/>
  <c r="AY229" i="5"/>
  <c r="AY235" i="5" s="1"/>
  <c r="AY215" i="5" s="1"/>
  <c r="BJ239" i="5"/>
  <c r="BF237" i="5"/>
  <c r="BF236" i="5"/>
  <c r="BA232" i="7"/>
  <c r="BA227" i="7"/>
  <c r="BA233" i="7"/>
  <c r="BA228" i="7"/>
  <c r="BK239" i="5"/>
  <c r="BG237" i="5"/>
  <c r="BG236" i="5"/>
  <c r="AY231" i="10"/>
  <c r="AY226" i="10"/>
  <c r="AY232" i="10"/>
  <c r="AY227" i="10"/>
  <c r="BK238" i="7"/>
  <c r="BK240" i="7"/>
  <c r="AY230" i="10"/>
  <c r="AY224" i="10"/>
  <c r="AY225" i="10"/>
  <c r="AZ231" i="5"/>
  <c r="AZ226" i="5"/>
  <c r="AZ232" i="5"/>
  <c r="AZ227" i="5"/>
  <c r="AY233" i="10"/>
  <c r="AY228" i="10"/>
  <c r="AZ233" i="5"/>
  <c r="AZ228" i="5"/>
  <c r="AZ224" i="5"/>
  <c r="AZ230" i="5"/>
  <c r="AZ225" i="5"/>
  <c r="AZ229" i="7"/>
  <c r="AZ235" i="7" s="1"/>
  <c r="AZ215" i="7" s="1"/>
  <c r="AZ222" i="10"/>
  <c r="AZ220" i="10"/>
  <c r="AZ223" i="10"/>
  <c r="AZ221" i="10"/>
  <c r="BA243" i="5"/>
  <c r="BA219" i="5"/>
  <c r="BB219" i="7"/>
  <c r="BF237" i="10"/>
  <c r="BF236" i="10"/>
  <c r="BJ239" i="10"/>
  <c r="BA230" i="7"/>
  <c r="BA224" i="7"/>
  <c r="BA225" i="7"/>
  <c r="AZ234" i="7"/>
  <c r="AZ243" i="10"/>
  <c r="BA229" i="7" l="1"/>
  <c r="BA235" i="7"/>
  <c r="BA215" i="7" s="1"/>
  <c r="BA234" i="7"/>
  <c r="AZ231" i="10"/>
  <c r="AZ226" i="10"/>
  <c r="AY229" i="10"/>
  <c r="AY235" i="10" s="1"/>
  <c r="AY215" i="10" s="1"/>
  <c r="AZ232" i="10"/>
  <c r="AZ227" i="10"/>
  <c r="BA219" i="10"/>
  <c r="BB222" i="7"/>
  <c r="BB223" i="7"/>
  <c r="BB220" i="7"/>
  <c r="BB221" i="7"/>
  <c r="AZ233" i="10"/>
  <c r="AZ228" i="10"/>
  <c r="BJ238" i="10"/>
  <c r="BJ240" i="10"/>
  <c r="AY234" i="10"/>
  <c r="AZ229" i="5"/>
  <c r="AZ235" i="5" s="1"/>
  <c r="AZ215" i="5" s="1"/>
  <c r="AZ230" i="10"/>
  <c r="AZ224" i="10"/>
  <c r="AZ225" i="10"/>
  <c r="BJ238" i="5"/>
  <c r="BJ240" i="5"/>
  <c r="BL239" i="7"/>
  <c r="BH237" i="7"/>
  <c r="BH236" i="7"/>
  <c r="BB243" i="7"/>
  <c r="BA221" i="5"/>
  <c r="BA223" i="5"/>
  <c r="BA222" i="5"/>
  <c r="BA220" i="5"/>
  <c r="AZ234" i="5"/>
  <c r="BK238" i="5"/>
  <c r="BK240" i="5"/>
  <c r="BI237" i="7"/>
  <c r="BM239" i="7"/>
  <c r="BI236" i="7"/>
  <c r="BB219" i="5"/>
  <c r="BH236" i="5" l="1"/>
  <c r="BH237" i="5"/>
  <c r="BL239" i="5"/>
  <c r="BK239" i="10"/>
  <c r="BG237" i="10"/>
  <c r="BG236" i="10"/>
  <c r="BB232" i="7"/>
  <c r="BB227" i="7"/>
  <c r="BB223" i="5"/>
  <c r="BB221" i="5"/>
  <c r="BB222" i="5"/>
  <c r="BB220" i="5"/>
  <c r="BB243" i="5"/>
  <c r="BM238" i="7"/>
  <c r="BM240" i="7"/>
  <c r="BA231" i="5"/>
  <c r="BA226" i="5"/>
  <c r="BC219" i="7"/>
  <c r="BB231" i="7"/>
  <c r="BB226" i="7"/>
  <c r="BA220" i="10"/>
  <c r="BA221" i="10"/>
  <c r="BA222" i="10"/>
  <c r="BA223" i="10"/>
  <c r="BA232" i="5"/>
  <c r="BA227" i="5"/>
  <c r="BA243" i="10"/>
  <c r="BA233" i="5"/>
  <c r="BA228" i="5"/>
  <c r="AZ234" i="10"/>
  <c r="BB230" i="7"/>
  <c r="BB224" i="7"/>
  <c r="BB225" i="7"/>
  <c r="BA224" i="5"/>
  <c r="BA230" i="5"/>
  <c r="BA225" i="5"/>
  <c r="BL238" i="7"/>
  <c r="BL240" i="7"/>
  <c r="AZ229" i="10"/>
  <c r="AZ235" i="10" s="1"/>
  <c r="AZ215" i="10" s="1"/>
  <c r="BB233" i="7"/>
  <c r="BB228" i="7"/>
  <c r="BB219" i="10" l="1"/>
  <c r="BC219" i="5"/>
  <c r="BH236" i="10"/>
  <c r="BL239" i="10"/>
  <c r="BH237" i="10"/>
  <c r="BA231" i="10"/>
  <c r="BA226" i="10"/>
  <c r="BA229" i="5"/>
  <c r="BA235" i="5" s="1"/>
  <c r="BA215" i="5" s="1"/>
  <c r="BA234" i="5"/>
  <c r="BB230" i="5"/>
  <c r="BB224" i="5"/>
  <c r="BB225" i="5"/>
  <c r="BC221" i="7"/>
  <c r="BC222" i="7"/>
  <c r="BC223" i="7"/>
  <c r="BC220" i="7"/>
  <c r="BB232" i="5"/>
  <c r="BB227" i="5"/>
  <c r="BL238" i="5"/>
  <c r="BL240" i="5"/>
  <c r="BA224" i="10"/>
  <c r="BA230" i="10"/>
  <c r="BA225" i="10"/>
  <c r="BB229" i="7"/>
  <c r="BB235" i="7" s="1"/>
  <c r="BB215" i="7" s="1"/>
  <c r="BA233" i="10"/>
  <c r="BA228" i="10"/>
  <c r="BC243" i="7"/>
  <c r="BB231" i="5"/>
  <c r="BB226" i="5"/>
  <c r="BK238" i="10"/>
  <c r="BK240" i="10"/>
  <c r="BB234" i="7"/>
  <c r="BA232" i="10"/>
  <c r="BA227" i="10"/>
  <c r="BB233" i="5"/>
  <c r="BB228" i="5"/>
  <c r="BB229" i="5" l="1"/>
  <c r="BC231" i="7"/>
  <c r="BC226" i="7"/>
  <c r="BC223" i="5"/>
  <c r="BC222" i="5"/>
  <c r="BC221" i="5"/>
  <c r="BC220" i="5"/>
  <c r="BB235" i="5"/>
  <c r="BB215" i="5" s="1"/>
  <c r="BN239" i="7"/>
  <c r="BJ236" i="7"/>
  <c r="BJ237" i="7"/>
  <c r="BC224" i="7"/>
  <c r="BC230" i="7"/>
  <c r="BC225" i="7"/>
  <c r="BI236" i="5"/>
  <c r="BM239" i="5"/>
  <c r="BI237" i="5"/>
  <c r="BC243" i="5"/>
  <c r="BL238" i="10"/>
  <c r="BL240" i="10"/>
  <c r="BC233" i="7"/>
  <c r="BC228" i="7"/>
  <c r="BB220" i="10"/>
  <c r="BB221" i="10"/>
  <c r="BB223" i="10"/>
  <c r="BB222" i="10"/>
  <c r="BD219" i="7"/>
  <c r="BB234" i="5"/>
  <c r="BA229" i="10"/>
  <c r="BA235" i="10" s="1"/>
  <c r="BA215" i="10" s="1"/>
  <c r="BA234" i="10"/>
  <c r="BC232" i="7"/>
  <c r="BC227" i="7"/>
  <c r="BB243" i="10"/>
  <c r="BI237" i="10" l="1"/>
  <c r="BI236" i="10"/>
  <c r="BM239" i="10"/>
  <c r="BB231" i="10"/>
  <c r="BB226" i="10"/>
  <c r="BN238" i="7"/>
  <c r="BN240" i="7"/>
  <c r="BB233" i="10"/>
  <c r="BB228" i="10"/>
  <c r="BC231" i="5"/>
  <c r="BC226" i="5"/>
  <c r="BC233" i="5"/>
  <c r="BC228" i="5"/>
  <c r="BM238" i="5"/>
  <c r="BM240" i="5"/>
  <c r="BC230" i="5"/>
  <c r="BC224" i="5"/>
  <c r="BC225" i="5"/>
  <c r="BN239" i="5"/>
  <c r="BJ236" i="5"/>
  <c r="BJ237" i="5"/>
  <c r="BC229" i="7"/>
  <c r="BC235" i="7" s="1"/>
  <c r="BC215" i="7" s="1"/>
  <c r="BC234" i="7"/>
  <c r="BC232" i="5"/>
  <c r="BC227" i="5"/>
  <c r="BB224" i="10"/>
  <c r="BB230" i="10"/>
  <c r="BB225" i="10"/>
  <c r="BD223" i="7"/>
  <c r="BD221" i="7"/>
  <c r="BD222" i="7"/>
  <c r="BD220" i="7"/>
  <c r="BD243" i="7"/>
  <c r="BC219" i="10"/>
  <c r="BB232" i="10"/>
  <c r="BB227" i="10"/>
  <c r="BD219" i="5"/>
  <c r="BD243" i="5" s="1"/>
  <c r="BB229" i="10" l="1"/>
  <c r="BD220" i="5"/>
  <c r="BD223" i="5"/>
  <c r="BD222" i="5"/>
  <c r="BD221" i="5"/>
  <c r="BD232" i="7"/>
  <c r="BD227" i="7"/>
  <c r="BK236" i="7"/>
  <c r="BO239" i="7"/>
  <c r="BK237" i="7"/>
  <c r="BE219" i="5"/>
  <c r="BB235" i="10"/>
  <c r="BB215" i="10" s="1"/>
  <c r="BM238" i="10"/>
  <c r="BM240" i="10"/>
  <c r="BN238" i="5"/>
  <c r="BN240" i="5"/>
  <c r="BD231" i="7"/>
  <c r="BD226" i="7"/>
  <c r="BD233" i="7"/>
  <c r="BD228" i="7"/>
  <c r="BC222" i="10"/>
  <c r="BC220" i="10"/>
  <c r="BC223" i="10"/>
  <c r="BC221" i="10"/>
  <c r="BB234" i="10"/>
  <c r="BC243" i="10"/>
  <c r="BC229" i="5"/>
  <c r="BC235" i="5" s="1"/>
  <c r="BC215" i="5" s="1"/>
  <c r="BE219" i="7"/>
  <c r="BD224" i="7"/>
  <c r="BD230" i="7"/>
  <c r="BD225" i="7"/>
  <c r="BC234" i="5"/>
  <c r="BD234" i="7" l="1"/>
  <c r="BC230" i="10"/>
  <c r="BC224" i="10"/>
  <c r="BC225" i="10"/>
  <c r="BE223" i="7"/>
  <c r="BE220" i="7"/>
  <c r="BE221" i="7"/>
  <c r="BE222" i="7"/>
  <c r="BC232" i="10"/>
  <c r="BC227" i="10"/>
  <c r="BE243" i="7"/>
  <c r="BD231" i="5"/>
  <c r="BD226" i="5"/>
  <c r="BE223" i="5"/>
  <c r="BE220" i="5"/>
  <c r="BE222" i="5"/>
  <c r="BE221" i="5"/>
  <c r="BD232" i="5"/>
  <c r="BD227" i="5"/>
  <c r="BO239" i="5"/>
  <c r="BK237" i="5"/>
  <c r="BK236" i="5"/>
  <c r="BN239" i="10"/>
  <c r="BJ237" i="10"/>
  <c r="BJ236" i="10"/>
  <c r="BE243" i="5"/>
  <c r="BD233" i="5"/>
  <c r="BD228" i="5"/>
  <c r="BD219" i="10"/>
  <c r="BD229" i="7"/>
  <c r="BD235" i="7" s="1"/>
  <c r="BD215" i="7" s="1"/>
  <c r="BC231" i="10"/>
  <c r="BC226" i="10"/>
  <c r="BD224" i="5"/>
  <c r="BD230" i="5"/>
  <c r="BD225" i="5"/>
  <c r="BL237" i="7"/>
  <c r="BL236" i="7"/>
  <c r="BP239" i="7"/>
  <c r="BC233" i="10"/>
  <c r="BC228" i="10"/>
  <c r="BO238" i="7"/>
  <c r="BO240" i="7"/>
  <c r="BC229" i="10" l="1"/>
  <c r="BP238" i="7"/>
  <c r="BP240" i="7"/>
  <c r="BE224" i="7"/>
  <c r="BE230" i="7"/>
  <c r="BE234" i="7" s="1"/>
  <c r="BE225" i="7"/>
  <c r="BE232" i="5"/>
  <c r="BE227" i="5"/>
  <c r="BE232" i="7"/>
  <c r="BE227" i="7"/>
  <c r="BE231" i="7"/>
  <c r="BE226" i="7"/>
  <c r="BD229" i="5"/>
  <c r="BD235" i="5" s="1"/>
  <c r="BD215" i="5" s="1"/>
  <c r="BD234" i="5"/>
  <c r="BO238" i="5"/>
  <c r="BO240" i="5"/>
  <c r="BF219" i="7"/>
  <c r="BF243" i="7" s="1"/>
  <c r="BC235" i="10"/>
  <c r="BC215" i="10" s="1"/>
  <c r="BD220" i="10"/>
  <c r="BD223" i="10"/>
  <c r="BD222" i="10"/>
  <c r="BD221" i="10"/>
  <c r="BE233" i="5"/>
  <c r="BE228" i="5"/>
  <c r="BD243" i="10"/>
  <c r="BE233" i="7"/>
  <c r="BE228" i="7"/>
  <c r="BF219" i="5"/>
  <c r="BF243" i="5" s="1"/>
  <c r="BC234" i="10"/>
  <c r="BE230" i="5"/>
  <c r="BE224" i="5"/>
  <c r="BE225" i="5"/>
  <c r="BN238" i="10"/>
  <c r="BN240" i="10"/>
  <c r="BE231" i="5"/>
  <c r="BE226" i="5"/>
  <c r="BG219" i="5" l="1"/>
  <c r="BL237" i="5"/>
  <c r="BL236" i="5"/>
  <c r="BP239" i="5"/>
  <c r="BD233" i="10"/>
  <c r="BD228" i="10"/>
  <c r="BE234" i="5"/>
  <c r="BG219" i="7"/>
  <c r="BD232" i="10"/>
  <c r="BD227" i="10"/>
  <c r="BK236" i="10"/>
  <c r="BK237" i="10"/>
  <c r="BO239" i="10"/>
  <c r="BD231" i="10"/>
  <c r="BD226" i="10"/>
  <c r="BE229" i="7"/>
  <c r="BE235" i="7" s="1"/>
  <c r="BE215" i="7" s="1"/>
  <c r="BM236" i="7"/>
  <c r="BM237" i="7"/>
  <c r="BQ239" i="7"/>
  <c r="BD224" i="10"/>
  <c r="BD230" i="10"/>
  <c r="BD225" i="10"/>
  <c r="BE229" i="5"/>
  <c r="BE235" i="5" s="1"/>
  <c r="BE215" i="5" s="1"/>
  <c r="BF221" i="5"/>
  <c r="BF220" i="5"/>
  <c r="BF222" i="5"/>
  <c r="BF223" i="5"/>
  <c r="BE219" i="10"/>
  <c r="BE243" i="10" s="1"/>
  <c r="BF221" i="7"/>
  <c r="BF222" i="7"/>
  <c r="BF223" i="7"/>
  <c r="BF220" i="7"/>
  <c r="BD234" i="10" l="1"/>
  <c r="BF219" i="10"/>
  <c r="BO238" i="10"/>
  <c r="BO240" i="10"/>
  <c r="BF230" i="7"/>
  <c r="BF224" i="7"/>
  <c r="BF225" i="7"/>
  <c r="BF232" i="7"/>
  <c r="BF227" i="7"/>
  <c r="BF231" i="7"/>
  <c r="BF226" i="7"/>
  <c r="BP239" i="10"/>
  <c r="BL236" i="10"/>
  <c r="BL237" i="10"/>
  <c r="BF233" i="5"/>
  <c r="BF228" i="5"/>
  <c r="BF232" i="5"/>
  <c r="BF227" i="5"/>
  <c r="BF230" i="5"/>
  <c r="BF224" i="5"/>
  <c r="BF225" i="5"/>
  <c r="BQ238" i="7"/>
  <c r="BQ240" i="7"/>
  <c r="BP238" i="5"/>
  <c r="BP240" i="5"/>
  <c r="BF233" i="7"/>
  <c r="BF228" i="7"/>
  <c r="BF231" i="5"/>
  <c r="BF226" i="5"/>
  <c r="BG223" i="7"/>
  <c r="BG222" i="7"/>
  <c r="BG221" i="7"/>
  <c r="BG220" i="7"/>
  <c r="BG243" i="7"/>
  <c r="BG223" i="5"/>
  <c r="BG221" i="5"/>
  <c r="BG220" i="5"/>
  <c r="BG222" i="5"/>
  <c r="BE222" i="10"/>
  <c r="BE220" i="10"/>
  <c r="BE223" i="10"/>
  <c r="BE221" i="10"/>
  <c r="BD229" i="10"/>
  <c r="BD235" i="10" s="1"/>
  <c r="BD215" i="10" s="1"/>
  <c r="BQ239" i="5"/>
  <c r="BM236" i="5"/>
  <c r="BM237" i="5"/>
  <c r="BG243" i="5"/>
  <c r="BF229" i="7" l="1"/>
  <c r="BF234" i="7"/>
  <c r="BG233" i="5"/>
  <c r="BG228" i="5"/>
  <c r="BF234" i="5"/>
  <c r="BH219" i="5"/>
  <c r="BH243" i="5" s="1"/>
  <c r="BE232" i="10"/>
  <c r="BE227" i="10"/>
  <c r="BG232" i="7"/>
  <c r="BG227" i="7"/>
  <c r="BG232" i="5"/>
  <c r="BG227" i="5"/>
  <c r="BG233" i="7"/>
  <c r="BG228" i="7"/>
  <c r="BG224" i="5"/>
  <c r="BG230" i="5"/>
  <c r="BG234" i="5" s="1"/>
  <c r="BG225" i="5"/>
  <c r="BQ238" i="5"/>
  <c r="BQ240" i="5"/>
  <c r="BE231" i="10"/>
  <c r="BE226" i="10"/>
  <c r="BH219" i="7"/>
  <c r="BP238" i="10"/>
  <c r="BP240" i="10"/>
  <c r="BF229" i="5"/>
  <c r="BF235" i="5" s="1"/>
  <c r="BF215" i="5" s="1"/>
  <c r="BF235" i="7"/>
  <c r="BF215" i="7" s="1"/>
  <c r="BG231" i="5"/>
  <c r="BG226" i="5"/>
  <c r="BR239" i="7"/>
  <c r="BN237" i="7"/>
  <c r="BN236" i="7"/>
  <c r="BE233" i="10"/>
  <c r="BE228" i="10"/>
  <c r="BG230" i="7"/>
  <c r="BG224" i="7"/>
  <c r="BG225" i="7"/>
  <c r="BF223" i="10"/>
  <c r="BF222" i="10"/>
  <c r="BF220" i="10"/>
  <c r="BF221" i="10"/>
  <c r="BE224" i="10"/>
  <c r="BE230" i="10"/>
  <c r="BE225" i="10"/>
  <c r="BG231" i="7"/>
  <c r="BG226" i="7"/>
  <c r="BF243" i="10"/>
  <c r="BG229" i="7" l="1"/>
  <c r="BI219" i="5"/>
  <c r="BF230" i="10"/>
  <c r="BF224" i="10"/>
  <c r="BF225" i="10"/>
  <c r="BG229" i="5"/>
  <c r="BG235" i="5" s="1"/>
  <c r="BG215" i="5" s="1"/>
  <c r="BS239" i="5"/>
  <c r="BO237" i="5"/>
  <c r="BO236" i="5"/>
  <c r="BF232" i="10"/>
  <c r="BF227" i="10"/>
  <c r="BF233" i="10"/>
  <c r="BF228" i="10"/>
  <c r="BR238" i="7"/>
  <c r="BR240" i="7"/>
  <c r="BE234" i="10"/>
  <c r="BR239" i="5"/>
  <c r="BN236" i="5"/>
  <c r="BN237" i="5"/>
  <c r="BH222" i="7"/>
  <c r="BH221" i="7"/>
  <c r="BH223" i="7"/>
  <c r="BH220" i="7"/>
  <c r="BH243" i="7"/>
  <c r="BE229" i="10"/>
  <c r="BG219" i="10"/>
  <c r="BH222" i="5"/>
  <c r="BH220" i="5"/>
  <c r="BH223" i="5"/>
  <c r="BH221" i="5"/>
  <c r="BG235" i="7"/>
  <c r="BG215" i="7" s="1"/>
  <c r="BG234" i="7"/>
  <c r="BE235" i="10"/>
  <c r="BE215" i="10" s="1"/>
  <c r="BF231" i="10"/>
  <c r="BF226" i="10"/>
  <c r="BF229" i="10" l="1"/>
  <c r="BM236" i="10"/>
  <c r="BQ239" i="10"/>
  <c r="BM237" i="10"/>
  <c r="BH224" i="7"/>
  <c r="BH230" i="7"/>
  <c r="BH225" i="7"/>
  <c r="BR238" i="5"/>
  <c r="BR240" i="5"/>
  <c r="BH231" i="5"/>
  <c r="BH226" i="5"/>
  <c r="BH233" i="5"/>
  <c r="BH228" i="5"/>
  <c r="BH233" i="7"/>
  <c r="BH228" i="7"/>
  <c r="BS238" i="5"/>
  <c r="BS240" i="5"/>
  <c r="BG221" i="10"/>
  <c r="BG220" i="10"/>
  <c r="BG223" i="10"/>
  <c r="BG222" i="10"/>
  <c r="BH232" i="7"/>
  <c r="BH227" i="7"/>
  <c r="BG243" i="10"/>
  <c r="BF234" i="10"/>
  <c r="BH224" i="5"/>
  <c r="BH230" i="5"/>
  <c r="BH225" i="5"/>
  <c r="BH232" i="5"/>
  <c r="BH227" i="5"/>
  <c r="BH231" i="7"/>
  <c r="BH226" i="7"/>
  <c r="BF235" i="10"/>
  <c r="BF215" i="10" s="1"/>
  <c r="BS239" i="7"/>
  <c r="BO237" i="7"/>
  <c r="BO236" i="7"/>
  <c r="BI222" i="5"/>
  <c r="BI223" i="5"/>
  <c r="BI221" i="5"/>
  <c r="BI220" i="5"/>
  <c r="BI219" i="7"/>
  <c r="BI243" i="7" s="1"/>
  <c r="BI243" i="5"/>
  <c r="BJ219" i="7" l="1"/>
  <c r="BI232" i="5"/>
  <c r="BI227" i="5"/>
  <c r="BJ219" i="5"/>
  <c r="BJ243" i="5" s="1"/>
  <c r="BS238" i="7"/>
  <c r="BS240" i="7"/>
  <c r="BN237" i="10"/>
  <c r="BN236" i="10"/>
  <c r="BR239" i="10"/>
  <c r="BI224" i="5"/>
  <c r="BI230" i="5"/>
  <c r="BI225" i="5"/>
  <c r="BI233" i="5"/>
  <c r="BI228" i="5"/>
  <c r="BH229" i="7"/>
  <c r="BH235" i="7" s="1"/>
  <c r="BH215" i="7" s="1"/>
  <c r="BH229" i="5"/>
  <c r="BH235" i="5" s="1"/>
  <c r="BH215" i="5" s="1"/>
  <c r="BG233" i="10"/>
  <c r="BG228" i="10"/>
  <c r="BI231" i="5"/>
  <c r="BI226" i="5"/>
  <c r="BH234" i="7"/>
  <c r="BH234" i="5"/>
  <c r="BG230" i="10"/>
  <c r="BG224" i="10"/>
  <c r="BG225" i="10"/>
  <c r="BH219" i="10"/>
  <c r="BH243" i="10" s="1"/>
  <c r="BG232" i="10"/>
  <c r="BG227" i="10"/>
  <c r="BI222" i="7"/>
  <c r="BI220" i="7"/>
  <c r="BI221" i="7"/>
  <c r="BI223" i="7"/>
  <c r="BG231" i="10"/>
  <c r="BG226" i="10"/>
  <c r="BQ238" i="10"/>
  <c r="BQ240" i="10"/>
  <c r="BI234" i="5" l="1"/>
  <c r="BK219" i="5"/>
  <c r="BI219" i="10"/>
  <c r="BI243" i="10" s="1"/>
  <c r="BP237" i="7"/>
  <c r="BP236" i="7"/>
  <c r="BT239" i="7"/>
  <c r="BH221" i="10"/>
  <c r="BH223" i="10"/>
  <c r="BH222" i="10"/>
  <c r="BH220" i="10"/>
  <c r="BI229" i="5"/>
  <c r="BI235" i="5" s="1"/>
  <c r="BI215" i="5" s="1"/>
  <c r="BJ220" i="5"/>
  <c r="BJ223" i="5"/>
  <c r="BJ221" i="5"/>
  <c r="BJ222" i="5"/>
  <c r="BI233" i="7"/>
  <c r="BI228" i="7"/>
  <c r="BI230" i="7"/>
  <c r="BI224" i="7"/>
  <c r="BI225" i="7"/>
  <c r="BR238" i="10"/>
  <c r="BR240" i="10"/>
  <c r="BJ223" i="7"/>
  <c r="BJ221" i="7"/>
  <c r="BJ220" i="7"/>
  <c r="BJ222" i="7"/>
  <c r="BU239" i="5"/>
  <c r="BQ236" i="5"/>
  <c r="BQ237" i="5"/>
  <c r="BG229" i="10"/>
  <c r="BG235" i="10" s="1"/>
  <c r="BG215" i="10" s="1"/>
  <c r="BI231" i="7"/>
  <c r="BI226" i="7"/>
  <c r="BG234" i="10"/>
  <c r="BI232" i="7"/>
  <c r="BI227" i="7"/>
  <c r="BP237" i="5"/>
  <c r="BP236" i="5"/>
  <c r="BT239" i="5"/>
  <c r="BJ243" i="7"/>
  <c r="BJ233" i="7" l="1"/>
  <c r="BJ228" i="7"/>
  <c r="BJ232" i="5"/>
  <c r="BJ227" i="5"/>
  <c r="BH231" i="10"/>
  <c r="BH226" i="10"/>
  <c r="BT238" i="7"/>
  <c r="BT240" i="7"/>
  <c r="BJ233" i="5"/>
  <c r="BJ228" i="5"/>
  <c r="BT238" i="5"/>
  <c r="BT240" i="5"/>
  <c r="BJ231" i="5"/>
  <c r="BJ226" i="5"/>
  <c r="BJ219" i="10"/>
  <c r="BJ243" i="10" s="1"/>
  <c r="BI229" i="7"/>
  <c r="BI235" i="7" s="1"/>
  <c r="BI215" i="7" s="1"/>
  <c r="BJ230" i="5"/>
  <c r="BJ224" i="5"/>
  <c r="BJ225" i="5"/>
  <c r="BS239" i="10"/>
  <c r="BO236" i="10"/>
  <c r="BO237" i="10"/>
  <c r="BJ232" i="7"/>
  <c r="BJ227" i="7"/>
  <c r="BI234" i="7"/>
  <c r="BH230" i="10"/>
  <c r="BH224" i="10"/>
  <c r="BH225" i="10"/>
  <c r="BI223" i="10"/>
  <c r="BI222" i="10"/>
  <c r="BI220" i="10"/>
  <c r="BI221" i="10"/>
  <c r="BU238" i="5"/>
  <c r="BU240" i="5"/>
  <c r="BJ224" i="7"/>
  <c r="BJ230" i="7"/>
  <c r="BJ225" i="7"/>
  <c r="BH232" i="10"/>
  <c r="BH227" i="10"/>
  <c r="BK221" i="5"/>
  <c r="BK220" i="5"/>
  <c r="BK223" i="5"/>
  <c r="BK222" i="5"/>
  <c r="BK219" i="7"/>
  <c r="BK243" i="7" s="1"/>
  <c r="BJ231" i="7"/>
  <c r="BJ226" i="7"/>
  <c r="BH233" i="10"/>
  <c r="BH228" i="10"/>
  <c r="BK243" i="5"/>
  <c r="BJ229" i="7" l="1"/>
  <c r="BJ229" i="5"/>
  <c r="BJ235" i="5" s="1"/>
  <c r="BJ215" i="5" s="1"/>
  <c r="BJ235" i="7"/>
  <c r="BJ215" i="7" s="1"/>
  <c r="BI230" i="10"/>
  <c r="BI224" i="10"/>
  <c r="BI225" i="10"/>
  <c r="BJ222" i="10"/>
  <c r="BJ221" i="10"/>
  <c r="BJ220" i="10"/>
  <c r="BJ223" i="10"/>
  <c r="BS238" i="10"/>
  <c r="BS240" i="10"/>
  <c r="BK222" i="7"/>
  <c r="BK223" i="7"/>
  <c r="BK221" i="7"/>
  <c r="BK220" i="7"/>
  <c r="BI232" i="10"/>
  <c r="BI227" i="10"/>
  <c r="BK219" i="10"/>
  <c r="BK243" i="10" s="1"/>
  <c r="BL219" i="5"/>
  <c r="BL219" i="7"/>
  <c r="BI233" i="10"/>
  <c r="BI228" i="10"/>
  <c r="BJ234" i="7"/>
  <c r="BK233" i="5"/>
  <c r="BK228" i="5"/>
  <c r="BH234" i="10"/>
  <c r="BK230" i="5"/>
  <c r="BK224" i="5"/>
  <c r="BK225" i="5"/>
  <c r="BQ237" i="7"/>
  <c r="BQ236" i="7"/>
  <c r="BU239" i="7"/>
  <c r="BJ234" i="5"/>
  <c r="BH229" i="10"/>
  <c r="BH235" i="10" s="1"/>
  <c r="BH215" i="10" s="1"/>
  <c r="BK232" i="5"/>
  <c r="BK227" i="5"/>
  <c r="BK231" i="5"/>
  <c r="BK226" i="5"/>
  <c r="BI231" i="10"/>
  <c r="BI226" i="10"/>
  <c r="BK229" i="5" l="1"/>
  <c r="BK234" i="5"/>
  <c r="BJ224" i="10"/>
  <c r="BJ230" i="10"/>
  <c r="BJ225" i="10"/>
  <c r="BV239" i="7"/>
  <c r="BR236" i="7"/>
  <c r="BR237" i="7"/>
  <c r="BL219" i="10"/>
  <c r="BL243" i="10" s="1"/>
  <c r="BK235" i="5"/>
  <c r="BK215" i="5" s="1"/>
  <c r="BK224" i="7"/>
  <c r="BK230" i="7"/>
  <c r="BK225" i="7"/>
  <c r="BL222" i="5"/>
  <c r="BL223" i="5"/>
  <c r="BL221" i="5"/>
  <c r="BL220" i="5"/>
  <c r="BK233" i="7"/>
  <c r="BK228" i="7"/>
  <c r="BI229" i="10"/>
  <c r="BI235" i="10" s="1"/>
  <c r="BI215" i="10" s="1"/>
  <c r="BJ233" i="10"/>
  <c r="BJ228" i="10"/>
  <c r="BL220" i="7"/>
  <c r="BL223" i="7"/>
  <c r="BL221" i="7"/>
  <c r="BL222" i="7"/>
  <c r="BJ231" i="10"/>
  <c r="BJ226" i="10"/>
  <c r="BP237" i="10"/>
  <c r="BP236" i="10"/>
  <c r="BT239" i="10"/>
  <c r="BK231" i="7"/>
  <c r="BK226" i="7"/>
  <c r="BJ232" i="10"/>
  <c r="BJ227" i="10"/>
  <c r="BR237" i="5"/>
  <c r="BR236" i="5"/>
  <c r="BV239" i="5"/>
  <c r="BL243" i="5"/>
  <c r="BK232" i="7"/>
  <c r="BK227" i="7"/>
  <c r="BS236" i="5"/>
  <c r="BW239" i="5"/>
  <c r="BS237" i="5"/>
  <c r="BL243" i="7"/>
  <c r="BU238" i="7"/>
  <c r="BU240" i="7"/>
  <c r="BK222" i="10"/>
  <c r="BK223" i="10"/>
  <c r="BK221" i="10"/>
  <c r="BK220" i="10"/>
  <c r="BI234" i="10"/>
  <c r="BK231" i="10" l="1"/>
  <c r="BK226" i="10"/>
  <c r="BK230" i="10"/>
  <c r="BK224" i="10"/>
  <c r="BK225" i="10"/>
  <c r="BL231" i="7"/>
  <c r="BL226" i="7"/>
  <c r="BL224" i="5"/>
  <c r="BL230" i="5"/>
  <c r="BL225" i="5"/>
  <c r="BL221" i="10"/>
  <c r="BL222" i="10"/>
  <c r="BL220" i="10"/>
  <c r="BL223" i="10"/>
  <c r="BW238" i="5"/>
  <c r="BW240" i="5"/>
  <c r="BL224" i="7"/>
  <c r="BL230" i="7"/>
  <c r="BL225" i="7"/>
  <c r="BL233" i="5"/>
  <c r="BL228" i="5"/>
  <c r="BK233" i="10"/>
  <c r="BK228" i="10"/>
  <c r="BK232" i="10"/>
  <c r="BK227" i="10"/>
  <c r="BL232" i="5"/>
  <c r="BL227" i="5"/>
  <c r="BL233" i="7"/>
  <c r="BL228" i="7"/>
  <c r="BM219" i="5"/>
  <c r="BV238" i="5"/>
  <c r="BV240" i="5"/>
  <c r="BK234" i="7"/>
  <c r="BV238" i="7"/>
  <c r="BV240" i="7"/>
  <c r="BJ229" i="10"/>
  <c r="BJ235" i="10" s="1"/>
  <c r="BJ215" i="10" s="1"/>
  <c r="BL231" i="5"/>
  <c r="BL226" i="5"/>
  <c r="BM219" i="10"/>
  <c r="BM243" i="10" s="1"/>
  <c r="BK229" i="7"/>
  <c r="BK235" i="7" s="1"/>
  <c r="BK215" i="7" s="1"/>
  <c r="BM219" i="7"/>
  <c r="BM243" i="7" s="1"/>
  <c r="BJ234" i="10"/>
  <c r="BT238" i="10"/>
  <c r="BT240" i="10"/>
  <c r="BQ237" i="10"/>
  <c r="BU239" i="10"/>
  <c r="BQ236" i="10"/>
  <c r="BL232" i="7"/>
  <c r="BL227" i="7"/>
  <c r="BN219" i="7" l="1"/>
  <c r="BK229" i="10"/>
  <c r="BU238" i="10"/>
  <c r="BU240" i="10"/>
  <c r="BN219" i="10"/>
  <c r="BR236" i="10"/>
  <c r="BV239" i="10"/>
  <c r="BR237" i="10"/>
  <c r="BL229" i="7"/>
  <c r="BL231" i="10"/>
  <c r="BL226" i="10"/>
  <c r="BK234" i="10"/>
  <c r="BM222" i="5"/>
  <c r="BM223" i="5"/>
  <c r="BM220" i="5"/>
  <c r="BM221" i="5"/>
  <c r="BM243" i="5"/>
  <c r="BM223" i="7"/>
  <c r="BM220" i="7"/>
  <c r="BM222" i="7"/>
  <c r="BM221" i="7"/>
  <c r="BK235" i="10"/>
  <c r="BK215" i="10" s="1"/>
  <c r="BW239" i="7"/>
  <c r="BS236" i="7"/>
  <c r="BS237" i="7"/>
  <c r="BL234" i="7"/>
  <c r="BL229" i="5"/>
  <c r="BL235" i="5" s="1"/>
  <c r="BL215" i="5" s="1"/>
  <c r="BL233" i="10"/>
  <c r="BL228" i="10"/>
  <c r="BL224" i="10"/>
  <c r="BL230" i="10"/>
  <c r="BL225" i="10"/>
  <c r="BL232" i="10"/>
  <c r="BL227" i="10"/>
  <c r="BM220" i="10"/>
  <c r="BM223" i="10"/>
  <c r="BM221" i="10"/>
  <c r="BM222" i="10"/>
  <c r="BL235" i="7"/>
  <c r="BL215" i="7" s="1"/>
  <c r="BL234" i="5"/>
  <c r="BL234" i="10" l="1"/>
  <c r="BX239" i="10"/>
  <c r="BT236" i="10"/>
  <c r="BT237" i="10"/>
  <c r="BM232" i="7"/>
  <c r="BM227" i="7"/>
  <c r="BW239" i="10"/>
  <c r="BS237" i="10"/>
  <c r="BS236" i="10"/>
  <c r="BM232" i="10"/>
  <c r="BM227" i="10"/>
  <c r="BM224" i="10"/>
  <c r="BM230" i="10"/>
  <c r="BM225" i="10"/>
  <c r="BX239" i="7"/>
  <c r="BT236" i="7"/>
  <c r="BT237" i="7"/>
  <c r="BT237" i="5"/>
  <c r="BX239" i="5"/>
  <c r="BT236" i="5"/>
  <c r="BL229" i="10"/>
  <c r="BL235" i="10" s="1"/>
  <c r="BL215" i="10" s="1"/>
  <c r="BM231" i="7"/>
  <c r="BM226" i="7"/>
  <c r="BM232" i="5"/>
  <c r="BM227" i="5"/>
  <c r="BW238" i="7"/>
  <c r="BW240" i="7"/>
  <c r="BM231" i="10"/>
  <c r="BM226" i="10"/>
  <c r="BM233" i="7"/>
  <c r="BM228" i="7"/>
  <c r="BN220" i="10"/>
  <c r="BN223" i="10"/>
  <c r="BN221" i="10"/>
  <c r="BN222" i="10"/>
  <c r="BM224" i="7"/>
  <c r="BM230" i="7"/>
  <c r="BM225" i="7"/>
  <c r="BN243" i="10"/>
  <c r="BM231" i="5"/>
  <c r="BM226" i="5"/>
  <c r="BM230" i="5"/>
  <c r="BM224" i="5"/>
  <c r="BM225" i="5"/>
  <c r="BN220" i="7"/>
  <c r="BN221" i="7"/>
  <c r="BN223" i="7"/>
  <c r="BN222" i="7"/>
  <c r="BM233" i="10"/>
  <c r="BM228" i="10"/>
  <c r="BN219" i="5"/>
  <c r="BN243" i="5" s="1"/>
  <c r="BM233" i="5"/>
  <c r="BM228" i="5"/>
  <c r="BV238" i="10"/>
  <c r="BV240" i="10"/>
  <c r="BN243" i="7"/>
  <c r="BM229" i="7" l="1"/>
  <c r="BM229" i="10"/>
  <c r="BM234" i="7"/>
  <c r="BM235" i="7"/>
  <c r="BM215" i="7" s="1"/>
  <c r="BM234" i="5"/>
  <c r="BU237" i="5" s="1"/>
  <c r="BN232" i="10"/>
  <c r="BN227" i="10"/>
  <c r="BM234" i="10"/>
  <c r="BN233" i="10"/>
  <c r="BN228" i="10"/>
  <c r="BN223" i="5"/>
  <c r="BN220" i="5"/>
  <c r="BN222" i="5"/>
  <c r="BN221" i="5"/>
  <c r="BM229" i="5"/>
  <c r="BM235" i="5" s="1"/>
  <c r="BM215" i="5" s="1"/>
  <c r="BX238" i="10"/>
  <c r="BX240" i="10"/>
  <c r="BX238" i="5"/>
  <c r="BX240" i="5"/>
  <c r="BO219" i="7"/>
  <c r="BO243" i="7" s="1"/>
  <c r="BM235" i="10"/>
  <c r="BM215" i="10" s="1"/>
  <c r="BX238" i="7"/>
  <c r="BX240" i="7"/>
  <c r="BN230" i="10"/>
  <c r="BN224" i="10"/>
  <c r="BN225" i="10"/>
  <c r="BO219" i="5"/>
  <c r="BO243" i="5" s="1"/>
  <c r="BW238" i="10"/>
  <c r="BW240" i="10"/>
  <c r="BN231" i="10"/>
  <c r="BN226" i="10"/>
  <c r="BN232" i="7"/>
  <c r="BN227" i="7"/>
  <c r="BN233" i="7"/>
  <c r="BN228" i="7"/>
  <c r="BO219" i="10"/>
  <c r="BN231" i="7"/>
  <c r="BN226" i="7"/>
  <c r="BN230" i="7"/>
  <c r="BN224" i="7"/>
  <c r="BN225" i="7"/>
  <c r="BU236" i="7"/>
  <c r="BY239" i="7"/>
  <c r="BU237" i="7"/>
  <c r="BY239" i="5" l="1"/>
  <c r="BU236" i="5"/>
  <c r="BN234" i="10"/>
  <c r="BP219" i="7"/>
  <c r="BP219" i="5"/>
  <c r="BN229" i="7"/>
  <c r="BN235" i="7" s="1"/>
  <c r="BN215" i="7" s="1"/>
  <c r="BN232" i="5"/>
  <c r="BN227" i="5"/>
  <c r="BN234" i="7"/>
  <c r="BN233" i="5"/>
  <c r="BN228" i="5"/>
  <c r="BZ239" i="10"/>
  <c r="BV236" i="10"/>
  <c r="BV237" i="10"/>
  <c r="BY238" i="7"/>
  <c r="BY240" i="7"/>
  <c r="BN229" i="10"/>
  <c r="BN235" i="10" s="1"/>
  <c r="BN215" i="10" s="1"/>
  <c r="BN224" i="5"/>
  <c r="BN230" i="5"/>
  <c r="BN225" i="5"/>
  <c r="BU236" i="10"/>
  <c r="BU237" i="10"/>
  <c r="BY239" i="10"/>
  <c r="BO221" i="10"/>
  <c r="BO220" i="10"/>
  <c r="BO222" i="10"/>
  <c r="BO223" i="10"/>
  <c r="BO243" i="10"/>
  <c r="BY238" i="5"/>
  <c r="BY240" i="5"/>
  <c r="BO220" i="5"/>
  <c r="BO223" i="5"/>
  <c r="BO222" i="5"/>
  <c r="BO221" i="5"/>
  <c r="BO220" i="7"/>
  <c r="BO222" i="7"/>
  <c r="BO223" i="7"/>
  <c r="BO221" i="7"/>
  <c r="BN231" i="5"/>
  <c r="BN226" i="5"/>
  <c r="BO224" i="5" l="1"/>
  <c r="BO230" i="5"/>
  <c r="BO225" i="5"/>
  <c r="BO233" i="7"/>
  <c r="BO228" i="7"/>
  <c r="BZ238" i="10"/>
  <c r="BZ240" i="10"/>
  <c r="BO231" i="7"/>
  <c r="BO226" i="7"/>
  <c r="BO232" i="7"/>
  <c r="BO227" i="7"/>
  <c r="BP219" i="10"/>
  <c r="BP243" i="10" s="1"/>
  <c r="BN229" i="5"/>
  <c r="BN235" i="5" s="1"/>
  <c r="BN215" i="5" s="1"/>
  <c r="BO232" i="10"/>
  <c r="BO227" i="10"/>
  <c r="BO230" i="7"/>
  <c r="BO224" i="7"/>
  <c r="BO225" i="7"/>
  <c r="BO233" i="10"/>
  <c r="BO228" i="10"/>
  <c r="BO231" i="5"/>
  <c r="BO226" i="5"/>
  <c r="BO232" i="5"/>
  <c r="BO227" i="5"/>
  <c r="BO230" i="10"/>
  <c r="BO224" i="10"/>
  <c r="BO225" i="10"/>
  <c r="BP222" i="5"/>
  <c r="BP223" i="5"/>
  <c r="BP221" i="5"/>
  <c r="BP220" i="5"/>
  <c r="BO233" i="5"/>
  <c r="BO228" i="5"/>
  <c r="BO231" i="10"/>
  <c r="BO226" i="10"/>
  <c r="BP243" i="5"/>
  <c r="BP220" i="7"/>
  <c r="BP222" i="7"/>
  <c r="BP223" i="7"/>
  <c r="BP221" i="7"/>
  <c r="BY238" i="10"/>
  <c r="BY240" i="10"/>
  <c r="BN234" i="5"/>
  <c r="BZ239" i="7"/>
  <c r="BV236" i="7"/>
  <c r="BV237" i="7"/>
  <c r="BP243" i="7"/>
  <c r="BQ219" i="7" l="1"/>
  <c r="BP232" i="7"/>
  <c r="BP227" i="7"/>
  <c r="BP231" i="5"/>
  <c r="BP226" i="5"/>
  <c r="BP224" i="7"/>
  <c r="BP230" i="7"/>
  <c r="BP225" i="7"/>
  <c r="BQ219" i="5"/>
  <c r="BQ243" i="5" s="1"/>
  <c r="BO229" i="10"/>
  <c r="BP220" i="10"/>
  <c r="BP223" i="10"/>
  <c r="BP222" i="10"/>
  <c r="BP221" i="10"/>
  <c r="BO229" i="5"/>
  <c r="BO235" i="5" s="1"/>
  <c r="BO215" i="5" s="1"/>
  <c r="BP233" i="5"/>
  <c r="BP228" i="5"/>
  <c r="BV237" i="5"/>
  <c r="BV236" i="5"/>
  <c r="BZ239" i="5"/>
  <c r="BO229" i="7"/>
  <c r="BO235" i="7" s="1"/>
  <c r="BO215" i="7" s="1"/>
  <c r="BP231" i="7"/>
  <c r="BP226" i="7"/>
  <c r="BO234" i="7"/>
  <c r="BO234" i="5"/>
  <c r="BP232" i="5"/>
  <c r="BP227" i="5"/>
  <c r="BQ219" i="10"/>
  <c r="BQ243" i="10" s="1"/>
  <c r="BO235" i="10"/>
  <c r="BO215" i="10" s="1"/>
  <c r="BO234" i="10"/>
  <c r="BZ238" i="7"/>
  <c r="BZ240" i="7"/>
  <c r="BP233" i="7"/>
  <c r="BP228" i="7"/>
  <c r="BP224" i="5"/>
  <c r="BP230" i="5"/>
  <c r="BP225" i="5"/>
  <c r="BP229" i="5" l="1"/>
  <c r="BP234" i="5"/>
  <c r="BR219" i="10"/>
  <c r="CA239" i="5"/>
  <c r="BW236" i="5"/>
  <c r="BW237" i="5"/>
  <c r="BP231" i="10"/>
  <c r="BP226" i="10"/>
  <c r="BP234" i="7"/>
  <c r="BP232" i="10"/>
  <c r="BP227" i="10"/>
  <c r="BQ222" i="5"/>
  <c r="BQ220" i="5"/>
  <c r="BQ221" i="5"/>
  <c r="BQ223" i="5"/>
  <c r="CA239" i="7"/>
  <c r="BW236" i="7"/>
  <c r="BW237" i="7"/>
  <c r="BP233" i="10"/>
  <c r="BP228" i="10"/>
  <c r="BX236" i="5"/>
  <c r="BX237" i="5"/>
  <c r="CB239" i="5"/>
  <c r="BP230" i="10"/>
  <c r="BP224" i="10"/>
  <c r="BP225" i="10"/>
  <c r="BQ223" i="10"/>
  <c r="BQ221" i="10"/>
  <c r="BQ220" i="10"/>
  <c r="BQ222" i="10"/>
  <c r="BZ238" i="5"/>
  <c r="BZ240" i="5"/>
  <c r="BR219" i="5"/>
  <c r="BR243" i="5" s="1"/>
  <c r="BQ220" i="7"/>
  <c r="BQ222" i="7"/>
  <c r="BQ223" i="7"/>
  <c r="BQ221" i="7"/>
  <c r="BW237" i="10"/>
  <c r="CA239" i="10"/>
  <c r="BW236" i="10"/>
  <c r="BP235" i="5"/>
  <c r="BP215" i="5" s="1"/>
  <c r="BP229" i="7"/>
  <c r="BP235" i="7" s="1"/>
  <c r="BP215" i="7" s="1"/>
  <c r="BQ243" i="7"/>
  <c r="BP234" i="10" l="1"/>
  <c r="BS219" i="5"/>
  <c r="CB239" i="10"/>
  <c r="BX236" i="10"/>
  <c r="BX237" i="10"/>
  <c r="BR219" i="7"/>
  <c r="BR221" i="5"/>
  <c r="BR220" i="5"/>
  <c r="BR222" i="5"/>
  <c r="BR223" i="5"/>
  <c r="BP229" i="10"/>
  <c r="BP235" i="10" s="1"/>
  <c r="BP215" i="10" s="1"/>
  <c r="CA238" i="7"/>
  <c r="CA240" i="7"/>
  <c r="BQ232" i="5"/>
  <c r="BQ227" i="5"/>
  <c r="BQ231" i="7"/>
  <c r="BQ226" i="7"/>
  <c r="CA238" i="5"/>
  <c r="CA240" i="5"/>
  <c r="BQ233" i="5"/>
  <c r="BQ228" i="5"/>
  <c r="CB238" i="5"/>
  <c r="CB240" i="5"/>
  <c r="BQ233" i="7"/>
  <c r="BQ228" i="7"/>
  <c r="BQ232" i="7"/>
  <c r="BQ227" i="7"/>
  <c r="BQ231" i="5"/>
  <c r="BQ226" i="5"/>
  <c r="BR222" i="10"/>
  <c r="BR223" i="10"/>
  <c r="BR221" i="10"/>
  <c r="BR220" i="10"/>
  <c r="CB239" i="7"/>
  <c r="BX236" i="7"/>
  <c r="BX237" i="7"/>
  <c r="BQ232" i="10"/>
  <c r="BQ227" i="10"/>
  <c r="CA238" i="10"/>
  <c r="CA240" i="10"/>
  <c r="BQ230" i="10"/>
  <c r="BQ224" i="10"/>
  <c r="BQ225" i="10"/>
  <c r="BQ231" i="10"/>
  <c r="BQ226" i="10"/>
  <c r="BQ230" i="7"/>
  <c r="BQ224" i="7"/>
  <c r="BQ225" i="7"/>
  <c r="BQ233" i="10"/>
  <c r="BQ228" i="10"/>
  <c r="BQ224" i="5"/>
  <c r="BQ230" i="5"/>
  <c r="BQ225" i="5"/>
  <c r="BR243" i="10"/>
  <c r="BQ234" i="5" l="1"/>
  <c r="BQ229" i="10"/>
  <c r="BR233" i="10"/>
  <c r="BR228" i="10"/>
  <c r="CB238" i="7"/>
  <c r="CB240" i="7"/>
  <c r="CC239" i="5"/>
  <c r="BY236" i="5"/>
  <c r="BY237" i="5"/>
  <c r="BR230" i="10"/>
  <c r="BR224" i="10"/>
  <c r="BR225" i="10"/>
  <c r="BR233" i="5"/>
  <c r="BR228" i="5"/>
  <c r="CB238" i="10"/>
  <c r="CB240" i="10"/>
  <c r="BR230" i="5"/>
  <c r="BR224" i="5"/>
  <c r="BR225" i="5"/>
  <c r="BR232" i="5"/>
  <c r="BR227" i="5"/>
  <c r="BQ235" i="10"/>
  <c r="BQ215" i="10" s="1"/>
  <c r="BQ234" i="10"/>
  <c r="BR232" i="10"/>
  <c r="BR227" i="10"/>
  <c r="BR220" i="7"/>
  <c r="BR221" i="7"/>
  <c r="BR223" i="7"/>
  <c r="BR222" i="7"/>
  <c r="BR243" i="7"/>
  <c r="BS220" i="5"/>
  <c r="BS223" i="5"/>
  <c r="BS222" i="5"/>
  <c r="BS221" i="5"/>
  <c r="BR231" i="10"/>
  <c r="BR226" i="10"/>
  <c r="BR231" i="5"/>
  <c r="BR226" i="5"/>
  <c r="BQ229" i="7"/>
  <c r="BQ235" i="7" s="1"/>
  <c r="BQ215" i="7" s="1"/>
  <c r="BS219" i="10"/>
  <c r="BQ234" i="7"/>
  <c r="BQ229" i="5"/>
  <c r="BQ235" i="5" s="1"/>
  <c r="BQ215" i="5" s="1"/>
  <c r="BS243" i="5"/>
  <c r="BR234" i="5" l="1"/>
  <c r="BR229" i="5"/>
  <c r="BR234" i="10"/>
  <c r="CD239" i="10" s="1"/>
  <c r="CC239" i="7"/>
  <c r="BY236" i="7"/>
  <c r="BY237" i="7"/>
  <c r="BR230" i="7"/>
  <c r="BR224" i="7"/>
  <c r="BR225" i="7"/>
  <c r="BR233" i="7"/>
  <c r="BR228" i="7"/>
  <c r="BR229" i="10"/>
  <c r="BR235" i="10" s="1"/>
  <c r="BR215" i="10" s="1"/>
  <c r="BS233" i="5"/>
  <c r="BS228" i="5"/>
  <c r="BS231" i="5"/>
  <c r="BS226" i="5"/>
  <c r="BS222" i="10"/>
  <c r="BS221" i="10"/>
  <c r="BS220" i="10"/>
  <c r="BS223" i="10"/>
  <c r="BR235" i="5"/>
  <c r="BR215" i="5" s="1"/>
  <c r="BS243" i="10"/>
  <c r="BZ237" i="5"/>
  <c r="BZ236" i="5"/>
  <c r="CD239" i="5"/>
  <c r="BS232" i="5"/>
  <c r="BS227" i="5"/>
  <c r="BS230" i="5"/>
  <c r="BS224" i="5"/>
  <c r="BS225" i="5"/>
  <c r="BR231" i="7"/>
  <c r="BR226" i="7"/>
  <c r="BS219" i="7"/>
  <c r="CC239" i="10"/>
  <c r="BY236" i="10"/>
  <c r="BY237" i="10"/>
  <c r="BT219" i="5"/>
  <c r="BR232" i="7"/>
  <c r="BR227" i="7"/>
  <c r="CC238" i="5"/>
  <c r="CC240" i="5"/>
  <c r="BZ236" i="10" l="1"/>
  <c r="BZ237" i="10"/>
  <c r="BS234" i="5"/>
  <c r="CA236" i="5" s="1"/>
  <c r="BS229" i="5"/>
  <c r="BS235" i="5" s="1"/>
  <c r="BS215" i="5" s="1"/>
  <c r="BS230" i="10"/>
  <c r="BS224" i="10"/>
  <c r="BS225" i="10"/>
  <c r="CC238" i="7"/>
  <c r="CC240" i="7"/>
  <c r="BS233" i="10"/>
  <c r="BS228" i="10"/>
  <c r="BS232" i="10"/>
  <c r="BS227" i="10"/>
  <c r="BS231" i="10"/>
  <c r="BS226" i="10"/>
  <c r="CC238" i="10"/>
  <c r="CC240" i="10"/>
  <c r="BR229" i="7"/>
  <c r="BR235" i="7" s="1"/>
  <c r="BR215" i="7" s="1"/>
  <c r="CD238" i="10"/>
  <c r="CD240" i="10"/>
  <c r="BR234" i="7"/>
  <c r="BT222" i="5"/>
  <c r="BT221" i="5"/>
  <c r="BT220" i="5"/>
  <c r="BT223" i="5"/>
  <c r="BT243" i="5"/>
  <c r="BS221" i="7"/>
  <c r="BS220" i="7"/>
  <c r="BS222" i="7"/>
  <c r="BS223" i="7"/>
  <c r="BS243" i="7"/>
  <c r="CD238" i="5"/>
  <c r="CD240" i="5"/>
  <c r="BT219" i="10"/>
  <c r="CA237" i="5" l="1"/>
  <c r="CE239" i="5"/>
  <c r="BS232" i="7"/>
  <c r="BS227" i="7"/>
  <c r="BT233" i="5"/>
  <c r="BT228" i="5"/>
  <c r="BT224" i="5"/>
  <c r="BT230" i="5"/>
  <c r="BT225" i="5"/>
  <c r="BT231" i="5"/>
  <c r="BT226" i="5"/>
  <c r="CE238" i="5"/>
  <c r="CE240" i="5"/>
  <c r="BZ236" i="7"/>
  <c r="BZ237" i="7"/>
  <c r="CD239" i="7"/>
  <c r="BS229" i="10"/>
  <c r="BS235" i="10" s="1"/>
  <c r="BS215" i="10" s="1"/>
  <c r="BT219" i="7"/>
  <c r="BT243" i="7" s="1"/>
  <c r="BS224" i="7"/>
  <c r="BS230" i="7"/>
  <c r="BS225" i="7"/>
  <c r="BT223" i="10"/>
  <c r="BT221" i="10"/>
  <c r="BT220" i="10"/>
  <c r="BT222" i="10"/>
  <c r="BS231" i="7"/>
  <c r="BS226" i="7"/>
  <c r="BT243" i="10"/>
  <c r="BU219" i="5"/>
  <c r="BU243" i="5" s="1"/>
  <c r="BT232" i="5"/>
  <c r="BT227" i="5"/>
  <c r="BS233" i="7"/>
  <c r="BS228" i="7"/>
  <c r="BS234" i="10"/>
  <c r="BT229" i="5" l="1"/>
  <c r="BT234" i="5"/>
  <c r="CF239" i="5" s="1"/>
  <c r="BU219" i="7"/>
  <c r="CA236" i="10"/>
  <c r="CA237" i="10"/>
  <c r="CE239" i="10"/>
  <c r="BS235" i="7"/>
  <c r="BS215" i="7" s="1"/>
  <c r="BU221" i="5"/>
  <c r="BU223" i="5"/>
  <c r="BU220" i="5"/>
  <c r="BU222" i="5"/>
  <c r="BT233" i="10"/>
  <c r="BT228" i="10"/>
  <c r="CD238" i="7"/>
  <c r="CD240" i="7"/>
  <c r="BT232" i="10"/>
  <c r="BT227" i="10"/>
  <c r="BV219" i="5"/>
  <c r="BS229" i="7"/>
  <c r="BT223" i="7"/>
  <c r="BT222" i="7"/>
  <c r="BT220" i="7"/>
  <c r="BT221" i="7"/>
  <c r="CB236" i="5"/>
  <c r="CB237" i="5"/>
  <c r="BT230" i="10"/>
  <c r="BT224" i="10"/>
  <c r="BT225" i="10"/>
  <c r="BT235" i="5"/>
  <c r="BT215" i="5" s="1"/>
  <c r="BT231" i="10"/>
  <c r="BT226" i="10"/>
  <c r="BU219" i="10"/>
  <c r="BS234" i="7"/>
  <c r="BT234" i="10" l="1"/>
  <c r="CA236" i="7"/>
  <c r="CE239" i="7"/>
  <c r="CA237" i="7"/>
  <c r="BU223" i="10"/>
  <c r="BU221" i="10"/>
  <c r="BU220" i="10"/>
  <c r="BU222" i="10"/>
  <c r="CF239" i="10"/>
  <c r="CB236" i="10"/>
  <c r="CB237" i="10"/>
  <c r="BT232" i="7"/>
  <c r="BT227" i="7"/>
  <c r="BT233" i="7"/>
  <c r="BT228" i="7"/>
  <c r="BV223" i="5"/>
  <c r="BV220" i="5"/>
  <c r="BV221" i="5"/>
  <c r="BV222" i="5"/>
  <c r="CF238" i="5"/>
  <c r="CF240" i="5"/>
  <c r="BV243" i="5"/>
  <c r="BU224" i="5"/>
  <c r="BU230" i="5"/>
  <c r="BU225" i="5"/>
  <c r="BU232" i="5"/>
  <c r="BU227" i="5"/>
  <c r="BU233" i="5"/>
  <c r="BU228" i="5"/>
  <c r="BU222" i="7"/>
  <c r="BU220" i="7"/>
  <c r="BU221" i="7"/>
  <c r="BU223" i="7"/>
  <c r="BT224" i="7"/>
  <c r="BT230" i="7"/>
  <c r="BT225" i="7"/>
  <c r="CE238" i="10"/>
  <c r="CE240" i="10"/>
  <c r="BU243" i="10"/>
  <c r="BT229" i="10"/>
  <c r="BT235" i="10" s="1"/>
  <c r="BT215" i="10" s="1"/>
  <c r="BT231" i="7"/>
  <c r="BT226" i="7"/>
  <c r="BU231" i="5"/>
  <c r="BU226" i="5"/>
  <c r="BU243" i="7"/>
  <c r="BV231" i="5" l="1"/>
  <c r="BV226" i="5"/>
  <c r="BU233" i="7"/>
  <c r="BU228" i="7"/>
  <c r="BU229" i="5"/>
  <c r="BU235" i="5" s="1"/>
  <c r="BU215" i="5" s="1"/>
  <c r="BT229" i="7"/>
  <c r="BT235" i="7" s="1"/>
  <c r="BT215" i="7" s="1"/>
  <c r="BU224" i="10"/>
  <c r="BU230" i="10"/>
  <c r="BU225" i="10"/>
  <c r="BU231" i="10"/>
  <c r="BU226" i="10"/>
  <c r="BT234" i="7"/>
  <c r="BV232" i="5"/>
  <c r="BV227" i="5"/>
  <c r="BU233" i="10"/>
  <c r="BU228" i="10"/>
  <c r="BV224" i="5"/>
  <c r="BV230" i="5"/>
  <c r="BV225" i="5"/>
  <c r="BU231" i="7"/>
  <c r="BU226" i="7"/>
  <c r="BU234" i="5"/>
  <c r="BV233" i="5"/>
  <c r="BV228" i="5"/>
  <c r="CF238" i="10"/>
  <c r="CF240" i="10"/>
  <c r="CE238" i="7"/>
  <c r="CE240" i="7"/>
  <c r="BV219" i="10"/>
  <c r="BV243" i="10" s="1"/>
  <c r="BU224" i="7"/>
  <c r="BU230" i="7"/>
  <c r="BU225" i="7"/>
  <c r="BV219" i="7"/>
  <c r="BV243" i="7" s="1"/>
  <c r="BU232" i="7"/>
  <c r="BU227" i="7"/>
  <c r="BW219" i="5"/>
  <c r="BW243" i="5" s="1"/>
  <c r="BU232" i="10"/>
  <c r="BU227" i="10"/>
  <c r="BW219" i="10" l="1"/>
  <c r="BW219" i="7"/>
  <c r="BW243" i="7" s="1"/>
  <c r="CF239" i="7"/>
  <c r="CB236" i="7"/>
  <c r="CB237" i="7"/>
  <c r="BX219" i="5"/>
  <c r="BV220" i="7"/>
  <c r="BV223" i="7"/>
  <c r="BV222" i="7"/>
  <c r="BV221" i="7"/>
  <c r="BV234" i="5"/>
  <c r="CG239" i="5"/>
  <c r="CC236" i="5"/>
  <c r="CC237" i="5"/>
  <c r="BU229" i="10"/>
  <c r="BU235" i="10" s="1"/>
  <c r="BU215" i="10" s="1"/>
  <c r="BV221" i="10"/>
  <c r="BV222" i="10"/>
  <c r="BV223" i="10"/>
  <c r="BV220" i="10"/>
  <c r="BV229" i="5"/>
  <c r="BU229" i="7"/>
  <c r="BU235" i="7" s="1"/>
  <c r="BU215" i="7" s="1"/>
  <c r="BV235" i="5"/>
  <c r="BV215" i="5" s="1"/>
  <c r="BW220" i="5"/>
  <c r="BW222" i="5"/>
  <c r="BW221" i="5"/>
  <c r="BW223" i="5"/>
  <c r="BU234" i="7"/>
  <c r="BU234" i="10"/>
  <c r="BX219" i="7" l="1"/>
  <c r="CF238" i="7"/>
  <c r="CF240" i="7"/>
  <c r="BW224" i="5"/>
  <c r="BW230" i="5"/>
  <c r="BW225" i="5"/>
  <c r="BV232" i="7"/>
  <c r="BV227" i="7"/>
  <c r="BV230" i="7"/>
  <c r="BV224" i="7"/>
  <c r="BV225" i="7"/>
  <c r="CG239" i="10"/>
  <c r="CC236" i="10"/>
  <c r="CC237" i="10"/>
  <c r="CC237" i="7"/>
  <c r="CG239" i="7"/>
  <c r="CC236" i="7"/>
  <c r="BW233" i="5"/>
  <c r="BW228" i="5"/>
  <c r="CG238" i="5"/>
  <c r="CG240" i="5"/>
  <c r="BX221" i="5"/>
  <c r="BX222" i="5"/>
  <c r="BX220" i="5"/>
  <c r="BX223" i="5"/>
  <c r="BV233" i="7"/>
  <c r="BV228" i="7"/>
  <c r="BV224" i="10"/>
  <c r="BV230" i="10"/>
  <c r="BV225" i="10"/>
  <c r="BW231" i="5"/>
  <c r="BW226" i="5"/>
  <c r="BV232" i="10"/>
  <c r="BV227" i="10"/>
  <c r="CH239" i="5"/>
  <c r="CD236" i="5"/>
  <c r="CD237" i="5"/>
  <c r="BX243" i="5"/>
  <c r="BW222" i="10"/>
  <c r="BW221" i="10"/>
  <c r="BW220" i="10"/>
  <c r="BW223" i="10"/>
  <c r="BW220" i="7"/>
  <c r="BW223" i="7"/>
  <c r="BW222" i="7"/>
  <c r="BW221" i="7"/>
  <c r="BV233" i="10"/>
  <c r="BV228" i="10"/>
  <c r="BW232" i="5"/>
  <c r="BW227" i="5"/>
  <c r="BV231" i="10"/>
  <c r="BV226" i="10"/>
  <c r="BV231" i="7"/>
  <c r="BV226" i="7"/>
  <c r="BW243" i="10"/>
  <c r="BX233" i="5" l="1"/>
  <c r="BX228" i="5"/>
  <c r="BW224" i="10"/>
  <c r="BW230" i="10"/>
  <c r="BW225" i="10"/>
  <c r="BW232" i="10"/>
  <c r="BW227" i="10"/>
  <c r="BW231" i="10"/>
  <c r="BW226" i="10"/>
  <c r="BW229" i="5"/>
  <c r="BW234" i="5"/>
  <c r="CG238" i="10"/>
  <c r="CG240" i="10"/>
  <c r="BW235" i="5"/>
  <c r="BW215" i="5" s="1"/>
  <c r="BV229" i="7"/>
  <c r="BV235" i="7" s="1"/>
  <c r="BV215" i="7" s="1"/>
  <c r="BX243" i="10"/>
  <c r="BX219" i="10"/>
  <c r="BW231" i="7"/>
  <c r="BW226" i="7"/>
  <c r="BY219" i="5"/>
  <c r="BX224" i="5"/>
  <c r="BX230" i="5"/>
  <c r="BX225" i="5"/>
  <c r="CG238" i="7"/>
  <c r="CG240" i="7"/>
  <c r="BW232" i="7"/>
  <c r="BW227" i="7"/>
  <c r="BX232" i="5"/>
  <c r="BX227" i="5"/>
  <c r="BW233" i="7"/>
  <c r="BW228" i="7"/>
  <c r="BV229" i="10"/>
  <c r="BV235" i="10" s="1"/>
  <c r="BV215" i="10" s="1"/>
  <c r="BX231" i="5"/>
  <c r="BX226" i="5"/>
  <c r="CH238" i="5"/>
  <c r="E238" i="5" s="1"/>
  <c r="CH240" i="5"/>
  <c r="E240" i="5" s="1"/>
  <c r="E239" i="5"/>
  <c r="BV234" i="10"/>
  <c r="BV234" i="7"/>
  <c r="BX223" i="7"/>
  <c r="BX220" i="7"/>
  <c r="BX222" i="7"/>
  <c r="BX221" i="7"/>
  <c r="BW230" i="7"/>
  <c r="BW224" i="7"/>
  <c r="BW225" i="7"/>
  <c r="BW233" i="10"/>
  <c r="BW228" i="10"/>
  <c r="BX243" i="7"/>
  <c r="BX234" i="5" l="1"/>
  <c r="BW234" i="7"/>
  <c r="BW229" i="7"/>
  <c r="BW235" i="7" s="1"/>
  <c r="BW215" i="7" s="1"/>
  <c r="CD236" i="10"/>
  <c r="CH239" i="10"/>
  <c r="CD237" i="10"/>
  <c r="BX229" i="5"/>
  <c r="BX235" i="5" s="1"/>
  <c r="BX215" i="5" s="1"/>
  <c r="BY219" i="10"/>
  <c r="BY243" i="10" s="1"/>
  <c r="CE237" i="5"/>
  <c r="CE236" i="5"/>
  <c r="CF237" i="5"/>
  <c r="CF236" i="5"/>
  <c r="BX231" i="7"/>
  <c r="BX226" i="7"/>
  <c r="BY223" i="5"/>
  <c r="BY222" i="5"/>
  <c r="BY220" i="5"/>
  <c r="BY221" i="5"/>
  <c r="BW229" i="10"/>
  <c r="BW235" i="10" s="1"/>
  <c r="BW215" i="10" s="1"/>
  <c r="BY219" i="7"/>
  <c r="BY243" i="7" s="1"/>
  <c r="BX232" i="7"/>
  <c r="BX227" i="7"/>
  <c r="BY243" i="5"/>
  <c r="BW234" i="10"/>
  <c r="BX230" i="7"/>
  <c r="BX224" i="7"/>
  <c r="BX225" i="7"/>
  <c r="BX233" i="7"/>
  <c r="BX228" i="7"/>
  <c r="CD237" i="7"/>
  <c r="CD236" i="7"/>
  <c r="CH239" i="7"/>
  <c r="BX222" i="10"/>
  <c r="BX220" i="10"/>
  <c r="BX223" i="10"/>
  <c r="BX221" i="10"/>
  <c r="BX234" i="7" l="1"/>
  <c r="BZ219" i="10"/>
  <c r="CE236" i="10"/>
  <c r="CE237" i="10"/>
  <c r="BY224" i="5"/>
  <c r="BY230" i="5"/>
  <c r="BY225" i="5"/>
  <c r="BZ219" i="5"/>
  <c r="BZ243" i="5" s="1"/>
  <c r="BY232" i="5"/>
  <c r="BY227" i="5"/>
  <c r="BY231" i="5"/>
  <c r="BY226" i="5"/>
  <c r="BX233" i="10"/>
  <c r="BX228" i="10"/>
  <c r="CH238" i="7"/>
  <c r="E238" i="7" s="1"/>
  <c r="CH240" i="7"/>
  <c r="E240" i="7" s="1"/>
  <c r="E239" i="7"/>
  <c r="BX231" i="10"/>
  <c r="BX226" i="10"/>
  <c r="BY233" i="5"/>
  <c r="BY228" i="5"/>
  <c r="BX230" i="10"/>
  <c r="BX224" i="10"/>
  <c r="BX225" i="10"/>
  <c r="BY222" i="7"/>
  <c r="BY220" i="7"/>
  <c r="BY221" i="7"/>
  <c r="BY223" i="7"/>
  <c r="CE236" i="7"/>
  <c r="CE237" i="7"/>
  <c r="CF237" i="7"/>
  <c r="CF236" i="7"/>
  <c r="CH238" i="10"/>
  <c r="E238" i="10" s="1"/>
  <c r="CH240" i="10"/>
  <c r="E240" i="10" s="1"/>
  <c r="E239" i="10"/>
  <c r="BY221" i="10"/>
  <c r="BY222" i="10"/>
  <c r="BY220" i="10"/>
  <c r="BY223" i="10"/>
  <c r="BX232" i="10"/>
  <c r="BX227" i="10"/>
  <c r="BX229" i="7"/>
  <c r="BX235" i="7" s="1"/>
  <c r="BX215" i="7" s="1"/>
  <c r="BZ219" i="7"/>
  <c r="BY231" i="10" l="1"/>
  <c r="BY226" i="10"/>
  <c r="BY234" i="5"/>
  <c r="BY230" i="7"/>
  <c r="BY224" i="7"/>
  <c r="BY225" i="7"/>
  <c r="BY230" i="10"/>
  <c r="BY224" i="10"/>
  <c r="BY225" i="10"/>
  <c r="BX234" i="10"/>
  <c r="CA219" i="5"/>
  <c r="BZ222" i="7"/>
  <c r="BZ221" i="7"/>
  <c r="BZ223" i="7"/>
  <c r="BZ220" i="7"/>
  <c r="BY233" i="7"/>
  <c r="BY228" i="7"/>
  <c r="BY231" i="7"/>
  <c r="BY226" i="7"/>
  <c r="BY232" i="7"/>
  <c r="BY227" i="7"/>
  <c r="BX229" i="10"/>
  <c r="BX235" i="10" s="1"/>
  <c r="BX215" i="10" s="1"/>
  <c r="BZ223" i="10"/>
  <c r="BZ222" i="10"/>
  <c r="BZ220" i="10"/>
  <c r="BZ221" i="10"/>
  <c r="BY232" i="10"/>
  <c r="BY227" i="10"/>
  <c r="BY229" i="5"/>
  <c r="BY235" i="5" s="1"/>
  <c r="BY215" i="5" s="1"/>
  <c r="BZ243" i="7"/>
  <c r="BY233" i="10"/>
  <c r="BY228" i="10"/>
  <c r="BZ221" i="5"/>
  <c r="BZ223" i="5"/>
  <c r="BZ220" i="5"/>
  <c r="BZ222" i="5"/>
  <c r="BZ243" i="10"/>
  <c r="BY234" i="10" l="1"/>
  <c r="CA219" i="10"/>
  <c r="BZ233" i="7"/>
  <c r="BZ228" i="7"/>
  <c r="CG236" i="10"/>
  <c r="CG237" i="10"/>
  <c r="BZ232" i="5"/>
  <c r="BZ227" i="5"/>
  <c r="BZ231" i="7"/>
  <c r="BZ226" i="7"/>
  <c r="BZ230" i="5"/>
  <c r="BZ224" i="5"/>
  <c r="BZ225" i="5"/>
  <c r="BZ232" i="7"/>
  <c r="BZ227" i="7"/>
  <c r="BZ231" i="10"/>
  <c r="BZ226" i="10"/>
  <c r="CF237" i="10"/>
  <c r="CF236" i="10"/>
  <c r="CG236" i="5"/>
  <c r="CG237" i="5"/>
  <c r="CA219" i="7"/>
  <c r="BY229" i="7"/>
  <c r="BY235" i="7" s="1"/>
  <c r="BY215" i="7" s="1"/>
  <c r="BZ233" i="5"/>
  <c r="BZ228" i="5"/>
  <c r="BZ231" i="5"/>
  <c r="BZ226" i="5"/>
  <c r="BY229" i="10"/>
  <c r="BY235" i="10" s="1"/>
  <c r="BY215" i="10" s="1"/>
  <c r="CA220" i="5"/>
  <c r="CA222" i="5"/>
  <c r="CA223" i="5"/>
  <c r="CA221" i="5"/>
  <c r="BY234" i="7"/>
  <c r="CA243" i="5"/>
  <c r="BZ230" i="10"/>
  <c r="BZ224" i="10"/>
  <c r="BZ225" i="10"/>
  <c r="BZ232" i="10"/>
  <c r="BZ227" i="10"/>
  <c r="BZ233" i="10"/>
  <c r="BZ228" i="10"/>
  <c r="BZ230" i="7"/>
  <c r="BZ224" i="7"/>
  <c r="BZ225" i="7"/>
  <c r="BZ229" i="10" l="1"/>
  <c r="BZ229" i="7"/>
  <c r="BZ229" i="5"/>
  <c r="BZ234" i="10"/>
  <c r="CH237" i="10" s="1"/>
  <c r="E237" i="10" s="1"/>
  <c r="CA232" i="5"/>
  <c r="CA227" i="5"/>
  <c r="CA220" i="7"/>
  <c r="CA222" i="7"/>
  <c r="CA223" i="7"/>
  <c r="CA221" i="7"/>
  <c r="BZ235" i="10"/>
  <c r="BZ215" i="10" s="1"/>
  <c r="CA243" i="7"/>
  <c r="BZ235" i="7"/>
  <c r="BZ215" i="7" s="1"/>
  <c r="BZ234" i="5"/>
  <c r="CA230" i="5"/>
  <c r="CA224" i="5"/>
  <c r="CA225" i="5"/>
  <c r="BZ234" i="7"/>
  <c r="CB219" i="5"/>
  <c r="BZ235" i="5"/>
  <c r="BZ215" i="5" s="1"/>
  <c r="CG237" i="7"/>
  <c r="CG236" i="7"/>
  <c r="CA223" i="10"/>
  <c r="CA222" i="10"/>
  <c r="CA220" i="10"/>
  <c r="CA221" i="10"/>
  <c r="CA231" i="5"/>
  <c r="CA226" i="5"/>
  <c r="CA233" i="5"/>
  <c r="CA228" i="5"/>
  <c r="CA243" i="10"/>
  <c r="CH236" i="10" l="1"/>
  <c r="E236" i="10" s="1"/>
  <c r="CA229" i="5"/>
  <c r="CA234" i="5"/>
  <c r="CH236" i="7"/>
  <c r="E236" i="7" s="1"/>
  <c r="CH237" i="7"/>
  <c r="E237" i="7" s="1"/>
  <c r="CA232" i="10"/>
  <c r="CA227" i="10"/>
  <c r="CA233" i="10"/>
  <c r="CA228" i="10"/>
  <c r="CA235" i="5"/>
  <c r="CA215" i="5" s="1"/>
  <c r="CA230" i="7"/>
  <c r="CA224" i="7"/>
  <c r="CA225" i="7"/>
  <c r="CB219" i="10"/>
  <c r="CB243" i="10" s="1"/>
  <c r="CB222" i="5"/>
  <c r="CB221" i="5"/>
  <c r="CB223" i="5"/>
  <c r="CB220" i="5"/>
  <c r="CB219" i="7"/>
  <c r="CA230" i="10"/>
  <c r="CA224" i="10"/>
  <c r="CA225" i="10"/>
  <c r="CA231" i="7"/>
  <c r="CA226" i="7"/>
  <c r="CA233" i="7"/>
  <c r="CA228" i="7"/>
  <c r="CA232" i="7"/>
  <c r="CA227" i="7"/>
  <c r="CH237" i="5"/>
  <c r="E237" i="5" s="1"/>
  <c r="CH236" i="5"/>
  <c r="E236" i="5" s="1"/>
  <c r="CA231" i="10"/>
  <c r="CA226" i="10"/>
  <c r="CB243" i="5"/>
  <c r="CA234" i="7" l="1"/>
  <c r="CC219" i="10"/>
  <c r="CC219" i="5"/>
  <c r="CC243" i="5" s="1"/>
  <c r="CB231" i="5"/>
  <c r="CB226" i="5"/>
  <c r="CA234" i="10"/>
  <c r="CB224" i="5"/>
  <c r="CB230" i="5"/>
  <c r="CB225" i="5"/>
  <c r="CB233" i="5"/>
  <c r="CB228" i="5"/>
  <c r="CA229" i="10"/>
  <c r="CA235" i="10" s="1"/>
  <c r="CA215" i="10" s="1"/>
  <c r="CB232" i="5"/>
  <c r="CB227" i="5"/>
  <c r="CB223" i="10"/>
  <c r="CB220" i="10"/>
  <c r="CB222" i="10"/>
  <c r="CB221" i="10"/>
  <c r="CB220" i="7"/>
  <c r="CB223" i="7"/>
  <c r="CB221" i="7"/>
  <c r="CB222" i="7"/>
  <c r="CA229" i="7"/>
  <c r="CA235" i="7" s="1"/>
  <c r="CA215" i="7" s="1"/>
  <c r="CB243" i="7"/>
  <c r="CD219" i="5" l="1"/>
  <c r="CB231" i="7"/>
  <c r="CB226" i="7"/>
  <c r="CB231" i="10"/>
  <c r="CB226" i="10"/>
  <c r="CB229" i="5"/>
  <c r="CB235" i="5" s="1"/>
  <c r="CB215" i="5" s="1"/>
  <c r="CB232" i="7"/>
  <c r="CB227" i="7"/>
  <c r="CC221" i="5"/>
  <c r="CC220" i="5"/>
  <c r="CC223" i="5"/>
  <c r="CC222" i="5"/>
  <c r="CB234" i="5"/>
  <c r="CB233" i="7"/>
  <c r="CB228" i="7"/>
  <c r="CB224" i="7"/>
  <c r="CB230" i="7"/>
  <c r="CB225" i="7"/>
  <c r="CB232" i="10"/>
  <c r="CB227" i="10"/>
  <c r="CC219" i="7"/>
  <c r="CC243" i="7" s="1"/>
  <c r="CB224" i="10"/>
  <c r="CB230" i="10"/>
  <c r="CB225" i="10"/>
  <c r="CC222" i="10"/>
  <c r="CC221" i="10"/>
  <c r="CC220" i="10"/>
  <c r="CC223" i="10"/>
  <c r="CB233" i="10"/>
  <c r="CB228" i="10"/>
  <c r="CC243" i="10"/>
  <c r="CB229" i="7" l="1"/>
  <c r="CD219" i="7"/>
  <c r="CC233" i="10"/>
  <c r="CC228" i="10"/>
  <c r="CC222" i="7"/>
  <c r="CC220" i="7"/>
  <c r="CC223" i="7"/>
  <c r="CC221" i="7"/>
  <c r="CC224" i="10"/>
  <c r="CC230" i="10"/>
  <c r="CC225" i="10"/>
  <c r="CC232" i="5"/>
  <c r="CC227" i="5"/>
  <c r="CC233" i="5"/>
  <c r="CC228" i="5"/>
  <c r="CC224" i="5"/>
  <c r="CC230" i="5"/>
  <c r="CC225" i="5"/>
  <c r="CD219" i="10"/>
  <c r="CB229" i="10"/>
  <c r="CB235" i="10" s="1"/>
  <c r="CB215" i="10" s="1"/>
  <c r="CB234" i="7"/>
  <c r="CC231" i="5"/>
  <c r="CC226" i="5"/>
  <c r="CD220" i="5"/>
  <c r="CD221" i="5"/>
  <c r="CD223" i="5"/>
  <c r="CD222" i="5"/>
  <c r="CC231" i="10"/>
  <c r="CC226" i="10"/>
  <c r="CC232" i="10"/>
  <c r="CC227" i="10"/>
  <c r="CB234" i="10"/>
  <c r="CB235" i="7"/>
  <c r="CB215" i="7" s="1"/>
  <c r="CD243" i="5"/>
  <c r="CC224" i="7" l="1"/>
  <c r="CC230" i="7"/>
  <c r="CC225" i="7"/>
  <c r="CD220" i="10"/>
  <c r="CD221" i="10"/>
  <c r="CD223" i="10"/>
  <c r="CD222" i="10"/>
  <c r="CE243" i="5"/>
  <c r="CE219" i="5"/>
  <c r="CD233" i="5"/>
  <c r="CD228" i="5"/>
  <c r="CD243" i="10"/>
  <c r="CC229" i="10"/>
  <c r="CC235" i="10" s="1"/>
  <c r="CC215" i="10" s="1"/>
  <c r="CC233" i="7"/>
  <c r="CC228" i="7"/>
  <c r="CC232" i="7"/>
  <c r="CC227" i="7"/>
  <c r="CC229" i="5"/>
  <c r="CC234" i="10"/>
  <c r="CD232" i="5"/>
  <c r="CD227" i="5"/>
  <c r="CD231" i="5"/>
  <c r="CD226" i="5"/>
  <c r="CD230" i="5"/>
  <c r="CD224" i="5"/>
  <c r="CD225" i="5"/>
  <c r="CC234" i="5"/>
  <c r="CD220" i="7"/>
  <c r="CD221" i="7"/>
  <c r="CD222" i="7"/>
  <c r="CD223" i="7"/>
  <c r="CC235" i="5"/>
  <c r="CC215" i="5" s="1"/>
  <c r="CC231" i="7"/>
  <c r="CC226" i="7"/>
  <c r="CD243" i="7"/>
  <c r="CD232" i="10" l="1"/>
  <c r="CD227" i="10"/>
  <c r="CD230" i="7"/>
  <c r="CD224" i="7"/>
  <c r="CD225" i="7"/>
  <c r="CD233" i="7"/>
  <c r="CD228" i="7"/>
  <c r="CD234" i="5"/>
  <c r="CF219" i="5"/>
  <c r="CD232" i="7"/>
  <c r="CD227" i="7"/>
  <c r="CD231" i="7"/>
  <c r="CD226" i="7"/>
  <c r="CD233" i="10"/>
  <c r="CD228" i="10"/>
  <c r="CD231" i="10"/>
  <c r="CD226" i="10"/>
  <c r="CE219" i="7"/>
  <c r="CE243" i="7" s="1"/>
  <c r="CD230" i="10"/>
  <c r="CD224" i="10"/>
  <c r="CD225" i="10"/>
  <c r="CC229" i="7"/>
  <c r="CC235" i="7" s="1"/>
  <c r="CC215" i="7" s="1"/>
  <c r="CD229" i="5"/>
  <c r="CD235" i="5" s="1"/>
  <c r="CD215" i="5" s="1"/>
  <c r="CC234" i="7"/>
  <c r="CE219" i="10"/>
  <c r="CE243" i="10" s="1"/>
  <c r="CE220" i="5"/>
  <c r="CE223" i="5"/>
  <c r="CE222" i="5"/>
  <c r="CE221" i="5"/>
  <c r="CD229" i="10" l="1"/>
  <c r="CE233" i="5"/>
  <c r="CE228" i="5"/>
  <c r="CE232" i="5"/>
  <c r="CE227" i="5"/>
  <c r="CD235" i="10"/>
  <c r="CD215" i="10" s="1"/>
  <c r="CD234" i="10"/>
  <c r="CD229" i="7"/>
  <c r="CD235" i="7" s="1"/>
  <c r="CD215" i="7" s="1"/>
  <c r="CE221" i="10"/>
  <c r="CE223" i="10"/>
  <c r="CE220" i="10"/>
  <c r="CE222" i="10"/>
  <c r="CE222" i="7"/>
  <c r="CE220" i="7"/>
  <c r="CE221" i="7"/>
  <c r="CE223" i="7"/>
  <c r="CD234" i="7"/>
  <c r="CE224" i="5"/>
  <c r="CE230" i="5"/>
  <c r="CE225" i="5"/>
  <c r="CF219" i="7"/>
  <c r="CF243" i="7" s="1"/>
  <c r="CF219" i="10"/>
  <c r="CF221" i="5"/>
  <c r="CF223" i="5"/>
  <c r="CF222" i="5"/>
  <c r="CF220" i="5"/>
  <c r="CE231" i="5"/>
  <c r="CE226" i="5"/>
  <c r="CF243" i="5"/>
  <c r="CG219" i="7" l="1"/>
  <c r="CF220" i="10"/>
  <c r="CF222" i="10"/>
  <c r="CF221" i="10"/>
  <c r="CF223" i="10"/>
  <c r="CF243" i="10"/>
  <c r="CE231" i="7"/>
  <c r="CE226" i="7"/>
  <c r="CG219" i="5"/>
  <c r="CF224" i="5"/>
  <c r="CF230" i="5"/>
  <c r="CF225" i="5"/>
  <c r="CF232" i="5"/>
  <c r="CF227" i="5"/>
  <c r="CE231" i="10"/>
  <c r="CE226" i="10"/>
  <c r="CE233" i="7"/>
  <c r="CE228" i="7"/>
  <c r="CF222" i="7"/>
  <c r="CF221" i="7"/>
  <c r="CF220" i="7"/>
  <c r="CF223" i="7"/>
  <c r="CE230" i="7"/>
  <c r="CE224" i="7"/>
  <c r="CE225" i="7"/>
  <c r="CE229" i="5"/>
  <c r="CE234" i="5"/>
  <c r="CE235" i="5"/>
  <c r="CE215" i="5" s="1"/>
  <c r="CE230" i="10"/>
  <c r="CE224" i="10"/>
  <c r="CE225" i="10"/>
  <c r="CE232" i="7"/>
  <c r="CE227" i="7"/>
  <c r="CE232" i="10"/>
  <c r="CE227" i="10"/>
  <c r="CF233" i="5"/>
  <c r="CF228" i="5"/>
  <c r="CF231" i="5"/>
  <c r="CF226" i="5"/>
  <c r="CE233" i="10"/>
  <c r="CE228" i="10"/>
  <c r="CE234" i="10" l="1"/>
  <c r="CF233" i="7"/>
  <c r="CF228" i="7"/>
  <c r="CF224" i="7"/>
  <c r="CF230" i="7"/>
  <c r="CF225" i="7"/>
  <c r="CG219" i="10"/>
  <c r="CG243" i="10" s="1"/>
  <c r="CF229" i="5"/>
  <c r="CF235" i="5" s="1"/>
  <c r="CF215" i="5" s="1"/>
  <c r="CF232" i="7"/>
  <c r="CF227" i="7"/>
  <c r="CG222" i="5"/>
  <c r="CG220" i="5"/>
  <c r="CG221" i="5"/>
  <c r="CG223" i="5"/>
  <c r="CF231" i="7"/>
  <c r="CF226" i="7"/>
  <c r="CF233" i="10"/>
  <c r="CF228" i="10"/>
  <c r="CF231" i="10"/>
  <c r="CF226" i="10"/>
  <c r="CF232" i="10"/>
  <c r="CF227" i="10"/>
  <c r="CF230" i="10"/>
  <c r="CF224" i="10"/>
  <c r="CF225" i="10"/>
  <c r="CG243" i="5"/>
  <c r="CG223" i="7"/>
  <c r="CG221" i="7"/>
  <c r="CG220" i="7"/>
  <c r="CG222" i="7"/>
  <c r="CF234" i="5"/>
  <c r="CE229" i="7"/>
  <c r="CE235" i="7" s="1"/>
  <c r="CE215" i="7" s="1"/>
  <c r="CE229" i="10"/>
  <c r="CE235" i="10" s="1"/>
  <c r="CE215" i="10" s="1"/>
  <c r="CE234" i="7"/>
  <c r="CG243" i="7"/>
  <c r="CF229" i="7" l="1"/>
  <c r="CF234" i="7"/>
  <c r="CH219" i="10"/>
  <c r="CH243" i="10"/>
  <c r="E243" i="10" s="1"/>
  <c r="CG230" i="7"/>
  <c r="CG224" i="7"/>
  <c r="CG225" i="7"/>
  <c r="CG233" i="5"/>
  <c r="CG228" i="5"/>
  <c r="CG231" i="5"/>
  <c r="CG226" i="5"/>
  <c r="CG231" i="7"/>
  <c r="CG226" i="7"/>
  <c r="CH219" i="7"/>
  <c r="CH219" i="5"/>
  <c r="CF235" i="7"/>
  <c r="CF215" i="7" s="1"/>
  <c r="CG221" i="10"/>
  <c r="CG222" i="10"/>
  <c r="CG220" i="10"/>
  <c r="CG223" i="10"/>
  <c r="CG233" i="7"/>
  <c r="CG228" i="7"/>
  <c r="CG224" i="5"/>
  <c r="CG230" i="5"/>
  <c r="CG234" i="5" s="1"/>
  <c r="CG225" i="5"/>
  <c r="CG232" i="5"/>
  <c r="CG227" i="5"/>
  <c r="CF229" i="10"/>
  <c r="CF235" i="10" s="1"/>
  <c r="CF215" i="10" s="1"/>
  <c r="CG232" i="7"/>
  <c r="CG227" i="7"/>
  <c r="CF234" i="10"/>
  <c r="E219" i="5" l="1"/>
  <c r="E120" i="4" s="1"/>
  <c r="CH220" i="5"/>
  <c r="CH223" i="5"/>
  <c r="CH222" i="5"/>
  <c r="CH221" i="5"/>
  <c r="E219" i="7"/>
  <c r="E120" i="6" s="1"/>
  <c r="CH223" i="7"/>
  <c r="CH220" i="7"/>
  <c r="CH222" i="7"/>
  <c r="CH221" i="7"/>
  <c r="CG234" i="7"/>
  <c r="CG229" i="7"/>
  <c r="CG235" i="7" s="1"/>
  <c r="CG215" i="7" s="1"/>
  <c r="CG233" i="10"/>
  <c r="CG228" i="10"/>
  <c r="CH243" i="7"/>
  <c r="E243" i="7" s="1"/>
  <c r="CG230" i="10"/>
  <c r="CG224" i="10"/>
  <c r="CG225" i="10"/>
  <c r="CG232" i="10"/>
  <c r="CG227" i="10"/>
  <c r="CH243" i="5"/>
  <c r="E243" i="5" s="1"/>
  <c r="CG229" i="5"/>
  <c r="CG235" i="5" s="1"/>
  <c r="CG215" i="5" s="1"/>
  <c r="CG231" i="10"/>
  <c r="CG226" i="10"/>
  <c r="E219" i="10"/>
  <c r="E120" i="3" s="1"/>
  <c r="CH223" i="10"/>
  <c r="CH222" i="10"/>
  <c r="CH221" i="10"/>
  <c r="CH220" i="10"/>
  <c r="G33" i="7" l="1"/>
  <c r="H33" i="7"/>
  <c r="I33" i="7"/>
  <c r="J33" i="7"/>
  <c r="K33" i="7"/>
  <c r="L33" i="7"/>
  <c r="M33" i="7"/>
  <c r="N33" i="7"/>
  <c r="O33" i="7"/>
  <c r="P33" i="7"/>
  <c r="Q33" i="7"/>
  <c r="R33" i="7"/>
  <c r="CH233" i="10"/>
  <c r="E233" i="10" s="1"/>
  <c r="CH228" i="10"/>
  <c r="E228" i="10" s="1"/>
  <c r="E223" i="10"/>
  <c r="CH232" i="7"/>
  <c r="E232" i="7" s="1"/>
  <c r="CH227" i="7"/>
  <c r="E227" i="7" s="1"/>
  <c r="E222" i="7"/>
  <c r="CG234" i="10"/>
  <c r="CH230" i="7"/>
  <c r="CH224" i="7"/>
  <c r="CH225" i="7"/>
  <c r="E220" i="7"/>
  <c r="CH231" i="5"/>
  <c r="E231" i="5" s="1"/>
  <c r="CH226" i="5"/>
  <c r="E226" i="5" s="1"/>
  <c r="E221" i="5"/>
  <c r="CH232" i="5"/>
  <c r="E232" i="5" s="1"/>
  <c r="CH227" i="5"/>
  <c r="E227" i="5" s="1"/>
  <c r="E222" i="5"/>
  <c r="G33" i="10"/>
  <c r="H33" i="10"/>
  <c r="I33" i="10"/>
  <c r="J33" i="10"/>
  <c r="K33" i="10"/>
  <c r="L33" i="10"/>
  <c r="M33" i="10"/>
  <c r="N33" i="10"/>
  <c r="O33" i="10"/>
  <c r="P33" i="10"/>
  <c r="Q33" i="10"/>
  <c r="R33" i="10"/>
  <c r="CH233" i="5"/>
  <c r="E233" i="5" s="1"/>
  <c r="CH228" i="5"/>
  <c r="E228" i="5" s="1"/>
  <c r="E223" i="5"/>
  <c r="CH233" i="7"/>
  <c r="E233" i="7" s="1"/>
  <c r="CH228" i="7"/>
  <c r="E228" i="7" s="1"/>
  <c r="E223" i="7"/>
  <c r="CH231" i="10"/>
  <c r="E231" i="10" s="1"/>
  <c r="CH226" i="10"/>
  <c r="E226" i="10" s="1"/>
  <c r="E221" i="10"/>
  <c r="CH232" i="10"/>
  <c r="E232" i="10" s="1"/>
  <c r="CH227" i="10"/>
  <c r="E227" i="10" s="1"/>
  <c r="E222" i="10"/>
  <c r="CG229" i="10"/>
  <c r="CG235" i="10" s="1"/>
  <c r="CG215" i="10" s="1"/>
  <c r="CH231" i="7"/>
  <c r="E231" i="7" s="1"/>
  <c r="CH226" i="7"/>
  <c r="E226" i="7" s="1"/>
  <c r="E221" i="7"/>
  <c r="CH230" i="5"/>
  <c r="CH224" i="5"/>
  <c r="CH225" i="5"/>
  <c r="E220" i="5"/>
  <c r="CH230" i="10"/>
  <c r="CH224" i="10"/>
  <c r="CH225" i="10"/>
  <c r="E220" i="10"/>
  <c r="G33" i="5"/>
  <c r="H33" i="5"/>
  <c r="I33" i="5"/>
  <c r="J33" i="5"/>
  <c r="K33" i="5"/>
  <c r="L33" i="5"/>
  <c r="M33" i="5"/>
  <c r="N33" i="5"/>
  <c r="O33" i="5"/>
  <c r="P33" i="5"/>
  <c r="Q33" i="5"/>
  <c r="R33" i="5"/>
  <c r="H197" i="5" l="1"/>
  <c r="H37" i="5"/>
  <c r="I197" i="10"/>
  <c r="I37" i="10"/>
  <c r="L197" i="7"/>
  <c r="L37" i="7"/>
  <c r="O197" i="5"/>
  <c r="O37" i="5"/>
  <c r="E224" i="5"/>
  <c r="P197" i="10"/>
  <c r="P37" i="10"/>
  <c r="N197" i="5"/>
  <c r="N37" i="5"/>
  <c r="CH234" i="5"/>
  <c r="E234" i="5" s="1"/>
  <c r="E230" i="5"/>
  <c r="O197" i="10"/>
  <c r="O37" i="10"/>
  <c r="J197" i="7"/>
  <c r="J37" i="7"/>
  <c r="Q197" i="5"/>
  <c r="Q37" i="5"/>
  <c r="I197" i="5"/>
  <c r="I37" i="5"/>
  <c r="R197" i="10"/>
  <c r="R37" i="10"/>
  <c r="J197" i="10"/>
  <c r="J37" i="10"/>
  <c r="M197" i="7"/>
  <c r="M37" i="7"/>
  <c r="CH229" i="5"/>
  <c r="E229" i="5" s="1"/>
  <c r="E225" i="5"/>
  <c r="H197" i="10"/>
  <c r="H37" i="10"/>
  <c r="K197" i="7"/>
  <c r="K37" i="7"/>
  <c r="N197" i="10"/>
  <c r="N37" i="10"/>
  <c r="L197" i="5"/>
  <c r="L37" i="5"/>
  <c r="M197" i="10"/>
  <c r="M37" i="10"/>
  <c r="E224" i="7"/>
  <c r="P197" i="7"/>
  <c r="P37" i="7"/>
  <c r="H197" i="7"/>
  <c r="H37" i="7"/>
  <c r="Q197" i="10"/>
  <c r="Q37" i="10"/>
  <c r="G197" i="5"/>
  <c r="G37" i="5"/>
  <c r="G62" i="5"/>
  <c r="H62" i="5" s="1"/>
  <c r="I62" i="5" s="1"/>
  <c r="J62" i="5" s="1"/>
  <c r="K62" i="5" s="1"/>
  <c r="L62" i="5" s="1"/>
  <c r="M62" i="5" s="1"/>
  <c r="N62" i="5" s="1"/>
  <c r="O62" i="5" s="1"/>
  <c r="P62" i="5" s="1"/>
  <c r="Q62" i="5" s="1"/>
  <c r="R62" i="5" s="1"/>
  <c r="I197" i="7"/>
  <c r="I37" i="7"/>
  <c r="CH229" i="10"/>
  <c r="E229" i="10" s="1"/>
  <c r="E225" i="10"/>
  <c r="K197" i="5"/>
  <c r="K37" i="5"/>
  <c r="E224" i="10"/>
  <c r="L197" i="10"/>
  <c r="L37" i="10"/>
  <c r="CH234" i="7"/>
  <c r="E234" i="7" s="1"/>
  <c r="E230" i="7"/>
  <c r="O197" i="7"/>
  <c r="O37" i="7"/>
  <c r="G197" i="7"/>
  <c r="G37" i="7"/>
  <c r="G62" i="7"/>
  <c r="H62" i="7" s="1"/>
  <c r="I62" i="7" s="1"/>
  <c r="J62" i="7" s="1"/>
  <c r="K62" i="7" s="1"/>
  <c r="L62" i="7" s="1"/>
  <c r="M62" i="7" s="1"/>
  <c r="N62" i="7" s="1"/>
  <c r="O62" i="7" s="1"/>
  <c r="P62" i="7" s="1"/>
  <c r="Q62" i="7" s="1"/>
  <c r="R62" i="7" s="1"/>
  <c r="P197" i="5"/>
  <c r="P37" i="5"/>
  <c r="G197" i="10"/>
  <c r="G37" i="10"/>
  <c r="G62" i="10"/>
  <c r="H62" i="10" s="1"/>
  <c r="I62" i="10" s="1"/>
  <c r="J62" i="10" s="1"/>
  <c r="K62" i="10" s="1"/>
  <c r="L62" i="10" s="1"/>
  <c r="M62" i="10" s="1"/>
  <c r="N62" i="10" s="1"/>
  <c r="O62" i="10" s="1"/>
  <c r="P62" i="10" s="1"/>
  <c r="Q62" i="10" s="1"/>
  <c r="R62" i="10" s="1"/>
  <c r="R197" i="7"/>
  <c r="R37" i="7"/>
  <c r="M197" i="5"/>
  <c r="M37" i="5"/>
  <c r="CH229" i="7"/>
  <c r="E229" i="7" s="1"/>
  <c r="E225" i="7"/>
  <c r="Q197" i="7"/>
  <c r="Q37" i="7"/>
  <c r="R197" i="5"/>
  <c r="R37" i="5"/>
  <c r="J197" i="5"/>
  <c r="J37" i="5"/>
  <c r="CH234" i="10"/>
  <c r="E234" i="10" s="1"/>
  <c r="E230" i="10"/>
  <c r="K197" i="10"/>
  <c r="K37" i="10"/>
  <c r="N197" i="7"/>
  <c r="N37" i="7"/>
  <c r="CH235" i="10" l="1"/>
  <c r="CH235" i="7"/>
  <c r="W48" i="7"/>
  <c r="AM49" i="7"/>
  <c r="AM43" i="7"/>
  <c r="AM24" i="7" s="1"/>
  <c r="AM206" i="7"/>
  <c r="AM204" i="7"/>
  <c r="CH215" i="10"/>
  <c r="E215" i="10" s="1"/>
  <c r="E235" i="10"/>
  <c r="S48" i="10"/>
  <c r="AA49" i="10"/>
  <c r="AA206" i="10"/>
  <c r="U48" i="5"/>
  <c r="AC206" i="5"/>
  <c r="AC49" i="5"/>
  <c r="X48" i="10"/>
  <c r="AN204" i="10"/>
  <c r="AN49" i="10"/>
  <c r="AN206" i="10"/>
  <c r="AN43" i="10"/>
  <c r="AN24" i="10" s="1"/>
  <c r="Q43" i="7"/>
  <c r="Q24" i="7" s="1"/>
  <c r="Q204" i="7"/>
  <c r="Q48" i="7"/>
  <c r="U49" i="7"/>
  <c r="U204" i="7"/>
  <c r="U43" i="7"/>
  <c r="U24" i="7" s="1"/>
  <c r="U206" i="7"/>
  <c r="Y206" i="7"/>
  <c r="Y204" i="7"/>
  <c r="Y49" i="7"/>
  <c r="Y43" i="7"/>
  <c r="Y24" i="7" s="1"/>
  <c r="Y48" i="10"/>
  <c r="AO43" i="10"/>
  <c r="AO24" i="10" s="1"/>
  <c r="AO204" i="10"/>
  <c r="AO49" i="10"/>
  <c r="AO206" i="10"/>
  <c r="P48" i="10"/>
  <c r="P204" i="10"/>
  <c r="P43" i="10"/>
  <c r="P24" i="10" s="1"/>
  <c r="T43" i="10"/>
  <c r="T24" i="10" s="1"/>
  <c r="T204" i="10"/>
  <c r="T206" i="10"/>
  <c r="T49" i="10"/>
  <c r="X43" i="10"/>
  <c r="X24" i="10" s="1"/>
  <c r="X204" i="10"/>
  <c r="X49" i="10"/>
  <c r="X206" i="10"/>
  <c r="R204" i="10"/>
  <c r="R48" i="10"/>
  <c r="R43" i="10"/>
  <c r="R24" i="10" s="1"/>
  <c r="V206" i="10"/>
  <c r="V43" i="10"/>
  <c r="V24" i="10" s="1"/>
  <c r="V204" i="10"/>
  <c r="V49" i="10"/>
  <c r="Z43" i="10"/>
  <c r="Z24" i="10" s="1"/>
  <c r="Z204" i="10"/>
  <c r="Z49" i="10"/>
  <c r="Z206" i="10"/>
  <c r="Y48" i="5"/>
  <c r="AO43" i="5"/>
  <c r="AO24" i="5" s="1"/>
  <c r="AO204" i="5"/>
  <c r="AO206" i="5"/>
  <c r="AO49" i="5"/>
  <c r="Y48" i="7"/>
  <c r="AO43" i="7"/>
  <c r="AO24" i="7" s="1"/>
  <c r="AO204" i="7"/>
  <c r="AO49" i="7"/>
  <c r="AO206" i="7"/>
  <c r="V48" i="10"/>
  <c r="AD49" i="10"/>
  <c r="AD206" i="10"/>
  <c r="Q43" i="10"/>
  <c r="Q24" i="10" s="1"/>
  <c r="Q204" i="10"/>
  <c r="Q48" i="10"/>
  <c r="U206" i="10"/>
  <c r="U43" i="10"/>
  <c r="U24" i="10" s="1"/>
  <c r="U204" i="10"/>
  <c r="U49" i="10"/>
  <c r="Y206" i="10"/>
  <c r="Y204" i="10"/>
  <c r="Y43" i="10"/>
  <c r="Y24" i="10" s="1"/>
  <c r="Y49" i="10"/>
  <c r="CH235" i="5"/>
  <c r="Z48" i="7"/>
  <c r="AP43" i="7"/>
  <c r="AP24" i="7" s="1"/>
  <c r="AP204" i="7"/>
  <c r="AP206" i="7"/>
  <c r="AP49" i="7"/>
  <c r="X48" i="5"/>
  <c r="AN49" i="5"/>
  <c r="AN204" i="5"/>
  <c r="AN43" i="5"/>
  <c r="AN24" i="5" s="1"/>
  <c r="AN206" i="5"/>
  <c r="S48" i="7"/>
  <c r="AA49" i="7"/>
  <c r="AA206" i="7"/>
  <c r="U48" i="7"/>
  <c r="AC49" i="7"/>
  <c r="AC206" i="7"/>
  <c r="R48" i="7"/>
  <c r="R204" i="7"/>
  <c r="R43" i="7"/>
  <c r="R24" i="7" s="1"/>
  <c r="V206" i="7"/>
  <c r="V43" i="7"/>
  <c r="V24" i="7" s="1"/>
  <c r="V49" i="7"/>
  <c r="V204" i="7"/>
  <c r="Z49" i="7"/>
  <c r="Z206" i="7"/>
  <c r="Z43" i="7"/>
  <c r="Z24" i="7" s="1"/>
  <c r="Z204" i="7"/>
  <c r="W48" i="5"/>
  <c r="AM43" i="5"/>
  <c r="AM24" i="5" s="1"/>
  <c r="AM49" i="5"/>
  <c r="AM204" i="5"/>
  <c r="AM206" i="5"/>
  <c r="P43" i="5"/>
  <c r="P24" i="5" s="1"/>
  <c r="P48" i="5"/>
  <c r="P204" i="5"/>
  <c r="T43" i="5"/>
  <c r="T24" i="5" s="1"/>
  <c r="T206" i="5"/>
  <c r="T204" i="5"/>
  <c r="T49" i="5"/>
  <c r="X43" i="5"/>
  <c r="X24" i="5" s="1"/>
  <c r="X206" i="5"/>
  <c r="X204" i="5"/>
  <c r="X49" i="5"/>
  <c r="CH215" i="7"/>
  <c r="E215" i="7" s="1"/>
  <c r="E235" i="7"/>
  <c r="V48" i="7"/>
  <c r="AD49" i="7"/>
  <c r="AD206" i="7"/>
  <c r="R43" i="5"/>
  <c r="R24" i="5" s="1"/>
  <c r="R204" i="5"/>
  <c r="R48" i="5"/>
  <c r="V204" i="5"/>
  <c r="V43" i="5"/>
  <c r="V24" i="5" s="1"/>
  <c r="V49" i="5"/>
  <c r="V206" i="5"/>
  <c r="Z204" i="5"/>
  <c r="Z43" i="5"/>
  <c r="Z24" i="5" s="1"/>
  <c r="Z49" i="5"/>
  <c r="Z206" i="5"/>
  <c r="Q43" i="5"/>
  <c r="Q24" i="5" s="1"/>
  <c r="Q204" i="5"/>
  <c r="Q48" i="5"/>
  <c r="U204" i="5"/>
  <c r="U49" i="5"/>
  <c r="U43" i="5"/>
  <c r="U24" i="5" s="1"/>
  <c r="U206" i="5"/>
  <c r="Y49" i="5"/>
  <c r="Y204" i="5"/>
  <c r="Y43" i="5"/>
  <c r="Y24" i="5" s="1"/>
  <c r="Y206" i="5"/>
  <c r="S48" i="5"/>
  <c r="AA49" i="5"/>
  <c r="AA206" i="5"/>
  <c r="P48" i="7"/>
  <c r="P204" i="7"/>
  <c r="P43" i="7"/>
  <c r="P24" i="7" s="1"/>
  <c r="T206" i="7"/>
  <c r="T43" i="7"/>
  <c r="T24" i="7" s="1"/>
  <c r="T49" i="7"/>
  <c r="T204" i="7"/>
  <c r="X49" i="7"/>
  <c r="X43" i="7"/>
  <c r="X24" i="7" s="1"/>
  <c r="X206" i="7"/>
  <c r="X204" i="7"/>
  <c r="U48" i="10"/>
  <c r="AC206" i="10"/>
  <c r="AC49" i="10"/>
  <c r="Z48" i="10"/>
  <c r="AP204" i="10"/>
  <c r="AP206" i="10"/>
  <c r="AP49" i="10"/>
  <c r="AP43" i="10"/>
  <c r="AP24" i="10" s="1"/>
  <c r="V48" i="5"/>
  <c r="AD49" i="5"/>
  <c r="AD206" i="5"/>
  <c r="Z48" i="5"/>
  <c r="AP49" i="5"/>
  <c r="AP43" i="5"/>
  <c r="AP24" i="5" s="1"/>
  <c r="AP204" i="5"/>
  <c r="AP206" i="5"/>
  <c r="G66" i="10"/>
  <c r="H66" i="10" s="1"/>
  <c r="I66" i="10" s="1"/>
  <c r="J66" i="10" s="1"/>
  <c r="K66" i="10" s="1"/>
  <c r="L66" i="10" s="1"/>
  <c r="M66" i="10" s="1"/>
  <c r="N66" i="10" s="1"/>
  <c r="O66" i="10" s="1"/>
  <c r="P66" i="10" s="1"/>
  <c r="Q66" i="10" s="1"/>
  <c r="R66" i="10" s="1"/>
  <c r="O48" i="10"/>
  <c r="O204" i="10"/>
  <c r="O43" i="10"/>
  <c r="S206" i="10"/>
  <c r="S204" i="10"/>
  <c r="S43" i="10"/>
  <c r="S24" i="10" s="1"/>
  <c r="S49" i="10"/>
  <c r="W49" i="10"/>
  <c r="W204" i="10"/>
  <c r="W43" i="10"/>
  <c r="W24" i="10" s="1"/>
  <c r="W206" i="10"/>
  <c r="G66" i="7"/>
  <c r="H66" i="7" s="1"/>
  <c r="I66" i="7" s="1"/>
  <c r="J66" i="7" s="1"/>
  <c r="K66" i="7" s="1"/>
  <c r="L66" i="7" s="1"/>
  <c r="M66" i="7" s="1"/>
  <c r="N66" i="7" s="1"/>
  <c r="O66" i="7" s="1"/>
  <c r="P66" i="7" s="1"/>
  <c r="Q66" i="7" s="1"/>
  <c r="R66" i="7" s="1"/>
  <c r="O43" i="7"/>
  <c r="O204" i="7"/>
  <c r="O48" i="7"/>
  <c r="S204" i="7"/>
  <c r="S43" i="7"/>
  <c r="S24" i="7" s="1"/>
  <c r="S49" i="7"/>
  <c r="S206" i="7"/>
  <c r="W49" i="7"/>
  <c r="W204" i="7"/>
  <c r="W206" i="7"/>
  <c r="W43" i="7"/>
  <c r="W24" i="7" s="1"/>
  <c r="T48" i="10"/>
  <c r="AB49" i="10"/>
  <c r="AB206" i="10"/>
  <c r="G66" i="5"/>
  <c r="H66" i="5" s="1"/>
  <c r="I66" i="5" s="1"/>
  <c r="J66" i="5" s="1"/>
  <c r="K66" i="5" s="1"/>
  <c r="L66" i="5" s="1"/>
  <c r="M66" i="5" s="1"/>
  <c r="N66" i="5" s="1"/>
  <c r="O66" i="5" s="1"/>
  <c r="P66" i="5" s="1"/>
  <c r="Q66" i="5" s="1"/>
  <c r="R66" i="5" s="1"/>
  <c r="O43" i="5"/>
  <c r="O204" i="5"/>
  <c r="O48" i="5"/>
  <c r="S49" i="5"/>
  <c r="S43" i="5"/>
  <c r="S24" i="5" s="1"/>
  <c r="S204" i="5"/>
  <c r="S206" i="5"/>
  <c r="W206" i="5"/>
  <c r="W49" i="5"/>
  <c r="W43" i="5"/>
  <c r="W24" i="5" s="1"/>
  <c r="W204" i="5"/>
  <c r="X48" i="7"/>
  <c r="AN206" i="7"/>
  <c r="AN204" i="7"/>
  <c r="AN49" i="7"/>
  <c r="AN43" i="7"/>
  <c r="AN24" i="7" s="1"/>
  <c r="T48" i="5"/>
  <c r="AB206" i="5"/>
  <c r="AB49" i="5"/>
  <c r="W48" i="10"/>
  <c r="AM206" i="10"/>
  <c r="AM49" i="10"/>
  <c r="AM43" i="10"/>
  <c r="AM24" i="10" s="1"/>
  <c r="AM204" i="10"/>
  <c r="T48" i="7"/>
  <c r="AB206" i="7"/>
  <c r="AB49" i="7"/>
  <c r="AC205" i="7" l="1"/>
  <c r="AC207" i="7"/>
  <c r="AN205" i="5"/>
  <c r="AN207" i="5"/>
  <c r="V205" i="10"/>
  <c r="V207" i="10"/>
  <c r="X205" i="10"/>
  <c r="X207" i="10"/>
  <c r="U205" i="7"/>
  <c r="U207" i="7"/>
  <c r="AA205" i="7"/>
  <c r="AA207" i="7"/>
  <c r="AO205" i="5"/>
  <c r="AO207" i="5"/>
  <c r="Z205" i="10"/>
  <c r="Z207" i="10"/>
  <c r="S78" i="5"/>
  <c r="T78" i="5" s="1"/>
  <c r="U78" i="5" s="1"/>
  <c r="V78" i="5" s="1"/>
  <c r="W78" i="5" s="1"/>
  <c r="X78" i="5" s="1"/>
  <c r="Y78" i="5" s="1"/>
  <c r="Z78" i="5" s="1"/>
  <c r="AA78" i="5" s="1"/>
  <c r="AB78" i="5" s="1"/>
  <c r="AC78" i="5" s="1"/>
  <c r="AD78" i="5" s="1"/>
  <c r="S78" i="7"/>
  <c r="T78" i="7" s="1"/>
  <c r="U78" i="7" s="1"/>
  <c r="V78" i="7" s="1"/>
  <c r="W78" i="7" s="1"/>
  <c r="X78" i="7" s="1"/>
  <c r="Y78" i="7" s="1"/>
  <c r="Z78" i="7" s="1"/>
  <c r="AA78" i="7" s="1"/>
  <c r="AB78" i="7" s="1"/>
  <c r="AC78" i="7" s="1"/>
  <c r="AD78" i="7" s="1"/>
  <c r="S78" i="10"/>
  <c r="T78" i="10" s="1"/>
  <c r="U78" i="10" s="1"/>
  <c r="V78" i="10" s="1"/>
  <c r="W78" i="10" s="1"/>
  <c r="X78" i="10" s="1"/>
  <c r="Y78" i="10" s="1"/>
  <c r="Z78" i="10" s="1"/>
  <c r="AA78" i="10" s="1"/>
  <c r="AB78" i="10" s="1"/>
  <c r="AC78" i="10" s="1"/>
  <c r="AD78" i="10" s="1"/>
  <c r="T205" i="7"/>
  <c r="T207" i="7"/>
  <c r="AA205" i="5"/>
  <c r="AA207" i="5"/>
  <c r="Z205" i="5"/>
  <c r="Z207" i="5"/>
  <c r="AD205" i="7"/>
  <c r="AD207" i="7"/>
  <c r="T205" i="5"/>
  <c r="T207" i="5"/>
  <c r="Z205" i="7"/>
  <c r="Z207" i="7"/>
  <c r="CH215" i="5"/>
  <c r="E215" i="5" s="1"/>
  <c r="E235" i="5"/>
  <c r="Y205" i="10"/>
  <c r="Y207" i="10"/>
  <c r="AN205" i="10"/>
  <c r="AN207" i="10"/>
  <c r="AB205" i="7"/>
  <c r="AB207" i="7"/>
  <c r="AP205" i="10"/>
  <c r="AP207" i="10"/>
  <c r="AO205" i="7"/>
  <c r="AO207" i="7"/>
  <c r="AO205" i="10"/>
  <c r="AO207" i="10"/>
  <c r="AB205" i="5"/>
  <c r="AB207" i="5"/>
  <c r="S205" i="7"/>
  <c r="S207" i="7"/>
  <c r="O77" i="5"/>
  <c r="P77" i="5" s="1"/>
  <c r="Q77" i="5" s="1"/>
  <c r="R77" i="5" s="1"/>
  <c r="S77" i="5" s="1"/>
  <c r="T77" i="5" s="1"/>
  <c r="U77" i="5" s="1"/>
  <c r="V77" i="5" s="1"/>
  <c r="W77" i="5" s="1"/>
  <c r="X77" i="5" s="1"/>
  <c r="Y77" i="5" s="1"/>
  <c r="Z77" i="5" s="1"/>
  <c r="Y205" i="5"/>
  <c r="Y207" i="5"/>
  <c r="AM205" i="7"/>
  <c r="AM207" i="7"/>
  <c r="AB205" i="10"/>
  <c r="AB207" i="10"/>
  <c r="O77" i="7"/>
  <c r="P77" i="7" s="1"/>
  <c r="Q77" i="7" s="1"/>
  <c r="R77" i="7" s="1"/>
  <c r="S77" i="7" s="1"/>
  <c r="T77" i="7" s="1"/>
  <c r="U77" i="7" s="1"/>
  <c r="V77" i="7" s="1"/>
  <c r="W77" i="7" s="1"/>
  <c r="X77" i="7" s="1"/>
  <c r="Y77" i="7" s="1"/>
  <c r="Z77" i="7" s="1"/>
  <c r="S205" i="10"/>
  <c r="S207" i="10"/>
  <c r="T205" i="10"/>
  <c r="T207" i="10"/>
  <c r="AC205" i="5"/>
  <c r="AC207" i="5"/>
  <c r="AA205" i="10"/>
  <c r="AA207" i="10"/>
  <c r="AP205" i="5"/>
  <c r="AP207" i="5"/>
  <c r="X205" i="7"/>
  <c r="X207" i="7"/>
  <c r="W205" i="5"/>
  <c r="W207" i="5"/>
  <c r="W205" i="7"/>
  <c r="W207" i="7"/>
  <c r="W205" i="10"/>
  <c r="W207" i="10"/>
  <c r="O24" i="10"/>
  <c r="O72" i="10"/>
  <c r="V205" i="5"/>
  <c r="V207" i="5"/>
  <c r="X205" i="5"/>
  <c r="X207" i="5"/>
  <c r="AP205" i="7"/>
  <c r="AP207" i="7"/>
  <c r="U205" i="10"/>
  <c r="U207" i="10"/>
  <c r="AD205" i="10"/>
  <c r="AD207" i="10"/>
  <c r="O77" i="10"/>
  <c r="P77" i="10" s="1"/>
  <c r="Q77" i="10" s="1"/>
  <c r="R77" i="10" s="1"/>
  <c r="S77" i="10" s="1"/>
  <c r="T77" i="10" s="1"/>
  <c r="U77" i="10" s="1"/>
  <c r="V77" i="10" s="1"/>
  <c r="W77" i="10" s="1"/>
  <c r="X77" i="10" s="1"/>
  <c r="Y77" i="10" s="1"/>
  <c r="Z77" i="10" s="1"/>
  <c r="AD205" i="5"/>
  <c r="AD207" i="5"/>
  <c r="AC205" i="10"/>
  <c r="AC207" i="10"/>
  <c r="AN205" i="7"/>
  <c r="AN207" i="7"/>
  <c r="O24" i="5"/>
  <c r="O72" i="5"/>
  <c r="AM205" i="10"/>
  <c r="AM207" i="10"/>
  <c r="S205" i="5"/>
  <c r="S207" i="5"/>
  <c r="O24" i="7"/>
  <c r="O72" i="7"/>
  <c r="U205" i="5"/>
  <c r="U207" i="5"/>
  <c r="AM205" i="5"/>
  <c r="AM207" i="5"/>
  <c r="V205" i="7"/>
  <c r="V207" i="7"/>
  <c r="Y205" i="7"/>
  <c r="Y207" i="7"/>
  <c r="P72" i="10" l="1"/>
  <c r="S208" i="7"/>
  <c r="P72" i="5"/>
  <c r="P72" i="7"/>
  <c r="S208" i="5"/>
  <c r="S208" i="10"/>
  <c r="S209" i="5" l="1"/>
  <c r="S42" i="5"/>
  <c r="S71" i="5" s="1"/>
  <c r="S210" i="5"/>
  <c r="S33" i="5"/>
  <c r="Q72" i="10"/>
  <c r="Q72" i="7"/>
  <c r="S209" i="10"/>
  <c r="S42" i="10"/>
  <c r="S71" i="10" s="1"/>
  <c r="S210" i="10"/>
  <c r="S33" i="10"/>
  <c r="S209" i="7"/>
  <c r="S42" i="7"/>
  <c r="S71" i="7" s="1"/>
  <c r="S210" i="7"/>
  <c r="S33" i="7"/>
  <c r="Q72" i="5"/>
  <c r="S197" i="7" l="1"/>
  <c r="S37" i="7"/>
  <c r="S62" i="7"/>
  <c r="R72" i="7"/>
  <c r="T208" i="10"/>
  <c r="T210" i="10" s="1"/>
  <c r="T208" i="5"/>
  <c r="T208" i="7"/>
  <c r="R72" i="10"/>
  <c r="S197" i="10"/>
  <c r="S37" i="10"/>
  <c r="S62" i="10"/>
  <c r="S197" i="5"/>
  <c r="S37" i="5"/>
  <c r="S62" i="5"/>
  <c r="R72" i="5"/>
  <c r="U208" i="10" l="1"/>
  <c r="S72" i="10"/>
  <c r="S72" i="7"/>
  <c r="T209" i="5"/>
  <c r="T42" i="5"/>
  <c r="T71" i="5" s="1"/>
  <c r="T33" i="5"/>
  <c r="T62" i="5" s="1"/>
  <c r="S72" i="5"/>
  <c r="T210" i="5"/>
  <c r="AA48" i="7"/>
  <c r="AQ49" i="7"/>
  <c r="AQ43" i="7"/>
  <c r="AQ24" i="7" s="1"/>
  <c r="AQ204" i="7"/>
  <c r="AQ206" i="7"/>
  <c r="AI204" i="7"/>
  <c r="AI206" i="7"/>
  <c r="AE49" i="7"/>
  <c r="AI49" i="7"/>
  <c r="AI43" i="7"/>
  <c r="AI24" i="7" s="1"/>
  <c r="AE204" i="7"/>
  <c r="AA204" i="7"/>
  <c r="AE206" i="7"/>
  <c r="AE43" i="7"/>
  <c r="AE24" i="7" s="1"/>
  <c r="AA43" i="7"/>
  <c r="S66" i="7"/>
  <c r="T209" i="7"/>
  <c r="T42" i="7"/>
  <c r="T71" i="7" s="1"/>
  <c r="T33" i="7"/>
  <c r="T62" i="7" s="1"/>
  <c r="AA48" i="10"/>
  <c r="AQ43" i="10"/>
  <c r="AQ24" i="10" s="1"/>
  <c r="AQ204" i="10"/>
  <c r="AQ206" i="10"/>
  <c r="AQ49" i="10"/>
  <c r="AE49" i="10"/>
  <c r="AE206" i="10"/>
  <c r="AA204" i="10"/>
  <c r="AE204" i="10"/>
  <c r="AA43" i="10"/>
  <c r="AI206" i="10"/>
  <c r="AI49" i="10"/>
  <c r="AE43" i="10"/>
  <c r="AE24" i="10" s="1"/>
  <c r="AI43" i="10"/>
  <c r="AI24" i="10" s="1"/>
  <c r="AI204" i="10"/>
  <c r="S66" i="10"/>
  <c r="T210" i="7"/>
  <c r="AA48" i="5"/>
  <c r="AQ43" i="5"/>
  <c r="AQ24" i="5" s="1"/>
  <c r="AQ206" i="5"/>
  <c r="AQ49" i="5"/>
  <c r="AQ204" i="5"/>
  <c r="AI206" i="5"/>
  <c r="AE206" i="5"/>
  <c r="AI204" i="5"/>
  <c r="AA204" i="5"/>
  <c r="AA43" i="5"/>
  <c r="AA24" i="5" s="1"/>
  <c r="AE204" i="5"/>
  <c r="AE43" i="5"/>
  <c r="AE24" i="5" s="1"/>
  <c r="AI49" i="5"/>
  <c r="AE49" i="5"/>
  <c r="AI43" i="5"/>
  <c r="AI24" i="5" s="1"/>
  <c r="S66" i="5"/>
  <c r="T209" i="10"/>
  <c r="T42" i="10"/>
  <c r="T71" i="10" s="1"/>
  <c r="T33" i="10"/>
  <c r="T62" i="10" s="1"/>
  <c r="AE205" i="5" l="1"/>
  <c r="AE207" i="5"/>
  <c r="AE78" i="5"/>
  <c r="AA24" i="7"/>
  <c r="T66" i="5"/>
  <c r="AA77" i="5"/>
  <c r="AA77" i="7"/>
  <c r="AE78" i="7"/>
  <c r="U208" i="5"/>
  <c r="T72" i="7"/>
  <c r="AI205" i="5"/>
  <c r="AI207" i="5"/>
  <c r="AI205" i="7"/>
  <c r="AI207" i="7"/>
  <c r="T72" i="5"/>
  <c r="T72" i="10"/>
  <c r="AE205" i="7"/>
  <c r="AE207" i="7"/>
  <c r="T197" i="10"/>
  <c r="T37" i="10"/>
  <c r="T66" i="10" s="1"/>
  <c r="T197" i="7"/>
  <c r="T37" i="7"/>
  <c r="T66" i="7" s="1"/>
  <c r="AQ205" i="7"/>
  <c r="AQ207" i="7"/>
  <c r="T197" i="5"/>
  <c r="T37" i="5"/>
  <c r="U209" i="10"/>
  <c r="U42" i="10"/>
  <c r="U71" i="10" s="1"/>
  <c r="U33" i="10"/>
  <c r="AQ205" i="10"/>
  <c r="AQ207" i="10"/>
  <c r="AI205" i="10"/>
  <c r="AI207" i="10"/>
  <c r="U208" i="7"/>
  <c r="AA24" i="10"/>
  <c r="AE205" i="10"/>
  <c r="AE207" i="10"/>
  <c r="U210" i="10"/>
  <c r="AA77" i="10"/>
  <c r="AQ205" i="5"/>
  <c r="AQ207" i="5"/>
  <c r="AE78" i="10"/>
  <c r="V208" i="10" l="1"/>
  <c r="V210" i="10" s="1"/>
  <c r="U209" i="5"/>
  <c r="U42" i="5"/>
  <c r="U71" i="5" s="1"/>
  <c r="U33" i="5"/>
  <c r="U210" i="5"/>
  <c r="U72" i="7"/>
  <c r="U72" i="5"/>
  <c r="U197" i="10"/>
  <c r="U37" i="10"/>
  <c r="AB48" i="10"/>
  <c r="AR49" i="10"/>
  <c r="AR43" i="10"/>
  <c r="AR24" i="10" s="1"/>
  <c r="AR204" i="10"/>
  <c r="AR206" i="10"/>
  <c r="AF204" i="10"/>
  <c r="AB43" i="10"/>
  <c r="AB204" i="10"/>
  <c r="AF43" i="10"/>
  <c r="AF24" i="10" s="1"/>
  <c r="AJ49" i="10"/>
  <c r="AJ206" i="10"/>
  <c r="AF206" i="10"/>
  <c r="AJ43" i="10"/>
  <c r="AJ24" i="10" s="1"/>
  <c r="AF49" i="10"/>
  <c r="AJ204" i="10"/>
  <c r="U209" i="7"/>
  <c r="U42" i="7"/>
  <c r="U71" i="7" s="1"/>
  <c r="U33" i="7"/>
  <c r="U210" i="7"/>
  <c r="AB48" i="7"/>
  <c r="AB77" i="7" s="1"/>
  <c r="AR49" i="7"/>
  <c r="AR43" i="7"/>
  <c r="AR24" i="7" s="1"/>
  <c r="AR204" i="7"/>
  <c r="AR206" i="7"/>
  <c r="AF43" i="7"/>
  <c r="AF24" i="7" s="1"/>
  <c r="AB43" i="7"/>
  <c r="AJ206" i="7"/>
  <c r="AJ43" i="7"/>
  <c r="AJ24" i="7" s="1"/>
  <c r="AF49" i="7"/>
  <c r="AB204" i="7"/>
  <c r="AJ49" i="7"/>
  <c r="AJ204" i="7"/>
  <c r="AF204" i="7"/>
  <c r="AF206" i="7"/>
  <c r="U72" i="10"/>
  <c r="U66" i="10"/>
  <c r="AB48" i="5"/>
  <c r="AB77" i="5" s="1"/>
  <c r="AR43" i="5"/>
  <c r="AR24" i="5" s="1"/>
  <c r="AR204" i="5"/>
  <c r="AR49" i="5"/>
  <c r="AR206" i="5"/>
  <c r="AB43" i="5"/>
  <c r="AB24" i="5" s="1"/>
  <c r="AJ43" i="5"/>
  <c r="AJ24" i="5" s="1"/>
  <c r="AB204" i="5"/>
  <c r="AF43" i="5"/>
  <c r="AF24" i="5" s="1"/>
  <c r="AJ204" i="5"/>
  <c r="AJ206" i="5"/>
  <c r="AJ49" i="5"/>
  <c r="AF206" i="5"/>
  <c r="AF204" i="5"/>
  <c r="AF49" i="5"/>
  <c r="AF78" i="5" s="1"/>
  <c r="U62" i="10"/>
  <c r="AR205" i="10" l="1"/>
  <c r="AR207" i="10"/>
  <c r="AR205" i="7"/>
  <c r="AR207" i="7"/>
  <c r="AJ205" i="5"/>
  <c r="AJ207" i="5"/>
  <c r="AB24" i="10"/>
  <c r="AJ205" i="7"/>
  <c r="AJ207" i="7"/>
  <c r="AF205" i="7"/>
  <c r="AF207" i="7"/>
  <c r="V72" i="7"/>
  <c r="V209" i="10"/>
  <c r="V42" i="10"/>
  <c r="V71" i="10" s="1"/>
  <c r="V33" i="10"/>
  <c r="V62" i="10" s="1"/>
  <c r="W62" i="10" s="1"/>
  <c r="X62" i="10" s="1"/>
  <c r="Y62" i="10" s="1"/>
  <c r="Z62" i="10" s="1"/>
  <c r="AA62" i="10" s="1"/>
  <c r="AB62" i="10" s="1"/>
  <c r="AC62" i="10" s="1"/>
  <c r="AD62" i="10" s="1"/>
  <c r="AE62" i="10" s="1"/>
  <c r="AF62" i="10" s="1"/>
  <c r="AG62" i="10" s="1"/>
  <c r="AH62" i="10" s="1"/>
  <c r="AI62" i="10" s="1"/>
  <c r="AJ62" i="10" s="1"/>
  <c r="AK62" i="10" s="1"/>
  <c r="AL62" i="10" s="1"/>
  <c r="AM62" i="10" s="1"/>
  <c r="AN62" i="10" s="1"/>
  <c r="AO62" i="10" s="1"/>
  <c r="AP62" i="10" s="1"/>
  <c r="AQ62" i="10" s="1"/>
  <c r="AR62" i="10" s="1"/>
  <c r="AS62" i="10" s="1"/>
  <c r="AT62" i="10" s="1"/>
  <c r="AU62" i="10" s="1"/>
  <c r="AV62" i="10" s="1"/>
  <c r="AW62" i="10" s="1"/>
  <c r="AX62" i="10" s="1"/>
  <c r="AY62" i="10" s="1"/>
  <c r="AZ62" i="10" s="1"/>
  <c r="BA62" i="10" s="1"/>
  <c r="BB62" i="10" s="1"/>
  <c r="BC62" i="10" s="1"/>
  <c r="BD62" i="10" s="1"/>
  <c r="BE62" i="10" s="1"/>
  <c r="BF62" i="10" s="1"/>
  <c r="BG62" i="10" s="1"/>
  <c r="BH62" i="10" s="1"/>
  <c r="BI62" i="10" s="1"/>
  <c r="BJ62" i="10" s="1"/>
  <c r="BK62" i="10" s="1"/>
  <c r="BL62" i="10" s="1"/>
  <c r="BM62" i="10" s="1"/>
  <c r="BN62" i="10" s="1"/>
  <c r="BO62" i="10" s="1"/>
  <c r="BP62" i="10" s="1"/>
  <c r="BQ62" i="10" s="1"/>
  <c r="BR62" i="10" s="1"/>
  <c r="BS62" i="10" s="1"/>
  <c r="BT62" i="10" s="1"/>
  <c r="BU62" i="10" s="1"/>
  <c r="BV62" i="10" s="1"/>
  <c r="BW62" i="10" s="1"/>
  <c r="BX62" i="10" s="1"/>
  <c r="BY62" i="10" s="1"/>
  <c r="BZ62" i="10" s="1"/>
  <c r="CA62" i="10" s="1"/>
  <c r="CB62" i="10" s="1"/>
  <c r="CC62" i="10" s="1"/>
  <c r="CD62" i="10" s="1"/>
  <c r="CE62" i="10" s="1"/>
  <c r="CF62" i="10" s="1"/>
  <c r="CG62" i="10" s="1"/>
  <c r="CH62" i="10" s="1"/>
  <c r="E62" i="10" s="1"/>
  <c r="AJ205" i="10"/>
  <c r="AJ207" i="10"/>
  <c r="V208" i="7"/>
  <c r="V210" i="7" s="1"/>
  <c r="V72" i="5"/>
  <c r="AB24" i="7"/>
  <c r="U197" i="7"/>
  <c r="U37" i="7"/>
  <c r="U62" i="7"/>
  <c r="AR205" i="5"/>
  <c r="AR207" i="5"/>
  <c r="AB77" i="10"/>
  <c r="W208" i="10"/>
  <c r="W210" i="10" s="1"/>
  <c r="AF205" i="10"/>
  <c r="AF207" i="10"/>
  <c r="AF78" i="10"/>
  <c r="V208" i="5"/>
  <c r="AF205" i="5"/>
  <c r="AF207" i="5"/>
  <c r="V72" i="10"/>
  <c r="AC48" i="10"/>
  <c r="AS206" i="10"/>
  <c r="AS43" i="10"/>
  <c r="AS24" i="10" s="1"/>
  <c r="AS49" i="10"/>
  <c r="AS204" i="10"/>
  <c r="AK49" i="10"/>
  <c r="AG49" i="10"/>
  <c r="AG204" i="10"/>
  <c r="AK206" i="10"/>
  <c r="AG206" i="10"/>
  <c r="AC204" i="10"/>
  <c r="AC43" i="10"/>
  <c r="AC24" i="10" s="1"/>
  <c r="AG43" i="10"/>
  <c r="AG24" i="10" s="1"/>
  <c r="AK43" i="10"/>
  <c r="AK24" i="10" s="1"/>
  <c r="AK204" i="10"/>
  <c r="AF78" i="7"/>
  <c r="U197" i="5"/>
  <c r="U37" i="5"/>
  <c r="U62" i="5"/>
  <c r="AG78" i="10" l="1"/>
  <c r="AC77" i="10"/>
  <c r="X208" i="10"/>
  <c r="X210" i="10"/>
  <c r="AC48" i="7"/>
  <c r="AS204" i="7"/>
  <c r="AS49" i="7"/>
  <c r="AS206" i="7"/>
  <c r="AS43" i="7"/>
  <c r="AS24" i="7" s="1"/>
  <c r="AC43" i="7"/>
  <c r="AK49" i="7"/>
  <c r="AK43" i="7"/>
  <c r="AK24" i="7" s="1"/>
  <c r="AK204" i="7"/>
  <c r="AK206" i="7"/>
  <c r="AG204" i="7"/>
  <c r="AG49" i="7"/>
  <c r="AG78" i="7" s="1"/>
  <c r="AG43" i="7"/>
  <c r="AG24" i="7" s="1"/>
  <c r="AC204" i="7"/>
  <c r="AG206" i="7"/>
  <c r="U66" i="7"/>
  <c r="W208" i="7"/>
  <c r="W209" i="10"/>
  <c r="W42" i="10"/>
  <c r="W71" i="10" s="1"/>
  <c r="V197" i="10"/>
  <c r="E197" i="10" s="1"/>
  <c r="V37" i="10"/>
  <c r="E33" i="10"/>
  <c r="AS205" i="10"/>
  <c r="AS207" i="10"/>
  <c r="AK205" i="10"/>
  <c r="AK207" i="10"/>
  <c r="W72" i="7"/>
  <c r="V209" i="5"/>
  <c r="V42" i="5"/>
  <c r="V71" i="5" s="1"/>
  <c r="V33" i="5"/>
  <c r="V62" i="5" s="1"/>
  <c r="W62" i="5" s="1"/>
  <c r="X62" i="5" s="1"/>
  <c r="Y62" i="5" s="1"/>
  <c r="Z62" i="5" s="1"/>
  <c r="AA62" i="5" s="1"/>
  <c r="AB62" i="5" s="1"/>
  <c r="AC62" i="5" s="1"/>
  <c r="AD62" i="5" s="1"/>
  <c r="AE62" i="5" s="1"/>
  <c r="AF62" i="5" s="1"/>
  <c r="AG62" i="5" s="1"/>
  <c r="AH62" i="5" s="1"/>
  <c r="AI62" i="5" s="1"/>
  <c r="AJ62" i="5" s="1"/>
  <c r="AK62" i="5" s="1"/>
  <c r="AL62" i="5" s="1"/>
  <c r="AM62" i="5" s="1"/>
  <c r="AN62" i="5" s="1"/>
  <c r="AO62" i="5" s="1"/>
  <c r="AP62" i="5" s="1"/>
  <c r="AQ62" i="5" s="1"/>
  <c r="AR62" i="5" s="1"/>
  <c r="AS62" i="5" s="1"/>
  <c r="AT62" i="5" s="1"/>
  <c r="AU62" i="5" s="1"/>
  <c r="AV62" i="5" s="1"/>
  <c r="AW62" i="5" s="1"/>
  <c r="AX62" i="5" s="1"/>
  <c r="AY62" i="5" s="1"/>
  <c r="AZ62" i="5" s="1"/>
  <c r="BA62" i="5" s="1"/>
  <c r="BB62" i="5" s="1"/>
  <c r="BC62" i="5" s="1"/>
  <c r="BD62" i="5" s="1"/>
  <c r="BE62" i="5" s="1"/>
  <c r="BF62" i="5" s="1"/>
  <c r="BG62" i="5" s="1"/>
  <c r="BH62" i="5" s="1"/>
  <c r="BI62" i="5" s="1"/>
  <c r="BJ62" i="5" s="1"/>
  <c r="BK62" i="5" s="1"/>
  <c r="BL62" i="5" s="1"/>
  <c r="BM62" i="5" s="1"/>
  <c r="BN62" i="5" s="1"/>
  <c r="BO62" i="5" s="1"/>
  <c r="BP62" i="5" s="1"/>
  <c r="BQ62" i="5" s="1"/>
  <c r="BR62" i="5" s="1"/>
  <c r="BS62" i="5" s="1"/>
  <c r="BT62" i="5" s="1"/>
  <c r="BU62" i="5" s="1"/>
  <c r="BV62" i="5" s="1"/>
  <c r="BW62" i="5" s="1"/>
  <c r="BX62" i="5" s="1"/>
  <c r="BY62" i="5" s="1"/>
  <c r="BZ62" i="5" s="1"/>
  <c r="CA62" i="5" s="1"/>
  <c r="CB62" i="5" s="1"/>
  <c r="CC62" i="5" s="1"/>
  <c r="CD62" i="5" s="1"/>
  <c r="CE62" i="5" s="1"/>
  <c r="CF62" i="5" s="1"/>
  <c r="CG62" i="5" s="1"/>
  <c r="CH62" i="5" s="1"/>
  <c r="E62" i="5" s="1"/>
  <c r="AC48" i="5"/>
  <c r="AS204" i="5"/>
  <c r="AS206" i="5"/>
  <c r="AS49" i="5"/>
  <c r="AS43" i="5"/>
  <c r="AS24" i="5" s="1"/>
  <c r="AK43" i="5"/>
  <c r="AK24" i="5" s="1"/>
  <c r="AG206" i="5"/>
  <c r="AC43" i="5"/>
  <c r="AC24" i="5" s="1"/>
  <c r="AC204" i="5"/>
  <c r="AK204" i="5"/>
  <c r="AG204" i="5"/>
  <c r="AK49" i="5"/>
  <c r="AG49" i="5"/>
  <c r="AG78" i="5" s="1"/>
  <c r="AK206" i="5"/>
  <c r="AG43" i="5"/>
  <c r="AG24" i="5" s="1"/>
  <c r="U66" i="5"/>
  <c r="V210" i="5"/>
  <c r="W72" i="5"/>
  <c r="AG205" i="10"/>
  <c r="AG207" i="10"/>
  <c r="W72" i="10"/>
  <c r="V209" i="7"/>
  <c r="V42" i="7"/>
  <c r="V71" i="7" s="1"/>
  <c r="V33" i="7"/>
  <c r="V197" i="7" l="1"/>
  <c r="E197" i="7" s="1"/>
  <c r="V37" i="7"/>
  <c r="E33" i="7"/>
  <c r="X72" i="5"/>
  <c r="AG205" i="5"/>
  <c r="AG207" i="5"/>
  <c r="V197" i="5"/>
  <c r="E197" i="5" s="1"/>
  <c r="V37" i="5"/>
  <c r="V66" i="5" s="1"/>
  <c r="W66" i="5" s="1"/>
  <c r="X66" i="5" s="1"/>
  <c r="Y66" i="5" s="1"/>
  <c r="Z66" i="5" s="1"/>
  <c r="AA66" i="5" s="1"/>
  <c r="AB66" i="5" s="1"/>
  <c r="AC66" i="5" s="1"/>
  <c r="AD66" i="5" s="1"/>
  <c r="AE66" i="5" s="1"/>
  <c r="AF66" i="5" s="1"/>
  <c r="AG66" i="5" s="1"/>
  <c r="AH66" i="5" s="1"/>
  <c r="AI66" i="5" s="1"/>
  <c r="AJ66" i="5" s="1"/>
  <c r="AK66" i="5" s="1"/>
  <c r="AL66" i="5" s="1"/>
  <c r="AM66" i="5" s="1"/>
  <c r="AN66" i="5" s="1"/>
  <c r="AO66" i="5" s="1"/>
  <c r="AP66" i="5" s="1"/>
  <c r="AQ66" i="5" s="1"/>
  <c r="AR66" i="5" s="1"/>
  <c r="AS66" i="5" s="1"/>
  <c r="AT66" i="5" s="1"/>
  <c r="AU66" i="5" s="1"/>
  <c r="AV66" i="5" s="1"/>
  <c r="AW66" i="5" s="1"/>
  <c r="AX66" i="5" s="1"/>
  <c r="AY66" i="5" s="1"/>
  <c r="AZ66" i="5" s="1"/>
  <c r="BA66" i="5" s="1"/>
  <c r="BB66" i="5" s="1"/>
  <c r="BC66" i="5" s="1"/>
  <c r="BD66" i="5" s="1"/>
  <c r="BE66" i="5" s="1"/>
  <c r="BF66" i="5" s="1"/>
  <c r="BG66" i="5" s="1"/>
  <c r="BH66" i="5" s="1"/>
  <c r="BI66" i="5" s="1"/>
  <c r="BJ66" i="5" s="1"/>
  <c r="BK66" i="5" s="1"/>
  <c r="BL66" i="5" s="1"/>
  <c r="BM66" i="5" s="1"/>
  <c r="BN66" i="5" s="1"/>
  <c r="BO66" i="5" s="1"/>
  <c r="BP66" i="5" s="1"/>
  <c r="BQ66" i="5" s="1"/>
  <c r="BR66" i="5" s="1"/>
  <c r="BS66" i="5" s="1"/>
  <c r="BT66" i="5" s="1"/>
  <c r="BU66" i="5" s="1"/>
  <c r="BV66" i="5" s="1"/>
  <c r="BW66" i="5" s="1"/>
  <c r="BX66" i="5" s="1"/>
  <c r="BY66" i="5" s="1"/>
  <c r="BZ66" i="5" s="1"/>
  <c r="CA66" i="5" s="1"/>
  <c r="CB66" i="5" s="1"/>
  <c r="CC66" i="5" s="1"/>
  <c r="CD66" i="5" s="1"/>
  <c r="CE66" i="5" s="1"/>
  <c r="CF66" i="5" s="1"/>
  <c r="CG66" i="5" s="1"/>
  <c r="CH66" i="5" s="1"/>
  <c r="E66" i="5" s="1"/>
  <c r="E33" i="5"/>
  <c r="AC24" i="7"/>
  <c r="AK205" i="7"/>
  <c r="AK207" i="7"/>
  <c r="X72" i="7"/>
  <c r="AD48" i="10"/>
  <c r="AT206" i="10"/>
  <c r="AT43" i="10"/>
  <c r="AT49" i="10"/>
  <c r="AT204" i="10"/>
  <c r="AH206" i="10"/>
  <c r="AL43" i="10"/>
  <c r="AL24" i="10" s="1"/>
  <c r="AH43" i="10"/>
  <c r="AH24" i="10" s="1"/>
  <c r="AH204" i="10"/>
  <c r="AL206" i="10"/>
  <c r="AL49" i="10"/>
  <c r="AL204" i="10"/>
  <c r="AD43" i="10"/>
  <c r="AD24" i="10" s="1"/>
  <c r="AH49" i="10"/>
  <c r="AH78" i="10" s="1"/>
  <c r="AI78" i="10" s="1"/>
  <c r="AJ78" i="10" s="1"/>
  <c r="AK78" i="10" s="1"/>
  <c r="AD204" i="10"/>
  <c r="E37" i="10"/>
  <c r="V66" i="10"/>
  <c r="W66" i="10" s="1"/>
  <c r="X66" i="10" s="1"/>
  <c r="Y66" i="10" s="1"/>
  <c r="Z66" i="10" s="1"/>
  <c r="AA66" i="10" s="1"/>
  <c r="AB66" i="10" s="1"/>
  <c r="AC66" i="10" s="1"/>
  <c r="AD66" i="10" s="1"/>
  <c r="AE66" i="10" s="1"/>
  <c r="AF66" i="10" s="1"/>
  <c r="AG66" i="10" s="1"/>
  <c r="AH66" i="10" s="1"/>
  <c r="AI66" i="10" s="1"/>
  <c r="AJ66" i="10" s="1"/>
  <c r="AK66" i="10" s="1"/>
  <c r="AL66" i="10" s="1"/>
  <c r="AM66" i="10" s="1"/>
  <c r="AN66" i="10" s="1"/>
  <c r="AO66" i="10" s="1"/>
  <c r="AP66" i="10" s="1"/>
  <c r="AQ66" i="10" s="1"/>
  <c r="AR66" i="10" s="1"/>
  <c r="AS66" i="10" s="1"/>
  <c r="AT66" i="10" s="1"/>
  <c r="AU66" i="10" s="1"/>
  <c r="AV66" i="10" s="1"/>
  <c r="AW66" i="10" s="1"/>
  <c r="AX66" i="10" s="1"/>
  <c r="AY66" i="10" s="1"/>
  <c r="AZ66" i="10" s="1"/>
  <c r="BA66" i="10" s="1"/>
  <c r="BB66" i="10" s="1"/>
  <c r="BC66" i="10" s="1"/>
  <c r="BD66" i="10" s="1"/>
  <c r="BE66" i="10" s="1"/>
  <c r="BF66" i="10" s="1"/>
  <c r="BG66" i="10" s="1"/>
  <c r="BH66" i="10" s="1"/>
  <c r="BI66" i="10" s="1"/>
  <c r="BJ66" i="10" s="1"/>
  <c r="BK66" i="10" s="1"/>
  <c r="BL66" i="10" s="1"/>
  <c r="BM66" i="10" s="1"/>
  <c r="BN66" i="10" s="1"/>
  <c r="BO66" i="10" s="1"/>
  <c r="BP66" i="10" s="1"/>
  <c r="BQ66" i="10" s="1"/>
  <c r="BR66" i="10" s="1"/>
  <c r="BS66" i="10" s="1"/>
  <c r="BT66" i="10" s="1"/>
  <c r="BU66" i="10" s="1"/>
  <c r="BV66" i="10" s="1"/>
  <c r="BW66" i="10" s="1"/>
  <c r="BX66" i="10" s="1"/>
  <c r="BY66" i="10" s="1"/>
  <c r="BZ66" i="10" s="1"/>
  <c r="CA66" i="10" s="1"/>
  <c r="CB66" i="10" s="1"/>
  <c r="CC66" i="10" s="1"/>
  <c r="CD66" i="10" s="1"/>
  <c r="CE66" i="10" s="1"/>
  <c r="CF66" i="10" s="1"/>
  <c r="CG66" i="10" s="1"/>
  <c r="CH66" i="10" s="1"/>
  <c r="E66" i="10" s="1"/>
  <c r="AC77" i="7"/>
  <c r="AS205" i="7"/>
  <c r="AS207" i="7"/>
  <c r="W209" i="7"/>
  <c r="W42" i="7"/>
  <c r="W71" i="7" s="1"/>
  <c r="AS205" i="5"/>
  <c r="AS207" i="5"/>
  <c r="W208" i="5"/>
  <c r="X72" i="10"/>
  <c r="AC77" i="5"/>
  <c r="V66" i="7"/>
  <c r="W66" i="7" s="1"/>
  <c r="X66" i="7" s="1"/>
  <c r="Y66" i="7" s="1"/>
  <c r="Z66" i="7" s="1"/>
  <c r="AA66" i="7" s="1"/>
  <c r="AB66" i="7" s="1"/>
  <c r="AC66" i="7" s="1"/>
  <c r="AD66" i="7" s="1"/>
  <c r="AE66" i="7" s="1"/>
  <c r="AF66" i="7" s="1"/>
  <c r="AG66" i="7" s="1"/>
  <c r="AH66" i="7" s="1"/>
  <c r="AI66" i="7" s="1"/>
  <c r="AJ66" i="7" s="1"/>
  <c r="AK66" i="7" s="1"/>
  <c r="AL66" i="7" s="1"/>
  <c r="AM66" i="7" s="1"/>
  <c r="AN66" i="7" s="1"/>
  <c r="AO66" i="7" s="1"/>
  <c r="AP66" i="7" s="1"/>
  <c r="AQ66" i="7" s="1"/>
  <c r="AR66" i="7" s="1"/>
  <c r="AS66" i="7" s="1"/>
  <c r="AT66" i="7" s="1"/>
  <c r="AU66" i="7" s="1"/>
  <c r="AV66" i="7" s="1"/>
  <c r="AW66" i="7" s="1"/>
  <c r="AX66" i="7" s="1"/>
  <c r="AY66" i="7" s="1"/>
  <c r="AZ66" i="7" s="1"/>
  <c r="BA66" i="7" s="1"/>
  <c r="BB66" i="7" s="1"/>
  <c r="BC66" i="7" s="1"/>
  <c r="BD66" i="7" s="1"/>
  <c r="BE66" i="7" s="1"/>
  <c r="BF66" i="7" s="1"/>
  <c r="BG66" i="7" s="1"/>
  <c r="BH66" i="7" s="1"/>
  <c r="BI66" i="7" s="1"/>
  <c r="BJ66" i="7" s="1"/>
  <c r="BK66" i="7" s="1"/>
  <c r="BL66" i="7" s="1"/>
  <c r="BM66" i="7" s="1"/>
  <c r="BN66" i="7" s="1"/>
  <c r="BO66" i="7" s="1"/>
  <c r="BP66" i="7" s="1"/>
  <c r="BQ66" i="7" s="1"/>
  <c r="BR66" i="7" s="1"/>
  <c r="BS66" i="7" s="1"/>
  <c r="BT66" i="7" s="1"/>
  <c r="BU66" i="7" s="1"/>
  <c r="BV66" i="7" s="1"/>
  <c r="BW66" i="7" s="1"/>
  <c r="BX66" i="7" s="1"/>
  <c r="BY66" i="7" s="1"/>
  <c r="BZ66" i="7" s="1"/>
  <c r="CA66" i="7" s="1"/>
  <c r="CB66" i="7" s="1"/>
  <c r="CC66" i="7" s="1"/>
  <c r="CD66" i="7" s="1"/>
  <c r="CE66" i="7" s="1"/>
  <c r="CF66" i="7" s="1"/>
  <c r="CG66" i="7" s="1"/>
  <c r="CH66" i="7" s="1"/>
  <c r="E66" i="7" s="1"/>
  <c r="Y208" i="10"/>
  <c r="Y210" i="10"/>
  <c r="AK205" i="5"/>
  <c r="AK207" i="5"/>
  <c r="V62" i="7"/>
  <c r="W62" i="7" s="1"/>
  <c r="X62" i="7" s="1"/>
  <c r="Y62" i="7" s="1"/>
  <c r="Z62" i="7" s="1"/>
  <c r="AA62" i="7" s="1"/>
  <c r="AB62" i="7" s="1"/>
  <c r="AC62" i="7" s="1"/>
  <c r="AD62" i="7" s="1"/>
  <c r="AE62" i="7" s="1"/>
  <c r="AF62" i="7" s="1"/>
  <c r="AG62" i="7" s="1"/>
  <c r="AH62" i="7" s="1"/>
  <c r="AI62" i="7" s="1"/>
  <c r="AJ62" i="7" s="1"/>
  <c r="AK62" i="7" s="1"/>
  <c r="AL62" i="7" s="1"/>
  <c r="AM62" i="7" s="1"/>
  <c r="AN62" i="7" s="1"/>
  <c r="AO62" i="7" s="1"/>
  <c r="AP62" i="7" s="1"/>
  <c r="AQ62" i="7" s="1"/>
  <c r="AR62" i="7" s="1"/>
  <c r="AS62" i="7" s="1"/>
  <c r="AT62" i="7" s="1"/>
  <c r="AU62" i="7" s="1"/>
  <c r="AV62" i="7" s="1"/>
  <c r="AW62" i="7" s="1"/>
  <c r="AX62" i="7" s="1"/>
  <c r="AY62" i="7" s="1"/>
  <c r="AZ62" i="7" s="1"/>
  <c r="BA62" i="7" s="1"/>
  <c r="BB62" i="7" s="1"/>
  <c r="BC62" i="7" s="1"/>
  <c r="BD62" i="7" s="1"/>
  <c r="BE62" i="7" s="1"/>
  <c r="BF62" i="7" s="1"/>
  <c r="BG62" i="7" s="1"/>
  <c r="BH62" i="7" s="1"/>
  <c r="BI62" i="7" s="1"/>
  <c r="BJ62" i="7" s="1"/>
  <c r="BK62" i="7" s="1"/>
  <c r="BL62" i="7" s="1"/>
  <c r="BM62" i="7" s="1"/>
  <c r="BN62" i="7" s="1"/>
  <c r="BO62" i="7" s="1"/>
  <c r="BP62" i="7" s="1"/>
  <c r="BQ62" i="7" s="1"/>
  <c r="BR62" i="7" s="1"/>
  <c r="BS62" i="7" s="1"/>
  <c r="BT62" i="7" s="1"/>
  <c r="BU62" i="7" s="1"/>
  <c r="BV62" i="7" s="1"/>
  <c r="BW62" i="7" s="1"/>
  <c r="BX62" i="7" s="1"/>
  <c r="BY62" i="7" s="1"/>
  <c r="BZ62" i="7" s="1"/>
  <c r="CA62" i="7" s="1"/>
  <c r="CB62" i="7" s="1"/>
  <c r="CC62" i="7" s="1"/>
  <c r="CD62" i="7" s="1"/>
  <c r="CE62" i="7" s="1"/>
  <c r="CF62" i="7" s="1"/>
  <c r="CG62" i="7" s="1"/>
  <c r="CH62" i="7" s="1"/>
  <c r="E62" i="7" s="1"/>
  <c r="W210" i="7"/>
  <c r="AG205" i="7"/>
  <c r="AG207" i="7"/>
  <c r="X209" i="10"/>
  <c r="X42" i="10"/>
  <c r="X71" i="10" s="1"/>
  <c r="AL78" i="10" l="1"/>
  <c r="AM78" i="10" s="1"/>
  <c r="AN78" i="10" s="1"/>
  <c r="AO78" i="10" s="1"/>
  <c r="AP78" i="10" s="1"/>
  <c r="AQ78" i="10" s="1"/>
  <c r="AR78" i="10" s="1"/>
  <c r="AS78" i="10" s="1"/>
  <c r="AT78" i="10" s="1"/>
  <c r="AU78" i="10" s="1"/>
  <c r="AV78" i="10" s="1"/>
  <c r="AW78" i="10" s="1"/>
  <c r="AX78" i="10" s="1"/>
  <c r="AY78" i="10" s="1"/>
  <c r="AZ78" i="10" s="1"/>
  <c r="BA78" i="10" s="1"/>
  <c r="BB78" i="10" s="1"/>
  <c r="BC78" i="10" s="1"/>
  <c r="BD78" i="10" s="1"/>
  <c r="BE78" i="10" s="1"/>
  <c r="BF78" i="10" s="1"/>
  <c r="BG78" i="10" s="1"/>
  <c r="BH78" i="10" s="1"/>
  <c r="BI78" i="10" s="1"/>
  <c r="BJ78" i="10" s="1"/>
  <c r="BK78" i="10" s="1"/>
  <c r="BL78" i="10" s="1"/>
  <c r="BM78" i="10" s="1"/>
  <c r="BN78" i="10" s="1"/>
  <c r="BO78" i="10" s="1"/>
  <c r="BP78" i="10" s="1"/>
  <c r="BQ78" i="10" s="1"/>
  <c r="BR78" i="10" s="1"/>
  <c r="BS78" i="10" s="1"/>
  <c r="BT78" i="10" s="1"/>
  <c r="BU78" i="10" s="1"/>
  <c r="BV78" i="10" s="1"/>
  <c r="BW78" i="10" s="1"/>
  <c r="BX78" i="10" s="1"/>
  <c r="BY78" i="10" s="1"/>
  <c r="BZ78" i="10" s="1"/>
  <c r="CA78" i="10" s="1"/>
  <c r="CB78" i="10" s="1"/>
  <c r="CC78" i="10" s="1"/>
  <c r="CD78" i="10" s="1"/>
  <c r="CE78" i="10" s="1"/>
  <c r="CF78" i="10" s="1"/>
  <c r="CG78" i="10" s="1"/>
  <c r="CH78" i="10" s="1"/>
  <c r="E78" i="10" s="1"/>
  <c r="E48" i="10"/>
  <c r="AD77" i="10"/>
  <c r="AE77" i="10" s="1"/>
  <c r="AF77" i="10" s="1"/>
  <c r="AG77" i="10" s="1"/>
  <c r="AH77" i="10" s="1"/>
  <c r="AI77" i="10" s="1"/>
  <c r="AJ77" i="10" s="1"/>
  <c r="AK77" i="10" s="1"/>
  <c r="AL77" i="10" s="1"/>
  <c r="AM77" i="10" s="1"/>
  <c r="AN77" i="10" s="1"/>
  <c r="AO77" i="10" s="1"/>
  <c r="AP77" i="10" s="1"/>
  <c r="AQ77" i="10" s="1"/>
  <c r="AR77" i="10" s="1"/>
  <c r="AS77" i="10" s="1"/>
  <c r="AT77" i="10" s="1"/>
  <c r="AU77" i="10" s="1"/>
  <c r="AV77" i="10" s="1"/>
  <c r="AW77" i="10" s="1"/>
  <c r="AX77" i="10" s="1"/>
  <c r="AY77" i="10" s="1"/>
  <c r="AZ77" i="10" s="1"/>
  <c r="BA77" i="10" s="1"/>
  <c r="BB77" i="10" s="1"/>
  <c r="BC77" i="10" s="1"/>
  <c r="BD77" i="10" s="1"/>
  <c r="BE77" i="10" s="1"/>
  <c r="BF77" i="10" s="1"/>
  <c r="BG77" i="10" s="1"/>
  <c r="BH77" i="10" s="1"/>
  <c r="BI77" i="10" s="1"/>
  <c r="BJ77" i="10" s="1"/>
  <c r="BK77" i="10" s="1"/>
  <c r="BL77" i="10" s="1"/>
  <c r="BM77" i="10" s="1"/>
  <c r="BN77" i="10" s="1"/>
  <c r="BO77" i="10" s="1"/>
  <c r="BP77" i="10" s="1"/>
  <c r="BQ77" i="10" s="1"/>
  <c r="BR77" i="10" s="1"/>
  <c r="BS77" i="10" s="1"/>
  <c r="BT77" i="10" s="1"/>
  <c r="BU77" i="10" s="1"/>
  <c r="BV77" i="10" s="1"/>
  <c r="BW77" i="10" s="1"/>
  <c r="BX77" i="10" s="1"/>
  <c r="BY77" i="10" s="1"/>
  <c r="BZ77" i="10" s="1"/>
  <c r="CA77" i="10" s="1"/>
  <c r="CB77" i="10" s="1"/>
  <c r="CC77" i="10" s="1"/>
  <c r="CD77" i="10" s="1"/>
  <c r="CE77" i="10" s="1"/>
  <c r="CF77" i="10" s="1"/>
  <c r="CG77" i="10" s="1"/>
  <c r="CH77" i="10" s="1"/>
  <c r="E77" i="10" s="1"/>
  <c r="AD48" i="5"/>
  <c r="AD77" i="5" s="1"/>
  <c r="AE77" i="5" s="1"/>
  <c r="AF77" i="5" s="1"/>
  <c r="AG77" i="5" s="1"/>
  <c r="AH77" i="5" s="1"/>
  <c r="AI77" i="5" s="1"/>
  <c r="AJ77" i="5" s="1"/>
  <c r="AK77" i="5" s="1"/>
  <c r="AL77" i="5" s="1"/>
  <c r="AM77" i="5" s="1"/>
  <c r="AN77" i="5" s="1"/>
  <c r="AO77" i="5" s="1"/>
  <c r="AP77" i="5" s="1"/>
  <c r="AQ77" i="5" s="1"/>
  <c r="AR77" i="5" s="1"/>
  <c r="AS77" i="5" s="1"/>
  <c r="AT77" i="5" s="1"/>
  <c r="AU77" i="5" s="1"/>
  <c r="AV77" i="5" s="1"/>
  <c r="AW77" i="5" s="1"/>
  <c r="AX77" i="5" s="1"/>
  <c r="AY77" i="5" s="1"/>
  <c r="AZ77" i="5" s="1"/>
  <c r="BA77" i="5" s="1"/>
  <c r="BB77" i="5" s="1"/>
  <c r="BC77" i="5" s="1"/>
  <c r="BD77" i="5" s="1"/>
  <c r="BE77" i="5" s="1"/>
  <c r="BF77" i="5" s="1"/>
  <c r="BG77" i="5" s="1"/>
  <c r="BH77" i="5" s="1"/>
  <c r="BI77" i="5" s="1"/>
  <c r="BJ77" i="5" s="1"/>
  <c r="BK77" i="5" s="1"/>
  <c r="BL77" i="5" s="1"/>
  <c r="BM77" i="5" s="1"/>
  <c r="BN77" i="5" s="1"/>
  <c r="BO77" i="5" s="1"/>
  <c r="BP77" i="5" s="1"/>
  <c r="BQ77" i="5" s="1"/>
  <c r="BR77" i="5" s="1"/>
  <c r="BS77" i="5" s="1"/>
  <c r="BT77" i="5" s="1"/>
  <c r="BU77" i="5" s="1"/>
  <c r="BV77" i="5" s="1"/>
  <c r="BW77" i="5" s="1"/>
  <c r="BX77" i="5" s="1"/>
  <c r="BY77" i="5" s="1"/>
  <c r="BZ77" i="5" s="1"/>
  <c r="CA77" i="5" s="1"/>
  <c r="CB77" i="5" s="1"/>
  <c r="CC77" i="5" s="1"/>
  <c r="CD77" i="5" s="1"/>
  <c r="CE77" i="5" s="1"/>
  <c r="CF77" i="5" s="1"/>
  <c r="CG77" i="5" s="1"/>
  <c r="CH77" i="5" s="1"/>
  <c r="E77" i="5" s="1"/>
  <c r="AT206" i="5"/>
  <c r="AT204" i="5"/>
  <c r="AT43" i="5"/>
  <c r="AT49" i="5"/>
  <c r="AH204" i="5"/>
  <c r="AD43" i="5"/>
  <c r="AD24" i="5" s="1"/>
  <c r="AL204" i="5"/>
  <c r="AH43" i="5"/>
  <c r="AH24" i="5" s="1"/>
  <c r="AD204" i="5"/>
  <c r="AL49" i="5"/>
  <c r="AL206" i="5"/>
  <c r="AL43" i="5"/>
  <c r="AL24" i="5" s="1"/>
  <c r="AH49" i="5"/>
  <c r="AH78" i="5" s="1"/>
  <c r="AI78" i="5" s="1"/>
  <c r="AJ78" i="5" s="1"/>
  <c r="AK78" i="5" s="1"/>
  <c r="AH206" i="5"/>
  <c r="E37" i="5"/>
  <c r="Y72" i="10"/>
  <c r="X208" i="7"/>
  <c r="X210" i="7" s="1"/>
  <c r="AD48" i="7"/>
  <c r="AD77" i="7" s="1"/>
  <c r="AE77" i="7" s="1"/>
  <c r="AF77" i="7" s="1"/>
  <c r="AG77" i="7" s="1"/>
  <c r="AH77" i="7" s="1"/>
  <c r="AI77" i="7" s="1"/>
  <c r="AJ77" i="7" s="1"/>
  <c r="AK77" i="7" s="1"/>
  <c r="AL77" i="7" s="1"/>
  <c r="AM77" i="7" s="1"/>
  <c r="AN77" i="7" s="1"/>
  <c r="AO77" i="7" s="1"/>
  <c r="AP77" i="7" s="1"/>
  <c r="AQ77" i="7" s="1"/>
  <c r="AR77" i="7" s="1"/>
  <c r="AS77" i="7" s="1"/>
  <c r="AT77" i="7" s="1"/>
  <c r="AU77" i="7" s="1"/>
  <c r="AV77" i="7" s="1"/>
  <c r="AW77" i="7" s="1"/>
  <c r="AX77" i="7" s="1"/>
  <c r="AY77" i="7" s="1"/>
  <c r="AZ77" i="7" s="1"/>
  <c r="BA77" i="7" s="1"/>
  <c r="BB77" i="7" s="1"/>
  <c r="BC77" i="7" s="1"/>
  <c r="BD77" i="7" s="1"/>
  <c r="BE77" i="7" s="1"/>
  <c r="BF77" i="7" s="1"/>
  <c r="BG77" i="7" s="1"/>
  <c r="BH77" i="7" s="1"/>
  <c r="BI77" i="7" s="1"/>
  <c r="BJ77" i="7" s="1"/>
  <c r="BK77" i="7" s="1"/>
  <c r="BL77" i="7" s="1"/>
  <c r="BM77" i="7" s="1"/>
  <c r="BN77" i="7" s="1"/>
  <c r="BO77" i="7" s="1"/>
  <c r="BP77" i="7" s="1"/>
  <c r="BQ77" i="7" s="1"/>
  <c r="BR77" i="7" s="1"/>
  <c r="BS77" i="7" s="1"/>
  <c r="BT77" i="7" s="1"/>
  <c r="BU77" i="7" s="1"/>
  <c r="BV77" i="7" s="1"/>
  <c r="BW77" i="7" s="1"/>
  <c r="BX77" i="7" s="1"/>
  <c r="BY77" i="7" s="1"/>
  <c r="BZ77" i="7" s="1"/>
  <c r="CA77" i="7" s="1"/>
  <c r="CB77" i="7" s="1"/>
  <c r="CC77" i="7" s="1"/>
  <c r="CD77" i="7" s="1"/>
  <c r="CE77" i="7" s="1"/>
  <c r="CF77" i="7" s="1"/>
  <c r="CG77" i="7" s="1"/>
  <c r="CH77" i="7" s="1"/>
  <c r="E77" i="7" s="1"/>
  <c r="AT206" i="7"/>
  <c r="AT43" i="7"/>
  <c r="AT204" i="7"/>
  <c r="AT49" i="7"/>
  <c r="AH204" i="7"/>
  <c r="AL49" i="7"/>
  <c r="AH206" i="7"/>
  <c r="AL43" i="7"/>
  <c r="AL24" i="7" s="1"/>
  <c r="AH49" i="7"/>
  <c r="AH78" i="7" s="1"/>
  <c r="AI78" i="7" s="1"/>
  <c r="AJ78" i="7" s="1"/>
  <c r="AK78" i="7" s="1"/>
  <c r="AD43" i="7"/>
  <c r="AD24" i="7" s="1"/>
  <c r="AH43" i="7"/>
  <c r="AH24" i="7" s="1"/>
  <c r="AL206" i="7"/>
  <c r="AD204" i="7"/>
  <c r="AL204" i="7"/>
  <c r="E37" i="7"/>
  <c r="E204" i="10"/>
  <c r="F27" i="3" s="1"/>
  <c r="AH205" i="10"/>
  <c r="AH207" i="10"/>
  <c r="Z208" i="10"/>
  <c r="Z210" i="10" s="1"/>
  <c r="W209" i="5"/>
  <c r="W42" i="5"/>
  <c r="W71" i="5" s="1"/>
  <c r="E49" i="10"/>
  <c r="AL205" i="10"/>
  <c r="AL207" i="10"/>
  <c r="Y72" i="7"/>
  <c r="Y209" i="10"/>
  <c r="Y42" i="10"/>
  <c r="Y71" i="10" s="1"/>
  <c r="W210" i="5"/>
  <c r="AT24" i="10"/>
  <c r="E24" i="10" s="1"/>
  <c r="E43" i="10"/>
  <c r="E123" i="3" s="1"/>
  <c r="AT205" i="10"/>
  <c r="AT207" i="10"/>
  <c r="E206" i="10"/>
  <c r="F28" i="3" s="1"/>
  <c r="Y72" i="5"/>
  <c r="AL78" i="7" l="1"/>
  <c r="AM78" i="7" s="1"/>
  <c r="AN78" i="7" s="1"/>
  <c r="AO78" i="7" s="1"/>
  <c r="AP78" i="7" s="1"/>
  <c r="AQ78" i="7" s="1"/>
  <c r="AR78" i="7" s="1"/>
  <c r="AS78" i="7" s="1"/>
  <c r="E205" i="10"/>
  <c r="E49" i="7"/>
  <c r="AL78" i="5"/>
  <c r="AM78" i="5" s="1"/>
  <c r="AN78" i="5" s="1"/>
  <c r="AO78" i="5" s="1"/>
  <c r="AP78" i="5" s="1"/>
  <c r="AQ78" i="5" s="1"/>
  <c r="AR78" i="5" s="1"/>
  <c r="AS78" i="5" s="1"/>
  <c r="AT78" i="5" s="1"/>
  <c r="AU78" i="5" s="1"/>
  <c r="AV78" i="5" s="1"/>
  <c r="AW78" i="5" s="1"/>
  <c r="AX78" i="5" s="1"/>
  <c r="AY78" i="5" s="1"/>
  <c r="AZ78" i="5" s="1"/>
  <c r="BA78" i="5" s="1"/>
  <c r="BB78" i="5" s="1"/>
  <c r="BC78" i="5" s="1"/>
  <c r="BD78" i="5" s="1"/>
  <c r="BE78" i="5" s="1"/>
  <c r="BF78" i="5" s="1"/>
  <c r="BG78" i="5" s="1"/>
  <c r="BH78" i="5" s="1"/>
  <c r="BI78" i="5" s="1"/>
  <c r="BJ78" i="5" s="1"/>
  <c r="BK78" i="5" s="1"/>
  <c r="BL78" i="5" s="1"/>
  <c r="BM78" i="5" s="1"/>
  <c r="BN78" i="5" s="1"/>
  <c r="BO78" i="5" s="1"/>
  <c r="BP78" i="5" s="1"/>
  <c r="BQ78" i="5" s="1"/>
  <c r="BR78" i="5" s="1"/>
  <c r="BS78" i="5" s="1"/>
  <c r="BT78" i="5" s="1"/>
  <c r="BU78" i="5" s="1"/>
  <c r="BV78" i="5" s="1"/>
  <c r="BW78" i="5" s="1"/>
  <c r="BX78" i="5" s="1"/>
  <c r="BY78" i="5" s="1"/>
  <c r="BZ78" i="5" s="1"/>
  <c r="CA78" i="5" s="1"/>
  <c r="CB78" i="5" s="1"/>
  <c r="CC78" i="5" s="1"/>
  <c r="CD78" i="5" s="1"/>
  <c r="CE78" i="5" s="1"/>
  <c r="CF78" i="5" s="1"/>
  <c r="CG78" i="5" s="1"/>
  <c r="CH78" i="5" s="1"/>
  <c r="E78" i="5" s="1"/>
  <c r="Y208" i="7"/>
  <c r="AT78" i="7"/>
  <c r="AU78" i="7" s="1"/>
  <c r="AV78" i="7" s="1"/>
  <c r="AW78" i="7" s="1"/>
  <c r="AX78" i="7" s="1"/>
  <c r="AY78" i="7" s="1"/>
  <c r="AZ78" i="7" s="1"/>
  <c r="BA78" i="7" s="1"/>
  <c r="BB78" i="7" s="1"/>
  <c r="BC78" i="7" s="1"/>
  <c r="BD78" i="7" s="1"/>
  <c r="BE78" i="7" s="1"/>
  <c r="BF78" i="7" s="1"/>
  <c r="BG78" i="7" s="1"/>
  <c r="BH78" i="7" s="1"/>
  <c r="BI78" i="7" s="1"/>
  <c r="BJ78" i="7" s="1"/>
  <c r="BK78" i="7" s="1"/>
  <c r="BL78" i="7" s="1"/>
  <c r="BM78" i="7" s="1"/>
  <c r="BN78" i="7" s="1"/>
  <c r="BO78" i="7" s="1"/>
  <c r="BP78" i="7" s="1"/>
  <c r="BQ78" i="7" s="1"/>
  <c r="BR78" i="7" s="1"/>
  <c r="BS78" i="7" s="1"/>
  <c r="BT78" i="7" s="1"/>
  <c r="BU78" i="7" s="1"/>
  <c r="BV78" i="7" s="1"/>
  <c r="BW78" i="7" s="1"/>
  <c r="BX78" i="7" s="1"/>
  <c r="BY78" i="7" s="1"/>
  <c r="BZ78" i="7" s="1"/>
  <c r="CA78" i="7" s="1"/>
  <c r="CB78" i="7" s="1"/>
  <c r="CC78" i="7" s="1"/>
  <c r="CD78" i="7" s="1"/>
  <c r="CE78" i="7" s="1"/>
  <c r="CF78" i="7" s="1"/>
  <c r="CG78" i="7" s="1"/>
  <c r="CH78" i="7" s="1"/>
  <c r="E78" i="7" s="1"/>
  <c r="Z72" i="5"/>
  <c r="E204" i="5"/>
  <c r="F27" i="4" s="1"/>
  <c r="Z72" i="7"/>
  <c r="AT205" i="5"/>
  <c r="AT207" i="5"/>
  <c r="E206" i="5"/>
  <c r="F28" i="4" s="1"/>
  <c r="Z72" i="10"/>
  <c r="E48" i="5"/>
  <c r="AL205" i="7"/>
  <c r="AL207" i="7"/>
  <c r="Z209" i="10"/>
  <c r="Z42" i="10"/>
  <c r="Z71" i="10" s="1"/>
  <c r="E207" i="10"/>
  <c r="AA208" i="10"/>
  <c r="AA210" i="10" s="1"/>
  <c r="E204" i="7"/>
  <c r="F27" i="6" s="1"/>
  <c r="AH205" i="5"/>
  <c r="AH207" i="5"/>
  <c r="AT205" i="7"/>
  <c r="AT207" i="7"/>
  <c r="E206" i="7"/>
  <c r="F28" i="6" s="1"/>
  <c r="X208" i="5"/>
  <c r="X210" i="5" s="1"/>
  <c r="E48" i="7"/>
  <c r="E49" i="5"/>
  <c r="AT24" i="7"/>
  <c r="E24" i="7" s="1"/>
  <c r="E43" i="7"/>
  <c r="E123" i="6" s="1"/>
  <c r="AH205" i="7"/>
  <c r="AH207" i="7"/>
  <c r="X209" i="7"/>
  <c r="X42" i="7"/>
  <c r="X71" i="7" s="1"/>
  <c r="AL205" i="5"/>
  <c r="AL207" i="5"/>
  <c r="AT24" i="5"/>
  <c r="E24" i="5" s="1"/>
  <c r="E43" i="5"/>
  <c r="E123" i="4" s="1"/>
  <c r="E207" i="5" l="1"/>
  <c r="Y208" i="5"/>
  <c r="AA72" i="10"/>
  <c r="AA72" i="5"/>
  <c r="E205" i="7"/>
  <c r="X209" i="5"/>
  <c r="X42" i="5"/>
  <c r="X71" i="5" s="1"/>
  <c r="AA209" i="10"/>
  <c r="AA42" i="10"/>
  <c r="AA71" i="10" s="1"/>
  <c r="AB208" i="10"/>
  <c r="E207" i="7"/>
  <c r="E205" i="5"/>
  <c r="Y209" i="7"/>
  <c r="Y42" i="7"/>
  <c r="Y71" i="7" s="1"/>
  <c r="AA72" i="7"/>
  <c r="Y210" i="7"/>
  <c r="AB209" i="10" l="1"/>
  <c r="AB42" i="10"/>
  <c r="AB71" i="10" s="1"/>
  <c r="Y209" i="5"/>
  <c r="Y42" i="5"/>
  <c r="Y71" i="5" s="1"/>
  <c r="Y210" i="5"/>
  <c r="AB72" i="5"/>
  <c r="Z208" i="7"/>
  <c r="AB72" i="7"/>
  <c r="AB210" i="10"/>
  <c r="AB72" i="10"/>
  <c r="AC72" i="10" l="1"/>
  <c r="Z209" i="7"/>
  <c r="Z42" i="7"/>
  <c r="Z71" i="7" s="1"/>
  <c r="Z210" i="7"/>
  <c r="Z208" i="5"/>
  <c r="Z210" i="5" s="1"/>
  <c r="AC208" i="10"/>
  <c r="AC210" i="10" s="1"/>
  <c r="AC72" i="7"/>
  <c r="AC72" i="5"/>
  <c r="AD208" i="10" l="1"/>
  <c r="AD210" i="10" s="1"/>
  <c r="AA208" i="5"/>
  <c r="AA208" i="7"/>
  <c r="AA210" i="7" s="1"/>
  <c r="AD72" i="5"/>
  <c r="AD72" i="7"/>
  <c r="AD72" i="10"/>
  <c r="AC209" i="10"/>
  <c r="AC42" i="10"/>
  <c r="AC71" i="10" s="1"/>
  <c r="Z209" i="5"/>
  <c r="Z42" i="5"/>
  <c r="Z71" i="5" s="1"/>
  <c r="AB208" i="7" l="1"/>
  <c r="AA209" i="5"/>
  <c r="AA42" i="5"/>
  <c r="AA71" i="5" s="1"/>
  <c r="AE72" i="10"/>
  <c r="AE72" i="7"/>
  <c r="AE208" i="10"/>
  <c r="AE210" i="10" s="1"/>
  <c r="AA209" i="7"/>
  <c r="AA42" i="7"/>
  <c r="AA71" i="7" s="1"/>
  <c r="AA210" i="5"/>
  <c r="AE72" i="5"/>
  <c r="AD209" i="10"/>
  <c r="AD42" i="10"/>
  <c r="AD71" i="10" s="1"/>
  <c r="AF72" i="5" l="1"/>
  <c r="AF72" i="7"/>
  <c r="AB208" i="5"/>
  <c r="AB210" i="5" s="1"/>
  <c r="AF72" i="10"/>
  <c r="AB71" i="7"/>
  <c r="AF208" i="10"/>
  <c r="AF210" i="10" s="1"/>
  <c r="AE209" i="10"/>
  <c r="AE42" i="10"/>
  <c r="AE71" i="10" s="1"/>
  <c r="AB209" i="7"/>
  <c r="AB42" i="7"/>
  <c r="AB210" i="7"/>
  <c r="AB209" i="5" l="1"/>
  <c r="AB42" i="5"/>
  <c r="AB71" i="5" s="1"/>
  <c r="AG72" i="7"/>
  <c r="AC208" i="5"/>
  <c r="AC210" i="5" s="1"/>
  <c r="AG208" i="10"/>
  <c r="AG210" i="10" s="1"/>
  <c r="AF209" i="10"/>
  <c r="AF42" i="10"/>
  <c r="AF71" i="10" s="1"/>
  <c r="AC208" i="7"/>
  <c r="AG72" i="5"/>
  <c r="AG72" i="10"/>
  <c r="AD208" i="5" l="1"/>
  <c r="AC209" i="7"/>
  <c r="AC42" i="7"/>
  <c r="AC71" i="7" s="1"/>
  <c r="AH208" i="10"/>
  <c r="AH210" i="10" s="1"/>
  <c r="AH72" i="5"/>
  <c r="AC209" i="5"/>
  <c r="AC42" i="5"/>
  <c r="AC71" i="5" s="1"/>
  <c r="AC210" i="7"/>
  <c r="AH72" i="7"/>
  <c r="AH72" i="10"/>
  <c r="AG209" i="10"/>
  <c r="AG42" i="10"/>
  <c r="AG71" i="10" s="1"/>
  <c r="AI208" i="10" l="1"/>
  <c r="AD208" i="7"/>
  <c r="AD210" i="7" s="1"/>
  <c r="AI72" i="7"/>
  <c r="AD209" i="5"/>
  <c r="AD42" i="5"/>
  <c r="AD71" i="5" s="1"/>
  <c r="AI72" i="5"/>
  <c r="AD210" i="5"/>
  <c r="AH209" i="10"/>
  <c r="AH42" i="10"/>
  <c r="AH71" i="10" s="1"/>
  <c r="AI72" i="10"/>
  <c r="AE208" i="7" l="1"/>
  <c r="AE210" i="7" s="1"/>
  <c r="AJ72" i="7"/>
  <c r="AE208" i="5"/>
  <c r="AJ72" i="5"/>
  <c r="AJ72" i="10"/>
  <c r="AD209" i="7"/>
  <c r="AD42" i="7"/>
  <c r="AD71" i="7" s="1"/>
  <c r="AI209" i="10"/>
  <c r="AI42" i="10"/>
  <c r="AI71" i="10" s="1"/>
  <c r="AI210" i="10"/>
  <c r="AF208" i="7" l="1"/>
  <c r="AE209" i="5"/>
  <c r="AE42" i="5"/>
  <c r="AE71" i="5" s="1"/>
  <c r="AK72" i="10"/>
  <c r="AE71" i="7"/>
  <c r="AE210" i="5"/>
  <c r="AK72" i="7"/>
  <c r="AE209" i="7"/>
  <c r="AE42" i="7"/>
  <c r="AK72" i="5"/>
  <c r="AJ208" i="10"/>
  <c r="AJ210" i="10" s="1"/>
  <c r="AK208" i="10" l="1"/>
  <c r="AL72" i="10"/>
  <c r="AL72" i="5"/>
  <c r="AL72" i="7"/>
  <c r="AF209" i="7"/>
  <c r="AF42" i="7"/>
  <c r="AF71" i="7" s="1"/>
  <c r="AF210" i="7"/>
  <c r="AJ209" i="10"/>
  <c r="AJ42" i="10"/>
  <c r="AJ71" i="10" s="1"/>
  <c r="AF208" i="5"/>
  <c r="AF210" i="5" s="1"/>
  <c r="AG208" i="5" l="1"/>
  <c r="AM72" i="5"/>
  <c r="AG208" i="7"/>
  <c r="AM72" i="10"/>
  <c r="AM72" i="7"/>
  <c r="AK209" i="10"/>
  <c r="AK42" i="10"/>
  <c r="AK71" i="10" s="1"/>
  <c r="AF209" i="5"/>
  <c r="AF42" i="5"/>
  <c r="AF71" i="5" s="1"/>
  <c r="AK210" i="10"/>
  <c r="AG209" i="7" l="1"/>
  <c r="AG42" i="7"/>
  <c r="AG71" i="7" s="1"/>
  <c r="AN72" i="5"/>
  <c r="AG210" i="7"/>
  <c r="AN72" i="7"/>
  <c r="AG209" i="5"/>
  <c r="AG42" i="5"/>
  <c r="AG71" i="5" s="1"/>
  <c r="AL208" i="10"/>
  <c r="AN72" i="10"/>
  <c r="AG210" i="5"/>
  <c r="AL209" i="10" l="1"/>
  <c r="AL42" i="10"/>
  <c r="AL71" i="10" s="1"/>
  <c r="AH208" i="5"/>
  <c r="AH210" i="5" s="1"/>
  <c r="AO72" i="10"/>
  <c r="AO72" i="5"/>
  <c r="AO72" i="7"/>
  <c r="AH208" i="7"/>
  <c r="AH210" i="7" s="1"/>
  <c r="AL210" i="10"/>
  <c r="AI208" i="7" l="1"/>
  <c r="AI208" i="5"/>
  <c r="AP72" i="10"/>
  <c r="AH209" i="7"/>
  <c r="AH42" i="7"/>
  <c r="AH71" i="7" s="1"/>
  <c r="AM208" i="10"/>
  <c r="AM210" i="10" s="1"/>
  <c r="AP72" i="7"/>
  <c r="AP72" i="5"/>
  <c r="AH209" i="5"/>
  <c r="AH42" i="5"/>
  <c r="AH71" i="5" s="1"/>
  <c r="AQ72" i="7" l="1"/>
  <c r="AQ72" i="5"/>
  <c r="AN208" i="10"/>
  <c r="AI209" i="7"/>
  <c r="AI42" i="7"/>
  <c r="AI71" i="7" s="1"/>
  <c r="AQ72" i="10"/>
  <c r="AI209" i="5"/>
  <c r="AI42" i="5"/>
  <c r="AI71" i="5" s="1"/>
  <c r="AI210" i="5"/>
  <c r="AM209" i="10"/>
  <c r="AM42" i="10"/>
  <c r="AM71" i="10" s="1"/>
  <c r="AI210" i="7"/>
  <c r="AN209" i="10" l="1"/>
  <c r="AN42" i="10"/>
  <c r="AN71" i="10" s="1"/>
  <c r="AR72" i="10"/>
  <c r="AJ208" i="5"/>
  <c r="AR72" i="5"/>
  <c r="AJ208" i="7"/>
  <c r="AN210" i="10"/>
  <c r="AR72" i="7"/>
  <c r="AJ209" i="5" l="1"/>
  <c r="AJ42" i="5"/>
  <c r="AJ71" i="5" s="1"/>
  <c r="AJ209" i="7"/>
  <c r="AJ42" i="7"/>
  <c r="AJ71" i="7" s="1"/>
  <c r="AS72" i="5"/>
  <c r="AS72" i="7"/>
  <c r="AJ210" i="5"/>
  <c r="AS72" i="10"/>
  <c r="AO208" i="10"/>
  <c r="AJ210" i="7"/>
  <c r="AO209" i="10" l="1"/>
  <c r="AO42" i="10"/>
  <c r="AO71" i="10" s="1"/>
  <c r="AK208" i="5"/>
  <c r="AK208" i="7"/>
  <c r="AO210" i="10"/>
  <c r="AT72" i="5"/>
  <c r="AT72" i="10"/>
  <c r="AT72" i="7"/>
  <c r="AU72" i="7" l="1"/>
  <c r="AP208" i="10"/>
  <c r="AP210" i="10" s="1"/>
  <c r="AK209" i="5"/>
  <c r="AK42" i="5"/>
  <c r="AK71" i="5" s="1"/>
  <c r="AK210" i="5"/>
  <c r="AU72" i="10"/>
  <c r="AK209" i="7"/>
  <c r="AK42" i="7"/>
  <c r="AK71" i="7" s="1"/>
  <c r="AK210" i="7"/>
  <c r="AU72" i="5"/>
  <c r="AV72" i="10" l="1"/>
  <c r="AL208" i="5"/>
  <c r="AV72" i="5"/>
  <c r="AL208" i="7"/>
  <c r="AQ208" i="10"/>
  <c r="AQ210" i="10" s="1"/>
  <c r="AP209" i="10"/>
  <c r="AP42" i="10"/>
  <c r="AP71" i="10" s="1"/>
  <c r="AV72" i="7"/>
  <c r="AW72" i="7" l="1"/>
  <c r="AQ209" i="10"/>
  <c r="AQ42" i="10"/>
  <c r="AQ71" i="10" s="1"/>
  <c r="AW72" i="5"/>
  <c r="AL209" i="5"/>
  <c r="AL42" i="5"/>
  <c r="AL71" i="5" s="1"/>
  <c r="AL210" i="5"/>
  <c r="AR208" i="10"/>
  <c r="AL209" i="7"/>
  <c r="AL42" i="7"/>
  <c r="AL71" i="7" s="1"/>
  <c r="AL210" i="7"/>
  <c r="AW72" i="10"/>
  <c r="AX72" i="10" l="1"/>
  <c r="AX72" i="5"/>
  <c r="AM208" i="7"/>
  <c r="AM210" i="7" s="1"/>
  <c r="AR209" i="10"/>
  <c r="AR42" i="10"/>
  <c r="AR71" i="10" s="1"/>
  <c r="AR210" i="10"/>
  <c r="AM208" i="5"/>
  <c r="AX72" i="7"/>
  <c r="AN208" i="7" l="1"/>
  <c r="AY72" i="7"/>
  <c r="AY72" i="5"/>
  <c r="AM209" i="7"/>
  <c r="AM42" i="7"/>
  <c r="AM71" i="7" s="1"/>
  <c r="AM209" i="5"/>
  <c r="AM42" i="5"/>
  <c r="AM71" i="5" s="1"/>
  <c r="AM210" i="5"/>
  <c r="AS208" i="10"/>
  <c r="AY72" i="10"/>
  <c r="AZ72" i="10" l="1"/>
  <c r="AS209" i="10"/>
  <c r="AS42" i="10"/>
  <c r="AS71" i="10" s="1"/>
  <c r="AZ72" i="5"/>
  <c r="AS210" i="10"/>
  <c r="AN208" i="5"/>
  <c r="AN210" i="5" s="1"/>
  <c r="AZ72" i="7"/>
  <c r="AN209" i="7"/>
  <c r="AN42" i="7"/>
  <c r="AN210" i="7"/>
  <c r="AN71" i="7"/>
  <c r="AO208" i="5" l="1"/>
  <c r="AO208" i="7"/>
  <c r="AO210" i="7" s="1"/>
  <c r="BA72" i="5"/>
  <c r="BA72" i="7"/>
  <c r="AT208" i="10"/>
  <c r="BA72" i="10"/>
  <c r="AN209" i="5"/>
  <c r="AN42" i="5"/>
  <c r="AN71" i="5" s="1"/>
  <c r="AP208" i="7" l="1"/>
  <c r="BB72" i="10"/>
  <c r="BB72" i="5"/>
  <c r="AT209" i="10"/>
  <c r="AT42" i="10"/>
  <c r="AT71" i="10" s="1"/>
  <c r="AO209" i="5"/>
  <c r="AO42" i="5"/>
  <c r="AO71" i="5" s="1"/>
  <c r="AO209" i="7"/>
  <c r="AO42" i="7"/>
  <c r="AO71" i="7" s="1"/>
  <c r="AT210" i="10"/>
  <c r="BB72" i="7"/>
  <c r="AO210" i="5"/>
  <c r="BC72" i="5" l="1"/>
  <c r="BC72" i="7"/>
  <c r="BC72" i="10"/>
  <c r="AU208" i="10"/>
  <c r="AP209" i="7"/>
  <c r="AP42" i="7"/>
  <c r="AP71" i="7" s="1"/>
  <c r="AP208" i="5"/>
  <c r="AP210" i="7"/>
  <c r="AU209" i="10" l="1"/>
  <c r="AU42" i="10"/>
  <c r="AU71" i="10" s="1"/>
  <c r="BD72" i="10"/>
  <c r="AQ208" i="7"/>
  <c r="AP209" i="5"/>
  <c r="AP42" i="5"/>
  <c r="AP71" i="5" s="1"/>
  <c r="AP210" i="5"/>
  <c r="BD72" i="7"/>
  <c r="BD72" i="5"/>
  <c r="AU210" i="10"/>
  <c r="BE72" i="5" l="1"/>
  <c r="AV208" i="10"/>
  <c r="AV210" i="10"/>
  <c r="AQ209" i="7"/>
  <c r="AQ42" i="7"/>
  <c r="AQ71" i="7" s="1"/>
  <c r="AQ210" i="7"/>
  <c r="BE72" i="10"/>
  <c r="BE72" i="7"/>
  <c r="AQ208" i="5"/>
  <c r="AQ210" i="5" s="1"/>
  <c r="AQ209" i="5" l="1"/>
  <c r="AQ42" i="5"/>
  <c r="AQ71" i="5" s="1"/>
  <c r="AR208" i="7"/>
  <c r="AR208" i="5"/>
  <c r="AW208" i="10"/>
  <c r="AW210" i="10" s="1"/>
  <c r="BF72" i="5"/>
  <c r="BF72" i="7"/>
  <c r="AV209" i="10"/>
  <c r="AV42" i="10"/>
  <c r="AV71" i="10" s="1"/>
  <c r="BF72" i="10"/>
  <c r="AR209" i="7" l="1"/>
  <c r="AR42" i="7"/>
  <c r="AR71" i="7" s="1"/>
  <c r="AW209" i="10"/>
  <c r="AW42" i="10"/>
  <c r="AW71" i="10" s="1"/>
  <c r="AR209" i="5"/>
  <c r="AR42" i="5"/>
  <c r="AR71" i="5" s="1"/>
  <c r="BG72" i="7"/>
  <c r="AR210" i="7"/>
  <c r="BG72" i="5"/>
  <c r="AX208" i="10"/>
  <c r="AR210" i="5"/>
  <c r="BG72" i="10"/>
  <c r="AS208" i="5" l="1"/>
  <c r="AS210" i="5" s="1"/>
  <c r="AX209" i="10"/>
  <c r="AX42" i="10"/>
  <c r="AX71" i="10" s="1"/>
  <c r="AX210" i="10"/>
  <c r="BH72" i="5"/>
  <c r="AS208" i="7"/>
  <c r="AS210" i="7" s="1"/>
  <c r="BH72" i="10"/>
  <c r="BH72" i="7"/>
  <c r="AT208" i="5" l="1"/>
  <c r="AS209" i="7"/>
  <c r="AS42" i="7"/>
  <c r="AS71" i="7" s="1"/>
  <c r="BI72" i="7"/>
  <c r="AT208" i="7"/>
  <c r="AT210" i="7" s="1"/>
  <c r="BI72" i="10"/>
  <c r="AY208" i="10"/>
  <c r="AY210" i="10" s="1"/>
  <c r="AS209" i="5"/>
  <c r="AS42" i="5"/>
  <c r="AS71" i="5" s="1"/>
  <c r="BI72" i="5"/>
  <c r="AZ208" i="10" l="1"/>
  <c r="AT209" i="5"/>
  <c r="AT42" i="5"/>
  <c r="AT71" i="5" s="1"/>
  <c r="AU208" i="7"/>
  <c r="AT210" i="5"/>
  <c r="BJ72" i="5"/>
  <c r="BJ72" i="7"/>
  <c r="AY209" i="10"/>
  <c r="AY42" i="10"/>
  <c r="AY71" i="10" s="1"/>
  <c r="BJ72" i="10"/>
  <c r="AT209" i="7"/>
  <c r="AT42" i="7"/>
  <c r="AT71" i="7" s="1"/>
  <c r="BK72" i="10" l="1"/>
  <c r="AU209" i="7"/>
  <c r="AU42" i="7"/>
  <c r="AU71" i="7" s="1"/>
  <c r="BK72" i="5"/>
  <c r="AU210" i="7"/>
  <c r="AZ209" i="10"/>
  <c r="AZ42" i="10"/>
  <c r="AZ71" i="10" s="1"/>
  <c r="BK72" i="7"/>
  <c r="AU208" i="5"/>
  <c r="AU210" i="5" s="1"/>
  <c r="AZ210" i="10"/>
  <c r="AV208" i="5" l="1"/>
  <c r="BL72" i="5"/>
  <c r="AU209" i="5"/>
  <c r="AU42" i="5"/>
  <c r="AU71" i="5" s="1"/>
  <c r="BL72" i="7"/>
  <c r="BL72" i="10"/>
  <c r="BA208" i="10"/>
  <c r="AV208" i="7"/>
  <c r="AV209" i="7" l="1"/>
  <c r="AV42" i="7"/>
  <c r="AV71" i="7" s="1"/>
  <c r="BA209" i="10"/>
  <c r="BA42" i="10"/>
  <c r="BA71" i="10" s="1"/>
  <c r="AV209" i="5"/>
  <c r="AV42" i="5"/>
  <c r="AV71" i="5" s="1"/>
  <c r="AV210" i="7"/>
  <c r="BA210" i="10"/>
  <c r="AV210" i="5"/>
  <c r="BM72" i="5"/>
  <c r="BM72" i="10"/>
  <c r="BM72" i="7"/>
  <c r="BB208" i="10" l="1"/>
  <c r="BB210" i="10" s="1"/>
  <c r="BN72" i="5"/>
  <c r="BN72" i="7"/>
  <c r="AW208" i="7"/>
  <c r="AW210" i="7" s="1"/>
  <c r="BN72" i="10"/>
  <c r="AW208" i="5"/>
  <c r="AW210" i="5" s="1"/>
  <c r="AX208" i="5" l="1"/>
  <c r="AX208" i="7"/>
  <c r="AX210" i="7" s="1"/>
  <c r="AW42" i="5"/>
  <c r="AW71" i="5" s="1"/>
  <c r="AW209" i="5"/>
  <c r="BO72" i="5"/>
  <c r="BC208" i="10"/>
  <c r="BC210" i="10" s="1"/>
  <c r="BB209" i="10"/>
  <c r="BB42" i="10"/>
  <c r="BB71" i="10" s="1"/>
  <c r="BO72" i="7"/>
  <c r="BO72" i="10"/>
  <c r="AW209" i="7"/>
  <c r="AW42" i="7"/>
  <c r="AW71" i="7" s="1"/>
  <c r="AY208" i="7" l="1"/>
  <c r="BP72" i="10"/>
  <c r="BP72" i="5"/>
  <c r="BP72" i="7"/>
  <c r="BD208" i="10"/>
  <c r="BD210" i="10" s="1"/>
  <c r="AX209" i="5"/>
  <c r="AX42" i="5"/>
  <c r="AX71" i="5" s="1"/>
  <c r="AX209" i="7"/>
  <c r="AX42" i="7"/>
  <c r="AX71" i="7" s="1"/>
  <c r="BC209" i="10"/>
  <c r="BC42" i="10"/>
  <c r="BC71" i="10" s="1"/>
  <c r="AX210" i="5"/>
  <c r="BE208" i="10" l="1"/>
  <c r="BE210" i="10" s="1"/>
  <c r="BQ72" i="7"/>
  <c r="BQ72" i="5"/>
  <c r="AY208" i="5"/>
  <c r="BQ72" i="10"/>
  <c r="AY209" i="7"/>
  <c r="AY42" i="7"/>
  <c r="AY71" i="7" s="1"/>
  <c r="BD209" i="10"/>
  <c r="BD42" i="10"/>
  <c r="BD71" i="10" s="1"/>
  <c r="AY210" i="7"/>
  <c r="BF208" i="10" l="1"/>
  <c r="BF210" i="10"/>
  <c r="BR72" i="5"/>
  <c r="AY209" i="5"/>
  <c r="AY42" i="5"/>
  <c r="AY71" i="5" s="1"/>
  <c r="BR72" i="7"/>
  <c r="AZ208" i="7"/>
  <c r="AY210" i="5"/>
  <c r="BR72" i="10"/>
  <c r="BE209" i="10"/>
  <c r="BE42" i="10"/>
  <c r="BE71" i="10" s="1"/>
  <c r="BS72" i="10" l="1"/>
  <c r="BS72" i="5"/>
  <c r="AZ208" i="5"/>
  <c r="AZ210" i="5" s="1"/>
  <c r="AZ209" i="7"/>
  <c r="AZ42" i="7"/>
  <c r="AZ71" i="7" s="1"/>
  <c r="BG208" i="10"/>
  <c r="AZ210" i="7"/>
  <c r="BF209" i="10"/>
  <c r="BF42" i="10"/>
  <c r="BF71" i="10" s="1"/>
  <c r="BS72" i="7"/>
  <c r="BA208" i="5" l="1"/>
  <c r="BT72" i="7"/>
  <c r="BA208" i="7"/>
  <c r="AZ209" i="5"/>
  <c r="AZ42" i="5"/>
  <c r="AZ71" i="5" s="1"/>
  <c r="BT72" i="5"/>
  <c r="BG209" i="10"/>
  <c r="BG42" i="10"/>
  <c r="BG71" i="10" s="1"/>
  <c r="BG210" i="10"/>
  <c r="BT72" i="10"/>
  <c r="BU72" i="10" l="1"/>
  <c r="BH208" i="10"/>
  <c r="BA209" i="7"/>
  <c r="BA42" i="7"/>
  <c r="BA71" i="7" s="1"/>
  <c r="BU72" i="7"/>
  <c r="BU72" i="5"/>
  <c r="BA209" i="5"/>
  <c r="BA42" i="5"/>
  <c r="BA71" i="5" s="1"/>
  <c r="BA210" i="7"/>
  <c r="BA210" i="5"/>
  <c r="BB208" i="5" l="1"/>
  <c r="BH209" i="10"/>
  <c r="BH42" i="10"/>
  <c r="BH71" i="10" s="1"/>
  <c r="BH210" i="10"/>
  <c r="BV72" i="10"/>
  <c r="BB208" i="7"/>
  <c r="BV72" i="5"/>
  <c r="BV72" i="7"/>
  <c r="BB209" i="7" l="1"/>
  <c r="BB42" i="7"/>
  <c r="BB71" i="7" s="1"/>
  <c r="BW72" i="7"/>
  <c r="BW72" i="5"/>
  <c r="BW72" i="10"/>
  <c r="BI208" i="10"/>
  <c r="BB210" i="7"/>
  <c r="BB209" i="5"/>
  <c r="BB42" i="5"/>
  <c r="BB71" i="5" s="1"/>
  <c r="BB210" i="5"/>
  <c r="BX72" i="5" l="1"/>
  <c r="BC208" i="5"/>
  <c r="BC208" i="7"/>
  <c r="BX72" i="7"/>
  <c r="BI209" i="10"/>
  <c r="BI42" i="10"/>
  <c r="BI71" i="10" s="1"/>
  <c r="BI210" i="10"/>
  <c r="BX72" i="10"/>
  <c r="BC209" i="7" l="1"/>
  <c r="BC42" i="7"/>
  <c r="BC71" i="7" s="1"/>
  <c r="BJ208" i="10"/>
  <c r="BJ210" i="10" s="1"/>
  <c r="BY72" i="10"/>
  <c r="BC210" i="7"/>
  <c r="BC209" i="5"/>
  <c r="BC42" i="5"/>
  <c r="BC71" i="5" s="1"/>
  <c r="BC210" i="5"/>
  <c r="BY72" i="5"/>
  <c r="BY72" i="7"/>
  <c r="BD208" i="5" l="1"/>
  <c r="BD208" i="7"/>
  <c r="BZ72" i="10"/>
  <c r="BZ72" i="5"/>
  <c r="BZ72" i="7"/>
  <c r="BK208" i="10"/>
  <c r="BK210" i="10" s="1"/>
  <c r="BJ209" i="10"/>
  <c r="BJ42" i="10"/>
  <c r="BJ71" i="10" s="1"/>
  <c r="CA72" i="5" l="1"/>
  <c r="CA72" i="10"/>
  <c r="BD209" i="7"/>
  <c r="BD42" i="7"/>
  <c r="BD71" i="7" s="1"/>
  <c r="BD210" i="7"/>
  <c r="BK71" i="10"/>
  <c r="BL208" i="10"/>
  <c r="BL210" i="10" s="1"/>
  <c r="BK209" i="10"/>
  <c r="BK42" i="10"/>
  <c r="CA72" i="7"/>
  <c r="BD209" i="5"/>
  <c r="BD42" i="5"/>
  <c r="BD71" i="5" s="1"/>
  <c r="BD210" i="5"/>
  <c r="BE208" i="7" l="1"/>
  <c r="CB72" i="7"/>
  <c r="CB72" i="10"/>
  <c r="BM208" i="10"/>
  <c r="BM210" i="10" s="1"/>
  <c r="BE208" i="5"/>
  <c r="BL209" i="10"/>
  <c r="BL42" i="10"/>
  <c r="BL71" i="10" s="1"/>
  <c r="CB72" i="5"/>
  <c r="BN208" i="10" l="1"/>
  <c r="BN210" i="10" s="1"/>
  <c r="CC72" i="10"/>
  <c r="CC72" i="7"/>
  <c r="BE209" i="7"/>
  <c r="BE42" i="7"/>
  <c r="BE71" i="7" s="1"/>
  <c r="BE210" i="7"/>
  <c r="BE209" i="5"/>
  <c r="BE42" i="5"/>
  <c r="BE71" i="5" s="1"/>
  <c r="BE210" i="5"/>
  <c r="BM209" i="10"/>
  <c r="BM42" i="10"/>
  <c r="BM71" i="10" s="1"/>
  <c r="CC72" i="5"/>
  <c r="CD72" i="5" l="1"/>
  <c r="CD72" i="7"/>
  <c r="BF208" i="5"/>
  <c r="CD72" i="10"/>
  <c r="BO208" i="10"/>
  <c r="BF208" i="7"/>
  <c r="BN209" i="10"/>
  <c r="BN42" i="10"/>
  <c r="BN71" i="10" s="1"/>
  <c r="BO209" i="10" l="1"/>
  <c r="BO42" i="10"/>
  <c r="BO71" i="10" s="1"/>
  <c r="BF209" i="5"/>
  <c r="BF42" i="5"/>
  <c r="BF71" i="5" s="1"/>
  <c r="BF209" i="7"/>
  <c r="BF42" i="7"/>
  <c r="BF71" i="7" s="1"/>
  <c r="BF210" i="5"/>
  <c r="BF210" i="7"/>
  <c r="CE72" i="7"/>
  <c r="BO210" i="10"/>
  <c r="CE72" i="5"/>
  <c r="CE72" i="10"/>
  <c r="BG208" i="5" l="1"/>
  <c r="BG210" i="5" s="1"/>
  <c r="CF72" i="5"/>
  <c r="BP208" i="10"/>
  <c r="CF72" i="10"/>
  <c r="CF72" i="7"/>
  <c r="BG208" i="7"/>
  <c r="BG210" i="7" s="1"/>
  <c r="BH208" i="7" l="1"/>
  <c r="BH208" i="5"/>
  <c r="BH210" i="5" s="1"/>
  <c r="BP209" i="10"/>
  <c r="BP42" i="10"/>
  <c r="BP71" i="10" s="1"/>
  <c r="BG209" i="7"/>
  <c r="BG42" i="7"/>
  <c r="BG71" i="7" s="1"/>
  <c r="CG72" i="7"/>
  <c r="BP210" i="10"/>
  <c r="CG72" i="5"/>
  <c r="BG209" i="5"/>
  <c r="BG42" i="5"/>
  <c r="BG71" i="5" s="1"/>
  <c r="CG72" i="10"/>
  <c r="BI208" i="5" l="1"/>
  <c r="CH72" i="5"/>
  <c r="CH72" i="7"/>
  <c r="BH209" i="7"/>
  <c r="BH42" i="7"/>
  <c r="BH71" i="7" s="1"/>
  <c r="BH209" i="5"/>
  <c r="BH42" i="5"/>
  <c r="BH71" i="5" s="1"/>
  <c r="BQ208" i="10"/>
  <c r="CH72" i="10"/>
  <c r="BH210" i="7"/>
  <c r="BQ209" i="10" l="1"/>
  <c r="BQ42" i="10"/>
  <c r="BQ71" i="10" s="1"/>
  <c r="E72" i="5"/>
  <c r="E72" i="10"/>
  <c r="E72" i="7"/>
  <c r="BI209" i="5"/>
  <c r="BI42" i="5"/>
  <c r="BI71" i="5" s="1"/>
  <c r="BQ210" i="10"/>
  <c r="BI208" i="7"/>
  <c r="BI210" i="5"/>
  <c r="BJ208" i="5" l="1"/>
  <c r="BI209" i="7"/>
  <c r="BI42" i="7"/>
  <c r="BI71" i="7" s="1"/>
  <c r="BI210" i="7"/>
  <c r="BR208" i="10"/>
  <c r="BR210" i="10" s="1"/>
  <c r="BJ208" i="7" l="1"/>
  <c r="BS208" i="10"/>
  <c r="BS210" i="10" s="1"/>
  <c r="BR209" i="10"/>
  <c r="BR42" i="10"/>
  <c r="BR71" i="10" s="1"/>
  <c r="BJ209" i="5"/>
  <c r="BJ42" i="5"/>
  <c r="BJ71" i="5" s="1"/>
  <c r="BJ210" i="5"/>
  <c r="BK208" i="5" l="1"/>
  <c r="BT208" i="10"/>
  <c r="BT210" i="10" s="1"/>
  <c r="BS209" i="10"/>
  <c r="BS42" i="10"/>
  <c r="BS71" i="10" s="1"/>
  <c r="BJ209" i="7"/>
  <c r="BJ42" i="7"/>
  <c r="BJ71" i="7" s="1"/>
  <c r="BJ210" i="7"/>
  <c r="BU208" i="10" l="1"/>
  <c r="BU210" i="10" s="1"/>
  <c r="BK42" i="5"/>
  <c r="BK71" i="5" s="1"/>
  <c r="BK209" i="5"/>
  <c r="BK208" i="7"/>
  <c r="BK210" i="5"/>
  <c r="BT209" i="10"/>
  <c r="BT42" i="10"/>
  <c r="BT71" i="10" s="1"/>
  <c r="BL208" i="5" l="1"/>
  <c r="BK209" i="7"/>
  <c r="BK42" i="7"/>
  <c r="BK71" i="7" s="1"/>
  <c r="BK210" i="7"/>
  <c r="BV208" i="10"/>
  <c r="BU209" i="10"/>
  <c r="BU42" i="10"/>
  <c r="BU71" i="10" s="1"/>
  <c r="BL208" i="7" l="1"/>
  <c r="BV209" i="10"/>
  <c r="BV42" i="10"/>
  <c r="BV71" i="10" s="1"/>
  <c r="BL209" i="5"/>
  <c r="BL42" i="5"/>
  <c r="BL71" i="5" s="1"/>
  <c r="BL210" i="5"/>
  <c r="BV210" i="10"/>
  <c r="BL209" i="7" l="1"/>
  <c r="BL42" i="7"/>
  <c r="BL71" i="7" s="1"/>
  <c r="BW208" i="10"/>
  <c r="BW210" i="10" s="1"/>
  <c r="BL210" i="7"/>
  <c r="BM208" i="5"/>
  <c r="BM210" i="5" s="1"/>
  <c r="BX208" i="10" l="1"/>
  <c r="BM208" i="7"/>
  <c r="BN208" i="5"/>
  <c r="BW209" i="10"/>
  <c r="BW42" i="10"/>
  <c r="BW71" i="10" s="1"/>
  <c r="BM209" i="5"/>
  <c r="BM42" i="5"/>
  <c r="BM71" i="5" s="1"/>
  <c r="BM209" i="7" l="1"/>
  <c r="BM42" i="7"/>
  <c r="BM71" i="7" s="1"/>
  <c r="BN209" i="5"/>
  <c r="BN42" i="5"/>
  <c r="BN71" i="5" s="1"/>
  <c r="BN210" i="5"/>
  <c r="BM210" i="7"/>
  <c r="BX209" i="10"/>
  <c r="BX42" i="10"/>
  <c r="BX71" i="10" s="1"/>
  <c r="BX210" i="10"/>
  <c r="BO208" i="5" l="1"/>
  <c r="BY208" i="10"/>
  <c r="BY210" i="10" s="1"/>
  <c r="BN208" i="7"/>
  <c r="BN210" i="7" s="1"/>
  <c r="BO208" i="7" l="1"/>
  <c r="BZ208" i="10"/>
  <c r="BN209" i="7"/>
  <c r="BN42" i="7"/>
  <c r="BN71" i="7" s="1"/>
  <c r="BO209" i="5"/>
  <c r="BO42" i="5"/>
  <c r="BO71" i="5" s="1"/>
  <c r="BO210" i="5"/>
  <c r="BY209" i="10"/>
  <c r="BY42" i="10"/>
  <c r="BY71" i="10" s="1"/>
  <c r="BZ209" i="10" l="1"/>
  <c r="BZ42" i="10"/>
  <c r="BZ210" i="10"/>
  <c r="BO209" i="7"/>
  <c r="BO42" i="7"/>
  <c r="BO71" i="7" s="1"/>
  <c r="BZ71" i="10"/>
  <c r="BP208" i="5"/>
  <c r="BO210" i="7"/>
  <c r="BP208" i="7" l="1"/>
  <c r="CA208" i="10"/>
  <c r="CA210" i="10" s="1"/>
  <c r="BP209" i="5"/>
  <c r="BP42" i="5"/>
  <c r="BP71" i="5" s="1"/>
  <c r="BP210" i="5"/>
  <c r="CB208" i="10" l="1"/>
  <c r="CB210" i="10" s="1"/>
  <c r="BP209" i="7"/>
  <c r="BP42" i="7"/>
  <c r="BP71" i="7" s="1"/>
  <c r="CA209" i="10"/>
  <c r="CA42" i="10"/>
  <c r="CA71" i="10" s="1"/>
  <c r="BQ208" i="5"/>
  <c r="BQ210" i="5" s="1"/>
  <c r="BP210" i="7"/>
  <c r="BR208" i="5" l="1"/>
  <c r="CC208" i="10"/>
  <c r="CC210" i="10" s="1"/>
  <c r="BQ208" i="7"/>
  <c r="CB209" i="10"/>
  <c r="CB42" i="10"/>
  <c r="CB71" i="10" s="1"/>
  <c r="BQ209" i="5"/>
  <c r="BQ42" i="5"/>
  <c r="BQ71" i="5" s="1"/>
  <c r="CD208" i="10" l="1"/>
  <c r="CD210" i="10" s="1"/>
  <c r="BQ209" i="7"/>
  <c r="BQ42" i="7"/>
  <c r="BQ71" i="7" s="1"/>
  <c r="BQ210" i="7"/>
  <c r="CC209" i="10"/>
  <c r="CC42" i="10"/>
  <c r="CC71" i="10" s="1"/>
  <c r="BR209" i="5"/>
  <c r="BR42" i="5"/>
  <c r="BR71" i="5" s="1"/>
  <c r="BR210" i="5"/>
  <c r="BS208" i="5" l="1"/>
  <c r="BR208" i="7"/>
  <c r="BR210" i="7" s="1"/>
  <c r="CE208" i="10"/>
  <c r="CE210" i="10" s="1"/>
  <c r="CD209" i="10"/>
  <c r="CD42" i="10"/>
  <c r="CD71" i="10" s="1"/>
  <c r="CF208" i="10" l="1"/>
  <c r="BR209" i="7"/>
  <c r="BR42" i="7"/>
  <c r="BR71" i="7" s="1"/>
  <c r="BS42" i="5"/>
  <c r="BS71" i="5" s="1"/>
  <c r="BS209" i="5"/>
  <c r="BS208" i="7"/>
  <c r="BS210" i="7" s="1"/>
  <c r="BS210" i="5"/>
  <c r="CE209" i="10"/>
  <c r="CE42" i="10"/>
  <c r="CE71" i="10" s="1"/>
  <c r="BT208" i="7" l="1"/>
  <c r="CF209" i="10"/>
  <c r="CF42" i="10"/>
  <c r="CF71" i="10" s="1"/>
  <c r="BT208" i="5"/>
  <c r="BT210" i="5" s="1"/>
  <c r="CF210" i="10"/>
  <c r="BS209" i="7"/>
  <c r="BS42" i="7"/>
  <c r="BS71" i="7" s="1"/>
  <c r="BU208" i="5" l="1"/>
  <c r="BT209" i="7"/>
  <c r="BT42" i="7"/>
  <c r="BT71" i="7" s="1"/>
  <c r="CG208" i="10"/>
  <c r="BT210" i="7"/>
  <c r="BT42" i="5"/>
  <c r="BT71" i="5" s="1"/>
  <c r="BT209" i="5"/>
  <c r="CG209" i="10" l="1"/>
  <c r="CG42" i="10"/>
  <c r="CG71" i="10" s="1"/>
  <c r="CG210" i="10"/>
  <c r="BU209" i="5"/>
  <c r="BU42" i="5"/>
  <c r="BU71" i="5" s="1"/>
  <c r="BU210" i="5"/>
  <c r="BU208" i="7"/>
  <c r="BV208" i="5" l="1"/>
  <c r="CH208" i="10"/>
  <c r="BU209" i="7"/>
  <c r="BU42" i="7"/>
  <c r="BU71" i="7" s="1"/>
  <c r="BU210" i="7"/>
  <c r="CH209" i="10" l="1"/>
  <c r="E209" i="10" s="1"/>
  <c r="CH42" i="10"/>
  <c r="E208" i="10"/>
  <c r="E212" i="10" s="1"/>
  <c r="CH210" i="10"/>
  <c r="E210" i="10" s="1"/>
  <c r="E211" i="10" s="1"/>
  <c r="BV209" i="5"/>
  <c r="BV42" i="5"/>
  <c r="BV71" i="5" s="1"/>
  <c r="BV210" i="5"/>
  <c r="BV208" i="7"/>
  <c r="BW208" i="5" l="1"/>
  <c r="E42" i="10"/>
  <c r="CH71" i="10"/>
  <c r="E71" i="10" s="1"/>
  <c r="BV209" i="7"/>
  <c r="BV42" i="7"/>
  <c r="BV71" i="7" s="1"/>
  <c r="BV210" i="7"/>
  <c r="BW208" i="7" l="1"/>
  <c r="BW209" i="5"/>
  <c r="BW42" i="5"/>
  <c r="BW71" i="5" s="1"/>
  <c r="E121" i="3"/>
  <c r="E122" i="3" s="1"/>
  <c r="F29" i="3"/>
  <c r="F25" i="3" s="1"/>
  <c r="BW210" i="5"/>
  <c r="BX208" i="5" l="1"/>
  <c r="BW209" i="7"/>
  <c r="BW42" i="7"/>
  <c r="BW71" i="7" s="1"/>
  <c r="CC36" i="10"/>
  <c r="BU36" i="10"/>
  <c r="BM36" i="10"/>
  <c r="BE36" i="10"/>
  <c r="AW36" i="10"/>
  <c r="AO36" i="10"/>
  <c r="AG36" i="10"/>
  <c r="Y36" i="10"/>
  <c r="Q36" i="10"/>
  <c r="I36" i="10"/>
  <c r="CB36" i="10"/>
  <c r="BT36" i="10"/>
  <c r="BL36" i="10"/>
  <c r="BD36" i="10"/>
  <c r="AV36" i="10"/>
  <c r="AN36" i="10"/>
  <c r="AF36" i="10"/>
  <c r="X36" i="10"/>
  <c r="P36" i="10"/>
  <c r="H36" i="10"/>
  <c r="CA36" i="10"/>
  <c r="BS36" i="10"/>
  <c r="BK36" i="10"/>
  <c r="BC36" i="10"/>
  <c r="AU36" i="10"/>
  <c r="AM36" i="10"/>
  <c r="AE36" i="10"/>
  <c r="W36" i="10"/>
  <c r="O36" i="10"/>
  <c r="G36" i="10"/>
  <c r="CE36" i="10"/>
  <c r="BW36" i="10"/>
  <c r="BO36" i="10"/>
  <c r="BG36" i="10"/>
  <c r="AY36" i="10"/>
  <c r="AQ36" i="10"/>
  <c r="AI36" i="10"/>
  <c r="AA36" i="10"/>
  <c r="S36" i="10"/>
  <c r="K36" i="10"/>
  <c r="CH36" i="10"/>
  <c r="BR36" i="10"/>
  <c r="BB36" i="10"/>
  <c r="AL36" i="10"/>
  <c r="V36" i="10"/>
  <c r="CG36" i="10"/>
  <c r="BQ36" i="10"/>
  <c r="BA36" i="10"/>
  <c r="AK36" i="10"/>
  <c r="U36" i="10"/>
  <c r="CF36" i="10"/>
  <c r="BP36" i="10"/>
  <c r="AZ36" i="10"/>
  <c r="AJ36" i="10"/>
  <c r="T36" i="10"/>
  <c r="BX36" i="10"/>
  <c r="BH36" i="10"/>
  <c r="AR36" i="10"/>
  <c r="AB36" i="10"/>
  <c r="L36" i="10"/>
  <c r="BF36" i="10"/>
  <c r="Z36" i="10"/>
  <c r="CD36" i="10"/>
  <c r="AX36" i="10"/>
  <c r="R36" i="10"/>
  <c r="BZ36" i="10"/>
  <c r="AT36" i="10"/>
  <c r="N36" i="10"/>
  <c r="BJ36" i="10"/>
  <c r="AD36" i="10"/>
  <c r="BN36" i="10"/>
  <c r="BI36" i="10"/>
  <c r="AS36" i="10"/>
  <c r="AP36" i="10"/>
  <c r="AH36" i="10"/>
  <c r="BY36" i="10"/>
  <c r="M36" i="10"/>
  <c r="J36" i="10"/>
  <c r="AC36" i="10"/>
  <c r="BV36" i="10"/>
  <c r="G39" i="3"/>
  <c r="H39" i="3"/>
  <c r="E39" i="3"/>
  <c r="F39" i="3"/>
  <c r="BW210" i="7"/>
  <c r="AT198" i="10" l="1"/>
  <c r="AT38" i="10"/>
  <c r="AY198" i="10"/>
  <c r="AY38" i="10"/>
  <c r="CB198" i="10"/>
  <c r="CB38" i="10"/>
  <c r="BM198" i="10"/>
  <c r="BM38" i="10"/>
  <c r="F112" i="3"/>
  <c r="H85" i="3"/>
  <c r="H83" i="3"/>
  <c r="H81" i="3"/>
  <c r="H91" i="3"/>
  <c r="CF198" i="10"/>
  <c r="CF38" i="10"/>
  <c r="P198" i="10"/>
  <c r="P38" i="10"/>
  <c r="AP198" i="10"/>
  <c r="AP38" i="10"/>
  <c r="AR198" i="10"/>
  <c r="AR38" i="10"/>
  <c r="BG198" i="10"/>
  <c r="BG38" i="10"/>
  <c r="X198" i="10"/>
  <c r="X38" i="10"/>
  <c r="I198" i="10"/>
  <c r="I38" i="10"/>
  <c r="R198" i="10"/>
  <c r="R38" i="10"/>
  <c r="CH198" i="10"/>
  <c r="CH38" i="10"/>
  <c r="AF198" i="10"/>
  <c r="AF38" i="10"/>
  <c r="CC198" i="10"/>
  <c r="CC38" i="10"/>
  <c r="BI198" i="10"/>
  <c r="BI38" i="10"/>
  <c r="BX198" i="10"/>
  <c r="BX38" i="10"/>
  <c r="BW198" i="10"/>
  <c r="BW38" i="10"/>
  <c r="AN198" i="10"/>
  <c r="AN38" i="10"/>
  <c r="AC198" i="10"/>
  <c r="AC38" i="10"/>
  <c r="S198" i="10"/>
  <c r="S38" i="10"/>
  <c r="J198" i="10"/>
  <c r="J38" i="10"/>
  <c r="AJ198" i="10"/>
  <c r="AJ38" i="10"/>
  <c r="CG198" i="10"/>
  <c r="CG38" i="10"/>
  <c r="AA198" i="10"/>
  <c r="AA38" i="10"/>
  <c r="G198" i="10"/>
  <c r="G65" i="10"/>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5" i="10" s="1"/>
  <c r="AD65" i="10" s="1"/>
  <c r="AE65" i="10" s="1"/>
  <c r="AF65" i="10" s="1"/>
  <c r="AG65" i="10" s="1"/>
  <c r="AH65" i="10" s="1"/>
  <c r="AI65" i="10" s="1"/>
  <c r="AJ65" i="10" s="1"/>
  <c r="AK65" i="10" s="1"/>
  <c r="AL65" i="10" s="1"/>
  <c r="AM65" i="10" s="1"/>
  <c r="AN65" i="10" s="1"/>
  <c r="AO65" i="10" s="1"/>
  <c r="AP65" i="10" s="1"/>
  <c r="AQ65" i="10" s="1"/>
  <c r="AR65" i="10" s="1"/>
  <c r="AS65" i="10" s="1"/>
  <c r="AT65" i="10" s="1"/>
  <c r="AU65" i="10" s="1"/>
  <c r="AV65" i="10" s="1"/>
  <c r="AW65" i="10" s="1"/>
  <c r="AX65" i="10" s="1"/>
  <c r="AY65" i="10" s="1"/>
  <c r="AZ65" i="10" s="1"/>
  <c r="BA65" i="10" s="1"/>
  <c r="BB65" i="10" s="1"/>
  <c r="BC65" i="10" s="1"/>
  <c r="BD65" i="10" s="1"/>
  <c r="BE65" i="10" s="1"/>
  <c r="BF65" i="10" s="1"/>
  <c r="BG65" i="10" s="1"/>
  <c r="BH65" i="10" s="1"/>
  <c r="BI65" i="10" s="1"/>
  <c r="BJ65" i="10" s="1"/>
  <c r="BK65" i="10" s="1"/>
  <c r="BL65" i="10" s="1"/>
  <c r="BM65" i="10" s="1"/>
  <c r="BN65" i="10" s="1"/>
  <c r="BO65" i="10" s="1"/>
  <c r="BP65" i="10" s="1"/>
  <c r="BQ65" i="10" s="1"/>
  <c r="BR65" i="10" s="1"/>
  <c r="BS65" i="10" s="1"/>
  <c r="BT65" i="10" s="1"/>
  <c r="BU65" i="10" s="1"/>
  <c r="BV65" i="10" s="1"/>
  <c r="BW65" i="10" s="1"/>
  <c r="BX65" i="10" s="1"/>
  <c r="BY65" i="10" s="1"/>
  <c r="BZ65" i="10" s="1"/>
  <c r="CA65" i="10" s="1"/>
  <c r="CB65" i="10" s="1"/>
  <c r="CC65" i="10" s="1"/>
  <c r="CD65" i="10" s="1"/>
  <c r="CE65" i="10" s="1"/>
  <c r="CF65" i="10" s="1"/>
  <c r="CG65" i="10" s="1"/>
  <c r="CH65" i="10" s="1"/>
  <c r="E65" i="10" s="1"/>
  <c r="E36" i="10"/>
  <c r="G38" i="10"/>
  <c r="BS198" i="10"/>
  <c r="BS38" i="10"/>
  <c r="BD198" i="10"/>
  <c r="BD38" i="10"/>
  <c r="AO198" i="10"/>
  <c r="AO38" i="10"/>
  <c r="AB198" i="10"/>
  <c r="AB38" i="10"/>
  <c r="G85" i="3"/>
  <c r="F111" i="3"/>
  <c r="G81" i="3"/>
  <c r="G83" i="3"/>
  <c r="G91" i="3"/>
  <c r="BR198" i="10"/>
  <c r="BR38" i="10"/>
  <c r="BH198" i="10"/>
  <c r="BH38" i="10"/>
  <c r="BO198" i="10"/>
  <c r="BO38" i="10"/>
  <c r="BV198" i="10"/>
  <c r="BV38" i="10"/>
  <c r="CD198" i="10"/>
  <c r="CD38" i="10"/>
  <c r="AV198" i="10"/>
  <c r="AV38" i="10"/>
  <c r="BX208" i="7"/>
  <c r="Z198" i="10"/>
  <c r="Z38" i="10"/>
  <c r="M198" i="10"/>
  <c r="M38" i="10"/>
  <c r="AZ198" i="10"/>
  <c r="AZ38" i="10"/>
  <c r="AI198" i="10"/>
  <c r="AI38" i="10"/>
  <c r="CA198" i="10"/>
  <c r="CA38" i="10"/>
  <c r="AW198" i="10"/>
  <c r="AW38" i="10"/>
  <c r="BX209" i="5"/>
  <c r="BX42" i="5"/>
  <c r="BX71" i="5" s="1"/>
  <c r="AH198" i="10"/>
  <c r="AH38" i="10"/>
  <c r="BB198" i="10"/>
  <c r="BB38" i="10"/>
  <c r="AE198" i="10"/>
  <c r="AE38" i="10"/>
  <c r="BZ198" i="10"/>
  <c r="BZ38" i="10"/>
  <c r="U198" i="10"/>
  <c r="U38" i="10"/>
  <c r="AM198" i="10"/>
  <c r="AM38" i="10"/>
  <c r="BU198" i="10"/>
  <c r="BU38" i="10"/>
  <c r="AS198" i="10"/>
  <c r="AS38" i="10"/>
  <c r="AK198" i="10"/>
  <c r="AK38" i="10"/>
  <c r="AU198" i="10"/>
  <c r="AU38" i="10"/>
  <c r="Q198" i="10"/>
  <c r="Q38" i="10"/>
  <c r="AX198" i="10"/>
  <c r="AX38" i="10"/>
  <c r="BA198" i="10"/>
  <c r="BA38" i="10"/>
  <c r="K198" i="10"/>
  <c r="K38" i="10"/>
  <c r="BC198" i="10"/>
  <c r="BC38" i="10"/>
  <c r="Y198" i="10"/>
  <c r="Y38" i="10"/>
  <c r="BN198" i="10"/>
  <c r="BN38" i="10"/>
  <c r="T198" i="10"/>
  <c r="T38" i="10"/>
  <c r="BQ198" i="10"/>
  <c r="BQ38" i="10"/>
  <c r="CE198" i="10"/>
  <c r="CE38" i="10"/>
  <c r="BK198" i="10"/>
  <c r="BK38" i="10"/>
  <c r="AG198" i="10"/>
  <c r="AG38" i="10"/>
  <c r="AD198" i="10"/>
  <c r="AD38" i="10"/>
  <c r="F85" i="3"/>
  <c r="F110" i="3"/>
  <c r="F83" i="3"/>
  <c r="F87" i="3" s="1"/>
  <c r="F81" i="3"/>
  <c r="F91" i="3"/>
  <c r="BJ198" i="10"/>
  <c r="BJ38" i="10"/>
  <c r="BF198" i="10"/>
  <c r="BF38" i="10"/>
  <c r="V198" i="10"/>
  <c r="V38" i="10"/>
  <c r="O198" i="10"/>
  <c r="O38" i="10"/>
  <c r="BL198" i="10"/>
  <c r="BL38" i="10"/>
  <c r="F109" i="3"/>
  <c r="E81" i="3"/>
  <c r="E83" i="3"/>
  <c r="E85" i="3"/>
  <c r="F102" i="3"/>
  <c r="F101" i="3" s="1"/>
  <c r="E91" i="3"/>
  <c r="BY198" i="10"/>
  <c r="BY38" i="10"/>
  <c r="N198" i="10"/>
  <c r="N38" i="10"/>
  <c r="L198" i="10"/>
  <c r="L38" i="10"/>
  <c r="BP198" i="10"/>
  <c r="BP38" i="10"/>
  <c r="AL198" i="10"/>
  <c r="AL38" i="10"/>
  <c r="AQ198" i="10"/>
  <c r="AQ38" i="10"/>
  <c r="W198" i="10"/>
  <c r="W38" i="10"/>
  <c r="H198" i="10"/>
  <c r="H38" i="10"/>
  <c r="BT198" i="10"/>
  <c r="BT38" i="10"/>
  <c r="BE198" i="10"/>
  <c r="BE38" i="10"/>
  <c r="BX210" i="5"/>
  <c r="G87" i="3" l="1"/>
  <c r="F89" i="3"/>
  <c r="F92" i="3"/>
  <c r="H87" i="3"/>
  <c r="H89" i="3" s="1"/>
  <c r="BV50" i="10"/>
  <c r="BV56" i="10" s="1"/>
  <c r="BV95" i="10"/>
  <c r="BV27" i="10"/>
  <c r="G92" i="3"/>
  <c r="E198" i="10"/>
  <c r="BM95" i="10"/>
  <c r="BM27" i="10"/>
  <c r="BM50" i="10"/>
  <c r="BM56" i="10" s="1"/>
  <c r="H27" i="10"/>
  <c r="H95" i="10"/>
  <c r="H50" i="10"/>
  <c r="H56" i="10" s="1"/>
  <c r="BX209" i="7"/>
  <c r="BX42" i="7"/>
  <c r="BX71" i="7" s="1"/>
  <c r="AA50" i="10"/>
  <c r="AA56" i="10" s="1"/>
  <c r="AA95" i="10"/>
  <c r="AA27" i="10"/>
  <c r="CH95" i="10"/>
  <c r="CH50" i="10"/>
  <c r="CH56" i="10" s="1"/>
  <c r="CH27" i="10"/>
  <c r="L50" i="10"/>
  <c r="L56" i="10" s="1"/>
  <c r="L95" i="10"/>
  <c r="L27" i="10"/>
  <c r="G89" i="3"/>
  <c r="AC95" i="10"/>
  <c r="AC50" i="10"/>
  <c r="AC56" i="10" s="1"/>
  <c r="AC27" i="10"/>
  <c r="R50" i="10"/>
  <c r="R56" i="10" s="1"/>
  <c r="R95" i="10"/>
  <c r="R27" i="10"/>
  <c r="AR50" i="10"/>
  <c r="AR56" i="10" s="1"/>
  <c r="AR95" i="10"/>
  <c r="AR27" i="10"/>
  <c r="H92" i="3"/>
  <c r="S50" i="10"/>
  <c r="S56" i="10" s="1"/>
  <c r="S95" i="10"/>
  <c r="S27" i="10"/>
  <c r="BH50" i="10"/>
  <c r="BH56" i="10" s="1"/>
  <c r="BH95" i="10"/>
  <c r="BH27" i="10"/>
  <c r="AY50" i="10"/>
  <c r="AY56" i="10" s="1"/>
  <c r="AY95" i="10"/>
  <c r="AY27" i="10"/>
  <c r="E92" i="3"/>
  <c r="BA95" i="10"/>
  <c r="BA50" i="10"/>
  <c r="BA56" i="10" s="1"/>
  <c r="BA27" i="10"/>
  <c r="BG50" i="10"/>
  <c r="BG56" i="10" s="1"/>
  <c r="BG95" i="10"/>
  <c r="BG27" i="10"/>
  <c r="BY208" i="5"/>
  <c r="AX50" i="10"/>
  <c r="AX56" i="10" s="1"/>
  <c r="AX95" i="10"/>
  <c r="AX27" i="10"/>
  <c r="AV95" i="10"/>
  <c r="AV50" i="10"/>
  <c r="AV56" i="10" s="1"/>
  <c r="AV27" i="10"/>
  <c r="CG95" i="10"/>
  <c r="CG50" i="10"/>
  <c r="CG56" i="10" s="1"/>
  <c r="CG27" i="10"/>
  <c r="AQ50" i="10"/>
  <c r="AQ56" i="10" s="1"/>
  <c r="AQ95" i="10"/>
  <c r="AQ27" i="10"/>
  <c r="F113" i="3"/>
  <c r="E102" i="3" s="1"/>
  <c r="BQ95" i="10"/>
  <c r="BQ50" i="10"/>
  <c r="BQ56" i="10" s="1"/>
  <c r="BQ27" i="10"/>
  <c r="Q95" i="10"/>
  <c r="Q27" i="10"/>
  <c r="Q50" i="10"/>
  <c r="Q56" i="10" s="1"/>
  <c r="BU95" i="10"/>
  <c r="BU27" i="10"/>
  <c r="BU50" i="10"/>
  <c r="BU56" i="10" s="1"/>
  <c r="AE95" i="10"/>
  <c r="AE50" i="10"/>
  <c r="AE56" i="10" s="1"/>
  <c r="AE27" i="10"/>
  <c r="AW95" i="10"/>
  <c r="AW27" i="10"/>
  <c r="AW50" i="10"/>
  <c r="AW56" i="10" s="1"/>
  <c r="M95" i="10"/>
  <c r="M50" i="10"/>
  <c r="M56" i="10" s="1"/>
  <c r="M27" i="10"/>
  <c r="CD50" i="10"/>
  <c r="CD56" i="10" s="1"/>
  <c r="CD95" i="10"/>
  <c r="CD27" i="10"/>
  <c r="AB50" i="10"/>
  <c r="AB56" i="10" s="1"/>
  <c r="AB95" i="10"/>
  <c r="AB27" i="10"/>
  <c r="G95" i="10"/>
  <c r="G67" i="10"/>
  <c r="E38" i="10"/>
  <c r="G27" i="10"/>
  <c r="G50" i="10"/>
  <c r="G31" i="10"/>
  <c r="AJ50" i="10"/>
  <c r="AJ56" i="10" s="1"/>
  <c r="AJ95" i="10"/>
  <c r="AJ27" i="10"/>
  <c r="AN27" i="10"/>
  <c r="AN95" i="10"/>
  <c r="AN50" i="10"/>
  <c r="AN56" i="10" s="1"/>
  <c r="CC95" i="10"/>
  <c r="CC27" i="10"/>
  <c r="CC50" i="10"/>
  <c r="CC56" i="10" s="1"/>
  <c r="I95" i="10"/>
  <c r="I27" i="10"/>
  <c r="I50" i="10"/>
  <c r="I56" i="10" s="1"/>
  <c r="AP50" i="10"/>
  <c r="AP56" i="10" s="1"/>
  <c r="AP95" i="10"/>
  <c r="AP27" i="10"/>
  <c r="BP50" i="10"/>
  <c r="BP56" i="10" s="1"/>
  <c r="BP95" i="10"/>
  <c r="BP27" i="10"/>
  <c r="O95" i="10"/>
  <c r="O50" i="10"/>
  <c r="O56" i="10" s="1"/>
  <c r="O27" i="10"/>
  <c r="BK95" i="10"/>
  <c r="BK50" i="10"/>
  <c r="BK56" i="10" s="1"/>
  <c r="BK27" i="10"/>
  <c r="AK95" i="10"/>
  <c r="AK50" i="10"/>
  <c r="AK56" i="10" s="1"/>
  <c r="AK27" i="10"/>
  <c r="AH50" i="10"/>
  <c r="AH56" i="10" s="1"/>
  <c r="AH95" i="10"/>
  <c r="AH27" i="10"/>
  <c r="BX50" i="10"/>
  <c r="BX56" i="10" s="1"/>
  <c r="BX95" i="10"/>
  <c r="BX27" i="10"/>
  <c r="BX210" i="7"/>
  <c r="CB95" i="10"/>
  <c r="CB50" i="10"/>
  <c r="CB56" i="10" s="1"/>
  <c r="CB27" i="10"/>
  <c r="CE50" i="10"/>
  <c r="CE56" i="10" s="1"/>
  <c r="CE95" i="10"/>
  <c r="CE27" i="10"/>
  <c r="BZ95" i="10"/>
  <c r="BZ50" i="10"/>
  <c r="BZ56" i="10" s="1"/>
  <c r="BZ27" i="10"/>
  <c r="BI95" i="10"/>
  <c r="BI50" i="10"/>
  <c r="BI56" i="10" s="1"/>
  <c r="BI27" i="10"/>
  <c r="BE95" i="10"/>
  <c r="BE27" i="10"/>
  <c r="BE50" i="10"/>
  <c r="BE56" i="10" s="1"/>
  <c r="N95" i="10"/>
  <c r="N50" i="10"/>
  <c r="N56" i="10" s="1"/>
  <c r="N27" i="10"/>
  <c r="BF50" i="10"/>
  <c r="BF56" i="10" s="1"/>
  <c r="BF95" i="10"/>
  <c r="BF27" i="10"/>
  <c r="AD95" i="10"/>
  <c r="AD50" i="10"/>
  <c r="AD56" i="10" s="1"/>
  <c r="AD27" i="10"/>
  <c r="BC95" i="10"/>
  <c r="BC27" i="10"/>
  <c r="BC50" i="10"/>
  <c r="BC56" i="10" s="1"/>
  <c r="BT27" i="10"/>
  <c r="BT95" i="10"/>
  <c r="BT50" i="10"/>
  <c r="BT56" i="10" s="1"/>
  <c r="AL95" i="10"/>
  <c r="AL50" i="10"/>
  <c r="AL56" i="10" s="1"/>
  <c r="AL27" i="10"/>
  <c r="BY95" i="10"/>
  <c r="BY50" i="10"/>
  <c r="BY56" i="10" s="1"/>
  <c r="BY27" i="10"/>
  <c r="BL95" i="10"/>
  <c r="BL50" i="10"/>
  <c r="BL56" i="10" s="1"/>
  <c r="BL27" i="10"/>
  <c r="BJ95" i="10"/>
  <c r="BJ50" i="10"/>
  <c r="BJ56" i="10" s="1"/>
  <c r="BJ27" i="10"/>
  <c r="BR95" i="10"/>
  <c r="BR50" i="10"/>
  <c r="BR56" i="10" s="1"/>
  <c r="BR27" i="10"/>
  <c r="AT95" i="10"/>
  <c r="AT50" i="10"/>
  <c r="AT56" i="10" s="1"/>
  <c r="AT27" i="10"/>
  <c r="BN50" i="10"/>
  <c r="BN56" i="10" s="1"/>
  <c r="BN95" i="10"/>
  <c r="BN27" i="10"/>
  <c r="U95" i="10"/>
  <c r="U50" i="10"/>
  <c r="U56" i="10" s="1"/>
  <c r="U27" i="10"/>
  <c r="AI50" i="10"/>
  <c r="AI56" i="10" s="1"/>
  <c r="AI95" i="10"/>
  <c r="AI27" i="10"/>
  <c r="BD27" i="10"/>
  <c r="BD95" i="10"/>
  <c r="BD50" i="10"/>
  <c r="BD56" i="10" s="1"/>
  <c r="CF50" i="10"/>
  <c r="CF56" i="10" s="1"/>
  <c r="CF95" i="10"/>
  <c r="CF27" i="10"/>
  <c r="W95" i="10"/>
  <c r="W27" i="10"/>
  <c r="W50" i="10"/>
  <c r="W56" i="10" s="1"/>
  <c r="V95" i="10"/>
  <c r="V50" i="10"/>
  <c r="V56" i="10" s="1"/>
  <c r="V27" i="10"/>
  <c r="BO50" i="10"/>
  <c r="BO56" i="10" s="1"/>
  <c r="BO95" i="10"/>
  <c r="BO27" i="10"/>
  <c r="E87" i="3"/>
  <c r="Y95" i="10"/>
  <c r="Y27" i="10"/>
  <c r="Y50" i="10"/>
  <c r="Y56" i="10" s="1"/>
  <c r="AS95" i="10"/>
  <c r="AS50" i="10"/>
  <c r="AS56" i="10" s="1"/>
  <c r="AS27" i="10"/>
  <c r="AZ50" i="10"/>
  <c r="AZ56" i="10" s="1"/>
  <c r="AZ95" i="10"/>
  <c r="AZ27" i="10"/>
  <c r="BS95" i="10"/>
  <c r="BS27" i="10"/>
  <c r="BS50" i="10"/>
  <c r="BS56" i="10" s="1"/>
  <c r="AG95" i="10"/>
  <c r="AG27" i="10"/>
  <c r="AG50" i="10"/>
  <c r="AG56" i="10" s="1"/>
  <c r="T50" i="10"/>
  <c r="T56" i="10" s="1"/>
  <c r="T95" i="10"/>
  <c r="T27" i="10"/>
  <c r="K50" i="10"/>
  <c r="K56" i="10" s="1"/>
  <c r="K95" i="10"/>
  <c r="K27" i="10"/>
  <c r="AU95" i="10"/>
  <c r="AU50" i="10"/>
  <c r="AU56" i="10" s="1"/>
  <c r="AU27" i="10"/>
  <c r="AM95" i="10"/>
  <c r="AM27" i="10"/>
  <c r="AM50" i="10"/>
  <c r="AM56" i="10" s="1"/>
  <c r="BB95" i="10"/>
  <c r="BB50" i="10"/>
  <c r="BB56" i="10" s="1"/>
  <c r="BB27" i="10"/>
  <c r="CA95" i="10"/>
  <c r="CA50" i="10"/>
  <c r="CA56" i="10" s="1"/>
  <c r="CA27" i="10"/>
  <c r="Z50" i="10"/>
  <c r="Z56" i="10" s="1"/>
  <c r="Z95" i="10"/>
  <c r="Z27" i="10"/>
  <c r="AO95" i="10"/>
  <c r="AO27" i="10"/>
  <c r="AO50" i="10"/>
  <c r="AO56" i="10" s="1"/>
  <c r="J50" i="10"/>
  <c r="J56" i="10" s="1"/>
  <c r="J95" i="10"/>
  <c r="J27" i="10"/>
  <c r="BW50" i="10"/>
  <c r="BW56" i="10" s="1"/>
  <c r="BW95" i="10"/>
  <c r="BW27" i="10"/>
  <c r="AF95" i="10"/>
  <c r="AF50" i="10"/>
  <c r="AF56" i="10" s="1"/>
  <c r="AF27" i="10"/>
  <c r="X27" i="10"/>
  <c r="X95" i="10"/>
  <c r="X50" i="10"/>
  <c r="X56" i="10" s="1"/>
  <c r="P95" i="10"/>
  <c r="P50" i="10"/>
  <c r="P56" i="10" s="1"/>
  <c r="P27" i="10"/>
  <c r="E27" i="10" l="1"/>
  <c r="BY209" i="5"/>
  <c r="BY42" i="5"/>
  <c r="BY71" i="5" s="1"/>
  <c r="E95" i="10"/>
  <c r="G96" i="10"/>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6" i="10" s="1"/>
  <c r="AD96" i="10" s="1"/>
  <c r="AE96" i="10" s="1"/>
  <c r="AF96" i="10" s="1"/>
  <c r="AG96" i="10" s="1"/>
  <c r="AH96" i="10" s="1"/>
  <c r="AI96" i="10" s="1"/>
  <c r="AJ96" i="10" s="1"/>
  <c r="AK96" i="10" s="1"/>
  <c r="AL96" i="10" s="1"/>
  <c r="AM96" i="10" s="1"/>
  <c r="AN96" i="10" s="1"/>
  <c r="AO96" i="10" s="1"/>
  <c r="AP96" i="10" s="1"/>
  <c r="AQ96" i="10" s="1"/>
  <c r="AR96" i="10" s="1"/>
  <c r="AS96" i="10" s="1"/>
  <c r="AT96" i="10" s="1"/>
  <c r="AU96" i="10" s="1"/>
  <c r="AV96" i="10" s="1"/>
  <c r="AW96" i="10" s="1"/>
  <c r="AX96" i="10" s="1"/>
  <c r="AY96" i="10" s="1"/>
  <c r="AZ96" i="10" s="1"/>
  <c r="BA96" i="10" s="1"/>
  <c r="BB96" i="10" s="1"/>
  <c r="BC96" i="10" s="1"/>
  <c r="BD96" i="10" s="1"/>
  <c r="BE96" i="10" s="1"/>
  <c r="BF96" i="10" s="1"/>
  <c r="BG96" i="10" s="1"/>
  <c r="BH96" i="10" s="1"/>
  <c r="BI96" i="10" s="1"/>
  <c r="BJ96" i="10" s="1"/>
  <c r="BK96" i="10" s="1"/>
  <c r="BL96" i="10" s="1"/>
  <c r="BM96" i="10" s="1"/>
  <c r="BN96" i="10" s="1"/>
  <c r="BO96" i="10" s="1"/>
  <c r="BP96" i="10" s="1"/>
  <c r="BQ96" i="10" s="1"/>
  <c r="BR96" i="10" s="1"/>
  <c r="BS96" i="10" s="1"/>
  <c r="BT96" i="10" s="1"/>
  <c r="BU96" i="10" s="1"/>
  <c r="BV96" i="10" s="1"/>
  <c r="BW96" i="10" s="1"/>
  <c r="BX96" i="10" s="1"/>
  <c r="BY96" i="10" s="1"/>
  <c r="BZ96" i="10" s="1"/>
  <c r="CA96" i="10" s="1"/>
  <c r="CB96" i="10" s="1"/>
  <c r="CC96" i="10" s="1"/>
  <c r="CD96" i="10" s="1"/>
  <c r="CE96" i="10" s="1"/>
  <c r="CF96" i="10" s="1"/>
  <c r="CG96" i="10" s="1"/>
  <c r="CH96" i="10" s="1"/>
  <c r="E96" i="10" s="1"/>
  <c r="E89" i="3"/>
  <c r="G90" i="3" s="1"/>
  <c r="BY208" i="7"/>
  <c r="G60" i="10"/>
  <c r="G55" i="10"/>
  <c r="G17" i="10"/>
  <c r="G23" i="10"/>
  <c r="G53" i="10"/>
  <c r="H67" i="10"/>
  <c r="G97" i="10"/>
  <c r="BY210" i="5"/>
  <c r="G79" i="10"/>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9" i="10" s="1"/>
  <c r="AD79" i="10" s="1"/>
  <c r="AE79" i="10" s="1"/>
  <c r="AF79" i="10" s="1"/>
  <c r="AG79" i="10" s="1"/>
  <c r="AH79" i="10" s="1"/>
  <c r="AI79" i="10" s="1"/>
  <c r="AJ79" i="10" s="1"/>
  <c r="AK79" i="10" s="1"/>
  <c r="AL79" i="10" s="1"/>
  <c r="AM79" i="10" s="1"/>
  <c r="AN79" i="10" s="1"/>
  <c r="AO79" i="10" s="1"/>
  <c r="AP79" i="10" s="1"/>
  <c r="AQ79" i="10" s="1"/>
  <c r="AR79" i="10" s="1"/>
  <c r="AS79" i="10" s="1"/>
  <c r="AT79" i="10" s="1"/>
  <c r="AU79" i="10" s="1"/>
  <c r="AV79" i="10" s="1"/>
  <c r="AW79" i="10" s="1"/>
  <c r="AX79" i="10" s="1"/>
  <c r="AY79" i="10" s="1"/>
  <c r="AZ79" i="10" s="1"/>
  <c r="BA79" i="10" s="1"/>
  <c r="BB79" i="10" s="1"/>
  <c r="BC79" i="10" s="1"/>
  <c r="BD79" i="10" s="1"/>
  <c r="BE79" i="10" s="1"/>
  <c r="BF79" i="10" s="1"/>
  <c r="BG79" i="10" s="1"/>
  <c r="BH79" i="10" s="1"/>
  <c r="BI79" i="10" s="1"/>
  <c r="BJ79" i="10" s="1"/>
  <c r="BK79" i="10" s="1"/>
  <c r="BL79" i="10" s="1"/>
  <c r="BM79" i="10" s="1"/>
  <c r="BN79" i="10" s="1"/>
  <c r="BO79" i="10" s="1"/>
  <c r="BP79" i="10" s="1"/>
  <c r="BQ79" i="10" s="1"/>
  <c r="BR79" i="10" s="1"/>
  <c r="BS79" i="10" s="1"/>
  <c r="BT79" i="10" s="1"/>
  <c r="BU79" i="10" s="1"/>
  <c r="BV79" i="10" s="1"/>
  <c r="BW79" i="10" s="1"/>
  <c r="BX79" i="10" s="1"/>
  <c r="BY79" i="10" s="1"/>
  <c r="BZ79" i="10" s="1"/>
  <c r="CA79" i="10" s="1"/>
  <c r="CB79" i="10" s="1"/>
  <c r="CC79" i="10" s="1"/>
  <c r="CD79" i="10" s="1"/>
  <c r="CE79" i="10" s="1"/>
  <c r="CF79" i="10" s="1"/>
  <c r="CG79" i="10" s="1"/>
  <c r="CH79" i="10" s="1"/>
  <c r="E79" i="10" s="1"/>
  <c r="G56" i="10"/>
  <c r="E50" i="10"/>
  <c r="BM98" i="10"/>
  <c r="BL98" i="10"/>
  <c r="BK98" i="10"/>
  <c r="BF98" i="10"/>
  <c r="AQ98" i="10"/>
  <c r="AP98" i="10"/>
  <c r="AI98" i="10"/>
  <c r="BX98" i="10"/>
  <c r="AS98" i="10"/>
  <c r="CH98" i="10"/>
  <c r="I98" i="10"/>
  <c r="N98" i="10"/>
  <c r="AF98" i="10"/>
  <c r="BW98" i="10"/>
  <c r="BR98" i="10"/>
  <c r="BE98" i="10"/>
  <c r="BD98" i="10"/>
  <c r="BC98" i="10"/>
  <c r="AR98" i="10"/>
  <c r="AC98" i="10"/>
  <c r="AB98" i="10"/>
  <c r="U98" i="10"/>
  <c r="AY98" i="10"/>
  <c r="T98" i="10"/>
  <c r="BI98" i="10"/>
  <c r="S98" i="10"/>
  <c r="G98" i="10"/>
  <c r="AE98" i="10"/>
  <c r="CG98" i="10"/>
  <c r="P98" i="10"/>
  <c r="AX98" i="10"/>
  <c r="BG98" i="10"/>
  <c r="L98" i="10"/>
  <c r="AW98" i="10"/>
  <c r="AV98" i="10"/>
  <c r="AU98" i="10"/>
  <c r="AD98" i="10"/>
  <c r="R98" i="10"/>
  <c r="Q98" i="10"/>
  <c r="M98" i="10"/>
  <c r="Z98" i="10"/>
  <c r="BN98" i="10"/>
  <c r="AJ98" i="10"/>
  <c r="J98" i="10"/>
  <c r="AL98" i="10"/>
  <c r="K98" i="10"/>
  <c r="BY98" i="10"/>
  <c r="CF98" i="10"/>
  <c r="BJ98" i="10"/>
  <c r="H98" i="10"/>
  <c r="AO98" i="10"/>
  <c r="AN98" i="10"/>
  <c r="AM98" i="10"/>
  <c r="AZ98" i="10"/>
  <c r="AG98" i="10"/>
  <c r="Y98" i="10"/>
  <c r="X98" i="10"/>
  <c r="W98" i="10"/>
  <c r="CD98" i="10"/>
  <c r="BZ98" i="10"/>
  <c r="BV98" i="10"/>
  <c r="CC98" i="10"/>
  <c r="CB98" i="10"/>
  <c r="CA98" i="10"/>
  <c r="CE98" i="10"/>
  <c r="BP98" i="10"/>
  <c r="BO98" i="10"/>
  <c r="BH98" i="10"/>
  <c r="AA98" i="10"/>
  <c r="V98" i="10"/>
  <c r="AK98" i="10"/>
  <c r="AH98" i="10"/>
  <c r="BT98" i="10"/>
  <c r="BS98" i="10"/>
  <c r="BQ98" i="10"/>
  <c r="BB98" i="10"/>
  <c r="BA98" i="10"/>
  <c r="AT98" i="10"/>
  <c r="O98" i="10"/>
  <c r="BU98" i="10"/>
  <c r="E98" i="10" l="1"/>
  <c r="E129" i="3" s="1"/>
  <c r="I25" i="8" s="1"/>
  <c r="G84" i="10"/>
  <c r="BZ208" i="5"/>
  <c r="BY209" i="7"/>
  <c r="BY42" i="7"/>
  <c r="BY71" i="7" s="1"/>
  <c r="I67" i="10"/>
  <c r="H97" i="10"/>
  <c r="BY210" i="7"/>
  <c r="G85" i="10"/>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5" i="10" s="1"/>
  <c r="AD85" i="10" s="1"/>
  <c r="AE85" i="10" s="1"/>
  <c r="AF85" i="10" s="1"/>
  <c r="AG85" i="10" s="1"/>
  <c r="AH85" i="10" s="1"/>
  <c r="AI85" i="10" s="1"/>
  <c r="AJ85" i="10" s="1"/>
  <c r="AK85" i="10" s="1"/>
  <c r="AL85" i="10" s="1"/>
  <c r="AM85" i="10" s="1"/>
  <c r="AN85" i="10" s="1"/>
  <c r="AO85" i="10" s="1"/>
  <c r="AP85" i="10" s="1"/>
  <c r="AQ85" i="10" s="1"/>
  <c r="AR85" i="10" s="1"/>
  <c r="AS85" i="10" s="1"/>
  <c r="AT85" i="10" s="1"/>
  <c r="AU85" i="10" s="1"/>
  <c r="AV85" i="10" s="1"/>
  <c r="AW85" i="10" s="1"/>
  <c r="AX85" i="10" s="1"/>
  <c r="AY85" i="10" s="1"/>
  <c r="AZ85" i="10" s="1"/>
  <c r="BA85" i="10" s="1"/>
  <c r="BB85" i="10" s="1"/>
  <c r="BC85" i="10" s="1"/>
  <c r="BD85" i="10" s="1"/>
  <c r="BE85" i="10" s="1"/>
  <c r="BF85" i="10" s="1"/>
  <c r="BG85" i="10" s="1"/>
  <c r="BH85" i="10" s="1"/>
  <c r="BI85" i="10" s="1"/>
  <c r="BJ85" i="10" s="1"/>
  <c r="BK85" i="10" s="1"/>
  <c r="BL85" i="10" s="1"/>
  <c r="BM85" i="10" s="1"/>
  <c r="BN85" i="10" s="1"/>
  <c r="BO85" i="10" s="1"/>
  <c r="BP85" i="10" s="1"/>
  <c r="BQ85" i="10" s="1"/>
  <c r="BR85" i="10" s="1"/>
  <c r="BS85" i="10" s="1"/>
  <c r="BT85" i="10" s="1"/>
  <c r="BU85" i="10" s="1"/>
  <c r="BV85" i="10" s="1"/>
  <c r="BW85" i="10" s="1"/>
  <c r="BX85" i="10" s="1"/>
  <c r="BY85" i="10" s="1"/>
  <c r="BZ85" i="10" s="1"/>
  <c r="CA85" i="10" s="1"/>
  <c r="CB85" i="10" s="1"/>
  <c r="CC85" i="10" s="1"/>
  <c r="CD85" i="10" s="1"/>
  <c r="CE85" i="10" s="1"/>
  <c r="CF85" i="10" s="1"/>
  <c r="CG85" i="10" s="1"/>
  <c r="CH85" i="10" s="1"/>
  <c r="E85" i="10" s="1"/>
  <c r="E56" i="10"/>
  <c r="G82" i="10"/>
  <c r="H31" i="10"/>
  <c r="G188" i="10"/>
  <c r="E90" i="3"/>
  <c r="G88" i="3"/>
  <c r="F88" i="3"/>
  <c r="H88" i="3"/>
  <c r="F90" i="3"/>
  <c r="H90" i="3"/>
  <c r="E88" i="3"/>
  <c r="BZ209" i="5" l="1"/>
  <c r="BZ42" i="5"/>
  <c r="BZ71" i="5" s="1"/>
  <c r="BZ210" i="5"/>
  <c r="BZ208" i="7"/>
  <c r="BZ210" i="7" s="1"/>
  <c r="H17" i="10"/>
  <c r="H55" i="10"/>
  <c r="H84" i="10" s="1"/>
  <c r="H23" i="10"/>
  <c r="H53" i="10"/>
  <c r="H82" i="10" s="1"/>
  <c r="H60" i="10"/>
  <c r="J67" i="10"/>
  <c r="I97" i="10"/>
  <c r="CA208" i="7" l="1"/>
  <c r="I31" i="10"/>
  <c r="CA208" i="5"/>
  <c r="BZ209" i="7"/>
  <c r="BZ42" i="7"/>
  <c r="BZ71" i="7" s="1"/>
  <c r="K67" i="10"/>
  <c r="J97" i="10"/>
  <c r="I55" i="10" l="1"/>
  <c r="I17" i="10"/>
  <c r="I23" i="10"/>
  <c r="I53" i="10"/>
  <c r="I60" i="10"/>
  <c r="L67" i="10"/>
  <c r="K97" i="10"/>
  <c r="CA209" i="7"/>
  <c r="CA42" i="7"/>
  <c r="CA71" i="7" s="1"/>
  <c r="CA209" i="5"/>
  <c r="CA42" i="5"/>
  <c r="CA71" i="5" s="1"/>
  <c r="CA210" i="5"/>
  <c r="CA210" i="7"/>
  <c r="M67" i="10" l="1"/>
  <c r="L97" i="10"/>
  <c r="CB208" i="5"/>
  <c r="J31" i="10"/>
  <c r="J60" i="10" s="1"/>
  <c r="I82" i="10"/>
  <c r="I84" i="10"/>
  <c r="CB208" i="7"/>
  <c r="CB210" i="7" s="1"/>
  <c r="CB209" i="7" l="1"/>
  <c r="CB42" i="7"/>
  <c r="CB71" i="7" s="1"/>
  <c r="K31" i="10"/>
  <c r="CB209" i="5"/>
  <c r="CB42" i="5"/>
  <c r="CB71" i="5" s="1"/>
  <c r="N67" i="10"/>
  <c r="M97" i="10"/>
  <c r="CC208" i="7"/>
  <c r="CB210" i="5"/>
  <c r="J55" i="10"/>
  <c r="J23" i="10"/>
  <c r="J17" i="10"/>
  <c r="J53" i="10"/>
  <c r="K55" i="10" l="1"/>
  <c r="K23" i="10"/>
  <c r="K17" i="10"/>
  <c r="K53" i="10"/>
  <c r="CC209" i="7"/>
  <c r="CC42" i="7"/>
  <c r="CC71" i="7" s="1"/>
  <c r="O67" i="10"/>
  <c r="N97" i="10"/>
  <c r="K60" i="10"/>
  <c r="CC210" i="7"/>
  <c r="J82" i="10"/>
  <c r="CC208" i="5"/>
  <c r="J84" i="10"/>
  <c r="P67" i="10" l="1"/>
  <c r="O97" i="10"/>
  <c r="K84" i="10"/>
  <c r="L31" i="10"/>
  <c r="CC209" i="5"/>
  <c r="CC42" i="5"/>
  <c r="CC71" i="5" s="1"/>
  <c r="CC210" i="5"/>
  <c r="CD208" i="7"/>
  <c r="CD210" i="7" s="1"/>
  <c r="K82" i="10"/>
  <c r="CE208" i="7" l="1"/>
  <c r="L23" i="10"/>
  <c r="L17" i="10"/>
  <c r="L55" i="10"/>
  <c r="L84" i="10" s="1"/>
  <c r="L53" i="10"/>
  <c r="L82" i="10" s="1"/>
  <c r="CD209" i="7"/>
  <c r="CD42" i="7"/>
  <c r="CD71" i="7" s="1"/>
  <c r="L60" i="10"/>
  <c r="CD208" i="5"/>
  <c r="Q67" i="10"/>
  <c r="P97" i="10"/>
  <c r="CD209" i="5" l="1"/>
  <c r="CD42" i="5"/>
  <c r="CD71" i="5" s="1"/>
  <c r="CE209" i="7"/>
  <c r="CE42" i="7"/>
  <c r="CE71" i="7" s="1"/>
  <c r="M31" i="10"/>
  <c r="R67" i="10"/>
  <c r="Q97" i="10"/>
  <c r="CD210" i="5"/>
  <c r="CE210" i="7"/>
  <c r="CF208" i="7" l="1"/>
  <c r="S67" i="10"/>
  <c r="R97" i="10"/>
  <c r="CE208" i="5"/>
  <c r="M55" i="10"/>
  <c r="M84" i="10" s="1"/>
  <c r="M23" i="10"/>
  <c r="M17" i="10"/>
  <c r="M53" i="10"/>
  <c r="M82" i="10" s="1"/>
  <c r="M60" i="10"/>
  <c r="N31" i="10" l="1"/>
  <c r="CE209" i="5"/>
  <c r="CE42" i="5"/>
  <c r="CE71" i="5" s="1"/>
  <c r="CE210" i="5"/>
  <c r="T67" i="10"/>
  <c r="S97" i="10"/>
  <c r="CF209" i="7"/>
  <c r="CF42" i="7"/>
  <c r="CF71" i="7" s="1"/>
  <c r="CF210" i="7"/>
  <c r="U67" i="10" l="1"/>
  <c r="T97" i="10"/>
  <c r="CG208" i="7"/>
  <c r="CG210" i="7" s="1"/>
  <c r="CF208" i="5"/>
  <c r="CF210" i="5" s="1"/>
  <c r="N55" i="10"/>
  <c r="N84" i="10" s="1"/>
  <c r="N17" i="10"/>
  <c r="N53" i="10"/>
  <c r="N82" i="10" s="1"/>
  <c r="N23" i="10"/>
  <c r="N60" i="10"/>
  <c r="CG208" i="5" l="1"/>
  <c r="CH208" i="7"/>
  <c r="CH210" i="7" s="1"/>
  <c r="E210" i="7" s="1"/>
  <c r="E211" i="7" s="1"/>
  <c r="O31" i="10"/>
  <c r="CG209" i="7"/>
  <c r="CG42" i="7"/>
  <c r="CG71" i="7" s="1"/>
  <c r="V67" i="10"/>
  <c r="U97" i="10"/>
  <c r="CF209" i="5"/>
  <c r="CF42" i="5"/>
  <c r="CF71" i="5" s="1"/>
  <c r="O55" i="10" l="1"/>
  <c r="O84" i="10" s="1"/>
  <c r="O17" i="10"/>
  <c r="O23" i="10"/>
  <c r="O53" i="10"/>
  <c r="O82" i="10" s="1"/>
  <c r="O60" i="10"/>
  <c r="W67" i="10"/>
  <c r="V97" i="10"/>
  <c r="CH209" i="7"/>
  <c r="E209" i="7" s="1"/>
  <c r="CH42" i="7"/>
  <c r="E42" i="7" s="1"/>
  <c r="E208" i="7"/>
  <c r="E212" i="7" s="1"/>
  <c r="CG209" i="5"/>
  <c r="CG42" i="5"/>
  <c r="CG71" i="5" s="1"/>
  <c r="CH71" i="7"/>
  <c r="E71" i="7" s="1"/>
  <c r="CG210" i="5"/>
  <c r="CH208" i="5" l="1"/>
  <c r="X67" i="10"/>
  <c r="W97" i="10"/>
  <c r="P31" i="10"/>
  <c r="F29" i="6"/>
  <c r="F25" i="6" s="1"/>
  <c r="E121" i="6"/>
  <c r="E122" i="6" s="1"/>
  <c r="CE36" i="7" l="1"/>
  <c r="BW36" i="7"/>
  <c r="BO36" i="7"/>
  <c r="BG36" i="7"/>
  <c r="AY36" i="7"/>
  <c r="AQ36" i="7"/>
  <c r="AI36" i="7"/>
  <c r="AA36" i="7"/>
  <c r="S36" i="7"/>
  <c r="K36" i="7"/>
  <c r="CD36" i="7"/>
  <c r="BV36" i="7"/>
  <c r="BN36" i="7"/>
  <c r="BF36" i="7"/>
  <c r="AX36" i="7"/>
  <c r="AP36" i="7"/>
  <c r="AH36" i="7"/>
  <c r="Z36" i="7"/>
  <c r="R36" i="7"/>
  <c r="J36" i="7"/>
  <c r="BZ36" i="7"/>
  <c r="BP36" i="7"/>
  <c r="BD36" i="7"/>
  <c r="AT36" i="7"/>
  <c r="AJ36" i="7"/>
  <c r="X36" i="7"/>
  <c r="N36" i="7"/>
  <c r="BY36" i="7"/>
  <c r="BM36" i="7"/>
  <c r="BC36" i="7"/>
  <c r="AS36" i="7"/>
  <c r="AG36" i="7"/>
  <c r="W36" i="7"/>
  <c r="M36" i="7"/>
  <c r="CH36" i="7"/>
  <c r="BX36" i="7"/>
  <c r="BL36" i="7"/>
  <c r="BB36" i="7"/>
  <c r="AR36" i="7"/>
  <c r="AF36" i="7"/>
  <c r="V36" i="7"/>
  <c r="L36" i="7"/>
  <c r="CB36" i="7"/>
  <c r="BR36" i="7"/>
  <c r="BH36" i="7"/>
  <c r="AV36" i="7"/>
  <c r="AL36" i="7"/>
  <c r="AB36" i="7"/>
  <c r="P36" i="7"/>
  <c r="CG36" i="7"/>
  <c r="BK36" i="7"/>
  <c r="AO36" i="7"/>
  <c r="U36" i="7"/>
  <c r="CF36" i="7"/>
  <c r="BJ36" i="7"/>
  <c r="AN36" i="7"/>
  <c r="T36" i="7"/>
  <c r="CC36" i="7"/>
  <c r="BI36" i="7"/>
  <c r="AM36" i="7"/>
  <c r="Q36" i="7"/>
  <c r="BS36" i="7"/>
  <c r="AW36" i="7"/>
  <c r="AC36" i="7"/>
  <c r="G36" i="7"/>
  <c r="BQ36" i="7"/>
  <c r="AU36" i="7"/>
  <c r="Y36" i="7"/>
  <c r="BT36" i="7"/>
  <c r="I36" i="7"/>
  <c r="BE36" i="7"/>
  <c r="H36" i="7"/>
  <c r="BA36" i="7"/>
  <c r="AZ36" i="7"/>
  <c r="AK36" i="7"/>
  <c r="AE36" i="7"/>
  <c r="CA36" i="7"/>
  <c r="AD36" i="7"/>
  <c r="BU36" i="7"/>
  <c r="O36" i="7"/>
  <c r="F39" i="6"/>
  <c r="H39" i="6"/>
  <c r="E39" i="6"/>
  <c r="G39" i="6"/>
  <c r="Y67" i="10"/>
  <c r="X97" i="10"/>
  <c r="CH209" i="5"/>
  <c r="E209" i="5" s="1"/>
  <c r="CH42" i="5"/>
  <c r="E208" i="5"/>
  <c r="E212" i="5" s="1"/>
  <c r="P17" i="10"/>
  <c r="P55" i="10"/>
  <c r="P84" i="10" s="1"/>
  <c r="P23" i="10"/>
  <c r="P53" i="10"/>
  <c r="P82" i="10" s="1"/>
  <c r="CH210" i="5"/>
  <c r="E210" i="5" s="1"/>
  <c r="E211" i="5" s="1"/>
  <c r="P60" i="10"/>
  <c r="Q31" i="10" l="1"/>
  <c r="O198" i="7"/>
  <c r="O38" i="7"/>
  <c r="H198" i="7"/>
  <c r="H38" i="7"/>
  <c r="AC198" i="7"/>
  <c r="AC38" i="7"/>
  <c r="AN198" i="7"/>
  <c r="AN38" i="7"/>
  <c r="AB198" i="7"/>
  <c r="AB38" i="7"/>
  <c r="AF198" i="7"/>
  <c r="AF38" i="7"/>
  <c r="AG198" i="7"/>
  <c r="AG38" i="7"/>
  <c r="AT198" i="7"/>
  <c r="AT38" i="7"/>
  <c r="AP198" i="7"/>
  <c r="AP38" i="7"/>
  <c r="AA198" i="7"/>
  <c r="AA38" i="7"/>
  <c r="BU198" i="7"/>
  <c r="BU38" i="7"/>
  <c r="BE198" i="7"/>
  <c r="BE38" i="7"/>
  <c r="AW198" i="7"/>
  <c r="AW38" i="7"/>
  <c r="BJ198" i="7"/>
  <c r="BJ38" i="7"/>
  <c r="AL198" i="7"/>
  <c r="AL38" i="7"/>
  <c r="AR198" i="7"/>
  <c r="AR38" i="7"/>
  <c r="AS198" i="7"/>
  <c r="AS38" i="7"/>
  <c r="BD198" i="7"/>
  <c r="BD38" i="7"/>
  <c r="AX198" i="7"/>
  <c r="AX38" i="7"/>
  <c r="AI198" i="7"/>
  <c r="AI38" i="7"/>
  <c r="Z67" i="10"/>
  <c r="Y97" i="10"/>
  <c r="AD198" i="7"/>
  <c r="AD38" i="7"/>
  <c r="I198" i="7"/>
  <c r="I38" i="7"/>
  <c r="BS198" i="7"/>
  <c r="BS38" i="7"/>
  <c r="CF198" i="7"/>
  <c r="CF38" i="7"/>
  <c r="AV198" i="7"/>
  <c r="AV38" i="7"/>
  <c r="BB198" i="7"/>
  <c r="BB38" i="7"/>
  <c r="BC198" i="7"/>
  <c r="BC38" i="7"/>
  <c r="BP198" i="7"/>
  <c r="BP38" i="7"/>
  <c r="BF198" i="7"/>
  <c r="BF38" i="7"/>
  <c r="AQ198" i="7"/>
  <c r="AQ38" i="7"/>
  <c r="G85" i="6"/>
  <c r="G83" i="6"/>
  <c r="G81" i="6"/>
  <c r="F111" i="6"/>
  <c r="G91" i="6"/>
  <c r="CA198" i="7"/>
  <c r="CA38" i="7"/>
  <c r="BT198" i="7"/>
  <c r="BT38" i="7"/>
  <c r="Q198" i="7"/>
  <c r="Q38" i="7"/>
  <c r="U198" i="7"/>
  <c r="U38" i="7"/>
  <c r="BH198" i="7"/>
  <c r="BH38" i="7"/>
  <c r="BL198" i="7"/>
  <c r="BL38" i="7"/>
  <c r="BM198" i="7"/>
  <c r="BM38" i="7"/>
  <c r="BZ198" i="7"/>
  <c r="BZ38" i="7"/>
  <c r="BN198" i="7"/>
  <c r="BN38" i="7"/>
  <c r="AY198" i="7"/>
  <c r="AY38" i="7"/>
  <c r="AE198" i="7"/>
  <c r="AE38" i="7"/>
  <c r="Y198" i="7"/>
  <c r="Y38" i="7"/>
  <c r="AM198" i="7"/>
  <c r="AM38" i="7"/>
  <c r="AO198" i="7"/>
  <c r="AO38" i="7"/>
  <c r="BR198" i="7"/>
  <c r="BR38" i="7"/>
  <c r="BX198" i="7"/>
  <c r="BX38" i="7"/>
  <c r="BG198" i="7"/>
  <c r="BG38" i="7"/>
  <c r="BV198" i="7"/>
  <c r="BV38" i="7"/>
  <c r="F112" i="6"/>
  <c r="H85" i="6"/>
  <c r="H83" i="6"/>
  <c r="H81" i="6"/>
  <c r="H91" i="6"/>
  <c r="AK198" i="7"/>
  <c r="AK38" i="7"/>
  <c r="AU198" i="7"/>
  <c r="AU38" i="7"/>
  <c r="BI198" i="7"/>
  <c r="BI38" i="7"/>
  <c r="BK198" i="7"/>
  <c r="BK38" i="7"/>
  <c r="CB198" i="7"/>
  <c r="CB38" i="7"/>
  <c r="CH198" i="7"/>
  <c r="CH38" i="7"/>
  <c r="N198" i="7"/>
  <c r="N38" i="7"/>
  <c r="R198" i="7"/>
  <c r="R38" i="7"/>
  <c r="CD198" i="7"/>
  <c r="CD38" i="7"/>
  <c r="BO198" i="7"/>
  <c r="BO38" i="7"/>
  <c r="E85" i="6"/>
  <c r="F102" i="6"/>
  <c r="F101" i="6" s="1"/>
  <c r="E83" i="6"/>
  <c r="F109" i="6"/>
  <c r="E81" i="6"/>
  <c r="E91" i="6"/>
  <c r="BY198" i="7"/>
  <c r="BY38" i="7"/>
  <c r="F110" i="6"/>
  <c r="F85" i="6"/>
  <c r="F83" i="6"/>
  <c r="F81" i="6"/>
  <c r="F91" i="6"/>
  <c r="AZ198" i="7"/>
  <c r="AZ38" i="7"/>
  <c r="BQ198" i="7"/>
  <c r="BQ38" i="7"/>
  <c r="CC198" i="7"/>
  <c r="CC38" i="7"/>
  <c r="CG198" i="7"/>
  <c r="CG38" i="7"/>
  <c r="L198" i="7"/>
  <c r="L38" i="7"/>
  <c r="M198" i="7"/>
  <c r="M38" i="7"/>
  <c r="X198" i="7"/>
  <c r="X38" i="7"/>
  <c r="Z198" i="7"/>
  <c r="Z38" i="7"/>
  <c r="K198" i="7"/>
  <c r="K38" i="7"/>
  <c r="BW198" i="7"/>
  <c r="BW38" i="7"/>
  <c r="J198" i="7"/>
  <c r="J38" i="7"/>
  <c r="E42" i="5"/>
  <c r="CH71" i="5"/>
  <c r="E71" i="5" s="1"/>
  <c r="BA198" i="7"/>
  <c r="BA38" i="7"/>
  <c r="G198" i="7"/>
  <c r="E36" i="7"/>
  <c r="G65" i="7"/>
  <c r="H65" i="7" s="1"/>
  <c r="I65" i="7" s="1"/>
  <c r="J65" i="7" s="1"/>
  <c r="K65" i="7" s="1"/>
  <c r="L65" i="7" s="1"/>
  <c r="M65" i="7" s="1"/>
  <c r="N65" i="7" s="1"/>
  <c r="O65" i="7" s="1"/>
  <c r="P65" i="7" s="1"/>
  <c r="Q65" i="7" s="1"/>
  <c r="R65" i="7" s="1"/>
  <c r="S65" i="7" s="1"/>
  <c r="T65" i="7" s="1"/>
  <c r="U65" i="7" s="1"/>
  <c r="V65" i="7" s="1"/>
  <c r="W65" i="7" s="1"/>
  <c r="X65" i="7" s="1"/>
  <c r="Y65" i="7" s="1"/>
  <c r="Z65" i="7" s="1"/>
  <c r="AA65" i="7" s="1"/>
  <c r="AB65" i="7" s="1"/>
  <c r="AC65" i="7" s="1"/>
  <c r="AD65" i="7" s="1"/>
  <c r="AE65" i="7" s="1"/>
  <c r="AF65" i="7" s="1"/>
  <c r="AG65" i="7" s="1"/>
  <c r="AH65" i="7" s="1"/>
  <c r="AI65" i="7" s="1"/>
  <c r="AJ65" i="7" s="1"/>
  <c r="AK65" i="7" s="1"/>
  <c r="AL65" i="7" s="1"/>
  <c r="AM65" i="7" s="1"/>
  <c r="AN65" i="7" s="1"/>
  <c r="AO65" i="7" s="1"/>
  <c r="AP65" i="7" s="1"/>
  <c r="AQ65" i="7" s="1"/>
  <c r="AR65" i="7" s="1"/>
  <c r="AS65" i="7" s="1"/>
  <c r="AT65" i="7" s="1"/>
  <c r="AU65" i="7" s="1"/>
  <c r="AV65" i="7" s="1"/>
  <c r="AW65" i="7" s="1"/>
  <c r="AX65" i="7" s="1"/>
  <c r="AY65" i="7" s="1"/>
  <c r="AZ65" i="7" s="1"/>
  <c r="BA65" i="7" s="1"/>
  <c r="BB65" i="7" s="1"/>
  <c r="BC65" i="7" s="1"/>
  <c r="BD65" i="7" s="1"/>
  <c r="BE65" i="7" s="1"/>
  <c r="BF65" i="7" s="1"/>
  <c r="BG65" i="7" s="1"/>
  <c r="BH65" i="7" s="1"/>
  <c r="BI65" i="7" s="1"/>
  <c r="BJ65" i="7" s="1"/>
  <c r="BK65" i="7" s="1"/>
  <c r="BL65" i="7" s="1"/>
  <c r="BM65" i="7" s="1"/>
  <c r="BN65" i="7" s="1"/>
  <c r="BO65" i="7" s="1"/>
  <c r="BP65" i="7" s="1"/>
  <c r="BQ65" i="7" s="1"/>
  <c r="BR65" i="7" s="1"/>
  <c r="BS65" i="7" s="1"/>
  <c r="BT65" i="7" s="1"/>
  <c r="BU65" i="7" s="1"/>
  <c r="BV65" i="7" s="1"/>
  <c r="BW65" i="7" s="1"/>
  <c r="BX65" i="7" s="1"/>
  <c r="BY65" i="7" s="1"/>
  <c r="BZ65" i="7" s="1"/>
  <c r="CA65" i="7" s="1"/>
  <c r="CB65" i="7" s="1"/>
  <c r="CC65" i="7" s="1"/>
  <c r="CD65" i="7" s="1"/>
  <c r="CE65" i="7" s="1"/>
  <c r="CF65" i="7" s="1"/>
  <c r="CG65" i="7" s="1"/>
  <c r="CH65" i="7" s="1"/>
  <c r="E65" i="7" s="1"/>
  <c r="G38" i="7"/>
  <c r="T198" i="7"/>
  <c r="T38" i="7"/>
  <c r="P198" i="7"/>
  <c r="P38" i="7"/>
  <c r="V198" i="7"/>
  <c r="V38" i="7"/>
  <c r="W198" i="7"/>
  <c r="W38" i="7"/>
  <c r="AJ198" i="7"/>
  <c r="AJ38" i="7"/>
  <c r="AH198" i="7"/>
  <c r="AH38" i="7"/>
  <c r="S198" i="7"/>
  <c r="S38" i="7"/>
  <c r="CE198" i="7"/>
  <c r="CE38" i="7"/>
  <c r="H92" i="6" l="1"/>
  <c r="G87" i="6"/>
  <c r="G89" i="6" s="1"/>
  <c r="N95" i="7"/>
  <c r="N50" i="7"/>
  <c r="N56" i="7" s="1"/>
  <c r="N27" i="7"/>
  <c r="BI50" i="7"/>
  <c r="BI56" i="7" s="1"/>
  <c r="BI27" i="7"/>
  <c r="BI95" i="7"/>
  <c r="R27" i="7"/>
  <c r="R95" i="7"/>
  <c r="R50" i="7"/>
  <c r="R56" i="7" s="1"/>
  <c r="BK95" i="7"/>
  <c r="BK50" i="7"/>
  <c r="BK56" i="7" s="1"/>
  <c r="BK27" i="7"/>
  <c r="BF27" i="7"/>
  <c r="BF95" i="7"/>
  <c r="BF50" i="7"/>
  <c r="BF56" i="7" s="1"/>
  <c r="AV95" i="7"/>
  <c r="AV27" i="7"/>
  <c r="AV50" i="7"/>
  <c r="AV56" i="7" s="1"/>
  <c r="AD95" i="7"/>
  <c r="AD27" i="7"/>
  <c r="AD50" i="7"/>
  <c r="AD56" i="7" s="1"/>
  <c r="BD95" i="7"/>
  <c r="BD50" i="7"/>
  <c r="BD56" i="7" s="1"/>
  <c r="BD27" i="7"/>
  <c r="BJ95" i="7"/>
  <c r="BJ50" i="7"/>
  <c r="BJ56" i="7" s="1"/>
  <c r="BJ27" i="7"/>
  <c r="S27" i="7"/>
  <c r="S50" i="7"/>
  <c r="S56" i="7" s="1"/>
  <c r="S95" i="7"/>
  <c r="V95" i="7"/>
  <c r="V50" i="7"/>
  <c r="V56" i="7" s="1"/>
  <c r="V27" i="7"/>
  <c r="BW27" i="7"/>
  <c r="BW50" i="7"/>
  <c r="BW56" i="7" s="1"/>
  <c r="BW95" i="7"/>
  <c r="M50" i="7"/>
  <c r="M56" i="7" s="1"/>
  <c r="M95" i="7"/>
  <c r="M27" i="7"/>
  <c r="BQ50" i="7"/>
  <c r="BQ56" i="7" s="1"/>
  <c r="BQ27" i="7"/>
  <c r="BQ95" i="7"/>
  <c r="BX50" i="7"/>
  <c r="BX56" i="7" s="1"/>
  <c r="BX95" i="7"/>
  <c r="BX27" i="7"/>
  <c r="Y27" i="7"/>
  <c r="Y95" i="7"/>
  <c r="Y50" i="7"/>
  <c r="Y56" i="7" s="1"/>
  <c r="BZ95" i="7"/>
  <c r="BZ50" i="7"/>
  <c r="BZ56" i="7" s="1"/>
  <c r="BZ27" i="7"/>
  <c r="U50" i="7"/>
  <c r="U56" i="7" s="1"/>
  <c r="U95" i="7"/>
  <c r="U27" i="7"/>
  <c r="G92" i="6"/>
  <c r="AA27" i="7"/>
  <c r="AA50" i="7"/>
  <c r="AA56" i="7" s="1"/>
  <c r="AA95" i="7"/>
  <c r="AF95" i="7"/>
  <c r="AF50" i="7"/>
  <c r="AF56" i="7" s="1"/>
  <c r="AF27" i="7"/>
  <c r="H95" i="7"/>
  <c r="H50" i="7"/>
  <c r="H56" i="7" s="1"/>
  <c r="H27" i="7"/>
  <c r="AS50" i="7"/>
  <c r="AS56" i="7" s="1"/>
  <c r="AS95" i="7"/>
  <c r="AS27" i="7"/>
  <c r="AW95" i="7"/>
  <c r="AW27" i="7"/>
  <c r="AW50" i="7"/>
  <c r="AW56" i="7" s="1"/>
  <c r="AP27" i="7"/>
  <c r="AP95" i="7"/>
  <c r="AP50" i="7"/>
  <c r="AP56" i="7" s="1"/>
  <c r="AB50" i="7"/>
  <c r="AB56" i="7" s="1"/>
  <c r="AB27" i="7"/>
  <c r="AB95" i="7"/>
  <c r="O95" i="7"/>
  <c r="O50" i="7"/>
  <c r="O56" i="7" s="1"/>
  <c r="O27" i="7"/>
  <c r="AZ50" i="7"/>
  <c r="AZ56" i="7" s="1"/>
  <c r="AZ95" i="7"/>
  <c r="AZ27" i="7"/>
  <c r="E198" i="7"/>
  <c r="BY50" i="7"/>
  <c r="BY56" i="7" s="1"/>
  <c r="BY95" i="7"/>
  <c r="BY27" i="7"/>
  <c r="H87" i="6"/>
  <c r="H89" i="6" s="1"/>
  <c r="BP50" i="7"/>
  <c r="BP56" i="7" s="1"/>
  <c r="BP95" i="7"/>
  <c r="BP27" i="7"/>
  <c r="CF50" i="7"/>
  <c r="CF56" i="7" s="1"/>
  <c r="CF95" i="7"/>
  <c r="CF27" i="7"/>
  <c r="AH27" i="7"/>
  <c r="AH95" i="7"/>
  <c r="AH50" i="7"/>
  <c r="AH56" i="7" s="1"/>
  <c r="P95" i="7"/>
  <c r="P27" i="7"/>
  <c r="P50" i="7"/>
  <c r="P56" i="7" s="1"/>
  <c r="BA50" i="7"/>
  <c r="BA56" i="7" s="1"/>
  <c r="BA95" i="7"/>
  <c r="BA27" i="7"/>
  <c r="K27" i="7"/>
  <c r="K50" i="7"/>
  <c r="K56" i="7" s="1"/>
  <c r="K95" i="7"/>
  <c r="L50" i="7"/>
  <c r="L56" i="7" s="1"/>
  <c r="L95" i="7"/>
  <c r="L27" i="7"/>
  <c r="Q95" i="7"/>
  <c r="Q27" i="7"/>
  <c r="Q50" i="7"/>
  <c r="Q56" i="7" s="1"/>
  <c r="AA67" i="10"/>
  <c r="Z97" i="10"/>
  <c r="E92" i="6"/>
  <c r="BS95" i="7"/>
  <c r="BS50" i="7"/>
  <c r="BS56" i="7" s="1"/>
  <c r="BS27" i="7"/>
  <c r="AR50" i="7"/>
  <c r="AR56" i="7" s="1"/>
  <c r="AR95" i="7"/>
  <c r="AR27" i="7"/>
  <c r="Z27" i="7"/>
  <c r="Z95" i="7"/>
  <c r="Z50" i="7"/>
  <c r="Z56" i="7" s="1"/>
  <c r="BV27" i="7"/>
  <c r="BV95" i="7"/>
  <c r="BV50" i="7"/>
  <c r="BV56" i="7" s="1"/>
  <c r="AO95" i="7"/>
  <c r="AO27" i="7"/>
  <c r="AO50" i="7"/>
  <c r="AO56" i="7" s="1"/>
  <c r="AY27" i="7"/>
  <c r="AY50" i="7"/>
  <c r="AY56" i="7" s="1"/>
  <c r="AY95" i="7"/>
  <c r="BL95" i="7"/>
  <c r="BL50" i="7"/>
  <c r="BL56" i="7" s="1"/>
  <c r="BL27" i="7"/>
  <c r="BT95" i="7"/>
  <c r="BT50" i="7"/>
  <c r="BT56" i="7" s="1"/>
  <c r="BT27" i="7"/>
  <c r="AT95" i="7"/>
  <c r="AT50" i="7"/>
  <c r="AT56" i="7" s="1"/>
  <c r="AT27" i="7"/>
  <c r="AN95" i="7"/>
  <c r="AN50" i="7"/>
  <c r="AN56" i="7" s="1"/>
  <c r="AN27" i="7"/>
  <c r="Q55" i="10"/>
  <c r="Q84" i="10" s="1"/>
  <c r="Q17" i="10"/>
  <c r="Q23" i="10"/>
  <c r="Q53" i="10"/>
  <c r="Q82" i="10" s="1"/>
  <c r="CH95" i="7"/>
  <c r="CH50" i="7"/>
  <c r="CH56" i="7" s="1"/>
  <c r="CH27" i="7"/>
  <c r="BC95" i="7"/>
  <c r="BC50" i="7"/>
  <c r="BC56" i="7" s="1"/>
  <c r="BC27" i="7"/>
  <c r="AI27" i="7"/>
  <c r="AI50" i="7"/>
  <c r="AI56" i="7" s="1"/>
  <c r="AI95" i="7"/>
  <c r="AJ50" i="7"/>
  <c r="AJ56" i="7" s="1"/>
  <c r="AJ95" i="7"/>
  <c r="AJ27" i="7"/>
  <c r="T50" i="7"/>
  <c r="T56" i="7" s="1"/>
  <c r="T95" i="7"/>
  <c r="T27" i="7"/>
  <c r="CG50" i="7"/>
  <c r="CG56" i="7" s="1"/>
  <c r="CG95" i="7"/>
  <c r="CG27" i="7"/>
  <c r="F29" i="4"/>
  <c r="F25" i="4" s="1"/>
  <c r="E121" i="4"/>
  <c r="E122" i="4" s="1"/>
  <c r="F113" i="6"/>
  <c r="E102" i="6" s="1"/>
  <c r="CD27" i="7"/>
  <c r="CD95" i="7"/>
  <c r="CD50" i="7"/>
  <c r="CD56" i="7" s="1"/>
  <c r="CB95" i="7"/>
  <c r="CB27" i="7"/>
  <c r="CB50" i="7"/>
  <c r="CB56" i="7" s="1"/>
  <c r="AK50" i="7"/>
  <c r="AK56" i="7" s="1"/>
  <c r="AK27" i="7"/>
  <c r="AK95" i="7"/>
  <c r="AQ27" i="7"/>
  <c r="AQ50" i="7"/>
  <c r="AQ56" i="7" s="1"/>
  <c r="AQ95" i="7"/>
  <c r="BB95" i="7"/>
  <c r="BB50" i="7"/>
  <c r="BB56" i="7" s="1"/>
  <c r="BB27" i="7"/>
  <c r="I95" i="7"/>
  <c r="I27" i="7"/>
  <c r="I50" i="7"/>
  <c r="I56" i="7" s="1"/>
  <c r="AX27" i="7"/>
  <c r="AX95" i="7"/>
  <c r="AX50" i="7"/>
  <c r="AX56" i="7" s="1"/>
  <c r="AL95" i="7"/>
  <c r="AL27" i="7"/>
  <c r="AL50" i="7"/>
  <c r="AL56" i="7" s="1"/>
  <c r="BU95" i="7"/>
  <c r="BU27" i="7"/>
  <c r="BU50" i="7"/>
  <c r="BU56" i="7" s="1"/>
  <c r="BR95" i="7"/>
  <c r="BR27" i="7"/>
  <c r="BR50" i="7"/>
  <c r="BR56" i="7" s="1"/>
  <c r="AE95" i="7"/>
  <c r="AE50" i="7"/>
  <c r="AE56" i="7" s="1"/>
  <c r="AE27" i="7"/>
  <c r="BM95" i="7"/>
  <c r="BM50" i="7"/>
  <c r="BM56" i="7" s="1"/>
  <c r="BM27" i="7"/>
  <c r="BO27" i="7"/>
  <c r="BO50" i="7"/>
  <c r="BO56" i="7" s="1"/>
  <c r="BO95" i="7"/>
  <c r="AU95" i="7"/>
  <c r="AU50" i="7"/>
  <c r="AU56" i="7" s="1"/>
  <c r="AU27" i="7"/>
  <c r="BE27" i="7"/>
  <c r="BE95" i="7"/>
  <c r="BE50" i="7"/>
  <c r="BE56" i="7" s="1"/>
  <c r="F92" i="6"/>
  <c r="CE27" i="7"/>
  <c r="CE50" i="7"/>
  <c r="CE56" i="7" s="1"/>
  <c r="CE95" i="7"/>
  <c r="W95" i="7"/>
  <c r="W50" i="7"/>
  <c r="W56" i="7" s="1"/>
  <c r="W27" i="7"/>
  <c r="G95" i="7"/>
  <c r="G50" i="7"/>
  <c r="G27" i="7"/>
  <c r="E38" i="7"/>
  <c r="G67" i="7"/>
  <c r="G31" i="7"/>
  <c r="J27" i="7"/>
  <c r="J95" i="7"/>
  <c r="J50" i="7"/>
  <c r="J56" i="7" s="1"/>
  <c r="X95" i="7"/>
  <c r="X50" i="7"/>
  <c r="X56" i="7" s="1"/>
  <c r="X27" i="7"/>
  <c r="CC95" i="7"/>
  <c r="CC27" i="7"/>
  <c r="CC50" i="7"/>
  <c r="CC56" i="7" s="1"/>
  <c r="F87" i="6"/>
  <c r="F89" i="6" s="1"/>
  <c r="E87" i="6"/>
  <c r="E89" i="6" s="1"/>
  <c r="BG27" i="7"/>
  <c r="BG50" i="7"/>
  <c r="BG56" i="7" s="1"/>
  <c r="BG95" i="7"/>
  <c r="AM95" i="7"/>
  <c r="AM50" i="7"/>
  <c r="AM56" i="7" s="1"/>
  <c r="AM27" i="7"/>
  <c r="BN27" i="7"/>
  <c r="BN95" i="7"/>
  <c r="BN50" i="7"/>
  <c r="BN56" i="7" s="1"/>
  <c r="BH50" i="7"/>
  <c r="BH56" i="7" s="1"/>
  <c r="BH27" i="7"/>
  <c r="BH95" i="7"/>
  <c r="CA95" i="7"/>
  <c r="CA50" i="7"/>
  <c r="CA56" i="7" s="1"/>
  <c r="CA27" i="7"/>
  <c r="AG95" i="7"/>
  <c r="AG50" i="7"/>
  <c r="AG56" i="7" s="1"/>
  <c r="AG27" i="7"/>
  <c r="AC50" i="7"/>
  <c r="AC56" i="7" s="1"/>
  <c r="AC27" i="7"/>
  <c r="AC95" i="7"/>
  <c r="Q60" i="10"/>
  <c r="H90" i="6" l="1"/>
  <c r="G90" i="6"/>
  <c r="G88" i="6"/>
  <c r="E90" i="6"/>
  <c r="G56" i="7"/>
  <c r="G79" i="7"/>
  <c r="H79" i="7" s="1"/>
  <c r="I79" i="7" s="1"/>
  <c r="J79" i="7" s="1"/>
  <c r="K79" i="7" s="1"/>
  <c r="L79" i="7" s="1"/>
  <c r="M79" i="7" s="1"/>
  <c r="N79" i="7" s="1"/>
  <c r="O79" i="7" s="1"/>
  <c r="P79" i="7" s="1"/>
  <c r="Q79" i="7" s="1"/>
  <c r="R79" i="7" s="1"/>
  <c r="S79" i="7" s="1"/>
  <c r="T79" i="7" s="1"/>
  <c r="U79" i="7" s="1"/>
  <c r="V79" i="7" s="1"/>
  <c r="W79" i="7" s="1"/>
  <c r="X79" i="7" s="1"/>
  <c r="Y79" i="7" s="1"/>
  <c r="Z79" i="7" s="1"/>
  <c r="AA79" i="7" s="1"/>
  <c r="AB79" i="7" s="1"/>
  <c r="AC79" i="7" s="1"/>
  <c r="AD79" i="7" s="1"/>
  <c r="AE79" i="7" s="1"/>
  <c r="AF79" i="7" s="1"/>
  <c r="AG79" i="7" s="1"/>
  <c r="AH79" i="7" s="1"/>
  <c r="AI79" i="7" s="1"/>
  <c r="AJ79" i="7" s="1"/>
  <c r="AK79" i="7" s="1"/>
  <c r="AL79" i="7" s="1"/>
  <c r="AM79" i="7" s="1"/>
  <c r="AN79" i="7" s="1"/>
  <c r="AO79" i="7" s="1"/>
  <c r="AP79" i="7" s="1"/>
  <c r="AQ79" i="7" s="1"/>
  <c r="AR79" i="7" s="1"/>
  <c r="AS79" i="7" s="1"/>
  <c r="AT79" i="7" s="1"/>
  <c r="AU79" i="7" s="1"/>
  <c r="AV79" i="7" s="1"/>
  <c r="AW79" i="7" s="1"/>
  <c r="AX79" i="7" s="1"/>
  <c r="AY79" i="7" s="1"/>
  <c r="AZ79" i="7" s="1"/>
  <c r="BA79" i="7" s="1"/>
  <c r="BB79" i="7" s="1"/>
  <c r="BC79" i="7" s="1"/>
  <c r="BD79" i="7" s="1"/>
  <c r="BE79" i="7" s="1"/>
  <c r="BF79" i="7" s="1"/>
  <c r="BG79" i="7" s="1"/>
  <c r="BH79" i="7" s="1"/>
  <c r="BI79" i="7" s="1"/>
  <c r="BJ79" i="7" s="1"/>
  <c r="BK79" i="7" s="1"/>
  <c r="BL79" i="7" s="1"/>
  <c r="BM79" i="7" s="1"/>
  <c r="BN79" i="7" s="1"/>
  <c r="BO79" i="7" s="1"/>
  <c r="BP79" i="7" s="1"/>
  <c r="BQ79" i="7" s="1"/>
  <c r="BR79" i="7" s="1"/>
  <c r="BS79" i="7" s="1"/>
  <c r="BT79" i="7" s="1"/>
  <c r="BU79" i="7" s="1"/>
  <c r="BV79" i="7" s="1"/>
  <c r="BW79" i="7" s="1"/>
  <c r="BX79" i="7" s="1"/>
  <c r="BY79" i="7" s="1"/>
  <c r="BZ79" i="7" s="1"/>
  <c r="CA79" i="7" s="1"/>
  <c r="CB79" i="7" s="1"/>
  <c r="CC79" i="7" s="1"/>
  <c r="CD79" i="7" s="1"/>
  <c r="CE79" i="7" s="1"/>
  <c r="CF79" i="7" s="1"/>
  <c r="CG79" i="7" s="1"/>
  <c r="CH79" i="7" s="1"/>
  <c r="E79" i="7" s="1"/>
  <c r="E50" i="7"/>
  <c r="CH36" i="5"/>
  <c r="BZ36" i="5"/>
  <c r="BR36" i="5"/>
  <c r="BJ36" i="5"/>
  <c r="BB36" i="5"/>
  <c r="AT36" i="5"/>
  <c r="AL36" i="5"/>
  <c r="AD36" i="5"/>
  <c r="V36" i="5"/>
  <c r="N36" i="5"/>
  <c r="CG36" i="5"/>
  <c r="BY36" i="5"/>
  <c r="BQ36" i="5"/>
  <c r="BI36" i="5"/>
  <c r="BA36" i="5"/>
  <c r="AS36" i="5"/>
  <c r="AK36" i="5"/>
  <c r="AC36" i="5"/>
  <c r="U36" i="5"/>
  <c r="M36" i="5"/>
  <c r="CF36" i="5"/>
  <c r="BX36" i="5"/>
  <c r="BP36" i="5"/>
  <c r="BH36" i="5"/>
  <c r="AZ36" i="5"/>
  <c r="AR36" i="5"/>
  <c r="AJ36" i="5"/>
  <c r="AB36" i="5"/>
  <c r="T36" i="5"/>
  <c r="L36" i="5"/>
  <c r="CB36" i="5"/>
  <c r="BT36" i="5"/>
  <c r="BL36" i="5"/>
  <c r="BD36" i="5"/>
  <c r="AV36" i="5"/>
  <c r="AN36" i="5"/>
  <c r="AF36" i="5"/>
  <c r="X36" i="5"/>
  <c r="P36" i="5"/>
  <c r="H36" i="5"/>
  <c r="BS36" i="5"/>
  <c r="BC36" i="5"/>
  <c r="AM36" i="5"/>
  <c r="W36" i="5"/>
  <c r="G36" i="5"/>
  <c r="BM36" i="5"/>
  <c r="CE36" i="5"/>
  <c r="BO36" i="5"/>
  <c r="AY36" i="5"/>
  <c r="AI36" i="5"/>
  <c r="S36" i="5"/>
  <c r="AG36" i="5"/>
  <c r="BK36" i="5"/>
  <c r="AE36" i="5"/>
  <c r="CD36" i="5"/>
  <c r="BN36" i="5"/>
  <c r="AX36" i="5"/>
  <c r="AH36" i="5"/>
  <c r="R36" i="5"/>
  <c r="CC36" i="5"/>
  <c r="AW36" i="5"/>
  <c r="Q36" i="5"/>
  <c r="AQ36" i="5"/>
  <c r="CA36" i="5"/>
  <c r="AU36" i="5"/>
  <c r="O36" i="5"/>
  <c r="BG36" i="5"/>
  <c r="K36" i="5"/>
  <c r="BW36" i="5"/>
  <c r="AA36" i="5"/>
  <c r="BV36" i="5"/>
  <c r="BF36" i="5"/>
  <c r="AP36" i="5"/>
  <c r="Z36" i="5"/>
  <c r="J36" i="5"/>
  <c r="BU36" i="5"/>
  <c r="AO36" i="5"/>
  <c r="I36" i="5"/>
  <c r="BE36" i="5"/>
  <c r="Y36" i="5"/>
  <c r="F39" i="4"/>
  <c r="G39" i="4"/>
  <c r="H39" i="4"/>
  <c r="E39" i="4"/>
  <c r="G23" i="7"/>
  <c r="G60" i="7"/>
  <c r="G17" i="7"/>
  <c r="G53" i="7"/>
  <c r="G55" i="7"/>
  <c r="H67" i="7"/>
  <c r="G97" i="7"/>
  <c r="E27" i="7"/>
  <c r="E88" i="6"/>
  <c r="R31" i="10"/>
  <c r="R60" i="10" s="1"/>
  <c r="H88" i="6"/>
  <c r="F90" i="6"/>
  <c r="E95" i="7"/>
  <c r="G96" i="7"/>
  <c r="H96" i="7" s="1"/>
  <c r="I96" i="7" s="1"/>
  <c r="J96" i="7" s="1"/>
  <c r="K96" i="7" s="1"/>
  <c r="L96" i="7" s="1"/>
  <c r="M96" i="7" s="1"/>
  <c r="N96" i="7" s="1"/>
  <c r="O96" i="7" s="1"/>
  <c r="P96" i="7" s="1"/>
  <c r="Q96" i="7" s="1"/>
  <c r="R96" i="7" s="1"/>
  <c r="S96" i="7" s="1"/>
  <c r="T96" i="7" s="1"/>
  <c r="U96" i="7" s="1"/>
  <c r="V96" i="7" s="1"/>
  <c r="W96" i="7" s="1"/>
  <c r="X96" i="7" s="1"/>
  <c r="Y96" i="7" s="1"/>
  <c r="Z96" i="7" s="1"/>
  <c r="AA96" i="7" s="1"/>
  <c r="AB96" i="7" s="1"/>
  <c r="AC96" i="7" s="1"/>
  <c r="AD96" i="7" s="1"/>
  <c r="AE96" i="7" s="1"/>
  <c r="AF96" i="7" s="1"/>
  <c r="AG96" i="7" s="1"/>
  <c r="AH96" i="7" s="1"/>
  <c r="AI96" i="7" s="1"/>
  <c r="AJ96" i="7" s="1"/>
  <c r="AK96" i="7" s="1"/>
  <c r="AL96" i="7" s="1"/>
  <c r="AM96" i="7" s="1"/>
  <c r="AN96" i="7" s="1"/>
  <c r="AO96" i="7" s="1"/>
  <c r="AP96" i="7" s="1"/>
  <c r="AQ96" i="7" s="1"/>
  <c r="AR96" i="7" s="1"/>
  <c r="AS96" i="7" s="1"/>
  <c r="AT96" i="7" s="1"/>
  <c r="AU96" i="7" s="1"/>
  <c r="AV96" i="7" s="1"/>
  <c r="AW96" i="7" s="1"/>
  <c r="AX96" i="7" s="1"/>
  <c r="AY96" i="7" s="1"/>
  <c r="AZ96" i="7" s="1"/>
  <c r="BA96" i="7" s="1"/>
  <c r="BB96" i="7" s="1"/>
  <c r="BC96" i="7" s="1"/>
  <c r="BD96" i="7" s="1"/>
  <c r="BE96" i="7" s="1"/>
  <c r="BF96" i="7" s="1"/>
  <c r="BG96" i="7" s="1"/>
  <c r="BH96" i="7" s="1"/>
  <c r="BI96" i="7" s="1"/>
  <c r="BJ96" i="7" s="1"/>
  <c r="BK96" i="7" s="1"/>
  <c r="BL96" i="7" s="1"/>
  <c r="BM96" i="7" s="1"/>
  <c r="BN96" i="7" s="1"/>
  <c r="BO96" i="7" s="1"/>
  <c r="BP96" i="7" s="1"/>
  <c r="BQ96" i="7" s="1"/>
  <c r="BR96" i="7" s="1"/>
  <c r="BS96" i="7" s="1"/>
  <c r="BT96" i="7" s="1"/>
  <c r="BU96" i="7" s="1"/>
  <c r="BV96" i="7" s="1"/>
  <c r="BW96" i="7" s="1"/>
  <c r="BX96" i="7" s="1"/>
  <c r="BY96" i="7" s="1"/>
  <c r="BZ96" i="7" s="1"/>
  <c r="CA96" i="7" s="1"/>
  <c r="CB96" i="7" s="1"/>
  <c r="CC96" i="7" s="1"/>
  <c r="CD96" i="7" s="1"/>
  <c r="CE96" i="7" s="1"/>
  <c r="CF96" i="7" s="1"/>
  <c r="CG96" i="7" s="1"/>
  <c r="CH96" i="7" s="1"/>
  <c r="E96" i="7" s="1"/>
  <c r="F88" i="6"/>
  <c r="AB67" i="10"/>
  <c r="AA97" i="10"/>
  <c r="BP98" i="7"/>
  <c r="CE98" i="7"/>
  <c r="S98" i="7"/>
  <c r="AH98" i="7"/>
  <c r="BE98" i="7"/>
  <c r="AC98" i="7"/>
  <c r="AK98" i="7"/>
  <c r="BH98" i="7"/>
  <c r="BW98" i="7"/>
  <c r="K98" i="7"/>
  <c r="Z98" i="7"/>
  <c r="BB98" i="7"/>
  <c r="AO98" i="7"/>
  <c r="BS98" i="7"/>
  <c r="AG98" i="7"/>
  <c r="BK98" i="7"/>
  <c r="M98" i="7"/>
  <c r="AT98" i="7"/>
  <c r="Y98" i="7"/>
  <c r="Q98" i="7"/>
  <c r="AU98" i="7"/>
  <c r="BL98" i="7"/>
  <c r="BY98" i="7"/>
  <c r="AZ98" i="7"/>
  <c r="BO98" i="7"/>
  <c r="CD98" i="7"/>
  <c r="R98" i="7"/>
  <c r="BC98" i="7"/>
  <c r="O98" i="7"/>
  <c r="AR98" i="7"/>
  <c r="BG98" i="7"/>
  <c r="BV98" i="7"/>
  <c r="J98" i="7"/>
  <c r="AL98" i="7"/>
  <c r="I98" i="7"/>
  <c r="AM98" i="7"/>
  <c r="CB98" i="7"/>
  <c r="AE98" i="7"/>
  <c r="BQ98" i="7"/>
  <c r="AY98" i="7"/>
  <c r="BN98" i="7"/>
  <c r="W98" i="7"/>
  <c r="AV98" i="7"/>
  <c r="AJ98" i="7"/>
  <c r="AD98" i="7"/>
  <c r="AB98" i="7"/>
  <c r="AQ98" i="7"/>
  <c r="BF98" i="7"/>
  <c r="CH98" i="7"/>
  <c r="V98" i="7"/>
  <c r="BD98" i="7"/>
  <c r="CF98" i="7"/>
  <c r="T98" i="7"/>
  <c r="AI98" i="7"/>
  <c r="AX98" i="7"/>
  <c r="BZ98" i="7"/>
  <c r="N98" i="7"/>
  <c r="AN98" i="7"/>
  <c r="CC98" i="7"/>
  <c r="AF98" i="7"/>
  <c r="BI98" i="7"/>
  <c r="U98" i="7"/>
  <c r="AW98" i="7"/>
  <c r="CG98" i="7"/>
  <c r="BA98" i="7"/>
  <c r="BX98" i="7"/>
  <c r="L98" i="7"/>
  <c r="AA98" i="7"/>
  <c r="AP98" i="7"/>
  <c r="BR98" i="7"/>
  <c r="BU98" i="7"/>
  <c r="X98" i="7"/>
  <c r="BM98" i="7"/>
  <c r="P98" i="7"/>
  <c r="AS98" i="7"/>
  <c r="BJ98" i="7"/>
  <c r="H98" i="7"/>
  <c r="CA98" i="7"/>
  <c r="BT98" i="7"/>
  <c r="G98" i="7"/>
  <c r="E98" i="7" l="1"/>
  <c r="E129" i="6" s="1"/>
  <c r="N25" i="8" s="1"/>
  <c r="G84" i="7"/>
  <c r="Y198" i="5"/>
  <c r="Y38" i="5"/>
  <c r="BF198" i="5"/>
  <c r="BF38" i="5"/>
  <c r="CA198" i="5"/>
  <c r="CA38" i="5"/>
  <c r="BN198" i="5"/>
  <c r="BN38" i="5"/>
  <c r="BO198" i="5"/>
  <c r="BO38" i="5"/>
  <c r="H198" i="5"/>
  <c r="H38" i="5"/>
  <c r="BT198" i="5"/>
  <c r="BT38" i="5"/>
  <c r="BH198" i="5"/>
  <c r="BH38" i="5"/>
  <c r="AS198" i="5"/>
  <c r="AS38" i="5"/>
  <c r="AD198" i="5"/>
  <c r="AD38" i="5"/>
  <c r="H31" i="7"/>
  <c r="H60" i="7" s="1"/>
  <c r="BE198" i="5"/>
  <c r="BE38" i="5"/>
  <c r="BV198" i="5"/>
  <c r="BV38" i="5"/>
  <c r="AQ198" i="5"/>
  <c r="AQ38" i="5"/>
  <c r="CD198" i="5"/>
  <c r="CD38" i="5"/>
  <c r="CE198" i="5"/>
  <c r="CE38" i="5"/>
  <c r="P198" i="5"/>
  <c r="P38" i="5"/>
  <c r="CB198" i="5"/>
  <c r="CB38" i="5"/>
  <c r="BP198" i="5"/>
  <c r="BP38" i="5"/>
  <c r="BA198" i="5"/>
  <c r="BA38" i="5"/>
  <c r="AL198" i="5"/>
  <c r="AL38" i="5"/>
  <c r="G188" i="7"/>
  <c r="I198" i="5"/>
  <c r="I38" i="5"/>
  <c r="AA198" i="5"/>
  <c r="AA38" i="5"/>
  <c r="Q198" i="5"/>
  <c r="Q38" i="5"/>
  <c r="AE198" i="5"/>
  <c r="AE38" i="5"/>
  <c r="BM198" i="5"/>
  <c r="BM38" i="5"/>
  <c r="X198" i="5"/>
  <c r="X38" i="5"/>
  <c r="L198" i="5"/>
  <c r="L38" i="5"/>
  <c r="BX198" i="5"/>
  <c r="BX38" i="5"/>
  <c r="BI198" i="5"/>
  <c r="BI38" i="5"/>
  <c r="AT198" i="5"/>
  <c r="AT38" i="5"/>
  <c r="E56" i="7"/>
  <c r="G85" i="7"/>
  <c r="H85" i="7" s="1"/>
  <c r="I85" i="7" s="1"/>
  <c r="J85" i="7" s="1"/>
  <c r="K85" i="7" s="1"/>
  <c r="L85" i="7" s="1"/>
  <c r="M85" i="7" s="1"/>
  <c r="N85" i="7" s="1"/>
  <c r="O85" i="7" s="1"/>
  <c r="P85" i="7" s="1"/>
  <c r="Q85" i="7" s="1"/>
  <c r="R85" i="7" s="1"/>
  <c r="S85" i="7" s="1"/>
  <c r="T85" i="7" s="1"/>
  <c r="U85" i="7" s="1"/>
  <c r="V85" i="7" s="1"/>
  <c r="W85" i="7" s="1"/>
  <c r="X85" i="7" s="1"/>
  <c r="Y85" i="7" s="1"/>
  <c r="Z85" i="7" s="1"/>
  <c r="AA85" i="7" s="1"/>
  <c r="AB85" i="7" s="1"/>
  <c r="AC85" i="7" s="1"/>
  <c r="AD85" i="7" s="1"/>
  <c r="AE85" i="7" s="1"/>
  <c r="AF85" i="7" s="1"/>
  <c r="AG85" i="7" s="1"/>
  <c r="AH85" i="7" s="1"/>
  <c r="AI85" i="7" s="1"/>
  <c r="AJ85" i="7" s="1"/>
  <c r="AK85" i="7" s="1"/>
  <c r="AL85" i="7" s="1"/>
  <c r="AM85" i="7" s="1"/>
  <c r="AN85" i="7" s="1"/>
  <c r="AO85" i="7" s="1"/>
  <c r="AP85" i="7" s="1"/>
  <c r="AQ85" i="7" s="1"/>
  <c r="AR85" i="7" s="1"/>
  <c r="AS85" i="7" s="1"/>
  <c r="AT85" i="7" s="1"/>
  <c r="AU85" i="7" s="1"/>
  <c r="AV85" i="7" s="1"/>
  <c r="AW85" i="7" s="1"/>
  <c r="AX85" i="7" s="1"/>
  <c r="AY85" i="7" s="1"/>
  <c r="AZ85" i="7" s="1"/>
  <c r="BA85" i="7" s="1"/>
  <c r="BB85" i="7" s="1"/>
  <c r="BC85" i="7" s="1"/>
  <c r="BD85" i="7" s="1"/>
  <c r="BE85" i="7" s="1"/>
  <c r="BF85" i="7" s="1"/>
  <c r="BG85" i="7" s="1"/>
  <c r="BH85" i="7" s="1"/>
  <c r="BI85" i="7" s="1"/>
  <c r="BJ85" i="7" s="1"/>
  <c r="BK85" i="7" s="1"/>
  <c r="BL85" i="7" s="1"/>
  <c r="BM85" i="7" s="1"/>
  <c r="BN85" i="7" s="1"/>
  <c r="BO85" i="7" s="1"/>
  <c r="BP85" i="7" s="1"/>
  <c r="BQ85" i="7" s="1"/>
  <c r="BR85" i="7" s="1"/>
  <c r="BS85" i="7" s="1"/>
  <c r="BT85" i="7" s="1"/>
  <c r="BU85" i="7" s="1"/>
  <c r="BV85" i="7" s="1"/>
  <c r="BW85" i="7" s="1"/>
  <c r="BX85" i="7" s="1"/>
  <c r="BY85" i="7" s="1"/>
  <c r="BZ85" i="7" s="1"/>
  <c r="CA85" i="7" s="1"/>
  <c r="CB85" i="7" s="1"/>
  <c r="CC85" i="7" s="1"/>
  <c r="CD85" i="7" s="1"/>
  <c r="CE85" i="7" s="1"/>
  <c r="CF85" i="7" s="1"/>
  <c r="CG85" i="7" s="1"/>
  <c r="CH85" i="7" s="1"/>
  <c r="E85" i="7" s="1"/>
  <c r="G82" i="7"/>
  <c r="E83" i="4"/>
  <c r="F109" i="4"/>
  <c r="E81" i="4"/>
  <c r="E85" i="4"/>
  <c r="F102" i="4"/>
  <c r="F101" i="4" s="1"/>
  <c r="E91" i="4"/>
  <c r="AO198" i="5"/>
  <c r="AO38" i="5"/>
  <c r="BW198" i="5"/>
  <c r="BW38" i="5"/>
  <c r="AW198" i="5"/>
  <c r="AW38" i="5"/>
  <c r="BK198" i="5"/>
  <c r="BK38" i="5"/>
  <c r="E36" i="5"/>
  <c r="G198" i="5"/>
  <c r="G65" i="5"/>
  <c r="H65" i="5" s="1"/>
  <c r="I65" i="5" s="1"/>
  <c r="J65" i="5" s="1"/>
  <c r="K65" i="5" s="1"/>
  <c r="L65" i="5" s="1"/>
  <c r="M65" i="5" s="1"/>
  <c r="N65" i="5" s="1"/>
  <c r="O65" i="5" s="1"/>
  <c r="P65" i="5" s="1"/>
  <c r="Q65" i="5" s="1"/>
  <c r="R65" i="5" s="1"/>
  <c r="S65" i="5" s="1"/>
  <c r="T65" i="5" s="1"/>
  <c r="U65" i="5" s="1"/>
  <c r="V65" i="5" s="1"/>
  <c r="W65" i="5" s="1"/>
  <c r="X65" i="5" s="1"/>
  <c r="Y65" i="5" s="1"/>
  <c r="Z65" i="5" s="1"/>
  <c r="AA65" i="5" s="1"/>
  <c r="AB65" i="5" s="1"/>
  <c r="AC65" i="5" s="1"/>
  <c r="AD65" i="5" s="1"/>
  <c r="AE65" i="5" s="1"/>
  <c r="AF65" i="5" s="1"/>
  <c r="AG65" i="5" s="1"/>
  <c r="AH65" i="5" s="1"/>
  <c r="AI65" i="5" s="1"/>
  <c r="AJ65" i="5" s="1"/>
  <c r="AK65" i="5" s="1"/>
  <c r="AL65" i="5" s="1"/>
  <c r="AM65" i="5" s="1"/>
  <c r="AN65" i="5" s="1"/>
  <c r="AO65" i="5" s="1"/>
  <c r="AP65" i="5" s="1"/>
  <c r="AQ65" i="5" s="1"/>
  <c r="AR65" i="5" s="1"/>
  <c r="AS65" i="5" s="1"/>
  <c r="AT65" i="5" s="1"/>
  <c r="AU65" i="5" s="1"/>
  <c r="AV65" i="5" s="1"/>
  <c r="AW65" i="5" s="1"/>
  <c r="AX65" i="5" s="1"/>
  <c r="AY65" i="5" s="1"/>
  <c r="AZ65" i="5" s="1"/>
  <c r="BA65" i="5" s="1"/>
  <c r="BB65" i="5" s="1"/>
  <c r="BC65" i="5" s="1"/>
  <c r="BD65" i="5" s="1"/>
  <c r="BE65" i="5" s="1"/>
  <c r="BF65" i="5" s="1"/>
  <c r="BG65" i="5" s="1"/>
  <c r="BH65" i="5" s="1"/>
  <c r="BI65" i="5" s="1"/>
  <c r="BJ65" i="5" s="1"/>
  <c r="BK65" i="5" s="1"/>
  <c r="BL65" i="5" s="1"/>
  <c r="BM65" i="5" s="1"/>
  <c r="BN65" i="5" s="1"/>
  <c r="BO65" i="5" s="1"/>
  <c r="BP65" i="5" s="1"/>
  <c r="BQ65" i="5" s="1"/>
  <c r="BR65" i="5" s="1"/>
  <c r="BS65" i="5" s="1"/>
  <c r="BT65" i="5" s="1"/>
  <c r="BU65" i="5" s="1"/>
  <c r="BV65" i="5" s="1"/>
  <c r="BW65" i="5" s="1"/>
  <c r="BX65" i="5" s="1"/>
  <c r="BY65" i="5" s="1"/>
  <c r="BZ65" i="5" s="1"/>
  <c r="CA65" i="5" s="1"/>
  <c r="CB65" i="5" s="1"/>
  <c r="CC65" i="5" s="1"/>
  <c r="CD65" i="5" s="1"/>
  <c r="CE65" i="5" s="1"/>
  <c r="CF65" i="5" s="1"/>
  <c r="CG65" i="5" s="1"/>
  <c r="CH65" i="5" s="1"/>
  <c r="E65" i="5" s="1"/>
  <c r="G38" i="5"/>
  <c r="AF198" i="5"/>
  <c r="AF38" i="5"/>
  <c r="T198" i="5"/>
  <c r="T38" i="5"/>
  <c r="CF198" i="5"/>
  <c r="CF38" i="5"/>
  <c r="BQ198" i="5"/>
  <c r="BQ38" i="5"/>
  <c r="BB198" i="5"/>
  <c r="BB38" i="5"/>
  <c r="R23" i="10"/>
  <c r="R55" i="10"/>
  <c r="R84" i="10" s="1"/>
  <c r="R17" i="10"/>
  <c r="R53" i="10"/>
  <c r="R82" i="10" s="1"/>
  <c r="I67" i="7"/>
  <c r="H97" i="7"/>
  <c r="H83" i="4"/>
  <c r="H85" i="4"/>
  <c r="F112" i="4"/>
  <c r="H81" i="4"/>
  <c r="H91" i="4"/>
  <c r="BU198" i="5"/>
  <c r="BU38" i="5"/>
  <c r="K198" i="5"/>
  <c r="K38" i="5"/>
  <c r="CC198" i="5"/>
  <c r="CC38" i="5"/>
  <c r="AG198" i="5"/>
  <c r="AG38" i="5"/>
  <c r="W198" i="5"/>
  <c r="W38" i="5"/>
  <c r="AN198" i="5"/>
  <c r="AN38" i="5"/>
  <c r="AB198" i="5"/>
  <c r="AB38" i="5"/>
  <c r="M198" i="5"/>
  <c r="M38" i="5"/>
  <c r="BY198" i="5"/>
  <c r="BY38" i="5"/>
  <c r="BJ198" i="5"/>
  <c r="BJ38" i="5"/>
  <c r="S31" i="10"/>
  <c r="F111" i="4"/>
  <c r="G81" i="4"/>
  <c r="G83" i="4"/>
  <c r="G85" i="4"/>
  <c r="G91" i="4"/>
  <c r="J198" i="5"/>
  <c r="J38" i="5"/>
  <c r="BG198" i="5"/>
  <c r="BG38" i="5"/>
  <c r="R198" i="5"/>
  <c r="R38" i="5"/>
  <c r="S198" i="5"/>
  <c r="S38" i="5"/>
  <c r="AM198" i="5"/>
  <c r="AM38" i="5"/>
  <c r="AV198" i="5"/>
  <c r="AV38" i="5"/>
  <c r="AJ198" i="5"/>
  <c r="AJ38" i="5"/>
  <c r="U198" i="5"/>
  <c r="U38" i="5"/>
  <c r="CG198" i="5"/>
  <c r="CG38" i="5"/>
  <c r="BR198" i="5"/>
  <c r="BR38" i="5"/>
  <c r="AC67" i="10"/>
  <c r="AB97" i="10"/>
  <c r="F81" i="4"/>
  <c r="F83" i="4"/>
  <c r="F85" i="4"/>
  <c r="F110" i="4"/>
  <c r="F91" i="4"/>
  <c r="Z198" i="5"/>
  <c r="Z38" i="5"/>
  <c r="O198" i="5"/>
  <c r="O38" i="5"/>
  <c r="AH198" i="5"/>
  <c r="AH38" i="5"/>
  <c r="AI198" i="5"/>
  <c r="AI38" i="5"/>
  <c r="BC198" i="5"/>
  <c r="BC38" i="5"/>
  <c r="BD198" i="5"/>
  <c r="BD38" i="5"/>
  <c r="AR198" i="5"/>
  <c r="AR38" i="5"/>
  <c r="AC198" i="5"/>
  <c r="AC38" i="5"/>
  <c r="N198" i="5"/>
  <c r="N38" i="5"/>
  <c r="BZ198" i="5"/>
  <c r="BZ38" i="5"/>
  <c r="AP198" i="5"/>
  <c r="AP38" i="5"/>
  <c r="AU198" i="5"/>
  <c r="AU38" i="5"/>
  <c r="AX198" i="5"/>
  <c r="AX38" i="5"/>
  <c r="AY198" i="5"/>
  <c r="AY38" i="5"/>
  <c r="BS198" i="5"/>
  <c r="BS38" i="5"/>
  <c r="BL198" i="5"/>
  <c r="BL38" i="5"/>
  <c r="AZ198" i="5"/>
  <c r="AZ38" i="5"/>
  <c r="AK198" i="5"/>
  <c r="AK38" i="5"/>
  <c r="V198" i="5"/>
  <c r="V38" i="5"/>
  <c r="CH198" i="5"/>
  <c r="CH38" i="5"/>
  <c r="H87" i="4" l="1"/>
  <c r="G87" i="4"/>
  <c r="G89" i="4"/>
  <c r="E92" i="4"/>
  <c r="H89" i="4"/>
  <c r="AT95" i="5"/>
  <c r="AT27" i="5"/>
  <c r="AT50" i="5"/>
  <c r="AT56" i="5" s="1"/>
  <c r="X50" i="5"/>
  <c r="X56" i="5" s="1"/>
  <c r="X27" i="5"/>
  <c r="X95" i="5"/>
  <c r="AA27" i="5"/>
  <c r="AA95" i="5"/>
  <c r="AA50" i="5"/>
  <c r="AA56" i="5" s="1"/>
  <c r="AS95" i="5"/>
  <c r="AS27" i="5"/>
  <c r="AS50" i="5"/>
  <c r="AS56" i="5" s="1"/>
  <c r="BO95" i="5"/>
  <c r="BO50" i="5"/>
  <c r="BO56" i="5" s="1"/>
  <c r="BO27" i="5"/>
  <c r="V95" i="5"/>
  <c r="V27" i="5"/>
  <c r="V50" i="5"/>
  <c r="V56" i="5" s="1"/>
  <c r="BS50" i="5"/>
  <c r="BS56" i="5" s="1"/>
  <c r="BS95" i="5"/>
  <c r="BS27" i="5"/>
  <c r="AR95" i="5"/>
  <c r="AR27" i="5"/>
  <c r="AR50" i="5"/>
  <c r="AR56" i="5" s="1"/>
  <c r="AH95" i="5"/>
  <c r="AH50" i="5"/>
  <c r="AH56" i="5" s="1"/>
  <c r="AH27" i="5"/>
  <c r="AM50" i="5"/>
  <c r="AM56" i="5" s="1"/>
  <c r="AM95" i="5"/>
  <c r="AM27" i="5"/>
  <c r="CC27" i="5"/>
  <c r="CC50" i="5"/>
  <c r="CC56" i="5" s="1"/>
  <c r="CC95" i="5"/>
  <c r="AK95" i="5"/>
  <c r="AK27" i="5"/>
  <c r="AK50" i="5"/>
  <c r="AK56" i="5" s="1"/>
  <c r="AZ95" i="5"/>
  <c r="AZ27" i="5"/>
  <c r="AZ50" i="5"/>
  <c r="AZ56" i="5" s="1"/>
  <c r="AX95" i="5"/>
  <c r="AX50" i="5"/>
  <c r="AX56" i="5" s="1"/>
  <c r="AX27" i="5"/>
  <c r="N95" i="5"/>
  <c r="N27" i="5"/>
  <c r="N50" i="5"/>
  <c r="N56" i="5" s="1"/>
  <c r="BC50" i="5"/>
  <c r="BC56" i="5" s="1"/>
  <c r="BC95" i="5"/>
  <c r="BC27" i="5"/>
  <c r="Z50" i="5"/>
  <c r="Z56" i="5" s="1"/>
  <c r="Z95" i="5"/>
  <c r="Z27" i="5"/>
  <c r="AJ95" i="5"/>
  <c r="AJ27" i="5"/>
  <c r="AJ50" i="5"/>
  <c r="AJ56" i="5" s="1"/>
  <c r="R95" i="5"/>
  <c r="R50" i="5"/>
  <c r="R56" i="5" s="1"/>
  <c r="R27" i="5"/>
  <c r="BY95" i="5"/>
  <c r="BY27" i="5"/>
  <c r="BY50" i="5"/>
  <c r="BY56" i="5" s="1"/>
  <c r="W95" i="5"/>
  <c r="W50" i="5"/>
  <c r="W56" i="5" s="1"/>
  <c r="W27" i="5"/>
  <c r="BU95" i="5"/>
  <c r="BU27" i="5"/>
  <c r="BU50" i="5"/>
  <c r="BU56" i="5" s="1"/>
  <c r="J67" i="7"/>
  <c r="I97" i="7"/>
  <c r="CB50" i="5"/>
  <c r="CB56" i="5" s="1"/>
  <c r="CB27" i="5"/>
  <c r="CB95" i="5"/>
  <c r="AQ95" i="5"/>
  <c r="AQ27" i="5"/>
  <c r="AQ50" i="5"/>
  <c r="AQ56" i="5" s="1"/>
  <c r="I31" i="7"/>
  <c r="I60" i="7" s="1"/>
  <c r="BF95" i="5"/>
  <c r="BF50" i="5"/>
  <c r="BF56" i="5" s="1"/>
  <c r="BF27" i="5"/>
  <c r="F92" i="4"/>
  <c r="AV95" i="5"/>
  <c r="AV50" i="5"/>
  <c r="AV56" i="5" s="1"/>
  <c r="AV27" i="5"/>
  <c r="M95" i="5"/>
  <c r="M27" i="5"/>
  <c r="M50" i="5"/>
  <c r="M56" i="5" s="1"/>
  <c r="AL95" i="5"/>
  <c r="AL27" i="5"/>
  <c r="AL50" i="5"/>
  <c r="AL56" i="5" s="1"/>
  <c r="P50" i="5"/>
  <c r="P56" i="5" s="1"/>
  <c r="P27" i="5"/>
  <c r="P95" i="5"/>
  <c r="BV50" i="5"/>
  <c r="BV56" i="5" s="1"/>
  <c r="BV95" i="5"/>
  <c r="BV27" i="5"/>
  <c r="AD67" i="10"/>
  <c r="AC97" i="10"/>
  <c r="T95" i="5"/>
  <c r="T27" i="5"/>
  <c r="T50" i="5"/>
  <c r="T56" i="5" s="1"/>
  <c r="BK50" i="5"/>
  <c r="BK56" i="5" s="1"/>
  <c r="BK27" i="5"/>
  <c r="BK95" i="5"/>
  <c r="L95" i="5"/>
  <c r="L27" i="5"/>
  <c r="L50" i="5"/>
  <c r="L56" i="5" s="1"/>
  <c r="Q50" i="5"/>
  <c r="Q56" i="5" s="1"/>
  <c r="Q95" i="5"/>
  <c r="Q27" i="5"/>
  <c r="H50" i="5"/>
  <c r="H56" i="5" s="1"/>
  <c r="H95" i="5"/>
  <c r="H27" i="5"/>
  <c r="BL50" i="5"/>
  <c r="BL56" i="5" s="1"/>
  <c r="BL95" i="5"/>
  <c r="BL27" i="5"/>
  <c r="AC95" i="5"/>
  <c r="AC27" i="5"/>
  <c r="AC50" i="5"/>
  <c r="AC56" i="5" s="1"/>
  <c r="AI50" i="5"/>
  <c r="AI56" i="5" s="1"/>
  <c r="AI95" i="5"/>
  <c r="AI27" i="5"/>
  <c r="BG95" i="5"/>
  <c r="BG27" i="5"/>
  <c r="BG50" i="5"/>
  <c r="BG56" i="5" s="1"/>
  <c r="AG95" i="5"/>
  <c r="AG27" i="5"/>
  <c r="AG50" i="5"/>
  <c r="AG56" i="5" s="1"/>
  <c r="S23" i="10"/>
  <c r="S17" i="10"/>
  <c r="S55" i="10"/>
  <c r="S84" i="10" s="1"/>
  <c r="S53" i="10"/>
  <c r="S82" i="10" s="1"/>
  <c r="Y95" i="5"/>
  <c r="Y27" i="5"/>
  <c r="Y50" i="5"/>
  <c r="Y56" i="5" s="1"/>
  <c r="BB95" i="5"/>
  <c r="BB27" i="5"/>
  <c r="BB50" i="5"/>
  <c r="BB56" i="5" s="1"/>
  <c r="AF50" i="5"/>
  <c r="AF56" i="5" s="1"/>
  <c r="AF95" i="5"/>
  <c r="AF27" i="5"/>
  <c r="AW95" i="5"/>
  <c r="AW27" i="5"/>
  <c r="AW50" i="5"/>
  <c r="AW56" i="5" s="1"/>
  <c r="BA95" i="5"/>
  <c r="BA27" i="5"/>
  <c r="BA50" i="5"/>
  <c r="BA56" i="5" s="1"/>
  <c r="CE95" i="5"/>
  <c r="CE50" i="5"/>
  <c r="CE56" i="5" s="1"/>
  <c r="CE27" i="5"/>
  <c r="BE95" i="5"/>
  <c r="BE27" i="5"/>
  <c r="BE50" i="5"/>
  <c r="BE56" i="5" s="1"/>
  <c r="F87" i="4"/>
  <c r="S60" i="10"/>
  <c r="BQ95" i="5"/>
  <c r="BQ27" i="5"/>
  <c r="BQ50" i="5"/>
  <c r="BQ56" i="5" s="1"/>
  <c r="G67" i="5"/>
  <c r="G50" i="5"/>
  <c r="G95" i="5"/>
  <c r="E38" i="5"/>
  <c r="G27" i="5"/>
  <c r="G31" i="5"/>
  <c r="BW95" i="5"/>
  <c r="BW27" i="5"/>
  <c r="BW50" i="5"/>
  <c r="BW56" i="5" s="1"/>
  <c r="F113" i="4"/>
  <c r="E102" i="4" s="1"/>
  <c r="BI95" i="5"/>
  <c r="BI27" i="5"/>
  <c r="BI50" i="5"/>
  <c r="BI56" i="5" s="1"/>
  <c r="BM95" i="5"/>
  <c r="BM50" i="5"/>
  <c r="BM56" i="5" s="1"/>
  <c r="BM27" i="5"/>
  <c r="I95" i="5"/>
  <c r="I27" i="5"/>
  <c r="I50" i="5"/>
  <c r="I56" i="5" s="1"/>
  <c r="BH95" i="5"/>
  <c r="BH27" i="5"/>
  <c r="BH50" i="5"/>
  <c r="BH56" i="5" s="1"/>
  <c r="BN50" i="5"/>
  <c r="BN56" i="5" s="1"/>
  <c r="BN27" i="5"/>
  <c r="BN95" i="5"/>
  <c r="AD95" i="5"/>
  <c r="AD27" i="5"/>
  <c r="AD50" i="5"/>
  <c r="AD56" i="5" s="1"/>
  <c r="CH95" i="5"/>
  <c r="CH27" i="5"/>
  <c r="CH50" i="5"/>
  <c r="CH56" i="5" s="1"/>
  <c r="AU95" i="5"/>
  <c r="AU50" i="5"/>
  <c r="AU56" i="5" s="1"/>
  <c r="AU27" i="5"/>
  <c r="BR95" i="5"/>
  <c r="BR27" i="5"/>
  <c r="BR50" i="5"/>
  <c r="BR56" i="5" s="1"/>
  <c r="H92" i="4"/>
  <c r="AP50" i="5"/>
  <c r="AP56" i="5" s="1"/>
  <c r="AP95" i="5"/>
  <c r="AP27" i="5"/>
  <c r="CG95" i="5"/>
  <c r="CG27" i="5"/>
  <c r="CG50" i="5"/>
  <c r="CG56" i="5" s="1"/>
  <c r="J50" i="5"/>
  <c r="J56" i="5" s="1"/>
  <c r="J27" i="5"/>
  <c r="J95" i="5"/>
  <c r="AB95" i="5"/>
  <c r="AB27" i="5"/>
  <c r="AB50" i="5"/>
  <c r="AB56" i="5" s="1"/>
  <c r="AY50" i="5"/>
  <c r="AY56" i="5" s="1"/>
  <c r="AY95" i="5"/>
  <c r="AY27" i="5"/>
  <c r="BZ95" i="5"/>
  <c r="BZ27" i="5"/>
  <c r="BZ50" i="5"/>
  <c r="BZ56" i="5" s="1"/>
  <c r="BD50" i="5"/>
  <c r="BD56" i="5" s="1"/>
  <c r="BD27" i="5"/>
  <c r="BD95" i="5"/>
  <c r="O50" i="5"/>
  <c r="O56" i="5" s="1"/>
  <c r="O95" i="5"/>
  <c r="O27" i="5"/>
  <c r="S95" i="5"/>
  <c r="S50" i="5"/>
  <c r="S56" i="5" s="1"/>
  <c r="S27" i="5"/>
  <c r="AN50" i="5"/>
  <c r="AN56" i="5" s="1"/>
  <c r="AN27" i="5"/>
  <c r="AN95" i="5"/>
  <c r="E87" i="4"/>
  <c r="E89" i="4" s="1"/>
  <c r="BP95" i="5"/>
  <c r="BP27" i="5"/>
  <c r="BP50" i="5"/>
  <c r="BP56" i="5" s="1"/>
  <c r="CD95" i="5"/>
  <c r="CD50" i="5"/>
  <c r="CD56" i="5" s="1"/>
  <c r="CD27" i="5"/>
  <c r="H23" i="7"/>
  <c r="H17" i="7"/>
  <c r="H55" i="7"/>
  <c r="H84" i="7" s="1"/>
  <c r="H53" i="7"/>
  <c r="H82" i="7" s="1"/>
  <c r="U95" i="5"/>
  <c r="U27" i="5"/>
  <c r="U50" i="5"/>
  <c r="U56" i="5" s="1"/>
  <c r="G92" i="4"/>
  <c r="BJ95" i="5"/>
  <c r="BJ27" i="5"/>
  <c r="BJ50" i="5"/>
  <c r="BJ56" i="5" s="1"/>
  <c r="K95" i="5"/>
  <c r="K27" i="5"/>
  <c r="K50" i="5"/>
  <c r="K56" i="5" s="1"/>
  <c r="CF95" i="5"/>
  <c r="CF27" i="5"/>
  <c r="CF50" i="5"/>
  <c r="CF56" i="5" s="1"/>
  <c r="E198" i="5"/>
  <c r="AO95" i="5"/>
  <c r="AO27" i="5"/>
  <c r="AO50" i="5"/>
  <c r="AO56" i="5" s="1"/>
  <c r="BX95" i="5"/>
  <c r="BX27" i="5"/>
  <c r="BX50" i="5"/>
  <c r="BX56" i="5" s="1"/>
  <c r="AE50" i="5"/>
  <c r="AE56" i="5" s="1"/>
  <c r="AE27" i="5"/>
  <c r="AE95" i="5"/>
  <c r="BT50" i="5"/>
  <c r="BT56" i="5" s="1"/>
  <c r="BT95" i="5"/>
  <c r="BT27" i="5"/>
  <c r="CA50" i="5"/>
  <c r="CA56" i="5" s="1"/>
  <c r="CA27" i="5"/>
  <c r="CA95" i="5"/>
  <c r="J31" i="7" l="1"/>
  <c r="J60" i="7" s="1"/>
  <c r="G55" i="5"/>
  <c r="G60" i="5"/>
  <c r="G23" i="5"/>
  <c r="G17" i="5"/>
  <c r="G53" i="5"/>
  <c r="E27" i="5"/>
  <c r="G79" i="5"/>
  <c r="H79" i="5" s="1"/>
  <c r="I79" i="5" s="1"/>
  <c r="J79" i="5" s="1"/>
  <c r="K79" i="5" s="1"/>
  <c r="L79" i="5" s="1"/>
  <c r="M79" i="5" s="1"/>
  <c r="N79" i="5" s="1"/>
  <c r="O79" i="5" s="1"/>
  <c r="P79" i="5" s="1"/>
  <c r="Q79" i="5" s="1"/>
  <c r="R79" i="5" s="1"/>
  <c r="S79" i="5" s="1"/>
  <c r="T79" i="5" s="1"/>
  <c r="U79" i="5" s="1"/>
  <c r="V79" i="5" s="1"/>
  <c r="W79" i="5" s="1"/>
  <c r="X79" i="5" s="1"/>
  <c r="Y79" i="5" s="1"/>
  <c r="Z79" i="5" s="1"/>
  <c r="AA79" i="5" s="1"/>
  <c r="AB79" i="5" s="1"/>
  <c r="AC79" i="5" s="1"/>
  <c r="AD79" i="5" s="1"/>
  <c r="AE79" i="5" s="1"/>
  <c r="AF79" i="5" s="1"/>
  <c r="AG79" i="5" s="1"/>
  <c r="AH79" i="5" s="1"/>
  <c r="AI79" i="5" s="1"/>
  <c r="AJ79" i="5" s="1"/>
  <c r="AK79" i="5" s="1"/>
  <c r="AL79" i="5" s="1"/>
  <c r="AM79" i="5" s="1"/>
  <c r="AN79" i="5" s="1"/>
  <c r="AO79" i="5" s="1"/>
  <c r="AP79" i="5" s="1"/>
  <c r="AQ79" i="5" s="1"/>
  <c r="AR79" i="5" s="1"/>
  <c r="AS79" i="5" s="1"/>
  <c r="AT79" i="5" s="1"/>
  <c r="AU79" i="5" s="1"/>
  <c r="AV79" i="5" s="1"/>
  <c r="AW79" i="5" s="1"/>
  <c r="AX79" i="5" s="1"/>
  <c r="AY79" i="5" s="1"/>
  <c r="AZ79" i="5" s="1"/>
  <c r="BA79" i="5" s="1"/>
  <c r="BB79" i="5" s="1"/>
  <c r="BC79" i="5" s="1"/>
  <c r="BD79" i="5" s="1"/>
  <c r="BE79" i="5" s="1"/>
  <c r="BF79" i="5" s="1"/>
  <c r="BG79" i="5" s="1"/>
  <c r="BH79" i="5" s="1"/>
  <c r="BI79" i="5" s="1"/>
  <c r="BJ79" i="5" s="1"/>
  <c r="BK79" i="5" s="1"/>
  <c r="BL79" i="5" s="1"/>
  <c r="BM79" i="5" s="1"/>
  <c r="BN79" i="5" s="1"/>
  <c r="BO79" i="5" s="1"/>
  <c r="BP79" i="5" s="1"/>
  <c r="BQ79" i="5" s="1"/>
  <c r="BR79" i="5" s="1"/>
  <c r="BS79" i="5" s="1"/>
  <c r="BT79" i="5" s="1"/>
  <c r="BU79" i="5" s="1"/>
  <c r="BV79" i="5" s="1"/>
  <c r="BW79" i="5" s="1"/>
  <c r="BX79" i="5" s="1"/>
  <c r="BY79" i="5" s="1"/>
  <c r="BZ79" i="5" s="1"/>
  <c r="CA79" i="5" s="1"/>
  <c r="CB79" i="5" s="1"/>
  <c r="CC79" i="5" s="1"/>
  <c r="CD79" i="5" s="1"/>
  <c r="CE79" i="5" s="1"/>
  <c r="CF79" i="5" s="1"/>
  <c r="CG79" i="5" s="1"/>
  <c r="CH79" i="5" s="1"/>
  <c r="E79" i="5" s="1"/>
  <c r="E50" i="5"/>
  <c r="G56" i="5"/>
  <c r="T31" i="10"/>
  <c r="H67" i="5"/>
  <c r="G97" i="5"/>
  <c r="AE67" i="10"/>
  <c r="AD97" i="10"/>
  <c r="E95" i="5"/>
  <c r="G96" i="5"/>
  <c r="H96" i="5" s="1"/>
  <c r="I96" i="5" s="1"/>
  <c r="J96" i="5" s="1"/>
  <c r="K96" i="5" s="1"/>
  <c r="L96" i="5" s="1"/>
  <c r="M96" i="5" s="1"/>
  <c r="N96" i="5" s="1"/>
  <c r="O96" i="5" s="1"/>
  <c r="P96" i="5" s="1"/>
  <c r="Q96" i="5" s="1"/>
  <c r="R96" i="5" s="1"/>
  <c r="S96" i="5" s="1"/>
  <c r="T96" i="5" s="1"/>
  <c r="U96" i="5" s="1"/>
  <c r="V96" i="5" s="1"/>
  <c r="W96" i="5" s="1"/>
  <c r="X96" i="5" s="1"/>
  <c r="Y96" i="5" s="1"/>
  <c r="Z96" i="5" s="1"/>
  <c r="AA96" i="5" s="1"/>
  <c r="AB96" i="5" s="1"/>
  <c r="AC96" i="5" s="1"/>
  <c r="AD96" i="5" s="1"/>
  <c r="AE96" i="5" s="1"/>
  <c r="AF96" i="5" s="1"/>
  <c r="AG96" i="5" s="1"/>
  <c r="AH96" i="5" s="1"/>
  <c r="AI96" i="5" s="1"/>
  <c r="AJ96" i="5" s="1"/>
  <c r="AK96" i="5" s="1"/>
  <c r="AL96" i="5" s="1"/>
  <c r="AM96" i="5" s="1"/>
  <c r="AN96" i="5" s="1"/>
  <c r="AO96" i="5" s="1"/>
  <c r="AP96" i="5" s="1"/>
  <c r="AQ96" i="5" s="1"/>
  <c r="AR96" i="5" s="1"/>
  <c r="AS96" i="5" s="1"/>
  <c r="AT96" i="5" s="1"/>
  <c r="AU96" i="5" s="1"/>
  <c r="AV96" i="5" s="1"/>
  <c r="AW96" i="5" s="1"/>
  <c r="AX96" i="5" s="1"/>
  <c r="AY96" i="5" s="1"/>
  <c r="AZ96" i="5" s="1"/>
  <c r="BA96" i="5" s="1"/>
  <c r="BB96" i="5" s="1"/>
  <c r="BC96" i="5" s="1"/>
  <c r="BD96" i="5" s="1"/>
  <c r="BE96" i="5" s="1"/>
  <c r="BF96" i="5" s="1"/>
  <c r="BG96" i="5" s="1"/>
  <c r="BH96" i="5" s="1"/>
  <c r="BI96" i="5" s="1"/>
  <c r="BJ96" i="5" s="1"/>
  <c r="BK96" i="5" s="1"/>
  <c r="BL96" i="5" s="1"/>
  <c r="BM96" i="5" s="1"/>
  <c r="BN96" i="5" s="1"/>
  <c r="BO96" i="5" s="1"/>
  <c r="BP96" i="5" s="1"/>
  <c r="BQ96" i="5" s="1"/>
  <c r="BR96" i="5" s="1"/>
  <c r="BS96" i="5" s="1"/>
  <c r="BT96" i="5" s="1"/>
  <c r="BU96" i="5" s="1"/>
  <c r="BV96" i="5" s="1"/>
  <c r="BW96" i="5" s="1"/>
  <c r="BX96" i="5" s="1"/>
  <c r="BY96" i="5" s="1"/>
  <c r="BZ96" i="5" s="1"/>
  <c r="CA96" i="5" s="1"/>
  <c r="CB96" i="5" s="1"/>
  <c r="CC96" i="5" s="1"/>
  <c r="CD96" i="5" s="1"/>
  <c r="CE96" i="5" s="1"/>
  <c r="CF96" i="5" s="1"/>
  <c r="CG96" i="5" s="1"/>
  <c r="CH96" i="5" s="1"/>
  <c r="E96" i="5" s="1"/>
  <c r="K67" i="7"/>
  <c r="J97" i="7"/>
  <c r="F89" i="4"/>
  <c r="F90" i="4" s="1"/>
  <c r="I23" i="7"/>
  <c r="I55" i="7"/>
  <c r="I84" i="7" s="1"/>
  <c r="I17" i="7"/>
  <c r="I53" i="7"/>
  <c r="I82" i="7" s="1"/>
  <c r="AP98" i="5"/>
  <c r="BM98" i="5"/>
  <c r="CB98" i="5"/>
  <c r="P98" i="5"/>
  <c r="AJ98" i="5"/>
  <c r="BK98" i="5"/>
  <c r="S98" i="5"/>
  <c r="BI98" i="5"/>
  <c r="BA98" i="5"/>
  <c r="AM98" i="5"/>
  <c r="BL98" i="5"/>
  <c r="BO98" i="5"/>
  <c r="BR98" i="5"/>
  <c r="BP98" i="5"/>
  <c r="AB98" i="5"/>
  <c r="BJ98" i="5"/>
  <c r="AZ98" i="5"/>
  <c r="AH98" i="5"/>
  <c r="BE98" i="5"/>
  <c r="BT98" i="5"/>
  <c r="H98" i="5"/>
  <c r="CE98" i="5"/>
  <c r="AU98" i="5"/>
  <c r="CH98" i="5"/>
  <c r="AC98" i="5"/>
  <c r="BY98" i="5"/>
  <c r="M98" i="5"/>
  <c r="CF98" i="5"/>
  <c r="AE98" i="5"/>
  <c r="BQ98" i="5"/>
  <c r="AL98" i="5"/>
  <c r="U98" i="5"/>
  <c r="G98" i="5"/>
  <c r="Z98" i="5"/>
  <c r="AW98" i="5"/>
  <c r="V98" i="5"/>
  <c r="L98" i="5"/>
  <c r="CD98" i="5"/>
  <c r="R98" i="5"/>
  <c r="AO98" i="5"/>
  <c r="BD98" i="5"/>
  <c r="BX98" i="5"/>
  <c r="AY98" i="5"/>
  <c r="T98" i="5"/>
  <c r="BB98" i="5"/>
  <c r="BG98" i="5"/>
  <c r="O98" i="5"/>
  <c r="AK98" i="5"/>
  <c r="AG98" i="5"/>
  <c r="AI98" i="5"/>
  <c r="BW98" i="5"/>
  <c r="W98" i="5"/>
  <c r="AT98" i="5"/>
  <c r="BV98" i="5"/>
  <c r="J98" i="5"/>
  <c r="AV98" i="5"/>
  <c r="AQ98" i="5"/>
  <c r="BN98" i="5"/>
  <c r="Y98" i="5"/>
  <c r="AN98" i="5"/>
  <c r="BH98" i="5"/>
  <c r="N98" i="5"/>
  <c r="BF98" i="5"/>
  <c r="CC98" i="5"/>
  <c r="Q98" i="5"/>
  <c r="AF98" i="5"/>
  <c r="AX98" i="5"/>
  <c r="BU98" i="5"/>
  <c r="I98" i="5"/>
  <c r="X98" i="5"/>
  <c r="AR98" i="5"/>
  <c r="CA98" i="5"/>
  <c r="AD98" i="5"/>
  <c r="AA98" i="5"/>
  <c r="BS98" i="5"/>
  <c r="AS98" i="5"/>
  <c r="BZ98" i="5"/>
  <c r="K98" i="5"/>
  <c r="CG98" i="5"/>
  <c r="BC98" i="5"/>
  <c r="E98" i="5" l="1"/>
  <c r="E129" i="4" s="1"/>
  <c r="D25" i="8" s="1"/>
  <c r="I67" i="5"/>
  <c r="H97" i="5"/>
  <c r="E88" i="4"/>
  <c r="K31" i="7"/>
  <c r="F88" i="4"/>
  <c r="G84" i="5"/>
  <c r="H88" i="4"/>
  <c r="T23" i="10"/>
  <c r="T55" i="10"/>
  <c r="T84" i="10" s="1"/>
  <c r="T17" i="10"/>
  <c r="T53" i="10"/>
  <c r="T82" i="10" s="1"/>
  <c r="G82" i="5"/>
  <c r="G90" i="4"/>
  <c r="T60" i="10"/>
  <c r="H90" i="4"/>
  <c r="L67" i="7"/>
  <c r="K97" i="7"/>
  <c r="G88" i="4"/>
  <c r="AF67" i="10"/>
  <c r="AE97" i="10"/>
  <c r="E56" i="5"/>
  <c r="G85" i="5"/>
  <c r="H85" i="5" s="1"/>
  <c r="I85" i="5" s="1"/>
  <c r="J85" i="5" s="1"/>
  <c r="K85" i="5" s="1"/>
  <c r="L85" i="5" s="1"/>
  <c r="M85" i="5" s="1"/>
  <c r="N85" i="5" s="1"/>
  <c r="O85" i="5" s="1"/>
  <c r="P85" i="5" s="1"/>
  <c r="Q85" i="5" s="1"/>
  <c r="R85" i="5" s="1"/>
  <c r="S85" i="5" s="1"/>
  <c r="T85" i="5" s="1"/>
  <c r="U85" i="5" s="1"/>
  <c r="V85" i="5" s="1"/>
  <c r="W85" i="5" s="1"/>
  <c r="X85" i="5" s="1"/>
  <c r="Y85" i="5" s="1"/>
  <c r="Z85" i="5" s="1"/>
  <c r="AA85" i="5" s="1"/>
  <c r="AB85" i="5" s="1"/>
  <c r="AC85" i="5" s="1"/>
  <c r="AD85" i="5" s="1"/>
  <c r="AE85" i="5" s="1"/>
  <c r="AF85" i="5" s="1"/>
  <c r="AG85" i="5" s="1"/>
  <c r="AH85" i="5" s="1"/>
  <c r="AI85" i="5" s="1"/>
  <c r="AJ85" i="5" s="1"/>
  <c r="AK85" i="5" s="1"/>
  <c r="AL85" i="5" s="1"/>
  <c r="AM85" i="5" s="1"/>
  <c r="AN85" i="5" s="1"/>
  <c r="AO85" i="5" s="1"/>
  <c r="AP85" i="5" s="1"/>
  <c r="AQ85" i="5" s="1"/>
  <c r="AR85" i="5" s="1"/>
  <c r="AS85" i="5" s="1"/>
  <c r="AT85" i="5" s="1"/>
  <c r="AU85" i="5" s="1"/>
  <c r="AV85" i="5" s="1"/>
  <c r="AW85" i="5" s="1"/>
  <c r="AX85" i="5" s="1"/>
  <c r="AY85" i="5" s="1"/>
  <c r="AZ85" i="5" s="1"/>
  <c r="BA85" i="5" s="1"/>
  <c r="BB85" i="5" s="1"/>
  <c r="BC85" i="5" s="1"/>
  <c r="BD85" i="5" s="1"/>
  <c r="BE85" i="5" s="1"/>
  <c r="BF85" i="5" s="1"/>
  <c r="BG85" i="5" s="1"/>
  <c r="BH85" i="5" s="1"/>
  <c r="BI85" i="5" s="1"/>
  <c r="BJ85" i="5" s="1"/>
  <c r="BK85" i="5" s="1"/>
  <c r="BL85" i="5" s="1"/>
  <c r="BM85" i="5" s="1"/>
  <c r="BN85" i="5" s="1"/>
  <c r="BO85" i="5" s="1"/>
  <c r="BP85" i="5" s="1"/>
  <c r="BQ85" i="5" s="1"/>
  <c r="BR85" i="5" s="1"/>
  <c r="BS85" i="5" s="1"/>
  <c r="BT85" i="5" s="1"/>
  <c r="BU85" i="5" s="1"/>
  <c r="BV85" i="5" s="1"/>
  <c r="BW85" i="5" s="1"/>
  <c r="BX85" i="5" s="1"/>
  <c r="BY85" i="5" s="1"/>
  <c r="BZ85" i="5" s="1"/>
  <c r="CA85" i="5" s="1"/>
  <c r="CB85" i="5" s="1"/>
  <c r="CC85" i="5" s="1"/>
  <c r="CD85" i="5" s="1"/>
  <c r="CE85" i="5" s="1"/>
  <c r="CF85" i="5" s="1"/>
  <c r="CG85" i="5" s="1"/>
  <c r="CH85" i="5" s="1"/>
  <c r="E85" i="5" s="1"/>
  <c r="G188" i="5"/>
  <c r="E90" i="4"/>
  <c r="H31" i="5"/>
  <c r="J23" i="7"/>
  <c r="J17" i="7"/>
  <c r="J55" i="7"/>
  <c r="J84" i="7" s="1"/>
  <c r="J53" i="7"/>
  <c r="J82" i="7" s="1"/>
  <c r="M67" i="7" l="1"/>
  <c r="L97" i="7"/>
  <c r="AG67" i="10"/>
  <c r="AF97" i="10"/>
  <c r="K23" i="7"/>
  <c r="K55" i="7"/>
  <c r="K53" i="7"/>
  <c r="K82" i="7" s="1"/>
  <c r="K17" i="7"/>
  <c r="J67" i="5"/>
  <c r="I97" i="5"/>
  <c r="U31" i="10"/>
  <c r="U60" i="10" s="1"/>
  <c r="K60" i="7"/>
  <c r="H23" i="5"/>
  <c r="H55" i="5"/>
  <c r="H84" i="5" s="1"/>
  <c r="H17" i="5"/>
  <c r="H53" i="5"/>
  <c r="H60" i="5"/>
  <c r="V31" i="10" l="1"/>
  <c r="I31" i="5"/>
  <c r="U55" i="10"/>
  <c r="U84" i="10" s="1"/>
  <c r="U23" i="10"/>
  <c r="U53" i="10"/>
  <c r="U82" i="10" s="1"/>
  <c r="U17" i="10"/>
  <c r="AH67" i="10"/>
  <c r="AG97" i="10"/>
  <c r="L31" i="7"/>
  <c r="L60" i="7" s="1"/>
  <c r="H82" i="5"/>
  <c r="K67" i="5"/>
  <c r="J97" i="5"/>
  <c r="K84" i="7"/>
  <c r="N67" i="7"/>
  <c r="M97" i="7"/>
  <c r="AI67" i="10" l="1"/>
  <c r="AH97" i="10"/>
  <c r="O67" i="7"/>
  <c r="N97" i="7"/>
  <c r="M31" i="7"/>
  <c r="M60" i="7" s="1"/>
  <c r="I23" i="5"/>
  <c r="I17" i="5"/>
  <c r="I55" i="5"/>
  <c r="I53" i="5"/>
  <c r="V55" i="10"/>
  <c r="V84" i="10" s="1"/>
  <c r="V53" i="10"/>
  <c r="V82" i="10" s="1"/>
  <c r="V23" i="10"/>
  <c r="V17" i="10"/>
  <c r="I60" i="5"/>
  <c r="I82" i="5"/>
  <c r="V60" i="10"/>
  <c r="L67" i="5"/>
  <c r="K97" i="5"/>
  <c r="L55" i="7"/>
  <c r="L84" i="7" s="1"/>
  <c r="L23" i="7"/>
  <c r="L17" i="7"/>
  <c r="L53" i="7"/>
  <c r="L82" i="7" s="1"/>
  <c r="M55" i="7" l="1"/>
  <c r="M84" i="7" s="1"/>
  <c r="M23" i="7"/>
  <c r="M17" i="7"/>
  <c r="M53" i="7"/>
  <c r="M82" i="7" s="1"/>
  <c r="N31" i="7"/>
  <c r="N60" i="7" s="1"/>
  <c r="P67" i="7"/>
  <c r="O97" i="7"/>
  <c r="W31" i="10"/>
  <c r="J31" i="5"/>
  <c r="J60" i="5" s="1"/>
  <c r="AJ67" i="10"/>
  <c r="AI97" i="10"/>
  <c r="I84" i="5"/>
  <c r="M67" i="5"/>
  <c r="L97" i="5"/>
  <c r="Q67" i="7" l="1"/>
  <c r="P97" i="7"/>
  <c r="J23" i="5"/>
  <c r="J17" i="5"/>
  <c r="J55" i="5"/>
  <c r="J84" i="5" s="1"/>
  <c r="J53" i="5"/>
  <c r="J82" i="5" s="1"/>
  <c r="N23" i="7"/>
  <c r="N17" i="7"/>
  <c r="N53" i="7"/>
  <c r="N55" i="7"/>
  <c r="N84" i="7" s="1"/>
  <c r="K31" i="5"/>
  <c r="K60" i="5" s="1"/>
  <c r="N82" i="7"/>
  <c r="O31" i="7"/>
  <c r="O60" i="7" s="1"/>
  <c r="AK67" i="10"/>
  <c r="AJ97" i="10"/>
  <c r="W55" i="10"/>
  <c r="W84" i="10" s="1"/>
  <c r="W17" i="10"/>
  <c r="W23" i="10"/>
  <c r="W53" i="10"/>
  <c r="W82" i="10" s="1"/>
  <c r="W60" i="10"/>
  <c r="N67" i="5"/>
  <c r="M97" i="5"/>
  <c r="P31" i="7" l="1"/>
  <c r="O67" i="5"/>
  <c r="N97" i="5"/>
  <c r="AL67" i="10"/>
  <c r="AK97" i="10"/>
  <c r="R67" i="7"/>
  <c r="Q97" i="7"/>
  <c r="X31" i="10"/>
  <c r="O23" i="7"/>
  <c r="O17" i="7"/>
  <c r="O53" i="7"/>
  <c r="O82" i="7" s="1"/>
  <c r="O55" i="7"/>
  <c r="O84" i="7" s="1"/>
  <c r="L31" i="5"/>
  <c r="K17" i="5"/>
  <c r="K23" i="5"/>
  <c r="K55" i="5"/>
  <c r="K84" i="5" s="1"/>
  <c r="K53" i="5"/>
  <c r="K82" i="5" s="1"/>
  <c r="P67" i="5" l="1"/>
  <c r="O97" i="5"/>
  <c r="X17" i="10"/>
  <c r="X55" i="10"/>
  <c r="X84" i="10" s="1"/>
  <c r="X23" i="10"/>
  <c r="X53" i="10"/>
  <c r="X82" i="10" s="1"/>
  <c r="P23" i="7"/>
  <c r="P55" i="7"/>
  <c r="P84" i="7" s="1"/>
  <c r="P17" i="7"/>
  <c r="P53" i="7"/>
  <c r="P82" i="7" s="1"/>
  <c r="L23" i="5"/>
  <c r="L17" i="5"/>
  <c r="L55" i="5"/>
  <c r="L84" i="5" s="1"/>
  <c r="L53" i="5"/>
  <c r="L82" i="5" s="1"/>
  <c r="L60" i="5"/>
  <c r="X60" i="10"/>
  <c r="S67" i="7"/>
  <c r="R97" i="7"/>
  <c r="AM67" i="10"/>
  <c r="AL97" i="10"/>
  <c r="P60" i="7"/>
  <c r="Q31" i="7" l="1"/>
  <c r="AN67" i="10"/>
  <c r="AM97" i="10"/>
  <c r="T67" i="7"/>
  <c r="S97" i="7"/>
  <c r="Q67" i="5"/>
  <c r="P97" i="5"/>
  <c r="Y31" i="10"/>
  <c r="M31" i="5"/>
  <c r="M23" i="5" l="1"/>
  <c r="M17" i="5"/>
  <c r="M55" i="5"/>
  <c r="M84" i="5" s="1"/>
  <c r="M53" i="5"/>
  <c r="M82" i="5" s="1"/>
  <c r="AO67" i="10"/>
  <c r="AN97" i="10"/>
  <c r="Q55" i="7"/>
  <c r="Q84" i="7" s="1"/>
  <c r="Q23" i="7"/>
  <c r="Q17" i="7"/>
  <c r="Q53" i="7"/>
  <c r="Q82" i="7" s="1"/>
  <c r="R67" i="5"/>
  <c r="Q97" i="5"/>
  <c r="M60" i="5"/>
  <c r="U67" i="7"/>
  <c r="T97" i="7"/>
  <c r="Y55" i="10"/>
  <c r="Y84" i="10" s="1"/>
  <c r="Y17" i="10"/>
  <c r="Y23" i="10"/>
  <c r="Y53" i="10"/>
  <c r="Y82" i="10" s="1"/>
  <c r="Y60" i="10"/>
  <c r="Q60" i="7"/>
  <c r="R31" i="7" l="1"/>
  <c r="V67" i="7"/>
  <c r="U97" i="7"/>
  <c r="AP67" i="10"/>
  <c r="AO97" i="10"/>
  <c r="N31" i="5"/>
  <c r="Z31" i="10"/>
  <c r="S67" i="5"/>
  <c r="R97" i="5"/>
  <c r="T67" i="5" l="1"/>
  <c r="S97" i="5"/>
  <c r="W67" i="7"/>
  <c r="V97" i="7"/>
  <c r="N17" i="5"/>
  <c r="N23" i="5"/>
  <c r="N55" i="5"/>
  <c r="N84" i="5" s="1"/>
  <c r="N53" i="5"/>
  <c r="N82" i="5" s="1"/>
  <c r="AQ67" i="10"/>
  <c r="AP97" i="10"/>
  <c r="Z55" i="10"/>
  <c r="Z84" i="10" s="1"/>
  <c r="Z17" i="10"/>
  <c r="Z23" i="10"/>
  <c r="Z53" i="10"/>
  <c r="Z82" i="10" s="1"/>
  <c r="R17" i="7"/>
  <c r="R23" i="7"/>
  <c r="R53" i="7"/>
  <c r="R82" i="7" s="1"/>
  <c r="R55" i="7"/>
  <c r="R84" i="7" s="1"/>
  <c r="Z60" i="10"/>
  <c r="N60" i="5"/>
  <c r="R60" i="7"/>
  <c r="AR67" i="10" l="1"/>
  <c r="AQ97" i="10"/>
  <c r="X67" i="7"/>
  <c r="W97" i="7"/>
  <c r="S31" i="7"/>
  <c r="O31" i="5"/>
  <c r="AA31" i="10"/>
  <c r="U67" i="5"/>
  <c r="T97" i="5"/>
  <c r="O23" i="5" l="1"/>
  <c r="O17" i="5"/>
  <c r="O55" i="5"/>
  <c r="O84" i="5" s="1"/>
  <c r="O53" i="5"/>
  <c r="O82" i="5" s="1"/>
  <c r="O60" i="5"/>
  <c r="AS67" i="10"/>
  <c r="AR97" i="10"/>
  <c r="S23" i="7"/>
  <c r="S55" i="7"/>
  <c r="S84" i="7" s="1"/>
  <c r="S53" i="7"/>
  <c r="S82" i="7" s="1"/>
  <c r="S17" i="7"/>
  <c r="AA55" i="10"/>
  <c r="AA84" i="10" s="1"/>
  <c r="AA23" i="10"/>
  <c r="AA17" i="10"/>
  <c r="AA53" i="10"/>
  <c r="AA82" i="10" s="1"/>
  <c r="V67" i="5"/>
  <c r="U97" i="5"/>
  <c r="S60" i="7"/>
  <c r="AA60" i="10"/>
  <c r="Y67" i="7"/>
  <c r="X97" i="7"/>
  <c r="AB31" i="10" l="1"/>
  <c r="Z67" i="7"/>
  <c r="Y97" i="7"/>
  <c r="AT67" i="10"/>
  <c r="AS97" i="10"/>
  <c r="P31" i="5"/>
  <c r="T31" i="7"/>
  <c r="T60" i="7" s="1"/>
  <c r="W67" i="5"/>
  <c r="V97" i="5"/>
  <c r="P23" i="5" l="1"/>
  <c r="P17" i="5"/>
  <c r="P55" i="5"/>
  <c r="P84" i="5" s="1"/>
  <c r="P53" i="5"/>
  <c r="P82" i="5" s="1"/>
  <c r="X67" i="5"/>
  <c r="W97" i="5"/>
  <c r="P60" i="5"/>
  <c r="AA67" i="7"/>
  <c r="Z97" i="7"/>
  <c r="U31" i="7"/>
  <c r="AU67" i="10"/>
  <c r="AT97" i="10"/>
  <c r="AB23" i="10"/>
  <c r="AB17" i="10"/>
  <c r="AB55" i="10"/>
  <c r="AB84" i="10" s="1"/>
  <c r="AB53" i="10"/>
  <c r="AB82" i="10" s="1"/>
  <c r="T23" i="7"/>
  <c r="T55" i="7"/>
  <c r="T84" i="7" s="1"/>
  <c r="T53" i="7"/>
  <c r="T82" i="7" s="1"/>
  <c r="T17" i="7"/>
  <c r="AB60" i="10"/>
  <c r="U23" i="7" l="1"/>
  <c r="U55" i="7"/>
  <c r="U53" i="7"/>
  <c r="U82" i="7" s="1"/>
  <c r="U17" i="7"/>
  <c r="U84" i="7"/>
  <c r="AB67" i="7"/>
  <c r="AA97" i="7"/>
  <c r="AV67" i="10"/>
  <c r="AU97" i="10"/>
  <c r="AC31" i="10"/>
  <c r="Y67" i="5"/>
  <c r="X97" i="5"/>
  <c r="U60" i="7"/>
  <c r="Q31" i="5"/>
  <c r="AW67" i="10" l="1"/>
  <c r="AV97" i="10"/>
  <c r="Q23" i="5"/>
  <c r="Q17" i="5"/>
  <c r="Q55" i="5"/>
  <c r="Q84" i="5" s="1"/>
  <c r="Q53" i="5"/>
  <c r="Q82" i="5" s="1"/>
  <c r="AC55" i="10"/>
  <c r="AC84" i="10" s="1"/>
  <c r="AC23" i="10"/>
  <c r="AC17" i="10"/>
  <c r="AC53" i="10"/>
  <c r="AC82" i="10" s="1"/>
  <c r="Z67" i="5"/>
  <c r="Y97" i="5"/>
  <c r="V31" i="7"/>
  <c r="V60" i="7" s="1"/>
  <c r="AC67" i="7"/>
  <c r="AB97" i="7"/>
  <c r="Q60" i="5"/>
  <c r="AC60" i="10"/>
  <c r="W31" i="7" l="1"/>
  <c r="AA67" i="5"/>
  <c r="Z97" i="5"/>
  <c r="AD67" i="7"/>
  <c r="AC97" i="7"/>
  <c r="AD31" i="10"/>
  <c r="R31" i="5"/>
  <c r="R60" i="5" s="1"/>
  <c r="V23" i="7"/>
  <c r="V17" i="7"/>
  <c r="V53" i="7"/>
  <c r="V82" i="7" s="1"/>
  <c r="V55" i="7"/>
  <c r="V84" i="7" s="1"/>
  <c r="AX67" i="10"/>
  <c r="AW97" i="10"/>
  <c r="AB67" i="5" l="1"/>
  <c r="AA97" i="5"/>
  <c r="S31" i="5"/>
  <c r="AD55" i="10"/>
  <c r="AD84" i="10" s="1"/>
  <c r="AD17" i="10"/>
  <c r="AD53" i="10"/>
  <c r="AD82" i="10" s="1"/>
  <c r="AD23" i="10"/>
  <c r="AD60" i="10"/>
  <c r="W23" i="7"/>
  <c r="W17" i="7"/>
  <c r="W55" i="7"/>
  <c r="W84" i="7" s="1"/>
  <c r="W53" i="7"/>
  <c r="W82" i="7" s="1"/>
  <c r="AY67" i="10"/>
  <c r="AX97" i="10"/>
  <c r="AE67" i="7"/>
  <c r="AD97" i="7"/>
  <c r="R23" i="5"/>
  <c r="R17" i="5"/>
  <c r="R55" i="5"/>
  <c r="R84" i="5" s="1"/>
  <c r="R53" i="5"/>
  <c r="R82" i="5" s="1"/>
  <c r="W60" i="7"/>
  <c r="S17" i="5" l="1"/>
  <c r="S23" i="5"/>
  <c r="S55" i="5"/>
  <c r="S84" i="5" s="1"/>
  <c r="S53" i="5"/>
  <c r="S82" i="5" s="1"/>
  <c r="S60" i="5"/>
  <c r="AF67" i="7"/>
  <c r="AE97" i="7"/>
  <c r="AE31" i="10"/>
  <c r="AZ67" i="10"/>
  <c r="AY97" i="10"/>
  <c r="X31" i="7"/>
  <c r="AC67" i="5"/>
  <c r="AB97" i="5"/>
  <c r="AE55" i="10" l="1"/>
  <c r="AE84" i="10" s="1"/>
  <c r="AE17" i="10"/>
  <c r="AE23" i="10"/>
  <c r="AE53" i="10"/>
  <c r="AE82" i="10" s="1"/>
  <c r="AD67" i="5"/>
  <c r="AC97" i="5"/>
  <c r="X23" i="7"/>
  <c r="X17" i="7"/>
  <c r="X55" i="7"/>
  <c r="X84" i="7" s="1"/>
  <c r="X53" i="7"/>
  <c r="X82" i="7" s="1"/>
  <c r="AG67" i="7"/>
  <c r="AF97" i="7"/>
  <c r="BA67" i="10"/>
  <c r="AZ97" i="10"/>
  <c r="AE60" i="10"/>
  <c r="X60" i="7"/>
  <c r="T31" i="5"/>
  <c r="T60" i="5" s="1"/>
  <c r="U31" i="5" l="1"/>
  <c r="AE67" i="5"/>
  <c r="AD97" i="5"/>
  <c r="T23" i="5"/>
  <c r="T55" i="5"/>
  <c r="T84" i="5" s="1"/>
  <c r="T17" i="5"/>
  <c r="T53" i="5"/>
  <c r="T82" i="5" s="1"/>
  <c r="Y31" i="7"/>
  <c r="AH67" i="7"/>
  <c r="AG97" i="7"/>
  <c r="AF31" i="10"/>
  <c r="AF60" i="10" s="1"/>
  <c r="BB67" i="10"/>
  <c r="BA97" i="10"/>
  <c r="AG31" i="10" l="1"/>
  <c r="AF67" i="5"/>
  <c r="AE97" i="5"/>
  <c r="AI67" i="7"/>
  <c r="AH97" i="7"/>
  <c r="BC67" i="10"/>
  <c r="BB97" i="10"/>
  <c r="U23" i="5"/>
  <c r="U17" i="5"/>
  <c r="U55" i="5"/>
  <c r="U84" i="5" s="1"/>
  <c r="U53" i="5"/>
  <c r="U82" i="5" s="1"/>
  <c r="Y23" i="7"/>
  <c r="Y55" i="7"/>
  <c r="Y84" i="7" s="1"/>
  <c r="Y17" i="7"/>
  <c r="Y53" i="7"/>
  <c r="Y82" i="7" s="1"/>
  <c r="Y60" i="7"/>
  <c r="U60" i="5"/>
  <c r="AF17" i="10"/>
  <c r="AF55" i="10"/>
  <c r="AF84" i="10" s="1"/>
  <c r="AF23" i="10"/>
  <c r="AF53" i="10"/>
  <c r="AF82" i="10" s="1"/>
  <c r="V31" i="5" l="1"/>
  <c r="V60" i="5" s="1"/>
  <c r="AJ67" i="7"/>
  <c r="AI97" i="7"/>
  <c r="AG67" i="5"/>
  <c r="AF97" i="5"/>
  <c r="AG55" i="10"/>
  <c r="AG84" i="10" s="1"/>
  <c r="AG17" i="10"/>
  <c r="AG23" i="10"/>
  <c r="AG53" i="10"/>
  <c r="AG82" i="10" s="1"/>
  <c r="Z31" i="7"/>
  <c r="BD67" i="10"/>
  <c r="BC97" i="10"/>
  <c r="AG60" i="10"/>
  <c r="W31" i="5" l="1"/>
  <c r="W60" i="5" s="1"/>
  <c r="AH67" i="5"/>
  <c r="AG97" i="5"/>
  <c r="BE67" i="10"/>
  <c r="BD97" i="10"/>
  <c r="Z23" i="7"/>
  <c r="Z17" i="7"/>
  <c r="Z55" i="7"/>
  <c r="Z84" i="7" s="1"/>
  <c r="Z53" i="7"/>
  <c r="Z82" i="7" s="1"/>
  <c r="V17" i="5"/>
  <c r="V23" i="5"/>
  <c r="V55" i="5"/>
  <c r="V84" i="5" s="1"/>
  <c r="V53" i="5"/>
  <c r="V82" i="5" s="1"/>
  <c r="Z60" i="7"/>
  <c r="AH31" i="10"/>
  <c r="AK67" i="7"/>
  <c r="AJ97" i="7"/>
  <c r="AL67" i="7" l="1"/>
  <c r="AK97" i="7"/>
  <c r="AI67" i="5"/>
  <c r="AH97" i="5"/>
  <c r="W55" i="5"/>
  <c r="W84" i="5" s="1"/>
  <c r="W23" i="5"/>
  <c r="W17" i="5"/>
  <c r="W53" i="5"/>
  <c r="W82" i="5" s="1"/>
  <c r="X31" i="5"/>
  <c r="X60" i="5" s="1"/>
  <c r="AH23" i="10"/>
  <c r="AH55" i="10"/>
  <c r="AH84" i="10" s="1"/>
  <c r="AH17" i="10"/>
  <c r="AH53" i="10"/>
  <c r="AH82" i="10" s="1"/>
  <c r="AH60" i="10"/>
  <c r="AA31" i="7"/>
  <c r="BF67" i="10"/>
  <c r="BE97" i="10"/>
  <c r="Y31" i="5" l="1"/>
  <c r="AJ67" i="5"/>
  <c r="AI97" i="5"/>
  <c r="AI31" i="10"/>
  <c r="AI60" i="10" s="1"/>
  <c r="AM67" i="7"/>
  <c r="AL97" i="7"/>
  <c r="AA55" i="7"/>
  <c r="AA84" i="7" s="1"/>
  <c r="AA23" i="7"/>
  <c r="AA17" i="7"/>
  <c r="AA53" i="7"/>
  <c r="AA82" i="7" s="1"/>
  <c r="X23" i="5"/>
  <c r="X17" i="5"/>
  <c r="X55" i="5"/>
  <c r="X84" i="5" s="1"/>
  <c r="X53" i="5"/>
  <c r="X82" i="5" s="1"/>
  <c r="AA60" i="7"/>
  <c r="BG67" i="10"/>
  <c r="BF97" i="10"/>
  <c r="AJ31" i="10" l="1"/>
  <c r="BH67" i="10"/>
  <c r="BG97" i="10"/>
  <c r="AB31" i="7"/>
  <c r="AK67" i="5"/>
  <c r="AJ97" i="5"/>
  <c r="Y23" i="5"/>
  <c r="Y17" i="5"/>
  <c r="Y55" i="5"/>
  <c r="Y84" i="5" s="1"/>
  <c r="Y53" i="5"/>
  <c r="Y82" i="5" s="1"/>
  <c r="AN67" i="7"/>
  <c r="AM97" i="7"/>
  <c r="AI23" i="10"/>
  <c r="AI17" i="10"/>
  <c r="AI55" i="10"/>
  <c r="AI84" i="10" s="1"/>
  <c r="AI53" i="10"/>
  <c r="AI82" i="10" s="1"/>
  <c r="Y60" i="5"/>
  <c r="AJ23" i="10" l="1"/>
  <c r="AJ17" i="10"/>
  <c r="AJ55" i="10"/>
  <c r="AJ84" i="10" s="1"/>
  <c r="AJ53" i="10"/>
  <c r="AJ82" i="10" s="1"/>
  <c r="AJ60" i="10"/>
  <c r="AB55" i="7"/>
  <c r="AB84" i="7" s="1"/>
  <c r="AB23" i="7"/>
  <c r="AB53" i="7"/>
  <c r="AB82" i="7" s="1"/>
  <c r="AB17" i="7"/>
  <c r="Z31" i="5"/>
  <c r="AO67" i="7"/>
  <c r="AN97" i="7"/>
  <c r="AB60" i="7"/>
  <c r="BI67" i="10"/>
  <c r="BH97" i="10"/>
  <c r="AL67" i="5"/>
  <c r="AK97" i="5"/>
  <c r="AK31" i="10" l="1"/>
  <c r="AK60" i="10" s="1"/>
  <c r="Z23" i="5"/>
  <c r="Z17" i="5"/>
  <c r="Z55" i="5"/>
  <c r="Z84" i="5" s="1"/>
  <c r="Z53" i="5"/>
  <c r="Z82" i="5" s="1"/>
  <c r="Z60" i="5"/>
  <c r="AM67" i="5"/>
  <c r="AL97" i="5"/>
  <c r="AP67" i="7"/>
  <c r="AO97" i="7"/>
  <c r="BJ67" i="10"/>
  <c r="BI97" i="10"/>
  <c r="AC31" i="7"/>
  <c r="AC60" i="7" s="1"/>
  <c r="AD31" i="7" l="1"/>
  <c r="AL31" i="10"/>
  <c r="AL60" i="10" s="1"/>
  <c r="AQ67" i="7"/>
  <c r="AP97" i="7"/>
  <c r="AC55" i="7"/>
  <c r="AC84" i="7" s="1"/>
  <c r="AC23" i="7"/>
  <c r="AC53" i="7"/>
  <c r="AC82" i="7" s="1"/>
  <c r="AC17" i="7"/>
  <c r="AK55" i="10"/>
  <c r="AK84" i="10" s="1"/>
  <c r="AK23" i="10"/>
  <c r="AK53" i="10"/>
  <c r="AK82" i="10" s="1"/>
  <c r="AK17" i="10"/>
  <c r="AN67" i="5"/>
  <c r="AM97" i="5"/>
  <c r="AA31" i="5"/>
  <c r="BK67" i="10"/>
  <c r="BJ97" i="10"/>
  <c r="BL67" i="10" l="1"/>
  <c r="BK97" i="10"/>
  <c r="AA17" i="5"/>
  <c r="AA23" i="5"/>
  <c r="AA55" i="5"/>
  <c r="AA84" i="5" s="1"/>
  <c r="AA53" i="5"/>
  <c r="AA82" i="5" s="1"/>
  <c r="AL82" i="10"/>
  <c r="AL55" i="10"/>
  <c r="AL84" i="10" s="1"/>
  <c r="AL23" i="10"/>
  <c r="AL53" i="10"/>
  <c r="AL17" i="10"/>
  <c r="AM31" i="10"/>
  <c r="AM60" i="10" s="1"/>
  <c r="AA60" i="5"/>
  <c r="AD23" i="7"/>
  <c r="AD17" i="7"/>
  <c r="AD53" i="7"/>
  <c r="AD82" i="7" s="1"/>
  <c r="AD55" i="7"/>
  <c r="AD84" i="7" s="1"/>
  <c r="AO67" i="5"/>
  <c r="AN97" i="5"/>
  <c r="AR67" i="7"/>
  <c r="AQ97" i="7"/>
  <c r="AD60" i="7"/>
  <c r="AM55" i="10" l="1"/>
  <c r="AM17" i="10"/>
  <c r="AM23" i="10"/>
  <c r="AM53" i="10"/>
  <c r="AM82" i="10" s="1"/>
  <c r="AS67" i="7"/>
  <c r="AR97" i="7"/>
  <c r="AE31" i="7"/>
  <c r="AN31" i="10"/>
  <c r="AP67" i="5"/>
  <c r="AO97" i="5"/>
  <c r="AM84" i="10"/>
  <c r="AB31" i="5"/>
  <c r="BM67" i="10"/>
  <c r="BL97" i="10"/>
  <c r="AE23" i="7" l="1"/>
  <c r="AE55" i="7"/>
  <c r="AE84" i="7" s="1"/>
  <c r="AE17" i="7"/>
  <c r="AE53" i="7"/>
  <c r="AE82" i="7" s="1"/>
  <c r="AE60" i="7"/>
  <c r="BN67" i="10"/>
  <c r="BM97" i="10"/>
  <c r="AN17" i="10"/>
  <c r="AN55" i="10"/>
  <c r="AN84" i="10" s="1"/>
  <c r="AN23" i="10"/>
  <c r="AN53" i="10"/>
  <c r="AN82" i="10" s="1"/>
  <c r="AQ67" i="5"/>
  <c r="AP97" i="5"/>
  <c r="AB23" i="5"/>
  <c r="AB17" i="5"/>
  <c r="AB55" i="5"/>
  <c r="AB84" i="5" s="1"/>
  <c r="AB53" i="5"/>
  <c r="AB82" i="5" s="1"/>
  <c r="AN60" i="10"/>
  <c r="AT67" i="7"/>
  <c r="AS97" i="7"/>
  <c r="AB60" i="5"/>
  <c r="AR67" i="5" l="1"/>
  <c r="AQ97" i="5"/>
  <c r="AC31" i="5"/>
  <c r="AC60" i="5" s="1"/>
  <c r="BO67" i="10"/>
  <c r="BN97" i="10"/>
  <c r="AU67" i="7"/>
  <c r="AT97" i="7"/>
  <c r="AO31" i="10"/>
  <c r="AF31" i="7"/>
  <c r="AF60" i="7" s="1"/>
  <c r="AG31" i="7" l="1"/>
  <c r="AD31" i="5"/>
  <c r="AD60" i="5" s="1"/>
  <c r="BP67" i="10"/>
  <c r="BO97" i="10"/>
  <c r="AF23" i="7"/>
  <c r="AF17" i="7"/>
  <c r="AF55" i="7"/>
  <c r="AF84" i="7" s="1"/>
  <c r="AF53" i="7"/>
  <c r="AF82" i="7" s="1"/>
  <c r="AO55" i="10"/>
  <c r="AO84" i="10" s="1"/>
  <c r="AO17" i="10"/>
  <c r="AO23" i="10"/>
  <c r="AO53" i="10"/>
  <c r="AO82" i="10" s="1"/>
  <c r="AS67" i="5"/>
  <c r="AR97" i="5"/>
  <c r="AO60" i="10"/>
  <c r="AV67" i="7"/>
  <c r="AU97" i="7"/>
  <c r="AC23" i="5"/>
  <c r="AC55" i="5"/>
  <c r="AC84" i="5" s="1"/>
  <c r="AC17" i="5"/>
  <c r="AC53" i="5"/>
  <c r="AC82" i="5" s="1"/>
  <c r="AT67" i="5" l="1"/>
  <c r="AS97" i="5"/>
  <c r="BQ67" i="10"/>
  <c r="BP97" i="10"/>
  <c r="AD17" i="5"/>
  <c r="AD23" i="5"/>
  <c r="AD55" i="5"/>
  <c r="AD84" i="5" s="1"/>
  <c r="AD53" i="5"/>
  <c r="AD82" i="5" s="1"/>
  <c r="AE31" i="5"/>
  <c r="AW67" i="7"/>
  <c r="AV97" i="7"/>
  <c r="AG23" i="7"/>
  <c r="AG55" i="7"/>
  <c r="AG84" i="7" s="1"/>
  <c r="AG17" i="7"/>
  <c r="AG53" i="7"/>
  <c r="AG82" i="7" s="1"/>
  <c r="AP31" i="10"/>
  <c r="AP60" i="10" s="1"/>
  <c r="AG60" i="7"/>
  <c r="AQ31" i="10" l="1"/>
  <c r="AE23" i="5"/>
  <c r="AE17" i="5"/>
  <c r="AE55" i="5"/>
  <c r="AE84" i="5" s="1"/>
  <c r="AE53" i="5"/>
  <c r="AE82" i="5" s="1"/>
  <c r="AE60" i="5"/>
  <c r="BR67" i="10"/>
  <c r="BQ97" i="10"/>
  <c r="AH31" i="7"/>
  <c r="AH60" i="7" s="1"/>
  <c r="AX67" i="7"/>
  <c r="AW97" i="7"/>
  <c r="AP55" i="10"/>
  <c r="AP84" i="10" s="1"/>
  <c r="AP23" i="10"/>
  <c r="AP17" i="10"/>
  <c r="AP53" i="10"/>
  <c r="AP82" i="10" s="1"/>
  <c r="AU67" i="5"/>
  <c r="AT97" i="5"/>
  <c r="AI31" i="7" l="1"/>
  <c r="AI60" i="7" s="1"/>
  <c r="BS67" i="10"/>
  <c r="BR97" i="10"/>
  <c r="AQ55" i="10"/>
  <c r="AQ84" i="10" s="1"/>
  <c r="AQ23" i="10"/>
  <c r="AQ17" i="10"/>
  <c r="AQ53" i="10"/>
  <c r="AQ82" i="10" s="1"/>
  <c r="AY67" i="7"/>
  <c r="AX97" i="7"/>
  <c r="AV67" i="5"/>
  <c r="AU97" i="5"/>
  <c r="AH17" i="7"/>
  <c r="AH23" i="7"/>
  <c r="AH53" i="7"/>
  <c r="AH82" i="7" s="1"/>
  <c r="AH55" i="7"/>
  <c r="AH84" i="7" s="1"/>
  <c r="AF31" i="5"/>
  <c r="AQ60" i="10"/>
  <c r="AJ31" i="7" l="1"/>
  <c r="AW67" i="5"/>
  <c r="AV97" i="5"/>
  <c r="AF23" i="5"/>
  <c r="AF17" i="5"/>
  <c r="AF55" i="5"/>
  <c r="AF84" i="5" s="1"/>
  <c r="AF53" i="5"/>
  <c r="AF82" i="5" s="1"/>
  <c r="AZ67" i="7"/>
  <c r="AY97" i="7"/>
  <c r="AI55" i="7"/>
  <c r="AI84" i="7" s="1"/>
  <c r="AI23" i="7"/>
  <c r="AI53" i="7"/>
  <c r="AI17" i="7"/>
  <c r="AI82" i="7"/>
  <c r="AF60" i="5"/>
  <c r="AR31" i="10"/>
  <c r="BT67" i="10"/>
  <c r="BS97" i="10"/>
  <c r="AR23" i="10" l="1"/>
  <c r="AR17" i="10"/>
  <c r="AR55" i="10"/>
  <c r="AR84" i="10" s="1"/>
  <c r="AR53" i="10"/>
  <c r="AR82" i="10" s="1"/>
  <c r="BA67" i="7"/>
  <c r="AZ97" i="7"/>
  <c r="AR60" i="10"/>
  <c r="BU67" i="10"/>
  <c r="BT97" i="10"/>
  <c r="AJ55" i="7"/>
  <c r="AJ84" i="7" s="1"/>
  <c r="AJ23" i="7"/>
  <c r="AJ53" i="7"/>
  <c r="AJ82" i="7" s="1"/>
  <c r="AJ17" i="7"/>
  <c r="AX67" i="5"/>
  <c r="AW97" i="5"/>
  <c r="AG31" i="5"/>
  <c r="AJ60" i="7"/>
  <c r="BV67" i="10" l="1"/>
  <c r="BU97" i="10"/>
  <c r="AG23" i="5"/>
  <c r="AG17" i="5"/>
  <c r="AG55" i="5"/>
  <c r="AG84" i="5" s="1"/>
  <c r="AG53" i="5"/>
  <c r="AG82" i="5" s="1"/>
  <c r="AG60" i="5"/>
  <c r="AS31" i="10"/>
  <c r="AK31" i="7"/>
  <c r="AK60" i="7" s="1"/>
  <c r="AY67" i="5"/>
  <c r="AX97" i="5"/>
  <c r="BB67" i="7"/>
  <c r="BA97" i="7"/>
  <c r="BC67" i="7" l="1"/>
  <c r="BB97" i="7"/>
  <c r="AZ67" i="5"/>
  <c r="AY97" i="5"/>
  <c r="BW67" i="10"/>
  <c r="BV97" i="10"/>
  <c r="AL31" i="7"/>
  <c r="AL60" i="7" s="1"/>
  <c r="AS55" i="10"/>
  <c r="AS84" i="10" s="1"/>
  <c r="AS23" i="10"/>
  <c r="AS17" i="10"/>
  <c r="AS53" i="10"/>
  <c r="AS82" i="10" s="1"/>
  <c r="AS60" i="10"/>
  <c r="AH31" i="5"/>
  <c r="AH60" i="5" s="1"/>
  <c r="AK55" i="7"/>
  <c r="AK84" i="7" s="1"/>
  <c r="AK23" i="7"/>
  <c r="AK17" i="7"/>
  <c r="AK53" i="7"/>
  <c r="AK82" i="7" s="1"/>
  <c r="AI31" i="5" l="1"/>
  <c r="BA67" i="5"/>
  <c r="AZ97" i="5"/>
  <c r="AM31" i="7"/>
  <c r="AM60" i="7" s="1"/>
  <c r="BX67" i="10"/>
  <c r="BW97" i="10"/>
  <c r="AH23" i="5"/>
  <c r="AH17" i="5"/>
  <c r="AH55" i="5"/>
  <c r="AH84" i="5" s="1"/>
  <c r="AH53" i="5"/>
  <c r="AH82" i="5" s="1"/>
  <c r="AT31" i="10"/>
  <c r="AT60" i="10" s="1"/>
  <c r="AL23" i="7"/>
  <c r="AL17" i="7"/>
  <c r="AL55" i="7"/>
  <c r="AL84" i="7" s="1"/>
  <c r="AL53" i="7"/>
  <c r="AL82" i="7" s="1"/>
  <c r="BD67" i="7"/>
  <c r="BC97" i="7"/>
  <c r="AN31" i="7" l="1"/>
  <c r="AU31" i="10"/>
  <c r="AU60" i="10" s="1"/>
  <c r="BE67" i="7"/>
  <c r="BD97" i="7"/>
  <c r="AI23" i="5"/>
  <c r="AI17" i="5"/>
  <c r="AI55" i="5"/>
  <c r="AI84" i="5" s="1"/>
  <c r="AI53" i="5"/>
  <c r="AI82" i="5" s="1"/>
  <c r="AI60" i="5"/>
  <c r="BY67" i="10"/>
  <c r="BX97" i="10"/>
  <c r="AT55" i="10"/>
  <c r="AT84" i="10" s="1"/>
  <c r="AT17" i="10"/>
  <c r="AT53" i="10"/>
  <c r="AT82" i="10" s="1"/>
  <c r="AT23" i="10"/>
  <c r="AM23" i="7"/>
  <c r="AM55" i="7"/>
  <c r="AM84" i="7" s="1"/>
  <c r="AM53" i="7"/>
  <c r="AM82" i="7" s="1"/>
  <c r="AM17" i="7"/>
  <c r="BB67" i="5"/>
  <c r="BA97" i="5"/>
  <c r="BF67" i="7" l="1"/>
  <c r="BE97" i="7"/>
  <c r="AU55" i="10"/>
  <c r="AU84" i="10" s="1"/>
  <c r="AU17" i="10"/>
  <c r="AU23" i="10"/>
  <c r="AU53" i="10"/>
  <c r="AU82" i="10" s="1"/>
  <c r="BC67" i="5"/>
  <c r="BB97" i="5"/>
  <c r="AV31" i="10"/>
  <c r="AV60" i="10" s="1"/>
  <c r="AN17" i="7"/>
  <c r="AN23" i="7"/>
  <c r="AN55" i="7"/>
  <c r="AN84" i="7" s="1"/>
  <c r="AN53" i="7"/>
  <c r="AN82" i="7" s="1"/>
  <c r="BZ67" i="10"/>
  <c r="BY97" i="10"/>
  <c r="AJ31" i="5"/>
  <c r="AJ60" i="5" s="1"/>
  <c r="AN60" i="7"/>
  <c r="AK31" i="5" l="1"/>
  <c r="AO31" i="7"/>
  <c r="BG67" i="7"/>
  <c r="BF97" i="7"/>
  <c r="CA67" i="10"/>
  <c r="BZ97" i="10"/>
  <c r="BD67" i="5"/>
  <c r="BC97" i="5"/>
  <c r="AW31" i="10"/>
  <c r="AJ23" i="5"/>
  <c r="AJ17" i="5"/>
  <c r="AJ55" i="5"/>
  <c r="AJ84" i="5" s="1"/>
  <c r="AJ53" i="5"/>
  <c r="AJ82" i="5" s="1"/>
  <c r="AV17" i="10"/>
  <c r="AV55" i="10"/>
  <c r="AV84" i="10" s="1"/>
  <c r="AV23" i="10"/>
  <c r="AV53" i="10"/>
  <c r="AV82" i="10" s="1"/>
  <c r="BE67" i="5" l="1"/>
  <c r="BD97" i="5"/>
  <c r="AK23" i="5"/>
  <c r="AK55" i="5"/>
  <c r="AK17" i="5"/>
  <c r="AK53" i="5"/>
  <c r="AK82" i="5" s="1"/>
  <c r="AK60" i="5"/>
  <c r="AW55" i="10"/>
  <c r="AW84" i="10" s="1"/>
  <c r="AW17" i="10"/>
  <c r="AW23" i="10"/>
  <c r="AW53" i="10"/>
  <c r="AW82" i="10" s="1"/>
  <c r="CB67" i="10"/>
  <c r="CA97" i="10"/>
  <c r="AW60" i="10"/>
  <c r="BH67" i="7"/>
  <c r="BG97" i="7"/>
  <c r="AO23" i="7"/>
  <c r="AO55" i="7"/>
  <c r="AO84" i="7" s="1"/>
  <c r="AO17" i="7"/>
  <c r="AO53" i="7"/>
  <c r="AO82" i="7" s="1"/>
  <c r="AK84" i="5"/>
  <c r="AO60" i="7"/>
  <c r="BF67" i="5" l="1"/>
  <c r="BE97" i="5"/>
  <c r="AL31" i="5"/>
  <c r="AP31" i="7"/>
  <c r="BI67" i="7"/>
  <c r="BH97" i="7"/>
  <c r="AX31" i="10"/>
  <c r="CC67" i="10"/>
  <c r="CB97" i="10"/>
  <c r="CD67" i="10" l="1"/>
  <c r="CC97" i="10"/>
  <c r="BJ67" i="7"/>
  <c r="BI97" i="7"/>
  <c r="BG67" i="5"/>
  <c r="BF97" i="5"/>
  <c r="AP23" i="7"/>
  <c r="AP17" i="7"/>
  <c r="AP55" i="7"/>
  <c r="AP84" i="7" s="1"/>
  <c r="AP53" i="7"/>
  <c r="AP82" i="7" s="1"/>
  <c r="AX23" i="10"/>
  <c r="AX55" i="10"/>
  <c r="AX84" i="10" s="1"/>
  <c r="AX17" i="10"/>
  <c r="AX53" i="10"/>
  <c r="AX82" i="10" s="1"/>
  <c r="AX60" i="10"/>
  <c r="AP60" i="7"/>
  <c r="AL17" i="5"/>
  <c r="AL23" i="5"/>
  <c r="AL55" i="5"/>
  <c r="AL84" i="5" s="1"/>
  <c r="AL53" i="5"/>
  <c r="AL82" i="5" s="1"/>
  <c r="AL60" i="5"/>
  <c r="BH67" i="5" l="1"/>
  <c r="BG97" i="5"/>
  <c r="AY31" i="10"/>
  <c r="AY60" i="10" s="1"/>
  <c r="BK67" i="7"/>
  <c r="BJ97" i="7"/>
  <c r="AQ31" i="7"/>
  <c r="AM31" i="5"/>
  <c r="CE67" i="10"/>
  <c r="CD97" i="10"/>
  <c r="AZ31" i="10" l="1"/>
  <c r="AQ23" i="7"/>
  <c r="AQ55" i="7"/>
  <c r="AQ84" i="7" s="1"/>
  <c r="AQ53" i="7"/>
  <c r="AQ82" i="7" s="1"/>
  <c r="AQ17" i="7"/>
  <c r="CF67" i="10"/>
  <c r="CE97" i="10"/>
  <c r="AQ60" i="7"/>
  <c r="AM55" i="5"/>
  <c r="AM84" i="5" s="1"/>
  <c r="AM23" i="5"/>
  <c r="AM53" i="5"/>
  <c r="AM82" i="5" s="1"/>
  <c r="AM17" i="5"/>
  <c r="BL67" i="7"/>
  <c r="BK97" i="7"/>
  <c r="AY23" i="10"/>
  <c r="AY17" i="10"/>
  <c r="AY55" i="10"/>
  <c r="AY84" i="10" s="1"/>
  <c r="AY53" i="10"/>
  <c r="AY82" i="10" s="1"/>
  <c r="AM60" i="5"/>
  <c r="BI67" i="5"/>
  <c r="BH97" i="5"/>
  <c r="CG67" i="10" l="1"/>
  <c r="CF97" i="10"/>
  <c r="AN31" i="5"/>
  <c r="AR31" i="7"/>
  <c r="AR60" i="7" s="1"/>
  <c r="BM67" i="7"/>
  <c r="BL97" i="7"/>
  <c r="AZ23" i="10"/>
  <c r="AZ55" i="10"/>
  <c r="AZ84" i="10" s="1"/>
  <c r="AZ17" i="10"/>
  <c r="AZ53" i="10"/>
  <c r="AZ60" i="10"/>
  <c r="AZ82" i="10"/>
  <c r="BJ67" i="5"/>
  <c r="BI97" i="5"/>
  <c r="AN23" i="5" l="1"/>
  <c r="AN55" i="5"/>
  <c r="AN84" i="5" s="1"/>
  <c r="AN17" i="5"/>
  <c r="AN53" i="5"/>
  <c r="AN82" i="5" s="1"/>
  <c r="AR55" i="7"/>
  <c r="AR84" i="7" s="1"/>
  <c r="AR23" i="7"/>
  <c r="AR17" i="7"/>
  <c r="AR53" i="7"/>
  <c r="AR82" i="7" s="1"/>
  <c r="AS31" i="7"/>
  <c r="AS60" i="7" s="1"/>
  <c r="BN67" i="7"/>
  <c r="BM97" i="7"/>
  <c r="AN60" i="5"/>
  <c r="BK67" i="5"/>
  <c r="BJ97" i="5"/>
  <c r="BA31" i="10"/>
  <c r="BA60" i="10" s="1"/>
  <c r="CH67" i="10"/>
  <c r="CG97" i="10"/>
  <c r="BL67" i="5" l="1"/>
  <c r="BK97" i="5"/>
  <c r="BB31" i="10"/>
  <c r="AT31" i="7"/>
  <c r="AS82" i="7"/>
  <c r="BA55" i="10"/>
  <c r="BA84" i="10" s="1"/>
  <c r="BA23" i="10"/>
  <c r="BA53" i="10"/>
  <c r="BA82" i="10" s="1"/>
  <c r="BA17" i="10"/>
  <c r="AO31" i="5"/>
  <c r="E67" i="10"/>
  <c r="CH97" i="10"/>
  <c r="E97" i="10" s="1"/>
  <c r="E127" i="3" s="1"/>
  <c r="I23" i="8" s="1"/>
  <c r="BO67" i="7"/>
  <c r="BN97" i="7"/>
  <c r="AS55" i="7"/>
  <c r="AS84" i="7" s="1"/>
  <c r="AS23" i="7"/>
  <c r="AS17" i="7"/>
  <c r="AS53" i="7"/>
  <c r="AO23" i="5" l="1"/>
  <c r="AO17" i="5"/>
  <c r="AO55" i="5"/>
  <c r="AO84" i="5" s="1"/>
  <c r="AO53" i="5"/>
  <c r="AO82" i="5" s="1"/>
  <c r="AT23" i="7"/>
  <c r="AT17" i="7"/>
  <c r="AT53" i="7"/>
  <c r="AT82" i="7" s="1"/>
  <c r="AT55" i="7"/>
  <c r="AT84" i="7" s="1"/>
  <c r="BB55" i="10"/>
  <c r="BB53" i="10"/>
  <c r="BB82" i="10" s="1"/>
  <c r="BB23" i="10"/>
  <c r="BB17" i="10"/>
  <c r="BP67" i="7"/>
  <c r="BO97" i="7"/>
  <c r="BB60" i="10"/>
  <c r="BB84" i="10"/>
  <c r="AO60" i="5"/>
  <c r="AT60" i="7"/>
  <c r="BM67" i="5"/>
  <c r="BL97" i="5"/>
  <c r="AP31" i="5" l="1"/>
  <c r="BQ67" i="7"/>
  <c r="BP97" i="7"/>
  <c r="BN67" i="5"/>
  <c r="BM97" i="5"/>
  <c r="BC31" i="10"/>
  <c r="BC60" i="10" s="1"/>
  <c r="AU31" i="7"/>
  <c r="AU23" i="7" l="1"/>
  <c r="AU55" i="7"/>
  <c r="AU84" i="7" s="1"/>
  <c r="AU17" i="7"/>
  <c r="AU53" i="7"/>
  <c r="AU82" i="7" s="1"/>
  <c r="BD31" i="10"/>
  <c r="BD60" i="10" s="1"/>
  <c r="BO67" i="5"/>
  <c r="BN97" i="5"/>
  <c r="BR67" i="7"/>
  <c r="BQ97" i="7"/>
  <c r="AP23" i="5"/>
  <c r="AP17" i="5"/>
  <c r="AP55" i="5"/>
  <c r="AP84" i="5" s="1"/>
  <c r="AP53" i="5"/>
  <c r="AP82" i="5" s="1"/>
  <c r="AU60" i="7"/>
  <c r="AP60" i="5"/>
  <c r="BC55" i="10"/>
  <c r="BC84" i="10" s="1"/>
  <c r="BC17" i="10"/>
  <c r="BC23" i="10"/>
  <c r="BC53" i="10"/>
  <c r="BC82" i="10" s="1"/>
  <c r="AQ31" i="5" l="1"/>
  <c r="BD17" i="10"/>
  <c r="BD55" i="10"/>
  <c r="BD84" i="10" s="1"/>
  <c r="BD23" i="10"/>
  <c r="BD53" i="10"/>
  <c r="BD82" i="10" s="1"/>
  <c r="BS67" i="7"/>
  <c r="BR97" i="7"/>
  <c r="AV31" i="7"/>
  <c r="AV60" i="7" s="1"/>
  <c r="BE31" i="10"/>
  <c r="BE60" i="10" s="1"/>
  <c r="BP67" i="5"/>
  <c r="BO97" i="5"/>
  <c r="BE55" i="10" l="1"/>
  <c r="BE84" i="10" s="1"/>
  <c r="BE17" i="10"/>
  <c r="BE23" i="10"/>
  <c r="BE53" i="10"/>
  <c r="BE82" i="10" s="1"/>
  <c r="AQ17" i="5"/>
  <c r="AQ23" i="5"/>
  <c r="AQ55" i="5"/>
  <c r="AQ84" i="5" s="1"/>
  <c r="AQ53" i="5"/>
  <c r="AQ82" i="5" s="1"/>
  <c r="AW31" i="7"/>
  <c r="BF31" i="10"/>
  <c r="BT67" i="7"/>
  <c r="BS97" i="7"/>
  <c r="BQ67" i="5"/>
  <c r="BP97" i="5"/>
  <c r="AV23" i="7"/>
  <c r="AV55" i="7"/>
  <c r="AV84" i="7" s="1"/>
  <c r="AV17" i="7"/>
  <c r="AV53" i="7"/>
  <c r="AV82" i="7" s="1"/>
  <c r="AQ60" i="5"/>
  <c r="BR67" i="5" l="1"/>
  <c r="BQ97" i="5"/>
  <c r="BU67" i="7"/>
  <c r="BT97" i="7"/>
  <c r="AR31" i="5"/>
  <c r="BF55" i="10"/>
  <c r="BF84" i="10" s="1"/>
  <c r="BF17" i="10"/>
  <c r="BF23" i="10"/>
  <c r="BF53" i="10"/>
  <c r="BF82" i="10" s="1"/>
  <c r="BF60" i="10"/>
  <c r="AW55" i="7"/>
  <c r="AW84" i="7" s="1"/>
  <c r="AW23" i="7"/>
  <c r="AW17" i="7"/>
  <c r="AW53" i="7"/>
  <c r="AW82" i="7" s="1"/>
  <c r="AW60" i="7"/>
  <c r="AX31" i="7" l="1"/>
  <c r="AX60" i="7" s="1"/>
  <c r="BS67" i="5"/>
  <c r="BR97" i="5"/>
  <c r="BV67" i="7"/>
  <c r="BU97" i="7"/>
  <c r="AR23" i="5"/>
  <c r="AR17" i="5"/>
  <c r="AR55" i="5"/>
  <c r="AR84" i="5" s="1"/>
  <c r="AR53" i="5"/>
  <c r="AR82" i="5" s="1"/>
  <c r="AR60" i="5"/>
  <c r="BG31" i="10"/>
  <c r="BG60" i="10" s="1"/>
  <c r="AS31" i="5" l="1"/>
  <c r="BH31" i="10"/>
  <c r="BW67" i="7"/>
  <c r="BV97" i="7"/>
  <c r="AY31" i="7"/>
  <c r="BT67" i="5"/>
  <c r="BS97" i="5"/>
  <c r="BG55" i="10"/>
  <c r="BG84" i="10" s="1"/>
  <c r="BG23" i="10"/>
  <c r="BG17" i="10"/>
  <c r="BG53" i="10"/>
  <c r="BG82" i="10" s="1"/>
  <c r="AX17" i="7"/>
  <c r="AX23" i="7"/>
  <c r="AX53" i="7"/>
  <c r="AX82" i="7" s="1"/>
  <c r="AX55" i="7"/>
  <c r="AX84" i="7" s="1"/>
  <c r="BX67" i="7" l="1"/>
  <c r="BW97" i="7"/>
  <c r="BH23" i="10"/>
  <c r="BH17" i="10"/>
  <c r="BH55" i="10"/>
  <c r="BH84" i="10" s="1"/>
  <c r="BH53" i="10"/>
  <c r="BH82" i="10" s="1"/>
  <c r="BU67" i="5"/>
  <c r="BT97" i="5"/>
  <c r="BH60" i="10"/>
  <c r="AY23" i="7"/>
  <c r="AY55" i="7"/>
  <c r="AY84" i="7" s="1"/>
  <c r="AY53" i="7"/>
  <c r="AY82" i="7" s="1"/>
  <c r="AY17" i="7"/>
  <c r="AS23" i="5"/>
  <c r="AS55" i="5"/>
  <c r="AS84" i="5" s="1"/>
  <c r="AS17" i="5"/>
  <c r="AS53" i="5"/>
  <c r="AS82" i="5" s="1"/>
  <c r="AY60" i="7"/>
  <c r="AS60" i="5"/>
  <c r="BV67" i="5" l="1"/>
  <c r="BU97" i="5"/>
  <c r="BY67" i="7"/>
  <c r="BX97" i="7"/>
  <c r="AT31" i="5"/>
  <c r="BI31" i="10"/>
  <c r="AZ31" i="7"/>
  <c r="AT17" i="5" l="1"/>
  <c r="AT23" i="5"/>
  <c r="AT55" i="5"/>
  <c r="AT84" i="5" s="1"/>
  <c r="AT53" i="5"/>
  <c r="AT82" i="5" s="1"/>
  <c r="BZ67" i="7"/>
  <c r="BY97" i="7"/>
  <c r="AT60" i="5"/>
  <c r="AZ23" i="7"/>
  <c r="AZ55" i="7"/>
  <c r="AZ84" i="7" s="1"/>
  <c r="AZ17" i="7"/>
  <c r="AZ53" i="7"/>
  <c r="AZ82" i="7" s="1"/>
  <c r="BW67" i="5"/>
  <c r="BV97" i="5"/>
  <c r="AZ60" i="7"/>
  <c r="BI55" i="10"/>
  <c r="BI84" i="10" s="1"/>
  <c r="BI23" i="10"/>
  <c r="BI17" i="10"/>
  <c r="BI53" i="10"/>
  <c r="BI82" i="10" s="1"/>
  <c r="BI60" i="10"/>
  <c r="CA67" i="7" l="1"/>
  <c r="BZ97" i="7"/>
  <c r="BA31" i="7"/>
  <c r="BJ31" i="10"/>
  <c r="BX67" i="5"/>
  <c r="BW97" i="5"/>
  <c r="AU31" i="5"/>
  <c r="BA23" i="7" l="1"/>
  <c r="BA55" i="7"/>
  <c r="BA84" i="7" s="1"/>
  <c r="BA17" i="7"/>
  <c r="BA53" i="7"/>
  <c r="BA82" i="7" s="1"/>
  <c r="BA60" i="7"/>
  <c r="BJ55" i="10"/>
  <c r="BJ84" i="10" s="1"/>
  <c r="BJ17" i="10"/>
  <c r="BJ53" i="10"/>
  <c r="BJ82" i="10" s="1"/>
  <c r="BJ23" i="10"/>
  <c r="AU23" i="5"/>
  <c r="AU55" i="5"/>
  <c r="AU84" i="5" s="1"/>
  <c r="AU17" i="5"/>
  <c r="AU53" i="5"/>
  <c r="AU82" i="5" s="1"/>
  <c r="BJ60" i="10"/>
  <c r="AU60" i="5"/>
  <c r="CB67" i="7"/>
  <c r="CA97" i="7"/>
  <c r="BY67" i="5"/>
  <c r="BX97" i="5"/>
  <c r="AV31" i="5" l="1"/>
  <c r="AV60" i="5" s="1"/>
  <c r="BZ67" i="5"/>
  <c r="BY97" i="5"/>
  <c r="BB31" i="7"/>
  <c r="BB60" i="7" s="1"/>
  <c r="BK31" i="10"/>
  <c r="BK60" i="10" s="1"/>
  <c r="CC67" i="7"/>
  <c r="CB97" i="7"/>
  <c r="BB23" i="7" l="1"/>
  <c r="BB17" i="7"/>
  <c r="BB53" i="7"/>
  <c r="BB82" i="7" s="1"/>
  <c r="BB55" i="7"/>
  <c r="BB84" i="7" s="1"/>
  <c r="BK55" i="10"/>
  <c r="BK84" i="10" s="1"/>
  <c r="BK17" i="10"/>
  <c r="BK23" i="10"/>
  <c r="BK53" i="10"/>
  <c r="BK82" i="10" s="1"/>
  <c r="BL31" i="10"/>
  <c r="CA67" i="5"/>
  <c r="BZ97" i="5"/>
  <c r="AV23" i="5"/>
  <c r="AV17" i="5"/>
  <c r="AV55" i="5"/>
  <c r="AV84" i="5" s="1"/>
  <c r="AV53" i="5"/>
  <c r="AV82" i="5" s="1"/>
  <c r="BC31" i="7"/>
  <c r="AW31" i="5"/>
  <c r="CD67" i="7"/>
  <c r="CC97" i="7"/>
  <c r="BC23" i="7" l="1"/>
  <c r="BC17" i="7"/>
  <c r="BC55" i="7"/>
  <c r="BC84" i="7" s="1"/>
  <c r="BC53" i="7"/>
  <c r="BC82" i="7" s="1"/>
  <c r="BL84" i="10"/>
  <c r="CB67" i="5"/>
  <c r="CA97" i="5"/>
  <c r="BL17" i="10"/>
  <c r="BL55" i="10"/>
  <c r="BL23" i="10"/>
  <c r="BL53" i="10"/>
  <c r="BL82" i="10" s="1"/>
  <c r="BC60" i="7"/>
  <c r="BL60" i="10"/>
  <c r="CE67" i="7"/>
  <c r="CD97" i="7"/>
  <c r="AW23" i="5"/>
  <c r="AW17" i="5"/>
  <c r="AW55" i="5"/>
  <c r="AW84" i="5" s="1"/>
  <c r="AW53" i="5"/>
  <c r="AW82" i="5" s="1"/>
  <c r="AW60" i="5"/>
  <c r="AX31" i="5" l="1"/>
  <c r="BM31" i="10"/>
  <c r="BM60" i="10" s="1"/>
  <c r="CC67" i="5"/>
  <c r="CB97" i="5"/>
  <c r="BD31" i="7"/>
  <c r="BD60" i="7" s="1"/>
  <c r="CF67" i="7"/>
  <c r="CE97" i="7"/>
  <c r="BN31" i="10" l="1"/>
  <c r="CD67" i="5"/>
  <c r="CC97" i="5"/>
  <c r="BE31" i="7"/>
  <c r="BE60" i="7" s="1"/>
  <c r="BD17" i="7"/>
  <c r="BD23" i="7"/>
  <c r="BD55" i="7"/>
  <c r="BD84" i="7" s="1"/>
  <c r="BD53" i="7"/>
  <c r="BD82" i="7" s="1"/>
  <c r="AX23" i="5"/>
  <c r="AX17" i="5"/>
  <c r="AX55" i="5"/>
  <c r="AX84" i="5" s="1"/>
  <c r="AX53" i="5"/>
  <c r="AX82" i="5" s="1"/>
  <c r="AX60" i="5"/>
  <c r="CG67" i="7"/>
  <c r="CF97" i="7"/>
  <c r="BM55" i="10"/>
  <c r="BM84" i="10" s="1"/>
  <c r="BM17" i="10"/>
  <c r="BM23" i="10"/>
  <c r="BM53" i="10"/>
  <c r="BM82" i="10" s="1"/>
  <c r="CH67" i="7" l="1"/>
  <c r="CG97" i="7"/>
  <c r="BE23" i="7"/>
  <c r="BE55" i="7"/>
  <c r="BE84" i="7" s="1"/>
  <c r="BE17" i="7"/>
  <c r="BE53" i="7"/>
  <c r="BE82" i="7" s="1"/>
  <c r="BF31" i="7"/>
  <c r="BF60" i="7" s="1"/>
  <c r="BN23" i="10"/>
  <c r="BN55" i="10"/>
  <c r="BN84" i="10" s="1"/>
  <c r="BN17" i="10"/>
  <c r="BN53" i="10"/>
  <c r="BN82" i="10" s="1"/>
  <c r="BN60" i="10"/>
  <c r="AY31" i="5"/>
  <c r="AY60" i="5" s="1"/>
  <c r="CE67" i="5"/>
  <c r="CD97" i="5"/>
  <c r="AZ31" i="5" l="1"/>
  <c r="AZ60" i="5" s="1"/>
  <c r="BG31" i="7"/>
  <c r="BG60" i="7" s="1"/>
  <c r="BF82" i="7"/>
  <c r="CF67" i="5"/>
  <c r="CE97" i="5"/>
  <c r="BF23" i="7"/>
  <c r="BF17" i="7"/>
  <c r="BF55" i="7"/>
  <c r="BF84" i="7" s="1"/>
  <c r="BF53" i="7"/>
  <c r="AY23" i="5"/>
  <c r="AY17" i="5"/>
  <c r="AY55" i="5"/>
  <c r="AY84" i="5" s="1"/>
  <c r="AY53" i="5"/>
  <c r="AY82" i="5" s="1"/>
  <c r="BO31" i="10"/>
  <c r="E67" i="7"/>
  <c r="CH97" i="7"/>
  <c r="E97" i="7" s="1"/>
  <c r="E127" i="6" s="1"/>
  <c r="N23" i="8" s="1"/>
  <c r="BA31" i="5" l="1"/>
  <c r="CG67" i="5"/>
  <c r="CF97" i="5"/>
  <c r="BG55" i="7"/>
  <c r="BG84" i="7" s="1"/>
  <c r="BG23" i="7"/>
  <c r="BG53" i="7"/>
  <c r="BG82" i="7" s="1"/>
  <c r="BG17" i="7"/>
  <c r="BH31" i="7"/>
  <c r="BO23" i="10"/>
  <c r="BO17" i="10"/>
  <c r="BO55" i="10"/>
  <c r="BO84" i="10" s="1"/>
  <c r="BO53" i="10"/>
  <c r="BO82" i="10" s="1"/>
  <c r="AZ23" i="5"/>
  <c r="AZ55" i="5"/>
  <c r="AZ84" i="5" s="1"/>
  <c r="AZ17" i="5"/>
  <c r="AZ53" i="5"/>
  <c r="AZ82" i="5" s="1"/>
  <c r="BO60" i="10"/>
  <c r="BH55" i="7" l="1"/>
  <c r="BH84" i="7" s="1"/>
  <c r="BH23" i="7"/>
  <c r="BH53" i="7"/>
  <c r="BH82" i="7" s="1"/>
  <c r="BH17" i="7"/>
  <c r="BA23" i="5"/>
  <c r="BA55" i="5"/>
  <c r="BA84" i="5" s="1"/>
  <c r="BA17" i="5"/>
  <c r="BA53" i="5"/>
  <c r="BA82" i="5" s="1"/>
  <c r="CH67" i="5"/>
  <c r="CG97" i="5"/>
  <c r="BH60" i="7"/>
  <c r="BA60" i="5"/>
  <c r="BP31" i="10"/>
  <c r="BP23" i="10" l="1"/>
  <c r="BP17" i="10"/>
  <c r="BP55" i="10"/>
  <c r="BP84" i="10" s="1"/>
  <c r="BP53" i="10"/>
  <c r="BP82" i="10" s="1"/>
  <c r="E67" i="5"/>
  <c r="CH97" i="5"/>
  <c r="E97" i="5" s="1"/>
  <c r="E127" i="4" s="1"/>
  <c r="D23" i="8" s="1"/>
  <c r="BP60" i="10"/>
  <c r="BI31" i="7"/>
  <c r="BB31" i="5"/>
  <c r="BB60" i="5" s="1"/>
  <c r="BC31" i="5" l="1"/>
  <c r="BB17" i="5"/>
  <c r="BB23" i="5"/>
  <c r="BB55" i="5"/>
  <c r="BB84" i="5" s="1"/>
  <c r="BB53" i="5"/>
  <c r="BB82" i="5" s="1"/>
  <c r="BI55" i="7"/>
  <c r="BI84" i="7" s="1"/>
  <c r="BI23" i="7"/>
  <c r="BI17" i="7"/>
  <c r="BI53" i="7"/>
  <c r="BI82" i="7" s="1"/>
  <c r="BI60" i="7"/>
  <c r="BQ31" i="10"/>
  <c r="BQ55" i="10" l="1"/>
  <c r="BQ84" i="10" s="1"/>
  <c r="BQ23" i="10"/>
  <c r="BQ53" i="10"/>
  <c r="BQ82" i="10" s="1"/>
  <c r="BQ17" i="10"/>
  <c r="BQ60" i="10"/>
  <c r="BC55" i="5"/>
  <c r="BC84" i="5" s="1"/>
  <c r="BC23" i="5"/>
  <c r="BC53" i="5"/>
  <c r="BC82" i="5" s="1"/>
  <c r="BC17" i="5"/>
  <c r="BJ31" i="7"/>
  <c r="BC60" i="5"/>
  <c r="BD31" i="5" l="1"/>
  <c r="BJ23" i="7"/>
  <c r="BJ17" i="7"/>
  <c r="BJ53" i="7"/>
  <c r="BJ82" i="7" s="1"/>
  <c r="BJ55" i="7"/>
  <c r="BJ84" i="7" s="1"/>
  <c r="BJ60" i="7"/>
  <c r="BR31" i="10"/>
  <c r="BD23" i="5" l="1"/>
  <c r="BD17" i="5"/>
  <c r="BD55" i="5"/>
  <c r="BD84" i="5" s="1"/>
  <c r="BD53" i="5"/>
  <c r="BD82" i="5" s="1"/>
  <c r="BK31" i="7"/>
  <c r="BD60" i="5"/>
  <c r="BR55" i="10"/>
  <c r="BR84" i="10" s="1"/>
  <c r="BR53" i="10"/>
  <c r="BR82" i="10" s="1"/>
  <c r="BR23" i="10"/>
  <c r="BR17" i="10"/>
  <c r="BR60" i="10"/>
  <c r="BK23" i="7" l="1"/>
  <c r="BK53" i="7"/>
  <c r="BK82" i="7" s="1"/>
  <c r="BK55" i="7"/>
  <c r="BK84" i="7" s="1"/>
  <c r="BK17" i="7"/>
  <c r="BS31" i="10"/>
  <c r="BS60" i="10" s="1"/>
  <c r="BK60" i="7"/>
  <c r="BE31" i="5"/>
  <c r="BE60" i="5" s="1"/>
  <c r="BF31" i="5" l="1"/>
  <c r="BE23" i="5"/>
  <c r="BE17" i="5"/>
  <c r="BE55" i="5"/>
  <c r="BE84" i="5" s="1"/>
  <c r="BE53" i="5"/>
  <c r="BE82" i="5" s="1"/>
  <c r="BS55" i="10"/>
  <c r="BS84" i="10" s="1"/>
  <c r="BS17" i="10"/>
  <c r="BS23" i="10"/>
  <c r="BS53" i="10"/>
  <c r="BS82" i="10" s="1"/>
  <c r="BT31" i="10"/>
  <c r="BT60" i="10" s="1"/>
  <c r="BL31" i="7"/>
  <c r="BU31" i="10" l="1"/>
  <c r="BF23" i="5"/>
  <c r="BF17" i="5"/>
  <c r="BF55" i="5"/>
  <c r="BF84" i="5" s="1"/>
  <c r="BF53" i="5"/>
  <c r="BF82" i="5" s="1"/>
  <c r="BL23" i="7"/>
  <c r="BL17" i="7"/>
  <c r="BL55" i="7"/>
  <c r="BL84" i="7" s="1"/>
  <c r="BL53" i="7"/>
  <c r="BL82" i="7" s="1"/>
  <c r="BL60" i="7"/>
  <c r="BT17" i="10"/>
  <c r="BT55" i="10"/>
  <c r="BT84" i="10" s="1"/>
  <c r="BT23" i="10"/>
  <c r="BT53" i="10"/>
  <c r="BT82" i="10" s="1"/>
  <c r="BF60" i="5"/>
  <c r="BM31" i="7" l="1"/>
  <c r="BM60" i="7" s="1"/>
  <c r="BG31" i="5"/>
  <c r="BG60" i="5" s="1"/>
  <c r="BU55" i="10"/>
  <c r="BU84" i="10" s="1"/>
  <c r="BU17" i="10"/>
  <c r="BU23" i="10"/>
  <c r="BU53" i="10"/>
  <c r="BU82" i="10" s="1"/>
  <c r="BU60" i="10"/>
  <c r="BH31" i="5" l="1"/>
  <c r="BN31" i="7"/>
  <c r="BN60" i="7" s="1"/>
  <c r="BG17" i="5"/>
  <c r="BG23" i="5"/>
  <c r="BG55" i="5"/>
  <c r="BG84" i="5" s="1"/>
  <c r="BG53" i="5"/>
  <c r="BG82" i="5" s="1"/>
  <c r="BV31" i="10"/>
  <c r="BM23" i="7"/>
  <c r="BM55" i="7"/>
  <c r="BM84" i="7" s="1"/>
  <c r="BM17" i="7"/>
  <c r="BM53" i="7"/>
  <c r="BM82" i="7" s="1"/>
  <c r="BO31" i="7" l="1"/>
  <c r="BH23" i="5"/>
  <c r="BH17" i="5"/>
  <c r="BH55" i="5"/>
  <c r="BH84" i="5" s="1"/>
  <c r="BH53" i="5"/>
  <c r="BH82" i="5" s="1"/>
  <c r="BV55" i="10"/>
  <c r="BV84" i="10" s="1"/>
  <c r="BV23" i="10"/>
  <c r="BV17" i="10"/>
  <c r="BV53" i="10"/>
  <c r="BV82" i="10" s="1"/>
  <c r="BH60" i="5"/>
  <c r="BV60" i="10"/>
  <c r="BN23" i="7"/>
  <c r="BN17" i="7"/>
  <c r="BN53" i="7"/>
  <c r="BN82" i="7" s="1"/>
  <c r="BN55" i="7"/>
  <c r="BN84" i="7" s="1"/>
  <c r="BO55" i="7" l="1"/>
  <c r="BO84" i="7" s="1"/>
  <c r="BO23" i="7"/>
  <c r="BO17" i="7"/>
  <c r="BO53" i="7"/>
  <c r="BI31" i="5"/>
  <c r="BO82" i="7"/>
  <c r="BO60" i="7"/>
  <c r="BW31" i="10"/>
  <c r="BI23" i="5" l="1"/>
  <c r="BI17" i="5"/>
  <c r="BI55" i="5"/>
  <c r="BI84" i="5" s="1"/>
  <c r="BI53" i="5"/>
  <c r="BI82" i="5" s="1"/>
  <c r="BI60" i="5"/>
  <c r="BW55" i="10"/>
  <c r="BW84" i="10" s="1"/>
  <c r="BW23" i="10"/>
  <c r="BW17" i="10"/>
  <c r="BW53" i="10"/>
  <c r="BW82" i="10" s="1"/>
  <c r="BW60" i="10"/>
  <c r="BP31" i="7"/>
  <c r="BP60" i="7" s="1"/>
  <c r="BQ31" i="7" l="1"/>
  <c r="BX31" i="10"/>
  <c r="BP55" i="7"/>
  <c r="BP84" i="7" s="1"/>
  <c r="BP23" i="7"/>
  <c r="BP53" i="7"/>
  <c r="BP82" i="7" s="1"/>
  <c r="BP17" i="7"/>
  <c r="BJ31" i="5"/>
  <c r="BJ60" i="5" s="1"/>
  <c r="BX23" i="10" l="1"/>
  <c r="BX17" i="10"/>
  <c r="BX55" i="10"/>
  <c r="BX84" i="10" s="1"/>
  <c r="BX53" i="10"/>
  <c r="BX82" i="10" s="1"/>
  <c r="BJ17" i="5"/>
  <c r="BJ23" i="5"/>
  <c r="BJ55" i="5"/>
  <c r="BJ84" i="5" s="1"/>
  <c r="BJ53" i="5"/>
  <c r="BJ82" i="5" s="1"/>
  <c r="BX60" i="10"/>
  <c r="BK31" i="5"/>
  <c r="BQ55" i="7"/>
  <c r="BQ84" i="7" s="1"/>
  <c r="BQ23" i="7"/>
  <c r="BQ17" i="7"/>
  <c r="BQ53" i="7"/>
  <c r="BQ82" i="7" s="1"/>
  <c r="BQ60" i="7"/>
  <c r="BK23" i="5" l="1"/>
  <c r="BK55" i="5"/>
  <c r="BK84" i="5" s="1"/>
  <c r="BK17" i="5"/>
  <c r="BK53" i="5"/>
  <c r="BK82" i="5" s="1"/>
  <c r="BY31" i="10"/>
  <c r="BY60" i="10" s="1"/>
  <c r="BR31" i="7"/>
  <c r="BR60" i="7" s="1"/>
  <c r="BK60" i="5"/>
  <c r="BZ31" i="10" l="1"/>
  <c r="BL31" i="5"/>
  <c r="BR23" i="7"/>
  <c r="BR53" i="7"/>
  <c r="BR82" i="7" s="1"/>
  <c r="BR17" i="7"/>
  <c r="BR55" i="7"/>
  <c r="BR84" i="7" s="1"/>
  <c r="BY55" i="10"/>
  <c r="BY84" i="10" s="1"/>
  <c r="BY23" i="10"/>
  <c r="BY17" i="10"/>
  <c r="BY53" i="10"/>
  <c r="BY82" i="10" s="1"/>
  <c r="BS31" i="7"/>
  <c r="BS60" i="7" s="1"/>
  <c r="BS23" i="7" l="1"/>
  <c r="BS53" i="7"/>
  <c r="BS17" i="7"/>
  <c r="BS55" i="7"/>
  <c r="BS84" i="7" s="1"/>
  <c r="BL23" i="5"/>
  <c r="BL17" i="5"/>
  <c r="BL55" i="5"/>
  <c r="BL84" i="5" s="1"/>
  <c r="BL53" i="5"/>
  <c r="BL82" i="5" s="1"/>
  <c r="BL60" i="5"/>
  <c r="BZ55" i="10"/>
  <c r="BZ84" i="10" s="1"/>
  <c r="BZ17" i="10"/>
  <c r="BZ53" i="10"/>
  <c r="BZ82" i="10" s="1"/>
  <c r="BZ23" i="10"/>
  <c r="BT31" i="7"/>
  <c r="BT60" i="7" s="1"/>
  <c r="BS82" i="7"/>
  <c r="BZ60" i="10"/>
  <c r="BT23" i="7" l="1"/>
  <c r="BT17" i="7"/>
  <c r="BT55" i="7"/>
  <c r="BT53" i="7"/>
  <c r="BT82" i="7" s="1"/>
  <c r="BM31" i="5"/>
  <c r="BT84" i="7"/>
  <c r="CA31" i="10"/>
  <c r="CA60" i="10" s="1"/>
  <c r="BU31" i="7"/>
  <c r="CB31" i="10" l="1"/>
  <c r="BM23" i="5"/>
  <c r="BM17" i="5"/>
  <c r="BM55" i="5"/>
  <c r="BM84" i="5" s="1"/>
  <c r="BM53" i="5"/>
  <c r="BM82" i="5" s="1"/>
  <c r="BU23" i="7"/>
  <c r="BU55" i="7"/>
  <c r="BU84" i="7" s="1"/>
  <c r="BU17" i="7"/>
  <c r="BU53" i="7"/>
  <c r="BU82" i="7"/>
  <c r="BM60" i="5"/>
  <c r="BU60" i="7"/>
  <c r="CA55" i="10"/>
  <c r="CA84" i="10" s="1"/>
  <c r="CA17" i="10"/>
  <c r="CA23" i="10"/>
  <c r="CA53" i="10"/>
  <c r="CA82" i="10" s="1"/>
  <c r="BN31" i="5" l="1"/>
  <c r="BN60" i="5" s="1"/>
  <c r="CB17" i="10"/>
  <c r="CB55" i="10"/>
  <c r="CB84" i="10" s="1"/>
  <c r="CB23" i="10"/>
  <c r="CB53" i="10"/>
  <c r="CB82" i="10" s="1"/>
  <c r="CB60" i="10"/>
  <c r="BV31" i="7"/>
  <c r="BO31" i="5" l="1"/>
  <c r="CC31" i="10"/>
  <c r="BV23" i="7"/>
  <c r="BV17" i="7"/>
  <c r="BV55" i="7"/>
  <c r="BV84" i="7" s="1"/>
  <c r="BV53" i="7"/>
  <c r="BV82" i="7" s="1"/>
  <c r="BN23" i="5"/>
  <c r="BN17" i="5"/>
  <c r="BN55" i="5"/>
  <c r="BN84" i="5" s="1"/>
  <c r="BN53" i="5"/>
  <c r="BN82" i="5" s="1"/>
  <c r="BV60" i="7"/>
  <c r="CC55" i="10" l="1"/>
  <c r="CC84" i="10" s="1"/>
  <c r="CC17" i="10"/>
  <c r="CC23" i="10"/>
  <c r="CC53" i="10"/>
  <c r="CC82" i="10" s="1"/>
  <c r="CC60" i="10"/>
  <c r="BO84" i="5"/>
  <c r="BW31" i="7"/>
  <c r="BO23" i="5"/>
  <c r="BO17" i="5"/>
  <c r="BO55" i="5"/>
  <c r="BO53" i="5"/>
  <c r="BO82" i="5" s="1"/>
  <c r="BO60" i="5"/>
  <c r="CD31" i="10" l="1"/>
  <c r="BW23" i="7"/>
  <c r="BW55" i="7"/>
  <c r="BW84" i="7" s="1"/>
  <c r="BW53" i="7"/>
  <c r="BW82" i="7" s="1"/>
  <c r="BW17" i="7"/>
  <c r="BP31" i="5"/>
  <c r="BP60" i="5" s="1"/>
  <c r="BW60" i="7"/>
  <c r="BQ31" i="5" l="1"/>
  <c r="BQ60" i="5" s="1"/>
  <c r="CD23" i="10"/>
  <c r="CD55" i="10"/>
  <c r="CD84" i="10" s="1"/>
  <c r="CD17" i="10"/>
  <c r="CD53" i="10"/>
  <c r="CD82" i="10" s="1"/>
  <c r="BX31" i="7"/>
  <c r="CD60" i="10"/>
  <c r="BP23" i="5"/>
  <c r="BP17" i="5"/>
  <c r="BP55" i="5"/>
  <c r="BP84" i="5" s="1"/>
  <c r="BP53" i="5"/>
  <c r="BP82" i="5" s="1"/>
  <c r="CE31" i="10" l="1"/>
  <c r="CE60" i="10" s="1"/>
  <c r="BQ23" i="5"/>
  <c r="BQ17" i="5"/>
  <c r="BQ55" i="5"/>
  <c r="BQ84" i="5" s="1"/>
  <c r="BQ53" i="5"/>
  <c r="BQ82" i="5" s="1"/>
  <c r="BX55" i="7"/>
  <c r="BX84" i="7" s="1"/>
  <c r="BX23" i="7"/>
  <c r="BX53" i="7"/>
  <c r="BX82" i="7" s="1"/>
  <c r="BX17" i="7"/>
  <c r="BR31" i="5"/>
  <c r="BR60" i="5" s="1"/>
  <c r="BX60" i="7"/>
  <c r="BS31" i="5" l="1"/>
  <c r="CE23" i="10"/>
  <c r="CE17" i="10"/>
  <c r="CE55" i="10"/>
  <c r="CE84" i="10" s="1"/>
  <c r="CE53" i="10"/>
  <c r="CE82" i="10" s="1"/>
  <c r="BY31" i="7"/>
  <c r="CF31" i="10"/>
  <c r="CF60" i="10" s="1"/>
  <c r="BR17" i="5"/>
  <c r="BR23" i="5"/>
  <c r="BR55" i="5"/>
  <c r="BR84" i="5" s="1"/>
  <c r="BR53" i="5"/>
  <c r="BR82" i="5" s="1"/>
  <c r="CF23" i="10" l="1"/>
  <c r="CF55" i="10"/>
  <c r="CF84" i="10" s="1"/>
  <c r="CF17" i="10"/>
  <c r="CF53" i="10"/>
  <c r="CF82" i="10"/>
  <c r="BY55" i="7"/>
  <c r="BY84" i="7" s="1"/>
  <c r="BY23" i="7"/>
  <c r="BY17" i="7"/>
  <c r="BY53" i="7"/>
  <c r="BY82" i="7" s="1"/>
  <c r="BY60" i="7"/>
  <c r="CG31" i="10"/>
  <c r="CG60" i="10" s="1"/>
  <c r="BS55" i="5"/>
  <c r="BS84" i="5" s="1"/>
  <c r="BS23" i="5"/>
  <c r="BS17" i="5"/>
  <c r="BS53" i="5"/>
  <c r="BS82" i="5" s="1"/>
  <c r="BS60" i="5"/>
  <c r="BT31" i="5" l="1"/>
  <c r="CH31" i="10"/>
  <c r="BZ31" i="7"/>
  <c r="CG55" i="10"/>
  <c r="CG84" i="10" s="1"/>
  <c r="CG23" i="10"/>
  <c r="CG53" i="10"/>
  <c r="CG82" i="10" s="1"/>
  <c r="CG17" i="10"/>
  <c r="BT23" i="5" l="1"/>
  <c r="BT17" i="5"/>
  <c r="BT55" i="5"/>
  <c r="BT84" i="5" s="1"/>
  <c r="BT53" i="5"/>
  <c r="BT82" i="5" s="1"/>
  <c r="BZ23" i="7"/>
  <c r="BZ17" i="7"/>
  <c r="BZ53" i="7"/>
  <c r="BZ82" i="7" s="1"/>
  <c r="BZ55" i="7"/>
  <c r="BZ84" i="7" s="1"/>
  <c r="BZ60" i="7"/>
  <c r="BT60" i="5"/>
  <c r="CH55" i="10"/>
  <c r="E55" i="10" s="1"/>
  <c r="CH53" i="10"/>
  <c r="E53" i="10" s="1"/>
  <c r="CH23" i="10"/>
  <c r="E23" i="10" s="1"/>
  <c r="CH17" i="10"/>
  <c r="E17" i="10" s="1"/>
  <c r="E31" i="10"/>
  <c r="CH60" i="10"/>
  <c r="CH84" i="10" l="1"/>
  <c r="E84" i="10"/>
  <c r="E60" i="10"/>
  <c r="CH89" i="10" s="1"/>
  <c r="E89" i="10" s="1"/>
  <c r="BU31" i="5"/>
  <c r="BU60" i="5" s="1"/>
  <c r="E118" i="3"/>
  <c r="I189" i="10"/>
  <c r="AJ189" i="10"/>
  <c r="AR189" i="10"/>
  <c r="AZ189" i="10"/>
  <c r="BH189" i="10"/>
  <c r="BP189" i="10"/>
  <c r="BX189" i="10"/>
  <c r="CF189" i="10"/>
  <c r="T189" i="10"/>
  <c r="AB189" i="10"/>
  <c r="K189" i="10"/>
  <c r="AK189" i="10"/>
  <c r="AS189" i="10"/>
  <c r="BA189" i="10"/>
  <c r="BI189" i="10"/>
  <c r="BQ189" i="10"/>
  <c r="BY189" i="10"/>
  <c r="CG189" i="10"/>
  <c r="W189" i="10"/>
  <c r="AC189" i="10"/>
  <c r="N189" i="10"/>
  <c r="AL189" i="10"/>
  <c r="AT189" i="10"/>
  <c r="BB189" i="10"/>
  <c r="BJ189" i="10"/>
  <c r="BR189" i="10"/>
  <c r="BZ189" i="10"/>
  <c r="CH189" i="10"/>
  <c r="Q189" i="10"/>
  <c r="AD189" i="10"/>
  <c r="H189" i="10"/>
  <c r="AE189" i="10"/>
  <c r="AM189" i="10"/>
  <c r="AU189" i="10"/>
  <c r="BC189" i="10"/>
  <c r="BK189" i="10"/>
  <c r="BS189" i="10"/>
  <c r="CA189" i="10"/>
  <c r="U189" i="10"/>
  <c r="P189" i="10"/>
  <c r="J189" i="10"/>
  <c r="AF189" i="10"/>
  <c r="AN189" i="10"/>
  <c r="AV189" i="10"/>
  <c r="BD189" i="10"/>
  <c r="BL189" i="10"/>
  <c r="BT189" i="10"/>
  <c r="CB189" i="10"/>
  <c r="R189" i="10"/>
  <c r="O189" i="10"/>
  <c r="L189" i="10"/>
  <c r="AG189" i="10"/>
  <c r="AO189" i="10"/>
  <c r="AW189" i="10"/>
  <c r="BE189" i="10"/>
  <c r="BM189" i="10"/>
  <c r="BU189" i="10"/>
  <c r="CC189" i="10"/>
  <c r="S189" i="10"/>
  <c r="Y189" i="10"/>
  <c r="G189" i="10"/>
  <c r="AH189" i="10"/>
  <c r="AP189" i="10"/>
  <c r="AX189" i="10"/>
  <c r="BF189" i="10"/>
  <c r="BN189" i="10"/>
  <c r="BV189" i="10"/>
  <c r="CD189" i="10"/>
  <c r="Z189" i="10"/>
  <c r="X189" i="10"/>
  <c r="M189" i="10"/>
  <c r="AI189" i="10"/>
  <c r="AQ189" i="10"/>
  <c r="AY189" i="10"/>
  <c r="BG189" i="10"/>
  <c r="BO189" i="10"/>
  <c r="BW189" i="10"/>
  <c r="CE189" i="10"/>
  <c r="V189" i="10"/>
  <c r="AA189" i="10"/>
  <c r="CA31" i="7"/>
  <c r="CA60" i="7" s="1"/>
  <c r="CH82" i="10"/>
  <c r="E82" i="10" s="1"/>
  <c r="BV31" i="5" l="1"/>
  <c r="CA23" i="7"/>
  <c r="CA53" i="7"/>
  <c r="CA82" i="7" s="1"/>
  <c r="CA17" i="7"/>
  <c r="CA55" i="7"/>
  <c r="CA84" i="7" s="1"/>
  <c r="CB31" i="7"/>
  <c r="G190" i="10"/>
  <c r="E189" i="10"/>
  <c r="BU23" i="5"/>
  <c r="BU17" i="5"/>
  <c r="BU55" i="5"/>
  <c r="BU84" i="5" s="1"/>
  <c r="BU53" i="5"/>
  <c r="BU82" i="5" s="1"/>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I89" i="10"/>
  <c r="AJ89" i="10"/>
  <c r="AK89" i="10"/>
  <c r="AL89" i="10"/>
  <c r="AM89" i="10"/>
  <c r="AN89" i="10"/>
  <c r="AO89" i="10"/>
  <c r="AP89" i="10"/>
  <c r="AQ89" i="10"/>
  <c r="AR89" i="10"/>
  <c r="AS89" i="10"/>
  <c r="AT89" i="10"/>
  <c r="AU89" i="10"/>
  <c r="AV89" i="10"/>
  <c r="AW89" i="10"/>
  <c r="AX89" i="10"/>
  <c r="AY89" i="10"/>
  <c r="AZ89" i="10"/>
  <c r="BA89" i="10"/>
  <c r="BB89" i="10"/>
  <c r="BC89" i="10"/>
  <c r="BD89" i="10"/>
  <c r="BE89" i="10"/>
  <c r="BF89" i="10"/>
  <c r="BG89" i="10"/>
  <c r="BH89" i="10"/>
  <c r="BI89" i="10"/>
  <c r="BJ89" i="10"/>
  <c r="BK89" i="10"/>
  <c r="BL89" i="10"/>
  <c r="BM89" i="10"/>
  <c r="BN89" i="10"/>
  <c r="BO89" i="10"/>
  <c r="BP89" i="10"/>
  <c r="BQ89" i="10"/>
  <c r="BR89" i="10"/>
  <c r="BS89" i="10"/>
  <c r="BT89" i="10"/>
  <c r="BU89" i="10"/>
  <c r="BV89" i="10"/>
  <c r="BW89" i="10"/>
  <c r="BX89" i="10"/>
  <c r="BY89" i="10"/>
  <c r="BZ89" i="10"/>
  <c r="CA89" i="10"/>
  <c r="CB89" i="10"/>
  <c r="CC89" i="10"/>
  <c r="CD89" i="10"/>
  <c r="CE89" i="10"/>
  <c r="CF89" i="10"/>
  <c r="CG89" i="10"/>
  <c r="CB23" i="7" l="1"/>
  <c r="CB17" i="7"/>
  <c r="CB55" i="7"/>
  <c r="CB84" i="7" s="1"/>
  <c r="CB53" i="7"/>
  <c r="CB82" i="7" s="1"/>
  <c r="BV23" i="5"/>
  <c r="BV17" i="5"/>
  <c r="BV55" i="5"/>
  <c r="BV84" i="5" s="1"/>
  <c r="BV53" i="5"/>
  <c r="BV82" i="5" s="1"/>
  <c r="BV60" i="5"/>
  <c r="G191" i="10"/>
  <c r="G193" i="10"/>
  <c r="CB60" i="7"/>
  <c r="BW31" i="5" l="1"/>
  <c r="G192" i="10"/>
  <c r="CC31" i="7"/>
  <c r="G194" i="10"/>
  <c r="CC55" i="7" l="1"/>
  <c r="CC84" i="7" s="1"/>
  <c r="CC23" i="7"/>
  <c r="CC17" i="7"/>
  <c r="CC53" i="7"/>
  <c r="CC82" i="7" s="1"/>
  <c r="CC60" i="7"/>
  <c r="G46" i="10"/>
  <c r="G47" i="10"/>
  <c r="BW17" i="5"/>
  <c r="BW23" i="5"/>
  <c r="BW55" i="5"/>
  <c r="BW84" i="5" s="1"/>
  <c r="BW53" i="5"/>
  <c r="BW82" i="5" s="1"/>
  <c r="BW60" i="5"/>
  <c r="G37" i="11" l="1"/>
  <c r="G201" i="10"/>
  <c r="G75" i="10"/>
  <c r="G58" i="10"/>
  <c r="G200" i="10"/>
  <c r="G76" i="10"/>
  <c r="G25" i="10"/>
  <c r="G135" i="10"/>
  <c r="G125" i="10"/>
  <c r="G147" i="10"/>
  <c r="G172" i="10"/>
  <c r="G124" i="10"/>
  <c r="G123" i="10"/>
  <c r="G139" i="10"/>
  <c r="G132" i="10"/>
  <c r="G166" i="10"/>
  <c r="G111" i="10"/>
  <c r="G144" i="10"/>
  <c r="G122" i="10"/>
  <c r="G170" i="10"/>
  <c r="G117" i="10"/>
  <c r="G179" i="10"/>
  <c r="G121" i="10"/>
  <c r="G106" i="10"/>
  <c r="G119" i="10"/>
  <c r="G154" i="10"/>
  <c r="G131" i="10"/>
  <c r="G167" i="10"/>
  <c r="G129" i="10"/>
  <c r="G148" i="10"/>
  <c r="G134" i="10"/>
  <c r="G141" i="10"/>
  <c r="G138" i="10"/>
  <c r="G177" i="10"/>
  <c r="G150" i="10"/>
  <c r="G173" i="10"/>
  <c r="G171" i="10"/>
  <c r="G162" i="10"/>
  <c r="G145" i="10"/>
  <c r="G156" i="10"/>
  <c r="G159" i="10"/>
  <c r="G112" i="10"/>
  <c r="G178" i="10"/>
  <c r="G158" i="10"/>
  <c r="G142" i="10"/>
  <c r="G182" i="10"/>
  <c r="G155" i="10"/>
  <c r="G180" i="10"/>
  <c r="G118" i="10"/>
  <c r="G126" i="10"/>
  <c r="G99" i="10"/>
  <c r="G169" i="10"/>
  <c r="G110" i="10"/>
  <c r="G127" i="10"/>
  <c r="G165" i="10"/>
  <c r="G163" i="10"/>
  <c r="G105" i="10"/>
  <c r="G152" i="10"/>
  <c r="G133" i="10"/>
  <c r="G168" i="10"/>
  <c r="G157" i="10"/>
  <c r="G113" i="10"/>
  <c r="G176" i="10"/>
  <c r="G161" i="10"/>
  <c r="G120" i="10"/>
  <c r="G130" i="10"/>
  <c r="G149" i="10"/>
  <c r="G108" i="10"/>
  <c r="G143" i="10"/>
  <c r="G183" i="10"/>
  <c r="G136" i="10"/>
  <c r="G140" i="10"/>
  <c r="G146" i="10"/>
  <c r="G175" i="10"/>
  <c r="G160" i="10"/>
  <c r="G115" i="10"/>
  <c r="G107" i="10"/>
  <c r="G153" i="10"/>
  <c r="G128" i="10"/>
  <c r="G164" i="10"/>
  <c r="G174" i="10"/>
  <c r="G137" i="10"/>
  <c r="G114" i="10"/>
  <c r="G151" i="10"/>
  <c r="G116" i="10"/>
  <c r="G181" i="10"/>
  <c r="G109" i="10"/>
  <c r="CD31" i="7"/>
  <c r="BX31" i="5"/>
  <c r="CD17" i="7" l="1"/>
  <c r="CD23" i="7"/>
  <c r="CD53" i="7"/>
  <c r="CD82" i="7" s="1"/>
  <c r="CD55" i="7"/>
  <c r="CD84" i="7" s="1"/>
  <c r="G87" i="10"/>
  <c r="BX23" i="5"/>
  <c r="BX17" i="5"/>
  <c r="BX55" i="5"/>
  <c r="BX84" i="5" s="1"/>
  <c r="BX53" i="5"/>
  <c r="BX82" i="5" s="1"/>
  <c r="CD60" i="7"/>
  <c r="BX60" i="5"/>
  <c r="G28" i="10"/>
  <c r="H22" i="10" s="1"/>
  <c r="G57" i="10"/>
  <c r="G101" i="10"/>
  <c r="G91" i="10"/>
  <c r="G38" i="11"/>
  <c r="G100" i="10"/>
  <c r="G102" i="10"/>
  <c r="G86" i="10" l="1"/>
  <c r="CE31" i="7"/>
  <c r="BY31" i="5"/>
  <c r="G93" i="10"/>
  <c r="H188" i="10"/>
  <c r="CE23" i="7" l="1"/>
  <c r="CE55" i="7"/>
  <c r="CE84" i="7" s="1"/>
  <c r="CE53" i="7"/>
  <c r="CE82" i="7" s="1"/>
  <c r="CE17" i="7"/>
  <c r="BY23" i="5"/>
  <c r="BY17" i="5"/>
  <c r="BY55" i="5"/>
  <c r="BY84" i="5" s="1"/>
  <c r="BY53" i="5"/>
  <c r="BY82" i="5" s="1"/>
  <c r="CE60" i="7"/>
  <c r="BY60" i="5"/>
  <c r="H190" i="10"/>
  <c r="H191" i="10" l="1"/>
  <c r="H193" i="10"/>
  <c r="BZ31" i="5"/>
  <c r="BZ60" i="5" s="1"/>
  <c r="CF31" i="7"/>
  <c r="CF60" i="7" s="1"/>
  <c r="CG31" i="7" l="1"/>
  <c r="CA31" i="5"/>
  <c r="CA60" i="5" s="1"/>
  <c r="H194" i="10"/>
  <c r="H192" i="10"/>
  <c r="CF23" i="7"/>
  <c r="CF55" i="7"/>
  <c r="CF84" i="7" s="1"/>
  <c r="CF17" i="7"/>
  <c r="CF53" i="7"/>
  <c r="CF82" i="7" s="1"/>
  <c r="BZ17" i="5"/>
  <c r="BZ23" i="5"/>
  <c r="BZ55" i="5"/>
  <c r="BZ84" i="5" s="1"/>
  <c r="BZ53" i="5"/>
  <c r="BZ82" i="5" s="1"/>
  <c r="CB31" i="5" l="1"/>
  <c r="CG23" i="7"/>
  <c r="CG55" i="7"/>
  <c r="CG84" i="7" s="1"/>
  <c r="CG53" i="7"/>
  <c r="CG82" i="7" s="1"/>
  <c r="CG17" i="7"/>
  <c r="H46" i="10"/>
  <c r="CA23" i="5"/>
  <c r="CA55" i="5"/>
  <c r="CA84" i="5" s="1"/>
  <c r="CA17" i="5"/>
  <c r="CA53" i="5"/>
  <c r="CA82" i="5" s="1"/>
  <c r="H47" i="10"/>
  <c r="CG60" i="7"/>
  <c r="H200" i="10" l="1"/>
  <c r="H25" i="10"/>
  <c r="H99" i="10"/>
  <c r="H156" i="10"/>
  <c r="H176" i="10"/>
  <c r="H152" i="10"/>
  <c r="H134" i="10"/>
  <c r="H148" i="10"/>
  <c r="H126" i="10"/>
  <c r="H161" i="10"/>
  <c r="H177" i="10"/>
  <c r="H131" i="10"/>
  <c r="H138" i="10"/>
  <c r="H154" i="10"/>
  <c r="H174" i="10"/>
  <c r="H122" i="10"/>
  <c r="H109" i="10"/>
  <c r="H151" i="10"/>
  <c r="H179" i="10"/>
  <c r="H117" i="10"/>
  <c r="H114" i="10"/>
  <c r="H169" i="10"/>
  <c r="H118" i="10"/>
  <c r="H127" i="10"/>
  <c r="H141" i="10"/>
  <c r="H142" i="10"/>
  <c r="H160" i="10"/>
  <c r="H112" i="10"/>
  <c r="H155" i="10"/>
  <c r="H144" i="10"/>
  <c r="H132" i="10"/>
  <c r="H164" i="10"/>
  <c r="H116" i="10"/>
  <c r="H168" i="10"/>
  <c r="H183" i="10"/>
  <c r="H167" i="10"/>
  <c r="H175" i="10"/>
  <c r="H130" i="10"/>
  <c r="H172" i="10"/>
  <c r="H147" i="10"/>
  <c r="H128" i="10"/>
  <c r="H129" i="10"/>
  <c r="H121" i="10"/>
  <c r="H182" i="10"/>
  <c r="H149" i="10"/>
  <c r="H119" i="10"/>
  <c r="H124" i="10"/>
  <c r="H135" i="10"/>
  <c r="H171" i="10"/>
  <c r="H111" i="10"/>
  <c r="H123" i="10"/>
  <c r="H146" i="10"/>
  <c r="H178" i="10"/>
  <c r="H181" i="10"/>
  <c r="H157" i="10"/>
  <c r="H145" i="10"/>
  <c r="H136" i="10"/>
  <c r="H159" i="10"/>
  <c r="H150" i="10"/>
  <c r="H180" i="10"/>
  <c r="H106" i="10"/>
  <c r="H162" i="10"/>
  <c r="H133" i="10"/>
  <c r="H107" i="10"/>
  <c r="H137" i="10"/>
  <c r="H140" i="10"/>
  <c r="H113" i="10"/>
  <c r="H166" i="10"/>
  <c r="H173" i="10"/>
  <c r="H115" i="10"/>
  <c r="H125" i="10"/>
  <c r="H143" i="10"/>
  <c r="H170" i="10"/>
  <c r="H110" i="10"/>
  <c r="H139" i="10"/>
  <c r="H158" i="10"/>
  <c r="H163" i="10"/>
  <c r="H165" i="10"/>
  <c r="H108" i="10"/>
  <c r="H153" i="10"/>
  <c r="H120" i="10"/>
  <c r="H76" i="10"/>
  <c r="CB23" i="5"/>
  <c r="CB17" i="5"/>
  <c r="CB55" i="5"/>
  <c r="CB84" i="5" s="1"/>
  <c r="CB53" i="5"/>
  <c r="CB82" i="5" s="1"/>
  <c r="CH31" i="7"/>
  <c r="CH60" i="7" s="1"/>
  <c r="H37" i="11"/>
  <c r="H201" i="10"/>
  <c r="H58" i="10"/>
  <c r="H57" i="10" s="1"/>
  <c r="H75" i="10"/>
  <c r="CB60" i="5"/>
  <c r="H102" i="10"/>
  <c r="H87" i="10" l="1"/>
  <c r="CC31" i="5"/>
  <c r="CC60" i="5" s="1"/>
  <c r="E60" i="7"/>
  <c r="CH89" i="7" s="1"/>
  <c r="E89" i="7" s="1"/>
  <c r="H100" i="10"/>
  <c r="H38" i="11"/>
  <c r="H86" i="10"/>
  <c r="CH23" i="7"/>
  <c r="E23" i="7" s="1"/>
  <c r="CH17" i="7"/>
  <c r="E17" i="7" s="1"/>
  <c r="CH53" i="7"/>
  <c r="CH55" i="7"/>
  <c r="E31" i="7"/>
  <c r="H28" i="10"/>
  <c r="I22" i="10" s="1"/>
  <c r="H101" i="10"/>
  <c r="H91" i="10"/>
  <c r="CD31" i="5" l="1"/>
  <c r="E55" i="7"/>
  <c r="CH84" i="7"/>
  <c r="E53" i="7"/>
  <c r="CH82" i="7"/>
  <c r="E82" i="7" s="1"/>
  <c r="I188" i="10"/>
  <c r="H93" i="10"/>
  <c r="G89" i="7"/>
  <c r="H89" i="7"/>
  <c r="I89" i="7"/>
  <c r="J89" i="7"/>
  <c r="K89" i="7"/>
  <c r="L89" i="7"/>
  <c r="M89" i="7"/>
  <c r="N89" i="7"/>
  <c r="O89" i="7"/>
  <c r="P89" i="7"/>
  <c r="Q89" i="7"/>
  <c r="R89" i="7"/>
  <c r="S89" i="7"/>
  <c r="T89" i="7"/>
  <c r="U89" i="7"/>
  <c r="V89" i="7"/>
  <c r="W89" i="7"/>
  <c r="X89" i="7"/>
  <c r="Y89" i="7"/>
  <c r="Z89" i="7"/>
  <c r="AA89" i="7"/>
  <c r="AB89" i="7"/>
  <c r="AC89" i="7"/>
  <c r="AD89" i="7"/>
  <c r="AE89" i="7"/>
  <c r="AF89" i="7"/>
  <c r="AG89" i="7"/>
  <c r="AH89" i="7"/>
  <c r="AI89" i="7"/>
  <c r="AJ89" i="7"/>
  <c r="AK89" i="7"/>
  <c r="AL89" i="7"/>
  <c r="AM89" i="7"/>
  <c r="AN89" i="7"/>
  <c r="AO89" i="7"/>
  <c r="AP89" i="7"/>
  <c r="AQ89" i="7"/>
  <c r="AR89" i="7"/>
  <c r="AS89" i="7"/>
  <c r="AT89" i="7"/>
  <c r="AU89" i="7"/>
  <c r="AV89" i="7"/>
  <c r="AW89" i="7"/>
  <c r="AX89" i="7"/>
  <c r="AY89" i="7"/>
  <c r="AZ89" i="7"/>
  <c r="BA89" i="7"/>
  <c r="BB89" i="7"/>
  <c r="BC89" i="7"/>
  <c r="BD89" i="7"/>
  <c r="BE89" i="7"/>
  <c r="BF89" i="7"/>
  <c r="BG89" i="7"/>
  <c r="BH89" i="7"/>
  <c r="BI89" i="7"/>
  <c r="BJ89" i="7"/>
  <c r="BK89" i="7"/>
  <c r="BL89" i="7"/>
  <c r="BM89" i="7"/>
  <c r="BN89" i="7"/>
  <c r="BO89" i="7"/>
  <c r="BP89" i="7"/>
  <c r="BQ89" i="7"/>
  <c r="BR89" i="7"/>
  <c r="BS89" i="7"/>
  <c r="BT89" i="7"/>
  <c r="BU89" i="7"/>
  <c r="BV89" i="7"/>
  <c r="BW89" i="7"/>
  <c r="BX89" i="7"/>
  <c r="BY89" i="7"/>
  <c r="BZ89" i="7"/>
  <c r="CA89" i="7"/>
  <c r="CB89" i="7"/>
  <c r="CC89" i="7"/>
  <c r="CD89" i="7"/>
  <c r="CE89" i="7"/>
  <c r="CF89" i="7"/>
  <c r="CG89" i="7"/>
  <c r="CC23" i="5"/>
  <c r="CC17" i="5"/>
  <c r="CC55" i="5"/>
  <c r="CC84" i="5" s="1"/>
  <c r="CC53" i="5"/>
  <c r="CC82" i="5" s="1"/>
  <c r="E118" i="6"/>
  <c r="G189" i="7"/>
  <c r="AH189" i="7"/>
  <c r="AP189" i="7"/>
  <c r="AX189" i="7"/>
  <c r="BF189" i="7"/>
  <c r="BN189" i="7"/>
  <c r="BV189" i="7"/>
  <c r="CD189" i="7"/>
  <c r="O189" i="7"/>
  <c r="R189" i="7"/>
  <c r="J189" i="7"/>
  <c r="AI189" i="7"/>
  <c r="AQ189" i="7"/>
  <c r="AY189" i="7"/>
  <c r="BG189" i="7"/>
  <c r="BO189" i="7"/>
  <c r="BW189" i="7"/>
  <c r="CE189" i="7"/>
  <c r="P189" i="7"/>
  <c r="AA189" i="7"/>
  <c r="H189" i="7"/>
  <c r="AJ189" i="7"/>
  <c r="AR189" i="7"/>
  <c r="AZ189" i="7"/>
  <c r="BH189" i="7"/>
  <c r="BP189" i="7"/>
  <c r="BX189" i="7"/>
  <c r="CF189" i="7"/>
  <c r="V189" i="7"/>
  <c r="AB189" i="7"/>
  <c r="K189" i="7"/>
  <c r="AK189" i="7"/>
  <c r="AS189" i="7"/>
  <c r="BA189" i="7"/>
  <c r="BI189" i="7"/>
  <c r="BQ189" i="7"/>
  <c r="BY189" i="7"/>
  <c r="CG189" i="7"/>
  <c r="X189" i="7"/>
  <c r="AC189" i="7"/>
  <c r="M189" i="7"/>
  <c r="AL189" i="7"/>
  <c r="AT189" i="7"/>
  <c r="BB189" i="7"/>
  <c r="BJ189" i="7"/>
  <c r="BR189" i="7"/>
  <c r="BZ189" i="7"/>
  <c r="CH189" i="7"/>
  <c r="Y189" i="7"/>
  <c r="AD189" i="7"/>
  <c r="I189" i="7"/>
  <c r="AE189" i="7"/>
  <c r="AM189" i="7"/>
  <c r="AU189" i="7"/>
  <c r="BC189" i="7"/>
  <c r="BK189" i="7"/>
  <c r="BS189" i="7"/>
  <c r="CA189" i="7"/>
  <c r="W189" i="7"/>
  <c r="Z189" i="7"/>
  <c r="L189" i="7"/>
  <c r="AF189" i="7"/>
  <c r="AN189" i="7"/>
  <c r="AV189" i="7"/>
  <c r="BD189" i="7"/>
  <c r="BL189" i="7"/>
  <c r="BT189" i="7"/>
  <c r="CB189" i="7"/>
  <c r="S189" i="7"/>
  <c r="U189" i="7"/>
  <c r="N189" i="7"/>
  <c r="AG189" i="7"/>
  <c r="AO189" i="7"/>
  <c r="AW189" i="7"/>
  <c r="BE189" i="7"/>
  <c r="BM189" i="7"/>
  <c r="BU189" i="7"/>
  <c r="CC189" i="7"/>
  <c r="T189" i="7"/>
  <c r="Q189" i="7"/>
  <c r="E84" i="7" l="1"/>
  <c r="I190" i="10"/>
  <c r="G190" i="7"/>
  <c r="E189" i="7"/>
  <c r="CD23" i="5"/>
  <c r="CD17" i="5"/>
  <c r="CD55" i="5"/>
  <c r="CD84" i="5" s="1"/>
  <c r="CD53" i="5"/>
  <c r="CD82" i="5" s="1"/>
  <c r="CD60" i="5"/>
  <c r="CE31" i="5" l="1"/>
  <c r="G191" i="7"/>
  <c r="G193" i="7"/>
  <c r="I191" i="10"/>
  <c r="I193" i="10"/>
  <c r="CE17" i="5" l="1"/>
  <c r="CE23" i="5"/>
  <c r="CE55" i="5"/>
  <c r="CE84" i="5" s="1"/>
  <c r="CE53" i="5"/>
  <c r="CE82" i="5" s="1"/>
  <c r="CE60" i="5"/>
  <c r="G194" i="7"/>
  <c r="G192" i="7"/>
  <c r="I194" i="10"/>
  <c r="I192" i="10"/>
  <c r="I46" i="10" l="1"/>
  <c r="I47" i="10"/>
  <c r="G46" i="7"/>
  <c r="G47" i="7"/>
  <c r="CF31" i="5"/>
  <c r="G201" i="7" l="1"/>
  <c r="G58" i="7"/>
  <c r="G75" i="7"/>
  <c r="CF23" i="5"/>
  <c r="CF55" i="5"/>
  <c r="CF84" i="5" s="1"/>
  <c r="CF17" i="5"/>
  <c r="CF53" i="5"/>
  <c r="CF82" i="5" s="1"/>
  <c r="CF60" i="5"/>
  <c r="I200" i="10"/>
  <c r="I25" i="10"/>
  <c r="I133" i="10"/>
  <c r="I181" i="10"/>
  <c r="I171" i="10"/>
  <c r="I162" i="10"/>
  <c r="I129" i="10"/>
  <c r="I131" i="10"/>
  <c r="I132" i="10"/>
  <c r="I139" i="10"/>
  <c r="I109" i="10"/>
  <c r="I140" i="10"/>
  <c r="I183" i="10"/>
  <c r="I135" i="10"/>
  <c r="I115" i="10"/>
  <c r="I150" i="10"/>
  <c r="I174" i="10"/>
  <c r="I128" i="10"/>
  <c r="I156" i="10"/>
  <c r="I107" i="10"/>
  <c r="I117" i="10"/>
  <c r="I99" i="10"/>
  <c r="I145" i="10"/>
  <c r="I126" i="10"/>
  <c r="I164" i="10"/>
  <c r="I119" i="10"/>
  <c r="I149" i="10"/>
  <c r="I160" i="10"/>
  <c r="I144" i="10"/>
  <c r="I154" i="10"/>
  <c r="I148" i="10"/>
  <c r="I152" i="10"/>
  <c r="I179" i="10"/>
  <c r="I178" i="10"/>
  <c r="I168" i="10"/>
  <c r="I143" i="10"/>
  <c r="I161" i="10"/>
  <c r="I155" i="10"/>
  <c r="I114" i="10"/>
  <c r="I176" i="10"/>
  <c r="I158" i="10"/>
  <c r="I180" i="10"/>
  <c r="I182" i="10"/>
  <c r="I121" i="10"/>
  <c r="I170" i="10"/>
  <c r="I157" i="10"/>
  <c r="I163" i="10"/>
  <c r="I153" i="10"/>
  <c r="I112" i="10"/>
  <c r="I125" i="10"/>
  <c r="I134" i="10"/>
  <c r="I141" i="10"/>
  <c r="I116" i="10"/>
  <c r="I177" i="10"/>
  <c r="I169" i="10"/>
  <c r="I175" i="10"/>
  <c r="I118" i="10"/>
  <c r="I166" i="10"/>
  <c r="I136" i="10"/>
  <c r="I113" i="10"/>
  <c r="I137" i="10"/>
  <c r="I120" i="10"/>
  <c r="I142" i="10"/>
  <c r="I146" i="10"/>
  <c r="I108" i="10"/>
  <c r="I167" i="10"/>
  <c r="I172" i="10"/>
  <c r="I124" i="10"/>
  <c r="I123" i="10"/>
  <c r="I122" i="10"/>
  <c r="I110" i="10"/>
  <c r="I151" i="10"/>
  <c r="I173" i="10"/>
  <c r="I138" i="10"/>
  <c r="I147" i="10"/>
  <c r="I165" i="10"/>
  <c r="I127" i="10"/>
  <c r="I130" i="10"/>
  <c r="I111" i="10"/>
  <c r="I159" i="10"/>
  <c r="I76" i="10"/>
  <c r="G200" i="7"/>
  <c r="G76" i="7"/>
  <c r="G57" i="7"/>
  <c r="G25" i="7"/>
  <c r="G121" i="7"/>
  <c r="G109" i="7"/>
  <c r="G119" i="7"/>
  <c r="G135" i="7"/>
  <c r="G141" i="7"/>
  <c r="G149" i="7"/>
  <c r="G157" i="7"/>
  <c r="G165" i="7"/>
  <c r="G173" i="7"/>
  <c r="G181" i="7"/>
  <c r="G106" i="7"/>
  <c r="G126" i="7"/>
  <c r="G111" i="7"/>
  <c r="G131" i="7"/>
  <c r="G142" i="7"/>
  <c r="G150" i="7"/>
  <c r="G158" i="7"/>
  <c r="G166" i="7"/>
  <c r="G174" i="7"/>
  <c r="G182" i="7"/>
  <c r="G105" i="7"/>
  <c r="G110" i="7"/>
  <c r="G118" i="7"/>
  <c r="G115" i="7"/>
  <c r="G127" i="7"/>
  <c r="G143" i="7"/>
  <c r="G151" i="7"/>
  <c r="G159" i="7"/>
  <c r="G167" i="7"/>
  <c r="G175" i="7"/>
  <c r="G183" i="7"/>
  <c r="G107" i="7"/>
  <c r="G133" i="7"/>
  <c r="G128" i="7"/>
  <c r="G134" i="7"/>
  <c r="G136" i="7"/>
  <c r="G144" i="7"/>
  <c r="G152" i="7"/>
  <c r="G160" i="7"/>
  <c r="G168" i="7"/>
  <c r="G176" i="7"/>
  <c r="G114" i="7"/>
  <c r="G123" i="7"/>
  <c r="G116" i="7"/>
  <c r="G137" i="7"/>
  <c r="G145" i="7"/>
  <c r="G153" i="7"/>
  <c r="G161" i="7"/>
  <c r="G169" i="7"/>
  <c r="G177" i="7"/>
  <c r="G108" i="7"/>
  <c r="G113" i="7"/>
  <c r="G120" i="7"/>
  <c r="G122" i="7"/>
  <c r="G138" i="7"/>
  <c r="G146" i="7"/>
  <c r="G154" i="7"/>
  <c r="G162" i="7"/>
  <c r="G170" i="7"/>
  <c r="G178" i="7"/>
  <c r="G117" i="7"/>
  <c r="G132" i="7"/>
  <c r="G112" i="7"/>
  <c r="G129" i="7"/>
  <c r="G139" i="7"/>
  <c r="G147" i="7"/>
  <c r="G155" i="7"/>
  <c r="G163" i="7"/>
  <c r="G171" i="7"/>
  <c r="G179" i="7"/>
  <c r="G99" i="7"/>
  <c r="G124" i="7"/>
  <c r="G130" i="7"/>
  <c r="G125" i="7"/>
  <c r="G140" i="7"/>
  <c r="G148" i="7"/>
  <c r="G156" i="7"/>
  <c r="G164" i="7"/>
  <c r="G172" i="7"/>
  <c r="G180" i="7"/>
  <c r="I37" i="11"/>
  <c r="I201" i="10"/>
  <c r="I58" i="10"/>
  <c r="I57" i="10" s="1"/>
  <c r="I75" i="10"/>
  <c r="I102" i="10"/>
  <c r="I86" i="10" l="1"/>
  <c r="I28" i="10"/>
  <c r="J22" i="10" s="1"/>
  <c r="G100" i="7"/>
  <c r="G86" i="7"/>
  <c r="CG31" i="5"/>
  <c r="CG60" i="5" s="1"/>
  <c r="G101" i="7"/>
  <c r="G91" i="7"/>
  <c r="G87" i="7"/>
  <c r="I38" i="11"/>
  <c r="G28" i="7"/>
  <c r="H22" i="7" s="1"/>
  <c r="I100" i="10"/>
  <c r="I87" i="10"/>
  <c r="I91" i="10"/>
  <c r="I101" i="10"/>
  <c r="G102" i="7"/>
  <c r="G93" i="7" l="1"/>
  <c r="J188" i="10"/>
  <c r="I93" i="10"/>
  <c r="H188" i="7"/>
  <c r="CG23" i="5"/>
  <c r="CG17" i="5"/>
  <c r="CG55" i="5"/>
  <c r="CG84" i="5" s="1"/>
  <c r="CG53" i="5"/>
  <c r="CG82" i="5" s="1"/>
  <c r="CH31" i="5"/>
  <c r="J190" i="10" l="1"/>
  <c r="CH17" i="5"/>
  <c r="E17" i="5" s="1"/>
  <c r="CH23" i="5"/>
  <c r="E23" i="5" s="1"/>
  <c r="CH55" i="5"/>
  <c r="E55" i="5" s="1"/>
  <c r="CH53" i="5"/>
  <c r="E53" i="5" s="1"/>
  <c r="E31" i="5"/>
  <c r="CH60" i="5"/>
  <c r="H190" i="7"/>
  <c r="H193" i="7" s="1"/>
  <c r="CH84" i="5" l="1"/>
  <c r="H194" i="7"/>
  <c r="CH82" i="5"/>
  <c r="E82" i="5" s="1"/>
  <c r="J191" i="10"/>
  <c r="E118" i="4"/>
  <c r="N189" i="5"/>
  <c r="AJ189" i="5"/>
  <c r="AR189" i="5"/>
  <c r="AZ189" i="5"/>
  <c r="BH189" i="5"/>
  <c r="BP189" i="5"/>
  <c r="BX189" i="5"/>
  <c r="CF189" i="5"/>
  <c r="S189" i="5"/>
  <c r="AB189" i="5"/>
  <c r="K189" i="5"/>
  <c r="AK189" i="5"/>
  <c r="AS189" i="5"/>
  <c r="BA189" i="5"/>
  <c r="BI189" i="5"/>
  <c r="BQ189" i="5"/>
  <c r="BY189" i="5"/>
  <c r="CG189" i="5"/>
  <c r="U189" i="5"/>
  <c r="AC189" i="5"/>
  <c r="I189" i="5"/>
  <c r="AL189" i="5"/>
  <c r="AT189" i="5"/>
  <c r="BB189" i="5"/>
  <c r="BJ189" i="5"/>
  <c r="BR189" i="5"/>
  <c r="BZ189" i="5"/>
  <c r="CH189" i="5"/>
  <c r="P189" i="5"/>
  <c r="AD189" i="5"/>
  <c r="J189" i="5"/>
  <c r="AE189" i="5"/>
  <c r="AM189" i="5"/>
  <c r="AU189" i="5"/>
  <c r="BC189" i="5"/>
  <c r="BK189" i="5"/>
  <c r="BS189" i="5"/>
  <c r="CA189" i="5"/>
  <c r="R189" i="5"/>
  <c r="X189" i="5"/>
  <c r="G189" i="5"/>
  <c r="AF189" i="5"/>
  <c r="AN189" i="5"/>
  <c r="AV189" i="5"/>
  <c r="BD189" i="5"/>
  <c r="BL189" i="5"/>
  <c r="BT189" i="5"/>
  <c r="CB189" i="5"/>
  <c r="O189" i="5"/>
  <c r="Z189" i="5"/>
  <c r="M189" i="5"/>
  <c r="AG189" i="5"/>
  <c r="AO189" i="5"/>
  <c r="AW189" i="5"/>
  <c r="BE189" i="5"/>
  <c r="BM189" i="5"/>
  <c r="BU189" i="5"/>
  <c r="CC189" i="5"/>
  <c r="V189" i="5"/>
  <c r="Y189" i="5"/>
  <c r="H189" i="5"/>
  <c r="AH189" i="5"/>
  <c r="AP189" i="5"/>
  <c r="AX189" i="5"/>
  <c r="BF189" i="5"/>
  <c r="BN189" i="5"/>
  <c r="BV189" i="5"/>
  <c r="CD189" i="5"/>
  <c r="W189" i="5"/>
  <c r="Q189" i="5"/>
  <c r="L189" i="5"/>
  <c r="AI189" i="5"/>
  <c r="AQ189" i="5"/>
  <c r="AY189" i="5"/>
  <c r="BG189" i="5"/>
  <c r="BO189" i="5"/>
  <c r="BW189" i="5"/>
  <c r="CE189" i="5"/>
  <c r="T189" i="5"/>
  <c r="AA189" i="5"/>
  <c r="E84" i="5"/>
  <c r="E60" i="5"/>
  <c r="H47" i="7"/>
  <c r="H191" i="7"/>
  <c r="J193" i="10"/>
  <c r="E189" i="5" l="1"/>
  <c r="G190" i="5"/>
  <c r="J192" i="10"/>
  <c r="G89" i="5"/>
  <c r="H89" i="5"/>
  <c r="I89" i="5"/>
  <c r="J89" i="5"/>
  <c r="K89" i="5"/>
  <c r="L89" i="5"/>
  <c r="M89" i="5"/>
  <c r="N89" i="5"/>
  <c r="O89" i="5"/>
  <c r="P89" i="5"/>
  <c r="Q89" i="5"/>
  <c r="R89" i="5"/>
  <c r="S89" i="5"/>
  <c r="T89" i="5"/>
  <c r="U89" i="5"/>
  <c r="V89" i="5"/>
  <c r="W89" i="5"/>
  <c r="X89" i="5"/>
  <c r="Y89" i="5"/>
  <c r="Z89" i="5"/>
  <c r="AA89" i="5"/>
  <c r="AB89" i="5"/>
  <c r="AC89" i="5"/>
  <c r="AD89" i="5"/>
  <c r="AE89" i="5"/>
  <c r="AF89" i="5"/>
  <c r="AG89" i="5"/>
  <c r="AH89" i="5"/>
  <c r="AI89" i="5"/>
  <c r="AJ89" i="5"/>
  <c r="AK89" i="5"/>
  <c r="AL89" i="5"/>
  <c r="AM89" i="5"/>
  <c r="AN89" i="5"/>
  <c r="AO89" i="5"/>
  <c r="AP89" i="5"/>
  <c r="AQ89" i="5"/>
  <c r="AR89" i="5"/>
  <c r="AS89" i="5"/>
  <c r="AT89" i="5"/>
  <c r="AU89" i="5"/>
  <c r="AV89" i="5"/>
  <c r="AW89" i="5"/>
  <c r="AX89" i="5"/>
  <c r="AY89" i="5"/>
  <c r="AZ89" i="5"/>
  <c r="BA89" i="5"/>
  <c r="BB89" i="5"/>
  <c r="BC89" i="5"/>
  <c r="BD89" i="5"/>
  <c r="BE89" i="5"/>
  <c r="BF89" i="5"/>
  <c r="BG89" i="5"/>
  <c r="BH89" i="5"/>
  <c r="BI89" i="5"/>
  <c r="BJ89" i="5"/>
  <c r="BK89" i="5"/>
  <c r="BL89" i="5"/>
  <c r="BM89" i="5"/>
  <c r="BN89" i="5"/>
  <c r="BO89" i="5"/>
  <c r="BP89" i="5"/>
  <c r="BQ89" i="5"/>
  <c r="BR89" i="5"/>
  <c r="BS89" i="5"/>
  <c r="BT89" i="5"/>
  <c r="BU89" i="5"/>
  <c r="BV89" i="5"/>
  <c r="BW89" i="5"/>
  <c r="BX89" i="5"/>
  <c r="BY89" i="5"/>
  <c r="BZ89" i="5"/>
  <c r="CA89" i="5"/>
  <c r="CB89" i="5"/>
  <c r="CC89" i="5"/>
  <c r="CD89" i="5"/>
  <c r="CE89" i="5"/>
  <c r="CF89" i="5"/>
  <c r="CG89" i="5"/>
  <c r="H192" i="7"/>
  <c r="H200" i="7"/>
  <c r="H99" i="7"/>
  <c r="H114" i="7"/>
  <c r="H121" i="7"/>
  <c r="H111" i="7"/>
  <c r="H120" i="7"/>
  <c r="H140" i="7"/>
  <c r="H148" i="7"/>
  <c r="H156" i="7"/>
  <c r="H164" i="7"/>
  <c r="H172" i="7"/>
  <c r="H180" i="7"/>
  <c r="H108" i="7"/>
  <c r="H127" i="7"/>
  <c r="H141" i="7"/>
  <c r="H149" i="7"/>
  <c r="H157" i="7"/>
  <c r="H165" i="7"/>
  <c r="H173" i="7"/>
  <c r="H181" i="7"/>
  <c r="H122" i="7"/>
  <c r="H110" i="7"/>
  <c r="H117" i="7"/>
  <c r="H124" i="7"/>
  <c r="H142" i="7"/>
  <c r="H150" i="7"/>
  <c r="H158" i="7"/>
  <c r="H166" i="7"/>
  <c r="H174" i="7"/>
  <c r="H182" i="7"/>
  <c r="H130" i="7"/>
  <c r="H116" i="7"/>
  <c r="H135" i="7"/>
  <c r="H126" i="7"/>
  <c r="H143" i="7"/>
  <c r="H159" i="7"/>
  <c r="H175" i="7"/>
  <c r="H107" i="7"/>
  <c r="H132" i="7"/>
  <c r="H137" i="7"/>
  <c r="H145" i="7"/>
  <c r="H153" i="7"/>
  <c r="H161" i="7"/>
  <c r="H169" i="7"/>
  <c r="H177" i="7"/>
  <c r="H106" i="7"/>
  <c r="H151" i="7"/>
  <c r="H167" i="7"/>
  <c r="H183" i="7"/>
  <c r="H113" i="7"/>
  <c r="H109" i="7"/>
  <c r="H136" i="7"/>
  <c r="H144" i="7"/>
  <c r="H160" i="7"/>
  <c r="H176" i="7"/>
  <c r="H125" i="7"/>
  <c r="H119" i="7"/>
  <c r="H152" i="7"/>
  <c r="H168" i="7"/>
  <c r="H112" i="7"/>
  <c r="H129" i="7"/>
  <c r="H128" i="7"/>
  <c r="H131" i="7"/>
  <c r="H134" i="7"/>
  <c r="H138" i="7"/>
  <c r="H146" i="7"/>
  <c r="H154" i="7"/>
  <c r="H162" i="7"/>
  <c r="H170" i="7"/>
  <c r="H178" i="7"/>
  <c r="H123" i="7"/>
  <c r="H115" i="7"/>
  <c r="H133" i="7"/>
  <c r="H118" i="7"/>
  <c r="H139" i="7"/>
  <c r="H147" i="7"/>
  <c r="H155" i="7"/>
  <c r="H163" i="7"/>
  <c r="H171" i="7"/>
  <c r="H179" i="7"/>
  <c r="H76" i="7"/>
  <c r="J194" i="10"/>
  <c r="CH89" i="5"/>
  <c r="E89" i="5" s="1"/>
  <c r="H46" i="7"/>
  <c r="H102" i="7"/>
  <c r="J46" i="10" l="1"/>
  <c r="H201" i="7"/>
  <c r="H58" i="7"/>
  <c r="H75" i="7"/>
  <c r="H100" i="7"/>
  <c r="H25" i="7"/>
  <c r="G191" i="5"/>
  <c r="G193" i="5"/>
  <c r="H101" i="7"/>
  <c r="H91" i="7"/>
  <c r="J47" i="10"/>
  <c r="G194" i="5" l="1"/>
  <c r="J200" i="10"/>
  <c r="J25" i="10"/>
  <c r="J99" i="10"/>
  <c r="J127" i="10"/>
  <c r="J121" i="10"/>
  <c r="J140" i="10"/>
  <c r="J139" i="10"/>
  <c r="J172" i="10"/>
  <c r="J168" i="10"/>
  <c r="J114" i="10"/>
  <c r="J137" i="10"/>
  <c r="J118" i="10"/>
  <c r="J156" i="10"/>
  <c r="J142" i="10"/>
  <c r="J176" i="10"/>
  <c r="J154" i="10"/>
  <c r="J150" i="10"/>
  <c r="J169" i="10"/>
  <c r="J173" i="10"/>
  <c r="J182" i="10"/>
  <c r="J174" i="10"/>
  <c r="J133" i="10"/>
  <c r="J148" i="10"/>
  <c r="J162" i="10"/>
  <c r="J129" i="10"/>
  <c r="J180" i="10"/>
  <c r="J135" i="10"/>
  <c r="J117" i="10"/>
  <c r="J155" i="10"/>
  <c r="J144" i="10"/>
  <c r="J125" i="10"/>
  <c r="J177" i="10"/>
  <c r="J130" i="10"/>
  <c r="J164" i="10"/>
  <c r="J112" i="10"/>
  <c r="J161" i="10"/>
  <c r="J149" i="10"/>
  <c r="J109" i="10"/>
  <c r="J115" i="10"/>
  <c r="J124" i="10"/>
  <c r="J171" i="10"/>
  <c r="J119" i="10"/>
  <c r="J160" i="10"/>
  <c r="J126" i="10"/>
  <c r="J147" i="10"/>
  <c r="J111" i="10"/>
  <c r="J146" i="10"/>
  <c r="J163" i="10"/>
  <c r="J158" i="10"/>
  <c r="J183" i="10"/>
  <c r="J138" i="10"/>
  <c r="J132" i="10"/>
  <c r="J141" i="10"/>
  <c r="J178" i="10"/>
  <c r="J181" i="10"/>
  <c r="J131" i="10"/>
  <c r="J166" i="10"/>
  <c r="J116" i="10"/>
  <c r="J167" i="10"/>
  <c r="J136" i="10"/>
  <c r="J152" i="10"/>
  <c r="J110" i="10"/>
  <c r="J145" i="10"/>
  <c r="J153" i="10"/>
  <c r="J179" i="10"/>
  <c r="J113" i="10"/>
  <c r="J170" i="10"/>
  <c r="J134" i="10"/>
  <c r="J151" i="10"/>
  <c r="J122" i="10"/>
  <c r="J143" i="10"/>
  <c r="J157" i="10"/>
  <c r="J175" i="10"/>
  <c r="J123" i="10"/>
  <c r="J120" i="10"/>
  <c r="J165" i="10"/>
  <c r="J159" i="10"/>
  <c r="J128" i="10"/>
  <c r="J108" i="10"/>
  <c r="J76" i="10"/>
  <c r="G47" i="5"/>
  <c r="H28" i="7"/>
  <c r="I22" i="7" s="1"/>
  <c r="J37" i="11"/>
  <c r="J201" i="10"/>
  <c r="J58" i="10"/>
  <c r="J57" i="10" s="1"/>
  <c r="J75" i="10"/>
  <c r="G192" i="5"/>
  <c r="H87" i="7"/>
  <c r="H57" i="7"/>
  <c r="H93" i="7"/>
  <c r="J102" i="10"/>
  <c r="J86" i="10" l="1"/>
  <c r="J28" i="10"/>
  <c r="K22" i="10" s="1"/>
  <c r="I188" i="7"/>
  <c r="G200" i="5"/>
  <c r="G76" i="5"/>
  <c r="G107" i="5"/>
  <c r="G119" i="5"/>
  <c r="G127" i="5"/>
  <c r="G135" i="5"/>
  <c r="G143" i="5"/>
  <c r="G151" i="5"/>
  <c r="G159" i="5"/>
  <c r="G167" i="5"/>
  <c r="G175" i="5"/>
  <c r="G183" i="5"/>
  <c r="G106" i="5"/>
  <c r="G120" i="5"/>
  <c r="G128" i="5"/>
  <c r="G136" i="5"/>
  <c r="G144" i="5"/>
  <c r="G152" i="5"/>
  <c r="G160" i="5"/>
  <c r="G168" i="5"/>
  <c r="G176" i="5"/>
  <c r="G113" i="5"/>
  <c r="G114" i="5"/>
  <c r="G121" i="5"/>
  <c r="G129" i="5"/>
  <c r="G137" i="5"/>
  <c r="G145" i="5"/>
  <c r="G153" i="5"/>
  <c r="G161" i="5"/>
  <c r="G169" i="5"/>
  <c r="G177" i="5"/>
  <c r="G99" i="5"/>
  <c r="G110" i="5"/>
  <c r="G122" i="5"/>
  <c r="G130" i="5"/>
  <c r="G138" i="5"/>
  <c r="G146" i="5"/>
  <c r="G154" i="5"/>
  <c r="G162" i="5"/>
  <c r="G170" i="5"/>
  <c r="G178" i="5"/>
  <c r="G112" i="5"/>
  <c r="G115" i="5"/>
  <c r="G123" i="5"/>
  <c r="G131" i="5"/>
  <c r="G139" i="5"/>
  <c r="G147" i="5"/>
  <c r="G155" i="5"/>
  <c r="G163" i="5"/>
  <c r="G171" i="5"/>
  <c r="G179" i="5"/>
  <c r="G111" i="5"/>
  <c r="G109" i="5"/>
  <c r="G124" i="5"/>
  <c r="G132" i="5"/>
  <c r="G140" i="5"/>
  <c r="G148" i="5"/>
  <c r="G156" i="5"/>
  <c r="G164" i="5"/>
  <c r="G172" i="5"/>
  <c r="G180" i="5"/>
  <c r="G116" i="5"/>
  <c r="G117" i="5"/>
  <c r="G125" i="5"/>
  <c r="G133" i="5"/>
  <c r="G141" i="5"/>
  <c r="G149" i="5"/>
  <c r="G157" i="5"/>
  <c r="G165" i="5"/>
  <c r="G173" i="5"/>
  <c r="G181" i="5"/>
  <c r="G108" i="5"/>
  <c r="G105" i="5"/>
  <c r="G118" i="5"/>
  <c r="G126" i="5"/>
  <c r="G134" i="5"/>
  <c r="G142" i="5"/>
  <c r="G150" i="5"/>
  <c r="G158" i="5"/>
  <c r="G166" i="5"/>
  <c r="G174" i="5"/>
  <c r="G182" i="5"/>
  <c r="J100" i="10"/>
  <c r="J91" i="10"/>
  <c r="J101" i="10"/>
  <c r="J38" i="11"/>
  <c r="G46" i="5"/>
  <c r="G25" i="5" s="1"/>
  <c r="H86" i="7"/>
  <c r="J87" i="10"/>
  <c r="G28" i="5" l="1"/>
  <c r="H22" i="5" s="1"/>
  <c r="G91" i="5"/>
  <c r="G101" i="5"/>
  <c r="G100" i="5"/>
  <c r="K188" i="10"/>
  <c r="I190" i="7"/>
  <c r="I193" i="7" s="1"/>
  <c r="G75" i="5"/>
  <c r="G201" i="5"/>
  <c r="G58" i="5"/>
  <c r="J93" i="10"/>
  <c r="G102" i="5"/>
  <c r="G93" i="5" l="1"/>
  <c r="I194" i="7"/>
  <c r="K190" i="10"/>
  <c r="K193" i="10" s="1"/>
  <c r="H188" i="5"/>
  <c r="G87" i="5"/>
  <c r="G57" i="5"/>
  <c r="I47" i="7"/>
  <c r="I191" i="7"/>
  <c r="I200" i="7" l="1"/>
  <c r="I131" i="7"/>
  <c r="I125" i="7"/>
  <c r="I116" i="7"/>
  <c r="I123" i="7"/>
  <c r="I139" i="7"/>
  <c r="I147" i="7"/>
  <c r="I155" i="7"/>
  <c r="I163" i="7"/>
  <c r="I171" i="7"/>
  <c r="I179" i="7"/>
  <c r="I121" i="7"/>
  <c r="I134" i="7"/>
  <c r="I113" i="7"/>
  <c r="I140" i="7"/>
  <c r="I148" i="7"/>
  <c r="I156" i="7"/>
  <c r="I164" i="7"/>
  <c r="I172" i="7"/>
  <c r="I180" i="7"/>
  <c r="I99" i="7"/>
  <c r="I135" i="7"/>
  <c r="I107" i="7"/>
  <c r="I133" i="7"/>
  <c r="I114" i="7"/>
  <c r="I141" i="7"/>
  <c r="I149" i="7"/>
  <c r="I157" i="7"/>
  <c r="I165" i="7"/>
  <c r="I173" i="7"/>
  <c r="I181" i="7"/>
  <c r="I117" i="7"/>
  <c r="I168" i="7"/>
  <c r="I115" i="7"/>
  <c r="I127" i="7"/>
  <c r="I132" i="7"/>
  <c r="I111" i="7"/>
  <c r="I143" i="7"/>
  <c r="I151" i="7"/>
  <c r="I159" i="7"/>
  <c r="I167" i="7"/>
  <c r="I175" i="7"/>
  <c r="I183" i="7"/>
  <c r="I124" i="7"/>
  <c r="I160" i="7"/>
  <c r="I176" i="7"/>
  <c r="I145" i="7"/>
  <c r="I122" i="7"/>
  <c r="I128" i="7"/>
  <c r="I144" i="7"/>
  <c r="I112" i="7"/>
  <c r="I118" i="7"/>
  <c r="I109" i="7"/>
  <c r="I142" i="7"/>
  <c r="I150" i="7"/>
  <c r="I158" i="7"/>
  <c r="I166" i="7"/>
  <c r="I174" i="7"/>
  <c r="I182" i="7"/>
  <c r="I152" i="7"/>
  <c r="I137" i="7"/>
  <c r="I126" i="7"/>
  <c r="I136" i="7"/>
  <c r="I108" i="7"/>
  <c r="I129" i="7"/>
  <c r="I153" i="7"/>
  <c r="I169" i="7"/>
  <c r="I177" i="7"/>
  <c r="I120" i="7"/>
  <c r="I130" i="7"/>
  <c r="I119" i="7"/>
  <c r="I110" i="7"/>
  <c r="I138" i="7"/>
  <c r="I146" i="7"/>
  <c r="I154" i="7"/>
  <c r="I162" i="7"/>
  <c r="I170" i="7"/>
  <c r="I178" i="7"/>
  <c r="I161" i="7"/>
  <c r="I76" i="7"/>
  <c r="K191" i="10"/>
  <c r="H190" i="5"/>
  <c r="H193" i="5" s="1"/>
  <c r="G86" i="5"/>
  <c r="I46" i="7"/>
  <c r="I192" i="7"/>
  <c r="K194" i="10"/>
  <c r="K47" i="10" s="1"/>
  <c r="I102" i="7"/>
  <c r="K192" i="10" l="1"/>
  <c r="I201" i="7"/>
  <c r="I58" i="7"/>
  <c r="I75" i="7"/>
  <c r="I91" i="7"/>
  <c r="I101" i="7"/>
  <c r="H194" i="5"/>
  <c r="H47" i="5" s="1"/>
  <c r="I100" i="7"/>
  <c r="I25" i="7"/>
  <c r="K200" i="10"/>
  <c r="K135" i="10"/>
  <c r="K173" i="10"/>
  <c r="K180" i="10"/>
  <c r="K182" i="10"/>
  <c r="K118" i="10"/>
  <c r="K169" i="10"/>
  <c r="K156" i="10"/>
  <c r="K174" i="10"/>
  <c r="K138" i="10"/>
  <c r="K144" i="10"/>
  <c r="K116" i="10"/>
  <c r="K166" i="10"/>
  <c r="K111" i="10"/>
  <c r="K122" i="10"/>
  <c r="K160" i="10"/>
  <c r="K136" i="10"/>
  <c r="K152" i="10"/>
  <c r="K130" i="10"/>
  <c r="K139" i="10"/>
  <c r="K150" i="10"/>
  <c r="K175" i="10"/>
  <c r="K133" i="10"/>
  <c r="K113" i="10"/>
  <c r="K183" i="10"/>
  <c r="K140" i="10"/>
  <c r="K110" i="10"/>
  <c r="K120" i="10"/>
  <c r="K99" i="10"/>
  <c r="K181" i="10"/>
  <c r="K170" i="10"/>
  <c r="K157" i="10"/>
  <c r="K164" i="10"/>
  <c r="K155" i="10"/>
  <c r="K154" i="10"/>
  <c r="K161" i="10"/>
  <c r="K137" i="10"/>
  <c r="K124" i="10"/>
  <c r="K148" i="10"/>
  <c r="K159" i="10"/>
  <c r="K171" i="10"/>
  <c r="K158" i="10"/>
  <c r="K125" i="10"/>
  <c r="K177" i="10"/>
  <c r="K147" i="10"/>
  <c r="K117" i="10"/>
  <c r="K143" i="10"/>
  <c r="K127" i="10"/>
  <c r="K149" i="10"/>
  <c r="K115" i="10"/>
  <c r="K145" i="10"/>
  <c r="K121" i="10"/>
  <c r="K128" i="10"/>
  <c r="K178" i="10"/>
  <c r="K112" i="10"/>
  <c r="K163" i="10"/>
  <c r="K165" i="10"/>
  <c r="K134" i="10"/>
  <c r="K119" i="10"/>
  <c r="K131" i="10"/>
  <c r="K123" i="10"/>
  <c r="K132" i="10"/>
  <c r="K176" i="10"/>
  <c r="K172" i="10"/>
  <c r="K141" i="10"/>
  <c r="K109" i="10"/>
  <c r="K179" i="10"/>
  <c r="K142" i="10"/>
  <c r="K151" i="10"/>
  <c r="K153" i="10"/>
  <c r="K168" i="10"/>
  <c r="K126" i="10"/>
  <c r="K162" i="10"/>
  <c r="K146" i="10"/>
  <c r="K167" i="10"/>
  <c r="K129" i="10"/>
  <c r="K114" i="10"/>
  <c r="K76" i="10"/>
  <c r="K46" i="10"/>
  <c r="K25" i="10" s="1"/>
  <c r="H191" i="5"/>
  <c r="K102" i="10"/>
  <c r="H192" i="5" l="1"/>
  <c r="K28" i="10"/>
  <c r="L22" i="10" s="1"/>
  <c r="I93" i="7"/>
  <c r="H46" i="5"/>
  <c r="H25" i="5" s="1"/>
  <c r="I28" i="7"/>
  <c r="J22" i="7" s="1"/>
  <c r="H200" i="5"/>
  <c r="H106" i="5"/>
  <c r="H119" i="5"/>
  <c r="H127" i="5"/>
  <c r="H135" i="5"/>
  <c r="H143" i="5"/>
  <c r="H151" i="5"/>
  <c r="H159" i="5"/>
  <c r="H167" i="5"/>
  <c r="H175" i="5"/>
  <c r="H183" i="5"/>
  <c r="H136" i="5"/>
  <c r="H144" i="5"/>
  <c r="H160" i="5"/>
  <c r="H168" i="5"/>
  <c r="H176" i="5"/>
  <c r="H112" i="5"/>
  <c r="H115" i="5"/>
  <c r="H120" i="5"/>
  <c r="H128" i="5"/>
  <c r="H152" i="5"/>
  <c r="H121" i="5"/>
  <c r="H129" i="5"/>
  <c r="H137" i="5"/>
  <c r="H145" i="5"/>
  <c r="H153" i="5"/>
  <c r="H114" i="5"/>
  <c r="H138" i="5"/>
  <c r="H162" i="5"/>
  <c r="H178" i="5"/>
  <c r="H139" i="5"/>
  <c r="H163" i="5"/>
  <c r="H113" i="5"/>
  <c r="H125" i="5"/>
  <c r="H149" i="5"/>
  <c r="H165" i="5"/>
  <c r="H116" i="5"/>
  <c r="H123" i="5"/>
  <c r="H131" i="5"/>
  <c r="H147" i="5"/>
  <c r="H171" i="5"/>
  <c r="H124" i="5"/>
  <c r="H156" i="5"/>
  <c r="H172" i="5"/>
  <c r="H133" i="5"/>
  <c r="H157" i="5"/>
  <c r="H181" i="5"/>
  <c r="H111" i="5"/>
  <c r="H110" i="5"/>
  <c r="H155" i="5"/>
  <c r="H179" i="5"/>
  <c r="H99" i="5"/>
  <c r="H107" i="5"/>
  <c r="H108" i="5"/>
  <c r="H132" i="5"/>
  <c r="H140" i="5"/>
  <c r="H148" i="5"/>
  <c r="H164" i="5"/>
  <c r="H180" i="5"/>
  <c r="H117" i="5"/>
  <c r="H141" i="5"/>
  <c r="H173" i="5"/>
  <c r="H109" i="5"/>
  <c r="H118" i="5"/>
  <c r="H126" i="5"/>
  <c r="H134" i="5"/>
  <c r="H142" i="5"/>
  <c r="H150" i="5"/>
  <c r="H158" i="5"/>
  <c r="H166" i="5"/>
  <c r="H174" i="5"/>
  <c r="H182" i="5"/>
  <c r="H161" i="5"/>
  <c r="H169" i="5"/>
  <c r="H177" i="5"/>
  <c r="H122" i="5"/>
  <c r="H130" i="5"/>
  <c r="H146" i="5"/>
  <c r="H154" i="5"/>
  <c r="H170" i="5"/>
  <c r="H76" i="5"/>
  <c r="I87" i="7"/>
  <c r="I57" i="7"/>
  <c r="K101" i="10"/>
  <c r="K91" i="10"/>
  <c r="K37" i="11"/>
  <c r="K201" i="10"/>
  <c r="K58" i="10"/>
  <c r="K75" i="10"/>
  <c r="K100" i="10"/>
  <c r="H102" i="5"/>
  <c r="H91" i="5" l="1"/>
  <c r="H101" i="5"/>
  <c r="I86" i="7"/>
  <c r="K87" i="10"/>
  <c r="K57" i="10"/>
  <c r="L188" i="10"/>
  <c r="H201" i="5"/>
  <c r="H58" i="5"/>
  <c r="H75" i="5"/>
  <c r="K93" i="10"/>
  <c r="J188" i="7"/>
  <c r="H28" i="5"/>
  <c r="I22" i="5" s="1"/>
  <c r="K38" i="11"/>
  <c r="H100" i="5"/>
  <c r="L190" i="10" l="1"/>
  <c r="K86" i="10"/>
  <c r="I188" i="5"/>
  <c r="H93" i="5"/>
  <c r="J190" i="7"/>
  <c r="H87" i="5"/>
  <c r="H57" i="5"/>
  <c r="J191" i="7" l="1"/>
  <c r="L191" i="10"/>
  <c r="J193" i="7"/>
  <c r="L193" i="10"/>
  <c r="L194" i="10" s="1"/>
  <c r="L46" i="10" s="1"/>
  <c r="H86" i="5"/>
  <c r="I190" i="5"/>
  <c r="L47" i="10" l="1"/>
  <c r="J192" i="7"/>
  <c r="L192" i="10"/>
  <c r="I191" i="5"/>
  <c r="I193" i="5"/>
  <c r="L37" i="11"/>
  <c r="L38" i="11" s="1"/>
  <c r="L201" i="10"/>
  <c r="L58" i="10"/>
  <c r="L87" i="10" s="1"/>
  <c r="L75" i="10"/>
  <c r="L200" i="10"/>
  <c r="L25" i="10"/>
  <c r="L28" i="10" s="1"/>
  <c r="M22" i="10" s="1"/>
  <c r="L166" i="10"/>
  <c r="L143" i="10"/>
  <c r="L133" i="10"/>
  <c r="L182" i="10"/>
  <c r="L115" i="10"/>
  <c r="L180" i="10"/>
  <c r="L113" i="10"/>
  <c r="L176" i="10"/>
  <c r="L183" i="10"/>
  <c r="L114" i="10"/>
  <c r="L149" i="10"/>
  <c r="L112" i="10"/>
  <c r="L171" i="10"/>
  <c r="L145" i="10"/>
  <c r="L181" i="10"/>
  <c r="L164" i="10"/>
  <c r="L140" i="10"/>
  <c r="L147" i="10"/>
  <c r="L150" i="10"/>
  <c r="L139" i="10"/>
  <c r="L160" i="10"/>
  <c r="L151" i="10"/>
  <c r="L125" i="10"/>
  <c r="L167" i="10"/>
  <c r="L110" i="10"/>
  <c r="L138" i="10"/>
  <c r="L168" i="10"/>
  <c r="L127" i="10"/>
  <c r="L116" i="10"/>
  <c r="L152" i="10"/>
  <c r="L111" i="10"/>
  <c r="L156" i="10"/>
  <c r="L162" i="10"/>
  <c r="L174" i="10"/>
  <c r="L117" i="10"/>
  <c r="L130" i="10"/>
  <c r="L163" i="10"/>
  <c r="L158" i="10"/>
  <c r="L123" i="10"/>
  <c r="L154" i="10"/>
  <c r="L119" i="10"/>
  <c r="L173" i="10"/>
  <c r="L124" i="10"/>
  <c r="L99" i="10"/>
  <c r="L142" i="10"/>
  <c r="L165" i="10"/>
  <c r="L118" i="10"/>
  <c r="L170" i="10"/>
  <c r="L169" i="10"/>
  <c r="L132" i="10"/>
  <c r="L120" i="10"/>
  <c r="L146" i="10"/>
  <c r="L159" i="10"/>
  <c r="L134" i="10"/>
  <c r="L121" i="10"/>
  <c r="L137" i="10"/>
  <c r="L148" i="10"/>
  <c r="L135" i="10"/>
  <c r="L144" i="10"/>
  <c r="L153" i="10"/>
  <c r="L141" i="10"/>
  <c r="L172" i="10"/>
  <c r="L155" i="10"/>
  <c r="L126" i="10"/>
  <c r="L131" i="10"/>
  <c r="L136" i="10"/>
  <c r="L157" i="10"/>
  <c r="L161" i="10"/>
  <c r="L122" i="10"/>
  <c r="L128" i="10"/>
  <c r="L178" i="10"/>
  <c r="L175" i="10"/>
  <c r="L177" i="10"/>
  <c r="L129" i="10"/>
  <c r="L179" i="10"/>
  <c r="L76" i="10"/>
  <c r="J194" i="7"/>
  <c r="L102" i="10"/>
  <c r="L100" i="10" l="1"/>
  <c r="J46" i="7"/>
  <c r="J47" i="7"/>
  <c r="L101" i="10"/>
  <c r="L91" i="10"/>
  <c r="M188" i="10"/>
  <c r="I194" i="5"/>
  <c r="L57" i="10"/>
  <c r="L86" i="10" s="1"/>
  <c r="I192" i="5"/>
  <c r="J200" i="7" l="1"/>
  <c r="J25" i="7"/>
  <c r="J123" i="7"/>
  <c r="J108" i="7"/>
  <c r="J133" i="7"/>
  <c r="J137" i="7"/>
  <c r="J145" i="7"/>
  <c r="J153" i="7"/>
  <c r="J161" i="7"/>
  <c r="J169" i="7"/>
  <c r="J177" i="7"/>
  <c r="J127" i="7"/>
  <c r="J148" i="7"/>
  <c r="J172" i="7"/>
  <c r="J113" i="7"/>
  <c r="J165" i="7"/>
  <c r="J99" i="7"/>
  <c r="J129" i="7"/>
  <c r="J135" i="7"/>
  <c r="J142" i="7"/>
  <c r="J150" i="7"/>
  <c r="J166" i="7"/>
  <c r="J114" i="7"/>
  <c r="J121" i="7"/>
  <c r="J130" i="7"/>
  <c r="J138" i="7"/>
  <c r="J146" i="7"/>
  <c r="J154" i="7"/>
  <c r="J162" i="7"/>
  <c r="J170" i="7"/>
  <c r="J178" i="7"/>
  <c r="J122" i="7"/>
  <c r="J139" i="7"/>
  <c r="J147" i="7"/>
  <c r="J163" i="7"/>
  <c r="J171" i="7"/>
  <c r="J179" i="7"/>
  <c r="J112" i="7"/>
  <c r="J115" i="7"/>
  <c r="J156" i="7"/>
  <c r="J180" i="7"/>
  <c r="J128" i="7"/>
  <c r="J118" i="7"/>
  <c r="J141" i="7"/>
  <c r="J149" i="7"/>
  <c r="J157" i="7"/>
  <c r="J181" i="7"/>
  <c r="J119" i="7"/>
  <c r="J136" i="7"/>
  <c r="J125" i="7"/>
  <c r="J155" i="7"/>
  <c r="J117" i="7"/>
  <c r="J140" i="7"/>
  <c r="J164" i="7"/>
  <c r="J126" i="7"/>
  <c r="J173" i="7"/>
  <c r="J120" i="7"/>
  <c r="J109" i="7"/>
  <c r="J116" i="7"/>
  <c r="J134" i="7"/>
  <c r="J143" i="7"/>
  <c r="J151" i="7"/>
  <c r="J159" i="7"/>
  <c r="J167" i="7"/>
  <c r="J175" i="7"/>
  <c r="J183" i="7"/>
  <c r="J111" i="7"/>
  <c r="J110" i="7"/>
  <c r="J124" i="7"/>
  <c r="J132" i="7"/>
  <c r="J144" i="7"/>
  <c r="J152" i="7"/>
  <c r="J160" i="7"/>
  <c r="J168" i="7"/>
  <c r="J176" i="7"/>
  <c r="J131" i="7"/>
  <c r="J158" i="7"/>
  <c r="J174" i="7"/>
  <c r="J182" i="7"/>
  <c r="J76" i="7"/>
  <c r="J201" i="7"/>
  <c r="J58" i="7"/>
  <c r="J75" i="7"/>
  <c r="I46" i="5"/>
  <c r="I47" i="5"/>
  <c r="L93" i="10"/>
  <c r="M190" i="10"/>
  <c r="J102" i="7"/>
  <c r="I200" i="5" l="1"/>
  <c r="I25" i="5"/>
  <c r="I99" i="5"/>
  <c r="I108" i="5"/>
  <c r="I117" i="5"/>
  <c r="I125" i="5"/>
  <c r="I133" i="5"/>
  <c r="I141" i="5"/>
  <c r="I149" i="5"/>
  <c r="I157" i="5"/>
  <c r="I165" i="5"/>
  <c r="I173" i="5"/>
  <c r="I181" i="5"/>
  <c r="I136" i="5"/>
  <c r="I144" i="5"/>
  <c r="I152" i="5"/>
  <c r="I168" i="5"/>
  <c r="I176" i="5"/>
  <c r="I121" i="5"/>
  <c r="I137" i="5"/>
  <c r="I153" i="5"/>
  <c r="I169" i="5"/>
  <c r="I130" i="5"/>
  <c r="I146" i="5"/>
  <c r="I162" i="5"/>
  <c r="I178" i="5"/>
  <c r="I110" i="5"/>
  <c r="I118" i="5"/>
  <c r="I126" i="5"/>
  <c r="I134" i="5"/>
  <c r="I142" i="5"/>
  <c r="I150" i="5"/>
  <c r="I158" i="5"/>
  <c r="I166" i="5"/>
  <c r="I174" i="5"/>
  <c r="I182" i="5"/>
  <c r="I112" i="5"/>
  <c r="I107" i="5"/>
  <c r="I119" i="5"/>
  <c r="I127" i="5"/>
  <c r="I135" i="5"/>
  <c r="I143" i="5"/>
  <c r="I151" i="5"/>
  <c r="I159" i="5"/>
  <c r="I167" i="5"/>
  <c r="I175" i="5"/>
  <c r="I183" i="5"/>
  <c r="I120" i="5"/>
  <c r="I109" i="5"/>
  <c r="I147" i="5"/>
  <c r="I155" i="5"/>
  <c r="I111" i="5"/>
  <c r="I122" i="5"/>
  <c r="I138" i="5"/>
  <c r="I154" i="5"/>
  <c r="I170" i="5"/>
  <c r="I179" i="5"/>
  <c r="I115" i="5"/>
  <c r="I113" i="5"/>
  <c r="I123" i="5"/>
  <c r="I131" i="5"/>
  <c r="I139" i="5"/>
  <c r="I163" i="5"/>
  <c r="I171" i="5"/>
  <c r="I114" i="5"/>
  <c r="I124" i="5"/>
  <c r="I132" i="5"/>
  <c r="I140" i="5"/>
  <c r="I148" i="5"/>
  <c r="I156" i="5"/>
  <c r="I164" i="5"/>
  <c r="I172" i="5"/>
  <c r="I180" i="5"/>
  <c r="I128" i="5"/>
  <c r="I160" i="5"/>
  <c r="I116" i="5"/>
  <c r="I129" i="5"/>
  <c r="I145" i="5"/>
  <c r="I161" i="5"/>
  <c r="I177" i="5"/>
  <c r="I76" i="5"/>
  <c r="J28" i="7"/>
  <c r="K22" i="7" s="1"/>
  <c r="M191" i="10"/>
  <c r="M193" i="10"/>
  <c r="M194" i="10" s="1"/>
  <c r="M46" i="10" s="1"/>
  <c r="J87" i="7"/>
  <c r="J91" i="7"/>
  <c r="J101" i="7"/>
  <c r="J100" i="7"/>
  <c r="J57" i="7"/>
  <c r="I201" i="5"/>
  <c r="I58" i="5"/>
  <c r="I57" i="5" s="1"/>
  <c r="I75" i="5"/>
  <c r="I102" i="5"/>
  <c r="I86" i="5" l="1"/>
  <c r="J86" i="7"/>
  <c r="I91" i="5"/>
  <c r="I101" i="5"/>
  <c r="M192" i="10"/>
  <c r="M37" i="11"/>
  <c r="M38" i="11" s="1"/>
  <c r="M201" i="10"/>
  <c r="M75" i="10"/>
  <c r="I28" i="5"/>
  <c r="J22" i="5" s="1"/>
  <c r="M47" i="10"/>
  <c r="M58" i="10" s="1"/>
  <c r="M87" i="10" s="1"/>
  <c r="I100" i="5"/>
  <c r="J93" i="7"/>
  <c r="I87" i="5"/>
  <c r="K188" i="7"/>
  <c r="K190" i="7" l="1"/>
  <c r="M200" i="10"/>
  <c r="M25" i="10"/>
  <c r="M28" i="10" s="1"/>
  <c r="N22" i="10" s="1"/>
  <c r="M57" i="10"/>
  <c r="M86" i="10" s="1"/>
  <c r="M127" i="10"/>
  <c r="M159" i="10"/>
  <c r="M162" i="10"/>
  <c r="M182" i="10"/>
  <c r="M143" i="10"/>
  <c r="M170" i="10"/>
  <c r="M118" i="10"/>
  <c r="M180" i="10"/>
  <c r="M128" i="10"/>
  <c r="M131" i="10"/>
  <c r="M163" i="10"/>
  <c r="M142" i="10"/>
  <c r="M136" i="10"/>
  <c r="M150" i="10"/>
  <c r="M153" i="10"/>
  <c r="M148" i="10"/>
  <c r="M183" i="10"/>
  <c r="M181" i="10"/>
  <c r="M130" i="10"/>
  <c r="M176" i="10"/>
  <c r="M137" i="10"/>
  <c r="M169" i="10"/>
  <c r="M172" i="10"/>
  <c r="M147" i="10"/>
  <c r="M125" i="10"/>
  <c r="M151" i="10"/>
  <c r="M135" i="10"/>
  <c r="M126" i="10"/>
  <c r="M124" i="10"/>
  <c r="M146" i="10"/>
  <c r="M140" i="10"/>
  <c r="M165" i="10"/>
  <c r="M141" i="10"/>
  <c r="M177" i="10"/>
  <c r="M160" i="10"/>
  <c r="M167" i="10"/>
  <c r="M149" i="10"/>
  <c r="M145" i="10"/>
  <c r="M99" i="10"/>
  <c r="M139" i="10"/>
  <c r="M132" i="10"/>
  <c r="M116" i="10"/>
  <c r="M164" i="10"/>
  <c r="M157" i="10"/>
  <c r="M113" i="10"/>
  <c r="M117" i="10"/>
  <c r="M179" i="10"/>
  <c r="M175" i="10"/>
  <c r="M123" i="10"/>
  <c r="M155" i="10"/>
  <c r="M173" i="10"/>
  <c r="M158" i="10"/>
  <c r="M156" i="10"/>
  <c r="M129" i="10"/>
  <c r="M154" i="10"/>
  <c r="M115" i="10"/>
  <c r="M152" i="10"/>
  <c r="M111" i="10"/>
  <c r="M161" i="10"/>
  <c r="M121" i="10"/>
  <c r="M133" i="10"/>
  <c r="M178" i="10"/>
  <c r="M166" i="10"/>
  <c r="M114" i="10"/>
  <c r="M171" i="10"/>
  <c r="M122" i="10"/>
  <c r="M120" i="10"/>
  <c r="M168" i="10"/>
  <c r="M174" i="10"/>
  <c r="M138" i="10"/>
  <c r="M112" i="10"/>
  <c r="M144" i="10"/>
  <c r="M119" i="10"/>
  <c r="M134" i="10"/>
  <c r="M76" i="10"/>
  <c r="I93" i="5"/>
  <c r="J188" i="5"/>
  <c r="M102" i="10"/>
  <c r="M100" i="10" l="1"/>
  <c r="N188" i="10"/>
  <c r="M101" i="10"/>
  <c r="M91" i="10"/>
  <c r="K191" i="7"/>
  <c r="K193" i="7"/>
  <c r="J190" i="5"/>
  <c r="J193" i="5" s="1"/>
  <c r="J191" i="5" l="1"/>
  <c r="N190" i="10"/>
  <c r="J194" i="5"/>
  <c r="K194" i="7"/>
  <c r="K47" i="7" s="1"/>
  <c r="K192" i="7"/>
  <c r="M93" i="10"/>
  <c r="J46" i="5" l="1"/>
  <c r="J192" i="5"/>
  <c r="N191" i="10"/>
  <c r="K200" i="7"/>
  <c r="K99" i="7"/>
  <c r="K119" i="7"/>
  <c r="K135" i="7"/>
  <c r="K133" i="7"/>
  <c r="K113" i="7"/>
  <c r="K143" i="7"/>
  <c r="K151" i="7"/>
  <c r="K159" i="7"/>
  <c r="K167" i="7"/>
  <c r="K175" i="7"/>
  <c r="K183" i="7"/>
  <c r="K169" i="7"/>
  <c r="K112" i="7"/>
  <c r="K120" i="7"/>
  <c r="K121" i="7"/>
  <c r="K111" i="7"/>
  <c r="K144" i="7"/>
  <c r="K152" i="7"/>
  <c r="K160" i="7"/>
  <c r="K168" i="7"/>
  <c r="K176" i="7"/>
  <c r="K178" i="7"/>
  <c r="K123" i="7"/>
  <c r="K130" i="7"/>
  <c r="K137" i="7"/>
  <c r="K157" i="7"/>
  <c r="K181" i="7"/>
  <c r="K110" i="7"/>
  <c r="K122" i="7"/>
  <c r="K124" i="7"/>
  <c r="K145" i="7"/>
  <c r="K153" i="7"/>
  <c r="K161" i="7"/>
  <c r="K177" i="7"/>
  <c r="K146" i="7"/>
  <c r="K125" i="7"/>
  <c r="K139" i="7"/>
  <c r="K147" i="7"/>
  <c r="K163" i="7"/>
  <c r="K179" i="7"/>
  <c r="K114" i="7"/>
  <c r="K172" i="7"/>
  <c r="K116" i="7"/>
  <c r="K149" i="7"/>
  <c r="K173" i="7"/>
  <c r="K131" i="7"/>
  <c r="K136" i="7"/>
  <c r="K138" i="7"/>
  <c r="K154" i="7"/>
  <c r="K170" i="7"/>
  <c r="K117" i="7"/>
  <c r="K134" i="7"/>
  <c r="K155" i="7"/>
  <c r="K171" i="7"/>
  <c r="K127" i="7"/>
  <c r="K132" i="7"/>
  <c r="K140" i="7"/>
  <c r="K148" i="7"/>
  <c r="K156" i="7"/>
  <c r="K164" i="7"/>
  <c r="K180" i="7"/>
  <c r="K118" i="7"/>
  <c r="K141" i="7"/>
  <c r="K165" i="7"/>
  <c r="K128" i="7"/>
  <c r="K126" i="7"/>
  <c r="K115" i="7"/>
  <c r="K129" i="7"/>
  <c r="K142" i="7"/>
  <c r="K150" i="7"/>
  <c r="K158" i="7"/>
  <c r="K166" i="7"/>
  <c r="K174" i="7"/>
  <c r="K182" i="7"/>
  <c r="K109" i="7"/>
  <c r="K162" i="7"/>
  <c r="K76" i="7"/>
  <c r="N193" i="10"/>
  <c r="N194" i="10" s="1"/>
  <c r="N46" i="10" s="1"/>
  <c r="K46" i="7"/>
  <c r="J47" i="5"/>
  <c r="K102" i="7"/>
  <c r="N47" i="10" l="1"/>
  <c r="N192" i="10"/>
  <c r="J200" i="5"/>
  <c r="J25" i="5"/>
  <c r="J108" i="5"/>
  <c r="J113" i="5"/>
  <c r="J122" i="5"/>
  <c r="J130" i="5"/>
  <c r="J138" i="5"/>
  <c r="J146" i="5"/>
  <c r="J154" i="5"/>
  <c r="J162" i="5"/>
  <c r="J170" i="5"/>
  <c r="J178" i="5"/>
  <c r="J112" i="5"/>
  <c r="J176" i="5"/>
  <c r="J116" i="5"/>
  <c r="J123" i="5"/>
  <c r="J131" i="5"/>
  <c r="J139" i="5"/>
  <c r="J147" i="5"/>
  <c r="J155" i="5"/>
  <c r="J163" i="5"/>
  <c r="J171" i="5"/>
  <c r="J179" i="5"/>
  <c r="J125" i="5"/>
  <c r="J158" i="5"/>
  <c r="J174" i="5"/>
  <c r="J167" i="5"/>
  <c r="J160" i="5"/>
  <c r="J117" i="5"/>
  <c r="J110" i="5"/>
  <c r="J124" i="5"/>
  <c r="J132" i="5"/>
  <c r="J140" i="5"/>
  <c r="J148" i="5"/>
  <c r="J156" i="5"/>
  <c r="J164" i="5"/>
  <c r="J172" i="5"/>
  <c r="J180" i="5"/>
  <c r="J166" i="5"/>
  <c r="J182" i="5"/>
  <c r="J175" i="5"/>
  <c r="J109" i="5"/>
  <c r="J118" i="5"/>
  <c r="J126" i="5"/>
  <c r="J134" i="5"/>
  <c r="J142" i="5"/>
  <c r="J150" i="5"/>
  <c r="J99" i="5"/>
  <c r="J114" i="5"/>
  <c r="J119" i="5"/>
  <c r="J127" i="5"/>
  <c r="J135" i="5"/>
  <c r="J143" i="5"/>
  <c r="J151" i="5"/>
  <c r="J115" i="5"/>
  <c r="J120" i="5"/>
  <c r="J128" i="5"/>
  <c r="J136" i="5"/>
  <c r="J144" i="5"/>
  <c r="J152" i="5"/>
  <c r="J111" i="5"/>
  <c r="J121" i="5"/>
  <c r="J129" i="5"/>
  <c r="J137" i="5"/>
  <c r="J145" i="5"/>
  <c r="J153" i="5"/>
  <c r="J161" i="5"/>
  <c r="J169" i="5"/>
  <c r="J177" i="5"/>
  <c r="J133" i="5"/>
  <c r="J141" i="5"/>
  <c r="J149" i="5"/>
  <c r="J157" i="5"/>
  <c r="J165" i="5"/>
  <c r="J173" i="5"/>
  <c r="J181" i="5"/>
  <c r="J159" i="5"/>
  <c r="J183" i="5"/>
  <c r="J168" i="5"/>
  <c r="J76" i="5"/>
  <c r="N200" i="10"/>
  <c r="N25" i="10"/>
  <c r="N28" i="10" s="1"/>
  <c r="O22" i="10" s="1"/>
  <c r="N99" i="10"/>
  <c r="N119" i="10"/>
  <c r="N144" i="10"/>
  <c r="N168" i="10"/>
  <c r="N148" i="10"/>
  <c r="N151" i="10"/>
  <c r="N147" i="10"/>
  <c r="N164" i="10"/>
  <c r="N175" i="10"/>
  <c r="N180" i="10"/>
  <c r="N134" i="10"/>
  <c r="N114" i="10"/>
  <c r="N139" i="10"/>
  <c r="N177" i="10"/>
  <c r="N145" i="10"/>
  <c r="N155" i="10"/>
  <c r="N179" i="10"/>
  <c r="N132" i="10"/>
  <c r="N127" i="10"/>
  <c r="N159" i="10"/>
  <c r="N137" i="10"/>
  <c r="N129" i="10"/>
  <c r="N141" i="10"/>
  <c r="N118" i="10"/>
  <c r="N122" i="10"/>
  <c r="N171" i="10"/>
  <c r="N154" i="10"/>
  <c r="N115" i="10"/>
  <c r="N112" i="10"/>
  <c r="N167" i="10"/>
  <c r="N174" i="10"/>
  <c r="N152" i="10"/>
  <c r="N120" i="10"/>
  <c r="N121" i="10"/>
  <c r="N157" i="10"/>
  <c r="N176" i="10"/>
  <c r="N169" i="10"/>
  <c r="N131" i="10"/>
  <c r="N170" i="10"/>
  <c r="N130" i="10"/>
  <c r="N156" i="10"/>
  <c r="N140" i="10"/>
  <c r="N123" i="10"/>
  <c r="N150" i="10"/>
  <c r="N117" i="10"/>
  <c r="N135" i="10"/>
  <c r="N136" i="10"/>
  <c r="N162" i="10"/>
  <c r="N133" i="10"/>
  <c r="N125" i="10"/>
  <c r="N146" i="10"/>
  <c r="N178" i="10"/>
  <c r="N161" i="10"/>
  <c r="N113" i="10"/>
  <c r="N124" i="10"/>
  <c r="N165" i="10"/>
  <c r="N166" i="10"/>
  <c r="N116" i="10"/>
  <c r="N173" i="10"/>
  <c r="N142" i="10"/>
  <c r="N181" i="10"/>
  <c r="N138" i="10"/>
  <c r="N149" i="10"/>
  <c r="N172" i="10"/>
  <c r="N158" i="10"/>
  <c r="N182" i="10"/>
  <c r="N183" i="10"/>
  <c r="N126" i="10"/>
  <c r="N153" i="10"/>
  <c r="N128" i="10"/>
  <c r="N163" i="10"/>
  <c r="N160" i="10"/>
  <c r="N143" i="10"/>
  <c r="N76" i="10"/>
  <c r="K100" i="7"/>
  <c r="K201" i="7"/>
  <c r="K58" i="7"/>
  <c r="K75" i="7"/>
  <c r="N37" i="11"/>
  <c r="N38" i="11" s="1"/>
  <c r="N201" i="10"/>
  <c r="N58" i="10"/>
  <c r="N87" i="10" s="1"/>
  <c r="N75" i="10"/>
  <c r="K25" i="7"/>
  <c r="K91" i="7"/>
  <c r="K101" i="7"/>
  <c r="J201" i="5"/>
  <c r="J58" i="5"/>
  <c r="J75" i="5"/>
  <c r="J102" i="5"/>
  <c r="N102" i="10"/>
  <c r="N57" i="10" l="1"/>
  <c r="N86" i="10" s="1"/>
  <c r="K93" i="7"/>
  <c r="K87" i="7"/>
  <c r="K57" i="7"/>
  <c r="N101" i="10"/>
  <c r="N91" i="10"/>
  <c r="J87" i="5"/>
  <c r="K28" i="7"/>
  <c r="L22" i="7" s="1"/>
  <c r="N100" i="10"/>
  <c r="J91" i="5"/>
  <c r="J101" i="5"/>
  <c r="J28" i="5"/>
  <c r="K22" i="5" s="1"/>
  <c r="O188" i="10"/>
  <c r="J100" i="5"/>
  <c r="J57" i="5"/>
  <c r="O190" i="10" l="1"/>
  <c r="J86" i="5"/>
  <c r="L188" i="7"/>
  <c r="K86" i="7"/>
  <c r="J93" i="5"/>
  <c r="K188" i="5"/>
  <c r="N93" i="10"/>
  <c r="K190" i="5" l="1"/>
  <c r="L190" i="7"/>
  <c r="L193" i="7" s="1"/>
  <c r="L194" i="7" s="1"/>
  <c r="L46" i="7" s="1"/>
  <c r="O191" i="10"/>
  <c r="O193" i="10"/>
  <c r="O194" i="10" s="1"/>
  <c r="O46" i="10" s="1"/>
  <c r="O47" i="10" l="1"/>
  <c r="L201" i="7"/>
  <c r="L75" i="7"/>
  <c r="O200" i="10"/>
  <c r="O25" i="10"/>
  <c r="O28" i="10" s="1"/>
  <c r="P22" i="10" s="1"/>
  <c r="O131" i="10"/>
  <c r="O119" i="10"/>
  <c r="O175" i="10"/>
  <c r="O163" i="10"/>
  <c r="O144" i="10"/>
  <c r="O133" i="10"/>
  <c r="O117" i="10"/>
  <c r="O153" i="10"/>
  <c r="O139" i="10"/>
  <c r="O178" i="10"/>
  <c r="O134" i="10"/>
  <c r="O162" i="10"/>
  <c r="O160" i="10"/>
  <c r="O161" i="10"/>
  <c r="O166" i="10"/>
  <c r="O147" i="10"/>
  <c r="O159" i="10"/>
  <c r="O158" i="10"/>
  <c r="O140" i="10"/>
  <c r="O141" i="10"/>
  <c r="O171" i="10"/>
  <c r="O99" i="10"/>
  <c r="O156" i="10"/>
  <c r="O125" i="10"/>
  <c r="O182" i="10"/>
  <c r="O169" i="10"/>
  <c r="O176" i="10"/>
  <c r="O152" i="10"/>
  <c r="O113" i="10"/>
  <c r="O127" i="10"/>
  <c r="O155" i="10"/>
  <c r="O154" i="10"/>
  <c r="O142" i="10"/>
  <c r="O164" i="10"/>
  <c r="O149" i="10"/>
  <c r="O179" i="10"/>
  <c r="O177" i="10"/>
  <c r="O180" i="10"/>
  <c r="O151" i="10"/>
  <c r="O116" i="10"/>
  <c r="O150" i="10"/>
  <c r="O181" i="10"/>
  <c r="O165" i="10"/>
  <c r="O145" i="10"/>
  <c r="O121" i="10"/>
  <c r="O143" i="10"/>
  <c r="O172" i="10"/>
  <c r="O174" i="10"/>
  <c r="O135" i="10"/>
  <c r="O120" i="10"/>
  <c r="O122" i="10"/>
  <c r="O123" i="10"/>
  <c r="O146" i="10"/>
  <c r="O170" i="10"/>
  <c r="O183" i="10"/>
  <c r="O130" i="10"/>
  <c r="O118" i="10"/>
  <c r="O132" i="10"/>
  <c r="O167" i="10"/>
  <c r="O173" i="10"/>
  <c r="O115" i="10"/>
  <c r="O138" i="10"/>
  <c r="O136" i="10"/>
  <c r="O157" i="10"/>
  <c r="O124" i="10"/>
  <c r="O128" i="10"/>
  <c r="O126" i="10"/>
  <c r="O137" i="10"/>
  <c r="O129" i="10"/>
  <c r="O148" i="10"/>
  <c r="O168" i="10"/>
  <c r="O114" i="10"/>
  <c r="O76" i="10"/>
  <c r="K191" i="5"/>
  <c r="L47" i="7"/>
  <c r="L58" i="7" s="1"/>
  <c r="L87" i="7" s="1"/>
  <c r="L191" i="7"/>
  <c r="O37" i="11"/>
  <c r="O38" i="11" s="1"/>
  <c r="O201" i="10"/>
  <c r="O58" i="10"/>
  <c r="O87" i="10" s="1"/>
  <c r="O75" i="10"/>
  <c r="O192" i="10"/>
  <c r="K193" i="5"/>
  <c r="O102" i="10"/>
  <c r="O57" i="10" l="1"/>
  <c r="O86" i="10" s="1"/>
  <c r="K194" i="5"/>
  <c r="O101" i="10"/>
  <c r="O91" i="10"/>
  <c r="L192" i="7"/>
  <c r="O100" i="10"/>
  <c r="P188" i="10"/>
  <c r="L200" i="7"/>
  <c r="L57" i="7"/>
  <c r="L86" i="7" s="1"/>
  <c r="L25" i="7"/>
  <c r="L28" i="7" s="1"/>
  <c r="M22" i="7" s="1"/>
  <c r="L129" i="7"/>
  <c r="L121" i="7"/>
  <c r="L112" i="7"/>
  <c r="L120" i="7"/>
  <c r="L141" i="7"/>
  <c r="L149" i="7"/>
  <c r="L157" i="7"/>
  <c r="L165" i="7"/>
  <c r="L173" i="7"/>
  <c r="L181" i="7"/>
  <c r="L123" i="7"/>
  <c r="L116" i="7"/>
  <c r="L135" i="7"/>
  <c r="L136" i="7"/>
  <c r="L142" i="7"/>
  <c r="L150" i="7"/>
  <c r="L158" i="7"/>
  <c r="L166" i="7"/>
  <c r="L174" i="7"/>
  <c r="L182" i="7"/>
  <c r="L130" i="7"/>
  <c r="L119" i="7"/>
  <c r="L122" i="7"/>
  <c r="L143" i="7"/>
  <c r="L159" i="7"/>
  <c r="L167" i="7"/>
  <c r="L175" i="7"/>
  <c r="L127" i="7"/>
  <c r="L125" i="7"/>
  <c r="L152" i="7"/>
  <c r="L168" i="7"/>
  <c r="L99" i="7"/>
  <c r="L132" i="7"/>
  <c r="L134" i="7"/>
  <c r="L138" i="7"/>
  <c r="L145" i="7"/>
  <c r="L161" i="7"/>
  <c r="L169" i="7"/>
  <c r="L177" i="7"/>
  <c r="L124" i="7"/>
  <c r="L113" i="7"/>
  <c r="L151" i="7"/>
  <c r="L183" i="7"/>
  <c r="L153" i="7"/>
  <c r="L139" i="7"/>
  <c r="L154" i="7"/>
  <c r="L170" i="7"/>
  <c r="L126" i="7"/>
  <c r="L118" i="7"/>
  <c r="L146" i="7"/>
  <c r="L162" i="7"/>
  <c r="L178" i="7"/>
  <c r="L128" i="7"/>
  <c r="L110" i="7"/>
  <c r="L147" i="7"/>
  <c r="L155" i="7"/>
  <c r="L163" i="7"/>
  <c r="L171" i="7"/>
  <c r="L179" i="7"/>
  <c r="L111" i="7"/>
  <c r="L137" i="7"/>
  <c r="L115" i="7"/>
  <c r="L114" i="7"/>
  <c r="L133" i="7"/>
  <c r="L140" i="7"/>
  <c r="L148" i="7"/>
  <c r="L156" i="7"/>
  <c r="L164" i="7"/>
  <c r="L172" i="7"/>
  <c r="L180" i="7"/>
  <c r="L117" i="7"/>
  <c r="L131" i="7"/>
  <c r="L144" i="7"/>
  <c r="L160" i="7"/>
  <c r="L176" i="7"/>
  <c r="L76" i="7"/>
  <c r="K192" i="5"/>
  <c r="K47" i="5"/>
  <c r="L102" i="7"/>
  <c r="L91" i="7" l="1"/>
  <c r="L101" i="7"/>
  <c r="P190" i="10"/>
  <c r="O93" i="10"/>
  <c r="L100" i="7"/>
  <c r="M188" i="7"/>
  <c r="K200" i="5"/>
  <c r="K114" i="5"/>
  <c r="K121" i="5"/>
  <c r="K129" i="5"/>
  <c r="K137" i="5"/>
  <c r="K145" i="5"/>
  <c r="K153" i="5"/>
  <c r="K161" i="5"/>
  <c r="K169" i="5"/>
  <c r="K177" i="5"/>
  <c r="K162" i="5"/>
  <c r="K178" i="5"/>
  <c r="K147" i="5"/>
  <c r="K163" i="5"/>
  <c r="K179" i="5"/>
  <c r="K118" i="5"/>
  <c r="K113" i="5"/>
  <c r="K151" i="5"/>
  <c r="K167" i="5"/>
  <c r="K183" i="5"/>
  <c r="K109" i="5"/>
  <c r="K122" i="5"/>
  <c r="K130" i="5"/>
  <c r="K138" i="5"/>
  <c r="K146" i="5"/>
  <c r="K154" i="5"/>
  <c r="K170" i="5"/>
  <c r="K171" i="5"/>
  <c r="K112" i="5"/>
  <c r="K156" i="5"/>
  <c r="K180" i="5"/>
  <c r="K133" i="5"/>
  <c r="K149" i="5"/>
  <c r="K165" i="5"/>
  <c r="K123" i="5"/>
  <c r="K131" i="5"/>
  <c r="K139" i="5"/>
  <c r="K155" i="5"/>
  <c r="K132" i="5"/>
  <c r="K140" i="5"/>
  <c r="K148" i="5"/>
  <c r="K164" i="5"/>
  <c r="K172" i="5"/>
  <c r="K116" i="5"/>
  <c r="K141" i="5"/>
  <c r="K173" i="5"/>
  <c r="K111" i="5"/>
  <c r="K125" i="5"/>
  <c r="K181" i="5"/>
  <c r="K126" i="5"/>
  <c r="K119" i="5"/>
  <c r="K110" i="5"/>
  <c r="K120" i="5"/>
  <c r="K128" i="5"/>
  <c r="K136" i="5"/>
  <c r="K144" i="5"/>
  <c r="K152" i="5"/>
  <c r="K160" i="5"/>
  <c r="K168" i="5"/>
  <c r="K176" i="5"/>
  <c r="K124" i="5"/>
  <c r="K115" i="5"/>
  <c r="K157" i="5"/>
  <c r="K117" i="5"/>
  <c r="K134" i="5"/>
  <c r="K142" i="5"/>
  <c r="K150" i="5"/>
  <c r="K158" i="5"/>
  <c r="K166" i="5"/>
  <c r="K174" i="5"/>
  <c r="K182" i="5"/>
  <c r="K99" i="5"/>
  <c r="K127" i="5"/>
  <c r="K135" i="5"/>
  <c r="K143" i="5"/>
  <c r="K159" i="5"/>
  <c r="K175" i="5"/>
  <c r="K76" i="5"/>
  <c r="K46" i="5"/>
  <c r="K102" i="5"/>
  <c r="K100" i="5" l="1"/>
  <c r="P191" i="10"/>
  <c r="M190" i="7"/>
  <c r="M193" i="7" s="1"/>
  <c r="M194" i="7" s="1"/>
  <c r="M46" i="7" s="1"/>
  <c r="K101" i="5"/>
  <c r="K91" i="5"/>
  <c r="P193" i="10"/>
  <c r="P194" i="10" s="1"/>
  <c r="P46" i="10" s="1"/>
  <c r="L93" i="7"/>
  <c r="K201" i="5"/>
  <c r="K58" i="5"/>
  <c r="K75" i="5"/>
  <c r="K25" i="5"/>
  <c r="M47" i="7" l="1"/>
  <c r="M191" i="7"/>
  <c r="P37" i="11"/>
  <c r="P38" i="11" s="1"/>
  <c r="P201" i="10"/>
  <c r="P75" i="10"/>
  <c r="K87" i="5"/>
  <c r="K57" i="5"/>
  <c r="K28" i="5"/>
  <c r="L22" i="5" s="1"/>
  <c r="P192" i="10"/>
  <c r="M201" i="7"/>
  <c r="M58" i="7"/>
  <c r="M87" i="7" s="1"/>
  <c r="M75" i="7"/>
  <c r="K93" i="5"/>
  <c r="P47" i="10"/>
  <c r="P58" i="10" s="1"/>
  <c r="P87" i="10" s="1"/>
  <c r="P200" i="10" l="1"/>
  <c r="P25" i="10"/>
  <c r="P28" i="10" s="1"/>
  <c r="Q22" i="10" s="1"/>
  <c r="P57" i="10"/>
  <c r="P86" i="10" s="1"/>
  <c r="P166" i="10"/>
  <c r="P157" i="10"/>
  <c r="P129" i="10"/>
  <c r="P125" i="10"/>
  <c r="P156" i="10"/>
  <c r="P158" i="10"/>
  <c r="P179" i="10"/>
  <c r="P142" i="10"/>
  <c r="P168" i="10"/>
  <c r="P133" i="10"/>
  <c r="P150" i="10"/>
  <c r="P128" i="10"/>
  <c r="P123" i="10"/>
  <c r="P140" i="10"/>
  <c r="P115" i="10"/>
  <c r="P119" i="10"/>
  <c r="P135" i="10"/>
  <c r="P141" i="10"/>
  <c r="P160" i="10"/>
  <c r="P177" i="10"/>
  <c r="P139" i="10"/>
  <c r="P145" i="10"/>
  <c r="P146" i="10"/>
  <c r="P116" i="10"/>
  <c r="P127" i="10"/>
  <c r="P118" i="10"/>
  <c r="P147" i="10"/>
  <c r="P182" i="10"/>
  <c r="P134" i="10"/>
  <c r="P165" i="10"/>
  <c r="P171" i="10"/>
  <c r="P117" i="10"/>
  <c r="P178" i="10"/>
  <c r="P152" i="10"/>
  <c r="P175" i="10"/>
  <c r="P154" i="10"/>
  <c r="P148" i="10"/>
  <c r="P114" i="10"/>
  <c r="P170" i="10"/>
  <c r="P183" i="10"/>
  <c r="P180" i="10"/>
  <c r="P164" i="10"/>
  <c r="P155" i="10"/>
  <c r="P161" i="10"/>
  <c r="P99" i="10"/>
  <c r="P151" i="10"/>
  <c r="P153" i="10"/>
  <c r="P176" i="10"/>
  <c r="P172" i="10"/>
  <c r="P126" i="10"/>
  <c r="P130" i="10"/>
  <c r="P174" i="10"/>
  <c r="P149" i="10"/>
  <c r="P169" i="10"/>
  <c r="P120" i="10"/>
  <c r="P132" i="10"/>
  <c r="P121" i="10"/>
  <c r="P122" i="10"/>
  <c r="P167" i="10"/>
  <c r="P138" i="10"/>
  <c r="P181" i="10"/>
  <c r="P136" i="10"/>
  <c r="P163" i="10"/>
  <c r="P162" i="10"/>
  <c r="P159" i="10"/>
  <c r="P173" i="10"/>
  <c r="P137" i="10"/>
  <c r="P143" i="10"/>
  <c r="P124" i="10"/>
  <c r="P144" i="10"/>
  <c r="P131" i="10"/>
  <c r="P76" i="10"/>
  <c r="L188" i="5"/>
  <c r="M200" i="7"/>
  <c r="M57" i="7"/>
  <c r="M86" i="7" s="1"/>
  <c r="M25" i="7"/>
  <c r="M28" i="7" s="1"/>
  <c r="N22" i="7" s="1"/>
  <c r="M135" i="7"/>
  <c r="M115" i="7"/>
  <c r="M128" i="7"/>
  <c r="M134" i="7"/>
  <c r="M148" i="7"/>
  <c r="M156" i="7"/>
  <c r="M164" i="7"/>
  <c r="M172" i="7"/>
  <c r="M180" i="7"/>
  <c r="M173" i="7"/>
  <c r="M125" i="7"/>
  <c r="M127" i="7"/>
  <c r="M151" i="7"/>
  <c r="M167" i="7"/>
  <c r="M131" i="7"/>
  <c r="M136" i="7"/>
  <c r="M111" i="7"/>
  <c r="M140" i="7"/>
  <c r="M141" i="7"/>
  <c r="M149" i="7"/>
  <c r="M157" i="7"/>
  <c r="M165" i="7"/>
  <c r="M181" i="7"/>
  <c r="M124" i="7"/>
  <c r="M175" i="7"/>
  <c r="M126" i="7"/>
  <c r="M119" i="7"/>
  <c r="M144" i="7"/>
  <c r="M152" i="7"/>
  <c r="M160" i="7"/>
  <c r="M168" i="7"/>
  <c r="M176" i="7"/>
  <c r="M117" i="7"/>
  <c r="M112" i="7"/>
  <c r="M130" i="7"/>
  <c r="M116" i="7"/>
  <c r="M142" i="7"/>
  <c r="M150" i="7"/>
  <c r="M158" i="7"/>
  <c r="M166" i="7"/>
  <c r="M174" i="7"/>
  <c r="M182" i="7"/>
  <c r="M133" i="7"/>
  <c r="M143" i="7"/>
  <c r="M159" i="7"/>
  <c r="M183" i="7"/>
  <c r="M121" i="7"/>
  <c r="M99" i="7"/>
  <c r="M129" i="7"/>
  <c r="M137" i="7"/>
  <c r="M139" i="7"/>
  <c r="M114" i="7"/>
  <c r="M145" i="7"/>
  <c r="M153" i="7"/>
  <c r="M161" i="7"/>
  <c r="M169" i="7"/>
  <c r="M177" i="7"/>
  <c r="M113" i="7"/>
  <c r="M118" i="7"/>
  <c r="M138" i="7"/>
  <c r="M122" i="7"/>
  <c r="M146" i="7"/>
  <c r="M154" i="7"/>
  <c r="M162" i="7"/>
  <c r="M170" i="7"/>
  <c r="M178" i="7"/>
  <c r="M120" i="7"/>
  <c r="M123" i="7"/>
  <c r="M132" i="7"/>
  <c r="M147" i="7"/>
  <c r="M155" i="7"/>
  <c r="M163" i="7"/>
  <c r="M171" i="7"/>
  <c r="M179" i="7"/>
  <c r="M76" i="7"/>
  <c r="M192" i="7"/>
  <c r="K86" i="5"/>
  <c r="M102" i="7"/>
  <c r="P102" i="10"/>
  <c r="M101" i="7" l="1"/>
  <c r="M91" i="7"/>
  <c r="P101" i="10"/>
  <c r="P91" i="10"/>
  <c r="L190" i="5"/>
  <c r="Q188" i="10"/>
  <c r="P100" i="10"/>
  <c r="M100" i="7"/>
  <c r="N188" i="7"/>
  <c r="L191" i="5" l="1"/>
  <c r="L193" i="5"/>
  <c r="L194" i="5" s="1"/>
  <c r="L46" i="5" s="1"/>
  <c r="P93" i="10"/>
  <c r="Q190" i="10"/>
  <c r="Q193" i="10" s="1"/>
  <c r="Q194" i="10" s="1"/>
  <c r="Q46" i="10" s="1"/>
  <c r="N190" i="7"/>
  <c r="M93" i="7"/>
  <c r="Q47" i="10" l="1"/>
  <c r="Q191" i="10"/>
  <c r="Q37" i="11"/>
  <c r="Q38" i="11" s="1"/>
  <c r="Q201" i="10"/>
  <c r="Q58" i="10"/>
  <c r="Q87" i="10" s="1"/>
  <c r="Q75" i="10"/>
  <c r="L192" i="5"/>
  <c r="L201" i="5"/>
  <c r="L75" i="5"/>
  <c r="N191" i="7"/>
  <c r="N193" i="7"/>
  <c r="N194" i="7" s="1"/>
  <c r="N46" i="7" s="1"/>
  <c r="L47" i="5"/>
  <c r="N201" i="7" l="1"/>
  <c r="N75" i="7"/>
  <c r="L200" i="5"/>
  <c r="L25" i="5"/>
  <c r="L28" i="5" s="1"/>
  <c r="M22" i="5" s="1"/>
  <c r="L99" i="5"/>
  <c r="L116" i="5"/>
  <c r="L121" i="5"/>
  <c r="L129" i="5"/>
  <c r="L137" i="5"/>
  <c r="L145" i="5"/>
  <c r="L153" i="5"/>
  <c r="L161" i="5"/>
  <c r="L169" i="5"/>
  <c r="L177" i="5"/>
  <c r="L112" i="5"/>
  <c r="L122" i="5"/>
  <c r="L130" i="5"/>
  <c r="L138" i="5"/>
  <c r="L146" i="5"/>
  <c r="L154" i="5"/>
  <c r="L162" i="5"/>
  <c r="L170" i="5"/>
  <c r="L178" i="5"/>
  <c r="L119" i="5"/>
  <c r="L123" i="5"/>
  <c r="L131" i="5"/>
  <c r="L139" i="5"/>
  <c r="L147" i="5"/>
  <c r="L155" i="5"/>
  <c r="L163" i="5"/>
  <c r="L171" i="5"/>
  <c r="L120" i="5"/>
  <c r="L113" i="5"/>
  <c r="L125" i="5"/>
  <c r="L141" i="5"/>
  <c r="L157" i="5"/>
  <c r="L173" i="5"/>
  <c r="L179" i="5"/>
  <c r="L132" i="5"/>
  <c r="L140" i="5"/>
  <c r="L148" i="5"/>
  <c r="L156" i="5"/>
  <c r="L164" i="5"/>
  <c r="L172" i="5"/>
  <c r="L180" i="5"/>
  <c r="L115" i="5"/>
  <c r="L133" i="5"/>
  <c r="L149" i="5"/>
  <c r="L165" i="5"/>
  <c r="L181" i="5"/>
  <c r="L124" i="5"/>
  <c r="L114" i="5"/>
  <c r="L110" i="5"/>
  <c r="L126" i="5"/>
  <c r="L134" i="5"/>
  <c r="L142" i="5"/>
  <c r="L150" i="5"/>
  <c r="L158" i="5"/>
  <c r="L166" i="5"/>
  <c r="L174" i="5"/>
  <c r="L182" i="5"/>
  <c r="L118" i="5"/>
  <c r="L127" i="5"/>
  <c r="L135" i="5"/>
  <c r="L143" i="5"/>
  <c r="L151" i="5"/>
  <c r="L159" i="5"/>
  <c r="L167" i="5"/>
  <c r="L175" i="5"/>
  <c r="L183" i="5"/>
  <c r="L111" i="5"/>
  <c r="L128" i="5"/>
  <c r="L136" i="5"/>
  <c r="L144" i="5"/>
  <c r="L152" i="5"/>
  <c r="L160" i="5"/>
  <c r="L168" i="5"/>
  <c r="L176" i="5"/>
  <c r="L117" i="5"/>
  <c r="L76" i="5"/>
  <c r="N47" i="7"/>
  <c r="N58" i="7" s="1"/>
  <c r="N87" i="7" s="1"/>
  <c r="L58" i="5"/>
  <c r="L87" i="5" s="1"/>
  <c r="Q192" i="10"/>
  <c r="N192" i="7"/>
  <c r="Q200" i="10"/>
  <c r="Q57" i="10"/>
  <c r="Q86" i="10" s="1"/>
  <c r="Q25" i="10"/>
  <c r="Q28" i="10" s="1"/>
  <c r="R22" i="10" s="1"/>
  <c r="Q180" i="10"/>
  <c r="Q115" i="10"/>
  <c r="Q146" i="10"/>
  <c r="Q164" i="10"/>
  <c r="Q122" i="10"/>
  <c r="Q123" i="10"/>
  <c r="Q155" i="10"/>
  <c r="Q168" i="10"/>
  <c r="Q124" i="10"/>
  <c r="Q162" i="10"/>
  <c r="Q148" i="10"/>
  <c r="Q147" i="10"/>
  <c r="Q119" i="10"/>
  <c r="Q131" i="10"/>
  <c r="Q166" i="10"/>
  <c r="Q165" i="10"/>
  <c r="Q156" i="10"/>
  <c r="Q132" i="10"/>
  <c r="Q177" i="10"/>
  <c r="Q183" i="10"/>
  <c r="Q179" i="10"/>
  <c r="Q121" i="10"/>
  <c r="Q118" i="10"/>
  <c r="Q169" i="10"/>
  <c r="Q163" i="10"/>
  <c r="Q139" i="10"/>
  <c r="Q135" i="10"/>
  <c r="Q176" i="10"/>
  <c r="Q129" i="10"/>
  <c r="Q128" i="10"/>
  <c r="Q167" i="10"/>
  <c r="Q150" i="10"/>
  <c r="Q157" i="10"/>
  <c r="Q153" i="10"/>
  <c r="Q133" i="10"/>
  <c r="Q136" i="10"/>
  <c r="Q182" i="10"/>
  <c r="Q149" i="10"/>
  <c r="Q130" i="10"/>
  <c r="Q137" i="10"/>
  <c r="Q145" i="10"/>
  <c r="Q126" i="10"/>
  <c r="Q151" i="10"/>
  <c r="Q134" i="10"/>
  <c r="Q174" i="10"/>
  <c r="Q141" i="10"/>
  <c r="Q171" i="10"/>
  <c r="Q138" i="10"/>
  <c r="Q144" i="10"/>
  <c r="Q117" i="10"/>
  <c r="Q158" i="10"/>
  <c r="Q142" i="10"/>
  <c r="Q161" i="10"/>
  <c r="Q181" i="10"/>
  <c r="Q140" i="10"/>
  <c r="Q116" i="10"/>
  <c r="Q178" i="10"/>
  <c r="Q160" i="10"/>
  <c r="Q127" i="10"/>
  <c r="Q99" i="10"/>
  <c r="Q154" i="10"/>
  <c r="Q173" i="10"/>
  <c r="Q143" i="10"/>
  <c r="Q170" i="10"/>
  <c r="Q125" i="10"/>
  <c r="Q172" i="10"/>
  <c r="Q175" i="10"/>
  <c r="Q152" i="10"/>
  <c r="Q120" i="10"/>
  <c r="Q159" i="10"/>
  <c r="Q76" i="10"/>
  <c r="Q102" i="10"/>
  <c r="L102" i="5"/>
  <c r="L100" i="5" l="1"/>
  <c r="M188" i="5"/>
  <c r="L57" i="5"/>
  <c r="L86" i="5" s="1"/>
  <c r="L101" i="5"/>
  <c r="L91" i="5"/>
  <c r="Q100" i="10"/>
  <c r="N200" i="7"/>
  <c r="N57" i="7"/>
  <c r="N86" i="7" s="1"/>
  <c r="N25" i="7"/>
  <c r="N28" i="7" s="1"/>
  <c r="O22" i="7" s="1"/>
  <c r="N99" i="7"/>
  <c r="N129" i="7"/>
  <c r="N114" i="7"/>
  <c r="N132" i="7"/>
  <c r="N113" i="7"/>
  <c r="N147" i="7"/>
  <c r="N155" i="7"/>
  <c r="N163" i="7"/>
  <c r="N171" i="7"/>
  <c r="N179" i="7"/>
  <c r="N136" i="7"/>
  <c r="N134" i="7"/>
  <c r="N145" i="7"/>
  <c r="N153" i="7"/>
  <c r="N161" i="7"/>
  <c r="N169" i="7"/>
  <c r="N177" i="7"/>
  <c r="N127" i="7"/>
  <c r="N126" i="7"/>
  <c r="N131" i="7"/>
  <c r="N123" i="7"/>
  <c r="N148" i="7"/>
  <c r="N156" i="7"/>
  <c r="N164" i="7"/>
  <c r="N172" i="7"/>
  <c r="N180" i="7"/>
  <c r="N182" i="7"/>
  <c r="N140" i="7"/>
  <c r="N120" i="7"/>
  <c r="N151" i="7"/>
  <c r="N175" i="7"/>
  <c r="N121" i="7"/>
  <c r="N144" i="7"/>
  <c r="N168" i="7"/>
  <c r="N128" i="7"/>
  <c r="N137" i="7"/>
  <c r="N122" i="7"/>
  <c r="N130" i="7"/>
  <c r="N141" i="7"/>
  <c r="N149" i="7"/>
  <c r="N157" i="7"/>
  <c r="N165" i="7"/>
  <c r="N173" i="7"/>
  <c r="N181" i="7"/>
  <c r="N135" i="7"/>
  <c r="N143" i="7"/>
  <c r="N167" i="7"/>
  <c r="N112" i="7"/>
  <c r="N160" i="7"/>
  <c r="N133" i="7"/>
  <c r="N125" i="7"/>
  <c r="N116" i="7"/>
  <c r="N146" i="7"/>
  <c r="N154" i="7"/>
  <c r="N162" i="7"/>
  <c r="N170" i="7"/>
  <c r="N178" i="7"/>
  <c r="N115" i="7"/>
  <c r="N118" i="7"/>
  <c r="N138" i="7"/>
  <c r="N142" i="7"/>
  <c r="N150" i="7"/>
  <c r="N158" i="7"/>
  <c r="N166" i="7"/>
  <c r="N174" i="7"/>
  <c r="N124" i="7"/>
  <c r="N159" i="7"/>
  <c r="N183" i="7"/>
  <c r="N119" i="7"/>
  <c r="N117" i="7"/>
  <c r="N152" i="7"/>
  <c r="N176" i="7"/>
  <c r="N139" i="7"/>
  <c r="N76" i="7"/>
  <c r="Q91" i="10"/>
  <c r="Q101" i="10"/>
  <c r="R188" i="10"/>
  <c r="N102" i="7"/>
  <c r="Q93" i="10" l="1"/>
  <c r="M190" i="5"/>
  <c r="M193" i="5" s="1"/>
  <c r="M194" i="5" s="1"/>
  <c r="M46" i="5" s="1"/>
  <c r="N101" i="7"/>
  <c r="N91" i="7"/>
  <c r="L93" i="5"/>
  <c r="O188" i="7"/>
  <c r="R190" i="10"/>
  <c r="R193" i="10" s="1"/>
  <c r="R194" i="10" s="1"/>
  <c r="R46" i="10" s="1"/>
  <c r="N100" i="7"/>
  <c r="O190" i="7" l="1"/>
  <c r="M47" i="5"/>
  <c r="M58" i="5" s="1"/>
  <c r="M87" i="5" s="1"/>
  <c r="M191" i="5"/>
  <c r="N93" i="7"/>
  <c r="M201" i="5"/>
  <c r="M75" i="5"/>
  <c r="R47" i="10"/>
  <c r="R58" i="10" s="1"/>
  <c r="R87" i="10" s="1"/>
  <c r="R191" i="10"/>
  <c r="R37" i="11"/>
  <c r="R38" i="11" s="1"/>
  <c r="R201" i="10"/>
  <c r="R75" i="10"/>
  <c r="M192" i="5" l="1"/>
  <c r="R192" i="10"/>
  <c r="M200" i="5"/>
  <c r="M57" i="5"/>
  <c r="M86" i="5" s="1"/>
  <c r="M25" i="5"/>
  <c r="M28" i="5" s="1"/>
  <c r="N22" i="5" s="1"/>
  <c r="M99" i="5"/>
  <c r="M116" i="5"/>
  <c r="M113" i="5"/>
  <c r="M129" i="5"/>
  <c r="M137" i="5"/>
  <c r="M145" i="5"/>
  <c r="M153" i="5"/>
  <c r="M161" i="5"/>
  <c r="M169" i="5"/>
  <c r="M177" i="5"/>
  <c r="M172" i="5"/>
  <c r="M125" i="5"/>
  <c r="M149" i="5"/>
  <c r="M165" i="5"/>
  <c r="M115" i="5"/>
  <c r="M142" i="5"/>
  <c r="M150" i="5"/>
  <c r="M158" i="5"/>
  <c r="M174" i="5"/>
  <c r="M120" i="5"/>
  <c r="M122" i="5"/>
  <c r="M130" i="5"/>
  <c r="M138" i="5"/>
  <c r="M146" i="5"/>
  <c r="M154" i="5"/>
  <c r="M162" i="5"/>
  <c r="M170" i="5"/>
  <c r="M178" i="5"/>
  <c r="M121" i="5"/>
  <c r="M156" i="5"/>
  <c r="M180" i="5"/>
  <c r="M112" i="5"/>
  <c r="M141" i="5"/>
  <c r="M157" i="5"/>
  <c r="M181" i="5"/>
  <c r="M134" i="5"/>
  <c r="M166" i="5"/>
  <c r="M182" i="5"/>
  <c r="M111" i="5"/>
  <c r="M123" i="5"/>
  <c r="M131" i="5"/>
  <c r="M139" i="5"/>
  <c r="M147" i="5"/>
  <c r="M155" i="5"/>
  <c r="M163" i="5"/>
  <c r="M171" i="5"/>
  <c r="M179" i="5"/>
  <c r="M124" i="5"/>
  <c r="M132" i="5"/>
  <c r="M140" i="5"/>
  <c r="M148" i="5"/>
  <c r="M164" i="5"/>
  <c r="M133" i="5"/>
  <c r="M173" i="5"/>
  <c r="M126" i="5"/>
  <c r="M118" i="5"/>
  <c r="M114" i="5"/>
  <c r="M127" i="5"/>
  <c r="M135" i="5"/>
  <c r="M143" i="5"/>
  <c r="M151" i="5"/>
  <c r="M159" i="5"/>
  <c r="M167" i="5"/>
  <c r="M175" i="5"/>
  <c r="M183" i="5"/>
  <c r="M119" i="5"/>
  <c r="M128" i="5"/>
  <c r="M136" i="5"/>
  <c r="M144" i="5"/>
  <c r="M152" i="5"/>
  <c r="M160" i="5"/>
  <c r="M168" i="5"/>
  <c r="M176" i="5"/>
  <c r="M117" i="5"/>
  <c r="M76" i="5"/>
  <c r="O191" i="7"/>
  <c r="R200" i="10"/>
  <c r="R57" i="10"/>
  <c r="R86" i="10" s="1"/>
  <c r="R25" i="10"/>
  <c r="R28" i="10" s="1"/>
  <c r="S22" i="10" s="1"/>
  <c r="R171" i="10"/>
  <c r="R120" i="10"/>
  <c r="R178" i="10"/>
  <c r="R175" i="10"/>
  <c r="R116" i="10"/>
  <c r="R146" i="10"/>
  <c r="R130" i="10"/>
  <c r="R168" i="10"/>
  <c r="R153" i="10"/>
  <c r="R147" i="10"/>
  <c r="R165" i="10"/>
  <c r="R163" i="10"/>
  <c r="R160" i="10"/>
  <c r="R117" i="10"/>
  <c r="R148" i="10"/>
  <c r="R166" i="10"/>
  <c r="R173" i="10"/>
  <c r="R154" i="10"/>
  <c r="R140" i="10"/>
  <c r="R152" i="10"/>
  <c r="R156" i="10"/>
  <c r="R137" i="10"/>
  <c r="R157" i="10"/>
  <c r="R119" i="10"/>
  <c r="R181" i="10"/>
  <c r="R177" i="10"/>
  <c r="R182" i="10"/>
  <c r="R118" i="10"/>
  <c r="R138" i="10"/>
  <c r="R151" i="10"/>
  <c r="R143" i="10"/>
  <c r="R183" i="10"/>
  <c r="R144" i="10"/>
  <c r="R128" i="10"/>
  <c r="R161" i="10"/>
  <c r="R180" i="10"/>
  <c r="R158" i="10"/>
  <c r="R150" i="10"/>
  <c r="R174" i="10"/>
  <c r="R169" i="10"/>
  <c r="R172" i="10"/>
  <c r="R134" i="10"/>
  <c r="R125" i="10"/>
  <c r="R122" i="10"/>
  <c r="R135" i="10"/>
  <c r="R136" i="10"/>
  <c r="R170" i="10"/>
  <c r="R126" i="10"/>
  <c r="R99" i="10"/>
  <c r="R155" i="10"/>
  <c r="R149" i="10"/>
  <c r="R129" i="10"/>
  <c r="R142" i="10"/>
  <c r="R131" i="10"/>
  <c r="R121" i="10"/>
  <c r="R141" i="10"/>
  <c r="R124" i="10"/>
  <c r="R127" i="10"/>
  <c r="R133" i="10"/>
  <c r="R179" i="10"/>
  <c r="R176" i="10"/>
  <c r="R132" i="10"/>
  <c r="R159" i="10"/>
  <c r="R164" i="10"/>
  <c r="R162" i="10"/>
  <c r="R167" i="10"/>
  <c r="R145" i="10"/>
  <c r="R139" i="10"/>
  <c r="R123" i="10"/>
  <c r="R76" i="10"/>
  <c r="O193" i="7"/>
  <c r="O194" i="7" s="1"/>
  <c r="O46" i="7" s="1"/>
  <c r="M102" i="5"/>
  <c r="R102" i="10"/>
  <c r="M101" i="5" l="1"/>
  <c r="M91" i="5"/>
  <c r="O201" i="7"/>
  <c r="O75" i="7"/>
  <c r="R100" i="10"/>
  <c r="R91" i="10"/>
  <c r="R101" i="10"/>
  <c r="N188" i="5"/>
  <c r="M100" i="5"/>
  <c r="O192" i="7"/>
  <c r="S188" i="10"/>
  <c r="O47" i="7"/>
  <c r="O58" i="7" s="1"/>
  <c r="O87" i="7" s="1"/>
  <c r="N190" i="5" l="1"/>
  <c r="S190" i="10"/>
  <c r="M93" i="5"/>
  <c r="R93" i="10"/>
  <c r="O200" i="7"/>
  <c r="O57" i="7"/>
  <c r="O86" i="7" s="1"/>
  <c r="O25" i="7"/>
  <c r="O28" i="7" s="1"/>
  <c r="P22" i="7" s="1"/>
  <c r="O131" i="7"/>
  <c r="O123" i="7"/>
  <c r="O122" i="7"/>
  <c r="O126" i="7"/>
  <c r="O149" i="7"/>
  <c r="O157" i="7"/>
  <c r="O165" i="7"/>
  <c r="O173" i="7"/>
  <c r="O181" i="7"/>
  <c r="O152" i="7"/>
  <c r="O155" i="7"/>
  <c r="O132" i="7"/>
  <c r="O129" i="7"/>
  <c r="O137" i="7"/>
  <c r="O134" i="7"/>
  <c r="O150" i="7"/>
  <c r="O158" i="7"/>
  <c r="O166" i="7"/>
  <c r="O174" i="7"/>
  <c r="O182" i="7"/>
  <c r="O128" i="7"/>
  <c r="O160" i="7"/>
  <c r="O138" i="7"/>
  <c r="O145" i="7"/>
  <c r="O169" i="7"/>
  <c r="O113" i="7"/>
  <c r="O119" i="7"/>
  <c r="O162" i="7"/>
  <c r="O178" i="7"/>
  <c r="O115" i="7"/>
  <c r="O135" i="7"/>
  <c r="O143" i="7"/>
  <c r="O151" i="7"/>
  <c r="O159" i="7"/>
  <c r="O167" i="7"/>
  <c r="O175" i="7"/>
  <c r="O183" i="7"/>
  <c r="O117" i="7"/>
  <c r="O140" i="7"/>
  <c r="O144" i="7"/>
  <c r="O168" i="7"/>
  <c r="O133" i="7"/>
  <c r="O121" i="7"/>
  <c r="O114" i="7"/>
  <c r="O161" i="7"/>
  <c r="O177" i="7"/>
  <c r="O154" i="7"/>
  <c r="O130" i="7"/>
  <c r="O146" i="7"/>
  <c r="O124" i="7"/>
  <c r="O179" i="7"/>
  <c r="O99" i="7"/>
  <c r="O116" i="7"/>
  <c r="O141" i="7"/>
  <c r="O136" i="7"/>
  <c r="O127" i="7"/>
  <c r="O148" i="7"/>
  <c r="O156" i="7"/>
  <c r="O164" i="7"/>
  <c r="O172" i="7"/>
  <c r="O180" i="7"/>
  <c r="O142" i="7"/>
  <c r="O176" i="7"/>
  <c r="O153" i="7"/>
  <c r="O118" i="7"/>
  <c r="O170" i="7"/>
  <c r="O139" i="7"/>
  <c r="O120" i="7"/>
  <c r="O125" i="7"/>
  <c r="O147" i="7"/>
  <c r="O163" i="7"/>
  <c r="O171" i="7"/>
  <c r="O76" i="7"/>
  <c r="O102" i="7"/>
  <c r="P188" i="7" l="1"/>
  <c r="O100" i="7"/>
  <c r="N191" i="5"/>
  <c r="S191" i="10"/>
  <c r="N193" i="5"/>
  <c r="N194" i="5" s="1"/>
  <c r="N46" i="5" s="1"/>
  <c r="O101" i="7"/>
  <c r="O91" i="7"/>
  <c r="S193" i="10"/>
  <c r="S194" i="10" s="1"/>
  <c r="S46" i="10" s="1"/>
  <c r="N192" i="5" l="1"/>
  <c r="S47" i="10"/>
  <c r="S58" i="10" s="1"/>
  <c r="S87" i="10" s="1"/>
  <c r="N47" i="5"/>
  <c r="N58" i="5" s="1"/>
  <c r="N87" i="5" s="1"/>
  <c r="O93" i="7"/>
  <c r="S37" i="11"/>
  <c r="S38" i="11" s="1"/>
  <c r="S201" i="10"/>
  <c r="S75" i="10"/>
  <c r="P190" i="7"/>
  <c r="S192" i="10"/>
  <c r="N201" i="5"/>
  <c r="N75" i="5"/>
  <c r="P191" i="7" l="1"/>
  <c r="P193" i="7"/>
  <c r="P194" i="7" s="1"/>
  <c r="P46" i="7" s="1"/>
  <c r="N200" i="5"/>
  <c r="N57" i="5"/>
  <c r="N86" i="5" s="1"/>
  <c r="N25" i="5"/>
  <c r="N28" i="5" s="1"/>
  <c r="O22" i="5" s="1"/>
  <c r="N112" i="5"/>
  <c r="N126" i="5"/>
  <c r="N134" i="5"/>
  <c r="N142" i="5"/>
  <c r="N150" i="5"/>
  <c r="N158" i="5"/>
  <c r="N166" i="5"/>
  <c r="N174" i="5"/>
  <c r="N182" i="5"/>
  <c r="N114" i="5"/>
  <c r="N99" i="5"/>
  <c r="N113" i="5"/>
  <c r="N120" i="5"/>
  <c r="N127" i="5"/>
  <c r="N135" i="5"/>
  <c r="N143" i="5"/>
  <c r="N151" i="5"/>
  <c r="N159" i="5"/>
  <c r="N167" i="5"/>
  <c r="N175" i="5"/>
  <c r="N183" i="5"/>
  <c r="N129" i="5"/>
  <c r="N153" i="5"/>
  <c r="N169" i="5"/>
  <c r="N119" i="5"/>
  <c r="N118" i="5"/>
  <c r="N128" i="5"/>
  <c r="N136" i="5"/>
  <c r="N144" i="5"/>
  <c r="N152" i="5"/>
  <c r="N160" i="5"/>
  <c r="N168" i="5"/>
  <c r="N176" i="5"/>
  <c r="N121" i="5"/>
  <c r="N137" i="5"/>
  <c r="N145" i="5"/>
  <c r="N161" i="5"/>
  <c r="N177" i="5"/>
  <c r="N115" i="5"/>
  <c r="N130" i="5"/>
  <c r="N138" i="5"/>
  <c r="N146" i="5"/>
  <c r="N154" i="5"/>
  <c r="N162" i="5"/>
  <c r="N170" i="5"/>
  <c r="N178" i="5"/>
  <c r="N122" i="5"/>
  <c r="N139" i="5"/>
  <c r="N155" i="5"/>
  <c r="N179" i="5"/>
  <c r="N131" i="5"/>
  <c r="N147" i="5"/>
  <c r="N171" i="5"/>
  <c r="N117" i="5"/>
  <c r="N124" i="5"/>
  <c r="N132" i="5"/>
  <c r="N140" i="5"/>
  <c r="N148" i="5"/>
  <c r="N156" i="5"/>
  <c r="N164" i="5"/>
  <c r="N172" i="5"/>
  <c r="N180" i="5"/>
  <c r="N116" i="5"/>
  <c r="N125" i="5"/>
  <c r="N133" i="5"/>
  <c r="N141" i="5"/>
  <c r="N149" i="5"/>
  <c r="N157" i="5"/>
  <c r="N165" i="5"/>
  <c r="N173" i="5"/>
  <c r="N181" i="5"/>
  <c r="N123" i="5"/>
  <c r="N163" i="5"/>
  <c r="N76" i="5"/>
  <c r="S200" i="10"/>
  <c r="S57" i="10"/>
  <c r="S86" i="10" s="1"/>
  <c r="S25" i="10"/>
  <c r="S28" i="10" s="1"/>
  <c r="T22" i="10" s="1"/>
  <c r="S156" i="10"/>
  <c r="S153" i="10"/>
  <c r="S182" i="10"/>
  <c r="S148" i="10"/>
  <c r="S142" i="10"/>
  <c r="S175" i="10"/>
  <c r="S176" i="10"/>
  <c r="S165" i="10"/>
  <c r="S135" i="10"/>
  <c r="S157" i="10"/>
  <c r="S127" i="10"/>
  <c r="S120" i="10"/>
  <c r="S159" i="10"/>
  <c r="S128" i="10"/>
  <c r="S158" i="10"/>
  <c r="S143" i="10"/>
  <c r="S150" i="10"/>
  <c r="S169" i="10"/>
  <c r="S173" i="10"/>
  <c r="S131" i="10"/>
  <c r="S145" i="10"/>
  <c r="S126" i="10"/>
  <c r="S144" i="10"/>
  <c r="S162" i="10"/>
  <c r="S99" i="10"/>
  <c r="S178" i="10"/>
  <c r="S119" i="10"/>
  <c r="S138" i="10"/>
  <c r="S122" i="10"/>
  <c r="S168" i="10"/>
  <c r="S146" i="10"/>
  <c r="S125" i="10"/>
  <c r="S183" i="10"/>
  <c r="S147" i="10"/>
  <c r="S174" i="10"/>
  <c r="S177" i="10"/>
  <c r="S167" i="10"/>
  <c r="S130" i="10"/>
  <c r="S136" i="10"/>
  <c r="S166" i="10"/>
  <c r="S160" i="10"/>
  <c r="S121" i="10"/>
  <c r="S132" i="10"/>
  <c r="S141" i="10"/>
  <c r="S137" i="10"/>
  <c r="S118" i="10"/>
  <c r="S139" i="10"/>
  <c r="S171" i="10"/>
  <c r="S129" i="10"/>
  <c r="S172" i="10"/>
  <c r="S133" i="10"/>
  <c r="S164" i="10"/>
  <c r="S179" i="10"/>
  <c r="S117" i="10"/>
  <c r="S170" i="10"/>
  <c r="S161" i="10"/>
  <c r="S134" i="10"/>
  <c r="S155" i="10"/>
  <c r="S124" i="10"/>
  <c r="S151" i="10"/>
  <c r="S140" i="10"/>
  <c r="S181" i="10"/>
  <c r="S180" i="10"/>
  <c r="S149" i="10"/>
  <c r="S154" i="10"/>
  <c r="S123" i="10"/>
  <c r="S152" i="10"/>
  <c r="S163" i="10"/>
  <c r="S76" i="10"/>
  <c r="S102" i="10"/>
  <c r="N102" i="5"/>
  <c r="O188" i="5" l="1"/>
  <c r="P201" i="7"/>
  <c r="P75" i="7"/>
  <c r="S101" i="10"/>
  <c r="S91" i="10"/>
  <c r="P192" i="7"/>
  <c r="N101" i="5"/>
  <c r="N91" i="5"/>
  <c r="N100" i="5"/>
  <c r="P47" i="7"/>
  <c r="P58" i="7" s="1"/>
  <c r="P87" i="7" s="1"/>
  <c r="T188" i="10"/>
  <c r="S100" i="10"/>
  <c r="S93" i="10" l="1"/>
  <c r="N93" i="5"/>
  <c r="T190" i="10"/>
  <c r="P200" i="7"/>
  <c r="P57" i="7"/>
  <c r="P86" i="7" s="1"/>
  <c r="P25" i="7"/>
  <c r="P28" i="7" s="1"/>
  <c r="Q22" i="7" s="1"/>
  <c r="P128" i="7"/>
  <c r="P127" i="7"/>
  <c r="P119" i="7"/>
  <c r="P115" i="7"/>
  <c r="P145" i="7"/>
  <c r="P153" i="7"/>
  <c r="P161" i="7"/>
  <c r="P169" i="7"/>
  <c r="P177" i="7"/>
  <c r="P120" i="7"/>
  <c r="P148" i="7"/>
  <c r="P164" i="7"/>
  <c r="P180" i="7"/>
  <c r="P123" i="7"/>
  <c r="P149" i="7"/>
  <c r="P173" i="7"/>
  <c r="P138" i="7"/>
  <c r="P126" i="7"/>
  <c r="P135" i="7"/>
  <c r="P143" i="7"/>
  <c r="P146" i="7"/>
  <c r="P154" i="7"/>
  <c r="P162" i="7"/>
  <c r="P170" i="7"/>
  <c r="P178" i="7"/>
  <c r="P122" i="7"/>
  <c r="P125" i="7"/>
  <c r="P141" i="7"/>
  <c r="P156" i="7"/>
  <c r="P172" i="7"/>
  <c r="P132" i="7"/>
  <c r="P142" i="7"/>
  <c r="P129" i="7"/>
  <c r="P130" i="7"/>
  <c r="P147" i="7"/>
  <c r="P155" i="7"/>
  <c r="P163" i="7"/>
  <c r="P171" i="7"/>
  <c r="P179" i="7"/>
  <c r="P137" i="7"/>
  <c r="P116" i="7"/>
  <c r="P121" i="7"/>
  <c r="P157" i="7"/>
  <c r="P165" i="7"/>
  <c r="P181" i="7"/>
  <c r="P99" i="7"/>
  <c r="P124" i="7"/>
  <c r="P131" i="7"/>
  <c r="P136" i="7"/>
  <c r="P133" i="7"/>
  <c r="P150" i="7"/>
  <c r="P158" i="7"/>
  <c r="P166" i="7"/>
  <c r="P174" i="7"/>
  <c r="P182" i="7"/>
  <c r="P114" i="7"/>
  <c r="P140" i="7"/>
  <c r="P134" i="7"/>
  <c r="P151" i="7"/>
  <c r="P159" i="7"/>
  <c r="P167" i="7"/>
  <c r="P175" i="7"/>
  <c r="P183" i="7"/>
  <c r="P118" i="7"/>
  <c r="P139" i="7"/>
  <c r="P152" i="7"/>
  <c r="P168" i="7"/>
  <c r="P117" i="7"/>
  <c r="P144" i="7"/>
  <c r="P160" i="7"/>
  <c r="P176" i="7"/>
  <c r="P76" i="7"/>
  <c r="O190" i="5"/>
  <c r="P102" i="7"/>
  <c r="P101" i="7" l="1"/>
  <c r="P91" i="7"/>
  <c r="Q188" i="7"/>
  <c r="T191" i="10"/>
  <c r="T193" i="10"/>
  <c r="T194" i="10" s="1"/>
  <c r="T46" i="10" s="1"/>
  <c r="O191" i="5"/>
  <c r="P100" i="7"/>
  <c r="O193" i="5"/>
  <c r="O194" i="5" s="1"/>
  <c r="O46" i="5" s="1"/>
  <c r="T47" i="10" l="1"/>
  <c r="T200" i="10" s="1"/>
  <c r="T138" i="10"/>
  <c r="T159" i="10"/>
  <c r="T161" i="10"/>
  <c r="T151" i="10"/>
  <c r="T164" i="10"/>
  <c r="T180" i="10"/>
  <c r="T142" i="10"/>
  <c r="T168" i="10"/>
  <c r="T122" i="10"/>
  <c r="T155" i="10"/>
  <c r="T165" i="10"/>
  <c r="T128" i="10"/>
  <c r="T178" i="10"/>
  <c r="T143" i="10"/>
  <c r="T160" i="10"/>
  <c r="T136" i="10"/>
  <c r="T133" i="10"/>
  <c r="T162" i="10"/>
  <c r="T174" i="10"/>
  <c r="T182" i="10"/>
  <c r="T177" i="10"/>
  <c r="T125" i="10"/>
  <c r="T147" i="10"/>
  <c r="T150" i="10"/>
  <c r="T118" i="10"/>
  <c r="T154" i="10"/>
  <c r="T124" i="10"/>
  <c r="T127" i="10"/>
  <c r="T144" i="10"/>
  <c r="T158" i="10"/>
  <c r="T141" i="10"/>
  <c r="T179" i="10"/>
  <c r="T157" i="10"/>
  <c r="T137" i="10"/>
  <c r="T148" i="10"/>
  <c r="T140" i="10"/>
  <c r="T163" i="10"/>
  <c r="T119" i="10"/>
  <c r="T126" i="10"/>
  <c r="T181" i="10"/>
  <c r="T134" i="10"/>
  <c r="T156" i="10"/>
  <c r="T153" i="10"/>
  <c r="T149" i="10"/>
  <c r="T176" i="10"/>
  <c r="T166" i="10"/>
  <c r="T170" i="10"/>
  <c r="T173" i="10"/>
  <c r="T135" i="10"/>
  <c r="T121" i="10"/>
  <c r="T139" i="10"/>
  <c r="T131" i="10"/>
  <c r="T130" i="10"/>
  <c r="T132" i="10"/>
  <c r="T145" i="10"/>
  <c r="T167" i="10"/>
  <c r="T152" i="10"/>
  <c r="T146" i="10"/>
  <c r="T175" i="10"/>
  <c r="T171" i="10"/>
  <c r="T129" i="10"/>
  <c r="T120" i="10"/>
  <c r="T169" i="10"/>
  <c r="T76" i="10"/>
  <c r="O47" i="5"/>
  <c r="O58" i="5" s="1"/>
  <c r="O87" i="5" s="1"/>
  <c r="O201" i="5"/>
  <c r="O75" i="5"/>
  <c r="P93" i="7"/>
  <c r="O192" i="5"/>
  <c r="T192" i="10"/>
  <c r="Q190" i="7"/>
  <c r="T37" i="11"/>
  <c r="T38" i="11" s="1"/>
  <c r="T201" i="10"/>
  <c r="T58" i="10"/>
  <c r="T87" i="10" s="1"/>
  <c r="T75" i="10"/>
  <c r="T183" i="10" l="1"/>
  <c r="T123" i="10"/>
  <c r="T99" i="10"/>
  <c r="T172" i="10"/>
  <c r="T25" i="10"/>
  <c r="T28" i="10" s="1"/>
  <c r="U22" i="10" s="1"/>
  <c r="Q191" i="7"/>
  <c r="T100" i="10"/>
  <c r="U188" i="10"/>
  <c r="T57" i="10"/>
  <c r="T86" i="10" s="1"/>
  <c r="T101" i="10"/>
  <c r="T91" i="10"/>
  <c r="Q193" i="7"/>
  <c r="Q194" i="7" s="1"/>
  <c r="Q46" i="7" s="1"/>
  <c r="O200" i="5"/>
  <c r="O57" i="5"/>
  <c r="O86" i="5" s="1"/>
  <c r="O25" i="5"/>
  <c r="O28" i="5" s="1"/>
  <c r="P22" i="5" s="1"/>
  <c r="O99" i="5"/>
  <c r="O121" i="5"/>
  <c r="O123" i="5"/>
  <c r="O131" i="5"/>
  <c r="O139" i="5"/>
  <c r="O147" i="5"/>
  <c r="O155" i="5"/>
  <c r="O163" i="5"/>
  <c r="O171" i="5"/>
  <c r="O179" i="5"/>
  <c r="O158" i="5"/>
  <c r="O182" i="5"/>
  <c r="O167" i="5"/>
  <c r="O113" i="5"/>
  <c r="O124" i="5"/>
  <c r="O132" i="5"/>
  <c r="O140" i="5"/>
  <c r="O148" i="5"/>
  <c r="O156" i="5"/>
  <c r="O164" i="5"/>
  <c r="O172" i="5"/>
  <c r="O180" i="5"/>
  <c r="O150" i="5"/>
  <c r="O183" i="5"/>
  <c r="O119" i="5"/>
  <c r="O125" i="5"/>
  <c r="O133" i="5"/>
  <c r="O141" i="5"/>
  <c r="O149" i="5"/>
  <c r="O157" i="5"/>
  <c r="O165" i="5"/>
  <c r="O173" i="5"/>
  <c r="O181" i="5"/>
  <c r="O174" i="5"/>
  <c r="O159" i="5"/>
  <c r="O122" i="5"/>
  <c r="O116" i="5"/>
  <c r="O128" i="5"/>
  <c r="O136" i="5"/>
  <c r="O144" i="5"/>
  <c r="O152" i="5"/>
  <c r="O160" i="5"/>
  <c r="O168" i="5"/>
  <c r="O176" i="5"/>
  <c r="O114" i="5"/>
  <c r="O126" i="5"/>
  <c r="O134" i="5"/>
  <c r="O142" i="5"/>
  <c r="O166" i="5"/>
  <c r="O117" i="5"/>
  <c r="O127" i="5"/>
  <c r="O135" i="5"/>
  <c r="O143" i="5"/>
  <c r="O151" i="5"/>
  <c r="O175" i="5"/>
  <c r="O118" i="5"/>
  <c r="O120" i="5"/>
  <c r="O129" i="5"/>
  <c r="O137" i="5"/>
  <c r="O145" i="5"/>
  <c r="O153" i="5"/>
  <c r="O161" i="5"/>
  <c r="O169" i="5"/>
  <c r="O177" i="5"/>
  <c r="O115" i="5"/>
  <c r="O130" i="5"/>
  <c r="O138" i="5"/>
  <c r="O146" i="5"/>
  <c r="O154" i="5"/>
  <c r="O162" i="5"/>
  <c r="O170" i="5"/>
  <c r="O178" i="5"/>
  <c r="O76" i="5"/>
  <c r="T102" i="10"/>
  <c r="O102" i="5"/>
  <c r="Q201" i="7" l="1"/>
  <c r="Q75" i="7"/>
  <c r="T93" i="10"/>
  <c r="O101" i="5"/>
  <c r="O91" i="5"/>
  <c r="O100" i="5"/>
  <c r="U190" i="10"/>
  <c r="U193" i="10" s="1"/>
  <c r="U194" i="10" s="1"/>
  <c r="U46" i="10" s="1"/>
  <c r="P188" i="5"/>
  <c r="Q192" i="7"/>
  <c r="Q47" i="7"/>
  <c r="U37" i="11" l="1"/>
  <c r="U38" i="11" s="1"/>
  <c r="U201" i="10"/>
  <c r="U75" i="10"/>
  <c r="P190" i="5"/>
  <c r="Q200" i="7"/>
  <c r="Q25" i="7"/>
  <c r="Q28" i="7" s="1"/>
  <c r="R22" i="7" s="1"/>
  <c r="Q118" i="7"/>
  <c r="Q144" i="7"/>
  <c r="Q130" i="7"/>
  <c r="Q116" i="7"/>
  <c r="Q148" i="7"/>
  <c r="Q156" i="7"/>
  <c r="Q164" i="7"/>
  <c r="Q172" i="7"/>
  <c r="Q180" i="7"/>
  <c r="Q120" i="7"/>
  <c r="Q159" i="7"/>
  <c r="Q183" i="7"/>
  <c r="Q124" i="7"/>
  <c r="Q160" i="7"/>
  <c r="Q140" i="7"/>
  <c r="Q153" i="7"/>
  <c r="Q169" i="7"/>
  <c r="Q177" i="7"/>
  <c r="Q99" i="7"/>
  <c r="Q143" i="7"/>
  <c r="Q138" i="7"/>
  <c r="Q139" i="7"/>
  <c r="Q121" i="7"/>
  <c r="Q149" i="7"/>
  <c r="Q157" i="7"/>
  <c r="Q165" i="7"/>
  <c r="Q173" i="7"/>
  <c r="Q181" i="7"/>
  <c r="Q135" i="7"/>
  <c r="Q151" i="7"/>
  <c r="Q175" i="7"/>
  <c r="Q129" i="7"/>
  <c r="Q122" i="7"/>
  <c r="Q168" i="7"/>
  <c r="Q141" i="7"/>
  <c r="Q115" i="7"/>
  <c r="Q145" i="7"/>
  <c r="Q132" i="7"/>
  <c r="Q137" i="7"/>
  <c r="Q125" i="7"/>
  <c r="Q131" i="7"/>
  <c r="Q150" i="7"/>
  <c r="Q158" i="7"/>
  <c r="Q166" i="7"/>
  <c r="Q174" i="7"/>
  <c r="Q182" i="7"/>
  <c r="Q126" i="7"/>
  <c r="Q128" i="7"/>
  <c r="Q167" i="7"/>
  <c r="Q133" i="7"/>
  <c r="Q152" i="7"/>
  <c r="Q176" i="7"/>
  <c r="Q161" i="7"/>
  <c r="Q117" i="7"/>
  <c r="Q123" i="7"/>
  <c r="Q142" i="7"/>
  <c r="Q146" i="7"/>
  <c r="Q154" i="7"/>
  <c r="Q162" i="7"/>
  <c r="Q170" i="7"/>
  <c r="Q178" i="7"/>
  <c r="Q119" i="7"/>
  <c r="Q134" i="7"/>
  <c r="Q136" i="7"/>
  <c r="Q127" i="7"/>
  <c r="Q147" i="7"/>
  <c r="Q155" i="7"/>
  <c r="Q163" i="7"/>
  <c r="Q171" i="7"/>
  <c r="Q179" i="7"/>
  <c r="Q76" i="7"/>
  <c r="O93" i="5"/>
  <c r="U47" i="10"/>
  <c r="U58" i="10" s="1"/>
  <c r="U87" i="10" s="1"/>
  <c r="U191" i="10"/>
  <c r="Q58" i="7"/>
  <c r="Q87" i="7" s="1"/>
  <c r="Q102" i="7"/>
  <c r="R188" i="7" l="1"/>
  <c r="P191" i="5"/>
  <c r="Q100" i="7"/>
  <c r="U192" i="10"/>
  <c r="P193" i="5"/>
  <c r="P194" i="5" s="1"/>
  <c r="P46" i="5" s="1"/>
  <c r="U200" i="10"/>
  <c r="U57" i="10"/>
  <c r="U86" i="10" s="1"/>
  <c r="U25" i="10"/>
  <c r="U28" i="10" s="1"/>
  <c r="V22" i="10" s="1"/>
  <c r="U172" i="10"/>
  <c r="U157" i="10"/>
  <c r="U122" i="10"/>
  <c r="U128" i="10"/>
  <c r="U171" i="10"/>
  <c r="U120" i="10"/>
  <c r="U137" i="10"/>
  <c r="U129" i="10"/>
  <c r="U177" i="10"/>
  <c r="U121" i="10"/>
  <c r="U136" i="10"/>
  <c r="U151" i="10"/>
  <c r="U138" i="10"/>
  <c r="U127" i="10"/>
  <c r="U155" i="10"/>
  <c r="U169" i="10"/>
  <c r="U161" i="10"/>
  <c r="U165" i="10"/>
  <c r="U183" i="10"/>
  <c r="U126" i="10"/>
  <c r="U125" i="10"/>
  <c r="U170" i="10"/>
  <c r="U154" i="10"/>
  <c r="U147" i="10"/>
  <c r="U139" i="10"/>
  <c r="U124" i="10"/>
  <c r="U119" i="10"/>
  <c r="U162" i="10"/>
  <c r="U141" i="10"/>
  <c r="U144" i="10"/>
  <c r="U142" i="10"/>
  <c r="U168" i="10"/>
  <c r="U130" i="10"/>
  <c r="U99" i="10"/>
  <c r="U148" i="10"/>
  <c r="U143" i="10"/>
  <c r="U179" i="10"/>
  <c r="U166" i="10"/>
  <c r="U176" i="10"/>
  <c r="U123" i="10"/>
  <c r="U140" i="10"/>
  <c r="U133" i="10"/>
  <c r="U164" i="10"/>
  <c r="U182" i="10"/>
  <c r="U150" i="10"/>
  <c r="U145" i="10"/>
  <c r="U167" i="10"/>
  <c r="U181" i="10"/>
  <c r="U158" i="10"/>
  <c r="U149" i="10"/>
  <c r="U160" i="10"/>
  <c r="U135" i="10"/>
  <c r="U163" i="10"/>
  <c r="U175" i="10"/>
  <c r="U146" i="10"/>
  <c r="U134" i="10"/>
  <c r="U174" i="10"/>
  <c r="U180" i="10"/>
  <c r="U132" i="10"/>
  <c r="U178" i="10"/>
  <c r="U156" i="10"/>
  <c r="U159" i="10"/>
  <c r="U173" i="10"/>
  <c r="U152" i="10"/>
  <c r="U131" i="10"/>
  <c r="U153" i="10"/>
  <c r="U76" i="10"/>
  <c r="Q91" i="7"/>
  <c r="Q101" i="7"/>
  <c r="Q57" i="7"/>
  <c r="Q86" i="7" s="1"/>
  <c r="U102" i="10"/>
  <c r="P47" i="5" l="1"/>
  <c r="V188" i="10"/>
  <c r="Q93" i="7"/>
  <c r="P192" i="5"/>
  <c r="P200" i="5"/>
  <c r="P25" i="5"/>
  <c r="P28" i="5" s="1"/>
  <c r="Q22" i="5" s="1"/>
  <c r="P99" i="5"/>
  <c r="P124" i="5"/>
  <c r="P116" i="5"/>
  <c r="P132" i="5"/>
  <c r="P140" i="5"/>
  <c r="P148" i="5"/>
  <c r="P156" i="5"/>
  <c r="P164" i="5"/>
  <c r="P172" i="5"/>
  <c r="P180" i="5"/>
  <c r="P151" i="5"/>
  <c r="P167" i="5"/>
  <c r="P183" i="5"/>
  <c r="P121" i="5"/>
  <c r="P125" i="5"/>
  <c r="P133" i="5"/>
  <c r="P141" i="5"/>
  <c r="P149" i="5"/>
  <c r="P157" i="5"/>
  <c r="P165" i="5"/>
  <c r="P173" i="5"/>
  <c r="P181" i="5"/>
  <c r="P127" i="5"/>
  <c r="P122" i="5"/>
  <c r="P126" i="5"/>
  <c r="P134" i="5"/>
  <c r="P142" i="5"/>
  <c r="P150" i="5"/>
  <c r="P158" i="5"/>
  <c r="P166" i="5"/>
  <c r="P174" i="5"/>
  <c r="P182" i="5"/>
  <c r="P135" i="5"/>
  <c r="P118" i="5"/>
  <c r="P159" i="5"/>
  <c r="P119" i="5"/>
  <c r="P128" i="5"/>
  <c r="P136" i="5"/>
  <c r="P144" i="5"/>
  <c r="P152" i="5"/>
  <c r="P160" i="5"/>
  <c r="P168" i="5"/>
  <c r="P176" i="5"/>
  <c r="P115" i="5"/>
  <c r="P129" i="5"/>
  <c r="P137" i="5"/>
  <c r="P145" i="5"/>
  <c r="P153" i="5"/>
  <c r="P161" i="5"/>
  <c r="P169" i="5"/>
  <c r="P177" i="5"/>
  <c r="P120" i="5"/>
  <c r="P123" i="5"/>
  <c r="P130" i="5"/>
  <c r="P138" i="5"/>
  <c r="P146" i="5"/>
  <c r="P154" i="5"/>
  <c r="P162" i="5"/>
  <c r="P170" i="5"/>
  <c r="P117" i="5"/>
  <c r="P114" i="5"/>
  <c r="P131" i="5"/>
  <c r="P139" i="5"/>
  <c r="P147" i="5"/>
  <c r="P155" i="5"/>
  <c r="P163" i="5"/>
  <c r="P171" i="5"/>
  <c r="P179" i="5"/>
  <c r="P143" i="5"/>
  <c r="P175" i="5"/>
  <c r="P178" i="5"/>
  <c r="P76" i="5"/>
  <c r="P201" i="5"/>
  <c r="P58" i="5"/>
  <c r="P87" i="5" s="1"/>
  <c r="P75" i="5"/>
  <c r="U101" i="10"/>
  <c r="U91" i="10"/>
  <c r="U100" i="10"/>
  <c r="R190" i="7"/>
  <c r="P102" i="5"/>
  <c r="P57" i="5" l="1"/>
  <c r="P86" i="5" s="1"/>
  <c r="U93" i="10"/>
  <c r="V190" i="10"/>
  <c r="V193" i="10" s="1"/>
  <c r="V194" i="10" s="1"/>
  <c r="V46" i="10" s="1"/>
  <c r="R191" i="7"/>
  <c r="R193" i="7"/>
  <c r="R194" i="7" s="1"/>
  <c r="R46" i="7" s="1"/>
  <c r="P91" i="5"/>
  <c r="P101" i="5"/>
  <c r="P100" i="5"/>
  <c r="Q188" i="5"/>
  <c r="R47" i="7" l="1"/>
  <c r="R200" i="7" s="1"/>
  <c r="R132" i="7"/>
  <c r="R126" i="7"/>
  <c r="R136" i="7"/>
  <c r="R152" i="7"/>
  <c r="R160" i="7"/>
  <c r="R176" i="7"/>
  <c r="R127" i="7"/>
  <c r="R131" i="7"/>
  <c r="R135" i="7"/>
  <c r="R117" i="7"/>
  <c r="R122" i="7"/>
  <c r="R153" i="7"/>
  <c r="R161" i="7"/>
  <c r="R169" i="7"/>
  <c r="R177" i="7"/>
  <c r="R143" i="7"/>
  <c r="R140" i="7"/>
  <c r="R146" i="7"/>
  <c r="R154" i="7"/>
  <c r="R170" i="7"/>
  <c r="R178" i="7"/>
  <c r="R145" i="7"/>
  <c r="R147" i="7"/>
  <c r="R171" i="7"/>
  <c r="R120" i="7"/>
  <c r="R162" i="7"/>
  <c r="R125" i="7"/>
  <c r="R121" i="7"/>
  <c r="R155" i="7"/>
  <c r="R179" i="7"/>
  <c r="R128" i="7"/>
  <c r="R141" i="7"/>
  <c r="R156" i="7"/>
  <c r="R164" i="7"/>
  <c r="R180" i="7"/>
  <c r="R134" i="7"/>
  <c r="R173" i="7"/>
  <c r="R148" i="7"/>
  <c r="R172" i="7"/>
  <c r="R133" i="7"/>
  <c r="R116" i="7"/>
  <c r="R157" i="7"/>
  <c r="R181" i="7"/>
  <c r="R99" i="7"/>
  <c r="R124" i="7"/>
  <c r="R129" i="7"/>
  <c r="R118" i="7"/>
  <c r="R139" i="7"/>
  <c r="R150" i="7"/>
  <c r="R158" i="7"/>
  <c r="R166" i="7"/>
  <c r="R174" i="7"/>
  <c r="R182" i="7"/>
  <c r="R144" i="7"/>
  <c r="R159" i="7"/>
  <c r="R175" i="7"/>
  <c r="R130" i="7"/>
  <c r="R119" i="7"/>
  <c r="R142" i="7"/>
  <c r="R151" i="7"/>
  <c r="R167" i="7"/>
  <c r="R183" i="7"/>
  <c r="R138" i="7"/>
  <c r="R137" i="7"/>
  <c r="R149" i="7"/>
  <c r="R165" i="7"/>
  <c r="R76" i="7"/>
  <c r="P93" i="5"/>
  <c r="V47" i="10"/>
  <c r="V58" i="10" s="1"/>
  <c r="V87" i="10" s="1"/>
  <c r="V191" i="10"/>
  <c r="R201" i="7"/>
  <c r="R58" i="7"/>
  <c r="R87" i="7" s="1"/>
  <c r="R75" i="7"/>
  <c r="V37" i="11"/>
  <c r="V38" i="11" s="1"/>
  <c r="V201" i="10"/>
  <c r="V75" i="10"/>
  <c r="Q190" i="5"/>
  <c r="Q193" i="5" s="1"/>
  <c r="Q194" i="5" s="1"/>
  <c r="Q46" i="5" s="1"/>
  <c r="R192" i="7"/>
  <c r="R102" i="7"/>
  <c r="R163" i="7" l="1"/>
  <c r="R123" i="7"/>
  <c r="R25" i="7"/>
  <c r="R28" i="7" s="1"/>
  <c r="S22" i="7" s="1"/>
  <c r="R168" i="7"/>
  <c r="Q201" i="5"/>
  <c r="Q75" i="5"/>
  <c r="V192" i="10"/>
  <c r="V200" i="10"/>
  <c r="V57" i="10"/>
  <c r="V86" i="10" s="1"/>
  <c r="V25" i="10"/>
  <c r="V28" i="10" s="1"/>
  <c r="W22" i="10" s="1"/>
  <c r="V155" i="10"/>
  <c r="V176" i="10"/>
  <c r="V183" i="10"/>
  <c r="V133" i="10"/>
  <c r="V180" i="10"/>
  <c r="V161" i="10"/>
  <c r="V142" i="10"/>
  <c r="V169" i="10"/>
  <c r="V123" i="10"/>
  <c r="V126" i="10"/>
  <c r="V168" i="10"/>
  <c r="V125" i="10"/>
  <c r="V182" i="10"/>
  <c r="V179" i="10"/>
  <c r="V170" i="10"/>
  <c r="V171" i="10"/>
  <c r="V177" i="10"/>
  <c r="V132" i="10"/>
  <c r="V165" i="10"/>
  <c r="V175" i="10"/>
  <c r="V160" i="10"/>
  <c r="V159" i="10"/>
  <c r="V143" i="10"/>
  <c r="V137" i="10"/>
  <c r="V122" i="10"/>
  <c r="V99" i="10"/>
  <c r="V172" i="10"/>
  <c r="V167" i="10"/>
  <c r="V158" i="10"/>
  <c r="V163" i="10"/>
  <c r="V124" i="10"/>
  <c r="V173" i="10"/>
  <c r="V149" i="10"/>
  <c r="V153" i="10"/>
  <c r="V164" i="10"/>
  <c r="V136" i="10"/>
  <c r="V174" i="10"/>
  <c r="V178" i="10"/>
  <c r="V152" i="10"/>
  <c r="V147" i="10"/>
  <c r="V120" i="10"/>
  <c r="V138" i="10"/>
  <c r="V141" i="10"/>
  <c r="V154" i="10"/>
  <c r="V181" i="10"/>
  <c r="V146" i="10"/>
  <c r="V157" i="10"/>
  <c r="V121" i="10"/>
  <c r="V144" i="10"/>
  <c r="V139" i="10"/>
  <c r="V145" i="10"/>
  <c r="V131" i="10"/>
  <c r="V130" i="10"/>
  <c r="V140" i="10"/>
  <c r="V129" i="10"/>
  <c r="V135" i="10"/>
  <c r="V162" i="10"/>
  <c r="V151" i="10"/>
  <c r="V150" i="10"/>
  <c r="V156" i="10"/>
  <c r="V166" i="10"/>
  <c r="V128" i="10"/>
  <c r="V127" i="10"/>
  <c r="V134" i="10"/>
  <c r="V148" i="10"/>
  <c r="V76" i="10"/>
  <c r="R57" i="7"/>
  <c r="R86" i="7" s="1"/>
  <c r="R91" i="7"/>
  <c r="R101" i="7"/>
  <c r="R100" i="7"/>
  <c r="S188" i="7"/>
  <c r="Q47" i="5"/>
  <c r="Q58" i="5" s="1"/>
  <c r="Q87" i="5" s="1"/>
  <c r="Q191" i="5"/>
  <c r="V102" i="10"/>
  <c r="S190" i="7" l="1"/>
  <c r="V101" i="10"/>
  <c r="V91" i="10"/>
  <c r="V100" i="10"/>
  <c r="W188" i="10"/>
  <c r="Q200" i="5"/>
  <c r="Q25" i="5"/>
  <c r="Q28" i="5" s="1"/>
  <c r="R22" i="5" s="1"/>
  <c r="Q57" i="5"/>
  <c r="Q86" i="5" s="1"/>
  <c r="Q120" i="5"/>
  <c r="Q124" i="5"/>
  <c r="Q131" i="5"/>
  <c r="Q139" i="5"/>
  <c r="Q147" i="5"/>
  <c r="Q155" i="5"/>
  <c r="Q163" i="5"/>
  <c r="Q171" i="5"/>
  <c r="Q179" i="5"/>
  <c r="Q115" i="5"/>
  <c r="Q142" i="5"/>
  <c r="Q174" i="5"/>
  <c r="Q122" i="5"/>
  <c r="Q119" i="5"/>
  <c r="Q132" i="5"/>
  <c r="Q140" i="5"/>
  <c r="Q148" i="5"/>
  <c r="Q156" i="5"/>
  <c r="Q164" i="5"/>
  <c r="Q172" i="5"/>
  <c r="Q180" i="5"/>
  <c r="Q134" i="5"/>
  <c r="Q166" i="5"/>
  <c r="Q127" i="5"/>
  <c r="Q143" i="5"/>
  <c r="Q159" i="5"/>
  <c r="Q175" i="5"/>
  <c r="Q128" i="5"/>
  <c r="Q136" i="5"/>
  <c r="Q144" i="5"/>
  <c r="Q160" i="5"/>
  <c r="Q176" i="5"/>
  <c r="Q129" i="5"/>
  <c r="Q161" i="5"/>
  <c r="Q99" i="5"/>
  <c r="Q118" i="5"/>
  <c r="Q125" i="5"/>
  <c r="Q133" i="5"/>
  <c r="Q141" i="5"/>
  <c r="Q149" i="5"/>
  <c r="Q157" i="5"/>
  <c r="Q165" i="5"/>
  <c r="Q173" i="5"/>
  <c r="Q181" i="5"/>
  <c r="Q150" i="5"/>
  <c r="Q182" i="5"/>
  <c r="Q137" i="5"/>
  <c r="Q145" i="5"/>
  <c r="Q153" i="5"/>
  <c r="Q169" i="5"/>
  <c r="Q123" i="5"/>
  <c r="Q130" i="5"/>
  <c r="Q138" i="5"/>
  <c r="Q146" i="5"/>
  <c r="Q154" i="5"/>
  <c r="Q162" i="5"/>
  <c r="Q170" i="5"/>
  <c r="Q178" i="5"/>
  <c r="Q126" i="5"/>
  <c r="Q158" i="5"/>
  <c r="Q117" i="5"/>
  <c r="Q135" i="5"/>
  <c r="Q151" i="5"/>
  <c r="Q167" i="5"/>
  <c r="Q183" i="5"/>
  <c r="Q121" i="5"/>
  <c r="Q152" i="5"/>
  <c r="Q168" i="5"/>
  <c r="Q116" i="5"/>
  <c r="Q177" i="5"/>
  <c r="Q76" i="5"/>
  <c r="R93" i="7"/>
  <c r="Q192" i="5"/>
  <c r="Q102" i="5"/>
  <c r="Q91" i="5" l="1"/>
  <c r="Q101" i="5"/>
  <c r="S191" i="7"/>
  <c r="S193" i="7"/>
  <c r="S194" i="7" s="1"/>
  <c r="S46" i="7" s="1"/>
  <c r="R188" i="5"/>
  <c r="W190" i="10"/>
  <c r="W193" i="10" s="1"/>
  <c r="W194" i="10" s="1"/>
  <c r="W46" i="10" s="1"/>
  <c r="Q100" i="5"/>
  <c r="V93" i="10"/>
  <c r="S47" i="7" l="1"/>
  <c r="S25" i="7" s="1"/>
  <c r="S28" i="7" s="1"/>
  <c r="T22" i="7" s="1"/>
  <c r="W37" i="11"/>
  <c r="W38" i="11" s="1"/>
  <c r="W201" i="10"/>
  <c r="W75" i="10"/>
  <c r="Q93" i="5"/>
  <c r="S192" i="7"/>
  <c r="S200" i="7"/>
  <c r="S99" i="7"/>
  <c r="S131" i="7"/>
  <c r="S141" i="7"/>
  <c r="S144" i="7"/>
  <c r="S143" i="7"/>
  <c r="S151" i="7"/>
  <c r="S159" i="7"/>
  <c r="S167" i="7"/>
  <c r="S175" i="7"/>
  <c r="S183" i="7"/>
  <c r="S176" i="7"/>
  <c r="S145" i="7"/>
  <c r="S162" i="7"/>
  <c r="S147" i="7"/>
  <c r="S171" i="7"/>
  <c r="S119" i="7"/>
  <c r="S126" i="7"/>
  <c r="S125" i="7"/>
  <c r="S130" i="7"/>
  <c r="S152" i="7"/>
  <c r="S160" i="7"/>
  <c r="S168" i="7"/>
  <c r="S127" i="7"/>
  <c r="S132" i="7"/>
  <c r="S178" i="7"/>
  <c r="S155" i="7"/>
  <c r="S179" i="7"/>
  <c r="S123" i="7"/>
  <c r="S117" i="7"/>
  <c r="S121" i="7"/>
  <c r="S137" i="7"/>
  <c r="S153" i="7"/>
  <c r="S161" i="7"/>
  <c r="S169" i="7"/>
  <c r="S177" i="7"/>
  <c r="S136" i="7"/>
  <c r="S170" i="7"/>
  <c r="S134" i="7"/>
  <c r="S163" i="7"/>
  <c r="S124" i="7"/>
  <c r="S133" i="7"/>
  <c r="S129" i="7"/>
  <c r="S140" i="7"/>
  <c r="S156" i="7"/>
  <c r="S172" i="7"/>
  <c r="S154" i="7"/>
  <c r="S120" i="7"/>
  <c r="S138" i="7"/>
  <c r="S146" i="7"/>
  <c r="S128" i="7"/>
  <c r="S139" i="7"/>
  <c r="S149" i="7"/>
  <c r="S157" i="7"/>
  <c r="S165" i="7"/>
  <c r="S173" i="7"/>
  <c r="S181" i="7"/>
  <c r="S122" i="7"/>
  <c r="S135" i="7"/>
  <c r="S118" i="7"/>
  <c r="S142" i="7"/>
  <c r="S150" i="7"/>
  <c r="S158" i="7"/>
  <c r="S166" i="7"/>
  <c r="S174" i="7"/>
  <c r="S182" i="7"/>
  <c r="S148" i="7"/>
  <c r="S164" i="7"/>
  <c r="S180" i="7"/>
  <c r="S76" i="7"/>
  <c r="W47" i="10"/>
  <c r="W58" i="10" s="1"/>
  <c r="W87" i="10" s="1"/>
  <c r="W191" i="10"/>
  <c r="R190" i="5"/>
  <c r="R193" i="5" s="1"/>
  <c r="R194" i="5" s="1"/>
  <c r="R46" i="5" s="1"/>
  <c r="S201" i="7"/>
  <c r="S58" i="7"/>
  <c r="S87" i="7" s="1"/>
  <c r="S75" i="7"/>
  <c r="S102" i="7"/>
  <c r="R201" i="5" l="1"/>
  <c r="R75" i="5"/>
  <c r="R47" i="5"/>
  <c r="R191" i="5"/>
  <c r="W192" i="10"/>
  <c r="S100" i="7"/>
  <c r="T188" i="7"/>
  <c r="S57" i="7"/>
  <c r="S86" i="7" s="1"/>
  <c r="W200" i="10"/>
  <c r="W57" i="10"/>
  <c r="W86" i="10" s="1"/>
  <c r="W25" i="10"/>
  <c r="W28" i="10" s="1"/>
  <c r="X22" i="10" s="1"/>
  <c r="W161" i="10"/>
  <c r="W154" i="10"/>
  <c r="W163" i="10"/>
  <c r="W147" i="10"/>
  <c r="W155" i="10"/>
  <c r="W178" i="10"/>
  <c r="W170" i="10"/>
  <c r="W166" i="10"/>
  <c r="W172" i="10"/>
  <c r="W140" i="10"/>
  <c r="W151" i="10"/>
  <c r="W183" i="10"/>
  <c r="W123" i="10"/>
  <c r="W171" i="10"/>
  <c r="W176" i="10"/>
  <c r="W127" i="10"/>
  <c r="W124" i="10"/>
  <c r="W145" i="10"/>
  <c r="W168" i="10"/>
  <c r="W180" i="10"/>
  <c r="W99" i="10"/>
  <c r="W146" i="10"/>
  <c r="W139" i="10"/>
  <c r="W169" i="10"/>
  <c r="W134" i="10"/>
  <c r="W179" i="10"/>
  <c r="W175" i="10"/>
  <c r="W133" i="10"/>
  <c r="W153" i="10"/>
  <c r="W143" i="10"/>
  <c r="W182" i="10"/>
  <c r="W156" i="10"/>
  <c r="W160" i="10"/>
  <c r="W126" i="10"/>
  <c r="W150" i="10"/>
  <c r="W130" i="10"/>
  <c r="W141" i="10"/>
  <c r="W158" i="10"/>
  <c r="W137" i="10"/>
  <c r="W144" i="10"/>
  <c r="W165" i="10"/>
  <c r="W142" i="10"/>
  <c r="W138" i="10"/>
  <c r="W173" i="10"/>
  <c r="W131" i="10"/>
  <c r="W174" i="10"/>
  <c r="W136" i="10"/>
  <c r="W167" i="10"/>
  <c r="W125" i="10"/>
  <c r="W162" i="10"/>
  <c r="W149" i="10"/>
  <c r="W181" i="10"/>
  <c r="W132" i="10"/>
  <c r="W122" i="10"/>
  <c r="W152" i="10"/>
  <c r="W128" i="10"/>
  <c r="W148" i="10"/>
  <c r="W159" i="10"/>
  <c r="W157" i="10"/>
  <c r="W177" i="10"/>
  <c r="W121" i="10"/>
  <c r="W129" i="10"/>
  <c r="W164" i="10"/>
  <c r="W135" i="10"/>
  <c r="W76" i="10"/>
  <c r="S91" i="7"/>
  <c r="S101" i="7"/>
  <c r="W102" i="10"/>
  <c r="R200" i="5" l="1"/>
  <c r="R25" i="5"/>
  <c r="R28" i="5" s="1"/>
  <c r="S22" i="5" s="1"/>
  <c r="R99" i="5"/>
  <c r="R125" i="5"/>
  <c r="R126" i="5"/>
  <c r="R134" i="5"/>
  <c r="R142" i="5"/>
  <c r="R150" i="5"/>
  <c r="R158" i="5"/>
  <c r="R166" i="5"/>
  <c r="R174" i="5"/>
  <c r="R182" i="5"/>
  <c r="R117" i="5"/>
  <c r="R135" i="5"/>
  <c r="R143" i="5"/>
  <c r="R151" i="5"/>
  <c r="R159" i="5"/>
  <c r="R167" i="5"/>
  <c r="R183" i="5"/>
  <c r="R118" i="5"/>
  <c r="R160" i="5"/>
  <c r="R131" i="5"/>
  <c r="R155" i="5"/>
  <c r="R171" i="5"/>
  <c r="R120" i="5"/>
  <c r="R140" i="5"/>
  <c r="R164" i="5"/>
  <c r="R180" i="5"/>
  <c r="R127" i="5"/>
  <c r="R175" i="5"/>
  <c r="R128" i="5"/>
  <c r="R136" i="5"/>
  <c r="R144" i="5"/>
  <c r="R152" i="5"/>
  <c r="R168" i="5"/>
  <c r="R176" i="5"/>
  <c r="R116" i="5"/>
  <c r="R129" i="5"/>
  <c r="R137" i="5"/>
  <c r="R161" i="5"/>
  <c r="R130" i="5"/>
  <c r="R154" i="5"/>
  <c r="R178" i="5"/>
  <c r="R122" i="5"/>
  <c r="R147" i="5"/>
  <c r="R163" i="5"/>
  <c r="R179" i="5"/>
  <c r="R121" i="5"/>
  <c r="R132" i="5"/>
  <c r="R148" i="5"/>
  <c r="R156" i="5"/>
  <c r="R172" i="5"/>
  <c r="R145" i="5"/>
  <c r="R169" i="5"/>
  <c r="R123" i="5"/>
  <c r="R138" i="5"/>
  <c r="R162" i="5"/>
  <c r="R139" i="5"/>
  <c r="R124" i="5"/>
  <c r="R133" i="5"/>
  <c r="R141" i="5"/>
  <c r="R149" i="5"/>
  <c r="R157" i="5"/>
  <c r="R165" i="5"/>
  <c r="R173" i="5"/>
  <c r="R181" i="5"/>
  <c r="R153" i="5"/>
  <c r="R177" i="5"/>
  <c r="R146" i="5"/>
  <c r="R170" i="5"/>
  <c r="R119" i="5"/>
  <c r="R76" i="5"/>
  <c r="W100" i="10"/>
  <c r="S93" i="7"/>
  <c r="R58" i="5"/>
  <c r="R87" i="5" s="1"/>
  <c r="R192" i="5"/>
  <c r="T190" i="7"/>
  <c r="T193" i="7" s="1"/>
  <c r="T194" i="7" s="1"/>
  <c r="T46" i="7" s="1"/>
  <c r="W101" i="10"/>
  <c r="W91" i="10"/>
  <c r="X188" i="10"/>
  <c r="R102" i="5"/>
  <c r="R57" i="5" l="1"/>
  <c r="R86" i="5" s="1"/>
  <c r="T201" i="7"/>
  <c r="T75" i="7"/>
  <c r="R100" i="5"/>
  <c r="X190" i="10"/>
  <c r="T47" i="7"/>
  <c r="T191" i="7"/>
  <c r="S188" i="5"/>
  <c r="R91" i="5"/>
  <c r="R101" i="5"/>
  <c r="W93" i="10"/>
  <c r="X191" i="10" l="1"/>
  <c r="S190" i="5"/>
  <c r="S193" i="5" s="1"/>
  <c r="S194" i="5" s="1"/>
  <c r="S46" i="5" s="1"/>
  <c r="T200" i="7"/>
  <c r="T25" i="7"/>
  <c r="T28" i="7" s="1"/>
  <c r="U22" i="7" s="1"/>
  <c r="T99" i="7"/>
  <c r="T142" i="7"/>
  <c r="T141" i="7"/>
  <c r="T131" i="7"/>
  <c r="T128" i="7"/>
  <c r="T154" i="7"/>
  <c r="T162" i="7"/>
  <c r="T170" i="7"/>
  <c r="T144" i="7"/>
  <c r="T119" i="7"/>
  <c r="T135" i="7"/>
  <c r="T146" i="7"/>
  <c r="T143" i="7"/>
  <c r="T158" i="7"/>
  <c r="T166" i="7"/>
  <c r="T174" i="7"/>
  <c r="T133" i="7"/>
  <c r="T127" i="7"/>
  <c r="T151" i="7"/>
  <c r="T175" i="7"/>
  <c r="T129" i="7"/>
  <c r="T132" i="7"/>
  <c r="T160" i="7"/>
  <c r="T130" i="7"/>
  <c r="T124" i="7"/>
  <c r="T121" i="7"/>
  <c r="T147" i="7"/>
  <c r="T155" i="7"/>
  <c r="T163" i="7"/>
  <c r="T171" i="7"/>
  <c r="T179" i="7"/>
  <c r="T118" i="7"/>
  <c r="T139" i="7"/>
  <c r="T136" i="7"/>
  <c r="T156" i="7"/>
  <c r="T164" i="7"/>
  <c r="T172" i="7"/>
  <c r="T149" i="7"/>
  <c r="T176" i="7"/>
  <c r="T148" i="7"/>
  <c r="T180" i="7"/>
  <c r="T145" i="7"/>
  <c r="T157" i="7"/>
  <c r="T165" i="7"/>
  <c r="T173" i="7"/>
  <c r="T181" i="7"/>
  <c r="T150" i="7"/>
  <c r="T182" i="7"/>
  <c r="T137" i="7"/>
  <c r="T159" i="7"/>
  <c r="T183" i="7"/>
  <c r="T134" i="7"/>
  <c r="T138" i="7"/>
  <c r="T125" i="7"/>
  <c r="T120" i="7"/>
  <c r="T123" i="7"/>
  <c r="T153" i="7"/>
  <c r="T161" i="7"/>
  <c r="T169" i="7"/>
  <c r="T177" i="7"/>
  <c r="T178" i="7"/>
  <c r="T140" i="7"/>
  <c r="T122" i="7"/>
  <c r="T167" i="7"/>
  <c r="T126" i="7"/>
  <c r="T152" i="7"/>
  <c r="T168" i="7"/>
  <c r="T76" i="7"/>
  <c r="T58" i="7"/>
  <c r="T87" i="7" s="1"/>
  <c r="X193" i="10"/>
  <c r="X194" i="10" s="1"/>
  <c r="X46" i="10" s="1"/>
  <c r="R93" i="5"/>
  <c r="T192" i="7"/>
  <c r="T102" i="7"/>
  <c r="S201" i="5" l="1"/>
  <c r="S75" i="5"/>
  <c r="X37" i="11"/>
  <c r="X38" i="11" s="1"/>
  <c r="X201" i="10"/>
  <c r="X75" i="10"/>
  <c r="U188" i="7"/>
  <c r="T57" i="7"/>
  <c r="T86" i="7" s="1"/>
  <c r="T91" i="7"/>
  <c r="T101" i="7"/>
  <c r="S47" i="5"/>
  <c r="S191" i="5"/>
  <c r="X192" i="10"/>
  <c r="T100" i="7"/>
  <c r="X47" i="10"/>
  <c r="S200" i="5" l="1"/>
  <c r="S25" i="5"/>
  <c r="S28" i="5" s="1"/>
  <c r="T22" i="5" s="1"/>
  <c r="S99" i="5"/>
  <c r="S126" i="5"/>
  <c r="S122" i="5"/>
  <c r="S135" i="5"/>
  <c r="S143" i="5"/>
  <c r="S151" i="5"/>
  <c r="S159" i="5"/>
  <c r="S167" i="5"/>
  <c r="S175" i="5"/>
  <c r="S183" i="5"/>
  <c r="S118" i="5"/>
  <c r="S136" i="5"/>
  <c r="S144" i="5"/>
  <c r="S152" i="5"/>
  <c r="S160" i="5"/>
  <c r="S168" i="5"/>
  <c r="S121" i="5"/>
  <c r="S129" i="5"/>
  <c r="S137" i="5"/>
  <c r="S153" i="5"/>
  <c r="S169" i="5"/>
  <c r="S177" i="5"/>
  <c r="S125" i="5"/>
  <c r="S138" i="5"/>
  <c r="S154" i="5"/>
  <c r="S178" i="5"/>
  <c r="S131" i="5"/>
  <c r="S147" i="5"/>
  <c r="S163" i="5"/>
  <c r="S120" i="5"/>
  <c r="S156" i="5"/>
  <c r="S180" i="5"/>
  <c r="S141" i="5"/>
  <c r="S181" i="5"/>
  <c r="S134" i="5"/>
  <c r="S166" i="5"/>
  <c r="S128" i="5"/>
  <c r="S176" i="5"/>
  <c r="S161" i="5"/>
  <c r="S162" i="5"/>
  <c r="S117" i="5"/>
  <c r="S155" i="5"/>
  <c r="S171" i="5"/>
  <c r="S127" i="5"/>
  <c r="S164" i="5"/>
  <c r="S119" i="5"/>
  <c r="S157" i="5"/>
  <c r="S173" i="5"/>
  <c r="S123" i="5"/>
  <c r="S150" i="5"/>
  <c r="S158" i="5"/>
  <c r="S182" i="5"/>
  <c r="S145" i="5"/>
  <c r="S130" i="5"/>
  <c r="S146" i="5"/>
  <c r="S170" i="5"/>
  <c r="S139" i="5"/>
  <c r="S179" i="5"/>
  <c r="S132" i="5"/>
  <c r="S140" i="5"/>
  <c r="S148" i="5"/>
  <c r="S172" i="5"/>
  <c r="S124" i="5"/>
  <c r="S133" i="5"/>
  <c r="S149" i="5"/>
  <c r="S165" i="5"/>
  <c r="S142" i="5"/>
  <c r="S174" i="5"/>
  <c r="S76" i="5"/>
  <c r="T93" i="7"/>
  <c r="X200" i="10"/>
  <c r="X25" i="10"/>
  <c r="X28" i="10" s="1"/>
  <c r="Y22" i="10" s="1"/>
  <c r="X125" i="10"/>
  <c r="X126" i="10"/>
  <c r="X155" i="10"/>
  <c r="X183" i="10"/>
  <c r="X179" i="10"/>
  <c r="X174" i="10"/>
  <c r="X152" i="10"/>
  <c r="X144" i="10"/>
  <c r="X139" i="10"/>
  <c r="X161" i="10"/>
  <c r="X145" i="10"/>
  <c r="X146" i="10"/>
  <c r="X128" i="10"/>
  <c r="X171" i="10"/>
  <c r="X166" i="10"/>
  <c r="X151" i="10"/>
  <c r="X173" i="10"/>
  <c r="X176" i="10"/>
  <c r="X163" i="10"/>
  <c r="X159" i="10"/>
  <c r="X130" i="10"/>
  <c r="X164" i="10"/>
  <c r="X156" i="10"/>
  <c r="X149" i="10"/>
  <c r="X147" i="10"/>
  <c r="X158" i="10"/>
  <c r="X157" i="10"/>
  <c r="X162" i="10"/>
  <c r="X178" i="10"/>
  <c r="X154" i="10"/>
  <c r="X129" i="10"/>
  <c r="X181" i="10"/>
  <c r="X182" i="10"/>
  <c r="X177" i="10"/>
  <c r="X170" i="10"/>
  <c r="X137" i="10"/>
  <c r="X132" i="10"/>
  <c r="X141" i="10"/>
  <c r="X99" i="10"/>
  <c r="X143" i="10"/>
  <c r="X169" i="10"/>
  <c r="X175" i="10"/>
  <c r="X148" i="10"/>
  <c r="X135" i="10"/>
  <c r="X127" i="10"/>
  <c r="X153" i="10"/>
  <c r="X134" i="10"/>
  <c r="X172" i="10"/>
  <c r="X136" i="10"/>
  <c r="X167" i="10"/>
  <c r="X180" i="10"/>
  <c r="X122" i="10"/>
  <c r="X124" i="10"/>
  <c r="X140" i="10"/>
  <c r="X150" i="10"/>
  <c r="X142" i="10"/>
  <c r="X160" i="10"/>
  <c r="X133" i="10"/>
  <c r="X123" i="10"/>
  <c r="X138" i="10"/>
  <c r="X131" i="10"/>
  <c r="X168" i="10"/>
  <c r="X165" i="10"/>
  <c r="X76" i="10"/>
  <c r="X58" i="10"/>
  <c r="X87" i="10" s="1"/>
  <c r="S58" i="5"/>
  <c r="S87" i="5" s="1"/>
  <c r="S192" i="5"/>
  <c r="U190" i="7"/>
  <c r="S102" i="5"/>
  <c r="X102" i="10"/>
  <c r="X100" i="10" l="1"/>
  <c r="X101" i="10"/>
  <c r="X91" i="10"/>
  <c r="Y188" i="10"/>
  <c r="X57" i="10"/>
  <c r="X86" i="10" s="1"/>
  <c r="S100" i="5"/>
  <c r="S57" i="5"/>
  <c r="S86" i="5" s="1"/>
  <c r="T188" i="5"/>
  <c r="U191" i="7"/>
  <c r="U193" i="7"/>
  <c r="U194" i="7" s="1"/>
  <c r="U46" i="7" s="1"/>
  <c r="S101" i="5"/>
  <c r="S91" i="5"/>
  <c r="U47" i="7" l="1"/>
  <c r="U200" i="7" s="1"/>
  <c r="U99" i="7"/>
  <c r="U144" i="7"/>
  <c r="U124" i="7"/>
  <c r="U119" i="7"/>
  <c r="U153" i="7"/>
  <c r="U161" i="7"/>
  <c r="U169" i="7"/>
  <c r="U177" i="7"/>
  <c r="U135" i="7"/>
  <c r="U156" i="7"/>
  <c r="U180" i="7"/>
  <c r="U123" i="7"/>
  <c r="U149" i="7"/>
  <c r="U173" i="7"/>
  <c r="U134" i="7"/>
  <c r="U150" i="7"/>
  <c r="U174" i="7"/>
  <c r="U143" i="7"/>
  <c r="U183" i="7"/>
  <c r="U140" i="7"/>
  <c r="U125" i="7"/>
  <c r="U137" i="7"/>
  <c r="U142" i="7"/>
  <c r="U154" i="7"/>
  <c r="U162" i="7"/>
  <c r="U170" i="7"/>
  <c r="U178" i="7"/>
  <c r="U121" i="7"/>
  <c r="U138" i="7"/>
  <c r="U171" i="7"/>
  <c r="U120" i="7"/>
  <c r="U132" i="7"/>
  <c r="U148" i="7"/>
  <c r="U172" i="7"/>
  <c r="U128" i="7"/>
  <c r="U165" i="7"/>
  <c r="U136" i="7"/>
  <c r="U131" i="7"/>
  <c r="U158" i="7"/>
  <c r="U182" i="7"/>
  <c r="U145" i="7"/>
  <c r="U126" i="7"/>
  <c r="U151" i="7"/>
  <c r="U175" i="7"/>
  <c r="U146" i="7"/>
  <c r="U147" i="7"/>
  <c r="U155" i="7"/>
  <c r="U163" i="7"/>
  <c r="U179" i="7"/>
  <c r="U164" i="7"/>
  <c r="U130" i="7"/>
  <c r="U157" i="7"/>
  <c r="U181" i="7"/>
  <c r="U139" i="7"/>
  <c r="U166" i="7"/>
  <c r="U167" i="7"/>
  <c r="U129" i="7"/>
  <c r="U133" i="7"/>
  <c r="U141" i="7"/>
  <c r="U127" i="7"/>
  <c r="U152" i="7"/>
  <c r="U160" i="7"/>
  <c r="U168" i="7"/>
  <c r="U176" i="7"/>
  <c r="U159" i="7"/>
  <c r="U76" i="7"/>
  <c r="Y190" i="10"/>
  <c r="Y193" i="10" s="1"/>
  <c r="Y194" i="10" s="1"/>
  <c r="Y46" i="10" s="1"/>
  <c r="U192" i="7"/>
  <c r="T190" i="5"/>
  <c r="T193" i="5" s="1"/>
  <c r="T194" i="5" s="1"/>
  <c r="T46" i="5" s="1"/>
  <c r="U201" i="7"/>
  <c r="U58" i="7"/>
  <c r="U87" i="7" s="1"/>
  <c r="U75" i="7"/>
  <c r="S93" i="5"/>
  <c r="X93" i="10"/>
  <c r="U102" i="7"/>
  <c r="U122" i="7" l="1"/>
  <c r="U25" i="7"/>
  <c r="U28" i="7" s="1"/>
  <c r="V22" i="7" s="1"/>
  <c r="V188" i="7" s="1"/>
  <c r="T201" i="5"/>
  <c r="T75" i="5"/>
  <c r="U101" i="7"/>
  <c r="U91" i="7"/>
  <c r="U57" i="7"/>
  <c r="U86" i="7" s="1"/>
  <c r="U100" i="7"/>
  <c r="Y47" i="10"/>
  <c r="Y191" i="10"/>
  <c r="T47" i="5"/>
  <c r="T191" i="5"/>
  <c r="Y37" i="11"/>
  <c r="Y38" i="11" s="1"/>
  <c r="Y201" i="10"/>
  <c r="Y75" i="10"/>
  <c r="Y192" i="10" l="1"/>
  <c r="T200" i="5"/>
  <c r="T25" i="5"/>
  <c r="T28" i="5" s="1"/>
  <c r="U22" i="5" s="1"/>
  <c r="T57" i="5"/>
  <c r="T86" i="5" s="1"/>
  <c r="T125" i="5"/>
  <c r="T127" i="5"/>
  <c r="T135" i="5"/>
  <c r="T143" i="5"/>
  <c r="T151" i="5"/>
  <c r="T159" i="5"/>
  <c r="T167" i="5"/>
  <c r="T175" i="5"/>
  <c r="T183" i="5"/>
  <c r="T169" i="5"/>
  <c r="T120" i="5"/>
  <c r="T128" i="5"/>
  <c r="T136" i="5"/>
  <c r="T144" i="5"/>
  <c r="T152" i="5"/>
  <c r="T160" i="5"/>
  <c r="T168" i="5"/>
  <c r="T176" i="5"/>
  <c r="T118" i="5"/>
  <c r="T140" i="5"/>
  <c r="T156" i="5"/>
  <c r="T164" i="5"/>
  <c r="T172" i="5"/>
  <c r="T165" i="5"/>
  <c r="T99" i="5"/>
  <c r="T124" i="5"/>
  <c r="T129" i="5"/>
  <c r="T137" i="5"/>
  <c r="T145" i="5"/>
  <c r="T153" i="5"/>
  <c r="T161" i="5"/>
  <c r="T177" i="5"/>
  <c r="T130" i="5"/>
  <c r="T138" i="5"/>
  <c r="T146" i="5"/>
  <c r="T154" i="5"/>
  <c r="T162" i="5"/>
  <c r="T170" i="5"/>
  <c r="T178" i="5"/>
  <c r="T123" i="5"/>
  <c r="T131" i="5"/>
  <c r="T139" i="5"/>
  <c r="T155" i="5"/>
  <c r="T163" i="5"/>
  <c r="T171" i="5"/>
  <c r="T179" i="5"/>
  <c r="T132" i="5"/>
  <c r="T180" i="5"/>
  <c r="T126" i="5"/>
  <c r="T141" i="5"/>
  <c r="T157" i="5"/>
  <c r="T122" i="5"/>
  <c r="T158" i="5"/>
  <c r="T182" i="5"/>
  <c r="T181" i="5"/>
  <c r="T121" i="5"/>
  <c r="T134" i="5"/>
  <c r="T150" i="5"/>
  <c r="T166" i="5"/>
  <c r="T147" i="5"/>
  <c r="T148" i="5"/>
  <c r="T119" i="5"/>
  <c r="T133" i="5"/>
  <c r="T149" i="5"/>
  <c r="T173" i="5"/>
  <c r="T142" i="5"/>
  <c r="T174" i="5"/>
  <c r="T76" i="5"/>
  <c r="V190" i="7"/>
  <c r="U93" i="7"/>
  <c r="T58" i="5"/>
  <c r="T87" i="5" s="1"/>
  <c r="Y200" i="10"/>
  <c r="Y25" i="10"/>
  <c r="Y28" i="10" s="1"/>
  <c r="Z22" i="10" s="1"/>
  <c r="Y138" i="10"/>
  <c r="Y183" i="10"/>
  <c r="Y148" i="10"/>
  <c r="Y141" i="10"/>
  <c r="Y158" i="10"/>
  <c r="Y131" i="10"/>
  <c r="Y124" i="10"/>
  <c r="Y145" i="10"/>
  <c r="Y178" i="10"/>
  <c r="Y179" i="10"/>
  <c r="Y150" i="10"/>
  <c r="Y134" i="10"/>
  <c r="Y173" i="10"/>
  <c r="Y130" i="10"/>
  <c r="Y152" i="10"/>
  <c r="Y133" i="10"/>
  <c r="Y177" i="10"/>
  <c r="Y169" i="10"/>
  <c r="Y99" i="10"/>
  <c r="Y154" i="10"/>
  <c r="Y140" i="10"/>
  <c r="Y161" i="10"/>
  <c r="Y174" i="10"/>
  <c r="Y142" i="10"/>
  <c r="Y125" i="10"/>
  <c r="Y132" i="10"/>
  <c r="Y181" i="10"/>
  <c r="Y175" i="10"/>
  <c r="Y136" i="10"/>
  <c r="Y147" i="10"/>
  <c r="Y153" i="10"/>
  <c r="Y127" i="10"/>
  <c r="Y128" i="10"/>
  <c r="Y176" i="10"/>
  <c r="Y137" i="10"/>
  <c r="Y162" i="10"/>
  <c r="Y135" i="10"/>
  <c r="Y139" i="10"/>
  <c r="Y151" i="10"/>
  <c r="Y144" i="10"/>
  <c r="Y168" i="10"/>
  <c r="Y170" i="10"/>
  <c r="Y165" i="10"/>
  <c r="Y163" i="10"/>
  <c r="Y167" i="10"/>
  <c r="Y157" i="10"/>
  <c r="Y166" i="10"/>
  <c r="Y171" i="10"/>
  <c r="Y123" i="10"/>
  <c r="Y156" i="10"/>
  <c r="Y180" i="10"/>
  <c r="Y126" i="10"/>
  <c r="Y146" i="10"/>
  <c r="Y159" i="10"/>
  <c r="Y129" i="10"/>
  <c r="Y164" i="10"/>
  <c r="Y182" i="10"/>
  <c r="Y172" i="10"/>
  <c r="Y149" i="10"/>
  <c r="Y160" i="10"/>
  <c r="Y155" i="10"/>
  <c r="Y143" i="10"/>
  <c r="Y76" i="10"/>
  <c r="Y58" i="10"/>
  <c r="Y87" i="10" s="1"/>
  <c r="T192" i="5"/>
  <c r="T102" i="5"/>
  <c r="Y102" i="10"/>
  <c r="Y57" i="10" l="1"/>
  <c r="Y86" i="10" s="1"/>
  <c r="V191" i="7"/>
  <c r="Z188" i="10"/>
  <c r="V193" i="7"/>
  <c r="V194" i="7" s="1"/>
  <c r="V46" i="7" s="1"/>
  <c r="U188" i="5"/>
  <c r="T101" i="5"/>
  <c r="T91" i="5"/>
  <c r="Y101" i="10"/>
  <c r="Y91" i="10"/>
  <c r="Y100" i="10"/>
  <c r="T100" i="5"/>
  <c r="Z190" i="10" l="1"/>
  <c r="V192" i="7"/>
  <c r="V47" i="7"/>
  <c r="T93" i="5"/>
  <c r="Y93" i="10"/>
  <c r="U190" i="5"/>
  <c r="U193" i="5" s="1"/>
  <c r="U194" i="5" s="1"/>
  <c r="U46" i="5" s="1"/>
  <c r="V201" i="7"/>
  <c r="V58" i="7"/>
  <c r="V87" i="7" s="1"/>
  <c r="V75" i="7"/>
  <c r="U201" i="5" l="1"/>
  <c r="U75" i="5"/>
  <c r="V200" i="7"/>
  <c r="V57" i="7"/>
  <c r="V86" i="7" s="1"/>
  <c r="V25" i="7"/>
  <c r="V28" i="7" s="1"/>
  <c r="W22" i="7" s="1"/>
  <c r="V132" i="7"/>
  <c r="V130" i="7"/>
  <c r="V126" i="7"/>
  <c r="V124" i="7"/>
  <c r="V153" i="7"/>
  <c r="V161" i="7"/>
  <c r="V169" i="7"/>
  <c r="V177" i="7"/>
  <c r="V129" i="7"/>
  <c r="V145" i="7"/>
  <c r="V137" i="7"/>
  <c r="V146" i="7"/>
  <c r="V154" i="7"/>
  <c r="V170" i="7"/>
  <c r="V178" i="7"/>
  <c r="V99" i="7"/>
  <c r="V142" i="7"/>
  <c r="V141" i="7"/>
  <c r="V155" i="7"/>
  <c r="V163" i="7"/>
  <c r="V171" i="7"/>
  <c r="V179" i="7"/>
  <c r="V121" i="7"/>
  <c r="V164" i="7"/>
  <c r="V135" i="7"/>
  <c r="V157" i="7"/>
  <c r="V181" i="7"/>
  <c r="V138" i="7"/>
  <c r="V150" i="7"/>
  <c r="V174" i="7"/>
  <c r="V125" i="7"/>
  <c r="V162" i="7"/>
  <c r="V134" i="7"/>
  <c r="V156" i="7"/>
  <c r="V180" i="7"/>
  <c r="V127" i="7"/>
  <c r="V136" i="7"/>
  <c r="V173" i="7"/>
  <c r="V158" i="7"/>
  <c r="V147" i="7"/>
  <c r="V151" i="7"/>
  <c r="V175" i="7"/>
  <c r="V120" i="7"/>
  <c r="V133" i="7"/>
  <c r="V123" i="7"/>
  <c r="V172" i="7"/>
  <c r="V148" i="7"/>
  <c r="V165" i="7"/>
  <c r="V149" i="7"/>
  <c r="V166" i="7"/>
  <c r="V159" i="7"/>
  <c r="V144" i="7"/>
  <c r="V128" i="7"/>
  <c r="V122" i="7"/>
  <c r="V143" i="7"/>
  <c r="V152" i="7"/>
  <c r="V160" i="7"/>
  <c r="V168" i="7"/>
  <c r="V176" i="7"/>
  <c r="V140" i="7"/>
  <c r="V182" i="7"/>
  <c r="V139" i="7"/>
  <c r="V131" i="7"/>
  <c r="V167" i="7"/>
  <c r="V183" i="7"/>
  <c r="V76" i="7"/>
  <c r="U47" i="5"/>
  <c r="U58" i="5" s="1"/>
  <c r="U87" i="5" s="1"/>
  <c r="U191" i="5"/>
  <c r="Z191" i="10"/>
  <c r="Z193" i="10"/>
  <c r="Z194" i="10" s="1"/>
  <c r="Z46" i="10" s="1"/>
  <c r="V102" i="7"/>
  <c r="Z192" i="10" l="1"/>
  <c r="V100" i="7"/>
  <c r="W188" i="7"/>
  <c r="U192" i="5"/>
  <c r="Z37" i="11"/>
  <c r="Z38" i="11" s="1"/>
  <c r="Z201" i="10"/>
  <c r="Z58" i="10"/>
  <c r="Z87" i="10" s="1"/>
  <c r="Z75" i="10"/>
  <c r="Z47" i="10"/>
  <c r="U200" i="5"/>
  <c r="U57" i="5"/>
  <c r="U86" i="5" s="1"/>
  <c r="U25" i="5"/>
  <c r="U28" i="5" s="1"/>
  <c r="V22" i="5" s="1"/>
  <c r="U123" i="5"/>
  <c r="U122" i="5"/>
  <c r="U135" i="5"/>
  <c r="U143" i="5"/>
  <c r="U151" i="5"/>
  <c r="U159" i="5"/>
  <c r="U167" i="5"/>
  <c r="U175" i="5"/>
  <c r="U183" i="5"/>
  <c r="U130" i="5"/>
  <c r="U124" i="5"/>
  <c r="U136" i="5"/>
  <c r="U144" i="5"/>
  <c r="U152" i="5"/>
  <c r="U160" i="5"/>
  <c r="U168" i="5"/>
  <c r="U176" i="5"/>
  <c r="U146" i="5"/>
  <c r="U162" i="5"/>
  <c r="U170" i="5"/>
  <c r="U178" i="5"/>
  <c r="U99" i="5"/>
  <c r="U121" i="5"/>
  <c r="U129" i="5"/>
  <c r="U137" i="5"/>
  <c r="U145" i="5"/>
  <c r="U153" i="5"/>
  <c r="U161" i="5"/>
  <c r="U169" i="5"/>
  <c r="U177" i="5"/>
  <c r="U119" i="5"/>
  <c r="U138" i="5"/>
  <c r="U154" i="5"/>
  <c r="U120" i="5"/>
  <c r="U131" i="5"/>
  <c r="U139" i="5"/>
  <c r="U147" i="5"/>
  <c r="U155" i="5"/>
  <c r="U163" i="5"/>
  <c r="U171" i="5"/>
  <c r="U179" i="5"/>
  <c r="U127" i="5"/>
  <c r="U132" i="5"/>
  <c r="U140" i="5"/>
  <c r="U148" i="5"/>
  <c r="U156" i="5"/>
  <c r="U164" i="5"/>
  <c r="U172" i="5"/>
  <c r="U180" i="5"/>
  <c r="U125" i="5"/>
  <c r="U133" i="5"/>
  <c r="U141" i="5"/>
  <c r="U149" i="5"/>
  <c r="U157" i="5"/>
  <c r="U165" i="5"/>
  <c r="U173" i="5"/>
  <c r="U181" i="5"/>
  <c r="U126" i="5"/>
  <c r="U128" i="5"/>
  <c r="U134" i="5"/>
  <c r="U142" i="5"/>
  <c r="U150" i="5"/>
  <c r="U158" i="5"/>
  <c r="U166" i="5"/>
  <c r="U174" i="5"/>
  <c r="U182" i="5"/>
  <c r="U76" i="5"/>
  <c r="V101" i="7"/>
  <c r="V91" i="7"/>
  <c r="U102" i="5"/>
  <c r="Z200" i="10" l="1"/>
  <c r="Z57" i="10"/>
  <c r="Z86" i="10" s="1"/>
  <c r="Z25" i="10"/>
  <c r="Z28" i="10" s="1"/>
  <c r="AA22" i="10" s="1"/>
  <c r="Z126" i="10"/>
  <c r="Z130" i="10"/>
  <c r="Z177" i="10"/>
  <c r="Z167" i="10"/>
  <c r="Z140" i="10"/>
  <c r="Z142" i="10"/>
  <c r="Z165" i="10"/>
  <c r="Z178" i="10"/>
  <c r="Z147" i="10"/>
  <c r="Z128" i="10"/>
  <c r="Z154" i="10"/>
  <c r="Z176" i="10"/>
  <c r="Z150" i="10"/>
  <c r="Z175" i="10"/>
  <c r="Z148" i="10"/>
  <c r="Z131" i="10"/>
  <c r="Z180" i="10"/>
  <c r="Z162" i="10"/>
  <c r="Z135" i="10"/>
  <c r="Z159" i="10"/>
  <c r="Z155" i="10"/>
  <c r="Z136" i="10"/>
  <c r="Z171" i="10"/>
  <c r="Z146" i="10"/>
  <c r="Z179" i="10"/>
  <c r="Z138" i="10"/>
  <c r="Z129" i="10"/>
  <c r="Z174" i="10"/>
  <c r="Z143" i="10"/>
  <c r="Z169" i="10"/>
  <c r="Z144" i="10"/>
  <c r="Z99" i="10"/>
  <c r="Z145" i="10"/>
  <c r="Z161" i="10"/>
  <c r="Z158" i="10"/>
  <c r="Z149" i="10"/>
  <c r="Z132" i="10"/>
  <c r="Z152" i="10"/>
  <c r="Z168" i="10"/>
  <c r="Z173" i="10"/>
  <c r="Z139" i="10"/>
  <c r="Z164" i="10"/>
  <c r="Z141" i="10"/>
  <c r="Z137" i="10"/>
  <c r="Z183" i="10"/>
  <c r="Z157" i="10"/>
  <c r="Z125" i="10"/>
  <c r="Z151" i="10"/>
  <c r="Z153" i="10"/>
  <c r="Z166" i="10"/>
  <c r="Z124" i="10"/>
  <c r="Z172" i="10"/>
  <c r="Z182" i="10"/>
  <c r="Z181" i="10"/>
  <c r="Z160" i="10"/>
  <c r="Z133" i="10"/>
  <c r="Z134" i="10"/>
  <c r="Z170" i="10"/>
  <c r="Z163" i="10"/>
  <c r="Z156" i="10"/>
  <c r="Z127" i="10"/>
  <c r="Z76" i="10"/>
  <c r="U101" i="5"/>
  <c r="U91" i="5"/>
  <c r="W190" i="7"/>
  <c r="W193" i="7" s="1"/>
  <c r="W194" i="7" s="1"/>
  <c r="W46" i="7" s="1"/>
  <c r="V188" i="5"/>
  <c r="U100" i="5"/>
  <c r="V93" i="7"/>
  <c r="Z102" i="10"/>
  <c r="W201" i="7" l="1"/>
  <c r="W75" i="7"/>
  <c r="U93" i="5"/>
  <c r="Z100" i="10"/>
  <c r="AA188" i="10"/>
  <c r="V190" i="5"/>
  <c r="V193" i="5" s="1"/>
  <c r="V194" i="5" s="1"/>
  <c r="V46" i="5" s="1"/>
  <c r="Z101" i="10"/>
  <c r="Z91" i="10"/>
  <c r="W47" i="7"/>
  <c r="W191" i="7"/>
  <c r="V201" i="5" l="1"/>
  <c r="V75" i="5"/>
  <c r="W192" i="7"/>
  <c r="Z93" i="10"/>
  <c r="W200" i="7"/>
  <c r="W25" i="7"/>
  <c r="W28" i="7" s="1"/>
  <c r="X22" i="7" s="1"/>
  <c r="W99" i="7"/>
  <c r="W125" i="7"/>
  <c r="W149" i="7"/>
  <c r="W135" i="7"/>
  <c r="W137" i="7"/>
  <c r="W156" i="7"/>
  <c r="W164" i="7"/>
  <c r="W172" i="7"/>
  <c r="W180" i="7"/>
  <c r="W133" i="7"/>
  <c r="W145" i="7"/>
  <c r="W165" i="7"/>
  <c r="W173" i="7"/>
  <c r="W158" i="7"/>
  <c r="W182" i="7"/>
  <c r="W140" i="7"/>
  <c r="W177" i="7"/>
  <c r="W129" i="7"/>
  <c r="W141" i="7"/>
  <c r="W162" i="7"/>
  <c r="W178" i="7"/>
  <c r="W128" i="7"/>
  <c r="W127" i="7"/>
  <c r="W157" i="7"/>
  <c r="W181" i="7"/>
  <c r="W126" i="7"/>
  <c r="W148" i="7"/>
  <c r="W151" i="7"/>
  <c r="W159" i="7"/>
  <c r="W167" i="7"/>
  <c r="W175" i="7"/>
  <c r="W183" i="7"/>
  <c r="W121" i="7"/>
  <c r="W160" i="7"/>
  <c r="W146" i="7"/>
  <c r="W169" i="7"/>
  <c r="W123" i="7"/>
  <c r="W147" i="7"/>
  <c r="W154" i="7"/>
  <c r="W170" i="7"/>
  <c r="W122" i="7"/>
  <c r="W134" i="7"/>
  <c r="W142" i="7"/>
  <c r="W150" i="7"/>
  <c r="W166" i="7"/>
  <c r="W174" i="7"/>
  <c r="W143" i="7"/>
  <c r="W152" i="7"/>
  <c r="W176" i="7"/>
  <c r="W130" i="7"/>
  <c r="W153" i="7"/>
  <c r="W139" i="7"/>
  <c r="W124" i="7"/>
  <c r="W138" i="7"/>
  <c r="W132" i="7"/>
  <c r="W155" i="7"/>
  <c r="W163" i="7"/>
  <c r="W171" i="7"/>
  <c r="W179" i="7"/>
  <c r="W136" i="7"/>
  <c r="W144" i="7"/>
  <c r="W168" i="7"/>
  <c r="W131" i="7"/>
  <c r="W161" i="7"/>
  <c r="W76" i="7"/>
  <c r="AA190" i="10"/>
  <c r="AA193" i="10" s="1"/>
  <c r="AA194" i="10" s="1"/>
  <c r="AA46" i="10" s="1"/>
  <c r="V47" i="5"/>
  <c r="V191" i="5"/>
  <c r="W58" i="7"/>
  <c r="W87" i="7" s="1"/>
  <c r="W102" i="7"/>
  <c r="AA47" i="10" l="1"/>
  <c r="AA191" i="10"/>
  <c r="X188" i="7"/>
  <c r="V192" i="5"/>
  <c r="V200" i="5"/>
  <c r="V25" i="5"/>
  <c r="V28" i="5" s="1"/>
  <c r="W22" i="5" s="1"/>
  <c r="V121" i="5"/>
  <c r="V134" i="5"/>
  <c r="V142" i="5"/>
  <c r="V150" i="5"/>
  <c r="V158" i="5"/>
  <c r="V166" i="5"/>
  <c r="V174" i="5"/>
  <c r="V182" i="5"/>
  <c r="V159" i="5"/>
  <c r="V167" i="5"/>
  <c r="V183" i="5"/>
  <c r="V176" i="5"/>
  <c r="V172" i="5"/>
  <c r="V124" i="5"/>
  <c r="V126" i="5"/>
  <c r="V135" i="5"/>
  <c r="V143" i="5"/>
  <c r="V151" i="5"/>
  <c r="V175" i="5"/>
  <c r="V120" i="5"/>
  <c r="V125" i="5"/>
  <c r="V136" i="5"/>
  <c r="V144" i="5"/>
  <c r="V152" i="5"/>
  <c r="V160" i="5"/>
  <c r="V168" i="5"/>
  <c r="V123" i="5"/>
  <c r="V127" i="5"/>
  <c r="V137" i="5"/>
  <c r="V145" i="5"/>
  <c r="V153" i="5"/>
  <c r="V161" i="5"/>
  <c r="V169" i="5"/>
  <c r="V177" i="5"/>
  <c r="V122" i="5"/>
  <c r="V130" i="5"/>
  <c r="V138" i="5"/>
  <c r="V146" i="5"/>
  <c r="V154" i="5"/>
  <c r="V162" i="5"/>
  <c r="V170" i="5"/>
  <c r="V178" i="5"/>
  <c r="V131" i="5"/>
  <c r="V139" i="5"/>
  <c r="V147" i="5"/>
  <c r="V155" i="5"/>
  <c r="V163" i="5"/>
  <c r="V171" i="5"/>
  <c r="V179" i="5"/>
  <c r="V180" i="5"/>
  <c r="V99" i="5"/>
  <c r="V129" i="5"/>
  <c r="V132" i="5"/>
  <c r="V140" i="5"/>
  <c r="V156" i="5"/>
  <c r="V164" i="5"/>
  <c r="V128" i="5"/>
  <c r="V133" i="5"/>
  <c r="V141" i="5"/>
  <c r="V149" i="5"/>
  <c r="V157" i="5"/>
  <c r="V165" i="5"/>
  <c r="V173" i="5"/>
  <c r="V181" i="5"/>
  <c r="V148" i="5"/>
  <c r="V76" i="5"/>
  <c r="W57" i="7"/>
  <c r="W86" i="7" s="1"/>
  <c r="V58" i="5"/>
  <c r="V87" i="5" s="1"/>
  <c r="AA37" i="11"/>
  <c r="AA38" i="11" s="1"/>
  <c r="AA201" i="10"/>
  <c r="AA58" i="10"/>
  <c r="AA87" i="10" s="1"/>
  <c r="AA75" i="10"/>
  <c r="W101" i="7"/>
  <c r="W91" i="7"/>
  <c r="W100" i="7"/>
  <c r="V102" i="5"/>
  <c r="V100" i="5" l="1"/>
  <c r="V101" i="5"/>
  <c r="V91" i="5"/>
  <c r="W188" i="5"/>
  <c r="V57" i="5"/>
  <c r="V86" i="5" s="1"/>
  <c r="X190" i="7"/>
  <c r="X193" i="7" s="1"/>
  <c r="X194" i="7" s="1"/>
  <c r="X46" i="7" s="1"/>
  <c r="W93" i="7"/>
  <c r="AA192" i="10"/>
  <c r="AA200" i="10"/>
  <c r="AA57" i="10"/>
  <c r="AA86" i="10" s="1"/>
  <c r="AA25" i="10"/>
  <c r="AA28" i="10" s="1"/>
  <c r="AB22" i="10" s="1"/>
  <c r="AA135" i="10"/>
  <c r="AA150" i="10"/>
  <c r="AA173" i="10"/>
  <c r="AA179" i="10"/>
  <c r="AA152" i="10"/>
  <c r="AA142" i="10"/>
  <c r="AA128" i="10"/>
  <c r="AA156" i="10"/>
  <c r="AA153" i="10"/>
  <c r="AA163" i="10"/>
  <c r="AA125" i="10"/>
  <c r="AA141" i="10"/>
  <c r="AA168" i="10"/>
  <c r="AA134" i="10"/>
  <c r="AA167" i="10"/>
  <c r="AA147" i="10"/>
  <c r="AA158" i="10"/>
  <c r="AA148" i="10"/>
  <c r="AA162" i="10"/>
  <c r="AA133" i="10"/>
  <c r="AA139" i="10"/>
  <c r="AA178" i="10"/>
  <c r="AA99" i="10"/>
  <c r="AA136" i="10"/>
  <c r="AA146" i="10"/>
  <c r="AA137" i="10"/>
  <c r="AA166" i="10"/>
  <c r="AA130" i="10"/>
  <c r="AA161" i="10"/>
  <c r="AA171" i="10"/>
  <c r="AA170" i="10"/>
  <c r="AA182" i="10"/>
  <c r="AA127" i="10"/>
  <c r="AA174" i="10"/>
  <c r="AA183" i="10"/>
  <c r="AA177" i="10"/>
  <c r="AA176" i="10"/>
  <c r="AA149" i="10"/>
  <c r="AA145" i="10"/>
  <c r="AA138" i="10"/>
  <c r="AA144" i="10"/>
  <c r="AA175" i="10"/>
  <c r="AA140" i="10"/>
  <c r="AA157" i="10"/>
  <c r="AA180" i="10"/>
  <c r="AA172" i="10"/>
  <c r="AA151" i="10"/>
  <c r="AA143" i="10"/>
  <c r="AA164" i="10"/>
  <c r="AA169" i="10"/>
  <c r="AA131" i="10"/>
  <c r="AA132" i="10"/>
  <c r="AA155" i="10"/>
  <c r="AA165" i="10"/>
  <c r="AA160" i="10"/>
  <c r="AA154" i="10"/>
  <c r="AA126" i="10"/>
  <c r="AA129" i="10"/>
  <c r="AA159" i="10"/>
  <c r="AA181" i="10"/>
  <c r="AA76" i="10"/>
  <c r="AA102" i="10"/>
  <c r="X201" i="7" l="1"/>
  <c r="X75" i="7"/>
  <c r="AA100" i="10"/>
  <c r="AB188" i="10"/>
  <c r="AA101" i="10"/>
  <c r="AA91" i="10"/>
  <c r="X47" i="7"/>
  <c r="X191" i="7"/>
  <c r="V93" i="5"/>
  <c r="W190" i="5"/>
  <c r="AB190" i="10" l="1"/>
  <c r="X200" i="7"/>
  <c r="X25" i="7"/>
  <c r="X28" i="7" s="1"/>
  <c r="Y22" i="7" s="1"/>
  <c r="X122" i="7"/>
  <c r="X143" i="7"/>
  <c r="X126" i="7"/>
  <c r="X128" i="7"/>
  <c r="X154" i="7"/>
  <c r="X162" i="7"/>
  <c r="X170" i="7"/>
  <c r="X178" i="7"/>
  <c r="X163" i="7"/>
  <c r="X179" i="7"/>
  <c r="X129" i="7"/>
  <c r="X165" i="7"/>
  <c r="X181" i="7"/>
  <c r="X141" i="7"/>
  <c r="X166" i="7"/>
  <c r="X135" i="7"/>
  <c r="X149" i="7"/>
  <c r="X138" i="7"/>
  <c r="X137" i="7"/>
  <c r="X134" i="7"/>
  <c r="X151" i="7"/>
  <c r="X155" i="7"/>
  <c r="X171" i="7"/>
  <c r="X157" i="7"/>
  <c r="X150" i="7"/>
  <c r="X174" i="7"/>
  <c r="X124" i="7"/>
  <c r="X159" i="7"/>
  <c r="X183" i="7"/>
  <c r="X160" i="7"/>
  <c r="X168" i="7"/>
  <c r="X99" i="7"/>
  <c r="X131" i="7"/>
  <c r="X127" i="7"/>
  <c r="X125" i="7"/>
  <c r="X144" i="7"/>
  <c r="X156" i="7"/>
  <c r="X164" i="7"/>
  <c r="X172" i="7"/>
  <c r="X180" i="7"/>
  <c r="X133" i="7"/>
  <c r="X136" i="7"/>
  <c r="X173" i="7"/>
  <c r="X142" i="7"/>
  <c r="X158" i="7"/>
  <c r="X182" i="7"/>
  <c r="X145" i="7"/>
  <c r="X167" i="7"/>
  <c r="X130" i="7"/>
  <c r="X175" i="7"/>
  <c r="X147" i="7"/>
  <c r="X176" i="7"/>
  <c r="X146" i="7"/>
  <c r="X132" i="7"/>
  <c r="X152" i="7"/>
  <c r="X139" i="7"/>
  <c r="X123" i="7"/>
  <c r="X140" i="7"/>
  <c r="X148" i="7"/>
  <c r="X153" i="7"/>
  <c r="X161" i="7"/>
  <c r="X169" i="7"/>
  <c r="X177" i="7"/>
  <c r="X76" i="7"/>
  <c r="AA93" i="10"/>
  <c r="X58" i="7"/>
  <c r="X87" i="7" s="1"/>
  <c r="X192" i="7"/>
  <c r="W191" i="5"/>
  <c r="W193" i="5"/>
  <c r="W194" i="5" s="1"/>
  <c r="W46" i="5" s="1"/>
  <c r="X102" i="7"/>
  <c r="W47" i="5" l="1"/>
  <c r="X57" i="7"/>
  <c r="X86" i="7" s="1"/>
  <c r="X100" i="7"/>
  <c r="W200" i="5"/>
  <c r="W25" i="5"/>
  <c r="W28" i="5" s="1"/>
  <c r="X22" i="5" s="1"/>
  <c r="W128" i="5"/>
  <c r="W132" i="5"/>
  <c r="W140" i="5"/>
  <c r="W148" i="5"/>
  <c r="W156" i="5"/>
  <c r="W164" i="5"/>
  <c r="W172" i="5"/>
  <c r="W180" i="5"/>
  <c r="W134" i="5"/>
  <c r="W158" i="5"/>
  <c r="W174" i="5"/>
  <c r="W135" i="5"/>
  <c r="W175" i="5"/>
  <c r="W136" i="5"/>
  <c r="W144" i="5"/>
  <c r="W152" i="5"/>
  <c r="W160" i="5"/>
  <c r="W168" i="5"/>
  <c r="W176" i="5"/>
  <c r="W137" i="5"/>
  <c r="W153" i="5"/>
  <c r="W161" i="5"/>
  <c r="W177" i="5"/>
  <c r="W126" i="5"/>
  <c r="W138" i="5"/>
  <c r="W154" i="5"/>
  <c r="W170" i="5"/>
  <c r="W127" i="5"/>
  <c r="W133" i="5"/>
  <c r="W141" i="5"/>
  <c r="W149" i="5"/>
  <c r="W157" i="5"/>
  <c r="W165" i="5"/>
  <c r="W173" i="5"/>
  <c r="W181" i="5"/>
  <c r="W124" i="5"/>
  <c r="W142" i="5"/>
  <c r="W166" i="5"/>
  <c r="W182" i="5"/>
  <c r="W151" i="5"/>
  <c r="W167" i="5"/>
  <c r="W150" i="5"/>
  <c r="W122" i="5"/>
  <c r="W159" i="5"/>
  <c r="W183" i="5"/>
  <c r="W121" i="5"/>
  <c r="W145" i="5"/>
  <c r="W169" i="5"/>
  <c r="W123" i="5"/>
  <c r="W146" i="5"/>
  <c r="W162" i="5"/>
  <c r="W178" i="5"/>
  <c r="W143" i="5"/>
  <c r="W129" i="5"/>
  <c r="W125" i="5"/>
  <c r="W99" i="5"/>
  <c r="W130" i="5"/>
  <c r="W131" i="5"/>
  <c r="W139" i="5"/>
  <c r="W147" i="5"/>
  <c r="W155" i="5"/>
  <c r="W163" i="5"/>
  <c r="W171" i="5"/>
  <c r="W179" i="5"/>
  <c r="W76" i="5"/>
  <c r="Y188" i="7"/>
  <c r="X101" i="7"/>
  <c r="X91" i="7"/>
  <c r="AB191" i="10"/>
  <c r="W192" i="5"/>
  <c r="AB193" i="10"/>
  <c r="AB194" i="10" s="1"/>
  <c r="AB46" i="10" s="1"/>
  <c r="W201" i="5"/>
  <c r="W58" i="5"/>
  <c r="W87" i="5" s="1"/>
  <c r="W75" i="5"/>
  <c r="W102" i="5"/>
  <c r="AB47" i="10" l="1"/>
  <c r="AB133" i="10" s="1"/>
  <c r="Y190" i="7"/>
  <c r="Y193" i="7" s="1"/>
  <c r="Y194" i="7" s="1"/>
  <c r="Y46" i="7" s="1"/>
  <c r="AB37" i="11"/>
  <c r="AB38" i="11" s="1"/>
  <c r="AB201" i="10"/>
  <c r="AB75" i="10"/>
  <c r="AB192" i="10"/>
  <c r="W57" i="5"/>
  <c r="W86" i="5" s="1"/>
  <c r="X188" i="5"/>
  <c r="W91" i="5"/>
  <c r="W101" i="5"/>
  <c r="W100" i="5"/>
  <c r="X93" i="7"/>
  <c r="AB167" i="10" l="1"/>
  <c r="AB150" i="10"/>
  <c r="AB181" i="10"/>
  <c r="AB159" i="10"/>
  <c r="AB131" i="10"/>
  <c r="AB152" i="10"/>
  <c r="AB126" i="10"/>
  <c r="AB144" i="10"/>
  <c r="AB200" i="10"/>
  <c r="AB162" i="10"/>
  <c r="AB134" i="10"/>
  <c r="AB156" i="10"/>
  <c r="AB146" i="10"/>
  <c r="AB163" i="10"/>
  <c r="AB174" i="10"/>
  <c r="AB151" i="10"/>
  <c r="AB182" i="10"/>
  <c r="AB76" i="10"/>
  <c r="AB132" i="10"/>
  <c r="AB175" i="10"/>
  <c r="AB139" i="10"/>
  <c r="AB169" i="10"/>
  <c r="AB179" i="10"/>
  <c r="AB157" i="10"/>
  <c r="AB172" i="10"/>
  <c r="AB173" i="10"/>
  <c r="AB149" i="10"/>
  <c r="AB165" i="10"/>
  <c r="AB180" i="10"/>
  <c r="AB128" i="10"/>
  <c r="AB137" i="10"/>
  <c r="AB153" i="10"/>
  <c r="AB140" i="10"/>
  <c r="AB147" i="10"/>
  <c r="AB170" i="10"/>
  <c r="AB161" i="10"/>
  <c r="AB127" i="10"/>
  <c r="AB145" i="10"/>
  <c r="AB154" i="10"/>
  <c r="AB164" i="10"/>
  <c r="AB130" i="10"/>
  <c r="AB171" i="10"/>
  <c r="AB99" i="10"/>
  <c r="AB176" i="10"/>
  <c r="AB25" i="10"/>
  <c r="AB28" i="10" s="1"/>
  <c r="AC22" i="10" s="1"/>
  <c r="AB135" i="10"/>
  <c r="AB143" i="10"/>
  <c r="AB129" i="10"/>
  <c r="AB155" i="10"/>
  <c r="AB183" i="10"/>
  <c r="AB160" i="10"/>
  <c r="AB138" i="10"/>
  <c r="AB58" i="10"/>
  <c r="AB87" i="10" s="1"/>
  <c r="AB142" i="10"/>
  <c r="AB168" i="10"/>
  <c r="AB158" i="10"/>
  <c r="AB136" i="10"/>
  <c r="AB166" i="10"/>
  <c r="AB178" i="10"/>
  <c r="AB148" i="10"/>
  <c r="AB177" i="10"/>
  <c r="AB141" i="10"/>
  <c r="X190" i="5"/>
  <c r="AB100" i="10"/>
  <c r="W93" i="5"/>
  <c r="AB101" i="10"/>
  <c r="AB91" i="10"/>
  <c r="Y47" i="7"/>
  <c r="Y191" i="7"/>
  <c r="AC188" i="10"/>
  <c r="Y201" i="7"/>
  <c r="Y75" i="7"/>
  <c r="AB102" i="10"/>
  <c r="AB57" i="10" l="1"/>
  <c r="AB86" i="10" s="1"/>
  <c r="Y200" i="7"/>
  <c r="Y25" i="7"/>
  <c r="Y28" i="7" s="1"/>
  <c r="Z22" i="7" s="1"/>
  <c r="Y135" i="7"/>
  <c r="Y149" i="7"/>
  <c r="Y123" i="7"/>
  <c r="Y137" i="7"/>
  <c r="Y156" i="7"/>
  <c r="Y164" i="7"/>
  <c r="Y172" i="7"/>
  <c r="Y180" i="7"/>
  <c r="Y157" i="7"/>
  <c r="Y173" i="7"/>
  <c r="Y99" i="7"/>
  <c r="Y146" i="7"/>
  <c r="Y132" i="7"/>
  <c r="Y124" i="7"/>
  <c r="Y147" i="7"/>
  <c r="Y165" i="7"/>
  <c r="Y181" i="7"/>
  <c r="Y131" i="7"/>
  <c r="Y129" i="7"/>
  <c r="Y145" i="7"/>
  <c r="Y159" i="7"/>
  <c r="Y167" i="7"/>
  <c r="Y127" i="7"/>
  <c r="Y160" i="7"/>
  <c r="Y138" i="7"/>
  <c r="Y153" i="7"/>
  <c r="Y161" i="7"/>
  <c r="Y142" i="7"/>
  <c r="Y126" i="7"/>
  <c r="Y130" i="7"/>
  <c r="Y158" i="7"/>
  <c r="Y166" i="7"/>
  <c r="Y174" i="7"/>
  <c r="Y182" i="7"/>
  <c r="Y134" i="7"/>
  <c r="Y175" i="7"/>
  <c r="Y152" i="7"/>
  <c r="Y176" i="7"/>
  <c r="Y169" i="7"/>
  <c r="Y140" i="7"/>
  <c r="Y143" i="7"/>
  <c r="Y139" i="7"/>
  <c r="Y133" i="7"/>
  <c r="Y128" i="7"/>
  <c r="Y154" i="7"/>
  <c r="Y162" i="7"/>
  <c r="Y170" i="7"/>
  <c r="Y178" i="7"/>
  <c r="Y148" i="7"/>
  <c r="Y177" i="7"/>
  <c r="Y125" i="7"/>
  <c r="Y150" i="7"/>
  <c r="Y144" i="7"/>
  <c r="Y151" i="7"/>
  <c r="Y155" i="7"/>
  <c r="Y163" i="7"/>
  <c r="Y171" i="7"/>
  <c r="Y179" i="7"/>
  <c r="Y183" i="7"/>
  <c r="Y136" i="7"/>
  <c r="Y168" i="7"/>
  <c r="Y141" i="7"/>
  <c r="Y76" i="7"/>
  <c r="Y192" i="7"/>
  <c r="X191" i="5"/>
  <c r="X193" i="5"/>
  <c r="X194" i="5" s="1"/>
  <c r="X46" i="5" s="1"/>
  <c r="AB93" i="10"/>
  <c r="Y58" i="7"/>
  <c r="Y87" i="7" s="1"/>
  <c r="AC190" i="10"/>
  <c r="Y102" i="7"/>
  <c r="AC191" i="10" l="1"/>
  <c r="AC193" i="10"/>
  <c r="AC194" i="10" s="1"/>
  <c r="AC46" i="10" s="1"/>
  <c r="Y100" i="7"/>
  <c r="Z188" i="7"/>
  <c r="X201" i="5"/>
  <c r="X75" i="5"/>
  <c r="Y57" i="7"/>
  <c r="Y86" i="7" s="1"/>
  <c r="Y91" i="7"/>
  <c r="Y101" i="7"/>
  <c r="X192" i="5"/>
  <c r="X47" i="5"/>
  <c r="Z190" i="7" l="1"/>
  <c r="Y93" i="7"/>
  <c r="X200" i="5"/>
  <c r="X25" i="5"/>
  <c r="X28" i="5" s="1"/>
  <c r="Y22" i="5" s="1"/>
  <c r="X123" i="5"/>
  <c r="X124" i="5"/>
  <c r="X139" i="5"/>
  <c r="X147" i="5"/>
  <c r="X155" i="5"/>
  <c r="X163" i="5"/>
  <c r="X171" i="5"/>
  <c r="X99" i="5"/>
  <c r="X131" i="5"/>
  <c r="X129" i="5"/>
  <c r="X140" i="5"/>
  <c r="X148" i="5"/>
  <c r="X156" i="5"/>
  <c r="X164" i="5"/>
  <c r="X172" i="5"/>
  <c r="X180" i="5"/>
  <c r="X126" i="5"/>
  <c r="X150" i="5"/>
  <c r="X166" i="5"/>
  <c r="X182" i="5"/>
  <c r="X130" i="5"/>
  <c r="X133" i="5"/>
  <c r="X141" i="5"/>
  <c r="X149" i="5"/>
  <c r="X157" i="5"/>
  <c r="X165" i="5"/>
  <c r="X173" i="5"/>
  <c r="X181" i="5"/>
  <c r="X134" i="5"/>
  <c r="X142" i="5"/>
  <c r="X158" i="5"/>
  <c r="X174" i="5"/>
  <c r="X125" i="5"/>
  <c r="X135" i="5"/>
  <c r="X151" i="5"/>
  <c r="X167" i="5"/>
  <c r="X183" i="5"/>
  <c r="X144" i="5"/>
  <c r="X168" i="5"/>
  <c r="X145" i="5"/>
  <c r="X143" i="5"/>
  <c r="X159" i="5"/>
  <c r="X175" i="5"/>
  <c r="X128" i="5"/>
  <c r="X152" i="5"/>
  <c r="X176" i="5"/>
  <c r="X127" i="5"/>
  <c r="X153" i="5"/>
  <c r="X177" i="5"/>
  <c r="X136" i="5"/>
  <c r="X160" i="5"/>
  <c r="X137" i="5"/>
  <c r="X169" i="5"/>
  <c r="X122" i="5"/>
  <c r="X161" i="5"/>
  <c r="X132" i="5"/>
  <c r="X138" i="5"/>
  <c r="X146" i="5"/>
  <c r="X154" i="5"/>
  <c r="X162" i="5"/>
  <c r="X170" i="5"/>
  <c r="X178" i="5"/>
  <c r="X179" i="5"/>
  <c r="X76" i="5"/>
  <c r="AC37" i="11"/>
  <c r="AC38" i="11" s="1"/>
  <c r="AC201" i="10"/>
  <c r="AC58" i="10"/>
  <c r="AC87" i="10" s="1"/>
  <c r="AC75" i="10"/>
  <c r="AC192" i="10"/>
  <c r="X58" i="5"/>
  <c r="X87" i="5" s="1"/>
  <c r="AC47" i="10"/>
  <c r="X102" i="5"/>
  <c r="X100" i="5" l="1"/>
  <c r="Y188" i="5"/>
  <c r="X57" i="5"/>
  <c r="X86" i="5" s="1"/>
  <c r="AC200" i="10"/>
  <c r="AC25" i="10"/>
  <c r="AC28" i="10" s="1"/>
  <c r="AD22" i="10" s="1"/>
  <c r="AC57" i="10"/>
  <c r="AC86" i="10" s="1"/>
  <c r="AC128" i="10"/>
  <c r="AC143" i="10"/>
  <c r="AC163" i="10"/>
  <c r="AC175" i="10"/>
  <c r="AC146" i="10"/>
  <c r="AC180" i="10"/>
  <c r="AC173" i="10"/>
  <c r="AC135" i="10"/>
  <c r="AC99" i="10"/>
  <c r="AC130" i="10"/>
  <c r="AC182" i="10"/>
  <c r="AC137" i="10"/>
  <c r="AC183" i="10"/>
  <c r="AC147" i="10"/>
  <c r="AC165" i="10"/>
  <c r="AC156" i="10"/>
  <c r="AC145" i="10"/>
  <c r="AC154" i="10"/>
  <c r="AC169" i="10"/>
  <c r="AC167" i="10"/>
  <c r="AC142" i="10"/>
  <c r="AC138" i="10"/>
  <c r="AC153" i="10"/>
  <c r="AC144" i="10"/>
  <c r="AC172" i="10"/>
  <c r="AC148" i="10"/>
  <c r="AC170" i="10"/>
  <c r="AC176" i="10"/>
  <c r="AC171" i="10"/>
  <c r="AC157" i="10"/>
  <c r="AC168" i="10"/>
  <c r="AC134" i="10"/>
  <c r="AC159" i="10"/>
  <c r="AC162" i="10"/>
  <c r="AC158" i="10"/>
  <c r="AC141" i="10"/>
  <c r="AC127" i="10"/>
  <c r="AC139" i="10"/>
  <c r="AC181" i="10"/>
  <c r="AC160" i="10"/>
  <c r="AC136" i="10"/>
  <c r="AC151" i="10"/>
  <c r="AC178" i="10"/>
  <c r="AC177" i="10"/>
  <c r="AC129" i="10"/>
  <c r="AC152" i="10"/>
  <c r="AC150" i="10"/>
  <c r="AC166" i="10"/>
  <c r="AC155" i="10"/>
  <c r="AC164" i="10"/>
  <c r="AC140" i="10"/>
  <c r="AC161" i="10"/>
  <c r="AC179" i="10"/>
  <c r="AC149" i="10"/>
  <c r="AC132" i="10"/>
  <c r="AC131" i="10"/>
  <c r="AC174" i="10"/>
  <c r="AC133" i="10"/>
  <c r="AC76" i="10"/>
  <c r="Z191" i="7"/>
  <c r="X91" i="5"/>
  <c r="X101" i="5"/>
  <c r="Z193" i="7"/>
  <c r="Z194" i="7" s="1"/>
  <c r="Z46" i="7" s="1"/>
  <c r="AC102" i="10"/>
  <c r="Z47" i="7" l="1"/>
  <c r="Z144" i="7" s="1"/>
  <c r="Z192" i="7"/>
  <c r="AC100" i="10"/>
  <c r="Y190" i="5"/>
  <c r="Y193" i="5" s="1"/>
  <c r="Y194" i="5" s="1"/>
  <c r="Y46" i="5" s="1"/>
  <c r="Z201" i="7"/>
  <c r="Z58" i="7"/>
  <c r="Z87" i="7" s="1"/>
  <c r="Z75" i="7"/>
  <c r="Z200" i="7"/>
  <c r="Z25" i="7"/>
  <c r="Z28" i="7" s="1"/>
  <c r="AA22" i="7" s="1"/>
  <c r="Z124" i="7"/>
  <c r="Z141" i="7"/>
  <c r="Z149" i="7"/>
  <c r="Z156" i="7"/>
  <c r="Z164" i="7"/>
  <c r="Z172" i="7"/>
  <c r="Z180" i="7"/>
  <c r="Z136" i="7"/>
  <c r="Z126" i="7"/>
  <c r="Z157" i="7"/>
  <c r="Z165" i="7"/>
  <c r="Z173" i="7"/>
  <c r="Z181" i="7"/>
  <c r="Z153" i="7"/>
  <c r="Z99" i="7"/>
  <c r="Z132" i="7"/>
  <c r="Z147" i="7"/>
  <c r="Z148" i="7"/>
  <c r="Z125" i="7"/>
  <c r="Z158" i="7"/>
  <c r="Z166" i="7"/>
  <c r="Z174" i="7"/>
  <c r="Z182" i="7"/>
  <c r="Z128" i="7"/>
  <c r="Z139" i="7"/>
  <c r="Z133" i="7"/>
  <c r="Z159" i="7"/>
  <c r="Z167" i="7"/>
  <c r="Z175" i="7"/>
  <c r="Z183" i="7"/>
  <c r="Z129" i="7"/>
  <c r="Z127" i="7"/>
  <c r="Z137" i="7"/>
  <c r="Z142" i="7"/>
  <c r="Z160" i="7"/>
  <c r="Z168" i="7"/>
  <c r="Z176" i="7"/>
  <c r="Z135" i="7"/>
  <c r="Z134" i="7"/>
  <c r="Z150" i="7"/>
  <c r="Z145" i="7"/>
  <c r="Z161" i="7"/>
  <c r="Z169" i="7"/>
  <c r="Z177" i="7"/>
  <c r="Z146" i="7"/>
  <c r="Z131" i="7"/>
  <c r="Z130" i="7"/>
  <c r="Z154" i="7"/>
  <c r="Z162" i="7"/>
  <c r="Z170" i="7"/>
  <c r="Z178" i="7"/>
  <c r="Z143" i="7"/>
  <c r="Z140" i="7"/>
  <c r="Z152" i="7"/>
  <c r="Z151" i="7"/>
  <c r="Z155" i="7"/>
  <c r="Z163" i="7"/>
  <c r="Z171" i="7"/>
  <c r="Z179" i="7"/>
  <c r="Z76" i="7"/>
  <c r="AC101" i="10"/>
  <c r="AC91" i="10"/>
  <c r="AD188" i="10"/>
  <c r="X93" i="5"/>
  <c r="Z102" i="7"/>
  <c r="Z138" i="7" l="1"/>
  <c r="Z57" i="7"/>
  <c r="Z86" i="7" s="1"/>
  <c r="Y201" i="5"/>
  <c r="Y75" i="5"/>
  <c r="AD190" i="10"/>
  <c r="AD193" i="10" s="1"/>
  <c r="AD194" i="10" s="1"/>
  <c r="AD46" i="10" s="1"/>
  <c r="Z100" i="7"/>
  <c r="Z91" i="7"/>
  <c r="Z101" i="7"/>
  <c r="AA188" i="7"/>
  <c r="AC93" i="10"/>
  <c r="Y47" i="5"/>
  <c r="Y191" i="5"/>
  <c r="AD37" i="11" l="1"/>
  <c r="AD38" i="11" s="1"/>
  <c r="AD201" i="10"/>
  <c r="AD75" i="10"/>
  <c r="AA190" i="7"/>
  <c r="AA193" i="7" s="1"/>
  <c r="AA194" i="7" s="1"/>
  <c r="AA46" i="7" s="1"/>
  <c r="Y192" i="5"/>
  <c r="Z93" i="7"/>
  <c r="Y200" i="5"/>
  <c r="Y25" i="5"/>
  <c r="Y28" i="5" s="1"/>
  <c r="Z22" i="5" s="1"/>
  <c r="Y124" i="5"/>
  <c r="Y136" i="5"/>
  <c r="Y144" i="5"/>
  <c r="Y152" i="5"/>
  <c r="Y160" i="5"/>
  <c r="Y168" i="5"/>
  <c r="Y176" i="5"/>
  <c r="Y171" i="5"/>
  <c r="Y173" i="5"/>
  <c r="Y142" i="5"/>
  <c r="Y182" i="5"/>
  <c r="Y128" i="5"/>
  <c r="Y137" i="5"/>
  <c r="Y145" i="5"/>
  <c r="Y153" i="5"/>
  <c r="Y161" i="5"/>
  <c r="Y169" i="5"/>
  <c r="Y177" i="5"/>
  <c r="Y139" i="5"/>
  <c r="Y147" i="5"/>
  <c r="Y155" i="5"/>
  <c r="Y163" i="5"/>
  <c r="Y165" i="5"/>
  <c r="Y134" i="5"/>
  <c r="Y166" i="5"/>
  <c r="Y135" i="5"/>
  <c r="Y183" i="5"/>
  <c r="Y127" i="5"/>
  <c r="Y130" i="5"/>
  <c r="Y138" i="5"/>
  <c r="Y146" i="5"/>
  <c r="Y154" i="5"/>
  <c r="Y162" i="5"/>
  <c r="Y170" i="5"/>
  <c r="Y178" i="5"/>
  <c r="Y129" i="5"/>
  <c r="Y179" i="5"/>
  <c r="Y157" i="5"/>
  <c r="Y133" i="5"/>
  <c r="Y151" i="5"/>
  <c r="Y175" i="5"/>
  <c r="Y125" i="5"/>
  <c r="Y126" i="5"/>
  <c r="Y140" i="5"/>
  <c r="Y148" i="5"/>
  <c r="Y156" i="5"/>
  <c r="Y164" i="5"/>
  <c r="Y172" i="5"/>
  <c r="Y180" i="5"/>
  <c r="Y99" i="5"/>
  <c r="Y131" i="5"/>
  <c r="Y132" i="5"/>
  <c r="Y141" i="5"/>
  <c r="Y149" i="5"/>
  <c r="Y181" i="5"/>
  <c r="Y150" i="5"/>
  <c r="Y158" i="5"/>
  <c r="Y174" i="5"/>
  <c r="Y123" i="5"/>
  <c r="Y167" i="5"/>
  <c r="Y143" i="5"/>
  <c r="Y159" i="5"/>
  <c r="Y76" i="5"/>
  <c r="Y58" i="5"/>
  <c r="Y87" i="5" s="1"/>
  <c r="AD47" i="10"/>
  <c r="AD58" i="10" s="1"/>
  <c r="AD87" i="10" s="1"/>
  <c r="AD191" i="10"/>
  <c r="Y102" i="5"/>
  <c r="Y91" i="5" l="1"/>
  <c r="Y101" i="5"/>
  <c r="Z188" i="5"/>
  <c r="Y57" i="5"/>
  <c r="Y86" i="5" s="1"/>
  <c r="AA47" i="7"/>
  <c r="AA58" i="7" s="1"/>
  <c r="AA87" i="7" s="1"/>
  <c r="AA191" i="7"/>
  <c r="AA201" i="7"/>
  <c r="AA75" i="7"/>
  <c r="AD192" i="10"/>
  <c r="Y100" i="5"/>
  <c r="AD200" i="10"/>
  <c r="AD57" i="10"/>
  <c r="AD86" i="10" s="1"/>
  <c r="AD25" i="10"/>
  <c r="AD28" i="10" s="1"/>
  <c r="AE22" i="10" s="1"/>
  <c r="AD183" i="10"/>
  <c r="AD153" i="10"/>
  <c r="AD147" i="10"/>
  <c r="AD139" i="10"/>
  <c r="AD155" i="10"/>
  <c r="AD148" i="10"/>
  <c r="AD151" i="10"/>
  <c r="AD157" i="10"/>
  <c r="AD136" i="10"/>
  <c r="AD159" i="10"/>
  <c r="AD182" i="10"/>
  <c r="AD137" i="10"/>
  <c r="AD156" i="10"/>
  <c r="AD135" i="10"/>
  <c r="AD178" i="10"/>
  <c r="AD128" i="10"/>
  <c r="AD176" i="10"/>
  <c r="AD172" i="10"/>
  <c r="AD133" i="10"/>
  <c r="AD146" i="10"/>
  <c r="AD150" i="10"/>
  <c r="AD165" i="10"/>
  <c r="AD142" i="10"/>
  <c r="AD180" i="10"/>
  <c r="AD144" i="10"/>
  <c r="AD177" i="10"/>
  <c r="AD158" i="10"/>
  <c r="AD164" i="10"/>
  <c r="AD134" i="10"/>
  <c r="AD145" i="10"/>
  <c r="AD166" i="10"/>
  <c r="AD168" i="10"/>
  <c r="AD174" i="10"/>
  <c r="AD162" i="10"/>
  <c r="AD138" i="10"/>
  <c r="AD181" i="10"/>
  <c r="AD160" i="10"/>
  <c r="AD169" i="10"/>
  <c r="AD99" i="10"/>
  <c r="AD149" i="10"/>
  <c r="AD154" i="10"/>
  <c r="AD170" i="10"/>
  <c r="AD167" i="10"/>
  <c r="AD171" i="10"/>
  <c r="AD130" i="10"/>
  <c r="AD132" i="10"/>
  <c r="AD143" i="10"/>
  <c r="AD175" i="10"/>
  <c r="AD163" i="10"/>
  <c r="AD161" i="10"/>
  <c r="AD141" i="10"/>
  <c r="AD140" i="10"/>
  <c r="AD179" i="10"/>
  <c r="AD131" i="10"/>
  <c r="AD152" i="10"/>
  <c r="AD173" i="10"/>
  <c r="AD129" i="10"/>
  <c r="AD76" i="10"/>
  <c r="AD102" i="10"/>
  <c r="AD100" i="10" l="1"/>
  <c r="Y93" i="5"/>
  <c r="Z190" i="5"/>
  <c r="AA192" i="7"/>
  <c r="AE188" i="10"/>
  <c r="AD101" i="10"/>
  <c r="AD91" i="10"/>
  <c r="AA200" i="7"/>
  <c r="AA57" i="7"/>
  <c r="AA86" i="7" s="1"/>
  <c r="AA25" i="7"/>
  <c r="AA28" i="7" s="1"/>
  <c r="AB22" i="7" s="1"/>
  <c r="AA99" i="7"/>
  <c r="AA135" i="7"/>
  <c r="AA146" i="7"/>
  <c r="AA136" i="7"/>
  <c r="AA150" i="7"/>
  <c r="AA159" i="7"/>
  <c r="AA167" i="7"/>
  <c r="AA175" i="7"/>
  <c r="AA183" i="7"/>
  <c r="AA154" i="7"/>
  <c r="AA131" i="7"/>
  <c r="AA141" i="7"/>
  <c r="AA139" i="7"/>
  <c r="AA160" i="7"/>
  <c r="AA168" i="7"/>
  <c r="AA176" i="7"/>
  <c r="AA138" i="7"/>
  <c r="AA152" i="7"/>
  <c r="AA132" i="7"/>
  <c r="AA137" i="7"/>
  <c r="AA125" i="7"/>
  <c r="AA161" i="7"/>
  <c r="AA169" i="7"/>
  <c r="AA177" i="7"/>
  <c r="AA142" i="7"/>
  <c r="AA162" i="7"/>
  <c r="AA170" i="7"/>
  <c r="AA178" i="7"/>
  <c r="AA149" i="7"/>
  <c r="AA128" i="7"/>
  <c r="AA163" i="7"/>
  <c r="AA179" i="7"/>
  <c r="AA157" i="7"/>
  <c r="AA181" i="7"/>
  <c r="AA130" i="7"/>
  <c r="AA144" i="7"/>
  <c r="AA155" i="7"/>
  <c r="AA171" i="7"/>
  <c r="AA145" i="7"/>
  <c r="AA147" i="7"/>
  <c r="AA140" i="7"/>
  <c r="AA127" i="7"/>
  <c r="AA126" i="7"/>
  <c r="AA156" i="7"/>
  <c r="AA164" i="7"/>
  <c r="AA172" i="7"/>
  <c r="AA180" i="7"/>
  <c r="AA129" i="7"/>
  <c r="AA173" i="7"/>
  <c r="AA148" i="7"/>
  <c r="AA133" i="7"/>
  <c r="AA165" i="7"/>
  <c r="AA153" i="7"/>
  <c r="AA134" i="7"/>
  <c r="AA143" i="7"/>
  <c r="AA151" i="7"/>
  <c r="AA158" i="7"/>
  <c r="AA166" i="7"/>
  <c r="AA174" i="7"/>
  <c r="AA182" i="7"/>
  <c r="AA76" i="7"/>
  <c r="AA102" i="7"/>
  <c r="Z191" i="5" l="1"/>
  <c r="Z193" i="5"/>
  <c r="Z194" i="5" s="1"/>
  <c r="Z46" i="5" s="1"/>
  <c r="AB188" i="7"/>
  <c r="AA100" i="7"/>
  <c r="AE190" i="10"/>
  <c r="AA91" i="7"/>
  <c r="AA101" i="7"/>
  <c r="AD93" i="10"/>
  <c r="AE191" i="10" l="1"/>
  <c r="AE193" i="10"/>
  <c r="AE194" i="10" s="1"/>
  <c r="AE46" i="10" s="1"/>
  <c r="Z201" i="5"/>
  <c r="Z75" i="5"/>
  <c r="AA93" i="7"/>
  <c r="Z192" i="5"/>
  <c r="AB190" i="7"/>
  <c r="Z47" i="5"/>
  <c r="Z200" i="5" l="1"/>
  <c r="Z25" i="5"/>
  <c r="Z28" i="5" s="1"/>
  <c r="AA22" i="5" s="1"/>
  <c r="Z132" i="5"/>
  <c r="Z135" i="5"/>
  <c r="Z143" i="5"/>
  <c r="Z151" i="5"/>
  <c r="Z159" i="5"/>
  <c r="Z167" i="5"/>
  <c r="Z175" i="5"/>
  <c r="Z183" i="5"/>
  <c r="Z136" i="5"/>
  <c r="Z152" i="5"/>
  <c r="Z168" i="5"/>
  <c r="Z161" i="5"/>
  <c r="Z146" i="5"/>
  <c r="Z178" i="5"/>
  <c r="Z155" i="5"/>
  <c r="Z126" i="5"/>
  <c r="Z172" i="5"/>
  <c r="Z181" i="5"/>
  <c r="Z158" i="5"/>
  <c r="Z182" i="5"/>
  <c r="Z99" i="5"/>
  <c r="Z130" i="5"/>
  <c r="Z144" i="5"/>
  <c r="Z160" i="5"/>
  <c r="Z176" i="5"/>
  <c r="Z177" i="5"/>
  <c r="Z128" i="5"/>
  <c r="Z154" i="5"/>
  <c r="Z162" i="5"/>
  <c r="Z147" i="5"/>
  <c r="Z171" i="5"/>
  <c r="Z148" i="5"/>
  <c r="Z141" i="5"/>
  <c r="Z142" i="5"/>
  <c r="Z129" i="5"/>
  <c r="Z137" i="5"/>
  <c r="Z145" i="5"/>
  <c r="Z153" i="5"/>
  <c r="Z169" i="5"/>
  <c r="Z138" i="5"/>
  <c r="Z170" i="5"/>
  <c r="Z179" i="5"/>
  <c r="Z156" i="5"/>
  <c r="Z124" i="5"/>
  <c r="Z149" i="5"/>
  <c r="Z165" i="5"/>
  <c r="Z134" i="5"/>
  <c r="Z166" i="5"/>
  <c r="Z131" i="5"/>
  <c r="Z125" i="5"/>
  <c r="Z139" i="5"/>
  <c r="Z163" i="5"/>
  <c r="Z127" i="5"/>
  <c r="Z140" i="5"/>
  <c r="Z164" i="5"/>
  <c r="Z180" i="5"/>
  <c r="Z157" i="5"/>
  <c r="Z173" i="5"/>
  <c r="Z133" i="5"/>
  <c r="Z150" i="5"/>
  <c r="Z174" i="5"/>
  <c r="Z76" i="5"/>
  <c r="AB191" i="7"/>
  <c r="AB193" i="7"/>
  <c r="AB194" i="7" s="1"/>
  <c r="AB46" i="7" s="1"/>
  <c r="Z58" i="5"/>
  <c r="Z87" i="5" s="1"/>
  <c r="AE37" i="11"/>
  <c r="AE38" i="11" s="1"/>
  <c r="AE201" i="10"/>
  <c r="AE75" i="10"/>
  <c r="AE192" i="10"/>
  <c r="AE47" i="10"/>
  <c r="Z102" i="5"/>
  <c r="AB192" i="7" l="1"/>
  <c r="Z100" i="5"/>
  <c r="AA188" i="5"/>
  <c r="AE200" i="10"/>
  <c r="AE25" i="10"/>
  <c r="AE28" i="10" s="1"/>
  <c r="AF22" i="10" s="1"/>
  <c r="AE164" i="10"/>
  <c r="AE177" i="10"/>
  <c r="AE180" i="10"/>
  <c r="AE174" i="10"/>
  <c r="AE143" i="10"/>
  <c r="AE176" i="10"/>
  <c r="AE137" i="10"/>
  <c r="AE160" i="10"/>
  <c r="AE166" i="10"/>
  <c r="AE168" i="10"/>
  <c r="AE165" i="10"/>
  <c r="AE99" i="10"/>
  <c r="AE141" i="10"/>
  <c r="AE133" i="10"/>
  <c r="AE135" i="10"/>
  <c r="AE129" i="10"/>
  <c r="AE156" i="10"/>
  <c r="AE149" i="10"/>
  <c r="AE144" i="10"/>
  <c r="AE162" i="10"/>
  <c r="AE183" i="10"/>
  <c r="AE178" i="10"/>
  <c r="AE145" i="10"/>
  <c r="AE153" i="10"/>
  <c r="AE151" i="10"/>
  <c r="AE169" i="10"/>
  <c r="AE130" i="10"/>
  <c r="AE154" i="10"/>
  <c r="AE155" i="10"/>
  <c r="AE140" i="10"/>
  <c r="AE173" i="10"/>
  <c r="AE148" i="10"/>
  <c r="AE139" i="10"/>
  <c r="AE134" i="10"/>
  <c r="AE171" i="10"/>
  <c r="AE136" i="10"/>
  <c r="AE170" i="10"/>
  <c r="AE138" i="10"/>
  <c r="AE150" i="10"/>
  <c r="AE161" i="10"/>
  <c r="AE175" i="10"/>
  <c r="AE182" i="10"/>
  <c r="AE163" i="10"/>
  <c r="AE172" i="10"/>
  <c r="AE152" i="10"/>
  <c r="AE132" i="10"/>
  <c r="AE146" i="10"/>
  <c r="AE131" i="10"/>
  <c r="AE179" i="10"/>
  <c r="AE147" i="10"/>
  <c r="AE142" i="10"/>
  <c r="AE167" i="10"/>
  <c r="AE159" i="10"/>
  <c r="AE181" i="10"/>
  <c r="AE158" i="10"/>
  <c r="AE157" i="10"/>
  <c r="AE76" i="10"/>
  <c r="AB47" i="7"/>
  <c r="AB58" i="7" s="1"/>
  <c r="AB87" i="7" s="1"/>
  <c r="Z91" i="5"/>
  <c r="Z101" i="5"/>
  <c r="Z57" i="5"/>
  <c r="Z86" i="5" s="1"/>
  <c r="AB201" i="7"/>
  <c r="AB75" i="7"/>
  <c r="AE58" i="10"/>
  <c r="AE87" i="10" s="1"/>
  <c r="AE102" i="10"/>
  <c r="AE100" i="10" l="1"/>
  <c r="AE101" i="10"/>
  <c r="AE91" i="10"/>
  <c r="AE57" i="10"/>
  <c r="AE86" i="10" s="1"/>
  <c r="AA190" i="5"/>
  <c r="AA193" i="5" s="1"/>
  <c r="AA194" i="5" s="1"/>
  <c r="AA46" i="5" s="1"/>
  <c r="AB200" i="7"/>
  <c r="AB57" i="7"/>
  <c r="AB86" i="7" s="1"/>
  <c r="AB25" i="7"/>
  <c r="AB28" i="7" s="1"/>
  <c r="AC22" i="7" s="1"/>
  <c r="AB136" i="7"/>
  <c r="AB151" i="7"/>
  <c r="AB134" i="7"/>
  <c r="AB156" i="7"/>
  <c r="AB164" i="7"/>
  <c r="AB172" i="7"/>
  <c r="AB180" i="7"/>
  <c r="AB154" i="7"/>
  <c r="AB146" i="7"/>
  <c r="AB132" i="7"/>
  <c r="AB165" i="7"/>
  <c r="AB173" i="7"/>
  <c r="AB181" i="7"/>
  <c r="AB143" i="7"/>
  <c r="AB166" i="7"/>
  <c r="AB182" i="7"/>
  <c r="AB175" i="7"/>
  <c r="AB130" i="7"/>
  <c r="AB178" i="7"/>
  <c r="AB145" i="7"/>
  <c r="AB163" i="7"/>
  <c r="AB153" i="7"/>
  <c r="AB157" i="7"/>
  <c r="AB183" i="7"/>
  <c r="AB149" i="7"/>
  <c r="AB176" i="7"/>
  <c r="AB129" i="7"/>
  <c r="AB169" i="7"/>
  <c r="AB147" i="7"/>
  <c r="AB170" i="7"/>
  <c r="AB150" i="7"/>
  <c r="AB171" i="7"/>
  <c r="AB142" i="7"/>
  <c r="AB131" i="7"/>
  <c r="AB138" i="7"/>
  <c r="AB158" i="7"/>
  <c r="AB174" i="7"/>
  <c r="AB127" i="7"/>
  <c r="AB160" i="7"/>
  <c r="AB99" i="7"/>
  <c r="AB128" i="7"/>
  <c r="AB140" i="7"/>
  <c r="AB177" i="7"/>
  <c r="AB141" i="7"/>
  <c r="AB148" i="7"/>
  <c r="AB137" i="7"/>
  <c r="AB179" i="7"/>
  <c r="AB144" i="7"/>
  <c r="AB135" i="7"/>
  <c r="AB139" i="7"/>
  <c r="AB159" i="7"/>
  <c r="AB167" i="7"/>
  <c r="AB133" i="7"/>
  <c r="AB168" i="7"/>
  <c r="AB126" i="7"/>
  <c r="AB161" i="7"/>
  <c r="AB152" i="7"/>
  <c r="AB162" i="7"/>
  <c r="AB155" i="7"/>
  <c r="AB76" i="7"/>
  <c r="Z93" i="5"/>
  <c r="AF188" i="10"/>
  <c r="AB102" i="7"/>
  <c r="AA201" i="5" l="1"/>
  <c r="AA75" i="5"/>
  <c r="AB100" i="7"/>
  <c r="AC188" i="7"/>
  <c r="AB91" i="7"/>
  <c r="AB101" i="7"/>
  <c r="AE93" i="10"/>
  <c r="AA47" i="5"/>
  <c r="AA191" i="5"/>
  <c r="AF190" i="10"/>
  <c r="AF193" i="10" s="1"/>
  <c r="AF194" i="10" s="1"/>
  <c r="AF46" i="10" s="1"/>
  <c r="AA192" i="5" l="1"/>
  <c r="AB93" i="7"/>
  <c r="AF37" i="11"/>
  <c r="AF38" i="11" s="1"/>
  <c r="AF201" i="10"/>
  <c r="AF75" i="10"/>
  <c r="AA200" i="5"/>
  <c r="AA57" i="5"/>
  <c r="AA86" i="5" s="1"/>
  <c r="AA25" i="5"/>
  <c r="AA28" i="5" s="1"/>
  <c r="AB22" i="5" s="1"/>
  <c r="AA129" i="5"/>
  <c r="AA141" i="5"/>
  <c r="AA149" i="5"/>
  <c r="AA157" i="5"/>
  <c r="AA165" i="5"/>
  <c r="AA173" i="5"/>
  <c r="AA181" i="5"/>
  <c r="AA131" i="5"/>
  <c r="AA130" i="5"/>
  <c r="AA142" i="5"/>
  <c r="AA150" i="5"/>
  <c r="AA158" i="5"/>
  <c r="AA166" i="5"/>
  <c r="AA174" i="5"/>
  <c r="AA182" i="5"/>
  <c r="AA99" i="5"/>
  <c r="AA127" i="5"/>
  <c r="AA126" i="5"/>
  <c r="AA143" i="5"/>
  <c r="AA151" i="5"/>
  <c r="AA159" i="5"/>
  <c r="AA167" i="5"/>
  <c r="AA175" i="5"/>
  <c r="AA183" i="5"/>
  <c r="AA134" i="5"/>
  <c r="AA136" i="5"/>
  <c r="AA144" i="5"/>
  <c r="AA152" i="5"/>
  <c r="AA160" i="5"/>
  <c r="AA168" i="5"/>
  <c r="AA176" i="5"/>
  <c r="AA133" i="5"/>
  <c r="AA137" i="5"/>
  <c r="AA145" i="5"/>
  <c r="AA153" i="5"/>
  <c r="AA161" i="5"/>
  <c r="AA169" i="5"/>
  <c r="AA177" i="5"/>
  <c r="AA128" i="5"/>
  <c r="AA138" i="5"/>
  <c r="AA146" i="5"/>
  <c r="AA162" i="5"/>
  <c r="AA170" i="5"/>
  <c r="AA178" i="5"/>
  <c r="AA154" i="5"/>
  <c r="AA132" i="5"/>
  <c r="AA139" i="5"/>
  <c r="AA147" i="5"/>
  <c r="AA155" i="5"/>
  <c r="AA163" i="5"/>
  <c r="AA171" i="5"/>
  <c r="AA179" i="5"/>
  <c r="AA135" i="5"/>
  <c r="AA125" i="5"/>
  <c r="AA140" i="5"/>
  <c r="AA148" i="5"/>
  <c r="AA156" i="5"/>
  <c r="AA164" i="5"/>
  <c r="AA172" i="5"/>
  <c r="AA180" i="5"/>
  <c r="AA76" i="5"/>
  <c r="AC190" i="7"/>
  <c r="AF47" i="10"/>
  <c r="AF58" i="10" s="1"/>
  <c r="AF87" i="10" s="1"/>
  <c r="AF191" i="10"/>
  <c r="AA58" i="5"/>
  <c r="AA87" i="5" s="1"/>
  <c r="AA102" i="5"/>
  <c r="AF192" i="10" l="1"/>
  <c r="AC191" i="7"/>
  <c r="AB188" i="5"/>
  <c r="AA101" i="5"/>
  <c r="AA91" i="5"/>
  <c r="AA100" i="5"/>
  <c r="AF200" i="10"/>
  <c r="AF25" i="10"/>
  <c r="AF28" i="10" s="1"/>
  <c r="AG22" i="10" s="1"/>
  <c r="AF57" i="10"/>
  <c r="AF86" i="10" s="1"/>
  <c r="AF99" i="10"/>
  <c r="AF150" i="10"/>
  <c r="AF146" i="10"/>
  <c r="AF164" i="10"/>
  <c r="AF183" i="10"/>
  <c r="AF169" i="10"/>
  <c r="AF144" i="10"/>
  <c r="AF175" i="10"/>
  <c r="AF134" i="10"/>
  <c r="AF168" i="10"/>
  <c r="AF160" i="10"/>
  <c r="AF141" i="10"/>
  <c r="AF143" i="10"/>
  <c r="AF148" i="10"/>
  <c r="AF135" i="10"/>
  <c r="AF131" i="10"/>
  <c r="AF174" i="10"/>
  <c r="AF166" i="10"/>
  <c r="AF156" i="10"/>
  <c r="AF151" i="10"/>
  <c r="AF145" i="10"/>
  <c r="AF140" i="10"/>
  <c r="AF163" i="10"/>
  <c r="AF155" i="10"/>
  <c r="AF182" i="10"/>
  <c r="AF147" i="10"/>
  <c r="AF138" i="10"/>
  <c r="AF142" i="10"/>
  <c r="AF179" i="10"/>
  <c r="AF173" i="10"/>
  <c r="AF133" i="10"/>
  <c r="AF176" i="10"/>
  <c r="AF157" i="10"/>
  <c r="AF180" i="10"/>
  <c r="AF154" i="10"/>
  <c r="AF149" i="10"/>
  <c r="AF161" i="10"/>
  <c r="AF170" i="10"/>
  <c r="AF162" i="10"/>
  <c r="AF177" i="10"/>
  <c r="AF130" i="10"/>
  <c r="AF153" i="10"/>
  <c r="AF132" i="10"/>
  <c r="AF136" i="10"/>
  <c r="AF181" i="10"/>
  <c r="AF158" i="10"/>
  <c r="AF178" i="10"/>
  <c r="AF137" i="10"/>
  <c r="AF171" i="10"/>
  <c r="AF152" i="10"/>
  <c r="AF159" i="10"/>
  <c r="AF139" i="10"/>
  <c r="AF165" i="10"/>
  <c r="AF172" i="10"/>
  <c r="AF167" i="10"/>
  <c r="AF76" i="10"/>
  <c r="AC193" i="7"/>
  <c r="AC194" i="7" s="1"/>
  <c r="AC46" i="7" s="1"/>
  <c r="AF102" i="10"/>
  <c r="AC47" i="7" l="1"/>
  <c r="AG188" i="10"/>
  <c r="AB190" i="5"/>
  <c r="AB193" i="5" s="1"/>
  <c r="AB194" i="5" s="1"/>
  <c r="AB46" i="5" s="1"/>
  <c r="AC200" i="7"/>
  <c r="AC25" i="7"/>
  <c r="AC28" i="7" s="1"/>
  <c r="AD22" i="7" s="1"/>
  <c r="AC148" i="7"/>
  <c r="AC143" i="7"/>
  <c r="AC140" i="7"/>
  <c r="AC156" i="7"/>
  <c r="AC159" i="7"/>
  <c r="AC167" i="7"/>
  <c r="AC175" i="7"/>
  <c r="AC183" i="7"/>
  <c r="AC133" i="7"/>
  <c r="AC162" i="7"/>
  <c r="AC178" i="7"/>
  <c r="AC129" i="7"/>
  <c r="AC136" i="7"/>
  <c r="AC163" i="7"/>
  <c r="AC179" i="7"/>
  <c r="AC131" i="7"/>
  <c r="AC165" i="7"/>
  <c r="AC139" i="7"/>
  <c r="AC132" i="7"/>
  <c r="AC137" i="7"/>
  <c r="AC146" i="7"/>
  <c r="AC135" i="7"/>
  <c r="AC160" i="7"/>
  <c r="AC168" i="7"/>
  <c r="AC176" i="7"/>
  <c r="AC151" i="7"/>
  <c r="AC128" i="7"/>
  <c r="AC170" i="7"/>
  <c r="AC154" i="7"/>
  <c r="AC130" i="7"/>
  <c r="AC171" i="7"/>
  <c r="AC153" i="7"/>
  <c r="AC181" i="7"/>
  <c r="AC141" i="7"/>
  <c r="AC99" i="7"/>
  <c r="AC142" i="7"/>
  <c r="AC134" i="7"/>
  <c r="AC150" i="7"/>
  <c r="AC145" i="7"/>
  <c r="AC161" i="7"/>
  <c r="AC169" i="7"/>
  <c r="AC177" i="7"/>
  <c r="AC149" i="7"/>
  <c r="AC144" i="7"/>
  <c r="AC152" i="7"/>
  <c r="AC155" i="7"/>
  <c r="AC147" i="7"/>
  <c r="AC138" i="7"/>
  <c r="AC127" i="7"/>
  <c r="AC164" i="7"/>
  <c r="AC172" i="7"/>
  <c r="AC180" i="7"/>
  <c r="AC157" i="7"/>
  <c r="AC173" i="7"/>
  <c r="AC158" i="7"/>
  <c r="AC166" i="7"/>
  <c r="AC174" i="7"/>
  <c r="AC182" i="7"/>
  <c r="AC76" i="7"/>
  <c r="AC192" i="7"/>
  <c r="AF100" i="10"/>
  <c r="AA93" i="5"/>
  <c r="AC201" i="7"/>
  <c r="AC58" i="7"/>
  <c r="AC87" i="7" s="1"/>
  <c r="AC75" i="7"/>
  <c r="AF101" i="10"/>
  <c r="AF91" i="10"/>
  <c r="AC102" i="7"/>
  <c r="AC57" i="7" l="1"/>
  <c r="AC86" i="7" s="1"/>
  <c r="AB201" i="5"/>
  <c r="AB75" i="5"/>
  <c r="AF93" i="10"/>
  <c r="AC101" i="7"/>
  <c r="AC91" i="7"/>
  <c r="AB47" i="5"/>
  <c r="AB191" i="5"/>
  <c r="AC100" i="7"/>
  <c r="AG190" i="10"/>
  <c r="AD188" i="7"/>
  <c r="AC93" i="7" l="1"/>
  <c r="AD190" i="7"/>
  <c r="AB200" i="5"/>
  <c r="AB25" i="5"/>
  <c r="AB28" i="5" s="1"/>
  <c r="AC22" i="5" s="1"/>
  <c r="AB126" i="5"/>
  <c r="AB132" i="5"/>
  <c r="AB143" i="5"/>
  <c r="AB151" i="5"/>
  <c r="AB159" i="5"/>
  <c r="AB167" i="5"/>
  <c r="AB175" i="5"/>
  <c r="AB183" i="5"/>
  <c r="AB133" i="5"/>
  <c r="AB144" i="5"/>
  <c r="AB152" i="5"/>
  <c r="AB160" i="5"/>
  <c r="AB176" i="5"/>
  <c r="AB137" i="5"/>
  <c r="AB153" i="5"/>
  <c r="AB169" i="5"/>
  <c r="AB146" i="5"/>
  <c r="AB162" i="5"/>
  <c r="AB178" i="5"/>
  <c r="AB99" i="5"/>
  <c r="AB139" i="5"/>
  <c r="AB163" i="5"/>
  <c r="AB179" i="5"/>
  <c r="AB156" i="5"/>
  <c r="AB136" i="5"/>
  <c r="AB168" i="5"/>
  <c r="AB145" i="5"/>
  <c r="AB161" i="5"/>
  <c r="AB177" i="5"/>
  <c r="AB138" i="5"/>
  <c r="AB154" i="5"/>
  <c r="AB170" i="5"/>
  <c r="AB135" i="5"/>
  <c r="AB147" i="5"/>
  <c r="AB171" i="5"/>
  <c r="AB131" i="5"/>
  <c r="AB155" i="5"/>
  <c r="AB134" i="5"/>
  <c r="AB148" i="5"/>
  <c r="AB180" i="5"/>
  <c r="AB130" i="5"/>
  <c r="AB127" i="5"/>
  <c r="AB141" i="5"/>
  <c r="AB149" i="5"/>
  <c r="AB157" i="5"/>
  <c r="AB165" i="5"/>
  <c r="AB173" i="5"/>
  <c r="AB181" i="5"/>
  <c r="AB128" i="5"/>
  <c r="AB142" i="5"/>
  <c r="AB150" i="5"/>
  <c r="AB166" i="5"/>
  <c r="AB182" i="5"/>
  <c r="AB164" i="5"/>
  <c r="AB129" i="5"/>
  <c r="AB158" i="5"/>
  <c r="AB174" i="5"/>
  <c r="AB140" i="5"/>
  <c r="AB172" i="5"/>
  <c r="AB76" i="5"/>
  <c r="AG191" i="10"/>
  <c r="AB58" i="5"/>
  <c r="AB87" i="5" s="1"/>
  <c r="AB192" i="5"/>
  <c r="AG193" i="10"/>
  <c r="AG194" i="10" s="1"/>
  <c r="AG46" i="10" s="1"/>
  <c r="AB102" i="5"/>
  <c r="AB57" i="5" l="1"/>
  <c r="AB86" i="5" s="1"/>
  <c r="AG47" i="10"/>
  <c r="AG146" i="10" s="1"/>
  <c r="AB100" i="5"/>
  <c r="AG192" i="10"/>
  <c r="AC188" i="5"/>
  <c r="AG37" i="11"/>
  <c r="AG38" i="11" s="1"/>
  <c r="AG201" i="10"/>
  <c r="AG58" i="10"/>
  <c r="AG87" i="10" s="1"/>
  <c r="AG75" i="10"/>
  <c r="AD191" i="7"/>
  <c r="AD193" i="7"/>
  <c r="AD194" i="7" s="1"/>
  <c r="AD46" i="7" s="1"/>
  <c r="AG200" i="10"/>
  <c r="AG25" i="10"/>
  <c r="AG28" i="10" s="1"/>
  <c r="AH22" i="10" s="1"/>
  <c r="AG99" i="10"/>
  <c r="AG182" i="10"/>
  <c r="AG157" i="10"/>
  <c r="AG154" i="10"/>
  <c r="AG156" i="10"/>
  <c r="AG142" i="10"/>
  <c r="AG165" i="10"/>
  <c r="AG183" i="10"/>
  <c r="AG135" i="10"/>
  <c r="AG151" i="10"/>
  <c r="AG176" i="10"/>
  <c r="AG148" i="10"/>
  <c r="AG167" i="10"/>
  <c r="AG178" i="10"/>
  <c r="AG152" i="10"/>
  <c r="AG147" i="10"/>
  <c r="AG132" i="10"/>
  <c r="AG153" i="10"/>
  <c r="AG131" i="10"/>
  <c r="AG139" i="10"/>
  <c r="AG174" i="10"/>
  <c r="AG161" i="10"/>
  <c r="AG159" i="10"/>
  <c r="AG169" i="10"/>
  <c r="AG144" i="10"/>
  <c r="AG179" i="10"/>
  <c r="AG155" i="10"/>
  <c r="AG141" i="10"/>
  <c r="AG173" i="10"/>
  <c r="AG180" i="10"/>
  <c r="AG145" i="10"/>
  <c r="AG170" i="10"/>
  <c r="AG175" i="10"/>
  <c r="AG168" i="10"/>
  <c r="AG171" i="10"/>
  <c r="AG164" i="10"/>
  <c r="AG177" i="10"/>
  <c r="AG136" i="10"/>
  <c r="AG137" i="10"/>
  <c r="AG163" i="10"/>
  <c r="AG134" i="10"/>
  <c r="AG160" i="10"/>
  <c r="AG140" i="10"/>
  <c r="AG166" i="10"/>
  <c r="AG133" i="10"/>
  <c r="AG149" i="10"/>
  <c r="AG158" i="10"/>
  <c r="AG172" i="10"/>
  <c r="AG162" i="10"/>
  <c r="AG143" i="10"/>
  <c r="AG76" i="10"/>
  <c r="AB101" i="5"/>
  <c r="AB91" i="5"/>
  <c r="AG102" i="10"/>
  <c r="AG150" i="10" l="1"/>
  <c r="AG138" i="10"/>
  <c r="AG181" i="10"/>
  <c r="AG57" i="10"/>
  <c r="AG86" i="10" s="1"/>
  <c r="AD201" i="7"/>
  <c r="AD75" i="7"/>
  <c r="AG100" i="10"/>
  <c r="AB93" i="5"/>
  <c r="AC190" i="5"/>
  <c r="AD192" i="7"/>
  <c r="AD47" i="7"/>
  <c r="AD58" i="7" s="1"/>
  <c r="AD87" i="7" s="1"/>
  <c r="AG91" i="10"/>
  <c r="AG101" i="10"/>
  <c r="AH188" i="10"/>
  <c r="AG93" i="10" l="1"/>
  <c r="AD200" i="7"/>
  <c r="AD25" i="7"/>
  <c r="AD28" i="7" s="1"/>
  <c r="AE22" i="7" s="1"/>
  <c r="AD57" i="7"/>
  <c r="AD86" i="7" s="1"/>
  <c r="AD150" i="7"/>
  <c r="AD155" i="7"/>
  <c r="AD139" i="7"/>
  <c r="AD145" i="7"/>
  <c r="AD161" i="7"/>
  <c r="AD169" i="7"/>
  <c r="AD177" i="7"/>
  <c r="AD157" i="7"/>
  <c r="AD128" i="7"/>
  <c r="AD170" i="7"/>
  <c r="AD99" i="7"/>
  <c r="AD133" i="7"/>
  <c r="AD144" i="7"/>
  <c r="AD141" i="7"/>
  <c r="AD163" i="7"/>
  <c r="AD171" i="7"/>
  <c r="AD179" i="7"/>
  <c r="AD136" i="7"/>
  <c r="AD156" i="7"/>
  <c r="AD149" i="7"/>
  <c r="AD138" i="7"/>
  <c r="AD165" i="7"/>
  <c r="AD173" i="7"/>
  <c r="AD181" i="7"/>
  <c r="AD152" i="7"/>
  <c r="AD140" i="7"/>
  <c r="AD158" i="7"/>
  <c r="AD166" i="7"/>
  <c r="AD174" i="7"/>
  <c r="AD182" i="7"/>
  <c r="AD135" i="7"/>
  <c r="AD146" i="7"/>
  <c r="AD162" i="7"/>
  <c r="AD178" i="7"/>
  <c r="AD143" i="7"/>
  <c r="AD147" i="7"/>
  <c r="AD153" i="7"/>
  <c r="AD154" i="7"/>
  <c r="AD164" i="7"/>
  <c r="AD172" i="7"/>
  <c r="AD180" i="7"/>
  <c r="AD142" i="7"/>
  <c r="AD134" i="7"/>
  <c r="AD131" i="7"/>
  <c r="AD137" i="7"/>
  <c r="AD129" i="7"/>
  <c r="AD159" i="7"/>
  <c r="AD167" i="7"/>
  <c r="AD175" i="7"/>
  <c r="AD183" i="7"/>
  <c r="AD130" i="7"/>
  <c r="AD148" i="7"/>
  <c r="AD151" i="7"/>
  <c r="AD160" i="7"/>
  <c r="AD168" i="7"/>
  <c r="AD176" i="7"/>
  <c r="AD132" i="7"/>
  <c r="AD76" i="7"/>
  <c r="AC191" i="5"/>
  <c r="AC193" i="5"/>
  <c r="AC194" i="5" s="1"/>
  <c r="AC46" i="5" s="1"/>
  <c r="AH190" i="10"/>
  <c r="AD102" i="7"/>
  <c r="AH191" i="10" l="1"/>
  <c r="AC192" i="5"/>
  <c r="AE188" i="7"/>
  <c r="AC47" i="5"/>
  <c r="AC58" i="5" s="1"/>
  <c r="AC87" i="5" s="1"/>
  <c r="AH193" i="10"/>
  <c r="AH194" i="10" s="1"/>
  <c r="AH46" i="10" s="1"/>
  <c r="AC201" i="5"/>
  <c r="AC75" i="5"/>
  <c r="AD101" i="7"/>
  <c r="AD91" i="7"/>
  <c r="AD100" i="7"/>
  <c r="AD93" i="7" l="1"/>
  <c r="AH37" i="11"/>
  <c r="AH38" i="11" s="1"/>
  <c r="AH201" i="10"/>
  <c r="AH75" i="10"/>
  <c r="AH192" i="10"/>
  <c r="AE190" i="7"/>
  <c r="AE193" i="7" s="1"/>
  <c r="AE194" i="7" s="1"/>
  <c r="AE46" i="7" s="1"/>
  <c r="AC200" i="5"/>
  <c r="AC57" i="5"/>
  <c r="AC86" i="5" s="1"/>
  <c r="AC25" i="5"/>
  <c r="AC28" i="5" s="1"/>
  <c r="AD22" i="5" s="1"/>
  <c r="AC127" i="5"/>
  <c r="AC141" i="5"/>
  <c r="AC149" i="5"/>
  <c r="AC157" i="5"/>
  <c r="AC165" i="5"/>
  <c r="AC173" i="5"/>
  <c r="AC181" i="5"/>
  <c r="AC134" i="5"/>
  <c r="AC128" i="5"/>
  <c r="AC142" i="5"/>
  <c r="AC150" i="5"/>
  <c r="AC158" i="5"/>
  <c r="AC166" i="5"/>
  <c r="AC174" i="5"/>
  <c r="AC182" i="5"/>
  <c r="AC175" i="5"/>
  <c r="AC133" i="5"/>
  <c r="AC152" i="5"/>
  <c r="AC168" i="5"/>
  <c r="AC145" i="5"/>
  <c r="AC161" i="5"/>
  <c r="AC177" i="5"/>
  <c r="AC135" i="5"/>
  <c r="AC129" i="5"/>
  <c r="AC136" i="5"/>
  <c r="AC143" i="5"/>
  <c r="AC151" i="5"/>
  <c r="AC159" i="5"/>
  <c r="AC167" i="5"/>
  <c r="AC183" i="5"/>
  <c r="AC144" i="5"/>
  <c r="AC160" i="5"/>
  <c r="AC176" i="5"/>
  <c r="AC153" i="5"/>
  <c r="AC169" i="5"/>
  <c r="AC131" i="5"/>
  <c r="AC155" i="5"/>
  <c r="AC179" i="5"/>
  <c r="AC156" i="5"/>
  <c r="AC99" i="5"/>
  <c r="AC130" i="5"/>
  <c r="AC137" i="5"/>
  <c r="AC147" i="5"/>
  <c r="AC171" i="5"/>
  <c r="AC138" i="5"/>
  <c r="AC146" i="5"/>
  <c r="AC154" i="5"/>
  <c r="AC162" i="5"/>
  <c r="AC170" i="5"/>
  <c r="AC178" i="5"/>
  <c r="AC139" i="5"/>
  <c r="AC163" i="5"/>
  <c r="AC132" i="5"/>
  <c r="AC148" i="5"/>
  <c r="AC172" i="5"/>
  <c r="AC140" i="5"/>
  <c r="AC164" i="5"/>
  <c r="AC180" i="5"/>
  <c r="AC76" i="5"/>
  <c r="AH47" i="10"/>
  <c r="AH58" i="10" s="1"/>
  <c r="AH87" i="10" s="1"/>
  <c r="AC102" i="5"/>
  <c r="AE201" i="7" l="1"/>
  <c r="AE75" i="7"/>
  <c r="AH200" i="10"/>
  <c r="AH57" i="10"/>
  <c r="AH86" i="10" s="1"/>
  <c r="AH25" i="10"/>
  <c r="AH28" i="10" s="1"/>
  <c r="AI22" i="10" s="1"/>
  <c r="AH133" i="10"/>
  <c r="AH166" i="10"/>
  <c r="AH141" i="10"/>
  <c r="AH160" i="10"/>
  <c r="AH134" i="10"/>
  <c r="AH147" i="10"/>
  <c r="AH154" i="10"/>
  <c r="AH181" i="10"/>
  <c r="AH179" i="10"/>
  <c r="AH137" i="10"/>
  <c r="AH183" i="10"/>
  <c r="AH176" i="10"/>
  <c r="AH138" i="10"/>
  <c r="AH149" i="10"/>
  <c r="AH150" i="10"/>
  <c r="AH174" i="10"/>
  <c r="AH159" i="10"/>
  <c r="AH135" i="10"/>
  <c r="AH182" i="10"/>
  <c r="AH148" i="10"/>
  <c r="AH165" i="10"/>
  <c r="AH153" i="10"/>
  <c r="AH180" i="10"/>
  <c r="AH136" i="10"/>
  <c r="AH162" i="10"/>
  <c r="AH169" i="10"/>
  <c r="AH157" i="10"/>
  <c r="AH152" i="10"/>
  <c r="AH168" i="10"/>
  <c r="AH155" i="10"/>
  <c r="AH167" i="10"/>
  <c r="AH170" i="10"/>
  <c r="AH172" i="10"/>
  <c r="AH132" i="10"/>
  <c r="AH163" i="10"/>
  <c r="AH146" i="10"/>
  <c r="AH140" i="10"/>
  <c r="AH177" i="10"/>
  <c r="AH143" i="10"/>
  <c r="AH158" i="10"/>
  <c r="AH139" i="10"/>
  <c r="AH161" i="10"/>
  <c r="AH178" i="10"/>
  <c r="AH99" i="10"/>
  <c r="AH156" i="10"/>
  <c r="AH142" i="10"/>
  <c r="AH164" i="10"/>
  <c r="AH145" i="10"/>
  <c r="AH175" i="10"/>
  <c r="AH151" i="10"/>
  <c r="AH171" i="10"/>
  <c r="AH173" i="10"/>
  <c r="AH144" i="10"/>
  <c r="AH76" i="10"/>
  <c r="AE47" i="7"/>
  <c r="AE191" i="7"/>
  <c r="AC101" i="5"/>
  <c r="AC91" i="5"/>
  <c r="AC100" i="5"/>
  <c r="AD188" i="5"/>
  <c r="AH102" i="10"/>
  <c r="AD190" i="5" l="1"/>
  <c r="AE200" i="7"/>
  <c r="AE25" i="7"/>
  <c r="AE28" i="7" s="1"/>
  <c r="AF22" i="7" s="1"/>
  <c r="AE157" i="7"/>
  <c r="AE136" i="7"/>
  <c r="AE143" i="7"/>
  <c r="AE154" i="7"/>
  <c r="AE160" i="7"/>
  <c r="AE168" i="7"/>
  <c r="AE176" i="7"/>
  <c r="AE130" i="7"/>
  <c r="AE135" i="7"/>
  <c r="AE148" i="7"/>
  <c r="AE170" i="7"/>
  <c r="AE147" i="7"/>
  <c r="AE153" i="7"/>
  <c r="AE163" i="7"/>
  <c r="AE179" i="7"/>
  <c r="AE131" i="7"/>
  <c r="AE142" i="7"/>
  <c r="AE164" i="7"/>
  <c r="AE172" i="7"/>
  <c r="AE180" i="7"/>
  <c r="AE155" i="7"/>
  <c r="AE140" i="7"/>
  <c r="AE165" i="7"/>
  <c r="AE173" i="7"/>
  <c r="AE181" i="7"/>
  <c r="AE144" i="7"/>
  <c r="AE145" i="7"/>
  <c r="AE133" i="7"/>
  <c r="AE141" i="7"/>
  <c r="AE161" i="7"/>
  <c r="AE169" i="7"/>
  <c r="AE177" i="7"/>
  <c r="AE149" i="7"/>
  <c r="AE162" i="7"/>
  <c r="AE178" i="7"/>
  <c r="AE129" i="7"/>
  <c r="AE171" i="7"/>
  <c r="AE99" i="7"/>
  <c r="AE134" i="7"/>
  <c r="AE132" i="7"/>
  <c r="AE152" i="7"/>
  <c r="AE146" i="7"/>
  <c r="AE139" i="7"/>
  <c r="AE151" i="7"/>
  <c r="AE138" i="7"/>
  <c r="AE158" i="7"/>
  <c r="AE166" i="7"/>
  <c r="AE174" i="7"/>
  <c r="AE182" i="7"/>
  <c r="AE150" i="7"/>
  <c r="AE137" i="7"/>
  <c r="AE156" i="7"/>
  <c r="AE159" i="7"/>
  <c r="AE167" i="7"/>
  <c r="AE175" i="7"/>
  <c r="AE183" i="7"/>
  <c r="AE76" i="7"/>
  <c r="AI188" i="10"/>
  <c r="AC93" i="5"/>
  <c r="AH100" i="10"/>
  <c r="AE58" i="7"/>
  <c r="AE87" i="7" s="1"/>
  <c r="AH91" i="10"/>
  <c r="AH101" i="10"/>
  <c r="AE192" i="7"/>
  <c r="AE102" i="7"/>
  <c r="AE57" i="7" l="1"/>
  <c r="AE86" i="7" s="1"/>
  <c r="AE100" i="7"/>
  <c r="AE101" i="7"/>
  <c r="AE91" i="7"/>
  <c r="AF188" i="7"/>
  <c r="AD191" i="5"/>
  <c r="AI190" i="10"/>
  <c r="AD193" i="5"/>
  <c r="AD194" i="5" s="1"/>
  <c r="AD46" i="5" s="1"/>
  <c r="AH93" i="10"/>
  <c r="AD201" i="5" l="1"/>
  <c r="AD75" i="5"/>
  <c r="AD192" i="5"/>
  <c r="AI191" i="10"/>
  <c r="AI193" i="10"/>
  <c r="AI194" i="10" s="1"/>
  <c r="AI46" i="10" s="1"/>
  <c r="AD47" i="5"/>
  <c r="AE93" i="7"/>
  <c r="AF190" i="7"/>
  <c r="AI47" i="10" l="1"/>
  <c r="AF191" i="7"/>
  <c r="AI192" i="10"/>
  <c r="AI200" i="10"/>
  <c r="AI25" i="10"/>
  <c r="AI28" i="10" s="1"/>
  <c r="AJ22" i="10" s="1"/>
  <c r="AI134" i="10"/>
  <c r="AI150" i="10"/>
  <c r="AI140" i="10"/>
  <c r="AI171" i="10"/>
  <c r="AI164" i="10"/>
  <c r="AI179" i="10"/>
  <c r="AI162" i="10"/>
  <c r="AI138" i="10"/>
  <c r="AI154" i="10"/>
  <c r="AI173" i="10"/>
  <c r="AI146" i="10"/>
  <c r="AI139" i="10"/>
  <c r="AI176" i="10"/>
  <c r="AI174" i="10"/>
  <c r="AI163" i="10"/>
  <c r="AI142" i="10"/>
  <c r="AI182" i="10"/>
  <c r="AI143" i="10"/>
  <c r="AI145" i="10"/>
  <c r="AI157" i="10"/>
  <c r="AI181" i="10"/>
  <c r="AI177" i="10"/>
  <c r="AI141" i="10"/>
  <c r="AI178" i="10"/>
  <c r="AI136" i="10"/>
  <c r="AI158" i="10"/>
  <c r="AI144" i="10"/>
  <c r="AI183" i="10"/>
  <c r="AI159" i="10"/>
  <c r="AI169" i="10"/>
  <c r="AI133" i="10"/>
  <c r="AI172" i="10"/>
  <c r="AI135" i="10"/>
  <c r="AI168" i="10"/>
  <c r="AI153" i="10"/>
  <c r="AI161" i="10"/>
  <c r="AI99" i="10"/>
  <c r="AI152" i="10"/>
  <c r="AI175" i="10"/>
  <c r="AI167" i="10"/>
  <c r="AI156" i="10"/>
  <c r="AI147" i="10"/>
  <c r="AI151" i="10"/>
  <c r="AI155" i="10"/>
  <c r="AI166" i="10"/>
  <c r="AI160" i="10"/>
  <c r="AI137" i="10"/>
  <c r="AI180" i="10"/>
  <c r="AI149" i="10"/>
  <c r="AI165" i="10"/>
  <c r="AI148" i="10"/>
  <c r="AI170" i="10"/>
  <c r="AI76" i="10"/>
  <c r="AF193" i="7"/>
  <c r="AF194" i="7" s="1"/>
  <c r="AF46" i="7" s="1"/>
  <c r="AD200" i="5"/>
  <c r="AD25" i="5"/>
  <c r="AD28" i="5" s="1"/>
  <c r="AE22" i="5" s="1"/>
  <c r="AD135" i="5"/>
  <c r="AD140" i="5"/>
  <c r="AD148" i="5"/>
  <c r="AD156" i="5"/>
  <c r="AD164" i="5"/>
  <c r="AD172" i="5"/>
  <c r="AD180" i="5"/>
  <c r="AD130" i="5"/>
  <c r="AD143" i="5"/>
  <c r="AD151" i="5"/>
  <c r="AD167" i="5"/>
  <c r="AD183" i="5"/>
  <c r="AD160" i="5"/>
  <c r="AD132" i="5"/>
  <c r="AD141" i="5"/>
  <c r="AD149" i="5"/>
  <c r="AD157" i="5"/>
  <c r="AD165" i="5"/>
  <c r="AD173" i="5"/>
  <c r="AD181" i="5"/>
  <c r="AD134" i="5"/>
  <c r="AD176" i="5"/>
  <c r="AD137" i="5"/>
  <c r="AD142" i="5"/>
  <c r="AD150" i="5"/>
  <c r="AD158" i="5"/>
  <c r="AD166" i="5"/>
  <c r="AD174" i="5"/>
  <c r="AD182" i="5"/>
  <c r="AD136" i="5"/>
  <c r="AD159" i="5"/>
  <c r="AD175" i="5"/>
  <c r="AD133" i="5"/>
  <c r="AD144" i="5"/>
  <c r="AD152" i="5"/>
  <c r="AD168" i="5"/>
  <c r="AD129" i="5"/>
  <c r="AD138" i="5"/>
  <c r="AD145" i="5"/>
  <c r="AD153" i="5"/>
  <c r="AD161" i="5"/>
  <c r="AD169" i="5"/>
  <c r="AD177" i="5"/>
  <c r="AD99" i="5"/>
  <c r="AD131" i="5"/>
  <c r="AD146" i="5"/>
  <c r="AD154" i="5"/>
  <c r="AD162" i="5"/>
  <c r="AD170" i="5"/>
  <c r="AD178" i="5"/>
  <c r="AD128" i="5"/>
  <c r="AD139" i="5"/>
  <c r="AD147" i="5"/>
  <c r="AD155" i="5"/>
  <c r="AD163" i="5"/>
  <c r="AD171" i="5"/>
  <c r="AD179" i="5"/>
  <c r="AD76" i="5"/>
  <c r="AD58" i="5"/>
  <c r="AD87" i="5" s="1"/>
  <c r="AI37" i="11"/>
  <c r="AI38" i="11" s="1"/>
  <c r="AI201" i="10"/>
  <c r="AI58" i="10"/>
  <c r="AI87" i="10" s="1"/>
  <c r="AI75" i="10"/>
  <c r="AD102" i="5"/>
  <c r="AI102" i="10"/>
  <c r="AI57" i="10" l="1"/>
  <c r="AI86" i="10" s="1"/>
  <c r="AI101" i="10"/>
  <c r="AI91" i="10"/>
  <c r="AJ188" i="10"/>
  <c r="AF201" i="7"/>
  <c r="AF75" i="7"/>
  <c r="AD101" i="5"/>
  <c r="AD91" i="5"/>
  <c r="AI100" i="10"/>
  <c r="AE188" i="5"/>
  <c r="AD57" i="5"/>
  <c r="AD86" i="5" s="1"/>
  <c r="AF192" i="7"/>
  <c r="AD100" i="5"/>
  <c r="AF47" i="7"/>
  <c r="AD93" i="5" l="1"/>
  <c r="AI93" i="10"/>
  <c r="AJ190" i="10"/>
  <c r="AF200" i="7"/>
  <c r="AF25" i="7"/>
  <c r="AF28" i="7" s="1"/>
  <c r="AG22" i="7" s="1"/>
  <c r="AF155" i="7"/>
  <c r="AF140" i="7"/>
  <c r="AF157" i="7"/>
  <c r="AF154" i="7"/>
  <c r="AF164" i="7"/>
  <c r="AF172" i="7"/>
  <c r="AF180" i="7"/>
  <c r="AF159" i="7"/>
  <c r="AF99" i="7"/>
  <c r="AF130" i="7"/>
  <c r="AF136" i="7"/>
  <c r="AF138" i="7"/>
  <c r="AF158" i="7"/>
  <c r="AF165" i="7"/>
  <c r="AF173" i="7"/>
  <c r="AF181" i="7"/>
  <c r="AF167" i="7"/>
  <c r="AF144" i="7"/>
  <c r="AF151" i="7"/>
  <c r="AF131" i="7"/>
  <c r="AF146" i="7"/>
  <c r="AF166" i="7"/>
  <c r="AF174" i="7"/>
  <c r="AF182" i="7"/>
  <c r="AF175" i="7"/>
  <c r="AF147" i="7"/>
  <c r="AF134" i="7"/>
  <c r="AF183" i="7"/>
  <c r="AF132" i="7"/>
  <c r="AF148" i="7"/>
  <c r="AF141" i="7"/>
  <c r="AF160" i="7"/>
  <c r="AF168" i="7"/>
  <c r="AF176" i="7"/>
  <c r="AF152" i="7"/>
  <c r="AF156" i="7"/>
  <c r="AF135" i="7"/>
  <c r="AF142" i="7"/>
  <c r="AF161" i="7"/>
  <c r="AF169" i="7"/>
  <c r="AF177" i="7"/>
  <c r="AF153" i="7"/>
  <c r="AF178" i="7"/>
  <c r="AF145" i="7"/>
  <c r="AF143" i="7"/>
  <c r="AF139" i="7"/>
  <c r="AF162" i="7"/>
  <c r="AF170" i="7"/>
  <c r="AF149" i="7"/>
  <c r="AF133" i="7"/>
  <c r="AF150" i="7"/>
  <c r="AF137" i="7"/>
  <c r="AF163" i="7"/>
  <c r="AF171" i="7"/>
  <c r="AF179" i="7"/>
  <c r="AF76" i="7"/>
  <c r="AE190" i="5"/>
  <c r="AE193" i="5" s="1"/>
  <c r="AE194" i="5" s="1"/>
  <c r="AE46" i="5" s="1"/>
  <c r="AF58" i="7"/>
  <c r="AF87" i="7" s="1"/>
  <c r="AF102" i="7"/>
  <c r="AF101" i="7" l="1"/>
  <c r="AF91" i="7"/>
  <c r="AE47" i="5"/>
  <c r="AE58" i="5" s="1"/>
  <c r="AE87" i="5" s="1"/>
  <c r="AE191" i="5"/>
  <c r="AE201" i="5"/>
  <c r="AE75" i="5"/>
  <c r="AF100" i="7"/>
  <c r="AF57" i="7"/>
  <c r="AF86" i="7" s="1"/>
  <c r="AJ191" i="10"/>
  <c r="AG188" i="7"/>
  <c r="AJ193" i="10"/>
  <c r="AJ194" i="10" s="1"/>
  <c r="AJ46" i="10" s="1"/>
  <c r="AE200" i="5" l="1"/>
  <c r="AE57" i="5"/>
  <c r="AE86" i="5" s="1"/>
  <c r="AE25" i="5"/>
  <c r="AE28" i="5" s="1"/>
  <c r="AF22" i="5" s="1"/>
  <c r="AE135" i="5"/>
  <c r="AE137" i="5"/>
  <c r="AE144" i="5"/>
  <c r="AE152" i="5"/>
  <c r="AE160" i="5"/>
  <c r="AE168" i="5"/>
  <c r="AE176" i="5"/>
  <c r="AE141" i="5"/>
  <c r="AE132" i="5"/>
  <c r="AE145" i="5"/>
  <c r="AE153" i="5"/>
  <c r="AE161" i="5"/>
  <c r="AE169" i="5"/>
  <c r="AE177" i="5"/>
  <c r="AE179" i="5"/>
  <c r="AE156" i="5"/>
  <c r="AE180" i="5"/>
  <c r="AE131" i="5"/>
  <c r="AE138" i="5"/>
  <c r="AE129" i="5"/>
  <c r="AE146" i="5"/>
  <c r="AE154" i="5"/>
  <c r="AE162" i="5"/>
  <c r="AE170" i="5"/>
  <c r="AE178" i="5"/>
  <c r="AE130" i="5"/>
  <c r="AE139" i="5"/>
  <c r="AE147" i="5"/>
  <c r="AE155" i="5"/>
  <c r="AE163" i="5"/>
  <c r="AE171" i="5"/>
  <c r="AE99" i="5"/>
  <c r="AE136" i="5"/>
  <c r="AE140" i="5"/>
  <c r="AE148" i="5"/>
  <c r="AE164" i="5"/>
  <c r="AE172" i="5"/>
  <c r="AE149" i="5"/>
  <c r="AE165" i="5"/>
  <c r="AE133" i="5"/>
  <c r="AE142" i="5"/>
  <c r="AE150" i="5"/>
  <c r="AE158" i="5"/>
  <c r="AE166" i="5"/>
  <c r="AE174" i="5"/>
  <c r="AE182" i="5"/>
  <c r="AE157" i="5"/>
  <c r="AE173" i="5"/>
  <c r="AE181" i="5"/>
  <c r="AE134" i="5"/>
  <c r="AE143" i="5"/>
  <c r="AE151" i="5"/>
  <c r="AE159" i="5"/>
  <c r="AE167" i="5"/>
  <c r="AE175" i="5"/>
  <c r="AE183" i="5"/>
  <c r="AE76" i="5"/>
  <c r="AJ37" i="11"/>
  <c r="AJ38" i="11" s="1"/>
  <c r="AJ201" i="10"/>
  <c r="AJ75" i="10"/>
  <c r="AE192" i="5"/>
  <c r="AJ192" i="10"/>
  <c r="AJ47" i="10"/>
  <c r="AF93" i="7"/>
  <c r="AG190" i="7"/>
  <c r="AE102" i="5"/>
  <c r="AG191" i="7" l="1"/>
  <c r="AG193" i="7"/>
  <c r="AG194" i="7" s="1"/>
  <c r="AG46" i="7" s="1"/>
  <c r="AE100" i="5"/>
  <c r="AF188" i="5"/>
  <c r="AJ200" i="10"/>
  <c r="AJ25" i="10"/>
  <c r="AJ28" i="10" s="1"/>
  <c r="AK22" i="10" s="1"/>
  <c r="AJ169" i="10"/>
  <c r="AJ161" i="10"/>
  <c r="AJ135" i="10"/>
  <c r="AJ149" i="10"/>
  <c r="AJ172" i="10"/>
  <c r="AJ165" i="10"/>
  <c r="AJ153" i="10"/>
  <c r="AJ137" i="10"/>
  <c r="AJ146" i="10"/>
  <c r="AJ141" i="10"/>
  <c r="AJ179" i="10"/>
  <c r="AJ152" i="10"/>
  <c r="AJ173" i="10"/>
  <c r="AJ148" i="10"/>
  <c r="AJ181" i="10"/>
  <c r="AJ176" i="10"/>
  <c r="AJ182" i="10"/>
  <c r="AJ151" i="10"/>
  <c r="AJ143" i="10"/>
  <c r="AJ164" i="10"/>
  <c r="AJ159" i="10"/>
  <c r="AJ168" i="10"/>
  <c r="AJ139" i="10"/>
  <c r="AJ160" i="10"/>
  <c r="AJ145" i="10"/>
  <c r="AJ171" i="10"/>
  <c r="AJ174" i="10"/>
  <c r="AJ150" i="10"/>
  <c r="AJ167" i="10"/>
  <c r="AJ156" i="10"/>
  <c r="AJ158" i="10"/>
  <c r="AJ177" i="10"/>
  <c r="AJ144" i="10"/>
  <c r="AJ180" i="10"/>
  <c r="AJ183" i="10"/>
  <c r="AJ134" i="10"/>
  <c r="AJ99" i="10"/>
  <c r="AJ178" i="10"/>
  <c r="AJ163" i="10"/>
  <c r="AJ140" i="10"/>
  <c r="AJ157" i="10"/>
  <c r="AJ142" i="10"/>
  <c r="AJ162" i="10"/>
  <c r="AJ154" i="10"/>
  <c r="AJ155" i="10"/>
  <c r="AJ175" i="10"/>
  <c r="AJ138" i="10"/>
  <c r="AJ147" i="10"/>
  <c r="AJ166" i="10"/>
  <c r="AJ170" i="10"/>
  <c r="AJ136" i="10"/>
  <c r="AJ76" i="10"/>
  <c r="AJ58" i="10"/>
  <c r="AJ87" i="10" s="1"/>
  <c r="AE91" i="5"/>
  <c r="AE101" i="5"/>
  <c r="AJ102" i="10"/>
  <c r="AG201" i="7" l="1"/>
  <c r="AG75" i="7"/>
  <c r="AJ101" i="10"/>
  <c r="AJ91" i="10"/>
  <c r="AK188" i="10"/>
  <c r="AF190" i="5"/>
  <c r="AF193" i="5" s="1"/>
  <c r="AF194" i="5" s="1"/>
  <c r="AF46" i="5" s="1"/>
  <c r="AJ57" i="10"/>
  <c r="AJ86" i="10" s="1"/>
  <c r="AG192" i="7"/>
  <c r="AE93" i="5"/>
  <c r="AJ100" i="10"/>
  <c r="AG47" i="7"/>
  <c r="AF201" i="5" l="1"/>
  <c r="AF75" i="5"/>
  <c r="AG200" i="7"/>
  <c r="AG25" i="7"/>
  <c r="AG28" i="7" s="1"/>
  <c r="AH22" i="7" s="1"/>
  <c r="AG147" i="7"/>
  <c r="AG131" i="7"/>
  <c r="AG144" i="7"/>
  <c r="AG133" i="7"/>
  <c r="AG167" i="7"/>
  <c r="AG175" i="7"/>
  <c r="AG183" i="7"/>
  <c r="AG168" i="7"/>
  <c r="AG176" i="7"/>
  <c r="AG161" i="7"/>
  <c r="AG177" i="7"/>
  <c r="AG141" i="7"/>
  <c r="AG135" i="7"/>
  <c r="AG146" i="7"/>
  <c r="AG163" i="7"/>
  <c r="AG179" i="7"/>
  <c r="AG159" i="7"/>
  <c r="AG143" i="7"/>
  <c r="AG164" i="7"/>
  <c r="AG180" i="7"/>
  <c r="AG149" i="7"/>
  <c r="AG155" i="7"/>
  <c r="AG142" i="7"/>
  <c r="AG173" i="7"/>
  <c r="AG151" i="7"/>
  <c r="AG138" i="7"/>
  <c r="AG134" i="7"/>
  <c r="AG160" i="7"/>
  <c r="AG157" i="7"/>
  <c r="AG162" i="7"/>
  <c r="AG170" i="7"/>
  <c r="AG178" i="7"/>
  <c r="AG136" i="7"/>
  <c r="AG171" i="7"/>
  <c r="AG145" i="7"/>
  <c r="AG148" i="7"/>
  <c r="AG172" i="7"/>
  <c r="AG152" i="7"/>
  <c r="AG165" i="7"/>
  <c r="AG181" i="7"/>
  <c r="AG182" i="7"/>
  <c r="AG137" i="7"/>
  <c r="AG150" i="7"/>
  <c r="AG169" i="7"/>
  <c r="AG156" i="7"/>
  <c r="AG153" i="7"/>
  <c r="AG158" i="7"/>
  <c r="AG99" i="7"/>
  <c r="AG140" i="7"/>
  <c r="AG154" i="7"/>
  <c r="AG132" i="7"/>
  <c r="AG139" i="7"/>
  <c r="AG166" i="7"/>
  <c r="AG174" i="7"/>
  <c r="AG76" i="7"/>
  <c r="AJ93" i="10"/>
  <c r="AK190" i="10"/>
  <c r="AG58" i="7"/>
  <c r="AG87" i="7" s="1"/>
  <c r="AF47" i="5"/>
  <c r="AF191" i="5"/>
  <c r="AG102" i="7"/>
  <c r="AH188" i="7" l="1"/>
  <c r="AF200" i="5"/>
  <c r="AF25" i="5"/>
  <c r="AF28" i="5" s="1"/>
  <c r="AG22" i="5" s="1"/>
  <c r="AF135" i="5"/>
  <c r="AF142" i="5"/>
  <c r="AF150" i="5"/>
  <c r="AF158" i="5"/>
  <c r="AF166" i="5"/>
  <c r="AF174" i="5"/>
  <c r="AF182" i="5"/>
  <c r="AF146" i="5"/>
  <c r="AF133" i="5"/>
  <c r="AF143" i="5"/>
  <c r="AF151" i="5"/>
  <c r="AF159" i="5"/>
  <c r="AF167" i="5"/>
  <c r="AF175" i="5"/>
  <c r="AF183" i="5"/>
  <c r="AF154" i="5"/>
  <c r="AF170" i="5"/>
  <c r="AF140" i="5"/>
  <c r="AF144" i="5"/>
  <c r="AF152" i="5"/>
  <c r="AF160" i="5"/>
  <c r="AF168" i="5"/>
  <c r="AF176" i="5"/>
  <c r="AF131" i="5"/>
  <c r="AF162" i="5"/>
  <c r="AF178" i="5"/>
  <c r="AF137" i="5"/>
  <c r="AF147" i="5"/>
  <c r="AF155" i="5"/>
  <c r="AF163" i="5"/>
  <c r="AF99" i="5"/>
  <c r="AF157" i="5"/>
  <c r="AF134" i="5"/>
  <c r="AF132" i="5"/>
  <c r="AF145" i="5"/>
  <c r="AF153" i="5"/>
  <c r="AF161" i="5"/>
  <c r="AF169" i="5"/>
  <c r="AF177" i="5"/>
  <c r="AF138" i="5"/>
  <c r="AF136" i="5"/>
  <c r="AF179" i="5"/>
  <c r="AF148" i="5"/>
  <c r="AF164" i="5"/>
  <c r="AF180" i="5"/>
  <c r="AF173" i="5"/>
  <c r="AF139" i="5"/>
  <c r="AF171" i="5"/>
  <c r="AF130" i="5"/>
  <c r="AF156" i="5"/>
  <c r="AF172" i="5"/>
  <c r="AF149" i="5"/>
  <c r="AF165" i="5"/>
  <c r="AF181" i="5"/>
  <c r="AF141" i="5"/>
  <c r="AF76" i="5"/>
  <c r="AK191" i="10"/>
  <c r="AG100" i="7"/>
  <c r="AF58" i="5"/>
  <c r="AF87" i="5" s="1"/>
  <c r="AF192" i="5"/>
  <c r="AK193" i="10"/>
  <c r="AK194" i="10" s="1"/>
  <c r="AK46" i="10" s="1"/>
  <c r="AG91" i="7"/>
  <c r="AG101" i="7"/>
  <c r="AG57" i="7"/>
  <c r="AG86" i="7" s="1"/>
  <c r="AF102" i="5"/>
  <c r="AK37" i="11" l="1"/>
  <c r="AK38" i="11" s="1"/>
  <c r="AK201" i="10"/>
  <c r="AK75" i="10"/>
  <c r="AF91" i="5"/>
  <c r="AF101" i="5"/>
  <c r="AG93" i="7"/>
  <c r="AH190" i="7"/>
  <c r="AG188" i="5"/>
  <c r="AF100" i="5"/>
  <c r="AF57" i="5"/>
  <c r="AF86" i="5" s="1"/>
  <c r="AK192" i="10"/>
  <c r="AK47" i="10"/>
  <c r="AH191" i="7" l="1"/>
  <c r="AG190" i="5"/>
  <c r="AK200" i="10"/>
  <c r="AK25" i="10"/>
  <c r="AK28" i="10" s="1"/>
  <c r="AL22" i="10" s="1"/>
  <c r="AK179" i="10"/>
  <c r="AK149" i="10"/>
  <c r="AK181" i="10"/>
  <c r="AK175" i="10"/>
  <c r="AK141" i="10"/>
  <c r="AK145" i="10"/>
  <c r="AK140" i="10"/>
  <c r="AK169" i="10"/>
  <c r="AK143" i="10"/>
  <c r="AK170" i="10"/>
  <c r="AK150" i="10"/>
  <c r="AK157" i="10"/>
  <c r="AK174" i="10"/>
  <c r="AK163" i="10"/>
  <c r="AK161" i="10"/>
  <c r="AK172" i="10"/>
  <c r="AK142" i="10"/>
  <c r="AK168" i="10"/>
  <c r="AK177" i="10"/>
  <c r="AK138" i="10"/>
  <c r="AK171" i="10"/>
  <c r="AK152" i="10"/>
  <c r="AK146" i="10"/>
  <c r="AK159" i="10"/>
  <c r="AK135" i="10"/>
  <c r="AK151" i="10"/>
  <c r="AK136" i="10"/>
  <c r="AK99" i="10"/>
  <c r="AK165" i="10"/>
  <c r="AK176" i="10"/>
  <c r="AK156" i="10"/>
  <c r="AK167" i="10"/>
  <c r="AK147" i="10"/>
  <c r="AK166" i="10"/>
  <c r="AK178" i="10"/>
  <c r="AK183" i="10"/>
  <c r="AK182" i="10"/>
  <c r="AK160" i="10"/>
  <c r="AK162" i="10"/>
  <c r="AK154" i="10"/>
  <c r="AK148" i="10"/>
  <c r="AK155" i="10"/>
  <c r="AK139" i="10"/>
  <c r="AK137" i="10"/>
  <c r="AK158" i="10"/>
  <c r="AK144" i="10"/>
  <c r="AK153" i="10"/>
  <c r="AK173" i="10"/>
  <c r="AK180" i="10"/>
  <c r="AK164" i="10"/>
  <c r="AK76" i="10"/>
  <c r="AH193" i="7"/>
  <c r="AH194" i="7" s="1"/>
  <c r="AH46" i="7" s="1"/>
  <c r="AK58" i="10"/>
  <c r="AK87" i="10" s="1"/>
  <c r="AF93" i="5"/>
  <c r="AK102" i="10"/>
  <c r="AL188" i="10" l="1"/>
  <c r="AH201" i="7"/>
  <c r="AH75" i="7"/>
  <c r="AK100" i="10"/>
  <c r="AG191" i="5"/>
  <c r="AK101" i="10"/>
  <c r="AK91" i="10"/>
  <c r="AG193" i="5"/>
  <c r="AG194" i="5" s="1"/>
  <c r="AG46" i="5" s="1"/>
  <c r="AH192" i="7"/>
  <c r="AK57" i="10"/>
  <c r="AK86" i="10" s="1"/>
  <c r="AH47" i="7"/>
  <c r="AH58" i="7" s="1"/>
  <c r="AH87" i="7" s="1"/>
  <c r="AG47" i="5" l="1"/>
  <c r="AG201" i="5"/>
  <c r="AG58" i="5"/>
  <c r="AG87" i="5" s="1"/>
  <c r="AG75" i="5"/>
  <c r="AL190" i="10"/>
  <c r="AH200" i="7"/>
  <c r="AH57" i="7"/>
  <c r="AH86" i="7" s="1"/>
  <c r="AH25" i="7"/>
  <c r="AH28" i="7" s="1"/>
  <c r="AI22" i="7" s="1"/>
  <c r="AH99" i="7"/>
  <c r="AH152" i="7"/>
  <c r="AH146" i="7"/>
  <c r="AH166" i="7"/>
  <c r="AH148" i="7"/>
  <c r="AH159" i="7"/>
  <c r="AH139" i="7"/>
  <c r="AH134" i="7"/>
  <c r="AH167" i="7"/>
  <c r="AH175" i="7"/>
  <c r="AH183" i="7"/>
  <c r="AH136" i="7"/>
  <c r="AH154" i="7"/>
  <c r="AH169" i="7"/>
  <c r="AH160" i="7"/>
  <c r="AH138" i="7"/>
  <c r="AH157" i="7"/>
  <c r="AH140" i="7"/>
  <c r="AH149" i="7"/>
  <c r="AH155" i="7"/>
  <c r="AH168" i="7"/>
  <c r="AH176" i="7"/>
  <c r="AH153" i="7"/>
  <c r="AH161" i="7"/>
  <c r="AH177" i="7"/>
  <c r="AH178" i="7"/>
  <c r="AH150" i="7"/>
  <c r="AH156" i="7"/>
  <c r="AH171" i="7"/>
  <c r="AH137" i="7"/>
  <c r="AH141" i="7"/>
  <c r="AH172" i="7"/>
  <c r="AH133" i="7"/>
  <c r="AH151" i="7"/>
  <c r="AH147" i="7"/>
  <c r="AH165" i="7"/>
  <c r="AH173" i="7"/>
  <c r="AH181" i="7"/>
  <c r="AH142" i="7"/>
  <c r="AH144" i="7"/>
  <c r="AH174" i="7"/>
  <c r="AH182" i="7"/>
  <c r="AH135" i="7"/>
  <c r="AH158" i="7"/>
  <c r="AH145" i="7"/>
  <c r="AH162" i="7"/>
  <c r="AH170" i="7"/>
  <c r="AH163" i="7"/>
  <c r="AH132" i="7"/>
  <c r="AH143" i="7"/>
  <c r="AH179" i="7"/>
  <c r="AH164" i="7"/>
  <c r="AH180" i="7"/>
  <c r="AH76" i="7"/>
  <c r="AK93" i="10"/>
  <c r="AG192" i="5"/>
  <c r="AH102" i="7"/>
  <c r="AL191" i="10" l="1"/>
  <c r="AH100" i="7"/>
  <c r="AI188" i="7"/>
  <c r="AH91" i="7"/>
  <c r="AH101" i="7"/>
  <c r="AL193" i="10"/>
  <c r="AL194" i="10" s="1"/>
  <c r="AL46" i="10" s="1"/>
  <c r="AG200" i="5"/>
  <c r="AG25" i="5"/>
  <c r="AG28" i="5" s="1"/>
  <c r="AH22" i="5" s="1"/>
  <c r="AG57" i="5"/>
  <c r="AG86" i="5" s="1"/>
  <c r="AG133" i="5"/>
  <c r="AG144" i="5"/>
  <c r="AG152" i="5"/>
  <c r="AG160" i="5"/>
  <c r="AG168" i="5"/>
  <c r="AG176" i="5"/>
  <c r="AG131" i="5"/>
  <c r="AG147" i="5"/>
  <c r="AG171" i="5"/>
  <c r="AG136" i="5"/>
  <c r="AG164" i="5"/>
  <c r="AG180" i="5"/>
  <c r="AG99" i="5"/>
  <c r="AG138" i="5"/>
  <c r="AG157" i="5"/>
  <c r="AG165" i="5"/>
  <c r="AG158" i="5"/>
  <c r="AG143" i="5"/>
  <c r="AG167" i="5"/>
  <c r="AG145" i="5"/>
  <c r="AG153" i="5"/>
  <c r="AG161" i="5"/>
  <c r="AG169" i="5"/>
  <c r="AG177" i="5"/>
  <c r="AG163" i="5"/>
  <c r="AG148" i="5"/>
  <c r="AG141" i="5"/>
  <c r="AG173" i="5"/>
  <c r="AG142" i="5"/>
  <c r="AG174" i="5"/>
  <c r="AG159" i="5"/>
  <c r="AG183" i="5"/>
  <c r="AG140" i="5"/>
  <c r="AG135" i="5"/>
  <c r="AG146" i="5"/>
  <c r="AG154" i="5"/>
  <c r="AG162" i="5"/>
  <c r="AG170" i="5"/>
  <c r="AG178" i="5"/>
  <c r="AG139" i="5"/>
  <c r="AG155" i="5"/>
  <c r="AG179" i="5"/>
  <c r="AG134" i="5"/>
  <c r="AG156" i="5"/>
  <c r="AG172" i="5"/>
  <c r="AG149" i="5"/>
  <c r="AG181" i="5"/>
  <c r="AG137" i="5"/>
  <c r="AG150" i="5"/>
  <c r="AG166" i="5"/>
  <c r="AG182" i="5"/>
  <c r="AG132" i="5"/>
  <c r="AG151" i="5"/>
  <c r="AG175" i="5"/>
  <c r="AG76" i="5"/>
  <c r="AG102" i="5"/>
  <c r="AI190" i="7" l="1"/>
  <c r="AI193" i="7" s="1"/>
  <c r="AI194" i="7" s="1"/>
  <c r="AI46" i="7" s="1"/>
  <c r="AG91" i="5"/>
  <c r="AG101" i="5"/>
  <c r="AH188" i="5"/>
  <c r="AG100" i="5"/>
  <c r="AH93" i="7"/>
  <c r="AL37" i="11"/>
  <c r="AL38" i="11" s="1"/>
  <c r="AL201" i="10"/>
  <c r="AL75" i="10"/>
  <c r="AL192" i="10"/>
  <c r="AL47" i="10"/>
  <c r="AL200" i="10" l="1"/>
  <c r="AL25" i="10"/>
  <c r="AL28" i="10" s="1"/>
  <c r="AM22" i="10" s="1"/>
  <c r="AL169" i="10"/>
  <c r="AL154" i="10"/>
  <c r="AL181" i="10"/>
  <c r="AL138" i="10"/>
  <c r="AL150" i="10"/>
  <c r="AL158" i="10"/>
  <c r="AL171" i="10"/>
  <c r="AL168" i="10"/>
  <c r="AL178" i="10"/>
  <c r="AL144" i="10"/>
  <c r="AL143" i="10"/>
  <c r="AL166" i="10"/>
  <c r="AL164" i="10"/>
  <c r="AL180" i="10"/>
  <c r="AL165" i="10"/>
  <c r="AL139" i="10"/>
  <c r="AL141" i="10"/>
  <c r="AL156" i="10"/>
  <c r="AL172" i="10"/>
  <c r="AL153" i="10"/>
  <c r="AL152" i="10"/>
  <c r="AL163" i="10"/>
  <c r="AL162" i="10"/>
  <c r="AL174" i="10"/>
  <c r="AL157" i="10"/>
  <c r="AL149" i="10"/>
  <c r="AL173" i="10"/>
  <c r="AL167" i="10"/>
  <c r="AL146" i="10"/>
  <c r="AL177" i="10"/>
  <c r="AL99" i="10"/>
  <c r="AL155" i="10"/>
  <c r="AL137" i="10"/>
  <c r="AL147" i="10"/>
  <c r="AL151" i="10"/>
  <c r="AL142" i="10"/>
  <c r="AL159" i="10"/>
  <c r="AL140" i="10"/>
  <c r="AL182" i="10"/>
  <c r="AL175" i="10"/>
  <c r="AL148" i="10"/>
  <c r="AL183" i="10"/>
  <c r="AL170" i="10"/>
  <c r="AL145" i="10"/>
  <c r="AL176" i="10"/>
  <c r="AL161" i="10"/>
  <c r="AL136" i="10"/>
  <c r="AL160" i="10"/>
  <c r="AL179" i="10"/>
  <c r="AL76" i="10"/>
  <c r="AL58" i="10"/>
  <c r="AL87" i="10" s="1"/>
  <c r="AG93" i="5"/>
  <c r="AH190" i="5"/>
  <c r="AH193" i="5" s="1"/>
  <c r="AH194" i="5" s="1"/>
  <c r="AH46" i="5" s="1"/>
  <c r="AI47" i="7"/>
  <c r="AI191" i="7"/>
  <c r="AI201" i="7"/>
  <c r="AI75" i="7"/>
  <c r="AL102" i="10"/>
  <c r="AH201" i="5" l="1"/>
  <c r="AH75" i="5"/>
  <c r="AI192" i="7"/>
  <c r="AL100" i="10"/>
  <c r="AM188" i="10"/>
  <c r="AI200" i="7"/>
  <c r="AI25" i="7"/>
  <c r="AI28" i="7" s="1"/>
  <c r="AJ22" i="7" s="1"/>
  <c r="AI99" i="7"/>
  <c r="AI152" i="7"/>
  <c r="AI161" i="7"/>
  <c r="AI157" i="7"/>
  <c r="AI133" i="7"/>
  <c r="AI167" i="7"/>
  <c r="AI175" i="7"/>
  <c r="AI183" i="7"/>
  <c r="AI160" i="7"/>
  <c r="AI138" i="7"/>
  <c r="AI155" i="7"/>
  <c r="AI146" i="7"/>
  <c r="AI168" i="7"/>
  <c r="AI176" i="7"/>
  <c r="AI169" i="7"/>
  <c r="AI159" i="7"/>
  <c r="AI137" i="7"/>
  <c r="AI136" i="7"/>
  <c r="AI145" i="7"/>
  <c r="AI156" i="7"/>
  <c r="AI177" i="7"/>
  <c r="AI153" i="7"/>
  <c r="AI139" i="7"/>
  <c r="AI172" i="7"/>
  <c r="AI134" i="7"/>
  <c r="AI148" i="7"/>
  <c r="AI162" i="7"/>
  <c r="AI147" i="7"/>
  <c r="AI141" i="7"/>
  <c r="AI142" i="7"/>
  <c r="AI170" i="7"/>
  <c r="AI178" i="7"/>
  <c r="AI140" i="7"/>
  <c r="AI163" i="7"/>
  <c r="AI171" i="7"/>
  <c r="AI179" i="7"/>
  <c r="AI143" i="7"/>
  <c r="AI158" i="7"/>
  <c r="AI165" i="7"/>
  <c r="AI181" i="7"/>
  <c r="AI150" i="7"/>
  <c r="AI151" i="7"/>
  <c r="AI164" i="7"/>
  <c r="AI180" i="7"/>
  <c r="AI149" i="7"/>
  <c r="AI144" i="7"/>
  <c r="AI173" i="7"/>
  <c r="AI154" i="7"/>
  <c r="AI166" i="7"/>
  <c r="AI174" i="7"/>
  <c r="AI182" i="7"/>
  <c r="AI135" i="7"/>
  <c r="AI76" i="7"/>
  <c r="AL57" i="10"/>
  <c r="AL86" i="10" s="1"/>
  <c r="AL101" i="10"/>
  <c r="AL91" i="10"/>
  <c r="AH47" i="5"/>
  <c r="AH58" i="5" s="1"/>
  <c r="AH87" i="5" s="1"/>
  <c r="AH191" i="5"/>
  <c r="AI58" i="7"/>
  <c r="AI87" i="7" s="1"/>
  <c r="AI102" i="7"/>
  <c r="AL93" i="10" l="1"/>
  <c r="AI100" i="7"/>
  <c r="AI57" i="7"/>
  <c r="AI86" i="7" s="1"/>
  <c r="AI91" i="7"/>
  <c r="AI101" i="7"/>
  <c r="AH192" i="5"/>
  <c r="AM190" i="10"/>
  <c r="AM193" i="10" s="1"/>
  <c r="AM194" i="10" s="1"/>
  <c r="AM46" i="10" s="1"/>
  <c r="AJ188" i="7"/>
  <c r="AH200" i="5"/>
  <c r="AH57" i="5"/>
  <c r="AH86" i="5" s="1"/>
  <c r="AH25" i="5"/>
  <c r="AH28" i="5" s="1"/>
  <c r="AI22" i="5" s="1"/>
  <c r="AH141" i="5"/>
  <c r="AH143" i="5"/>
  <c r="AH151" i="5"/>
  <c r="AH159" i="5"/>
  <c r="AH167" i="5"/>
  <c r="AH175" i="5"/>
  <c r="AH183" i="5"/>
  <c r="AH152" i="5"/>
  <c r="AH168" i="5"/>
  <c r="AH177" i="5"/>
  <c r="AH162" i="5"/>
  <c r="AH178" i="5"/>
  <c r="AH142" i="5"/>
  <c r="AH147" i="5"/>
  <c r="AH155" i="5"/>
  <c r="AH163" i="5"/>
  <c r="AH171" i="5"/>
  <c r="AH179" i="5"/>
  <c r="AH133" i="5"/>
  <c r="AH148" i="5"/>
  <c r="AH156" i="5"/>
  <c r="AH164" i="5"/>
  <c r="AH172" i="5"/>
  <c r="AH180" i="5"/>
  <c r="AH157" i="5"/>
  <c r="AH181" i="5"/>
  <c r="AH132" i="5"/>
  <c r="AH144" i="5"/>
  <c r="AH160" i="5"/>
  <c r="AH176" i="5"/>
  <c r="AH135" i="5"/>
  <c r="AH154" i="5"/>
  <c r="AH170" i="5"/>
  <c r="AH136" i="5"/>
  <c r="AH139" i="5"/>
  <c r="AH149" i="5"/>
  <c r="AH173" i="5"/>
  <c r="AH137" i="5"/>
  <c r="AH145" i="5"/>
  <c r="AH153" i="5"/>
  <c r="AH161" i="5"/>
  <c r="AH169" i="5"/>
  <c r="AH146" i="5"/>
  <c r="AH165" i="5"/>
  <c r="AH140" i="5"/>
  <c r="AH99" i="5"/>
  <c r="AH138" i="5"/>
  <c r="AH134" i="5"/>
  <c r="AH150" i="5"/>
  <c r="AH158" i="5"/>
  <c r="AH166" i="5"/>
  <c r="AH174" i="5"/>
  <c r="AH182" i="5"/>
  <c r="AH76" i="5"/>
  <c r="AH102" i="5"/>
  <c r="AH91" i="5" l="1"/>
  <c r="AH101" i="5"/>
  <c r="AI188" i="5"/>
  <c r="AH100" i="5"/>
  <c r="AJ190" i="7"/>
  <c r="AI93" i="7"/>
  <c r="AM47" i="10"/>
  <c r="AM191" i="10"/>
  <c r="AM37" i="11"/>
  <c r="AM38" i="11" s="1"/>
  <c r="AM201" i="10"/>
  <c r="AM75" i="10"/>
  <c r="AI190" i="5" l="1"/>
  <c r="AM200" i="10"/>
  <c r="AM25" i="10"/>
  <c r="AM28" i="10" s="1"/>
  <c r="AN22" i="10" s="1"/>
  <c r="AM155" i="10"/>
  <c r="AM180" i="10"/>
  <c r="AM167" i="10"/>
  <c r="AM164" i="10"/>
  <c r="AM165" i="10"/>
  <c r="AM162" i="10"/>
  <c r="AM139" i="10"/>
  <c r="AM157" i="10"/>
  <c r="AM163" i="10"/>
  <c r="AM99" i="10"/>
  <c r="AM179" i="10"/>
  <c r="AM138" i="10"/>
  <c r="AM161" i="10"/>
  <c r="AM140" i="10"/>
  <c r="AM173" i="10"/>
  <c r="AM182" i="10"/>
  <c r="AM150" i="10"/>
  <c r="AM172" i="10"/>
  <c r="AM153" i="10"/>
  <c r="AM152" i="10"/>
  <c r="AM146" i="10"/>
  <c r="AM181" i="10"/>
  <c r="AM141" i="10"/>
  <c r="AM159" i="10"/>
  <c r="AM143" i="10"/>
  <c r="AM177" i="10"/>
  <c r="AM145" i="10"/>
  <c r="AM156" i="10"/>
  <c r="AM148" i="10"/>
  <c r="AM178" i="10"/>
  <c r="AM183" i="10"/>
  <c r="AM160" i="10"/>
  <c r="AM166" i="10"/>
  <c r="AM144" i="10"/>
  <c r="AM171" i="10"/>
  <c r="AM174" i="10"/>
  <c r="AM175" i="10"/>
  <c r="AM169" i="10"/>
  <c r="AM168" i="10"/>
  <c r="AM170" i="10"/>
  <c r="AM149" i="10"/>
  <c r="AM142" i="10"/>
  <c r="AM147" i="10"/>
  <c r="AM176" i="10"/>
  <c r="AM151" i="10"/>
  <c r="AM137" i="10"/>
  <c r="AM154" i="10"/>
  <c r="AM158" i="10"/>
  <c r="AM76" i="10"/>
  <c r="AJ191" i="7"/>
  <c r="AM58" i="10"/>
  <c r="AM87" i="10" s="1"/>
  <c r="AJ193" i="7"/>
  <c r="AJ194" i="7" s="1"/>
  <c r="AJ46" i="7" s="1"/>
  <c r="AM192" i="10"/>
  <c r="AH93" i="5"/>
  <c r="AM102" i="10"/>
  <c r="AM57" i="10" l="1"/>
  <c r="AM86" i="10" s="1"/>
  <c r="AM101" i="10"/>
  <c r="AM91" i="10"/>
  <c r="AM100" i="10"/>
  <c r="AJ201" i="7"/>
  <c r="AJ75" i="7"/>
  <c r="AI191" i="5"/>
  <c r="AN188" i="10"/>
  <c r="AJ192" i="7"/>
  <c r="AJ47" i="7"/>
  <c r="AJ58" i="7" s="1"/>
  <c r="AJ87" i="7" s="1"/>
  <c r="AI193" i="5"/>
  <c r="AI194" i="5" s="1"/>
  <c r="AI46" i="5" s="1"/>
  <c r="AI192" i="5" l="1"/>
  <c r="AM93" i="10"/>
  <c r="AI201" i="5"/>
  <c r="AI75" i="5"/>
  <c r="AJ200" i="7"/>
  <c r="AJ57" i="7"/>
  <c r="AJ86" i="7" s="1"/>
  <c r="AJ25" i="7"/>
  <c r="AJ28" i="7" s="1"/>
  <c r="AK22" i="7" s="1"/>
  <c r="AJ147" i="7"/>
  <c r="AJ145" i="7"/>
  <c r="AJ137" i="7"/>
  <c r="AJ140" i="7"/>
  <c r="AJ168" i="7"/>
  <c r="AJ176" i="7"/>
  <c r="AJ177" i="7"/>
  <c r="AJ143" i="7"/>
  <c r="AJ170" i="7"/>
  <c r="AJ149" i="7"/>
  <c r="AJ151" i="7"/>
  <c r="AJ144" i="7"/>
  <c r="AJ158" i="7"/>
  <c r="AJ169" i="7"/>
  <c r="AJ142" i="7"/>
  <c r="AJ162" i="7"/>
  <c r="AJ179" i="7"/>
  <c r="AJ164" i="7"/>
  <c r="AJ180" i="7"/>
  <c r="AJ150" i="7"/>
  <c r="AJ138" i="7"/>
  <c r="AJ148" i="7"/>
  <c r="AJ174" i="7"/>
  <c r="AJ99" i="7"/>
  <c r="AJ153" i="7"/>
  <c r="AJ146" i="7"/>
  <c r="AJ135" i="7"/>
  <c r="AJ178" i="7"/>
  <c r="AJ163" i="7"/>
  <c r="AJ155" i="7"/>
  <c r="AJ171" i="7"/>
  <c r="AJ159" i="7"/>
  <c r="AJ134" i="7"/>
  <c r="AJ172" i="7"/>
  <c r="AJ154" i="7"/>
  <c r="AJ161" i="7"/>
  <c r="AJ141" i="7"/>
  <c r="AJ152" i="7"/>
  <c r="AJ157" i="7"/>
  <c r="AJ165" i="7"/>
  <c r="AJ173" i="7"/>
  <c r="AJ181" i="7"/>
  <c r="AJ156" i="7"/>
  <c r="AJ166" i="7"/>
  <c r="AJ182" i="7"/>
  <c r="AJ136" i="7"/>
  <c r="AJ160" i="7"/>
  <c r="AJ139" i="7"/>
  <c r="AJ167" i="7"/>
  <c r="AJ175" i="7"/>
  <c r="AJ183" i="7"/>
  <c r="AJ76" i="7"/>
  <c r="AI47" i="5"/>
  <c r="AN190" i="10"/>
  <c r="AN193" i="10" s="1"/>
  <c r="AN194" i="10" s="1"/>
  <c r="AN46" i="10" s="1"/>
  <c r="AJ102" i="7"/>
  <c r="AN37" i="11" l="1"/>
  <c r="AN38" i="11" s="1"/>
  <c r="AN201" i="10"/>
  <c r="AN75" i="10"/>
  <c r="AK188" i="7"/>
  <c r="AI200" i="5"/>
  <c r="AI25" i="5"/>
  <c r="AI28" i="5" s="1"/>
  <c r="AJ22" i="5" s="1"/>
  <c r="AI135" i="5"/>
  <c r="AI133" i="5"/>
  <c r="AI148" i="5"/>
  <c r="AI156" i="5"/>
  <c r="AI164" i="5"/>
  <c r="AI172" i="5"/>
  <c r="AI180" i="5"/>
  <c r="AI134" i="5"/>
  <c r="AI151" i="5"/>
  <c r="AI175" i="5"/>
  <c r="AI139" i="5"/>
  <c r="AI140" i="5"/>
  <c r="AI141" i="5"/>
  <c r="AI149" i="5"/>
  <c r="AI157" i="5"/>
  <c r="AI165" i="5"/>
  <c r="AI173" i="5"/>
  <c r="AI181" i="5"/>
  <c r="AI143" i="5"/>
  <c r="AI167" i="5"/>
  <c r="AI183" i="5"/>
  <c r="AI160" i="5"/>
  <c r="AI176" i="5"/>
  <c r="AI153" i="5"/>
  <c r="AI161" i="5"/>
  <c r="AI177" i="5"/>
  <c r="AI136" i="5"/>
  <c r="AI138" i="5"/>
  <c r="AI150" i="5"/>
  <c r="AI158" i="5"/>
  <c r="AI166" i="5"/>
  <c r="AI174" i="5"/>
  <c r="AI182" i="5"/>
  <c r="AI159" i="5"/>
  <c r="AI152" i="5"/>
  <c r="AI168" i="5"/>
  <c r="AI145" i="5"/>
  <c r="AI169" i="5"/>
  <c r="AI99" i="5"/>
  <c r="AI144" i="5"/>
  <c r="AI137" i="5"/>
  <c r="AI146" i="5"/>
  <c r="AI154" i="5"/>
  <c r="AI162" i="5"/>
  <c r="AI170" i="5"/>
  <c r="AI178" i="5"/>
  <c r="AI142" i="5"/>
  <c r="AI147" i="5"/>
  <c r="AI155" i="5"/>
  <c r="AI163" i="5"/>
  <c r="AI171" i="5"/>
  <c r="AI179" i="5"/>
  <c r="AI76" i="5"/>
  <c r="AJ91" i="7"/>
  <c r="AJ101" i="7"/>
  <c r="AN47" i="10"/>
  <c r="AN191" i="10"/>
  <c r="AJ100" i="7"/>
  <c r="AI58" i="5"/>
  <c r="AI87" i="5" s="1"/>
  <c r="AI102" i="5"/>
  <c r="AJ93" i="7" l="1"/>
  <c r="AN192" i="10"/>
  <c r="AN200" i="10"/>
  <c r="AN25" i="10"/>
  <c r="AN28" i="10" s="1"/>
  <c r="AO22" i="10" s="1"/>
  <c r="AN179" i="10"/>
  <c r="AN149" i="10"/>
  <c r="AN162" i="10"/>
  <c r="AN182" i="10"/>
  <c r="AN155" i="10"/>
  <c r="AN140" i="10"/>
  <c r="AN180" i="10"/>
  <c r="AN153" i="10"/>
  <c r="AN157" i="10"/>
  <c r="AN176" i="10"/>
  <c r="AN178" i="10"/>
  <c r="AN163" i="10"/>
  <c r="AN158" i="10"/>
  <c r="AN145" i="10"/>
  <c r="AN167" i="10"/>
  <c r="AN156" i="10"/>
  <c r="AN152" i="10"/>
  <c r="AN175" i="10"/>
  <c r="AN171" i="10"/>
  <c r="AN164" i="10"/>
  <c r="AN141" i="10"/>
  <c r="AN143" i="10"/>
  <c r="AN147" i="10"/>
  <c r="AN173" i="10"/>
  <c r="AN138" i="10"/>
  <c r="AN151" i="10"/>
  <c r="AN172" i="10"/>
  <c r="AN99" i="10"/>
  <c r="AN169" i="10"/>
  <c r="AN177" i="10"/>
  <c r="AN139" i="10"/>
  <c r="AN161" i="10"/>
  <c r="AN159" i="10"/>
  <c r="AN144" i="10"/>
  <c r="AN165" i="10"/>
  <c r="AN154" i="10"/>
  <c r="AN146" i="10"/>
  <c r="AN183" i="10"/>
  <c r="AN160" i="10"/>
  <c r="AN166" i="10"/>
  <c r="AN142" i="10"/>
  <c r="AN150" i="10"/>
  <c r="AN170" i="10"/>
  <c r="AN168" i="10"/>
  <c r="AN174" i="10"/>
  <c r="AN148" i="10"/>
  <c r="AN181" i="10"/>
  <c r="AN76" i="10"/>
  <c r="AI100" i="5"/>
  <c r="AJ188" i="5"/>
  <c r="AK190" i="7"/>
  <c r="AK193" i="7" s="1"/>
  <c r="AK194" i="7" s="1"/>
  <c r="AK46" i="7" s="1"/>
  <c r="AN58" i="10"/>
  <c r="AN87" i="10" s="1"/>
  <c r="AI91" i="5"/>
  <c r="AI101" i="5"/>
  <c r="AI57" i="5"/>
  <c r="AI86" i="5" s="1"/>
  <c r="AN102" i="10"/>
  <c r="AN57" i="10" l="1"/>
  <c r="AN86" i="10" s="1"/>
  <c r="AK201" i="7"/>
  <c r="AK75" i="7"/>
  <c r="AJ190" i="5"/>
  <c r="AN100" i="10"/>
  <c r="AO188" i="10"/>
  <c r="AI93" i="5"/>
  <c r="AK47" i="7"/>
  <c r="AK191" i="7"/>
  <c r="AN101" i="10"/>
  <c r="AN91" i="10"/>
  <c r="AJ191" i="5" l="1"/>
  <c r="AK192" i="7"/>
  <c r="AK200" i="7"/>
  <c r="AK25" i="7"/>
  <c r="AK28" i="7" s="1"/>
  <c r="AL22" i="7" s="1"/>
  <c r="AK145" i="7"/>
  <c r="AK161" i="7"/>
  <c r="AK139" i="7"/>
  <c r="AK164" i="7"/>
  <c r="AK172" i="7"/>
  <c r="AK180" i="7"/>
  <c r="AK165" i="7"/>
  <c r="AK181" i="7"/>
  <c r="AK182" i="7"/>
  <c r="AK155" i="7"/>
  <c r="AK156" i="7"/>
  <c r="AK168" i="7"/>
  <c r="AK99" i="7"/>
  <c r="AK146" i="7"/>
  <c r="AK154" i="7"/>
  <c r="AK135" i="7"/>
  <c r="AK140" i="7"/>
  <c r="AK153" i="7"/>
  <c r="AK141" i="7"/>
  <c r="AK173" i="7"/>
  <c r="AK147" i="7"/>
  <c r="AK151" i="7"/>
  <c r="AK137" i="7"/>
  <c r="AK177" i="7"/>
  <c r="AK144" i="7"/>
  <c r="AK170" i="7"/>
  <c r="AK142" i="7"/>
  <c r="AK160" i="7"/>
  <c r="AK158" i="7"/>
  <c r="AK166" i="7"/>
  <c r="AK174" i="7"/>
  <c r="AK157" i="7"/>
  <c r="AK150" i="7"/>
  <c r="AK175" i="7"/>
  <c r="AK183" i="7"/>
  <c r="AK148" i="7"/>
  <c r="AK163" i="7"/>
  <c r="AK176" i="7"/>
  <c r="AK143" i="7"/>
  <c r="AK169" i="7"/>
  <c r="AK149" i="7"/>
  <c r="AK178" i="7"/>
  <c r="AK138" i="7"/>
  <c r="AK167" i="7"/>
  <c r="AK136" i="7"/>
  <c r="AK179" i="7"/>
  <c r="AK162" i="7"/>
  <c r="AK152" i="7"/>
  <c r="AK159" i="7"/>
  <c r="AK171" i="7"/>
  <c r="AK76" i="7"/>
  <c r="AN93" i="10"/>
  <c r="AK58" i="7"/>
  <c r="AK87" i="7" s="1"/>
  <c r="AJ193" i="5"/>
  <c r="AJ194" i="5" s="1"/>
  <c r="AJ46" i="5" s="1"/>
  <c r="AO190" i="10"/>
  <c r="AK102" i="7"/>
  <c r="AK57" i="7" l="1"/>
  <c r="AK86" i="7" s="1"/>
  <c r="AL188" i="7"/>
  <c r="AK101" i="7"/>
  <c r="AK91" i="7"/>
  <c r="AO191" i="10"/>
  <c r="AJ192" i="5"/>
  <c r="AK100" i="7"/>
  <c r="AO193" i="10"/>
  <c r="AO194" i="10" s="1"/>
  <c r="AO46" i="10" s="1"/>
  <c r="AJ201" i="5"/>
  <c r="AJ75" i="5"/>
  <c r="AJ47" i="5"/>
  <c r="AJ58" i="5" s="1"/>
  <c r="AJ87" i="5" s="1"/>
  <c r="AO47" i="10" l="1"/>
  <c r="AJ25" i="5"/>
  <c r="AJ28" i="5" s="1"/>
  <c r="AK22" i="5" s="1"/>
  <c r="AJ200" i="5"/>
  <c r="AJ57" i="5"/>
  <c r="AJ86" i="5" s="1"/>
  <c r="AJ138" i="5"/>
  <c r="AJ147" i="5"/>
  <c r="AJ155" i="5"/>
  <c r="AJ163" i="5"/>
  <c r="AJ171" i="5"/>
  <c r="AJ179" i="5"/>
  <c r="AJ142" i="5"/>
  <c r="AJ139" i="5"/>
  <c r="AJ148" i="5"/>
  <c r="AJ156" i="5"/>
  <c r="AJ164" i="5"/>
  <c r="AJ172" i="5"/>
  <c r="AJ180" i="5"/>
  <c r="AJ141" i="5"/>
  <c r="AJ151" i="5"/>
  <c r="AJ159" i="5"/>
  <c r="AJ175" i="5"/>
  <c r="AJ135" i="5"/>
  <c r="AJ143" i="5"/>
  <c r="AJ149" i="5"/>
  <c r="AJ157" i="5"/>
  <c r="AJ165" i="5"/>
  <c r="AJ173" i="5"/>
  <c r="AJ181" i="5"/>
  <c r="AJ150" i="5"/>
  <c r="AJ137" i="5"/>
  <c r="AJ144" i="5"/>
  <c r="AJ152" i="5"/>
  <c r="AJ160" i="5"/>
  <c r="AJ168" i="5"/>
  <c r="AJ176" i="5"/>
  <c r="AJ99" i="5"/>
  <c r="AJ136" i="5"/>
  <c r="AJ145" i="5"/>
  <c r="AJ153" i="5"/>
  <c r="AJ161" i="5"/>
  <c r="AJ169" i="5"/>
  <c r="AJ177" i="5"/>
  <c r="AJ134" i="5"/>
  <c r="AJ146" i="5"/>
  <c r="AJ154" i="5"/>
  <c r="AJ162" i="5"/>
  <c r="AJ170" i="5"/>
  <c r="AJ178" i="5"/>
  <c r="AJ158" i="5"/>
  <c r="AJ166" i="5"/>
  <c r="AJ174" i="5"/>
  <c r="AJ182" i="5"/>
  <c r="AJ140" i="5"/>
  <c r="AJ167" i="5"/>
  <c r="AJ183" i="5"/>
  <c r="AJ76" i="5"/>
  <c r="AK93" i="7"/>
  <c r="AL190" i="7"/>
  <c r="AL193" i="7" s="1"/>
  <c r="AL194" i="7" s="1"/>
  <c r="AL46" i="7" s="1"/>
  <c r="AO37" i="11"/>
  <c r="AO38" i="11" s="1"/>
  <c r="AO201" i="10"/>
  <c r="AO58" i="10"/>
  <c r="AO87" i="10" s="1"/>
  <c r="AO75" i="10"/>
  <c r="AO192" i="10"/>
  <c r="AJ102" i="5"/>
  <c r="AL47" i="7" l="1"/>
  <c r="AL191" i="7"/>
  <c r="AL201" i="7"/>
  <c r="AL58" i="7"/>
  <c r="AL87" i="7" s="1"/>
  <c r="AL75" i="7"/>
  <c r="AJ100" i="5"/>
  <c r="AK188" i="5"/>
  <c r="AJ101" i="5"/>
  <c r="AJ91" i="5"/>
  <c r="AO200" i="10"/>
  <c r="AO25" i="10"/>
  <c r="AO28" i="10" s="1"/>
  <c r="AP22" i="10" s="1"/>
  <c r="AO57" i="10"/>
  <c r="AO86" i="10" s="1"/>
  <c r="AO147" i="10"/>
  <c r="AO174" i="10"/>
  <c r="AO152" i="10"/>
  <c r="AO146" i="10"/>
  <c r="AO177" i="10"/>
  <c r="AO168" i="10"/>
  <c r="AO157" i="10"/>
  <c r="AO170" i="10"/>
  <c r="AO155" i="10"/>
  <c r="AO143" i="10"/>
  <c r="AO173" i="10"/>
  <c r="AO158" i="10"/>
  <c r="AO144" i="10"/>
  <c r="AO176" i="10"/>
  <c r="AO165" i="10"/>
  <c r="AO142" i="10"/>
  <c r="AO163" i="10"/>
  <c r="AO172" i="10"/>
  <c r="AO156" i="10"/>
  <c r="AO175" i="10"/>
  <c r="AO150" i="10"/>
  <c r="AO140" i="10"/>
  <c r="AO178" i="10"/>
  <c r="AO154" i="10"/>
  <c r="AO171" i="10"/>
  <c r="AO160" i="10"/>
  <c r="AO169" i="10"/>
  <c r="AO182" i="10"/>
  <c r="AO99" i="10"/>
  <c r="AO153" i="10"/>
  <c r="AO161" i="10"/>
  <c r="AO181" i="10"/>
  <c r="AO148" i="10"/>
  <c r="AO183" i="10"/>
  <c r="AO180" i="10"/>
  <c r="AO159" i="10"/>
  <c r="AO141" i="10"/>
  <c r="AO139" i="10"/>
  <c r="AO179" i="10"/>
  <c r="AO149" i="10"/>
  <c r="AO166" i="10"/>
  <c r="AO151" i="10"/>
  <c r="AO162" i="10"/>
  <c r="AO145" i="10"/>
  <c r="AO167" i="10"/>
  <c r="AO164" i="10"/>
  <c r="AO76" i="10"/>
  <c r="AO102" i="10"/>
  <c r="AJ93" i="5" l="1"/>
  <c r="AO100" i="10"/>
  <c r="AK190" i="5"/>
  <c r="AK193" i="5" s="1"/>
  <c r="AK194" i="5" s="1"/>
  <c r="AK46" i="5" s="1"/>
  <c r="AL192" i="7"/>
  <c r="AO101" i="10"/>
  <c r="AO91" i="10"/>
  <c r="AP188" i="10"/>
  <c r="AL200" i="7"/>
  <c r="AL57" i="7"/>
  <c r="AL86" i="7" s="1"/>
  <c r="AL25" i="7"/>
  <c r="AL28" i="7" s="1"/>
  <c r="AM22" i="7" s="1"/>
  <c r="AL141" i="7"/>
  <c r="AL156" i="7"/>
  <c r="AL150" i="7"/>
  <c r="AL165" i="7"/>
  <c r="AL173" i="7"/>
  <c r="AL181" i="7"/>
  <c r="AL160" i="7"/>
  <c r="AL162" i="7"/>
  <c r="AL158" i="7"/>
  <c r="AL174" i="7"/>
  <c r="AL182" i="7"/>
  <c r="AL159" i="7"/>
  <c r="AL154" i="7"/>
  <c r="AL167" i="7"/>
  <c r="AL183" i="7"/>
  <c r="AL140" i="7"/>
  <c r="AL147" i="7"/>
  <c r="AL176" i="7"/>
  <c r="AL157" i="7"/>
  <c r="AL151" i="7"/>
  <c r="AL143" i="7"/>
  <c r="AL148" i="7"/>
  <c r="AL177" i="7"/>
  <c r="AL145" i="7"/>
  <c r="AL163" i="7"/>
  <c r="AL142" i="7"/>
  <c r="AL170" i="7"/>
  <c r="AL152" i="7"/>
  <c r="AL166" i="7"/>
  <c r="AL137" i="7"/>
  <c r="AL175" i="7"/>
  <c r="AL149" i="7"/>
  <c r="AL168" i="7"/>
  <c r="AL138" i="7"/>
  <c r="AL164" i="7"/>
  <c r="AL178" i="7"/>
  <c r="AL99" i="7"/>
  <c r="AL144" i="7"/>
  <c r="AL169" i="7"/>
  <c r="AL171" i="7"/>
  <c r="AL155" i="7"/>
  <c r="AL146" i="7"/>
  <c r="AL179" i="7"/>
  <c r="AL136" i="7"/>
  <c r="AL161" i="7"/>
  <c r="AL153" i="7"/>
  <c r="AL139" i="7"/>
  <c r="AL172" i="7"/>
  <c r="AL180" i="7"/>
  <c r="AL76" i="7"/>
  <c r="AL102" i="7"/>
  <c r="AK201" i="5" l="1"/>
  <c r="AK75" i="5"/>
  <c r="AL101" i="7"/>
  <c r="AL91" i="7"/>
  <c r="AL100" i="7"/>
  <c r="AK47" i="5"/>
  <c r="AK58" i="5" s="1"/>
  <c r="AK87" i="5" s="1"/>
  <c r="AK191" i="5"/>
  <c r="AP190" i="10"/>
  <c r="AP193" i="10" s="1"/>
  <c r="AP194" i="10" s="1"/>
  <c r="AP46" i="10" s="1"/>
  <c r="AM188" i="7"/>
  <c r="AO93" i="10"/>
  <c r="AP37" i="11" l="1"/>
  <c r="AP38" i="11" s="1"/>
  <c r="AP201" i="10"/>
  <c r="AP75" i="10"/>
  <c r="AM190" i="7"/>
  <c r="AK192" i="5"/>
  <c r="AP47" i="10"/>
  <c r="AP58" i="10" s="1"/>
  <c r="AP87" i="10" s="1"/>
  <c r="AP191" i="10"/>
  <c r="AK200" i="5"/>
  <c r="AK57" i="5"/>
  <c r="AK86" i="5" s="1"/>
  <c r="AK25" i="5"/>
  <c r="AK28" i="5" s="1"/>
  <c r="AL22" i="5" s="1"/>
  <c r="AK137" i="5"/>
  <c r="AK148" i="5"/>
  <c r="AK156" i="5"/>
  <c r="AK164" i="5"/>
  <c r="AK172" i="5"/>
  <c r="AK180" i="5"/>
  <c r="AK141" i="5"/>
  <c r="AK152" i="5"/>
  <c r="AK176" i="5"/>
  <c r="AK149" i="5"/>
  <c r="AK157" i="5"/>
  <c r="AK165" i="5"/>
  <c r="AK173" i="5"/>
  <c r="AK181" i="5"/>
  <c r="AK151" i="5"/>
  <c r="AK159" i="5"/>
  <c r="AK167" i="5"/>
  <c r="AK175" i="5"/>
  <c r="AK183" i="5"/>
  <c r="AK138" i="5"/>
  <c r="AK143" i="5"/>
  <c r="AK160" i="5"/>
  <c r="AK135" i="5"/>
  <c r="AK144" i="5"/>
  <c r="AK150" i="5"/>
  <c r="AK158" i="5"/>
  <c r="AK166" i="5"/>
  <c r="AK174" i="5"/>
  <c r="AK182" i="5"/>
  <c r="AK139" i="5"/>
  <c r="AK154" i="5"/>
  <c r="AK146" i="5"/>
  <c r="AK162" i="5"/>
  <c r="AK168" i="5"/>
  <c r="AK99" i="5"/>
  <c r="AK140" i="5"/>
  <c r="AK142" i="5"/>
  <c r="AK153" i="5"/>
  <c r="AK161" i="5"/>
  <c r="AK169" i="5"/>
  <c r="AK136" i="5"/>
  <c r="AK178" i="5"/>
  <c r="AK145" i="5"/>
  <c r="AK147" i="5"/>
  <c r="AK155" i="5"/>
  <c r="AK163" i="5"/>
  <c r="AK171" i="5"/>
  <c r="AK179" i="5"/>
  <c r="AK177" i="5"/>
  <c r="AK170" i="5"/>
  <c r="AK76" i="5"/>
  <c r="AL93" i="7"/>
  <c r="AK102" i="5"/>
  <c r="AM191" i="7" l="1"/>
  <c r="AP192" i="10"/>
  <c r="AM193" i="7"/>
  <c r="AM194" i="7" s="1"/>
  <c r="AM46" i="7" s="1"/>
  <c r="AK101" i="5"/>
  <c r="AK91" i="5"/>
  <c r="AP200" i="10"/>
  <c r="AP57" i="10"/>
  <c r="AP86" i="10" s="1"/>
  <c r="AP25" i="10"/>
  <c r="AP28" i="10" s="1"/>
  <c r="AQ22" i="10" s="1"/>
  <c r="AP149" i="10"/>
  <c r="AP168" i="10"/>
  <c r="AP172" i="10"/>
  <c r="AP162" i="10"/>
  <c r="AP180" i="10"/>
  <c r="AP140" i="10"/>
  <c r="AP170" i="10"/>
  <c r="AP151" i="10"/>
  <c r="AP147" i="10"/>
  <c r="AP182" i="10"/>
  <c r="AP153" i="10"/>
  <c r="AP160" i="10"/>
  <c r="AP156" i="10"/>
  <c r="AP155" i="10"/>
  <c r="AP177" i="10"/>
  <c r="AP158" i="10"/>
  <c r="AP159" i="10"/>
  <c r="AP150" i="10"/>
  <c r="AP154" i="10"/>
  <c r="AP145" i="10"/>
  <c r="AP165" i="10"/>
  <c r="AP143" i="10"/>
  <c r="AP167" i="10"/>
  <c r="AP179" i="10"/>
  <c r="AP173" i="10"/>
  <c r="AP171" i="10"/>
  <c r="AP157" i="10"/>
  <c r="AP141" i="10"/>
  <c r="AP175" i="10"/>
  <c r="AP148" i="10"/>
  <c r="AP174" i="10"/>
  <c r="AP161" i="10"/>
  <c r="AP176" i="10"/>
  <c r="AP144" i="10"/>
  <c r="AP152" i="10"/>
  <c r="AP142" i="10"/>
  <c r="AP178" i="10"/>
  <c r="AP183" i="10"/>
  <c r="AP164" i="10"/>
  <c r="AP181" i="10"/>
  <c r="AP146" i="10"/>
  <c r="AP166" i="10"/>
  <c r="AP99" i="10"/>
  <c r="AP169" i="10"/>
  <c r="AP163" i="10"/>
  <c r="AP76" i="10"/>
  <c r="AK100" i="5"/>
  <c r="AL188" i="5"/>
  <c r="AP102" i="10"/>
  <c r="AK93" i="5" l="1"/>
  <c r="AM201" i="7"/>
  <c r="AM58" i="7"/>
  <c r="AM87" i="7" s="1"/>
  <c r="AM75" i="7"/>
  <c r="AQ188" i="10"/>
  <c r="AP91" i="10"/>
  <c r="AP101" i="10"/>
  <c r="AM192" i="7"/>
  <c r="AM47" i="7"/>
  <c r="AP100" i="10"/>
  <c r="AL190" i="5"/>
  <c r="AM200" i="7" l="1"/>
  <c r="AM57" i="7"/>
  <c r="AM86" i="7" s="1"/>
  <c r="AM25" i="7"/>
  <c r="AM28" i="7" s="1"/>
  <c r="AN22" i="7" s="1"/>
  <c r="AM99" i="7"/>
  <c r="AM166" i="7"/>
  <c r="AM143" i="7"/>
  <c r="AM149" i="7"/>
  <c r="AM155" i="7"/>
  <c r="AM172" i="7"/>
  <c r="AM180" i="7"/>
  <c r="AM148" i="7"/>
  <c r="AM146" i="7"/>
  <c r="AM141" i="7"/>
  <c r="AM173" i="7"/>
  <c r="AM181" i="7"/>
  <c r="AM138" i="7"/>
  <c r="AM137" i="7"/>
  <c r="AM139" i="7"/>
  <c r="AM174" i="7"/>
  <c r="AM167" i="7"/>
  <c r="AM183" i="7"/>
  <c r="AM150" i="7"/>
  <c r="AM154" i="7"/>
  <c r="AM182" i="7"/>
  <c r="AM144" i="7"/>
  <c r="AM163" i="7"/>
  <c r="AM175" i="7"/>
  <c r="AM160" i="7"/>
  <c r="AM153" i="7"/>
  <c r="AM176" i="7"/>
  <c r="AM161" i="7"/>
  <c r="AM162" i="7"/>
  <c r="AM170" i="7"/>
  <c r="AM178" i="7"/>
  <c r="AM151" i="7"/>
  <c r="AM140" i="7"/>
  <c r="AM168" i="7"/>
  <c r="AM157" i="7"/>
  <c r="AM142" i="7"/>
  <c r="AM156" i="7"/>
  <c r="AM158" i="7"/>
  <c r="AM165" i="7"/>
  <c r="AM145" i="7"/>
  <c r="AM152" i="7"/>
  <c r="AM159" i="7"/>
  <c r="AM171" i="7"/>
  <c r="AM179" i="7"/>
  <c r="AM147" i="7"/>
  <c r="AM169" i="7"/>
  <c r="AM177" i="7"/>
  <c r="AM164" i="7"/>
  <c r="AM76" i="7"/>
  <c r="AQ190" i="10"/>
  <c r="AQ193" i="10" s="1"/>
  <c r="AQ194" i="10" s="1"/>
  <c r="AQ46" i="10" s="1"/>
  <c r="AL191" i="5"/>
  <c r="AL193" i="5"/>
  <c r="AL194" i="5" s="1"/>
  <c r="AL46" i="5" s="1"/>
  <c r="AP93" i="10"/>
  <c r="AM102" i="7"/>
  <c r="AQ47" i="10" l="1"/>
  <c r="AQ191" i="10"/>
  <c r="AM101" i="7"/>
  <c r="AM91" i="7"/>
  <c r="AL201" i="5"/>
  <c r="AL75" i="5"/>
  <c r="AN188" i="7"/>
  <c r="AL192" i="5"/>
  <c r="AQ37" i="11"/>
  <c r="AQ38" i="11" s="1"/>
  <c r="AQ201" i="10"/>
  <c r="AQ58" i="10"/>
  <c r="AQ87" i="10" s="1"/>
  <c r="AQ75" i="10"/>
  <c r="AM100" i="7"/>
  <c r="AL47" i="5"/>
  <c r="AL58" i="5" s="1"/>
  <c r="AL87" i="5" s="1"/>
  <c r="AL200" i="5" l="1"/>
  <c r="AL57" i="5"/>
  <c r="AL86" i="5" s="1"/>
  <c r="AL25" i="5"/>
  <c r="AL28" i="5" s="1"/>
  <c r="AM22" i="5" s="1"/>
  <c r="AL138" i="5"/>
  <c r="AL150" i="5"/>
  <c r="AL158" i="5"/>
  <c r="AL166" i="5"/>
  <c r="AL174" i="5"/>
  <c r="AL182" i="5"/>
  <c r="AL139" i="5"/>
  <c r="AL151" i="5"/>
  <c r="AL159" i="5"/>
  <c r="AL167" i="5"/>
  <c r="AL183" i="5"/>
  <c r="AL152" i="5"/>
  <c r="AL168" i="5"/>
  <c r="AL146" i="5"/>
  <c r="AL154" i="5"/>
  <c r="AL162" i="5"/>
  <c r="AL170" i="5"/>
  <c r="AL178" i="5"/>
  <c r="AL155" i="5"/>
  <c r="AL163" i="5"/>
  <c r="AL140" i="5"/>
  <c r="AL175" i="5"/>
  <c r="AL145" i="5"/>
  <c r="AL161" i="5"/>
  <c r="AL177" i="5"/>
  <c r="AL136" i="5"/>
  <c r="AL142" i="5"/>
  <c r="AL144" i="5"/>
  <c r="AL160" i="5"/>
  <c r="AL176" i="5"/>
  <c r="AL137" i="5"/>
  <c r="AL153" i="5"/>
  <c r="AL169" i="5"/>
  <c r="AL147" i="5"/>
  <c r="AL179" i="5"/>
  <c r="AL99" i="5"/>
  <c r="AL143" i="5"/>
  <c r="AL148" i="5"/>
  <c r="AL156" i="5"/>
  <c r="AL164" i="5"/>
  <c r="AL172" i="5"/>
  <c r="AL180" i="5"/>
  <c r="AL149" i="5"/>
  <c r="AL157" i="5"/>
  <c r="AL165" i="5"/>
  <c r="AL173" i="5"/>
  <c r="AL181" i="5"/>
  <c r="AL141" i="5"/>
  <c r="AL171" i="5"/>
  <c r="AL76" i="5"/>
  <c r="AM93" i="7"/>
  <c r="AN190" i="7"/>
  <c r="AQ192" i="10"/>
  <c r="AQ200" i="10"/>
  <c r="AQ57" i="10"/>
  <c r="AQ86" i="10" s="1"/>
  <c r="AQ25" i="10"/>
  <c r="AQ28" i="10" s="1"/>
  <c r="AR22" i="10" s="1"/>
  <c r="AQ183" i="10"/>
  <c r="AQ145" i="10"/>
  <c r="AQ182" i="10"/>
  <c r="AQ141" i="10"/>
  <c r="AQ160" i="10"/>
  <c r="AQ151" i="10"/>
  <c r="AQ178" i="10"/>
  <c r="AQ149" i="10"/>
  <c r="AQ164" i="10"/>
  <c r="AQ169" i="10"/>
  <c r="AQ156" i="10"/>
  <c r="AQ148" i="10"/>
  <c r="AQ159" i="10"/>
  <c r="AQ179" i="10"/>
  <c r="AQ175" i="10"/>
  <c r="AQ170" i="10"/>
  <c r="AQ172" i="10"/>
  <c r="AQ165" i="10"/>
  <c r="AQ143" i="10"/>
  <c r="AQ166" i="10"/>
  <c r="AQ154" i="10"/>
  <c r="AQ99" i="10"/>
  <c r="AQ155" i="10"/>
  <c r="AQ173" i="10"/>
  <c r="AQ152" i="10"/>
  <c r="AQ144" i="10"/>
  <c r="AQ146" i="10"/>
  <c r="AQ174" i="10"/>
  <c r="AQ176" i="10"/>
  <c r="AQ171" i="10"/>
  <c r="AQ158" i="10"/>
  <c r="AQ142" i="10"/>
  <c r="AQ161" i="10"/>
  <c r="AQ157" i="10"/>
  <c r="AQ181" i="10"/>
  <c r="AQ180" i="10"/>
  <c r="AQ168" i="10"/>
  <c r="AQ150" i="10"/>
  <c r="AQ147" i="10"/>
  <c r="AQ163" i="10"/>
  <c r="AQ167" i="10"/>
  <c r="AQ162" i="10"/>
  <c r="AQ153" i="10"/>
  <c r="AQ177" i="10"/>
  <c r="AQ76" i="10"/>
  <c r="AQ102" i="10"/>
  <c r="AL102" i="5"/>
  <c r="AL100" i="5" l="1"/>
  <c r="AL101" i="5"/>
  <c r="AL91" i="5"/>
  <c r="AR188" i="10"/>
  <c r="AQ100" i="10"/>
  <c r="AQ101" i="10"/>
  <c r="AQ91" i="10"/>
  <c r="AN191" i="7"/>
  <c r="AM188" i="5"/>
  <c r="AN193" i="7"/>
  <c r="AN194" i="7" s="1"/>
  <c r="AN46" i="7" s="1"/>
  <c r="AN47" i="7" l="1"/>
  <c r="AN200" i="7"/>
  <c r="AN25" i="7"/>
  <c r="AN28" i="7" s="1"/>
  <c r="AO22" i="7" s="1"/>
  <c r="AN163" i="7"/>
  <c r="AN159" i="7"/>
  <c r="AN143" i="7"/>
  <c r="AN158" i="7"/>
  <c r="AN171" i="7"/>
  <c r="AN179" i="7"/>
  <c r="AN141" i="7"/>
  <c r="AN146" i="7"/>
  <c r="AN155" i="7"/>
  <c r="AN167" i="7"/>
  <c r="AN151" i="7"/>
  <c r="AN174" i="7"/>
  <c r="AN139" i="7"/>
  <c r="AN175" i="7"/>
  <c r="AN176" i="7"/>
  <c r="AN170" i="7"/>
  <c r="AN99" i="7"/>
  <c r="AN153" i="7"/>
  <c r="AN157" i="7"/>
  <c r="AN160" i="7"/>
  <c r="AN172" i="7"/>
  <c r="AN180" i="7"/>
  <c r="AN182" i="7"/>
  <c r="AN144" i="7"/>
  <c r="AN183" i="7"/>
  <c r="AN145" i="7"/>
  <c r="AN168" i="7"/>
  <c r="AN162" i="7"/>
  <c r="AN156" i="7"/>
  <c r="AN154" i="7"/>
  <c r="AN166" i="7"/>
  <c r="AN164" i="7"/>
  <c r="AN173" i="7"/>
  <c r="AN181" i="7"/>
  <c r="AN152" i="7"/>
  <c r="AN140" i="7"/>
  <c r="AN148" i="7"/>
  <c r="AN142" i="7"/>
  <c r="AN161" i="7"/>
  <c r="AN138" i="7"/>
  <c r="AN165" i="7"/>
  <c r="AN149" i="7"/>
  <c r="AN150" i="7"/>
  <c r="AN169" i="7"/>
  <c r="AN177" i="7"/>
  <c r="AN147" i="7"/>
  <c r="AN178" i="7"/>
  <c r="AN76" i="7"/>
  <c r="AQ93" i="10"/>
  <c r="AN192" i="7"/>
  <c r="AN201" i="7"/>
  <c r="AN58" i="7"/>
  <c r="AN87" i="7" s="1"/>
  <c r="AN75" i="7"/>
  <c r="AR190" i="10"/>
  <c r="AR193" i="10" s="1"/>
  <c r="AR194" i="10" s="1"/>
  <c r="AR46" i="10" s="1"/>
  <c r="AM190" i="5"/>
  <c r="AL93" i="5"/>
  <c r="AN102" i="7"/>
  <c r="AR37" i="11" l="1"/>
  <c r="AR38" i="11" s="1"/>
  <c r="AR201" i="10"/>
  <c r="AR75" i="10"/>
  <c r="AO188" i="7"/>
  <c r="AN57" i="7"/>
  <c r="AN86" i="7" s="1"/>
  <c r="AR47" i="10"/>
  <c r="AR58" i="10" s="1"/>
  <c r="AR87" i="10" s="1"/>
  <c r="AR191" i="10"/>
  <c r="AN101" i="7"/>
  <c r="AN91" i="7"/>
  <c r="AN100" i="7"/>
  <c r="AM191" i="5"/>
  <c r="AM193" i="5"/>
  <c r="AM194" i="5" s="1"/>
  <c r="AM46" i="5" s="1"/>
  <c r="AM47" i="5" l="1"/>
  <c r="AN93" i="7"/>
  <c r="AO190" i="7"/>
  <c r="AM201" i="5"/>
  <c r="AM58" i="5"/>
  <c r="AM87" i="5" s="1"/>
  <c r="AM75" i="5"/>
  <c r="AR192" i="10"/>
  <c r="AM192" i="5"/>
  <c r="AR200" i="10"/>
  <c r="AR57" i="10"/>
  <c r="AR86" i="10" s="1"/>
  <c r="AR25" i="10"/>
  <c r="AR28" i="10" s="1"/>
  <c r="AS22" i="10" s="1"/>
  <c r="AR167" i="10"/>
  <c r="AR156" i="10"/>
  <c r="AR161" i="10"/>
  <c r="AR160" i="10"/>
  <c r="AR144" i="10"/>
  <c r="AR153" i="10"/>
  <c r="AR143" i="10"/>
  <c r="AR99" i="10"/>
  <c r="AR180" i="10"/>
  <c r="AR166" i="10"/>
  <c r="AR177" i="10"/>
  <c r="AR176" i="10"/>
  <c r="AR162" i="10"/>
  <c r="AR157" i="10"/>
  <c r="AR159" i="10"/>
  <c r="AR158" i="10"/>
  <c r="AR171" i="10"/>
  <c r="AR165" i="10"/>
  <c r="AR181" i="10"/>
  <c r="AR145" i="10"/>
  <c r="AR175" i="10"/>
  <c r="AR170" i="10"/>
  <c r="AR155" i="10"/>
  <c r="AR146" i="10"/>
  <c r="AR163" i="10"/>
  <c r="AR179" i="10"/>
  <c r="AR148" i="10"/>
  <c r="AR168" i="10"/>
  <c r="AR164" i="10"/>
  <c r="AR169" i="10"/>
  <c r="AR147" i="10"/>
  <c r="AR151" i="10"/>
  <c r="AR172" i="10"/>
  <c r="AR142" i="10"/>
  <c r="AR150" i="10"/>
  <c r="AR178" i="10"/>
  <c r="AR173" i="10"/>
  <c r="AR182" i="10"/>
  <c r="AR152" i="10"/>
  <c r="AR149" i="10"/>
  <c r="AR174" i="10"/>
  <c r="AR154" i="10"/>
  <c r="AR183" i="10"/>
  <c r="AR76" i="10"/>
  <c r="AM200" i="5"/>
  <c r="AM25" i="5"/>
  <c r="AM28" i="5" s="1"/>
  <c r="AN22" i="5" s="1"/>
  <c r="AM141" i="5"/>
  <c r="AM148" i="5"/>
  <c r="AM156" i="5"/>
  <c r="AM164" i="5"/>
  <c r="AM172" i="5"/>
  <c r="AM180" i="5"/>
  <c r="AM138" i="5"/>
  <c r="AM166" i="5"/>
  <c r="AM139" i="5"/>
  <c r="AM137" i="5"/>
  <c r="AM149" i="5"/>
  <c r="AM157" i="5"/>
  <c r="AM165" i="5"/>
  <c r="AM173" i="5"/>
  <c r="AM181" i="5"/>
  <c r="AM158" i="5"/>
  <c r="AM182" i="5"/>
  <c r="AM159" i="5"/>
  <c r="AM167" i="5"/>
  <c r="AM175" i="5"/>
  <c r="AM183" i="5"/>
  <c r="AM143" i="5"/>
  <c r="AM152" i="5"/>
  <c r="AM160" i="5"/>
  <c r="AM176" i="5"/>
  <c r="AM161" i="5"/>
  <c r="AM162" i="5"/>
  <c r="AM150" i="5"/>
  <c r="AM174" i="5"/>
  <c r="AM151" i="5"/>
  <c r="AM142" i="5"/>
  <c r="AM169" i="5"/>
  <c r="AM177" i="5"/>
  <c r="AM146" i="5"/>
  <c r="AM154" i="5"/>
  <c r="AM170" i="5"/>
  <c r="AM140" i="5"/>
  <c r="AM99" i="5"/>
  <c r="AM144" i="5"/>
  <c r="AM147" i="5"/>
  <c r="AM155" i="5"/>
  <c r="AM163" i="5"/>
  <c r="AM171" i="5"/>
  <c r="AM179" i="5"/>
  <c r="AM145" i="5"/>
  <c r="AM168" i="5"/>
  <c r="AM153" i="5"/>
  <c r="AM178" i="5"/>
  <c r="AM76" i="5"/>
  <c r="AM102" i="5"/>
  <c r="AR102" i="10"/>
  <c r="AM57" i="5" l="1"/>
  <c r="AM86" i="5" s="1"/>
  <c r="AR101" i="10"/>
  <c r="AR91" i="10"/>
  <c r="AO191" i="7"/>
  <c r="AN188" i="5"/>
  <c r="AR100" i="10"/>
  <c r="AS188" i="10"/>
  <c r="AO193" i="7"/>
  <c r="AO194" i="7" s="1"/>
  <c r="AO46" i="7" s="1"/>
  <c r="AM100" i="5"/>
  <c r="AM91" i="5"/>
  <c r="AM101" i="5"/>
  <c r="AN190" i="5" l="1"/>
  <c r="AO201" i="7"/>
  <c r="AO75" i="7"/>
  <c r="AS190" i="10"/>
  <c r="AS193" i="10" s="1"/>
  <c r="AS194" i="10" s="1"/>
  <c r="AS46" i="10" s="1"/>
  <c r="AO47" i="7"/>
  <c r="AO192" i="7"/>
  <c r="AM93" i="5"/>
  <c r="AR93" i="10"/>
  <c r="AS37" i="11" l="1"/>
  <c r="AS38" i="11" s="1"/>
  <c r="AS201" i="10"/>
  <c r="AS75" i="10"/>
  <c r="AS47" i="10"/>
  <c r="AS191" i="10"/>
  <c r="AO200" i="7"/>
  <c r="AO25" i="7"/>
  <c r="AO28" i="7" s="1"/>
  <c r="AP22" i="7" s="1"/>
  <c r="AO162" i="7"/>
  <c r="AO145" i="7"/>
  <c r="AO147" i="7"/>
  <c r="AO139" i="7"/>
  <c r="AO175" i="7"/>
  <c r="AO183" i="7"/>
  <c r="AO151" i="7"/>
  <c r="AO157" i="7"/>
  <c r="AO141" i="7"/>
  <c r="AO140" i="7"/>
  <c r="AO176" i="7"/>
  <c r="AO161" i="7"/>
  <c r="AO158" i="7"/>
  <c r="AO169" i="7"/>
  <c r="AO177" i="7"/>
  <c r="AO167" i="7"/>
  <c r="AO168" i="7"/>
  <c r="AO146" i="7"/>
  <c r="AO156" i="7"/>
  <c r="AO170" i="7"/>
  <c r="AO178" i="7"/>
  <c r="AO150" i="7"/>
  <c r="AO166" i="7"/>
  <c r="AO153" i="7"/>
  <c r="AO180" i="7"/>
  <c r="AO99" i="7"/>
  <c r="AO148" i="7"/>
  <c r="AO173" i="7"/>
  <c r="AO149" i="7"/>
  <c r="AO144" i="7"/>
  <c r="AO142" i="7"/>
  <c r="AO165" i="7"/>
  <c r="AO143" i="7"/>
  <c r="AO163" i="7"/>
  <c r="AO160" i="7"/>
  <c r="AO164" i="7"/>
  <c r="AO174" i="7"/>
  <c r="AO182" i="7"/>
  <c r="AO152" i="7"/>
  <c r="AO155" i="7"/>
  <c r="AO171" i="7"/>
  <c r="AO179" i="7"/>
  <c r="AO154" i="7"/>
  <c r="AO172" i="7"/>
  <c r="AO159" i="7"/>
  <c r="AO181" i="7"/>
  <c r="AO76" i="7"/>
  <c r="AO58" i="7"/>
  <c r="AO87" i="7" s="1"/>
  <c r="AN191" i="5"/>
  <c r="AN193" i="5"/>
  <c r="AN194" i="5" s="1"/>
  <c r="AN46" i="5" s="1"/>
  <c r="AO102" i="7"/>
  <c r="AN201" i="5" l="1"/>
  <c r="AN75" i="5"/>
  <c r="AS192" i="10"/>
  <c r="AS200" i="10"/>
  <c r="AS25" i="10"/>
  <c r="AS28" i="10" s="1"/>
  <c r="AT22" i="10" s="1"/>
  <c r="AS171" i="10"/>
  <c r="AS172" i="10"/>
  <c r="AS145" i="10"/>
  <c r="AS153" i="10"/>
  <c r="AS144" i="10"/>
  <c r="AS183" i="10"/>
  <c r="AS156" i="10"/>
  <c r="AS146" i="10"/>
  <c r="AS161" i="10"/>
  <c r="AS160" i="10"/>
  <c r="AS143" i="10"/>
  <c r="AS182" i="10"/>
  <c r="AS147" i="10"/>
  <c r="AS180" i="10"/>
  <c r="AS177" i="10"/>
  <c r="AS178" i="10"/>
  <c r="AS164" i="10"/>
  <c r="AS168" i="10"/>
  <c r="AS154" i="10"/>
  <c r="AS167" i="10"/>
  <c r="AS159" i="10"/>
  <c r="AS162" i="10"/>
  <c r="AS148" i="10"/>
  <c r="AS152" i="10"/>
  <c r="AS151" i="10"/>
  <c r="AS163" i="10"/>
  <c r="AS175" i="10"/>
  <c r="AS181" i="10"/>
  <c r="AS166" i="10"/>
  <c r="AS149" i="10"/>
  <c r="AS99" i="10"/>
  <c r="AS173" i="10"/>
  <c r="AS157" i="10"/>
  <c r="AS170" i="10"/>
  <c r="AS165" i="10"/>
  <c r="AS176" i="10"/>
  <c r="AS174" i="10"/>
  <c r="AS169" i="10"/>
  <c r="AS158" i="10"/>
  <c r="AS155" i="10"/>
  <c r="AS150" i="10"/>
  <c r="AS179" i="10"/>
  <c r="AS76" i="10"/>
  <c r="AS58" i="10"/>
  <c r="AS87" i="10" s="1"/>
  <c r="AN192" i="5"/>
  <c r="AN47" i="5"/>
  <c r="AO91" i="7"/>
  <c r="AO101" i="7"/>
  <c r="AP188" i="7"/>
  <c r="AO100" i="7"/>
  <c r="AO57" i="7"/>
  <c r="AO86" i="7" s="1"/>
  <c r="AS102" i="10"/>
  <c r="AS101" i="10" l="1"/>
  <c r="AS91" i="10"/>
  <c r="AO93" i="7"/>
  <c r="AN25" i="5"/>
  <c r="AN28" i="5" s="1"/>
  <c r="AO22" i="5" s="1"/>
  <c r="AN200" i="5"/>
  <c r="AN99" i="5"/>
  <c r="AN144" i="5"/>
  <c r="AN148" i="5"/>
  <c r="AN156" i="5"/>
  <c r="AN164" i="5"/>
  <c r="AN172" i="5"/>
  <c r="AN180" i="5"/>
  <c r="AN141" i="5"/>
  <c r="AN139" i="5"/>
  <c r="AN160" i="5"/>
  <c r="AN168" i="5"/>
  <c r="AN147" i="5"/>
  <c r="AN154" i="5"/>
  <c r="AN178" i="5"/>
  <c r="AN142" i="5"/>
  <c r="AN149" i="5"/>
  <c r="AN157" i="5"/>
  <c r="AN165" i="5"/>
  <c r="AN173" i="5"/>
  <c r="AN181" i="5"/>
  <c r="AN159" i="5"/>
  <c r="AN167" i="5"/>
  <c r="AN175" i="5"/>
  <c r="AN183" i="5"/>
  <c r="AN152" i="5"/>
  <c r="AN153" i="5"/>
  <c r="AN145" i="5"/>
  <c r="AN150" i="5"/>
  <c r="AN158" i="5"/>
  <c r="AN166" i="5"/>
  <c r="AN174" i="5"/>
  <c r="AN182" i="5"/>
  <c r="AN151" i="5"/>
  <c r="AN162" i="5"/>
  <c r="AN176" i="5"/>
  <c r="AN161" i="5"/>
  <c r="AN140" i="5"/>
  <c r="AN143" i="5"/>
  <c r="AN155" i="5"/>
  <c r="AN163" i="5"/>
  <c r="AN171" i="5"/>
  <c r="AN179" i="5"/>
  <c r="AN146" i="5"/>
  <c r="AN169" i="5"/>
  <c r="AN177" i="5"/>
  <c r="AN138" i="5"/>
  <c r="AN170" i="5"/>
  <c r="AN76" i="5"/>
  <c r="AP190" i="7"/>
  <c r="AP193" i="7" s="1"/>
  <c r="AP194" i="7" s="1"/>
  <c r="AP46" i="7" s="1"/>
  <c r="AS100" i="10"/>
  <c r="AS57" i="10"/>
  <c r="AS86" i="10" s="1"/>
  <c r="AN58" i="5"/>
  <c r="AN87" i="5" s="1"/>
  <c r="AT188" i="10"/>
  <c r="AN102" i="5"/>
  <c r="AP47" i="7" l="1"/>
  <c r="AP58" i="7" s="1"/>
  <c r="AP87" i="7" s="1"/>
  <c r="AP191" i="7"/>
  <c r="AO188" i="5"/>
  <c r="AS93" i="10"/>
  <c r="AT190" i="10"/>
  <c r="AT193" i="10" s="1"/>
  <c r="AT194" i="10" s="1"/>
  <c r="AT46" i="10" s="1"/>
  <c r="AN57" i="5"/>
  <c r="AN86" i="5" s="1"/>
  <c r="AP201" i="7"/>
  <c r="AP75" i="7"/>
  <c r="AN91" i="5"/>
  <c r="AN101" i="5"/>
  <c r="AN100" i="5"/>
  <c r="AO190" i="5" l="1"/>
  <c r="AN93" i="5"/>
  <c r="AP192" i="7"/>
  <c r="AT37" i="11"/>
  <c r="AT38" i="11" s="1"/>
  <c r="AT201" i="10"/>
  <c r="AT75" i="10"/>
  <c r="AT47" i="10"/>
  <c r="AT58" i="10" s="1"/>
  <c r="AT87" i="10" s="1"/>
  <c r="AT191" i="10"/>
  <c r="AP200" i="7"/>
  <c r="AP57" i="7"/>
  <c r="AP86" i="7" s="1"/>
  <c r="AP25" i="7"/>
  <c r="AP28" i="7" s="1"/>
  <c r="AQ22" i="7" s="1"/>
  <c r="AP150" i="7"/>
  <c r="AP163" i="7"/>
  <c r="AP143" i="7"/>
  <c r="AP144" i="7"/>
  <c r="AP176" i="7"/>
  <c r="AP165" i="7"/>
  <c r="AP162" i="7"/>
  <c r="AP181" i="7"/>
  <c r="AP169" i="7"/>
  <c r="AP151" i="7"/>
  <c r="AP140" i="7"/>
  <c r="AP152" i="7"/>
  <c r="AP177" i="7"/>
  <c r="AP171" i="7"/>
  <c r="AP172" i="7"/>
  <c r="AP168" i="7"/>
  <c r="AP148" i="7"/>
  <c r="AP170" i="7"/>
  <c r="AP178" i="7"/>
  <c r="AP157" i="7"/>
  <c r="AP180" i="7"/>
  <c r="AP173" i="7"/>
  <c r="AP167" i="7"/>
  <c r="AP159" i="7"/>
  <c r="AP141" i="7"/>
  <c r="AP179" i="7"/>
  <c r="AP164" i="7"/>
  <c r="AP156" i="7"/>
  <c r="AP142" i="7"/>
  <c r="AP153" i="7"/>
  <c r="AP147" i="7"/>
  <c r="AP149" i="7"/>
  <c r="AP99" i="7"/>
  <c r="AP154" i="7"/>
  <c r="AP146" i="7"/>
  <c r="AP160" i="7"/>
  <c r="AP161" i="7"/>
  <c r="AP174" i="7"/>
  <c r="AP182" i="7"/>
  <c r="AP155" i="7"/>
  <c r="AP145" i="7"/>
  <c r="AP158" i="7"/>
  <c r="AP166" i="7"/>
  <c r="AP175" i="7"/>
  <c r="AP183" i="7"/>
  <c r="AP76" i="7"/>
  <c r="AP102" i="7"/>
  <c r="AT200" i="10" l="1"/>
  <c r="AT57" i="10"/>
  <c r="AT86" i="10" s="1"/>
  <c r="AT25" i="10"/>
  <c r="AT28" i="10" s="1"/>
  <c r="AU22" i="10" s="1"/>
  <c r="AT147" i="10"/>
  <c r="AT161" i="10"/>
  <c r="AT163" i="10"/>
  <c r="AT179" i="10"/>
  <c r="AT164" i="10"/>
  <c r="AT155" i="10"/>
  <c r="AT154" i="10"/>
  <c r="AT148" i="10"/>
  <c r="AT99" i="10"/>
  <c r="AT162" i="10"/>
  <c r="AT167" i="10"/>
  <c r="AT172" i="10"/>
  <c r="AT159" i="10"/>
  <c r="AT149" i="10"/>
  <c r="AT170" i="10"/>
  <c r="AT151" i="10"/>
  <c r="AT177" i="10"/>
  <c r="AT153" i="10"/>
  <c r="AT144" i="10"/>
  <c r="AT183" i="10"/>
  <c r="AT180" i="10"/>
  <c r="AT173" i="10"/>
  <c r="AT145" i="10"/>
  <c r="AT178" i="10"/>
  <c r="AT168" i="10"/>
  <c r="AT166" i="10"/>
  <c r="AT160" i="10"/>
  <c r="AT157" i="10"/>
  <c r="AT174" i="10"/>
  <c r="AT165" i="10"/>
  <c r="AT146" i="10"/>
  <c r="AT182" i="10"/>
  <c r="AT169" i="10"/>
  <c r="AT150" i="10"/>
  <c r="AT152" i="10"/>
  <c r="AT175" i="10"/>
  <c r="AT156" i="10"/>
  <c r="AT181" i="10"/>
  <c r="AT176" i="10"/>
  <c r="AT158" i="10"/>
  <c r="AT171" i="10"/>
  <c r="AT76" i="10"/>
  <c r="AP91" i="7"/>
  <c r="AP101" i="7"/>
  <c r="AO191" i="5"/>
  <c r="AO193" i="5"/>
  <c r="AO194" i="5" s="1"/>
  <c r="AO46" i="5" s="1"/>
  <c r="AP100" i="7"/>
  <c r="AQ188" i="7"/>
  <c r="AT192" i="10"/>
  <c r="AT102" i="10"/>
  <c r="AP93" i="7" l="1"/>
  <c r="AO201" i="5"/>
  <c r="AO75" i="5"/>
  <c r="AT101" i="10"/>
  <c r="AT91" i="10"/>
  <c r="AU188" i="10"/>
  <c r="AT100" i="10"/>
  <c r="AO192" i="5"/>
  <c r="AO47" i="5"/>
  <c r="AO58" i="5" s="1"/>
  <c r="AO87" i="5" s="1"/>
  <c r="AQ190" i="7"/>
  <c r="AQ193" i="7" s="1"/>
  <c r="AQ194" i="7" s="1"/>
  <c r="AQ46" i="7" s="1"/>
  <c r="AQ201" i="7" l="1"/>
  <c r="AQ75" i="7"/>
  <c r="AU190" i="10"/>
  <c r="AU193" i="10" s="1"/>
  <c r="AU194" i="10" s="1"/>
  <c r="AU46" i="10" s="1"/>
  <c r="AQ47" i="7"/>
  <c r="AQ191" i="7"/>
  <c r="AO200" i="5"/>
  <c r="AO57" i="5"/>
  <c r="AO86" i="5" s="1"/>
  <c r="AO25" i="5"/>
  <c r="AO28" i="5" s="1"/>
  <c r="AP22" i="5" s="1"/>
  <c r="AO148" i="5"/>
  <c r="AO142" i="5"/>
  <c r="AO155" i="5"/>
  <c r="AO163" i="5"/>
  <c r="AO171" i="5"/>
  <c r="AO179" i="5"/>
  <c r="AO166" i="5"/>
  <c r="AO175" i="5"/>
  <c r="AO176" i="5"/>
  <c r="AO161" i="5"/>
  <c r="AO147" i="5"/>
  <c r="AO141" i="5"/>
  <c r="AO156" i="5"/>
  <c r="AO164" i="5"/>
  <c r="AO172" i="5"/>
  <c r="AO180" i="5"/>
  <c r="AO150" i="5"/>
  <c r="AO158" i="5"/>
  <c r="AO182" i="5"/>
  <c r="AO99" i="5"/>
  <c r="AO146" i="5"/>
  <c r="AO145" i="5"/>
  <c r="AO157" i="5"/>
  <c r="AO165" i="5"/>
  <c r="AO173" i="5"/>
  <c r="AO181" i="5"/>
  <c r="AO140" i="5"/>
  <c r="AO174" i="5"/>
  <c r="AO168" i="5"/>
  <c r="AO153" i="5"/>
  <c r="AO183" i="5"/>
  <c r="AO144" i="5"/>
  <c r="AO177" i="5"/>
  <c r="AO151" i="5"/>
  <c r="AO159" i="5"/>
  <c r="AO167" i="5"/>
  <c r="AO139" i="5"/>
  <c r="AO152" i="5"/>
  <c r="AO160" i="5"/>
  <c r="AO169" i="5"/>
  <c r="AO143" i="5"/>
  <c r="AO149" i="5"/>
  <c r="AO154" i="5"/>
  <c r="AO162" i="5"/>
  <c r="AO170" i="5"/>
  <c r="AO178" i="5"/>
  <c r="AO76" i="5"/>
  <c r="AT93" i="10"/>
  <c r="AO102" i="5"/>
  <c r="AU37" i="11" l="1"/>
  <c r="AU38" i="11" s="1"/>
  <c r="AU201" i="10"/>
  <c r="AU75" i="10"/>
  <c r="AQ192" i="7"/>
  <c r="AO100" i="5"/>
  <c r="AQ200" i="7"/>
  <c r="AQ25" i="7"/>
  <c r="AQ28" i="7" s="1"/>
  <c r="AR22" i="7" s="1"/>
  <c r="AQ154" i="7"/>
  <c r="AQ158" i="7"/>
  <c r="AQ166" i="7"/>
  <c r="AQ148" i="7"/>
  <c r="AQ172" i="7"/>
  <c r="AQ180" i="7"/>
  <c r="AQ99" i="7"/>
  <c r="AQ145" i="7"/>
  <c r="AQ175" i="7"/>
  <c r="AQ141" i="7"/>
  <c r="AQ149" i="7"/>
  <c r="AQ159" i="7"/>
  <c r="AQ153" i="7"/>
  <c r="AQ173" i="7"/>
  <c r="AQ181" i="7"/>
  <c r="AQ150" i="7"/>
  <c r="AQ167" i="7"/>
  <c r="AQ165" i="7"/>
  <c r="AQ162" i="7"/>
  <c r="AQ176" i="7"/>
  <c r="AQ161" i="7"/>
  <c r="AQ178" i="7"/>
  <c r="AQ146" i="7"/>
  <c r="AQ143" i="7"/>
  <c r="AQ168" i="7"/>
  <c r="AQ174" i="7"/>
  <c r="AQ182" i="7"/>
  <c r="AQ157" i="7"/>
  <c r="AQ183" i="7"/>
  <c r="AQ151" i="7"/>
  <c r="AQ144" i="7"/>
  <c r="AQ155" i="7"/>
  <c r="AQ177" i="7"/>
  <c r="AQ142" i="7"/>
  <c r="AQ164" i="7"/>
  <c r="AQ170" i="7"/>
  <c r="AQ152" i="7"/>
  <c r="AQ156" i="7"/>
  <c r="AQ169" i="7"/>
  <c r="AQ163" i="7"/>
  <c r="AQ171" i="7"/>
  <c r="AQ179" i="7"/>
  <c r="AQ160" i="7"/>
  <c r="AQ147" i="7"/>
  <c r="AQ76" i="7"/>
  <c r="AO91" i="5"/>
  <c r="AO101" i="5"/>
  <c r="AP188" i="5"/>
  <c r="AQ58" i="7"/>
  <c r="AQ87" i="7" s="1"/>
  <c r="AU47" i="10"/>
  <c r="AU58" i="10" s="1"/>
  <c r="AU87" i="10" s="1"/>
  <c r="AU191" i="10"/>
  <c r="AQ102" i="7"/>
  <c r="AO93" i="5" l="1"/>
  <c r="AP190" i="5"/>
  <c r="AU192" i="10"/>
  <c r="AR188" i="7"/>
  <c r="AU200" i="10"/>
  <c r="AU57" i="10"/>
  <c r="AU86" i="10" s="1"/>
  <c r="AU25" i="10"/>
  <c r="AU28" i="10" s="1"/>
  <c r="AV22" i="10" s="1"/>
  <c r="AU171" i="10"/>
  <c r="AU179" i="10"/>
  <c r="AU175" i="10"/>
  <c r="AU167" i="10"/>
  <c r="AU165" i="10"/>
  <c r="AU160" i="10"/>
  <c r="AU177" i="10"/>
  <c r="AU180" i="10"/>
  <c r="AU154" i="10"/>
  <c r="AU156" i="10"/>
  <c r="AU162" i="10"/>
  <c r="AU153" i="10"/>
  <c r="AU161" i="10"/>
  <c r="AU176" i="10"/>
  <c r="AU151" i="10"/>
  <c r="AU146" i="10"/>
  <c r="AU178" i="10"/>
  <c r="AU148" i="10"/>
  <c r="AU149" i="10"/>
  <c r="AU163" i="10"/>
  <c r="AU152" i="10"/>
  <c r="AU168" i="10"/>
  <c r="AU182" i="10"/>
  <c r="AU172" i="10"/>
  <c r="AU169" i="10"/>
  <c r="AU173" i="10"/>
  <c r="AU159" i="10"/>
  <c r="AU157" i="10"/>
  <c r="AU170" i="10"/>
  <c r="AU174" i="10"/>
  <c r="AU155" i="10"/>
  <c r="AU150" i="10"/>
  <c r="AU166" i="10"/>
  <c r="AU181" i="10"/>
  <c r="AU183" i="10"/>
  <c r="AU158" i="10"/>
  <c r="AU164" i="10"/>
  <c r="AU147" i="10"/>
  <c r="AU99" i="10"/>
  <c r="AU145" i="10"/>
  <c r="AU76" i="10"/>
  <c r="AQ100" i="7"/>
  <c r="AQ57" i="7"/>
  <c r="AQ86" i="7" s="1"/>
  <c r="AQ91" i="7"/>
  <c r="AQ101" i="7"/>
  <c r="AU102" i="10"/>
  <c r="AU91" i="10" l="1"/>
  <c r="AU101" i="10"/>
  <c r="AU100" i="10"/>
  <c r="AP191" i="5"/>
  <c r="AP193" i="5"/>
  <c r="AP194" i="5" s="1"/>
  <c r="AP46" i="5" s="1"/>
  <c r="AQ93" i="7"/>
  <c r="AR190" i="7"/>
  <c r="AV188" i="10"/>
  <c r="AP192" i="5" l="1"/>
  <c r="AP47" i="5"/>
  <c r="AU93" i="10"/>
  <c r="AR191" i="7"/>
  <c r="AR193" i="7"/>
  <c r="AR194" i="7" s="1"/>
  <c r="AR46" i="7" s="1"/>
  <c r="AP201" i="5"/>
  <c r="AP58" i="5"/>
  <c r="AP87" i="5" s="1"/>
  <c r="AP75" i="5"/>
  <c r="AV190" i="10"/>
  <c r="AR47" i="7" l="1"/>
  <c r="AR146" i="7" s="1"/>
  <c r="AV191" i="10"/>
  <c r="AV193" i="10"/>
  <c r="AV194" i="10" s="1"/>
  <c r="AV46" i="10" s="1"/>
  <c r="AR201" i="7"/>
  <c r="AR58" i="7"/>
  <c r="AR87" i="7" s="1"/>
  <c r="AR75" i="7"/>
  <c r="AR200" i="7"/>
  <c r="AR25" i="7"/>
  <c r="AR28" i="7" s="1"/>
  <c r="AS22" i="7" s="1"/>
  <c r="AR153" i="7"/>
  <c r="AR165" i="7"/>
  <c r="AR169" i="7"/>
  <c r="AR178" i="7"/>
  <c r="AR171" i="7"/>
  <c r="AR155" i="7"/>
  <c r="AR172" i="7"/>
  <c r="AR143" i="7"/>
  <c r="AR144" i="7"/>
  <c r="AR173" i="7"/>
  <c r="AR142" i="7"/>
  <c r="AR174" i="7"/>
  <c r="AR154" i="7"/>
  <c r="AR159" i="7"/>
  <c r="AR162" i="7"/>
  <c r="AR166" i="7"/>
  <c r="AR179" i="7"/>
  <c r="AR145" i="7"/>
  <c r="AR163" i="7"/>
  <c r="AR182" i="7"/>
  <c r="AR149" i="7"/>
  <c r="AR168" i="7"/>
  <c r="AR180" i="7"/>
  <c r="AR148" i="7"/>
  <c r="AR164" i="7"/>
  <c r="AR181" i="7"/>
  <c r="AR175" i="7"/>
  <c r="AR160" i="7"/>
  <c r="AR99" i="7"/>
  <c r="AR158" i="7"/>
  <c r="AR170" i="7"/>
  <c r="AR147" i="7"/>
  <c r="AR150" i="7"/>
  <c r="AR177" i="7"/>
  <c r="AR161" i="7"/>
  <c r="AR167" i="7"/>
  <c r="AR151" i="7"/>
  <c r="AR156" i="7"/>
  <c r="AR157" i="7"/>
  <c r="AR183" i="7"/>
  <c r="AR152" i="7"/>
  <c r="AR176" i="7"/>
  <c r="AR76" i="7"/>
  <c r="AP200" i="5"/>
  <c r="AP57" i="5"/>
  <c r="AP86" i="5" s="1"/>
  <c r="AP25" i="5"/>
  <c r="AP28" i="5" s="1"/>
  <c r="AQ22" i="5" s="1"/>
  <c r="AP147" i="5"/>
  <c r="AP154" i="5"/>
  <c r="AP162" i="5"/>
  <c r="AP170" i="5"/>
  <c r="AP178" i="5"/>
  <c r="AP146" i="5"/>
  <c r="AP173" i="5"/>
  <c r="AP158" i="5"/>
  <c r="AP166" i="5"/>
  <c r="AP99" i="5"/>
  <c r="AP159" i="5"/>
  <c r="AP167" i="5"/>
  <c r="AP152" i="5"/>
  <c r="AP176" i="5"/>
  <c r="AP140" i="5"/>
  <c r="AP143" i="5"/>
  <c r="AP155" i="5"/>
  <c r="AP163" i="5"/>
  <c r="AP171" i="5"/>
  <c r="AP179" i="5"/>
  <c r="AP165" i="5"/>
  <c r="AP181" i="5"/>
  <c r="AP150" i="5"/>
  <c r="AP182" i="5"/>
  <c r="AP151" i="5"/>
  <c r="AP175" i="5"/>
  <c r="AP160" i="5"/>
  <c r="AP141" i="5"/>
  <c r="AP156" i="5"/>
  <c r="AP164" i="5"/>
  <c r="AP172" i="5"/>
  <c r="AP180" i="5"/>
  <c r="AP157" i="5"/>
  <c r="AP142" i="5"/>
  <c r="AP174" i="5"/>
  <c r="AP144" i="5"/>
  <c r="AP183" i="5"/>
  <c r="AP149" i="5"/>
  <c r="AP168" i="5"/>
  <c r="AP145" i="5"/>
  <c r="AP148" i="5"/>
  <c r="AP153" i="5"/>
  <c r="AP161" i="5"/>
  <c r="AP169" i="5"/>
  <c r="AP177" i="5"/>
  <c r="AP76" i="5"/>
  <c r="AR192" i="7"/>
  <c r="AR102" i="7"/>
  <c r="AP102" i="5"/>
  <c r="AR91" i="7" l="1"/>
  <c r="AR101" i="7"/>
  <c r="AQ188" i="5"/>
  <c r="AV37" i="11"/>
  <c r="AV38" i="11" s="1"/>
  <c r="AV201" i="10"/>
  <c r="AV75" i="10"/>
  <c r="AS188" i="7"/>
  <c r="AV192" i="10"/>
  <c r="AP100" i="5"/>
  <c r="AP91" i="5"/>
  <c r="AP101" i="5"/>
  <c r="AR100" i="7"/>
  <c r="AR57" i="7"/>
  <c r="AR86" i="7" s="1"/>
  <c r="AV47" i="10"/>
  <c r="AV58" i="10" s="1"/>
  <c r="AV87" i="10" s="1"/>
  <c r="AR93" i="7" l="1"/>
  <c r="AQ190" i="5"/>
  <c r="AS190" i="7"/>
  <c r="AP93" i="5"/>
  <c r="AV200" i="10"/>
  <c r="AV25" i="10"/>
  <c r="AV28" i="10" s="1"/>
  <c r="AW22" i="10" s="1"/>
  <c r="AV57" i="10"/>
  <c r="AV86" i="10" s="1"/>
  <c r="AV179" i="10"/>
  <c r="AV156" i="10"/>
  <c r="AV147" i="10"/>
  <c r="AV165" i="10"/>
  <c r="AV177" i="10"/>
  <c r="AV169" i="10"/>
  <c r="AV152" i="10"/>
  <c r="AV172" i="10"/>
  <c r="AV155" i="10"/>
  <c r="AV170" i="10"/>
  <c r="AV171" i="10"/>
  <c r="AV174" i="10"/>
  <c r="AV158" i="10"/>
  <c r="AV175" i="10"/>
  <c r="AV181" i="10"/>
  <c r="AV159" i="10"/>
  <c r="AV99" i="10"/>
  <c r="AV154" i="10"/>
  <c r="AV168" i="10"/>
  <c r="AV146" i="10"/>
  <c r="AV166" i="10"/>
  <c r="AV149" i="10"/>
  <c r="AV176" i="10"/>
  <c r="AV157" i="10"/>
  <c r="AV180" i="10"/>
  <c r="AV150" i="10"/>
  <c r="AV163" i="10"/>
  <c r="AV164" i="10"/>
  <c r="AV148" i="10"/>
  <c r="AV173" i="10"/>
  <c r="AV167" i="10"/>
  <c r="AV161" i="10"/>
  <c r="AV183" i="10"/>
  <c r="AV178" i="10"/>
  <c r="AV162" i="10"/>
  <c r="AV160" i="10"/>
  <c r="AV182" i="10"/>
  <c r="AV151" i="10"/>
  <c r="AV153" i="10"/>
  <c r="AV76" i="10"/>
  <c r="AV102" i="10"/>
  <c r="AS191" i="7" l="1"/>
  <c r="AQ191" i="5"/>
  <c r="AV91" i="10"/>
  <c r="AV101" i="10"/>
  <c r="AS193" i="7"/>
  <c r="AS194" i="7" s="1"/>
  <c r="AS46" i="7" s="1"/>
  <c r="AV100" i="10"/>
  <c r="AW188" i="10"/>
  <c r="AQ193" i="5"/>
  <c r="AQ194" i="5" s="1"/>
  <c r="AQ46" i="5" s="1"/>
  <c r="AQ201" i="5" l="1"/>
  <c r="AQ75" i="5"/>
  <c r="AQ47" i="5"/>
  <c r="AQ58" i="5" s="1"/>
  <c r="AQ87" i="5" s="1"/>
  <c r="AW190" i="10"/>
  <c r="AV93" i="10"/>
  <c r="AS192" i="7"/>
  <c r="AQ192" i="5"/>
  <c r="AS201" i="7"/>
  <c r="AS75" i="7"/>
  <c r="AS47" i="7"/>
  <c r="AW191" i="10" l="1"/>
  <c r="AS200" i="7"/>
  <c r="AS25" i="7"/>
  <c r="AS28" i="7" s="1"/>
  <c r="AT22" i="7" s="1"/>
  <c r="AS160" i="7"/>
  <c r="AS149" i="7"/>
  <c r="AS148" i="7"/>
  <c r="AS173" i="7"/>
  <c r="AS181" i="7"/>
  <c r="AS168" i="7"/>
  <c r="AS143" i="7"/>
  <c r="AS158" i="7"/>
  <c r="AS157" i="7"/>
  <c r="AS174" i="7"/>
  <c r="AS182" i="7"/>
  <c r="AS155" i="7"/>
  <c r="AS175" i="7"/>
  <c r="AS183" i="7"/>
  <c r="AS151" i="7"/>
  <c r="AS156" i="7"/>
  <c r="AS167" i="7"/>
  <c r="AS169" i="7"/>
  <c r="AS176" i="7"/>
  <c r="AS164" i="7"/>
  <c r="AS146" i="7"/>
  <c r="AS150" i="7"/>
  <c r="AS178" i="7"/>
  <c r="AS153" i="7"/>
  <c r="AS147" i="7"/>
  <c r="AS154" i="7"/>
  <c r="AS99" i="7"/>
  <c r="AS144" i="7"/>
  <c r="AS162" i="7"/>
  <c r="AS166" i="7"/>
  <c r="AS145" i="7"/>
  <c r="AS177" i="7"/>
  <c r="AS171" i="7"/>
  <c r="AS152" i="7"/>
  <c r="AS165" i="7"/>
  <c r="AS172" i="7"/>
  <c r="AS180" i="7"/>
  <c r="AS170" i="7"/>
  <c r="AS163" i="7"/>
  <c r="AS159" i="7"/>
  <c r="AS161" i="7"/>
  <c r="AS179" i="7"/>
  <c r="AS76" i="7"/>
  <c r="AW193" i="10"/>
  <c r="AW194" i="10" s="1"/>
  <c r="AW46" i="10" s="1"/>
  <c r="AQ200" i="5"/>
  <c r="AQ57" i="5"/>
  <c r="AQ86" i="5" s="1"/>
  <c r="AQ25" i="5"/>
  <c r="AQ28" i="5" s="1"/>
  <c r="AR22" i="5" s="1"/>
  <c r="AQ153" i="5"/>
  <c r="AQ161" i="5"/>
  <c r="AQ169" i="5"/>
  <c r="AQ177" i="5"/>
  <c r="AQ150" i="5"/>
  <c r="AQ156" i="5"/>
  <c r="AQ180" i="5"/>
  <c r="AQ151" i="5"/>
  <c r="AQ154" i="5"/>
  <c r="AQ162" i="5"/>
  <c r="AQ170" i="5"/>
  <c r="AQ178" i="5"/>
  <c r="AQ148" i="5"/>
  <c r="AQ164" i="5"/>
  <c r="AQ144" i="5"/>
  <c r="AQ158" i="5"/>
  <c r="AQ145" i="5"/>
  <c r="AQ155" i="5"/>
  <c r="AQ163" i="5"/>
  <c r="AQ171" i="5"/>
  <c r="AQ179" i="5"/>
  <c r="AQ142" i="5"/>
  <c r="AQ157" i="5"/>
  <c r="AQ181" i="5"/>
  <c r="AQ166" i="5"/>
  <c r="AQ172" i="5"/>
  <c r="AQ165" i="5"/>
  <c r="AQ146" i="5"/>
  <c r="AQ174" i="5"/>
  <c r="AQ149" i="5"/>
  <c r="AQ167" i="5"/>
  <c r="AQ183" i="5"/>
  <c r="AQ173" i="5"/>
  <c r="AQ143" i="5"/>
  <c r="AQ182" i="5"/>
  <c r="AQ99" i="5"/>
  <c r="AQ159" i="5"/>
  <c r="AQ175" i="5"/>
  <c r="AQ147" i="5"/>
  <c r="AQ141" i="5"/>
  <c r="AQ152" i="5"/>
  <c r="AQ160" i="5"/>
  <c r="AQ168" i="5"/>
  <c r="AQ176" i="5"/>
  <c r="AQ76" i="5"/>
  <c r="AS58" i="7"/>
  <c r="AS87" i="7" s="1"/>
  <c r="AS102" i="7"/>
  <c r="AQ102" i="5"/>
  <c r="AS57" i="7" l="1"/>
  <c r="AS86" i="7" s="1"/>
  <c r="AQ101" i="5"/>
  <c r="AQ91" i="5"/>
  <c r="AW37" i="11"/>
  <c r="AW38" i="11" s="1"/>
  <c r="AW201" i="10"/>
  <c r="AW75" i="10"/>
  <c r="AW192" i="10"/>
  <c r="AR188" i="5"/>
  <c r="AT188" i="7"/>
  <c r="AQ100" i="5"/>
  <c r="AS101" i="7"/>
  <c r="AS91" i="7"/>
  <c r="AS100" i="7"/>
  <c r="AW47" i="10"/>
  <c r="AW200" i="10" l="1"/>
  <c r="AW25" i="10"/>
  <c r="AW28" i="10" s="1"/>
  <c r="AX22" i="10" s="1"/>
  <c r="AW174" i="10"/>
  <c r="AW183" i="10"/>
  <c r="AW181" i="10"/>
  <c r="AW172" i="10"/>
  <c r="AW163" i="10"/>
  <c r="AW173" i="10"/>
  <c r="AW149" i="10"/>
  <c r="AW164" i="10"/>
  <c r="AW168" i="10"/>
  <c r="AW167" i="10"/>
  <c r="AW152" i="10"/>
  <c r="AW160" i="10"/>
  <c r="AW170" i="10"/>
  <c r="AW169" i="10"/>
  <c r="AW161" i="10"/>
  <c r="AW157" i="10"/>
  <c r="AW176" i="10"/>
  <c r="AW182" i="10"/>
  <c r="AW159" i="10"/>
  <c r="AW151" i="10"/>
  <c r="AW147" i="10"/>
  <c r="AW148" i="10"/>
  <c r="AW150" i="10"/>
  <c r="AW99" i="10"/>
  <c r="AW155" i="10"/>
  <c r="AW156" i="10"/>
  <c r="AW154" i="10"/>
  <c r="AW171" i="10"/>
  <c r="AW177" i="10"/>
  <c r="AW166" i="10"/>
  <c r="AW180" i="10"/>
  <c r="AW165" i="10"/>
  <c r="AW153" i="10"/>
  <c r="AW162" i="10"/>
  <c r="AW158" i="10"/>
  <c r="AW179" i="10"/>
  <c r="AW175" i="10"/>
  <c r="AW178" i="10"/>
  <c r="AW76" i="10"/>
  <c r="AS93" i="7"/>
  <c r="AR190" i="5"/>
  <c r="AR193" i="5" s="1"/>
  <c r="AR194" i="5" s="1"/>
  <c r="AR46" i="5" s="1"/>
  <c r="AQ93" i="5"/>
  <c r="AT190" i="7"/>
  <c r="AW58" i="10"/>
  <c r="AW87" i="10" s="1"/>
  <c r="AW102" i="10"/>
  <c r="AR201" i="5" l="1"/>
  <c r="AR75" i="5"/>
  <c r="AT191" i="7"/>
  <c r="AW91" i="10"/>
  <c r="AW101" i="10"/>
  <c r="AX188" i="10"/>
  <c r="AW100" i="10"/>
  <c r="AT193" i="7"/>
  <c r="AT194" i="7" s="1"/>
  <c r="AT46" i="7" s="1"/>
  <c r="AW57" i="10"/>
  <c r="AW86" i="10" s="1"/>
  <c r="AR47" i="5"/>
  <c r="AR191" i="5"/>
  <c r="AT192" i="7" l="1"/>
  <c r="AX190" i="10"/>
  <c r="AX193" i="10" s="1"/>
  <c r="AX194" i="10" s="1"/>
  <c r="AX46" i="10" s="1"/>
  <c r="AR200" i="5"/>
  <c r="AR25" i="5"/>
  <c r="AR28" i="5" s="1"/>
  <c r="AS22" i="5" s="1"/>
  <c r="AR144" i="5"/>
  <c r="AR155" i="5"/>
  <c r="AR163" i="5"/>
  <c r="AR171" i="5"/>
  <c r="AR179" i="5"/>
  <c r="AR173" i="5"/>
  <c r="AR150" i="5"/>
  <c r="AR147" i="5"/>
  <c r="AR158" i="5"/>
  <c r="AR145" i="5"/>
  <c r="AR176" i="5"/>
  <c r="AR161" i="5"/>
  <c r="AR156" i="5"/>
  <c r="AR164" i="5"/>
  <c r="AR172" i="5"/>
  <c r="AR180" i="5"/>
  <c r="AR181" i="5"/>
  <c r="AR174" i="5"/>
  <c r="AR159" i="5"/>
  <c r="AR175" i="5"/>
  <c r="AR149" i="5"/>
  <c r="AR160" i="5"/>
  <c r="AR177" i="5"/>
  <c r="AR146" i="5"/>
  <c r="AR143" i="5"/>
  <c r="AR157" i="5"/>
  <c r="AR165" i="5"/>
  <c r="AR166" i="5"/>
  <c r="AR183" i="5"/>
  <c r="AR168" i="5"/>
  <c r="AR99" i="5"/>
  <c r="AR153" i="5"/>
  <c r="AR142" i="5"/>
  <c r="AR154" i="5"/>
  <c r="AR162" i="5"/>
  <c r="AR170" i="5"/>
  <c r="AR178" i="5"/>
  <c r="AR182" i="5"/>
  <c r="AR151" i="5"/>
  <c r="AR167" i="5"/>
  <c r="AR152" i="5"/>
  <c r="AR148" i="5"/>
  <c r="AR169" i="5"/>
  <c r="AR76" i="5"/>
  <c r="AW93" i="10"/>
  <c r="AT47" i="7"/>
  <c r="AR58" i="5"/>
  <c r="AR87" i="5" s="1"/>
  <c r="AT201" i="7"/>
  <c r="AT58" i="7"/>
  <c r="AT87" i="7" s="1"/>
  <c r="AT75" i="7"/>
  <c r="AR192" i="5"/>
  <c r="AR102" i="5"/>
  <c r="AX37" i="11" l="1"/>
  <c r="AX38" i="11" s="1"/>
  <c r="AX201" i="10"/>
  <c r="AX75" i="10"/>
  <c r="AS188" i="5"/>
  <c r="AX47" i="10"/>
  <c r="AX58" i="10" s="1"/>
  <c r="AX87" i="10" s="1"/>
  <c r="AX191" i="10"/>
  <c r="AT200" i="7"/>
  <c r="AT57" i="7"/>
  <c r="AT86" i="7" s="1"/>
  <c r="AT25" i="7"/>
  <c r="AT28" i="7" s="1"/>
  <c r="AU22" i="7" s="1"/>
  <c r="AT168" i="7"/>
  <c r="AT155" i="7"/>
  <c r="AT153" i="7"/>
  <c r="AT151" i="7"/>
  <c r="AT181" i="7"/>
  <c r="AT163" i="7"/>
  <c r="AT166" i="7"/>
  <c r="AT176" i="7"/>
  <c r="AT169" i="7"/>
  <c r="AT177" i="7"/>
  <c r="AT154" i="7"/>
  <c r="AT145" i="7"/>
  <c r="AT158" i="7"/>
  <c r="AT167" i="7"/>
  <c r="AT159" i="7"/>
  <c r="AT174" i="7"/>
  <c r="AT182" i="7"/>
  <c r="AT161" i="7"/>
  <c r="AT165" i="7"/>
  <c r="AT172" i="7"/>
  <c r="AT147" i="7"/>
  <c r="AT152" i="7"/>
  <c r="AT175" i="7"/>
  <c r="AT183" i="7"/>
  <c r="AT150" i="7"/>
  <c r="AT157" i="7"/>
  <c r="AT144" i="7"/>
  <c r="AT173" i="7"/>
  <c r="AT99" i="7"/>
  <c r="AT164" i="7"/>
  <c r="AT179" i="7"/>
  <c r="AT162" i="7"/>
  <c r="AT146" i="7"/>
  <c r="AT160" i="7"/>
  <c r="AT171" i="7"/>
  <c r="AT170" i="7"/>
  <c r="AT149" i="7"/>
  <c r="AT148" i="7"/>
  <c r="AT180" i="7"/>
  <c r="AT156" i="7"/>
  <c r="AT178" i="7"/>
  <c r="AT76" i="7"/>
  <c r="AR100" i="5"/>
  <c r="AR57" i="5"/>
  <c r="AR86" i="5" s="1"/>
  <c r="AR101" i="5"/>
  <c r="AR91" i="5"/>
  <c r="AT102" i="7"/>
  <c r="AS190" i="5" l="1"/>
  <c r="AX200" i="10"/>
  <c r="AX57" i="10"/>
  <c r="AX86" i="10" s="1"/>
  <c r="AX25" i="10"/>
  <c r="AX28" i="10" s="1"/>
  <c r="AY22" i="10" s="1"/>
  <c r="AX99" i="10"/>
  <c r="AX181" i="10"/>
  <c r="AX167" i="10"/>
  <c r="AX183" i="10"/>
  <c r="AX162" i="10"/>
  <c r="AX148" i="10"/>
  <c r="AX182" i="10"/>
  <c r="AX170" i="10"/>
  <c r="AX156" i="10"/>
  <c r="AX176" i="10"/>
  <c r="AX163" i="10"/>
  <c r="AX154" i="10"/>
  <c r="AX149" i="10"/>
  <c r="AX150" i="10"/>
  <c r="AX168" i="10"/>
  <c r="AX177" i="10"/>
  <c r="AX159" i="10"/>
  <c r="AX178" i="10"/>
  <c r="AX172" i="10"/>
  <c r="AX160" i="10"/>
  <c r="AX171" i="10"/>
  <c r="AX165" i="10"/>
  <c r="AX161" i="10"/>
  <c r="AX180" i="10"/>
  <c r="AX155" i="10"/>
  <c r="AX166" i="10"/>
  <c r="AX151" i="10"/>
  <c r="AX175" i="10"/>
  <c r="AX153" i="10"/>
  <c r="AX169" i="10"/>
  <c r="AX164" i="10"/>
  <c r="AX158" i="10"/>
  <c r="AX173" i="10"/>
  <c r="AX157" i="10"/>
  <c r="AX179" i="10"/>
  <c r="AX174" i="10"/>
  <c r="AX152" i="10"/>
  <c r="AX76" i="10"/>
  <c r="AT100" i="7"/>
  <c r="AT101" i="7"/>
  <c r="AT91" i="7"/>
  <c r="AU188" i="7"/>
  <c r="AR93" i="5"/>
  <c r="AX192" i="10"/>
  <c r="AX102" i="10"/>
  <c r="AU190" i="7" l="1"/>
  <c r="AY188" i="10"/>
  <c r="AX91" i="10"/>
  <c r="AX101" i="10"/>
  <c r="AS191" i="5"/>
  <c r="AS193" i="5"/>
  <c r="AS194" i="5" s="1"/>
  <c r="AS46" i="5" s="1"/>
  <c r="AT93" i="7"/>
  <c r="AX100" i="10"/>
  <c r="AX93" i="10" l="1"/>
  <c r="AS201" i="5"/>
  <c r="AS75" i="5"/>
  <c r="AU191" i="7"/>
  <c r="AY190" i="10"/>
  <c r="AS192" i="5"/>
  <c r="AS47" i="5"/>
  <c r="AU193" i="7"/>
  <c r="AU194" i="7" s="1"/>
  <c r="AU46" i="7" s="1"/>
  <c r="AU201" i="7" l="1"/>
  <c r="AU75" i="7"/>
  <c r="AU47" i="7"/>
  <c r="AU192" i="7"/>
  <c r="AS200" i="5"/>
  <c r="AS25" i="5"/>
  <c r="AS28" i="5" s="1"/>
  <c r="AT22" i="5" s="1"/>
  <c r="AS145" i="5"/>
  <c r="AS151" i="5"/>
  <c r="AS158" i="5"/>
  <c r="AS166" i="5"/>
  <c r="AS174" i="5"/>
  <c r="AS182" i="5"/>
  <c r="AS167" i="5"/>
  <c r="AS183" i="5"/>
  <c r="AS168" i="5"/>
  <c r="AS161" i="5"/>
  <c r="AS144" i="5"/>
  <c r="AS147" i="5"/>
  <c r="AS159" i="5"/>
  <c r="AS175" i="5"/>
  <c r="AS146" i="5"/>
  <c r="AS143" i="5"/>
  <c r="AS170" i="5"/>
  <c r="AS155" i="5"/>
  <c r="AS171" i="5"/>
  <c r="AS150" i="5"/>
  <c r="AS164" i="5"/>
  <c r="AS148" i="5"/>
  <c r="AS152" i="5"/>
  <c r="AS160" i="5"/>
  <c r="AS176" i="5"/>
  <c r="AS99" i="5"/>
  <c r="AS177" i="5"/>
  <c r="AS180" i="5"/>
  <c r="AS149" i="5"/>
  <c r="AS157" i="5"/>
  <c r="AS165" i="5"/>
  <c r="AS173" i="5"/>
  <c r="AS181" i="5"/>
  <c r="AS153" i="5"/>
  <c r="AS169" i="5"/>
  <c r="AS154" i="5"/>
  <c r="AS162" i="5"/>
  <c r="AS178" i="5"/>
  <c r="AS163" i="5"/>
  <c r="AS179" i="5"/>
  <c r="AS156" i="5"/>
  <c r="AS172" i="5"/>
  <c r="AS76" i="5"/>
  <c r="AY191" i="10"/>
  <c r="AS58" i="5"/>
  <c r="AS87" i="5" s="1"/>
  <c r="AY193" i="10"/>
  <c r="AY194" i="10" s="1"/>
  <c r="AY46" i="10" s="1"/>
  <c r="AS102" i="5"/>
  <c r="AY47" i="10" l="1"/>
  <c r="AS100" i="5"/>
  <c r="AY37" i="11"/>
  <c r="AY38" i="11" s="1"/>
  <c r="AY201" i="10"/>
  <c r="AY58" i="10"/>
  <c r="AY87" i="10" s="1"/>
  <c r="AY75" i="10"/>
  <c r="AS101" i="5"/>
  <c r="AS91" i="5"/>
  <c r="AU200" i="7"/>
  <c r="AU25" i="7"/>
  <c r="AU28" i="7" s="1"/>
  <c r="AV22" i="7" s="1"/>
  <c r="AU158" i="7"/>
  <c r="AU151" i="7"/>
  <c r="AU171" i="7"/>
  <c r="AU148" i="7"/>
  <c r="AU179" i="7"/>
  <c r="AU163" i="7"/>
  <c r="AU174" i="7"/>
  <c r="AU159" i="7"/>
  <c r="AU172" i="7"/>
  <c r="AU166" i="7"/>
  <c r="AU99" i="7"/>
  <c r="AU169" i="7"/>
  <c r="AU167" i="7"/>
  <c r="AU150" i="7"/>
  <c r="AU153" i="7"/>
  <c r="AU180" i="7"/>
  <c r="AU149" i="7"/>
  <c r="AU183" i="7"/>
  <c r="AU160" i="7"/>
  <c r="AU168" i="7"/>
  <c r="AU157" i="7"/>
  <c r="AU165" i="7"/>
  <c r="AU155" i="7"/>
  <c r="AU173" i="7"/>
  <c r="AU145" i="7"/>
  <c r="AU162" i="7"/>
  <c r="AU181" i="7"/>
  <c r="AU152" i="7"/>
  <c r="AU147" i="7"/>
  <c r="AU182" i="7"/>
  <c r="AU161" i="7"/>
  <c r="AU175" i="7"/>
  <c r="AU176" i="7"/>
  <c r="AU146" i="7"/>
  <c r="AU177" i="7"/>
  <c r="AU156" i="7"/>
  <c r="AU170" i="7"/>
  <c r="AU164" i="7"/>
  <c r="AU154" i="7"/>
  <c r="AU178" i="7"/>
  <c r="AU76" i="7"/>
  <c r="AS57" i="5"/>
  <c r="AS86" i="5" s="1"/>
  <c r="AU58" i="7"/>
  <c r="AU87" i="7" s="1"/>
  <c r="AY200" i="10"/>
  <c r="AY25" i="10"/>
  <c r="AY28" i="10" s="1"/>
  <c r="AZ22" i="10" s="1"/>
  <c r="AY170" i="10"/>
  <c r="AY179" i="10"/>
  <c r="AY153" i="10"/>
  <c r="AY167" i="10"/>
  <c r="AY174" i="10"/>
  <c r="AY183" i="10"/>
  <c r="AY182" i="10"/>
  <c r="AY165" i="10"/>
  <c r="AY171" i="10"/>
  <c r="AY158" i="10"/>
  <c r="AY159" i="10"/>
  <c r="AY163" i="10"/>
  <c r="AY157" i="10"/>
  <c r="AY169" i="10"/>
  <c r="AY172" i="10"/>
  <c r="AY151" i="10"/>
  <c r="AY175" i="10"/>
  <c r="AY99" i="10"/>
  <c r="AY166" i="10"/>
  <c r="AY160" i="10"/>
  <c r="AY164" i="10"/>
  <c r="AY181" i="10"/>
  <c r="AY161" i="10"/>
  <c r="AY155" i="10"/>
  <c r="AY177" i="10"/>
  <c r="AY178" i="10"/>
  <c r="AY154" i="10"/>
  <c r="AY156" i="10"/>
  <c r="AY180" i="10"/>
  <c r="AY149" i="10"/>
  <c r="AY150" i="10"/>
  <c r="AY176" i="10"/>
  <c r="AY173" i="10"/>
  <c r="AY152" i="10"/>
  <c r="AY168" i="10"/>
  <c r="AY162" i="10"/>
  <c r="AY76" i="10"/>
  <c r="AT188" i="5"/>
  <c r="AY192" i="10"/>
  <c r="AU102" i="7"/>
  <c r="AY102" i="10"/>
  <c r="AY100" i="10" l="1"/>
  <c r="AU100" i="7"/>
  <c r="AZ188" i="10"/>
  <c r="AV188" i="7"/>
  <c r="AY57" i="10"/>
  <c r="AY86" i="10" s="1"/>
  <c r="AU57" i="7"/>
  <c r="AU86" i="7" s="1"/>
  <c r="AY101" i="10"/>
  <c r="AY91" i="10"/>
  <c r="AU101" i="7"/>
  <c r="AU91" i="7"/>
  <c r="AT190" i="5"/>
  <c r="AT193" i="5" s="1"/>
  <c r="AT194" i="5" s="1"/>
  <c r="AT46" i="5" s="1"/>
  <c r="AS93" i="5"/>
  <c r="AT201" i="5" l="1"/>
  <c r="AT75" i="5"/>
  <c r="AZ190" i="10"/>
  <c r="AV190" i="7"/>
  <c r="AU93" i="7"/>
  <c r="AY93" i="10"/>
  <c r="AT47" i="5"/>
  <c r="AT191" i="5"/>
  <c r="AT192" i="5" l="1"/>
  <c r="AZ191" i="10"/>
  <c r="AV191" i="7"/>
  <c r="AT200" i="5"/>
  <c r="AT25" i="5"/>
  <c r="AT28" i="5" s="1"/>
  <c r="AU22" i="5" s="1"/>
  <c r="AT99" i="5"/>
  <c r="AT146" i="5"/>
  <c r="AT154" i="5"/>
  <c r="AT162" i="5"/>
  <c r="AT170" i="5"/>
  <c r="AT178" i="5"/>
  <c r="AT160" i="5"/>
  <c r="AT150" i="5"/>
  <c r="AT155" i="5"/>
  <c r="AT163" i="5"/>
  <c r="AT171" i="5"/>
  <c r="AT179" i="5"/>
  <c r="AT158" i="5"/>
  <c r="AT182" i="5"/>
  <c r="AT159" i="5"/>
  <c r="AT175" i="5"/>
  <c r="AT147" i="5"/>
  <c r="AT149" i="5"/>
  <c r="AT156" i="5"/>
  <c r="AT164" i="5"/>
  <c r="AT172" i="5"/>
  <c r="AT180" i="5"/>
  <c r="AT145" i="5"/>
  <c r="AT157" i="5"/>
  <c r="AT165" i="5"/>
  <c r="AT173" i="5"/>
  <c r="AT181" i="5"/>
  <c r="AT148" i="5"/>
  <c r="AT166" i="5"/>
  <c r="AT174" i="5"/>
  <c r="AT152" i="5"/>
  <c r="AT167" i="5"/>
  <c r="AT183" i="5"/>
  <c r="AT151" i="5"/>
  <c r="AT176" i="5"/>
  <c r="AT153" i="5"/>
  <c r="AT144" i="5"/>
  <c r="AT161" i="5"/>
  <c r="AT169" i="5"/>
  <c r="AT177" i="5"/>
  <c r="AT168" i="5"/>
  <c r="AT76" i="5"/>
  <c r="AV193" i="7"/>
  <c r="AV194" i="7" s="1"/>
  <c r="AV46" i="7" s="1"/>
  <c r="AZ193" i="10"/>
  <c r="AZ194" i="10" s="1"/>
  <c r="AZ46" i="10" s="1"/>
  <c r="AT58" i="5"/>
  <c r="AT87" i="5" s="1"/>
  <c r="AT102" i="5"/>
  <c r="AZ37" i="11" l="1"/>
  <c r="AZ38" i="11" s="1"/>
  <c r="AZ201" i="10"/>
  <c r="AZ75" i="10"/>
  <c r="AV192" i="7"/>
  <c r="AT101" i="5"/>
  <c r="AT91" i="5"/>
  <c r="AZ192" i="10"/>
  <c r="AZ47" i="10"/>
  <c r="AT100" i="5"/>
  <c r="AV201" i="7"/>
  <c r="AV75" i="7"/>
  <c r="AV47" i="7"/>
  <c r="AU188" i="5"/>
  <c r="AT57" i="5"/>
  <c r="AT86" i="5" s="1"/>
  <c r="AT93" i="5" l="1"/>
  <c r="AU190" i="5"/>
  <c r="AU193" i="5" s="1"/>
  <c r="AU194" i="5" s="1"/>
  <c r="AU46" i="5" s="1"/>
  <c r="AZ200" i="10"/>
  <c r="AZ25" i="10"/>
  <c r="AZ28" i="10" s="1"/>
  <c r="BA22" i="10" s="1"/>
  <c r="AZ157" i="10"/>
  <c r="AZ154" i="10"/>
  <c r="AZ180" i="10"/>
  <c r="AZ166" i="10"/>
  <c r="AZ171" i="10"/>
  <c r="AZ150" i="10"/>
  <c r="AZ153" i="10"/>
  <c r="AZ175" i="10"/>
  <c r="AZ99" i="10"/>
  <c r="AZ164" i="10"/>
  <c r="AZ151" i="10"/>
  <c r="AZ170" i="10"/>
  <c r="AZ181" i="10"/>
  <c r="AZ163" i="10"/>
  <c r="AZ168" i="10"/>
  <c r="AZ179" i="10"/>
  <c r="AZ160" i="10"/>
  <c r="AZ167" i="10"/>
  <c r="AZ152" i="10"/>
  <c r="AZ183" i="10"/>
  <c r="AZ159" i="10"/>
  <c r="AZ177" i="10"/>
  <c r="AZ172" i="10"/>
  <c r="AZ174" i="10"/>
  <c r="AZ156" i="10"/>
  <c r="AZ161" i="10"/>
  <c r="AZ176" i="10"/>
  <c r="AZ182" i="10"/>
  <c r="AZ158" i="10"/>
  <c r="AZ165" i="10"/>
  <c r="AZ169" i="10"/>
  <c r="AZ178" i="10"/>
  <c r="AZ155" i="10"/>
  <c r="AZ173" i="10"/>
  <c r="AZ162" i="10"/>
  <c r="AZ76" i="10"/>
  <c r="AV200" i="7"/>
  <c r="AV25" i="7"/>
  <c r="AV28" i="7" s="1"/>
  <c r="AW22" i="7" s="1"/>
  <c r="AV151" i="7"/>
  <c r="AV155" i="7"/>
  <c r="AV159" i="7"/>
  <c r="AV156" i="7"/>
  <c r="AV179" i="7"/>
  <c r="AV171" i="7"/>
  <c r="AV181" i="7"/>
  <c r="AV174" i="7"/>
  <c r="AV182" i="7"/>
  <c r="AV99" i="7"/>
  <c r="AV152" i="7"/>
  <c r="AV153" i="7"/>
  <c r="AV146" i="7"/>
  <c r="AV173" i="7"/>
  <c r="AV180" i="7"/>
  <c r="AV147" i="7"/>
  <c r="AV166" i="7"/>
  <c r="AV149" i="7"/>
  <c r="AV183" i="7"/>
  <c r="AV150" i="7"/>
  <c r="AV158" i="7"/>
  <c r="AV162" i="7"/>
  <c r="AV168" i="7"/>
  <c r="AV157" i="7"/>
  <c r="AV161" i="7"/>
  <c r="AV175" i="7"/>
  <c r="AV163" i="7"/>
  <c r="AV176" i="7"/>
  <c r="AV165" i="7"/>
  <c r="AV167" i="7"/>
  <c r="AV154" i="7"/>
  <c r="AV172" i="7"/>
  <c r="AV164" i="7"/>
  <c r="AV170" i="7"/>
  <c r="AV148" i="7"/>
  <c r="AV169" i="7"/>
  <c r="AV160" i="7"/>
  <c r="AV178" i="7"/>
  <c r="AV177" i="7"/>
  <c r="AV76" i="7"/>
  <c r="AZ58" i="10"/>
  <c r="AZ87" i="10" s="1"/>
  <c r="AV58" i="7"/>
  <c r="AV87" i="7" s="1"/>
  <c r="AZ102" i="10"/>
  <c r="AV102" i="7"/>
  <c r="AU201" i="5" l="1"/>
  <c r="AU75" i="5"/>
  <c r="AW188" i="7"/>
  <c r="BA188" i="10"/>
  <c r="AV57" i="7"/>
  <c r="AV86" i="7" s="1"/>
  <c r="AZ57" i="10"/>
  <c r="AZ86" i="10" s="1"/>
  <c r="AU47" i="5"/>
  <c r="AU58" i="5" s="1"/>
  <c r="AU87" i="5" s="1"/>
  <c r="AU191" i="5"/>
  <c r="AV100" i="7"/>
  <c r="AZ100" i="10"/>
  <c r="AZ101" i="10"/>
  <c r="AZ91" i="10"/>
  <c r="AV101" i="7"/>
  <c r="AV91" i="7"/>
  <c r="AZ93" i="10" l="1"/>
  <c r="AW190" i="7"/>
  <c r="AV93" i="7"/>
  <c r="AU192" i="5"/>
  <c r="AU200" i="5"/>
  <c r="AU57" i="5"/>
  <c r="AU86" i="5" s="1"/>
  <c r="AU25" i="5"/>
  <c r="AU28" i="5" s="1"/>
  <c r="AV22" i="5" s="1"/>
  <c r="AU155" i="5"/>
  <c r="AU157" i="5"/>
  <c r="AU165" i="5"/>
  <c r="AU173" i="5"/>
  <c r="AU181" i="5"/>
  <c r="AU160" i="5"/>
  <c r="AU146" i="5"/>
  <c r="AU178" i="5"/>
  <c r="AU147" i="5"/>
  <c r="AU158" i="5"/>
  <c r="AU166" i="5"/>
  <c r="AU174" i="5"/>
  <c r="AU182" i="5"/>
  <c r="AU145" i="5"/>
  <c r="AU168" i="5"/>
  <c r="AU176" i="5"/>
  <c r="AU153" i="5"/>
  <c r="AU177" i="5"/>
  <c r="AU162" i="5"/>
  <c r="AU154" i="5"/>
  <c r="AU159" i="5"/>
  <c r="AU167" i="5"/>
  <c r="AU175" i="5"/>
  <c r="AU183" i="5"/>
  <c r="AU150" i="5"/>
  <c r="AU170" i="5"/>
  <c r="AU163" i="5"/>
  <c r="AU99" i="5"/>
  <c r="AU161" i="5"/>
  <c r="AU152" i="5"/>
  <c r="AU179" i="5"/>
  <c r="AU151" i="5"/>
  <c r="AU171" i="5"/>
  <c r="AU149" i="5"/>
  <c r="AU156" i="5"/>
  <c r="AU164" i="5"/>
  <c r="AU172" i="5"/>
  <c r="AU180" i="5"/>
  <c r="AU148" i="5"/>
  <c r="AU169" i="5"/>
  <c r="AU76" i="5"/>
  <c r="BA190" i="10"/>
  <c r="BA193" i="10" s="1"/>
  <c r="BA194" i="10" s="1"/>
  <c r="BA46" i="10" s="1"/>
  <c r="AU102" i="5"/>
  <c r="BA47" i="10" l="1"/>
  <c r="BA191" i="10"/>
  <c r="BA37" i="11"/>
  <c r="BA38" i="11" s="1"/>
  <c r="BA201" i="10"/>
  <c r="BA58" i="10"/>
  <c r="BA87" i="10" s="1"/>
  <c r="BA75" i="10"/>
  <c r="AW191" i="7"/>
  <c r="AU91" i="5"/>
  <c r="AU101" i="5"/>
  <c r="AU100" i="5"/>
  <c r="AW193" i="7"/>
  <c r="AW194" i="7" s="1"/>
  <c r="AW46" i="7" s="1"/>
  <c r="AV188" i="5"/>
  <c r="AW47" i="7" l="1"/>
  <c r="AU93" i="5"/>
  <c r="AV190" i="5"/>
  <c r="AW200" i="7"/>
  <c r="AW25" i="7"/>
  <c r="AW28" i="7" s="1"/>
  <c r="AX22" i="7" s="1"/>
  <c r="AW161" i="7"/>
  <c r="AW148" i="7"/>
  <c r="AW158" i="7"/>
  <c r="AW156" i="7"/>
  <c r="AW180" i="7"/>
  <c r="AW172" i="7"/>
  <c r="AW167" i="7"/>
  <c r="AW183" i="7"/>
  <c r="AW174" i="7"/>
  <c r="AW176" i="7"/>
  <c r="AW154" i="7"/>
  <c r="AW177" i="7"/>
  <c r="AW159" i="7"/>
  <c r="AW99" i="7"/>
  <c r="AW155" i="7"/>
  <c r="AW169" i="7"/>
  <c r="AW152" i="7"/>
  <c r="AW150" i="7"/>
  <c r="AW181" i="7"/>
  <c r="AW182" i="7"/>
  <c r="AW162" i="7"/>
  <c r="AW153" i="7"/>
  <c r="AW151" i="7"/>
  <c r="AW178" i="7"/>
  <c r="AW175" i="7"/>
  <c r="AW168" i="7"/>
  <c r="AW160" i="7"/>
  <c r="AW163" i="7"/>
  <c r="AW179" i="7"/>
  <c r="AW147" i="7"/>
  <c r="AW149" i="7"/>
  <c r="AW173" i="7"/>
  <c r="AW165" i="7"/>
  <c r="AW171" i="7"/>
  <c r="AW166" i="7"/>
  <c r="AW164" i="7"/>
  <c r="AW170" i="7"/>
  <c r="AW157" i="7"/>
  <c r="AW76" i="7"/>
  <c r="AW201" i="7"/>
  <c r="AW58" i="7"/>
  <c r="AW87" i="7" s="1"/>
  <c r="AW75" i="7"/>
  <c r="BA192" i="10"/>
  <c r="BA200" i="10"/>
  <c r="BA57" i="10"/>
  <c r="BA86" i="10" s="1"/>
  <c r="BA25" i="10"/>
  <c r="BA28" i="10" s="1"/>
  <c r="BB22" i="10" s="1"/>
  <c r="BA99" i="10"/>
  <c r="BA180" i="10"/>
  <c r="BA161" i="10"/>
  <c r="BA181" i="10"/>
  <c r="BA174" i="10"/>
  <c r="BA156" i="10"/>
  <c r="BA163" i="10"/>
  <c r="BA165" i="10"/>
  <c r="BA178" i="10"/>
  <c r="BA175" i="10"/>
  <c r="BA176" i="10"/>
  <c r="BA183" i="10"/>
  <c r="BA166" i="10"/>
  <c r="BA160" i="10"/>
  <c r="BA173" i="10"/>
  <c r="BA158" i="10"/>
  <c r="BA152" i="10"/>
  <c r="BA179" i="10"/>
  <c r="BA170" i="10"/>
  <c r="BA172" i="10"/>
  <c r="BA164" i="10"/>
  <c r="BA157" i="10"/>
  <c r="BA151" i="10"/>
  <c r="BA169" i="10"/>
  <c r="BA177" i="10"/>
  <c r="BA171" i="10"/>
  <c r="BA162" i="10"/>
  <c r="BA159" i="10"/>
  <c r="BA155" i="10"/>
  <c r="BA154" i="10"/>
  <c r="BA182" i="10"/>
  <c r="BA153" i="10"/>
  <c r="BA167" i="10"/>
  <c r="BA168" i="10"/>
  <c r="BA76" i="10"/>
  <c r="AW192" i="7"/>
  <c r="BA102" i="10"/>
  <c r="AW102" i="7"/>
  <c r="AX188" i="7" l="1"/>
  <c r="BA101" i="10"/>
  <c r="BA91" i="10"/>
  <c r="AW100" i="7"/>
  <c r="AV191" i="5"/>
  <c r="AV193" i="5"/>
  <c r="AV194" i="5" s="1"/>
  <c r="AV46" i="5" s="1"/>
  <c r="BA100" i="10"/>
  <c r="BB188" i="10"/>
  <c r="AW91" i="7"/>
  <c r="AW101" i="7"/>
  <c r="AW57" i="7"/>
  <c r="AW86" i="7" s="1"/>
  <c r="BA93" i="10" l="1"/>
  <c r="BB190" i="10"/>
  <c r="AV47" i="5"/>
  <c r="AW93" i="7"/>
  <c r="AV201" i="5"/>
  <c r="AV75" i="5"/>
  <c r="AX190" i="7"/>
  <c r="AV192" i="5"/>
  <c r="AX191" i="7" l="1"/>
  <c r="AV200" i="5"/>
  <c r="AV25" i="5"/>
  <c r="AV28" i="5" s="1"/>
  <c r="AW22" i="5" s="1"/>
  <c r="AV99" i="5"/>
  <c r="AV146" i="5"/>
  <c r="AV156" i="5"/>
  <c r="AV164" i="5"/>
  <c r="AV172" i="5"/>
  <c r="AV180" i="5"/>
  <c r="AV157" i="5"/>
  <c r="AV165" i="5"/>
  <c r="AV181" i="5"/>
  <c r="AV158" i="5"/>
  <c r="AV166" i="5"/>
  <c r="AV147" i="5"/>
  <c r="AV159" i="5"/>
  <c r="AV167" i="5"/>
  <c r="AV175" i="5"/>
  <c r="AV183" i="5"/>
  <c r="AV149" i="5"/>
  <c r="AV177" i="5"/>
  <c r="AV173" i="5"/>
  <c r="AV182" i="5"/>
  <c r="AV154" i="5"/>
  <c r="AV174" i="5"/>
  <c r="AV150" i="5"/>
  <c r="AV160" i="5"/>
  <c r="AV168" i="5"/>
  <c r="AV176" i="5"/>
  <c r="AV155" i="5"/>
  <c r="AV161" i="5"/>
  <c r="AV148" i="5"/>
  <c r="AV152" i="5"/>
  <c r="AV162" i="5"/>
  <c r="AV170" i="5"/>
  <c r="AV178" i="5"/>
  <c r="AV151" i="5"/>
  <c r="AV153" i="5"/>
  <c r="AV163" i="5"/>
  <c r="AV171" i="5"/>
  <c r="AV179" i="5"/>
  <c r="AV169" i="5"/>
  <c r="AV76" i="5"/>
  <c r="AX193" i="7"/>
  <c r="AX194" i="7" s="1"/>
  <c r="AX46" i="7" s="1"/>
  <c r="BB191" i="10"/>
  <c r="BB193" i="10"/>
  <c r="BB194" i="10" s="1"/>
  <c r="BB46" i="10" s="1"/>
  <c r="AV58" i="5"/>
  <c r="AV87" i="5" s="1"/>
  <c r="AV102" i="5"/>
  <c r="BB47" i="10" l="1"/>
  <c r="AX201" i="7"/>
  <c r="AX75" i="7"/>
  <c r="AV57" i="5"/>
  <c r="AV86" i="5" s="1"/>
  <c r="AX192" i="7"/>
  <c r="BB200" i="10"/>
  <c r="BB25" i="10"/>
  <c r="BB28" i="10" s="1"/>
  <c r="BC22" i="10" s="1"/>
  <c r="BB158" i="10"/>
  <c r="BB180" i="10"/>
  <c r="BB171" i="10"/>
  <c r="BB177" i="10"/>
  <c r="BB173" i="10"/>
  <c r="BB165" i="10"/>
  <c r="BB99" i="10"/>
  <c r="BB179" i="10"/>
  <c r="BB170" i="10"/>
  <c r="BB183" i="10"/>
  <c r="BB167" i="10"/>
  <c r="BB168" i="10"/>
  <c r="BB172" i="10"/>
  <c r="BB164" i="10"/>
  <c r="BB174" i="10"/>
  <c r="BB155" i="10"/>
  <c r="BB162" i="10"/>
  <c r="BB157" i="10"/>
  <c r="BB160" i="10"/>
  <c r="BB152" i="10"/>
  <c r="BB166" i="10"/>
  <c r="BB159" i="10"/>
  <c r="BB161" i="10"/>
  <c r="BB181" i="10"/>
  <c r="BB176" i="10"/>
  <c r="BB178" i="10"/>
  <c r="BB154" i="10"/>
  <c r="BB156" i="10"/>
  <c r="BB175" i="10"/>
  <c r="BB169" i="10"/>
  <c r="BB153" i="10"/>
  <c r="BB163" i="10"/>
  <c r="BB182" i="10"/>
  <c r="BB76" i="10"/>
  <c r="AV91" i="5"/>
  <c r="AV101" i="5"/>
  <c r="AV100" i="5"/>
  <c r="AW188" i="5"/>
  <c r="BB37" i="11"/>
  <c r="BB38" i="11" s="1"/>
  <c r="BB201" i="10"/>
  <c r="BB58" i="10"/>
  <c r="BB87" i="10" s="1"/>
  <c r="BB75" i="10"/>
  <c r="BB192" i="10"/>
  <c r="AX47" i="7"/>
  <c r="AX58" i="7" s="1"/>
  <c r="AX87" i="7" s="1"/>
  <c r="BB102" i="10"/>
  <c r="AW190" i="5" l="1"/>
  <c r="AW193" i="5" s="1"/>
  <c r="AW194" i="5" s="1"/>
  <c r="AW46" i="5" s="1"/>
  <c r="BB101" i="10"/>
  <c r="BB91" i="10"/>
  <c r="AV93" i="5"/>
  <c r="BC188" i="10"/>
  <c r="BB100" i="10"/>
  <c r="BB57" i="10"/>
  <c r="BB86" i="10" s="1"/>
  <c r="AX200" i="7"/>
  <c r="AX25" i="7"/>
  <c r="AX28" i="7" s="1"/>
  <c r="AY22" i="7" s="1"/>
  <c r="AX57" i="7"/>
  <c r="AX86" i="7" s="1"/>
  <c r="AX170" i="7"/>
  <c r="AX171" i="7"/>
  <c r="AX151" i="7"/>
  <c r="AX155" i="7"/>
  <c r="AX181" i="7"/>
  <c r="AX163" i="7"/>
  <c r="AX148" i="7"/>
  <c r="AX182" i="7"/>
  <c r="AX172" i="7"/>
  <c r="AX173" i="7"/>
  <c r="AX157" i="7"/>
  <c r="AX149" i="7"/>
  <c r="AX183" i="7"/>
  <c r="AX160" i="7"/>
  <c r="AX164" i="7"/>
  <c r="AX150" i="7"/>
  <c r="AX176" i="7"/>
  <c r="AX154" i="7"/>
  <c r="AX99" i="7"/>
  <c r="AX167" i="7"/>
  <c r="AX156" i="7"/>
  <c r="AX152" i="7"/>
  <c r="AX165" i="7"/>
  <c r="AX168" i="7"/>
  <c r="AX158" i="7"/>
  <c r="AX166" i="7"/>
  <c r="AX180" i="7"/>
  <c r="AX159" i="7"/>
  <c r="AX178" i="7"/>
  <c r="AX153" i="7"/>
  <c r="AX162" i="7"/>
  <c r="AX175" i="7"/>
  <c r="AX177" i="7"/>
  <c r="AX174" i="7"/>
  <c r="AX169" i="7"/>
  <c r="AX179" i="7"/>
  <c r="AX161" i="7"/>
  <c r="AX76" i="7"/>
  <c r="AX102" i="7"/>
  <c r="AW201" i="5" l="1"/>
  <c r="AW75" i="5"/>
  <c r="BB93" i="10"/>
  <c r="AX100" i="7"/>
  <c r="BC190" i="10"/>
  <c r="AW47" i="5"/>
  <c r="AW58" i="5" s="1"/>
  <c r="AW87" i="5" s="1"/>
  <c r="AW191" i="5"/>
  <c r="AX91" i="7"/>
  <c r="AX101" i="7"/>
  <c r="AY188" i="7"/>
  <c r="AY190" i="7" l="1"/>
  <c r="AY193" i="7" s="1"/>
  <c r="AY194" i="7" s="1"/>
  <c r="AY46" i="7" s="1"/>
  <c r="AX93" i="7"/>
  <c r="AW192" i="5"/>
  <c r="AW200" i="5"/>
  <c r="AW25" i="5"/>
  <c r="AW28" i="5" s="1"/>
  <c r="AX22" i="5" s="1"/>
  <c r="AW57" i="5"/>
  <c r="AW86" i="5" s="1"/>
  <c r="AW99" i="5"/>
  <c r="AW148" i="5"/>
  <c r="AW157" i="5"/>
  <c r="AW165" i="5"/>
  <c r="AW173" i="5"/>
  <c r="AW181" i="5"/>
  <c r="AW166" i="5"/>
  <c r="AW182" i="5"/>
  <c r="AW167" i="5"/>
  <c r="AW183" i="5"/>
  <c r="AW155" i="5"/>
  <c r="AW154" i="5"/>
  <c r="AW158" i="5"/>
  <c r="AW174" i="5"/>
  <c r="AW175" i="5"/>
  <c r="AW171" i="5"/>
  <c r="AW159" i="5"/>
  <c r="AW160" i="5"/>
  <c r="AW147" i="5"/>
  <c r="AW161" i="5"/>
  <c r="AW169" i="5"/>
  <c r="AW177" i="5"/>
  <c r="AW150" i="5"/>
  <c r="AW162" i="5"/>
  <c r="AW178" i="5"/>
  <c r="AW179" i="5"/>
  <c r="AW156" i="5"/>
  <c r="AW170" i="5"/>
  <c r="AW153" i="5"/>
  <c r="AW163" i="5"/>
  <c r="AW152" i="5"/>
  <c r="AW149" i="5"/>
  <c r="AW151" i="5"/>
  <c r="AW164" i="5"/>
  <c r="AW172" i="5"/>
  <c r="AW180" i="5"/>
  <c r="AW168" i="5"/>
  <c r="AW176" i="5"/>
  <c r="AW76" i="5"/>
  <c r="BC191" i="10"/>
  <c r="BC193" i="10"/>
  <c r="BC194" i="10" s="1"/>
  <c r="BC46" i="10" s="1"/>
  <c r="AW102" i="5"/>
  <c r="BC47" i="10" l="1"/>
  <c r="AY201" i="7"/>
  <c r="AY75" i="7"/>
  <c r="BC192" i="10"/>
  <c r="BC37" i="11"/>
  <c r="BC38" i="11" s="1"/>
  <c r="BC201" i="10"/>
  <c r="BC58" i="10"/>
  <c r="BC87" i="10" s="1"/>
  <c r="BC75" i="10"/>
  <c r="BC200" i="10"/>
  <c r="BC25" i="10"/>
  <c r="BC28" i="10" s="1"/>
  <c r="BD22" i="10" s="1"/>
  <c r="BC99" i="10"/>
  <c r="BC161" i="10"/>
  <c r="BC169" i="10"/>
  <c r="BC155" i="10"/>
  <c r="BC181" i="10"/>
  <c r="BC165" i="10"/>
  <c r="BC175" i="10"/>
  <c r="BC170" i="10"/>
  <c r="BC171" i="10"/>
  <c r="BC174" i="10"/>
  <c r="BC163" i="10"/>
  <c r="BC158" i="10"/>
  <c r="BC180" i="10"/>
  <c r="BC168" i="10"/>
  <c r="BC176" i="10"/>
  <c r="BC172" i="10"/>
  <c r="BC162" i="10"/>
  <c r="BC183" i="10"/>
  <c r="BC167" i="10"/>
  <c r="BC157" i="10"/>
  <c r="BC177" i="10"/>
  <c r="BC159" i="10"/>
  <c r="BC156" i="10"/>
  <c r="BC178" i="10"/>
  <c r="BC166" i="10"/>
  <c r="BC160" i="10"/>
  <c r="BC164" i="10"/>
  <c r="BC182" i="10"/>
  <c r="BC173" i="10"/>
  <c r="BC153" i="10"/>
  <c r="BC179" i="10"/>
  <c r="BC154" i="10"/>
  <c r="BC76" i="10"/>
  <c r="AW91" i="5"/>
  <c r="AW101" i="5"/>
  <c r="AX188" i="5"/>
  <c r="AW100" i="5"/>
  <c r="AY47" i="7"/>
  <c r="AY191" i="7"/>
  <c r="BC102" i="10"/>
  <c r="BC57" i="10" l="1"/>
  <c r="BC86" i="10" s="1"/>
  <c r="AY200" i="7"/>
  <c r="AY25" i="7"/>
  <c r="AY28" i="7" s="1"/>
  <c r="AZ22" i="7" s="1"/>
  <c r="AY153" i="7"/>
  <c r="AY151" i="7"/>
  <c r="AY165" i="7"/>
  <c r="AY164" i="7"/>
  <c r="AY181" i="7"/>
  <c r="AY157" i="7"/>
  <c r="AY154" i="7"/>
  <c r="AY150" i="7"/>
  <c r="AY168" i="7"/>
  <c r="AY161" i="7"/>
  <c r="AY182" i="7"/>
  <c r="AY149" i="7"/>
  <c r="AY171" i="7"/>
  <c r="AY175" i="7"/>
  <c r="AY167" i="7"/>
  <c r="AY177" i="7"/>
  <c r="AY160" i="7"/>
  <c r="AY170" i="7"/>
  <c r="AY179" i="7"/>
  <c r="AY99" i="7"/>
  <c r="AY173" i="7"/>
  <c r="AY155" i="7"/>
  <c r="AY163" i="7"/>
  <c r="AY162" i="7"/>
  <c r="AY183" i="7"/>
  <c r="AY166" i="7"/>
  <c r="AY178" i="7"/>
  <c r="AY156" i="7"/>
  <c r="AY174" i="7"/>
  <c r="AY176" i="7"/>
  <c r="AY159" i="7"/>
  <c r="AY180" i="7"/>
  <c r="AY152" i="7"/>
  <c r="AY172" i="7"/>
  <c r="AY158" i="7"/>
  <c r="AY169" i="7"/>
  <c r="AY76" i="7"/>
  <c r="AW93" i="5"/>
  <c r="BC101" i="10"/>
  <c r="BC91" i="10"/>
  <c r="AX190" i="5"/>
  <c r="BC100" i="10"/>
  <c r="BD188" i="10"/>
  <c r="AY58" i="7"/>
  <c r="AY87" i="7" s="1"/>
  <c r="AY192" i="7"/>
  <c r="AY102" i="7"/>
  <c r="AY100" i="7" l="1"/>
  <c r="BC93" i="10"/>
  <c r="AX191" i="5"/>
  <c r="AY57" i="7"/>
  <c r="AY86" i="7" s="1"/>
  <c r="BD190" i="10"/>
  <c r="BD193" i="10" s="1"/>
  <c r="BD194" i="10" s="1"/>
  <c r="BD46" i="10" s="1"/>
  <c r="AZ188" i="7"/>
  <c r="AX193" i="5"/>
  <c r="AX194" i="5" s="1"/>
  <c r="AX46" i="5" s="1"/>
  <c r="AY91" i="7"/>
  <c r="AY101" i="7"/>
  <c r="BD37" i="11" l="1"/>
  <c r="BD38" i="11" s="1"/>
  <c r="BD201" i="10"/>
  <c r="BD75" i="10"/>
  <c r="AX201" i="5"/>
  <c r="AX75" i="5"/>
  <c r="AZ190" i="7"/>
  <c r="AX192" i="5"/>
  <c r="AX47" i="5"/>
  <c r="BD47" i="10"/>
  <c r="BD191" i="10"/>
  <c r="AY93" i="7"/>
  <c r="AZ191" i="7" l="1"/>
  <c r="BD200" i="10"/>
  <c r="BD25" i="10"/>
  <c r="BD28" i="10" s="1"/>
  <c r="BE22" i="10" s="1"/>
  <c r="BD179" i="10"/>
  <c r="BD178" i="10"/>
  <c r="BD183" i="10"/>
  <c r="BD172" i="10"/>
  <c r="BD171" i="10"/>
  <c r="BD173" i="10"/>
  <c r="BD181" i="10"/>
  <c r="BD158" i="10"/>
  <c r="BD182" i="10"/>
  <c r="BD170" i="10"/>
  <c r="BD174" i="10"/>
  <c r="BD155" i="10"/>
  <c r="BD167" i="10"/>
  <c r="BD154" i="10"/>
  <c r="BD160" i="10"/>
  <c r="BD163" i="10"/>
  <c r="BD164" i="10"/>
  <c r="BD99" i="10"/>
  <c r="BD175" i="10"/>
  <c r="BD177" i="10"/>
  <c r="BD165" i="10"/>
  <c r="BD161" i="10"/>
  <c r="BD156" i="10"/>
  <c r="BD169" i="10"/>
  <c r="BD166" i="10"/>
  <c r="BD168" i="10"/>
  <c r="BD157" i="10"/>
  <c r="BD176" i="10"/>
  <c r="BD159" i="10"/>
  <c r="BD180" i="10"/>
  <c r="BD162" i="10"/>
  <c r="BD76" i="10"/>
  <c r="AX200" i="5"/>
  <c r="AX25" i="5"/>
  <c r="AX28" i="5" s="1"/>
  <c r="AY22" i="5" s="1"/>
  <c r="AX155" i="5"/>
  <c r="AX162" i="5"/>
  <c r="AX170" i="5"/>
  <c r="AX178" i="5"/>
  <c r="AX157" i="5"/>
  <c r="AX163" i="5"/>
  <c r="AX179" i="5"/>
  <c r="AX172" i="5"/>
  <c r="AX158" i="5"/>
  <c r="AX165" i="5"/>
  <c r="AX181" i="5"/>
  <c r="AX166" i="5"/>
  <c r="AX159" i="5"/>
  <c r="AX151" i="5"/>
  <c r="AX160" i="5"/>
  <c r="AX168" i="5"/>
  <c r="AX176" i="5"/>
  <c r="AX150" i="5"/>
  <c r="AX171" i="5"/>
  <c r="AX173" i="5"/>
  <c r="AX99" i="5"/>
  <c r="AX148" i="5"/>
  <c r="AX182" i="5"/>
  <c r="AX167" i="5"/>
  <c r="AX175" i="5"/>
  <c r="AX152" i="5"/>
  <c r="AX154" i="5"/>
  <c r="AX164" i="5"/>
  <c r="AX180" i="5"/>
  <c r="AX149" i="5"/>
  <c r="AX156" i="5"/>
  <c r="AX174" i="5"/>
  <c r="AX183" i="5"/>
  <c r="AX153" i="5"/>
  <c r="AX161" i="5"/>
  <c r="AX169" i="5"/>
  <c r="AX177" i="5"/>
  <c r="AX76" i="5"/>
  <c r="AX58" i="5"/>
  <c r="AX87" i="5" s="1"/>
  <c r="BD58" i="10"/>
  <c r="BD87" i="10" s="1"/>
  <c r="BD192" i="10"/>
  <c r="AZ193" i="7"/>
  <c r="AZ194" i="7" s="1"/>
  <c r="AZ46" i="7" s="1"/>
  <c r="BD102" i="10"/>
  <c r="AX102" i="5"/>
  <c r="BD57" i="10" l="1"/>
  <c r="BD86" i="10" s="1"/>
  <c r="BE188" i="10"/>
  <c r="AZ201" i="7"/>
  <c r="AZ75" i="7"/>
  <c r="AX100" i="5"/>
  <c r="BD100" i="10"/>
  <c r="BD101" i="10"/>
  <c r="BD91" i="10"/>
  <c r="AX57" i="5"/>
  <c r="AX86" i="5" s="1"/>
  <c r="AZ47" i="7"/>
  <c r="AY188" i="5"/>
  <c r="AZ192" i="7"/>
  <c r="AX91" i="5"/>
  <c r="AX101" i="5"/>
  <c r="BD93" i="10" l="1"/>
  <c r="AZ200" i="7"/>
  <c r="AZ25" i="7"/>
  <c r="AZ28" i="7" s="1"/>
  <c r="BA22" i="7" s="1"/>
  <c r="AZ167" i="7"/>
  <c r="AZ150" i="7"/>
  <c r="AZ173" i="7"/>
  <c r="AZ176" i="7"/>
  <c r="AZ183" i="7"/>
  <c r="AZ177" i="7"/>
  <c r="AZ174" i="7"/>
  <c r="AZ151" i="7"/>
  <c r="AZ168" i="7"/>
  <c r="AZ160" i="7"/>
  <c r="AZ159" i="7"/>
  <c r="AZ156" i="7"/>
  <c r="AZ165" i="7"/>
  <c r="AZ157" i="7"/>
  <c r="AZ155" i="7"/>
  <c r="AZ154" i="7"/>
  <c r="AZ99" i="7"/>
  <c r="AZ169" i="7"/>
  <c r="AZ162" i="7"/>
  <c r="AZ172" i="7"/>
  <c r="AZ178" i="7"/>
  <c r="AZ158" i="7"/>
  <c r="AZ171" i="7"/>
  <c r="AZ163" i="7"/>
  <c r="AZ153" i="7"/>
  <c r="AZ170" i="7"/>
  <c r="AZ180" i="7"/>
  <c r="AZ179" i="7"/>
  <c r="AZ181" i="7"/>
  <c r="AZ166" i="7"/>
  <c r="AZ161" i="7"/>
  <c r="AZ164" i="7"/>
  <c r="AZ175" i="7"/>
  <c r="AZ182" i="7"/>
  <c r="AZ152" i="7"/>
  <c r="AZ76" i="7"/>
  <c r="AX93" i="5"/>
  <c r="AZ58" i="7"/>
  <c r="AZ87" i="7" s="1"/>
  <c r="AY190" i="5"/>
  <c r="BE190" i="10"/>
  <c r="AZ102" i="7"/>
  <c r="AZ57" i="7" l="1"/>
  <c r="AZ86" i="7" s="1"/>
  <c r="BA188" i="7"/>
  <c r="BE191" i="10"/>
  <c r="AY191" i="5"/>
  <c r="AZ91" i="7"/>
  <c r="AZ101" i="7"/>
  <c r="BE193" i="10"/>
  <c r="BE194" i="10" s="1"/>
  <c r="BE46" i="10" s="1"/>
  <c r="AY193" i="5"/>
  <c r="AY194" i="5" s="1"/>
  <c r="AY46" i="5" s="1"/>
  <c r="AZ100" i="7"/>
  <c r="AZ93" i="7" l="1"/>
  <c r="BE37" i="11"/>
  <c r="BE38" i="11" s="1"/>
  <c r="BE201" i="10"/>
  <c r="BE75" i="10"/>
  <c r="AY201" i="5"/>
  <c r="AY75" i="5"/>
  <c r="BE47" i="10"/>
  <c r="BE58" i="10" s="1"/>
  <c r="BE87" i="10" s="1"/>
  <c r="AY192" i="5"/>
  <c r="AY47" i="5"/>
  <c r="AY58" i="5" s="1"/>
  <c r="AY87" i="5" s="1"/>
  <c r="BE192" i="10"/>
  <c r="BA190" i="7"/>
  <c r="AY200" i="5" l="1"/>
  <c r="AY25" i="5"/>
  <c r="AY28" i="5" s="1"/>
  <c r="AZ22" i="5" s="1"/>
  <c r="AY57" i="5"/>
  <c r="AY86" i="5" s="1"/>
  <c r="AY99" i="5"/>
  <c r="AY156" i="5"/>
  <c r="AY167" i="5"/>
  <c r="AY175" i="5"/>
  <c r="AY183" i="5"/>
  <c r="AY154" i="5"/>
  <c r="AY160" i="5"/>
  <c r="AY168" i="5"/>
  <c r="AY176" i="5"/>
  <c r="AY169" i="5"/>
  <c r="AY162" i="5"/>
  <c r="AY170" i="5"/>
  <c r="AY178" i="5"/>
  <c r="AY163" i="5"/>
  <c r="AY158" i="5"/>
  <c r="AY179" i="5"/>
  <c r="AY164" i="5"/>
  <c r="AY155" i="5"/>
  <c r="AY161" i="5"/>
  <c r="AY177" i="5"/>
  <c r="AY150" i="5"/>
  <c r="AY153" i="5"/>
  <c r="AY151" i="5"/>
  <c r="AY165" i="5"/>
  <c r="AY173" i="5"/>
  <c r="AY181" i="5"/>
  <c r="AY172" i="5"/>
  <c r="AY152" i="5"/>
  <c r="AY157" i="5"/>
  <c r="AY166" i="5"/>
  <c r="AY174" i="5"/>
  <c r="AY182" i="5"/>
  <c r="AY159" i="5"/>
  <c r="AY171" i="5"/>
  <c r="AY149" i="5"/>
  <c r="AY180" i="5"/>
  <c r="AY76" i="5"/>
  <c r="BA191" i="7"/>
  <c r="BE200" i="10"/>
  <c r="BE25" i="10"/>
  <c r="BE28" i="10" s="1"/>
  <c r="BF22" i="10" s="1"/>
  <c r="BE57" i="10"/>
  <c r="BE86" i="10" s="1"/>
  <c r="BE181" i="10"/>
  <c r="BE155" i="10"/>
  <c r="BE157" i="10"/>
  <c r="BE158" i="10"/>
  <c r="BE180" i="10"/>
  <c r="BE177" i="10"/>
  <c r="BE162" i="10"/>
  <c r="BE159" i="10"/>
  <c r="BE161" i="10"/>
  <c r="BE183" i="10"/>
  <c r="BE99" i="10"/>
  <c r="BE165" i="10"/>
  <c r="BE160" i="10"/>
  <c r="BE171" i="10"/>
  <c r="BE173" i="10"/>
  <c r="BE166" i="10"/>
  <c r="BE174" i="10"/>
  <c r="BE168" i="10"/>
  <c r="BE170" i="10"/>
  <c r="BE167" i="10"/>
  <c r="BE164" i="10"/>
  <c r="BE175" i="10"/>
  <c r="BE156" i="10"/>
  <c r="BE172" i="10"/>
  <c r="BE179" i="10"/>
  <c r="BE176" i="10"/>
  <c r="BE169" i="10"/>
  <c r="BE163" i="10"/>
  <c r="BE178" i="10"/>
  <c r="BE182" i="10"/>
  <c r="BE76" i="10"/>
  <c r="BA193" i="7"/>
  <c r="BA194" i="7" s="1"/>
  <c r="BA46" i="7" s="1"/>
  <c r="BE102" i="10"/>
  <c r="AY102" i="5"/>
  <c r="BA47" i="7" l="1"/>
  <c r="BE91" i="10"/>
  <c r="BE101" i="10"/>
  <c r="BF188" i="10"/>
  <c r="BA192" i="7"/>
  <c r="AZ188" i="5"/>
  <c r="AY100" i="5"/>
  <c r="BE100" i="10"/>
  <c r="BA201" i="7"/>
  <c r="BA58" i="7"/>
  <c r="BA87" i="7" s="1"/>
  <c r="BA75" i="7"/>
  <c r="AY91" i="5"/>
  <c r="AY101" i="5"/>
  <c r="BA200" i="7"/>
  <c r="BA57" i="7"/>
  <c r="BA86" i="7" s="1"/>
  <c r="BA25" i="7"/>
  <c r="BA28" i="7" s="1"/>
  <c r="BB22" i="7" s="1"/>
  <c r="BA99" i="7"/>
  <c r="BA160" i="7"/>
  <c r="BA170" i="7"/>
  <c r="BA175" i="7"/>
  <c r="BA166" i="7"/>
  <c r="BA176" i="7"/>
  <c r="BA177" i="7"/>
  <c r="BA179" i="7"/>
  <c r="BA173" i="7"/>
  <c r="BA171" i="7"/>
  <c r="BA161" i="7"/>
  <c r="BA155" i="7"/>
  <c r="BA181" i="7"/>
  <c r="BA174" i="7"/>
  <c r="BA154" i="7"/>
  <c r="BA165" i="7"/>
  <c r="BA157" i="7"/>
  <c r="BA151" i="7"/>
  <c r="BA152" i="7"/>
  <c r="BA159" i="7"/>
  <c r="BA182" i="7"/>
  <c r="BA153" i="7"/>
  <c r="BA158" i="7"/>
  <c r="BA164" i="7"/>
  <c r="BA183" i="7"/>
  <c r="BA156" i="7"/>
  <c r="BA167" i="7"/>
  <c r="BA163" i="7"/>
  <c r="BA180" i="7"/>
  <c r="BA162" i="7"/>
  <c r="BA168" i="7"/>
  <c r="BA172" i="7"/>
  <c r="BA169" i="7"/>
  <c r="BA178" i="7"/>
  <c r="BA76" i="7"/>
  <c r="BA102" i="7"/>
  <c r="BA101" i="7" l="1"/>
  <c r="BA91" i="7"/>
  <c r="BB188" i="7"/>
  <c r="BE93" i="10"/>
  <c r="AZ190" i="5"/>
  <c r="BF190" i="10"/>
  <c r="AY93" i="5"/>
  <c r="BA100" i="7"/>
  <c r="BB190" i="7" l="1"/>
  <c r="AZ191" i="5"/>
  <c r="BF191" i="10"/>
  <c r="BF193" i="10"/>
  <c r="BF194" i="10" s="1"/>
  <c r="BF46" i="10" s="1"/>
  <c r="AZ193" i="5"/>
  <c r="AZ194" i="5" s="1"/>
  <c r="AZ46" i="5" s="1"/>
  <c r="BA93" i="7"/>
  <c r="BF37" i="11" l="1"/>
  <c r="BF38" i="11" s="1"/>
  <c r="BF201" i="10"/>
  <c r="BF75" i="10"/>
  <c r="AZ192" i="5"/>
  <c r="AZ47" i="5"/>
  <c r="AZ58" i="5" s="1"/>
  <c r="AZ87" i="5" s="1"/>
  <c r="BF192" i="10"/>
  <c r="BB191" i="7"/>
  <c r="BF47" i="10"/>
  <c r="BF58" i="10" s="1"/>
  <c r="BF87" i="10" s="1"/>
  <c r="AZ201" i="5"/>
  <c r="AZ75" i="5"/>
  <c r="BB193" i="7"/>
  <c r="BB194" i="7" s="1"/>
  <c r="BB46" i="7" s="1"/>
  <c r="BB47" i="7" l="1"/>
  <c r="AZ200" i="5"/>
  <c r="AZ25" i="5"/>
  <c r="AZ28" i="5" s="1"/>
  <c r="BA22" i="5" s="1"/>
  <c r="AZ57" i="5"/>
  <c r="AZ86" i="5" s="1"/>
  <c r="AZ158" i="5"/>
  <c r="AZ160" i="5"/>
  <c r="AZ168" i="5"/>
  <c r="AZ176" i="5"/>
  <c r="AZ162" i="5"/>
  <c r="AZ171" i="5"/>
  <c r="AZ99" i="5"/>
  <c r="AZ161" i="5"/>
  <c r="AZ169" i="5"/>
  <c r="AZ177" i="5"/>
  <c r="AZ170" i="5"/>
  <c r="AZ154" i="5"/>
  <c r="AZ179" i="5"/>
  <c r="AZ164" i="5"/>
  <c r="AZ180" i="5"/>
  <c r="AZ156" i="5"/>
  <c r="AZ157" i="5"/>
  <c r="AZ178" i="5"/>
  <c r="AZ163" i="5"/>
  <c r="AZ172" i="5"/>
  <c r="AZ151" i="5"/>
  <c r="AZ159" i="5"/>
  <c r="AZ166" i="5"/>
  <c r="AZ174" i="5"/>
  <c r="AZ182" i="5"/>
  <c r="AZ155" i="5"/>
  <c r="AZ150" i="5"/>
  <c r="AZ167" i="5"/>
  <c r="AZ175" i="5"/>
  <c r="AZ183" i="5"/>
  <c r="AZ153" i="5"/>
  <c r="AZ181" i="5"/>
  <c r="AZ152" i="5"/>
  <c r="AZ165" i="5"/>
  <c r="AZ173" i="5"/>
  <c r="AZ76" i="5"/>
  <c r="BB200" i="7"/>
  <c r="BB25" i="7"/>
  <c r="BB28" i="7" s="1"/>
  <c r="BC22" i="7" s="1"/>
  <c r="BB179" i="7"/>
  <c r="BB176" i="7"/>
  <c r="BB175" i="7"/>
  <c r="BB167" i="7"/>
  <c r="BB180" i="7"/>
  <c r="BB181" i="7"/>
  <c r="BB174" i="7"/>
  <c r="BB99" i="7"/>
  <c r="BB161" i="7"/>
  <c r="BB165" i="7"/>
  <c r="BB155" i="7"/>
  <c r="BB159" i="7"/>
  <c r="BB173" i="7"/>
  <c r="BB166" i="7"/>
  <c r="BB152" i="7"/>
  <c r="BB154" i="7"/>
  <c r="BB178" i="7"/>
  <c r="BB153" i="7"/>
  <c r="BB170" i="7"/>
  <c r="BB158" i="7"/>
  <c r="BB182" i="7"/>
  <c r="BB168" i="7"/>
  <c r="BB172" i="7"/>
  <c r="BB183" i="7"/>
  <c r="BB169" i="7"/>
  <c r="BB156" i="7"/>
  <c r="BB171" i="7"/>
  <c r="BB163" i="7"/>
  <c r="BB164" i="7"/>
  <c r="BB162" i="7"/>
  <c r="BB157" i="7"/>
  <c r="BB160" i="7"/>
  <c r="BB177" i="7"/>
  <c r="BB76" i="7"/>
  <c r="BB192" i="7"/>
  <c r="BF200" i="10"/>
  <c r="BF57" i="10"/>
  <c r="BF86" i="10" s="1"/>
  <c r="BF25" i="10"/>
  <c r="BF28" i="10" s="1"/>
  <c r="BG22" i="10" s="1"/>
  <c r="BF183" i="10"/>
  <c r="BF178" i="10"/>
  <c r="BF169" i="10"/>
  <c r="BF180" i="10"/>
  <c r="BF158" i="10"/>
  <c r="BF161" i="10"/>
  <c r="BF174" i="10"/>
  <c r="BF182" i="10"/>
  <c r="BF164" i="10"/>
  <c r="BF157" i="10"/>
  <c r="BF171" i="10"/>
  <c r="BF176" i="10"/>
  <c r="BF165" i="10"/>
  <c r="BF162" i="10"/>
  <c r="BF156" i="10"/>
  <c r="BF181" i="10"/>
  <c r="BF167" i="10"/>
  <c r="BF99" i="10"/>
  <c r="BF160" i="10"/>
  <c r="BF168" i="10"/>
  <c r="BF159" i="10"/>
  <c r="BF166" i="10"/>
  <c r="BF179" i="10"/>
  <c r="BF163" i="10"/>
  <c r="BF172" i="10"/>
  <c r="BF177" i="10"/>
  <c r="BF175" i="10"/>
  <c r="BF173" i="10"/>
  <c r="BF170" i="10"/>
  <c r="BF76" i="10"/>
  <c r="BB201" i="7"/>
  <c r="BB58" i="7"/>
  <c r="BB87" i="7" s="1"/>
  <c r="BB75" i="7"/>
  <c r="BF102" i="10"/>
  <c r="BB102" i="7"/>
  <c r="AZ102" i="5"/>
  <c r="BB101" i="7" l="1"/>
  <c r="BB91" i="7"/>
  <c r="BF91" i="10"/>
  <c r="BF101" i="10"/>
  <c r="BG188" i="10"/>
  <c r="BC188" i="7"/>
  <c r="BB57" i="7"/>
  <c r="BB86" i="7" s="1"/>
  <c r="AZ100" i="5"/>
  <c r="BB100" i="7"/>
  <c r="BA188" i="5"/>
  <c r="AZ101" i="5"/>
  <c r="AZ91" i="5"/>
  <c r="BF100" i="10"/>
  <c r="BC190" i="7" l="1"/>
  <c r="BC193" i="7" s="1"/>
  <c r="BC194" i="7" s="1"/>
  <c r="BC46" i="7" s="1"/>
  <c r="BA190" i="5"/>
  <c r="BA193" i="5" s="1"/>
  <c r="BA194" i="5" s="1"/>
  <c r="BA46" i="5" s="1"/>
  <c r="BG190" i="10"/>
  <c r="BG193" i="10" s="1"/>
  <c r="BG194" i="10" s="1"/>
  <c r="BG46" i="10" s="1"/>
  <c r="AZ93" i="5"/>
  <c r="BF93" i="10"/>
  <c r="BB93" i="7"/>
  <c r="BA201" i="5" l="1"/>
  <c r="BA75" i="5"/>
  <c r="BC201" i="7"/>
  <c r="BC75" i="7"/>
  <c r="BG37" i="11"/>
  <c r="BG38" i="11" s="1"/>
  <c r="BG201" i="10"/>
  <c r="BG75" i="10"/>
  <c r="BA47" i="5"/>
  <c r="BA191" i="5"/>
  <c r="BC47" i="7"/>
  <c r="BC191" i="7"/>
  <c r="BG47" i="10"/>
  <c r="BG191" i="10"/>
  <c r="BG200" i="10" l="1"/>
  <c r="BG25" i="10"/>
  <c r="BG28" i="10" s="1"/>
  <c r="BH22" i="10" s="1"/>
  <c r="BG99" i="10"/>
  <c r="BG179" i="10"/>
  <c r="BG181" i="10"/>
  <c r="BG178" i="10"/>
  <c r="BG182" i="10"/>
  <c r="BG174" i="10"/>
  <c r="BG167" i="10"/>
  <c r="BG161" i="10"/>
  <c r="BG164" i="10"/>
  <c r="BG171" i="10"/>
  <c r="BG176" i="10"/>
  <c r="BG165" i="10"/>
  <c r="BG183" i="10"/>
  <c r="BG172" i="10"/>
  <c r="BG173" i="10"/>
  <c r="BG157" i="10"/>
  <c r="BG162" i="10"/>
  <c r="BG160" i="10"/>
  <c r="BG168" i="10"/>
  <c r="BG177" i="10"/>
  <c r="BG170" i="10"/>
  <c r="BG159" i="10"/>
  <c r="BG163" i="10"/>
  <c r="BG169" i="10"/>
  <c r="BG180" i="10"/>
  <c r="BG158" i="10"/>
  <c r="BG175" i="10"/>
  <c r="BG166" i="10"/>
  <c r="BG76" i="10"/>
  <c r="BC200" i="7"/>
  <c r="BC25" i="7"/>
  <c r="BC28" i="7" s="1"/>
  <c r="BD22" i="7" s="1"/>
  <c r="BC180" i="7"/>
  <c r="BC167" i="7"/>
  <c r="BC165" i="7"/>
  <c r="BC160" i="7"/>
  <c r="BC173" i="7"/>
  <c r="BC99" i="7"/>
  <c r="BC161" i="7"/>
  <c r="BC164" i="7"/>
  <c r="BC154" i="7"/>
  <c r="BC174" i="7"/>
  <c r="BC163" i="7"/>
  <c r="BC178" i="7"/>
  <c r="BC155" i="7"/>
  <c r="BC172" i="7"/>
  <c r="BC156" i="7"/>
  <c r="BC153" i="7"/>
  <c r="BC168" i="7"/>
  <c r="BC171" i="7"/>
  <c r="BC177" i="7"/>
  <c r="BC157" i="7"/>
  <c r="BC183" i="7"/>
  <c r="BC159" i="7"/>
  <c r="BC170" i="7"/>
  <c r="BC182" i="7"/>
  <c r="BC166" i="7"/>
  <c r="BC181" i="7"/>
  <c r="BC179" i="7"/>
  <c r="BC175" i="7"/>
  <c r="BC169" i="7"/>
  <c r="BC158" i="7"/>
  <c r="BC162" i="7"/>
  <c r="BC176" i="7"/>
  <c r="BC76" i="7"/>
  <c r="BA192" i="5"/>
  <c r="BG192" i="10"/>
  <c r="BC192" i="7"/>
  <c r="BA200" i="5"/>
  <c r="BA25" i="5"/>
  <c r="BA28" i="5" s="1"/>
  <c r="BB22" i="5" s="1"/>
  <c r="BA99" i="5"/>
  <c r="BA161" i="5"/>
  <c r="BA169" i="5"/>
  <c r="BA177" i="5"/>
  <c r="BA159" i="5"/>
  <c r="BA163" i="5"/>
  <c r="BA171" i="5"/>
  <c r="BA179" i="5"/>
  <c r="BA156" i="5"/>
  <c r="BA172" i="5"/>
  <c r="BA160" i="5"/>
  <c r="BA162" i="5"/>
  <c r="BA170" i="5"/>
  <c r="BA178" i="5"/>
  <c r="BA164" i="5"/>
  <c r="BA180" i="5"/>
  <c r="BA151" i="5"/>
  <c r="BA165" i="5"/>
  <c r="BA173" i="5"/>
  <c r="BA181" i="5"/>
  <c r="BA155" i="5"/>
  <c r="BA175" i="5"/>
  <c r="BA153" i="5"/>
  <c r="BA176" i="5"/>
  <c r="BA168" i="5"/>
  <c r="BA154" i="5"/>
  <c r="BA152" i="5"/>
  <c r="BA166" i="5"/>
  <c r="BA174" i="5"/>
  <c r="BA182" i="5"/>
  <c r="BA158" i="5"/>
  <c r="BA167" i="5"/>
  <c r="BA183" i="5"/>
  <c r="BA157" i="5"/>
  <c r="BA76" i="5"/>
  <c r="BC58" i="7"/>
  <c r="BC87" i="7" s="1"/>
  <c r="BA58" i="5"/>
  <c r="BA87" i="5" s="1"/>
  <c r="BG58" i="10"/>
  <c r="BG87" i="10" s="1"/>
  <c r="BC102" i="7"/>
  <c r="BA102" i="5"/>
  <c r="BG102" i="10"/>
  <c r="BD188" i="7" l="1"/>
  <c r="BG100" i="10"/>
  <c r="BA100" i="5"/>
  <c r="BC57" i="7"/>
  <c r="BC86" i="7" s="1"/>
  <c r="BH188" i="10"/>
  <c r="BC101" i="7"/>
  <c r="BC91" i="7"/>
  <c r="BB188" i="5"/>
  <c r="BC100" i="7"/>
  <c r="BG57" i="10"/>
  <c r="BG86" i="10" s="1"/>
  <c r="BA101" i="5"/>
  <c r="BA91" i="5"/>
  <c r="BA57" i="5"/>
  <c r="BA86" i="5" s="1"/>
  <c r="BG101" i="10"/>
  <c r="BG91" i="10"/>
  <c r="BC93" i="7" l="1"/>
  <c r="BD190" i="7"/>
  <c r="BB190" i="5"/>
  <c r="BB193" i="5" s="1"/>
  <c r="BB194" i="5" s="1"/>
  <c r="BB46" i="5" s="1"/>
  <c r="BA93" i="5"/>
  <c r="BG93" i="10"/>
  <c r="BH190" i="10"/>
  <c r="BH193" i="10" s="1"/>
  <c r="BH194" i="10" s="1"/>
  <c r="BH46" i="10" s="1"/>
  <c r="BB201" i="5" l="1"/>
  <c r="BB75" i="5"/>
  <c r="BD191" i="7"/>
  <c r="BD193" i="7"/>
  <c r="BD194" i="7" s="1"/>
  <c r="BD46" i="7" s="1"/>
  <c r="BH47" i="10"/>
  <c r="BH191" i="10"/>
  <c r="BB47" i="5"/>
  <c r="BB58" i="5" s="1"/>
  <c r="BB87" i="5" s="1"/>
  <c r="BB191" i="5"/>
  <c r="BH37" i="11"/>
  <c r="BH38" i="11" s="1"/>
  <c r="BH201" i="10"/>
  <c r="BH75" i="10"/>
  <c r="BH192" i="10" l="1"/>
  <c r="BH200" i="10"/>
  <c r="BH25" i="10"/>
  <c r="BH28" i="10" s="1"/>
  <c r="BI22" i="10" s="1"/>
  <c r="BH167" i="10"/>
  <c r="BH182" i="10"/>
  <c r="BH177" i="10"/>
  <c r="BH180" i="10"/>
  <c r="BH160" i="10"/>
  <c r="BH178" i="10"/>
  <c r="BH172" i="10"/>
  <c r="BH166" i="10"/>
  <c r="BH183" i="10"/>
  <c r="BH174" i="10"/>
  <c r="BH175" i="10"/>
  <c r="BH171" i="10"/>
  <c r="BH162" i="10"/>
  <c r="BH169" i="10"/>
  <c r="BH170" i="10"/>
  <c r="BH176" i="10"/>
  <c r="BH165" i="10"/>
  <c r="BH168" i="10"/>
  <c r="BH99" i="10"/>
  <c r="BH173" i="10"/>
  <c r="BH161" i="10"/>
  <c r="BH181" i="10"/>
  <c r="BH158" i="10"/>
  <c r="BH163" i="10"/>
  <c r="BH179" i="10"/>
  <c r="BH159" i="10"/>
  <c r="BH164" i="10"/>
  <c r="BH76" i="10"/>
  <c r="BH58" i="10"/>
  <c r="BH87" i="10" s="1"/>
  <c r="BB192" i="5"/>
  <c r="BD201" i="7"/>
  <c r="BD75" i="7"/>
  <c r="BD192" i="7"/>
  <c r="BD47" i="7"/>
  <c r="BB200" i="5"/>
  <c r="BB57" i="5"/>
  <c r="BB86" i="5" s="1"/>
  <c r="BB25" i="5"/>
  <c r="BB28" i="5" s="1"/>
  <c r="BC22" i="5" s="1"/>
  <c r="BB157" i="5"/>
  <c r="BB165" i="5"/>
  <c r="BB173" i="5"/>
  <c r="BB181" i="5"/>
  <c r="BB161" i="5"/>
  <c r="BB166" i="5"/>
  <c r="BB174" i="5"/>
  <c r="BB182" i="5"/>
  <c r="BB153" i="5"/>
  <c r="BB168" i="5"/>
  <c r="BB176" i="5"/>
  <c r="BB162" i="5"/>
  <c r="BB152" i="5"/>
  <c r="BB158" i="5"/>
  <c r="BB167" i="5"/>
  <c r="BB175" i="5"/>
  <c r="BB183" i="5"/>
  <c r="BB154" i="5"/>
  <c r="BB155" i="5"/>
  <c r="BB160" i="5"/>
  <c r="BB169" i="5"/>
  <c r="BB177" i="5"/>
  <c r="BB170" i="5"/>
  <c r="BB178" i="5"/>
  <c r="BB156" i="5"/>
  <c r="BB163" i="5"/>
  <c r="BB171" i="5"/>
  <c r="BB179" i="5"/>
  <c r="BB99" i="5"/>
  <c r="BB159" i="5"/>
  <c r="BB164" i="5"/>
  <c r="BB172" i="5"/>
  <c r="BB180" i="5"/>
  <c r="BB76" i="5"/>
  <c r="BB102" i="5"/>
  <c r="BH102" i="10"/>
  <c r="BH57" i="10" l="1"/>
  <c r="BH86" i="10" s="1"/>
  <c r="BD200" i="7"/>
  <c r="BD25" i="7"/>
  <c r="BD28" i="7" s="1"/>
  <c r="BE22" i="7" s="1"/>
  <c r="BD99" i="7"/>
  <c r="BD158" i="7"/>
  <c r="BD175" i="7"/>
  <c r="BD178" i="7"/>
  <c r="BD169" i="7"/>
  <c r="BD179" i="7"/>
  <c r="BD168" i="7"/>
  <c r="BD176" i="7"/>
  <c r="BD157" i="7"/>
  <c r="BD182" i="7"/>
  <c r="BD180" i="7"/>
  <c r="BD167" i="7"/>
  <c r="BD170" i="7"/>
  <c r="BD154" i="7"/>
  <c r="BD160" i="7"/>
  <c r="BD174" i="7"/>
  <c r="BD171" i="7"/>
  <c r="BD177" i="7"/>
  <c r="BD161" i="7"/>
  <c r="BD159" i="7"/>
  <c r="BD183" i="7"/>
  <c r="BD173" i="7"/>
  <c r="BD172" i="7"/>
  <c r="BD155" i="7"/>
  <c r="BD164" i="7"/>
  <c r="BD156" i="7"/>
  <c r="BD162" i="7"/>
  <c r="BD166" i="7"/>
  <c r="BD181" i="7"/>
  <c r="BD165" i="7"/>
  <c r="BD163" i="7"/>
  <c r="BD76" i="7"/>
  <c r="BI188" i="10"/>
  <c r="BB101" i="5"/>
  <c r="BB91" i="5"/>
  <c r="BH101" i="10"/>
  <c r="BH91" i="10"/>
  <c r="BD58" i="7"/>
  <c r="BD87" i="7" s="1"/>
  <c r="BC188" i="5"/>
  <c r="BH100" i="10"/>
  <c r="BB100" i="5"/>
  <c r="BD102" i="7"/>
  <c r="BD57" i="7" l="1"/>
  <c r="BD86" i="7" s="1"/>
  <c r="BD100" i="7"/>
  <c r="BE188" i="7"/>
  <c r="BC190" i="5"/>
  <c r="BB93" i="5"/>
  <c r="BD101" i="7"/>
  <c r="BD91" i="7"/>
  <c r="BI190" i="10"/>
  <c r="BH93" i="10"/>
  <c r="BI191" i="10" l="1"/>
  <c r="BI193" i="10"/>
  <c r="BI194" i="10" s="1"/>
  <c r="BI46" i="10" s="1"/>
  <c r="BE190" i="7"/>
  <c r="BD93" i="7"/>
  <c r="BC191" i="5"/>
  <c r="BC193" i="5"/>
  <c r="BC194" i="5" s="1"/>
  <c r="BC46" i="5" s="1"/>
  <c r="BC47" i="5" l="1"/>
  <c r="BC25" i="5"/>
  <c r="BC28" i="5" s="1"/>
  <c r="BD22" i="5" s="1"/>
  <c r="BC200" i="5"/>
  <c r="BC155" i="5"/>
  <c r="BC153" i="5"/>
  <c r="BC168" i="5"/>
  <c r="BC176" i="5"/>
  <c r="BC161" i="5"/>
  <c r="BC177" i="5"/>
  <c r="BC156" i="5"/>
  <c r="BC158" i="5"/>
  <c r="BC169" i="5"/>
  <c r="BC163" i="5"/>
  <c r="BC170" i="5"/>
  <c r="BC178" i="5"/>
  <c r="BC99" i="5"/>
  <c r="BC160" i="5"/>
  <c r="BC179" i="5"/>
  <c r="BC159" i="5"/>
  <c r="BC180" i="5"/>
  <c r="BC165" i="5"/>
  <c r="BC172" i="5"/>
  <c r="BC181" i="5"/>
  <c r="BC157" i="5"/>
  <c r="BC162" i="5"/>
  <c r="BC166" i="5"/>
  <c r="BC174" i="5"/>
  <c r="BC182" i="5"/>
  <c r="BC154" i="5"/>
  <c r="BC167" i="5"/>
  <c r="BC175" i="5"/>
  <c r="BC183" i="5"/>
  <c r="BC171" i="5"/>
  <c r="BC164" i="5"/>
  <c r="BC173" i="5"/>
  <c r="BC76" i="5"/>
  <c r="BE191" i="7"/>
  <c r="BE193" i="7"/>
  <c r="BE194" i="7" s="1"/>
  <c r="BE46" i="7" s="1"/>
  <c r="BI37" i="11"/>
  <c r="BI38" i="11" s="1"/>
  <c r="BI201" i="10"/>
  <c r="BI75" i="10"/>
  <c r="BC201" i="5"/>
  <c r="BC58" i="5"/>
  <c r="BC87" i="5" s="1"/>
  <c r="BC75" i="5"/>
  <c r="BI192" i="10"/>
  <c r="BC192" i="5"/>
  <c r="BI47" i="10"/>
  <c r="BC102" i="5"/>
  <c r="BC100" i="5" l="1"/>
  <c r="BI200" i="10"/>
  <c r="BI25" i="10"/>
  <c r="BI28" i="10" s="1"/>
  <c r="BJ22" i="10" s="1"/>
  <c r="BI176" i="10"/>
  <c r="BI167" i="10"/>
  <c r="BI179" i="10"/>
  <c r="BI183" i="10"/>
  <c r="BI160" i="10"/>
  <c r="BI165" i="10"/>
  <c r="BI177" i="10"/>
  <c r="BI163" i="10"/>
  <c r="BI99" i="10"/>
  <c r="BI159" i="10"/>
  <c r="BI174" i="10"/>
  <c r="BI171" i="10"/>
  <c r="BI181" i="10"/>
  <c r="BI162" i="10"/>
  <c r="BI182" i="10"/>
  <c r="BI164" i="10"/>
  <c r="BI168" i="10"/>
  <c r="BI173" i="10"/>
  <c r="BI172" i="10"/>
  <c r="BI180" i="10"/>
  <c r="BI161" i="10"/>
  <c r="BI169" i="10"/>
  <c r="BI175" i="10"/>
  <c r="BI166" i="10"/>
  <c r="BI178" i="10"/>
  <c r="BI170" i="10"/>
  <c r="BI76" i="10"/>
  <c r="BE192" i="7"/>
  <c r="BE47" i="7"/>
  <c r="BI58" i="10"/>
  <c r="BI87" i="10" s="1"/>
  <c r="BD188" i="5"/>
  <c r="BE201" i="7"/>
  <c r="BE75" i="7"/>
  <c r="BC91" i="5"/>
  <c r="BC101" i="5"/>
  <c r="BC57" i="5"/>
  <c r="BC86" i="5" s="1"/>
  <c r="BI102" i="10"/>
  <c r="BD190" i="5" l="1"/>
  <c r="BJ188" i="10"/>
  <c r="BE200" i="7"/>
  <c r="BE25" i="7"/>
  <c r="BE28" i="7" s="1"/>
  <c r="BF22" i="7" s="1"/>
  <c r="BE172" i="7"/>
  <c r="BE167" i="7"/>
  <c r="BE173" i="7"/>
  <c r="BE180" i="7"/>
  <c r="BE183" i="7"/>
  <c r="BE165" i="7"/>
  <c r="BE169" i="7"/>
  <c r="BE174" i="7"/>
  <c r="BE168" i="7"/>
  <c r="BE182" i="7"/>
  <c r="BE155" i="7"/>
  <c r="BE156" i="7"/>
  <c r="BE159" i="7"/>
  <c r="BE176" i="7"/>
  <c r="BE160" i="7"/>
  <c r="BE161" i="7"/>
  <c r="BE158" i="7"/>
  <c r="BE177" i="7"/>
  <c r="BE164" i="7"/>
  <c r="BE179" i="7"/>
  <c r="BE178" i="7"/>
  <c r="BE99" i="7"/>
  <c r="BE157" i="7"/>
  <c r="BE162" i="7"/>
  <c r="BE175" i="7"/>
  <c r="BE166" i="7"/>
  <c r="BE171" i="7"/>
  <c r="BE181" i="7"/>
  <c r="BE170" i="7"/>
  <c r="BE163" i="7"/>
  <c r="BE76" i="7"/>
  <c r="BI57" i="10"/>
  <c r="BI86" i="10" s="1"/>
  <c r="BE58" i="7"/>
  <c r="BE87" i="7" s="1"/>
  <c r="BI100" i="10"/>
  <c r="BI101" i="10"/>
  <c r="BI91" i="10"/>
  <c r="BC93" i="5"/>
  <c r="BE102" i="7"/>
  <c r="BD191" i="5" l="1"/>
  <c r="BJ190" i="10"/>
  <c r="BJ193" i="10" s="1"/>
  <c r="BJ194" i="10" s="1"/>
  <c r="BJ46" i="10" s="1"/>
  <c r="BE91" i="7"/>
  <c r="BE101" i="7"/>
  <c r="BF188" i="7"/>
  <c r="BD193" i="5"/>
  <c r="BD194" i="5" s="1"/>
  <c r="BD46" i="5" s="1"/>
  <c r="BI93" i="10"/>
  <c r="BE100" i="7"/>
  <c r="BE57" i="7"/>
  <c r="BE86" i="7" s="1"/>
  <c r="BD201" i="5" l="1"/>
  <c r="BD75" i="5"/>
  <c r="BF190" i="7"/>
  <c r="BF193" i="7" s="1"/>
  <c r="BF194" i="7" s="1"/>
  <c r="BF46" i="7" s="1"/>
  <c r="BE93" i="7"/>
  <c r="BJ47" i="10"/>
  <c r="BJ58" i="10" s="1"/>
  <c r="BJ87" i="10" s="1"/>
  <c r="BJ191" i="10"/>
  <c r="BJ37" i="11"/>
  <c r="BJ38" i="11" s="1"/>
  <c r="BJ201" i="10"/>
  <c r="BJ75" i="10"/>
  <c r="BD192" i="5"/>
  <c r="BD47" i="5"/>
  <c r="BD58" i="5" s="1"/>
  <c r="BD87" i="5" s="1"/>
  <c r="BF47" i="7" l="1"/>
  <c r="BF191" i="7"/>
  <c r="BD200" i="5"/>
  <c r="BD57" i="5"/>
  <c r="BD86" i="5" s="1"/>
  <c r="BD25" i="5"/>
  <c r="BD28" i="5" s="1"/>
  <c r="BE22" i="5" s="1"/>
  <c r="BD99" i="5"/>
  <c r="BD164" i="5"/>
  <c r="BD172" i="5"/>
  <c r="BD180" i="5"/>
  <c r="BD175" i="5"/>
  <c r="BD170" i="5"/>
  <c r="BD171" i="5"/>
  <c r="BD157" i="5"/>
  <c r="BD165" i="5"/>
  <c r="BD173" i="5"/>
  <c r="BD181" i="5"/>
  <c r="BD160" i="5"/>
  <c r="BD183" i="5"/>
  <c r="BD168" i="5"/>
  <c r="BD176" i="5"/>
  <c r="BD154" i="5"/>
  <c r="BD178" i="5"/>
  <c r="BD158" i="5"/>
  <c r="BD155" i="5"/>
  <c r="BD166" i="5"/>
  <c r="BD174" i="5"/>
  <c r="BD182" i="5"/>
  <c r="BD167" i="5"/>
  <c r="BD163" i="5"/>
  <c r="BD161" i="5"/>
  <c r="BD162" i="5"/>
  <c r="BD169" i="5"/>
  <c r="BD177" i="5"/>
  <c r="BD156" i="5"/>
  <c r="BD159" i="5"/>
  <c r="BD179" i="5"/>
  <c r="BD76" i="5"/>
  <c r="BJ192" i="10"/>
  <c r="BF201" i="7"/>
  <c r="BF58" i="7"/>
  <c r="BF87" i="7" s="1"/>
  <c r="BF75" i="7"/>
  <c r="BJ200" i="10"/>
  <c r="BJ57" i="10"/>
  <c r="BJ86" i="10" s="1"/>
  <c r="BJ25" i="10"/>
  <c r="BJ28" i="10" s="1"/>
  <c r="BK22" i="10" s="1"/>
  <c r="BJ99" i="10"/>
  <c r="BJ182" i="10"/>
  <c r="BJ165" i="10"/>
  <c r="BJ172" i="10"/>
  <c r="BJ163" i="10"/>
  <c r="BJ166" i="10"/>
  <c r="BJ161" i="10"/>
  <c r="BJ181" i="10"/>
  <c r="BJ162" i="10"/>
  <c r="BJ164" i="10"/>
  <c r="BJ174" i="10"/>
  <c r="BJ171" i="10"/>
  <c r="BJ173" i="10"/>
  <c r="BJ183" i="10"/>
  <c r="BJ170" i="10"/>
  <c r="BJ175" i="10"/>
  <c r="BJ167" i="10"/>
  <c r="BJ177" i="10"/>
  <c r="BJ179" i="10"/>
  <c r="BJ178" i="10"/>
  <c r="BJ176" i="10"/>
  <c r="BJ169" i="10"/>
  <c r="BJ160" i="10"/>
  <c r="BJ180" i="10"/>
  <c r="BJ168" i="10"/>
  <c r="BJ76" i="10"/>
  <c r="BJ102" i="10"/>
  <c r="BD102" i="5"/>
  <c r="BD91" i="5" l="1"/>
  <c r="BD101" i="5"/>
  <c r="BJ101" i="10"/>
  <c r="BJ91" i="10"/>
  <c r="BF192" i="7"/>
  <c r="BD100" i="5"/>
  <c r="BJ100" i="10"/>
  <c r="BF200" i="7"/>
  <c r="BF57" i="7"/>
  <c r="BF86" i="7" s="1"/>
  <c r="BF25" i="7"/>
  <c r="BF28" i="7" s="1"/>
  <c r="BG22" i="7" s="1"/>
  <c r="BF170" i="7"/>
  <c r="BF179" i="7"/>
  <c r="BF172" i="7"/>
  <c r="BF167" i="7"/>
  <c r="BF171" i="7"/>
  <c r="BF161" i="7"/>
  <c r="BF175" i="7"/>
  <c r="BF173" i="7"/>
  <c r="BF176" i="7"/>
  <c r="BF178" i="7"/>
  <c r="BF164" i="7"/>
  <c r="BF160" i="7"/>
  <c r="BF183" i="7"/>
  <c r="BF168" i="7"/>
  <c r="BF156" i="7"/>
  <c r="BF158" i="7"/>
  <c r="BF174" i="7"/>
  <c r="BF99" i="7"/>
  <c r="BF166" i="7"/>
  <c r="BF159" i="7"/>
  <c r="BF169" i="7"/>
  <c r="BF182" i="7"/>
  <c r="BF163" i="7"/>
  <c r="BF165" i="7"/>
  <c r="BF181" i="7"/>
  <c r="BF177" i="7"/>
  <c r="BF162" i="7"/>
  <c r="BF157" i="7"/>
  <c r="BF180" i="7"/>
  <c r="BF76" i="7"/>
  <c r="BE188" i="5"/>
  <c r="BK188" i="10"/>
  <c r="BF102" i="7"/>
  <c r="BJ93" i="10" l="1"/>
  <c r="BK190" i="10"/>
  <c r="BK193" i="10" s="1"/>
  <c r="BK194" i="10" s="1"/>
  <c r="BK46" i="10" s="1"/>
  <c r="BG188" i="7"/>
  <c r="BE190" i="5"/>
  <c r="BF100" i="7"/>
  <c r="BF91" i="7"/>
  <c r="BF101" i="7"/>
  <c r="BD93" i="5"/>
  <c r="BK37" i="11" l="1"/>
  <c r="BK38" i="11" s="1"/>
  <c r="BK201" i="10"/>
  <c r="BK75" i="10"/>
  <c r="BE191" i="5"/>
  <c r="BE193" i="5"/>
  <c r="BE194" i="5" s="1"/>
  <c r="BE46" i="5" s="1"/>
  <c r="BG190" i="7"/>
  <c r="BG193" i="7" s="1"/>
  <c r="BG194" i="7" s="1"/>
  <c r="BG46" i="7" s="1"/>
  <c r="BK47" i="10"/>
  <c r="BK58" i="10" s="1"/>
  <c r="BK87" i="10" s="1"/>
  <c r="BK191" i="10"/>
  <c r="BF93" i="7"/>
  <c r="BG201" i="7" l="1"/>
  <c r="BG75" i="7"/>
  <c r="BE201" i="5"/>
  <c r="BE75" i="5"/>
  <c r="BE192" i="5"/>
  <c r="BK192" i="10"/>
  <c r="BE47" i="5"/>
  <c r="BE58" i="5" s="1"/>
  <c r="BE87" i="5" s="1"/>
  <c r="BK200" i="10"/>
  <c r="BK25" i="10"/>
  <c r="BK28" i="10" s="1"/>
  <c r="BL22" i="10" s="1"/>
  <c r="BK57" i="10"/>
  <c r="BK86" i="10" s="1"/>
  <c r="BK179" i="10"/>
  <c r="BK161" i="10"/>
  <c r="BK174" i="10"/>
  <c r="BK178" i="10"/>
  <c r="BK171" i="10"/>
  <c r="BK175" i="10"/>
  <c r="BK164" i="10"/>
  <c r="BK168" i="10"/>
  <c r="BK165" i="10"/>
  <c r="BK162" i="10"/>
  <c r="BK177" i="10"/>
  <c r="BK163" i="10"/>
  <c r="BK170" i="10"/>
  <c r="BK169" i="10"/>
  <c r="BK172" i="10"/>
  <c r="BK182" i="10"/>
  <c r="BK167" i="10"/>
  <c r="BK99" i="10"/>
  <c r="BK181" i="10"/>
  <c r="BK180" i="10"/>
  <c r="BK166" i="10"/>
  <c r="BK183" i="10"/>
  <c r="BK176" i="10"/>
  <c r="BK173" i="10"/>
  <c r="BK76" i="10"/>
  <c r="BG47" i="7"/>
  <c r="BG191" i="7"/>
  <c r="BK102" i="10"/>
  <c r="BG192" i="7" l="1"/>
  <c r="BG200" i="7"/>
  <c r="BG25" i="7"/>
  <c r="BG28" i="7" s="1"/>
  <c r="BH22" i="7" s="1"/>
  <c r="BG182" i="7"/>
  <c r="BG181" i="7"/>
  <c r="BG161" i="7"/>
  <c r="BG166" i="7"/>
  <c r="BG172" i="7"/>
  <c r="BG162" i="7"/>
  <c r="BG158" i="7"/>
  <c r="BG178" i="7"/>
  <c r="BG179" i="7"/>
  <c r="BG175" i="7"/>
  <c r="BG157" i="7"/>
  <c r="BG174" i="7"/>
  <c r="BG167" i="7"/>
  <c r="BG177" i="7"/>
  <c r="BG171" i="7"/>
  <c r="BG176" i="7"/>
  <c r="BG169" i="7"/>
  <c r="BG170" i="7"/>
  <c r="BG165" i="7"/>
  <c r="BG168" i="7"/>
  <c r="BG180" i="7"/>
  <c r="BG183" i="7"/>
  <c r="BG99" i="7"/>
  <c r="BG160" i="7"/>
  <c r="BG163" i="7"/>
  <c r="BG164" i="7"/>
  <c r="BG159" i="7"/>
  <c r="BG173" i="7"/>
  <c r="BG76" i="7"/>
  <c r="BK100" i="10"/>
  <c r="BK91" i="10"/>
  <c r="BK101" i="10"/>
  <c r="BG58" i="7"/>
  <c r="BG87" i="7" s="1"/>
  <c r="BE200" i="5"/>
  <c r="BE57" i="5"/>
  <c r="BE86" i="5" s="1"/>
  <c r="BE25" i="5"/>
  <c r="BE28" i="5" s="1"/>
  <c r="BF22" i="5" s="1"/>
  <c r="BE163" i="5"/>
  <c r="BE167" i="5"/>
  <c r="BE175" i="5"/>
  <c r="BE183" i="5"/>
  <c r="BE170" i="5"/>
  <c r="BE161" i="5"/>
  <c r="BE160" i="5"/>
  <c r="BE168" i="5"/>
  <c r="BE176" i="5"/>
  <c r="BE155" i="5"/>
  <c r="BE159" i="5"/>
  <c r="BE179" i="5"/>
  <c r="BE162" i="5"/>
  <c r="BE180" i="5"/>
  <c r="BE156" i="5"/>
  <c r="BE169" i="5"/>
  <c r="BE177" i="5"/>
  <c r="BE178" i="5"/>
  <c r="BE157" i="5"/>
  <c r="BE99" i="5"/>
  <c r="BE165" i="5"/>
  <c r="BE158" i="5"/>
  <c r="BE173" i="5"/>
  <c r="BE181" i="5"/>
  <c r="BE164" i="5"/>
  <c r="BE166" i="5"/>
  <c r="BE174" i="5"/>
  <c r="BE182" i="5"/>
  <c r="BE171" i="5"/>
  <c r="BE172" i="5"/>
  <c r="BE76" i="5"/>
  <c r="BL188" i="10"/>
  <c r="BE102" i="5"/>
  <c r="BG102" i="7"/>
  <c r="BE91" i="5" l="1"/>
  <c r="BE101" i="5"/>
  <c r="BG100" i="7"/>
  <c r="BH188" i="7"/>
  <c r="BF188" i="5"/>
  <c r="BK93" i="10"/>
  <c r="BG57" i="7"/>
  <c r="BG86" i="7" s="1"/>
  <c r="BL190" i="10"/>
  <c r="BG91" i="7"/>
  <c r="BG101" i="7"/>
  <c r="BE100" i="5"/>
  <c r="BL191" i="10" l="1"/>
  <c r="BH190" i="7"/>
  <c r="BL193" i="10"/>
  <c r="BL194" i="10" s="1"/>
  <c r="BL46" i="10" s="1"/>
  <c r="BE93" i="5"/>
  <c r="BG93" i="7"/>
  <c r="BF190" i="5"/>
  <c r="BL37" i="11" l="1"/>
  <c r="BL38" i="11" s="1"/>
  <c r="BL201" i="10"/>
  <c r="BL75" i="10"/>
  <c r="BF191" i="5"/>
  <c r="BH191" i="7"/>
  <c r="BH193" i="7"/>
  <c r="BH194" i="7" s="1"/>
  <c r="BH46" i="7" s="1"/>
  <c r="BL192" i="10"/>
  <c r="BF193" i="5"/>
  <c r="BF194" i="5" s="1"/>
  <c r="BF46" i="5" s="1"/>
  <c r="BL47" i="10"/>
  <c r="BL58" i="10" s="1"/>
  <c r="BL87" i="10" s="1"/>
  <c r="BH47" i="7" l="1"/>
  <c r="BF201" i="5"/>
  <c r="BF75" i="5"/>
  <c r="BH192" i="7"/>
  <c r="BL200" i="10"/>
  <c r="BL25" i="10"/>
  <c r="BL28" i="10" s="1"/>
  <c r="BM22" i="10" s="1"/>
  <c r="BL57" i="10"/>
  <c r="BL86" i="10" s="1"/>
  <c r="BL167" i="10"/>
  <c r="BL165" i="10"/>
  <c r="BL162" i="10"/>
  <c r="BL171" i="10"/>
  <c r="BL168" i="10"/>
  <c r="BL174" i="10"/>
  <c r="BL99" i="10"/>
  <c r="BL169" i="10"/>
  <c r="BL170" i="10"/>
  <c r="BL175" i="10"/>
  <c r="BL172" i="10"/>
  <c r="BL178" i="10"/>
  <c r="BL177" i="10"/>
  <c r="BL176" i="10"/>
  <c r="BL164" i="10"/>
  <c r="BL173" i="10"/>
  <c r="BL179" i="10"/>
  <c r="BL166" i="10"/>
  <c r="BL180" i="10"/>
  <c r="BL163" i="10"/>
  <c r="BL181" i="10"/>
  <c r="BL183" i="10"/>
  <c r="BL182" i="10"/>
  <c r="BL76" i="10"/>
  <c r="BF192" i="5"/>
  <c r="BF47" i="5"/>
  <c r="BH200" i="7"/>
  <c r="BH25" i="7"/>
  <c r="BH28" i="7" s="1"/>
  <c r="BI22" i="7" s="1"/>
  <c r="BH176" i="7"/>
  <c r="BH168" i="7"/>
  <c r="BH166" i="7"/>
  <c r="BH174" i="7"/>
  <c r="BH160" i="7"/>
  <c r="BH161" i="7"/>
  <c r="BH99" i="7"/>
  <c r="BH165" i="7"/>
  <c r="BH179" i="7"/>
  <c r="BH167" i="7"/>
  <c r="BH178" i="7"/>
  <c r="BH171" i="7"/>
  <c r="BH172" i="7"/>
  <c r="BH173" i="7"/>
  <c r="BH159" i="7"/>
  <c r="BH164" i="7"/>
  <c r="BH170" i="7"/>
  <c r="BH169" i="7"/>
  <c r="BH175" i="7"/>
  <c r="BH162" i="7"/>
  <c r="BH163" i="7"/>
  <c r="BH158" i="7"/>
  <c r="BH182" i="7"/>
  <c r="BH177" i="7"/>
  <c r="BH181" i="7"/>
  <c r="BH180" i="7"/>
  <c r="BH183" i="7"/>
  <c r="BH76" i="7"/>
  <c r="BH201" i="7"/>
  <c r="BH58" i="7"/>
  <c r="BH87" i="7" s="1"/>
  <c r="BH75" i="7"/>
  <c r="BL102" i="10"/>
  <c r="BH102" i="7"/>
  <c r="BH91" i="7" l="1"/>
  <c r="BH101" i="7"/>
  <c r="BF200" i="5"/>
  <c r="BF25" i="5"/>
  <c r="BF28" i="5" s="1"/>
  <c r="BG22" i="5" s="1"/>
  <c r="BF99" i="5"/>
  <c r="BF160" i="5"/>
  <c r="BF168" i="5"/>
  <c r="BF176" i="5"/>
  <c r="BF171" i="5"/>
  <c r="BF157" i="5"/>
  <c r="BF169" i="5"/>
  <c r="BF177" i="5"/>
  <c r="BF158" i="5"/>
  <c r="BF165" i="5"/>
  <c r="BF180" i="5"/>
  <c r="BF161" i="5"/>
  <c r="BF173" i="5"/>
  <c r="BF156" i="5"/>
  <c r="BF170" i="5"/>
  <c r="BF178" i="5"/>
  <c r="BF166" i="5"/>
  <c r="BF179" i="5"/>
  <c r="BF163" i="5"/>
  <c r="BF172" i="5"/>
  <c r="BF181" i="5"/>
  <c r="BF159" i="5"/>
  <c r="BF162" i="5"/>
  <c r="BF174" i="5"/>
  <c r="BF182" i="5"/>
  <c r="BF164" i="5"/>
  <c r="BF167" i="5"/>
  <c r="BF175" i="5"/>
  <c r="BF183" i="5"/>
  <c r="BF76" i="5"/>
  <c r="BL101" i="10"/>
  <c r="BL91" i="10"/>
  <c r="BF58" i="5"/>
  <c r="BF87" i="5" s="1"/>
  <c r="BI188" i="7"/>
  <c r="BH100" i="7"/>
  <c r="BH57" i="7"/>
  <c r="BH86" i="7" s="1"/>
  <c r="BL100" i="10"/>
  <c r="BM188" i="10"/>
  <c r="BF102" i="5"/>
  <c r="BF57" i="5" l="1"/>
  <c r="BF86" i="5" s="1"/>
  <c r="BF100" i="5"/>
  <c r="BG188" i="5"/>
  <c r="BI190" i="7"/>
  <c r="BM190" i="10"/>
  <c r="BM193" i="10" s="1"/>
  <c r="BM194" i="10" s="1"/>
  <c r="BM46" i="10" s="1"/>
  <c r="BH93" i="7"/>
  <c r="BF91" i="5"/>
  <c r="BF101" i="5"/>
  <c r="BL93" i="10"/>
  <c r="BM37" i="11" l="1"/>
  <c r="BM38" i="11" s="1"/>
  <c r="BM201" i="10"/>
  <c r="BM75" i="10"/>
  <c r="BI191" i="7"/>
  <c r="BI193" i="7"/>
  <c r="BI194" i="7" s="1"/>
  <c r="BI46" i="7" s="1"/>
  <c r="BG190" i="5"/>
  <c r="BM47" i="10"/>
  <c r="BM191" i="10"/>
  <c r="BF93" i="5"/>
  <c r="BI201" i="7" l="1"/>
  <c r="BI75" i="7"/>
  <c r="BI192" i="7"/>
  <c r="BI47" i="7"/>
  <c r="BM192" i="10"/>
  <c r="BM200" i="10"/>
  <c r="BM25" i="10"/>
  <c r="BM28" i="10" s="1"/>
  <c r="BN22" i="10" s="1"/>
  <c r="BM168" i="10"/>
  <c r="BM178" i="10"/>
  <c r="BM165" i="10"/>
  <c r="BM99" i="10"/>
  <c r="BM182" i="10"/>
  <c r="BM177" i="10"/>
  <c r="BM183" i="10"/>
  <c r="BM181" i="10"/>
  <c r="BM170" i="10"/>
  <c r="BM169" i="10"/>
  <c r="BM173" i="10"/>
  <c r="BM163" i="10"/>
  <c r="BM166" i="10"/>
  <c r="BM172" i="10"/>
  <c r="BM164" i="10"/>
  <c r="BM175" i="10"/>
  <c r="BM171" i="10"/>
  <c r="BM180" i="10"/>
  <c r="BM179" i="10"/>
  <c r="BM176" i="10"/>
  <c r="BM167" i="10"/>
  <c r="BM174" i="10"/>
  <c r="BM76" i="10"/>
  <c r="BM58" i="10"/>
  <c r="BM87" i="10" s="1"/>
  <c r="BG191" i="5"/>
  <c r="BG193" i="5"/>
  <c r="BG194" i="5" s="1"/>
  <c r="BG46" i="5" s="1"/>
  <c r="BM102" i="10"/>
  <c r="BG47" i="5" l="1"/>
  <c r="BG192" i="5"/>
  <c r="BG200" i="5"/>
  <c r="BG25" i="5"/>
  <c r="BG28" i="5" s="1"/>
  <c r="BH22" i="5" s="1"/>
  <c r="BG164" i="5"/>
  <c r="BG158" i="5"/>
  <c r="BG174" i="5"/>
  <c r="BG182" i="5"/>
  <c r="BG169" i="5"/>
  <c r="BG99" i="5"/>
  <c r="BG163" i="5"/>
  <c r="BG167" i="5"/>
  <c r="BG175" i="5"/>
  <c r="BG183" i="5"/>
  <c r="BG160" i="5"/>
  <c r="BG168" i="5"/>
  <c r="BG176" i="5"/>
  <c r="BG166" i="5"/>
  <c r="BG177" i="5"/>
  <c r="BG157" i="5"/>
  <c r="BG170" i="5"/>
  <c r="BG178" i="5"/>
  <c r="BG165" i="5"/>
  <c r="BG171" i="5"/>
  <c r="BG179" i="5"/>
  <c r="BG159" i="5"/>
  <c r="BG162" i="5"/>
  <c r="BG172" i="5"/>
  <c r="BG180" i="5"/>
  <c r="BG181" i="5"/>
  <c r="BG161" i="5"/>
  <c r="BG173" i="5"/>
  <c r="BG76" i="5"/>
  <c r="BI200" i="7"/>
  <c r="BI25" i="7"/>
  <c r="BI28" i="7" s="1"/>
  <c r="BJ22" i="7" s="1"/>
  <c r="BI171" i="7"/>
  <c r="BI160" i="7"/>
  <c r="BI169" i="7"/>
  <c r="BI172" i="7"/>
  <c r="BI167" i="7"/>
  <c r="BI161" i="7"/>
  <c r="BI99" i="7"/>
  <c r="BI180" i="7"/>
  <c r="BI175" i="7"/>
  <c r="BI179" i="7"/>
  <c r="BI182" i="7"/>
  <c r="BI183" i="7"/>
  <c r="BI165" i="7"/>
  <c r="BI178" i="7"/>
  <c r="BI173" i="7"/>
  <c r="BI174" i="7"/>
  <c r="BI181" i="7"/>
  <c r="BI163" i="7"/>
  <c r="BI162" i="7"/>
  <c r="BI168" i="7"/>
  <c r="BI170" i="7"/>
  <c r="BI177" i="7"/>
  <c r="BI164" i="7"/>
  <c r="BI166" i="7"/>
  <c r="BI176" i="7"/>
  <c r="BI159" i="7"/>
  <c r="BI76" i="7"/>
  <c r="BN188" i="10"/>
  <c r="BM57" i="10"/>
  <c r="BM86" i="10" s="1"/>
  <c r="BM101" i="10"/>
  <c r="BM91" i="10"/>
  <c r="BI58" i="7"/>
  <c r="BI87" i="7" s="1"/>
  <c r="BG201" i="5"/>
  <c r="BG58" i="5"/>
  <c r="BG87" i="5" s="1"/>
  <c r="BG75" i="5"/>
  <c r="BM100" i="10"/>
  <c r="BG102" i="5"/>
  <c r="BI102" i="7"/>
  <c r="BI57" i="7" l="1"/>
  <c r="BI86" i="7" s="1"/>
  <c r="BG57" i="5"/>
  <c r="BG86" i="5" s="1"/>
  <c r="BI100" i="7"/>
  <c r="BJ188" i="7"/>
  <c r="BH188" i="5"/>
  <c r="BG100" i="5"/>
  <c r="BI101" i="7"/>
  <c r="BI91" i="7"/>
  <c r="BN190" i="10"/>
  <c r="BN193" i="10" s="1"/>
  <c r="BN194" i="10" s="1"/>
  <c r="BN46" i="10" s="1"/>
  <c r="BG101" i="5"/>
  <c r="BG91" i="5"/>
  <c r="BM93" i="10"/>
  <c r="BN37" i="11" l="1"/>
  <c r="BN38" i="11" s="1"/>
  <c r="BN201" i="10"/>
  <c r="BN75" i="10"/>
  <c r="BH190" i="5"/>
  <c r="BH193" i="5" s="1"/>
  <c r="BH194" i="5" s="1"/>
  <c r="BH46" i="5" s="1"/>
  <c r="BN47" i="10"/>
  <c r="BN191" i="10"/>
  <c r="BJ190" i="7"/>
  <c r="BI93" i="7"/>
  <c r="BG93" i="5"/>
  <c r="BN192" i="10" l="1"/>
  <c r="BN200" i="10"/>
  <c r="BN25" i="10"/>
  <c r="BN28" i="10" s="1"/>
  <c r="BO22" i="10" s="1"/>
  <c r="BN177" i="10"/>
  <c r="BN172" i="10"/>
  <c r="BN165" i="10"/>
  <c r="BN183" i="10"/>
  <c r="BN181" i="10"/>
  <c r="BN178" i="10"/>
  <c r="BN175" i="10"/>
  <c r="BN173" i="10"/>
  <c r="BN168" i="10"/>
  <c r="BN171" i="10"/>
  <c r="BN180" i="10"/>
  <c r="BN179" i="10"/>
  <c r="BN164" i="10"/>
  <c r="BN99" i="10"/>
  <c r="BN169" i="10"/>
  <c r="BN167" i="10"/>
  <c r="BN170" i="10"/>
  <c r="BN182" i="10"/>
  <c r="BN176" i="10"/>
  <c r="BN174" i="10"/>
  <c r="BN166" i="10"/>
  <c r="BN76" i="10"/>
  <c r="BH47" i="5"/>
  <c r="BH191" i="5"/>
  <c r="BH201" i="5"/>
  <c r="BH75" i="5"/>
  <c r="BJ191" i="7"/>
  <c r="BJ193" i="7"/>
  <c r="BJ194" i="7" s="1"/>
  <c r="BJ46" i="7" s="1"/>
  <c r="BN58" i="10"/>
  <c r="BN87" i="10" s="1"/>
  <c r="BN102" i="10"/>
  <c r="BH192" i="5" l="1"/>
  <c r="BJ47" i="7"/>
  <c r="BJ201" i="7"/>
  <c r="BJ58" i="7"/>
  <c r="BJ87" i="7" s="1"/>
  <c r="BJ75" i="7"/>
  <c r="BN57" i="10"/>
  <c r="BN86" i="10" s="1"/>
  <c r="BN100" i="10"/>
  <c r="BH200" i="5"/>
  <c r="BH25" i="5"/>
  <c r="BH28" i="5" s="1"/>
  <c r="BI22" i="5" s="1"/>
  <c r="BH167" i="5"/>
  <c r="BH170" i="5"/>
  <c r="BH178" i="5"/>
  <c r="BH181" i="5"/>
  <c r="BH161" i="5"/>
  <c r="BH176" i="5"/>
  <c r="BH99" i="5"/>
  <c r="BH159" i="5"/>
  <c r="BH171" i="5"/>
  <c r="BH179" i="5"/>
  <c r="BH158" i="5"/>
  <c r="BH163" i="5"/>
  <c r="BH182" i="5"/>
  <c r="BH183" i="5"/>
  <c r="BH165" i="5"/>
  <c r="BH164" i="5"/>
  <c r="BH172" i="5"/>
  <c r="BH180" i="5"/>
  <c r="BH160" i="5"/>
  <c r="BH173" i="5"/>
  <c r="BH174" i="5"/>
  <c r="BH166" i="5"/>
  <c r="BH175" i="5"/>
  <c r="BH168" i="5"/>
  <c r="BH162" i="5"/>
  <c r="BH169" i="5"/>
  <c r="BH177" i="5"/>
  <c r="BH76" i="5"/>
  <c r="BO188" i="10"/>
  <c r="BN101" i="10"/>
  <c r="BN91" i="10"/>
  <c r="BJ192" i="7"/>
  <c r="BH58" i="5"/>
  <c r="BH87" i="5" s="1"/>
  <c r="BH102" i="5"/>
  <c r="BI188" i="5" l="1"/>
  <c r="BH57" i="5"/>
  <c r="BH86" i="5" s="1"/>
  <c r="BH100" i="5"/>
  <c r="BJ200" i="7"/>
  <c r="BJ25" i="7"/>
  <c r="BJ28" i="7" s="1"/>
  <c r="BK22" i="7" s="1"/>
  <c r="BJ57" i="7"/>
  <c r="BJ86" i="7" s="1"/>
  <c r="BJ99" i="7"/>
  <c r="BJ180" i="7"/>
  <c r="BJ170" i="7"/>
  <c r="BJ164" i="7"/>
  <c r="BJ165" i="7"/>
  <c r="BJ163" i="7"/>
  <c r="BJ162" i="7"/>
  <c r="BJ174" i="7"/>
  <c r="BJ176" i="7"/>
  <c r="BJ177" i="7"/>
  <c r="BJ169" i="7"/>
  <c r="BJ160" i="7"/>
  <c r="BJ166" i="7"/>
  <c r="BJ175" i="7"/>
  <c r="BJ168" i="7"/>
  <c r="BJ161" i="7"/>
  <c r="BJ178" i="7"/>
  <c r="BJ171" i="7"/>
  <c r="BJ167" i="7"/>
  <c r="BJ172" i="7"/>
  <c r="BJ182" i="7"/>
  <c r="BJ183" i="7"/>
  <c r="BJ173" i="7"/>
  <c r="BJ181" i="7"/>
  <c r="BJ179" i="7"/>
  <c r="BJ76" i="7"/>
  <c r="BH101" i="5"/>
  <c r="BH91" i="5"/>
  <c r="BO190" i="10"/>
  <c r="BN93" i="10"/>
  <c r="BJ102" i="7"/>
  <c r="BH93" i="5" l="1"/>
  <c r="BJ100" i="7"/>
  <c r="BK188" i="7"/>
  <c r="BJ101" i="7"/>
  <c r="BJ91" i="7"/>
  <c r="BO191" i="10"/>
  <c r="BO193" i="10"/>
  <c r="BO194" i="10" s="1"/>
  <c r="BO46" i="10" s="1"/>
  <c r="BI190" i="5"/>
  <c r="BI191" i="5" l="1"/>
  <c r="BI193" i="5"/>
  <c r="BI194" i="5" s="1"/>
  <c r="BI46" i="5" s="1"/>
  <c r="BK190" i="7"/>
  <c r="BO37" i="11"/>
  <c r="BO38" i="11" s="1"/>
  <c r="BO201" i="10"/>
  <c r="BO58" i="10"/>
  <c r="BO87" i="10" s="1"/>
  <c r="BO75" i="10"/>
  <c r="BO192" i="10"/>
  <c r="BO47" i="10"/>
  <c r="BJ93" i="7"/>
  <c r="BI201" i="5" l="1"/>
  <c r="BI75" i="5"/>
  <c r="BK191" i="7"/>
  <c r="BI192" i="5"/>
  <c r="BO200" i="10"/>
  <c r="BO57" i="10"/>
  <c r="BO86" i="10" s="1"/>
  <c r="BO25" i="10"/>
  <c r="BO28" i="10" s="1"/>
  <c r="BP22" i="10" s="1"/>
  <c r="BO168" i="10"/>
  <c r="BO169" i="10"/>
  <c r="BO171" i="10"/>
  <c r="BO167" i="10"/>
  <c r="BO165" i="10"/>
  <c r="BO175" i="10"/>
  <c r="BO177" i="10"/>
  <c r="BO172" i="10"/>
  <c r="BO176" i="10"/>
  <c r="BO179" i="10"/>
  <c r="BO183" i="10"/>
  <c r="BO166" i="10"/>
  <c r="BO174" i="10"/>
  <c r="BO99" i="10"/>
  <c r="BO178" i="10"/>
  <c r="BO182" i="10"/>
  <c r="BO170" i="10"/>
  <c r="BO180" i="10"/>
  <c r="BO181" i="10"/>
  <c r="BO173" i="10"/>
  <c r="BO76" i="10"/>
  <c r="BK193" i="7"/>
  <c r="BK194" i="7" s="1"/>
  <c r="BK46" i="7" s="1"/>
  <c r="BI47" i="5"/>
  <c r="BI58" i="5" s="1"/>
  <c r="BI87" i="5" s="1"/>
  <c r="BO102" i="10"/>
  <c r="BK47" i="7" l="1"/>
  <c r="BK192" i="7"/>
  <c r="BK200" i="7"/>
  <c r="BK25" i="7"/>
  <c r="BK28" i="7" s="1"/>
  <c r="BL22" i="7" s="1"/>
  <c r="BK169" i="7"/>
  <c r="BK168" i="7"/>
  <c r="BK163" i="7"/>
  <c r="BK165" i="7"/>
  <c r="BK181" i="7"/>
  <c r="BK183" i="7"/>
  <c r="BK180" i="7"/>
  <c r="BK166" i="7"/>
  <c r="BK99" i="7"/>
  <c r="BK179" i="7"/>
  <c r="BK172" i="7"/>
  <c r="BK161" i="7"/>
  <c r="BK174" i="7"/>
  <c r="BK178" i="7"/>
  <c r="BK175" i="7"/>
  <c r="BK176" i="7"/>
  <c r="BK170" i="7"/>
  <c r="BK162" i="7"/>
  <c r="BK171" i="7"/>
  <c r="BK177" i="7"/>
  <c r="BK173" i="7"/>
  <c r="BK164" i="7"/>
  <c r="BK167" i="7"/>
  <c r="BK182" i="7"/>
  <c r="BK76" i="7"/>
  <c r="BP188" i="10"/>
  <c r="BI200" i="5"/>
  <c r="BI57" i="5"/>
  <c r="BI86" i="5" s="1"/>
  <c r="BI25" i="5"/>
  <c r="BI28" i="5" s="1"/>
  <c r="BJ22" i="5" s="1"/>
  <c r="BI164" i="5"/>
  <c r="BI165" i="5"/>
  <c r="BI175" i="5"/>
  <c r="BI183" i="5"/>
  <c r="BI159" i="5"/>
  <c r="BI176" i="5"/>
  <c r="BI161" i="5"/>
  <c r="BI170" i="5"/>
  <c r="BI178" i="5"/>
  <c r="BI179" i="5"/>
  <c r="BI181" i="5"/>
  <c r="BI168" i="5"/>
  <c r="BI160" i="5"/>
  <c r="BI172" i="5"/>
  <c r="BI173" i="5"/>
  <c r="BI99" i="5"/>
  <c r="BI166" i="5"/>
  <c r="BI177" i="5"/>
  <c r="BI171" i="5"/>
  <c r="BI163" i="5"/>
  <c r="BI180" i="5"/>
  <c r="BI167" i="5"/>
  <c r="BI162" i="5"/>
  <c r="BI169" i="5"/>
  <c r="BI174" i="5"/>
  <c r="BI182" i="5"/>
  <c r="BI76" i="5"/>
  <c r="BK201" i="7"/>
  <c r="BK58" i="7"/>
  <c r="BK87" i="7" s="1"/>
  <c r="BK75" i="7"/>
  <c r="BO100" i="10"/>
  <c r="BO101" i="10"/>
  <c r="BO91" i="10"/>
  <c r="BI102" i="5"/>
  <c r="BK102" i="7"/>
  <c r="BO93" i="10" l="1"/>
  <c r="BJ188" i="5"/>
  <c r="BK57" i="7"/>
  <c r="BK86" i="7" s="1"/>
  <c r="BP190" i="10"/>
  <c r="BK101" i="7"/>
  <c r="BK91" i="7"/>
  <c r="BI101" i="5"/>
  <c r="BI91" i="5"/>
  <c r="BK100" i="7"/>
  <c r="BI100" i="5"/>
  <c r="BL188" i="7"/>
  <c r="BL190" i="7" l="1"/>
  <c r="BI93" i="5"/>
  <c r="BJ190" i="5"/>
  <c r="BP191" i="10"/>
  <c r="BK93" i="7"/>
  <c r="BP193" i="10"/>
  <c r="BP194" i="10" s="1"/>
  <c r="BP46" i="10" s="1"/>
  <c r="BJ191" i="5" l="1"/>
  <c r="BP37" i="11"/>
  <c r="BP38" i="11" s="1"/>
  <c r="BP201" i="10"/>
  <c r="BP75" i="10"/>
  <c r="BP47" i="10"/>
  <c r="BP58" i="10" s="1"/>
  <c r="BP87" i="10" s="1"/>
  <c r="BL191" i="7"/>
  <c r="BJ193" i="5"/>
  <c r="BJ194" i="5" s="1"/>
  <c r="BJ46" i="5" s="1"/>
  <c r="BP192" i="10"/>
  <c r="BL193" i="7"/>
  <c r="BL194" i="7" s="1"/>
  <c r="BL46" i="7" s="1"/>
  <c r="BL201" i="7" l="1"/>
  <c r="BL75" i="7"/>
  <c r="BL47" i="7"/>
  <c r="BL58" i="7" s="1"/>
  <c r="BL87" i="7" s="1"/>
  <c r="BP200" i="10"/>
  <c r="BP57" i="10"/>
  <c r="BP86" i="10" s="1"/>
  <c r="BP25" i="10"/>
  <c r="BP28" i="10" s="1"/>
  <c r="BQ22" i="10" s="1"/>
  <c r="BP173" i="10"/>
  <c r="BP180" i="10"/>
  <c r="BP178" i="10"/>
  <c r="BP169" i="10"/>
  <c r="BP179" i="10"/>
  <c r="BP166" i="10"/>
  <c r="BP99" i="10"/>
  <c r="BP172" i="10"/>
  <c r="BP182" i="10"/>
  <c r="BP171" i="10"/>
  <c r="BP170" i="10"/>
  <c r="BP176" i="10"/>
  <c r="BP167" i="10"/>
  <c r="BP174" i="10"/>
  <c r="BP168" i="10"/>
  <c r="BP175" i="10"/>
  <c r="BP181" i="10"/>
  <c r="BP183" i="10"/>
  <c r="BP177" i="10"/>
  <c r="BP76" i="10"/>
  <c r="BJ201" i="5"/>
  <c r="BJ75" i="5"/>
  <c r="BJ192" i="5"/>
  <c r="BL192" i="7"/>
  <c r="BJ47" i="5"/>
  <c r="BP102" i="10"/>
  <c r="BJ200" i="5" l="1"/>
  <c r="BJ25" i="5"/>
  <c r="BJ28" i="5" s="1"/>
  <c r="BK22" i="5" s="1"/>
  <c r="BJ99" i="5"/>
  <c r="BJ168" i="5"/>
  <c r="BJ167" i="5"/>
  <c r="BJ178" i="5"/>
  <c r="BJ162" i="5"/>
  <c r="BJ175" i="5"/>
  <c r="BJ169" i="5"/>
  <c r="BJ171" i="5"/>
  <c r="BJ179" i="5"/>
  <c r="BJ181" i="5"/>
  <c r="BJ165" i="5"/>
  <c r="BJ182" i="5"/>
  <c r="BJ163" i="5"/>
  <c r="BJ161" i="5"/>
  <c r="BJ166" i="5"/>
  <c r="BJ172" i="5"/>
  <c r="BJ180" i="5"/>
  <c r="BJ173" i="5"/>
  <c r="BJ174" i="5"/>
  <c r="BJ164" i="5"/>
  <c r="BJ160" i="5"/>
  <c r="BJ170" i="5"/>
  <c r="BJ183" i="5"/>
  <c r="BJ176" i="5"/>
  <c r="BJ177" i="5"/>
  <c r="BJ76" i="5"/>
  <c r="BJ58" i="5"/>
  <c r="BJ87" i="5" s="1"/>
  <c r="BQ188" i="10"/>
  <c r="BP100" i="10"/>
  <c r="BP101" i="10"/>
  <c r="BP91" i="10"/>
  <c r="BL200" i="7"/>
  <c r="BL25" i="7"/>
  <c r="BL28" i="7" s="1"/>
  <c r="BM22" i="7" s="1"/>
  <c r="BL57" i="7"/>
  <c r="BL86" i="7" s="1"/>
  <c r="BL181" i="7"/>
  <c r="BL175" i="7"/>
  <c r="BL172" i="7"/>
  <c r="BL180" i="7"/>
  <c r="BL162" i="7"/>
  <c r="BL173" i="7"/>
  <c r="BL179" i="7"/>
  <c r="BL174" i="7"/>
  <c r="BL166" i="7"/>
  <c r="BL168" i="7"/>
  <c r="BL99" i="7"/>
  <c r="BL169" i="7"/>
  <c r="BL167" i="7"/>
  <c r="BL163" i="7"/>
  <c r="BL178" i="7"/>
  <c r="BL183" i="7"/>
  <c r="BL170" i="7"/>
  <c r="BL176" i="7"/>
  <c r="BL177" i="7"/>
  <c r="BL171" i="7"/>
  <c r="BL182" i="7"/>
  <c r="BL164" i="7"/>
  <c r="BL165" i="7"/>
  <c r="BL76" i="7"/>
  <c r="BJ102" i="5"/>
  <c r="BL102" i="7"/>
  <c r="BL101" i="7" l="1"/>
  <c r="BL91" i="7"/>
  <c r="BL100" i="7"/>
  <c r="BJ101" i="5"/>
  <c r="BJ91" i="5"/>
  <c r="BJ100" i="5"/>
  <c r="BK188" i="5"/>
  <c r="BP93" i="10"/>
  <c r="BJ57" i="5"/>
  <c r="BJ86" i="5" s="1"/>
  <c r="BQ190" i="10"/>
  <c r="BQ193" i="10" s="1"/>
  <c r="BQ194" i="10" s="1"/>
  <c r="BQ46" i="10" s="1"/>
  <c r="BM188" i="7"/>
  <c r="BQ37" i="11" l="1"/>
  <c r="BQ38" i="11" s="1"/>
  <c r="BQ201" i="10"/>
  <c r="BQ75" i="10"/>
  <c r="BM190" i="7"/>
  <c r="BM193" i="7" s="1"/>
  <c r="BM194" i="7" s="1"/>
  <c r="BM46" i="7" s="1"/>
  <c r="BJ93" i="5"/>
  <c r="BK190" i="5"/>
  <c r="BK193" i="5" s="1"/>
  <c r="BK194" i="5" s="1"/>
  <c r="BK46" i="5" s="1"/>
  <c r="BL93" i="7"/>
  <c r="BQ47" i="10"/>
  <c r="BQ191" i="10"/>
  <c r="BK201" i="5" l="1"/>
  <c r="BK75" i="5"/>
  <c r="BM201" i="7"/>
  <c r="BM75" i="7"/>
  <c r="BQ192" i="10"/>
  <c r="BQ200" i="10"/>
  <c r="BQ25" i="10"/>
  <c r="BQ28" i="10" s="1"/>
  <c r="BR22" i="10" s="1"/>
  <c r="BQ167" i="10"/>
  <c r="BQ183" i="10"/>
  <c r="BQ179" i="10"/>
  <c r="BQ99" i="10"/>
  <c r="BQ175" i="10"/>
  <c r="BQ172" i="10"/>
  <c r="BQ178" i="10"/>
  <c r="BQ169" i="10"/>
  <c r="BQ181" i="10"/>
  <c r="BQ180" i="10"/>
  <c r="BQ170" i="10"/>
  <c r="BQ168" i="10"/>
  <c r="BQ176" i="10"/>
  <c r="BQ173" i="10"/>
  <c r="BQ177" i="10"/>
  <c r="BQ171" i="10"/>
  <c r="BQ174" i="10"/>
  <c r="BQ182" i="10"/>
  <c r="BQ76" i="10"/>
  <c r="BK47" i="5"/>
  <c r="BK58" i="5" s="1"/>
  <c r="BK87" i="5" s="1"/>
  <c r="BK191" i="5"/>
  <c r="BQ58" i="10"/>
  <c r="BQ87" i="10" s="1"/>
  <c r="BM47" i="7"/>
  <c r="BM191" i="7"/>
  <c r="BQ102" i="10"/>
  <c r="BQ101" i="10" l="1"/>
  <c r="BQ91" i="10"/>
  <c r="BM192" i="7"/>
  <c r="BM200" i="7"/>
  <c r="BM25" i="7"/>
  <c r="BM28" i="7" s="1"/>
  <c r="BN22" i="7" s="1"/>
  <c r="BM182" i="7"/>
  <c r="BM164" i="7"/>
  <c r="BM171" i="7"/>
  <c r="BM163" i="7"/>
  <c r="BM179" i="7"/>
  <c r="BM175" i="7"/>
  <c r="BM166" i="7"/>
  <c r="BM172" i="7"/>
  <c r="BM169" i="7"/>
  <c r="BM174" i="7"/>
  <c r="BM178" i="7"/>
  <c r="BM168" i="7"/>
  <c r="BM176" i="7"/>
  <c r="BM183" i="7"/>
  <c r="BM177" i="7"/>
  <c r="BM173" i="7"/>
  <c r="BM180" i="7"/>
  <c r="BM167" i="7"/>
  <c r="BM99" i="7"/>
  <c r="BM165" i="7"/>
  <c r="BM181" i="7"/>
  <c r="BM170" i="7"/>
  <c r="BM76" i="7"/>
  <c r="BK192" i="5"/>
  <c r="BM58" i="7"/>
  <c r="BM87" i="7" s="1"/>
  <c r="BR188" i="10"/>
  <c r="BQ57" i="10"/>
  <c r="BQ86" i="10" s="1"/>
  <c r="BK200" i="5"/>
  <c r="BK57" i="5"/>
  <c r="BK86" i="5" s="1"/>
  <c r="BK25" i="5"/>
  <c r="BK28" i="5" s="1"/>
  <c r="BL22" i="5" s="1"/>
  <c r="BK162" i="5"/>
  <c r="BK174" i="5"/>
  <c r="BK182" i="5"/>
  <c r="BK175" i="5"/>
  <c r="BK176" i="5"/>
  <c r="BK165" i="5"/>
  <c r="BK166" i="5"/>
  <c r="BK178" i="5"/>
  <c r="BK170" i="5"/>
  <c r="BK180" i="5"/>
  <c r="BK183" i="5"/>
  <c r="BK177" i="5"/>
  <c r="BK169" i="5"/>
  <c r="BK167" i="5"/>
  <c r="BK163" i="5"/>
  <c r="BK168" i="5"/>
  <c r="BK99" i="5"/>
  <c r="BK179" i="5"/>
  <c r="BK164" i="5"/>
  <c r="BK161" i="5"/>
  <c r="BK173" i="5"/>
  <c r="BK181" i="5"/>
  <c r="BK171" i="5"/>
  <c r="BK172" i="5"/>
  <c r="BK76" i="5"/>
  <c r="BQ100" i="10"/>
  <c r="BM102" i="7"/>
  <c r="BK102" i="5"/>
  <c r="BM57" i="7" l="1"/>
  <c r="BM86" i="7" s="1"/>
  <c r="BL188" i="5"/>
  <c r="BM91" i="7"/>
  <c r="BM101" i="7"/>
  <c r="BR190" i="10"/>
  <c r="BR193" i="10" s="1"/>
  <c r="BR194" i="10" s="1"/>
  <c r="BR46" i="10" s="1"/>
  <c r="BN188" i="7"/>
  <c r="BK100" i="5"/>
  <c r="BQ93" i="10"/>
  <c r="BK91" i="5"/>
  <c r="BK101" i="5"/>
  <c r="BM100" i="7"/>
  <c r="BR37" i="11" l="1"/>
  <c r="BR38" i="11" s="1"/>
  <c r="BR201" i="10"/>
  <c r="BR75" i="10"/>
  <c r="BN190" i="7"/>
  <c r="BN193" i="7" s="1"/>
  <c r="BN194" i="7" s="1"/>
  <c r="BN46" i="7" s="1"/>
  <c r="BM93" i="7"/>
  <c r="BK93" i="5"/>
  <c r="BL190" i="5"/>
  <c r="BR47" i="10"/>
  <c r="BR191" i="10"/>
  <c r="BN201" i="7" l="1"/>
  <c r="BN75" i="7"/>
  <c r="BR192" i="10"/>
  <c r="BL191" i="5"/>
  <c r="BR200" i="10"/>
  <c r="BR25" i="10"/>
  <c r="BR28" i="10" s="1"/>
  <c r="BS22" i="10" s="1"/>
  <c r="BR183" i="10"/>
  <c r="BR170" i="10"/>
  <c r="BR179" i="10"/>
  <c r="BR182" i="10"/>
  <c r="BR177" i="10"/>
  <c r="BR99" i="10"/>
  <c r="BR169" i="10"/>
  <c r="BR168" i="10"/>
  <c r="BR171" i="10"/>
  <c r="BR174" i="10"/>
  <c r="BR172" i="10"/>
  <c r="BR178" i="10"/>
  <c r="BR180" i="10"/>
  <c r="BR175" i="10"/>
  <c r="BR173" i="10"/>
  <c r="BR181" i="10"/>
  <c r="BR176" i="10"/>
  <c r="BR76" i="10"/>
  <c r="BR58" i="10"/>
  <c r="BR87" i="10" s="1"/>
  <c r="BL193" i="5"/>
  <c r="BL194" i="5" s="1"/>
  <c r="BL46" i="5" s="1"/>
  <c r="BN47" i="7"/>
  <c r="BN191" i="7"/>
  <c r="BR102" i="10"/>
  <c r="BL47" i="5" l="1"/>
  <c r="BN200" i="7"/>
  <c r="BN25" i="7"/>
  <c r="BN28" i="7" s="1"/>
  <c r="BO22" i="7" s="1"/>
  <c r="BN174" i="7"/>
  <c r="BN170" i="7"/>
  <c r="BN169" i="7"/>
  <c r="BN177" i="7"/>
  <c r="BN178" i="7"/>
  <c r="BN168" i="7"/>
  <c r="BN172" i="7"/>
  <c r="BN180" i="7"/>
  <c r="BN166" i="7"/>
  <c r="BN176" i="7"/>
  <c r="BN164" i="7"/>
  <c r="BN181" i="7"/>
  <c r="BN173" i="7"/>
  <c r="BN165" i="7"/>
  <c r="BN171" i="7"/>
  <c r="BN179" i="7"/>
  <c r="BN175" i="7"/>
  <c r="BN99" i="7"/>
  <c r="BN167" i="7"/>
  <c r="BN182" i="7"/>
  <c r="BN183" i="7"/>
  <c r="BN76" i="7"/>
  <c r="BR57" i="10"/>
  <c r="BR86" i="10" s="1"/>
  <c r="BN58" i="7"/>
  <c r="BN87" i="7" s="1"/>
  <c r="BL201" i="5"/>
  <c r="BL58" i="5"/>
  <c r="BL87" i="5" s="1"/>
  <c r="BL75" i="5"/>
  <c r="BL192" i="5"/>
  <c r="BR101" i="10"/>
  <c r="BR91" i="10"/>
  <c r="BN192" i="7"/>
  <c r="BS188" i="10"/>
  <c r="BR100" i="10"/>
  <c r="BN102" i="7"/>
  <c r="BN57" i="7" l="1"/>
  <c r="BN86" i="7" s="1"/>
  <c r="BR93" i="10"/>
  <c r="BN91" i="7"/>
  <c r="BN101" i="7"/>
  <c r="BL200" i="5"/>
  <c r="BL57" i="5"/>
  <c r="BL86" i="5" s="1"/>
  <c r="BL25" i="5"/>
  <c r="BL28" i="5" s="1"/>
  <c r="BM22" i="5" s="1"/>
  <c r="BL170" i="5"/>
  <c r="BL173" i="5"/>
  <c r="BL181" i="5"/>
  <c r="BL176" i="5"/>
  <c r="BL172" i="5"/>
  <c r="BL162" i="5"/>
  <c r="BL165" i="5"/>
  <c r="BL174" i="5"/>
  <c r="BL182" i="5"/>
  <c r="BL168" i="5"/>
  <c r="BL163" i="5"/>
  <c r="BL175" i="5"/>
  <c r="BL183" i="5"/>
  <c r="BL171" i="5"/>
  <c r="BL167" i="5"/>
  <c r="BL164" i="5"/>
  <c r="BL99" i="5"/>
  <c r="BL169" i="5"/>
  <c r="BL180" i="5"/>
  <c r="BL166" i="5"/>
  <c r="BL177" i="5"/>
  <c r="BL178" i="5"/>
  <c r="BL179" i="5"/>
  <c r="BL76" i="5"/>
  <c r="BS190" i="10"/>
  <c r="BS193" i="10" s="1"/>
  <c r="BS194" i="10" s="1"/>
  <c r="BS46" i="10" s="1"/>
  <c r="BO188" i="7"/>
  <c r="BN100" i="7"/>
  <c r="BL102" i="5"/>
  <c r="BS37" i="11" l="1"/>
  <c r="BS38" i="11" s="1"/>
  <c r="BS201" i="10"/>
  <c r="BS75" i="10"/>
  <c r="BS47" i="10"/>
  <c r="BS58" i="10" s="1"/>
  <c r="BS87" i="10" s="1"/>
  <c r="BS191" i="10"/>
  <c r="BL100" i="5"/>
  <c r="BL91" i="5"/>
  <c r="BL101" i="5"/>
  <c r="BN93" i="7"/>
  <c r="BM188" i="5"/>
  <c r="BO190" i="7"/>
  <c r="BS192" i="10" l="1"/>
  <c r="BL93" i="5"/>
  <c r="BS200" i="10"/>
  <c r="BS57" i="10"/>
  <c r="BS86" i="10" s="1"/>
  <c r="BS25" i="10"/>
  <c r="BS28" i="10" s="1"/>
  <c r="BT22" i="10" s="1"/>
  <c r="BS177" i="10"/>
  <c r="BS183" i="10"/>
  <c r="BS172" i="10"/>
  <c r="BS176" i="10"/>
  <c r="BS174" i="10"/>
  <c r="BS171" i="10"/>
  <c r="BS175" i="10"/>
  <c r="BS99" i="10"/>
  <c r="BS181" i="10"/>
  <c r="BS178" i="10"/>
  <c r="BS173" i="10"/>
  <c r="BS180" i="10"/>
  <c r="BS169" i="10"/>
  <c r="BS170" i="10"/>
  <c r="BS182" i="10"/>
  <c r="BS179" i="10"/>
  <c r="BS76" i="10"/>
  <c r="BO191" i="7"/>
  <c r="BO193" i="7"/>
  <c r="BO194" i="7" s="1"/>
  <c r="BO46" i="7" s="1"/>
  <c r="BM190" i="5"/>
  <c r="BM193" i="5" s="1"/>
  <c r="BM194" i="5" s="1"/>
  <c r="BM46" i="5" s="1"/>
  <c r="BS102" i="10"/>
  <c r="BM201" i="5" l="1"/>
  <c r="BM75" i="5"/>
  <c r="BO201" i="7"/>
  <c r="BO75" i="7"/>
  <c r="BO47" i="7"/>
  <c r="BS101" i="10"/>
  <c r="BS91" i="10"/>
  <c r="BO192" i="7"/>
  <c r="BM47" i="5"/>
  <c r="BM191" i="5"/>
  <c r="BS100" i="10"/>
  <c r="BT188" i="10"/>
  <c r="BM200" i="5" l="1"/>
  <c r="BM25" i="5"/>
  <c r="BM28" i="5" s="1"/>
  <c r="BN22" i="5" s="1"/>
  <c r="BM170" i="5"/>
  <c r="BM172" i="5"/>
  <c r="BM178" i="5"/>
  <c r="BM181" i="5"/>
  <c r="BM174" i="5"/>
  <c r="BM175" i="5"/>
  <c r="BM168" i="5"/>
  <c r="BM167" i="5"/>
  <c r="BM179" i="5"/>
  <c r="BM165" i="5"/>
  <c r="BM163" i="5"/>
  <c r="BM169" i="5"/>
  <c r="BM171" i="5"/>
  <c r="BM164" i="5"/>
  <c r="BM180" i="5"/>
  <c r="BM182" i="5"/>
  <c r="BM183" i="5"/>
  <c r="BM173" i="5"/>
  <c r="BM99" i="5"/>
  <c r="BM166" i="5"/>
  <c r="BM176" i="5"/>
  <c r="BM177" i="5"/>
  <c r="BM76" i="5"/>
  <c r="BO200" i="7"/>
  <c r="BO25" i="7"/>
  <c r="BO28" i="7" s="1"/>
  <c r="BP22" i="7" s="1"/>
  <c r="BO169" i="7"/>
  <c r="BO178" i="7"/>
  <c r="BO182" i="7"/>
  <c r="BO174" i="7"/>
  <c r="BO170" i="7"/>
  <c r="BO183" i="7"/>
  <c r="BO180" i="7"/>
  <c r="BO167" i="7"/>
  <c r="BO179" i="7"/>
  <c r="BO99" i="7"/>
  <c r="BO165" i="7"/>
  <c r="BO177" i="7"/>
  <c r="BO181" i="7"/>
  <c r="BO171" i="7"/>
  <c r="BO166" i="7"/>
  <c r="BO168" i="7"/>
  <c r="BO176" i="7"/>
  <c r="BO175" i="7"/>
  <c r="BO172" i="7"/>
  <c r="BO173" i="7"/>
  <c r="BO76" i="7"/>
  <c r="BT190" i="10"/>
  <c r="BT193" i="10" s="1"/>
  <c r="BT194" i="10" s="1"/>
  <c r="BT46" i="10" s="1"/>
  <c r="BM58" i="5"/>
  <c r="BM87" i="5" s="1"/>
  <c r="BO58" i="7"/>
  <c r="BO87" i="7" s="1"/>
  <c r="BS93" i="10"/>
  <c r="BM192" i="5"/>
  <c r="BO102" i="7"/>
  <c r="BM102" i="5"/>
  <c r="BO57" i="7" l="1"/>
  <c r="BO86" i="7" s="1"/>
  <c r="BM100" i="5"/>
  <c r="BT47" i="10"/>
  <c r="BT58" i="10" s="1"/>
  <c r="BT87" i="10" s="1"/>
  <c r="BT191" i="10"/>
  <c r="BP188" i="7"/>
  <c r="BM91" i="5"/>
  <c r="BM101" i="5"/>
  <c r="BM57" i="5"/>
  <c r="BM86" i="5" s="1"/>
  <c r="BN188" i="5"/>
  <c r="BT37" i="11"/>
  <c r="BT38" i="11" s="1"/>
  <c r="BT201" i="10"/>
  <c r="BT75" i="10"/>
  <c r="BO91" i="7"/>
  <c r="BO101" i="7"/>
  <c r="BO100" i="7"/>
  <c r="BP190" i="7" l="1"/>
  <c r="BP193" i="7" s="1"/>
  <c r="BP194" i="7" s="1"/>
  <c r="BP46" i="7" s="1"/>
  <c r="BT192" i="10"/>
  <c r="BT200" i="10"/>
  <c r="BT57" i="10"/>
  <c r="BT86" i="10" s="1"/>
  <c r="BT25" i="10"/>
  <c r="BT28" i="10" s="1"/>
  <c r="BU22" i="10" s="1"/>
  <c r="BT99" i="10"/>
  <c r="BT171" i="10"/>
  <c r="BT174" i="10"/>
  <c r="BT173" i="10"/>
  <c r="BT177" i="10"/>
  <c r="BT181" i="10"/>
  <c r="BT176" i="10"/>
  <c r="BT182" i="10"/>
  <c r="BT180" i="10"/>
  <c r="BT175" i="10"/>
  <c r="BT183" i="10"/>
  <c r="BT170" i="10"/>
  <c r="BT178" i="10"/>
  <c r="BT179" i="10"/>
  <c r="BT172" i="10"/>
  <c r="BT76" i="10"/>
  <c r="BO93" i="7"/>
  <c r="BN190" i="5"/>
  <c r="BN193" i="5" s="1"/>
  <c r="BN194" i="5" s="1"/>
  <c r="BN46" i="5" s="1"/>
  <c r="BM93" i="5"/>
  <c r="BT102" i="10"/>
  <c r="BP201" i="7" l="1"/>
  <c r="BP75" i="7"/>
  <c r="BN201" i="5"/>
  <c r="BN75" i="5"/>
  <c r="BN47" i="5"/>
  <c r="BN191" i="5"/>
  <c r="BU188" i="10"/>
  <c r="BP47" i="7"/>
  <c r="BP58" i="7" s="1"/>
  <c r="BP87" i="7" s="1"/>
  <c r="BP191" i="7"/>
  <c r="BT101" i="10"/>
  <c r="BT91" i="10"/>
  <c r="BT100" i="10"/>
  <c r="BN192" i="5" l="1"/>
  <c r="BN200" i="5"/>
  <c r="BN25" i="5"/>
  <c r="BN28" i="5" s="1"/>
  <c r="BO22" i="5" s="1"/>
  <c r="BN164" i="5"/>
  <c r="BN169" i="5"/>
  <c r="BN179" i="5"/>
  <c r="BN167" i="5"/>
  <c r="BN180" i="5"/>
  <c r="BN172" i="5"/>
  <c r="BN166" i="5"/>
  <c r="BN171" i="5"/>
  <c r="BN174" i="5"/>
  <c r="BN183" i="5"/>
  <c r="BN176" i="5"/>
  <c r="BN168" i="5"/>
  <c r="BN99" i="5"/>
  <c r="BN182" i="5"/>
  <c r="BN175" i="5"/>
  <c r="BN181" i="5"/>
  <c r="BN173" i="5"/>
  <c r="BN165" i="5"/>
  <c r="BN170" i="5"/>
  <c r="BN177" i="5"/>
  <c r="BN178" i="5"/>
  <c r="BN76" i="5"/>
  <c r="BN58" i="5"/>
  <c r="BN87" i="5" s="1"/>
  <c r="BP192" i="7"/>
  <c r="BU190" i="10"/>
  <c r="BP200" i="7"/>
  <c r="BP57" i="7"/>
  <c r="BP86" i="7" s="1"/>
  <c r="BP25" i="7"/>
  <c r="BP28" i="7" s="1"/>
  <c r="BQ22" i="7" s="1"/>
  <c r="BP180" i="7"/>
  <c r="BP174" i="7"/>
  <c r="BP99" i="7"/>
  <c r="BP181" i="7"/>
  <c r="BP166" i="7"/>
  <c r="BP170" i="7"/>
  <c r="BP175" i="7"/>
  <c r="BP167" i="7"/>
  <c r="BP173" i="7"/>
  <c r="BP182" i="7"/>
  <c r="BP179" i="7"/>
  <c r="BP183" i="7"/>
  <c r="BP168" i="7"/>
  <c r="BP178" i="7"/>
  <c r="BP169" i="7"/>
  <c r="BP172" i="7"/>
  <c r="BP176" i="7"/>
  <c r="BP171" i="7"/>
  <c r="BP177" i="7"/>
  <c r="BP76" i="7"/>
  <c r="BT93" i="10"/>
  <c r="BN102" i="5"/>
  <c r="BP102" i="7"/>
  <c r="BP100" i="7" l="1"/>
  <c r="BP91" i="7"/>
  <c r="BP101" i="7"/>
  <c r="BO188" i="5"/>
  <c r="BU191" i="10"/>
  <c r="BN57" i="5"/>
  <c r="BN86" i="5" s="1"/>
  <c r="BU193" i="10"/>
  <c r="BU194" i="10" s="1"/>
  <c r="BU46" i="10" s="1"/>
  <c r="BN100" i="5"/>
  <c r="BN91" i="5"/>
  <c r="BN101" i="5"/>
  <c r="BQ188" i="7"/>
  <c r="BU47" i="10" l="1"/>
  <c r="BP93" i="7"/>
  <c r="BQ190" i="7"/>
  <c r="BQ193" i="7" s="1"/>
  <c r="BQ194" i="7" s="1"/>
  <c r="BQ46" i="7" s="1"/>
  <c r="BU200" i="10"/>
  <c r="BU25" i="10"/>
  <c r="BU28" i="10" s="1"/>
  <c r="BV22" i="10" s="1"/>
  <c r="BU99" i="10"/>
  <c r="BU179" i="10"/>
  <c r="BU173" i="10"/>
  <c r="BU178" i="10"/>
  <c r="BU182" i="10"/>
  <c r="BU177" i="10"/>
  <c r="BU174" i="10"/>
  <c r="BU171" i="10"/>
  <c r="BU180" i="10"/>
  <c r="BU181" i="10"/>
  <c r="BU176" i="10"/>
  <c r="BU172" i="10"/>
  <c r="BU183" i="10"/>
  <c r="BU175" i="10"/>
  <c r="BU76" i="10"/>
  <c r="BO190" i="5"/>
  <c r="BN93" i="5"/>
  <c r="BU37" i="11"/>
  <c r="BU38" i="11" s="1"/>
  <c r="BU201" i="10"/>
  <c r="BU58" i="10"/>
  <c r="BU87" i="10" s="1"/>
  <c r="BU75" i="10"/>
  <c r="BU192" i="10"/>
  <c r="BU102" i="10"/>
  <c r="BQ201" i="7" l="1"/>
  <c r="BQ75" i="7"/>
  <c r="BU91" i="10"/>
  <c r="BU101" i="10"/>
  <c r="BU57" i="10"/>
  <c r="BU86" i="10" s="1"/>
  <c r="BV188" i="10"/>
  <c r="BQ47" i="7"/>
  <c r="BQ191" i="7"/>
  <c r="BO191" i="5"/>
  <c r="BO193" i="5"/>
  <c r="BO194" i="5" s="1"/>
  <c r="BO46" i="5" s="1"/>
  <c r="BU100" i="10"/>
  <c r="BO47" i="5" l="1"/>
  <c r="BO200" i="5" s="1"/>
  <c r="BO25" i="5"/>
  <c r="BO28" i="5" s="1"/>
  <c r="BP22" i="5" s="1"/>
  <c r="BO173" i="5"/>
  <c r="BO179" i="5"/>
  <c r="BO168" i="5"/>
  <c r="BO180" i="5"/>
  <c r="BO171" i="5"/>
  <c r="BO181" i="5"/>
  <c r="BO175" i="5"/>
  <c r="BO99" i="5"/>
  <c r="BO170" i="5"/>
  <c r="BO176" i="5"/>
  <c r="BO167" i="5"/>
  <c r="BO166" i="5"/>
  <c r="BO182" i="5"/>
  <c r="BO183" i="5"/>
  <c r="BO177" i="5"/>
  <c r="BO165" i="5"/>
  <c r="BO172" i="5"/>
  <c r="BO178" i="5"/>
  <c r="BO174" i="5"/>
  <c r="BO169" i="5"/>
  <c r="BO76" i="5"/>
  <c r="BQ192" i="7"/>
  <c r="BV190" i="10"/>
  <c r="BQ200" i="7"/>
  <c r="BQ25" i="7"/>
  <c r="BQ28" i="7" s="1"/>
  <c r="BR22" i="7" s="1"/>
  <c r="BQ172" i="7"/>
  <c r="BQ169" i="7"/>
  <c r="BQ182" i="7"/>
  <c r="BQ176" i="7"/>
  <c r="BQ175" i="7"/>
  <c r="BQ180" i="7"/>
  <c r="BQ174" i="7"/>
  <c r="BQ178" i="7"/>
  <c r="BQ99" i="7"/>
  <c r="BQ168" i="7"/>
  <c r="BQ183" i="7"/>
  <c r="BQ177" i="7"/>
  <c r="BQ173" i="7"/>
  <c r="BQ167" i="7"/>
  <c r="BQ179" i="7"/>
  <c r="BQ181" i="7"/>
  <c r="BQ171" i="7"/>
  <c r="BQ170" i="7"/>
  <c r="BQ76" i="7"/>
  <c r="BU93" i="10"/>
  <c r="BQ58" i="7"/>
  <c r="BQ87" i="7" s="1"/>
  <c r="BO192" i="5"/>
  <c r="BO201" i="5"/>
  <c r="BO58" i="5"/>
  <c r="BO87" i="5" s="1"/>
  <c r="BO75" i="5"/>
  <c r="BO102" i="5"/>
  <c r="BQ102" i="7"/>
  <c r="BQ101" i="7" l="1"/>
  <c r="BQ91" i="7"/>
  <c r="BV191" i="10"/>
  <c r="BQ100" i="7"/>
  <c r="BV193" i="10"/>
  <c r="BV194" i="10" s="1"/>
  <c r="BV46" i="10" s="1"/>
  <c r="BO100" i="5"/>
  <c r="BO57" i="5"/>
  <c r="BO86" i="5" s="1"/>
  <c r="BR188" i="7"/>
  <c r="BQ57" i="7"/>
  <c r="BQ86" i="7" s="1"/>
  <c r="BP188" i="5"/>
  <c r="BO91" i="5"/>
  <c r="BO101" i="5"/>
  <c r="BV47" i="10" l="1"/>
  <c r="BV200" i="10" s="1"/>
  <c r="BV25" i="10"/>
  <c r="BV28" i="10" s="1"/>
  <c r="BW22" i="10" s="1"/>
  <c r="BV182" i="10"/>
  <c r="BV176" i="10"/>
  <c r="BV180" i="10"/>
  <c r="BV172" i="10"/>
  <c r="BV174" i="10"/>
  <c r="BV181" i="10"/>
  <c r="BV183" i="10"/>
  <c r="BV175" i="10"/>
  <c r="BV178" i="10"/>
  <c r="BV177" i="10"/>
  <c r="BV179" i="10"/>
  <c r="BV173" i="10"/>
  <c r="BV76" i="10"/>
  <c r="BO93" i="5"/>
  <c r="BV192" i="10"/>
  <c r="BV37" i="11"/>
  <c r="BV38" i="11" s="1"/>
  <c r="BV201" i="10"/>
  <c r="BV58" i="10"/>
  <c r="BV87" i="10" s="1"/>
  <c r="BV75" i="10"/>
  <c r="BR190" i="7"/>
  <c r="BR193" i="7" s="1"/>
  <c r="BR194" i="7" s="1"/>
  <c r="BR46" i="7" s="1"/>
  <c r="BP190" i="5"/>
  <c r="BQ93" i="7"/>
  <c r="BV99" i="10" l="1"/>
  <c r="BV100" i="10"/>
  <c r="BV101" i="10"/>
  <c r="BV91" i="10"/>
  <c r="BV57" i="10"/>
  <c r="BV86" i="10" s="1"/>
  <c r="BR201" i="7"/>
  <c r="BR75" i="7"/>
  <c r="BP191" i="5"/>
  <c r="BW188" i="10"/>
  <c r="BP193" i="5"/>
  <c r="BP194" i="5" s="1"/>
  <c r="BP46" i="5" s="1"/>
  <c r="BR47" i="7"/>
  <c r="BR58" i="7" s="1"/>
  <c r="BR87" i="7" s="1"/>
  <c r="BR191" i="7"/>
  <c r="BV102" i="10"/>
  <c r="BP201" i="5" l="1"/>
  <c r="BP75" i="5"/>
  <c r="BW190" i="10"/>
  <c r="BP47" i="5"/>
  <c r="BR192" i="7"/>
  <c r="BP192" i="5"/>
  <c r="BR200" i="7"/>
  <c r="BR57" i="7"/>
  <c r="BR86" i="7" s="1"/>
  <c r="BR25" i="7"/>
  <c r="BR28" i="7" s="1"/>
  <c r="BS22" i="7" s="1"/>
  <c r="BR176" i="7"/>
  <c r="BR168" i="7"/>
  <c r="BR182" i="7"/>
  <c r="BR169" i="7"/>
  <c r="BR178" i="7"/>
  <c r="BR175" i="7"/>
  <c r="BR170" i="7"/>
  <c r="BR99" i="7"/>
  <c r="BR183" i="7"/>
  <c r="BR177" i="7"/>
  <c r="BR171" i="7"/>
  <c r="BR173" i="7"/>
  <c r="BR181" i="7"/>
  <c r="BR180" i="7"/>
  <c r="BR172" i="7"/>
  <c r="BR174" i="7"/>
  <c r="BR179" i="7"/>
  <c r="BR76" i="7"/>
  <c r="BV93" i="10"/>
  <c r="BR102" i="7"/>
  <c r="BP200" i="5" l="1"/>
  <c r="BP25" i="5"/>
  <c r="BP28" i="5" s="1"/>
  <c r="BQ22" i="5" s="1"/>
  <c r="BP167" i="5"/>
  <c r="BP181" i="5"/>
  <c r="BP170" i="5"/>
  <c r="BP172" i="5"/>
  <c r="BP182" i="5"/>
  <c r="BP168" i="5"/>
  <c r="BP99" i="5"/>
  <c r="BP177" i="5"/>
  <c r="BP179" i="5"/>
  <c r="BP171" i="5"/>
  <c r="BP178" i="5"/>
  <c r="BP166" i="5"/>
  <c r="BP175" i="5"/>
  <c r="BP183" i="5"/>
  <c r="BP176" i="5"/>
  <c r="BP173" i="5"/>
  <c r="BP180" i="5"/>
  <c r="BP169" i="5"/>
  <c r="BP174" i="5"/>
  <c r="BP76" i="5"/>
  <c r="BR101" i="7"/>
  <c r="BR91" i="7"/>
  <c r="BW191" i="10"/>
  <c r="BR100" i="7"/>
  <c r="BP58" i="5"/>
  <c r="BP87" i="5" s="1"/>
  <c r="BW193" i="10"/>
  <c r="BW194" i="10" s="1"/>
  <c r="BW46" i="10" s="1"/>
  <c r="BS188" i="7"/>
  <c r="BP102" i="5"/>
  <c r="BW47" i="10" l="1"/>
  <c r="BP101" i="5"/>
  <c r="BP91" i="5"/>
  <c r="BS190" i="7"/>
  <c r="BP100" i="5"/>
  <c r="BP57" i="5"/>
  <c r="BP86" i="5" s="1"/>
  <c r="BW200" i="10"/>
  <c r="BW25" i="10"/>
  <c r="BW28" i="10" s="1"/>
  <c r="BX22" i="10" s="1"/>
  <c r="BW173" i="10"/>
  <c r="BW177" i="10"/>
  <c r="BW180" i="10"/>
  <c r="BW99" i="10"/>
  <c r="BW183" i="10"/>
  <c r="BW182" i="10"/>
  <c r="BW175" i="10"/>
  <c r="BW176" i="10"/>
  <c r="BW174" i="10"/>
  <c r="BW179" i="10"/>
  <c r="BW181" i="10"/>
  <c r="BW178" i="10"/>
  <c r="BW76" i="10"/>
  <c r="BQ188" i="5"/>
  <c r="BR93" i="7"/>
  <c r="BW192" i="10"/>
  <c r="BW37" i="11"/>
  <c r="BW38" i="11" s="1"/>
  <c r="BW201" i="10"/>
  <c r="BW58" i="10"/>
  <c r="BW87" i="10" s="1"/>
  <c r="BW75" i="10"/>
  <c r="BW102" i="10"/>
  <c r="BS191" i="7" l="1"/>
  <c r="BS193" i="7"/>
  <c r="BS194" i="7" s="1"/>
  <c r="BS46" i="7" s="1"/>
  <c r="BX188" i="10"/>
  <c r="BW57" i="10"/>
  <c r="BW86" i="10" s="1"/>
  <c r="BW101" i="10"/>
  <c r="BW91" i="10"/>
  <c r="BQ190" i="5"/>
  <c r="BW100" i="10"/>
  <c r="BP93" i="5"/>
  <c r="BQ191" i="5" l="1"/>
  <c r="BQ193" i="5"/>
  <c r="BQ194" i="5" s="1"/>
  <c r="BQ46" i="5" s="1"/>
  <c r="BX190" i="10"/>
  <c r="BS192" i="7"/>
  <c r="BS201" i="7"/>
  <c r="BS75" i="7"/>
  <c r="BW93" i="10"/>
  <c r="BS47" i="7"/>
  <c r="BX191" i="10" l="1"/>
  <c r="BS200" i="7"/>
  <c r="BS25" i="7"/>
  <c r="BS28" i="7" s="1"/>
  <c r="BT22" i="7" s="1"/>
  <c r="BS178" i="7"/>
  <c r="BS180" i="7"/>
  <c r="BS172" i="7"/>
  <c r="BS99" i="7"/>
  <c r="BS174" i="7"/>
  <c r="BS171" i="7"/>
  <c r="BS177" i="7"/>
  <c r="BS170" i="7"/>
  <c r="BS179" i="7"/>
  <c r="BS181" i="7"/>
  <c r="BS176" i="7"/>
  <c r="BS173" i="7"/>
  <c r="BS182" i="7"/>
  <c r="BS183" i="7"/>
  <c r="BS175" i="7"/>
  <c r="BS169" i="7"/>
  <c r="BS76" i="7"/>
  <c r="BQ201" i="5"/>
  <c r="BQ75" i="5"/>
  <c r="BX193" i="10"/>
  <c r="BX194" i="10" s="1"/>
  <c r="BX46" i="10" s="1"/>
  <c r="BS58" i="7"/>
  <c r="BS87" i="7" s="1"/>
  <c r="BQ192" i="5"/>
  <c r="BQ47" i="5"/>
  <c r="BS102" i="7"/>
  <c r="BS101" i="7" l="1"/>
  <c r="BS91" i="7"/>
  <c r="BT188" i="7"/>
  <c r="BS100" i="7"/>
  <c r="BX192" i="10"/>
  <c r="BX37" i="11"/>
  <c r="BX38" i="11" s="1"/>
  <c r="BX201" i="10"/>
  <c r="BX75" i="10"/>
  <c r="BS57" i="7"/>
  <c r="BS86" i="7" s="1"/>
  <c r="BQ200" i="5"/>
  <c r="BQ25" i="5"/>
  <c r="BQ28" i="5" s="1"/>
  <c r="BR22" i="5" s="1"/>
  <c r="BQ171" i="5"/>
  <c r="BQ178" i="5"/>
  <c r="BQ181" i="5"/>
  <c r="BQ170" i="5"/>
  <c r="BQ174" i="5"/>
  <c r="BQ179" i="5"/>
  <c r="BQ182" i="5"/>
  <c r="BQ183" i="5"/>
  <c r="BQ173" i="5"/>
  <c r="BQ180" i="5"/>
  <c r="BQ176" i="5"/>
  <c r="BQ168" i="5"/>
  <c r="BQ172" i="5"/>
  <c r="BQ169" i="5"/>
  <c r="BQ99" i="5"/>
  <c r="BQ175" i="5"/>
  <c r="BQ167" i="5"/>
  <c r="BQ177" i="5"/>
  <c r="BQ76" i="5"/>
  <c r="BQ58" i="5"/>
  <c r="BQ87" i="5" s="1"/>
  <c r="BX47" i="10"/>
  <c r="BX58" i="10" s="1"/>
  <c r="BX87" i="10" s="1"/>
  <c r="BQ102" i="5"/>
  <c r="BQ57" i="5" l="1"/>
  <c r="BQ86" i="5" s="1"/>
  <c r="BQ101" i="5"/>
  <c r="BQ91" i="5"/>
  <c r="BQ100" i="5"/>
  <c r="BR188" i="5"/>
  <c r="BT190" i="7"/>
  <c r="BX200" i="10"/>
  <c r="BX57" i="10"/>
  <c r="BX86" i="10" s="1"/>
  <c r="BX25" i="10"/>
  <c r="BX28" i="10" s="1"/>
  <c r="BY22" i="10" s="1"/>
  <c r="BX99" i="10"/>
  <c r="BX181" i="10"/>
  <c r="BX177" i="10"/>
  <c r="BX174" i="10"/>
  <c r="BX178" i="10"/>
  <c r="BX176" i="10"/>
  <c r="BX180" i="10"/>
  <c r="BX179" i="10"/>
  <c r="BX175" i="10"/>
  <c r="BX182" i="10"/>
  <c r="BX183" i="10"/>
  <c r="BX76" i="10"/>
  <c r="BS93" i="7"/>
  <c r="BX102" i="10"/>
  <c r="BQ93" i="5" l="1"/>
  <c r="BY188" i="10"/>
  <c r="BR190" i="5"/>
  <c r="BR193" i="5" s="1"/>
  <c r="BR194" i="5" s="1"/>
  <c r="BR46" i="5" s="1"/>
  <c r="BT191" i="7"/>
  <c r="BX101" i="10"/>
  <c r="BX91" i="10"/>
  <c r="BT193" i="7"/>
  <c r="BT194" i="7" s="1"/>
  <c r="BT46" i="7" s="1"/>
  <c r="BX100" i="10"/>
  <c r="BR201" i="5" l="1"/>
  <c r="BR75" i="5"/>
  <c r="BX93" i="10"/>
  <c r="BT192" i="7"/>
  <c r="BT201" i="7"/>
  <c r="BT75" i="7"/>
  <c r="BT47" i="7"/>
  <c r="BY190" i="10"/>
  <c r="BR47" i="5"/>
  <c r="BR191" i="5"/>
  <c r="BY191" i="10" l="1"/>
  <c r="BY193" i="10"/>
  <c r="BY194" i="10" s="1"/>
  <c r="BY46" i="10" s="1"/>
  <c r="BR200" i="5"/>
  <c r="BR25" i="5"/>
  <c r="BR28" i="5" s="1"/>
  <c r="BS22" i="5" s="1"/>
  <c r="BR172" i="5"/>
  <c r="BR178" i="5"/>
  <c r="BR173" i="5"/>
  <c r="BR182" i="5"/>
  <c r="BR183" i="5"/>
  <c r="BR170" i="5"/>
  <c r="BR179" i="5"/>
  <c r="BR99" i="5"/>
  <c r="BR180" i="5"/>
  <c r="BR177" i="5"/>
  <c r="BR169" i="5"/>
  <c r="BR181" i="5"/>
  <c r="BR176" i="5"/>
  <c r="BR168" i="5"/>
  <c r="BR174" i="5"/>
  <c r="BR171" i="5"/>
  <c r="BR175" i="5"/>
  <c r="BR76" i="5"/>
  <c r="BT200" i="7"/>
  <c r="BT25" i="7"/>
  <c r="BT28" i="7" s="1"/>
  <c r="BU22" i="7" s="1"/>
  <c r="BT99" i="7"/>
  <c r="BT177" i="7"/>
  <c r="BT172" i="7"/>
  <c r="BT178" i="7"/>
  <c r="BT183" i="7"/>
  <c r="BT180" i="7"/>
  <c r="BT176" i="7"/>
  <c r="BT182" i="7"/>
  <c r="BT173" i="7"/>
  <c r="BT174" i="7"/>
  <c r="BT175" i="7"/>
  <c r="BT179" i="7"/>
  <c r="BT181" i="7"/>
  <c r="BT171" i="7"/>
  <c r="BT170" i="7"/>
  <c r="BT76" i="7"/>
  <c r="BT58" i="7"/>
  <c r="BT87" i="7" s="1"/>
  <c r="BR58" i="5"/>
  <c r="BR87" i="5" s="1"/>
  <c r="BR192" i="5"/>
  <c r="BR102" i="5"/>
  <c r="BT102" i="7"/>
  <c r="BR57" i="5" l="1"/>
  <c r="BR86" i="5" s="1"/>
  <c r="BS188" i="5"/>
  <c r="BT100" i="7"/>
  <c r="BR100" i="5"/>
  <c r="BY37" i="11"/>
  <c r="BY38" i="11" s="1"/>
  <c r="BY201" i="10"/>
  <c r="BY75" i="10"/>
  <c r="BU188" i="7"/>
  <c r="BY192" i="10"/>
  <c r="BT101" i="7"/>
  <c r="BT91" i="7"/>
  <c r="BT57" i="7"/>
  <c r="BT86" i="7" s="1"/>
  <c r="BR101" i="5"/>
  <c r="BR91" i="5"/>
  <c r="BY47" i="10"/>
  <c r="BT93" i="7" l="1"/>
  <c r="BU190" i="7"/>
  <c r="BS190" i="5"/>
  <c r="BR93" i="5"/>
  <c r="BY200" i="10"/>
  <c r="BY25" i="10"/>
  <c r="BY28" i="10" s="1"/>
  <c r="BZ22" i="10" s="1"/>
  <c r="BY57" i="10"/>
  <c r="BY86" i="10" s="1"/>
  <c r="BY177" i="10"/>
  <c r="BY175" i="10"/>
  <c r="BY179" i="10"/>
  <c r="BY183" i="10"/>
  <c r="BY181" i="10"/>
  <c r="BY176" i="10"/>
  <c r="BY178" i="10"/>
  <c r="BY99" i="10"/>
  <c r="BY180" i="10"/>
  <c r="BY182" i="10"/>
  <c r="BY76" i="10"/>
  <c r="BY58" i="10"/>
  <c r="BY87" i="10" s="1"/>
  <c r="BY102" i="10"/>
  <c r="BY100" i="10" l="1"/>
  <c r="BU191" i="7"/>
  <c r="BU193" i="7"/>
  <c r="BU194" i="7" s="1"/>
  <c r="BU46" i="7" s="1"/>
  <c r="BS191" i="5"/>
  <c r="BS193" i="5"/>
  <c r="BS194" i="5" s="1"/>
  <c r="BS46" i="5" s="1"/>
  <c r="BZ188" i="10"/>
  <c r="BY101" i="10"/>
  <c r="BY91" i="10"/>
  <c r="BS47" i="5" l="1"/>
  <c r="BU201" i="7"/>
  <c r="BU75" i="7"/>
  <c r="BU192" i="7"/>
  <c r="BU47" i="7"/>
  <c r="BS192" i="5"/>
  <c r="BS200" i="5"/>
  <c r="BS25" i="5"/>
  <c r="BS28" i="5" s="1"/>
  <c r="BT22" i="5" s="1"/>
  <c r="BS170" i="5"/>
  <c r="BS172" i="5"/>
  <c r="BS99" i="5"/>
  <c r="BS179" i="5"/>
  <c r="BS174" i="5"/>
  <c r="BS180" i="5"/>
  <c r="BS173" i="5"/>
  <c r="BS176" i="5"/>
  <c r="BS182" i="5"/>
  <c r="BS169" i="5"/>
  <c r="BS177" i="5"/>
  <c r="BS181" i="5"/>
  <c r="BS178" i="5"/>
  <c r="BS175" i="5"/>
  <c r="BS171" i="5"/>
  <c r="BS183" i="5"/>
  <c r="BS76" i="5"/>
  <c r="BZ190" i="10"/>
  <c r="BS201" i="5"/>
  <c r="BS58" i="5"/>
  <c r="BS87" i="5" s="1"/>
  <c r="BS75" i="5"/>
  <c r="BY93" i="10"/>
  <c r="BS102" i="5"/>
  <c r="BS100" i="5" l="1"/>
  <c r="BS91" i="5"/>
  <c r="BS101" i="5"/>
  <c r="BU200" i="7"/>
  <c r="BU25" i="7"/>
  <c r="BU28" i="7" s="1"/>
  <c r="BV22" i="7" s="1"/>
  <c r="BU177" i="7"/>
  <c r="BU181" i="7"/>
  <c r="BU180" i="7"/>
  <c r="BU173" i="7"/>
  <c r="BU171" i="7"/>
  <c r="BU183" i="7"/>
  <c r="BU176" i="7"/>
  <c r="BU172" i="7"/>
  <c r="BU99" i="7"/>
  <c r="BU175" i="7"/>
  <c r="BU178" i="7"/>
  <c r="BU179" i="7"/>
  <c r="BU174" i="7"/>
  <c r="BU182" i="7"/>
  <c r="BU76" i="7"/>
  <c r="BT188" i="5"/>
  <c r="BS57" i="5"/>
  <c r="BS86" i="5" s="1"/>
  <c r="BZ47" i="10"/>
  <c r="BZ191" i="10"/>
  <c r="BU58" i="7"/>
  <c r="BU87" i="7" s="1"/>
  <c r="BZ193" i="10"/>
  <c r="BZ194" i="10" s="1"/>
  <c r="BZ46" i="10" s="1"/>
  <c r="BU102" i="7"/>
  <c r="BU91" i="7" l="1"/>
  <c r="BU101" i="7"/>
  <c r="BV188" i="7"/>
  <c r="BZ192" i="10"/>
  <c r="BU57" i="7"/>
  <c r="BU86" i="7" s="1"/>
  <c r="BZ200" i="10"/>
  <c r="BZ25" i="10"/>
  <c r="BZ28" i="10" s="1"/>
  <c r="CA22" i="10" s="1"/>
  <c r="BZ176" i="10"/>
  <c r="BZ177" i="10"/>
  <c r="BZ178" i="10"/>
  <c r="BZ181" i="10"/>
  <c r="BZ183" i="10"/>
  <c r="BZ179" i="10"/>
  <c r="BZ99" i="10"/>
  <c r="BZ182" i="10"/>
  <c r="BZ180" i="10"/>
  <c r="BZ76" i="10"/>
  <c r="BT190" i="5"/>
  <c r="BZ37" i="11"/>
  <c r="BZ38" i="11" s="1"/>
  <c r="BZ201" i="10"/>
  <c r="BZ58" i="10"/>
  <c r="BZ87" i="10" s="1"/>
  <c r="BZ75" i="10"/>
  <c r="BU100" i="7"/>
  <c r="BS93" i="5"/>
  <c r="BZ102" i="10"/>
  <c r="BZ101" i="10" l="1"/>
  <c r="BZ91" i="10"/>
  <c r="BV190" i="7"/>
  <c r="BV193" i="7" s="1"/>
  <c r="BV194" i="7" s="1"/>
  <c r="BV46" i="7" s="1"/>
  <c r="BZ100" i="10"/>
  <c r="CA188" i="10"/>
  <c r="BT191" i="5"/>
  <c r="BZ57" i="10"/>
  <c r="BZ86" i="10" s="1"/>
  <c r="BU93" i="7"/>
  <c r="BT193" i="5"/>
  <c r="BT194" i="5" s="1"/>
  <c r="BT46" i="5" s="1"/>
  <c r="BV201" i="7" l="1"/>
  <c r="BV75" i="7"/>
  <c r="BZ93" i="10"/>
  <c r="BT47" i="5"/>
  <c r="BV47" i="7"/>
  <c r="BV191" i="7"/>
  <c r="BT192" i="5"/>
  <c r="CA190" i="10"/>
  <c r="CA193" i="10" s="1"/>
  <c r="CA194" i="10" s="1"/>
  <c r="CA46" i="10" s="1"/>
  <c r="BT201" i="5"/>
  <c r="BT75" i="5"/>
  <c r="CA37" i="11" l="1"/>
  <c r="CA38" i="11" s="1"/>
  <c r="CA201" i="10"/>
  <c r="CA75" i="10"/>
  <c r="BV200" i="7"/>
  <c r="BV25" i="7"/>
  <c r="BV28" i="7" s="1"/>
  <c r="BW22" i="7" s="1"/>
  <c r="BV173" i="7"/>
  <c r="BV178" i="7"/>
  <c r="BV177" i="7"/>
  <c r="BV172" i="7"/>
  <c r="BV175" i="7"/>
  <c r="BV174" i="7"/>
  <c r="BV179" i="7"/>
  <c r="BV176" i="7"/>
  <c r="BV183" i="7"/>
  <c r="BV180" i="7"/>
  <c r="BV181" i="7"/>
  <c r="BV182" i="7"/>
  <c r="BV99" i="7"/>
  <c r="BV76" i="7"/>
  <c r="BT200" i="5"/>
  <c r="BT25" i="5"/>
  <c r="BT28" i="5" s="1"/>
  <c r="BU22" i="5" s="1"/>
  <c r="BT177" i="5"/>
  <c r="BT179" i="5"/>
  <c r="BT171" i="5"/>
  <c r="BT99" i="5"/>
  <c r="BT174" i="5"/>
  <c r="BT173" i="5"/>
  <c r="BT182" i="5"/>
  <c r="BT180" i="5"/>
  <c r="BT181" i="5"/>
  <c r="BT178" i="5"/>
  <c r="BT176" i="5"/>
  <c r="BT183" i="5"/>
  <c r="BT172" i="5"/>
  <c r="BT175" i="5"/>
  <c r="BT170" i="5"/>
  <c r="BT76" i="5"/>
  <c r="BV58" i="7"/>
  <c r="BV87" i="7" s="1"/>
  <c r="CA47" i="10"/>
  <c r="CA191" i="10"/>
  <c r="BT58" i="5"/>
  <c r="BT87" i="5" s="1"/>
  <c r="BV192" i="7"/>
  <c r="BV102" i="7"/>
  <c r="BT102" i="5"/>
  <c r="BV57" i="7" l="1"/>
  <c r="BV86" i="7" s="1"/>
  <c r="BW188" i="7"/>
  <c r="BT100" i="5"/>
  <c r="CA200" i="10"/>
  <c r="CA25" i="10"/>
  <c r="CA28" i="10" s="1"/>
  <c r="CB22" i="10" s="1"/>
  <c r="CA177" i="10"/>
  <c r="CA180" i="10"/>
  <c r="CA182" i="10"/>
  <c r="CA178" i="10"/>
  <c r="CA183" i="10"/>
  <c r="CA179" i="10"/>
  <c r="CA99" i="10"/>
  <c r="CA181" i="10"/>
  <c r="CA76" i="10"/>
  <c r="BV100" i="7"/>
  <c r="CA58" i="10"/>
  <c r="CA87" i="10" s="1"/>
  <c r="CA192" i="10"/>
  <c r="BU188" i="5"/>
  <c r="BV91" i="7"/>
  <c r="BV101" i="7"/>
  <c r="BT91" i="5"/>
  <c r="BT101" i="5"/>
  <c r="BT57" i="5"/>
  <c r="BT86" i="5" s="1"/>
  <c r="CA102" i="10"/>
  <c r="BU190" i="5" l="1"/>
  <c r="CA91" i="10"/>
  <c r="CA101" i="10"/>
  <c r="CA100" i="10"/>
  <c r="CB188" i="10"/>
  <c r="CA57" i="10"/>
  <c r="CA86" i="10" s="1"/>
  <c r="BT93" i="5"/>
  <c r="BW190" i="7"/>
  <c r="BV93" i="7"/>
  <c r="CA93" i="10" l="1"/>
  <c r="CB190" i="10"/>
  <c r="BU191" i="5"/>
  <c r="BW191" i="7"/>
  <c r="BW193" i="7"/>
  <c r="BW194" i="7" s="1"/>
  <c r="BW46" i="7" s="1"/>
  <c r="BU193" i="5"/>
  <c r="BU194" i="5" s="1"/>
  <c r="BU46" i="5" s="1"/>
  <c r="BU47" i="5" l="1"/>
  <c r="BW201" i="7"/>
  <c r="BW75" i="7"/>
  <c r="BU192" i="5"/>
  <c r="CB191" i="10"/>
  <c r="CB193" i="10"/>
  <c r="CB194" i="10" s="1"/>
  <c r="CB46" i="10" s="1"/>
  <c r="BW192" i="7"/>
  <c r="BU200" i="5"/>
  <c r="BU25" i="5"/>
  <c r="BU28" i="5" s="1"/>
  <c r="BV22" i="5" s="1"/>
  <c r="BU172" i="5"/>
  <c r="BU173" i="5"/>
  <c r="BU180" i="5"/>
  <c r="BU99" i="5"/>
  <c r="BU176" i="5"/>
  <c r="BU171" i="5"/>
  <c r="BU175" i="5"/>
  <c r="BU174" i="5"/>
  <c r="BU177" i="5"/>
  <c r="BU178" i="5"/>
  <c r="BU179" i="5"/>
  <c r="BU181" i="5"/>
  <c r="BU182" i="5"/>
  <c r="BU183" i="5"/>
  <c r="BU76" i="5"/>
  <c r="BU201" i="5"/>
  <c r="BU58" i="5"/>
  <c r="BU87" i="5" s="1"/>
  <c r="BU75" i="5"/>
  <c r="BW47" i="7"/>
  <c r="BU102" i="5"/>
  <c r="CB47" i="10" l="1"/>
  <c r="BU57" i="5"/>
  <c r="BU86" i="5" s="1"/>
  <c r="BU91" i="5"/>
  <c r="BU101" i="5"/>
  <c r="CB200" i="10"/>
  <c r="CB25" i="10"/>
  <c r="CB28" i="10" s="1"/>
  <c r="CC22" i="10" s="1"/>
  <c r="CB99" i="10"/>
  <c r="CB180" i="10"/>
  <c r="CB178" i="10"/>
  <c r="CB182" i="10"/>
  <c r="CB179" i="10"/>
  <c r="CB181" i="10"/>
  <c r="CB183" i="10"/>
  <c r="CB76" i="10"/>
  <c r="BW200" i="7"/>
  <c r="BW25" i="7"/>
  <c r="BW28" i="7" s="1"/>
  <c r="BX22" i="7" s="1"/>
  <c r="BW176" i="7"/>
  <c r="BW181" i="7"/>
  <c r="BW183" i="7"/>
  <c r="BW180" i="7"/>
  <c r="BW174" i="7"/>
  <c r="BW175" i="7"/>
  <c r="BW178" i="7"/>
  <c r="BW182" i="7"/>
  <c r="BW99" i="7"/>
  <c r="BW173" i="7"/>
  <c r="BW179" i="7"/>
  <c r="BW177" i="7"/>
  <c r="BW76" i="7"/>
  <c r="BU100" i="5"/>
  <c r="CB192" i="10"/>
  <c r="BW58" i="7"/>
  <c r="BW87" i="7" s="1"/>
  <c r="BV188" i="5"/>
  <c r="CB37" i="11"/>
  <c r="CB38" i="11" s="1"/>
  <c r="CB201" i="10"/>
  <c r="CB58" i="10"/>
  <c r="CB87" i="10" s="1"/>
  <c r="CB75" i="10"/>
  <c r="BW102" i="7"/>
  <c r="CB102" i="10"/>
  <c r="CB101" i="10" l="1"/>
  <c r="CB91" i="10"/>
  <c r="CB100" i="10"/>
  <c r="CC188" i="10"/>
  <c r="BW100" i="7"/>
  <c r="CB57" i="10"/>
  <c r="CB86" i="10" s="1"/>
  <c r="BV190" i="5"/>
  <c r="BX188" i="7"/>
  <c r="BU93" i="5"/>
  <c r="BW57" i="7"/>
  <c r="BW86" i="7" s="1"/>
  <c r="BW91" i="7"/>
  <c r="BW101" i="7"/>
  <c r="CC190" i="10" l="1"/>
  <c r="BX190" i="7"/>
  <c r="CB93" i="10"/>
  <c r="BV191" i="5"/>
  <c r="BW93" i="7"/>
  <c r="BV193" i="5"/>
  <c r="BV194" i="5" s="1"/>
  <c r="BV46" i="5" s="1"/>
  <c r="BV201" i="5" l="1"/>
  <c r="BV75" i="5"/>
  <c r="BX191" i="7"/>
  <c r="BX193" i="7"/>
  <c r="BX194" i="7" s="1"/>
  <c r="BX46" i="7" s="1"/>
  <c r="BV192" i="5"/>
  <c r="CC191" i="10"/>
  <c r="BV47" i="5"/>
  <c r="CC193" i="10"/>
  <c r="CC194" i="10" s="1"/>
  <c r="CC46" i="10" s="1"/>
  <c r="CC37" i="11" l="1"/>
  <c r="CC38" i="11" s="1"/>
  <c r="CC201" i="10"/>
  <c r="CC75" i="10"/>
  <c r="BV200" i="5"/>
  <c r="BV25" i="5"/>
  <c r="BV28" i="5" s="1"/>
  <c r="BW22" i="5" s="1"/>
  <c r="BV181" i="5"/>
  <c r="BV182" i="5"/>
  <c r="BV174" i="5"/>
  <c r="BV183" i="5"/>
  <c r="BV99" i="5"/>
  <c r="BV176" i="5"/>
  <c r="BV177" i="5"/>
  <c r="BV179" i="5"/>
  <c r="BV175" i="5"/>
  <c r="BV178" i="5"/>
  <c r="BV173" i="5"/>
  <c r="BV180" i="5"/>
  <c r="BV172" i="5"/>
  <c r="BV76" i="5"/>
  <c r="BX47" i="7"/>
  <c r="CC192" i="10"/>
  <c r="BV58" i="5"/>
  <c r="BV87" i="5" s="1"/>
  <c r="BX201" i="7"/>
  <c r="BX75" i="7"/>
  <c r="BX192" i="7"/>
  <c r="CC47" i="10"/>
  <c r="CC58" i="10" s="1"/>
  <c r="CC87" i="10" s="1"/>
  <c r="BV102" i="5"/>
  <c r="BV57" i="5" l="1"/>
  <c r="BV86" i="5" s="1"/>
  <c r="BX200" i="7"/>
  <c r="BX25" i="7"/>
  <c r="BX28" i="7" s="1"/>
  <c r="BY22" i="7" s="1"/>
  <c r="BX99" i="7"/>
  <c r="BX180" i="7"/>
  <c r="BX181" i="7"/>
  <c r="BX177" i="7"/>
  <c r="BX182" i="7"/>
  <c r="BX175" i="7"/>
  <c r="BX178" i="7"/>
  <c r="BX179" i="7"/>
  <c r="BX174" i="7"/>
  <c r="BX176" i="7"/>
  <c r="BX183" i="7"/>
  <c r="BX76" i="7"/>
  <c r="BV100" i="5"/>
  <c r="BW188" i="5"/>
  <c r="BV91" i="5"/>
  <c r="BV101" i="5"/>
  <c r="BX58" i="7"/>
  <c r="BX87" i="7" s="1"/>
  <c r="CC200" i="10"/>
  <c r="CC57" i="10"/>
  <c r="CC86" i="10" s="1"/>
  <c r="CC25" i="10"/>
  <c r="CC28" i="10" s="1"/>
  <c r="CD22" i="10" s="1"/>
  <c r="CC182" i="10"/>
  <c r="CC99" i="10"/>
  <c r="CC183" i="10"/>
  <c r="CC180" i="10"/>
  <c r="CC181" i="10"/>
  <c r="CC179" i="10"/>
  <c r="CC76" i="10"/>
  <c r="CC102" i="10"/>
  <c r="BX102" i="7"/>
  <c r="CC101" i="10" l="1"/>
  <c r="CC91" i="10"/>
  <c r="BW190" i="5"/>
  <c r="BW193" i="5" s="1"/>
  <c r="BW194" i="5" s="1"/>
  <c r="BW46" i="5" s="1"/>
  <c r="CD188" i="10"/>
  <c r="BX100" i="7"/>
  <c r="BY188" i="7"/>
  <c r="BX57" i="7"/>
  <c r="BX86" i="7" s="1"/>
  <c r="BV93" i="5"/>
  <c r="CC100" i="10"/>
  <c r="BX91" i="7"/>
  <c r="BX101" i="7"/>
  <c r="BW201" i="5" l="1"/>
  <c r="BW75" i="5"/>
  <c r="BY190" i="7"/>
  <c r="BX93" i="7"/>
  <c r="CC93" i="10"/>
  <c r="BW47" i="5"/>
  <c r="BW58" i="5" s="1"/>
  <c r="BW87" i="5" s="1"/>
  <c r="BW191" i="5"/>
  <c r="CD190" i="10"/>
  <c r="CD193" i="10" s="1"/>
  <c r="CD194" i="10" s="1"/>
  <c r="CD46" i="10" s="1"/>
  <c r="CD47" i="10" l="1"/>
  <c r="CD191" i="10"/>
  <c r="BY191" i="7"/>
  <c r="CD37" i="11"/>
  <c r="CD38" i="11" s="1"/>
  <c r="CD201" i="10"/>
  <c r="CD75" i="10"/>
  <c r="BW192" i="5"/>
  <c r="BY193" i="7"/>
  <c r="BY194" i="7" s="1"/>
  <c r="BY46" i="7" s="1"/>
  <c r="BW200" i="5"/>
  <c r="BW57" i="5"/>
  <c r="BW86" i="5" s="1"/>
  <c r="BW25" i="5"/>
  <c r="BW28" i="5" s="1"/>
  <c r="BX22" i="5" s="1"/>
  <c r="BW173" i="5"/>
  <c r="BW182" i="5"/>
  <c r="BW175" i="5"/>
  <c r="BW174" i="5"/>
  <c r="BW180" i="5"/>
  <c r="BW183" i="5"/>
  <c r="BW177" i="5"/>
  <c r="BW99" i="5"/>
  <c r="BW179" i="5"/>
  <c r="BW178" i="5"/>
  <c r="BW176" i="5"/>
  <c r="BW181" i="5"/>
  <c r="BW76" i="5"/>
  <c r="BW102" i="5"/>
  <c r="BW101" i="5" l="1"/>
  <c r="BW91" i="5"/>
  <c r="BY201" i="7"/>
  <c r="BY75" i="7"/>
  <c r="BY192" i="7"/>
  <c r="BY47" i="7"/>
  <c r="BY58" i="7" s="1"/>
  <c r="BY87" i="7" s="1"/>
  <c r="CD192" i="10"/>
  <c r="BW100" i="5"/>
  <c r="CD200" i="10"/>
  <c r="CD25" i="10"/>
  <c r="CD28" i="10" s="1"/>
  <c r="CE22" i="10" s="1"/>
  <c r="CD182" i="10"/>
  <c r="CD180" i="10"/>
  <c r="CD183" i="10"/>
  <c r="CD99" i="10"/>
  <c r="CD181" i="10"/>
  <c r="CD76" i="10"/>
  <c r="BX188" i="5"/>
  <c r="CD58" i="10"/>
  <c r="CD87" i="10" s="1"/>
  <c r="CD102" i="10"/>
  <c r="BW93" i="5" l="1"/>
  <c r="BY200" i="7"/>
  <c r="BY57" i="7"/>
  <c r="BY86" i="7" s="1"/>
  <c r="BY25" i="7"/>
  <c r="BY28" i="7" s="1"/>
  <c r="BZ22" i="7" s="1"/>
  <c r="BY181" i="7"/>
  <c r="BY179" i="7"/>
  <c r="BY178" i="7"/>
  <c r="BY177" i="7"/>
  <c r="BY182" i="7"/>
  <c r="BY99" i="7"/>
  <c r="BY176" i="7"/>
  <c r="BY175" i="7"/>
  <c r="BY183" i="7"/>
  <c r="BY180" i="7"/>
  <c r="BY76" i="7"/>
  <c r="CD101" i="10"/>
  <c r="CD91" i="10"/>
  <c r="BX190" i="5"/>
  <c r="BX193" i="5" s="1"/>
  <c r="BX194" i="5" s="1"/>
  <c r="BX46" i="5" s="1"/>
  <c r="CE188" i="10"/>
  <c r="CD57" i="10"/>
  <c r="CD86" i="10" s="1"/>
  <c r="CD100" i="10"/>
  <c r="BY102" i="7"/>
  <c r="BX201" i="5" l="1"/>
  <c r="BX75" i="5"/>
  <c r="BY100" i="7"/>
  <c r="CE190" i="10"/>
  <c r="CD93" i="10"/>
  <c r="BY101" i="7"/>
  <c r="BY91" i="7"/>
  <c r="BX47" i="5"/>
  <c r="BX191" i="5"/>
  <c r="BZ188" i="7"/>
  <c r="BX200" i="5" l="1"/>
  <c r="BX25" i="5"/>
  <c r="BX28" i="5" s="1"/>
  <c r="BY22" i="5" s="1"/>
  <c r="BX175" i="5"/>
  <c r="BX179" i="5"/>
  <c r="BX174" i="5"/>
  <c r="BX177" i="5"/>
  <c r="BX183" i="5"/>
  <c r="BX176" i="5"/>
  <c r="BX182" i="5"/>
  <c r="BX181" i="5"/>
  <c r="BX99" i="5"/>
  <c r="BX180" i="5"/>
  <c r="BX178" i="5"/>
  <c r="BX76" i="5"/>
  <c r="CE191" i="10"/>
  <c r="CE193" i="10"/>
  <c r="CE194" i="10" s="1"/>
  <c r="CE46" i="10" s="1"/>
  <c r="BY93" i="7"/>
  <c r="BX58" i="5"/>
  <c r="BX87" i="5" s="1"/>
  <c r="BZ190" i="7"/>
  <c r="BX192" i="5"/>
  <c r="BX102" i="5"/>
  <c r="BX101" i="5" l="1"/>
  <c r="BX91" i="5"/>
  <c r="CE37" i="11"/>
  <c r="CE38" i="11" s="1"/>
  <c r="CE201" i="10"/>
  <c r="CE75" i="10"/>
  <c r="BY188" i="5"/>
  <c r="CE192" i="10"/>
  <c r="BX100" i="5"/>
  <c r="BZ191" i="7"/>
  <c r="BX57" i="5"/>
  <c r="BX86" i="5" s="1"/>
  <c r="BZ193" i="7"/>
  <c r="BZ194" i="7" s="1"/>
  <c r="BZ46" i="7" s="1"/>
  <c r="CE47" i="10"/>
  <c r="CE58" i="10" s="1"/>
  <c r="CE87" i="10" s="1"/>
  <c r="BZ47" i="7" l="1"/>
  <c r="BZ200" i="7" s="1"/>
  <c r="BZ25" i="7"/>
  <c r="BZ28" i="7" s="1"/>
  <c r="CA22" i="7" s="1"/>
  <c r="BZ180" i="7"/>
  <c r="BZ182" i="7"/>
  <c r="BZ183" i="7"/>
  <c r="BZ176" i="7"/>
  <c r="BZ179" i="7"/>
  <c r="BZ177" i="7"/>
  <c r="BZ178" i="7"/>
  <c r="BZ99" i="7"/>
  <c r="BZ181" i="7"/>
  <c r="BZ76" i="7"/>
  <c r="BY190" i="5"/>
  <c r="BY193" i="5" s="1"/>
  <c r="BY194" i="5" s="1"/>
  <c r="BY46" i="5" s="1"/>
  <c r="BX93" i="5"/>
  <c r="CE200" i="10"/>
  <c r="CE57" i="10"/>
  <c r="CE86" i="10" s="1"/>
  <c r="CE25" i="10"/>
  <c r="CE28" i="10" s="1"/>
  <c r="CF22" i="10" s="1"/>
  <c r="CE182" i="10"/>
  <c r="CE99" i="10"/>
  <c r="CE181" i="10"/>
  <c r="CE183" i="10"/>
  <c r="CE76" i="10"/>
  <c r="BZ201" i="7"/>
  <c r="BZ58" i="7"/>
  <c r="BZ87" i="7" s="1"/>
  <c r="BZ75" i="7"/>
  <c r="BZ192" i="7"/>
  <c r="CE102" i="10"/>
  <c r="BZ102" i="7"/>
  <c r="BY201" i="5" l="1"/>
  <c r="BY75" i="5"/>
  <c r="CA188" i="7"/>
  <c r="CF188" i="10"/>
  <c r="BZ101" i="7"/>
  <c r="BZ91" i="7"/>
  <c r="CE101" i="10"/>
  <c r="CE91" i="10"/>
  <c r="BZ57" i="7"/>
  <c r="BZ86" i="7" s="1"/>
  <c r="BZ100" i="7"/>
  <c r="CE100" i="10"/>
  <c r="BY47" i="5"/>
  <c r="BY58" i="5" s="1"/>
  <c r="BY87" i="5" s="1"/>
  <c r="BY191" i="5"/>
  <c r="BZ93" i="7" l="1"/>
  <c r="BY192" i="5"/>
  <c r="CF190" i="10"/>
  <c r="CF193" i="10" s="1"/>
  <c r="CF194" i="10" s="1"/>
  <c r="CF46" i="10" s="1"/>
  <c r="CA190" i="7"/>
  <c r="BY200" i="5"/>
  <c r="BY57" i="5"/>
  <c r="BY86" i="5" s="1"/>
  <c r="BY25" i="5"/>
  <c r="BY28" i="5" s="1"/>
  <c r="BZ22" i="5" s="1"/>
  <c r="BY178" i="5"/>
  <c r="BY175" i="5"/>
  <c r="BY179" i="5"/>
  <c r="BY182" i="5"/>
  <c r="BY176" i="5"/>
  <c r="BY99" i="5"/>
  <c r="BY180" i="5"/>
  <c r="BY181" i="5"/>
  <c r="BY177" i="5"/>
  <c r="BY183" i="5"/>
  <c r="BY76" i="5"/>
  <c r="CE93" i="10"/>
  <c r="BY102" i="5"/>
  <c r="CF37" i="11" l="1"/>
  <c r="CF38" i="11" s="1"/>
  <c r="CF201" i="10"/>
  <c r="CF75" i="10"/>
  <c r="BZ188" i="5"/>
  <c r="BY100" i="5"/>
  <c r="CA191" i="7"/>
  <c r="BY101" i="5"/>
  <c r="BY91" i="5"/>
  <c r="CA193" i="7"/>
  <c r="CA194" i="7" s="1"/>
  <c r="CA46" i="7" s="1"/>
  <c r="CF47" i="10"/>
  <c r="CF58" i="10" s="1"/>
  <c r="CF87" i="10" s="1"/>
  <c r="CF191" i="10"/>
  <c r="BZ190" i="5" l="1"/>
  <c r="CA201" i="7"/>
  <c r="CA75" i="7"/>
  <c r="CA192" i="7"/>
  <c r="CF200" i="10"/>
  <c r="CF57" i="10"/>
  <c r="CF86" i="10" s="1"/>
  <c r="CF25" i="10"/>
  <c r="CF28" i="10" s="1"/>
  <c r="CG22" i="10" s="1"/>
  <c r="CF183" i="10"/>
  <c r="CF182" i="10"/>
  <c r="CF99" i="10"/>
  <c r="CF76" i="10"/>
  <c r="BY93" i="5"/>
  <c r="CF192" i="10"/>
  <c r="CA47" i="7"/>
  <c r="CA58" i="7" s="1"/>
  <c r="CA87" i="7" s="1"/>
  <c r="CF102" i="10"/>
  <c r="CG188" i="10" l="1"/>
  <c r="BZ191" i="5"/>
  <c r="BZ193" i="5"/>
  <c r="BZ194" i="5" s="1"/>
  <c r="BZ46" i="5" s="1"/>
  <c r="CF101" i="10"/>
  <c r="CF91" i="10"/>
  <c r="CA200" i="7"/>
  <c r="CA57" i="7"/>
  <c r="CA86" i="7" s="1"/>
  <c r="CA25" i="7"/>
  <c r="CA28" i="7" s="1"/>
  <c r="CB22" i="7" s="1"/>
  <c r="CA178" i="7"/>
  <c r="CA180" i="7"/>
  <c r="CA183" i="7"/>
  <c r="CA179" i="7"/>
  <c r="CA181" i="7"/>
  <c r="CA182" i="7"/>
  <c r="CA99" i="7"/>
  <c r="CA177" i="7"/>
  <c r="CA76" i="7"/>
  <c r="CF100" i="10"/>
  <c r="CA102" i="7"/>
  <c r="CB188" i="7" l="1"/>
  <c r="CA100" i="7"/>
  <c r="BZ47" i="5"/>
  <c r="BZ58" i="5" s="1"/>
  <c r="BZ87" i="5" s="1"/>
  <c r="BZ201" i="5"/>
  <c r="BZ75" i="5"/>
  <c r="CG190" i="10"/>
  <c r="BZ192" i="5"/>
  <c r="CF93" i="10"/>
  <c r="CA101" i="7"/>
  <c r="CA91" i="7"/>
  <c r="CG191" i="10" l="1"/>
  <c r="CA93" i="7"/>
  <c r="BZ200" i="5"/>
  <c r="BZ57" i="5"/>
  <c r="BZ86" i="5" s="1"/>
  <c r="BZ25" i="5"/>
  <c r="BZ28" i="5" s="1"/>
  <c r="CA22" i="5" s="1"/>
  <c r="BZ183" i="5"/>
  <c r="BZ182" i="5"/>
  <c r="BZ177" i="5"/>
  <c r="BZ179" i="5"/>
  <c r="BZ99" i="5"/>
  <c r="BZ176" i="5"/>
  <c r="BZ181" i="5"/>
  <c r="BZ180" i="5"/>
  <c r="BZ178" i="5"/>
  <c r="BZ76" i="5"/>
  <c r="CG193" i="10"/>
  <c r="CG194" i="10" s="1"/>
  <c r="CG46" i="10" s="1"/>
  <c r="CB190" i="7"/>
  <c r="BZ102" i="5"/>
  <c r="CA188" i="5" l="1"/>
  <c r="CB191" i="7"/>
  <c r="CB193" i="7"/>
  <c r="CB194" i="7" s="1"/>
  <c r="CB46" i="7" s="1"/>
  <c r="BZ101" i="5"/>
  <c r="BZ91" i="5"/>
  <c r="CG47" i="10"/>
  <c r="CG58" i="10" s="1"/>
  <c r="CG87" i="10" s="1"/>
  <c r="CG37" i="11"/>
  <c r="CG38" i="11" s="1"/>
  <c r="CG201" i="10"/>
  <c r="CG75" i="10"/>
  <c r="BZ100" i="5"/>
  <c r="CG192" i="10"/>
  <c r="CB47" i="7" l="1"/>
  <c r="BZ93" i="5"/>
  <c r="CB201" i="7"/>
  <c r="CB58" i="7"/>
  <c r="CB87" i="7" s="1"/>
  <c r="CB75" i="7"/>
  <c r="CB192" i="7"/>
  <c r="CG200" i="10"/>
  <c r="CG57" i="10"/>
  <c r="CG86" i="10" s="1"/>
  <c r="CG25" i="10"/>
  <c r="CG28" i="10" s="1"/>
  <c r="CH22" i="10" s="1"/>
  <c r="CG183" i="10"/>
  <c r="CG99" i="10"/>
  <c r="CG76" i="10"/>
  <c r="CA190" i="5"/>
  <c r="CG102" i="10"/>
  <c r="CH188" i="10" l="1"/>
  <c r="CG100" i="10"/>
  <c r="CG101" i="10"/>
  <c r="CG91" i="10"/>
  <c r="CA191" i="5"/>
  <c r="CA193" i="5"/>
  <c r="CA194" i="5" s="1"/>
  <c r="CA46" i="5" s="1"/>
  <c r="CB200" i="7"/>
  <c r="CB57" i="7"/>
  <c r="CB86" i="7" s="1"/>
  <c r="CB25" i="7"/>
  <c r="CB28" i="7" s="1"/>
  <c r="CC22" i="7" s="1"/>
  <c r="CB183" i="7"/>
  <c r="CB178" i="7"/>
  <c r="CB181" i="7"/>
  <c r="CB99" i="7"/>
  <c r="CB182" i="7"/>
  <c r="CB180" i="7"/>
  <c r="CB179" i="7"/>
  <c r="CB76" i="7"/>
  <c r="CB102" i="7"/>
  <c r="CA201" i="5" l="1"/>
  <c r="CA75" i="5"/>
  <c r="CC188" i="7"/>
  <c r="E188" i="10"/>
  <c r="CH190" i="10"/>
  <c r="CA192" i="5"/>
  <c r="CB100" i="7"/>
  <c r="CG93" i="10"/>
  <c r="CA47" i="5"/>
  <c r="CA58" i="5" s="1"/>
  <c r="CA87" i="5" s="1"/>
  <c r="CB101" i="7"/>
  <c r="CB91" i="7"/>
  <c r="E190" i="10" l="1"/>
  <c r="CH191" i="10"/>
  <c r="CH193" i="10"/>
  <c r="CB93" i="7"/>
  <c r="CA200" i="5"/>
  <c r="CA57" i="5"/>
  <c r="CA86" i="5" s="1"/>
  <c r="CA25" i="5"/>
  <c r="CA28" i="5" s="1"/>
  <c r="CB22" i="5" s="1"/>
  <c r="CA178" i="5"/>
  <c r="CA183" i="5"/>
  <c r="CA179" i="5"/>
  <c r="CA99" i="5"/>
  <c r="CA181" i="5"/>
  <c r="CA182" i="5"/>
  <c r="CA177" i="5"/>
  <c r="CA180" i="5"/>
  <c r="CA76" i="5"/>
  <c r="CC190" i="7"/>
  <c r="CC193" i="7" s="1"/>
  <c r="CC194" i="7" s="1"/>
  <c r="CC46" i="7" s="1"/>
  <c r="CA102" i="5"/>
  <c r="CC201" i="7" l="1"/>
  <c r="CC75" i="7"/>
  <c r="CA100" i="5"/>
  <c r="CH194" i="10"/>
  <c r="CH47" i="10" s="1"/>
  <c r="E193" i="10"/>
  <c r="CA91" i="5"/>
  <c r="CA101" i="5"/>
  <c r="E191" i="10"/>
  <c r="CH192" i="10"/>
  <c r="E192" i="10" s="1"/>
  <c r="CC47" i="7"/>
  <c r="CC191" i="7"/>
  <c r="CB188" i="5"/>
  <c r="CC200" i="7" l="1"/>
  <c r="CC25" i="7"/>
  <c r="CC28" i="7" s="1"/>
  <c r="CD22" i="7" s="1"/>
  <c r="CC99" i="7"/>
  <c r="CC182" i="7"/>
  <c r="CC180" i="7"/>
  <c r="CC183" i="7"/>
  <c r="CC179" i="7"/>
  <c r="CC181" i="7"/>
  <c r="CC76" i="7"/>
  <c r="CH200" i="10"/>
  <c r="E200" i="10" s="1"/>
  <c r="CH99" i="10"/>
  <c r="E47" i="10"/>
  <c r="E125" i="3" s="1"/>
  <c r="CH76" i="10"/>
  <c r="CC192" i="7"/>
  <c r="CC58" i="7"/>
  <c r="CC87" i="7" s="1"/>
  <c r="CH46" i="10"/>
  <c r="CH25" i="10" s="1"/>
  <c r="E194" i="10"/>
  <c r="E124" i="3" s="1"/>
  <c r="F14" i="3" s="1"/>
  <c r="CA93" i="5"/>
  <c r="CB190" i="5"/>
  <c r="CC102" i="7"/>
  <c r="CH102" i="10"/>
  <c r="E102" i="10" l="1"/>
  <c r="E130" i="3" s="1"/>
  <c r="I26" i="8" s="1"/>
  <c r="E99" i="10"/>
  <c r="CH100" i="10"/>
  <c r="CB191" i="5"/>
  <c r="CC100" i="7"/>
  <c r="CC91" i="7"/>
  <c r="CC101" i="7"/>
  <c r="CC57" i="7"/>
  <c r="CC86" i="7" s="1"/>
  <c r="CB193" i="5"/>
  <c r="CB194" i="5" s="1"/>
  <c r="CB46" i="5" s="1"/>
  <c r="E25" i="10"/>
  <c r="CH28" i="10"/>
  <c r="E28" i="10" s="1"/>
  <c r="CH101" i="10"/>
  <c r="E101" i="10" s="1"/>
  <c r="E128" i="3" s="1"/>
  <c r="I24" i="8" s="1"/>
  <c r="E76" i="10"/>
  <c r="CH91" i="10"/>
  <c r="CD188" i="7"/>
  <c r="CH37" i="11"/>
  <c r="CH201" i="10"/>
  <c r="E201" i="10" s="1"/>
  <c r="CH58" i="10"/>
  <c r="E46" i="10"/>
  <c r="CH75" i="10"/>
  <c r="E75" i="10" s="1"/>
  <c r="E58" i="10" l="1"/>
  <c r="CH87" i="10"/>
  <c r="E87" i="10" s="1"/>
  <c r="CH57" i="10"/>
  <c r="CD190" i="7"/>
  <c r="CB47" i="5"/>
  <c r="CB201" i="5"/>
  <c r="CB75" i="5"/>
  <c r="E100" i="10"/>
  <c r="CH93" i="10"/>
  <c r="E93" i="10" s="1"/>
  <c r="E131" i="3" s="1"/>
  <c r="E91" i="10"/>
  <c r="CC93" i="7"/>
  <c r="CH38" i="11"/>
  <c r="E38" i="11" s="1"/>
  <c r="E37" i="11"/>
  <c r="CB192" i="5"/>
  <c r="G51" i="10"/>
  <c r="H51" i="10"/>
  <c r="H52" i="10" s="1"/>
  <c r="I51" i="10"/>
  <c r="I52" i="10" s="1"/>
  <c r="J51" i="10"/>
  <c r="J52" i="10" s="1"/>
  <c r="K51" i="10"/>
  <c r="K52" i="10" s="1"/>
  <c r="L51" i="10"/>
  <c r="L52" i="10" s="1"/>
  <c r="M51" i="10"/>
  <c r="M52" i="10" s="1"/>
  <c r="N51" i="10"/>
  <c r="N52" i="10" s="1"/>
  <c r="O51" i="10"/>
  <c r="O52" i="10" s="1"/>
  <c r="P51" i="10"/>
  <c r="P52" i="10" s="1"/>
  <c r="Q51" i="10"/>
  <c r="Q52" i="10" s="1"/>
  <c r="R51" i="10"/>
  <c r="R52" i="10" s="1"/>
  <c r="S51" i="10"/>
  <c r="S52" i="10" s="1"/>
  <c r="T51" i="10"/>
  <c r="T52" i="10" s="1"/>
  <c r="U51" i="10"/>
  <c r="U52" i="10" s="1"/>
  <c r="V51" i="10"/>
  <c r="V52" i="10" s="1"/>
  <c r="W51" i="10"/>
  <c r="W52" i="10" s="1"/>
  <c r="X51" i="10"/>
  <c r="X52" i="10" s="1"/>
  <c r="Y51" i="10"/>
  <c r="Y52" i="10" s="1"/>
  <c r="Z51" i="10"/>
  <c r="Z52" i="10" s="1"/>
  <c r="AA51" i="10"/>
  <c r="AA52" i="10" s="1"/>
  <c r="AB51" i="10"/>
  <c r="AB52" i="10" s="1"/>
  <c r="AC51" i="10"/>
  <c r="AC52" i="10" s="1"/>
  <c r="AD51" i="10"/>
  <c r="AD52" i="10" s="1"/>
  <c r="AE51" i="10"/>
  <c r="AE52" i="10" s="1"/>
  <c r="AF51" i="10"/>
  <c r="AF52" i="10" s="1"/>
  <c r="AG51" i="10"/>
  <c r="AG52" i="10" s="1"/>
  <c r="AH51" i="10"/>
  <c r="AH52" i="10" s="1"/>
  <c r="AI51" i="10"/>
  <c r="AI52" i="10" s="1"/>
  <c r="AJ51" i="10"/>
  <c r="AJ52" i="10" s="1"/>
  <c r="AK51" i="10"/>
  <c r="AK52" i="10" s="1"/>
  <c r="AL51" i="10"/>
  <c r="AL52" i="10" s="1"/>
  <c r="AM51" i="10"/>
  <c r="AM52" i="10" s="1"/>
  <c r="AN51" i="10"/>
  <c r="AN52" i="10" s="1"/>
  <c r="AO51" i="10"/>
  <c r="AO52" i="10" s="1"/>
  <c r="AP51" i="10"/>
  <c r="AP52" i="10" s="1"/>
  <c r="AQ51" i="10"/>
  <c r="AQ52" i="10" s="1"/>
  <c r="AR51" i="10"/>
  <c r="AR52" i="10" s="1"/>
  <c r="AS51" i="10"/>
  <c r="AS52" i="10" s="1"/>
  <c r="G80" i="10" l="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80" i="10" s="1"/>
  <c r="AD80" i="10" s="1"/>
  <c r="AE80" i="10" s="1"/>
  <c r="AF80" i="10" s="1"/>
  <c r="AG80" i="10" s="1"/>
  <c r="AH80" i="10" s="1"/>
  <c r="AI80" i="10" s="1"/>
  <c r="AJ80" i="10" s="1"/>
  <c r="AK80" i="10" s="1"/>
  <c r="AL80" i="10" s="1"/>
  <c r="AM80" i="10" s="1"/>
  <c r="AN80" i="10" s="1"/>
  <c r="AO80" i="10" s="1"/>
  <c r="AP80" i="10" s="1"/>
  <c r="AQ80" i="10" s="1"/>
  <c r="AR80" i="10" s="1"/>
  <c r="AS80" i="10" s="1"/>
  <c r="G52" i="10"/>
  <c r="CB200" i="5"/>
  <c r="CB25" i="5"/>
  <c r="CB28" i="5" s="1"/>
  <c r="CC22" i="5" s="1"/>
  <c r="CB180" i="5"/>
  <c r="CB183" i="5"/>
  <c r="CB182" i="5"/>
  <c r="CB99" i="5"/>
  <c r="CB178" i="5"/>
  <c r="CB179" i="5"/>
  <c r="CB181" i="5"/>
  <c r="CB76" i="5"/>
  <c r="CD191" i="7"/>
  <c r="CD193" i="7"/>
  <c r="CD194" i="7" s="1"/>
  <c r="CD46" i="7" s="1"/>
  <c r="E57" i="10"/>
  <c r="CH86" i="10"/>
  <c r="E86" i="10" s="1"/>
  <c r="AT51" i="10"/>
  <c r="AT52" i="10" s="1"/>
  <c r="CB58" i="5"/>
  <c r="CB87" i="5" s="1"/>
  <c r="CB102" i="5"/>
  <c r="CB91" i="5" l="1"/>
  <c r="CB101" i="5"/>
  <c r="CC188" i="5"/>
  <c r="CD201" i="7"/>
  <c r="CD75" i="7"/>
  <c r="CB100" i="5"/>
  <c r="G81" i="10"/>
  <c r="AT80" i="10"/>
  <c r="CB57" i="5"/>
  <c r="CB86" i="5" s="1"/>
  <c r="CD192" i="7"/>
  <c r="CD47" i="7"/>
  <c r="AU51" i="10"/>
  <c r="AU80" i="10" l="1"/>
  <c r="CB93" i="5"/>
  <c r="G184" i="10"/>
  <c r="G185" i="10"/>
  <c r="G90" i="10"/>
  <c r="G92" i="10" s="1"/>
  <c r="H81" i="10"/>
  <c r="G104" i="10"/>
  <c r="AU52" i="10"/>
  <c r="CC190" i="5"/>
  <c r="CD200" i="7"/>
  <c r="CD25" i="7"/>
  <c r="CD28" i="7" s="1"/>
  <c r="CE22" i="7" s="1"/>
  <c r="CD99" i="7"/>
  <c r="CD180" i="7"/>
  <c r="CD183" i="7"/>
  <c r="CD182" i="7"/>
  <c r="CD181" i="7"/>
  <c r="CD76" i="7"/>
  <c r="AV51" i="10"/>
  <c r="AV80" i="10" s="1"/>
  <c r="CD58" i="7"/>
  <c r="CD87" i="7" s="1"/>
  <c r="CD102" i="7"/>
  <c r="AV52" i="10" l="1"/>
  <c r="AW51" i="10"/>
  <c r="H185" i="10"/>
  <c r="H184" i="10"/>
  <c r="I81" i="10"/>
  <c r="H90" i="10"/>
  <c r="H92" i="10" s="1"/>
  <c r="H105" i="10"/>
  <c r="E104" i="10"/>
  <c r="C104" i="10"/>
  <c r="G103" i="10" s="1"/>
  <c r="CD100" i="7"/>
  <c r="CD91" i="7"/>
  <c r="CD101" i="7"/>
  <c r="CE188" i="7"/>
  <c r="CC191" i="5"/>
  <c r="CD57" i="7"/>
  <c r="CD86" i="7" s="1"/>
  <c r="CC193" i="5"/>
  <c r="CC194" i="5" s="1"/>
  <c r="CC46" i="5" s="1"/>
  <c r="E105" i="10" l="1"/>
  <c r="C105" i="10"/>
  <c r="H103" i="10" s="1"/>
  <c r="CD93" i="7"/>
  <c r="CC201" i="5"/>
  <c r="CC75" i="5"/>
  <c r="CC47" i="5"/>
  <c r="CC58" i="5" s="1"/>
  <c r="CC87" i="5" s="1"/>
  <c r="CE190" i="7"/>
  <c r="I184" i="10"/>
  <c r="I185" i="10"/>
  <c r="J81" i="10"/>
  <c r="I90" i="10"/>
  <c r="I92" i="10" s="1"/>
  <c r="I106" i="10"/>
  <c r="AW52" i="10"/>
  <c r="AX51" i="10"/>
  <c r="CC192" i="5"/>
  <c r="AW80" i="10"/>
  <c r="AX80" i="10" l="1"/>
  <c r="J184" i="10"/>
  <c r="J185" i="10"/>
  <c r="K81" i="10"/>
  <c r="J90" i="10"/>
  <c r="J92" i="10" s="1"/>
  <c r="J107" i="10"/>
  <c r="AX52" i="10"/>
  <c r="AY51" i="10"/>
  <c r="CC200" i="5"/>
  <c r="CC25" i="5"/>
  <c r="CC28" i="5" s="1"/>
  <c r="CD22" i="5" s="1"/>
  <c r="CC57" i="5"/>
  <c r="CC86" i="5" s="1"/>
  <c r="CC182" i="5"/>
  <c r="CC183" i="5"/>
  <c r="CC181" i="5"/>
  <c r="CC99" i="5"/>
  <c r="CC179" i="5"/>
  <c r="CC180" i="5"/>
  <c r="CC76" i="5"/>
  <c r="CE191" i="7"/>
  <c r="C106" i="10"/>
  <c r="I103" i="10" s="1"/>
  <c r="E106" i="10"/>
  <c r="CE193" i="7"/>
  <c r="CE194" i="7" s="1"/>
  <c r="CE46" i="7" s="1"/>
  <c r="CC102" i="5"/>
  <c r="CE47" i="7" l="1"/>
  <c r="CE200" i="7" s="1"/>
  <c r="CE183" i="7"/>
  <c r="CE99" i="7"/>
  <c r="CE182" i="7"/>
  <c r="CE181" i="7"/>
  <c r="CE76" i="7"/>
  <c r="C107" i="10"/>
  <c r="J103" i="10" s="1"/>
  <c r="E107" i="10"/>
  <c r="CC91" i="5"/>
  <c r="CC101" i="5"/>
  <c r="K185" i="10"/>
  <c r="K184" i="10"/>
  <c r="L81" i="10"/>
  <c r="K90" i="10"/>
  <c r="K92" i="10" s="1"/>
  <c r="K108" i="10"/>
  <c r="CE192" i="7"/>
  <c r="CD188" i="5"/>
  <c r="CE201" i="7"/>
  <c r="CE58" i="7"/>
  <c r="CE87" i="7" s="1"/>
  <c r="CE75" i="7"/>
  <c r="CC100" i="5"/>
  <c r="AY52" i="10"/>
  <c r="AZ51" i="10"/>
  <c r="AY80" i="10"/>
  <c r="CE102" i="7"/>
  <c r="CE25" i="7" l="1"/>
  <c r="CE28" i="7" s="1"/>
  <c r="CF22" i="7" s="1"/>
  <c r="CC93" i="5"/>
  <c r="CE100" i="7"/>
  <c r="AZ52" i="10"/>
  <c r="BA51" i="10"/>
  <c r="E108" i="10"/>
  <c r="C108" i="10"/>
  <c r="K103" i="10" s="1"/>
  <c r="CF188" i="7"/>
  <c r="CE57" i="7"/>
  <c r="CE86" i="7" s="1"/>
  <c r="AZ80" i="10"/>
  <c r="CD190" i="5"/>
  <c r="L185" i="10"/>
  <c r="L184" i="10"/>
  <c r="M81" i="10"/>
  <c r="L90" i="10"/>
  <c r="L92" i="10" s="1"/>
  <c r="L109" i="10"/>
  <c r="CE91" i="7"/>
  <c r="CE101" i="7"/>
  <c r="BA80" i="10" l="1"/>
  <c r="BA52" i="10"/>
  <c r="BB51" i="10"/>
  <c r="BB80" i="10" s="1"/>
  <c r="M185" i="10"/>
  <c r="M184" i="10"/>
  <c r="M90" i="10"/>
  <c r="M92" i="10" s="1"/>
  <c r="N81" i="10"/>
  <c r="M110" i="10"/>
  <c r="CF190" i="7"/>
  <c r="CE93" i="7"/>
  <c r="CD191" i="5"/>
  <c r="CD193" i="5"/>
  <c r="CD194" i="5" s="1"/>
  <c r="CD46" i="5" s="1"/>
  <c r="C109" i="10"/>
  <c r="L103" i="10" s="1"/>
  <c r="E109" i="10"/>
  <c r="C110" i="10" l="1"/>
  <c r="M103" i="10" s="1"/>
  <c r="E110" i="10"/>
  <c r="CD201" i="5"/>
  <c r="CD75" i="5"/>
  <c r="CD192" i="5"/>
  <c r="BB52" i="10"/>
  <c r="BC51" i="10"/>
  <c r="BC80" i="10" s="1"/>
  <c r="N185" i="10"/>
  <c r="N184" i="10"/>
  <c r="O81" i="10"/>
  <c r="N90" i="10"/>
  <c r="N92" i="10" s="1"/>
  <c r="N111" i="10"/>
  <c r="CD47" i="5"/>
  <c r="CF191" i="7"/>
  <c r="CF193" i="7"/>
  <c r="CF194" i="7" s="1"/>
  <c r="CF46" i="7" s="1"/>
  <c r="CD200" i="5" l="1"/>
  <c r="CD25" i="5"/>
  <c r="CD28" i="5" s="1"/>
  <c r="CE22" i="5" s="1"/>
  <c r="CD99" i="5"/>
  <c r="CD181" i="5"/>
  <c r="CD183" i="5"/>
  <c r="CD180" i="5"/>
  <c r="CD182" i="5"/>
  <c r="CD76" i="5"/>
  <c r="C111" i="10"/>
  <c r="N103" i="10" s="1"/>
  <c r="E111" i="10"/>
  <c r="CF192" i="7"/>
  <c r="O184" i="10"/>
  <c r="O185" i="10"/>
  <c r="O90" i="10"/>
  <c r="O92" i="10" s="1"/>
  <c r="P81" i="10"/>
  <c r="O112" i="10"/>
  <c r="CF201" i="7"/>
  <c r="CF75" i="7"/>
  <c r="CD58" i="5"/>
  <c r="CD87" i="5" s="1"/>
  <c r="CF47" i="7"/>
  <c r="CF58" i="7" s="1"/>
  <c r="CF87" i="7" s="1"/>
  <c r="BC52" i="10"/>
  <c r="BD51" i="10"/>
  <c r="CD102" i="5"/>
  <c r="E112" i="10" l="1"/>
  <c r="C112" i="10"/>
  <c r="O103" i="10" s="1"/>
  <c r="BD52" i="10"/>
  <c r="BE51" i="10"/>
  <c r="P185" i="10"/>
  <c r="P184" i="10"/>
  <c r="Q81" i="10"/>
  <c r="P90" i="10"/>
  <c r="P92" i="10" s="1"/>
  <c r="P113" i="10"/>
  <c r="CD100" i="5"/>
  <c r="CD91" i="5"/>
  <c r="CD101" i="5"/>
  <c r="CE188" i="5"/>
  <c r="CF200" i="7"/>
  <c r="CF57" i="7"/>
  <c r="CF86" i="7" s="1"/>
  <c r="CF25" i="7"/>
  <c r="CF28" i="7" s="1"/>
  <c r="CG22" i="7" s="1"/>
  <c r="CF182" i="7"/>
  <c r="CF183" i="7"/>
  <c r="CF99" i="7"/>
  <c r="CF76" i="7"/>
  <c r="CD57" i="5"/>
  <c r="CD86" i="5" s="1"/>
  <c r="BD80" i="10"/>
  <c r="CF102" i="7"/>
  <c r="BE80" i="10" l="1"/>
  <c r="CG188" i="7"/>
  <c r="Q184" i="10"/>
  <c r="Q185" i="10"/>
  <c r="Q90" i="10"/>
  <c r="Q92" i="10" s="1"/>
  <c r="R81" i="10"/>
  <c r="Q114" i="10"/>
  <c r="BE52" i="10"/>
  <c r="BF51" i="10"/>
  <c r="BF80" i="10" s="1"/>
  <c r="CE190" i="5"/>
  <c r="C113" i="10"/>
  <c r="P103" i="10" s="1"/>
  <c r="E113" i="10"/>
  <c r="CD93" i="5"/>
  <c r="CF91" i="7"/>
  <c r="CF101" i="7"/>
  <c r="CF100" i="7"/>
  <c r="CF93" i="7" l="1"/>
  <c r="E114" i="10"/>
  <c r="C114" i="10"/>
  <c r="Q103" i="10" s="1"/>
  <c r="CE191" i="5"/>
  <c r="CE193" i="5"/>
  <c r="CE194" i="5" s="1"/>
  <c r="CE46" i="5" s="1"/>
  <c r="R184" i="10"/>
  <c r="R185" i="10"/>
  <c r="S81" i="10"/>
  <c r="R90" i="10"/>
  <c r="R92" i="10" s="1"/>
  <c r="R115" i="10"/>
  <c r="BF52" i="10"/>
  <c r="BG51" i="10"/>
  <c r="CG190" i="7"/>
  <c r="CG193" i="7" s="1"/>
  <c r="CG194" i="7" s="1"/>
  <c r="CG46" i="7" s="1"/>
  <c r="CG201" i="7" l="1"/>
  <c r="CG75" i="7"/>
  <c r="CE201" i="5"/>
  <c r="CE75" i="5"/>
  <c r="CE192" i="5"/>
  <c r="E115" i="10"/>
  <c r="C115" i="10"/>
  <c r="R103" i="10" s="1"/>
  <c r="S184" i="10"/>
  <c r="S185" i="10"/>
  <c r="T81" i="10"/>
  <c r="S90" i="10"/>
  <c r="S92" i="10" s="1"/>
  <c r="S116" i="10"/>
  <c r="BG52" i="10"/>
  <c r="BH51" i="10"/>
  <c r="CE47" i="5"/>
  <c r="CE58" i="5" s="1"/>
  <c r="CE87" i="5" s="1"/>
  <c r="CG47" i="7"/>
  <c r="CG58" i="7" s="1"/>
  <c r="CG87" i="7" s="1"/>
  <c r="CG191" i="7"/>
  <c r="BG80" i="10"/>
  <c r="BH80" i="10" l="1"/>
  <c r="E116" i="10"/>
  <c r="C116" i="10"/>
  <c r="S103" i="10" s="1"/>
  <c r="CG192" i="7"/>
  <c r="CE200" i="5"/>
  <c r="CE25" i="5"/>
  <c r="CE28" i="5" s="1"/>
  <c r="CF22" i="5" s="1"/>
  <c r="CE57" i="5"/>
  <c r="CE86" i="5" s="1"/>
  <c r="CE99" i="5"/>
  <c r="CE181" i="5"/>
  <c r="CE183" i="5"/>
  <c r="CE182" i="5"/>
  <c r="CE76" i="5"/>
  <c r="T185" i="10"/>
  <c r="T184" i="10"/>
  <c r="U81" i="10"/>
  <c r="T90" i="10"/>
  <c r="T92" i="10" s="1"/>
  <c r="T117" i="10"/>
  <c r="CG200" i="7"/>
  <c r="CG57" i="7"/>
  <c r="CG86" i="7" s="1"/>
  <c r="CG25" i="7"/>
  <c r="CG28" i="7" s="1"/>
  <c r="CH22" i="7" s="1"/>
  <c r="CG183" i="7"/>
  <c r="CG99" i="7"/>
  <c r="CG76" i="7"/>
  <c r="BH52" i="10"/>
  <c r="BI51" i="10"/>
  <c r="BI80" i="10" s="1"/>
  <c r="CG102" i="7"/>
  <c r="CE102" i="5"/>
  <c r="CG101" i="7" l="1"/>
  <c r="CG91" i="7"/>
  <c r="CE100" i="5"/>
  <c r="E117" i="10"/>
  <c r="C117" i="10"/>
  <c r="T103" i="10" s="1"/>
  <c r="CG100" i="7"/>
  <c r="U185" i="10"/>
  <c r="U184" i="10"/>
  <c r="U90" i="10"/>
  <c r="U92" i="10" s="1"/>
  <c r="V81" i="10"/>
  <c r="U118" i="10"/>
  <c r="CH188" i="7"/>
  <c r="CF188" i="5"/>
  <c r="BI52" i="10"/>
  <c r="BJ51" i="10"/>
  <c r="BJ80" i="10" s="1"/>
  <c r="CE91" i="5"/>
  <c r="CE101" i="5"/>
  <c r="E188" i="7" l="1"/>
  <c r="CH190" i="7"/>
  <c r="C118" i="10"/>
  <c r="U103" i="10" s="1"/>
  <c r="E118" i="10"/>
  <c r="V185" i="10"/>
  <c r="V184" i="10"/>
  <c r="W81" i="10"/>
  <c r="V90" i="10"/>
  <c r="V92" i="10" s="1"/>
  <c r="V119" i="10"/>
  <c r="BJ52" i="10"/>
  <c r="BK51" i="10"/>
  <c r="CE93" i="5"/>
  <c r="CF190" i="5"/>
  <c r="CG93" i="7"/>
  <c r="BK52" i="10" l="1"/>
  <c r="BL51" i="10"/>
  <c r="BK80" i="10"/>
  <c r="E190" i="7"/>
  <c r="CH191" i="7"/>
  <c r="CF191" i="5"/>
  <c r="W184" i="10"/>
  <c r="W185" i="10"/>
  <c r="W90" i="10"/>
  <c r="W92" i="10" s="1"/>
  <c r="X81" i="10"/>
  <c r="W120" i="10"/>
  <c r="CF193" i="5"/>
  <c r="CF194" i="5" s="1"/>
  <c r="CF46" i="5" s="1"/>
  <c r="E119" i="10"/>
  <c r="C119" i="10"/>
  <c r="V103" i="10" s="1"/>
  <c r="CH193" i="7"/>
  <c r="CF47" i="5" l="1"/>
  <c r="BL80" i="10"/>
  <c r="CF192" i="5"/>
  <c r="CF200" i="5"/>
  <c r="CF25" i="5"/>
  <c r="CF28" i="5" s="1"/>
  <c r="CG22" i="5" s="1"/>
  <c r="CF183" i="5"/>
  <c r="CF182" i="5"/>
  <c r="CF99" i="5"/>
  <c r="CF76" i="5"/>
  <c r="E120" i="10"/>
  <c r="C120" i="10"/>
  <c r="W103" i="10" s="1"/>
  <c r="CF201" i="5"/>
  <c r="CF58" i="5"/>
  <c r="CF87" i="5" s="1"/>
  <c r="CF75" i="5"/>
  <c r="E191" i="7"/>
  <c r="CH192" i="7"/>
  <c r="E192" i="7" s="1"/>
  <c r="X185" i="10"/>
  <c r="X184" i="10"/>
  <c r="Y81" i="10"/>
  <c r="X90" i="10"/>
  <c r="X92" i="10" s="1"/>
  <c r="X121" i="10"/>
  <c r="BL52" i="10"/>
  <c r="BM51" i="10"/>
  <c r="CH194" i="7"/>
  <c r="E193" i="7"/>
  <c r="CF102" i="5"/>
  <c r="BM80" i="10" l="1"/>
  <c r="CF57" i="5"/>
  <c r="CF86" i="5" s="1"/>
  <c r="CG188" i="5"/>
  <c r="E121" i="10"/>
  <c r="C121" i="10"/>
  <c r="X103" i="10" s="1"/>
  <c r="CH46" i="7"/>
  <c r="E194" i="7"/>
  <c r="E124" i="6" s="1"/>
  <c r="F14" i="6" s="1"/>
  <c r="CH47" i="7"/>
  <c r="CF101" i="5"/>
  <c r="CF91" i="5"/>
  <c r="Y184" i="10"/>
  <c r="Y185" i="10"/>
  <c r="Z81" i="10"/>
  <c r="Y90" i="10"/>
  <c r="Y92" i="10" s="1"/>
  <c r="Y122" i="10"/>
  <c r="CF100" i="5"/>
  <c r="BM52" i="10"/>
  <c r="BN51" i="10"/>
  <c r="Z184" i="10" l="1"/>
  <c r="Z185" i="10"/>
  <c r="AA81" i="10"/>
  <c r="Z90" i="10"/>
  <c r="Z92" i="10" s="1"/>
  <c r="Z123" i="10"/>
  <c r="CH201" i="7"/>
  <c r="E201" i="7" s="1"/>
  <c r="CH58" i="7"/>
  <c r="E46" i="7"/>
  <c r="CH75" i="7"/>
  <c r="E75" i="7" s="1"/>
  <c r="C122" i="10"/>
  <c r="Y103" i="10" s="1"/>
  <c r="E122" i="10"/>
  <c r="CG190" i="5"/>
  <c r="CF93" i="5"/>
  <c r="CH200" i="7"/>
  <c r="E200" i="7" s="1"/>
  <c r="CH25" i="7"/>
  <c r="CH99" i="7"/>
  <c r="E47" i="7"/>
  <c r="E125" i="6" s="1"/>
  <c r="CH76" i="7"/>
  <c r="BN52" i="10"/>
  <c r="BO51" i="10"/>
  <c r="BN80" i="10"/>
  <c r="CH102" i="7"/>
  <c r="BO80" i="10" l="1"/>
  <c r="E102" i="7"/>
  <c r="E130" i="6" s="1"/>
  <c r="N26" i="8" s="1"/>
  <c r="CH101" i="7"/>
  <c r="E101" i="7" s="1"/>
  <c r="E128" i="6" s="1"/>
  <c r="N24" i="8" s="1"/>
  <c r="E76" i="7"/>
  <c r="CH91" i="7"/>
  <c r="AA185" i="10"/>
  <c r="AA184" i="10"/>
  <c r="AB81" i="10"/>
  <c r="AA90" i="10"/>
  <c r="AA92" i="10" s="1"/>
  <c r="AA124" i="10"/>
  <c r="CG191" i="5"/>
  <c r="CG193" i="5"/>
  <c r="CG194" i="5" s="1"/>
  <c r="CG46" i="5" s="1"/>
  <c r="E99" i="7"/>
  <c r="CH100" i="7"/>
  <c r="BO52" i="10"/>
  <c r="BP51" i="10"/>
  <c r="E58" i="7"/>
  <c r="CH87" i="7"/>
  <c r="E87" i="7" s="1"/>
  <c r="E123" i="10"/>
  <c r="C123" i="10"/>
  <c r="Z103" i="10" s="1"/>
  <c r="E25" i="7"/>
  <c r="CH28" i="7"/>
  <c r="E28" i="7" s="1"/>
  <c r="CH57" i="7"/>
  <c r="E57" i="7" l="1"/>
  <c r="CH86" i="7"/>
  <c r="E86" i="7" s="1"/>
  <c r="BP52" i="10"/>
  <c r="BQ51" i="10"/>
  <c r="BP80" i="10"/>
  <c r="AB185" i="10"/>
  <c r="AB184" i="10"/>
  <c r="AC81" i="10"/>
  <c r="AB90" i="10"/>
  <c r="AB92" i="10" s="1"/>
  <c r="AB125" i="10"/>
  <c r="E91" i="7"/>
  <c r="CG47" i="5"/>
  <c r="G51" i="7"/>
  <c r="H51" i="7"/>
  <c r="H52" i="7" s="1"/>
  <c r="I51" i="7"/>
  <c r="I52" i="7" s="1"/>
  <c r="J51" i="7"/>
  <c r="J52" i="7" s="1"/>
  <c r="K51" i="7"/>
  <c r="K52" i="7" s="1"/>
  <c r="L51" i="7"/>
  <c r="L52" i="7" s="1"/>
  <c r="M51" i="7"/>
  <c r="M52" i="7" s="1"/>
  <c r="N51" i="7"/>
  <c r="N52" i="7" s="1"/>
  <c r="O51" i="7"/>
  <c r="O52" i="7" s="1"/>
  <c r="P51" i="7"/>
  <c r="P52" i="7" s="1"/>
  <c r="Q51" i="7"/>
  <c r="Q52" i="7" s="1"/>
  <c r="R51" i="7"/>
  <c r="R52" i="7" s="1"/>
  <c r="S51" i="7"/>
  <c r="S52" i="7" s="1"/>
  <c r="T51" i="7"/>
  <c r="T52" i="7" s="1"/>
  <c r="U51" i="7"/>
  <c r="U52" i="7" s="1"/>
  <c r="V51" i="7"/>
  <c r="V52" i="7" s="1"/>
  <c r="W51" i="7"/>
  <c r="W52" i="7" s="1"/>
  <c r="X51" i="7"/>
  <c r="X52" i="7" s="1"/>
  <c r="Y51" i="7"/>
  <c r="Y52" i="7" s="1"/>
  <c r="Z51" i="7"/>
  <c r="Z52" i="7" s="1"/>
  <c r="AA51" i="7"/>
  <c r="AA52" i="7" s="1"/>
  <c r="AB51" i="7"/>
  <c r="AB52" i="7" s="1"/>
  <c r="AC51" i="7"/>
  <c r="AC52" i="7" s="1"/>
  <c r="AD51" i="7"/>
  <c r="AD52" i="7" s="1"/>
  <c r="AE51" i="7"/>
  <c r="AE52" i="7" s="1"/>
  <c r="AF51" i="7"/>
  <c r="AF52" i="7" s="1"/>
  <c r="AG51" i="7"/>
  <c r="AG52" i="7" s="1"/>
  <c r="AH51" i="7"/>
  <c r="AH52" i="7" s="1"/>
  <c r="AI51" i="7"/>
  <c r="AI52" i="7" s="1"/>
  <c r="AJ51" i="7"/>
  <c r="AJ52" i="7" s="1"/>
  <c r="AK51" i="7"/>
  <c r="AK52" i="7" s="1"/>
  <c r="AL51" i="7"/>
  <c r="AL52" i="7" s="1"/>
  <c r="AM51" i="7"/>
  <c r="AM52" i="7" s="1"/>
  <c r="AN51" i="7"/>
  <c r="AN52" i="7" s="1"/>
  <c r="AO51" i="7"/>
  <c r="AO52" i="7" s="1"/>
  <c r="AP51" i="7"/>
  <c r="AP52" i="7" s="1"/>
  <c r="AQ51" i="7"/>
  <c r="AQ52" i="7" s="1"/>
  <c r="AR51" i="7"/>
  <c r="AR52" i="7" s="1"/>
  <c r="AS51" i="7"/>
  <c r="AS52" i="7" s="1"/>
  <c r="C124" i="10"/>
  <c r="AA103" i="10" s="1"/>
  <c r="E124" i="10"/>
  <c r="E100" i="7"/>
  <c r="CH93" i="7"/>
  <c r="E93" i="7" s="1"/>
  <c r="E131" i="6" s="1"/>
  <c r="CG201" i="5"/>
  <c r="CG75" i="5"/>
  <c r="CG192" i="5"/>
  <c r="BQ80" i="10" l="1"/>
  <c r="AC185" i="10"/>
  <c r="AC184" i="10"/>
  <c r="AC90" i="10"/>
  <c r="AC92" i="10" s="1"/>
  <c r="AD81" i="10"/>
  <c r="AC126" i="10"/>
  <c r="G80" i="7"/>
  <c r="H80" i="7" s="1"/>
  <c r="I80" i="7" s="1"/>
  <c r="J80" i="7" s="1"/>
  <c r="K80" i="7" s="1"/>
  <c r="L80" i="7" s="1"/>
  <c r="M80" i="7" s="1"/>
  <c r="N80" i="7" s="1"/>
  <c r="O80" i="7" s="1"/>
  <c r="P80" i="7" s="1"/>
  <c r="Q80" i="7" s="1"/>
  <c r="R80" i="7" s="1"/>
  <c r="S80" i="7" s="1"/>
  <c r="T80" i="7" s="1"/>
  <c r="U80" i="7" s="1"/>
  <c r="V80" i="7" s="1"/>
  <c r="W80" i="7" s="1"/>
  <c r="X80" i="7" s="1"/>
  <c r="Y80" i="7" s="1"/>
  <c r="Z80" i="7" s="1"/>
  <c r="AA80" i="7" s="1"/>
  <c r="AB80" i="7" s="1"/>
  <c r="AC80" i="7" s="1"/>
  <c r="AD80" i="7" s="1"/>
  <c r="AE80" i="7" s="1"/>
  <c r="AF80" i="7" s="1"/>
  <c r="AG80" i="7" s="1"/>
  <c r="AH80" i="7" s="1"/>
  <c r="AI80" i="7" s="1"/>
  <c r="AJ80" i="7" s="1"/>
  <c r="AK80" i="7" s="1"/>
  <c r="AL80" i="7" s="1"/>
  <c r="AM80" i="7" s="1"/>
  <c r="AN80" i="7" s="1"/>
  <c r="AO80" i="7" s="1"/>
  <c r="AP80" i="7" s="1"/>
  <c r="AQ80" i="7" s="1"/>
  <c r="AR80" i="7" s="1"/>
  <c r="AS80" i="7" s="1"/>
  <c r="G52" i="7"/>
  <c r="AT51" i="7"/>
  <c r="BQ52" i="10"/>
  <c r="BR51" i="10"/>
  <c r="BR80" i="10" s="1"/>
  <c r="E125" i="10"/>
  <c r="C125" i="10"/>
  <c r="AB103" i="10" s="1"/>
  <c r="CG200" i="5"/>
  <c r="CG25" i="5"/>
  <c r="CG28" i="5" s="1"/>
  <c r="CH22" i="5" s="1"/>
  <c r="CG99" i="5"/>
  <c r="CG183" i="5"/>
  <c r="CG76" i="5"/>
  <c r="CG58" i="5"/>
  <c r="CG87" i="5" s="1"/>
  <c r="CG102" i="5"/>
  <c r="AT80" i="7" l="1"/>
  <c r="CG57" i="5"/>
  <c r="CG86" i="5" s="1"/>
  <c r="CG100" i="5"/>
  <c r="CH188" i="5"/>
  <c r="G81" i="7"/>
  <c r="C126" i="10"/>
  <c r="AC103" i="10" s="1"/>
  <c r="E126" i="10"/>
  <c r="AT52" i="7"/>
  <c r="AU51" i="7"/>
  <c r="AU80" i="7" s="1"/>
  <c r="AD185" i="10"/>
  <c r="AD184" i="10"/>
  <c r="AE81" i="10"/>
  <c r="AD90" i="10"/>
  <c r="AD92" i="10" s="1"/>
  <c r="AD127" i="10"/>
  <c r="BR52" i="10"/>
  <c r="BS51" i="10"/>
  <c r="CG101" i="5"/>
  <c r="CG91" i="5"/>
  <c r="G184" i="7" l="1"/>
  <c r="G185" i="7"/>
  <c r="H81" i="7"/>
  <c r="G90" i="7"/>
  <c r="G92" i="7" s="1"/>
  <c r="G104" i="7"/>
  <c r="AE184" i="10"/>
  <c r="AE185" i="10"/>
  <c r="AE90" i="10"/>
  <c r="AE92" i="10" s="1"/>
  <c r="AF81" i="10"/>
  <c r="AE128" i="10"/>
  <c r="BS52" i="10"/>
  <c r="BT51" i="10"/>
  <c r="C127" i="10"/>
  <c r="AD103" i="10" s="1"/>
  <c r="E127" i="10"/>
  <c r="AU52" i="7"/>
  <c r="AV51" i="7"/>
  <c r="E188" i="5"/>
  <c r="CH190" i="5"/>
  <c r="CG93" i="5"/>
  <c r="BS80" i="10"/>
  <c r="BT80" i="10" l="1"/>
  <c r="AV52" i="7"/>
  <c r="AW51" i="7"/>
  <c r="AW52" i="7" s="1"/>
  <c r="AV80" i="7"/>
  <c r="E104" i="7"/>
  <c r="C104" i="7"/>
  <c r="G103" i="7" s="1"/>
  <c r="BT52" i="10"/>
  <c r="BU51" i="10"/>
  <c r="H185" i="7"/>
  <c r="H184" i="7"/>
  <c r="H90" i="7"/>
  <c r="H92" i="7" s="1"/>
  <c r="I81" i="7"/>
  <c r="H105" i="7"/>
  <c r="C128" i="10"/>
  <c r="AE103" i="10" s="1"/>
  <c r="E128" i="10"/>
  <c r="E190" i="5"/>
  <c r="CH191" i="5"/>
  <c r="CH193" i="5"/>
  <c r="AF185" i="10"/>
  <c r="AF184" i="10"/>
  <c r="AG81" i="10"/>
  <c r="AF90" i="10"/>
  <c r="AF92" i="10" s="1"/>
  <c r="AF129" i="10"/>
  <c r="E105" i="7" l="1"/>
  <c r="C105" i="7"/>
  <c r="H103" i="7" s="1"/>
  <c r="AX51" i="7"/>
  <c r="I185" i="7"/>
  <c r="I184" i="7"/>
  <c r="I90" i="7"/>
  <c r="I92" i="7" s="1"/>
  <c r="J81" i="7"/>
  <c r="I106" i="7"/>
  <c r="BU52" i="10"/>
  <c r="BV51" i="10"/>
  <c r="CH194" i="5"/>
  <c r="E193" i="5"/>
  <c r="BU80" i="10"/>
  <c r="AG184" i="10"/>
  <c r="AG185" i="10"/>
  <c r="AG90" i="10"/>
  <c r="AG92" i="10" s="1"/>
  <c r="AH81" i="10"/>
  <c r="AG130" i="10"/>
  <c r="E191" i="5"/>
  <c r="CH192" i="5"/>
  <c r="E192" i="5" s="1"/>
  <c r="AW80" i="7"/>
  <c r="C129" i="10"/>
  <c r="AF103" i="10" s="1"/>
  <c r="E129" i="10"/>
  <c r="BV52" i="10" l="1"/>
  <c r="BW51" i="10"/>
  <c r="AX52" i="7"/>
  <c r="AY51" i="7"/>
  <c r="AH185" i="10"/>
  <c r="AH184" i="10"/>
  <c r="AI81" i="10"/>
  <c r="AH90" i="10"/>
  <c r="AH92" i="10" s="1"/>
  <c r="AH131" i="10"/>
  <c r="E106" i="7"/>
  <c r="C106" i="7"/>
  <c r="I103" i="7" s="1"/>
  <c r="J184" i="7"/>
  <c r="J185" i="7"/>
  <c r="K81" i="7"/>
  <c r="J90" i="7"/>
  <c r="J92" i="7" s="1"/>
  <c r="J107" i="7"/>
  <c r="AX80" i="7"/>
  <c r="E130" i="10"/>
  <c r="C130" i="10"/>
  <c r="AG103" i="10" s="1"/>
  <c r="BV80" i="10"/>
  <c r="BW80" i="10" s="1"/>
  <c r="CH46" i="5"/>
  <c r="E194" i="5"/>
  <c r="E124" i="4" s="1"/>
  <c r="F14" i="4" s="1"/>
  <c r="CH47" i="5"/>
  <c r="CH200" i="5" l="1"/>
  <c r="E200" i="5" s="1"/>
  <c r="CH25" i="5"/>
  <c r="CH99" i="5"/>
  <c r="E47" i="5"/>
  <c r="E125" i="4" s="1"/>
  <c r="CH76" i="5"/>
  <c r="K185" i="7"/>
  <c r="K184" i="7"/>
  <c r="L81" i="7"/>
  <c r="K90" i="7"/>
  <c r="K92" i="7" s="1"/>
  <c r="K108" i="7"/>
  <c r="CH201" i="5"/>
  <c r="E201" i="5" s="1"/>
  <c r="CH58" i="5"/>
  <c r="CH57" i="5" s="1"/>
  <c r="E46" i="5"/>
  <c r="CH75" i="5"/>
  <c r="E75" i="5" s="1"/>
  <c r="E107" i="7"/>
  <c r="C107" i="7"/>
  <c r="J103" i="7" s="1"/>
  <c r="AI185" i="10"/>
  <c r="AI184" i="10"/>
  <c r="AJ81" i="10"/>
  <c r="AI90" i="10"/>
  <c r="AI92" i="10" s="1"/>
  <c r="AI132" i="10"/>
  <c r="AY52" i="7"/>
  <c r="AZ51" i="7"/>
  <c r="BW52" i="10"/>
  <c r="BX51" i="10"/>
  <c r="BX80" i="10" s="1"/>
  <c r="AY80" i="7"/>
  <c r="C131" i="10"/>
  <c r="AH103" i="10" s="1"/>
  <c r="E131" i="10"/>
  <c r="CH102" i="5"/>
  <c r="AZ80" i="7" l="1"/>
  <c r="E102" i="5"/>
  <c r="E130" i="4" s="1"/>
  <c r="D26" i="8" s="1"/>
  <c r="E57" i="5"/>
  <c r="CH86" i="5"/>
  <c r="E86" i="5" s="1"/>
  <c r="C132" i="10"/>
  <c r="AI103" i="10" s="1"/>
  <c r="E132" i="10"/>
  <c r="CH101" i="5"/>
  <c r="E101" i="5" s="1"/>
  <c r="E128" i="4" s="1"/>
  <c r="D24" i="8" s="1"/>
  <c r="CH91" i="5"/>
  <c r="E76" i="5"/>
  <c r="C108" i="7"/>
  <c r="K103" i="7" s="1"/>
  <c r="E108" i="7"/>
  <c r="E25" i="5"/>
  <c r="CH28" i="5"/>
  <c r="E28" i="5" s="1"/>
  <c r="L184" i="7"/>
  <c r="L185" i="7"/>
  <c r="M81" i="7"/>
  <c r="L90" i="7"/>
  <c r="L92" i="7" s="1"/>
  <c r="L109" i="7"/>
  <c r="E58" i="5"/>
  <c r="CH87" i="5"/>
  <c r="E87" i="5" s="1"/>
  <c r="BX52" i="10"/>
  <c r="BY51" i="10"/>
  <c r="BY80" i="10" s="1"/>
  <c r="AJ185" i="10"/>
  <c r="AJ184" i="10"/>
  <c r="AK81" i="10"/>
  <c r="AJ90" i="10"/>
  <c r="AJ92" i="10" s="1"/>
  <c r="AJ133" i="10"/>
  <c r="E99" i="5"/>
  <c r="CH100" i="5"/>
  <c r="AZ52" i="7"/>
  <c r="BA51" i="7"/>
  <c r="BA80" i="7" s="1"/>
  <c r="E91" i="5" l="1"/>
  <c r="BY52" i="10"/>
  <c r="BZ51" i="10"/>
  <c r="C133" i="10"/>
  <c r="AJ103" i="10" s="1"/>
  <c r="E133" i="10"/>
  <c r="E100" i="5"/>
  <c r="CH93" i="5"/>
  <c r="E93" i="5" s="1"/>
  <c r="E131" i="4" s="1"/>
  <c r="C109" i="7"/>
  <c r="L103" i="7" s="1"/>
  <c r="E109" i="7"/>
  <c r="AK185" i="10"/>
  <c r="AK184" i="10"/>
  <c r="AK90" i="10"/>
  <c r="AK92" i="10" s="1"/>
  <c r="AL81" i="10"/>
  <c r="AK134" i="10"/>
  <c r="M185" i="7"/>
  <c r="M184" i="7"/>
  <c r="N81" i="7"/>
  <c r="M90" i="7"/>
  <c r="M92" i="7" s="1"/>
  <c r="M110" i="7"/>
  <c r="BA52" i="7"/>
  <c r="BB51" i="7"/>
  <c r="G51" i="5"/>
  <c r="H51" i="5"/>
  <c r="H52" i="5" s="1"/>
  <c r="I51" i="5"/>
  <c r="I52" i="5" s="1"/>
  <c r="J51" i="5"/>
  <c r="J52" i="5" s="1"/>
  <c r="K51" i="5"/>
  <c r="K52" i="5" s="1"/>
  <c r="L51" i="5"/>
  <c r="L52" i="5" s="1"/>
  <c r="M51" i="5"/>
  <c r="M52" i="5" s="1"/>
  <c r="N51" i="5"/>
  <c r="N52" i="5" s="1"/>
  <c r="O51" i="5"/>
  <c r="O52" i="5" s="1"/>
  <c r="P51" i="5"/>
  <c r="P52" i="5" s="1"/>
  <c r="Q51" i="5"/>
  <c r="Q52" i="5" s="1"/>
  <c r="R51" i="5"/>
  <c r="R52" i="5" s="1"/>
  <c r="S51" i="5"/>
  <c r="S52" i="5" s="1"/>
  <c r="T51" i="5"/>
  <c r="T52" i="5" s="1"/>
  <c r="U51" i="5"/>
  <c r="U52" i="5" s="1"/>
  <c r="V51" i="5"/>
  <c r="V52" i="5" s="1"/>
  <c r="W51" i="5"/>
  <c r="W52" i="5" s="1"/>
  <c r="X51" i="5"/>
  <c r="X52" i="5" s="1"/>
  <c r="Y51" i="5"/>
  <c r="Y52" i="5" s="1"/>
  <c r="Z51" i="5"/>
  <c r="Z52" i="5" s="1"/>
  <c r="AA51" i="5"/>
  <c r="AA52" i="5" s="1"/>
  <c r="AB51" i="5"/>
  <c r="AB52" i="5" s="1"/>
  <c r="AC51" i="5"/>
  <c r="AC52" i="5" s="1"/>
  <c r="AD51" i="5"/>
  <c r="AD52" i="5" s="1"/>
  <c r="AE51" i="5"/>
  <c r="AE52" i="5" s="1"/>
  <c r="AF51" i="5"/>
  <c r="AF52" i="5" s="1"/>
  <c r="AG51" i="5"/>
  <c r="AG52" i="5" s="1"/>
  <c r="AH51" i="5"/>
  <c r="AH52" i="5" s="1"/>
  <c r="AI51" i="5"/>
  <c r="AI52" i="5" s="1"/>
  <c r="AJ51" i="5"/>
  <c r="AJ52" i="5" s="1"/>
  <c r="AK51" i="5"/>
  <c r="AK52" i="5" s="1"/>
  <c r="AL51" i="5"/>
  <c r="AL52" i="5" s="1"/>
  <c r="AM51" i="5"/>
  <c r="AM52" i="5" s="1"/>
  <c r="AN51" i="5"/>
  <c r="AN52" i="5" s="1"/>
  <c r="AO51" i="5"/>
  <c r="AO52" i="5" s="1"/>
  <c r="AP51" i="5"/>
  <c r="AP52" i="5" s="1"/>
  <c r="AQ51" i="5"/>
  <c r="AQ52" i="5" s="1"/>
  <c r="AR51" i="5"/>
  <c r="AR52" i="5" s="1"/>
  <c r="AS51" i="5"/>
  <c r="AS52" i="5" s="1"/>
  <c r="AT51" i="5" l="1"/>
  <c r="BB52" i="7"/>
  <c r="BC51" i="7"/>
  <c r="AL185" i="10"/>
  <c r="AL184" i="10"/>
  <c r="AM81" i="10"/>
  <c r="AL90" i="10"/>
  <c r="AL92" i="10" s="1"/>
  <c r="AL135" i="10"/>
  <c r="E110" i="7"/>
  <c r="C110" i="7"/>
  <c r="M103" i="7" s="1"/>
  <c r="BZ52" i="10"/>
  <c r="CA51" i="10"/>
  <c r="N185" i="7"/>
  <c r="N184" i="7"/>
  <c r="N90" i="7"/>
  <c r="N92" i="7" s="1"/>
  <c r="O81" i="7"/>
  <c r="N111" i="7"/>
  <c r="BZ80" i="10"/>
  <c r="AU51" i="5"/>
  <c r="AU52" i="5" s="1"/>
  <c r="G80" i="5"/>
  <c r="H80" i="5" s="1"/>
  <c r="I80" i="5" s="1"/>
  <c r="J80" i="5" s="1"/>
  <c r="K80" i="5" s="1"/>
  <c r="L80" i="5" s="1"/>
  <c r="M80" i="5" s="1"/>
  <c r="N80" i="5" s="1"/>
  <c r="O80" i="5" s="1"/>
  <c r="P80" i="5" s="1"/>
  <c r="Q80" i="5" s="1"/>
  <c r="R80" i="5" s="1"/>
  <c r="S80" i="5" s="1"/>
  <c r="T80" i="5" s="1"/>
  <c r="U80" i="5" s="1"/>
  <c r="V80" i="5" s="1"/>
  <c r="W80" i="5" s="1"/>
  <c r="X80" i="5" s="1"/>
  <c r="Y80" i="5" s="1"/>
  <c r="Z80" i="5" s="1"/>
  <c r="AA80" i="5" s="1"/>
  <c r="AB80" i="5" s="1"/>
  <c r="AC80" i="5" s="1"/>
  <c r="AD80" i="5" s="1"/>
  <c r="AE80" i="5" s="1"/>
  <c r="AF80" i="5" s="1"/>
  <c r="AG80" i="5" s="1"/>
  <c r="AH80" i="5" s="1"/>
  <c r="AI80" i="5" s="1"/>
  <c r="AJ80" i="5" s="1"/>
  <c r="AK80" i="5" s="1"/>
  <c r="AL80" i="5" s="1"/>
  <c r="AM80" i="5" s="1"/>
  <c r="AN80" i="5" s="1"/>
  <c r="AO80" i="5" s="1"/>
  <c r="AP80" i="5" s="1"/>
  <c r="AQ80" i="5" s="1"/>
  <c r="AR80" i="5" s="1"/>
  <c r="AS80" i="5" s="1"/>
  <c r="AT80" i="5" s="1"/>
  <c r="AU80" i="5" s="1"/>
  <c r="G52" i="5"/>
  <c r="C134" i="10"/>
  <c r="AK103" i="10" s="1"/>
  <c r="E134" i="10"/>
  <c r="BB80" i="7"/>
  <c r="CA80" i="10" l="1"/>
  <c r="G81" i="5"/>
  <c r="AV51" i="5"/>
  <c r="E111" i="7"/>
  <c r="C111" i="7"/>
  <c r="N103" i="7" s="1"/>
  <c r="BC52" i="7"/>
  <c r="BD51" i="7"/>
  <c r="O184" i="7"/>
  <c r="O185" i="7"/>
  <c r="P81" i="7"/>
  <c r="O90" i="7"/>
  <c r="O92" i="7" s="1"/>
  <c r="O112" i="7"/>
  <c r="CA52" i="10"/>
  <c r="CB51" i="10"/>
  <c r="AM184" i="10"/>
  <c r="AM185" i="10"/>
  <c r="AM90" i="10"/>
  <c r="AM92" i="10" s="1"/>
  <c r="AN81" i="10"/>
  <c r="AM136" i="10"/>
  <c r="AT52" i="5"/>
  <c r="BC80" i="7"/>
  <c r="C135" i="10"/>
  <c r="AL103" i="10" s="1"/>
  <c r="E135" i="10"/>
  <c r="BD80" i="7" l="1"/>
  <c r="CB52" i="10"/>
  <c r="CC51" i="10"/>
  <c r="P184" i="7"/>
  <c r="P185" i="7"/>
  <c r="P90" i="7"/>
  <c r="P92" i="7" s="1"/>
  <c r="Q81" i="7"/>
  <c r="P113" i="7"/>
  <c r="AV52" i="5"/>
  <c r="AW51" i="5"/>
  <c r="AV80" i="5"/>
  <c r="G185" i="5"/>
  <c r="G184" i="5"/>
  <c r="G90" i="5"/>
  <c r="G92" i="5" s="1"/>
  <c r="H81" i="5"/>
  <c r="G104" i="5"/>
  <c r="E112" i="7"/>
  <c r="C112" i="7"/>
  <c r="O103" i="7" s="1"/>
  <c r="E136" i="10"/>
  <c r="C136" i="10"/>
  <c r="AM103" i="10" s="1"/>
  <c r="BD52" i="7"/>
  <c r="BE51" i="7"/>
  <c r="CB80" i="10"/>
  <c r="AN185" i="10"/>
  <c r="AN184" i="10"/>
  <c r="AO81" i="10"/>
  <c r="AN90" i="10"/>
  <c r="AN92" i="10" s="1"/>
  <c r="AN137" i="10"/>
  <c r="CC80" i="10" l="1"/>
  <c r="BE52" i="7"/>
  <c r="BF51" i="7"/>
  <c r="AO184" i="10"/>
  <c r="AO185" i="10"/>
  <c r="AP81" i="10"/>
  <c r="AO90" i="10"/>
  <c r="AO92" i="10" s="1"/>
  <c r="AO138" i="10"/>
  <c r="E104" i="5"/>
  <c r="C104" i="5"/>
  <c r="G103" i="5" s="1"/>
  <c r="E113" i="7"/>
  <c r="C113" i="7"/>
  <c r="P103" i="7" s="1"/>
  <c r="Q185" i="7"/>
  <c r="Q184" i="7"/>
  <c r="Q90" i="7"/>
  <c r="Q92" i="7" s="1"/>
  <c r="R81" i="7"/>
  <c r="Q114" i="7"/>
  <c r="AW52" i="5"/>
  <c r="AX51" i="5"/>
  <c r="AW80" i="5"/>
  <c r="AX80" i="5" s="1"/>
  <c r="CC52" i="10"/>
  <c r="CD51" i="10"/>
  <c r="CD80" i="10" s="1"/>
  <c r="C137" i="10"/>
  <c r="AN103" i="10" s="1"/>
  <c r="E137" i="10"/>
  <c r="H184" i="5"/>
  <c r="H185" i="5"/>
  <c r="I81" i="5"/>
  <c r="H90" i="5"/>
  <c r="H92" i="5" s="1"/>
  <c r="H105" i="5"/>
  <c r="BE80" i="7"/>
  <c r="BF80" i="7" l="1"/>
  <c r="AX52" i="5"/>
  <c r="AY51" i="5"/>
  <c r="E114" i="7"/>
  <c r="C114" i="7"/>
  <c r="Q103" i="7" s="1"/>
  <c r="R184" i="7"/>
  <c r="R185" i="7"/>
  <c r="R90" i="7"/>
  <c r="R92" i="7" s="1"/>
  <c r="S81" i="7"/>
  <c r="R115" i="7"/>
  <c r="C138" i="10"/>
  <c r="AO103" i="10" s="1"/>
  <c r="E138" i="10"/>
  <c r="BF52" i="7"/>
  <c r="BG51" i="7"/>
  <c r="C105" i="5"/>
  <c r="H103" i="5" s="1"/>
  <c r="E105" i="5"/>
  <c r="AP184" i="10"/>
  <c r="AP185" i="10"/>
  <c r="AQ81" i="10"/>
  <c r="AP90" i="10"/>
  <c r="AP92" i="10" s="1"/>
  <c r="AP139" i="10"/>
  <c r="AY80" i="5"/>
  <c r="CD52" i="10"/>
  <c r="CE51" i="10"/>
  <c r="CE80" i="10" s="1"/>
  <c r="I184" i="5"/>
  <c r="I185" i="5"/>
  <c r="I90" i="5"/>
  <c r="I92" i="5" s="1"/>
  <c r="J81" i="5"/>
  <c r="I106" i="5"/>
  <c r="K81" i="5" l="1"/>
  <c r="J90" i="5"/>
  <c r="J92" i="5" s="1"/>
  <c r="J184" i="5"/>
  <c r="J185" i="5"/>
  <c r="J107" i="5"/>
  <c r="CF80" i="10"/>
  <c r="BG52" i="7"/>
  <c r="BH51" i="7"/>
  <c r="E139" i="10"/>
  <c r="C139" i="10"/>
  <c r="AP103" i="10" s="1"/>
  <c r="BG80" i="7"/>
  <c r="AQ184" i="10"/>
  <c r="AQ185" i="10"/>
  <c r="AR81" i="10"/>
  <c r="AQ90" i="10"/>
  <c r="AQ92" i="10" s="1"/>
  <c r="AQ140" i="10"/>
  <c r="CE52" i="10"/>
  <c r="CF51" i="10"/>
  <c r="C115" i="7"/>
  <c r="R103" i="7" s="1"/>
  <c r="E115" i="7"/>
  <c r="AY52" i="5"/>
  <c r="AZ51" i="5"/>
  <c r="S184" i="7"/>
  <c r="S185" i="7"/>
  <c r="T81" i="7"/>
  <c r="S90" i="7"/>
  <c r="S92" i="7" s="1"/>
  <c r="S116" i="7"/>
  <c r="C106" i="5"/>
  <c r="I103" i="5" s="1"/>
  <c r="E106" i="5"/>
  <c r="BH80" i="7" l="1"/>
  <c r="AZ52" i="5"/>
  <c r="BA51" i="5"/>
  <c r="AR185" i="10"/>
  <c r="AR184" i="10"/>
  <c r="AS81" i="10"/>
  <c r="AR90" i="10"/>
  <c r="AR92" i="10" s="1"/>
  <c r="AR141" i="10"/>
  <c r="AZ80" i="5"/>
  <c r="T185" i="7"/>
  <c r="T184" i="7"/>
  <c r="U81" i="7"/>
  <c r="T90" i="7"/>
  <c r="T92" i="7" s="1"/>
  <c r="T117" i="7"/>
  <c r="E107" i="5"/>
  <c r="C107" i="5"/>
  <c r="J103" i="5" s="1"/>
  <c r="C116" i="7"/>
  <c r="S103" i="7" s="1"/>
  <c r="E116" i="7"/>
  <c r="CF52" i="10"/>
  <c r="CG51" i="10"/>
  <c r="C140" i="10"/>
  <c r="AQ103" i="10" s="1"/>
  <c r="E140" i="10"/>
  <c r="BH52" i="7"/>
  <c r="BI51" i="7"/>
  <c r="K184" i="5"/>
  <c r="L81" i="5"/>
  <c r="K90" i="5"/>
  <c r="K92" i="5" s="1"/>
  <c r="K185" i="5"/>
  <c r="K108" i="5"/>
  <c r="BA80" i="5" l="1"/>
  <c r="L184" i="5"/>
  <c r="L185" i="5"/>
  <c r="L90" i="5"/>
  <c r="L92" i="5" s="1"/>
  <c r="M81" i="5"/>
  <c r="L109" i="5"/>
  <c r="BI52" i="7"/>
  <c r="BJ51" i="7"/>
  <c r="C117" i="7"/>
  <c r="T103" i="7" s="1"/>
  <c r="E117" i="7"/>
  <c r="C108" i="5"/>
  <c r="K103" i="5" s="1"/>
  <c r="E108" i="5"/>
  <c r="AS185" i="10"/>
  <c r="AS184" i="10"/>
  <c r="AS90" i="10"/>
  <c r="AS92" i="10" s="1"/>
  <c r="AT81" i="10"/>
  <c r="AS142" i="10"/>
  <c r="CG52" i="10"/>
  <c r="CH51" i="10"/>
  <c r="U185" i="7"/>
  <c r="V81" i="7"/>
  <c r="U90" i="7"/>
  <c r="U92" i="7" s="1"/>
  <c r="U184" i="7"/>
  <c r="U118" i="7"/>
  <c r="BI80" i="7"/>
  <c r="BA52" i="5"/>
  <c r="BB51" i="5"/>
  <c r="BB80" i="5" s="1"/>
  <c r="E141" i="10"/>
  <c r="C141" i="10"/>
  <c r="AR103" i="10" s="1"/>
  <c r="CG80" i="10"/>
  <c r="CH80" i="10" s="1"/>
  <c r="E80" i="10" s="1"/>
  <c r="BJ80" i="7" l="1"/>
  <c r="C142" i="10"/>
  <c r="AS103" i="10" s="1"/>
  <c r="E142" i="10"/>
  <c r="E118" i="7"/>
  <c r="C118" i="7"/>
  <c r="U103" i="7" s="1"/>
  <c r="AT185" i="10"/>
  <c r="AT184" i="10"/>
  <c r="AU81" i="10"/>
  <c r="AT90" i="10"/>
  <c r="AT92" i="10" s="1"/>
  <c r="AT143" i="10"/>
  <c r="V185" i="7"/>
  <c r="V184" i="7"/>
  <c r="V90" i="7"/>
  <c r="V92" i="7" s="1"/>
  <c r="W81" i="7"/>
  <c r="V119" i="7"/>
  <c r="E109" i="5"/>
  <c r="C109" i="5"/>
  <c r="L103" i="5" s="1"/>
  <c r="BJ52" i="7"/>
  <c r="BK51" i="7"/>
  <c r="M185" i="5"/>
  <c r="M184" i="5"/>
  <c r="M90" i="5"/>
  <c r="M92" i="5" s="1"/>
  <c r="N81" i="5"/>
  <c r="M110" i="5"/>
  <c r="BB52" i="5"/>
  <c r="BC51" i="5"/>
  <c r="CH52" i="10"/>
  <c r="E52" i="10" s="1"/>
  <c r="E51" i="10"/>
  <c r="BC52" i="5" l="1"/>
  <c r="BD51" i="5"/>
  <c r="N184" i="5"/>
  <c r="N90" i="5"/>
  <c r="N92" i="5" s="1"/>
  <c r="O81" i="5"/>
  <c r="N185" i="5"/>
  <c r="N111" i="5"/>
  <c r="C119" i="7"/>
  <c r="V103" i="7" s="1"/>
  <c r="E119" i="7"/>
  <c r="AU184" i="10"/>
  <c r="AU185" i="10"/>
  <c r="AU90" i="10"/>
  <c r="AU92" i="10" s="1"/>
  <c r="AV81" i="10"/>
  <c r="AU144" i="10"/>
  <c r="W184" i="7"/>
  <c r="W185" i="7"/>
  <c r="X81" i="7"/>
  <c r="W90" i="7"/>
  <c r="W92" i="7" s="1"/>
  <c r="W120" i="7"/>
  <c r="BK52" i="7"/>
  <c r="BL51" i="7"/>
  <c r="BC80" i="5"/>
  <c r="BD80" i="5" s="1"/>
  <c r="C143" i="10"/>
  <c r="AT103" i="10" s="1"/>
  <c r="E143" i="10"/>
  <c r="E110" i="5"/>
  <c r="C110" i="5"/>
  <c r="M103" i="5" s="1"/>
  <c r="BK80" i="7"/>
  <c r="AV185" i="10" l="1"/>
  <c r="AV184" i="10"/>
  <c r="AW81" i="10"/>
  <c r="AV90" i="10"/>
  <c r="AV92" i="10" s="1"/>
  <c r="AV145" i="10"/>
  <c r="E111" i="5"/>
  <c r="C111" i="5"/>
  <c r="N103" i="5" s="1"/>
  <c r="C144" i="10"/>
  <c r="AU103" i="10" s="1"/>
  <c r="E144" i="10"/>
  <c r="BL52" i="7"/>
  <c r="BM51" i="7"/>
  <c r="O185" i="5"/>
  <c r="O184" i="5"/>
  <c r="O90" i="5"/>
  <c r="O92" i="5" s="1"/>
  <c r="P81" i="5"/>
  <c r="O112" i="5"/>
  <c r="BL80" i="7"/>
  <c r="E120" i="7"/>
  <c r="C120" i="7"/>
  <c r="W103" i="7" s="1"/>
  <c r="BD52" i="5"/>
  <c r="BE51" i="5"/>
  <c r="X185" i="7"/>
  <c r="X184" i="7"/>
  <c r="X90" i="7"/>
  <c r="X92" i="7" s="1"/>
  <c r="Y81" i="7"/>
  <c r="X121" i="7"/>
  <c r="C121" i="7" l="1"/>
  <c r="X103" i="7" s="1"/>
  <c r="E121" i="7"/>
  <c r="BE52" i="5"/>
  <c r="BF51" i="5"/>
  <c r="C145" i="10"/>
  <c r="AV103" i="10" s="1"/>
  <c r="E145" i="10"/>
  <c r="BM52" i="7"/>
  <c r="BN51" i="7"/>
  <c r="AW184" i="10"/>
  <c r="AW185" i="10"/>
  <c r="AW90" i="10"/>
  <c r="AW92" i="10" s="1"/>
  <c r="AX81" i="10"/>
  <c r="AW146" i="10"/>
  <c r="Y185" i="7"/>
  <c r="Y184" i="7"/>
  <c r="Y90" i="7"/>
  <c r="Y92" i="7" s="1"/>
  <c r="Z81" i="7"/>
  <c r="Y122" i="7"/>
  <c r="BM80" i="7"/>
  <c r="P184" i="5"/>
  <c r="P185" i="5"/>
  <c r="P90" i="5"/>
  <c r="P92" i="5" s="1"/>
  <c r="Q81" i="5"/>
  <c r="P113" i="5"/>
  <c r="C112" i="5"/>
  <c r="O103" i="5" s="1"/>
  <c r="E112" i="5"/>
  <c r="BE80" i="5"/>
  <c r="BN80" i="7" l="1"/>
  <c r="Z184" i="7"/>
  <c r="Z185" i="7"/>
  <c r="AA81" i="7"/>
  <c r="Z90" i="7"/>
  <c r="Z92" i="7" s="1"/>
  <c r="Z123" i="7"/>
  <c r="E113" i="5"/>
  <c r="C113" i="5"/>
  <c r="P103" i="5" s="1"/>
  <c r="BN52" i="7"/>
  <c r="BO51" i="7"/>
  <c r="Q185" i="5"/>
  <c r="Q184" i="5"/>
  <c r="Q90" i="5"/>
  <c r="Q92" i="5" s="1"/>
  <c r="R81" i="5"/>
  <c r="Q114" i="5"/>
  <c r="E146" i="10"/>
  <c r="C146" i="10"/>
  <c r="AW103" i="10" s="1"/>
  <c r="AX185" i="10"/>
  <c r="AX184" i="10"/>
  <c r="AY81" i="10"/>
  <c r="AX90" i="10"/>
  <c r="AX92" i="10" s="1"/>
  <c r="AX147" i="10"/>
  <c r="BF52" i="5"/>
  <c r="BG51" i="5"/>
  <c r="BF80" i="5"/>
  <c r="BO80" i="7"/>
  <c r="E122" i="7"/>
  <c r="C122" i="7"/>
  <c r="Y103" i="7" s="1"/>
  <c r="BG80" i="5" l="1"/>
  <c r="AY184" i="10"/>
  <c r="AY185" i="10"/>
  <c r="AZ81" i="10"/>
  <c r="AY90" i="10"/>
  <c r="AY92" i="10" s="1"/>
  <c r="AY148" i="10"/>
  <c r="AA184" i="7"/>
  <c r="AA185" i="7"/>
  <c r="AB81" i="7"/>
  <c r="AA90" i="7"/>
  <c r="AA92" i="7" s="1"/>
  <c r="AA124" i="7"/>
  <c r="BG52" i="5"/>
  <c r="BH51" i="5"/>
  <c r="C114" i="5"/>
  <c r="Q103" i="5" s="1"/>
  <c r="E114" i="5"/>
  <c r="E147" i="10"/>
  <c r="C147" i="10"/>
  <c r="AX103" i="10" s="1"/>
  <c r="E123" i="7"/>
  <c r="C123" i="7"/>
  <c r="Z103" i="7" s="1"/>
  <c r="S81" i="5"/>
  <c r="R185" i="5"/>
  <c r="R90" i="5"/>
  <c r="R92" i="5" s="1"/>
  <c r="R184" i="5"/>
  <c r="R115" i="5"/>
  <c r="BO52" i="7"/>
  <c r="BP51" i="7"/>
  <c r="AB184" i="7" l="1"/>
  <c r="AB185" i="7"/>
  <c r="AC81" i="7"/>
  <c r="AB90" i="7"/>
  <c r="AB92" i="7" s="1"/>
  <c r="AB125" i="7"/>
  <c r="BH52" i="5"/>
  <c r="BI51" i="5"/>
  <c r="BP52" i="7"/>
  <c r="BQ51" i="7"/>
  <c r="BH80" i="5"/>
  <c r="AZ185" i="10"/>
  <c r="AZ184" i="10"/>
  <c r="BA81" i="10"/>
  <c r="AZ90" i="10"/>
  <c r="AZ92" i="10" s="1"/>
  <c r="AZ149" i="10"/>
  <c r="C115" i="5"/>
  <c r="R103" i="5" s="1"/>
  <c r="E115" i="5"/>
  <c r="E148" i="10"/>
  <c r="C148" i="10"/>
  <c r="AY103" i="10" s="1"/>
  <c r="T81" i="5"/>
  <c r="S185" i="5"/>
  <c r="S90" i="5"/>
  <c r="S92" i="5" s="1"/>
  <c r="S184" i="5"/>
  <c r="S116" i="5"/>
  <c r="C124" i="7"/>
  <c r="AA103" i="7" s="1"/>
  <c r="E124" i="7"/>
  <c r="BP80" i="7"/>
  <c r="BQ80" i="7" s="1"/>
  <c r="C116" i="5" l="1"/>
  <c r="S103" i="5" s="1"/>
  <c r="E116" i="5"/>
  <c r="BI52" i="5"/>
  <c r="BJ51" i="5"/>
  <c r="AC185" i="7"/>
  <c r="AC184" i="7"/>
  <c r="AD81" i="7"/>
  <c r="AC90" i="7"/>
  <c r="AC92" i="7" s="1"/>
  <c r="AC126" i="7"/>
  <c r="C149" i="10"/>
  <c r="AZ103" i="10" s="1"/>
  <c r="E149" i="10"/>
  <c r="BA185" i="10"/>
  <c r="BA184" i="10"/>
  <c r="BA90" i="10"/>
  <c r="BA92" i="10" s="1"/>
  <c r="BB81" i="10"/>
  <c r="BA150" i="10"/>
  <c r="E125" i="7"/>
  <c r="C125" i="7"/>
  <c r="AB103" i="7" s="1"/>
  <c r="T184" i="5"/>
  <c r="T185" i="5"/>
  <c r="T90" i="5"/>
  <c r="T92" i="5" s="1"/>
  <c r="U81" i="5"/>
  <c r="T117" i="5"/>
  <c r="BI80" i="5"/>
  <c r="BQ52" i="7"/>
  <c r="BR51" i="7"/>
  <c r="BR80" i="7" s="1"/>
  <c r="BJ80" i="5" l="1"/>
  <c r="C126" i="7"/>
  <c r="AC103" i="7" s="1"/>
  <c r="E126" i="7"/>
  <c r="BS80" i="7"/>
  <c r="E150" i="10"/>
  <c r="C150" i="10"/>
  <c r="BA103" i="10" s="1"/>
  <c r="BJ52" i="5"/>
  <c r="BK51" i="5"/>
  <c r="BR52" i="7"/>
  <c r="BS51" i="7"/>
  <c r="BB185" i="10"/>
  <c r="BB184" i="10"/>
  <c r="BC81" i="10"/>
  <c r="BB90" i="10"/>
  <c r="BB92" i="10" s="1"/>
  <c r="BB151" i="10"/>
  <c r="U184" i="5"/>
  <c r="U185" i="5"/>
  <c r="U90" i="5"/>
  <c r="U92" i="5" s="1"/>
  <c r="V81" i="5"/>
  <c r="U118" i="5"/>
  <c r="C117" i="5"/>
  <c r="T103" i="5" s="1"/>
  <c r="E117" i="5"/>
  <c r="AD185" i="7"/>
  <c r="AD184" i="7"/>
  <c r="AD90" i="7"/>
  <c r="AD92" i="7" s="1"/>
  <c r="AE81" i="7"/>
  <c r="AD127" i="7"/>
  <c r="BC184" i="10" l="1"/>
  <c r="BC185" i="10"/>
  <c r="BC90" i="10"/>
  <c r="BC92" i="10" s="1"/>
  <c r="BD81" i="10"/>
  <c r="BC152" i="10"/>
  <c r="V185" i="5"/>
  <c r="V184" i="5"/>
  <c r="W81" i="5"/>
  <c r="V90" i="5"/>
  <c r="V92" i="5" s="1"/>
  <c r="V119" i="5"/>
  <c r="AE184" i="7"/>
  <c r="AE185" i="7"/>
  <c r="AF81" i="7"/>
  <c r="AE90" i="7"/>
  <c r="AE92" i="7" s="1"/>
  <c r="AE128" i="7"/>
  <c r="BK52" i="5"/>
  <c r="BL51" i="5"/>
  <c r="E151" i="10"/>
  <c r="C151" i="10"/>
  <c r="BB103" i="10" s="1"/>
  <c r="C127" i="7"/>
  <c r="AD103" i="7" s="1"/>
  <c r="E127" i="7"/>
  <c r="E118" i="5"/>
  <c r="C118" i="5"/>
  <c r="U103" i="5" s="1"/>
  <c r="BS52" i="7"/>
  <c r="BT51" i="7"/>
  <c r="BT80" i="7" s="1"/>
  <c r="BK80" i="5"/>
  <c r="BL80" i="5" s="1"/>
  <c r="BD185" i="10" l="1"/>
  <c r="BD184" i="10"/>
  <c r="BE81" i="10"/>
  <c r="BD90" i="10"/>
  <c r="BD92" i="10" s="1"/>
  <c r="BD153" i="10"/>
  <c r="W185" i="5"/>
  <c r="W184" i="5"/>
  <c r="X81" i="5"/>
  <c r="W90" i="5"/>
  <c r="W92" i="5" s="1"/>
  <c r="W120" i="5"/>
  <c r="AF184" i="7"/>
  <c r="AF185" i="7"/>
  <c r="AF90" i="7"/>
  <c r="AF92" i="7" s="1"/>
  <c r="AG81" i="7"/>
  <c r="AF129" i="7"/>
  <c r="C152" i="10"/>
  <c r="BC103" i="10" s="1"/>
  <c r="E152" i="10"/>
  <c r="C128" i="7"/>
  <c r="AE103" i="7" s="1"/>
  <c r="E128" i="7"/>
  <c r="BT52" i="7"/>
  <c r="BU51" i="7"/>
  <c r="BU80" i="7" s="1"/>
  <c r="E119" i="5"/>
  <c r="C119" i="5"/>
  <c r="V103" i="5" s="1"/>
  <c r="BL52" i="5"/>
  <c r="BM51" i="5"/>
  <c r="BM80" i="5" s="1"/>
  <c r="C129" i="7" l="1"/>
  <c r="AF103" i="7" s="1"/>
  <c r="E129" i="7"/>
  <c r="C120" i="5"/>
  <c r="W103" i="5" s="1"/>
  <c r="E120" i="5"/>
  <c r="BE184" i="10"/>
  <c r="BE185" i="10"/>
  <c r="BF81" i="10"/>
  <c r="BE90" i="10"/>
  <c r="BE92" i="10" s="1"/>
  <c r="BE154" i="10"/>
  <c r="AG185" i="7"/>
  <c r="AG184" i="7"/>
  <c r="AH81" i="7"/>
  <c r="AG90" i="7"/>
  <c r="AG92" i="7" s="1"/>
  <c r="AG130" i="7"/>
  <c r="E153" i="10"/>
  <c r="C153" i="10"/>
  <c r="BD103" i="10" s="1"/>
  <c r="BM52" i="5"/>
  <c r="BN51" i="5"/>
  <c r="BU52" i="7"/>
  <c r="BV51" i="7"/>
  <c r="X184" i="5"/>
  <c r="Y81" i="5"/>
  <c r="X185" i="5"/>
  <c r="X90" i="5"/>
  <c r="X92" i="5" s="1"/>
  <c r="X121" i="5"/>
  <c r="BV52" i="7" l="1"/>
  <c r="BW51" i="7"/>
  <c r="AH184" i="7"/>
  <c r="AH185" i="7"/>
  <c r="AI81" i="7"/>
  <c r="AH90" i="7"/>
  <c r="AH92" i="7" s="1"/>
  <c r="AH131" i="7"/>
  <c r="BN52" i="5"/>
  <c r="BO51" i="5"/>
  <c r="Y184" i="5"/>
  <c r="Y185" i="5"/>
  <c r="Z81" i="5"/>
  <c r="Y90" i="5"/>
  <c r="Y92" i="5" s="1"/>
  <c r="Y122" i="5"/>
  <c r="BN80" i="5"/>
  <c r="BO80" i="5" s="1"/>
  <c r="BF184" i="10"/>
  <c r="BF185" i="10"/>
  <c r="BG81" i="10"/>
  <c r="BF90" i="10"/>
  <c r="BF92" i="10" s="1"/>
  <c r="BF155" i="10"/>
  <c r="C121" i="5"/>
  <c r="X103" i="5" s="1"/>
  <c r="E121" i="5"/>
  <c r="C130" i="7"/>
  <c r="AG103" i="7" s="1"/>
  <c r="E130" i="7"/>
  <c r="C154" i="10"/>
  <c r="BE103" i="10" s="1"/>
  <c r="E154" i="10"/>
  <c r="BV80" i="7"/>
  <c r="BW80" i="7" s="1"/>
  <c r="C155" i="10" l="1"/>
  <c r="BF103" i="10" s="1"/>
  <c r="E155" i="10"/>
  <c r="AI185" i="7"/>
  <c r="AI184" i="7"/>
  <c r="AJ81" i="7"/>
  <c r="AI90" i="7"/>
  <c r="AI92" i="7" s="1"/>
  <c r="AI132" i="7"/>
  <c r="Z185" i="5"/>
  <c r="AA81" i="5"/>
  <c r="Z90" i="5"/>
  <c r="Z92" i="5" s="1"/>
  <c r="Z184" i="5"/>
  <c r="Z123" i="5"/>
  <c r="BP80" i="5"/>
  <c r="C131" i="7"/>
  <c r="AH103" i="7" s="1"/>
  <c r="E131" i="7"/>
  <c r="E122" i="5"/>
  <c r="C122" i="5"/>
  <c r="Y103" i="5" s="1"/>
  <c r="BG184" i="10"/>
  <c r="BG185" i="10"/>
  <c r="BH81" i="10"/>
  <c r="BG90" i="10"/>
  <c r="BG92" i="10" s="1"/>
  <c r="BG156" i="10"/>
  <c r="BW52" i="7"/>
  <c r="BX51" i="7"/>
  <c r="BX80" i="7" s="1"/>
  <c r="BO52" i="5"/>
  <c r="BP51" i="5"/>
  <c r="AB81" i="5" l="1"/>
  <c r="AA90" i="5"/>
  <c r="AA92" i="5" s="1"/>
  <c r="AA185" i="5"/>
  <c r="AA184" i="5"/>
  <c r="AA124" i="5"/>
  <c r="BH185" i="10"/>
  <c r="BH184" i="10"/>
  <c r="BI81" i="10"/>
  <c r="BH90" i="10"/>
  <c r="BH92" i="10" s="1"/>
  <c r="BH157" i="10"/>
  <c r="BP52" i="5"/>
  <c r="BQ51" i="5"/>
  <c r="BQ80" i="5" s="1"/>
  <c r="AJ185" i="7"/>
  <c r="AJ184" i="7"/>
  <c r="AK81" i="7"/>
  <c r="AJ90" i="7"/>
  <c r="AJ92" i="7" s="1"/>
  <c r="AJ133" i="7"/>
  <c r="E123" i="5"/>
  <c r="C123" i="5"/>
  <c r="Z103" i="5" s="1"/>
  <c r="E156" i="10"/>
  <c r="C156" i="10"/>
  <c r="BG103" i="10" s="1"/>
  <c r="C132" i="7"/>
  <c r="AI103" i="7" s="1"/>
  <c r="E132" i="7"/>
  <c r="BX52" i="7"/>
  <c r="BY51" i="7"/>
  <c r="C124" i="5" l="1"/>
  <c r="AA103" i="5" s="1"/>
  <c r="E124" i="5"/>
  <c r="E133" i="7"/>
  <c r="C133" i="7"/>
  <c r="AJ103" i="7" s="1"/>
  <c r="AB90" i="5"/>
  <c r="AB92" i="5" s="1"/>
  <c r="AC81" i="5"/>
  <c r="AB185" i="5"/>
  <c r="AB184" i="5"/>
  <c r="AB125" i="5"/>
  <c r="BQ52" i="5"/>
  <c r="BR51" i="5"/>
  <c r="BY52" i="7"/>
  <c r="BZ51" i="7"/>
  <c r="E157" i="10"/>
  <c r="C157" i="10"/>
  <c r="BH103" i="10" s="1"/>
  <c r="AK185" i="7"/>
  <c r="AK184" i="7"/>
  <c r="AL81" i="7"/>
  <c r="AK90" i="7"/>
  <c r="AK92" i="7" s="1"/>
  <c r="AK134" i="7"/>
  <c r="BI185" i="10"/>
  <c r="BI184" i="10"/>
  <c r="BI90" i="10"/>
  <c r="BI92" i="10" s="1"/>
  <c r="BJ81" i="10"/>
  <c r="BI158" i="10"/>
  <c r="BY80" i="7"/>
  <c r="AC184" i="5" l="1"/>
  <c r="AC185" i="5"/>
  <c r="AC90" i="5"/>
  <c r="AC92" i="5" s="1"/>
  <c r="AD81" i="5"/>
  <c r="AC126" i="5"/>
  <c r="BZ52" i="7"/>
  <c r="CA51" i="7"/>
  <c r="BR52" i="5"/>
  <c r="BS51" i="5"/>
  <c r="AL185" i="7"/>
  <c r="AL184" i="7"/>
  <c r="AL90" i="7"/>
  <c r="AL92" i="7" s="1"/>
  <c r="AM81" i="7"/>
  <c r="AL135" i="7"/>
  <c r="E134" i="7"/>
  <c r="C134" i="7"/>
  <c r="AK103" i="7" s="1"/>
  <c r="BZ80" i="7"/>
  <c r="E158" i="10"/>
  <c r="C158" i="10"/>
  <c r="BI103" i="10" s="1"/>
  <c r="E125" i="5"/>
  <c r="C125" i="5"/>
  <c r="AB103" i="5" s="1"/>
  <c r="BJ185" i="10"/>
  <c r="BJ184" i="10"/>
  <c r="BK81" i="10"/>
  <c r="BJ90" i="10"/>
  <c r="BJ92" i="10" s="1"/>
  <c r="BJ159" i="10"/>
  <c r="BR80" i="5"/>
  <c r="BS80" i="5" s="1"/>
  <c r="CA52" i="7" l="1"/>
  <c r="CB51" i="7"/>
  <c r="AM184" i="7"/>
  <c r="AM185" i="7"/>
  <c r="AN81" i="7"/>
  <c r="AM90" i="7"/>
  <c r="AM92" i="7" s="1"/>
  <c r="AM136" i="7"/>
  <c r="AD184" i="5"/>
  <c r="AD185" i="5"/>
  <c r="AD90" i="5"/>
  <c r="AD92" i="5" s="1"/>
  <c r="AE81" i="5"/>
  <c r="AD127" i="5"/>
  <c r="BK184" i="10"/>
  <c r="BK185" i="10"/>
  <c r="BK90" i="10"/>
  <c r="BK92" i="10" s="1"/>
  <c r="BL81" i="10"/>
  <c r="BK160" i="10"/>
  <c r="C135" i="7"/>
  <c r="AL103" i="7" s="1"/>
  <c r="E135" i="7"/>
  <c r="C126" i="5"/>
  <c r="AC103" i="5" s="1"/>
  <c r="E126" i="5"/>
  <c r="BT80" i="5"/>
  <c r="E159" i="10"/>
  <c r="C159" i="10"/>
  <c r="BJ103" i="10" s="1"/>
  <c r="CA80" i="7"/>
  <c r="BS52" i="5"/>
  <c r="BT51" i="5"/>
  <c r="BL185" i="10" l="1"/>
  <c r="BL184" i="10"/>
  <c r="BM81" i="10"/>
  <c r="BL90" i="10"/>
  <c r="BL92" i="10" s="1"/>
  <c r="BL161" i="10"/>
  <c r="AN184" i="7"/>
  <c r="AN185" i="7"/>
  <c r="AN90" i="7"/>
  <c r="AN92" i="7" s="1"/>
  <c r="AO81" i="7"/>
  <c r="AN137" i="7"/>
  <c r="C127" i="5"/>
  <c r="AD103" i="5" s="1"/>
  <c r="E127" i="5"/>
  <c r="BT52" i="5"/>
  <c r="BU51" i="5"/>
  <c r="AE185" i="5"/>
  <c r="AE184" i="5"/>
  <c r="AE90" i="5"/>
  <c r="AE92" i="5" s="1"/>
  <c r="AF81" i="5"/>
  <c r="AE128" i="5"/>
  <c r="E136" i="7"/>
  <c r="C136" i="7"/>
  <c r="AM103" i="7" s="1"/>
  <c r="CB52" i="7"/>
  <c r="CC51" i="7"/>
  <c r="CB80" i="7"/>
  <c r="E160" i="10"/>
  <c r="C160" i="10"/>
  <c r="BK103" i="10" s="1"/>
  <c r="BU52" i="5" l="1"/>
  <c r="BV51" i="5"/>
  <c r="CC52" i="7"/>
  <c r="CD51" i="7"/>
  <c r="E137" i="7"/>
  <c r="C137" i="7"/>
  <c r="AN103" i="7" s="1"/>
  <c r="BM184" i="10"/>
  <c r="BM185" i="10"/>
  <c r="BM90" i="10"/>
  <c r="BM92" i="10" s="1"/>
  <c r="BN81" i="10"/>
  <c r="BM162" i="10"/>
  <c r="BU80" i="5"/>
  <c r="BV80" i="5" s="1"/>
  <c r="E161" i="10"/>
  <c r="C161" i="10"/>
  <c r="BL103" i="10" s="1"/>
  <c r="E128" i="5"/>
  <c r="C128" i="5"/>
  <c r="AE103" i="5" s="1"/>
  <c r="AO185" i="7"/>
  <c r="AO184" i="7"/>
  <c r="AO90" i="7"/>
  <c r="AO92" i="7" s="1"/>
  <c r="AP81" i="7"/>
  <c r="AO138" i="7"/>
  <c r="AF184" i="5"/>
  <c r="AF185" i="5"/>
  <c r="AF90" i="5"/>
  <c r="AF92" i="5" s="1"/>
  <c r="AG81" i="5"/>
  <c r="AF129" i="5"/>
  <c r="CC80" i="7"/>
  <c r="C138" i="7" l="1"/>
  <c r="AO103" i="7" s="1"/>
  <c r="E138" i="7"/>
  <c r="C162" i="10"/>
  <c r="BM103" i="10" s="1"/>
  <c r="E162" i="10"/>
  <c r="CD52" i="7"/>
  <c r="CE51" i="7"/>
  <c r="CD80" i="7"/>
  <c r="C129" i="5"/>
  <c r="AF103" i="5" s="1"/>
  <c r="E129" i="5"/>
  <c r="BN184" i="10"/>
  <c r="BN185" i="10"/>
  <c r="BO81" i="10"/>
  <c r="BN90" i="10"/>
  <c r="BN92" i="10" s="1"/>
  <c r="BN163" i="10"/>
  <c r="BV52" i="5"/>
  <c r="BW51" i="5"/>
  <c r="AP184" i="7"/>
  <c r="AP185" i="7"/>
  <c r="AQ81" i="7"/>
  <c r="AP90" i="7"/>
  <c r="AP92" i="7" s="1"/>
  <c r="AP139" i="7"/>
  <c r="AG185" i="5"/>
  <c r="AG184" i="5"/>
  <c r="AG90" i="5"/>
  <c r="AG92" i="5" s="1"/>
  <c r="AH81" i="5"/>
  <c r="AG130" i="5"/>
  <c r="CE52" i="7" l="1"/>
  <c r="CF51" i="7"/>
  <c r="C139" i="7"/>
  <c r="AP103" i="7" s="1"/>
  <c r="E139" i="7"/>
  <c r="BO184" i="10"/>
  <c r="BO185" i="10"/>
  <c r="BP81" i="10"/>
  <c r="BO90" i="10"/>
  <c r="BO92" i="10" s="1"/>
  <c r="BO164" i="10"/>
  <c r="AQ184" i="7"/>
  <c r="AR81" i="7"/>
  <c r="AQ185" i="7"/>
  <c r="AQ90" i="7"/>
  <c r="AQ92" i="7" s="1"/>
  <c r="AQ140" i="7"/>
  <c r="E130" i="5"/>
  <c r="C130" i="5"/>
  <c r="AG103" i="5" s="1"/>
  <c r="BW52" i="5"/>
  <c r="BX51" i="5"/>
  <c r="CE80" i="7"/>
  <c r="E163" i="10"/>
  <c r="C163" i="10"/>
  <c r="BN103" i="10" s="1"/>
  <c r="BW80" i="5"/>
  <c r="AH184" i="5"/>
  <c r="AH185" i="5"/>
  <c r="AI81" i="5"/>
  <c r="AH90" i="5"/>
  <c r="AH92" i="5" s="1"/>
  <c r="AH131" i="5"/>
  <c r="BX80" i="5" l="1"/>
  <c r="CF80" i="7"/>
  <c r="C131" i="5"/>
  <c r="AH103" i="5" s="1"/>
  <c r="E131" i="5"/>
  <c r="AR184" i="7"/>
  <c r="AS81" i="7"/>
  <c r="AR90" i="7"/>
  <c r="AR92" i="7" s="1"/>
  <c r="AR185" i="7"/>
  <c r="AR141" i="7"/>
  <c r="E140" i="7"/>
  <c r="C140" i="7"/>
  <c r="AQ103" i="7" s="1"/>
  <c r="BP185" i="10"/>
  <c r="BP184" i="10"/>
  <c r="BQ81" i="10"/>
  <c r="BP90" i="10"/>
  <c r="BP92" i="10" s="1"/>
  <c r="BP165" i="10"/>
  <c r="BX52" i="5"/>
  <c r="BY51" i="5"/>
  <c r="BY80" i="5" s="1"/>
  <c r="CF52" i="7"/>
  <c r="CG51" i="7"/>
  <c r="CG80" i="7" s="1"/>
  <c r="AI185" i="5"/>
  <c r="AJ81" i="5"/>
  <c r="AI90" i="5"/>
  <c r="AI92" i="5" s="1"/>
  <c r="AI184" i="5"/>
  <c r="AI132" i="5"/>
  <c r="C164" i="10"/>
  <c r="BO103" i="10" s="1"/>
  <c r="E164" i="10"/>
  <c r="C141" i="7" l="1"/>
  <c r="AR103" i="7" s="1"/>
  <c r="E141" i="7"/>
  <c r="C165" i="10"/>
  <c r="BP103" i="10" s="1"/>
  <c r="E165" i="10"/>
  <c r="AJ90" i="5"/>
  <c r="AJ92" i="5" s="1"/>
  <c r="AJ184" i="5"/>
  <c r="AJ185" i="5"/>
  <c r="AK81" i="5"/>
  <c r="AJ133" i="5"/>
  <c r="BQ185" i="10"/>
  <c r="BQ184" i="10"/>
  <c r="BQ90" i="10"/>
  <c r="BQ92" i="10" s="1"/>
  <c r="BR81" i="10"/>
  <c r="BQ166" i="10"/>
  <c r="AS185" i="7"/>
  <c r="AT81" i="7"/>
  <c r="AS90" i="7"/>
  <c r="AS92" i="7" s="1"/>
  <c r="AS184" i="7"/>
  <c r="AS142" i="7"/>
  <c r="CG52" i="7"/>
  <c r="CH51" i="7"/>
  <c r="BY52" i="5"/>
  <c r="BZ51" i="5"/>
  <c r="BZ80" i="5" s="1"/>
  <c r="E132" i="5"/>
  <c r="C132" i="5"/>
  <c r="AI103" i="5" s="1"/>
  <c r="E166" i="10" l="1"/>
  <c r="C166" i="10"/>
  <c r="BQ103" i="10" s="1"/>
  <c r="CH52" i="7"/>
  <c r="E52" i="7" s="1"/>
  <c r="E51" i="7"/>
  <c r="BR185" i="10"/>
  <c r="BR184" i="10"/>
  <c r="BS81" i="10"/>
  <c r="BR90" i="10"/>
  <c r="BR92" i="10" s="1"/>
  <c r="BR167" i="10"/>
  <c r="C142" i="7"/>
  <c r="AS103" i="7" s="1"/>
  <c r="E142" i="7"/>
  <c r="E133" i="5"/>
  <c r="C133" i="5"/>
  <c r="AJ103" i="5" s="1"/>
  <c r="BZ52" i="5"/>
  <c r="CA51" i="5"/>
  <c r="AT185" i="7"/>
  <c r="AT184" i="7"/>
  <c r="AT90" i="7"/>
  <c r="AT92" i="7" s="1"/>
  <c r="AU81" i="7"/>
  <c r="AT143" i="7"/>
  <c r="AK184" i="5"/>
  <c r="AK185" i="5"/>
  <c r="AL81" i="5"/>
  <c r="AK90" i="5"/>
  <c r="AK92" i="5" s="1"/>
  <c r="AK134" i="5"/>
  <c r="CH80" i="7"/>
  <c r="E80" i="7" s="1"/>
  <c r="AL184" i="5" l="1"/>
  <c r="AL185" i="5"/>
  <c r="AM81" i="5"/>
  <c r="AL90" i="5"/>
  <c r="AL92" i="5" s="1"/>
  <c r="AL135" i="5"/>
  <c r="CA52" i="5"/>
  <c r="CB51" i="5"/>
  <c r="BS184" i="10"/>
  <c r="BS185" i="10"/>
  <c r="BS90" i="10"/>
  <c r="BS92" i="10" s="1"/>
  <c r="BT81" i="10"/>
  <c r="BS168" i="10"/>
  <c r="E134" i="5"/>
  <c r="C134" i="5"/>
  <c r="AK103" i="5" s="1"/>
  <c r="E167" i="10"/>
  <c r="C167" i="10"/>
  <c r="BR103" i="10" s="1"/>
  <c r="E143" i="7"/>
  <c r="C143" i="7"/>
  <c r="AT103" i="7" s="1"/>
  <c r="AU184" i="7"/>
  <c r="AU185" i="7"/>
  <c r="AV81" i="7"/>
  <c r="AU90" i="7"/>
  <c r="AU92" i="7" s="1"/>
  <c r="AU144" i="7"/>
  <c r="CA80" i="5"/>
  <c r="CB80" i="5" s="1"/>
  <c r="AV185" i="7" l="1"/>
  <c r="AV184" i="7"/>
  <c r="AV90" i="7"/>
  <c r="AV92" i="7" s="1"/>
  <c r="AW81" i="7"/>
  <c r="AV145" i="7"/>
  <c r="E135" i="5"/>
  <c r="C135" i="5"/>
  <c r="AL103" i="5" s="1"/>
  <c r="BT185" i="10"/>
  <c r="BT184" i="10"/>
  <c r="BU81" i="10"/>
  <c r="BT90" i="10"/>
  <c r="BT92" i="10" s="1"/>
  <c r="BT169" i="10"/>
  <c r="AM185" i="5"/>
  <c r="AM184" i="5"/>
  <c r="AM90" i="5"/>
  <c r="AM92" i="5" s="1"/>
  <c r="AN81" i="5"/>
  <c r="AM136" i="5"/>
  <c r="E144" i="7"/>
  <c r="C144" i="7"/>
  <c r="AU103" i="7" s="1"/>
  <c r="CB52" i="5"/>
  <c r="CC51" i="5"/>
  <c r="C168" i="10"/>
  <c r="BS103" i="10" s="1"/>
  <c r="E168" i="10"/>
  <c r="AN184" i="5" l="1"/>
  <c r="AN185" i="5"/>
  <c r="AN90" i="5"/>
  <c r="AN92" i="5" s="1"/>
  <c r="AO81" i="5"/>
  <c r="AN137" i="5"/>
  <c r="CC52" i="5"/>
  <c r="CD51" i="5"/>
  <c r="C145" i="7"/>
  <c r="AV103" i="7" s="1"/>
  <c r="E145" i="7"/>
  <c r="E169" i="10"/>
  <c r="C169" i="10"/>
  <c r="BT103" i="10" s="1"/>
  <c r="CC80" i="5"/>
  <c r="BU184" i="10"/>
  <c r="BU185" i="10"/>
  <c r="BV81" i="10"/>
  <c r="BU90" i="10"/>
  <c r="BU92" i="10" s="1"/>
  <c r="BU170" i="10"/>
  <c r="AW185" i="7"/>
  <c r="AW184" i="7"/>
  <c r="AX81" i="7"/>
  <c r="AW90" i="7"/>
  <c r="AW92" i="7" s="1"/>
  <c r="AW146" i="7"/>
  <c r="E136" i="5"/>
  <c r="C136" i="5"/>
  <c r="AM103" i="5" s="1"/>
  <c r="BV184" i="10" l="1"/>
  <c r="BV185" i="10"/>
  <c r="BW81" i="10"/>
  <c r="BV90" i="10"/>
  <c r="BV92" i="10" s="1"/>
  <c r="BV171" i="10"/>
  <c r="C146" i="7"/>
  <c r="AW103" i="7" s="1"/>
  <c r="E146" i="7"/>
  <c r="E137" i="5"/>
  <c r="C137" i="5"/>
  <c r="AN103" i="5" s="1"/>
  <c r="CD80" i="5"/>
  <c r="CD52" i="5"/>
  <c r="CE51" i="5"/>
  <c r="AX184" i="7"/>
  <c r="AX185" i="7"/>
  <c r="AY81" i="7"/>
  <c r="AX90" i="7"/>
  <c r="AX92" i="7" s="1"/>
  <c r="AX147" i="7"/>
  <c r="AO185" i="5"/>
  <c r="AO90" i="5"/>
  <c r="AO92" i="5" s="1"/>
  <c r="AO184" i="5"/>
  <c r="AP81" i="5"/>
  <c r="AO138" i="5"/>
  <c r="C170" i="10"/>
  <c r="BU103" i="10" s="1"/>
  <c r="E170" i="10"/>
  <c r="CE80" i="5" l="1"/>
  <c r="AY184" i="7"/>
  <c r="AY185" i="7"/>
  <c r="AZ81" i="7"/>
  <c r="AY90" i="7"/>
  <c r="AY92" i="7" s="1"/>
  <c r="AY148" i="7"/>
  <c r="E138" i="5"/>
  <c r="C138" i="5"/>
  <c r="AO103" i="5" s="1"/>
  <c r="C171" i="10"/>
  <c r="BV103" i="10" s="1"/>
  <c r="E171" i="10"/>
  <c r="CE52" i="5"/>
  <c r="CF51" i="5"/>
  <c r="BW185" i="10"/>
  <c r="BW184" i="10"/>
  <c r="BX81" i="10"/>
  <c r="BW90" i="10"/>
  <c r="BW92" i="10" s="1"/>
  <c r="BW172" i="10"/>
  <c r="AQ81" i="5"/>
  <c r="AP90" i="5"/>
  <c r="AP92" i="5" s="1"/>
  <c r="AP184" i="5"/>
  <c r="AP185" i="5"/>
  <c r="AP139" i="5"/>
  <c r="CF80" i="5"/>
  <c r="E147" i="7"/>
  <c r="C147" i="7"/>
  <c r="AX103" i="7" s="1"/>
  <c r="E172" i="10" l="1"/>
  <c r="C172" i="10"/>
  <c r="BW103" i="10" s="1"/>
  <c r="BX185" i="10"/>
  <c r="BX184" i="10"/>
  <c r="BY81" i="10"/>
  <c r="BX90" i="10"/>
  <c r="BX92" i="10" s="1"/>
  <c r="BX173" i="10"/>
  <c r="C148" i="7"/>
  <c r="AY103" i="7" s="1"/>
  <c r="E148" i="7"/>
  <c r="CF52" i="5"/>
  <c r="CG51" i="5"/>
  <c r="AZ184" i="7"/>
  <c r="AZ185" i="7"/>
  <c r="BA81" i="7"/>
  <c r="AZ90" i="7"/>
  <c r="AZ92" i="7" s="1"/>
  <c r="AZ149" i="7"/>
  <c r="C139" i="5"/>
  <c r="AP103" i="5" s="1"/>
  <c r="E139" i="5"/>
  <c r="AQ184" i="5"/>
  <c r="AQ185" i="5"/>
  <c r="AR81" i="5"/>
  <c r="AQ90" i="5"/>
  <c r="AQ92" i="5" s="1"/>
  <c r="AQ140" i="5"/>
  <c r="E149" i="7" l="1"/>
  <c r="C149" i="7"/>
  <c r="AZ103" i="7" s="1"/>
  <c r="E173" i="10"/>
  <c r="C173" i="10"/>
  <c r="BX103" i="10" s="1"/>
  <c r="BA185" i="7"/>
  <c r="BA184" i="7"/>
  <c r="BB81" i="7"/>
  <c r="BA90" i="7"/>
  <c r="BA92" i="7" s="1"/>
  <c r="BA150" i="7"/>
  <c r="BY185" i="10"/>
  <c r="BY184" i="10"/>
  <c r="BY90" i="10"/>
  <c r="BY92" i="10" s="1"/>
  <c r="BZ81" i="10"/>
  <c r="BY174" i="10"/>
  <c r="CG52" i="5"/>
  <c r="CH51" i="5"/>
  <c r="AR185" i="5"/>
  <c r="AR90" i="5"/>
  <c r="AR92" i="5" s="1"/>
  <c r="AR184" i="5"/>
  <c r="AS81" i="5"/>
  <c r="AR141" i="5"/>
  <c r="E140" i="5"/>
  <c r="C140" i="5"/>
  <c r="AQ103" i="5" s="1"/>
  <c r="CG80" i="5"/>
  <c r="CH80" i="5" l="1"/>
  <c r="E80" i="5" s="1"/>
  <c r="C141" i="5"/>
  <c r="AR103" i="5" s="1"/>
  <c r="E141" i="5"/>
  <c r="BZ185" i="10"/>
  <c r="BZ184" i="10"/>
  <c r="CA81" i="10"/>
  <c r="BZ90" i="10"/>
  <c r="BZ92" i="10" s="1"/>
  <c r="BZ175" i="10"/>
  <c r="CH52" i="5"/>
  <c r="E52" i="5" s="1"/>
  <c r="E51" i="5"/>
  <c r="BB185" i="7"/>
  <c r="BB184" i="7"/>
  <c r="BB90" i="7"/>
  <c r="BB92" i="7" s="1"/>
  <c r="BC81" i="7"/>
  <c r="BB151" i="7"/>
  <c r="C174" i="10"/>
  <c r="BY103" i="10" s="1"/>
  <c r="E174" i="10"/>
  <c r="AS185" i="5"/>
  <c r="AS184" i="5"/>
  <c r="AS90" i="5"/>
  <c r="AS92" i="5" s="1"/>
  <c r="AT81" i="5"/>
  <c r="AS142" i="5"/>
  <c r="C150" i="7"/>
  <c r="BA103" i="7" s="1"/>
  <c r="E150" i="7"/>
  <c r="E175" i="10" l="1"/>
  <c r="C175" i="10"/>
  <c r="BZ103" i="10" s="1"/>
  <c r="CA184" i="10"/>
  <c r="CA185" i="10"/>
  <c r="CA90" i="10"/>
  <c r="CA92" i="10" s="1"/>
  <c r="CB81" i="10"/>
  <c r="CA176" i="10"/>
  <c r="C142" i="5"/>
  <c r="AS103" i="5" s="1"/>
  <c r="E142" i="5"/>
  <c r="BC184" i="7"/>
  <c r="BC185" i="7"/>
  <c r="BD81" i="7"/>
  <c r="BC90" i="7"/>
  <c r="BC92" i="7" s="1"/>
  <c r="BC152" i="7"/>
  <c r="AT184" i="5"/>
  <c r="AU81" i="5"/>
  <c r="AT185" i="5"/>
  <c r="AT90" i="5"/>
  <c r="AT92" i="5" s="1"/>
  <c r="AT143" i="5"/>
  <c r="E151" i="7"/>
  <c r="C151" i="7"/>
  <c r="BB103" i="7" s="1"/>
  <c r="BD185" i="7" l="1"/>
  <c r="BD184" i="7"/>
  <c r="BD90" i="7"/>
  <c r="BD92" i="7" s="1"/>
  <c r="BE81" i="7"/>
  <c r="BD153" i="7"/>
  <c r="C152" i="7"/>
  <c r="BC103" i="7" s="1"/>
  <c r="E152" i="7"/>
  <c r="AU185" i="5"/>
  <c r="AU184" i="5"/>
  <c r="AV81" i="5"/>
  <c r="AU90" i="5"/>
  <c r="AU92" i="5" s="1"/>
  <c r="AU144" i="5"/>
  <c r="C176" i="10"/>
  <c r="CA103" i="10" s="1"/>
  <c r="E176" i="10"/>
  <c r="CB185" i="10"/>
  <c r="CB184" i="10"/>
  <c r="CC81" i="10"/>
  <c r="CB90" i="10"/>
  <c r="CB92" i="10" s="1"/>
  <c r="CB177" i="10"/>
  <c r="C143" i="5"/>
  <c r="AT103" i="5" s="1"/>
  <c r="E143" i="5"/>
  <c r="E153" i="7" l="1"/>
  <c r="C153" i="7"/>
  <c r="BD103" i="7" s="1"/>
  <c r="C177" i="10"/>
  <c r="CB103" i="10" s="1"/>
  <c r="E177" i="10"/>
  <c r="C144" i="5"/>
  <c r="AU103" i="5" s="1"/>
  <c r="E144" i="5"/>
  <c r="BE185" i="7"/>
  <c r="BE184" i="7"/>
  <c r="BE90" i="7"/>
  <c r="BE92" i="7" s="1"/>
  <c r="BF81" i="7"/>
  <c r="BE154" i="7"/>
  <c r="AV184" i="5"/>
  <c r="AW81" i="5"/>
  <c r="AV185" i="5"/>
  <c r="AV90" i="5"/>
  <c r="AV92" i="5" s="1"/>
  <c r="AV145" i="5"/>
  <c r="CC184" i="10"/>
  <c r="CC185" i="10"/>
  <c r="CC90" i="10"/>
  <c r="CC92" i="10" s="1"/>
  <c r="CD81" i="10"/>
  <c r="CC178" i="10"/>
  <c r="C145" i="5" l="1"/>
  <c r="AV103" i="5" s="1"/>
  <c r="E145" i="5"/>
  <c r="CD184" i="10"/>
  <c r="CD185" i="10"/>
  <c r="CE81" i="10"/>
  <c r="CD90" i="10"/>
  <c r="CD92" i="10" s="1"/>
  <c r="CD179" i="10"/>
  <c r="C178" i="10"/>
  <c r="CC103" i="10" s="1"/>
  <c r="E178" i="10"/>
  <c r="AW184" i="5"/>
  <c r="AW185" i="5"/>
  <c r="AX81" i="5"/>
  <c r="AW90" i="5"/>
  <c r="AW92" i="5" s="1"/>
  <c r="AW146" i="5"/>
  <c r="C154" i="7"/>
  <c r="BE103" i="7" s="1"/>
  <c r="E154" i="7"/>
  <c r="BF184" i="7"/>
  <c r="BF185" i="7"/>
  <c r="BG81" i="7"/>
  <c r="BF90" i="7"/>
  <c r="BF92" i="7" s="1"/>
  <c r="BF155" i="7"/>
  <c r="E179" i="10" l="1"/>
  <c r="C179" i="10"/>
  <c r="CD103" i="10" s="1"/>
  <c r="E146" i="5"/>
  <c r="C146" i="5"/>
  <c r="AW103" i="5" s="1"/>
  <c r="C155" i="7"/>
  <c r="BF103" i="7" s="1"/>
  <c r="E155" i="7"/>
  <c r="AX185" i="5"/>
  <c r="AY81" i="5"/>
  <c r="AX184" i="5"/>
  <c r="AX90" i="5"/>
  <c r="AX92" i="5" s="1"/>
  <c r="AX147" i="5"/>
  <c r="BG185" i="7"/>
  <c r="BG184" i="7"/>
  <c r="BH81" i="7"/>
  <c r="BG90" i="7"/>
  <c r="BG92" i="7" s="1"/>
  <c r="BG156" i="7"/>
  <c r="CE184" i="10"/>
  <c r="CE185" i="10"/>
  <c r="CF81" i="10"/>
  <c r="CE90" i="10"/>
  <c r="CE92" i="10" s="1"/>
  <c r="CE180" i="10"/>
  <c r="C156" i="7" l="1"/>
  <c r="BG103" i="7" s="1"/>
  <c r="E156" i="7"/>
  <c r="AZ81" i="5"/>
  <c r="AY184" i="5"/>
  <c r="AY90" i="5"/>
  <c r="AY92" i="5" s="1"/>
  <c r="AY185" i="5"/>
  <c r="AY148" i="5"/>
  <c r="BH185" i="7"/>
  <c r="BH184" i="7"/>
  <c r="BI81" i="7"/>
  <c r="BH90" i="7"/>
  <c r="BH92" i="7" s="1"/>
  <c r="BH157" i="7"/>
  <c r="E180" i="10"/>
  <c r="C180" i="10"/>
  <c r="CE103" i="10" s="1"/>
  <c r="CF185" i="10"/>
  <c r="CF184" i="10"/>
  <c r="CG81" i="10"/>
  <c r="CF90" i="10"/>
  <c r="CF92" i="10" s="1"/>
  <c r="CF181" i="10"/>
  <c r="E147" i="5"/>
  <c r="C147" i="5"/>
  <c r="AX103" i="5" s="1"/>
  <c r="C148" i="5" l="1"/>
  <c r="AY103" i="5" s="1"/>
  <c r="E148" i="5"/>
  <c r="CG185" i="10"/>
  <c r="CG184" i="10"/>
  <c r="CG90" i="10"/>
  <c r="CG92" i="10" s="1"/>
  <c r="CH81" i="10"/>
  <c r="CG182" i="10"/>
  <c r="AZ184" i="5"/>
  <c r="AZ185" i="5"/>
  <c r="AZ90" i="5"/>
  <c r="AZ92" i="5" s="1"/>
  <c r="BA81" i="5"/>
  <c r="AZ149" i="5"/>
  <c r="E157" i="7"/>
  <c r="C157" i="7"/>
  <c r="BH103" i="7" s="1"/>
  <c r="C181" i="10"/>
  <c r="CF103" i="10" s="1"/>
  <c r="E181" i="10"/>
  <c r="BI185" i="7"/>
  <c r="BI184" i="7"/>
  <c r="BJ81" i="7"/>
  <c r="BI90" i="7"/>
  <c r="BI92" i="7" s="1"/>
  <c r="BI158" i="7"/>
  <c r="E182" i="10" l="1"/>
  <c r="C182" i="10"/>
  <c r="CG103" i="10" s="1"/>
  <c r="CH185" i="10"/>
  <c r="E185" i="10" s="1"/>
  <c r="CH184" i="10"/>
  <c r="E184" i="10" s="1"/>
  <c r="CH90" i="10"/>
  <c r="E81" i="10"/>
  <c r="CH183" i="10"/>
  <c r="C158" i="7"/>
  <c r="BI103" i="7" s="1"/>
  <c r="E158" i="7"/>
  <c r="BJ185" i="7"/>
  <c r="BJ184" i="7"/>
  <c r="BJ90" i="7"/>
  <c r="BJ92" i="7" s="1"/>
  <c r="BK81" i="7"/>
  <c r="BJ159" i="7"/>
  <c r="BA185" i="5"/>
  <c r="BA184" i="5"/>
  <c r="BA90" i="5"/>
  <c r="BA92" i="5" s="1"/>
  <c r="BB81" i="5"/>
  <c r="BA150" i="5"/>
  <c r="E149" i="5"/>
  <c r="C149" i="5"/>
  <c r="AZ103" i="5" s="1"/>
  <c r="C183" i="10" l="1"/>
  <c r="CH103" i="10" s="1"/>
  <c r="E103" i="10" s="1"/>
  <c r="E183" i="10"/>
  <c r="E150" i="5"/>
  <c r="C150" i="5"/>
  <c r="BA103" i="5" s="1"/>
  <c r="BK184" i="7"/>
  <c r="BK185" i="7"/>
  <c r="BL81" i="7"/>
  <c r="BK90" i="7"/>
  <c r="BK92" i="7" s="1"/>
  <c r="BK160" i="7"/>
  <c r="E90" i="10"/>
  <c r="CH92" i="10"/>
  <c r="E92" i="10" s="1"/>
  <c r="E159" i="7"/>
  <c r="C159" i="7"/>
  <c r="BJ103" i="7" s="1"/>
  <c r="BB185" i="5"/>
  <c r="BB90" i="5"/>
  <c r="BB92" i="5" s="1"/>
  <c r="BB184" i="5"/>
  <c r="BC81" i="5"/>
  <c r="BB151" i="5"/>
  <c r="C151" i="5" l="1"/>
  <c r="BB103" i="5" s="1"/>
  <c r="E151" i="5"/>
  <c r="BL184" i="7"/>
  <c r="BL185" i="7"/>
  <c r="BL90" i="7"/>
  <c r="BL92" i="7" s="1"/>
  <c r="BM81" i="7"/>
  <c r="BL161" i="7"/>
  <c r="BC185" i="5"/>
  <c r="BC184" i="5"/>
  <c r="BC90" i="5"/>
  <c r="BC92" i="5" s="1"/>
  <c r="BD81" i="5"/>
  <c r="BC152" i="5"/>
  <c r="E160" i="7"/>
  <c r="C160" i="7"/>
  <c r="BK103" i="7" s="1"/>
  <c r="E152" i="5" l="1"/>
  <c r="C152" i="5"/>
  <c r="BC103" i="5" s="1"/>
  <c r="C161" i="7"/>
  <c r="BL103" i="7" s="1"/>
  <c r="E161" i="7"/>
  <c r="BM185" i="7"/>
  <c r="BM184" i="7"/>
  <c r="BN81" i="7"/>
  <c r="BM90" i="7"/>
  <c r="BM92" i="7" s="1"/>
  <c r="BM162" i="7"/>
  <c r="BD184" i="5"/>
  <c r="BD185" i="5"/>
  <c r="BE81" i="5"/>
  <c r="BD90" i="5"/>
  <c r="BD92" i="5" s="1"/>
  <c r="BD153" i="5"/>
  <c r="BN184" i="7" l="1"/>
  <c r="BN185" i="7"/>
  <c r="BN90" i="7"/>
  <c r="BN92" i="7" s="1"/>
  <c r="BO81" i="7"/>
  <c r="BN163" i="7"/>
  <c r="C153" i="5"/>
  <c r="BD103" i="5" s="1"/>
  <c r="E153" i="5"/>
  <c r="BE184" i="5"/>
  <c r="BE185" i="5"/>
  <c r="BF81" i="5"/>
  <c r="BE90" i="5"/>
  <c r="BE92" i="5" s="1"/>
  <c r="BE154" i="5"/>
  <c r="C162" i="7"/>
  <c r="BM103" i="7" s="1"/>
  <c r="E162" i="7"/>
  <c r="E163" i="7" l="1"/>
  <c r="C163" i="7"/>
  <c r="BN103" i="7" s="1"/>
  <c r="E154" i="5"/>
  <c r="C154" i="5"/>
  <c r="BE103" i="5" s="1"/>
  <c r="BO184" i="7"/>
  <c r="BO185" i="7"/>
  <c r="BP81" i="7"/>
  <c r="BO90" i="7"/>
  <c r="BO92" i="7" s="1"/>
  <c r="BO164" i="7"/>
  <c r="BF184" i="5"/>
  <c r="BF185" i="5"/>
  <c r="BG81" i="5"/>
  <c r="BF90" i="5"/>
  <c r="BF92" i="5" s="1"/>
  <c r="BF155" i="5"/>
  <c r="BP184" i="7" l="1"/>
  <c r="BP185" i="7"/>
  <c r="BQ81" i="7"/>
  <c r="BP90" i="7"/>
  <c r="BP92" i="7" s="1"/>
  <c r="BP165" i="7"/>
  <c r="E155" i="5"/>
  <c r="C155" i="5"/>
  <c r="BF103" i="5" s="1"/>
  <c r="BG185" i="5"/>
  <c r="BH81" i="5"/>
  <c r="BG90" i="5"/>
  <c r="BG92" i="5" s="1"/>
  <c r="BG184" i="5"/>
  <c r="BG156" i="5"/>
  <c r="E164" i="7"/>
  <c r="C164" i="7"/>
  <c r="BO103" i="7" s="1"/>
  <c r="C165" i="7" l="1"/>
  <c r="BP103" i="7" s="1"/>
  <c r="E165" i="7"/>
  <c r="C156" i="5"/>
  <c r="BG103" i="5" s="1"/>
  <c r="E156" i="5"/>
  <c r="BQ185" i="7"/>
  <c r="BQ184" i="7"/>
  <c r="BR81" i="7"/>
  <c r="BQ90" i="7"/>
  <c r="BQ92" i="7" s="1"/>
  <c r="BQ166" i="7"/>
  <c r="BH90" i="5"/>
  <c r="BH92" i="5" s="1"/>
  <c r="BI81" i="5"/>
  <c r="BH185" i="5"/>
  <c r="BH184" i="5"/>
  <c r="BH157" i="5"/>
  <c r="C157" i="5" l="1"/>
  <c r="BH103" i="5" s="1"/>
  <c r="E157" i="5"/>
  <c r="E166" i="7"/>
  <c r="C166" i="7"/>
  <c r="BQ103" i="7" s="1"/>
  <c r="BR185" i="7"/>
  <c r="BR184" i="7"/>
  <c r="BR90" i="7"/>
  <c r="BR92" i="7" s="1"/>
  <c r="BS81" i="7"/>
  <c r="BR167" i="7"/>
  <c r="BI184" i="5"/>
  <c r="BI185" i="5"/>
  <c r="BI90" i="5"/>
  <c r="BI92" i="5" s="1"/>
  <c r="BJ81" i="5"/>
  <c r="BI158" i="5"/>
  <c r="E167" i="7" l="1"/>
  <c r="C167" i="7"/>
  <c r="BR103" i="7" s="1"/>
  <c r="BS184" i="7"/>
  <c r="BS185" i="7"/>
  <c r="BT81" i="7"/>
  <c r="BS90" i="7"/>
  <c r="BS92" i="7" s="1"/>
  <c r="BS168" i="7"/>
  <c r="E158" i="5"/>
  <c r="C158" i="5"/>
  <c r="BI103" i="5" s="1"/>
  <c r="BJ185" i="5"/>
  <c r="BJ184" i="5"/>
  <c r="BK81" i="5"/>
  <c r="BJ90" i="5"/>
  <c r="BJ92" i="5" s="1"/>
  <c r="BJ159" i="5"/>
  <c r="E168" i="7" l="1"/>
  <c r="C168" i="7"/>
  <c r="BS103" i="7" s="1"/>
  <c r="E159" i="5"/>
  <c r="C159" i="5"/>
  <c r="BJ103" i="5" s="1"/>
  <c r="BT185" i="7"/>
  <c r="BT184" i="7"/>
  <c r="BT90" i="7"/>
  <c r="BT92" i="7" s="1"/>
  <c r="BU81" i="7"/>
  <c r="BT169" i="7"/>
  <c r="BK185" i="5"/>
  <c r="BK184" i="5"/>
  <c r="BL81" i="5"/>
  <c r="BK90" i="5"/>
  <c r="BK92" i="5" s="1"/>
  <c r="BK160" i="5"/>
  <c r="E160" i="5" l="1"/>
  <c r="C160" i="5"/>
  <c r="BK103" i="5" s="1"/>
  <c r="BL184" i="5"/>
  <c r="BL185" i="5"/>
  <c r="BL90" i="5"/>
  <c r="BL92" i="5" s="1"/>
  <c r="BM81" i="5"/>
  <c r="BL161" i="5"/>
  <c r="BU185" i="7"/>
  <c r="BU184" i="7"/>
  <c r="BU90" i="7"/>
  <c r="BU92" i="7" s="1"/>
  <c r="BV81" i="7"/>
  <c r="BU170" i="7"/>
  <c r="E169" i="7"/>
  <c r="C169" i="7"/>
  <c r="BT103" i="7" s="1"/>
  <c r="BM184" i="5" l="1"/>
  <c r="BM90" i="5"/>
  <c r="BM92" i="5" s="1"/>
  <c r="BM185" i="5"/>
  <c r="BN81" i="5"/>
  <c r="BM162" i="5"/>
  <c r="E161" i="5"/>
  <c r="C161" i="5"/>
  <c r="BL103" i="5" s="1"/>
  <c r="C170" i="7"/>
  <c r="BU103" i="7" s="1"/>
  <c r="E170" i="7"/>
  <c r="BV184" i="7"/>
  <c r="BV185" i="7"/>
  <c r="BW81" i="7"/>
  <c r="BV90" i="7"/>
  <c r="BV92" i="7" s="1"/>
  <c r="BV171" i="7"/>
  <c r="E162" i="5" l="1"/>
  <c r="C162" i="5"/>
  <c r="BM103" i="5" s="1"/>
  <c r="E171" i="7"/>
  <c r="C171" i="7"/>
  <c r="BV103" i="7" s="1"/>
  <c r="BW185" i="7"/>
  <c r="BX81" i="7"/>
  <c r="BW184" i="7"/>
  <c r="BW90" i="7"/>
  <c r="BW92" i="7" s="1"/>
  <c r="BW172" i="7"/>
  <c r="BN184" i="5"/>
  <c r="BO81" i="5"/>
  <c r="BN90" i="5"/>
  <c r="BN92" i="5" s="1"/>
  <c r="BN185" i="5"/>
  <c r="BN163" i="5"/>
  <c r="C163" i="5" l="1"/>
  <c r="BN103" i="5" s="1"/>
  <c r="E163" i="5"/>
  <c r="BO184" i="5"/>
  <c r="BO185" i="5"/>
  <c r="BP81" i="5"/>
  <c r="BO90" i="5"/>
  <c r="BO92" i="5" s="1"/>
  <c r="BO164" i="5"/>
  <c r="BX184" i="7"/>
  <c r="BX185" i="7"/>
  <c r="BY81" i="7"/>
  <c r="BX90" i="7"/>
  <c r="BX92" i="7" s="1"/>
  <c r="BX173" i="7"/>
  <c r="E172" i="7"/>
  <c r="C172" i="7"/>
  <c r="BW103" i="7" s="1"/>
  <c r="BP185" i="5" l="1"/>
  <c r="BP184" i="5"/>
  <c r="BP90" i="5"/>
  <c r="BP92" i="5" s="1"/>
  <c r="BQ81" i="5"/>
  <c r="BP165" i="5"/>
  <c r="E164" i="5"/>
  <c r="C164" i="5"/>
  <c r="BO103" i="5" s="1"/>
  <c r="E173" i="7"/>
  <c r="C173" i="7"/>
  <c r="BX103" i="7" s="1"/>
  <c r="BY185" i="7"/>
  <c r="BY184" i="7"/>
  <c r="BZ81" i="7"/>
  <c r="BY90" i="7"/>
  <c r="BY92" i="7" s="1"/>
  <c r="BY174" i="7"/>
  <c r="E174" i="7" l="1"/>
  <c r="C174" i="7"/>
  <c r="BY103" i="7" s="1"/>
  <c r="E165" i="5"/>
  <c r="C165" i="5"/>
  <c r="BP103" i="5" s="1"/>
  <c r="BZ185" i="7"/>
  <c r="BZ184" i="7"/>
  <c r="BZ90" i="7"/>
  <c r="BZ92" i="7" s="1"/>
  <c r="CA81" i="7"/>
  <c r="BZ175" i="7"/>
  <c r="BQ185" i="5"/>
  <c r="BQ90" i="5"/>
  <c r="BQ92" i="5" s="1"/>
  <c r="BR81" i="5"/>
  <c r="BQ184" i="5"/>
  <c r="BQ166" i="5"/>
  <c r="CA184" i="7" l="1"/>
  <c r="CA185" i="7"/>
  <c r="CB81" i="7"/>
  <c r="CA90" i="7"/>
  <c r="CA92" i="7" s="1"/>
  <c r="CA176" i="7"/>
  <c r="E166" i="5"/>
  <c r="C166" i="5"/>
  <c r="BQ103" i="5" s="1"/>
  <c r="BR184" i="5"/>
  <c r="BR185" i="5"/>
  <c r="BS81" i="5"/>
  <c r="BR90" i="5"/>
  <c r="BR92" i="5" s="1"/>
  <c r="BR167" i="5"/>
  <c r="E175" i="7"/>
  <c r="C175" i="7"/>
  <c r="BZ103" i="7" s="1"/>
  <c r="C176" i="7" l="1"/>
  <c r="CA103" i="7" s="1"/>
  <c r="E176" i="7"/>
  <c r="CB184" i="7"/>
  <c r="CB185" i="7"/>
  <c r="CB90" i="7"/>
  <c r="CB92" i="7" s="1"/>
  <c r="CC81" i="7"/>
  <c r="CB177" i="7"/>
  <c r="C167" i="5"/>
  <c r="BR103" i="5" s="1"/>
  <c r="E167" i="5"/>
  <c r="BS185" i="5"/>
  <c r="BS184" i="5"/>
  <c r="BS90" i="5"/>
  <c r="BS92" i="5" s="1"/>
  <c r="BT81" i="5"/>
  <c r="BS168" i="5"/>
  <c r="E168" i="5" l="1"/>
  <c r="C168" i="5"/>
  <c r="BS103" i="5" s="1"/>
  <c r="C177" i="7"/>
  <c r="CB103" i="7" s="1"/>
  <c r="E177" i="7"/>
  <c r="CC185" i="7"/>
  <c r="CC184" i="7"/>
  <c r="CC90" i="7"/>
  <c r="CC92" i="7" s="1"/>
  <c r="CD81" i="7"/>
  <c r="CC178" i="7"/>
  <c r="BT184" i="5"/>
  <c r="BT185" i="5"/>
  <c r="BU81" i="5"/>
  <c r="BT90" i="5"/>
  <c r="BT92" i="5" s="1"/>
  <c r="BT169" i="5"/>
  <c r="CD184" i="7" l="1"/>
  <c r="CD185" i="7"/>
  <c r="CD90" i="7"/>
  <c r="CD92" i="7" s="1"/>
  <c r="CE81" i="7"/>
  <c r="CD179" i="7"/>
  <c r="C169" i="5"/>
  <c r="BT103" i="5" s="1"/>
  <c r="E169" i="5"/>
  <c r="BU185" i="5"/>
  <c r="BU184" i="5"/>
  <c r="BU90" i="5"/>
  <c r="BU92" i="5" s="1"/>
  <c r="BV81" i="5"/>
  <c r="BU170" i="5"/>
  <c r="E178" i="7"/>
  <c r="C178" i="7"/>
  <c r="CC103" i="7" s="1"/>
  <c r="E179" i="7" l="1"/>
  <c r="C179" i="7"/>
  <c r="CD103" i="7" s="1"/>
  <c r="C170" i="5"/>
  <c r="BU103" i="5" s="1"/>
  <c r="E170" i="5"/>
  <c r="CE184" i="7"/>
  <c r="CE185" i="7"/>
  <c r="CF81" i="7"/>
  <c r="CE90" i="7"/>
  <c r="CE92" i="7" s="1"/>
  <c r="CE180" i="7"/>
  <c r="BV185" i="5"/>
  <c r="BW81" i="5"/>
  <c r="BV90" i="5"/>
  <c r="BV92" i="5" s="1"/>
  <c r="BV184" i="5"/>
  <c r="BV171" i="5"/>
  <c r="CF185" i="7" l="1"/>
  <c r="CF184" i="7"/>
  <c r="CG81" i="7"/>
  <c r="CF90" i="7"/>
  <c r="CF92" i="7" s="1"/>
  <c r="CF181" i="7"/>
  <c r="E171" i="5"/>
  <c r="C171" i="5"/>
  <c r="BV103" i="5" s="1"/>
  <c r="BW184" i="5"/>
  <c r="BW185" i="5"/>
  <c r="BX81" i="5"/>
  <c r="BW90" i="5"/>
  <c r="BW92" i="5" s="1"/>
  <c r="BW172" i="5"/>
  <c r="C180" i="7"/>
  <c r="CE103" i="7" s="1"/>
  <c r="E180" i="7"/>
  <c r="CG185" i="7" l="1"/>
  <c r="CG184" i="7"/>
  <c r="CH81" i="7"/>
  <c r="CG90" i="7"/>
  <c r="CG92" i="7" s="1"/>
  <c r="CG182" i="7"/>
  <c r="BX184" i="5"/>
  <c r="BX185" i="5"/>
  <c r="BX90" i="5"/>
  <c r="BX92" i="5" s="1"/>
  <c r="BY81" i="5"/>
  <c r="BX173" i="5"/>
  <c r="C181" i="7"/>
  <c r="CF103" i="7" s="1"/>
  <c r="E181" i="7"/>
  <c r="E172" i="5"/>
  <c r="C172" i="5"/>
  <c r="BW103" i="5" s="1"/>
  <c r="C182" i="7" l="1"/>
  <c r="CG103" i="7" s="1"/>
  <c r="E182" i="7"/>
  <c r="CH185" i="7"/>
  <c r="E185" i="7" s="1"/>
  <c r="CH184" i="7"/>
  <c r="E184" i="7" s="1"/>
  <c r="CH90" i="7"/>
  <c r="E81" i="7"/>
  <c r="CH183" i="7"/>
  <c r="E173" i="5"/>
  <c r="C173" i="5"/>
  <c r="BX103" i="5" s="1"/>
  <c r="BY185" i="5"/>
  <c r="BY184" i="5"/>
  <c r="BY90" i="5"/>
  <c r="BY92" i="5" s="1"/>
  <c r="BZ81" i="5"/>
  <c r="BY174" i="5"/>
  <c r="C174" i="5" l="1"/>
  <c r="BY103" i="5" s="1"/>
  <c r="E174" i="5"/>
  <c r="BZ184" i="5"/>
  <c r="BZ90" i="5"/>
  <c r="BZ92" i="5" s="1"/>
  <c r="CA81" i="5"/>
  <c r="BZ185" i="5"/>
  <c r="BZ175" i="5"/>
  <c r="E183" i="7"/>
  <c r="C183" i="7"/>
  <c r="CH103" i="7" s="1"/>
  <c r="E103" i="7" s="1"/>
  <c r="E90" i="7"/>
  <c r="CH92" i="7"/>
  <c r="E92" i="7" s="1"/>
  <c r="CA185" i="5" l="1"/>
  <c r="CA184" i="5"/>
  <c r="CA90" i="5"/>
  <c r="CA92" i="5" s="1"/>
  <c r="CB81" i="5"/>
  <c r="CA176" i="5"/>
  <c r="C175" i="5"/>
  <c r="BZ103" i="5" s="1"/>
  <c r="E175" i="5"/>
  <c r="E176" i="5" l="1"/>
  <c r="C176" i="5"/>
  <c r="CA103" i="5" s="1"/>
  <c r="CB184" i="5"/>
  <c r="CB185" i="5"/>
  <c r="CB90" i="5"/>
  <c r="CB92" i="5" s="1"/>
  <c r="CC81" i="5"/>
  <c r="CB177" i="5"/>
  <c r="E177" i="5" l="1"/>
  <c r="C177" i="5"/>
  <c r="CB103" i="5" s="1"/>
  <c r="CC185" i="5"/>
  <c r="CC184" i="5"/>
  <c r="CC90" i="5"/>
  <c r="CC92" i="5" s="1"/>
  <c r="CD81" i="5"/>
  <c r="CC178" i="5"/>
  <c r="C178" i="5" l="1"/>
  <c r="CC103" i="5" s="1"/>
  <c r="E178" i="5"/>
  <c r="CD184" i="5"/>
  <c r="CE81" i="5"/>
  <c r="CD90" i="5"/>
  <c r="CD92" i="5" s="1"/>
  <c r="CD185" i="5"/>
  <c r="CD179" i="5"/>
  <c r="E179" i="5" l="1"/>
  <c r="C179" i="5"/>
  <c r="CD103" i="5" s="1"/>
  <c r="CE184" i="5"/>
  <c r="CF81" i="5"/>
  <c r="CE90" i="5"/>
  <c r="CE92" i="5" s="1"/>
  <c r="CE185" i="5"/>
  <c r="CE180" i="5"/>
  <c r="C180" i="5" l="1"/>
  <c r="CE103" i="5" s="1"/>
  <c r="E180" i="5"/>
  <c r="CF184" i="5"/>
  <c r="CF90" i="5"/>
  <c r="CF92" i="5" s="1"/>
  <c r="CF185" i="5"/>
  <c r="CG81" i="5"/>
  <c r="CF181" i="5"/>
  <c r="C181" i="5" l="1"/>
  <c r="CF103" i="5" s="1"/>
  <c r="E181" i="5"/>
  <c r="CG184" i="5"/>
  <c r="CG185" i="5"/>
  <c r="CG90" i="5"/>
  <c r="CG92" i="5" s="1"/>
  <c r="CH81" i="5"/>
  <c r="CG182" i="5"/>
  <c r="E182" i="5" l="1"/>
  <c r="C182" i="5"/>
  <c r="CG103" i="5" s="1"/>
  <c r="CH185" i="5"/>
  <c r="E185" i="5" s="1"/>
  <c r="E81" i="5"/>
  <c r="CH184" i="5"/>
  <c r="E184" i="5" s="1"/>
  <c r="CH90" i="5"/>
  <c r="CH183" i="5"/>
  <c r="E90" i="5" l="1"/>
  <c r="CH92" i="5"/>
  <c r="E92" i="5" s="1"/>
  <c r="E183" i="5"/>
  <c r="C183" i="5"/>
  <c r="CH103" i="5" s="1"/>
  <c r="E103" i="5" s="1"/>
</calcChain>
</file>

<file path=xl/sharedStrings.xml><?xml version="1.0" encoding="utf-8"?>
<sst xmlns="http://schemas.openxmlformats.org/spreadsheetml/2006/main" count="2332" uniqueCount="579">
  <si>
    <t>Venture Capital Model, with Quarterly Forecast</t>
  </si>
  <si>
    <t>Copyright &amp; Contact</t>
  </si>
  <si>
    <t xml:space="preserve">This was created by Taylor Davidson (@tdavidson) of Foresight.
© 2025, Unstructured Ventures, LLC.
Questions, contact taylor@foresight.is or @tdavidson
</t>
  </si>
  <si>
    <t>License</t>
  </si>
  <si>
    <r>
      <rPr>
        <sz val="10"/>
        <color rgb="FF000000"/>
        <rFont val="Arial"/>
      </rPr>
      <t xml:space="preserve">tl:dr; You can modify, edit, use, and share within your company (and with third-parties as needed to operate your business). You may not redistribute, resell, give away to others. </t>
    </r>
    <r>
      <rPr>
        <u/>
        <sz val="10"/>
        <color rgb="FF1155CC"/>
        <rFont val="Arial"/>
      </rPr>
      <t xml:space="preserve">Full license.
</t>
    </r>
  </si>
  <si>
    <t>Goal</t>
  </si>
  <si>
    <r>
      <t xml:space="preserve">Simplified model for forecasting a venture fund, to help understand overall fund assumptions and how portfolio construction impacts returns. I've worked with countless founders building complicated models for fund construction - see </t>
    </r>
    <r>
      <rPr>
        <u/>
        <sz val="10"/>
        <color rgb="FF1155CC"/>
        <rFont val="Arial"/>
      </rPr>
      <t>Venture Investor Model</t>
    </r>
    <r>
      <rPr>
        <sz val="10"/>
        <color rgb="FF000000"/>
        <rFont val="Arial"/>
        <scheme val="minor"/>
      </rPr>
      <t xml:space="preserve"> for one - but want to create a simpler, more accessible model that removes some of the lesser-used edge cases and covers the basics for most emerging managers.
</t>
    </r>
  </si>
  <si>
    <t>Copy to Google Sheets or Download to Excel</t>
  </si>
  <si>
    <r>
      <t xml:space="preserve">File &gt; Make a Copy to copy it to your own Google Drive, or File &gt; Download to download this to use in Excel or other spreadsheet programs. </t>
    </r>
    <r>
      <rPr>
        <u/>
        <sz val="10"/>
        <color rgb="FF1155CC"/>
        <rFont val="Arial"/>
      </rPr>
      <t xml:space="preserve">See License for warranties and liabilities.
</t>
    </r>
  </si>
  <si>
    <t>Support</t>
  </si>
  <si>
    <r>
      <t xml:space="preserve">Questions, happy to assist, contact anytime. More details on how I provide support: </t>
    </r>
    <r>
      <rPr>
        <u/>
        <sz val="10"/>
        <color rgb="FF1155CC"/>
        <rFont val="Arial"/>
      </rPr>
      <t xml:space="preserve">https://foresight.is/help
</t>
    </r>
  </si>
  <si>
    <t>Missing a feature you need?</t>
  </si>
  <si>
    <r>
      <t xml:space="preserve">Check out the </t>
    </r>
    <r>
      <rPr>
        <u/>
        <sz val="10"/>
        <color rgb="FF1155CC"/>
        <rFont val="Arial"/>
      </rPr>
      <t>Resources</t>
    </r>
    <r>
      <rPr>
        <sz val="10"/>
        <color rgb="FF000000"/>
        <rFont val="Arial"/>
        <scheme val="minor"/>
      </rPr>
      <t xml:space="preserve"> for other resources for modeling venture funds, and check out Foresight's </t>
    </r>
    <r>
      <rPr>
        <u/>
        <sz val="10"/>
        <color rgb="FF1155CC"/>
        <rFont val="Arial"/>
      </rPr>
      <t>Venture Investor Model</t>
    </r>
    <r>
      <rPr>
        <sz val="10"/>
        <color rgb="FF000000"/>
        <rFont val="Arial"/>
        <scheme val="minor"/>
      </rPr>
      <t xml:space="preserve"> for a more detailed fund model with financial statements, management company budgeting, and more.
</t>
    </r>
  </si>
  <si>
    <t>Quickstart</t>
  </si>
  <si>
    <r>
      <t xml:space="preserve">Input fund structural assumptions on Get Started sheet, then review the Key Reports and Forecast sheet to see the key outputs. More details at </t>
    </r>
    <r>
      <rPr>
        <u/>
        <sz val="10"/>
        <color rgb="FF1155CC"/>
        <rFont val="Arial"/>
      </rPr>
      <t>https://foresight.is/docs/</t>
    </r>
    <r>
      <rPr>
        <sz val="10"/>
        <color rgb="FF000000"/>
        <rFont val="Arial"/>
        <scheme val="minor"/>
      </rPr>
      <t xml:space="preserve">
</t>
    </r>
  </si>
  <si>
    <t>Outline</t>
  </si>
  <si>
    <t>README</t>
  </si>
  <si>
    <t>Contact into, overview on model. Safe to delete or hide.</t>
  </si>
  <si>
    <t xml:space="preserve">   Formatting and Colors Overview</t>
  </si>
  <si>
    <t>Details on what the colors and formatting in the model mean. https://foresight.is/learn/colors-and-formatting</t>
  </si>
  <si>
    <t>Terms of use of the model. Safe to delete or hide. https://foresight.is/license</t>
  </si>
  <si>
    <t>Get Started</t>
  </si>
  <si>
    <t>Core assumptions for the fund. Do not delete, safe to hide.</t>
  </si>
  <si>
    <t xml:space="preserve">   Capital and Fund Assumptions</t>
  </si>
  <si>
    <t>Assumptions for fund economics</t>
  </si>
  <si>
    <t xml:space="preserve">   Recycling</t>
  </si>
  <si>
    <t>Optional section for assuming fund recycling policy</t>
  </si>
  <si>
    <t xml:space="preserve">   Portfolio Construction Assumptions</t>
  </si>
  <si>
    <t>Core portfolio construction assumptions</t>
  </si>
  <si>
    <t xml:space="preserve">   Return Assumptions</t>
  </si>
  <si>
    <t>Investment performance assumptions</t>
  </si>
  <si>
    <t xml:space="preserve">   Fund Performance</t>
  </si>
  <si>
    <t>Summary of fund performance. Details and more metrics on Forecast sheet</t>
  </si>
  <si>
    <t>Key Reports</t>
  </si>
  <si>
    <t>Key charts to summarize the model. Safe to delete or hide.</t>
  </si>
  <si>
    <t>Scenarios</t>
  </si>
  <si>
    <t>Output of the Scenarios, allowing you to set two alternate fund outcomes by changing assumptions for the number of value of high exits. The sheets powering the scenarios are hidden, and can be unhidden and changed if desired.</t>
  </si>
  <si>
    <t>Forecast</t>
  </si>
  <si>
    <t>The core calculations to forecast the operations of the fund. The core of the model.</t>
  </si>
  <si>
    <t>Resources</t>
  </si>
  <si>
    <t>Links to other models and resources for modeling venture capital funds and investments, from around the web. Safe to delete or hide.</t>
  </si>
  <si>
    <t>Model Comparison</t>
  </si>
  <si>
    <t>Detailed feature comparison of the range of Foresight models for venture investors. Safe to delete or hide.</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</si>
  <si>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</si>
  <si>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</si>
  <si>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</si>
  <si>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</si>
  <si>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</si>
  <si>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Available on website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</si>
  <si>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</si>
  <si>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</si>
  <si>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</si>
  <si>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</si>
  <si>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</si>
  <si>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</si>
  <si>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</si>
  <si>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</si>
  <si>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</si>
  <si>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</si>
  <si>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</si>
  <si>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</si>
  <si>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</si>
  <si>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</si>
  <si>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</si>
  <si>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</si>
  <si>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</si>
  <si>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</si>
  <si>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</si>
  <si>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Key model assumptions and performance metrics</t>
  </si>
  <si>
    <t>Capital and Fund Assumptions</t>
  </si>
  <si>
    <t>Capital, Management Fees, base Fund-level assumptions</t>
  </si>
  <si>
    <t>Detail</t>
  </si>
  <si>
    <t>Unit</t>
  </si>
  <si>
    <t>Assumption</t>
  </si>
  <si>
    <t>Notes</t>
  </si>
  <si>
    <t>Total Commited Capital (Fund Size)</t>
  </si>
  <si>
    <t>$</t>
  </si>
  <si>
    <t>Fund size. By default, assumes all committed capital is closed at the start. Can adjust that by modifying the committed capital on Forecast sheet.</t>
  </si>
  <si>
    <t>GP Commit, as % of committed capital</t>
  </si>
  <si>
    <t>%</t>
  </si>
  <si>
    <t>GP commit is treated as an LP interest for purposes of calculating mangement fees and carried interest. see glossary for additional details</t>
  </si>
  <si>
    <t>Organizational Expenses (one time)</t>
  </si>
  <si>
    <t>paid by fund, in addition to management fees. one time costs associated with forming the fund, primarily legal fees</t>
  </si>
  <si>
    <t>Operational Expenses (annual)</t>
  </si>
  <si>
    <t>paid by fund, in addition to management fees. see https://foresight.is/docs/management-company/ for more context. calculated based on the fund operations period for operating expenses</t>
  </si>
  <si>
    <t>Management Fees, per year, as % of committed capital</t>
  </si>
  <si>
    <t>model works for management fees based on called and committed capital (can be edited for fee structures based on assets under management). if you have a management fee structure that steps down over time, you can edit the management fees directly on the Forecast sheet.</t>
  </si>
  <si>
    <t>Carry</t>
  </si>
  <si>
    <t>carry is the % of gains that are paid to the managers of the fund. part of the commonly cited "2 and 20" fees structure for funds</t>
  </si>
  <si>
    <t>Active Investment time period (quarters)</t>
  </si>
  <si>
    <t>#</t>
  </si>
  <si>
    <t>time period for new investments (follow ons by default assumed to come over time)</t>
  </si>
  <si>
    <t>Fund Duration (Management Fees time period) (quarters)</t>
  </si>
  <si>
    <t>time period used for assuming management fees, tied to the fund duration and not including the fund extension period, if applicable</t>
  </si>
  <si>
    <t>Fund Operations time period (quarters)</t>
  </si>
  <si>
    <t>time period used for assuming operational expenses, which is calculated from the new invesetment and exit timeframes, to cover the periods the fund incurrs operational expenses. you can override the calculated period if desired.</t>
  </si>
  <si>
    <t>Fund Duration Extension Period (quarters)</t>
  </si>
  <si>
    <t>extra time period calculated from your deployment and holding period assumptions. purely for informational purposes, the model uses the fund duration for calculating management fees, this just shows how long of an extension you will need based on your assumptions</t>
  </si>
  <si>
    <t>Recycling</t>
  </si>
  <si>
    <t>Details on recycling provisions for closed end and evergreen funds</t>
  </si>
  <si>
    <t>more at https://foresight.is/docs/management-fee-recycling/</t>
  </si>
  <si>
    <t>input is for the target % to recycle, and the forecast shows the % that is achievable given the parameters in the assumptions below. It is very common for the max acheivable to be less than the target. Note that LPAs may set the number differently; for example, some LPAs may note that recycling is 125% of committed capital (meaning that the total can be 25% higher than the amount of committed capital), or it may say that recycling is 25% of committed capital. They mean the same thing, but the number may be expressed differently. The model uses an assumption of 25% of recycling + 100% of committed capital = 125% of total committed capital plus recycling</t>
  </si>
  <si>
    <t>-</t>
  </si>
  <si>
    <t>committed capital</t>
  </si>
  <si>
    <t>can be set to management fees or committed capital, and the forecast outputs the amount of it forecasted in the model</t>
  </si>
  <si>
    <t>can set the time limit from original investment to time to proceeds (exit), and only allow exits within that timeframe to recycle their proceeds. if there is no limit, simply input a number greater thant the fund operations period or the max holding period in the return assumptions</t>
  </si>
  <si>
    <t>invested capital</t>
  </si>
  <si>
    <t>can set to recycle the amount originally invested in the company (meaning any profits would be distributed), the amount invested in the company plus the cost basis (allocating expenses to the invested capital, so that it reflects paid in capital related to the investent), or all proceeds, meaning all proceeds from the exit</t>
  </si>
  <si>
    <t>can set to new investments only, or new and follow on investments. this will set the proceeds recycling timeframe on the forecast sheet, meaning the period when recycling can be done</t>
  </si>
  <si>
    <t>Investment Strategy and Expectations</t>
  </si>
  <si>
    <t>Use to detail an investment strategy, new and follow to forecast returns</t>
  </si>
  <si>
    <t>Exit Outcome</t>
  </si>
  <si>
    <t>Fail</t>
  </si>
  <si>
    <t>Low</t>
  </si>
  <si>
    <t>Medium</t>
  </si>
  <si>
    <t>High</t>
  </si>
  <si>
    <t>change the terms to fit what you want to call the different exit outcomes, used to generate the returns expectations on get started.</t>
  </si>
  <si>
    <t>Investment Performance and Capital Allocation</t>
  </si>
  <si>
    <t>% of Investments per Exit Outcome</t>
  </si>
  <si>
    <t>% of the number of companies invested in; sum should equal 0%</t>
  </si>
  <si>
    <t># of Companies that achieve each Exit Outcome</t>
  </si>
  <si>
    <t># of companies invested in, per exit outcome</t>
  </si>
  <si>
    <t>Index of average investment per overall average</t>
  </si>
  <si>
    <t>intermediate calculation to calculation % of invested capital</t>
  </si>
  <si>
    <t>Adjustment to % of Investments to % of Invested Capital</t>
  </si>
  <si>
    <t>% of Invested Capital per Exit Outcome</t>
  </si>
  <si>
    <t>% of overall invested capital; sum should equal 0%. this will not be equal to the % of investments (companies) if you have different investment strategies between the companies</t>
  </si>
  <si>
    <t>% of Initial Capital per Exit Outcome</t>
  </si>
  <si>
    <t>% of First Follow per Exit Outcome</t>
  </si>
  <si>
    <t>% of Second Follow per Exit Outcome</t>
  </si>
  <si>
    <t>Initial Investment</t>
  </si>
  <si>
    <t>Average Initial Investment</t>
  </si>
  <si>
    <t>your check into the company, not including other investors in the round. calculated from your ownership % and average postmoney valuation at initial investment</t>
  </si>
  <si>
    <t>Postmoney Valuation</t>
  </si>
  <si>
    <t>assumption, average per type of exit. note, this is an assumption becuase the model is best used to evaluate the impact of ownership % on overall returns, and to do that, it is best to hold the valuation constant and see the impact on ownership % on the size of the portfolio</t>
  </si>
  <si>
    <t>Ownership %, at initial investment</t>
  </si>
  <si>
    <t>your assumed ownership %, not including other investors in the round. for convertibles, assume the post-conversion to equity ownership %</t>
  </si>
  <si>
    <t>Follow on Investments (First Follow on round)</t>
  </si>
  <si>
    <t>% of Initial Investments to Participate in Prorata</t>
  </si>
  <si>
    <t>this should reflect the combination of (a) companies that graduate to raise a round, and (b) whether you participate in their round</t>
  </si>
  <si>
    <t xml:space="preserve">Follow on Investment Amount </t>
  </si>
  <si>
    <t>this is calculated based on the amount raised in the round and the ownership coming into the round, but you can override this if desired</t>
  </si>
  <si>
    <t>Time from Initial Investment to Follow on Investment (quarters)</t>
  </si>
  <si>
    <t>time from the initial investment</t>
  </si>
  <si>
    <t>many people will assume the same for all types of companies (types of exit outcomes), but you could alter this if desired</t>
  </si>
  <si>
    <t>Dilution from Round (from all investors)</t>
  </si>
  <si>
    <t>this is used to calculate the amount raised in the round, based on the postmoney valuation in the round</t>
  </si>
  <si>
    <t>Dilution from New Option Pool</t>
  </si>
  <si>
    <t>optional, but helps to consider the dilution from option pool expansions. remember that prorata rights do not cover dilution from prorata</t>
  </si>
  <si>
    <t>Ownership % per company followed on, post follow on</t>
  </si>
  <si>
    <t>Ownership % per average initial investment, post follow on round</t>
  </si>
  <si>
    <t>average company, including ones do follow on in, and ones do not follow on in</t>
  </si>
  <si>
    <t>Follow on Investments (Second Follow on round)</t>
  </si>
  <si>
    <t>Follow on Investment Amount</t>
  </si>
  <si>
    <t>time from the initial investment, not the last follow round</t>
  </si>
  <si>
    <t>Follow on Investments (Additional Follow on rounds)</t>
  </si>
  <si>
    <t>Additional Dilution from Second Follow on round to Exit</t>
  </si>
  <si>
    <t>assumption to reflect all subsequent follow on rounds after the ones modeled above; you may want to assume more dilution for more successful companies to reflect more capital raised</t>
  </si>
  <si>
    <t xml:space="preserve"> </t>
  </si>
  <si>
    <t>Exit</t>
  </si>
  <si>
    <t>Average Exit Value</t>
  </si>
  <si>
    <t>assumption, to reflect the average distribution to equity shareholders for this type of exit</t>
  </si>
  <si>
    <t>Average Hold Period (quarters)</t>
  </si>
  <si>
    <t>Average Hold Period is the average time from initial investment to exit, per # of investments. assumption, please change for your strategy and assessment of your investments</t>
  </si>
  <si>
    <t>Average Investment per Company</t>
  </si>
  <si>
    <t>average invested per company, per exit outcome</t>
  </si>
  <si>
    <t>Ownership % at Exit</t>
  </si>
  <si>
    <t>ownership %, per exit outcome</t>
  </si>
  <si>
    <t>Average Proceeds per Company</t>
  </si>
  <si>
    <t>average proceeds per company, per exit outcome, reflecting ownership value at exit and total invested into each company (initial investment and follow on)</t>
  </si>
  <si>
    <t>Total Initial Investments</t>
  </si>
  <si>
    <t>capital allocation to initial investments (first checks into companies)</t>
  </si>
  <si>
    <t>per exit outcome / total</t>
  </si>
  <si>
    <t>Total First Follow Investments</t>
  </si>
  <si>
    <t>capital allocation to first follow</t>
  </si>
  <si>
    <t>Total Second Follow Investments</t>
  </si>
  <si>
    <t>capital allocation to second follow</t>
  </si>
  <si>
    <t>Total Follow Investments</t>
  </si>
  <si>
    <t>capital allocation to all follow on rounds</t>
  </si>
  <si>
    <t>Total Invested Capital</t>
  </si>
  <si>
    <t>capital allocation</t>
  </si>
  <si>
    <t>should equal the calculated % of total invested capital from above</t>
  </si>
  <si>
    <t>Total Proceeds</t>
  </si>
  <si>
    <t>total proceeds per type of exit, reflecting performance, investment strategy, and exit expectations. you may want to adjust those assumptions to get this to match your expectations for where portfolio returns come from</t>
  </si>
  <si>
    <t>Gross Exit Multiple, per Exit Outcome</t>
  </si>
  <si>
    <t>proceeds / invested capital, per exit outcome</t>
  </si>
  <si>
    <t>Portfolio Construction</t>
  </si>
  <si>
    <t>Capital Allocation and Investment Timeframe Assumptions</t>
  </si>
  <si>
    <t>New</t>
  </si>
  <si>
    <t>Follow</t>
  </si>
  <si>
    <t>% Allocation of Invested Capital</t>
  </si>
  <si>
    <t>Allocation of overall invested capital to new and follow</t>
  </si>
  <si>
    <t>Average Check Size</t>
  </si>
  <si>
    <r>
      <t xml:space="preserve">Follow ons are assumed to be on average 1-2 years after the new investment. If more detailed required, consider the Venture Investor Model (see </t>
    </r>
    <r>
      <rPr>
        <u/>
        <sz val="10"/>
        <color rgb="FF1155CC"/>
        <rFont val="Arial"/>
      </rPr>
      <t>Model Comparison sheet</t>
    </r>
    <r>
      <rPr>
        <sz val="10"/>
        <color rgb="FF000000"/>
        <rFont val="Arial"/>
        <scheme val="minor"/>
      </rPr>
      <t>)</t>
    </r>
  </si>
  <si>
    <t># of Checks</t>
  </si>
  <si>
    <t># of new checks = # of unique companies invested into. # of follow checks = # of rounds participated in, can consist of multiple follow checks into a single company</t>
  </si>
  <si>
    <t>Return Assumptions</t>
  </si>
  <si>
    <t>Used to create estimates of average investment outcome by gross exit multiple and hold period</t>
  </si>
  <si>
    <t>Type of Exit</t>
  </si>
  <si>
    <t>% of Investments</t>
  </si>
  <si>
    <t># of Investments</t>
  </si>
  <si>
    <t>Average Gross Exit Multiple</t>
  </si>
  <si>
    <t>Type of Exit can be defined in a few ways: by returns (writeoffs, small, medium, large), by strategy (Seed, A, B, etc.), by investment strategy (early, late, growth), or industry strategy (tech, energy, etc.)</t>
  </si>
  <si>
    <t>#, %</t>
  </si>
  <si>
    <t>Average Hold Period is the average time from initial investment to exit, per # of investments, used to calculate the timing of proceeds and writeoffs</t>
  </si>
  <si>
    <t>Can adjust this structure to add additional lines for types of exits, just note will need to make a few edits on Forecast sheet to pull those into the calculations of proceeds and changes in invested capital.</t>
  </si>
  <si>
    <t>note, the average gross multiple and average hold period is based off % of invested capital, *not* % of investments, since the investments may not have the same average investment $ per exit outcome, based on your assumptions above. so the average gross exit multiple *per investment* will vary from the average gross exit multiple per invested capital per outcome.</t>
  </si>
  <si>
    <t>Fund Performance</t>
  </si>
  <si>
    <t>Fund performance summary</t>
  </si>
  <si>
    <t>Called Capital (also called Paid in Capital)</t>
  </si>
  <si>
    <t>should equal committed capital</t>
  </si>
  <si>
    <t>Management Fees and Fund Expenses</t>
  </si>
  <si>
    <t>management fees + operating expenses + organizational expenses</t>
  </si>
  <si>
    <t>initially budgeted invested capital, without recycling</t>
  </si>
  <si>
    <t>Recycled Capital</t>
  </si>
  <si>
    <t>recycled capital, calculated using recycling assumptions above</t>
  </si>
  <si>
    <t>Invested Capital</t>
  </si>
  <si>
    <t>committed capital - expenses - management fees + recycled capital, using subcalculations for management fees to handle assets under management</t>
  </si>
  <si>
    <t>Proceeds</t>
  </si>
  <si>
    <t>calculated on forecast sheet</t>
  </si>
  <si>
    <t>Carried Interest</t>
  </si>
  <si>
    <t>Distributions</t>
  </si>
  <si>
    <t>Gross Multiple</t>
  </si>
  <si>
    <t>proceeds / invested capital. also known as MOIC (multiple on invested capital)</t>
  </si>
  <si>
    <t>Net Multiple</t>
  </si>
  <si>
    <t>distributions / paid in capital</t>
  </si>
  <si>
    <t>Gross IRR</t>
  </si>
  <si>
    <t>this is a simplified calculation. in practice, exits will happen at different times and sizes, and IRR will vary to reflect that. this simplified model can only make a simplified estimate of IRR for baseline forecasting</t>
  </si>
  <si>
    <t>Net IRR</t>
  </si>
  <si>
    <t>Max Exposure, as % of Committed Capital</t>
  </si>
  <si>
    <r>
      <t xml:space="preserve">Follow ons are assumed to be on average 1-2 years after the new investment. If more detailed required, consider the Venture Investor Model (see </t>
    </r>
    <r>
      <rPr>
        <u/>
        <sz val="10"/>
        <color rgb="FF1155CC"/>
        <rFont val="Arial"/>
      </rPr>
      <t>Model Comparison sheet</t>
    </r>
    <r>
      <rPr>
        <sz val="10"/>
        <color rgb="FF000000"/>
        <rFont val="Arial"/>
        <scheme val="minor"/>
      </rPr>
      <t>)</t>
    </r>
  </si>
  <si>
    <r>
      <t xml:space="preserve">The % of total proceeds is calculated from the gross exit multiple and the % of investments for each exit type, to estimate where the fund returns come from. More complicated methods for estimated proceeds are in the paid venture models at </t>
    </r>
    <r>
      <rPr>
        <u/>
        <sz val="10"/>
        <color rgb="FF1155CC"/>
        <rFont val="Arial"/>
      </rPr>
      <t>https://foresight.is/vc</t>
    </r>
  </si>
  <si>
    <t>note, the average gross multiple and average hold period is based off % of invested capital, *not* % of investments, since the investments may not have the same average investment $ per exit outcome, based on your assumptions above</t>
  </si>
  <si>
    <t>Quarterly Forecast</t>
  </si>
  <si>
    <t>Relative Quarter</t>
  </si>
  <si>
    <t>Date at end of period</t>
  </si>
  <si>
    <t>Triggers</t>
  </si>
  <si>
    <t>period for making new investments only</t>
  </si>
  <si>
    <t>sum</t>
  </si>
  <si>
    <r>
      <t xml:space="preserve">see FAST Standard for how to use triggers: </t>
    </r>
    <r>
      <rPr>
        <u/>
        <sz val="10"/>
        <color rgb="FF1155CC"/>
        <rFont val="Arial"/>
      </rPr>
      <t>https://foresight.is/learn/fast-standard</t>
    </r>
  </si>
  <si>
    <t>Proceeds Recycling period (quarters)</t>
  </si>
  <si>
    <t>Inputs</t>
  </si>
  <si>
    <t>Management Fees</t>
  </si>
  <si>
    <t>GP Commit, excluded from LP capital. By default, GP commit is treated as an LP interest. Check the box to have the GP commit not treated as an LP investment. This will affect management fees (management fees will not be charged on the GP commit if it's not an LP interest, and it will change the waterfall so that GPs only get carried interest, and not carried interest + their share of distributions as an LP)</t>
  </si>
  <si>
    <t>GP Commit, excluded from management fees. Check the box to have the GP commit - capital contributed by the GP as LP capital and an ownership in the fund - excluded from calculation of management fees</t>
  </si>
  <si>
    <t>GP Commit, covered via cashless contributions from management fees</t>
  </si>
  <si>
    <t>if management fees are used to cover for a GP Commit. Please discuss the implications of this with your tax advisor and fund admin if you choose this option</t>
  </si>
  <si>
    <t>final</t>
  </si>
  <si>
    <t>Commited Capital, % of total fund committed per year</t>
  </si>
  <si>
    <t>Called Capital, % of total fund committed</t>
  </si>
  <si>
    <t>optional manual override to the automatically calculated called capital schedule, if you do not want to use the calculated schedule. this will not change your investment deployment, only your called capital and cash balances</t>
  </si>
  <si>
    <t>Capital, beginning of period</t>
  </si>
  <si>
    <t>initial</t>
  </si>
  <si>
    <t>Called Capital</t>
  </si>
  <si>
    <t>Distributions + Carried Interest</t>
  </si>
  <si>
    <t>Fees</t>
  </si>
  <si>
    <t>Investments</t>
  </si>
  <si>
    <t>Capital, end of period</t>
  </si>
  <si>
    <t>Committed Capital</t>
  </si>
  <si>
    <t>Manual Investments</t>
  </si>
  <si>
    <t>New Investments</t>
  </si>
  <si>
    <t>Prorata Opportunities</t>
  </si>
  <si>
    <t>Reserves for Follow on</t>
  </si>
  <si>
    <t>change in reserves per period, increase in reserves when new investments are made, decrease when follow on are made or investments are written off</t>
  </si>
  <si>
    <t>Follow on Investments</t>
  </si>
  <si>
    <t>Total Investments, by cohort of New Investments</t>
  </si>
  <si>
    <t>Total Investments</t>
  </si>
  <si>
    <t>Organizational Expenses</t>
  </si>
  <si>
    <t>Operational Expenses</t>
  </si>
  <si>
    <t>Preferred Return</t>
  </si>
  <si>
    <t>GP Catchup</t>
  </si>
  <si>
    <t>Writeoffs</t>
  </si>
  <si>
    <t>Invested Capital Exited</t>
  </si>
  <si>
    <t>value of the original capital invested, that exits (proceeds &gt; 0)</t>
  </si>
  <si>
    <t>Change in Invested Capital</t>
  </si>
  <si>
    <t>value of the original capital invested. goes up when investments are made, down when investments are written off, and down when investments exit</t>
  </si>
  <si>
    <t>Change in Unrealized Gain (Loss)</t>
  </si>
  <si>
    <t>estimated from the gross IRR and accounting for value of invested capital and exits; please note this an estimate created as the model does not have sufficient tracking of intermediate changes in value of the portfolio to actually do this accurately, and you may alter the logic behind this if you want to change the estimate</t>
  </si>
  <si>
    <t>Change in Residual Value</t>
  </si>
  <si>
    <t>change in invested capital + change in residual value</t>
  </si>
  <si>
    <t>Change in Undrawn Capital Commitments</t>
  </si>
  <si>
    <t>Committed Capital from LPs</t>
  </si>
  <si>
    <t>Called Capital from LPs</t>
  </si>
  <si>
    <t>Distributions to LPs</t>
  </si>
  <si>
    <t>Distributions to GPs</t>
  </si>
  <si>
    <t>equal to residual value at end of period. also known as net asset value</t>
  </si>
  <si>
    <t>Paid in Capital (PIC)</t>
  </si>
  <si>
    <t>Residual Value to Paid in Capital (RVPI)</t>
  </si>
  <si>
    <t>Distributed Value to Paid in Capital (DVPI)</t>
  </si>
  <si>
    <t>Total Value to Paid in Capital (TVPI)</t>
  </si>
  <si>
    <t>Exposure, as % of Total Committed Capital</t>
  </si>
  <si>
    <t>idea from https://blog.newfundcap.com/vc-calculator/</t>
  </si>
  <si>
    <t>max</t>
  </si>
  <si>
    <t>Net (Investments) Proceeds</t>
  </si>
  <si>
    <t>realized only</t>
  </si>
  <si>
    <t>Net (Called Capital) Distributions</t>
  </si>
  <si>
    <t>Interim Net IRR</t>
  </si>
  <si>
    <t>will differ from net IRR simply because of difference in using XIRR and IRR and how they handle dates differently</t>
  </si>
  <si>
    <t>Gross MOIC (Multiple on invested capital)</t>
  </si>
  <si>
    <t>realized and unrealized, gross</t>
  </si>
  <si>
    <t>Net MOIC (Multiple on invested capital)</t>
  </si>
  <si>
    <t>realized and unrealized, net</t>
  </si>
  <si>
    <t>Proceeds to Distribute</t>
  </si>
  <si>
    <t>proceeds less recycled capital less expenses not budgeted for</t>
  </si>
  <si>
    <t>Cost Basis of Capital Exited</t>
  </si>
  <si>
    <t>Estimates fees on top of invested capital to calculate cost basis. Used to build up the total capital exited, to use in calculating deal-by-deal carry and estimate clawbacks. Will be zero if using Total Fun (European) Waterfall.</t>
  </si>
  <si>
    <t>Return of Capital</t>
  </si>
  <si>
    <t>invested capital returned through distributions in this period</t>
  </si>
  <si>
    <t>Cumulative Return of Capital</t>
  </si>
  <si>
    <t>cumulative return of invested capital. This will calculate back to the total forecasted invested capital, not the amount invested to date</t>
  </si>
  <si>
    <t>Cumulative Capital not returned</t>
  </si>
  <si>
    <t>this will turn to 0 when all invested capital is returned to investor. Since this is based on total invested capital in the investment period - not the investment to date - this may turn zero when the fund has returned capital before it has all been called. Questions about this, just email help@foresight.is</t>
  </si>
  <si>
    <t>Proceeds applicable for Carry</t>
  </si>
  <si>
    <t>by default carry is paid once capital is returned. see model comparison for more detailed models with features for more complexity for these calcs</t>
  </si>
  <si>
    <t>proceeds applicable for carry * carry %.</t>
  </si>
  <si>
    <t>Detail for Charts</t>
  </si>
  <si>
    <t>Calculation for recycling</t>
  </si>
  <si>
    <t>Proceeds to be recycled, within recycling timeframe</t>
  </si>
  <si>
    <t>Proceeds Recycled</t>
  </si>
  <si>
    <t>Max % recycling, as a % of committed capital</t>
  </si>
  <si>
    <t>total</t>
  </si>
  <si>
    <t>Max % recycling, as a % of management fees</t>
  </si>
  <si>
    <t>Calculation for deployment</t>
  </si>
  <si>
    <t>called capital</t>
  </si>
  <si>
    <t>organizational expenses</t>
  </si>
  <si>
    <t>operating expenses</t>
  </si>
  <si>
    <t>management fees</t>
  </si>
  <si>
    <t>proceeds recycled</t>
  </si>
  <si>
    <t>new invested capital</t>
  </si>
  <si>
    <t>follow invested capital</t>
  </si>
  <si>
    <t>invested capital, per cohort</t>
  </si>
  <si>
    <t>proceeds</t>
  </si>
  <si>
    <t>proceeds from investments exited within timeframe</t>
  </si>
  <si>
    <t>cost basis of investments exited within timeframe</t>
  </si>
  <si>
    <t>invested capital from investments exited within timeframe</t>
  </si>
  <si>
    <t>proceds to be recycled, within recycling timeframe</t>
  </si>
  <si>
    <t>cumulative called capital</t>
  </si>
  <si>
    <t>Calculation for invested capital using Assets under Management</t>
  </si>
  <si>
    <t>exited invested capital</t>
  </si>
  <si>
    <t>total invested capital</t>
  </si>
  <si>
    <t>sum of aum, during aum period</t>
  </si>
  <si>
    <r>
      <t xml:space="preserve">Follow ons are assumed to be on average 1-2 years after the new investment. If more detailed required, consider the Venture Investor Model (see </t>
    </r>
    <r>
      <rPr>
        <u/>
        <sz val="10"/>
        <color rgb="FF1155CC"/>
        <rFont val="Arial"/>
      </rPr>
      <t>Model Comparison sheet</t>
    </r>
    <r>
      <rPr>
        <sz val="10"/>
        <color rgb="FF000000"/>
        <rFont val="Arial"/>
        <scheme val="minor"/>
      </rPr>
      <t>)</t>
    </r>
  </si>
  <si>
    <r>
      <t xml:space="preserve">The % of total proceeds is calculated from the gross exit multiple and the % of investments for each exit type, to estimate where the fund returns come from. More complicated methods for estimated proceeds are in the paid venture models at </t>
    </r>
    <r>
      <rPr>
        <u/>
        <sz val="10"/>
        <color rgb="FF1155CC"/>
        <rFont val="Arial"/>
      </rPr>
      <t>https://foresight.is/vc</t>
    </r>
  </si>
  <si>
    <r>
      <t xml:space="preserve">see FAST Standard for how to use triggers: </t>
    </r>
    <r>
      <rPr>
        <u/>
        <sz val="10"/>
        <color rgb="FF1155CC"/>
        <rFont val="Arial"/>
      </rPr>
      <t>https://foresight.is/learn/fast-standard</t>
    </r>
  </si>
  <si>
    <t>Fund Scenario Outcomes</t>
  </si>
  <si>
    <t>Summary of fund scenarios</t>
  </si>
  <si>
    <t>Conservative Case</t>
  </si>
  <si>
    <t>Base Case</t>
  </si>
  <si>
    <t>High Case</t>
  </si>
  <si>
    <t>Scenario 2</t>
  </si>
  <si>
    <t>Scenario 1</t>
  </si>
  <si>
    <t>Scenario 3</t>
  </si>
  <si>
    <t>% Change in # of High Exits</t>
  </si>
  <si>
    <t>% Change in Valuations of High Exits</t>
  </si>
  <si>
    <t>* the % change in high exits changes the number of high exits by reducing the number of low and medium exits. change on the scenario's get started sheet if you want to alter that logic</t>
  </si>
  <si>
    <t>* the % change in high exit valuations changes the size of the large exit, as a % change to the assumption on get started base case. change on the scenario's get started sheet if you want to change differently</t>
  </si>
  <si>
    <r>
      <t xml:space="preserve">see FAST Standard for how to use triggers: </t>
    </r>
    <r>
      <rPr>
        <u/>
        <sz val="10"/>
        <color rgb="FF1155CC"/>
        <rFont val="Arial"/>
      </rPr>
      <t>https://foresight.is/learn/fast-standard</t>
    </r>
  </si>
  <si>
    <t>committed</t>
  </si>
  <si>
    <t>Deal-by-deal with clawback (American)</t>
  </si>
  <si>
    <t>Management Company</t>
  </si>
  <si>
    <t>For details, see https://foresight.is/docs/management-company/</t>
  </si>
  <si>
    <t>Revenues</t>
  </si>
  <si>
    <t>TBD</t>
  </si>
  <si>
    <t>Expenses</t>
  </si>
  <si>
    <t>Salary</t>
  </si>
  <si>
    <t>Contractors</t>
  </si>
  <si>
    <t>Travel</t>
  </si>
  <si>
    <t>Marketing</t>
  </si>
  <si>
    <t>Software</t>
  </si>
  <si>
    <t>Annual LLC filings</t>
  </si>
  <si>
    <t>Insurance</t>
  </si>
  <si>
    <t>Taxes</t>
  </si>
  <si>
    <t>Management Company Cash</t>
  </si>
  <si>
    <t>Cash, beginning of Period</t>
  </si>
  <si>
    <t>External Funding</t>
  </si>
  <si>
    <t>placeholder for owners of the management company to fund expenses or negative cash flows, or for external funding</t>
  </si>
  <si>
    <t>Cash, end of Period</t>
  </si>
  <si>
    <t>GP Carried Interest Entity</t>
  </si>
  <si>
    <t>Disbursements of Carried Interest</t>
  </si>
  <si>
    <t>for rough purposes, this is assumed to be immediately disbursed to the managers of the management company or the people who get paid carry</t>
  </si>
  <si>
    <t>Resources and Templates</t>
  </si>
  <si>
    <t>Every tool and template has its own rationale and goals, almost all share the same goal, to help emerging managers and entrepreneurs understand how the economics for venture funds work.</t>
  </si>
  <si>
    <t>Name</t>
  </si>
  <si>
    <t>Key Attributes</t>
  </si>
  <si>
    <t>Link</t>
  </si>
  <si>
    <t>How to Model a Venture Capital Fund</t>
  </si>
  <si>
    <t>Post detailing how to model a venture capital fund, detailing all the components, methods, considerations, and links to template models to review</t>
  </si>
  <si>
    <t>https://openvc.app/blog/how-to-model-a-venture-capital-fund</t>
  </si>
  <si>
    <t>Portfolio Construction for Dummies, by Hadley Harris (Eniac Ventures)</t>
  </si>
  <si>
    <t>Free Excel and Google Sheets Model and explanations on how to model a venture fund</t>
  </si>
  <si>
    <t>https://eniacvc.medium.com/seed-fund-portfolio-construction-for-dummies-9ec5b4d152dc</t>
  </si>
  <si>
    <t>Tactyc Venture Manager</t>
  </si>
  <si>
    <t>Web app to build, manage and strategize venture portfolio models</t>
  </si>
  <si>
    <t>https://vc.tactyc.io/</t>
  </si>
  <si>
    <t>Venture Fund Model, by Craig Thomas</t>
  </si>
  <si>
    <t>Free model in Causal for modeling portfolio construction</t>
  </si>
  <si>
    <t>https://my.causal.app/models/7140</t>
  </si>
  <si>
    <t>Open Source Venture Model (V1), by Sam Gerstenzang</t>
  </si>
  <si>
    <t>Google Sheet, open source, helpful for understanding how follow-on dynamics work in modeling and planning for reserves.</t>
  </si>
  <si>
    <t>https://medium.com/@gerstenzang/open-source-venture-model-osvm-v1-55bebf3eda9</t>
  </si>
  <si>
    <t>Airstream Alpha</t>
  </si>
  <si>
    <t>Fund budget template from a fund CFO firm (submit email to access)</t>
  </si>
  <si>
    <t>https://airstreamalpha.com/financial-model/</t>
  </si>
  <si>
    <t>Venture Capital Starter Model, by Foresight</t>
  </si>
  <si>
    <t>Free Google Sheet (can download to Excel) for forecasting a venture fund, including basic fund performance metrics. Calculates at an overall portfolio level (does not model cashflows over time)</t>
  </si>
  <si>
    <t>https://foresight.is/vc</t>
  </si>
  <si>
    <t>Simple, free model in Causal to show overall returns based on fund size, follow-on reserves, and fees.</t>
  </si>
  <si>
    <t>Venture Capital Model, Annual Forecast, by Foresight</t>
  </si>
  <si>
    <t>Free Google Sheet (can download to Excel) for forecasting a venture fund, including all fund performance metrics, showing annual cashflows over time.</t>
  </si>
  <si>
    <t>Venture Capital Model, Annual Forecast, by Foresight (Causal)</t>
  </si>
  <si>
    <t>Free Causal model for forecasting a venture fund, including all fund performance metrics, showing annual cashflows over time.</t>
  </si>
  <si>
    <t>Venture Fund Model, Quarterly Forecast,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</si>
  <si>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t>
  </si>
  <si>
    <t>https://foresight.is/venture-fund-model</t>
  </si>
  <si>
    <t>Venture Fund Model, Quarterly, with Tracking by Foresight</t>
  </si>
  <si>
    <t>$$ Excel and Google Sheets model to use in detailing cash flows and presenting to LPs in fundraising. Used by hundreds of emerging managers to raise funds. Includes financial statements for the fund, full forecast and statements for the management company, done on a quarterly timescale. Adds in tracking to track actual investments, compare budgeted investment pacing and performance to actuals, and create rolling forecasts.</t>
  </si>
  <si>
    <t>Venture Portfolio Construction, by Foresight</t>
  </si>
  <si>
    <t>Free Google Sheet (can download to Excel) to help understand portfolio construction.</t>
  </si>
  <si>
    <t>Contact taylor@foresight.is</t>
  </si>
  <si>
    <t>Angel and Solo GP Portfolio Tracking, by Foresight</t>
  </si>
  <si>
    <t>Free Google Sheet (can download to Excel) for angel investors to track and report performance metrics</t>
  </si>
  <si>
    <t>https://foresight.is/venture-portfolio-model</t>
  </si>
  <si>
    <t>Rolling Fund Template, by Foresight</t>
  </si>
  <si>
    <t>Free Google Sheet (can download to Excel) for budgeting capital, fees and investments for Angellist rolling funds</t>
  </si>
  <si>
    <t>https://www.angellist.com/blog/rolling-fund-budget</t>
  </si>
  <si>
    <t>Cap Table and Exit Waterfall Tool, by Foresight</t>
  </si>
  <si>
    <t xml:space="preserve">Free Excel Model (can upload to Google Sheets) to create a cap table through multiple rounds of investments, and forecast how investment rounds impact ownership, dilution, valuations, and distribution of proceeds to entrepreneurs and investors through a detailed exit waterfall. </t>
  </si>
  <si>
    <t>https://foresight.is/cap-table</t>
  </si>
  <si>
    <t>Venture Valuation Tool, by Foresight</t>
  </si>
  <si>
    <t>Free Excel Model (can upload to Google Sheets), useful for evaluating a specific investment, projected dilution, returns to shareholders participating in each round of investment</t>
  </si>
  <si>
    <t>https://foresight.is/learn/venture-valuation</t>
  </si>
  <si>
    <t>VC Fund Performance Calculator, by Angellist</t>
  </si>
  <si>
    <t>Percentile scores of venture funds across vintage years by combining performance data from hundreds of recent venture capital funds.</t>
  </si>
  <si>
    <t>https://angel.co/v/venture/calculator</t>
  </si>
  <si>
    <t>Venture Fund Economics, by Fred Wilson</t>
  </si>
  <si>
    <t>An outline of fund economics, with examples based on USV</t>
  </si>
  <si>
    <t>https://avc.com/2008/08/venture-fund-1/</t>
  </si>
  <si>
    <t>Venture Capital Method (Valuation)</t>
  </si>
  <si>
    <t>Examples of how to use the Venture Capital Method for valuation, free Google Sheets</t>
  </si>
  <si>
    <t>https://vcmethod.com/</t>
  </si>
  <si>
    <t>Foresight Template Comparison</t>
  </si>
  <si>
    <t>I offer a range of templates for venture funds and angels. Here's a breakdown of the models and how they compare.</t>
  </si>
  <si>
    <t>Template</t>
  </si>
  <si>
    <t>Price</t>
  </si>
  <si>
    <t>Overall Portfolio Forecast</t>
  </si>
  <si>
    <t>Annual Portfolio Forecast</t>
  </si>
  <si>
    <t>Quarterly Portfolio Forecast</t>
  </si>
  <si>
    <t>Fund Performance Metrics</t>
  </si>
  <si>
    <t>Financial Statements</t>
  </si>
  <si>
    <t>Track Actual Investments</t>
  </si>
  <si>
    <t>Budget v. Actuals, and rolling Forecast</t>
  </si>
  <si>
    <t>Multi-tiered Carried Interest</t>
  </si>
  <si>
    <t>Preferred Return (and GP Catchup)</t>
  </si>
  <si>
    <t>Rolling Funds</t>
  </si>
  <si>
    <t>Individual Investment Evaluation</t>
  </si>
  <si>
    <t>Venture Studios</t>
  </si>
  <si>
    <t>Management Company Budgeting</t>
  </si>
  <si>
    <t>Fund-of-Funds</t>
  </si>
  <si>
    <t>Venture Capital Model, Overall Portfolio, by Foresight</t>
  </si>
  <si>
    <t>https://foresight.is/venture-fund-model-overall/</t>
  </si>
  <si>
    <t>Google Sheets, download to Excel, Causal</t>
  </si>
  <si>
    <t>Free</t>
  </si>
  <si>
    <t>https://foresight.is/venture-fund-model-annual/</t>
  </si>
  <si>
    <t>Free, Suggested Donation</t>
  </si>
  <si>
    <t>Venture Capital Model, Quarterly Forecast, by Foresight</t>
  </si>
  <si>
    <t>https://foresight.is/venture-fund-model-quarterly/</t>
  </si>
  <si>
    <t>Venture Capital Model, Manual Investment Input, by Foresight</t>
  </si>
  <si>
    <t>https://foresight.is/venture-fund-model-portfolio/</t>
  </si>
  <si>
    <t>Google Sheets, download to Excel</t>
  </si>
  <si>
    <t>Venture Studio Model, Annual Forecast, by Foresight</t>
  </si>
  <si>
    <t>https://foresight.is/venture-studio-model</t>
  </si>
  <si>
    <t>Venture Capital Model, Average Cap Table</t>
  </si>
  <si>
    <t>https://foresight.is/venture-fund-model-detailed/</t>
  </si>
  <si>
    <t>$74 USD</t>
  </si>
  <si>
    <t>Venture Investor Model, by Foresight</t>
  </si>
  <si>
    <t>$349 USD</t>
  </si>
  <si>
    <t>Venture Investor Model, with Actuals Tracking, by Foresight</t>
  </si>
  <si>
    <t>https://foresight.is/venture-fund-model-tracking/</t>
  </si>
  <si>
    <t>$479 USD</t>
  </si>
  <si>
    <t>Angel and Venture Fund Portfolio Tracking, by Foresight</t>
  </si>
  <si>
    <t>https://foresight.is/venture-portfolio-model/</t>
  </si>
  <si>
    <t>Fund of Venture Funds</t>
  </si>
  <si>
    <t>https://foresight.is/fund-of-funds/</t>
  </si>
  <si>
    <t>https://foresight.is/rolling-fund-template/</t>
  </si>
  <si>
    <t>Excel, upload to Google Sheets</t>
  </si>
  <si>
    <t>https://foresight.is/venture-valuation-tool/</t>
  </si>
  <si>
    <t>Runway and Cash Budget Tool</t>
  </si>
  <si>
    <t>https://foresight.is/runway-cash-forecasting</t>
  </si>
  <si>
    <t>Custom Services</t>
  </si>
  <si>
    <t>Customization, edits to models, and custom services in Excel, Google Sheets, Causal</t>
  </si>
  <si>
    <t>Quote</t>
  </si>
  <si>
    <t>Key venture terms and metrics used in this model. For more, http://www.allenlatta.com/glossary-of-private-equity-terms.html is a good resource</t>
  </si>
  <si>
    <t>Term</t>
  </si>
  <si>
    <t>Definition</t>
  </si>
  <si>
    <t>Limited Partner</t>
  </si>
  <si>
    <t>Part-owner of a company whose liability for the firm's debts cannot exceed the amount that an individual invested in the company. In VC, the investors in the fund. https://www.investopedia.com/terms/l/limited-partner.asp</t>
  </si>
  <si>
    <t>General Partner</t>
  </si>
  <si>
    <t>A general partner is one of two or more investors who jointly own a business that is structured as a partnership, and who assumes a day-to-day role in managing it. In venture capital, often the management company or the owners and managers of the management company. https://www.investopedia.com/terms/g/generalpartner.asp</t>
  </si>
  <si>
    <t>Rolling Fund</t>
  </si>
  <si>
    <t>A newer fund structure created where each quarter is its own "fund" for reporting purposes, so that new limited partners can be accepted into the fund at every quarter. See https://www.angellist.com/blog/rolling-fund-budget for budgeting for rolling funds and more details on the structure</t>
  </si>
  <si>
    <t>Evergreen Fund</t>
  </si>
  <si>
    <t>Fund structure where proceeds are continually recycled, and typically limited partners can invest and divest regularly throughout the fund's life. (This model does not fit an evergreen structure.)</t>
  </si>
  <si>
    <t>Also known as total fund size. Total capital committed to the fund. May vary over a fund's lifetime if the fund is holding multiple closes.</t>
  </si>
  <si>
    <t>Capital called from limited partners. Used to pay fund expenses and invest in companies. Once all capital is called, total called capital will equal committed capital.</t>
  </si>
  <si>
    <t>GP Commit</t>
  </si>
  <si>
    <t>% of total called capital that is required to be contributed by the general partners of the fund. May be funded through management fees if limited partners allow in fund operating agreements.</t>
  </si>
  <si>
    <t>Expenses occured in creating a fund entity, which can often be charged to the fund (in addition to management fees)</t>
  </si>
  <si>
    <t>Expenses occured in operating a fund, which can often be charged to the fund (in addition to management fees). Can include fund administration, fund tax reporting, legal costs in working on investment opportunities, and more.</t>
  </si>
  <si>
    <t>Fees charged by the management company operating the fund to the fund. They are revenues to the management company, and used to pay expenses such as salaries, insurance, marketing, operating costs, and more.</t>
  </si>
  <si>
    <t>Management Fees Recycled</t>
  </si>
  <si>
    <t>Many funds will recycle their management fees, meaning they reinvest early proceeds back into new investments. The rationale is that it allows the management company to invest more capital from the same fund size and improve returns. Recycling all fees into new investments can be difficult to do, based on the timeframe for new investments and the timing of when proceeds happen. Budgeting a schedule of invested capital for management fee recycling can be difficult. Many funds will target higher recycling earlier (&gt;100%) knowing they will not be able to recycle all management fees into new investments later in period, or to be more aggressive in redeploying capital/.</t>
  </si>
  <si>
    <t>Proceeds received from the sale of investments. Proceeds may be distributed to investors in the fund, recycled into new investments, or retained to distribute at a later time. Thus, proceeds are calculated separately from distributions.</t>
  </si>
  <si>
    <t>Common in private equity, common in non-US venture capital, very rare in US venture capital. Also known as a hurdle rate, a rate of return promised to limited partners before carry is paid to general partners.</t>
  </si>
  <si>
    <t>Many funds that have a preferred return provide the ability to the General Partners to "catch-up" on the carry they would have earned on the preferred return that was first paid to limited partners.</t>
  </si>
  <si>
    <t>Also called "carry', the percentage of gains (proceeds less paid in capital) from investments that are paid to the managers of the fund.</t>
  </si>
  <si>
    <t>European Waterfall</t>
  </si>
  <si>
    <t>Also known as "total fund carry". Default assumption for US venture capital, and this model, which calculates carry on a total fund basis, so that carry is not paid until the entire fund earns a return</t>
  </si>
  <si>
    <t>American Waterfall</t>
  </si>
  <si>
    <t>Also known as "deal by deal carry". Rare in US venture capital, occurs in non-US venture capital, common in private equity. Carry is paid on a deal-by-deal basis, rather than a total fund. The effect is that carry is often paid earlier in a fund's lifecycle. Often comes with clawback provisions.</t>
  </si>
  <si>
    <t>Clawback</t>
  </si>
  <si>
    <t>Provisions in fund operating agreements for funds with American Waterfalls</t>
  </si>
  <si>
    <t>Distributions to investors in the fund. This is net of carried interest paid to the managers of the fund. Distributions = Proceeds less carried interest less recycled capital less retained proceeds, it captures the actual cash disbursed to investors in the fund.</t>
  </si>
  <si>
    <t>Investments that are written off from companies going out of business. Estimated using the portfolio construction sheet.</t>
  </si>
  <si>
    <t>simplified calc in this model. one way to do this is to take the gross IRR from exits to back into an estimate of markups and changes in valuations overtime, smoothing those unrealized gains over time. in reality, unrealized gains would be tied to changes in the value of the underlying investments and far spikier in terms of how much and when they occur. unrealized gains go down over time as they are realized, so unrealized gains over a fund's life should equal zero. this model uses the portfolio construction markups and exits to estimate the changes over time, so it attempts to more closely reflect the spikiness from the portfolio construction assumptions.</t>
  </si>
  <si>
    <t>equivalent to called capital</t>
  </si>
  <si>
    <t>Ratio of Residual Value to Paid in Capital.</t>
  </si>
  <si>
    <t>Ratio of cumulative distributions to paid in capital</t>
  </si>
  <si>
    <t>Ratio of (residual value remaining in portfolio + realized distributions) to paid in capital</t>
  </si>
  <si>
    <t>Gross cash flows per period, used to calculate gross IRRs</t>
  </si>
  <si>
    <t>Cumulative proceeds divided by cumulative invested capital, at the end of each period. Used to reflect the performance of the fund's investments.</t>
  </si>
  <si>
    <t>IRR (internal rate of return) of the investments and proceeds</t>
  </si>
  <si>
    <t>Net cash flows per period, used to calculate net IRRs</t>
  </si>
  <si>
    <t>Cumulative distributions divided by cumulative paid in capital, at the end of each period. Used to reflect the cash on cash performance of the fund, including the effect of the fund's expenses on returns.</t>
  </si>
  <si>
    <t>IRR (internatl rate of return) of paid in capital and distributions.</t>
  </si>
  <si>
    <t>Interim IRRs reflect a rate of return that includes the unrealized value of the existing investments in the portfolio. Good read:http://www.allenlatta.com/allens-blog/lp-corner-fund-performance-metrics-internal-rate-of-return-irr-part-two</t>
  </si>
  <si>
    <t>J Curve</t>
  </si>
  <si>
    <t>Created by charting Interim IRR over the fund's life. Venture capital funds typically show negative IRRs early inthe fund's life, as the residual value is less than the paid in capital (from taking out fees, and since investments often have not received markups), then increase over time as exits occur and the portfolio is marked up from investments increasing in value. http://www.allenlatta.com/allens-blog/lp-corner-the-j-curve</t>
  </si>
  <si>
    <t>Pro rata</t>
  </si>
  <si>
    <t>Potential investment amount in a new investment round offered to an pre-existing investor, often an amount that allows them to maintain their ownership position. Managers should have a strategy about how to handle pro rata investment opportunities, as well as a point of view on pro rata investment rights and their desire and ability to secure pro rata rights in investments.</t>
  </si>
  <si>
    <t>Here's what has changed.</t>
  </si>
  <si>
    <t>Version</t>
  </si>
  <si>
    <t>Date</t>
  </si>
  <si>
    <t>v4.4.4</t>
  </si>
  <si>
    <t>Edited Forecast sheet and Get Started sheet to eliminate the circular reference that would happen if you choose to recycle using new and follow investments option on Get Started. The edits are in the calculations for deployment section on Forecast and a new set of calculations around capital allocation in the Portfolio Construction section on Get Started</t>
  </si>
  <si>
    <t>v4.4.3</t>
  </si>
  <si>
    <t>Edited Forecast sheet (and related Forecast sheets for each scenario) to eliminate a potential DIV/0 error if you assumed 0% to one of the investment outcomes</t>
  </si>
  <si>
    <t>v4.4.2</t>
  </si>
  <si>
    <t xml:space="preserve">Edited the unrealized gains (losses) calculation on Forecast sheet
</t>
  </si>
  <si>
    <t>v4.4.1</t>
  </si>
  <si>
    <t xml:space="preserve">Significant edits to the follow on forecast on the Forecast sheet- the previous version had not adjusted the timing of follow-ons to the quarterly timescale from annual, as well as the new input assumptions for follow ons per exit outcome, an oversight - and a recalculation of the allocation to new and follow on Get Started.
</t>
  </si>
  <si>
    <t>v4.4</t>
  </si>
  <si>
    <t>New model variant built off the annual forecast model, but built to a quarterly timescale and offering a new portfolio construction method that offers a simple way to forecast initial and follow on investments, without the graduation rate structure, but also adding in the scenarios structure to see the impact of different portfolio construction approaches or investment performance assumptions.</t>
  </si>
  <si>
    <t>v4.3</t>
  </si>
  <si>
    <t>New recycling options rolled out in parallel with an edit to the investment deployment forecasting methodology. 
Instead of a percentage of management fees recycling option, the model now offers a new set of assumptions on `Get Started` to more closely align with the options typical in fund LPAs (limited partnership agreements). The new recycling subroutine calculations on the `Forecast` sheet detail the potential recycling per period with each option, and help users understand how different recycling options impact cash flows.
In addition, the structure for forecasting invested capital was changed to match up the timing of recycled capital with investments, which will make the cash deployment and budgeting clearer and easier. A new output on `Get Started` reports the Budgeted Invested Capital separate from the proceeds that are recycled into investments, and the Called Capital and New Investments lines on the `Forecast` sheet were edited to reflect a different approach to budgeting for investments.</t>
  </si>
  <si>
    <t>v4.2.1</t>
  </si>
  <si>
    <t>Adjusted methodology for estimating forecasted unrealized gains. I could write an essay on this, but in short, this is a best estimate using the gross IRR and accounting for value of invested capital and exits; please note this model does not have sufficient tracking of intermediate changes in value of the portfolio to actually calculate this accurately, so an estimate is a best it can do, and you may alter the logic behind this if you want to change the estimate. If you want a more specific method of doing this, that requires the more advanced portfolio construction method at https://foresight.is/venture-fund-model</t>
  </si>
  <si>
    <t>v4.2.0</t>
  </si>
  <si>
    <t>So, I always say circulars can be solved with algebra, and I've said that the algebra for calculating management fees using assets under management was too hard. Well, I solved it with a new methodology. On Forecast sheet there is a subcalculation routine that calculates assets under management as a % of invested capital given the capital deployment strategy and investment strategy (expectations of writeoffs and exits). Three primary changes: (a) modified the forecast of invested capital to allow the option to use circulars, now a checkbox on Forecast sheet, (b) removed the manual adjustment to the invested capital, and (c) new method used to forecast invested capital on Get Started. It's still doing the same thing (committed capital - expenses - management fees + recycled capital) but now it's using a lot more subcalculations for management fees to make it work. Now, you can select management fees to use committed capital at any point in the fund life, and the model will adjust, without requiring circulars. The option to use circulars is now just a backup.
Edited Proceeds, Writeoffs, and Invested Capital Exited to use the assumptions on Get Started a bit differently. No change in the results (except previously, I reported writeoffs as part of invested capital exited, now it is separated), but required to make the changes above.</t>
  </si>
  <si>
    <t>v4.1.9</t>
  </si>
  <si>
    <t>Edited Get Started and Forecast to make the model a bit smarter about handling expense overruns. Now the model will reduce distributions to handle any unbudgeted expenses, as well as call capital around recycling a bit differently. Changes to Called Capital per period, Management Fees Recycled per period, and Proceeds available for distribution (in the Waterfall) lines.
Created new input on Forecast to allow for a manual adjustment to invested capital; this gets added to Invested Capital on Get Started and added to the total budgeted invested capital. The intent is for this to only be used in cases where management fees are charged on assets under management or called capital; the previous change to remove the circular on charging fees based on assets under management results in called capital &lt; committed capital, this manual adjustment allows for a fund manager to increase their budget to get them to equal (previously the model would calculate it using circulars, but that can be problematic in some use cases as Excel/Google Sheets will struggle to find a consistent answer, removing the circular removes that spreadsheet program issue but introduces the tradeoff of making it harder for the model to create the capital call schedule, and this edit allows the fund manager to adjust the model to fix that. Basically, replacing a spreadsheet auto calc with a human adjustment to deal with the practical issue with circulars).</t>
  </si>
  <si>
    <t>v4.1.8</t>
  </si>
  <si>
    <t>Edited Get Started and Forecast to build new way to forecast operational expenses. Previously model assumed operational fees were not charged to the fund in the extension period, after the initial fund operations period, if the fund was not yet exited out of all investments. Now by default it does estimate that period and use that for budgeting for operational expenses.</t>
  </si>
  <si>
    <t>v4.1.7</t>
  </si>
  <si>
    <t>Edited Get Started to create new calculation of invested capital if using assets under management as the base for any period in calculating management fees. Previously the model relied on circular references to calculate fees and create a schedule of called capital, but that method sometimes failed to work reliably because of how iterative calculations work to resolve circulars (context on circulars, https://foresight.is/circulars ). Now, if the model observes any option other than committed capital used, it will alter the estimate of invested capital so that it does not create a circular. The trade-off is that the model will not result in called capital = committed capital if you are not recycling 100% of management fees, due to the difficulty in estimating the budget for management fees.</t>
  </si>
  <si>
    <t>v4.1.6</t>
  </si>
  <si>
    <t>Edited Forecast sheet, adding a toggle(checkbox in Google Sheets, TRUE/FALSE in Excel) to choose whether the GP commit into the LP capital in the fund is charged management fees. By default in previous model versions the GP commit incurred management fees, by default now it does not, but there is a checkbox to toggle the treatment. Added one new line, and edited Management Fees line.</t>
  </si>
  <si>
    <t>v4.1.5</t>
  </si>
  <si>
    <t>Edited Forecast sheet, calculation of RVPI, to estimate the value of carried interest. Previously RVPI was reported on a gross basis, while DPI was reported on a net basis, creating a TVPI that reflected a net DPI and gross RVPI, slightly overestimating TVPI because it did not estimate carried interest to net from the residual value. A small edit that removed the slight change in TVPI on the last period where RVPI goes to zero.</t>
  </si>
  <si>
    <t>v4.1.4</t>
  </si>
  <si>
    <r>
      <rPr>
        <sz val="10"/>
        <rFont val="Arial"/>
      </rPr>
      <t xml:space="preserve">Edited Get Started to eliminate the section on ownership percentages and valuations. (a) it was not used in the calculation of proceeds or any calculation in the modl, only for informational purposes, and (b) because of that it was commonly misunderstood by people. More complicated methods for calculating portfolio construction are in the paid venture models at </t>
    </r>
    <r>
      <rPr>
        <u/>
        <sz val="10"/>
        <color rgb="FF1155CC"/>
        <rFont val="Arial"/>
      </rPr>
      <t>https://foresight.is/vc</t>
    </r>
  </si>
  <si>
    <t>v4.1.3</t>
  </si>
  <si>
    <t>Edited Forecast, Distributions to GPs to include GP Catchup. Only impacts models with preferred returns and catchups, and only impacts the chart reporting relative distributions to GPs and LPs</t>
  </si>
  <si>
    <t>v4.1.2</t>
  </si>
  <si>
    <t>Edited Forecast sheet to add one more performance metric to the model
Edited logic behind the change in unrealized gains calculation on Forecast, based on conversation with a user. I think the numbers calculated previously were directionally correct, although the logic behind the formula didn't make sense. So, I revisted the logic and created a new formula that uses a different logic to calculate this estimate, by accounting for all capital to date. The end result isn't that different, but I do think the logic makes more sense.</t>
  </si>
  <si>
    <t>v4.1.1</t>
  </si>
  <si>
    <t>Edited the Interim IRR calculation for the first period in the model, so that it would capture the change in value during the first year and record a negative IRR. No change to any other calculations, no change in cash flows, just to change the reporting of the IRR in the first year</t>
  </si>
  <si>
    <t>v4.1.0</t>
  </si>
  <si>
    <r>
      <t xml:space="preserve">Fresh start on the Venture Investor Model. Clean new version of model, building in 80% of the features of the preexisting v4.0 beta and v3.15 (last stable previous version).
A number of features were not built into this model, primarily towards the goal of reducing overall complexity, and removing features not commonly used. Timescale reduced to annual, and is relative by default. Hooks structure removed, removed a number of options including American waterfall, rolling funds, tiered carry, recasting (a v3 version feature not brought into v4), and proceeds recycling (no longer separate from management fees recycling). Portfolio construction was massively redone; it follows the idea of the v4 beta, but implemented in a different way that should be much more clear and intuitive (i.e. less confusing). Management company budgeting and financial was removed; a better way to do it is by using the free </t>
    </r>
    <r>
      <rPr>
        <u/>
        <sz val="10"/>
        <color rgb="FF1155CC"/>
        <rFont val="Arial"/>
      </rPr>
      <t>Runway and Cash Budget Tool from Foresight</t>
    </r>
    <r>
      <rPr>
        <sz val="10"/>
        <color rgb="FF000000"/>
        <rFont val="Arial"/>
        <scheme val="minor"/>
      </rPr>
      <t>, as it's made for budgeting for companies; linking in management fees as a revenue item is easy to do, and it's a better base structure for modeling the management companies
Feature requests, feedback, bu</t>
    </r>
    <r>
      <rPr>
        <sz val="10"/>
        <color rgb="FF000000"/>
        <rFont val="Arial"/>
      </rPr>
      <t>gs,</t>
    </r>
    <r>
      <rPr>
        <sz val="10"/>
        <color rgb="FF000000"/>
        <rFont val="Arial"/>
        <scheme val="minor"/>
      </rPr>
      <t xml:space="preserve"> email me.</t>
    </r>
  </si>
  <si>
    <t>new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</si>
</sst>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0;\(#,##0\)"/>
    <numFmt numFmtId="165" formatCode="#,##0_);\(#,##0\);_(&quot;-&quot;_);_(@_)"/>
    <numFmt numFmtId="166" formatCode="0.0%"/>
    <numFmt numFmtId="167" formatCode="#,##0.00_);\(#,##0.00\);_(&quot;-&quot;_);_(@_)"/>
    <numFmt numFmtId="168" formatCode="#,##0.00;\(#,##0.00\)"/>
    <numFmt numFmtId="169" formatCode="0.000"/>
    <numFmt numFmtId="170" formatCode="\Q0"/>
    <numFmt numFmtId="171" formatCode="&quot;Quarter&quot;\ #,##0_);\(#,##0\);_(&quot;-&quot;_);_(@_)"/>
    <numFmt numFmtId="172" formatCode="m/d/yyyy"/>
    <numFmt numFmtId="173" formatCode="#,##0.000000000_);\(#,##0.000000000\);_(&quot;-&quot;_);_(@_)"/>
    <numFmt numFmtId="174" formatCode="#,##0.0000_);\(#,##0.0000\);_(&quot;-&quot;_);_(@_)"/>
    <numFmt numFmtId="175" formatCode="#,##0.000_);\(#,##0.000\);_(&quot;-&quot;_);_(@_)"/>
    <numFmt numFmtId="176" formatCode="&quot;$&quot;#,##0"/>
  </numFmts>
  <fonts count="38">
    <font>
      <sz val="10"/>
      <color rgb="FF000000"/>
      <name val="Arial"/>
      <scheme val="minor"/>
    </font>
    <font>
      <sz val="10"/>
      <color theme="1"/>
      <name val="Arial"/>
      <scheme val="minor"/>
    </font>
    <font>
      <b/>
      <sz val="14"/>
      <color theme="1"/>
      <name val="Arial"/>
      <scheme val="minor"/>
    </font>
    <font>
      <sz val="10"/>
      <color rgb="FF000000"/>
      <name val="Arial"/>
      <scheme val="minor"/>
    </font>
    <font>
      <b/>
      <sz val="10"/>
      <color theme="1"/>
      <name val="Arial"/>
      <scheme val="minor"/>
    </font>
    <font>
      <sz val="10"/>
      <color rgb="FF000000"/>
      <name val="Arial"/>
    </font>
    <font>
      <u/>
      <sz val="10"/>
      <color rgb="FF0000FF"/>
      <name val="Arial"/>
    </font>
    <font>
      <b/>
      <sz val="12"/>
      <color theme="1"/>
      <name val="Arial"/>
      <scheme val="minor"/>
    </font>
    <font>
      <u/>
      <sz val="10"/>
      <color rgb="FF0000FF"/>
      <name val="Arial"/>
    </font>
    <font>
      <sz val="10"/>
      <color theme="1"/>
      <name val="Arial"/>
    </font>
    <font>
      <i/>
      <sz val="10"/>
      <color rgb="FF000000"/>
      <name val="&quot;Avenir Book&quot;"/>
    </font>
    <font>
      <u/>
      <sz val="10"/>
      <color rgb="FF1155CC"/>
      <name val="Arial"/>
    </font>
    <font>
      <sz val="10"/>
      <color rgb="FF000000"/>
      <name val="&quot;Avenir Book&quot;"/>
    </font>
    <font>
      <sz val="10"/>
      <color rgb="FF666666"/>
      <name val="Arial"/>
      <scheme val="minor"/>
    </font>
    <font>
      <b/>
      <i/>
      <sz val="12"/>
      <color theme="1"/>
      <name val="Arial"/>
      <scheme val="minor"/>
    </font>
    <font>
      <sz val="10"/>
      <color rgb="FF0000FF"/>
      <name val="Arial"/>
      <scheme val="minor"/>
    </font>
    <font>
      <sz val="10"/>
      <color rgb="FF0000FF"/>
      <name val="Arial"/>
    </font>
    <font>
      <b/>
      <i/>
      <sz val="12"/>
      <color theme="1"/>
      <name val="Arial"/>
    </font>
    <font>
      <sz val="10"/>
      <color rgb="FF666666"/>
      <name val="Arial"/>
    </font>
    <font>
      <i/>
      <sz val="10"/>
      <color theme="1"/>
      <name val="Arial"/>
    </font>
    <font>
      <u/>
      <sz val="10"/>
      <color rgb="FF0000FF"/>
      <name val="Arial"/>
    </font>
    <font>
      <i/>
      <sz val="10"/>
      <color theme="1"/>
      <name val="Arial"/>
      <scheme val="minor"/>
    </font>
    <font>
      <sz val="10"/>
      <color rgb="FFFFFFFF"/>
      <name val="Arial"/>
      <scheme val="minor"/>
    </font>
    <font>
      <b/>
      <sz val="10"/>
      <color theme="1"/>
      <name val="Arial"/>
    </font>
    <font>
      <b/>
      <sz val="14"/>
      <color theme="1"/>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0000FF"/>
      <name val="Arial"/>
    </font>
    <font>
      <sz val="10"/>
      <color rgb="FF0000FF"/>
      <name val="Arial"/>
    </font>
    <font>
      <sz val="10"/>
      <name val="Arial"/>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4">
    <border>
      <left/>
      <right/>
      <top/>
      <bottom/>
      <diagonal/>
    </border>
    <border>
      <left/>
      <right/>
      <top/>
      <bottom style="thin">
        <color rgb="FF000000"/>
      </bottom>
      <diagonal/>
    </border>
    <border>
      <left/>
      <right/>
      <top style="thin">
        <color rgb="FF000000"/>
      </top>
      <bottom/>
      <diagonal/>
    </border>
    <border>
      <left/>
      <right/>
      <top/>
      <bottom/>
      <diagonal/>
    </border>
  </borders>
  <cellStyleXfs count="1">
    <xf numFmtId="0" fontId="0" fillId="0" borderId="0"/>
  </cellStyleXfs>
  <cellXfs count="125">
    <xf numFmtId="0" fontId="0" fillId="0" borderId="0" xfId="0"/>
    <xf numFmtId="0" fontId="1" fillId="0" borderId="0" xfId="0" applyFont="1" applyAlignment="1">
      <alignment horizontal="right"/>
    </xf>
    <xf numFmtId="0" fontId="2" fillId="0" borderId="0" xfId="0" applyFont="1"/>
    <xf numFmtId="0" fontId="3" fillId="0" borderId="0" xfId="0" applyFont="1"/>
    <xf numFmtId="0" fontId="4" fillId="0" borderId="0" xfId="0" applyFont="1" applyAlignment="1">
      <alignment vertical="top" wrapText="1"/>
    </xf>
    <xf numFmtId="0" fontId="3" fillId="0" borderId="0" xfId="0" applyFont="1" applyAlignment="1">
      <alignment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0" borderId="0" xfId="0" applyFont="1" applyAlignment="1">
      <alignment vertical="top"/>
    </xf>
    <xf numFmtId="0" fontId="3" fillId="0" borderId="0" xfId="0" applyFont="1" applyAlignment="1">
      <alignment vertical="top" wrapText="1"/>
    </xf>
    <xf numFmtId="0" fontId="1" fillId="0" borderId="0" xfId="0" applyFont="1" applyAlignment="1">
      <alignment vertical="top" wrapText="1"/>
    </xf>
    <xf numFmtId="0" fontId="8" fillId="0" borderId="0" xfId="0" applyFont="1" applyAlignment="1">
      <alignment vertical="top" wrapText="1"/>
    </xf>
    <xf numFmtId="0" fontId="9" fillId="0" borderId="0" xfId="0" applyFont="1"/>
    <xf numFmtId="0" fontId="9" fillId="2" borderId="0" xfId="0" applyFont="1" applyFill="1" applyAlignment="1">
      <alignment vertical="top" wrapText="1"/>
    </xf>
    <xf numFmtId="0" fontId="1" fillId="0" borderId="0" xfId="0" applyFont="1"/>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 fillId="0" borderId="0" xfId="0" applyFont="1" applyAlignment="1">
      <alignment horizontal="center"/>
    </xf>
    <xf numFmtId="0" fontId="13" fillId="0" borderId="0" xfId="0" applyFont="1"/>
    <xf numFmtId="0" fontId="14" fillId="0" borderId="0" xfId="0" applyFont="1"/>
    <xf numFmtId="0" fontId="1" fillId="0" borderId="1" xfId="0" applyFont="1" applyBorder="1"/>
    <xf numFmtId="0" fontId="1" fillId="0" borderId="1" xfId="0" applyFont="1" applyBorder="1" applyAlignment="1">
      <alignment horizontal="center"/>
    </xf>
    <xf numFmtId="0" fontId="1" fillId="0" borderId="1" xfId="0" applyFont="1" applyBorder="1" applyAlignment="1">
      <alignment horizontal="right"/>
    </xf>
    <xf numFmtId="0" fontId="1" fillId="0" borderId="1" xfId="0" applyFont="1" applyBorder="1" applyAlignment="1">
      <alignment horizontal="left"/>
    </xf>
    <xf numFmtId="164" fontId="15" fillId="3" borderId="0" xfId="0" applyNumberFormat="1" applyFont="1" applyFill="1" applyAlignment="1">
      <alignment horizontal="center"/>
    </xf>
    <xf numFmtId="165" fontId="15" fillId="0" borderId="0" xfId="0" applyNumberFormat="1" applyFont="1"/>
    <xf numFmtId="165" fontId="15" fillId="3" borderId="0" xfId="0" applyNumberFormat="1" applyFont="1" applyFill="1"/>
    <xf numFmtId="165" fontId="1" fillId="0" borderId="0" xfId="0" applyNumberFormat="1" applyFont="1"/>
    <xf numFmtId="10" fontId="15" fillId="0" borderId="0" xfId="0" applyNumberFormat="1" applyFont="1"/>
    <xf numFmtId="10" fontId="15" fillId="3" borderId="0" xfId="0" applyNumberFormat="1" applyFont="1" applyFill="1"/>
    <xf numFmtId="164" fontId="1" fillId="0" borderId="0" xfId="0" applyNumberFormat="1" applyFont="1" applyAlignment="1">
      <alignment horizontal="center"/>
    </xf>
    <xf numFmtId="164" fontId="15" fillId="0" borderId="0" xfId="0" applyNumberFormat="1" applyFont="1"/>
    <xf numFmtId="164" fontId="1" fillId="0" borderId="0" xfId="0" applyNumberFormat="1" applyFont="1"/>
    <xf numFmtId="9" fontId="1" fillId="0" borderId="0" xfId="0" applyNumberFormat="1" applyFont="1"/>
    <xf numFmtId="0" fontId="16" fillId="3" borderId="0" xfId="0" applyFont="1" applyFill="1"/>
    <xf numFmtId="165" fontId="9" fillId="0" borderId="0" xfId="0" applyNumberFormat="1" applyFont="1" applyAlignment="1">
      <alignment horizontal="right"/>
    </xf>
    <xf numFmtId="164" fontId="15" fillId="3" borderId="0" xfId="0" applyNumberFormat="1" applyFont="1" applyFill="1"/>
    <xf numFmtId="0" fontId="17" fillId="0" borderId="0" xfId="0" applyFont="1"/>
    <xf numFmtId="0" fontId="18" fillId="0" borderId="0" xfId="0" applyFont="1"/>
    <xf numFmtId="0" fontId="9" fillId="0" borderId="1" xfId="0" applyFont="1" applyBorder="1"/>
    <xf numFmtId="164" fontId="9" fillId="0" borderId="1" xfId="0" applyNumberFormat="1" applyFont="1" applyBorder="1"/>
    <xf numFmtId="164" fontId="16" fillId="3" borderId="1" xfId="0" applyNumberFormat="1" applyFont="1" applyFill="1" applyBorder="1" applyAlignment="1">
      <alignment horizontal="right"/>
    </xf>
    <xf numFmtId="0" fontId="19" fillId="0" borderId="0" xfId="0" applyFont="1"/>
    <xf numFmtId="164" fontId="9" fillId="0" borderId="0" xfId="0" applyNumberFormat="1" applyFont="1" applyAlignment="1">
      <alignment horizontal="center"/>
    </xf>
    <xf numFmtId="9" fontId="16" fillId="3" borderId="0" xfId="0" applyNumberFormat="1" applyFont="1" applyFill="1" applyAlignment="1">
      <alignment horizontal="right"/>
    </xf>
    <xf numFmtId="9" fontId="9" fillId="0" borderId="0" xfId="0" applyNumberFormat="1" applyFont="1" applyAlignment="1">
      <alignment horizontal="right"/>
    </xf>
    <xf numFmtId="165" fontId="9" fillId="0" borderId="0" xfId="0" applyNumberFormat="1" applyFont="1"/>
    <xf numFmtId="165" fontId="16" fillId="3" borderId="0" xfId="0" applyNumberFormat="1" applyFont="1" applyFill="1" applyAlignment="1">
      <alignment horizontal="right"/>
    </xf>
    <xf numFmtId="166" fontId="1" fillId="0" borderId="0" xfId="0" applyNumberFormat="1" applyFont="1"/>
    <xf numFmtId="164" fontId="16" fillId="3" borderId="0" xfId="0" applyNumberFormat="1" applyFont="1" applyFill="1" applyAlignment="1">
      <alignment horizontal="right"/>
    </xf>
    <xf numFmtId="167" fontId="9" fillId="0" borderId="0" xfId="0" applyNumberFormat="1" applyFont="1" applyAlignment="1">
      <alignment horizontal="right"/>
    </xf>
    <xf numFmtId="168" fontId="1" fillId="0" borderId="0" xfId="0" applyNumberFormat="1" applyFont="1"/>
    <xf numFmtId="164" fontId="1" fillId="0" borderId="0" xfId="0" applyNumberFormat="1" applyFont="1" applyAlignment="1">
      <alignment horizontal="right"/>
    </xf>
    <xf numFmtId="164" fontId="1" fillId="0" borderId="1" xfId="0" applyNumberFormat="1" applyFont="1" applyBorder="1" applyAlignment="1">
      <alignment horizontal="right"/>
    </xf>
    <xf numFmtId="9" fontId="15" fillId="0" borderId="0" xfId="0" applyNumberFormat="1" applyFont="1"/>
    <xf numFmtId="0" fontId="20" fillId="0" borderId="0" xfId="0" applyFont="1"/>
    <xf numFmtId="1" fontId="1" fillId="0" borderId="0" xfId="0" applyNumberFormat="1" applyFont="1"/>
    <xf numFmtId="9" fontId="1" fillId="0" borderId="2" xfId="0" applyNumberFormat="1" applyFont="1" applyBorder="1"/>
    <xf numFmtId="1" fontId="1" fillId="0" borderId="2" xfId="0" applyNumberFormat="1" applyFont="1" applyBorder="1"/>
    <xf numFmtId="2" fontId="1" fillId="0" borderId="2" xfId="0" applyNumberFormat="1" applyFont="1" applyBorder="1"/>
    <xf numFmtId="169" fontId="9" fillId="0" borderId="0" xfId="0" applyNumberFormat="1" applyFont="1" applyAlignment="1">
      <alignment horizontal="right"/>
    </xf>
    <xf numFmtId="2" fontId="9" fillId="0" borderId="0" xfId="0" applyNumberFormat="1" applyFont="1" applyAlignment="1">
      <alignment horizontal="right"/>
    </xf>
    <xf numFmtId="10" fontId="9" fillId="0" borderId="0" xfId="0" applyNumberFormat="1" applyFont="1" applyAlignment="1">
      <alignment horizontal="right"/>
    </xf>
    <xf numFmtId="0" fontId="9" fillId="0" borderId="0" xfId="0" applyFont="1" applyAlignment="1">
      <alignment horizontal="center"/>
    </xf>
    <xf numFmtId="165" fontId="15" fillId="3" borderId="1" xfId="0" applyNumberFormat="1" applyFont="1" applyFill="1" applyBorder="1" applyAlignment="1">
      <alignment horizontal="right"/>
    </xf>
    <xf numFmtId="9" fontId="15" fillId="3" borderId="0" xfId="0" applyNumberFormat="1" applyFont="1" applyFill="1"/>
    <xf numFmtId="0" fontId="4" fillId="0" borderId="0" xfId="0" applyFont="1"/>
    <xf numFmtId="170" fontId="1" fillId="0" borderId="1" xfId="0" applyNumberFormat="1" applyFont="1" applyBorder="1" applyAlignment="1">
      <alignment horizontal="left"/>
    </xf>
    <xf numFmtId="170" fontId="1" fillId="0" borderId="1" xfId="0" applyNumberFormat="1" applyFont="1" applyBorder="1" applyAlignment="1">
      <alignment horizontal="right"/>
    </xf>
    <xf numFmtId="170" fontId="1" fillId="0" borderId="1" xfId="0" applyNumberFormat="1" applyFont="1" applyBorder="1"/>
    <xf numFmtId="171" fontId="1" fillId="0" borderId="1" xfId="0" applyNumberFormat="1" applyFont="1" applyBorder="1"/>
    <xf numFmtId="170" fontId="1" fillId="0" borderId="0" xfId="0" applyNumberFormat="1" applyFont="1"/>
    <xf numFmtId="172" fontId="15" fillId="3" borderId="0" xfId="0" applyNumberFormat="1" applyFont="1" applyFill="1"/>
    <xf numFmtId="14" fontId="1" fillId="0" borderId="0" xfId="0" applyNumberFormat="1" applyFont="1"/>
    <xf numFmtId="0" fontId="21" fillId="0" borderId="0" xfId="0" applyFont="1"/>
    <xf numFmtId="10" fontId="1" fillId="0" borderId="0" xfId="0" applyNumberFormat="1" applyFont="1"/>
    <xf numFmtId="0" fontId="15" fillId="3" borderId="0" xfId="0" applyFont="1" applyFill="1" applyAlignment="1">
      <alignment horizontal="right"/>
    </xf>
    <xf numFmtId="10" fontId="9" fillId="0" borderId="0" xfId="0" applyNumberFormat="1" applyFont="1"/>
    <xf numFmtId="165" fontId="1" fillId="0" borderId="2" xfId="0" applyNumberFormat="1" applyFont="1" applyBorder="1"/>
    <xf numFmtId="167" fontId="1" fillId="0" borderId="0" xfId="0" applyNumberFormat="1" applyFont="1"/>
    <xf numFmtId="165" fontId="22" fillId="0" borderId="0" xfId="0" applyNumberFormat="1" applyFont="1"/>
    <xf numFmtId="10" fontId="1" fillId="0" borderId="0" xfId="0" applyNumberFormat="1" applyFont="1" applyAlignment="1">
      <alignment horizontal="right"/>
    </xf>
    <xf numFmtId="171" fontId="1" fillId="0" borderId="0" xfId="0" applyNumberFormat="1" applyFont="1"/>
    <xf numFmtId="0" fontId="23" fillId="0" borderId="0" xfId="0" applyFont="1"/>
    <xf numFmtId="173" fontId="1" fillId="0" borderId="0" xfId="0" applyNumberFormat="1" applyFont="1"/>
    <xf numFmtId="169" fontId="9" fillId="0" borderId="0" xfId="0" applyNumberFormat="1" applyFont="1"/>
    <xf numFmtId="174" fontId="9" fillId="0" borderId="0" xfId="0" applyNumberFormat="1" applyFont="1" applyAlignment="1">
      <alignment horizontal="right"/>
    </xf>
    <xf numFmtId="167" fontId="9" fillId="0" borderId="0" xfId="0" applyNumberFormat="1" applyFont="1"/>
    <xf numFmtId="175" fontId="9" fillId="0" borderId="0" xfId="0" applyNumberFormat="1" applyFont="1" applyAlignment="1">
      <alignment horizontal="right"/>
    </xf>
    <xf numFmtId="174" fontId="9" fillId="0" borderId="0" xfId="0" applyNumberFormat="1" applyFont="1"/>
    <xf numFmtId="0" fontId="7" fillId="0" borderId="0" xfId="0" applyFont="1"/>
    <xf numFmtId="2" fontId="1" fillId="0" borderId="0" xfId="0" applyNumberFormat="1" applyFont="1"/>
    <xf numFmtId="172" fontId="1" fillId="0" borderId="0" xfId="0" applyNumberFormat="1" applyFont="1"/>
    <xf numFmtId="0" fontId="24" fillId="0" borderId="0" xfId="0" applyFont="1"/>
    <xf numFmtId="0" fontId="18" fillId="0" borderId="3" xfId="0" applyFont="1" applyBorder="1"/>
    <xf numFmtId="0" fontId="9" fillId="0" borderId="3" xfId="0" applyFont="1" applyBorder="1"/>
    <xf numFmtId="0" fontId="9" fillId="3" borderId="0" xfId="0" applyFont="1" applyFill="1" applyAlignment="1">
      <alignment vertical="top" wrapText="1"/>
    </xf>
    <xf numFmtId="0" fontId="25" fillId="3" borderId="0" xfId="0" applyFont="1" applyFill="1" applyAlignment="1">
      <alignment vertical="top"/>
    </xf>
    <xf numFmtId="0" fontId="26" fillId="2" borderId="0" xfId="0" applyFont="1" applyFill="1" applyAlignment="1">
      <alignment vertical="top"/>
    </xf>
    <xf numFmtId="0" fontId="27" fillId="3" borderId="3" xfId="0" applyFont="1" applyFill="1" applyBorder="1" applyAlignment="1">
      <alignment vertical="top"/>
    </xf>
    <xf numFmtId="0" fontId="28" fillId="2" borderId="3" xfId="0" applyFont="1" applyFill="1" applyBorder="1" applyAlignment="1">
      <alignment vertical="top"/>
    </xf>
    <xf numFmtId="0" fontId="9" fillId="3" borderId="0" xfId="0" applyFont="1" applyFill="1" applyAlignment="1">
      <alignment vertical="top"/>
    </xf>
    <xf numFmtId="0" fontId="29" fillId="3" borderId="0" xfId="0" applyFont="1" applyFill="1" applyAlignment="1">
      <alignment vertical="top"/>
    </xf>
    <xf numFmtId="0" fontId="30" fillId="2" borderId="0" xfId="0" applyFont="1" applyFill="1" applyAlignment="1">
      <alignment vertical="top"/>
    </xf>
    <xf numFmtId="0" fontId="9" fillId="0" borderId="1" xfId="0" applyFont="1" applyBorder="1" applyAlignment="1">
      <alignment wrapText="1"/>
    </xf>
    <xf numFmtId="0" fontId="9" fillId="0" borderId="1" xfId="0" applyFont="1" applyBorder="1" applyAlignment="1">
      <alignment horizontal="center" wrapText="1"/>
    </xf>
    <xf numFmtId="0" fontId="9" fillId="0" borderId="0" xfId="0" applyFont="1" applyAlignment="1">
      <alignment vertical="top"/>
    </xf>
    <xf numFmtId="0" fontId="31" fillId="2" borderId="0" xfId="0" applyFont="1" applyFill="1" applyAlignment="1">
      <alignment vertical="top"/>
    </xf>
    <xf numFmtId="0" fontId="32" fillId="3" borderId="0" xfId="0" applyFont="1" applyFill="1" applyAlignment="1">
      <alignment vertical="top"/>
    </xf>
    <xf numFmtId="176" fontId="9" fillId="3" borderId="0" xfId="0" applyNumberFormat="1" applyFont="1" applyFill="1" applyAlignment="1">
      <alignment vertical="top" wrapText="1"/>
    </xf>
    <xf numFmtId="176" fontId="9" fillId="2" borderId="0" xfId="0" applyNumberFormat="1" applyFont="1" applyFill="1" applyAlignment="1">
      <alignment vertical="top" wrapText="1"/>
    </xf>
    <xf numFmtId="0" fontId="33" fillId="2" borderId="0" xfId="0" applyFont="1" applyFill="1" applyAlignment="1">
      <alignment vertical="top"/>
    </xf>
    <xf numFmtId="0" fontId="34" fillId="3" borderId="0" xfId="0" applyFont="1" applyFill="1" applyAlignment="1">
      <alignment vertical="top"/>
    </xf>
    <xf numFmtId="0" fontId="9" fillId="0" borderId="0" xfId="0" applyFont="1" applyAlignment="1">
      <alignment vertical="top" wrapText="1"/>
    </xf>
    <xf numFmtId="0" fontId="1" fillId="0" borderId="0" xfId="0" applyFont="1" applyAlignment="1">
      <alignment horizontal="left"/>
    </xf>
    <xf numFmtId="0" fontId="1" fillId="0" borderId="0" xfId="0" applyFont="1" applyAlignment="1">
      <alignment horizontal="left" vertical="top" wrapText="1"/>
    </xf>
    <xf numFmtId="172" fontId="9" fillId="0" borderId="0" xfId="0" applyNumberFormat="1" applyFont="1" applyAlignment="1">
      <alignment horizontal="left" vertical="top" wrapText="1"/>
    </xf>
    <xf numFmtId="0" fontId="35" fillId="0" borderId="0" xfId="0" applyFont="1" applyAlignment="1">
      <alignment vertical="top" wrapText="1"/>
    </xf>
    <xf numFmtId="172" fontId="1" fillId="0" borderId="0" xfId="0" applyNumberFormat="1" applyFont="1" applyAlignment="1">
      <alignment horizontal="left" vertical="top" wrapText="1"/>
    </xf>
    <xf numFmtId="0" fontId="36" fillId="0" borderId="0" xfId="0" applyFont="1" applyAlignment="1">
      <alignment vertical="top" wrapText="1"/>
    </xf>
    <xf numFmtId="165" fontId="9" fillId="0" borderId="0" xfId="0" applyNumberFormat="1" applyFont="1">
      <extLst>
        <ext xmlns:xfpb="http://schemas.microsoft.com/office/spreadsheetml/2022/featurepropertybag" uri="{C7286773-470A-42A8-94C5-96B5CB345126}">
          <xfpb:xfComplement i="0"/>
        </ext>
      </extLst>
    </xf>
    <xf numFmtId="0" fontId="9" fillId="2" borderId="0" xfId="0" applyFont="1" applyFill="1" applyAlignment="1">
      <alignment horizontal="center" vertical="center"/>
      <extLst>
        <ext xmlns:xfpb="http://schemas.microsoft.com/office/spreadsheetml/2022/featurepropertybag" uri="{C7286773-470A-42A8-94C5-96B5CB345126}">
          <xfpb:xfComplement i="0"/>
        </ext>
      </extLst>
    </xf>
    <xf numFmtId="0" fontId="9" fillId="3" borderId="0" xfId="0" applyFont="1" applyFill="1" applyAlignment="1">
      <alignment horizontal="center" vertical="center"/>
      <extLst>
        <ext xmlns:xfpb="http://schemas.microsoft.com/office/spreadsheetml/2022/featurepropertybag" uri="{C7286773-470A-42A8-94C5-96B5CB345126}">
          <xfpb:xfComplement i="0"/>
        </ext>
      </extLst>
    </xf>
  </cellXfs>
  <cellStyles count="1">
    <cellStyle name="Normal" xfId="0" builtinId="0"/>
  </cellStyles>
  <dxfs count="32">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0"/>
        </ext>
      </extLst>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DF2F0"/>
          <bgColor rgb="FFDDF2F0"/>
        </patternFill>
      </fill>
    </dxf>
    <dxf>
      <fill>
        <patternFill patternType="solid">
          <fgColor rgb="FFFFFFFF"/>
          <bgColor rgb="FFFFFFFF"/>
        </patternFill>
      </fill>
    </dxf>
    <dxf>
      <fill>
        <patternFill patternType="solid">
          <fgColor rgb="FFDDF2F0"/>
          <bgColor rgb="FFDDF2F0"/>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6">
    <tableStyle name="README-style" pivot="0" count="3" xr9:uid="{00000000-0011-0000-FFFF-FFFF00000000}">
      <tableStyleElement type="headerRow" dxfId="31"/>
      <tableStyleElement type="firstRowStripe" dxfId="30"/>
      <tableStyleElement type="secondRowStripe" dxfId="29"/>
    </tableStyle>
    <tableStyle name="README-style 2" pivot="0" count="3" xr9:uid="{00000000-0011-0000-FFFF-FFFF01000000}">
      <tableStyleElement type="headerRow" dxfId="28"/>
      <tableStyleElement type="firstRowStripe" dxfId="27"/>
      <tableStyleElement type="secondRowStripe" dxfId="26"/>
    </tableStyle>
    <tableStyle name="Resources-style" pivot="0" count="3" xr9:uid="{00000000-0011-0000-FFFF-FFFF02000000}">
      <tableStyleElement type="headerRow" dxfId="25"/>
      <tableStyleElement type="firstRowStripe" dxfId="24"/>
      <tableStyleElement type="secondRowStripe" dxfId="23"/>
    </tableStyle>
    <tableStyle name="Model Comparison-style" pivot="0" count="2" xr9:uid="{00000000-0011-0000-FFFF-FFFF03000000}">
      <tableStyleElement type="firstRowStripe" dxfId="22"/>
      <tableStyleElement type="secondRowStripe" dxfId="21"/>
    </tableStyle>
    <tableStyle name="Glossary-style" pivot="0" count="3" xr9:uid="{00000000-0011-0000-FFFF-FFFF04000000}">
      <tableStyleElement type="headerRow" dxfId="20"/>
      <tableStyleElement type="firstRowStripe" dxfId="19"/>
      <tableStyleElement type="secondRowStripe" dxfId="18"/>
    </tableStyle>
    <tableStyle name="Changelog-style" pivot="0" count="2" xr9:uid="{00000000-0011-0000-FFFF-FFFF05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 of Investments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4A0B-7345-A592-F5DB2356C12E}"/>
              </c:ext>
            </c:extLst>
          </c:dPt>
          <c:dPt>
            <c:idx val="1"/>
            <c:bubble3D val="0"/>
            <c:spPr>
              <a:solidFill>
                <a:srgbClr val="EA4335"/>
              </a:solidFill>
            </c:spPr>
            <c:extLst>
              <c:ext xmlns:c16="http://schemas.microsoft.com/office/drawing/2014/chart" uri="{C3380CC4-5D6E-409C-BE32-E72D297353CC}">
                <c16:uniqueId val="{00000003-4A0B-7345-A592-F5DB2356C12E}"/>
              </c:ext>
            </c:extLst>
          </c:dPt>
          <c:dPt>
            <c:idx val="2"/>
            <c:bubble3D val="0"/>
            <c:spPr>
              <a:solidFill>
                <a:srgbClr val="FBBC04"/>
              </a:solidFill>
            </c:spPr>
            <c:extLst>
              <c:ext xmlns:c16="http://schemas.microsoft.com/office/drawing/2014/chart" uri="{C3380CC4-5D6E-409C-BE32-E72D297353CC}">
                <c16:uniqueId val="{00000005-4A0B-7345-A592-F5DB2356C12E}"/>
              </c:ext>
            </c:extLst>
          </c:dPt>
          <c:dPt>
            <c:idx val="3"/>
            <c:bubble3D val="0"/>
            <c:spPr>
              <a:solidFill>
                <a:srgbClr val="34A853"/>
              </a:solidFill>
            </c:spPr>
            <c:extLst>
              <c:ext xmlns:c16="http://schemas.microsoft.com/office/drawing/2014/chart" uri="{C3380CC4-5D6E-409C-BE32-E72D297353CC}">
                <c16:uniqueId val="{00000007-4A0B-7345-A592-F5DB2356C12E}"/>
              </c:ext>
            </c:extLst>
          </c:dPt>
          <c:cat>
            <c:strRef>
              <c:f>'Get Started'!$B$109:$B$112</c:f>
              <c:strCache>
                <c:ptCount val="4"/>
                <c:pt idx="0">
                  <c:v>Fail</c:v>
                </c:pt>
                <c:pt idx="1">
                  <c:v>Low</c:v>
                </c:pt>
                <c:pt idx="2">
                  <c:v>Medium</c:v>
                </c:pt>
                <c:pt idx="3">
                  <c:v>High</c:v>
                </c:pt>
              </c:strCache>
            </c:strRef>
          </c:cat>
          <c:val>
            <c:numRef>
              <c:f>'Get Started'!$E$109:$E$112</c:f>
              <c:numCache>
                <c:formatCode>0%</c:formatCode>
                <c:ptCount val="4"/>
                <c:pt idx="0">
                  <c:v>0.6</c:v>
                </c:pt>
                <c:pt idx="1">
                  <c:v>0.2</c:v>
                </c:pt>
                <c:pt idx="2">
                  <c:v>0.1</c:v>
                </c:pt>
                <c:pt idx="3">
                  <c:v>9.9999999999999978E-2</c:v>
                </c:pt>
              </c:numCache>
            </c:numRef>
          </c:val>
          <c:extLst>
            <c:ext xmlns:c16="http://schemas.microsoft.com/office/drawing/2014/chart" uri="{C3380CC4-5D6E-409C-BE32-E72D297353CC}">
              <c16:uniqueId val="{00000008-4A0B-7345-A592-F5DB2356C12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 of Investments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AD3-A44D-BFFC-A583BC99800F}"/>
              </c:ext>
            </c:extLst>
          </c:dPt>
          <c:dPt>
            <c:idx val="1"/>
            <c:bubble3D val="0"/>
            <c:spPr>
              <a:solidFill>
                <a:srgbClr val="EA4335"/>
              </a:solidFill>
            </c:spPr>
            <c:extLst>
              <c:ext xmlns:c16="http://schemas.microsoft.com/office/drawing/2014/chart" uri="{C3380CC4-5D6E-409C-BE32-E72D297353CC}">
                <c16:uniqueId val="{00000003-1AD3-A44D-BFFC-A583BC99800F}"/>
              </c:ext>
            </c:extLst>
          </c:dPt>
          <c:dPt>
            <c:idx val="2"/>
            <c:bubble3D val="0"/>
            <c:spPr>
              <a:solidFill>
                <a:srgbClr val="FBBC04"/>
              </a:solidFill>
            </c:spPr>
            <c:extLst>
              <c:ext xmlns:c16="http://schemas.microsoft.com/office/drawing/2014/chart" uri="{C3380CC4-5D6E-409C-BE32-E72D297353CC}">
                <c16:uniqueId val="{00000005-1AD3-A44D-BFFC-A583BC99800F}"/>
              </c:ext>
            </c:extLst>
          </c:dPt>
          <c:dPt>
            <c:idx val="3"/>
            <c:bubble3D val="0"/>
            <c:spPr>
              <a:solidFill>
                <a:srgbClr val="34A853"/>
              </a:solidFill>
            </c:spPr>
            <c:extLst>
              <c:ext xmlns:c16="http://schemas.microsoft.com/office/drawing/2014/chart" uri="{C3380CC4-5D6E-409C-BE32-E72D297353CC}">
                <c16:uniqueId val="{00000007-1AD3-A44D-BFFC-A583BC99800F}"/>
              </c:ext>
            </c:extLst>
          </c:dPt>
          <c:cat>
            <c:strRef>
              <c:f>'Get Started  2'!$B$109:$B$112</c:f>
              <c:strCache>
                <c:ptCount val="4"/>
                <c:pt idx="0">
                  <c:v> Fail </c:v>
                </c:pt>
                <c:pt idx="1">
                  <c:v> Low </c:v>
                </c:pt>
                <c:pt idx="2">
                  <c:v> Medium </c:v>
                </c:pt>
                <c:pt idx="3">
                  <c:v> High </c:v>
                </c:pt>
              </c:strCache>
            </c:strRef>
          </c:cat>
          <c:val>
            <c:numRef>
              <c:f>'Get Started  2'!$E$109:$E$112</c:f>
              <c:numCache>
                <c:formatCode>0%</c:formatCode>
                <c:ptCount val="4"/>
                <c:pt idx="0">
                  <c:v>0.6166666666666667</c:v>
                </c:pt>
                <c:pt idx="1">
                  <c:v>0.21666666666666667</c:v>
                </c:pt>
                <c:pt idx="2">
                  <c:v>0.11666666666666667</c:v>
                </c:pt>
                <c:pt idx="3">
                  <c:v>4.9999999999999989E-2</c:v>
                </c:pt>
              </c:numCache>
            </c:numRef>
          </c:val>
          <c:extLst>
            <c:ext xmlns:c16="http://schemas.microsoft.com/office/drawing/2014/chart" uri="{C3380CC4-5D6E-409C-BE32-E72D297353CC}">
              <c16:uniqueId val="{00000008-1AD3-A44D-BFFC-A583BC99800F}"/>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 of Investments</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7688-7D42-95EC-80782BF653F6}"/>
              </c:ext>
            </c:extLst>
          </c:dPt>
          <c:dPt>
            <c:idx val="1"/>
            <c:bubble3D val="0"/>
            <c:spPr>
              <a:solidFill>
                <a:srgbClr val="EA4335"/>
              </a:solidFill>
            </c:spPr>
            <c:extLst>
              <c:ext xmlns:c16="http://schemas.microsoft.com/office/drawing/2014/chart" uri="{C3380CC4-5D6E-409C-BE32-E72D297353CC}">
                <c16:uniqueId val="{00000003-7688-7D42-95EC-80782BF653F6}"/>
              </c:ext>
            </c:extLst>
          </c:dPt>
          <c:dPt>
            <c:idx val="2"/>
            <c:bubble3D val="0"/>
            <c:spPr>
              <a:solidFill>
                <a:srgbClr val="FBBC04"/>
              </a:solidFill>
            </c:spPr>
            <c:extLst>
              <c:ext xmlns:c16="http://schemas.microsoft.com/office/drawing/2014/chart" uri="{C3380CC4-5D6E-409C-BE32-E72D297353CC}">
                <c16:uniqueId val="{00000005-7688-7D42-95EC-80782BF653F6}"/>
              </c:ext>
            </c:extLst>
          </c:dPt>
          <c:dPt>
            <c:idx val="3"/>
            <c:bubble3D val="0"/>
            <c:spPr>
              <a:solidFill>
                <a:srgbClr val="34A853"/>
              </a:solidFill>
            </c:spPr>
            <c:extLst>
              <c:ext xmlns:c16="http://schemas.microsoft.com/office/drawing/2014/chart" uri="{C3380CC4-5D6E-409C-BE32-E72D297353CC}">
                <c16:uniqueId val="{00000007-7688-7D42-95EC-80782BF653F6}"/>
              </c:ext>
            </c:extLst>
          </c:dPt>
          <c:cat>
            <c:strRef>
              <c:f>'Get Started  3'!$B$109:$B$112</c:f>
              <c:strCache>
                <c:ptCount val="4"/>
                <c:pt idx="0">
                  <c:v> Fail </c:v>
                </c:pt>
                <c:pt idx="1">
                  <c:v> Low </c:v>
                </c:pt>
                <c:pt idx="2">
                  <c:v> Medium </c:v>
                </c:pt>
                <c:pt idx="3">
                  <c:v> High </c:v>
                </c:pt>
              </c:strCache>
            </c:strRef>
          </c:cat>
          <c:val>
            <c:numRef>
              <c:f>'Get Started  3'!$E$109:$E$112</c:f>
              <c:numCache>
                <c:formatCode>0%</c:formatCode>
                <c:ptCount val="4"/>
                <c:pt idx="0">
                  <c:v>0.56666666666666665</c:v>
                </c:pt>
                <c:pt idx="1">
                  <c:v>0.16666666666666669</c:v>
                </c:pt>
                <c:pt idx="2">
                  <c:v>6.666666666666668E-2</c:v>
                </c:pt>
                <c:pt idx="3">
                  <c:v>0.19999999999999996</c:v>
                </c:pt>
              </c:numCache>
            </c:numRef>
          </c:val>
          <c:extLst>
            <c:ext xmlns:c16="http://schemas.microsoft.com/office/drawing/2014/chart" uri="{C3380CC4-5D6E-409C-BE32-E72D297353CC}">
              <c16:uniqueId val="{00000008-7688-7D42-95EC-80782BF653F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Interim IRR</a:t>
            </a:r>
          </a:p>
        </c:rich>
      </c:tx>
      <c:overlay val="0"/>
    </c:title>
    <c:autoTitleDeleted val="0"/>
    <c:plotArea>
      <c:layout/>
      <c:lineChart>
        <c:grouping val="standard"/>
        <c:varyColors val="0"/>
        <c:ser>
          <c:idx val="0"/>
          <c:order val="0"/>
          <c:spPr>
            <a:ln cmpd="sng">
              <a:solidFill>
                <a:srgbClr val="4285F4"/>
              </a:solidFill>
            </a:ln>
          </c:spPr>
          <c:marker>
            <c:symbol val="none"/>
          </c:marker>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Forecast!$G$103:$CH$103</c:f>
              <c:numCache>
                <c:formatCode>0.00%</c:formatCode>
                <c:ptCount val="80"/>
                <c:pt idx="0">
                  <c:v>0</c:v>
                </c:pt>
                <c:pt idx="1">
                  <c:v>-0.70787163127882269</c:v>
                </c:pt>
                <c:pt idx="2">
                  <c:v>-0.42563575860668124</c:v>
                </c:pt>
                <c:pt idx="3">
                  <c:v>-0.29657944132958192</c:v>
                </c:pt>
                <c:pt idx="4">
                  <c:v>-0.22594110408197832</c:v>
                </c:pt>
                <c:pt idx="5">
                  <c:v>-0.18194488047271207</c:v>
                </c:pt>
                <c:pt idx="6">
                  <c:v>-0.15207267750779541</c:v>
                </c:pt>
                <c:pt idx="7">
                  <c:v>-0.13052386610076128</c:v>
                </c:pt>
                <c:pt idx="8">
                  <c:v>-8.6056578771624426E-2</c:v>
                </c:pt>
                <c:pt idx="9">
                  <c:v>-5.2724747805805716E-2</c:v>
                </c:pt>
                <c:pt idx="10">
                  <c:v>-2.7118992588905377E-2</c:v>
                </c:pt>
                <c:pt idx="11">
                  <c:v>-7.0423321816268647E-3</c:v>
                </c:pt>
                <c:pt idx="12">
                  <c:v>1.7224989539555313E-2</c:v>
                </c:pt>
                <c:pt idx="13">
                  <c:v>3.6048367628338518E-2</c:v>
                </c:pt>
                <c:pt idx="14">
                  <c:v>5.1118591888416498E-2</c:v>
                </c:pt>
                <c:pt idx="15">
                  <c:v>6.3459095591571701E-2</c:v>
                </c:pt>
                <c:pt idx="16">
                  <c:v>0.10665017868999183</c:v>
                </c:pt>
                <c:pt idx="17">
                  <c:v>0.13797053884022348</c:v>
                </c:pt>
                <c:pt idx="18">
                  <c:v>0.15615372747120482</c:v>
                </c:pt>
                <c:pt idx="19">
                  <c:v>0.16991391004578849</c:v>
                </c:pt>
                <c:pt idx="20">
                  <c:v>0.17954122889526047</c:v>
                </c:pt>
                <c:pt idx="21">
                  <c:v>0.18718185492331019</c:v>
                </c:pt>
                <c:pt idx="22">
                  <c:v>0.19334044562511687</c:v>
                </c:pt>
                <c:pt idx="23">
                  <c:v>0.19838065116405579</c:v>
                </c:pt>
                <c:pt idx="24">
                  <c:v>0.23114629463369041</c:v>
                </c:pt>
                <c:pt idx="25">
                  <c:v>0.25831096433443812</c:v>
                </c:pt>
                <c:pt idx="26">
                  <c:v>0.28129861278710089</c:v>
                </c:pt>
                <c:pt idx="27">
                  <c:v>0.30105025637301153</c:v>
                </c:pt>
                <c:pt idx="28">
                  <c:v>0.31909991995355202</c:v>
                </c:pt>
                <c:pt idx="29">
                  <c:v>0.33469155837171716</c:v>
                </c:pt>
                <c:pt idx="30">
                  <c:v>0.34825189814676261</c:v>
                </c:pt>
                <c:pt idx="31">
                  <c:v>0.36011435075878984</c:v>
                </c:pt>
                <c:pt idx="32">
                  <c:v>0.36713954665496806</c:v>
                </c:pt>
                <c:pt idx="33">
                  <c:v>0.37342901618140312</c:v>
                </c:pt>
                <c:pt idx="34">
                  <c:v>0.37906972433619557</c:v>
                </c:pt>
                <c:pt idx="35">
                  <c:v>0.38413724796527338</c:v>
                </c:pt>
                <c:pt idx="36">
                  <c:v>0.38954837620774918</c:v>
                </c:pt>
                <c:pt idx="37">
                  <c:v>0.3943992303423367</c:v>
                </c:pt>
                <c:pt idx="38">
                  <c:v>0.39875652810689255</c:v>
                </c:pt>
                <c:pt idx="39">
                  <c:v>0.40745330807232882</c:v>
                </c:pt>
                <c:pt idx="40">
                  <c:v>0.40745330807232882</c:v>
                </c:pt>
                <c:pt idx="41">
                  <c:v>0.40745330807232882</c:v>
                </c:pt>
                <c:pt idx="42">
                  <c:v>0.40745330807232882</c:v>
                </c:pt>
                <c:pt idx="43">
                  <c:v>0.40745330807232882</c:v>
                </c:pt>
                <c:pt idx="44">
                  <c:v>0.40745330807232882</c:v>
                </c:pt>
                <c:pt idx="45">
                  <c:v>0.40745330807232882</c:v>
                </c:pt>
                <c:pt idx="46">
                  <c:v>0.40745330807232882</c:v>
                </c:pt>
                <c:pt idx="47">
                  <c:v>0.40745330807232882</c:v>
                </c:pt>
                <c:pt idx="48">
                  <c:v>0.40745330807232882</c:v>
                </c:pt>
                <c:pt idx="49">
                  <c:v>0.40745330807232882</c:v>
                </c:pt>
                <c:pt idx="50">
                  <c:v>0.40745330807232882</c:v>
                </c:pt>
                <c:pt idx="51">
                  <c:v>0.40745330807232882</c:v>
                </c:pt>
                <c:pt idx="52">
                  <c:v>0.40745330807232882</c:v>
                </c:pt>
                <c:pt idx="53">
                  <c:v>0.40745330807232882</c:v>
                </c:pt>
                <c:pt idx="54">
                  <c:v>0.40745330807232882</c:v>
                </c:pt>
                <c:pt idx="55">
                  <c:v>0.40745330807232882</c:v>
                </c:pt>
                <c:pt idx="56">
                  <c:v>0.40745330807232882</c:v>
                </c:pt>
                <c:pt idx="57">
                  <c:v>0.40745330807232882</c:v>
                </c:pt>
                <c:pt idx="58">
                  <c:v>0.40745330807232882</c:v>
                </c:pt>
                <c:pt idx="59">
                  <c:v>0.40745330807232882</c:v>
                </c:pt>
                <c:pt idx="60">
                  <c:v>0.40745330807232882</c:v>
                </c:pt>
                <c:pt idx="61">
                  <c:v>0.40745330807232882</c:v>
                </c:pt>
                <c:pt idx="62">
                  <c:v>0.40745330807232882</c:v>
                </c:pt>
                <c:pt idx="63">
                  <c:v>0.40745330807232882</c:v>
                </c:pt>
                <c:pt idx="64">
                  <c:v>0.40745330807232882</c:v>
                </c:pt>
                <c:pt idx="65">
                  <c:v>0.40745330807232882</c:v>
                </c:pt>
                <c:pt idx="66">
                  <c:v>0.40745330807232882</c:v>
                </c:pt>
                <c:pt idx="67">
                  <c:v>0.40745330807232882</c:v>
                </c:pt>
                <c:pt idx="68">
                  <c:v>0.40745330807232882</c:v>
                </c:pt>
                <c:pt idx="69">
                  <c:v>0.40745330807232882</c:v>
                </c:pt>
                <c:pt idx="70">
                  <c:v>0.40745330807232882</c:v>
                </c:pt>
                <c:pt idx="71">
                  <c:v>0.40745330807232882</c:v>
                </c:pt>
                <c:pt idx="72">
                  <c:v>0.40745330807232882</c:v>
                </c:pt>
                <c:pt idx="73">
                  <c:v>0.40745330807232882</c:v>
                </c:pt>
                <c:pt idx="74">
                  <c:v>0.40745330807232882</c:v>
                </c:pt>
                <c:pt idx="75">
                  <c:v>0.40745330807232882</c:v>
                </c:pt>
                <c:pt idx="76">
                  <c:v>0.40745330807232882</c:v>
                </c:pt>
                <c:pt idx="77">
                  <c:v>0.40745330807232882</c:v>
                </c:pt>
                <c:pt idx="78">
                  <c:v>0.40745330807232882</c:v>
                </c:pt>
                <c:pt idx="79">
                  <c:v>0.40745330807232882</c:v>
                </c:pt>
              </c:numCache>
            </c:numRef>
          </c:val>
          <c:smooth val="0"/>
          <c:extLst>
            <c:ext xmlns:c16="http://schemas.microsoft.com/office/drawing/2014/chart" uri="{C3380CC4-5D6E-409C-BE32-E72D297353CC}">
              <c16:uniqueId val="{00000000-6767-8547-8EC7-340159BA24EE}"/>
            </c:ext>
          </c:extLst>
        </c:ser>
        <c:dLbls>
          <c:showLegendKey val="0"/>
          <c:showVal val="0"/>
          <c:showCatName val="0"/>
          <c:showSerName val="0"/>
          <c:showPercent val="0"/>
          <c:showBubbleSize val="0"/>
        </c:dLbls>
        <c:smooth val="0"/>
        <c:axId val="44792210"/>
        <c:axId val="1101319943"/>
      </c:lineChart>
      <c:catAx>
        <c:axId val="44792210"/>
        <c:scaling>
          <c:orientation val="minMax"/>
        </c:scaling>
        <c:delete val="0"/>
        <c:axPos val="b"/>
        <c:title>
          <c:tx>
            <c:rich>
              <a:bodyPr/>
              <a:lstStyle/>
              <a:p>
                <a:pPr lvl="0">
                  <a:defRPr b="0">
                    <a:solidFill>
                      <a:srgbClr val="000000"/>
                    </a:solidFill>
                    <a:latin typeface="+mn-lt"/>
                  </a:defRPr>
                </a:pPr>
                <a:endParaRPr lang="en-US"/>
              </a:p>
            </c:rich>
          </c:tx>
          <c:overlay val="0"/>
        </c:title>
        <c:numFmt formatCode="&quot;Quarter&quot;\ #,##0_);\(#,##0\);_(&quot;-&quot;_);_(@_)" sourceLinked="1"/>
        <c:majorTickMark val="none"/>
        <c:minorTickMark val="none"/>
        <c:tickLblPos val="nextTo"/>
        <c:txPr>
          <a:bodyPr/>
          <a:lstStyle/>
          <a:p>
            <a:pPr lvl="0">
              <a:defRPr b="0">
                <a:solidFill>
                  <a:srgbClr val="000000"/>
                </a:solidFill>
                <a:latin typeface="+mn-lt"/>
              </a:defRPr>
            </a:pPr>
            <a:endParaRPr lang="en-US"/>
          </a:p>
        </c:txPr>
        <c:crossAx val="1101319943"/>
        <c:crosses val="autoZero"/>
        <c:auto val="1"/>
        <c:lblAlgn val="ctr"/>
        <c:lblOffset val="100"/>
        <c:noMultiLvlLbl val="1"/>
      </c:catAx>
      <c:valAx>
        <c:axId val="1101319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4479221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Performance Ratios</a:t>
            </a:r>
          </a:p>
        </c:rich>
      </c:tx>
      <c:overlay val="0"/>
    </c:title>
    <c:autoTitleDeleted val="0"/>
    <c:plotArea>
      <c:layout/>
      <c:lineChart>
        <c:grouping val="standard"/>
        <c:varyColors val="1"/>
        <c:ser>
          <c:idx val="0"/>
          <c:order val="0"/>
          <c:tx>
            <c:strRef>
              <c:f>Forecast!$F$89</c:f>
              <c:strCache>
                <c:ptCount val="1"/>
                <c:pt idx="0">
                  <c:v> Paid in Capital (PIC) </c:v>
                </c:pt>
              </c:strCache>
            </c:strRef>
          </c:tx>
          <c:spPr>
            <a:ln cmpd="sng">
              <a:solidFill>
                <a:srgbClr val="4285F4"/>
              </a:solidFill>
            </a:ln>
          </c:spPr>
          <c:marker>
            <c:symbol val="none"/>
          </c:marker>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Forecast!$G$89:$CH$89</c:f>
              <c:numCache>
                <c:formatCode>#,##0.00_);\(#,##0.00\);_("-"_);_(@_)</c:formatCode>
                <c:ptCount val="80"/>
                <c:pt idx="0">
                  <c:v>5.7775E-2</c:v>
                </c:pt>
                <c:pt idx="1">
                  <c:v>0.11155</c:v>
                </c:pt>
                <c:pt idx="2">
                  <c:v>0.165325</c:v>
                </c:pt>
                <c:pt idx="3">
                  <c:v>0.21909999999999999</c:v>
                </c:pt>
                <c:pt idx="4">
                  <c:v>0.27287499999999998</c:v>
                </c:pt>
                <c:pt idx="5">
                  <c:v>0.32665</c:v>
                </c:pt>
                <c:pt idx="6">
                  <c:v>0.38042500000000001</c:v>
                </c:pt>
                <c:pt idx="7">
                  <c:v>0.43419999999999997</c:v>
                </c:pt>
                <c:pt idx="8">
                  <c:v>0.48797499999999999</c:v>
                </c:pt>
                <c:pt idx="9">
                  <c:v>0.54174999999999995</c:v>
                </c:pt>
                <c:pt idx="10">
                  <c:v>0.59552499999999997</c:v>
                </c:pt>
                <c:pt idx="11">
                  <c:v>0.64929999999999999</c:v>
                </c:pt>
                <c:pt idx="12">
                  <c:v>0.70307500000000001</c:v>
                </c:pt>
                <c:pt idx="13">
                  <c:v>0.75685000000000002</c:v>
                </c:pt>
                <c:pt idx="14">
                  <c:v>0.81062500000000004</c:v>
                </c:pt>
                <c:pt idx="15">
                  <c:v>0.86439999999999995</c:v>
                </c:pt>
                <c:pt idx="16">
                  <c:v>0.87004999999999999</c:v>
                </c:pt>
                <c:pt idx="17">
                  <c:v>0.87570000000000003</c:v>
                </c:pt>
                <c:pt idx="18">
                  <c:v>0.88134999999999997</c:v>
                </c:pt>
                <c:pt idx="19">
                  <c:v>0.88700000000000001</c:v>
                </c:pt>
                <c:pt idx="20">
                  <c:v>0.89265000000000005</c:v>
                </c:pt>
                <c:pt idx="21">
                  <c:v>0.89829999999999999</c:v>
                </c:pt>
                <c:pt idx="22">
                  <c:v>0.90395000000000003</c:v>
                </c:pt>
                <c:pt idx="23">
                  <c:v>0.90959999999999996</c:v>
                </c:pt>
                <c:pt idx="24">
                  <c:v>0.91525000000000001</c:v>
                </c:pt>
                <c:pt idx="25">
                  <c:v>0.92090000000000005</c:v>
                </c:pt>
                <c:pt idx="26">
                  <c:v>0.92654999999999998</c:v>
                </c:pt>
                <c:pt idx="27">
                  <c:v>0.93220000000000003</c:v>
                </c:pt>
                <c:pt idx="28">
                  <c:v>0.93784999999999996</c:v>
                </c:pt>
                <c:pt idx="29">
                  <c:v>0.94350000000000001</c:v>
                </c:pt>
                <c:pt idx="30">
                  <c:v>0.94915000000000005</c:v>
                </c:pt>
                <c:pt idx="31">
                  <c:v>0.95479999999999998</c:v>
                </c:pt>
                <c:pt idx="32">
                  <c:v>0.96045000000000003</c:v>
                </c:pt>
                <c:pt idx="33">
                  <c:v>0.96609999999999996</c:v>
                </c:pt>
                <c:pt idx="34">
                  <c:v>0.97175</c:v>
                </c:pt>
                <c:pt idx="35">
                  <c:v>0.97740000000000005</c:v>
                </c:pt>
                <c:pt idx="36">
                  <c:v>0.98304999999999998</c:v>
                </c:pt>
                <c:pt idx="37">
                  <c:v>0.98870000000000002</c:v>
                </c:pt>
                <c:pt idx="38">
                  <c:v>0.99434999999999996</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numCache>
            </c:numRef>
          </c:val>
          <c:smooth val="0"/>
          <c:extLst>
            <c:ext xmlns:c16="http://schemas.microsoft.com/office/drawing/2014/chart" uri="{C3380CC4-5D6E-409C-BE32-E72D297353CC}">
              <c16:uniqueId val="{00000000-3C9D-8545-8B20-0DF687EA6C44}"/>
            </c:ext>
          </c:extLst>
        </c:ser>
        <c:ser>
          <c:idx val="1"/>
          <c:order val="1"/>
          <c:tx>
            <c:strRef>
              <c:f>Forecast!$F$90</c:f>
              <c:strCache>
                <c:ptCount val="1"/>
                <c:pt idx="0">
                  <c:v> Residual Value to Paid in Capital (RVPI) </c:v>
                </c:pt>
              </c:strCache>
            </c:strRef>
          </c:tx>
          <c:spPr>
            <a:ln cmpd="sng">
              <a:solidFill>
                <a:srgbClr val="EA4335"/>
              </a:solidFill>
            </a:ln>
          </c:spPr>
          <c:marker>
            <c:symbol val="none"/>
          </c:marker>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Forecast!$G$90:$CH$90</c:f>
              <c:numCache>
                <c:formatCode>#,##0.00_);\(#,##0.00\);_("-"_);_(@_)</c:formatCode>
                <c:ptCount val="80"/>
                <c:pt idx="0">
                  <c:v>0.83297273907399394</c:v>
                </c:pt>
                <c:pt idx="1">
                  <c:v>0.86284177498879422</c:v>
                </c:pt>
                <c:pt idx="2">
                  <c:v>0.87327990322092852</c:v>
                </c:pt>
                <c:pt idx="3">
                  <c:v>0.87859424920127793</c:v>
                </c:pt>
                <c:pt idx="4">
                  <c:v>0.88181401740723775</c:v>
                </c:pt>
                <c:pt idx="5">
                  <c:v>0.88397367212612887</c:v>
                </c:pt>
                <c:pt idx="6">
                  <c:v>0.88552277058552931</c:v>
                </c:pt>
                <c:pt idx="7">
                  <c:v>0.88668816213726398</c:v>
                </c:pt>
                <c:pt idx="8">
                  <c:v>0.91482865253152434</c:v>
                </c:pt>
                <c:pt idx="9">
                  <c:v>0.94117910495129509</c:v>
                </c:pt>
                <c:pt idx="10">
                  <c:v>0.96622443250053414</c:v>
                </c:pt>
                <c:pt idx="11">
                  <c:v>0.99028890634778999</c:v>
                </c:pt>
                <c:pt idx="12">
                  <c:v>0.96567700792635347</c:v>
                </c:pt>
                <c:pt idx="13">
                  <c:v>0.94507030523581215</c:v>
                </c:pt>
                <c:pt idx="14">
                  <c:v>0.92922740357502687</c:v>
                </c:pt>
                <c:pt idx="15">
                  <c:v>0.91725922358128886</c:v>
                </c:pt>
                <c:pt idx="16">
                  <c:v>0.85016008784390817</c:v>
                </c:pt>
                <c:pt idx="17">
                  <c:v>0.7796991366779914</c:v>
                </c:pt>
                <c:pt idx="18">
                  <c:v>0.72407028732639334</c:v>
                </c:pt>
                <c:pt idx="19">
                  <c:v>0.66633003108450195</c:v>
                </c:pt>
                <c:pt idx="20">
                  <c:v>0.59812085719521668</c:v>
                </c:pt>
                <c:pt idx="21">
                  <c:v>0.52609890367744894</c:v>
                </c:pt>
                <c:pt idx="22">
                  <c:v>0.45033566410352294</c:v>
                </c:pt>
                <c:pt idx="23">
                  <c:v>0.37090085571030346</c:v>
                </c:pt>
                <c:pt idx="24">
                  <c:v>0.30274995224466489</c:v>
                </c:pt>
                <c:pt idx="25">
                  <c:v>0.23346989180242234</c:v>
                </c:pt>
                <c:pt idx="26">
                  <c:v>0.16308133080875906</c:v>
                </c:pt>
                <c:pt idx="27">
                  <c:v>9.1604424900176534E-2</c:v>
                </c:pt>
                <c:pt idx="28">
                  <c:v>5.9517921427587835E-2</c:v>
                </c:pt>
                <c:pt idx="29">
                  <c:v>2.6856542019421094E-2</c:v>
                </c:pt>
                <c:pt idx="30">
                  <c:v>-6.3694471418359946E-3</c:v>
                </c:pt>
                <c:pt idx="31">
                  <c:v>-4.0150022872988356E-2</c:v>
                </c:pt>
                <c:pt idx="32">
                  <c:v>-5.2926098078835838E-2</c:v>
                </c:pt>
                <c:pt idx="33">
                  <c:v>-6.597852323191282E-2</c:v>
                </c:pt>
                <c:pt idx="34">
                  <c:v>-7.9302478026991211E-2</c:v>
                </c:pt>
                <c:pt idx="35">
                  <c:v>-9.2893253616688182E-2</c:v>
                </c:pt>
                <c:pt idx="36">
                  <c:v>-0.11025523080283016</c:v>
                </c:pt>
                <c:pt idx="37">
                  <c:v>-0.12791803863366724</c:v>
                </c:pt>
                <c:pt idx="38">
                  <c:v>-0.1458765490562729</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smooth val="0"/>
          <c:extLst>
            <c:ext xmlns:c16="http://schemas.microsoft.com/office/drawing/2014/chart" uri="{C3380CC4-5D6E-409C-BE32-E72D297353CC}">
              <c16:uniqueId val="{00000001-3C9D-8545-8B20-0DF687EA6C44}"/>
            </c:ext>
          </c:extLst>
        </c:ser>
        <c:ser>
          <c:idx val="2"/>
          <c:order val="2"/>
          <c:tx>
            <c:strRef>
              <c:f>Forecast!$F$91</c:f>
              <c:strCache>
                <c:ptCount val="1"/>
                <c:pt idx="0">
                  <c:v> Distributed Value to Paid in Capital (DVPI) </c:v>
                </c:pt>
              </c:strCache>
            </c:strRef>
          </c:tx>
          <c:spPr>
            <a:ln cmpd="sng">
              <a:solidFill>
                <a:srgbClr val="FBBC04"/>
              </a:solidFill>
            </a:ln>
          </c:spPr>
          <c:marker>
            <c:symbol val="none"/>
          </c:marker>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Forecast!$G$91:$CH$91</c:f>
              <c:numCache>
                <c:formatCode>#,##0.00_);\(#,##0.00\);_("-"_);_(@_)</c:formatCode>
                <c:ptCount val="80"/>
                <c:pt idx="0">
                  <c:v>0</c:v>
                </c:pt>
                <c:pt idx="1">
                  <c:v>0</c:v>
                </c:pt>
                <c:pt idx="2">
                  <c:v>0</c:v>
                </c:pt>
                <c:pt idx="3">
                  <c:v>0</c:v>
                </c:pt>
                <c:pt idx="4">
                  <c:v>0</c:v>
                </c:pt>
                <c:pt idx="5">
                  <c:v>0</c:v>
                </c:pt>
                <c:pt idx="6">
                  <c:v>0</c:v>
                </c:pt>
                <c:pt idx="7">
                  <c:v>0</c:v>
                </c:pt>
                <c:pt idx="8">
                  <c:v>0</c:v>
                </c:pt>
                <c:pt idx="9">
                  <c:v>0</c:v>
                </c:pt>
                <c:pt idx="10">
                  <c:v>0</c:v>
                </c:pt>
                <c:pt idx="11">
                  <c:v>0</c:v>
                </c:pt>
                <c:pt idx="12">
                  <c:v>5.5307044056466262E-2</c:v>
                </c:pt>
                <c:pt idx="13">
                  <c:v>0.10275483913589223</c:v>
                </c:pt>
                <c:pt idx="14">
                  <c:v>0.14390747879722443</c:v>
                </c:pt>
                <c:pt idx="15">
                  <c:v>0.17993984266543275</c:v>
                </c:pt>
                <c:pt idx="16">
                  <c:v>0.33906815700247123</c:v>
                </c:pt>
                <c:pt idx="17">
                  <c:v>0.49614308553157493</c:v>
                </c:pt>
                <c:pt idx="18">
                  <c:v>0.63307485540310204</c:v>
                </c:pt>
                <c:pt idx="19">
                  <c:v>0.76690846620497144</c:v>
                </c:pt>
                <c:pt idx="20">
                  <c:v>0.90064825706230534</c:v>
                </c:pt>
                <c:pt idx="21">
                  <c:v>1.03270569276358</c:v>
                </c:pt>
                <c:pt idx="22">
                  <c:v>1.1631123192127675</c:v>
                </c:pt>
                <c:pt idx="23">
                  <c:v>1.29189889852159</c:v>
                </c:pt>
                <c:pt idx="24">
                  <c:v>1.5790373486297005</c:v>
                </c:pt>
                <c:pt idx="25">
                  <c:v>1.8626524362812777</c:v>
                </c:pt>
                <c:pt idx="26">
                  <c:v>2.1428086167066254</c:v>
                </c:pt>
                <c:pt idx="27">
                  <c:v>2.4195687825012007</c:v>
                </c:pt>
                <c:pt idx="28">
                  <c:v>2.6560634074390004</c:v>
                </c:pt>
                <c:pt idx="29">
                  <c:v>2.8897256113256109</c:v>
                </c:pt>
                <c:pt idx="30">
                  <c:v>3.1206059757728091</c:v>
                </c:pt>
                <c:pt idx="31">
                  <c:v>3.3487538851317655</c:v>
                </c:pt>
                <c:pt idx="32">
                  <c:v>3.4818165294541989</c:v>
                </c:pt>
                <c:pt idx="33">
                  <c:v>3.6133228049940604</c:v>
                </c:pt>
                <c:pt idx="34">
                  <c:v>3.7432998591152438</c:v>
                </c:pt>
                <c:pt idx="35">
                  <c:v>3.8717742114648197</c:v>
                </c:pt>
                <c:pt idx="36">
                  <c:v>4.0286218256592097</c:v>
                </c:pt>
                <c:pt idx="37">
                  <c:v>4.1836768050398074</c:v>
                </c:pt>
                <c:pt idx="38">
                  <c:v>4.3369697074183424</c:v>
                </c:pt>
                <c:pt idx="39">
                  <c:v>4.4885304000000001</c:v>
                </c:pt>
                <c:pt idx="40">
                  <c:v>4.4885304000000001</c:v>
                </c:pt>
                <c:pt idx="41">
                  <c:v>4.4885304000000001</c:v>
                </c:pt>
                <c:pt idx="42">
                  <c:v>4.4885304000000001</c:v>
                </c:pt>
                <c:pt idx="43">
                  <c:v>4.4885304000000001</c:v>
                </c:pt>
                <c:pt idx="44">
                  <c:v>4.4885304000000001</c:v>
                </c:pt>
                <c:pt idx="45">
                  <c:v>4.4885304000000001</c:v>
                </c:pt>
                <c:pt idx="46">
                  <c:v>4.4885304000000001</c:v>
                </c:pt>
                <c:pt idx="47">
                  <c:v>4.4885304000000001</c:v>
                </c:pt>
                <c:pt idx="48">
                  <c:v>4.4885304000000001</c:v>
                </c:pt>
                <c:pt idx="49">
                  <c:v>4.4885304000000001</c:v>
                </c:pt>
                <c:pt idx="50">
                  <c:v>4.4885304000000001</c:v>
                </c:pt>
                <c:pt idx="51">
                  <c:v>4.4885304000000001</c:v>
                </c:pt>
                <c:pt idx="52">
                  <c:v>4.4885304000000001</c:v>
                </c:pt>
                <c:pt idx="53">
                  <c:v>4.4885304000000001</c:v>
                </c:pt>
                <c:pt idx="54">
                  <c:v>4.4885304000000001</c:v>
                </c:pt>
                <c:pt idx="55">
                  <c:v>4.4885304000000001</c:v>
                </c:pt>
                <c:pt idx="56">
                  <c:v>4.4885304000000001</c:v>
                </c:pt>
                <c:pt idx="57">
                  <c:v>4.4885304000000001</c:v>
                </c:pt>
                <c:pt idx="58">
                  <c:v>4.4885304000000001</c:v>
                </c:pt>
                <c:pt idx="59">
                  <c:v>4.4885304000000001</c:v>
                </c:pt>
                <c:pt idx="60">
                  <c:v>4.4885304000000001</c:v>
                </c:pt>
                <c:pt idx="61">
                  <c:v>4.4885304000000001</c:v>
                </c:pt>
                <c:pt idx="62">
                  <c:v>4.4885304000000001</c:v>
                </c:pt>
                <c:pt idx="63">
                  <c:v>4.4885304000000001</c:v>
                </c:pt>
                <c:pt idx="64">
                  <c:v>4.4885304000000001</c:v>
                </c:pt>
                <c:pt idx="65">
                  <c:v>4.4885304000000001</c:v>
                </c:pt>
                <c:pt idx="66">
                  <c:v>4.4885304000000001</c:v>
                </c:pt>
                <c:pt idx="67">
                  <c:v>4.4885304000000001</c:v>
                </c:pt>
                <c:pt idx="68">
                  <c:v>4.4885304000000001</c:v>
                </c:pt>
                <c:pt idx="69">
                  <c:v>4.4885304000000001</c:v>
                </c:pt>
                <c:pt idx="70">
                  <c:v>4.4885304000000001</c:v>
                </c:pt>
                <c:pt idx="71">
                  <c:v>4.4885304000000001</c:v>
                </c:pt>
                <c:pt idx="72">
                  <c:v>4.4885304000000001</c:v>
                </c:pt>
                <c:pt idx="73">
                  <c:v>4.4885304000000001</c:v>
                </c:pt>
                <c:pt idx="74">
                  <c:v>4.4885304000000001</c:v>
                </c:pt>
                <c:pt idx="75">
                  <c:v>4.4885304000000001</c:v>
                </c:pt>
                <c:pt idx="76">
                  <c:v>4.4885304000000001</c:v>
                </c:pt>
                <c:pt idx="77">
                  <c:v>4.4885304000000001</c:v>
                </c:pt>
                <c:pt idx="78">
                  <c:v>4.4885304000000001</c:v>
                </c:pt>
                <c:pt idx="79">
                  <c:v>4.4885304000000001</c:v>
                </c:pt>
              </c:numCache>
            </c:numRef>
          </c:val>
          <c:smooth val="0"/>
          <c:extLst>
            <c:ext xmlns:c16="http://schemas.microsoft.com/office/drawing/2014/chart" uri="{C3380CC4-5D6E-409C-BE32-E72D297353CC}">
              <c16:uniqueId val="{00000002-3C9D-8545-8B20-0DF687EA6C44}"/>
            </c:ext>
          </c:extLst>
        </c:ser>
        <c:ser>
          <c:idx val="3"/>
          <c:order val="3"/>
          <c:tx>
            <c:strRef>
              <c:f>Forecast!$F$92</c:f>
              <c:strCache>
                <c:ptCount val="1"/>
                <c:pt idx="0">
                  <c:v> Total Value to Paid in Capital (TVPI) </c:v>
                </c:pt>
              </c:strCache>
            </c:strRef>
          </c:tx>
          <c:spPr>
            <a:ln cmpd="sng">
              <a:solidFill>
                <a:srgbClr val="34A853"/>
              </a:solidFill>
            </a:ln>
          </c:spPr>
          <c:marker>
            <c:symbol val="none"/>
          </c:marker>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Forecast!$G$92:$CH$92</c:f>
              <c:numCache>
                <c:formatCode>#,##0.00_);\(#,##0.00\);_("-"_);_(@_)</c:formatCode>
                <c:ptCount val="80"/>
                <c:pt idx="0">
                  <c:v>0.83297273907399394</c:v>
                </c:pt>
                <c:pt idx="1">
                  <c:v>0.86284177498879422</c:v>
                </c:pt>
                <c:pt idx="2">
                  <c:v>0.87327990322092852</c:v>
                </c:pt>
                <c:pt idx="3">
                  <c:v>0.87859424920127793</c:v>
                </c:pt>
                <c:pt idx="4">
                  <c:v>0.88181401740723775</c:v>
                </c:pt>
                <c:pt idx="5">
                  <c:v>0.88397367212612887</c:v>
                </c:pt>
                <c:pt idx="6">
                  <c:v>0.88552277058552931</c:v>
                </c:pt>
                <c:pt idx="7">
                  <c:v>0.88668816213726398</c:v>
                </c:pt>
                <c:pt idx="8">
                  <c:v>0.91482865253152434</c:v>
                </c:pt>
                <c:pt idx="9">
                  <c:v>0.94117910495129509</c:v>
                </c:pt>
                <c:pt idx="10">
                  <c:v>0.96622443250053414</c:v>
                </c:pt>
                <c:pt idx="11">
                  <c:v>0.99028890634778999</c:v>
                </c:pt>
                <c:pt idx="12">
                  <c:v>1.0209840519828197</c:v>
                </c:pt>
                <c:pt idx="13">
                  <c:v>1.0478251443717044</c:v>
                </c:pt>
                <c:pt idx="14">
                  <c:v>1.0731348823722513</c:v>
                </c:pt>
                <c:pt idx="15">
                  <c:v>1.0971990662467217</c:v>
                </c:pt>
                <c:pt idx="16">
                  <c:v>1.1892282448463793</c:v>
                </c:pt>
                <c:pt idx="17">
                  <c:v>1.2758422222095662</c:v>
                </c:pt>
                <c:pt idx="18">
                  <c:v>1.3571451427294954</c:v>
                </c:pt>
                <c:pt idx="19">
                  <c:v>1.4332384972894734</c:v>
                </c:pt>
                <c:pt idx="20">
                  <c:v>1.4987691142575219</c:v>
                </c:pt>
                <c:pt idx="21">
                  <c:v>1.5588045964410289</c:v>
                </c:pt>
                <c:pt idx="22">
                  <c:v>1.6134479833162905</c:v>
                </c:pt>
                <c:pt idx="23">
                  <c:v>1.6627997542318935</c:v>
                </c:pt>
                <c:pt idx="24">
                  <c:v>1.8817873008743653</c:v>
                </c:pt>
                <c:pt idx="25">
                  <c:v>2.0961223280837</c:v>
                </c:pt>
                <c:pt idx="26">
                  <c:v>2.3058899475153845</c:v>
                </c:pt>
                <c:pt idx="27">
                  <c:v>2.5111732074013773</c:v>
                </c:pt>
                <c:pt idx="28">
                  <c:v>2.7155813288665884</c:v>
                </c:pt>
                <c:pt idx="29">
                  <c:v>2.9165821533450318</c:v>
                </c:pt>
                <c:pt idx="30">
                  <c:v>3.1142365286309732</c:v>
                </c:pt>
                <c:pt idx="31">
                  <c:v>3.308603862258777</c:v>
                </c:pt>
                <c:pt idx="32">
                  <c:v>3.428890431375363</c:v>
                </c:pt>
                <c:pt idx="33">
                  <c:v>3.5473442817621477</c:v>
                </c:pt>
                <c:pt idx="34">
                  <c:v>3.6639973810882527</c:v>
                </c:pt>
                <c:pt idx="35">
                  <c:v>3.7788809578481315</c:v>
                </c:pt>
                <c:pt idx="36">
                  <c:v>3.9183665948563795</c:v>
                </c:pt>
                <c:pt idx="37">
                  <c:v>4.0557587664061403</c:v>
                </c:pt>
                <c:pt idx="38">
                  <c:v>4.1910931583620696</c:v>
                </c:pt>
                <c:pt idx="39">
                  <c:v>4.4885304000000001</c:v>
                </c:pt>
                <c:pt idx="40">
                  <c:v>4.4885304000000001</c:v>
                </c:pt>
                <c:pt idx="41">
                  <c:v>4.4885304000000001</c:v>
                </c:pt>
                <c:pt idx="42">
                  <c:v>4.4885304000000001</c:v>
                </c:pt>
                <c:pt idx="43">
                  <c:v>4.4885304000000001</c:v>
                </c:pt>
                <c:pt idx="44">
                  <c:v>4.4885304000000001</c:v>
                </c:pt>
                <c:pt idx="45">
                  <c:v>4.4885304000000001</c:v>
                </c:pt>
                <c:pt idx="46">
                  <c:v>4.4885304000000001</c:v>
                </c:pt>
                <c:pt idx="47">
                  <c:v>4.4885304000000001</c:v>
                </c:pt>
                <c:pt idx="48">
                  <c:v>4.4885304000000001</c:v>
                </c:pt>
                <c:pt idx="49">
                  <c:v>4.4885304000000001</c:v>
                </c:pt>
                <c:pt idx="50">
                  <c:v>4.4885304000000001</c:v>
                </c:pt>
                <c:pt idx="51">
                  <c:v>4.4885304000000001</c:v>
                </c:pt>
                <c:pt idx="52">
                  <c:v>4.4885304000000001</c:v>
                </c:pt>
                <c:pt idx="53">
                  <c:v>4.4885304000000001</c:v>
                </c:pt>
                <c:pt idx="54">
                  <c:v>4.4885304000000001</c:v>
                </c:pt>
                <c:pt idx="55">
                  <c:v>4.4885304000000001</c:v>
                </c:pt>
                <c:pt idx="56">
                  <c:v>4.4885304000000001</c:v>
                </c:pt>
                <c:pt idx="57">
                  <c:v>4.4885304000000001</c:v>
                </c:pt>
                <c:pt idx="58">
                  <c:v>4.4885304000000001</c:v>
                </c:pt>
                <c:pt idx="59">
                  <c:v>4.4885304000000001</c:v>
                </c:pt>
                <c:pt idx="60">
                  <c:v>4.4885304000000001</c:v>
                </c:pt>
                <c:pt idx="61">
                  <c:v>4.4885304000000001</c:v>
                </c:pt>
                <c:pt idx="62">
                  <c:v>4.4885304000000001</c:v>
                </c:pt>
                <c:pt idx="63">
                  <c:v>4.4885304000000001</c:v>
                </c:pt>
                <c:pt idx="64">
                  <c:v>4.4885304000000001</c:v>
                </c:pt>
                <c:pt idx="65">
                  <c:v>4.4885304000000001</c:v>
                </c:pt>
                <c:pt idx="66">
                  <c:v>4.4885304000000001</c:v>
                </c:pt>
                <c:pt idx="67">
                  <c:v>4.4885304000000001</c:v>
                </c:pt>
                <c:pt idx="68">
                  <c:v>4.4885304000000001</c:v>
                </c:pt>
                <c:pt idx="69">
                  <c:v>4.4885304000000001</c:v>
                </c:pt>
                <c:pt idx="70">
                  <c:v>4.4885304000000001</c:v>
                </c:pt>
                <c:pt idx="71">
                  <c:v>4.4885304000000001</c:v>
                </c:pt>
                <c:pt idx="72">
                  <c:v>4.4885304000000001</c:v>
                </c:pt>
                <c:pt idx="73">
                  <c:v>4.4885304000000001</c:v>
                </c:pt>
                <c:pt idx="74">
                  <c:v>4.4885304000000001</c:v>
                </c:pt>
                <c:pt idx="75">
                  <c:v>4.4885304000000001</c:v>
                </c:pt>
                <c:pt idx="76">
                  <c:v>4.4885304000000001</c:v>
                </c:pt>
                <c:pt idx="77">
                  <c:v>4.4885304000000001</c:v>
                </c:pt>
                <c:pt idx="78">
                  <c:v>4.4885304000000001</c:v>
                </c:pt>
                <c:pt idx="79">
                  <c:v>4.4885304000000001</c:v>
                </c:pt>
              </c:numCache>
            </c:numRef>
          </c:val>
          <c:smooth val="0"/>
          <c:extLst>
            <c:ext xmlns:c16="http://schemas.microsoft.com/office/drawing/2014/chart" uri="{C3380CC4-5D6E-409C-BE32-E72D297353CC}">
              <c16:uniqueId val="{00000003-3C9D-8545-8B20-0DF687EA6C44}"/>
            </c:ext>
          </c:extLst>
        </c:ser>
        <c:dLbls>
          <c:showLegendKey val="0"/>
          <c:showVal val="0"/>
          <c:showCatName val="0"/>
          <c:showSerName val="0"/>
          <c:showPercent val="0"/>
          <c:showBubbleSize val="0"/>
        </c:dLbls>
        <c:smooth val="0"/>
        <c:axId val="647746"/>
        <c:axId val="1567805879"/>
      </c:lineChart>
      <c:catAx>
        <c:axId val="647746"/>
        <c:scaling>
          <c:orientation val="minMax"/>
        </c:scaling>
        <c:delete val="0"/>
        <c:axPos val="b"/>
        <c:title>
          <c:tx>
            <c:rich>
              <a:bodyPr/>
              <a:lstStyle/>
              <a:p>
                <a:pPr lvl="0">
                  <a:defRPr b="0">
                    <a:solidFill>
                      <a:srgbClr val="000000"/>
                    </a:solidFill>
                    <a:latin typeface="+mn-lt"/>
                  </a:defRPr>
                </a:pPr>
                <a:endParaRPr lang="en-US"/>
              </a:p>
            </c:rich>
          </c:tx>
          <c:overlay val="0"/>
        </c:title>
        <c:numFmt formatCode="&quot;Quarter&quot;\ #,##0_);\(#,##0\);_(&quot;-&quot;_);_(@_)" sourceLinked="1"/>
        <c:majorTickMark val="none"/>
        <c:minorTickMark val="none"/>
        <c:tickLblPos val="nextTo"/>
        <c:txPr>
          <a:bodyPr/>
          <a:lstStyle/>
          <a:p>
            <a:pPr lvl="0">
              <a:defRPr b="0">
                <a:solidFill>
                  <a:srgbClr val="000000"/>
                </a:solidFill>
                <a:latin typeface="+mn-lt"/>
              </a:defRPr>
            </a:pPr>
            <a:endParaRPr lang="en-US"/>
          </a:p>
        </c:txPr>
        <c:crossAx val="1567805879"/>
        <c:crosses val="autoZero"/>
        <c:auto val="1"/>
        <c:lblAlgn val="ctr"/>
        <c:lblOffset val="100"/>
        <c:noMultiLvlLbl val="1"/>
      </c:catAx>
      <c:valAx>
        <c:axId val="15678058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0_);\(#,##0.00\);_(&quot;-&quot;_);_(@_)" sourceLinked="1"/>
        <c:majorTickMark val="none"/>
        <c:minorTickMark val="none"/>
        <c:tickLblPos val="nextTo"/>
        <c:spPr>
          <a:ln/>
        </c:spPr>
        <c:txPr>
          <a:bodyPr/>
          <a:lstStyle/>
          <a:p>
            <a:pPr lvl="0">
              <a:defRPr b="0">
                <a:solidFill>
                  <a:srgbClr val="000000"/>
                </a:solidFill>
                <a:latin typeface="+mn-lt"/>
              </a:defRPr>
            </a:pPr>
            <a:endParaRPr lang="en-US"/>
          </a:p>
        </c:txPr>
        <c:crossAx val="647746"/>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Investments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Started'!$B$109:$B$112</c:f>
              <c:strCache>
                <c:ptCount val="4"/>
                <c:pt idx="0">
                  <c:v>Fail</c:v>
                </c:pt>
                <c:pt idx="1">
                  <c:v>Low</c:v>
                </c:pt>
                <c:pt idx="2">
                  <c:v>Medium</c:v>
                </c:pt>
                <c:pt idx="3">
                  <c:v>High</c:v>
                </c:pt>
              </c:strCache>
            </c:strRef>
          </c:cat>
          <c:val>
            <c:numRef>
              <c:f>'Get Started'!$F$109:$F$112</c:f>
              <c:numCache>
                <c:formatCode>0</c:formatCode>
                <c:ptCount val="4"/>
                <c:pt idx="0">
                  <c:v>24.254999999999999</c:v>
                </c:pt>
                <c:pt idx="1">
                  <c:v>8.0850000000000009</c:v>
                </c:pt>
                <c:pt idx="2">
                  <c:v>4.0425000000000004</c:v>
                </c:pt>
                <c:pt idx="3">
                  <c:v>4.0424999999999986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50-7947-BAE0-8A78B7111FD3}"/>
            </c:ext>
          </c:extLst>
        </c:ser>
        <c:dLbls>
          <c:showLegendKey val="0"/>
          <c:showVal val="0"/>
          <c:showCatName val="0"/>
          <c:showSerName val="0"/>
          <c:showPercent val="0"/>
          <c:showBubbleSize val="0"/>
        </c:dLbls>
        <c:gapWidth val="150"/>
        <c:axId val="776664632"/>
        <c:axId val="1566136176"/>
      </c:barChart>
      <c:catAx>
        <c:axId val="77666463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66136176"/>
        <c:crosses val="autoZero"/>
        <c:auto val="1"/>
        <c:lblAlgn val="ctr"/>
        <c:lblOffset val="100"/>
        <c:noMultiLvlLbl val="1"/>
      </c:catAx>
      <c:valAx>
        <c:axId val="15661361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77666463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Fund Cash Flows</a:t>
            </a:r>
          </a:p>
        </c:rich>
      </c:tx>
      <c:overlay val="0"/>
    </c:title>
    <c:autoTitleDeleted val="0"/>
    <c:plotArea>
      <c:layout/>
      <c:barChart>
        <c:barDir val="col"/>
        <c:grouping val="stacked"/>
        <c:varyColors val="1"/>
        <c:ser>
          <c:idx val="0"/>
          <c:order val="0"/>
          <c:tx>
            <c:strRef>
              <c:f>Forecast!$F$197</c:f>
              <c:strCache>
                <c:ptCount val="1"/>
                <c:pt idx="0">
                  <c:v> New Investments </c:v>
                </c:pt>
              </c:strCache>
            </c:strRef>
          </c:tx>
          <c:spPr>
            <a:solidFill>
              <a:srgbClr val="4285F4"/>
            </a:solidFill>
            <a:ln cmpd="sng">
              <a:solidFill>
                <a:srgbClr val="000000"/>
              </a:solidFill>
            </a:ln>
          </c:spPr>
          <c:invertIfNegative val="1"/>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Forecast!$G$197:$CH$197</c:f>
              <c:numCache>
                <c:formatCode>#,##0_);\(#,##0\);_("-"_);_(@_)</c:formatCode>
                <c:ptCount val="80"/>
                <c:pt idx="0">
                  <c:v>-1203125</c:v>
                </c:pt>
                <c:pt idx="1">
                  <c:v>-1203125</c:v>
                </c:pt>
                <c:pt idx="2">
                  <c:v>-1203125</c:v>
                </c:pt>
                <c:pt idx="3">
                  <c:v>-1203125</c:v>
                </c:pt>
                <c:pt idx="4">
                  <c:v>-1203125</c:v>
                </c:pt>
                <c:pt idx="5">
                  <c:v>-1203125</c:v>
                </c:pt>
                <c:pt idx="6">
                  <c:v>-1203125</c:v>
                </c:pt>
                <c:pt idx="7">
                  <c:v>-1203125</c:v>
                </c:pt>
                <c:pt idx="8">
                  <c:v>-1203125</c:v>
                </c:pt>
                <c:pt idx="9">
                  <c:v>-1203125</c:v>
                </c:pt>
                <c:pt idx="10">
                  <c:v>-1203125</c:v>
                </c:pt>
                <c:pt idx="11">
                  <c:v>-1203125</c:v>
                </c:pt>
                <c:pt idx="12">
                  <c:v>-1443750</c:v>
                </c:pt>
                <c:pt idx="13">
                  <c:v>-1443750</c:v>
                </c:pt>
                <c:pt idx="14">
                  <c:v>-1443750</c:v>
                </c:pt>
                <c:pt idx="15">
                  <c:v>-1443750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4CE-0D45-8576-A52A263F6305}"/>
            </c:ext>
          </c:extLst>
        </c:ser>
        <c:ser>
          <c:idx val="1"/>
          <c:order val="1"/>
          <c:tx>
            <c:strRef>
              <c:f>Forecast!$F$198</c:f>
              <c:strCache>
                <c:ptCount val="1"/>
                <c:pt idx="0">
                  <c:v> Follow on Investments </c:v>
                </c:pt>
              </c:strCache>
            </c:strRef>
          </c:tx>
          <c:spPr>
            <a:solidFill>
              <a:srgbClr val="EA4335"/>
            </a:solidFill>
            <a:ln cmpd="sng">
              <a:solidFill>
                <a:srgbClr val="000000"/>
              </a:solidFill>
            </a:ln>
          </c:spPr>
          <c:invertIfNegative val="1"/>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Forecast!$G$198:$CH$198</c:f>
              <c:numCache>
                <c:formatCode>#,##0_);\(#,##0\);_("-"_);_(@_)</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4CE-0D45-8576-A52A263F6305}"/>
            </c:ext>
          </c:extLst>
        </c:ser>
        <c:ser>
          <c:idx val="2"/>
          <c:order val="2"/>
          <c:tx>
            <c:strRef>
              <c:f>Forecast!$F$199</c:f>
              <c:strCache>
                <c:ptCount val="1"/>
                <c:pt idx="0">
                  <c:v> Fees </c:v>
                </c:pt>
              </c:strCache>
            </c:strRef>
          </c:tx>
          <c:spPr>
            <a:solidFill>
              <a:srgbClr val="FBBC04"/>
            </a:solidFill>
            <a:ln cmpd="sng">
              <a:solidFill>
                <a:srgbClr val="000000"/>
              </a:solidFill>
            </a:ln>
          </c:spPr>
          <c:invertIfNegative val="1"/>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Forecast!$G$199:$CH$199</c:f>
              <c:numCache>
                <c:formatCode>#,##0_);\(#,##0\);_("-"_);_(@_)</c:formatCode>
                <c:ptCount val="80"/>
                <c:pt idx="0">
                  <c:v>-241250</c:v>
                </c:pt>
                <c:pt idx="1">
                  <c:v>-141250</c:v>
                </c:pt>
                <c:pt idx="2">
                  <c:v>-141250</c:v>
                </c:pt>
                <c:pt idx="3">
                  <c:v>-141250</c:v>
                </c:pt>
                <c:pt idx="4">
                  <c:v>-141250</c:v>
                </c:pt>
                <c:pt idx="5">
                  <c:v>-141250</c:v>
                </c:pt>
                <c:pt idx="6">
                  <c:v>-141250</c:v>
                </c:pt>
                <c:pt idx="7">
                  <c:v>-141250</c:v>
                </c:pt>
                <c:pt idx="8">
                  <c:v>-141250</c:v>
                </c:pt>
                <c:pt idx="9">
                  <c:v>-141250</c:v>
                </c:pt>
                <c:pt idx="10">
                  <c:v>-141250</c:v>
                </c:pt>
                <c:pt idx="11">
                  <c:v>-141250</c:v>
                </c:pt>
                <c:pt idx="12">
                  <c:v>-141250</c:v>
                </c:pt>
                <c:pt idx="13">
                  <c:v>-141250</c:v>
                </c:pt>
                <c:pt idx="14">
                  <c:v>-141250</c:v>
                </c:pt>
                <c:pt idx="15">
                  <c:v>-141250</c:v>
                </c:pt>
                <c:pt idx="16">
                  <c:v>-141250</c:v>
                </c:pt>
                <c:pt idx="17">
                  <c:v>-141250</c:v>
                </c:pt>
                <c:pt idx="18">
                  <c:v>-141250</c:v>
                </c:pt>
                <c:pt idx="19">
                  <c:v>-141250</c:v>
                </c:pt>
                <c:pt idx="20">
                  <c:v>-141250</c:v>
                </c:pt>
                <c:pt idx="21">
                  <c:v>-141250</c:v>
                </c:pt>
                <c:pt idx="22">
                  <c:v>-141250</c:v>
                </c:pt>
                <c:pt idx="23">
                  <c:v>-141250</c:v>
                </c:pt>
                <c:pt idx="24">
                  <c:v>-141250</c:v>
                </c:pt>
                <c:pt idx="25">
                  <c:v>-141250</c:v>
                </c:pt>
                <c:pt idx="26">
                  <c:v>-141250</c:v>
                </c:pt>
                <c:pt idx="27">
                  <c:v>-141250</c:v>
                </c:pt>
                <c:pt idx="28">
                  <c:v>-141250</c:v>
                </c:pt>
                <c:pt idx="29">
                  <c:v>-141250</c:v>
                </c:pt>
                <c:pt idx="30">
                  <c:v>-141250</c:v>
                </c:pt>
                <c:pt idx="31">
                  <c:v>-141250</c:v>
                </c:pt>
                <c:pt idx="32">
                  <c:v>-141250</c:v>
                </c:pt>
                <c:pt idx="33">
                  <c:v>-141250</c:v>
                </c:pt>
                <c:pt idx="34">
                  <c:v>-141250</c:v>
                </c:pt>
                <c:pt idx="35">
                  <c:v>-141250</c:v>
                </c:pt>
                <c:pt idx="36">
                  <c:v>-141250</c:v>
                </c:pt>
                <c:pt idx="37">
                  <c:v>-141250</c:v>
                </c:pt>
                <c:pt idx="38">
                  <c:v>-141250</c:v>
                </c:pt>
                <c:pt idx="39">
                  <c:v>-141250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4CE-0D45-8576-A52A263F6305}"/>
            </c:ext>
          </c:extLst>
        </c:ser>
        <c:ser>
          <c:idx val="3"/>
          <c:order val="3"/>
          <c:tx>
            <c:strRef>
              <c:f>Forecast!$F$200</c:f>
              <c:strCache>
                <c:ptCount val="1"/>
                <c:pt idx="0">
                  <c:v> Distributions </c:v>
                </c:pt>
              </c:strCache>
            </c:strRef>
          </c:tx>
          <c:spPr>
            <a:solidFill>
              <a:srgbClr val="34A853"/>
            </a:solidFill>
            <a:ln cmpd="sng">
              <a:solidFill>
                <a:srgbClr val="000000"/>
              </a:solidFill>
            </a:ln>
          </c:spPr>
          <c:invertIfNegative val="1"/>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Forecast!$G$200:$CH$200</c:f>
              <c:numCache>
                <c:formatCode>#,##0_);\(#,##0\);_("-"_);_(@_)</c:formatCode>
                <c:ptCount val="80"/>
                <c:pt idx="0">
                  <c:v>0</c:v>
                </c:pt>
                <c:pt idx="1">
                  <c:v>0</c:v>
                </c:pt>
                <c:pt idx="2">
                  <c:v>0</c:v>
                </c:pt>
                <c:pt idx="3">
                  <c:v>0</c:v>
                </c:pt>
                <c:pt idx="4">
                  <c:v>0</c:v>
                </c:pt>
                <c:pt idx="5">
                  <c:v>0</c:v>
                </c:pt>
                <c:pt idx="6">
                  <c:v>0</c:v>
                </c:pt>
                <c:pt idx="7">
                  <c:v>0</c:v>
                </c:pt>
                <c:pt idx="8">
                  <c:v>0</c:v>
                </c:pt>
                <c:pt idx="9">
                  <c:v>0</c:v>
                </c:pt>
                <c:pt idx="10">
                  <c:v>0</c:v>
                </c:pt>
                <c:pt idx="11">
                  <c:v>0</c:v>
                </c:pt>
                <c:pt idx="12">
                  <c:v>972125.00000000047</c:v>
                </c:pt>
                <c:pt idx="13">
                  <c:v>972125.00000000047</c:v>
                </c:pt>
                <c:pt idx="14">
                  <c:v>972125.00000000047</c:v>
                </c:pt>
                <c:pt idx="15">
                  <c:v>972125.00000000047</c:v>
                </c:pt>
                <c:pt idx="16">
                  <c:v>3486656.2500000009</c:v>
                </c:pt>
                <c:pt idx="17">
                  <c:v>3486656.2500000009</c:v>
                </c:pt>
                <c:pt idx="18">
                  <c:v>3087200.5952380951</c:v>
                </c:pt>
                <c:pt idx="19">
                  <c:v>3057182.1428571437</c:v>
                </c:pt>
                <c:pt idx="20">
                  <c:v>3092896.4285714291</c:v>
                </c:pt>
                <c:pt idx="21">
                  <c:v>3092896.4285714291</c:v>
                </c:pt>
                <c:pt idx="22">
                  <c:v>3092896.4285714291</c:v>
                </c:pt>
                <c:pt idx="23">
                  <c:v>3092896.4285714291</c:v>
                </c:pt>
                <c:pt idx="24">
                  <c:v>6752567.3809523787</c:v>
                </c:pt>
                <c:pt idx="25">
                  <c:v>6752567.3809523787</c:v>
                </c:pt>
                <c:pt idx="26">
                  <c:v>6752567.3809523787</c:v>
                </c:pt>
                <c:pt idx="27">
                  <c:v>6752567.3809523787</c:v>
                </c:pt>
                <c:pt idx="28">
                  <c:v>5886676.1904761884</c:v>
                </c:pt>
                <c:pt idx="29">
                  <c:v>5886676.1904761884</c:v>
                </c:pt>
                <c:pt idx="30">
                  <c:v>5886676.1904761884</c:v>
                </c:pt>
                <c:pt idx="31">
                  <c:v>5886676.1904761884</c:v>
                </c:pt>
                <c:pt idx="32">
                  <c:v>3668011.904761903</c:v>
                </c:pt>
                <c:pt idx="33">
                  <c:v>3668011.904761903</c:v>
                </c:pt>
                <c:pt idx="34">
                  <c:v>3668011.904761903</c:v>
                </c:pt>
                <c:pt idx="35">
                  <c:v>3668011.904761903</c:v>
                </c:pt>
                <c:pt idx="36">
                  <c:v>4401614.2857142845</c:v>
                </c:pt>
                <c:pt idx="37">
                  <c:v>4401614.2857142845</c:v>
                </c:pt>
                <c:pt idx="38">
                  <c:v>4401614.2857142845</c:v>
                </c:pt>
                <c:pt idx="39">
                  <c:v>4401614.2857142845</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B4CE-0D45-8576-A52A263F6305}"/>
            </c:ext>
          </c:extLst>
        </c:ser>
        <c:ser>
          <c:idx val="4"/>
          <c:order val="4"/>
          <c:tx>
            <c:strRef>
              <c:f>Forecast!$F$201</c:f>
              <c:strCache>
                <c:ptCount val="1"/>
                <c:pt idx="0">
                  <c:v> Carried Interest </c:v>
                </c:pt>
              </c:strCache>
            </c:strRef>
          </c:tx>
          <c:spPr>
            <a:solidFill>
              <a:srgbClr val="FF6D01"/>
            </a:solidFill>
            <a:ln cmpd="sng">
              <a:solidFill>
                <a:srgbClr val="000000"/>
              </a:solidFill>
            </a:ln>
          </c:spPr>
          <c:invertIfNegative val="1"/>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Forecast!$G$201:$CH$201</c:f>
              <c:numCache>
                <c:formatCode>#,##0_);\(#,##0\);_("-"_);_(@_)</c:formatCode>
                <c:ptCount val="8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399455.65476190578</c:v>
                </c:pt>
                <c:pt idx="19">
                  <c:v>429474.10714285728</c:v>
                </c:pt>
                <c:pt idx="20">
                  <c:v>393759.82142857183</c:v>
                </c:pt>
                <c:pt idx="21">
                  <c:v>393759.82142857183</c:v>
                </c:pt>
                <c:pt idx="22">
                  <c:v>393759.82142857183</c:v>
                </c:pt>
                <c:pt idx="23">
                  <c:v>393759.82142857183</c:v>
                </c:pt>
                <c:pt idx="24">
                  <c:v>1524451.3690476192</c:v>
                </c:pt>
                <c:pt idx="25">
                  <c:v>1524451.3690476192</c:v>
                </c:pt>
                <c:pt idx="26">
                  <c:v>1524451.3690476192</c:v>
                </c:pt>
                <c:pt idx="27">
                  <c:v>1524451.3690476192</c:v>
                </c:pt>
                <c:pt idx="28">
                  <c:v>1389823.8095238095</c:v>
                </c:pt>
                <c:pt idx="29">
                  <c:v>1389823.8095238095</c:v>
                </c:pt>
                <c:pt idx="30">
                  <c:v>1389823.8095238095</c:v>
                </c:pt>
                <c:pt idx="31">
                  <c:v>1389823.8095238095</c:v>
                </c:pt>
                <c:pt idx="32">
                  <c:v>879800.59523809515</c:v>
                </c:pt>
                <c:pt idx="33">
                  <c:v>879800.59523809515</c:v>
                </c:pt>
                <c:pt idx="34">
                  <c:v>879800.59523809515</c:v>
                </c:pt>
                <c:pt idx="35">
                  <c:v>879800.59523809515</c:v>
                </c:pt>
                <c:pt idx="36">
                  <c:v>1055760.7142857139</c:v>
                </c:pt>
                <c:pt idx="37">
                  <c:v>1055760.7142857139</c:v>
                </c:pt>
                <c:pt idx="38">
                  <c:v>1055760.7142857139</c:v>
                </c:pt>
                <c:pt idx="39">
                  <c:v>1055760.7142857139</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B4CE-0D45-8576-A52A263F6305}"/>
            </c:ext>
          </c:extLst>
        </c:ser>
        <c:dLbls>
          <c:showLegendKey val="0"/>
          <c:showVal val="0"/>
          <c:showCatName val="0"/>
          <c:showSerName val="0"/>
          <c:showPercent val="0"/>
          <c:showBubbleSize val="0"/>
        </c:dLbls>
        <c:gapWidth val="150"/>
        <c:overlap val="100"/>
        <c:axId val="1384191609"/>
        <c:axId val="1598674625"/>
      </c:barChart>
      <c:catAx>
        <c:axId val="1384191609"/>
        <c:scaling>
          <c:orientation val="minMax"/>
        </c:scaling>
        <c:delete val="0"/>
        <c:axPos val="b"/>
        <c:title>
          <c:tx>
            <c:rich>
              <a:bodyPr/>
              <a:lstStyle/>
              <a:p>
                <a:pPr lvl="0">
                  <a:defRPr b="0">
                    <a:solidFill>
                      <a:srgbClr val="000000"/>
                    </a:solidFill>
                    <a:latin typeface="+mn-lt"/>
                  </a:defRPr>
                </a:pPr>
                <a:endParaRPr lang="en-US"/>
              </a:p>
            </c:rich>
          </c:tx>
          <c:overlay val="0"/>
        </c:title>
        <c:numFmt formatCode="&quot;Quarter&quot;\ #,##0_);\(#,##0\);_(&quot;-&quot;_);_(@_)" sourceLinked="1"/>
        <c:majorTickMark val="none"/>
        <c:minorTickMark val="none"/>
        <c:tickLblPos val="nextTo"/>
        <c:txPr>
          <a:bodyPr/>
          <a:lstStyle/>
          <a:p>
            <a:pPr lvl="0">
              <a:defRPr b="0">
                <a:solidFill>
                  <a:srgbClr val="000000"/>
                </a:solidFill>
                <a:latin typeface="+mn-lt"/>
              </a:defRPr>
            </a:pPr>
            <a:endParaRPr lang="en-US"/>
          </a:p>
        </c:txPr>
        <c:crossAx val="1598674625"/>
        <c:crosses val="autoZero"/>
        <c:auto val="1"/>
        <c:lblAlgn val="ctr"/>
        <c:lblOffset val="100"/>
        <c:noMultiLvlLbl val="1"/>
      </c:catAx>
      <c:valAx>
        <c:axId val="15986746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1384191609"/>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Cumulative cash flows</a:t>
            </a:r>
          </a:p>
        </c:rich>
      </c:tx>
      <c:overlay val="0"/>
    </c:title>
    <c:autoTitleDeleted val="0"/>
    <c:plotArea>
      <c:layout/>
      <c:areaChart>
        <c:grouping val="standard"/>
        <c:varyColors val="1"/>
        <c:ser>
          <c:idx val="0"/>
          <c:order val="0"/>
          <c:spPr>
            <a:solidFill>
              <a:srgbClr val="4285F4">
                <a:alpha val="30000"/>
              </a:srgbClr>
            </a:solidFill>
            <a:ln cmpd="sng">
              <a:solidFill>
                <a:srgbClr val="4285F4"/>
              </a:solidFill>
            </a:ln>
          </c:spPr>
          <c:cat>
            <c:numRef>
              <c:f>Forecast!$G$4:$CH$4</c:f>
              <c:numCache>
                <c:formatCode>"Quarter"\ #,##0_);\(#,##0\);_("-"_);_(@_)</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cat>
          <c:val>
            <c:numRef>
              <c:f>Forecast!$G$100:$CH$100</c:f>
              <c:numCache>
                <c:formatCode>#,##0_);\(#,##0\);_("-"_);_(@_)</c:formatCode>
                <c:ptCount val="80"/>
                <c:pt idx="0">
                  <c:v>-1444375</c:v>
                </c:pt>
                <c:pt idx="1">
                  <c:v>-2788750</c:v>
                </c:pt>
                <c:pt idx="2">
                  <c:v>-4133125</c:v>
                </c:pt>
                <c:pt idx="3">
                  <c:v>-5477500</c:v>
                </c:pt>
                <c:pt idx="4">
                  <c:v>-6821875</c:v>
                </c:pt>
                <c:pt idx="5">
                  <c:v>-8166250</c:v>
                </c:pt>
                <c:pt idx="6">
                  <c:v>-9510625</c:v>
                </c:pt>
                <c:pt idx="7">
                  <c:v>-10855000</c:v>
                </c:pt>
                <c:pt idx="8">
                  <c:v>-12199375</c:v>
                </c:pt>
                <c:pt idx="9">
                  <c:v>-13543750</c:v>
                </c:pt>
                <c:pt idx="10">
                  <c:v>-14888125</c:v>
                </c:pt>
                <c:pt idx="11">
                  <c:v>-16232500</c:v>
                </c:pt>
                <c:pt idx="12">
                  <c:v>-16604750</c:v>
                </c:pt>
                <c:pt idx="13">
                  <c:v>-16977000</c:v>
                </c:pt>
                <c:pt idx="14">
                  <c:v>-17349250</c:v>
                </c:pt>
                <c:pt idx="15">
                  <c:v>-17721500</c:v>
                </c:pt>
                <c:pt idx="16">
                  <c:v>-14376093.75</c:v>
                </c:pt>
                <c:pt idx="17">
                  <c:v>-11030687.5</c:v>
                </c:pt>
                <c:pt idx="18">
                  <c:v>-8084736.9047619049</c:v>
                </c:pt>
                <c:pt idx="19">
                  <c:v>-5168804.7619047612</c:v>
                </c:pt>
                <c:pt idx="20">
                  <c:v>-2217158.3333333321</c:v>
                </c:pt>
                <c:pt idx="21">
                  <c:v>734488.09523809701</c:v>
                </c:pt>
                <c:pt idx="22">
                  <c:v>3686134.5238095261</c:v>
                </c:pt>
                <c:pt idx="23">
                  <c:v>6637780.9523809552</c:v>
                </c:pt>
                <c:pt idx="24">
                  <c:v>13249098.333333334</c:v>
                </c:pt>
                <c:pt idx="25">
                  <c:v>19860415.714285713</c:v>
                </c:pt>
                <c:pt idx="26">
                  <c:v>26471733.09523809</c:v>
                </c:pt>
                <c:pt idx="27">
                  <c:v>33083050.47619047</c:v>
                </c:pt>
                <c:pt idx="28">
                  <c:v>38828476.666666657</c:v>
                </c:pt>
                <c:pt idx="29">
                  <c:v>44573902.857142843</c:v>
                </c:pt>
                <c:pt idx="30">
                  <c:v>50319329.04761903</c:v>
                </c:pt>
                <c:pt idx="31">
                  <c:v>56064755.238095216</c:v>
                </c:pt>
                <c:pt idx="32">
                  <c:v>59591517.142857119</c:v>
                </c:pt>
                <c:pt idx="33">
                  <c:v>63118279.047619022</c:v>
                </c:pt>
                <c:pt idx="34">
                  <c:v>66645040.952380925</c:v>
                </c:pt>
                <c:pt idx="35">
                  <c:v>70171802.857142836</c:v>
                </c:pt>
                <c:pt idx="36">
                  <c:v>74432167.142857119</c:v>
                </c:pt>
                <c:pt idx="37">
                  <c:v>78692531.428571403</c:v>
                </c:pt>
                <c:pt idx="38">
                  <c:v>82952895.714285687</c:v>
                </c:pt>
                <c:pt idx="39">
                  <c:v>87213259.99999997</c:v>
                </c:pt>
                <c:pt idx="40">
                  <c:v>87213259.99999997</c:v>
                </c:pt>
                <c:pt idx="41">
                  <c:v>87213259.99999997</c:v>
                </c:pt>
                <c:pt idx="42">
                  <c:v>87213259.99999997</c:v>
                </c:pt>
                <c:pt idx="43">
                  <c:v>87213259.99999997</c:v>
                </c:pt>
                <c:pt idx="44">
                  <c:v>87213259.99999997</c:v>
                </c:pt>
                <c:pt idx="45">
                  <c:v>87213259.99999997</c:v>
                </c:pt>
                <c:pt idx="46">
                  <c:v>87213259.99999997</c:v>
                </c:pt>
                <c:pt idx="47">
                  <c:v>87213259.99999997</c:v>
                </c:pt>
                <c:pt idx="48">
                  <c:v>87213259.99999997</c:v>
                </c:pt>
                <c:pt idx="49">
                  <c:v>87213259.99999997</c:v>
                </c:pt>
                <c:pt idx="50">
                  <c:v>87213259.99999997</c:v>
                </c:pt>
                <c:pt idx="51">
                  <c:v>87213259.99999997</c:v>
                </c:pt>
                <c:pt idx="52">
                  <c:v>87213259.99999997</c:v>
                </c:pt>
                <c:pt idx="53">
                  <c:v>87213259.99999997</c:v>
                </c:pt>
                <c:pt idx="54">
                  <c:v>87213259.99999997</c:v>
                </c:pt>
                <c:pt idx="55">
                  <c:v>87213259.99999997</c:v>
                </c:pt>
                <c:pt idx="56">
                  <c:v>87213259.99999997</c:v>
                </c:pt>
                <c:pt idx="57">
                  <c:v>87213259.99999997</c:v>
                </c:pt>
                <c:pt idx="58">
                  <c:v>87213259.99999997</c:v>
                </c:pt>
                <c:pt idx="59">
                  <c:v>87213259.99999997</c:v>
                </c:pt>
                <c:pt idx="60">
                  <c:v>87213259.99999997</c:v>
                </c:pt>
                <c:pt idx="61">
                  <c:v>87213259.99999997</c:v>
                </c:pt>
                <c:pt idx="62">
                  <c:v>87213259.99999997</c:v>
                </c:pt>
                <c:pt idx="63">
                  <c:v>87213259.99999997</c:v>
                </c:pt>
                <c:pt idx="64">
                  <c:v>87213259.99999997</c:v>
                </c:pt>
                <c:pt idx="65">
                  <c:v>87213259.99999997</c:v>
                </c:pt>
                <c:pt idx="66">
                  <c:v>87213259.99999997</c:v>
                </c:pt>
                <c:pt idx="67">
                  <c:v>87213259.99999997</c:v>
                </c:pt>
                <c:pt idx="68">
                  <c:v>87213259.99999997</c:v>
                </c:pt>
                <c:pt idx="69">
                  <c:v>87213259.99999997</c:v>
                </c:pt>
                <c:pt idx="70">
                  <c:v>87213259.99999997</c:v>
                </c:pt>
                <c:pt idx="71">
                  <c:v>87213259.99999997</c:v>
                </c:pt>
                <c:pt idx="72">
                  <c:v>87213259.99999997</c:v>
                </c:pt>
                <c:pt idx="73">
                  <c:v>87213259.99999997</c:v>
                </c:pt>
                <c:pt idx="74">
                  <c:v>87213259.99999997</c:v>
                </c:pt>
                <c:pt idx="75">
                  <c:v>87213259.99999997</c:v>
                </c:pt>
                <c:pt idx="76">
                  <c:v>87213259.99999997</c:v>
                </c:pt>
                <c:pt idx="77">
                  <c:v>87213259.99999997</c:v>
                </c:pt>
                <c:pt idx="78">
                  <c:v>87213259.99999997</c:v>
                </c:pt>
                <c:pt idx="79">
                  <c:v>87213259.99999997</c:v>
                </c:pt>
              </c:numCache>
            </c:numRef>
          </c:val>
          <c:extLst>
            <c:ext xmlns:c16="http://schemas.microsoft.com/office/drawing/2014/chart" uri="{C3380CC4-5D6E-409C-BE32-E72D297353CC}">
              <c16:uniqueId val="{00000000-A510-AC4D-BED8-9B2A7A9E6C4D}"/>
            </c:ext>
          </c:extLst>
        </c:ser>
        <c:dLbls>
          <c:showLegendKey val="0"/>
          <c:showVal val="0"/>
          <c:showCatName val="0"/>
          <c:showSerName val="0"/>
          <c:showPercent val="0"/>
          <c:showBubbleSize val="0"/>
        </c:dLbls>
        <c:axId val="2080159101"/>
        <c:axId val="41125794"/>
      </c:areaChart>
      <c:catAx>
        <c:axId val="2080159101"/>
        <c:scaling>
          <c:orientation val="minMax"/>
        </c:scaling>
        <c:delete val="0"/>
        <c:axPos val="b"/>
        <c:title>
          <c:tx>
            <c:rich>
              <a:bodyPr/>
              <a:lstStyle/>
              <a:p>
                <a:pPr lvl="0">
                  <a:defRPr b="0">
                    <a:solidFill>
                      <a:srgbClr val="000000"/>
                    </a:solidFill>
                    <a:latin typeface="+mn-lt"/>
                  </a:defRPr>
                </a:pPr>
                <a:endParaRPr lang="en-US"/>
              </a:p>
            </c:rich>
          </c:tx>
          <c:overlay val="0"/>
        </c:title>
        <c:numFmt formatCode="&quot;Quarter&quot;\ #,##0_);\(#,##0\);_(&quot;-&quot;_);_(@_)" sourceLinked="1"/>
        <c:majorTickMark val="none"/>
        <c:minorTickMark val="none"/>
        <c:tickLblPos val="nextTo"/>
        <c:txPr>
          <a:bodyPr/>
          <a:lstStyle/>
          <a:p>
            <a:pPr lvl="0">
              <a:defRPr b="0">
                <a:solidFill>
                  <a:srgbClr val="000000"/>
                </a:solidFill>
                <a:latin typeface="+mn-lt"/>
              </a:defRPr>
            </a:pPr>
            <a:endParaRPr lang="en-US"/>
          </a:p>
        </c:txPr>
        <c:crossAx val="41125794"/>
        <c:crosses val="autoZero"/>
        <c:auto val="1"/>
        <c:lblAlgn val="ctr"/>
        <c:lblOffset val="100"/>
        <c:noMultiLvlLbl val="1"/>
      </c:catAx>
      <c:valAx>
        <c:axId val="41125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2080159101"/>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Fund Proceeds by Outcome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'Get Started'!$E$35:$H$35</c:f>
              <c:strCache>
                <c:ptCount val="4"/>
                <c:pt idx="0">
                  <c:v>Fail</c:v>
                </c:pt>
                <c:pt idx="1">
                  <c:v>Low</c:v>
                </c:pt>
                <c:pt idx="2">
                  <c:v>Medium</c:v>
                </c:pt>
                <c:pt idx="3">
                  <c:v>High</c:v>
                </c:pt>
              </c:strCache>
            </c:strRef>
          </c:cat>
          <c:val>
            <c:numRef>
              <c:f>'Get Started'!$E$91:$H$91</c:f>
              <c:numCache>
                <c:formatCode>#,##0_);\(#,##0\);_("-"_);_(@_)</c:formatCode>
                <c:ptCount val="4"/>
                <c:pt idx="0">
                  <c:v>0</c:v>
                </c:pt>
                <c:pt idx="1">
                  <c:v>20374200.000000011</c:v>
                </c:pt>
                <c:pt idx="2">
                  <c:v>38201625.000000015</c:v>
                </c:pt>
                <c:pt idx="3">
                  <c:v>76403249.99999997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527-AF43-9CC6-97786B6172C2}"/>
            </c:ext>
          </c:extLst>
        </c:ser>
        <c:dLbls>
          <c:showLegendKey val="0"/>
          <c:showVal val="0"/>
          <c:showCatName val="0"/>
          <c:showSerName val="0"/>
          <c:showPercent val="0"/>
          <c:showBubbleSize val="0"/>
        </c:dLbls>
        <c:gapWidth val="150"/>
        <c:axId val="28952086"/>
        <c:axId val="170106353"/>
      </c:barChart>
      <c:catAx>
        <c:axId val="2895208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0106353"/>
        <c:crosses val="autoZero"/>
        <c:auto val="1"/>
        <c:lblAlgn val="ctr"/>
        <c:lblOffset val="100"/>
        <c:noMultiLvlLbl val="1"/>
      </c:catAx>
      <c:valAx>
        <c:axId val="1701063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_);\(#,##0\);_(&quot;-&quot;_);_(@_)" sourceLinked="1"/>
        <c:majorTickMark val="none"/>
        <c:minorTickMark val="none"/>
        <c:tickLblPos val="nextTo"/>
        <c:spPr>
          <a:ln/>
        </c:spPr>
        <c:txPr>
          <a:bodyPr/>
          <a:lstStyle/>
          <a:p>
            <a:pPr lvl="0">
              <a:defRPr b="0">
                <a:solidFill>
                  <a:srgbClr val="000000"/>
                </a:solidFill>
                <a:latin typeface="+mn-lt"/>
              </a:defRPr>
            </a:pPr>
            <a:endParaRPr lang="en-US"/>
          </a:p>
        </c:txPr>
        <c:crossAx val="2895208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5</xdr:col>
      <xdr:colOff>885825</xdr:colOff>
      <xdr:row>6</xdr:row>
      <xdr:rowOff>114300</xdr:rowOff>
    </xdr:from>
    <xdr:ext cx="4381500" cy="2743200"/>
    <xdr:graphicFrame macro="">
      <xdr:nvGraphicFramePr>
        <xdr:cNvPr id="2" name="Chart 1" titl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428625</xdr:colOff>
      <xdr:row>6</xdr:row>
      <xdr:rowOff>114300</xdr:rowOff>
    </xdr:from>
    <xdr:ext cx="4381500" cy="2743200"/>
    <xdr:graphicFrame macro="">
      <xdr:nvGraphicFramePr>
        <xdr:cNvPr id="3" name="Chart 2" titl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11</xdr:col>
      <xdr:colOff>28575</xdr:colOff>
      <xdr:row>6</xdr:row>
      <xdr:rowOff>114300</xdr:rowOff>
    </xdr:from>
    <xdr:ext cx="4505325" cy="2790825"/>
    <xdr:graphicFrame macro="">
      <xdr:nvGraphicFramePr>
        <xdr:cNvPr id="4" name="Chart 3" titl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857250</xdr:colOff>
      <xdr:row>1</xdr:row>
      <xdr:rowOff>142875</xdr:rowOff>
    </xdr:from>
    <xdr:ext cx="5715000" cy="3533775"/>
    <xdr:graphicFrame macro="">
      <xdr:nvGraphicFramePr>
        <xdr:cNvPr id="4" name="Chart 4" titl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857250</xdr:colOff>
      <xdr:row>20</xdr:row>
      <xdr:rowOff>180975</xdr:rowOff>
    </xdr:from>
    <xdr:ext cx="5781675" cy="3581400"/>
    <xdr:graphicFrame macro="">
      <xdr:nvGraphicFramePr>
        <xdr:cNvPr id="5" name="Chart 5" titl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409575</xdr:colOff>
      <xdr:row>40</xdr:row>
      <xdr:rowOff>19050</xdr:rowOff>
    </xdr:from>
    <xdr:ext cx="5715000" cy="3533775"/>
    <xdr:graphicFrame macro="">
      <xdr:nvGraphicFramePr>
        <xdr:cNvPr id="6" name="Chart 6" title="Chart">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409575</xdr:colOff>
      <xdr:row>1</xdr:row>
      <xdr:rowOff>142875</xdr:rowOff>
    </xdr:from>
    <xdr:ext cx="5715000" cy="3533775"/>
    <xdr:graphicFrame macro="">
      <xdr:nvGraphicFramePr>
        <xdr:cNvPr id="7" name="Chart 7" title="Chart">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409575</xdr:colOff>
      <xdr:row>21</xdr:row>
      <xdr:rowOff>9525</xdr:rowOff>
    </xdr:from>
    <xdr:ext cx="5715000" cy="3533775"/>
    <xdr:graphicFrame macro="">
      <xdr:nvGraphicFramePr>
        <xdr:cNvPr id="8" name="Chart 8" title="Chart">
          <a:extLst>
            <a:ext uri="{FF2B5EF4-FFF2-40B4-BE49-F238E27FC236}">
              <a16:creationId xmlns:a16="http://schemas.microsoft.com/office/drawing/2014/main" id="{00000000-0008-0000-08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895350</xdr:colOff>
      <xdr:row>40</xdr:row>
      <xdr:rowOff>19050</xdr:rowOff>
    </xdr:from>
    <xdr:ext cx="5715000" cy="3533775"/>
    <xdr:graphicFrame macro="">
      <xdr:nvGraphicFramePr>
        <xdr:cNvPr id="9" name="Chart 9" title="Chart">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C10">
  <tableColumns count="2">
    <tableColumn id="1" xr3:uid="{00000000-0010-0000-0000-000001000000}" name="Copyright &amp; Contact"/>
    <tableColumn id="2" xr3:uid="{00000000-0010-0000-0000-000002000000}" name="This was created by Taylor Davidson (@tdavidson) of Foresight._x000a_© 2025,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4:C29">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D25">
  <tableColumns count="3">
    <tableColumn id="1" xr3:uid="{00000000-0010-0000-0200-000001000000}" name="How to Model a Venture Capital Fund"/>
    <tableColumn id="2" xr3:uid="{00000000-0010-0000-0200-000002000000}" name="Post detailing how to model a venture capital fund, detailing all the components, methods, considerations, and links to template models to review"/>
    <tableColumn id="3" xr3:uid="{00000000-0010-0000-0200-000003000000}" name="https://openvc.app/blog/how-to-model-a-venture-capital-fund"/>
  </tableColumns>
  <tableStyleInfo name="Resourc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U21" headerRowCount="0">
  <tableColumns count="20">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dataDxfId="15"/>
    <tableColumn id="6" xr3:uid="{00000000-0010-0000-0300-000006000000}" name="Column6" dataDxfId="14"/>
    <tableColumn id="7" xr3:uid="{00000000-0010-0000-0300-000007000000}" name="Column7" dataDxfId="13"/>
    <tableColumn id="8" xr3:uid="{00000000-0010-0000-0300-000008000000}" name="Column8" dataDxfId="12"/>
    <tableColumn id="9" xr3:uid="{00000000-0010-0000-0300-000009000000}" name="Column9" dataDxfId="11"/>
    <tableColumn id="10" xr3:uid="{00000000-0010-0000-0300-00000A000000}" name="Column10" dataDxfId="10"/>
    <tableColumn id="11" xr3:uid="{00000000-0010-0000-0300-00000B000000}" name="Column11" dataDxfId="9"/>
    <tableColumn id="12" xr3:uid="{00000000-0010-0000-0300-00000C000000}" name="Column12" dataDxfId="8"/>
    <tableColumn id="13" xr3:uid="{00000000-0010-0000-0300-00000D000000}" name="Column13" dataDxfId="7"/>
    <tableColumn id="14" xr3:uid="{00000000-0010-0000-0300-00000E000000}" name="Column14" dataDxfId="6"/>
    <tableColumn id="15" xr3:uid="{00000000-0010-0000-0300-00000F000000}" name="Column15" dataDxfId="5"/>
    <tableColumn id="16" xr3:uid="{00000000-0010-0000-0300-000010000000}" name="Column16" dataDxfId="4"/>
    <tableColumn id="17" xr3:uid="{00000000-0010-0000-0300-000011000000}" name="Column17" dataDxfId="3"/>
    <tableColumn id="18" xr3:uid="{00000000-0010-0000-0300-000012000000}" name="Column18" dataDxfId="2"/>
    <tableColumn id="19" xr3:uid="{00000000-0010-0000-0300-000013000000}" name="Column19" dataDxfId="1"/>
    <tableColumn id="20" xr3:uid="{00000000-0010-0000-0300-000014000000}" name="Column20" dataDxfId="0"/>
  </tableColumns>
  <tableStyleInfo name="Model Compariso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7:C42">
  <tableColumns count="2">
    <tableColumn id="1" xr3:uid="{00000000-0010-0000-0400-000001000000}" name="Limited Partner"/>
    <tableColumn id="2" xr3:uid="{00000000-0010-0000-0400-000002000000}" name="Part-owner of a company whose liability for the firm's debts cannot exceed the amount that an individual invested in the company. In VC, the investors in the fund. https://www.investopedia.com/terms/l/limited-partner.asp"/>
  </tableColumns>
  <tableStyleInfo name="Glossary-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D24" headerRowCount="0">
  <tableColumns count="3">
    <tableColumn id="1" xr3:uid="{00000000-0010-0000-0500-000001000000}" name="Column1"/>
    <tableColumn id="2" xr3:uid="{00000000-0010-0000-0500-000002000000}" name="Column2"/>
    <tableColumn id="3" xr3:uid="{00000000-0010-0000-0500-000003000000}" name="Column3"/>
  </tableColumns>
  <tableStyleInfo name="Change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esight.is/docs/" TargetMode="External"/><Relationship Id="rId7" Type="http://schemas.openxmlformats.org/officeDocument/2006/relationships/table" Target="../tables/table2.xml"/><Relationship Id="rId2" Type="http://schemas.openxmlformats.org/officeDocument/2006/relationships/hyperlink" Target="https://foresight.is/help" TargetMode="External"/><Relationship Id="rId1" Type="http://schemas.openxmlformats.org/officeDocument/2006/relationships/hyperlink" Target="https://foresight.is/venture-fund-model" TargetMode="External"/><Relationship Id="rId6" Type="http://schemas.openxmlformats.org/officeDocument/2006/relationships/table" Target="../tables/table1.xml"/><Relationship Id="rId5" Type="http://schemas.openxmlformats.org/officeDocument/2006/relationships/hyperlink" Target="https://foresight.is/license" TargetMode="External"/><Relationship Id="rId4" Type="http://schemas.openxmlformats.org/officeDocument/2006/relationships/hyperlink" Target="https://foresight.is/learn/colors-and-formatt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esight.is/learn/forecas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oresight.is/vc"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oresight.is/vc"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hyperlink" Target="https://foresight.is/learn/fast-standard"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foresight.is/vc" TargetMode="External"/><Relationship Id="rId13" Type="http://schemas.openxmlformats.org/officeDocument/2006/relationships/hyperlink" Target="https://foresight.is/venture-portfolio-model" TargetMode="External"/><Relationship Id="rId18" Type="http://schemas.openxmlformats.org/officeDocument/2006/relationships/hyperlink" Target="https://avc.com/2008/08/venture-fund-1/" TargetMode="External"/><Relationship Id="rId3" Type="http://schemas.openxmlformats.org/officeDocument/2006/relationships/hyperlink" Target="https://vc.tactyc.io/" TargetMode="External"/><Relationship Id="rId7" Type="http://schemas.openxmlformats.org/officeDocument/2006/relationships/hyperlink" Target="https://foresight.is/vc" TargetMode="External"/><Relationship Id="rId12" Type="http://schemas.openxmlformats.org/officeDocument/2006/relationships/hyperlink" Target="https://foresight.is/vc" TargetMode="External"/><Relationship Id="rId17" Type="http://schemas.openxmlformats.org/officeDocument/2006/relationships/hyperlink" Target="https://angel.co/v/venture/calculator" TargetMode="External"/><Relationship Id="rId2" Type="http://schemas.openxmlformats.org/officeDocument/2006/relationships/hyperlink" Target="https://eniacvc.medium.com/seed-fund-portfolio-construction-for-dummies-9ec5b4d152dc" TargetMode="External"/><Relationship Id="rId16" Type="http://schemas.openxmlformats.org/officeDocument/2006/relationships/hyperlink" Target="https://foresight.is/learn/venture-valuation" TargetMode="External"/><Relationship Id="rId20" Type="http://schemas.openxmlformats.org/officeDocument/2006/relationships/table" Target="../tables/table3.xml"/><Relationship Id="rId1" Type="http://schemas.openxmlformats.org/officeDocument/2006/relationships/hyperlink" Target="https://openvc.app/blog/how-to-model-a-venture-capital-fund" TargetMode="External"/><Relationship Id="rId6" Type="http://schemas.openxmlformats.org/officeDocument/2006/relationships/hyperlink" Target="https://airstreamalpha.com/financial-model/" TargetMode="External"/><Relationship Id="rId11" Type="http://schemas.openxmlformats.org/officeDocument/2006/relationships/hyperlink" Target="https://foresight.is/venture-fund-model" TargetMode="External"/><Relationship Id="rId5" Type="http://schemas.openxmlformats.org/officeDocument/2006/relationships/hyperlink" Target="https://medium.com/@gerstenzang/open-source-venture-model-osvm-v1-55bebf3eda9" TargetMode="External"/><Relationship Id="rId15" Type="http://schemas.openxmlformats.org/officeDocument/2006/relationships/hyperlink" Target="https://foresight.is/cap-table" TargetMode="External"/><Relationship Id="rId10" Type="http://schemas.openxmlformats.org/officeDocument/2006/relationships/hyperlink" Target="https://foresight.is/vc" TargetMode="External"/><Relationship Id="rId19" Type="http://schemas.openxmlformats.org/officeDocument/2006/relationships/hyperlink" Target="https://vcmethod.com/" TargetMode="External"/><Relationship Id="rId4" Type="http://schemas.openxmlformats.org/officeDocument/2006/relationships/hyperlink" Target="https://my.causal.app/models/7140" TargetMode="External"/><Relationship Id="rId9" Type="http://schemas.openxmlformats.org/officeDocument/2006/relationships/hyperlink" Target="https://foresight.is/vc" TargetMode="External"/><Relationship Id="rId14" Type="http://schemas.openxmlformats.org/officeDocument/2006/relationships/hyperlink" Target="https://www.angellist.com/blog/rolling-fund-budget"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foresight.is/venture-fund-model-tracking/" TargetMode="External"/><Relationship Id="rId13" Type="http://schemas.openxmlformats.org/officeDocument/2006/relationships/hyperlink" Target="https://foresight.is/venture-valuation-tool/" TargetMode="External"/><Relationship Id="rId3" Type="http://schemas.openxmlformats.org/officeDocument/2006/relationships/hyperlink" Target="https://foresight.is/venture-fund-model-quarterly/" TargetMode="External"/><Relationship Id="rId7" Type="http://schemas.openxmlformats.org/officeDocument/2006/relationships/hyperlink" Target="https://foresight.is/venture-fund-model" TargetMode="External"/><Relationship Id="rId12" Type="http://schemas.openxmlformats.org/officeDocument/2006/relationships/hyperlink" Target="https://foresight.is/cap-table" TargetMode="External"/><Relationship Id="rId2" Type="http://schemas.openxmlformats.org/officeDocument/2006/relationships/hyperlink" Target="https://foresight.is/venture-fund-model-annual/" TargetMode="External"/><Relationship Id="rId16" Type="http://schemas.openxmlformats.org/officeDocument/2006/relationships/table" Target="../tables/table4.xml"/><Relationship Id="rId1" Type="http://schemas.openxmlformats.org/officeDocument/2006/relationships/hyperlink" Target="https://foresight.is/venture-fund-model-overall/" TargetMode="External"/><Relationship Id="rId6" Type="http://schemas.openxmlformats.org/officeDocument/2006/relationships/hyperlink" Target="https://foresight.is/venture-fund-model-detailed/" TargetMode="External"/><Relationship Id="rId11" Type="http://schemas.openxmlformats.org/officeDocument/2006/relationships/hyperlink" Target="https://foresight.is/rolling-fund-template/" TargetMode="External"/><Relationship Id="rId5" Type="http://schemas.openxmlformats.org/officeDocument/2006/relationships/hyperlink" Target="https://foresight.is/venture-studio-model" TargetMode="External"/><Relationship Id="rId15" Type="http://schemas.openxmlformats.org/officeDocument/2006/relationships/hyperlink" Target="https://foresight.is/cap-table" TargetMode="External"/><Relationship Id="rId10" Type="http://schemas.openxmlformats.org/officeDocument/2006/relationships/hyperlink" Target="https://foresight.is/fund-of-funds/" TargetMode="External"/><Relationship Id="rId4" Type="http://schemas.openxmlformats.org/officeDocument/2006/relationships/hyperlink" Target="https://foresight.is/venture-fund-model-portfolio/" TargetMode="External"/><Relationship Id="rId9" Type="http://schemas.openxmlformats.org/officeDocument/2006/relationships/hyperlink" Target="https://foresight.is/venture-portfolio-model/" TargetMode="External"/><Relationship Id="rId14" Type="http://schemas.openxmlformats.org/officeDocument/2006/relationships/hyperlink" Target="https://foresight.is/runway-cash-forecasting"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foresight.is/runway-cash-forecasting" TargetMode="External"/><Relationship Id="rId1" Type="http://schemas.openxmlformats.org/officeDocument/2006/relationships/hyperlink" Target="https://foresight.is/v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showGridLines="0" tabSelected="1" workbookViewId="0">
      <selection activeCell="B2" sqref="B2"/>
    </sheetView>
  </sheetViews>
  <sheetFormatPr baseColWidth="10" defaultColWidth="12.6640625" defaultRowHeight="15.75" customHeight="1"/>
  <cols>
    <col min="1" max="1" width="4.1640625" customWidth="1"/>
    <col min="2" max="2" width="35.1640625" customWidth="1"/>
    <col min="3" max="3" width="65.6640625" customWidth="1"/>
    <col min="4" max="5" width="22.6640625" customWidth="1"/>
  </cols>
  <sheetData>
    <row r="1" spans="1:3" ht="15.75" customHeight="1">
      <c r="A1" s="1"/>
    </row>
    <row r="2" spans="1:3">
      <c r="B2" s="2" t="s">
        <v>0</v>
      </c>
    </row>
    <row r="3" spans="1:3" ht="15.75" customHeight="1">
      <c r="B3" s="3"/>
    </row>
    <row r="4" spans="1:3" ht="54" customHeight="1">
      <c r="B4" s="4" t="s">
        <v>1</v>
      </c>
      <c r="C4" s="5" t="s">
        <v>2</v>
      </c>
    </row>
    <row r="5" spans="1:3" ht="48" customHeight="1">
      <c r="B5" s="4" t="s">
        <v>3</v>
      </c>
      <c r="C5" s="6" t="s">
        <v>4</v>
      </c>
    </row>
    <row r="6" spans="1:3" ht="85" customHeight="1">
      <c r="B6" s="4" t="s">
        <v>5</v>
      </c>
      <c r="C6" s="7" t="s">
        <v>6</v>
      </c>
    </row>
    <row r="7" spans="1:3" ht="48" customHeight="1">
      <c r="B7" s="4" t="s">
        <v>7</v>
      </c>
      <c r="C7" s="7" t="s">
        <v>8</v>
      </c>
    </row>
    <row r="8" spans="1:3" ht="48" customHeight="1">
      <c r="B8" s="4" t="s">
        <v>9</v>
      </c>
      <c r="C8" s="7" t="s">
        <v>10</v>
      </c>
    </row>
    <row r="9" spans="1:3" ht="48" customHeight="1">
      <c r="B9" s="4" t="s">
        <v>11</v>
      </c>
      <c r="C9" s="7" t="s">
        <v>12</v>
      </c>
    </row>
    <row r="10" spans="1:3" ht="48" customHeight="1">
      <c r="B10" s="4" t="s">
        <v>13</v>
      </c>
      <c r="C10" s="7" t="s">
        <v>14</v>
      </c>
    </row>
    <row r="11" spans="1:3" ht="15.75" customHeight="1">
      <c r="B11" s="8"/>
      <c r="C11" s="9"/>
    </row>
    <row r="12" spans="1:3" ht="15.75" customHeight="1">
      <c r="B12" s="8" t="s">
        <v>15</v>
      </c>
      <c r="C12" s="9"/>
    </row>
    <row r="13" spans="1:3" ht="15.75" customHeight="1">
      <c r="B13" s="10"/>
      <c r="C13" s="9"/>
    </row>
    <row r="14" spans="1:3" ht="15.75" customHeight="1">
      <c r="B14" s="11" t="s">
        <v>16</v>
      </c>
      <c r="C14" s="11" t="s">
        <v>17</v>
      </c>
    </row>
    <row r="15" spans="1:3" ht="15.75" customHeight="1">
      <c r="B15" s="11" t="s">
        <v>18</v>
      </c>
      <c r="C15" s="12" t="s">
        <v>19</v>
      </c>
    </row>
    <row r="16" spans="1:3" ht="15.75" customHeight="1">
      <c r="B16" s="11" t="s">
        <v>3</v>
      </c>
      <c r="C16" s="12" t="s">
        <v>20</v>
      </c>
    </row>
    <row r="17" spans="1:6" ht="15.75" customHeight="1">
      <c r="B17" s="11" t="s">
        <v>21</v>
      </c>
      <c r="C17" s="11" t="s">
        <v>22</v>
      </c>
    </row>
    <row r="18" spans="1:6" ht="15.75" customHeight="1">
      <c r="B18" s="11" t="s">
        <v>23</v>
      </c>
      <c r="C18" s="11" t="s">
        <v>24</v>
      </c>
    </row>
    <row r="19" spans="1:6" ht="15.75" customHeight="1">
      <c r="B19" s="11" t="s">
        <v>25</v>
      </c>
      <c r="C19" s="11" t="s">
        <v>26</v>
      </c>
    </row>
    <row r="20" spans="1:6" ht="15.75" customHeight="1">
      <c r="B20" s="11" t="s">
        <v>27</v>
      </c>
      <c r="C20" s="11" t="s">
        <v>28</v>
      </c>
    </row>
    <row r="21" spans="1:6" ht="15.75" customHeight="1">
      <c r="B21" s="11" t="s">
        <v>29</v>
      </c>
      <c r="C21" s="11" t="s">
        <v>30</v>
      </c>
    </row>
    <row r="22" spans="1:6" ht="15.75" customHeight="1">
      <c r="B22" s="11" t="s">
        <v>31</v>
      </c>
      <c r="C22" s="11" t="s">
        <v>32</v>
      </c>
    </row>
    <row r="23" spans="1:6" ht="15.75" customHeight="1">
      <c r="B23" s="11" t="s">
        <v>33</v>
      </c>
      <c r="C23" s="11" t="s">
        <v>34</v>
      </c>
    </row>
    <row r="24" spans="1:6" ht="15.75" customHeight="1">
      <c r="A24" s="13"/>
      <c r="B24" s="14" t="s">
        <v>35</v>
      </c>
      <c r="C24" s="14" t="s">
        <v>36</v>
      </c>
      <c r="D24" s="13"/>
      <c r="E24" s="13"/>
      <c r="F24" s="13"/>
    </row>
    <row r="25" spans="1:6" ht="15.75" customHeight="1">
      <c r="B25" s="11" t="s">
        <v>37</v>
      </c>
      <c r="C25" s="11" t="s">
        <v>38</v>
      </c>
    </row>
    <row r="26" spans="1:6" ht="15.75" customHeight="1">
      <c r="B26" s="11" t="s">
        <v>39</v>
      </c>
      <c r="C26" s="11" t="s">
        <v>40</v>
      </c>
    </row>
    <row r="27" spans="1:6" ht="15.75" customHeight="1">
      <c r="B27" s="11" t="s">
        <v>41</v>
      </c>
      <c r="C27" s="11" t="s">
        <v>42</v>
      </c>
    </row>
    <row r="28" spans="1:6" ht="15.75" customHeight="1">
      <c r="B28" s="11" t="s">
        <v>43</v>
      </c>
      <c r="C28" s="11" t="s">
        <v>44</v>
      </c>
    </row>
    <row r="29" spans="1:6" ht="15.75" customHeight="1">
      <c r="B29" s="11" t="s">
        <v>45</v>
      </c>
      <c r="C29" s="11" t="s">
        <v>46</v>
      </c>
    </row>
    <row r="30" spans="1:6" ht="15.75" customHeight="1">
      <c r="B30" s="15"/>
      <c r="C30" s="11"/>
    </row>
  </sheetData>
  <hyperlinks>
    <hyperlink ref="C5" location="License!A1" display="tl:dr; You can modify, edit, use, and share within your company (and with third-parties as needed to operate your business). You may not redistribute, resell, give away to others. Full license._x000a_" xr:uid="{00000000-0004-0000-0000-000000000000}"/>
    <hyperlink ref="C6" r:id="rId1" xr:uid="{00000000-0004-0000-0000-000001000000}"/>
    <hyperlink ref="C7" location="License!A1" display="File &gt; Make a Copy to copy it to your own Google Drive, or File &gt; Download to download this to use in Excel or other spreadsheet programs. See License for warranties and liabilities._x000a_" xr:uid="{00000000-0004-0000-0000-000002000000}"/>
    <hyperlink ref="C8" r:id="rId2" xr:uid="{00000000-0004-0000-0000-000003000000}"/>
    <hyperlink ref="C9" location="null!A1" display="Check out the Resources for other resources for modeling venture funds, and check out Foresight's Venture Investor Model for a more detailed fund model with financial statements, management company budgeting, and more._x000a_" xr:uid="{00000000-0004-0000-0000-000004000000}"/>
    <hyperlink ref="C10" r:id="rId3" xr:uid="{00000000-0004-0000-0000-000005000000}"/>
    <hyperlink ref="C15" r:id="rId4" xr:uid="{00000000-0004-0000-0000-000006000000}"/>
    <hyperlink ref="C16" r:id="rId5" xr:uid="{00000000-0004-0000-0000-000007000000}"/>
  </hyperlinks>
  <pageMargins left="0.7" right="0.7" top="0.75" bottom="0.75" header="0.3" footer="0.3"/>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2.6640625" defaultRowHeight="15.75" customHeight="1"/>
  <cols>
    <col min="1" max="1" width="2.83203125" customWidth="1"/>
    <col min="2" max="2" width="79.1640625" customWidth="1"/>
  </cols>
  <sheetData>
    <row r="1" spans="1:2" ht="29.25" customHeight="1">
      <c r="A1" s="2"/>
      <c r="B1" s="2" t="s">
        <v>47</v>
      </c>
    </row>
    <row r="2" spans="1:2" ht="19.5" customHeight="1">
      <c r="A2" s="16"/>
      <c r="B2" s="17" t="s">
        <v>48</v>
      </c>
    </row>
    <row r="3" spans="1:2" ht="13">
      <c r="A3" s="18"/>
      <c r="B3" s="18"/>
    </row>
    <row r="4" spans="1:2" ht="98">
      <c r="A4" s="18"/>
      <c r="B4" s="18" t="s">
        <v>49</v>
      </c>
    </row>
    <row r="5" spans="1:2" ht="13">
      <c r="A5" s="18"/>
      <c r="B5" s="18"/>
    </row>
    <row r="6" spans="1:2" ht="14">
      <c r="A6" s="18"/>
      <c r="B6" s="18" t="s">
        <v>50</v>
      </c>
    </row>
    <row r="7" spans="1:2" ht="13">
      <c r="A7" s="18"/>
      <c r="B7" s="18"/>
    </row>
    <row r="8" spans="1:2" ht="14">
      <c r="A8" s="18"/>
      <c r="B8" s="18" t="s">
        <v>51</v>
      </c>
    </row>
    <row r="9" spans="1:2" ht="28">
      <c r="A9" s="18"/>
      <c r="B9" s="18" t="s">
        <v>52</v>
      </c>
    </row>
    <row r="10" spans="1:2" ht="14">
      <c r="A10" s="18"/>
      <c r="B10" s="18" t="s">
        <v>53</v>
      </c>
    </row>
    <row r="11" spans="1:2" ht="14">
      <c r="A11" s="18"/>
      <c r="B11" s="18" t="s">
        <v>54</v>
      </c>
    </row>
    <row r="12" spans="1:2" ht="14">
      <c r="A12" s="18"/>
      <c r="B12" s="18" t="s">
        <v>55</v>
      </c>
    </row>
    <row r="13" spans="1:2" ht="13">
      <c r="A13" s="18"/>
      <c r="B13" s="18"/>
    </row>
    <row r="14" spans="1:2" ht="14">
      <c r="A14" s="18"/>
      <c r="B14" s="18" t="s">
        <v>56</v>
      </c>
    </row>
    <row r="15" spans="1:2" ht="14">
      <c r="A15" s="18"/>
      <c r="B15" s="18" t="s">
        <v>57</v>
      </c>
    </row>
    <row r="16" spans="1:2" ht="28">
      <c r="A16" s="18"/>
      <c r="B16" s="18" t="s">
        <v>58</v>
      </c>
    </row>
    <row r="17" spans="1:2" ht="14">
      <c r="A17" s="18"/>
      <c r="B17" s="18" t="s">
        <v>59</v>
      </c>
    </row>
    <row r="18" spans="1:2" ht="28">
      <c r="A18" s="18"/>
      <c r="B18" s="18" t="s">
        <v>60</v>
      </c>
    </row>
    <row r="19" spans="1:2" ht="28">
      <c r="A19" s="18"/>
      <c r="B19" s="18" t="s">
        <v>61</v>
      </c>
    </row>
    <row r="20" spans="1:2" ht="14">
      <c r="A20" s="18"/>
      <c r="B20" s="18" t="s">
        <v>62</v>
      </c>
    </row>
    <row r="21" spans="1:2" ht="28">
      <c r="A21" s="18"/>
      <c r="B21" s="18" t="s">
        <v>63</v>
      </c>
    </row>
    <row r="22" spans="1:2" ht="13">
      <c r="A22" s="18"/>
      <c r="B22" s="18"/>
    </row>
    <row r="23" spans="1:2" ht="154">
      <c r="A23" s="18"/>
      <c r="B23" s="18" t="s">
        <v>64</v>
      </c>
    </row>
    <row r="24" spans="1:2" ht="13">
      <c r="A24" s="18"/>
      <c r="B24" s="18"/>
    </row>
    <row r="25" spans="1:2" ht="112">
      <c r="A25" s="18"/>
      <c r="B25" s="18" t="s">
        <v>65</v>
      </c>
    </row>
    <row r="26" spans="1:2" ht="13">
      <c r="A26" s="18"/>
      <c r="B26" s="18"/>
    </row>
    <row r="27" spans="1:2" ht="84">
      <c r="A27" s="18"/>
      <c r="B27" s="18" t="s">
        <v>66</v>
      </c>
    </row>
    <row r="28" spans="1:2" ht="13">
      <c r="A28" s="18"/>
      <c r="B28" s="18"/>
    </row>
    <row r="29" spans="1:2" ht="84">
      <c r="A29" s="18"/>
      <c r="B29" s="18" t="s">
        <v>67</v>
      </c>
    </row>
  </sheetData>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32"/>
  <sheetViews>
    <sheetView showGridLines="0" workbookViewId="0">
      <selection activeCell="G28" sqref="G28"/>
    </sheetView>
  </sheetViews>
  <sheetFormatPr baseColWidth="10" defaultColWidth="12.6640625" defaultRowHeight="15.75" customHeight="1" outlineLevelRow="1"/>
  <cols>
    <col min="1" max="1" width="4.33203125" customWidth="1"/>
    <col min="2" max="2" width="41.6640625" customWidth="1"/>
    <col min="3" max="4" width="3.1640625" customWidth="1"/>
    <col min="5" max="8" width="14.33203125" customWidth="1"/>
    <col min="9" max="9" width="11.1640625" customWidth="1"/>
    <col min="10" max="10" width="8.33203125" customWidth="1"/>
    <col min="11" max="11" width="79.1640625" customWidth="1"/>
  </cols>
  <sheetData>
    <row r="1" spans="2:11" ht="15.75" customHeight="1">
      <c r="C1" s="19"/>
    </row>
    <row r="2" spans="2:11">
      <c r="B2" s="2" t="s">
        <v>21</v>
      </c>
      <c r="C2" s="19"/>
    </row>
    <row r="3" spans="2:11" ht="15.75" customHeight="1">
      <c r="B3" s="20" t="s">
        <v>68</v>
      </c>
      <c r="C3" s="19"/>
    </row>
    <row r="4" spans="2:11">
      <c r="B4" s="21"/>
    </row>
    <row r="5" spans="2:11">
      <c r="B5" s="21" t="s">
        <v>69</v>
      </c>
    </row>
    <row r="6" spans="2:11" ht="15.75" customHeight="1">
      <c r="B6" s="20" t="s">
        <v>70</v>
      </c>
      <c r="C6" s="19"/>
      <c r="D6" s="1"/>
      <c r="E6" s="1"/>
      <c r="F6" s="1"/>
    </row>
    <row r="7" spans="2:11" ht="15.75" customHeight="1">
      <c r="B7" s="15"/>
      <c r="C7" s="19"/>
      <c r="D7" s="1"/>
      <c r="E7" s="1"/>
      <c r="F7" s="1"/>
    </row>
    <row r="8" spans="2:11" ht="15.75" customHeight="1">
      <c r="B8" s="22" t="s">
        <v>71</v>
      </c>
      <c r="C8" s="23" t="s">
        <v>72</v>
      </c>
      <c r="D8" s="24"/>
      <c r="E8" s="24" t="s">
        <v>73</v>
      </c>
      <c r="F8" s="24" t="s">
        <v>37</v>
      </c>
      <c r="K8" s="25" t="s">
        <v>74</v>
      </c>
    </row>
    <row r="9" spans="2:11" ht="15.75" customHeight="1">
      <c r="B9" s="15" t="s">
        <v>75</v>
      </c>
      <c r="C9" s="26" t="s">
        <v>76</v>
      </c>
      <c r="D9" s="27"/>
      <c r="E9" s="28">
        <v>25000000</v>
      </c>
      <c r="F9" s="29">
        <f>E9</f>
        <v>25000000</v>
      </c>
      <c r="K9" s="15" t="s">
        <v>77</v>
      </c>
    </row>
    <row r="10" spans="2:11" ht="15.75" customHeight="1">
      <c r="B10" s="15" t="s">
        <v>78</v>
      </c>
      <c r="C10" s="19" t="s">
        <v>79</v>
      </c>
      <c r="D10" s="30"/>
      <c r="E10" s="31">
        <v>0.02</v>
      </c>
      <c r="F10" s="29">
        <f>E10*F$9</f>
        <v>500000</v>
      </c>
      <c r="K10" s="15" t="s">
        <v>80</v>
      </c>
    </row>
    <row r="11" spans="2:11" ht="15.75" customHeight="1">
      <c r="B11" s="15" t="s">
        <v>81</v>
      </c>
      <c r="C11" s="32" t="str">
        <f t="shared" ref="C11:C12" si="0">C$9</f>
        <v>$</v>
      </c>
      <c r="D11" s="27"/>
      <c r="E11" s="28">
        <v>100000</v>
      </c>
      <c r="F11" s="29">
        <f>Forecast!E39</f>
        <v>100000</v>
      </c>
      <c r="K11" s="15" t="s">
        <v>82</v>
      </c>
    </row>
    <row r="12" spans="2:11" ht="15.75" customHeight="1">
      <c r="B12" s="15" t="s">
        <v>83</v>
      </c>
      <c r="C12" s="32" t="str">
        <f t="shared" si="0"/>
        <v>$</v>
      </c>
      <c r="D12" s="27"/>
      <c r="E12" s="28">
        <v>75000</v>
      </c>
      <c r="F12" s="29">
        <f>Forecast!E40</f>
        <v>750000</v>
      </c>
      <c r="I12" s="15"/>
      <c r="J12" s="15"/>
      <c r="K12" s="15" t="s">
        <v>84</v>
      </c>
    </row>
    <row r="13" spans="2:11" ht="15.75" customHeight="1">
      <c r="B13" s="15" t="s">
        <v>85</v>
      </c>
      <c r="C13" s="19" t="s">
        <v>79</v>
      </c>
      <c r="D13" s="30"/>
      <c r="E13" s="31">
        <v>0.02</v>
      </c>
      <c r="F13" s="29">
        <f>Forecast!E41</f>
        <v>4900000</v>
      </c>
      <c r="I13" s="15"/>
      <c r="J13" s="15"/>
      <c r="K13" s="15" t="s">
        <v>86</v>
      </c>
    </row>
    <row r="14" spans="2:11" ht="15.75" customHeight="1">
      <c r="B14" s="15" t="s">
        <v>87</v>
      </c>
      <c r="C14" s="19" t="s">
        <v>79</v>
      </c>
      <c r="D14" s="30"/>
      <c r="E14" s="31">
        <v>0.2</v>
      </c>
      <c r="F14" s="29">
        <f ca="1">E124</f>
        <v>21803315</v>
      </c>
      <c r="K14" s="15" t="s">
        <v>88</v>
      </c>
    </row>
    <row r="15" spans="2:11" ht="15.75" customHeight="1">
      <c r="B15" s="15" t="s">
        <v>89</v>
      </c>
      <c r="C15" s="19" t="s">
        <v>90</v>
      </c>
      <c r="D15" s="33"/>
      <c r="E15" s="28">
        <v>16</v>
      </c>
      <c r="F15" s="34"/>
      <c r="I15" s="15"/>
      <c r="J15" s="15"/>
      <c r="K15" s="15" t="s">
        <v>91</v>
      </c>
    </row>
    <row r="16" spans="2:11" ht="15.75" customHeight="1">
      <c r="B16" s="15" t="s">
        <v>92</v>
      </c>
      <c r="C16" s="19" t="s">
        <v>90</v>
      </c>
      <c r="D16" s="33"/>
      <c r="E16" s="28">
        <v>40</v>
      </c>
      <c r="F16" s="34"/>
      <c r="I16" s="34"/>
      <c r="J16" s="34"/>
      <c r="K16" s="34" t="s">
        <v>93</v>
      </c>
    </row>
    <row r="17" spans="2:11" ht="15.75" customHeight="1">
      <c r="B17" s="15" t="s">
        <v>94</v>
      </c>
      <c r="C17" s="19" t="s">
        <v>90</v>
      </c>
      <c r="D17" s="33"/>
      <c r="E17" s="28">
        <f>E15+MAX(H109:H112)</f>
        <v>40</v>
      </c>
      <c r="K17" s="34" t="s">
        <v>95</v>
      </c>
    </row>
    <row r="18" spans="2:11" ht="15.75" customHeight="1">
      <c r="B18" s="15" t="s">
        <v>96</v>
      </c>
      <c r="C18" s="19" t="s">
        <v>90</v>
      </c>
      <c r="D18" s="34"/>
      <c r="E18" s="29">
        <f>MAX(0,E17-E16)</f>
        <v>0</v>
      </c>
      <c r="F18" s="34"/>
      <c r="I18" s="15"/>
      <c r="J18" s="15"/>
      <c r="K18" s="15" t="s">
        <v>97</v>
      </c>
    </row>
    <row r="19" spans="2:11" ht="15.75" customHeight="1">
      <c r="B19" s="15"/>
      <c r="C19" s="34"/>
      <c r="D19" s="34"/>
      <c r="E19" s="34"/>
      <c r="F19" s="34"/>
      <c r="I19" s="15"/>
      <c r="J19" s="15"/>
    </row>
    <row r="20" spans="2:11" ht="15.75" customHeight="1">
      <c r="B20" s="15"/>
      <c r="C20" s="34"/>
      <c r="D20" s="34"/>
      <c r="E20" s="34"/>
      <c r="F20" s="34"/>
      <c r="I20" s="15"/>
      <c r="J20" s="15"/>
    </row>
    <row r="21" spans="2:11">
      <c r="B21" s="21" t="s">
        <v>98</v>
      </c>
      <c r="C21" s="34"/>
      <c r="D21" s="34"/>
      <c r="E21" s="34"/>
      <c r="F21" s="34"/>
      <c r="I21" s="15"/>
      <c r="J21" s="15"/>
    </row>
    <row r="22" spans="2:11" ht="15.75" customHeight="1">
      <c r="B22" s="20" t="s">
        <v>99</v>
      </c>
      <c r="C22" s="34"/>
      <c r="D22" s="34"/>
      <c r="E22" s="34"/>
      <c r="F22" s="34"/>
      <c r="I22" s="15"/>
      <c r="J22" s="15"/>
      <c r="K22" s="15" t="s">
        <v>100</v>
      </c>
    </row>
    <row r="23" spans="2:11" ht="15.75" customHeight="1">
      <c r="B23" s="15"/>
      <c r="C23" s="34"/>
      <c r="D23" s="34"/>
      <c r="F23" s="34"/>
      <c r="I23" s="15"/>
      <c r="J23" s="15"/>
    </row>
    <row r="24" spans="2:11" ht="15.75" customHeight="1">
      <c r="B24" s="22" t="s">
        <v>71</v>
      </c>
      <c r="C24" s="23" t="s">
        <v>72</v>
      </c>
      <c r="D24" s="24"/>
      <c r="E24" s="24" t="s">
        <v>73</v>
      </c>
      <c r="F24" s="24" t="s">
        <v>37</v>
      </c>
      <c r="K24" s="25" t="s">
        <v>74</v>
      </c>
    </row>
    <row r="25" spans="2:11" ht="15.75" customHeight="1">
      <c r="B25" s="15" t="str">
        <f>"Target recycling %, and max achievable"</f>
        <v>Target recycling %, and max achievable</v>
      </c>
      <c r="C25" s="19" t="s">
        <v>79</v>
      </c>
      <c r="D25" s="30"/>
      <c r="E25" s="31">
        <v>0.25</v>
      </c>
      <c r="F25" s="35">
        <f ca="1">IFERROR(F29/F26,0)</f>
        <v>3.85E-2</v>
      </c>
      <c r="I25" s="15"/>
      <c r="J25" s="15"/>
      <c r="K25" s="15" t="s">
        <v>101</v>
      </c>
    </row>
    <row r="26" spans="2:11" ht="15.75" customHeight="1">
      <c r="B26" s="15" t="str">
        <f>"... based on "&amp;E26</f>
        <v>... based on committed capital</v>
      </c>
      <c r="C26" s="32" t="s">
        <v>102</v>
      </c>
      <c r="D26" s="34"/>
      <c r="E26" s="36" t="s">
        <v>103</v>
      </c>
      <c r="F26" s="37">
        <f>IF(E26="management fees",F13,F9)</f>
        <v>25000000</v>
      </c>
      <c r="I26" s="15"/>
      <c r="J26" s="15"/>
      <c r="K26" s="15" t="s">
        <v>104</v>
      </c>
    </row>
    <row r="27" spans="2:11" ht="15.75" customHeight="1">
      <c r="B27" s="15" t="str">
        <f>"... from exits "&amp;E27&amp;" quarters or less post-investment"</f>
        <v>... from exits 24 quarters or less post-investment</v>
      </c>
      <c r="C27" s="19" t="s">
        <v>90</v>
      </c>
      <c r="D27" s="34"/>
      <c r="E27" s="28">
        <f>6*4</f>
        <v>24</v>
      </c>
      <c r="F27" s="37">
        <f ca="1">Forecast!E204</f>
        <v>134979075</v>
      </c>
      <c r="I27" s="15"/>
      <c r="J27" s="15"/>
      <c r="K27" s="15" t="s">
        <v>105</v>
      </c>
    </row>
    <row r="28" spans="2:11" ht="15.75" customHeight="1">
      <c r="B28" s="15" t="str">
        <f>"... up to the amount of "&amp;E28&amp;" per investment exited"</f>
        <v>... up to the amount of invested capital per investment exited</v>
      </c>
      <c r="C28" s="32" t="s">
        <v>102</v>
      </c>
      <c r="D28" s="34"/>
      <c r="E28" s="38" t="s">
        <v>106</v>
      </c>
      <c r="F28" s="29">
        <f ca="1">IF(E28="invested capital",Forecast!E206,IF(E28="invested capital plus cost basis",Forecast!E205,Forecast!E204))</f>
        <v>8085000</v>
      </c>
      <c r="I28" s="15"/>
      <c r="J28" s="15"/>
      <c r="K28" s="15" t="s">
        <v>107</v>
      </c>
    </row>
    <row r="29" spans="2:11" ht="15.75" customHeight="1">
      <c r="B29" s="15" t="str">
        <f>"... able to invest in "&amp;E29</f>
        <v>... able to invest in new investments</v>
      </c>
      <c r="C29" s="32" t="s">
        <v>102</v>
      </c>
      <c r="D29" s="34"/>
      <c r="E29" s="38" t="s">
        <v>578</v>
      </c>
      <c r="F29" s="37">
        <f ca="1">Forecast!E42</f>
        <v>962500</v>
      </c>
      <c r="I29" s="15"/>
      <c r="J29" s="15"/>
      <c r="K29" s="15" t="s">
        <v>108</v>
      </c>
    </row>
    <row r="30" spans="2:11" ht="15.75" customHeight="1">
      <c r="F30" s="34"/>
      <c r="I30" s="15"/>
      <c r="J30" s="15"/>
    </row>
    <row r="31" spans="2:11" ht="15.75" customHeight="1">
      <c r="B31" s="15"/>
      <c r="C31" s="34"/>
      <c r="D31" s="34"/>
      <c r="E31" s="34"/>
      <c r="F31" s="34"/>
      <c r="I31" s="15"/>
      <c r="J31" s="15"/>
    </row>
    <row r="32" spans="2:11">
      <c r="B32" s="39" t="s">
        <v>109</v>
      </c>
    </row>
    <row r="33" spans="1:11" ht="15.75" customHeight="1">
      <c r="B33" s="40" t="s">
        <v>110</v>
      </c>
      <c r="C33" s="34"/>
      <c r="D33" s="34"/>
      <c r="E33" s="34"/>
      <c r="F33" s="34"/>
      <c r="I33" s="15"/>
      <c r="J33" s="15"/>
    </row>
    <row r="34" spans="1:11">
      <c r="B34" s="21"/>
      <c r="C34" s="34"/>
      <c r="D34" s="34"/>
      <c r="E34" s="34"/>
      <c r="F34" s="34"/>
      <c r="I34" s="15"/>
      <c r="J34" s="15"/>
    </row>
    <row r="35" spans="1:11" ht="15.75" customHeight="1">
      <c r="B35" s="41" t="s">
        <v>111</v>
      </c>
      <c r="C35" s="42"/>
      <c r="D35" s="42"/>
      <c r="E35" s="43" t="s">
        <v>112</v>
      </c>
      <c r="F35" s="43" t="s">
        <v>113</v>
      </c>
      <c r="G35" s="43" t="s">
        <v>114</v>
      </c>
      <c r="H35" s="43" t="s">
        <v>115</v>
      </c>
      <c r="I35" s="13"/>
      <c r="K35" s="13" t="s">
        <v>116</v>
      </c>
    </row>
    <row r="36" spans="1:11" ht="15.75" customHeight="1">
      <c r="B36" s="13"/>
      <c r="C36" s="13"/>
      <c r="D36" s="13"/>
      <c r="E36" s="13"/>
      <c r="F36" s="13"/>
      <c r="G36" s="13"/>
      <c r="H36" s="37"/>
      <c r="I36" s="15"/>
      <c r="K36" s="15"/>
    </row>
    <row r="37" spans="1:11" ht="15.75" customHeight="1">
      <c r="B37" s="44" t="s">
        <v>117</v>
      </c>
      <c r="C37" s="45"/>
      <c r="D37" s="45"/>
      <c r="E37" s="45"/>
      <c r="F37" s="45"/>
      <c r="G37" s="45"/>
      <c r="H37" s="45"/>
      <c r="I37" s="15"/>
      <c r="K37" s="15"/>
    </row>
    <row r="38" spans="1:11" ht="15.75" customHeight="1">
      <c r="B38" s="13" t="s">
        <v>118</v>
      </c>
      <c r="C38" s="45" t="s">
        <v>79</v>
      </c>
      <c r="D38" s="34"/>
      <c r="E38" s="46">
        <v>0.6</v>
      </c>
      <c r="F38" s="46">
        <v>0.2</v>
      </c>
      <c r="G38" s="46">
        <v>0.1</v>
      </c>
      <c r="H38" s="35">
        <f>1-SUM(E38:G38)</f>
        <v>9.9999999999999978E-2</v>
      </c>
      <c r="I38" s="13"/>
      <c r="K38" s="15" t="s">
        <v>119</v>
      </c>
    </row>
    <row r="39" spans="1:11" ht="15.75" customHeight="1">
      <c r="B39" s="13" t="s">
        <v>120</v>
      </c>
      <c r="C39" s="45" t="s">
        <v>90</v>
      </c>
      <c r="D39" s="34"/>
      <c r="E39" s="37">
        <f t="shared" ref="E39:H39" ca="1" si="1">E42*$E122/E78</f>
        <v>24.254999999999999</v>
      </c>
      <c r="F39" s="37">
        <f t="shared" ca="1" si="1"/>
        <v>8.0850000000000009</v>
      </c>
      <c r="G39" s="37">
        <f t="shared" ca="1" si="1"/>
        <v>4.0425000000000004</v>
      </c>
      <c r="H39" s="37">
        <f t="shared" ca="1" si="1"/>
        <v>4.0424999999999986</v>
      </c>
      <c r="I39" s="13"/>
      <c r="K39" s="15" t="s">
        <v>121</v>
      </c>
    </row>
    <row r="40" spans="1:11" ht="15.75" customHeight="1" outlineLevel="1">
      <c r="B40" s="13" t="s">
        <v>122</v>
      </c>
      <c r="C40" s="45" t="s">
        <v>79</v>
      </c>
      <c r="D40" s="34"/>
      <c r="E40" s="35">
        <f t="shared" ref="E40:H40" si="2">$E101/E78</f>
        <v>1</v>
      </c>
      <c r="F40" s="35">
        <f t="shared" si="2"/>
        <v>1</v>
      </c>
      <c r="G40" s="35">
        <f t="shared" si="2"/>
        <v>1</v>
      </c>
      <c r="H40" s="35">
        <f t="shared" si="2"/>
        <v>1</v>
      </c>
      <c r="I40" s="13"/>
      <c r="K40" s="15" t="s">
        <v>123</v>
      </c>
    </row>
    <row r="41" spans="1:11" ht="15.75" customHeight="1" outlineLevel="1">
      <c r="B41" s="13" t="s">
        <v>124</v>
      </c>
      <c r="C41" s="45" t="s">
        <v>79</v>
      </c>
      <c r="E41" s="47">
        <f t="shared" ref="E41:H41" si="3">E38/E40</f>
        <v>0.6</v>
      </c>
      <c r="F41" s="47">
        <f t="shared" si="3"/>
        <v>0.2</v>
      </c>
      <c r="G41" s="47">
        <f t="shared" si="3"/>
        <v>0.1</v>
      </c>
      <c r="H41" s="47">
        <f t="shared" si="3"/>
        <v>9.9999999999999978E-2</v>
      </c>
      <c r="K41" s="15" t="s">
        <v>123</v>
      </c>
    </row>
    <row r="42" spans="1:11" ht="15.75" customHeight="1" outlineLevel="1">
      <c r="A42" s="13"/>
      <c r="B42" s="13" t="s">
        <v>125</v>
      </c>
      <c r="C42" s="45" t="s">
        <v>79</v>
      </c>
      <c r="D42" s="48"/>
      <c r="E42" s="35">
        <f t="shared" ref="E42:H42" si="4">E41/SUM($E41:$H41)</f>
        <v>0.6</v>
      </c>
      <c r="F42" s="35">
        <f t="shared" si="4"/>
        <v>0.2</v>
      </c>
      <c r="G42" s="35">
        <f t="shared" si="4"/>
        <v>0.1</v>
      </c>
      <c r="H42" s="35">
        <f t="shared" si="4"/>
        <v>9.9999999999999978E-2</v>
      </c>
      <c r="K42" s="13" t="s">
        <v>126</v>
      </c>
    </row>
    <row r="43" spans="1:11" ht="15.75" customHeight="1" outlineLevel="1">
      <c r="B43" s="13" t="s">
        <v>127</v>
      </c>
      <c r="C43" s="45" t="s">
        <v>79</v>
      </c>
      <c r="D43" s="45"/>
      <c r="E43" s="47">
        <f t="shared" ref="E43:H43" si="5">1/(1+E53*E54/E48+E63*E64/E48)*E42</f>
        <v>0.6</v>
      </c>
      <c r="F43" s="47">
        <f t="shared" si="5"/>
        <v>0.2</v>
      </c>
      <c r="G43" s="47">
        <f t="shared" si="5"/>
        <v>0.1</v>
      </c>
      <c r="H43" s="47">
        <f t="shared" si="5"/>
        <v>9.9999999999999978E-2</v>
      </c>
      <c r="K43" s="15"/>
    </row>
    <row r="44" spans="1:11" ht="15.75" customHeight="1" outlineLevel="1">
      <c r="B44" s="13" t="s">
        <v>128</v>
      </c>
      <c r="C44" s="45" t="s">
        <v>79</v>
      </c>
      <c r="D44" s="45"/>
      <c r="E44" s="47">
        <f t="shared" ref="E44:H44" si="6">IFERROR(E53*E54/E48*E43,0)</f>
        <v>0</v>
      </c>
      <c r="F44" s="47">
        <f t="shared" si="6"/>
        <v>0</v>
      </c>
      <c r="G44" s="47">
        <f t="shared" si="6"/>
        <v>0</v>
      </c>
      <c r="H44" s="47">
        <f t="shared" si="6"/>
        <v>0</v>
      </c>
      <c r="K44" s="15"/>
    </row>
    <row r="45" spans="1:11" ht="15.75" customHeight="1" outlineLevel="1">
      <c r="B45" s="13" t="s">
        <v>129</v>
      </c>
      <c r="C45" s="45" t="s">
        <v>79</v>
      </c>
      <c r="D45" s="45"/>
      <c r="E45" s="47">
        <f t="shared" ref="E45:H45" si="7">IFERROR(E63*E64/E48*E43,0)</f>
        <v>0</v>
      </c>
      <c r="F45" s="47">
        <f t="shared" si="7"/>
        <v>0</v>
      </c>
      <c r="G45" s="47">
        <f t="shared" si="7"/>
        <v>0</v>
      </c>
      <c r="H45" s="47">
        <f t="shared" si="7"/>
        <v>0</v>
      </c>
      <c r="K45" s="15"/>
    </row>
    <row r="46" spans="1:11" ht="15.75" customHeight="1">
      <c r="B46" s="44"/>
      <c r="C46" s="45"/>
      <c r="D46" s="45"/>
      <c r="E46" s="45"/>
      <c r="F46" s="45"/>
      <c r="G46" s="45"/>
      <c r="H46" s="45"/>
      <c r="I46" s="15"/>
      <c r="K46" s="15"/>
    </row>
    <row r="47" spans="1:11" ht="15.75" customHeight="1">
      <c r="B47" s="44" t="s">
        <v>130</v>
      </c>
      <c r="C47" s="45"/>
      <c r="D47" s="45"/>
      <c r="E47" s="45"/>
      <c r="F47" s="45"/>
      <c r="G47" s="45"/>
      <c r="H47" s="45"/>
      <c r="I47" s="15"/>
      <c r="K47" s="15"/>
    </row>
    <row r="48" spans="1:11" ht="15.75" customHeight="1">
      <c r="B48" s="13" t="s">
        <v>131</v>
      </c>
      <c r="C48" s="45" t="str">
        <f t="shared" ref="C48:C50" si="8">C$9</f>
        <v>$</v>
      </c>
      <c r="D48" s="48"/>
      <c r="E48" s="29">
        <f t="shared" ref="E48:H48" si="9">E49*E50</f>
        <v>500000</v>
      </c>
      <c r="F48" s="29">
        <f t="shared" si="9"/>
        <v>500000</v>
      </c>
      <c r="G48" s="29">
        <f t="shared" si="9"/>
        <v>500000</v>
      </c>
      <c r="H48" s="29">
        <f t="shared" si="9"/>
        <v>500000</v>
      </c>
      <c r="I48" s="15"/>
      <c r="K48" s="15" t="s">
        <v>132</v>
      </c>
    </row>
    <row r="49" spans="1:11" ht="15.75" customHeight="1">
      <c r="B49" s="13" t="s">
        <v>133</v>
      </c>
      <c r="C49" s="45" t="str">
        <f t="shared" si="8"/>
        <v>$</v>
      </c>
      <c r="D49" s="48"/>
      <c r="E49" s="49">
        <v>5000000</v>
      </c>
      <c r="F49" s="49">
        <v>5000000</v>
      </c>
      <c r="G49" s="49">
        <v>5000000</v>
      </c>
      <c r="H49" s="49">
        <v>5000000</v>
      </c>
      <c r="I49" s="15"/>
      <c r="K49" s="15" t="s">
        <v>134</v>
      </c>
    </row>
    <row r="50" spans="1:11" ht="15.75" customHeight="1">
      <c r="B50" s="13" t="s">
        <v>135</v>
      </c>
      <c r="C50" s="45" t="str">
        <f t="shared" si="8"/>
        <v>$</v>
      </c>
      <c r="D50" s="34"/>
      <c r="E50" s="46">
        <v>0.1</v>
      </c>
      <c r="F50" s="46">
        <v>0.1</v>
      </c>
      <c r="G50" s="46">
        <v>0.1</v>
      </c>
      <c r="H50" s="46">
        <v>0.1</v>
      </c>
      <c r="I50" s="15"/>
      <c r="K50" s="15" t="s">
        <v>136</v>
      </c>
    </row>
    <row r="51" spans="1:11" ht="15.75" customHeight="1">
      <c r="B51" s="13"/>
      <c r="C51" s="34"/>
      <c r="D51" s="34"/>
      <c r="E51" s="34"/>
      <c r="F51" s="34"/>
      <c r="I51" s="15"/>
      <c r="K51" s="15"/>
    </row>
    <row r="52" spans="1:11" ht="15.75" customHeight="1">
      <c r="A52" s="13"/>
      <c r="B52" s="44" t="s">
        <v>137</v>
      </c>
      <c r="C52" s="45"/>
      <c r="D52" s="48"/>
      <c r="E52" s="34"/>
      <c r="F52" s="34"/>
      <c r="H52" s="47"/>
      <c r="I52" s="13"/>
      <c r="K52" s="13"/>
    </row>
    <row r="53" spans="1:11" ht="15.75" customHeight="1" outlineLevel="1">
      <c r="A53" s="13"/>
      <c r="B53" s="13" t="s">
        <v>138</v>
      </c>
      <c r="C53" s="45" t="s">
        <v>79</v>
      </c>
      <c r="D53" s="48"/>
      <c r="E53" s="46">
        <v>0</v>
      </c>
      <c r="F53" s="46">
        <v>0</v>
      </c>
      <c r="G53" s="46">
        <v>0</v>
      </c>
      <c r="H53" s="46">
        <v>0</v>
      </c>
      <c r="I53" s="13"/>
      <c r="K53" s="13" t="s">
        <v>139</v>
      </c>
    </row>
    <row r="54" spans="1:11" ht="13" outlineLevel="1">
      <c r="A54" s="13"/>
      <c r="B54" s="13" t="s">
        <v>140</v>
      </c>
      <c r="C54" s="45" t="str">
        <f>C$9</f>
        <v>$</v>
      </c>
      <c r="E54" s="49">
        <f t="shared" ref="E54:H54" si="10">E56*E57*E50</f>
        <v>400000</v>
      </c>
      <c r="F54" s="49">
        <f t="shared" si="10"/>
        <v>400000</v>
      </c>
      <c r="G54" s="49">
        <f t="shared" si="10"/>
        <v>400000</v>
      </c>
      <c r="H54" s="49">
        <f t="shared" si="10"/>
        <v>400000</v>
      </c>
      <c r="I54" s="13"/>
      <c r="K54" s="13" t="s">
        <v>141</v>
      </c>
    </row>
    <row r="55" spans="1:11" ht="13" outlineLevel="1">
      <c r="A55" s="13"/>
      <c r="B55" s="15" t="s">
        <v>142</v>
      </c>
      <c r="C55" s="45" t="s">
        <v>90</v>
      </c>
      <c r="D55" s="48"/>
      <c r="E55" s="49">
        <v>0</v>
      </c>
      <c r="F55" s="49">
        <v>0</v>
      </c>
      <c r="G55" s="49">
        <v>0</v>
      </c>
      <c r="H55" s="49">
        <v>0</v>
      </c>
      <c r="I55" s="13"/>
      <c r="K55" s="13" t="s">
        <v>143</v>
      </c>
    </row>
    <row r="56" spans="1:11" ht="13" outlineLevel="1">
      <c r="A56" s="13"/>
      <c r="B56" s="13" t="s">
        <v>133</v>
      </c>
      <c r="C56" s="45" t="str">
        <f>C$9</f>
        <v>$</v>
      </c>
      <c r="D56" s="48"/>
      <c r="E56" s="49">
        <f t="shared" ref="E56:H56" si="11">E49*4</f>
        <v>20000000</v>
      </c>
      <c r="F56" s="49">
        <f t="shared" si="11"/>
        <v>20000000</v>
      </c>
      <c r="G56" s="49">
        <f t="shared" si="11"/>
        <v>20000000</v>
      </c>
      <c r="H56" s="49">
        <f t="shared" si="11"/>
        <v>20000000</v>
      </c>
      <c r="I56" s="13"/>
      <c r="K56" s="13" t="s">
        <v>144</v>
      </c>
    </row>
    <row r="57" spans="1:11" ht="13" outlineLevel="1">
      <c r="A57" s="13"/>
      <c r="B57" s="15" t="s">
        <v>145</v>
      </c>
      <c r="C57" s="45" t="s">
        <v>79</v>
      </c>
      <c r="D57" s="48"/>
      <c r="E57" s="46">
        <v>0.2</v>
      </c>
      <c r="F57" s="46">
        <v>0.2</v>
      </c>
      <c r="G57" s="46">
        <v>0.2</v>
      </c>
      <c r="H57" s="46">
        <v>0.2</v>
      </c>
      <c r="I57" s="13"/>
      <c r="K57" s="13" t="s">
        <v>146</v>
      </c>
    </row>
    <row r="58" spans="1:11" ht="13" outlineLevel="1">
      <c r="A58" s="13"/>
      <c r="B58" s="15" t="s">
        <v>147</v>
      </c>
      <c r="C58" s="45" t="s">
        <v>79</v>
      </c>
      <c r="D58" s="48"/>
      <c r="E58" s="46">
        <v>0.1</v>
      </c>
      <c r="F58" s="46">
        <v>0.1</v>
      </c>
      <c r="G58" s="46">
        <v>0.1</v>
      </c>
      <c r="H58" s="46">
        <v>0.1</v>
      </c>
      <c r="I58" s="13"/>
      <c r="K58" s="13" t="s">
        <v>148</v>
      </c>
    </row>
    <row r="59" spans="1:11" ht="13" outlineLevel="1">
      <c r="A59" s="13"/>
      <c r="B59" s="13" t="s">
        <v>149</v>
      </c>
      <c r="C59" s="45" t="s">
        <v>79</v>
      </c>
      <c r="D59" s="48"/>
      <c r="E59" s="50">
        <f t="shared" ref="E59:H59" si="12">E50*(1-E57-E58)+E54/E56</f>
        <v>9.0000000000000011E-2</v>
      </c>
      <c r="F59" s="50">
        <f t="shared" si="12"/>
        <v>9.0000000000000011E-2</v>
      </c>
      <c r="G59" s="50">
        <f t="shared" si="12"/>
        <v>9.0000000000000011E-2</v>
      </c>
      <c r="H59" s="50">
        <f t="shared" si="12"/>
        <v>9.0000000000000011E-2</v>
      </c>
      <c r="I59" s="13"/>
      <c r="K59" s="13"/>
    </row>
    <row r="60" spans="1:11" ht="13" outlineLevel="1">
      <c r="A60" s="13"/>
      <c r="B60" s="13" t="s">
        <v>150</v>
      </c>
      <c r="C60" s="45" t="s">
        <v>79</v>
      </c>
      <c r="D60" s="48"/>
      <c r="E60" s="50">
        <f t="shared" ref="E60:H60" si="13">E50*(1-E57-E58)+E54/E56*E53</f>
        <v>7.0000000000000007E-2</v>
      </c>
      <c r="F60" s="50">
        <f t="shared" si="13"/>
        <v>7.0000000000000007E-2</v>
      </c>
      <c r="G60" s="50">
        <f t="shared" si="13"/>
        <v>7.0000000000000007E-2</v>
      </c>
      <c r="H60" s="50">
        <f t="shared" si="13"/>
        <v>7.0000000000000007E-2</v>
      </c>
      <c r="I60" s="13"/>
      <c r="K60" s="13" t="s">
        <v>151</v>
      </c>
    </row>
    <row r="61" spans="1:11" ht="13" outlineLevel="1">
      <c r="A61" s="13"/>
      <c r="B61" s="13"/>
      <c r="C61" s="45"/>
      <c r="D61" s="48"/>
      <c r="E61" s="34"/>
      <c r="F61" s="34"/>
      <c r="H61" s="47"/>
      <c r="I61" s="13"/>
      <c r="K61" s="13"/>
    </row>
    <row r="62" spans="1:11" ht="13">
      <c r="A62" s="13"/>
      <c r="B62" s="44" t="s">
        <v>152</v>
      </c>
      <c r="C62" s="45"/>
      <c r="D62" s="48"/>
      <c r="E62" s="34"/>
      <c r="F62" s="34"/>
      <c r="H62" s="47"/>
      <c r="I62" s="13"/>
      <c r="K62" s="13"/>
    </row>
    <row r="63" spans="1:11" ht="13" outlineLevel="1">
      <c r="A63" s="13"/>
      <c r="B63" s="13" t="s">
        <v>138</v>
      </c>
      <c r="C63" s="45" t="s">
        <v>79</v>
      </c>
      <c r="D63" s="48"/>
      <c r="E63" s="46">
        <v>0</v>
      </c>
      <c r="F63" s="46">
        <v>0</v>
      </c>
      <c r="G63" s="46">
        <v>0</v>
      </c>
      <c r="H63" s="46">
        <v>0</v>
      </c>
      <c r="I63" s="13"/>
      <c r="K63" s="13" t="s">
        <v>139</v>
      </c>
    </row>
    <row r="64" spans="1:11" ht="13" outlineLevel="1">
      <c r="A64" s="13"/>
      <c r="B64" s="13" t="s">
        <v>153</v>
      </c>
      <c r="C64" s="45" t="str">
        <f>C$9</f>
        <v>$</v>
      </c>
      <c r="E64" s="49">
        <f t="shared" ref="E64:H64" si="14">E67*E66*E59</f>
        <v>1080000.0000000002</v>
      </c>
      <c r="F64" s="49">
        <f t="shared" si="14"/>
        <v>1080000.0000000002</v>
      </c>
      <c r="G64" s="49">
        <f t="shared" si="14"/>
        <v>1080000.0000000002</v>
      </c>
      <c r="H64" s="49">
        <f t="shared" si="14"/>
        <v>1080000.0000000002</v>
      </c>
      <c r="I64" s="13"/>
      <c r="K64" s="13" t="s">
        <v>141</v>
      </c>
    </row>
    <row r="65" spans="1:11" ht="13" outlineLevel="1">
      <c r="A65" s="13"/>
      <c r="B65" s="15" t="s">
        <v>142</v>
      </c>
      <c r="C65" s="45" t="s">
        <v>90</v>
      </c>
      <c r="D65" s="48"/>
      <c r="E65" s="49">
        <v>0</v>
      </c>
      <c r="F65" s="49">
        <v>0</v>
      </c>
      <c r="G65" s="49">
        <v>0</v>
      </c>
      <c r="H65" s="49">
        <v>0</v>
      </c>
      <c r="I65" s="13"/>
      <c r="K65" s="13" t="s">
        <v>154</v>
      </c>
    </row>
    <row r="66" spans="1:11" ht="13" outlineLevel="1">
      <c r="A66" s="13"/>
      <c r="B66" s="13" t="s">
        <v>133</v>
      </c>
      <c r="C66" s="45" t="str">
        <f>C$9</f>
        <v>$</v>
      </c>
      <c r="D66" s="48"/>
      <c r="E66" s="49">
        <f t="shared" ref="E66:H66" si="15">E56*3</f>
        <v>60000000</v>
      </c>
      <c r="F66" s="49">
        <f t="shared" si="15"/>
        <v>60000000</v>
      </c>
      <c r="G66" s="49">
        <f t="shared" si="15"/>
        <v>60000000</v>
      </c>
      <c r="H66" s="49">
        <f t="shared" si="15"/>
        <v>60000000</v>
      </c>
      <c r="I66" s="13"/>
      <c r="K66" s="13" t="s">
        <v>144</v>
      </c>
    </row>
    <row r="67" spans="1:11" ht="13" outlineLevel="1">
      <c r="A67" s="13"/>
      <c r="B67" s="15" t="s">
        <v>145</v>
      </c>
      <c r="C67" s="45" t="s">
        <v>79</v>
      </c>
      <c r="D67" s="48"/>
      <c r="E67" s="46">
        <v>0.2</v>
      </c>
      <c r="F67" s="46">
        <v>0.2</v>
      </c>
      <c r="G67" s="46">
        <v>0.2</v>
      </c>
      <c r="H67" s="46">
        <v>0.2</v>
      </c>
      <c r="I67" s="13"/>
      <c r="K67" s="13" t="s">
        <v>146</v>
      </c>
    </row>
    <row r="68" spans="1:11" ht="13" outlineLevel="1">
      <c r="A68" s="13"/>
      <c r="B68" s="15" t="s">
        <v>147</v>
      </c>
      <c r="C68" s="45" t="s">
        <v>79</v>
      </c>
      <c r="D68" s="48"/>
      <c r="E68" s="46">
        <v>0.1</v>
      </c>
      <c r="F68" s="46">
        <v>0.1</v>
      </c>
      <c r="G68" s="46">
        <v>0.1</v>
      </c>
      <c r="H68" s="46">
        <v>0.1</v>
      </c>
      <c r="I68" s="13"/>
      <c r="K68" s="13" t="s">
        <v>148</v>
      </c>
    </row>
    <row r="69" spans="1:11" ht="13" outlineLevel="1">
      <c r="A69" s="13"/>
      <c r="B69" s="13" t="s">
        <v>149</v>
      </c>
      <c r="C69" s="45" t="s">
        <v>79</v>
      </c>
      <c r="D69" s="48"/>
      <c r="E69" s="50">
        <f t="shared" ref="E69:H69" si="16">E59*(1-E67-E68)+E64/E66</f>
        <v>8.1000000000000016E-2</v>
      </c>
      <c r="F69" s="50">
        <f t="shared" si="16"/>
        <v>8.1000000000000016E-2</v>
      </c>
      <c r="G69" s="50">
        <f t="shared" si="16"/>
        <v>8.1000000000000016E-2</v>
      </c>
      <c r="H69" s="50">
        <f t="shared" si="16"/>
        <v>8.1000000000000016E-2</v>
      </c>
      <c r="I69" s="13"/>
      <c r="K69" s="13"/>
    </row>
    <row r="70" spans="1:11" ht="13" outlineLevel="1">
      <c r="A70" s="13"/>
      <c r="B70" s="13" t="s">
        <v>150</v>
      </c>
      <c r="C70" s="45" t="s">
        <v>79</v>
      </c>
      <c r="D70" s="48"/>
      <c r="E70" s="50">
        <f t="shared" ref="E70:H70" si="17">E59*(1-E67-E68)+E64/E66*E63</f>
        <v>6.3000000000000014E-2</v>
      </c>
      <c r="F70" s="50">
        <f t="shared" si="17"/>
        <v>6.3000000000000014E-2</v>
      </c>
      <c r="G70" s="50">
        <f t="shared" si="17"/>
        <v>6.3000000000000014E-2</v>
      </c>
      <c r="H70" s="50">
        <f t="shared" si="17"/>
        <v>6.3000000000000014E-2</v>
      </c>
      <c r="I70" s="13"/>
      <c r="K70" s="13" t="s">
        <v>151</v>
      </c>
    </row>
    <row r="71" spans="1:11" ht="13" outlineLevel="1">
      <c r="A71" s="13"/>
      <c r="B71" s="13"/>
      <c r="C71" s="45"/>
      <c r="D71" s="48"/>
      <c r="E71" s="34"/>
      <c r="F71" s="34"/>
      <c r="H71" s="47"/>
      <c r="I71" s="13"/>
      <c r="K71" s="13"/>
    </row>
    <row r="72" spans="1:11" ht="13">
      <c r="A72" s="13"/>
      <c r="B72" s="44" t="s">
        <v>155</v>
      </c>
      <c r="C72" s="45"/>
      <c r="D72" s="48"/>
      <c r="E72" s="34"/>
      <c r="F72" s="34"/>
      <c r="H72" s="47"/>
      <c r="I72" s="13"/>
      <c r="K72" s="13"/>
    </row>
    <row r="73" spans="1:11" ht="13" outlineLevel="1">
      <c r="A73" s="13"/>
      <c r="B73" s="15" t="s">
        <v>156</v>
      </c>
      <c r="C73" s="45" t="s">
        <v>79</v>
      </c>
      <c r="D73" s="34"/>
      <c r="E73" s="46">
        <v>0</v>
      </c>
      <c r="F73" s="46">
        <v>0.2</v>
      </c>
      <c r="G73" s="46">
        <v>0.4</v>
      </c>
      <c r="H73" s="46">
        <f>G73*2</f>
        <v>0.8</v>
      </c>
      <c r="I73" s="13"/>
      <c r="K73" s="13" t="s">
        <v>157</v>
      </c>
    </row>
    <row r="74" spans="1:11" ht="13">
      <c r="A74" s="13" t="s">
        <v>158</v>
      </c>
      <c r="B74" s="15"/>
      <c r="C74" s="45"/>
      <c r="D74" s="48"/>
      <c r="E74" s="34"/>
      <c r="H74" s="47"/>
      <c r="I74" s="13"/>
      <c r="K74" s="13"/>
    </row>
    <row r="75" spans="1:11" ht="13">
      <c r="A75" s="13"/>
      <c r="B75" s="44" t="s">
        <v>159</v>
      </c>
      <c r="C75" s="45"/>
      <c r="D75" s="48"/>
      <c r="E75" s="34"/>
      <c r="F75" s="34"/>
      <c r="H75" s="47"/>
      <c r="I75" s="13"/>
      <c r="K75" s="13"/>
    </row>
    <row r="76" spans="1:11" ht="13">
      <c r="B76" s="13" t="s">
        <v>160</v>
      </c>
      <c r="C76" s="45" t="str">
        <f>C$9</f>
        <v>$</v>
      </c>
      <c r="D76" s="34"/>
      <c r="E76" s="49">
        <v>0</v>
      </c>
      <c r="F76" s="49">
        <v>50000000</v>
      </c>
      <c r="G76" s="49">
        <v>250000000</v>
      </c>
      <c r="H76" s="49">
        <v>1500000000</v>
      </c>
      <c r="I76" s="13"/>
      <c r="K76" s="15" t="s">
        <v>161</v>
      </c>
    </row>
    <row r="77" spans="1:11" ht="13">
      <c r="B77" s="13" t="s">
        <v>162</v>
      </c>
      <c r="C77" s="45" t="s">
        <v>90</v>
      </c>
      <c r="D77" s="48"/>
      <c r="E77" s="49">
        <f>2*4</f>
        <v>8</v>
      </c>
      <c r="F77" s="51">
        <f>3*4</f>
        <v>12</v>
      </c>
      <c r="G77" s="51">
        <f>4*4</f>
        <v>16</v>
      </c>
      <c r="H77" s="51">
        <f>6*4</f>
        <v>24</v>
      </c>
      <c r="I77" s="13"/>
      <c r="K77" s="13" t="s">
        <v>163</v>
      </c>
    </row>
    <row r="78" spans="1:11" ht="13">
      <c r="B78" s="13" t="s">
        <v>164</v>
      </c>
      <c r="C78" s="45" t="str">
        <f>C$9</f>
        <v>$</v>
      </c>
      <c r="D78" s="48"/>
      <c r="E78" s="37">
        <f t="shared" ref="E78:H78" si="18">E48+E54*E53+E63*E64</f>
        <v>500000</v>
      </c>
      <c r="F78" s="37">
        <f t="shared" si="18"/>
        <v>500000</v>
      </c>
      <c r="G78" s="37">
        <f t="shared" si="18"/>
        <v>500000</v>
      </c>
      <c r="H78" s="37">
        <f t="shared" si="18"/>
        <v>500000</v>
      </c>
      <c r="I78" s="13"/>
      <c r="K78" s="13" t="s">
        <v>165</v>
      </c>
    </row>
    <row r="79" spans="1:11" ht="13">
      <c r="B79" s="13" t="s">
        <v>166</v>
      </c>
      <c r="C79" s="45" t="s">
        <v>79</v>
      </c>
      <c r="D79" s="48"/>
      <c r="E79" s="50">
        <f t="shared" ref="E79:H79" si="19">E70*(1-E73)</f>
        <v>6.3000000000000014E-2</v>
      </c>
      <c r="F79" s="50">
        <f t="shared" si="19"/>
        <v>5.0400000000000014E-2</v>
      </c>
      <c r="G79" s="50">
        <f t="shared" si="19"/>
        <v>3.7800000000000007E-2</v>
      </c>
      <c r="H79" s="50">
        <f t="shared" si="19"/>
        <v>1.26E-2</v>
      </c>
      <c r="I79" s="13"/>
      <c r="K79" s="13" t="s">
        <v>167</v>
      </c>
    </row>
    <row r="80" spans="1:11" ht="13">
      <c r="B80" s="13" t="s">
        <v>168</v>
      </c>
      <c r="C80" s="45" t="str">
        <f t="shared" ref="C80:C81" si="20">C$9</f>
        <v>$</v>
      </c>
      <c r="D80" s="34"/>
      <c r="E80" s="37">
        <f t="shared" ref="E80:H80" si="21">E79*E76</f>
        <v>0</v>
      </c>
      <c r="F80" s="37">
        <f t="shared" si="21"/>
        <v>2520000.0000000009</v>
      </c>
      <c r="G80" s="37">
        <f t="shared" si="21"/>
        <v>9450000.0000000019</v>
      </c>
      <c r="H80" s="37">
        <f t="shared" si="21"/>
        <v>18900000</v>
      </c>
      <c r="I80" s="13"/>
      <c r="K80" s="15" t="s">
        <v>169</v>
      </c>
    </row>
    <row r="81" spans="2:11" ht="13">
      <c r="B81" s="13" t="s">
        <v>170</v>
      </c>
      <c r="C81" s="45" t="str">
        <f t="shared" si="20"/>
        <v>$</v>
      </c>
      <c r="D81" s="34"/>
      <c r="E81" s="37">
        <f t="shared" ref="E81:H81" ca="1" si="22">E39*E48</f>
        <v>12127500</v>
      </c>
      <c r="F81" s="37">
        <f t="shared" ca="1" si="22"/>
        <v>4042500.0000000005</v>
      </c>
      <c r="G81" s="37">
        <f t="shared" ca="1" si="22"/>
        <v>2021250.0000000002</v>
      </c>
      <c r="H81" s="37">
        <f t="shared" ca="1" si="22"/>
        <v>2021249.9999999993</v>
      </c>
      <c r="I81" s="13"/>
      <c r="K81" s="15" t="s">
        <v>171</v>
      </c>
    </row>
    <row r="82" spans="2:11" ht="13">
      <c r="B82" s="15" t="str">
        <f>"% of "&amp;B$89</f>
        <v>% of Total Invested Capital</v>
      </c>
      <c r="C82" s="45" t="s">
        <v>79</v>
      </c>
      <c r="D82" s="34"/>
      <c r="E82" s="47">
        <f t="shared" ref="E82:H82" si="23">E43</f>
        <v>0.6</v>
      </c>
      <c r="F82" s="47">
        <f t="shared" si="23"/>
        <v>0.2</v>
      </c>
      <c r="G82" s="47">
        <f t="shared" si="23"/>
        <v>0.1</v>
      </c>
      <c r="H82" s="47">
        <f t="shared" si="23"/>
        <v>9.9999999999999978E-2</v>
      </c>
      <c r="I82" s="13"/>
      <c r="K82" s="15" t="s">
        <v>172</v>
      </c>
    </row>
    <row r="83" spans="2:11" ht="13">
      <c r="B83" s="13" t="s">
        <v>173</v>
      </c>
      <c r="C83" s="45" t="str">
        <f>C$9</f>
        <v>$</v>
      </c>
      <c r="D83" s="34"/>
      <c r="E83" s="37">
        <f t="shared" ref="E83:H83" ca="1" si="24">E39*E53*E54</f>
        <v>0</v>
      </c>
      <c r="F83" s="37">
        <f t="shared" ca="1" si="24"/>
        <v>0</v>
      </c>
      <c r="G83" s="37">
        <f t="shared" ca="1" si="24"/>
        <v>0</v>
      </c>
      <c r="H83" s="37">
        <f t="shared" ca="1" si="24"/>
        <v>0</v>
      </c>
      <c r="I83" s="13"/>
      <c r="K83" s="15" t="s">
        <v>174</v>
      </c>
    </row>
    <row r="84" spans="2:11" ht="13">
      <c r="B84" s="15" t="str">
        <f>"% of "&amp;B$89</f>
        <v>% of Total Invested Capital</v>
      </c>
      <c r="C84" s="45" t="s">
        <v>79</v>
      </c>
      <c r="D84" s="34"/>
      <c r="E84" s="47">
        <f t="shared" ref="E84:H84" si="25">E44</f>
        <v>0</v>
      </c>
      <c r="F84" s="47">
        <f t="shared" si="25"/>
        <v>0</v>
      </c>
      <c r="G84" s="47">
        <f t="shared" si="25"/>
        <v>0</v>
      </c>
      <c r="H84" s="47">
        <f t="shared" si="25"/>
        <v>0</v>
      </c>
      <c r="I84" s="13"/>
      <c r="K84" s="15" t="s">
        <v>172</v>
      </c>
    </row>
    <row r="85" spans="2:11" ht="13">
      <c r="B85" s="13" t="s">
        <v>175</v>
      </c>
      <c r="C85" s="45" t="str">
        <f>C$9</f>
        <v>$</v>
      </c>
      <c r="D85" s="34"/>
      <c r="E85" s="37">
        <f t="shared" ref="E85:H85" ca="1" si="26">E39*E63*E64</f>
        <v>0</v>
      </c>
      <c r="F85" s="37">
        <f t="shared" ca="1" si="26"/>
        <v>0</v>
      </c>
      <c r="G85" s="37">
        <f t="shared" ca="1" si="26"/>
        <v>0</v>
      </c>
      <c r="H85" s="37">
        <f t="shared" ca="1" si="26"/>
        <v>0</v>
      </c>
      <c r="I85" s="13"/>
      <c r="K85" s="15" t="s">
        <v>176</v>
      </c>
    </row>
    <row r="86" spans="2:11" ht="13">
      <c r="B86" s="15" t="str">
        <f>"% of "&amp;B$89</f>
        <v>% of Total Invested Capital</v>
      </c>
      <c r="C86" s="45" t="s">
        <v>79</v>
      </c>
      <c r="D86" s="34"/>
      <c r="E86" s="47">
        <f t="shared" ref="E86:H86" si="27">E45</f>
        <v>0</v>
      </c>
      <c r="F86" s="47">
        <f t="shared" si="27"/>
        <v>0</v>
      </c>
      <c r="G86" s="47">
        <f t="shared" si="27"/>
        <v>0</v>
      </c>
      <c r="H86" s="47">
        <f t="shared" si="27"/>
        <v>0</v>
      </c>
      <c r="I86" s="13"/>
      <c r="K86" s="15" t="s">
        <v>172</v>
      </c>
    </row>
    <row r="87" spans="2:11" ht="13">
      <c r="B87" s="13" t="s">
        <v>177</v>
      </c>
      <c r="C87" s="45" t="str">
        <f>C$9</f>
        <v>$</v>
      </c>
      <c r="D87" s="34"/>
      <c r="E87" s="37">
        <f t="shared" ref="E87:H87" ca="1" si="28">E83+E85</f>
        <v>0</v>
      </c>
      <c r="F87" s="37">
        <f t="shared" ca="1" si="28"/>
        <v>0</v>
      </c>
      <c r="G87" s="37">
        <f t="shared" ca="1" si="28"/>
        <v>0</v>
      </c>
      <c r="H87" s="37">
        <f t="shared" ca="1" si="28"/>
        <v>0</v>
      </c>
      <c r="I87" s="13"/>
      <c r="K87" s="15" t="s">
        <v>178</v>
      </c>
    </row>
    <row r="88" spans="2:11" ht="13">
      <c r="B88" s="15" t="str">
        <f>"% of "&amp;B$89</f>
        <v>% of Total Invested Capital</v>
      </c>
      <c r="C88" s="45" t="s">
        <v>79</v>
      </c>
      <c r="D88" s="34"/>
      <c r="E88" s="47">
        <f t="shared" ref="E88:H88" ca="1" si="29">IFERROR(E87/SUM($E$89:$H$89),0)</f>
        <v>0</v>
      </c>
      <c r="F88" s="47">
        <f t="shared" ca="1" si="29"/>
        <v>0</v>
      </c>
      <c r="G88" s="47">
        <f t="shared" ca="1" si="29"/>
        <v>0</v>
      </c>
      <c r="H88" s="47">
        <f t="shared" ca="1" si="29"/>
        <v>0</v>
      </c>
      <c r="I88" s="13"/>
      <c r="K88" s="15" t="s">
        <v>172</v>
      </c>
    </row>
    <row r="89" spans="2:11" ht="13">
      <c r="B89" s="13" t="s">
        <v>179</v>
      </c>
      <c r="C89" s="45" t="str">
        <f>C$9</f>
        <v>$</v>
      </c>
      <c r="D89" s="34"/>
      <c r="E89" s="37">
        <f t="shared" ref="E89:H89" ca="1" si="30">E81+E87</f>
        <v>12127500</v>
      </c>
      <c r="F89" s="37">
        <f t="shared" ca="1" si="30"/>
        <v>4042500.0000000005</v>
      </c>
      <c r="G89" s="37">
        <f t="shared" ca="1" si="30"/>
        <v>2021250.0000000002</v>
      </c>
      <c r="H89" s="37">
        <f t="shared" ca="1" si="30"/>
        <v>2021249.9999999993</v>
      </c>
      <c r="I89" s="13"/>
      <c r="K89" s="15" t="s">
        <v>180</v>
      </c>
    </row>
    <row r="90" spans="2:11" ht="13">
      <c r="B90" s="15" t="str">
        <f>"% of "&amp;B$89</f>
        <v>% of Total Invested Capital</v>
      </c>
      <c r="C90" s="45" t="s">
        <v>79</v>
      </c>
      <c r="D90" s="34"/>
      <c r="E90" s="47">
        <f t="shared" ref="E90:H90" ca="1" si="31">IFERROR(E89/SUM($E$89:$H$89),0)</f>
        <v>0.6</v>
      </c>
      <c r="F90" s="47">
        <f t="shared" ca="1" si="31"/>
        <v>0.2</v>
      </c>
      <c r="G90" s="47">
        <f t="shared" ca="1" si="31"/>
        <v>0.1</v>
      </c>
      <c r="H90" s="47">
        <f t="shared" ca="1" si="31"/>
        <v>9.9999999999999964E-2</v>
      </c>
      <c r="I90" s="13"/>
      <c r="K90" s="15" t="s">
        <v>181</v>
      </c>
    </row>
    <row r="91" spans="2:11" ht="13">
      <c r="B91" s="13" t="s">
        <v>182</v>
      </c>
      <c r="C91" s="45" t="str">
        <f>C$9</f>
        <v>$</v>
      </c>
      <c r="D91" s="34"/>
      <c r="E91" s="37">
        <f t="shared" ref="E91:H91" ca="1" si="32">E79*E76*E39</f>
        <v>0</v>
      </c>
      <c r="F91" s="37">
        <f t="shared" ca="1" si="32"/>
        <v>20374200.000000011</v>
      </c>
      <c r="G91" s="37">
        <f t="shared" ca="1" si="32"/>
        <v>38201625.000000015</v>
      </c>
      <c r="H91" s="37">
        <f t="shared" ca="1" si="32"/>
        <v>76403249.99999997</v>
      </c>
      <c r="I91" s="13"/>
      <c r="K91" s="15" t="s">
        <v>183</v>
      </c>
    </row>
    <row r="92" spans="2:11" ht="13">
      <c r="B92" s="15" t="str">
        <f>"% of "&amp;B91</f>
        <v>% of Total Proceeds</v>
      </c>
      <c r="C92" s="45" t="s">
        <v>79</v>
      </c>
      <c r="D92" s="34"/>
      <c r="E92" s="47">
        <f t="shared" ref="E92:H92" ca="1" si="33">IFERROR(E91/SUM($E91:$H91),0)</f>
        <v>0</v>
      </c>
      <c r="F92" s="47">
        <f t="shared" ca="1" si="33"/>
        <v>0.15094339622641517</v>
      </c>
      <c r="G92" s="47">
        <f t="shared" ca="1" si="33"/>
        <v>0.28301886792452841</v>
      </c>
      <c r="H92" s="47">
        <f t="shared" ca="1" si="33"/>
        <v>0.56603773584905637</v>
      </c>
      <c r="I92" s="13"/>
      <c r="K92" s="15" t="s">
        <v>172</v>
      </c>
    </row>
    <row r="93" spans="2:11" ht="13">
      <c r="B93" s="13" t="s">
        <v>184</v>
      </c>
      <c r="C93" s="45" t="s">
        <v>90</v>
      </c>
      <c r="D93" s="34"/>
      <c r="E93" s="52">
        <f t="shared" ref="E93:H93" si="34">IFERROR(E80/E78,0)</f>
        <v>0</v>
      </c>
      <c r="F93" s="52">
        <f t="shared" si="34"/>
        <v>5.0400000000000018</v>
      </c>
      <c r="G93" s="52">
        <f t="shared" si="34"/>
        <v>18.900000000000002</v>
      </c>
      <c r="H93" s="52">
        <f t="shared" si="34"/>
        <v>37.799999999999997</v>
      </c>
      <c r="I93" s="15"/>
      <c r="K93" s="15" t="s">
        <v>185</v>
      </c>
    </row>
    <row r="94" spans="2:11" ht="13">
      <c r="B94" s="13"/>
      <c r="C94" s="34"/>
      <c r="D94" s="34"/>
      <c r="E94" s="34"/>
      <c r="F94" s="53"/>
      <c r="G94" s="53"/>
      <c r="H94" s="53"/>
      <c r="I94" s="15"/>
      <c r="J94" s="15"/>
    </row>
    <row r="95" spans="2:11" ht="13">
      <c r="B95" s="13"/>
      <c r="C95" s="34"/>
      <c r="D95" s="34"/>
      <c r="E95" s="15"/>
      <c r="F95" s="15"/>
      <c r="G95" s="15"/>
      <c r="H95" s="15"/>
      <c r="I95" s="15"/>
      <c r="J95" s="15"/>
    </row>
    <row r="96" spans="2:11" ht="16">
      <c r="B96" s="21" t="s">
        <v>186</v>
      </c>
      <c r="C96" s="34"/>
      <c r="D96" s="34"/>
      <c r="E96" s="15"/>
      <c r="F96" s="15"/>
      <c r="G96" s="15"/>
      <c r="H96" s="15"/>
      <c r="I96" s="15"/>
      <c r="J96" s="15"/>
    </row>
    <row r="97" spans="2:11" ht="13">
      <c r="B97" s="20" t="s">
        <v>187</v>
      </c>
      <c r="C97" s="34"/>
      <c r="D97" s="54"/>
      <c r="E97" s="15"/>
      <c r="F97" s="15"/>
      <c r="G97" s="15"/>
      <c r="H97" s="15"/>
      <c r="I97" s="15"/>
      <c r="J97" s="15"/>
      <c r="K97" s="15"/>
    </row>
    <row r="98" spans="2:11" ht="13">
      <c r="B98" s="15"/>
      <c r="C98" s="19"/>
      <c r="D98" s="54"/>
      <c r="E98" s="35"/>
      <c r="I98" s="15"/>
      <c r="J98" s="15"/>
      <c r="K98" s="15"/>
    </row>
    <row r="99" spans="2:11" ht="13">
      <c r="B99" s="22" t="s">
        <v>71</v>
      </c>
      <c r="C99" s="23" t="s">
        <v>72</v>
      </c>
      <c r="D99" s="55"/>
      <c r="E99" s="55" t="s">
        <v>188</v>
      </c>
      <c r="F99" s="55" t="s">
        <v>189</v>
      </c>
      <c r="I99" s="15"/>
      <c r="J99" s="15"/>
      <c r="K99" s="15"/>
    </row>
    <row r="100" spans="2:11" ht="13">
      <c r="B100" s="15" t="s">
        <v>190</v>
      </c>
      <c r="C100" s="19" t="s">
        <v>79</v>
      </c>
      <c r="D100" s="56"/>
      <c r="E100" s="35">
        <f>IFERROR(SUMPRODUCT(E38:H38,E48:H48)/SUMPRODUCT(E38:H38,E78:H78),0)</f>
        <v>1</v>
      </c>
      <c r="F100" s="35">
        <f>1-E100</f>
        <v>0</v>
      </c>
      <c r="I100" s="15"/>
      <c r="J100" s="15"/>
      <c r="K100" s="15" t="s">
        <v>191</v>
      </c>
    </row>
    <row r="101" spans="2:11" ht="13">
      <c r="B101" s="15" t="s">
        <v>192</v>
      </c>
      <c r="C101" s="32" t="str">
        <f>C$9</f>
        <v>$</v>
      </c>
      <c r="D101" s="33"/>
      <c r="E101" s="37">
        <f>SUMPRODUCT(E38:H38,E48:H48)</f>
        <v>500000</v>
      </c>
      <c r="F101" s="37">
        <f ca="1">IFERROR(F100*$E122/F102,0)</f>
        <v>0</v>
      </c>
      <c r="I101" s="15"/>
      <c r="J101" s="15"/>
      <c r="K101" s="57" t="s">
        <v>193</v>
      </c>
    </row>
    <row r="102" spans="2:11" ht="13">
      <c r="B102" s="15" t="s">
        <v>194</v>
      </c>
      <c r="C102" s="19" t="s">
        <v>90</v>
      </c>
      <c r="D102" s="58"/>
      <c r="E102" s="37">
        <f ca="1">F113</f>
        <v>40.425000000000004</v>
      </c>
      <c r="F102" s="37">
        <f ca="1">SUMPRODUCT(E39:H39,E63:H63)+SUMPRODUCT(E39:H39,E53:H53)</f>
        <v>0</v>
      </c>
      <c r="I102" s="15"/>
      <c r="J102" s="15"/>
      <c r="K102" s="15" t="s">
        <v>195</v>
      </c>
    </row>
    <row r="103" spans="2:11" ht="16">
      <c r="B103" s="21"/>
    </row>
    <row r="104" spans="2:11" ht="16">
      <c r="B104" s="21"/>
      <c r="C104" s="19"/>
    </row>
    <row r="105" spans="2:11" ht="16">
      <c r="B105" s="21" t="s">
        <v>196</v>
      </c>
      <c r="C105" s="19"/>
    </row>
    <row r="106" spans="2:11" ht="13">
      <c r="B106" s="20" t="s">
        <v>197</v>
      </c>
      <c r="C106" s="19"/>
      <c r="D106" s="15"/>
      <c r="E106" s="15"/>
      <c r="F106" s="15"/>
      <c r="G106" s="15"/>
    </row>
    <row r="107" spans="2:11" ht="13">
      <c r="B107" s="15"/>
      <c r="C107" s="19"/>
      <c r="D107" s="15"/>
      <c r="F107" s="15"/>
      <c r="G107" s="15"/>
    </row>
    <row r="108" spans="2:11" ht="13">
      <c r="B108" s="22" t="s">
        <v>198</v>
      </c>
      <c r="C108" s="23" t="s">
        <v>72</v>
      </c>
      <c r="D108" s="22"/>
      <c r="E108" s="22" t="s">
        <v>199</v>
      </c>
      <c r="F108" s="22" t="s">
        <v>200</v>
      </c>
      <c r="G108" s="22" t="s">
        <v>201</v>
      </c>
      <c r="H108" s="22" t="s">
        <v>162</v>
      </c>
      <c r="K108" s="15" t="s">
        <v>202</v>
      </c>
    </row>
    <row r="109" spans="2:11" ht="13">
      <c r="B109" s="34" t="str">
        <f>E35</f>
        <v>Fail</v>
      </c>
      <c r="C109" s="19" t="s">
        <v>203</v>
      </c>
      <c r="D109" s="56"/>
      <c r="E109" s="35">
        <f>E38</f>
        <v>0.6</v>
      </c>
      <c r="F109" s="58">
        <f ca="1">E39</f>
        <v>24.254999999999999</v>
      </c>
      <c r="G109" s="53">
        <f>E93</f>
        <v>0</v>
      </c>
      <c r="H109" s="58">
        <f>E77</f>
        <v>8</v>
      </c>
      <c r="K109" s="15" t="s">
        <v>204</v>
      </c>
    </row>
    <row r="110" spans="2:11" ht="13">
      <c r="B110" s="34" t="str">
        <f>F35</f>
        <v>Low</v>
      </c>
      <c r="C110" s="19" t="s">
        <v>203</v>
      </c>
      <c r="D110" s="56"/>
      <c r="E110" s="35">
        <f>F38</f>
        <v>0.2</v>
      </c>
      <c r="F110" s="58">
        <f ca="1">F39</f>
        <v>8.0850000000000009</v>
      </c>
      <c r="G110" s="53">
        <f>F93</f>
        <v>5.0400000000000018</v>
      </c>
      <c r="H110" s="58">
        <f>F77</f>
        <v>12</v>
      </c>
      <c r="K110" s="15"/>
    </row>
    <row r="111" spans="2:11" ht="13">
      <c r="B111" s="34" t="str">
        <f>G35</f>
        <v>Medium</v>
      </c>
      <c r="C111" s="19" t="s">
        <v>203</v>
      </c>
      <c r="D111" s="56"/>
      <c r="E111" s="35">
        <f>G38</f>
        <v>0.1</v>
      </c>
      <c r="F111" s="58">
        <f ca="1">G39</f>
        <v>4.0425000000000004</v>
      </c>
      <c r="G111" s="53">
        <f>G93</f>
        <v>18.900000000000002</v>
      </c>
      <c r="H111" s="58">
        <f>G77</f>
        <v>16</v>
      </c>
    </row>
    <row r="112" spans="2:11" ht="13">
      <c r="B112" s="34" t="str">
        <f>H35</f>
        <v>High</v>
      </c>
      <c r="C112" s="19" t="s">
        <v>203</v>
      </c>
      <c r="D112" s="35"/>
      <c r="E112" s="35">
        <f>H38</f>
        <v>9.9999999999999978E-2</v>
      </c>
      <c r="F112" s="58">
        <f ca="1">H39</f>
        <v>4.0424999999999986</v>
      </c>
      <c r="G112" s="53">
        <f>H93</f>
        <v>37.799999999999997</v>
      </c>
      <c r="H112" s="58">
        <f>H77</f>
        <v>24</v>
      </c>
      <c r="K112" s="15" t="s">
        <v>205</v>
      </c>
    </row>
    <row r="113" spans="2:11" ht="13">
      <c r="B113" s="15"/>
      <c r="C113" s="19"/>
      <c r="D113" s="35"/>
      <c r="E113" s="59">
        <f t="shared" ref="E113:F113" si="35">SUM(E109:E112)</f>
        <v>1</v>
      </c>
      <c r="F113" s="60">
        <f t="shared" ca="1" si="35"/>
        <v>40.425000000000004</v>
      </c>
      <c r="G113" s="61">
        <f>SUMPRODUCT(E93:H93,E42:H42)</f>
        <v>6.677999999999999</v>
      </c>
      <c r="H113" s="61">
        <f>SUMPRODUCT(E42:H42,E77:H77)</f>
        <v>11.2</v>
      </c>
      <c r="K113" s="15" t="s">
        <v>206</v>
      </c>
    </row>
    <row r="114" spans="2:11" ht="16">
      <c r="B114" s="21"/>
      <c r="C114" s="19"/>
    </row>
    <row r="115" spans="2:11" ht="16">
      <c r="B115" s="21" t="s">
        <v>207</v>
      </c>
      <c r="C115" s="19"/>
    </row>
    <row r="116" spans="2:11" ht="13">
      <c r="B116" s="20" t="s">
        <v>208</v>
      </c>
      <c r="C116" s="19"/>
      <c r="D116" s="29"/>
      <c r="E116" s="29"/>
    </row>
    <row r="117" spans="2:11" ht="13">
      <c r="B117" s="15"/>
      <c r="C117" s="19"/>
      <c r="D117" s="29"/>
      <c r="E117" s="29"/>
    </row>
    <row r="118" spans="2:11" ht="13">
      <c r="B118" s="15" t="s">
        <v>209</v>
      </c>
      <c r="C118" s="32" t="str">
        <f t="shared" ref="C118:C125" si="36">C$9</f>
        <v>$</v>
      </c>
      <c r="D118" s="37"/>
      <c r="E118" s="37">
        <f ca="1">Forecast!E31</f>
        <v>25000000</v>
      </c>
      <c r="K118" s="13" t="s">
        <v>210</v>
      </c>
    </row>
    <row r="119" spans="2:11" ht="13">
      <c r="B119" s="15" t="s">
        <v>211</v>
      </c>
      <c r="C119" s="32" t="str">
        <f t="shared" si="36"/>
        <v>$</v>
      </c>
      <c r="D119" s="37"/>
      <c r="E119" s="37">
        <f>Forecast!E41+Forecast!E40+Forecast!E39</f>
        <v>5750000</v>
      </c>
      <c r="K119" s="13" t="s">
        <v>212</v>
      </c>
    </row>
    <row r="120" spans="2:11" ht="13">
      <c r="B120" s="15" t="str">
        <f>"Budgeted "&amp;B122</f>
        <v>Budgeted Invested Capital</v>
      </c>
      <c r="C120" s="32" t="str">
        <f t="shared" si="36"/>
        <v>$</v>
      </c>
      <c r="D120" s="37"/>
      <c r="E120" s="37">
        <f>IF(SUMPRODUCT(--(Forecast!G15:CH15&lt;&gt;"committed"))=0,F9-F11-F12-F13,F9-F11-F12-F9*(IF(Forecast!C17=TRUE,(1-E10),1)*SUMPRODUCT(Forecast!G14:CH14,--(Forecast!G15:CH15="committed"))))+IF(E29="new and follow investments",F9*Forecast!E219,0)</f>
        <v>19250000</v>
      </c>
      <c r="F120" s="62"/>
      <c r="K120" s="13" t="s">
        <v>213</v>
      </c>
    </row>
    <row r="121" spans="2:11" ht="13">
      <c r="B121" s="15" t="s">
        <v>214</v>
      </c>
      <c r="C121" s="32" t="str">
        <f t="shared" si="36"/>
        <v>$</v>
      </c>
      <c r="D121" s="37"/>
      <c r="E121" s="37">
        <f ca="1">Forecast!E42</f>
        <v>962500</v>
      </c>
      <c r="K121" s="13" t="s">
        <v>215</v>
      </c>
    </row>
    <row r="122" spans="2:11" ht="13">
      <c r="B122" s="15" t="s">
        <v>216</v>
      </c>
      <c r="C122" s="32" t="str">
        <f t="shared" si="36"/>
        <v>$</v>
      </c>
      <c r="D122" s="37"/>
      <c r="E122" s="37">
        <f ca="1">E120+E121</f>
        <v>20212500</v>
      </c>
      <c r="K122" s="13" t="s">
        <v>217</v>
      </c>
    </row>
    <row r="123" spans="2:11" ht="13">
      <c r="B123" s="15" t="s">
        <v>218</v>
      </c>
      <c r="C123" s="32" t="str">
        <f t="shared" si="36"/>
        <v>$</v>
      </c>
      <c r="D123" s="37"/>
      <c r="E123" s="37">
        <f ca="1">Forecast!E43</f>
        <v>134979075</v>
      </c>
      <c r="K123" s="15" t="s">
        <v>219</v>
      </c>
    </row>
    <row r="124" spans="2:11" ht="13">
      <c r="B124" s="15" t="s">
        <v>220</v>
      </c>
      <c r="C124" s="32" t="str">
        <f t="shared" si="36"/>
        <v>$</v>
      </c>
      <c r="D124" s="37"/>
      <c r="E124" s="37">
        <f ca="1">Forecast!E194</f>
        <v>21803315</v>
      </c>
      <c r="K124" s="15" t="s">
        <v>219</v>
      </c>
    </row>
    <row r="125" spans="2:11" ht="13">
      <c r="B125" s="15" t="s">
        <v>221</v>
      </c>
      <c r="C125" s="32" t="str">
        <f t="shared" si="36"/>
        <v>$</v>
      </c>
      <c r="D125" s="37"/>
      <c r="E125" s="37">
        <f ca="1">Forecast!E47</f>
        <v>112213260</v>
      </c>
      <c r="K125" s="15" t="s">
        <v>219</v>
      </c>
    </row>
    <row r="126" spans="2:11" ht="13">
      <c r="B126" s="15"/>
      <c r="C126" s="19"/>
      <c r="D126" s="13"/>
      <c r="E126" s="13"/>
    </row>
    <row r="127" spans="2:11" ht="13">
      <c r="B127" s="15" t="s">
        <v>222</v>
      </c>
      <c r="C127" s="19" t="s">
        <v>90</v>
      </c>
      <c r="D127" s="63"/>
      <c r="E127" s="63">
        <f ca="1">Forecast!E97</f>
        <v>6.6779999999999999</v>
      </c>
      <c r="G127" s="35"/>
      <c r="I127" s="15"/>
      <c r="J127" s="15"/>
      <c r="K127" s="15" t="s">
        <v>223</v>
      </c>
    </row>
    <row r="128" spans="2:11" ht="13">
      <c r="B128" s="15" t="s">
        <v>224</v>
      </c>
      <c r="C128" s="19" t="s">
        <v>90</v>
      </c>
      <c r="D128" s="63"/>
      <c r="E128" s="63">
        <f ca="1">Forecast!E101</f>
        <v>4.4885304000000001</v>
      </c>
      <c r="I128" s="15"/>
      <c r="J128" s="15"/>
      <c r="K128" s="15" t="s">
        <v>225</v>
      </c>
    </row>
    <row r="129" spans="2:11" ht="13">
      <c r="B129" s="15" t="s">
        <v>226</v>
      </c>
      <c r="C129" s="19" t="s">
        <v>79</v>
      </c>
      <c r="D129" s="64"/>
      <c r="E129" s="64">
        <f ca="1">Forecast!E98</f>
        <v>0.5008816540241241</v>
      </c>
      <c r="I129" s="15"/>
      <c r="J129" s="15"/>
      <c r="K129" s="15" t="s">
        <v>227</v>
      </c>
    </row>
    <row r="130" spans="2:11" ht="13">
      <c r="B130" s="15" t="s">
        <v>228</v>
      </c>
      <c r="C130" s="19" t="s">
        <v>79</v>
      </c>
      <c r="D130" s="64"/>
      <c r="E130" s="64">
        <f ca="1">Forecast!E102</f>
        <v>0.4071087181568146</v>
      </c>
      <c r="I130" s="15"/>
      <c r="J130" s="15"/>
      <c r="K130" s="15" t="s">
        <v>227</v>
      </c>
    </row>
    <row r="131" spans="2:11" ht="13">
      <c r="B131" s="13" t="s">
        <v>229</v>
      </c>
      <c r="C131" s="65" t="s">
        <v>79</v>
      </c>
      <c r="D131" s="64"/>
      <c r="E131" s="64">
        <f ca="1">Forecast!E93</f>
        <v>0.70886000000000005</v>
      </c>
    </row>
    <row r="132" spans="2:11" ht="13">
      <c r="B132" s="15"/>
      <c r="C132" s="19"/>
    </row>
  </sheetData>
  <dataValidations count="3">
    <dataValidation type="list" allowBlank="1" showErrorMessage="1" sqref="E28" xr:uid="{00000000-0002-0000-0200-000000000000}">
      <formula1>"invested capital,invested capital plus cost basis,all proceeds"</formula1>
    </dataValidation>
    <dataValidation type="list" allowBlank="1" showErrorMessage="1" sqref="E29" xr:uid="{00000000-0002-0000-0200-000001000000}">
      <formula1>"new investments,new and follow investments"</formula1>
    </dataValidation>
    <dataValidation type="list" allowBlank="1" showErrorMessage="1" sqref="E26" xr:uid="{00000000-0002-0000-0200-000002000000}">
      <formula1>"management fees,committed capital"</formula1>
    </dataValidation>
  </dataValidations>
  <hyperlinks>
    <hyperlink ref="K101" location="null!A1" display="Follow ons are assumed to be on average 1-2 years after the new investment. If more detailed required, consider the Venture Investor Model (see Model Comparison shee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2"/>
  <sheetViews>
    <sheetView showGridLines="0" workbookViewId="0"/>
  </sheetViews>
  <sheetFormatPr baseColWidth="10" defaultColWidth="12.6640625" defaultRowHeight="15.75" customHeight="1" outlineLevelRow="1"/>
  <cols>
    <col min="1" max="1" width="4.33203125" customWidth="1"/>
    <col min="2" max="2" width="41.6640625" customWidth="1"/>
    <col min="3" max="4" width="3.1640625" customWidth="1"/>
    <col min="7" max="9" width="11.1640625" customWidth="1"/>
    <col min="10" max="10" width="8.33203125" customWidth="1"/>
    <col min="11" max="11" width="79.1640625" customWidth="1"/>
  </cols>
  <sheetData>
    <row r="1" spans="2:11" ht="13">
      <c r="C1" s="19"/>
    </row>
    <row r="2" spans="2:11" ht="18">
      <c r="B2" s="2" t="s">
        <v>21</v>
      </c>
      <c r="C2" s="19"/>
    </row>
    <row r="3" spans="2:11" ht="13">
      <c r="B3" s="20" t="s">
        <v>68</v>
      </c>
      <c r="C3" s="19"/>
    </row>
    <row r="4" spans="2:11" ht="16">
      <c r="B4" s="21"/>
    </row>
    <row r="5" spans="2:11" ht="16">
      <c r="B5" s="21" t="s">
        <v>69</v>
      </c>
    </row>
    <row r="6" spans="2:11" ht="13">
      <c r="B6" s="20" t="s">
        <v>70</v>
      </c>
      <c r="C6" s="19"/>
      <c r="D6" s="1"/>
      <c r="E6" s="1"/>
      <c r="F6" s="1"/>
    </row>
    <row r="7" spans="2:11" ht="13">
      <c r="B7" s="15"/>
      <c r="C7" s="19"/>
      <c r="D7" s="1"/>
      <c r="E7" s="1"/>
      <c r="F7" s="1"/>
    </row>
    <row r="8" spans="2:11" ht="13">
      <c r="B8" s="22" t="s">
        <v>71</v>
      </c>
      <c r="C8" s="23" t="s">
        <v>72</v>
      </c>
      <c r="D8" s="24"/>
      <c r="E8" s="24" t="s">
        <v>73</v>
      </c>
      <c r="F8" s="24" t="s">
        <v>37</v>
      </c>
      <c r="K8" s="25" t="s">
        <v>74</v>
      </c>
    </row>
    <row r="9" spans="2:11" ht="13">
      <c r="B9" s="15" t="s">
        <v>75</v>
      </c>
      <c r="C9" s="26" t="str">
        <f>'Get Started'!C9</f>
        <v>$</v>
      </c>
      <c r="D9" s="27"/>
      <c r="E9" s="28">
        <f>'Get Started'!E9</f>
        <v>25000000</v>
      </c>
      <c r="F9" s="29">
        <f>E9</f>
        <v>25000000</v>
      </c>
      <c r="K9" s="15" t="s">
        <v>77</v>
      </c>
    </row>
    <row r="10" spans="2:11" ht="13">
      <c r="B10" s="15" t="s">
        <v>78</v>
      </c>
      <c r="C10" s="19" t="s">
        <v>79</v>
      </c>
      <c r="D10" s="30"/>
      <c r="E10" s="31">
        <f>'Get Started'!E10</f>
        <v>0.02</v>
      </c>
      <c r="F10" s="29">
        <f>E10*F$9</f>
        <v>500000</v>
      </c>
      <c r="K10" s="15" t="s">
        <v>80</v>
      </c>
    </row>
    <row r="11" spans="2:11" ht="13">
      <c r="B11" s="15" t="s">
        <v>81</v>
      </c>
      <c r="C11" s="32" t="str">
        <f t="shared" ref="C11:C12" si="0">C$9</f>
        <v>$</v>
      </c>
      <c r="D11" s="27"/>
      <c r="E11" s="28">
        <f>'Get Started'!E11</f>
        <v>100000</v>
      </c>
      <c r="F11" s="29">
        <f>'Forecast  2'!E39</f>
        <v>100000</v>
      </c>
      <c r="K11" s="15" t="s">
        <v>82</v>
      </c>
    </row>
    <row r="12" spans="2:11" ht="13">
      <c r="B12" s="15" t="s">
        <v>83</v>
      </c>
      <c r="C12" s="32" t="str">
        <f t="shared" si="0"/>
        <v>$</v>
      </c>
      <c r="D12" s="27"/>
      <c r="E12" s="28">
        <f>'Get Started'!E12</f>
        <v>75000</v>
      </c>
      <c r="F12" s="29">
        <f>'Forecast  2'!E40</f>
        <v>750000</v>
      </c>
      <c r="I12" s="15"/>
      <c r="J12" s="15"/>
      <c r="K12" s="15" t="s">
        <v>84</v>
      </c>
    </row>
    <row r="13" spans="2:11" ht="13">
      <c r="B13" s="15" t="s">
        <v>85</v>
      </c>
      <c r="C13" s="19" t="s">
        <v>79</v>
      </c>
      <c r="D13" s="30"/>
      <c r="E13" s="31">
        <f>'Get Started'!E13</f>
        <v>0.02</v>
      </c>
      <c r="F13" s="29">
        <f>'Forecast  2'!E41</f>
        <v>4900000</v>
      </c>
      <c r="I13" s="15"/>
      <c r="J13" s="15"/>
      <c r="K13" s="15" t="s">
        <v>86</v>
      </c>
    </row>
    <row r="14" spans="2:11" ht="13">
      <c r="B14" s="15" t="s">
        <v>87</v>
      </c>
      <c r="C14" s="19" t="s">
        <v>79</v>
      </c>
      <c r="D14" s="30"/>
      <c r="E14" s="31">
        <f>'Get Started'!E14</f>
        <v>0.2</v>
      </c>
      <c r="F14" s="29">
        <f ca="1">E124</f>
        <v>13925453.020833328</v>
      </c>
      <c r="K14" s="15" t="s">
        <v>88</v>
      </c>
    </row>
    <row r="15" spans="2:11" ht="13">
      <c r="B15" s="15" t="s">
        <v>89</v>
      </c>
      <c r="C15" s="19" t="s">
        <v>90</v>
      </c>
      <c r="D15" s="33"/>
      <c r="E15" s="28">
        <f>'Get Started'!E15</f>
        <v>16</v>
      </c>
      <c r="F15" s="34"/>
      <c r="I15" s="15"/>
      <c r="J15" s="15"/>
      <c r="K15" s="15" t="s">
        <v>91</v>
      </c>
    </row>
    <row r="16" spans="2:11" ht="13">
      <c r="B16" s="15" t="s">
        <v>92</v>
      </c>
      <c r="C16" s="19" t="s">
        <v>90</v>
      </c>
      <c r="D16" s="33"/>
      <c r="E16" s="28">
        <f>'Get Started'!E16</f>
        <v>40</v>
      </c>
      <c r="F16" s="34"/>
      <c r="I16" s="34"/>
      <c r="J16" s="34"/>
      <c r="K16" s="34" t="s">
        <v>93</v>
      </c>
    </row>
    <row r="17" spans="2:11" ht="13">
      <c r="B17" s="15" t="s">
        <v>94</v>
      </c>
      <c r="C17" s="19" t="s">
        <v>90</v>
      </c>
      <c r="D17" s="33"/>
      <c r="E17" s="28">
        <f>'Get Started'!E17</f>
        <v>40</v>
      </c>
      <c r="K17" s="34" t="s">
        <v>95</v>
      </c>
    </row>
    <row r="18" spans="2:11" ht="13">
      <c r="B18" s="15" t="s">
        <v>96</v>
      </c>
      <c r="C18" s="19" t="s">
        <v>90</v>
      </c>
      <c r="D18" s="34"/>
      <c r="E18" s="29">
        <f>MAX(0,E17-E16)</f>
        <v>0</v>
      </c>
      <c r="F18" s="34"/>
      <c r="I18" s="15"/>
      <c r="J18" s="15"/>
      <c r="K18" s="15" t="s">
        <v>97</v>
      </c>
    </row>
    <row r="19" spans="2:11" ht="13">
      <c r="B19" s="15"/>
      <c r="C19" s="34"/>
      <c r="D19" s="34"/>
      <c r="E19" s="34"/>
      <c r="F19" s="34"/>
      <c r="I19" s="15"/>
      <c r="J19" s="15"/>
    </row>
    <row r="20" spans="2:11" ht="13">
      <c r="B20" s="15"/>
      <c r="C20" s="34"/>
      <c r="D20" s="34"/>
      <c r="E20" s="34"/>
      <c r="F20" s="34"/>
      <c r="I20" s="15"/>
      <c r="J20" s="15"/>
    </row>
    <row r="21" spans="2:11" ht="16">
      <c r="B21" s="21" t="s">
        <v>98</v>
      </c>
      <c r="C21" s="34"/>
      <c r="D21" s="34"/>
      <c r="E21" s="34"/>
      <c r="F21" s="34"/>
      <c r="I21" s="15"/>
      <c r="J21" s="15"/>
    </row>
    <row r="22" spans="2:11" ht="13">
      <c r="B22" s="20" t="s">
        <v>99</v>
      </c>
      <c r="C22" s="34"/>
      <c r="D22" s="34"/>
      <c r="E22" s="34"/>
      <c r="F22" s="34"/>
      <c r="I22" s="15"/>
      <c r="J22" s="15"/>
      <c r="K22" s="15" t="s">
        <v>100</v>
      </c>
    </row>
    <row r="23" spans="2:11" ht="13">
      <c r="B23" s="15"/>
      <c r="C23" s="34"/>
      <c r="D23" s="34"/>
      <c r="F23" s="34"/>
      <c r="I23" s="15"/>
      <c r="J23" s="15"/>
    </row>
    <row r="24" spans="2:11" ht="13">
      <c r="B24" s="22" t="s">
        <v>71</v>
      </c>
      <c r="C24" s="23" t="s">
        <v>72</v>
      </c>
      <c r="D24" s="24"/>
      <c r="E24" s="24" t="s">
        <v>73</v>
      </c>
      <c r="F24" s="24" t="s">
        <v>37</v>
      </c>
      <c r="K24" s="25" t="s">
        <v>74</v>
      </c>
    </row>
    <row r="25" spans="2:11" ht="13">
      <c r="B25" s="15" t="str">
        <f>"Target recycling %, and max achievable"</f>
        <v>Target recycling %, and max achievable</v>
      </c>
      <c r="C25" s="19" t="s">
        <v>79</v>
      </c>
      <c r="D25" s="30"/>
      <c r="E25" s="31">
        <f>'Get Started'!E25</f>
        <v>0.25</v>
      </c>
      <c r="F25" s="35">
        <f ca="1">IFERROR(F29/F26,0)</f>
        <v>4.1708333333333333E-2</v>
      </c>
      <c r="I25" s="15"/>
      <c r="J25" s="15"/>
      <c r="K25" s="15" t="s">
        <v>101</v>
      </c>
    </row>
    <row r="26" spans="2:11" ht="13">
      <c r="B26" s="15" t="str">
        <f>"... based on "&amp;E26</f>
        <v>... based on committed capital</v>
      </c>
      <c r="C26" s="32" t="s">
        <v>102</v>
      </c>
      <c r="D26" s="34"/>
      <c r="E26" s="36" t="str">
        <f>'Get Started'!E26</f>
        <v>committed capital</v>
      </c>
      <c r="F26" s="37">
        <f>IF(E26="management fees",F13,F9)</f>
        <v>25000000</v>
      </c>
      <c r="I26" s="15"/>
      <c r="J26" s="15"/>
      <c r="K26" s="15" t="s">
        <v>104</v>
      </c>
    </row>
    <row r="27" spans="2:11" ht="13">
      <c r="B27" s="15" t="str">
        <f>"... from exits "&amp;E27&amp;" quarters or less post-investment"</f>
        <v>... from exits 24 quarters or less post-investment</v>
      </c>
      <c r="C27" s="19" t="s">
        <v>90</v>
      </c>
      <c r="D27" s="34"/>
      <c r="E27" s="28">
        <f>'Get Started'!E27</f>
        <v>24</v>
      </c>
      <c r="F27" s="37">
        <f ca="1">'Forecast  2'!E204</f>
        <v>95669973.4375</v>
      </c>
      <c r="I27" s="15"/>
      <c r="J27" s="15"/>
      <c r="K27" s="15" t="s">
        <v>105</v>
      </c>
    </row>
    <row r="28" spans="2:11" ht="13">
      <c r="B28" s="15" t="str">
        <f>"... up to the amount of "&amp;E28&amp;" per investment exited"</f>
        <v>... up to the amount of invested capital per investment exited</v>
      </c>
      <c r="C28" s="32" t="s">
        <v>102</v>
      </c>
      <c r="D28" s="34"/>
      <c r="E28" s="38" t="str">
        <f>'Get Started'!E28</f>
        <v>invested capital</v>
      </c>
      <c r="F28" s="29">
        <f ca="1">IF(E28="invested capital",'Forecast  2'!E206,IF(E28="invested capital plus cost basis",'Forecast  2'!E205,'Forecast  2'!E204))</f>
        <v>7778871.527777778</v>
      </c>
      <c r="I28" s="15"/>
      <c r="J28" s="15"/>
      <c r="K28" s="15" t="s">
        <v>107</v>
      </c>
    </row>
    <row r="29" spans="2:11" ht="13">
      <c r="B29" s="15" t="str">
        <f>"... able to invest in "&amp;E29</f>
        <v>... able to invest in new investments</v>
      </c>
      <c r="C29" s="32" t="s">
        <v>102</v>
      </c>
      <c r="D29" s="34"/>
      <c r="E29" s="38" t="str">
        <f>'Get Started'!E29</f>
        <v>new investments</v>
      </c>
      <c r="F29" s="37">
        <f ca="1">'Forecast  2'!E42</f>
        <v>1042708.3333333333</v>
      </c>
      <c r="I29" s="15"/>
      <c r="J29" s="15"/>
      <c r="K29" s="15" t="s">
        <v>108</v>
      </c>
    </row>
    <row r="30" spans="2:11" ht="13">
      <c r="F30" s="34"/>
      <c r="I30" s="15"/>
      <c r="J30" s="15"/>
    </row>
    <row r="31" spans="2:11" ht="13">
      <c r="B31" s="15"/>
      <c r="C31" s="34"/>
      <c r="D31" s="34"/>
      <c r="E31" s="34"/>
      <c r="F31" s="34"/>
      <c r="I31" s="15"/>
      <c r="J31" s="15"/>
    </row>
    <row r="32" spans="2:11" ht="16">
      <c r="B32" s="39" t="s">
        <v>109</v>
      </c>
    </row>
    <row r="33" spans="1:11" ht="13">
      <c r="B33" s="40" t="s">
        <v>110</v>
      </c>
      <c r="C33" s="34"/>
      <c r="D33" s="34"/>
      <c r="E33" s="34"/>
      <c r="F33" s="34"/>
      <c r="I33" s="15"/>
      <c r="J33" s="15"/>
    </row>
    <row r="34" spans="1:11" ht="16">
      <c r="B34" s="21"/>
      <c r="C34" s="34"/>
      <c r="D34" s="34"/>
      <c r="E34" s="34"/>
      <c r="F34" s="34"/>
      <c r="I34" s="15"/>
      <c r="J34" s="15"/>
    </row>
    <row r="35" spans="1:11" ht="13">
      <c r="B35" s="41" t="s">
        <v>111</v>
      </c>
      <c r="C35" s="42"/>
      <c r="D35" s="42"/>
      <c r="E35" s="66" t="str">
        <f>'Get Started'!E35</f>
        <v>Fail</v>
      </c>
      <c r="F35" s="66" t="str">
        <f>'Get Started'!F35</f>
        <v>Low</v>
      </c>
      <c r="G35" s="66" t="str">
        <f>'Get Started'!G35</f>
        <v>Medium</v>
      </c>
      <c r="H35" s="66" t="str">
        <f>'Get Started'!H35</f>
        <v>High</v>
      </c>
      <c r="I35" s="13"/>
      <c r="J35" s="13" t="s">
        <v>116</v>
      </c>
    </row>
    <row r="36" spans="1:11" ht="13">
      <c r="B36" s="13"/>
      <c r="C36" s="13"/>
      <c r="D36" s="13"/>
      <c r="E36" s="13"/>
      <c r="F36" s="13"/>
      <c r="G36" s="13"/>
      <c r="H36" s="37"/>
      <c r="I36" s="15"/>
      <c r="J36" s="15"/>
    </row>
    <row r="37" spans="1:11" ht="13">
      <c r="B37" s="44" t="s">
        <v>117</v>
      </c>
      <c r="C37" s="45"/>
      <c r="D37" s="45"/>
      <c r="E37" s="45"/>
      <c r="F37" s="45"/>
      <c r="G37" s="45"/>
      <c r="H37" s="45"/>
      <c r="I37" s="15"/>
      <c r="J37" s="15"/>
    </row>
    <row r="38" spans="1:11" ht="13">
      <c r="B38" s="13" t="s">
        <v>118</v>
      </c>
      <c r="C38" s="45" t="s">
        <v>79</v>
      </c>
      <c r="D38" s="34"/>
      <c r="E38" s="35">
        <f>1-SUM(F38:H38)</f>
        <v>0.6166666666666667</v>
      </c>
      <c r="F38" s="67">
        <f>MAX(0,'Get Started'!F38-($H38-'Get Started'!$H38)/3)</f>
        <v>0.21666666666666667</v>
      </c>
      <c r="G38" s="67">
        <f>MAX(0,'Get Started'!G38-($H38-'Get Started'!$H38)/3)</f>
        <v>0.11666666666666667</v>
      </c>
      <c r="H38" s="67">
        <f>'Get Started'!H38*(1+Scenarios!D28)</f>
        <v>4.9999999999999989E-2</v>
      </c>
      <c r="I38" s="13"/>
      <c r="J38" s="15" t="s">
        <v>119</v>
      </c>
    </row>
    <row r="39" spans="1:11" ht="13">
      <c r="B39" s="13" t="s">
        <v>120</v>
      </c>
      <c r="C39" s="45" t="s">
        <v>90</v>
      </c>
      <c r="D39" s="34"/>
      <c r="E39" s="37">
        <f t="shared" ref="E39:H39" ca="1" si="1">E42*$E122/E78</f>
        <v>25.027673611111112</v>
      </c>
      <c r="F39" s="37">
        <f t="shared" ca="1" si="1"/>
        <v>8.7935069444444416</v>
      </c>
      <c r="G39" s="37">
        <f t="shared" ca="1" si="1"/>
        <v>4.7349652777777766</v>
      </c>
      <c r="H39" s="37">
        <f t="shared" ca="1" si="1"/>
        <v>2.0292708333333325</v>
      </c>
      <c r="I39" s="13"/>
      <c r="J39" s="15" t="s">
        <v>121</v>
      </c>
    </row>
    <row r="40" spans="1:11" ht="13" outlineLevel="1">
      <c r="B40" s="13" t="s">
        <v>122</v>
      </c>
      <c r="C40" s="45" t="s">
        <v>79</v>
      </c>
      <c r="D40" s="34"/>
      <c r="E40" s="35">
        <f t="shared" ref="E40:H40" si="2">$E101/E78</f>
        <v>1.0000000000000002</v>
      </c>
      <c r="F40" s="35">
        <f t="shared" si="2"/>
        <v>1.0000000000000002</v>
      </c>
      <c r="G40" s="35">
        <f t="shared" si="2"/>
        <v>1.0000000000000002</v>
      </c>
      <c r="H40" s="35">
        <f t="shared" si="2"/>
        <v>1.0000000000000002</v>
      </c>
      <c r="I40" s="13"/>
      <c r="J40" s="15" t="s">
        <v>123</v>
      </c>
    </row>
    <row r="41" spans="1:11" ht="13" outlineLevel="1">
      <c r="B41" s="13" t="s">
        <v>124</v>
      </c>
      <c r="C41" s="45" t="s">
        <v>79</v>
      </c>
      <c r="E41" s="47">
        <f t="shared" ref="E41:H41" si="3">E38/E40</f>
        <v>0.61666666666666659</v>
      </c>
      <c r="F41" s="47">
        <f t="shared" si="3"/>
        <v>0.21666666666666662</v>
      </c>
      <c r="G41" s="47">
        <f t="shared" si="3"/>
        <v>0.11666666666666664</v>
      </c>
      <c r="H41" s="47">
        <f t="shared" si="3"/>
        <v>4.9999999999999975E-2</v>
      </c>
      <c r="J41" s="15" t="s">
        <v>123</v>
      </c>
    </row>
    <row r="42" spans="1:11" ht="13">
      <c r="A42" s="13"/>
      <c r="B42" s="13" t="s">
        <v>125</v>
      </c>
      <c r="C42" s="45" t="s">
        <v>79</v>
      </c>
      <c r="D42" s="48"/>
      <c r="E42" s="35">
        <f t="shared" ref="E42:H42" si="4">E41/SUM($E41:$H41)</f>
        <v>0.6166666666666667</v>
      </c>
      <c r="F42" s="35">
        <f t="shared" si="4"/>
        <v>0.21666666666666665</v>
      </c>
      <c r="G42" s="35">
        <f t="shared" si="4"/>
        <v>0.11666666666666665</v>
      </c>
      <c r="H42" s="35">
        <f t="shared" si="4"/>
        <v>4.9999999999999982E-2</v>
      </c>
      <c r="I42" s="13"/>
      <c r="J42" s="13" t="s">
        <v>126</v>
      </c>
      <c r="K42" s="13"/>
    </row>
    <row r="43" spans="1:11" ht="13">
      <c r="B43" s="13" t="s">
        <v>127</v>
      </c>
      <c r="C43" s="45" t="s">
        <v>79</v>
      </c>
      <c r="D43" s="45"/>
      <c r="E43" s="47">
        <f t="shared" ref="E43:H43" si="5">1/(1+E53*E54/E48+E63*E64/E48)*E42</f>
        <v>0.6166666666666667</v>
      </c>
      <c r="F43" s="47">
        <f t="shared" si="5"/>
        <v>0.21666666666666665</v>
      </c>
      <c r="G43" s="47">
        <f t="shared" si="5"/>
        <v>0.11666666666666665</v>
      </c>
      <c r="H43" s="47">
        <f t="shared" si="5"/>
        <v>4.9999999999999982E-2</v>
      </c>
      <c r="I43" s="15"/>
      <c r="J43" s="15"/>
    </row>
    <row r="44" spans="1:11" ht="13">
      <c r="B44" s="13" t="s">
        <v>128</v>
      </c>
      <c r="C44" s="45" t="s">
        <v>79</v>
      </c>
      <c r="D44" s="45"/>
      <c r="E44" s="47">
        <f t="shared" ref="E44:H44" si="6">IFERROR(E53*E54/E48*E43,0)</f>
        <v>0</v>
      </c>
      <c r="F44" s="47">
        <f t="shared" si="6"/>
        <v>0</v>
      </c>
      <c r="G44" s="47">
        <f t="shared" si="6"/>
        <v>0</v>
      </c>
      <c r="H44" s="47">
        <f t="shared" si="6"/>
        <v>0</v>
      </c>
      <c r="I44" s="15"/>
      <c r="J44" s="15"/>
    </row>
    <row r="45" spans="1:11" ht="13">
      <c r="B45" s="13" t="s">
        <v>129</v>
      </c>
      <c r="C45" s="45" t="s">
        <v>79</v>
      </c>
      <c r="D45" s="45"/>
      <c r="E45" s="47">
        <f t="shared" ref="E45:H45" si="7">IFERROR(E63*E64/E48*E43,0)</f>
        <v>0</v>
      </c>
      <c r="F45" s="47">
        <f t="shared" si="7"/>
        <v>0</v>
      </c>
      <c r="G45" s="47">
        <f t="shared" si="7"/>
        <v>0</v>
      </c>
      <c r="H45" s="47">
        <f t="shared" si="7"/>
        <v>0</v>
      </c>
      <c r="I45" s="15"/>
      <c r="J45" s="15"/>
    </row>
    <row r="46" spans="1:11" ht="13">
      <c r="B46" s="44"/>
      <c r="C46" s="45"/>
      <c r="D46" s="45"/>
      <c r="E46" s="45"/>
      <c r="F46" s="45"/>
      <c r="G46" s="45"/>
      <c r="H46" s="45"/>
      <c r="I46" s="15"/>
      <c r="J46" s="15"/>
    </row>
    <row r="47" spans="1:11" ht="13">
      <c r="B47" s="44" t="s">
        <v>130</v>
      </c>
      <c r="C47" s="45"/>
      <c r="D47" s="45"/>
      <c r="E47" s="45"/>
      <c r="F47" s="45"/>
      <c r="G47" s="45"/>
      <c r="H47" s="45"/>
      <c r="I47" s="15"/>
      <c r="J47" s="15"/>
    </row>
    <row r="48" spans="1:11" ht="13">
      <c r="B48" s="13" t="s">
        <v>131</v>
      </c>
      <c r="C48" s="45" t="str">
        <f t="shared" ref="C48:C50" si="8">C$9</f>
        <v>$</v>
      </c>
      <c r="D48" s="48"/>
      <c r="E48" s="29">
        <f t="shared" ref="E48:H48" si="9">E49*E50</f>
        <v>500000</v>
      </c>
      <c r="F48" s="29">
        <f t="shared" si="9"/>
        <v>500000</v>
      </c>
      <c r="G48" s="29">
        <f t="shared" si="9"/>
        <v>500000</v>
      </c>
      <c r="H48" s="29">
        <f t="shared" si="9"/>
        <v>500000</v>
      </c>
      <c r="I48" s="15"/>
      <c r="J48" s="15" t="s">
        <v>132</v>
      </c>
    </row>
    <row r="49" spans="1:11" ht="13">
      <c r="B49" s="13" t="s">
        <v>133</v>
      </c>
      <c r="C49" s="45" t="str">
        <f t="shared" si="8"/>
        <v>$</v>
      </c>
      <c r="D49" s="48"/>
      <c r="E49" s="28">
        <f>'Get Started'!E49</f>
        <v>5000000</v>
      </c>
      <c r="F49" s="28">
        <f>'Get Started'!F49</f>
        <v>5000000</v>
      </c>
      <c r="G49" s="28">
        <f>'Get Started'!G49</f>
        <v>5000000</v>
      </c>
      <c r="H49" s="28">
        <f>'Get Started'!H49</f>
        <v>5000000</v>
      </c>
      <c r="I49" s="15"/>
      <c r="J49" s="15" t="s">
        <v>134</v>
      </c>
    </row>
    <row r="50" spans="1:11" ht="13">
      <c r="B50" s="13" t="s">
        <v>135</v>
      </c>
      <c r="C50" s="45" t="str">
        <f t="shared" si="8"/>
        <v>$</v>
      </c>
      <c r="D50" s="34"/>
      <c r="E50" s="67">
        <f>'Get Started'!E50</f>
        <v>0.1</v>
      </c>
      <c r="F50" s="67">
        <f>'Get Started'!F50</f>
        <v>0.1</v>
      </c>
      <c r="G50" s="67">
        <f>'Get Started'!G50</f>
        <v>0.1</v>
      </c>
      <c r="H50" s="67">
        <f>'Get Started'!H50</f>
        <v>0.1</v>
      </c>
      <c r="I50" s="15"/>
      <c r="J50" s="15" t="s">
        <v>136</v>
      </c>
    </row>
    <row r="51" spans="1:11" ht="13">
      <c r="B51" s="13"/>
      <c r="C51" s="34"/>
      <c r="D51" s="34"/>
      <c r="E51" s="34"/>
      <c r="F51" s="34"/>
      <c r="I51" s="15"/>
      <c r="J51" s="15"/>
    </row>
    <row r="52" spans="1:11" ht="13">
      <c r="A52" s="13"/>
      <c r="B52" s="44" t="s">
        <v>137</v>
      </c>
      <c r="C52" s="45"/>
      <c r="D52" s="48"/>
      <c r="E52" s="34"/>
      <c r="F52" s="34"/>
      <c r="H52" s="47"/>
      <c r="I52" s="13"/>
      <c r="J52" s="13"/>
      <c r="K52" s="13"/>
    </row>
    <row r="53" spans="1:11" ht="13" outlineLevel="1">
      <c r="A53" s="13"/>
      <c r="B53" s="13" t="s">
        <v>138</v>
      </c>
      <c r="C53" s="45" t="s">
        <v>79</v>
      </c>
      <c r="D53" s="48"/>
      <c r="E53" s="67">
        <f>'Get Started'!E53</f>
        <v>0</v>
      </c>
      <c r="F53" s="67">
        <f>'Get Started'!F53</f>
        <v>0</v>
      </c>
      <c r="G53" s="67">
        <f>'Get Started'!G53</f>
        <v>0</v>
      </c>
      <c r="H53" s="67">
        <f>'Get Started'!H53</f>
        <v>0</v>
      </c>
      <c r="I53" s="13"/>
      <c r="J53" s="13" t="s">
        <v>139</v>
      </c>
      <c r="K53" s="13"/>
    </row>
    <row r="54" spans="1:11" ht="13" outlineLevel="1">
      <c r="A54" s="13"/>
      <c r="B54" s="13" t="s">
        <v>140</v>
      </c>
      <c r="C54" s="45" t="str">
        <f>C$9</f>
        <v>$</v>
      </c>
      <c r="E54" s="28">
        <f>'Get Started'!E54</f>
        <v>400000</v>
      </c>
      <c r="F54" s="28">
        <f>'Get Started'!F54</f>
        <v>400000</v>
      </c>
      <c r="G54" s="28">
        <f>'Get Started'!G54</f>
        <v>400000</v>
      </c>
      <c r="H54" s="28">
        <f>'Get Started'!H54</f>
        <v>400000</v>
      </c>
      <c r="I54" s="13"/>
      <c r="J54" s="13" t="s">
        <v>141</v>
      </c>
      <c r="K54" s="13"/>
    </row>
    <row r="55" spans="1:11" ht="13" outlineLevel="1">
      <c r="A55" s="13"/>
      <c r="B55" s="15" t="s">
        <v>142</v>
      </c>
      <c r="C55" s="45" t="s">
        <v>90</v>
      </c>
      <c r="D55" s="48"/>
      <c r="E55" s="28">
        <f>'Get Started'!E55</f>
        <v>0</v>
      </c>
      <c r="F55" s="28">
        <f>'Get Started'!F55</f>
        <v>0</v>
      </c>
      <c r="G55" s="28">
        <f>'Get Started'!G55</f>
        <v>0</v>
      </c>
      <c r="H55" s="28">
        <f>'Get Started'!H55</f>
        <v>0</v>
      </c>
      <c r="I55" s="13"/>
      <c r="J55" s="13" t="s">
        <v>143</v>
      </c>
      <c r="K55" s="13"/>
    </row>
    <row r="56" spans="1:11" ht="13" outlineLevel="1">
      <c r="A56" s="13"/>
      <c r="B56" s="13" t="s">
        <v>133</v>
      </c>
      <c r="C56" s="45" t="str">
        <f>C$9</f>
        <v>$</v>
      </c>
      <c r="D56" s="48"/>
      <c r="E56" s="28">
        <f>'Get Started'!E56</f>
        <v>20000000</v>
      </c>
      <c r="F56" s="28">
        <f>'Get Started'!F56</f>
        <v>20000000</v>
      </c>
      <c r="G56" s="28">
        <f>'Get Started'!G56</f>
        <v>20000000</v>
      </c>
      <c r="H56" s="28">
        <f>'Get Started'!H56</f>
        <v>20000000</v>
      </c>
      <c r="I56" s="13"/>
      <c r="J56" s="13" t="s">
        <v>144</v>
      </c>
      <c r="K56" s="13"/>
    </row>
    <row r="57" spans="1:11" ht="13" outlineLevel="1">
      <c r="A57" s="13"/>
      <c r="B57" s="15" t="s">
        <v>145</v>
      </c>
      <c r="C57" s="45" t="s">
        <v>79</v>
      </c>
      <c r="D57" s="48"/>
      <c r="E57" s="67">
        <f>'Get Started'!E57</f>
        <v>0.2</v>
      </c>
      <c r="F57" s="67">
        <f>'Get Started'!F57</f>
        <v>0.2</v>
      </c>
      <c r="G57" s="67">
        <f>'Get Started'!G57</f>
        <v>0.2</v>
      </c>
      <c r="H57" s="67">
        <f>'Get Started'!H57</f>
        <v>0.2</v>
      </c>
      <c r="I57" s="13"/>
      <c r="J57" s="13" t="s">
        <v>146</v>
      </c>
      <c r="K57" s="13"/>
    </row>
    <row r="58" spans="1:11" ht="13" outlineLevel="1">
      <c r="A58" s="13"/>
      <c r="B58" s="15" t="s">
        <v>147</v>
      </c>
      <c r="C58" s="45" t="s">
        <v>79</v>
      </c>
      <c r="D58" s="48"/>
      <c r="E58" s="67">
        <f>'Get Started'!E58</f>
        <v>0.1</v>
      </c>
      <c r="F58" s="67">
        <f>'Get Started'!F58</f>
        <v>0.1</v>
      </c>
      <c r="G58" s="67">
        <f>'Get Started'!G58</f>
        <v>0.1</v>
      </c>
      <c r="H58" s="67">
        <f>'Get Started'!H58</f>
        <v>0.1</v>
      </c>
      <c r="I58" s="13"/>
      <c r="J58" s="13" t="s">
        <v>148</v>
      </c>
      <c r="K58" s="13"/>
    </row>
    <row r="59" spans="1:11" ht="13" outlineLevel="1">
      <c r="A59" s="13"/>
      <c r="B59" s="13" t="s">
        <v>149</v>
      </c>
      <c r="C59" s="45" t="s">
        <v>79</v>
      </c>
      <c r="D59" s="48"/>
      <c r="E59" s="50">
        <f t="shared" ref="E59:H59" si="10">E50*(1-E57-E58)+E54/E56</f>
        <v>9.0000000000000011E-2</v>
      </c>
      <c r="F59" s="50">
        <f t="shared" si="10"/>
        <v>9.0000000000000011E-2</v>
      </c>
      <c r="G59" s="50">
        <f t="shared" si="10"/>
        <v>9.0000000000000011E-2</v>
      </c>
      <c r="H59" s="50">
        <f t="shared" si="10"/>
        <v>9.0000000000000011E-2</v>
      </c>
      <c r="I59" s="13"/>
      <c r="J59" s="13"/>
      <c r="K59" s="13"/>
    </row>
    <row r="60" spans="1:11" ht="13" outlineLevel="1">
      <c r="A60" s="13"/>
      <c r="B60" s="13" t="s">
        <v>150</v>
      </c>
      <c r="C60" s="45" t="s">
        <v>79</v>
      </c>
      <c r="D60" s="48"/>
      <c r="E60" s="50">
        <f t="shared" ref="E60:H60" si="11">E50*(1-E57-E58)+E54/E56*E53</f>
        <v>7.0000000000000007E-2</v>
      </c>
      <c r="F60" s="50">
        <f t="shared" si="11"/>
        <v>7.0000000000000007E-2</v>
      </c>
      <c r="G60" s="50">
        <f t="shared" si="11"/>
        <v>7.0000000000000007E-2</v>
      </c>
      <c r="H60" s="50">
        <f t="shared" si="11"/>
        <v>7.0000000000000007E-2</v>
      </c>
      <c r="I60" s="13"/>
      <c r="J60" s="13" t="s">
        <v>151</v>
      </c>
      <c r="K60" s="13"/>
    </row>
    <row r="61" spans="1:11" ht="13" outlineLevel="1">
      <c r="A61" s="13"/>
      <c r="B61" s="13"/>
      <c r="C61" s="45"/>
      <c r="D61" s="48"/>
      <c r="E61" s="34"/>
      <c r="F61" s="34"/>
      <c r="H61" s="47"/>
      <c r="I61" s="13"/>
      <c r="J61" s="13"/>
      <c r="K61" s="13"/>
    </row>
    <row r="62" spans="1:11" ht="13">
      <c r="A62" s="13"/>
      <c r="B62" s="44" t="s">
        <v>152</v>
      </c>
      <c r="C62" s="45"/>
      <c r="D62" s="48"/>
      <c r="E62" s="34"/>
      <c r="F62" s="34"/>
      <c r="H62" s="47"/>
      <c r="I62" s="13"/>
      <c r="J62" s="13"/>
      <c r="K62" s="13"/>
    </row>
    <row r="63" spans="1:11" ht="13" outlineLevel="1">
      <c r="A63" s="13"/>
      <c r="B63" s="13" t="s">
        <v>138</v>
      </c>
      <c r="C63" s="45" t="s">
        <v>79</v>
      </c>
      <c r="D63" s="48"/>
      <c r="E63" s="67">
        <f>'Get Started'!E63</f>
        <v>0</v>
      </c>
      <c r="F63" s="67">
        <f>'Get Started'!F63</f>
        <v>0</v>
      </c>
      <c r="G63" s="67">
        <f>'Get Started'!G63</f>
        <v>0</v>
      </c>
      <c r="H63" s="67">
        <f>'Get Started'!H63</f>
        <v>0</v>
      </c>
      <c r="I63" s="13"/>
      <c r="J63" s="13" t="s">
        <v>139</v>
      </c>
      <c r="K63" s="13"/>
    </row>
    <row r="64" spans="1:11" ht="13" outlineLevel="1">
      <c r="A64" s="13"/>
      <c r="B64" s="13" t="s">
        <v>153</v>
      </c>
      <c r="C64" s="45" t="str">
        <f>C$9</f>
        <v>$</v>
      </c>
      <c r="E64" s="28">
        <f>'Get Started'!E64</f>
        <v>1080000.0000000002</v>
      </c>
      <c r="F64" s="28">
        <f>'Get Started'!F64</f>
        <v>1080000.0000000002</v>
      </c>
      <c r="G64" s="28">
        <f>'Get Started'!G64</f>
        <v>1080000.0000000002</v>
      </c>
      <c r="H64" s="28">
        <f>'Get Started'!H64</f>
        <v>1080000.0000000002</v>
      </c>
      <c r="I64" s="13"/>
      <c r="J64" s="13" t="s">
        <v>141</v>
      </c>
      <c r="K64" s="13"/>
    </row>
    <row r="65" spans="1:11" ht="13" outlineLevel="1">
      <c r="A65" s="13"/>
      <c r="B65" s="15" t="s">
        <v>142</v>
      </c>
      <c r="C65" s="45" t="s">
        <v>90</v>
      </c>
      <c r="D65" s="48"/>
      <c r="E65" s="28">
        <f>'Get Started'!E65</f>
        <v>0</v>
      </c>
      <c r="F65" s="28">
        <f>'Get Started'!F65</f>
        <v>0</v>
      </c>
      <c r="G65" s="28">
        <f>'Get Started'!G65</f>
        <v>0</v>
      </c>
      <c r="H65" s="28">
        <f>'Get Started'!H65</f>
        <v>0</v>
      </c>
      <c r="I65" s="13"/>
      <c r="J65" s="13" t="s">
        <v>154</v>
      </c>
      <c r="K65" s="13"/>
    </row>
    <row r="66" spans="1:11" ht="13" outlineLevel="1">
      <c r="A66" s="13"/>
      <c r="B66" s="13" t="s">
        <v>133</v>
      </c>
      <c r="C66" s="45" t="str">
        <f>C$9</f>
        <v>$</v>
      </c>
      <c r="D66" s="48"/>
      <c r="E66" s="28">
        <f>'Get Started'!E66</f>
        <v>60000000</v>
      </c>
      <c r="F66" s="28">
        <f>'Get Started'!F66</f>
        <v>60000000</v>
      </c>
      <c r="G66" s="28">
        <f>'Get Started'!G66</f>
        <v>60000000</v>
      </c>
      <c r="H66" s="28">
        <f>'Get Started'!H66</f>
        <v>60000000</v>
      </c>
      <c r="I66" s="13"/>
      <c r="J66" s="13" t="s">
        <v>144</v>
      </c>
      <c r="K66" s="13"/>
    </row>
    <row r="67" spans="1:11" ht="13" outlineLevel="1">
      <c r="A67" s="13"/>
      <c r="B67" s="15" t="s">
        <v>145</v>
      </c>
      <c r="C67" s="45" t="s">
        <v>79</v>
      </c>
      <c r="D67" s="48"/>
      <c r="E67" s="67">
        <f>'Get Started'!E67</f>
        <v>0.2</v>
      </c>
      <c r="F67" s="67">
        <f>'Get Started'!F67</f>
        <v>0.2</v>
      </c>
      <c r="G67" s="67">
        <f>'Get Started'!G67</f>
        <v>0.2</v>
      </c>
      <c r="H67" s="67">
        <f>'Get Started'!H67</f>
        <v>0.2</v>
      </c>
      <c r="I67" s="13"/>
      <c r="J67" s="13" t="s">
        <v>146</v>
      </c>
      <c r="K67" s="13"/>
    </row>
    <row r="68" spans="1:11" ht="13" outlineLevel="1">
      <c r="A68" s="13"/>
      <c r="B68" s="15" t="s">
        <v>147</v>
      </c>
      <c r="C68" s="45" t="s">
        <v>79</v>
      </c>
      <c r="D68" s="48"/>
      <c r="E68" s="67">
        <f>'Get Started'!E68</f>
        <v>0.1</v>
      </c>
      <c r="F68" s="67">
        <f>'Get Started'!F68</f>
        <v>0.1</v>
      </c>
      <c r="G68" s="67">
        <f>'Get Started'!G68</f>
        <v>0.1</v>
      </c>
      <c r="H68" s="67">
        <f>'Get Started'!H68</f>
        <v>0.1</v>
      </c>
      <c r="I68" s="13"/>
      <c r="J68" s="13" t="s">
        <v>148</v>
      </c>
      <c r="K68" s="13"/>
    </row>
    <row r="69" spans="1:11" ht="13" outlineLevel="1">
      <c r="A69" s="13"/>
      <c r="B69" s="13" t="s">
        <v>149</v>
      </c>
      <c r="C69" s="45" t="s">
        <v>79</v>
      </c>
      <c r="D69" s="48"/>
      <c r="E69" s="50">
        <f t="shared" ref="E69:H69" si="12">E59*(1-E67-E68)+E64/E66</f>
        <v>8.1000000000000016E-2</v>
      </c>
      <c r="F69" s="50">
        <f t="shared" si="12"/>
        <v>8.1000000000000016E-2</v>
      </c>
      <c r="G69" s="50">
        <f t="shared" si="12"/>
        <v>8.1000000000000016E-2</v>
      </c>
      <c r="H69" s="50">
        <f t="shared" si="12"/>
        <v>8.1000000000000016E-2</v>
      </c>
      <c r="I69" s="13"/>
      <c r="J69" s="13"/>
      <c r="K69" s="13"/>
    </row>
    <row r="70" spans="1:11" ht="13" outlineLevel="1">
      <c r="A70" s="13"/>
      <c r="B70" s="13" t="s">
        <v>150</v>
      </c>
      <c r="C70" s="45" t="s">
        <v>79</v>
      </c>
      <c r="D70" s="48"/>
      <c r="E70" s="50">
        <f t="shared" ref="E70:H70" si="13">E59*(1-E67-E68)+E64/E66*E63</f>
        <v>6.3000000000000014E-2</v>
      </c>
      <c r="F70" s="50">
        <f t="shared" si="13"/>
        <v>6.3000000000000014E-2</v>
      </c>
      <c r="G70" s="50">
        <f t="shared" si="13"/>
        <v>6.3000000000000014E-2</v>
      </c>
      <c r="H70" s="50">
        <f t="shared" si="13"/>
        <v>6.3000000000000014E-2</v>
      </c>
      <c r="I70" s="13"/>
      <c r="J70" s="13" t="s">
        <v>151</v>
      </c>
      <c r="K70" s="13"/>
    </row>
    <row r="71" spans="1:11" ht="13" outlineLevel="1">
      <c r="A71" s="13"/>
      <c r="B71" s="13"/>
      <c r="C71" s="45"/>
      <c r="D71" s="48"/>
      <c r="E71" s="34"/>
      <c r="F71" s="34"/>
      <c r="H71" s="47"/>
      <c r="I71" s="13"/>
      <c r="J71" s="13"/>
      <c r="K71" s="13"/>
    </row>
    <row r="72" spans="1:11" ht="13" collapsed="1">
      <c r="A72" s="13"/>
      <c r="B72" s="44" t="s">
        <v>155</v>
      </c>
      <c r="C72" s="45"/>
      <c r="D72" s="48"/>
      <c r="E72" s="34"/>
      <c r="F72" s="34"/>
      <c r="H72" s="47"/>
      <c r="I72" s="13"/>
      <c r="J72" s="13"/>
      <c r="K72" s="13"/>
    </row>
    <row r="73" spans="1:11" ht="13" hidden="1" outlineLevel="1">
      <c r="A73" s="13"/>
      <c r="B73" s="15" t="s">
        <v>156</v>
      </c>
      <c r="C73" s="45" t="s">
        <v>79</v>
      </c>
      <c r="D73" s="34"/>
      <c r="E73" s="46">
        <v>0</v>
      </c>
      <c r="F73" s="46">
        <v>0.2</v>
      </c>
      <c r="G73" s="46">
        <v>0.4</v>
      </c>
      <c r="H73" s="46">
        <f>G73*2</f>
        <v>0.8</v>
      </c>
      <c r="I73" s="13"/>
      <c r="J73" s="13" t="s">
        <v>157</v>
      </c>
      <c r="K73" s="13"/>
    </row>
    <row r="74" spans="1:11" ht="13">
      <c r="A74" s="13" t="s">
        <v>158</v>
      </c>
      <c r="B74" s="15"/>
      <c r="C74" s="45"/>
      <c r="D74" s="48"/>
      <c r="E74" s="34"/>
      <c r="F74" s="34"/>
      <c r="H74" s="47"/>
      <c r="I74" s="13"/>
      <c r="J74" s="13"/>
      <c r="K74" s="13"/>
    </row>
    <row r="75" spans="1:11" ht="13">
      <c r="A75" s="13"/>
      <c r="B75" s="44" t="s">
        <v>159</v>
      </c>
      <c r="C75" s="45"/>
      <c r="D75" s="48"/>
      <c r="E75" s="34"/>
      <c r="F75" s="34"/>
      <c r="H75" s="47"/>
      <c r="I75" s="13"/>
      <c r="J75" s="13"/>
      <c r="K75" s="13"/>
    </row>
    <row r="76" spans="1:11" ht="13">
      <c r="B76" s="13" t="s">
        <v>160</v>
      </c>
      <c r="C76" s="45" t="str">
        <f>C$9</f>
        <v>$</v>
      </c>
      <c r="D76" s="34"/>
      <c r="E76" s="28">
        <f>'Get Started'!E76</f>
        <v>0</v>
      </c>
      <c r="F76" s="28">
        <f>'Get Started'!F76</f>
        <v>50000000</v>
      </c>
      <c r="G76" s="28">
        <f>'Get Started'!G76</f>
        <v>250000000</v>
      </c>
      <c r="H76" s="28">
        <f>'Get Started'!H76*(1+Scenarios!D29)</f>
        <v>1125000000</v>
      </c>
      <c r="I76" s="13"/>
      <c r="J76" s="15" t="s">
        <v>161</v>
      </c>
    </row>
    <row r="77" spans="1:11" ht="13">
      <c r="B77" s="13" t="s">
        <v>162</v>
      </c>
      <c r="C77" s="45" t="s">
        <v>90</v>
      </c>
      <c r="D77" s="48"/>
      <c r="E77" s="28">
        <f>'Get Started'!E77</f>
        <v>8</v>
      </c>
      <c r="F77" s="28">
        <f>'Get Started'!F77</f>
        <v>12</v>
      </c>
      <c r="G77" s="28">
        <f>'Get Started'!G77</f>
        <v>16</v>
      </c>
      <c r="H77" s="28">
        <f>'Get Started'!H77</f>
        <v>24</v>
      </c>
      <c r="I77" s="13"/>
      <c r="J77" s="13" t="s">
        <v>163</v>
      </c>
    </row>
    <row r="78" spans="1:11" ht="13">
      <c r="B78" s="13" t="s">
        <v>164</v>
      </c>
      <c r="C78" s="45" t="str">
        <f>C$9</f>
        <v>$</v>
      </c>
      <c r="D78" s="48"/>
      <c r="E78" s="37">
        <f t="shared" ref="E78:H78" si="14">E48+E54*E53+E63*E64</f>
        <v>500000</v>
      </c>
      <c r="F78" s="37">
        <f t="shared" si="14"/>
        <v>500000</v>
      </c>
      <c r="G78" s="37">
        <f t="shared" si="14"/>
        <v>500000</v>
      </c>
      <c r="H78" s="37">
        <f t="shared" si="14"/>
        <v>500000</v>
      </c>
      <c r="I78" s="13"/>
      <c r="J78" s="13" t="s">
        <v>165</v>
      </c>
    </row>
    <row r="79" spans="1:11" ht="13">
      <c r="B79" s="13" t="s">
        <v>166</v>
      </c>
      <c r="C79" s="45" t="s">
        <v>79</v>
      </c>
      <c r="D79" s="48"/>
      <c r="E79" s="50">
        <f t="shared" ref="E79:H79" si="15">E70*(1-E73)</f>
        <v>6.3000000000000014E-2</v>
      </c>
      <c r="F79" s="50">
        <f t="shared" si="15"/>
        <v>5.0400000000000014E-2</v>
      </c>
      <c r="G79" s="50">
        <f t="shared" si="15"/>
        <v>3.7800000000000007E-2</v>
      </c>
      <c r="H79" s="50">
        <f t="shared" si="15"/>
        <v>1.26E-2</v>
      </c>
      <c r="I79" s="13"/>
      <c r="J79" s="13" t="s">
        <v>167</v>
      </c>
    </row>
    <row r="80" spans="1:11" ht="13">
      <c r="B80" s="13" t="s">
        <v>168</v>
      </c>
      <c r="C80" s="45" t="str">
        <f t="shared" ref="C80:C81" si="16">C$9</f>
        <v>$</v>
      </c>
      <c r="D80" s="34"/>
      <c r="E80" s="37">
        <f t="shared" ref="E80:H80" si="17">E79*E76</f>
        <v>0</v>
      </c>
      <c r="F80" s="37">
        <f t="shared" si="17"/>
        <v>2520000.0000000009</v>
      </c>
      <c r="G80" s="37">
        <f t="shared" si="17"/>
        <v>9450000.0000000019</v>
      </c>
      <c r="H80" s="37">
        <f t="shared" si="17"/>
        <v>14175000</v>
      </c>
      <c r="I80" s="13"/>
      <c r="J80" s="15" t="s">
        <v>169</v>
      </c>
    </row>
    <row r="81" spans="2:10" ht="13">
      <c r="B81" s="13" t="s">
        <v>170</v>
      </c>
      <c r="C81" s="45" t="str">
        <f t="shared" si="16"/>
        <v>$</v>
      </c>
      <c r="D81" s="34"/>
      <c r="E81" s="37">
        <f t="shared" ref="E81:H81" ca="1" si="18">E39*E48</f>
        <v>12513836.805555556</v>
      </c>
      <c r="F81" s="37">
        <f t="shared" ca="1" si="18"/>
        <v>4396753.4722222211</v>
      </c>
      <c r="G81" s="37">
        <f t="shared" ca="1" si="18"/>
        <v>2367482.6388888885</v>
      </c>
      <c r="H81" s="37">
        <f t="shared" ca="1" si="18"/>
        <v>1014635.4166666663</v>
      </c>
      <c r="I81" s="13"/>
      <c r="J81" s="15" t="s">
        <v>171</v>
      </c>
    </row>
    <row r="82" spans="2:10" ht="13">
      <c r="B82" s="15" t="str">
        <f>"% of "&amp;B$89</f>
        <v>% of Total Invested Capital</v>
      </c>
      <c r="C82" s="45" t="s">
        <v>79</v>
      </c>
      <c r="D82" s="34"/>
      <c r="E82" s="47">
        <f t="shared" ref="E82:H82" si="19">E43</f>
        <v>0.6166666666666667</v>
      </c>
      <c r="F82" s="47">
        <f t="shared" si="19"/>
        <v>0.21666666666666665</v>
      </c>
      <c r="G82" s="47">
        <f t="shared" si="19"/>
        <v>0.11666666666666665</v>
      </c>
      <c r="H82" s="47">
        <f t="shared" si="19"/>
        <v>4.9999999999999982E-2</v>
      </c>
      <c r="I82" s="13"/>
      <c r="J82" s="15" t="s">
        <v>172</v>
      </c>
    </row>
    <row r="83" spans="2:10" ht="13">
      <c r="B83" s="13" t="s">
        <v>173</v>
      </c>
      <c r="C83" s="45" t="str">
        <f>C$9</f>
        <v>$</v>
      </c>
      <c r="D83" s="34"/>
      <c r="E83" s="37">
        <f t="shared" ref="E83:H83" ca="1" si="20">E39*E53*E54</f>
        <v>0</v>
      </c>
      <c r="F83" s="37">
        <f t="shared" ca="1" si="20"/>
        <v>0</v>
      </c>
      <c r="G83" s="37">
        <f t="shared" ca="1" si="20"/>
        <v>0</v>
      </c>
      <c r="H83" s="37">
        <f t="shared" ca="1" si="20"/>
        <v>0</v>
      </c>
      <c r="I83" s="13"/>
      <c r="J83" s="15" t="s">
        <v>174</v>
      </c>
    </row>
    <row r="84" spans="2:10" ht="13">
      <c r="B84" s="15" t="str">
        <f>"% of "&amp;B$89</f>
        <v>% of Total Invested Capital</v>
      </c>
      <c r="C84" s="45" t="s">
        <v>79</v>
      </c>
      <c r="D84" s="34"/>
      <c r="E84" s="47">
        <f t="shared" ref="E84:H84" si="21">E44</f>
        <v>0</v>
      </c>
      <c r="F84" s="47">
        <f t="shared" si="21"/>
        <v>0</v>
      </c>
      <c r="G84" s="47">
        <f t="shared" si="21"/>
        <v>0</v>
      </c>
      <c r="H84" s="47">
        <f t="shared" si="21"/>
        <v>0</v>
      </c>
      <c r="I84" s="13"/>
      <c r="J84" s="15" t="s">
        <v>172</v>
      </c>
    </row>
    <row r="85" spans="2:10" ht="13">
      <c r="B85" s="13" t="s">
        <v>175</v>
      </c>
      <c r="C85" s="45" t="str">
        <f>C$9</f>
        <v>$</v>
      </c>
      <c r="D85" s="34"/>
      <c r="E85" s="37">
        <f t="shared" ref="E85:H85" ca="1" si="22">E39*E63*E64</f>
        <v>0</v>
      </c>
      <c r="F85" s="37">
        <f t="shared" ca="1" si="22"/>
        <v>0</v>
      </c>
      <c r="G85" s="37">
        <f t="shared" ca="1" si="22"/>
        <v>0</v>
      </c>
      <c r="H85" s="37">
        <f t="shared" ca="1" si="22"/>
        <v>0</v>
      </c>
      <c r="I85" s="13"/>
      <c r="J85" s="15" t="s">
        <v>176</v>
      </c>
    </row>
    <row r="86" spans="2:10" ht="13">
      <c r="B86" s="15" t="str">
        <f>"% of "&amp;B$89</f>
        <v>% of Total Invested Capital</v>
      </c>
      <c r="C86" s="45" t="s">
        <v>79</v>
      </c>
      <c r="D86" s="34"/>
      <c r="E86" s="47">
        <f t="shared" ref="E86:H86" si="23">E45</f>
        <v>0</v>
      </c>
      <c r="F86" s="47">
        <f t="shared" si="23"/>
        <v>0</v>
      </c>
      <c r="G86" s="47">
        <f t="shared" si="23"/>
        <v>0</v>
      </c>
      <c r="H86" s="47">
        <f t="shared" si="23"/>
        <v>0</v>
      </c>
      <c r="I86" s="13"/>
      <c r="J86" s="15" t="s">
        <v>172</v>
      </c>
    </row>
    <row r="87" spans="2:10" ht="13">
      <c r="B87" s="13" t="s">
        <v>177</v>
      </c>
      <c r="C87" s="45" t="str">
        <f>C$9</f>
        <v>$</v>
      </c>
      <c r="D87" s="34"/>
      <c r="E87" s="37">
        <f t="shared" ref="E87:H87" ca="1" si="24">E83+E85</f>
        <v>0</v>
      </c>
      <c r="F87" s="37">
        <f t="shared" ca="1" si="24"/>
        <v>0</v>
      </c>
      <c r="G87" s="37">
        <f t="shared" ca="1" si="24"/>
        <v>0</v>
      </c>
      <c r="H87" s="37">
        <f t="shared" ca="1" si="24"/>
        <v>0</v>
      </c>
      <c r="I87" s="13"/>
      <c r="J87" s="15" t="s">
        <v>178</v>
      </c>
    </row>
    <row r="88" spans="2:10" ht="13">
      <c r="B88" s="15" t="str">
        <f>"% of "&amp;B$89</f>
        <v>% of Total Invested Capital</v>
      </c>
      <c r="C88" s="45" t="s">
        <v>79</v>
      </c>
      <c r="D88" s="34"/>
      <c r="E88" s="47">
        <f t="shared" ref="E88:H88" ca="1" si="25">IFERROR(E87/SUM($E$89:$H$89),0)</f>
        <v>0</v>
      </c>
      <c r="F88" s="47">
        <f t="shared" ca="1" si="25"/>
        <v>0</v>
      </c>
      <c r="G88" s="47">
        <f t="shared" ca="1" si="25"/>
        <v>0</v>
      </c>
      <c r="H88" s="47">
        <f t="shared" ca="1" si="25"/>
        <v>0</v>
      </c>
      <c r="I88" s="13"/>
      <c r="J88" s="15" t="s">
        <v>172</v>
      </c>
    </row>
    <row r="89" spans="2:10" ht="13">
      <c r="B89" s="13" t="s">
        <v>179</v>
      </c>
      <c r="C89" s="45" t="str">
        <f>C$9</f>
        <v>$</v>
      </c>
      <c r="D89" s="34"/>
      <c r="E89" s="37">
        <f t="shared" ref="E89:H89" ca="1" si="26">E81+E87</f>
        <v>12513836.805555556</v>
      </c>
      <c r="F89" s="37">
        <f t="shared" ca="1" si="26"/>
        <v>4396753.4722222211</v>
      </c>
      <c r="G89" s="37">
        <f t="shared" ca="1" si="26"/>
        <v>2367482.6388888885</v>
      </c>
      <c r="H89" s="37">
        <f t="shared" ca="1" si="26"/>
        <v>1014635.4166666663</v>
      </c>
      <c r="I89" s="13"/>
      <c r="J89" s="15" t="s">
        <v>180</v>
      </c>
    </row>
    <row r="90" spans="2:10" ht="13">
      <c r="B90" s="15" t="str">
        <f>"% of "&amp;B$89</f>
        <v>% of Total Invested Capital</v>
      </c>
      <c r="C90" s="45" t="s">
        <v>79</v>
      </c>
      <c r="D90" s="34"/>
      <c r="E90" s="47">
        <f t="shared" ref="E90:H90" ca="1" si="27">IFERROR(E89/SUM($E$89:$H$89),0)</f>
        <v>0.6166666666666667</v>
      </c>
      <c r="F90" s="47">
        <f t="shared" ca="1" si="27"/>
        <v>0.21666666666666662</v>
      </c>
      <c r="G90" s="47">
        <f t="shared" ca="1" si="27"/>
        <v>0.11666666666666665</v>
      </c>
      <c r="H90" s="47">
        <f t="shared" ca="1" si="27"/>
        <v>4.9999999999999982E-2</v>
      </c>
      <c r="I90" s="13"/>
      <c r="J90" s="15" t="s">
        <v>181</v>
      </c>
    </row>
    <row r="91" spans="2:10" ht="13">
      <c r="B91" s="13" t="s">
        <v>182</v>
      </c>
      <c r="C91" s="45" t="str">
        <f>C$9</f>
        <v>$</v>
      </c>
      <c r="D91" s="34"/>
      <c r="E91" s="37">
        <f t="shared" ref="E91:H91" ca="1" si="28">E79*E76*E39</f>
        <v>0</v>
      </c>
      <c r="F91" s="37">
        <f t="shared" ca="1" si="28"/>
        <v>22159637.5</v>
      </c>
      <c r="G91" s="37">
        <f t="shared" ca="1" si="28"/>
        <v>44745421.875</v>
      </c>
      <c r="H91" s="37">
        <f t="shared" ca="1" si="28"/>
        <v>28764914.062499989</v>
      </c>
      <c r="I91" s="13"/>
      <c r="J91" s="15" t="s">
        <v>183</v>
      </c>
    </row>
    <row r="92" spans="2:10" ht="13">
      <c r="B92" s="15" t="str">
        <f>"% of "&amp;B91</f>
        <v>% of Total Proceeds</v>
      </c>
      <c r="C92" s="45" t="s">
        <v>79</v>
      </c>
      <c r="D92" s="34"/>
      <c r="E92" s="47">
        <f t="shared" ref="E92:H92" ca="1" si="29">IFERROR(E91/SUM($E91:$H91),0)</f>
        <v>0</v>
      </c>
      <c r="F92" s="47">
        <f t="shared" ca="1" si="29"/>
        <v>0.23162583518930963</v>
      </c>
      <c r="G92" s="47">
        <f t="shared" ca="1" si="29"/>
        <v>0.46770601336302903</v>
      </c>
      <c r="H92" s="47">
        <f t="shared" ca="1" si="29"/>
        <v>0.3006681514476614</v>
      </c>
      <c r="I92" s="13"/>
      <c r="J92" s="15" t="s">
        <v>172</v>
      </c>
    </row>
    <row r="93" spans="2:10" ht="13">
      <c r="B93" s="13" t="s">
        <v>184</v>
      </c>
      <c r="C93" s="45" t="s">
        <v>90</v>
      </c>
      <c r="D93" s="34"/>
      <c r="E93" s="52">
        <f t="shared" ref="E93:H93" si="30">IFERROR(E80/E78,0)</f>
        <v>0</v>
      </c>
      <c r="F93" s="52">
        <f t="shared" si="30"/>
        <v>5.0400000000000018</v>
      </c>
      <c r="G93" s="52">
        <f t="shared" si="30"/>
        <v>18.900000000000002</v>
      </c>
      <c r="H93" s="52">
        <f t="shared" si="30"/>
        <v>28.35</v>
      </c>
      <c r="I93" s="15"/>
      <c r="J93" s="15" t="s">
        <v>185</v>
      </c>
    </row>
    <row r="94" spans="2:10" ht="13">
      <c r="B94" s="13"/>
      <c r="C94" s="34"/>
      <c r="D94" s="34"/>
      <c r="E94" s="34"/>
      <c r="F94" s="34"/>
      <c r="I94" s="15"/>
      <c r="J94" s="15"/>
    </row>
    <row r="95" spans="2:10" ht="13">
      <c r="B95" s="13"/>
      <c r="C95" s="34"/>
      <c r="D95" s="34"/>
      <c r="E95" s="15"/>
      <c r="F95" s="15"/>
      <c r="G95" s="15"/>
      <c r="H95" s="15"/>
      <c r="I95" s="15"/>
      <c r="J95" s="15"/>
    </row>
    <row r="96" spans="2:10" ht="16">
      <c r="B96" s="21" t="s">
        <v>186</v>
      </c>
      <c r="C96" s="34"/>
      <c r="D96" s="34"/>
      <c r="E96" s="15"/>
      <c r="F96" s="15"/>
      <c r="G96" s="15"/>
      <c r="H96" s="15"/>
      <c r="I96" s="15"/>
      <c r="J96" s="15"/>
    </row>
    <row r="97" spans="2:11" ht="13">
      <c r="B97" s="20" t="s">
        <v>187</v>
      </c>
      <c r="C97" s="34"/>
      <c r="D97" s="54"/>
      <c r="E97" s="15"/>
      <c r="F97" s="15"/>
      <c r="G97" s="15"/>
      <c r="H97" s="15"/>
      <c r="I97" s="15"/>
      <c r="J97" s="15"/>
      <c r="K97" s="15"/>
    </row>
    <row r="98" spans="2:11" ht="13">
      <c r="B98" s="15"/>
      <c r="C98" s="19"/>
      <c r="D98" s="54"/>
      <c r="E98" s="35"/>
      <c r="I98" s="15"/>
      <c r="J98" s="15"/>
      <c r="K98" s="15"/>
    </row>
    <row r="99" spans="2:11" ht="13">
      <c r="B99" s="22" t="s">
        <v>71</v>
      </c>
      <c r="C99" s="23" t="s">
        <v>72</v>
      </c>
      <c r="D99" s="55"/>
      <c r="E99" s="55" t="s">
        <v>188</v>
      </c>
      <c r="F99" s="55" t="s">
        <v>189</v>
      </c>
      <c r="I99" s="15"/>
      <c r="J99" s="15"/>
      <c r="K99" s="15"/>
    </row>
    <row r="100" spans="2:11" ht="13">
      <c r="B100" s="15" t="s">
        <v>190</v>
      </c>
      <c r="C100" s="19" t="s">
        <v>79</v>
      </c>
      <c r="D100" s="56"/>
      <c r="E100" s="35">
        <f>IFERROR(SUMPRODUCT(E38:H38,E48:H48)/SUMPRODUCT(E38:H38,E78:H78),0)</f>
        <v>1</v>
      </c>
      <c r="F100" s="35">
        <f>1-E100</f>
        <v>0</v>
      </c>
      <c r="I100" s="15"/>
      <c r="J100" s="15"/>
      <c r="K100" s="15" t="s">
        <v>191</v>
      </c>
    </row>
    <row r="101" spans="2:11" ht="13">
      <c r="B101" s="15" t="s">
        <v>192</v>
      </c>
      <c r="C101" s="32" t="str">
        <f>C$9</f>
        <v>$</v>
      </c>
      <c r="D101" s="33"/>
      <c r="E101" s="37">
        <f>SUMPRODUCT(E38:H38,E48:H48)</f>
        <v>500000.00000000006</v>
      </c>
      <c r="F101" s="37">
        <f ca="1">IFERROR(F100*$E122/F102,0)</f>
        <v>0</v>
      </c>
      <c r="I101" s="15"/>
      <c r="J101" s="15"/>
      <c r="K101" s="57" t="s">
        <v>230</v>
      </c>
    </row>
    <row r="102" spans="2:11" ht="13">
      <c r="B102" s="15" t="s">
        <v>194</v>
      </c>
      <c r="C102" s="19" t="s">
        <v>90</v>
      </c>
      <c r="D102" s="58"/>
      <c r="E102" s="37">
        <f ca="1">F113</f>
        <v>40.585416666666667</v>
      </c>
      <c r="F102" s="37">
        <f ca="1">SUMPRODUCT(E39:H39,E63:H63)+SUMPRODUCT(E39:H39,E53:H53)</f>
        <v>0</v>
      </c>
      <c r="I102" s="15"/>
      <c r="J102" s="15"/>
      <c r="K102" s="15" t="s">
        <v>195</v>
      </c>
    </row>
    <row r="103" spans="2:11" ht="16">
      <c r="B103" s="21"/>
    </row>
    <row r="104" spans="2:11" ht="16">
      <c r="B104" s="21"/>
      <c r="C104" s="19"/>
    </row>
    <row r="105" spans="2:11" ht="16">
      <c r="B105" s="21" t="s">
        <v>196</v>
      </c>
      <c r="C105" s="19"/>
    </row>
    <row r="106" spans="2:11" ht="13">
      <c r="B106" s="20" t="s">
        <v>197</v>
      </c>
      <c r="C106" s="19"/>
      <c r="D106" s="15"/>
      <c r="E106" s="15"/>
      <c r="F106" s="15"/>
      <c r="G106" s="15"/>
    </row>
    <row r="107" spans="2:11" ht="13">
      <c r="B107" s="15"/>
      <c r="C107" s="19"/>
      <c r="D107" s="15"/>
      <c r="F107" s="15"/>
      <c r="G107" s="15"/>
    </row>
    <row r="108" spans="2:11" ht="13">
      <c r="B108" s="22" t="s">
        <v>198</v>
      </c>
      <c r="C108" s="23" t="s">
        <v>72</v>
      </c>
      <c r="D108" s="22"/>
      <c r="E108" s="22" t="s">
        <v>199</v>
      </c>
      <c r="F108" s="22" t="s">
        <v>200</v>
      </c>
      <c r="G108" s="22" t="s">
        <v>201</v>
      </c>
      <c r="H108" s="22" t="s">
        <v>162</v>
      </c>
      <c r="K108" s="15" t="s">
        <v>202</v>
      </c>
    </row>
    <row r="109" spans="2:11" ht="13">
      <c r="B109" s="29" t="str">
        <f>E35</f>
        <v>Fail</v>
      </c>
      <c r="C109" s="19" t="s">
        <v>203</v>
      </c>
      <c r="D109" s="56"/>
      <c r="E109" s="35">
        <f>E38</f>
        <v>0.6166666666666667</v>
      </c>
      <c r="F109" s="58">
        <f ca="1">E39</f>
        <v>25.027673611111112</v>
      </c>
      <c r="G109" s="53">
        <f>E93</f>
        <v>0</v>
      </c>
      <c r="H109" s="58">
        <f>E77</f>
        <v>8</v>
      </c>
      <c r="K109" s="15" t="s">
        <v>204</v>
      </c>
    </row>
    <row r="110" spans="2:11" ht="13">
      <c r="B110" s="29" t="str">
        <f>F35</f>
        <v>Low</v>
      </c>
      <c r="C110" s="19" t="s">
        <v>203</v>
      </c>
      <c r="D110" s="56"/>
      <c r="E110" s="35">
        <f>F38</f>
        <v>0.21666666666666667</v>
      </c>
      <c r="F110" s="58">
        <f ca="1">F39</f>
        <v>8.7935069444444416</v>
      </c>
      <c r="G110" s="53">
        <f>F93</f>
        <v>5.0400000000000018</v>
      </c>
      <c r="H110" s="58">
        <f>F77</f>
        <v>12</v>
      </c>
      <c r="K110" s="57" t="s">
        <v>231</v>
      </c>
    </row>
    <row r="111" spans="2:11" ht="13">
      <c r="B111" s="29" t="str">
        <f>G35</f>
        <v>Medium</v>
      </c>
      <c r="C111" s="19" t="s">
        <v>203</v>
      </c>
      <c r="D111" s="56"/>
      <c r="E111" s="35">
        <f>G38</f>
        <v>0.11666666666666667</v>
      </c>
      <c r="F111" s="58">
        <f ca="1">G39</f>
        <v>4.7349652777777766</v>
      </c>
      <c r="G111" s="53">
        <f>G93</f>
        <v>18.900000000000002</v>
      </c>
      <c r="H111" s="58">
        <f>G77</f>
        <v>16</v>
      </c>
    </row>
    <row r="112" spans="2:11" ht="13">
      <c r="B112" s="29" t="str">
        <f>H35</f>
        <v>High</v>
      </c>
      <c r="C112" s="19" t="s">
        <v>203</v>
      </c>
      <c r="D112" s="35"/>
      <c r="E112" s="35">
        <f>H38</f>
        <v>4.9999999999999989E-2</v>
      </c>
      <c r="F112" s="58">
        <f ca="1">H39</f>
        <v>2.0292708333333325</v>
      </c>
      <c r="G112" s="53">
        <f>H93</f>
        <v>28.35</v>
      </c>
      <c r="H112" s="58">
        <f>H77</f>
        <v>24</v>
      </c>
      <c r="K112" s="15" t="s">
        <v>232</v>
      </c>
    </row>
    <row r="113" spans="2:11" ht="13">
      <c r="B113" s="15"/>
      <c r="C113" s="19"/>
      <c r="D113" s="35"/>
      <c r="E113" s="59">
        <f t="shared" ref="E113:F113" si="31">SUM(E109:E112)</f>
        <v>1</v>
      </c>
      <c r="F113" s="60">
        <f t="shared" ca="1" si="31"/>
        <v>40.585416666666667</v>
      </c>
      <c r="G113" s="61">
        <f>SUMPRODUCT(E93:H93,E42:H42)</f>
        <v>4.7145000000000001</v>
      </c>
      <c r="H113" s="61">
        <f>SUMPRODUCT(E42:H42,E77:H77)</f>
        <v>10.6</v>
      </c>
      <c r="K113" s="15" t="s">
        <v>205</v>
      </c>
    </row>
    <row r="114" spans="2:11" ht="16">
      <c r="B114" s="21"/>
      <c r="C114" s="19"/>
    </row>
    <row r="115" spans="2:11" ht="16">
      <c r="B115" s="21" t="s">
        <v>207</v>
      </c>
      <c r="C115" s="19"/>
    </row>
    <row r="116" spans="2:11" ht="13">
      <c r="B116" s="20" t="s">
        <v>208</v>
      </c>
      <c r="C116" s="19"/>
      <c r="D116" s="29"/>
      <c r="E116" s="29"/>
    </row>
    <row r="117" spans="2:11" ht="13">
      <c r="B117" s="15"/>
      <c r="C117" s="19"/>
      <c r="D117" s="29"/>
      <c r="E117" s="29"/>
    </row>
    <row r="118" spans="2:11" ht="13">
      <c r="B118" s="15" t="s">
        <v>209</v>
      </c>
      <c r="C118" s="32" t="str">
        <f t="shared" ref="C118:C125" si="32">C$9</f>
        <v>$</v>
      </c>
      <c r="D118" s="37"/>
      <c r="E118" s="37">
        <f ca="1">'Forecast  2'!E31</f>
        <v>25000000</v>
      </c>
      <c r="K118" s="13" t="s">
        <v>210</v>
      </c>
    </row>
    <row r="119" spans="2:11" ht="13">
      <c r="B119" s="15" t="s">
        <v>211</v>
      </c>
      <c r="C119" s="32" t="str">
        <f t="shared" si="32"/>
        <v>$</v>
      </c>
      <c r="D119" s="37"/>
      <c r="E119" s="37">
        <f>'Forecast  2'!E41+'Forecast  2'!E40+'Forecast  2'!E39</f>
        <v>5750000</v>
      </c>
      <c r="G119" s="29"/>
      <c r="K119" s="13" t="s">
        <v>212</v>
      </c>
    </row>
    <row r="120" spans="2:11" ht="13">
      <c r="B120" s="15" t="str">
        <f>"Budgeted "&amp;B122</f>
        <v>Budgeted Invested Capital</v>
      </c>
      <c r="C120" s="32" t="str">
        <f t="shared" si="32"/>
        <v>$</v>
      </c>
      <c r="D120" s="37"/>
      <c r="E120" s="37">
        <f>IF(SUMPRODUCT(--('Forecast  2'!G15:CH15&lt;&gt;"committed"))=0,F9-F11-F12-F13,F9-F11-F12-F9*(IF('Forecast  2'!C17=TRUE,(1-E10),1)*SUMPRODUCT('Forecast  2'!G14:CH14,--('Forecast  2'!G15:CH15="committed"))))+IF(E29="new and follow investments",F9*'Forecast  2'!E219,0)</f>
        <v>19250000</v>
      </c>
      <c r="F120" s="62"/>
      <c r="K120" s="13" t="s">
        <v>213</v>
      </c>
    </row>
    <row r="121" spans="2:11" ht="13">
      <c r="B121" s="15" t="s">
        <v>214</v>
      </c>
      <c r="C121" s="32" t="str">
        <f t="shared" si="32"/>
        <v>$</v>
      </c>
      <c r="D121" s="37"/>
      <c r="E121" s="37">
        <f ca="1">'Forecast  2'!E42</f>
        <v>1042708.3333333333</v>
      </c>
      <c r="K121" s="13" t="s">
        <v>215</v>
      </c>
    </row>
    <row r="122" spans="2:11" ht="13">
      <c r="B122" s="15" t="s">
        <v>216</v>
      </c>
      <c r="C122" s="32" t="str">
        <f t="shared" si="32"/>
        <v>$</v>
      </c>
      <c r="D122" s="37"/>
      <c r="E122" s="37">
        <f ca="1">E120+E121</f>
        <v>20292708.333333332</v>
      </c>
      <c r="K122" s="13" t="s">
        <v>217</v>
      </c>
    </row>
    <row r="123" spans="2:11" ht="13">
      <c r="B123" s="15" t="s">
        <v>218</v>
      </c>
      <c r="C123" s="32" t="str">
        <f t="shared" si="32"/>
        <v>$</v>
      </c>
      <c r="D123" s="37"/>
      <c r="E123" s="37">
        <f ca="1">'Forecast  2'!E43</f>
        <v>95669973.4375</v>
      </c>
      <c r="K123" s="15" t="s">
        <v>219</v>
      </c>
    </row>
    <row r="124" spans="2:11" ht="13">
      <c r="B124" s="15" t="s">
        <v>220</v>
      </c>
      <c r="C124" s="32" t="str">
        <f t="shared" si="32"/>
        <v>$</v>
      </c>
      <c r="D124" s="37"/>
      <c r="E124" s="37">
        <f ca="1">'Forecast  2'!E194</f>
        <v>13925453.020833328</v>
      </c>
      <c r="K124" s="15" t="s">
        <v>219</v>
      </c>
    </row>
    <row r="125" spans="2:11" ht="13">
      <c r="B125" s="15" t="s">
        <v>221</v>
      </c>
      <c r="C125" s="32" t="str">
        <f t="shared" si="32"/>
        <v>$</v>
      </c>
      <c r="D125" s="37"/>
      <c r="E125" s="37">
        <f ca="1">'Forecast  2'!E47</f>
        <v>80701812.083333269</v>
      </c>
      <c r="K125" s="15" t="s">
        <v>219</v>
      </c>
    </row>
    <row r="126" spans="2:11" ht="13">
      <c r="B126" s="15"/>
      <c r="C126" s="19"/>
      <c r="D126" s="13"/>
      <c r="E126" s="13"/>
    </row>
    <row r="127" spans="2:11" ht="13">
      <c r="B127" s="15" t="s">
        <v>222</v>
      </c>
      <c r="C127" s="19" t="s">
        <v>90</v>
      </c>
      <c r="D127" s="63"/>
      <c r="E127" s="63">
        <f ca="1">'Forecast  2'!E97</f>
        <v>4.7145000000000001</v>
      </c>
      <c r="G127" s="35"/>
      <c r="I127" s="15"/>
      <c r="J127" s="15"/>
      <c r="K127" s="15" t="s">
        <v>223</v>
      </c>
    </row>
    <row r="128" spans="2:11" ht="13">
      <c r="B128" s="15" t="s">
        <v>224</v>
      </c>
      <c r="C128" s="19" t="s">
        <v>90</v>
      </c>
      <c r="D128" s="63"/>
      <c r="E128" s="63">
        <f ca="1">'Forecast  2'!E101</f>
        <v>3.2280724833333307</v>
      </c>
      <c r="I128" s="15"/>
      <c r="J128" s="15"/>
      <c r="K128" s="15" t="s">
        <v>225</v>
      </c>
    </row>
    <row r="129" spans="2:11" ht="13">
      <c r="B129" s="15" t="s">
        <v>226</v>
      </c>
      <c r="C129" s="19" t="s">
        <v>79</v>
      </c>
      <c r="D129" s="64"/>
      <c r="E129" s="64">
        <f ca="1">'Forecast  2'!E98</f>
        <v>0.45309876799583437</v>
      </c>
      <c r="I129" s="15"/>
      <c r="J129" s="15"/>
      <c r="K129" s="15" t="s">
        <v>227</v>
      </c>
    </row>
    <row r="130" spans="2:11" ht="13">
      <c r="B130" s="15" t="s">
        <v>228</v>
      </c>
      <c r="C130" s="19" t="s">
        <v>79</v>
      </c>
      <c r="D130" s="64"/>
      <c r="E130" s="64">
        <f ca="1">'Forecast  2'!E102</f>
        <v>0.35571061968803408</v>
      </c>
      <c r="I130" s="15"/>
      <c r="J130" s="15"/>
      <c r="K130" s="15" t="s">
        <v>227</v>
      </c>
    </row>
    <row r="131" spans="2:11" ht="13">
      <c r="B131" s="13" t="s">
        <v>229</v>
      </c>
      <c r="C131" s="65" t="s">
        <v>79</v>
      </c>
      <c r="D131" s="64"/>
      <c r="E131" s="64">
        <f ca="1">'Forecast  2'!E93</f>
        <v>0.69589833333333317</v>
      </c>
    </row>
    <row r="132" spans="2:11" ht="13">
      <c r="B132" s="15"/>
      <c r="C132" s="19"/>
    </row>
  </sheetData>
  <dataValidations count="3">
    <dataValidation type="list" allowBlank="1" showErrorMessage="1" sqref="E28" xr:uid="{00000000-0002-0000-0300-000000000000}">
      <formula1>"invested capital,invested capital plus cost basis,all proceeds"</formula1>
    </dataValidation>
    <dataValidation type="list" allowBlank="1" showErrorMessage="1" sqref="E29" xr:uid="{00000000-0002-0000-0300-000001000000}">
      <formula1>"new investments,new and follow investments"</formula1>
    </dataValidation>
    <dataValidation type="list" allowBlank="1" showErrorMessage="1" sqref="E26" xr:uid="{00000000-0002-0000-0300-000002000000}">
      <formula1>"management fees,committed capital"</formula1>
    </dataValidation>
  </dataValidations>
  <hyperlinks>
    <hyperlink ref="K101" location="null!A1" display="Follow ons are assumed to be on average 1-2 years after the new investment. If more detailed required, consider the Venture Investor Model (see Model Comparison sheet)" xr:uid="{00000000-0004-0000-0300-000000000000}"/>
    <hyperlink ref="K110" r:id="rId1"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H269"/>
  <sheetViews>
    <sheetView showGridLines="0" workbookViewId="0"/>
  </sheetViews>
  <sheetFormatPr baseColWidth="10" defaultColWidth="12.6640625" defaultRowHeight="15.75" customHeight="1" outlineLevelRow="1"/>
  <cols>
    <col min="1" max="1" width="4.33203125" customWidth="1"/>
    <col min="2" max="2" width="27" customWidth="1"/>
    <col min="3" max="3" width="12.5" customWidth="1"/>
    <col min="4" max="4" width="10.33203125" customWidth="1"/>
    <col min="5" max="5" width="11" customWidth="1"/>
    <col min="6" max="6" width="5.1640625" customWidth="1"/>
  </cols>
  <sheetData>
    <row r="1" spans="1:86" ht="13">
      <c r="A1" s="1"/>
      <c r="B1" s="68"/>
    </row>
    <row r="2" spans="1:86" ht="18">
      <c r="B2" s="2" t="s">
        <v>233</v>
      </c>
    </row>
    <row r="4" spans="1:86" ht="13">
      <c r="A4" s="15"/>
      <c r="B4" s="22" t="s">
        <v>234</v>
      </c>
      <c r="C4" s="69"/>
      <c r="D4" s="70"/>
      <c r="E4" s="70"/>
      <c r="F4" s="71"/>
      <c r="G4" s="72">
        <f>1</f>
        <v>1</v>
      </c>
      <c r="H4" s="72">
        <f t="shared" ref="H4:CH4" si="0">G4+1</f>
        <v>2</v>
      </c>
      <c r="I4" s="72">
        <f t="shared" si="0"/>
        <v>3</v>
      </c>
      <c r="J4" s="72">
        <f t="shared" si="0"/>
        <v>4</v>
      </c>
      <c r="K4" s="72">
        <f t="shared" si="0"/>
        <v>5</v>
      </c>
      <c r="L4" s="72">
        <f t="shared" si="0"/>
        <v>6</v>
      </c>
      <c r="M4" s="72">
        <f t="shared" si="0"/>
        <v>7</v>
      </c>
      <c r="N4" s="72">
        <f t="shared" si="0"/>
        <v>8</v>
      </c>
      <c r="O4" s="72">
        <f t="shared" si="0"/>
        <v>9</v>
      </c>
      <c r="P4" s="72">
        <f t="shared" si="0"/>
        <v>10</v>
      </c>
      <c r="Q4" s="72">
        <f t="shared" si="0"/>
        <v>11</v>
      </c>
      <c r="R4" s="72">
        <f t="shared" si="0"/>
        <v>12</v>
      </c>
      <c r="S4" s="72">
        <f t="shared" si="0"/>
        <v>13</v>
      </c>
      <c r="T4" s="72">
        <f t="shared" si="0"/>
        <v>14</v>
      </c>
      <c r="U4" s="72">
        <f t="shared" si="0"/>
        <v>15</v>
      </c>
      <c r="V4" s="72">
        <f t="shared" si="0"/>
        <v>16</v>
      </c>
      <c r="W4" s="72">
        <f t="shared" si="0"/>
        <v>17</v>
      </c>
      <c r="X4" s="72">
        <f t="shared" si="0"/>
        <v>18</v>
      </c>
      <c r="Y4" s="72">
        <f t="shared" si="0"/>
        <v>19</v>
      </c>
      <c r="Z4" s="72">
        <f t="shared" si="0"/>
        <v>20</v>
      </c>
      <c r="AA4" s="72">
        <f t="shared" si="0"/>
        <v>21</v>
      </c>
      <c r="AB4" s="72">
        <f t="shared" si="0"/>
        <v>22</v>
      </c>
      <c r="AC4" s="72">
        <f t="shared" si="0"/>
        <v>23</v>
      </c>
      <c r="AD4" s="72">
        <f t="shared" si="0"/>
        <v>24</v>
      </c>
      <c r="AE4" s="72">
        <f t="shared" si="0"/>
        <v>25</v>
      </c>
      <c r="AF4" s="72">
        <f t="shared" si="0"/>
        <v>26</v>
      </c>
      <c r="AG4" s="72">
        <f t="shared" si="0"/>
        <v>27</v>
      </c>
      <c r="AH4" s="72">
        <f t="shared" si="0"/>
        <v>28</v>
      </c>
      <c r="AI4" s="72">
        <f t="shared" si="0"/>
        <v>29</v>
      </c>
      <c r="AJ4" s="72">
        <f t="shared" si="0"/>
        <v>30</v>
      </c>
      <c r="AK4" s="72">
        <f t="shared" si="0"/>
        <v>31</v>
      </c>
      <c r="AL4" s="72">
        <f t="shared" si="0"/>
        <v>32</v>
      </c>
      <c r="AM4" s="72">
        <f t="shared" si="0"/>
        <v>33</v>
      </c>
      <c r="AN4" s="72">
        <f t="shared" si="0"/>
        <v>34</v>
      </c>
      <c r="AO4" s="72">
        <f t="shared" si="0"/>
        <v>35</v>
      </c>
      <c r="AP4" s="72">
        <f t="shared" si="0"/>
        <v>36</v>
      </c>
      <c r="AQ4" s="72">
        <f t="shared" si="0"/>
        <v>37</v>
      </c>
      <c r="AR4" s="72">
        <f t="shared" si="0"/>
        <v>38</v>
      </c>
      <c r="AS4" s="72">
        <f t="shared" si="0"/>
        <v>39</v>
      </c>
      <c r="AT4" s="72">
        <f t="shared" si="0"/>
        <v>40</v>
      </c>
      <c r="AU4" s="72">
        <f t="shared" si="0"/>
        <v>41</v>
      </c>
      <c r="AV4" s="72">
        <f t="shared" si="0"/>
        <v>42</v>
      </c>
      <c r="AW4" s="72">
        <f t="shared" si="0"/>
        <v>43</v>
      </c>
      <c r="AX4" s="72">
        <f t="shared" si="0"/>
        <v>44</v>
      </c>
      <c r="AY4" s="72">
        <f t="shared" si="0"/>
        <v>45</v>
      </c>
      <c r="AZ4" s="72">
        <f t="shared" si="0"/>
        <v>46</v>
      </c>
      <c r="BA4" s="72">
        <f t="shared" si="0"/>
        <v>47</v>
      </c>
      <c r="BB4" s="72">
        <f t="shared" si="0"/>
        <v>48</v>
      </c>
      <c r="BC4" s="72">
        <f t="shared" si="0"/>
        <v>49</v>
      </c>
      <c r="BD4" s="72">
        <f t="shared" si="0"/>
        <v>50</v>
      </c>
      <c r="BE4" s="72">
        <f t="shared" si="0"/>
        <v>51</v>
      </c>
      <c r="BF4" s="72">
        <f t="shared" si="0"/>
        <v>52</v>
      </c>
      <c r="BG4" s="72">
        <f t="shared" si="0"/>
        <v>53</v>
      </c>
      <c r="BH4" s="72">
        <f t="shared" si="0"/>
        <v>54</v>
      </c>
      <c r="BI4" s="72">
        <f t="shared" si="0"/>
        <v>55</v>
      </c>
      <c r="BJ4" s="72">
        <f t="shared" si="0"/>
        <v>56</v>
      </c>
      <c r="BK4" s="72">
        <f t="shared" si="0"/>
        <v>57</v>
      </c>
      <c r="BL4" s="72">
        <f t="shared" si="0"/>
        <v>58</v>
      </c>
      <c r="BM4" s="72">
        <f t="shared" si="0"/>
        <v>59</v>
      </c>
      <c r="BN4" s="72">
        <f t="shared" si="0"/>
        <v>60</v>
      </c>
      <c r="BO4" s="72">
        <f t="shared" si="0"/>
        <v>61</v>
      </c>
      <c r="BP4" s="72">
        <f t="shared" si="0"/>
        <v>62</v>
      </c>
      <c r="BQ4" s="72">
        <f t="shared" si="0"/>
        <v>63</v>
      </c>
      <c r="BR4" s="72">
        <f t="shared" si="0"/>
        <v>64</v>
      </c>
      <c r="BS4" s="72">
        <f t="shared" si="0"/>
        <v>65</v>
      </c>
      <c r="BT4" s="72">
        <f t="shared" si="0"/>
        <v>66</v>
      </c>
      <c r="BU4" s="72">
        <f t="shared" si="0"/>
        <v>67</v>
      </c>
      <c r="BV4" s="72">
        <f t="shared" si="0"/>
        <v>68</v>
      </c>
      <c r="BW4" s="72">
        <f t="shared" si="0"/>
        <v>69</v>
      </c>
      <c r="BX4" s="72">
        <f t="shared" si="0"/>
        <v>70</v>
      </c>
      <c r="BY4" s="72">
        <f t="shared" si="0"/>
        <v>71</v>
      </c>
      <c r="BZ4" s="72">
        <f t="shared" si="0"/>
        <v>72</v>
      </c>
      <c r="CA4" s="72">
        <f t="shared" si="0"/>
        <v>73</v>
      </c>
      <c r="CB4" s="72">
        <f t="shared" si="0"/>
        <v>74</v>
      </c>
      <c r="CC4" s="72">
        <f t="shared" si="0"/>
        <v>75</v>
      </c>
      <c r="CD4" s="72">
        <f t="shared" si="0"/>
        <v>76</v>
      </c>
      <c r="CE4" s="72">
        <f t="shared" si="0"/>
        <v>77</v>
      </c>
      <c r="CF4" s="72">
        <f t="shared" si="0"/>
        <v>78</v>
      </c>
      <c r="CG4" s="72">
        <f t="shared" si="0"/>
        <v>79</v>
      </c>
      <c r="CH4" s="72">
        <f t="shared" si="0"/>
        <v>80</v>
      </c>
    </row>
    <row r="5" spans="1:86" ht="13">
      <c r="B5" s="15" t="s">
        <v>235</v>
      </c>
      <c r="C5" s="15"/>
      <c r="F5" s="73"/>
      <c r="G5" s="74">
        <f ca="1">Forecast!G5</f>
        <v>46022</v>
      </c>
      <c r="H5" s="75">
        <f t="shared" ref="H5:CH5" ca="1" si="1">EOMONTH(EDATE(G5,3),0)</f>
        <v>46112</v>
      </c>
      <c r="I5" s="75">
        <f t="shared" ca="1" si="1"/>
        <v>46203</v>
      </c>
      <c r="J5" s="75">
        <f t="shared" ca="1" si="1"/>
        <v>46295</v>
      </c>
      <c r="K5" s="75">
        <f t="shared" ca="1" si="1"/>
        <v>46387</v>
      </c>
      <c r="L5" s="75">
        <f t="shared" ca="1" si="1"/>
        <v>46477</v>
      </c>
      <c r="M5" s="75">
        <f t="shared" ca="1" si="1"/>
        <v>46568</v>
      </c>
      <c r="N5" s="75">
        <f t="shared" ca="1" si="1"/>
        <v>46660</v>
      </c>
      <c r="O5" s="75">
        <f t="shared" ca="1" si="1"/>
        <v>46752</v>
      </c>
      <c r="P5" s="75">
        <f t="shared" ca="1" si="1"/>
        <v>46843</v>
      </c>
      <c r="Q5" s="75">
        <f t="shared" ca="1" si="1"/>
        <v>46934</v>
      </c>
      <c r="R5" s="75">
        <f t="shared" ca="1" si="1"/>
        <v>47026</v>
      </c>
      <c r="S5" s="75">
        <f t="shared" ca="1" si="1"/>
        <v>47118</v>
      </c>
      <c r="T5" s="75">
        <f t="shared" ca="1" si="1"/>
        <v>47208</v>
      </c>
      <c r="U5" s="75">
        <f t="shared" ca="1" si="1"/>
        <v>47299</v>
      </c>
      <c r="V5" s="75">
        <f t="shared" ca="1" si="1"/>
        <v>47391</v>
      </c>
      <c r="W5" s="75">
        <f t="shared" ca="1" si="1"/>
        <v>47483</v>
      </c>
      <c r="X5" s="75">
        <f t="shared" ca="1" si="1"/>
        <v>47573</v>
      </c>
      <c r="Y5" s="75">
        <f t="shared" ca="1" si="1"/>
        <v>47664</v>
      </c>
      <c r="Z5" s="75">
        <f t="shared" ca="1" si="1"/>
        <v>47756</v>
      </c>
      <c r="AA5" s="75">
        <f t="shared" ca="1" si="1"/>
        <v>47848</v>
      </c>
      <c r="AB5" s="75">
        <f t="shared" ca="1" si="1"/>
        <v>47938</v>
      </c>
      <c r="AC5" s="75">
        <f t="shared" ca="1" si="1"/>
        <v>48029</v>
      </c>
      <c r="AD5" s="75">
        <f t="shared" ca="1" si="1"/>
        <v>48121</v>
      </c>
      <c r="AE5" s="75">
        <f t="shared" ca="1" si="1"/>
        <v>48213</v>
      </c>
      <c r="AF5" s="75">
        <f t="shared" ca="1" si="1"/>
        <v>48304</v>
      </c>
      <c r="AG5" s="75">
        <f t="shared" ca="1" si="1"/>
        <v>48395</v>
      </c>
      <c r="AH5" s="75">
        <f t="shared" ca="1" si="1"/>
        <v>48487</v>
      </c>
      <c r="AI5" s="75">
        <f t="shared" ca="1" si="1"/>
        <v>48579</v>
      </c>
      <c r="AJ5" s="75">
        <f t="shared" ca="1" si="1"/>
        <v>48669</v>
      </c>
      <c r="AK5" s="75">
        <f t="shared" ca="1" si="1"/>
        <v>48760</v>
      </c>
      <c r="AL5" s="75">
        <f t="shared" ca="1" si="1"/>
        <v>48852</v>
      </c>
      <c r="AM5" s="75">
        <f t="shared" ca="1" si="1"/>
        <v>48944</v>
      </c>
      <c r="AN5" s="75">
        <f t="shared" ca="1" si="1"/>
        <v>49034</v>
      </c>
      <c r="AO5" s="75">
        <f t="shared" ca="1" si="1"/>
        <v>49125</v>
      </c>
      <c r="AP5" s="75">
        <f t="shared" ca="1" si="1"/>
        <v>49217</v>
      </c>
      <c r="AQ5" s="75">
        <f t="shared" ca="1" si="1"/>
        <v>49309</v>
      </c>
      <c r="AR5" s="75">
        <f t="shared" ca="1" si="1"/>
        <v>49399</v>
      </c>
      <c r="AS5" s="75">
        <f t="shared" ca="1" si="1"/>
        <v>49490</v>
      </c>
      <c r="AT5" s="75">
        <f t="shared" ca="1" si="1"/>
        <v>49582</v>
      </c>
      <c r="AU5" s="75">
        <f t="shared" ca="1" si="1"/>
        <v>49674</v>
      </c>
      <c r="AV5" s="75">
        <f t="shared" ca="1" si="1"/>
        <v>49765</v>
      </c>
      <c r="AW5" s="75">
        <f t="shared" ca="1" si="1"/>
        <v>49856</v>
      </c>
      <c r="AX5" s="75">
        <f t="shared" ca="1" si="1"/>
        <v>49948</v>
      </c>
      <c r="AY5" s="75">
        <f t="shared" ca="1" si="1"/>
        <v>50040</v>
      </c>
      <c r="AZ5" s="75">
        <f t="shared" ca="1" si="1"/>
        <v>50130</v>
      </c>
      <c r="BA5" s="75">
        <f t="shared" ca="1" si="1"/>
        <v>50221</v>
      </c>
      <c r="BB5" s="75">
        <f t="shared" ca="1" si="1"/>
        <v>50313</v>
      </c>
      <c r="BC5" s="75">
        <f t="shared" ca="1" si="1"/>
        <v>50405</v>
      </c>
      <c r="BD5" s="75">
        <f t="shared" ca="1" si="1"/>
        <v>50495</v>
      </c>
      <c r="BE5" s="75">
        <f t="shared" ca="1" si="1"/>
        <v>50586</v>
      </c>
      <c r="BF5" s="75">
        <f t="shared" ca="1" si="1"/>
        <v>50678</v>
      </c>
      <c r="BG5" s="75">
        <f t="shared" ca="1" si="1"/>
        <v>50770</v>
      </c>
      <c r="BH5" s="75">
        <f t="shared" ca="1" si="1"/>
        <v>50860</v>
      </c>
      <c r="BI5" s="75">
        <f t="shared" ca="1" si="1"/>
        <v>50951</v>
      </c>
      <c r="BJ5" s="75">
        <f t="shared" ca="1" si="1"/>
        <v>51043</v>
      </c>
      <c r="BK5" s="75">
        <f t="shared" ca="1" si="1"/>
        <v>51135</v>
      </c>
      <c r="BL5" s="75">
        <f t="shared" ca="1" si="1"/>
        <v>51226</v>
      </c>
      <c r="BM5" s="75">
        <f t="shared" ca="1" si="1"/>
        <v>51317</v>
      </c>
      <c r="BN5" s="75">
        <f t="shared" ca="1" si="1"/>
        <v>51409</v>
      </c>
      <c r="BO5" s="75">
        <f t="shared" ca="1" si="1"/>
        <v>51501</v>
      </c>
      <c r="BP5" s="75">
        <f t="shared" ca="1" si="1"/>
        <v>51591</v>
      </c>
      <c r="BQ5" s="75">
        <f t="shared" ca="1" si="1"/>
        <v>51682</v>
      </c>
      <c r="BR5" s="75">
        <f t="shared" ca="1" si="1"/>
        <v>51774</v>
      </c>
      <c r="BS5" s="75">
        <f t="shared" ca="1" si="1"/>
        <v>51866</v>
      </c>
      <c r="BT5" s="75">
        <f t="shared" ca="1" si="1"/>
        <v>51956</v>
      </c>
      <c r="BU5" s="75">
        <f t="shared" ca="1" si="1"/>
        <v>52047</v>
      </c>
      <c r="BV5" s="75">
        <f t="shared" ca="1" si="1"/>
        <v>52139</v>
      </c>
      <c r="BW5" s="75">
        <f t="shared" ca="1" si="1"/>
        <v>52231</v>
      </c>
      <c r="BX5" s="75">
        <f t="shared" ca="1" si="1"/>
        <v>52321</v>
      </c>
      <c r="BY5" s="75">
        <f t="shared" ca="1" si="1"/>
        <v>52412</v>
      </c>
      <c r="BZ5" s="75">
        <f t="shared" ca="1" si="1"/>
        <v>52504</v>
      </c>
      <c r="CA5" s="75">
        <f t="shared" ca="1" si="1"/>
        <v>52596</v>
      </c>
      <c r="CB5" s="75">
        <f t="shared" ca="1" si="1"/>
        <v>52687</v>
      </c>
      <c r="CC5" s="75">
        <f t="shared" ca="1" si="1"/>
        <v>52778</v>
      </c>
      <c r="CD5" s="75">
        <f t="shared" ca="1" si="1"/>
        <v>52870</v>
      </c>
      <c r="CE5" s="75">
        <f t="shared" ca="1" si="1"/>
        <v>52962</v>
      </c>
      <c r="CF5" s="75">
        <f t="shared" ca="1" si="1"/>
        <v>53052</v>
      </c>
      <c r="CG5" s="75">
        <f t="shared" ca="1" si="1"/>
        <v>53143</v>
      </c>
      <c r="CH5" s="75">
        <f t="shared" ca="1" si="1"/>
        <v>53235</v>
      </c>
    </row>
    <row r="6" spans="1:86" ht="13">
      <c r="B6" s="15"/>
      <c r="C6" s="15"/>
      <c r="D6" s="15"/>
      <c r="E6" s="15"/>
      <c r="F6" s="73"/>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row>
    <row r="7" spans="1:86" ht="13">
      <c r="B7" s="76" t="s">
        <v>236</v>
      </c>
      <c r="D7" s="15"/>
      <c r="E7" s="15"/>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row>
    <row r="8" spans="1:86" ht="13">
      <c r="B8" s="15" t="str">
        <f>'Get Started  2'!B15</f>
        <v>Active Investment time period (quarters)</v>
      </c>
      <c r="C8" s="15" t="s">
        <v>237</v>
      </c>
      <c r="D8" s="15" t="s">
        <v>238</v>
      </c>
      <c r="E8" s="29">
        <f t="shared" ref="E8:E10" si="2">IF(D8="sum",SUM(G8:CH8),IF(D8="final",CH8,IF(D8="initial",G8,IF(D8="average",AVERAGE(G8:CH8),0))))</f>
        <v>16</v>
      </c>
      <c r="F8" s="29"/>
      <c r="G8" s="29">
        <f>IF(G$4&lt;='Get Started  2'!$E15,1,0)</f>
        <v>1</v>
      </c>
      <c r="H8" s="29">
        <f>IF(H$4&lt;='Get Started  2'!$E15,1,0)</f>
        <v>1</v>
      </c>
      <c r="I8" s="29">
        <f>IF(I$4&lt;='Get Started  2'!$E15,1,0)</f>
        <v>1</v>
      </c>
      <c r="J8" s="29">
        <f>IF(J$4&lt;='Get Started  2'!$E15,1,0)</f>
        <v>1</v>
      </c>
      <c r="K8" s="29">
        <f>IF(K$4&lt;='Get Started  2'!$E15,1,0)</f>
        <v>1</v>
      </c>
      <c r="L8" s="29">
        <f>IF(L$4&lt;='Get Started  2'!$E15,1,0)</f>
        <v>1</v>
      </c>
      <c r="M8" s="29">
        <f>IF(M$4&lt;='Get Started  2'!$E15,1,0)</f>
        <v>1</v>
      </c>
      <c r="N8" s="29">
        <f>IF(N$4&lt;='Get Started  2'!$E15,1,0)</f>
        <v>1</v>
      </c>
      <c r="O8" s="29">
        <f>IF(O$4&lt;='Get Started  2'!$E15,1,0)</f>
        <v>1</v>
      </c>
      <c r="P8" s="29">
        <f>IF(P$4&lt;='Get Started  2'!$E15,1,0)</f>
        <v>1</v>
      </c>
      <c r="Q8" s="29">
        <f>IF(Q$4&lt;='Get Started  2'!$E15,1,0)</f>
        <v>1</v>
      </c>
      <c r="R8" s="29">
        <f>IF(R$4&lt;='Get Started  2'!$E15,1,0)</f>
        <v>1</v>
      </c>
      <c r="S8" s="29">
        <f>IF(S$4&lt;='Get Started  2'!$E15,1,0)</f>
        <v>1</v>
      </c>
      <c r="T8" s="29">
        <f>IF(T$4&lt;='Get Started  2'!$E15,1,0)</f>
        <v>1</v>
      </c>
      <c r="U8" s="29">
        <f>IF(U$4&lt;='Get Started  2'!$E15,1,0)</f>
        <v>1</v>
      </c>
      <c r="V8" s="29">
        <f>IF(V$4&lt;='Get Started  2'!$E15,1,0)</f>
        <v>1</v>
      </c>
      <c r="W8" s="29">
        <f>IF(W$4&lt;='Get Started  2'!$E15,1,0)</f>
        <v>0</v>
      </c>
      <c r="X8" s="29">
        <f>IF(X$4&lt;='Get Started  2'!$E15,1,0)</f>
        <v>0</v>
      </c>
      <c r="Y8" s="29">
        <f>IF(Y$4&lt;='Get Started  2'!$E15,1,0)</f>
        <v>0</v>
      </c>
      <c r="Z8" s="29">
        <f>IF(Z$4&lt;='Get Started  2'!$E15,1,0)</f>
        <v>0</v>
      </c>
      <c r="AA8" s="29">
        <f>IF(AA$4&lt;='Get Started  2'!$E15,1,0)</f>
        <v>0</v>
      </c>
      <c r="AB8" s="29">
        <f>IF(AB$4&lt;='Get Started  2'!$E15,1,0)</f>
        <v>0</v>
      </c>
      <c r="AC8" s="29">
        <f>IF(AC$4&lt;='Get Started  2'!$E15,1,0)</f>
        <v>0</v>
      </c>
      <c r="AD8" s="29">
        <f>IF(AD$4&lt;='Get Started  2'!$E15,1,0)</f>
        <v>0</v>
      </c>
      <c r="AE8" s="29">
        <f>IF(AE$4&lt;='Get Started  2'!$E15,1,0)</f>
        <v>0</v>
      </c>
      <c r="AF8" s="29">
        <f>IF(AF$4&lt;='Get Started  2'!$E15,1,0)</f>
        <v>0</v>
      </c>
      <c r="AG8" s="29">
        <f>IF(AG$4&lt;='Get Started  2'!$E15,1,0)</f>
        <v>0</v>
      </c>
      <c r="AH8" s="29">
        <f>IF(AH$4&lt;='Get Started  2'!$E15,1,0)</f>
        <v>0</v>
      </c>
      <c r="AI8" s="29">
        <f>IF(AI$4&lt;='Get Started  2'!$E15,1,0)</f>
        <v>0</v>
      </c>
      <c r="AJ8" s="29">
        <f>IF(AJ$4&lt;='Get Started  2'!$E15,1,0)</f>
        <v>0</v>
      </c>
      <c r="AK8" s="29">
        <f>IF(AK$4&lt;='Get Started  2'!$E15,1,0)</f>
        <v>0</v>
      </c>
      <c r="AL8" s="29">
        <f>IF(AL$4&lt;='Get Started  2'!$E15,1,0)</f>
        <v>0</v>
      </c>
      <c r="AM8" s="29">
        <f>IF(AM$4&lt;='Get Started  2'!$E15,1,0)</f>
        <v>0</v>
      </c>
      <c r="AN8" s="29">
        <f>IF(AN$4&lt;='Get Started  2'!$E15,1,0)</f>
        <v>0</v>
      </c>
      <c r="AO8" s="29">
        <f>IF(AO$4&lt;='Get Started  2'!$E15,1,0)</f>
        <v>0</v>
      </c>
      <c r="AP8" s="29">
        <f>IF(AP$4&lt;='Get Started  2'!$E15,1,0)</f>
        <v>0</v>
      </c>
      <c r="AQ8" s="29">
        <f>IF(AQ$4&lt;='Get Started  2'!$E15,1,0)</f>
        <v>0</v>
      </c>
      <c r="AR8" s="29">
        <f>IF(AR$4&lt;='Get Started  2'!$E15,1,0)</f>
        <v>0</v>
      </c>
      <c r="AS8" s="29">
        <f>IF(AS$4&lt;='Get Started  2'!$E15,1,0)</f>
        <v>0</v>
      </c>
      <c r="AT8" s="29">
        <f>IF(AT$4&lt;='Get Started  2'!$E15,1,0)</f>
        <v>0</v>
      </c>
      <c r="AU8" s="29">
        <f>IF(AU$4&lt;='Get Started  2'!$E15,1,0)</f>
        <v>0</v>
      </c>
      <c r="AV8" s="29">
        <f>IF(AV$4&lt;='Get Started  2'!$E15,1,0)</f>
        <v>0</v>
      </c>
      <c r="AW8" s="29">
        <f>IF(AW$4&lt;='Get Started  2'!$E15,1,0)</f>
        <v>0</v>
      </c>
      <c r="AX8" s="29">
        <f>IF(AX$4&lt;='Get Started  2'!$E15,1,0)</f>
        <v>0</v>
      </c>
      <c r="AY8" s="29">
        <f>IF(AY$4&lt;='Get Started  2'!$E15,1,0)</f>
        <v>0</v>
      </c>
      <c r="AZ8" s="29">
        <f>IF(AZ$4&lt;='Get Started  2'!$E15,1,0)</f>
        <v>0</v>
      </c>
      <c r="BA8" s="29">
        <f>IF(BA$4&lt;='Get Started  2'!$E15,1,0)</f>
        <v>0</v>
      </c>
      <c r="BB8" s="29">
        <f>IF(BB$4&lt;='Get Started  2'!$E15,1,0)</f>
        <v>0</v>
      </c>
      <c r="BC8" s="29">
        <f>IF(BC$4&lt;='Get Started  2'!$E15,1,0)</f>
        <v>0</v>
      </c>
      <c r="BD8" s="29">
        <f>IF(BD$4&lt;='Get Started  2'!$E15,1,0)</f>
        <v>0</v>
      </c>
      <c r="BE8" s="29">
        <f>IF(BE$4&lt;='Get Started  2'!$E15,1,0)</f>
        <v>0</v>
      </c>
      <c r="BF8" s="29">
        <f>IF(BF$4&lt;='Get Started  2'!$E15,1,0)</f>
        <v>0</v>
      </c>
      <c r="BG8" s="29">
        <f>IF(BG$4&lt;='Get Started  2'!$E15,1,0)</f>
        <v>0</v>
      </c>
      <c r="BH8" s="29">
        <f>IF(BH$4&lt;='Get Started  2'!$E15,1,0)</f>
        <v>0</v>
      </c>
      <c r="BI8" s="29">
        <f>IF(BI$4&lt;='Get Started  2'!$E15,1,0)</f>
        <v>0</v>
      </c>
      <c r="BJ8" s="29">
        <f>IF(BJ$4&lt;='Get Started  2'!$E15,1,0)</f>
        <v>0</v>
      </c>
      <c r="BK8" s="29">
        <f>IF(BK$4&lt;='Get Started  2'!$E15,1,0)</f>
        <v>0</v>
      </c>
      <c r="BL8" s="29">
        <f>IF(BL$4&lt;='Get Started  2'!$E15,1,0)</f>
        <v>0</v>
      </c>
      <c r="BM8" s="29">
        <f>IF(BM$4&lt;='Get Started  2'!$E15,1,0)</f>
        <v>0</v>
      </c>
      <c r="BN8" s="29">
        <f>IF(BN$4&lt;='Get Started  2'!$E15,1,0)</f>
        <v>0</v>
      </c>
      <c r="BO8" s="29">
        <f>IF(BO$4&lt;='Get Started  2'!$E15,1,0)</f>
        <v>0</v>
      </c>
      <c r="BP8" s="29">
        <f>IF(BP$4&lt;='Get Started  2'!$E15,1,0)</f>
        <v>0</v>
      </c>
      <c r="BQ8" s="29">
        <f>IF(BQ$4&lt;='Get Started  2'!$E15,1,0)</f>
        <v>0</v>
      </c>
      <c r="BR8" s="29">
        <f>IF(BR$4&lt;='Get Started  2'!$E15,1,0)</f>
        <v>0</v>
      </c>
      <c r="BS8" s="29">
        <f>IF(BS$4&lt;='Get Started  2'!$E15,1,0)</f>
        <v>0</v>
      </c>
      <c r="BT8" s="29">
        <f>IF(BT$4&lt;='Get Started  2'!$E15,1,0)</f>
        <v>0</v>
      </c>
      <c r="BU8" s="29">
        <f>IF(BU$4&lt;='Get Started  2'!$E15,1,0)</f>
        <v>0</v>
      </c>
      <c r="BV8" s="29">
        <f>IF(BV$4&lt;='Get Started  2'!$E15,1,0)</f>
        <v>0</v>
      </c>
      <c r="BW8" s="29">
        <f>IF(BW$4&lt;='Get Started  2'!$E15,1,0)</f>
        <v>0</v>
      </c>
      <c r="BX8" s="29">
        <f>IF(BX$4&lt;='Get Started  2'!$E15,1,0)</f>
        <v>0</v>
      </c>
      <c r="BY8" s="29">
        <f>IF(BY$4&lt;='Get Started  2'!$E15,1,0)</f>
        <v>0</v>
      </c>
      <c r="BZ8" s="29">
        <f>IF(BZ$4&lt;='Get Started  2'!$E15,1,0)</f>
        <v>0</v>
      </c>
      <c r="CA8" s="29">
        <f>IF(CA$4&lt;='Get Started  2'!$E15,1,0)</f>
        <v>0</v>
      </c>
      <c r="CB8" s="29">
        <f>IF(CB$4&lt;='Get Started  2'!$E15,1,0)</f>
        <v>0</v>
      </c>
      <c r="CC8" s="29">
        <f>IF(CC$4&lt;='Get Started  2'!$E15,1,0)</f>
        <v>0</v>
      </c>
      <c r="CD8" s="29">
        <f>IF(CD$4&lt;='Get Started  2'!$E15,1,0)</f>
        <v>0</v>
      </c>
      <c r="CE8" s="29">
        <f>IF(CE$4&lt;='Get Started  2'!$E15,1,0)</f>
        <v>0</v>
      </c>
      <c r="CF8" s="29">
        <f>IF(CF$4&lt;='Get Started  2'!$E15,1,0)</f>
        <v>0</v>
      </c>
      <c r="CG8" s="29">
        <f>IF(CG$4&lt;='Get Started  2'!$E15,1,0)</f>
        <v>0</v>
      </c>
      <c r="CH8" s="29">
        <f>IF(CH$4&lt;='Get Started  2'!$E15,1,0)</f>
        <v>0</v>
      </c>
    </row>
    <row r="9" spans="1:86" ht="13">
      <c r="B9" s="15" t="str">
        <f>'Get Started  2'!B16</f>
        <v>Fund Duration (Management Fees time period) (quarters)</v>
      </c>
      <c r="C9" s="57" t="s">
        <v>239</v>
      </c>
      <c r="D9" s="15" t="s">
        <v>238</v>
      </c>
      <c r="E9" s="29">
        <f t="shared" si="2"/>
        <v>40</v>
      </c>
      <c r="F9" s="29"/>
      <c r="G9" s="29">
        <f>IF(G$4&lt;='Get Started  2'!$E16,1,0)*G10</f>
        <v>1</v>
      </c>
      <c r="H9" s="29">
        <f>IF(H$4&lt;='Get Started  2'!$E16,1,0)*H10</f>
        <v>1</v>
      </c>
      <c r="I9" s="29">
        <f>IF(I$4&lt;='Get Started  2'!$E16,1,0)*I10</f>
        <v>1</v>
      </c>
      <c r="J9" s="29">
        <f>IF(J$4&lt;='Get Started  2'!$E16,1,0)*J10</f>
        <v>1</v>
      </c>
      <c r="K9" s="29">
        <f>IF(K$4&lt;='Get Started  2'!$E16,1,0)*K10</f>
        <v>1</v>
      </c>
      <c r="L9" s="29">
        <f>IF(L$4&lt;='Get Started  2'!$E16,1,0)*L10</f>
        <v>1</v>
      </c>
      <c r="M9" s="29">
        <f>IF(M$4&lt;='Get Started  2'!$E16,1,0)*M10</f>
        <v>1</v>
      </c>
      <c r="N9" s="29">
        <f>IF(N$4&lt;='Get Started  2'!$E16,1,0)*N10</f>
        <v>1</v>
      </c>
      <c r="O9" s="29">
        <f>IF(O$4&lt;='Get Started  2'!$E16,1,0)*O10</f>
        <v>1</v>
      </c>
      <c r="P9" s="29">
        <f>IF(P$4&lt;='Get Started  2'!$E16,1,0)*P10</f>
        <v>1</v>
      </c>
      <c r="Q9" s="29">
        <f>IF(Q$4&lt;='Get Started  2'!$E16,1,0)*Q10</f>
        <v>1</v>
      </c>
      <c r="R9" s="29">
        <f>IF(R$4&lt;='Get Started  2'!$E16,1,0)*R10</f>
        <v>1</v>
      </c>
      <c r="S9" s="29">
        <f>IF(S$4&lt;='Get Started  2'!$E16,1,0)*S10</f>
        <v>1</v>
      </c>
      <c r="T9" s="29">
        <f>IF(T$4&lt;='Get Started  2'!$E16,1,0)*T10</f>
        <v>1</v>
      </c>
      <c r="U9" s="29">
        <f>IF(U$4&lt;='Get Started  2'!$E16,1,0)*U10</f>
        <v>1</v>
      </c>
      <c r="V9" s="29">
        <f>IF(V$4&lt;='Get Started  2'!$E16,1,0)*V10</f>
        <v>1</v>
      </c>
      <c r="W9" s="29">
        <f>IF(W$4&lt;='Get Started  2'!$E16,1,0)*W10</f>
        <v>1</v>
      </c>
      <c r="X9" s="29">
        <f>IF(X$4&lt;='Get Started  2'!$E16,1,0)*X10</f>
        <v>1</v>
      </c>
      <c r="Y9" s="29">
        <f>IF(Y$4&lt;='Get Started  2'!$E16,1,0)*Y10</f>
        <v>1</v>
      </c>
      <c r="Z9" s="29">
        <f>IF(Z$4&lt;='Get Started  2'!$E16,1,0)*Z10</f>
        <v>1</v>
      </c>
      <c r="AA9" s="29">
        <f>IF(AA$4&lt;='Get Started  2'!$E16,1,0)*AA10</f>
        <v>1</v>
      </c>
      <c r="AB9" s="29">
        <f>IF(AB$4&lt;='Get Started  2'!$E16,1,0)*AB10</f>
        <v>1</v>
      </c>
      <c r="AC9" s="29">
        <f>IF(AC$4&lt;='Get Started  2'!$E16,1,0)*AC10</f>
        <v>1</v>
      </c>
      <c r="AD9" s="29">
        <f>IF(AD$4&lt;='Get Started  2'!$E16,1,0)*AD10</f>
        <v>1</v>
      </c>
      <c r="AE9" s="29">
        <f>IF(AE$4&lt;='Get Started  2'!$E16,1,0)*AE10</f>
        <v>1</v>
      </c>
      <c r="AF9" s="29">
        <f>IF(AF$4&lt;='Get Started  2'!$E16,1,0)*AF10</f>
        <v>1</v>
      </c>
      <c r="AG9" s="29">
        <f>IF(AG$4&lt;='Get Started  2'!$E16,1,0)*AG10</f>
        <v>1</v>
      </c>
      <c r="AH9" s="29">
        <f>IF(AH$4&lt;='Get Started  2'!$E16,1,0)*AH10</f>
        <v>1</v>
      </c>
      <c r="AI9" s="29">
        <f>IF(AI$4&lt;='Get Started  2'!$E16,1,0)*AI10</f>
        <v>1</v>
      </c>
      <c r="AJ9" s="29">
        <f>IF(AJ$4&lt;='Get Started  2'!$E16,1,0)*AJ10</f>
        <v>1</v>
      </c>
      <c r="AK9" s="29">
        <f>IF(AK$4&lt;='Get Started  2'!$E16,1,0)*AK10</f>
        <v>1</v>
      </c>
      <c r="AL9" s="29">
        <f>IF(AL$4&lt;='Get Started  2'!$E16,1,0)*AL10</f>
        <v>1</v>
      </c>
      <c r="AM9" s="29">
        <f>IF(AM$4&lt;='Get Started  2'!$E16,1,0)*AM10</f>
        <v>1</v>
      </c>
      <c r="AN9" s="29">
        <f>IF(AN$4&lt;='Get Started  2'!$E16,1,0)*AN10</f>
        <v>1</v>
      </c>
      <c r="AO9" s="29">
        <f>IF(AO$4&lt;='Get Started  2'!$E16,1,0)*AO10</f>
        <v>1</v>
      </c>
      <c r="AP9" s="29">
        <f>IF(AP$4&lt;='Get Started  2'!$E16,1,0)*AP10</f>
        <v>1</v>
      </c>
      <c r="AQ9" s="29">
        <f>IF(AQ$4&lt;='Get Started  2'!$E16,1,0)*AQ10</f>
        <v>1</v>
      </c>
      <c r="AR9" s="29">
        <f>IF(AR$4&lt;='Get Started  2'!$E16,1,0)*AR10</f>
        <v>1</v>
      </c>
      <c r="AS9" s="29">
        <f>IF(AS$4&lt;='Get Started  2'!$E16,1,0)*AS10</f>
        <v>1</v>
      </c>
      <c r="AT9" s="29">
        <f>IF(AT$4&lt;='Get Started  2'!$E16,1,0)*AT10</f>
        <v>1</v>
      </c>
      <c r="AU9" s="29">
        <f>IF(AU$4&lt;='Get Started  2'!$E16,1,0)*AU10</f>
        <v>0</v>
      </c>
      <c r="AV9" s="29">
        <f>IF(AV$4&lt;='Get Started  2'!$E16,1,0)*AV10</f>
        <v>0</v>
      </c>
      <c r="AW9" s="29">
        <f>IF(AW$4&lt;='Get Started  2'!$E16,1,0)*AW10</f>
        <v>0</v>
      </c>
      <c r="AX9" s="29">
        <f>IF(AX$4&lt;='Get Started  2'!$E16,1,0)*AX10</f>
        <v>0</v>
      </c>
      <c r="AY9" s="29">
        <f>IF(AY$4&lt;='Get Started  2'!$E16,1,0)*AY10</f>
        <v>0</v>
      </c>
      <c r="AZ9" s="29">
        <f>IF(AZ$4&lt;='Get Started  2'!$E16,1,0)*AZ10</f>
        <v>0</v>
      </c>
      <c r="BA9" s="29">
        <f>IF(BA$4&lt;='Get Started  2'!$E16,1,0)*BA10</f>
        <v>0</v>
      </c>
      <c r="BB9" s="29">
        <f>IF(BB$4&lt;='Get Started  2'!$E16,1,0)*BB10</f>
        <v>0</v>
      </c>
      <c r="BC9" s="29">
        <f>IF(BC$4&lt;='Get Started  2'!$E16,1,0)*BC10</f>
        <v>0</v>
      </c>
      <c r="BD9" s="29">
        <f>IF(BD$4&lt;='Get Started  2'!$E16,1,0)*BD10</f>
        <v>0</v>
      </c>
      <c r="BE9" s="29">
        <f>IF(BE$4&lt;='Get Started  2'!$E16,1,0)*BE10</f>
        <v>0</v>
      </c>
      <c r="BF9" s="29">
        <f>IF(BF$4&lt;='Get Started  2'!$E16,1,0)*BF10</f>
        <v>0</v>
      </c>
      <c r="BG9" s="29">
        <f>IF(BG$4&lt;='Get Started  2'!$E16,1,0)*BG10</f>
        <v>0</v>
      </c>
      <c r="BH9" s="29">
        <f>IF(BH$4&lt;='Get Started  2'!$E16,1,0)*BH10</f>
        <v>0</v>
      </c>
      <c r="BI9" s="29">
        <f>IF(BI$4&lt;='Get Started  2'!$E16,1,0)*BI10</f>
        <v>0</v>
      </c>
      <c r="BJ9" s="29">
        <f>IF(BJ$4&lt;='Get Started  2'!$E16,1,0)*BJ10</f>
        <v>0</v>
      </c>
      <c r="BK9" s="29">
        <f>IF(BK$4&lt;='Get Started  2'!$E16,1,0)*BK10</f>
        <v>0</v>
      </c>
      <c r="BL9" s="29">
        <f>IF(BL$4&lt;='Get Started  2'!$E16,1,0)*BL10</f>
        <v>0</v>
      </c>
      <c r="BM9" s="29">
        <f>IF(BM$4&lt;='Get Started  2'!$E16,1,0)*BM10</f>
        <v>0</v>
      </c>
      <c r="BN9" s="29">
        <f>IF(BN$4&lt;='Get Started  2'!$E16,1,0)*BN10</f>
        <v>0</v>
      </c>
      <c r="BO9" s="29">
        <f>IF(BO$4&lt;='Get Started  2'!$E16,1,0)*BO10</f>
        <v>0</v>
      </c>
      <c r="BP9" s="29">
        <f>IF(BP$4&lt;='Get Started  2'!$E16,1,0)*BP10</f>
        <v>0</v>
      </c>
      <c r="BQ9" s="29">
        <f>IF(BQ$4&lt;='Get Started  2'!$E16,1,0)*BQ10</f>
        <v>0</v>
      </c>
      <c r="BR9" s="29">
        <f>IF(BR$4&lt;='Get Started  2'!$E16,1,0)*BR10</f>
        <v>0</v>
      </c>
      <c r="BS9" s="29">
        <f>IF(BS$4&lt;='Get Started  2'!$E16,1,0)*BS10</f>
        <v>0</v>
      </c>
      <c r="BT9" s="29">
        <f>IF(BT$4&lt;='Get Started  2'!$E16,1,0)*BT10</f>
        <v>0</v>
      </c>
      <c r="BU9" s="29">
        <f>IF(BU$4&lt;='Get Started  2'!$E16,1,0)*BU10</f>
        <v>0</v>
      </c>
      <c r="BV9" s="29">
        <f>IF(BV$4&lt;='Get Started  2'!$E16,1,0)*BV10</f>
        <v>0</v>
      </c>
      <c r="BW9" s="29">
        <f>IF(BW$4&lt;='Get Started  2'!$E16,1,0)*BW10</f>
        <v>0</v>
      </c>
      <c r="BX9" s="29">
        <f>IF(BX$4&lt;='Get Started  2'!$E16,1,0)*BX10</f>
        <v>0</v>
      </c>
      <c r="BY9" s="29">
        <f>IF(BY$4&lt;='Get Started  2'!$E16,1,0)*BY10</f>
        <v>0</v>
      </c>
      <c r="BZ9" s="29">
        <f>IF(BZ$4&lt;='Get Started  2'!$E16,1,0)*BZ10</f>
        <v>0</v>
      </c>
      <c r="CA9" s="29">
        <f>IF(CA$4&lt;='Get Started  2'!$E16,1,0)*CA10</f>
        <v>0</v>
      </c>
      <c r="CB9" s="29">
        <f>IF(CB$4&lt;='Get Started  2'!$E16,1,0)*CB10</f>
        <v>0</v>
      </c>
      <c r="CC9" s="29">
        <f>IF(CC$4&lt;='Get Started  2'!$E16,1,0)*CC10</f>
        <v>0</v>
      </c>
      <c r="CD9" s="29">
        <f>IF(CD$4&lt;='Get Started  2'!$E16,1,0)*CD10</f>
        <v>0</v>
      </c>
      <c r="CE9" s="29">
        <f>IF(CE$4&lt;='Get Started  2'!$E16,1,0)*CE10</f>
        <v>0</v>
      </c>
      <c r="CF9" s="29">
        <f>IF(CF$4&lt;='Get Started  2'!$E16,1,0)*CF10</f>
        <v>0</v>
      </c>
      <c r="CG9" s="29">
        <f>IF(CG$4&lt;='Get Started  2'!$E16,1,0)*CG10</f>
        <v>0</v>
      </c>
      <c r="CH9" s="29">
        <f>IF(CH$4&lt;='Get Started  2'!$E16,1,0)*CH10</f>
        <v>0</v>
      </c>
    </row>
    <row r="10" spans="1:86" ht="13">
      <c r="B10" s="15" t="str">
        <f>'Get Started  2'!B17</f>
        <v>Fund Operations time period (quarters)</v>
      </c>
      <c r="C10" s="15"/>
      <c r="D10" s="15" t="s">
        <v>238</v>
      </c>
      <c r="E10" s="29">
        <f t="shared" si="2"/>
        <v>40</v>
      </c>
      <c r="F10" s="29"/>
      <c r="G10" s="29">
        <f>IF(G$4&lt;='Get Started  2'!$E17,1,0)</f>
        <v>1</v>
      </c>
      <c r="H10" s="29">
        <f>IF(H$4&lt;='Get Started  2'!$E17,1,0)</f>
        <v>1</v>
      </c>
      <c r="I10" s="29">
        <f>IF(I$4&lt;='Get Started  2'!$E17,1,0)</f>
        <v>1</v>
      </c>
      <c r="J10" s="29">
        <f>IF(J$4&lt;='Get Started  2'!$E17,1,0)</f>
        <v>1</v>
      </c>
      <c r="K10" s="29">
        <f>IF(K$4&lt;='Get Started  2'!$E17,1,0)</f>
        <v>1</v>
      </c>
      <c r="L10" s="29">
        <f>IF(L$4&lt;='Get Started  2'!$E17,1,0)</f>
        <v>1</v>
      </c>
      <c r="M10" s="29">
        <f>IF(M$4&lt;='Get Started  2'!$E17,1,0)</f>
        <v>1</v>
      </c>
      <c r="N10" s="29">
        <f>IF(N$4&lt;='Get Started  2'!$E17,1,0)</f>
        <v>1</v>
      </c>
      <c r="O10" s="29">
        <f>IF(O$4&lt;='Get Started  2'!$E17,1,0)</f>
        <v>1</v>
      </c>
      <c r="P10" s="29">
        <f>IF(P$4&lt;='Get Started  2'!$E17,1,0)</f>
        <v>1</v>
      </c>
      <c r="Q10" s="29">
        <f>IF(Q$4&lt;='Get Started  2'!$E17,1,0)</f>
        <v>1</v>
      </c>
      <c r="R10" s="29">
        <f>IF(R$4&lt;='Get Started  2'!$E17,1,0)</f>
        <v>1</v>
      </c>
      <c r="S10" s="29">
        <f>IF(S$4&lt;='Get Started  2'!$E17,1,0)</f>
        <v>1</v>
      </c>
      <c r="T10" s="29">
        <f>IF(T$4&lt;='Get Started  2'!$E17,1,0)</f>
        <v>1</v>
      </c>
      <c r="U10" s="29">
        <f>IF(U$4&lt;='Get Started  2'!$E17,1,0)</f>
        <v>1</v>
      </c>
      <c r="V10" s="29">
        <f>IF(V$4&lt;='Get Started  2'!$E17,1,0)</f>
        <v>1</v>
      </c>
      <c r="W10" s="29">
        <f>IF(W$4&lt;='Get Started  2'!$E17,1,0)</f>
        <v>1</v>
      </c>
      <c r="X10" s="29">
        <f>IF(X$4&lt;='Get Started  2'!$E17,1,0)</f>
        <v>1</v>
      </c>
      <c r="Y10" s="29">
        <f>IF(Y$4&lt;='Get Started  2'!$E17,1,0)</f>
        <v>1</v>
      </c>
      <c r="Z10" s="29">
        <f>IF(Z$4&lt;='Get Started  2'!$E17,1,0)</f>
        <v>1</v>
      </c>
      <c r="AA10" s="29">
        <f>IF(AA$4&lt;='Get Started  2'!$E17,1,0)</f>
        <v>1</v>
      </c>
      <c r="AB10" s="29">
        <f>IF(AB$4&lt;='Get Started  2'!$E17,1,0)</f>
        <v>1</v>
      </c>
      <c r="AC10" s="29">
        <f>IF(AC$4&lt;='Get Started  2'!$E17,1,0)</f>
        <v>1</v>
      </c>
      <c r="AD10" s="29">
        <f>IF(AD$4&lt;='Get Started  2'!$E17,1,0)</f>
        <v>1</v>
      </c>
      <c r="AE10" s="29">
        <f>IF(AE$4&lt;='Get Started  2'!$E17,1,0)</f>
        <v>1</v>
      </c>
      <c r="AF10" s="29">
        <f>IF(AF$4&lt;='Get Started  2'!$E17,1,0)</f>
        <v>1</v>
      </c>
      <c r="AG10" s="29">
        <f>IF(AG$4&lt;='Get Started  2'!$E17,1,0)</f>
        <v>1</v>
      </c>
      <c r="AH10" s="29">
        <f>IF(AH$4&lt;='Get Started  2'!$E17,1,0)</f>
        <v>1</v>
      </c>
      <c r="AI10" s="29">
        <f>IF(AI$4&lt;='Get Started  2'!$E17,1,0)</f>
        <v>1</v>
      </c>
      <c r="AJ10" s="29">
        <f>IF(AJ$4&lt;='Get Started  2'!$E17,1,0)</f>
        <v>1</v>
      </c>
      <c r="AK10" s="29">
        <f>IF(AK$4&lt;='Get Started  2'!$E17,1,0)</f>
        <v>1</v>
      </c>
      <c r="AL10" s="29">
        <f>IF(AL$4&lt;='Get Started  2'!$E17,1,0)</f>
        <v>1</v>
      </c>
      <c r="AM10" s="29">
        <f>IF(AM$4&lt;='Get Started  2'!$E17,1,0)</f>
        <v>1</v>
      </c>
      <c r="AN10" s="29">
        <f>IF(AN$4&lt;='Get Started  2'!$E17,1,0)</f>
        <v>1</v>
      </c>
      <c r="AO10" s="29">
        <f>IF(AO$4&lt;='Get Started  2'!$E17,1,0)</f>
        <v>1</v>
      </c>
      <c r="AP10" s="29">
        <f>IF(AP$4&lt;='Get Started  2'!$E17,1,0)</f>
        <v>1</v>
      </c>
      <c r="AQ10" s="29">
        <f>IF(AQ$4&lt;='Get Started  2'!$E17,1,0)</f>
        <v>1</v>
      </c>
      <c r="AR10" s="29">
        <f>IF(AR$4&lt;='Get Started  2'!$E17,1,0)</f>
        <v>1</v>
      </c>
      <c r="AS10" s="29">
        <f>IF(AS$4&lt;='Get Started  2'!$E17,1,0)</f>
        <v>1</v>
      </c>
      <c r="AT10" s="29">
        <f>IF(AT$4&lt;='Get Started  2'!$E17,1,0)</f>
        <v>1</v>
      </c>
      <c r="AU10" s="29">
        <f>IF(AU$4&lt;='Get Started  2'!$E17,1,0)</f>
        <v>0</v>
      </c>
      <c r="AV10" s="29">
        <f>IF(AV$4&lt;='Get Started  2'!$E17,1,0)</f>
        <v>0</v>
      </c>
      <c r="AW10" s="29">
        <f>IF(AW$4&lt;='Get Started  2'!$E17,1,0)</f>
        <v>0</v>
      </c>
      <c r="AX10" s="29">
        <f>IF(AX$4&lt;='Get Started  2'!$E17,1,0)</f>
        <v>0</v>
      </c>
      <c r="AY10" s="29">
        <f>IF(AY$4&lt;='Get Started  2'!$E17,1,0)</f>
        <v>0</v>
      </c>
      <c r="AZ10" s="29">
        <f>IF(AZ$4&lt;='Get Started  2'!$E17,1,0)</f>
        <v>0</v>
      </c>
      <c r="BA10" s="29">
        <f>IF(BA$4&lt;='Get Started  2'!$E17,1,0)</f>
        <v>0</v>
      </c>
      <c r="BB10" s="29">
        <f>IF(BB$4&lt;='Get Started  2'!$E17,1,0)</f>
        <v>0</v>
      </c>
      <c r="BC10" s="29">
        <f>IF(BC$4&lt;='Get Started  2'!$E17,1,0)</f>
        <v>0</v>
      </c>
      <c r="BD10" s="29">
        <f>IF(BD$4&lt;='Get Started  2'!$E17,1,0)</f>
        <v>0</v>
      </c>
      <c r="BE10" s="29">
        <f>IF(BE$4&lt;='Get Started  2'!$E17,1,0)</f>
        <v>0</v>
      </c>
      <c r="BF10" s="29">
        <f>IF(BF$4&lt;='Get Started  2'!$E17,1,0)</f>
        <v>0</v>
      </c>
      <c r="BG10" s="29">
        <f>IF(BG$4&lt;='Get Started  2'!$E17,1,0)</f>
        <v>0</v>
      </c>
      <c r="BH10" s="29">
        <f>IF(BH$4&lt;='Get Started  2'!$E17,1,0)</f>
        <v>0</v>
      </c>
      <c r="BI10" s="29">
        <f>IF(BI$4&lt;='Get Started  2'!$E17,1,0)</f>
        <v>0</v>
      </c>
      <c r="BJ10" s="29">
        <f>IF(BJ$4&lt;='Get Started  2'!$E17,1,0)</f>
        <v>0</v>
      </c>
      <c r="BK10" s="29">
        <f>IF(BK$4&lt;='Get Started  2'!$E17,1,0)</f>
        <v>0</v>
      </c>
      <c r="BL10" s="29">
        <f>IF(BL$4&lt;='Get Started  2'!$E17,1,0)</f>
        <v>0</v>
      </c>
      <c r="BM10" s="29">
        <f>IF(BM$4&lt;='Get Started  2'!$E17,1,0)</f>
        <v>0</v>
      </c>
      <c r="BN10" s="29">
        <f>IF(BN$4&lt;='Get Started  2'!$E17,1,0)</f>
        <v>0</v>
      </c>
      <c r="BO10" s="29">
        <f>IF(BO$4&lt;='Get Started  2'!$E17,1,0)</f>
        <v>0</v>
      </c>
      <c r="BP10" s="29">
        <f>IF(BP$4&lt;='Get Started  2'!$E17,1,0)</f>
        <v>0</v>
      </c>
      <c r="BQ10" s="29">
        <f>IF(BQ$4&lt;='Get Started  2'!$E17,1,0)</f>
        <v>0</v>
      </c>
      <c r="BR10" s="29">
        <f>IF(BR$4&lt;='Get Started  2'!$E17,1,0)</f>
        <v>0</v>
      </c>
      <c r="BS10" s="29">
        <f>IF(BS$4&lt;='Get Started  2'!$E17,1,0)</f>
        <v>0</v>
      </c>
      <c r="BT10" s="29">
        <f>IF(BT$4&lt;='Get Started  2'!$E17,1,0)</f>
        <v>0</v>
      </c>
      <c r="BU10" s="29">
        <f>IF(BU$4&lt;='Get Started  2'!$E17,1,0)</f>
        <v>0</v>
      </c>
      <c r="BV10" s="29">
        <f>IF(BV$4&lt;='Get Started  2'!$E17,1,0)</f>
        <v>0</v>
      </c>
      <c r="BW10" s="29">
        <f>IF(BW$4&lt;='Get Started  2'!$E17,1,0)</f>
        <v>0</v>
      </c>
      <c r="BX10" s="29">
        <f>IF(BX$4&lt;='Get Started  2'!$E17,1,0)</f>
        <v>0</v>
      </c>
      <c r="BY10" s="29">
        <f>IF(BY$4&lt;='Get Started  2'!$E17,1,0)</f>
        <v>0</v>
      </c>
      <c r="BZ10" s="29">
        <f>IF(BZ$4&lt;='Get Started  2'!$E17,1,0)</f>
        <v>0</v>
      </c>
      <c r="CA10" s="29">
        <f>IF(CA$4&lt;='Get Started  2'!$E17,1,0)</f>
        <v>0</v>
      </c>
      <c r="CB10" s="29">
        <f>IF(CB$4&lt;='Get Started  2'!$E17,1,0)</f>
        <v>0</v>
      </c>
      <c r="CC10" s="29">
        <f>IF(CC$4&lt;='Get Started  2'!$E17,1,0)</f>
        <v>0</v>
      </c>
      <c r="CD10" s="29">
        <f>IF(CD$4&lt;='Get Started  2'!$E17,1,0)</f>
        <v>0</v>
      </c>
      <c r="CE10" s="29">
        <f>IF(CE$4&lt;='Get Started  2'!$E17,1,0)</f>
        <v>0</v>
      </c>
      <c r="CF10" s="29">
        <f>IF(CF$4&lt;='Get Started  2'!$E17,1,0)</f>
        <v>0</v>
      </c>
      <c r="CG10" s="29">
        <f>IF(CG$4&lt;='Get Started  2'!$E17,1,0)</f>
        <v>0</v>
      </c>
      <c r="CH10" s="29">
        <f>IF(CH$4&lt;='Get Started  2'!$E17,1,0)</f>
        <v>0</v>
      </c>
    </row>
    <row r="11" spans="1:86" ht="13">
      <c r="B11" s="13" t="s">
        <v>240</v>
      </c>
      <c r="D11" s="13" t="s">
        <v>238</v>
      </c>
      <c r="E11" s="37">
        <f>IF(D11="sum",SUM(G11:EP11),IF(D11="final",EP11,IF(D11="initial",G11,IF(D11="average",AVERAGE(G11:EP11),0))))</f>
        <v>16</v>
      </c>
      <c r="F11" s="48"/>
      <c r="G11" s="37">
        <f>IF('Get Started  2'!$E29="new investments",G8,IF(G$4&lt;='Get Started  2'!$E15+MAX('Get Started  2'!$E55:$H55,'Get Started  2'!$E65:$H65),1,0))</f>
        <v>1</v>
      </c>
      <c r="H11" s="37">
        <f>IF('Get Started  2'!$E29="new investments",H8,IF(H$4&lt;='Get Started  2'!$E15+MAX('Get Started  2'!$E55:$H55,'Get Started  2'!$E65:$H65),1,0))</f>
        <v>1</v>
      </c>
      <c r="I11" s="37">
        <f>IF('Get Started  2'!$E29="new investments",I8,IF(I$4&lt;='Get Started  2'!$E15+MAX('Get Started  2'!$E55:$H55,'Get Started  2'!$E65:$H65),1,0))</f>
        <v>1</v>
      </c>
      <c r="J11" s="37">
        <f>IF('Get Started  2'!$E29="new investments",J8,IF(J$4&lt;='Get Started  2'!$E15+MAX('Get Started  2'!$E55:$H55,'Get Started  2'!$E65:$H65),1,0))</f>
        <v>1</v>
      </c>
      <c r="K11" s="37">
        <f>IF('Get Started  2'!$E29="new investments",K8,IF(K$4&lt;='Get Started  2'!$E15+MAX('Get Started  2'!$E55:$H55,'Get Started  2'!$E65:$H65),1,0))</f>
        <v>1</v>
      </c>
      <c r="L11" s="37">
        <f>IF('Get Started  2'!$E29="new investments",L8,IF(L$4&lt;='Get Started  2'!$E15+MAX('Get Started  2'!$E55:$H55,'Get Started  2'!$E65:$H65),1,0))</f>
        <v>1</v>
      </c>
      <c r="M11" s="37">
        <f>IF('Get Started  2'!$E29="new investments",M8,IF(M$4&lt;='Get Started  2'!$E15+MAX('Get Started  2'!$E55:$H55,'Get Started  2'!$E65:$H65),1,0))</f>
        <v>1</v>
      </c>
      <c r="N11" s="37">
        <f>IF('Get Started  2'!$E29="new investments",N8,IF(N$4&lt;='Get Started  2'!$E15+MAX('Get Started  2'!$E55:$H55,'Get Started  2'!$E65:$H65),1,0))</f>
        <v>1</v>
      </c>
      <c r="O11" s="37">
        <f>IF('Get Started  2'!$E29="new investments",O8,IF(O$4&lt;='Get Started  2'!$E15+MAX('Get Started  2'!$E55:$H55,'Get Started  2'!$E65:$H65),1,0))</f>
        <v>1</v>
      </c>
      <c r="P11" s="37">
        <f>IF('Get Started  2'!$E29="new investments",P8,IF(P$4&lt;='Get Started  2'!$E15+MAX('Get Started  2'!$E55:$H55,'Get Started  2'!$E65:$H65),1,0))</f>
        <v>1</v>
      </c>
      <c r="Q11" s="37">
        <f>IF('Get Started  2'!$E29="new investments",Q8,IF(Q$4&lt;='Get Started  2'!$E15+MAX('Get Started  2'!$E55:$H55,'Get Started  2'!$E65:$H65),1,0))</f>
        <v>1</v>
      </c>
      <c r="R11" s="37">
        <f>IF('Get Started  2'!$E29="new investments",R8,IF(R$4&lt;='Get Started  2'!$E15+MAX('Get Started  2'!$E55:$H55,'Get Started  2'!$E65:$H65),1,0))</f>
        <v>1</v>
      </c>
      <c r="S11" s="37">
        <f>IF('Get Started  2'!$E29="new investments",S8,IF(S$4&lt;='Get Started  2'!$E15+MAX('Get Started  2'!$E55:$H55,'Get Started  2'!$E65:$H65),1,0))</f>
        <v>1</v>
      </c>
      <c r="T11" s="37">
        <f>IF('Get Started  2'!$E29="new investments",T8,IF(T$4&lt;='Get Started  2'!$E15+MAX('Get Started  2'!$E55:$H55,'Get Started  2'!$E65:$H65),1,0))</f>
        <v>1</v>
      </c>
      <c r="U11" s="37">
        <f>IF('Get Started  2'!$E29="new investments",U8,IF(U$4&lt;='Get Started  2'!$E15+MAX('Get Started  2'!$E55:$H55,'Get Started  2'!$E65:$H65),1,0))</f>
        <v>1</v>
      </c>
      <c r="V11" s="37">
        <f>IF('Get Started  2'!$E29="new investments",V8,IF(V$4&lt;='Get Started  2'!$E15+MAX('Get Started  2'!$E55:$H55,'Get Started  2'!$E65:$H65),1,0))</f>
        <v>1</v>
      </c>
      <c r="W11" s="37">
        <f>IF('Get Started  2'!$E29="new investments",W8,IF(W$4&lt;='Get Started  2'!$E15+MAX('Get Started  2'!$E55:$H55,'Get Started  2'!$E65:$H65),1,0))</f>
        <v>0</v>
      </c>
      <c r="X11" s="37">
        <f>IF('Get Started  2'!$E29="new investments",X8,IF(X$4&lt;='Get Started  2'!$E15+MAX('Get Started  2'!$E55:$H55,'Get Started  2'!$E65:$H65),1,0))</f>
        <v>0</v>
      </c>
      <c r="Y11" s="37">
        <f>IF('Get Started  2'!$E29="new investments",Y8,IF(Y$4&lt;='Get Started  2'!$E15+MAX('Get Started  2'!$E55:$H55,'Get Started  2'!$E65:$H65),1,0))</f>
        <v>0</v>
      </c>
      <c r="Z11" s="37">
        <f>IF('Get Started  2'!$E29="new investments",Z8,IF(Z$4&lt;='Get Started  2'!$E15+MAX('Get Started  2'!$E55:$H55,'Get Started  2'!$E65:$H65),1,0))</f>
        <v>0</v>
      </c>
      <c r="AA11" s="37">
        <f>IF('Get Started  2'!$E29="new investments",AA8,IF(AA$4&lt;='Get Started  2'!$E15+MAX('Get Started  2'!$E55:$H55,'Get Started  2'!$E65:$H65),1,0))</f>
        <v>0</v>
      </c>
      <c r="AB11" s="37">
        <f>IF('Get Started  2'!$E29="new investments",AB8,IF(AB$4&lt;='Get Started  2'!$E15+MAX('Get Started  2'!$E55:$H55,'Get Started  2'!$E65:$H65),1,0))</f>
        <v>0</v>
      </c>
      <c r="AC11" s="37">
        <f>IF('Get Started  2'!$E29="new investments",AC8,IF(AC$4&lt;='Get Started  2'!$E15+MAX('Get Started  2'!$E55:$H55,'Get Started  2'!$E65:$H65),1,0))</f>
        <v>0</v>
      </c>
      <c r="AD11" s="37">
        <f>IF('Get Started  2'!$E29="new investments",AD8,IF(AD$4&lt;='Get Started  2'!$E15+MAX('Get Started  2'!$E55:$H55,'Get Started  2'!$E65:$H65),1,0))</f>
        <v>0</v>
      </c>
      <c r="AE11" s="37">
        <f>IF('Get Started  2'!$E29="new investments",AE8,IF(AE$4&lt;='Get Started  2'!$E15+MAX('Get Started  2'!$E55:$H55,'Get Started  2'!$E65:$H65),1,0))</f>
        <v>0</v>
      </c>
      <c r="AF11" s="37">
        <f>IF('Get Started  2'!$E29="new investments",AF8,IF(AF$4&lt;='Get Started  2'!$E15+MAX('Get Started  2'!$E55:$H55,'Get Started  2'!$E65:$H65),1,0))</f>
        <v>0</v>
      </c>
      <c r="AG11" s="37">
        <f>IF('Get Started  2'!$E29="new investments",AG8,IF(AG$4&lt;='Get Started  2'!$E15+MAX('Get Started  2'!$E55:$H55,'Get Started  2'!$E65:$H65),1,0))</f>
        <v>0</v>
      </c>
      <c r="AH11" s="37">
        <f>IF('Get Started  2'!$E29="new investments",AH8,IF(AH$4&lt;='Get Started  2'!$E15+MAX('Get Started  2'!$E55:$H55,'Get Started  2'!$E65:$H65),1,0))</f>
        <v>0</v>
      </c>
      <c r="AI11" s="37">
        <f>IF('Get Started  2'!$E29="new investments",AI8,IF(AI$4&lt;='Get Started  2'!$E15+MAX('Get Started  2'!$E55:$H55,'Get Started  2'!$E65:$H65),1,0))</f>
        <v>0</v>
      </c>
      <c r="AJ11" s="37">
        <f>IF('Get Started  2'!$E29="new investments",AJ8,IF(AJ$4&lt;='Get Started  2'!$E15+MAX('Get Started  2'!$E55:$H55,'Get Started  2'!$E65:$H65),1,0))</f>
        <v>0</v>
      </c>
      <c r="AK11" s="37">
        <f>IF('Get Started  2'!$E29="new investments",AK8,IF(AK$4&lt;='Get Started  2'!$E15+MAX('Get Started  2'!$E55:$H55,'Get Started  2'!$E65:$H65),1,0))</f>
        <v>0</v>
      </c>
      <c r="AL11" s="37">
        <f>IF('Get Started  2'!$E29="new investments",AL8,IF(AL$4&lt;='Get Started  2'!$E15+MAX('Get Started  2'!$E55:$H55,'Get Started  2'!$E65:$H65),1,0))</f>
        <v>0</v>
      </c>
      <c r="AM11" s="37">
        <f>IF('Get Started  2'!$E29="new investments",AM8,IF(AM$4&lt;='Get Started  2'!$E15+MAX('Get Started  2'!$E55:$H55,'Get Started  2'!$E65:$H65),1,0))</f>
        <v>0</v>
      </c>
      <c r="AN11" s="37">
        <f>IF('Get Started  2'!$E29="new investments",AN8,IF(AN$4&lt;='Get Started  2'!$E15+MAX('Get Started  2'!$E55:$H55,'Get Started  2'!$E65:$H65),1,0))</f>
        <v>0</v>
      </c>
      <c r="AO11" s="37">
        <f>IF('Get Started  2'!$E29="new investments",AO8,IF(AO$4&lt;='Get Started  2'!$E15+MAX('Get Started  2'!$E55:$H55,'Get Started  2'!$E65:$H65),1,0))</f>
        <v>0</v>
      </c>
      <c r="AP11" s="37">
        <f>IF('Get Started  2'!$E29="new investments",AP8,IF(AP$4&lt;='Get Started  2'!$E15+MAX('Get Started  2'!$E55:$H55,'Get Started  2'!$E65:$H65),1,0))</f>
        <v>0</v>
      </c>
      <c r="AQ11" s="37">
        <f>IF('Get Started  2'!$E29="new investments",AQ8,IF(AQ$4&lt;='Get Started  2'!$E15+MAX('Get Started  2'!$E55:$H55,'Get Started  2'!$E65:$H65),1,0))</f>
        <v>0</v>
      </c>
      <c r="AR11" s="37">
        <f>IF('Get Started  2'!$E29="new investments",AR8,IF(AR$4&lt;='Get Started  2'!$E15+MAX('Get Started  2'!$E55:$H55,'Get Started  2'!$E65:$H65),1,0))</f>
        <v>0</v>
      </c>
      <c r="AS11" s="37">
        <f>IF('Get Started  2'!$E29="new investments",AS8,IF(AS$4&lt;='Get Started  2'!$E15+MAX('Get Started  2'!$E55:$H55,'Get Started  2'!$E65:$H65),1,0))</f>
        <v>0</v>
      </c>
      <c r="AT11" s="37">
        <f>IF('Get Started  2'!$E29="new investments",AT8,IF(AT$4&lt;='Get Started  2'!$E15+MAX('Get Started  2'!$E55:$H55,'Get Started  2'!$E65:$H65),1,0))</f>
        <v>0</v>
      </c>
      <c r="AU11" s="37">
        <f>IF('Get Started  2'!$E29="new investments",AU8,IF(AU$4&lt;='Get Started  2'!$E15+MAX('Get Started  2'!$E55:$H55,'Get Started  2'!$E65:$H65),1,0))</f>
        <v>0</v>
      </c>
      <c r="AV11" s="37">
        <f>IF('Get Started  2'!$E29="new investments",AV8,IF(AV$4&lt;='Get Started  2'!$E15+MAX('Get Started  2'!$E55:$H55,'Get Started  2'!$E65:$H65),1,0))</f>
        <v>0</v>
      </c>
      <c r="AW11" s="37">
        <f>IF('Get Started  2'!$E29="new investments",AW8,IF(AW$4&lt;='Get Started  2'!$E15+MAX('Get Started  2'!$E55:$H55,'Get Started  2'!$E65:$H65),1,0))</f>
        <v>0</v>
      </c>
      <c r="AX11" s="37">
        <f>IF('Get Started  2'!$E29="new investments",AX8,IF(AX$4&lt;='Get Started  2'!$E15+MAX('Get Started  2'!$E55:$H55,'Get Started  2'!$E65:$H65),1,0))</f>
        <v>0</v>
      </c>
      <c r="AY11" s="37">
        <f>IF('Get Started  2'!$E29="new investments",AY8,IF(AY$4&lt;='Get Started  2'!$E15+MAX('Get Started  2'!$E55:$H55,'Get Started  2'!$E65:$H65),1,0))</f>
        <v>0</v>
      </c>
      <c r="AZ11" s="37">
        <f>IF('Get Started  2'!$E29="new investments",AZ8,IF(AZ$4&lt;='Get Started  2'!$E15+MAX('Get Started  2'!$E55:$H55,'Get Started  2'!$E65:$H65),1,0))</f>
        <v>0</v>
      </c>
      <c r="BA11" s="37">
        <f>IF('Get Started  2'!$E29="new investments",BA8,IF(BA$4&lt;='Get Started  2'!$E15+MAX('Get Started  2'!$E55:$H55,'Get Started  2'!$E65:$H65),1,0))</f>
        <v>0</v>
      </c>
      <c r="BB11" s="37">
        <f>IF('Get Started  2'!$E29="new investments",BB8,IF(BB$4&lt;='Get Started  2'!$E15+MAX('Get Started  2'!$E55:$H55,'Get Started  2'!$E65:$H65),1,0))</f>
        <v>0</v>
      </c>
      <c r="BC11" s="37">
        <f>IF('Get Started  2'!$E29="new investments",BC8,IF(BC$4&lt;='Get Started  2'!$E15+MAX('Get Started  2'!$E55:$H55,'Get Started  2'!$E65:$H65),1,0))</f>
        <v>0</v>
      </c>
      <c r="BD11" s="37">
        <f>IF('Get Started  2'!$E29="new investments",BD8,IF(BD$4&lt;='Get Started  2'!$E15+MAX('Get Started  2'!$E55:$H55,'Get Started  2'!$E65:$H65),1,0))</f>
        <v>0</v>
      </c>
      <c r="BE11" s="37">
        <f>IF('Get Started  2'!$E29="new investments",BE8,IF(BE$4&lt;='Get Started  2'!$E15+MAX('Get Started  2'!$E55:$H55,'Get Started  2'!$E65:$H65),1,0))</f>
        <v>0</v>
      </c>
      <c r="BF11" s="37">
        <f>IF('Get Started  2'!$E29="new investments",BF8,IF(BF$4&lt;='Get Started  2'!$E15+MAX('Get Started  2'!$E55:$H55,'Get Started  2'!$E65:$H65),1,0))</f>
        <v>0</v>
      </c>
      <c r="BG11" s="37">
        <f>IF('Get Started  2'!$E29="new investments",BG8,IF(BG$4&lt;='Get Started  2'!$E15+MAX('Get Started  2'!$E55:$H55,'Get Started  2'!$E65:$H65),1,0))</f>
        <v>0</v>
      </c>
      <c r="BH11" s="37">
        <f>IF('Get Started  2'!$E29="new investments",BH8,IF(BH$4&lt;='Get Started  2'!$E15+MAX('Get Started  2'!$E55:$H55,'Get Started  2'!$E65:$H65),1,0))</f>
        <v>0</v>
      </c>
      <c r="BI11" s="37">
        <f>IF('Get Started  2'!$E29="new investments",BI8,IF(BI$4&lt;='Get Started  2'!$E15+MAX('Get Started  2'!$E55:$H55,'Get Started  2'!$E65:$H65),1,0))</f>
        <v>0</v>
      </c>
      <c r="BJ11" s="37">
        <f>IF('Get Started  2'!$E29="new investments",BJ8,IF(BJ$4&lt;='Get Started  2'!$E15+MAX('Get Started  2'!$E55:$H55,'Get Started  2'!$E65:$H65),1,0))</f>
        <v>0</v>
      </c>
      <c r="BK11" s="37">
        <f>IF('Get Started  2'!$E29="new investments",BK8,IF(BK$4&lt;='Get Started  2'!$E15+MAX('Get Started  2'!$E55:$H55,'Get Started  2'!$E65:$H65),1,0))</f>
        <v>0</v>
      </c>
      <c r="BL11" s="37">
        <f>IF('Get Started  2'!$E29="new investments",BL8,IF(BL$4&lt;='Get Started  2'!$E15+MAX('Get Started  2'!$E55:$H55,'Get Started  2'!$E65:$H65),1,0))</f>
        <v>0</v>
      </c>
      <c r="BM11" s="37">
        <f>IF('Get Started  2'!$E29="new investments",BM8,IF(BM$4&lt;='Get Started  2'!$E15+MAX('Get Started  2'!$E55:$H55,'Get Started  2'!$E65:$H65),1,0))</f>
        <v>0</v>
      </c>
      <c r="BN11" s="37">
        <f>IF('Get Started  2'!$E29="new investments",BN8,IF(BN$4&lt;='Get Started  2'!$E15+MAX('Get Started  2'!$E55:$H55,'Get Started  2'!$E65:$H65),1,0))</f>
        <v>0</v>
      </c>
      <c r="BO11" s="37">
        <f>IF('Get Started  2'!$E29="new investments",BO8,IF(BO$4&lt;='Get Started  2'!$E15+MAX('Get Started  2'!$E55:$H55,'Get Started  2'!$E65:$H65),1,0))</f>
        <v>0</v>
      </c>
      <c r="BP11" s="37">
        <f>IF('Get Started  2'!$E29="new investments",BP8,IF(BP$4&lt;='Get Started  2'!$E15+MAX('Get Started  2'!$E55:$H55,'Get Started  2'!$E65:$H65),1,0))</f>
        <v>0</v>
      </c>
      <c r="BQ11" s="37">
        <f>IF('Get Started  2'!$E29="new investments",BQ8,IF(BQ$4&lt;='Get Started  2'!$E15+MAX('Get Started  2'!$E55:$H55,'Get Started  2'!$E65:$H65),1,0))</f>
        <v>0</v>
      </c>
      <c r="BR11" s="37">
        <f>IF('Get Started  2'!$E29="new investments",BR8,IF(BR$4&lt;='Get Started  2'!$E15+MAX('Get Started  2'!$E55:$H55,'Get Started  2'!$E65:$H65),1,0))</f>
        <v>0</v>
      </c>
      <c r="BS11" s="37">
        <f>IF('Get Started  2'!$E29="new investments",BS8,IF(BS$4&lt;='Get Started  2'!$E15+MAX('Get Started  2'!$E55:$H55,'Get Started  2'!$E65:$H65),1,0))</f>
        <v>0</v>
      </c>
      <c r="BT11" s="37">
        <f>IF('Get Started  2'!$E29="new investments",BT8,IF(BT$4&lt;='Get Started  2'!$E15+MAX('Get Started  2'!$E55:$H55,'Get Started  2'!$E65:$H65),1,0))</f>
        <v>0</v>
      </c>
      <c r="BU11" s="37">
        <f>IF('Get Started  2'!$E29="new investments",BU8,IF(BU$4&lt;='Get Started  2'!$E15+MAX('Get Started  2'!$E55:$H55,'Get Started  2'!$E65:$H65),1,0))</f>
        <v>0</v>
      </c>
      <c r="BV11" s="37">
        <f>IF('Get Started  2'!$E29="new investments",BV8,IF(BV$4&lt;='Get Started  2'!$E15+MAX('Get Started  2'!$E55:$H55,'Get Started  2'!$E65:$H65),1,0))</f>
        <v>0</v>
      </c>
      <c r="BW11" s="37">
        <f>IF('Get Started  2'!$E29="new investments",BW8,IF(BW$4&lt;='Get Started  2'!$E15+MAX('Get Started  2'!$E55:$H55,'Get Started  2'!$E65:$H65),1,0))</f>
        <v>0</v>
      </c>
      <c r="BX11" s="37">
        <f>IF('Get Started  2'!$E29="new investments",BX8,IF(BX$4&lt;='Get Started  2'!$E15+MAX('Get Started  2'!$E55:$H55,'Get Started  2'!$E65:$H65),1,0))</f>
        <v>0</v>
      </c>
      <c r="BY11" s="37">
        <f>IF('Get Started  2'!$E29="new investments",BY8,IF(BY$4&lt;='Get Started  2'!$E15+MAX('Get Started  2'!$E55:$H55,'Get Started  2'!$E65:$H65),1,0))</f>
        <v>0</v>
      </c>
      <c r="BZ11" s="37">
        <f>IF('Get Started  2'!$E29="new investments",BZ8,IF(BZ$4&lt;='Get Started  2'!$E15+MAX('Get Started  2'!$E55:$H55,'Get Started  2'!$E65:$H65),1,0))</f>
        <v>0</v>
      </c>
      <c r="CA11" s="37">
        <f>IF('Get Started  2'!$E29="new investments",CA8,IF(CA$4&lt;='Get Started  2'!$E15+MAX('Get Started  2'!$E55:$H55,'Get Started  2'!$E65:$H65),1,0))</f>
        <v>0</v>
      </c>
      <c r="CB11" s="37">
        <f>IF('Get Started  2'!$E29="new investments",CB8,IF(CB$4&lt;='Get Started  2'!$E15+MAX('Get Started  2'!$E55:$H55,'Get Started  2'!$E65:$H65),1,0))</f>
        <v>0</v>
      </c>
      <c r="CC11" s="37">
        <f>IF('Get Started  2'!$E29="new investments",CC8,IF(CC$4&lt;='Get Started  2'!$E15+MAX('Get Started  2'!$E55:$H55,'Get Started  2'!$E65:$H65),1,0))</f>
        <v>0</v>
      </c>
      <c r="CD11" s="37">
        <f>IF('Get Started  2'!$E29="new investments",CD8,IF(CD$4&lt;='Get Started  2'!$E15+MAX('Get Started  2'!$E55:$H55,'Get Started  2'!$E65:$H65),1,0))</f>
        <v>0</v>
      </c>
      <c r="CE11" s="37">
        <f>IF('Get Started  2'!$E29="new investments",CE8,IF(CE$4&lt;='Get Started  2'!$E15+MAX('Get Started  2'!$E55:$H55,'Get Started  2'!$E65:$H65),1,0))</f>
        <v>0</v>
      </c>
      <c r="CF11" s="37">
        <f>IF('Get Started  2'!$E29="new investments",CF8,IF(CF$4&lt;='Get Started  2'!$E15+MAX('Get Started  2'!$E55:$H55,'Get Started  2'!$E65:$H65),1,0))</f>
        <v>0</v>
      </c>
      <c r="CG11" s="37">
        <f>IF('Get Started  2'!$E29="new investments",CG8,IF(CG$4&lt;='Get Started  2'!$E15+MAX('Get Started  2'!$E55:$H55,'Get Started  2'!$E65:$H65),1,0))</f>
        <v>0</v>
      </c>
      <c r="CH11" s="37">
        <f>IF('Get Started  2'!$E29="new investments",CH8,IF(CH$4&lt;='Get Started  2'!$E15+MAX('Get Started  2'!$E55:$H55,'Get Started  2'!$E65:$H65),1,0))</f>
        <v>0</v>
      </c>
    </row>
    <row r="12" spans="1:86" ht="13">
      <c r="B12" s="15"/>
      <c r="C12" s="15"/>
      <c r="D12" s="15"/>
      <c r="E12" s="15"/>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row>
    <row r="13" spans="1:86" ht="13">
      <c r="B13" s="76" t="s">
        <v>241</v>
      </c>
      <c r="C13" s="15"/>
      <c r="D13" s="15"/>
      <c r="E13" s="15"/>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row>
    <row r="14" spans="1:86" ht="13">
      <c r="B14" s="15" t="s">
        <v>242</v>
      </c>
      <c r="D14" s="15" t="s">
        <v>238</v>
      </c>
      <c r="E14" s="77">
        <f t="shared" ref="E14:E17" si="3">IF(D14="sum",SUM(G14:CH14),IF(D14="final",CH14,IF(D14="initial",G14,IF(D14="average",AVERAGE(G14:CH14),0))))</f>
        <v>0.20000000000000009</v>
      </c>
      <c r="F14" s="29"/>
      <c r="G14" s="31">
        <f>Forecast!G14</f>
        <v>5.0000000000000001E-3</v>
      </c>
      <c r="H14" s="31">
        <f>IF(H9=1,'Get Started  2'!$E13/4,0)</f>
        <v>5.0000000000000001E-3</v>
      </c>
      <c r="I14" s="31">
        <f>IF(I9=1,'Get Started  2'!$E13/4,0)</f>
        <v>5.0000000000000001E-3</v>
      </c>
      <c r="J14" s="31">
        <f>IF(J9=1,'Get Started  2'!$E13/4,0)</f>
        <v>5.0000000000000001E-3</v>
      </c>
      <c r="K14" s="31">
        <f>IF(K9=1,'Get Started  2'!$E13/4,0)</f>
        <v>5.0000000000000001E-3</v>
      </c>
      <c r="L14" s="31">
        <f>IF(L9=1,'Get Started  2'!$E13/4,0)</f>
        <v>5.0000000000000001E-3</v>
      </c>
      <c r="M14" s="31">
        <f>IF(M9=1,'Get Started  2'!$E13/4,0)</f>
        <v>5.0000000000000001E-3</v>
      </c>
      <c r="N14" s="31">
        <f>IF(N9=1,'Get Started  2'!$E13/4,0)</f>
        <v>5.0000000000000001E-3</v>
      </c>
      <c r="O14" s="31">
        <f>IF(O9=1,'Get Started  2'!$E13/4,0)</f>
        <v>5.0000000000000001E-3</v>
      </c>
      <c r="P14" s="31">
        <f>IF(P9=1,'Get Started  2'!$E13/4,0)</f>
        <v>5.0000000000000001E-3</v>
      </c>
      <c r="Q14" s="31">
        <f>IF(Q9=1,'Get Started  2'!$E13/4,0)</f>
        <v>5.0000000000000001E-3</v>
      </c>
      <c r="R14" s="31">
        <f>IF(R9=1,'Get Started  2'!$E13/4,0)</f>
        <v>5.0000000000000001E-3</v>
      </c>
      <c r="S14" s="31">
        <f>IF(S9=1,'Get Started  2'!$E13/4,0)</f>
        <v>5.0000000000000001E-3</v>
      </c>
      <c r="T14" s="31">
        <f>IF(T9=1,'Get Started  2'!$E13/4,0)</f>
        <v>5.0000000000000001E-3</v>
      </c>
      <c r="U14" s="31">
        <f>IF(U9=1,'Get Started  2'!$E13/4,0)</f>
        <v>5.0000000000000001E-3</v>
      </c>
      <c r="V14" s="31">
        <f>IF(V9=1,'Get Started  2'!$E13/4,0)</f>
        <v>5.0000000000000001E-3</v>
      </c>
      <c r="W14" s="31">
        <f>IF(W9=1,'Get Started  2'!$E13/4,0)</f>
        <v>5.0000000000000001E-3</v>
      </c>
      <c r="X14" s="31">
        <f>IF(X9=1,'Get Started  2'!$E13/4,0)</f>
        <v>5.0000000000000001E-3</v>
      </c>
      <c r="Y14" s="31">
        <f>IF(Y9=1,'Get Started  2'!$E13/4,0)</f>
        <v>5.0000000000000001E-3</v>
      </c>
      <c r="Z14" s="31">
        <f>IF(Z9=1,'Get Started  2'!$E13/4,0)</f>
        <v>5.0000000000000001E-3</v>
      </c>
      <c r="AA14" s="31">
        <f>IF(AA9=1,'Get Started  2'!$E13/4,0)</f>
        <v>5.0000000000000001E-3</v>
      </c>
      <c r="AB14" s="31">
        <f>IF(AB9=1,'Get Started  2'!$E13/4,0)</f>
        <v>5.0000000000000001E-3</v>
      </c>
      <c r="AC14" s="31">
        <f>IF(AC9=1,'Get Started  2'!$E13/4,0)</f>
        <v>5.0000000000000001E-3</v>
      </c>
      <c r="AD14" s="31">
        <f>IF(AD9=1,'Get Started  2'!$E13/4,0)</f>
        <v>5.0000000000000001E-3</v>
      </c>
      <c r="AE14" s="31">
        <f>IF(AE9=1,'Get Started  2'!$E13/4,0)</f>
        <v>5.0000000000000001E-3</v>
      </c>
      <c r="AF14" s="31">
        <f>IF(AF9=1,'Get Started  2'!$E13/4,0)</f>
        <v>5.0000000000000001E-3</v>
      </c>
      <c r="AG14" s="31">
        <f>IF(AG9=1,'Get Started  2'!$E13/4,0)</f>
        <v>5.0000000000000001E-3</v>
      </c>
      <c r="AH14" s="31">
        <f>IF(AH9=1,'Get Started  2'!$E13/4,0)</f>
        <v>5.0000000000000001E-3</v>
      </c>
      <c r="AI14" s="31">
        <f>IF(AI9=1,'Get Started  2'!$E13/4,0)</f>
        <v>5.0000000000000001E-3</v>
      </c>
      <c r="AJ14" s="31">
        <f>IF(AJ9=1,'Get Started  2'!$E13/4,0)</f>
        <v>5.0000000000000001E-3</v>
      </c>
      <c r="AK14" s="31">
        <f>IF(AK9=1,'Get Started  2'!$E13/4,0)</f>
        <v>5.0000000000000001E-3</v>
      </c>
      <c r="AL14" s="31">
        <f>IF(AL9=1,'Get Started  2'!$E13/4,0)</f>
        <v>5.0000000000000001E-3</v>
      </c>
      <c r="AM14" s="31">
        <f>IF(AM9=1,'Get Started  2'!$E13/4,0)</f>
        <v>5.0000000000000001E-3</v>
      </c>
      <c r="AN14" s="31">
        <f>IF(AN9=1,'Get Started  2'!$E13/4,0)</f>
        <v>5.0000000000000001E-3</v>
      </c>
      <c r="AO14" s="31">
        <f>IF(AO9=1,'Get Started  2'!$E13/4,0)</f>
        <v>5.0000000000000001E-3</v>
      </c>
      <c r="AP14" s="31">
        <f>IF(AP9=1,'Get Started  2'!$E13/4,0)</f>
        <v>5.0000000000000001E-3</v>
      </c>
      <c r="AQ14" s="31">
        <f>IF(AQ9=1,'Get Started  2'!$E13/4,0)</f>
        <v>5.0000000000000001E-3</v>
      </c>
      <c r="AR14" s="31">
        <f>IF(AR9=1,'Get Started  2'!$E13/4,0)</f>
        <v>5.0000000000000001E-3</v>
      </c>
      <c r="AS14" s="31">
        <f>IF(AS9=1,'Get Started  2'!$E13/4,0)</f>
        <v>5.0000000000000001E-3</v>
      </c>
      <c r="AT14" s="31">
        <f>IF(AT9=1,'Get Started  2'!$E13/4,0)</f>
        <v>5.0000000000000001E-3</v>
      </c>
      <c r="AU14" s="31">
        <f>IF(AU9=1,'Get Started  2'!$E13/4,0)</f>
        <v>0</v>
      </c>
      <c r="AV14" s="31">
        <f>IF(AV9=1,'Get Started  2'!$E13/4,0)</f>
        <v>0</v>
      </c>
      <c r="AW14" s="31">
        <f>IF(AW9=1,'Get Started  2'!$E13/4,0)</f>
        <v>0</v>
      </c>
      <c r="AX14" s="31">
        <f>IF(AX9=1,'Get Started  2'!$E13/4,0)</f>
        <v>0</v>
      </c>
      <c r="AY14" s="31">
        <f>IF(AY9=1,'Get Started  2'!$E13/4,0)</f>
        <v>0</v>
      </c>
      <c r="AZ14" s="31">
        <f>IF(AZ9=1,'Get Started  2'!$E13/4,0)</f>
        <v>0</v>
      </c>
      <c r="BA14" s="31">
        <f>IF(BA9=1,'Get Started  2'!$E13/4,0)</f>
        <v>0</v>
      </c>
      <c r="BB14" s="31">
        <f>IF(BB9=1,'Get Started  2'!$E13/4,0)</f>
        <v>0</v>
      </c>
      <c r="BC14" s="31">
        <f>IF(BC9=1,'Get Started  2'!$E13/4,0)</f>
        <v>0</v>
      </c>
      <c r="BD14" s="31">
        <f>IF(BD9=1,'Get Started  2'!$E13/4,0)</f>
        <v>0</v>
      </c>
      <c r="BE14" s="31">
        <f>IF(BE9=1,'Get Started  2'!$E13/4,0)</f>
        <v>0</v>
      </c>
      <c r="BF14" s="31">
        <f>IF(BF9=1,'Get Started  2'!$E13/4,0)</f>
        <v>0</v>
      </c>
      <c r="BG14" s="31">
        <f>IF(BG9=1,'Get Started  2'!$E13/4,0)</f>
        <v>0</v>
      </c>
      <c r="BH14" s="31">
        <f>IF(BH9=1,'Get Started  2'!$E13/4,0)</f>
        <v>0</v>
      </c>
      <c r="BI14" s="31">
        <f>IF(BI9=1,'Get Started  2'!$E13/4,0)</f>
        <v>0</v>
      </c>
      <c r="BJ14" s="31">
        <f>IF(BJ9=1,'Get Started  2'!$E13/4,0)</f>
        <v>0</v>
      </c>
      <c r="BK14" s="31">
        <f>IF(BK9=1,'Get Started  2'!$E13/4,0)</f>
        <v>0</v>
      </c>
      <c r="BL14" s="31">
        <f>IF(BL9=1,'Get Started  2'!$E13/4,0)</f>
        <v>0</v>
      </c>
      <c r="BM14" s="31">
        <f>IF(BM9=1,'Get Started  2'!$E13/4,0)</f>
        <v>0</v>
      </c>
      <c r="BN14" s="31">
        <f>IF(BN9=1,'Get Started  2'!$E13/4,0)</f>
        <v>0</v>
      </c>
      <c r="BO14" s="31">
        <f>IF(BO9=1,'Get Started  2'!$E13/4,0)</f>
        <v>0</v>
      </c>
      <c r="BP14" s="31">
        <f>IF(BP9=1,'Get Started  2'!$E13/4,0)</f>
        <v>0</v>
      </c>
      <c r="BQ14" s="31">
        <f>IF(BQ9=1,'Get Started  2'!$E13/4,0)</f>
        <v>0</v>
      </c>
      <c r="BR14" s="31">
        <f>IF(BR9=1,'Get Started  2'!$E13/4,0)</f>
        <v>0</v>
      </c>
      <c r="BS14" s="31">
        <f>IF(BS9=1,'Get Started  2'!$E13/4,0)</f>
        <v>0</v>
      </c>
      <c r="BT14" s="31">
        <f>IF(BT9=1,'Get Started  2'!$E13/4,0)</f>
        <v>0</v>
      </c>
      <c r="BU14" s="31">
        <f>IF(BU9=1,'Get Started  2'!$E13/4,0)</f>
        <v>0</v>
      </c>
      <c r="BV14" s="31">
        <f>IF(BV9=1,'Get Started  2'!$E13/4,0)</f>
        <v>0</v>
      </c>
      <c r="BW14" s="31">
        <f>IF(BW9=1,'Get Started  2'!$E13/4,0)</f>
        <v>0</v>
      </c>
      <c r="BX14" s="31">
        <f>IF(BX9=1,'Get Started  2'!$E13/4,0)</f>
        <v>0</v>
      </c>
      <c r="BY14" s="31">
        <f>IF(BY9=1,'Get Started  2'!$E13/4,0)</f>
        <v>0</v>
      </c>
      <c r="BZ14" s="31">
        <f>IF(BZ9=1,'Get Started  2'!$E13/4,0)</f>
        <v>0</v>
      </c>
      <c r="CA14" s="31">
        <f>IF(CA9=1,'Get Started  2'!$E13/4,0)</f>
        <v>0</v>
      </c>
      <c r="CB14" s="31">
        <f>IF(CB9=1,'Get Started  2'!$E13/4,0)</f>
        <v>0</v>
      </c>
      <c r="CC14" s="31">
        <f>IF(CC9=1,'Get Started  2'!$E13/4,0)</f>
        <v>0</v>
      </c>
      <c r="CD14" s="31">
        <f>IF(CD9=1,'Get Started  2'!$E13/4,0)</f>
        <v>0</v>
      </c>
      <c r="CE14" s="31">
        <f>IF(CE9=1,'Get Started  2'!$E13/4,0)</f>
        <v>0</v>
      </c>
      <c r="CF14" s="31">
        <f>IF(CF9=1,'Get Started  2'!$E13/4,0)</f>
        <v>0</v>
      </c>
      <c r="CG14" s="31">
        <f>IF(CG9=1,'Get Started  2'!$E13/4,0)</f>
        <v>0</v>
      </c>
      <c r="CH14" s="31">
        <f>IF(CH9=1,'Get Started  2'!$E13/4,0)</f>
        <v>0</v>
      </c>
    </row>
    <row r="15" spans="1:86" ht="13">
      <c r="B15" s="15" t="str">
        <f>"Management Fees based on "&amp;G15&amp;" capital. Can change per period if method for calc changes."</f>
        <v>Management Fees based on committed capital. Can change per period if method for calc changes.</v>
      </c>
      <c r="D15" s="15" t="s">
        <v>238</v>
      </c>
      <c r="E15" s="29">
        <f t="shared" si="3"/>
        <v>0</v>
      </c>
      <c r="F15" s="29"/>
      <c r="G15" s="78" t="str">
        <f>Forecast!G15</f>
        <v>committed</v>
      </c>
      <c r="H15" s="78" t="str">
        <f>Forecast!H15</f>
        <v>committed</v>
      </c>
      <c r="I15" s="78" t="str">
        <f>Forecast!I15</f>
        <v>committed</v>
      </c>
      <c r="J15" s="78" t="str">
        <f>Forecast!J15</f>
        <v>committed</v>
      </c>
      <c r="K15" s="78" t="str">
        <f>Forecast!K15</f>
        <v>committed</v>
      </c>
      <c r="L15" s="78" t="str">
        <f>Forecast!L15</f>
        <v>committed</v>
      </c>
      <c r="M15" s="78" t="str">
        <f>Forecast!M15</f>
        <v>committed</v>
      </c>
      <c r="N15" s="78" t="str">
        <f>Forecast!N15</f>
        <v>committed</v>
      </c>
      <c r="O15" s="78" t="str">
        <f>Forecast!O15</f>
        <v>committed</v>
      </c>
      <c r="P15" s="78" t="str">
        <f>Forecast!P15</f>
        <v>committed</v>
      </c>
      <c r="Q15" s="78" t="str">
        <f>Forecast!Q15</f>
        <v>committed</v>
      </c>
      <c r="R15" s="78" t="str">
        <f>Forecast!R15</f>
        <v>committed</v>
      </c>
      <c r="S15" s="78" t="str">
        <f>Forecast!S15</f>
        <v>committed</v>
      </c>
      <c r="T15" s="78" t="str">
        <f>Forecast!T15</f>
        <v>committed</v>
      </c>
      <c r="U15" s="78" t="str">
        <f>Forecast!U15</f>
        <v>committed</v>
      </c>
      <c r="V15" s="78" t="str">
        <f>Forecast!V15</f>
        <v>committed</v>
      </c>
      <c r="W15" s="78" t="str">
        <f>Forecast!W15</f>
        <v>committed</v>
      </c>
      <c r="X15" s="78" t="str">
        <f>Forecast!X15</f>
        <v>committed</v>
      </c>
      <c r="Y15" s="78" t="str">
        <f>Forecast!Y15</f>
        <v>committed</v>
      </c>
      <c r="Z15" s="78" t="str">
        <f>Forecast!Z15</f>
        <v>committed</v>
      </c>
      <c r="AA15" s="78" t="str">
        <f>Forecast!AA15</f>
        <v>committed</v>
      </c>
      <c r="AB15" s="78" t="str">
        <f>Forecast!AB15</f>
        <v>committed</v>
      </c>
      <c r="AC15" s="78" t="str">
        <f>Forecast!AC15</f>
        <v>committed</v>
      </c>
      <c r="AD15" s="78" t="str">
        <f>Forecast!AD15</f>
        <v>committed</v>
      </c>
      <c r="AE15" s="78" t="str">
        <f>Forecast!AE15</f>
        <v>committed</v>
      </c>
      <c r="AF15" s="78" t="str">
        <f>Forecast!AF15</f>
        <v>committed</v>
      </c>
      <c r="AG15" s="78" t="str">
        <f>Forecast!AG15</f>
        <v>committed</v>
      </c>
      <c r="AH15" s="78" t="str">
        <f>Forecast!AH15</f>
        <v>committed</v>
      </c>
      <c r="AI15" s="78" t="str">
        <f>Forecast!AI15</f>
        <v>committed</v>
      </c>
      <c r="AJ15" s="78" t="str">
        <f>Forecast!AJ15</f>
        <v>committed</v>
      </c>
      <c r="AK15" s="78" t="str">
        <f>Forecast!AK15</f>
        <v>committed</v>
      </c>
      <c r="AL15" s="78" t="str">
        <f>Forecast!AL15</f>
        <v>committed</v>
      </c>
      <c r="AM15" s="78" t="str">
        <f>Forecast!AM15</f>
        <v>committed</v>
      </c>
      <c r="AN15" s="78" t="str">
        <f>Forecast!AN15</f>
        <v>committed</v>
      </c>
      <c r="AO15" s="78" t="str">
        <f>Forecast!AO15</f>
        <v>committed</v>
      </c>
      <c r="AP15" s="78" t="str">
        <f>Forecast!AP15</f>
        <v>committed</v>
      </c>
      <c r="AQ15" s="78" t="str">
        <f>Forecast!AQ15</f>
        <v>committed</v>
      </c>
      <c r="AR15" s="78" t="str">
        <f>Forecast!AR15</f>
        <v>committed</v>
      </c>
      <c r="AS15" s="78" t="str">
        <f>Forecast!AS15</f>
        <v>committed</v>
      </c>
      <c r="AT15" s="78" t="str">
        <f>Forecast!AT15</f>
        <v>committed</v>
      </c>
      <c r="AU15" s="78" t="str">
        <f>Forecast!AU15</f>
        <v>committed</v>
      </c>
      <c r="AV15" s="78" t="str">
        <f>Forecast!AV15</f>
        <v>committed</v>
      </c>
      <c r="AW15" s="78" t="str">
        <f>Forecast!AW15</f>
        <v>committed</v>
      </c>
      <c r="AX15" s="78" t="str">
        <f>Forecast!AX15</f>
        <v>committed</v>
      </c>
      <c r="AY15" s="78" t="str">
        <f>Forecast!AY15</f>
        <v>committed</v>
      </c>
      <c r="AZ15" s="78" t="str">
        <f>Forecast!AZ15</f>
        <v>committed</v>
      </c>
      <c r="BA15" s="78" t="str">
        <f>Forecast!BA15</f>
        <v>committed</v>
      </c>
      <c r="BB15" s="78" t="str">
        <f>Forecast!BB15</f>
        <v>committed</v>
      </c>
      <c r="BC15" s="78" t="str">
        <f>Forecast!BC15</f>
        <v>committed</v>
      </c>
      <c r="BD15" s="78" t="str">
        <f>Forecast!BD15</f>
        <v>committed</v>
      </c>
      <c r="BE15" s="78" t="str">
        <f>Forecast!BE15</f>
        <v>committed</v>
      </c>
      <c r="BF15" s="78" t="str">
        <f>Forecast!BF15</f>
        <v>committed</v>
      </c>
      <c r="BG15" s="78" t="str">
        <f>Forecast!BG15</f>
        <v>committed</v>
      </c>
      <c r="BH15" s="78" t="str">
        <f>Forecast!BH15</f>
        <v>committed</v>
      </c>
      <c r="BI15" s="78" t="str">
        <f>Forecast!BI15</f>
        <v>committed</v>
      </c>
      <c r="BJ15" s="78" t="str">
        <f>Forecast!BJ15</f>
        <v>committed</v>
      </c>
      <c r="BK15" s="78" t="str">
        <f>Forecast!BK15</f>
        <v>committed</v>
      </c>
      <c r="BL15" s="78" t="str">
        <f>Forecast!BL15</f>
        <v>committed</v>
      </c>
      <c r="BM15" s="78" t="str">
        <f>Forecast!BM15</f>
        <v>committed</v>
      </c>
      <c r="BN15" s="78" t="str">
        <f>Forecast!BN15</f>
        <v>committed</v>
      </c>
      <c r="BO15" s="78" t="str">
        <f>Forecast!BO15</f>
        <v>committed</v>
      </c>
      <c r="BP15" s="78" t="str">
        <f>Forecast!BP15</f>
        <v>committed</v>
      </c>
      <c r="BQ15" s="78" t="str">
        <f>Forecast!BQ15</f>
        <v>committed</v>
      </c>
      <c r="BR15" s="78" t="str">
        <f>Forecast!BR15</f>
        <v>committed</v>
      </c>
      <c r="BS15" s="78" t="str">
        <f>Forecast!BS15</f>
        <v>committed</v>
      </c>
      <c r="BT15" s="78" t="str">
        <f>Forecast!BT15</f>
        <v>committed</v>
      </c>
      <c r="BU15" s="78" t="str">
        <f>Forecast!BU15</f>
        <v>committed</v>
      </c>
      <c r="BV15" s="78" t="str">
        <f>Forecast!BV15</f>
        <v>committed</v>
      </c>
      <c r="BW15" s="78" t="str">
        <f>Forecast!BW15</f>
        <v>committed</v>
      </c>
      <c r="BX15" s="78" t="str">
        <f>Forecast!BX15</f>
        <v>committed</v>
      </c>
      <c r="BY15" s="78" t="str">
        <f>Forecast!BY15</f>
        <v>committed</v>
      </c>
      <c r="BZ15" s="78" t="str">
        <f>Forecast!BZ15</f>
        <v>committed</v>
      </c>
      <c r="CA15" s="78" t="str">
        <f>Forecast!CA15</f>
        <v>committed</v>
      </c>
      <c r="CB15" s="78" t="str">
        <f>Forecast!CB15</f>
        <v>committed</v>
      </c>
      <c r="CC15" s="78" t="str">
        <f>Forecast!CC15</f>
        <v>committed</v>
      </c>
      <c r="CD15" s="78" t="str">
        <f>Forecast!CD15</f>
        <v>committed</v>
      </c>
      <c r="CE15" s="78" t="str">
        <f>Forecast!CE15</f>
        <v>committed</v>
      </c>
      <c r="CF15" s="78" t="str">
        <f>Forecast!CF15</f>
        <v>committed</v>
      </c>
      <c r="CG15" s="78" t="str">
        <f>Forecast!CG15</f>
        <v>committed</v>
      </c>
      <c r="CH15" s="78" t="str">
        <f>Forecast!CH15</f>
        <v>committed</v>
      </c>
    </row>
    <row r="16" spans="1:86" ht="13">
      <c r="A16" s="13"/>
      <c r="B16" s="13" t="s">
        <v>243</v>
      </c>
      <c r="C16" s="48" t="b">
        <f>Forecast!C16</f>
        <v>0</v>
      </c>
      <c r="D16" s="15" t="s">
        <v>238</v>
      </c>
      <c r="E16" s="37">
        <f t="shared" si="3"/>
        <v>0</v>
      </c>
      <c r="F16" s="48"/>
      <c r="G16" s="37">
        <f>IF($C16=TRUE,G31*'Get Started  2'!$E10,0)</f>
        <v>0</v>
      </c>
      <c r="H16" s="37">
        <f>IF($C16=TRUE,H31*'Get Started  2'!$E10,0)</f>
        <v>0</v>
      </c>
      <c r="I16" s="37">
        <f>IF($C16=TRUE,I31*'Get Started  2'!$E10,0)</f>
        <v>0</v>
      </c>
      <c r="J16" s="37">
        <f>IF($C16=TRUE,J31*'Get Started  2'!$E10,0)</f>
        <v>0</v>
      </c>
      <c r="K16" s="37">
        <f>IF($C16=TRUE,K31*'Get Started  2'!$E10,0)</f>
        <v>0</v>
      </c>
      <c r="L16" s="37">
        <f>IF($C16=TRUE,L31*'Get Started  2'!$E10,0)</f>
        <v>0</v>
      </c>
      <c r="M16" s="37">
        <f>IF($C16=TRUE,M31*'Get Started  2'!$E10,0)</f>
        <v>0</v>
      </c>
      <c r="N16" s="37">
        <f>IF($C16=TRUE,N31*'Get Started  2'!$E10,0)</f>
        <v>0</v>
      </c>
      <c r="O16" s="37">
        <f>IF($C16=TRUE,O31*'Get Started  2'!$E10,0)</f>
        <v>0</v>
      </c>
      <c r="P16" s="37">
        <f>IF($C16=TRUE,P31*'Get Started  2'!$E10,0)</f>
        <v>0</v>
      </c>
      <c r="Q16" s="37">
        <f>IF($C16=TRUE,Q31*'Get Started  2'!$E10,0)</f>
        <v>0</v>
      </c>
      <c r="R16" s="37">
        <f>IF($C16=TRUE,R31*'Get Started  2'!$E10,0)</f>
        <v>0</v>
      </c>
      <c r="S16" s="37">
        <f>IF($C16=TRUE,S31*'Get Started  2'!$E10,0)</f>
        <v>0</v>
      </c>
      <c r="T16" s="37">
        <f>IF($C16=TRUE,T31*'Get Started  2'!$E10,0)</f>
        <v>0</v>
      </c>
      <c r="U16" s="37">
        <f>IF($C16=TRUE,U31*'Get Started  2'!$E10,0)</f>
        <v>0</v>
      </c>
      <c r="V16" s="37">
        <f>IF($C16=TRUE,V31*'Get Started  2'!$E10,0)</f>
        <v>0</v>
      </c>
      <c r="W16" s="37">
        <f>IF($C16=TRUE,W31*'Get Started  2'!$E10,0)</f>
        <v>0</v>
      </c>
      <c r="X16" s="37">
        <f>IF($C16=TRUE,X31*'Get Started  2'!$E10,0)</f>
        <v>0</v>
      </c>
      <c r="Y16" s="37">
        <f>IF($C16=TRUE,Y31*'Get Started  2'!$E10,0)</f>
        <v>0</v>
      </c>
      <c r="Z16" s="37">
        <f>IF($C16=TRUE,Z31*'Get Started  2'!$E10,0)</f>
        <v>0</v>
      </c>
      <c r="AA16" s="37">
        <f>IF($C16=TRUE,AA31*'Get Started  2'!$E10,0)</f>
        <v>0</v>
      </c>
      <c r="AB16" s="37">
        <f>IF($C16=TRUE,AB31*'Get Started  2'!$E10,0)</f>
        <v>0</v>
      </c>
      <c r="AC16" s="37">
        <f>IF($C16=TRUE,AC31*'Get Started  2'!$E10,0)</f>
        <v>0</v>
      </c>
      <c r="AD16" s="37">
        <f>IF($C16=TRUE,AD31*'Get Started  2'!$E10,0)</f>
        <v>0</v>
      </c>
      <c r="AE16" s="37">
        <f>IF($C16=TRUE,AE31*'Get Started  2'!$E10,0)</f>
        <v>0</v>
      </c>
      <c r="AF16" s="37">
        <f>IF($C16=TRUE,AF31*'Get Started  2'!$E10,0)</f>
        <v>0</v>
      </c>
      <c r="AG16" s="37">
        <f>IF($C16=TRUE,AG31*'Get Started  2'!$E10,0)</f>
        <v>0</v>
      </c>
      <c r="AH16" s="37">
        <f>IF($C16=TRUE,AH31*'Get Started  2'!$E10,0)</f>
        <v>0</v>
      </c>
      <c r="AI16" s="37">
        <f>IF($C16=TRUE,AI31*'Get Started  2'!$E10,0)</f>
        <v>0</v>
      </c>
      <c r="AJ16" s="37">
        <f>IF($C16=TRUE,AJ31*'Get Started  2'!$E10,0)</f>
        <v>0</v>
      </c>
      <c r="AK16" s="37">
        <f>IF($C16=TRUE,AK31*'Get Started  2'!$E10,0)</f>
        <v>0</v>
      </c>
      <c r="AL16" s="37">
        <f>IF($C16=TRUE,AL31*'Get Started  2'!$E10,0)</f>
        <v>0</v>
      </c>
      <c r="AM16" s="37">
        <f>IF($C16=TRUE,AM31*'Get Started  2'!$E10,0)</f>
        <v>0</v>
      </c>
      <c r="AN16" s="37">
        <f>IF($C16=TRUE,AN31*'Get Started  2'!$E10,0)</f>
        <v>0</v>
      </c>
      <c r="AO16" s="37">
        <f>IF($C16=TRUE,AO31*'Get Started  2'!$E10,0)</f>
        <v>0</v>
      </c>
      <c r="AP16" s="37">
        <f>IF($C16=TRUE,AP31*'Get Started  2'!$E10,0)</f>
        <v>0</v>
      </c>
      <c r="AQ16" s="37">
        <f>IF($C16=TRUE,AQ31*'Get Started  2'!$E10,0)</f>
        <v>0</v>
      </c>
      <c r="AR16" s="37">
        <f>IF($C16=TRUE,AR31*'Get Started  2'!$E10,0)</f>
        <v>0</v>
      </c>
      <c r="AS16" s="37">
        <f>IF($C16=TRUE,AS31*'Get Started  2'!$E10,0)</f>
        <v>0</v>
      </c>
      <c r="AT16" s="37">
        <f>IF($C16=TRUE,AT31*'Get Started  2'!$E10,0)</f>
        <v>0</v>
      </c>
      <c r="AU16" s="37">
        <f>IF($C16=TRUE,AU31*'Get Started  2'!$E10,0)</f>
        <v>0</v>
      </c>
      <c r="AV16" s="37">
        <f>IF($C16=TRUE,AV31*'Get Started  2'!$E10,0)</f>
        <v>0</v>
      </c>
      <c r="AW16" s="37">
        <f>IF($C16=TRUE,AW31*'Get Started  2'!$E10,0)</f>
        <v>0</v>
      </c>
      <c r="AX16" s="37">
        <f>IF($C16=TRUE,AX31*'Get Started  2'!$E10,0)</f>
        <v>0</v>
      </c>
      <c r="AY16" s="37">
        <f>IF($C16=TRUE,AY31*'Get Started  2'!$E10,0)</f>
        <v>0</v>
      </c>
      <c r="AZ16" s="37">
        <f>IF($C16=TRUE,AZ31*'Get Started  2'!$E10,0)</f>
        <v>0</v>
      </c>
      <c r="BA16" s="37">
        <f>IF($C16=TRUE,BA31*'Get Started  2'!$E10,0)</f>
        <v>0</v>
      </c>
      <c r="BB16" s="37">
        <f>IF($C16=TRUE,BB31*'Get Started  2'!$E10,0)</f>
        <v>0</v>
      </c>
      <c r="BC16" s="37">
        <f>IF($C16=TRUE,BC31*'Get Started  2'!$E10,0)</f>
        <v>0</v>
      </c>
      <c r="BD16" s="37">
        <f>IF($C16=TRUE,BD31*'Get Started  2'!$E10,0)</f>
        <v>0</v>
      </c>
      <c r="BE16" s="37">
        <f>IF($C16=TRUE,BE31*'Get Started  2'!$E10,0)</f>
        <v>0</v>
      </c>
      <c r="BF16" s="37">
        <f>IF($C16=TRUE,BF31*'Get Started  2'!$E10,0)</f>
        <v>0</v>
      </c>
      <c r="BG16" s="37">
        <f>IF($C16=TRUE,BG31*'Get Started  2'!$E10,0)</f>
        <v>0</v>
      </c>
      <c r="BH16" s="37">
        <f>IF($C16=TRUE,BH31*'Get Started  2'!$E10,0)</f>
        <v>0</v>
      </c>
      <c r="BI16" s="37">
        <f>IF($C16=TRUE,BI31*'Get Started  2'!$E10,0)</f>
        <v>0</v>
      </c>
      <c r="BJ16" s="37">
        <f>IF($C16=TRUE,BJ31*'Get Started  2'!$E10,0)</f>
        <v>0</v>
      </c>
      <c r="BK16" s="37">
        <f>IF($C16=TRUE,BK31*'Get Started  2'!$E10,0)</f>
        <v>0</v>
      </c>
      <c r="BL16" s="37">
        <f>IF($C16=TRUE,BL31*'Get Started  2'!$E10,0)</f>
        <v>0</v>
      </c>
      <c r="BM16" s="37">
        <f>IF($C16=TRUE,BM31*'Get Started  2'!$E10,0)</f>
        <v>0</v>
      </c>
      <c r="BN16" s="37">
        <f>IF($C16=TRUE,BN31*'Get Started  2'!$E10,0)</f>
        <v>0</v>
      </c>
      <c r="BO16" s="37">
        <f>IF($C16=TRUE,BO31*'Get Started  2'!$E10,0)</f>
        <v>0</v>
      </c>
      <c r="BP16" s="37">
        <f>IF($C16=TRUE,BP31*'Get Started  2'!$E10,0)</f>
        <v>0</v>
      </c>
      <c r="BQ16" s="37">
        <f>IF($C16=TRUE,BQ31*'Get Started  2'!$E10,0)</f>
        <v>0</v>
      </c>
      <c r="BR16" s="37">
        <f>IF($C16=TRUE,BR31*'Get Started  2'!$E10,0)</f>
        <v>0</v>
      </c>
      <c r="BS16" s="37">
        <f>IF($C16=TRUE,BS31*'Get Started  2'!$E10,0)</f>
        <v>0</v>
      </c>
      <c r="BT16" s="37">
        <f>IF($C16=TRUE,BT31*'Get Started  2'!$E10,0)</f>
        <v>0</v>
      </c>
      <c r="BU16" s="37">
        <f>IF($C16=TRUE,BU31*'Get Started  2'!$E10,0)</f>
        <v>0</v>
      </c>
      <c r="BV16" s="37">
        <f>IF($C16=TRUE,BV31*'Get Started  2'!$E10,0)</f>
        <v>0</v>
      </c>
      <c r="BW16" s="37">
        <f>IF($C16=TRUE,BW31*'Get Started  2'!$E10,0)</f>
        <v>0</v>
      </c>
      <c r="BX16" s="37">
        <f>IF($C16=TRUE,BX31*'Get Started  2'!$E10,0)</f>
        <v>0</v>
      </c>
      <c r="BY16" s="37">
        <f>IF($C16=TRUE,BY31*'Get Started  2'!$E10,0)</f>
        <v>0</v>
      </c>
      <c r="BZ16" s="37">
        <f>IF($C16=TRUE,BZ31*'Get Started  2'!$E10,0)</f>
        <v>0</v>
      </c>
      <c r="CA16" s="37">
        <f>IF($C16=TRUE,CA31*'Get Started  2'!$E10,0)</f>
        <v>0</v>
      </c>
      <c r="CB16" s="37">
        <f>IF($C16=TRUE,CB31*'Get Started  2'!$E10,0)</f>
        <v>0</v>
      </c>
      <c r="CC16" s="37">
        <f>IF($C16=TRUE,CC31*'Get Started  2'!$E10,0)</f>
        <v>0</v>
      </c>
      <c r="CD16" s="37">
        <f>IF($C16=TRUE,CD31*'Get Started  2'!$E10,0)</f>
        <v>0</v>
      </c>
      <c r="CE16" s="37">
        <f>IF($C16=TRUE,CE31*'Get Started  2'!$E10,0)</f>
        <v>0</v>
      </c>
      <c r="CF16" s="37">
        <f>IF($C16=TRUE,CF31*'Get Started  2'!$E10,0)</f>
        <v>0</v>
      </c>
      <c r="CG16" s="37">
        <f>IF($C16=TRUE,CG31*'Get Started  2'!$E10,0)</f>
        <v>0</v>
      </c>
      <c r="CH16" s="37">
        <f>IF($C16=TRUE,CH31*'Get Started  2'!$E10,0)</f>
        <v>0</v>
      </c>
    </row>
    <row r="17" spans="1:86" ht="13">
      <c r="B17" s="15" t="s">
        <v>244</v>
      </c>
      <c r="C17" s="48" t="b">
        <f>Forecast!C17</f>
        <v>1</v>
      </c>
      <c r="D17" s="15" t="s">
        <v>238</v>
      </c>
      <c r="E17" s="37">
        <f t="shared" ca="1" si="3"/>
        <v>500000</v>
      </c>
      <c r="F17" s="29"/>
      <c r="G17" s="37">
        <f ca="1">IF($C17=TRUE,G31*'Get Started  2'!$E10,0)</f>
        <v>28887.5</v>
      </c>
      <c r="H17" s="37">
        <f ca="1">IF($C17=TRUE,H31*'Get Started  2'!$E10,0)</f>
        <v>26887.5</v>
      </c>
      <c r="I17" s="37">
        <f ca="1">IF($C17=TRUE,I31*'Get Started  2'!$E10,0)</f>
        <v>26887.5</v>
      </c>
      <c r="J17" s="37">
        <f ca="1">IF($C17=TRUE,J31*'Get Started  2'!$E10,0)</f>
        <v>26887.5</v>
      </c>
      <c r="K17" s="37">
        <f ca="1">IF($C17=TRUE,K31*'Get Started  2'!$E10,0)</f>
        <v>26887.5</v>
      </c>
      <c r="L17" s="37">
        <f ca="1">IF($C17=TRUE,L31*'Get Started  2'!$E10,0)</f>
        <v>26887.5</v>
      </c>
      <c r="M17" s="37">
        <f ca="1">IF($C17=TRUE,M31*'Get Started  2'!$E10,0)</f>
        <v>26887.5</v>
      </c>
      <c r="N17" s="37">
        <f ca="1">IF($C17=TRUE,N31*'Get Started  2'!$E10,0)</f>
        <v>26887.5</v>
      </c>
      <c r="O17" s="37">
        <f ca="1">IF($C17=TRUE,O31*'Get Started  2'!$E10,0)</f>
        <v>26887.5</v>
      </c>
      <c r="P17" s="37">
        <f ca="1">IF($C17=TRUE,P31*'Get Started  2'!$E10,0)</f>
        <v>26887.5</v>
      </c>
      <c r="Q17" s="37">
        <f ca="1">IF($C17=TRUE,Q31*'Get Started  2'!$E10,0)</f>
        <v>26887.5</v>
      </c>
      <c r="R17" s="37">
        <f ca="1">IF($C17=TRUE,R31*'Get Started  2'!$E10,0)</f>
        <v>26887.5</v>
      </c>
      <c r="S17" s="37">
        <f ca="1">IF($C17=TRUE,S31*'Get Started  2'!$E10,0)</f>
        <v>26887.5</v>
      </c>
      <c r="T17" s="37">
        <f ca="1">IF($C17=TRUE,T31*'Get Started  2'!$E10,0)</f>
        <v>26887.5</v>
      </c>
      <c r="U17" s="37">
        <f ca="1">IF($C17=TRUE,U31*'Get Started  2'!$E10,0)</f>
        <v>26887.5</v>
      </c>
      <c r="V17" s="37">
        <f ca="1">IF($C17=TRUE,V31*'Get Started  2'!$E10,0)</f>
        <v>26887.5</v>
      </c>
      <c r="W17" s="37">
        <f ca="1">IF($C17=TRUE,W31*'Get Started  2'!$E10,0)</f>
        <v>2825</v>
      </c>
      <c r="X17" s="37">
        <f ca="1">IF($C17=TRUE,X31*'Get Started  2'!$E10,0)</f>
        <v>2825</v>
      </c>
      <c r="Y17" s="37">
        <f ca="1">IF($C17=TRUE,Y31*'Get Started  2'!$E10,0)</f>
        <v>2825</v>
      </c>
      <c r="Z17" s="37">
        <f ca="1">IF($C17=TRUE,Z31*'Get Started  2'!$E10,0)</f>
        <v>2825</v>
      </c>
      <c r="AA17" s="37">
        <f ca="1">IF($C17=TRUE,AA31*'Get Started  2'!$E10,0)</f>
        <v>2825</v>
      </c>
      <c r="AB17" s="37">
        <f ca="1">IF($C17=TRUE,AB31*'Get Started  2'!$E10,0)</f>
        <v>2825</v>
      </c>
      <c r="AC17" s="37">
        <f ca="1">IF($C17=TRUE,AC31*'Get Started  2'!$E10,0)</f>
        <v>2825</v>
      </c>
      <c r="AD17" s="37">
        <f ca="1">IF($C17=TRUE,AD31*'Get Started  2'!$E10,0)</f>
        <v>2825</v>
      </c>
      <c r="AE17" s="37">
        <f ca="1">IF($C17=TRUE,AE31*'Get Started  2'!$E10,0)</f>
        <v>2825</v>
      </c>
      <c r="AF17" s="37">
        <f ca="1">IF($C17=TRUE,AF31*'Get Started  2'!$E10,0)</f>
        <v>2825</v>
      </c>
      <c r="AG17" s="37">
        <f ca="1">IF($C17=TRUE,AG31*'Get Started  2'!$E10,0)</f>
        <v>2825</v>
      </c>
      <c r="AH17" s="37">
        <f ca="1">IF($C17=TRUE,AH31*'Get Started  2'!$E10,0)</f>
        <v>2825</v>
      </c>
      <c r="AI17" s="37">
        <f ca="1">IF($C17=TRUE,AI31*'Get Started  2'!$E10,0)</f>
        <v>2825</v>
      </c>
      <c r="AJ17" s="37">
        <f ca="1">IF($C17=TRUE,AJ31*'Get Started  2'!$E10,0)</f>
        <v>2825</v>
      </c>
      <c r="AK17" s="37">
        <f ca="1">IF($C17=TRUE,AK31*'Get Started  2'!$E10,0)</f>
        <v>2825</v>
      </c>
      <c r="AL17" s="37">
        <f ca="1">IF($C17=TRUE,AL31*'Get Started  2'!$E10,0)</f>
        <v>2825</v>
      </c>
      <c r="AM17" s="37">
        <f ca="1">IF($C17=TRUE,AM31*'Get Started  2'!$E10,0)</f>
        <v>2825</v>
      </c>
      <c r="AN17" s="37">
        <f ca="1">IF($C17=TRUE,AN31*'Get Started  2'!$E10,0)</f>
        <v>2825</v>
      </c>
      <c r="AO17" s="37">
        <f ca="1">IF($C17=TRUE,AO31*'Get Started  2'!$E10,0)</f>
        <v>2825</v>
      </c>
      <c r="AP17" s="37">
        <f ca="1">IF($C17=TRUE,AP31*'Get Started  2'!$E10,0)</f>
        <v>2825</v>
      </c>
      <c r="AQ17" s="37">
        <f ca="1">IF($C17=TRUE,AQ31*'Get Started  2'!$E10,0)</f>
        <v>2825</v>
      </c>
      <c r="AR17" s="37">
        <f ca="1">IF($C17=TRUE,AR31*'Get Started  2'!$E10,0)</f>
        <v>2825</v>
      </c>
      <c r="AS17" s="37">
        <f ca="1">IF($C17=TRUE,AS31*'Get Started  2'!$E10,0)</f>
        <v>2825</v>
      </c>
      <c r="AT17" s="37">
        <f ca="1">IF($C17=TRUE,AT31*'Get Started  2'!$E10,0)</f>
        <v>2825</v>
      </c>
      <c r="AU17" s="37">
        <f ca="1">IF($C17=TRUE,AU31*'Get Started  2'!$E10,0)</f>
        <v>0</v>
      </c>
      <c r="AV17" s="37">
        <f ca="1">IF($C17=TRUE,AV31*'Get Started  2'!$E10,0)</f>
        <v>0</v>
      </c>
      <c r="AW17" s="37">
        <f ca="1">IF($C17=TRUE,AW31*'Get Started  2'!$E10,0)</f>
        <v>0</v>
      </c>
      <c r="AX17" s="37">
        <f ca="1">IF($C17=TRUE,AX31*'Get Started  2'!$E10,0)</f>
        <v>0</v>
      </c>
      <c r="AY17" s="37">
        <f ca="1">IF($C17=TRUE,AY31*'Get Started  2'!$E10,0)</f>
        <v>0</v>
      </c>
      <c r="AZ17" s="37">
        <f ca="1">IF($C17=TRUE,AZ31*'Get Started  2'!$E10,0)</f>
        <v>0</v>
      </c>
      <c r="BA17" s="37">
        <f ca="1">IF($C17=TRUE,BA31*'Get Started  2'!$E10,0)</f>
        <v>0</v>
      </c>
      <c r="BB17" s="37">
        <f ca="1">IF($C17=TRUE,BB31*'Get Started  2'!$E10,0)</f>
        <v>0</v>
      </c>
      <c r="BC17" s="37">
        <f ca="1">IF($C17=TRUE,BC31*'Get Started  2'!$E10,0)</f>
        <v>0</v>
      </c>
      <c r="BD17" s="37">
        <f ca="1">IF($C17=TRUE,BD31*'Get Started  2'!$E10,0)</f>
        <v>0</v>
      </c>
      <c r="BE17" s="37">
        <f ca="1">IF($C17=TRUE,BE31*'Get Started  2'!$E10,0)</f>
        <v>0</v>
      </c>
      <c r="BF17" s="37">
        <f ca="1">IF($C17=TRUE,BF31*'Get Started  2'!$E10,0)</f>
        <v>0</v>
      </c>
      <c r="BG17" s="37">
        <f ca="1">IF($C17=TRUE,BG31*'Get Started  2'!$E10,0)</f>
        <v>0</v>
      </c>
      <c r="BH17" s="37">
        <f ca="1">IF($C17=TRUE,BH31*'Get Started  2'!$E10,0)</f>
        <v>0</v>
      </c>
      <c r="BI17" s="37">
        <f ca="1">IF($C17=TRUE,BI31*'Get Started  2'!$E10,0)</f>
        <v>0</v>
      </c>
      <c r="BJ17" s="37">
        <f ca="1">IF($C17=TRUE,BJ31*'Get Started  2'!$E10,0)</f>
        <v>0</v>
      </c>
      <c r="BK17" s="37">
        <f ca="1">IF($C17=TRUE,BK31*'Get Started  2'!$E10,0)</f>
        <v>0</v>
      </c>
      <c r="BL17" s="37">
        <f ca="1">IF($C17=TRUE,BL31*'Get Started  2'!$E10,0)</f>
        <v>0</v>
      </c>
      <c r="BM17" s="37">
        <f ca="1">IF($C17=TRUE,BM31*'Get Started  2'!$E10,0)</f>
        <v>0</v>
      </c>
      <c r="BN17" s="37">
        <f ca="1">IF($C17=TRUE,BN31*'Get Started  2'!$E10,0)</f>
        <v>0</v>
      </c>
      <c r="BO17" s="37">
        <f ca="1">IF($C17=TRUE,BO31*'Get Started  2'!$E10,0)</f>
        <v>0</v>
      </c>
      <c r="BP17" s="37">
        <f ca="1">IF($C17=TRUE,BP31*'Get Started  2'!$E10,0)</f>
        <v>0</v>
      </c>
      <c r="BQ17" s="37">
        <f ca="1">IF($C17=TRUE,BQ31*'Get Started  2'!$E10,0)</f>
        <v>0</v>
      </c>
      <c r="BR17" s="37">
        <f ca="1">IF($C17=TRUE,BR31*'Get Started  2'!$E10,0)</f>
        <v>0</v>
      </c>
      <c r="BS17" s="37">
        <f ca="1">IF($C17=TRUE,BS31*'Get Started  2'!$E10,0)</f>
        <v>0</v>
      </c>
      <c r="BT17" s="37">
        <f ca="1">IF($C17=TRUE,BT31*'Get Started  2'!$E10,0)</f>
        <v>0</v>
      </c>
      <c r="BU17" s="37">
        <f ca="1">IF($C17=TRUE,BU31*'Get Started  2'!$E10,0)</f>
        <v>0</v>
      </c>
      <c r="BV17" s="37">
        <f ca="1">IF($C17=TRUE,BV31*'Get Started  2'!$E10,0)</f>
        <v>0</v>
      </c>
      <c r="BW17" s="37">
        <f ca="1">IF($C17=TRUE,BW31*'Get Started  2'!$E10,0)</f>
        <v>0</v>
      </c>
      <c r="BX17" s="37">
        <f ca="1">IF($C17=TRUE,BX31*'Get Started  2'!$E10,0)</f>
        <v>0</v>
      </c>
      <c r="BY17" s="37">
        <f ca="1">IF($C17=TRUE,BY31*'Get Started  2'!$E10,0)</f>
        <v>0</v>
      </c>
      <c r="BZ17" s="37">
        <f ca="1">IF($C17=TRUE,BZ31*'Get Started  2'!$E10,0)</f>
        <v>0</v>
      </c>
      <c r="CA17" s="37">
        <f ca="1">IF($C17=TRUE,CA31*'Get Started  2'!$E10,0)</f>
        <v>0</v>
      </c>
      <c r="CB17" s="37">
        <f ca="1">IF($C17=TRUE,CB31*'Get Started  2'!$E10,0)</f>
        <v>0</v>
      </c>
      <c r="CC17" s="37">
        <f ca="1">IF($C17=TRUE,CC31*'Get Started  2'!$E10,0)</f>
        <v>0</v>
      </c>
      <c r="CD17" s="37">
        <f ca="1">IF($C17=TRUE,CD31*'Get Started  2'!$E10,0)</f>
        <v>0</v>
      </c>
      <c r="CE17" s="37">
        <f ca="1">IF($C17=TRUE,CE31*'Get Started  2'!$E10,0)</f>
        <v>0</v>
      </c>
      <c r="CF17" s="37">
        <f ca="1">IF($C17=TRUE,CF31*'Get Started  2'!$E10,0)</f>
        <v>0</v>
      </c>
      <c r="CG17" s="37">
        <f ca="1">IF($C17=TRUE,CG31*'Get Started  2'!$E10,0)</f>
        <v>0</v>
      </c>
      <c r="CH17" s="37">
        <f ca="1">IF($C17=TRUE,CH31*'Get Started  2'!$E10,0)</f>
        <v>0</v>
      </c>
    </row>
    <row r="18" spans="1:86" ht="13">
      <c r="A18" s="13"/>
      <c r="B18" s="13" t="s">
        <v>245</v>
      </c>
      <c r="C18" s="13" t="s">
        <v>246</v>
      </c>
      <c r="D18" s="48" t="s">
        <v>247</v>
      </c>
      <c r="E18" s="79">
        <f t="shared" ref="E18:E20" si="4">IF(D18="sum",SUM(G18:EP18),IF(D18="final",EP18,IF(D18="initial",G18,IF(D18="average",AVERAGE(G18:EP18),0))))</f>
        <v>0</v>
      </c>
      <c r="F18" s="48"/>
      <c r="G18" s="67">
        <f>Forecast!G18</f>
        <v>0</v>
      </c>
      <c r="H18" s="67">
        <f>Forecast!H18</f>
        <v>0</v>
      </c>
      <c r="I18" s="67">
        <f>Forecast!I18</f>
        <v>0</v>
      </c>
      <c r="J18" s="67">
        <f>Forecast!J18</f>
        <v>0</v>
      </c>
      <c r="K18" s="67">
        <f>Forecast!K18</f>
        <v>0</v>
      </c>
      <c r="L18" s="67">
        <f>Forecast!L18</f>
        <v>0</v>
      </c>
      <c r="M18" s="67">
        <f>Forecast!M18</f>
        <v>0</v>
      </c>
      <c r="N18" s="67">
        <f>Forecast!N18</f>
        <v>0</v>
      </c>
      <c r="O18" s="67">
        <f>Forecast!O18</f>
        <v>0</v>
      </c>
      <c r="P18" s="67">
        <f>Forecast!P18</f>
        <v>0</v>
      </c>
      <c r="Q18" s="67">
        <f>Forecast!Q18</f>
        <v>0</v>
      </c>
      <c r="R18" s="67">
        <f>Forecast!R18</f>
        <v>0</v>
      </c>
      <c r="S18" s="67">
        <f>Forecast!S18</f>
        <v>0</v>
      </c>
      <c r="T18" s="67">
        <f>Forecast!T18</f>
        <v>0</v>
      </c>
      <c r="U18" s="67">
        <f>Forecast!U18</f>
        <v>0</v>
      </c>
      <c r="V18" s="67">
        <f>Forecast!V18</f>
        <v>0</v>
      </c>
      <c r="W18" s="67">
        <f>Forecast!W18</f>
        <v>0</v>
      </c>
      <c r="X18" s="67">
        <f>Forecast!X18</f>
        <v>0</v>
      </c>
      <c r="Y18" s="67">
        <f>Forecast!Y18</f>
        <v>0</v>
      </c>
      <c r="Z18" s="67">
        <f>Forecast!Z18</f>
        <v>0</v>
      </c>
      <c r="AA18" s="67">
        <f>Forecast!AA18</f>
        <v>0</v>
      </c>
      <c r="AB18" s="67">
        <f>Forecast!AB18</f>
        <v>0</v>
      </c>
      <c r="AC18" s="67">
        <f>Forecast!AC18</f>
        <v>0</v>
      </c>
      <c r="AD18" s="67">
        <f>Forecast!AD18</f>
        <v>0</v>
      </c>
      <c r="AE18" s="67">
        <f>Forecast!AE18</f>
        <v>0</v>
      </c>
      <c r="AF18" s="67">
        <f>Forecast!AF18</f>
        <v>0</v>
      </c>
      <c r="AG18" s="67">
        <f>Forecast!AG18</f>
        <v>0</v>
      </c>
      <c r="AH18" s="67">
        <f>Forecast!AH18</f>
        <v>0</v>
      </c>
      <c r="AI18" s="67">
        <f>Forecast!AI18</f>
        <v>0</v>
      </c>
      <c r="AJ18" s="67">
        <f>Forecast!AJ18</f>
        <v>0</v>
      </c>
      <c r="AK18" s="67">
        <f>Forecast!AK18</f>
        <v>0</v>
      </c>
      <c r="AL18" s="67">
        <f>Forecast!AL18</f>
        <v>0</v>
      </c>
      <c r="AM18" s="67">
        <f>Forecast!AM18</f>
        <v>0</v>
      </c>
      <c r="AN18" s="67">
        <f>Forecast!AN18</f>
        <v>0</v>
      </c>
      <c r="AO18" s="67">
        <f>Forecast!AO18</f>
        <v>0</v>
      </c>
      <c r="AP18" s="67">
        <f>Forecast!AP18</f>
        <v>0</v>
      </c>
      <c r="AQ18" s="67">
        <f>Forecast!AQ18</f>
        <v>0</v>
      </c>
      <c r="AR18" s="67">
        <f>Forecast!AR18</f>
        <v>0</v>
      </c>
      <c r="AS18" s="67">
        <f>Forecast!AS18</f>
        <v>0</v>
      </c>
      <c r="AT18" s="67">
        <f>Forecast!AT18</f>
        <v>0</v>
      </c>
      <c r="AU18" s="67">
        <f>Forecast!AU18</f>
        <v>0</v>
      </c>
      <c r="AV18" s="67">
        <f>Forecast!AV18</f>
        <v>0</v>
      </c>
      <c r="AW18" s="67">
        <f>Forecast!AW18</f>
        <v>0</v>
      </c>
      <c r="AX18" s="67">
        <f>Forecast!AX18</f>
        <v>0</v>
      </c>
      <c r="AY18" s="67">
        <f>Forecast!AY18</f>
        <v>0</v>
      </c>
      <c r="AZ18" s="67">
        <f>Forecast!AZ18</f>
        <v>0</v>
      </c>
      <c r="BA18" s="67">
        <f>Forecast!BA18</f>
        <v>0</v>
      </c>
      <c r="BB18" s="67">
        <f>Forecast!BB18</f>
        <v>0</v>
      </c>
      <c r="BC18" s="67">
        <f>Forecast!BC18</f>
        <v>0</v>
      </c>
      <c r="BD18" s="67">
        <f>Forecast!BD18</f>
        <v>0</v>
      </c>
      <c r="BE18" s="67">
        <f>Forecast!BE18</f>
        <v>0</v>
      </c>
      <c r="BF18" s="67">
        <f>Forecast!BF18</f>
        <v>0</v>
      </c>
      <c r="BG18" s="67">
        <f>Forecast!BG18</f>
        <v>0</v>
      </c>
      <c r="BH18" s="67">
        <f>Forecast!BH18</f>
        <v>0</v>
      </c>
      <c r="BI18" s="67">
        <f>Forecast!BI18</f>
        <v>0</v>
      </c>
      <c r="BJ18" s="67">
        <f>Forecast!BJ18</f>
        <v>0</v>
      </c>
      <c r="BK18" s="67">
        <f>Forecast!BK18</f>
        <v>0</v>
      </c>
      <c r="BL18" s="67">
        <f>Forecast!BL18</f>
        <v>0</v>
      </c>
      <c r="BM18" s="67">
        <f>Forecast!BM18</f>
        <v>0</v>
      </c>
      <c r="BN18" s="67">
        <f>Forecast!BN18</f>
        <v>0</v>
      </c>
      <c r="BO18" s="67">
        <f>Forecast!BO18</f>
        <v>0</v>
      </c>
      <c r="BP18" s="67">
        <f>Forecast!BP18</f>
        <v>0</v>
      </c>
      <c r="BQ18" s="67">
        <f>Forecast!BQ18</f>
        <v>0</v>
      </c>
      <c r="BR18" s="67">
        <f>Forecast!BR18</f>
        <v>0</v>
      </c>
      <c r="BS18" s="67">
        <f>Forecast!BS18</f>
        <v>0</v>
      </c>
      <c r="BT18" s="67">
        <f>Forecast!BT18</f>
        <v>0</v>
      </c>
      <c r="BU18" s="67">
        <f>Forecast!BU18</f>
        <v>0</v>
      </c>
      <c r="BV18" s="67">
        <f>Forecast!BV18</f>
        <v>0</v>
      </c>
      <c r="BW18" s="67">
        <f>Forecast!BW18</f>
        <v>0</v>
      </c>
      <c r="BX18" s="67">
        <f>Forecast!BX18</f>
        <v>0</v>
      </c>
      <c r="BY18" s="67">
        <f>Forecast!BY18</f>
        <v>0</v>
      </c>
      <c r="BZ18" s="67">
        <f>Forecast!BZ18</f>
        <v>0</v>
      </c>
      <c r="CA18" s="67">
        <f>Forecast!CA18</f>
        <v>0</v>
      </c>
      <c r="CB18" s="67">
        <f>Forecast!CB18</f>
        <v>0</v>
      </c>
      <c r="CC18" s="67">
        <f>Forecast!CC18</f>
        <v>0</v>
      </c>
      <c r="CD18" s="67">
        <f>Forecast!CD18</f>
        <v>0</v>
      </c>
      <c r="CE18" s="67">
        <f>Forecast!CE18</f>
        <v>0</v>
      </c>
      <c r="CF18" s="67">
        <f>Forecast!CF18</f>
        <v>0</v>
      </c>
      <c r="CG18" s="67">
        <f>Forecast!CG18</f>
        <v>0</v>
      </c>
      <c r="CH18" s="67">
        <f>Forecast!CH18</f>
        <v>0</v>
      </c>
    </row>
    <row r="19" spans="1:86" ht="13">
      <c r="A19" s="13"/>
      <c r="B19" s="13" t="s">
        <v>248</v>
      </c>
      <c r="C19" s="13"/>
      <c r="D19" s="48" t="s">
        <v>238</v>
      </c>
      <c r="E19" s="64">
        <f t="shared" si="4"/>
        <v>1</v>
      </c>
      <c r="F19" s="48"/>
      <c r="G19" s="67">
        <f>Forecast!G19</f>
        <v>1</v>
      </c>
      <c r="H19" s="67">
        <f>Forecast!H19</f>
        <v>0</v>
      </c>
      <c r="I19" s="67">
        <f>Forecast!I19</f>
        <v>0</v>
      </c>
      <c r="J19" s="67">
        <f>Forecast!J19</f>
        <v>0</v>
      </c>
      <c r="K19" s="67">
        <f>Forecast!K19</f>
        <v>0</v>
      </c>
      <c r="L19" s="67">
        <f>Forecast!L19</f>
        <v>0</v>
      </c>
      <c r="M19" s="67">
        <f>Forecast!M19</f>
        <v>0</v>
      </c>
      <c r="N19" s="67">
        <f>Forecast!N19</f>
        <v>0</v>
      </c>
      <c r="O19" s="67">
        <f>Forecast!O19</f>
        <v>0</v>
      </c>
      <c r="P19" s="67">
        <f>Forecast!P19</f>
        <v>0</v>
      </c>
      <c r="Q19" s="67">
        <f>Forecast!Q19</f>
        <v>0</v>
      </c>
      <c r="R19" s="67">
        <f>Forecast!R19</f>
        <v>0</v>
      </c>
      <c r="S19" s="67">
        <f>Forecast!S19</f>
        <v>0</v>
      </c>
      <c r="T19" s="67">
        <f>Forecast!T19</f>
        <v>0</v>
      </c>
      <c r="U19" s="67">
        <f>Forecast!U19</f>
        <v>0</v>
      </c>
      <c r="V19" s="67">
        <f>Forecast!V19</f>
        <v>0</v>
      </c>
      <c r="W19" s="67">
        <f>Forecast!W19</f>
        <v>0</v>
      </c>
      <c r="X19" s="67">
        <f>Forecast!X19</f>
        <v>0</v>
      </c>
      <c r="Y19" s="67">
        <f>Forecast!Y19</f>
        <v>0</v>
      </c>
      <c r="Z19" s="67">
        <f>Forecast!Z19</f>
        <v>0</v>
      </c>
      <c r="AA19" s="67">
        <f>Forecast!AA19</f>
        <v>0</v>
      </c>
      <c r="AB19" s="67">
        <f>Forecast!AB19</f>
        <v>0</v>
      </c>
      <c r="AC19" s="67">
        <f>Forecast!AC19</f>
        <v>0</v>
      </c>
      <c r="AD19" s="67">
        <f>Forecast!AD19</f>
        <v>0</v>
      </c>
      <c r="AE19" s="67">
        <f>Forecast!AE19</f>
        <v>0</v>
      </c>
      <c r="AF19" s="67">
        <f>Forecast!AF19</f>
        <v>0</v>
      </c>
      <c r="AG19" s="67">
        <f>Forecast!AG19</f>
        <v>0</v>
      </c>
      <c r="AH19" s="67">
        <f>Forecast!AH19</f>
        <v>0</v>
      </c>
      <c r="AI19" s="67">
        <f>Forecast!AI19</f>
        <v>0</v>
      </c>
      <c r="AJ19" s="67">
        <f>Forecast!AJ19</f>
        <v>0</v>
      </c>
      <c r="AK19" s="67">
        <f>Forecast!AK19</f>
        <v>0</v>
      </c>
      <c r="AL19" s="67">
        <f>Forecast!AL19</f>
        <v>0</v>
      </c>
      <c r="AM19" s="67">
        <f>Forecast!AM19</f>
        <v>0</v>
      </c>
      <c r="AN19" s="67">
        <f>Forecast!AN19</f>
        <v>0</v>
      </c>
      <c r="AO19" s="67">
        <f>Forecast!AO19</f>
        <v>0</v>
      </c>
      <c r="AP19" s="67">
        <f>Forecast!AP19</f>
        <v>0</v>
      </c>
      <c r="AQ19" s="67">
        <f>Forecast!AQ19</f>
        <v>0</v>
      </c>
      <c r="AR19" s="67">
        <f>Forecast!AR19</f>
        <v>0</v>
      </c>
      <c r="AS19" s="67">
        <f>Forecast!AS19</f>
        <v>0</v>
      </c>
      <c r="AT19" s="67">
        <f>Forecast!AT19</f>
        <v>0</v>
      </c>
      <c r="AU19" s="67">
        <f>Forecast!AU19</f>
        <v>0</v>
      </c>
      <c r="AV19" s="67">
        <f>Forecast!AV19</f>
        <v>0</v>
      </c>
      <c r="AW19" s="67">
        <f>Forecast!AW19</f>
        <v>0</v>
      </c>
      <c r="AX19" s="67">
        <f>Forecast!AX19</f>
        <v>0</v>
      </c>
      <c r="AY19" s="67">
        <f>Forecast!AY19</f>
        <v>0</v>
      </c>
      <c r="AZ19" s="67">
        <f>Forecast!AZ19</f>
        <v>0</v>
      </c>
      <c r="BA19" s="67">
        <f>Forecast!BA19</f>
        <v>0</v>
      </c>
      <c r="BB19" s="67">
        <f>Forecast!BB19</f>
        <v>0</v>
      </c>
      <c r="BC19" s="67">
        <f>Forecast!BC19</f>
        <v>0</v>
      </c>
      <c r="BD19" s="67">
        <f>Forecast!BD19</f>
        <v>0</v>
      </c>
      <c r="BE19" s="67">
        <f>Forecast!BE19</f>
        <v>0</v>
      </c>
      <c r="BF19" s="67">
        <f>Forecast!BF19</f>
        <v>0</v>
      </c>
      <c r="BG19" s="67">
        <f>Forecast!BG19</f>
        <v>0</v>
      </c>
      <c r="BH19" s="67">
        <f>Forecast!BH19</f>
        <v>0</v>
      </c>
      <c r="BI19" s="67">
        <f>Forecast!BI19</f>
        <v>0</v>
      </c>
      <c r="BJ19" s="67">
        <f>Forecast!BJ19</f>
        <v>0</v>
      </c>
      <c r="BK19" s="67">
        <f>Forecast!BK19</f>
        <v>0</v>
      </c>
      <c r="BL19" s="67">
        <f>Forecast!BL19</f>
        <v>0</v>
      </c>
      <c r="BM19" s="67">
        <f>Forecast!BM19</f>
        <v>0</v>
      </c>
      <c r="BN19" s="67">
        <f>Forecast!BN19</f>
        <v>0</v>
      </c>
      <c r="BO19" s="67">
        <f>Forecast!BO19</f>
        <v>0</v>
      </c>
      <c r="BP19" s="67">
        <f>Forecast!BP19</f>
        <v>0</v>
      </c>
      <c r="BQ19" s="67">
        <f>Forecast!BQ19</f>
        <v>0</v>
      </c>
      <c r="BR19" s="67">
        <f>Forecast!BR19</f>
        <v>0</v>
      </c>
      <c r="BS19" s="67">
        <f>Forecast!BS19</f>
        <v>0</v>
      </c>
      <c r="BT19" s="67">
        <f>Forecast!BT19</f>
        <v>0</v>
      </c>
      <c r="BU19" s="67">
        <f>Forecast!BU19</f>
        <v>0</v>
      </c>
      <c r="BV19" s="67">
        <f>Forecast!BV19</f>
        <v>0</v>
      </c>
      <c r="BW19" s="67">
        <f>Forecast!BW19</f>
        <v>0</v>
      </c>
      <c r="BX19" s="67">
        <f>Forecast!BX19</f>
        <v>0</v>
      </c>
      <c r="BY19" s="67">
        <f>Forecast!BY19</f>
        <v>0</v>
      </c>
      <c r="BZ19" s="67">
        <f>Forecast!BZ19</f>
        <v>0</v>
      </c>
      <c r="CA19" s="67">
        <f>Forecast!CA19</f>
        <v>0</v>
      </c>
      <c r="CB19" s="67">
        <f>Forecast!CB19</f>
        <v>0</v>
      </c>
      <c r="CC19" s="67">
        <f>Forecast!CC19</f>
        <v>0</v>
      </c>
      <c r="CD19" s="67">
        <f>Forecast!CD19</f>
        <v>0</v>
      </c>
      <c r="CE19" s="67">
        <f>Forecast!CE19</f>
        <v>0</v>
      </c>
      <c r="CF19" s="67">
        <f>Forecast!CF19</f>
        <v>0</v>
      </c>
      <c r="CG19" s="67">
        <f>Forecast!CG19</f>
        <v>0</v>
      </c>
      <c r="CH19" s="67">
        <f>Forecast!CH19</f>
        <v>0</v>
      </c>
    </row>
    <row r="20" spans="1:86" ht="13">
      <c r="B20" s="15" t="s">
        <v>249</v>
      </c>
      <c r="C20" s="15" t="s">
        <v>250</v>
      </c>
      <c r="D20" s="48" t="s">
        <v>238</v>
      </c>
      <c r="E20" s="64">
        <f t="shared" si="4"/>
        <v>0</v>
      </c>
      <c r="F20" s="29"/>
      <c r="G20" s="67">
        <f>Forecast!G20</f>
        <v>0</v>
      </c>
      <c r="H20" s="67">
        <f>Forecast!H20</f>
        <v>0</v>
      </c>
      <c r="I20" s="67">
        <f>Forecast!I20</f>
        <v>0</v>
      </c>
      <c r="J20" s="67">
        <f>Forecast!J20</f>
        <v>0</v>
      </c>
      <c r="K20" s="67">
        <f>Forecast!K20</f>
        <v>0</v>
      </c>
      <c r="L20" s="67">
        <f>Forecast!L20</f>
        <v>0</v>
      </c>
      <c r="M20" s="67">
        <f>Forecast!M20</f>
        <v>0</v>
      </c>
      <c r="N20" s="67">
        <f>Forecast!N20</f>
        <v>0</v>
      </c>
      <c r="O20" s="67">
        <f>Forecast!O20</f>
        <v>0</v>
      </c>
      <c r="P20" s="67">
        <f>Forecast!P20</f>
        <v>0</v>
      </c>
      <c r="Q20" s="67">
        <f>Forecast!Q20</f>
        <v>0</v>
      </c>
      <c r="R20" s="67">
        <f>Forecast!R20</f>
        <v>0</v>
      </c>
      <c r="S20" s="67">
        <f>Forecast!S20</f>
        <v>0</v>
      </c>
      <c r="T20" s="67">
        <f>Forecast!T20</f>
        <v>0</v>
      </c>
      <c r="U20" s="67">
        <f>Forecast!U20</f>
        <v>0</v>
      </c>
      <c r="V20" s="67">
        <f>Forecast!V20</f>
        <v>0</v>
      </c>
      <c r="W20" s="67">
        <f>Forecast!W20</f>
        <v>0</v>
      </c>
      <c r="X20" s="67">
        <f>Forecast!X20</f>
        <v>0</v>
      </c>
      <c r="Y20" s="67">
        <f>Forecast!Y20</f>
        <v>0</v>
      </c>
      <c r="Z20" s="67">
        <f>Forecast!Z20</f>
        <v>0</v>
      </c>
      <c r="AA20" s="67">
        <f>Forecast!AA20</f>
        <v>0</v>
      </c>
      <c r="AB20" s="67">
        <f>Forecast!AB20</f>
        <v>0</v>
      </c>
      <c r="AC20" s="67">
        <f>Forecast!AC20</f>
        <v>0</v>
      </c>
      <c r="AD20" s="67">
        <f>Forecast!AD20</f>
        <v>0</v>
      </c>
      <c r="AE20" s="67">
        <f>Forecast!AE20</f>
        <v>0</v>
      </c>
      <c r="AF20" s="67">
        <f>Forecast!AF20</f>
        <v>0</v>
      </c>
      <c r="AG20" s="67">
        <f>Forecast!AG20</f>
        <v>0</v>
      </c>
      <c r="AH20" s="67">
        <f>Forecast!AH20</f>
        <v>0</v>
      </c>
      <c r="AI20" s="67">
        <f>Forecast!AI20</f>
        <v>0</v>
      </c>
      <c r="AJ20" s="67">
        <f>Forecast!AJ20</f>
        <v>0</v>
      </c>
      <c r="AK20" s="67">
        <f>Forecast!AK20</f>
        <v>0</v>
      </c>
      <c r="AL20" s="67">
        <f>Forecast!AL20</f>
        <v>0</v>
      </c>
      <c r="AM20" s="67">
        <f>Forecast!AM20</f>
        <v>0</v>
      </c>
      <c r="AN20" s="67">
        <f>Forecast!AN20</f>
        <v>0</v>
      </c>
      <c r="AO20" s="67">
        <f>Forecast!AO20</f>
        <v>0</v>
      </c>
      <c r="AP20" s="67">
        <f>Forecast!AP20</f>
        <v>0</v>
      </c>
      <c r="AQ20" s="67">
        <f>Forecast!AQ20</f>
        <v>0</v>
      </c>
      <c r="AR20" s="67">
        <f>Forecast!AR20</f>
        <v>0</v>
      </c>
      <c r="AS20" s="67">
        <f>Forecast!AS20</f>
        <v>0</v>
      </c>
      <c r="AT20" s="67">
        <f>Forecast!AT20</f>
        <v>0</v>
      </c>
      <c r="AU20" s="67">
        <f>Forecast!AU20</f>
        <v>0</v>
      </c>
      <c r="AV20" s="67">
        <f>Forecast!AV20</f>
        <v>0</v>
      </c>
      <c r="AW20" s="67">
        <f>Forecast!AW20</f>
        <v>0</v>
      </c>
      <c r="AX20" s="67">
        <f>Forecast!AX20</f>
        <v>0</v>
      </c>
      <c r="AY20" s="67">
        <f>Forecast!AY20</f>
        <v>0</v>
      </c>
      <c r="AZ20" s="67">
        <f>Forecast!AZ20</f>
        <v>0</v>
      </c>
      <c r="BA20" s="67">
        <f>Forecast!BA20</f>
        <v>0</v>
      </c>
      <c r="BB20" s="67">
        <f>Forecast!BB20</f>
        <v>0</v>
      </c>
      <c r="BC20" s="67">
        <f>Forecast!BC20</f>
        <v>0</v>
      </c>
      <c r="BD20" s="67">
        <f>Forecast!BD20</f>
        <v>0</v>
      </c>
      <c r="BE20" s="67">
        <f>Forecast!BE20</f>
        <v>0</v>
      </c>
      <c r="BF20" s="67">
        <f>Forecast!BF20</f>
        <v>0</v>
      </c>
      <c r="BG20" s="67">
        <f>Forecast!BG20</f>
        <v>0</v>
      </c>
      <c r="BH20" s="67">
        <f>Forecast!BH20</f>
        <v>0</v>
      </c>
      <c r="BI20" s="67">
        <f>Forecast!BI20</f>
        <v>0</v>
      </c>
      <c r="BJ20" s="67">
        <f>Forecast!BJ20</f>
        <v>0</v>
      </c>
      <c r="BK20" s="67">
        <f>Forecast!BK20</f>
        <v>0</v>
      </c>
      <c r="BL20" s="67">
        <f>Forecast!BL20</f>
        <v>0</v>
      </c>
      <c r="BM20" s="67">
        <f>Forecast!BM20</f>
        <v>0</v>
      </c>
      <c r="BN20" s="67">
        <f>Forecast!BN20</f>
        <v>0</v>
      </c>
      <c r="BO20" s="67">
        <f>Forecast!BO20</f>
        <v>0</v>
      </c>
      <c r="BP20" s="67">
        <f>Forecast!BP20</f>
        <v>0</v>
      </c>
      <c r="BQ20" s="67">
        <f>Forecast!BQ20</f>
        <v>0</v>
      </c>
      <c r="BR20" s="67">
        <f>Forecast!BR20</f>
        <v>0</v>
      </c>
      <c r="BS20" s="67">
        <f>Forecast!BS20</f>
        <v>0</v>
      </c>
      <c r="BT20" s="67">
        <f>Forecast!BT20</f>
        <v>0</v>
      </c>
      <c r="BU20" s="67">
        <f>Forecast!BU20</f>
        <v>0</v>
      </c>
      <c r="BV20" s="67">
        <f>Forecast!BV20</f>
        <v>0</v>
      </c>
      <c r="BW20" s="67">
        <f>Forecast!BW20</f>
        <v>0</v>
      </c>
      <c r="BX20" s="67">
        <f>Forecast!BX20</f>
        <v>0</v>
      </c>
      <c r="BY20" s="67">
        <f>Forecast!BY20</f>
        <v>0</v>
      </c>
      <c r="BZ20" s="67">
        <f>Forecast!BZ20</f>
        <v>0</v>
      </c>
      <c r="CA20" s="67">
        <f>Forecast!CA20</f>
        <v>0</v>
      </c>
      <c r="CB20" s="67">
        <f>Forecast!CB20</f>
        <v>0</v>
      </c>
      <c r="CC20" s="67">
        <f>Forecast!CC20</f>
        <v>0</v>
      </c>
      <c r="CD20" s="67">
        <f>Forecast!CD20</f>
        <v>0</v>
      </c>
      <c r="CE20" s="67">
        <f>Forecast!CE20</f>
        <v>0</v>
      </c>
      <c r="CF20" s="67">
        <f>Forecast!CF20</f>
        <v>0</v>
      </c>
      <c r="CG20" s="67">
        <f>Forecast!CG20</f>
        <v>0</v>
      </c>
      <c r="CH20" s="67">
        <f>Forecast!CH20</f>
        <v>0</v>
      </c>
    </row>
    <row r="21" spans="1:86" ht="13">
      <c r="B21" s="15"/>
      <c r="C21" s="15"/>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row>
    <row r="22" spans="1:86" ht="13">
      <c r="B22" s="15" t="s">
        <v>251</v>
      </c>
      <c r="C22" s="15"/>
      <c r="D22" s="15" t="s">
        <v>252</v>
      </c>
      <c r="E22" s="29">
        <f t="shared" ref="E22:E28" si="5">IF(D22="sum",SUM(G22:CH22),IF(D22="final",CH22,IF(D22="initial",G22,IF(D22="average",AVERAGE(G22:CH22),0))))</f>
        <v>0</v>
      </c>
      <c r="F22" s="29"/>
      <c r="G22" s="29">
        <f t="shared" ref="G22:CH22" si="6">F28</f>
        <v>0</v>
      </c>
      <c r="H22" s="29">
        <f t="shared" ca="1" si="6"/>
        <v>0</v>
      </c>
      <c r="I22" s="29">
        <f t="shared" ca="1" si="6"/>
        <v>0</v>
      </c>
      <c r="J22" s="29">
        <f t="shared" ca="1" si="6"/>
        <v>0</v>
      </c>
      <c r="K22" s="29">
        <f t="shared" ca="1" si="6"/>
        <v>0</v>
      </c>
      <c r="L22" s="29">
        <f t="shared" ca="1" si="6"/>
        <v>0</v>
      </c>
      <c r="M22" s="29">
        <f t="shared" ca="1" si="6"/>
        <v>0</v>
      </c>
      <c r="N22" s="29">
        <f t="shared" ca="1" si="6"/>
        <v>0</v>
      </c>
      <c r="O22" s="29">
        <f t="shared" ca="1" si="6"/>
        <v>0</v>
      </c>
      <c r="P22" s="29">
        <f t="shared" ca="1" si="6"/>
        <v>0</v>
      </c>
      <c r="Q22" s="29">
        <f t="shared" ca="1" si="6"/>
        <v>0</v>
      </c>
      <c r="R22" s="29">
        <f t="shared" ca="1" si="6"/>
        <v>0</v>
      </c>
      <c r="S22" s="29">
        <f t="shared" ca="1" si="6"/>
        <v>0</v>
      </c>
      <c r="T22" s="29">
        <f t="shared" ca="1" si="6"/>
        <v>0</v>
      </c>
      <c r="U22" s="29">
        <f t="shared" ca="1" si="6"/>
        <v>0</v>
      </c>
      <c r="V22" s="29">
        <f t="shared" ca="1" si="6"/>
        <v>0</v>
      </c>
      <c r="W22" s="29">
        <f t="shared" ca="1" si="6"/>
        <v>0</v>
      </c>
      <c r="X22" s="29">
        <f t="shared" ca="1" si="6"/>
        <v>0</v>
      </c>
      <c r="Y22" s="29">
        <f t="shared" ca="1" si="6"/>
        <v>0</v>
      </c>
      <c r="Z22" s="29">
        <f t="shared" ca="1" si="6"/>
        <v>-4.6566128730773926E-10</v>
      </c>
      <c r="AA22" s="29">
        <f t="shared" ca="1" si="6"/>
        <v>0</v>
      </c>
      <c r="AB22" s="29">
        <f t="shared" ca="1" si="6"/>
        <v>0</v>
      </c>
      <c r="AC22" s="29">
        <f t="shared" ca="1" si="6"/>
        <v>0</v>
      </c>
      <c r="AD22" s="29">
        <f t="shared" ca="1" si="6"/>
        <v>0</v>
      </c>
      <c r="AE22" s="29">
        <f t="shared" ca="1" si="6"/>
        <v>0</v>
      </c>
      <c r="AF22" s="29">
        <f t="shared" ca="1" si="6"/>
        <v>0</v>
      </c>
      <c r="AG22" s="29">
        <f t="shared" ca="1" si="6"/>
        <v>0</v>
      </c>
      <c r="AH22" s="29">
        <f t="shared" ca="1" si="6"/>
        <v>0</v>
      </c>
      <c r="AI22" s="29">
        <f t="shared" ca="1" si="6"/>
        <v>0</v>
      </c>
      <c r="AJ22" s="29">
        <f t="shared" ca="1" si="6"/>
        <v>0</v>
      </c>
      <c r="AK22" s="29">
        <f t="shared" ca="1" si="6"/>
        <v>0</v>
      </c>
      <c r="AL22" s="29">
        <f t="shared" ca="1" si="6"/>
        <v>0</v>
      </c>
      <c r="AM22" s="29">
        <f t="shared" ca="1" si="6"/>
        <v>0</v>
      </c>
      <c r="AN22" s="29">
        <f t="shared" ca="1" si="6"/>
        <v>0</v>
      </c>
      <c r="AO22" s="29">
        <f t="shared" ca="1" si="6"/>
        <v>0</v>
      </c>
      <c r="AP22" s="29">
        <f t="shared" ca="1" si="6"/>
        <v>0</v>
      </c>
      <c r="AQ22" s="29">
        <f t="shared" ca="1" si="6"/>
        <v>0</v>
      </c>
      <c r="AR22" s="29">
        <f t="shared" ca="1" si="6"/>
        <v>0</v>
      </c>
      <c r="AS22" s="29">
        <f t="shared" ca="1" si="6"/>
        <v>0</v>
      </c>
      <c r="AT22" s="29">
        <f t="shared" ca="1" si="6"/>
        <v>0</v>
      </c>
      <c r="AU22" s="29">
        <f t="shared" ca="1" si="6"/>
        <v>0</v>
      </c>
      <c r="AV22" s="29">
        <f t="shared" ca="1" si="6"/>
        <v>0</v>
      </c>
      <c r="AW22" s="29">
        <f t="shared" ca="1" si="6"/>
        <v>0</v>
      </c>
      <c r="AX22" s="29">
        <f t="shared" ca="1" si="6"/>
        <v>0</v>
      </c>
      <c r="AY22" s="29">
        <f t="shared" ca="1" si="6"/>
        <v>0</v>
      </c>
      <c r="AZ22" s="29">
        <f t="shared" ca="1" si="6"/>
        <v>0</v>
      </c>
      <c r="BA22" s="29">
        <f t="shared" ca="1" si="6"/>
        <v>0</v>
      </c>
      <c r="BB22" s="29">
        <f t="shared" ca="1" si="6"/>
        <v>0</v>
      </c>
      <c r="BC22" s="29">
        <f t="shared" ca="1" si="6"/>
        <v>0</v>
      </c>
      <c r="BD22" s="29">
        <f t="shared" ca="1" si="6"/>
        <v>0</v>
      </c>
      <c r="BE22" s="29">
        <f t="shared" ca="1" si="6"/>
        <v>0</v>
      </c>
      <c r="BF22" s="29">
        <f t="shared" ca="1" si="6"/>
        <v>0</v>
      </c>
      <c r="BG22" s="29">
        <f t="shared" ca="1" si="6"/>
        <v>0</v>
      </c>
      <c r="BH22" s="29">
        <f t="shared" ca="1" si="6"/>
        <v>0</v>
      </c>
      <c r="BI22" s="29">
        <f t="shared" ca="1" si="6"/>
        <v>0</v>
      </c>
      <c r="BJ22" s="29">
        <f t="shared" ca="1" si="6"/>
        <v>0</v>
      </c>
      <c r="BK22" s="29">
        <f t="shared" ca="1" si="6"/>
        <v>0</v>
      </c>
      <c r="BL22" s="29">
        <f t="shared" ca="1" si="6"/>
        <v>0</v>
      </c>
      <c r="BM22" s="29">
        <f t="shared" ca="1" si="6"/>
        <v>0</v>
      </c>
      <c r="BN22" s="29">
        <f t="shared" ca="1" si="6"/>
        <v>0</v>
      </c>
      <c r="BO22" s="29">
        <f t="shared" ca="1" si="6"/>
        <v>0</v>
      </c>
      <c r="BP22" s="29">
        <f t="shared" ca="1" si="6"/>
        <v>0</v>
      </c>
      <c r="BQ22" s="29">
        <f t="shared" ca="1" si="6"/>
        <v>0</v>
      </c>
      <c r="BR22" s="29">
        <f t="shared" ca="1" si="6"/>
        <v>0</v>
      </c>
      <c r="BS22" s="29">
        <f t="shared" ca="1" si="6"/>
        <v>0</v>
      </c>
      <c r="BT22" s="29">
        <f t="shared" ca="1" si="6"/>
        <v>0</v>
      </c>
      <c r="BU22" s="29">
        <f t="shared" ca="1" si="6"/>
        <v>0</v>
      </c>
      <c r="BV22" s="29">
        <f t="shared" ca="1" si="6"/>
        <v>0</v>
      </c>
      <c r="BW22" s="29">
        <f t="shared" ca="1" si="6"/>
        <v>0</v>
      </c>
      <c r="BX22" s="29">
        <f t="shared" ca="1" si="6"/>
        <v>0</v>
      </c>
      <c r="BY22" s="29">
        <f t="shared" ca="1" si="6"/>
        <v>0</v>
      </c>
      <c r="BZ22" s="29">
        <f t="shared" ca="1" si="6"/>
        <v>0</v>
      </c>
      <c r="CA22" s="29">
        <f t="shared" ca="1" si="6"/>
        <v>0</v>
      </c>
      <c r="CB22" s="29">
        <f t="shared" ca="1" si="6"/>
        <v>0</v>
      </c>
      <c r="CC22" s="29">
        <f t="shared" ca="1" si="6"/>
        <v>0</v>
      </c>
      <c r="CD22" s="29">
        <f t="shared" ca="1" si="6"/>
        <v>0</v>
      </c>
      <c r="CE22" s="29">
        <f t="shared" ca="1" si="6"/>
        <v>0</v>
      </c>
      <c r="CF22" s="29">
        <f t="shared" ca="1" si="6"/>
        <v>0</v>
      </c>
      <c r="CG22" s="29">
        <f t="shared" ca="1" si="6"/>
        <v>0</v>
      </c>
      <c r="CH22" s="29">
        <f t="shared" ca="1" si="6"/>
        <v>0</v>
      </c>
    </row>
    <row r="23" spans="1:86" ht="13">
      <c r="B23" s="15" t="s">
        <v>253</v>
      </c>
      <c r="C23" s="15"/>
      <c r="D23" s="15" t="s">
        <v>238</v>
      </c>
      <c r="E23" s="29">
        <f t="shared" ca="1" si="5"/>
        <v>25000000</v>
      </c>
      <c r="F23" s="29"/>
      <c r="G23" s="29">
        <f t="shared" ref="G23:CH23" ca="1" si="7">G31</f>
        <v>1444375</v>
      </c>
      <c r="H23" s="29">
        <f t="shared" ca="1" si="7"/>
        <v>1344375</v>
      </c>
      <c r="I23" s="29">
        <f t="shared" ca="1" si="7"/>
        <v>1344375</v>
      </c>
      <c r="J23" s="29">
        <f t="shared" ca="1" si="7"/>
        <v>1344375</v>
      </c>
      <c r="K23" s="29">
        <f t="shared" ca="1" si="7"/>
        <v>1344375</v>
      </c>
      <c r="L23" s="29">
        <f t="shared" ca="1" si="7"/>
        <v>1344375</v>
      </c>
      <c r="M23" s="29">
        <f t="shared" ca="1" si="7"/>
        <v>1344375</v>
      </c>
      <c r="N23" s="29">
        <f t="shared" ca="1" si="7"/>
        <v>1344375</v>
      </c>
      <c r="O23" s="29">
        <f t="shared" ca="1" si="7"/>
        <v>1344375</v>
      </c>
      <c r="P23" s="29">
        <f t="shared" ca="1" si="7"/>
        <v>1344375</v>
      </c>
      <c r="Q23" s="29">
        <f t="shared" ca="1" si="7"/>
        <v>1344375</v>
      </c>
      <c r="R23" s="29">
        <f t="shared" ca="1" si="7"/>
        <v>1344375</v>
      </c>
      <c r="S23" s="29">
        <f t="shared" ca="1" si="7"/>
        <v>1344375</v>
      </c>
      <c r="T23" s="29">
        <f t="shared" ca="1" si="7"/>
        <v>1344375</v>
      </c>
      <c r="U23" s="29">
        <f t="shared" ca="1" si="7"/>
        <v>1344375</v>
      </c>
      <c r="V23" s="29">
        <f t="shared" ca="1" si="7"/>
        <v>1344375</v>
      </c>
      <c r="W23" s="29">
        <f t="shared" ca="1" si="7"/>
        <v>141250</v>
      </c>
      <c r="X23" s="29">
        <f t="shared" ca="1" si="7"/>
        <v>141250</v>
      </c>
      <c r="Y23" s="29">
        <f t="shared" ca="1" si="7"/>
        <v>141250</v>
      </c>
      <c r="Z23" s="29">
        <f t="shared" ca="1" si="7"/>
        <v>141250</v>
      </c>
      <c r="AA23" s="29">
        <f t="shared" ca="1" si="7"/>
        <v>141250</v>
      </c>
      <c r="AB23" s="29">
        <f t="shared" ca="1" si="7"/>
        <v>141250</v>
      </c>
      <c r="AC23" s="29">
        <f t="shared" ca="1" si="7"/>
        <v>141250</v>
      </c>
      <c r="AD23" s="29">
        <f t="shared" ca="1" si="7"/>
        <v>141250</v>
      </c>
      <c r="AE23" s="29">
        <f t="shared" ca="1" si="7"/>
        <v>141250</v>
      </c>
      <c r="AF23" s="29">
        <f t="shared" ca="1" si="7"/>
        <v>141250</v>
      </c>
      <c r="AG23" s="29">
        <f t="shared" ca="1" si="7"/>
        <v>141250</v>
      </c>
      <c r="AH23" s="29">
        <f t="shared" ca="1" si="7"/>
        <v>141250</v>
      </c>
      <c r="AI23" s="29">
        <f t="shared" ca="1" si="7"/>
        <v>141250</v>
      </c>
      <c r="AJ23" s="29">
        <f t="shared" ca="1" si="7"/>
        <v>141250</v>
      </c>
      <c r="AK23" s="29">
        <f t="shared" ca="1" si="7"/>
        <v>141250</v>
      </c>
      <c r="AL23" s="29">
        <f t="shared" ca="1" si="7"/>
        <v>141250</v>
      </c>
      <c r="AM23" s="29">
        <f t="shared" ca="1" si="7"/>
        <v>141250</v>
      </c>
      <c r="AN23" s="29">
        <f t="shared" ca="1" si="7"/>
        <v>141250</v>
      </c>
      <c r="AO23" s="29">
        <f t="shared" ca="1" si="7"/>
        <v>141250</v>
      </c>
      <c r="AP23" s="29">
        <f t="shared" ca="1" si="7"/>
        <v>141250</v>
      </c>
      <c r="AQ23" s="29">
        <f t="shared" ca="1" si="7"/>
        <v>141250</v>
      </c>
      <c r="AR23" s="29">
        <f t="shared" ca="1" si="7"/>
        <v>141250</v>
      </c>
      <c r="AS23" s="29">
        <f t="shared" ca="1" si="7"/>
        <v>141250</v>
      </c>
      <c r="AT23" s="29">
        <f t="shared" ca="1" si="7"/>
        <v>141250</v>
      </c>
      <c r="AU23" s="29">
        <f t="shared" ca="1" si="7"/>
        <v>0</v>
      </c>
      <c r="AV23" s="29">
        <f t="shared" ca="1" si="7"/>
        <v>0</v>
      </c>
      <c r="AW23" s="29">
        <f t="shared" ca="1" si="7"/>
        <v>0</v>
      </c>
      <c r="AX23" s="29">
        <f t="shared" ca="1" si="7"/>
        <v>0</v>
      </c>
      <c r="AY23" s="29">
        <f t="shared" ca="1" si="7"/>
        <v>0</v>
      </c>
      <c r="AZ23" s="29">
        <f t="shared" ca="1" si="7"/>
        <v>0</v>
      </c>
      <c r="BA23" s="29">
        <f t="shared" ca="1" si="7"/>
        <v>0</v>
      </c>
      <c r="BB23" s="29">
        <f t="shared" ca="1" si="7"/>
        <v>0</v>
      </c>
      <c r="BC23" s="29">
        <f t="shared" ca="1" si="7"/>
        <v>0</v>
      </c>
      <c r="BD23" s="29">
        <f t="shared" ca="1" si="7"/>
        <v>0</v>
      </c>
      <c r="BE23" s="29">
        <f t="shared" ca="1" si="7"/>
        <v>0</v>
      </c>
      <c r="BF23" s="29">
        <f t="shared" ca="1" si="7"/>
        <v>0</v>
      </c>
      <c r="BG23" s="29">
        <f t="shared" ca="1" si="7"/>
        <v>0</v>
      </c>
      <c r="BH23" s="29">
        <f t="shared" ca="1" si="7"/>
        <v>0</v>
      </c>
      <c r="BI23" s="29">
        <f t="shared" ca="1" si="7"/>
        <v>0</v>
      </c>
      <c r="BJ23" s="29">
        <f t="shared" ca="1" si="7"/>
        <v>0</v>
      </c>
      <c r="BK23" s="29">
        <f t="shared" ca="1" si="7"/>
        <v>0</v>
      </c>
      <c r="BL23" s="29">
        <f t="shared" ca="1" si="7"/>
        <v>0</v>
      </c>
      <c r="BM23" s="29">
        <f t="shared" ca="1" si="7"/>
        <v>0</v>
      </c>
      <c r="BN23" s="29">
        <f t="shared" ca="1" si="7"/>
        <v>0</v>
      </c>
      <c r="BO23" s="29">
        <f t="shared" ca="1" si="7"/>
        <v>0</v>
      </c>
      <c r="BP23" s="29">
        <f t="shared" ca="1" si="7"/>
        <v>0</v>
      </c>
      <c r="BQ23" s="29">
        <f t="shared" ca="1" si="7"/>
        <v>0</v>
      </c>
      <c r="BR23" s="29">
        <f t="shared" ca="1" si="7"/>
        <v>0</v>
      </c>
      <c r="BS23" s="29">
        <f t="shared" ca="1" si="7"/>
        <v>0</v>
      </c>
      <c r="BT23" s="29">
        <f t="shared" ca="1" si="7"/>
        <v>0</v>
      </c>
      <c r="BU23" s="29">
        <f t="shared" ca="1" si="7"/>
        <v>0</v>
      </c>
      <c r="BV23" s="29">
        <f t="shared" ca="1" si="7"/>
        <v>0</v>
      </c>
      <c r="BW23" s="29">
        <f t="shared" ca="1" si="7"/>
        <v>0</v>
      </c>
      <c r="BX23" s="29">
        <f t="shared" ca="1" si="7"/>
        <v>0</v>
      </c>
      <c r="BY23" s="29">
        <f t="shared" ca="1" si="7"/>
        <v>0</v>
      </c>
      <c r="BZ23" s="29">
        <f t="shared" ca="1" si="7"/>
        <v>0</v>
      </c>
      <c r="CA23" s="29">
        <f t="shared" ca="1" si="7"/>
        <v>0</v>
      </c>
      <c r="CB23" s="29">
        <f t="shared" ca="1" si="7"/>
        <v>0</v>
      </c>
      <c r="CC23" s="29">
        <f t="shared" ca="1" si="7"/>
        <v>0</v>
      </c>
      <c r="CD23" s="29">
        <f t="shared" ca="1" si="7"/>
        <v>0</v>
      </c>
      <c r="CE23" s="29">
        <f t="shared" ca="1" si="7"/>
        <v>0</v>
      </c>
      <c r="CF23" s="29">
        <f t="shared" ca="1" si="7"/>
        <v>0</v>
      </c>
      <c r="CG23" s="29">
        <f t="shared" ca="1" si="7"/>
        <v>0</v>
      </c>
      <c r="CH23" s="29">
        <f t="shared" ca="1" si="7"/>
        <v>0</v>
      </c>
    </row>
    <row r="24" spans="1:86" ht="13">
      <c r="B24" s="15" t="s">
        <v>218</v>
      </c>
      <c r="C24" s="15"/>
      <c r="D24" s="15" t="s">
        <v>238</v>
      </c>
      <c r="E24" s="29">
        <f t="shared" ca="1" si="5"/>
        <v>95669973.4375</v>
      </c>
      <c r="F24" s="29"/>
      <c r="G24" s="29">
        <f t="shared" ref="G24:CH24" ca="1" si="8">G43</f>
        <v>0</v>
      </c>
      <c r="H24" s="29">
        <f t="shared" ca="1" si="8"/>
        <v>0</v>
      </c>
      <c r="I24" s="29">
        <f t="shared" ca="1" si="8"/>
        <v>0</v>
      </c>
      <c r="J24" s="29">
        <f t="shared" ca="1" si="8"/>
        <v>0</v>
      </c>
      <c r="K24" s="29">
        <f t="shared" ca="1" si="8"/>
        <v>0</v>
      </c>
      <c r="L24" s="29">
        <f t="shared" ca="1" si="8"/>
        <v>0</v>
      </c>
      <c r="M24" s="29">
        <f t="shared" ca="1" si="8"/>
        <v>0</v>
      </c>
      <c r="N24" s="29">
        <f t="shared" ca="1" si="8"/>
        <v>0</v>
      </c>
      <c r="O24" s="29">
        <f t="shared" ca="1" si="8"/>
        <v>0</v>
      </c>
      <c r="P24" s="29">
        <f t="shared" ca="1" si="8"/>
        <v>0</v>
      </c>
      <c r="Q24" s="29">
        <f t="shared" ca="1" si="8"/>
        <v>0</v>
      </c>
      <c r="R24" s="29">
        <f t="shared" ca="1" si="8"/>
        <v>0</v>
      </c>
      <c r="S24" s="29">
        <f t="shared" ca="1" si="8"/>
        <v>1313812.5000000005</v>
      </c>
      <c r="T24" s="29">
        <f t="shared" ca="1" si="8"/>
        <v>1313812.5000000005</v>
      </c>
      <c r="U24" s="29">
        <f t="shared" ca="1" si="8"/>
        <v>1313812.5000000005</v>
      </c>
      <c r="V24" s="29">
        <f t="shared" ca="1" si="8"/>
        <v>1313812.5000000005</v>
      </c>
      <c r="W24" s="29">
        <f t="shared" ca="1" si="8"/>
        <v>3966703.1250000005</v>
      </c>
      <c r="X24" s="29">
        <f t="shared" ca="1" si="8"/>
        <v>3966703.1250000005</v>
      </c>
      <c r="Y24" s="29">
        <f t="shared" ca="1" si="8"/>
        <v>3966703.1250000005</v>
      </c>
      <c r="Z24" s="29">
        <f t="shared" ca="1" si="8"/>
        <v>3966703.1250000005</v>
      </c>
      <c r="AA24" s="29">
        <f t="shared" ca="1" si="8"/>
        <v>3966703.1250000005</v>
      </c>
      <c r="AB24" s="29">
        <f t="shared" ca="1" si="8"/>
        <v>3966703.1250000005</v>
      </c>
      <c r="AC24" s="29">
        <f t="shared" ca="1" si="8"/>
        <v>3966703.1250000005</v>
      </c>
      <c r="AD24" s="29">
        <f t="shared" ca="1" si="8"/>
        <v>3966703.1250000005</v>
      </c>
      <c r="AE24" s="29">
        <f t="shared" ca="1" si="8"/>
        <v>5956792.1875</v>
      </c>
      <c r="AF24" s="29">
        <f t="shared" ca="1" si="8"/>
        <v>5956792.1875</v>
      </c>
      <c r="AG24" s="29">
        <f t="shared" ca="1" si="8"/>
        <v>5956792.1875</v>
      </c>
      <c r="AH24" s="29">
        <f t="shared" ca="1" si="8"/>
        <v>5956792.1875</v>
      </c>
      <c r="AI24" s="29">
        <f t="shared" ca="1" si="8"/>
        <v>4933113.2812499991</v>
      </c>
      <c r="AJ24" s="29">
        <f t="shared" ca="1" si="8"/>
        <v>4933113.2812499991</v>
      </c>
      <c r="AK24" s="29">
        <f t="shared" ca="1" si="8"/>
        <v>4933113.2812499991</v>
      </c>
      <c r="AL24" s="29">
        <f t="shared" ca="1" si="8"/>
        <v>4933113.2812499991</v>
      </c>
      <c r="AM24" s="29">
        <f t="shared" ca="1" si="8"/>
        <v>1705429.6874999995</v>
      </c>
      <c r="AN24" s="29">
        <f t="shared" ca="1" si="8"/>
        <v>1705429.6874999995</v>
      </c>
      <c r="AO24" s="29">
        <f t="shared" ca="1" si="8"/>
        <v>1705429.6874999995</v>
      </c>
      <c r="AP24" s="29">
        <f t="shared" ca="1" si="8"/>
        <v>1705429.6874999995</v>
      </c>
      <c r="AQ24" s="29">
        <f t="shared" ca="1" si="8"/>
        <v>2074939.4531249993</v>
      </c>
      <c r="AR24" s="29">
        <f t="shared" ca="1" si="8"/>
        <v>2074939.4531249993</v>
      </c>
      <c r="AS24" s="29">
        <f t="shared" ca="1" si="8"/>
        <v>2074939.4531249993</v>
      </c>
      <c r="AT24" s="29">
        <f t="shared" ca="1" si="8"/>
        <v>2074939.4531249993</v>
      </c>
      <c r="AU24" s="29">
        <f t="shared" ca="1" si="8"/>
        <v>0</v>
      </c>
      <c r="AV24" s="29">
        <f t="shared" ca="1" si="8"/>
        <v>0</v>
      </c>
      <c r="AW24" s="29">
        <f t="shared" ca="1" si="8"/>
        <v>0</v>
      </c>
      <c r="AX24" s="29">
        <f t="shared" ca="1" si="8"/>
        <v>0</v>
      </c>
      <c r="AY24" s="29">
        <f t="shared" ca="1" si="8"/>
        <v>0</v>
      </c>
      <c r="AZ24" s="29">
        <f t="shared" ca="1" si="8"/>
        <v>0</v>
      </c>
      <c r="BA24" s="29">
        <f t="shared" ca="1" si="8"/>
        <v>0</v>
      </c>
      <c r="BB24" s="29">
        <f t="shared" ca="1" si="8"/>
        <v>0</v>
      </c>
      <c r="BC24" s="29">
        <f t="shared" ca="1" si="8"/>
        <v>0</v>
      </c>
      <c r="BD24" s="29">
        <f t="shared" ca="1" si="8"/>
        <v>0</v>
      </c>
      <c r="BE24" s="29">
        <f t="shared" ca="1" si="8"/>
        <v>0</v>
      </c>
      <c r="BF24" s="29">
        <f t="shared" ca="1" si="8"/>
        <v>0</v>
      </c>
      <c r="BG24" s="29">
        <f t="shared" ca="1" si="8"/>
        <v>0</v>
      </c>
      <c r="BH24" s="29">
        <f t="shared" ca="1" si="8"/>
        <v>0</v>
      </c>
      <c r="BI24" s="29">
        <f t="shared" ca="1" si="8"/>
        <v>0</v>
      </c>
      <c r="BJ24" s="29">
        <f t="shared" ca="1" si="8"/>
        <v>0</v>
      </c>
      <c r="BK24" s="29">
        <f t="shared" ca="1" si="8"/>
        <v>0</v>
      </c>
      <c r="BL24" s="29">
        <f t="shared" ca="1" si="8"/>
        <v>0</v>
      </c>
      <c r="BM24" s="29">
        <f t="shared" ca="1" si="8"/>
        <v>0</v>
      </c>
      <c r="BN24" s="29">
        <f t="shared" ca="1" si="8"/>
        <v>0</v>
      </c>
      <c r="BO24" s="29">
        <f t="shared" ca="1" si="8"/>
        <v>0</v>
      </c>
      <c r="BP24" s="29">
        <f t="shared" ca="1" si="8"/>
        <v>0</v>
      </c>
      <c r="BQ24" s="29">
        <f t="shared" ca="1" si="8"/>
        <v>0</v>
      </c>
      <c r="BR24" s="29">
        <f t="shared" ca="1" si="8"/>
        <v>0</v>
      </c>
      <c r="BS24" s="29">
        <f t="shared" ca="1" si="8"/>
        <v>0</v>
      </c>
      <c r="BT24" s="29">
        <f t="shared" ca="1" si="8"/>
        <v>0</v>
      </c>
      <c r="BU24" s="29">
        <f t="shared" ca="1" si="8"/>
        <v>0</v>
      </c>
      <c r="BV24" s="29">
        <f t="shared" ca="1" si="8"/>
        <v>0</v>
      </c>
      <c r="BW24" s="29">
        <f t="shared" ca="1" si="8"/>
        <v>0</v>
      </c>
      <c r="BX24" s="29">
        <f t="shared" ca="1" si="8"/>
        <v>0</v>
      </c>
      <c r="BY24" s="29">
        <f t="shared" ca="1" si="8"/>
        <v>0</v>
      </c>
      <c r="BZ24" s="29">
        <f t="shared" ca="1" si="8"/>
        <v>0</v>
      </c>
      <c r="CA24" s="29">
        <f t="shared" ca="1" si="8"/>
        <v>0</v>
      </c>
      <c r="CB24" s="29">
        <f t="shared" ca="1" si="8"/>
        <v>0</v>
      </c>
      <c r="CC24" s="29">
        <f t="shared" ca="1" si="8"/>
        <v>0</v>
      </c>
      <c r="CD24" s="29">
        <f t="shared" ca="1" si="8"/>
        <v>0</v>
      </c>
      <c r="CE24" s="29">
        <f t="shared" ca="1" si="8"/>
        <v>0</v>
      </c>
      <c r="CF24" s="29">
        <f t="shared" ca="1" si="8"/>
        <v>0</v>
      </c>
      <c r="CG24" s="29">
        <f t="shared" ca="1" si="8"/>
        <v>0</v>
      </c>
      <c r="CH24" s="29">
        <f t="shared" ca="1" si="8"/>
        <v>0</v>
      </c>
    </row>
    <row r="25" spans="1:86" ht="13">
      <c r="B25" s="15" t="s">
        <v>254</v>
      </c>
      <c r="C25" s="15"/>
      <c r="D25" s="15" t="s">
        <v>238</v>
      </c>
      <c r="E25" s="29">
        <f t="shared" ca="1" si="5"/>
        <v>-94627265.104166672</v>
      </c>
      <c r="F25" s="29"/>
      <c r="G25" s="29">
        <f t="shared" ref="G25:CH25" ca="1" si="9">SUM(G47,G46,G45)*-1</f>
        <v>0</v>
      </c>
      <c r="H25" s="29">
        <f t="shared" ca="1" si="9"/>
        <v>0</v>
      </c>
      <c r="I25" s="29">
        <f t="shared" ca="1" si="9"/>
        <v>0</v>
      </c>
      <c r="J25" s="29">
        <f t="shared" ca="1" si="9"/>
        <v>0</v>
      </c>
      <c r="K25" s="29">
        <f t="shared" ca="1" si="9"/>
        <v>0</v>
      </c>
      <c r="L25" s="29">
        <f t="shared" ca="1" si="9"/>
        <v>0</v>
      </c>
      <c r="M25" s="29">
        <f t="shared" ca="1" si="9"/>
        <v>0</v>
      </c>
      <c r="N25" s="29">
        <f t="shared" ca="1" si="9"/>
        <v>0</v>
      </c>
      <c r="O25" s="29">
        <f t="shared" ca="1" si="9"/>
        <v>0</v>
      </c>
      <c r="P25" s="29">
        <f t="shared" ca="1" si="9"/>
        <v>0</v>
      </c>
      <c r="Q25" s="29">
        <f t="shared" ca="1" si="9"/>
        <v>0</v>
      </c>
      <c r="R25" s="29">
        <f t="shared" ca="1" si="9"/>
        <v>0</v>
      </c>
      <c r="S25" s="29">
        <f t="shared" ca="1" si="9"/>
        <v>-1053135.4166666672</v>
      </c>
      <c r="T25" s="29">
        <f t="shared" ca="1" si="9"/>
        <v>-1053135.4166666672</v>
      </c>
      <c r="U25" s="29">
        <f t="shared" ca="1" si="9"/>
        <v>-1053135.4166666672</v>
      </c>
      <c r="V25" s="29">
        <f t="shared" ca="1" si="9"/>
        <v>-1053135.4166666672</v>
      </c>
      <c r="W25" s="29">
        <f t="shared" ca="1" si="9"/>
        <v>-3966703.1250000005</v>
      </c>
      <c r="X25" s="29">
        <f t="shared" ca="1" si="9"/>
        <v>-3966703.1250000005</v>
      </c>
      <c r="Y25" s="29">
        <f t="shared" ca="1" si="9"/>
        <v>-3966703.1250000009</v>
      </c>
      <c r="Z25" s="29">
        <f t="shared" ca="1" si="9"/>
        <v>-3966703.125</v>
      </c>
      <c r="AA25" s="29">
        <f t="shared" ca="1" si="9"/>
        <v>-3966703.1250000005</v>
      </c>
      <c r="AB25" s="29">
        <f t="shared" ca="1" si="9"/>
        <v>-3966703.1250000005</v>
      </c>
      <c r="AC25" s="29">
        <f t="shared" ca="1" si="9"/>
        <v>-3966703.1250000005</v>
      </c>
      <c r="AD25" s="29">
        <f t="shared" ca="1" si="9"/>
        <v>-3966703.1250000005</v>
      </c>
      <c r="AE25" s="29">
        <f t="shared" ca="1" si="9"/>
        <v>-5956792.1875</v>
      </c>
      <c r="AF25" s="29">
        <f t="shared" ca="1" si="9"/>
        <v>-5956792.1875</v>
      </c>
      <c r="AG25" s="29">
        <f t="shared" ca="1" si="9"/>
        <v>-5956792.1875</v>
      </c>
      <c r="AH25" s="29">
        <f t="shared" ca="1" si="9"/>
        <v>-5956792.1875</v>
      </c>
      <c r="AI25" s="29">
        <f t="shared" ca="1" si="9"/>
        <v>-4933113.2812499991</v>
      </c>
      <c r="AJ25" s="29">
        <f t="shared" ca="1" si="9"/>
        <v>-4933113.2812499991</v>
      </c>
      <c r="AK25" s="29">
        <f t="shared" ca="1" si="9"/>
        <v>-4933113.2812499991</v>
      </c>
      <c r="AL25" s="29">
        <f t="shared" ca="1" si="9"/>
        <v>-4933113.2812499991</v>
      </c>
      <c r="AM25" s="29">
        <f t="shared" ca="1" si="9"/>
        <v>-1705429.6874999995</v>
      </c>
      <c r="AN25" s="29">
        <f t="shared" ca="1" si="9"/>
        <v>-1705429.6874999995</v>
      </c>
      <c r="AO25" s="29">
        <f t="shared" ca="1" si="9"/>
        <v>-1705429.6874999995</v>
      </c>
      <c r="AP25" s="29">
        <f t="shared" ca="1" si="9"/>
        <v>-1705429.6874999995</v>
      </c>
      <c r="AQ25" s="29">
        <f t="shared" ca="1" si="9"/>
        <v>-2074939.4531249991</v>
      </c>
      <c r="AR25" s="29">
        <f t="shared" ca="1" si="9"/>
        <v>-2074939.4531249991</v>
      </c>
      <c r="AS25" s="29">
        <f t="shared" ca="1" si="9"/>
        <v>-2074939.4531249991</v>
      </c>
      <c r="AT25" s="29">
        <f t="shared" ca="1" si="9"/>
        <v>-2074939.4531249991</v>
      </c>
      <c r="AU25" s="29">
        <f t="shared" ca="1" si="9"/>
        <v>0</v>
      </c>
      <c r="AV25" s="29">
        <f t="shared" ca="1" si="9"/>
        <v>0</v>
      </c>
      <c r="AW25" s="29">
        <f t="shared" ca="1" si="9"/>
        <v>0</v>
      </c>
      <c r="AX25" s="29">
        <f t="shared" ca="1" si="9"/>
        <v>0</v>
      </c>
      <c r="AY25" s="29">
        <f t="shared" ca="1" si="9"/>
        <v>0</v>
      </c>
      <c r="AZ25" s="29">
        <f t="shared" ca="1" si="9"/>
        <v>0</v>
      </c>
      <c r="BA25" s="29">
        <f t="shared" ca="1" si="9"/>
        <v>0</v>
      </c>
      <c r="BB25" s="29">
        <f t="shared" ca="1" si="9"/>
        <v>0</v>
      </c>
      <c r="BC25" s="29">
        <f t="shared" ca="1" si="9"/>
        <v>0</v>
      </c>
      <c r="BD25" s="29">
        <f t="shared" ca="1" si="9"/>
        <v>0</v>
      </c>
      <c r="BE25" s="29">
        <f t="shared" ca="1" si="9"/>
        <v>0</v>
      </c>
      <c r="BF25" s="29">
        <f t="shared" ca="1" si="9"/>
        <v>0</v>
      </c>
      <c r="BG25" s="29">
        <f t="shared" ca="1" si="9"/>
        <v>0</v>
      </c>
      <c r="BH25" s="29">
        <f t="shared" ca="1" si="9"/>
        <v>0</v>
      </c>
      <c r="BI25" s="29">
        <f t="shared" ca="1" si="9"/>
        <v>0</v>
      </c>
      <c r="BJ25" s="29">
        <f t="shared" ca="1" si="9"/>
        <v>0</v>
      </c>
      <c r="BK25" s="29">
        <f t="shared" ca="1" si="9"/>
        <v>0</v>
      </c>
      <c r="BL25" s="29">
        <f t="shared" ca="1" si="9"/>
        <v>0</v>
      </c>
      <c r="BM25" s="29">
        <f t="shared" ca="1" si="9"/>
        <v>0</v>
      </c>
      <c r="BN25" s="29">
        <f t="shared" ca="1" si="9"/>
        <v>0</v>
      </c>
      <c r="BO25" s="29">
        <f t="shared" ca="1" si="9"/>
        <v>0</v>
      </c>
      <c r="BP25" s="29">
        <f t="shared" ca="1" si="9"/>
        <v>0</v>
      </c>
      <c r="BQ25" s="29">
        <f t="shared" ca="1" si="9"/>
        <v>0</v>
      </c>
      <c r="BR25" s="29">
        <f t="shared" ca="1" si="9"/>
        <v>0</v>
      </c>
      <c r="BS25" s="29">
        <f t="shared" ca="1" si="9"/>
        <v>0</v>
      </c>
      <c r="BT25" s="29">
        <f t="shared" ca="1" si="9"/>
        <v>0</v>
      </c>
      <c r="BU25" s="29">
        <f t="shared" ca="1" si="9"/>
        <v>0</v>
      </c>
      <c r="BV25" s="29">
        <f t="shared" ca="1" si="9"/>
        <v>0</v>
      </c>
      <c r="BW25" s="29">
        <f t="shared" ca="1" si="9"/>
        <v>0</v>
      </c>
      <c r="BX25" s="29">
        <f t="shared" ca="1" si="9"/>
        <v>0</v>
      </c>
      <c r="BY25" s="29">
        <f t="shared" ca="1" si="9"/>
        <v>0</v>
      </c>
      <c r="BZ25" s="29">
        <f t="shared" ca="1" si="9"/>
        <v>0</v>
      </c>
      <c r="CA25" s="29">
        <f t="shared" ca="1" si="9"/>
        <v>0</v>
      </c>
      <c r="CB25" s="29">
        <f t="shared" ca="1" si="9"/>
        <v>0</v>
      </c>
      <c r="CC25" s="29">
        <f t="shared" ca="1" si="9"/>
        <v>0</v>
      </c>
      <c r="CD25" s="29">
        <f t="shared" ca="1" si="9"/>
        <v>0</v>
      </c>
      <c r="CE25" s="29">
        <f t="shared" ca="1" si="9"/>
        <v>0</v>
      </c>
      <c r="CF25" s="29">
        <f t="shared" ca="1" si="9"/>
        <v>0</v>
      </c>
      <c r="CG25" s="29">
        <f t="shared" ca="1" si="9"/>
        <v>0</v>
      </c>
      <c r="CH25" s="29">
        <f t="shared" ca="1" si="9"/>
        <v>0</v>
      </c>
    </row>
    <row r="26" spans="1:86" ht="13">
      <c r="B26" s="15" t="s">
        <v>255</v>
      </c>
      <c r="C26" s="15"/>
      <c r="D26" s="15" t="s">
        <v>238</v>
      </c>
      <c r="E26" s="29">
        <f t="shared" si="5"/>
        <v>-5750000</v>
      </c>
      <c r="F26" s="29"/>
      <c r="G26" s="29">
        <f t="shared" ref="G26:CH26" si="10">SUM(G39,G40,G41)*-1</f>
        <v>-241250</v>
      </c>
      <c r="H26" s="29">
        <f t="shared" si="10"/>
        <v>-141250</v>
      </c>
      <c r="I26" s="29">
        <f t="shared" si="10"/>
        <v>-141250</v>
      </c>
      <c r="J26" s="29">
        <f t="shared" si="10"/>
        <v>-141250</v>
      </c>
      <c r="K26" s="29">
        <f t="shared" si="10"/>
        <v>-141250</v>
      </c>
      <c r="L26" s="29">
        <f t="shared" si="10"/>
        <v>-141250</v>
      </c>
      <c r="M26" s="29">
        <f t="shared" si="10"/>
        <v>-141250</v>
      </c>
      <c r="N26" s="29">
        <f t="shared" si="10"/>
        <v>-141250</v>
      </c>
      <c r="O26" s="29">
        <f t="shared" si="10"/>
        <v>-141250</v>
      </c>
      <c r="P26" s="29">
        <f t="shared" si="10"/>
        <v>-141250</v>
      </c>
      <c r="Q26" s="29">
        <f t="shared" si="10"/>
        <v>-141250</v>
      </c>
      <c r="R26" s="29">
        <f t="shared" si="10"/>
        <v>-141250</v>
      </c>
      <c r="S26" s="29">
        <f t="shared" si="10"/>
        <v>-141250</v>
      </c>
      <c r="T26" s="29">
        <f t="shared" si="10"/>
        <v>-141250</v>
      </c>
      <c r="U26" s="29">
        <f t="shared" si="10"/>
        <v>-141250</v>
      </c>
      <c r="V26" s="29">
        <f t="shared" si="10"/>
        <v>-141250</v>
      </c>
      <c r="W26" s="29">
        <f t="shared" si="10"/>
        <v>-141250</v>
      </c>
      <c r="X26" s="29">
        <f t="shared" si="10"/>
        <v>-141250</v>
      </c>
      <c r="Y26" s="29">
        <f t="shared" si="10"/>
        <v>-141250</v>
      </c>
      <c r="Z26" s="29">
        <f t="shared" si="10"/>
        <v>-141250</v>
      </c>
      <c r="AA26" s="29">
        <f t="shared" si="10"/>
        <v>-141250</v>
      </c>
      <c r="AB26" s="29">
        <f t="shared" si="10"/>
        <v>-141250</v>
      </c>
      <c r="AC26" s="29">
        <f t="shared" si="10"/>
        <v>-141250</v>
      </c>
      <c r="AD26" s="29">
        <f t="shared" si="10"/>
        <v>-141250</v>
      </c>
      <c r="AE26" s="29">
        <f t="shared" si="10"/>
        <v>-141250</v>
      </c>
      <c r="AF26" s="29">
        <f t="shared" si="10"/>
        <v>-141250</v>
      </c>
      <c r="AG26" s="29">
        <f t="shared" si="10"/>
        <v>-141250</v>
      </c>
      <c r="AH26" s="29">
        <f t="shared" si="10"/>
        <v>-141250</v>
      </c>
      <c r="AI26" s="29">
        <f t="shared" si="10"/>
        <v>-141250</v>
      </c>
      <c r="AJ26" s="29">
        <f t="shared" si="10"/>
        <v>-141250</v>
      </c>
      <c r="AK26" s="29">
        <f t="shared" si="10"/>
        <v>-141250</v>
      </c>
      <c r="AL26" s="29">
        <f t="shared" si="10"/>
        <v>-141250</v>
      </c>
      <c r="AM26" s="29">
        <f t="shared" si="10"/>
        <v>-141250</v>
      </c>
      <c r="AN26" s="29">
        <f t="shared" si="10"/>
        <v>-141250</v>
      </c>
      <c r="AO26" s="29">
        <f t="shared" si="10"/>
        <v>-141250</v>
      </c>
      <c r="AP26" s="29">
        <f t="shared" si="10"/>
        <v>-141250</v>
      </c>
      <c r="AQ26" s="29">
        <f t="shared" si="10"/>
        <v>-141250</v>
      </c>
      <c r="AR26" s="29">
        <f t="shared" si="10"/>
        <v>-141250</v>
      </c>
      <c r="AS26" s="29">
        <f t="shared" si="10"/>
        <v>-141250</v>
      </c>
      <c r="AT26" s="29">
        <f t="shared" si="10"/>
        <v>-141250</v>
      </c>
      <c r="AU26" s="29">
        <f t="shared" si="10"/>
        <v>0</v>
      </c>
      <c r="AV26" s="29">
        <f t="shared" si="10"/>
        <v>0</v>
      </c>
      <c r="AW26" s="29">
        <f t="shared" si="10"/>
        <v>0</v>
      </c>
      <c r="AX26" s="29">
        <f t="shared" si="10"/>
        <v>0</v>
      </c>
      <c r="AY26" s="29">
        <f t="shared" si="10"/>
        <v>0</v>
      </c>
      <c r="AZ26" s="29">
        <f t="shared" si="10"/>
        <v>0</v>
      </c>
      <c r="BA26" s="29">
        <f t="shared" si="10"/>
        <v>0</v>
      </c>
      <c r="BB26" s="29">
        <f t="shared" si="10"/>
        <v>0</v>
      </c>
      <c r="BC26" s="29">
        <f t="shared" si="10"/>
        <v>0</v>
      </c>
      <c r="BD26" s="29">
        <f t="shared" si="10"/>
        <v>0</v>
      </c>
      <c r="BE26" s="29">
        <f t="shared" si="10"/>
        <v>0</v>
      </c>
      <c r="BF26" s="29">
        <f t="shared" si="10"/>
        <v>0</v>
      </c>
      <c r="BG26" s="29">
        <f t="shared" si="10"/>
        <v>0</v>
      </c>
      <c r="BH26" s="29">
        <f t="shared" si="10"/>
        <v>0</v>
      </c>
      <c r="BI26" s="29">
        <f t="shared" si="10"/>
        <v>0</v>
      </c>
      <c r="BJ26" s="29">
        <f t="shared" si="10"/>
        <v>0</v>
      </c>
      <c r="BK26" s="29">
        <f t="shared" si="10"/>
        <v>0</v>
      </c>
      <c r="BL26" s="29">
        <f t="shared" si="10"/>
        <v>0</v>
      </c>
      <c r="BM26" s="29">
        <f t="shared" si="10"/>
        <v>0</v>
      </c>
      <c r="BN26" s="29">
        <f t="shared" si="10"/>
        <v>0</v>
      </c>
      <c r="BO26" s="29">
        <f t="shared" si="10"/>
        <v>0</v>
      </c>
      <c r="BP26" s="29">
        <f t="shared" si="10"/>
        <v>0</v>
      </c>
      <c r="BQ26" s="29">
        <f t="shared" si="10"/>
        <v>0</v>
      </c>
      <c r="BR26" s="29">
        <f t="shared" si="10"/>
        <v>0</v>
      </c>
      <c r="BS26" s="29">
        <f t="shared" si="10"/>
        <v>0</v>
      </c>
      <c r="BT26" s="29">
        <f t="shared" si="10"/>
        <v>0</v>
      </c>
      <c r="BU26" s="29">
        <f t="shared" si="10"/>
        <v>0</v>
      </c>
      <c r="BV26" s="29">
        <f t="shared" si="10"/>
        <v>0</v>
      </c>
      <c r="BW26" s="29">
        <f t="shared" si="10"/>
        <v>0</v>
      </c>
      <c r="BX26" s="29">
        <f t="shared" si="10"/>
        <v>0</v>
      </c>
      <c r="BY26" s="29">
        <f t="shared" si="10"/>
        <v>0</v>
      </c>
      <c r="BZ26" s="29">
        <f t="shared" si="10"/>
        <v>0</v>
      </c>
      <c r="CA26" s="29">
        <f t="shared" si="10"/>
        <v>0</v>
      </c>
      <c r="CB26" s="29">
        <f t="shared" si="10"/>
        <v>0</v>
      </c>
      <c r="CC26" s="29">
        <f t="shared" si="10"/>
        <v>0</v>
      </c>
      <c r="CD26" s="29">
        <f t="shared" si="10"/>
        <v>0</v>
      </c>
      <c r="CE26" s="29">
        <f t="shared" si="10"/>
        <v>0</v>
      </c>
      <c r="CF26" s="29">
        <f t="shared" si="10"/>
        <v>0</v>
      </c>
      <c r="CG26" s="29">
        <f t="shared" si="10"/>
        <v>0</v>
      </c>
      <c r="CH26" s="29">
        <f t="shared" si="10"/>
        <v>0</v>
      </c>
    </row>
    <row r="27" spans="1:86" ht="13">
      <c r="B27" s="15" t="s">
        <v>256</v>
      </c>
      <c r="C27" s="15"/>
      <c r="D27" s="15" t="s">
        <v>238</v>
      </c>
      <c r="E27" s="29">
        <f t="shared" ca="1" si="5"/>
        <v>-20292708.333333332</v>
      </c>
      <c r="F27" s="29"/>
      <c r="G27" s="29">
        <f t="shared" ref="G27:CH27" ca="1" si="11">G38*-1</f>
        <v>-1203125</v>
      </c>
      <c r="H27" s="29">
        <f t="shared" ca="1" si="11"/>
        <v>-1203125</v>
      </c>
      <c r="I27" s="29">
        <f t="shared" ca="1" si="11"/>
        <v>-1203125</v>
      </c>
      <c r="J27" s="29">
        <f t="shared" ca="1" si="11"/>
        <v>-1203125</v>
      </c>
      <c r="K27" s="29">
        <f t="shared" ca="1" si="11"/>
        <v>-1203125</v>
      </c>
      <c r="L27" s="29">
        <f t="shared" ca="1" si="11"/>
        <v>-1203125</v>
      </c>
      <c r="M27" s="29">
        <f t="shared" ca="1" si="11"/>
        <v>-1203125</v>
      </c>
      <c r="N27" s="29">
        <f t="shared" ca="1" si="11"/>
        <v>-1203125</v>
      </c>
      <c r="O27" s="29">
        <f t="shared" ca="1" si="11"/>
        <v>-1203125</v>
      </c>
      <c r="P27" s="29">
        <f t="shared" ca="1" si="11"/>
        <v>-1203125</v>
      </c>
      <c r="Q27" s="29">
        <f t="shared" ca="1" si="11"/>
        <v>-1203125</v>
      </c>
      <c r="R27" s="29">
        <f t="shared" ca="1" si="11"/>
        <v>-1203125</v>
      </c>
      <c r="S27" s="29">
        <f t="shared" ca="1" si="11"/>
        <v>-1463802.0833333333</v>
      </c>
      <c r="T27" s="29">
        <f t="shared" ca="1" si="11"/>
        <v>-1463802.0833333333</v>
      </c>
      <c r="U27" s="29">
        <f t="shared" ca="1" si="11"/>
        <v>-1463802.0833333333</v>
      </c>
      <c r="V27" s="29">
        <f t="shared" ca="1" si="11"/>
        <v>-1463802.0833333333</v>
      </c>
      <c r="W27" s="29">
        <f t="shared" ca="1" si="11"/>
        <v>0</v>
      </c>
      <c r="X27" s="29">
        <f t="shared" ca="1" si="11"/>
        <v>0</v>
      </c>
      <c r="Y27" s="29">
        <f t="shared" ca="1" si="11"/>
        <v>0</v>
      </c>
      <c r="Z27" s="29">
        <f t="shared" ca="1" si="11"/>
        <v>0</v>
      </c>
      <c r="AA27" s="29">
        <f t="shared" ca="1" si="11"/>
        <v>0</v>
      </c>
      <c r="AB27" s="29">
        <f t="shared" ca="1" si="11"/>
        <v>0</v>
      </c>
      <c r="AC27" s="29">
        <f t="shared" ca="1" si="11"/>
        <v>0</v>
      </c>
      <c r="AD27" s="29">
        <f t="shared" ca="1" si="11"/>
        <v>0</v>
      </c>
      <c r="AE27" s="29">
        <f t="shared" ca="1" si="11"/>
        <v>0</v>
      </c>
      <c r="AF27" s="29">
        <f t="shared" ca="1" si="11"/>
        <v>0</v>
      </c>
      <c r="AG27" s="29">
        <f t="shared" ca="1" si="11"/>
        <v>0</v>
      </c>
      <c r="AH27" s="29">
        <f t="shared" ca="1" si="11"/>
        <v>0</v>
      </c>
      <c r="AI27" s="29">
        <f t="shared" ca="1" si="11"/>
        <v>0</v>
      </c>
      <c r="AJ27" s="29">
        <f t="shared" ca="1" si="11"/>
        <v>0</v>
      </c>
      <c r="AK27" s="29">
        <f t="shared" ca="1" si="11"/>
        <v>0</v>
      </c>
      <c r="AL27" s="29">
        <f t="shared" ca="1" si="11"/>
        <v>0</v>
      </c>
      <c r="AM27" s="29">
        <f t="shared" ca="1" si="11"/>
        <v>0</v>
      </c>
      <c r="AN27" s="29">
        <f t="shared" ca="1" si="11"/>
        <v>0</v>
      </c>
      <c r="AO27" s="29">
        <f t="shared" ca="1" si="11"/>
        <v>0</v>
      </c>
      <c r="AP27" s="29">
        <f t="shared" ca="1" si="11"/>
        <v>0</v>
      </c>
      <c r="AQ27" s="29">
        <f t="shared" ca="1" si="11"/>
        <v>0</v>
      </c>
      <c r="AR27" s="29">
        <f t="shared" ca="1" si="11"/>
        <v>0</v>
      </c>
      <c r="AS27" s="29">
        <f t="shared" ca="1" si="11"/>
        <v>0</v>
      </c>
      <c r="AT27" s="29">
        <f t="shared" ca="1" si="11"/>
        <v>0</v>
      </c>
      <c r="AU27" s="29">
        <f t="shared" ca="1" si="11"/>
        <v>0</v>
      </c>
      <c r="AV27" s="29">
        <f t="shared" ca="1" si="11"/>
        <v>0</v>
      </c>
      <c r="AW27" s="29">
        <f t="shared" ca="1" si="11"/>
        <v>0</v>
      </c>
      <c r="AX27" s="29">
        <f t="shared" ca="1" si="11"/>
        <v>0</v>
      </c>
      <c r="AY27" s="29">
        <f t="shared" ca="1" si="11"/>
        <v>0</v>
      </c>
      <c r="AZ27" s="29">
        <f t="shared" ca="1" si="11"/>
        <v>0</v>
      </c>
      <c r="BA27" s="29">
        <f t="shared" ca="1" si="11"/>
        <v>0</v>
      </c>
      <c r="BB27" s="29">
        <f t="shared" ca="1" si="11"/>
        <v>0</v>
      </c>
      <c r="BC27" s="29">
        <f t="shared" ca="1" si="11"/>
        <v>0</v>
      </c>
      <c r="BD27" s="29">
        <f t="shared" ca="1" si="11"/>
        <v>0</v>
      </c>
      <c r="BE27" s="29">
        <f t="shared" ca="1" si="11"/>
        <v>0</v>
      </c>
      <c r="BF27" s="29">
        <f t="shared" ca="1" si="11"/>
        <v>0</v>
      </c>
      <c r="BG27" s="29">
        <f t="shared" ca="1" si="11"/>
        <v>0</v>
      </c>
      <c r="BH27" s="29">
        <f t="shared" ca="1" si="11"/>
        <v>0</v>
      </c>
      <c r="BI27" s="29">
        <f t="shared" ca="1" si="11"/>
        <v>0</v>
      </c>
      <c r="BJ27" s="29">
        <f t="shared" ca="1" si="11"/>
        <v>0</v>
      </c>
      <c r="BK27" s="29">
        <f t="shared" ca="1" si="11"/>
        <v>0</v>
      </c>
      <c r="BL27" s="29">
        <f t="shared" ca="1" si="11"/>
        <v>0</v>
      </c>
      <c r="BM27" s="29">
        <f t="shared" ca="1" si="11"/>
        <v>0</v>
      </c>
      <c r="BN27" s="29">
        <f t="shared" ca="1" si="11"/>
        <v>0</v>
      </c>
      <c r="BO27" s="29">
        <f t="shared" ca="1" si="11"/>
        <v>0</v>
      </c>
      <c r="BP27" s="29">
        <f t="shared" ca="1" si="11"/>
        <v>0</v>
      </c>
      <c r="BQ27" s="29">
        <f t="shared" ca="1" si="11"/>
        <v>0</v>
      </c>
      <c r="BR27" s="29">
        <f t="shared" ca="1" si="11"/>
        <v>0</v>
      </c>
      <c r="BS27" s="29">
        <f t="shared" ca="1" si="11"/>
        <v>0</v>
      </c>
      <c r="BT27" s="29">
        <f t="shared" ca="1" si="11"/>
        <v>0</v>
      </c>
      <c r="BU27" s="29">
        <f t="shared" ca="1" si="11"/>
        <v>0</v>
      </c>
      <c r="BV27" s="29">
        <f t="shared" ca="1" si="11"/>
        <v>0</v>
      </c>
      <c r="BW27" s="29">
        <f t="shared" ca="1" si="11"/>
        <v>0</v>
      </c>
      <c r="BX27" s="29">
        <f t="shared" ca="1" si="11"/>
        <v>0</v>
      </c>
      <c r="BY27" s="29">
        <f t="shared" ca="1" si="11"/>
        <v>0</v>
      </c>
      <c r="BZ27" s="29">
        <f t="shared" ca="1" si="11"/>
        <v>0</v>
      </c>
      <c r="CA27" s="29">
        <f t="shared" ca="1" si="11"/>
        <v>0</v>
      </c>
      <c r="CB27" s="29">
        <f t="shared" ca="1" si="11"/>
        <v>0</v>
      </c>
      <c r="CC27" s="29">
        <f t="shared" ca="1" si="11"/>
        <v>0</v>
      </c>
      <c r="CD27" s="29">
        <f t="shared" ca="1" si="11"/>
        <v>0</v>
      </c>
      <c r="CE27" s="29">
        <f t="shared" ca="1" si="11"/>
        <v>0</v>
      </c>
      <c r="CF27" s="29">
        <f t="shared" ca="1" si="11"/>
        <v>0</v>
      </c>
      <c r="CG27" s="29">
        <f t="shared" ca="1" si="11"/>
        <v>0</v>
      </c>
      <c r="CH27" s="29">
        <f t="shared" ca="1" si="11"/>
        <v>0</v>
      </c>
    </row>
    <row r="28" spans="1:86" ht="13">
      <c r="B28" s="15" t="s">
        <v>257</v>
      </c>
      <c r="C28" s="15"/>
      <c r="D28" s="15" t="s">
        <v>247</v>
      </c>
      <c r="E28" s="29">
        <f t="shared" ca="1" si="5"/>
        <v>0</v>
      </c>
      <c r="F28" s="29"/>
      <c r="G28" s="80">
        <f t="shared" ref="G28:CH28" ca="1" si="12">SUM(G22:G27)</f>
        <v>0</v>
      </c>
      <c r="H28" s="80">
        <f t="shared" ca="1" si="12"/>
        <v>0</v>
      </c>
      <c r="I28" s="80">
        <f t="shared" ca="1" si="12"/>
        <v>0</v>
      </c>
      <c r="J28" s="80">
        <f t="shared" ca="1" si="12"/>
        <v>0</v>
      </c>
      <c r="K28" s="80">
        <f t="shared" ca="1" si="12"/>
        <v>0</v>
      </c>
      <c r="L28" s="80">
        <f t="shared" ca="1" si="12"/>
        <v>0</v>
      </c>
      <c r="M28" s="80">
        <f t="shared" ca="1" si="12"/>
        <v>0</v>
      </c>
      <c r="N28" s="80">
        <f t="shared" ca="1" si="12"/>
        <v>0</v>
      </c>
      <c r="O28" s="80">
        <f t="shared" ca="1" si="12"/>
        <v>0</v>
      </c>
      <c r="P28" s="80">
        <f t="shared" ca="1" si="12"/>
        <v>0</v>
      </c>
      <c r="Q28" s="80">
        <f t="shared" ca="1" si="12"/>
        <v>0</v>
      </c>
      <c r="R28" s="80">
        <f t="shared" ca="1" si="12"/>
        <v>0</v>
      </c>
      <c r="S28" s="80">
        <f t="shared" ca="1" si="12"/>
        <v>0</v>
      </c>
      <c r="T28" s="80">
        <f t="shared" ca="1" si="12"/>
        <v>0</v>
      </c>
      <c r="U28" s="80">
        <f t="shared" ca="1" si="12"/>
        <v>0</v>
      </c>
      <c r="V28" s="80">
        <f t="shared" ca="1" si="12"/>
        <v>0</v>
      </c>
      <c r="W28" s="80">
        <f t="shared" ca="1" si="12"/>
        <v>0</v>
      </c>
      <c r="X28" s="80">
        <f t="shared" ca="1" si="12"/>
        <v>0</v>
      </c>
      <c r="Y28" s="80">
        <f t="shared" ca="1" si="12"/>
        <v>-4.6566128730773926E-10</v>
      </c>
      <c r="Z28" s="80">
        <f t="shared" ca="1" si="12"/>
        <v>0</v>
      </c>
      <c r="AA28" s="80">
        <f t="shared" ca="1" si="12"/>
        <v>0</v>
      </c>
      <c r="AB28" s="80">
        <f t="shared" ca="1" si="12"/>
        <v>0</v>
      </c>
      <c r="AC28" s="80">
        <f t="shared" ca="1" si="12"/>
        <v>0</v>
      </c>
      <c r="AD28" s="80">
        <f t="shared" ca="1" si="12"/>
        <v>0</v>
      </c>
      <c r="AE28" s="80">
        <f t="shared" ca="1" si="12"/>
        <v>0</v>
      </c>
      <c r="AF28" s="80">
        <f t="shared" ca="1" si="12"/>
        <v>0</v>
      </c>
      <c r="AG28" s="80">
        <f t="shared" ca="1" si="12"/>
        <v>0</v>
      </c>
      <c r="AH28" s="80">
        <f t="shared" ca="1" si="12"/>
        <v>0</v>
      </c>
      <c r="AI28" s="80">
        <f t="shared" ca="1" si="12"/>
        <v>0</v>
      </c>
      <c r="AJ28" s="80">
        <f t="shared" ca="1" si="12"/>
        <v>0</v>
      </c>
      <c r="AK28" s="80">
        <f t="shared" ca="1" si="12"/>
        <v>0</v>
      </c>
      <c r="AL28" s="80">
        <f t="shared" ca="1" si="12"/>
        <v>0</v>
      </c>
      <c r="AM28" s="80">
        <f t="shared" ca="1" si="12"/>
        <v>0</v>
      </c>
      <c r="AN28" s="80">
        <f t="shared" ca="1" si="12"/>
        <v>0</v>
      </c>
      <c r="AO28" s="80">
        <f t="shared" ca="1" si="12"/>
        <v>0</v>
      </c>
      <c r="AP28" s="80">
        <f t="shared" ca="1" si="12"/>
        <v>0</v>
      </c>
      <c r="AQ28" s="80">
        <f t="shared" ca="1" si="12"/>
        <v>0</v>
      </c>
      <c r="AR28" s="80">
        <f t="shared" ca="1" si="12"/>
        <v>0</v>
      </c>
      <c r="AS28" s="80">
        <f t="shared" ca="1" si="12"/>
        <v>0</v>
      </c>
      <c r="AT28" s="80">
        <f t="shared" ca="1" si="12"/>
        <v>0</v>
      </c>
      <c r="AU28" s="80">
        <f t="shared" ca="1" si="12"/>
        <v>0</v>
      </c>
      <c r="AV28" s="80">
        <f t="shared" ca="1" si="12"/>
        <v>0</v>
      </c>
      <c r="AW28" s="80">
        <f t="shared" ca="1" si="12"/>
        <v>0</v>
      </c>
      <c r="AX28" s="80">
        <f t="shared" ca="1" si="12"/>
        <v>0</v>
      </c>
      <c r="AY28" s="80">
        <f t="shared" ca="1" si="12"/>
        <v>0</v>
      </c>
      <c r="AZ28" s="80">
        <f t="shared" ca="1" si="12"/>
        <v>0</v>
      </c>
      <c r="BA28" s="80">
        <f t="shared" ca="1" si="12"/>
        <v>0</v>
      </c>
      <c r="BB28" s="80">
        <f t="shared" ca="1" si="12"/>
        <v>0</v>
      </c>
      <c r="BC28" s="80">
        <f t="shared" ca="1" si="12"/>
        <v>0</v>
      </c>
      <c r="BD28" s="80">
        <f t="shared" ca="1" si="12"/>
        <v>0</v>
      </c>
      <c r="BE28" s="80">
        <f t="shared" ca="1" si="12"/>
        <v>0</v>
      </c>
      <c r="BF28" s="80">
        <f t="shared" ca="1" si="12"/>
        <v>0</v>
      </c>
      <c r="BG28" s="80">
        <f t="shared" ca="1" si="12"/>
        <v>0</v>
      </c>
      <c r="BH28" s="80">
        <f t="shared" ca="1" si="12"/>
        <v>0</v>
      </c>
      <c r="BI28" s="80">
        <f t="shared" ca="1" si="12"/>
        <v>0</v>
      </c>
      <c r="BJ28" s="80">
        <f t="shared" ca="1" si="12"/>
        <v>0</v>
      </c>
      <c r="BK28" s="80">
        <f t="shared" ca="1" si="12"/>
        <v>0</v>
      </c>
      <c r="BL28" s="80">
        <f t="shared" ca="1" si="12"/>
        <v>0</v>
      </c>
      <c r="BM28" s="80">
        <f t="shared" ca="1" si="12"/>
        <v>0</v>
      </c>
      <c r="BN28" s="80">
        <f t="shared" ca="1" si="12"/>
        <v>0</v>
      </c>
      <c r="BO28" s="80">
        <f t="shared" ca="1" si="12"/>
        <v>0</v>
      </c>
      <c r="BP28" s="80">
        <f t="shared" ca="1" si="12"/>
        <v>0</v>
      </c>
      <c r="BQ28" s="80">
        <f t="shared" ca="1" si="12"/>
        <v>0</v>
      </c>
      <c r="BR28" s="80">
        <f t="shared" ca="1" si="12"/>
        <v>0</v>
      </c>
      <c r="BS28" s="80">
        <f t="shared" ca="1" si="12"/>
        <v>0</v>
      </c>
      <c r="BT28" s="80">
        <f t="shared" ca="1" si="12"/>
        <v>0</v>
      </c>
      <c r="BU28" s="80">
        <f t="shared" ca="1" si="12"/>
        <v>0</v>
      </c>
      <c r="BV28" s="80">
        <f t="shared" ca="1" si="12"/>
        <v>0</v>
      </c>
      <c r="BW28" s="80">
        <f t="shared" ca="1" si="12"/>
        <v>0</v>
      </c>
      <c r="BX28" s="80">
        <f t="shared" ca="1" si="12"/>
        <v>0</v>
      </c>
      <c r="BY28" s="80">
        <f t="shared" ca="1" si="12"/>
        <v>0</v>
      </c>
      <c r="BZ28" s="80">
        <f t="shared" ca="1" si="12"/>
        <v>0</v>
      </c>
      <c r="CA28" s="80">
        <f t="shared" ca="1" si="12"/>
        <v>0</v>
      </c>
      <c r="CB28" s="80">
        <f t="shared" ca="1" si="12"/>
        <v>0</v>
      </c>
      <c r="CC28" s="80">
        <f t="shared" ca="1" si="12"/>
        <v>0</v>
      </c>
      <c r="CD28" s="80">
        <f t="shared" ca="1" si="12"/>
        <v>0</v>
      </c>
      <c r="CE28" s="80">
        <f t="shared" ca="1" si="12"/>
        <v>0</v>
      </c>
      <c r="CF28" s="80">
        <f t="shared" ca="1" si="12"/>
        <v>0</v>
      </c>
      <c r="CG28" s="80">
        <f t="shared" ca="1" si="12"/>
        <v>0</v>
      </c>
      <c r="CH28" s="80">
        <f t="shared" ca="1" si="12"/>
        <v>0</v>
      </c>
    </row>
    <row r="29" spans="1:86" ht="13">
      <c r="B29" s="15"/>
      <c r="C29" s="15"/>
      <c r="D29" s="15"/>
    </row>
    <row r="30" spans="1:86" ht="13">
      <c r="A30" s="13"/>
      <c r="B30" s="13" t="s">
        <v>258</v>
      </c>
      <c r="C30" s="13"/>
      <c r="D30" s="13" t="s">
        <v>238</v>
      </c>
      <c r="E30" s="37">
        <f t="shared" ref="E30:E87" si="13">IF(D30="sum",SUM(G30:CH30),IF(D30="final",CH30,IF(D30="initial",G30,IF(D30="average",AVERAGE(G30:CH30),0))))</f>
        <v>25000000</v>
      </c>
      <c r="F30" s="48"/>
      <c r="G30" s="37">
        <f>'Get Started  2'!$E9*G19</f>
        <v>25000000</v>
      </c>
      <c r="H30" s="37">
        <f>'Get Started  2'!$E9*H19</f>
        <v>0</v>
      </c>
      <c r="I30" s="37">
        <f>'Get Started  2'!$E9*I19</f>
        <v>0</v>
      </c>
      <c r="J30" s="37">
        <f>'Get Started  2'!$E9*J19</f>
        <v>0</v>
      </c>
      <c r="K30" s="37">
        <f>'Get Started  2'!$E9*K19</f>
        <v>0</v>
      </c>
      <c r="L30" s="37">
        <f>'Get Started  2'!$E9*L19</f>
        <v>0</v>
      </c>
      <c r="M30" s="37">
        <f>'Get Started  2'!$E9*M19</f>
        <v>0</v>
      </c>
      <c r="N30" s="37">
        <f>'Get Started  2'!$E9*N19</f>
        <v>0</v>
      </c>
      <c r="O30" s="37">
        <f>'Get Started  2'!$E9*O19</f>
        <v>0</v>
      </c>
      <c r="P30" s="37">
        <f>'Get Started  2'!$E9*P19</f>
        <v>0</v>
      </c>
      <c r="Q30" s="37">
        <f>'Get Started  2'!$E9*Q19</f>
        <v>0</v>
      </c>
      <c r="R30" s="37">
        <f>'Get Started  2'!$E9*R19</f>
        <v>0</v>
      </c>
      <c r="S30" s="37">
        <f>'Get Started  2'!$E9*S19</f>
        <v>0</v>
      </c>
      <c r="T30" s="37">
        <f>'Get Started  2'!$E9*T19</f>
        <v>0</v>
      </c>
      <c r="U30" s="37">
        <f>'Get Started  2'!$E9*U19</f>
        <v>0</v>
      </c>
      <c r="V30" s="37">
        <f>'Get Started  2'!$E9*V19</f>
        <v>0</v>
      </c>
      <c r="W30" s="37">
        <f>'Get Started  2'!$E9*W19</f>
        <v>0</v>
      </c>
      <c r="X30" s="37">
        <f>'Get Started  2'!$E9*X19</f>
        <v>0</v>
      </c>
      <c r="Y30" s="37">
        <f>'Get Started  2'!$E9*Y19</f>
        <v>0</v>
      </c>
      <c r="Z30" s="37">
        <f>'Get Started  2'!$E9*Z19</f>
        <v>0</v>
      </c>
      <c r="AA30" s="37">
        <f>'Get Started  2'!$E9*AA19</f>
        <v>0</v>
      </c>
      <c r="AB30" s="37">
        <f>'Get Started  2'!$E9*AB19</f>
        <v>0</v>
      </c>
      <c r="AC30" s="37">
        <f>'Get Started  2'!$E9*AC19</f>
        <v>0</v>
      </c>
      <c r="AD30" s="37">
        <f>'Get Started  2'!$E9*AD19</f>
        <v>0</v>
      </c>
      <c r="AE30" s="37">
        <f>'Get Started  2'!$E9*AE19</f>
        <v>0</v>
      </c>
      <c r="AF30" s="37">
        <f>'Get Started  2'!$E9*AF19</f>
        <v>0</v>
      </c>
      <c r="AG30" s="37">
        <f>'Get Started  2'!$E9*AG19</f>
        <v>0</v>
      </c>
      <c r="AH30" s="37">
        <f>'Get Started  2'!$E9*AH19</f>
        <v>0</v>
      </c>
      <c r="AI30" s="37">
        <f>'Get Started  2'!$E9*AI19</f>
        <v>0</v>
      </c>
      <c r="AJ30" s="37">
        <f>'Get Started  2'!$E9*AJ19</f>
        <v>0</v>
      </c>
      <c r="AK30" s="37">
        <f>'Get Started  2'!$E9*AK19</f>
        <v>0</v>
      </c>
      <c r="AL30" s="37">
        <f>'Get Started  2'!$E9*AL19</f>
        <v>0</v>
      </c>
      <c r="AM30" s="37">
        <f>'Get Started  2'!$E9*AM19</f>
        <v>0</v>
      </c>
      <c r="AN30" s="37">
        <f>'Get Started  2'!$E9*AN19</f>
        <v>0</v>
      </c>
      <c r="AO30" s="37">
        <f>'Get Started  2'!$E9*AO19</f>
        <v>0</v>
      </c>
      <c r="AP30" s="37">
        <f>'Get Started  2'!$E9*AP19</f>
        <v>0</v>
      </c>
      <c r="AQ30" s="37">
        <f>'Get Started  2'!$E9*AQ19</f>
        <v>0</v>
      </c>
      <c r="AR30" s="37">
        <f>'Get Started  2'!$E9*AR19</f>
        <v>0</v>
      </c>
      <c r="AS30" s="37">
        <f>'Get Started  2'!$E9*AS19</f>
        <v>0</v>
      </c>
      <c r="AT30" s="37">
        <f>'Get Started  2'!$E9*AT19</f>
        <v>0</v>
      </c>
      <c r="AU30" s="37">
        <f>'Get Started  2'!$E9*AU19</f>
        <v>0</v>
      </c>
      <c r="AV30" s="37">
        <f>'Get Started  2'!$E9*AV19</f>
        <v>0</v>
      </c>
      <c r="AW30" s="37">
        <f>'Get Started  2'!$E9*AW19</f>
        <v>0</v>
      </c>
      <c r="AX30" s="37">
        <f>'Get Started  2'!$E9*AX19</f>
        <v>0</v>
      </c>
      <c r="AY30" s="37">
        <f>'Get Started  2'!$E9*AY19</f>
        <v>0</v>
      </c>
      <c r="AZ30" s="37">
        <f>'Get Started  2'!$E9*AZ19</f>
        <v>0</v>
      </c>
      <c r="BA30" s="37">
        <f>'Get Started  2'!$E9*BA19</f>
        <v>0</v>
      </c>
      <c r="BB30" s="37">
        <f>'Get Started  2'!$E9*BB19</f>
        <v>0</v>
      </c>
      <c r="BC30" s="37">
        <f>'Get Started  2'!$E9*BC19</f>
        <v>0</v>
      </c>
      <c r="BD30" s="37">
        <f>'Get Started  2'!$E9*BD19</f>
        <v>0</v>
      </c>
      <c r="BE30" s="37">
        <f>'Get Started  2'!$E9*BE19</f>
        <v>0</v>
      </c>
      <c r="BF30" s="37">
        <f>'Get Started  2'!$E9*BF19</f>
        <v>0</v>
      </c>
      <c r="BG30" s="37">
        <f>'Get Started  2'!$E9*BG19</f>
        <v>0</v>
      </c>
      <c r="BH30" s="37">
        <f>'Get Started  2'!$E9*BH19</f>
        <v>0</v>
      </c>
      <c r="BI30" s="37">
        <f>'Get Started  2'!$E9*BI19</f>
        <v>0</v>
      </c>
      <c r="BJ30" s="37">
        <f>'Get Started  2'!$E9*BJ19</f>
        <v>0</v>
      </c>
      <c r="BK30" s="37">
        <f>'Get Started  2'!$E9*BK19</f>
        <v>0</v>
      </c>
      <c r="BL30" s="37">
        <f>'Get Started  2'!$E9*BL19</f>
        <v>0</v>
      </c>
      <c r="BM30" s="37">
        <f>'Get Started  2'!$E9*BM19</f>
        <v>0</v>
      </c>
      <c r="BN30" s="37">
        <f>'Get Started  2'!$E9*BN19</f>
        <v>0</v>
      </c>
      <c r="BO30" s="37">
        <f>'Get Started  2'!$E9*BO19</f>
        <v>0</v>
      </c>
      <c r="BP30" s="37">
        <f>'Get Started  2'!$E9*BP19</f>
        <v>0</v>
      </c>
      <c r="BQ30" s="37">
        <f>'Get Started  2'!$E9*BQ19</f>
        <v>0</v>
      </c>
      <c r="BR30" s="37">
        <f>'Get Started  2'!$E9*BR19</f>
        <v>0</v>
      </c>
      <c r="BS30" s="37">
        <f>'Get Started  2'!$E9*BS19</f>
        <v>0</v>
      </c>
      <c r="BT30" s="37">
        <f>'Get Started  2'!$E9*BT19</f>
        <v>0</v>
      </c>
      <c r="BU30" s="37">
        <f>'Get Started  2'!$E9*BU19</f>
        <v>0</v>
      </c>
      <c r="BV30" s="37">
        <f>'Get Started  2'!$E9*BV19</f>
        <v>0</v>
      </c>
      <c r="BW30" s="37">
        <f>'Get Started  2'!$E9*BW19</f>
        <v>0</v>
      </c>
      <c r="BX30" s="37">
        <f>'Get Started  2'!$E9*BX19</f>
        <v>0</v>
      </c>
      <c r="BY30" s="37">
        <f>'Get Started  2'!$E9*BY19</f>
        <v>0</v>
      </c>
      <c r="BZ30" s="37">
        <f>'Get Started  2'!$E9*BZ19</f>
        <v>0</v>
      </c>
      <c r="CA30" s="37">
        <f>'Get Started  2'!$E9*CA19</f>
        <v>0</v>
      </c>
      <c r="CB30" s="37">
        <f>'Get Started  2'!$E9*CB19</f>
        <v>0</v>
      </c>
      <c r="CC30" s="37">
        <f>'Get Started  2'!$E9*CC19</f>
        <v>0</v>
      </c>
      <c r="CD30" s="37">
        <f>'Get Started  2'!$E9*CD19</f>
        <v>0</v>
      </c>
      <c r="CE30" s="37">
        <f>'Get Started  2'!$E9*CE19</f>
        <v>0</v>
      </c>
      <c r="CF30" s="37">
        <f>'Get Started  2'!$E9*CF19</f>
        <v>0</v>
      </c>
      <c r="CG30" s="37">
        <f>'Get Started  2'!$E9*CG19</f>
        <v>0</v>
      </c>
      <c r="CH30" s="37">
        <f>'Get Started  2'!$E9*CH19</f>
        <v>0</v>
      </c>
    </row>
    <row r="31" spans="1:86" ht="13">
      <c r="B31" s="15" t="s">
        <v>253</v>
      </c>
      <c r="D31" s="15" t="s">
        <v>238</v>
      </c>
      <c r="E31" s="29">
        <f t="shared" ca="1" si="13"/>
        <v>25000000</v>
      </c>
      <c r="F31" s="29"/>
      <c r="G31" s="29">
        <f t="shared" ref="G31:CH31" ca="1" si="14">IF($E20&lt;&gt;0,G20*$E30, MIN($E30-F60, MAX(0,G38+G39+G40+G41-G42)))</f>
        <v>1444375</v>
      </c>
      <c r="H31" s="29">
        <f t="shared" ca="1" si="14"/>
        <v>1344375</v>
      </c>
      <c r="I31" s="29">
        <f t="shared" ca="1" si="14"/>
        <v>1344375</v>
      </c>
      <c r="J31" s="29">
        <f t="shared" ca="1" si="14"/>
        <v>1344375</v>
      </c>
      <c r="K31" s="29">
        <f t="shared" ca="1" si="14"/>
        <v>1344375</v>
      </c>
      <c r="L31" s="29">
        <f t="shared" ca="1" si="14"/>
        <v>1344375</v>
      </c>
      <c r="M31" s="29">
        <f t="shared" ca="1" si="14"/>
        <v>1344375</v>
      </c>
      <c r="N31" s="29">
        <f t="shared" ca="1" si="14"/>
        <v>1344375</v>
      </c>
      <c r="O31" s="29">
        <f t="shared" ca="1" si="14"/>
        <v>1344375</v>
      </c>
      <c r="P31" s="29">
        <f t="shared" ca="1" si="14"/>
        <v>1344375</v>
      </c>
      <c r="Q31" s="29">
        <f t="shared" ca="1" si="14"/>
        <v>1344375</v>
      </c>
      <c r="R31" s="29">
        <f t="shared" ca="1" si="14"/>
        <v>1344375</v>
      </c>
      <c r="S31" s="29">
        <f t="shared" ca="1" si="14"/>
        <v>1344375</v>
      </c>
      <c r="T31" s="29">
        <f t="shared" ca="1" si="14"/>
        <v>1344375</v>
      </c>
      <c r="U31" s="29">
        <f t="shared" ca="1" si="14"/>
        <v>1344375</v>
      </c>
      <c r="V31" s="29">
        <f t="shared" ca="1" si="14"/>
        <v>1344375</v>
      </c>
      <c r="W31" s="29">
        <f t="shared" ca="1" si="14"/>
        <v>141250</v>
      </c>
      <c r="X31" s="29">
        <f t="shared" ca="1" si="14"/>
        <v>141250</v>
      </c>
      <c r="Y31" s="29">
        <f t="shared" ca="1" si="14"/>
        <v>141250</v>
      </c>
      <c r="Z31" s="29">
        <f t="shared" ca="1" si="14"/>
        <v>141250</v>
      </c>
      <c r="AA31" s="29">
        <f t="shared" ca="1" si="14"/>
        <v>141250</v>
      </c>
      <c r="AB31" s="29">
        <f t="shared" ca="1" si="14"/>
        <v>141250</v>
      </c>
      <c r="AC31" s="29">
        <f t="shared" ca="1" si="14"/>
        <v>141250</v>
      </c>
      <c r="AD31" s="29">
        <f t="shared" ca="1" si="14"/>
        <v>141250</v>
      </c>
      <c r="AE31" s="29">
        <f t="shared" ca="1" si="14"/>
        <v>141250</v>
      </c>
      <c r="AF31" s="29">
        <f t="shared" ca="1" si="14"/>
        <v>141250</v>
      </c>
      <c r="AG31" s="29">
        <f t="shared" ca="1" si="14"/>
        <v>141250</v>
      </c>
      <c r="AH31" s="29">
        <f t="shared" ca="1" si="14"/>
        <v>141250</v>
      </c>
      <c r="AI31" s="29">
        <f t="shared" ca="1" si="14"/>
        <v>141250</v>
      </c>
      <c r="AJ31" s="29">
        <f t="shared" ca="1" si="14"/>
        <v>141250</v>
      </c>
      <c r="AK31" s="29">
        <f t="shared" ca="1" si="14"/>
        <v>141250</v>
      </c>
      <c r="AL31" s="29">
        <f t="shared" ca="1" si="14"/>
        <v>141250</v>
      </c>
      <c r="AM31" s="29">
        <f t="shared" ca="1" si="14"/>
        <v>141250</v>
      </c>
      <c r="AN31" s="29">
        <f t="shared" ca="1" si="14"/>
        <v>141250</v>
      </c>
      <c r="AO31" s="29">
        <f t="shared" ca="1" si="14"/>
        <v>141250</v>
      </c>
      <c r="AP31" s="29">
        <f t="shared" ca="1" si="14"/>
        <v>141250</v>
      </c>
      <c r="AQ31" s="29">
        <f t="shared" ca="1" si="14"/>
        <v>141250</v>
      </c>
      <c r="AR31" s="29">
        <f t="shared" ca="1" si="14"/>
        <v>141250</v>
      </c>
      <c r="AS31" s="29">
        <f t="shared" ca="1" si="14"/>
        <v>141250</v>
      </c>
      <c r="AT31" s="29">
        <f t="shared" ca="1" si="14"/>
        <v>141250</v>
      </c>
      <c r="AU31" s="29">
        <f t="shared" ca="1" si="14"/>
        <v>0</v>
      </c>
      <c r="AV31" s="29">
        <f t="shared" ca="1" si="14"/>
        <v>0</v>
      </c>
      <c r="AW31" s="29">
        <f t="shared" ca="1" si="14"/>
        <v>0</v>
      </c>
      <c r="AX31" s="29">
        <f t="shared" ca="1" si="14"/>
        <v>0</v>
      </c>
      <c r="AY31" s="29">
        <f t="shared" ca="1" si="14"/>
        <v>0</v>
      </c>
      <c r="AZ31" s="29">
        <f t="shared" ca="1" si="14"/>
        <v>0</v>
      </c>
      <c r="BA31" s="29">
        <f t="shared" ca="1" si="14"/>
        <v>0</v>
      </c>
      <c r="BB31" s="29">
        <f t="shared" ca="1" si="14"/>
        <v>0</v>
      </c>
      <c r="BC31" s="29">
        <f t="shared" ca="1" si="14"/>
        <v>0</v>
      </c>
      <c r="BD31" s="29">
        <f t="shared" ca="1" si="14"/>
        <v>0</v>
      </c>
      <c r="BE31" s="29">
        <f t="shared" ca="1" si="14"/>
        <v>0</v>
      </c>
      <c r="BF31" s="29">
        <f t="shared" ca="1" si="14"/>
        <v>0</v>
      </c>
      <c r="BG31" s="29">
        <f t="shared" ca="1" si="14"/>
        <v>0</v>
      </c>
      <c r="BH31" s="29">
        <f t="shared" ca="1" si="14"/>
        <v>0</v>
      </c>
      <c r="BI31" s="29">
        <f t="shared" ca="1" si="14"/>
        <v>0</v>
      </c>
      <c r="BJ31" s="29">
        <f t="shared" ca="1" si="14"/>
        <v>0</v>
      </c>
      <c r="BK31" s="29">
        <f t="shared" ca="1" si="14"/>
        <v>0</v>
      </c>
      <c r="BL31" s="29">
        <f t="shared" ca="1" si="14"/>
        <v>0</v>
      </c>
      <c r="BM31" s="29">
        <f t="shared" ca="1" si="14"/>
        <v>0</v>
      </c>
      <c r="BN31" s="29">
        <f t="shared" ca="1" si="14"/>
        <v>0</v>
      </c>
      <c r="BO31" s="29">
        <f t="shared" ca="1" si="14"/>
        <v>0</v>
      </c>
      <c r="BP31" s="29">
        <f t="shared" ca="1" si="14"/>
        <v>0</v>
      </c>
      <c r="BQ31" s="29">
        <f t="shared" ca="1" si="14"/>
        <v>0</v>
      </c>
      <c r="BR31" s="29">
        <f t="shared" ca="1" si="14"/>
        <v>0</v>
      </c>
      <c r="BS31" s="29">
        <f t="shared" ca="1" si="14"/>
        <v>0</v>
      </c>
      <c r="BT31" s="29">
        <f t="shared" ca="1" si="14"/>
        <v>0</v>
      </c>
      <c r="BU31" s="29">
        <f t="shared" ca="1" si="14"/>
        <v>0</v>
      </c>
      <c r="BV31" s="29">
        <f t="shared" ca="1" si="14"/>
        <v>0</v>
      </c>
      <c r="BW31" s="29">
        <f t="shared" ca="1" si="14"/>
        <v>0</v>
      </c>
      <c r="BX31" s="29">
        <f t="shared" ca="1" si="14"/>
        <v>0</v>
      </c>
      <c r="BY31" s="29">
        <f t="shared" ca="1" si="14"/>
        <v>0</v>
      </c>
      <c r="BZ31" s="29">
        <f t="shared" ca="1" si="14"/>
        <v>0</v>
      </c>
      <c r="CA31" s="29">
        <f t="shared" ca="1" si="14"/>
        <v>0</v>
      </c>
      <c r="CB31" s="29">
        <f t="shared" ca="1" si="14"/>
        <v>0</v>
      </c>
      <c r="CC31" s="29">
        <f t="shared" ca="1" si="14"/>
        <v>0</v>
      </c>
      <c r="CD31" s="29">
        <f t="shared" ca="1" si="14"/>
        <v>0</v>
      </c>
      <c r="CE31" s="29">
        <f t="shared" ca="1" si="14"/>
        <v>0</v>
      </c>
      <c r="CF31" s="29">
        <f t="shared" ca="1" si="14"/>
        <v>0</v>
      </c>
      <c r="CG31" s="29">
        <f t="shared" ca="1" si="14"/>
        <v>0</v>
      </c>
      <c r="CH31" s="29">
        <f t="shared" ca="1" si="14"/>
        <v>0</v>
      </c>
    </row>
    <row r="32" spans="1:86" ht="13">
      <c r="B32" s="15" t="s">
        <v>259</v>
      </c>
      <c r="C32" s="15"/>
      <c r="D32" s="15" t="s">
        <v>238</v>
      </c>
      <c r="E32" s="29">
        <f t="shared" si="13"/>
        <v>0</v>
      </c>
      <c r="F32" s="29"/>
      <c r="G32" s="29">
        <v>0</v>
      </c>
      <c r="H32" s="29">
        <v>0</v>
      </c>
      <c r="I32" s="29">
        <v>0</v>
      </c>
      <c r="J32" s="29">
        <v>0</v>
      </c>
      <c r="K32" s="29">
        <v>0</v>
      </c>
      <c r="L32" s="29">
        <v>0</v>
      </c>
      <c r="M32" s="29">
        <v>0</v>
      </c>
      <c r="N32" s="29">
        <v>0</v>
      </c>
      <c r="O32" s="29">
        <v>0</v>
      </c>
      <c r="P32" s="29">
        <v>0</v>
      </c>
      <c r="Q32" s="29">
        <v>0</v>
      </c>
      <c r="R32" s="29">
        <v>0</v>
      </c>
      <c r="S32" s="29">
        <v>0</v>
      </c>
      <c r="T32" s="29">
        <v>0</v>
      </c>
      <c r="U32" s="29">
        <v>0</v>
      </c>
      <c r="V32" s="29">
        <v>0</v>
      </c>
      <c r="W32" s="29">
        <v>0</v>
      </c>
      <c r="X32" s="29">
        <v>0</v>
      </c>
      <c r="Y32" s="29">
        <v>0</v>
      </c>
      <c r="Z32" s="29">
        <v>0</v>
      </c>
      <c r="AA32" s="29">
        <v>0</v>
      </c>
      <c r="AB32" s="29">
        <v>0</v>
      </c>
      <c r="AC32" s="29">
        <v>0</v>
      </c>
      <c r="AD32" s="29">
        <v>0</v>
      </c>
      <c r="AE32" s="29">
        <v>0</v>
      </c>
      <c r="AF32" s="29">
        <v>0</v>
      </c>
      <c r="AG32" s="29">
        <v>0</v>
      </c>
      <c r="AH32" s="29">
        <v>0</v>
      </c>
      <c r="AI32" s="29">
        <v>0</v>
      </c>
      <c r="AJ32" s="29">
        <v>0</v>
      </c>
      <c r="AK32" s="29">
        <v>0</v>
      </c>
      <c r="AL32" s="29">
        <v>0</v>
      </c>
      <c r="AM32" s="29">
        <v>0</v>
      </c>
      <c r="AN32" s="29">
        <v>0</v>
      </c>
      <c r="AO32" s="29">
        <v>0</v>
      </c>
      <c r="AP32" s="29">
        <v>0</v>
      </c>
      <c r="AQ32" s="29">
        <v>0</v>
      </c>
      <c r="AR32" s="29">
        <v>0</v>
      </c>
      <c r="AS32" s="29">
        <v>0</v>
      </c>
      <c r="AT32" s="29">
        <v>0</v>
      </c>
      <c r="AU32" s="29">
        <v>0</v>
      </c>
      <c r="AV32" s="29">
        <v>0</v>
      </c>
      <c r="AW32" s="29">
        <v>0</v>
      </c>
      <c r="AX32" s="29">
        <v>0</v>
      </c>
      <c r="AY32" s="29">
        <v>0</v>
      </c>
      <c r="AZ32" s="29">
        <v>0</v>
      </c>
      <c r="BA32" s="29">
        <v>0</v>
      </c>
      <c r="BB32" s="29">
        <v>0</v>
      </c>
      <c r="BC32" s="29">
        <v>0</v>
      </c>
      <c r="BD32" s="29">
        <v>0</v>
      </c>
      <c r="BE32" s="29">
        <v>0</v>
      </c>
      <c r="BF32" s="29">
        <v>0</v>
      </c>
      <c r="BG32" s="29">
        <v>0</v>
      </c>
      <c r="BH32" s="29">
        <v>0</v>
      </c>
      <c r="BI32" s="29">
        <v>0</v>
      </c>
      <c r="BJ32" s="29">
        <v>0</v>
      </c>
      <c r="BK32" s="29">
        <v>0</v>
      </c>
      <c r="BL32" s="29">
        <v>0</v>
      </c>
      <c r="BM32" s="29">
        <v>0</v>
      </c>
      <c r="BN32" s="29">
        <v>0</v>
      </c>
      <c r="BO32" s="29">
        <v>0</v>
      </c>
      <c r="BP32" s="29">
        <v>0</v>
      </c>
      <c r="BQ32" s="29">
        <v>0</v>
      </c>
      <c r="BR32" s="29">
        <v>0</v>
      </c>
      <c r="BS32" s="29">
        <v>0</v>
      </c>
      <c r="BT32" s="29">
        <v>0</v>
      </c>
      <c r="BU32" s="29">
        <v>0</v>
      </c>
      <c r="BV32" s="29">
        <v>0</v>
      </c>
      <c r="BW32" s="29">
        <v>0</v>
      </c>
      <c r="BX32" s="29">
        <v>0</v>
      </c>
      <c r="BY32" s="29">
        <v>0</v>
      </c>
      <c r="BZ32" s="29">
        <v>0</v>
      </c>
      <c r="CA32" s="29">
        <v>0</v>
      </c>
      <c r="CB32" s="29">
        <v>0</v>
      </c>
      <c r="CC32" s="29">
        <v>0</v>
      </c>
      <c r="CD32" s="29">
        <v>0</v>
      </c>
      <c r="CE32" s="29">
        <v>0</v>
      </c>
      <c r="CF32" s="29">
        <v>0</v>
      </c>
      <c r="CG32" s="29">
        <v>0</v>
      </c>
      <c r="CH32" s="29">
        <v>0</v>
      </c>
    </row>
    <row r="33" spans="1:86" ht="13">
      <c r="B33" s="15" t="s">
        <v>260</v>
      </c>
      <c r="C33" s="15"/>
      <c r="D33" s="15" t="s">
        <v>238</v>
      </c>
      <c r="E33" s="29">
        <f t="shared" ca="1" si="13"/>
        <v>20292708.333333332</v>
      </c>
      <c r="F33" s="29"/>
      <c r="G33" s="29">
        <f ca="1">IF(G8=1,'Get Started  2'!$E120/'Get Started  2'!$E15*'Get Started  2'!$E100+G208*'Get Started  2'!$E100,0)</f>
        <v>1203125</v>
      </c>
      <c r="H33" s="29">
        <f ca="1">IF(H8=1,'Get Started  2'!$E120/'Get Started  2'!$E15*'Get Started  2'!$E100+H208*'Get Started  2'!$E100,0)</f>
        <v>1203125</v>
      </c>
      <c r="I33" s="29">
        <f ca="1">IF(I8=1,'Get Started  2'!$E120/'Get Started  2'!$E15*'Get Started  2'!$E100+I208*'Get Started  2'!$E100,0)</f>
        <v>1203125</v>
      </c>
      <c r="J33" s="29">
        <f ca="1">IF(J8=1,'Get Started  2'!$E120/'Get Started  2'!$E15*'Get Started  2'!$E100+J208*'Get Started  2'!$E100,0)</f>
        <v>1203125</v>
      </c>
      <c r="K33" s="29">
        <f ca="1">IF(K8=1,'Get Started  2'!$E120/'Get Started  2'!$E15*'Get Started  2'!$E100+K208*'Get Started  2'!$E100,0)</f>
        <v>1203125</v>
      </c>
      <c r="L33" s="29">
        <f ca="1">IF(L8=1,'Get Started  2'!$E120/'Get Started  2'!$E15*'Get Started  2'!$E100+L208*'Get Started  2'!$E100,0)</f>
        <v>1203125</v>
      </c>
      <c r="M33" s="29">
        <f ca="1">IF(M8=1,'Get Started  2'!$E120/'Get Started  2'!$E15*'Get Started  2'!$E100+M208*'Get Started  2'!$E100,0)</f>
        <v>1203125</v>
      </c>
      <c r="N33" s="29">
        <f ca="1">IF(N8=1,'Get Started  2'!$E120/'Get Started  2'!$E15*'Get Started  2'!$E100+N208*'Get Started  2'!$E100,0)</f>
        <v>1203125</v>
      </c>
      <c r="O33" s="29">
        <f ca="1">IF(O8=1,'Get Started  2'!$E120/'Get Started  2'!$E15*'Get Started  2'!$E100+O208*'Get Started  2'!$E100,0)</f>
        <v>1203125</v>
      </c>
      <c r="P33" s="29">
        <f ca="1">IF(P8=1,'Get Started  2'!$E120/'Get Started  2'!$E15*'Get Started  2'!$E100+P208*'Get Started  2'!$E100,0)</f>
        <v>1203125</v>
      </c>
      <c r="Q33" s="29">
        <f ca="1">IF(Q8=1,'Get Started  2'!$E120/'Get Started  2'!$E15*'Get Started  2'!$E100+Q208*'Get Started  2'!$E100,0)</f>
        <v>1203125</v>
      </c>
      <c r="R33" s="29">
        <f ca="1">IF(R8=1,'Get Started  2'!$E120/'Get Started  2'!$E15*'Get Started  2'!$E100+R208*'Get Started  2'!$E100,0)</f>
        <v>1203125</v>
      </c>
      <c r="S33" s="29">
        <f ca="1">IF(S8=1,'Get Started  2'!$E120/'Get Started  2'!$E15*'Get Started  2'!$E100+S208*'Get Started  2'!$E100,0)</f>
        <v>1463802.0833333333</v>
      </c>
      <c r="T33" s="29">
        <f ca="1">IF(T8=1,'Get Started  2'!$E120/'Get Started  2'!$E15*'Get Started  2'!$E100+T208*'Get Started  2'!$E100,0)</f>
        <v>1463802.0833333333</v>
      </c>
      <c r="U33" s="29">
        <f ca="1">IF(U8=1,'Get Started  2'!$E120/'Get Started  2'!$E15*'Get Started  2'!$E100+U208*'Get Started  2'!$E100,0)</f>
        <v>1463802.0833333333</v>
      </c>
      <c r="V33" s="29">
        <f ca="1">IF(V8=1,'Get Started  2'!$E120/'Get Started  2'!$E15*'Get Started  2'!$E100+V208*'Get Started  2'!$E100,0)</f>
        <v>1463802.0833333333</v>
      </c>
      <c r="W33" s="29">
        <f>IF(W8=1,'Get Started  2'!$E120/'Get Started  2'!$E15*'Get Started  2'!$E100+W208*'Get Started  2'!$E100,0)</f>
        <v>0</v>
      </c>
      <c r="X33" s="29">
        <f>IF(X8=1,'Get Started  2'!$E120/'Get Started  2'!$E15*'Get Started  2'!$E100+X208*'Get Started  2'!$E100,0)</f>
        <v>0</v>
      </c>
      <c r="Y33" s="29">
        <f>IF(Y8=1,'Get Started  2'!$E120/'Get Started  2'!$E15*'Get Started  2'!$E100+Y208*'Get Started  2'!$E100,0)</f>
        <v>0</v>
      </c>
      <c r="Z33" s="29">
        <f>IF(Z8=1,'Get Started  2'!$E120/'Get Started  2'!$E15*'Get Started  2'!$E100+Z208*'Get Started  2'!$E100,0)</f>
        <v>0</v>
      </c>
      <c r="AA33" s="29">
        <f>IF(AA8=1,'Get Started  2'!$E120/'Get Started  2'!$E15*'Get Started  2'!$E100+AA208*'Get Started  2'!$E100,0)</f>
        <v>0</v>
      </c>
      <c r="AB33" s="29">
        <f>IF(AB8=1,'Get Started  2'!$E120/'Get Started  2'!$E15*'Get Started  2'!$E100+AB208*'Get Started  2'!$E100,0)</f>
        <v>0</v>
      </c>
      <c r="AC33" s="29">
        <f>IF(AC8=1,'Get Started  2'!$E120/'Get Started  2'!$E15*'Get Started  2'!$E100+AC208*'Get Started  2'!$E100,0)</f>
        <v>0</v>
      </c>
      <c r="AD33" s="29">
        <f>IF(AD8=1,'Get Started  2'!$E120/'Get Started  2'!$E15*'Get Started  2'!$E100+AD208*'Get Started  2'!$E100,0)</f>
        <v>0</v>
      </c>
      <c r="AE33" s="29">
        <f>IF(AE8=1,'Get Started  2'!$E120/'Get Started  2'!$E15*'Get Started  2'!$E100+AE208*'Get Started  2'!$E100,0)</f>
        <v>0</v>
      </c>
      <c r="AF33" s="29">
        <f>IF(AF8=1,'Get Started  2'!$E120/'Get Started  2'!$E15*'Get Started  2'!$E100+AF208*'Get Started  2'!$E100,0)</f>
        <v>0</v>
      </c>
      <c r="AG33" s="29">
        <f>IF(AG8=1,'Get Started  2'!$E120/'Get Started  2'!$E15*'Get Started  2'!$E100+AG208*'Get Started  2'!$E100,0)</f>
        <v>0</v>
      </c>
      <c r="AH33" s="29">
        <f>IF(AH8=1,'Get Started  2'!$E120/'Get Started  2'!$E15*'Get Started  2'!$E100+AH208*'Get Started  2'!$E100,0)</f>
        <v>0</v>
      </c>
      <c r="AI33" s="29">
        <f>IF(AI8=1,'Get Started  2'!$E120/'Get Started  2'!$E15*'Get Started  2'!$E100+AI208*'Get Started  2'!$E100,0)</f>
        <v>0</v>
      </c>
      <c r="AJ33" s="29">
        <f>IF(AJ8=1,'Get Started  2'!$E120/'Get Started  2'!$E15*'Get Started  2'!$E100+AJ208*'Get Started  2'!$E100,0)</f>
        <v>0</v>
      </c>
      <c r="AK33" s="29">
        <f>IF(AK8=1,'Get Started  2'!$E120/'Get Started  2'!$E15*'Get Started  2'!$E100+AK208*'Get Started  2'!$E100,0)</f>
        <v>0</v>
      </c>
      <c r="AL33" s="29">
        <f>IF(AL8=1,'Get Started  2'!$E120/'Get Started  2'!$E15*'Get Started  2'!$E100+AL208*'Get Started  2'!$E100,0)</f>
        <v>0</v>
      </c>
      <c r="AM33" s="29">
        <f>IF(AM8=1,'Get Started  2'!$E120/'Get Started  2'!$E15*'Get Started  2'!$E100+AM208*'Get Started  2'!$E100,0)</f>
        <v>0</v>
      </c>
      <c r="AN33" s="29">
        <f>IF(AN8=1,'Get Started  2'!$E120/'Get Started  2'!$E15*'Get Started  2'!$E100+AN208*'Get Started  2'!$E100,0)</f>
        <v>0</v>
      </c>
      <c r="AO33" s="29">
        <f>IF(AO8=1,'Get Started  2'!$E120/'Get Started  2'!$E15*'Get Started  2'!$E100+AO208*'Get Started  2'!$E100,0)</f>
        <v>0</v>
      </c>
      <c r="AP33" s="29">
        <f>IF(AP8=1,'Get Started  2'!$E120/'Get Started  2'!$E15*'Get Started  2'!$E100+AP208*'Get Started  2'!$E100,0)</f>
        <v>0</v>
      </c>
      <c r="AQ33" s="29">
        <f>IF(AQ8=1,'Get Started  2'!$E120/'Get Started  2'!$E15*'Get Started  2'!$E100+AQ208*'Get Started  2'!$E100,0)</f>
        <v>0</v>
      </c>
      <c r="AR33" s="29">
        <f>IF(AR8=1,'Get Started  2'!$E120/'Get Started  2'!$E15*'Get Started  2'!$E100+AR208*'Get Started  2'!$E100,0)</f>
        <v>0</v>
      </c>
      <c r="AS33" s="29">
        <f>IF(AS8=1,'Get Started  2'!$E120/'Get Started  2'!$E15*'Get Started  2'!$E100+AS208*'Get Started  2'!$E100,0)</f>
        <v>0</v>
      </c>
      <c r="AT33" s="29">
        <f>IF(AT8=1,'Get Started  2'!$E120/'Get Started  2'!$E15*'Get Started  2'!$E100+AT208*'Get Started  2'!$E100,0)</f>
        <v>0</v>
      </c>
      <c r="AU33" s="29">
        <f>IF(AU8=1,'Get Started  2'!$E120/'Get Started  2'!$E15*'Get Started  2'!$E100+AU208*'Get Started  2'!$E100,0)</f>
        <v>0</v>
      </c>
      <c r="AV33" s="29">
        <f>IF(AV8=1,'Get Started  2'!$E120/'Get Started  2'!$E15*'Get Started  2'!$E100+AV208*'Get Started  2'!$E100,0)</f>
        <v>0</v>
      </c>
      <c r="AW33" s="29">
        <f>IF(AW8=1,'Get Started  2'!$E120/'Get Started  2'!$E15*'Get Started  2'!$E100+AW208*'Get Started  2'!$E100,0)</f>
        <v>0</v>
      </c>
      <c r="AX33" s="29">
        <f>IF(AX8=1,'Get Started  2'!$E120/'Get Started  2'!$E15*'Get Started  2'!$E100+AX208*'Get Started  2'!$E100,0)</f>
        <v>0</v>
      </c>
      <c r="AY33" s="29">
        <f>IF(AY8=1,'Get Started  2'!$E120/'Get Started  2'!$E15*'Get Started  2'!$E100+AY208*'Get Started  2'!$E100,0)</f>
        <v>0</v>
      </c>
      <c r="AZ33" s="29">
        <f>IF(AZ8=1,'Get Started  2'!$E120/'Get Started  2'!$E15*'Get Started  2'!$E100+AZ208*'Get Started  2'!$E100,0)</f>
        <v>0</v>
      </c>
      <c r="BA33" s="29">
        <f>IF(BA8=1,'Get Started  2'!$E120/'Get Started  2'!$E15*'Get Started  2'!$E100+BA208*'Get Started  2'!$E100,0)</f>
        <v>0</v>
      </c>
      <c r="BB33" s="29">
        <f>IF(BB8=1,'Get Started  2'!$E120/'Get Started  2'!$E15*'Get Started  2'!$E100+BB208*'Get Started  2'!$E100,0)</f>
        <v>0</v>
      </c>
      <c r="BC33" s="29">
        <f>IF(BC8=1,'Get Started  2'!$E120/'Get Started  2'!$E15*'Get Started  2'!$E100+BC208*'Get Started  2'!$E100,0)</f>
        <v>0</v>
      </c>
      <c r="BD33" s="29">
        <f>IF(BD8=1,'Get Started  2'!$E120/'Get Started  2'!$E15*'Get Started  2'!$E100+BD208*'Get Started  2'!$E100,0)</f>
        <v>0</v>
      </c>
      <c r="BE33" s="29">
        <f>IF(BE8=1,'Get Started  2'!$E120/'Get Started  2'!$E15*'Get Started  2'!$E100+BE208*'Get Started  2'!$E100,0)</f>
        <v>0</v>
      </c>
      <c r="BF33" s="29">
        <f>IF(BF8=1,'Get Started  2'!$E120/'Get Started  2'!$E15*'Get Started  2'!$E100+BF208*'Get Started  2'!$E100,0)</f>
        <v>0</v>
      </c>
      <c r="BG33" s="29">
        <f>IF(BG8=1,'Get Started  2'!$E120/'Get Started  2'!$E15*'Get Started  2'!$E100+BG208*'Get Started  2'!$E100,0)</f>
        <v>0</v>
      </c>
      <c r="BH33" s="29">
        <f>IF(BH8=1,'Get Started  2'!$E120/'Get Started  2'!$E15*'Get Started  2'!$E100+BH208*'Get Started  2'!$E100,0)</f>
        <v>0</v>
      </c>
      <c r="BI33" s="29">
        <f>IF(BI8=1,'Get Started  2'!$E120/'Get Started  2'!$E15*'Get Started  2'!$E100+BI208*'Get Started  2'!$E100,0)</f>
        <v>0</v>
      </c>
      <c r="BJ33" s="29">
        <f>IF(BJ8=1,'Get Started  2'!$E120/'Get Started  2'!$E15*'Get Started  2'!$E100+BJ208*'Get Started  2'!$E100,0)</f>
        <v>0</v>
      </c>
      <c r="BK33" s="29">
        <f>IF(BK8=1,'Get Started  2'!$E120/'Get Started  2'!$E15*'Get Started  2'!$E100+BK208*'Get Started  2'!$E100,0)</f>
        <v>0</v>
      </c>
      <c r="BL33" s="29">
        <f>IF(BL8=1,'Get Started  2'!$E120/'Get Started  2'!$E15*'Get Started  2'!$E100+BL208*'Get Started  2'!$E100,0)</f>
        <v>0</v>
      </c>
      <c r="BM33" s="29">
        <f>IF(BM8=1,'Get Started  2'!$E120/'Get Started  2'!$E15*'Get Started  2'!$E100+BM208*'Get Started  2'!$E100,0)</f>
        <v>0</v>
      </c>
      <c r="BN33" s="29">
        <f>IF(BN8=1,'Get Started  2'!$E120/'Get Started  2'!$E15*'Get Started  2'!$E100+BN208*'Get Started  2'!$E100,0)</f>
        <v>0</v>
      </c>
      <c r="BO33" s="29">
        <f>IF(BO8=1,'Get Started  2'!$E120/'Get Started  2'!$E15*'Get Started  2'!$E100+BO208*'Get Started  2'!$E100,0)</f>
        <v>0</v>
      </c>
      <c r="BP33" s="29">
        <f>IF(BP8=1,'Get Started  2'!$E120/'Get Started  2'!$E15*'Get Started  2'!$E100+BP208*'Get Started  2'!$E100,0)</f>
        <v>0</v>
      </c>
      <c r="BQ33" s="29">
        <f>IF(BQ8=1,'Get Started  2'!$E120/'Get Started  2'!$E15*'Get Started  2'!$E100+BQ208*'Get Started  2'!$E100,0)</f>
        <v>0</v>
      </c>
      <c r="BR33" s="29">
        <f>IF(BR8=1,'Get Started  2'!$E120/'Get Started  2'!$E15*'Get Started  2'!$E100+BR208*'Get Started  2'!$E100,0)</f>
        <v>0</v>
      </c>
      <c r="BS33" s="29">
        <f>IF(BS8=1,'Get Started  2'!$E120/'Get Started  2'!$E15*'Get Started  2'!$E100+BS208*'Get Started  2'!$E100,0)</f>
        <v>0</v>
      </c>
      <c r="BT33" s="29">
        <f>IF(BT8=1,'Get Started  2'!$E120/'Get Started  2'!$E15*'Get Started  2'!$E100+BT208*'Get Started  2'!$E100,0)</f>
        <v>0</v>
      </c>
      <c r="BU33" s="29">
        <f>IF(BU8=1,'Get Started  2'!$E120/'Get Started  2'!$E15*'Get Started  2'!$E100+BU208*'Get Started  2'!$E100,0)</f>
        <v>0</v>
      </c>
      <c r="BV33" s="29">
        <f>IF(BV8=1,'Get Started  2'!$E120/'Get Started  2'!$E15*'Get Started  2'!$E100+BV208*'Get Started  2'!$E100,0)</f>
        <v>0</v>
      </c>
      <c r="BW33" s="29">
        <f>IF(BW8=1,'Get Started  2'!$E120/'Get Started  2'!$E15*'Get Started  2'!$E100+BW208*'Get Started  2'!$E100,0)</f>
        <v>0</v>
      </c>
      <c r="BX33" s="29">
        <f>IF(BX8=1,'Get Started  2'!$E120/'Get Started  2'!$E15*'Get Started  2'!$E100+BX208*'Get Started  2'!$E100,0)</f>
        <v>0</v>
      </c>
      <c r="BY33" s="29">
        <f>IF(BY8=1,'Get Started  2'!$E120/'Get Started  2'!$E15*'Get Started  2'!$E100+BY208*'Get Started  2'!$E100,0)</f>
        <v>0</v>
      </c>
      <c r="BZ33" s="29">
        <f>IF(BZ8=1,'Get Started  2'!$E120/'Get Started  2'!$E15*'Get Started  2'!$E100+BZ208*'Get Started  2'!$E100,0)</f>
        <v>0</v>
      </c>
      <c r="CA33" s="29">
        <f>IF(CA8=1,'Get Started  2'!$E120/'Get Started  2'!$E15*'Get Started  2'!$E100+CA208*'Get Started  2'!$E100,0)</f>
        <v>0</v>
      </c>
      <c r="CB33" s="29">
        <f>IF(CB8=1,'Get Started  2'!$E120/'Get Started  2'!$E15*'Get Started  2'!$E100+CB208*'Get Started  2'!$E100,0)</f>
        <v>0</v>
      </c>
      <c r="CC33" s="29">
        <f>IF(CC8=1,'Get Started  2'!$E120/'Get Started  2'!$E15*'Get Started  2'!$E100+CC208*'Get Started  2'!$E100,0)</f>
        <v>0</v>
      </c>
      <c r="CD33" s="29">
        <f>IF(CD8=1,'Get Started  2'!$E120/'Get Started  2'!$E15*'Get Started  2'!$E100+CD208*'Get Started  2'!$E100,0)</f>
        <v>0</v>
      </c>
      <c r="CE33" s="29">
        <f>IF(CE8=1,'Get Started  2'!$E120/'Get Started  2'!$E15*'Get Started  2'!$E100+CE208*'Get Started  2'!$E100,0)</f>
        <v>0</v>
      </c>
      <c r="CF33" s="29">
        <f>IF(CF8=1,'Get Started  2'!$E120/'Get Started  2'!$E15*'Get Started  2'!$E100+CF208*'Get Started  2'!$E100,0)</f>
        <v>0</v>
      </c>
      <c r="CG33" s="29">
        <f>IF(CG8=1,'Get Started  2'!$E120/'Get Started  2'!$E15*'Get Started  2'!$E100+CG208*'Get Started  2'!$E100,0)</f>
        <v>0</v>
      </c>
      <c r="CH33" s="29">
        <f>IF(CH8=1,'Get Started  2'!$E120/'Get Started  2'!$E15*'Get Started  2'!$E100+CH208*'Get Started  2'!$E100,0)</f>
        <v>0</v>
      </c>
    </row>
    <row r="34" spans="1:86" ht="13">
      <c r="B34" s="15" t="s">
        <v>261</v>
      </c>
      <c r="C34" s="15"/>
      <c r="D34" s="15" t="s">
        <v>238</v>
      </c>
      <c r="E34" s="29">
        <f t="shared" si="13"/>
        <v>0</v>
      </c>
      <c r="F34" s="29"/>
      <c r="G34" s="29">
        <v>0</v>
      </c>
      <c r="H34" s="29">
        <v>0</v>
      </c>
      <c r="I34" s="29">
        <v>0</v>
      </c>
      <c r="J34" s="29">
        <v>0</v>
      </c>
      <c r="K34" s="29">
        <v>0</v>
      </c>
      <c r="L34" s="29">
        <v>0</v>
      </c>
      <c r="M34" s="29">
        <v>0</v>
      </c>
      <c r="N34" s="29">
        <v>0</v>
      </c>
      <c r="O34" s="29">
        <v>0</v>
      </c>
      <c r="P34" s="29">
        <v>0</v>
      </c>
      <c r="Q34" s="29">
        <v>0</v>
      </c>
      <c r="R34" s="29">
        <v>0</v>
      </c>
      <c r="S34" s="29">
        <v>0</v>
      </c>
      <c r="T34" s="29">
        <v>0</v>
      </c>
      <c r="U34" s="29">
        <v>0</v>
      </c>
      <c r="V34" s="29">
        <v>0</v>
      </c>
      <c r="W34" s="29">
        <v>0</v>
      </c>
      <c r="X34" s="29">
        <v>0</v>
      </c>
      <c r="Y34" s="29">
        <v>0</v>
      </c>
      <c r="Z34" s="29">
        <v>0</v>
      </c>
      <c r="AA34" s="29">
        <v>0</v>
      </c>
      <c r="AB34" s="29">
        <v>0</v>
      </c>
      <c r="AC34" s="29">
        <v>0</v>
      </c>
      <c r="AD34" s="29">
        <v>0</v>
      </c>
      <c r="AE34" s="29">
        <v>0</v>
      </c>
      <c r="AF34" s="29">
        <v>0</v>
      </c>
      <c r="AG34" s="29">
        <v>0</v>
      </c>
      <c r="AH34" s="29">
        <v>0</v>
      </c>
      <c r="AI34" s="29">
        <v>0</v>
      </c>
      <c r="AJ34" s="29">
        <v>0</v>
      </c>
      <c r="AK34" s="29">
        <v>0</v>
      </c>
      <c r="AL34" s="29">
        <v>0</v>
      </c>
      <c r="AM34" s="29">
        <v>0</v>
      </c>
      <c r="AN34" s="29">
        <v>0</v>
      </c>
      <c r="AO34" s="29">
        <v>0</v>
      </c>
      <c r="AP34" s="29">
        <v>0</v>
      </c>
      <c r="AQ34" s="29">
        <v>0</v>
      </c>
      <c r="AR34" s="29">
        <v>0</v>
      </c>
      <c r="AS34" s="29">
        <v>0</v>
      </c>
      <c r="AT34" s="29">
        <v>0</v>
      </c>
      <c r="AU34" s="29">
        <v>0</v>
      </c>
      <c r="AV34" s="29">
        <v>0</v>
      </c>
      <c r="AW34" s="29">
        <v>0</v>
      </c>
      <c r="AX34" s="29">
        <v>0</v>
      </c>
      <c r="AY34" s="29">
        <v>0</v>
      </c>
      <c r="AZ34" s="29">
        <v>0</v>
      </c>
      <c r="BA34" s="29">
        <v>0</v>
      </c>
      <c r="BB34" s="29">
        <v>0</v>
      </c>
      <c r="BC34" s="29">
        <v>0</v>
      </c>
      <c r="BD34" s="29">
        <v>0</v>
      </c>
      <c r="BE34" s="29">
        <v>0</v>
      </c>
      <c r="BF34" s="29">
        <v>0</v>
      </c>
      <c r="BG34" s="29">
        <v>0</v>
      </c>
      <c r="BH34" s="29">
        <v>0</v>
      </c>
      <c r="BI34" s="29">
        <v>0</v>
      </c>
      <c r="BJ34" s="29">
        <v>0</v>
      </c>
      <c r="BK34" s="29">
        <v>0</v>
      </c>
      <c r="BL34" s="29">
        <v>0</v>
      </c>
      <c r="BM34" s="29">
        <v>0</v>
      </c>
      <c r="BN34" s="29">
        <v>0</v>
      </c>
      <c r="BO34" s="29">
        <v>0</v>
      </c>
      <c r="BP34" s="29">
        <v>0</v>
      </c>
      <c r="BQ34" s="29">
        <v>0</v>
      </c>
      <c r="BR34" s="29">
        <v>0</v>
      </c>
      <c r="BS34" s="29">
        <v>0</v>
      </c>
      <c r="BT34" s="29">
        <v>0</v>
      </c>
      <c r="BU34" s="29">
        <v>0</v>
      </c>
      <c r="BV34" s="29">
        <v>0</v>
      </c>
      <c r="BW34" s="29">
        <v>0</v>
      </c>
      <c r="BX34" s="29">
        <v>0</v>
      </c>
      <c r="BY34" s="29">
        <v>0</v>
      </c>
      <c r="BZ34" s="29">
        <v>0</v>
      </c>
      <c r="CA34" s="29">
        <v>0</v>
      </c>
      <c r="CB34" s="29">
        <v>0</v>
      </c>
      <c r="CC34" s="29">
        <v>0</v>
      </c>
      <c r="CD34" s="29">
        <v>0</v>
      </c>
      <c r="CE34" s="29">
        <v>0</v>
      </c>
      <c r="CF34" s="29">
        <v>0</v>
      </c>
      <c r="CG34" s="29">
        <v>0</v>
      </c>
      <c r="CH34" s="29">
        <v>0</v>
      </c>
    </row>
    <row r="35" spans="1:86" ht="13">
      <c r="B35" s="15" t="s">
        <v>262</v>
      </c>
      <c r="C35" s="15" t="s">
        <v>263</v>
      </c>
      <c r="D35" s="15" t="s">
        <v>238</v>
      </c>
      <c r="E35" s="29">
        <f t="shared" si="13"/>
        <v>0</v>
      </c>
      <c r="F35" s="29"/>
      <c r="G35" s="29">
        <v>0</v>
      </c>
      <c r="H35" s="29">
        <v>0</v>
      </c>
      <c r="I35" s="29">
        <v>0</v>
      </c>
      <c r="J35" s="29">
        <v>0</v>
      </c>
      <c r="K35" s="29">
        <v>0</v>
      </c>
      <c r="L35" s="29">
        <v>0</v>
      </c>
      <c r="M35" s="29">
        <v>0</v>
      </c>
      <c r="N35" s="29">
        <v>0</v>
      </c>
      <c r="O35" s="29">
        <v>0</v>
      </c>
      <c r="P35" s="29">
        <v>0</v>
      </c>
      <c r="Q35" s="29">
        <v>0</v>
      </c>
      <c r="R35" s="29">
        <v>0</v>
      </c>
      <c r="S35" s="29">
        <v>0</v>
      </c>
      <c r="T35" s="29">
        <v>0</v>
      </c>
      <c r="U35" s="29">
        <v>0</v>
      </c>
      <c r="V35" s="29">
        <v>0</v>
      </c>
      <c r="W35" s="29">
        <v>0</v>
      </c>
      <c r="X35" s="29">
        <v>0</v>
      </c>
      <c r="Y35" s="29">
        <v>0</v>
      </c>
      <c r="Z35" s="29">
        <v>0</v>
      </c>
      <c r="AA35" s="29">
        <v>0</v>
      </c>
      <c r="AB35" s="29">
        <v>0</v>
      </c>
      <c r="AC35" s="29">
        <v>0</v>
      </c>
      <c r="AD35" s="29">
        <v>0</v>
      </c>
      <c r="AE35" s="29">
        <v>0</v>
      </c>
      <c r="AF35" s="29">
        <v>0</v>
      </c>
      <c r="AG35" s="29">
        <v>0</v>
      </c>
      <c r="AH35" s="29">
        <v>0</v>
      </c>
      <c r="AI35" s="29">
        <v>0</v>
      </c>
      <c r="AJ35" s="29">
        <v>0</v>
      </c>
      <c r="AK35" s="29">
        <v>0</v>
      </c>
      <c r="AL35" s="29">
        <v>0</v>
      </c>
      <c r="AM35" s="29">
        <v>0</v>
      </c>
      <c r="AN35" s="29">
        <v>0</v>
      </c>
      <c r="AO35" s="29">
        <v>0</v>
      </c>
      <c r="AP35" s="29">
        <v>0</v>
      </c>
      <c r="AQ35" s="29">
        <v>0</v>
      </c>
      <c r="AR35" s="29">
        <v>0</v>
      </c>
      <c r="AS35" s="29">
        <v>0</v>
      </c>
      <c r="AT35" s="29">
        <v>0</v>
      </c>
      <c r="AU35" s="29">
        <v>0</v>
      </c>
      <c r="AV35" s="29">
        <v>0</v>
      </c>
      <c r="AW35" s="29">
        <v>0</v>
      </c>
      <c r="AX35" s="29">
        <v>0</v>
      </c>
      <c r="AY35" s="29">
        <v>0</v>
      </c>
      <c r="AZ35" s="29">
        <v>0</v>
      </c>
      <c r="BA35" s="29">
        <v>0</v>
      </c>
      <c r="BB35" s="29">
        <v>0</v>
      </c>
      <c r="BC35" s="29">
        <v>0</v>
      </c>
      <c r="BD35" s="29">
        <v>0</v>
      </c>
      <c r="BE35" s="29">
        <v>0</v>
      </c>
      <c r="BF35" s="29">
        <v>0</v>
      </c>
      <c r="BG35" s="29">
        <v>0</v>
      </c>
      <c r="BH35" s="29">
        <v>0</v>
      </c>
      <c r="BI35" s="29">
        <v>0</v>
      </c>
      <c r="BJ35" s="29">
        <v>0</v>
      </c>
      <c r="BK35" s="29">
        <v>0</v>
      </c>
      <c r="BL35" s="29">
        <v>0</v>
      </c>
      <c r="BM35" s="29">
        <v>0</v>
      </c>
      <c r="BN35" s="29">
        <v>0</v>
      </c>
      <c r="BO35" s="29">
        <v>0</v>
      </c>
      <c r="BP35" s="29">
        <v>0</v>
      </c>
      <c r="BQ35" s="29">
        <v>0</v>
      </c>
      <c r="BR35" s="29">
        <v>0</v>
      </c>
      <c r="BS35" s="29">
        <v>0</v>
      </c>
      <c r="BT35" s="29">
        <v>0</v>
      </c>
      <c r="BU35" s="29">
        <v>0</v>
      </c>
      <c r="BV35" s="29">
        <v>0</v>
      </c>
      <c r="BW35" s="29">
        <v>0</v>
      </c>
      <c r="BX35" s="29">
        <v>0</v>
      </c>
      <c r="BY35" s="29">
        <v>0</v>
      </c>
      <c r="BZ35" s="29">
        <v>0</v>
      </c>
      <c r="CA35" s="29">
        <v>0</v>
      </c>
      <c r="CB35" s="29">
        <v>0</v>
      </c>
      <c r="CC35" s="29">
        <v>0</v>
      </c>
      <c r="CD35" s="29">
        <v>0</v>
      </c>
      <c r="CE35" s="29">
        <v>0</v>
      </c>
      <c r="CF35" s="29">
        <v>0</v>
      </c>
      <c r="CG35" s="29">
        <v>0</v>
      </c>
      <c r="CH35" s="29">
        <v>0</v>
      </c>
    </row>
    <row r="36" spans="1:86" ht="13">
      <c r="B36" s="15" t="s">
        <v>264</v>
      </c>
      <c r="C36" s="15"/>
      <c r="D36" s="15" t="s">
        <v>238</v>
      </c>
      <c r="E36" s="29">
        <f t="shared" ca="1" si="13"/>
        <v>0</v>
      </c>
      <c r="F36" s="29"/>
      <c r="G36" s="29">
        <f ca="1">'Get Started  2'!$E122*G255</f>
        <v>0</v>
      </c>
      <c r="H36" s="29">
        <f ca="1">'Get Started  2'!$E122*H255</f>
        <v>0</v>
      </c>
      <c r="I36" s="29">
        <f ca="1">'Get Started  2'!$E122*I255</f>
        <v>0</v>
      </c>
      <c r="J36" s="29">
        <f ca="1">'Get Started  2'!$E122*J255</f>
        <v>0</v>
      </c>
      <c r="K36" s="29">
        <f ca="1">'Get Started  2'!$E122*K255</f>
        <v>0</v>
      </c>
      <c r="L36" s="29">
        <f ca="1">'Get Started  2'!$E122*L255</f>
        <v>0</v>
      </c>
      <c r="M36" s="29">
        <f ca="1">'Get Started  2'!$E122*M255</f>
        <v>0</v>
      </c>
      <c r="N36" s="29">
        <f ca="1">'Get Started  2'!$E122*N255</f>
        <v>0</v>
      </c>
      <c r="O36" s="29">
        <f ca="1">'Get Started  2'!$E122*O255</f>
        <v>0</v>
      </c>
      <c r="P36" s="29">
        <f ca="1">'Get Started  2'!$E122*P255</f>
        <v>0</v>
      </c>
      <c r="Q36" s="29">
        <f ca="1">'Get Started  2'!$E122*Q255</f>
        <v>0</v>
      </c>
      <c r="R36" s="29">
        <f ca="1">'Get Started  2'!$E122*R255</f>
        <v>0</v>
      </c>
      <c r="S36" s="29">
        <f ca="1">'Get Started  2'!$E122*S255</f>
        <v>0</v>
      </c>
      <c r="T36" s="29">
        <f ca="1">'Get Started  2'!$E122*T255</f>
        <v>0</v>
      </c>
      <c r="U36" s="29">
        <f ca="1">'Get Started  2'!$E122*U255</f>
        <v>0</v>
      </c>
      <c r="V36" s="29">
        <f ca="1">'Get Started  2'!$E122*V255</f>
        <v>0</v>
      </c>
      <c r="W36" s="29">
        <f ca="1">'Get Started  2'!$E122*W255</f>
        <v>0</v>
      </c>
      <c r="X36" s="29">
        <f ca="1">'Get Started  2'!$E122*X255</f>
        <v>0</v>
      </c>
      <c r="Y36" s="29">
        <f ca="1">'Get Started  2'!$E122*Y255</f>
        <v>0</v>
      </c>
      <c r="Z36" s="29">
        <f ca="1">'Get Started  2'!$E122*Z255</f>
        <v>0</v>
      </c>
      <c r="AA36" s="29">
        <f ca="1">'Get Started  2'!$E122*AA255</f>
        <v>0</v>
      </c>
      <c r="AB36" s="29">
        <f ca="1">'Get Started  2'!$E122*AB255</f>
        <v>0</v>
      </c>
      <c r="AC36" s="29">
        <f ca="1">'Get Started  2'!$E122*AC255</f>
        <v>0</v>
      </c>
      <c r="AD36" s="29">
        <f ca="1">'Get Started  2'!$E122*AD255</f>
        <v>0</v>
      </c>
      <c r="AE36" s="29">
        <f ca="1">'Get Started  2'!$E122*AE255</f>
        <v>0</v>
      </c>
      <c r="AF36" s="29">
        <f ca="1">'Get Started  2'!$E122*AF255</f>
        <v>0</v>
      </c>
      <c r="AG36" s="29">
        <f ca="1">'Get Started  2'!$E122*AG255</f>
        <v>0</v>
      </c>
      <c r="AH36" s="29">
        <f ca="1">'Get Started  2'!$E122*AH255</f>
        <v>0</v>
      </c>
      <c r="AI36" s="29">
        <f ca="1">'Get Started  2'!$E122*AI255</f>
        <v>0</v>
      </c>
      <c r="AJ36" s="29">
        <f ca="1">'Get Started  2'!$E122*AJ255</f>
        <v>0</v>
      </c>
      <c r="AK36" s="29">
        <f ca="1">'Get Started  2'!$E122*AK255</f>
        <v>0</v>
      </c>
      <c r="AL36" s="29">
        <f ca="1">'Get Started  2'!$E122*AL255</f>
        <v>0</v>
      </c>
      <c r="AM36" s="29">
        <f ca="1">'Get Started  2'!$E122*AM255</f>
        <v>0</v>
      </c>
      <c r="AN36" s="29">
        <f ca="1">'Get Started  2'!$E122*AN255</f>
        <v>0</v>
      </c>
      <c r="AO36" s="29">
        <f ca="1">'Get Started  2'!$E122*AO255</f>
        <v>0</v>
      </c>
      <c r="AP36" s="29">
        <f ca="1">'Get Started  2'!$E122*AP255</f>
        <v>0</v>
      </c>
      <c r="AQ36" s="29">
        <f ca="1">'Get Started  2'!$E122*AQ255</f>
        <v>0</v>
      </c>
      <c r="AR36" s="29">
        <f ca="1">'Get Started  2'!$E122*AR255</f>
        <v>0</v>
      </c>
      <c r="AS36" s="29">
        <f ca="1">'Get Started  2'!$E122*AS255</f>
        <v>0</v>
      </c>
      <c r="AT36" s="29">
        <f ca="1">'Get Started  2'!$E122*AT255</f>
        <v>0</v>
      </c>
      <c r="AU36" s="29">
        <f ca="1">'Get Started  2'!$E122*AU255</f>
        <v>0</v>
      </c>
      <c r="AV36" s="29">
        <f ca="1">'Get Started  2'!$E122*AV255</f>
        <v>0</v>
      </c>
      <c r="AW36" s="29">
        <f ca="1">'Get Started  2'!$E122*AW255</f>
        <v>0</v>
      </c>
      <c r="AX36" s="29">
        <f ca="1">'Get Started  2'!$E122*AX255</f>
        <v>0</v>
      </c>
      <c r="AY36" s="29">
        <f ca="1">'Get Started  2'!$E122*AY255</f>
        <v>0</v>
      </c>
      <c r="AZ36" s="29">
        <f ca="1">'Get Started  2'!$E122*AZ255</f>
        <v>0</v>
      </c>
      <c r="BA36" s="29">
        <f ca="1">'Get Started  2'!$E122*BA255</f>
        <v>0</v>
      </c>
      <c r="BB36" s="29">
        <f ca="1">'Get Started  2'!$E122*BB255</f>
        <v>0</v>
      </c>
      <c r="BC36" s="29">
        <f ca="1">'Get Started  2'!$E122*BC255</f>
        <v>0</v>
      </c>
      <c r="BD36" s="29">
        <f ca="1">'Get Started  2'!$E122*BD255</f>
        <v>0</v>
      </c>
      <c r="BE36" s="29">
        <f ca="1">'Get Started  2'!$E122*BE255</f>
        <v>0</v>
      </c>
      <c r="BF36" s="29">
        <f ca="1">'Get Started  2'!$E122*BF255</f>
        <v>0</v>
      </c>
      <c r="BG36" s="29">
        <f ca="1">'Get Started  2'!$E122*BG255</f>
        <v>0</v>
      </c>
      <c r="BH36" s="29">
        <f ca="1">'Get Started  2'!$E122*BH255</f>
        <v>0</v>
      </c>
      <c r="BI36" s="29">
        <f ca="1">'Get Started  2'!$E122*BI255</f>
        <v>0</v>
      </c>
      <c r="BJ36" s="29">
        <f ca="1">'Get Started  2'!$E122*BJ255</f>
        <v>0</v>
      </c>
      <c r="BK36" s="29">
        <f ca="1">'Get Started  2'!$E122*BK255</f>
        <v>0</v>
      </c>
      <c r="BL36" s="29">
        <f ca="1">'Get Started  2'!$E122*BL255</f>
        <v>0</v>
      </c>
      <c r="BM36" s="29">
        <f ca="1">'Get Started  2'!$E122*BM255</f>
        <v>0</v>
      </c>
      <c r="BN36" s="29">
        <f ca="1">'Get Started  2'!$E122*BN255</f>
        <v>0</v>
      </c>
      <c r="BO36" s="29">
        <f ca="1">'Get Started  2'!$E122*BO255</f>
        <v>0</v>
      </c>
      <c r="BP36" s="29">
        <f ca="1">'Get Started  2'!$E122*BP255</f>
        <v>0</v>
      </c>
      <c r="BQ36" s="29">
        <f ca="1">'Get Started  2'!$E122*BQ255</f>
        <v>0</v>
      </c>
      <c r="BR36" s="29">
        <f ca="1">'Get Started  2'!$E122*BR255</f>
        <v>0</v>
      </c>
      <c r="BS36" s="29">
        <f ca="1">'Get Started  2'!$E122*BS255</f>
        <v>0</v>
      </c>
      <c r="BT36" s="29">
        <f ca="1">'Get Started  2'!$E122*BT255</f>
        <v>0</v>
      </c>
      <c r="BU36" s="29">
        <f ca="1">'Get Started  2'!$E122*BU255</f>
        <v>0</v>
      </c>
      <c r="BV36" s="29">
        <f ca="1">'Get Started  2'!$E122*BV255</f>
        <v>0</v>
      </c>
      <c r="BW36" s="29">
        <f ca="1">'Get Started  2'!$E122*BW255</f>
        <v>0</v>
      </c>
      <c r="BX36" s="29">
        <f ca="1">'Get Started  2'!$E122*BX255</f>
        <v>0</v>
      </c>
      <c r="BY36" s="29">
        <f ca="1">'Get Started  2'!$E122*BY255</f>
        <v>0</v>
      </c>
      <c r="BZ36" s="29">
        <f ca="1">'Get Started  2'!$E122*BZ255</f>
        <v>0</v>
      </c>
      <c r="CA36" s="29">
        <f ca="1">'Get Started  2'!$E122*CA255</f>
        <v>0</v>
      </c>
      <c r="CB36" s="29">
        <f ca="1">'Get Started  2'!$E122*CB255</f>
        <v>0</v>
      </c>
      <c r="CC36" s="29">
        <f ca="1">'Get Started  2'!$E122*CC255</f>
        <v>0</v>
      </c>
      <c r="CD36" s="29">
        <f ca="1">'Get Started  2'!$E122*CD255</f>
        <v>0</v>
      </c>
      <c r="CE36" s="29">
        <f ca="1">'Get Started  2'!$E122*CE255</f>
        <v>0</v>
      </c>
      <c r="CF36" s="29">
        <f ca="1">'Get Started  2'!$E122*CF255</f>
        <v>0</v>
      </c>
      <c r="CG36" s="29">
        <f ca="1">'Get Started  2'!$E122*CG255</f>
        <v>0</v>
      </c>
      <c r="CH36" s="29">
        <f ca="1">'Get Started  2'!$E122*CH255</f>
        <v>0</v>
      </c>
    </row>
    <row r="37" spans="1:86" ht="13">
      <c r="B37" s="15" t="s">
        <v>265</v>
      </c>
      <c r="D37" s="15" t="s">
        <v>238</v>
      </c>
      <c r="E37" s="29">
        <f t="shared" ca="1" si="13"/>
        <v>20292708.333333332</v>
      </c>
      <c r="F37" s="29"/>
      <c r="G37" s="29">
        <f ca="1">G33*'Get Started  2'!$F100/'Get Started  2'!$E100+G33+G32</f>
        <v>1203125</v>
      </c>
      <c r="H37" s="29">
        <f ca="1">H33*'Get Started  2'!$F100/'Get Started  2'!$E100+H33+H32</f>
        <v>1203125</v>
      </c>
      <c r="I37" s="29">
        <f ca="1">I33*'Get Started  2'!$F100/'Get Started  2'!$E100+I33+I32</f>
        <v>1203125</v>
      </c>
      <c r="J37" s="29">
        <f ca="1">J33*'Get Started  2'!$F100/'Get Started  2'!$E100+J33+J32</f>
        <v>1203125</v>
      </c>
      <c r="K37" s="29">
        <f ca="1">K33*'Get Started  2'!$F100/'Get Started  2'!$E100+K33+K32</f>
        <v>1203125</v>
      </c>
      <c r="L37" s="29">
        <f ca="1">L33*'Get Started  2'!$F100/'Get Started  2'!$E100+L33+L32</f>
        <v>1203125</v>
      </c>
      <c r="M37" s="29">
        <f ca="1">M33*'Get Started  2'!$F100/'Get Started  2'!$E100+M33+M32</f>
        <v>1203125</v>
      </c>
      <c r="N37" s="29">
        <f ca="1">N33*'Get Started  2'!$F100/'Get Started  2'!$E100+N33+N32</f>
        <v>1203125</v>
      </c>
      <c r="O37" s="29">
        <f ca="1">O33*'Get Started  2'!$F100/'Get Started  2'!$E100+O33+O32</f>
        <v>1203125</v>
      </c>
      <c r="P37" s="29">
        <f ca="1">P33*'Get Started  2'!$F100/'Get Started  2'!$E100+P33+P32</f>
        <v>1203125</v>
      </c>
      <c r="Q37" s="29">
        <f ca="1">Q33*'Get Started  2'!$F100/'Get Started  2'!$E100+Q33+Q32</f>
        <v>1203125</v>
      </c>
      <c r="R37" s="29">
        <f ca="1">R33*'Get Started  2'!$F100/'Get Started  2'!$E100+R33+R32</f>
        <v>1203125</v>
      </c>
      <c r="S37" s="29">
        <f ca="1">S33*'Get Started  2'!$F100/'Get Started  2'!$E100+S33+S32</f>
        <v>1463802.0833333333</v>
      </c>
      <c r="T37" s="29">
        <f ca="1">T33*'Get Started  2'!$F100/'Get Started  2'!$E100+T33+T32</f>
        <v>1463802.0833333333</v>
      </c>
      <c r="U37" s="29">
        <f ca="1">U33*'Get Started  2'!$F100/'Get Started  2'!$E100+U33+U32</f>
        <v>1463802.0833333333</v>
      </c>
      <c r="V37" s="29">
        <f ca="1">V33*'Get Started  2'!$F100/'Get Started  2'!$E100+V33+V32</f>
        <v>1463802.0833333333</v>
      </c>
      <c r="W37" s="29">
        <f>W33*'Get Started  2'!$F100/'Get Started  2'!$E100+W33+W32</f>
        <v>0</v>
      </c>
      <c r="X37" s="29">
        <f>X33*'Get Started  2'!$F100/'Get Started  2'!$E100+X33+X32</f>
        <v>0</v>
      </c>
      <c r="Y37" s="29">
        <f>Y33*'Get Started  2'!$F100/'Get Started  2'!$E100+Y33+Y32</f>
        <v>0</v>
      </c>
      <c r="Z37" s="29">
        <f>Z33*'Get Started  2'!$F100/'Get Started  2'!$E100+Z33+Z32</f>
        <v>0</v>
      </c>
      <c r="AA37" s="29">
        <f>AA33*'Get Started  2'!$F100/'Get Started  2'!$E100+AA33+AA32</f>
        <v>0</v>
      </c>
      <c r="AB37" s="29">
        <f>AB33*'Get Started  2'!$F100/'Get Started  2'!$E100+AB33+AB32</f>
        <v>0</v>
      </c>
      <c r="AC37" s="29">
        <f>AC33*'Get Started  2'!$F100/'Get Started  2'!$E100+AC33+AC32</f>
        <v>0</v>
      </c>
      <c r="AD37" s="29">
        <f>AD33*'Get Started  2'!$F100/'Get Started  2'!$E100+AD33+AD32</f>
        <v>0</v>
      </c>
      <c r="AE37" s="29">
        <f>AE33*'Get Started  2'!$F100/'Get Started  2'!$E100+AE33+AE32</f>
        <v>0</v>
      </c>
      <c r="AF37" s="29">
        <f>AF33*'Get Started  2'!$F100/'Get Started  2'!$E100+AF33+AF32</f>
        <v>0</v>
      </c>
      <c r="AG37" s="29">
        <f>AG33*'Get Started  2'!$F100/'Get Started  2'!$E100+AG33+AG32</f>
        <v>0</v>
      </c>
      <c r="AH37" s="29">
        <f>AH33*'Get Started  2'!$F100/'Get Started  2'!$E100+AH33+AH32</f>
        <v>0</v>
      </c>
      <c r="AI37" s="29">
        <f>AI33*'Get Started  2'!$F100/'Get Started  2'!$E100+AI33+AI32</f>
        <v>0</v>
      </c>
      <c r="AJ37" s="29">
        <f>AJ33*'Get Started  2'!$F100/'Get Started  2'!$E100+AJ33+AJ32</f>
        <v>0</v>
      </c>
      <c r="AK37" s="29">
        <f>AK33*'Get Started  2'!$F100/'Get Started  2'!$E100+AK33+AK32</f>
        <v>0</v>
      </c>
      <c r="AL37" s="29">
        <f>AL33*'Get Started  2'!$F100/'Get Started  2'!$E100+AL33+AL32</f>
        <v>0</v>
      </c>
      <c r="AM37" s="29">
        <f>AM33*'Get Started  2'!$F100/'Get Started  2'!$E100+AM33+AM32</f>
        <v>0</v>
      </c>
      <c r="AN37" s="29">
        <f>AN33*'Get Started  2'!$F100/'Get Started  2'!$E100+AN33+AN32</f>
        <v>0</v>
      </c>
      <c r="AO37" s="29">
        <f>AO33*'Get Started  2'!$F100/'Get Started  2'!$E100+AO33+AO32</f>
        <v>0</v>
      </c>
      <c r="AP37" s="29">
        <f>AP33*'Get Started  2'!$F100/'Get Started  2'!$E100+AP33+AP32</f>
        <v>0</v>
      </c>
      <c r="AQ37" s="29">
        <f>AQ33*'Get Started  2'!$F100/'Get Started  2'!$E100+AQ33+AQ32</f>
        <v>0</v>
      </c>
      <c r="AR37" s="29">
        <f>AR33*'Get Started  2'!$F100/'Get Started  2'!$E100+AR33+AR32</f>
        <v>0</v>
      </c>
      <c r="AS37" s="29">
        <f>AS33*'Get Started  2'!$F100/'Get Started  2'!$E100+AS33+AS32</f>
        <v>0</v>
      </c>
      <c r="AT37" s="29">
        <f>AT33*'Get Started  2'!$F100/'Get Started  2'!$E100+AT33+AT32</f>
        <v>0</v>
      </c>
      <c r="AU37" s="29">
        <f>AU33*'Get Started  2'!$F100/'Get Started  2'!$E100+AU33+AU32</f>
        <v>0</v>
      </c>
      <c r="AV37" s="29">
        <f>AV33*'Get Started  2'!$F100/'Get Started  2'!$E100+AV33+AV32</f>
        <v>0</v>
      </c>
      <c r="AW37" s="29">
        <f>AW33*'Get Started  2'!$F100/'Get Started  2'!$E100+AW33+AW32</f>
        <v>0</v>
      </c>
      <c r="AX37" s="29">
        <f>AX33*'Get Started  2'!$F100/'Get Started  2'!$E100+AX33+AX32</f>
        <v>0</v>
      </c>
      <c r="AY37" s="29">
        <f>AY33*'Get Started  2'!$F100/'Get Started  2'!$E100+AY33+AY32</f>
        <v>0</v>
      </c>
      <c r="AZ37" s="29">
        <f>AZ33*'Get Started  2'!$F100/'Get Started  2'!$E100+AZ33+AZ32</f>
        <v>0</v>
      </c>
      <c r="BA37" s="29">
        <f>BA33*'Get Started  2'!$F100/'Get Started  2'!$E100+BA33+BA32</f>
        <v>0</v>
      </c>
      <c r="BB37" s="29">
        <f>BB33*'Get Started  2'!$F100/'Get Started  2'!$E100+BB33+BB32</f>
        <v>0</v>
      </c>
      <c r="BC37" s="29">
        <f>BC33*'Get Started  2'!$F100/'Get Started  2'!$E100+BC33+BC32</f>
        <v>0</v>
      </c>
      <c r="BD37" s="29">
        <f>BD33*'Get Started  2'!$F100/'Get Started  2'!$E100+BD33+BD32</f>
        <v>0</v>
      </c>
      <c r="BE37" s="29">
        <f>BE33*'Get Started  2'!$F100/'Get Started  2'!$E100+BE33+BE32</f>
        <v>0</v>
      </c>
      <c r="BF37" s="29">
        <f>BF33*'Get Started  2'!$F100/'Get Started  2'!$E100+BF33+BF32</f>
        <v>0</v>
      </c>
      <c r="BG37" s="29">
        <f>BG33*'Get Started  2'!$F100/'Get Started  2'!$E100+BG33+BG32</f>
        <v>0</v>
      </c>
      <c r="BH37" s="29">
        <f>BH33*'Get Started  2'!$F100/'Get Started  2'!$E100+BH33+BH32</f>
        <v>0</v>
      </c>
      <c r="BI37" s="29">
        <f>BI33*'Get Started  2'!$F100/'Get Started  2'!$E100+BI33+BI32</f>
        <v>0</v>
      </c>
      <c r="BJ37" s="29">
        <f>BJ33*'Get Started  2'!$F100/'Get Started  2'!$E100+BJ33+BJ32</f>
        <v>0</v>
      </c>
      <c r="BK37" s="29">
        <f>BK33*'Get Started  2'!$F100/'Get Started  2'!$E100+BK33+BK32</f>
        <v>0</v>
      </c>
      <c r="BL37" s="29">
        <f>BL33*'Get Started  2'!$F100/'Get Started  2'!$E100+BL33+BL32</f>
        <v>0</v>
      </c>
      <c r="BM37" s="29">
        <f>BM33*'Get Started  2'!$F100/'Get Started  2'!$E100+BM33+BM32</f>
        <v>0</v>
      </c>
      <c r="BN37" s="29">
        <f>BN33*'Get Started  2'!$F100/'Get Started  2'!$E100+BN33+BN32</f>
        <v>0</v>
      </c>
      <c r="BO37" s="29">
        <f>BO33*'Get Started  2'!$F100/'Get Started  2'!$E100+BO33+BO32</f>
        <v>0</v>
      </c>
      <c r="BP37" s="29">
        <f>BP33*'Get Started  2'!$F100/'Get Started  2'!$E100+BP33+BP32</f>
        <v>0</v>
      </c>
      <c r="BQ37" s="29">
        <f>BQ33*'Get Started  2'!$F100/'Get Started  2'!$E100+BQ33+BQ32</f>
        <v>0</v>
      </c>
      <c r="BR37" s="29">
        <f>BR33*'Get Started  2'!$F100/'Get Started  2'!$E100+BR33+BR32</f>
        <v>0</v>
      </c>
      <c r="BS37" s="29">
        <f>BS33*'Get Started  2'!$F100/'Get Started  2'!$E100+BS33+BS32</f>
        <v>0</v>
      </c>
      <c r="BT37" s="29">
        <f>BT33*'Get Started  2'!$F100/'Get Started  2'!$E100+BT33+BT32</f>
        <v>0</v>
      </c>
      <c r="BU37" s="29">
        <f>BU33*'Get Started  2'!$F100/'Get Started  2'!$E100+BU33+BU32</f>
        <v>0</v>
      </c>
      <c r="BV37" s="29">
        <f>BV33*'Get Started  2'!$F100/'Get Started  2'!$E100+BV33+BV32</f>
        <v>0</v>
      </c>
      <c r="BW37" s="29">
        <f>BW33*'Get Started  2'!$F100/'Get Started  2'!$E100+BW33+BW32</f>
        <v>0</v>
      </c>
      <c r="BX37" s="29">
        <f>BX33*'Get Started  2'!$F100/'Get Started  2'!$E100+BX33+BX32</f>
        <v>0</v>
      </c>
      <c r="BY37" s="29">
        <f>BY33*'Get Started  2'!$F100/'Get Started  2'!$E100+BY33+BY32</f>
        <v>0</v>
      </c>
      <c r="BZ37" s="29">
        <f>BZ33*'Get Started  2'!$F100/'Get Started  2'!$E100+BZ33+BZ32</f>
        <v>0</v>
      </c>
      <c r="CA37" s="29">
        <f>CA33*'Get Started  2'!$F100/'Get Started  2'!$E100+CA33+CA32</f>
        <v>0</v>
      </c>
      <c r="CB37" s="29">
        <f>CB33*'Get Started  2'!$F100/'Get Started  2'!$E100+CB33+CB32</f>
        <v>0</v>
      </c>
      <c r="CC37" s="29">
        <f>CC33*'Get Started  2'!$F100/'Get Started  2'!$E100+CC33+CC32</f>
        <v>0</v>
      </c>
      <c r="CD37" s="29">
        <f>CD33*'Get Started  2'!$F100/'Get Started  2'!$E100+CD33+CD32</f>
        <v>0</v>
      </c>
      <c r="CE37" s="29">
        <f>CE33*'Get Started  2'!$F100/'Get Started  2'!$E100+CE33+CE32</f>
        <v>0</v>
      </c>
      <c r="CF37" s="29">
        <f>CF33*'Get Started  2'!$F100/'Get Started  2'!$E100+CF33+CF32</f>
        <v>0</v>
      </c>
      <c r="CG37" s="29">
        <f>CG33*'Get Started  2'!$F100/'Get Started  2'!$E100+CG33+CG32</f>
        <v>0</v>
      </c>
      <c r="CH37" s="29">
        <f>CH33*'Get Started  2'!$F100/'Get Started  2'!$E100+CH33+CH32</f>
        <v>0</v>
      </c>
    </row>
    <row r="38" spans="1:86" ht="13">
      <c r="B38" s="15" t="s">
        <v>266</v>
      </c>
      <c r="D38" s="15" t="s">
        <v>238</v>
      </c>
      <c r="E38" s="29">
        <f t="shared" ca="1" si="13"/>
        <v>20292708.333333332</v>
      </c>
      <c r="F38" s="29"/>
      <c r="G38" s="29">
        <f t="shared" ref="G38:CH38" ca="1" si="15">SUM(G33,G36,G32)</f>
        <v>1203125</v>
      </c>
      <c r="H38" s="29">
        <f t="shared" ca="1" si="15"/>
        <v>1203125</v>
      </c>
      <c r="I38" s="29">
        <f t="shared" ca="1" si="15"/>
        <v>1203125</v>
      </c>
      <c r="J38" s="29">
        <f t="shared" ca="1" si="15"/>
        <v>1203125</v>
      </c>
      <c r="K38" s="29">
        <f t="shared" ca="1" si="15"/>
        <v>1203125</v>
      </c>
      <c r="L38" s="29">
        <f t="shared" ca="1" si="15"/>
        <v>1203125</v>
      </c>
      <c r="M38" s="29">
        <f t="shared" ca="1" si="15"/>
        <v>1203125</v>
      </c>
      <c r="N38" s="29">
        <f t="shared" ca="1" si="15"/>
        <v>1203125</v>
      </c>
      <c r="O38" s="29">
        <f t="shared" ca="1" si="15"/>
        <v>1203125</v>
      </c>
      <c r="P38" s="29">
        <f t="shared" ca="1" si="15"/>
        <v>1203125</v>
      </c>
      <c r="Q38" s="29">
        <f t="shared" ca="1" si="15"/>
        <v>1203125</v>
      </c>
      <c r="R38" s="29">
        <f t="shared" ca="1" si="15"/>
        <v>1203125</v>
      </c>
      <c r="S38" s="29">
        <f t="shared" ca="1" si="15"/>
        <v>1463802.0833333333</v>
      </c>
      <c r="T38" s="29">
        <f t="shared" ca="1" si="15"/>
        <v>1463802.0833333333</v>
      </c>
      <c r="U38" s="29">
        <f t="shared" ca="1" si="15"/>
        <v>1463802.0833333333</v>
      </c>
      <c r="V38" s="29">
        <f t="shared" ca="1" si="15"/>
        <v>1463802.0833333333</v>
      </c>
      <c r="W38" s="29">
        <f t="shared" ca="1" si="15"/>
        <v>0</v>
      </c>
      <c r="X38" s="29">
        <f t="shared" ca="1" si="15"/>
        <v>0</v>
      </c>
      <c r="Y38" s="29">
        <f t="shared" ca="1" si="15"/>
        <v>0</v>
      </c>
      <c r="Z38" s="29">
        <f t="shared" ca="1" si="15"/>
        <v>0</v>
      </c>
      <c r="AA38" s="29">
        <f t="shared" ca="1" si="15"/>
        <v>0</v>
      </c>
      <c r="AB38" s="29">
        <f t="shared" ca="1" si="15"/>
        <v>0</v>
      </c>
      <c r="AC38" s="29">
        <f t="shared" ca="1" si="15"/>
        <v>0</v>
      </c>
      <c r="AD38" s="29">
        <f t="shared" ca="1" si="15"/>
        <v>0</v>
      </c>
      <c r="AE38" s="29">
        <f t="shared" ca="1" si="15"/>
        <v>0</v>
      </c>
      <c r="AF38" s="29">
        <f t="shared" ca="1" si="15"/>
        <v>0</v>
      </c>
      <c r="AG38" s="29">
        <f t="shared" ca="1" si="15"/>
        <v>0</v>
      </c>
      <c r="AH38" s="29">
        <f t="shared" ca="1" si="15"/>
        <v>0</v>
      </c>
      <c r="AI38" s="29">
        <f t="shared" ca="1" si="15"/>
        <v>0</v>
      </c>
      <c r="AJ38" s="29">
        <f t="shared" ca="1" si="15"/>
        <v>0</v>
      </c>
      <c r="AK38" s="29">
        <f t="shared" ca="1" si="15"/>
        <v>0</v>
      </c>
      <c r="AL38" s="29">
        <f t="shared" ca="1" si="15"/>
        <v>0</v>
      </c>
      <c r="AM38" s="29">
        <f t="shared" ca="1" si="15"/>
        <v>0</v>
      </c>
      <c r="AN38" s="29">
        <f t="shared" ca="1" si="15"/>
        <v>0</v>
      </c>
      <c r="AO38" s="29">
        <f t="shared" ca="1" si="15"/>
        <v>0</v>
      </c>
      <c r="AP38" s="29">
        <f t="shared" ca="1" si="15"/>
        <v>0</v>
      </c>
      <c r="AQ38" s="29">
        <f t="shared" ca="1" si="15"/>
        <v>0</v>
      </c>
      <c r="AR38" s="29">
        <f t="shared" ca="1" si="15"/>
        <v>0</v>
      </c>
      <c r="AS38" s="29">
        <f t="shared" ca="1" si="15"/>
        <v>0</v>
      </c>
      <c r="AT38" s="29">
        <f t="shared" ca="1" si="15"/>
        <v>0</v>
      </c>
      <c r="AU38" s="29">
        <f t="shared" ca="1" si="15"/>
        <v>0</v>
      </c>
      <c r="AV38" s="29">
        <f t="shared" ca="1" si="15"/>
        <v>0</v>
      </c>
      <c r="AW38" s="29">
        <f t="shared" ca="1" si="15"/>
        <v>0</v>
      </c>
      <c r="AX38" s="29">
        <f t="shared" ca="1" si="15"/>
        <v>0</v>
      </c>
      <c r="AY38" s="29">
        <f t="shared" ca="1" si="15"/>
        <v>0</v>
      </c>
      <c r="AZ38" s="29">
        <f t="shared" ca="1" si="15"/>
        <v>0</v>
      </c>
      <c r="BA38" s="29">
        <f t="shared" ca="1" si="15"/>
        <v>0</v>
      </c>
      <c r="BB38" s="29">
        <f t="shared" ca="1" si="15"/>
        <v>0</v>
      </c>
      <c r="BC38" s="29">
        <f t="shared" ca="1" si="15"/>
        <v>0</v>
      </c>
      <c r="BD38" s="29">
        <f t="shared" ca="1" si="15"/>
        <v>0</v>
      </c>
      <c r="BE38" s="29">
        <f t="shared" ca="1" si="15"/>
        <v>0</v>
      </c>
      <c r="BF38" s="29">
        <f t="shared" ca="1" si="15"/>
        <v>0</v>
      </c>
      <c r="BG38" s="29">
        <f t="shared" ca="1" si="15"/>
        <v>0</v>
      </c>
      <c r="BH38" s="29">
        <f t="shared" ca="1" si="15"/>
        <v>0</v>
      </c>
      <c r="BI38" s="29">
        <f t="shared" ca="1" si="15"/>
        <v>0</v>
      </c>
      <c r="BJ38" s="29">
        <f t="shared" ca="1" si="15"/>
        <v>0</v>
      </c>
      <c r="BK38" s="29">
        <f t="shared" ca="1" si="15"/>
        <v>0</v>
      </c>
      <c r="BL38" s="29">
        <f t="shared" ca="1" si="15"/>
        <v>0</v>
      </c>
      <c r="BM38" s="29">
        <f t="shared" ca="1" si="15"/>
        <v>0</v>
      </c>
      <c r="BN38" s="29">
        <f t="shared" ca="1" si="15"/>
        <v>0</v>
      </c>
      <c r="BO38" s="29">
        <f t="shared" ca="1" si="15"/>
        <v>0</v>
      </c>
      <c r="BP38" s="29">
        <f t="shared" ca="1" si="15"/>
        <v>0</v>
      </c>
      <c r="BQ38" s="29">
        <f t="shared" ca="1" si="15"/>
        <v>0</v>
      </c>
      <c r="BR38" s="29">
        <f t="shared" ca="1" si="15"/>
        <v>0</v>
      </c>
      <c r="BS38" s="29">
        <f t="shared" ca="1" si="15"/>
        <v>0</v>
      </c>
      <c r="BT38" s="29">
        <f t="shared" ca="1" si="15"/>
        <v>0</v>
      </c>
      <c r="BU38" s="29">
        <f t="shared" ca="1" si="15"/>
        <v>0</v>
      </c>
      <c r="BV38" s="29">
        <f t="shared" ca="1" si="15"/>
        <v>0</v>
      </c>
      <c r="BW38" s="29">
        <f t="shared" ca="1" si="15"/>
        <v>0</v>
      </c>
      <c r="BX38" s="29">
        <f t="shared" ca="1" si="15"/>
        <v>0</v>
      </c>
      <c r="BY38" s="29">
        <f t="shared" ca="1" si="15"/>
        <v>0</v>
      </c>
      <c r="BZ38" s="29">
        <f t="shared" ca="1" si="15"/>
        <v>0</v>
      </c>
      <c r="CA38" s="29">
        <f t="shared" ca="1" si="15"/>
        <v>0</v>
      </c>
      <c r="CB38" s="29">
        <f t="shared" ca="1" si="15"/>
        <v>0</v>
      </c>
      <c r="CC38" s="29">
        <f t="shared" ca="1" si="15"/>
        <v>0</v>
      </c>
      <c r="CD38" s="29">
        <f t="shared" ca="1" si="15"/>
        <v>0</v>
      </c>
      <c r="CE38" s="29">
        <f t="shared" ca="1" si="15"/>
        <v>0</v>
      </c>
      <c r="CF38" s="29">
        <f t="shared" ca="1" si="15"/>
        <v>0</v>
      </c>
      <c r="CG38" s="29">
        <f t="shared" ca="1" si="15"/>
        <v>0</v>
      </c>
      <c r="CH38" s="29">
        <f t="shared" ca="1" si="15"/>
        <v>0</v>
      </c>
    </row>
    <row r="39" spans="1:86" ht="13">
      <c r="B39" s="15" t="s">
        <v>267</v>
      </c>
      <c r="D39" s="15" t="s">
        <v>238</v>
      </c>
      <c r="E39" s="29">
        <f t="shared" si="13"/>
        <v>100000</v>
      </c>
      <c r="F39" s="29"/>
      <c r="G39" s="29">
        <f>IF(G4=1,'Get Started  2'!$E11,0)</f>
        <v>100000</v>
      </c>
      <c r="H39" s="29">
        <f>IF(H4=1,'Get Started  2'!$E11,0)</f>
        <v>0</v>
      </c>
      <c r="I39" s="29">
        <f>IF(I4=1,'Get Started  2'!$E11,0)</f>
        <v>0</v>
      </c>
      <c r="J39" s="29">
        <f>IF(J4=1,'Get Started  2'!$E11,0)</f>
        <v>0</v>
      </c>
      <c r="K39" s="29">
        <f>IF(K4=1,'Get Started  2'!$E11,0)</f>
        <v>0</v>
      </c>
      <c r="L39" s="29">
        <f>IF(L4=1,'Get Started  2'!$E11,0)</f>
        <v>0</v>
      </c>
      <c r="M39" s="29">
        <f>IF(M4=1,'Get Started  2'!$E11,0)</f>
        <v>0</v>
      </c>
      <c r="N39" s="29">
        <f>IF(N4=1,'Get Started  2'!$E11,0)</f>
        <v>0</v>
      </c>
      <c r="O39" s="29">
        <f>IF(O4=1,'Get Started  2'!$E11,0)</f>
        <v>0</v>
      </c>
      <c r="P39" s="29">
        <f>IF(P4=1,'Get Started  2'!$E11,0)</f>
        <v>0</v>
      </c>
      <c r="Q39" s="29">
        <f>IF(Q4=1,'Get Started  2'!$E11,0)</f>
        <v>0</v>
      </c>
      <c r="R39" s="29">
        <f>IF(R4=1,'Get Started  2'!$E11,0)</f>
        <v>0</v>
      </c>
      <c r="S39" s="29">
        <f>IF(S4=1,'Get Started  2'!$E11,0)</f>
        <v>0</v>
      </c>
      <c r="T39" s="29">
        <f>IF(T4=1,'Get Started  2'!$E11,0)</f>
        <v>0</v>
      </c>
      <c r="U39" s="29">
        <f>IF(U4=1,'Get Started  2'!$E11,0)</f>
        <v>0</v>
      </c>
      <c r="V39" s="29">
        <f>IF(V4=1,'Get Started  2'!$E11,0)</f>
        <v>0</v>
      </c>
      <c r="W39" s="29">
        <f>IF(W4=1,'Get Started  2'!$E11,0)</f>
        <v>0</v>
      </c>
      <c r="X39" s="29">
        <f>IF(X4=1,'Get Started  2'!$E11,0)</f>
        <v>0</v>
      </c>
      <c r="Y39" s="29">
        <f>IF(Y4=1,'Get Started  2'!$E11,0)</f>
        <v>0</v>
      </c>
      <c r="Z39" s="29">
        <f>IF(Z4=1,'Get Started  2'!$E11,0)</f>
        <v>0</v>
      </c>
      <c r="AA39" s="29">
        <f>IF(AA4=1,'Get Started  2'!$E11,0)</f>
        <v>0</v>
      </c>
      <c r="AB39" s="29">
        <f>IF(AB4=1,'Get Started  2'!$E11,0)</f>
        <v>0</v>
      </c>
      <c r="AC39" s="29">
        <f>IF(AC4=1,'Get Started  2'!$E11,0)</f>
        <v>0</v>
      </c>
      <c r="AD39" s="29">
        <f>IF(AD4=1,'Get Started  2'!$E11,0)</f>
        <v>0</v>
      </c>
      <c r="AE39" s="29">
        <f>IF(AE4=1,'Get Started  2'!$E11,0)</f>
        <v>0</v>
      </c>
      <c r="AF39" s="29">
        <f>IF(AF4=1,'Get Started  2'!$E11,0)</f>
        <v>0</v>
      </c>
      <c r="AG39" s="29">
        <f>IF(AG4=1,'Get Started  2'!$E11,0)</f>
        <v>0</v>
      </c>
      <c r="AH39" s="29">
        <f>IF(AH4=1,'Get Started  2'!$E11,0)</f>
        <v>0</v>
      </c>
      <c r="AI39" s="29">
        <f>IF(AI4=1,'Get Started  2'!$E11,0)</f>
        <v>0</v>
      </c>
      <c r="AJ39" s="29">
        <f>IF(AJ4=1,'Get Started  2'!$E11,0)</f>
        <v>0</v>
      </c>
      <c r="AK39" s="29">
        <f>IF(AK4=1,'Get Started  2'!$E11,0)</f>
        <v>0</v>
      </c>
      <c r="AL39" s="29">
        <f>IF(AL4=1,'Get Started  2'!$E11,0)</f>
        <v>0</v>
      </c>
      <c r="AM39" s="29">
        <f>IF(AM4=1,'Get Started  2'!$E11,0)</f>
        <v>0</v>
      </c>
      <c r="AN39" s="29">
        <f>IF(AN4=1,'Get Started  2'!$E11,0)</f>
        <v>0</v>
      </c>
      <c r="AO39" s="29">
        <f>IF(AO4=1,'Get Started  2'!$E11,0)</f>
        <v>0</v>
      </c>
      <c r="AP39" s="29">
        <f>IF(AP4=1,'Get Started  2'!$E11,0)</f>
        <v>0</v>
      </c>
      <c r="AQ39" s="29">
        <f>IF(AQ4=1,'Get Started  2'!$E11,0)</f>
        <v>0</v>
      </c>
      <c r="AR39" s="29">
        <f>IF(AR4=1,'Get Started  2'!$E11,0)</f>
        <v>0</v>
      </c>
      <c r="AS39" s="29">
        <f>IF(AS4=1,'Get Started  2'!$E11,0)</f>
        <v>0</v>
      </c>
      <c r="AT39" s="29">
        <f>IF(AT4=1,'Get Started  2'!$E11,0)</f>
        <v>0</v>
      </c>
      <c r="AU39" s="29">
        <f>IF(AU4=1,'Get Started  2'!$E11,0)</f>
        <v>0</v>
      </c>
      <c r="AV39" s="29">
        <f>IF(AV4=1,'Get Started  2'!$E11,0)</f>
        <v>0</v>
      </c>
      <c r="AW39" s="29">
        <f>IF(AW4=1,'Get Started  2'!$E11,0)</f>
        <v>0</v>
      </c>
      <c r="AX39" s="29">
        <f>IF(AX4=1,'Get Started  2'!$E11,0)</f>
        <v>0</v>
      </c>
      <c r="AY39" s="29">
        <f>IF(AY4=1,'Get Started  2'!$E11,0)</f>
        <v>0</v>
      </c>
      <c r="AZ39" s="29">
        <f>IF(AZ4=1,'Get Started  2'!$E11,0)</f>
        <v>0</v>
      </c>
      <c r="BA39" s="29">
        <f>IF(BA4=1,'Get Started  2'!$E11,0)</f>
        <v>0</v>
      </c>
      <c r="BB39" s="29">
        <f>IF(BB4=1,'Get Started  2'!$E11,0)</f>
        <v>0</v>
      </c>
      <c r="BC39" s="29">
        <f>IF(BC4=1,'Get Started  2'!$E11,0)</f>
        <v>0</v>
      </c>
      <c r="BD39" s="29">
        <f>IF(BD4=1,'Get Started  2'!$E11,0)</f>
        <v>0</v>
      </c>
      <c r="BE39" s="29">
        <f>IF(BE4=1,'Get Started  2'!$E11,0)</f>
        <v>0</v>
      </c>
      <c r="BF39" s="29">
        <f>IF(BF4=1,'Get Started  2'!$E11,0)</f>
        <v>0</v>
      </c>
      <c r="BG39" s="29">
        <f>IF(BG4=1,'Get Started  2'!$E11,0)</f>
        <v>0</v>
      </c>
      <c r="BH39" s="29">
        <f>IF(BH4=1,'Get Started  2'!$E11,0)</f>
        <v>0</v>
      </c>
      <c r="BI39" s="29">
        <f>IF(BI4=1,'Get Started  2'!$E11,0)</f>
        <v>0</v>
      </c>
      <c r="BJ39" s="29">
        <f>IF(BJ4=1,'Get Started  2'!$E11,0)</f>
        <v>0</v>
      </c>
      <c r="BK39" s="29">
        <f>IF(BK4=1,'Get Started  2'!$E11,0)</f>
        <v>0</v>
      </c>
      <c r="BL39" s="29">
        <f>IF(BL4=1,'Get Started  2'!$E11,0)</f>
        <v>0</v>
      </c>
      <c r="BM39" s="29">
        <f>IF(BM4=1,'Get Started  2'!$E11,0)</f>
        <v>0</v>
      </c>
      <c r="BN39" s="29">
        <f>IF(BN4=1,'Get Started  2'!$E11,0)</f>
        <v>0</v>
      </c>
      <c r="BO39" s="29">
        <f>IF(BO4=1,'Get Started  2'!$E11,0)</f>
        <v>0</v>
      </c>
      <c r="BP39" s="29">
        <f>IF(BP4=1,'Get Started  2'!$E11,0)</f>
        <v>0</v>
      </c>
      <c r="BQ39" s="29">
        <f>IF(BQ4=1,'Get Started  2'!$E11,0)</f>
        <v>0</v>
      </c>
      <c r="BR39" s="29">
        <f>IF(BR4=1,'Get Started  2'!$E11,0)</f>
        <v>0</v>
      </c>
      <c r="BS39" s="29">
        <f>IF(BS4=1,'Get Started  2'!$E11,0)</f>
        <v>0</v>
      </c>
      <c r="BT39" s="29">
        <f>IF(BT4=1,'Get Started  2'!$E11,0)</f>
        <v>0</v>
      </c>
      <c r="BU39" s="29">
        <f>IF(BU4=1,'Get Started  2'!$E11,0)</f>
        <v>0</v>
      </c>
      <c r="BV39" s="29">
        <f>IF(BV4=1,'Get Started  2'!$E11,0)</f>
        <v>0</v>
      </c>
      <c r="BW39" s="29">
        <f>IF(BW4=1,'Get Started  2'!$E11,0)</f>
        <v>0</v>
      </c>
      <c r="BX39" s="29">
        <f>IF(BX4=1,'Get Started  2'!$E11,0)</f>
        <v>0</v>
      </c>
      <c r="BY39" s="29">
        <f>IF(BY4=1,'Get Started  2'!$E11,0)</f>
        <v>0</v>
      </c>
      <c r="BZ39" s="29">
        <f>IF(BZ4=1,'Get Started  2'!$E11,0)</f>
        <v>0</v>
      </c>
      <c r="CA39" s="29">
        <f>IF(CA4=1,'Get Started  2'!$E11,0)</f>
        <v>0</v>
      </c>
      <c r="CB39" s="29">
        <f>IF(CB4=1,'Get Started  2'!$E11,0)</f>
        <v>0</v>
      </c>
      <c r="CC39" s="29">
        <f>IF(CC4=1,'Get Started  2'!$E11,0)</f>
        <v>0</v>
      </c>
      <c r="CD39" s="29">
        <f>IF(CD4=1,'Get Started  2'!$E11,0)</f>
        <v>0</v>
      </c>
      <c r="CE39" s="29">
        <f>IF(CE4=1,'Get Started  2'!$E11,0)</f>
        <v>0</v>
      </c>
      <c r="CF39" s="29">
        <f>IF(CF4=1,'Get Started  2'!$E11,0)</f>
        <v>0</v>
      </c>
      <c r="CG39" s="29">
        <f>IF(CG4=1,'Get Started  2'!$E11,0)</f>
        <v>0</v>
      </c>
      <c r="CH39" s="29">
        <f>IF(CH4=1,'Get Started  2'!$E11,0)</f>
        <v>0</v>
      </c>
    </row>
    <row r="40" spans="1:86" ht="13">
      <c r="B40" s="15" t="s">
        <v>268</v>
      </c>
      <c r="C40" s="15"/>
      <c r="D40" s="15" t="s">
        <v>238</v>
      </c>
      <c r="E40" s="29">
        <f t="shared" si="13"/>
        <v>750000</v>
      </c>
      <c r="F40" s="29"/>
      <c r="G40" s="29">
        <f>'Get Started  2'!$E12*G10/4</f>
        <v>18750</v>
      </c>
      <c r="H40" s="29">
        <f>'Get Started  2'!$E12*H10/4</f>
        <v>18750</v>
      </c>
      <c r="I40" s="29">
        <f>'Get Started  2'!$E12*I10/4</f>
        <v>18750</v>
      </c>
      <c r="J40" s="29">
        <f>'Get Started  2'!$E12*J10/4</f>
        <v>18750</v>
      </c>
      <c r="K40" s="29">
        <f>'Get Started  2'!$E12*K10/4</f>
        <v>18750</v>
      </c>
      <c r="L40" s="29">
        <f>'Get Started  2'!$E12*L10/4</f>
        <v>18750</v>
      </c>
      <c r="M40" s="29">
        <f>'Get Started  2'!$E12*M10/4</f>
        <v>18750</v>
      </c>
      <c r="N40" s="29">
        <f>'Get Started  2'!$E12*N10/4</f>
        <v>18750</v>
      </c>
      <c r="O40" s="29">
        <f>'Get Started  2'!$E12*O10/4</f>
        <v>18750</v>
      </c>
      <c r="P40" s="29">
        <f>'Get Started  2'!$E12*P10/4</f>
        <v>18750</v>
      </c>
      <c r="Q40" s="29">
        <f>'Get Started  2'!$E12*Q10/4</f>
        <v>18750</v>
      </c>
      <c r="R40" s="29">
        <f>'Get Started  2'!$E12*R10/4</f>
        <v>18750</v>
      </c>
      <c r="S40" s="29">
        <f>'Get Started  2'!$E12*S10/4</f>
        <v>18750</v>
      </c>
      <c r="T40" s="29">
        <f>'Get Started  2'!$E12*T10/4</f>
        <v>18750</v>
      </c>
      <c r="U40" s="29">
        <f>'Get Started  2'!$E12*U10/4</f>
        <v>18750</v>
      </c>
      <c r="V40" s="29">
        <f>'Get Started  2'!$E12*V10/4</f>
        <v>18750</v>
      </c>
      <c r="W40" s="29">
        <f>'Get Started  2'!$E12*W10/4</f>
        <v>18750</v>
      </c>
      <c r="X40" s="29">
        <f>'Get Started  2'!$E12*X10/4</f>
        <v>18750</v>
      </c>
      <c r="Y40" s="29">
        <f>'Get Started  2'!$E12*Y10/4</f>
        <v>18750</v>
      </c>
      <c r="Z40" s="29">
        <f>'Get Started  2'!$E12*Z10/4</f>
        <v>18750</v>
      </c>
      <c r="AA40" s="29">
        <f>'Get Started  2'!$E12*AA10/4</f>
        <v>18750</v>
      </c>
      <c r="AB40" s="29">
        <f>'Get Started  2'!$E12*AB10/4</f>
        <v>18750</v>
      </c>
      <c r="AC40" s="29">
        <f>'Get Started  2'!$E12*AC10/4</f>
        <v>18750</v>
      </c>
      <c r="AD40" s="29">
        <f>'Get Started  2'!$E12*AD10/4</f>
        <v>18750</v>
      </c>
      <c r="AE40" s="29">
        <f>'Get Started  2'!$E12*AE10/4</f>
        <v>18750</v>
      </c>
      <c r="AF40" s="29">
        <f>'Get Started  2'!$E12*AF10/4</f>
        <v>18750</v>
      </c>
      <c r="AG40" s="29">
        <f>'Get Started  2'!$E12*AG10/4</f>
        <v>18750</v>
      </c>
      <c r="AH40" s="29">
        <f>'Get Started  2'!$E12*AH10/4</f>
        <v>18750</v>
      </c>
      <c r="AI40" s="29">
        <f>'Get Started  2'!$E12*AI10/4</f>
        <v>18750</v>
      </c>
      <c r="AJ40" s="29">
        <f>'Get Started  2'!$E12*AJ10/4</f>
        <v>18750</v>
      </c>
      <c r="AK40" s="29">
        <f>'Get Started  2'!$E12*AK10/4</f>
        <v>18750</v>
      </c>
      <c r="AL40" s="29">
        <f>'Get Started  2'!$E12*AL10/4</f>
        <v>18750</v>
      </c>
      <c r="AM40" s="29">
        <f>'Get Started  2'!$E12*AM10/4</f>
        <v>18750</v>
      </c>
      <c r="AN40" s="29">
        <f>'Get Started  2'!$E12*AN10/4</f>
        <v>18750</v>
      </c>
      <c r="AO40" s="29">
        <f>'Get Started  2'!$E12*AO10/4</f>
        <v>18750</v>
      </c>
      <c r="AP40" s="29">
        <f>'Get Started  2'!$E12*AP10/4</f>
        <v>18750</v>
      </c>
      <c r="AQ40" s="29">
        <f>'Get Started  2'!$E12*AQ10/4</f>
        <v>18750</v>
      </c>
      <c r="AR40" s="29">
        <f>'Get Started  2'!$E12*AR10/4</f>
        <v>18750</v>
      </c>
      <c r="AS40" s="29">
        <f>'Get Started  2'!$E12*AS10/4</f>
        <v>18750</v>
      </c>
      <c r="AT40" s="29">
        <f>'Get Started  2'!$E12*AT10/4</f>
        <v>18750</v>
      </c>
      <c r="AU40" s="29">
        <f>'Get Started  2'!$E12*AU10/4</f>
        <v>0</v>
      </c>
      <c r="AV40" s="29">
        <f>'Get Started  2'!$E12*AV10/4</f>
        <v>0</v>
      </c>
      <c r="AW40" s="29">
        <f>'Get Started  2'!$E12*AW10/4</f>
        <v>0</v>
      </c>
      <c r="AX40" s="29">
        <f>'Get Started  2'!$E12*AX10/4</f>
        <v>0</v>
      </c>
      <c r="AY40" s="29">
        <f>'Get Started  2'!$E12*AY10/4</f>
        <v>0</v>
      </c>
      <c r="AZ40" s="29">
        <f>'Get Started  2'!$E12*AZ10/4</f>
        <v>0</v>
      </c>
      <c r="BA40" s="29">
        <f>'Get Started  2'!$E12*BA10/4</f>
        <v>0</v>
      </c>
      <c r="BB40" s="29">
        <f>'Get Started  2'!$E12*BB10/4</f>
        <v>0</v>
      </c>
      <c r="BC40" s="29">
        <f>'Get Started  2'!$E12*BC10/4</f>
        <v>0</v>
      </c>
      <c r="BD40" s="29">
        <f>'Get Started  2'!$E12*BD10/4</f>
        <v>0</v>
      </c>
      <c r="BE40" s="29">
        <f>'Get Started  2'!$E12*BE10/4</f>
        <v>0</v>
      </c>
      <c r="BF40" s="29">
        <f>'Get Started  2'!$E12*BF10/4</f>
        <v>0</v>
      </c>
      <c r="BG40" s="29">
        <f>'Get Started  2'!$E12*BG10/4</f>
        <v>0</v>
      </c>
      <c r="BH40" s="29">
        <f>'Get Started  2'!$E12*BH10/4</f>
        <v>0</v>
      </c>
      <c r="BI40" s="29">
        <f>'Get Started  2'!$E12*BI10/4</f>
        <v>0</v>
      </c>
      <c r="BJ40" s="29">
        <f>'Get Started  2'!$E12*BJ10/4</f>
        <v>0</v>
      </c>
      <c r="BK40" s="29">
        <f>'Get Started  2'!$E12*BK10/4</f>
        <v>0</v>
      </c>
      <c r="BL40" s="29">
        <f>'Get Started  2'!$E12*BL10/4</f>
        <v>0</v>
      </c>
      <c r="BM40" s="29">
        <f>'Get Started  2'!$E12*BM10/4</f>
        <v>0</v>
      </c>
      <c r="BN40" s="29">
        <f>'Get Started  2'!$E12*BN10/4</f>
        <v>0</v>
      </c>
      <c r="BO40" s="29">
        <f>'Get Started  2'!$E12*BO10/4</f>
        <v>0</v>
      </c>
      <c r="BP40" s="29">
        <f>'Get Started  2'!$E12*BP10/4</f>
        <v>0</v>
      </c>
      <c r="BQ40" s="29">
        <f>'Get Started  2'!$E12*BQ10/4</f>
        <v>0</v>
      </c>
      <c r="BR40" s="29">
        <f>'Get Started  2'!$E12*BR10/4</f>
        <v>0</v>
      </c>
      <c r="BS40" s="29">
        <f>'Get Started  2'!$E12*BS10/4</f>
        <v>0</v>
      </c>
      <c r="BT40" s="29">
        <f>'Get Started  2'!$E12*BT10/4</f>
        <v>0</v>
      </c>
      <c r="BU40" s="29">
        <f>'Get Started  2'!$E12*BU10/4</f>
        <v>0</v>
      </c>
      <c r="BV40" s="29">
        <f>'Get Started  2'!$E12*BV10/4</f>
        <v>0</v>
      </c>
      <c r="BW40" s="29">
        <f>'Get Started  2'!$E12*BW10/4</f>
        <v>0</v>
      </c>
      <c r="BX40" s="29">
        <f>'Get Started  2'!$E12*BX10/4</f>
        <v>0</v>
      </c>
      <c r="BY40" s="29">
        <f>'Get Started  2'!$E12*BY10/4</f>
        <v>0</v>
      </c>
      <c r="BZ40" s="29">
        <f>'Get Started  2'!$E12*BZ10/4</f>
        <v>0</v>
      </c>
      <c r="CA40" s="29">
        <f>'Get Started  2'!$E12*CA10/4</f>
        <v>0</v>
      </c>
      <c r="CB40" s="29">
        <f>'Get Started  2'!$E12*CB10/4</f>
        <v>0</v>
      </c>
      <c r="CC40" s="29">
        <f>'Get Started  2'!$E12*CC10/4</f>
        <v>0</v>
      </c>
      <c r="CD40" s="29">
        <f>'Get Started  2'!$E12*CD10/4</f>
        <v>0</v>
      </c>
      <c r="CE40" s="29">
        <f>'Get Started  2'!$E12*CE10/4</f>
        <v>0</v>
      </c>
      <c r="CF40" s="29">
        <f>'Get Started  2'!$E12*CF10/4</f>
        <v>0</v>
      </c>
      <c r="CG40" s="29">
        <f>'Get Started  2'!$E12*CG10/4</f>
        <v>0</v>
      </c>
      <c r="CH40" s="29">
        <f>'Get Started  2'!$E12*CH10/4</f>
        <v>0</v>
      </c>
    </row>
    <row r="41" spans="1:86" ht="13">
      <c r="A41" s="13"/>
      <c r="B41" s="13" t="s">
        <v>242</v>
      </c>
      <c r="D41" s="13" t="s">
        <v>238</v>
      </c>
      <c r="E41" s="37">
        <f t="shared" si="13"/>
        <v>4900000</v>
      </c>
      <c r="F41" s="48"/>
      <c r="G41" s="37">
        <f>IFERROR(IF(G15="committed",G83*IF($C17=TRUE,1-'Get Started  2'!$E10,1)*G14+IF(AND(G4&lt;&gt;1,G54*IF($C17=TRUE,1-'Get Started  2'!$E10,1)&lt;&gt;0,SUM($G54:G54)*IF($C17=TRUE,1-'Get Started  2'!$E10,1)&lt;&gt;E54*IF($C17=TRUE,1-'Get Started  2'!$E10,1)),G54*IF($C17=TRUE,1-'Get Started  2'!$E10,1)*(G4-1)*G14,0),IF(G15="called",G14*(G60+F60)/2*IF($C17=TRUE,1-'Get Started  2'!$E10,1),G14*(G85+F85)/2*IF($C17=TRUE,1-'Get Started  2'!$E10,1))),0)</f>
        <v>122500</v>
      </c>
      <c r="H41" s="37">
        <f>IFERROR(IF(H15="committed",H83*IF($C17=TRUE,1-'Get Started  2'!$E10,1)*H14+IF(AND(H4&lt;&gt;1,H54*IF($C17=TRUE,1-'Get Started  2'!$E10,1)&lt;&gt;0,SUM($G54:H54)*IF($C17=TRUE,1-'Get Started  2'!$E10,1)&lt;&gt;F54*IF($C17=TRUE,1-'Get Started  2'!$E10,1)),H54*IF($C17=TRUE,1-'Get Started  2'!$E10,1)*(H4-1)*H14,0),IF(H15="called",H14*(H60+G60)/2*IF($C17=TRUE,1-'Get Started  2'!$E10,1),H14*(H85+G85)/2*IF($C17=TRUE,1-'Get Started  2'!$E10,1))),0)</f>
        <v>122500</v>
      </c>
      <c r="I41" s="37">
        <f>IFERROR(IF(I15="committed",I83*IF($C17=TRUE,1-'Get Started  2'!$E10,1)*I14+IF(AND(I4&lt;&gt;1,I54*IF($C17=TRUE,1-'Get Started  2'!$E10,1)&lt;&gt;0,SUM($G54:I54)*IF($C17=TRUE,1-'Get Started  2'!$E10,1)&lt;&gt;G54*IF($C17=TRUE,1-'Get Started  2'!$E10,1)),I54*IF($C17=TRUE,1-'Get Started  2'!$E10,1)*(I4-1)*I14,0),IF(I15="called",I14*(I60+H60)/2*IF($C17=TRUE,1-'Get Started  2'!$E10,1),I14*(I85+H85)/2*IF($C17=TRUE,1-'Get Started  2'!$E10,1))),0)</f>
        <v>122500</v>
      </c>
      <c r="J41" s="37">
        <f>IFERROR(IF(J15="committed",J83*IF($C17=TRUE,1-'Get Started  2'!$E10,1)*J14+IF(AND(J4&lt;&gt;1,J54*IF($C17=TRUE,1-'Get Started  2'!$E10,1)&lt;&gt;0,SUM($G54:J54)*IF($C17=TRUE,1-'Get Started  2'!$E10,1)&lt;&gt;H54*IF($C17=TRUE,1-'Get Started  2'!$E10,1)),J54*IF($C17=TRUE,1-'Get Started  2'!$E10,1)*(J4-1)*J14,0),IF(J15="called",J14*(J60+I60)/2*IF($C17=TRUE,1-'Get Started  2'!$E10,1),J14*(J85+I85)/2*IF($C17=TRUE,1-'Get Started  2'!$E10,1))),0)</f>
        <v>122500</v>
      </c>
      <c r="K41" s="37">
        <f>IFERROR(IF(K15="committed",K83*IF($C17=TRUE,1-'Get Started  2'!$E10,1)*K14+IF(AND(K4&lt;&gt;1,K54*IF($C17=TRUE,1-'Get Started  2'!$E10,1)&lt;&gt;0,SUM($G54:K54)*IF($C17=TRUE,1-'Get Started  2'!$E10,1)&lt;&gt;I54*IF($C17=TRUE,1-'Get Started  2'!$E10,1)),K54*IF($C17=TRUE,1-'Get Started  2'!$E10,1)*(K4-1)*K14,0),IF(K15="called",K14*(K60+J60)/2*IF($C17=TRUE,1-'Get Started  2'!$E10,1),K14*(K85+J85)/2*IF($C17=TRUE,1-'Get Started  2'!$E10,1))),0)</f>
        <v>122500</v>
      </c>
      <c r="L41" s="37">
        <f>IFERROR(IF(L15="committed",L83*IF($C17=TRUE,1-'Get Started  2'!$E10,1)*L14+IF(AND(L4&lt;&gt;1,L54*IF($C17=TRUE,1-'Get Started  2'!$E10,1)&lt;&gt;0,SUM($G54:L54)*IF($C17=TRUE,1-'Get Started  2'!$E10,1)&lt;&gt;J54*IF($C17=TRUE,1-'Get Started  2'!$E10,1)),L54*IF($C17=TRUE,1-'Get Started  2'!$E10,1)*(L4-1)*L14,0),IF(L15="called",L14*(L60+K60)/2*IF($C17=TRUE,1-'Get Started  2'!$E10,1),L14*(L85+K85)/2*IF($C17=TRUE,1-'Get Started  2'!$E10,1))),0)</f>
        <v>122500</v>
      </c>
      <c r="M41" s="37">
        <f>IFERROR(IF(M15="committed",M83*IF($C17=TRUE,1-'Get Started  2'!$E10,1)*M14+IF(AND(M4&lt;&gt;1,M54*IF($C17=TRUE,1-'Get Started  2'!$E10,1)&lt;&gt;0,SUM($G54:M54)*IF($C17=TRUE,1-'Get Started  2'!$E10,1)&lt;&gt;K54*IF($C17=TRUE,1-'Get Started  2'!$E10,1)),M54*IF($C17=TRUE,1-'Get Started  2'!$E10,1)*(M4-1)*M14,0),IF(M15="called",M14*(M60+L60)/2*IF($C17=TRUE,1-'Get Started  2'!$E10,1),M14*(M85+L85)/2*IF($C17=TRUE,1-'Get Started  2'!$E10,1))),0)</f>
        <v>122500</v>
      </c>
      <c r="N41" s="37">
        <f>IFERROR(IF(N15="committed",N83*IF($C17=TRUE,1-'Get Started  2'!$E10,1)*N14+IF(AND(N4&lt;&gt;1,N54*IF($C17=TRUE,1-'Get Started  2'!$E10,1)&lt;&gt;0,SUM($G54:N54)*IF($C17=TRUE,1-'Get Started  2'!$E10,1)&lt;&gt;L54*IF($C17=TRUE,1-'Get Started  2'!$E10,1)),N54*IF($C17=TRUE,1-'Get Started  2'!$E10,1)*(N4-1)*N14,0),IF(N15="called",N14*(N60+M60)/2*IF($C17=TRUE,1-'Get Started  2'!$E10,1),N14*(N85+M85)/2*IF($C17=TRUE,1-'Get Started  2'!$E10,1))),0)</f>
        <v>122500</v>
      </c>
      <c r="O41" s="37">
        <f>IFERROR(IF(O15="committed",O83*IF($C17=TRUE,1-'Get Started  2'!$E10,1)*O14+IF(AND(O4&lt;&gt;1,O54*IF($C17=TRUE,1-'Get Started  2'!$E10,1)&lt;&gt;0,SUM($G54:O54)*IF($C17=TRUE,1-'Get Started  2'!$E10,1)&lt;&gt;M54*IF($C17=TRUE,1-'Get Started  2'!$E10,1)),O54*IF($C17=TRUE,1-'Get Started  2'!$E10,1)*(O4-1)*O14,0),IF(O15="called",O14*(O60+N60)/2*IF($C17=TRUE,1-'Get Started  2'!$E10,1),O14*(O85+N85)/2*IF($C17=TRUE,1-'Get Started  2'!$E10,1))),0)</f>
        <v>122500</v>
      </c>
      <c r="P41" s="37">
        <f>IFERROR(IF(P15="committed",P83*IF($C17=TRUE,1-'Get Started  2'!$E10,1)*P14+IF(AND(P4&lt;&gt;1,P54*IF($C17=TRUE,1-'Get Started  2'!$E10,1)&lt;&gt;0,SUM($G54:P54)*IF($C17=TRUE,1-'Get Started  2'!$E10,1)&lt;&gt;N54*IF($C17=TRUE,1-'Get Started  2'!$E10,1)),P54*IF($C17=TRUE,1-'Get Started  2'!$E10,1)*(P4-1)*P14,0),IF(P15="called",P14*(P60+O60)/2*IF($C17=TRUE,1-'Get Started  2'!$E10,1),P14*(P85+O85)/2*IF($C17=TRUE,1-'Get Started  2'!$E10,1))),0)</f>
        <v>122500</v>
      </c>
      <c r="Q41" s="37">
        <f>IFERROR(IF(Q15="committed",Q83*IF($C17=TRUE,1-'Get Started  2'!$E10,1)*Q14+IF(AND(Q4&lt;&gt;1,Q54*IF($C17=TRUE,1-'Get Started  2'!$E10,1)&lt;&gt;0,SUM($G54:Q54)*IF($C17=TRUE,1-'Get Started  2'!$E10,1)&lt;&gt;O54*IF($C17=TRUE,1-'Get Started  2'!$E10,1)),Q54*IF($C17=TRUE,1-'Get Started  2'!$E10,1)*(Q4-1)*Q14,0),IF(Q15="called",Q14*(Q60+P60)/2*IF($C17=TRUE,1-'Get Started  2'!$E10,1),Q14*(Q85+P85)/2*IF($C17=TRUE,1-'Get Started  2'!$E10,1))),0)</f>
        <v>122500</v>
      </c>
      <c r="R41" s="37">
        <f>IFERROR(IF(R15="committed",R83*IF($C17=TRUE,1-'Get Started  2'!$E10,1)*R14+IF(AND(R4&lt;&gt;1,R54*IF($C17=TRUE,1-'Get Started  2'!$E10,1)&lt;&gt;0,SUM($G54:R54)*IF($C17=TRUE,1-'Get Started  2'!$E10,1)&lt;&gt;P54*IF($C17=TRUE,1-'Get Started  2'!$E10,1)),R54*IF($C17=TRUE,1-'Get Started  2'!$E10,1)*(R4-1)*R14,0),IF(R15="called",R14*(R60+Q60)/2*IF($C17=TRUE,1-'Get Started  2'!$E10,1),R14*(R85+Q85)/2*IF($C17=TRUE,1-'Get Started  2'!$E10,1))),0)</f>
        <v>122500</v>
      </c>
      <c r="S41" s="37">
        <f>IFERROR(IF(S15="committed",S83*IF($C17=TRUE,1-'Get Started  2'!$E10,1)*S14+IF(AND(S4&lt;&gt;1,S54*IF($C17=TRUE,1-'Get Started  2'!$E10,1)&lt;&gt;0,SUM($G54:S54)*IF($C17=TRUE,1-'Get Started  2'!$E10,1)&lt;&gt;Q54*IF($C17=TRUE,1-'Get Started  2'!$E10,1)),S54*IF($C17=TRUE,1-'Get Started  2'!$E10,1)*(S4-1)*S14,0),IF(S15="called",S14*(S60+R60)/2*IF($C17=TRUE,1-'Get Started  2'!$E10,1),S14*(S85+R85)/2*IF($C17=TRUE,1-'Get Started  2'!$E10,1))),0)</f>
        <v>122500</v>
      </c>
      <c r="T41" s="37">
        <f>IFERROR(IF(T15="committed",T83*IF($C17=TRUE,1-'Get Started  2'!$E10,1)*T14+IF(AND(T4&lt;&gt;1,T54*IF($C17=TRUE,1-'Get Started  2'!$E10,1)&lt;&gt;0,SUM($G54:T54)*IF($C17=TRUE,1-'Get Started  2'!$E10,1)&lt;&gt;R54*IF($C17=TRUE,1-'Get Started  2'!$E10,1)),T54*IF($C17=TRUE,1-'Get Started  2'!$E10,1)*(T4-1)*T14,0),IF(T15="called",T14*(T60+S60)/2*IF($C17=TRUE,1-'Get Started  2'!$E10,1),T14*(T85+S85)/2*IF($C17=TRUE,1-'Get Started  2'!$E10,1))),0)</f>
        <v>122500</v>
      </c>
      <c r="U41" s="37">
        <f>IFERROR(IF(U15="committed",U83*IF($C17=TRUE,1-'Get Started  2'!$E10,1)*U14+IF(AND(U4&lt;&gt;1,U54*IF($C17=TRUE,1-'Get Started  2'!$E10,1)&lt;&gt;0,SUM($G54:U54)*IF($C17=TRUE,1-'Get Started  2'!$E10,1)&lt;&gt;S54*IF($C17=TRUE,1-'Get Started  2'!$E10,1)),U54*IF($C17=TRUE,1-'Get Started  2'!$E10,1)*(U4-1)*U14,0),IF(U15="called",U14*(U60+T60)/2*IF($C17=TRUE,1-'Get Started  2'!$E10,1),U14*(U85+T85)/2*IF($C17=TRUE,1-'Get Started  2'!$E10,1))),0)</f>
        <v>122500</v>
      </c>
      <c r="V41" s="37">
        <f>IFERROR(IF(V15="committed",V83*IF($C17=TRUE,1-'Get Started  2'!$E10,1)*V14+IF(AND(V4&lt;&gt;1,V54*IF($C17=TRUE,1-'Get Started  2'!$E10,1)&lt;&gt;0,SUM($G54:V54)*IF($C17=TRUE,1-'Get Started  2'!$E10,1)&lt;&gt;T54*IF($C17=TRUE,1-'Get Started  2'!$E10,1)),V54*IF($C17=TRUE,1-'Get Started  2'!$E10,1)*(V4-1)*V14,0),IF(V15="called",V14*(V60+U60)/2*IF($C17=TRUE,1-'Get Started  2'!$E10,1),V14*(V85+U85)/2*IF($C17=TRUE,1-'Get Started  2'!$E10,1))),0)</f>
        <v>122500</v>
      </c>
      <c r="W41" s="37">
        <f>IFERROR(IF(W15="committed",W83*IF($C17=TRUE,1-'Get Started  2'!$E10,1)*W14+IF(AND(W4&lt;&gt;1,W54*IF($C17=TRUE,1-'Get Started  2'!$E10,1)&lt;&gt;0,SUM($G54:W54)*IF($C17=TRUE,1-'Get Started  2'!$E10,1)&lt;&gt;U54*IF($C17=TRUE,1-'Get Started  2'!$E10,1)),W54*IF($C17=TRUE,1-'Get Started  2'!$E10,1)*(W4-1)*W14,0),IF(W15="called",W14*(W60+V60)/2*IF($C17=TRUE,1-'Get Started  2'!$E10,1),W14*(W85+V85)/2*IF($C17=TRUE,1-'Get Started  2'!$E10,1))),0)</f>
        <v>122500</v>
      </c>
      <c r="X41" s="37">
        <f>IFERROR(IF(X15="committed",X83*IF($C17=TRUE,1-'Get Started  2'!$E10,1)*X14+IF(AND(X4&lt;&gt;1,X54*IF($C17=TRUE,1-'Get Started  2'!$E10,1)&lt;&gt;0,SUM($G54:X54)*IF($C17=TRUE,1-'Get Started  2'!$E10,1)&lt;&gt;V54*IF($C17=TRUE,1-'Get Started  2'!$E10,1)),X54*IF($C17=TRUE,1-'Get Started  2'!$E10,1)*(X4-1)*X14,0),IF(X15="called",X14*(X60+W60)/2*IF($C17=TRUE,1-'Get Started  2'!$E10,1),X14*(X85+W85)/2*IF($C17=TRUE,1-'Get Started  2'!$E10,1))),0)</f>
        <v>122500</v>
      </c>
      <c r="Y41" s="37">
        <f>IFERROR(IF(Y15="committed",Y83*IF($C17=TRUE,1-'Get Started  2'!$E10,1)*Y14+IF(AND(Y4&lt;&gt;1,Y54*IF($C17=TRUE,1-'Get Started  2'!$E10,1)&lt;&gt;0,SUM($G54:Y54)*IF($C17=TRUE,1-'Get Started  2'!$E10,1)&lt;&gt;W54*IF($C17=TRUE,1-'Get Started  2'!$E10,1)),Y54*IF($C17=TRUE,1-'Get Started  2'!$E10,1)*(Y4-1)*Y14,0),IF(Y15="called",Y14*(Y60+X60)/2*IF($C17=TRUE,1-'Get Started  2'!$E10,1),Y14*(Y85+X85)/2*IF($C17=TRUE,1-'Get Started  2'!$E10,1))),0)</f>
        <v>122500</v>
      </c>
      <c r="Z41" s="37">
        <f>IFERROR(IF(Z15="committed",Z83*IF($C17=TRUE,1-'Get Started  2'!$E10,1)*Z14+IF(AND(Z4&lt;&gt;1,Z54*IF($C17=TRUE,1-'Get Started  2'!$E10,1)&lt;&gt;0,SUM($G54:Z54)*IF($C17=TRUE,1-'Get Started  2'!$E10,1)&lt;&gt;X54*IF($C17=TRUE,1-'Get Started  2'!$E10,1)),Z54*IF($C17=TRUE,1-'Get Started  2'!$E10,1)*(Z4-1)*Z14,0),IF(Z15="called",Z14*(Z60+Y60)/2*IF($C17=TRUE,1-'Get Started  2'!$E10,1),Z14*(Z85+Y85)/2*IF($C17=TRUE,1-'Get Started  2'!$E10,1))),0)</f>
        <v>122500</v>
      </c>
      <c r="AA41" s="37">
        <f>IFERROR(IF(AA15="committed",AA83*IF($C17=TRUE,1-'Get Started  2'!$E10,1)*AA14+IF(AND(AA4&lt;&gt;1,AA54*IF($C17=TRUE,1-'Get Started  2'!$E10,1)&lt;&gt;0,SUM($G54:AA54)*IF($C17=TRUE,1-'Get Started  2'!$E10,1)&lt;&gt;Y54*IF($C17=TRUE,1-'Get Started  2'!$E10,1)),AA54*IF($C17=TRUE,1-'Get Started  2'!$E10,1)*(AA4-1)*AA14,0),IF(AA15="called",AA14*(AA60+Z60)/2*IF($C17=TRUE,1-'Get Started  2'!$E10,1),AA14*(AA85+Z85)/2*IF($C17=TRUE,1-'Get Started  2'!$E10,1))),0)</f>
        <v>122500</v>
      </c>
      <c r="AB41" s="37">
        <f>IFERROR(IF(AB15="committed",AB83*IF($C17=TRUE,1-'Get Started  2'!$E10,1)*AB14+IF(AND(AB4&lt;&gt;1,AB54*IF($C17=TRUE,1-'Get Started  2'!$E10,1)&lt;&gt;0,SUM($G54:AB54)*IF($C17=TRUE,1-'Get Started  2'!$E10,1)&lt;&gt;Z54*IF($C17=TRUE,1-'Get Started  2'!$E10,1)),AB54*IF($C17=TRUE,1-'Get Started  2'!$E10,1)*(AB4-1)*AB14,0),IF(AB15="called",AB14*(AB60+AA60)/2*IF($C17=TRUE,1-'Get Started  2'!$E10,1),AB14*(AB85+AA85)/2*IF($C17=TRUE,1-'Get Started  2'!$E10,1))),0)</f>
        <v>122500</v>
      </c>
      <c r="AC41" s="37">
        <f>IFERROR(IF(AC15="committed",AC83*IF($C17=TRUE,1-'Get Started  2'!$E10,1)*AC14+IF(AND(AC4&lt;&gt;1,AC54*IF($C17=TRUE,1-'Get Started  2'!$E10,1)&lt;&gt;0,SUM($G54:AC54)*IF($C17=TRUE,1-'Get Started  2'!$E10,1)&lt;&gt;AA54*IF($C17=TRUE,1-'Get Started  2'!$E10,1)),AC54*IF($C17=TRUE,1-'Get Started  2'!$E10,1)*(AC4-1)*AC14,0),IF(AC15="called",AC14*(AC60+AB60)/2*IF($C17=TRUE,1-'Get Started  2'!$E10,1),AC14*(AC85+AB85)/2*IF($C17=TRUE,1-'Get Started  2'!$E10,1))),0)</f>
        <v>122500</v>
      </c>
      <c r="AD41" s="37">
        <f>IFERROR(IF(AD15="committed",AD83*IF($C17=TRUE,1-'Get Started  2'!$E10,1)*AD14+IF(AND(AD4&lt;&gt;1,AD54*IF($C17=TRUE,1-'Get Started  2'!$E10,1)&lt;&gt;0,SUM($G54:AD54)*IF($C17=TRUE,1-'Get Started  2'!$E10,1)&lt;&gt;AB54*IF($C17=TRUE,1-'Get Started  2'!$E10,1)),AD54*IF($C17=TRUE,1-'Get Started  2'!$E10,1)*(AD4-1)*AD14,0),IF(AD15="called",AD14*(AD60+AC60)/2*IF($C17=TRUE,1-'Get Started  2'!$E10,1),AD14*(AD85+AC85)/2*IF($C17=TRUE,1-'Get Started  2'!$E10,1))),0)</f>
        <v>122500</v>
      </c>
      <c r="AE41" s="37">
        <f>IFERROR(IF(AE15="committed",AE83*IF($C17=TRUE,1-'Get Started  2'!$E10,1)*AE14+IF(AND(AE4&lt;&gt;1,AE54*IF($C17=TRUE,1-'Get Started  2'!$E10,1)&lt;&gt;0,SUM($G54:AE54)*IF($C17=TRUE,1-'Get Started  2'!$E10,1)&lt;&gt;AC54*IF($C17=TRUE,1-'Get Started  2'!$E10,1)),AE54*IF($C17=TRUE,1-'Get Started  2'!$E10,1)*(AE4-1)*AE14,0),IF(AE15="called",AE14*(AE60+AD60)/2*IF($C17=TRUE,1-'Get Started  2'!$E10,1),AE14*(AE85+AD85)/2*IF($C17=TRUE,1-'Get Started  2'!$E10,1))),0)</f>
        <v>122500</v>
      </c>
      <c r="AF41" s="37">
        <f>IFERROR(IF(AF15="committed",AF83*IF($C17=TRUE,1-'Get Started  2'!$E10,1)*AF14+IF(AND(AF4&lt;&gt;1,AF54*IF($C17=TRUE,1-'Get Started  2'!$E10,1)&lt;&gt;0,SUM($G54:AF54)*IF($C17=TRUE,1-'Get Started  2'!$E10,1)&lt;&gt;AD54*IF($C17=TRUE,1-'Get Started  2'!$E10,1)),AF54*IF($C17=TRUE,1-'Get Started  2'!$E10,1)*(AF4-1)*AF14,0),IF(AF15="called",AF14*(AF60+AE60)/2*IF($C17=TRUE,1-'Get Started  2'!$E10,1),AF14*(AF85+AE85)/2*IF($C17=TRUE,1-'Get Started  2'!$E10,1))),0)</f>
        <v>122500</v>
      </c>
      <c r="AG41" s="37">
        <f>IFERROR(IF(AG15="committed",AG83*IF($C17=TRUE,1-'Get Started  2'!$E10,1)*AG14+IF(AND(AG4&lt;&gt;1,AG54*IF($C17=TRUE,1-'Get Started  2'!$E10,1)&lt;&gt;0,SUM($G54:AG54)*IF($C17=TRUE,1-'Get Started  2'!$E10,1)&lt;&gt;AE54*IF($C17=TRUE,1-'Get Started  2'!$E10,1)),AG54*IF($C17=TRUE,1-'Get Started  2'!$E10,1)*(AG4-1)*AG14,0),IF(AG15="called",AG14*(AG60+AF60)/2*IF($C17=TRUE,1-'Get Started  2'!$E10,1),AG14*(AG85+AF85)/2*IF($C17=TRUE,1-'Get Started  2'!$E10,1))),0)</f>
        <v>122500</v>
      </c>
      <c r="AH41" s="37">
        <f>IFERROR(IF(AH15="committed",AH83*IF($C17=TRUE,1-'Get Started  2'!$E10,1)*AH14+IF(AND(AH4&lt;&gt;1,AH54*IF($C17=TRUE,1-'Get Started  2'!$E10,1)&lt;&gt;0,SUM($G54:AH54)*IF($C17=TRUE,1-'Get Started  2'!$E10,1)&lt;&gt;AF54*IF($C17=TRUE,1-'Get Started  2'!$E10,1)),AH54*IF($C17=TRUE,1-'Get Started  2'!$E10,1)*(AH4-1)*AH14,0),IF(AH15="called",AH14*(AH60+AG60)/2*IF($C17=TRUE,1-'Get Started  2'!$E10,1),AH14*(AH85+AG85)/2*IF($C17=TRUE,1-'Get Started  2'!$E10,1))),0)</f>
        <v>122500</v>
      </c>
      <c r="AI41" s="37">
        <f>IFERROR(IF(AI15="committed",AI83*IF($C17=TRUE,1-'Get Started  2'!$E10,1)*AI14+IF(AND(AI4&lt;&gt;1,AI54*IF($C17=TRUE,1-'Get Started  2'!$E10,1)&lt;&gt;0,SUM($G54:AI54)*IF($C17=TRUE,1-'Get Started  2'!$E10,1)&lt;&gt;AG54*IF($C17=TRUE,1-'Get Started  2'!$E10,1)),AI54*IF($C17=TRUE,1-'Get Started  2'!$E10,1)*(AI4-1)*AI14,0),IF(AI15="called",AI14*(AI60+AH60)/2*IF($C17=TRUE,1-'Get Started  2'!$E10,1),AI14*(AI85+AH85)/2*IF($C17=TRUE,1-'Get Started  2'!$E10,1))),0)</f>
        <v>122500</v>
      </c>
      <c r="AJ41" s="37">
        <f>IFERROR(IF(AJ15="committed",AJ83*IF($C17=TRUE,1-'Get Started  2'!$E10,1)*AJ14+IF(AND(AJ4&lt;&gt;1,AJ54*IF($C17=TRUE,1-'Get Started  2'!$E10,1)&lt;&gt;0,SUM($G54:AJ54)*IF($C17=TRUE,1-'Get Started  2'!$E10,1)&lt;&gt;AH54*IF($C17=TRUE,1-'Get Started  2'!$E10,1)),AJ54*IF($C17=TRUE,1-'Get Started  2'!$E10,1)*(AJ4-1)*AJ14,0),IF(AJ15="called",AJ14*(AJ60+AI60)/2*IF($C17=TRUE,1-'Get Started  2'!$E10,1),AJ14*(AJ85+AI85)/2*IF($C17=TRUE,1-'Get Started  2'!$E10,1))),0)</f>
        <v>122500</v>
      </c>
      <c r="AK41" s="37">
        <f>IFERROR(IF(AK15="committed",AK83*IF($C17=TRUE,1-'Get Started  2'!$E10,1)*AK14+IF(AND(AK4&lt;&gt;1,AK54*IF($C17=TRUE,1-'Get Started  2'!$E10,1)&lt;&gt;0,SUM($G54:AK54)*IF($C17=TRUE,1-'Get Started  2'!$E10,1)&lt;&gt;AI54*IF($C17=TRUE,1-'Get Started  2'!$E10,1)),AK54*IF($C17=TRUE,1-'Get Started  2'!$E10,1)*(AK4-1)*AK14,0),IF(AK15="called",AK14*(AK60+AJ60)/2*IF($C17=TRUE,1-'Get Started  2'!$E10,1),AK14*(AK85+AJ85)/2*IF($C17=TRUE,1-'Get Started  2'!$E10,1))),0)</f>
        <v>122500</v>
      </c>
      <c r="AL41" s="37">
        <f>IFERROR(IF(AL15="committed",AL83*IF($C17=TRUE,1-'Get Started  2'!$E10,1)*AL14+IF(AND(AL4&lt;&gt;1,AL54*IF($C17=TRUE,1-'Get Started  2'!$E10,1)&lt;&gt;0,SUM($G54:AL54)*IF($C17=TRUE,1-'Get Started  2'!$E10,1)&lt;&gt;AJ54*IF($C17=TRUE,1-'Get Started  2'!$E10,1)),AL54*IF($C17=TRUE,1-'Get Started  2'!$E10,1)*(AL4-1)*AL14,0),IF(AL15="called",AL14*(AL60+AK60)/2*IF($C17=TRUE,1-'Get Started  2'!$E10,1),AL14*(AL85+AK85)/2*IF($C17=TRUE,1-'Get Started  2'!$E10,1))),0)</f>
        <v>122500</v>
      </c>
      <c r="AM41" s="37">
        <f>IFERROR(IF(AM15="committed",AM83*IF($C17=TRUE,1-'Get Started  2'!$E10,1)*AM14+IF(AND(AM4&lt;&gt;1,AM54*IF($C17=TRUE,1-'Get Started  2'!$E10,1)&lt;&gt;0,SUM($G54:AM54)*IF($C17=TRUE,1-'Get Started  2'!$E10,1)&lt;&gt;AK54*IF($C17=TRUE,1-'Get Started  2'!$E10,1)),AM54*IF($C17=TRUE,1-'Get Started  2'!$E10,1)*(AM4-1)*AM14,0),IF(AM15="called",AM14*(AM60+AL60)/2*IF($C17=TRUE,1-'Get Started  2'!$E10,1),AM14*(AM85+AL85)/2*IF($C17=TRUE,1-'Get Started  2'!$E10,1))),0)</f>
        <v>122500</v>
      </c>
      <c r="AN41" s="37">
        <f>IFERROR(IF(AN15="committed",AN83*IF($C17=TRUE,1-'Get Started  2'!$E10,1)*AN14+IF(AND(AN4&lt;&gt;1,AN54*IF($C17=TRUE,1-'Get Started  2'!$E10,1)&lt;&gt;0,SUM($G54:AN54)*IF($C17=TRUE,1-'Get Started  2'!$E10,1)&lt;&gt;AL54*IF($C17=TRUE,1-'Get Started  2'!$E10,1)),AN54*IF($C17=TRUE,1-'Get Started  2'!$E10,1)*(AN4-1)*AN14,0),IF(AN15="called",AN14*(AN60+AM60)/2*IF($C17=TRUE,1-'Get Started  2'!$E10,1),AN14*(AN85+AM85)/2*IF($C17=TRUE,1-'Get Started  2'!$E10,1))),0)</f>
        <v>122500</v>
      </c>
      <c r="AO41" s="37">
        <f>IFERROR(IF(AO15="committed",AO83*IF($C17=TRUE,1-'Get Started  2'!$E10,1)*AO14+IF(AND(AO4&lt;&gt;1,AO54*IF($C17=TRUE,1-'Get Started  2'!$E10,1)&lt;&gt;0,SUM($G54:AO54)*IF($C17=TRUE,1-'Get Started  2'!$E10,1)&lt;&gt;AM54*IF($C17=TRUE,1-'Get Started  2'!$E10,1)),AO54*IF($C17=TRUE,1-'Get Started  2'!$E10,1)*(AO4-1)*AO14,0),IF(AO15="called",AO14*(AO60+AN60)/2*IF($C17=TRUE,1-'Get Started  2'!$E10,1),AO14*(AO85+AN85)/2*IF($C17=TRUE,1-'Get Started  2'!$E10,1))),0)</f>
        <v>122500</v>
      </c>
      <c r="AP41" s="37">
        <f>IFERROR(IF(AP15="committed",AP83*IF($C17=TRUE,1-'Get Started  2'!$E10,1)*AP14+IF(AND(AP4&lt;&gt;1,AP54*IF($C17=TRUE,1-'Get Started  2'!$E10,1)&lt;&gt;0,SUM($G54:AP54)*IF($C17=TRUE,1-'Get Started  2'!$E10,1)&lt;&gt;AN54*IF($C17=TRUE,1-'Get Started  2'!$E10,1)),AP54*IF($C17=TRUE,1-'Get Started  2'!$E10,1)*(AP4-1)*AP14,0),IF(AP15="called",AP14*(AP60+AO60)/2*IF($C17=TRUE,1-'Get Started  2'!$E10,1),AP14*(AP85+AO85)/2*IF($C17=TRUE,1-'Get Started  2'!$E10,1))),0)</f>
        <v>122500</v>
      </c>
      <c r="AQ41" s="37">
        <f>IFERROR(IF(AQ15="committed",AQ83*IF($C17=TRUE,1-'Get Started  2'!$E10,1)*AQ14+IF(AND(AQ4&lt;&gt;1,AQ54*IF($C17=TRUE,1-'Get Started  2'!$E10,1)&lt;&gt;0,SUM($G54:AQ54)*IF($C17=TRUE,1-'Get Started  2'!$E10,1)&lt;&gt;AO54*IF($C17=TRUE,1-'Get Started  2'!$E10,1)),AQ54*IF($C17=TRUE,1-'Get Started  2'!$E10,1)*(AQ4-1)*AQ14,0),IF(AQ15="called",AQ14*(AQ60+AP60)/2*IF($C17=TRUE,1-'Get Started  2'!$E10,1),AQ14*(AQ85+AP85)/2*IF($C17=TRUE,1-'Get Started  2'!$E10,1))),0)</f>
        <v>122500</v>
      </c>
      <c r="AR41" s="37">
        <f>IFERROR(IF(AR15="committed",AR83*IF($C17=TRUE,1-'Get Started  2'!$E10,1)*AR14+IF(AND(AR4&lt;&gt;1,AR54*IF($C17=TRUE,1-'Get Started  2'!$E10,1)&lt;&gt;0,SUM($G54:AR54)*IF($C17=TRUE,1-'Get Started  2'!$E10,1)&lt;&gt;AP54*IF($C17=TRUE,1-'Get Started  2'!$E10,1)),AR54*IF($C17=TRUE,1-'Get Started  2'!$E10,1)*(AR4-1)*AR14,0),IF(AR15="called",AR14*(AR60+AQ60)/2*IF($C17=TRUE,1-'Get Started  2'!$E10,1),AR14*(AR85+AQ85)/2*IF($C17=TRUE,1-'Get Started  2'!$E10,1))),0)</f>
        <v>122500</v>
      </c>
      <c r="AS41" s="37">
        <f>IFERROR(IF(AS15="committed",AS83*IF($C17=TRUE,1-'Get Started  2'!$E10,1)*AS14+IF(AND(AS4&lt;&gt;1,AS54*IF($C17=TRUE,1-'Get Started  2'!$E10,1)&lt;&gt;0,SUM($G54:AS54)*IF($C17=TRUE,1-'Get Started  2'!$E10,1)&lt;&gt;AQ54*IF($C17=TRUE,1-'Get Started  2'!$E10,1)),AS54*IF($C17=TRUE,1-'Get Started  2'!$E10,1)*(AS4-1)*AS14,0),IF(AS15="called",AS14*(AS60+AR60)/2*IF($C17=TRUE,1-'Get Started  2'!$E10,1),AS14*(AS85+AR85)/2*IF($C17=TRUE,1-'Get Started  2'!$E10,1))),0)</f>
        <v>122500</v>
      </c>
      <c r="AT41" s="37">
        <f>IFERROR(IF(AT15="committed",AT83*IF($C17=TRUE,1-'Get Started  2'!$E10,1)*AT14+IF(AND(AT4&lt;&gt;1,AT54*IF($C17=TRUE,1-'Get Started  2'!$E10,1)&lt;&gt;0,SUM($G54:AT54)*IF($C17=TRUE,1-'Get Started  2'!$E10,1)&lt;&gt;AR54*IF($C17=TRUE,1-'Get Started  2'!$E10,1)),AT54*IF($C17=TRUE,1-'Get Started  2'!$E10,1)*(AT4-1)*AT14,0),IF(AT15="called",AT14*(AT60+AS60)/2*IF($C17=TRUE,1-'Get Started  2'!$E10,1),AT14*(AT85+AS85)/2*IF($C17=TRUE,1-'Get Started  2'!$E10,1))),0)</f>
        <v>122500</v>
      </c>
      <c r="AU41" s="37">
        <f>IFERROR(IF(AU15="committed",AU83*IF($C17=TRUE,1-'Get Started  2'!$E10,1)*AU14+IF(AND(AU4&lt;&gt;1,AU54*IF($C17=TRUE,1-'Get Started  2'!$E10,1)&lt;&gt;0,SUM($G54:AU54)*IF($C17=TRUE,1-'Get Started  2'!$E10,1)&lt;&gt;AS54*IF($C17=TRUE,1-'Get Started  2'!$E10,1)),AU54*IF($C17=TRUE,1-'Get Started  2'!$E10,1)*(AU4-1)*AU14,0),IF(AU15="called",AU14*(AU60+AT60)/2*IF($C17=TRUE,1-'Get Started  2'!$E10,1),AU14*(AU85+AT85)/2*IF($C17=TRUE,1-'Get Started  2'!$E10,1))),0)</f>
        <v>0</v>
      </c>
      <c r="AV41" s="37">
        <f>IFERROR(IF(AV15="committed",AV83*IF($C17=TRUE,1-'Get Started  2'!$E10,1)*AV14+IF(AND(AV4&lt;&gt;1,AV54*IF($C17=TRUE,1-'Get Started  2'!$E10,1)&lt;&gt;0,SUM($G54:AV54)*IF($C17=TRUE,1-'Get Started  2'!$E10,1)&lt;&gt;AT54*IF($C17=TRUE,1-'Get Started  2'!$E10,1)),AV54*IF($C17=TRUE,1-'Get Started  2'!$E10,1)*(AV4-1)*AV14,0),IF(AV15="called",AV14*(AV60+AU60)/2*IF($C17=TRUE,1-'Get Started  2'!$E10,1),AV14*(AV85+AU85)/2*IF($C17=TRUE,1-'Get Started  2'!$E10,1))),0)</f>
        <v>0</v>
      </c>
      <c r="AW41" s="37">
        <f>IFERROR(IF(AW15="committed",AW83*IF($C17=TRUE,1-'Get Started  2'!$E10,1)*AW14+IF(AND(AW4&lt;&gt;1,AW54*IF($C17=TRUE,1-'Get Started  2'!$E10,1)&lt;&gt;0,SUM($G54:AW54)*IF($C17=TRUE,1-'Get Started  2'!$E10,1)&lt;&gt;AU54*IF($C17=TRUE,1-'Get Started  2'!$E10,1)),AW54*IF($C17=TRUE,1-'Get Started  2'!$E10,1)*(AW4-1)*AW14,0),IF(AW15="called",AW14*(AW60+AV60)/2*IF($C17=TRUE,1-'Get Started  2'!$E10,1),AW14*(AW85+AV85)/2*IF($C17=TRUE,1-'Get Started  2'!$E10,1))),0)</f>
        <v>0</v>
      </c>
      <c r="AX41" s="37">
        <f>IFERROR(IF(AX15="committed",AX83*IF($C17=TRUE,1-'Get Started  2'!$E10,1)*AX14+IF(AND(AX4&lt;&gt;1,AX54*IF($C17=TRUE,1-'Get Started  2'!$E10,1)&lt;&gt;0,SUM($G54:AX54)*IF($C17=TRUE,1-'Get Started  2'!$E10,1)&lt;&gt;AV54*IF($C17=TRUE,1-'Get Started  2'!$E10,1)),AX54*IF($C17=TRUE,1-'Get Started  2'!$E10,1)*(AX4-1)*AX14,0),IF(AX15="called",AX14*(AX60+AW60)/2*IF($C17=TRUE,1-'Get Started  2'!$E10,1),AX14*(AX85+AW85)/2*IF($C17=TRUE,1-'Get Started  2'!$E10,1))),0)</f>
        <v>0</v>
      </c>
      <c r="AY41" s="37">
        <f>IFERROR(IF(AY15="committed",AY83*IF($C17=TRUE,1-'Get Started  2'!$E10,1)*AY14+IF(AND(AY4&lt;&gt;1,AY54*IF($C17=TRUE,1-'Get Started  2'!$E10,1)&lt;&gt;0,SUM($G54:AY54)*IF($C17=TRUE,1-'Get Started  2'!$E10,1)&lt;&gt;AW54*IF($C17=TRUE,1-'Get Started  2'!$E10,1)),AY54*IF($C17=TRUE,1-'Get Started  2'!$E10,1)*(AY4-1)*AY14,0),IF(AY15="called",AY14*(AY60+AX60)/2*IF($C17=TRUE,1-'Get Started  2'!$E10,1),AY14*(AY85+AX85)/2*IF($C17=TRUE,1-'Get Started  2'!$E10,1))),0)</f>
        <v>0</v>
      </c>
      <c r="AZ41" s="37">
        <f>IFERROR(IF(AZ15="committed",AZ83*IF($C17=TRUE,1-'Get Started  2'!$E10,1)*AZ14+IF(AND(AZ4&lt;&gt;1,AZ54*IF($C17=TRUE,1-'Get Started  2'!$E10,1)&lt;&gt;0,SUM($G54:AZ54)*IF($C17=TRUE,1-'Get Started  2'!$E10,1)&lt;&gt;AX54*IF($C17=TRUE,1-'Get Started  2'!$E10,1)),AZ54*IF($C17=TRUE,1-'Get Started  2'!$E10,1)*(AZ4-1)*AZ14,0),IF(AZ15="called",AZ14*(AZ60+AY60)/2*IF($C17=TRUE,1-'Get Started  2'!$E10,1),AZ14*(AZ85+AY85)/2*IF($C17=TRUE,1-'Get Started  2'!$E10,1))),0)</f>
        <v>0</v>
      </c>
      <c r="BA41" s="37">
        <f>IFERROR(IF(BA15="committed",BA83*IF($C17=TRUE,1-'Get Started  2'!$E10,1)*BA14+IF(AND(BA4&lt;&gt;1,BA54*IF($C17=TRUE,1-'Get Started  2'!$E10,1)&lt;&gt;0,SUM($G54:BA54)*IF($C17=TRUE,1-'Get Started  2'!$E10,1)&lt;&gt;AY54*IF($C17=TRUE,1-'Get Started  2'!$E10,1)),BA54*IF($C17=TRUE,1-'Get Started  2'!$E10,1)*(BA4-1)*BA14,0),IF(BA15="called",BA14*(BA60+AZ60)/2*IF($C17=TRUE,1-'Get Started  2'!$E10,1),BA14*(BA85+AZ85)/2*IF($C17=TRUE,1-'Get Started  2'!$E10,1))),0)</f>
        <v>0</v>
      </c>
      <c r="BB41" s="37">
        <f>IFERROR(IF(BB15="committed",BB83*IF($C17=TRUE,1-'Get Started  2'!$E10,1)*BB14+IF(AND(BB4&lt;&gt;1,BB54*IF($C17=TRUE,1-'Get Started  2'!$E10,1)&lt;&gt;0,SUM($G54:BB54)*IF($C17=TRUE,1-'Get Started  2'!$E10,1)&lt;&gt;AZ54*IF($C17=TRUE,1-'Get Started  2'!$E10,1)),BB54*IF($C17=TRUE,1-'Get Started  2'!$E10,1)*(BB4-1)*BB14,0),IF(BB15="called",BB14*(BB60+BA60)/2*IF($C17=TRUE,1-'Get Started  2'!$E10,1),BB14*(BB85+BA85)/2*IF($C17=TRUE,1-'Get Started  2'!$E10,1))),0)</f>
        <v>0</v>
      </c>
      <c r="BC41" s="37">
        <f>IFERROR(IF(BC15="committed",BC83*IF($C17=TRUE,1-'Get Started  2'!$E10,1)*BC14+IF(AND(BC4&lt;&gt;1,BC54*IF($C17=TRUE,1-'Get Started  2'!$E10,1)&lt;&gt;0,SUM($G54:BC54)*IF($C17=TRUE,1-'Get Started  2'!$E10,1)&lt;&gt;BA54*IF($C17=TRUE,1-'Get Started  2'!$E10,1)),BC54*IF($C17=TRUE,1-'Get Started  2'!$E10,1)*(BC4-1)*BC14,0),IF(BC15="called",BC14*(BC60+BB60)/2*IF($C17=TRUE,1-'Get Started  2'!$E10,1),BC14*(BC85+BB85)/2*IF($C17=TRUE,1-'Get Started  2'!$E10,1))),0)</f>
        <v>0</v>
      </c>
      <c r="BD41" s="37">
        <f>IFERROR(IF(BD15="committed",BD83*IF($C17=TRUE,1-'Get Started  2'!$E10,1)*BD14+IF(AND(BD4&lt;&gt;1,BD54*IF($C17=TRUE,1-'Get Started  2'!$E10,1)&lt;&gt;0,SUM($G54:BD54)*IF($C17=TRUE,1-'Get Started  2'!$E10,1)&lt;&gt;BB54*IF($C17=TRUE,1-'Get Started  2'!$E10,1)),BD54*IF($C17=TRUE,1-'Get Started  2'!$E10,1)*(BD4-1)*BD14,0),IF(BD15="called",BD14*(BD60+BC60)/2*IF($C17=TRUE,1-'Get Started  2'!$E10,1),BD14*(BD85+BC85)/2*IF($C17=TRUE,1-'Get Started  2'!$E10,1))),0)</f>
        <v>0</v>
      </c>
      <c r="BE41" s="37">
        <f>IFERROR(IF(BE15="committed",BE83*IF($C17=TRUE,1-'Get Started  2'!$E10,1)*BE14+IF(AND(BE4&lt;&gt;1,BE54*IF($C17=TRUE,1-'Get Started  2'!$E10,1)&lt;&gt;0,SUM($G54:BE54)*IF($C17=TRUE,1-'Get Started  2'!$E10,1)&lt;&gt;BC54*IF($C17=TRUE,1-'Get Started  2'!$E10,1)),BE54*IF($C17=TRUE,1-'Get Started  2'!$E10,1)*(BE4-1)*BE14,0),IF(BE15="called",BE14*(BE60+BD60)/2*IF($C17=TRUE,1-'Get Started  2'!$E10,1),BE14*(BE85+BD85)/2*IF($C17=TRUE,1-'Get Started  2'!$E10,1))),0)</f>
        <v>0</v>
      </c>
      <c r="BF41" s="37">
        <f>IFERROR(IF(BF15="committed",BF83*IF($C17=TRUE,1-'Get Started  2'!$E10,1)*BF14+IF(AND(BF4&lt;&gt;1,BF54*IF($C17=TRUE,1-'Get Started  2'!$E10,1)&lt;&gt;0,SUM($G54:BF54)*IF($C17=TRUE,1-'Get Started  2'!$E10,1)&lt;&gt;BD54*IF($C17=TRUE,1-'Get Started  2'!$E10,1)),BF54*IF($C17=TRUE,1-'Get Started  2'!$E10,1)*(BF4-1)*BF14,0),IF(BF15="called",BF14*(BF60+BE60)/2*IF($C17=TRUE,1-'Get Started  2'!$E10,1),BF14*(BF85+BE85)/2*IF($C17=TRUE,1-'Get Started  2'!$E10,1))),0)</f>
        <v>0</v>
      </c>
      <c r="BG41" s="37">
        <f>IFERROR(IF(BG15="committed",BG83*IF($C17=TRUE,1-'Get Started  2'!$E10,1)*BG14+IF(AND(BG4&lt;&gt;1,BG54*IF($C17=TRUE,1-'Get Started  2'!$E10,1)&lt;&gt;0,SUM($G54:BG54)*IF($C17=TRUE,1-'Get Started  2'!$E10,1)&lt;&gt;BE54*IF($C17=TRUE,1-'Get Started  2'!$E10,1)),BG54*IF($C17=TRUE,1-'Get Started  2'!$E10,1)*(BG4-1)*BG14,0),IF(BG15="called",BG14*(BG60+BF60)/2*IF($C17=TRUE,1-'Get Started  2'!$E10,1),BG14*(BG85+BF85)/2*IF($C17=TRUE,1-'Get Started  2'!$E10,1))),0)</f>
        <v>0</v>
      </c>
      <c r="BH41" s="37">
        <f>IFERROR(IF(BH15="committed",BH83*IF($C17=TRUE,1-'Get Started  2'!$E10,1)*BH14+IF(AND(BH4&lt;&gt;1,BH54*IF($C17=TRUE,1-'Get Started  2'!$E10,1)&lt;&gt;0,SUM($G54:BH54)*IF($C17=TRUE,1-'Get Started  2'!$E10,1)&lt;&gt;BF54*IF($C17=TRUE,1-'Get Started  2'!$E10,1)),BH54*IF($C17=TRUE,1-'Get Started  2'!$E10,1)*(BH4-1)*BH14,0),IF(BH15="called",BH14*(BH60+BG60)/2*IF($C17=TRUE,1-'Get Started  2'!$E10,1),BH14*(BH85+BG85)/2*IF($C17=TRUE,1-'Get Started  2'!$E10,1))),0)</f>
        <v>0</v>
      </c>
      <c r="BI41" s="37">
        <f>IFERROR(IF(BI15="committed",BI83*IF($C17=TRUE,1-'Get Started  2'!$E10,1)*BI14+IF(AND(BI4&lt;&gt;1,BI54*IF($C17=TRUE,1-'Get Started  2'!$E10,1)&lt;&gt;0,SUM($G54:BI54)*IF($C17=TRUE,1-'Get Started  2'!$E10,1)&lt;&gt;BG54*IF($C17=TRUE,1-'Get Started  2'!$E10,1)),BI54*IF($C17=TRUE,1-'Get Started  2'!$E10,1)*(BI4-1)*BI14,0),IF(BI15="called",BI14*(BI60+BH60)/2*IF($C17=TRUE,1-'Get Started  2'!$E10,1),BI14*(BI85+BH85)/2*IF($C17=TRUE,1-'Get Started  2'!$E10,1))),0)</f>
        <v>0</v>
      </c>
      <c r="BJ41" s="37">
        <f>IFERROR(IF(BJ15="committed",BJ83*IF($C17=TRUE,1-'Get Started  2'!$E10,1)*BJ14+IF(AND(BJ4&lt;&gt;1,BJ54*IF($C17=TRUE,1-'Get Started  2'!$E10,1)&lt;&gt;0,SUM($G54:BJ54)*IF($C17=TRUE,1-'Get Started  2'!$E10,1)&lt;&gt;BH54*IF($C17=TRUE,1-'Get Started  2'!$E10,1)),BJ54*IF($C17=TRUE,1-'Get Started  2'!$E10,1)*(BJ4-1)*BJ14,0),IF(BJ15="called",BJ14*(BJ60+BI60)/2*IF($C17=TRUE,1-'Get Started  2'!$E10,1),BJ14*(BJ85+BI85)/2*IF($C17=TRUE,1-'Get Started  2'!$E10,1))),0)</f>
        <v>0</v>
      </c>
      <c r="BK41" s="37">
        <f>IFERROR(IF(BK15="committed",BK83*IF($C17=TRUE,1-'Get Started  2'!$E10,1)*BK14+IF(AND(BK4&lt;&gt;1,BK54*IF($C17=TRUE,1-'Get Started  2'!$E10,1)&lt;&gt;0,SUM($G54:BK54)*IF($C17=TRUE,1-'Get Started  2'!$E10,1)&lt;&gt;BI54*IF($C17=TRUE,1-'Get Started  2'!$E10,1)),BK54*IF($C17=TRUE,1-'Get Started  2'!$E10,1)*(BK4-1)*BK14,0),IF(BK15="called",BK14*(BK60+BJ60)/2*IF($C17=TRUE,1-'Get Started  2'!$E10,1),BK14*(BK85+BJ85)/2*IF($C17=TRUE,1-'Get Started  2'!$E10,1))),0)</f>
        <v>0</v>
      </c>
      <c r="BL41" s="37">
        <f>IFERROR(IF(BL15="committed",BL83*IF($C17=TRUE,1-'Get Started  2'!$E10,1)*BL14+IF(AND(BL4&lt;&gt;1,BL54*IF($C17=TRUE,1-'Get Started  2'!$E10,1)&lt;&gt;0,SUM($G54:BL54)*IF($C17=TRUE,1-'Get Started  2'!$E10,1)&lt;&gt;BJ54*IF($C17=TRUE,1-'Get Started  2'!$E10,1)),BL54*IF($C17=TRUE,1-'Get Started  2'!$E10,1)*(BL4-1)*BL14,0),IF(BL15="called",BL14*(BL60+BK60)/2*IF($C17=TRUE,1-'Get Started  2'!$E10,1),BL14*(BL85+BK85)/2*IF($C17=TRUE,1-'Get Started  2'!$E10,1))),0)</f>
        <v>0</v>
      </c>
      <c r="BM41" s="37">
        <f>IFERROR(IF(BM15="committed",BM83*IF($C17=TRUE,1-'Get Started  2'!$E10,1)*BM14+IF(AND(BM4&lt;&gt;1,BM54*IF($C17=TRUE,1-'Get Started  2'!$E10,1)&lt;&gt;0,SUM($G54:BM54)*IF($C17=TRUE,1-'Get Started  2'!$E10,1)&lt;&gt;BK54*IF($C17=TRUE,1-'Get Started  2'!$E10,1)),BM54*IF($C17=TRUE,1-'Get Started  2'!$E10,1)*(BM4-1)*BM14,0),IF(BM15="called",BM14*(BM60+BL60)/2*IF($C17=TRUE,1-'Get Started  2'!$E10,1),BM14*(BM85+BL85)/2*IF($C17=TRUE,1-'Get Started  2'!$E10,1))),0)</f>
        <v>0</v>
      </c>
      <c r="BN41" s="37">
        <f>IFERROR(IF(BN15="committed",BN83*IF($C17=TRUE,1-'Get Started  2'!$E10,1)*BN14+IF(AND(BN4&lt;&gt;1,BN54*IF($C17=TRUE,1-'Get Started  2'!$E10,1)&lt;&gt;0,SUM($G54:BN54)*IF($C17=TRUE,1-'Get Started  2'!$E10,1)&lt;&gt;BL54*IF($C17=TRUE,1-'Get Started  2'!$E10,1)),BN54*IF($C17=TRUE,1-'Get Started  2'!$E10,1)*(BN4-1)*BN14,0),IF(BN15="called",BN14*(BN60+BM60)/2*IF($C17=TRUE,1-'Get Started  2'!$E10,1),BN14*(BN85+BM85)/2*IF($C17=TRUE,1-'Get Started  2'!$E10,1))),0)</f>
        <v>0</v>
      </c>
      <c r="BO41" s="37">
        <f>IFERROR(IF(BO15="committed",BO83*IF($C17=TRUE,1-'Get Started  2'!$E10,1)*BO14+IF(AND(BO4&lt;&gt;1,BO54*IF($C17=TRUE,1-'Get Started  2'!$E10,1)&lt;&gt;0,SUM($G54:BO54)*IF($C17=TRUE,1-'Get Started  2'!$E10,1)&lt;&gt;BM54*IF($C17=TRUE,1-'Get Started  2'!$E10,1)),BO54*IF($C17=TRUE,1-'Get Started  2'!$E10,1)*(BO4-1)*BO14,0),IF(BO15="called",BO14*(BO60+BN60)/2*IF($C17=TRUE,1-'Get Started  2'!$E10,1),BO14*(BO85+BN85)/2*IF($C17=TRUE,1-'Get Started  2'!$E10,1))),0)</f>
        <v>0</v>
      </c>
      <c r="BP41" s="37">
        <f>IFERROR(IF(BP15="committed",BP83*IF($C17=TRUE,1-'Get Started  2'!$E10,1)*BP14+IF(AND(BP4&lt;&gt;1,BP54*IF($C17=TRUE,1-'Get Started  2'!$E10,1)&lt;&gt;0,SUM($G54:BP54)*IF($C17=TRUE,1-'Get Started  2'!$E10,1)&lt;&gt;BN54*IF($C17=TRUE,1-'Get Started  2'!$E10,1)),BP54*IF($C17=TRUE,1-'Get Started  2'!$E10,1)*(BP4-1)*BP14,0),IF(BP15="called",BP14*(BP60+BO60)/2*IF($C17=TRUE,1-'Get Started  2'!$E10,1),BP14*(BP85+BO85)/2*IF($C17=TRUE,1-'Get Started  2'!$E10,1))),0)</f>
        <v>0</v>
      </c>
      <c r="BQ41" s="37">
        <f>IFERROR(IF(BQ15="committed",BQ83*IF($C17=TRUE,1-'Get Started  2'!$E10,1)*BQ14+IF(AND(BQ4&lt;&gt;1,BQ54*IF($C17=TRUE,1-'Get Started  2'!$E10,1)&lt;&gt;0,SUM($G54:BQ54)*IF($C17=TRUE,1-'Get Started  2'!$E10,1)&lt;&gt;BO54*IF($C17=TRUE,1-'Get Started  2'!$E10,1)),BQ54*IF($C17=TRUE,1-'Get Started  2'!$E10,1)*(BQ4-1)*BQ14,0),IF(BQ15="called",BQ14*(BQ60+BP60)/2*IF($C17=TRUE,1-'Get Started  2'!$E10,1),BQ14*(BQ85+BP85)/2*IF($C17=TRUE,1-'Get Started  2'!$E10,1))),0)</f>
        <v>0</v>
      </c>
      <c r="BR41" s="37">
        <f>IFERROR(IF(BR15="committed",BR83*IF($C17=TRUE,1-'Get Started  2'!$E10,1)*BR14+IF(AND(BR4&lt;&gt;1,BR54*IF($C17=TRUE,1-'Get Started  2'!$E10,1)&lt;&gt;0,SUM($G54:BR54)*IF($C17=TRUE,1-'Get Started  2'!$E10,1)&lt;&gt;BP54*IF($C17=TRUE,1-'Get Started  2'!$E10,1)),BR54*IF($C17=TRUE,1-'Get Started  2'!$E10,1)*(BR4-1)*BR14,0),IF(BR15="called",BR14*(BR60+BQ60)/2*IF($C17=TRUE,1-'Get Started  2'!$E10,1),BR14*(BR85+BQ85)/2*IF($C17=TRUE,1-'Get Started  2'!$E10,1))),0)</f>
        <v>0</v>
      </c>
      <c r="BS41" s="37">
        <f>IFERROR(IF(BS15="committed",BS83*IF($C17=TRUE,1-'Get Started  2'!$E10,1)*BS14+IF(AND(BS4&lt;&gt;1,BS54*IF($C17=TRUE,1-'Get Started  2'!$E10,1)&lt;&gt;0,SUM($G54:BS54)*IF($C17=TRUE,1-'Get Started  2'!$E10,1)&lt;&gt;BQ54*IF($C17=TRUE,1-'Get Started  2'!$E10,1)),BS54*IF($C17=TRUE,1-'Get Started  2'!$E10,1)*(BS4-1)*BS14,0),IF(BS15="called",BS14*(BS60+BR60)/2*IF($C17=TRUE,1-'Get Started  2'!$E10,1),BS14*(BS85+BR85)/2*IF($C17=TRUE,1-'Get Started  2'!$E10,1))),0)</f>
        <v>0</v>
      </c>
      <c r="BT41" s="37">
        <f>IFERROR(IF(BT15="committed",BT83*IF($C17=TRUE,1-'Get Started  2'!$E10,1)*BT14+IF(AND(BT4&lt;&gt;1,BT54*IF($C17=TRUE,1-'Get Started  2'!$E10,1)&lt;&gt;0,SUM($G54:BT54)*IF($C17=TRUE,1-'Get Started  2'!$E10,1)&lt;&gt;BR54*IF($C17=TRUE,1-'Get Started  2'!$E10,1)),BT54*IF($C17=TRUE,1-'Get Started  2'!$E10,1)*(BT4-1)*BT14,0),IF(BT15="called",BT14*(BT60+BS60)/2*IF($C17=TRUE,1-'Get Started  2'!$E10,1),BT14*(BT85+BS85)/2*IF($C17=TRUE,1-'Get Started  2'!$E10,1))),0)</f>
        <v>0</v>
      </c>
      <c r="BU41" s="37">
        <f>IFERROR(IF(BU15="committed",BU83*IF($C17=TRUE,1-'Get Started  2'!$E10,1)*BU14+IF(AND(BU4&lt;&gt;1,BU54*IF($C17=TRUE,1-'Get Started  2'!$E10,1)&lt;&gt;0,SUM($G54:BU54)*IF($C17=TRUE,1-'Get Started  2'!$E10,1)&lt;&gt;BS54*IF($C17=TRUE,1-'Get Started  2'!$E10,1)),BU54*IF($C17=TRUE,1-'Get Started  2'!$E10,1)*(BU4-1)*BU14,0),IF(BU15="called",BU14*(BU60+BT60)/2*IF($C17=TRUE,1-'Get Started  2'!$E10,1),BU14*(BU85+BT85)/2*IF($C17=TRUE,1-'Get Started  2'!$E10,1))),0)</f>
        <v>0</v>
      </c>
      <c r="BV41" s="37">
        <f>IFERROR(IF(BV15="committed",BV83*IF($C17=TRUE,1-'Get Started  2'!$E10,1)*BV14+IF(AND(BV4&lt;&gt;1,BV54*IF($C17=TRUE,1-'Get Started  2'!$E10,1)&lt;&gt;0,SUM($G54:BV54)*IF($C17=TRUE,1-'Get Started  2'!$E10,1)&lt;&gt;BT54*IF($C17=TRUE,1-'Get Started  2'!$E10,1)),BV54*IF($C17=TRUE,1-'Get Started  2'!$E10,1)*(BV4-1)*BV14,0),IF(BV15="called",BV14*(BV60+BU60)/2*IF($C17=TRUE,1-'Get Started  2'!$E10,1),BV14*(BV85+BU85)/2*IF($C17=TRUE,1-'Get Started  2'!$E10,1))),0)</f>
        <v>0</v>
      </c>
      <c r="BW41" s="37">
        <f>IFERROR(IF(BW15="committed",BW83*IF($C17=TRUE,1-'Get Started  2'!$E10,1)*BW14+IF(AND(BW4&lt;&gt;1,BW54*IF($C17=TRUE,1-'Get Started  2'!$E10,1)&lt;&gt;0,SUM($G54:BW54)*IF($C17=TRUE,1-'Get Started  2'!$E10,1)&lt;&gt;BU54*IF($C17=TRUE,1-'Get Started  2'!$E10,1)),BW54*IF($C17=TRUE,1-'Get Started  2'!$E10,1)*(BW4-1)*BW14,0),IF(BW15="called",BW14*(BW60+BV60)/2*IF($C17=TRUE,1-'Get Started  2'!$E10,1),BW14*(BW85+BV85)/2*IF($C17=TRUE,1-'Get Started  2'!$E10,1))),0)</f>
        <v>0</v>
      </c>
      <c r="BX41" s="37">
        <f>IFERROR(IF(BX15="committed",BX83*IF($C17=TRUE,1-'Get Started  2'!$E10,1)*BX14+IF(AND(BX4&lt;&gt;1,BX54*IF($C17=TRUE,1-'Get Started  2'!$E10,1)&lt;&gt;0,SUM($G54:BX54)*IF($C17=TRUE,1-'Get Started  2'!$E10,1)&lt;&gt;BV54*IF($C17=TRUE,1-'Get Started  2'!$E10,1)),BX54*IF($C17=TRUE,1-'Get Started  2'!$E10,1)*(BX4-1)*BX14,0),IF(BX15="called",BX14*(BX60+BW60)/2*IF($C17=TRUE,1-'Get Started  2'!$E10,1),BX14*(BX85+BW85)/2*IF($C17=TRUE,1-'Get Started  2'!$E10,1))),0)</f>
        <v>0</v>
      </c>
      <c r="BY41" s="37">
        <f>IFERROR(IF(BY15="committed",BY83*IF($C17=TRUE,1-'Get Started  2'!$E10,1)*BY14+IF(AND(BY4&lt;&gt;1,BY54*IF($C17=TRUE,1-'Get Started  2'!$E10,1)&lt;&gt;0,SUM($G54:BY54)*IF($C17=TRUE,1-'Get Started  2'!$E10,1)&lt;&gt;BW54*IF($C17=TRUE,1-'Get Started  2'!$E10,1)),BY54*IF($C17=TRUE,1-'Get Started  2'!$E10,1)*(BY4-1)*BY14,0),IF(BY15="called",BY14*(BY60+BX60)/2*IF($C17=TRUE,1-'Get Started  2'!$E10,1),BY14*(BY85+BX85)/2*IF($C17=TRUE,1-'Get Started  2'!$E10,1))),0)</f>
        <v>0</v>
      </c>
      <c r="BZ41" s="37">
        <f>IFERROR(IF(BZ15="committed",BZ83*IF($C17=TRUE,1-'Get Started  2'!$E10,1)*BZ14+IF(AND(BZ4&lt;&gt;1,BZ54*IF($C17=TRUE,1-'Get Started  2'!$E10,1)&lt;&gt;0,SUM($G54:BZ54)*IF($C17=TRUE,1-'Get Started  2'!$E10,1)&lt;&gt;BX54*IF($C17=TRUE,1-'Get Started  2'!$E10,1)),BZ54*IF($C17=TRUE,1-'Get Started  2'!$E10,1)*(BZ4-1)*BZ14,0),IF(BZ15="called",BZ14*(BZ60+BY60)/2*IF($C17=TRUE,1-'Get Started  2'!$E10,1),BZ14*(BZ85+BY85)/2*IF($C17=TRUE,1-'Get Started  2'!$E10,1))),0)</f>
        <v>0</v>
      </c>
      <c r="CA41" s="37">
        <f>IFERROR(IF(CA15="committed",CA83*IF($C17=TRUE,1-'Get Started  2'!$E10,1)*CA14+IF(AND(CA4&lt;&gt;1,CA54*IF($C17=TRUE,1-'Get Started  2'!$E10,1)&lt;&gt;0,SUM($G54:CA54)*IF($C17=TRUE,1-'Get Started  2'!$E10,1)&lt;&gt;BY54*IF($C17=TRUE,1-'Get Started  2'!$E10,1)),CA54*IF($C17=TRUE,1-'Get Started  2'!$E10,1)*(CA4-1)*CA14,0),IF(CA15="called",CA14*(CA60+BZ60)/2*IF($C17=TRUE,1-'Get Started  2'!$E10,1),CA14*(CA85+BZ85)/2*IF($C17=TRUE,1-'Get Started  2'!$E10,1))),0)</f>
        <v>0</v>
      </c>
      <c r="CB41" s="37">
        <f>IFERROR(IF(CB15="committed",CB83*IF($C17=TRUE,1-'Get Started  2'!$E10,1)*CB14+IF(AND(CB4&lt;&gt;1,CB54*IF($C17=TRUE,1-'Get Started  2'!$E10,1)&lt;&gt;0,SUM($G54:CB54)*IF($C17=TRUE,1-'Get Started  2'!$E10,1)&lt;&gt;BZ54*IF($C17=TRUE,1-'Get Started  2'!$E10,1)),CB54*IF($C17=TRUE,1-'Get Started  2'!$E10,1)*(CB4-1)*CB14,0),IF(CB15="called",CB14*(CB60+CA60)/2*IF($C17=TRUE,1-'Get Started  2'!$E10,1),CB14*(CB85+CA85)/2*IF($C17=TRUE,1-'Get Started  2'!$E10,1))),0)</f>
        <v>0</v>
      </c>
      <c r="CC41" s="37">
        <f>IFERROR(IF(CC15="committed",CC83*IF($C17=TRUE,1-'Get Started  2'!$E10,1)*CC14+IF(AND(CC4&lt;&gt;1,CC54*IF($C17=TRUE,1-'Get Started  2'!$E10,1)&lt;&gt;0,SUM($G54:CC54)*IF($C17=TRUE,1-'Get Started  2'!$E10,1)&lt;&gt;CA54*IF($C17=TRUE,1-'Get Started  2'!$E10,1)),CC54*IF($C17=TRUE,1-'Get Started  2'!$E10,1)*(CC4-1)*CC14,0),IF(CC15="called",CC14*(CC60+CB60)/2*IF($C17=TRUE,1-'Get Started  2'!$E10,1),CC14*(CC85+CB85)/2*IF($C17=TRUE,1-'Get Started  2'!$E10,1))),0)</f>
        <v>0</v>
      </c>
      <c r="CD41" s="37">
        <f>IFERROR(IF(CD15="committed",CD83*IF($C17=TRUE,1-'Get Started  2'!$E10,1)*CD14+IF(AND(CD4&lt;&gt;1,CD54*IF($C17=TRUE,1-'Get Started  2'!$E10,1)&lt;&gt;0,SUM($G54:CD54)*IF($C17=TRUE,1-'Get Started  2'!$E10,1)&lt;&gt;CB54*IF($C17=TRUE,1-'Get Started  2'!$E10,1)),CD54*IF($C17=TRUE,1-'Get Started  2'!$E10,1)*(CD4-1)*CD14,0),IF(CD15="called",CD14*(CD60+CC60)/2*IF($C17=TRUE,1-'Get Started  2'!$E10,1),CD14*(CD85+CC85)/2*IF($C17=TRUE,1-'Get Started  2'!$E10,1))),0)</f>
        <v>0</v>
      </c>
      <c r="CE41" s="37">
        <f>IFERROR(IF(CE15="committed",CE83*IF($C17=TRUE,1-'Get Started  2'!$E10,1)*CE14+IF(AND(CE4&lt;&gt;1,CE54*IF($C17=TRUE,1-'Get Started  2'!$E10,1)&lt;&gt;0,SUM($G54:CE54)*IF($C17=TRUE,1-'Get Started  2'!$E10,1)&lt;&gt;CC54*IF($C17=TRUE,1-'Get Started  2'!$E10,1)),CE54*IF($C17=TRUE,1-'Get Started  2'!$E10,1)*(CE4-1)*CE14,0),IF(CE15="called",CE14*(CE60+CD60)/2*IF($C17=TRUE,1-'Get Started  2'!$E10,1),CE14*(CE85+CD85)/2*IF($C17=TRUE,1-'Get Started  2'!$E10,1))),0)</f>
        <v>0</v>
      </c>
      <c r="CF41" s="37">
        <f>IFERROR(IF(CF15="committed",CF83*IF($C17=TRUE,1-'Get Started  2'!$E10,1)*CF14+IF(AND(CF4&lt;&gt;1,CF54*IF($C17=TRUE,1-'Get Started  2'!$E10,1)&lt;&gt;0,SUM($G54:CF54)*IF($C17=TRUE,1-'Get Started  2'!$E10,1)&lt;&gt;CD54*IF($C17=TRUE,1-'Get Started  2'!$E10,1)),CF54*IF($C17=TRUE,1-'Get Started  2'!$E10,1)*(CF4-1)*CF14,0),IF(CF15="called",CF14*(CF60+CE60)/2*IF($C17=TRUE,1-'Get Started  2'!$E10,1),CF14*(CF85+CE85)/2*IF($C17=TRUE,1-'Get Started  2'!$E10,1))),0)</f>
        <v>0</v>
      </c>
      <c r="CG41" s="37">
        <f>IFERROR(IF(CG15="committed",CG83*IF($C17=TRUE,1-'Get Started  2'!$E10,1)*CG14+IF(AND(CG4&lt;&gt;1,CG54*IF($C17=TRUE,1-'Get Started  2'!$E10,1)&lt;&gt;0,SUM($G54:CG54)*IF($C17=TRUE,1-'Get Started  2'!$E10,1)&lt;&gt;CE54*IF($C17=TRUE,1-'Get Started  2'!$E10,1)),CG54*IF($C17=TRUE,1-'Get Started  2'!$E10,1)*(CG4-1)*CG14,0),IF(CG15="called",CG14*(CG60+CF60)/2*IF($C17=TRUE,1-'Get Started  2'!$E10,1),CG14*(CG85+CF85)/2*IF($C17=TRUE,1-'Get Started  2'!$E10,1))),0)</f>
        <v>0</v>
      </c>
      <c r="CH41" s="37">
        <f>IFERROR(IF(CH15="committed",CH83*IF($C17=TRUE,1-'Get Started  2'!$E10,1)*CH14+IF(AND(CH4&lt;&gt;1,CH54*IF($C17=TRUE,1-'Get Started  2'!$E10,1)&lt;&gt;0,SUM($G54:CH54)*IF($C17=TRUE,1-'Get Started  2'!$E10,1)&lt;&gt;CF54*IF($C17=TRUE,1-'Get Started  2'!$E10,1)),CH54*IF($C17=TRUE,1-'Get Started  2'!$E10,1)*(CH4-1)*CH14,0),IF(CH15="called",CH14*(CH60+CG60)/2*IF($C17=TRUE,1-'Get Started  2'!$E10,1),CH14*(CH85+CG85)/2*IF($C17=TRUE,1-'Get Started  2'!$E10,1))),0)</f>
        <v>0</v>
      </c>
    </row>
    <row r="42" spans="1:86" ht="13">
      <c r="B42" s="15" t="s">
        <v>214</v>
      </c>
      <c r="D42" s="15" t="s">
        <v>238</v>
      </c>
      <c r="E42" s="29">
        <f t="shared" ca="1" si="13"/>
        <v>1042708.3333333333</v>
      </c>
      <c r="F42" s="29"/>
      <c r="G42" s="29">
        <f t="shared" ref="G42:CH42" ca="1" si="16">G208</f>
        <v>0</v>
      </c>
      <c r="H42" s="29">
        <f t="shared" ca="1" si="16"/>
        <v>0</v>
      </c>
      <c r="I42" s="29">
        <f t="shared" ca="1" si="16"/>
        <v>0</v>
      </c>
      <c r="J42" s="29">
        <f t="shared" ca="1" si="16"/>
        <v>0</v>
      </c>
      <c r="K42" s="29">
        <f t="shared" ca="1" si="16"/>
        <v>0</v>
      </c>
      <c r="L42" s="29">
        <f t="shared" ca="1" si="16"/>
        <v>0</v>
      </c>
      <c r="M42" s="29">
        <f t="shared" ca="1" si="16"/>
        <v>0</v>
      </c>
      <c r="N42" s="29">
        <f t="shared" ca="1" si="16"/>
        <v>0</v>
      </c>
      <c r="O42" s="29">
        <f t="shared" ca="1" si="16"/>
        <v>0</v>
      </c>
      <c r="P42" s="29">
        <f t="shared" ca="1" si="16"/>
        <v>0</v>
      </c>
      <c r="Q42" s="29">
        <f t="shared" ca="1" si="16"/>
        <v>0</v>
      </c>
      <c r="R42" s="29">
        <f t="shared" ca="1" si="16"/>
        <v>0</v>
      </c>
      <c r="S42" s="29">
        <f t="shared" ca="1" si="16"/>
        <v>260677.08333333331</v>
      </c>
      <c r="T42" s="29">
        <f t="shared" ca="1" si="16"/>
        <v>260677.08333333331</v>
      </c>
      <c r="U42" s="29">
        <f t="shared" ca="1" si="16"/>
        <v>260677.08333333331</v>
      </c>
      <c r="V42" s="29">
        <f t="shared" ca="1" si="16"/>
        <v>260677.08333333331</v>
      </c>
      <c r="W42" s="29">
        <f t="shared" ca="1" si="16"/>
        <v>0</v>
      </c>
      <c r="X42" s="29">
        <f t="shared" ca="1" si="16"/>
        <v>0</v>
      </c>
      <c r="Y42" s="29">
        <f t="shared" ca="1" si="16"/>
        <v>0</v>
      </c>
      <c r="Z42" s="29">
        <f t="shared" ca="1" si="16"/>
        <v>0</v>
      </c>
      <c r="AA42" s="29">
        <f t="shared" ca="1" si="16"/>
        <v>0</v>
      </c>
      <c r="AB42" s="29">
        <f t="shared" ca="1" si="16"/>
        <v>0</v>
      </c>
      <c r="AC42" s="29">
        <f t="shared" ca="1" si="16"/>
        <v>0</v>
      </c>
      <c r="AD42" s="29">
        <f t="shared" ca="1" si="16"/>
        <v>0</v>
      </c>
      <c r="AE42" s="29">
        <f t="shared" ca="1" si="16"/>
        <v>0</v>
      </c>
      <c r="AF42" s="29">
        <f t="shared" ca="1" si="16"/>
        <v>0</v>
      </c>
      <c r="AG42" s="29">
        <f t="shared" ca="1" si="16"/>
        <v>0</v>
      </c>
      <c r="AH42" s="29">
        <f t="shared" ca="1" si="16"/>
        <v>0</v>
      </c>
      <c r="AI42" s="29">
        <f t="shared" ca="1" si="16"/>
        <v>0</v>
      </c>
      <c r="AJ42" s="29">
        <f t="shared" ca="1" si="16"/>
        <v>0</v>
      </c>
      <c r="AK42" s="29">
        <f t="shared" ca="1" si="16"/>
        <v>0</v>
      </c>
      <c r="AL42" s="29">
        <f t="shared" ca="1" si="16"/>
        <v>0</v>
      </c>
      <c r="AM42" s="29">
        <f t="shared" ca="1" si="16"/>
        <v>0</v>
      </c>
      <c r="AN42" s="29">
        <f t="shared" ca="1" si="16"/>
        <v>0</v>
      </c>
      <c r="AO42" s="29">
        <f t="shared" ca="1" si="16"/>
        <v>0</v>
      </c>
      <c r="AP42" s="29">
        <f t="shared" ca="1" si="16"/>
        <v>0</v>
      </c>
      <c r="AQ42" s="29">
        <f t="shared" ca="1" si="16"/>
        <v>0</v>
      </c>
      <c r="AR42" s="29">
        <f t="shared" ca="1" si="16"/>
        <v>0</v>
      </c>
      <c r="AS42" s="29">
        <f t="shared" ca="1" si="16"/>
        <v>0</v>
      </c>
      <c r="AT42" s="29">
        <f t="shared" ca="1" si="16"/>
        <v>0</v>
      </c>
      <c r="AU42" s="29">
        <f t="shared" ca="1" si="16"/>
        <v>0</v>
      </c>
      <c r="AV42" s="29">
        <f t="shared" ca="1" si="16"/>
        <v>0</v>
      </c>
      <c r="AW42" s="29">
        <f t="shared" ca="1" si="16"/>
        <v>0</v>
      </c>
      <c r="AX42" s="29">
        <f t="shared" ca="1" si="16"/>
        <v>0</v>
      </c>
      <c r="AY42" s="29">
        <f t="shared" ca="1" si="16"/>
        <v>0</v>
      </c>
      <c r="AZ42" s="29">
        <f t="shared" ca="1" si="16"/>
        <v>0</v>
      </c>
      <c r="BA42" s="29">
        <f t="shared" ca="1" si="16"/>
        <v>0</v>
      </c>
      <c r="BB42" s="29">
        <f t="shared" ca="1" si="16"/>
        <v>0</v>
      </c>
      <c r="BC42" s="29">
        <f t="shared" ca="1" si="16"/>
        <v>0</v>
      </c>
      <c r="BD42" s="29">
        <f t="shared" ca="1" si="16"/>
        <v>0</v>
      </c>
      <c r="BE42" s="29">
        <f t="shared" ca="1" si="16"/>
        <v>0</v>
      </c>
      <c r="BF42" s="29">
        <f t="shared" ca="1" si="16"/>
        <v>0</v>
      </c>
      <c r="BG42" s="29">
        <f t="shared" ca="1" si="16"/>
        <v>0</v>
      </c>
      <c r="BH42" s="29">
        <f t="shared" ca="1" si="16"/>
        <v>0</v>
      </c>
      <c r="BI42" s="29">
        <f t="shared" ca="1" si="16"/>
        <v>0</v>
      </c>
      <c r="BJ42" s="29">
        <f t="shared" ca="1" si="16"/>
        <v>0</v>
      </c>
      <c r="BK42" s="29">
        <f t="shared" ca="1" si="16"/>
        <v>0</v>
      </c>
      <c r="BL42" s="29">
        <f t="shared" ca="1" si="16"/>
        <v>0</v>
      </c>
      <c r="BM42" s="29">
        <f t="shared" ca="1" si="16"/>
        <v>0</v>
      </c>
      <c r="BN42" s="29">
        <f t="shared" ca="1" si="16"/>
        <v>0</v>
      </c>
      <c r="BO42" s="29">
        <f t="shared" ca="1" si="16"/>
        <v>0</v>
      </c>
      <c r="BP42" s="29">
        <f t="shared" ca="1" si="16"/>
        <v>0</v>
      </c>
      <c r="BQ42" s="29">
        <f t="shared" ca="1" si="16"/>
        <v>0</v>
      </c>
      <c r="BR42" s="29">
        <f t="shared" ca="1" si="16"/>
        <v>0</v>
      </c>
      <c r="BS42" s="29">
        <f t="shared" ca="1" si="16"/>
        <v>0</v>
      </c>
      <c r="BT42" s="29">
        <f t="shared" ca="1" si="16"/>
        <v>0</v>
      </c>
      <c r="BU42" s="29">
        <f t="shared" ca="1" si="16"/>
        <v>0</v>
      </c>
      <c r="BV42" s="29">
        <f t="shared" ca="1" si="16"/>
        <v>0</v>
      </c>
      <c r="BW42" s="29">
        <f t="shared" ca="1" si="16"/>
        <v>0</v>
      </c>
      <c r="BX42" s="29">
        <f t="shared" ca="1" si="16"/>
        <v>0</v>
      </c>
      <c r="BY42" s="29">
        <f t="shared" ca="1" si="16"/>
        <v>0</v>
      </c>
      <c r="BZ42" s="29">
        <f t="shared" ca="1" si="16"/>
        <v>0</v>
      </c>
      <c r="CA42" s="29">
        <f t="shared" ca="1" si="16"/>
        <v>0</v>
      </c>
      <c r="CB42" s="29">
        <f t="shared" ca="1" si="16"/>
        <v>0</v>
      </c>
      <c r="CC42" s="29">
        <f t="shared" ca="1" si="16"/>
        <v>0</v>
      </c>
      <c r="CD42" s="29">
        <f t="shared" ca="1" si="16"/>
        <v>0</v>
      </c>
      <c r="CE42" s="29">
        <f t="shared" ca="1" si="16"/>
        <v>0</v>
      </c>
      <c r="CF42" s="29">
        <f t="shared" ca="1" si="16"/>
        <v>0</v>
      </c>
      <c r="CG42" s="29">
        <f t="shared" ca="1" si="16"/>
        <v>0</v>
      </c>
      <c r="CH42" s="29">
        <f t="shared" ca="1" si="16"/>
        <v>0</v>
      </c>
    </row>
    <row r="43" spans="1:86" ht="13">
      <c r="B43" s="15" t="s">
        <v>218</v>
      </c>
      <c r="D43" s="15" t="s">
        <v>238</v>
      </c>
      <c r="E43" s="29">
        <f t="shared" ca="1" si="13"/>
        <v>95669973.4375</v>
      </c>
      <c r="F43" s="29"/>
      <c r="G43" s="29">
        <f ca="1">IF(G4&lt;'Get Started  2'!$H112,0,OFFSET(G37,0,-1*'Get Started  2'!$H112)*'Get Started  2'!$H42*'Get Started  2'!$G112)+IF(G4&lt;'Get Started  2'!$H111,0,OFFSET(G37,0,-1*'Get Started  2'!$H111)*'Get Started  2'!$G42*'Get Started  2'!$G111)+IF(G4&lt;'Get Started  2'!$H110,0,OFFSET(G37,0,-1*'Get Started  2'!$H110)*'Get Started  2'!$F42*'Get Started  2'!$G110)+IF(G4&lt;'Get Started  2'!$H109,0,OFFSET(G37,0,-1*'Get Started  2'!$H109)*'Get Started  2'!$E42*'Get Started  2'!$G109)</f>
        <v>0</v>
      </c>
      <c r="H43" s="29">
        <f ca="1">IF(H4&lt;'Get Started  2'!$H112,0,OFFSET(H37,0,-1*'Get Started  2'!$H112)*'Get Started  2'!$H42*'Get Started  2'!$G112)+IF(H4&lt;'Get Started  2'!$H111,0,OFFSET(H37,0,-1*'Get Started  2'!$H111)*'Get Started  2'!$G42*'Get Started  2'!$G111)+IF(H4&lt;'Get Started  2'!$H110,0,OFFSET(H37,0,-1*'Get Started  2'!$H110)*'Get Started  2'!$F42*'Get Started  2'!$G110)+IF(H4&lt;'Get Started  2'!$H109,0,OFFSET(H37,0,-1*'Get Started  2'!$H109)*'Get Started  2'!$E42*'Get Started  2'!$G109)</f>
        <v>0</v>
      </c>
      <c r="I43" s="29">
        <f ca="1">IF(I4&lt;'Get Started  2'!$H112,0,OFFSET(I37,0,-1*'Get Started  2'!$H112)*'Get Started  2'!$H42*'Get Started  2'!$G112)+IF(I4&lt;'Get Started  2'!$H111,0,OFFSET(I37,0,-1*'Get Started  2'!$H111)*'Get Started  2'!$G42*'Get Started  2'!$G111)+IF(I4&lt;'Get Started  2'!$H110,0,OFFSET(I37,0,-1*'Get Started  2'!$H110)*'Get Started  2'!$F42*'Get Started  2'!$G110)+IF(I4&lt;'Get Started  2'!$H109,0,OFFSET(I37,0,-1*'Get Started  2'!$H109)*'Get Started  2'!$E42*'Get Started  2'!$G109)</f>
        <v>0</v>
      </c>
      <c r="J43" s="29">
        <f ca="1">IF(J4&lt;'Get Started  2'!$H112,0,OFFSET(J37,0,-1*'Get Started  2'!$H112)*'Get Started  2'!$H42*'Get Started  2'!$G112)+IF(J4&lt;'Get Started  2'!$H111,0,OFFSET(J37,0,-1*'Get Started  2'!$H111)*'Get Started  2'!$G42*'Get Started  2'!$G111)+IF(J4&lt;'Get Started  2'!$H110,0,OFFSET(J37,0,-1*'Get Started  2'!$H110)*'Get Started  2'!$F42*'Get Started  2'!$G110)+IF(J4&lt;'Get Started  2'!$H109,0,OFFSET(J37,0,-1*'Get Started  2'!$H109)*'Get Started  2'!$E42*'Get Started  2'!$G109)</f>
        <v>0</v>
      </c>
      <c r="K43" s="29">
        <f ca="1">IF(K4&lt;'Get Started  2'!$H112,0,OFFSET(K37,0,-1*'Get Started  2'!$H112)*'Get Started  2'!$H42*'Get Started  2'!$G112)+IF(K4&lt;'Get Started  2'!$H111,0,OFFSET(K37,0,-1*'Get Started  2'!$H111)*'Get Started  2'!$G42*'Get Started  2'!$G111)+IF(K4&lt;'Get Started  2'!$H110,0,OFFSET(K37,0,-1*'Get Started  2'!$H110)*'Get Started  2'!$F42*'Get Started  2'!$G110)+IF(K4&lt;'Get Started  2'!$H109,0,OFFSET(K37,0,-1*'Get Started  2'!$H109)*'Get Started  2'!$E42*'Get Started  2'!$G109)</f>
        <v>0</v>
      </c>
      <c r="L43" s="29">
        <f ca="1">IF(L4&lt;'Get Started  2'!$H112,0,OFFSET(L37,0,-1*'Get Started  2'!$H112)*'Get Started  2'!$H42*'Get Started  2'!$G112)+IF(L4&lt;'Get Started  2'!$H111,0,OFFSET(L37,0,-1*'Get Started  2'!$H111)*'Get Started  2'!$G42*'Get Started  2'!$G111)+IF(L4&lt;'Get Started  2'!$H110,0,OFFSET(L37,0,-1*'Get Started  2'!$H110)*'Get Started  2'!$F42*'Get Started  2'!$G110)+IF(L4&lt;'Get Started  2'!$H109,0,OFFSET(L37,0,-1*'Get Started  2'!$H109)*'Get Started  2'!$E42*'Get Started  2'!$G109)</f>
        <v>0</v>
      </c>
      <c r="M43" s="29">
        <f ca="1">IF(M4&lt;'Get Started  2'!$H112,0,OFFSET(M37,0,-1*'Get Started  2'!$H112)*'Get Started  2'!$H42*'Get Started  2'!$G112)+IF(M4&lt;'Get Started  2'!$H111,0,OFFSET(M37,0,-1*'Get Started  2'!$H111)*'Get Started  2'!$G42*'Get Started  2'!$G111)+IF(M4&lt;'Get Started  2'!$H110,0,OFFSET(M37,0,-1*'Get Started  2'!$H110)*'Get Started  2'!$F42*'Get Started  2'!$G110)+IF(M4&lt;'Get Started  2'!$H109,0,OFFSET(M37,0,-1*'Get Started  2'!$H109)*'Get Started  2'!$E42*'Get Started  2'!$G109)</f>
        <v>0</v>
      </c>
      <c r="N43" s="29">
        <f ca="1">IF(N4&lt;'Get Started  2'!$H112,0,OFFSET(N37,0,-1*'Get Started  2'!$H112)*'Get Started  2'!$H42*'Get Started  2'!$G112)+IF(N4&lt;'Get Started  2'!$H111,0,OFFSET(N37,0,-1*'Get Started  2'!$H111)*'Get Started  2'!$G42*'Get Started  2'!$G111)+IF(N4&lt;'Get Started  2'!$H110,0,OFFSET(N37,0,-1*'Get Started  2'!$H110)*'Get Started  2'!$F42*'Get Started  2'!$G110)+IF(N4&lt;'Get Started  2'!$H109,0,OFFSET(N37,0,-1*'Get Started  2'!$H109)*'Get Started  2'!$E42*'Get Started  2'!$G109)</f>
        <v>0</v>
      </c>
      <c r="O43" s="29">
        <f ca="1">IF(O4&lt;'Get Started  2'!$H112,0,OFFSET(O37,0,-1*'Get Started  2'!$H112)*'Get Started  2'!$H42*'Get Started  2'!$G112)+IF(O4&lt;'Get Started  2'!$H111,0,OFFSET(O37,0,-1*'Get Started  2'!$H111)*'Get Started  2'!$G42*'Get Started  2'!$G111)+IF(O4&lt;'Get Started  2'!$H110,0,OFFSET(O37,0,-1*'Get Started  2'!$H110)*'Get Started  2'!$F42*'Get Started  2'!$G110)+IF(O4&lt;'Get Started  2'!$H109,0,OFFSET(O37,0,-1*'Get Started  2'!$H109)*'Get Started  2'!$E42*'Get Started  2'!$G109)</f>
        <v>0</v>
      </c>
      <c r="P43" s="29">
        <f ca="1">IF(P4&lt;'Get Started  2'!$H112,0,OFFSET(P37,0,-1*'Get Started  2'!$H112)*'Get Started  2'!$H42*'Get Started  2'!$G112)+IF(P4&lt;'Get Started  2'!$H111,0,OFFSET(P37,0,-1*'Get Started  2'!$H111)*'Get Started  2'!$G42*'Get Started  2'!$G111)+IF(P4&lt;'Get Started  2'!$H110,0,OFFSET(P37,0,-1*'Get Started  2'!$H110)*'Get Started  2'!$F42*'Get Started  2'!$G110)+IF(P4&lt;'Get Started  2'!$H109,0,OFFSET(P37,0,-1*'Get Started  2'!$H109)*'Get Started  2'!$E42*'Get Started  2'!$G109)</f>
        <v>0</v>
      </c>
      <c r="Q43" s="29">
        <f ca="1">IF(Q4&lt;'Get Started  2'!$H112,0,OFFSET(Q37,0,-1*'Get Started  2'!$H112)*'Get Started  2'!$H42*'Get Started  2'!$G112)+IF(Q4&lt;'Get Started  2'!$H111,0,OFFSET(Q37,0,-1*'Get Started  2'!$H111)*'Get Started  2'!$G42*'Get Started  2'!$G111)+IF(Q4&lt;'Get Started  2'!$H110,0,OFFSET(Q37,0,-1*'Get Started  2'!$H110)*'Get Started  2'!$F42*'Get Started  2'!$G110)+IF(Q4&lt;'Get Started  2'!$H109,0,OFFSET(Q37,0,-1*'Get Started  2'!$H109)*'Get Started  2'!$E42*'Get Started  2'!$G109)</f>
        <v>0</v>
      </c>
      <c r="R43" s="29">
        <f ca="1">IF(R4&lt;'Get Started  2'!$H112,0,OFFSET(R37,0,-1*'Get Started  2'!$H112)*'Get Started  2'!$H42*'Get Started  2'!$G112)+IF(R4&lt;'Get Started  2'!$H111,0,OFFSET(R37,0,-1*'Get Started  2'!$H111)*'Get Started  2'!$G42*'Get Started  2'!$G111)+IF(R4&lt;'Get Started  2'!$H110,0,OFFSET(R37,0,-1*'Get Started  2'!$H110)*'Get Started  2'!$F42*'Get Started  2'!$G110)+IF(R4&lt;'Get Started  2'!$H109,0,OFFSET(R37,0,-1*'Get Started  2'!$H109)*'Get Started  2'!$E42*'Get Started  2'!$G109)</f>
        <v>0</v>
      </c>
      <c r="S43" s="29">
        <f ca="1">IF(S4&lt;'Get Started  2'!$H112,0,OFFSET(S37,0,-1*'Get Started  2'!$H112)*'Get Started  2'!$H42*'Get Started  2'!$G112)+IF(S4&lt;'Get Started  2'!$H111,0,OFFSET(S37,0,-1*'Get Started  2'!$H111)*'Get Started  2'!$G42*'Get Started  2'!$G111)+IF(S4&lt;'Get Started  2'!$H110,0,OFFSET(S37,0,-1*'Get Started  2'!$H110)*'Get Started  2'!$F42*'Get Started  2'!$G110)+IF(S4&lt;'Get Started  2'!$H109,0,OFFSET(S37,0,-1*'Get Started  2'!$H109)*'Get Started  2'!$E42*'Get Started  2'!$G109)</f>
        <v>1313812.5000000005</v>
      </c>
      <c r="T43" s="29">
        <f ca="1">IF(T4&lt;'Get Started  2'!$H112,0,OFFSET(T37,0,-1*'Get Started  2'!$H112)*'Get Started  2'!$H42*'Get Started  2'!$G112)+IF(T4&lt;'Get Started  2'!$H111,0,OFFSET(T37,0,-1*'Get Started  2'!$H111)*'Get Started  2'!$G42*'Get Started  2'!$G111)+IF(T4&lt;'Get Started  2'!$H110,0,OFFSET(T37,0,-1*'Get Started  2'!$H110)*'Get Started  2'!$F42*'Get Started  2'!$G110)+IF(T4&lt;'Get Started  2'!$H109,0,OFFSET(T37,0,-1*'Get Started  2'!$H109)*'Get Started  2'!$E42*'Get Started  2'!$G109)</f>
        <v>1313812.5000000005</v>
      </c>
      <c r="U43" s="29">
        <f ca="1">IF(U4&lt;'Get Started  2'!$H112,0,OFFSET(U37,0,-1*'Get Started  2'!$H112)*'Get Started  2'!$H42*'Get Started  2'!$G112)+IF(U4&lt;'Get Started  2'!$H111,0,OFFSET(U37,0,-1*'Get Started  2'!$H111)*'Get Started  2'!$G42*'Get Started  2'!$G111)+IF(U4&lt;'Get Started  2'!$H110,0,OFFSET(U37,0,-1*'Get Started  2'!$H110)*'Get Started  2'!$F42*'Get Started  2'!$G110)+IF(U4&lt;'Get Started  2'!$H109,0,OFFSET(U37,0,-1*'Get Started  2'!$H109)*'Get Started  2'!$E42*'Get Started  2'!$G109)</f>
        <v>1313812.5000000005</v>
      </c>
      <c r="V43" s="29">
        <f ca="1">IF(V4&lt;'Get Started  2'!$H112,0,OFFSET(V37,0,-1*'Get Started  2'!$H112)*'Get Started  2'!$H42*'Get Started  2'!$G112)+IF(V4&lt;'Get Started  2'!$H111,0,OFFSET(V37,0,-1*'Get Started  2'!$H111)*'Get Started  2'!$G42*'Get Started  2'!$G111)+IF(V4&lt;'Get Started  2'!$H110,0,OFFSET(V37,0,-1*'Get Started  2'!$H110)*'Get Started  2'!$F42*'Get Started  2'!$G110)+IF(V4&lt;'Get Started  2'!$H109,0,OFFSET(V37,0,-1*'Get Started  2'!$H109)*'Get Started  2'!$E42*'Get Started  2'!$G109)</f>
        <v>1313812.5000000005</v>
      </c>
      <c r="W43" s="29">
        <f ca="1">IF(W4&lt;'Get Started  2'!$H112,0,OFFSET(W37,0,-1*'Get Started  2'!$H112)*'Get Started  2'!$H42*'Get Started  2'!$G112)+IF(W4&lt;'Get Started  2'!$H111,0,OFFSET(W37,0,-1*'Get Started  2'!$H111)*'Get Started  2'!$G42*'Get Started  2'!$G111)+IF(W4&lt;'Get Started  2'!$H110,0,OFFSET(W37,0,-1*'Get Started  2'!$H110)*'Get Started  2'!$F42*'Get Started  2'!$G110)+IF(W4&lt;'Get Started  2'!$H109,0,OFFSET(W37,0,-1*'Get Started  2'!$H109)*'Get Started  2'!$E42*'Get Started  2'!$G109)</f>
        <v>3966703.1250000005</v>
      </c>
      <c r="X43" s="29">
        <f ca="1">IF(X4&lt;'Get Started  2'!$H112,0,OFFSET(X37,0,-1*'Get Started  2'!$H112)*'Get Started  2'!$H42*'Get Started  2'!$G112)+IF(X4&lt;'Get Started  2'!$H111,0,OFFSET(X37,0,-1*'Get Started  2'!$H111)*'Get Started  2'!$G42*'Get Started  2'!$G111)+IF(X4&lt;'Get Started  2'!$H110,0,OFFSET(X37,0,-1*'Get Started  2'!$H110)*'Get Started  2'!$F42*'Get Started  2'!$G110)+IF(X4&lt;'Get Started  2'!$H109,0,OFFSET(X37,0,-1*'Get Started  2'!$H109)*'Get Started  2'!$E42*'Get Started  2'!$G109)</f>
        <v>3966703.1250000005</v>
      </c>
      <c r="Y43" s="29">
        <f ca="1">IF(Y4&lt;'Get Started  2'!$H112,0,OFFSET(Y37,0,-1*'Get Started  2'!$H112)*'Get Started  2'!$H42*'Get Started  2'!$G112)+IF(Y4&lt;'Get Started  2'!$H111,0,OFFSET(Y37,0,-1*'Get Started  2'!$H111)*'Get Started  2'!$G42*'Get Started  2'!$G111)+IF(Y4&lt;'Get Started  2'!$H110,0,OFFSET(Y37,0,-1*'Get Started  2'!$H110)*'Get Started  2'!$F42*'Get Started  2'!$G110)+IF(Y4&lt;'Get Started  2'!$H109,0,OFFSET(Y37,0,-1*'Get Started  2'!$H109)*'Get Started  2'!$E42*'Get Started  2'!$G109)</f>
        <v>3966703.1250000005</v>
      </c>
      <c r="Z43" s="29">
        <f ca="1">IF(Z4&lt;'Get Started  2'!$H112,0,OFFSET(Z37,0,-1*'Get Started  2'!$H112)*'Get Started  2'!$H42*'Get Started  2'!$G112)+IF(Z4&lt;'Get Started  2'!$H111,0,OFFSET(Z37,0,-1*'Get Started  2'!$H111)*'Get Started  2'!$G42*'Get Started  2'!$G111)+IF(Z4&lt;'Get Started  2'!$H110,0,OFFSET(Z37,0,-1*'Get Started  2'!$H110)*'Get Started  2'!$F42*'Get Started  2'!$G110)+IF(Z4&lt;'Get Started  2'!$H109,0,OFFSET(Z37,0,-1*'Get Started  2'!$H109)*'Get Started  2'!$E42*'Get Started  2'!$G109)</f>
        <v>3966703.1250000005</v>
      </c>
      <c r="AA43" s="29">
        <f ca="1">IF(AA4&lt;'Get Started  2'!$H112,0,OFFSET(AA37,0,-1*'Get Started  2'!$H112)*'Get Started  2'!$H42*'Get Started  2'!$G112)+IF(AA4&lt;'Get Started  2'!$H111,0,OFFSET(AA37,0,-1*'Get Started  2'!$H111)*'Get Started  2'!$G42*'Get Started  2'!$G111)+IF(AA4&lt;'Get Started  2'!$H110,0,OFFSET(AA37,0,-1*'Get Started  2'!$H110)*'Get Started  2'!$F42*'Get Started  2'!$G110)+IF(AA4&lt;'Get Started  2'!$H109,0,OFFSET(AA37,0,-1*'Get Started  2'!$H109)*'Get Started  2'!$E42*'Get Started  2'!$G109)</f>
        <v>3966703.1250000005</v>
      </c>
      <c r="AB43" s="29">
        <f ca="1">IF(AB4&lt;'Get Started  2'!$H112,0,OFFSET(AB37,0,-1*'Get Started  2'!$H112)*'Get Started  2'!$H42*'Get Started  2'!$G112)+IF(AB4&lt;'Get Started  2'!$H111,0,OFFSET(AB37,0,-1*'Get Started  2'!$H111)*'Get Started  2'!$G42*'Get Started  2'!$G111)+IF(AB4&lt;'Get Started  2'!$H110,0,OFFSET(AB37,0,-1*'Get Started  2'!$H110)*'Get Started  2'!$F42*'Get Started  2'!$G110)+IF(AB4&lt;'Get Started  2'!$H109,0,OFFSET(AB37,0,-1*'Get Started  2'!$H109)*'Get Started  2'!$E42*'Get Started  2'!$G109)</f>
        <v>3966703.1250000005</v>
      </c>
      <c r="AC43" s="29">
        <f ca="1">IF(AC4&lt;'Get Started  2'!$H112,0,OFFSET(AC37,0,-1*'Get Started  2'!$H112)*'Get Started  2'!$H42*'Get Started  2'!$G112)+IF(AC4&lt;'Get Started  2'!$H111,0,OFFSET(AC37,0,-1*'Get Started  2'!$H111)*'Get Started  2'!$G42*'Get Started  2'!$G111)+IF(AC4&lt;'Get Started  2'!$H110,0,OFFSET(AC37,0,-1*'Get Started  2'!$H110)*'Get Started  2'!$F42*'Get Started  2'!$G110)+IF(AC4&lt;'Get Started  2'!$H109,0,OFFSET(AC37,0,-1*'Get Started  2'!$H109)*'Get Started  2'!$E42*'Get Started  2'!$G109)</f>
        <v>3966703.1250000005</v>
      </c>
      <c r="AD43" s="29">
        <f ca="1">IF(AD4&lt;'Get Started  2'!$H112,0,OFFSET(AD37,0,-1*'Get Started  2'!$H112)*'Get Started  2'!$H42*'Get Started  2'!$G112)+IF(AD4&lt;'Get Started  2'!$H111,0,OFFSET(AD37,0,-1*'Get Started  2'!$H111)*'Get Started  2'!$G42*'Get Started  2'!$G111)+IF(AD4&lt;'Get Started  2'!$H110,0,OFFSET(AD37,0,-1*'Get Started  2'!$H110)*'Get Started  2'!$F42*'Get Started  2'!$G110)+IF(AD4&lt;'Get Started  2'!$H109,0,OFFSET(AD37,0,-1*'Get Started  2'!$H109)*'Get Started  2'!$E42*'Get Started  2'!$G109)</f>
        <v>3966703.1250000005</v>
      </c>
      <c r="AE43" s="29">
        <f ca="1">IF(AE4&lt;'Get Started  2'!$H112,0,OFFSET(AE37,0,-1*'Get Started  2'!$H112)*'Get Started  2'!$H42*'Get Started  2'!$G112)+IF(AE4&lt;'Get Started  2'!$H111,0,OFFSET(AE37,0,-1*'Get Started  2'!$H111)*'Get Started  2'!$G42*'Get Started  2'!$G111)+IF(AE4&lt;'Get Started  2'!$H110,0,OFFSET(AE37,0,-1*'Get Started  2'!$H110)*'Get Started  2'!$F42*'Get Started  2'!$G110)+IF(AE4&lt;'Get Started  2'!$H109,0,OFFSET(AE37,0,-1*'Get Started  2'!$H109)*'Get Started  2'!$E42*'Get Started  2'!$G109)</f>
        <v>5956792.1875</v>
      </c>
      <c r="AF43" s="29">
        <f ca="1">IF(AF4&lt;'Get Started  2'!$H112,0,OFFSET(AF37,0,-1*'Get Started  2'!$H112)*'Get Started  2'!$H42*'Get Started  2'!$G112)+IF(AF4&lt;'Get Started  2'!$H111,0,OFFSET(AF37,0,-1*'Get Started  2'!$H111)*'Get Started  2'!$G42*'Get Started  2'!$G111)+IF(AF4&lt;'Get Started  2'!$H110,0,OFFSET(AF37,0,-1*'Get Started  2'!$H110)*'Get Started  2'!$F42*'Get Started  2'!$G110)+IF(AF4&lt;'Get Started  2'!$H109,0,OFFSET(AF37,0,-1*'Get Started  2'!$H109)*'Get Started  2'!$E42*'Get Started  2'!$G109)</f>
        <v>5956792.1875</v>
      </c>
      <c r="AG43" s="29">
        <f ca="1">IF(AG4&lt;'Get Started  2'!$H112,0,OFFSET(AG37,0,-1*'Get Started  2'!$H112)*'Get Started  2'!$H42*'Get Started  2'!$G112)+IF(AG4&lt;'Get Started  2'!$H111,0,OFFSET(AG37,0,-1*'Get Started  2'!$H111)*'Get Started  2'!$G42*'Get Started  2'!$G111)+IF(AG4&lt;'Get Started  2'!$H110,0,OFFSET(AG37,0,-1*'Get Started  2'!$H110)*'Get Started  2'!$F42*'Get Started  2'!$G110)+IF(AG4&lt;'Get Started  2'!$H109,0,OFFSET(AG37,0,-1*'Get Started  2'!$H109)*'Get Started  2'!$E42*'Get Started  2'!$G109)</f>
        <v>5956792.1875</v>
      </c>
      <c r="AH43" s="29">
        <f ca="1">IF(AH4&lt;'Get Started  2'!$H112,0,OFFSET(AH37,0,-1*'Get Started  2'!$H112)*'Get Started  2'!$H42*'Get Started  2'!$G112)+IF(AH4&lt;'Get Started  2'!$H111,0,OFFSET(AH37,0,-1*'Get Started  2'!$H111)*'Get Started  2'!$G42*'Get Started  2'!$G111)+IF(AH4&lt;'Get Started  2'!$H110,0,OFFSET(AH37,0,-1*'Get Started  2'!$H110)*'Get Started  2'!$F42*'Get Started  2'!$G110)+IF(AH4&lt;'Get Started  2'!$H109,0,OFFSET(AH37,0,-1*'Get Started  2'!$H109)*'Get Started  2'!$E42*'Get Started  2'!$G109)</f>
        <v>5956792.1875</v>
      </c>
      <c r="AI43" s="29">
        <f ca="1">IF(AI4&lt;'Get Started  2'!$H112,0,OFFSET(AI37,0,-1*'Get Started  2'!$H112)*'Get Started  2'!$H42*'Get Started  2'!$G112)+IF(AI4&lt;'Get Started  2'!$H111,0,OFFSET(AI37,0,-1*'Get Started  2'!$H111)*'Get Started  2'!$G42*'Get Started  2'!$G111)+IF(AI4&lt;'Get Started  2'!$H110,0,OFFSET(AI37,0,-1*'Get Started  2'!$H110)*'Get Started  2'!$F42*'Get Started  2'!$G110)+IF(AI4&lt;'Get Started  2'!$H109,0,OFFSET(AI37,0,-1*'Get Started  2'!$H109)*'Get Started  2'!$E42*'Get Started  2'!$G109)</f>
        <v>4933113.2812499991</v>
      </c>
      <c r="AJ43" s="29">
        <f ca="1">IF(AJ4&lt;'Get Started  2'!$H112,0,OFFSET(AJ37,0,-1*'Get Started  2'!$H112)*'Get Started  2'!$H42*'Get Started  2'!$G112)+IF(AJ4&lt;'Get Started  2'!$H111,0,OFFSET(AJ37,0,-1*'Get Started  2'!$H111)*'Get Started  2'!$G42*'Get Started  2'!$G111)+IF(AJ4&lt;'Get Started  2'!$H110,0,OFFSET(AJ37,0,-1*'Get Started  2'!$H110)*'Get Started  2'!$F42*'Get Started  2'!$G110)+IF(AJ4&lt;'Get Started  2'!$H109,0,OFFSET(AJ37,0,-1*'Get Started  2'!$H109)*'Get Started  2'!$E42*'Get Started  2'!$G109)</f>
        <v>4933113.2812499991</v>
      </c>
      <c r="AK43" s="29">
        <f ca="1">IF(AK4&lt;'Get Started  2'!$H112,0,OFFSET(AK37,0,-1*'Get Started  2'!$H112)*'Get Started  2'!$H42*'Get Started  2'!$G112)+IF(AK4&lt;'Get Started  2'!$H111,0,OFFSET(AK37,0,-1*'Get Started  2'!$H111)*'Get Started  2'!$G42*'Get Started  2'!$G111)+IF(AK4&lt;'Get Started  2'!$H110,0,OFFSET(AK37,0,-1*'Get Started  2'!$H110)*'Get Started  2'!$F42*'Get Started  2'!$G110)+IF(AK4&lt;'Get Started  2'!$H109,0,OFFSET(AK37,0,-1*'Get Started  2'!$H109)*'Get Started  2'!$E42*'Get Started  2'!$G109)</f>
        <v>4933113.2812499991</v>
      </c>
      <c r="AL43" s="29">
        <f ca="1">IF(AL4&lt;'Get Started  2'!$H112,0,OFFSET(AL37,0,-1*'Get Started  2'!$H112)*'Get Started  2'!$H42*'Get Started  2'!$G112)+IF(AL4&lt;'Get Started  2'!$H111,0,OFFSET(AL37,0,-1*'Get Started  2'!$H111)*'Get Started  2'!$G42*'Get Started  2'!$G111)+IF(AL4&lt;'Get Started  2'!$H110,0,OFFSET(AL37,0,-1*'Get Started  2'!$H110)*'Get Started  2'!$F42*'Get Started  2'!$G110)+IF(AL4&lt;'Get Started  2'!$H109,0,OFFSET(AL37,0,-1*'Get Started  2'!$H109)*'Get Started  2'!$E42*'Get Started  2'!$G109)</f>
        <v>4933113.2812499991</v>
      </c>
      <c r="AM43" s="29">
        <f ca="1">IF(AM4&lt;'Get Started  2'!$H112,0,OFFSET(AM37,0,-1*'Get Started  2'!$H112)*'Get Started  2'!$H42*'Get Started  2'!$G112)+IF(AM4&lt;'Get Started  2'!$H111,0,OFFSET(AM37,0,-1*'Get Started  2'!$H111)*'Get Started  2'!$G42*'Get Started  2'!$G111)+IF(AM4&lt;'Get Started  2'!$H110,0,OFFSET(AM37,0,-1*'Get Started  2'!$H110)*'Get Started  2'!$F42*'Get Started  2'!$G110)+IF(AM4&lt;'Get Started  2'!$H109,0,OFFSET(AM37,0,-1*'Get Started  2'!$H109)*'Get Started  2'!$E42*'Get Started  2'!$G109)</f>
        <v>1705429.6874999995</v>
      </c>
      <c r="AN43" s="29">
        <f ca="1">IF(AN4&lt;'Get Started  2'!$H112,0,OFFSET(AN37,0,-1*'Get Started  2'!$H112)*'Get Started  2'!$H42*'Get Started  2'!$G112)+IF(AN4&lt;'Get Started  2'!$H111,0,OFFSET(AN37,0,-1*'Get Started  2'!$H111)*'Get Started  2'!$G42*'Get Started  2'!$G111)+IF(AN4&lt;'Get Started  2'!$H110,0,OFFSET(AN37,0,-1*'Get Started  2'!$H110)*'Get Started  2'!$F42*'Get Started  2'!$G110)+IF(AN4&lt;'Get Started  2'!$H109,0,OFFSET(AN37,0,-1*'Get Started  2'!$H109)*'Get Started  2'!$E42*'Get Started  2'!$G109)</f>
        <v>1705429.6874999995</v>
      </c>
      <c r="AO43" s="29">
        <f ca="1">IF(AO4&lt;'Get Started  2'!$H112,0,OFFSET(AO37,0,-1*'Get Started  2'!$H112)*'Get Started  2'!$H42*'Get Started  2'!$G112)+IF(AO4&lt;'Get Started  2'!$H111,0,OFFSET(AO37,0,-1*'Get Started  2'!$H111)*'Get Started  2'!$G42*'Get Started  2'!$G111)+IF(AO4&lt;'Get Started  2'!$H110,0,OFFSET(AO37,0,-1*'Get Started  2'!$H110)*'Get Started  2'!$F42*'Get Started  2'!$G110)+IF(AO4&lt;'Get Started  2'!$H109,0,OFFSET(AO37,0,-1*'Get Started  2'!$H109)*'Get Started  2'!$E42*'Get Started  2'!$G109)</f>
        <v>1705429.6874999995</v>
      </c>
      <c r="AP43" s="29">
        <f ca="1">IF(AP4&lt;'Get Started  2'!$H112,0,OFFSET(AP37,0,-1*'Get Started  2'!$H112)*'Get Started  2'!$H42*'Get Started  2'!$G112)+IF(AP4&lt;'Get Started  2'!$H111,0,OFFSET(AP37,0,-1*'Get Started  2'!$H111)*'Get Started  2'!$G42*'Get Started  2'!$G111)+IF(AP4&lt;'Get Started  2'!$H110,0,OFFSET(AP37,0,-1*'Get Started  2'!$H110)*'Get Started  2'!$F42*'Get Started  2'!$G110)+IF(AP4&lt;'Get Started  2'!$H109,0,OFFSET(AP37,0,-1*'Get Started  2'!$H109)*'Get Started  2'!$E42*'Get Started  2'!$G109)</f>
        <v>1705429.6874999995</v>
      </c>
      <c r="AQ43" s="29">
        <f ca="1">IF(AQ4&lt;'Get Started  2'!$H112,0,OFFSET(AQ37,0,-1*'Get Started  2'!$H112)*'Get Started  2'!$H42*'Get Started  2'!$G112)+IF(AQ4&lt;'Get Started  2'!$H111,0,OFFSET(AQ37,0,-1*'Get Started  2'!$H111)*'Get Started  2'!$G42*'Get Started  2'!$G111)+IF(AQ4&lt;'Get Started  2'!$H110,0,OFFSET(AQ37,0,-1*'Get Started  2'!$H110)*'Get Started  2'!$F42*'Get Started  2'!$G110)+IF(AQ4&lt;'Get Started  2'!$H109,0,OFFSET(AQ37,0,-1*'Get Started  2'!$H109)*'Get Started  2'!$E42*'Get Started  2'!$G109)</f>
        <v>2074939.4531249993</v>
      </c>
      <c r="AR43" s="29">
        <f ca="1">IF(AR4&lt;'Get Started  2'!$H112,0,OFFSET(AR37,0,-1*'Get Started  2'!$H112)*'Get Started  2'!$H42*'Get Started  2'!$G112)+IF(AR4&lt;'Get Started  2'!$H111,0,OFFSET(AR37,0,-1*'Get Started  2'!$H111)*'Get Started  2'!$G42*'Get Started  2'!$G111)+IF(AR4&lt;'Get Started  2'!$H110,0,OFFSET(AR37,0,-1*'Get Started  2'!$H110)*'Get Started  2'!$F42*'Get Started  2'!$G110)+IF(AR4&lt;'Get Started  2'!$H109,0,OFFSET(AR37,0,-1*'Get Started  2'!$H109)*'Get Started  2'!$E42*'Get Started  2'!$G109)</f>
        <v>2074939.4531249993</v>
      </c>
      <c r="AS43" s="29">
        <f ca="1">IF(AS4&lt;'Get Started  2'!$H112,0,OFFSET(AS37,0,-1*'Get Started  2'!$H112)*'Get Started  2'!$H42*'Get Started  2'!$G112)+IF(AS4&lt;'Get Started  2'!$H111,0,OFFSET(AS37,0,-1*'Get Started  2'!$H111)*'Get Started  2'!$G42*'Get Started  2'!$G111)+IF(AS4&lt;'Get Started  2'!$H110,0,OFFSET(AS37,0,-1*'Get Started  2'!$H110)*'Get Started  2'!$F42*'Get Started  2'!$G110)+IF(AS4&lt;'Get Started  2'!$H109,0,OFFSET(AS37,0,-1*'Get Started  2'!$H109)*'Get Started  2'!$E42*'Get Started  2'!$G109)</f>
        <v>2074939.4531249993</v>
      </c>
      <c r="AT43" s="29">
        <f ca="1">IF(AT4&lt;'Get Started  2'!$H112,0,OFFSET(AT37,0,-1*'Get Started  2'!$H112)*'Get Started  2'!$H42*'Get Started  2'!$G112)+IF(AT4&lt;'Get Started  2'!$H111,0,OFFSET(AT37,0,-1*'Get Started  2'!$H111)*'Get Started  2'!$G42*'Get Started  2'!$G111)+IF(AT4&lt;'Get Started  2'!$H110,0,OFFSET(AT37,0,-1*'Get Started  2'!$H110)*'Get Started  2'!$F42*'Get Started  2'!$G110)+IF(AT4&lt;'Get Started  2'!$H109,0,OFFSET(AT37,0,-1*'Get Started  2'!$H109)*'Get Started  2'!$E42*'Get Started  2'!$G109)</f>
        <v>2074939.4531249993</v>
      </c>
      <c r="AU43" s="29">
        <f ca="1">IF(AU4&lt;'Get Started  2'!$H112,0,OFFSET(AU37,0,-1*'Get Started  2'!$H112)*'Get Started  2'!$H42*'Get Started  2'!$G112)+IF(AU4&lt;'Get Started  2'!$H111,0,OFFSET(AU37,0,-1*'Get Started  2'!$H111)*'Get Started  2'!$G42*'Get Started  2'!$G111)+IF(AU4&lt;'Get Started  2'!$H110,0,OFFSET(AU37,0,-1*'Get Started  2'!$H110)*'Get Started  2'!$F42*'Get Started  2'!$G110)+IF(AU4&lt;'Get Started  2'!$H109,0,OFFSET(AU37,0,-1*'Get Started  2'!$H109)*'Get Started  2'!$E42*'Get Started  2'!$G109)</f>
        <v>0</v>
      </c>
      <c r="AV43" s="29">
        <f ca="1">IF(AV4&lt;'Get Started  2'!$H112,0,OFFSET(AV37,0,-1*'Get Started  2'!$H112)*'Get Started  2'!$H42*'Get Started  2'!$G112)+IF(AV4&lt;'Get Started  2'!$H111,0,OFFSET(AV37,0,-1*'Get Started  2'!$H111)*'Get Started  2'!$G42*'Get Started  2'!$G111)+IF(AV4&lt;'Get Started  2'!$H110,0,OFFSET(AV37,0,-1*'Get Started  2'!$H110)*'Get Started  2'!$F42*'Get Started  2'!$G110)+IF(AV4&lt;'Get Started  2'!$H109,0,OFFSET(AV37,0,-1*'Get Started  2'!$H109)*'Get Started  2'!$E42*'Get Started  2'!$G109)</f>
        <v>0</v>
      </c>
      <c r="AW43" s="29">
        <f ca="1">IF(AW4&lt;'Get Started  2'!$H112,0,OFFSET(AW37,0,-1*'Get Started  2'!$H112)*'Get Started  2'!$H42*'Get Started  2'!$G112)+IF(AW4&lt;'Get Started  2'!$H111,0,OFFSET(AW37,0,-1*'Get Started  2'!$H111)*'Get Started  2'!$G42*'Get Started  2'!$G111)+IF(AW4&lt;'Get Started  2'!$H110,0,OFFSET(AW37,0,-1*'Get Started  2'!$H110)*'Get Started  2'!$F42*'Get Started  2'!$G110)+IF(AW4&lt;'Get Started  2'!$H109,0,OFFSET(AW37,0,-1*'Get Started  2'!$H109)*'Get Started  2'!$E42*'Get Started  2'!$G109)</f>
        <v>0</v>
      </c>
      <c r="AX43" s="29">
        <f ca="1">IF(AX4&lt;'Get Started  2'!$H112,0,OFFSET(AX37,0,-1*'Get Started  2'!$H112)*'Get Started  2'!$H42*'Get Started  2'!$G112)+IF(AX4&lt;'Get Started  2'!$H111,0,OFFSET(AX37,0,-1*'Get Started  2'!$H111)*'Get Started  2'!$G42*'Get Started  2'!$G111)+IF(AX4&lt;'Get Started  2'!$H110,0,OFFSET(AX37,0,-1*'Get Started  2'!$H110)*'Get Started  2'!$F42*'Get Started  2'!$G110)+IF(AX4&lt;'Get Started  2'!$H109,0,OFFSET(AX37,0,-1*'Get Started  2'!$H109)*'Get Started  2'!$E42*'Get Started  2'!$G109)</f>
        <v>0</v>
      </c>
      <c r="AY43" s="29">
        <f ca="1">IF(AY4&lt;'Get Started  2'!$H112,0,OFFSET(AY37,0,-1*'Get Started  2'!$H112)*'Get Started  2'!$H42*'Get Started  2'!$G112)+IF(AY4&lt;'Get Started  2'!$H111,0,OFFSET(AY37,0,-1*'Get Started  2'!$H111)*'Get Started  2'!$G42*'Get Started  2'!$G111)+IF(AY4&lt;'Get Started  2'!$H110,0,OFFSET(AY37,0,-1*'Get Started  2'!$H110)*'Get Started  2'!$F42*'Get Started  2'!$G110)+IF(AY4&lt;'Get Started  2'!$H109,0,OFFSET(AY37,0,-1*'Get Started  2'!$H109)*'Get Started  2'!$E42*'Get Started  2'!$G109)</f>
        <v>0</v>
      </c>
      <c r="AZ43" s="29">
        <f ca="1">IF(AZ4&lt;'Get Started  2'!$H112,0,OFFSET(AZ37,0,-1*'Get Started  2'!$H112)*'Get Started  2'!$H42*'Get Started  2'!$G112)+IF(AZ4&lt;'Get Started  2'!$H111,0,OFFSET(AZ37,0,-1*'Get Started  2'!$H111)*'Get Started  2'!$G42*'Get Started  2'!$G111)+IF(AZ4&lt;'Get Started  2'!$H110,0,OFFSET(AZ37,0,-1*'Get Started  2'!$H110)*'Get Started  2'!$F42*'Get Started  2'!$G110)+IF(AZ4&lt;'Get Started  2'!$H109,0,OFFSET(AZ37,0,-1*'Get Started  2'!$H109)*'Get Started  2'!$E42*'Get Started  2'!$G109)</f>
        <v>0</v>
      </c>
      <c r="BA43" s="29">
        <f ca="1">IF(BA4&lt;'Get Started  2'!$H112,0,OFFSET(BA37,0,-1*'Get Started  2'!$H112)*'Get Started  2'!$H42*'Get Started  2'!$G112)+IF(BA4&lt;'Get Started  2'!$H111,0,OFFSET(BA37,0,-1*'Get Started  2'!$H111)*'Get Started  2'!$G42*'Get Started  2'!$G111)+IF(BA4&lt;'Get Started  2'!$H110,0,OFFSET(BA37,0,-1*'Get Started  2'!$H110)*'Get Started  2'!$F42*'Get Started  2'!$G110)+IF(BA4&lt;'Get Started  2'!$H109,0,OFFSET(BA37,0,-1*'Get Started  2'!$H109)*'Get Started  2'!$E42*'Get Started  2'!$G109)</f>
        <v>0</v>
      </c>
      <c r="BB43" s="29">
        <f ca="1">IF(BB4&lt;'Get Started  2'!$H112,0,OFFSET(BB37,0,-1*'Get Started  2'!$H112)*'Get Started  2'!$H42*'Get Started  2'!$G112)+IF(BB4&lt;'Get Started  2'!$H111,0,OFFSET(BB37,0,-1*'Get Started  2'!$H111)*'Get Started  2'!$G42*'Get Started  2'!$G111)+IF(BB4&lt;'Get Started  2'!$H110,0,OFFSET(BB37,0,-1*'Get Started  2'!$H110)*'Get Started  2'!$F42*'Get Started  2'!$G110)+IF(BB4&lt;'Get Started  2'!$H109,0,OFFSET(BB37,0,-1*'Get Started  2'!$H109)*'Get Started  2'!$E42*'Get Started  2'!$G109)</f>
        <v>0</v>
      </c>
      <c r="BC43" s="29">
        <f ca="1">IF(BC4&lt;'Get Started  2'!$H112,0,OFFSET(BC37,0,-1*'Get Started  2'!$H112)*'Get Started  2'!$H42*'Get Started  2'!$G112)+IF(BC4&lt;'Get Started  2'!$H111,0,OFFSET(BC37,0,-1*'Get Started  2'!$H111)*'Get Started  2'!$G42*'Get Started  2'!$G111)+IF(BC4&lt;'Get Started  2'!$H110,0,OFFSET(BC37,0,-1*'Get Started  2'!$H110)*'Get Started  2'!$F42*'Get Started  2'!$G110)+IF(BC4&lt;'Get Started  2'!$H109,0,OFFSET(BC37,0,-1*'Get Started  2'!$H109)*'Get Started  2'!$E42*'Get Started  2'!$G109)</f>
        <v>0</v>
      </c>
      <c r="BD43" s="29">
        <f ca="1">IF(BD4&lt;'Get Started  2'!$H112,0,OFFSET(BD37,0,-1*'Get Started  2'!$H112)*'Get Started  2'!$H42*'Get Started  2'!$G112)+IF(BD4&lt;'Get Started  2'!$H111,0,OFFSET(BD37,0,-1*'Get Started  2'!$H111)*'Get Started  2'!$G42*'Get Started  2'!$G111)+IF(BD4&lt;'Get Started  2'!$H110,0,OFFSET(BD37,0,-1*'Get Started  2'!$H110)*'Get Started  2'!$F42*'Get Started  2'!$G110)+IF(BD4&lt;'Get Started  2'!$H109,0,OFFSET(BD37,0,-1*'Get Started  2'!$H109)*'Get Started  2'!$E42*'Get Started  2'!$G109)</f>
        <v>0</v>
      </c>
      <c r="BE43" s="29">
        <f ca="1">IF(BE4&lt;'Get Started  2'!$H112,0,OFFSET(BE37,0,-1*'Get Started  2'!$H112)*'Get Started  2'!$H42*'Get Started  2'!$G112)+IF(BE4&lt;'Get Started  2'!$H111,0,OFFSET(BE37,0,-1*'Get Started  2'!$H111)*'Get Started  2'!$G42*'Get Started  2'!$G111)+IF(BE4&lt;'Get Started  2'!$H110,0,OFFSET(BE37,0,-1*'Get Started  2'!$H110)*'Get Started  2'!$F42*'Get Started  2'!$G110)+IF(BE4&lt;'Get Started  2'!$H109,0,OFFSET(BE37,0,-1*'Get Started  2'!$H109)*'Get Started  2'!$E42*'Get Started  2'!$G109)</f>
        <v>0</v>
      </c>
      <c r="BF43" s="29">
        <f ca="1">IF(BF4&lt;'Get Started  2'!$H112,0,OFFSET(BF37,0,-1*'Get Started  2'!$H112)*'Get Started  2'!$H42*'Get Started  2'!$G112)+IF(BF4&lt;'Get Started  2'!$H111,0,OFFSET(BF37,0,-1*'Get Started  2'!$H111)*'Get Started  2'!$G42*'Get Started  2'!$G111)+IF(BF4&lt;'Get Started  2'!$H110,0,OFFSET(BF37,0,-1*'Get Started  2'!$H110)*'Get Started  2'!$F42*'Get Started  2'!$G110)+IF(BF4&lt;'Get Started  2'!$H109,0,OFFSET(BF37,0,-1*'Get Started  2'!$H109)*'Get Started  2'!$E42*'Get Started  2'!$G109)</f>
        <v>0</v>
      </c>
      <c r="BG43" s="29">
        <f ca="1">IF(BG4&lt;'Get Started  2'!$H112,0,OFFSET(BG37,0,-1*'Get Started  2'!$H112)*'Get Started  2'!$H42*'Get Started  2'!$G112)+IF(BG4&lt;'Get Started  2'!$H111,0,OFFSET(BG37,0,-1*'Get Started  2'!$H111)*'Get Started  2'!$G42*'Get Started  2'!$G111)+IF(BG4&lt;'Get Started  2'!$H110,0,OFFSET(BG37,0,-1*'Get Started  2'!$H110)*'Get Started  2'!$F42*'Get Started  2'!$G110)+IF(BG4&lt;'Get Started  2'!$H109,0,OFFSET(BG37,0,-1*'Get Started  2'!$H109)*'Get Started  2'!$E42*'Get Started  2'!$G109)</f>
        <v>0</v>
      </c>
      <c r="BH43" s="29">
        <f ca="1">IF(BH4&lt;'Get Started  2'!$H112,0,OFFSET(BH37,0,-1*'Get Started  2'!$H112)*'Get Started  2'!$H42*'Get Started  2'!$G112)+IF(BH4&lt;'Get Started  2'!$H111,0,OFFSET(BH37,0,-1*'Get Started  2'!$H111)*'Get Started  2'!$G42*'Get Started  2'!$G111)+IF(BH4&lt;'Get Started  2'!$H110,0,OFFSET(BH37,0,-1*'Get Started  2'!$H110)*'Get Started  2'!$F42*'Get Started  2'!$G110)+IF(BH4&lt;'Get Started  2'!$H109,0,OFFSET(BH37,0,-1*'Get Started  2'!$H109)*'Get Started  2'!$E42*'Get Started  2'!$G109)</f>
        <v>0</v>
      </c>
      <c r="BI43" s="29">
        <f ca="1">IF(BI4&lt;'Get Started  2'!$H112,0,OFFSET(BI37,0,-1*'Get Started  2'!$H112)*'Get Started  2'!$H42*'Get Started  2'!$G112)+IF(BI4&lt;'Get Started  2'!$H111,0,OFFSET(BI37,0,-1*'Get Started  2'!$H111)*'Get Started  2'!$G42*'Get Started  2'!$G111)+IF(BI4&lt;'Get Started  2'!$H110,0,OFFSET(BI37,0,-1*'Get Started  2'!$H110)*'Get Started  2'!$F42*'Get Started  2'!$G110)+IF(BI4&lt;'Get Started  2'!$H109,0,OFFSET(BI37,0,-1*'Get Started  2'!$H109)*'Get Started  2'!$E42*'Get Started  2'!$G109)</f>
        <v>0</v>
      </c>
      <c r="BJ43" s="29">
        <f ca="1">IF(BJ4&lt;'Get Started  2'!$H112,0,OFFSET(BJ37,0,-1*'Get Started  2'!$H112)*'Get Started  2'!$H42*'Get Started  2'!$G112)+IF(BJ4&lt;'Get Started  2'!$H111,0,OFFSET(BJ37,0,-1*'Get Started  2'!$H111)*'Get Started  2'!$G42*'Get Started  2'!$G111)+IF(BJ4&lt;'Get Started  2'!$H110,0,OFFSET(BJ37,0,-1*'Get Started  2'!$H110)*'Get Started  2'!$F42*'Get Started  2'!$G110)+IF(BJ4&lt;'Get Started  2'!$H109,0,OFFSET(BJ37,0,-1*'Get Started  2'!$H109)*'Get Started  2'!$E42*'Get Started  2'!$G109)</f>
        <v>0</v>
      </c>
      <c r="BK43" s="29">
        <f ca="1">IF(BK4&lt;'Get Started  2'!$H112,0,OFFSET(BK37,0,-1*'Get Started  2'!$H112)*'Get Started  2'!$H42*'Get Started  2'!$G112)+IF(BK4&lt;'Get Started  2'!$H111,0,OFFSET(BK37,0,-1*'Get Started  2'!$H111)*'Get Started  2'!$G42*'Get Started  2'!$G111)+IF(BK4&lt;'Get Started  2'!$H110,0,OFFSET(BK37,0,-1*'Get Started  2'!$H110)*'Get Started  2'!$F42*'Get Started  2'!$G110)+IF(BK4&lt;'Get Started  2'!$H109,0,OFFSET(BK37,0,-1*'Get Started  2'!$H109)*'Get Started  2'!$E42*'Get Started  2'!$G109)</f>
        <v>0</v>
      </c>
      <c r="BL43" s="29">
        <f ca="1">IF(BL4&lt;'Get Started  2'!$H112,0,OFFSET(BL37,0,-1*'Get Started  2'!$H112)*'Get Started  2'!$H42*'Get Started  2'!$G112)+IF(BL4&lt;'Get Started  2'!$H111,0,OFFSET(BL37,0,-1*'Get Started  2'!$H111)*'Get Started  2'!$G42*'Get Started  2'!$G111)+IF(BL4&lt;'Get Started  2'!$H110,0,OFFSET(BL37,0,-1*'Get Started  2'!$H110)*'Get Started  2'!$F42*'Get Started  2'!$G110)+IF(BL4&lt;'Get Started  2'!$H109,0,OFFSET(BL37,0,-1*'Get Started  2'!$H109)*'Get Started  2'!$E42*'Get Started  2'!$G109)</f>
        <v>0</v>
      </c>
      <c r="BM43" s="29">
        <f ca="1">IF(BM4&lt;'Get Started  2'!$H112,0,OFFSET(BM37,0,-1*'Get Started  2'!$H112)*'Get Started  2'!$H42*'Get Started  2'!$G112)+IF(BM4&lt;'Get Started  2'!$H111,0,OFFSET(BM37,0,-1*'Get Started  2'!$H111)*'Get Started  2'!$G42*'Get Started  2'!$G111)+IF(BM4&lt;'Get Started  2'!$H110,0,OFFSET(BM37,0,-1*'Get Started  2'!$H110)*'Get Started  2'!$F42*'Get Started  2'!$G110)+IF(BM4&lt;'Get Started  2'!$H109,0,OFFSET(BM37,0,-1*'Get Started  2'!$H109)*'Get Started  2'!$E42*'Get Started  2'!$G109)</f>
        <v>0</v>
      </c>
      <c r="BN43" s="29">
        <f ca="1">IF(BN4&lt;'Get Started  2'!$H112,0,OFFSET(BN37,0,-1*'Get Started  2'!$H112)*'Get Started  2'!$H42*'Get Started  2'!$G112)+IF(BN4&lt;'Get Started  2'!$H111,0,OFFSET(BN37,0,-1*'Get Started  2'!$H111)*'Get Started  2'!$G42*'Get Started  2'!$G111)+IF(BN4&lt;'Get Started  2'!$H110,0,OFFSET(BN37,0,-1*'Get Started  2'!$H110)*'Get Started  2'!$F42*'Get Started  2'!$G110)+IF(BN4&lt;'Get Started  2'!$H109,0,OFFSET(BN37,0,-1*'Get Started  2'!$H109)*'Get Started  2'!$E42*'Get Started  2'!$G109)</f>
        <v>0</v>
      </c>
      <c r="BO43" s="29">
        <f ca="1">IF(BO4&lt;'Get Started  2'!$H112,0,OFFSET(BO37,0,-1*'Get Started  2'!$H112)*'Get Started  2'!$H42*'Get Started  2'!$G112)+IF(BO4&lt;'Get Started  2'!$H111,0,OFFSET(BO37,0,-1*'Get Started  2'!$H111)*'Get Started  2'!$G42*'Get Started  2'!$G111)+IF(BO4&lt;'Get Started  2'!$H110,0,OFFSET(BO37,0,-1*'Get Started  2'!$H110)*'Get Started  2'!$F42*'Get Started  2'!$G110)+IF(BO4&lt;'Get Started  2'!$H109,0,OFFSET(BO37,0,-1*'Get Started  2'!$H109)*'Get Started  2'!$E42*'Get Started  2'!$G109)</f>
        <v>0</v>
      </c>
      <c r="BP43" s="29">
        <f ca="1">IF(BP4&lt;'Get Started  2'!$H112,0,OFFSET(BP37,0,-1*'Get Started  2'!$H112)*'Get Started  2'!$H42*'Get Started  2'!$G112)+IF(BP4&lt;'Get Started  2'!$H111,0,OFFSET(BP37,0,-1*'Get Started  2'!$H111)*'Get Started  2'!$G42*'Get Started  2'!$G111)+IF(BP4&lt;'Get Started  2'!$H110,0,OFFSET(BP37,0,-1*'Get Started  2'!$H110)*'Get Started  2'!$F42*'Get Started  2'!$G110)+IF(BP4&lt;'Get Started  2'!$H109,0,OFFSET(BP37,0,-1*'Get Started  2'!$H109)*'Get Started  2'!$E42*'Get Started  2'!$G109)</f>
        <v>0</v>
      </c>
      <c r="BQ43" s="29">
        <f ca="1">IF(BQ4&lt;'Get Started  2'!$H112,0,OFFSET(BQ37,0,-1*'Get Started  2'!$H112)*'Get Started  2'!$H42*'Get Started  2'!$G112)+IF(BQ4&lt;'Get Started  2'!$H111,0,OFFSET(BQ37,0,-1*'Get Started  2'!$H111)*'Get Started  2'!$G42*'Get Started  2'!$G111)+IF(BQ4&lt;'Get Started  2'!$H110,0,OFFSET(BQ37,0,-1*'Get Started  2'!$H110)*'Get Started  2'!$F42*'Get Started  2'!$G110)+IF(BQ4&lt;'Get Started  2'!$H109,0,OFFSET(BQ37,0,-1*'Get Started  2'!$H109)*'Get Started  2'!$E42*'Get Started  2'!$G109)</f>
        <v>0</v>
      </c>
      <c r="BR43" s="29">
        <f ca="1">IF(BR4&lt;'Get Started  2'!$H112,0,OFFSET(BR37,0,-1*'Get Started  2'!$H112)*'Get Started  2'!$H42*'Get Started  2'!$G112)+IF(BR4&lt;'Get Started  2'!$H111,0,OFFSET(BR37,0,-1*'Get Started  2'!$H111)*'Get Started  2'!$G42*'Get Started  2'!$G111)+IF(BR4&lt;'Get Started  2'!$H110,0,OFFSET(BR37,0,-1*'Get Started  2'!$H110)*'Get Started  2'!$F42*'Get Started  2'!$G110)+IF(BR4&lt;'Get Started  2'!$H109,0,OFFSET(BR37,0,-1*'Get Started  2'!$H109)*'Get Started  2'!$E42*'Get Started  2'!$G109)</f>
        <v>0</v>
      </c>
      <c r="BS43" s="29">
        <f ca="1">IF(BS4&lt;'Get Started  2'!$H112,0,OFFSET(BS37,0,-1*'Get Started  2'!$H112)*'Get Started  2'!$H42*'Get Started  2'!$G112)+IF(BS4&lt;'Get Started  2'!$H111,0,OFFSET(BS37,0,-1*'Get Started  2'!$H111)*'Get Started  2'!$G42*'Get Started  2'!$G111)+IF(BS4&lt;'Get Started  2'!$H110,0,OFFSET(BS37,0,-1*'Get Started  2'!$H110)*'Get Started  2'!$F42*'Get Started  2'!$G110)+IF(BS4&lt;'Get Started  2'!$H109,0,OFFSET(BS37,0,-1*'Get Started  2'!$H109)*'Get Started  2'!$E42*'Get Started  2'!$G109)</f>
        <v>0</v>
      </c>
      <c r="BT43" s="29">
        <f ca="1">IF(BT4&lt;'Get Started  2'!$H112,0,OFFSET(BT37,0,-1*'Get Started  2'!$H112)*'Get Started  2'!$H42*'Get Started  2'!$G112)+IF(BT4&lt;'Get Started  2'!$H111,0,OFFSET(BT37,0,-1*'Get Started  2'!$H111)*'Get Started  2'!$G42*'Get Started  2'!$G111)+IF(BT4&lt;'Get Started  2'!$H110,0,OFFSET(BT37,0,-1*'Get Started  2'!$H110)*'Get Started  2'!$F42*'Get Started  2'!$G110)+IF(BT4&lt;'Get Started  2'!$H109,0,OFFSET(BT37,0,-1*'Get Started  2'!$H109)*'Get Started  2'!$E42*'Get Started  2'!$G109)</f>
        <v>0</v>
      </c>
      <c r="BU43" s="29">
        <f ca="1">IF(BU4&lt;'Get Started  2'!$H112,0,OFFSET(BU37,0,-1*'Get Started  2'!$H112)*'Get Started  2'!$H42*'Get Started  2'!$G112)+IF(BU4&lt;'Get Started  2'!$H111,0,OFFSET(BU37,0,-1*'Get Started  2'!$H111)*'Get Started  2'!$G42*'Get Started  2'!$G111)+IF(BU4&lt;'Get Started  2'!$H110,0,OFFSET(BU37,0,-1*'Get Started  2'!$H110)*'Get Started  2'!$F42*'Get Started  2'!$G110)+IF(BU4&lt;'Get Started  2'!$H109,0,OFFSET(BU37,0,-1*'Get Started  2'!$H109)*'Get Started  2'!$E42*'Get Started  2'!$G109)</f>
        <v>0</v>
      </c>
      <c r="BV43" s="29">
        <f ca="1">IF(BV4&lt;'Get Started  2'!$H112,0,OFFSET(BV37,0,-1*'Get Started  2'!$H112)*'Get Started  2'!$H42*'Get Started  2'!$G112)+IF(BV4&lt;'Get Started  2'!$H111,0,OFFSET(BV37,0,-1*'Get Started  2'!$H111)*'Get Started  2'!$G42*'Get Started  2'!$G111)+IF(BV4&lt;'Get Started  2'!$H110,0,OFFSET(BV37,0,-1*'Get Started  2'!$H110)*'Get Started  2'!$F42*'Get Started  2'!$G110)+IF(BV4&lt;'Get Started  2'!$H109,0,OFFSET(BV37,0,-1*'Get Started  2'!$H109)*'Get Started  2'!$E42*'Get Started  2'!$G109)</f>
        <v>0</v>
      </c>
      <c r="BW43" s="29">
        <f ca="1">IF(BW4&lt;'Get Started  2'!$H112,0,OFFSET(BW37,0,-1*'Get Started  2'!$H112)*'Get Started  2'!$H42*'Get Started  2'!$G112)+IF(BW4&lt;'Get Started  2'!$H111,0,OFFSET(BW37,0,-1*'Get Started  2'!$H111)*'Get Started  2'!$G42*'Get Started  2'!$G111)+IF(BW4&lt;'Get Started  2'!$H110,0,OFFSET(BW37,0,-1*'Get Started  2'!$H110)*'Get Started  2'!$F42*'Get Started  2'!$G110)+IF(BW4&lt;'Get Started  2'!$H109,0,OFFSET(BW37,0,-1*'Get Started  2'!$H109)*'Get Started  2'!$E42*'Get Started  2'!$G109)</f>
        <v>0</v>
      </c>
      <c r="BX43" s="29">
        <f ca="1">IF(BX4&lt;'Get Started  2'!$H112,0,OFFSET(BX37,0,-1*'Get Started  2'!$H112)*'Get Started  2'!$H42*'Get Started  2'!$G112)+IF(BX4&lt;'Get Started  2'!$H111,0,OFFSET(BX37,0,-1*'Get Started  2'!$H111)*'Get Started  2'!$G42*'Get Started  2'!$G111)+IF(BX4&lt;'Get Started  2'!$H110,0,OFFSET(BX37,0,-1*'Get Started  2'!$H110)*'Get Started  2'!$F42*'Get Started  2'!$G110)+IF(BX4&lt;'Get Started  2'!$H109,0,OFFSET(BX37,0,-1*'Get Started  2'!$H109)*'Get Started  2'!$E42*'Get Started  2'!$G109)</f>
        <v>0</v>
      </c>
      <c r="BY43" s="29">
        <f ca="1">IF(BY4&lt;'Get Started  2'!$H112,0,OFFSET(BY37,0,-1*'Get Started  2'!$H112)*'Get Started  2'!$H42*'Get Started  2'!$G112)+IF(BY4&lt;'Get Started  2'!$H111,0,OFFSET(BY37,0,-1*'Get Started  2'!$H111)*'Get Started  2'!$G42*'Get Started  2'!$G111)+IF(BY4&lt;'Get Started  2'!$H110,0,OFFSET(BY37,0,-1*'Get Started  2'!$H110)*'Get Started  2'!$F42*'Get Started  2'!$G110)+IF(BY4&lt;'Get Started  2'!$H109,0,OFFSET(BY37,0,-1*'Get Started  2'!$H109)*'Get Started  2'!$E42*'Get Started  2'!$G109)</f>
        <v>0</v>
      </c>
      <c r="BZ43" s="29">
        <f ca="1">IF(BZ4&lt;'Get Started  2'!$H112,0,OFFSET(BZ37,0,-1*'Get Started  2'!$H112)*'Get Started  2'!$H42*'Get Started  2'!$G112)+IF(BZ4&lt;'Get Started  2'!$H111,0,OFFSET(BZ37,0,-1*'Get Started  2'!$H111)*'Get Started  2'!$G42*'Get Started  2'!$G111)+IF(BZ4&lt;'Get Started  2'!$H110,0,OFFSET(BZ37,0,-1*'Get Started  2'!$H110)*'Get Started  2'!$F42*'Get Started  2'!$G110)+IF(BZ4&lt;'Get Started  2'!$H109,0,OFFSET(BZ37,0,-1*'Get Started  2'!$H109)*'Get Started  2'!$E42*'Get Started  2'!$G109)</f>
        <v>0</v>
      </c>
      <c r="CA43" s="29">
        <f ca="1">IF(CA4&lt;'Get Started  2'!$H112,0,OFFSET(CA37,0,-1*'Get Started  2'!$H112)*'Get Started  2'!$H42*'Get Started  2'!$G112)+IF(CA4&lt;'Get Started  2'!$H111,0,OFFSET(CA37,0,-1*'Get Started  2'!$H111)*'Get Started  2'!$G42*'Get Started  2'!$G111)+IF(CA4&lt;'Get Started  2'!$H110,0,OFFSET(CA37,0,-1*'Get Started  2'!$H110)*'Get Started  2'!$F42*'Get Started  2'!$G110)+IF(CA4&lt;'Get Started  2'!$H109,0,OFFSET(CA37,0,-1*'Get Started  2'!$H109)*'Get Started  2'!$E42*'Get Started  2'!$G109)</f>
        <v>0</v>
      </c>
      <c r="CB43" s="29">
        <f ca="1">IF(CB4&lt;'Get Started  2'!$H112,0,OFFSET(CB37,0,-1*'Get Started  2'!$H112)*'Get Started  2'!$H42*'Get Started  2'!$G112)+IF(CB4&lt;'Get Started  2'!$H111,0,OFFSET(CB37,0,-1*'Get Started  2'!$H111)*'Get Started  2'!$G42*'Get Started  2'!$G111)+IF(CB4&lt;'Get Started  2'!$H110,0,OFFSET(CB37,0,-1*'Get Started  2'!$H110)*'Get Started  2'!$F42*'Get Started  2'!$G110)+IF(CB4&lt;'Get Started  2'!$H109,0,OFFSET(CB37,0,-1*'Get Started  2'!$H109)*'Get Started  2'!$E42*'Get Started  2'!$G109)</f>
        <v>0</v>
      </c>
      <c r="CC43" s="29">
        <f ca="1">IF(CC4&lt;'Get Started  2'!$H112,0,OFFSET(CC37,0,-1*'Get Started  2'!$H112)*'Get Started  2'!$H42*'Get Started  2'!$G112)+IF(CC4&lt;'Get Started  2'!$H111,0,OFFSET(CC37,0,-1*'Get Started  2'!$H111)*'Get Started  2'!$G42*'Get Started  2'!$G111)+IF(CC4&lt;'Get Started  2'!$H110,0,OFFSET(CC37,0,-1*'Get Started  2'!$H110)*'Get Started  2'!$F42*'Get Started  2'!$G110)+IF(CC4&lt;'Get Started  2'!$H109,0,OFFSET(CC37,0,-1*'Get Started  2'!$H109)*'Get Started  2'!$E42*'Get Started  2'!$G109)</f>
        <v>0</v>
      </c>
      <c r="CD43" s="29">
        <f ca="1">IF(CD4&lt;'Get Started  2'!$H112,0,OFFSET(CD37,0,-1*'Get Started  2'!$H112)*'Get Started  2'!$H42*'Get Started  2'!$G112)+IF(CD4&lt;'Get Started  2'!$H111,0,OFFSET(CD37,0,-1*'Get Started  2'!$H111)*'Get Started  2'!$G42*'Get Started  2'!$G111)+IF(CD4&lt;'Get Started  2'!$H110,0,OFFSET(CD37,0,-1*'Get Started  2'!$H110)*'Get Started  2'!$F42*'Get Started  2'!$G110)+IF(CD4&lt;'Get Started  2'!$H109,0,OFFSET(CD37,0,-1*'Get Started  2'!$H109)*'Get Started  2'!$E42*'Get Started  2'!$G109)</f>
        <v>0</v>
      </c>
      <c r="CE43" s="29">
        <f ca="1">IF(CE4&lt;'Get Started  2'!$H112,0,OFFSET(CE37,0,-1*'Get Started  2'!$H112)*'Get Started  2'!$H42*'Get Started  2'!$G112)+IF(CE4&lt;'Get Started  2'!$H111,0,OFFSET(CE37,0,-1*'Get Started  2'!$H111)*'Get Started  2'!$G42*'Get Started  2'!$G111)+IF(CE4&lt;'Get Started  2'!$H110,0,OFFSET(CE37,0,-1*'Get Started  2'!$H110)*'Get Started  2'!$F42*'Get Started  2'!$G110)+IF(CE4&lt;'Get Started  2'!$H109,0,OFFSET(CE37,0,-1*'Get Started  2'!$H109)*'Get Started  2'!$E42*'Get Started  2'!$G109)</f>
        <v>0</v>
      </c>
      <c r="CF43" s="29">
        <f ca="1">IF(CF4&lt;'Get Started  2'!$H112,0,OFFSET(CF37,0,-1*'Get Started  2'!$H112)*'Get Started  2'!$H42*'Get Started  2'!$G112)+IF(CF4&lt;'Get Started  2'!$H111,0,OFFSET(CF37,0,-1*'Get Started  2'!$H111)*'Get Started  2'!$G42*'Get Started  2'!$G111)+IF(CF4&lt;'Get Started  2'!$H110,0,OFFSET(CF37,0,-1*'Get Started  2'!$H110)*'Get Started  2'!$F42*'Get Started  2'!$G110)+IF(CF4&lt;'Get Started  2'!$H109,0,OFFSET(CF37,0,-1*'Get Started  2'!$H109)*'Get Started  2'!$E42*'Get Started  2'!$G109)</f>
        <v>0</v>
      </c>
      <c r="CG43" s="29">
        <f ca="1">IF(CG4&lt;'Get Started  2'!$H112,0,OFFSET(CG37,0,-1*'Get Started  2'!$H112)*'Get Started  2'!$H42*'Get Started  2'!$G112)+IF(CG4&lt;'Get Started  2'!$H111,0,OFFSET(CG37,0,-1*'Get Started  2'!$H111)*'Get Started  2'!$G42*'Get Started  2'!$G111)+IF(CG4&lt;'Get Started  2'!$H110,0,OFFSET(CG37,0,-1*'Get Started  2'!$H110)*'Get Started  2'!$F42*'Get Started  2'!$G110)+IF(CG4&lt;'Get Started  2'!$H109,0,OFFSET(CG37,0,-1*'Get Started  2'!$H109)*'Get Started  2'!$E42*'Get Started  2'!$G109)</f>
        <v>0</v>
      </c>
      <c r="CH43" s="29">
        <f ca="1">IF(CH4&lt;'Get Started  2'!$H112,0,OFFSET(CH37,0,-1*'Get Started  2'!$H112)*'Get Started  2'!$H42*'Get Started  2'!$G112)+IF(CH4&lt;'Get Started  2'!$H111,0,OFFSET(CH37,0,-1*'Get Started  2'!$H111)*'Get Started  2'!$G42*'Get Started  2'!$G111)+IF(CH4&lt;'Get Started  2'!$H110,0,OFFSET(CH37,0,-1*'Get Started  2'!$H110)*'Get Started  2'!$F42*'Get Started  2'!$G110)+IF(CH4&lt;'Get Started  2'!$H109,0,OFFSET(CH37,0,-1*'Get Started  2'!$H109)*'Get Started  2'!$E42*'Get Started  2'!$G109)</f>
        <v>0</v>
      </c>
    </row>
    <row r="44" spans="1:86" ht="13">
      <c r="B44" s="15" t="s">
        <v>269</v>
      </c>
      <c r="D44" s="15" t="s">
        <v>238</v>
      </c>
      <c r="E44" s="29">
        <f t="shared" si="13"/>
        <v>0</v>
      </c>
      <c r="F44" s="29"/>
      <c r="G44" s="29">
        <v>0</v>
      </c>
      <c r="H44" s="29">
        <v>0</v>
      </c>
      <c r="I44" s="29">
        <v>0</v>
      </c>
      <c r="J44" s="29">
        <v>0</v>
      </c>
      <c r="K44" s="29">
        <v>0</v>
      </c>
      <c r="L44" s="29">
        <v>0</v>
      </c>
      <c r="M44" s="29">
        <v>0</v>
      </c>
      <c r="N44" s="29">
        <v>0</v>
      </c>
      <c r="O44" s="29">
        <v>0</v>
      </c>
      <c r="P44" s="29">
        <v>0</v>
      </c>
      <c r="Q44" s="29">
        <v>0</v>
      </c>
      <c r="R44" s="29">
        <v>0</v>
      </c>
      <c r="S44" s="29">
        <v>0</v>
      </c>
      <c r="T44" s="29">
        <v>0</v>
      </c>
      <c r="U44" s="29">
        <v>0</v>
      </c>
      <c r="V44" s="29">
        <v>0</v>
      </c>
      <c r="W44" s="29">
        <v>0</v>
      </c>
      <c r="X44" s="29">
        <v>0</v>
      </c>
      <c r="Y44" s="29">
        <v>0</v>
      </c>
      <c r="Z44" s="29">
        <v>0</v>
      </c>
      <c r="AA44" s="29">
        <v>0</v>
      </c>
      <c r="AB44" s="29">
        <v>0</v>
      </c>
      <c r="AC44" s="29">
        <v>0</v>
      </c>
      <c r="AD44" s="29">
        <v>0</v>
      </c>
      <c r="AE44" s="29">
        <v>0</v>
      </c>
      <c r="AF44" s="29">
        <v>0</v>
      </c>
      <c r="AG44" s="29">
        <v>0</v>
      </c>
      <c r="AH44" s="29">
        <v>0</v>
      </c>
      <c r="AI44" s="29">
        <v>0</v>
      </c>
      <c r="AJ44" s="29">
        <v>0</v>
      </c>
      <c r="AK44" s="29">
        <v>0</v>
      </c>
      <c r="AL44" s="29">
        <v>0</v>
      </c>
      <c r="AM44" s="29">
        <v>0</v>
      </c>
      <c r="AN44" s="29">
        <v>0</v>
      </c>
      <c r="AO44" s="29">
        <v>0</v>
      </c>
      <c r="AP44" s="29">
        <v>0</v>
      </c>
      <c r="AQ44" s="29">
        <v>0</v>
      </c>
      <c r="AR44" s="29">
        <v>0</v>
      </c>
      <c r="AS44" s="29">
        <v>0</v>
      </c>
      <c r="AT44" s="29">
        <v>0</v>
      </c>
      <c r="AU44" s="29">
        <v>0</v>
      </c>
      <c r="AV44" s="29">
        <v>0</v>
      </c>
      <c r="AW44" s="29">
        <v>0</v>
      </c>
      <c r="AX44" s="29">
        <v>0</v>
      </c>
      <c r="AY44" s="29">
        <v>0</v>
      </c>
      <c r="AZ44" s="29">
        <v>0</v>
      </c>
      <c r="BA44" s="29">
        <v>0</v>
      </c>
      <c r="BB44" s="29">
        <v>0</v>
      </c>
      <c r="BC44" s="29">
        <v>0</v>
      </c>
      <c r="BD44" s="29">
        <v>0</v>
      </c>
      <c r="BE44" s="29">
        <v>0</v>
      </c>
      <c r="BF44" s="29">
        <v>0</v>
      </c>
      <c r="BG44" s="29">
        <v>0</v>
      </c>
      <c r="BH44" s="29">
        <v>0</v>
      </c>
      <c r="BI44" s="29">
        <v>0</v>
      </c>
      <c r="BJ44" s="29">
        <v>0</v>
      </c>
      <c r="BK44" s="29">
        <v>0</v>
      </c>
      <c r="BL44" s="29">
        <v>0</v>
      </c>
      <c r="BM44" s="29">
        <v>0</v>
      </c>
      <c r="BN44" s="29">
        <v>0</v>
      </c>
      <c r="BO44" s="29">
        <v>0</v>
      </c>
      <c r="BP44" s="29">
        <v>0</v>
      </c>
      <c r="BQ44" s="29">
        <v>0</v>
      </c>
      <c r="BR44" s="29">
        <v>0</v>
      </c>
      <c r="BS44" s="29">
        <v>0</v>
      </c>
      <c r="BT44" s="29">
        <v>0</v>
      </c>
      <c r="BU44" s="29">
        <v>0</v>
      </c>
      <c r="BV44" s="29">
        <v>0</v>
      </c>
      <c r="BW44" s="29">
        <v>0</v>
      </c>
      <c r="BX44" s="29">
        <v>0</v>
      </c>
      <c r="BY44" s="29">
        <v>0</v>
      </c>
      <c r="BZ44" s="29">
        <v>0</v>
      </c>
      <c r="CA44" s="29">
        <v>0</v>
      </c>
      <c r="CB44" s="29">
        <v>0</v>
      </c>
      <c r="CC44" s="29">
        <v>0</v>
      </c>
      <c r="CD44" s="29">
        <v>0</v>
      </c>
      <c r="CE44" s="29">
        <v>0</v>
      </c>
      <c r="CF44" s="29">
        <v>0</v>
      </c>
      <c r="CG44" s="29">
        <v>0</v>
      </c>
      <c r="CH44" s="29">
        <v>0</v>
      </c>
    </row>
    <row r="45" spans="1:86" ht="13">
      <c r="B45" s="15" t="s">
        <v>270</v>
      </c>
      <c r="D45" s="15" t="s">
        <v>238</v>
      </c>
      <c r="E45" s="29">
        <f t="shared" si="13"/>
        <v>0</v>
      </c>
      <c r="F45" s="29"/>
      <c r="G45" s="29">
        <v>0</v>
      </c>
      <c r="H45" s="29">
        <v>0</v>
      </c>
      <c r="I45" s="29">
        <v>0</v>
      </c>
      <c r="J45" s="29">
        <v>0</v>
      </c>
      <c r="K45" s="29">
        <v>0</v>
      </c>
      <c r="L45" s="29">
        <v>0</v>
      </c>
      <c r="M45" s="29">
        <v>0</v>
      </c>
      <c r="N45" s="29">
        <v>0</v>
      </c>
      <c r="O45" s="29">
        <v>0</v>
      </c>
      <c r="P45" s="29">
        <v>0</v>
      </c>
      <c r="Q45" s="29">
        <v>0</v>
      </c>
      <c r="R45" s="29">
        <v>0</v>
      </c>
      <c r="S45" s="29">
        <v>0</v>
      </c>
      <c r="T45" s="29">
        <v>0</v>
      </c>
      <c r="U45" s="29">
        <v>0</v>
      </c>
      <c r="V45" s="29">
        <v>0</v>
      </c>
      <c r="W45" s="29">
        <v>0</v>
      </c>
      <c r="X45" s="29">
        <v>0</v>
      </c>
      <c r="Y45" s="29">
        <v>0</v>
      </c>
      <c r="Z45" s="29">
        <v>0</v>
      </c>
      <c r="AA45" s="29">
        <v>0</v>
      </c>
      <c r="AB45" s="29">
        <v>0</v>
      </c>
      <c r="AC45" s="29">
        <v>0</v>
      </c>
      <c r="AD45" s="29">
        <v>0</v>
      </c>
      <c r="AE45" s="29">
        <v>0</v>
      </c>
      <c r="AF45" s="29">
        <v>0</v>
      </c>
      <c r="AG45" s="29">
        <v>0</v>
      </c>
      <c r="AH45" s="29">
        <v>0</v>
      </c>
      <c r="AI45" s="29">
        <v>0</v>
      </c>
      <c r="AJ45" s="29">
        <v>0</v>
      </c>
      <c r="AK45" s="29">
        <v>0</v>
      </c>
      <c r="AL45" s="29">
        <v>0</v>
      </c>
      <c r="AM45" s="29">
        <v>0</v>
      </c>
      <c r="AN45" s="29">
        <v>0</v>
      </c>
      <c r="AO45" s="29">
        <v>0</v>
      </c>
      <c r="AP45" s="29">
        <v>0</v>
      </c>
      <c r="AQ45" s="29">
        <v>0</v>
      </c>
      <c r="AR45" s="29">
        <v>0</v>
      </c>
      <c r="AS45" s="29">
        <v>0</v>
      </c>
      <c r="AT45" s="29">
        <v>0</v>
      </c>
      <c r="AU45" s="29">
        <v>0</v>
      </c>
      <c r="AV45" s="29">
        <v>0</v>
      </c>
      <c r="AW45" s="29">
        <v>0</v>
      </c>
      <c r="AX45" s="29">
        <v>0</v>
      </c>
      <c r="AY45" s="29">
        <v>0</v>
      </c>
      <c r="AZ45" s="29">
        <v>0</v>
      </c>
      <c r="BA45" s="29">
        <v>0</v>
      </c>
      <c r="BB45" s="29">
        <v>0</v>
      </c>
      <c r="BC45" s="29">
        <v>0</v>
      </c>
      <c r="BD45" s="29">
        <v>0</v>
      </c>
      <c r="BE45" s="29">
        <v>0</v>
      </c>
      <c r="BF45" s="29">
        <v>0</v>
      </c>
      <c r="BG45" s="29">
        <v>0</v>
      </c>
      <c r="BH45" s="29">
        <v>0</v>
      </c>
      <c r="BI45" s="29">
        <v>0</v>
      </c>
      <c r="BJ45" s="29">
        <v>0</v>
      </c>
      <c r="BK45" s="29">
        <v>0</v>
      </c>
      <c r="BL45" s="29">
        <v>0</v>
      </c>
      <c r="BM45" s="29">
        <v>0</v>
      </c>
      <c r="BN45" s="29">
        <v>0</v>
      </c>
      <c r="BO45" s="29">
        <v>0</v>
      </c>
      <c r="BP45" s="29">
        <v>0</v>
      </c>
      <c r="BQ45" s="29">
        <v>0</v>
      </c>
      <c r="BR45" s="29">
        <v>0</v>
      </c>
      <c r="BS45" s="29">
        <v>0</v>
      </c>
      <c r="BT45" s="29">
        <v>0</v>
      </c>
      <c r="BU45" s="29">
        <v>0</v>
      </c>
      <c r="BV45" s="29">
        <v>0</v>
      </c>
      <c r="BW45" s="29">
        <v>0</v>
      </c>
      <c r="BX45" s="29">
        <v>0</v>
      </c>
      <c r="BY45" s="29">
        <v>0</v>
      </c>
      <c r="BZ45" s="29">
        <v>0</v>
      </c>
      <c r="CA45" s="29">
        <v>0</v>
      </c>
      <c r="CB45" s="29">
        <v>0</v>
      </c>
      <c r="CC45" s="29">
        <v>0</v>
      </c>
      <c r="CD45" s="29">
        <v>0</v>
      </c>
      <c r="CE45" s="29">
        <v>0</v>
      </c>
      <c r="CF45" s="29">
        <v>0</v>
      </c>
      <c r="CG45" s="29">
        <v>0</v>
      </c>
      <c r="CH45" s="29">
        <v>0</v>
      </c>
    </row>
    <row r="46" spans="1:86" ht="13">
      <c r="B46" s="15" t="s">
        <v>220</v>
      </c>
      <c r="D46" s="15" t="s">
        <v>238</v>
      </c>
      <c r="E46" s="29">
        <f t="shared" ca="1" si="13"/>
        <v>13925453.020833328</v>
      </c>
      <c r="F46" s="29"/>
      <c r="G46" s="29">
        <f t="shared" ref="G46:CH46" ca="1" si="17">G194</f>
        <v>0</v>
      </c>
      <c r="H46" s="29">
        <f t="shared" ca="1" si="17"/>
        <v>0</v>
      </c>
      <c r="I46" s="29">
        <f t="shared" ca="1" si="17"/>
        <v>0</v>
      </c>
      <c r="J46" s="29">
        <f t="shared" ca="1" si="17"/>
        <v>0</v>
      </c>
      <c r="K46" s="29">
        <f t="shared" ca="1" si="17"/>
        <v>0</v>
      </c>
      <c r="L46" s="29">
        <f t="shared" ca="1" si="17"/>
        <v>0</v>
      </c>
      <c r="M46" s="29">
        <f t="shared" ca="1" si="17"/>
        <v>0</v>
      </c>
      <c r="N46" s="29">
        <f t="shared" ca="1" si="17"/>
        <v>0</v>
      </c>
      <c r="O46" s="29">
        <f t="shared" ca="1" si="17"/>
        <v>0</v>
      </c>
      <c r="P46" s="29">
        <f t="shared" ca="1" si="17"/>
        <v>0</v>
      </c>
      <c r="Q46" s="29">
        <f t="shared" ca="1" si="17"/>
        <v>0</v>
      </c>
      <c r="R46" s="29">
        <f t="shared" ca="1" si="17"/>
        <v>0</v>
      </c>
      <c r="S46" s="29">
        <f t="shared" ca="1" si="17"/>
        <v>0</v>
      </c>
      <c r="T46" s="29">
        <f t="shared" ca="1" si="17"/>
        <v>0</v>
      </c>
      <c r="U46" s="29">
        <f t="shared" ca="1" si="17"/>
        <v>0</v>
      </c>
      <c r="V46" s="29">
        <f t="shared" ca="1" si="17"/>
        <v>0</v>
      </c>
      <c r="W46" s="29">
        <f t="shared" ca="1" si="17"/>
        <v>0</v>
      </c>
      <c r="X46" s="29">
        <f t="shared" ca="1" si="17"/>
        <v>146580.88768115948</v>
      </c>
      <c r="Y46" s="29">
        <f t="shared" ca="1" si="17"/>
        <v>511720.07164031616</v>
      </c>
      <c r="Z46" s="29">
        <f t="shared" ca="1" si="17"/>
        <v>511720.07164031605</v>
      </c>
      <c r="AA46" s="29">
        <f t="shared" ca="1" si="17"/>
        <v>472112.03474967083</v>
      </c>
      <c r="AB46" s="29">
        <f t="shared" ca="1" si="17"/>
        <v>472112.03474967042</v>
      </c>
      <c r="AC46" s="29">
        <f t="shared" ca="1" si="17"/>
        <v>472112.03474967042</v>
      </c>
      <c r="AD46" s="29">
        <f t="shared" ca="1" si="17"/>
        <v>472112.03474967042</v>
      </c>
      <c r="AE46" s="29">
        <f t="shared" ca="1" si="17"/>
        <v>1063805.7365777337</v>
      </c>
      <c r="AF46" s="29">
        <f t="shared" ca="1" si="17"/>
        <v>1063805.7365777337</v>
      </c>
      <c r="AG46" s="29">
        <f t="shared" ca="1" si="17"/>
        <v>1063805.7365777337</v>
      </c>
      <c r="AH46" s="29">
        <f t="shared" ca="1" si="17"/>
        <v>1063805.7365777337</v>
      </c>
      <c r="AI46" s="29">
        <f t="shared" ca="1" si="17"/>
        <v>929722.12924077723</v>
      </c>
      <c r="AJ46" s="29">
        <f t="shared" ca="1" si="17"/>
        <v>929722.12924077723</v>
      </c>
      <c r="AK46" s="29">
        <f t="shared" ca="1" si="17"/>
        <v>929722.12924077723</v>
      </c>
      <c r="AL46" s="29">
        <f t="shared" ca="1" si="17"/>
        <v>929722.12924077723</v>
      </c>
      <c r="AM46" s="29">
        <f t="shared" ca="1" si="17"/>
        <v>326263.80311264837</v>
      </c>
      <c r="AN46" s="29">
        <f t="shared" ca="1" si="17"/>
        <v>326263.80311264837</v>
      </c>
      <c r="AO46" s="29">
        <f t="shared" ca="1" si="17"/>
        <v>326263.80311264837</v>
      </c>
      <c r="AP46" s="29">
        <f t="shared" ca="1" si="17"/>
        <v>326263.80311264837</v>
      </c>
      <c r="AQ46" s="29">
        <f t="shared" ca="1" si="17"/>
        <v>396954.2937870553</v>
      </c>
      <c r="AR46" s="29">
        <f t="shared" ca="1" si="17"/>
        <v>396954.2937870553</v>
      </c>
      <c r="AS46" s="29">
        <f t="shared" ca="1" si="17"/>
        <v>396954.2937870553</v>
      </c>
      <c r="AT46" s="29">
        <f t="shared" ca="1" si="17"/>
        <v>396954.2937870553</v>
      </c>
      <c r="AU46" s="29">
        <f t="shared" ca="1" si="17"/>
        <v>0</v>
      </c>
      <c r="AV46" s="29">
        <f t="shared" ca="1" si="17"/>
        <v>0</v>
      </c>
      <c r="AW46" s="29">
        <f t="shared" ca="1" si="17"/>
        <v>0</v>
      </c>
      <c r="AX46" s="29">
        <f t="shared" ca="1" si="17"/>
        <v>0</v>
      </c>
      <c r="AY46" s="29">
        <f t="shared" ca="1" si="17"/>
        <v>0</v>
      </c>
      <c r="AZ46" s="29">
        <f t="shared" ca="1" si="17"/>
        <v>0</v>
      </c>
      <c r="BA46" s="29">
        <f t="shared" ca="1" si="17"/>
        <v>0</v>
      </c>
      <c r="BB46" s="29">
        <f t="shared" ca="1" si="17"/>
        <v>0</v>
      </c>
      <c r="BC46" s="29">
        <f t="shared" ca="1" si="17"/>
        <v>0</v>
      </c>
      <c r="BD46" s="29">
        <f t="shared" ca="1" si="17"/>
        <v>0</v>
      </c>
      <c r="BE46" s="29">
        <f t="shared" ca="1" si="17"/>
        <v>0</v>
      </c>
      <c r="BF46" s="29">
        <f t="shared" ca="1" si="17"/>
        <v>0</v>
      </c>
      <c r="BG46" s="29">
        <f t="shared" ca="1" si="17"/>
        <v>0</v>
      </c>
      <c r="BH46" s="29">
        <f t="shared" ca="1" si="17"/>
        <v>0</v>
      </c>
      <c r="BI46" s="29">
        <f t="shared" ca="1" si="17"/>
        <v>0</v>
      </c>
      <c r="BJ46" s="29">
        <f t="shared" ca="1" si="17"/>
        <v>0</v>
      </c>
      <c r="BK46" s="29">
        <f t="shared" ca="1" si="17"/>
        <v>0</v>
      </c>
      <c r="BL46" s="29">
        <f t="shared" ca="1" si="17"/>
        <v>0</v>
      </c>
      <c r="BM46" s="29">
        <f t="shared" ca="1" si="17"/>
        <v>0</v>
      </c>
      <c r="BN46" s="29">
        <f t="shared" ca="1" si="17"/>
        <v>0</v>
      </c>
      <c r="BO46" s="29">
        <f t="shared" ca="1" si="17"/>
        <v>0</v>
      </c>
      <c r="BP46" s="29">
        <f t="shared" ca="1" si="17"/>
        <v>0</v>
      </c>
      <c r="BQ46" s="29">
        <f t="shared" ca="1" si="17"/>
        <v>0</v>
      </c>
      <c r="BR46" s="29">
        <f t="shared" ca="1" si="17"/>
        <v>0</v>
      </c>
      <c r="BS46" s="29">
        <f t="shared" ca="1" si="17"/>
        <v>0</v>
      </c>
      <c r="BT46" s="29">
        <f t="shared" ca="1" si="17"/>
        <v>0</v>
      </c>
      <c r="BU46" s="29">
        <f t="shared" ca="1" si="17"/>
        <v>0</v>
      </c>
      <c r="BV46" s="29">
        <f t="shared" ca="1" si="17"/>
        <v>0</v>
      </c>
      <c r="BW46" s="29">
        <f t="shared" ca="1" si="17"/>
        <v>0</v>
      </c>
      <c r="BX46" s="29">
        <f t="shared" ca="1" si="17"/>
        <v>0</v>
      </c>
      <c r="BY46" s="29">
        <f t="shared" ca="1" si="17"/>
        <v>0</v>
      </c>
      <c r="BZ46" s="29">
        <f t="shared" ca="1" si="17"/>
        <v>0</v>
      </c>
      <c r="CA46" s="29">
        <f t="shared" ca="1" si="17"/>
        <v>0</v>
      </c>
      <c r="CB46" s="29">
        <f t="shared" ca="1" si="17"/>
        <v>0</v>
      </c>
      <c r="CC46" s="29">
        <f t="shared" ca="1" si="17"/>
        <v>0</v>
      </c>
      <c r="CD46" s="29">
        <f t="shared" ca="1" si="17"/>
        <v>0</v>
      </c>
      <c r="CE46" s="29">
        <f t="shared" ca="1" si="17"/>
        <v>0</v>
      </c>
      <c r="CF46" s="29">
        <f t="shared" ca="1" si="17"/>
        <v>0</v>
      </c>
      <c r="CG46" s="29">
        <f t="shared" ca="1" si="17"/>
        <v>0</v>
      </c>
      <c r="CH46" s="29">
        <f t="shared" ca="1" si="17"/>
        <v>0</v>
      </c>
    </row>
    <row r="47" spans="1:86" ht="13">
      <c r="B47" s="15" t="s">
        <v>221</v>
      </c>
      <c r="C47" s="15"/>
      <c r="D47" s="15" t="s">
        <v>238</v>
      </c>
      <c r="E47" s="29">
        <f t="shared" ca="1" si="13"/>
        <v>80701812.083333269</v>
      </c>
      <c r="F47" s="29"/>
      <c r="G47" s="29">
        <f t="shared" ref="G47:CH47" ca="1" si="18">G190+G193-G194</f>
        <v>0</v>
      </c>
      <c r="H47" s="29">
        <f t="shared" ca="1" si="18"/>
        <v>0</v>
      </c>
      <c r="I47" s="29">
        <f t="shared" ca="1" si="18"/>
        <v>0</v>
      </c>
      <c r="J47" s="29">
        <f t="shared" ca="1" si="18"/>
        <v>0</v>
      </c>
      <c r="K47" s="29">
        <f t="shared" ca="1" si="18"/>
        <v>0</v>
      </c>
      <c r="L47" s="29">
        <f t="shared" ca="1" si="18"/>
        <v>0</v>
      </c>
      <c r="M47" s="29">
        <f t="shared" ca="1" si="18"/>
        <v>0</v>
      </c>
      <c r="N47" s="29">
        <f t="shared" ca="1" si="18"/>
        <v>0</v>
      </c>
      <c r="O47" s="29">
        <f t="shared" ca="1" si="18"/>
        <v>0</v>
      </c>
      <c r="P47" s="29">
        <f t="shared" ca="1" si="18"/>
        <v>0</v>
      </c>
      <c r="Q47" s="29">
        <f t="shared" ca="1" si="18"/>
        <v>0</v>
      </c>
      <c r="R47" s="29">
        <f t="shared" ca="1" si="18"/>
        <v>0</v>
      </c>
      <c r="S47" s="29">
        <f t="shared" ca="1" si="18"/>
        <v>1053135.4166666672</v>
      </c>
      <c r="T47" s="29">
        <f t="shared" ca="1" si="18"/>
        <v>1053135.4166666672</v>
      </c>
      <c r="U47" s="29">
        <f t="shared" ca="1" si="18"/>
        <v>1053135.4166666672</v>
      </c>
      <c r="V47" s="29">
        <f t="shared" ca="1" si="18"/>
        <v>1053135.4166666672</v>
      </c>
      <c r="W47" s="29">
        <f t="shared" ca="1" si="18"/>
        <v>3966703.1250000005</v>
      </c>
      <c r="X47" s="29">
        <f t="shared" ca="1" si="18"/>
        <v>3820122.2373188408</v>
      </c>
      <c r="Y47" s="29">
        <f t="shared" ca="1" si="18"/>
        <v>3454983.0533596845</v>
      </c>
      <c r="Z47" s="29">
        <f t="shared" ca="1" si="18"/>
        <v>3454983.0533596841</v>
      </c>
      <c r="AA47" s="29">
        <f t="shared" ca="1" si="18"/>
        <v>3494591.0902503296</v>
      </c>
      <c r="AB47" s="29">
        <f t="shared" ca="1" si="18"/>
        <v>3494591.09025033</v>
      </c>
      <c r="AC47" s="29">
        <f t="shared" ca="1" si="18"/>
        <v>3494591.09025033</v>
      </c>
      <c r="AD47" s="29">
        <f t="shared" ca="1" si="18"/>
        <v>3494591.09025033</v>
      </c>
      <c r="AE47" s="29">
        <f t="shared" ca="1" si="18"/>
        <v>4892986.4509222666</v>
      </c>
      <c r="AF47" s="29">
        <f t="shared" ca="1" si="18"/>
        <v>4892986.4509222666</v>
      </c>
      <c r="AG47" s="29">
        <f t="shared" ca="1" si="18"/>
        <v>4892986.4509222666</v>
      </c>
      <c r="AH47" s="29">
        <f t="shared" ca="1" si="18"/>
        <v>4892986.4509222666</v>
      </c>
      <c r="AI47" s="29">
        <f t="shared" ca="1" si="18"/>
        <v>4003391.1520092217</v>
      </c>
      <c r="AJ47" s="29">
        <f t="shared" ca="1" si="18"/>
        <v>4003391.1520092217</v>
      </c>
      <c r="AK47" s="29">
        <f t="shared" ca="1" si="18"/>
        <v>4003391.1520092217</v>
      </c>
      <c r="AL47" s="29">
        <f t="shared" ca="1" si="18"/>
        <v>4003391.1520092217</v>
      </c>
      <c r="AM47" s="29">
        <f t="shared" ca="1" si="18"/>
        <v>1379165.8843873511</v>
      </c>
      <c r="AN47" s="29">
        <f t="shared" ca="1" si="18"/>
        <v>1379165.8843873511</v>
      </c>
      <c r="AO47" s="29">
        <f t="shared" ca="1" si="18"/>
        <v>1379165.8843873511</v>
      </c>
      <c r="AP47" s="29">
        <f t="shared" ca="1" si="18"/>
        <v>1379165.8843873511</v>
      </c>
      <c r="AQ47" s="29">
        <f t="shared" ca="1" si="18"/>
        <v>1677985.1593379439</v>
      </c>
      <c r="AR47" s="29">
        <f t="shared" ca="1" si="18"/>
        <v>1677985.1593379439</v>
      </c>
      <c r="AS47" s="29">
        <f t="shared" ca="1" si="18"/>
        <v>1677985.1593379439</v>
      </c>
      <c r="AT47" s="29">
        <f t="shared" ca="1" si="18"/>
        <v>1677985.1593379439</v>
      </c>
      <c r="AU47" s="29">
        <f t="shared" ca="1" si="18"/>
        <v>0</v>
      </c>
      <c r="AV47" s="29">
        <f t="shared" ca="1" si="18"/>
        <v>0</v>
      </c>
      <c r="AW47" s="29">
        <f t="shared" ca="1" si="18"/>
        <v>0</v>
      </c>
      <c r="AX47" s="29">
        <f t="shared" ca="1" si="18"/>
        <v>0</v>
      </c>
      <c r="AY47" s="29">
        <f t="shared" ca="1" si="18"/>
        <v>0</v>
      </c>
      <c r="AZ47" s="29">
        <f t="shared" ca="1" si="18"/>
        <v>0</v>
      </c>
      <c r="BA47" s="29">
        <f t="shared" ca="1" si="18"/>
        <v>0</v>
      </c>
      <c r="BB47" s="29">
        <f t="shared" ca="1" si="18"/>
        <v>0</v>
      </c>
      <c r="BC47" s="29">
        <f t="shared" ca="1" si="18"/>
        <v>0</v>
      </c>
      <c r="BD47" s="29">
        <f t="shared" ca="1" si="18"/>
        <v>0</v>
      </c>
      <c r="BE47" s="29">
        <f t="shared" ca="1" si="18"/>
        <v>0</v>
      </c>
      <c r="BF47" s="29">
        <f t="shared" ca="1" si="18"/>
        <v>0</v>
      </c>
      <c r="BG47" s="29">
        <f t="shared" ca="1" si="18"/>
        <v>0</v>
      </c>
      <c r="BH47" s="29">
        <f t="shared" ca="1" si="18"/>
        <v>0</v>
      </c>
      <c r="BI47" s="29">
        <f t="shared" ca="1" si="18"/>
        <v>0</v>
      </c>
      <c r="BJ47" s="29">
        <f t="shared" ca="1" si="18"/>
        <v>0</v>
      </c>
      <c r="BK47" s="29">
        <f t="shared" ca="1" si="18"/>
        <v>0</v>
      </c>
      <c r="BL47" s="29">
        <f t="shared" ca="1" si="18"/>
        <v>0</v>
      </c>
      <c r="BM47" s="29">
        <f t="shared" ca="1" si="18"/>
        <v>0</v>
      </c>
      <c r="BN47" s="29">
        <f t="shared" ca="1" si="18"/>
        <v>0</v>
      </c>
      <c r="BO47" s="29">
        <f t="shared" ca="1" si="18"/>
        <v>0</v>
      </c>
      <c r="BP47" s="29">
        <f t="shared" ca="1" si="18"/>
        <v>0</v>
      </c>
      <c r="BQ47" s="29">
        <f t="shared" ca="1" si="18"/>
        <v>0</v>
      </c>
      <c r="BR47" s="29">
        <f t="shared" ca="1" si="18"/>
        <v>0</v>
      </c>
      <c r="BS47" s="29">
        <f t="shared" ca="1" si="18"/>
        <v>0</v>
      </c>
      <c r="BT47" s="29">
        <f t="shared" ca="1" si="18"/>
        <v>0</v>
      </c>
      <c r="BU47" s="29">
        <f t="shared" ca="1" si="18"/>
        <v>0</v>
      </c>
      <c r="BV47" s="29">
        <f t="shared" ca="1" si="18"/>
        <v>0</v>
      </c>
      <c r="BW47" s="29">
        <f t="shared" ca="1" si="18"/>
        <v>0</v>
      </c>
      <c r="BX47" s="29">
        <f t="shared" ca="1" si="18"/>
        <v>0</v>
      </c>
      <c r="BY47" s="29">
        <f t="shared" ca="1" si="18"/>
        <v>0</v>
      </c>
      <c r="BZ47" s="29">
        <f t="shared" ca="1" si="18"/>
        <v>0</v>
      </c>
      <c r="CA47" s="29">
        <f t="shared" ca="1" si="18"/>
        <v>0</v>
      </c>
      <c r="CB47" s="29">
        <f t="shared" ca="1" si="18"/>
        <v>0</v>
      </c>
      <c r="CC47" s="29">
        <f t="shared" ca="1" si="18"/>
        <v>0</v>
      </c>
      <c r="CD47" s="29">
        <f t="shared" ca="1" si="18"/>
        <v>0</v>
      </c>
      <c r="CE47" s="29">
        <f t="shared" ca="1" si="18"/>
        <v>0</v>
      </c>
      <c r="CF47" s="29">
        <f t="shared" ca="1" si="18"/>
        <v>0</v>
      </c>
      <c r="CG47" s="29">
        <f t="shared" ca="1" si="18"/>
        <v>0</v>
      </c>
      <c r="CH47" s="29">
        <f t="shared" ca="1" si="18"/>
        <v>0</v>
      </c>
    </row>
    <row r="48" spans="1:86" ht="13">
      <c r="B48" s="15" t="s">
        <v>271</v>
      </c>
      <c r="C48" s="15"/>
      <c r="D48" s="15" t="s">
        <v>238</v>
      </c>
      <c r="E48" s="29">
        <f t="shared" ca="1" si="13"/>
        <v>12513836.80555555</v>
      </c>
      <c r="F48" s="29"/>
      <c r="G48" s="29">
        <f ca="1">IF('Get Started  2'!$G112&lt;&gt;0,0,IF(G4&lt;'Get Started  2'!$H112,0,OFFSET(G37,0,-1*'Get Started  2'!$H112)*'Get Started  2'!$H42))+IF('Get Started  2'!$G111&lt;&gt;0,0,IF(G4&lt;'Get Started  2'!$H111,0,OFFSET(G37,0,-1*'Get Started  2'!$H111)*'Get Started  2'!$G42))+IF('Get Started  2'!$G110&lt;&gt;0,0,IF(G4&lt;'Get Started  2'!$H110,0,OFFSET(G37,0,-1*'Get Started  2'!$H110)*'Get Started  2'!$F42))+IF('Get Started  2'!$G109&lt;&gt;0,0,IF(G4&lt;'Get Started  2'!$H109,0,OFFSET(G37,0,-1*'Get Started  2'!$H109)*'Get Started  2'!$E42))</f>
        <v>0</v>
      </c>
      <c r="H48" s="29">
        <f ca="1">IF('Get Started  2'!$G112&lt;&gt;0,0,IF(H4&lt;'Get Started  2'!$H112,0,OFFSET(H37,0,-1*'Get Started  2'!$H112)*'Get Started  2'!$H42))+IF('Get Started  2'!$G111&lt;&gt;0,0,IF(H4&lt;'Get Started  2'!$H111,0,OFFSET(H37,0,-1*'Get Started  2'!$H111)*'Get Started  2'!$G42))+IF('Get Started  2'!$G110&lt;&gt;0,0,IF(H4&lt;'Get Started  2'!$H110,0,OFFSET(H37,0,-1*'Get Started  2'!$H110)*'Get Started  2'!$F42))+IF('Get Started  2'!$G109&lt;&gt;0,0,IF(H4&lt;'Get Started  2'!$H109,0,OFFSET(H37,0,-1*'Get Started  2'!$H109)*'Get Started  2'!$E42))</f>
        <v>0</v>
      </c>
      <c r="I48" s="29">
        <f ca="1">IF('Get Started  2'!$G112&lt;&gt;0,0,IF(I4&lt;'Get Started  2'!$H112,0,OFFSET(I37,0,-1*'Get Started  2'!$H112)*'Get Started  2'!$H42))+IF('Get Started  2'!$G111&lt;&gt;0,0,IF(I4&lt;'Get Started  2'!$H111,0,OFFSET(I37,0,-1*'Get Started  2'!$H111)*'Get Started  2'!$G42))+IF('Get Started  2'!$G110&lt;&gt;0,0,IF(I4&lt;'Get Started  2'!$H110,0,OFFSET(I37,0,-1*'Get Started  2'!$H110)*'Get Started  2'!$F42))+IF('Get Started  2'!$G109&lt;&gt;0,0,IF(I4&lt;'Get Started  2'!$H109,0,OFFSET(I37,0,-1*'Get Started  2'!$H109)*'Get Started  2'!$E42))</f>
        <v>0</v>
      </c>
      <c r="J48" s="29">
        <f ca="1">IF('Get Started  2'!$G112&lt;&gt;0,0,IF(J4&lt;'Get Started  2'!$H112,0,OFFSET(J37,0,-1*'Get Started  2'!$H112)*'Get Started  2'!$H42))+IF('Get Started  2'!$G111&lt;&gt;0,0,IF(J4&lt;'Get Started  2'!$H111,0,OFFSET(J37,0,-1*'Get Started  2'!$H111)*'Get Started  2'!$G42))+IF('Get Started  2'!$G110&lt;&gt;0,0,IF(J4&lt;'Get Started  2'!$H110,0,OFFSET(J37,0,-1*'Get Started  2'!$H110)*'Get Started  2'!$F42))+IF('Get Started  2'!$G109&lt;&gt;0,0,IF(J4&lt;'Get Started  2'!$H109,0,OFFSET(J37,0,-1*'Get Started  2'!$H109)*'Get Started  2'!$E42))</f>
        <v>0</v>
      </c>
      <c r="K48" s="29">
        <f ca="1">IF('Get Started  2'!$G112&lt;&gt;0,0,IF(K4&lt;'Get Started  2'!$H112,0,OFFSET(K37,0,-1*'Get Started  2'!$H112)*'Get Started  2'!$H42))+IF('Get Started  2'!$G111&lt;&gt;0,0,IF(K4&lt;'Get Started  2'!$H111,0,OFFSET(K37,0,-1*'Get Started  2'!$H111)*'Get Started  2'!$G42))+IF('Get Started  2'!$G110&lt;&gt;0,0,IF(K4&lt;'Get Started  2'!$H110,0,OFFSET(K37,0,-1*'Get Started  2'!$H110)*'Get Started  2'!$F42))+IF('Get Started  2'!$G109&lt;&gt;0,0,IF(K4&lt;'Get Started  2'!$H109,0,OFFSET(K37,0,-1*'Get Started  2'!$H109)*'Get Started  2'!$E42))</f>
        <v>0</v>
      </c>
      <c r="L48" s="29">
        <f ca="1">IF('Get Started  2'!$G112&lt;&gt;0,0,IF(L4&lt;'Get Started  2'!$H112,0,OFFSET(L37,0,-1*'Get Started  2'!$H112)*'Get Started  2'!$H42))+IF('Get Started  2'!$G111&lt;&gt;0,0,IF(L4&lt;'Get Started  2'!$H111,0,OFFSET(L37,0,-1*'Get Started  2'!$H111)*'Get Started  2'!$G42))+IF('Get Started  2'!$G110&lt;&gt;0,0,IF(L4&lt;'Get Started  2'!$H110,0,OFFSET(L37,0,-1*'Get Started  2'!$H110)*'Get Started  2'!$F42))+IF('Get Started  2'!$G109&lt;&gt;0,0,IF(L4&lt;'Get Started  2'!$H109,0,OFFSET(L37,0,-1*'Get Started  2'!$H109)*'Get Started  2'!$E42))</f>
        <v>0</v>
      </c>
      <c r="M48" s="29">
        <f ca="1">IF('Get Started  2'!$G112&lt;&gt;0,0,IF(M4&lt;'Get Started  2'!$H112,0,OFFSET(M37,0,-1*'Get Started  2'!$H112)*'Get Started  2'!$H42))+IF('Get Started  2'!$G111&lt;&gt;0,0,IF(M4&lt;'Get Started  2'!$H111,0,OFFSET(M37,0,-1*'Get Started  2'!$H111)*'Get Started  2'!$G42))+IF('Get Started  2'!$G110&lt;&gt;0,0,IF(M4&lt;'Get Started  2'!$H110,0,OFFSET(M37,0,-1*'Get Started  2'!$H110)*'Get Started  2'!$F42))+IF('Get Started  2'!$G109&lt;&gt;0,0,IF(M4&lt;'Get Started  2'!$H109,0,OFFSET(M37,0,-1*'Get Started  2'!$H109)*'Get Started  2'!$E42))</f>
        <v>0</v>
      </c>
      <c r="N48" s="29">
        <f ca="1">IF('Get Started  2'!$G112&lt;&gt;0,0,IF(N4&lt;'Get Started  2'!$H112,0,OFFSET(N37,0,-1*'Get Started  2'!$H112)*'Get Started  2'!$H42))+IF('Get Started  2'!$G111&lt;&gt;0,0,IF(N4&lt;'Get Started  2'!$H111,0,OFFSET(N37,0,-1*'Get Started  2'!$H111)*'Get Started  2'!$G42))+IF('Get Started  2'!$G110&lt;&gt;0,0,IF(N4&lt;'Get Started  2'!$H110,0,OFFSET(N37,0,-1*'Get Started  2'!$H110)*'Get Started  2'!$F42))+IF('Get Started  2'!$G109&lt;&gt;0,0,IF(N4&lt;'Get Started  2'!$H109,0,OFFSET(N37,0,-1*'Get Started  2'!$H109)*'Get Started  2'!$E42))</f>
        <v>0</v>
      </c>
      <c r="O48" s="29">
        <f ca="1">IF('Get Started  2'!$G112&lt;&gt;0,0,IF(O4&lt;'Get Started  2'!$H112,0,OFFSET(O37,0,-1*'Get Started  2'!$H112)*'Get Started  2'!$H42))+IF('Get Started  2'!$G111&lt;&gt;0,0,IF(O4&lt;'Get Started  2'!$H111,0,OFFSET(O37,0,-1*'Get Started  2'!$H111)*'Get Started  2'!$G42))+IF('Get Started  2'!$G110&lt;&gt;0,0,IF(O4&lt;'Get Started  2'!$H110,0,OFFSET(O37,0,-1*'Get Started  2'!$H110)*'Get Started  2'!$F42))+IF('Get Started  2'!$G109&lt;&gt;0,0,IF(O4&lt;'Get Started  2'!$H109,0,OFFSET(O37,0,-1*'Get Started  2'!$H109)*'Get Started  2'!$E42))</f>
        <v>741927.08333333337</v>
      </c>
      <c r="P48" s="29">
        <f ca="1">IF('Get Started  2'!$G112&lt;&gt;0,0,IF(P4&lt;'Get Started  2'!$H112,0,OFFSET(P37,0,-1*'Get Started  2'!$H112)*'Get Started  2'!$H42))+IF('Get Started  2'!$G111&lt;&gt;0,0,IF(P4&lt;'Get Started  2'!$H111,0,OFFSET(P37,0,-1*'Get Started  2'!$H111)*'Get Started  2'!$G42))+IF('Get Started  2'!$G110&lt;&gt;0,0,IF(P4&lt;'Get Started  2'!$H110,0,OFFSET(P37,0,-1*'Get Started  2'!$H110)*'Get Started  2'!$F42))+IF('Get Started  2'!$G109&lt;&gt;0,0,IF(P4&lt;'Get Started  2'!$H109,0,OFFSET(P37,0,-1*'Get Started  2'!$H109)*'Get Started  2'!$E42))</f>
        <v>741927.08333333337</v>
      </c>
      <c r="Q48" s="29">
        <f ca="1">IF('Get Started  2'!$G112&lt;&gt;0,0,IF(Q4&lt;'Get Started  2'!$H112,0,OFFSET(Q37,0,-1*'Get Started  2'!$H112)*'Get Started  2'!$H42))+IF('Get Started  2'!$G111&lt;&gt;0,0,IF(Q4&lt;'Get Started  2'!$H111,0,OFFSET(Q37,0,-1*'Get Started  2'!$H111)*'Get Started  2'!$G42))+IF('Get Started  2'!$G110&lt;&gt;0,0,IF(Q4&lt;'Get Started  2'!$H110,0,OFFSET(Q37,0,-1*'Get Started  2'!$H110)*'Get Started  2'!$F42))+IF('Get Started  2'!$G109&lt;&gt;0,0,IF(Q4&lt;'Get Started  2'!$H109,0,OFFSET(Q37,0,-1*'Get Started  2'!$H109)*'Get Started  2'!$E42))</f>
        <v>741927.08333333337</v>
      </c>
      <c r="R48" s="29">
        <f ca="1">IF('Get Started  2'!$G112&lt;&gt;0,0,IF(R4&lt;'Get Started  2'!$H112,0,OFFSET(R37,0,-1*'Get Started  2'!$H112)*'Get Started  2'!$H42))+IF('Get Started  2'!$G111&lt;&gt;0,0,IF(R4&lt;'Get Started  2'!$H111,0,OFFSET(R37,0,-1*'Get Started  2'!$H111)*'Get Started  2'!$G42))+IF('Get Started  2'!$G110&lt;&gt;0,0,IF(R4&lt;'Get Started  2'!$H110,0,OFFSET(R37,0,-1*'Get Started  2'!$H110)*'Get Started  2'!$F42))+IF('Get Started  2'!$G109&lt;&gt;0,0,IF(R4&lt;'Get Started  2'!$H109,0,OFFSET(R37,0,-1*'Get Started  2'!$H109)*'Get Started  2'!$E42))</f>
        <v>741927.08333333337</v>
      </c>
      <c r="S48" s="29">
        <f ca="1">IF('Get Started  2'!$G112&lt;&gt;0,0,IF(S4&lt;'Get Started  2'!$H112,0,OFFSET(S37,0,-1*'Get Started  2'!$H112)*'Get Started  2'!$H42))+IF('Get Started  2'!$G111&lt;&gt;0,0,IF(S4&lt;'Get Started  2'!$H111,0,OFFSET(S37,0,-1*'Get Started  2'!$H111)*'Get Started  2'!$G42))+IF('Get Started  2'!$G110&lt;&gt;0,0,IF(S4&lt;'Get Started  2'!$H110,0,OFFSET(S37,0,-1*'Get Started  2'!$H110)*'Get Started  2'!$F42))+IF('Get Started  2'!$G109&lt;&gt;0,0,IF(S4&lt;'Get Started  2'!$H109,0,OFFSET(S37,0,-1*'Get Started  2'!$H109)*'Get Started  2'!$E42))</f>
        <v>741927.08333333337</v>
      </c>
      <c r="T48" s="29">
        <f ca="1">IF('Get Started  2'!$G112&lt;&gt;0,0,IF(T4&lt;'Get Started  2'!$H112,0,OFFSET(T37,0,-1*'Get Started  2'!$H112)*'Get Started  2'!$H42))+IF('Get Started  2'!$G111&lt;&gt;0,0,IF(T4&lt;'Get Started  2'!$H111,0,OFFSET(T37,0,-1*'Get Started  2'!$H111)*'Get Started  2'!$G42))+IF('Get Started  2'!$G110&lt;&gt;0,0,IF(T4&lt;'Get Started  2'!$H110,0,OFFSET(T37,0,-1*'Get Started  2'!$H110)*'Get Started  2'!$F42))+IF('Get Started  2'!$G109&lt;&gt;0,0,IF(T4&lt;'Get Started  2'!$H109,0,OFFSET(T37,0,-1*'Get Started  2'!$H109)*'Get Started  2'!$E42))</f>
        <v>741927.08333333337</v>
      </c>
      <c r="U48" s="29">
        <f ca="1">IF('Get Started  2'!$G112&lt;&gt;0,0,IF(U4&lt;'Get Started  2'!$H112,0,OFFSET(U37,0,-1*'Get Started  2'!$H112)*'Get Started  2'!$H42))+IF('Get Started  2'!$G111&lt;&gt;0,0,IF(U4&lt;'Get Started  2'!$H111,0,OFFSET(U37,0,-1*'Get Started  2'!$H111)*'Get Started  2'!$G42))+IF('Get Started  2'!$G110&lt;&gt;0,0,IF(U4&lt;'Get Started  2'!$H110,0,OFFSET(U37,0,-1*'Get Started  2'!$H110)*'Get Started  2'!$F42))+IF('Get Started  2'!$G109&lt;&gt;0,0,IF(U4&lt;'Get Started  2'!$H109,0,OFFSET(U37,0,-1*'Get Started  2'!$H109)*'Get Started  2'!$E42))</f>
        <v>741927.08333333337</v>
      </c>
      <c r="V48" s="29">
        <f ca="1">IF('Get Started  2'!$G112&lt;&gt;0,0,IF(V4&lt;'Get Started  2'!$H112,0,OFFSET(V37,0,-1*'Get Started  2'!$H112)*'Get Started  2'!$H42))+IF('Get Started  2'!$G111&lt;&gt;0,0,IF(V4&lt;'Get Started  2'!$H111,0,OFFSET(V37,0,-1*'Get Started  2'!$H111)*'Get Started  2'!$G42))+IF('Get Started  2'!$G110&lt;&gt;0,0,IF(V4&lt;'Get Started  2'!$H110,0,OFFSET(V37,0,-1*'Get Started  2'!$H110)*'Get Started  2'!$F42))+IF('Get Started  2'!$G109&lt;&gt;0,0,IF(V4&lt;'Get Started  2'!$H109,0,OFFSET(V37,0,-1*'Get Started  2'!$H109)*'Get Started  2'!$E42))</f>
        <v>741927.08333333337</v>
      </c>
      <c r="W48" s="29">
        <f ca="1">IF('Get Started  2'!$G112&lt;&gt;0,0,IF(W4&lt;'Get Started  2'!$H112,0,OFFSET(W37,0,-1*'Get Started  2'!$H112)*'Get Started  2'!$H42))+IF('Get Started  2'!$G111&lt;&gt;0,0,IF(W4&lt;'Get Started  2'!$H111,0,OFFSET(W37,0,-1*'Get Started  2'!$H111)*'Get Started  2'!$G42))+IF('Get Started  2'!$G110&lt;&gt;0,0,IF(W4&lt;'Get Started  2'!$H110,0,OFFSET(W37,0,-1*'Get Started  2'!$H110)*'Get Started  2'!$F42))+IF('Get Started  2'!$G109&lt;&gt;0,0,IF(W4&lt;'Get Started  2'!$H109,0,OFFSET(W37,0,-1*'Get Started  2'!$H109)*'Get Started  2'!$E42))</f>
        <v>741927.08333333337</v>
      </c>
      <c r="X48" s="29">
        <f ca="1">IF('Get Started  2'!$G112&lt;&gt;0,0,IF(X4&lt;'Get Started  2'!$H112,0,OFFSET(X37,0,-1*'Get Started  2'!$H112)*'Get Started  2'!$H42))+IF('Get Started  2'!$G111&lt;&gt;0,0,IF(X4&lt;'Get Started  2'!$H111,0,OFFSET(X37,0,-1*'Get Started  2'!$H111)*'Get Started  2'!$G42))+IF('Get Started  2'!$G110&lt;&gt;0,0,IF(X4&lt;'Get Started  2'!$H110,0,OFFSET(X37,0,-1*'Get Started  2'!$H110)*'Get Started  2'!$F42))+IF('Get Started  2'!$G109&lt;&gt;0,0,IF(X4&lt;'Get Started  2'!$H109,0,OFFSET(X37,0,-1*'Get Started  2'!$H109)*'Get Started  2'!$E42))</f>
        <v>741927.08333333337</v>
      </c>
      <c r="Y48" s="29">
        <f ca="1">IF('Get Started  2'!$G112&lt;&gt;0,0,IF(Y4&lt;'Get Started  2'!$H112,0,OFFSET(Y37,0,-1*'Get Started  2'!$H112)*'Get Started  2'!$H42))+IF('Get Started  2'!$G111&lt;&gt;0,0,IF(Y4&lt;'Get Started  2'!$H111,0,OFFSET(Y37,0,-1*'Get Started  2'!$H111)*'Get Started  2'!$G42))+IF('Get Started  2'!$G110&lt;&gt;0,0,IF(Y4&lt;'Get Started  2'!$H110,0,OFFSET(Y37,0,-1*'Get Started  2'!$H110)*'Get Started  2'!$F42))+IF('Get Started  2'!$G109&lt;&gt;0,0,IF(Y4&lt;'Get Started  2'!$H109,0,OFFSET(Y37,0,-1*'Get Started  2'!$H109)*'Get Started  2'!$E42))</f>
        <v>741927.08333333337</v>
      </c>
      <c r="Z48" s="29">
        <f ca="1">IF('Get Started  2'!$G112&lt;&gt;0,0,IF(Z4&lt;'Get Started  2'!$H112,0,OFFSET(Z37,0,-1*'Get Started  2'!$H112)*'Get Started  2'!$H42))+IF('Get Started  2'!$G111&lt;&gt;0,0,IF(Z4&lt;'Get Started  2'!$H111,0,OFFSET(Z37,0,-1*'Get Started  2'!$H111)*'Get Started  2'!$G42))+IF('Get Started  2'!$G110&lt;&gt;0,0,IF(Z4&lt;'Get Started  2'!$H110,0,OFFSET(Z37,0,-1*'Get Started  2'!$H110)*'Get Started  2'!$F42))+IF('Get Started  2'!$G109&lt;&gt;0,0,IF(Z4&lt;'Get Started  2'!$H109,0,OFFSET(Z37,0,-1*'Get Started  2'!$H109)*'Get Started  2'!$E42))</f>
        <v>741927.08333333337</v>
      </c>
      <c r="AA48" s="29">
        <f ca="1">IF('Get Started  2'!$G112&lt;&gt;0,0,IF(AA4&lt;'Get Started  2'!$H112,0,OFFSET(AA37,0,-1*'Get Started  2'!$H112)*'Get Started  2'!$H42))+IF('Get Started  2'!$G111&lt;&gt;0,0,IF(AA4&lt;'Get Started  2'!$H111,0,OFFSET(AA37,0,-1*'Get Started  2'!$H111)*'Get Started  2'!$G42))+IF('Get Started  2'!$G110&lt;&gt;0,0,IF(AA4&lt;'Get Started  2'!$H110,0,OFFSET(AA37,0,-1*'Get Started  2'!$H110)*'Get Started  2'!$F42))+IF('Get Started  2'!$G109&lt;&gt;0,0,IF(AA4&lt;'Get Started  2'!$H109,0,OFFSET(AA37,0,-1*'Get Started  2'!$H109)*'Get Started  2'!$E42))</f>
        <v>902677.95138888888</v>
      </c>
      <c r="AB48" s="29">
        <f ca="1">IF('Get Started  2'!$G112&lt;&gt;0,0,IF(AB4&lt;'Get Started  2'!$H112,0,OFFSET(AB37,0,-1*'Get Started  2'!$H112)*'Get Started  2'!$H42))+IF('Get Started  2'!$G111&lt;&gt;0,0,IF(AB4&lt;'Get Started  2'!$H111,0,OFFSET(AB37,0,-1*'Get Started  2'!$H111)*'Get Started  2'!$G42))+IF('Get Started  2'!$G110&lt;&gt;0,0,IF(AB4&lt;'Get Started  2'!$H110,0,OFFSET(AB37,0,-1*'Get Started  2'!$H110)*'Get Started  2'!$F42))+IF('Get Started  2'!$G109&lt;&gt;0,0,IF(AB4&lt;'Get Started  2'!$H109,0,OFFSET(AB37,0,-1*'Get Started  2'!$H109)*'Get Started  2'!$E42))</f>
        <v>902677.95138888888</v>
      </c>
      <c r="AC48" s="29">
        <f ca="1">IF('Get Started  2'!$G112&lt;&gt;0,0,IF(AC4&lt;'Get Started  2'!$H112,0,OFFSET(AC37,0,-1*'Get Started  2'!$H112)*'Get Started  2'!$H42))+IF('Get Started  2'!$G111&lt;&gt;0,0,IF(AC4&lt;'Get Started  2'!$H111,0,OFFSET(AC37,0,-1*'Get Started  2'!$H111)*'Get Started  2'!$G42))+IF('Get Started  2'!$G110&lt;&gt;0,0,IF(AC4&lt;'Get Started  2'!$H110,0,OFFSET(AC37,0,-1*'Get Started  2'!$H110)*'Get Started  2'!$F42))+IF('Get Started  2'!$G109&lt;&gt;0,0,IF(AC4&lt;'Get Started  2'!$H109,0,OFFSET(AC37,0,-1*'Get Started  2'!$H109)*'Get Started  2'!$E42))</f>
        <v>902677.95138888888</v>
      </c>
      <c r="AD48" s="29">
        <f ca="1">IF('Get Started  2'!$G112&lt;&gt;0,0,IF(AD4&lt;'Get Started  2'!$H112,0,OFFSET(AD37,0,-1*'Get Started  2'!$H112)*'Get Started  2'!$H42))+IF('Get Started  2'!$G111&lt;&gt;0,0,IF(AD4&lt;'Get Started  2'!$H111,0,OFFSET(AD37,0,-1*'Get Started  2'!$H111)*'Get Started  2'!$G42))+IF('Get Started  2'!$G110&lt;&gt;0,0,IF(AD4&lt;'Get Started  2'!$H110,0,OFFSET(AD37,0,-1*'Get Started  2'!$H110)*'Get Started  2'!$F42))+IF('Get Started  2'!$G109&lt;&gt;0,0,IF(AD4&lt;'Get Started  2'!$H109,0,OFFSET(AD37,0,-1*'Get Started  2'!$H109)*'Get Started  2'!$E42))</f>
        <v>902677.95138888888</v>
      </c>
      <c r="AE48" s="29">
        <f ca="1">IF('Get Started  2'!$G112&lt;&gt;0,0,IF(AE4&lt;'Get Started  2'!$H112,0,OFFSET(AE37,0,-1*'Get Started  2'!$H112)*'Get Started  2'!$H42))+IF('Get Started  2'!$G111&lt;&gt;0,0,IF(AE4&lt;'Get Started  2'!$H111,0,OFFSET(AE37,0,-1*'Get Started  2'!$H111)*'Get Started  2'!$G42))+IF('Get Started  2'!$G110&lt;&gt;0,0,IF(AE4&lt;'Get Started  2'!$H110,0,OFFSET(AE37,0,-1*'Get Started  2'!$H110)*'Get Started  2'!$F42))+IF('Get Started  2'!$G109&lt;&gt;0,0,IF(AE4&lt;'Get Started  2'!$H109,0,OFFSET(AE37,0,-1*'Get Started  2'!$H109)*'Get Started  2'!$E42))</f>
        <v>0</v>
      </c>
      <c r="AF48" s="29">
        <f ca="1">IF('Get Started  2'!$G112&lt;&gt;0,0,IF(AF4&lt;'Get Started  2'!$H112,0,OFFSET(AF37,0,-1*'Get Started  2'!$H112)*'Get Started  2'!$H42))+IF('Get Started  2'!$G111&lt;&gt;0,0,IF(AF4&lt;'Get Started  2'!$H111,0,OFFSET(AF37,0,-1*'Get Started  2'!$H111)*'Get Started  2'!$G42))+IF('Get Started  2'!$G110&lt;&gt;0,0,IF(AF4&lt;'Get Started  2'!$H110,0,OFFSET(AF37,0,-1*'Get Started  2'!$H110)*'Get Started  2'!$F42))+IF('Get Started  2'!$G109&lt;&gt;0,0,IF(AF4&lt;'Get Started  2'!$H109,0,OFFSET(AF37,0,-1*'Get Started  2'!$H109)*'Get Started  2'!$E42))</f>
        <v>0</v>
      </c>
      <c r="AG48" s="29">
        <f ca="1">IF('Get Started  2'!$G112&lt;&gt;0,0,IF(AG4&lt;'Get Started  2'!$H112,0,OFFSET(AG37,0,-1*'Get Started  2'!$H112)*'Get Started  2'!$H42))+IF('Get Started  2'!$G111&lt;&gt;0,0,IF(AG4&lt;'Get Started  2'!$H111,0,OFFSET(AG37,0,-1*'Get Started  2'!$H111)*'Get Started  2'!$G42))+IF('Get Started  2'!$G110&lt;&gt;0,0,IF(AG4&lt;'Get Started  2'!$H110,0,OFFSET(AG37,0,-1*'Get Started  2'!$H110)*'Get Started  2'!$F42))+IF('Get Started  2'!$G109&lt;&gt;0,0,IF(AG4&lt;'Get Started  2'!$H109,0,OFFSET(AG37,0,-1*'Get Started  2'!$H109)*'Get Started  2'!$E42))</f>
        <v>0</v>
      </c>
      <c r="AH48" s="29">
        <f ca="1">IF('Get Started  2'!$G112&lt;&gt;0,0,IF(AH4&lt;'Get Started  2'!$H112,0,OFFSET(AH37,0,-1*'Get Started  2'!$H112)*'Get Started  2'!$H42))+IF('Get Started  2'!$G111&lt;&gt;0,0,IF(AH4&lt;'Get Started  2'!$H111,0,OFFSET(AH37,0,-1*'Get Started  2'!$H111)*'Get Started  2'!$G42))+IF('Get Started  2'!$G110&lt;&gt;0,0,IF(AH4&lt;'Get Started  2'!$H110,0,OFFSET(AH37,0,-1*'Get Started  2'!$H110)*'Get Started  2'!$F42))+IF('Get Started  2'!$G109&lt;&gt;0,0,IF(AH4&lt;'Get Started  2'!$H109,0,OFFSET(AH37,0,-1*'Get Started  2'!$H109)*'Get Started  2'!$E42))</f>
        <v>0</v>
      </c>
      <c r="AI48" s="29">
        <f ca="1">IF('Get Started  2'!$G112&lt;&gt;0,0,IF(AI4&lt;'Get Started  2'!$H112,0,OFFSET(AI37,0,-1*'Get Started  2'!$H112)*'Get Started  2'!$H42))+IF('Get Started  2'!$G111&lt;&gt;0,0,IF(AI4&lt;'Get Started  2'!$H111,0,OFFSET(AI37,0,-1*'Get Started  2'!$H111)*'Get Started  2'!$G42))+IF('Get Started  2'!$G110&lt;&gt;0,0,IF(AI4&lt;'Get Started  2'!$H110,0,OFFSET(AI37,0,-1*'Get Started  2'!$H110)*'Get Started  2'!$F42))+IF('Get Started  2'!$G109&lt;&gt;0,0,IF(AI4&lt;'Get Started  2'!$H109,0,OFFSET(AI37,0,-1*'Get Started  2'!$H109)*'Get Started  2'!$E42))</f>
        <v>0</v>
      </c>
      <c r="AJ48" s="29">
        <f ca="1">IF('Get Started  2'!$G112&lt;&gt;0,0,IF(AJ4&lt;'Get Started  2'!$H112,0,OFFSET(AJ37,0,-1*'Get Started  2'!$H112)*'Get Started  2'!$H42))+IF('Get Started  2'!$G111&lt;&gt;0,0,IF(AJ4&lt;'Get Started  2'!$H111,0,OFFSET(AJ37,0,-1*'Get Started  2'!$H111)*'Get Started  2'!$G42))+IF('Get Started  2'!$G110&lt;&gt;0,0,IF(AJ4&lt;'Get Started  2'!$H110,0,OFFSET(AJ37,0,-1*'Get Started  2'!$H110)*'Get Started  2'!$F42))+IF('Get Started  2'!$G109&lt;&gt;0,0,IF(AJ4&lt;'Get Started  2'!$H109,0,OFFSET(AJ37,0,-1*'Get Started  2'!$H109)*'Get Started  2'!$E42))</f>
        <v>0</v>
      </c>
      <c r="AK48" s="29">
        <f ca="1">IF('Get Started  2'!$G112&lt;&gt;0,0,IF(AK4&lt;'Get Started  2'!$H112,0,OFFSET(AK37,0,-1*'Get Started  2'!$H112)*'Get Started  2'!$H42))+IF('Get Started  2'!$G111&lt;&gt;0,0,IF(AK4&lt;'Get Started  2'!$H111,0,OFFSET(AK37,0,-1*'Get Started  2'!$H111)*'Get Started  2'!$G42))+IF('Get Started  2'!$G110&lt;&gt;0,0,IF(AK4&lt;'Get Started  2'!$H110,0,OFFSET(AK37,0,-1*'Get Started  2'!$H110)*'Get Started  2'!$F42))+IF('Get Started  2'!$G109&lt;&gt;0,0,IF(AK4&lt;'Get Started  2'!$H109,0,OFFSET(AK37,0,-1*'Get Started  2'!$H109)*'Get Started  2'!$E42))</f>
        <v>0</v>
      </c>
      <c r="AL48" s="29">
        <f ca="1">IF('Get Started  2'!$G112&lt;&gt;0,0,IF(AL4&lt;'Get Started  2'!$H112,0,OFFSET(AL37,0,-1*'Get Started  2'!$H112)*'Get Started  2'!$H42))+IF('Get Started  2'!$G111&lt;&gt;0,0,IF(AL4&lt;'Get Started  2'!$H111,0,OFFSET(AL37,0,-1*'Get Started  2'!$H111)*'Get Started  2'!$G42))+IF('Get Started  2'!$G110&lt;&gt;0,0,IF(AL4&lt;'Get Started  2'!$H110,0,OFFSET(AL37,0,-1*'Get Started  2'!$H110)*'Get Started  2'!$F42))+IF('Get Started  2'!$G109&lt;&gt;0,0,IF(AL4&lt;'Get Started  2'!$H109,0,OFFSET(AL37,0,-1*'Get Started  2'!$H109)*'Get Started  2'!$E42))</f>
        <v>0</v>
      </c>
      <c r="AM48" s="29">
        <f ca="1">IF('Get Started  2'!$G112&lt;&gt;0,0,IF(AM4&lt;'Get Started  2'!$H112,0,OFFSET(AM37,0,-1*'Get Started  2'!$H112)*'Get Started  2'!$H42))+IF('Get Started  2'!$G111&lt;&gt;0,0,IF(AM4&lt;'Get Started  2'!$H111,0,OFFSET(AM37,0,-1*'Get Started  2'!$H111)*'Get Started  2'!$G42))+IF('Get Started  2'!$G110&lt;&gt;0,0,IF(AM4&lt;'Get Started  2'!$H110,0,OFFSET(AM37,0,-1*'Get Started  2'!$H110)*'Get Started  2'!$F42))+IF('Get Started  2'!$G109&lt;&gt;0,0,IF(AM4&lt;'Get Started  2'!$H109,0,OFFSET(AM37,0,-1*'Get Started  2'!$H109)*'Get Started  2'!$E42))</f>
        <v>0</v>
      </c>
      <c r="AN48" s="29">
        <f ca="1">IF('Get Started  2'!$G112&lt;&gt;0,0,IF(AN4&lt;'Get Started  2'!$H112,0,OFFSET(AN37,0,-1*'Get Started  2'!$H112)*'Get Started  2'!$H42))+IF('Get Started  2'!$G111&lt;&gt;0,0,IF(AN4&lt;'Get Started  2'!$H111,0,OFFSET(AN37,0,-1*'Get Started  2'!$H111)*'Get Started  2'!$G42))+IF('Get Started  2'!$G110&lt;&gt;0,0,IF(AN4&lt;'Get Started  2'!$H110,0,OFFSET(AN37,0,-1*'Get Started  2'!$H110)*'Get Started  2'!$F42))+IF('Get Started  2'!$G109&lt;&gt;0,0,IF(AN4&lt;'Get Started  2'!$H109,0,OFFSET(AN37,0,-1*'Get Started  2'!$H109)*'Get Started  2'!$E42))</f>
        <v>0</v>
      </c>
      <c r="AO48" s="29">
        <f ca="1">IF('Get Started  2'!$G112&lt;&gt;0,0,IF(AO4&lt;'Get Started  2'!$H112,0,OFFSET(AO37,0,-1*'Get Started  2'!$H112)*'Get Started  2'!$H42))+IF('Get Started  2'!$G111&lt;&gt;0,0,IF(AO4&lt;'Get Started  2'!$H111,0,OFFSET(AO37,0,-1*'Get Started  2'!$H111)*'Get Started  2'!$G42))+IF('Get Started  2'!$G110&lt;&gt;0,0,IF(AO4&lt;'Get Started  2'!$H110,0,OFFSET(AO37,0,-1*'Get Started  2'!$H110)*'Get Started  2'!$F42))+IF('Get Started  2'!$G109&lt;&gt;0,0,IF(AO4&lt;'Get Started  2'!$H109,0,OFFSET(AO37,0,-1*'Get Started  2'!$H109)*'Get Started  2'!$E42))</f>
        <v>0</v>
      </c>
      <c r="AP48" s="29">
        <f ca="1">IF('Get Started  2'!$G112&lt;&gt;0,0,IF(AP4&lt;'Get Started  2'!$H112,0,OFFSET(AP37,0,-1*'Get Started  2'!$H112)*'Get Started  2'!$H42))+IF('Get Started  2'!$G111&lt;&gt;0,0,IF(AP4&lt;'Get Started  2'!$H111,0,OFFSET(AP37,0,-1*'Get Started  2'!$H111)*'Get Started  2'!$G42))+IF('Get Started  2'!$G110&lt;&gt;0,0,IF(AP4&lt;'Get Started  2'!$H110,0,OFFSET(AP37,0,-1*'Get Started  2'!$H110)*'Get Started  2'!$F42))+IF('Get Started  2'!$G109&lt;&gt;0,0,IF(AP4&lt;'Get Started  2'!$H109,0,OFFSET(AP37,0,-1*'Get Started  2'!$H109)*'Get Started  2'!$E42))</f>
        <v>0</v>
      </c>
      <c r="AQ48" s="29">
        <f ca="1">IF('Get Started  2'!$G112&lt;&gt;0,0,IF(AQ4&lt;'Get Started  2'!$H112,0,OFFSET(AQ37,0,-1*'Get Started  2'!$H112)*'Get Started  2'!$H42))+IF('Get Started  2'!$G111&lt;&gt;0,0,IF(AQ4&lt;'Get Started  2'!$H111,0,OFFSET(AQ37,0,-1*'Get Started  2'!$H111)*'Get Started  2'!$G42))+IF('Get Started  2'!$G110&lt;&gt;0,0,IF(AQ4&lt;'Get Started  2'!$H110,0,OFFSET(AQ37,0,-1*'Get Started  2'!$H110)*'Get Started  2'!$F42))+IF('Get Started  2'!$G109&lt;&gt;0,0,IF(AQ4&lt;'Get Started  2'!$H109,0,OFFSET(AQ37,0,-1*'Get Started  2'!$H109)*'Get Started  2'!$E42))</f>
        <v>0</v>
      </c>
      <c r="AR48" s="29">
        <f ca="1">IF('Get Started  2'!$G112&lt;&gt;0,0,IF(AR4&lt;'Get Started  2'!$H112,0,OFFSET(AR37,0,-1*'Get Started  2'!$H112)*'Get Started  2'!$H42))+IF('Get Started  2'!$G111&lt;&gt;0,0,IF(AR4&lt;'Get Started  2'!$H111,0,OFFSET(AR37,0,-1*'Get Started  2'!$H111)*'Get Started  2'!$G42))+IF('Get Started  2'!$G110&lt;&gt;0,0,IF(AR4&lt;'Get Started  2'!$H110,0,OFFSET(AR37,0,-1*'Get Started  2'!$H110)*'Get Started  2'!$F42))+IF('Get Started  2'!$G109&lt;&gt;0,0,IF(AR4&lt;'Get Started  2'!$H109,0,OFFSET(AR37,0,-1*'Get Started  2'!$H109)*'Get Started  2'!$E42))</f>
        <v>0</v>
      </c>
      <c r="AS48" s="29">
        <f ca="1">IF('Get Started  2'!$G112&lt;&gt;0,0,IF(AS4&lt;'Get Started  2'!$H112,0,OFFSET(AS37,0,-1*'Get Started  2'!$H112)*'Get Started  2'!$H42))+IF('Get Started  2'!$G111&lt;&gt;0,0,IF(AS4&lt;'Get Started  2'!$H111,0,OFFSET(AS37,0,-1*'Get Started  2'!$H111)*'Get Started  2'!$G42))+IF('Get Started  2'!$G110&lt;&gt;0,0,IF(AS4&lt;'Get Started  2'!$H110,0,OFFSET(AS37,0,-1*'Get Started  2'!$H110)*'Get Started  2'!$F42))+IF('Get Started  2'!$G109&lt;&gt;0,0,IF(AS4&lt;'Get Started  2'!$H109,0,OFFSET(AS37,0,-1*'Get Started  2'!$H109)*'Get Started  2'!$E42))</f>
        <v>0</v>
      </c>
      <c r="AT48" s="29">
        <f ca="1">IF('Get Started  2'!$G112&lt;&gt;0,0,IF(AT4&lt;'Get Started  2'!$H112,0,OFFSET(AT37,0,-1*'Get Started  2'!$H112)*'Get Started  2'!$H42))+IF('Get Started  2'!$G111&lt;&gt;0,0,IF(AT4&lt;'Get Started  2'!$H111,0,OFFSET(AT37,0,-1*'Get Started  2'!$H111)*'Get Started  2'!$G42))+IF('Get Started  2'!$G110&lt;&gt;0,0,IF(AT4&lt;'Get Started  2'!$H110,0,OFFSET(AT37,0,-1*'Get Started  2'!$H110)*'Get Started  2'!$F42))+IF('Get Started  2'!$G109&lt;&gt;0,0,IF(AT4&lt;'Get Started  2'!$H109,0,OFFSET(AT37,0,-1*'Get Started  2'!$H109)*'Get Started  2'!$E42))</f>
        <v>0</v>
      </c>
      <c r="AU48" s="29">
        <f ca="1">IF('Get Started  2'!$G112&lt;&gt;0,0,IF(AU4&lt;'Get Started  2'!$H112,0,OFFSET(AU37,0,-1*'Get Started  2'!$H112)*'Get Started  2'!$H42))+IF('Get Started  2'!$G111&lt;&gt;0,0,IF(AU4&lt;'Get Started  2'!$H111,0,OFFSET(AU37,0,-1*'Get Started  2'!$H111)*'Get Started  2'!$G42))+IF('Get Started  2'!$G110&lt;&gt;0,0,IF(AU4&lt;'Get Started  2'!$H110,0,OFFSET(AU37,0,-1*'Get Started  2'!$H110)*'Get Started  2'!$F42))+IF('Get Started  2'!$G109&lt;&gt;0,0,IF(AU4&lt;'Get Started  2'!$H109,0,OFFSET(AU37,0,-1*'Get Started  2'!$H109)*'Get Started  2'!$E42))</f>
        <v>0</v>
      </c>
      <c r="AV48" s="29">
        <f ca="1">IF('Get Started  2'!$G112&lt;&gt;0,0,IF(AV4&lt;'Get Started  2'!$H112,0,OFFSET(AV37,0,-1*'Get Started  2'!$H112)*'Get Started  2'!$H42))+IF('Get Started  2'!$G111&lt;&gt;0,0,IF(AV4&lt;'Get Started  2'!$H111,0,OFFSET(AV37,0,-1*'Get Started  2'!$H111)*'Get Started  2'!$G42))+IF('Get Started  2'!$G110&lt;&gt;0,0,IF(AV4&lt;'Get Started  2'!$H110,0,OFFSET(AV37,0,-1*'Get Started  2'!$H110)*'Get Started  2'!$F42))+IF('Get Started  2'!$G109&lt;&gt;0,0,IF(AV4&lt;'Get Started  2'!$H109,0,OFFSET(AV37,0,-1*'Get Started  2'!$H109)*'Get Started  2'!$E42))</f>
        <v>0</v>
      </c>
      <c r="AW48" s="29">
        <f ca="1">IF('Get Started  2'!$G112&lt;&gt;0,0,IF(AW4&lt;'Get Started  2'!$H112,0,OFFSET(AW37,0,-1*'Get Started  2'!$H112)*'Get Started  2'!$H42))+IF('Get Started  2'!$G111&lt;&gt;0,0,IF(AW4&lt;'Get Started  2'!$H111,0,OFFSET(AW37,0,-1*'Get Started  2'!$H111)*'Get Started  2'!$G42))+IF('Get Started  2'!$G110&lt;&gt;0,0,IF(AW4&lt;'Get Started  2'!$H110,0,OFFSET(AW37,0,-1*'Get Started  2'!$H110)*'Get Started  2'!$F42))+IF('Get Started  2'!$G109&lt;&gt;0,0,IF(AW4&lt;'Get Started  2'!$H109,0,OFFSET(AW37,0,-1*'Get Started  2'!$H109)*'Get Started  2'!$E42))</f>
        <v>0</v>
      </c>
      <c r="AX48" s="29">
        <f ca="1">IF('Get Started  2'!$G112&lt;&gt;0,0,IF(AX4&lt;'Get Started  2'!$H112,0,OFFSET(AX37,0,-1*'Get Started  2'!$H112)*'Get Started  2'!$H42))+IF('Get Started  2'!$G111&lt;&gt;0,0,IF(AX4&lt;'Get Started  2'!$H111,0,OFFSET(AX37,0,-1*'Get Started  2'!$H111)*'Get Started  2'!$G42))+IF('Get Started  2'!$G110&lt;&gt;0,0,IF(AX4&lt;'Get Started  2'!$H110,0,OFFSET(AX37,0,-1*'Get Started  2'!$H110)*'Get Started  2'!$F42))+IF('Get Started  2'!$G109&lt;&gt;0,0,IF(AX4&lt;'Get Started  2'!$H109,0,OFFSET(AX37,0,-1*'Get Started  2'!$H109)*'Get Started  2'!$E42))</f>
        <v>0</v>
      </c>
      <c r="AY48" s="29">
        <f ca="1">IF('Get Started  2'!$G112&lt;&gt;0,0,IF(AY4&lt;'Get Started  2'!$H112,0,OFFSET(AY37,0,-1*'Get Started  2'!$H112)*'Get Started  2'!$H42))+IF('Get Started  2'!$G111&lt;&gt;0,0,IF(AY4&lt;'Get Started  2'!$H111,0,OFFSET(AY37,0,-1*'Get Started  2'!$H111)*'Get Started  2'!$G42))+IF('Get Started  2'!$G110&lt;&gt;0,0,IF(AY4&lt;'Get Started  2'!$H110,0,OFFSET(AY37,0,-1*'Get Started  2'!$H110)*'Get Started  2'!$F42))+IF('Get Started  2'!$G109&lt;&gt;0,0,IF(AY4&lt;'Get Started  2'!$H109,0,OFFSET(AY37,0,-1*'Get Started  2'!$H109)*'Get Started  2'!$E42))</f>
        <v>0</v>
      </c>
      <c r="AZ48" s="29">
        <f ca="1">IF('Get Started  2'!$G112&lt;&gt;0,0,IF(AZ4&lt;'Get Started  2'!$H112,0,OFFSET(AZ37,0,-1*'Get Started  2'!$H112)*'Get Started  2'!$H42))+IF('Get Started  2'!$G111&lt;&gt;0,0,IF(AZ4&lt;'Get Started  2'!$H111,0,OFFSET(AZ37,0,-1*'Get Started  2'!$H111)*'Get Started  2'!$G42))+IF('Get Started  2'!$G110&lt;&gt;0,0,IF(AZ4&lt;'Get Started  2'!$H110,0,OFFSET(AZ37,0,-1*'Get Started  2'!$H110)*'Get Started  2'!$F42))+IF('Get Started  2'!$G109&lt;&gt;0,0,IF(AZ4&lt;'Get Started  2'!$H109,0,OFFSET(AZ37,0,-1*'Get Started  2'!$H109)*'Get Started  2'!$E42))</f>
        <v>0</v>
      </c>
      <c r="BA48" s="29">
        <f ca="1">IF('Get Started  2'!$G112&lt;&gt;0,0,IF(BA4&lt;'Get Started  2'!$H112,0,OFFSET(BA37,0,-1*'Get Started  2'!$H112)*'Get Started  2'!$H42))+IF('Get Started  2'!$G111&lt;&gt;0,0,IF(BA4&lt;'Get Started  2'!$H111,0,OFFSET(BA37,0,-1*'Get Started  2'!$H111)*'Get Started  2'!$G42))+IF('Get Started  2'!$G110&lt;&gt;0,0,IF(BA4&lt;'Get Started  2'!$H110,0,OFFSET(BA37,0,-1*'Get Started  2'!$H110)*'Get Started  2'!$F42))+IF('Get Started  2'!$G109&lt;&gt;0,0,IF(BA4&lt;'Get Started  2'!$H109,0,OFFSET(BA37,0,-1*'Get Started  2'!$H109)*'Get Started  2'!$E42))</f>
        <v>0</v>
      </c>
      <c r="BB48" s="29">
        <f ca="1">IF('Get Started  2'!$G112&lt;&gt;0,0,IF(BB4&lt;'Get Started  2'!$H112,0,OFFSET(BB37,0,-1*'Get Started  2'!$H112)*'Get Started  2'!$H42))+IF('Get Started  2'!$G111&lt;&gt;0,0,IF(BB4&lt;'Get Started  2'!$H111,0,OFFSET(BB37,0,-1*'Get Started  2'!$H111)*'Get Started  2'!$G42))+IF('Get Started  2'!$G110&lt;&gt;0,0,IF(BB4&lt;'Get Started  2'!$H110,0,OFFSET(BB37,0,-1*'Get Started  2'!$H110)*'Get Started  2'!$F42))+IF('Get Started  2'!$G109&lt;&gt;0,0,IF(BB4&lt;'Get Started  2'!$H109,0,OFFSET(BB37,0,-1*'Get Started  2'!$H109)*'Get Started  2'!$E42))</f>
        <v>0</v>
      </c>
      <c r="BC48" s="29">
        <f ca="1">IF('Get Started  2'!$G112&lt;&gt;0,0,IF(BC4&lt;'Get Started  2'!$H112,0,OFFSET(BC37,0,-1*'Get Started  2'!$H112)*'Get Started  2'!$H42))+IF('Get Started  2'!$G111&lt;&gt;0,0,IF(BC4&lt;'Get Started  2'!$H111,0,OFFSET(BC37,0,-1*'Get Started  2'!$H111)*'Get Started  2'!$G42))+IF('Get Started  2'!$G110&lt;&gt;0,0,IF(BC4&lt;'Get Started  2'!$H110,0,OFFSET(BC37,0,-1*'Get Started  2'!$H110)*'Get Started  2'!$F42))+IF('Get Started  2'!$G109&lt;&gt;0,0,IF(BC4&lt;'Get Started  2'!$H109,0,OFFSET(BC37,0,-1*'Get Started  2'!$H109)*'Get Started  2'!$E42))</f>
        <v>0</v>
      </c>
      <c r="BD48" s="29">
        <f ca="1">IF('Get Started  2'!$G112&lt;&gt;0,0,IF(BD4&lt;'Get Started  2'!$H112,0,OFFSET(BD37,0,-1*'Get Started  2'!$H112)*'Get Started  2'!$H42))+IF('Get Started  2'!$G111&lt;&gt;0,0,IF(BD4&lt;'Get Started  2'!$H111,0,OFFSET(BD37,0,-1*'Get Started  2'!$H111)*'Get Started  2'!$G42))+IF('Get Started  2'!$G110&lt;&gt;0,0,IF(BD4&lt;'Get Started  2'!$H110,0,OFFSET(BD37,0,-1*'Get Started  2'!$H110)*'Get Started  2'!$F42))+IF('Get Started  2'!$G109&lt;&gt;0,0,IF(BD4&lt;'Get Started  2'!$H109,0,OFFSET(BD37,0,-1*'Get Started  2'!$H109)*'Get Started  2'!$E42))</f>
        <v>0</v>
      </c>
      <c r="BE48" s="29">
        <f ca="1">IF('Get Started  2'!$G112&lt;&gt;0,0,IF(BE4&lt;'Get Started  2'!$H112,0,OFFSET(BE37,0,-1*'Get Started  2'!$H112)*'Get Started  2'!$H42))+IF('Get Started  2'!$G111&lt;&gt;0,0,IF(BE4&lt;'Get Started  2'!$H111,0,OFFSET(BE37,0,-1*'Get Started  2'!$H111)*'Get Started  2'!$G42))+IF('Get Started  2'!$G110&lt;&gt;0,0,IF(BE4&lt;'Get Started  2'!$H110,0,OFFSET(BE37,0,-1*'Get Started  2'!$H110)*'Get Started  2'!$F42))+IF('Get Started  2'!$G109&lt;&gt;0,0,IF(BE4&lt;'Get Started  2'!$H109,0,OFFSET(BE37,0,-1*'Get Started  2'!$H109)*'Get Started  2'!$E42))</f>
        <v>0</v>
      </c>
      <c r="BF48" s="29">
        <f ca="1">IF('Get Started  2'!$G112&lt;&gt;0,0,IF(BF4&lt;'Get Started  2'!$H112,0,OFFSET(BF37,0,-1*'Get Started  2'!$H112)*'Get Started  2'!$H42))+IF('Get Started  2'!$G111&lt;&gt;0,0,IF(BF4&lt;'Get Started  2'!$H111,0,OFFSET(BF37,0,-1*'Get Started  2'!$H111)*'Get Started  2'!$G42))+IF('Get Started  2'!$G110&lt;&gt;0,0,IF(BF4&lt;'Get Started  2'!$H110,0,OFFSET(BF37,0,-1*'Get Started  2'!$H110)*'Get Started  2'!$F42))+IF('Get Started  2'!$G109&lt;&gt;0,0,IF(BF4&lt;'Get Started  2'!$H109,0,OFFSET(BF37,0,-1*'Get Started  2'!$H109)*'Get Started  2'!$E42))</f>
        <v>0</v>
      </c>
      <c r="BG48" s="29">
        <f ca="1">IF('Get Started  2'!$G112&lt;&gt;0,0,IF(BG4&lt;'Get Started  2'!$H112,0,OFFSET(BG37,0,-1*'Get Started  2'!$H112)*'Get Started  2'!$H42))+IF('Get Started  2'!$G111&lt;&gt;0,0,IF(BG4&lt;'Get Started  2'!$H111,0,OFFSET(BG37,0,-1*'Get Started  2'!$H111)*'Get Started  2'!$G42))+IF('Get Started  2'!$G110&lt;&gt;0,0,IF(BG4&lt;'Get Started  2'!$H110,0,OFFSET(BG37,0,-1*'Get Started  2'!$H110)*'Get Started  2'!$F42))+IF('Get Started  2'!$G109&lt;&gt;0,0,IF(BG4&lt;'Get Started  2'!$H109,0,OFFSET(BG37,0,-1*'Get Started  2'!$H109)*'Get Started  2'!$E42))</f>
        <v>0</v>
      </c>
      <c r="BH48" s="29">
        <f ca="1">IF('Get Started  2'!$G112&lt;&gt;0,0,IF(BH4&lt;'Get Started  2'!$H112,0,OFFSET(BH37,0,-1*'Get Started  2'!$H112)*'Get Started  2'!$H42))+IF('Get Started  2'!$G111&lt;&gt;0,0,IF(BH4&lt;'Get Started  2'!$H111,0,OFFSET(BH37,0,-1*'Get Started  2'!$H111)*'Get Started  2'!$G42))+IF('Get Started  2'!$G110&lt;&gt;0,0,IF(BH4&lt;'Get Started  2'!$H110,0,OFFSET(BH37,0,-1*'Get Started  2'!$H110)*'Get Started  2'!$F42))+IF('Get Started  2'!$G109&lt;&gt;0,0,IF(BH4&lt;'Get Started  2'!$H109,0,OFFSET(BH37,0,-1*'Get Started  2'!$H109)*'Get Started  2'!$E42))</f>
        <v>0</v>
      </c>
      <c r="BI48" s="29">
        <f ca="1">IF('Get Started  2'!$G112&lt;&gt;0,0,IF(BI4&lt;'Get Started  2'!$H112,0,OFFSET(BI37,0,-1*'Get Started  2'!$H112)*'Get Started  2'!$H42))+IF('Get Started  2'!$G111&lt;&gt;0,0,IF(BI4&lt;'Get Started  2'!$H111,0,OFFSET(BI37,0,-1*'Get Started  2'!$H111)*'Get Started  2'!$G42))+IF('Get Started  2'!$G110&lt;&gt;0,0,IF(BI4&lt;'Get Started  2'!$H110,0,OFFSET(BI37,0,-1*'Get Started  2'!$H110)*'Get Started  2'!$F42))+IF('Get Started  2'!$G109&lt;&gt;0,0,IF(BI4&lt;'Get Started  2'!$H109,0,OFFSET(BI37,0,-1*'Get Started  2'!$H109)*'Get Started  2'!$E42))</f>
        <v>0</v>
      </c>
      <c r="BJ48" s="29">
        <f ca="1">IF('Get Started  2'!$G112&lt;&gt;0,0,IF(BJ4&lt;'Get Started  2'!$H112,0,OFFSET(BJ37,0,-1*'Get Started  2'!$H112)*'Get Started  2'!$H42))+IF('Get Started  2'!$G111&lt;&gt;0,0,IF(BJ4&lt;'Get Started  2'!$H111,0,OFFSET(BJ37,0,-1*'Get Started  2'!$H111)*'Get Started  2'!$G42))+IF('Get Started  2'!$G110&lt;&gt;0,0,IF(BJ4&lt;'Get Started  2'!$H110,0,OFFSET(BJ37,0,-1*'Get Started  2'!$H110)*'Get Started  2'!$F42))+IF('Get Started  2'!$G109&lt;&gt;0,0,IF(BJ4&lt;'Get Started  2'!$H109,0,OFFSET(BJ37,0,-1*'Get Started  2'!$H109)*'Get Started  2'!$E42))</f>
        <v>0</v>
      </c>
      <c r="BK48" s="29">
        <f ca="1">IF('Get Started  2'!$G112&lt;&gt;0,0,IF(BK4&lt;'Get Started  2'!$H112,0,OFFSET(BK37,0,-1*'Get Started  2'!$H112)*'Get Started  2'!$H42))+IF('Get Started  2'!$G111&lt;&gt;0,0,IF(BK4&lt;'Get Started  2'!$H111,0,OFFSET(BK37,0,-1*'Get Started  2'!$H111)*'Get Started  2'!$G42))+IF('Get Started  2'!$G110&lt;&gt;0,0,IF(BK4&lt;'Get Started  2'!$H110,0,OFFSET(BK37,0,-1*'Get Started  2'!$H110)*'Get Started  2'!$F42))+IF('Get Started  2'!$G109&lt;&gt;0,0,IF(BK4&lt;'Get Started  2'!$H109,0,OFFSET(BK37,0,-1*'Get Started  2'!$H109)*'Get Started  2'!$E42))</f>
        <v>0</v>
      </c>
      <c r="BL48" s="29">
        <f ca="1">IF('Get Started  2'!$G112&lt;&gt;0,0,IF(BL4&lt;'Get Started  2'!$H112,0,OFFSET(BL37,0,-1*'Get Started  2'!$H112)*'Get Started  2'!$H42))+IF('Get Started  2'!$G111&lt;&gt;0,0,IF(BL4&lt;'Get Started  2'!$H111,0,OFFSET(BL37,0,-1*'Get Started  2'!$H111)*'Get Started  2'!$G42))+IF('Get Started  2'!$G110&lt;&gt;0,0,IF(BL4&lt;'Get Started  2'!$H110,0,OFFSET(BL37,0,-1*'Get Started  2'!$H110)*'Get Started  2'!$F42))+IF('Get Started  2'!$G109&lt;&gt;0,0,IF(BL4&lt;'Get Started  2'!$H109,0,OFFSET(BL37,0,-1*'Get Started  2'!$H109)*'Get Started  2'!$E42))</f>
        <v>0</v>
      </c>
      <c r="BM48" s="29">
        <f ca="1">IF('Get Started  2'!$G112&lt;&gt;0,0,IF(BM4&lt;'Get Started  2'!$H112,0,OFFSET(BM37,0,-1*'Get Started  2'!$H112)*'Get Started  2'!$H42))+IF('Get Started  2'!$G111&lt;&gt;0,0,IF(BM4&lt;'Get Started  2'!$H111,0,OFFSET(BM37,0,-1*'Get Started  2'!$H111)*'Get Started  2'!$G42))+IF('Get Started  2'!$G110&lt;&gt;0,0,IF(BM4&lt;'Get Started  2'!$H110,0,OFFSET(BM37,0,-1*'Get Started  2'!$H110)*'Get Started  2'!$F42))+IF('Get Started  2'!$G109&lt;&gt;0,0,IF(BM4&lt;'Get Started  2'!$H109,0,OFFSET(BM37,0,-1*'Get Started  2'!$H109)*'Get Started  2'!$E42))</f>
        <v>0</v>
      </c>
      <c r="BN48" s="29">
        <f ca="1">IF('Get Started  2'!$G112&lt;&gt;0,0,IF(BN4&lt;'Get Started  2'!$H112,0,OFFSET(BN37,0,-1*'Get Started  2'!$H112)*'Get Started  2'!$H42))+IF('Get Started  2'!$G111&lt;&gt;0,0,IF(BN4&lt;'Get Started  2'!$H111,0,OFFSET(BN37,0,-1*'Get Started  2'!$H111)*'Get Started  2'!$G42))+IF('Get Started  2'!$G110&lt;&gt;0,0,IF(BN4&lt;'Get Started  2'!$H110,0,OFFSET(BN37,0,-1*'Get Started  2'!$H110)*'Get Started  2'!$F42))+IF('Get Started  2'!$G109&lt;&gt;0,0,IF(BN4&lt;'Get Started  2'!$H109,0,OFFSET(BN37,0,-1*'Get Started  2'!$H109)*'Get Started  2'!$E42))</f>
        <v>0</v>
      </c>
      <c r="BO48" s="29">
        <f ca="1">IF('Get Started  2'!$G112&lt;&gt;0,0,IF(BO4&lt;'Get Started  2'!$H112,0,OFFSET(BO37,0,-1*'Get Started  2'!$H112)*'Get Started  2'!$H42))+IF('Get Started  2'!$G111&lt;&gt;0,0,IF(BO4&lt;'Get Started  2'!$H111,0,OFFSET(BO37,0,-1*'Get Started  2'!$H111)*'Get Started  2'!$G42))+IF('Get Started  2'!$G110&lt;&gt;0,0,IF(BO4&lt;'Get Started  2'!$H110,0,OFFSET(BO37,0,-1*'Get Started  2'!$H110)*'Get Started  2'!$F42))+IF('Get Started  2'!$G109&lt;&gt;0,0,IF(BO4&lt;'Get Started  2'!$H109,0,OFFSET(BO37,0,-1*'Get Started  2'!$H109)*'Get Started  2'!$E42))</f>
        <v>0</v>
      </c>
      <c r="BP48" s="29">
        <f ca="1">IF('Get Started  2'!$G112&lt;&gt;0,0,IF(BP4&lt;'Get Started  2'!$H112,0,OFFSET(BP37,0,-1*'Get Started  2'!$H112)*'Get Started  2'!$H42))+IF('Get Started  2'!$G111&lt;&gt;0,0,IF(BP4&lt;'Get Started  2'!$H111,0,OFFSET(BP37,0,-1*'Get Started  2'!$H111)*'Get Started  2'!$G42))+IF('Get Started  2'!$G110&lt;&gt;0,0,IF(BP4&lt;'Get Started  2'!$H110,0,OFFSET(BP37,0,-1*'Get Started  2'!$H110)*'Get Started  2'!$F42))+IF('Get Started  2'!$G109&lt;&gt;0,0,IF(BP4&lt;'Get Started  2'!$H109,0,OFFSET(BP37,0,-1*'Get Started  2'!$H109)*'Get Started  2'!$E42))</f>
        <v>0</v>
      </c>
      <c r="BQ48" s="29">
        <f ca="1">IF('Get Started  2'!$G112&lt;&gt;0,0,IF(BQ4&lt;'Get Started  2'!$H112,0,OFFSET(BQ37,0,-1*'Get Started  2'!$H112)*'Get Started  2'!$H42))+IF('Get Started  2'!$G111&lt;&gt;0,0,IF(BQ4&lt;'Get Started  2'!$H111,0,OFFSET(BQ37,0,-1*'Get Started  2'!$H111)*'Get Started  2'!$G42))+IF('Get Started  2'!$G110&lt;&gt;0,0,IF(BQ4&lt;'Get Started  2'!$H110,0,OFFSET(BQ37,0,-1*'Get Started  2'!$H110)*'Get Started  2'!$F42))+IF('Get Started  2'!$G109&lt;&gt;0,0,IF(BQ4&lt;'Get Started  2'!$H109,0,OFFSET(BQ37,0,-1*'Get Started  2'!$H109)*'Get Started  2'!$E42))</f>
        <v>0</v>
      </c>
      <c r="BR48" s="29">
        <f ca="1">IF('Get Started  2'!$G112&lt;&gt;0,0,IF(BR4&lt;'Get Started  2'!$H112,0,OFFSET(BR37,0,-1*'Get Started  2'!$H112)*'Get Started  2'!$H42))+IF('Get Started  2'!$G111&lt;&gt;0,0,IF(BR4&lt;'Get Started  2'!$H111,0,OFFSET(BR37,0,-1*'Get Started  2'!$H111)*'Get Started  2'!$G42))+IF('Get Started  2'!$G110&lt;&gt;0,0,IF(BR4&lt;'Get Started  2'!$H110,0,OFFSET(BR37,0,-1*'Get Started  2'!$H110)*'Get Started  2'!$F42))+IF('Get Started  2'!$G109&lt;&gt;0,0,IF(BR4&lt;'Get Started  2'!$H109,0,OFFSET(BR37,0,-1*'Get Started  2'!$H109)*'Get Started  2'!$E42))</f>
        <v>0</v>
      </c>
      <c r="BS48" s="29">
        <f ca="1">IF('Get Started  2'!$G112&lt;&gt;0,0,IF(BS4&lt;'Get Started  2'!$H112,0,OFFSET(BS37,0,-1*'Get Started  2'!$H112)*'Get Started  2'!$H42))+IF('Get Started  2'!$G111&lt;&gt;0,0,IF(BS4&lt;'Get Started  2'!$H111,0,OFFSET(BS37,0,-1*'Get Started  2'!$H111)*'Get Started  2'!$G42))+IF('Get Started  2'!$G110&lt;&gt;0,0,IF(BS4&lt;'Get Started  2'!$H110,0,OFFSET(BS37,0,-1*'Get Started  2'!$H110)*'Get Started  2'!$F42))+IF('Get Started  2'!$G109&lt;&gt;0,0,IF(BS4&lt;'Get Started  2'!$H109,0,OFFSET(BS37,0,-1*'Get Started  2'!$H109)*'Get Started  2'!$E42))</f>
        <v>0</v>
      </c>
      <c r="BT48" s="29">
        <f ca="1">IF('Get Started  2'!$G112&lt;&gt;0,0,IF(BT4&lt;'Get Started  2'!$H112,0,OFFSET(BT37,0,-1*'Get Started  2'!$H112)*'Get Started  2'!$H42))+IF('Get Started  2'!$G111&lt;&gt;0,0,IF(BT4&lt;'Get Started  2'!$H111,0,OFFSET(BT37,0,-1*'Get Started  2'!$H111)*'Get Started  2'!$G42))+IF('Get Started  2'!$G110&lt;&gt;0,0,IF(BT4&lt;'Get Started  2'!$H110,0,OFFSET(BT37,0,-1*'Get Started  2'!$H110)*'Get Started  2'!$F42))+IF('Get Started  2'!$G109&lt;&gt;0,0,IF(BT4&lt;'Get Started  2'!$H109,0,OFFSET(BT37,0,-1*'Get Started  2'!$H109)*'Get Started  2'!$E42))</f>
        <v>0</v>
      </c>
      <c r="BU48" s="29">
        <f ca="1">IF('Get Started  2'!$G112&lt;&gt;0,0,IF(BU4&lt;'Get Started  2'!$H112,0,OFFSET(BU37,0,-1*'Get Started  2'!$H112)*'Get Started  2'!$H42))+IF('Get Started  2'!$G111&lt;&gt;0,0,IF(BU4&lt;'Get Started  2'!$H111,0,OFFSET(BU37,0,-1*'Get Started  2'!$H111)*'Get Started  2'!$G42))+IF('Get Started  2'!$G110&lt;&gt;0,0,IF(BU4&lt;'Get Started  2'!$H110,0,OFFSET(BU37,0,-1*'Get Started  2'!$H110)*'Get Started  2'!$F42))+IF('Get Started  2'!$G109&lt;&gt;0,0,IF(BU4&lt;'Get Started  2'!$H109,0,OFFSET(BU37,0,-1*'Get Started  2'!$H109)*'Get Started  2'!$E42))</f>
        <v>0</v>
      </c>
      <c r="BV48" s="29">
        <f ca="1">IF('Get Started  2'!$G112&lt;&gt;0,0,IF(BV4&lt;'Get Started  2'!$H112,0,OFFSET(BV37,0,-1*'Get Started  2'!$H112)*'Get Started  2'!$H42))+IF('Get Started  2'!$G111&lt;&gt;0,0,IF(BV4&lt;'Get Started  2'!$H111,0,OFFSET(BV37,0,-1*'Get Started  2'!$H111)*'Get Started  2'!$G42))+IF('Get Started  2'!$G110&lt;&gt;0,0,IF(BV4&lt;'Get Started  2'!$H110,0,OFFSET(BV37,0,-1*'Get Started  2'!$H110)*'Get Started  2'!$F42))+IF('Get Started  2'!$G109&lt;&gt;0,0,IF(BV4&lt;'Get Started  2'!$H109,0,OFFSET(BV37,0,-1*'Get Started  2'!$H109)*'Get Started  2'!$E42))</f>
        <v>0</v>
      </c>
      <c r="BW48" s="29">
        <f ca="1">IF('Get Started  2'!$G112&lt;&gt;0,0,IF(BW4&lt;'Get Started  2'!$H112,0,OFFSET(BW37,0,-1*'Get Started  2'!$H112)*'Get Started  2'!$H42))+IF('Get Started  2'!$G111&lt;&gt;0,0,IF(BW4&lt;'Get Started  2'!$H111,0,OFFSET(BW37,0,-1*'Get Started  2'!$H111)*'Get Started  2'!$G42))+IF('Get Started  2'!$G110&lt;&gt;0,0,IF(BW4&lt;'Get Started  2'!$H110,0,OFFSET(BW37,0,-1*'Get Started  2'!$H110)*'Get Started  2'!$F42))+IF('Get Started  2'!$G109&lt;&gt;0,0,IF(BW4&lt;'Get Started  2'!$H109,0,OFFSET(BW37,0,-1*'Get Started  2'!$H109)*'Get Started  2'!$E42))</f>
        <v>0</v>
      </c>
      <c r="BX48" s="29">
        <f ca="1">IF('Get Started  2'!$G112&lt;&gt;0,0,IF(BX4&lt;'Get Started  2'!$H112,0,OFFSET(BX37,0,-1*'Get Started  2'!$H112)*'Get Started  2'!$H42))+IF('Get Started  2'!$G111&lt;&gt;0,0,IF(BX4&lt;'Get Started  2'!$H111,0,OFFSET(BX37,0,-1*'Get Started  2'!$H111)*'Get Started  2'!$G42))+IF('Get Started  2'!$G110&lt;&gt;0,0,IF(BX4&lt;'Get Started  2'!$H110,0,OFFSET(BX37,0,-1*'Get Started  2'!$H110)*'Get Started  2'!$F42))+IF('Get Started  2'!$G109&lt;&gt;0,0,IF(BX4&lt;'Get Started  2'!$H109,0,OFFSET(BX37,0,-1*'Get Started  2'!$H109)*'Get Started  2'!$E42))</f>
        <v>0</v>
      </c>
      <c r="BY48" s="29">
        <f ca="1">IF('Get Started  2'!$G112&lt;&gt;0,0,IF(BY4&lt;'Get Started  2'!$H112,0,OFFSET(BY37,0,-1*'Get Started  2'!$H112)*'Get Started  2'!$H42))+IF('Get Started  2'!$G111&lt;&gt;0,0,IF(BY4&lt;'Get Started  2'!$H111,0,OFFSET(BY37,0,-1*'Get Started  2'!$H111)*'Get Started  2'!$G42))+IF('Get Started  2'!$G110&lt;&gt;0,0,IF(BY4&lt;'Get Started  2'!$H110,0,OFFSET(BY37,0,-1*'Get Started  2'!$H110)*'Get Started  2'!$F42))+IF('Get Started  2'!$G109&lt;&gt;0,0,IF(BY4&lt;'Get Started  2'!$H109,0,OFFSET(BY37,0,-1*'Get Started  2'!$H109)*'Get Started  2'!$E42))</f>
        <v>0</v>
      </c>
      <c r="BZ48" s="29">
        <f ca="1">IF('Get Started  2'!$G112&lt;&gt;0,0,IF(BZ4&lt;'Get Started  2'!$H112,0,OFFSET(BZ37,0,-1*'Get Started  2'!$H112)*'Get Started  2'!$H42))+IF('Get Started  2'!$G111&lt;&gt;0,0,IF(BZ4&lt;'Get Started  2'!$H111,0,OFFSET(BZ37,0,-1*'Get Started  2'!$H111)*'Get Started  2'!$G42))+IF('Get Started  2'!$G110&lt;&gt;0,0,IF(BZ4&lt;'Get Started  2'!$H110,0,OFFSET(BZ37,0,-1*'Get Started  2'!$H110)*'Get Started  2'!$F42))+IF('Get Started  2'!$G109&lt;&gt;0,0,IF(BZ4&lt;'Get Started  2'!$H109,0,OFFSET(BZ37,0,-1*'Get Started  2'!$H109)*'Get Started  2'!$E42))</f>
        <v>0</v>
      </c>
      <c r="CA48" s="29">
        <f ca="1">IF('Get Started  2'!$G112&lt;&gt;0,0,IF(CA4&lt;'Get Started  2'!$H112,0,OFFSET(CA37,0,-1*'Get Started  2'!$H112)*'Get Started  2'!$H42))+IF('Get Started  2'!$G111&lt;&gt;0,0,IF(CA4&lt;'Get Started  2'!$H111,0,OFFSET(CA37,0,-1*'Get Started  2'!$H111)*'Get Started  2'!$G42))+IF('Get Started  2'!$G110&lt;&gt;0,0,IF(CA4&lt;'Get Started  2'!$H110,0,OFFSET(CA37,0,-1*'Get Started  2'!$H110)*'Get Started  2'!$F42))+IF('Get Started  2'!$G109&lt;&gt;0,0,IF(CA4&lt;'Get Started  2'!$H109,0,OFFSET(CA37,0,-1*'Get Started  2'!$H109)*'Get Started  2'!$E42))</f>
        <v>0</v>
      </c>
      <c r="CB48" s="29">
        <f ca="1">IF('Get Started  2'!$G112&lt;&gt;0,0,IF(CB4&lt;'Get Started  2'!$H112,0,OFFSET(CB37,0,-1*'Get Started  2'!$H112)*'Get Started  2'!$H42))+IF('Get Started  2'!$G111&lt;&gt;0,0,IF(CB4&lt;'Get Started  2'!$H111,0,OFFSET(CB37,0,-1*'Get Started  2'!$H111)*'Get Started  2'!$G42))+IF('Get Started  2'!$G110&lt;&gt;0,0,IF(CB4&lt;'Get Started  2'!$H110,0,OFFSET(CB37,0,-1*'Get Started  2'!$H110)*'Get Started  2'!$F42))+IF('Get Started  2'!$G109&lt;&gt;0,0,IF(CB4&lt;'Get Started  2'!$H109,0,OFFSET(CB37,0,-1*'Get Started  2'!$H109)*'Get Started  2'!$E42))</f>
        <v>0</v>
      </c>
      <c r="CC48" s="29">
        <f ca="1">IF('Get Started  2'!$G112&lt;&gt;0,0,IF(CC4&lt;'Get Started  2'!$H112,0,OFFSET(CC37,0,-1*'Get Started  2'!$H112)*'Get Started  2'!$H42))+IF('Get Started  2'!$G111&lt;&gt;0,0,IF(CC4&lt;'Get Started  2'!$H111,0,OFFSET(CC37,0,-1*'Get Started  2'!$H111)*'Get Started  2'!$G42))+IF('Get Started  2'!$G110&lt;&gt;0,0,IF(CC4&lt;'Get Started  2'!$H110,0,OFFSET(CC37,0,-1*'Get Started  2'!$H110)*'Get Started  2'!$F42))+IF('Get Started  2'!$G109&lt;&gt;0,0,IF(CC4&lt;'Get Started  2'!$H109,0,OFFSET(CC37,0,-1*'Get Started  2'!$H109)*'Get Started  2'!$E42))</f>
        <v>0</v>
      </c>
      <c r="CD48" s="29">
        <f ca="1">IF('Get Started  2'!$G112&lt;&gt;0,0,IF(CD4&lt;'Get Started  2'!$H112,0,OFFSET(CD37,0,-1*'Get Started  2'!$H112)*'Get Started  2'!$H42))+IF('Get Started  2'!$G111&lt;&gt;0,0,IF(CD4&lt;'Get Started  2'!$H111,0,OFFSET(CD37,0,-1*'Get Started  2'!$H111)*'Get Started  2'!$G42))+IF('Get Started  2'!$G110&lt;&gt;0,0,IF(CD4&lt;'Get Started  2'!$H110,0,OFFSET(CD37,0,-1*'Get Started  2'!$H110)*'Get Started  2'!$F42))+IF('Get Started  2'!$G109&lt;&gt;0,0,IF(CD4&lt;'Get Started  2'!$H109,0,OFFSET(CD37,0,-1*'Get Started  2'!$H109)*'Get Started  2'!$E42))</f>
        <v>0</v>
      </c>
      <c r="CE48" s="29">
        <f ca="1">IF('Get Started  2'!$G112&lt;&gt;0,0,IF(CE4&lt;'Get Started  2'!$H112,0,OFFSET(CE37,0,-1*'Get Started  2'!$H112)*'Get Started  2'!$H42))+IF('Get Started  2'!$G111&lt;&gt;0,0,IF(CE4&lt;'Get Started  2'!$H111,0,OFFSET(CE37,0,-1*'Get Started  2'!$H111)*'Get Started  2'!$G42))+IF('Get Started  2'!$G110&lt;&gt;0,0,IF(CE4&lt;'Get Started  2'!$H110,0,OFFSET(CE37,0,-1*'Get Started  2'!$H110)*'Get Started  2'!$F42))+IF('Get Started  2'!$G109&lt;&gt;0,0,IF(CE4&lt;'Get Started  2'!$H109,0,OFFSET(CE37,0,-1*'Get Started  2'!$H109)*'Get Started  2'!$E42))</f>
        <v>0</v>
      </c>
      <c r="CF48" s="29">
        <f ca="1">IF('Get Started  2'!$G112&lt;&gt;0,0,IF(CF4&lt;'Get Started  2'!$H112,0,OFFSET(CF37,0,-1*'Get Started  2'!$H112)*'Get Started  2'!$H42))+IF('Get Started  2'!$G111&lt;&gt;0,0,IF(CF4&lt;'Get Started  2'!$H111,0,OFFSET(CF37,0,-1*'Get Started  2'!$H111)*'Get Started  2'!$G42))+IF('Get Started  2'!$G110&lt;&gt;0,0,IF(CF4&lt;'Get Started  2'!$H110,0,OFFSET(CF37,0,-1*'Get Started  2'!$H110)*'Get Started  2'!$F42))+IF('Get Started  2'!$G109&lt;&gt;0,0,IF(CF4&lt;'Get Started  2'!$H109,0,OFFSET(CF37,0,-1*'Get Started  2'!$H109)*'Get Started  2'!$E42))</f>
        <v>0</v>
      </c>
      <c r="CG48" s="29">
        <f ca="1">IF('Get Started  2'!$G112&lt;&gt;0,0,IF(CG4&lt;'Get Started  2'!$H112,0,OFFSET(CG37,0,-1*'Get Started  2'!$H112)*'Get Started  2'!$H42))+IF('Get Started  2'!$G111&lt;&gt;0,0,IF(CG4&lt;'Get Started  2'!$H111,0,OFFSET(CG37,0,-1*'Get Started  2'!$H111)*'Get Started  2'!$G42))+IF('Get Started  2'!$G110&lt;&gt;0,0,IF(CG4&lt;'Get Started  2'!$H110,0,OFFSET(CG37,0,-1*'Get Started  2'!$H110)*'Get Started  2'!$F42))+IF('Get Started  2'!$G109&lt;&gt;0,0,IF(CG4&lt;'Get Started  2'!$H109,0,OFFSET(CG37,0,-1*'Get Started  2'!$H109)*'Get Started  2'!$E42))</f>
        <v>0</v>
      </c>
      <c r="CH48" s="29">
        <f ca="1">IF('Get Started  2'!$G112&lt;&gt;0,0,IF(CH4&lt;'Get Started  2'!$H112,0,OFFSET(CH37,0,-1*'Get Started  2'!$H112)*'Get Started  2'!$H42))+IF('Get Started  2'!$G111&lt;&gt;0,0,IF(CH4&lt;'Get Started  2'!$H111,0,OFFSET(CH37,0,-1*'Get Started  2'!$H111)*'Get Started  2'!$G42))+IF('Get Started  2'!$G110&lt;&gt;0,0,IF(CH4&lt;'Get Started  2'!$H110,0,OFFSET(CH37,0,-1*'Get Started  2'!$H110)*'Get Started  2'!$F42))+IF('Get Started  2'!$G109&lt;&gt;0,0,IF(CH4&lt;'Get Started  2'!$H109,0,OFFSET(CH37,0,-1*'Get Started  2'!$H109)*'Get Started  2'!$E42))</f>
        <v>0</v>
      </c>
    </row>
    <row r="49" spans="1:86" ht="13">
      <c r="B49" s="13" t="s">
        <v>272</v>
      </c>
      <c r="C49" s="13" t="s">
        <v>273</v>
      </c>
      <c r="D49" s="15" t="s">
        <v>238</v>
      </c>
      <c r="E49" s="29">
        <f t="shared" ca="1" si="13"/>
        <v>7778871.527777778</v>
      </c>
      <c r="F49" s="29"/>
      <c r="G49" s="29">
        <f ca="1">IF('Get Started  2'!$G112=0,0,IF(G4&lt;'Get Started  2'!$H112,0,OFFSET(G37,0,-1*'Get Started  2'!$H112)*'Get Started  2'!$H42))+IF('Get Started  2'!$G111=0,0,IF(G4&lt;'Get Started  2'!$H111,0,OFFSET(G37,0,-1*'Get Started  2'!$H111)*'Get Started  2'!$G42))+IF('Get Started  2'!$G110=0,0,IF(G4&lt;'Get Started  2'!$H110,0,OFFSET(G37,0,-1*'Get Started  2'!$H110)*'Get Started  2'!$F42))+IF('Get Started  2'!$G109=0,0,IF(G4&lt;'Get Started  2'!$H109,0,OFFSET(G37,0,-1*'Get Started  2'!$H109)*'Get Started  2'!$E42))</f>
        <v>0</v>
      </c>
      <c r="H49" s="29">
        <f ca="1">IF('Get Started  2'!$G112=0,0,IF(H4&lt;'Get Started  2'!$H112,0,OFFSET(H37,0,-1*'Get Started  2'!$H112)*'Get Started  2'!$H42))+IF('Get Started  2'!$G111=0,0,IF(H4&lt;'Get Started  2'!$H111,0,OFFSET(H37,0,-1*'Get Started  2'!$H111)*'Get Started  2'!$G42))+IF('Get Started  2'!$G110=0,0,IF(H4&lt;'Get Started  2'!$H110,0,OFFSET(H37,0,-1*'Get Started  2'!$H110)*'Get Started  2'!$F42))+IF('Get Started  2'!$G109=0,0,IF(H4&lt;'Get Started  2'!$H109,0,OFFSET(H37,0,-1*'Get Started  2'!$H109)*'Get Started  2'!$E42))</f>
        <v>0</v>
      </c>
      <c r="I49" s="29">
        <f ca="1">IF('Get Started  2'!$G112=0,0,IF(I4&lt;'Get Started  2'!$H112,0,OFFSET(I37,0,-1*'Get Started  2'!$H112)*'Get Started  2'!$H42))+IF('Get Started  2'!$G111=0,0,IF(I4&lt;'Get Started  2'!$H111,0,OFFSET(I37,0,-1*'Get Started  2'!$H111)*'Get Started  2'!$G42))+IF('Get Started  2'!$G110=0,0,IF(I4&lt;'Get Started  2'!$H110,0,OFFSET(I37,0,-1*'Get Started  2'!$H110)*'Get Started  2'!$F42))+IF('Get Started  2'!$G109=0,0,IF(I4&lt;'Get Started  2'!$H109,0,OFFSET(I37,0,-1*'Get Started  2'!$H109)*'Get Started  2'!$E42))</f>
        <v>0</v>
      </c>
      <c r="J49" s="29">
        <f ca="1">IF('Get Started  2'!$G112=0,0,IF(J4&lt;'Get Started  2'!$H112,0,OFFSET(J37,0,-1*'Get Started  2'!$H112)*'Get Started  2'!$H42))+IF('Get Started  2'!$G111=0,0,IF(J4&lt;'Get Started  2'!$H111,0,OFFSET(J37,0,-1*'Get Started  2'!$H111)*'Get Started  2'!$G42))+IF('Get Started  2'!$G110=0,0,IF(J4&lt;'Get Started  2'!$H110,0,OFFSET(J37,0,-1*'Get Started  2'!$H110)*'Get Started  2'!$F42))+IF('Get Started  2'!$G109=0,0,IF(J4&lt;'Get Started  2'!$H109,0,OFFSET(J37,0,-1*'Get Started  2'!$H109)*'Get Started  2'!$E42))</f>
        <v>0</v>
      </c>
      <c r="K49" s="29">
        <f ca="1">IF('Get Started  2'!$G112=0,0,IF(K4&lt;'Get Started  2'!$H112,0,OFFSET(K37,0,-1*'Get Started  2'!$H112)*'Get Started  2'!$H42))+IF('Get Started  2'!$G111=0,0,IF(K4&lt;'Get Started  2'!$H111,0,OFFSET(K37,0,-1*'Get Started  2'!$H111)*'Get Started  2'!$G42))+IF('Get Started  2'!$G110=0,0,IF(K4&lt;'Get Started  2'!$H110,0,OFFSET(K37,0,-1*'Get Started  2'!$H110)*'Get Started  2'!$F42))+IF('Get Started  2'!$G109=0,0,IF(K4&lt;'Get Started  2'!$H109,0,OFFSET(K37,0,-1*'Get Started  2'!$H109)*'Get Started  2'!$E42))</f>
        <v>0</v>
      </c>
      <c r="L49" s="29">
        <f ca="1">IF('Get Started  2'!$G112=0,0,IF(L4&lt;'Get Started  2'!$H112,0,OFFSET(L37,0,-1*'Get Started  2'!$H112)*'Get Started  2'!$H42))+IF('Get Started  2'!$G111=0,0,IF(L4&lt;'Get Started  2'!$H111,0,OFFSET(L37,0,-1*'Get Started  2'!$H111)*'Get Started  2'!$G42))+IF('Get Started  2'!$G110=0,0,IF(L4&lt;'Get Started  2'!$H110,0,OFFSET(L37,0,-1*'Get Started  2'!$H110)*'Get Started  2'!$F42))+IF('Get Started  2'!$G109=0,0,IF(L4&lt;'Get Started  2'!$H109,0,OFFSET(L37,0,-1*'Get Started  2'!$H109)*'Get Started  2'!$E42))</f>
        <v>0</v>
      </c>
      <c r="M49" s="29">
        <f ca="1">IF('Get Started  2'!$G112=0,0,IF(M4&lt;'Get Started  2'!$H112,0,OFFSET(M37,0,-1*'Get Started  2'!$H112)*'Get Started  2'!$H42))+IF('Get Started  2'!$G111=0,0,IF(M4&lt;'Get Started  2'!$H111,0,OFFSET(M37,0,-1*'Get Started  2'!$H111)*'Get Started  2'!$G42))+IF('Get Started  2'!$G110=0,0,IF(M4&lt;'Get Started  2'!$H110,0,OFFSET(M37,0,-1*'Get Started  2'!$H110)*'Get Started  2'!$F42))+IF('Get Started  2'!$G109=0,0,IF(M4&lt;'Get Started  2'!$H109,0,OFFSET(M37,0,-1*'Get Started  2'!$H109)*'Get Started  2'!$E42))</f>
        <v>0</v>
      </c>
      <c r="N49" s="29">
        <f ca="1">IF('Get Started  2'!$G112=0,0,IF(N4&lt;'Get Started  2'!$H112,0,OFFSET(N37,0,-1*'Get Started  2'!$H112)*'Get Started  2'!$H42))+IF('Get Started  2'!$G111=0,0,IF(N4&lt;'Get Started  2'!$H111,0,OFFSET(N37,0,-1*'Get Started  2'!$H111)*'Get Started  2'!$G42))+IF('Get Started  2'!$G110=0,0,IF(N4&lt;'Get Started  2'!$H110,0,OFFSET(N37,0,-1*'Get Started  2'!$H110)*'Get Started  2'!$F42))+IF('Get Started  2'!$G109=0,0,IF(N4&lt;'Get Started  2'!$H109,0,OFFSET(N37,0,-1*'Get Started  2'!$H109)*'Get Started  2'!$E42))</f>
        <v>0</v>
      </c>
      <c r="O49" s="29">
        <f ca="1">IF('Get Started  2'!$G112=0,0,IF(O4&lt;'Get Started  2'!$H112,0,OFFSET(O37,0,-1*'Get Started  2'!$H112)*'Get Started  2'!$H42))+IF('Get Started  2'!$G111=0,0,IF(O4&lt;'Get Started  2'!$H111,0,OFFSET(O37,0,-1*'Get Started  2'!$H111)*'Get Started  2'!$G42))+IF('Get Started  2'!$G110=0,0,IF(O4&lt;'Get Started  2'!$H110,0,OFFSET(O37,0,-1*'Get Started  2'!$H110)*'Get Started  2'!$F42))+IF('Get Started  2'!$G109=0,0,IF(O4&lt;'Get Started  2'!$H109,0,OFFSET(O37,0,-1*'Get Started  2'!$H109)*'Get Started  2'!$E42))</f>
        <v>0</v>
      </c>
      <c r="P49" s="29">
        <f ca="1">IF('Get Started  2'!$G112=0,0,IF(P4&lt;'Get Started  2'!$H112,0,OFFSET(P37,0,-1*'Get Started  2'!$H112)*'Get Started  2'!$H42))+IF('Get Started  2'!$G111=0,0,IF(P4&lt;'Get Started  2'!$H111,0,OFFSET(P37,0,-1*'Get Started  2'!$H111)*'Get Started  2'!$G42))+IF('Get Started  2'!$G110=0,0,IF(P4&lt;'Get Started  2'!$H110,0,OFFSET(P37,0,-1*'Get Started  2'!$H110)*'Get Started  2'!$F42))+IF('Get Started  2'!$G109=0,0,IF(P4&lt;'Get Started  2'!$H109,0,OFFSET(P37,0,-1*'Get Started  2'!$H109)*'Get Started  2'!$E42))</f>
        <v>0</v>
      </c>
      <c r="Q49" s="29">
        <f ca="1">IF('Get Started  2'!$G112=0,0,IF(Q4&lt;'Get Started  2'!$H112,0,OFFSET(Q37,0,-1*'Get Started  2'!$H112)*'Get Started  2'!$H42))+IF('Get Started  2'!$G111=0,0,IF(Q4&lt;'Get Started  2'!$H111,0,OFFSET(Q37,0,-1*'Get Started  2'!$H111)*'Get Started  2'!$G42))+IF('Get Started  2'!$G110=0,0,IF(Q4&lt;'Get Started  2'!$H110,0,OFFSET(Q37,0,-1*'Get Started  2'!$H110)*'Get Started  2'!$F42))+IF('Get Started  2'!$G109=0,0,IF(Q4&lt;'Get Started  2'!$H109,0,OFFSET(Q37,0,-1*'Get Started  2'!$H109)*'Get Started  2'!$E42))</f>
        <v>0</v>
      </c>
      <c r="R49" s="29">
        <f ca="1">IF('Get Started  2'!$G112=0,0,IF(R4&lt;'Get Started  2'!$H112,0,OFFSET(R37,0,-1*'Get Started  2'!$H112)*'Get Started  2'!$H42))+IF('Get Started  2'!$G111=0,0,IF(R4&lt;'Get Started  2'!$H111,0,OFFSET(R37,0,-1*'Get Started  2'!$H111)*'Get Started  2'!$G42))+IF('Get Started  2'!$G110=0,0,IF(R4&lt;'Get Started  2'!$H110,0,OFFSET(R37,0,-1*'Get Started  2'!$H110)*'Get Started  2'!$F42))+IF('Get Started  2'!$G109=0,0,IF(R4&lt;'Get Started  2'!$H109,0,OFFSET(R37,0,-1*'Get Started  2'!$H109)*'Get Started  2'!$E42))</f>
        <v>0</v>
      </c>
      <c r="S49" s="29">
        <f ca="1">IF('Get Started  2'!$G112=0,0,IF(S4&lt;'Get Started  2'!$H112,0,OFFSET(S37,0,-1*'Get Started  2'!$H112)*'Get Started  2'!$H42))+IF('Get Started  2'!$G111=0,0,IF(S4&lt;'Get Started  2'!$H111,0,OFFSET(S37,0,-1*'Get Started  2'!$H111)*'Get Started  2'!$G42))+IF('Get Started  2'!$G110=0,0,IF(S4&lt;'Get Started  2'!$H110,0,OFFSET(S37,0,-1*'Get Started  2'!$H110)*'Get Started  2'!$F42))+IF('Get Started  2'!$G109=0,0,IF(S4&lt;'Get Started  2'!$H109,0,OFFSET(S37,0,-1*'Get Started  2'!$H109)*'Get Started  2'!$E42))</f>
        <v>260677.08333333331</v>
      </c>
      <c r="T49" s="29">
        <f ca="1">IF('Get Started  2'!$G112=0,0,IF(T4&lt;'Get Started  2'!$H112,0,OFFSET(T37,0,-1*'Get Started  2'!$H112)*'Get Started  2'!$H42))+IF('Get Started  2'!$G111=0,0,IF(T4&lt;'Get Started  2'!$H111,0,OFFSET(T37,0,-1*'Get Started  2'!$H111)*'Get Started  2'!$G42))+IF('Get Started  2'!$G110=0,0,IF(T4&lt;'Get Started  2'!$H110,0,OFFSET(T37,0,-1*'Get Started  2'!$H110)*'Get Started  2'!$F42))+IF('Get Started  2'!$G109=0,0,IF(T4&lt;'Get Started  2'!$H109,0,OFFSET(T37,0,-1*'Get Started  2'!$H109)*'Get Started  2'!$E42))</f>
        <v>260677.08333333331</v>
      </c>
      <c r="U49" s="29">
        <f ca="1">IF('Get Started  2'!$G112=0,0,IF(U4&lt;'Get Started  2'!$H112,0,OFFSET(U37,0,-1*'Get Started  2'!$H112)*'Get Started  2'!$H42))+IF('Get Started  2'!$G111=0,0,IF(U4&lt;'Get Started  2'!$H111,0,OFFSET(U37,0,-1*'Get Started  2'!$H111)*'Get Started  2'!$G42))+IF('Get Started  2'!$G110=0,0,IF(U4&lt;'Get Started  2'!$H110,0,OFFSET(U37,0,-1*'Get Started  2'!$H110)*'Get Started  2'!$F42))+IF('Get Started  2'!$G109=0,0,IF(U4&lt;'Get Started  2'!$H109,0,OFFSET(U37,0,-1*'Get Started  2'!$H109)*'Get Started  2'!$E42))</f>
        <v>260677.08333333331</v>
      </c>
      <c r="V49" s="29">
        <f ca="1">IF('Get Started  2'!$G112=0,0,IF(V4&lt;'Get Started  2'!$H112,0,OFFSET(V37,0,-1*'Get Started  2'!$H112)*'Get Started  2'!$H42))+IF('Get Started  2'!$G111=0,0,IF(V4&lt;'Get Started  2'!$H111,0,OFFSET(V37,0,-1*'Get Started  2'!$H111)*'Get Started  2'!$G42))+IF('Get Started  2'!$G110=0,0,IF(V4&lt;'Get Started  2'!$H110,0,OFFSET(V37,0,-1*'Get Started  2'!$H110)*'Get Started  2'!$F42))+IF('Get Started  2'!$G109=0,0,IF(V4&lt;'Get Started  2'!$H109,0,OFFSET(V37,0,-1*'Get Started  2'!$H109)*'Get Started  2'!$E42))</f>
        <v>260677.08333333331</v>
      </c>
      <c r="W49" s="29">
        <f ca="1">IF('Get Started  2'!$G112=0,0,IF(W4&lt;'Get Started  2'!$H112,0,OFFSET(W37,0,-1*'Get Started  2'!$H112)*'Get Started  2'!$H42))+IF('Get Started  2'!$G111=0,0,IF(W4&lt;'Get Started  2'!$H111,0,OFFSET(W37,0,-1*'Get Started  2'!$H111)*'Get Started  2'!$G42))+IF('Get Started  2'!$G110=0,0,IF(W4&lt;'Get Started  2'!$H110,0,OFFSET(W37,0,-1*'Get Started  2'!$H110)*'Get Started  2'!$F42))+IF('Get Started  2'!$G109=0,0,IF(W4&lt;'Get Started  2'!$H109,0,OFFSET(W37,0,-1*'Get Started  2'!$H109)*'Get Started  2'!$E42))</f>
        <v>401041.66666666663</v>
      </c>
      <c r="X49" s="29">
        <f ca="1">IF('Get Started  2'!$G112=0,0,IF(X4&lt;'Get Started  2'!$H112,0,OFFSET(X37,0,-1*'Get Started  2'!$H112)*'Get Started  2'!$H42))+IF('Get Started  2'!$G111=0,0,IF(X4&lt;'Get Started  2'!$H111,0,OFFSET(X37,0,-1*'Get Started  2'!$H111)*'Get Started  2'!$G42))+IF('Get Started  2'!$G110=0,0,IF(X4&lt;'Get Started  2'!$H110,0,OFFSET(X37,0,-1*'Get Started  2'!$H110)*'Get Started  2'!$F42))+IF('Get Started  2'!$G109=0,0,IF(X4&lt;'Get Started  2'!$H109,0,OFFSET(X37,0,-1*'Get Started  2'!$H109)*'Get Started  2'!$E42))</f>
        <v>401041.66666666663</v>
      </c>
      <c r="Y49" s="29">
        <f ca="1">IF('Get Started  2'!$G112=0,0,IF(Y4&lt;'Get Started  2'!$H112,0,OFFSET(Y37,0,-1*'Get Started  2'!$H112)*'Get Started  2'!$H42))+IF('Get Started  2'!$G111=0,0,IF(Y4&lt;'Get Started  2'!$H111,0,OFFSET(Y37,0,-1*'Get Started  2'!$H111)*'Get Started  2'!$G42))+IF('Get Started  2'!$G110=0,0,IF(Y4&lt;'Get Started  2'!$H110,0,OFFSET(Y37,0,-1*'Get Started  2'!$H110)*'Get Started  2'!$F42))+IF('Get Started  2'!$G109=0,0,IF(Y4&lt;'Get Started  2'!$H109,0,OFFSET(Y37,0,-1*'Get Started  2'!$H109)*'Get Started  2'!$E42))</f>
        <v>401041.66666666663</v>
      </c>
      <c r="Z49" s="29">
        <f ca="1">IF('Get Started  2'!$G112=0,0,IF(Z4&lt;'Get Started  2'!$H112,0,OFFSET(Z37,0,-1*'Get Started  2'!$H112)*'Get Started  2'!$H42))+IF('Get Started  2'!$G111=0,0,IF(Z4&lt;'Get Started  2'!$H111,0,OFFSET(Z37,0,-1*'Get Started  2'!$H111)*'Get Started  2'!$G42))+IF('Get Started  2'!$G110=0,0,IF(Z4&lt;'Get Started  2'!$H110,0,OFFSET(Z37,0,-1*'Get Started  2'!$H110)*'Get Started  2'!$F42))+IF('Get Started  2'!$G109=0,0,IF(Z4&lt;'Get Started  2'!$H109,0,OFFSET(Z37,0,-1*'Get Started  2'!$H109)*'Get Started  2'!$E42))</f>
        <v>401041.66666666663</v>
      </c>
      <c r="AA49" s="29">
        <f ca="1">IF('Get Started  2'!$G112=0,0,IF(AA4&lt;'Get Started  2'!$H112,0,OFFSET(AA37,0,-1*'Get Started  2'!$H112)*'Get Started  2'!$H42))+IF('Get Started  2'!$G111=0,0,IF(AA4&lt;'Get Started  2'!$H111,0,OFFSET(AA37,0,-1*'Get Started  2'!$H111)*'Get Started  2'!$G42))+IF('Get Started  2'!$G110=0,0,IF(AA4&lt;'Get Started  2'!$H110,0,OFFSET(AA37,0,-1*'Get Started  2'!$H110)*'Get Started  2'!$F42))+IF('Get Started  2'!$G109=0,0,IF(AA4&lt;'Get Started  2'!$H109,0,OFFSET(AA37,0,-1*'Get Started  2'!$H109)*'Get Started  2'!$E42))</f>
        <v>401041.66666666663</v>
      </c>
      <c r="AB49" s="29">
        <f ca="1">IF('Get Started  2'!$G112=0,0,IF(AB4&lt;'Get Started  2'!$H112,0,OFFSET(AB37,0,-1*'Get Started  2'!$H112)*'Get Started  2'!$H42))+IF('Get Started  2'!$G111=0,0,IF(AB4&lt;'Get Started  2'!$H111,0,OFFSET(AB37,0,-1*'Get Started  2'!$H111)*'Get Started  2'!$G42))+IF('Get Started  2'!$G110=0,0,IF(AB4&lt;'Get Started  2'!$H110,0,OFFSET(AB37,0,-1*'Get Started  2'!$H110)*'Get Started  2'!$F42))+IF('Get Started  2'!$G109=0,0,IF(AB4&lt;'Get Started  2'!$H109,0,OFFSET(AB37,0,-1*'Get Started  2'!$H109)*'Get Started  2'!$E42))</f>
        <v>401041.66666666663</v>
      </c>
      <c r="AC49" s="29">
        <f ca="1">IF('Get Started  2'!$G112=0,0,IF(AC4&lt;'Get Started  2'!$H112,0,OFFSET(AC37,0,-1*'Get Started  2'!$H112)*'Get Started  2'!$H42))+IF('Get Started  2'!$G111=0,0,IF(AC4&lt;'Get Started  2'!$H111,0,OFFSET(AC37,0,-1*'Get Started  2'!$H111)*'Get Started  2'!$G42))+IF('Get Started  2'!$G110=0,0,IF(AC4&lt;'Get Started  2'!$H110,0,OFFSET(AC37,0,-1*'Get Started  2'!$H110)*'Get Started  2'!$F42))+IF('Get Started  2'!$G109=0,0,IF(AC4&lt;'Get Started  2'!$H109,0,OFFSET(AC37,0,-1*'Get Started  2'!$H109)*'Get Started  2'!$E42))</f>
        <v>401041.66666666663</v>
      </c>
      <c r="AD49" s="29">
        <f ca="1">IF('Get Started  2'!$G112=0,0,IF(AD4&lt;'Get Started  2'!$H112,0,OFFSET(AD37,0,-1*'Get Started  2'!$H112)*'Get Started  2'!$H42))+IF('Get Started  2'!$G111=0,0,IF(AD4&lt;'Get Started  2'!$H111,0,OFFSET(AD37,0,-1*'Get Started  2'!$H111)*'Get Started  2'!$G42))+IF('Get Started  2'!$G110=0,0,IF(AD4&lt;'Get Started  2'!$H110,0,OFFSET(AD37,0,-1*'Get Started  2'!$H110)*'Get Started  2'!$F42))+IF('Get Started  2'!$G109=0,0,IF(AD4&lt;'Get Started  2'!$H109,0,OFFSET(AD37,0,-1*'Get Started  2'!$H109)*'Get Started  2'!$E42))</f>
        <v>401041.66666666663</v>
      </c>
      <c r="AE49" s="29">
        <f ca="1">IF('Get Started  2'!$G112=0,0,IF(AE4&lt;'Get Started  2'!$H112,0,OFFSET(AE37,0,-1*'Get Started  2'!$H112)*'Get Started  2'!$H42))+IF('Get Started  2'!$G111=0,0,IF(AE4&lt;'Get Started  2'!$H111,0,OFFSET(AE37,0,-1*'Get Started  2'!$H111)*'Get Started  2'!$G42))+IF('Get Started  2'!$G110=0,0,IF(AE4&lt;'Get Started  2'!$H110,0,OFFSET(AE37,0,-1*'Get Started  2'!$H110)*'Get Started  2'!$F42))+IF('Get Started  2'!$G109=0,0,IF(AE4&lt;'Get Started  2'!$H109,0,OFFSET(AE37,0,-1*'Get Started  2'!$H109)*'Get Started  2'!$E42))</f>
        <v>517677.95138888876</v>
      </c>
      <c r="AF49" s="29">
        <f ca="1">IF('Get Started  2'!$G112=0,0,IF(AF4&lt;'Get Started  2'!$H112,0,OFFSET(AF37,0,-1*'Get Started  2'!$H112)*'Get Started  2'!$H42))+IF('Get Started  2'!$G111=0,0,IF(AF4&lt;'Get Started  2'!$H111,0,OFFSET(AF37,0,-1*'Get Started  2'!$H111)*'Get Started  2'!$G42))+IF('Get Started  2'!$G110=0,0,IF(AF4&lt;'Get Started  2'!$H110,0,OFFSET(AF37,0,-1*'Get Started  2'!$H110)*'Get Started  2'!$F42))+IF('Get Started  2'!$G109=0,0,IF(AF4&lt;'Get Started  2'!$H109,0,OFFSET(AF37,0,-1*'Get Started  2'!$H109)*'Get Started  2'!$E42))</f>
        <v>517677.95138888876</v>
      </c>
      <c r="AG49" s="29">
        <f ca="1">IF('Get Started  2'!$G112=0,0,IF(AG4&lt;'Get Started  2'!$H112,0,OFFSET(AG37,0,-1*'Get Started  2'!$H112)*'Get Started  2'!$H42))+IF('Get Started  2'!$G111=0,0,IF(AG4&lt;'Get Started  2'!$H111,0,OFFSET(AG37,0,-1*'Get Started  2'!$H111)*'Get Started  2'!$G42))+IF('Get Started  2'!$G110=0,0,IF(AG4&lt;'Get Started  2'!$H110,0,OFFSET(AG37,0,-1*'Get Started  2'!$H110)*'Get Started  2'!$F42))+IF('Get Started  2'!$G109=0,0,IF(AG4&lt;'Get Started  2'!$H109,0,OFFSET(AG37,0,-1*'Get Started  2'!$H109)*'Get Started  2'!$E42))</f>
        <v>517677.95138888876</v>
      </c>
      <c r="AH49" s="29">
        <f ca="1">IF('Get Started  2'!$G112=0,0,IF(AH4&lt;'Get Started  2'!$H112,0,OFFSET(AH37,0,-1*'Get Started  2'!$H112)*'Get Started  2'!$H42))+IF('Get Started  2'!$G111=0,0,IF(AH4&lt;'Get Started  2'!$H111,0,OFFSET(AH37,0,-1*'Get Started  2'!$H111)*'Get Started  2'!$G42))+IF('Get Started  2'!$G110=0,0,IF(AH4&lt;'Get Started  2'!$H110,0,OFFSET(AH37,0,-1*'Get Started  2'!$H110)*'Get Started  2'!$F42))+IF('Get Started  2'!$G109=0,0,IF(AH4&lt;'Get Started  2'!$H109,0,OFFSET(AH37,0,-1*'Get Started  2'!$H109)*'Get Started  2'!$E42))</f>
        <v>517677.95138888876</v>
      </c>
      <c r="AI49" s="29">
        <f ca="1">IF('Get Started  2'!$G112=0,0,IF(AI4&lt;'Get Started  2'!$H112,0,OFFSET(AI37,0,-1*'Get Started  2'!$H112)*'Get Started  2'!$H42))+IF('Get Started  2'!$G111=0,0,IF(AI4&lt;'Get Started  2'!$H111,0,OFFSET(AI37,0,-1*'Get Started  2'!$H111)*'Get Started  2'!$G42))+IF('Get Started  2'!$G110=0,0,IF(AI4&lt;'Get Started  2'!$H110,0,OFFSET(AI37,0,-1*'Get Started  2'!$H110)*'Get Started  2'!$F42))+IF('Get Started  2'!$G109=0,0,IF(AI4&lt;'Get Started  2'!$H109,0,OFFSET(AI37,0,-1*'Get Started  2'!$H109)*'Get Started  2'!$E42))</f>
        <v>230933.15972222216</v>
      </c>
      <c r="AJ49" s="29">
        <f ca="1">IF('Get Started  2'!$G112=0,0,IF(AJ4&lt;'Get Started  2'!$H112,0,OFFSET(AJ37,0,-1*'Get Started  2'!$H112)*'Get Started  2'!$H42))+IF('Get Started  2'!$G111=0,0,IF(AJ4&lt;'Get Started  2'!$H111,0,OFFSET(AJ37,0,-1*'Get Started  2'!$H111)*'Get Started  2'!$G42))+IF('Get Started  2'!$G110=0,0,IF(AJ4&lt;'Get Started  2'!$H110,0,OFFSET(AJ37,0,-1*'Get Started  2'!$H110)*'Get Started  2'!$F42))+IF('Get Started  2'!$G109=0,0,IF(AJ4&lt;'Get Started  2'!$H109,0,OFFSET(AJ37,0,-1*'Get Started  2'!$H109)*'Get Started  2'!$E42))</f>
        <v>230933.15972222216</v>
      </c>
      <c r="AK49" s="29">
        <f ca="1">IF('Get Started  2'!$G112=0,0,IF(AK4&lt;'Get Started  2'!$H112,0,OFFSET(AK37,0,-1*'Get Started  2'!$H112)*'Get Started  2'!$H42))+IF('Get Started  2'!$G111=0,0,IF(AK4&lt;'Get Started  2'!$H111,0,OFFSET(AK37,0,-1*'Get Started  2'!$H111)*'Get Started  2'!$G42))+IF('Get Started  2'!$G110=0,0,IF(AK4&lt;'Get Started  2'!$H110,0,OFFSET(AK37,0,-1*'Get Started  2'!$H110)*'Get Started  2'!$F42))+IF('Get Started  2'!$G109=0,0,IF(AK4&lt;'Get Started  2'!$H109,0,OFFSET(AK37,0,-1*'Get Started  2'!$H109)*'Get Started  2'!$E42))</f>
        <v>230933.15972222216</v>
      </c>
      <c r="AL49" s="29">
        <f ca="1">IF('Get Started  2'!$G112=0,0,IF(AL4&lt;'Get Started  2'!$H112,0,OFFSET(AL37,0,-1*'Get Started  2'!$H112)*'Get Started  2'!$H42))+IF('Get Started  2'!$G111=0,0,IF(AL4&lt;'Get Started  2'!$H111,0,OFFSET(AL37,0,-1*'Get Started  2'!$H111)*'Get Started  2'!$G42))+IF('Get Started  2'!$G110=0,0,IF(AL4&lt;'Get Started  2'!$H110,0,OFFSET(AL37,0,-1*'Get Started  2'!$H110)*'Get Started  2'!$F42))+IF('Get Started  2'!$G109=0,0,IF(AL4&lt;'Get Started  2'!$H109,0,OFFSET(AL37,0,-1*'Get Started  2'!$H109)*'Get Started  2'!$E42))</f>
        <v>230933.15972222216</v>
      </c>
      <c r="AM49" s="29">
        <f ca="1">IF('Get Started  2'!$G112=0,0,IF(AM4&lt;'Get Started  2'!$H112,0,OFFSET(AM37,0,-1*'Get Started  2'!$H112)*'Get Started  2'!$H42))+IF('Get Started  2'!$G111=0,0,IF(AM4&lt;'Get Started  2'!$H111,0,OFFSET(AM37,0,-1*'Get Started  2'!$H111)*'Get Started  2'!$G42))+IF('Get Started  2'!$G110=0,0,IF(AM4&lt;'Get Started  2'!$H110,0,OFFSET(AM37,0,-1*'Get Started  2'!$H110)*'Get Started  2'!$F42))+IF('Get Started  2'!$G109=0,0,IF(AM4&lt;'Get Started  2'!$H109,0,OFFSET(AM37,0,-1*'Get Started  2'!$H109)*'Get Started  2'!$E42))</f>
        <v>60156.249999999978</v>
      </c>
      <c r="AN49" s="29">
        <f ca="1">IF('Get Started  2'!$G112=0,0,IF(AN4&lt;'Get Started  2'!$H112,0,OFFSET(AN37,0,-1*'Get Started  2'!$H112)*'Get Started  2'!$H42))+IF('Get Started  2'!$G111=0,0,IF(AN4&lt;'Get Started  2'!$H111,0,OFFSET(AN37,0,-1*'Get Started  2'!$H111)*'Get Started  2'!$G42))+IF('Get Started  2'!$G110=0,0,IF(AN4&lt;'Get Started  2'!$H110,0,OFFSET(AN37,0,-1*'Get Started  2'!$H110)*'Get Started  2'!$F42))+IF('Get Started  2'!$G109=0,0,IF(AN4&lt;'Get Started  2'!$H109,0,OFFSET(AN37,0,-1*'Get Started  2'!$H109)*'Get Started  2'!$E42))</f>
        <v>60156.249999999978</v>
      </c>
      <c r="AO49" s="29">
        <f ca="1">IF('Get Started  2'!$G112=0,0,IF(AO4&lt;'Get Started  2'!$H112,0,OFFSET(AO37,0,-1*'Get Started  2'!$H112)*'Get Started  2'!$H42))+IF('Get Started  2'!$G111=0,0,IF(AO4&lt;'Get Started  2'!$H111,0,OFFSET(AO37,0,-1*'Get Started  2'!$H111)*'Get Started  2'!$G42))+IF('Get Started  2'!$G110=0,0,IF(AO4&lt;'Get Started  2'!$H110,0,OFFSET(AO37,0,-1*'Get Started  2'!$H110)*'Get Started  2'!$F42))+IF('Get Started  2'!$G109=0,0,IF(AO4&lt;'Get Started  2'!$H109,0,OFFSET(AO37,0,-1*'Get Started  2'!$H109)*'Get Started  2'!$E42))</f>
        <v>60156.249999999978</v>
      </c>
      <c r="AP49" s="29">
        <f ca="1">IF('Get Started  2'!$G112=0,0,IF(AP4&lt;'Get Started  2'!$H112,0,OFFSET(AP37,0,-1*'Get Started  2'!$H112)*'Get Started  2'!$H42))+IF('Get Started  2'!$G111=0,0,IF(AP4&lt;'Get Started  2'!$H111,0,OFFSET(AP37,0,-1*'Get Started  2'!$H111)*'Get Started  2'!$G42))+IF('Get Started  2'!$G110=0,0,IF(AP4&lt;'Get Started  2'!$H110,0,OFFSET(AP37,0,-1*'Get Started  2'!$H110)*'Get Started  2'!$F42))+IF('Get Started  2'!$G109=0,0,IF(AP4&lt;'Get Started  2'!$H109,0,OFFSET(AP37,0,-1*'Get Started  2'!$H109)*'Get Started  2'!$E42))</f>
        <v>60156.249999999978</v>
      </c>
      <c r="AQ49" s="29">
        <f ca="1">IF('Get Started  2'!$G112=0,0,IF(AQ4&lt;'Get Started  2'!$H112,0,OFFSET(AQ37,0,-1*'Get Started  2'!$H112)*'Get Started  2'!$H42))+IF('Get Started  2'!$G111=0,0,IF(AQ4&lt;'Get Started  2'!$H111,0,OFFSET(AQ37,0,-1*'Get Started  2'!$H111)*'Get Started  2'!$G42))+IF('Get Started  2'!$G110=0,0,IF(AQ4&lt;'Get Started  2'!$H110,0,OFFSET(AQ37,0,-1*'Get Started  2'!$H110)*'Get Started  2'!$F42))+IF('Get Started  2'!$G109=0,0,IF(AQ4&lt;'Get Started  2'!$H109,0,OFFSET(AQ37,0,-1*'Get Started  2'!$H109)*'Get Started  2'!$E42))</f>
        <v>73190.104166666642</v>
      </c>
      <c r="AR49" s="29">
        <f ca="1">IF('Get Started  2'!$G112=0,0,IF(AR4&lt;'Get Started  2'!$H112,0,OFFSET(AR37,0,-1*'Get Started  2'!$H112)*'Get Started  2'!$H42))+IF('Get Started  2'!$G111=0,0,IF(AR4&lt;'Get Started  2'!$H111,0,OFFSET(AR37,0,-1*'Get Started  2'!$H111)*'Get Started  2'!$G42))+IF('Get Started  2'!$G110=0,0,IF(AR4&lt;'Get Started  2'!$H110,0,OFFSET(AR37,0,-1*'Get Started  2'!$H110)*'Get Started  2'!$F42))+IF('Get Started  2'!$G109=0,0,IF(AR4&lt;'Get Started  2'!$H109,0,OFFSET(AR37,0,-1*'Get Started  2'!$H109)*'Get Started  2'!$E42))</f>
        <v>73190.104166666642</v>
      </c>
      <c r="AS49" s="29">
        <f ca="1">IF('Get Started  2'!$G112=0,0,IF(AS4&lt;'Get Started  2'!$H112,0,OFFSET(AS37,0,-1*'Get Started  2'!$H112)*'Get Started  2'!$H42))+IF('Get Started  2'!$G111=0,0,IF(AS4&lt;'Get Started  2'!$H111,0,OFFSET(AS37,0,-1*'Get Started  2'!$H111)*'Get Started  2'!$G42))+IF('Get Started  2'!$G110=0,0,IF(AS4&lt;'Get Started  2'!$H110,0,OFFSET(AS37,0,-1*'Get Started  2'!$H110)*'Get Started  2'!$F42))+IF('Get Started  2'!$G109=0,0,IF(AS4&lt;'Get Started  2'!$H109,0,OFFSET(AS37,0,-1*'Get Started  2'!$H109)*'Get Started  2'!$E42))</f>
        <v>73190.104166666642</v>
      </c>
      <c r="AT49" s="29">
        <f ca="1">IF('Get Started  2'!$G112=0,0,IF(AT4&lt;'Get Started  2'!$H112,0,OFFSET(AT37,0,-1*'Get Started  2'!$H112)*'Get Started  2'!$H42))+IF('Get Started  2'!$G111=0,0,IF(AT4&lt;'Get Started  2'!$H111,0,OFFSET(AT37,0,-1*'Get Started  2'!$H111)*'Get Started  2'!$G42))+IF('Get Started  2'!$G110=0,0,IF(AT4&lt;'Get Started  2'!$H110,0,OFFSET(AT37,0,-1*'Get Started  2'!$H110)*'Get Started  2'!$F42))+IF('Get Started  2'!$G109=0,0,IF(AT4&lt;'Get Started  2'!$H109,0,OFFSET(AT37,0,-1*'Get Started  2'!$H109)*'Get Started  2'!$E42))</f>
        <v>73190.104166666642</v>
      </c>
      <c r="AU49" s="29">
        <f ca="1">IF('Get Started  2'!$G112=0,0,IF(AU4&lt;'Get Started  2'!$H112,0,OFFSET(AU37,0,-1*'Get Started  2'!$H112)*'Get Started  2'!$H42))+IF('Get Started  2'!$G111=0,0,IF(AU4&lt;'Get Started  2'!$H111,0,OFFSET(AU37,0,-1*'Get Started  2'!$H111)*'Get Started  2'!$G42))+IF('Get Started  2'!$G110=0,0,IF(AU4&lt;'Get Started  2'!$H110,0,OFFSET(AU37,0,-1*'Get Started  2'!$H110)*'Get Started  2'!$F42))+IF('Get Started  2'!$G109=0,0,IF(AU4&lt;'Get Started  2'!$H109,0,OFFSET(AU37,0,-1*'Get Started  2'!$H109)*'Get Started  2'!$E42))</f>
        <v>0</v>
      </c>
      <c r="AV49" s="29">
        <f ca="1">IF('Get Started  2'!$G112=0,0,IF(AV4&lt;'Get Started  2'!$H112,0,OFFSET(AV37,0,-1*'Get Started  2'!$H112)*'Get Started  2'!$H42))+IF('Get Started  2'!$G111=0,0,IF(AV4&lt;'Get Started  2'!$H111,0,OFFSET(AV37,0,-1*'Get Started  2'!$H111)*'Get Started  2'!$G42))+IF('Get Started  2'!$G110=0,0,IF(AV4&lt;'Get Started  2'!$H110,0,OFFSET(AV37,0,-1*'Get Started  2'!$H110)*'Get Started  2'!$F42))+IF('Get Started  2'!$G109=0,0,IF(AV4&lt;'Get Started  2'!$H109,0,OFFSET(AV37,0,-1*'Get Started  2'!$H109)*'Get Started  2'!$E42))</f>
        <v>0</v>
      </c>
      <c r="AW49" s="29">
        <f ca="1">IF('Get Started  2'!$G112=0,0,IF(AW4&lt;'Get Started  2'!$H112,0,OFFSET(AW37,0,-1*'Get Started  2'!$H112)*'Get Started  2'!$H42))+IF('Get Started  2'!$G111=0,0,IF(AW4&lt;'Get Started  2'!$H111,0,OFFSET(AW37,0,-1*'Get Started  2'!$H111)*'Get Started  2'!$G42))+IF('Get Started  2'!$G110=0,0,IF(AW4&lt;'Get Started  2'!$H110,0,OFFSET(AW37,0,-1*'Get Started  2'!$H110)*'Get Started  2'!$F42))+IF('Get Started  2'!$G109=0,0,IF(AW4&lt;'Get Started  2'!$H109,0,OFFSET(AW37,0,-1*'Get Started  2'!$H109)*'Get Started  2'!$E42))</f>
        <v>0</v>
      </c>
      <c r="AX49" s="29">
        <f ca="1">IF('Get Started  2'!$G112=0,0,IF(AX4&lt;'Get Started  2'!$H112,0,OFFSET(AX37,0,-1*'Get Started  2'!$H112)*'Get Started  2'!$H42))+IF('Get Started  2'!$G111=0,0,IF(AX4&lt;'Get Started  2'!$H111,0,OFFSET(AX37,0,-1*'Get Started  2'!$H111)*'Get Started  2'!$G42))+IF('Get Started  2'!$G110=0,0,IF(AX4&lt;'Get Started  2'!$H110,0,OFFSET(AX37,0,-1*'Get Started  2'!$H110)*'Get Started  2'!$F42))+IF('Get Started  2'!$G109=0,0,IF(AX4&lt;'Get Started  2'!$H109,0,OFFSET(AX37,0,-1*'Get Started  2'!$H109)*'Get Started  2'!$E42))</f>
        <v>0</v>
      </c>
      <c r="AY49" s="29">
        <f ca="1">IF('Get Started  2'!$G112=0,0,IF(AY4&lt;'Get Started  2'!$H112,0,OFFSET(AY37,0,-1*'Get Started  2'!$H112)*'Get Started  2'!$H42))+IF('Get Started  2'!$G111=0,0,IF(AY4&lt;'Get Started  2'!$H111,0,OFFSET(AY37,0,-1*'Get Started  2'!$H111)*'Get Started  2'!$G42))+IF('Get Started  2'!$G110=0,0,IF(AY4&lt;'Get Started  2'!$H110,0,OFFSET(AY37,0,-1*'Get Started  2'!$H110)*'Get Started  2'!$F42))+IF('Get Started  2'!$G109=0,0,IF(AY4&lt;'Get Started  2'!$H109,0,OFFSET(AY37,0,-1*'Get Started  2'!$H109)*'Get Started  2'!$E42))</f>
        <v>0</v>
      </c>
      <c r="AZ49" s="29">
        <f ca="1">IF('Get Started  2'!$G112=0,0,IF(AZ4&lt;'Get Started  2'!$H112,0,OFFSET(AZ37,0,-1*'Get Started  2'!$H112)*'Get Started  2'!$H42))+IF('Get Started  2'!$G111=0,0,IF(AZ4&lt;'Get Started  2'!$H111,0,OFFSET(AZ37,0,-1*'Get Started  2'!$H111)*'Get Started  2'!$G42))+IF('Get Started  2'!$G110=0,0,IF(AZ4&lt;'Get Started  2'!$H110,0,OFFSET(AZ37,0,-1*'Get Started  2'!$H110)*'Get Started  2'!$F42))+IF('Get Started  2'!$G109=0,0,IF(AZ4&lt;'Get Started  2'!$H109,0,OFFSET(AZ37,0,-1*'Get Started  2'!$H109)*'Get Started  2'!$E42))</f>
        <v>0</v>
      </c>
      <c r="BA49" s="29">
        <f ca="1">IF('Get Started  2'!$G112=0,0,IF(BA4&lt;'Get Started  2'!$H112,0,OFFSET(BA37,0,-1*'Get Started  2'!$H112)*'Get Started  2'!$H42))+IF('Get Started  2'!$G111=0,0,IF(BA4&lt;'Get Started  2'!$H111,0,OFFSET(BA37,0,-1*'Get Started  2'!$H111)*'Get Started  2'!$G42))+IF('Get Started  2'!$G110=0,0,IF(BA4&lt;'Get Started  2'!$H110,0,OFFSET(BA37,0,-1*'Get Started  2'!$H110)*'Get Started  2'!$F42))+IF('Get Started  2'!$G109=0,0,IF(BA4&lt;'Get Started  2'!$H109,0,OFFSET(BA37,0,-1*'Get Started  2'!$H109)*'Get Started  2'!$E42))</f>
        <v>0</v>
      </c>
      <c r="BB49" s="29">
        <f ca="1">IF('Get Started  2'!$G112=0,0,IF(BB4&lt;'Get Started  2'!$H112,0,OFFSET(BB37,0,-1*'Get Started  2'!$H112)*'Get Started  2'!$H42))+IF('Get Started  2'!$G111=0,0,IF(BB4&lt;'Get Started  2'!$H111,0,OFFSET(BB37,0,-1*'Get Started  2'!$H111)*'Get Started  2'!$G42))+IF('Get Started  2'!$G110=0,0,IF(BB4&lt;'Get Started  2'!$H110,0,OFFSET(BB37,0,-1*'Get Started  2'!$H110)*'Get Started  2'!$F42))+IF('Get Started  2'!$G109=0,0,IF(BB4&lt;'Get Started  2'!$H109,0,OFFSET(BB37,0,-1*'Get Started  2'!$H109)*'Get Started  2'!$E42))</f>
        <v>0</v>
      </c>
      <c r="BC49" s="29">
        <f ca="1">IF('Get Started  2'!$G112=0,0,IF(BC4&lt;'Get Started  2'!$H112,0,OFFSET(BC37,0,-1*'Get Started  2'!$H112)*'Get Started  2'!$H42))+IF('Get Started  2'!$G111=0,0,IF(BC4&lt;'Get Started  2'!$H111,0,OFFSET(BC37,0,-1*'Get Started  2'!$H111)*'Get Started  2'!$G42))+IF('Get Started  2'!$G110=0,0,IF(BC4&lt;'Get Started  2'!$H110,0,OFFSET(BC37,0,-1*'Get Started  2'!$H110)*'Get Started  2'!$F42))+IF('Get Started  2'!$G109=0,0,IF(BC4&lt;'Get Started  2'!$H109,0,OFFSET(BC37,0,-1*'Get Started  2'!$H109)*'Get Started  2'!$E42))</f>
        <v>0</v>
      </c>
      <c r="BD49" s="29">
        <f ca="1">IF('Get Started  2'!$G112=0,0,IF(BD4&lt;'Get Started  2'!$H112,0,OFFSET(BD37,0,-1*'Get Started  2'!$H112)*'Get Started  2'!$H42))+IF('Get Started  2'!$G111=0,0,IF(BD4&lt;'Get Started  2'!$H111,0,OFFSET(BD37,0,-1*'Get Started  2'!$H111)*'Get Started  2'!$G42))+IF('Get Started  2'!$G110=0,0,IF(BD4&lt;'Get Started  2'!$H110,0,OFFSET(BD37,0,-1*'Get Started  2'!$H110)*'Get Started  2'!$F42))+IF('Get Started  2'!$G109=0,0,IF(BD4&lt;'Get Started  2'!$H109,0,OFFSET(BD37,0,-1*'Get Started  2'!$H109)*'Get Started  2'!$E42))</f>
        <v>0</v>
      </c>
      <c r="BE49" s="29">
        <f ca="1">IF('Get Started  2'!$G112=0,0,IF(BE4&lt;'Get Started  2'!$H112,0,OFFSET(BE37,0,-1*'Get Started  2'!$H112)*'Get Started  2'!$H42))+IF('Get Started  2'!$G111=0,0,IF(BE4&lt;'Get Started  2'!$H111,0,OFFSET(BE37,0,-1*'Get Started  2'!$H111)*'Get Started  2'!$G42))+IF('Get Started  2'!$G110=0,0,IF(BE4&lt;'Get Started  2'!$H110,0,OFFSET(BE37,0,-1*'Get Started  2'!$H110)*'Get Started  2'!$F42))+IF('Get Started  2'!$G109=0,0,IF(BE4&lt;'Get Started  2'!$H109,0,OFFSET(BE37,0,-1*'Get Started  2'!$H109)*'Get Started  2'!$E42))</f>
        <v>0</v>
      </c>
      <c r="BF49" s="29">
        <f ca="1">IF('Get Started  2'!$G112=0,0,IF(BF4&lt;'Get Started  2'!$H112,0,OFFSET(BF37,0,-1*'Get Started  2'!$H112)*'Get Started  2'!$H42))+IF('Get Started  2'!$G111=0,0,IF(BF4&lt;'Get Started  2'!$H111,0,OFFSET(BF37,0,-1*'Get Started  2'!$H111)*'Get Started  2'!$G42))+IF('Get Started  2'!$G110=0,0,IF(BF4&lt;'Get Started  2'!$H110,0,OFFSET(BF37,0,-1*'Get Started  2'!$H110)*'Get Started  2'!$F42))+IF('Get Started  2'!$G109=0,0,IF(BF4&lt;'Get Started  2'!$H109,0,OFFSET(BF37,0,-1*'Get Started  2'!$H109)*'Get Started  2'!$E42))</f>
        <v>0</v>
      </c>
      <c r="BG49" s="29">
        <f ca="1">IF('Get Started  2'!$G112=0,0,IF(BG4&lt;'Get Started  2'!$H112,0,OFFSET(BG37,0,-1*'Get Started  2'!$H112)*'Get Started  2'!$H42))+IF('Get Started  2'!$G111=0,0,IF(BG4&lt;'Get Started  2'!$H111,0,OFFSET(BG37,0,-1*'Get Started  2'!$H111)*'Get Started  2'!$G42))+IF('Get Started  2'!$G110=0,0,IF(BG4&lt;'Get Started  2'!$H110,0,OFFSET(BG37,0,-1*'Get Started  2'!$H110)*'Get Started  2'!$F42))+IF('Get Started  2'!$G109=0,0,IF(BG4&lt;'Get Started  2'!$H109,0,OFFSET(BG37,0,-1*'Get Started  2'!$H109)*'Get Started  2'!$E42))</f>
        <v>0</v>
      </c>
      <c r="BH49" s="29">
        <f ca="1">IF('Get Started  2'!$G112=0,0,IF(BH4&lt;'Get Started  2'!$H112,0,OFFSET(BH37,0,-1*'Get Started  2'!$H112)*'Get Started  2'!$H42))+IF('Get Started  2'!$G111=0,0,IF(BH4&lt;'Get Started  2'!$H111,0,OFFSET(BH37,0,-1*'Get Started  2'!$H111)*'Get Started  2'!$G42))+IF('Get Started  2'!$G110=0,0,IF(BH4&lt;'Get Started  2'!$H110,0,OFFSET(BH37,0,-1*'Get Started  2'!$H110)*'Get Started  2'!$F42))+IF('Get Started  2'!$G109=0,0,IF(BH4&lt;'Get Started  2'!$H109,0,OFFSET(BH37,0,-1*'Get Started  2'!$H109)*'Get Started  2'!$E42))</f>
        <v>0</v>
      </c>
      <c r="BI49" s="29">
        <f ca="1">IF('Get Started  2'!$G112=0,0,IF(BI4&lt;'Get Started  2'!$H112,0,OFFSET(BI37,0,-1*'Get Started  2'!$H112)*'Get Started  2'!$H42))+IF('Get Started  2'!$G111=0,0,IF(BI4&lt;'Get Started  2'!$H111,0,OFFSET(BI37,0,-1*'Get Started  2'!$H111)*'Get Started  2'!$G42))+IF('Get Started  2'!$G110=0,0,IF(BI4&lt;'Get Started  2'!$H110,0,OFFSET(BI37,0,-1*'Get Started  2'!$H110)*'Get Started  2'!$F42))+IF('Get Started  2'!$G109=0,0,IF(BI4&lt;'Get Started  2'!$H109,0,OFFSET(BI37,0,-1*'Get Started  2'!$H109)*'Get Started  2'!$E42))</f>
        <v>0</v>
      </c>
      <c r="BJ49" s="29">
        <f ca="1">IF('Get Started  2'!$G112=0,0,IF(BJ4&lt;'Get Started  2'!$H112,0,OFFSET(BJ37,0,-1*'Get Started  2'!$H112)*'Get Started  2'!$H42))+IF('Get Started  2'!$G111=0,0,IF(BJ4&lt;'Get Started  2'!$H111,0,OFFSET(BJ37,0,-1*'Get Started  2'!$H111)*'Get Started  2'!$G42))+IF('Get Started  2'!$G110=0,0,IF(BJ4&lt;'Get Started  2'!$H110,0,OFFSET(BJ37,0,-1*'Get Started  2'!$H110)*'Get Started  2'!$F42))+IF('Get Started  2'!$G109=0,0,IF(BJ4&lt;'Get Started  2'!$H109,0,OFFSET(BJ37,0,-1*'Get Started  2'!$H109)*'Get Started  2'!$E42))</f>
        <v>0</v>
      </c>
      <c r="BK49" s="29">
        <f ca="1">IF('Get Started  2'!$G112=0,0,IF(BK4&lt;'Get Started  2'!$H112,0,OFFSET(BK37,0,-1*'Get Started  2'!$H112)*'Get Started  2'!$H42))+IF('Get Started  2'!$G111=0,0,IF(BK4&lt;'Get Started  2'!$H111,0,OFFSET(BK37,0,-1*'Get Started  2'!$H111)*'Get Started  2'!$G42))+IF('Get Started  2'!$G110=0,0,IF(BK4&lt;'Get Started  2'!$H110,0,OFFSET(BK37,0,-1*'Get Started  2'!$H110)*'Get Started  2'!$F42))+IF('Get Started  2'!$G109=0,0,IF(BK4&lt;'Get Started  2'!$H109,0,OFFSET(BK37,0,-1*'Get Started  2'!$H109)*'Get Started  2'!$E42))</f>
        <v>0</v>
      </c>
      <c r="BL49" s="29">
        <f ca="1">IF('Get Started  2'!$G112=0,0,IF(BL4&lt;'Get Started  2'!$H112,0,OFFSET(BL37,0,-1*'Get Started  2'!$H112)*'Get Started  2'!$H42))+IF('Get Started  2'!$G111=0,0,IF(BL4&lt;'Get Started  2'!$H111,0,OFFSET(BL37,0,-1*'Get Started  2'!$H111)*'Get Started  2'!$G42))+IF('Get Started  2'!$G110=0,0,IF(BL4&lt;'Get Started  2'!$H110,0,OFFSET(BL37,0,-1*'Get Started  2'!$H110)*'Get Started  2'!$F42))+IF('Get Started  2'!$G109=0,0,IF(BL4&lt;'Get Started  2'!$H109,0,OFFSET(BL37,0,-1*'Get Started  2'!$H109)*'Get Started  2'!$E42))</f>
        <v>0</v>
      </c>
      <c r="BM49" s="29">
        <f ca="1">IF('Get Started  2'!$G112=0,0,IF(BM4&lt;'Get Started  2'!$H112,0,OFFSET(BM37,0,-1*'Get Started  2'!$H112)*'Get Started  2'!$H42))+IF('Get Started  2'!$G111=0,0,IF(BM4&lt;'Get Started  2'!$H111,0,OFFSET(BM37,0,-1*'Get Started  2'!$H111)*'Get Started  2'!$G42))+IF('Get Started  2'!$G110=0,0,IF(BM4&lt;'Get Started  2'!$H110,0,OFFSET(BM37,0,-1*'Get Started  2'!$H110)*'Get Started  2'!$F42))+IF('Get Started  2'!$G109=0,0,IF(BM4&lt;'Get Started  2'!$H109,0,OFFSET(BM37,0,-1*'Get Started  2'!$H109)*'Get Started  2'!$E42))</f>
        <v>0</v>
      </c>
      <c r="BN49" s="29">
        <f ca="1">IF('Get Started  2'!$G112=0,0,IF(BN4&lt;'Get Started  2'!$H112,0,OFFSET(BN37,0,-1*'Get Started  2'!$H112)*'Get Started  2'!$H42))+IF('Get Started  2'!$G111=0,0,IF(BN4&lt;'Get Started  2'!$H111,0,OFFSET(BN37,0,-1*'Get Started  2'!$H111)*'Get Started  2'!$G42))+IF('Get Started  2'!$G110=0,0,IF(BN4&lt;'Get Started  2'!$H110,0,OFFSET(BN37,0,-1*'Get Started  2'!$H110)*'Get Started  2'!$F42))+IF('Get Started  2'!$G109=0,0,IF(BN4&lt;'Get Started  2'!$H109,0,OFFSET(BN37,0,-1*'Get Started  2'!$H109)*'Get Started  2'!$E42))</f>
        <v>0</v>
      </c>
      <c r="BO49" s="29">
        <f ca="1">IF('Get Started  2'!$G112=0,0,IF(BO4&lt;'Get Started  2'!$H112,0,OFFSET(BO37,0,-1*'Get Started  2'!$H112)*'Get Started  2'!$H42))+IF('Get Started  2'!$G111=0,0,IF(BO4&lt;'Get Started  2'!$H111,0,OFFSET(BO37,0,-1*'Get Started  2'!$H111)*'Get Started  2'!$G42))+IF('Get Started  2'!$G110=0,0,IF(BO4&lt;'Get Started  2'!$H110,0,OFFSET(BO37,0,-1*'Get Started  2'!$H110)*'Get Started  2'!$F42))+IF('Get Started  2'!$G109=0,0,IF(BO4&lt;'Get Started  2'!$H109,0,OFFSET(BO37,0,-1*'Get Started  2'!$H109)*'Get Started  2'!$E42))</f>
        <v>0</v>
      </c>
      <c r="BP49" s="29">
        <f ca="1">IF('Get Started  2'!$G112=0,0,IF(BP4&lt;'Get Started  2'!$H112,0,OFFSET(BP37,0,-1*'Get Started  2'!$H112)*'Get Started  2'!$H42))+IF('Get Started  2'!$G111=0,0,IF(BP4&lt;'Get Started  2'!$H111,0,OFFSET(BP37,0,-1*'Get Started  2'!$H111)*'Get Started  2'!$G42))+IF('Get Started  2'!$G110=0,0,IF(BP4&lt;'Get Started  2'!$H110,0,OFFSET(BP37,0,-1*'Get Started  2'!$H110)*'Get Started  2'!$F42))+IF('Get Started  2'!$G109=0,0,IF(BP4&lt;'Get Started  2'!$H109,0,OFFSET(BP37,0,-1*'Get Started  2'!$H109)*'Get Started  2'!$E42))</f>
        <v>0</v>
      </c>
      <c r="BQ49" s="29">
        <f ca="1">IF('Get Started  2'!$G112=0,0,IF(BQ4&lt;'Get Started  2'!$H112,0,OFFSET(BQ37,0,-1*'Get Started  2'!$H112)*'Get Started  2'!$H42))+IF('Get Started  2'!$G111=0,0,IF(BQ4&lt;'Get Started  2'!$H111,0,OFFSET(BQ37,0,-1*'Get Started  2'!$H111)*'Get Started  2'!$G42))+IF('Get Started  2'!$G110=0,0,IF(BQ4&lt;'Get Started  2'!$H110,0,OFFSET(BQ37,0,-1*'Get Started  2'!$H110)*'Get Started  2'!$F42))+IF('Get Started  2'!$G109=0,0,IF(BQ4&lt;'Get Started  2'!$H109,0,OFFSET(BQ37,0,-1*'Get Started  2'!$H109)*'Get Started  2'!$E42))</f>
        <v>0</v>
      </c>
      <c r="BR49" s="29">
        <f ca="1">IF('Get Started  2'!$G112=0,0,IF(BR4&lt;'Get Started  2'!$H112,0,OFFSET(BR37,0,-1*'Get Started  2'!$H112)*'Get Started  2'!$H42))+IF('Get Started  2'!$G111=0,0,IF(BR4&lt;'Get Started  2'!$H111,0,OFFSET(BR37,0,-1*'Get Started  2'!$H111)*'Get Started  2'!$G42))+IF('Get Started  2'!$G110=0,0,IF(BR4&lt;'Get Started  2'!$H110,0,OFFSET(BR37,0,-1*'Get Started  2'!$H110)*'Get Started  2'!$F42))+IF('Get Started  2'!$G109=0,0,IF(BR4&lt;'Get Started  2'!$H109,0,OFFSET(BR37,0,-1*'Get Started  2'!$H109)*'Get Started  2'!$E42))</f>
        <v>0</v>
      </c>
      <c r="BS49" s="29">
        <f ca="1">IF('Get Started  2'!$G112=0,0,IF(BS4&lt;'Get Started  2'!$H112,0,OFFSET(BS37,0,-1*'Get Started  2'!$H112)*'Get Started  2'!$H42))+IF('Get Started  2'!$G111=0,0,IF(BS4&lt;'Get Started  2'!$H111,0,OFFSET(BS37,0,-1*'Get Started  2'!$H111)*'Get Started  2'!$G42))+IF('Get Started  2'!$G110=0,0,IF(BS4&lt;'Get Started  2'!$H110,0,OFFSET(BS37,0,-1*'Get Started  2'!$H110)*'Get Started  2'!$F42))+IF('Get Started  2'!$G109=0,0,IF(BS4&lt;'Get Started  2'!$H109,0,OFFSET(BS37,0,-1*'Get Started  2'!$H109)*'Get Started  2'!$E42))</f>
        <v>0</v>
      </c>
      <c r="BT49" s="29">
        <f ca="1">IF('Get Started  2'!$G112=0,0,IF(BT4&lt;'Get Started  2'!$H112,0,OFFSET(BT37,0,-1*'Get Started  2'!$H112)*'Get Started  2'!$H42))+IF('Get Started  2'!$G111=0,0,IF(BT4&lt;'Get Started  2'!$H111,0,OFFSET(BT37,0,-1*'Get Started  2'!$H111)*'Get Started  2'!$G42))+IF('Get Started  2'!$G110=0,0,IF(BT4&lt;'Get Started  2'!$H110,0,OFFSET(BT37,0,-1*'Get Started  2'!$H110)*'Get Started  2'!$F42))+IF('Get Started  2'!$G109=0,0,IF(BT4&lt;'Get Started  2'!$H109,0,OFFSET(BT37,0,-1*'Get Started  2'!$H109)*'Get Started  2'!$E42))</f>
        <v>0</v>
      </c>
      <c r="BU49" s="29">
        <f ca="1">IF('Get Started  2'!$G112=0,0,IF(BU4&lt;'Get Started  2'!$H112,0,OFFSET(BU37,0,-1*'Get Started  2'!$H112)*'Get Started  2'!$H42))+IF('Get Started  2'!$G111=0,0,IF(BU4&lt;'Get Started  2'!$H111,0,OFFSET(BU37,0,-1*'Get Started  2'!$H111)*'Get Started  2'!$G42))+IF('Get Started  2'!$G110=0,0,IF(BU4&lt;'Get Started  2'!$H110,0,OFFSET(BU37,0,-1*'Get Started  2'!$H110)*'Get Started  2'!$F42))+IF('Get Started  2'!$G109=0,0,IF(BU4&lt;'Get Started  2'!$H109,0,OFFSET(BU37,0,-1*'Get Started  2'!$H109)*'Get Started  2'!$E42))</f>
        <v>0</v>
      </c>
      <c r="BV49" s="29">
        <f ca="1">IF('Get Started  2'!$G112=0,0,IF(BV4&lt;'Get Started  2'!$H112,0,OFFSET(BV37,0,-1*'Get Started  2'!$H112)*'Get Started  2'!$H42))+IF('Get Started  2'!$G111=0,0,IF(BV4&lt;'Get Started  2'!$H111,0,OFFSET(BV37,0,-1*'Get Started  2'!$H111)*'Get Started  2'!$G42))+IF('Get Started  2'!$G110=0,0,IF(BV4&lt;'Get Started  2'!$H110,0,OFFSET(BV37,0,-1*'Get Started  2'!$H110)*'Get Started  2'!$F42))+IF('Get Started  2'!$G109=0,0,IF(BV4&lt;'Get Started  2'!$H109,0,OFFSET(BV37,0,-1*'Get Started  2'!$H109)*'Get Started  2'!$E42))</f>
        <v>0</v>
      </c>
      <c r="BW49" s="29">
        <f ca="1">IF('Get Started  2'!$G112=0,0,IF(BW4&lt;'Get Started  2'!$H112,0,OFFSET(BW37,0,-1*'Get Started  2'!$H112)*'Get Started  2'!$H42))+IF('Get Started  2'!$G111=0,0,IF(BW4&lt;'Get Started  2'!$H111,0,OFFSET(BW37,0,-1*'Get Started  2'!$H111)*'Get Started  2'!$G42))+IF('Get Started  2'!$G110=0,0,IF(BW4&lt;'Get Started  2'!$H110,0,OFFSET(BW37,0,-1*'Get Started  2'!$H110)*'Get Started  2'!$F42))+IF('Get Started  2'!$G109=0,0,IF(BW4&lt;'Get Started  2'!$H109,0,OFFSET(BW37,0,-1*'Get Started  2'!$H109)*'Get Started  2'!$E42))</f>
        <v>0</v>
      </c>
      <c r="BX49" s="29">
        <f ca="1">IF('Get Started  2'!$G112=0,0,IF(BX4&lt;'Get Started  2'!$H112,0,OFFSET(BX37,0,-1*'Get Started  2'!$H112)*'Get Started  2'!$H42))+IF('Get Started  2'!$G111=0,0,IF(BX4&lt;'Get Started  2'!$H111,0,OFFSET(BX37,0,-1*'Get Started  2'!$H111)*'Get Started  2'!$G42))+IF('Get Started  2'!$G110=0,0,IF(BX4&lt;'Get Started  2'!$H110,0,OFFSET(BX37,0,-1*'Get Started  2'!$H110)*'Get Started  2'!$F42))+IF('Get Started  2'!$G109=0,0,IF(BX4&lt;'Get Started  2'!$H109,0,OFFSET(BX37,0,-1*'Get Started  2'!$H109)*'Get Started  2'!$E42))</f>
        <v>0</v>
      </c>
      <c r="BY49" s="29">
        <f ca="1">IF('Get Started  2'!$G112=0,0,IF(BY4&lt;'Get Started  2'!$H112,0,OFFSET(BY37,0,-1*'Get Started  2'!$H112)*'Get Started  2'!$H42))+IF('Get Started  2'!$G111=0,0,IF(BY4&lt;'Get Started  2'!$H111,0,OFFSET(BY37,0,-1*'Get Started  2'!$H111)*'Get Started  2'!$G42))+IF('Get Started  2'!$G110=0,0,IF(BY4&lt;'Get Started  2'!$H110,0,OFFSET(BY37,0,-1*'Get Started  2'!$H110)*'Get Started  2'!$F42))+IF('Get Started  2'!$G109=0,0,IF(BY4&lt;'Get Started  2'!$H109,0,OFFSET(BY37,0,-1*'Get Started  2'!$H109)*'Get Started  2'!$E42))</f>
        <v>0</v>
      </c>
      <c r="BZ49" s="29">
        <f ca="1">IF('Get Started  2'!$G112=0,0,IF(BZ4&lt;'Get Started  2'!$H112,0,OFFSET(BZ37,0,-1*'Get Started  2'!$H112)*'Get Started  2'!$H42))+IF('Get Started  2'!$G111=0,0,IF(BZ4&lt;'Get Started  2'!$H111,0,OFFSET(BZ37,0,-1*'Get Started  2'!$H111)*'Get Started  2'!$G42))+IF('Get Started  2'!$G110=0,0,IF(BZ4&lt;'Get Started  2'!$H110,0,OFFSET(BZ37,0,-1*'Get Started  2'!$H110)*'Get Started  2'!$F42))+IF('Get Started  2'!$G109=0,0,IF(BZ4&lt;'Get Started  2'!$H109,0,OFFSET(BZ37,0,-1*'Get Started  2'!$H109)*'Get Started  2'!$E42))</f>
        <v>0</v>
      </c>
      <c r="CA49" s="29">
        <f ca="1">IF('Get Started  2'!$G112=0,0,IF(CA4&lt;'Get Started  2'!$H112,0,OFFSET(CA37,0,-1*'Get Started  2'!$H112)*'Get Started  2'!$H42))+IF('Get Started  2'!$G111=0,0,IF(CA4&lt;'Get Started  2'!$H111,0,OFFSET(CA37,0,-1*'Get Started  2'!$H111)*'Get Started  2'!$G42))+IF('Get Started  2'!$G110=0,0,IF(CA4&lt;'Get Started  2'!$H110,0,OFFSET(CA37,0,-1*'Get Started  2'!$H110)*'Get Started  2'!$F42))+IF('Get Started  2'!$G109=0,0,IF(CA4&lt;'Get Started  2'!$H109,0,OFFSET(CA37,0,-1*'Get Started  2'!$H109)*'Get Started  2'!$E42))</f>
        <v>0</v>
      </c>
      <c r="CB49" s="29">
        <f ca="1">IF('Get Started  2'!$G112=0,0,IF(CB4&lt;'Get Started  2'!$H112,0,OFFSET(CB37,0,-1*'Get Started  2'!$H112)*'Get Started  2'!$H42))+IF('Get Started  2'!$G111=0,0,IF(CB4&lt;'Get Started  2'!$H111,0,OFFSET(CB37,0,-1*'Get Started  2'!$H111)*'Get Started  2'!$G42))+IF('Get Started  2'!$G110=0,0,IF(CB4&lt;'Get Started  2'!$H110,0,OFFSET(CB37,0,-1*'Get Started  2'!$H110)*'Get Started  2'!$F42))+IF('Get Started  2'!$G109=0,0,IF(CB4&lt;'Get Started  2'!$H109,0,OFFSET(CB37,0,-1*'Get Started  2'!$H109)*'Get Started  2'!$E42))</f>
        <v>0</v>
      </c>
      <c r="CC49" s="29">
        <f ca="1">IF('Get Started  2'!$G112=0,0,IF(CC4&lt;'Get Started  2'!$H112,0,OFFSET(CC37,0,-1*'Get Started  2'!$H112)*'Get Started  2'!$H42))+IF('Get Started  2'!$G111=0,0,IF(CC4&lt;'Get Started  2'!$H111,0,OFFSET(CC37,0,-1*'Get Started  2'!$H111)*'Get Started  2'!$G42))+IF('Get Started  2'!$G110=0,0,IF(CC4&lt;'Get Started  2'!$H110,0,OFFSET(CC37,0,-1*'Get Started  2'!$H110)*'Get Started  2'!$F42))+IF('Get Started  2'!$G109=0,0,IF(CC4&lt;'Get Started  2'!$H109,0,OFFSET(CC37,0,-1*'Get Started  2'!$H109)*'Get Started  2'!$E42))</f>
        <v>0</v>
      </c>
      <c r="CD49" s="29">
        <f ca="1">IF('Get Started  2'!$G112=0,0,IF(CD4&lt;'Get Started  2'!$H112,0,OFFSET(CD37,0,-1*'Get Started  2'!$H112)*'Get Started  2'!$H42))+IF('Get Started  2'!$G111=0,0,IF(CD4&lt;'Get Started  2'!$H111,0,OFFSET(CD37,0,-1*'Get Started  2'!$H111)*'Get Started  2'!$G42))+IF('Get Started  2'!$G110=0,0,IF(CD4&lt;'Get Started  2'!$H110,0,OFFSET(CD37,0,-1*'Get Started  2'!$H110)*'Get Started  2'!$F42))+IF('Get Started  2'!$G109=0,0,IF(CD4&lt;'Get Started  2'!$H109,0,OFFSET(CD37,0,-1*'Get Started  2'!$H109)*'Get Started  2'!$E42))</f>
        <v>0</v>
      </c>
      <c r="CE49" s="29">
        <f ca="1">IF('Get Started  2'!$G112=0,0,IF(CE4&lt;'Get Started  2'!$H112,0,OFFSET(CE37,0,-1*'Get Started  2'!$H112)*'Get Started  2'!$H42))+IF('Get Started  2'!$G111=0,0,IF(CE4&lt;'Get Started  2'!$H111,0,OFFSET(CE37,0,-1*'Get Started  2'!$H111)*'Get Started  2'!$G42))+IF('Get Started  2'!$G110=0,0,IF(CE4&lt;'Get Started  2'!$H110,0,OFFSET(CE37,0,-1*'Get Started  2'!$H110)*'Get Started  2'!$F42))+IF('Get Started  2'!$G109=0,0,IF(CE4&lt;'Get Started  2'!$H109,0,OFFSET(CE37,0,-1*'Get Started  2'!$H109)*'Get Started  2'!$E42))</f>
        <v>0</v>
      </c>
      <c r="CF49" s="29">
        <f ca="1">IF('Get Started  2'!$G112=0,0,IF(CF4&lt;'Get Started  2'!$H112,0,OFFSET(CF37,0,-1*'Get Started  2'!$H112)*'Get Started  2'!$H42))+IF('Get Started  2'!$G111=0,0,IF(CF4&lt;'Get Started  2'!$H111,0,OFFSET(CF37,0,-1*'Get Started  2'!$H111)*'Get Started  2'!$G42))+IF('Get Started  2'!$G110=0,0,IF(CF4&lt;'Get Started  2'!$H110,0,OFFSET(CF37,0,-1*'Get Started  2'!$H110)*'Get Started  2'!$F42))+IF('Get Started  2'!$G109=0,0,IF(CF4&lt;'Get Started  2'!$H109,0,OFFSET(CF37,0,-1*'Get Started  2'!$H109)*'Get Started  2'!$E42))</f>
        <v>0</v>
      </c>
      <c r="CG49" s="29">
        <f ca="1">IF('Get Started  2'!$G112=0,0,IF(CG4&lt;'Get Started  2'!$H112,0,OFFSET(CG37,0,-1*'Get Started  2'!$H112)*'Get Started  2'!$H42))+IF('Get Started  2'!$G111=0,0,IF(CG4&lt;'Get Started  2'!$H111,0,OFFSET(CG37,0,-1*'Get Started  2'!$H111)*'Get Started  2'!$G42))+IF('Get Started  2'!$G110=0,0,IF(CG4&lt;'Get Started  2'!$H110,0,OFFSET(CG37,0,-1*'Get Started  2'!$H110)*'Get Started  2'!$F42))+IF('Get Started  2'!$G109=0,0,IF(CG4&lt;'Get Started  2'!$H109,0,OFFSET(CG37,0,-1*'Get Started  2'!$H109)*'Get Started  2'!$E42))</f>
        <v>0</v>
      </c>
      <c r="CH49" s="29">
        <f ca="1">IF('Get Started  2'!$G112=0,0,IF(CH4&lt;'Get Started  2'!$H112,0,OFFSET(CH37,0,-1*'Get Started  2'!$H112)*'Get Started  2'!$H42))+IF('Get Started  2'!$G111=0,0,IF(CH4&lt;'Get Started  2'!$H111,0,OFFSET(CH37,0,-1*'Get Started  2'!$H111)*'Get Started  2'!$G42))+IF('Get Started  2'!$G110=0,0,IF(CH4&lt;'Get Started  2'!$H110,0,OFFSET(CH37,0,-1*'Get Started  2'!$H110)*'Get Started  2'!$F42))+IF('Get Started  2'!$G109=0,0,IF(CH4&lt;'Get Started  2'!$H109,0,OFFSET(CH37,0,-1*'Get Started  2'!$H109)*'Get Started  2'!$E42))</f>
        <v>0</v>
      </c>
    </row>
    <row r="50" spans="1:86" ht="13">
      <c r="B50" s="15" t="s">
        <v>274</v>
      </c>
      <c r="C50" s="15" t="s">
        <v>275</v>
      </c>
      <c r="D50" s="15" t="s">
        <v>238</v>
      </c>
      <c r="E50" s="29">
        <f t="shared" ca="1" si="13"/>
        <v>-5.2677933126688004E-9</v>
      </c>
      <c r="F50" s="29"/>
      <c r="G50" s="29">
        <f t="shared" ref="G50:CH50" ca="1" si="19">G38+ABS(G48)*-1+ABS(G49)*-1</f>
        <v>1203125</v>
      </c>
      <c r="H50" s="29">
        <f t="shared" ca="1" si="19"/>
        <v>1203125</v>
      </c>
      <c r="I50" s="29">
        <f t="shared" ca="1" si="19"/>
        <v>1203125</v>
      </c>
      <c r="J50" s="29">
        <f t="shared" ca="1" si="19"/>
        <v>1203125</v>
      </c>
      <c r="K50" s="29">
        <f t="shared" ca="1" si="19"/>
        <v>1203125</v>
      </c>
      <c r="L50" s="29">
        <f t="shared" ca="1" si="19"/>
        <v>1203125</v>
      </c>
      <c r="M50" s="29">
        <f t="shared" ca="1" si="19"/>
        <v>1203125</v>
      </c>
      <c r="N50" s="29">
        <f t="shared" ca="1" si="19"/>
        <v>1203125</v>
      </c>
      <c r="O50" s="29">
        <f t="shared" ca="1" si="19"/>
        <v>461197.91666666663</v>
      </c>
      <c r="P50" s="29">
        <f t="shared" ca="1" si="19"/>
        <v>461197.91666666663</v>
      </c>
      <c r="Q50" s="29">
        <f t="shared" ca="1" si="19"/>
        <v>461197.91666666663</v>
      </c>
      <c r="R50" s="29">
        <f t="shared" ca="1" si="19"/>
        <v>461197.91666666663</v>
      </c>
      <c r="S50" s="29">
        <f t="shared" ca="1" si="19"/>
        <v>461197.91666666657</v>
      </c>
      <c r="T50" s="29">
        <f t="shared" ca="1" si="19"/>
        <v>461197.91666666657</v>
      </c>
      <c r="U50" s="29">
        <f t="shared" ca="1" si="19"/>
        <v>461197.91666666657</v>
      </c>
      <c r="V50" s="29">
        <f t="shared" ca="1" si="19"/>
        <v>461197.91666666657</v>
      </c>
      <c r="W50" s="29">
        <f t="shared" ca="1" si="19"/>
        <v>-1142968.75</v>
      </c>
      <c r="X50" s="29">
        <f t="shared" ca="1" si="19"/>
        <v>-1142968.75</v>
      </c>
      <c r="Y50" s="29">
        <f t="shared" ca="1" si="19"/>
        <v>-1142968.75</v>
      </c>
      <c r="Z50" s="29">
        <f t="shared" ca="1" si="19"/>
        <v>-1142968.75</v>
      </c>
      <c r="AA50" s="29">
        <f t="shared" ca="1" si="19"/>
        <v>-1303719.6180555555</v>
      </c>
      <c r="AB50" s="29">
        <f t="shared" ca="1" si="19"/>
        <v>-1303719.6180555555</v>
      </c>
      <c r="AC50" s="29">
        <f t="shared" ca="1" si="19"/>
        <v>-1303719.6180555555</v>
      </c>
      <c r="AD50" s="29">
        <f t="shared" ca="1" si="19"/>
        <v>-1303719.6180555555</v>
      </c>
      <c r="AE50" s="29">
        <f t="shared" ca="1" si="19"/>
        <v>-517677.95138888876</v>
      </c>
      <c r="AF50" s="29">
        <f t="shared" ca="1" si="19"/>
        <v>-517677.95138888876</v>
      </c>
      <c r="AG50" s="29">
        <f t="shared" ca="1" si="19"/>
        <v>-517677.95138888876</v>
      </c>
      <c r="AH50" s="29">
        <f t="shared" ca="1" si="19"/>
        <v>-517677.95138888876</v>
      </c>
      <c r="AI50" s="29">
        <f t="shared" ca="1" si="19"/>
        <v>-230933.15972222216</v>
      </c>
      <c r="AJ50" s="29">
        <f t="shared" ca="1" si="19"/>
        <v>-230933.15972222216</v>
      </c>
      <c r="AK50" s="29">
        <f t="shared" ca="1" si="19"/>
        <v>-230933.15972222216</v>
      </c>
      <c r="AL50" s="29">
        <f t="shared" ca="1" si="19"/>
        <v>-230933.15972222216</v>
      </c>
      <c r="AM50" s="29">
        <f t="shared" ca="1" si="19"/>
        <v>-60156.249999999978</v>
      </c>
      <c r="AN50" s="29">
        <f t="shared" ca="1" si="19"/>
        <v>-60156.249999999978</v>
      </c>
      <c r="AO50" s="29">
        <f t="shared" ca="1" si="19"/>
        <v>-60156.249999999978</v>
      </c>
      <c r="AP50" s="29">
        <f t="shared" ca="1" si="19"/>
        <v>-60156.249999999978</v>
      </c>
      <c r="AQ50" s="29">
        <f t="shared" ca="1" si="19"/>
        <v>-73190.104166666642</v>
      </c>
      <c r="AR50" s="29">
        <f t="shared" ca="1" si="19"/>
        <v>-73190.104166666642</v>
      </c>
      <c r="AS50" s="29">
        <f t="shared" ca="1" si="19"/>
        <v>-73190.104166666642</v>
      </c>
      <c r="AT50" s="29">
        <f t="shared" ca="1" si="19"/>
        <v>-73190.104166666642</v>
      </c>
      <c r="AU50" s="29">
        <f t="shared" ca="1" si="19"/>
        <v>0</v>
      </c>
      <c r="AV50" s="29">
        <f t="shared" ca="1" si="19"/>
        <v>0</v>
      </c>
      <c r="AW50" s="29">
        <f t="shared" ca="1" si="19"/>
        <v>0</v>
      </c>
      <c r="AX50" s="29">
        <f t="shared" ca="1" si="19"/>
        <v>0</v>
      </c>
      <c r="AY50" s="29">
        <f t="shared" ca="1" si="19"/>
        <v>0</v>
      </c>
      <c r="AZ50" s="29">
        <f t="shared" ca="1" si="19"/>
        <v>0</v>
      </c>
      <c r="BA50" s="29">
        <f t="shared" ca="1" si="19"/>
        <v>0</v>
      </c>
      <c r="BB50" s="29">
        <f t="shared" ca="1" si="19"/>
        <v>0</v>
      </c>
      <c r="BC50" s="29">
        <f t="shared" ca="1" si="19"/>
        <v>0</v>
      </c>
      <c r="BD50" s="29">
        <f t="shared" ca="1" si="19"/>
        <v>0</v>
      </c>
      <c r="BE50" s="29">
        <f t="shared" ca="1" si="19"/>
        <v>0</v>
      </c>
      <c r="BF50" s="29">
        <f t="shared" ca="1" si="19"/>
        <v>0</v>
      </c>
      <c r="BG50" s="29">
        <f t="shared" ca="1" si="19"/>
        <v>0</v>
      </c>
      <c r="BH50" s="29">
        <f t="shared" ca="1" si="19"/>
        <v>0</v>
      </c>
      <c r="BI50" s="29">
        <f t="shared" ca="1" si="19"/>
        <v>0</v>
      </c>
      <c r="BJ50" s="29">
        <f t="shared" ca="1" si="19"/>
        <v>0</v>
      </c>
      <c r="BK50" s="29">
        <f t="shared" ca="1" si="19"/>
        <v>0</v>
      </c>
      <c r="BL50" s="29">
        <f t="shared" ca="1" si="19"/>
        <v>0</v>
      </c>
      <c r="BM50" s="29">
        <f t="shared" ca="1" si="19"/>
        <v>0</v>
      </c>
      <c r="BN50" s="29">
        <f t="shared" ca="1" si="19"/>
        <v>0</v>
      </c>
      <c r="BO50" s="29">
        <f t="shared" ca="1" si="19"/>
        <v>0</v>
      </c>
      <c r="BP50" s="29">
        <f t="shared" ca="1" si="19"/>
        <v>0</v>
      </c>
      <c r="BQ50" s="29">
        <f t="shared" ca="1" si="19"/>
        <v>0</v>
      </c>
      <c r="BR50" s="29">
        <f t="shared" ca="1" si="19"/>
        <v>0</v>
      </c>
      <c r="BS50" s="29">
        <f t="shared" ca="1" si="19"/>
        <v>0</v>
      </c>
      <c r="BT50" s="29">
        <f t="shared" ca="1" si="19"/>
        <v>0</v>
      </c>
      <c r="BU50" s="29">
        <f t="shared" ca="1" si="19"/>
        <v>0</v>
      </c>
      <c r="BV50" s="29">
        <f t="shared" ca="1" si="19"/>
        <v>0</v>
      </c>
      <c r="BW50" s="29">
        <f t="shared" ca="1" si="19"/>
        <v>0</v>
      </c>
      <c r="BX50" s="29">
        <f t="shared" ca="1" si="19"/>
        <v>0</v>
      </c>
      <c r="BY50" s="29">
        <f t="shared" ca="1" si="19"/>
        <v>0</v>
      </c>
      <c r="BZ50" s="29">
        <f t="shared" ca="1" si="19"/>
        <v>0</v>
      </c>
      <c r="CA50" s="29">
        <f t="shared" ca="1" si="19"/>
        <v>0</v>
      </c>
      <c r="CB50" s="29">
        <f t="shared" ca="1" si="19"/>
        <v>0</v>
      </c>
      <c r="CC50" s="29">
        <f t="shared" ca="1" si="19"/>
        <v>0</v>
      </c>
      <c r="CD50" s="29">
        <f t="shared" ca="1" si="19"/>
        <v>0</v>
      </c>
      <c r="CE50" s="29">
        <f t="shared" ca="1" si="19"/>
        <v>0</v>
      </c>
      <c r="CF50" s="29">
        <f t="shared" ca="1" si="19"/>
        <v>0</v>
      </c>
      <c r="CG50" s="29">
        <f t="shared" ca="1" si="19"/>
        <v>0</v>
      </c>
      <c r="CH50" s="29">
        <f t="shared" ca="1" si="19"/>
        <v>0</v>
      </c>
    </row>
    <row r="51" spans="1:86" ht="13">
      <c r="B51" s="15" t="s">
        <v>276</v>
      </c>
      <c r="C51" s="15" t="s">
        <v>277</v>
      </c>
      <c r="D51" s="15" t="s">
        <v>238</v>
      </c>
      <c r="E51" s="29">
        <f t="shared" ca="1" si="13"/>
        <v>0</v>
      </c>
      <c r="F51" s="29"/>
      <c r="G51" s="29">
        <f ca="1">IF(G76=$E76,SUM(F51:$G51)*-1,IF(G77=0,0,IF(G4&lt;&gt;1,(F79+G50/2)*((1+'Get Started  2'!$E129)^(1/4)-1)-G49*(1+((1+'Get Started  2'!$E129)^(1/4)-1))^('Get Started  2'!$H113-1),0)))</f>
        <v>0</v>
      </c>
      <c r="H51" s="29">
        <f ca="1">IF(H76=$E76,SUM(G51:$G51)*-1,IF(H77=0,0,IF(H4&lt;&gt;1,(G79+H50/2)*((1+'Get Started  2'!$E129)^(1/4)-1)-H49*(1+((1+'Get Started  2'!$E129)^(1/4)-1))^('Get Started  2'!$H113-1),0)))</f>
        <v>0</v>
      </c>
      <c r="I51" s="29">
        <f ca="1">IF(I76=$E76,SUM($G51:H51)*-1,IF(I77=0,0,IF(I4&lt;&gt;1,(H79+I50/2)*((1+'Get Started  2'!$E129)^(1/4)-1)-I49*(1+((1+'Get Started  2'!$E129)^(1/4)-1))^('Get Started  2'!$H113-1),0)))</f>
        <v>0</v>
      </c>
      <c r="J51" s="29">
        <f ca="1">IF(J76=$E76,SUM($G51:I51)*-1,IF(J77=0,0,IF(J4&lt;&gt;1,(I79+J50/2)*((1+'Get Started  2'!$E129)^(1/4)-1)-J49*(1+((1+'Get Started  2'!$E129)^(1/4)-1))^('Get Started  2'!$H113-1),0)))</f>
        <v>0</v>
      </c>
      <c r="K51" s="29">
        <f ca="1">IF(K76=$E76,SUM($G51:J51)*-1,IF(K77=0,0,IF(K4&lt;&gt;1,(J79+K50/2)*((1+'Get Started  2'!$E129)^(1/4)-1)-K49*(1+((1+'Get Started  2'!$E129)^(1/4)-1))^('Get Started  2'!$H113-1),0)))</f>
        <v>0</v>
      </c>
      <c r="L51" s="29">
        <f ca="1">IF(L76=$E76,SUM($G51:K51)*-1,IF(L77=0,0,IF(L4&lt;&gt;1,(K79+L50/2)*((1+'Get Started  2'!$E129)^(1/4)-1)-L49*(1+((1+'Get Started  2'!$E129)^(1/4)-1))^('Get Started  2'!$H113-1),0)))</f>
        <v>0</v>
      </c>
      <c r="M51" s="29">
        <f ca="1">IF(M76=$E76,SUM($G51:L51)*-1,IF(M77=0,0,IF(M4&lt;&gt;1,(L79+M50/2)*((1+'Get Started  2'!$E129)^(1/4)-1)-M49*(1+((1+'Get Started  2'!$E129)^(1/4)-1))^('Get Started  2'!$H113-1),0)))</f>
        <v>0</v>
      </c>
      <c r="N51" s="29">
        <f ca="1">IF(N76=$E76,SUM($G51:M51)*-1,IF(N77=0,0,IF(N4&lt;&gt;1,(M79+N50/2)*((1+'Get Started  2'!$E129)^(1/4)-1)-N49*(1+((1+'Get Started  2'!$E129)^(1/4)-1))^('Get Started  2'!$H113-1),0)))</f>
        <v>0</v>
      </c>
      <c r="O51" s="29">
        <f ca="1">IF(O76=$E76,SUM($G51:N51)*-1,IF(O77=0,0,IF(O4&lt;&gt;1,(N79+O50/2)*((1+'Get Started  2'!$E129)^(1/4)-1)-O49*(1+((1+'Get Started  2'!$E129)^(1/4)-1))^('Get Started  2'!$H113-1),0)))</f>
        <v>965137.17095001298</v>
      </c>
      <c r="P51" s="29">
        <f ca="1">IF(P76=$E76,SUM($G51:O51)*-1,IF(P77=0,0,IF(P4&lt;&gt;1,(O79+P50/2)*((1+'Get Started  2'!$E129)^(1/4)-1)-P49*(1+((1+'Get Started  2'!$E129)^(1/4)-1))^('Get Started  2'!$H113-1),0)))</f>
        <v>1010301.2705061681</v>
      </c>
      <c r="Q51" s="29">
        <f ca="1">IF(Q76=$E76,SUM($G51:P51)*-1,IF(Q77=0,0,IF(Q4&lt;&gt;1,(P79+Q50/2)*((1+'Get Started  2'!$E129)^(1/4)-1)-Q49*(1+((1+'Get Started  2'!$E129)^(1/4)-1))^('Get Started  2'!$H113-1),0)))</f>
        <v>1055465.3700623233</v>
      </c>
      <c r="R51" s="29">
        <f ca="1">IF(R76=$E76,SUM($G51:Q51)*-1,IF(R77=0,0,IF(R4&lt;&gt;1,(Q79+R50/2)*((1+'Get Started  2'!$E129)^(1/4)-1)-R49*(1+((1+'Get Started  2'!$E129)^(1/4)-1))^('Get Started  2'!$H113-1),0)))</f>
        <v>1100629.4696184786</v>
      </c>
      <c r="S51" s="29">
        <f ca="1">IF(S76=$E76,SUM($G51:R51)*-1,IF(S77=0,0,IF(S4&lt;&gt;1,(R79+S50/2)*((1+'Get Started  2'!$E129)^(1/4)-1)-S49*(1+((1+'Get Started  2'!$E129)^(1/4)-1))^('Get Started  2'!$H113-1),0)))</f>
        <v>506631.23211928818</v>
      </c>
      <c r="T51" s="29">
        <f ca="1">IF(T76=$E76,SUM($G51:S51)*-1,IF(T77=0,0,IF(T4&lt;&gt;1,(S79+T50/2)*((1+'Get Started  2'!$E129)^(1/4)-1)-T49*(1+((1+'Get Started  2'!$E129)^(1/4)-1))^('Get Started  2'!$H113-1),0)))</f>
        <v>551795.33167544345</v>
      </c>
      <c r="U51" s="29">
        <f ca="1">IF(U76=$E76,SUM($G51:T51)*-1,IF(U77=0,0,IF(U4&lt;&gt;1,(T79+U50/2)*((1+'Get Started  2'!$E129)^(1/4)-1)-U49*(1+((1+'Get Started  2'!$E129)^(1/4)-1))^('Get Started  2'!$H113-1),0)))</f>
        <v>596959.43123159849</v>
      </c>
      <c r="V51" s="29">
        <f ca="1">IF(V76=$E76,SUM($G51:U51)*-1,IF(V77=0,0,IF(V4&lt;&gt;1,(U79+V50/2)*((1+'Get Started  2'!$E129)^(1/4)-1)-V49*(1+((1+'Get Started  2'!$E129)^(1/4)-1))^('Get Started  2'!$H113-1),0)))</f>
        <v>642123.53078775376</v>
      </c>
      <c r="W51" s="29">
        <f ca="1">IF(W76=$E76,SUM($G51:V51)*-1,IF(W77=0,0,IF(W4&lt;&gt;1,(V79+W50/2)*((1+'Get Started  2'!$E129)^(1/4)-1)-W49*(1+((1+'Get Started  2'!$E129)^(1/4)-1))^('Get Started  2'!$H113-1),0)))</f>
        <v>264577.03490875382</v>
      </c>
      <c r="X51" s="29">
        <f ca="1">IF(X76=$E76,SUM($G51:W51)*-1,IF(X77=0,0,IF(X4&lt;&gt;1,(W79+X50/2)*((1+'Get Started  2'!$E129)^(1/4)-1)-X49*(1+((1+'Get Started  2'!$E129)^(1/4)-1))^('Get Started  2'!$H113-1),0)))</f>
        <v>152648.61426958651</v>
      </c>
      <c r="Y51" s="29">
        <f ca="1">IF(Y76=$E76,SUM($G51:X51)*-1,IF(Y77=0,0,IF(Y4&lt;&gt;1,(X79+Y50/2)*((1+'Get Started  2'!$E129)^(1/4)-1)-Y49*(1+((1+'Get Started  2'!$E129)^(1/4)-1))^('Get Started  2'!$H113-1),0)))</f>
        <v>40720.193630419206</v>
      </c>
      <c r="Z51" s="29">
        <f ca="1">IF(Z76=$E76,SUM($G51:Y51)*-1,IF(Z77=0,0,IF(Z4&lt;&gt;1,(Y79+Z50/2)*((1+'Get Started  2'!$E129)^(1/4)-1)-Z49*(1+((1+'Get Started  2'!$E129)^(1/4)-1))^('Get Started  2'!$H113-1),0)))</f>
        <v>-71208.227008748101</v>
      </c>
      <c r="AA51" s="29">
        <f ca="1">IF(AA76=$E76,SUM($G51:Z51)*-1,IF(AA77=0,0,IF(AA4&lt;&gt;1,(Z79+AA50/2)*((1+'Get Started  2'!$E129)^(1/4)-1)-AA49*(1+((1+'Get Started  2'!$E129)^(1/4)-1))^('Get Started  2'!$H113-1),0)))</f>
        <v>-191007.63746186858</v>
      </c>
      <c r="AB51" s="29">
        <f ca="1">IF(AB76=$E76,SUM($G51:AA51)*-1,IF(AB77=0,0,IF(AB4&lt;&gt;1,(AA79+AB50/2)*((1+'Get Started  2'!$E129)^(1/4)-1)-AB49*(1+((1+'Get Started  2'!$E129)^(1/4)-1))^('Get Started  2'!$H113-1),0)))</f>
        <v>-318678.03772894212</v>
      </c>
      <c r="AC51" s="29">
        <f ca="1">IF(AC76=$E76,SUM($G51:AB51)*-1,IF(AC77=0,0,IF(AC4&lt;&gt;1,(AB79+AC50/2)*((1+'Get Started  2'!$E129)^(1/4)-1)-AC49*(1+((1+'Get Started  2'!$E129)^(1/4)-1))^('Get Started  2'!$H113-1),0)))</f>
        <v>-446348.43799601577</v>
      </c>
      <c r="AD51" s="29">
        <f ca="1">IF(AD76=$E76,SUM($G51:AC51)*-1,IF(AD77=0,0,IF(AD4&lt;&gt;1,(AC79+AD50/2)*((1+'Get Started  2'!$E129)^(1/4)-1)-AD49*(1+((1+'Get Started  2'!$E129)^(1/4)-1))^('Get Started  2'!$H113-1),0)))</f>
        <v>-574018.83826308942</v>
      </c>
      <c r="AE51" s="29">
        <f ca="1">IF(AE76=$E76,SUM($G51:AD51)*-1,IF(AE77=0,0,IF(AE4&lt;&gt;1,(AD79+AE50/2)*((1+'Get Started  2'!$E129)^(1/4)-1)-AE49*(1+((1+'Get Started  2'!$E129)^(1/4)-1))^('Get Started  2'!$H113-1),0)))</f>
        <v>-949185.7449698929</v>
      </c>
      <c r="AF51" s="29">
        <f ca="1">IF(AF76=$E76,SUM($G51:AE51)*-1,IF(AF77=0,0,IF(AF4&lt;&gt;1,(AE79+AF50/2)*((1+'Get Started  2'!$E129)^(1/4)-1)-AF49*(1+((1+'Get Started  2'!$E129)^(1/4)-1))^('Get Started  2'!$H113-1),0)))</f>
        <v>-999880.81034125842</v>
      </c>
      <c r="AG51" s="29">
        <f ca="1">IF(AG76=$E76,SUM($G51:AF51)*-1,IF(AG77=0,0,IF(AG4&lt;&gt;1,(AF79+AG50/2)*((1+'Get Started  2'!$E129)^(1/4)-1)-AG49*(1+((1+'Get Started  2'!$E129)^(1/4)-1))^('Get Started  2'!$H113-1),0)))</f>
        <v>-1050575.8757126238</v>
      </c>
      <c r="AH51" s="29">
        <f ca="1">IF(AH76=$E76,SUM($G51:AG51)*-1,IF(AH77=0,0,IF(AH4&lt;&gt;1,(AG79+AH50/2)*((1+'Get Started  2'!$E129)^(1/4)-1)-AH49*(1+((1+'Get Started  2'!$E129)^(1/4)-1))^('Get Started  2'!$H113-1),0)))</f>
        <v>-1101270.9410839896</v>
      </c>
      <c r="AI51" s="29">
        <f ca="1">IF(AI76=$E76,SUM($G51:AH51)*-1,IF(AI77=0,0,IF(AI4&lt;&gt;1,(AH79+AI50/2)*((1+'Get Started  2'!$E129)^(1/4)-1)-AI49*(1+((1+'Get Started  2'!$E129)^(1/4)-1))^('Get Started  2'!$H113-1),0)))</f>
        <v>-434847.29170201812</v>
      </c>
      <c r="AJ51" s="29">
        <f ca="1">IF(AJ76=$E76,SUM($G51:AI51)*-1,IF(AJ77=0,0,IF(AJ4&lt;&gt;1,(AI79+AJ50/2)*((1+'Get Started  2'!$E129)^(1/4)-1)-AJ49*(1+((1+'Get Started  2'!$E129)^(1/4)-1))^('Get Started  2'!$H113-1),0)))</f>
        <v>-457462.06908846978</v>
      </c>
      <c r="AK51" s="29">
        <f ca="1">IF(AK76=$E76,SUM($G51:AJ51)*-1,IF(AK77=0,0,IF(AK4&lt;&gt;1,(AJ79+AK50/2)*((1+'Get Started  2'!$E129)^(1/4)-1)-AK49*(1+((1+'Get Started  2'!$E129)^(1/4)-1))^('Get Started  2'!$H113-1),0)))</f>
        <v>-480076.84647492145</v>
      </c>
      <c r="AL51" s="29">
        <f ca="1">IF(AL76=$E76,SUM($G51:AK51)*-1,IF(AL77=0,0,IF(AL4&lt;&gt;1,(AK79+AL50/2)*((1+'Get Started  2'!$E129)^(1/4)-1)-AL49*(1+((1+'Get Started  2'!$E129)^(1/4)-1))^('Get Started  2'!$H113-1),0)))</f>
        <v>-502691.62386137305</v>
      </c>
      <c r="AM51" s="29">
        <f ca="1">IF(AM76=$E76,SUM($G51:AL51)*-1,IF(AM77=0,0,IF(AM4&lt;&gt;1,(AL79+AM50/2)*((1+'Get Started  2'!$E129)^(1/4)-1)-AM49*(1+((1+'Get Started  2'!$E129)^(1/4)-1))^('Get Started  2'!$H113-1),0)))</f>
        <v>-98211.22264764391</v>
      </c>
      <c r="AN51" s="29">
        <f ca="1">IF(AN76=$E76,SUM($G51:AM51)*-1,IF(AN77=0,0,IF(AN4&lt;&gt;1,(AM79+AN50/2)*((1+'Get Started  2'!$E129)^(1/4)-1)-AN49*(1+((1+'Get Started  2'!$E129)^(1/4)-1))^('Get Started  2'!$H113-1),0)))</f>
        <v>-104102.19215496851</v>
      </c>
      <c r="AO51" s="29">
        <f ca="1">IF(AO76=$E76,SUM($G51:AN51)*-1,IF(AO77=0,0,IF(AO4&lt;&gt;1,(AN79+AO50/2)*((1+'Get Started  2'!$E129)^(1/4)-1)-AO49*(1+((1+'Get Started  2'!$E129)^(1/4)-1))^('Get Started  2'!$H113-1),0)))</f>
        <v>-109993.1616622931</v>
      </c>
      <c r="AP51" s="29">
        <f ca="1">IF(AP76=$E76,SUM($G51:AO51)*-1,IF(AP77=0,0,IF(AP4&lt;&gt;1,(AO79+AP50/2)*((1+'Get Started  2'!$E129)^(1/4)-1)-AP49*(1+((1+'Get Started  2'!$E129)^(1/4)-1))^('Get Started  2'!$H113-1),0)))</f>
        <v>-115884.1311696177</v>
      </c>
      <c r="AQ51" s="29">
        <f ca="1">IF(AQ76=$E76,SUM($G51:AP51)*-1,IF(AQ77=0,0,IF(AQ4&lt;&gt;1,(AP79+AQ50/2)*((1+'Get Started  2'!$E129)^(1/4)-1)-AQ49*(1+((1+'Get Started  2'!$E129)^(1/4)-1))^('Get Started  2'!$H113-1),0)))</f>
        <v>-154371.40589300307</v>
      </c>
      <c r="AR51" s="29">
        <f ca="1">IF(AR76=$E76,SUM($G51:AQ51)*-1,IF(AR77=0,0,IF(AR4&lt;&gt;1,(AQ79+AR50/2)*((1+'Get Started  2'!$E129)^(1/4)-1)-AR49*(1+((1+'Get Started  2'!$E129)^(1/4)-1))^('Get Started  2'!$H113-1),0)))</f>
        <v>-161538.75212691465</v>
      </c>
      <c r="AS51" s="29">
        <f ca="1">IF(AS76=$E76,SUM($G51:AR51)*-1,IF(AS77=0,0,IF(AS4&lt;&gt;1,(AR79+AS50/2)*((1+'Get Started  2'!$E129)^(1/4)-1)-AS49*(1+((1+'Get Started  2'!$E129)^(1/4)-1))^('Get Started  2'!$H113-1),0)))</f>
        <v>-168706.09836082623</v>
      </c>
      <c r="AT51" s="29">
        <f ca="1">IF(AT76=$E76,SUM($G51:AS51)*-1,IF(AT77=0,0,IF(AT4&lt;&gt;1,(AS79+AT50/2)*((1+'Get Started  2'!$E129)^(1/4)-1)-AT49*(1+((1+'Get Started  2'!$E129)^(1/4)-1))^('Get Started  2'!$H113-1),0)))</f>
        <v>1603070.6959486513</v>
      </c>
      <c r="AU51" s="29">
        <f ca="1">IF(AU76=$E76,SUM($G51:AT51)*-1,IF(AU77=0,0,IF(AU4&lt;&gt;1,(AT79+AU50/2)*((1+'Get Started  2'!$E129)^(1/4)-1)-AU49*(1+((1+'Get Started  2'!$E129)^(1/4)-1))^('Get Started  2'!$H113-1),0)))</f>
        <v>0</v>
      </c>
      <c r="AV51" s="29">
        <f ca="1">IF(AV76=$E76,SUM($G51:AU51)*-1,IF(AV77=0,0,IF(AV4&lt;&gt;1,(AU79+AV50/2)*((1+'Get Started  2'!$E129)^(1/4)-1)-AV49*(1+((1+'Get Started  2'!$E129)^(1/4)-1))^('Get Started  2'!$H113-1),0)))</f>
        <v>0</v>
      </c>
      <c r="AW51" s="29">
        <f ca="1">IF(AW76=$E76,SUM($G51:AV51)*-1,IF(AW77=0,0,IF(AW4&lt;&gt;1,(AV79+AW50/2)*((1+'Get Started  2'!$E129)^(1/4)-1)-AW49*(1+((1+'Get Started  2'!$E129)^(1/4)-1))^('Get Started  2'!$H113-1),0)))</f>
        <v>0</v>
      </c>
      <c r="AX51" s="29">
        <f ca="1">IF(AX76=$E76,SUM($G51:AW51)*-1,IF(AX77=0,0,IF(AX4&lt;&gt;1,(AW79+AX50/2)*((1+'Get Started  2'!$E129)^(1/4)-1)-AX49*(1+((1+'Get Started  2'!$E129)^(1/4)-1))^('Get Started  2'!$H113-1),0)))</f>
        <v>0</v>
      </c>
      <c r="AY51" s="29">
        <f ca="1">IF(AY76=$E76,SUM($G51:AX51)*-1,IF(AY77=0,0,IF(AY4&lt;&gt;1,(AX79+AY50/2)*((1+'Get Started  2'!$E129)^(1/4)-1)-AY49*(1+((1+'Get Started  2'!$E129)^(1/4)-1))^('Get Started  2'!$H113-1),0)))</f>
        <v>0</v>
      </c>
      <c r="AZ51" s="29">
        <f ca="1">IF(AZ76=$E76,SUM($G51:AY51)*-1,IF(AZ77=0,0,IF(AZ4&lt;&gt;1,(AY79+AZ50/2)*((1+'Get Started  2'!$E129)^(1/4)-1)-AZ49*(1+((1+'Get Started  2'!$E129)^(1/4)-1))^('Get Started  2'!$H113-1),0)))</f>
        <v>0</v>
      </c>
      <c r="BA51" s="29">
        <f ca="1">IF(BA76=$E76,SUM($G51:AZ51)*-1,IF(BA77=0,0,IF(BA4&lt;&gt;1,(AZ79+BA50/2)*((1+'Get Started  2'!$E129)^(1/4)-1)-BA49*(1+((1+'Get Started  2'!$E129)^(1/4)-1))^('Get Started  2'!$H113-1),0)))</f>
        <v>0</v>
      </c>
      <c r="BB51" s="29">
        <f ca="1">IF(BB76=$E76,SUM($G51:BA51)*-1,IF(BB77=0,0,IF(BB4&lt;&gt;1,(BA79+BB50/2)*((1+'Get Started  2'!$E129)^(1/4)-1)-BB49*(1+((1+'Get Started  2'!$E129)^(1/4)-1))^('Get Started  2'!$H113-1),0)))</f>
        <v>0</v>
      </c>
      <c r="BC51" s="29">
        <f ca="1">IF(BC76=$E76,SUM($G51:BB51)*-1,IF(BC77=0,0,IF(BC4&lt;&gt;1,(BB79+BC50/2)*((1+'Get Started  2'!$E129)^(1/4)-1)-BC49*(1+((1+'Get Started  2'!$E129)^(1/4)-1))^('Get Started  2'!$H113-1),0)))</f>
        <v>0</v>
      </c>
      <c r="BD51" s="29">
        <f ca="1">IF(BD76=$E76,SUM($G51:BC51)*-1,IF(BD77=0,0,IF(BD4&lt;&gt;1,(BC79+BD50/2)*((1+'Get Started  2'!$E129)^(1/4)-1)-BD49*(1+((1+'Get Started  2'!$E129)^(1/4)-1))^('Get Started  2'!$H113-1),0)))</f>
        <v>0</v>
      </c>
      <c r="BE51" s="29">
        <f ca="1">IF(BE76=$E76,SUM($G51:BD51)*-1,IF(BE77=0,0,IF(BE4&lt;&gt;1,(BD79+BE50/2)*((1+'Get Started  2'!$E129)^(1/4)-1)-BE49*(1+((1+'Get Started  2'!$E129)^(1/4)-1))^('Get Started  2'!$H113-1),0)))</f>
        <v>0</v>
      </c>
      <c r="BF51" s="29">
        <f ca="1">IF(BF76=$E76,SUM($G51:BE51)*-1,IF(BF77=0,0,IF(BF4&lt;&gt;1,(BE79+BF50/2)*((1+'Get Started  2'!$E129)^(1/4)-1)-BF49*(1+((1+'Get Started  2'!$E129)^(1/4)-1))^('Get Started  2'!$H113-1),0)))</f>
        <v>0</v>
      </c>
      <c r="BG51" s="29">
        <f ca="1">IF(BG76=$E76,SUM($G51:BF51)*-1,IF(BG77=0,0,IF(BG4&lt;&gt;1,(BF79+BG50/2)*((1+'Get Started  2'!$E129)^(1/4)-1)-BG49*(1+((1+'Get Started  2'!$E129)^(1/4)-1))^('Get Started  2'!$H113-1),0)))</f>
        <v>0</v>
      </c>
      <c r="BH51" s="29">
        <f ca="1">IF(BH76=$E76,SUM($G51:BG51)*-1,IF(BH77=0,0,IF(BH4&lt;&gt;1,(BG79+BH50/2)*((1+'Get Started  2'!$E129)^(1/4)-1)-BH49*(1+((1+'Get Started  2'!$E129)^(1/4)-1))^('Get Started  2'!$H113-1),0)))</f>
        <v>0</v>
      </c>
      <c r="BI51" s="29">
        <f ca="1">IF(BI76=$E76,SUM($G51:BH51)*-1,IF(BI77=0,0,IF(BI4&lt;&gt;1,(BH79+BI50/2)*((1+'Get Started  2'!$E129)^(1/4)-1)-BI49*(1+((1+'Get Started  2'!$E129)^(1/4)-1))^('Get Started  2'!$H113-1),0)))</f>
        <v>0</v>
      </c>
      <c r="BJ51" s="29">
        <f ca="1">IF(BJ76=$E76,SUM($G51:BI51)*-1,IF(BJ77=0,0,IF(BJ4&lt;&gt;1,(BI79+BJ50/2)*((1+'Get Started  2'!$E129)^(1/4)-1)-BJ49*(1+((1+'Get Started  2'!$E129)^(1/4)-1))^('Get Started  2'!$H113-1),0)))</f>
        <v>0</v>
      </c>
      <c r="BK51" s="29">
        <f ca="1">IF(BK76=$E76,SUM($G51:BJ51)*-1,IF(BK77=0,0,IF(BK4&lt;&gt;1,(BJ79+BK50/2)*((1+'Get Started  2'!$E129)^(1/4)-1)-BK49*(1+((1+'Get Started  2'!$E129)^(1/4)-1))^('Get Started  2'!$H113-1),0)))</f>
        <v>0</v>
      </c>
      <c r="BL51" s="29">
        <f ca="1">IF(BL76=$E76,SUM($G51:BK51)*-1,IF(BL77=0,0,IF(BL4&lt;&gt;1,(BK79+BL50/2)*((1+'Get Started  2'!$E129)^(1/4)-1)-BL49*(1+((1+'Get Started  2'!$E129)^(1/4)-1))^('Get Started  2'!$H113-1),0)))</f>
        <v>0</v>
      </c>
      <c r="BM51" s="29">
        <f ca="1">IF(BM76=$E76,SUM($G51:BL51)*-1,IF(BM77=0,0,IF(BM4&lt;&gt;1,(BL79+BM50/2)*((1+'Get Started  2'!$E129)^(1/4)-1)-BM49*(1+((1+'Get Started  2'!$E129)^(1/4)-1))^('Get Started  2'!$H113-1),0)))</f>
        <v>0</v>
      </c>
      <c r="BN51" s="29">
        <f ca="1">IF(BN76=$E76,SUM($G51:BM51)*-1,IF(BN77=0,0,IF(BN4&lt;&gt;1,(BM79+BN50/2)*((1+'Get Started  2'!$E129)^(1/4)-1)-BN49*(1+((1+'Get Started  2'!$E129)^(1/4)-1))^('Get Started  2'!$H113-1),0)))</f>
        <v>0</v>
      </c>
      <c r="BO51" s="29">
        <f ca="1">IF(BO76=$E76,SUM($G51:BN51)*-1,IF(BO77=0,0,IF(BO4&lt;&gt;1,(BN79+BO50/2)*((1+'Get Started  2'!$E129)^(1/4)-1)-BO49*(1+((1+'Get Started  2'!$E129)^(1/4)-1))^('Get Started  2'!$H113-1),0)))</f>
        <v>0</v>
      </c>
      <c r="BP51" s="29">
        <f ca="1">IF(BP76=$E76,SUM($G51:BO51)*-1,IF(BP77=0,0,IF(BP4&lt;&gt;1,(BO79+BP50/2)*((1+'Get Started  2'!$E129)^(1/4)-1)-BP49*(1+((1+'Get Started  2'!$E129)^(1/4)-1))^('Get Started  2'!$H113-1),0)))</f>
        <v>0</v>
      </c>
      <c r="BQ51" s="29">
        <f ca="1">IF(BQ76=$E76,SUM($G51:BP51)*-1,IF(BQ77=0,0,IF(BQ4&lt;&gt;1,(BP79+BQ50/2)*((1+'Get Started  2'!$E129)^(1/4)-1)-BQ49*(1+((1+'Get Started  2'!$E129)^(1/4)-1))^('Get Started  2'!$H113-1),0)))</f>
        <v>0</v>
      </c>
      <c r="BR51" s="29">
        <f ca="1">IF(BR76=$E76,SUM($G51:BQ51)*-1,IF(BR77=0,0,IF(BR4&lt;&gt;1,(BQ79+BR50/2)*((1+'Get Started  2'!$E129)^(1/4)-1)-BR49*(1+((1+'Get Started  2'!$E129)^(1/4)-1))^('Get Started  2'!$H113-1),0)))</f>
        <v>0</v>
      </c>
      <c r="BS51" s="29">
        <f ca="1">IF(BS76=$E76,SUM($G51:BR51)*-1,IF(BS77=0,0,IF(BS4&lt;&gt;1,(BR79+BS50/2)*((1+'Get Started  2'!$E129)^(1/4)-1)-BS49*(1+((1+'Get Started  2'!$E129)^(1/4)-1))^('Get Started  2'!$H113-1),0)))</f>
        <v>0</v>
      </c>
      <c r="BT51" s="29">
        <f ca="1">IF(BT76=$E76,SUM($G51:BS51)*-1,IF(BT77=0,0,IF(BT4&lt;&gt;1,(BS79+BT50/2)*((1+'Get Started  2'!$E129)^(1/4)-1)-BT49*(1+((1+'Get Started  2'!$E129)^(1/4)-1))^('Get Started  2'!$H113-1),0)))</f>
        <v>0</v>
      </c>
      <c r="BU51" s="29">
        <f ca="1">IF(BU76=$E76,SUM($G51:BT51)*-1,IF(BU77=0,0,IF(BU4&lt;&gt;1,(BT79+BU50/2)*((1+'Get Started  2'!$E129)^(1/4)-1)-BU49*(1+((1+'Get Started  2'!$E129)^(1/4)-1))^('Get Started  2'!$H113-1),0)))</f>
        <v>0</v>
      </c>
      <c r="BV51" s="29">
        <f ca="1">IF(BV76=$E76,SUM($G51:BU51)*-1,IF(BV77=0,0,IF(BV4&lt;&gt;1,(BU79+BV50/2)*((1+'Get Started  2'!$E129)^(1/4)-1)-BV49*(1+((1+'Get Started  2'!$E129)^(1/4)-1))^('Get Started  2'!$H113-1),0)))</f>
        <v>0</v>
      </c>
      <c r="BW51" s="29">
        <f ca="1">IF(BW76=$E76,SUM($G51:BV51)*-1,IF(BW77=0,0,IF(BW4&lt;&gt;1,(BV79+BW50/2)*((1+'Get Started  2'!$E129)^(1/4)-1)-BW49*(1+((1+'Get Started  2'!$E129)^(1/4)-1))^('Get Started  2'!$H113-1),0)))</f>
        <v>0</v>
      </c>
      <c r="BX51" s="29">
        <f ca="1">IF(BX76=$E76,SUM($G51:BW51)*-1,IF(BX77=0,0,IF(BX4&lt;&gt;1,(BW79+BX50/2)*((1+'Get Started  2'!$E129)^(1/4)-1)-BX49*(1+((1+'Get Started  2'!$E129)^(1/4)-1))^('Get Started  2'!$H113-1),0)))</f>
        <v>0</v>
      </c>
      <c r="BY51" s="29">
        <f ca="1">IF(BY76=$E76,SUM($G51:BX51)*-1,IF(BY77=0,0,IF(BY4&lt;&gt;1,(BX79+BY50/2)*((1+'Get Started  2'!$E129)^(1/4)-1)-BY49*(1+((1+'Get Started  2'!$E129)^(1/4)-1))^('Get Started  2'!$H113-1),0)))</f>
        <v>0</v>
      </c>
      <c r="BZ51" s="29">
        <f ca="1">IF(BZ76=$E76,SUM($G51:BY51)*-1,IF(BZ77=0,0,IF(BZ4&lt;&gt;1,(BY79+BZ50/2)*((1+'Get Started  2'!$E129)^(1/4)-1)-BZ49*(1+((1+'Get Started  2'!$E129)^(1/4)-1))^('Get Started  2'!$H113-1),0)))</f>
        <v>0</v>
      </c>
      <c r="CA51" s="29">
        <f ca="1">IF(CA76=$E76,SUM($G51:BZ51)*-1,IF(CA77=0,0,IF(CA4&lt;&gt;1,(BZ79+CA50/2)*((1+'Get Started  2'!$E129)^(1/4)-1)-CA49*(1+((1+'Get Started  2'!$E129)^(1/4)-1))^('Get Started  2'!$H113-1),0)))</f>
        <v>0</v>
      </c>
      <c r="CB51" s="29">
        <f ca="1">IF(CB76=$E76,SUM($G51:CA51)*-1,IF(CB77=0,0,IF(CB4&lt;&gt;1,(CA79+CB50/2)*((1+'Get Started  2'!$E129)^(1/4)-1)-CB49*(1+((1+'Get Started  2'!$E129)^(1/4)-1))^('Get Started  2'!$H113-1),0)))</f>
        <v>0</v>
      </c>
      <c r="CC51" s="29">
        <f ca="1">IF(CC76=$E76,SUM($G51:CB51)*-1,IF(CC77=0,0,IF(CC4&lt;&gt;1,(CB79+CC50/2)*((1+'Get Started  2'!$E129)^(1/4)-1)-CC49*(1+((1+'Get Started  2'!$E129)^(1/4)-1))^('Get Started  2'!$H113-1),0)))</f>
        <v>0</v>
      </c>
      <c r="CD51" s="29">
        <f ca="1">IF(CD76=$E76,SUM($G51:CC51)*-1,IF(CD77=0,0,IF(CD4&lt;&gt;1,(CC79+CD50/2)*((1+'Get Started  2'!$E129)^(1/4)-1)-CD49*(1+((1+'Get Started  2'!$E129)^(1/4)-1))^('Get Started  2'!$H113-1),0)))</f>
        <v>0</v>
      </c>
      <c r="CE51" s="29">
        <f ca="1">IF(CE76=$E76,SUM($G51:CD51)*-1,IF(CE77=0,0,IF(CE4&lt;&gt;1,(CD79+CE50/2)*((1+'Get Started  2'!$E129)^(1/4)-1)-CE49*(1+((1+'Get Started  2'!$E129)^(1/4)-1))^('Get Started  2'!$H113-1),0)))</f>
        <v>0</v>
      </c>
      <c r="CF51" s="29">
        <f ca="1">IF(CF76=$E76,SUM($G51:CE51)*-1,IF(CF77=0,0,IF(CF4&lt;&gt;1,(CE79+CF50/2)*((1+'Get Started  2'!$E129)^(1/4)-1)-CF49*(1+((1+'Get Started  2'!$E129)^(1/4)-1))^('Get Started  2'!$H113-1),0)))</f>
        <v>0</v>
      </c>
      <c r="CG51" s="29">
        <f ca="1">IF(CG76=$E76,SUM($G51:CF51)*-1,IF(CG77=0,0,IF(CG4&lt;&gt;1,(CF79+CG50/2)*((1+'Get Started  2'!$E129)^(1/4)-1)-CG49*(1+((1+'Get Started  2'!$E129)^(1/4)-1))^('Get Started  2'!$H113-1),0)))</f>
        <v>0</v>
      </c>
      <c r="CH51" s="29">
        <f ca="1">IF(CH76=$E76,SUM($G51:CG51)*-1,IF(CH77=0,0,IF(CH4&lt;&gt;1,(CG79+CH50/2)*((1+'Get Started  2'!$E129)^(1/4)-1)-CH49*(1+((1+'Get Started  2'!$E129)^(1/4)-1))^('Get Started  2'!$H113-1),0)))</f>
        <v>0</v>
      </c>
    </row>
    <row r="52" spans="1:86" ht="13">
      <c r="B52" s="15" t="s">
        <v>278</v>
      </c>
      <c r="C52" s="15" t="s">
        <v>279</v>
      </c>
      <c r="D52" s="15" t="s">
        <v>238</v>
      </c>
      <c r="E52" s="29">
        <f t="shared" ca="1" si="13"/>
        <v>-4.6566128730773926E-10</v>
      </c>
      <c r="F52" s="29"/>
      <c r="G52" s="29">
        <f t="shared" ref="G52:CH52" ca="1" si="20">G51+G50</f>
        <v>1203125</v>
      </c>
      <c r="H52" s="29">
        <f t="shared" ca="1" si="20"/>
        <v>1203125</v>
      </c>
      <c r="I52" s="29">
        <f t="shared" ca="1" si="20"/>
        <v>1203125</v>
      </c>
      <c r="J52" s="29">
        <f t="shared" ca="1" si="20"/>
        <v>1203125</v>
      </c>
      <c r="K52" s="29">
        <f t="shared" ca="1" si="20"/>
        <v>1203125</v>
      </c>
      <c r="L52" s="29">
        <f t="shared" ca="1" si="20"/>
        <v>1203125</v>
      </c>
      <c r="M52" s="29">
        <f t="shared" ca="1" si="20"/>
        <v>1203125</v>
      </c>
      <c r="N52" s="29">
        <f t="shared" ca="1" si="20"/>
        <v>1203125</v>
      </c>
      <c r="O52" s="29">
        <f t="shared" ca="1" si="20"/>
        <v>1426335.0876166797</v>
      </c>
      <c r="P52" s="29">
        <f t="shared" ca="1" si="20"/>
        <v>1471499.1871728348</v>
      </c>
      <c r="Q52" s="29">
        <f t="shared" ca="1" si="20"/>
        <v>1516663.2867289898</v>
      </c>
      <c r="R52" s="29">
        <f t="shared" ca="1" si="20"/>
        <v>1561827.3862851453</v>
      </c>
      <c r="S52" s="29">
        <f t="shared" ca="1" si="20"/>
        <v>967829.14878595481</v>
      </c>
      <c r="T52" s="29">
        <f t="shared" ca="1" si="20"/>
        <v>1012993.2483421101</v>
      </c>
      <c r="U52" s="29">
        <f t="shared" ca="1" si="20"/>
        <v>1058157.3478982651</v>
      </c>
      <c r="V52" s="29">
        <f t="shared" ca="1" si="20"/>
        <v>1103321.4474544204</v>
      </c>
      <c r="W52" s="29">
        <f t="shared" ca="1" si="20"/>
        <v>-878391.71509124618</v>
      </c>
      <c r="X52" s="29">
        <f t="shared" ca="1" si="20"/>
        <v>-990320.13573041349</v>
      </c>
      <c r="Y52" s="29">
        <f t="shared" ca="1" si="20"/>
        <v>-1102248.5563695808</v>
      </c>
      <c r="Z52" s="29">
        <f t="shared" ca="1" si="20"/>
        <v>-1214176.9770087481</v>
      </c>
      <c r="AA52" s="29">
        <f t="shared" ca="1" si="20"/>
        <v>-1494727.2555174241</v>
      </c>
      <c r="AB52" s="29">
        <f t="shared" ca="1" si="20"/>
        <v>-1622397.6557844975</v>
      </c>
      <c r="AC52" s="29">
        <f t="shared" ca="1" si="20"/>
        <v>-1750068.0560515714</v>
      </c>
      <c r="AD52" s="29">
        <f t="shared" ca="1" si="20"/>
        <v>-1877738.4563186448</v>
      </c>
      <c r="AE52" s="29">
        <f t="shared" ca="1" si="20"/>
        <v>-1466863.6963587818</v>
      </c>
      <c r="AF52" s="29">
        <f t="shared" ca="1" si="20"/>
        <v>-1517558.7617301471</v>
      </c>
      <c r="AG52" s="29">
        <f t="shared" ca="1" si="20"/>
        <v>-1568253.8271015126</v>
      </c>
      <c r="AH52" s="29">
        <f t="shared" ca="1" si="20"/>
        <v>-1618948.8924728783</v>
      </c>
      <c r="AI52" s="29">
        <f t="shared" ca="1" si="20"/>
        <v>-665780.45142424025</v>
      </c>
      <c r="AJ52" s="29">
        <f t="shared" ca="1" si="20"/>
        <v>-688395.22881069197</v>
      </c>
      <c r="AK52" s="29">
        <f t="shared" ca="1" si="20"/>
        <v>-711010.00619714358</v>
      </c>
      <c r="AL52" s="29">
        <f t="shared" ca="1" si="20"/>
        <v>-733624.78358359518</v>
      </c>
      <c r="AM52" s="29">
        <f t="shared" ca="1" si="20"/>
        <v>-158367.47264764388</v>
      </c>
      <c r="AN52" s="29">
        <f t="shared" ca="1" si="20"/>
        <v>-164258.44215496848</v>
      </c>
      <c r="AO52" s="29">
        <f t="shared" ca="1" si="20"/>
        <v>-170149.41166229307</v>
      </c>
      <c r="AP52" s="29">
        <f t="shared" ca="1" si="20"/>
        <v>-176040.38116961767</v>
      </c>
      <c r="AQ52" s="29">
        <f t="shared" ca="1" si="20"/>
        <v>-227561.51005966973</v>
      </c>
      <c r="AR52" s="29">
        <f t="shared" ca="1" si="20"/>
        <v>-234728.85629358131</v>
      </c>
      <c r="AS52" s="29">
        <f t="shared" ca="1" si="20"/>
        <v>-241896.20252749289</v>
      </c>
      <c r="AT52" s="29">
        <f t="shared" ca="1" si="20"/>
        <v>1529880.5917819845</v>
      </c>
      <c r="AU52" s="29">
        <f t="shared" ca="1" si="20"/>
        <v>0</v>
      </c>
      <c r="AV52" s="29">
        <f t="shared" ca="1" si="20"/>
        <v>0</v>
      </c>
      <c r="AW52" s="29">
        <f t="shared" ca="1" si="20"/>
        <v>0</v>
      </c>
      <c r="AX52" s="29">
        <f t="shared" ca="1" si="20"/>
        <v>0</v>
      </c>
      <c r="AY52" s="29">
        <f t="shared" ca="1" si="20"/>
        <v>0</v>
      </c>
      <c r="AZ52" s="29">
        <f t="shared" ca="1" si="20"/>
        <v>0</v>
      </c>
      <c r="BA52" s="29">
        <f t="shared" ca="1" si="20"/>
        <v>0</v>
      </c>
      <c r="BB52" s="29">
        <f t="shared" ca="1" si="20"/>
        <v>0</v>
      </c>
      <c r="BC52" s="29">
        <f t="shared" ca="1" si="20"/>
        <v>0</v>
      </c>
      <c r="BD52" s="29">
        <f t="shared" ca="1" si="20"/>
        <v>0</v>
      </c>
      <c r="BE52" s="29">
        <f t="shared" ca="1" si="20"/>
        <v>0</v>
      </c>
      <c r="BF52" s="29">
        <f t="shared" ca="1" si="20"/>
        <v>0</v>
      </c>
      <c r="BG52" s="29">
        <f t="shared" ca="1" si="20"/>
        <v>0</v>
      </c>
      <c r="BH52" s="29">
        <f t="shared" ca="1" si="20"/>
        <v>0</v>
      </c>
      <c r="BI52" s="29">
        <f t="shared" ca="1" si="20"/>
        <v>0</v>
      </c>
      <c r="BJ52" s="29">
        <f t="shared" ca="1" si="20"/>
        <v>0</v>
      </c>
      <c r="BK52" s="29">
        <f t="shared" ca="1" si="20"/>
        <v>0</v>
      </c>
      <c r="BL52" s="29">
        <f t="shared" ca="1" si="20"/>
        <v>0</v>
      </c>
      <c r="BM52" s="29">
        <f t="shared" ca="1" si="20"/>
        <v>0</v>
      </c>
      <c r="BN52" s="29">
        <f t="shared" ca="1" si="20"/>
        <v>0</v>
      </c>
      <c r="BO52" s="29">
        <f t="shared" ca="1" si="20"/>
        <v>0</v>
      </c>
      <c r="BP52" s="29">
        <f t="shared" ca="1" si="20"/>
        <v>0</v>
      </c>
      <c r="BQ52" s="29">
        <f t="shared" ca="1" si="20"/>
        <v>0</v>
      </c>
      <c r="BR52" s="29">
        <f t="shared" ca="1" si="20"/>
        <v>0</v>
      </c>
      <c r="BS52" s="29">
        <f t="shared" ca="1" si="20"/>
        <v>0</v>
      </c>
      <c r="BT52" s="29">
        <f t="shared" ca="1" si="20"/>
        <v>0</v>
      </c>
      <c r="BU52" s="29">
        <f t="shared" ca="1" si="20"/>
        <v>0</v>
      </c>
      <c r="BV52" s="29">
        <f t="shared" ca="1" si="20"/>
        <v>0</v>
      </c>
      <c r="BW52" s="29">
        <f t="shared" ca="1" si="20"/>
        <v>0</v>
      </c>
      <c r="BX52" s="29">
        <f t="shared" ca="1" si="20"/>
        <v>0</v>
      </c>
      <c r="BY52" s="29">
        <f t="shared" ca="1" si="20"/>
        <v>0</v>
      </c>
      <c r="BZ52" s="29">
        <f t="shared" ca="1" si="20"/>
        <v>0</v>
      </c>
      <c r="CA52" s="29">
        <f t="shared" ca="1" si="20"/>
        <v>0</v>
      </c>
      <c r="CB52" s="29">
        <f t="shared" ca="1" si="20"/>
        <v>0</v>
      </c>
      <c r="CC52" s="29">
        <f t="shared" ca="1" si="20"/>
        <v>0</v>
      </c>
      <c r="CD52" s="29">
        <f t="shared" ca="1" si="20"/>
        <v>0</v>
      </c>
      <c r="CE52" s="29">
        <f t="shared" ca="1" si="20"/>
        <v>0</v>
      </c>
      <c r="CF52" s="29">
        <f t="shared" ca="1" si="20"/>
        <v>0</v>
      </c>
      <c r="CG52" s="29">
        <f t="shared" ca="1" si="20"/>
        <v>0</v>
      </c>
      <c r="CH52" s="29">
        <f t="shared" ca="1" si="20"/>
        <v>0</v>
      </c>
    </row>
    <row r="53" spans="1:86" ht="13">
      <c r="B53" s="15" t="s">
        <v>280</v>
      </c>
      <c r="C53" s="15"/>
      <c r="D53" s="15" t="s">
        <v>238</v>
      </c>
      <c r="E53" s="29">
        <f t="shared" ca="1" si="13"/>
        <v>0</v>
      </c>
      <c r="F53" s="29"/>
      <c r="G53" s="29">
        <f t="shared" ref="G53:CH53" ca="1" si="21">G30-G31</f>
        <v>23555625</v>
      </c>
      <c r="H53" s="29">
        <f t="shared" ca="1" si="21"/>
        <v>-1344375</v>
      </c>
      <c r="I53" s="29">
        <f t="shared" ca="1" si="21"/>
        <v>-1344375</v>
      </c>
      <c r="J53" s="29">
        <f t="shared" ca="1" si="21"/>
        <v>-1344375</v>
      </c>
      <c r="K53" s="29">
        <f t="shared" ca="1" si="21"/>
        <v>-1344375</v>
      </c>
      <c r="L53" s="29">
        <f t="shared" ca="1" si="21"/>
        <v>-1344375</v>
      </c>
      <c r="M53" s="29">
        <f t="shared" ca="1" si="21"/>
        <v>-1344375</v>
      </c>
      <c r="N53" s="29">
        <f t="shared" ca="1" si="21"/>
        <v>-1344375</v>
      </c>
      <c r="O53" s="29">
        <f t="shared" ca="1" si="21"/>
        <v>-1344375</v>
      </c>
      <c r="P53" s="29">
        <f t="shared" ca="1" si="21"/>
        <v>-1344375</v>
      </c>
      <c r="Q53" s="29">
        <f t="shared" ca="1" si="21"/>
        <v>-1344375</v>
      </c>
      <c r="R53" s="29">
        <f t="shared" ca="1" si="21"/>
        <v>-1344375</v>
      </c>
      <c r="S53" s="29">
        <f t="shared" ca="1" si="21"/>
        <v>-1344375</v>
      </c>
      <c r="T53" s="29">
        <f t="shared" ca="1" si="21"/>
        <v>-1344375</v>
      </c>
      <c r="U53" s="29">
        <f t="shared" ca="1" si="21"/>
        <v>-1344375</v>
      </c>
      <c r="V53" s="29">
        <f t="shared" ca="1" si="21"/>
        <v>-1344375</v>
      </c>
      <c r="W53" s="29">
        <f t="shared" ca="1" si="21"/>
        <v>-141250</v>
      </c>
      <c r="X53" s="29">
        <f t="shared" ca="1" si="21"/>
        <v>-141250</v>
      </c>
      <c r="Y53" s="29">
        <f t="shared" ca="1" si="21"/>
        <v>-141250</v>
      </c>
      <c r="Z53" s="29">
        <f t="shared" ca="1" si="21"/>
        <v>-141250</v>
      </c>
      <c r="AA53" s="29">
        <f t="shared" ca="1" si="21"/>
        <v>-141250</v>
      </c>
      <c r="AB53" s="29">
        <f t="shared" ca="1" si="21"/>
        <v>-141250</v>
      </c>
      <c r="AC53" s="29">
        <f t="shared" ca="1" si="21"/>
        <v>-141250</v>
      </c>
      <c r="AD53" s="29">
        <f t="shared" ca="1" si="21"/>
        <v>-141250</v>
      </c>
      <c r="AE53" s="29">
        <f t="shared" ca="1" si="21"/>
        <v>-141250</v>
      </c>
      <c r="AF53" s="29">
        <f t="shared" ca="1" si="21"/>
        <v>-141250</v>
      </c>
      <c r="AG53" s="29">
        <f t="shared" ca="1" si="21"/>
        <v>-141250</v>
      </c>
      <c r="AH53" s="29">
        <f t="shared" ca="1" si="21"/>
        <v>-141250</v>
      </c>
      <c r="AI53" s="29">
        <f t="shared" ca="1" si="21"/>
        <v>-141250</v>
      </c>
      <c r="AJ53" s="29">
        <f t="shared" ca="1" si="21"/>
        <v>-141250</v>
      </c>
      <c r="AK53" s="29">
        <f t="shared" ca="1" si="21"/>
        <v>-141250</v>
      </c>
      <c r="AL53" s="29">
        <f t="shared" ca="1" si="21"/>
        <v>-141250</v>
      </c>
      <c r="AM53" s="29">
        <f t="shared" ca="1" si="21"/>
        <v>-141250</v>
      </c>
      <c r="AN53" s="29">
        <f t="shared" ca="1" si="21"/>
        <v>-141250</v>
      </c>
      <c r="AO53" s="29">
        <f t="shared" ca="1" si="21"/>
        <v>-141250</v>
      </c>
      <c r="AP53" s="29">
        <f t="shared" ca="1" si="21"/>
        <v>-141250</v>
      </c>
      <c r="AQ53" s="29">
        <f t="shared" ca="1" si="21"/>
        <v>-141250</v>
      </c>
      <c r="AR53" s="29">
        <f t="shared" ca="1" si="21"/>
        <v>-141250</v>
      </c>
      <c r="AS53" s="29">
        <f t="shared" ca="1" si="21"/>
        <v>-141250</v>
      </c>
      <c r="AT53" s="29">
        <f t="shared" ca="1" si="21"/>
        <v>-141250</v>
      </c>
      <c r="AU53" s="29">
        <f t="shared" ca="1" si="21"/>
        <v>0</v>
      </c>
      <c r="AV53" s="29">
        <f t="shared" ca="1" si="21"/>
        <v>0</v>
      </c>
      <c r="AW53" s="29">
        <f t="shared" ca="1" si="21"/>
        <v>0</v>
      </c>
      <c r="AX53" s="29">
        <f t="shared" ca="1" si="21"/>
        <v>0</v>
      </c>
      <c r="AY53" s="29">
        <f t="shared" ca="1" si="21"/>
        <v>0</v>
      </c>
      <c r="AZ53" s="29">
        <f t="shared" ca="1" si="21"/>
        <v>0</v>
      </c>
      <c r="BA53" s="29">
        <f t="shared" ca="1" si="21"/>
        <v>0</v>
      </c>
      <c r="BB53" s="29">
        <f t="shared" ca="1" si="21"/>
        <v>0</v>
      </c>
      <c r="BC53" s="29">
        <f t="shared" ca="1" si="21"/>
        <v>0</v>
      </c>
      <c r="BD53" s="29">
        <f t="shared" ca="1" si="21"/>
        <v>0</v>
      </c>
      <c r="BE53" s="29">
        <f t="shared" ca="1" si="21"/>
        <v>0</v>
      </c>
      <c r="BF53" s="29">
        <f t="shared" ca="1" si="21"/>
        <v>0</v>
      </c>
      <c r="BG53" s="29">
        <f t="shared" ca="1" si="21"/>
        <v>0</v>
      </c>
      <c r="BH53" s="29">
        <f t="shared" ca="1" si="21"/>
        <v>0</v>
      </c>
      <c r="BI53" s="29">
        <f t="shared" ca="1" si="21"/>
        <v>0</v>
      </c>
      <c r="BJ53" s="29">
        <f t="shared" ca="1" si="21"/>
        <v>0</v>
      </c>
      <c r="BK53" s="29">
        <f t="shared" ca="1" si="21"/>
        <v>0</v>
      </c>
      <c r="BL53" s="29">
        <f t="shared" ca="1" si="21"/>
        <v>0</v>
      </c>
      <c r="BM53" s="29">
        <f t="shared" ca="1" si="21"/>
        <v>0</v>
      </c>
      <c r="BN53" s="29">
        <f t="shared" ca="1" si="21"/>
        <v>0</v>
      </c>
      <c r="BO53" s="29">
        <f t="shared" ca="1" si="21"/>
        <v>0</v>
      </c>
      <c r="BP53" s="29">
        <f t="shared" ca="1" si="21"/>
        <v>0</v>
      </c>
      <c r="BQ53" s="29">
        <f t="shared" ca="1" si="21"/>
        <v>0</v>
      </c>
      <c r="BR53" s="29">
        <f t="shared" ca="1" si="21"/>
        <v>0</v>
      </c>
      <c r="BS53" s="29">
        <f t="shared" ca="1" si="21"/>
        <v>0</v>
      </c>
      <c r="BT53" s="29">
        <f t="shared" ca="1" si="21"/>
        <v>0</v>
      </c>
      <c r="BU53" s="29">
        <f t="shared" ca="1" si="21"/>
        <v>0</v>
      </c>
      <c r="BV53" s="29">
        <f t="shared" ca="1" si="21"/>
        <v>0</v>
      </c>
      <c r="BW53" s="29">
        <f t="shared" ca="1" si="21"/>
        <v>0</v>
      </c>
      <c r="BX53" s="29">
        <f t="shared" ca="1" si="21"/>
        <v>0</v>
      </c>
      <c r="BY53" s="29">
        <f t="shared" ca="1" si="21"/>
        <v>0</v>
      </c>
      <c r="BZ53" s="29">
        <f t="shared" ca="1" si="21"/>
        <v>0</v>
      </c>
      <c r="CA53" s="29">
        <f t="shared" ca="1" si="21"/>
        <v>0</v>
      </c>
      <c r="CB53" s="29">
        <f t="shared" ca="1" si="21"/>
        <v>0</v>
      </c>
      <c r="CC53" s="29">
        <f t="shared" ca="1" si="21"/>
        <v>0</v>
      </c>
      <c r="CD53" s="29">
        <f t="shared" ca="1" si="21"/>
        <v>0</v>
      </c>
      <c r="CE53" s="29">
        <f t="shared" ca="1" si="21"/>
        <v>0</v>
      </c>
      <c r="CF53" s="29">
        <f t="shared" ca="1" si="21"/>
        <v>0</v>
      </c>
      <c r="CG53" s="29">
        <f t="shared" ca="1" si="21"/>
        <v>0</v>
      </c>
      <c r="CH53" s="29">
        <f t="shared" ca="1" si="21"/>
        <v>0</v>
      </c>
    </row>
    <row r="54" spans="1:86" ht="13">
      <c r="A54" s="13"/>
      <c r="B54" s="13" t="s">
        <v>281</v>
      </c>
      <c r="C54" s="13"/>
      <c r="D54" s="13" t="s">
        <v>238</v>
      </c>
      <c r="E54" s="37">
        <f t="shared" si="13"/>
        <v>25000000</v>
      </c>
      <c r="F54" s="48"/>
      <c r="G54" s="37">
        <f>IF($C16=TRUE,G30*(1-'Get Started  2'!$E10),G30)</f>
        <v>25000000</v>
      </c>
      <c r="H54" s="37">
        <f>IF($C16=TRUE,H30*(1-'Get Started  2'!$E10),H30)</f>
        <v>0</v>
      </c>
      <c r="I54" s="37">
        <f>IF($C16=TRUE,I30*(1-'Get Started  2'!$E10),I30)</f>
        <v>0</v>
      </c>
      <c r="J54" s="37">
        <f>IF($C16=TRUE,J30*(1-'Get Started  2'!$E10),J30)</f>
        <v>0</v>
      </c>
      <c r="K54" s="37">
        <f>IF($C16=TRUE,K30*(1-'Get Started  2'!$E10),K30)</f>
        <v>0</v>
      </c>
      <c r="L54" s="37">
        <f>IF($C16=TRUE,L30*(1-'Get Started  2'!$E10),L30)</f>
        <v>0</v>
      </c>
      <c r="M54" s="37">
        <f>IF($C16=TRUE,M30*(1-'Get Started  2'!$E10),M30)</f>
        <v>0</v>
      </c>
      <c r="N54" s="37">
        <f>IF($C16=TRUE,N30*(1-'Get Started  2'!$E10),N30)</f>
        <v>0</v>
      </c>
      <c r="O54" s="37">
        <f>IF($C16=TRUE,O30*(1-'Get Started  2'!$E10),O30)</f>
        <v>0</v>
      </c>
      <c r="P54" s="37">
        <f>IF($C16=TRUE,P30*(1-'Get Started  2'!$E10),P30)</f>
        <v>0</v>
      </c>
      <c r="Q54" s="37">
        <f>IF($C16=TRUE,Q30*(1-'Get Started  2'!$E10),Q30)</f>
        <v>0</v>
      </c>
      <c r="R54" s="37">
        <f>IF($C16=TRUE,R30*(1-'Get Started  2'!$E10),R30)</f>
        <v>0</v>
      </c>
      <c r="S54" s="37">
        <f>IF($C16=TRUE,S30*(1-'Get Started  2'!$E10),S30)</f>
        <v>0</v>
      </c>
      <c r="T54" s="37">
        <f>IF($C16=TRUE,T30*(1-'Get Started  2'!$E10),T30)</f>
        <v>0</v>
      </c>
      <c r="U54" s="37">
        <f>IF($C16=TRUE,U30*(1-'Get Started  2'!$E10),U30)</f>
        <v>0</v>
      </c>
      <c r="V54" s="37">
        <f>IF($C16=TRUE,V30*(1-'Get Started  2'!$E10),V30)</f>
        <v>0</v>
      </c>
      <c r="W54" s="37">
        <f>IF($C16=TRUE,W30*(1-'Get Started  2'!$E10),W30)</f>
        <v>0</v>
      </c>
      <c r="X54" s="37">
        <f>IF($C16=TRUE,X30*(1-'Get Started  2'!$E10),X30)</f>
        <v>0</v>
      </c>
      <c r="Y54" s="37">
        <f>IF($C16=TRUE,Y30*(1-'Get Started  2'!$E10),Y30)</f>
        <v>0</v>
      </c>
      <c r="Z54" s="37">
        <f>IF($C16=TRUE,Z30*(1-'Get Started  2'!$E10),Z30)</f>
        <v>0</v>
      </c>
      <c r="AA54" s="37">
        <f>IF($C16=TRUE,AA30*(1-'Get Started  2'!$E10),AA30)</f>
        <v>0</v>
      </c>
      <c r="AB54" s="37">
        <f>IF($C16=TRUE,AB30*(1-'Get Started  2'!$E10),AB30)</f>
        <v>0</v>
      </c>
      <c r="AC54" s="37">
        <f>IF($C16=TRUE,AC30*(1-'Get Started  2'!$E10),AC30)</f>
        <v>0</v>
      </c>
      <c r="AD54" s="37">
        <f>IF($C16=TRUE,AD30*(1-'Get Started  2'!$E10),AD30)</f>
        <v>0</v>
      </c>
      <c r="AE54" s="37">
        <f>IF($C16=TRUE,AE30*(1-'Get Started  2'!$E10),AE30)</f>
        <v>0</v>
      </c>
      <c r="AF54" s="37">
        <f>IF($C16=TRUE,AF30*(1-'Get Started  2'!$E10),AF30)</f>
        <v>0</v>
      </c>
      <c r="AG54" s="37">
        <f>IF($C16=TRUE,AG30*(1-'Get Started  2'!$E10),AG30)</f>
        <v>0</v>
      </c>
      <c r="AH54" s="37">
        <f>IF($C16=TRUE,AH30*(1-'Get Started  2'!$E10),AH30)</f>
        <v>0</v>
      </c>
      <c r="AI54" s="37">
        <f>IF($C16=TRUE,AI30*(1-'Get Started  2'!$E10),AI30)</f>
        <v>0</v>
      </c>
      <c r="AJ54" s="37">
        <f>IF($C16=TRUE,AJ30*(1-'Get Started  2'!$E10),AJ30)</f>
        <v>0</v>
      </c>
      <c r="AK54" s="37">
        <f>IF($C16=TRUE,AK30*(1-'Get Started  2'!$E10),AK30)</f>
        <v>0</v>
      </c>
      <c r="AL54" s="37">
        <f>IF($C16=TRUE,AL30*(1-'Get Started  2'!$E10),AL30)</f>
        <v>0</v>
      </c>
      <c r="AM54" s="37">
        <f>IF($C16=TRUE,AM30*(1-'Get Started  2'!$E10),AM30)</f>
        <v>0</v>
      </c>
      <c r="AN54" s="37">
        <f>IF($C16=TRUE,AN30*(1-'Get Started  2'!$E10),AN30)</f>
        <v>0</v>
      </c>
      <c r="AO54" s="37">
        <f>IF($C16=TRUE,AO30*(1-'Get Started  2'!$E10),AO30)</f>
        <v>0</v>
      </c>
      <c r="AP54" s="37">
        <f>IF($C16=TRUE,AP30*(1-'Get Started  2'!$E10),AP30)</f>
        <v>0</v>
      </c>
      <c r="AQ54" s="37">
        <f>IF($C16=TRUE,AQ30*(1-'Get Started  2'!$E10),AQ30)</f>
        <v>0</v>
      </c>
      <c r="AR54" s="37">
        <f>IF($C16=TRUE,AR30*(1-'Get Started  2'!$E10),AR30)</f>
        <v>0</v>
      </c>
      <c r="AS54" s="37">
        <f>IF($C16=TRUE,AS30*(1-'Get Started  2'!$E10),AS30)</f>
        <v>0</v>
      </c>
      <c r="AT54" s="37">
        <f>IF($C16=TRUE,AT30*(1-'Get Started  2'!$E10),AT30)</f>
        <v>0</v>
      </c>
      <c r="AU54" s="37">
        <f>IF($C16=TRUE,AU30*(1-'Get Started  2'!$E10),AU30)</f>
        <v>0</v>
      </c>
      <c r="AV54" s="37">
        <f>IF($C16=TRUE,AV30*(1-'Get Started  2'!$E10),AV30)</f>
        <v>0</v>
      </c>
      <c r="AW54" s="37">
        <f>IF($C16=TRUE,AW30*(1-'Get Started  2'!$E10),AW30)</f>
        <v>0</v>
      </c>
      <c r="AX54" s="37">
        <f>IF($C16=TRUE,AX30*(1-'Get Started  2'!$E10),AX30)</f>
        <v>0</v>
      </c>
      <c r="AY54" s="37">
        <f>IF($C16=TRUE,AY30*(1-'Get Started  2'!$E10),AY30)</f>
        <v>0</v>
      </c>
      <c r="AZ54" s="37">
        <f>IF($C16=TRUE,AZ30*(1-'Get Started  2'!$E10),AZ30)</f>
        <v>0</v>
      </c>
      <c r="BA54" s="37">
        <f>IF($C16=TRUE,BA30*(1-'Get Started  2'!$E10),BA30)</f>
        <v>0</v>
      </c>
      <c r="BB54" s="37">
        <f>IF($C16=TRUE,BB30*(1-'Get Started  2'!$E10),BB30)</f>
        <v>0</v>
      </c>
      <c r="BC54" s="37">
        <f>IF($C16=TRUE,BC30*(1-'Get Started  2'!$E10),BC30)</f>
        <v>0</v>
      </c>
      <c r="BD54" s="37">
        <f>IF($C16=TRUE,BD30*(1-'Get Started  2'!$E10),BD30)</f>
        <v>0</v>
      </c>
      <c r="BE54" s="37">
        <f>IF($C16=TRUE,BE30*(1-'Get Started  2'!$E10),BE30)</f>
        <v>0</v>
      </c>
      <c r="BF54" s="37">
        <f>IF($C16=TRUE,BF30*(1-'Get Started  2'!$E10),BF30)</f>
        <v>0</v>
      </c>
      <c r="BG54" s="37">
        <f>IF($C16=TRUE,BG30*(1-'Get Started  2'!$E10),BG30)</f>
        <v>0</v>
      </c>
      <c r="BH54" s="37">
        <f>IF($C16=TRUE,BH30*(1-'Get Started  2'!$E10),BH30)</f>
        <v>0</v>
      </c>
      <c r="BI54" s="37">
        <f>IF($C16=TRUE,BI30*(1-'Get Started  2'!$E10),BI30)</f>
        <v>0</v>
      </c>
      <c r="BJ54" s="37">
        <f>IF($C16=TRUE,BJ30*(1-'Get Started  2'!$E10),BJ30)</f>
        <v>0</v>
      </c>
      <c r="BK54" s="37">
        <f>IF($C16=TRUE,BK30*(1-'Get Started  2'!$E10),BK30)</f>
        <v>0</v>
      </c>
      <c r="BL54" s="37">
        <f>IF($C16=TRUE,BL30*(1-'Get Started  2'!$E10),BL30)</f>
        <v>0</v>
      </c>
      <c r="BM54" s="37">
        <f>IF($C16=TRUE,BM30*(1-'Get Started  2'!$E10),BM30)</f>
        <v>0</v>
      </c>
      <c r="BN54" s="37">
        <f>IF($C16=TRUE,BN30*(1-'Get Started  2'!$E10),BN30)</f>
        <v>0</v>
      </c>
      <c r="BO54" s="37">
        <f>IF($C16=TRUE,BO30*(1-'Get Started  2'!$E10),BO30)</f>
        <v>0</v>
      </c>
      <c r="BP54" s="37">
        <f>IF($C16=TRUE,BP30*(1-'Get Started  2'!$E10),BP30)</f>
        <v>0</v>
      </c>
      <c r="BQ54" s="37">
        <f>IF($C16=TRUE,BQ30*(1-'Get Started  2'!$E10),BQ30)</f>
        <v>0</v>
      </c>
      <c r="BR54" s="37">
        <f>IF($C16=TRUE,BR30*(1-'Get Started  2'!$E10),BR30)</f>
        <v>0</v>
      </c>
      <c r="BS54" s="37">
        <f>IF($C16=TRUE,BS30*(1-'Get Started  2'!$E10),BS30)</f>
        <v>0</v>
      </c>
      <c r="BT54" s="37">
        <f>IF($C16=TRUE,BT30*(1-'Get Started  2'!$E10),BT30)</f>
        <v>0</v>
      </c>
      <c r="BU54" s="37">
        <f>IF($C16=TRUE,BU30*(1-'Get Started  2'!$E10),BU30)</f>
        <v>0</v>
      </c>
      <c r="BV54" s="37">
        <f>IF($C16=TRUE,BV30*(1-'Get Started  2'!$E10),BV30)</f>
        <v>0</v>
      </c>
      <c r="BW54" s="37">
        <f>IF($C16=TRUE,BW30*(1-'Get Started  2'!$E10),BW30)</f>
        <v>0</v>
      </c>
      <c r="BX54" s="37">
        <f>IF($C16=TRUE,BX30*(1-'Get Started  2'!$E10),BX30)</f>
        <v>0</v>
      </c>
      <c r="BY54" s="37">
        <f>IF($C16=TRUE,BY30*(1-'Get Started  2'!$E10),BY30)</f>
        <v>0</v>
      </c>
      <c r="BZ54" s="37">
        <f>IF($C16=TRUE,BZ30*(1-'Get Started  2'!$E10),BZ30)</f>
        <v>0</v>
      </c>
      <c r="CA54" s="37">
        <f>IF($C16=TRUE,CA30*(1-'Get Started  2'!$E10),CA30)</f>
        <v>0</v>
      </c>
      <c r="CB54" s="37">
        <f>IF($C16=TRUE,CB30*(1-'Get Started  2'!$E10),CB30)</f>
        <v>0</v>
      </c>
      <c r="CC54" s="37">
        <f>IF($C16=TRUE,CC30*(1-'Get Started  2'!$E10),CC30)</f>
        <v>0</v>
      </c>
      <c r="CD54" s="37">
        <f>IF($C16=TRUE,CD30*(1-'Get Started  2'!$E10),CD30)</f>
        <v>0</v>
      </c>
      <c r="CE54" s="37">
        <f>IF($C16=TRUE,CE30*(1-'Get Started  2'!$E10),CE30)</f>
        <v>0</v>
      </c>
      <c r="CF54" s="37">
        <f>IF($C16=TRUE,CF30*(1-'Get Started  2'!$E10),CF30)</f>
        <v>0</v>
      </c>
      <c r="CG54" s="37">
        <f>IF($C16=TRUE,CG30*(1-'Get Started  2'!$E10),CG30)</f>
        <v>0</v>
      </c>
      <c r="CH54" s="37">
        <f>IF($C16=TRUE,CH30*(1-'Get Started  2'!$E10),CH30)</f>
        <v>0</v>
      </c>
    </row>
    <row r="55" spans="1:86" ht="13">
      <c r="A55" s="13"/>
      <c r="B55" s="13" t="s">
        <v>282</v>
      </c>
      <c r="C55" s="13"/>
      <c r="D55" s="13" t="s">
        <v>238</v>
      </c>
      <c r="E55" s="37">
        <f t="shared" ca="1" si="13"/>
        <v>25000000</v>
      </c>
      <c r="F55" s="48"/>
      <c r="G55" s="37">
        <f ca="1">IF($C16=TRUE,G31*(1-'Get Started  2'!$E10),G31)</f>
        <v>1444375</v>
      </c>
      <c r="H55" s="37">
        <f ca="1">IF($C16=TRUE,H31*(1-'Get Started  2'!$E10),H31)</f>
        <v>1344375</v>
      </c>
      <c r="I55" s="37">
        <f ca="1">IF($C16=TRUE,I31*(1-'Get Started  2'!$E10),I31)</f>
        <v>1344375</v>
      </c>
      <c r="J55" s="37">
        <f ca="1">IF($C16=TRUE,J31*(1-'Get Started  2'!$E10),J31)</f>
        <v>1344375</v>
      </c>
      <c r="K55" s="37">
        <f ca="1">IF($C16=TRUE,K31*(1-'Get Started  2'!$E10),K31)</f>
        <v>1344375</v>
      </c>
      <c r="L55" s="37">
        <f ca="1">IF($C16=TRUE,L31*(1-'Get Started  2'!$E10),L31)</f>
        <v>1344375</v>
      </c>
      <c r="M55" s="37">
        <f ca="1">IF($C16=TRUE,M31*(1-'Get Started  2'!$E10),M31)</f>
        <v>1344375</v>
      </c>
      <c r="N55" s="37">
        <f ca="1">IF($C16=TRUE,N31*(1-'Get Started  2'!$E10),N31)</f>
        <v>1344375</v>
      </c>
      <c r="O55" s="37">
        <f ca="1">IF($C16=TRUE,O31*(1-'Get Started  2'!$E10),O31)</f>
        <v>1344375</v>
      </c>
      <c r="P55" s="37">
        <f ca="1">IF($C16=TRUE,P31*(1-'Get Started  2'!$E10),P31)</f>
        <v>1344375</v>
      </c>
      <c r="Q55" s="37">
        <f ca="1">IF($C16=TRUE,Q31*(1-'Get Started  2'!$E10),Q31)</f>
        <v>1344375</v>
      </c>
      <c r="R55" s="37">
        <f ca="1">IF($C16=TRUE,R31*(1-'Get Started  2'!$E10),R31)</f>
        <v>1344375</v>
      </c>
      <c r="S55" s="37">
        <f ca="1">IF($C16=TRUE,S31*(1-'Get Started  2'!$E10),S31)</f>
        <v>1344375</v>
      </c>
      <c r="T55" s="37">
        <f ca="1">IF($C16=TRUE,T31*(1-'Get Started  2'!$E10),T31)</f>
        <v>1344375</v>
      </c>
      <c r="U55" s="37">
        <f ca="1">IF($C16=TRUE,U31*(1-'Get Started  2'!$E10),U31)</f>
        <v>1344375</v>
      </c>
      <c r="V55" s="37">
        <f ca="1">IF($C16=TRUE,V31*(1-'Get Started  2'!$E10),V31)</f>
        <v>1344375</v>
      </c>
      <c r="W55" s="37">
        <f ca="1">IF($C16=TRUE,W31*(1-'Get Started  2'!$E10),W31)</f>
        <v>141250</v>
      </c>
      <c r="X55" s="37">
        <f ca="1">IF($C16=TRUE,X31*(1-'Get Started  2'!$E10),X31)</f>
        <v>141250</v>
      </c>
      <c r="Y55" s="37">
        <f ca="1">IF($C16=TRUE,Y31*(1-'Get Started  2'!$E10),Y31)</f>
        <v>141250</v>
      </c>
      <c r="Z55" s="37">
        <f ca="1">IF($C16=TRUE,Z31*(1-'Get Started  2'!$E10),Z31)</f>
        <v>141250</v>
      </c>
      <c r="AA55" s="37">
        <f ca="1">IF($C16=TRUE,AA31*(1-'Get Started  2'!$E10),AA31)</f>
        <v>141250</v>
      </c>
      <c r="AB55" s="37">
        <f ca="1">IF($C16=TRUE,AB31*(1-'Get Started  2'!$E10),AB31)</f>
        <v>141250</v>
      </c>
      <c r="AC55" s="37">
        <f ca="1">IF($C16=TRUE,AC31*(1-'Get Started  2'!$E10),AC31)</f>
        <v>141250</v>
      </c>
      <c r="AD55" s="37">
        <f ca="1">IF($C16=TRUE,AD31*(1-'Get Started  2'!$E10),AD31)</f>
        <v>141250</v>
      </c>
      <c r="AE55" s="37">
        <f ca="1">IF($C16=TRUE,AE31*(1-'Get Started  2'!$E10),AE31)</f>
        <v>141250</v>
      </c>
      <c r="AF55" s="37">
        <f ca="1">IF($C16=TRUE,AF31*(1-'Get Started  2'!$E10),AF31)</f>
        <v>141250</v>
      </c>
      <c r="AG55" s="37">
        <f ca="1">IF($C16=TRUE,AG31*(1-'Get Started  2'!$E10),AG31)</f>
        <v>141250</v>
      </c>
      <c r="AH55" s="37">
        <f ca="1">IF($C16=TRUE,AH31*(1-'Get Started  2'!$E10),AH31)</f>
        <v>141250</v>
      </c>
      <c r="AI55" s="37">
        <f ca="1">IF($C16=TRUE,AI31*(1-'Get Started  2'!$E10),AI31)</f>
        <v>141250</v>
      </c>
      <c r="AJ55" s="37">
        <f ca="1">IF($C16=TRUE,AJ31*(1-'Get Started  2'!$E10),AJ31)</f>
        <v>141250</v>
      </c>
      <c r="AK55" s="37">
        <f ca="1">IF($C16=TRUE,AK31*(1-'Get Started  2'!$E10),AK31)</f>
        <v>141250</v>
      </c>
      <c r="AL55" s="37">
        <f ca="1">IF($C16=TRUE,AL31*(1-'Get Started  2'!$E10),AL31)</f>
        <v>141250</v>
      </c>
      <c r="AM55" s="37">
        <f ca="1">IF($C16=TRUE,AM31*(1-'Get Started  2'!$E10),AM31)</f>
        <v>141250</v>
      </c>
      <c r="AN55" s="37">
        <f ca="1">IF($C16=TRUE,AN31*(1-'Get Started  2'!$E10),AN31)</f>
        <v>141250</v>
      </c>
      <c r="AO55" s="37">
        <f ca="1">IF($C16=TRUE,AO31*(1-'Get Started  2'!$E10),AO31)</f>
        <v>141250</v>
      </c>
      <c r="AP55" s="37">
        <f ca="1">IF($C16=TRUE,AP31*(1-'Get Started  2'!$E10),AP31)</f>
        <v>141250</v>
      </c>
      <c r="AQ55" s="37">
        <f ca="1">IF($C16=TRUE,AQ31*(1-'Get Started  2'!$E10),AQ31)</f>
        <v>141250</v>
      </c>
      <c r="AR55" s="37">
        <f ca="1">IF($C16=TRUE,AR31*(1-'Get Started  2'!$E10),AR31)</f>
        <v>141250</v>
      </c>
      <c r="AS55" s="37">
        <f ca="1">IF($C16=TRUE,AS31*(1-'Get Started  2'!$E10),AS31)</f>
        <v>141250</v>
      </c>
      <c r="AT55" s="37">
        <f ca="1">IF($C16=TRUE,AT31*(1-'Get Started  2'!$E10),AT31)</f>
        <v>141250</v>
      </c>
      <c r="AU55" s="37">
        <f ca="1">IF($C16=TRUE,AU31*(1-'Get Started  2'!$E10),AU31)</f>
        <v>0</v>
      </c>
      <c r="AV55" s="37">
        <f ca="1">IF($C16=TRUE,AV31*(1-'Get Started  2'!$E10),AV31)</f>
        <v>0</v>
      </c>
      <c r="AW55" s="37">
        <f ca="1">IF($C16=TRUE,AW31*(1-'Get Started  2'!$E10),AW31)</f>
        <v>0</v>
      </c>
      <c r="AX55" s="37">
        <f ca="1">IF($C16=TRUE,AX31*(1-'Get Started  2'!$E10),AX31)</f>
        <v>0</v>
      </c>
      <c r="AY55" s="37">
        <f ca="1">IF($C16=TRUE,AY31*(1-'Get Started  2'!$E10),AY31)</f>
        <v>0</v>
      </c>
      <c r="AZ55" s="37">
        <f ca="1">IF($C16=TRUE,AZ31*(1-'Get Started  2'!$E10),AZ31)</f>
        <v>0</v>
      </c>
      <c r="BA55" s="37">
        <f ca="1">IF($C16=TRUE,BA31*(1-'Get Started  2'!$E10),BA31)</f>
        <v>0</v>
      </c>
      <c r="BB55" s="37">
        <f ca="1">IF($C16=TRUE,BB31*(1-'Get Started  2'!$E10),BB31)</f>
        <v>0</v>
      </c>
      <c r="BC55" s="37">
        <f ca="1">IF($C16=TRUE,BC31*(1-'Get Started  2'!$E10),BC31)</f>
        <v>0</v>
      </c>
      <c r="BD55" s="37">
        <f ca="1">IF($C16=TRUE,BD31*(1-'Get Started  2'!$E10),BD31)</f>
        <v>0</v>
      </c>
      <c r="BE55" s="37">
        <f ca="1">IF($C16=TRUE,BE31*(1-'Get Started  2'!$E10),BE31)</f>
        <v>0</v>
      </c>
      <c r="BF55" s="37">
        <f ca="1">IF($C16=TRUE,BF31*(1-'Get Started  2'!$E10),BF31)</f>
        <v>0</v>
      </c>
      <c r="BG55" s="37">
        <f ca="1">IF($C16=TRUE,BG31*(1-'Get Started  2'!$E10),BG31)</f>
        <v>0</v>
      </c>
      <c r="BH55" s="37">
        <f ca="1">IF($C16=TRUE,BH31*(1-'Get Started  2'!$E10),BH31)</f>
        <v>0</v>
      </c>
      <c r="BI55" s="37">
        <f ca="1">IF($C16=TRUE,BI31*(1-'Get Started  2'!$E10),BI31)</f>
        <v>0</v>
      </c>
      <c r="BJ55" s="37">
        <f ca="1">IF($C16=TRUE,BJ31*(1-'Get Started  2'!$E10),BJ31)</f>
        <v>0</v>
      </c>
      <c r="BK55" s="37">
        <f ca="1">IF($C16=TRUE,BK31*(1-'Get Started  2'!$E10),BK31)</f>
        <v>0</v>
      </c>
      <c r="BL55" s="37">
        <f ca="1">IF($C16=TRUE,BL31*(1-'Get Started  2'!$E10),BL31)</f>
        <v>0</v>
      </c>
      <c r="BM55" s="37">
        <f ca="1">IF($C16=TRUE,BM31*(1-'Get Started  2'!$E10),BM31)</f>
        <v>0</v>
      </c>
      <c r="BN55" s="37">
        <f ca="1">IF($C16=TRUE,BN31*(1-'Get Started  2'!$E10),BN31)</f>
        <v>0</v>
      </c>
      <c r="BO55" s="37">
        <f ca="1">IF($C16=TRUE,BO31*(1-'Get Started  2'!$E10),BO31)</f>
        <v>0</v>
      </c>
      <c r="BP55" s="37">
        <f ca="1">IF($C16=TRUE,BP31*(1-'Get Started  2'!$E10),BP31)</f>
        <v>0</v>
      </c>
      <c r="BQ55" s="37">
        <f ca="1">IF($C16=TRUE,BQ31*(1-'Get Started  2'!$E10),BQ31)</f>
        <v>0</v>
      </c>
      <c r="BR55" s="37">
        <f ca="1">IF($C16=TRUE,BR31*(1-'Get Started  2'!$E10),BR31)</f>
        <v>0</v>
      </c>
      <c r="BS55" s="37">
        <f ca="1">IF($C16=TRUE,BS31*(1-'Get Started  2'!$E10),BS31)</f>
        <v>0</v>
      </c>
      <c r="BT55" s="37">
        <f ca="1">IF($C16=TRUE,BT31*(1-'Get Started  2'!$E10),BT31)</f>
        <v>0</v>
      </c>
      <c r="BU55" s="37">
        <f ca="1">IF($C16=TRUE,BU31*(1-'Get Started  2'!$E10),BU31)</f>
        <v>0</v>
      </c>
      <c r="BV55" s="37">
        <f ca="1">IF($C16=TRUE,BV31*(1-'Get Started  2'!$E10),BV31)</f>
        <v>0</v>
      </c>
      <c r="BW55" s="37">
        <f ca="1">IF($C16=TRUE,BW31*(1-'Get Started  2'!$E10),BW31)</f>
        <v>0</v>
      </c>
      <c r="BX55" s="37">
        <f ca="1">IF($C16=TRUE,BX31*(1-'Get Started  2'!$E10),BX31)</f>
        <v>0</v>
      </c>
      <c r="BY55" s="37">
        <f ca="1">IF($C16=TRUE,BY31*(1-'Get Started  2'!$E10),BY31)</f>
        <v>0</v>
      </c>
      <c r="BZ55" s="37">
        <f ca="1">IF($C16=TRUE,BZ31*(1-'Get Started  2'!$E10),BZ31)</f>
        <v>0</v>
      </c>
      <c r="CA55" s="37">
        <f ca="1">IF($C16=TRUE,CA31*(1-'Get Started  2'!$E10),CA31)</f>
        <v>0</v>
      </c>
      <c r="CB55" s="37">
        <f ca="1">IF($C16=TRUE,CB31*(1-'Get Started  2'!$E10),CB31)</f>
        <v>0</v>
      </c>
      <c r="CC55" s="37">
        <f ca="1">IF($C16=TRUE,CC31*(1-'Get Started  2'!$E10),CC31)</f>
        <v>0</v>
      </c>
      <c r="CD55" s="37">
        <f ca="1">IF($C16=TRUE,CD31*(1-'Get Started  2'!$E10),CD31)</f>
        <v>0</v>
      </c>
      <c r="CE55" s="37">
        <f ca="1">IF($C16=TRUE,CE31*(1-'Get Started  2'!$E10),CE31)</f>
        <v>0</v>
      </c>
      <c r="CF55" s="37">
        <f ca="1">IF($C16=TRUE,CF31*(1-'Get Started  2'!$E10),CF31)</f>
        <v>0</v>
      </c>
      <c r="CG55" s="37">
        <f ca="1">IF($C16=TRUE,CG31*(1-'Get Started  2'!$E10),CG31)</f>
        <v>0</v>
      </c>
      <c r="CH55" s="37">
        <f ca="1">IF($C16=TRUE,CH31*(1-'Get Started  2'!$E10),CH31)</f>
        <v>0</v>
      </c>
    </row>
    <row r="56" spans="1:86" ht="13">
      <c r="A56" s="13"/>
      <c r="B56" s="13" t="str">
        <f>B50&amp;", from LPs"</f>
        <v>Change in Invested Capital, from LPs</v>
      </c>
      <c r="C56" s="13"/>
      <c r="D56" s="13" t="s">
        <v>238</v>
      </c>
      <c r="E56" s="37">
        <f t="shared" ca="1" si="13"/>
        <v>-5.2677933126688004E-9</v>
      </c>
      <c r="F56" s="48"/>
      <c r="G56" s="37">
        <f ca="1">IF($C16=TRUE,G50*(1-'Get Started  2'!$E10),G50)</f>
        <v>1203125</v>
      </c>
      <c r="H56" s="37">
        <f ca="1">IF($C16=TRUE,H50*(1-'Get Started  2'!$E10),H50)</f>
        <v>1203125</v>
      </c>
      <c r="I56" s="37">
        <f ca="1">IF($C16=TRUE,I50*(1-'Get Started  2'!$E10),I50)</f>
        <v>1203125</v>
      </c>
      <c r="J56" s="37">
        <f ca="1">IF($C16=TRUE,J50*(1-'Get Started  2'!$E10),J50)</f>
        <v>1203125</v>
      </c>
      <c r="K56" s="37">
        <f ca="1">IF($C16=TRUE,K50*(1-'Get Started  2'!$E10),K50)</f>
        <v>1203125</v>
      </c>
      <c r="L56" s="37">
        <f ca="1">IF($C16=TRUE,L50*(1-'Get Started  2'!$E10),L50)</f>
        <v>1203125</v>
      </c>
      <c r="M56" s="37">
        <f ca="1">IF($C16=TRUE,M50*(1-'Get Started  2'!$E10),M50)</f>
        <v>1203125</v>
      </c>
      <c r="N56" s="37">
        <f ca="1">IF($C16=TRUE,N50*(1-'Get Started  2'!$E10),N50)</f>
        <v>1203125</v>
      </c>
      <c r="O56" s="37">
        <f ca="1">IF($C16=TRUE,O50*(1-'Get Started  2'!$E10),O50)</f>
        <v>461197.91666666663</v>
      </c>
      <c r="P56" s="37">
        <f ca="1">IF($C16=TRUE,P50*(1-'Get Started  2'!$E10),P50)</f>
        <v>461197.91666666663</v>
      </c>
      <c r="Q56" s="37">
        <f ca="1">IF($C16=TRUE,Q50*(1-'Get Started  2'!$E10),Q50)</f>
        <v>461197.91666666663</v>
      </c>
      <c r="R56" s="37">
        <f ca="1">IF($C16=TRUE,R50*(1-'Get Started  2'!$E10),R50)</f>
        <v>461197.91666666663</v>
      </c>
      <c r="S56" s="37">
        <f ca="1">IF($C16=TRUE,S50*(1-'Get Started  2'!$E10),S50)</f>
        <v>461197.91666666657</v>
      </c>
      <c r="T56" s="37">
        <f ca="1">IF($C16=TRUE,T50*(1-'Get Started  2'!$E10),T50)</f>
        <v>461197.91666666657</v>
      </c>
      <c r="U56" s="37">
        <f ca="1">IF($C16=TRUE,U50*(1-'Get Started  2'!$E10),U50)</f>
        <v>461197.91666666657</v>
      </c>
      <c r="V56" s="37">
        <f ca="1">IF($C16=TRUE,V50*(1-'Get Started  2'!$E10),V50)</f>
        <v>461197.91666666657</v>
      </c>
      <c r="W56" s="37">
        <f ca="1">IF($C16=TRUE,W50*(1-'Get Started  2'!$E10),W50)</f>
        <v>-1142968.75</v>
      </c>
      <c r="X56" s="37">
        <f ca="1">IF($C16=TRUE,X50*(1-'Get Started  2'!$E10),X50)</f>
        <v>-1142968.75</v>
      </c>
      <c r="Y56" s="37">
        <f ca="1">IF($C16=TRUE,Y50*(1-'Get Started  2'!$E10),Y50)</f>
        <v>-1142968.75</v>
      </c>
      <c r="Z56" s="37">
        <f ca="1">IF($C16=TRUE,Z50*(1-'Get Started  2'!$E10),Z50)</f>
        <v>-1142968.75</v>
      </c>
      <c r="AA56" s="37">
        <f ca="1">IF($C16=TRUE,AA50*(1-'Get Started  2'!$E10),AA50)</f>
        <v>-1303719.6180555555</v>
      </c>
      <c r="AB56" s="37">
        <f ca="1">IF($C16=TRUE,AB50*(1-'Get Started  2'!$E10),AB50)</f>
        <v>-1303719.6180555555</v>
      </c>
      <c r="AC56" s="37">
        <f ca="1">IF($C16=TRUE,AC50*(1-'Get Started  2'!$E10),AC50)</f>
        <v>-1303719.6180555555</v>
      </c>
      <c r="AD56" s="37">
        <f ca="1">IF($C16=TRUE,AD50*(1-'Get Started  2'!$E10),AD50)</f>
        <v>-1303719.6180555555</v>
      </c>
      <c r="AE56" s="37">
        <f ca="1">IF($C16=TRUE,AE50*(1-'Get Started  2'!$E10),AE50)</f>
        <v>-517677.95138888876</v>
      </c>
      <c r="AF56" s="37">
        <f ca="1">IF($C16=TRUE,AF50*(1-'Get Started  2'!$E10),AF50)</f>
        <v>-517677.95138888876</v>
      </c>
      <c r="AG56" s="37">
        <f ca="1">IF($C16=TRUE,AG50*(1-'Get Started  2'!$E10),AG50)</f>
        <v>-517677.95138888876</v>
      </c>
      <c r="AH56" s="37">
        <f ca="1">IF($C16=TRUE,AH50*(1-'Get Started  2'!$E10),AH50)</f>
        <v>-517677.95138888876</v>
      </c>
      <c r="AI56" s="37">
        <f ca="1">IF($C16=TRUE,AI50*(1-'Get Started  2'!$E10),AI50)</f>
        <v>-230933.15972222216</v>
      </c>
      <c r="AJ56" s="37">
        <f ca="1">IF($C16=TRUE,AJ50*(1-'Get Started  2'!$E10),AJ50)</f>
        <v>-230933.15972222216</v>
      </c>
      <c r="AK56" s="37">
        <f ca="1">IF($C16=TRUE,AK50*(1-'Get Started  2'!$E10),AK50)</f>
        <v>-230933.15972222216</v>
      </c>
      <c r="AL56" s="37">
        <f ca="1">IF($C16=TRUE,AL50*(1-'Get Started  2'!$E10),AL50)</f>
        <v>-230933.15972222216</v>
      </c>
      <c r="AM56" s="37">
        <f ca="1">IF($C16=TRUE,AM50*(1-'Get Started  2'!$E10),AM50)</f>
        <v>-60156.249999999978</v>
      </c>
      <c r="AN56" s="37">
        <f ca="1">IF($C16=TRUE,AN50*(1-'Get Started  2'!$E10),AN50)</f>
        <v>-60156.249999999978</v>
      </c>
      <c r="AO56" s="37">
        <f ca="1">IF($C16=TRUE,AO50*(1-'Get Started  2'!$E10),AO50)</f>
        <v>-60156.249999999978</v>
      </c>
      <c r="AP56" s="37">
        <f ca="1">IF($C16=TRUE,AP50*(1-'Get Started  2'!$E10),AP50)</f>
        <v>-60156.249999999978</v>
      </c>
      <c r="AQ56" s="37">
        <f ca="1">IF($C16=TRUE,AQ50*(1-'Get Started  2'!$E10),AQ50)</f>
        <v>-73190.104166666642</v>
      </c>
      <c r="AR56" s="37">
        <f ca="1">IF($C16=TRUE,AR50*(1-'Get Started  2'!$E10),AR50)</f>
        <v>-73190.104166666642</v>
      </c>
      <c r="AS56" s="37">
        <f ca="1">IF($C16=TRUE,AS50*(1-'Get Started  2'!$E10),AS50)</f>
        <v>-73190.104166666642</v>
      </c>
      <c r="AT56" s="37">
        <f ca="1">IF($C16=TRUE,AT50*(1-'Get Started  2'!$E10),AT50)</f>
        <v>-73190.104166666642</v>
      </c>
      <c r="AU56" s="37">
        <f ca="1">IF($C16=TRUE,AU50*(1-'Get Started  2'!$E10),AU50)</f>
        <v>0</v>
      </c>
      <c r="AV56" s="37">
        <f ca="1">IF($C16=TRUE,AV50*(1-'Get Started  2'!$E10),AV50)</f>
        <v>0</v>
      </c>
      <c r="AW56" s="37">
        <f ca="1">IF($C16=TRUE,AW50*(1-'Get Started  2'!$E10),AW50)</f>
        <v>0</v>
      </c>
      <c r="AX56" s="37">
        <f ca="1">IF($C16=TRUE,AX50*(1-'Get Started  2'!$E10),AX50)</f>
        <v>0</v>
      </c>
      <c r="AY56" s="37">
        <f ca="1">IF($C16=TRUE,AY50*(1-'Get Started  2'!$E10),AY50)</f>
        <v>0</v>
      </c>
      <c r="AZ56" s="37">
        <f ca="1">IF($C16=TRUE,AZ50*(1-'Get Started  2'!$E10),AZ50)</f>
        <v>0</v>
      </c>
      <c r="BA56" s="37">
        <f ca="1">IF($C16=TRUE,BA50*(1-'Get Started  2'!$E10),BA50)</f>
        <v>0</v>
      </c>
      <c r="BB56" s="37">
        <f ca="1">IF($C16=TRUE,BB50*(1-'Get Started  2'!$E10),BB50)</f>
        <v>0</v>
      </c>
      <c r="BC56" s="37">
        <f ca="1">IF($C16=TRUE,BC50*(1-'Get Started  2'!$E10),BC50)</f>
        <v>0</v>
      </c>
      <c r="BD56" s="37">
        <f ca="1">IF($C16=TRUE,BD50*(1-'Get Started  2'!$E10),BD50)</f>
        <v>0</v>
      </c>
      <c r="BE56" s="37">
        <f ca="1">IF($C16=TRUE,BE50*(1-'Get Started  2'!$E10),BE50)</f>
        <v>0</v>
      </c>
      <c r="BF56" s="37">
        <f ca="1">IF($C16=TRUE,BF50*(1-'Get Started  2'!$E10),BF50)</f>
        <v>0</v>
      </c>
      <c r="BG56" s="37">
        <f ca="1">IF($C16=TRUE,BG50*(1-'Get Started  2'!$E10),BG50)</f>
        <v>0</v>
      </c>
      <c r="BH56" s="37">
        <f ca="1">IF($C16=TRUE,BH50*(1-'Get Started  2'!$E10),BH50)</f>
        <v>0</v>
      </c>
      <c r="BI56" s="37">
        <f ca="1">IF($C16=TRUE,BI50*(1-'Get Started  2'!$E10),BI50)</f>
        <v>0</v>
      </c>
      <c r="BJ56" s="37">
        <f ca="1">IF($C16=TRUE,BJ50*(1-'Get Started  2'!$E10),BJ50)</f>
        <v>0</v>
      </c>
      <c r="BK56" s="37">
        <f ca="1">IF($C16=TRUE,BK50*(1-'Get Started  2'!$E10),BK50)</f>
        <v>0</v>
      </c>
      <c r="BL56" s="37">
        <f ca="1">IF($C16=TRUE,BL50*(1-'Get Started  2'!$E10),BL50)</f>
        <v>0</v>
      </c>
      <c r="BM56" s="37">
        <f ca="1">IF($C16=TRUE,BM50*(1-'Get Started  2'!$E10),BM50)</f>
        <v>0</v>
      </c>
      <c r="BN56" s="37">
        <f ca="1">IF($C16=TRUE,BN50*(1-'Get Started  2'!$E10),BN50)</f>
        <v>0</v>
      </c>
      <c r="BO56" s="37">
        <f ca="1">IF($C16=TRUE,BO50*(1-'Get Started  2'!$E10),BO50)</f>
        <v>0</v>
      </c>
      <c r="BP56" s="37">
        <f ca="1">IF($C16=TRUE,BP50*(1-'Get Started  2'!$E10),BP50)</f>
        <v>0</v>
      </c>
      <c r="BQ56" s="37">
        <f ca="1">IF($C16=TRUE,BQ50*(1-'Get Started  2'!$E10),BQ50)</f>
        <v>0</v>
      </c>
      <c r="BR56" s="37">
        <f ca="1">IF($C16=TRUE,BR50*(1-'Get Started  2'!$E10),BR50)</f>
        <v>0</v>
      </c>
      <c r="BS56" s="37">
        <f ca="1">IF($C16=TRUE,BS50*(1-'Get Started  2'!$E10),BS50)</f>
        <v>0</v>
      </c>
      <c r="BT56" s="37">
        <f ca="1">IF($C16=TRUE,BT50*(1-'Get Started  2'!$E10),BT50)</f>
        <v>0</v>
      </c>
      <c r="BU56" s="37">
        <f ca="1">IF($C16=TRUE,BU50*(1-'Get Started  2'!$E10),BU50)</f>
        <v>0</v>
      </c>
      <c r="BV56" s="37">
        <f ca="1">IF($C16=TRUE,BV50*(1-'Get Started  2'!$E10),BV50)</f>
        <v>0</v>
      </c>
      <c r="BW56" s="37">
        <f ca="1">IF($C16=TRUE,BW50*(1-'Get Started  2'!$E10),BW50)</f>
        <v>0</v>
      </c>
      <c r="BX56" s="37">
        <f ca="1">IF($C16=TRUE,BX50*(1-'Get Started  2'!$E10),BX50)</f>
        <v>0</v>
      </c>
      <c r="BY56" s="37">
        <f ca="1">IF($C16=TRUE,BY50*(1-'Get Started  2'!$E10),BY50)</f>
        <v>0</v>
      </c>
      <c r="BZ56" s="37">
        <f ca="1">IF($C16=TRUE,BZ50*(1-'Get Started  2'!$E10),BZ50)</f>
        <v>0</v>
      </c>
      <c r="CA56" s="37">
        <f ca="1">IF($C16=TRUE,CA50*(1-'Get Started  2'!$E10),CA50)</f>
        <v>0</v>
      </c>
      <c r="CB56" s="37">
        <f ca="1">IF($C16=TRUE,CB50*(1-'Get Started  2'!$E10),CB50)</f>
        <v>0</v>
      </c>
      <c r="CC56" s="37">
        <f ca="1">IF($C16=TRUE,CC50*(1-'Get Started  2'!$E10),CC50)</f>
        <v>0</v>
      </c>
      <c r="CD56" s="37">
        <f ca="1">IF($C16=TRUE,CD50*(1-'Get Started  2'!$E10),CD50)</f>
        <v>0</v>
      </c>
      <c r="CE56" s="37">
        <f ca="1">IF($C16=TRUE,CE50*(1-'Get Started  2'!$E10),CE50)</f>
        <v>0</v>
      </c>
      <c r="CF56" s="37">
        <f ca="1">IF($C16=TRUE,CF50*(1-'Get Started  2'!$E10),CF50)</f>
        <v>0</v>
      </c>
      <c r="CG56" s="37">
        <f ca="1">IF($C16=TRUE,CG50*(1-'Get Started  2'!$E10),CG50)</f>
        <v>0</v>
      </c>
      <c r="CH56" s="37">
        <f ca="1">IF($C16=TRUE,CH50*(1-'Get Started  2'!$E10),CH50)</f>
        <v>0</v>
      </c>
    </row>
    <row r="57" spans="1:86" ht="13">
      <c r="A57" s="13"/>
      <c r="B57" s="13" t="s">
        <v>283</v>
      </c>
      <c r="C57" s="13"/>
      <c r="D57" s="13" t="s">
        <v>238</v>
      </c>
      <c r="E57" s="37">
        <f t="shared" ca="1" si="13"/>
        <v>79087775.841666713</v>
      </c>
      <c r="F57" s="48"/>
      <c r="G57" s="37">
        <f t="shared" ref="G57:CH57" ca="1" si="22">G47-G58+G46+G45</f>
        <v>0</v>
      </c>
      <c r="H57" s="37">
        <f t="shared" ca="1" si="22"/>
        <v>0</v>
      </c>
      <c r="I57" s="37">
        <f t="shared" ca="1" si="22"/>
        <v>0</v>
      </c>
      <c r="J57" s="37">
        <f t="shared" ca="1" si="22"/>
        <v>0</v>
      </c>
      <c r="K57" s="37">
        <f t="shared" ca="1" si="22"/>
        <v>0</v>
      </c>
      <c r="L57" s="37">
        <f t="shared" ca="1" si="22"/>
        <v>0</v>
      </c>
      <c r="M57" s="37">
        <f t="shared" ca="1" si="22"/>
        <v>0</v>
      </c>
      <c r="N57" s="37">
        <f t="shared" ca="1" si="22"/>
        <v>0</v>
      </c>
      <c r="O57" s="37">
        <f t="shared" ca="1" si="22"/>
        <v>0</v>
      </c>
      <c r="P57" s="37">
        <f t="shared" ca="1" si="22"/>
        <v>0</v>
      </c>
      <c r="Q57" s="37">
        <f t="shared" ca="1" si="22"/>
        <v>0</v>
      </c>
      <c r="R57" s="37">
        <f t="shared" ca="1" si="22"/>
        <v>0</v>
      </c>
      <c r="S57" s="37">
        <f t="shared" ca="1" si="22"/>
        <v>1032072.7083333338</v>
      </c>
      <c r="T57" s="37">
        <f t="shared" ca="1" si="22"/>
        <v>1032072.7083333338</v>
      </c>
      <c r="U57" s="37">
        <f t="shared" ca="1" si="22"/>
        <v>1032072.7083333338</v>
      </c>
      <c r="V57" s="37">
        <f t="shared" ca="1" si="22"/>
        <v>1032072.7083333338</v>
      </c>
      <c r="W57" s="37">
        <f t="shared" ca="1" si="22"/>
        <v>3887369.0625000005</v>
      </c>
      <c r="X57" s="37">
        <f t="shared" ca="1" si="22"/>
        <v>3743719.7925724643</v>
      </c>
      <c r="Y57" s="37">
        <f t="shared" ca="1" si="22"/>
        <v>3385883.3922924912</v>
      </c>
      <c r="Z57" s="37">
        <f t="shared" ca="1" si="22"/>
        <v>3385883.3922924902</v>
      </c>
      <c r="AA57" s="37">
        <f t="shared" ca="1" si="22"/>
        <v>3424699.2684453232</v>
      </c>
      <c r="AB57" s="37">
        <f t="shared" ca="1" si="22"/>
        <v>3424699.2684453237</v>
      </c>
      <c r="AC57" s="37">
        <f t="shared" ca="1" si="22"/>
        <v>3424699.2684453237</v>
      </c>
      <c r="AD57" s="37">
        <f t="shared" ca="1" si="22"/>
        <v>3424699.2684453237</v>
      </c>
      <c r="AE57" s="37">
        <f t="shared" ca="1" si="22"/>
        <v>4795126.7219038215</v>
      </c>
      <c r="AF57" s="37">
        <f t="shared" ca="1" si="22"/>
        <v>4795126.7219038215</v>
      </c>
      <c r="AG57" s="37">
        <f t="shared" ca="1" si="22"/>
        <v>4795126.7219038215</v>
      </c>
      <c r="AH57" s="37">
        <f t="shared" ca="1" si="22"/>
        <v>4795126.7219038215</v>
      </c>
      <c r="AI57" s="37">
        <f t="shared" ca="1" si="22"/>
        <v>3923323.3289690372</v>
      </c>
      <c r="AJ57" s="37">
        <f t="shared" ca="1" si="22"/>
        <v>3923323.3289690372</v>
      </c>
      <c r="AK57" s="37">
        <f t="shared" ca="1" si="22"/>
        <v>3923323.3289690372</v>
      </c>
      <c r="AL57" s="37">
        <f t="shared" ca="1" si="22"/>
        <v>3923323.3289690372</v>
      </c>
      <c r="AM57" s="37">
        <f t="shared" ca="1" si="22"/>
        <v>1351582.566699604</v>
      </c>
      <c r="AN57" s="37">
        <f t="shared" ca="1" si="22"/>
        <v>1351582.566699604</v>
      </c>
      <c r="AO57" s="37">
        <f t="shared" ca="1" si="22"/>
        <v>1351582.566699604</v>
      </c>
      <c r="AP57" s="37">
        <f t="shared" ca="1" si="22"/>
        <v>1351582.566699604</v>
      </c>
      <c r="AQ57" s="37">
        <f t="shared" ca="1" si="22"/>
        <v>1644425.4561511851</v>
      </c>
      <c r="AR57" s="37">
        <f t="shared" ca="1" si="22"/>
        <v>1644425.4561511851</v>
      </c>
      <c r="AS57" s="37">
        <f t="shared" ca="1" si="22"/>
        <v>1644425.4561511851</v>
      </c>
      <c r="AT57" s="37">
        <f t="shared" ca="1" si="22"/>
        <v>1644425.4561511851</v>
      </c>
      <c r="AU57" s="37">
        <f t="shared" ca="1" si="22"/>
        <v>0</v>
      </c>
      <c r="AV57" s="37">
        <f t="shared" ca="1" si="22"/>
        <v>0</v>
      </c>
      <c r="AW57" s="37">
        <f t="shared" ca="1" si="22"/>
        <v>0</v>
      </c>
      <c r="AX57" s="37">
        <f t="shared" ca="1" si="22"/>
        <v>0</v>
      </c>
      <c r="AY57" s="37">
        <f t="shared" ca="1" si="22"/>
        <v>0</v>
      </c>
      <c r="AZ57" s="37">
        <f t="shared" ca="1" si="22"/>
        <v>0</v>
      </c>
      <c r="BA57" s="37">
        <f t="shared" ca="1" si="22"/>
        <v>0</v>
      </c>
      <c r="BB57" s="37">
        <f t="shared" ca="1" si="22"/>
        <v>0</v>
      </c>
      <c r="BC57" s="37">
        <f t="shared" ca="1" si="22"/>
        <v>0</v>
      </c>
      <c r="BD57" s="37">
        <f t="shared" ca="1" si="22"/>
        <v>0</v>
      </c>
      <c r="BE57" s="37">
        <f t="shared" ca="1" si="22"/>
        <v>0</v>
      </c>
      <c r="BF57" s="37">
        <f t="shared" ca="1" si="22"/>
        <v>0</v>
      </c>
      <c r="BG57" s="37">
        <f t="shared" ca="1" si="22"/>
        <v>0</v>
      </c>
      <c r="BH57" s="37">
        <f t="shared" ca="1" si="22"/>
        <v>0</v>
      </c>
      <c r="BI57" s="37">
        <f t="shared" ca="1" si="22"/>
        <v>0</v>
      </c>
      <c r="BJ57" s="37">
        <f t="shared" ca="1" si="22"/>
        <v>0</v>
      </c>
      <c r="BK57" s="37">
        <f t="shared" ca="1" si="22"/>
        <v>0</v>
      </c>
      <c r="BL57" s="37">
        <f t="shared" ca="1" si="22"/>
        <v>0</v>
      </c>
      <c r="BM57" s="37">
        <f t="shared" ca="1" si="22"/>
        <v>0</v>
      </c>
      <c r="BN57" s="37">
        <f t="shared" ca="1" si="22"/>
        <v>0</v>
      </c>
      <c r="BO57" s="37">
        <f t="shared" ca="1" si="22"/>
        <v>0</v>
      </c>
      <c r="BP57" s="37">
        <f t="shared" ca="1" si="22"/>
        <v>0</v>
      </c>
      <c r="BQ57" s="37">
        <f t="shared" ca="1" si="22"/>
        <v>0</v>
      </c>
      <c r="BR57" s="37">
        <f t="shared" ca="1" si="22"/>
        <v>0</v>
      </c>
      <c r="BS57" s="37">
        <f t="shared" ca="1" si="22"/>
        <v>0</v>
      </c>
      <c r="BT57" s="37">
        <f t="shared" ca="1" si="22"/>
        <v>0</v>
      </c>
      <c r="BU57" s="37">
        <f t="shared" ca="1" si="22"/>
        <v>0</v>
      </c>
      <c r="BV57" s="37">
        <f t="shared" ca="1" si="22"/>
        <v>0</v>
      </c>
      <c r="BW57" s="37">
        <f t="shared" ca="1" si="22"/>
        <v>0</v>
      </c>
      <c r="BX57" s="37">
        <f t="shared" ca="1" si="22"/>
        <v>0</v>
      </c>
      <c r="BY57" s="37">
        <f t="shared" ca="1" si="22"/>
        <v>0</v>
      </c>
      <c r="BZ57" s="37">
        <f t="shared" ca="1" si="22"/>
        <v>0</v>
      </c>
      <c r="CA57" s="37">
        <f t="shared" ca="1" si="22"/>
        <v>0</v>
      </c>
      <c r="CB57" s="37">
        <f t="shared" ca="1" si="22"/>
        <v>0</v>
      </c>
      <c r="CC57" s="37">
        <f t="shared" ca="1" si="22"/>
        <v>0</v>
      </c>
      <c r="CD57" s="37">
        <f t="shared" ca="1" si="22"/>
        <v>0</v>
      </c>
      <c r="CE57" s="37">
        <f t="shared" ca="1" si="22"/>
        <v>0</v>
      </c>
      <c r="CF57" s="37">
        <f t="shared" ca="1" si="22"/>
        <v>0</v>
      </c>
      <c r="CG57" s="37">
        <f t="shared" ca="1" si="22"/>
        <v>0</v>
      </c>
      <c r="CH57" s="37">
        <f t="shared" ca="1" si="22"/>
        <v>0</v>
      </c>
    </row>
    <row r="58" spans="1:86" ht="13">
      <c r="A58" s="13"/>
      <c r="B58" s="13" t="s">
        <v>284</v>
      </c>
      <c r="C58" s="13"/>
      <c r="D58" s="13" t="s">
        <v>238</v>
      </c>
      <c r="E58" s="37">
        <f t="shared" ca="1" si="13"/>
        <v>15539489.262499992</v>
      </c>
      <c r="F58" s="48"/>
      <c r="G58" s="37">
        <f ca="1">IF($C16=TRUE,G46+G45,G46+G45+G47*'Get Started  2'!$E10)</f>
        <v>0</v>
      </c>
      <c r="H58" s="37">
        <f ca="1">IF($C16=TRUE,H46+H45,H46+H45+H47*'Get Started  2'!$E10)</f>
        <v>0</v>
      </c>
      <c r="I58" s="37">
        <f ca="1">IF($C16=TRUE,I46+I45,I46+I45+I47*'Get Started  2'!$E10)</f>
        <v>0</v>
      </c>
      <c r="J58" s="37">
        <f ca="1">IF($C16=TRUE,J46+J45,J46+J45+J47*'Get Started  2'!$E10)</f>
        <v>0</v>
      </c>
      <c r="K58" s="37">
        <f ca="1">IF($C16=TRUE,K46+K45,K46+K45+K47*'Get Started  2'!$E10)</f>
        <v>0</v>
      </c>
      <c r="L58" s="37">
        <f ca="1">IF($C16=TRUE,L46+L45,L46+L45+L47*'Get Started  2'!$E10)</f>
        <v>0</v>
      </c>
      <c r="M58" s="37">
        <f ca="1">IF($C16=TRUE,M46+M45,M46+M45+M47*'Get Started  2'!$E10)</f>
        <v>0</v>
      </c>
      <c r="N58" s="37">
        <f ca="1">IF($C16=TRUE,N46+N45,N46+N45+N47*'Get Started  2'!$E10)</f>
        <v>0</v>
      </c>
      <c r="O58" s="37">
        <f ca="1">IF($C16=TRUE,O46+O45,O46+O45+O47*'Get Started  2'!$E10)</f>
        <v>0</v>
      </c>
      <c r="P58" s="37">
        <f ca="1">IF($C16=TRUE,P46+P45,P46+P45+P47*'Get Started  2'!$E10)</f>
        <v>0</v>
      </c>
      <c r="Q58" s="37">
        <f ca="1">IF($C16=TRUE,Q46+Q45,Q46+Q45+Q47*'Get Started  2'!$E10)</f>
        <v>0</v>
      </c>
      <c r="R58" s="37">
        <f ca="1">IF($C16=TRUE,R46+R45,R46+R45+R47*'Get Started  2'!$E10)</f>
        <v>0</v>
      </c>
      <c r="S58" s="37">
        <f ca="1">IF($C16=TRUE,S46+S45,S46+S45+S47*'Get Started  2'!$E10)</f>
        <v>21062.708333333343</v>
      </c>
      <c r="T58" s="37">
        <f ca="1">IF($C16=TRUE,T46+T45,T46+T45+T47*'Get Started  2'!$E10)</f>
        <v>21062.708333333343</v>
      </c>
      <c r="U58" s="37">
        <f ca="1">IF($C16=TRUE,U46+U45,U46+U45+U47*'Get Started  2'!$E10)</f>
        <v>21062.708333333343</v>
      </c>
      <c r="V58" s="37">
        <f ca="1">IF($C16=TRUE,V46+V45,V46+V45+V47*'Get Started  2'!$E10)</f>
        <v>21062.708333333343</v>
      </c>
      <c r="W58" s="37">
        <f ca="1">IF($C16=TRUE,W46+W45,W46+W45+W47*'Get Started  2'!$E10)</f>
        <v>79334.062500000015</v>
      </c>
      <c r="X58" s="37">
        <f ca="1">IF($C16=TRUE,X46+X45,X46+X45+X47*'Get Started  2'!$E10)</f>
        <v>222983.33242753631</v>
      </c>
      <c r="Y58" s="37">
        <f ca="1">IF($C16=TRUE,Y46+Y45,Y46+Y45+Y47*'Get Started  2'!$E10)</f>
        <v>580819.73270750989</v>
      </c>
      <c r="Z58" s="37">
        <f ca="1">IF($C16=TRUE,Z46+Z45,Z46+Z45+Z47*'Get Started  2'!$E10)</f>
        <v>580819.73270750977</v>
      </c>
      <c r="AA58" s="37">
        <f ca="1">IF($C16=TRUE,AA46+AA45,AA46+AA45+AA47*'Get Started  2'!$E10)</f>
        <v>542003.85655467748</v>
      </c>
      <c r="AB58" s="37">
        <f ca="1">IF($C16=TRUE,AB46+AB45,AB46+AB45+AB47*'Get Started  2'!$E10)</f>
        <v>542003.85655467701</v>
      </c>
      <c r="AC58" s="37">
        <f ca="1">IF($C16=TRUE,AC46+AC45,AC46+AC45+AC47*'Get Started  2'!$E10)</f>
        <v>542003.85655467701</v>
      </c>
      <c r="AD58" s="37">
        <f ca="1">IF($C16=TRUE,AD46+AD45,AD46+AD45+AD47*'Get Started  2'!$E10)</f>
        <v>542003.85655467701</v>
      </c>
      <c r="AE58" s="37">
        <f ca="1">IF($C16=TRUE,AE46+AE45,AE46+AE45+AE47*'Get Started  2'!$E10)</f>
        <v>1161665.465596179</v>
      </c>
      <c r="AF58" s="37">
        <f ca="1">IF($C16=TRUE,AF46+AF45,AF46+AF45+AF47*'Get Started  2'!$E10)</f>
        <v>1161665.465596179</v>
      </c>
      <c r="AG58" s="37">
        <f ca="1">IF($C16=TRUE,AG46+AG45,AG46+AG45+AG47*'Get Started  2'!$E10)</f>
        <v>1161665.465596179</v>
      </c>
      <c r="AH58" s="37">
        <f ca="1">IF($C16=TRUE,AH46+AH45,AH46+AH45+AH47*'Get Started  2'!$E10)</f>
        <v>1161665.465596179</v>
      </c>
      <c r="AI58" s="37">
        <f ca="1">IF($C16=TRUE,AI46+AI45,AI46+AI45+AI47*'Get Started  2'!$E10)</f>
        <v>1009789.9522809617</v>
      </c>
      <c r="AJ58" s="37">
        <f ca="1">IF($C16=TRUE,AJ46+AJ45,AJ46+AJ45+AJ47*'Get Started  2'!$E10)</f>
        <v>1009789.9522809617</v>
      </c>
      <c r="AK58" s="37">
        <f ca="1">IF($C16=TRUE,AK46+AK45,AK46+AK45+AK47*'Get Started  2'!$E10)</f>
        <v>1009789.9522809617</v>
      </c>
      <c r="AL58" s="37">
        <f ca="1">IF($C16=TRUE,AL46+AL45,AL46+AL45+AL47*'Get Started  2'!$E10)</f>
        <v>1009789.9522809617</v>
      </c>
      <c r="AM58" s="37">
        <f ca="1">IF($C16=TRUE,AM46+AM45,AM46+AM45+AM47*'Get Started  2'!$E10)</f>
        <v>353847.12080039538</v>
      </c>
      <c r="AN58" s="37">
        <f ca="1">IF($C16=TRUE,AN46+AN45,AN46+AN45+AN47*'Get Started  2'!$E10)</f>
        <v>353847.12080039538</v>
      </c>
      <c r="AO58" s="37">
        <f ca="1">IF($C16=TRUE,AO46+AO45,AO46+AO45+AO47*'Get Started  2'!$E10)</f>
        <v>353847.12080039538</v>
      </c>
      <c r="AP58" s="37">
        <f ca="1">IF($C16=TRUE,AP46+AP45,AP46+AP45+AP47*'Get Started  2'!$E10)</f>
        <v>353847.12080039538</v>
      </c>
      <c r="AQ58" s="37">
        <f ca="1">IF($C16=TRUE,AQ46+AQ45,AQ46+AQ45+AQ47*'Get Started  2'!$E10)</f>
        <v>430513.99697381421</v>
      </c>
      <c r="AR58" s="37">
        <f ca="1">IF($C16=TRUE,AR46+AR45,AR46+AR45+AR47*'Get Started  2'!$E10)</f>
        <v>430513.99697381421</v>
      </c>
      <c r="AS58" s="37">
        <f ca="1">IF($C16=TRUE,AS46+AS45,AS46+AS45+AS47*'Get Started  2'!$E10)</f>
        <v>430513.99697381421</v>
      </c>
      <c r="AT58" s="37">
        <f ca="1">IF($C16=TRUE,AT46+AT45,AT46+AT45+AT47*'Get Started  2'!$E10)</f>
        <v>430513.99697381421</v>
      </c>
      <c r="AU58" s="37">
        <f ca="1">IF($C16=TRUE,AU46+AU45,AU46+AU45+AU47*'Get Started  2'!$E10)</f>
        <v>0</v>
      </c>
      <c r="AV58" s="37">
        <f ca="1">IF($C16=TRUE,AV46+AV45,AV46+AV45+AV47*'Get Started  2'!$E10)</f>
        <v>0</v>
      </c>
      <c r="AW58" s="37">
        <f ca="1">IF($C16=TRUE,AW46+AW45,AW46+AW45+AW47*'Get Started  2'!$E10)</f>
        <v>0</v>
      </c>
      <c r="AX58" s="37">
        <f ca="1">IF($C16=TRUE,AX46+AX45,AX46+AX45+AX47*'Get Started  2'!$E10)</f>
        <v>0</v>
      </c>
      <c r="AY58" s="37">
        <f ca="1">IF($C16=TRUE,AY46+AY45,AY46+AY45+AY47*'Get Started  2'!$E10)</f>
        <v>0</v>
      </c>
      <c r="AZ58" s="37">
        <f ca="1">IF($C16=TRUE,AZ46+AZ45,AZ46+AZ45+AZ47*'Get Started  2'!$E10)</f>
        <v>0</v>
      </c>
      <c r="BA58" s="37">
        <f ca="1">IF($C16=TRUE,BA46+BA45,BA46+BA45+BA47*'Get Started  2'!$E10)</f>
        <v>0</v>
      </c>
      <c r="BB58" s="37">
        <f ca="1">IF($C16=TRUE,BB46+BB45,BB46+BB45+BB47*'Get Started  2'!$E10)</f>
        <v>0</v>
      </c>
      <c r="BC58" s="37">
        <f ca="1">IF($C16=TRUE,BC46+BC45,BC46+BC45+BC47*'Get Started  2'!$E10)</f>
        <v>0</v>
      </c>
      <c r="BD58" s="37">
        <f ca="1">IF($C16=TRUE,BD46+BD45,BD46+BD45+BD47*'Get Started  2'!$E10)</f>
        <v>0</v>
      </c>
      <c r="BE58" s="37">
        <f ca="1">IF($C16=TRUE,BE46+BE45,BE46+BE45+BE47*'Get Started  2'!$E10)</f>
        <v>0</v>
      </c>
      <c r="BF58" s="37">
        <f ca="1">IF($C16=TRUE,BF46+BF45,BF46+BF45+BF47*'Get Started  2'!$E10)</f>
        <v>0</v>
      </c>
      <c r="BG58" s="37">
        <f ca="1">IF($C16=TRUE,BG46+BG45,BG46+BG45+BG47*'Get Started  2'!$E10)</f>
        <v>0</v>
      </c>
      <c r="BH58" s="37">
        <f ca="1">IF($C16=TRUE,BH46+BH45,BH46+BH45+BH47*'Get Started  2'!$E10)</f>
        <v>0</v>
      </c>
      <c r="BI58" s="37">
        <f ca="1">IF($C16=TRUE,BI46+BI45,BI46+BI45+BI47*'Get Started  2'!$E10)</f>
        <v>0</v>
      </c>
      <c r="BJ58" s="37">
        <f ca="1">IF($C16=TRUE,BJ46+BJ45,BJ46+BJ45+BJ47*'Get Started  2'!$E10)</f>
        <v>0</v>
      </c>
      <c r="BK58" s="37">
        <f ca="1">IF($C16=TRUE,BK46+BK45,BK46+BK45+BK47*'Get Started  2'!$E10)</f>
        <v>0</v>
      </c>
      <c r="BL58" s="37">
        <f ca="1">IF($C16=TRUE,BL46+BL45,BL46+BL45+BL47*'Get Started  2'!$E10)</f>
        <v>0</v>
      </c>
      <c r="BM58" s="37">
        <f ca="1">IF($C16=TRUE,BM46+BM45,BM46+BM45+BM47*'Get Started  2'!$E10)</f>
        <v>0</v>
      </c>
      <c r="BN58" s="37">
        <f ca="1">IF($C16=TRUE,BN46+BN45,BN46+BN45+BN47*'Get Started  2'!$E10)</f>
        <v>0</v>
      </c>
      <c r="BO58" s="37">
        <f ca="1">IF($C16=TRUE,BO46+BO45,BO46+BO45+BO47*'Get Started  2'!$E10)</f>
        <v>0</v>
      </c>
      <c r="BP58" s="37">
        <f ca="1">IF($C16=TRUE,BP46+BP45,BP46+BP45+BP47*'Get Started  2'!$E10)</f>
        <v>0</v>
      </c>
      <c r="BQ58" s="37">
        <f ca="1">IF($C16=TRUE,BQ46+BQ45,BQ46+BQ45+BQ47*'Get Started  2'!$E10)</f>
        <v>0</v>
      </c>
      <c r="BR58" s="37">
        <f ca="1">IF($C16=TRUE,BR46+BR45,BR46+BR45+BR47*'Get Started  2'!$E10)</f>
        <v>0</v>
      </c>
      <c r="BS58" s="37">
        <f ca="1">IF($C16=TRUE,BS46+BS45,BS46+BS45+BS47*'Get Started  2'!$E10)</f>
        <v>0</v>
      </c>
      <c r="BT58" s="37">
        <f ca="1">IF($C16=TRUE,BT46+BT45,BT46+BT45+BT47*'Get Started  2'!$E10)</f>
        <v>0</v>
      </c>
      <c r="BU58" s="37">
        <f ca="1">IF($C16=TRUE,BU46+BU45,BU46+BU45+BU47*'Get Started  2'!$E10)</f>
        <v>0</v>
      </c>
      <c r="BV58" s="37">
        <f ca="1">IF($C16=TRUE,BV46+BV45,BV46+BV45+BV47*'Get Started  2'!$E10)</f>
        <v>0</v>
      </c>
      <c r="BW58" s="37">
        <f ca="1">IF($C16=TRUE,BW46+BW45,BW46+BW45+BW47*'Get Started  2'!$E10)</f>
        <v>0</v>
      </c>
      <c r="BX58" s="37">
        <f ca="1">IF($C16=TRUE,BX46+BX45,BX46+BX45+BX47*'Get Started  2'!$E10)</f>
        <v>0</v>
      </c>
      <c r="BY58" s="37">
        <f ca="1">IF($C16=TRUE,BY46+BY45,BY46+BY45+BY47*'Get Started  2'!$E10)</f>
        <v>0</v>
      </c>
      <c r="BZ58" s="37">
        <f ca="1">IF($C16=TRUE,BZ46+BZ45,BZ46+BZ45+BZ47*'Get Started  2'!$E10)</f>
        <v>0</v>
      </c>
      <c r="CA58" s="37">
        <f ca="1">IF($C16=TRUE,CA46+CA45,CA46+CA45+CA47*'Get Started  2'!$E10)</f>
        <v>0</v>
      </c>
      <c r="CB58" s="37">
        <f ca="1">IF($C16=TRUE,CB46+CB45,CB46+CB45+CB47*'Get Started  2'!$E10)</f>
        <v>0</v>
      </c>
      <c r="CC58" s="37">
        <f ca="1">IF($C16=TRUE,CC46+CC45,CC46+CC45+CC47*'Get Started  2'!$E10)</f>
        <v>0</v>
      </c>
      <c r="CD58" s="37">
        <f ca="1">IF($C16=TRUE,CD46+CD45,CD46+CD45+CD47*'Get Started  2'!$E10)</f>
        <v>0</v>
      </c>
      <c r="CE58" s="37">
        <f ca="1">IF($C16=TRUE,CE46+CE45,CE46+CE45+CE47*'Get Started  2'!$E10)</f>
        <v>0</v>
      </c>
      <c r="CF58" s="37">
        <f ca="1">IF($C16=TRUE,CF46+CF45,CF46+CF45+CF47*'Get Started  2'!$E10)</f>
        <v>0</v>
      </c>
      <c r="CG58" s="37">
        <f ca="1">IF($C16=TRUE,CG46+CG45,CG46+CG45+CG47*'Get Started  2'!$E10)</f>
        <v>0</v>
      </c>
      <c r="CH58" s="37">
        <f ca="1">IF($C16=TRUE,CH46+CH45,CH46+CH45+CH47*'Get Started  2'!$E10)</f>
        <v>0</v>
      </c>
    </row>
    <row r="59" spans="1:86" ht="13">
      <c r="B59" s="15" t="str">
        <f t="shared" ref="B59:B87" si="23">"Cumulative "&amp;B30</f>
        <v>Cumulative Committed Capital</v>
      </c>
      <c r="C59" s="15"/>
      <c r="D59" s="15" t="s">
        <v>247</v>
      </c>
      <c r="E59" s="29">
        <f t="shared" si="13"/>
        <v>25000000</v>
      </c>
      <c r="F59" s="29"/>
      <c r="G59" s="29">
        <f t="shared" ref="G59:CH59" si="24">F59+G30</f>
        <v>25000000</v>
      </c>
      <c r="H59" s="29">
        <f t="shared" si="24"/>
        <v>25000000</v>
      </c>
      <c r="I59" s="29">
        <f t="shared" si="24"/>
        <v>25000000</v>
      </c>
      <c r="J59" s="29">
        <f t="shared" si="24"/>
        <v>25000000</v>
      </c>
      <c r="K59" s="29">
        <f t="shared" si="24"/>
        <v>25000000</v>
      </c>
      <c r="L59" s="29">
        <f t="shared" si="24"/>
        <v>25000000</v>
      </c>
      <c r="M59" s="29">
        <f t="shared" si="24"/>
        <v>25000000</v>
      </c>
      <c r="N59" s="29">
        <f t="shared" si="24"/>
        <v>25000000</v>
      </c>
      <c r="O59" s="29">
        <f t="shared" si="24"/>
        <v>25000000</v>
      </c>
      <c r="P59" s="29">
        <f t="shared" si="24"/>
        <v>25000000</v>
      </c>
      <c r="Q59" s="29">
        <f t="shared" si="24"/>
        <v>25000000</v>
      </c>
      <c r="R59" s="29">
        <f t="shared" si="24"/>
        <v>25000000</v>
      </c>
      <c r="S59" s="29">
        <f t="shared" si="24"/>
        <v>25000000</v>
      </c>
      <c r="T59" s="29">
        <f t="shared" si="24"/>
        <v>25000000</v>
      </c>
      <c r="U59" s="29">
        <f t="shared" si="24"/>
        <v>25000000</v>
      </c>
      <c r="V59" s="29">
        <f t="shared" si="24"/>
        <v>25000000</v>
      </c>
      <c r="W59" s="29">
        <f t="shared" si="24"/>
        <v>25000000</v>
      </c>
      <c r="X59" s="29">
        <f t="shared" si="24"/>
        <v>25000000</v>
      </c>
      <c r="Y59" s="29">
        <f t="shared" si="24"/>
        <v>25000000</v>
      </c>
      <c r="Z59" s="29">
        <f t="shared" si="24"/>
        <v>25000000</v>
      </c>
      <c r="AA59" s="29">
        <f t="shared" si="24"/>
        <v>25000000</v>
      </c>
      <c r="AB59" s="29">
        <f t="shared" si="24"/>
        <v>25000000</v>
      </c>
      <c r="AC59" s="29">
        <f t="shared" si="24"/>
        <v>25000000</v>
      </c>
      <c r="AD59" s="29">
        <f t="shared" si="24"/>
        <v>25000000</v>
      </c>
      <c r="AE59" s="29">
        <f t="shared" si="24"/>
        <v>25000000</v>
      </c>
      <c r="AF59" s="29">
        <f t="shared" si="24"/>
        <v>25000000</v>
      </c>
      <c r="AG59" s="29">
        <f t="shared" si="24"/>
        <v>25000000</v>
      </c>
      <c r="AH59" s="29">
        <f t="shared" si="24"/>
        <v>25000000</v>
      </c>
      <c r="AI59" s="29">
        <f t="shared" si="24"/>
        <v>25000000</v>
      </c>
      <c r="AJ59" s="29">
        <f t="shared" si="24"/>
        <v>25000000</v>
      </c>
      <c r="AK59" s="29">
        <f t="shared" si="24"/>
        <v>25000000</v>
      </c>
      <c r="AL59" s="29">
        <f t="shared" si="24"/>
        <v>25000000</v>
      </c>
      <c r="AM59" s="29">
        <f t="shared" si="24"/>
        <v>25000000</v>
      </c>
      <c r="AN59" s="29">
        <f t="shared" si="24"/>
        <v>25000000</v>
      </c>
      <c r="AO59" s="29">
        <f t="shared" si="24"/>
        <v>25000000</v>
      </c>
      <c r="AP59" s="29">
        <f t="shared" si="24"/>
        <v>25000000</v>
      </c>
      <c r="AQ59" s="29">
        <f t="shared" si="24"/>
        <v>25000000</v>
      </c>
      <c r="AR59" s="29">
        <f t="shared" si="24"/>
        <v>25000000</v>
      </c>
      <c r="AS59" s="29">
        <f t="shared" si="24"/>
        <v>25000000</v>
      </c>
      <c r="AT59" s="29">
        <f t="shared" si="24"/>
        <v>25000000</v>
      </c>
      <c r="AU59" s="29">
        <f t="shared" si="24"/>
        <v>25000000</v>
      </c>
      <c r="AV59" s="29">
        <f t="shared" si="24"/>
        <v>25000000</v>
      </c>
      <c r="AW59" s="29">
        <f t="shared" si="24"/>
        <v>25000000</v>
      </c>
      <c r="AX59" s="29">
        <f t="shared" si="24"/>
        <v>25000000</v>
      </c>
      <c r="AY59" s="29">
        <f t="shared" si="24"/>
        <v>25000000</v>
      </c>
      <c r="AZ59" s="29">
        <f t="shared" si="24"/>
        <v>25000000</v>
      </c>
      <c r="BA59" s="29">
        <f t="shared" si="24"/>
        <v>25000000</v>
      </c>
      <c r="BB59" s="29">
        <f t="shared" si="24"/>
        <v>25000000</v>
      </c>
      <c r="BC59" s="29">
        <f t="shared" si="24"/>
        <v>25000000</v>
      </c>
      <c r="BD59" s="29">
        <f t="shared" si="24"/>
        <v>25000000</v>
      </c>
      <c r="BE59" s="29">
        <f t="shared" si="24"/>
        <v>25000000</v>
      </c>
      <c r="BF59" s="29">
        <f t="shared" si="24"/>
        <v>25000000</v>
      </c>
      <c r="BG59" s="29">
        <f t="shared" si="24"/>
        <v>25000000</v>
      </c>
      <c r="BH59" s="29">
        <f t="shared" si="24"/>
        <v>25000000</v>
      </c>
      <c r="BI59" s="29">
        <f t="shared" si="24"/>
        <v>25000000</v>
      </c>
      <c r="BJ59" s="29">
        <f t="shared" si="24"/>
        <v>25000000</v>
      </c>
      <c r="BK59" s="29">
        <f t="shared" si="24"/>
        <v>25000000</v>
      </c>
      <c r="BL59" s="29">
        <f t="shared" si="24"/>
        <v>25000000</v>
      </c>
      <c r="BM59" s="29">
        <f t="shared" si="24"/>
        <v>25000000</v>
      </c>
      <c r="BN59" s="29">
        <f t="shared" si="24"/>
        <v>25000000</v>
      </c>
      <c r="BO59" s="29">
        <f t="shared" si="24"/>
        <v>25000000</v>
      </c>
      <c r="BP59" s="29">
        <f t="shared" si="24"/>
        <v>25000000</v>
      </c>
      <c r="BQ59" s="29">
        <f t="shared" si="24"/>
        <v>25000000</v>
      </c>
      <c r="BR59" s="29">
        <f t="shared" si="24"/>
        <v>25000000</v>
      </c>
      <c r="BS59" s="29">
        <f t="shared" si="24"/>
        <v>25000000</v>
      </c>
      <c r="BT59" s="29">
        <f t="shared" si="24"/>
        <v>25000000</v>
      </c>
      <c r="BU59" s="29">
        <f t="shared" si="24"/>
        <v>25000000</v>
      </c>
      <c r="BV59" s="29">
        <f t="shared" si="24"/>
        <v>25000000</v>
      </c>
      <c r="BW59" s="29">
        <f t="shared" si="24"/>
        <v>25000000</v>
      </c>
      <c r="BX59" s="29">
        <f t="shared" si="24"/>
        <v>25000000</v>
      </c>
      <c r="BY59" s="29">
        <f t="shared" si="24"/>
        <v>25000000</v>
      </c>
      <c r="BZ59" s="29">
        <f t="shared" si="24"/>
        <v>25000000</v>
      </c>
      <c r="CA59" s="29">
        <f t="shared" si="24"/>
        <v>25000000</v>
      </c>
      <c r="CB59" s="29">
        <f t="shared" si="24"/>
        <v>25000000</v>
      </c>
      <c r="CC59" s="29">
        <f t="shared" si="24"/>
        <v>25000000</v>
      </c>
      <c r="CD59" s="29">
        <f t="shared" si="24"/>
        <v>25000000</v>
      </c>
      <c r="CE59" s="29">
        <f t="shared" si="24"/>
        <v>25000000</v>
      </c>
      <c r="CF59" s="29">
        <f t="shared" si="24"/>
        <v>25000000</v>
      </c>
      <c r="CG59" s="29">
        <f t="shared" si="24"/>
        <v>25000000</v>
      </c>
      <c r="CH59" s="29">
        <f t="shared" si="24"/>
        <v>25000000</v>
      </c>
    </row>
    <row r="60" spans="1:86" ht="13">
      <c r="B60" s="15" t="str">
        <f t="shared" si="23"/>
        <v>Cumulative Called Capital</v>
      </c>
      <c r="C60" s="15"/>
      <c r="D60" s="15" t="s">
        <v>247</v>
      </c>
      <c r="E60" s="29">
        <f t="shared" ca="1" si="13"/>
        <v>25000000</v>
      </c>
      <c r="F60" s="29"/>
      <c r="G60" s="29">
        <f t="shared" ref="G60:CH60" ca="1" si="25">F60+G31</f>
        <v>1444375</v>
      </c>
      <c r="H60" s="29">
        <f t="shared" ca="1" si="25"/>
        <v>2788750</v>
      </c>
      <c r="I60" s="29">
        <f t="shared" ca="1" si="25"/>
        <v>4133125</v>
      </c>
      <c r="J60" s="29">
        <f t="shared" ca="1" si="25"/>
        <v>5477500</v>
      </c>
      <c r="K60" s="29">
        <f t="shared" ca="1" si="25"/>
        <v>6821875</v>
      </c>
      <c r="L60" s="29">
        <f t="shared" ca="1" si="25"/>
        <v>8166250</v>
      </c>
      <c r="M60" s="29">
        <f t="shared" ca="1" si="25"/>
        <v>9510625</v>
      </c>
      <c r="N60" s="29">
        <f t="shared" ca="1" si="25"/>
        <v>10855000</v>
      </c>
      <c r="O60" s="29">
        <f t="shared" ca="1" si="25"/>
        <v>12199375</v>
      </c>
      <c r="P60" s="29">
        <f t="shared" ca="1" si="25"/>
        <v>13543750</v>
      </c>
      <c r="Q60" s="29">
        <f t="shared" ca="1" si="25"/>
        <v>14888125</v>
      </c>
      <c r="R60" s="29">
        <f t="shared" ca="1" si="25"/>
        <v>16232500</v>
      </c>
      <c r="S60" s="29">
        <f t="shared" ca="1" si="25"/>
        <v>17576875</v>
      </c>
      <c r="T60" s="29">
        <f t="shared" ca="1" si="25"/>
        <v>18921250</v>
      </c>
      <c r="U60" s="29">
        <f t="shared" ca="1" si="25"/>
        <v>20265625</v>
      </c>
      <c r="V60" s="29">
        <f t="shared" ca="1" si="25"/>
        <v>21610000</v>
      </c>
      <c r="W60" s="29">
        <f t="shared" ca="1" si="25"/>
        <v>21751250</v>
      </c>
      <c r="X60" s="29">
        <f t="shared" ca="1" si="25"/>
        <v>21892500</v>
      </c>
      <c r="Y60" s="29">
        <f t="shared" ca="1" si="25"/>
        <v>22033750</v>
      </c>
      <c r="Z60" s="29">
        <f t="shared" ca="1" si="25"/>
        <v>22175000</v>
      </c>
      <c r="AA60" s="29">
        <f t="shared" ca="1" si="25"/>
        <v>22316250</v>
      </c>
      <c r="AB60" s="29">
        <f t="shared" ca="1" si="25"/>
        <v>22457500</v>
      </c>
      <c r="AC60" s="29">
        <f t="shared" ca="1" si="25"/>
        <v>22598750</v>
      </c>
      <c r="AD60" s="29">
        <f t="shared" ca="1" si="25"/>
        <v>22740000</v>
      </c>
      <c r="AE60" s="29">
        <f t="shared" ca="1" si="25"/>
        <v>22881250</v>
      </c>
      <c r="AF60" s="29">
        <f t="shared" ca="1" si="25"/>
        <v>23022500</v>
      </c>
      <c r="AG60" s="29">
        <f t="shared" ca="1" si="25"/>
        <v>23163750</v>
      </c>
      <c r="AH60" s="29">
        <f t="shared" ca="1" si="25"/>
        <v>23305000</v>
      </c>
      <c r="AI60" s="29">
        <f t="shared" ca="1" si="25"/>
        <v>23446250</v>
      </c>
      <c r="AJ60" s="29">
        <f t="shared" ca="1" si="25"/>
        <v>23587500</v>
      </c>
      <c r="AK60" s="29">
        <f t="shared" ca="1" si="25"/>
        <v>23728750</v>
      </c>
      <c r="AL60" s="29">
        <f t="shared" ca="1" si="25"/>
        <v>23870000</v>
      </c>
      <c r="AM60" s="29">
        <f t="shared" ca="1" si="25"/>
        <v>24011250</v>
      </c>
      <c r="AN60" s="29">
        <f t="shared" ca="1" si="25"/>
        <v>24152500</v>
      </c>
      <c r="AO60" s="29">
        <f t="shared" ca="1" si="25"/>
        <v>24293750</v>
      </c>
      <c r="AP60" s="29">
        <f t="shared" ca="1" si="25"/>
        <v>24435000</v>
      </c>
      <c r="AQ60" s="29">
        <f t="shared" ca="1" si="25"/>
        <v>24576250</v>
      </c>
      <c r="AR60" s="29">
        <f t="shared" ca="1" si="25"/>
        <v>24717500</v>
      </c>
      <c r="AS60" s="29">
        <f t="shared" ca="1" si="25"/>
        <v>24858750</v>
      </c>
      <c r="AT60" s="29">
        <f t="shared" ca="1" si="25"/>
        <v>25000000</v>
      </c>
      <c r="AU60" s="29">
        <f t="shared" ca="1" si="25"/>
        <v>25000000</v>
      </c>
      <c r="AV60" s="29">
        <f t="shared" ca="1" si="25"/>
        <v>25000000</v>
      </c>
      <c r="AW60" s="29">
        <f t="shared" ca="1" si="25"/>
        <v>25000000</v>
      </c>
      <c r="AX60" s="29">
        <f t="shared" ca="1" si="25"/>
        <v>25000000</v>
      </c>
      <c r="AY60" s="29">
        <f t="shared" ca="1" si="25"/>
        <v>25000000</v>
      </c>
      <c r="AZ60" s="29">
        <f t="shared" ca="1" si="25"/>
        <v>25000000</v>
      </c>
      <c r="BA60" s="29">
        <f t="shared" ca="1" si="25"/>
        <v>25000000</v>
      </c>
      <c r="BB60" s="29">
        <f t="shared" ca="1" si="25"/>
        <v>25000000</v>
      </c>
      <c r="BC60" s="29">
        <f t="shared" ca="1" si="25"/>
        <v>25000000</v>
      </c>
      <c r="BD60" s="29">
        <f t="shared" ca="1" si="25"/>
        <v>25000000</v>
      </c>
      <c r="BE60" s="29">
        <f t="shared" ca="1" si="25"/>
        <v>25000000</v>
      </c>
      <c r="BF60" s="29">
        <f t="shared" ca="1" si="25"/>
        <v>25000000</v>
      </c>
      <c r="BG60" s="29">
        <f t="shared" ca="1" si="25"/>
        <v>25000000</v>
      </c>
      <c r="BH60" s="29">
        <f t="shared" ca="1" si="25"/>
        <v>25000000</v>
      </c>
      <c r="BI60" s="29">
        <f t="shared" ca="1" si="25"/>
        <v>25000000</v>
      </c>
      <c r="BJ60" s="29">
        <f t="shared" ca="1" si="25"/>
        <v>25000000</v>
      </c>
      <c r="BK60" s="29">
        <f t="shared" ca="1" si="25"/>
        <v>25000000</v>
      </c>
      <c r="BL60" s="29">
        <f t="shared" ca="1" si="25"/>
        <v>25000000</v>
      </c>
      <c r="BM60" s="29">
        <f t="shared" ca="1" si="25"/>
        <v>25000000</v>
      </c>
      <c r="BN60" s="29">
        <f t="shared" ca="1" si="25"/>
        <v>25000000</v>
      </c>
      <c r="BO60" s="29">
        <f t="shared" ca="1" si="25"/>
        <v>25000000</v>
      </c>
      <c r="BP60" s="29">
        <f t="shared" ca="1" si="25"/>
        <v>25000000</v>
      </c>
      <c r="BQ60" s="29">
        <f t="shared" ca="1" si="25"/>
        <v>25000000</v>
      </c>
      <c r="BR60" s="29">
        <f t="shared" ca="1" si="25"/>
        <v>25000000</v>
      </c>
      <c r="BS60" s="29">
        <f t="shared" ca="1" si="25"/>
        <v>25000000</v>
      </c>
      <c r="BT60" s="29">
        <f t="shared" ca="1" si="25"/>
        <v>25000000</v>
      </c>
      <c r="BU60" s="29">
        <f t="shared" ca="1" si="25"/>
        <v>25000000</v>
      </c>
      <c r="BV60" s="29">
        <f t="shared" ca="1" si="25"/>
        <v>25000000</v>
      </c>
      <c r="BW60" s="29">
        <f t="shared" ca="1" si="25"/>
        <v>25000000</v>
      </c>
      <c r="BX60" s="29">
        <f t="shared" ca="1" si="25"/>
        <v>25000000</v>
      </c>
      <c r="BY60" s="29">
        <f t="shared" ca="1" si="25"/>
        <v>25000000</v>
      </c>
      <c r="BZ60" s="29">
        <f t="shared" ca="1" si="25"/>
        <v>25000000</v>
      </c>
      <c r="CA60" s="29">
        <f t="shared" ca="1" si="25"/>
        <v>25000000</v>
      </c>
      <c r="CB60" s="29">
        <f t="shared" ca="1" si="25"/>
        <v>25000000</v>
      </c>
      <c r="CC60" s="29">
        <f t="shared" ca="1" si="25"/>
        <v>25000000</v>
      </c>
      <c r="CD60" s="29">
        <f t="shared" ca="1" si="25"/>
        <v>25000000</v>
      </c>
      <c r="CE60" s="29">
        <f t="shared" ca="1" si="25"/>
        <v>25000000</v>
      </c>
      <c r="CF60" s="29">
        <f t="shared" ca="1" si="25"/>
        <v>25000000</v>
      </c>
      <c r="CG60" s="29">
        <f t="shared" ca="1" si="25"/>
        <v>25000000</v>
      </c>
      <c r="CH60" s="29">
        <f t="shared" ca="1" si="25"/>
        <v>25000000</v>
      </c>
    </row>
    <row r="61" spans="1:86" ht="13">
      <c r="B61" s="15" t="str">
        <f t="shared" si="23"/>
        <v>Cumulative Manual Investments</v>
      </c>
      <c r="C61" s="15"/>
      <c r="D61" s="15" t="s">
        <v>247</v>
      </c>
      <c r="E61" s="29">
        <f t="shared" si="13"/>
        <v>0</v>
      </c>
      <c r="F61" s="29"/>
      <c r="G61" s="29">
        <f t="shared" ref="G61:CH61" si="26">F61+G32</f>
        <v>0</v>
      </c>
      <c r="H61" s="29">
        <f t="shared" si="26"/>
        <v>0</v>
      </c>
      <c r="I61" s="29">
        <f t="shared" si="26"/>
        <v>0</v>
      </c>
      <c r="J61" s="29">
        <f t="shared" si="26"/>
        <v>0</v>
      </c>
      <c r="K61" s="29">
        <f t="shared" si="26"/>
        <v>0</v>
      </c>
      <c r="L61" s="29">
        <f t="shared" si="26"/>
        <v>0</v>
      </c>
      <c r="M61" s="29">
        <f t="shared" si="26"/>
        <v>0</v>
      </c>
      <c r="N61" s="29">
        <f t="shared" si="26"/>
        <v>0</v>
      </c>
      <c r="O61" s="29">
        <f t="shared" si="26"/>
        <v>0</v>
      </c>
      <c r="P61" s="29">
        <f t="shared" si="26"/>
        <v>0</v>
      </c>
      <c r="Q61" s="29">
        <f t="shared" si="26"/>
        <v>0</v>
      </c>
      <c r="R61" s="29">
        <f t="shared" si="26"/>
        <v>0</v>
      </c>
      <c r="S61" s="29">
        <f t="shared" si="26"/>
        <v>0</v>
      </c>
      <c r="T61" s="29">
        <f t="shared" si="26"/>
        <v>0</v>
      </c>
      <c r="U61" s="29">
        <f t="shared" si="26"/>
        <v>0</v>
      </c>
      <c r="V61" s="29">
        <f t="shared" si="26"/>
        <v>0</v>
      </c>
      <c r="W61" s="29">
        <f t="shared" si="26"/>
        <v>0</v>
      </c>
      <c r="X61" s="29">
        <f t="shared" si="26"/>
        <v>0</v>
      </c>
      <c r="Y61" s="29">
        <f t="shared" si="26"/>
        <v>0</v>
      </c>
      <c r="Z61" s="29">
        <f t="shared" si="26"/>
        <v>0</v>
      </c>
      <c r="AA61" s="29">
        <f t="shared" si="26"/>
        <v>0</v>
      </c>
      <c r="AB61" s="29">
        <f t="shared" si="26"/>
        <v>0</v>
      </c>
      <c r="AC61" s="29">
        <f t="shared" si="26"/>
        <v>0</v>
      </c>
      <c r="AD61" s="29">
        <f t="shared" si="26"/>
        <v>0</v>
      </c>
      <c r="AE61" s="29">
        <f t="shared" si="26"/>
        <v>0</v>
      </c>
      <c r="AF61" s="29">
        <f t="shared" si="26"/>
        <v>0</v>
      </c>
      <c r="AG61" s="29">
        <f t="shared" si="26"/>
        <v>0</v>
      </c>
      <c r="AH61" s="29">
        <f t="shared" si="26"/>
        <v>0</v>
      </c>
      <c r="AI61" s="29">
        <f t="shared" si="26"/>
        <v>0</v>
      </c>
      <c r="AJ61" s="29">
        <f t="shared" si="26"/>
        <v>0</v>
      </c>
      <c r="AK61" s="29">
        <f t="shared" si="26"/>
        <v>0</v>
      </c>
      <c r="AL61" s="29">
        <f t="shared" si="26"/>
        <v>0</v>
      </c>
      <c r="AM61" s="29">
        <f t="shared" si="26"/>
        <v>0</v>
      </c>
      <c r="AN61" s="29">
        <f t="shared" si="26"/>
        <v>0</v>
      </c>
      <c r="AO61" s="29">
        <f t="shared" si="26"/>
        <v>0</v>
      </c>
      <c r="AP61" s="29">
        <f t="shared" si="26"/>
        <v>0</v>
      </c>
      <c r="AQ61" s="29">
        <f t="shared" si="26"/>
        <v>0</v>
      </c>
      <c r="AR61" s="29">
        <f t="shared" si="26"/>
        <v>0</v>
      </c>
      <c r="AS61" s="29">
        <f t="shared" si="26"/>
        <v>0</v>
      </c>
      <c r="AT61" s="29">
        <f t="shared" si="26"/>
        <v>0</v>
      </c>
      <c r="AU61" s="29">
        <f t="shared" si="26"/>
        <v>0</v>
      </c>
      <c r="AV61" s="29">
        <f t="shared" si="26"/>
        <v>0</v>
      </c>
      <c r="AW61" s="29">
        <f t="shared" si="26"/>
        <v>0</v>
      </c>
      <c r="AX61" s="29">
        <f t="shared" si="26"/>
        <v>0</v>
      </c>
      <c r="AY61" s="29">
        <f t="shared" si="26"/>
        <v>0</v>
      </c>
      <c r="AZ61" s="29">
        <f t="shared" si="26"/>
        <v>0</v>
      </c>
      <c r="BA61" s="29">
        <f t="shared" si="26"/>
        <v>0</v>
      </c>
      <c r="BB61" s="29">
        <f t="shared" si="26"/>
        <v>0</v>
      </c>
      <c r="BC61" s="29">
        <f t="shared" si="26"/>
        <v>0</v>
      </c>
      <c r="BD61" s="29">
        <f t="shared" si="26"/>
        <v>0</v>
      </c>
      <c r="BE61" s="29">
        <f t="shared" si="26"/>
        <v>0</v>
      </c>
      <c r="BF61" s="29">
        <f t="shared" si="26"/>
        <v>0</v>
      </c>
      <c r="BG61" s="29">
        <f t="shared" si="26"/>
        <v>0</v>
      </c>
      <c r="BH61" s="29">
        <f t="shared" si="26"/>
        <v>0</v>
      </c>
      <c r="BI61" s="29">
        <f t="shared" si="26"/>
        <v>0</v>
      </c>
      <c r="BJ61" s="29">
        <f t="shared" si="26"/>
        <v>0</v>
      </c>
      <c r="BK61" s="29">
        <f t="shared" si="26"/>
        <v>0</v>
      </c>
      <c r="BL61" s="29">
        <f t="shared" si="26"/>
        <v>0</v>
      </c>
      <c r="BM61" s="29">
        <f t="shared" si="26"/>
        <v>0</v>
      </c>
      <c r="BN61" s="29">
        <f t="shared" si="26"/>
        <v>0</v>
      </c>
      <c r="BO61" s="29">
        <f t="shared" si="26"/>
        <v>0</v>
      </c>
      <c r="BP61" s="29">
        <f t="shared" si="26"/>
        <v>0</v>
      </c>
      <c r="BQ61" s="29">
        <f t="shared" si="26"/>
        <v>0</v>
      </c>
      <c r="BR61" s="29">
        <f t="shared" si="26"/>
        <v>0</v>
      </c>
      <c r="BS61" s="29">
        <f t="shared" si="26"/>
        <v>0</v>
      </c>
      <c r="BT61" s="29">
        <f t="shared" si="26"/>
        <v>0</v>
      </c>
      <c r="BU61" s="29">
        <f t="shared" si="26"/>
        <v>0</v>
      </c>
      <c r="BV61" s="29">
        <f t="shared" si="26"/>
        <v>0</v>
      </c>
      <c r="BW61" s="29">
        <f t="shared" si="26"/>
        <v>0</v>
      </c>
      <c r="BX61" s="29">
        <f t="shared" si="26"/>
        <v>0</v>
      </c>
      <c r="BY61" s="29">
        <f t="shared" si="26"/>
        <v>0</v>
      </c>
      <c r="BZ61" s="29">
        <f t="shared" si="26"/>
        <v>0</v>
      </c>
      <c r="CA61" s="29">
        <f t="shared" si="26"/>
        <v>0</v>
      </c>
      <c r="CB61" s="29">
        <f t="shared" si="26"/>
        <v>0</v>
      </c>
      <c r="CC61" s="29">
        <f t="shared" si="26"/>
        <v>0</v>
      </c>
      <c r="CD61" s="29">
        <f t="shared" si="26"/>
        <v>0</v>
      </c>
      <c r="CE61" s="29">
        <f t="shared" si="26"/>
        <v>0</v>
      </c>
      <c r="CF61" s="29">
        <f t="shared" si="26"/>
        <v>0</v>
      </c>
      <c r="CG61" s="29">
        <f t="shared" si="26"/>
        <v>0</v>
      </c>
      <c r="CH61" s="29">
        <f t="shared" si="26"/>
        <v>0</v>
      </c>
    </row>
    <row r="62" spans="1:86" ht="13">
      <c r="B62" s="15" t="str">
        <f t="shared" si="23"/>
        <v>Cumulative New Investments</v>
      </c>
      <c r="C62" s="15"/>
      <c r="D62" s="15" t="s">
        <v>247</v>
      </c>
      <c r="E62" s="29">
        <f t="shared" ca="1" si="13"/>
        <v>20292708.333333332</v>
      </c>
      <c r="F62" s="29"/>
      <c r="G62" s="29">
        <f t="shared" ref="G62:CH62" ca="1" si="27">F62+G33</f>
        <v>1203125</v>
      </c>
      <c r="H62" s="29">
        <f t="shared" ca="1" si="27"/>
        <v>2406250</v>
      </c>
      <c r="I62" s="29">
        <f t="shared" ca="1" si="27"/>
        <v>3609375</v>
      </c>
      <c r="J62" s="29">
        <f t="shared" ca="1" si="27"/>
        <v>4812500</v>
      </c>
      <c r="K62" s="29">
        <f t="shared" ca="1" si="27"/>
        <v>6015625</v>
      </c>
      <c r="L62" s="29">
        <f t="shared" ca="1" si="27"/>
        <v>7218750</v>
      </c>
      <c r="M62" s="29">
        <f t="shared" ca="1" si="27"/>
        <v>8421875</v>
      </c>
      <c r="N62" s="29">
        <f t="shared" ca="1" si="27"/>
        <v>9625000</v>
      </c>
      <c r="O62" s="29">
        <f t="shared" ca="1" si="27"/>
        <v>10828125</v>
      </c>
      <c r="P62" s="29">
        <f t="shared" ca="1" si="27"/>
        <v>12031250</v>
      </c>
      <c r="Q62" s="29">
        <f t="shared" ca="1" si="27"/>
        <v>13234375</v>
      </c>
      <c r="R62" s="29">
        <f t="shared" ca="1" si="27"/>
        <v>14437500</v>
      </c>
      <c r="S62" s="29">
        <f t="shared" ca="1" si="27"/>
        <v>15901302.083333334</v>
      </c>
      <c r="T62" s="29">
        <f t="shared" ca="1" si="27"/>
        <v>17365104.166666668</v>
      </c>
      <c r="U62" s="29">
        <f t="shared" ca="1" si="27"/>
        <v>18828906.25</v>
      </c>
      <c r="V62" s="29">
        <f t="shared" ca="1" si="27"/>
        <v>20292708.333333332</v>
      </c>
      <c r="W62" s="29">
        <f t="shared" ca="1" si="27"/>
        <v>20292708.333333332</v>
      </c>
      <c r="X62" s="29">
        <f t="shared" ca="1" si="27"/>
        <v>20292708.333333332</v>
      </c>
      <c r="Y62" s="29">
        <f t="shared" ca="1" si="27"/>
        <v>20292708.333333332</v>
      </c>
      <c r="Z62" s="29">
        <f t="shared" ca="1" si="27"/>
        <v>20292708.333333332</v>
      </c>
      <c r="AA62" s="29">
        <f t="shared" ca="1" si="27"/>
        <v>20292708.333333332</v>
      </c>
      <c r="AB62" s="29">
        <f t="shared" ca="1" si="27"/>
        <v>20292708.333333332</v>
      </c>
      <c r="AC62" s="29">
        <f t="shared" ca="1" si="27"/>
        <v>20292708.333333332</v>
      </c>
      <c r="AD62" s="29">
        <f t="shared" ca="1" si="27"/>
        <v>20292708.333333332</v>
      </c>
      <c r="AE62" s="29">
        <f t="shared" ca="1" si="27"/>
        <v>20292708.333333332</v>
      </c>
      <c r="AF62" s="29">
        <f t="shared" ca="1" si="27"/>
        <v>20292708.333333332</v>
      </c>
      <c r="AG62" s="29">
        <f t="shared" ca="1" si="27"/>
        <v>20292708.333333332</v>
      </c>
      <c r="AH62" s="29">
        <f t="shared" ca="1" si="27"/>
        <v>20292708.333333332</v>
      </c>
      <c r="AI62" s="29">
        <f t="shared" ca="1" si="27"/>
        <v>20292708.333333332</v>
      </c>
      <c r="AJ62" s="29">
        <f t="shared" ca="1" si="27"/>
        <v>20292708.333333332</v>
      </c>
      <c r="AK62" s="29">
        <f t="shared" ca="1" si="27"/>
        <v>20292708.333333332</v>
      </c>
      <c r="AL62" s="29">
        <f t="shared" ca="1" si="27"/>
        <v>20292708.333333332</v>
      </c>
      <c r="AM62" s="29">
        <f t="shared" ca="1" si="27"/>
        <v>20292708.333333332</v>
      </c>
      <c r="AN62" s="29">
        <f t="shared" ca="1" si="27"/>
        <v>20292708.333333332</v>
      </c>
      <c r="AO62" s="29">
        <f t="shared" ca="1" si="27"/>
        <v>20292708.333333332</v>
      </c>
      <c r="AP62" s="29">
        <f t="shared" ca="1" si="27"/>
        <v>20292708.333333332</v>
      </c>
      <c r="AQ62" s="29">
        <f t="shared" ca="1" si="27"/>
        <v>20292708.333333332</v>
      </c>
      <c r="AR62" s="29">
        <f t="shared" ca="1" si="27"/>
        <v>20292708.333333332</v>
      </c>
      <c r="AS62" s="29">
        <f t="shared" ca="1" si="27"/>
        <v>20292708.333333332</v>
      </c>
      <c r="AT62" s="29">
        <f t="shared" ca="1" si="27"/>
        <v>20292708.333333332</v>
      </c>
      <c r="AU62" s="29">
        <f t="shared" ca="1" si="27"/>
        <v>20292708.333333332</v>
      </c>
      <c r="AV62" s="29">
        <f t="shared" ca="1" si="27"/>
        <v>20292708.333333332</v>
      </c>
      <c r="AW62" s="29">
        <f t="shared" ca="1" si="27"/>
        <v>20292708.333333332</v>
      </c>
      <c r="AX62" s="29">
        <f t="shared" ca="1" si="27"/>
        <v>20292708.333333332</v>
      </c>
      <c r="AY62" s="29">
        <f t="shared" ca="1" si="27"/>
        <v>20292708.333333332</v>
      </c>
      <c r="AZ62" s="29">
        <f t="shared" ca="1" si="27"/>
        <v>20292708.333333332</v>
      </c>
      <c r="BA62" s="29">
        <f t="shared" ca="1" si="27"/>
        <v>20292708.333333332</v>
      </c>
      <c r="BB62" s="29">
        <f t="shared" ca="1" si="27"/>
        <v>20292708.333333332</v>
      </c>
      <c r="BC62" s="29">
        <f t="shared" ca="1" si="27"/>
        <v>20292708.333333332</v>
      </c>
      <c r="BD62" s="29">
        <f t="shared" ca="1" si="27"/>
        <v>20292708.333333332</v>
      </c>
      <c r="BE62" s="29">
        <f t="shared" ca="1" si="27"/>
        <v>20292708.333333332</v>
      </c>
      <c r="BF62" s="29">
        <f t="shared" ca="1" si="27"/>
        <v>20292708.333333332</v>
      </c>
      <c r="BG62" s="29">
        <f t="shared" ca="1" si="27"/>
        <v>20292708.333333332</v>
      </c>
      <c r="BH62" s="29">
        <f t="shared" ca="1" si="27"/>
        <v>20292708.333333332</v>
      </c>
      <c r="BI62" s="29">
        <f t="shared" ca="1" si="27"/>
        <v>20292708.333333332</v>
      </c>
      <c r="BJ62" s="29">
        <f t="shared" ca="1" si="27"/>
        <v>20292708.333333332</v>
      </c>
      <c r="BK62" s="29">
        <f t="shared" ca="1" si="27"/>
        <v>20292708.333333332</v>
      </c>
      <c r="BL62" s="29">
        <f t="shared" ca="1" si="27"/>
        <v>20292708.333333332</v>
      </c>
      <c r="BM62" s="29">
        <f t="shared" ca="1" si="27"/>
        <v>20292708.333333332</v>
      </c>
      <c r="BN62" s="29">
        <f t="shared" ca="1" si="27"/>
        <v>20292708.333333332</v>
      </c>
      <c r="BO62" s="29">
        <f t="shared" ca="1" si="27"/>
        <v>20292708.333333332</v>
      </c>
      <c r="BP62" s="29">
        <f t="shared" ca="1" si="27"/>
        <v>20292708.333333332</v>
      </c>
      <c r="BQ62" s="29">
        <f t="shared" ca="1" si="27"/>
        <v>20292708.333333332</v>
      </c>
      <c r="BR62" s="29">
        <f t="shared" ca="1" si="27"/>
        <v>20292708.333333332</v>
      </c>
      <c r="BS62" s="29">
        <f t="shared" ca="1" si="27"/>
        <v>20292708.333333332</v>
      </c>
      <c r="BT62" s="29">
        <f t="shared" ca="1" si="27"/>
        <v>20292708.333333332</v>
      </c>
      <c r="BU62" s="29">
        <f t="shared" ca="1" si="27"/>
        <v>20292708.333333332</v>
      </c>
      <c r="BV62" s="29">
        <f t="shared" ca="1" si="27"/>
        <v>20292708.333333332</v>
      </c>
      <c r="BW62" s="29">
        <f t="shared" ca="1" si="27"/>
        <v>20292708.333333332</v>
      </c>
      <c r="BX62" s="29">
        <f t="shared" ca="1" si="27"/>
        <v>20292708.333333332</v>
      </c>
      <c r="BY62" s="29">
        <f t="shared" ca="1" si="27"/>
        <v>20292708.333333332</v>
      </c>
      <c r="BZ62" s="29">
        <f t="shared" ca="1" si="27"/>
        <v>20292708.333333332</v>
      </c>
      <c r="CA62" s="29">
        <f t="shared" ca="1" si="27"/>
        <v>20292708.333333332</v>
      </c>
      <c r="CB62" s="29">
        <f t="shared" ca="1" si="27"/>
        <v>20292708.333333332</v>
      </c>
      <c r="CC62" s="29">
        <f t="shared" ca="1" si="27"/>
        <v>20292708.333333332</v>
      </c>
      <c r="CD62" s="29">
        <f t="shared" ca="1" si="27"/>
        <v>20292708.333333332</v>
      </c>
      <c r="CE62" s="29">
        <f t="shared" ca="1" si="27"/>
        <v>20292708.333333332</v>
      </c>
      <c r="CF62" s="29">
        <f t="shared" ca="1" si="27"/>
        <v>20292708.333333332</v>
      </c>
      <c r="CG62" s="29">
        <f t="shared" ca="1" si="27"/>
        <v>20292708.333333332</v>
      </c>
      <c r="CH62" s="29">
        <f t="shared" ca="1" si="27"/>
        <v>20292708.333333332</v>
      </c>
    </row>
    <row r="63" spans="1:86" ht="13">
      <c r="B63" s="15" t="str">
        <f t="shared" si="23"/>
        <v>Cumulative Prorata Opportunities</v>
      </c>
      <c r="C63" s="15"/>
      <c r="D63" s="15" t="s">
        <v>247</v>
      </c>
      <c r="E63" s="29">
        <f t="shared" si="13"/>
        <v>0</v>
      </c>
      <c r="F63" s="29"/>
      <c r="G63" s="29">
        <f t="shared" ref="G63:CH63" si="28">F63+G34</f>
        <v>0</v>
      </c>
      <c r="H63" s="29">
        <f t="shared" si="28"/>
        <v>0</v>
      </c>
      <c r="I63" s="29">
        <f t="shared" si="28"/>
        <v>0</v>
      </c>
      <c r="J63" s="29">
        <f t="shared" si="28"/>
        <v>0</v>
      </c>
      <c r="K63" s="29">
        <f t="shared" si="28"/>
        <v>0</v>
      </c>
      <c r="L63" s="29">
        <f t="shared" si="28"/>
        <v>0</v>
      </c>
      <c r="M63" s="29">
        <f t="shared" si="28"/>
        <v>0</v>
      </c>
      <c r="N63" s="29">
        <f t="shared" si="28"/>
        <v>0</v>
      </c>
      <c r="O63" s="29">
        <f t="shared" si="28"/>
        <v>0</v>
      </c>
      <c r="P63" s="29">
        <f t="shared" si="28"/>
        <v>0</v>
      </c>
      <c r="Q63" s="29">
        <f t="shared" si="28"/>
        <v>0</v>
      </c>
      <c r="R63" s="29">
        <f t="shared" si="28"/>
        <v>0</v>
      </c>
      <c r="S63" s="29">
        <f t="shared" si="28"/>
        <v>0</v>
      </c>
      <c r="T63" s="29">
        <f t="shared" si="28"/>
        <v>0</v>
      </c>
      <c r="U63" s="29">
        <f t="shared" si="28"/>
        <v>0</v>
      </c>
      <c r="V63" s="29">
        <f t="shared" si="28"/>
        <v>0</v>
      </c>
      <c r="W63" s="29">
        <f t="shared" si="28"/>
        <v>0</v>
      </c>
      <c r="X63" s="29">
        <f t="shared" si="28"/>
        <v>0</v>
      </c>
      <c r="Y63" s="29">
        <f t="shared" si="28"/>
        <v>0</v>
      </c>
      <c r="Z63" s="29">
        <f t="shared" si="28"/>
        <v>0</v>
      </c>
      <c r="AA63" s="29">
        <f t="shared" si="28"/>
        <v>0</v>
      </c>
      <c r="AB63" s="29">
        <f t="shared" si="28"/>
        <v>0</v>
      </c>
      <c r="AC63" s="29">
        <f t="shared" si="28"/>
        <v>0</v>
      </c>
      <c r="AD63" s="29">
        <f t="shared" si="28"/>
        <v>0</v>
      </c>
      <c r="AE63" s="29">
        <f t="shared" si="28"/>
        <v>0</v>
      </c>
      <c r="AF63" s="29">
        <f t="shared" si="28"/>
        <v>0</v>
      </c>
      <c r="AG63" s="29">
        <f t="shared" si="28"/>
        <v>0</v>
      </c>
      <c r="AH63" s="29">
        <f t="shared" si="28"/>
        <v>0</v>
      </c>
      <c r="AI63" s="29">
        <f t="shared" si="28"/>
        <v>0</v>
      </c>
      <c r="AJ63" s="29">
        <f t="shared" si="28"/>
        <v>0</v>
      </c>
      <c r="AK63" s="29">
        <f t="shared" si="28"/>
        <v>0</v>
      </c>
      <c r="AL63" s="29">
        <f t="shared" si="28"/>
        <v>0</v>
      </c>
      <c r="AM63" s="29">
        <f t="shared" si="28"/>
        <v>0</v>
      </c>
      <c r="AN63" s="29">
        <f t="shared" si="28"/>
        <v>0</v>
      </c>
      <c r="AO63" s="29">
        <f t="shared" si="28"/>
        <v>0</v>
      </c>
      <c r="AP63" s="29">
        <f t="shared" si="28"/>
        <v>0</v>
      </c>
      <c r="AQ63" s="29">
        <f t="shared" si="28"/>
        <v>0</v>
      </c>
      <c r="AR63" s="29">
        <f t="shared" si="28"/>
        <v>0</v>
      </c>
      <c r="AS63" s="29">
        <f t="shared" si="28"/>
        <v>0</v>
      </c>
      <c r="AT63" s="29">
        <f t="shared" si="28"/>
        <v>0</v>
      </c>
      <c r="AU63" s="29">
        <f t="shared" si="28"/>
        <v>0</v>
      </c>
      <c r="AV63" s="29">
        <f t="shared" si="28"/>
        <v>0</v>
      </c>
      <c r="AW63" s="29">
        <f t="shared" si="28"/>
        <v>0</v>
      </c>
      <c r="AX63" s="29">
        <f t="shared" si="28"/>
        <v>0</v>
      </c>
      <c r="AY63" s="29">
        <f t="shared" si="28"/>
        <v>0</v>
      </c>
      <c r="AZ63" s="29">
        <f t="shared" si="28"/>
        <v>0</v>
      </c>
      <c r="BA63" s="29">
        <f t="shared" si="28"/>
        <v>0</v>
      </c>
      <c r="BB63" s="29">
        <f t="shared" si="28"/>
        <v>0</v>
      </c>
      <c r="BC63" s="29">
        <f t="shared" si="28"/>
        <v>0</v>
      </c>
      <c r="BD63" s="29">
        <f t="shared" si="28"/>
        <v>0</v>
      </c>
      <c r="BE63" s="29">
        <f t="shared" si="28"/>
        <v>0</v>
      </c>
      <c r="BF63" s="29">
        <f t="shared" si="28"/>
        <v>0</v>
      </c>
      <c r="BG63" s="29">
        <f t="shared" si="28"/>
        <v>0</v>
      </c>
      <c r="BH63" s="29">
        <f t="shared" si="28"/>
        <v>0</v>
      </c>
      <c r="BI63" s="29">
        <f t="shared" si="28"/>
        <v>0</v>
      </c>
      <c r="BJ63" s="29">
        <f t="shared" si="28"/>
        <v>0</v>
      </c>
      <c r="BK63" s="29">
        <f t="shared" si="28"/>
        <v>0</v>
      </c>
      <c r="BL63" s="29">
        <f t="shared" si="28"/>
        <v>0</v>
      </c>
      <c r="BM63" s="29">
        <f t="shared" si="28"/>
        <v>0</v>
      </c>
      <c r="BN63" s="29">
        <f t="shared" si="28"/>
        <v>0</v>
      </c>
      <c r="BO63" s="29">
        <f t="shared" si="28"/>
        <v>0</v>
      </c>
      <c r="BP63" s="29">
        <f t="shared" si="28"/>
        <v>0</v>
      </c>
      <c r="BQ63" s="29">
        <f t="shared" si="28"/>
        <v>0</v>
      </c>
      <c r="BR63" s="29">
        <f t="shared" si="28"/>
        <v>0</v>
      </c>
      <c r="BS63" s="29">
        <f t="shared" si="28"/>
        <v>0</v>
      </c>
      <c r="BT63" s="29">
        <f t="shared" si="28"/>
        <v>0</v>
      </c>
      <c r="BU63" s="29">
        <f t="shared" si="28"/>
        <v>0</v>
      </c>
      <c r="BV63" s="29">
        <f t="shared" si="28"/>
        <v>0</v>
      </c>
      <c r="BW63" s="29">
        <f t="shared" si="28"/>
        <v>0</v>
      </c>
      <c r="BX63" s="29">
        <f t="shared" si="28"/>
        <v>0</v>
      </c>
      <c r="BY63" s="29">
        <f t="shared" si="28"/>
        <v>0</v>
      </c>
      <c r="BZ63" s="29">
        <f t="shared" si="28"/>
        <v>0</v>
      </c>
      <c r="CA63" s="29">
        <f t="shared" si="28"/>
        <v>0</v>
      </c>
      <c r="CB63" s="29">
        <f t="shared" si="28"/>
        <v>0</v>
      </c>
      <c r="CC63" s="29">
        <f t="shared" si="28"/>
        <v>0</v>
      </c>
      <c r="CD63" s="29">
        <f t="shared" si="28"/>
        <v>0</v>
      </c>
      <c r="CE63" s="29">
        <f t="shared" si="28"/>
        <v>0</v>
      </c>
      <c r="CF63" s="29">
        <f t="shared" si="28"/>
        <v>0</v>
      </c>
      <c r="CG63" s="29">
        <f t="shared" si="28"/>
        <v>0</v>
      </c>
      <c r="CH63" s="29">
        <f t="shared" si="28"/>
        <v>0</v>
      </c>
    </row>
    <row r="64" spans="1:86" ht="13">
      <c r="B64" s="15" t="str">
        <f t="shared" si="23"/>
        <v>Cumulative Reserves for Follow on</v>
      </c>
      <c r="C64" s="15"/>
      <c r="D64" s="15" t="s">
        <v>247</v>
      </c>
      <c r="E64" s="29">
        <f t="shared" si="13"/>
        <v>0</v>
      </c>
      <c r="F64" s="29"/>
      <c r="G64" s="29">
        <f t="shared" ref="G64:CH64" si="29">F64+G35</f>
        <v>0</v>
      </c>
      <c r="H64" s="29">
        <f t="shared" si="29"/>
        <v>0</v>
      </c>
      <c r="I64" s="29">
        <f t="shared" si="29"/>
        <v>0</v>
      </c>
      <c r="J64" s="29">
        <f t="shared" si="29"/>
        <v>0</v>
      </c>
      <c r="K64" s="29">
        <f t="shared" si="29"/>
        <v>0</v>
      </c>
      <c r="L64" s="29">
        <f t="shared" si="29"/>
        <v>0</v>
      </c>
      <c r="M64" s="29">
        <f t="shared" si="29"/>
        <v>0</v>
      </c>
      <c r="N64" s="29">
        <f t="shared" si="29"/>
        <v>0</v>
      </c>
      <c r="O64" s="29">
        <f t="shared" si="29"/>
        <v>0</v>
      </c>
      <c r="P64" s="29">
        <f t="shared" si="29"/>
        <v>0</v>
      </c>
      <c r="Q64" s="29">
        <f t="shared" si="29"/>
        <v>0</v>
      </c>
      <c r="R64" s="29">
        <f t="shared" si="29"/>
        <v>0</v>
      </c>
      <c r="S64" s="29">
        <f t="shared" si="29"/>
        <v>0</v>
      </c>
      <c r="T64" s="29">
        <f t="shared" si="29"/>
        <v>0</v>
      </c>
      <c r="U64" s="29">
        <f t="shared" si="29"/>
        <v>0</v>
      </c>
      <c r="V64" s="29">
        <f t="shared" si="29"/>
        <v>0</v>
      </c>
      <c r="W64" s="29">
        <f t="shared" si="29"/>
        <v>0</v>
      </c>
      <c r="X64" s="29">
        <f t="shared" si="29"/>
        <v>0</v>
      </c>
      <c r="Y64" s="29">
        <f t="shared" si="29"/>
        <v>0</v>
      </c>
      <c r="Z64" s="29">
        <f t="shared" si="29"/>
        <v>0</v>
      </c>
      <c r="AA64" s="29">
        <f t="shared" si="29"/>
        <v>0</v>
      </c>
      <c r="AB64" s="29">
        <f t="shared" si="29"/>
        <v>0</v>
      </c>
      <c r="AC64" s="29">
        <f t="shared" si="29"/>
        <v>0</v>
      </c>
      <c r="AD64" s="29">
        <f t="shared" si="29"/>
        <v>0</v>
      </c>
      <c r="AE64" s="29">
        <f t="shared" si="29"/>
        <v>0</v>
      </c>
      <c r="AF64" s="29">
        <f t="shared" si="29"/>
        <v>0</v>
      </c>
      <c r="AG64" s="29">
        <f t="shared" si="29"/>
        <v>0</v>
      </c>
      <c r="AH64" s="29">
        <f t="shared" si="29"/>
        <v>0</v>
      </c>
      <c r="AI64" s="29">
        <f t="shared" si="29"/>
        <v>0</v>
      </c>
      <c r="AJ64" s="29">
        <f t="shared" si="29"/>
        <v>0</v>
      </c>
      <c r="AK64" s="29">
        <f t="shared" si="29"/>
        <v>0</v>
      </c>
      <c r="AL64" s="29">
        <f t="shared" si="29"/>
        <v>0</v>
      </c>
      <c r="AM64" s="29">
        <f t="shared" si="29"/>
        <v>0</v>
      </c>
      <c r="AN64" s="29">
        <f t="shared" si="29"/>
        <v>0</v>
      </c>
      <c r="AO64" s="29">
        <f t="shared" si="29"/>
        <v>0</v>
      </c>
      <c r="AP64" s="29">
        <f t="shared" si="29"/>
        <v>0</v>
      </c>
      <c r="AQ64" s="29">
        <f t="shared" si="29"/>
        <v>0</v>
      </c>
      <c r="AR64" s="29">
        <f t="shared" si="29"/>
        <v>0</v>
      </c>
      <c r="AS64" s="29">
        <f t="shared" si="29"/>
        <v>0</v>
      </c>
      <c r="AT64" s="29">
        <f t="shared" si="29"/>
        <v>0</v>
      </c>
      <c r="AU64" s="29">
        <f t="shared" si="29"/>
        <v>0</v>
      </c>
      <c r="AV64" s="29">
        <f t="shared" si="29"/>
        <v>0</v>
      </c>
      <c r="AW64" s="29">
        <f t="shared" si="29"/>
        <v>0</v>
      </c>
      <c r="AX64" s="29">
        <f t="shared" si="29"/>
        <v>0</v>
      </c>
      <c r="AY64" s="29">
        <f t="shared" si="29"/>
        <v>0</v>
      </c>
      <c r="AZ64" s="29">
        <f t="shared" si="29"/>
        <v>0</v>
      </c>
      <c r="BA64" s="29">
        <f t="shared" si="29"/>
        <v>0</v>
      </c>
      <c r="BB64" s="29">
        <f t="shared" si="29"/>
        <v>0</v>
      </c>
      <c r="BC64" s="29">
        <f t="shared" si="29"/>
        <v>0</v>
      </c>
      <c r="BD64" s="29">
        <f t="shared" si="29"/>
        <v>0</v>
      </c>
      <c r="BE64" s="29">
        <f t="shared" si="29"/>
        <v>0</v>
      </c>
      <c r="BF64" s="29">
        <f t="shared" si="29"/>
        <v>0</v>
      </c>
      <c r="BG64" s="29">
        <f t="shared" si="29"/>
        <v>0</v>
      </c>
      <c r="BH64" s="29">
        <f t="shared" si="29"/>
        <v>0</v>
      </c>
      <c r="BI64" s="29">
        <f t="shared" si="29"/>
        <v>0</v>
      </c>
      <c r="BJ64" s="29">
        <f t="shared" si="29"/>
        <v>0</v>
      </c>
      <c r="BK64" s="29">
        <f t="shared" si="29"/>
        <v>0</v>
      </c>
      <c r="BL64" s="29">
        <f t="shared" si="29"/>
        <v>0</v>
      </c>
      <c r="BM64" s="29">
        <f t="shared" si="29"/>
        <v>0</v>
      </c>
      <c r="BN64" s="29">
        <f t="shared" si="29"/>
        <v>0</v>
      </c>
      <c r="BO64" s="29">
        <f t="shared" si="29"/>
        <v>0</v>
      </c>
      <c r="BP64" s="29">
        <f t="shared" si="29"/>
        <v>0</v>
      </c>
      <c r="BQ64" s="29">
        <f t="shared" si="29"/>
        <v>0</v>
      </c>
      <c r="BR64" s="29">
        <f t="shared" si="29"/>
        <v>0</v>
      </c>
      <c r="BS64" s="29">
        <f t="shared" si="29"/>
        <v>0</v>
      </c>
      <c r="BT64" s="29">
        <f t="shared" si="29"/>
        <v>0</v>
      </c>
      <c r="BU64" s="29">
        <f t="shared" si="29"/>
        <v>0</v>
      </c>
      <c r="BV64" s="29">
        <f t="shared" si="29"/>
        <v>0</v>
      </c>
      <c r="BW64" s="29">
        <f t="shared" si="29"/>
        <v>0</v>
      </c>
      <c r="BX64" s="29">
        <f t="shared" si="29"/>
        <v>0</v>
      </c>
      <c r="BY64" s="29">
        <f t="shared" si="29"/>
        <v>0</v>
      </c>
      <c r="BZ64" s="29">
        <f t="shared" si="29"/>
        <v>0</v>
      </c>
      <c r="CA64" s="29">
        <f t="shared" si="29"/>
        <v>0</v>
      </c>
      <c r="CB64" s="29">
        <f t="shared" si="29"/>
        <v>0</v>
      </c>
      <c r="CC64" s="29">
        <f t="shared" si="29"/>
        <v>0</v>
      </c>
      <c r="CD64" s="29">
        <f t="shared" si="29"/>
        <v>0</v>
      </c>
      <c r="CE64" s="29">
        <f t="shared" si="29"/>
        <v>0</v>
      </c>
      <c r="CF64" s="29">
        <f t="shared" si="29"/>
        <v>0</v>
      </c>
      <c r="CG64" s="29">
        <f t="shared" si="29"/>
        <v>0</v>
      </c>
      <c r="CH64" s="29">
        <f t="shared" si="29"/>
        <v>0</v>
      </c>
    </row>
    <row r="65" spans="2:86" ht="13">
      <c r="B65" s="15" t="str">
        <f t="shared" si="23"/>
        <v>Cumulative Follow on Investments</v>
      </c>
      <c r="C65" s="15"/>
      <c r="D65" s="15" t="s">
        <v>247</v>
      </c>
      <c r="E65" s="29">
        <f t="shared" ca="1" si="13"/>
        <v>0</v>
      </c>
      <c r="F65" s="29"/>
      <c r="G65" s="29">
        <f t="shared" ref="G65:CH65" ca="1" si="30">F65+G36</f>
        <v>0</v>
      </c>
      <c r="H65" s="29">
        <f t="shared" ca="1" si="30"/>
        <v>0</v>
      </c>
      <c r="I65" s="29">
        <f t="shared" ca="1" si="30"/>
        <v>0</v>
      </c>
      <c r="J65" s="29">
        <f t="shared" ca="1" si="30"/>
        <v>0</v>
      </c>
      <c r="K65" s="29">
        <f t="shared" ca="1" si="30"/>
        <v>0</v>
      </c>
      <c r="L65" s="29">
        <f t="shared" ca="1" si="30"/>
        <v>0</v>
      </c>
      <c r="M65" s="29">
        <f t="shared" ca="1" si="30"/>
        <v>0</v>
      </c>
      <c r="N65" s="29">
        <f t="shared" ca="1" si="30"/>
        <v>0</v>
      </c>
      <c r="O65" s="29">
        <f t="shared" ca="1" si="30"/>
        <v>0</v>
      </c>
      <c r="P65" s="29">
        <f t="shared" ca="1" si="30"/>
        <v>0</v>
      </c>
      <c r="Q65" s="29">
        <f t="shared" ca="1" si="30"/>
        <v>0</v>
      </c>
      <c r="R65" s="29">
        <f t="shared" ca="1" si="30"/>
        <v>0</v>
      </c>
      <c r="S65" s="29">
        <f t="shared" ca="1" si="30"/>
        <v>0</v>
      </c>
      <c r="T65" s="29">
        <f t="shared" ca="1" si="30"/>
        <v>0</v>
      </c>
      <c r="U65" s="29">
        <f t="shared" ca="1" si="30"/>
        <v>0</v>
      </c>
      <c r="V65" s="29">
        <f t="shared" ca="1" si="30"/>
        <v>0</v>
      </c>
      <c r="W65" s="29">
        <f t="shared" ca="1" si="30"/>
        <v>0</v>
      </c>
      <c r="X65" s="29">
        <f t="shared" ca="1" si="30"/>
        <v>0</v>
      </c>
      <c r="Y65" s="29">
        <f t="shared" ca="1" si="30"/>
        <v>0</v>
      </c>
      <c r="Z65" s="29">
        <f t="shared" ca="1" si="30"/>
        <v>0</v>
      </c>
      <c r="AA65" s="29">
        <f t="shared" ca="1" si="30"/>
        <v>0</v>
      </c>
      <c r="AB65" s="29">
        <f t="shared" ca="1" si="30"/>
        <v>0</v>
      </c>
      <c r="AC65" s="29">
        <f t="shared" ca="1" si="30"/>
        <v>0</v>
      </c>
      <c r="AD65" s="29">
        <f t="shared" ca="1" si="30"/>
        <v>0</v>
      </c>
      <c r="AE65" s="29">
        <f t="shared" ca="1" si="30"/>
        <v>0</v>
      </c>
      <c r="AF65" s="29">
        <f t="shared" ca="1" si="30"/>
        <v>0</v>
      </c>
      <c r="AG65" s="29">
        <f t="shared" ca="1" si="30"/>
        <v>0</v>
      </c>
      <c r="AH65" s="29">
        <f t="shared" ca="1" si="30"/>
        <v>0</v>
      </c>
      <c r="AI65" s="29">
        <f t="shared" ca="1" si="30"/>
        <v>0</v>
      </c>
      <c r="AJ65" s="29">
        <f t="shared" ca="1" si="30"/>
        <v>0</v>
      </c>
      <c r="AK65" s="29">
        <f t="shared" ca="1" si="30"/>
        <v>0</v>
      </c>
      <c r="AL65" s="29">
        <f t="shared" ca="1" si="30"/>
        <v>0</v>
      </c>
      <c r="AM65" s="29">
        <f t="shared" ca="1" si="30"/>
        <v>0</v>
      </c>
      <c r="AN65" s="29">
        <f t="shared" ca="1" si="30"/>
        <v>0</v>
      </c>
      <c r="AO65" s="29">
        <f t="shared" ca="1" si="30"/>
        <v>0</v>
      </c>
      <c r="AP65" s="29">
        <f t="shared" ca="1" si="30"/>
        <v>0</v>
      </c>
      <c r="AQ65" s="29">
        <f t="shared" ca="1" si="30"/>
        <v>0</v>
      </c>
      <c r="AR65" s="29">
        <f t="shared" ca="1" si="30"/>
        <v>0</v>
      </c>
      <c r="AS65" s="29">
        <f t="shared" ca="1" si="30"/>
        <v>0</v>
      </c>
      <c r="AT65" s="29">
        <f t="shared" ca="1" si="30"/>
        <v>0</v>
      </c>
      <c r="AU65" s="29">
        <f t="shared" ca="1" si="30"/>
        <v>0</v>
      </c>
      <c r="AV65" s="29">
        <f t="shared" ca="1" si="30"/>
        <v>0</v>
      </c>
      <c r="AW65" s="29">
        <f t="shared" ca="1" si="30"/>
        <v>0</v>
      </c>
      <c r="AX65" s="29">
        <f t="shared" ca="1" si="30"/>
        <v>0</v>
      </c>
      <c r="AY65" s="29">
        <f t="shared" ca="1" si="30"/>
        <v>0</v>
      </c>
      <c r="AZ65" s="29">
        <f t="shared" ca="1" si="30"/>
        <v>0</v>
      </c>
      <c r="BA65" s="29">
        <f t="shared" ca="1" si="30"/>
        <v>0</v>
      </c>
      <c r="BB65" s="29">
        <f t="shared" ca="1" si="30"/>
        <v>0</v>
      </c>
      <c r="BC65" s="29">
        <f t="shared" ca="1" si="30"/>
        <v>0</v>
      </c>
      <c r="BD65" s="29">
        <f t="shared" ca="1" si="30"/>
        <v>0</v>
      </c>
      <c r="BE65" s="29">
        <f t="shared" ca="1" si="30"/>
        <v>0</v>
      </c>
      <c r="BF65" s="29">
        <f t="shared" ca="1" si="30"/>
        <v>0</v>
      </c>
      <c r="BG65" s="29">
        <f t="shared" ca="1" si="30"/>
        <v>0</v>
      </c>
      <c r="BH65" s="29">
        <f t="shared" ca="1" si="30"/>
        <v>0</v>
      </c>
      <c r="BI65" s="29">
        <f t="shared" ca="1" si="30"/>
        <v>0</v>
      </c>
      <c r="BJ65" s="29">
        <f t="shared" ca="1" si="30"/>
        <v>0</v>
      </c>
      <c r="BK65" s="29">
        <f t="shared" ca="1" si="30"/>
        <v>0</v>
      </c>
      <c r="BL65" s="29">
        <f t="shared" ca="1" si="30"/>
        <v>0</v>
      </c>
      <c r="BM65" s="29">
        <f t="shared" ca="1" si="30"/>
        <v>0</v>
      </c>
      <c r="BN65" s="29">
        <f t="shared" ca="1" si="30"/>
        <v>0</v>
      </c>
      <c r="BO65" s="29">
        <f t="shared" ca="1" si="30"/>
        <v>0</v>
      </c>
      <c r="BP65" s="29">
        <f t="shared" ca="1" si="30"/>
        <v>0</v>
      </c>
      <c r="BQ65" s="29">
        <f t="shared" ca="1" si="30"/>
        <v>0</v>
      </c>
      <c r="BR65" s="29">
        <f t="shared" ca="1" si="30"/>
        <v>0</v>
      </c>
      <c r="BS65" s="29">
        <f t="shared" ca="1" si="30"/>
        <v>0</v>
      </c>
      <c r="BT65" s="29">
        <f t="shared" ca="1" si="30"/>
        <v>0</v>
      </c>
      <c r="BU65" s="29">
        <f t="shared" ca="1" si="30"/>
        <v>0</v>
      </c>
      <c r="BV65" s="29">
        <f t="shared" ca="1" si="30"/>
        <v>0</v>
      </c>
      <c r="BW65" s="29">
        <f t="shared" ca="1" si="30"/>
        <v>0</v>
      </c>
      <c r="BX65" s="29">
        <f t="shared" ca="1" si="30"/>
        <v>0</v>
      </c>
      <c r="BY65" s="29">
        <f t="shared" ca="1" si="30"/>
        <v>0</v>
      </c>
      <c r="BZ65" s="29">
        <f t="shared" ca="1" si="30"/>
        <v>0</v>
      </c>
      <c r="CA65" s="29">
        <f t="shared" ca="1" si="30"/>
        <v>0</v>
      </c>
      <c r="CB65" s="29">
        <f t="shared" ca="1" si="30"/>
        <v>0</v>
      </c>
      <c r="CC65" s="29">
        <f t="shared" ca="1" si="30"/>
        <v>0</v>
      </c>
      <c r="CD65" s="29">
        <f t="shared" ca="1" si="30"/>
        <v>0</v>
      </c>
      <c r="CE65" s="29">
        <f t="shared" ca="1" si="30"/>
        <v>0</v>
      </c>
      <c r="CF65" s="29">
        <f t="shared" ca="1" si="30"/>
        <v>0</v>
      </c>
      <c r="CG65" s="29">
        <f t="shared" ca="1" si="30"/>
        <v>0</v>
      </c>
      <c r="CH65" s="29">
        <f t="shared" ca="1" si="30"/>
        <v>0</v>
      </c>
    </row>
    <row r="66" spans="2:86" ht="13">
      <c r="B66" s="15" t="str">
        <f t="shared" si="23"/>
        <v>Cumulative Total Investments, by cohort of New Investments</v>
      </c>
      <c r="C66" s="15"/>
      <c r="D66" s="15" t="s">
        <v>247</v>
      </c>
      <c r="E66" s="29">
        <f t="shared" ca="1" si="13"/>
        <v>20292708.333333332</v>
      </c>
      <c r="F66" s="29"/>
      <c r="G66" s="29">
        <f t="shared" ref="G66:CH66" ca="1" si="31">F66+G37</f>
        <v>1203125</v>
      </c>
      <c r="H66" s="29">
        <f t="shared" ca="1" si="31"/>
        <v>2406250</v>
      </c>
      <c r="I66" s="29">
        <f t="shared" ca="1" si="31"/>
        <v>3609375</v>
      </c>
      <c r="J66" s="29">
        <f t="shared" ca="1" si="31"/>
        <v>4812500</v>
      </c>
      <c r="K66" s="29">
        <f t="shared" ca="1" si="31"/>
        <v>6015625</v>
      </c>
      <c r="L66" s="29">
        <f t="shared" ca="1" si="31"/>
        <v>7218750</v>
      </c>
      <c r="M66" s="29">
        <f t="shared" ca="1" si="31"/>
        <v>8421875</v>
      </c>
      <c r="N66" s="29">
        <f t="shared" ca="1" si="31"/>
        <v>9625000</v>
      </c>
      <c r="O66" s="29">
        <f t="shared" ca="1" si="31"/>
        <v>10828125</v>
      </c>
      <c r="P66" s="29">
        <f t="shared" ca="1" si="31"/>
        <v>12031250</v>
      </c>
      <c r="Q66" s="29">
        <f t="shared" ca="1" si="31"/>
        <v>13234375</v>
      </c>
      <c r="R66" s="29">
        <f t="shared" ca="1" si="31"/>
        <v>14437500</v>
      </c>
      <c r="S66" s="29">
        <f t="shared" ca="1" si="31"/>
        <v>15901302.083333334</v>
      </c>
      <c r="T66" s="29">
        <f t="shared" ca="1" si="31"/>
        <v>17365104.166666668</v>
      </c>
      <c r="U66" s="29">
        <f t="shared" ca="1" si="31"/>
        <v>18828906.25</v>
      </c>
      <c r="V66" s="29">
        <f t="shared" ca="1" si="31"/>
        <v>20292708.333333332</v>
      </c>
      <c r="W66" s="29">
        <f t="shared" ca="1" si="31"/>
        <v>20292708.333333332</v>
      </c>
      <c r="X66" s="29">
        <f t="shared" ca="1" si="31"/>
        <v>20292708.333333332</v>
      </c>
      <c r="Y66" s="29">
        <f t="shared" ca="1" si="31"/>
        <v>20292708.333333332</v>
      </c>
      <c r="Z66" s="29">
        <f t="shared" ca="1" si="31"/>
        <v>20292708.333333332</v>
      </c>
      <c r="AA66" s="29">
        <f t="shared" ca="1" si="31"/>
        <v>20292708.333333332</v>
      </c>
      <c r="AB66" s="29">
        <f t="shared" ca="1" si="31"/>
        <v>20292708.333333332</v>
      </c>
      <c r="AC66" s="29">
        <f t="shared" ca="1" si="31"/>
        <v>20292708.333333332</v>
      </c>
      <c r="AD66" s="29">
        <f t="shared" ca="1" si="31"/>
        <v>20292708.333333332</v>
      </c>
      <c r="AE66" s="29">
        <f t="shared" ca="1" si="31"/>
        <v>20292708.333333332</v>
      </c>
      <c r="AF66" s="29">
        <f t="shared" ca="1" si="31"/>
        <v>20292708.333333332</v>
      </c>
      <c r="AG66" s="29">
        <f t="shared" ca="1" si="31"/>
        <v>20292708.333333332</v>
      </c>
      <c r="AH66" s="29">
        <f t="shared" ca="1" si="31"/>
        <v>20292708.333333332</v>
      </c>
      <c r="AI66" s="29">
        <f t="shared" ca="1" si="31"/>
        <v>20292708.333333332</v>
      </c>
      <c r="AJ66" s="29">
        <f t="shared" ca="1" si="31"/>
        <v>20292708.333333332</v>
      </c>
      <c r="AK66" s="29">
        <f t="shared" ca="1" si="31"/>
        <v>20292708.333333332</v>
      </c>
      <c r="AL66" s="29">
        <f t="shared" ca="1" si="31"/>
        <v>20292708.333333332</v>
      </c>
      <c r="AM66" s="29">
        <f t="shared" ca="1" si="31"/>
        <v>20292708.333333332</v>
      </c>
      <c r="AN66" s="29">
        <f t="shared" ca="1" si="31"/>
        <v>20292708.333333332</v>
      </c>
      <c r="AO66" s="29">
        <f t="shared" ca="1" si="31"/>
        <v>20292708.333333332</v>
      </c>
      <c r="AP66" s="29">
        <f t="shared" ca="1" si="31"/>
        <v>20292708.333333332</v>
      </c>
      <c r="AQ66" s="29">
        <f t="shared" ca="1" si="31"/>
        <v>20292708.333333332</v>
      </c>
      <c r="AR66" s="29">
        <f t="shared" ca="1" si="31"/>
        <v>20292708.333333332</v>
      </c>
      <c r="AS66" s="29">
        <f t="shared" ca="1" si="31"/>
        <v>20292708.333333332</v>
      </c>
      <c r="AT66" s="29">
        <f t="shared" ca="1" si="31"/>
        <v>20292708.333333332</v>
      </c>
      <c r="AU66" s="29">
        <f t="shared" ca="1" si="31"/>
        <v>20292708.333333332</v>
      </c>
      <c r="AV66" s="29">
        <f t="shared" ca="1" si="31"/>
        <v>20292708.333333332</v>
      </c>
      <c r="AW66" s="29">
        <f t="shared" ca="1" si="31"/>
        <v>20292708.333333332</v>
      </c>
      <c r="AX66" s="29">
        <f t="shared" ca="1" si="31"/>
        <v>20292708.333333332</v>
      </c>
      <c r="AY66" s="29">
        <f t="shared" ca="1" si="31"/>
        <v>20292708.333333332</v>
      </c>
      <c r="AZ66" s="29">
        <f t="shared" ca="1" si="31"/>
        <v>20292708.333333332</v>
      </c>
      <c r="BA66" s="29">
        <f t="shared" ca="1" si="31"/>
        <v>20292708.333333332</v>
      </c>
      <c r="BB66" s="29">
        <f t="shared" ca="1" si="31"/>
        <v>20292708.333333332</v>
      </c>
      <c r="BC66" s="29">
        <f t="shared" ca="1" si="31"/>
        <v>20292708.333333332</v>
      </c>
      <c r="BD66" s="29">
        <f t="shared" ca="1" si="31"/>
        <v>20292708.333333332</v>
      </c>
      <c r="BE66" s="29">
        <f t="shared" ca="1" si="31"/>
        <v>20292708.333333332</v>
      </c>
      <c r="BF66" s="29">
        <f t="shared" ca="1" si="31"/>
        <v>20292708.333333332</v>
      </c>
      <c r="BG66" s="29">
        <f t="shared" ca="1" si="31"/>
        <v>20292708.333333332</v>
      </c>
      <c r="BH66" s="29">
        <f t="shared" ca="1" si="31"/>
        <v>20292708.333333332</v>
      </c>
      <c r="BI66" s="29">
        <f t="shared" ca="1" si="31"/>
        <v>20292708.333333332</v>
      </c>
      <c r="BJ66" s="29">
        <f t="shared" ca="1" si="31"/>
        <v>20292708.333333332</v>
      </c>
      <c r="BK66" s="29">
        <f t="shared" ca="1" si="31"/>
        <v>20292708.333333332</v>
      </c>
      <c r="BL66" s="29">
        <f t="shared" ca="1" si="31"/>
        <v>20292708.333333332</v>
      </c>
      <c r="BM66" s="29">
        <f t="shared" ca="1" si="31"/>
        <v>20292708.333333332</v>
      </c>
      <c r="BN66" s="29">
        <f t="shared" ca="1" si="31"/>
        <v>20292708.333333332</v>
      </c>
      <c r="BO66" s="29">
        <f t="shared" ca="1" si="31"/>
        <v>20292708.333333332</v>
      </c>
      <c r="BP66" s="29">
        <f t="shared" ca="1" si="31"/>
        <v>20292708.333333332</v>
      </c>
      <c r="BQ66" s="29">
        <f t="shared" ca="1" si="31"/>
        <v>20292708.333333332</v>
      </c>
      <c r="BR66" s="29">
        <f t="shared" ca="1" si="31"/>
        <v>20292708.333333332</v>
      </c>
      <c r="BS66" s="29">
        <f t="shared" ca="1" si="31"/>
        <v>20292708.333333332</v>
      </c>
      <c r="BT66" s="29">
        <f t="shared" ca="1" si="31"/>
        <v>20292708.333333332</v>
      </c>
      <c r="BU66" s="29">
        <f t="shared" ca="1" si="31"/>
        <v>20292708.333333332</v>
      </c>
      <c r="BV66" s="29">
        <f t="shared" ca="1" si="31"/>
        <v>20292708.333333332</v>
      </c>
      <c r="BW66" s="29">
        <f t="shared" ca="1" si="31"/>
        <v>20292708.333333332</v>
      </c>
      <c r="BX66" s="29">
        <f t="shared" ca="1" si="31"/>
        <v>20292708.333333332</v>
      </c>
      <c r="BY66" s="29">
        <f t="shared" ca="1" si="31"/>
        <v>20292708.333333332</v>
      </c>
      <c r="BZ66" s="29">
        <f t="shared" ca="1" si="31"/>
        <v>20292708.333333332</v>
      </c>
      <c r="CA66" s="29">
        <f t="shared" ca="1" si="31"/>
        <v>20292708.333333332</v>
      </c>
      <c r="CB66" s="29">
        <f t="shared" ca="1" si="31"/>
        <v>20292708.333333332</v>
      </c>
      <c r="CC66" s="29">
        <f t="shared" ca="1" si="31"/>
        <v>20292708.333333332</v>
      </c>
      <c r="CD66" s="29">
        <f t="shared" ca="1" si="31"/>
        <v>20292708.333333332</v>
      </c>
      <c r="CE66" s="29">
        <f t="shared" ca="1" si="31"/>
        <v>20292708.333333332</v>
      </c>
      <c r="CF66" s="29">
        <f t="shared" ca="1" si="31"/>
        <v>20292708.333333332</v>
      </c>
      <c r="CG66" s="29">
        <f t="shared" ca="1" si="31"/>
        <v>20292708.333333332</v>
      </c>
      <c r="CH66" s="29">
        <f t="shared" ca="1" si="31"/>
        <v>20292708.333333332</v>
      </c>
    </row>
    <row r="67" spans="2:86" ht="13">
      <c r="B67" s="15" t="str">
        <f t="shared" si="23"/>
        <v>Cumulative Total Investments</v>
      </c>
      <c r="C67" s="15"/>
      <c r="D67" s="15" t="s">
        <v>247</v>
      </c>
      <c r="E67" s="29">
        <f t="shared" ca="1" si="13"/>
        <v>20292708.333333332</v>
      </c>
      <c r="F67" s="29"/>
      <c r="G67" s="29">
        <f t="shared" ref="G67:CH67" ca="1" si="32">F67+G38</f>
        <v>1203125</v>
      </c>
      <c r="H67" s="29">
        <f t="shared" ca="1" si="32"/>
        <v>2406250</v>
      </c>
      <c r="I67" s="29">
        <f t="shared" ca="1" si="32"/>
        <v>3609375</v>
      </c>
      <c r="J67" s="29">
        <f t="shared" ca="1" si="32"/>
        <v>4812500</v>
      </c>
      <c r="K67" s="29">
        <f t="shared" ca="1" si="32"/>
        <v>6015625</v>
      </c>
      <c r="L67" s="29">
        <f t="shared" ca="1" si="32"/>
        <v>7218750</v>
      </c>
      <c r="M67" s="29">
        <f t="shared" ca="1" si="32"/>
        <v>8421875</v>
      </c>
      <c r="N67" s="29">
        <f t="shared" ca="1" si="32"/>
        <v>9625000</v>
      </c>
      <c r="O67" s="29">
        <f t="shared" ca="1" si="32"/>
        <v>10828125</v>
      </c>
      <c r="P67" s="29">
        <f t="shared" ca="1" si="32"/>
        <v>12031250</v>
      </c>
      <c r="Q67" s="29">
        <f t="shared" ca="1" si="32"/>
        <v>13234375</v>
      </c>
      <c r="R67" s="29">
        <f t="shared" ca="1" si="32"/>
        <v>14437500</v>
      </c>
      <c r="S67" s="29">
        <f t="shared" ca="1" si="32"/>
        <v>15901302.083333334</v>
      </c>
      <c r="T67" s="29">
        <f t="shared" ca="1" si="32"/>
        <v>17365104.166666668</v>
      </c>
      <c r="U67" s="29">
        <f t="shared" ca="1" si="32"/>
        <v>18828906.25</v>
      </c>
      <c r="V67" s="29">
        <f t="shared" ca="1" si="32"/>
        <v>20292708.333333332</v>
      </c>
      <c r="W67" s="29">
        <f t="shared" ca="1" si="32"/>
        <v>20292708.333333332</v>
      </c>
      <c r="X67" s="29">
        <f t="shared" ca="1" si="32"/>
        <v>20292708.333333332</v>
      </c>
      <c r="Y67" s="29">
        <f t="shared" ca="1" si="32"/>
        <v>20292708.333333332</v>
      </c>
      <c r="Z67" s="29">
        <f t="shared" ca="1" si="32"/>
        <v>20292708.333333332</v>
      </c>
      <c r="AA67" s="29">
        <f t="shared" ca="1" si="32"/>
        <v>20292708.333333332</v>
      </c>
      <c r="AB67" s="29">
        <f t="shared" ca="1" si="32"/>
        <v>20292708.333333332</v>
      </c>
      <c r="AC67" s="29">
        <f t="shared" ca="1" si="32"/>
        <v>20292708.333333332</v>
      </c>
      <c r="AD67" s="29">
        <f t="shared" ca="1" si="32"/>
        <v>20292708.333333332</v>
      </c>
      <c r="AE67" s="29">
        <f t="shared" ca="1" si="32"/>
        <v>20292708.333333332</v>
      </c>
      <c r="AF67" s="29">
        <f t="shared" ca="1" si="32"/>
        <v>20292708.333333332</v>
      </c>
      <c r="AG67" s="29">
        <f t="shared" ca="1" si="32"/>
        <v>20292708.333333332</v>
      </c>
      <c r="AH67" s="29">
        <f t="shared" ca="1" si="32"/>
        <v>20292708.333333332</v>
      </c>
      <c r="AI67" s="29">
        <f t="shared" ca="1" si="32"/>
        <v>20292708.333333332</v>
      </c>
      <c r="AJ67" s="29">
        <f t="shared" ca="1" si="32"/>
        <v>20292708.333333332</v>
      </c>
      <c r="AK67" s="29">
        <f t="shared" ca="1" si="32"/>
        <v>20292708.333333332</v>
      </c>
      <c r="AL67" s="29">
        <f t="shared" ca="1" si="32"/>
        <v>20292708.333333332</v>
      </c>
      <c r="AM67" s="29">
        <f t="shared" ca="1" si="32"/>
        <v>20292708.333333332</v>
      </c>
      <c r="AN67" s="29">
        <f t="shared" ca="1" si="32"/>
        <v>20292708.333333332</v>
      </c>
      <c r="AO67" s="29">
        <f t="shared" ca="1" si="32"/>
        <v>20292708.333333332</v>
      </c>
      <c r="AP67" s="29">
        <f t="shared" ca="1" si="32"/>
        <v>20292708.333333332</v>
      </c>
      <c r="AQ67" s="29">
        <f t="shared" ca="1" si="32"/>
        <v>20292708.333333332</v>
      </c>
      <c r="AR67" s="29">
        <f t="shared" ca="1" si="32"/>
        <v>20292708.333333332</v>
      </c>
      <c r="AS67" s="29">
        <f t="shared" ca="1" si="32"/>
        <v>20292708.333333332</v>
      </c>
      <c r="AT67" s="29">
        <f t="shared" ca="1" si="32"/>
        <v>20292708.333333332</v>
      </c>
      <c r="AU67" s="29">
        <f t="shared" ca="1" si="32"/>
        <v>20292708.333333332</v>
      </c>
      <c r="AV67" s="29">
        <f t="shared" ca="1" si="32"/>
        <v>20292708.333333332</v>
      </c>
      <c r="AW67" s="29">
        <f t="shared" ca="1" si="32"/>
        <v>20292708.333333332</v>
      </c>
      <c r="AX67" s="29">
        <f t="shared" ca="1" si="32"/>
        <v>20292708.333333332</v>
      </c>
      <c r="AY67" s="29">
        <f t="shared" ca="1" si="32"/>
        <v>20292708.333333332</v>
      </c>
      <c r="AZ67" s="29">
        <f t="shared" ca="1" si="32"/>
        <v>20292708.333333332</v>
      </c>
      <c r="BA67" s="29">
        <f t="shared" ca="1" si="32"/>
        <v>20292708.333333332</v>
      </c>
      <c r="BB67" s="29">
        <f t="shared" ca="1" si="32"/>
        <v>20292708.333333332</v>
      </c>
      <c r="BC67" s="29">
        <f t="shared" ca="1" si="32"/>
        <v>20292708.333333332</v>
      </c>
      <c r="BD67" s="29">
        <f t="shared" ca="1" si="32"/>
        <v>20292708.333333332</v>
      </c>
      <c r="BE67" s="29">
        <f t="shared" ca="1" si="32"/>
        <v>20292708.333333332</v>
      </c>
      <c r="BF67" s="29">
        <f t="shared" ca="1" si="32"/>
        <v>20292708.333333332</v>
      </c>
      <c r="BG67" s="29">
        <f t="shared" ca="1" si="32"/>
        <v>20292708.333333332</v>
      </c>
      <c r="BH67" s="29">
        <f t="shared" ca="1" si="32"/>
        <v>20292708.333333332</v>
      </c>
      <c r="BI67" s="29">
        <f t="shared" ca="1" si="32"/>
        <v>20292708.333333332</v>
      </c>
      <c r="BJ67" s="29">
        <f t="shared" ca="1" si="32"/>
        <v>20292708.333333332</v>
      </c>
      <c r="BK67" s="29">
        <f t="shared" ca="1" si="32"/>
        <v>20292708.333333332</v>
      </c>
      <c r="BL67" s="29">
        <f t="shared" ca="1" si="32"/>
        <v>20292708.333333332</v>
      </c>
      <c r="BM67" s="29">
        <f t="shared" ca="1" si="32"/>
        <v>20292708.333333332</v>
      </c>
      <c r="BN67" s="29">
        <f t="shared" ca="1" si="32"/>
        <v>20292708.333333332</v>
      </c>
      <c r="BO67" s="29">
        <f t="shared" ca="1" si="32"/>
        <v>20292708.333333332</v>
      </c>
      <c r="BP67" s="29">
        <f t="shared" ca="1" si="32"/>
        <v>20292708.333333332</v>
      </c>
      <c r="BQ67" s="29">
        <f t="shared" ca="1" si="32"/>
        <v>20292708.333333332</v>
      </c>
      <c r="BR67" s="29">
        <f t="shared" ca="1" si="32"/>
        <v>20292708.333333332</v>
      </c>
      <c r="BS67" s="29">
        <f t="shared" ca="1" si="32"/>
        <v>20292708.333333332</v>
      </c>
      <c r="BT67" s="29">
        <f t="shared" ca="1" si="32"/>
        <v>20292708.333333332</v>
      </c>
      <c r="BU67" s="29">
        <f t="shared" ca="1" si="32"/>
        <v>20292708.333333332</v>
      </c>
      <c r="BV67" s="29">
        <f t="shared" ca="1" si="32"/>
        <v>20292708.333333332</v>
      </c>
      <c r="BW67" s="29">
        <f t="shared" ca="1" si="32"/>
        <v>20292708.333333332</v>
      </c>
      <c r="BX67" s="29">
        <f t="shared" ca="1" si="32"/>
        <v>20292708.333333332</v>
      </c>
      <c r="BY67" s="29">
        <f t="shared" ca="1" si="32"/>
        <v>20292708.333333332</v>
      </c>
      <c r="BZ67" s="29">
        <f t="shared" ca="1" si="32"/>
        <v>20292708.333333332</v>
      </c>
      <c r="CA67" s="29">
        <f t="shared" ca="1" si="32"/>
        <v>20292708.333333332</v>
      </c>
      <c r="CB67" s="29">
        <f t="shared" ca="1" si="32"/>
        <v>20292708.333333332</v>
      </c>
      <c r="CC67" s="29">
        <f t="shared" ca="1" si="32"/>
        <v>20292708.333333332</v>
      </c>
      <c r="CD67" s="29">
        <f t="shared" ca="1" si="32"/>
        <v>20292708.333333332</v>
      </c>
      <c r="CE67" s="29">
        <f t="shared" ca="1" si="32"/>
        <v>20292708.333333332</v>
      </c>
      <c r="CF67" s="29">
        <f t="shared" ca="1" si="32"/>
        <v>20292708.333333332</v>
      </c>
      <c r="CG67" s="29">
        <f t="shared" ca="1" si="32"/>
        <v>20292708.333333332</v>
      </c>
      <c r="CH67" s="29">
        <f t="shared" ca="1" si="32"/>
        <v>20292708.333333332</v>
      </c>
    </row>
    <row r="68" spans="2:86" ht="13">
      <c r="B68" s="15" t="str">
        <f t="shared" si="23"/>
        <v>Cumulative Organizational Expenses</v>
      </c>
      <c r="C68" s="15"/>
      <c r="D68" s="15" t="s">
        <v>247</v>
      </c>
      <c r="E68" s="29">
        <f t="shared" si="13"/>
        <v>100000</v>
      </c>
      <c r="F68" s="29"/>
      <c r="G68" s="29">
        <f t="shared" ref="G68:CH68" si="33">F68+G39</f>
        <v>100000</v>
      </c>
      <c r="H68" s="29">
        <f t="shared" si="33"/>
        <v>100000</v>
      </c>
      <c r="I68" s="29">
        <f t="shared" si="33"/>
        <v>100000</v>
      </c>
      <c r="J68" s="29">
        <f t="shared" si="33"/>
        <v>100000</v>
      </c>
      <c r="K68" s="29">
        <f t="shared" si="33"/>
        <v>100000</v>
      </c>
      <c r="L68" s="29">
        <f t="shared" si="33"/>
        <v>100000</v>
      </c>
      <c r="M68" s="29">
        <f t="shared" si="33"/>
        <v>100000</v>
      </c>
      <c r="N68" s="29">
        <f t="shared" si="33"/>
        <v>100000</v>
      </c>
      <c r="O68" s="29">
        <f t="shared" si="33"/>
        <v>100000</v>
      </c>
      <c r="P68" s="29">
        <f t="shared" si="33"/>
        <v>100000</v>
      </c>
      <c r="Q68" s="29">
        <f t="shared" si="33"/>
        <v>100000</v>
      </c>
      <c r="R68" s="29">
        <f t="shared" si="33"/>
        <v>100000</v>
      </c>
      <c r="S68" s="29">
        <f t="shared" si="33"/>
        <v>100000</v>
      </c>
      <c r="T68" s="29">
        <f t="shared" si="33"/>
        <v>100000</v>
      </c>
      <c r="U68" s="29">
        <f t="shared" si="33"/>
        <v>100000</v>
      </c>
      <c r="V68" s="29">
        <f t="shared" si="33"/>
        <v>100000</v>
      </c>
      <c r="W68" s="29">
        <f t="shared" si="33"/>
        <v>100000</v>
      </c>
      <c r="X68" s="29">
        <f t="shared" si="33"/>
        <v>100000</v>
      </c>
      <c r="Y68" s="29">
        <f t="shared" si="33"/>
        <v>100000</v>
      </c>
      <c r="Z68" s="29">
        <f t="shared" si="33"/>
        <v>100000</v>
      </c>
      <c r="AA68" s="29">
        <f t="shared" si="33"/>
        <v>100000</v>
      </c>
      <c r="AB68" s="29">
        <f t="shared" si="33"/>
        <v>100000</v>
      </c>
      <c r="AC68" s="29">
        <f t="shared" si="33"/>
        <v>100000</v>
      </c>
      <c r="AD68" s="29">
        <f t="shared" si="33"/>
        <v>100000</v>
      </c>
      <c r="AE68" s="29">
        <f t="shared" si="33"/>
        <v>100000</v>
      </c>
      <c r="AF68" s="29">
        <f t="shared" si="33"/>
        <v>100000</v>
      </c>
      <c r="AG68" s="29">
        <f t="shared" si="33"/>
        <v>100000</v>
      </c>
      <c r="AH68" s="29">
        <f t="shared" si="33"/>
        <v>100000</v>
      </c>
      <c r="AI68" s="29">
        <f t="shared" si="33"/>
        <v>100000</v>
      </c>
      <c r="AJ68" s="29">
        <f t="shared" si="33"/>
        <v>100000</v>
      </c>
      <c r="AK68" s="29">
        <f t="shared" si="33"/>
        <v>100000</v>
      </c>
      <c r="AL68" s="29">
        <f t="shared" si="33"/>
        <v>100000</v>
      </c>
      <c r="AM68" s="29">
        <f t="shared" si="33"/>
        <v>100000</v>
      </c>
      <c r="AN68" s="29">
        <f t="shared" si="33"/>
        <v>100000</v>
      </c>
      <c r="AO68" s="29">
        <f t="shared" si="33"/>
        <v>100000</v>
      </c>
      <c r="AP68" s="29">
        <f t="shared" si="33"/>
        <v>100000</v>
      </c>
      <c r="AQ68" s="29">
        <f t="shared" si="33"/>
        <v>100000</v>
      </c>
      <c r="AR68" s="29">
        <f t="shared" si="33"/>
        <v>100000</v>
      </c>
      <c r="AS68" s="29">
        <f t="shared" si="33"/>
        <v>100000</v>
      </c>
      <c r="AT68" s="29">
        <f t="shared" si="33"/>
        <v>100000</v>
      </c>
      <c r="AU68" s="29">
        <f t="shared" si="33"/>
        <v>100000</v>
      </c>
      <c r="AV68" s="29">
        <f t="shared" si="33"/>
        <v>100000</v>
      </c>
      <c r="AW68" s="29">
        <f t="shared" si="33"/>
        <v>100000</v>
      </c>
      <c r="AX68" s="29">
        <f t="shared" si="33"/>
        <v>100000</v>
      </c>
      <c r="AY68" s="29">
        <f t="shared" si="33"/>
        <v>100000</v>
      </c>
      <c r="AZ68" s="29">
        <f t="shared" si="33"/>
        <v>100000</v>
      </c>
      <c r="BA68" s="29">
        <f t="shared" si="33"/>
        <v>100000</v>
      </c>
      <c r="BB68" s="29">
        <f t="shared" si="33"/>
        <v>100000</v>
      </c>
      <c r="BC68" s="29">
        <f t="shared" si="33"/>
        <v>100000</v>
      </c>
      <c r="BD68" s="29">
        <f t="shared" si="33"/>
        <v>100000</v>
      </c>
      <c r="BE68" s="29">
        <f t="shared" si="33"/>
        <v>100000</v>
      </c>
      <c r="BF68" s="29">
        <f t="shared" si="33"/>
        <v>100000</v>
      </c>
      <c r="BG68" s="29">
        <f t="shared" si="33"/>
        <v>100000</v>
      </c>
      <c r="BH68" s="29">
        <f t="shared" si="33"/>
        <v>100000</v>
      </c>
      <c r="BI68" s="29">
        <f t="shared" si="33"/>
        <v>100000</v>
      </c>
      <c r="BJ68" s="29">
        <f t="shared" si="33"/>
        <v>100000</v>
      </c>
      <c r="BK68" s="29">
        <f t="shared" si="33"/>
        <v>100000</v>
      </c>
      <c r="BL68" s="29">
        <f t="shared" si="33"/>
        <v>100000</v>
      </c>
      <c r="BM68" s="29">
        <f t="shared" si="33"/>
        <v>100000</v>
      </c>
      <c r="BN68" s="29">
        <f t="shared" si="33"/>
        <v>100000</v>
      </c>
      <c r="BO68" s="29">
        <f t="shared" si="33"/>
        <v>100000</v>
      </c>
      <c r="BP68" s="29">
        <f t="shared" si="33"/>
        <v>100000</v>
      </c>
      <c r="BQ68" s="29">
        <f t="shared" si="33"/>
        <v>100000</v>
      </c>
      <c r="BR68" s="29">
        <f t="shared" si="33"/>
        <v>100000</v>
      </c>
      <c r="BS68" s="29">
        <f t="shared" si="33"/>
        <v>100000</v>
      </c>
      <c r="BT68" s="29">
        <f t="shared" si="33"/>
        <v>100000</v>
      </c>
      <c r="BU68" s="29">
        <f t="shared" si="33"/>
        <v>100000</v>
      </c>
      <c r="BV68" s="29">
        <f t="shared" si="33"/>
        <v>100000</v>
      </c>
      <c r="BW68" s="29">
        <f t="shared" si="33"/>
        <v>100000</v>
      </c>
      <c r="BX68" s="29">
        <f t="shared" si="33"/>
        <v>100000</v>
      </c>
      <c r="BY68" s="29">
        <f t="shared" si="33"/>
        <v>100000</v>
      </c>
      <c r="BZ68" s="29">
        <f t="shared" si="33"/>
        <v>100000</v>
      </c>
      <c r="CA68" s="29">
        <f t="shared" si="33"/>
        <v>100000</v>
      </c>
      <c r="CB68" s="29">
        <f t="shared" si="33"/>
        <v>100000</v>
      </c>
      <c r="CC68" s="29">
        <f t="shared" si="33"/>
        <v>100000</v>
      </c>
      <c r="CD68" s="29">
        <f t="shared" si="33"/>
        <v>100000</v>
      </c>
      <c r="CE68" s="29">
        <f t="shared" si="33"/>
        <v>100000</v>
      </c>
      <c r="CF68" s="29">
        <f t="shared" si="33"/>
        <v>100000</v>
      </c>
      <c r="CG68" s="29">
        <f t="shared" si="33"/>
        <v>100000</v>
      </c>
      <c r="CH68" s="29">
        <f t="shared" si="33"/>
        <v>100000</v>
      </c>
    </row>
    <row r="69" spans="2:86" ht="13">
      <c r="B69" s="15" t="str">
        <f t="shared" si="23"/>
        <v>Cumulative Operational Expenses</v>
      </c>
      <c r="C69" s="15"/>
      <c r="D69" s="15" t="s">
        <v>247</v>
      </c>
      <c r="E69" s="29">
        <f t="shared" si="13"/>
        <v>750000</v>
      </c>
      <c r="F69" s="29"/>
      <c r="G69" s="29">
        <f t="shared" ref="G69:CH69" si="34">F69+G40</f>
        <v>18750</v>
      </c>
      <c r="H69" s="29">
        <f t="shared" si="34"/>
        <v>37500</v>
      </c>
      <c r="I69" s="29">
        <f t="shared" si="34"/>
        <v>56250</v>
      </c>
      <c r="J69" s="29">
        <f t="shared" si="34"/>
        <v>75000</v>
      </c>
      <c r="K69" s="29">
        <f t="shared" si="34"/>
        <v>93750</v>
      </c>
      <c r="L69" s="29">
        <f t="shared" si="34"/>
        <v>112500</v>
      </c>
      <c r="M69" s="29">
        <f t="shared" si="34"/>
        <v>131250</v>
      </c>
      <c r="N69" s="29">
        <f t="shared" si="34"/>
        <v>150000</v>
      </c>
      <c r="O69" s="29">
        <f t="shared" si="34"/>
        <v>168750</v>
      </c>
      <c r="P69" s="29">
        <f t="shared" si="34"/>
        <v>187500</v>
      </c>
      <c r="Q69" s="29">
        <f t="shared" si="34"/>
        <v>206250</v>
      </c>
      <c r="R69" s="29">
        <f t="shared" si="34"/>
        <v>225000</v>
      </c>
      <c r="S69" s="29">
        <f t="shared" si="34"/>
        <v>243750</v>
      </c>
      <c r="T69" s="29">
        <f t="shared" si="34"/>
        <v>262500</v>
      </c>
      <c r="U69" s="29">
        <f t="shared" si="34"/>
        <v>281250</v>
      </c>
      <c r="V69" s="29">
        <f t="shared" si="34"/>
        <v>300000</v>
      </c>
      <c r="W69" s="29">
        <f t="shared" si="34"/>
        <v>318750</v>
      </c>
      <c r="X69" s="29">
        <f t="shared" si="34"/>
        <v>337500</v>
      </c>
      <c r="Y69" s="29">
        <f t="shared" si="34"/>
        <v>356250</v>
      </c>
      <c r="Z69" s="29">
        <f t="shared" si="34"/>
        <v>375000</v>
      </c>
      <c r="AA69" s="29">
        <f t="shared" si="34"/>
        <v>393750</v>
      </c>
      <c r="AB69" s="29">
        <f t="shared" si="34"/>
        <v>412500</v>
      </c>
      <c r="AC69" s="29">
        <f t="shared" si="34"/>
        <v>431250</v>
      </c>
      <c r="AD69" s="29">
        <f t="shared" si="34"/>
        <v>450000</v>
      </c>
      <c r="AE69" s="29">
        <f t="shared" si="34"/>
        <v>468750</v>
      </c>
      <c r="AF69" s="29">
        <f t="shared" si="34"/>
        <v>487500</v>
      </c>
      <c r="AG69" s="29">
        <f t="shared" si="34"/>
        <v>506250</v>
      </c>
      <c r="AH69" s="29">
        <f t="shared" si="34"/>
        <v>525000</v>
      </c>
      <c r="AI69" s="29">
        <f t="shared" si="34"/>
        <v>543750</v>
      </c>
      <c r="AJ69" s="29">
        <f t="shared" si="34"/>
        <v>562500</v>
      </c>
      <c r="AK69" s="29">
        <f t="shared" si="34"/>
        <v>581250</v>
      </c>
      <c r="AL69" s="29">
        <f t="shared" si="34"/>
        <v>600000</v>
      </c>
      <c r="AM69" s="29">
        <f t="shared" si="34"/>
        <v>618750</v>
      </c>
      <c r="AN69" s="29">
        <f t="shared" si="34"/>
        <v>637500</v>
      </c>
      <c r="AO69" s="29">
        <f t="shared" si="34"/>
        <v>656250</v>
      </c>
      <c r="AP69" s="29">
        <f t="shared" si="34"/>
        <v>675000</v>
      </c>
      <c r="AQ69" s="29">
        <f t="shared" si="34"/>
        <v>693750</v>
      </c>
      <c r="AR69" s="29">
        <f t="shared" si="34"/>
        <v>712500</v>
      </c>
      <c r="AS69" s="29">
        <f t="shared" si="34"/>
        <v>731250</v>
      </c>
      <c r="AT69" s="29">
        <f t="shared" si="34"/>
        <v>750000</v>
      </c>
      <c r="AU69" s="29">
        <f t="shared" si="34"/>
        <v>750000</v>
      </c>
      <c r="AV69" s="29">
        <f t="shared" si="34"/>
        <v>750000</v>
      </c>
      <c r="AW69" s="29">
        <f t="shared" si="34"/>
        <v>750000</v>
      </c>
      <c r="AX69" s="29">
        <f t="shared" si="34"/>
        <v>750000</v>
      </c>
      <c r="AY69" s="29">
        <f t="shared" si="34"/>
        <v>750000</v>
      </c>
      <c r="AZ69" s="29">
        <f t="shared" si="34"/>
        <v>750000</v>
      </c>
      <c r="BA69" s="29">
        <f t="shared" si="34"/>
        <v>750000</v>
      </c>
      <c r="BB69" s="29">
        <f t="shared" si="34"/>
        <v>750000</v>
      </c>
      <c r="BC69" s="29">
        <f t="shared" si="34"/>
        <v>750000</v>
      </c>
      <c r="BD69" s="29">
        <f t="shared" si="34"/>
        <v>750000</v>
      </c>
      <c r="BE69" s="29">
        <f t="shared" si="34"/>
        <v>750000</v>
      </c>
      <c r="BF69" s="29">
        <f t="shared" si="34"/>
        <v>750000</v>
      </c>
      <c r="BG69" s="29">
        <f t="shared" si="34"/>
        <v>750000</v>
      </c>
      <c r="BH69" s="29">
        <f t="shared" si="34"/>
        <v>750000</v>
      </c>
      <c r="BI69" s="29">
        <f t="shared" si="34"/>
        <v>750000</v>
      </c>
      <c r="BJ69" s="29">
        <f t="shared" si="34"/>
        <v>750000</v>
      </c>
      <c r="BK69" s="29">
        <f t="shared" si="34"/>
        <v>750000</v>
      </c>
      <c r="BL69" s="29">
        <f t="shared" si="34"/>
        <v>750000</v>
      </c>
      <c r="BM69" s="29">
        <f t="shared" si="34"/>
        <v>750000</v>
      </c>
      <c r="BN69" s="29">
        <f t="shared" si="34"/>
        <v>750000</v>
      </c>
      <c r="BO69" s="29">
        <f t="shared" si="34"/>
        <v>750000</v>
      </c>
      <c r="BP69" s="29">
        <f t="shared" si="34"/>
        <v>750000</v>
      </c>
      <c r="BQ69" s="29">
        <f t="shared" si="34"/>
        <v>750000</v>
      </c>
      <c r="BR69" s="29">
        <f t="shared" si="34"/>
        <v>750000</v>
      </c>
      <c r="BS69" s="29">
        <f t="shared" si="34"/>
        <v>750000</v>
      </c>
      <c r="BT69" s="29">
        <f t="shared" si="34"/>
        <v>750000</v>
      </c>
      <c r="BU69" s="29">
        <f t="shared" si="34"/>
        <v>750000</v>
      </c>
      <c r="BV69" s="29">
        <f t="shared" si="34"/>
        <v>750000</v>
      </c>
      <c r="BW69" s="29">
        <f t="shared" si="34"/>
        <v>750000</v>
      </c>
      <c r="BX69" s="29">
        <f t="shared" si="34"/>
        <v>750000</v>
      </c>
      <c r="BY69" s="29">
        <f t="shared" si="34"/>
        <v>750000</v>
      </c>
      <c r="BZ69" s="29">
        <f t="shared" si="34"/>
        <v>750000</v>
      </c>
      <c r="CA69" s="29">
        <f t="shared" si="34"/>
        <v>750000</v>
      </c>
      <c r="CB69" s="29">
        <f t="shared" si="34"/>
        <v>750000</v>
      </c>
      <c r="CC69" s="29">
        <f t="shared" si="34"/>
        <v>750000</v>
      </c>
      <c r="CD69" s="29">
        <f t="shared" si="34"/>
        <v>750000</v>
      </c>
      <c r="CE69" s="29">
        <f t="shared" si="34"/>
        <v>750000</v>
      </c>
      <c r="CF69" s="29">
        <f t="shared" si="34"/>
        <v>750000</v>
      </c>
      <c r="CG69" s="29">
        <f t="shared" si="34"/>
        <v>750000</v>
      </c>
      <c r="CH69" s="29">
        <f t="shared" si="34"/>
        <v>750000</v>
      </c>
    </row>
    <row r="70" spans="2:86" ht="13">
      <c r="B70" s="15" t="str">
        <f t="shared" si="23"/>
        <v>Cumulative Management Fees</v>
      </c>
      <c r="C70" s="15"/>
      <c r="D70" s="15" t="s">
        <v>247</v>
      </c>
      <c r="E70" s="29">
        <f t="shared" si="13"/>
        <v>4900000</v>
      </c>
      <c r="F70" s="29"/>
      <c r="G70" s="29">
        <f t="shared" ref="G70:CH70" si="35">F70+G41</f>
        <v>122500</v>
      </c>
      <c r="H70" s="29">
        <f t="shared" si="35"/>
        <v>245000</v>
      </c>
      <c r="I70" s="29">
        <f t="shared" si="35"/>
        <v>367500</v>
      </c>
      <c r="J70" s="29">
        <f t="shared" si="35"/>
        <v>490000</v>
      </c>
      <c r="K70" s="29">
        <f t="shared" si="35"/>
        <v>612500</v>
      </c>
      <c r="L70" s="29">
        <f t="shared" si="35"/>
        <v>735000</v>
      </c>
      <c r="M70" s="29">
        <f t="shared" si="35"/>
        <v>857500</v>
      </c>
      <c r="N70" s="29">
        <f t="shared" si="35"/>
        <v>980000</v>
      </c>
      <c r="O70" s="29">
        <f t="shared" si="35"/>
        <v>1102500</v>
      </c>
      <c r="P70" s="29">
        <f t="shared" si="35"/>
        <v>1225000</v>
      </c>
      <c r="Q70" s="29">
        <f t="shared" si="35"/>
        <v>1347500</v>
      </c>
      <c r="R70" s="29">
        <f t="shared" si="35"/>
        <v>1470000</v>
      </c>
      <c r="S70" s="29">
        <f t="shared" si="35"/>
        <v>1592500</v>
      </c>
      <c r="T70" s="29">
        <f t="shared" si="35"/>
        <v>1715000</v>
      </c>
      <c r="U70" s="29">
        <f t="shared" si="35"/>
        <v>1837500</v>
      </c>
      <c r="V70" s="29">
        <f t="shared" si="35"/>
        <v>1960000</v>
      </c>
      <c r="W70" s="29">
        <f t="shared" si="35"/>
        <v>2082500</v>
      </c>
      <c r="X70" s="29">
        <f t="shared" si="35"/>
        <v>2205000</v>
      </c>
      <c r="Y70" s="29">
        <f t="shared" si="35"/>
        <v>2327500</v>
      </c>
      <c r="Z70" s="29">
        <f t="shared" si="35"/>
        <v>2450000</v>
      </c>
      <c r="AA70" s="29">
        <f t="shared" si="35"/>
        <v>2572500</v>
      </c>
      <c r="AB70" s="29">
        <f t="shared" si="35"/>
        <v>2695000</v>
      </c>
      <c r="AC70" s="29">
        <f t="shared" si="35"/>
        <v>2817500</v>
      </c>
      <c r="AD70" s="29">
        <f t="shared" si="35"/>
        <v>2940000</v>
      </c>
      <c r="AE70" s="29">
        <f t="shared" si="35"/>
        <v>3062500</v>
      </c>
      <c r="AF70" s="29">
        <f t="shared" si="35"/>
        <v>3185000</v>
      </c>
      <c r="AG70" s="29">
        <f t="shared" si="35"/>
        <v>3307500</v>
      </c>
      <c r="AH70" s="29">
        <f t="shared" si="35"/>
        <v>3430000</v>
      </c>
      <c r="AI70" s="29">
        <f t="shared" si="35"/>
        <v>3552500</v>
      </c>
      <c r="AJ70" s="29">
        <f t="shared" si="35"/>
        <v>3675000</v>
      </c>
      <c r="AK70" s="29">
        <f t="shared" si="35"/>
        <v>3797500</v>
      </c>
      <c r="AL70" s="29">
        <f t="shared" si="35"/>
        <v>3920000</v>
      </c>
      <c r="AM70" s="29">
        <f t="shared" si="35"/>
        <v>4042500</v>
      </c>
      <c r="AN70" s="29">
        <f t="shared" si="35"/>
        <v>4165000</v>
      </c>
      <c r="AO70" s="29">
        <f t="shared" si="35"/>
        <v>4287500</v>
      </c>
      <c r="AP70" s="29">
        <f t="shared" si="35"/>
        <v>4410000</v>
      </c>
      <c r="AQ70" s="29">
        <f t="shared" si="35"/>
        <v>4532500</v>
      </c>
      <c r="AR70" s="29">
        <f t="shared" si="35"/>
        <v>4655000</v>
      </c>
      <c r="AS70" s="29">
        <f t="shared" si="35"/>
        <v>4777500</v>
      </c>
      <c r="AT70" s="29">
        <f t="shared" si="35"/>
        <v>4900000</v>
      </c>
      <c r="AU70" s="29">
        <f t="shared" si="35"/>
        <v>4900000</v>
      </c>
      <c r="AV70" s="29">
        <f t="shared" si="35"/>
        <v>4900000</v>
      </c>
      <c r="AW70" s="29">
        <f t="shared" si="35"/>
        <v>4900000</v>
      </c>
      <c r="AX70" s="29">
        <f t="shared" si="35"/>
        <v>4900000</v>
      </c>
      <c r="AY70" s="29">
        <f t="shared" si="35"/>
        <v>4900000</v>
      </c>
      <c r="AZ70" s="29">
        <f t="shared" si="35"/>
        <v>4900000</v>
      </c>
      <c r="BA70" s="29">
        <f t="shared" si="35"/>
        <v>4900000</v>
      </c>
      <c r="BB70" s="29">
        <f t="shared" si="35"/>
        <v>4900000</v>
      </c>
      <c r="BC70" s="29">
        <f t="shared" si="35"/>
        <v>4900000</v>
      </c>
      <c r="BD70" s="29">
        <f t="shared" si="35"/>
        <v>4900000</v>
      </c>
      <c r="BE70" s="29">
        <f t="shared" si="35"/>
        <v>4900000</v>
      </c>
      <c r="BF70" s="29">
        <f t="shared" si="35"/>
        <v>4900000</v>
      </c>
      <c r="BG70" s="29">
        <f t="shared" si="35"/>
        <v>4900000</v>
      </c>
      <c r="BH70" s="29">
        <f t="shared" si="35"/>
        <v>4900000</v>
      </c>
      <c r="BI70" s="29">
        <f t="shared" si="35"/>
        <v>4900000</v>
      </c>
      <c r="BJ70" s="29">
        <f t="shared" si="35"/>
        <v>4900000</v>
      </c>
      <c r="BK70" s="29">
        <f t="shared" si="35"/>
        <v>4900000</v>
      </c>
      <c r="BL70" s="29">
        <f t="shared" si="35"/>
        <v>4900000</v>
      </c>
      <c r="BM70" s="29">
        <f t="shared" si="35"/>
        <v>4900000</v>
      </c>
      <c r="BN70" s="29">
        <f t="shared" si="35"/>
        <v>4900000</v>
      </c>
      <c r="BO70" s="29">
        <f t="shared" si="35"/>
        <v>4900000</v>
      </c>
      <c r="BP70" s="29">
        <f t="shared" si="35"/>
        <v>4900000</v>
      </c>
      <c r="BQ70" s="29">
        <f t="shared" si="35"/>
        <v>4900000</v>
      </c>
      <c r="BR70" s="29">
        <f t="shared" si="35"/>
        <v>4900000</v>
      </c>
      <c r="BS70" s="29">
        <f t="shared" si="35"/>
        <v>4900000</v>
      </c>
      <c r="BT70" s="29">
        <f t="shared" si="35"/>
        <v>4900000</v>
      </c>
      <c r="BU70" s="29">
        <f t="shared" si="35"/>
        <v>4900000</v>
      </c>
      <c r="BV70" s="29">
        <f t="shared" si="35"/>
        <v>4900000</v>
      </c>
      <c r="BW70" s="29">
        <f t="shared" si="35"/>
        <v>4900000</v>
      </c>
      <c r="BX70" s="29">
        <f t="shared" si="35"/>
        <v>4900000</v>
      </c>
      <c r="BY70" s="29">
        <f t="shared" si="35"/>
        <v>4900000</v>
      </c>
      <c r="BZ70" s="29">
        <f t="shared" si="35"/>
        <v>4900000</v>
      </c>
      <c r="CA70" s="29">
        <f t="shared" si="35"/>
        <v>4900000</v>
      </c>
      <c r="CB70" s="29">
        <f t="shared" si="35"/>
        <v>4900000</v>
      </c>
      <c r="CC70" s="29">
        <f t="shared" si="35"/>
        <v>4900000</v>
      </c>
      <c r="CD70" s="29">
        <f t="shared" si="35"/>
        <v>4900000</v>
      </c>
      <c r="CE70" s="29">
        <f t="shared" si="35"/>
        <v>4900000</v>
      </c>
      <c r="CF70" s="29">
        <f t="shared" si="35"/>
        <v>4900000</v>
      </c>
      <c r="CG70" s="29">
        <f t="shared" si="35"/>
        <v>4900000</v>
      </c>
      <c r="CH70" s="29">
        <f t="shared" si="35"/>
        <v>4900000</v>
      </c>
    </row>
    <row r="71" spans="2:86" ht="13">
      <c r="B71" s="15" t="str">
        <f t="shared" si="23"/>
        <v>Cumulative Recycled Capital</v>
      </c>
      <c r="C71" s="15"/>
      <c r="D71" s="15" t="s">
        <v>247</v>
      </c>
      <c r="E71" s="29">
        <f t="shared" ca="1" si="13"/>
        <v>1042708.3333333333</v>
      </c>
      <c r="F71" s="29"/>
      <c r="G71" s="29">
        <f t="shared" ref="G71:CH71" ca="1" si="36">F71+G42</f>
        <v>0</v>
      </c>
      <c r="H71" s="29">
        <f t="shared" ca="1" si="36"/>
        <v>0</v>
      </c>
      <c r="I71" s="29">
        <f t="shared" ca="1" si="36"/>
        <v>0</v>
      </c>
      <c r="J71" s="29">
        <f t="shared" ca="1" si="36"/>
        <v>0</v>
      </c>
      <c r="K71" s="29">
        <f t="shared" ca="1" si="36"/>
        <v>0</v>
      </c>
      <c r="L71" s="29">
        <f t="shared" ca="1" si="36"/>
        <v>0</v>
      </c>
      <c r="M71" s="29">
        <f t="shared" ca="1" si="36"/>
        <v>0</v>
      </c>
      <c r="N71" s="29">
        <f t="shared" ca="1" si="36"/>
        <v>0</v>
      </c>
      <c r="O71" s="29">
        <f t="shared" ca="1" si="36"/>
        <v>0</v>
      </c>
      <c r="P71" s="29">
        <f t="shared" ca="1" si="36"/>
        <v>0</v>
      </c>
      <c r="Q71" s="29">
        <f t="shared" ca="1" si="36"/>
        <v>0</v>
      </c>
      <c r="R71" s="29">
        <f t="shared" ca="1" si="36"/>
        <v>0</v>
      </c>
      <c r="S71" s="29">
        <f t="shared" ca="1" si="36"/>
        <v>260677.08333333331</v>
      </c>
      <c r="T71" s="29">
        <f t="shared" ca="1" si="36"/>
        <v>521354.16666666663</v>
      </c>
      <c r="U71" s="29">
        <f t="shared" ca="1" si="36"/>
        <v>782031.25</v>
      </c>
      <c r="V71" s="29">
        <f t="shared" ca="1" si="36"/>
        <v>1042708.3333333333</v>
      </c>
      <c r="W71" s="29">
        <f t="shared" ca="1" si="36"/>
        <v>1042708.3333333333</v>
      </c>
      <c r="X71" s="29">
        <f t="shared" ca="1" si="36"/>
        <v>1042708.3333333333</v>
      </c>
      <c r="Y71" s="29">
        <f t="shared" ca="1" si="36"/>
        <v>1042708.3333333333</v>
      </c>
      <c r="Z71" s="29">
        <f t="shared" ca="1" si="36"/>
        <v>1042708.3333333333</v>
      </c>
      <c r="AA71" s="29">
        <f t="shared" ca="1" si="36"/>
        <v>1042708.3333333333</v>
      </c>
      <c r="AB71" s="29">
        <f t="shared" ca="1" si="36"/>
        <v>1042708.3333333333</v>
      </c>
      <c r="AC71" s="29">
        <f t="shared" ca="1" si="36"/>
        <v>1042708.3333333333</v>
      </c>
      <c r="AD71" s="29">
        <f t="shared" ca="1" si="36"/>
        <v>1042708.3333333333</v>
      </c>
      <c r="AE71" s="29">
        <f t="shared" ca="1" si="36"/>
        <v>1042708.3333333333</v>
      </c>
      <c r="AF71" s="29">
        <f t="shared" ca="1" si="36"/>
        <v>1042708.3333333333</v>
      </c>
      <c r="AG71" s="29">
        <f t="shared" ca="1" si="36"/>
        <v>1042708.3333333333</v>
      </c>
      <c r="AH71" s="29">
        <f t="shared" ca="1" si="36"/>
        <v>1042708.3333333333</v>
      </c>
      <c r="AI71" s="29">
        <f t="shared" ca="1" si="36"/>
        <v>1042708.3333333333</v>
      </c>
      <c r="AJ71" s="29">
        <f t="shared" ca="1" si="36"/>
        <v>1042708.3333333333</v>
      </c>
      <c r="AK71" s="29">
        <f t="shared" ca="1" si="36"/>
        <v>1042708.3333333333</v>
      </c>
      <c r="AL71" s="29">
        <f t="shared" ca="1" si="36"/>
        <v>1042708.3333333333</v>
      </c>
      <c r="AM71" s="29">
        <f t="shared" ca="1" si="36"/>
        <v>1042708.3333333333</v>
      </c>
      <c r="AN71" s="29">
        <f t="shared" ca="1" si="36"/>
        <v>1042708.3333333333</v>
      </c>
      <c r="AO71" s="29">
        <f t="shared" ca="1" si="36"/>
        <v>1042708.3333333333</v>
      </c>
      <c r="AP71" s="29">
        <f t="shared" ca="1" si="36"/>
        <v>1042708.3333333333</v>
      </c>
      <c r="AQ71" s="29">
        <f t="shared" ca="1" si="36"/>
        <v>1042708.3333333333</v>
      </c>
      <c r="AR71" s="29">
        <f t="shared" ca="1" si="36"/>
        <v>1042708.3333333333</v>
      </c>
      <c r="AS71" s="29">
        <f t="shared" ca="1" si="36"/>
        <v>1042708.3333333333</v>
      </c>
      <c r="AT71" s="29">
        <f t="shared" ca="1" si="36"/>
        <v>1042708.3333333333</v>
      </c>
      <c r="AU71" s="29">
        <f t="shared" ca="1" si="36"/>
        <v>1042708.3333333333</v>
      </c>
      <c r="AV71" s="29">
        <f t="shared" ca="1" si="36"/>
        <v>1042708.3333333333</v>
      </c>
      <c r="AW71" s="29">
        <f t="shared" ca="1" si="36"/>
        <v>1042708.3333333333</v>
      </c>
      <c r="AX71" s="29">
        <f t="shared" ca="1" si="36"/>
        <v>1042708.3333333333</v>
      </c>
      <c r="AY71" s="29">
        <f t="shared" ca="1" si="36"/>
        <v>1042708.3333333333</v>
      </c>
      <c r="AZ71" s="29">
        <f t="shared" ca="1" si="36"/>
        <v>1042708.3333333333</v>
      </c>
      <c r="BA71" s="29">
        <f t="shared" ca="1" si="36"/>
        <v>1042708.3333333333</v>
      </c>
      <c r="BB71" s="29">
        <f t="shared" ca="1" si="36"/>
        <v>1042708.3333333333</v>
      </c>
      <c r="BC71" s="29">
        <f t="shared" ca="1" si="36"/>
        <v>1042708.3333333333</v>
      </c>
      <c r="BD71" s="29">
        <f t="shared" ca="1" si="36"/>
        <v>1042708.3333333333</v>
      </c>
      <c r="BE71" s="29">
        <f t="shared" ca="1" si="36"/>
        <v>1042708.3333333333</v>
      </c>
      <c r="BF71" s="29">
        <f t="shared" ca="1" si="36"/>
        <v>1042708.3333333333</v>
      </c>
      <c r="BG71" s="29">
        <f t="shared" ca="1" si="36"/>
        <v>1042708.3333333333</v>
      </c>
      <c r="BH71" s="29">
        <f t="shared" ca="1" si="36"/>
        <v>1042708.3333333333</v>
      </c>
      <c r="BI71" s="29">
        <f t="shared" ca="1" si="36"/>
        <v>1042708.3333333333</v>
      </c>
      <c r="BJ71" s="29">
        <f t="shared" ca="1" si="36"/>
        <v>1042708.3333333333</v>
      </c>
      <c r="BK71" s="29">
        <f t="shared" ca="1" si="36"/>
        <v>1042708.3333333333</v>
      </c>
      <c r="BL71" s="29">
        <f t="shared" ca="1" si="36"/>
        <v>1042708.3333333333</v>
      </c>
      <c r="BM71" s="29">
        <f t="shared" ca="1" si="36"/>
        <v>1042708.3333333333</v>
      </c>
      <c r="BN71" s="29">
        <f t="shared" ca="1" si="36"/>
        <v>1042708.3333333333</v>
      </c>
      <c r="BO71" s="29">
        <f t="shared" ca="1" si="36"/>
        <v>1042708.3333333333</v>
      </c>
      <c r="BP71" s="29">
        <f t="shared" ca="1" si="36"/>
        <v>1042708.3333333333</v>
      </c>
      <c r="BQ71" s="29">
        <f t="shared" ca="1" si="36"/>
        <v>1042708.3333333333</v>
      </c>
      <c r="BR71" s="29">
        <f t="shared" ca="1" si="36"/>
        <v>1042708.3333333333</v>
      </c>
      <c r="BS71" s="29">
        <f t="shared" ca="1" si="36"/>
        <v>1042708.3333333333</v>
      </c>
      <c r="BT71" s="29">
        <f t="shared" ca="1" si="36"/>
        <v>1042708.3333333333</v>
      </c>
      <c r="BU71" s="29">
        <f t="shared" ca="1" si="36"/>
        <v>1042708.3333333333</v>
      </c>
      <c r="BV71" s="29">
        <f t="shared" ca="1" si="36"/>
        <v>1042708.3333333333</v>
      </c>
      <c r="BW71" s="29">
        <f t="shared" ca="1" si="36"/>
        <v>1042708.3333333333</v>
      </c>
      <c r="BX71" s="29">
        <f t="shared" ca="1" si="36"/>
        <v>1042708.3333333333</v>
      </c>
      <c r="BY71" s="29">
        <f t="shared" ca="1" si="36"/>
        <v>1042708.3333333333</v>
      </c>
      <c r="BZ71" s="29">
        <f t="shared" ca="1" si="36"/>
        <v>1042708.3333333333</v>
      </c>
      <c r="CA71" s="29">
        <f t="shared" ca="1" si="36"/>
        <v>1042708.3333333333</v>
      </c>
      <c r="CB71" s="29">
        <f t="shared" ca="1" si="36"/>
        <v>1042708.3333333333</v>
      </c>
      <c r="CC71" s="29">
        <f t="shared" ca="1" si="36"/>
        <v>1042708.3333333333</v>
      </c>
      <c r="CD71" s="29">
        <f t="shared" ca="1" si="36"/>
        <v>1042708.3333333333</v>
      </c>
      <c r="CE71" s="29">
        <f t="shared" ca="1" si="36"/>
        <v>1042708.3333333333</v>
      </c>
      <c r="CF71" s="29">
        <f t="shared" ca="1" si="36"/>
        <v>1042708.3333333333</v>
      </c>
      <c r="CG71" s="29">
        <f t="shared" ca="1" si="36"/>
        <v>1042708.3333333333</v>
      </c>
      <c r="CH71" s="29">
        <f t="shared" ca="1" si="36"/>
        <v>1042708.3333333333</v>
      </c>
    </row>
    <row r="72" spans="2:86" ht="13">
      <c r="B72" s="15" t="str">
        <f t="shared" si="23"/>
        <v>Cumulative Proceeds</v>
      </c>
      <c r="D72" s="15" t="s">
        <v>247</v>
      </c>
      <c r="E72" s="29">
        <f t="shared" ca="1" si="13"/>
        <v>95669973.4375</v>
      </c>
      <c r="F72" s="29"/>
      <c r="G72" s="29">
        <f t="shared" ref="G72:CH72" ca="1" si="37">F72+G43</f>
        <v>0</v>
      </c>
      <c r="H72" s="29">
        <f t="shared" ca="1" si="37"/>
        <v>0</v>
      </c>
      <c r="I72" s="29">
        <f t="shared" ca="1" si="37"/>
        <v>0</v>
      </c>
      <c r="J72" s="29">
        <f t="shared" ca="1" si="37"/>
        <v>0</v>
      </c>
      <c r="K72" s="29">
        <f t="shared" ca="1" si="37"/>
        <v>0</v>
      </c>
      <c r="L72" s="29">
        <f t="shared" ca="1" si="37"/>
        <v>0</v>
      </c>
      <c r="M72" s="29">
        <f t="shared" ca="1" si="37"/>
        <v>0</v>
      </c>
      <c r="N72" s="29">
        <f t="shared" ca="1" si="37"/>
        <v>0</v>
      </c>
      <c r="O72" s="29">
        <f t="shared" ca="1" si="37"/>
        <v>0</v>
      </c>
      <c r="P72" s="29">
        <f t="shared" ca="1" si="37"/>
        <v>0</v>
      </c>
      <c r="Q72" s="29">
        <f t="shared" ca="1" si="37"/>
        <v>0</v>
      </c>
      <c r="R72" s="29">
        <f t="shared" ca="1" si="37"/>
        <v>0</v>
      </c>
      <c r="S72" s="29">
        <f t="shared" ca="1" si="37"/>
        <v>1313812.5000000005</v>
      </c>
      <c r="T72" s="29">
        <f t="shared" ca="1" si="37"/>
        <v>2627625.0000000009</v>
      </c>
      <c r="U72" s="29">
        <f t="shared" ca="1" si="37"/>
        <v>3941437.5000000014</v>
      </c>
      <c r="V72" s="29">
        <f t="shared" ca="1" si="37"/>
        <v>5255250.0000000019</v>
      </c>
      <c r="W72" s="29">
        <f t="shared" ca="1" si="37"/>
        <v>9221953.1250000019</v>
      </c>
      <c r="X72" s="29">
        <f t="shared" ca="1" si="37"/>
        <v>13188656.250000002</v>
      </c>
      <c r="Y72" s="29">
        <f t="shared" ca="1" si="37"/>
        <v>17155359.375000004</v>
      </c>
      <c r="Z72" s="29">
        <f t="shared" ca="1" si="37"/>
        <v>21122062.500000004</v>
      </c>
      <c r="AA72" s="29">
        <f t="shared" ca="1" si="37"/>
        <v>25088765.625000004</v>
      </c>
      <c r="AB72" s="29">
        <f t="shared" ca="1" si="37"/>
        <v>29055468.750000004</v>
      </c>
      <c r="AC72" s="29">
        <f t="shared" ca="1" si="37"/>
        <v>33022171.875000004</v>
      </c>
      <c r="AD72" s="29">
        <f t="shared" ca="1" si="37"/>
        <v>36988875.000000007</v>
      </c>
      <c r="AE72" s="29">
        <f t="shared" ca="1" si="37"/>
        <v>42945667.187500007</v>
      </c>
      <c r="AF72" s="29">
        <f t="shared" ca="1" si="37"/>
        <v>48902459.375000007</v>
      </c>
      <c r="AG72" s="29">
        <f t="shared" ca="1" si="37"/>
        <v>54859251.562500007</v>
      </c>
      <c r="AH72" s="29">
        <f t="shared" ca="1" si="37"/>
        <v>60816043.750000007</v>
      </c>
      <c r="AI72" s="29">
        <f t="shared" ca="1" si="37"/>
        <v>65749157.031250007</v>
      </c>
      <c r="AJ72" s="29">
        <f t="shared" ca="1" si="37"/>
        <v>70682270.3125</v>
      </c>
      <c r="AK72" s="29">
        <f t="shared" ca="1" si="37"/>
        <v>75615383.59375</v>
      </c>
      <c r="AL72" s="29">
        <f t="shared" ca="1" si="37"/>
        <v>80548496.875</v>
      </c>
      <c r="AM72" s="29">
        <f t="shared" ca="1" si="37"/>
        <v>82253926.5625</v>
      </c>
      <c r="AN72" s="29">
        <f t="shared" ca="1" si="37"/>
        <v>83959356.25</v>
      </c>
      <c r="AO72" s="29">
        <f t="shared" ca="1" si="37"/>
        <v>85664785.9375</v>
      </c>
      <c r="AP72" s="29">
        <f t="shared" ca="1" si="37"/>
        <v>87370215.625</v>
      </c>
      <c r="AQ72" s="29">
        <f t="shared" ca="1" si="37"/>
        <v>89445155.078125</v>
      </c>
      <c r="AR72" s="29">
        <f t="shared" ca="1" si="37"/>
        <v>91520094.53125</v>
      </c>
      <c r="AS72" s="29">
        <f t="shared" ca="1" si="37"/>
        <v>93595033.984375</v>
      </c>
      <c r="AT72" s="29">
        <f t="shared" ca="1" si="37"/>
        <v>95669973.4375</v>
      </c>
      <c r="AU72" s="29">
        <f t="shared" ca="1" si="37"/>
        <v>95669973.4375</v>
      </c>
      <c r="AV72" s="29">
        <f t="shared" ca="1" si="37"/>
        <v>95669973.4375</v>
      </c>
      <c r="AW72" s="29">
        <f t="shared" ca="1" si="37"/>
        <v>95669973.4375</v>
      </c>
      <c r="AX72" s="29">
        <f t="shared" ca="1" si="37"/>
        <v>95669973.4375</v>
      </c>
      <c r="AY72" s="29">
        <f t="shared" ca="1" si="37"/>
        <v>95669973.4375</v>
      </c>
      <c r="AZ72" s="29">
        <f t="shared" ca="1" si="37"/>
        <v>95669973.4375</v>
      </c>
      <c r="BA72" s="29">
        <f t="shared" ca="1" si="37"/>
        <v>95669973.4375</v>
      </c>
      <c r="BB72" s="29">
        <f t="shared" ca="1" si="37"/>
        <v>95669973.4375</v>
      </c>
      <c r="BC72" s="29">
        <f t="shared" ca="1" si="37"/>
        <v>95669973.4375</v>
      </c>
      <c r="BD72" s="29">
        <f t="shared" ca="1" si="37"/>
        <v>95669973.4375</v>
      </c>
      <c r="BE72" s="29">
        <f t="shared" ca="1" si="37"/>
        <v>95669973.4375</v>
      </c>
      <c r="BF72" s="29">
        <f t="shared" ca="1" si="37"/>
        <v>95669973.4375</v>
      </c>
      <c r="BG72" s="29">
        <f t="shared" ca="1" si="37"/>
        <v>95669973.4375</v>
      </c>
      <c r="BH72" s="29">
        <f t="shared" ca="1" si="37"/>
        <v>95669973.4375</v>
      </c>
      <c r="BI72" s="29">
        <f t="shared" ca="1" si="37"/>
        <v>95669973.4375</v>
      </c>
      <c r="BJ72" s="29">
        <f t="shared" ca="1" si="37"/>
        <v>95669973.4375</v>
      </c>
      <c r="BK72" s="29">
        <f t="shared" ca="1" si="37"/>
        <v>95669973.4375</v>
      </c>
      <c r="BL72" s="29">
        <f t="shared" ca="1" si="37"/>
        <v>95669973.4375</v>
      </c>
      <c r="BM72" s="29">
        <f t="shared" ca="1" si="37"/>
        <v>95669973.4375</v>
      </c>
      <c r="BN72" s="29">
        <f t="shared" ca="1" si="37"/>
        <v>95669973.4375</v>
      </c>
      <c r="BO72" s="29">
        <f t="shared" ca="1" si="37"/>
        <v>95669973.4375</v>
      </c>
      <c r="BP72" s="29">
        <f t="shared" ca="1" si="37"/>
        <v>95669973.4375</v>
      </c>
      <c r="BQ72" s="29">
        <f t="shared" ca="1" si="37"/>
        <v>95669973.4375</v>
      </c>
      <c r="BR72" s="29">
        <f t="shared" ca="1" si="37"/>
        <v>95669973.4375</v>
      </c>
      <c r="BS72" s="29">
        <f t="shared" ca="1" si="37"/>
        <v>95669973.4375</v>
      </c>
      <c r="BT72" s="29">
        <f t="shared" ca="1" si="37"/>
        <v>95669973.4375</v>
      </c>
      <c r="BU72" s="29">
        <f t="shared" ca="1" si="37"/>
        <v>95669973.4375</v>
      </c>
      <c r="BV72" s="29">
        <f t="shared" ca="1" si="37"/>
        <v>95669973.4375</v>
      </c>
      <c r="BW72" s="29">
        <f t="shared" ca="1" si="37"/>
        <v>95669973.4375</v>
      </c>
      <c r="BX72" s="29">
        <f t="shared" ca="1" si="37"/>
        <v>95669973.4375</v>
      </c>
      <c r="BY72" s="29">
        <f t="shared" ca="1" si="37"/>
        <v>95669973.4375</v>
      </c>
      <c r="BZ72" s="29">
        <f t="shared" ca="1" si="37"/>
        <v>95669973.4375</v>
      </c>
      <c r="CA72" s="29">
        <f t="shared" ca="1" si="37"/>
        <v>95669973.4375</v>
      </c>
      <c r="CB72" s="29">
        <f t="shared" ca="1" si="37"/>
        <v>95669973.4375</v>
      </c>
      <c r="CC72" s="29">
        <f t="shared" ca="1" si="37"/>
        <v>95669973.4375</v>
      </c>
      <c r="CD72" s="29">
        <f t="shared" ca="1" si="37"/>
        <v>95669973.4375</v>
      </c>
      <c r="CE72" s="29">
        <f t="shared" ca="1" si="37"/>
        <v>95669973.4375</v>
      </c>
      <c r="CF72" s="29">
        <f t="shared" ca="1" si="37"/>
        <v>95669973.4375</v>
      </c>
      <c r="CG72" s="29">
        <f t="shared" ca="1" si="37"/>
        <v>95669973.4375</v>
      </c>
      <c r="CH72" s="29">
        <f t="shared" ca="1" si="37"/>
        <v>95669973.4375</v>
      </c>
    </row>
    <row r="73" spans="2:86" ht="13">
      <c r="B73" s="15" t="str">
        <f t="shared" si="23"/>
        <v>Cumulative Preferred Return</v>
      </c>
      <c r="C73" s="15"/>
      <c r="D73" s="15" t="s">
        <v>247</v>
      </c>
      <c r="E73" s="29">
        <f t="shared" si="13"/>
        <v>0</v>
      </c>
      <c r="F73" s="29"/>
      <c r="G73" s="29">
        <f t="shared" ref="G73:CH73" si="38">F73+G44</f>
        <v>0</v>
      </c>
      <c r="H73" s="29">
        <f t="shared" si="38"/>
        <v>0</v>
      </c>
      <c r="I73" s="29">
        <f t="shared" si="38"/>
        <v>0</v>
      </c>
      <c r="J73" s="29">
        <f t="shared" si="38"/>
        <v>0</v>
      </c>
      <c r="K73" s="29">
        <f t="shared" si="38"/>
        <v>0</v>
      </c>
      <c r="L73" s="29">
        <f t="shared" si="38"/>
        <v>0</v>
      </c>
      <c r="M73" s="29">
        <f t="shared" si="38"/>
        <v>0</v>
      </c>
      <c r="N73" s="29">
        <f t="shared" si="38"/>
        <v>0</v>
      </c>
      <c r="O73" s="29">
        <f t="shared" si="38"/>
        <v>0</v>
      </c>
      <c r="P73" s="29">
        <f t="shared" si="38"/>
        <v>0</v>
      </c>
      <c r="Q73" s="29">
        <f t="shared" si="38"/>
        <v>0</v>
      </c>
      <c r="R73" s="29">
        <f t="shared" si="38"/>
        <v>0</v>
      </c>
      <c r="S73" s="29">
        <f t="shared" si="38"/>
        <v>0</v>
      </c>
      <c r="T73" s="29">
        <f t="shared" si="38"/>
        <v>0</v>
      </c>
      <c r="U73" s="29">
        <f t="shared" si="38"/>
        <v>0</v>
      </c>
      <c r="V73" s="29">
        <f t="shared" si="38"/>
        <v>0</v>
      </c>
      <c r="W73" s="29">
        <f t="shared" si="38"/>
        <v>0</v>
      </c>
      <c r="X73" s="29">
        <f t="shared" si="38"/>
        <v>0</v>
      </c>
      <c r="Y73" s="29">
        <f t="shared" si="38"/>
        <v>0</v>
      </c>
      <c r="Z73" s="29">
        <f t="shared" si="38"/>
        <v>0</v>
      </c>
      <c r="AA73" s="29">
        <f t="shared" si="38"/>
        <v>0</v>
      </c>
      <c r="AB73" s="29">
        <f t="shared" si="38"/>
        <v>0</v>
      </c>
      <c r="AC73" s="29">
        <f t="shared" si="38"/>
        <v>0</v>
      </c>
      <c r="AD73" s="29">
        <f t="shared" si="38"/>
        <v>0</v>
      </c>
      <c r="AE73" s="29">
        <f t="shared" si="38"/>
        <v>0</v>
      </c>
      <c r="AF73" s="29">
        <f t="shared" si="38"/>
        <v>0</v>
      </c>
      <c r="AG73" s="29">
        <f t="shared" si="38"/>
        <v>0</v>
      </c>
      <c r="AH73" s="29">
        <f t="shared" si="38"/>
        <v>0</v>
      </c>
      <c r="AI73" s="29">
        <f t="shared" si="38"/>
        <v>0</v>
      </c>
      <c r="AJ73" s="29">
        <f t="shared" si="38"/>
        <v>0</v>
      </c>
      <c r="AK73" s="29">
        <f t="shared" si="38"/>
        <v>0</v>
      </c>
      <c r="AL73" s="29">
        <f t="shared" si="38"/>
        <v>0</v>
      </c>
      <c r="AM73" s="29">
        <f t="shared" si="38"/>
        <v>0</v>
      </c>
      <c r="AN73" s="29">
        <f t="shared" si="38"/>
        <v>0</v>
      </c>
      <c r="AO73" s="29">
        <f t="shared" si="38"/>
        <v>0</v>
      </c>
      <c r="AP73" s="29">
        <f t="shared" si="38"/>
        <v>0</v>
      </c>
      <c r="AQ73" s="29">
        <f t="shared" si="38"/>
        <v>0</v>
      </c>
      <c r="AR73" s="29">
        <f t="shared" si="38"/>
        <v>0</v>
      </c>
      <c r="AS73" s="29">
        <f t="shared" si="38"/>
        <v>0</v>
      </c>
      <c r="AT73" s="29">
        <f t="shared" si="38"/>
        <v>0</v>
      </c>
      <c r="AU73" s="29">
        <f t="shared" si="38"/>
        <v>0</v>
      </c>
      <c r="AV73" s="29">
        <f t="shared" si="38"/>
        <v>0</v>
      </c>
      <c r="AW73" s="29">
        <f t="shared" si="38"/>
        <v>0</v>
      </c>
      <c r="AX73" s="29">
        <f t="shared" si="38"/>
        <v>0</v>
      </c>
      <c r="AY73" s="29">
        <f t="shared" si="38"/>
        <v>0</v>
      </c>
      <c r="AZ73" s="29">
        <f t="shared" si="38"/>
        <v>0</v>
      </c>
      <c r="BA73" s="29">
        <f t="shared" si="38"/>
        <v>0</v>
      </c>
      <c r="BB73" s="29">
        <f t="shared" si="38"/>
        <v>0</v>
      </c>
      <c r="BC73" s="29">
        <f t="shared" si="38"/>
        <v>0</v>
      </c>
      <c r="BD73" s="29">
        <f t="shared" si="38"/>
        <v>0</v>
      </c>
      <c r="BE73" s="29">
        <f t="shared" si="38"/>
        <v>0</v>
      </c>
      <c r="BF73" s="29">
        <f t="shared" si="38"/>
        <v>0</v>
      </c>
      <c r="BG73" s="29">
        <f t="shared" si="38"/>
        <v>0</v>
      </c>
      <c r="BH73" s="29">
        <f t="shared" si="38"/>
        <v>0</v>
      </c>
      <c r="BI73" s="29">
        <f t="shared" si="38"/>
        <v>0</v>
      </c>
      <c r="BJ73" s="29">
        <f t="shared" si="38"/>
        <v>0</v>
      </c>
      <c r="BK73" s="29">
        <f t="shared" si="38"/>
        <v>0</v>
      </c>
      <c r="BL73" s="29">
        <f t="shared" si="38"/>
        <v>0</v>
      </c>
      <c r="BM73" s="29">
        <f t="shared" si="38"/>
        <v>0</v>
      </c>
      <c r="BN73" s="29">
        <f t="shared" si="38"/>
        <v>0</v>
      </c>
      <c r="BO73" s="29">
        <f t="shared" si="38"/>
        <v>0</v>
      </c>
      <c r="BP73" s="29">
        <f t="shared" si="38"/>
        <v>0</v>
      </c>
      <c r="BQ73" s="29">
        <f t="shared" si="38"/>
        <v>0</v>
      </c>
      <c r="BR73" s="29">
        <f t="shared" si="38"/>
        <v>0</v>
      </c>
      <c r="BS73" s="29">
        <f t="shared" si="38"/>
        <v>0</v>
      </c>
      <c r="BT73" s="29">
        <f t="shared" si="38"/>
        <v>0</v>
      </c>
      <c r="BU73" s="29">
        <f t="shared" si="38"/>
        <v>0</v>
      </c>
      <c r="BV73" s="29">
        <f t="shared" si="38"/>
        <v>0</v>
      </c>
      <c r="BW73" s="29">
        <f t="shared" si="38"/>
        <v>0</v>
      </c>
      <c r="BX73" s="29">
        <f t="shared" si="38"/>
        <v>0</v>
      </c>
      <c r="BY73" s="29">
        <f t="shared" si="38"/>
        <v>0</v>
      </c>
      <c r="BZ73" s="29">
        <f t="shared" si="38"/>
        <v>0</v>
      </c>
      <c r="CA73" s="29">
        <f t="shared" si="38"/>
        <v>0</v>
      </c>
      <c r="CB73" s="29">
        <f t="shared" si="38"/>
        <v>0</v>
      </c>
      <c r="CC73" s="29">
        <f t="shared" si="38"/>
        <v>0</v>
      </c>
      <c r="CD73" s="29">
        <f t="shared" si="38"/>
        <v>0</v>
      </c>
      <c r="CE73" s="29">
        <f t="shared" si="38"/>
        <v>0</v>
      </c>
      <c r="CF73" s="29">
        <f t="shared" si="38"/>
        <v>0</v>
      </c>
      <c r="CG73" s="29">
        <f t="shared" si="38"/>
        <v>0</v>
      </c>
      <c r="CH73" s="29">
        <f t="shared" si="38"/>
        <v>0</v>
      </c>
    </row>
    <row r="74" spans="2:86" ht="13">
      <c r="B74" s="15" t="str">
        <f t="shared" si="23"/>
        <v>Cumulative GP Catchup</v>
      </c>
      <c r="D74" s="15" t="s">
        <v>247</v>
      </c>
      <c r="E74" s="29">
        <f t="shared" si="13"/>
        <v>0</v>
      </c>
      <c r="F74" s="29"/>
      <c r="G74" s="29">
        <f t="shared" ref="G74:CH74" si="39">F74+G45</f>
        <v>0</v>
      </c>
      <c r="H74" s="29">
        <f t="shared" si="39"/>
        <v>0</v>
      </c>
      <c r="I74" s="29">
        <f t="shared" si="39"/>
        <v>0</v>
      </c>
      <c r="J74" s="29">
        <f t="shared" si="39"/>
        <v>0</v>
      </c>
      <c r="K74" s="29">
        <f t="shared" si="39"/>
        <v>0</v>
      </c>
      <c r="L74" s="29">
        <f t="shared" si="39"/>
        <v>0</v>
      </c>
      <c r="M74" s="29">
        <f t="shared" si="39"/>
        <v>0</v>
      </c>
      <c r="N74" s="29">
        <f t="shared" si="39"/>
        <v>0</v>
      </c>
      <c r="O74" s="29">
        <f t="shared" si="39"/>
        <v>0</v>
      </c>
      <c r="P74" s="29">
        <f t="shared" si="39"/>
        <v>0</v>
      </c>
      <c r="Q74" s="29">
        <f t="shared" si="39"/>
        <v>0</v>
      </c>
      <c r="R74" s="29">
        <f t="shared" si="39"/>
        <v>0</v>
      </c>
      <c r="S74" s="29">
        <f t="shared" si="39"/>
        <v>0</v>
      </c>
      <c r="T74" s="29">
        <f t="shared" si="39"/>
        <v>0</v>
      </c>
      <c r="U74" s="29">
        <f t="shared" si="39"/>
        <v>0</v>
      </c>
      <c r="V74" s="29">
        <f t="shared" si="39"/>
        <v>0</v>
      </c>
      <c r="W74" s="29">
        <f t="shared" si="39"/>
        <v>0</v>
      </c>
      <c r="X74" s="29">
        <f t="shared" si="39"/>
        <v>0</v>
      </c>
      <c r="Y74" s="29">
        <f t="shared" si="39"/>
        <v>0</v>
      </c>
      <c r="Z74" s="29">
        <f t="shared" si="39"/>
        <v>0</v>
      </c>
      <c r="AA74" s="29">
        <f t="shared" si="39"/>
        <v>0</v>
      </c>
      <c r="AB74" s="29">
        <f t="shared" si="39"/>
        <v>0</v>
      </c>
      <c r="AC74" s="29">
        <f t="shared" si="39"/>
        <v>0</v>
      </c>
      <c r="AD74" s="29">
        <f t="shared" si="39"/>
        <v>0</v>
      </c>
      <c r="AE74" s="29">
        <f t="shared" si="39"/>
        <v>0</v>
      </c>
      <c r="AF74" s="29">
        <f t="shared" si="39"/>
        <v>0</v>
      </c>
      <c r="AG74" s="29">
        <f t="shared" si="39"/>
        <v>0</v>
      </c>
      <c r="AH74" s="29">
        <f t="shared" si="39"/>
        <v>0</v>
      </c>
      <c r="AI74" s="29">
        <f t="shared" si="39"/>
        <v>0</v>
      </c>
      <c r="AJ74" s="29">
        <f t="shared" si="39"/>
        <v>0</v>
      </c>
      <c r="AK74" s="29">
        <f t="shared" si="39"/>
        <v>0</v>
      </c>
      <c r="AL74" s="29">
        <f t="shared" si="39"/>
        <v>0</v>
      </c>
      <c r="AM74" s="29">
        <f t="shared" si="39"/>
        <v>0</v>
      </c>
      <c r="AN74" s="29">
        <f t="shared" si="39"/>
        <v>0</v>
      </c>
      <c r="AO74" s="29">
        <f t="shared" si="39"/>
        <v>0</v>
      </c>
      <c r="AP74" s="29">
        <f t="shared" si="39"/>
        <v>0</v>
      </c>
      <c r="AQ74" s="29">
        <f t="shared" si="39"/>
        <v>0</v>
      </c>
      <c r="AR74" s="29">
        <f t="shared" si="39"/>
        <v>0</v>
      </c>
      <c r="AS74" s="29">
        <f t="shared" si="39"/>
        <v>0</v>
      </c>
      <c r="AT74" s="29">
        <f t="shared" si="39"/>
        <v>0</v>
      </c>
      <c r="AU74" s="29">
        <f t="shared" si="39"/>
        <v>0</v>
      </c>
      <c r="AV74" s="29">
        <f t="shared" si="39"/>
        <v>0</v>
      </c>
      <c r="AW74" s="29">
        <f t="shared" si="39"/>
        <v>0</v>
      </c>
      <c r="AX74" s="29">
        <f t="shared" si="39"/>
        <v>0</v>
      </c>
      <c r="AY74" s="29">
        <f t="shared" si="39"/>
        <v>0</v>
      </c>
      <c r="AZ74" s="29">
        <f t="shared" si="39"/>
        <v>0</v>
      </c>
      <c r="BA74" s="29">
        <f t="shared" si="39"/>
        <v>0</v>
      </c>
      <c r="BB74" s="29">
        <f t="shared" si="39"/>
        <v>0</v>
      </c>
      <c r="BC74" s="29">
        <f t="shared" si="39"/>
        <v>0</v>
      </c>
      <c r="BD74" s="29">
        <f t="shared" si="39"/>
        <v>0</v>
      </c>
      <c r="BE74" s="29">
        <f t="shared" si="39"/>
        <v>0</v>
      </c>
      <c r="BF74" s="29">
        <f t="shared" si="39"/>
        <v>0</v>
      </c>
      <c r="BG74" s="29">
        <f t="shared" si="39"/>
        <v>0</v>
      </c>
      <c r="BH74" s="29">
        <f t="shared" si="39"/>
        <v>0</v>
      </c>
      <c r="BI74" s="29">
        <f t="shared" si="39"/>
        <v>0</v>
      </c>
      <c r="BJ74" s="29">
        <f t="shared" si="39"/>
        <v>0</v>
      </c>
      <c r="BK74" s="29">
        <f t="shared" si="39"/>
        <v>0</v>
      </c>
      <c r="BL74" s="29">
        <f t="shared" si="39"/>
        <v>0</v>
      </c>
      <c r="BM74" s="29">
        <f t="shared" si="39"/>
        <v>0</v>
      </c>
      <c r="BN74" s="29">
        <f t="shared" si="39"/>
        <v>0</v>
      </c>
      <c r="BO74" s="29">
        <f t="shared" si="39"/>
        <v>0</v>
      </c>
      <c r="BP74" s="29">
        <f t="shared" si="39"/>
        <v>0</v>
      </c>
      <c r="BQ74" s="29">
        <f t="shared" si="39"/>
        <v>0</v>
      </c>
      <c r="BR74" s="29">
        <f t="shared" si="39"/>
        <v>0</v>
      </c>
      <c r="BS74" s="29">
        <f t="shared" si="39"/>
        <v>0</v>
      </c>
      <c r="BT74" s="29">
        <f t="shared" si="39"/>
        <v>0</v>
      </c>
      <c r="BU74" s="29">
        <f t="shared" si="39"/>
        <v>0</v>
      </c>
      <c r="BV74" s="29">
        <f t="shared" si="39"/>
        <v>0</v>
      </c>
      <c r="BW74" s="29">
        <f t="shared" si="39"/>
        <v>0</v>
      </c>
      <c r="BX74" s="29">
        <f t="shared" si="39"/>
        <v>0</v>
      </c>
      <c r="BY74" s="29">
        <f t="shared" si="39"/>
        <v>0</v>
      </c>
      <c r="BZ74" s="29">
        <f t="shared" si="39"/>
        <v>0</v>
      </c>
      <c r="CA74" s="29">
        <f t="shared" si="39"/>
        <v>0</v>
      </c>
      <c r="CB74" s="29">
        <f t="shared" si="39"/>
        <v>0</v>
      </c>
      <c r="CC74" s="29">
        <f t="shared" si="39"/>
        <v>0</v>
      </c>
      <c r="CD74" s="29">
        <f t="shared" si="39"/>
        <v>0</v>
      </c>
      <c r="CE74" s="29">
        <f t="shared" si="39"/>
        <v>0</v>
      </c>
      <c r="CF74" s="29">
        <f t="shared" si="39"/>
        <v>0</v>
      </c>
      <c r="CG74" s="29">
        <f t="shared" si="39"/>
        <v>0</v>
      </c>
      <c r="CH74" s="29">
        <f t="shared" si="39"/>
        <v>0</v>
      </c>
    </row>
    <row r="75" spans="2:86" ht="13">
      <c r="B75" s="15" t="str">
        <f t="shared" si="23"/>
        <v>Cumulative Carried Interest</v>
      </c>
      <c r="C75" s="15"/>
      <c r="D75" s="15" t="s">
        <v>247</v>
      </c>
      <c r="E75" s="29">
        <f t="shared" ca="1" si="13"/>
        <v>13925453.020833328</v>
      </c>
      <c r="F75" s="29"/>
      <c r="G75" s="29">
        <f t="shared" ref="G75:CH75" ca="1" si="40">F75+G46</f>
        <v>0</v>
      </c>
      <c r="H75" s="29">
        <f t="shared" ca="1" si="40"/>
        <v>0</v>
      </c>
      <c r="I75" s="29">
        <f t="shared" ca="1" si="40"/>
        <v>0</v>
      </c>
      <c r="J75" s="29">
        <f t="shared" ca="1" si="40"/>
        <v>0</v>
      </c>
      <c r="K75" s="29">
        <f t="shared" ca="1" si="40"/>
        <v>0</v>
      </c>
      <c r="L75" s="29">
        <f t="shared" ca="1" si="40"/>
        <v>0</v>
      </c>
      <c r="M75" s="29">
        <f t="shared" ca="1" si="40"/>
        <v>0</v>
      </c>
      <c r="N75" s="29">
        <f t="shared" ca="1" si="40"/>
        <v>0</v>
      </c>
      <c r="O75" s="29">
        <f t="shared" ca="1" si="40"/>
        <v>0</v>
      </c>
      <c r="P75" s="29">
        <f t="shared" ca="1" si="40"/>
        <v>0</v>
      </c>
      <c r="Q75" s="29">
        <f t="shared" ca="1" si="40"/>
        <v>0</v>
      </c>
      <c r="R75" s="29">
        <f t="shared" ca="1" si="40"/>
        <v>0</v>
      </c>
      <c r="S75" s="29">
        <f t="shared" ca="1" si="40"/>
        <v>0</v>
      </c>
      <c r="T75" s="29">
        <f t="shared" ca="1" si="40"/>
        <v>0</v>
      </c>
      <c r="U75" s="29">
        <f t="shared" ca="1" si="40"/>
        <v>0</v>
      </c>
      <c r="V75" s="29">
        <f t="shared" ca="1" si="40"/>
        <v>0</v>
      </c>
      <c r="W75" s="29">
        <f t="shared" ca="1" si="40"/>
        <v>0</v>
      </c>
      <c r="X75" s="29">
        <f t="shared" ca="1" si="40"/>
        <v>146580.88768115948</v>
      </c>
      <c r="Y75" s="29">
        <f t="shared" ca="1" si="40"/>
        <v>658300.95932147559</v>
      </c>
      <c r="Z75" s="29">
        <f t="shared" ca="1" si="40"/>
        <v>1170021.0309617915</v>
      </c>
      <c r="AA75" s="29">
        <f t="shared" ca="1" si="40"/>
        <v>1642133.0657114624</v>
      </c>
      <c r="AB75" s="29">
        <f t="shared" ca="1" si="40"/>
        <v>2114245.1004611328</v>
      </c>
      <c r="AC75" s="29">
        <f t="shared" ca="1" si="40"/>
        <v>2586357.1352108032</v>
      </c>
      <c r="AD75" s="29">
        <f t="shared" ca="1" si="40"/>
        <v>3058469.1699604737</v>
      </c>
      <c r="AE75" s="29">
        <f t="shared" ca="1" si="40"/>
        <v>4122274.9065382071</v>
      </c>
      <c r="AF75" s="29">
        <f t="shared" ca="1" si="40"/>
        <v>5186080.6431159405</v>
      </c>
      <c r="AG75" s="29">
        <f t="shared" ca="1" si="40"/>
        <v>6249886.3796936739</v>
      </c>
      <c r="AH75" s="29">
        <f t="shared" ca="1" si="40"/>
        <v>7313692.1162714073</v>
      </c>
      <c r="AI75" s="29">
        <f t="shared" ca="1" si="40"/>
        <v>8243414.2455121847</v>
      </c>
      <c r="AJ75" s="29">
        <f t="shared" ca="1" si="40"/>
        <v>9173136.3747529611</v>
      </c>
      <c r="AK75" s="29">
        <f t="shared" ca="1" si="40"/>
        <v>10102858.503993738</v>
      </c>
      <c r="AL75" s="29">
        <f t="shared" ca="1" si="40"/>
        <v>11032580.633234516</v>
      </c>
      <c r="AM75" s="29">
        <f t="shared" ca="1" si="40"/>
        <v>11358844.436347164</v>
      </c>
      <c r="AN75" s="29">
        <f t="shared" ca="1" si="40"/>
        <v>11685108.239459813</v>
      </c>
      <c r="AO75" s="29">
        <f t="shared" ca="1" si="40"/>
        <v>12011372.042572461</v>
      </c>
      <c r="AP75" s="29">
        <f t="shared" ca="1" si="40"/>
        <v>12337635.845685109</v>
      </c>
      <c r="AQ75" s="29">
        <f t="shared" ca="1" si="40"/>
        <v>12734590.139472164</v>
      </c>
      <c r="AR75" s="29">
        <f t="shared" ca="1" si="40"/>
        <v>13131544.433259219</v>
      </c>
      <c r="AS75" s="29">
        <f t="shared" ca="1" si="40"/>
        <v>13528498.727046274</v>
      </c>
      <c r="AT75" s="29">
        <f t="shared" ca="1" si="40"/>
        <v>13925453.020833328</v>
      </c>
      <c r="AU75" s="29">
        <f t="shared" ca="1" si="40"/>
        <v>13925453.020833328</v>
      </c>
      <c r="AV75" s="29">
        <f t="shared" ca="1" si="40"/>
        <v>13925453.020833328</v>
      </c>
      <c r="AW75" s="29">
        <f t="shared" ca="1" si="40"/>
        <v>13925453.020833328</v>
      </c>
      <c r="AX75" s="29">
        <f t="shared" ca="1" si="40"/>
        <v>13925453.020833328</v>
      </c>
      <c r="AY75" s="29">
        <f t="shared" ca="1" si="40"/>
        <v>13925453.020833328</v>
      </c>
      <c r="AZ75" s="29">
        <f t="shared" ca="1" si="40"/>
        <v>13925453.020833328</v>
      </c>
      <c r="BA75" s="29">
        <f t="shared" ca="1" si="40"/>
        <v>13925453.020833328</v>
      </c>
      <c r="BB75" s="29">
        <f t="shared" ca="1" si="40"/>
        <v>13925453.020833328</v>
      </c>
      <c r="BC75" s="29">
        <f t="shared" ca="1" si="40"/>
        <v>13925453.020833328</v>
      </c>
      <c r="BD75" s="29">
        <f t="shared" ca="1" si="40"/>
        <v>13925453.020833328</v>
      </c>
      <c r="BE75" s="29">
        <f t="shared" ca="1" si="40"/>
        <v>13925453.020833328</v>
      </c>
      <c r="BF75" s="29">
        <f t="shared" ca="1" si="40"/>
        <v>13925453.020833328</v>
      </c>
      <c r="BG75" s="29">
        <f t="shared" ca="1" si="40"/>
        <v>13925453.020833328</v>
      </c>
      <c r="BH75" s="29">
        <f t="shared" ca="1" si="40"/>
        <v>13925453.020833328</v>
      </c>
      <c r="BI75" s="29">
        <f t="shared" ca="1" si="40"/>
        <v>13925453.020833328</v>
      </c>
      <c r="BJ75" s="29">
        <f t="shared" ca="1" si="40"/>
        <v>13925453.020833328</v>
      </c>
      <c r="BK75" s="29">
        <f t="shared" ca="1" si="40"/>
        <v>13925453.020833328</v>
      </c>
      <c r="BL75" s="29">
        <f t="shared" ca="1" si="40"/>
        <v>13925453.020833328</v>
      </c>
      <c r="BM75" s="29">
        <f t="shared" ca="1" si="40"/>
        <v>13925453.020833328</v>
      </c>
      <c r="BN75" s="29">
        <f t="shared" ca="1" si="40"/>
        <v>13925453.020833328</v>
      </c>
      <c r="BO75" s="29">
        <f t="shared" ca="1" si="40"/>
        <v>13925453.020833328</v>
      </c>
      <c r="BP75" s="29">
        <f t="shared" ca="1" si="40"/>
        <v>13925453.020833328</v>
      </c>
      <c r="BQ75" s="29">
        <f t="shared" ca="1" si="40"/>
        <v>13925453.020833328</v>
      </c>
      <c r="BR75" s="29">
        <f t="shared" ca="1" si="40"/>
        <v>13925453.020833328</v>
      </c>
      <c r="BS75" s="29">
        <f t="shared" ca="1" si="40"/>
        <v>13925453.020833328</v>
      </c>
      <c r="BT75" s="29">
        <f t="shared" ca="1" si="40"/>
        <v>13925453.020833328</v>
      </c>
      <c r="BU75" s="29">
        <f t="shared" ca="1" si="40"/>
        <v>13925453.020833328</v>
      </c>
      <c r="BV75" s="29">
        <f t="shared" ca="1" si="40"/>
        <v>13925453.020833328</v>
      </c>
      <c r="BW75" s="29">
        <f t="shared" ca="1" si="40"/>
        <v>13925453.020833328</v>
      </c>
      <c r="BX75" s="29">
        <f t="shared" ca="1" si="40"/>
        <v>13925453.020833328</v>
      </c>
      <c r="BY75" s="29">
        <f t="shared" ca="1" si="40"/>
        <v>13925453.020833328</v>
      </c>
      <c r="BZ75" s="29">
        <f t="shared" ca="1" si="40"/>
        <v>13925453.020833328</v>
      </c>
      <c r="CA75" s="29">
        <f t="shared" ca="1" si="40"/>
        <v>13925453.020833328</v>
      </c>
      <c r="CB75" s="29">
        <f t="shared" ca="1" si="40"/>
        <v>13925453.020833328</v>
      </c>
      <c r="CC75" s="29">
        <f t="shared" ca="1" si="40"/>
        <v>13925453.020833328</v>
      </c>
      <c r="CD75" s="29">
        <f t="shared" ca="1" si="40"/>
        <v>13925453.020833328</v>
      </c>
      <c r="CE75" s="29">
        <f t="shared" ca="1" si="40"/>
        <v>13925453.020833328</v>
      </c>
      <c r="CF75" s="29">
        <f t="shared" ca="1" si="40"/>
        <v>13925453.020833328</v>
      </c>
      <c r="CG75" s="29">
        <f t="shared" ca="1" si="40"/>
        <v>13925453.020833328</v>
      </c>
      <c r="CH75" s="29">
        <f t="shared" ca="1" si="40"/>
        <v>13925453.020833328</v>
      </c>
    </row>
    <row r="76" spans="2:86" ht="13">
      <c r="B76" s="15" t="str">
        <f t="shared" si="23"/>
        <v>Cumulative Distributions</v>
      </c>
      <c r="C76" s="15"/>
      <c r="D76" s="15" t="s">
        <v>247</v>
      </c>
      <c r="E76" s="29">
        <f t="shared" ca="1" si="13"/>
        <v>80701812.083333269</v>
      </c>
      <c r="F76" s="29"/>
      <c r="G76" s="29">
        <f t="shared" ref="G76:CH76" ca="1" si="41">F76+G47</f>
        <v>0</v>
      </c>
      <c r="H76" s="29">
        <f t="shared" ca="1" si="41"/>
        <v>0</v>
      </c>
      <c r="I76" s="29">
        <f t="shared" ca="1" si="41"/>
        <v>0</v>
      </c>
      <c r="J76" s="29">
        <f t="shared" ca="1" si="41"/>
        <v>0</v>
      </c>
      <c r="K76" s="29">
        <f t="shared" ca="1" si="41"/>
        <v>0</v>
      </c>
      <c r="L76" s="29">
        <f t="shared" ca="1" si="41"/>
        <v>0</v>
      </c>
      <c r="M76" s="29">
        <f t="shared" ca="1" si="41"/>
        <v>0</v>
      </c>
      <c r="N76" s="29">
        <f t="shared" ca="1" si="41"/>
        <v>0</v>
      </c>
      <c r="O76" s="29">
        <f t="shared" ca="1" si="41"/>
        <v>0</v>
      </c>
      <c r="P76" s="29">
        <f t="shared" ca="1" si="41"/>
        <v>0</v>
      </c>
      <c r="Q76" s="29">
        <f t="shared" ca="1" si="41"/>
        <v>0</v>
      </c>
      <c r="R76" s="29">
        <f t="shared" ca="1" si="41"/>
        <v>0</v>
      </c>
      <c r="S76" s="29">
        <f t="shared" ca="1" si="41"/>
        <v>1053135.4166666672</v>
      </c>
      <c r="T76" s="29">
        <f t="shared" ca="1" si="41"/>
        <v>2106270.8333333344</v>
      </c>
      <c r="U76" s="29">
        <f t="shared" ca="1" si="41"/>
        <v>3159406.2500000019</v>
      </c>
      <c r="V76" s="29">
        <f t="shared" ca="1" si="41"/>
        <v>4212541.6666666688</v>
      </c>
      <c r="W76" s="29">
        <f t="shared" ca="1" si="41"/>
        <v>8179244.7916666698</v>
      </c>
      <c r="X76" s="29">
        <f t="shared" ca="1" si="41"/>
        <v>11999367.028985512</v>
      </c>
      <c r="Y76" s="29">
        <f t="shared" ca="1" si="41"/>
        <v>15454350.082345195</v>
      </c>
      <c r="Z76" s="29">
        <f t="shared" ca="1" si="41"/>
        <v>18909333.135704879</v>
      </c>
      <c r="AA76" s="29">
        <f t="shared" ca="1" si="41"/>
        <v>22403924.225955207</v>
      </c>
      <c r="AB76" s="29">
        <f t="shared" ca="1" si="41"/>
        <v>25898515.316205539</v>
      </c>
      <c r="AC76" s="29">
        <f t="shared" ca="1" si="41"/>
        <v>29393106.406455867</v>
      </c>
      <c r="AD76" s="29">
        <f t="shared" ca="1" si="41"/>
        <v>32887697.496706195</v>
      </c>
      <c r="AE76" s="29">
        <f t="shared" ca="1" si="41"/>
        <v>37780683.947628461</v>
      </c>
      <c r="AF76" s="29">
        <f t="shared" ca="1" si="41"/>
        <v>42673670.398550726</v>
      </c>
      <c r="AG76" s="29">
        <f t="shared" ca="1" si="41"/>
        <v>47566656.849472992</v>
      </c>
      <c r="AH76" s="29">
        <f t="shared" ca="1" si="41"/>
        <v>52459643.300395258</v>
      </c>
      <c r="AI76" s="29">
        <f t="shared" ca="1" si="41"/>
        <v>56463034.452404477</v>
      </c>
      <c r="AJ76" s="29">
        <f t="shared" ca="1" si="41"/>
        <v>60466425.604413696</v>
      </c>
      <c r="AK76" s="29">
        <f t="shared" ca="1" si="41"/>
        <v>64469816.756422915</v>
      </c>
      <c r="AL76" s="29">
        <f t="shared" ca="1" si="41"/>
        <v>68473207.908432141</v>
      </c>
      <c r="AM76" s="29">
        <f t="shared" ca="1" si="41"/>
        <v>69852373.792819485</v>
      </c>
      <c r="AN76" s="29">
        <f t="shared" ca="1" si="41"/>
        <v>71231539.677206829</v>
      </c>
      <c r="AO76" s="29">
        <f t="shared" ca="1" si="41"/>
        <v>72610705.561594173</v>
      </c>
      <c r="AP76" s="29">
        <f t="shared" ca="1" si="41"/>
        <v>73989871.445981517</v>
      </c>
      <c r="AQ76" s="29">
        <f t="shared" ca="1" si="41"/>
        <v>75667856.605319455</v>
      </c>
      <c r="AR76" s="29">
        <f t="shared" ca="1" si="41"/>
        <v>77345841.764657393</v>
      </c>
      <c r="AS76" s="29">
        <f t="shared" ca="1" si="41"/>
        <v>79023826.923995331</v>
      </c>
      <c r="AT76" s="29">
        <f t="shared" ca="1" si="41"/>
        <v>80701812.083333269</v>
      </c>
      <c r="AU76" s="29">
        <f t="shared" ca="1" si="41"/>
        <v>80701812.083333269</v>
      </c>
      <c r="AV76" s="29">
        <f t="shared" ca="1" si="41"/>
        <v>80701812.083333269</v>
      </c>
      <c r="AW76" s="29">
        <f t="shared" ca="1" si="41"/>
        <v>80701812.083333269</v>
      </c>
      <c r="AX76" s="29">
        <f t="shared" ca="1" si="41"/>
        <v>80701812.083333269</v>
      </c>
      <c r="AY76" s="29">
        <f t="shared" ca="1" si="41"/>
        <v>80701812.083333269</v>
      </c>
      <c r="AZ76" s="29">
        <f t="shared" ca="1" si="41"/>
        <v>80701812.083333269</v>
      </c>
      <c r="BA76" s="29">
        <f t="shared" ca="1" si="41"/>
        <v>80701812.083333269</v>
      </c>
      <c r="BB76" s="29">
        <f t="shared" ca="1" si="41"/>
        <v>80701812.083333269</v>
      </c>
      <c r="BC76" s="29">
        <f t="shared" ca="1" si="41"/>
        <v>80701812.083333269</v>
      </c>
      <c r="BD76" s="29">
        <f t="shared" ca="1" si="41"/>
        <v>80701812.083333269</v>
      </c>
      <c r="BE76" s="29">
        <f t="shared" ca="1" si="41"/>
        <v>80701812.083333269</v>
      </c>
      <c r="BF76" s="29">
        <f t="shared" ca="1" si="41"/>
        <v>80701812.083333269</v>
      </c>
      <c r="BG76" s="29">
        <f t="shared" ca="1" si="41"/>
        <v>80701812.083333269</v>
      </c>
      <c r="BH76" s="29">
        <f t="shared" ca="1" si="41"/>
        <v>80701812.083333269</v>
      </c>
      <c r="BI76" s="29">
        <f t="shared" ca="1" si="41"/>
        <v>80701812.083333269</v>
      </c>
      <c r="BJ76" s="29">
        <f t="shared" ca="1" si="41"/>
        <v>80701812.083333269</v>
      </c>
      <c r="BK76" s="29">
        <f t="shared" ca="1" si="41"/>
        <v>80701812.083333269</v>
      </c>
      <c r="BL76" s="29">
        <f t="shared" ca="1" si="41"/>
        <v>80701812.083333269</v>
      </c>
      <c r="BM76" s="29">
        <f t="shared" ca="1" si="41"/>
        <v>80701812.083333269</v>
      </c>
      <c r="BN76" s="29">
        <f t="shared" ca="1" si="41"/>
        <v>80701812.083333269</v>
      </c>
      <c r="BO76" s="29">
        <f t="shared" ca="1" si="41"/>
        <v>80701812.083333269</v>
      </c>
      <c r="BP76" s="29">
        <f t="shared" ca="1" si="41"/>
        <v>80701812.083333269</v>
      </c>
      <c r="BQ76" s="29">
        <f t="shared" ca="1" si="41"/>
        <v>80701812.083333269</v>
      </c>
      <c r="BR76" s="29">
        <f t="shared" ca="1" si="41"/>
        <v>80701812.083333269</v>
      </c>
      <c r="BS76" s="29">
        <f t="shared" ca="1" si="41"/>
        <v>80701812.083333269</v>
      </c>
      <c r="BT76" s="29">
        <f t="shared" ca="1" si="41"/>
        <v>80701812.083333269</v>
      </c>
      <c r="BU76" s="29">
        <f t="shared" ca="1" si="41"/>
        <v>80701812.083333269</v>
      </c>
      <c r="BV76" s="29">
        <f t="shared" ca="1" si="41"/>
        <v>80701812.083333269</v>
      </c>
      <c r="BW76" s="29">
        <f t="shared" ca="1" si="41"/>
        <v>80701812.083333269</v>
      </c>
      <c r="BX76" s="29">
        <f t="shared" ca="1" si="41"/>
        <v>80701812.083333269</v>
      </c>
      <c r="BY76" s="29">
        <f t="shared" ca="1" si="41"/>
        <v>80701812.083333269</v>
      </c>
      <c r="BZ76" s="29">
        <f t="shared" ca="1" si="41"/>
        <v>80701812.083333269</v>
      </c>
      <c r="CA76" s="29">
        <f t="shared" ca="1" si="41"/>
        <v>80701812.083333269</v>
      </c>
      <c r="CB76" s="29">
        <f t="shared" ca="1" si="41"/>
        <v>80701812.083333269</v>
      </c>
      <c r="CC76" s="29">
        <f t="shared" ca="1" si="41"/>
        <v>80701812.083333269</v>
      </c>
      <c r="CD76" s="29">
        <f t="shared" ca="1" si="41"/>
        <v>80701812.083333269</v>
      </c>
      <c r="CE76" s="29">
        <f t="shared" ca="1" si="41"/>
        <v>80701812.083333269</v>
      </c>
      <c r="CF76" s="29">
        <f t="shared" ca="1" si="41"/>
        <v>80701812.083333269</v>
      </c>
      <c r="CG76" s="29">
        <f t="shared" ca="1" si="41"/>
        <v>80701812.083333269</v>
      </c>
      <c r="CH76" s="29">
        <f t="shared" ca="1" si="41"/>
        <v>80701812.083333269</v>
      </c>
    </row>
    <row r="77" spans="2:86" ht="13">
      <c r="B77" s="15" t="str">
        <f t="shared" si="23"/>
        <v>Cumulative Writeoffs</v>
      </c>
      <c r="C77" s="15"/>
      <c r="D77" s="15" t="s">
        <v>247</v>
      </c>
      <c r="E77" s="29">
        <f t="shared" ca="1" si="13"/>
        <v>12513836.80555555</v>
      </c>
      <c r="F77" s="29"/>
      <c r="G77" s="29">
        <f t="shared" ref="G77:CH77" ca="1" si="42">F77+G48</f>
        <v>0</v>
      </c>
      <c r="H77" s="29">
        <f t="shared" ca="1" si="42"/>
        <v>0</v>
      </c>
      <c r="I77" s="29">
        <f t="shared" ca="1" si="42"/>
        <v>0</v>
      </c>
      <c r="J77" s="29">
        <f t="shared" ca="1" si="42"/>
        <v>0</v>
      </c>
      <c r="K77" s="29">
        <f t="shared" ca="1" si="42"/>
        <v>0</v>
      </c>
      <c r="L77" s="29">
        <f t="shared" ca="1" si="42"/>
        <v>0</v>
      </c>
      <c r="M77" s="29">
        <f t="shared" ca="1" si="42"/>
        <v>0</v>
      </c>
      <c r="N77" s="29">
        <f t="shared" ca="1" si="42"/>
        <v>0</v>
      </c>
      <c r="O77" s="29">
        <f t="shared" ca="1" si="42"/>
        <v>741927.08333333337</v>
      </c>
      <c r="P77" s="29">
        <f t="shared" ca="1" si="42"/>
        <v>1483854.1666666667</v>
      </c>
      <c r="Q77" s="29">
        <f t="shared" ca="1" si="42"/>
        <v>2225781.25</v>
      </c>
      <c r="R77" s="29">
        <f t="shared" ca="1" si="42"/>
        <v>2967708.3333333335</v>
      </c>
      <c r="S77" s="29">
        <f t="shared" ca="1" si="42"/>
        <v>3709635.416666667</v>
      </c>
      <c r="T77" s="29">
        <f t="shared" ca="1" si="42"/>
        <v>4451562.5</v>
      </c>
      <c r="U77" s="29">
        <f t="shared" ca="1" si="42"/>
        <v>5193489.583333333</v>
      </c>
      <c r="V77" s="29">
        <f t="shared" ca="1" si="42"/>
        <v>5935416.666666666</v>
      </c>
      <c r="W77" s="29">
        <f t="shared" ca="1" si="42"/>
        <v>6677343.7499999991</v>
      </c>
      <c r="X77" s="29">
        <f t="shared" ca="1" si="42"/>
        <v>7419270.8333333321</v>
      </c>
      <c r="Y77" s="29">
        <f t="shared" ca="1" si="42"/>
        <v>8161197.9166666651</v>
      </c>
      <c r="Z77" s="29">
        <f t="shared" ca="1" si="42"/>
        <v>8903124.9999999981</v>
      </c>
      <c r="AA77" s="29">
        <f t="shared" ca="1" si="42"/>
        <v>9805802.9513888862</v>
      </c>
      <c r="AB77" s="29">
        <f t="shared" ca="1" si="42"/>
        <v>10708480.902777774</v>
      </c>
      <c r="AC77" s="29">
        <f t="shared" ca="1" si="42"/>
        <v>11611158.854166662</v>
      </c>
      <c r="AD77" s="29">
        <f t="shared" ca="1" si="42"/>
        <v>12513836.80555555</v>
      </c>
      <c r="AE77" s="29">
        <f t="shared" ca="1" si="42"/>
        <v>12513836.80555555</v>
      </c>
      <c r="AF77" s="29">
        <f t="shared" ca="1" si="42"/>
        <v>12513836.80555555</v>
      </c>
      <c r="AG77" s="29">
        <f t="shared" ca="1" si="42"/>
        <v>12513836.80555555</v>
      </c>
      <c r="AH77" s="29">
        <f t="shared" ca="1" si="42"/>
        <v>12513836.80555555</v>
      </c>
      <c r="AI77" s="29">
        <f t="shared" ca="1" si="42"/>
        <v>12513836.80555555</v>
      </c>
      <c r="AJ77" s="29">
        <f t="shared" ca="1" si="42"/>
        <v>12513836.80555555</v>
      </c>
      <c r="AK77" s="29">
        <f t="shared" ca="1" si="42"/>
        <v>12513836.80555555</v>
      </c>
      <c r="AL77" s="29">
        <f t="shared" ca="1" si="42"/>
        <v>12513836.80555555</v>
      </c>
      <c r="AM77" s="29">
        <f t="shared" ca="1" si="42"/>
        <v>12513836.80555555</v>
      </c>
      <c r="AN77" s="29">
        <f t="shared" ca="1" si="42"/>
        <v>12513836.80555555</v>
      </c>
      <c r="AO77" s="29">
        <f t="shared" ca="1" si="42"/>
        <v>12513836.80555555</v>
      </c>
      <c r="AP77" s="29">
        <f t="shared" ca="1" si="42"/>
        <v>12513836.80555555</v>
      </c>
      <c r="AQ77" s="29">
        <f t="shared" ca="1" si="42"/>
        <v>12513836.80555555</v>
      </c>
      <c r="AR77" s="29">
        <f t="shared" ca="1" si="42"/>
        <v>12513836.80555555</v>
      </c>
      <c r="AS77" s="29">
        <f t="shared" ca="1" si="42"/>
        <v>12513836.80555555</v>
      </c>
      <c r="AT77" s="29">
        <f t="shared" ca="1" si="42"/>
        <v>12513836.80555555</v>
      </c>
      <c r="AU77" s="29">
        <f t="shared" ca="1" si="42"/>
        <v>12513836.80555555</v>
      </c>
      <c r="AV77" s="29">
        <f t="shared" ca="1" si="42"/>
        <v>12513836.80555555</v>
      </c>
      <c r="AW77" s="29">
        <f t="shared" ca="1" si="42"/>
        <v>12513836.80555555</v>
      </c>
      <c r="AX77" s="29">
        <f t="shared" ca="1" si="42"/>
        <v>12513836.80555555</v>
      </c>
      <c r="AY77" s="29">
        <f t="shared" ca="1" si="42"/>
        <v>12513836.80555555</v>
      </c>
      <c r="AZ77" s="29">
        <f t="shared" ca="1" si="42"/>
        <v>12513836.80555555</v>
      </c>
      <c r="BA77" s="29">
        <f t="shared" ca="1" si="42"/>
        <v>12513836.80555555</v>
      </c>
      <c r="BB77" s="29">
        <f t="shared" ca="1" si="42"/>
        <v>12513836.80555555</v>
      </c>
      <c r="BC77" s="29">
        <f t="shared" ca="1" si="42"/>
        <v>12513836.80555555</v>
      </c>
      <c r="BD77" s="29">
        <f t="shared" ca="1" si="42"/>
        <v>12513836.80555555</v>
      </c>
      <c r="BE77" s="29">
        <f t="shared" ca="1" si="42"/>
        <v>12513836.80555555</v>
      </c>
      <c r="BF77" s="29">
        <f t="shared" ca="1" si="42"/>
        <v>12513836.80555555</v>
      </c>
      <c r="BG77" s="29">
        <f t="shared" ca="1" si="42"/>
        <v>12513836.80555555</v>
      </c>
      <c r="BH77" s="29">
        <f t="shared" ca="1" si="42"/>
        <v>12513836.80555555</v>
      </c>
      <c r="BI77" s="29">
        <f t="shared" ca="1" si="42"/>
        <v>12513836.80555555</v>
      </c>
      <c r="BJ77" s="29">
        <f t="shared" ca="1" si="42"/>
        <v>12513836.80555555</v>
      </c>
      <c r="BK77" s="29">
        <f t="shared" ca="1" si="42"/>
        <v>12513836.80555555</v>
      </c>
      <c r="BL77" s="29">
        <f t="shared" ca="1" si="42"/>
        <v>12513836.80555555</v>
      </c>
      <c r="BM77" s="29">
        <f t="shared" ca="1" si="42"/>
        <v>12513836.80555555</v>
      </c>
      <c r="BN77" s="29">
        <f t="shared" ca="1" si="42"/>
        <v>12513836.80555555</v>
      </c>
      <c r="BO77" s="29">
        <f t="shared" ca="1" si="42"/>
        <v>12513836.80555555</v>
      </c>
      <c r="BP77" s="29">
        <f t="shared" ca="1" si="42"/>
        <v>12513836.80555555</v>
      </c>
      <c r="BQ77" s="29">
        <f t="shared" ca="1" si="42"/>
        <v>12513836.80555555</v>
      </c>
      <c r="BR77" s="29">
        <f t="shared" ca="1" si="42"/>
        <v>12513836.80555555</v>
      </c>
      <c r="BS77" s="29">
        <f t="shared" ca="1" si="42"/>
        <v>12513836.80555555</v>
      </c>
      <c r="BT77" s="29">
        <f t="shared" ca="1" si="42"/>
        <v>12513836.80555555</v>
      </c>
      <c r="BU77" s="29">
        <f t="shared" ca="1" si="42"/>
        <v>12513836.80555555</v>
      </c>
      <c r="BV77" s="29">
        <f t="shared" ca="1" si="42"/>
        <v>12513836.80555555</v>
      </c>
      <c r="BW77" s="29">
        <f t="shared" ca="1" si="42"/>
        <v>12513836.80555555</v>
      </c>
      <c r="BX77" s="29">
        <f t="shared" ca="1" si="42"/>
        <v>12513836.80555555</v>
      </c>
      <c r="BY77" s="29">
        <f t="shared" ca="1" si="42"/>
        <v>12513836.80555555</v>
      </c>
      <c r="BZ77" s="29">
        <f t="shared" ca="1" si="42"/>
        <v>12513836.80555555</v>
      </c>
      <c r="CA77" s="29">
        <f t="shared" ca="1" si="42"/>
        <v>12513836.80555555</v>
      </c>
      <c r="CB77" s="29">
        <f t="shared" ca="1" si="42"/>
        <v>12513836.80555555</v>
      </c>
      <c r="CC77" s="29">
        <f t="shared" ca="1" si="42"/>
        <v>12513836.80555555</v>
      </c>
      <c r="CD77" s="29">
        <f t="shared" ca="1" si="42"/>
        <v>12513836.80555555</v>
      </c>
      <c r="CE77" s="29">
        <f t="shared" ca="1" si="42"/>
        <v>12513836.80555555</v>
      </c>
      <c r="CF77" s="29">
        <f t="shared" ca="1" si="42"/>
        <v>12513836.80555555</v>
      </c>
      <c r="CG77" s="29">
        <f t="shared" ca="1" si="42"/>
        <v>12513836.80555555</v>
      </c>
      <c r="CH77" s="29">
        <f t="shared" ca="1" si="42"/>
        <v>12513836.80555555</v>
      </c>
    </row>
    <row r="78" spans="2:86" ht="13">
      <c r="B78" s="15" t="str">
        <f t="shared" si="23"/>
        <v>Cumulative Invested Capital Exited</v>
      </c>
      <c r="C78" s="15"/>
      <c r="D78" s="15" t="s">
        <v>247</v>
      </c>
      <c r="E78" s="29">
        <f t="shared" ca="1" si="13"/>
        <v>7778871.527777778</v>
      </c>
      <c r="F78" s="29"/>
      <c r="G78" s="29">
        <f t="shared" ref="G78:CH78" ca="1" si="43">F78+G49</f>
        <v>0</v>
      </c>
      <c r="H78" s="29">
        <f t="shared" ca="1" si="43"/>
        <v>0</v>
      </c>
      <c r="I78" s="29">
        <f t="shared" ca="1" si="43"/>
        <v>0</v>
      </c>
      <c r="J78" s="29">
        <f t="shared" ca="1" si="43"/>
        <v>0</v>
      </c>
      <c r="K78" s="29">
        <f t="shared" ca="1" si="43"/>
        <v>0</v>
      </c>
      <c r="L78" s="29">
        <f t="shared" ca="1" si="43"/>
        <v>0</v>
      </c>
      <c r="M78" s="29">
        <f t="shared" ca="1" si="43"/>
        <v>0</v>
      </c>
      <c r="N78" s="29">
        <f t="shared" ca="1" si="43"/>
        <v>0</v>
      </c>
      <c r="O78" s="29">
        <f t="shared" ca="1" si="43"/>
        <v>0</v>
      </c>
      <c r="P78" s="29">
        <f t="shared" ca="1" si="43"/>
        <v>0</v>
      </c>
      <c r="Q78" s="29">
        <f t="shared" ca="1" si="43"/>
        <v>0</v>
      </c>
      <c r="R78" s="29">
        <f t="shared" ca="1" si="43"/>
        <v>0</v>
      </c>
      <c r="S78" s="29">
        <f t="shared" ca="1" si="43"/>
        <v>260677.08333333331</v>
      </c>
      <c r="T78" s="29">
        <f t="shared" ca="1" si="43"/>
        <v>521354.16666666663</v>
      </c>
      <c r="U78" s="29">
        <f t="shared" ca="1" si="43"/>
        <v>782031.25</v>
      </c>
      <c r="V78" s="29">
        <f t="shared" ca="1" si="43"/>
        <v>1042708.3333333333</v>
      </c>
      <c r="W78" s="29">
        <f t="shared" ca="1" si="43"/>
        <v>1443750</v>
      </c>
      <c r="X78" s="29">
        <f t="shared" ca="1" si="43"/>
        <v>1844791.6666666665</v>
      </c>
      <c r="Y78" s="29">
        <f t="shared" ca="1" si="43"/>
        <v>2245833.333333333</v>
      </c>
      <c r="Z78" s="29">
        <f t="shared" ca="1" si="43"/>
        <v>2646874.9999999995</v>
      </c>
      <c r="AA78" s="29">
        <f t="shared" ca="1" si="43"/>
        <v>3047916.666666666</v>
      </c>
      <c r="AB78" s="29">
        <f t="shared" ca="1" si="43"/>
        <v>3448958.3333333326</v>
      </c>
      <c r="AC78" s="29">
        <f t="shared" ca="1" si="43"/>
        <v>3849999.9999999991</v>
      </c>
      <c r="AD78" s="29">
        <f t="shared" ca="1" si="43"/>
        <v>4251041.666666666</v>
      </c>
      <c r="AE78" s="29">
        <f t="shared" ca="1" si="43"/>
        <v>4768719.618055555</v>
      </c>
      <c r="AF78" s="29">
        <f t="shared" ca="1" si="43"/>
        <v>5286397.569444444</v>
      </c>
      <c r="AG78" s="29">
        <f t="shared" ca="1" si="43"/>
        <v>5804075.520833333</v>
      </c>
      <c r="AH78" s="29">
        <f t="shared" ca="1" si="43"/>
        <v>6321753.472222222</v>
      </c>
      <c r="AI78" s="29">
        <f t="shared" ca="1" si="43"/>
        <v>6552686.631944444</v>
      </c>
      <c r="AJ78" s="29">
        <f t="shared" ca="1" si="43"/>
        <v>6783619.791666666</v>
      </c>
      <c r="AK78" s="29">
        <f t="shared" ca="1" si="43"/>
        <v>7014552.9513888881</v>
      </c>
      <c r="AL78" s="29">
        <f t="shared" ca="1" si="43"/>
        <v>7245486.1111111101</v>
      </c>
      <c r="AM78" s="29">
        <f t="shared" ca="1" si="43"/>
        <v>7305642.3611111101</v>
      </c>
      <c r="AN78" s="29">
        <f t="shared" ca="1" si="43"/>
        <v>7365798.6111111101</v>
      </c>
      <c r="AO78" s="29">
        <f t="shared" ca="1" si="43"/>
        <v>7425954.8611111101</v>
      </c>
      <c r="AP78" s="29">
        <f t="shared" ca="1" si="43"/>
        <v>7486111.1111111101</v>
      </c>
      <c r="AQ78" s="29">
        <f t="shared" ca="1" si="43"/>
        <v>7559301.2152777771</v>
      </c>
      <c r="AR78" s="29">
        <f t="shared" ca="1" si="43"/>
        <v>7632491.319444444</v>
      </c>
      <c r="AS78" s="29">
        <f t="shared" ca="1" si="43"/>
        <v>7705681.423611111</v>
      </c>
      <c r="AT78" s="29">
        <f t="shared" ca="1" si="43"/>
        <v>7778871.527777778</v>
      </c>
      <c r="AU78" s="29">
        <f t="shared" ca="1" si="43"/>
        <v>7778871.527777778</v>
      </c>
      <c r="AV78" s="29">
        <f t="shared" ca="1" si="43"/>
        <v>7778871.527777778</v>
      </c>
      <c r="AW78" s="29">
        <f t="shared" ca="1" si="43"/>
        <v>7778871.527777778</v>
      </c>
      <c r="AX78" s="29">
        <f t="shared" ca="1" si="43"/>
        <v>7778871.527777778</v>
      </c>
      <c r="AY78" s="29">
        <f t="shared" ca="1" si="43"/>
        <v>7778871.527777778</v>
      </c>
      <c r="AZ78" s="29">
        <f t="shared" ca="1" si="43"/>
        <v>7778871.527777778</v>
      </c>
      <c r="BA78" s="29">
        <f t="shared" ca="1" si="43"/>
        <v>7778871.527777778</v>
      </c>
      <c r="BB78" s="29">
        <f t="shared" ca="1" si="43"/>
        <v>7778871.527777778</v>
      </c>
      <c r="BC78" s="29">
        <f t="shared" ca="1" si="43"/>
        <v>7778871.527777778</v>
      </c>
      <c r="BD78" s="29">
        <f t="shared" ca="1" si="43"/>
        <v>7778871.527777778</v>
      </c>
      <c r="BE78" s="29">
        <f t="shared" ca="1" si="43"/>
        <v>7778871.527777778</v>
      </c>
      <c r="BF78" s="29">
        <f t="shared" ca="1" si="43"/>
        <v>7778871.527777778</v>
      </c>
      <c r="BG78" s="29">
        <f t="shared" ca="1" si="43"/>
        <v>7778871.527777778</v>
      </c>
      <c r="BH78" s="29">
        <f t="shared" ca="1" si="43"/>
        <v>7778871.527777778</v>
      </c>
      <c r="BI78" s="29">
        <f t="shared" ca="1" si="43"/>
        <v>7778871.527777778</v>
      </c>
      <c r="BJ78" s="29">
        <f t="shared" ca="1" si="43"/>
        <v>7778871.527777778</v>
      </c>
      <c r="BK78" s="29">
        <f t="shared" ca="1" si="43"/>
        <v>7778871.527777778</v>
      </c>
      <c r="BL78" s="29">
        <f t="shared" ca="1" si="43"/>
        <v>7778871.527777778</v>
      </c>
      <c r="BM78" s="29">
        <f t="shared" ca="1" si="43"/>
        <v>7778871.527777778</v>
      </c>
      <c r="BN78" s="29">
        <f t="shared" ca="1" si="43"/>
        <v>7778871.527777778</v>
      </c>
      <c r="BO78" s="29">
        <f t="shared" ca="1" si="43"/>
        <v>7778871.527777778</v>
      </c>
      <c r="BP78" s="29">
        <f t="shared" ca="1" si="43"/>
        <v>7778871.527777778</v>
      </c>
      <c r="BQ78" s="29">
        <f t="shared" ca="1" si="43"/>
        <v>7778871.527777778</v>
      </c>
      <c r="BR78" s="29">
        <f t="shared" ca="1" si="43"/>
        <v>7778871.527777778</v>
      </c>
      <c r="BS78" s="29">
        <f t="shared" ca="1" si="43"/>
        <v>7778871.527777778</v>
      </c>
      <c r="BT78" s="29">
        <f t="shared" ca="1" si="43"/>
        <v>7778871.527777778</v>
      </c>
      <c r="BU78" s="29">
        <f t="shared" ca="1" si="43"/>
        <v>7778871.527777778</v>
      </c>
      <c r="BV78" s="29">
        <f t="shared" ca="1" si="43"/>
        <v>7778871.527777778</v>
      </c>
      <c r="BW78" s="29">
        <f t="shared" ca="1" si="43"/>
        <v>7778871.527777778</v>
      </c>
      <c r="BX78" s="29">
        <f t="shared" ca="1" si="43"/>
        <v>7778871.527777778</v>
      </c>
      <c r="BY78" s="29">
        <f t="shared" ca="1" si="43"/>
        <v>7778871.527777778</v>
      </c>
      <c r="BZ78" s="29">
        <f t="shared" ca="1" si="43"/>
        <v>7778871.527777778</v>
      </c>
      <c r="CA78" s="29">
        <f t="shared" ca="1" si="43"/>
        <v>7778871.527777778</v>
      </c>
      <c r="CB78" s="29">
        <f t="shared" ca="1" si="43"/>
        <v>7778871.527777778</v>
      </c>
      <c r="CC78" s="29">
        <f t="shared" ca="1" si="43"/>
        <v>7778871.527777778</v>
      </c>
      <c r="CD78" s="29">
        <f t="shared" ca="1" si="43"/>
        <v>7778871.527777778</v>
      </c>
      <c r="CE78" s="29">
        <f t="shared" ca="1" si="43"/>
        <v>7778871.527777778</v>
      </c>
      <c r="CF78" s="29">
        <f t="shared" ca="1" si="43"/>
        <v>7778871.527777778</v>
      </c>
      <c r="CG78" s="29">
        <f t="shared" ca="1" si="43"/>
        <v>7778871.527777778</v>
      </c>
      <c r="CH78" s="29">
        <f t="shared" ca="1" si="43"/>
        <v>7778871.527777778</v>
      </c>
    </row>
    <row r="79" spans="2:86" ht="13">
      <c r="B79" s="15" t="str">
        <f t="shared" si="23"/>
        <v>Cumulative Change in Invested Capital</v>
      </c>
      <c r="C79" s="15"/>
      <c r="D79" s="15" t="s">
        <v>247</v>
      </c>
      <c r="E79" s="29">
        <f t="shared" ca="1" si="13"/>
        <v>-5.2677933126688004E-9</v>
      </c>
      <c r="F79" s="29"/>
      <c r="G79" s="29">
        <f t="shared" ref="G79:CH79" ca="1" si="44">F79+G50</f>
        <v>1203125</v>
      </c>
      <c r="H79" s="29">
        <f t="shared" ca="1" si="44"/>
        <v>2406250</v>
      </c>
      <c r="I79" s="29">
        <f t="shared" ca="1" si="44"/>
        <v>3609375</v>
      </c>
      <c r="J79" s="29">
        <f t="shared" ca="1" si="44"/>
        <v>4812500</v>
      </c>
      <c r="K79" s="29">
        <f t="shared" ca="1" si="44"/>
        <v>6015625</v>
      </c>
      <c r="L79" s="29">
        <f t="shared" ca="1" si="44"/>
        <v>7218750</v>
      </c>
      <c r="M79" s="29">
        <f t="shared" ca="1" si="44"/>
        <v>8421875</v>
      </c>
      <c r="N79" s="29">
        <f t="shared" ca="1" si="44"/>
        <v>9625000</v>
      </c>
      <c r="O79" s="29">
        <f t="shared" ca="1" si="44"/>
        <v>10086197.916666666</v>
      </c>
      <c r="P79" s="29">
        <f t="shared" ca="1" si="44"/>
        <v>10547395.833333332</v>
      </c>
      <c r="Q79" s="29">
        <f t="shared" ca="1" si="44"/>
        <v>11008593.749999998</v>
      </c>
      <c r="R79" s="29">
        <f t="shared" ca="1" si="44"/>
        <v>11469791.666666664</v>
      </c>
      <c r="S79" s="29">
        <f t="shared" ca="1" si="44"/>
        <v>11930989.58333333</v>
      </c>
      <c r="T79" s="29">
        <f t="shared" ca="1" si="44"/>
        <v>12392187.499999996</v>
      </c>
      <c r="U79" s="29">
        <f t="shared" ca="1" si="44"/>
        <v>12853385.416666662</v>
      </c>
      <c r="V79" s="29">
        <f t="shared" ca="1" si="44"/>
        <v>13314583.333333328</v>
      </c>
      <c r="W79" s="29">
        <f t="shared" ca="1" si="44"/>
        <v>12171614.583333328</v>
      </c>
      <c r="X79" s="29">
        <f t="shared" ca="1" si="44"/>
        <v>11028645.833333328</v>
      </c>
      <c r="Y79" s="29">
        <f t="shared" ca="1" si="44"/>
        <v>9885677.0833333284</v>
      </c>
      <c r="Z79" s="29">
        <f t="shared" ca="1" si="44"/>
        <v>8742708.3333333284</v>
      </c>
      <c r="AA79" s="29">
        <f t="shared" ca="1" si="44"/>
        <v>7438988.7152777724</v>
      </c>
      <c r="AB79" s="29">
        <f t="shared" ca="1" si="44"/>
        <v>6135269.0972222164</v>
      </c>
      <c r="AC79" s="29">
        <f t="shared" ca="1" si="44"/>
        <v>4831549.4791666605</v>
      </c>
      <c r="AD79" s="29">
        <f t="shared" ca="1" si="44"/>
        <v>3527829.861111105</v>
      </c>
      <c r="AE79" s="29">
        <f t="shared" ca="1" si="44"/>
        <v>3010151.9097222164</v>
      </c>
      <c r="AF79" s="29">
        <f t="shared" ca="1" si="44"/>
        <v>2492473.9583333274</v>
      </c>
      <c r="AG79" s="29">
        <f t="shared" ca="1" si="44"/>
        <v>1974796.0069444387</v>
      </c>
      <c r="AH79" s="29">
        <f t="shared" ca="1" si="44"/>
        <v>1457118.0555555499</v>
      </c>
      <c r="AI79" s="29">
        <f t="shared" ca="1" si="44"/>
        <v>1226184.8958333277</v>
      </c>
      <c r="AJ79" s="29">
        <f t="shared" ca="1" si="44"/>
        <v>995251.73611110554</v>
      </c>
      <c r="AK79" s="29">
        <f t="shared" ca="1" si="44"/>
        <v>764318.5763888834</v>
      </c>
      <c r="AL79" s="29">
        <f t="shared" ca="1" si="44"/>
        <v>533385.41666666127</v>
      </c>
      <c r="AM79" s="29">
        <f t="shared" ca="1" si="44"/>
        <v>473229.16666666127</v>
      </c>
      <c r="AN79" s="29">
        <f t="shared" ca="1" si="44"/>
        <v>413072.91666666127</v>
      </c>
      <c r="AO79" s="29">
        <f t="shared" ca="1" si="44"/>
        <v>352916.66666666127</v>
      </c>
      <c r="AP79" s="29">
        <f t="shared" ca="1" si="44"/>
        <v>292760.41666666127</v>
      </c>
      <c r="AQ79" s="29">
        <f t="shared" ca="1" si="44"/>
        <v>219570.31249999464</v>
      </c>
      <c r="AR79" s="29">
        <f t="shared" ca="1" si="44"/>
        <v>146380.20833332802</v>
      </c>
      <c r="AS79" s="29">
        <f t="shared" ca="1" si="44"/>
        <v>73190.104166661375</v>
      </c>
      <c r="AT79" s="29">
        <f t="shared" ca="1" si="44"/>
        <v>-5.2677933126688004E-9</v>
      </c>
      <c r="AU79" s="29">
        <f t="shared" ca="1" si="44"/>
        <v>-5.2677933126688004E-9</v>
      </c>
      <c r="AV79" s="29">
        <f t="shared" ca="1" si="44"/>
        <v>-5.2677933126688004E-9</v>
      </c>
      <c r="AW79" s="29">
        <f t="shared" ca="1" si="44"/>
        <v>-5.2677933126688004E-9</v>
      </c>
      <c r="AX79" s="29">
        <f t="shared" ca="1" si="44"/>
        <v>-5.2677933126688004E-9</v>
      </c>
      <c r="AY79" s="29">
        <f t="shared" ca="1" si="44"/>
        <v>-5.2677933126688004E-9</v>
      </c>
      <c r="AZ79" s="29">
        <f t="shared" ca="1" si="44"/>
        <v>-5.2677933126688004E-9</v>
      </c>
      <c r="BA79" s="29">
        <f t="shared" ca="1" si="44"/>
        <v>-5.2677933126688004E-9</v>
      </c>
      <c r="BB79" s="29">
        <f t="shared" ca="1" si="44"/>
        <v>-5.2677933126688004E-9</v>
      </c>
      <c r="BC79" s="29">
        <f t="shared" ca="1" si="44"/>
        <v>-5.2677933126688004E-9</v>
      </c>
      <c r="BD79" s="29">
        <f t="shared" ca="1" si="44"/>
        <v>-5.2677933126688004E-9</v>
      </c>
      <c r="BE79" s="29">
        <f t="shared" ca="1" si="44"/>
        <v>-5.2677933126688004E-9</v>
      </c>
      <c r="BF79" s="29">
        <f t="shared" ca="1" si="44"/>
        <v>-5.2677933126688004E-9</v>
      </c>
      <c r="BG79" s="29">
        <f t="shared" ca="1" si="44"/>
        <v>-5.2677933126688004E-9</v>
      </c>
      <c r="BH79" s="29">
        <f t="shared" ca="1" si="44"/>
        <v>-5.2677933126688004E-9</v>
      </c>
      <c r="BI79" s="29">
        <f t="shared" ca="1" si="44"/>
        <v>-5.2677933126688004E-9</v>
      </c>
      <c r="BJ79" s="29">
        <f t="shared" ca="1" si="44"/>
        <v>-5.2677933126688004E-9</v>
      </c>
      <c r="BK79" s="29">
        <f t="shared" ca="1" si="44"/>
        <v>-5.2677933126688004E-9</v>
      </c>
      <c r="BL79" s="29">
        <f t="shared" ca="1" si="44"/>
        <v>-5.2677933126688004E-9</v>
      </c>
      <c r="BM79" s="29">
        <f t="shared" ca="1" si="44"/>
        <v>-5.2677933126688004E-9</v>
      </c>
      <c r="BN79" s="29">
        <f t="shared" ca="1" si="44"/>
        <v>-5.2677933126688004E-9</v>
      </c>
      <c r="BO79" s="29">
        <f t="shared" ca="1" si="44"/>
        <v>-5.2677933126688004E-9</v>
      </c>
      <c r="BP79" s="29">
        <f t="shared" ca="1" si="44"/>
        <v>-5.2677933126688004E-9</v>
      </c>
      <c r="BQ79" s="29">
        <f t="shared" ca="1" si="44"/>
        <v>-5.2677933126688004E-9</v>
      </c>
      <c r="BR79" s="29">
        <f t="shared" ca="1" si="44"/>
        <v>-5.2677933126688004E-9</v>
      </c>
      <c r="BS79" s="29">
        <f t="shared" ca="1" si="44"/>
        <v>-5.2677933126688004E-9</v>
      </c>
      <c r="BT79" s="29">
        <f t="shared" ca="1" si="44"/>
        <v>-5.2677933126688004E-9</v>
      </c>
      <c r="BU79" s="29">
        <f t="shared" ca="1" si="44"/>
        <v>-5.2677933126688004E-9</v>
      </c>
      <c r="BV79" s="29">
        <f t="shared" ca="1" si="44"/>
        <v>-5.2677933126688004E-9</v>
      </c>
      <c r="BW79" s="29">
        <f t="shared" ca="1" si="44"/>
        <v>-5.2677933126688004E-9</v>
      </c>
      <c r="BX79" s="29">
        <f t="shared" ca="1" si="44"/>
        <v>-5.2677933126688004E-9</v>
      </c>
      <c r="BY79" s="29">
        <f t="shared" ca="1" si="44"/>
        <v>-5.2677933126688004E-9</v>
      </c>
      <c r="BZ79" s="29">
        <f t="shared" ca="1" si="44"/>
        <v>-5.2677933126688004E-9</v>
      </c>
      <c r="CA79" s="29">
        <f t="shared" ca="1" si="44"/>
        <v>-5.2677933126688004E-9</v>
      </c>
      <c r="CB79" s="29">
        <f t="shared" ca="1" si="44"/>
        <v>-5.2677933126688004E-9</v>
      </c>
      <c r="CC79" s="29">
        <f t="shared" ca="1" si="44"/>
        <v>-5.2677933126688004E-9</v>
      </c>
      <c r="CD79" s="29">
        <f t="shared" ca="1" si="44"/>
        <v>-5.2677933126688004E-9</v>
      </c>
      <c r="CE79" s="29">
        <f t="shared" ca="1" si="44"/>
        <v>-5.2677933126688004E-9</v>
      </c>
      <c r="CF79" s="29">
        <f t="shared" ca="1" si="44"/>
        <v>-5.2677933126688004E-9</v>
      </c>
      <c r="CG79" s="29">
        <f t="shared" ca="1" si="44"/>
        <v>-5.2677933126688004E-9</v>
      </c>
      <c r="CH79" s="29">
        <f t="shared" ca="1" si="44"/>
        <v>-5.2677933126688004E-9</v>
      </c>
    </row>
    <row r="80" spans="2:86" ht="13">
      <c r="B80" s="15" t="str">
        <f t="shared" si="23"/>
        <v>Cumulative Change in Unrealized Gain (Loss)</v>
      </c>
      <c r="C80" s="15"/>
      <c r="D80" s="15" t="s">
        <v>247</v>
      </c>
      <c r="E80" s="29">
        <f t="shared" ca="1" si="13"/>
        <v>0</v>
      </c>
      <c r="F80" s="29"/>
      <c r="G80" s="29">
        <f t="shared" ref="G80:CH80" ca="1" si="45">F80+G51</f>
        <v>0</v>
      </c>
      <c r="H80" s="29">
        <f t="shared" ca="1" si="45"/>
        <v>0</v>
      </c>
      <c r="I80" s="29">
        <f t="shared" ca="1" si="45"/>
        <v>0</v>
      </c>
      <c r="J80" s="29">
        <f t="shared" ca="1" si="45"/>
        <v>0</v>
      </c>
      <c r="K80" s="29">
        <f t="shared" ca="1" si="45"/>
        <v>0</v>
      </c>
      <c r="L80" s="29">
        <f t="shared" ca="1" si="45"/>
        <v>0</v>
      </c>
      <c r="M80" s="29">
        <f t="shared" ca="1" si="45"/>
        <v>0</v>
      </c>
      <c r="N80" s="29">
        <f t="shared" ca="1" si="45"/>
        <v>0</v>
      </c>
      <c r="O80" s="29">
        <f t="shared" ca="1" si="45"/>
        <v>965137.17095001298</v>
      </c>
      <c r="P80" s="29">
        <f t="shared" ca="1" si="45"/>
        <v>1975438.441456181</v>
      </c>
      <c r="Q80" s="29">
        <f t="shared" ca="1" si="45"/>
        <v>3030903.8115185043</v>
      </c>
      <c r="R80" s="29">
        <f t="shared" ca="1" si="45"/>
        <v>4131533.2811369831</v>
      </c>
      <c r="S80" s="29">
        <f t="shared" ca="1" si="45"/>
        <v>4638164.5132562714</v>
      </c>
      <c r="T80" s="29">
        <f t="shared" ca="1" si="45"/>
        <v>5189959.8449317152</v>
      </c>
      <c r="U80" s="29">
        <f t="shared" ca="1" si="45"/>
        <v>5786919.2761633135</v>
      </c>
      <c r="V80" s="29">
        <f t="shared" ca="1" si="45"/>
        <v>6429042.8069510674</v>
      </c>
      <c r="W80" s="29">
        <f t="shared" ca="1" si="45"/>
        <v>6693619.8418598212</v>
      </c>
      <c r="X80" s="29">
        <f t="shared" ca="1" si="45"/>
        <v>6846268.4561294075</v>
      </c>
      <c r="Y80" s="29">
        <f t="shared" ca="1" si="45"/>
        <v>6886988.6497598272</v>
      </c>
      <c r="Z80" s="29">
        <f t="shared" ca="1" si="45"/>
        <v>6815780.4227510793</v>
      </c>
      <c r="AA80" s="29">
        <f t="shared" ca="1" si="45"/>
        <v>6624772.7852892112</v>
      </c>
      <c r="AB80" s="29">
        <f t="shared" ca="1" si="45"/>
        <v>6306094.7475602692</v>
      </c>
      <c r="AC80" s="29">
        <f t="shared" ca="1" si="45"/>
        <v>5859746.3095642533</v>
      </c>
      <c r="AD80" s="29">
        <f t="shared" ca="1" si="45"/>
        <v>5285727.4713011635</v>
      </c>
      <c r="AE80" s="29">
        <f t="shared" ca="1" si="45"/>
        <v>4336541.7263312703</v>
      </c>
      <c r="AF80" s="29">
        <f t="shared" ca="1" si="45"/>
        <v>3336660.9159900118</v>
      </c>
      <c r="AG80" s="29">
        <f t="shared" ca="1" si="45"/>
        <v>2286085.0402773879</v>
      </c>
      <c r="AH80" s="29">
        <f t="shared" ca="1" si="45"/>
        <v>1184814.0991933984</v>
      </c>
      <c r="AI80" s="29">
        <f t="shared" ca="1" si="45"/>
        <v>749966.80749138026</v>
      </c>
      <c r="AJ80" s="29">
        <f t="shared" ca="1" si="45"/>
        <v>292504.73840291047</v>
      </c>
      <c r="AK80" s="29">
        <f t="shared" ca="1" si="45"/>
        <v>-187572.10807201097</v>
      </c>
      <c r="AL80" s="29">
        <f t="shared" ca="1" si="45"/>
        <v>-690263.73193338397</v>
      </c>
      <c r="AM80" s="29">
        <f t="shared" ca="1" si="45"/>
        <v>-788474.95458102785</v>
      </c>
      <c r="AN80" s="29">
        <f t="shared" ca="1" si="45"/>
        <v>-892577.14673599636</v>
      </c>
      <c r="AO80" s="29">
        <f t="shared" ca="1" si="45"/>
        <v>-1002570.3083982895</v>
      </c>
      <c r="AP80" s="29">
        <f t="shared" ca="1" si="45"/>
        <v>-1118454.4395679072</v>
      </c>
      <c r="AQ80" s="29">
        <f t="shared" ca="1" si="45"/>
        <v>-1272825.8454609104</v>
      </c>
      <c r="AR80" s="29">
        <f t="shared" ca="1" si="45"/>
        <v>-1434364.597587825</v>
      </c>
      <c r="AS80" s="29">
        <f t="shared" ca="1" si="45"/>
        <v>-1603070.6959486513</v>
      </c>
      <c r="AT80" s="29">
        <f t="shared" ca="1" si="45"/>
        <v>0</v>
      </c>
      <c r="AU80" s="29">
        <f t="shared" ca="1" si="45"/>
        <v>0</v>
      </c>
      <c r="AV80" s="29">
        <f t="shared" ca="1" si="45"/>
        <v>0</v>
      </c>
      <c r="AW80" s="29">
        <f t="shared" ca="1" si="45"/>
        <v>0</v>
      </c>
      <c r="AX80" s="29">
        <f t="shared" ca="1" si="45"/>
        <v>0</v>
      </c>
      <c r="AY80" s="29">
        <f t="shared" ca="1" si="45"/>
        <v>0</v>
      </c>
      <c r="AZ80" s="29">
        <f t="shared" ca="1" si="45"/>
        <v>0</v>
      </c>
      <c r="BA80" s="29">
        <f t="shared" ca="1" si="45"/>
        <v>0</v>
      </c>
      <c r="BB80" s="29">
        <f t="shared" ca="1" si="45"/>
        <v>0</v>
      </c>
      <c r="BC80" s="29">
        <f t="shared" ca="1" si="45"/>
        <v>0</v>
      </c>
      <c r="BD80" s="29">
        <f t="shared" ca="1" si="45"/>
        <v>0</v>
      </c>
      <c r="BE80" s="29">
        <f t="shared" ca="1" si="45"/>
        <v>0</v>
      </c>
      <c r="BF80" s="29">
        <f t="shared" ca="1" si="45"/>
        <v>0</v>
      </c>
      <c r="BG80" s="29">
        <f t="shared" ca="1" si="45"/>
        <v>0</v>
      </c>
      <c r="BH80" s="29">
        <f t="shared" ca="1" si="45"/>
        <v>0</v>
      </c>
      <c r="BI80" s="29">
        <f t="shared" ca="1" si="45"/>
        <v>0</v>
      </c>
      <c r="BJ80" s="29">
        <f t="shared" ca="1" si="45"/>
        <v>0</v>
      </c>
      <c r="BK80" s="29">
        <f t="shared" ca="1" si="45"/>
        <v>0</v>
      </c>
      <c r="BL80" s="29">
        <f t="shared" ca="1" si="45"/>
        <v>0</v>
      </c>
      <c r="BM80" s="29">
        <f t="shared" ca="1" si="45"/>
        <v>0</v>
      </c>
      <c r="BN80" s="29">
        <f t="shared" ca="1" si="45"/>
        <v>0</v>
      </c>
      <c r="BO80" s="29">
        <f t="shared" ca="1" si="45"/>
        <v>0</v>
      </c>
      <c r="BP80" s="29">
        <f t="shared" ca="1" si="45"/>
        <v>0</v>
      </c>
      <c r="BQ80" s="29">
        <f t="shared" ca="1" si="45"/>
        <v>0</v>
      </c>
      <c r="BR80" s="29">
        <f t="shared" ca="1" si="45"/>
        <v>0</v>
      </c>
      <c r="BS80" s="29">
        <f t="shared" ca="1" si="45"/>
        <v>0</v>
      </c>
      <c r="BT80" s="29">
        <f t="shared" ca="1" si="45"/>
        <v>0</v>
      </c>
      <c r="BU80" s="29">
        <f t="shared" ca="1" si="45"/>
        <v>0</v>
      </c>
      <c r="BV80" s="29">
        <f t="shared" ca="1" si="45"/>
        <v>0</v>
      </c>
      <c r="BW80" s="29">
        <f t="shared" ca="1" si="45"/>
        <v>0</v>
      </c>
      <c r="BX80" s="29">
        <f t="shared" ca="1" si="45"/>
        <v>0</v>
      </c>
      <c r="BY80" s="29">
        <f t="shared" ca="1" si="45"/>
        <v>0</v>
      </c>
      <c r="BZ80" s="29">
        <f t="shared" ca="1" si="45"/>
        <v>0</v>
      </c>
      <c r="CA80" s="29">
        <f t="shared" ca="1" si="45"/>
        <v>0</v>
      </c>
      <c r="CB80" s="29">
        <f t="shared" ca="1" si="45"/>
        <v>0</v>
      </c>
      <c r="CC80" s="29">
        <f t="shared" ca="1" si="45"/>
        <v>0</v>
      </c>
      <c r="CD80" s="29">
        <f t="shared" ca="1" si="45"/>
        <v>0</v>
      </c>
      <c r="CE80" s="29">
        <f t="shared" ca="1" si="45"/>
        <v>0</v>
      </c>
      <c r="CF80" s="29">
        <f t="shared" ca="1" si="45"/>
        <v>0</v>
      </c>
      <c r="CG80" s="29">
        <f t="shared" ca="1" si="45"/>
        <v>0</v>
      </c>
      <c r="CH80" s="29">
        <f t="shared" ca="1" si="45"/>
        <v>0</v>
      </c>
    </row>
    <row r="81" spans="2:86" ht="13">
      <c r="B81" s="15" t="str">
        <f t="shared" si="23"/>
        <v>Cumulative Change in Residual Value</v>
      </c>
      <c r="C81" s="15" t="s">
        <v>285</v>
      </c>
      <c r="D81" s="15" t="s">
        <v>247</v>
      </c>
      <c r="E81" s="29">
        <f t="shared" ca="1" si="13"/>
        <v>0</v>
      </c>
      <c r="F81" s="29"/>
      <c r="G81" s="29">
        <f t="shared" ref="G81:CH81" ca="1" si="46">F81+G52</f>
        <v>1203125</v>
      </c>
      <c r="H81" s="29">
        <f t="shared" ca="1" si="46"/>
        <v>2406250</v>
      </c>
      <c r="I81" s="29">
        <f t="shared" ca="1" si="46"/>
        <v>3609375</v>
      </c>
      <c r="J81" s="29">
        <f t="shared" ca="1" si="46"/>
        <v>4812500</v>
      </c>
      <c r="K81" s="29">
        <f t="shared" ca="1" si="46"/>
        <v>6015625</v>
      </c>
      <c r="L81" s="29">
        <f t="shared" ca="1" si="46"/>
        <v>7218750</v>
      </c>
      <c r="M81" s="29">
        <f t="shared" ca="1" si="46"/>
        <v>8421875</v>
      </c>
      <c r="N81" s="29">
        <f t="shared" ca="1" si="46"/>
        <v>9625000</v>
      </c>
      <c r="O81" s="29">
        <f t="shared" ca="1" si="46"/>
        <v>11051335.08761668</v>
      </c>
      <c r="P81" s="29">
        <f t="shared" ca="1" si="46"/>
        <v>12522834.274789516</v>
      </c>
      <c r="Q81" s="29">
        <f t="shared" ca="1" si="46"/>
        <v>14039497.561518505</v>
      </c>
      <c r="R81" s="29">
        <f t="shared" ca="1" si="46"/>
        <v>15601324.94780365</v>
      </c>
      <c r="S81" s="29">
        <f t="shared" ca="1" si="46"/>
        <v>16569154.096589604</v>
      </c>
      <c r="T81" s="29">
        <f t="shared" ca="1" si="46"/>
        <v>17582147.344931714</v>
      </c>
      <c r="U81" s="29">
        <f t="shared" ca="1" si="46"/>
        <v>18640304.692829978</v>
      </c>
      <c r="V81" s="29">
        <f t="shared" ca="1" si="46"/>
        <v>19743626.140284397</v>
      </c>
      <c r="W81" s="29">
        <f t="shared" ca="1" si="46"/>
        <v>18865234.42519315</v>
      </c>
      <c r="X81" s="29">
        <f t="shared" ca="1" si="46"/>
        <v>17874914.289462738</v>
      </c>
      <c r="Y81" s="29">
        <f t="shared" ca="1" si="46"/>
        <v>16772665.733093157</v>
      </c>
      <c r="Z81" s="29">
        <f t="shared" ca="1" si="46"/>
        <v>15558488.756084409</v>
      </c>
      <c r="AA81" s="29">
        <f t="shared" ca="1" si="46"/>
        <v>14063761.500566985</v>
      </c>
      <c r="AB81" s="29">
        <f t="shared" ca="1" si="46"/>
        <v>12441363.844782488</v>
      </c>
      <c r="AC81" s="29">
        <f t="shared" ca="1" si="46"/>
        <v>10691295.788730917</v>
      </c>
      <c r="AD81" s="29">
        <f t="shared" ca="1" si="46"/>
        <v>8813557.3324122727</v>
      </c>
      <c r="AE81" s="29">
        <f t="shared" ca="1" si="46"/>
        <v>7346693.6360534914</v>
      </c>
      <c r="AF81" s="29">
        <f t="shared" ca="1" si="46"/>
        <v>5829134.8743233439</v>
      </c>
      <c r="AG81" s="29">
        <f t="shared" ca="1" si="46"/>
        <v>4260881.047221831</v>
      </c>
      <c r="AH81" s="29">
        <f t="shared" ca="1" si="46"/>
        <v>2641932.1547489529</v>
      </c>
      <c r="AI81" s="29">
        <f t="shared" ca="1" si="46"/>
        <v>1976151.7033247128</v>
      </c>
      <c r="AJ81" s="29">
        <f t="shared" ca="1" si="46"/>
        <v>1287756.4745140208</v>
      </c>
      <c r="AK81" s="29">
        <f t="shared" ca="1" si="46"/>
        <v>576746.46831687726</v>
      </c>
      <c r="AL81" s="29">
        <f t="shared" ca="1" si="46"/>
        <v>-156878.31526671792</v>
      </c>
      <c r="AM81" s="29">
        <f t="shared" ca="1" si="46"/>
        <v>-315245.7879143618</v>
      </c>
      <c r="AN81" s="29">
        <f t="shared" ca="1" si="46"/>
        <v>-479504.23006933031</v>
      </c>
      <c r="AO81" s="29">
        <f t="shared" ca="1" si="46"/>
        <v>-649653.64173162333</v>
      </c>
      <c r="AP81" s="29">
        <f t="shared" ca="1" si="46"/>
        <v>-825694.02290124097</v>
      </c>
      <c r="AQ81" s="29">
        <f t="shared" ca="1" si="46"/>
        <v>-1053255.5329609108</v>
      </c>
      <c r="AR81" s="29">
        <f t="shared" ca="1" si="46"/>
        <v>-1287984.3892544922</v>
      </c>
      <c r="AS81" s="29">
        <f t="shared" ca="1" si="46"/>
        <v>-1529880.591781985</v>
      </c>
      <c r="AT81" s="29">
        <f t="shared" ca="1" si="46"/>
        <v>0</v>
      </c>
      <c r="AU81" s="29">
        <f t="shared" ca="1" si="46"/>
        <v>0</v>
      </c>
      <c r="AV81" s="29">
        <f t="shared" ca="1" si="46"/>
        <v>0</v>
      </c>
      <c r="AW81" s="29">
        <f t="shared" ca="1" si="46"/>
        <v>0</v>
      </c>
      <c r="AX81" s="29">
        <f t="shared" ca="1" si="46"/>
        <v>0</v>
      </c>
      <c r="AY81" s="29">
        <f t="shared" ca="1" si="46"/>
        <v>0</v>
      </c>
      <c r="AZ81" s="29">
        <f t="shared" ca="1" si="46"/>
        <v>0</v>
      </c>
      <c r="BA81" s="29">
        <f t="shared" ca="1" si="46"/>
        <v>0</v>
      </c>
      <c r="BB81" s="29">
        <f t="shared" ca="1" si="46"/>
        <v>0</v>
      </c>
      <c r="BC81" s="29">
        <f t="shared" ca="1" si="46"/>
        <v>0</v>
      </c>
      <c r="BD81" s="29">
        <f t="shared" ca="1" si="46"/>
        <v>0</v>
      </c>
      <c r="BE81" s="29">
        <f t="shared" ca="1" si="46"/>
        <v>0</v>
      </c>
      <c r="BF81" s="29">
        <f t="shared" ca="1" si="46"/>
        <v>0</v>
      </c>
      <c r="BG81" s="29">
        <f t="shared" ca="1" si="46"/>
        <v>0</v>
      </c>
      <c r="BH81" s="29">
        <f t="shared" ca="1" si="46"/>
        <v>0</v>
      </c>
      <c r="BI81" s="29">
        <f t="shared" ca="1" si="46"/>
        <v>0</v>
      </c>
      <c r="BJ81" s="29">
        <f t="shared" ca="1" si="46"/>
        <v>0</v>
      </c>
      <c r="BK81" s="29">
        <f t="shared" ca="1" si="46"/>
        <v>0</v>
      </c>
      <c r="BL81" s="29">
        <f t="shared" ca="1" si="46"/>
        <v>0</v>
      </c>
      <c r="BM81" s="29">
        <f t="shared" ca="1" si="46"/>
        <v>0</v>
      </c>
      <c r="BN81" s="29">
        <f t="shared" ca="1" si="46"/>
        <v>0</v>
      </c>
      <c r="BO81" s="29">
        <f t="shared" ca="1" si="46"/>
        <v>0</v>
      </c>
      <c r="BP81" s="29">
        <f t="shared" ca="1" si="46"/>
        <v>0</v>
      </c>
      <c r="BQ81" s="29">
        <f t="shared" ca="1" si="46"/>
        <v>0</v>
      </c>
      <c r="BR81" s="29">
        <f t="shared" ca="1" si="46"/>
        <v>0</v>
      </c>
      <c r="BS81" s="29">
        <f t="shared" ca="1" si="46"/>
        <v>0</v>
      </c>
      <c r="BT81" s="29">
        <f t="shared" ca="1" si="46"/>
        <v>0</v>
      </c>
      <c r="BU81" s="29">
        <f t="shared" ca="1" si="46"/>
        <v>0</v>
      </c>
      <c r="BV81" s="29">
        <f t="shared" ca="1" si="46"/>
        <v>0</v>
      </c>
      <c r="BW81" s="29">
        <f t="shared" ca="1" si="46"/>
        <v>0</v>
      </c>
      <c r="BX81" s="29">
        <f t="shared" ca="1" si="46"/>
        <v>0</v>
      </c>
      <c r="BY81" s="29">
        <f t="shared" ca="1" si="46"/>
        <v>0</v>
      </c>
      <c r="BZ81" s="29">
        <f t="shared" ca="1" si="46"/>
        <v>0</v>
      </c>
      <c r="CA81" s="29">
        <f t="shared" ca="1" si="46"/>
        <v>0</v>
      </c>
      <c r="CB81" s="29">
        <f t="shared" ca="1" si="46"/>
        <v>0</v>
      </c>
      <c r="CC81" s="29">
        <f t="shared" ca="1" si="46"/>
        <v>0</v>
      </c>
      <c r="CD81" s="29">
        <f t="shared" ca="1" si="46"/>
        <v>0</v>
      </c>
      <c r="CE81" s="29">
        <f t="shared" ca="1" si="46"/>
        <v>0</v>
      </c>
      <c r="CF81" s="29">
        <f t="shared" ca="1" si="46"/>
        <v>0</v>
      </c>
      <c r="CG81" s="29">
        <f t="shared" ca="1" si="46"/>
        <v>0</v>
      </c>
      <c r="CH81" s="29">
        <f t="shared" ca="1" si="46"/>
        <v>0</v>
      </c>
    </row>
    <row r="82" spans="2:86" ht="13">
      <c r="B82" s="15" t="str">
        <f t="shared" si="23"/>
        <v>Cumulative Change in Undrawn Capital Commitments</v>
      </c>
      <c r="C82" s="15"/>
      <c r="D82" s="15" t="s">
        <v>247</v>
      </c>
      <c r="E82" s="29">
        <f t="shared" ca="1" si="13"/>
        <v>0</v>
      </c>
      <c r="F82" s="29"/>
      <c r="G82" s="29">
        <f t="shared" ref="G82:CH82" ca="1" si="47">F82+G53</f>
        <v>23555625</v>
      </c>
      <c r="H82" s="29">
        <f t="shared" ca="1" si="47"/>
        <v>22211250</v>
      </c>
      <c r="I82" s="29">
        <f t="shared" ca="1" si="47"/>
        <v>20866875</v>
      </c>
      <c r="J82" s="29">
        <f t="shared" ca="1" si="47"/>
        <v>19522500</v>
      </c>
      <c r="K82" s="29">
        <f t="shared" ca="1" si="47"/>
        <v>18178125</v>
      </c>
      <c r="L82" s="29">
        <f t="shared" ca="1" si="47"/>
        <v>16833750</v>
      </c>
      <c r="M82" s="29">
        <f t="shared" ca="1" si="47"/>
        <v>15489375</v>
      </c>
      <c r="N82" s="29">
        <f t="shared" ca="1" si="47"/>
        <v>14145000</v>
      </c>
      <c r="O82" s="29">
        <f t="shared" ca="1" si="47"/>
        <v>12800625</v>
      </c>
      <c r="P82" s="29">
        <f t="shared" ca="1" si="47"/>
        <v>11456250</v>
      </c>
      <c r="Q82" s="29">
        <f t="shared" ca="1" si="47"/>
        <v>10111875</v>
      </c>
      <c r="R82" s="29">
        <f t="shared" ca="1" si="47"/>
        <v>8767500</v>
      </c>
      <c r="S82" s="29">
        <f t="shared" ca="1" si="47"/>
        <v>7423125</v>
      </c>
      <c r="T82" s="29">
        <f t="shared" ca="1" si="47"/>
        <v>6078750</v>
      </c>
      <c r="U82" s="29">
        <f t="shared" ca="1" si="47"/>
        <v>4734375</v>
      </c>
      <c r="V82" s="29">
        <f t="shared" ca="1" si="47"/>
        <v>3390000</v>
      </c>
      <c r="W82" s="29">
        <f t="shared" ca="1" si="47"/>
        <v>3248750</v>
      </c>
      <c r="X82" s="29">
        <f t="shared" ca="1" si="47"/>
        <v>3107500</v>
      </c>
      <c r="Y82" s="29">
        <f t="shared" ca="1" si="47"/>
        <v>2966250</v>
      </c>
      <c r="Z82" s="29">
        <f t="shared" ca="1" si="47"/>
        <v>2825000</v>
      </c>
      <c r="AA82" s="29">
        <f t="shared" ca="1" si="47"/>
        <v>2683750</v>
      </c>
      <c r="AB82" s="29">
        <f t="shared" ca="1" si="47"/>
        <v>2542500</v>
      </c>
      <c r="AC82" s="29">
        <f t="shared" ca="1" si="47"/>
        <v>2401250</v>
      </c>
      <c r="AD82" s="29">
        <f t="shared" ca="1" si="47"/>
        <v>2260000</v>
      </c>
      <c r="AE82" s="29">
        <f t="shared" ca="1" si="47"/>
        <v>2118750</v>
      </c>
      <c r="AF82" s="29">
        <f t="shared" ca="1" si="47"/>
        <v>1977500</v>
      </c>
      <c r="AG82" s="29">
        <f t="shared" ca="1" si="47"/>
        <v>1836250</v>
      </c>
      <c r="AH82" s="29">
        <f t="shared" ca="1" si="47"/>
        <v>1695000</v>
      </c>
      <c r="AI82" s="29">
        <f t="shared" ca="1" si="47"/>
        <v>1553750</v>
      </c>
      <c r="AJ82" s="29">
        <f t="shared" ca="1" si="47"/>
        <v>1412500</v>
      </c>
      <c r="AK82" s="29">
        <f t="shared" ca="1" si="47"/>
        <v>1271250</v>
      </c>
      <c r="AL82" s="29">
        <f t="shared" ca="1" si="47"/>
        <v>1130000</v>
      </c>
      <c r="AM82" s="29">
        <f t="shared" ca="1" si="47"/>
        <v>988750</v>
      </c>
      <c r="AN82" s="29">
        <f t="shared" ca="1" si="47"/>
        <v>847500</v>
      </c>
      <c r="AO82" s="29">
        <f t="shared" ca="1" si="47"/>
        <v>706250</v>
      </c>
      <c r="AP82" s="29">
        <f t="shared" ca="1" si="47"/>
        <v>565000</v>
      </c>
      <c r="AQ82" s="29">
        <f t="shared" ca="1" si="47"/>
        <v>423750</v>
      </c>
      <c r="AR82" s="29">
        <f t="shared" ca="1" si="47"/>
        <v>282500</v>
      </c>
      <c r="AS82" s="29">
        <f t="shared" ca="1" si="47"/>
        <v>141250</v>
      </c>
      <c r="AT82" s="29">
        <f t="shared" ca="1" si="47"/>
        <v>0</v>
      </c>
      <c r="AU82" s="29">
        <f t="shared" ca="1" si="47"/>
        <v>0</v>
      </c>
      <c r="AV82" s="29">
        <f t="shared" ca="1" si="47"/>
        <v>0</v>
      </c>
      <c r="AW82" s="29">
        <f t="shared" ca="1" si="47"/>
        <v>0</v>
      </c>
      <c r="AX82" s="29">
        <f t="shared" ca="1" si="47"/>
        <v>0</v>
      </c>
      <c r="AY82" s="29">
        <f t="shared" ca="1" si="47"/>
        <v>0</v>
      </c>
      <c r="AZ82" s="29">
        <f t="shared" ca="1" si="47"/>
        <v>0</v>
      </c>
      <c r="BA82" s="29">
        <f t="shared" ca="1" si="47"/>
        <v>0</v>
      </c>
      <c r="BB82" s="29">
        <f t="shared" ca="1" si="47"/>
        <v>0</v>
      </c>
      <c r="BC82" s="29">
        <f t="shared" ca="1" si="47"/>
        <v>0</v>
      </c>
      <c r="BD82" s="29">
        <f t="shared" ca="1" si="47"/>
        <v>0</v>
      </c>
      <c r="BE82" s="29">
        <f t="shared" ca="1" si="47"/>
        <v>0</v>
      </c>
      <c r="BF82" s="29">
        <f t="shared" ca="1" si="47"/>
        <v>0</v>
      </c>
      <c r="BG82" s="29">
        <f t="shared" ca="1" si="47"/>
        <v>0</v>
      </c>
      <c r="BH82" s="29">
        <f t="shared" ca="1" si="47"/>
        <v>0</v>
      </c>
      <c r="BI82" s="29">
        <f t="shared" ca="1" si="47"/>
        <v>0</v>
      </c>
      <c r="BJ82" s="29">
        <f t="shared" ca="1" si="47"/>
        <v>0</v>
      </c>
      <c r="BK82" s="29">
        <f t="shared" ca="1" si="47"/>
        <v>0</v>
      </c>
      <c r="BL82" s="29">
        <f t="shared" ca="1" si="47"/>
        <v>0</v>
      </c>
      <c r="BM82" s="29">
        <f t="shared" ca="1" si="47"/>
        <v>0</v>
      </c>
      <c r="BN82" s="29">
        <f t="shared" ca="1" si="47"/>
        <v>0</v>
      </c>
      <c r="BO82" s="29">
        <f t="shared" ca="1" si="47"/>
        <v>0</v>
      </c>
      <c r="BP82" s="29">
        <f t="shared" ca="1" si="47"/>
        <v>0</v>
      </c>
      <c r="BQ82" s="29">
        <f t="shared" ca="1" si="47"/>
        <v>0</v>
      </c>
      <c r="BR82" s="29">
        <f t="shared" ca="1" si="47"/>
        <v>0</v>
      </c>
      <c r="BS82" s="29">
        <f t="shared" ca="1" si="47"/>
        <v>0</v>
      </c>
      <c r="BT82" s="29">
        <f t="shared" ca="1" si="47"/>
        <v>0</v>
      </c>
      <c r="BU82" s="29">
        <f t="shared" ca="1" si="47"/>
        <v>0</v>
      </c>
      <c r="BV82" s="29">
        <f t="shared" ca="1" si="47"/>
        <v>0</v>
      </c>
      <c r="BW82" s="29">
        <f t="shared" ca="1" si="47"/>
        <v>0</v>
      </c>
      <c r="BX82" s="29">
        <f t="shared" ca="1" si="47"/>
        <v>0</v>
      </c>
      <c r="BY82" s="29">
        <f t="shared" ca="1" si="47"/>
        <v>0</v>
      </c>
      <c r="BZ82" s="29">
        <f t="shared" ca="1" si="47"/>
        <v>0</v>
      </c>
      <c r="CA82" s="29">
        <f t="shared" ca="1" si="47"/>
        <v>0</v>
      </c>
      <c r="CB82" s="29">
        <f t="shared" ca="1" si="47"/>
        <v>0</v>
      </c>
      <c r="CC82" s="29">
        <f t="shared" ca="1" si="47"/>
        <v>0</v>
      </c>
      <c r="CD82" s="29">
        <f t="shared" ca="1" si="47"/>
        <v>0</v>
      </c>
      <c r="CE82" s="29">
        <f t="shared" ca="1" si="47"/>
        <v>0</v>
      </c>
      <c r="CF82" s="29">
        <f t="shared" ca="1" si="47"/>
        <v>0</v>
      </c>
      <c r="CG82" s="29">
        <f t="shared" ca="1" si="47"/>
        <v>0</v>
      </c>
      <c r="CH82" s="29">
        <f t="shared" ca="1" si="47"/>
        <v>0</v>
      </c>
    </row>
    <row r="83" spans="2:86" ht="13">
      <c r="B83" s="15" t="str">
        <f t="shared" si="23"/>
        <v>Cumulative Committed Capital from LPs</v>
      </c>
      <c r="D83" s="15" t="s">
        <v>247</v>
      </c>
      <c r="E83" s="29">
        <f t="shared" si="13"/>
        <v>25000000</v>
      </c>
      <c r="F83" s="29"/>
      <c r="G83" s="29">
        <f t="shared" ref="G83:CH83" si="48">F83+G54</f>
        <v>25000000</v>
      </c>
      <c r="H83" s="29">
        <f t="shared" si="48"/>
        <v>25000000</v>
      </c>
      <c r="I83" s="29">
        <f t="shared" si="48"/>
        <v>25000000</v>
      </c>
      <c r="J83" s="29">
        <f t="shared" si="48"/>
        <v>25000000</v>
      </c>
      <c r="K83" s="29">
        <f t="shared" si="48"/>
        <v>25000000</v>
      </c>
      <c r="L83" s="29">
        <f t="shared" si="48"/>
        <v>25000000</v>
      </c>
      <c r="M83" s="29">
        <f t="shared" si="48"/>
        <v>25000000</v>
      </c>
      <c r="N83" s="29">
        <f t="shared" si="48"/>
        <v>25000000</v>
      </c>
      <c r="O83" s="29">
        <f t="shared" si="48"/>
        <v>25000000</v>
      </c>
      <c r="P83" s="29">
        <f t="shared" si="48"/>
        <v>25000000</v>
      </c>
      <c r="Q83" s="29">
        <f t="shared" si="48"/>
        <v>25000000</v>
      </c>
      <c r="R83" s="29">
        <f t="shared" si="48"/>
        <v>25000000</v>
      </c>
      <c r="S83" s="29">
        <f t="shared" si="48"/>
        <v>25000000</v>
      </c>
      <c r="T83" s="29">
        <f t="shared" si="48"/>
        <v>25000000</v>
      </c>
      <c r="U83" s="29">
        <f t="shared" si="48"/>
        <v>25000000</v>
      </c>
      <c r="V83" s="29">
        <f t="shared" si="48"/>
        <v>25000000</v>
      </c>
      <c r="W83" s="29">
        <f t="shared" si="48"/>
        <v>25000000</v>
      </c>
      <c r="X83" s="29">
        <f t="shared" si="48"/>
        <v>25000000</v>
      </c>
      <c r="Y83" s="29">
        <f t="shared" si="48"/>
        <v>25000000</v>
      </c>
      <c r="Z83" s="29">
        <f t="shared" si="48"/>
        <v>25000000</v>
      </c>
      <c r="AA83" s="29">
        <f t="shared" si="48"/>
        <v>25000000</v>
      </c>
      <c r="AB83" s="29">
        <f t="shared" si="48"/>
        <v>25000000</v>
      </c>
      <c r="AC83" s="29">
        <f t="shared" si="48"/>
        <v>25000000</v>
      </c>
      <c r="AD83" s="29">
        <f t="shared" si="48"/>
        <v>25000000</v>
      </c>
      <c r="AE83" s="29">
        <f t="shared" si="48"/>
        <v>25000000</v>
      </c>
      <c r="AF83" s="29">
        <f t="shared" si="48"/>
        <v>25000000</v>
      </c>
      <c r="AG83" s="29">
        <f t="shared" si="48"/>
        <v>25000000</v>
      </c>
      <c r="AH83" s="29">
        <f t="shared" si="48"/>
        <v>25000000</v>
      </c>
      <c r="AI83" s="29">
        <f t="shared" si="48"/>
        <v>25000000</v>
      </c>
      <c r="AJ83" s="29">
        <f t="shared" si="48"/>
        <v>25000000</v>
      </c>
      <c r="AK83" s="29">
        <f t="shared" si="48"/>
        <v>25000000</v>
      </c>
      <c r="AL83" s="29">
        <f t="shared" si="48"/>
        <v>25000000</v>
      </c>
      <c r="AM83" s="29">
        <f t="shared" si="48"/>
        <v>25000000</v>
      </c>
      <c r="AN83" s="29">
        <f t="shared" si="48"/>
        <v>25000000</v>
      </c>
      <c r="AO83" s="29">
        <f t="shared" si="48"/>
        <v>25000000</v>
      </c>
      <c r="AP83" s="29">
        <f t="shared" si="48"/>
        <v>25000000</v>
      </c>
      <c r="AQ83" s="29">
        <f t="shared" si="48"/>
        <v>25000000</v>
      </c>
      <c r="AR83" s="29">
        <f t="shared" si="48"/>
        <v>25000000</v>
      </c>
      <c r="AS83" s="29">
        <f t="shared" si="48"/>
        <v>25000000</v>
      </c>
      <c r="AT83" s="29">
        <f t="shared" si="48"/>
        <v>25000000</v>
      </c>
      <c r="AU83" s="29">
        <f t="shared" si="48"/>
        <v>25000000</v>
      </c>
      <c r="AV83" s="29">
        <f t="shared" si="48"/>
        <v>25000000</v>
      </c>
      <c r="AW83" s="29">
        <f t="shared" si="48"/>
        <v>25000000</v>
      </c>
      <c r="AX83" s="29">
        <f t="shared" si="48"/>
        <v>25000000</v>
      </c>
      <c r="AY83" s="29">
        <f t="shared" si="48"/>
        <v>25000000</v>
      </c>
      <c r="AZ83" s="29">
        <f t="shared" si="48"/>
        <v>25000000</v>
      </c>
      <c r="BA83" s="29">
        <f t="shared" si="48"/>
        <v>25000000</v>
      </c>
      <c r="BB83" s="29">
        <f t="shared" si="48"/>
        <v>25000000</v>
      </c>
      <c r="BC83" s="29">
        <f t="shared" si="48"/>
        <v>25000000</v>
      </c>
      <c r="BD83" s="29">
        <f t="shared" si="48"/>
        <v>25000000</v>
      </c>
      <c r="BE83" s="29">
        <f t="shared" si="48"/>
        <v>25000000</v>
      </c>
      <c r="BF83" s="29">
        <f t="shared" si="48"/>
        <v>25000000</v>
      </c>
      <c r="BG83" s="29">
        <f t="shared" si="48"/>
        <v>25000000</v>
      </c>
      <c r="BH83" s="29">
        <f t="shared" si="48"/>
        <v>25000000</v>
      </c>
      <c r="BI83" s="29">
        <f t="shared" si="48"/>
        <v>25000000</v>
      </c>
      <c r="BJ83" s="29">
        <f t="shared" si="48"/>
        <v>25000000</v>
      </c>
      <c r="BK83" s="29">
        <f t="shared" si="48"/>
        <v>25000000</v>
      </c>
      <c r="BL83" s="29">
        <f t="shared" si="48"/>
        <v>25000000</v>
      </c>
      <c r="BM83" s="29">
        <f t="shared" si="48"/>
        <v>25000000</v>
      </c>
      <c r="BN83" s="29">
        <f t="shared" si="48"/>
        <v>25000000</v>
      </c>
      <c r="BO83" s="29">
        <f t="shared" si="48"/>
        <v>25000000</v>
      </c>
      <c r="BP83" s="29">
        <f t="shared" si="48"/>
        <v>25000000</v>
      </c>
      <c r="BQ83" s="29">
        <f t="shared" si="48"/>
        <v>25000000</v>
      </c>
      <c r="BR83" s="29">
        <f t="shared" si="48"/>
        <v>25000000</v>
      </c>
      <c r="BS83" s="29">
        <f t="shared" si="48"/>
        <v>25000000</v>
      </c>
      <c r="BT83" s="29">
        <f t="shared" si="48"/>
        <v>25000000</v>
      </c>
      <c r="BU83" s="29">
        <f t="shared" si="48"/>
        <v>25000000</v>
      </c>
      <c r="BV83" s="29">
        <f t="shared" si="48"/>
        <v>25000000</v>
      </c>
      <c r="BW83" s="29">
        <f t="shared" si="48"/>
        <v>25000000</v>
      </c>
      <c r="BX83" s="29">
        <f t="shared" si="48"/>
        <v>25000000</v>
      </c>
      <c r="BY83" s="29">
        <f t="shared" si="48"/>
        <v>25000000</v>
      </c>
      <c r="BZ83" s="29">
        <f t="shared" si="48"/>
        <v>25000000</v>
      </c>
      <c r="CA83" s="29">
        <f t="shared" si="48"/>
        <v>25000000</v>
      </c>
      <c r="CB83" s="29">
        <f t="shared" si="48"/>
        <v>25000000</v>
      </c>
      <c r="CC83" s="29">
        <f t="shared" si="48"/>
        <v>25000000</v>
      </c>
      <c r="CD83" s="29">
        <f t="shared" si="48"/>
        <v>25000000</v>
      </c>
      <c r="CE83" s="29">
        <f t="shared" si="48"/>
        <v>25000000</v>
      </c>
      <c r="CF83" s="29">
        <f t="shared" si="48"/>
        <v>25000000</v>
      </c>
      <c r="CG83" s="29">
        <f t="shared" si="48"/>
        <v>25000000</v>
      </c>
      <c r="CH83" s="29">
        <f t="shared" si="48"/>
        <v>25000000</v>
      </c>
    </row>
    <row r="84" spans="2:86" ht="13">
      <c r="B84" s="15" t="str">
        <f t="shared" si="23"/>
        <v>Cumulative Called Capital from LPs</v>
      </c>
      <c r="D84" s="15" t="s">
        <v>247</v>
      </c>
      <c r="E84" s="29">
        <f t="shared" ca="1" si="13"/>
        <v>25000000</v>
      </c>
      <c r="F84" s="29"/>
      <c r="G84" s="29">
        <f t="shared" ref="G84:CH84" ca="1" si="49">F84+G55</f>
        <v>1444375</v>
      </c>
      <c r="H84" s="29">
        <f t="shared" ca="1" si="49"/>
        <v>2788750</v>
      </c>
      <c r="I84" s="29">
        <f t="shared" ca="1" si="49"/>
        <v>4133125</v>
      </c>
      <c r="J84" s="29">
        <f t="shared" ca="1" si="49"/>
        <v>5477500</v>
      </c>
      <c r="K84" s="29">
        <f t="shared" ca="1" si="49"/>
        <v>6821875</v>
      </c>
      <c r="L84" s="29">
        <f t="shared" ca="1" si="49"/>
        <v>8166250</v>
      </c>
      <c r="M84" s="29">
        <f t="shared" ca="1" si="49"/>
        <v>9510625</v>
      </c>
      <c r="N84" s="29">
        <f t="shared" ca="1" si="49"/>
        <v>10855000</v>
      </c>
      <c r="O84" s="29">
        <f t="shared" ca="1" si="49"/>
        <v>12199375</v>
      </c>
      <c r="P84" s="29">
        <f t="shared" ca="1" si="49"/>
        <v>13543750</v>
      </c>
      <c r="Q84" s="29">
        <f t="shared" ca="1" si="49"/>
        <v>14888125</v>
      </c>
      <c r="R84" s="29">
        <f t="shared" ca="1" si="49"/>
        <v>16232500</v>
      </c>
      <c r="S84" s="29">
        <f t="shared" ca="1" si="49"/>
        <v>17576875</v>
      </c>
      <c r="T84" s="29">
        <f t="shared" ca="1" si="49"/>
        <v>18921250</v>
      </c>
      <c r="U84" s="29">
        <f t="shared" ca="1" si="49"/>
        <v>20265625</v>
      </c>
      <c r="V84" s="29">
        <f t="shared" ca="1" si="49"/>
        <v>21610000</v>
      </c>
      <c r="W84" s="29">
        <f t="shared" ca="1" si="49"/>
        <v>21751250</v>
      </c>
      <c r="X84" s="29">
        <f t="shared" ca="1" si="49"/>
        <v>21892500</v>
      </c>
      <c r="Y84" s="29">
        <f t="shared" ca="1" si="49"/>
        <v>22033750</v>
      </c>
      <c r="Z84" s="29">
        <f t="shared" ca="1" si="49"/>
        <v>22175000</v>
      </c>
      <c r="AA84" s="29">
        <f t="shared" ca="1" si="49"/>
        <v>22316250</v>
      </c>
      <c r="AB84" s="29">
        <f t="shared" ca="1" si="49"/>
        <v>22457500</v>
      </c>
      <c r="AC84" s="29">
        <f t="shared" ca="1" si="49"/>
        <v>22598750</v>
      </c>
      <c r="AD84" s="29">
        <f t="shared" ca="1" si="49"/>
        <v>22740000</v>
      </c>
      <c r="AE84" s="29">
        <f t="shared" ca="1" si="49"/>
        <v>22881250</v>
      </c>
      <c r="AF84" s="29">
        <f t="shared" ca="1" si="49"/>
        <v>23022500</v>
      </c>
      <c r="AG84" s="29">
        <f t="shared" ca="1" si="49"/>
        <v>23163750</v>
      </c>
      <c r="AH84" s="29">
        <f t="shared" ca="1" si="49"/>
        <v>23305000</v>
      </c>
      <c r="AI84" s="29">
        <f t="shared" ca="1" si="49"/>
        <v>23446250</v>
      </c>
      <c r="AJ84" s="29">
        <f t="shared" ca="1" si="49"/>
        <v>23587500</v>
      </c>
      <c r="AK84" s="29">
        <f t="shared" ca="1" si="49"/>
        <v>23728750</v>
      </c>
      <c r="AL84" s="29">
        <f t="shared" ca="1" si="49"/>
        <v>23870000</v>
      </c>
      <c r="AM84" s="29">
        <f t="shared" ca="1" si="49"/>
        <v>24011250</v>
      </c>
      <c r="AN84" s="29">
        <f t="shared" ca="1" si="49"/>
        <v>24152500</v>
      </c>
      <c r="AO84" s="29">
        <f t="shared" ca="1" si="49"/>
        <v>24293750</v>
      </c>
      <c r="AP84" s="29">
        <f t="shared" ca="1" si="49"/>
        <v>24435000</v>
      </c>
      <c r="AQ84" s="29">
        <f t="shared" ca="1" si="49"/>
        <v>24576250</v>
      </c>
      <c r="AR84" s="29">
        <f t="shared" ca="1" si="49"/>
        <v>24717500</v>
      </c>
      <c r="AS84" s="29">
        <f t="shared" ca="1" si="49"/>
        <v>24858750</v>
      </c>
      <c r="AT84" s="29">
        <f t="shared" ca="1" si="49"/>
        <v>25000000</v>
      </c>
      <c r="AU84" s="29">
        <f t="shared" ca="1" si="49"/>
        <v>25000000</v>
      </c>
      <c r="AV84" s="29">
        <f t="shared" ca="1" si="49"/>
        <v>25000000</v>
      </c>
      <c r="AW84" s="29">
        <f t="shared" ca="1" si="49"/>
        <v>25000000</v>
      </c>
      <c r="AX84" s="29">
        <f t="shared" ca="1" si="49"/>
        <v>25000000</v>
      </c>
      <c r="AY84" s="29">
        <f t="shared" ca="1" si="49"/>
        <v>25000000</v>
      </c>
      <c r="AZ84" s="29">
        <f t="shared" ca="1" si="49"/>
        <v>25000000</v>
      </c>
      <c r="BA84" s="29">
        <f t="shared" ca="1" si="49"/>
        <v>25000000</v>
      </c>
      <c r="BB84" s="29">
        <f t="shared" ca="1" si="49"/>
        <v>25000000</v>
      </c>
      <c r="BC84" s="29">
        <f t="shared" ca="1" si="49"/>
        <v>25000000</v>
      </c>
      <c r="BD84" s="29">
        <f t="shared" ca="1" si="49"/>
        <v>25000000</v>
      </c>
      <c r="BE84" s="29">
        <f t="shared" ca="1" si="49"/>
        <v>25000000</v>
      </c>
      <c r="BF84" s="29">
        <f t="shared" ca="1" si="49"/>
        <v>25000000</v>
      </c>
      <c r="BG84" s="29">
        <f t="shared" ca="1" si="49"/>
        <v>25000000</v>
      </c>
      <c r="BH84" s="29">
        <f t="shared" ca="1" si="49"/>
        <v>25000000</v>
      </c>
      <c r="BI84" s="29">
        <f t="shared" ca="1" si="49"/>
        <v>25000000</v>
      </c>
      <c r="BJ84" s="29">
        <f t="shared" ca="1" si="49"/>
        <v>25000000</v>
      </c>
      <c r="BK84" s="29">
        <f t="shared" ca="1" si="49"/>
        <v>25000000</v>
      </c>
      <c r="BL84" s="29">
        <f t="shared" ca="1" si="49"/>
        <v>25000000</v>
      </c>
      <c r="BM84" s="29">
        <f t="shared" ca="1" si="49"/>
        <v>25000000</v>
      </c>
      <c r="BN84" s="29">
        <f t="shared" ca="1" si="49"/>
        <v>25000000</v>
      </c>
      <c r="BO84" s="29">
        <f t="shared" ca="1" si="49"/>
        <v>25000000</v>
      </c>
      <c r="BP84" s="29">
        <f t="shared" ca="1" si="49"/>
        <v>25000000</v>
      </c>
      <c r="BQ84" s="29">
        <f t="shared" ca="1" si="49"/>
        <v>25000000</v>
      </c>
      <c r="BR84" s="29">
        <f t="shared" ca="1" si="49"/>
        <v>25000000</v>
      </c>
      <c r="BS84" s="29">
        <f t="shared" ca="1" si="49"/>
        <v>25000000</v>
      </c>
      <c r="BT84" s="29">
        <f t="shared" ca="1" si="49"/>
        <v>25000000</v>
      </c>
      <c r="BU84" s="29">
        <f t="shared" ca="1" si="49"/>
        <v>25000000</v>
      </c>
      <c r="BV84" s="29">
        <f t="shared" ca="1" si="49"/>
        <v>25000000</v>
      </c>
      <c r="BW84" s="29">
        <f t="shared" ca="1" si="49"/>
        <v>25000000</v>
      </c>
      <c r="BX84" s="29">
        <f t="shared" ca="1" si="49"/>
        <v>25000000</v>
      </c>
      <c r="BY84" s="29">
        <f t="shared" ca="1" si="49"/>
        <v>25000000</v>
      </c>
      <c r="BZ84" s="29">
        <f t="shared" ca="1" si="49"/>
        <v>25000000</v>
      </c>
      <c r="CA84" s="29">
        <f t="shared" ca="1" si="49"/>
        <v>25000000</v>
      </c>
      <c r="CB84" s="29">
        <f t="shared" ca="1" si="49"/>
        <v>25000000</v>
      </c>
      <c r="CC84" s="29">
        <f t="shared" ca="1" si="49"/>
        <v>25000000</v>
      </c>
      <c r="CD84" s="29">
        <f t="shared" ca="1" si="49"/>
        <v>25000000</v>
      </c>
      <c r="CE84" s="29">
        <f t="shared" ca="1" si="49"/>
        <v>25000000</v>
      </c>
      <c r="CF84" s="29">
        <f t="shared" ca="1" si="49"/>
        <v>25000000</v>
      </c>
      <c r="CG84" s="29">
        <f t="shared" ca="1" si="49"/>
        <v>25000000</v>
      </c>
      <c r="CH84" s="29">
        <f t="shared" ca="1" si="49"/>
        <v>25000000</v>
      </c>
    </row>
    <row r="85" spans="2:86" ht="13">
      <c r="B85" s="15" t="str">
        <f t="shared" si="23"/>
        <v>Cumulative Change in Invested Capital, from LPs</v>
      </c>
      <c r="D85" s="15" t="s">
        <v>247</v>
      </c>
      <c r="E85" s="29">
        <f t="shared" ca="1" si="13"/>
        <v>-5.2677933126688004E-9</v>
      </c>
      <c r="F85" s="29"/>
      <c r="G85" s="29">
        <f t="shared" ref="G85:CH85" ca="1" si="50">F85+G56</f>
        <v>1203125</v>
      </c>
      <c r="H85" s="29">
        <f t="shared" ca="1" si="50"/>
        <v>2406250</v>
      </c>
      <c r="I85" s="29">
        <f t="shared" ca="1" si="50"/>
        <v>3609375</v>
      </c>
      <c r="J85" s="29">
        <f t="shared" ca="1" si="50"/>
        <v>4812500</v>
      </c>
      <c r="K85" s="29">
        <f t="shared" ca="1" si="50"/>
        <v>6015625</v>
      </c>
      <c r="L85" s="29">
        <f t="shared" ca="1" si="50"/>
        <v>7218750</v>
      </c>
      <c r="M85" s="29">
        <f t="shared" ca="1" si="50"/>
        <v>8421875</v>
      </c>
      <c r="N85" s="29">
        <f t="shared" ca="1" si="50"/>
        <v>9625000</v>
      </c>
      <c r="O85" s="29">
        <f t="shared" ca="1" si="50"/>
        <v>10086197.916666666</v>
      </c>
      <c r="P85" s="29">
        <f t="shared" ca="1" si="50"/>
        <v>10547395.833333332</v>
      </c>
      <c r="Q85" s="29">
        <f t="shared" ca="1" si="50"/>
        <v>11008593.749999998</v>
      </c>
      <c r="R85" s="29">
        <f t="shared" ca="1" si="50"/>
        <v>11469791.666666664</v>
      </c>
      <c r="S85" s="29">
        <f t="shared" ca="1" si="50"/>
        <v>11930989.58333333</v>
      </c>
      <c r="T85" s="29">
        <f t="shared" ca="1" si="50"/>
        <v>12392187.499999996</v>
      </c>
      <c r="U85" s="29">
        <f t="shared" ca="1" si="50"/>
        <v>12853385.416666662</v>
      </c>
      <c r="V85" s="29">
        <f t="shared" ca="1" si="50"/>
        <v>13314583.333333328</v>
      </c>
      <c r="W85" s="29">
        <f t="shared" ca="1" si="50"/>
        <v>12171614.583333328</v>
      </c>
      <c r="X85" s="29">
        <f t="shared" ca="1" si="50"/>
        <v>11028645.833333328</v>
      </c>
      <c r="Y85" s="29">
        <f t="shared" ca="1" si="50"/>
        <v>9885677.0833333284</v>
      </c>
      <c r="Z85" s="29">
        <f t="shared" ca="1" si="50"/>
        <v>8742708.3333333284</v>
      </c>
      <c r="AA85" s="29">
        <f t="shared" ca="1" si="50"/>
        <v>7438988.7152777724</v>
      </c>
      <c r="AB85" s="29">
        <f t="shared" ca="1" si="50"/>
        <v>6135269.0972222164</v>
      </c>
      <c r="AC85" s="29">
        <f t="shared" ca="1" si="50"/>
        <v>4831549.4791666605</v>
      </c>
      <c r="AD85" s="29">
        <f t="shared" ca="1" si="50"/>
        <v>3527829.861111105</v>
      </c>
      <c r="AE85" s="29">
        <f t="shared" ca="1" si="50"/>
        <v>3010151.9097222164</v>
      </c>
      <c r="AF85" s="29">
        <f t="shared" ca="1" si="50"/>
        <v>2492473.9583333274</v>
      </c>
      <c r="AG85" s="29">
        <f t="shared" ca="1" si="50"/>
        <v>1974796.0069444387</v>
      </c>
      <c r="AH85" s="29">
        <f t="shared" ca="1" si="50"/>
        <v>1457118.0555555499</v>
      </c>
      <c r="AI85" s="29">
        <f t="shared" ca="1" si="50"/>
        <v>1226184.8958333277</v>
      </c>
      <c r="AJ85" s="29">
        <f t="shared" ca="1" si="50"/>
        <v>995251.73611110554</v>
      </c>
      <c r="AK85" s="29">
        <f t="shared" ca="1" si="50"/>
        <v>764318.5763888834</v>
      </c>
      <c r="AL85" s="29">
        <f t="shared" ca="1" si="50"/>
        <v>533385.41666666127</v>
      </c>
      <c r="AM85" s="29">
        <f t="shared" ca="1" si="50"/>
        <v>473229.16666666127</v>
      </c>
      <c r="AN85" s="29">
        <f t="shared" ca="1" si="50"/>
        <v>413072.91666666127</v>
      </c>
      <c r="AO85" s="29">
        <f t="shared" ca="1" si="50"/>
        <v>352916.66666666127</v>
      </c>
      <c r="AP85" s="29">
        <f t="shared" ca="1" si="50"/>
        <v>292760.41666666127</v>
      </c>
      <c r="AQ85" s="29">
        <f t="shared" ca="1" si="50"/>
        <v>219570.31249999464</v>
      </c>
      <c r="AR85" s="29">
        <f t="shared" ca="1" si="50"/>
        <v>146380.20833332802</v>
      </c>
      <c r="AS85" s="29">
        <f t="shared" ca="1" si="50"/>
        <v>73190.104166661375</v>
      </c>
      <c r="AT85" s="29">
        <f t="shared" ca="1" si="50"/>
        <v>-5.2677933126688004E-9</v>
      </c>
      <c r="AU85" s="29">
        <f t="shared" ca="1" si="50"/>
        <v>-5.2677933126688004E-9</v>
      </c>
      <c r="AV85" s="29">
        <f t="shared" ca="1" si="50"/>
        <v>-5.2677933126688004E-9</v>
      </c>
      <c r="AW85" s="29">
        <f t="shared" ca="1" si="50"/>
        <v>-5.2677933126688004E-9</v>
      </c>
      <c r="AX85" s="29">
        <f t="shared" ca="1" si="50"/>
        <v>-5.2677933126688004E-9</v>
      </c>
      <c r="AY85" s="29">
        <f t="shared" ca="1" si="50"/>
        <v>-5.2677933126688004E-9</v>
      </c>
      <c r="AZ85" s="29">
        <f t="shared" ca="1" si="50"/>
        <v>-5.2677933126688004E-9</v>
      </c>
      <c r="BA85" s="29">
        <f t="shared" ca="1" si="50"/>
        <v>-5.2677933126688004E-9</v>
      </c>
      <c r="BB85" s="29">
        <f t="shared" ca="1" si="50"/>
        <v>-5.2677933126688004E-9</v>
      </c>
      <c r="BC85" s="29">
        <f t="shared" ca="1" si="50"/>
        <v>-5.2677933126688004E-9</v>
      </c>
      <c r="BD85" s="29">
        <f t="shared" ca="1" si="50"/>
        <v>-5.2677933126688004E-9</v>
      </c>
      <c r="BE85" s="29">
        <f t="shared" ca="1" si="50"/>
        <v>-5.2677933126688004E-9</v>
      </c>
      <c r="BF85" s="29">
        <f t="shared" ca="1" si="50"/>
        <v>-5.2677933126688004E-9</v>
      </c>
      <c r="BG85" s="29">
        <f t="shared" ca="1" si="50"/>
        <v>-5.2677933126688004E-9</v>
      </c>
      <c r="BH85" s="29">
        <f t="shared" ca="1" si="50"/>
        <v>-5.2677933126688004E-9</v>
      </c>
      <c r="BI85" s="29">
        <f t="shared" ca="1" si="50"/>
        <v>-5.2677933126688004E-9</v>
      </c>
      <c r="BJ85" s="29">
        <f t="shared" ca="1" si="50"/>
        <v>-5.2677933126688004E-9</v>
      </c>
      <c r="BK85" s="29">
        <f t="shared" ca="1" si="50"/>
        <v>-5.2677933126688004E-9</v>
      </c>
      <c r="BL85" s="29">
        <f t="shared" ca="1" si="50"/>
        <v>-5.2677933126688004E-9</v>
      </c>
      <c r="BM85" s="29">
        <f t="shared" ca="1" si="50"/>
        <v>-5.2677933126688004E-9</v>
      </c>
      <c r="BN85" s="29">
        <f t="shared" ca="1" si="50"/>
        <v>-5.2677933126688004E-9</v>
      </c>
      <c r="BO85" s="29">
        <f t="shared" ca="1" si="50"/>
        <v>-5.2677933126688004E-9</v>
      </c>
      <c r="BP85" s="29">
        <f t="shared" ca="1" si="50"/>
        <v>-5.2677933126688004E-9</v>
      </c>
      <c r="BQ85" s="29">
        <f t="shared" ca="1" si="50"/>
        <v>-5.2677933126688004E-9</v>
      </c>
      <c r="BR85" s="29">
        <f t="shared" ca="1" si="50"/>
        <v>-5.2677933126688004E-9</v>
      </c>
      <c r="BS85" s="29">
        <f t="shared" ca="1" si="50"/>
        <v>-5.2677933126688004E-9</v>
      </c>
      <c r="BT85" s="29">
        <f t="shared" ca="1" si="50"/>
        <v>-5.2677933126688004E-9</v>
      </c>
      <c r="BU85" s="29">
        <f t="shared" ca="1" si="50"/>
        <v>-5.2677933126688004E-9</v>
      </c>
      <c r="BV85" s="29">
        <f t="shared" ca="1" si="50"/>
        <v>-5.2677933126688004E-9</v>
      </c>
      <c r="BW85" s="29">
        <f t="shared" ca="1" si="50"/>
        <v>-5.2677933126688004E-9</v>
      </c>
      <c r="BX85" s="29">
        <f t="shared" ca="1" si="50"/>
        <v>-5.2677933126688004E-9</v>
      </c>
      <c r="BY85" s="29">
        <f t="shared" ca="1" si="50"/>
        <v>-5.2677933126688004E-9</v>
      </c>
      <c r="BZ85" s="29">
        <f t="shared" ca="1" si="50"/>
        <v>-5.2677933126688004E-9</v>
      </c>
      <c r="CA85" s="29">
        <f t="shared" ca="1" si="50"/>
        <v>-5.2677933126688004E-9</v>
      </c>
      <c r="CB85" s="29">
        <f t="shared" ca="1" si="50"/>
        <v>-5.2677933126688004E-9</v>
      </c>
      <c r="CC85" s="29">
        <f t="shared" ca="1" si="50"/>
        <v>-5.2677933126688004E-9</v>
      </c>
      <c r="CD85" s="29">
        <f t="shared" ca="1" si="50"/>
        <v>-5.2677933126688004E-9</v>
      </c>
      <c r="CE85" s="29">
        <f t="shared" ca="1" si="50"/>
        <v>-5.2677933126688004E-9</v>
      </c>
      <c r="CF85" s="29">
        <f t="shared" ca="1" si="50"/>
        <v>-5.2677933126688004E-9</v>
      </c>
      <c r="CG85" s="29">
        <f t="shared" ca="1" si="50"/>
        <v>-5.2677933126688004E-9</v>
      </c>
      <c r="CH85" s="29">
        <f t="shared" ca="1" si="50"/>
        <v>-5.2677933126688004E-9</v>
      </c>
    </row>
    <row r="86" spans="2:86" ht="13">
      <c r="B86" s="15" t="str">
        <f t="shared" si="23"/>
        <v>Cumulative Distributions to LPs</v>
      </c>
      <c r="D86" s="15" t="s">
        <v>247</v>
      </c>
      <c r="E86" s="29">
        <f t="shared" ca="1" si="13"/>
        <v>79087775.841666713</v>
      </c>
      <c r="F86" s="29"/>
      <c r="G86" s="29">
        <f t="shared" ref="G86:CH86" ca="1" si="51">F86+G57</f>
        <v>0</v>
      </c>
      <c r="H86" s="29">
        <f t="shared" ca="1" si="51"/>
        <v>0</v>
      </c>
      <c r="I86" s="29">
        <f t="shared" ca="1" si="51"/>
        <v>0</v>
      </c>
      <c r="J86" s="29">
        <f t="shared" ca="1" si="51"/>
        <v>0</v>
      </c>
      <c r="K86" s="29">
        <f t="shared" ca="1" si="51"/>
        <v>0</v>
      </c>
      <c r="L86" s="29">
        <f t="shared" ca="1" si="51"/>
        <v>0</v>
      </c>
      <c r="M86" s="29">
        <f t="shared" ca="1" si="51"/>
        <v>0</v>
      </c>
      <c r="N86" s="29">
        <f t="shared" ca="1" si="51"/>
        <v>0</v>
      </c>
      <c r="O86" s="29">
        <f t="shared" ca="1" si="51"/>
        <v>0</v>
      </c>
      <c r="P86" s="29">
        <f t="shared" ca="1" si="51"/>
        <v>0</v>
      </c>
      <c r="Q86" s="29">
        <f t="shared" ca="1" si="51"/>
        <v>0</v>
      </c>
      <c r="R86" s="29">
        <f t="shared" ca="1" si="51"/>
        <v>0</v>
      </c>
      <c r="S86" s="29">
        <f t="shared" ca="1" si="51"/>
        <v>1032072.7083333338</v>
      </c>
      <c r="T86" s="29">
        <f t="shared" ca="1" si="51"/>
        <v>2064145.4166666677</v>
      </c>
      <c r="U86" s="29">
        <f t="shared" ca="1" si="51"/>
        <v>3096218.1250000014</v>
      </c>
      <c r="V86" s="29">
        <f t="shared" ca="1" si="51"/>
        <v>4128290.8333333354</v>
      </c>
      <c r="W86" s="29">
        <f t="shared" ca="1" si="51"/>
        <v>8015659.8958333358</v>
      </c>
      <c r="X86" s="29">
        <f t="shared" ca="1" si="51"/>
        <v>11759379.688405801</v>
      </c>
      <c r="Y86" s="29">
        <f t="shared" ca="1" si="51"/>
        <v>15145263.080698293</v>
      </c>
      <c r="Z86" s="29">
        <f t="shared" ca="1" si="51"/>
        <v>18531146.472990781</v>
      </c>
      <c r="AA86" s="29">
        <f t="shared" ca="1" si="51"/>
        <v>21955845.741436105</v>
      </c>
      <c r="AB86" s="29">
        <f t="shared" ca="1" si="51"/>
        <v>25380545.009881429</v>
      </c>
      <c r="AC86" s="29">
        <f t="shared" ca="1" si="51"/>
        <v>28805244.278326754</v>
      </c>
      <c r="AD86" s="29">
        <f t="shared" ca="1" si="51"/>
        <v>32229943.546772078</v>
      </c>
      <c r="AE86" s="29">
        <f t="shared" ca="1" si="51"/>
        <v>37025070.268675901</v>
      </c>
      <c r="AF86" s="29">
        <f t="shared" ca="1" si="51"/>
        <v>41820196.990579724</v>
      </c>
      <c r="AG86" s="29">
        <f t="shared" ca="1" si="51"/>
        <v>46615323.712483548</v>
      </c>
      <c r="AH86" s="29">
        <f t="shared" ca="1" si="51"/>
        <v>51410450.434387371</v>
      </c>
      <c r="AI86" s="29">
        <f t="shared" ca="1" si="51"/>
        <v>55333773.76335641</v>
      </c>
      <c r="AJ86" s="29">
        <f t="shared" ca="1" si="51"/>
        <v>59257097.092325449</v>
      </c>
      <c r="AK86" s="29">
        <f t="shared" ca="1" si="51"/>
        <v>63180420.421294488</v>
      </c>
      <c r="AL86" s="29">
        <f t="shared" ca="1" si="51"/>
        <v>67103743.750263527</v>
      </c>
      <c r="AM86" s="29">
        <f t="shared" ca="1" si="51"/>
        <v>68455326.316963136</v>
      </c>
      <c r="AN86" s="29">
        <f t="shared" ca="1" si="51"/>
        <v>69806908.883662745</v>
      </c>
      <c r="AO86" s="29">
        <f t="shared" ca="1" si="51"/>
        <v>71158491.450362355</v>
      </c>
      <c r="AP86" s="29">
        <f t="shared" ca="1" si="51"/>
        <v>72510074.017061964</v>
      </c>
      <c r="AQ86" s="29">
        <f t="shared" ca="1" si="51"/>
        <v>74154499.473213151</v>
      </c>
      <c r="AR86" s="29">
        <f t="shared" ca="1" si="51"/>
        <v>75798924.929364339</v>
      </c>
      <c r="AS86" s="29">
        <f t="shared" ca="1" si="51"/>
        <v>77443350.385515526</v>
      </c>
      <c r="AT86" s="29">
        <f t="shared" ca="1" si="51"/>
        <v>79087775.841666713</v>
      </c>
      <c r="AU86" s="29">
        <f t="shared" ca="1" si="51"/>
        <v>79087775.841666713</v>
      </c>
      <c r="AV86" s="29">
        <f t="shared" ca="1" si="51"/>
        <v>79087775.841666713</v>
      </c>
      <c r="AW86" s="29">
        <f t="shared" ca="1" si="51"/>
        <v>79087775.841666713</v>
      </c>
      <c r="AX86" s="29">
        <f t="shared" ca="1" si="51"/>
        <v>79087775.841666713</v>
      </c>
      <c r="AY86" s="29">
        <f t="shared" ca="1" si="51"/>
        <v>79087775.841666713</v>
      </c>
      <c r="AZ86" s="29">
        <f t="shared" ca="1" si="51"/>
        <v>79087775.841666713</v>
      </c>
      <c r="BA86" s="29">
        <f t="shared" ca="1" si="51"/>
        <v>79087775.841666713</v>
      </c>
      <c r="BB86" s="29">
        <f t="shared" ca="1" si="51"/>
        <v>79087775.841666713</v>
      </c>
      <c r="BC86" s="29">
        <f t="shared" ca="1" si="51"/>
        <v>79087775.841666713</v>
      </c>
      <c r="BD86" s="29">
        <f t="shared" ca="1" si="51"/>
        <v>79087775.841666713</v>
      </c>
      <c r="BE86" s="29">
        <f t="shared" ca="1" si="51"/>
        <v>79087775.841666713</v>
      </c>
      <c r="BF86" s="29">
        <f t="shared" ca="1" si="51"/>
        <v>79087775.841666713</v>
      </c>
      <c r="BG86" s="29">
        <f t="shared" ca="1" si="51"/>
        <v>79087775.841666713</v>
      </c>
      <c r="BH86" s="29">
        <f t="shared" ca="1" si="51"/>
        <v>79087775.841666713</v>
      </c>
      <c r="BI86" s="29">
        <f t="shared" ca="1" si="51"/>
        <v>79087775.841666713</v>
      </c>
      <c r="BJ86" s="29">
        <f t="shared" ca="1" si="51"/>
        <v>79087775.841666713</v>
      </c>
      <c r="BK86" s="29">
        <f t="shared" ca="1" si="51"/>
        <v>79087775.841666713</v>
      </c>
      <c r="BL86" s="29">
        <f t="shared" ca="1" si="51"/>
        <v>79087775.841666713</v>
      </c>
      <c r="BM86" s="29">
        <f t="shared" ca="1" si="51"/>
        <v>79087775.841666713</v>
      </c>
      <c r="BN86" s="29">
        <f t="shared" ca="1" si="51"/>
        <v>79087775.841666713</v>
      </c>
      <c r="BO86" s="29">
        <f t="shared" ca="1" si="51"/>
        <v>79087775.841666713</v>
      </c>
      <c r="BP86" s="29">
        <f t="shared" ca="1" si="51"/>
        <v>79087775.841666713</v>
      </c>
      <c r="BQ86" s="29">
        <f t="shared" ca="1" si="51"/>
        <v>79087775.841666713</v>
      </c>
      <c r="BR86" s="29">
        <f t="shared" ca="1" si="51"/>
        <v>79087775.841666713</v>
      </c>
      <c r="BS86" s="29">
        <f t="shared" ca="1" si="51"/>
        <v>79087775.841666713</v>
      </c>
      <c r="BT86" s="29">
        <f t="shared" ca="1" si="51"/>
        <v>79087775.841666713</v>
      </c>
      <c r="BU86" s="29">
        <f t="shared" ca="1" si="51"/>
        <v>79087775.841666713</v>
      </c>
      <c r="BV86" s="29">
        <f t="shared" ca="1" si="51"/>
        <v>79087775.841666713</v>
      </c>
      <c r="BW86" s="29">
        <f t="shared" ca="1" si="51"/>
        <v>79087775.841666713</v>
      </c>
      <c r="BX86" s="29">
        <f t="shared" ca="1" si="51"/>
        <v>79087775.841666713</v>
      </c>
      <c r="BY86" s="29">
        <f t="shared" ca="1" si="51"/>
        <v>79087775.841666713</v>
      </c>
      <c r="BZ86" s="29">
        <f t="shared" ca="1" si="51"/>
        <v>79087775.841666713</v>
      </c>
      <c r="CA86" s="29">
        <f t="shared" ca="1" si="51"/>
        <v>79087775.841666713</v>
      </c>
      <c r="CB86" s="29">
        <f t="shared" ca="1" si="51"/>
        <v>79087775.841666713</v>
      </c>
      <c r="CC86" s="29">
        <f t="shared" ca="1" si="51"/>
        <v>79087775.841666713</v>
      </c>
      <c r="CD86" s="29">
        <f t="shared" ca="1" si="51"/>
        <v>79087775.841666713</v>
      </c>
      <c r="CE86" s="29">
        <f t="shared" ca="1" si="51"/>
        <v>79087775.841666713</v>
      </c>
      <c r="CF86" s="29">
        <f t="shared" ca="1" si="51"/>
        <v>79087775.841666713</v>
      </c>
      <c r="CG86" s="29">
        <f t="shared" ca="1" si="51"/>
        <v>79087775.841666713</v>
      </c>
      <c r="CH86" s="29">
        <f t="shared" ca="1" si="51"/>
        <v>79087775.841666713</v>
      </c>
    </row>
    <row r="87" spans="2:86" ht="13">
      <c r="B87" s="15" t="str">
        <f t="shared" si="23"/>
        <v>Cumulative Distributions to GPs</v>
      </c>
      <c r="D87" s="15" t="s">
        <v>247</v>
      </c>
      <c r="E87" s="29">
        <f t="shared" ca="1" si="13"/>
        <v>15539489.262499992</v>
      </c>
      <c r="F87" s="29"/>
      <c r="G87" s="29">
        <f t="shared" ref="G87:CH87" ca="1" si="52">F87+G58</f>
        <v>0</v>
      </c>
      <c r="H87" s="29">
        <f t="shared" ca="1" si="52"/>
        <v>0</v>
      </c>
      <c r="I87" s="29">
        <f t="shared" ca="1" si="52"/>
        <v>0</v>
      </c>
      <c r="J87" s="29">
        <f t="shared" ca="1" si="52"/>
        <v>0</v>
      </c>
      <c r="K87" s="29">
        <f t="shared" ca="1" si="52"/>
        <v>0</v>
      </c>
      <c r="L87" s="29">
        <f t="shared" ca="1" si="52"/>
        <v>0</v>
      </c>
      <c r="M87" s="29">
        <f t="shared" ca="1" si="52"/>
        <v>0</v>
      </c>
      <c r="N87" s="29">
        <f t="shared" ca="1" si="52"/>
        <v>0</v>
      </c>
      <c r="O87" s="29">
        <f t="shared" ca="1" si="52"/>
        <v>0</v>
      </c>
      <c r="P87" s="29">
        <f t="shared" ca="1" si="52"/>
        <v>0</v>
      </c>
      <c r="Q87" s="29">
        <f t="shared" ca="1" si="52"/>
        <v>0</v>
      </c>
      <c r="R87" s="29">
        <f t="shared" ca="1" si="52"/>
        <v>0</v>
      </c>
      <c r="S87" s="29">
        <f t="shared" ca="1" si="52"/>
        <v>21062.708333333343</v>
      </c>
      <c r="T87" s="29">
        <f t="shared" ca="1" si="52"/>
        <v>42125.416666666686</v>
      </c>
      <c r="U87" s="29">
        <f t="shared" ca="1" si="52"/>
        <v>63188.125000000029</v>
      </c>
      <c r="V87" s="29">
        <f t="shared" ca="1" si="52"/>
        <v>84250.833333333372</v>
      </c>
      <c r="W87" s="29">
        <f t="shared" ca="1" si="52"/>
        <v>163584.89583333337</v>
      </c>
      <c r="X87" s="29">
        <f t="shared" ca="1" si="52"/>
        <v>386568.22826086968</v>
      </c>
      <c r="Y87" s="29">
        <f t="shared" ca="1" si="52"/>
        <v>967387.96096837963</v>
      </c>
      <c r="Z87" s="29">
        <f t="shared" ca="1" si="52"/>
        <v>1548207.6936758894</v>
      </c>
      <c r="AA87" s="29">
        <f t="shared" ca="1" si="52"/>
        <v>2090211.5502305669</v>
      </c>
      <c r="AB87" s="29">
        <f t="shared" ca="1" si="52"/>
        <v>2632215.4067852441</v>
      </c>
      <c r="AC87" s="29">
        <f t="shared" ca="1" si="52"/>
        <v>3174219.2633399209</v>
      </c>
      <c r="AD87" s="29">
        <f t="shared" ca="1" si="52"/>
        <v>3716223.1198945977</v>
      </c>
      <c r="AE87" s="29">
        <f t="shared" ca="1" si="52"/>
        <v>4877888.5854907762</v>
      </c>
      <c r="AF87" s="29">
        <f t="shared" ca="1" si="52"/>
        <v>6039554.0510869548</v>
      </c>
      <c r="AG87" s="29">
        <f t="shared" ca="1" si="52"/>
        <v>7201219.5166831333</v>
      </c>
      <c r="AH87" s="29">
        <f t="shared" ca="1" si="52"/>
        <v>8362884.9822793119</v>
      </c>
      <c r="AI87" s="29">
        <f t="shared" ca="1" si="52"/>
        <v>9372674.9345602728</v>
      </c>
      <c r="AJ87" s="29">
        <f t="shared" ca="1" si="52"/>
        <v>10382464.886841234</v>
      </c>
      <c r="AK87" s="29">
        <f t="shared" ca="1" si="52"/>
        <v>11392254.839122195</v>
      </c>
      <c r="AL87" s="29">
        <f t="shared" ca="1" si="52"/>
        <v>12402044.791403156</v>
      </c>
      <c r="AM87" s="29">
        <f t="shared" ca="1" si="52"/>
        <v>12755891.91220355</v>
      </c>
      <c r="AN87" s="29">
        <f t="shared" ca="1" si="52"/>
        <v>13109739.033003945</v>
      </c>
      <c r="AO87" s="29">
        <f t="shared" ca="1" si="52"/>
        <v>13463586.153804339</v>
      </c>
      <c r="AP87" s="29">
        <f t="shared" ca="1" si="52"/>
        <v>13817433.274604734</v>
      </c>
      <c r="AQ87" s="29">
        <f t="shared" ca="1" si="52"/>
        <v>14247947.271578548</v>
      </c>
      <c r="AR87" s="29">
        <f t="shared" ca="1" si="52"/>
        <v>14678461.268552363</v>
      </c>
      <c r="AS87" s="29">
        <f t="shared" ca="1" si="52"/>
        <v>15108975.265526177</v>
      </c>
      <c r="AT87" s="29">
        <f t="shared" ca="1" si="52"/>
        <v>15539489.262499992</v>
      </c>
      <c r="AU87" s="29">
        <f t="shared" ca="1" si="52"/>
        <v>15539489.262499992</v>
      </c>
      <c r="AV87" s="29">
        <f t="shared" ca="1" si="52"/>
        <v>15539489.262499992</v>
      </c>
      <c r="AW87" s="29">
        <f t="shared" ca="1" si="52"/>
        <v>15539489.262499992</v>
      </c>
      <c r="AX87" s="29">
        <f t="shared" ca="1" si="52"/>
        <v>15539489.262499992</v>
      </c>
      <c r="AY87" s="29">
        <f t="shared" ca="1" si="52"/>
        <v>15539489.262499992</v>
      </c>
      <c r="AZ87" s="29">
        <f t="shared" ca="1" si="52"/>
        <v>15539489.262499992</v>
      </c>
      <c r="BA87" s="29">
        <f t="shared" ca="1" si="52"/>
        <v>15539489.262499992</v>
      </c>
      <c r="BB87" s="29">
        <f t="shared" ca="1" si="52"/>
        <v>15539489.262499992</v>
      </c>
      <c r="BC87" s="29">
        <f t="shared" ca="1" si="52"/>
        <v>15539489.262499992</v>
      </c>
      <c r="BD87" s="29">
        <f t="shared" ca="1" si="52"/>
        <v>15539489.262499992</v>
      </c>
      <c r="BE87" s="29">
        <f t="shared" ca="1" si="52"/>
        <v>15539489.262499992</v>
      </c>
      <c r="BF87" s="29">
        <f t="shared" ca="1" si="52"/>
        <v>15539489.262499992</v>
      </c>
      <c r="BG87" s="29">
        <f t="shared" ca="1" si="52"/>
        <v>15539489.262499992</v>
      </c>
      <c r="BH87" s="29">
        <f t="shared" ca="1" si="52"/>
        <v>15539489.262499992</v>
      </c>
      <c r="BI87" s="29">
        <f t="shared" ca="1" si="52"/>
        <v>15539489.262499992</v>
      </c>
      <c r="BJ87" s="29">
        <f t="shared" ca="1" si="52"/>
        <v>15539489.262499992</v>
      </c>
      <c r="BK87" s="29">
        <f t="shared" ca="1" si="52"/>
        <v>15539489.262499992</v>
      </c>
      <c r="BL87" s="29">
        <f t="shared" ca="1" si="52"/>
        <v>15539489.262499992</v>
      </c>
      <c r="BM87" s="29">
        <f t="shared" ca="1" si="52"/>
        <v>15539489.262499992</v>
      </c>
      <c r="BN87" s="29">
        <f t="shared" ca="1" si="52"/>
        <v>15539489.262499992</v>
      </c>
      <c r="BO87" s="29">
        <f t="shared" ca="1" si="52"/>
        <v>15539489.262499992</v>
      </c>
      <c r="BP87" s="29">
        <f t="shared" ca="1" si="52"/>
        <v>15539489.262499992</v>
      </c>
      <c r="BQ87" s="29">
        <f t="shared" ca="1" si="52"/>
        <v>15539489.262499992</v>
      </c>
      <c r="BR87" s="29">
        <f t="shared" ca="1" si="52"/>
        <v>15539489.262499992</v>
      </c>
      <c r="BS87" s="29">
        <f t="shared" ca="1" si="52"/>
        <v>15539489.262499992</v>
      </c>
      <c r="BT87" s="29">
        <f t="shared" ca="1" si="52"/>
        <v>15539489.262499992</v>
      </c>
      <c r="BU87" s="29">
        <f t="shared" ca="1" si="52"/>
        <v>15539489.262499992</v>
      </c>
      <c r="BV87" s="29">
        <f t="shared" ca="1" si="52"/>
        <v>15539489.262499992</v>
      </c>
      <c r="BW87" s="29">
        <f t="shared" ca="1" si="52"/>
        <v>15539489.262499992</v>
      </c>
      <c r="BX87" s="29">
        <f t="shared" ca="1" si="52"/>
        <v>15539489.262499992</v>
      </c>
      <c r="BY87" s="29">
        <f t="shared" ca="1" si="52"/>
        <v>15539489.262499992</v>
      </c>
      <c r="BZ87" s="29">
        <f t="shared" ca="1" si="52"/>
        <v>15539489.262499992</v>
      </c>
      <c r="CA87" s="29">
        <f t="shared" ca="1" si="52"/>
        <v>15539489.262499992</v>
      </c>
      <c r="CB87" s="29">
        <f t="shared" ca="1" si="52"/>
        <v>15539489.262499992</v>
      </c>
      <c r="CC87" s="29">
        <f t="shared" ca="1" si="52"/>
        <v>15539489.262499992</v>
      </c>
      <c r="CD87" s="29">
        <f t="shared" ca="1" si="52"/>
        <v>15539489.262499992</v>
      </c>
      <c r="CE87" s="29">
        <f t="shared" ca="1" si="52"/>
        <v>15539489.262499992</v>
      </c>
      <c r="CF87" s="29">
        <f t="shared" ca="1" si="52"/>
        <v>15539489.262499992</v>
      </c>
      <c r="CG87" s="29">
        <f t="shared" ca="1" si="52"/>
        <v>15539489.262499992</v>
      </c>
      <c r="CH87" s="29">
        <f t="shared" ca="1" si="52"/>
        <v>15539489.262499992</v>
      </c>
    </row>
    <row r="88" spans="2:86" ht="13">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row>
    <row r="89" spans="2:86" ht="13">
      <c r="B89" s="15" t="s">
        <v>286</v>
      </c>
      <c r="C89" s="15"/>
      <c r="D89" s="15" t="s">
        <v>247</v>
      </c>
      <c r="E89" s="81">
        <f t="shared" ref="E89:E92" ca="1" si="53">IF(D89="sum",SUM(G89:CH89),IF(D89="final",CH89,IF(D89="initial",G89,IF(D89="average",AVERAGE(G89:CH89),0))))</f>
        <v>1</v>
      </c>
      <c r="F89" s="82" t="str">
        <f t="shared" ref="F89:F92" si="54">B89</f>
        <v>Paid in Capital (PIC)</v>
      </c>
      <c r="G89" s="81">
        <f t="shared" ref="G89:CH89" ca="1" si="55">IFERROR(G60/$E60,0)</f>
        <v>5.7775E-2</v>
      </c>
      <c r="H89" s="81">
        <f t="shared" ca="1" si="55"/>
        <v>0.11155</v>
      </c>
      <c r="I89" s="81">
        <f t="shared" ca="1" si="55"/>
        <v>0.165325</v>
      </c>
      <c r="J89" s="81">
        <f t="shared" ca="1" si="55"/>
        <v>0.21909999999999999</v>
      </c>
      <c r="K89" s="81">
        <f t="shared" ca="1" si="55"/>
        <v>0.27287499999999998</v>
      </c>
      <c r="L89" s="81">
        <f t="shared" ca="1" si="55"/>
        <v>0.32665</v>
      </c>
      <c r="M89" s="81">
        <f t="shared" ca="1" si="55"/>
        <v>0.38042500000000001</v>
      </c>
      <c r="N89" s="81">
        <f t="shared" ca="1" si="55"/>
        <v>0.43419999999999997</v>
      </c>
      <c r="O89" s="81">
        <f t="shared" ca="1" si="55"/>
        <v>0.48797499999999999</v>
      </c>
      <c r="P89" s="81">
        <f t="shared" ca="1" si="55"/>
        <v>0.54174999999999995</v>
      </c>
      <c r="Q89" s="81">
        <f t="shared" ca="1" si="55"/>
        <v>0.59552499999999997</v>
      </c>
      <c r="R89" s="81">
        <f t="shared" ca="1" si="55"/>
        <v>0.64929999999999999</v>
      </c>
      <c r="S89" s="81">
        <f t="shared" ca="1" si="55"/>
        <v>0.70307500000000001</v>
      </c>
      <c r="T89" s="81">
        <f t="shared" ca="1" si="55"/>
        <v>0.75685000000000002</v>
      </c>
      <c r="U89" s="81">
        <f t="shared" ca="1" si="55"/>
        <v>0.81062500000000004</v>
      </c>
      <c r="V89" s="81">
        <f t="shared" ca="1" si="55"/>
        <v>0.86439999999999995</v>
      </c>
      <c r="W89" s="81">
        <f t="shared" ca="1" si="55"/>
        <v>0.87004999999999999</v>
      </c>
      <c r="X89" s="81">
        <f t="shared" ca="1" si="55"/>
        <v>0.87570000000000003</v>
      </c>
      <c r="Y89" s="81">
        <f t="shared" ca="1" si="55"/>
        <v>0.88134999999999997</v>
      </c>
      <c r="Z89" s="81">
        <f t="shared" ca="1" si="55"/>
        <v>0.88700000000000001</v>
      </c>
      <c r="AA89" s="81">
        <f t="shared" ca="1" si="55"/>
        <v>0.89265000000000005</v>
      </c>
      <c r="AB89" s="81">
        <f t="shared" ca="1" si="55"/>
        <v>0.89829999999999999</v>
      </c>
      <c r="AC89" s="81">
        <f t="shared" ca="1" si="55"/>
        <v>0.90395000000000003</v>
      </c>
      <c r="AD89" s="81">
        <f t="shared" ca="1" si="55"/>
        <v>0.90959999999999996</v>
      </c>
      <c r="AE89" s="81">
        <f t="shared" ca="1" si="55"/>
        <v>0.91525000000000001</v>
      </c>
      <c r="AF89" s="81">
        <f t="shared" ca="1" si="55"/>
        <v>0.92090000000000005</v>
      </c>
      <c r="AG89" s="81">
        <f t="shared" ca="1" si="55"/>
        <v>0.92654999999999998</v>
      </c>
      <c r="AH89" s="81">
        <f t="shared" ca="1" si="55"/>
        <v>0.93220000000000003</v>
      </c>
      <c r="AI89" s="81">
        <f t="shared" ca="1" si="55"/>
        <v>0.93784999999999996</v>
      </c>
      <c r="AJ89" s="81">
        <f t="shared" ca="1" si="55"/>
        <v>0.94350000000000001</v>
      </c>
      <c r="AK89" s="81">
        <f t="shared" ca="1" si="55"/>
        <v>0.94915000000000005</v>
      </c>
      <c r="AL89" s="81">
        <f t="shared" ca="1" si="55"/>
        <v>0.95479999999999998</v>
      </c>
      <c r="AM89" s="81">
        <f t="shared" ca="1" si="55"/>
        <v>0.96045000000000003</v>
      </c>
      <c r="AN89" s="81">
        <f t="shared" ca="1" si="55"/>
        <v>0.96609999999999996</v>
      </c>
      <c r="AO89" s="81">
        <f t="shared" ca="1" si="55"/>
        <v>0.97175</v>
      </c>
      <c r="AP89" s="81">
        <f t="shared" ca="1" si="55"/>
        <v>0.97740000000000005</v>
      </c>
      <c r="AQ89" s="81">
        <f t="shared" ca="1" si="55"/>
        <v>0.98304999999999998</v>
      </c>
      <c r="AR89" s="81">
        <f t="shared" ca="1" si="55"/>
        <v>0.98870000000000002</v>
      </c>
      <c r="AS89" s="81">
        <f t="shared" ca="1" si="55"/>
        <v>0.99434999999999996</v>
      </c>
      <c r="AT89" s="81">
        <f t="shared" ca="1" si="55"/>
        <v>1</v>
      </c>
      <c r="AU89" s="81">
        <f t="shared" ca="1" si="55"/>
        <v>1</v>
      </c>
      <c r="AV89" s="81">
        <f t="shared" ca="1" si="55"/>
        <v>1</v>
      </c>
      <c r="AW89" s="81">
        <f t="shared" ca="1" si="55"/>
        <v>1</v>
      </c>
      <c r="AX89" s="81">
        <f t="shared" ca="1" si="55"/>
        <v>1</v>
      </c>
      <c r="AY89" s="81">
        <f t="shared" ca="1" si="55"/>
        <v>1</v>
      </c>
      <c r="AZ89" s="81">
        <f t="shared" ca="1" si="55"/>
        <v>1</v>
      </c>
      <c r="BA89" s="81">
        <f t="shared" ca="1" si="55"/>
        <v>1</v>
      </c>
      <c r="BB89" s="81">
        <f t="shared" ca="1" si="55"/>
        <v>1</v>
      </c>
      <c r="BC89" s="81">
        <f t="shared" ca="1" si="55"/>
        <v>1</v>
      </c>
      <c r="BD89" s="81">
        <f t="shared" ca="1" si="55"/>
        <v>1</v>
      </c>
      <c r="BE89" s="81">
        <f t="shared" ca="1" si="55"/>
        <v>1</v>
      </c>
      <c r="BF89" s="81">
        <f t="shared" ca="1" si="55"/>
        <v>1</v>
      </c>
      <c r="BG89" s="81">
        <f t="shared" ca="1" si="55"/>
        <v>1</v>
      </c>
      <c r="BH89" s="81">
        <f t="shared" ca="1" si="55"/>
        <v>1</v>
      </c>
      <c r="BI89" s="81">
        <f t="shared" ca="1" si="55"/>
        <v>1</v>
      </c>
      <c r="BJ89" s="81">
        <f t="shared" ca="1" si="55"/>
        <v>1</v>
      </c>
      <c r="BK89" s="81">
        <f t="shared" ca="1" si="55"/>
        <v>1</v>
      </c>
      <c r="BL89" s="81">
        <f t="shared" ca="1" si="55"/>
        <v>1</v>
      </c>
      <c r="BM89" s="81">
        <f t="shared" ca="1" si="55"/>
        <v>1</v>
      </c>
      <c r="BN89" s="81">
        <f t="shared" ca="1" si="55"/>
        <v>1</v>
      </c>
      <c r="BO89" s="81">
        <f t="shared" ca="1" si="55"/>
        <v>1</v>
      </c>
      <c r="BP89" s="81">
        <f t="shared" ca="1" si="55"/>
        <v>1</v>
      </c>
      <c r="BQ89" s="81">
        <f t="shared" ca="1" si="55"/>
        <v>1</v>
      </c>
      <c r="BR89" s="81">
        <f t="shared" ca="1" si="55"/>
        <v>1</v>
      </c>
      <c r="BS89" s="81">
        <f t="shared" ca="1" si="55"/>
        <v>1</v>
      </c>
      <c r="BT89" s="81">
        <f t="shared" ca="1" si="55"/>
        <v>1</v>
      </c>
      <c r="BU89" s="81">
        <f t="shared" ca="1" si="55"/>
        <v>1</v>
      </c>
      <c r="BV89" s="81">
        <f t="shared" ca="1" si="55"/>
        <v>1</v>
      </c>
      <c r="BW89" s="81">
        <f t="shared" ca="1" si="55"/>
        <v>1</v>
      </c>
      <c r="BX89" s="81">
        <f t="shared" ca="1" si="55"/>
        <v>1</v>
      </c>
      <c r="BY89" s="81">
        <f t="shared" ca="1" si="55"/>
        <v>1</v>
      </c>
      <c r="BZ89" s="81">
        <f t="shared" ca="1" si="55"/>
        <v>1</v>
      </c>
      <c r="CA89" s="81">
        <f t="shared" ca="1" si="55"/>
        <v>1</v>
      </c>
      <c r="CB89" s="81">
        <f t="shared" ca="1" si="55"/>
        <v>1</v>
      </c>
      <c r="CC89" s="81">
        <f t="shared" ca="1" si="55"/>
        <v>1</v>
      </c>
      <c r="CD89" s="81">
        <f t="shared" ca="1" si="55"/>
        <v>1</v>
      </c>
      <c r="CE89" s="81">
        <f t="shared" ca="1" si="55"/>
        <v>1</v>
      </c>
      <c r="CF89" s="81">
        <f t="shared" ca="1" si="55"/>
        <v>1</v>
      </c>
      <c r="CG89" s="81">
        <f t="shared" ca="1" si="55"/>
        <v>1</v>
      </c>
      <c r="CH89" s="81">
        <f t="shared" ca="1" si="55"/>
        <v>1</v>
      </c>
    </row>
    <row r="90" spans="2:86" ht="13">
      <c r="B90" s="15" t="s">
        <v>287</v>
      </c>
      <c r="C90" s="15"/>
      <c r="D90" s="15" t="s">
        <v>247</v>
      </c>
      <c r="E90" s="81">
        <f t="shared" ca="1" si="53"/>
        <v>-2.9802322387695313E-16</v>
      </c>
      <c r="F90" s="82" t="str">
        <f t="shared" si="54"/>
        <v>Residual Value to Paid in Capital (RVPI)</v>
      </c>
      <c r="G90" s="81">
        <f ca="1">IFERROR((G81-(MAX(0,(F81+G51+G50+G72-G71-G60))*'Get Started  2'!$E14-G75))/G60,0)</f>
        <v>0.83297273907399394</v>
      </c>
      <c r="H90" s="81">
        <f ca="1">IFERROR((H81-(MAX(0,(G81+H51+H50+H72-H71-H60))*'Get Started  2'!$E14-H75))/H60,0)</f>
        <v>0.86284177498879422</v>
      </c>
      <c r="I90" s="81">
        <f ca="1">IFERROR((I81-(MAX(0,(H81+I51+I50+I72-I71-I60))*'Get Started  2'!$E14-I75))/I60,0)</f>
        <v>0.87327990322092852</v>
      </c>
      <c r="J90" s="81">
        <f ca="1">IFERROR((J81-(MAX(0,(I81+J51+J50+J72-J71-J60))*'Get Started  2'!$E14-J75))/J60,0)</f>
        <v>0.87859424920127793</v>
      </c>
      <c r="K90" s="81">
        <f ca="1">IFERROR((K81-(MAX(0,(J81+K51+K50+K72-K71-K60))*'Get Started  2'!$E14-K75))/K60,0)</f>
        <v>0.88181401740723775</v>
      </c>
      <c r="L90" s="81">
        <f ca="1">IFERROR((L81-(MAX(0,(K81+L51+L50+L72-L71-L60))*'Get Started  2'!$E14-L75))/L60,0)</f>
        <v>0.88397367212612887</v>
      </c>
      <c r="M90" s="81">
        <f ca="1">IFERROR((M81-(MAX(0,(L81+M51+M50+M72-M71-M60))*'Get Started  2'!$E14-M75))/M60,0)</f>
        <v>0.88552277058552931</v>
      </c>
      <c r="N90" s="81">
        <f ca="1">IFERROR((N81-(MAX(0,(M81+N51+N50+N72-N71-N60))*'Get Started  2'!$E14-N75))/N60,0)</f>
        <v>0.88668816213726398</v>
      </c>
      <c r="O90" s="81">
        <f ca="1">IFERROR((O81-(MAX(0,(N81+O51+O50+O72-O71-O60))*'Get Started  2'!$E14-O75))/O60,0)</f>
        <v>0.9058935468101178</v>
      </c>
      <c r="P90" s="81">
        <f ca="1">IFERROR((P81-(MAX(0,(O81+P51+P50+P72-P71-P60))*'Get Started  2'!$E14-P75))/P60,0)</f>
        <v>0.92462089707721395</v>
      </c>
      <c r="Q90" s="81">
        <f ca="1">IFERROR((Q81-(MAX(0,(P81+Q51+Q50+Q72-Q71-Q60))*'Get Started  2'!$E14-Q75))/Q60,0)</f>
        <v>0.94299971027369167</v>
      </c>
      <c r="R90" s="81">
        <f ca="1">IFERROR((R81-(MAX(0,(Q81+R51+R50+R72-R71-R60))*'Get Started  2'!$E14-R75))/R60,0)</f>
        <v>0.96111658387824739</v>
      </c>
      <c r="S90" s="81">
        <f ca="1">IFERROR((S81-(MAX(0,(R81+S51+S50+S72-S71-S60))*'Get Started  2'!$E14-S75))/S60,0)</f>
        <v>0.94215104755187429</v>
      </c>
      <c r="T90" s="81">
        <f ca="1">IFERROR((T81-(MAX(0,(S81+T51+T50+T72-T71-T60))*'Get Started  2'!$E14-T75))/T60,0)</f>
        <v>0.9211185153876571</v>
      </c>
      <c r="U90" s="81">
        <f ca="1">IFERROR((U81-(MAX(0,(T81+U51+U50+U72-U71-U60))*'Get Started  2'!$E14-U75))/U60,0)</f>
        <v>0.90465936798218571</v>
      </c>
      <c r="V90" s="81">
        <f ca="1">IFERROR((V81-(MAX(0,(U81+V51+V50+V72-V71-V60))*'Get Started  2'!$E14-V75))/V60,0)</f>
        <v>0.89192006380815281</v>
      </c>
      <c r="W90" s="81">
        <f ca="1">IFERROR((W81-(MAX(0,(V81+W51+W50+W72-W71-W60))*'Get Started  2'!$E14-W75))/W60,0)</f>
        <v>0.81864667924009815</v>
      </c>
      <c r="X90" s="81">
        <f ca="1">IFERROR((X81-(MAX(0,(W81+X51+X50+X72-X71-X60))*'Get Started  2'!$E14-X75))/X60,0)</f>
        <v>0.74892418572196029</v>
      </c>
      <c r="Y90" s="81">
        <f ca="1">IFERROR((Y81-(MAX(0,(X81+Y51+Y50+Y72-Y71-Y60))*'Get Started  2'!$E14-Y75))/Y60,0)</f>
        <v>0.69260354399331336</v>
      </c>
      <c r="Z90" s="81">
        <f ca="1">IFERROR((Z81-(MAX(0,(Y81+Z51+Z50+Z72-Z71-Z60))*'Get Started  2'!$E14-Z75))/Z60,0)</f>
        <v>0.6329623992106419</v>
      </c>
      <c r="AA90" s="81">
        <f ca="1">IFERROR((AA81-(MAX(0,(Z81+AA51+AA50+AA72-AA71-AA60))*'Get Started  2'!$E14-AA75))/AA60,0)</f>
        <v>0.56224414083153385</v>
      </c>
      <c r="AB90" s="81">
        <f ca="1">IFERROR((AB81-(MAX(0,(AA81+AB51+AB50+AB72-AB71-AB60))*'Get Started  2'!$E14-AB75))/AB60,0)</f>
        <v>0.48786748716258665</v>
      </c>
      <c r="AC90" s="81">
        <f ca="1">IFERROR((AC81-(MAX(0,(AB81+AC51+AC50+AC72-AC71-AC60))*'Get Started  2'!$E14-AC75))/AC60,0)</f>
        <v>0.40990103690966107</v>
      </c>
      <c r="AD90" s="81">
        <f ca="1">IFERROR((AD81-(MAX(0,(AC81+AD51+AD50+AD72-AD71-AD60))*'Get Started  2'!$E14-AD75))/AD60,0)</f>
        <v>0.32841168436925933</v>
      </c>
      <c r="AE90" s="81">
        <f ca="1">IFERROR((AE81-(MAX(0,(AD81+AE51+AE50+AE72-AE71-AE60))*'Get Started  2'!$E14-AE75))/AE60,0)</f>
        <v>0.27075828656859507</v>
      </c>
      <c r="AF90" s="81">
        <f ca="1">IFERROR((AF81-(MAX(0,(AE81+AF51+AF50+AF72-AF71-AF60))*'Get Started  2'!$E14-AF75))/AF60,0)</f>
        <v>0.21205074749663505</v>
      </c>
      <c r="AG90" s="81">
        <f ca="1">IFERROR((AG81-(MAX(0,(AF81+AG51+AG50+AG72-AG71-AG60))*'Get Started  2'!$E14-AG75))/AG60,0)</f>
        <v>0.15230835126599984</v>
      </c>
      <c r="AH90" s="81">
        <f ca="1">IFERROR((AH81-(MAX(0,(AG81+AH51+AH50+AH72-AH71-AH60))*'Get Started  2'!$E14-AH75))/AH60,0)</f>
        <v>9.1549914470595795E-2</v>
      </c>
      <c r="AI90" s="81">
        <f ca="1">IFERROR((AI81-(MAX(0,(AH81+AI51+AI50+AI72-AI71-AI60))*'Get Started  2'!$E14-AI75))/AI60,0)</f>
        <v>6.7059588146872948E-2</v>
      </c>
      <c r="AJ90" s="81">
        <f ca="1">IFERROR((AJ81-(MAX(0,(AI81+AJ51+AJ50+AJ72-AJ71-AJ60))*'Get Started  2'!$E14-AJ75))/AJ60,0)</f>
        <v>4.2095565809468688E-2</v>
      </c>
      <c r="AK90" s="81">
        <f ca="1">IFERROR((AK81-(MAX(0,(AJ81+AK51+AK50+AK72-AK71-AK60))*'Get Started  2'!$E14-AK75))/AK60,0)</f>
        <v>1.6666306761371957E-2</v>
      </c>
      <c r="AL90" s="81">
        <f ca="1">IFERROR((AL81-(MAX(0,(AK81+AL51+AL50+AL72-AL71-AL60))*'Get Started  2'!$E14-AL75))/AL60,0)</f>
        <v>-9.2199299251024252E-3</v>
      </c>
      <c r="AM90" s="81">
        <f ca="1">IFERROR((AM81-(MAX(0,(AL81+AM51+AM50+AM72-AM71-AM60))*'Get Started  2'!$E14-AM75))/AM60,0)</f>
        <v>-1.3882902381910976E-2</v>
      </c>
      <c r="AN90" s="81">
        <f ca="1">IFERROR((AN81-(MAX(0,(AM81+AN51+AN50+AN72-AN71-AN60))*'Get Started  2'!$E14-AN75))/AN60,0)</f>
        <v>-1.8686460115060019E-2</v>
      </c>
      <c r="AO90" s="81">
        <f ca="1">IFERROR((AO81-(MAX(0,(AN81+AO51+AO50+AO72-AO71-AO60))*'Get Started  2'!$E14-AO75))/AO60,0)</f>
        <v>-2.3628150929608339E-2</v>
      </c>
      <c r="AP90" s="81">
        <f ca="1">IFERROR((AP81-(MAX(0,(AO81+AP51+AP50+AP72-AP71-AP60))*'Get Started  2'!$E14-AP75))/AP60,0)</f>
        <v>-2.8705579331664351E-2</v>
      </c>
      <c r="AQ90" s="81">
        <f ca="1">IFERROR((AQ81-(MAX(0,(AP81+AQ51+AQ50+AQ72-AQ71-AQ60))*'Get Started  2'!$E14-AQ75))/AQ60,0)</f>
        <v>-3.5532419952389011E-2</v>
      </c>
      <c r="AR90" s="81">
        <f ca="1">IFERROR((AR81-(MAX(0,(AQ81+AR51+AR50+AR72-AR71-AR60))*'Get Started  2'!$E14-AR75))/AR60,0)</f>
        <v>-4.2513212004762199E-2</v>
      </c>
      <c r="AS90" s="81">
        <f ca="1">IFERROR((AS81-(MAX(0,(AR81+AS51+AS50+AS72-AS71-AS60))*'Get Started  2'!$E14-AS75))/AS60,0)</f>
        <v>-4.9645331184699472E-2</v>
      </c>
      <c r="AT90" s="81">
        <f ca="1">IFERROR((AT81-(MAX(0,(AS81+AT51+AT50+AT72-AT71-AT60))*'Get Started  2'!$E14-AT75))/AT60,0)</f>
        <v>-2.9802322387695313E-16</v>
      </c>
      <c r="AU90" s="81">
        <f ca="1">IFERROR((AU81-(MAX(0,(AT81+AU51+AU50+AU72-AU71-AU60))*'Get Started  2'!$E14-AU75))/AU60,0)</f>
        <v>-2.9802322387695313E-16</v>
      </c>
      <c r="AV90" s="81">
        <f ca="1">IFERROR((AV81-(MAX(0,(AU81+AV51+AV50+AV72-AV71-AV60))*'Get Started  2'!$E14-AV75))/AV60,0)</f>
        <v>-2.9802322387695313E-16</v>
      </c>
      <c r="AW90" s="81">
        <f ca="1">IFERROR((AW81-(MAX(0,(AV81+AW51+AW50+AW72-AW71-AW60))*'Get Started  2'!$E14-AW75))/AW60,0)</f>
        <v>-2.9802322387695313E-16</v>
      </c>
      <c r="AX90" s="81">
        <f ca="1">IFERROR((AX81-(MAX(0,(AW81+AX51+AX50+AX72-AX71-AX60))*'Get Started  2'!$E14-AX75))/AX60,0)</f>
        <v>-2.9802322387695313E-16</v>
      </c>
      <c r="AY90" s="81">
        <f ca="1">IFERROR((AY81-(MAX(0,(AX81+AY51+AY50+AY72-AY71-AY60))*'Get Started  2'!$E14-AY75))/AY60,0)</f>
        <v>-2.9802322387695313E-16</v>
      </c>
      <c r="AZ90" s="81">
        <f ca="1">IFERROR((AZ81-(MAX(0,(AY81+AZ51+AZ50+AZ72-AZ71-AZ60))*'Get Started  2'!$E14-AZ75))/AZ60,0)</f>
        <v>-2.9802322387695313E-16</v>
      </c>
      <c r="BA90" s="81">
        <f ca="1">IFERROR((BA81-(MAX(0,(AZ81+BA51+BA50+BA72-BA71-BA60))*'Get Started  2'!$E14-BA75))/BA60,0)</f>
        <v>-2.9802322387695313E-16</v>
      </c>
      <c r="BB90" s="81">
        <f ca="1">IFERROR((BB81-(MAX(0,(BA81+BB51+BB50+BB72-BB71-BB60))*'Get Started  2'!$E14-BB75))/BB60,0)</f>
        <v>-2.9802322387695313E-16</v>
      </c>
      <c r="BC90" s="81">
        <f ca="1">IFERROR((BC81-(MAX(0,(BB81+BC51+BC50+BC72-BC71-BC60))*'Get Started  2'!$E14-BC75))/BC60,0)</f>
        <v>-2.9802322387695313E-16</v>
      </c>
      <c r="BD90" s="81">
        <f ca="1">IFERROR((BD81-(MAX(0,(BC81+BD51+BD50+BD72-BD71-BD60))*'Get Started  2'!$E14-BD75))/BD60,0)</f>
        <v>-2.9802322387695313E-16</v>
      </c>
      <c r="BE90" s="81">
        <f ca="1">IFERROR((BE81-(MAX(0,(BD81+BE51+BE50+BE72-BE71-BE60))*'Get Started  2'!$E14-BE75))/BE60,0)</f>
        <v>-2.9802322387695313E-16</v>
      </c>
      <c r="BF90" s="81">
        <f ca="1">IFERROR((BF81-(MAX(0,(BE81+BF51+BF50+BF72-BF71-BF60))*'Get Started  2'!$E14-BF75))/BF60,0)</f>
        <v>-2.9802322387695313E-16</v>
      </c>
      <c r="BG90" s="81">
        <f ca="1">IFERROR((BG81-(MAX(0,(BF81+BG51+BG50+BG72-BG71-BG60))*'Get Started  2'!$E14-BG75))/BG60,0)</f>
        <v>-2.9802322387695313E-16</v>
      </c>
      <c r="BH90" s="81">
        <f ca="1">IFERROR((BH81-(MAX(0,(BG81+BH51+BH50+BH72-BH71-BH60))*'Get Started  2'!$E14-BH75))/BH60,0)</f>
        <v>-2.9802322387695313E-16</v>
      </c>
      <c r="BI90" s="81">
        <f ca="1">IFERROR((BI81-(MAX(0,(BH81+BI51+BI50+BI72-BI71-BI60))*'Get Started  2'!$E14-BI75))/BI60,0)</f>
        <v>-2.9802322387695313E-16</v>
      </c>
      <c r="BJ90" s="81">
        <f ca="1">IFERROR((BJ81-(MAX(0,(BI81+BJ51+BJ50+BJ72-BJ71-BJ60))*'Get Started  2'!$E14-BJ75))/BJ60,0)</f>
        <v>-2.9802322387695313E-16</v>
      </c>
      <c r="BK90" s="81">
        <f ca="1">IFERROR((BK81-(MAX(0,(BJ81+BK51+BK50+BK72-BK71-BK60))*'Get Started  2'!$E14-BK75))/BK60,0)</f>
        <v>-2.9802322387695313E-16</v>
      </c>
      <c r="BL90" s="81">
        <f ca="1">IFERROR((BL81-(MAX(0,(BK81+BL51+BL50+BL72-BL71-BL60))*'Get Started  2'!$E14-BL75))/BL60,0)</f>
        <v>-2.9802322387695313E-16</v>
      </c>
      <c r="BM90" s="81">
        <f ca="1">IFERROR((BM81-(MAX(0,(BL81+BM51+BM50+BM72-BM71-BM60))*'Get Started  2'!$E14-BM75))/BM60,0)</f>
        <v>-2.9802322387695313E-16</v>
      </c>
      <c r="BN90" s="81">
        <f ca="1">IFERROR((BN81-(MAX(0,(BM81+BN51+BN50+BN72-BN71-BN60))*'Get Started  2'!$E14-BN75))/BN60,0)</f>
        <v>-2.9802322387695313E-16</v>
      </c>
      <c r="BO90" s="81">
        <f ca="1">IFERROR((BO81-(MAX(0,(BN81+BO51+BO50+BO72-BO71-BO60))*'Get Started  2'!$E14-BO75))/BO60,0)</f>
        <v>-2.9802322387695313E-16</v>
      </c>
      <c r="BP90" s="81">
        <f ca="1">IFERROR((BP81-(MAX(0,(BO81+BP51+BP50+BP72-BP71-BP60))*'Get Started  2'!$E14-BP75))/BP60,0)</f>
        <v>-2.9802322387695313E-16</v>
      </c>
      <c r="BQ90" s="81">
        <f ca="1">IFERROR((BQ81-(MAX(0,(BP81+BQ51+BQ50+BQ72-BQ71-BQ60))*'Get Started  2'!$E14-BQ75))/BQ60,0)</f>
        <v>-2.9802322387695313E-16</v>
      </c>
      <c r="BR90" s="81">
        <f ca="1">IFERROR((BR81-(MAX(0,(BQ81+BR51+BR50+BR72-BR71-BR60))*'Get Started  2'!$E14-BR75))/BR60,0)</f>
        <v>-2.9802322387695313E-16</v>
      </c>
      <c r="BS90" s="81">
        <f ca="1">IFERROR((BS81-(MAX(0,(BR81+BS51+BS50+BS72-BS71-BS60))*'Get Started  2'!$E14-BS75))/BS60,0)</f>
        <v>-2.9802322387695313E-16</v>
      </c>
      <c r="BT90" s="81">
        <f ca="1">IFERROR((BT81-(MAX(0,(BS81+BT51+BT50+BT72-BT71-BT60))*'Get Started  2'!$E14-BT75))/BT60,0)</f>
        <v>-2.9802322387695313E-16</v>
      </c>
      <c r="BU90" s="81">
        <f ca="1">IFERROR((BU81-(MAX(0,(BT81+BU51+BU50+BU72-BU71-BU60))*'Get Started  2'!$E14-BU75))/BU60,0)</f>
        <v>-2.9802322387695313E-16</v>
      </c>
      <c r="BV90" s="81">
        <f ca="1">IFERROR((BV81-(MAX(0,(BU81+BV51+BV50+BV72-BV71-BV60))*'Get Started  2'!$E14-BV75))/BV60,0)</f>
        <v>-2.9802322387695313E-16</v>
      </c>
      <c r="BW90" s="81">
        <f ca="1">IFERROR((BW81-(MAX(0,(BV81+BW51+BW50+BW72-BW71-BW60))*'Get Started  2'!$E14-BW75))/BW60,0)</f>
        <v>-2.9802322387695313E-16</v>
      </c>
      <c r="BX90" s="81">
        <f ca="1">IFERROR((BX81-(MAX(0,(BW81+BX51+BX50+BX72-BX71-BX60))*'Get Started  2'!$E14-BX75))/BX60,0)</f>
        <v>-2.9802322387695313E-16</v>
      </c>
      <c r="BY90" s="81">
        <f ca="1">IFERROR((BY81-(MAX(0,(BX81+BY51+BY50+BY72-BY71-BY60))*'Get Started  2'!$E14-BY75))/BY60,0)</f>
        <v>-2.9802322387695313E-16</v>
      </c>
      <c r="BZ90" s="81">
        <f ca="1">IFERROR((BZ81-(MAX(0,(BY81+BZ51+BZ50+BZ72-BZ71-BZ60))*'Get Started  2'!$E14-BZ75))/BZ60,0)</f>
        <v>-2.9802322387695313E-16</v>
      </c>
      <c r="CA90" s="81">
        <f ca="1">IFERROR((CA81-(MAX(0,(BZ81+CA51+CA50+CA72-CA71-CA60))*'Get Started  2'!$E14-CA75))/CA60,0)</f>
        <v>-2.9802322387695313E-16</v>
      </c>
      <c r="CB90" s="81">
        <f ca="1">IFERROR((CB81-(MAX(0,(CA81+CB51+CB50+CB72-CB71-CB60))*'Get Started  2'!$E14-CB75))/CB60,0)</f>
        <v>-2.9802322387695313E-16</v>
      </c>
      <c r="CC90" s="81">
        <f ca="1">IFERROR((CC81-(MAX(0,(CB81+CC51+CC50+CC72-CC71-CC60))*'Get Started  2'!$E14-CC75))/CC60,0)</f>
        <v>-2.9802322387695313E-16</v>
      </c>
      <c r="CD90" s="81">
        <f ca="1">IFERROR((CD81-(MAX(0,(CC81+CD51+CD50+CD72-CD71-CD60))*'Get Started  2'!$E14-CD75))/CD60,0)</f>
        <v>-2.9802322387695313E-16</v>
      </c>
      <c r="CE90" s="81">
        <f ca="1">IFERROR((CE81-(MAX(0,(CD81+CE51+CE50+CE72-CE71-CE60))*'Get Started  2'!$E14-CE75))/CE60,0)</f>
        <v>-2.9802322387695313E-16</v>
      </c>
      <c r="CF90" s="81">
        <f ca="1">IFERROR((CF81-(MAX(0,(CE81+CF51+CF50+CF72-CF71-CF60))*'Get Started  2'!$E14-CF75))/CF60,0)</f>
        <v>-2.9802322387695313E-16</v>
      </c>
      <c r="CG90" s="81">
        <f ca="1">IFERROR((CG81-(MAX(0,(CF81+CG51+CG50+CG72-CG71-CG60))*'Get Started  2'!$E14-CG75))/CG60,0)</f>
        <v>-2.9802322387695313E-16</v>
      </c>
      <c r="CH90" s="81">
        <f ca="1">IFERROR((CH81-(MAX(0,(CG81+CH51+CH50+CH72-CH71-CH60))*'Get Started  2'!$E14-CH75))/CH60,0)</f>
        <v>-2.9802322387695313E-16</v>
      </c>
    </row>
    <row r="91" spans="2:86" ht="13">
      <c r="B91" s="15" t="s">
        <v>288</v>
      </c>
      <c r="C91" s="15"/>
      <c r="D91" s="15" t="s">
        <v>247</v>
      </c>
      <c r="E91" s="81">
        <f t="shared" ca="1" si="53"/>
        <v>3.2280724833333307</v>
      </c>
      <c r="F91" s="82" t="str">
        <f t="shared" si="54"/>
        <v>Distributed Value to Paid in Capital (DVPI)</v>
      </c>
      <c r="G91" s="81">
        <f t="shared" ref="G91:CH91" ca="1" si="56">IFERROR(G76/G60,0)</f>
        <v>0</v>
      </c>
      <c r="H91" s="81">
        <f t="shared" ca="1" si="56"/>
        <v>0</v>
      </c>
      <c r="I91" s="81">
        <f t="shared" ca="1" si="56"/>
        <v>0</v>
      </c>
      <c r="J91" s="81">
        <f t="shared" ca="1" si="56"/>
        <v>0</v>
      </c>
      <c r="K91" s="81">
        <f t="shared" ca="1" si="56"/>
        <v>0</v>
      </c>
      <c r="L91" s="81">
        <f t="shared" ca="1" si="56"/>
        <v>0</v>
      </c>
      <c r="M91" s="81">
        <f t="shared" ca="1" si="56"/>
        <v>0</v>
      </c>
      <c r="N91" s="81">
        <f t="shared" ca="1" si="56"/>
        <v>0</v>
      </c>
      <c r="O91" s="81">
        <f t="shared" ca="1" si="56"/>
        <v>0</v>
      </c>
      <c r="P91" s="81">
        <f t="shared" ca="1" si="56"/>
        <v>0</v>
      </c>
      <c r="Q91" s="81">
        <f t="shared" ca="1" si="56"/>
        <v>0</v>
      </c>
      <c r="R91" s="81">
        <f t="shared" ca="1" si="56"/>
        <v>0</v>
      </c>
      <c r="S91" s="81">
        <f t="shared" ca="1" si="56"/>
        <v>5.9915964394505118E-2</v>
      </c>
      <c r="T91" s="81">
        <f t="shared" ca="1" si="56"/>
        <v>0.11131774239721659</v>
      </c>
      <c r="U91" s="81">
        <f t="shared" ca="1" si="56"/>
        <v>0.15589976869699315</v>
      </c>
      <c r="V91" s="81">
        <f t="shared" ca="1" si="56"/>
        <v>0.19493482955421881</v>
      </c>
      <c r="W91" s="81">
        <f t="shared" ca="1" si="56"/>
        <v>0.37603562055820561</v>
      </c>
      <c r="X91" s="81">
        <f t="shared" ca="1" si="56"/>
        <v>0.54810400954598659</v>
      </c>
      <c r="Y91" s="81">
        <f t="shared" ca="1" si="56"/>
        <v>0.70139445543065504</v>
      </c>
      <c r="Z91" s="81">
        <f t="shared" ca="1" si="56"/>
        <v>0.85273204670596969</v>
      </c>
      <c r="AA91" s="81">
        <f t="shared" ca="1" si="56"/>
        <v>1.0039287167850874</v>
      </c>
      <c r="AB91" s="81">
        <f t="shared" ca="1" si="56"/>
        <v>1.1532234360995453</v>
      </c>
      <c r="AC91" s="81">
        <f t="shared" ca="1" si="56"/>
        <v>1.300651868198722</v>
      </c>
      <c r="AD91" s="81">
        <f t="shared" ca="1" si="56"/>
        <v>1.4462487905323744</v>
      </c>
      <c r="AE91" s="81">
        <f t="shared" ca="1" si="56"/>
        <v>1.6511634612457127</v>
      </c>
      <c r="AF91" s="81">
        <f t="shared" ca="1" si="56"/>
        <v>1.8535637050081757</v>
      </c>
      <c r="AG91" s="81">
        <f t="shared" ca="1" si="56"/>
        <v>2.0534955199168095</v>
      </c>
      <c r="AH91" s="81">
        <f t="shared" ca="1" si="56"/>
        <v>2.2510037889034651</v>
      </c>
      <c r="AI91" s="81">
        <f t="shared" ca="1" si="56"/>
        <v>2.4081904122153639</v>
      </c>
      <c r="AJ91" s="81">
        <f t="shared" ca="1" si="56"/>
        <v>2.5634944612364046</v>
      </c>
      <c r="AK91" s="81">
        <f t="shared" ca="1" si="56"/>
        <v>2.7169495551355598</v>
      </c>
      <c r="AL91" s="81">
        <f t="shared" ca="1" si="56"/>
        <v>2.8685885173201568</v>
      </c>
      <c r="AM91" s="81">
        <f t="shared" ca="1" si="56"/>
        <v>2.90915190974312</v>
      </c>
      <c r="AN91" s="81">
        <f t="shared" ca="1" si="56"/>
        <v>2.9492408519700581</v>
      </c>
      <c r="AO91" s="81">
        <f t="shared" ca="1" si="56"/>
        <v>2.988863619720882</v>
      </c>
      <c r="AP91" s="81">
        <f t="shared" ca="1" si="56"/>
        <v>3.0280282973595876</v>
      </c>
      <c r="AQ91" s="81">
        <f t="shared" ca="1" si="56"/>
        <v>3.0789016471316599</v>
      </c>
      <c r="AR91" s="81">
        <f t="shared" ca="1" si="56"/>
        <v>3.1291935577893151</v>
      </c>
      <c r="AS91" s="81">
        <f t="shared" ca="1" si="56"/>
        <v>3.1789139407249092</v>
      </c>
      <c r="AT91" s="81">
        <f t="shared" ca="1" si="56"/>
        <v>3.2280724833333307</v>
      </c>
      <c r="AU91" s="81">
        <f t="shared" ca="1" si="56"/>
        <v>3.2280724833333307</v>
      </c>
      <c r="AV91" s="81">
        <f t="shared" ca="1" si="56"/>
        <v>3.2280724833333307</v>
      </c>
      <c r="AW91" s="81">
        <f t="shared" ca="1" si="56"/>
        <v>3.2280724833333307</v>
      </c>
      <c r="AX91" s="81">
        <f t="shared" ca="1" si="56"/>
        <v>3.2280724833333307</v>
      </c>
      <c r="AY91" s="81">
        <f t="shared" ca="1" si="56"/>
        <v>3.2280724833333307</v>
      </c>
      <c r="AZ91" s="81">
        <f t="shared" ca="1" si="56"/>
        <v>3.2280724833333307</v>
      </c>
      <c r="BA91" s="81">
        <f t="shared" ca="1" si="56"/>
        <v>3.2280724833333307</v>
      </c>
      <c r="BB91" s="81">
        <f t="shared" ca="1" si="56"/>
        <v>3.2280724833333307</v>
      </c>
      <c r="BC91" s="81">
        <f t="shared" ca="1" si="56"/>
        <v>3.2280724833333307</v>
      </c>
      <c r="BD91" s="81">
        <f t="shared" ca="1" si="56"/>
        <v>3.2280724833333307</v>
      </c>
      <c r="BE91" s="81">
        <f t="shared" ca="1" si="56"/>
        <v>3.2280724833333307</v>
      </c>
      <c r="BF91" s="81">
        <f t="shared" ca="1" si="56"/>
        <v>3.2280724833333307</v>
      </c>
      <c r="BG91" s="81">
        <f t="shared" ca="1" si="56"/>
        <v>3.2280724833333307</v>
      </c>
      <c r="BH91" s="81">
        <f t="shared" ca="1" si="56"/>
        <v>3.2280724833333307</v>
      </c>
      <c r="BI91" s="81">
        <f t="shared" ca="1" si="56"/>
        <v>3.2280724833333307</v>
      </c>
      <c r="BJ91" s="81">
        <f t="shared" ca="1" si="56"/>
        <v>3.2280724833333307</v>
      </c>
      <c r="BK91" s="81">
        <f t="shared" ca="1" si="56"/>
        <v>3.2280724833333307</v>
      </c>
      <c r="BL91" s="81">
        <f t="shared" ca="1" si="56"/>
        <v>3.2280724833333307</v>
      </c>
      <c r="BM91" s="81">
        <f t="shared" ca="1" si="56"/>
        <v>3.2280724833333307</v>
      </c>
      <c r="BN91" s="81">
        <f t="shared" ca="1" si="56"/>
        <v>3.2280724833333307</v>
      </c>
      <c r="BO91" s="81">
        <f t="shared" ca="1" si="56"/>
        <v>3.2280724833333307</v>
      </c>
      <c r="BP91" s="81">
        <f t="shared" ca="1" si="56"/>
        <v>3.2280724833333307</v>
      </c>
      <c r="BQ91" s="81">
        <f t="shared" ca="1" si="56"/>
        <v>3.2280724833333307</v>
      </c>
      <c r="BR91" s="81">
        <f t="shared" ca="1" si="56"/>
        <v>3.2280724833333307</v>
      </c>
      <c r="BS91" s="81">
        <f t="shared" ca="1" si="56"/>
        <v>3.2280724833333307</v>
      </c>
      <c r="BT91" s="81">
        <f t="shared" ca="1" si="56"/>
        <v>3.2280724833333307</v>
      </c>
      <c r="BU91" s="81">
        <f t="shared" ca="1" si="56"/>
        <v>3.2280724833333307</v>
      </c>
      <c r="BV91" s="81">
        <f t="shared" ca="1" si="56"/>
        <v>3.2280724833333307</v>
      </c>
      <c r="BW91" s="81">
        <f t="shared" ca="1" si="56"/>
        <v>3.2280724833333307</v>
      </c>
      <c r="BX91" s="81">
        <f t="shared" ca="1" si="56"/>
        <v>3.2280724833333307</v>
      </c>
      <c r="BY91" s="81">
        <f t="shared" ca="1" si="56"/>
        <v>3.2280724833333307</v>
      </c>
      <c r="BZ91" s="81">
        <f t="shared" ca="1" si="56"/>
        <v>3.2280724833333307</v>
      </c>
      <c r="CA91" s="81">
        <f t="shared" ca="1" si="56"/>
        <v>3.2280724833333307</v>
      </c>
      <c r="CB91" s="81">
        <f t="shared" ca="1" si="56"/>
        <v>3.2280724833333307</v>
      </c>
      <c r="CC91" s="81">
        <f t="shared" ca="1" si="56"/>
        <v>3.2280724833333307</v>
      </c>
      <c r="CD91" s="81">
        <f t="shared" ca="1" si="56"/>
        <v>3.2280724833333307</v>
      </c>
      <c r="CE91" s="81">
        <f t="shared" ca="1" si="56"/>
        <v>3.2280724833333307</v>
      </c>
      <c r="CF91" s="81">
        <f t="shared" ca="1" si="56"/>
        <v>3.2280724833333307</v>
      </c>
      <c r="CG91" s="81">
        <f t="shared" ca="1" si="56"/>
        <v>3.2280724833333307</v>
      </c>
      <c r="CH91" s="81">
        <f t="shared" ca="1" si="56"/>
        <v>3.2280724833333307</v>
      </c>
    </row>
    <row r="92" spans="2:86" ht="13">
      <c r="B92" s="15" t="s">
        <v>289</v>
      </c>
      <c r="C92" s="15"/>
      <c r="D92" s="15" t="s">
        <v>247</v>
      </c>
      <c r="E92" s="81">
        <f t="shared" ca="1" si="53"/>
        <v>3.2280724833333303</v>
      </c>
      <c r="F92" s="82" t="str">
        <f t="shared" si="54"/>
        <v>Total Value to Paid in Capital (TVPI)</v>
      </c>
      <c r="G92" s="81">
        <f t="shared" ref="G92:CH92" ca="1" si="57">G91+G90</f>
        <v>0.83297273907399394</v>
      </c>
      <c r="H92" s="81">
        <f t="shared" ca="1" si="57"/>
        <v>0.86284177498879422</v>
      </c>
      <c r="I92" s="81">
        <f t="shared" ca="1" si="57"/>
        <v>0.87327990322092852</v>
      </c>
      <c r="J92" s="81">
        <f t="shared" ca="1" si="57"/>
        <v>0.87859424920127793</v>
      </c>
      <c r="K92" s="81">
        <f t="shared" ca="1" si="57"/>
        <v>0.88181401740723775</v>
      </c>
      <c r="L92" s="81">
        <f t="shared" ca="1" si="57"/>
        <v>0.88397367212612887</v>
      </c>
      <c r="M92" s="81">
        <f t="shared" ca="1" si="57"/>
        <v>0.88552277058552931</v>
      </c>
      <c r="N92" s="81">
        <f t="shared" ca="1" si="57"/>
        <v>0.88668816213726398</v>
      </c>
      <c r="O92" s="81">
        <f t="shared" ca="1" si="57"/>
        <v>0.9058935468101178</v>
      </c>
      <c r="P92" s="81">
        <f t="shared" ca="1" si="57"/>
        <v>0.92462089707721395</v>
      </c>
      <c r="Q92" s="81">
        <f t="shared" ca="1" si="57"/>
        <v>0.94299971027369167</v>
      </c>
      <c r="R92" s="81">
        <f t="shared" ca="1" si="57"/>
        <v>0.96111658387824739</v>
      </c>
      <c r="S92" s="81">
        <f t="shared" ca="1" si="57"/>
        <v>1.0020670119463795</v>
      </c>
      <c r="T92" s="81">
        <f t="shared" ca="1" si="57"/>
        <v>1.0324362577848736</v>
      </c>
      <c r="U92" s="81">
        <f t="shared" ca="1" si="57"/>
        <v>1.0605591366791789</v>
      </c>
      <c r="V92" s="81">
        <f t="shared" ca="1" si="57"/>
        <v>1.0868548933623716</v>
      </c>
      <c r="W92" s="81">
        <f t="shared" ca="1" si="57"/>
        <v>1.1946822997983038</v>
      </c>
      <c r="X92" s="81">
        <f t="shared" ca="1" si="57"/>
        <v>1.2970281952679468</v>
      </c>
      <c r="Y92" s="81">
        <f t="shared" ca="1" si="57"/>
        <v>1.3939979994239684</v>
      </c>
      <c r="Z92" s="81">
        <f t="shared" ca="1" si="57"/>
        <v>1.4856944459166117</v>
      </c>
      <c r="AA92" s="81">
        <f t="shared" ca="1" si="57"/>
        <v>1.5661728576166212</v>
      </c>
      <c r="AB92" s="81">
        <f t="shared" ca="1" si="57"/>
        <v>1.6410909232621318</v>
      </c>
      <c r="AC92" s="81">
        <f t="shared" ca="1" si="57"/>
        <v>1.7105529051083832</v>
      </c>
      <c r="AD92" s="81">
        <f t="shared" ca="1" si="57"/>
        <v>1.7746604749016337</v>
      </c>
      <c r="AE92" s="81">
        <f t="shared" ca="1" si="57"/>
        <v>1.9219217478143078</v>
      </c>
      <c r="AF92" s="81">
        <f t="shared" ca="1" si="57"/>
        <v>2.0656144525048106</v>
      </c>
      <c r="AG92" s="81">
        <f t="shared" ca="1" si="57"/>
        <v>2.2058038711828094</v>
      </c>
      <c r="AH92" s="81">
        <f t="shared" ca="1" si="57"/>
        <v>2.3425537033740609</v>
      </c>
      <c r="AI92" s="81">
        <f t="shared" ca="1" si="57"/>
        <v>2.4752500003622369</v>
      </c>
      <c r="AJ92" s="81">
        <f t="shared" ca="1" si="57"/>
        <v>2.6055900270458734</v>
      </c>
      <c r="AK92" s="81">
        <f t="shared" ca="1" si="57"/>
        <v>2.733615861896932</v>
      </c>
      <c r="AL92" s="81">
        <f t="shared" ca="1" si="57"/>
        <v>2.8593685873950543</v>
      </c>
      <c r="AM92" s="81">
        <f t="shared" ca="1" si="57"/>
        <v>2.8952690073612088</v>
      </c>
      <c r="AN92" s="81">
        <f t="shared" ca="1" si="57"/>
        <v>2.9305543918549981</v>
      </c>
      <c r="AO92" s="81">
        <f t="shared" ca="1" si="57"/>
        <v>2.9652354687912736</v>
      </c>
      <c r="AP92" s="81">
        <f t="shared" ca="1" si="57"/>
        <v>2.9993227180279232</v>
      </c>
      <c r="AQ92" s="81">
        <f t="shared" ca="1" si="57"/>
        <v>3.0433692271792707</v>
      </c>
      <c r="AR92" s="81">
        <f t="shared" ca="1" si="57"/>
        <v>3.0866803457845529</v>
      </c>
      <c r="AS92" s="81">
        <f t="shared" ca="1" si="57"/>
        <v>3.1292686095402096</v>
      </c>
      <c r="AT92" s="81">
        <f t="shared" ca="1" si="57"/>
        <v>3.2280724833333303</v>
      </c>
      <c r="AU92" s="81">
        <f t="shared" ca="1" si="57"/>
        <v>3.2280724833333303</v>
      </c>
      <c r="AV92" s="81">
        <f t="shared" ca="1" si="57"/>
        <v>3.2280724833333303</v>
      </c>
      <c r="AW92" s="81">
        <f t="shared" ca="1" si="57"/>
        <v>3.2280724833333303</v>
      </c>
      <c r="AX92" s="81">
        <f t="shared" ca="1" si="57"/>
        <v>3.2280724833333303</v>
      </c>
      <c r="AY92" s="81">
        <f t="shared" ca="1" si="57"/>
        <v>3.2280724833333303</v>
      </c>
      <c r="AZ92" s="81">
        <f t="shared" ca="1" si="57"/>
        <v>3.2280724833333303</v>
      </c>
      <c r="BA92" s="81">
        <f t="shared" ca="1" si="57"/>
        <v>3.2280724833333303</v>
      </c>
      <c r="BB92" s="81">
        <f t="shared" ca="1" si="57"/>
        <v>3.2280724833333303</v>
      </c>
      <c r="BC92" s="81">
        <f t="shared" ca="1" si="57"/>
        <v>3.2280724833333303</v>
      </c>
      <c r="BD92" s="81">
        <f t="shared" ca="1" si="57"/>
        <v>3.2280724833333303</v>
      </c>
      <c r="BE92" s="81">
        <f t="shared" ca="1" si="57"/>
        <v>3.2280724833333303</v>
      </c>
      <c r="BF92" s="81">
        <f t="shared" ca="1" si="57"/>
        <v>3.2280724833333303</v>
      </c>
      <c r="BG92" s="81">
        <f t="shared" ca="1" si="57"/>
        <v>3.2280724833333303</v>
      </c>
      <c r="BH92" s="81">
        <f t="shared" ca="1" si="57"/>
        <v>3.2280724833333303</v>
      </c>
      <c r="BI92" s="81">
        <f t="shared" ca="1" si="57"/>
        <v>3.2280724833333303</v>
      </c>
      <c r="BJ92" s="81">
        <f t="shared" ca="1" si="57"/>
        <v>3.2280724833333303</v>
      </c>
      <c r="BK92" s="81">
        <f t="shared" ca="1" si="57"/>
        <v>3.2280724833333303</v>
      </c>
      <c r="BL92" s="81">
        <f t="shared" ca="1" si="57"/>
        <v>3.2280724833333303</v>
      </c>
      <c r="BM92" s="81">
        <f t="shared" ca="1" si="57"/>
        <v>3.2280724833333303</v>
      </c>
      <c r="BN92" s="81">
        <f t="shared" ca="1" si="57"/>
        <v>3.2280724833333303</v>
      </c>
      <c r="BO92" s="81">
        <f t="shared" ca="1" si="57"/>
        <v>3.2280724833333303</v>
      </c>
      <c r="BP92" s="81">
        <f t="shared" ca="1" si="57"/>
        <v>3.2280724833333303</v>
      </c>
      <c r="BQ92" s="81">
        <f t="shared" ca="1" si="57"/>
        <v>3.2280724833333303</v>
      </c>
      <c r="BR92" s="81">
        <f t="shared" ca="1" si="57"/>
        <v>3.2280724833333303</v>
      </c>
      <c r="BS92" s="81">
        <f t="shared" ca="1" si="57"/>
        <v>3.2280724833333303</v>
      </c>
      <c r="BT92" s="81">
        <f t="shared" ca="1" si="57"/>
        <v>3.2280724833333303</v>
      </c>
      <c r="BU92" s="81">
        <f t="shared" ca="1" si="57"/>
        <v>3.2280724833333303</v>
      </c>
      <c r="BV92" s="81">
        <f t="shared" ca="1" si="57"/>
        <v>3.2280724833333303</v>
      </c>
      <c r="BW92" s="81">
        <f t="shared" ca="1" si="57"/>
        <v>3.2280724833333303</v>
      </c>
      <c r="BX92" s="81">
        <f t="shared" ca="1" si="57"/>
        <v>3.2280724833333303</v>
      </c>
      <c r="BY92" s="81">
        <f t="shared" ca="1" si="57"/>
        <v>3.2280724833333303</v>
      </c>
      <c r="BZ92" s="81">
        <f t="shared" ca="1" si="57"/>
        <v>3.2280724833333303</v>
      </c>
      <c r="CA92" s="81">
        <f t="shared" ca="1" si="57"/>
        <v>3.2280724833333303</v>
      </c>
      <c r="CB92" s="81">
        <f t="shared" ca="1" si="57"/>
        <v>3.2280724833333303</v>
      </c>
      <c r="CC92" s="81">
        <f t="shared" ca="1" si="57"/>
        <v>3.2280724833333303</v>
      </c>
      <c r="CD92" s="81">
        <f t="shared" ca="1" si="57"/>
        <v>3.2280724833333303</v>
      </c>
      <c r="CE92" s="81">
        <f t="shared" ca="1" si="57"/>
        <v>3.2280724833333303</v>
      </c>
      <c r="CF92" s="81">
        <f t="shared" ca="1" si="57"/>
        <v>3.2280724833333303</v>
      </c>
      <c r="CG92" s="81">
        <f t="shared" ca="1" si="57"/>
        <v>3.2280724833333303</v>
      </c>
      <c r="CH92" s="81">
        <f t="shared" ca="1" si="57"/>
        <v>3.2280724833333303</v>
      </c>
    </row>
    <row r="93" spans="2:86" ht="13">
      <c r="B93" s="15" t="s">
        <v>290</v>
      </c>
      <c r="C93" s="15" t="s">
        <v>291</v>
      </c>
      <c r="D93" s="15" t="s">
        <v>292</v>
      </c>
      <c r="E93" s="77">
        <f ca="1">IF(D93="max",MAX(G93:CH93),IF(D93="sum",SUM(G93:CH93),IF(D93="final",CH93,IF(D93="initial",G93,IF(D93="average",AVERAGE(G93:CH93),0)))))</f>
        <v>0.69589833333333317</v>
      </c>
      <c r="F93" s="29"/>
      <c r="G93" s="77">
        <f t="shared" ref="G93:CH93" ca="1" si="58">IF(G100&lt;=0,ABS(G100)/G59,0)</f>
        <v>5.7775E-2</v>
      </c>
      <c r="H93" s="77">
        <f t="shared" ca="1" si="58"/>
        <v>0.11155</v>
      </c>
      <c r="I93" s="77">
        <f t="shared" ca="1" si="58"/>
        <v>0.165325</v>
      </c>
      <c r="J93" s="77">
        <f t="shared" ca="1" si="58"/>
        <v>0.21909999999999999</v>
      </c>
      <c r="K93" s="77">
        <f t="shared" ca="1" si="58"/>
        <v>0.27287499999999998</v>
      </c>
      <c r="L93" s="77">
        <f t="shared" ca="1" si="58"/>
        <v>0.32665</v>
      </c>
      <c r="M93" s="77">
        <f t="shared" ca="1" si="58"/>
        <v>0.38042500000000001</v>
      </c>
      <c r="N93" s="77">
        <f t="shared" ca="1" si="58"/>
        <v>0.43419999999999997</v>
      </c>
      <c r="O93" s="77">
        <f t="shared" ca="1" si="58"/>
        <v>0.48797499999999999</v>
      </c>
      <c r="P93" s="77">
        <f t="shared" ca="1" si="58"/>
        <v>0.54174999999999995</v>
      </c>
      <c r="Q93" s="77">
        <f t="shared" ca="1" si="58"/>
        <v>0.59552499999999997</v>
      </c>
      <c r="R93" s="77">
        <f t="shared" ca="1" si="58"/>
        <v>0.64929999999999999</v>
      </c>
      <c r="S93" s="77">
        <f t="shared" ca="1" si="58"/>
        <v>0.66094958333333331</v>
      </c>
      <c r="T93" s="77">
        <f t="shared" ca="1" si="58"/>
        <v>0.67259916666666653</v>
      </c>
      <c r="U93" s="77">
        <f t="shared" ca="1" si="58"/>
        <v>0.68424874999999985</v>
      </c>
      <c r="V93" s="77">
        <f t="shared" ca="1" si="58"/>
        <v>0.69589833333333317</v>
      </c>
      <c r="W93" s="77">
        <f t="shared" ca="1" si="58"/>
        <v>0.54288020833333317</v>
      </c>
      <c r="X93" s="77">
        <f t="shared" ca="1" si="58"/>
        <v>0.39572531884057954</v>
      </c>
      <c r="Y93" s="77">
        <f t="shared" ca="1" si="58"/>
        <v>0.26317599670619218</v>
      </c>
      <c r="Z93" s="77">
        <f t="shared" ca="1" si="58"/>
        <v>0.1306266745718048</v>
      </c>
      <c r="AA93" s="77">
        <f t="shared" ca="1" si="58"/>
        <v>0</v>
      </c>
      <c r="AB93" s="77">
        <f t="shared" ca="1" si="58"/>
        <v>0</v>
      </c>
      <c r="AC93" s="77">
        <f t="shared" ca="1" si="58"/>
        <v>0</v>
      </c>
      <c r="AD93" s="77">
        <f t="shared" ca="1" si="58"/>
        <v>0</v>
      </c>
      <c r="AE93" s="77">
        <f t="shared" ca="1" si="58"/>
        <v>0</v>
      </c>
      <c r="AF93" s="77">
        <f t="shared" ca="1" si="58"/>
        <v>0</v>
      </c>
      <c r="AG93" s="77">
        <f t="shared" ca="1" si="58"/>
        <v>0</v>
      </c>
      <c r="AH93" s="77">
        <f t="shared" ca="1" si="58"/>
        <v>0</v>
      </c>
      <c r="AI93" s="77">
        <f t="shared" ca="1" si="58"/>
        <v>0</v>
      </c>
      <c r="AJ93" s="77">
        <f t="shared" ca="1" si="58"/>
        <v>0</v>
      </c>
      <c r="AK93" s="77">
        <f t="shared" ca="1" si="58"/>
        <v>0</v>
      </c>
      <c r="AL93" s="77">
        <f t="shared" ca="1" si="58"/>
        <v>0</v>
      </c>
      <c r="AM93" s="77">
        <f t="shared" ca="1" si="58"/>
        <v>0</v>
      </c>
      <c r="AN93" s="77">
        <f t="shared" ca="1" si="58"/>
        <v>0</v>
      </c>
      <c r="AO93" s="77">
        <f t="shared" ca="1" si="58"/>
        <v>0</v>
      </c>
      <c r="AP93" s="77">
        <f t="shared" ca="1" si="58"/>
        <v>0</v>
      </c>
      <c r="AQ93" s="77">
        <f t="shared" ca="1" si="58"/>
        <v>0</v>
      </c>
      <c r="AR93" s="77">
        <f t="shared" ca="1" si="58"/>
        <v>0</v>
      </c>
      <c r="AS93" s="77">
        <f t="shared" ca="1" si="58"/>
        <v>0</v>
      </c>
      <c r="AT93" s="77">
        <f t="shared" ca="1" si="58"/>
        <v>0</v>
      </c>
      <c r="AU93" s="77">
        <f t="shared" ca="1" si="58"/>
        <v>0</v>
      </c>
      <c r="AV93" s="77">
        <f t="shared" ca="1" si="58"/>
        <v>0</v>
      </c>
      <c r="AW93" s="77">
        <f t="shared" ca="1" si="58"/>
        <v>0</v>
      </c>
      <c r="AX93" s="77">
        <f t="shared" ca="1" si="58"/>
        <v>0</v>
      </c>
      <c r="AY93" s="77">
        <f t="shared" ca="1" si="58"/>
        <v>0</v>
      </c>
      <c r="AZ93" s="77">
        <f t="shared" ca="1" si="58"/>
        <v>0</v>
      </c>
      <c r="BA93" s="77">
        <f t="shared" ca="1" si="58"/>
        <v>0</v>
      </c>
      <c r="BB93" s="77">
        <f t="shared" ca="1" si="58"/>
        <v>0</v>
      </c>
      <c r="BC93" s="77">
        <f t="shared" ca="1" si="58"/>
        <v>0</v>
      </c>
      <c r="BD93" s="77">
        <f t="shared" ca="1" si="58"/>
        <v>0</v>
      </c>
      <c r="BE93" s="77">
        <f t="shared" ca="1" si="58"/>
        <v>0</v>
      </c>
      <c r="BF93" s="77">
        <f t="shared" ca="1" si="58"/>
        <v>0</v>
      </c>
      <c r="BG93" s="77">
        <f t="shared" ca="1" si="58"/>
        <v>0</v>
      </c>
      <c r="BH93" s="77">
        <f t="shared" ca="1" si="58"/>
        <v>0</v>
      </c>
      <c r="BI93" s="77">
        <f t="shared" ca="1" si="58"/>
        <v>0</v>
      </c>
      <c r="BJ93" s="77">
        <f t="shared" ca="1" si="58"/>
        <v>0</v>
      </c>
      <c r="BK93" s="77">
        <f t="shared" ca="1" si="58"/>
        <v>0</v>
      </c>
      <c r="BL93" s="77">
        <f t="shared" ca="1" si="58"/>
        <v>0</v>
      </c>
      <c r="BM93" s="77">
        <f t="shared" ca="1" si="58"/>
        <v>0</v>
      </c>
      <c r="BN93" s="77">
        <f t="shared" ca="1" si="58"/>
        <v>0</v>
      </c>
      <c r="BO93" s="77">
        <f t="shared" ca="1" si="58"/>
        <v>0</v>
      </c>
      <c r="BP93" s="77">
        <f t="shared" ca="1" si="58"/>
        <v>0</v>
      </c>
      <c r="BQ93" s="77">
        <f t="shared" ca="1" si="58"/>
        <v>0</v>
      </c>
      <c r="BR93" s="77">
        <f t="shared" ca="1" si="58"/>
        <v>0</v>
      </c>
      <c r="BS93" s="77">
        <f t="shared" ca="1" si="58"/>
        <v>0</v>
      </c>
      <c r="BT93" s="77">
        <f t="shared" ca="1" si="58"/>
        <v>0</v>
      </c>
      <c r="BU93" s="77">
        <f t="shared" ca="1" si="58"/>
        <v>0</v>
      </c>
      <c r="BV93" s="77">
        <f t="shared" ca="1" si="58"/>
        <v>0</v>
      </c>
      <c r="BW93" s="77">
        <f t="shared" ca="1" si="58"/>
        <v>0</v>
      </c>
      <c r="BX93" s="77">
        <f t="shared" ca="1" si="58"/>
        <v>0</v>
      </c>
      <c r="BY93" s="77">
        <f t="shared" ca="1" si="58"/>
        <v>0</v>
      </c>
      <c r="BZ93" s="77">
        <f t="shared" ca="1" si="58"/>
        <v>0</v>
      </c>
      <c r="CA93" s="77">
        <f t="shared" ca="1" si="58"/>
        <v>0</v>
      </c>
      <c r="CB93" s="77">
        <f t="shared" ca="1" si="58"/>
        <v>0</v>
      </c>
      <c r="CC93" s="77">
        <f t="shared" ca="1" si="58"/>
        <v>0</v>
      </c>
      <c r="CD93" s="77">
        <f t="shared" ca="1" si="58"/>
        <v>0</v>
      </c>
      <c r="CE93" s="77">
        <f t="shared" ca="1" si="58"/>
        <v>0</v>
      </c>
      <c r="CF93" s="77">
        <f t="shared" ca="1" si="58"/>
        <v>0</v>
      </c>
      <c r="CG93" s="77">
        <f t="shared" ca="1" si="58"/>
        <v>0</v>
      </c>
      <c r="CH93" s="77">
        <f t="shared" ca="1" si="58"/>
        <v>0</v>
      </c>
    </row>
    <row r="94" spans="2:86" ht="13">
      <c r="B94" s="15"/>
      <c r="C94" s="15"/>
      <c r="D94" s="15"/>
      <c r="E94" s="15"/>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row>
    <row r="95" spans="2:86" ht="13">
      <c r="B95" s="15" t="s">
        <v>293</v>
      </c>
      <c r="C95" s="13" t="s">
        <v>294</v>
      </c>
      <c r="D95" s="15" t="s">
        <v>238</v>
      </c>
      <c r="E95" s="29">
        <f t="shared" ref="E95:E185" ca="1" si="59">IF(D95="sum",SUM(G95:CH95),IF(D95="final",CH95,IF(D95="initial",G95,IF(D95="average",AVERAGE(G95:CH95),0))))</f>
        <v>75377265.104166672</v>
      </c>
      <c r="F95" s="29"/>
      <c r="G95" s="29">
        <f t="shared" ref="G95:CH95" ca="1" si="60">-1*G38+G43</f>
        <v>-1203125</v>
      </c>
      <c r="H95" s="29">
        <f t="shared" ca="1" si="60"/>
        <v>-1203125</v>
      </c>
      <c r="I95" s="29">
        <f t="shared" ca="1" si="60"/>
        <v>-1203125</v>
      </c>
      <c r="J95" s="29">
        <f t="shared" ca="1" si="60"/>
        <v>-1203125</v>
      </c>
      <c r="K95" s="29">
        <f t="shared" ca="1" si="60"/>
        <v>-1203125</v>
      </c>
      <c r="L95" s="29">
        <f t="shared" ca="1" si="60"/>
        <v>-1203125</v>
      </c>
      <c r="M95" s="29">
        <f t="shared" ca="1" si="60"/>
        <v>-1203125</v>
      </c>
      <c r="N95" s="29">
        <f t="shared" ca="1" si="60"/>
        <v>-1203125</v>
      </c>
      <c r="O95" s="29">
        <f t="shared" ca="1" si="60"/>
        <v>-1203125</v>
      </c>
      <c r="P95" s="29">
        <f t="shared" ca="1" si="60"/>
        <v>-1203125</v>
      </c>
      <c r="Q95" s="29">
        <f t="shared" ca="1" si="60"/>
        <v>-1203125</v>
      </c>
      <c r="R95" s="29">
        <f t="shared" ca="1" si="60"/>
        <v>-1203125</v>
      </c>
      <c r="S95" s="29">
        <f t="shared" ca="1" si="60"/>
        <v>-149989.58333333279</v>
      </c>
      <c r="T95" s="29">
        <f t="shared" ca="1" si="60"/>
        <v>-149989.58333333279</v>
      </c>
      <c r="U95" s="29">
        <f t="shared" ca="1" si="60"/>
        <v>-149989.58333333279</v>
      </c>
      <c r="V95" s="29">
        <f t="shared" ca="1" si="60"/>
        <v>-149989.58333333279</v>
      </c>
      <c r="W95" s="29">
        <f t="shared" ca="1" si="60"/>
        <v>3966703.1250000005</v>
      </c>
      <c r="X95" s="29">
        <f t="shared" ca="1" si="60"/>
        <v>3966703.1250000005</v>
      </c>
      <c r="Y95" s="29">
        <f t="shared" ca="1" si="60"/>
        <v>3966703.1250000005</v>
      </c>
      <c r="Z95" s="29">
        <f t="shared" ca="1" si="60"/>
        <v>3966703.1250000005</v>
      </c>
      <c r="AA95" s="29">
        <f t="shared" ca="1" si="60"/>
        <v>3966703.1250000005</v>
      </c>
      <c r="AB95" s="29">
        <f t="shared" ca="1" si="60"/>
        <v>3966703.1250000005</v>
      </c>
      <c r="AC95" s="29">
        <f t="shared" ca="1" si="60"/>
        <v>3966703.1250000005</v>
      </c>
      <c r="AD95" s="29">
        <f t="shared" ca="1" si="60"/>
        <v>3966703.1250000005</v>
      </c>
      <c r="AE95" s="29">
        <f t="shared" ca="1" si="60"/>
        <v>5956792.1875</v>
      </c>
      <c r="AF95" s="29">
        <f t="shared" ca="1" si="60"/>
        <v>5956792.1875</v>
      </c>
      <c r="AG95" s="29">
        <f t="shared" ca="1" si="60"/>
        <v>5956792.1875</v>
      </c>
      <c r="AH95" s="29">
        <f t="shared" ca="1" si="60"/>
        <v>5956792.1875</v>
      </c>
      <c r="AI95" s="29">
        <f t="shared" ca="1" si="60"/>
        <v>4933113.2812499991</v>
      </c>
      <c r="AJ95" s="29">
        <f t="shared" ca="1" si="60"/>
        <v>4933113.2812499991</v>
      </c>
      <c r="AK95" s="29">
        <f t="shared" ca="1" si="60"/>
        <v>4933113.2812499991</v>
      </c>
      <c r="AL95" s="29">
        <f t="shared" ca="1" si="60"/>
        <v>4933113.2812499991</v>
      </c>
      <c r="AM95" s="29">
        <f t="shared" ca="1" si="60"/>
        <v>1705429.6874999995</v>
      </c>
      <c r="AN95" s="29">
        <f t="shared" ca="1" si="60"/>
        <v>1705429.6874999995</v>
      </c>
      <c r="AO95" s="29">
        <f t="shared" ca="1" si="60"/>
        <v>1705429.6874999995</v>
      </c>
      <c r="AP95" s="29">
        <f t="shared" ca="1" si="60"/>
        <v>1705429.6874999995</v>
      </c>
      <c r="AQ95" s="29">
        <f t="shared" ca="1" si="60"/>
        <v>2074939.4531249993</v>
      </c>
      <c r="AR95" s="29">
        <f t="shared" ca="1" si="60"/>
        <v>2074939.4531249993</v>
      </c>
      <c r="AS95" s="29">
        <f t="shared" ca="1" si="60"/>
        <v>2074939.4531249993</v>
      </c>
      <c r="AT95" s="29">
        <f t="shared" ca="1" si="60"/>
        <v>2074939.4531249993</v>
      </c>
      <c r="AU95" s="29">
        <f t="shared" ca="1" si="60"/>
        <v>0</v>
      </c>
      <c r="AV95" s="29">
        <f t="shared" ca="1" si="60"/>
        <v>0</v>
      </c>
      <c r="AW95" s="29">
        <f t="shared" ca="1" si="60"/>
        <v>0</v>
      </c>
      <c r="AX95" s="29">
        <f t="shared" ca="1" si="60"/>
        <v>0</v>
      </c>
      <c r="AY95" s="29">
        <f t="shared" ca="1" si="60"/>
        <v>0</v>
      </c>
      <c r="AZ95" s="29">
        <f t="shared" ca="1" si="60"/>
        <v>0</v>
      </c>
      <c r="BA95" s="29">
        <f t="shared" ca="1" si="60"/>
        <v>0</v>
      </c>
      <c r="BB95" s="29">
        <f t="shared" ca="1" si="60"/>
        <v>0</v>
      </c>
      <c r="BC95" s="29">
        <f t="shared" ca="1" si="60"/>
        <v>0</v>
      </c>
      <c r="BD95" s="29">
        <f t="shared" ca="1" si="60"/>
        <v>0</v>
      </c>
      <c r="BE95" s="29">
        <f t="shared" ca="1" si="60"/>
        <v>0</v>
      </c>
      <c r="BF95" s="29">
        <f t="shared" ca="1" si="60"/>
        <v>0</v>
      </c>
      <c r="BG95" s="29">
        <f t="shared" ca="1" si="60"/>
        <v>0</v>
      </c>
      <c r="BH95" s="29">
        <f t="shared" ca="1" si="60"/>
        <v>0</v>
      </c>
      <c r="BI95" s="29">
        <f t="shared" ca="1" si="60"/>
        <v>0</v>
      </c>
      <c r="BJ95" s="29">
        <f t="shared" ca="1" si="60"/>
        <v>0</v>
      </c>
      <c r="BK95" s="29">
        <f t="shared" ca="1" si="60"/>
        <v>0</v>
      </c>
      <c r="BL95" s="29">
        <f t="shared" ca="1" si="60"/>
        <v>0</v>
      </c>
      <c r="BM95" s="29">
        <f t="shared" ca="1" si="60"/>
        <v>0</v>
      </c>
      <c r="BN95" s="29">
        <f t="shared" ca="1" si="60"/>
        <v>0</v>
      </c>
      <c r="BO95" s="29">
        <f t="shared" ca="1" si="60"/>
        <v>0</v>
      </c>
      <c r="BP95" s="29">
        <f t="shared" ca="1" si="60"/>
        <v>0</v>
      </c>
      <c r="BQ95" s="29">
        <f t="shared" ca="1" si="60"/>
        <v>0</v>
      </c>
      <c r="BR95" s="29">
        <f t="shared" ca="1" si="60"/>
        <v>0</v>
      </c>
      <c r="BS95" s="29">
        <f t="shared" ca="1" si="60"/>
        <v>0</v>
      </c>
      <c r="BT95" s="29">
        <f t="shared" ca="1" si="60"/>
        <v>0</v>
      </c>
      <c r="BU95" s="29">
        <f t="shared" ca="1" si="60"/>
        <v>0</v>
      </c>
      <c r="BV95" s="29">
        <f t="shared" ca="1" si="60"/>
        <v>0</v>
      </c>
      <c r="BW95" s="29">
        <f t="shared" ca="1" si="60"/>
        <v>0</v>
      </c>
      <c r="BX95" s="29">
        <f t="shared" ca="1" si="60"/>
        <v>0</v>
      </c>
      <c r="BY95" s="29">
        <f t="shared" ca="1" si="60"/>
        <v>0</v>
      </c>
      <c r="BZ95" s="29">
        <f t="shared" ca="1" si="60"/>
        <v>0</v>
      </c>
      <c r="CA95" s="29">
        <f t="shared" ca="1" si="60"/>
        <v>0</v>
      </c>
      <c r="CB95" s="29">
        <f t="shared" ca="1" si="60"/>
        <v>0</v>
      </c>
      <c r="CC95" s="29">
        <f t="shared" ca="1" si="60"/>
        <v>0</v>
      </c>
      <c r="CD95" s="29">
        <f t="shared" ca="1" si="60"/>
        <v>0</v>
      </c>
      <c r="CE95" s="29">
        <f t="shared" ca="1" si="60"/>
        <v>0</v>
      </c>
      <c r="CF95" s="29">
        <f t="shared" ca="1" si="60"/>
        <v>0</v>
      </c>
      <c r="CG95" s="29">
        <f t="shared" ca="1" si="60"/>
        <v>0</v>
      </c>
      <c r="CH95" s="29">
        <f t="shared" ca="1" si="60"/>
        <v>0</v>
      </c>
    </row>
    <row r="96" spans="2:86" ht="13">
      <c r="B96" s="15" t="str">
        <f>"Cumulative "&amp;B95</f>
        <v>Cumulative Net (Investments) Proceeds</v>
      </c>
      <c r="C96" s="13" t="s">
        <v>294</v>
      </c>
      <c r="D96" s="15" t="s">
        <v>247</v>
      </c>
      <c r="E96" s="29">
        <f t="shared" ca="1" si="59"/>
        <v>75377265.104166672</v>
      </c>
      <c r="F96" s="29"/>
      <c r="G96" s="29">
        <f t="shared" ref="G96:CH96" ca="1" si="61">F96+G95</f>
        <v>-1203125</v>
      </c>
      <c r="H96" s="29">
        <f t="shared" ca="1" si="61"/>
        <v>-2406250</v>
      </c>
      <c r="I96" s="29">
        <f t="shared" ca="1" si="61"/>
        <v>-3609375</v>
      </c>
      <c r="J96" s="29">
        <f t="shared" ca="1" si="61"/>
        <v>-4812500</v>
      </c>
      <c r="K96" s="29">
        <f t="shared" ca="1" si="61"/>
        <v>-6015625</v>
      </c>
      <c r="L96" s="29">
        <f t="shared" ca="1" si="61"/>
        <v>-7218750</v>
      </c>
      <c r="M96" s="29">
        <f t="shared" ca="1" si="61"/>
        <v>-8421875</v>
      </c>
      <c r="N96" s="29">
        <f t="shared" ca="1" si="61"/>
        <v>-9625000</v>
      </c>
      <c r="O96" s="29">
        <f t="shared" ca="1" si="61"/>
        <v>-10828125</v>
      </c>
      <c r="P96" s="29">
        <f t="shared" ca="1" si="61"/>
        <v>-12031250</v>
      </c>
      <c r="Q96" s="29">
        <f t="shared" ca="1" si="61"/>
        <v>-13234375</v>
      </c>
      <c r="R96" s="29">
        <f t="shared" ca="1" si="61"/>
        <v>-14437500</v>
      </c>
      <c r="S96" s="29">
        <f t="shared" ca="1" si="61"/>
        <v>-14587489.583333332</v>
      </c>
      <c r="T96" s="29">
        <f t="shared" ca="1" si="61"/>
        <v>-14737479.166666664</v>
      </c>
      <c r="U96" s="29">
        <f t="shared" ca="1" si="61"/>
        <v>-14887468.749999996</v>
      </c>
      <c r="V96" s="29">
        <f t="shared" ca="1" si="61"/>
        <v>-15037458.333333328</v>
      </c>
      <c r="W96" s="29">
        <f t="shared" ca="1" si="61"/>
        <v>-11070755.208333328</v>
      </c>
      <c r="X96" s="29">
        <f t="shared" ca="1" si="61"/>
        <v>-7104052.0833333284</v>
      </c>
      <c r="Y96" s="29">
        <f t="shared" ca="1" si="61"/>
        <v>-3137348.9583333279</v>
      </c>
      <c r="Z96" s="29">
        <f t="shared" ca="1" si="61"/>
        <v>829354.16666667257</v>
      </c>
      <c r="AA96" s="29">
        <f t="shared" ca="1" si="61"/>
        <v>4796057.2916666735</v>
      </c>
      <c r="AB96" s="29">
        <f t="shared" ca="1" si="61"/>
        <v>8762760.4166666735</v>
      </c>
      <c r="AC96" s="29">
        <f t="shared" ca="1" si="61"/>
        <v>12729463.541666673</v>
      </c>
      <c r="AD96" s="29">
        <f t="shared" ca="1" si="61"/>
        <v>16696166.666666673</v>
      </c>
      <c r="AE96" s="29">
        <f t="shared" ca="1" si="61"/>
        <v>22652958.854166672</v>
      </c>
      <c r="AF96" s="29">
        <f t="shared" ca="1" si="61"/>
        <v>28609751.041666672</v>
      </c>
      <c r="AG96" s="29">
        <f t="shared" ca="1" si="61"/>
        <v>34566543.229166672</v>
      </c>
      <c r="AH96" s="29">
        <f t="shared" ca="1" si="61"/>
        <v>40523335.416666672</v>
      </c>
      <c r="AI96" s="29">
        <f t="shared" ca="1" si="61"/>
        <v>45456448.697916672</v>
      </c>
      <c r="AJ96" s="29">
        <f t="shared" ca="1" si="61"/>
        <v>50389561.979166672</v>
      </c>
      <c r="AK96" s="29">
        <f t="shared" ca="1" si="61"/>
        <v>55322675.260416672</v>
      </c>
      <c r="AL96" s="29">
        <f t="shared" ca="1" si="61"/>
        <v>60255788.541666672</v>
      </c>
      <c r="AM96" s="29">
        <f t="shared" ca="1" si="61"/>
        <v>61961218.229166672</v>
      </c>
      <c r="AN96" s="29">
        <f t="shared" ca="1" si="61"/>
        <v>63666647.916666672</v>
      </c>
      <c r="AO96" s="29">
        <f t="shared" ca="1" si="61"/>
        <v>65372077.604166672</v>
      </c>
      <c r="AP96" s="29">
        <f t="shared" ca="1" si="61"/>
        <v>67077507.291666672</v>
      </c>
      <c r="AQ96" s="29">
        <f t="shared" ca="1" si="61"/>
        <v>69152446.744791672</v>
      </c>
      <c r="AR96" s="29">
        <f t="shared" ca="1" si="61"/>
        <v>71227386.197916672</v>
      </c>
      <c r="AS96" s="29">
        <f t="shared" ca="1" si="61"/>
        <v>73302325.651041672</v>
      </c>
      <c r="AT96" s="29">
        <f t="shared" ca="1" si="61"/>
        <v>75377265.104166672</v>
      </c>
      <c r="AU96" s="29">
        <f t="shared" ca="1" si="61"/>
        <v>75377265.104166672</v>
      </c>
      <c r="AV96" s="29">
        <f t="shared" ca="1" si="61"/>
        <v>75377265.104166672</v>
      </c>
      <c r="AW96" s="29">
        <f t="shared" ca="1" si="61"/>
        <v>75377265.104166672</v>
      </c>
      <c r="AX96" s="29">
        <f t="shared" ca="1" si="61"/>
        <v>75377265.104166672</v>
      </c>
      <c r="AY96" s="29">
        <f t="shared" ca="1" si="61"/>
        <v>75377265.104166672</v>
      </c>
      <c r="AZ96" s="29">
        <f t="shared" ca="1" si="61"/>
        <v>75377265.104166672</v>
      </c>
      <c r="BA96" s="29">
        <f t="shared" ca="1" si="61"/>
        <v>75377265.104166672</v>
      </c>
      <c r="BB96" s="29">
        <f t="shared" ca="1" si="61"/>
        <v>75377265.104166672</v>
      </c>
      <c r="BC96" s="29">
        <f t="shared" ca="1" si="61"/>
        <v>75377265.104166672</v>
      </c>
      <c r="BD96" s="29">
        <f t="shared" ca="1" si="61"/>
        <v>75377265.104166672</v>
      </c>
      <c r="BE96" s="29">
        <f t="shared" ca="1" si="61"/>
        <v>75377265.104166672</v>
      </c>
      <c r="BF96" s="29">
        <f t="shared" ca="1" si="61"/>
        <v>75377265.104166672</v>
      </c>
      <c r="BG96" s="29">
        <f t="shared" ca="1" si="61"/>
        <v>75377265.104166672</v>
      </c>
      <c r="BH96" s="29">
        <f t="shared" ca="1" si="61"/>
        <v>75377265.104166672</v>
      </c>
      <c r="BI96" s="29">
        <f t="shared" ca="1" si="61"/>
        <v>75377265.104166672</v>
      </c>
      <c r="BJ96" s="29">
        <f t="shared" ca="1" si="61"/>
        <v>75377265.104166672</v>
      </c>
      <c r="BK96" s="29">
        <f t="shared" ca="1" si="61"/>
        <v>75377265.104166672</v>
      </c>
      <c r="BL96" s="29">
        <f t="shared" ca="1" si="61"/>
        <v>75377265.104166672</v>
      </c>
      <c r="BM96" s="29">
        <f t="shared" ca="1" si="61"/>
        <v>75377265.104166672</v>
      </c>
      <c r="BN96" s="29">
        <f t="shared" ca="1" si="61"/>
        <v>75377265.104166672</v>
      </c>
      <c r="BO96" s="29">
        <f t="shared" ca="1" si="61"/>
        <v>75377265.104166672</v>
      </c>
      <c r="BP96" s="29">
        <f t="shared" ca="1" si="61"/>
        <v>75377265.104166672</v>
      </c>
      <c r="BQ96" s="29">
        <f t="shared" ca="1" si="61"/>
        <v>75377265.104166672</v>
      </c>
      <c r="BR96" s="29">
        <f t="shared" ca="1" si="61"/>
        <v>75377265.104166672</v>
      </c>
      <c r="BS96" s="29">
        <f t="shared" ca="1" si="61"/>
        <v>75377265.104166672</v>
      </c>
      <c r="BT96" s="29">
        <f t="shared" ca="1" si="61"/>
        <v>75377265.104166672</v>
      </c>
      <c r="BU96" s="29">
        <f t="shared" ca="1" si="61"/>
        <v>75377265.104166672</v>
      </c>
      <c r="BV96" s="29">
        <f t="shared" ca="1" si="61"/>
        <v>75377265.104166672</v>
      </c>
      <c r="BW96" s="29">
        <f t="shared" ca="1" si="61"/>
        <v>75377265.104166672</v>
      </c>
      <c r="BX96" s="29">
        <f t="shared" ca="1" si="61"/>
        <v>75377265.104166672</v>
      </c>
      <c r="BY96" s="29">
        <f t="shared" ca="1" si="61"/>
        <v>75377265.104166672</v>
      </c>
      <c r="BZ96" s="29">
        <f t="shared" ca="1" si="61"/>
        <v>75377265.104166672</v>
      </c>
      <c r="CA96" s="29">
        <f t="shared" ca="1" si="61"/>
        <v>75377265.104166672</v>
      </c>
      <c r="CB96" s="29">
        <f t="shared" ca="1" si="61"/>
        <v>75377265.104166672</v>
      </c>
      <c r="CC96" s="29">
        <f t="shared" ca="1" si="61"/>
        <v>75377265.104166672</v>
      </c>
      <c r="CD96" s="29">
        <f t="shared" ca="1" si="61"/>
        <v>75377265.104166672</v>
      </c>
      <c r="CE96" s="29">
        <f t="shared" ca="1" si="61"/>
        <v>75377265.104166672</v>
      </c>
      <c r="CF96" s="29">
        <f t="shared" ca="1" si="61"/>
        <v>75377265.104166672</v>
      </c>
      <c r="CG96" s="29">
        <f t="shared" ca="1" si="61"/>
        <v>75377265.104166672</v>
      </c>
      <c r="CH96" s="29">
        <f t="shared" ca="1" si="61"/>
        <v>75377265.104166672</v>
      </c>
    </row>
    <row r="97" spans="2:86" ht="13">
      <c r="B97" s="15" t="s">
        <v>222</v>
      </c>
      <c r="C97" s="13" t="s">
        <v>294</v>
      </c>
      <c r="D97" s="15" t="s">
        <v>247</v>
      </c>
      <c r="E97" s="81">
        <f t="shared" ca="1" si="59"/>
        <v>4.7145000000000001</v>
      </c>
      <c r="F97" s="29"/>
      <c r="G97" s="81">
        <f t="shared" ref="G97:CH97" ca="1" si="62">IFERROR(G72/G67,0)</f>
        <v>0</v>
      </c>
      <c r="H97" s="81">
        <f t="shared" ca="1" si="62"/>
        <v>0</v>
      </c>
      <c r="I97" s="81">
        <f t="shared" ca="1" si="62"/>
        <v>0</v>
      </c>
      <c r="J97" s="81">
        <f t="shared" ca="1" si="62"/>
        <v>0</v>
      </c>
      <c r="K97" s="81">
        <f t="shared" ca="1" si="62"/>
        <v>0</v>
      </c>
      <c r="L97" s="81">
        <f t="shared" ca="1" si="62"/>
        <v>0</v>
      </c>
      <c r="M97" s="81">
        <f t="shared" ca="1" si="62"/>
        <v>0</v>
      </c>
      <c r="N97" s="81">
        <f t="shared" ca="1" si="62"/>
        <v>0</v>
      </c>
      <c r="O97" s="81">
        <f t="shared" ca="1" si="62"/>
        <v>0</v>
      </c>
      <c r="P97" s="81">
        <f t="shared" ca="1" si="62"/>
        <v>0</v>
      </c>
      <c r="Q97" s="81">
        <f t="shared" ca="1" si="62"/>
        <v>0</v>
      </c>
      <c r="R97" s="81">
        <f t="shared" ca="1" si="62"/>
        <v>0</v>
      </c>
      <c r="S97" s="81">
        <f t="shared" ca="1" si="62"/>
        <v>8.2622950819672164E-2</v>
      </c>
      <c r="T97" s="81">
        <f t="shared" ca="1" si="62"/>
        <v>0.15131639722863746</v>
      </c>
      <c r="U97" s="81">
        <f t="shared" ca="1" si="62"/>
        <v>0.20932907348242819</v>
      </c>
      <c r="V97" s="81">
        <f t="shared" ca="1" si="62"/>
        <v>0.25897233201581038</v>
      </c>
      <c r="W97" s="81">
        <f t="shared" ca="1" si="62"/>
        <v>0.45444664031620563</v>
      </c>
      <c r="X97" s="81">
        <f t="shared" ca="1" si="62"/>
        <v>0.64992094861660088</v>
      </c>
      <c r="Y97" s="81">
        <f t="shared" ca="1" si="62"/>
        <v>0.84539525691699624</v>
      </c>
      <c r="Z97" s="81">
        <f t="shared" ca="1" si="62"/>
        <v>1.0408695652173916</v>
      </c>
      <c r="AA97" s="81">
        <f t="shared" ca="1" si="62"/>
        <v>1.2363438735177867</v>
      </c>
      <c r="AB97" s="81">
        <f t="shared" ca="1" si="62"/>
        <v>1.4318181818181821</v>
      </c>
      <c r="AC97" s="81">
        <f t="shared" ca="1" si="62"/>
        <v>1.6272924901185775</v>
      </c>
      <c r="AD97" s="81">
        <f t="shared" ca="1" si="62"/>
        <v>1.8227667984189728</v>
      </c>
      <c r="AE97" s="81">
        <f t="shared" ca="1" si="62"/>
        <v>2.1163102766798425</v>
      </c>
      <c r="AF97" s="81">
        <f t="shared" ca="1" si="62"/>
        <v>2.4098537549407122</v>
      </c>
      <c r="AG97" s="81">
        <f t="shared" ca="1" si="62"/>
        <v>2.7033972332015814</v>
      </c>
      <c r="AH97" s="81">
        <f t="shared" ca="1" si="62"/>
        <v>2.9969407114624511</v>
      </c>
      <c r="AI97" s="81">
        <f t="shared" ca="1" si="62"/>
        <v>3.2400385375494078</v>
      </c>
      <c r="AJ97" s="81">
        <f t="shared" ca="1" si="62"/>
        <v>3.4831363636363637</v>
      </c>
      <c r="AK97" s="81">
        <f t="shared" ca="1" si="62"/>
        <v>3.7262341897233204</v>
      </c>
      <c r="AL97" s="81">
        <f t="shared" ca="1" si="62"/>
        <v>3.9693320158102767</v>
      </c>
      <c r="AM97" s="81">
        <f t="shared" ca="1" si="62"/>
        <v>4.0533735177865617</v>
      </c>
      <c r="AN97" s="81">
        <f t="shared" ca="1" si="62"/>
        <v>4.1374150197628463</v>
      </c>
      <c r="AO97" s="81">
        <f t="shared" ca="1" si="62"/>
        <v>4.2214565217391309</v>
      </c>
      <c r="AP97" s="81">
        <f t="shared" ca="1" si="62"/>
        <v>4.3054980237154155</v>
      </c>
      <c r="AQ97" s="81">
        <f t="shared" ca="1" si="62"/>
        <v>4.4077485177865618</v>
      </c>
      <c r="AR97" s="81">
        <f t="shared" ca="1" si="62"/>
        <v>4.5099990118577074</v>
      </c>
      <c r="AS97" s="81">
        <f t="shared" ca="1" si="62"/>
        <v>4.6122495059288537</v>
      </c>
      <c r="AT97" s="81">
        <f t="shared" ca="1" si="62"/>
        <v>4.7145000000000001</v>
      </c>
      <c r="AU97" s="81">
        <f t="shared" ca="1" si="62"/>
        <v>4.7145000000000001</v>
      </c>
      <c r="AV97" s="81">
        <f t="shared" ca="1" si="62"/>
        <v>4.7145000000000001</v>
      </c>
      <c r="AW97" s="81">
        <f t="shared" ca="1" si="62"/>
        <v>4.7145000000000001</v>
      </c>
      <c r="AX97" s="81">
        <f t="shared" ca="1" si="62"/>
        <v>4.7145000000000001</v>
      </c>
      <c r="AY97" s="81">
        <f t="shared" ca="1" si="62"/>
        <v>4.7145000000000001</v>
      </c>
      <c r="AZ97" s="81">
        <f t="shared" ca="1" si="62"/>
        <v>4.7145000000000001</v>
      </c>
      <c r="BA97" s="81">
        <f t="shared" ca="1" si="62"/>
        <v>4.7145000000000001</v>
      </c>
      <c r="BB97" s="81">
        <f t="shared" ca="1" si="62"/>
        <v>4.7145000000000001</v>
      </c>
      <c r="BC97" s="81">
        <f t="shared" ca="1" si="62"/>
        <v>4.7145000000000001</v>
      </c>
      <c r="BD97" s="81">
        <f t="shared" ca="1" si="62"/>
        <v>4.7145000000000001</v>
      </c>
      <c r="BE97" s="81">
        <f t="shared" ca="1" si="62"/>
        <v>4.7145000000000001</v>
      </c>
      <c r="BF97" s="81">
        <f t="shared" ca="1" si="62"/>
        <v>4.7145000000000001</v>
      </c>
      <c r="BG97" s="81">
        <f t="shared" ca="1" si="62"/>
        <v>4.7145000000000001</v>
      </c>
      <c r="BH97" s="81">
        <f t="shared" ca="1" si="62"/>
        <v>4.7145000000000001</v>
      </c>
      <c r="BI97" s="81">
        <f t="shared" ca="1" si="62"/>
        <v>4.7145000000000001</v>
      </c>
      <c r="BJ97" s="81">
        <f t="shared" ca="1" si="62"/>
        <v>4.7145000000000001</v>
      </c>
      <c r="BK97" s="81">
        <f t="shared" ca="1" si="62"/>
        <v>4.7145000000000001</v>
      </c>
      <c r="BL97" s="81">
        <f t="shared" ca="1" si="62"/>
        <v>4.7145000000000001</v>
      </c>
      <c r="BM97" s="81">
        <f t="shared" ca="1" si="62"/>
        <v>4.7145000000000001</v>
      </c>
      <c r="BN97" s="81">
        <f t="shared" ca="1" si="62"/>
        <v>4.7145000000000001</v>
      </c>
      <c r="BO97" s="81">
        <f t="shared" ca="1" si="62"/>
        <v>4.7145000000000001</v>
      </c>
      <c r="BP97" s="81">
        <f t="shared" ca="1" si="62"/>
        <v>4.7145000000000001</v>
      </c>
      <c r="BQ97" s="81">
        <f t="shared" ca="1" si="62"/>
        <v>4.7145000000000001</v>
      </c>
      <c r="BR97" s="81">
        <f t="shared" ca="1" si="62"/>
        <v>4.7145000000000001</v>
      </c>
      <c r="BS97" s="81">
        <f t="shared" ca="1" si="62"/>
        <v>4.7145000000000001</v>
      </c>
      <c r="BT97" s="81">
        <f t="shared" ca="1" si="62"/>
        <v>4.7145000000000001</v>
      </c>
      <c r="BU97" s="81">
        <f t="shared" ca="1" si="62"/>
        <v>4.7145000000000001</v>
      </c>
      <c r="BV97" s="81">
        <f t="shared" ca="1" si="62"/>
        <v>4.7145000000000001</v>
      </c>
      <c r="BW97" s="81">
        <f t="shared" ca="1" si="62"/>
        <v>4.7145000000000001</v>
      </c>
      <c r="BX97" s="81">
        <f t="shared" ca="1" si="62"/>
        <v>4.7145000000000001</v>
      </c>
      <c r="BY97" s="81">
        <f t="shared" ca="1" si="62"/>
        <v>4.7145000000000001</v>
      </c>
      <c r="BZ97" s="81">
        <f t="shared" ca="1" si="62"/>
        <v>4.7145000000000001</v>
      </c>
      <c r="CA97" s="81">
        <f t="shared" ca="1" si="62"/>
        <v>4.7145000000000001</v>
      </c>
      <c r="CB97" s="81">
        <f t="shared" ca="1" si="62"/>
        <v>4.7145000000000001</v>
      </c>
      <c r="CC97" s="81">
        <f t="shared" ca="1" si="62"/>
        <v>4.7145000000000001</v>
      </c>
      <c r="CD97" s="81">
        <f t="shared" ca="1" si="62"/>
        <v>4.7145000000000001</v>
      </c>
      <c r="CE97" s="81">
        <f t="shared" ca="1" si="62"/>
        <v>4.7145000000000001</v>
      </c>
      <c r="CF97" s="81">
        <f t="shared" ca="1" si="62"/>
        <v>4.7145000000000001</v>
      </c>
      <c r="CG97" s="81">
        <f t="shared" ca="1" si="62"/>
        <v>4.7145000000000001</v>
      </c>
      <c r="CH97" s="81">
        <f t="shared" ca="1" si="62"/>
        <v>4.7145000000000001</v>
      </c>
    </row>
    <row r="98" spans="2:86" ht="13">
      <c r="B98" s="15" t="s">
        <v>226</v>
      </c>
      <c r="C98" s="13" t="s">
        <v>294</v>
      </c>
      <c r="D98" s="15" t="s">
        <v>247</v>
      </c>
      <c r="E98" s="77">
        <f t="shared" ca="1" si="59"/>
        <v>0.45309876799583437</v>
      </c>
      <c r="F98" s="29"/>
      <c r="G98" s="83" t="str">
        <f t="shared" ref="G98:CH98" ca="1" si="63">IFERROR(XIRR(INDIRECT(""&amp;ADDRESS(ROW($D95),COLUMN($G95)+MATCH(INDEX($G95:$CH95,MATCH(TRUE,INDEX($G95:$CH95&lt;&gt;0,),0)),$G95:$CH95,0)-1,4)&amp;":"&amp;ADDRESS(ROW($G95),COLUMN($G95)+MATCH(F$5,$G$5:$CH$5,1),4)),INDIRECT(""&amp;ADDRESS(ROW(F$5),COLUMN($G95)+MATCH(INDEX($G95:$CH95,MATCH(TRUE,INDEX($G95:$CH95&lt;&gt;0,),0)),$G95:$CH95,0)-1,4) &amp; ":" &amp; ADDRESS(ROW($G$5),COLUMN($G95)+MATCH(F$5,$G$5:$CH$5,1),4))),"na")</f>
        <v>na</v>
      </c>
      <c r="H98" s="83" t="str">
        <f t="shared" ca="1" si="63"/>
        <v>na</v>
      </c>
      <c r="I98" s="83" t="str">
        <f t="shared" ca="1" si="63"/>
        <v>na</v>
      </c>
      <c r="J98" s="83" t="str">
        <f t="shared" ca="1" si="63"/>
        <v>na</v>
      </c>
      <c r="K98" s="83" t="str">
        <f t="shared" ca="1" si="63"/>
        <v>na</v>
      </c>
      <c r="L98" s="83" t="str">
        <f t="shared" ca="1" si="63"/>
        <v>na</v>
      </c>
      <c r="M98" s="83" t="str">
        <f t="shared" ca="1" si="63"/>
        <v>na</v>
      </c>
      <c r="N98" s="83" t="str">
        <f t="shared" ca="1" si="63"/>
        <v>na</v>
      </c>
      <c r="O98" s="83" t="str">
        <f t="shared" ca="1" si="63"/>
        <v>na</v>
      </c>
      <c r="P98" s="83" t="str">
        <f t="shared" ca="1" si="63"/>
        <v>na</v>
      </c>
      <c r="Q98" s="83" t="str">
        <f t="shared" ca="1" si="63"/>
        <v>na</v>
      </c>
      <c r="R98" s="83" t="str">
        <f t="shared" ca="1" si="63"/>
        <v>na</v>
      </c>
      <c r="S98" s="83" t="str">
        <f t="shared" ca="1" si="63"/>
        <v>na</v>
      </c>
      <c r="T98" s="83" t="str">
        <f t="shared" ca="1" si="63"/>
        <v>na</v>
      </c>
      <c r="U98" s="83" t="str">
        <f t="shared" ca="1" si="63"/>
        <v>na</v>
      </c>
      <c r="V98" s="83" t="str">
        <f t="shared" ca="1" si="63"/>
        <v>na</v>
      </c>
      <c r="W98" s="83">
        <f t="shared" ca="1" si="63"/>
        <v>2.9802322387695314E-9</v>
      </c>
      <c r="X98" s="83">
        <f t="shared" ca="1" si="63"/>
        <v>2.9802322387695314E-9</v>
      </c>
      <c r="Y98" s="83">
        <f t="shared" ca="1" si="63"/>
        <v>2.9802322387695314E-9</v>
      </c>
      <c r="Z98" s="83">
        <f t="shared" ca="1" si="63"/>
        <v>1.8495002388954167E-2</v>
      </c>
      <c r="AA98" s="83">
        <f t="shared" ca="1" si="63"/>
        <v>9.4008961319923409E-2</v>
      </c>
      <c r="AB98" s="83">
        <f t="shared" ca="1" si="63"/>
        <v>0.15320379137992857</v>
      </c>
      <c r="AC98" s="83">
        <f t="shared" ca="1" si="63"/>
        <v>0.20069109797477724</v>
      </c>
      <c r="AD98" s="83">
        <f t="shared" ca="1" si="63"/>
        <v>0.23941665291786193</v>
      </c>
      <c r="AE98" s="83">
        <f t="shared" ca="1" si="63"/>
        <v>0.28605859875679018</v>
      </c>
      <c r="AF98" s="83">
        <f t="shared" ca="1" si="63"/>
        <v>0.32310644984245307</v>
      </c>
      <c r="AG98" s="83">
        <f t="shared" ca="1" si="63"/>
        <v>0.35314556956291199</v>
      </c>
      <c r="AH98" s="83">
        <f t="shared" ca="1" si="63"/>
        <v>0.3778491675853729</v>
      </c>
      <c r="AI98" s="83">
        <f t="shared" ca="1" si="63"/>
        <v>0.39500542283058171</v>
      </c>
      <c r="AJ98" s="83">
        <f t="shared" ca="1" si="63"/>
        <v>0.40964801907539372</v>
      </c>
      <c r="AK98" s="83">
        <f t="shared" ca="1" si="63"/>
        <v>0.42219917178153998</v>
      </c>
      <c r="AL98" s="83">
        <f t="shared" ca="1" si="63"/>
        <v>0.43299687504768369</v>
      </c>
      <c r="AM98" s="83">
        <f t="shared" ca="1" si="63"/>
        <v>0.43627758622169488</v>
      </c>
      <c r="AN98" s="83">
        <f t="shared" ca="1" si="63"/>
        <v>0.43922391533851624</v>
      </c>
      <c r="AO98" s="83">
        <f t="shared" ca="1" si="63"/>
        <v>0.44186858534812934</v>
      </c>
      <c r="AP98" s="83">
        <f t="shared" ca="1" si="63"/>
        <v>0.44424135088920591</v>
      </c>
      <c r="AQ98" s="83">
        <f t="shared" ca="1" si="63"/>
        <v>0.44682868123054509</v>
      </c>
      <c r="AR98" s="83">
        <f t="shared" ca="1" si="63"/>
        <v>0.44914996027946474</v>
      </c>
      <c r="AS98" s="83">
        <f t="shared" ca="1" si="63"/>
        <v>0.45123196244239805</v>
      </c>
      <c r="AT98" s="83">
        <f t="shared" ca="1" si="63"/>
        <v>0.45309876799583437</v>
      </c>
      <c r="AU98" s="83">
        <f t="shared" ca="1" si="63"/>
        <v>0.45309876799583437</v>
      </c>
      <c r="AV98" s="83">
        <f t="shared" ca="1" si="63"/>
        <v>0.45309876799583437</v>
      </c>
      <c r="AW98" s="83">
        <f t="shared" ca="1" si="63"/>
        <v>0.45309876799583437</v>
      </c>
      <c r="AX98" s="83">
        <f t="shared" ca="1" si="63"/>
        <v>0.45309876799583437</v>
      </c>
      <c r="AY98" s="83">
        <f t="shared" ca="1" si="63"/>
        <v>0.45309876799583437</v>
      </c>
      <c r="AZ98" s="83">
        <f t="shared" ca="1" si="63"/>
        <v>0.45309876799583437</v>
      </c>
      <c r="BA98" s="83">
        <f t="shared" ca="1" si="63"/>
        <v>0.45309876799583437</v>
      </c>
      <c r="BB98" s="83">
        <f t="shared" ca="1" si="63"/>
        <v>0.45309876799583437</v>
      </c>
      <c r="BC98" s="83">
        <f t="shared" ca="1" si="63"/>
        <v>0.45309876799583437</v>
      </c>
      <c r="BD98" s="83">
        <f t="shared" ca="1" si="63"/>
        <v>0.45309876799583437</v>
      </c>
      <c r="BE98" s="83">
        <f t="shared" ca="1" si="63"/>
        <v>0.45309876799583437</v>
      </c>
      <c r="BF98" s="83">
        <f t="shared" ca="1" si="63"/>
        <v>0.45309876799583437</v>
      </c>
      <c r="BG98" s="83">
        <f t="shared" ca="1" si="63"/>
        <v>0.45309876799583437</v>
      </c>
      <c r="BH98" s="83">
        <f t="shared" ca="1" si="63"/>
        <v>0.45309876799583437</v>
      </c>
      <c r="BI98" s="83">
        <f t="shared" ca="1" si="63"/>
        <v>0.45309876799583437</v>
      </c>
      <c r="BJ98" s="83">
        <f t="shared" ca="1" si="63"/>
        <v>0.45309876799583437</v>
      </c>
      <c r="BK98" s="83">
        <f t="shared" ca="1" si="63"/>
        <v>0.45309876799583437</v>
      </c>
      <c r="BL98" s="83">
        <f t="shared" ca="1" si="63"/>
        <v>0.45309876799583437</v>
      </c>
      <c r="BM98" s="83">
        <f t="shared" ca="1" si="63"/>
        <v>0.45309876799583437</v>
      </c>
      <c r="BN98" s="83">
        <f t="shared" ca="1" si="63"/>
        <v>0.45309876799583437</v>
      </c>
      <c r="BO98" s="83">
        <f t="shared" ca="1" si="63"/>
        <v>0.45309876799583437</v>
      </c>
      <c r="BP98" s="83">
        <f t="shared" ca="1" si="63"/>
        <v>0.45309876799583437</v>
      </c>
      <c r="BQ98" s="83">
        <f t="shared" ca="1" si="63"/>
        <v>0.45309876799583437</v>
      </c>
      <c r="BR98" s="83">
        <f t="shared" ca="1" si="63"/>
        <v>0.45309876799583437</v>
      </c>
      <c r="BS98" s="83">
        <f t="shared" ca="1" si="63"/>
        <v>0.45309876799583437</v>
      </c>
      <c r="BT98" s="83">
        <f t="shared" ca="1" si="63"/>
        <v>0.45309876799583437</v>
      </c>
      <c r="BU98" s="83">
        <f t="shared" ca="1" si="63"/>
        <v>0.45309876799583437</v>
      </c>
      <c r="BV98" s="83">
        <f t="shared" ca="1" si="63"/>
        <v>0.45309876799583437</v>
      </c>
      <c r="BW98" s="83">
        <f t="shared" ca="1" si="63"/>
        <v>0.45309876799583437</v>
      </c>
      <c r="BX98" s="83">
        <f t="shared" ca="1" si="63"/>
        <v>0.45309876799583437</v>
      </c>
      <c r="BY98" s="83">
        <f t="shared" ca="1" si="63"/>
        <v>0.45309876799583437</v>
      </c>
      <c r="BZ98" s="83">
        <f t="shared" ca="1" si="63"/>
        <v>0.45309876799583437</v>
      </c>
      <c r="CA98" s="83">
        <f t="shared" ca="1" si="63"/>
        <v>0.45309876799583437</v>
      </c>
      <c r="CB98" s="83">
        <f t="shared" ca="1" si="63"/>
        <v>0.45309876799583437</v>
      </c>
      <c r="CC98" s="83">
        <f t="shared" ca="1" si="63"/>
        <v>0.45309876799583437</v>
      </c>
      <c r="CD98" s="83">
        <f t="shared" ca="1" si="63"/>
        <v>0.45309876799583437</v>
      </c>
      <c r="CE98" s="83">
        <f t="shared" ca="1" si="63"/>
        <v>0.45309876799583437</v>
      </c>
      <c r="CF98" s="83">
        <f t="shared" ca="1" si="63"/>
        <v>0.45309876799583437</v>
      </c>
      <c r="CG98" s="83">
        <f t="shared" ca="1" si="63"/>
        <v>0.45309876799583437</v>
      </c>
      <c r="CH98" s="83">
        <f t="shared" ca="1" si="63"/>
        <v>0.45309876799583437</v>
      </c>
    </row>
    <row r="99" spans="2:86" ht="13">
      <c r="B99" s="15" t="s">
        <v>295</v>
      </c>
      <c r="C99" s="13" t="s">
        <v>294</v>
      </c>
      <c r="D99" s="15" t="s">
        <v>238</v>
      </c>
      <c r="E99" s="29">
        <f t="shared" ca="1" si="59"/>
        <v>55701812.083333328</v>
      </c>
      <c r="F99" s="29"/>
      <c r="G99" s="29">
        <f t="shared" ref="G99:CH99" ca="1" si="64">-1*G31+G47</f>
        <v>-1444375</v>
      </c>
      <c r="H99" s="29">
        <f t="shared" ca="1" si="64"/>
        <v>-1344375</v>
      </c>
      <c r="I99" s="29">
        <f t="shared" ca="1" si="64"/>
        <v>-1344375</v>
      </c>
      <c r="J99" s="29">
        <f t="shared" ca="1" si="64"/>
        <v>-1344375</v>
      </c>
      <c r="K99" s="29">
        <f t="shared" ca="1" si="64"/>
        <v>-1344375</v>
      </c>
      <c r="L99" s="29">
        <f t="shared" ca="1" si="64"/>
        <v>-1344375</v>
      </c>
      <c r="M99" s="29">
        <f t="shared" ca="1" si="64"/>
        <v>-1344375</v>
      </c>
      <c r="N99" s="29">
        <f t="shared" ca="1" si="64"/>
        <v>-1344375</v>
      </c>
      <c r="O99" s="29">
        <f t="shared" ca="1" si="64"/>
        <v>-1344375</v>
      </c>
      <c r="P99" s="29">
        <f t="shared" ca="1" si="64"/>
        <v>-1344375</v>
      </c>
      <c r="Q99" s="29">
        <f t="shared" ca="1" si="64"/>
        <v>-1344375</v>
      </c>
      <c r="R99" s="29">
        <f t="shared" ca="1" si="64"/>
        <v>-1344375</v>
      </c>
      <c r="S99" s="29">
        <f t="shared" ca="1" si="64"/>
        <v>-291239.58333333279</v>
      </c>
      <c r="T99" s="29">
        <f t="shared" ca="1" si="64"/>
        <v>-291239.58333333279</v>
      </c>
      <c r="U99" s="29">
        <f t="shared" ca="1" si="64"/>
        <v>-291239.58333333279</v>
      </c>
      <c r="V99" s="29">
        <f t="shared" ca="1" si="64"/>
        <v>-291239.58333333279</v>
      </c>
      <c r="W99" s="29">
        <f t="shared" ca="1" si="64"/>
        <v>3825453.1250000005</v>
      </c>
      <c r="X99" s="29">
        <f t="shared" ca="1" si="64"/>
        <v>3678872.2373188408</v>
      </c>
      <c r="Y99" s="29">
        <f t="shared" ca="1" si="64"/>
        <v>3313733.0533596845</v>
      </c>
      <c r="Z99" s="29">
        <f t="shared" ca="1" si="64"/>
        <v>3313733.0533596841</v>
      </c>
      <c r="AA99" s="29">
        <f t="shared" ca="1" si="64"/>
        <v>3353341.0902503296</v>
      </c>
      <c r="AB99" s="29">
        <f t="shared" ca="1" si="64"/>
        <v>3353341.09025033</v>
      </c>
      <c r="AC99" s="29">
        <f t="shared" ca="1" si="64"/>
        <v>3353341.09025033</v>
      </c>
      <c r="AD99" s="29">
        <f t="shared" ca="1" si="64"/>
        <v>3353341.09025033</v>
      </c>
      <c r="AE99" s="29">
        <f t="shared" ca="1" si="64"/>
        <v>4751736.4509222666</v>
      </c>
      <c r="AF99" s="29">
        <f t="shared" ca="1" si="64"/>
        <v>4751736.4509222666</v>
      </c>
      <c r="AG99" s="29">
        <f t="shared" ca="1" si="64"/>
        <v>4751736.4509222666</v>
      </c>
      <c r="AH99" s="29">
        <f t="shared" ca="1" si="64"/>
        <v>4751736.4509222666</v>
      </c>
      <c r="AI99" s="29">
        <f t="shared" ca="1" si="64"/>
        <v>3862141.1520092217</v>
      </c>
      <c r="AJ99" s="29">
        <f t="shared" ca="1" si="64"/>
        <v>3862141.1520092217</v>
      </c>
      <c r="AK99" s="29">
        <f t="shared" ca="1" si="64"/>
        <v>3862141.1520092217</v>
      </c>
      <c r="AL99" s="29">
        <f t="shared" ca="1" si="64"/>
        <v>3862141.1520092217</v>
      </c>
      <c r="AM99" s="29">
        <f t="shared" ca="1" si="64"/>
        <v>1237915.8843873511</v>
      </c>
      <c r="AN99" s="29">
        <f t="shared" ca="1" si="64"/>
        <v>1237915.8843873511</v>
      </c>
      <c r="AO99" s="29">
        <f t="shared" ca="1" si="64"/>
        <v>1237915.8843873511</v>
      </c>
      <c r="AP99" s="29">
        <f t="shared" ca="1" si="64"/>
        <v>1237915.8843873511</v>
      </c>
      <c r="AQ99" s="29">
        <f t="shared" ca="1" si="64"/>
        <v>1536735.1593379439</v>
      </c>
      <c r="AR99" s="29">
        <f t="shared" ca="1" si="64"/>
        <v>1536735.1593379439</v>
      </c>
      <c r="AS99" s="29">
        <f t="shared" ca="1" si="64"/>
        <v>1536735.1593379439</v>
      </c>
      <c r="AT99" s="29">
        <f t="shared" ca="1" si="64"/>
        <v>1536735.1593379439</v>
      </c>
      <c r="AU99" s="29">
        <f t="shared" ca="1" si="64"/>
        <v>0</v>
      </c>
      <c r="AV99" s="29">
        <f t="shared" ca="1" si="64"/>
        <v>0</v>
      </c>
      <c r="AW99" s="29">
        <f t="shared" ca="1" si="64"/>
        <v>0</v>
      </c>
      <c r="AX99" s="29">
        <f t="shared" ca="1" si="64"/>
        <v>0</v>
      </c>
      <c r="AY99" s="29">
        <f t="shared" ca="1" si="64"/>
        <v>0</v>
      </c>
      <c r="AZ99" s="29">
        <f t="shared" ca="1" si="64"/>
        <v>0</v>
      </c>
      <c r="BA99" s="29">
        <f t="shared" ca="1" si="64"/>
        <v>0</v>
      </c>
      <c r="BB99" s="29">
        <f t="shared" ca="1" si="64"/>
        <v>0</v>
      </c>
      <c r="BC99" s="29">
        <f t="shared" ca="1" si="64"/>
        <v>0</v>
      </c>
      <c r="BD99" s="29">
        <f t="shared" ca="1" si="64"/>
        <v>0</v>
      </c>
      <c r="BE99" s="29">
        <f t="shared" ca="1" si="64"/>
        <v>0</v>
      </c>
      <c r="BF99" s="29">
        <f t="shared" ca="1" si="64"/>
        <v>0</v>
      </c>
      <c r="BG99" s="29">
        <f t="shared" ca="1" si="64"/>
        <v>0</v>
      </c>
      <c r="BH99" s="29">
        <f t="shared" ca="1" si="64"/>
        <v>0</v>
      </c>
      <c r="BI99" s="29">
        <f t="shared" ca="1" si="64"/>
        <v>0</v>
      </c>
      <c r="BJ99" s="29">
        <f t="shared" ca="1" si="64"/>
        <v>0</v>
      </c>
      <c r="BK99" s="29">
        <f t="shared" ca="1" si="64"/>
        <v>0</v>
      </c>
      <c r="BL99" s="29">
        <f t="shared" ca="1" si="64"/>
        <v>0</v>
      </c>
      <c r="BM99" s="29">
        <f t="shared" ca="1" si="64"/>
        <v>0</v>
      </c>
      <c r="BN99" s="29">
        <f t="shared" ca="1" si="64"/>
        <v>0</v>
      </c>
      <c r="BO99" s="29">
        <f t="shared" ca="1" si="64"/>
        <v>0</v>
      </c>
      <c r="BP99" s="29">
        <f t="shared" ca="1" si="64"/>
        <v>0</v>
      </c>
      <c r="BQ99" s="29">
        <f t="shared" ca="1" si="64"/>
        <v>0</v>
      </c>
      <c r="BR99" s="29">
        <f t="shared" ca="1" si="64"/>
        <v>0</v>
      </c>
      <c r="BS99" s="29">
        <f t="shared" ca="1" si="64"/>
        <v>0</v>
      </c>
      <c r="BT99" s="29">
        <f t="shared" ca="1" si="64"/>
        <v>0</v>
      </c>
      <c r="BU99" s="29">
        <f t="shared" ca="1" si="64"/>
        <v>0</v>
      </c>
      <c r="BV99" s="29">
        <f t="shared" ca="1" si="64"/>
        <v>0</v>
      </c>
      <c r="BW99" s="29">
        <f t="shared" ca="1" si="64"/>
        <v>0</v>
      </c>
      <c r="BX99" s="29">
        <f t="shared" ca="1" si="64"/>
        <v>0</v>
      </c>
      <c r="BY99" s="29">
        <f t="shared" ca="1" si="64"/>
        <v>0</v>
      </c>
      <c r="BZ99" s="29">
        <f t="shared" ca="1" si="64"/>
        <v>0</v>
      </c>
      <c r="CA99" s="29">
        <f t="shared" ca="1" si="64"/>
        <v>0</v>
      </c>
      <c r="CB99" s="29">
        <f t="shared" ca="1" si="64"/>
        <v>0</v>
      </c>
      <c r="CC99" s="29">
        <f t="shared" ca="1" si="64"/>
        <v>0</v>
      </c>
      <c r="CD99" s="29">
        <f t="shared" ca="1" si="64"/>
        <v>0</v>
      </c>
      <c r="CE99" s="29">
        <f t="shared" ca="1" si="64"/>
        <v>0</v>
      </c>
      <c r="CF99" s="29">
        <f t="shared" ca="1" si="64"/>
        <v>0</v>
      </c>
      <c r="CG99" s="29">
        <f t="shared" ca="1" si="64"/>
        <v>0</v>
      </c>
      <c r="CH99" s="29">
        <f t="shared" ca="1" si="64"/>
        <v>0</v>
      </c>
    </row>
    <row r="100" spans="2:86" ht="13">
      <c r="B100" s="15" t="str">
        <f>"Cumulative "&amp;B99</f>
        <v>Cumulative Net (Called Capital) Distributions</v>
      </c>
      <c r="C100" s="13" t="s">
        <v>294</v>
      </c>
      <c r="D100" s="15" t="s">
        <v>247</v>
      </c>
      <c r="E100" s="29">
        <f t="shared" ca="1" si="59"/>
        <v>55701812.083333328</v>
      </c>
      <c r="F100" s="29"/>
      <c r="G100" s="29">
        <f t="shared" ref="G100:CH100" ca="1" si="65">F100+G99</f>
        <v>-1444375</v>
      </c>
      <c r="H100" s="29">
        <f t="shared" ca="1" si="65"/>
        <v>-2788750</v>
      </c>
      <c r="I100" s="29">
        <f t="shared" ca="1" si="65"/>
        <v>-4133125</v>
      </c>
      <c r="J100" s="29">
        <f t="shared" ca="1" si="65"/>
        <v>-5477500</v>
      </c>
      <c r="K100" s="29">
        <f t="shared" ca="1" si="65"/>
        <v>-6821875</v>
      </c>
      <c r="L100" s="29">
        <f t="shared" ca="1" si="65"/>
        <v>-8166250</v>
      </c>
      <c r="M100" s="29">
        <f t="shared" ca="1" si="65"/>
        <v>-9510625</v>
      </c>
      <c r="N100" s="29">
        <f t="shared" ca="1" si="65"/>
        <v>-10855000</v>
      </c>
      <c r="O100" s="29">
        <f t="shared" ca="1" si="65"/>
        <v>-12199375</v>
      </c>
      <c r="P100" s="29">
        <f t="shared" ca="1" si="65"/>
        <v>-13543750</v>
      </c>
      <c r="Q100" s="29">
        <f t="shared" ca="1" si="65"/>
        <v>-14888125</v>
      </c>
      <c r="R100" s="29">
        <f t="shared" ca="1" si="65"/>
        <v>-16232500</v>
      </c>
      <c r="S100" s="29">
        <f t="shared" ca="1" si="65"/>
        <v>-16523739.583333332</v>
      </c>
      <c r="T100" s="29">
        <f t="shared" ca="1" si="65"/>
        <v>-16814979.166666664</v>
      </c>
      <c r="U100" s="29">
        <f t="shared" ca="1" si="65"/>
        <v>-17106218.749999996</v>
      </c>
      <c r="V100" s="29">
        <f t="shared" ca="1" si="65"/>
        <v>-17397458.333333328</v>
      </c>
      <c r="W100" s="29">
        <f t="shared" ca="1" si="65"/>
        <v>-13572005.208333328</v>
      </c>
      <c r="X100" s="29">
        <f t="shared" ca="1" si="65"/>
        <v>-9893132.9710144885</v>
      </c>
      <c r="Y100" s="29">
        <f t="shared" ca="1" si="65"/>
        <v>-6579399.917654804</v>
      </c>
      <c r="Z100" s="29">
        <f t="shared" ca="1" si="65"/>
        <v>-3265666.8642951199</v>
      </c>
      <c r="AA100" s="29">
        <f t="shared" ca="1" si="65"/>
        <v>87674.225955209695</v>
      </c>
      <c r="AB100" s="29">
        <f t="shared" ca="1" si="65"/>
        <v>3441015.3162055397</v>
      </c>
      <c r="AC100" s="29">
        <f t="shared" ca="1" si="65"/>
        <v>6794356.4064558698</v>
      </c>
      <c r="AD100" s="29">
        <f t="shared" ca="1" si="65"/>
        <v>10147697.496706199</v>
      </c>
      <c r="AE100" s="29">
        <f t="shared" ca="1" si="65"/>
        <v>14899433.947628465</v>
      </c>
      <c r="AF100" s="29">
        <f t="shared" ca="1" si="65"/>
        <v>19651170.39855073</v>
      </c>
      <c r="AG100" s="29">
        <f t="shared" ca="1" si="65"/>
        <v>24402906.849472996</v>
      </c>
      <c r="AH100" s="29">
        <f t="shared" ca="1" si="65"/>
        <v>29154643.300395261</v>
      </c>
      <c r="AI100" s="29">
        <f t="shared" ca="1" si="65"/>
        <v>33016784.452404484</v>
      </c>
      <c r="AJ100" s="29">
        <f t="shared" ca="1" si="65"/>
        <v>36878925.604413703</v>
      </c>
      <c r="AK100" s="29">
        <f t="shared" ca="1" si="65"/>
        <v>40741066.756422922</v>
      </c>
      <c r="AL100" s="29">
        <f t="shared" ca="1" si="65"/>
        <v>44603207.908432141</v>
      </c>
      <c r="AM100" s="29">
        <f t="shared" ca="1" si="65"/>
        <v>45841123.792819493</v>
      </c>
      <c r="AN100" s="29">
        <f t="shared" ca="1" si="65"/>
        <v>47079039.677206844</v>
      </c>
      <c r="AO100" s="29">
        <f t="shared" ca="1" si="65"/>
        <v>48316955.561594196</v>
      </c>
      <c r="AP100" s="29">
        <f t="shared" ca="1" si="65"/>
        <v>49554871.445981547</v>
      </c>
      <c r="AQ100" s="29">
        <f t="shared" ca="1" si="65"/>
        <v>51091606.605319493</v>
      </c>
      <c r="AR100" s="29">
        <f t="shared" ca="1" si="65"/>
        <v>52628341.764657438</v>
      </c>
      <c r="AS100" s="29">
        <f t="shared" ca="1" si="65"/>
        <v>54165076.923995383</v>
      </c>
      <c r="AT100" s="29">
        <f t="shared" ca="1" si="65"/>
        <v>55701812.083333328</v>
      </c>
      <c r="AU100" s="29">
        <f t="shared" ca="1" si="65"/>
        <v>55701812.083333328</v>
      </c>
      <c r="AV100" s="29">
        <f t="shared" ca="1" si="65"/>
        <v>55701812.083333328</v>
      </c>
      <c r="AW100" s="29">
        <f t="shared" ca="1" si="65"/>
        <v>55701812.083333328</v>
      </c>
      <c r="AX100" s="29">
        <f t="shared" ca="1" si="65"/>
        <v>55701812.083333328</v>
      </c>
      <c r="AY100" s="29">
        <f t="shared" ca="1" si="65"/>
        <v>55701812.083333328</v>
      </c>
      <c r="AZ100" s="29">
        <f t="shared" ca="1" si="65"/>
        <v>55701812.083333328</v>
      </c>
      <c r="BA100" s="29">
        <f t="shared" ca="1" si="65"/>
        <v>55701812.083333328</v>
      </c>
      <c r="BB100" s="29">
        <f t="shared" ca="1" si="65"/>
        <v>55701812.083333328</v>
      </c>
      <c r="BC100" s="29">
        <f t="shared" ca="1" si="65"/>
        <v>55701812.083333328</v>
      </c>
      <c r="BD100" s="29">
        <f t="shared" ca="1" si="65"/>
        <v>55701812.083333328</v>
      </c>
      <c r="BE100" s="29">
        <f t="shared" ca="1" si="65"/>
        <v>55701812.083333328</v>
      </c>
      <c r="BF100" s="29">
        <f t="shared" ca="1" si="65"/>
        <v>55701812.083333328</v>
      </c>
      <c r="BG100" s="29">
        <f t="shared" ca="1" si="65"/>
        <v>55701812.083333328</v>
      </c>
      <c r="BH100" s="29">
        <f t="shared" ca="1" si="65"/>
        <v>55701812.083333328</v>
      </c>
      <c r="BI100" s="29">
        <f t="shared" ca="1" si="65"/>
        <v>55701812.083333328</v>
      </c>
      <c r="BJ100" s="29">
        <f t="shared" ca="1" si="65"/>
        <v>55701812.083333328</v>
      </c>
      <c r="BK100" s="29">
        <f t="shared" ca="1" si="65"/>
        <v>55701812.083333328</v>
      </c>
      <c r="BL100" s="29">
        <f t="shared" ca="1" si="65"/>
        <v>55701812.083333328</v>
      </c>
      <c r="BM100" s="29">
        <f t="shared" ca="1" si="65"/>
        <v>55701812.083333328</v>
      </c>
      <c r="BN100" s="29">
        <f t="shared" ca="1" si="65"/>
        <v>55701812.083333328</v>
      </c>
      <c r="BO100" s="29">
        <f t="shared" ca="1" si="65"/>
        <v>55701812.083333328</v>
      </c>
      <c r="BP100" s="29">
        <f t="shared" ca="1" si="65"/>
        <v>55701812.083333328</v>
      </c>
      <c r="BQ100" s="29">
        <f t="shared" ca="1" si="65"/>
        <v>55701812.083333328</v>
      </c>
      <c r="BR100" s="29">
        <f t="shared" ca="1" si="65"/>
        <v>55701812.083333328</v>
      </c>
      <c r="BS100" s="29">
        <f t="shared" ca="1" si="65"/>
        <v>55701812.083333328</v>
      </c>
      <c r="BT100" s="29">
        <f t="shared" ca="1" si="65"/>
        <v>55701812.083333328</v>
      </c>
      <c r="BU100" s="29">
        <f t="shared" ca="1" si="65"/>
        <v>55701812.083333328</v>
      </c>
      <c r="BV100" s="29">
        <f t="shared" ca="1" si="65"/>
        <v>55701812.083333328</v>
      </c>
      <c r="BW100" s="29">
        <f t="shared" ca="1" si="65"/>
        <v>55701812.083333328</v>
      </c>
      <c r="BX100" s="29">
        <f t="shared" ca="1" si="65"/>
        <v>55701812.083333328</v>
      </c>
      <c r="BY100" s="29">
        <f t="shared" ca="1" si="65"/>
        <v>55701812.083333328</v>
      </c>
      <c r="BZ100" s="29">
        <f t="shared" ca="1" si="65"/>
        <v>55701812.083333328</v>
      </c>
      <c r="CA100" s="29">
        <f t="shared" ca="1" si="65"/>
        <v>55701812.083333328</v>
      </c>
      <c r="CB100" s="29">
        <f t="shared" ca="1" si="65"/>
        <v>55701812.083333328</v>
      </c>
      <c r="CC100" s="29">
        <f t="shared" ca="1" si="65"/>
        <v>55701812.083333328</v>
      </c>
      <c r="CD100" s="29">
        <f t="shared" ca="1" si="65"/>
        <v>55701812.083333328</v>
      </c>
      <c r="CE100" s="29">
        <f t="shared" ca="1" si="65"/>
        <v>55701812.083333328</v>
      </c>
      <c r="CF100" s="29">
        <f t="shared" ca="1" si="65"/>
        <v>55701812.083333328</v>
      </c>
      <c r="CG100" s="29">
        <f t="shared" ca="1" si="65"/>
        <v>55701812.083333328</v>
      </c>
      <c r="CH100" s="29">
        <f t="shared" ca="1" si="65"/>
        <v>55701812.083333328</v>
      </c>
    </row>
    <row r="101" spans="2:86" ht="13">
      <c r="B101" s="15" t="s">
        <v>224</v>
      </c>
      <c r="C101" s="13" t="s">
        <v>294</v>
      </c>
      <c r="D101" s="15" t="s">
        <v>247</v>
      </c>
      <c r="E101" s="81">
        <f t="shared" ca="1" si="59"/>
        <v>3.2280724833333307</v>
      </c>
      <c r="F101" s="29"/>
      <c r="G101" s="81">
        <f t="shared" ref="G101:CH101" ca="1" si="66">IFERROR(G76/G60,0)</f>
        <v>0</v>
      </c>
      <c r="H101" s="81">
        <f t="shared" ca="1" si="66"/>
        <v>0</v>
      </c>
      <c r="I101" s="81">
        <f t="shared" ca="1" si="66"/>
        <v>0</v>
      </c>
      <c r="J101" s="81">
        <f t="shared" ca="1" si="66"/>
        <v>0</v>
      </c>
      <c r="K101" s="81">
        <f t="shared" ca="1" si="66"/>
        <v>0</v>
      </c>
      <c r="L101" s="81">
        <f t="shared" ca="1" si="66"/>
        <v>0</v>
      </c>
      <c r="M101" s="81">
        <f t="shared" ca="1" si="66"/>
        <v>0</v>
      </c>
      <c r="N101" s="81">
        <f t="shared" ca="1" si="66"/>
        <v>0</v>
      </c>
      <c r="O101" s="81">
        <f t="shared" ca="1" si="66"/>
        <v>0</v>
      </c>
      <c r="P101" s="81">
        <f t="shared" ca="1" si="66"/>
        <v>0</v>
      </c>
      <c r="Q101" s="81">
        <f t="shared" ca="1" si="66"/>
        <v>0</v>
      </c>
      <c r="R101" s="81">
        <f t="shared" ca="1" si="66"/>
        <v>0</v>
      </c>
      <c r="S101" s="81">
        <f t="shared" ca="1" si="66"/>
        <v>5.9915964394505118E-2</v>
      </c>
      <c r="T101" s="81">
        <f t="shared" ca="1" si="66"/>
        <v>0.11131774239721659</v>
      </c>
      <c r="U101" s="81">
        <f t="shared" ca="1" si="66"/>
        <v>0.15589976869699315</v>
      </c>
      <c r="V101" s="81">
        <f t="shared" ca="1" si="66"/>
        <v>0.19493482955421881</v>
      </c>
      <c r="W101" s="81">
        <f t="shared" ca="1" si="66"/>
        <v>0.37603562055820561</v>
      </c>
      <c r="X101" s="81">
        <f t="shared" ca="1" si="66"/>
        <v>0.54810400954598659</v>
      </c>
      <c r="Y101" s="81">
        <f t="shared" ca="1" si="66"/>
        <v>0.70139445543065504</v>
      </c>
      <c r="Z101" s="81">
        <f t="shared" ca="1" si="66"/>
        <v>0.85273204670596969</v>
      </c>
      <c r="AA101" s="81">
        <f t="shared" ca="1" si="66"/>
        <v>1.0039287167850874</v>
      </c>
      <c r="AB101" s="81">
        <f t="shared" ca="1" si="66"/>
        <v>1.1532234360995453</v>
      </c>
      <c r="AC101" s="81">
        <f t="shared" ca="1" si="66"/>
        <v>1.300651868198722</v>
      </c>
      <c r="AD101" s="81">
        <f t="shared" ca="1" si="66"/>
        <v>1.4462487905323744</v>
      </c>
      <c r="AE101" s="81">
        <f t="shared" ca="1" si="66"/>
        <v>1.6511634612457127</v>
      </c>
      <c r="AF101" s="81">
        <f t="shared" ca="1" si="66"/>
        <v>1.8535637050081757</v>
      </c>
      <c r="AG101" s="81">
        <f t="shared" ca="1" si="66"/>
        <v>2.0534955199168095</v>
      </c>
      <c r="AH101" s="81">
        <f t="shared" ca="1" si="66"/>
        <v>2.2510037889034651</v>
      </c>
      <c r="AI101" s="81">
        <f t="shared" ca="1" si="66"/>
        <v>2.4081904122153639</v>
      </c>
      <c r="AJ101" s="81">
        <f t="shared" ca="1" si="66"/>
        <v>2.5634944612364046</v>
      </c>
      <c r="AK101" s="81">
        <f t="shared" ca="1" si="66"/>
        <v>2.7169495551355598</v>
      </c>
      <c r="AL101" s="81">
        <f t="shared" ca="1" si="66"/>
        <v>2.8685885173201568</v>
      </c>
      <c r="AM101" s="81">
        <f t="shared" ca="1" si="66"/>
        <v>2.90915190974312</v>
      </c>
      <c r="AN101" s="81">
        <f t="shared" ca="1" si="66"/>
        <v>2.9492408519700581</v>
      </c>
      <c r="AO101" s="81">
        <f t="shared" ca="1" si="66"/>
        <v>2.988863619720882</v>
      </c>
      <c r="AP101" s="81">
        <f t="shared" ca="1" si="66"/>
        <v>3.0280282973595876</v>
      </c>
      <c r="AQ101" s="81">
        <f t="shared" ca="1" si="66"/>
        <v>3.0789016471316599</v>
      </c>
      <c r="AR101" s="81">
        <f t="shared" ca="1" si="66"/>
        <v>3.1291935577893151</v>
      </c>
      <c r="AS101" s="81">
        <f t="shared" ca="1" si="66"/>
        <v>3.1789139407249092</v>
      </c>
      <c r="AT101" s="81">
        <f t="shared" ca="1" si="66"/>
        <v>3.2280724833333307</v>
      </c>
      <c r="AU101" s="81">
        <f t="shared" ca="1" si="66"/>
        <v>3.2280724833333307</v>
      </c>
      <c r="AV101" s="81">
        <f t="shared" ca="1" si="66"/>
        <v>3.2280724833333307</v>
      </c>
      <c r="AW101" s="81">
        <f t="shared" ca="1" si="66"/>
        <v>3.2280724833333307</v>
      </c>
      <c r="AX101" s="81">
        <f t="shared" ca="1" si="66"/>
        <v>3.2280724833333307</v>
      </c>
      <c r="AY101" s="81">
        <f t="shared" ca="1" si="66"/>
        <v>3.2280724833333307</v>
      </c>
      <c r="AZ101" s="81">
        <f t="shared" ca="1" si="66"/>
        <v>3.2280724833333307</v>
      </c>
      <c r="BA101" s="81">
        <f t="shared" ca="1" si="66"/>
        <v>3.2280724833333307</v>
      </c>
      <c r="BB101" s="81">
        <f t="shared" ca="1" si="66"/>
        <v>3.2280724833333307</v>
      </c>
      <c r="BC101" s="81">
        <f t="shared" ca="1" si="66"/>
        <v>3.2280724833333307</v>
      </c>
      <c r="BD101" s="81">
        <f t="shared" ca="1" si="66"/>
        <v>3.2280724833333307</v>
      </c>
      <c r="BE101" s="81">
        <f t="shared" ca="1" si="66"/>
        <v>3.2280724833333307</v>
      </c>
      <c r="BF101" s="81">
        <f t="shared" ca="1" si="66"/>
        <v>3.2280724833333307</v>
      </c>
      <c r="BG101" s="81">
        <f t="shared" ca="1" si="66"/>
        <v>3.2280724833333307</v>
      </c>
      <c r="BH101" s="81">
        <f t="shared" ca="1" si="66"/>
        <v>3.2280724833333307</v>
      </c>
      <c r="BI101" s="81">
        <f t="shared" ca="1" si="66"/>
        <v>3.2280724833333307</v>
      </c>
      <c r="BJ101" s="81">
        <f t="shared" ca="1" si="66"/>
        <v>3.2280724833333307</v>
      </c>
      <c r="BK101" s="81">
        <f t="shared" ca="1" si="66"/>
        <v>3.2280724833333307</v>
      </c>
      <c r="BL101" s="81">
        <f t="shared" ca="1" si="66"/>
        <v>3.2280724833333307</v>
      </c>
      <c r="BM101" s="81">
        <f t="shared" ca="1" si="66"/>
        <v>3.2280724833333307</v>
      </c>
      <c r="BN101" s="81">
        <f t="shared" ca="1" si="66"/>
        <v>3.2280724833333307</v>
      </c>
      <c r="BO101" s="81">
        <f t="shared" ca="1" si="66"/>
        <v>3.2280724833333307</v>
      </c>
      <c r="BP101" s="81">
        <f t="shared" ca="1" si="66"/>
        <v>3.2280724833333307</v>
      </c>
      <c r="BQ101" s="81">
        <f t="shared" ca="1" si="66"/>
        <v>3.2280724833333307</v>
      </c>
      <c r="BR101" s="81">
        <f t="shared" ca="1" si="66"/>
        <v>3.2280724833333307</v>
      </c>
      <c r="BS101" s="81">
        <f t="shared" ca="1" si="66"/>
        <v>3.2280724833333307</v>
      </c>
      <c r="BT101" s="81">
        <f t="shared" ca="1" si="66"/>
        <v>3.2280724833333307</v>
      </c>
      <c r="BU101" s="81">
        <f t="shared" ca="1" si="66"/>
        <v>3.2280724833333307</v>
      </c>
      <c r="BV101" s="81">
        <f t="shared" ca="1" si="66"/>
        <v>3.2280724833333307</v>
      </c>
      <c r="BW101" s="81">
        <f t="shared" ca="1" si="66"/>
        <v>3.2280724833333307</v>
      </c>
      <c r="BX101" s="81">
        <f t="shared" ca="1" si="66"/>
        <v>3.2280724833333307</v>
      </c>
      <c r="BY101" s="81">
        <f t="shared" ca="1" si="66"/>
        <v>3.2280724833333307</v>
      </c>
      <c r="BZ101" s="81">
        <f t="shared" ca="1" si="66"/>
        <v>3.2280724833333307</v>
      </c>
      <c r="CA101" s="81">
        <f t="shared" ca="1" si="66"/>
        <v>3.2280724833333307</v>
      </c>
      <c r="CB101" s="81">
        <f t="shared" ca="1" si="66"/>
        <v>3.2280724833333307</v>
      </c>
      <c r="CC101" s="81">
        <f t="shared" ca="1" si="66"/>
        <v>3.2280724833333307</v>
      </c>
      <c r="CD101" s="81">
        <f t="shared" ca="1" si="66"/>
        <v>3.2280724833333307</v>
      </c>
      <c r="CE101" s="81">
        <f t="shared" ca="1" si="66"/>
        <v>3.2280724833333307</v>
      </c>
      <c r="CF101" s="81">
        <f t="shared" ca="1" si="66"/>
        <v>3.2280724833333307</v>
      </c>
      <c r="CG101" s="81">
        <f t="shared" ca="1" si="66"/>
        <v>3.2280724833333307</v>
      </c>
      <c r="CH101" s="81">
        <f t="shared" ca="1" si="66"/>
        <v>3.2280724833333307</v>
      </c>
    </row>
    <row r="102" spans="2:86" ht="13">
      <c r="B102" s="15" t="s">
        <v>228</v>
      </c>
      <c r="C102" s="13" t="s">
        <v>294</v>
      </c>
      <c r="D102" s="15" t="s">
        <v>247</v>
      </c>
      <c r="E102" s="77">
        <f t="shared" ca="1" si="59"/>
        <v>0.35571061968803408</v>
      </c>
      <c r="F102" s="29"/>
      <c r="G102" s="83" t="str">
        <f t="shared" ref="G102:CH102" ca="1" si="67">IFERROR(XIRR(INDIRECT(""&amp;ADDRESS(ROW($D99),COLUMN($G99)+MATCH(INDEX($G99:$CH99,MATCH(TRUE,INDEX($G99:$CH99&lt;&gt;0,),0)),$G99:$CH99,0)-1,4)&amp;":"&amp;ADDRESS(ROW($G99),COLUMN($G99)+MATCH(F$5,$G$5:$CH$5,1),4)),INDIRECT(""&amp;ADDRESS(ROW(F$5),COLUMN($G99)+MATCH(INDEX($G99:$CH99,MATCH(TRUE,INDEX($G99:$CH99&lt;&gt;0,),0)),$G99:$CH99,0)-1,4) &amp; ":" &amp; ADDRESS(ROW($G$5),COLUMN($G99)+MATCH(F$5,$G$5:$CH$5,1),4))),"na")</f>
        <v>na</v>
      </c>
      <c r="H102" s="83" t="str">
        <f t="shared" ca="1" si="67"/>
        <v>na</v>
      </c>
      <c r="I102" s="83" t="str">
        <f t="shared" ca="1" si="67"/>
        <v>na</v>
      </c>
      <c r="J102" s="83" t="str">
        <f t="shared" ca="1" si="67"/>
        <v>na</v>
      </c>
      <c r="K102" s="83" t="str">
        <f t="shared" ca="1" si="67"/>
        <v>na</v>
      </c>
      <c r="L102" s="83" t="str">
        <f t="shared" ca="1" si="67"/>
        <v>na</v>
      </c>
      <c r="M102" s="83" t="str">
        <f t="shared" ca="1" si="67"/>
        <v>na</v>
      </c>
      <c r="N102" s="83" t="str">
        <f t="shared" ca="1" si="67"/>
        <v>na</v>
      </c>
      <c r="O102" s="83" t="str">
        <f t="shared" ca="1" si="67"/>
        <v>na</v>
      </c>
      <c r="P102" s="83" t="str">
        <f t="shared" ca="1" si="67"/>
        <v>na</v>
      </c>
      <c r="Q102" s="83" t="str">
        <f t="shared" ca="1" si="67"/>
        <v>na</v>
      </c>
      <c r="R102" s="83" t="str">
        <f t="shared" ca="1" si="67"/>
        <v>na</v>
      </c>
      <c r="S102" s="83" t="str">
        <f t="shared" ca="1" si="67"/>
        <v>na</v>
      </c>
      <c r="T102" s="83" t="str">
        <f t="shared" ca="1" si="67"/>
        <v>na</v>
      </c>
      <c r="U102" s="83" t="str">
        <f t="shared" ca="1" si="67"/>
        <v>na</v>
      </c>
      <c r="V102" s="83" t="str">
        <f t="shared" ca="1" si="67"/>
        <v>na</v>
      </c>
      <c r="W102" s="83">
        <f t="shared" ca="1" si="67"/>
        <v>2.9802322387695314E-9</v>
      </c>
      <c r="X102" s="83">
        <f t="shared" ca="1" si="67"/>
        <v>2.9802322387695314E-9</v>
      </c>
      <c r="Y102" s="83">
        <f t="shared" ca="1" si="67"/>
        <v>2.9802322387695314E-9</v>
      </c>
      <c r="Z102" s="83">
        <f t="shared" ca="1" si="67"/>
        <v>2.9802322387695314E-9</v>
      </c>
      <c r="AA102" s="83">
        <f t="shared" ca="1" si="67"/>
        <v>1.6863673925399782E-3</v>
      </c>
      <c r="AB102" s="83">
        <f t="shared" ca="1" si="67"/>
        <v>5.9387430548667908E-2</v>
      </c>
      <c r="AC102" s="83">
        <f t="shared" ca="1" si="67"/>
        <v>0.106246417760849</v>
      </c>
      <c r="AD102" s="83">
        <f t="shared" ca="1" si="67"/>
        <v>0.14489488005638121</v>
      </c>
      <c r="AE102" s="83">
        <f t="shared" ca="1" si="67"/>
        <v>0.18942707180976867</v>
      </c>
      <c r="AF102" s="83">
        <f t="shared" ca="1" si="67"/>
        <v>0.22534381747245788</v>
      </c>
      <c r="AG102" s="83">
        <f t="shared" ca="1" si="67"/>
        <v>0.25486453175544732</v>
      </c>
      <c r="AH102" s="83">
        <f t="shared" ca="1" si="67"/>
        <v>0.27945294976234436</v>
      </c>
      <c r="AI102" s="83">
        <f t="shared" ca="1" si="67"/>
        <v>0.29643737673759474</v>
      </c>
      <c r="AJ102" s="83">
        <f t="shared" ca="1" si="67"/>
        <v>0.31113094687461851</v>
      </c>
      <c r="AK102" s="83">
        <f t="shared" ca="1" si="67"/>
        <v>0.32389151453971865</v>
      </c>
      <c r="AL102" s="83">
        <f t="shared" ca="1" si="67"/>
        <v>0.33501026034355175</v>
      </c>
      <c r="AM102" s="83">
        <f t="shared" ca="1" si="67"/>
        <v>0.33818947672843946</v>
      </c>
      <c r="AN102" s="83">
        <f t="shared" ca="1" si="67"/>
        <v>0.34109293818473829</v>
      </c>
      <c r="AO102" s="83">
        <f t="shared" ca="1" si="67"/>
        <v>0.34374292492866509</v>
      </c>
      <c r="AP102" s="83">
        <f t="shared" ca="1" si="67"/>
        <v>0.3461602151393891</v>
      </c>
      <c r="AQ102" s="83">
        <f t="shared" ca="1" si="67"/>
        <v>0.34889296889305121</v>
      </c>
      <c r="AR102" s="83">
        <f t="shared" ca="1" si="67"/>
        <v>0.35138183236122134</v>
      </c>
      <c r="AS102" s="83">
        <f t="shared" ca="1" si="67"/>
        <v>0.353647929430008</v>
      </c>
      <c r="AT102" s="83">
        <f t="shared" ca="1" si="67"/>
        <v>0.35571061968803408</v>
      </c>
      <c r="AU102" s="83">
        <f t="shared" ca="1" si="67"/>
        <v>0.35571061968803408</v>
      </c>
      <c r="AV102" s="83">
        <f t="shared" ca="1" si="67"/>
        <v>0.35571061968803408</v>
      </c>
      <c r="AW102" s="83">
        <f t="shared" ca="1" si="67"/>
        <v>0.35571061968803408</v>
      </c>
      <c r="AX102" s="83">
        <f t="shared" ca="1" si="67"/>
        <v>0.35571061968803408</v>
      </c>
      <c r="AY102" s="83">
        <f t="shared" ca="1" si="67"/>
        <v>0.35571061968803408</v>
      </c>
      <c r="AZ102" s="83">
        <f t="shared" ca="1" si="67"/>
        <v>0.35571061968803408</v>
      </c>
      <c r="BA102" s="83">
        <f t="shared" ca="1" si="67"/>
        <v>0.35571061968803408</v>
      </c>
      <c r="BB102" s="83">
        <f t="shared" ca="1" si="67"/>
        <v>0.35571061968803408</v>
      </c>
      <c r="BC102" s="83">
        <f t="shared" ca="1" si="67"/>
        <v>0.35571061968803408</v>
      </c>
      <c r="BD102" s="83">
        <f t="shared" ca="1" si="67"/>
        <v>0.35571061968803408</v>
      </c>
      <c r="BE102" s="83">
        <f t="shared" ca="1" si="67"/>
        <v>0.35571061968803408</v>
      </c>
      <c r="BF102" s="83">
        <f t="shared" ca="1" si="67"/>
        <v>0.35571061968803408</v>
      </c>
      <c r="BG102" s="83">
        <f t="shared" ca="1" si="67"/>
        <v>0.35571061968803408</v>
      </c>
      <c r="BH102" s="83">
        <f t="shared" ca="1" si="67"/>
        <v>0.35571061968803408</v>
      </c>
      <c r="BI102" s="83">
        <f t="shared" ca="1" si="67"/>
        <v>0.35571061968803408</v>
      </c>
      <c r="BJ102" s="83">
        <f t="shared" ca="1" si="67"/>
        <v>0.35571061968803408</v>
      </c>
      <c r="BK102" s="83">
        <f t="shared" ca="1" si="67"/>
        <v>0.35571061968803408</v>
      </c>
      <c r="BL102" s="83">
        <f t="shared" ca="1" si="67"/>
        <v>0.35571061968803408</v>
      </c>
      <c r="BM102" s="83">
        <f t="shared" ca="1" si="67"/>
        <v>0.35571061968803408</v>
      </c>
      <c r="BN102" s="83">
        <f t="shared" ca="1" si="67"/>
        <v>0.35571061968803408</v>
      </c>
      <c r="BO102" s="83">
        <f t="shared" ca="1" si="67"/>
        <v>0.35571061968803408</v>
      </c>
      <c r="BP102" s="83">
        <f t="shared" ca="1" si="67"/>
        <v>0.35571061968803408</v>
      </c>
      <c r="BQ102" s="83">
        <f t="shared" ca="1" si="67"/>
        <v>0.35571061968803408</v>
      </c>
      <c r="BR102" s="83">
        <f t="shared" ca="1" si="67"/>
        <v>0.35571061968803408</v>
      </c>
      <c r="BS102" s="83">
        <f t="shared" ca="1" si="67"/>
        <v>0.35571061968803408</v>
      </c>
      <c r="BT102" s="83">
        <f t="shared" ca="1" si="67"/>
        <v>0.35571061968803408</v>
      </c>
      <c r="BU102" s="83">
        <f t="shared" ca="1" si="67"/>
        <v>0.35571061968803408</v>
      </c>
      <c r="BV102" s="83">
        <f t="shared" ca="1" si="67"/>
        <v>0.35571061968803408</v>
      </c>
      <c r="BW102" s="83">
        <f t="shared" ca="1" si="67"/>
        <v>0.35571061968803408</v>
      </c>
      <c r="BX102" s="83">
        <f t="shared" ca="1" si="67"/>
        <v>0.35571061968803408</v>
      </c>
      <c r="BY102" s="83">
        <f t="shared" ca="1" si="67"/>
        <v>0.35571061968803408</v>
      </c>
      <c r="BZ102" s="83">
        <f t="shared" ca="1" si="67"/>
        <v>0.35571061968803408</v>
      </c>
      <c r="CA102" s="83">
        <f t="shared" ca="1" si="67"/>
        <v>0.35571061968803408</v>
      </c>
      <c r="CB102" s="83">
        <f t="shared" ca="1" si="67"/>
        <v>0.35571061968803408</v>
      </c>
      <c r="CC102" s="83">
        <f t="shared" ca="1" si="67"/>
        <v>0.35571061968803408</v>
      </c>
      <c r="CD102" s="83">
        <f t="shared" ca="1" si="67"/>
        <v>0.35571061968803408</v>
      </c>
      <c r="CE102" s="83">
        <f t="shared" ca="1" si="67"/>
        <v>0.35571061968803408</v>
      </c>
      <c r="CF102" s="83">
        <f t="shared" ca="1" si="67"/>
        <v>0.35571061968803408</v>
      </c>
      <c r="CG102" s="83">
        <f t="shared" ca="1" si="67"/>
        <v>0.35571061968803408</v>
      </c>
      <c r="CH102" s="83">
        <f t="shared" ca="1" si="67"/>
        <v>0.35571061968803408</v>
      </c>
    </row>
    <row r="103" spans="2:86" ht="13" collapsed="1">
      <c r="B103" s="15" t="s">
        <v>296</v>
      </c>
      <c r="C103" s="13" t="s">
        <v>297</v>
      </c>
      <c r="D103" s="15" t="s">
        <v>247</v>
      </c>
      <c r="E103" s="77">
        <f t="shared" ca="1" si="59"/>
        <v>0.35600376008230028</v>
      </c>
      <c r="F103" s="29"/>
      <c r="G103" s="77">
        <f t="shared" ref="G103:CH103" ca="1" si="68">INDEX($C104:$C183,G4)</f>
        <v>0</v>
      </c>
      <c r="H103" s="77">
        <f t="shared" ca="1" si="68"/>
        <v>-0.70787163127882269</v>
      </c>
      <c r="I103" s="77">
        <f t="shared" ca="1" si="68"/>
        <v>-0.42563575860668124</v>
      </c>
      <c r="J103" s="77">
        <f t="shared" ca="1" si="68"/>
        <v>-0.29657944132958192</v>
      </c>
      <c r="K103" s="77">
        <f t="shared" ca="1" si="68"/>
        <v>-0.22594110408197832</v>
      </c>
      <c r="L103" s="77">
        <f t="shared" ca="1" si="68"/>
        <v>-0.18194488047271207</v>
      </c>
      <c r="M103" s="77">
        <f t="shared" ca="1" si="68"/>
        <v>-0.15207267750779541</v>
      </c>
      <c r="N103" s="77">
        <f t="shared" ca="1" si="68"/>
        <v>-0.13052386610076128</v>
      </c>
      <c r="O103" s="77">
        <f t="shared" ca="1" si="68"/>
        <v>-9.527507788361167E-2</v>
      </c>
      <c r="P103" s="77">
        <f t="shared" ca="1" si="68"/>
        <v>-6.78752102825253E-2</v>
      </c>
      <c r="Q103" s="77">
        <f t="shared" ca="1" si="68"/>
        <v>-4.6100371373575255E-2</v>
      </c>
      <c r="R103" s="77">
        <f t="shared" ca="1" si="68"/>
        <v>-2.8480110135997494E-2</v>
      </c>
      <c r="S103" s="77">
        <f t="shared" ca="1" si="68"/>
        <v>1.71116376652658E-3</v>
      </c>
      <c r="T103" s="77">
        <f t="shared" ca="1" si="68"/>
        <v>2.4642666987322093E-2</v>
      </c>
      <c r="U103" s="77">
        <f t="shared" ca="1" si="68"/>
        <v>4.2661897148389638E-2</v>
      </c>
      <c r="V103" s="77">
        <f t="shared" ca="1" si="68"/>
        <v>5.7168812370099964E-2</v>
      </c>
      <c r="W103" s="77">
        <f t="shared" ca="1" si="68"/>
        <v>0.10985289144973009</v>
      </c>
      <c r="X103" s="77">
        <f t="shared" ca="1" si="68"/>
        <v>0.14575025244461859</v>
      </c>
      <c r="Y103" s="77">
        <f t="shared" ca="1" si="68"/>
        <v>0.16813471042483741</v>
      </c>
      <c r="Z103" s="77">
        <f t="shared" ca="1" si="68"/>
        <v>0.18578948056557487</v>
      </c>
      <c r="AA103" s="77">
        <f t="shared" ca="1" si="68"/>
        <v>0.19867847624651835</v>
      </c>
      <c r="AB103" s="77">
        <f t="shared" ca="1" si="68"/>
        <v>0.20923246114351701</v>
      </c>
      <c r="AC103" s="77">
        <f t="shared" ca="1" si="68"/>
        <v>0.21804781074401025</v>
      </c>
      <c r="AD103" s="77">
        <f t="shared" ca="1" si="68"/>
        <v>0.22555214932272238</v>
      </c>
      <c r="AE103" s="77">
        <f t="shared" ca="1" si="68"/>
        <v>0.24571332374826782</v>
      </c>
      <c r="AF103" s="77">
        <f t="shared" ca="1" si="68"/>
        <v>0.26321622878534834</v>
      </c>
      <c r="AG103" s="77">
        <f t="shared" ca="1" si="68"/>
        <v>0.27858944273472219</v>
      </c>
      <c r="AH103" s="77">
        <f t="shared" ca="1" si="68"/>
        <v>0.29222074021755229</v>
      </c>
      <c r="AI103" s="77">
        <f t="shared" ca="1" si="68"/>
        <v>0.30486659610872091</v>
      </c>
      <c r="AJ103" s="77">
        <f t="shared" ca="1" si="68"/>
        <v>0.31605289746371446</v>
      </c>
      <c r="AK103" s="77">
        <f t="shared" ca="1" si="68"/>
        <v>0.32598944063030943</v>
      </c>
      <c r="AL103" s="77">
        <f t="shared" ca="1" si="68"/>
        <v>0.33484901652336507</v>
      </c>
      <c r="AM103" s="77">
        <f t="shared" ca="1" si="68"/>
        <v>0.33766676356444125</v>
      </c>
      <c r="AN103" s="77">
        <f t="shared" ca="1" si="68"/>
        <v>0.34025805356942218</v>
      </c>
      <c r="AO103" s="77">
        <f t="shared" ca="1" si="68"/>
        <v>0.34264249361580235</v>
      </c>
      <c r="AP103" s="77">
        <f t="shared" ca="1" si="68"/>
        <v>0.34483796053246296</v>
      </c>
      <c r="AQ103" s="77">
        <f t="shared" ca="1" si="68"/>
        <v>0.34731404989232262</v>
      </c>
      <c r="AR103" s="77">
        <f t="shared" ca="1" si="68"/>
        <v>0.34958998325731727</v>
      </c>
      <c r="AS103" s="77">
        <f t="shared" ca="1" si="68"/>
        <v>0.35168362532127739</v>
      </c>
      <c r="AT103" s="77">
        <f t="shared" ca="1" si="68"/>
        <v>0.35600376008230028</v>
      </c>
      <c r="AU103" s="77">
        <f t="shared" ca="1" si="68"/>
        <v>0.35600376008230028</v>
      </c>
      <c r="AV103" s="77">
        <f t="shared" ca="1" si="68"/>
        <v>0.35600376008230028</v>
      </c>
      <c r="AW103" s="77">
        <f t="shared" ca="1" si="68"/>
        <v>0.35600376008230028</v>
      </c>
      <c r="AX103" s="77">
        <f t="shared" ca="1" si="68"/>
        <v>0.35600376008230028</v>
      </c>
      <c r="AY103" s="77">
        <f t="shared" ca="1" si="68"/>
        <v>0.35600376008230028</v>
      </c>
      <c r="AZ103" s="77">
        <f t="shared" ca="1" si="68"/>
        <v>0.35600376008230028</v>
      </c>
      <c r="BA103" s="77">
        <f t="shared" ca="1" si="68"/>
        <v>0.35600376008230028</v>
      </c>
      <c r="BB103" s="77">
        <f t="shared" ca="1" si="68"/>
        <v>0.35600376008230028</v>
      </c>
      <c r="BC103" s="77">
        <f t="shared" ca="1" si="68"/>
        <v>0.35600376008230028</v>
      </c>
      <c r="BD103" s="77">
        <f t="shared" ca="1" si="68"/>
        <v>0.35600376008230028</v>
      </c>
      <c r="BE103" s="77">
        <f t="shared" ca="1" si="68"/>
        <v>0.35600376008230028</v>
      </c>
      <c r="BF103" s="77">
        <f t="shared" ca="1" si="68"/>
        <v>0.35600376008230028</v>
      </c>
      <c r="BG103" s="77">
        <f t="shared" ca="1" si="68"/>
        <v>0.35600376008230028</v>
      </c>
      <c r="BH103" s="77">
        <f t="shared" ca="1" si="68"/>
        <v>0.35600376008230028</v>
      </c>
      <c r="BI103" s="77">
        <f t="shared" ca="1" si="68"/>
        <v>0.35600376008230028</v>
      </c>
      <c r="BJ103" s="77">
        <f t="shared" ca="1" si="68"/>
        <v>0.35600376008230028</v>
      </c>
      <c r="BK103" s="77">
        <f t="shared" ca="1" si="68"/>
        <v>0.35600376008230028</v>
      </c>
      <c r="BL103" s="77">
        <f t="shared" ca="1" si="68"/>
        <v>0.35600376008230028</v>
      </c>
      <c r="BM103" s="77">
        <f t="shared" ca="1" si="68"/>
        <v>0.35600376008230028</v>
      </c>
      <c r="BN103" s="77">
        <f t="shared" ca="1" si="68"/>
        <v>0.35600376008230028</v>
      </c>
      <c r="BO103" s="77">
        <f t="shared" ca="1" si="68"/>
        <v>0.35600376008230028</v>
      </c>
      <c r="BP103" s="77">
        <f t="shared" ca="1" si="68"/>
        <v>0.35600376008230028</v>
      </c>
      <c r="BQ103" s="77">
        <f t="shared" ca="1" si="68"/>
        <v>0.35600376008230028</v>
      </c>
      <c r="BR103" s="77">
        <f t="shared" ca="1" si="68"/>
        <v>0.35600376008230028</v>
      </c>
      <c r="BS103" s="77">
        <f t="shared" ca="1" si="68"/>
        <v>0.35600376008230028</v>
      </c>
      <c r="BT103" s="77">
        <f t="shared" ca="1" si="68"/>
        <v>0.35600376008230028</v>
      </c>
      <c r="BU103" s="77">
        <f t="shared" ca="1" si="68"/>
        <v>0.35600376008230028</v>
      </c>
      <c r="BV103" s="77">
        <f t="shared" ca="1" si="68"/>
        <v>0.35600376008230028</v>
      </c>
      <c r="BW103" s="77">
        <f t="shared" ca="1" si="68"/>
        <v>0.35600376008230028</v>
      </c>
      <c r="BX103" s="77">
        <f t="shared" ca="1" si="68"/>
        <v>0.35600376008230028</v>
      </c>
      <c r="BY103" s="77">
        <f t="shared" ca="1" si="68"/>
        <v>0.35600376008230028</v>
      </c>
      <c r="BZ103" s="77">
        <f t="shared" ca="1" si="68"/>
        <v>0.35600376008230028</v>
      </c>
      <c r="CA103" s="77">
        <f t="shared" ca="1" si="68"/>
        <v>0.35600376008230028</v>
      </c>
      <c r="CB103" s="77">
        <f t="shared" ca="1" si="68"/>
        <v>0.35600376008230028</v>
      </c>
      <c r="CC103" s="77">
        <f t="shared" ca="1" si="68"/>
        <v>0.35600376008230028</v>
      </c>
      <c r="CD103" s="77">
        <f t="shared" ca="1" si="68"/>
        <v>0.35600376008230028</v>
      </c>
      <c r="CE103" s="77">
        <f t="shared" ca="1" si="68"/>
        <v>0.35600376008230028</v>
      </c>
      <c r="CF103" s="77">
        <f t="shared" ca="1" si="68"/>
        <v>0.35600376008230028</v>
      </c>
      <c r="CG103" s="77">
        <f t="shared" ca="1" si="68"/>
        <v>0.35600376008230028</v>
      </c>
      <c r="CH103" s="77">
        <f t="shared" ca="1" si="68"/>
        <v>0.35600376008230028</v>
      </c>
    </row>
    <row r="104" spans="2:86" ht="13" hidden="1" outlineLevel="1">
      <c r="B104" s="84">
        <v>1</v>
      </c>
      <c r="C104" s="64">
        <f t="shared" ref="C104:C183" ca="1" si="69">IFERROR((1+IRR(F104:CH104))^4-1,0)</f>
        <v>0</v>
      </c>
      <c r="D104" s="13" t="s">
        <v>238</v>
      </c>
      <c r="E104" s="37">
        <f t="shared" ca="1" si="59"/>
        <v>1203125</v>
      </c>
      <c r="F104" s="29"/>
      <c r="G104" s="37">
        <f ca="1">IF($B104=G$4,G$81,0)</f>
        <v>1203125</v>
      </c>
      <c r="H104" s="29">
        <f t="shared" ref="H104:CH104" si="70">IF(H$4&lt;=$B104,ABS(H$31)*-1+H$47,0)+IF($B104=H$4,H$81,0)</f>
        <v>0</v>
      </c>
      <c r="I104" s="29">
        <f t="shared" si="70"/>
        <v>0</v>
      </c>
      <c r="J104" s="29">
        <f t="shared" si="70"/>
        <v>0</v>
      </c>
      <c r="K104" s="29">
        <f t="shared" si="70"/>
        <v>0</v>
      </c>
      <c r="L104" s="29">
        <f t="shared" si="70"/>
        <v>0</v>
      </c>
      <c r="M104" s="29">
        <f t="shared" si="70"/>
        <v>0</v>
      </c>
      <c r="N104" s="29">
        <f t="shared" si="70"/>
        <v>0</v>
      </c>
      <c r="O104" s="29">
        <f t="shared" si="70"/>
        <v>0</v>
      </c>
      <c r="P104" s="29">
        <f t="shared" si="70"/>
        <v>0</v>
      </c>
      <c r="Q104" s="29">
        <f t="shared" si="70"/>
        <v>0</v>
      </c>
      <c r="R104" s="29">
        <f t="shared" si="70"/>
        <v>0</v>
      </c>
      <c r="S104" s="29">
        <f t="shared" si="70"/>
        <v>0</v>
      </c>
      <c r="T104" s="29">
        <f t="shared" si="70"/>
        <v>0</v>
      </c>
      <c r="U104" s="29">
        <f t="shared" si="70"/>
        <v>0</v>
      </c>
      <c r="V104" s="29">
        <f t="shared" si="70"/>
        <v>0</v>
      </c>
      <c r="W104" s="29">
        <f t="shared" si="70"/>
        <v>0</v>
      </c>
      <c r="X104" s="29">
        <f t="shared" si="70"/>
        <v>0</v>
      </c>
      <c r="Y104" s="29">
        <f t="shared" si="70"/>
        <v>0</v>
      </c>
      <c r="Z104" s="29">
        <f t="shared" si="70"/>
        <v>0</v>
      </c>
      <c r="AA104" s="29">
        <f t="shared" si="70"/>
        <v>0</v>
      </c>
      <c r="AB104" s="29">
        <f t="shared" si="70"/>
        <v>0</v>
      </c>
      <c r="AC104" s="29">
        <f t="shared" si="70"/>
        <v>0</v>
      </c>
      <c r="AD104" s="29">
        <f t="shared" si="70"/>
        <v>0</v>
      </c>
      <c r="AE104" s="29">
        <f t="shared" si="70"/>
        <v>0</v>
      </c>
      <c r="AF104" s="29">
        <f t="shared" si="70"/>
        <v>0</v>
      </c>
      <c r="AG104" s="29">
        <f t="shared" si="70"/>
        <v>0</v>
      </c>
      <c r="AH104" s="29">
        <f t="shared" si="70"/>
        <v>0</v>
      </c>
      <c r="AI104" s="29">
        <f t="shared" si="70"/>
        <v>0</v>
      </c>
      <c r="AJ104" s="29">
        <f t="shared" si="70"/>
        <v>0</v>
      </c>
      <c r="AK104" s="29">
        <f t="shared" si="70"/>
        <v>0</v>
      </c>
      <c r="AL104" s="29">
        <f t="shared" si="70"/>
        <v>0</v>
      </c>
      <c r="AM104" s="29">
        <f t="shared" si="70"/>
        <v>0</v>
      </c>
      <c r="AN104" s="29">
        <f t="shared" si="70"/>
        <v>0</v>
      </c>
      <c r="AO104" s="29">
        <f t="shared" si="70"/>
        <v>0</v>
      </c>
      <c r="AP104" s="29">
        <f t="shared" si="70"/>
        <v>0</v>
      </c>
      <c r="AQ104" s="29">
        <f t="shared" si="70"/>
        <v>0</v>
      </c>
      <c r="AR104" s="29">
        <f t="shared" si="70"/>
        <v>0</v>
      </c>
      <c r="AS104" s="29">
        <f t="shared" si="70"/>
        <v>0</v>
      </c>
      <c r="AT104" s="29">
        <f t="shared" si="70"/>
        <v>0</v>
      </c>
      <c r="AU104" s="29">
        <f t="shared" si="70"/>
        <v>0</v>
      </c>
      <c r="AV104" s="29">
        <f t="shared" si="70"/>
        <v>0</v>
      </c>
      <c r="AW104" s="29">
        <f t="shared" si="70"/>
        <v>0</v>
      </c>
      <c r="AX104" s="29">
        <f t="shared" si="70"/>
        <v>0</v>
      </c>
      <c r="AY104" s="29">
        <f t="shared" si="70"/>
        <v>0</v>
      </c>
      <c r="AZ104" s="29">
        <f t="shared" si="70"/>
        <v>0</v>
      </c>
      <c r="BA104" s="29">
        <f t="shared" si="70"/>
        <v>0</v>
      </c>
      <c r="BB104" s="29">
        <f t="shared" si="70"/>
        <v>0</v>
      </c>
      <c r="BC104" s="29">
        <f t="shared" si="70"/>
        <v>0</v>
      </c>
      <c r="BD104" s="29">
        <f t="shared" si="70"/>
        <v>0</v>
      </c>
      <c r="BE104" s="29">
        <f t="shared" si="70"/>
        <v>0</v>
      </c>
      <c r="BF104" s="29">
        <f t="shared" si="70"/>
        <v>0</v>
      </c>
      <c r="BG104" s="29">
        <f t="shared" si="70"/>
        <v>0</v>
      </c>
      <c r="BH104" s="29">
        <f t="shared" si="70"/>
        <v>0</v>
      </c>
      <c r="BI104" s="29">
        <f t="shared" si="70"/>
        <v>0</v>
      </c>
      <c r="BJ104" s="29">
        <f t="shared" si="70"/>
        <v>0</v>
      </c>
      <c r="BK104" s="29">
        <f t="shared" si="70"/>
        <v>0</v>
      </c>
      <c r="BL104" s="29">
        <f t="shared" si="70"/>
        <v>0</v>
      </c>
      <c r="BM104" s="29">
        <f t="shared" si="70"/>
        <v>0</v>
      </c>
      <c r="BN104" s="29">
        <f t="shared" si="70"/>
        <v>0</v>
      </c>
      <c r="BO104" s="29">
        <f t="shared" si="70"/>
        <v>0</v>
      </c>
      <c r="BP104" s="29">
        <f t="shared" si="70"/>
        <v>0</v>
      </c>
      <c r="BQ104" s="29">
        <f t="shared" si="70"/>
        <v>0</v>
      </c>
      <c r="BR104" s="29">
        <f t="shared" si="70"/>
        <v>0</v>
      </c>
      <c r="BS104" s="29">
        <f t="shared" si="70"/>
        <v>0</v>
      </c>
      <c r="BT104" s="29">
        <f t="shared" si="70"/>
        <v>0</v>
      </c>
      <c r="BU104" s="29">
        <f t="shared" si="70"/>
        <v>0</v>
      </c>
      <c r="BV104" s="29">
        <f t="shared" si="70"/>
        <v>0</v>
      </c>
      <c r="BW104" s="29">
        <f t="shared" si="70"/>
        <v>0</v>
      </c>
      <c r="BX104" s="29">
        <f t="shared" si="70"/>
        <v>0</v>
      </c>
      <c r="BY104" s="29">
        <f t="shared" si="70"/>
        <v>0</v>
      </c>
      <c r="BZ104" s="29">
        <f t="shared" si="70"/>
        <v>0</v>
      </c>
      <c r="CA104" s="29">
        <f t="shared" si="70"/>
        <v>0</v>
      </c>
      <c r="CB104" s="29">
        <f t="shared" si="70"/>
        <v>0</v>
      </c>
      <c r="CC104" s="29">
        <f t="shared" si="70"/>
        <v>0</v>
      </c>
      <c r="CD104" s="29">
        <f t="shared" si="70"/>
        <v>0</v>
      </c>
      <c r="CE104" s="29">
        <f t="shared" si="70"/>
        <v>0</v>
      </c>
      <c r="CF104" s="29">
        <f t="shared" si="70"/>
        <v>0</v>
      </c>
      <c r="CG104" s="29">
        <f t="shared" si="70"/>
        <v>0</v>
      </c>
      <c r="CH104" s="29">
        <f t="shared" si="70"/>
        <v>0</v>
      </c>
    </row>
    <row r="105" spans="2:86" ht="13" hidden="1" outlineLevel="1">
      <c r="B105" s="84">
        <f t="shared" ref="B105:B183" si="71">B104+1</f>
        <v>2</v>
      </c>
      <c r="C105" s="64">
        <f t="shared" ca="1" si="69"/>
        <v>-0.70787163127882269</v>
      </c>
      <c r="D105" s="15" t="s">
        <v>238</v>
      </c>
      <c r="E105" s="29">
        <f t="shared" ca="1" si="59"/>
        <v>-382500</v>
      </c>
      <c r="F105" s="29"/>
      <c r="G105" s="29">
        <f t="shared" ref="G105:CH105" ca="1" si="72">IF(G$4&lt;=$B105,ABS(G$31)*-1+G$47,0)+IF($B105=G$4,G$81,0)</f>
        <v>-1444375</v>
      </c>
      <c r="H105" s="29">
        <f t="shared" ca="1" si="72"/>
        <v>1061875</v>
      </c>
      <c r="I105" s="29">
        <f t="shared" si="72"/>
        <v>0</v>
      </c>
      <c r="J105" s="29">
        <f t="shared" si="72"/>
        <v>0</v>
      </c>
      <c r="K105" s="29">
        <f t="shared" si="72"/>
        <v>0</v>
      </c>
      <c r="L105" s="29">
        <f t="shared" si="72"/>
        <v>0</v>
      </c>
      <c r="M105" s="29">
        <f t="shared" si="72"/>
        <v>0</v>
      </c>
      <c r="N105" s="29">
        <f t="shared" si="72"/>
        <v>0</v>
      </c>
      <c r="O105" s="29">
        <f t="shared" si="72"/>
        <v>0</v>
      </c>
      <c r="P105" s="29">
        <f t="shared" si="72"/>
        <v>0</v>
      </c>
      <c r="Q105" s="29">
        <f t="shared" si="72"/>
        <v>0</v>
      </c>
      <c r="R105" s="29">
        <f t="shared" si="72"/>
        <v>0</v>
      </c>
      <c r="S105" s="29">
        <f t="shared" si="72"/>
        <v>0</v>
      </c>
      <c r="T105" s="29">
        <f t="shared" si="72"/>
        <v>0</v>
      </c>
      <c r="U105" s="29">
        <f t="shared" si="72"/>
        <v>0</v>
      </c>
      <c r="V105" s="29">
        <f t="shared" si="72"/>
        <v>0</v>
      </c>
      <c r="W105" s="29">
        <f t="shared" si="72"/>
        <v>0</v>
      </c>
      <c r="X105" s="29">
        <f t="shared" si="72"/>
        <v>0</v>
      </c>
      <c r="Y105" s="29">
        <f t="shared" si="72"/>
        <v>0</v>
      </c>
      <c r="Z105" s="29">
        <f t="shared" si="72"/>
        <v>0</v>
      </c>
      <c r="AA105" s="29">
        <f t="shared" si="72"/>
        <v>0</v>
      </c>
      <c r="AB105" s="29">
        <f t="shared" si="72"/>
        <v>0</v>
      </c>
      <c r="AC105" s="29">
        <f t="shared" si="72"/>
        <v>0</v>
      </c>
      <c r="AD105" s="29">
        <f t="shared" si="72"/>
        <v>0</v>
      </c>
      <c r="AE105" s="29">
        <f t="shared" si="72"/>
        <v>0</v>
      </c>
      <c r="AF105" s="29">
        <f t="shared" si="72"/>
        <v>0</v>
      </c>
      <c r="AG105" s="29">
        <f t="shared" si="72"/>
        <v>0</v>
      </c>
      <c r="AH105" s="29">
        <f t="shared" si="72"/>
        <v>0</v>
      </c>
      <c r="AI105" s="29">
        <f t="shared" si="72"/>
        <v>0</v>
      </c>
      <c r="AJ105" s="29">
        <f t="shared" si="72"/>
        <v>0</v>
      </c>
      <c r="AK105" s="29">
        <f t="shared" si="72"/>
        <v>0</v>
      </c>
      <c r="AL105" s="29">
        <f t="shared" si="72"/>
        <v>0</v>
      </c>
      <c r="AM105" s="29">
        <f t="shared" si="72"/>
        <v>0</v>
      </c>
      <c r="AN105" s="29">
        <f t="shared" si="72"/>
        <v>0</v>
      </c>
      <c r="AO105" s="29">
        <f t="shared" si="72"/>
        <v>0</v>
      </c>
      <c r="AP105" s="29">
        <f t="shared" si="72"/>
        <v>0</v>
      </c>
      <c r="AQ105" s="29">
        <f t="shared" si="72"/>
        <v>0</v>
      </c>
      <c r="AR105" s="29">
        <f t="shared" si="72"/>
        <v>0</v>
      </c>
      <c r="AS105" s="29">
        <f t="shared" si="72"/>
        <v>0</v>
      </c>
      <c r="AT105" s="29">
        <f t="shared" si="72"/>
        <v>0</v>
      </c>
      <c r="AU105" s="29">
        <f t="shared" si="72"/>
        <v>0</v>
      </c>
      <c r="AV105" s="29">
        <f t="shared" si="72"/>
        <v>0</v>
      </c>
      <c r="AW105" s="29">
        <f t="shared" si="72"/>
        <v>0</v>
      </c>
      <c r="AX105" s="29">
        <f t="shared" si="72"/>
        <v>0</v>
      </c>
      <c r="AY105" s="29">
        <f t="shared" si="72"/>
        <v>0</v>
      </c>
      <c r="AZ105" s="29">
        <f t="shared" si="72"/>
        <v>0</v>
      </c>
      <c r="BA105" s="29">
        <f t="shared" si="72"/>
        <v>0</v>
      </c>
      <c r="BB105" s="29">
        <f t="shared" si="72"/>
        <v>0</v>
      </c>
      <c r="BC105" s="29">
        <f t="shared" si="72"/>
        <v>0</v>
      </c>
      <c r="BD105" s="29">
        <f t="shared" si="72"/>
        <v>0</v>
      </c>
      <c r="BE105" s="29">
        <f t="shared" si="72"/>
        <v>0</v>
      </c>
      <c r="BF105" s="29">
        <f t="shared" si="72"/>
        <v>0</v>
      </c>
      <c r="BG105" s="29">
        <f t="shared" si="72"/>
        <v>0</v>
      </c>
      <c r="BH105" s="29">
        <f t="shared" si="72"/>
        <v>0</v>
      </c>
      <c r="BI105" s="29">
        <f t="shared" si="72"/>
        <v>0</v>
      </c>
      <c r="BJ105" s="29">
        <f t="shared" si="72"/>
        <v>0</v>
      </c>
      <c r="BK105" s="29">
        <f t="shared" si="72"/>
        <v>0</v>
      </c>
      <c r="BL105" s="29">
        <f t="shared" si="72"/>
        <v>0</v>
      </c>
      <c r="BM105" s="29">
        <f t="shared" si="72"/>
        <v>0</v>
      </c>
      <c r="BN105" s="29">
        <f t="shared" si="72"/>
        <v>0</v>
      </c>
      <c r="BO105" s="29">
        <f t="shared" si="72"/>
        <v>0</v>
      </c>
      <c r="BP105" s="29">
        <f t="shared" si="72"/>
        <v>0</v>
      </c>
      <c r="BQ105" s="29">
        <f t="shared" si="72"/>
        <v>0</v>
      </c>
      <c r="BR105" s="29">
        <f t="shared" si="72"/>
        <v>0</v>
      </c>
      <c r="BS105" s="29">
        <f t="shared" si="72"/>
        <v>0</v>
      </c>
      <c r="BT105" s="29">
        <f t="shared" si="72"/>
        <v>0</v>
      </c>
      <c r="BU105" s="29">
        <f t="shared" si="72"/>
        <v>0</v>
      </c>
      <c r="BV105" s="29">
        <f t="shared" si="72"/>
        <v>0</v>
      </c>
      <c r="BW105" s="29">
        <f t="shared" si="72"/>
        <v>0</v>
      </c>
      <c r="BX105" s="29">
        <f t="shared" si="72"/>
        <v>0</v>
      </c>
      <c r="BY105" s="29">
        <f t="shared" si="72"/>
        <v>0</v>
      </c>
      <c r="BZ105" s="29">
        <f t="shared" si="72"/>
        <v>0</v>
      </c>
      <c r="CA105" s="29">
        <f t="shared" si="72"/>
        <v>0</v>
      </c>
      <c r="CB105" s="29">
        <f t="shared" si="72"/>
        <v>0</v>
      </c>
      <c r="CC105" s="29">
        <f t="shared" si="72"/>
        <v>0</v>
      </c>
      <c r="CD105" s="29">
        <f t="shared" si="72"/>
        <v>0</v>
      </c>
      <c r="CE105" s="29">
        <f t="shared" si="72"/>
        <v>0</v>
      </c>
      <c r="CF105" s="29">
        <f t="shared" si="72"/>
        <v>0</v>
      </c>
      <c r="CG105" s="29">
        <f t="shared" si="72"/>
        <v>0</v>
      </c>
      <c r="CH105" s="29">
        <f t="shared" si="72"/>
        <v>0</v>
      </c>
    </row>
    <row r="106" spans="2:86" ht="13" hidden="1" outlineLevel="1">
      <c r="B106" s="84">
        <f t="shared" si="71"/>
        <v>3</v>
      </c>
      <c r="C106" s="64">
        <f t="shared" ca="1" si="69"/>
        <v>-0.42563575860668124</v>
      </c>
      <c r="D106" s="15" t="s">
        <v>238</v>
      </c>
      <c r="E106" s="29">
        <f t="shared" ca="1" si="59"/>
        <v>-523750</v>
      </c>
      <c r="F106" s="29"/>
      <c r="G106" s="29">
        <f t="shared" ref="G106:CH106" ca="1" si="73">IF(G$4&lt;=$B106,ABS(G$31)*-1+G$47,0)+IF($B106=G$4,G$81,0)</f>
        <v>-1444375</v>
      </c>
      <c r="H106" s="29">
        <f t="shared" ca="1" si="73"/>
        <v>-1344375</v>
      </c>
      <c r="I106" s="29">
        <f t="shared" ca="1" si="73"/>
        <v>2265000</v>
      </c>
      <c r="J106" s="29">
        <f t="shared" si="73"/>
        <v>0</v>
      </c>
      <c r="K106" s="29">
        <f t="shared" si="73"/>
        <v>0</v>
      </c>
      <c r="L106" s="29">
        <f t="shared" si="73"/>
        <v>0</v>
      </c>
      <c r="M106" s="29">
        <f t="shared" si="73"/>
        <v>0</v>
      </c>
      <c r="N106" s="29">
        <f t="shared" si="73"/>
        <v>0</v>
      </c>
      <c r="O106" s="29">
        <f t="shared" si="73"/>
        <v>0</v>
      </c>
      <c r="P106" s="29">
        <f t="shared" si="73"/>
        <v>0</v>
      </c>
      <c r="Q106" s="29">
        <f t="shared" si="73"/>
        <v>0</v>
      </c>
      <c r="R106" s="29">
        <f t="shared" si="73"/>
        <v>0</v>
      </c>
      <c r="S106" s="29">
        <f t="shared" si="73"/>
        <v>0</v>
      </c>
      <c r="T106" s="29">
        <f t="shared" si="73"/>
        <v>0</v>
      </c>
      <c r="U106" s="29">
        <f t="shared" si="73"/>
        <v>0</v>
      </c>
      <c r="V106" s="29">
        <f t="shared" si="73"/>
        <v>0</v>
      </c>
      <c r="W106" s="29">
        <f t="shared" si="73"/>
        <v>0</v>
      </c>
      <c r="X106" s="29">
        <f t="shared" si="73"/>
        <v>0</v>
      </c>
      <c r="Y106" s="29">
        <f t="shared" si="73"/>
        <v>0</v>
      </c>
      <c r="Z106" s="29">
        <f t="shared" si="73"/>
        <v>0</v>
      </c>
      <c r="AA106" s="29">
        <f t="shared" si="73"/>
        <v>0</v>
      </c>
      <c r="AB106" s="29">
        <f t="shared" si="73"/>
        <v>0</v>
      </c>
      <c r="AC106" s="29">
        <f t="shared" si="73"/>
        <v>0</v>
      </c>
      <c r="AD106" s="29">
        <f t="shared" si="73"/>
        <v>0</v>
      </c>
      <c r="AE106" s="29">
        <f t="shared" si="73"/>
        <v>0</v>
      </c>
      <c r="AF106" s="29">
        <f t="shared" si="73"/>
        <v>0</v>
      </c>
      <c r="AG106" s="29">
        <f t="shared" si="73"/>
        <v>0</v>
      </c>
      <c r="AH106" s="29">
        <f t="shared" si="73"/>
        <v>0</v>
      </c>
      <c r="AI106" s="29">
        <f t="shared" si="73"/>
        <v>0</v>
      </c>
      <c r="AJ106" s="29">
        <f t="shared" si="73"/>
        <v>0</v>
      </c>
      <c r="AK106" s="29">
        <f t="shared" si="73"/>
        <v>0</v>
      </c>
      <c r="AL106" s="29">
        <f t="shared" si="73"/>
        <v>0</v>
      </c>
      <c r="AM106" s="29">
        <f t="shared" si="73"/>
        <v>0</v>
      </c>
      <c r="AN106" s="29">
        <f t="shared" si="73"/>
        <v>0</v>
      </c>
      <c r="AO106" s="29">
        <f t="shared" si="73"/>
        <v>0</v>
      </c>
      <c r="AP106" s="29">
        <f t="shared" si="73"/>
        <v>0</v>
      </c>
      <c r="AQ106" s="29">
        <f t="shared" si="73"/>
        <v>0</v>
      </c>
      <c r="AR106" s="29">
        <f t="shared" si="73"/>
        <v>0</v>
      </c>
      <c r="AS106" s="29">
        <f t="shared" si="73"/>
        <v>0</v>
      </c>
      <c r="AT106" s="29">
        <f t="shared" si="73"/>
        <v>0</v>
      </c>
      <c r="AU106" s="29">
        <f t="shared" si="73"/>
        <v>0</v>
      </c>
      <c r="AV106" s="29">
        <f t="shared" si="73"/>
        <v>0</v>
      </c>
      <c r="AW106" s="29">
        <f t="shared" si="73"/>
        <v>0</v>
      </c>
      <c r="AX106" s="29">
        <f t="shared" si="73"/>
        <v>0</v>
      </c>
      <c r="AY106" s="29">
        <f t="shared" si="73"/>
        <v>0</v>
      </c>
      <c r="AZ106" s="29">
        <f t="shared" si="73"/>
        <v>0</v>
      </c>
      <c r="BA106" s="29">
        <f t="shared" si="73"/>
        <v>0</v>
      </c>
      <c r="BB106" s="29">
        <f t="shared" si="73"/>
        <v>0</v>
      </c>
      <c r="BC106" s="29">
        <f t="shared" si="73"/>
        <v>0</v>
      </c>
      <c r="BD106" s="29">
        <f t="shared" si="73"/>
        <v>0</v>
      </c>
      <c r="BE106" s="29">
        <f t="shared" si="73"/>
        <v>0</v>
      </c>
      <c r="BF106" s="29">
        <f t="shared" si="73"/>
        <v>0</v>
      </c>
      <c r="BG106" s="29">
        <f t="shared" si="73"/>
        <v>0</v>
      </c>
      <c r="BH106" s="29">
        <f t="shared" si="73"/>
        <v>0</v>
      </c>
      <c r="BI106" s="29">
        <f t="shared" si="73"/>
        <v>0</v>
      </c>
      <c r="BJ106" s="29">
        <f t="shared" si="73"/>
        <v>0</v>
      </c>
      <c r="BK106" s="29">
        <f t="shared" si="73"/>
        <v>0</v>
      </c>
      <c r="BL106" s="29">
        <f t="shared" si="73"/>
        <v>0</v>
      </c>
      <c r="BM106" s="29">
        <f t="shared" si="73"/>
        <v>0</v>
      </c>
      <c r="BN106" s="29">
        <f t="shared" si="73"/>
        <v>0</v>
      </c>
      <c r="BO106" s="29">
        <f t="shared" si="73"/>
        <v>0</v>
      </c>
      <c r="BP106" s="29">
        <f t="shared" si="73"/>
        <v>0</v>
      </c>
      <c r="BQ106" s="29">
        <f t="shared" si="73"/>
        <v>0</v>
      </c>
      <c r="BR106" s="29">
        <f t="shared" si="73"/>
        <v>0</v>
      </c>
      <c r="BS106" s="29">
        <f t="shared" si="73"/>
        <v>0</v>
      </c>
      <c r="BT106" s="29">
        <f t="shared" si="73"/>
        <v>0</v>
      </c>
      <c r="BU106" s="29">
        <f t="shared" si="73"/>
        <v>0</v>
      </c>
      <c r="BV106" s="29">
        <f t="shared" si="73"/>
        <v>0</v>
      </c>
      <c r="BW106" s="29">
        <f t="shared" si="73"/>
        <v>0</v>
      </c>
      <c r="BX106" s="29">
        <f t="shared" si="73"/>
        <v>0</v>
      </c>
      <c r="BY106" s="29">
        <f t="shared" si="73"/>
        <v>0</v>
      </c>
      <c r="BZ106" s="29">
        <f t="shared" si="73"/>
        <v>0</v>
      </c>
      <c r="CA106" s="29">
        <f t="shared" si="73"/>
        <v>0</v>
      </c>
      <c r="CB106" s="29">
        <f t="shared" si="73"/>
        <v>0</v>
      </c>
      <c r="CC106" s="29">
        <f t="shared" si="73"/>
        <v>0</v>
      </c>
      <c r="CD106" s="29">
        <f t="shared" si="73"/>
        <v>0</v>
      </c>
      <c r="CE106" s="29">
        <f t="shared" si="73"/>
        <v>0</v>
      </c>
      <c r="CF106" s="29">
        <f t="shared" si="73"/>
        <v>0</v>
      </c>
      <c r="CG106" s="29">
        <f t="shared" si="73"/>
        <v>0</v>
      </c>
      <c r="CH106" s="29">
        <f t="shared" si="73"/>
        <v>0</v>
      </c>
    </row>
    <row r="107" spans="2:86" ht="13" hidden="1" outlineLevel="1">
      <c r="B107" s="84">
        <f t="shared" si="71"/>
        <v>4</v>
      </c>
      <c r="C107" s="64">
        <f t="shared" ca="1" si="69"/>
        <v>-0.29657944132958192</v>
      </c>
      <c r="D107" s="15" t="s">
        <v>238</v>
      </c>
      <c r="E107" s="29">
        <f t="shared" ca="1" si="59"/>
        <v>-665000</v>
      </c>
      <c r="F107" s="29"/>
      <c r="G107" s="29">
        <f t="shared" ref="G107:CH107" ca="1" si="74">IF(G$4&lt;=$B107,ABS(G$31)*-1+G$47,0)+IF($B107=G$4,G$81,0)</f>
        <v>-1444375</v>
      </c>
      <c r="H107" s="29">
        <f t="shared" ca="1" si="74"/>
        <v>-1344375</v>
      </c>
      <c r="I107" s="29">
        <f t="shared" ca="1" si="74"/>
        <v>-1344375</v>
      </c>
      <c r="J107" s="29">
        <f t="shared" ca="1" si="74"/>
        <v>3468125</v>
      </c>
      <c r="K107" s="29">
        <f t="shared" si="74"/>
        <v>0</v>
      </c>
      <c r="L107" s="29">
        <f t="shared" si="74"/>
        <v>0</v>
      </c>
      <c r="M107" s="29">
        <f t="shared" si="74"/>
        <v>0</v>
      </c>
      <c r="N107" s="29">
        <f t="shared" si="74"/>
        <v>0</v>
      </c>
      <c r="O107" s="29">
        <f t="shared" si="74"/>
        <v>0</v>
      </c>
      <c r="P107" s="29">
        <f t="shared" si="74"/>
        <v>0</v>
      </c>
      <c r="Q107" s="29">
        <f t="shared" si="74"/>
        <v>0</v>
      </c>
      <c r="R107" s="29">
        <f t="shared" si="74"/>
        <v>0</v>
      </c>
      <c r="S107" s="29">
        <f t="shared" si="74"/>
        <v>0</v>
      </c>
      <c r="T107" s="29">
        <f t="shared" si="74"/>
        <v>0</v>
      </c>
      <c r="U107" s="29">
        <f t="shared" si="74"/>
        <v>0</v>
      </c>
      <c r="V107" s="29">
        <f t="shared" si="74"/>
        <v>0</v>
      </c>
      <c r="W107" s="29">
        <f t="shared" si="74"/>
        <v>0</v>
      </c>
      <c r="X107" s="29">
        <f t="shared" si="74"/>
        <v>0</v>
      </c>
      <c r="Y107" s="29">
        <f t="shared" si="74"/>
        <v>0</v>
      </c>
      <c r="Z107" s="29">
        <f t="shared" si="74"/>
        <v>0</v>
      </c>
      <c r="AA107" s="29">
        <f t="shared" si="74"/>
        <v>0</v>
      </c>
      <c r="AB107" s="29">
        <f t="shared" si="74"/>
        <v>0</v>
      </c>
      <c r="AC107" s="29">
        <f t="shared" si="74"/>
        <v>0</v>
      </c>
      <c r="AD107" s="29">
        <f t="shared" si="74"/>
        <v>0</v>
      </c>
      <c r="AE107" s="29">
        <f t="shared" si="74"/>
        <v>0</v>
      </c>
      <c r="AF107" s="29">
        <f t="shared" si="74"/>
        <v>0</v>
      </c>
      <c r="AG107" s="29">
        <f t="shared" si="74"/>
        <v>0</v>
      </c>
      <c r="AH107" s="29">
        <f t="shared" si="74"/>
        <v>0</v>
      </c>
      <c r="AI107" s="29">
        <f t="shared" si="74"/>
        <v>0</v>
      </c>
      <c r="AJ107" s="29">
        <f t="shared" si="74"/>
        <v>0</v>
      </c>
      <c r="AK107" s="29">
        <f t="shared" si="74"/>
        <v>0</v>
      </c>
      <c r="AL107" s="29">
        <f t="shared" si="74"/>
        <v>0</v>
      </c>
      <c r="AM107" s="29">
        <f t="shared" si="74"/>
        <v>0</v>
      </c>
      <c r="AN107" s="29">
        <f t="shared" si="74"/>
        <v>0</v>
      </c>
      <c r="AO107" s="29">
        <f t="shared" si="74"/>
        <v>0</v>
      </c>
      <c r="AP107" s="29">
        <f t="shared" si="74"/>
        <v>0</v>
      </c>
      <c r="AQ107" s="29">
        <f t="shared" si="74"/>
        <v>0</v>
      </c>
      <c r="AR107" s="29">
        <f t="shared" si="74"/>
        <v>0</v>
      </c>
      <c r="AS107" s="29">
        <f t="shared" si="74"/>
        <v>0</v>
      </c>
      <c r="AT107" s="29">
        <f t="shared" si="74"/>
        <v>0</v>
      </c>
      <c r="AU107" s="29">
        <f t="shared" si="74"/>
        <v>0</v>
      </c>
      <c r="AV107" s="29">
        <f t="shared" si="74"/>
        <v>0</v>
      </c>
      <c r="AW107" s="29">
        <f t="shared" si="74"/>
        <v>0</v>
      </c>
      <c r="AX107" s="29">
        <f t="shared" si="74"/>
        <v>0</v>
      </c>
      <c r="AY107" s="29">
        <f t="shared" si="74"/>
        <v>0</v>
      </c>
      <c r="AZ107" s="29">
        <f t="shared" si="74"/>
        <v>0</v>
      </c>
      <c r="BA107" s="29">
        <f t="shared" si="74"/>
        <v>0</v>
      </c>
      <c r="BB107" s="29">
        <f t="shared" si="74"/>
        <v>0</v>
      </c>
      <c r="BC107" s="29">
        <f t="shared" si="74"/>
        <v>0</v>
      </c>
      <c r="BD107" s="29">
        <f t="shared" si="74"/>
        <v>0</v>
      </c>
      <c r="BE107" s="29">
        <f t="shared" si="74"/>
        <v>0</v>
      </c>
      <c r="BF107" s="29">
        <f t="shared" si="74"/>
        <v>0</v>
      </c>
      <c r="BG107" s="29">
        <f t="shared" si="74"/>
        <v>0</v>
      </c>
      <c r="BH107" s="29">
        <f t="shared" si="74"/>
        <v>0</v>
      </c>
      <c r="BI107" s="29">
        <f t="shared" si="74"/>
        <v>0</v>
      </c>
      <c r="BJ107" s="29">
        <f t="shared" si="74"/>
        <v>0</v>
      </c>
      <c r="BK107" s="29">
        <f t="shared" si="74"/>
        <v>0</v>
      </c>
      <c r="BL107" s="29">
        <f t="shared" si="74"/>
        <v>0</v>
      </c>
      <c r="BM107" s="29">
        <f t="shared" si="74"/>
        <v>0</v>
      </c>
      <c r="BN107" s="29">
        <f t="shared" si="74"/>
        <v>0</v>
      </c>
      <c r="BO107" s="29">
        <f t="shared" si="74"/>
        <v>0</v>
      </c>
      <c r="BP107" s="29">
        <f t="shared" si="74"/>
        <v>0</v>
      </c>
      <c r="BQ107" s="29">
        <f t="shared" si="74"/>
        <v>0</v>
      </c>
      <c r="BR107" s="29">
        <f t="shared" si="74"/>
        <v>0</v>
      </c>
      <c r="BS107" s="29">
        <f t="shared" si="74"/>
        <v>0</v>
      </c>
      <c r="BT107" s="29">
        <f t="shared" si="74"/>
        <v>0</v>
      </c>
      <c r="BU107" s="29">
        <f t="shared" si="74"/>
        <v>0</v>
      </c>
      <c r="BV107" s="29">
        <f t="shared" si="74"/>
        <v>0</v>
      </c>
      <c r="BW107" s="29">
        <f t="shared" si="74"/>
        <v>0</v>
      </c>
      <c r="BX107" s="29">
        <f t="shared" si="74"/>
        <v>0</v>
      </c>
      <c r="BY107" s="29">
        <f t="shared" si="74"/>
        <v>0</v>
      </c>
      <c r="BZ107" s="29">
        <f t="shared" si="74"/>
        <v>0</v>
      </c>
      <c r="CA107" s="29">
        <f t="shared" si="74"/>
        <v>0</v>
      </c>
      <c r="CB107" s="29">
        <f t="shared" si="74"/>
        <v>0</v>
      </c>
      <c r="CC107" s="29">
        <f t="shared" si="74"/>
        <v>0</v>
      </c>
      <c r="CD107" s="29">
        <f t="shared" si="74"/>
        <v>0</v>
      </c>
      <c r="CE107" s="29">
        <f t="shared" si="74"/>
        <v>0</v>
      </c>
      <c r="CF107" s="29">
        <f t="shared" si="74"/>
        <v>0</v>
      </c>
      <c r="CG107" s="29">
        <f t="shared" si="74"/>
        <v>0</v>
      </c>
      <c r="CH107" s="29">
        <f t="shared" si="74"/>
        <v>0</v>
      </c>
    </row>
    <row r="108" spans="2:86" ht="13" hidden="1" outlineLevel="1">
      <c r="B108" s="84">
        <f t="shared" si="71"/>
        <v>5</v>
      </c>
      <c r="C108" s="64">
        <f t="shared" ca="1" si="69"/>
        <v>-0.22594110408197832</v>
      </c>
      <c r="D108" s="15" t="s">
        <v>238</v>
      </c>
      <c r="E108" s="29">
        <f t="shared" ca="1" si="59"/>
        <v>-806250</v>
      </c>
      <c r="F108" s="29"/>
      <c r="G108" s="29">
        <f t="shared" ref="G108:CH108" ca="1" si="75">IF(G$4&lt;=$B108,ABS(G$31)*-1+G$47,0)+IF($B108=G$4,G$81,0)</f>
        <v>-1444375</v>
      </c>
      <c r="H108" s="29">
        <f t="shared" ca="1" si="75"/>
        <v>-1344375</v>
      </c>
      <c r="I108" s="29">
        <f t="shared" ca="1" si="75"/>
        <v>-1344375</v>
      </c>
      <c r="J108" s="29">
        <f t="shared" ca="1" si="75"/>
        <v>-1344375</v>
      </c>
      <c r="K108" s="29">
        <f t="shared" ca="1" si="75"/>
        <v>4671250</v>
      </c>
      <c r="L108" s="29">
        <f t="shared" si="75"/>
        <v>0</v>
      </c>
      <c r="M108" s="29">
        <f t="shared" si="75"/>
        <v>0</v>
      </c>
      <c r="N108" s="29">
        <f t="shared" si="75"/>
        <v>0</v>
      </c>
      <c r="O108" s="29">
        <f t="shared" si="75"/>
        <v>0</v>
      </c>
      <c r="P108" s="29">
        <f t="shared" si="75"/>
        <v>0</v>
      </c>
      <c r="Q108" s="29">
        <f t="shared" si="75"/>
        <v>0</v>
      </c>
      <c r="R108" s="29">
        <f t="shared" si="75"/>
        <v>0</v>
      </c>
      <c r="S108" s="29">
        <f t="shared" si="75"/>
        <v>0</v>
      </c>
      <c r="T108" s="29">
        <f t="shared" si="75"/>
        <v>0</v>
      </c>
      <c r="U108" s="29">
        <f t="shared" si="75"/>
        <v>0</v>
      </c>
      <c r="V108" s="29">
        <f t="shared" si="75"/>
        <v>0</v>
      </c>
      <c r="W108" s="29">
        <f t="shared" si="75"/>
        <v>0</v>
      </c>
      <c r="X108" s="29">
        <f t="shared" si="75"/>
        <v>0</v>
      </c>
      <c r="Y108" s="29">
        <f t="shared" si="75"/>
        <v>0</v>
      </c>
      <c r="Z108" s="29">
        <f t="shared" si="75"/>
        <v>0</v>
      </c>
      <c r="AA108" s="29">
        <f t="shared" si="75"/>
        <v>0</v>
      </c>
      <c r="AB108" s="29">
        <f t="shared" si="75"/>
        <v>0</v>
      </c>
      <c r="AC108" s="29">
        <f t="shared" si="75"/>
        <v>0</v>
      </c>
      <c r="AD108" s="29">
        <f t="shared" si="75"/>
        <v>0</v>
      </c>
      <c r="AE108" s="29">
        <f t="shared" si="75"/>
        <v>0</v>
      </c>
      <c r="AF108" s="29">
        <f t="shared" si="75"/>
        <v>0</v>
      </c>
      <c r="AG108" s="29">
        <f t="shared" si="75"/>
        <v>0</v>
      </c>
      <c r="AH108" s="29">
        <f t="shared" si="75"/>
        <v>0</v>
      </c>
      <c r="AI108" s="29">
        <f t="shared" si="75"/>
        <v>0</v>
      </c>
      <c r="AJ108" s="29">
        <f t="shared" si="75"/>
        <v>0</v>
      </c>
      <c r="AK108" s="29">
        <f t="shared" si="75"/>
        <v>0</v>
      </c>
      <c r="AL108" s="29">
        <f t="shared" si="75"/>
        <v>0</v>
      </c>
      <c r="AM108" s="29">
        <f t="shared" si="75"/>
        <v>0</v>
      </c>
      <c r="AN108" s="29">
        <f t="shared" si="75"/>
        <v>0</v>
      </c>
      <c r="AO108" s="29">
        <f t="shared" si="75"/>
        <v>0</v>
      </c>
      <c r="AP108" s="29">
        <f t="shared" si="75"/>
        <v>0</v>
      </c>
      <c r="AQ108" s="29">
        <f t="shared" si="75"/>
        <v>0</v>
      </c>
      <c r="AR108" s="29">
        <f t="shared" si="75"/>
        <v>0</v>
      </c>
      <c r="AS108" s="29">
        <f t="shared" si="75"/>
        <v>0</v>
      </c>
      <c r="AT108" s="29">
        <f t="shared" si="75"/>
        <v>0</v>
      </c>
      <c r="AU108" s="29">
        <f t="shared" si="75"/>
        <v>0</v>
      </c>
      <c r="AV108" s="29">
        <f t="shared" si="75"/>
        <v>0</v>
      </c>
      <c r="AW108" s="29">
        <f t="shared" si="75"/>
        <v>0</v>
      </c>
      <c r="AX108" s="29">
        <f t="shared" si="75"/>
        <v>0</v>
      </c>
      <c r="AY108" s="29">
        <f t="shared" si="75"/>
        <v>0</v>
      </c>
      <c r="AZ108" s="29">
        <f t="shared" si="75"/>
        <v>0</v>
      </c>
      <c r="BA108" s="29">
        <f t="shared" si="75"/>
        <v>0</v>
      </c>
      <c r="BB108" s="29">
        <f t="shared" si="75"/>
        <v>0</v>
      </c>
      <c r="BC108" s="29">
        <f t="shared" si="75"/>
        <v>0</v>
      </c>
      <c r="BD108" s="29">
        <f t="shared" si="75"/>
        <v>0</v>
      </c>
      <c r="BE108" s="29">
        <f t="shared" si="75"/>
        <v>0</v>
      </c>
      <c r="BF108" s="29">
        <f t="shared" si="75"/>
        <v>0</v>
      </c>
      <c r="BG108" s="29">
        <f t="shared" si="75"/>
        <v>0</v>
      </c>
      <c r="BH108" s="29">
        <f t="shared" si="75"/>
        <v>0</v>
      </c>
      <c r="BI108" s="29">
        <f t="shared" si="75"/>
        <v>0</v>
      </c>
      <c r="BJ108" s="29">
        <f t="shared" si="75"/>
        <v>0</v>
      </c>
      <c r="BK108" s="29">
        <f t="shared" si="75"/>
        <v>0</v>
      </c>
      <c r="BL108" s="29">
        <f t="shared" si="75"/>
        <v>0</v>
      </c>
      <c r="BM108" s="29">
        <f t="shared" si="75"/>
        <v>0</v>
      </c>
      <c r="BN108" s="29">
        <f t="shared" si="75"/>
        <v>0</v>
      </c>
      <c r="BO108" s="29">
        <f t="shared" si="75"/>
        <v>0</v>
      </c>
      <c r="BP108" s="29">
        <f t="shared" si="75"/>
        <v>0</v>
      </c>
      <c r="BQ108" s="29">
        <f t="shared" si="75"/>
        <v>0</v>
      </c>
      <c r="BR108" s="29">
        <f t="shared" si="75"/>
        <v>0</v>
      </c>
      <c r="BS108" s="29">
        <f t="shared" si="75"/>
        <v>0</v>
      </c>
      <c r="BT108" s="29">
        <f t="shared" si="75"/>
        <v>0</v>
      </c>
      <c r="BU108" s="29">
        <f t="shared" si="75"/>
        <v>0</v>
      </c>
      <c r="BV108" s="29">
        <f t="shared" si="75"/>
        <v>0</v>
      </c>
      <c r="BW108" s="29">
        <f t="shared" si="75"/>
        <v>0</v>
      </c>
      <c r="BX108" s="29">
        <f t="shared" si="75"/>
        <v>0</v>
      </c>
      <c r="BY108" s="29">
        <f t="shared" si="75"/>
        <v>0</v>
      </c>
      <c r="BZ108" s="29">
        <f t="shared" si="75"/>
        <v>0</v>
      </c>
      <c r="CA108" s="29">
        <f t="shared" si="75"/>
        <v>0</v>
      </c>
      <c r="CB108" s="29">
        <f t="shared" si="75"/>
        <v>0</v>
      </c>
      <c r="CC108" s="29">
        <f t="shared" si="75"/>
        <v>0</v>
      </c>
      <c r="CD108" s="29">
        <f t="shared" si="75"/>
        <v>0</v>
      </c>
      <c r="CE108" s="29">
        <f t="shared" si="75"/>
        <v>0</v>
      </c>
      <c r="CF108" s="29">
        <f t="shared" si="75"/>
        <v>0</v>
      </c>
      <c r="CG108" s="29">
        <f t="shared" si="75"/>
        <v>0</v>
      </c>
      <c r="CH108" s="29">
        <f t="shared" si="75"/>
        <v>0</v>
      </c>
    </row>
    <row r="109" spans="2:86" ht="13" hidden="1" outlineLevel="1">
      <c r="B109" s="84">
        <f t="shared" si="71"/>
        <v>6</v>
      </c>
      <c r="C109" s="64">
        <f t="shared" ca="1" si="69"/>
        <v>-0.18194488047271207</v>
      </c>
      <c r="D109" s="15" t="s">
        <v>238</v>
      </c>
      <c r="E109" s="29">
        <f t="shared" ca="1" si="59"/>
        <v>-947500</v>
      </c>
      <c r="F109" s="29"/>
      <c r="G109" s="29">
        <f t="shared" ref="G109:CH109" ca="1" si="76">IF(G$4&lt;=$B109,ABS(G$31)*-1+G$47,0)+IF($B109=G$4,G$81,0)</f>
        <v>-1444375</v>
      </c>
      <c r="H109" s="29">
        <f t="shared" ca="1" si="76"/>
        <v>-1344375</v>
      </c>
      <c r="I109" s="29">
        <f t="shared" ca="1" si="76"/>
        <v>-1344375</v>
      </c>
      <c r="J109" s="29">
        <f t="shared" ca="1" si="76"/>
        <v>-1344375</v>
      </c>
      <c r="K109" s="29">
        <f t="shared" ca="1" si="76"/>
        <v>-1344375</v>
      </c>
      <c r="L109" s="29">
        <f t="shared" ca="1" si="76"/>
        <v>5874375</v>
      </c>
      <c r="M109" s="29">
        <f t="shared" si="76"/>
        <v>0</v>
      </c>
      <c r="N109" s="29">
        <f t="shared" si="76"/>
        <v>0</v>
      </c>
      <c r="O109" s="29">
        <f t="shared" si="76"/>
        <v>0</v>
      </c>
      <c r="P109" s="29">
        <f t="shared" si="76"/>
        <v>0</v>
      </c>
      <c r="Q109" s="29">
        <f t="shared" si="76"/>
        <v>0</v>
      </c>
      <c r="R109" s="29">
        <f t="shared" si="76"/>
        <v>0</v>
      </c>
      <c r="S109" s="29">
        <f t="shared" si="76"/>
        <v>0</v>
      </c>
      <c r="T109" s="29">
        <f t="shared" si="76"/>
        <v>0</v>
      </c>
      <c r="U109" s="29">
        <f t="shared" si="76"/>
        <v>0</v>
      </c>
      <c r="V109" s="29">
        <f t="shared" si="76"/>
        <v>0</v>
      </c>
      <c r="W109" s="29">
        <f t="shared" si="76"/>
        <v>0</v>
      </c>
      <c r="X109" s="29">
        <f t="shared" si="76"/>
        <v>0</v>
      </c>
      <c r="Y109" s="29">
        <f t="shared" si="76"/>
        <v>0</v>
      </c>
      <c r="Z109" s="29">
        <f t="shared" si="76"/>
        <v>0</v>
      </c>
      <c r="AA109" s="29">
        <f t="shared" si="76"/>
        <v>0</v>
      </c>
      <c r="AB109" s="29">
        <f t="shared" si="76"/>
        <v>0</v>
      </c>
      <c r="AC109" s="29">
        <f t="shared" si="76"/>
        <v>0</v>
      </c>
      <c r="AD109" s="29">
        <f t="shared" si="76"/>
        <v>0</v>
      </c>
      <c r="AE109" s="29">
        <f t="shared" si="76"/>
        <v>0</v>
      </c>
      <c r="AF109" s="29">
        <f t="shared" si="76"/>
        <v>0</v>
      </c>
      <c r="AG109" s="29">
        <f t="shared" si="76"/>
        <v>0</v>
      </c>
      <c r="AH109" s="29">
        <f t="shared" si="76"/>
        <v>0</v>
      </c>
      <c r="AI109" s="29">
        <f t="shared" si="76"/>
        <v>0</v>
      </c>
      <c r="AJ109" s="29">
        <f t="shared" si="76"/>
        <v>0</v>
      </c>
      <c r="AK109" s="29">
        <f t="shared" si="76"/>
        <v>0</v>
      </c>
      <c r="AL109" s="29">
        <f t="shared" si="76"/>
        <v>0</v>
      </c>
      <c r="AM109" s="29">
        <f t="shared" si="76"/>
        <v>0</v>
      </c>
      <c r="AN109" s="29">
        <f t="shared" si="76"/>
        <v>0</v>
      </c>
      <c r="AO109" s="29">
        <f t="shared" si="76"/>
        <v>0</v>
      </c>
      <c r="AP109" s="29">
        <f t="shared" si="76"/>
        <v>0</v>
      </c>
      <c r="AQ109" s="29">
        <f t="shared" si="76"/>
        <v>0</v>
      </c>
      <c r="AR109" s="29">
        <f t="shared" si="76"/>
        <v>0</v>
      </c>
      <c r="AS109" s="29">
        <f t="shared" si="76"/>
        <v>0</v>
      </c>
      <c r="AT109" s="29">
        <f t="shared" si="76"/>
        <v>0</v>
      </c>
      <c r="AU109" s="29">
        <f t="shared" si="76"/>
        <v>0</v>
      </c>
      <c r="AV109" s="29">
        <f t="shared" si="76"/>
        <v>0</v>
      </c>
      <c r="AW109" s="29">
        <f t="shared" si="76"/>
        <v>0</v>
      </c>
      <c r="AX109" s="29">
        <f t="shared" si="76"/>
        <v>0</v>
      </c>
      <c r="AY109" s="29">
        <f t="shared" si="76"/>
        <v>0</v>
      </c>
      <c r="AZ109" s="29">
        <f t="shared" si="76"/>
        <v>0</v>
      </c>
      <c r="BA109" s="29">
        <f t="shared" si="76"/>
        <v>0</v>
      </c>
      <c r="BB109" s="29">
        <f t="shared" si="76"/>
        <v>0</v>
      </c>
      <c r="BC109" s="29">
        <f t="shared" si="76"/>
        <v>0</v>
      </c>
      <c r="BD109" s="29">
        <f t="shared" si="76"/>
        <v>0</v>
      </c>
      <c r="BE109" s="29">
        <f t="shared" si="76"/>
        <v>0</v>
      </c>
      <c r="BF109" s="29">
        <f t="shared" si="76"/>
        <v>0</v>
      </c>
      <c r="BG109" s="29">
        <f t="shared" si="76"/>
        <v>0</v>
      </c>
      <c r="BH109" s="29">
        <f t="shared" si="76"/>
        <v>0</v>
      </c>
      <c r="BI109" s="29">
        <f t="shared" si="76"/>
        <v>0</v>
      </c>
      <c r="BJ109" s="29">
        <f t="shared" si="76"/>
        <v>0</v>
      </c>
      <c r="BK109" s="29">
        <f t="shared" si="76"/>
        <v>0</v>
      </c>
      <c r="BL109" s="29">
        <f t="shared" si="76"/>
        <v>0</v>
      </c>
      <c r="BM109" s="29">
        <f t="shared" si="76"/>
        <v>0</v>
      </c>
      <c r="BN109" s="29">
        <f t="shared" si="76"/>
        <v>0</v>
      </c>
      <c r="BO109" s="29">
        <f t="shared" si="76"/>
        <v>0</v>
      </c>
      <c r="BP109" s="29">
        <f t="shared" si="76"/>
        <v>0</v>
      </c>
      <c r="BQ109" s="29">
        <f t="shared" si="76"/>
        <v>0</v>
      </c>
      <c r="BR109" s="29">
        <f t="shared" si="76"/>
        <v>0</v>
      </c>
      <c r="BS109" s="29">
        <f t="shared" si="76"/>
        <v>0</v>
      </c>
      <c r="BT109" s="29">
        <f t="shared" si="76"/>
        <v>0</v>
      </c>
      <c r="BU109" s="29">
        <f t="shared" si="76"/>
        <v>0</v>
      </c>
      <c r="BV109" s="29">
        <f t="shared" si="76"/>
        <v>0</v>
      </c>
      <c r="BW109" s="29">
        <f t="shared" si="76"/>
        <v>0</v>
      </c>
      <c r="BX109" s="29">
        <f t="shared" si="76"/>
        <v>0</v>
      </c>
      <c r="BY109" s="29">
        <f t="shared" si="76"/>
        <v>0</v>
      </c>
      <c r="BZ109" s="29">
        <f t="shared" si="76"/>
        <v>0</v>
      </c>
      <c r="CA109" s="29">
        <f t="shared" si="76"/>
        <v>0</v>
      </c>
      <c r="CB109" s="29">
        <f t="shared" si="76"/>
        <v>0</v>
      </c>
      <c r="CC109" s="29">
        <f t="shared" si="76"/>
        <v>0</v>
      </c>
      <c r="CD109" s="29">
        <f t="shared" si="76"/>
        <v>0</v>
      </c>
      <c r="CE109" s="29">
        <f t="shared" si="76"/>
        <v>0</v>
      </c>
      <c r="CF109" s="29">
        <f t="shared" si="76"/>
        <v>0</v>
      </c>
      <c r="CG109" s="29">
        <f t="shared" si="76"/>
        <v>0</v>
      </c>
      <c r="CH109" s="29">
        <f t="shared" si="76"/>
        <v>0</v>
      </c>
    </row>
    <row r="110" spans="2:86" ht="13" hidden="1" outlineLevel="1">
      <c r="B110" s="84">
        <f t="shared" si="71"/>
        <v>7</v>
      </c>
      <c r="C110" s="64">
        <f t="shared" ca="1" si="69"/>
        <v>-0.15207267750779541</v>
      </c>
      <c r="D110" s="15" t="s">
        <v>238</v>
      </c>
      <c r="E110" s="29">
        <f t="shared" ca="1" si="59"/>
        <v>-1088750</v>
      </c>
      <c r="F110" s="29"/>
      <c r="G110" s="29">
        <f t="shared" ref="G110:CH110" ca="1" si="77">IF(G$4&lt;=$B110,ABS(G$31)*-1+G$47,0)+IF($B110=G$4,G$81,0)</f>
        <v>-1444375</v>
      </c>
      <c r="H110" s="29">
        <f t="shared" ca="1" si="77"/>
        <v>-1344375</v>
      </c>
      <c r="I110" s="29">
        <f t="shared" ca="1" si="77"/>
        <v>-1344375</v>
      </c>
      <c r="J110" s="29">
        <f t="shared" ca="1" si="77"/>
        <v>-1344375</v>
      </c>
      <c r="K110" s="29">
        <f t="shared" ca="1" si="77"/>
        <v>-1344375</v>
      </c>
      <c r="L110" s="29">
        <f t="shared" ca="1" si="77"/>
        <v>-1344375</v>
      </c>
      <c r="M110" s="29">
        <f t="shared" ca="1" si="77"/>
        <v>7077500</v>
      </c>
      <c r="N110" s="29">
        <f t="shared" si="77"/>
        <v>0</v>
      </c>
      <c r="O110" s="29">
        <f t="shared" si="77"/>
        <v>0</v>
      </c>
      <c r="P110" s="29">
        <f t="shared" si="77"/>
        <v>0</v>
      </c>
      <c r="Q110" s="29">
        <f t="shared" si="77"/>
        <v>0</v>
      </c>
      <c r="R110" s="29">
        <f t="shared" si="77"/>
        <v>0</v>
      </c>
      <c r="S110" s="29">
        <f t="shared" si="77"/>
        <v>0</v>
      </c>
      <c r="T110" s="29">
        <f t="shared" si="77"/>
        <v>0</v>
      </c>
      <c r="U110" s="29">
        <f t="shared" si="77"/>
        <v>0</v>
      </c>
      <c r="V110" s="29">
        <f t="shared" si="77"/>
        <v>0</v>
      </c>
      <c r="W110" s="29">
        <f t="shared" si="77"/>
        <v>0</v>
      </c>
      <c r="X110" s="29">
        <f t="shared" si="77"/>
        <v>0</v>
      </c>
      <c r="Y110" s="29">
        <f t="shared" si="77"/>
        <v>0</v>
      </c>
      <c r="Z110" s="29">
        <f t="shared" si="77"/>
        <v>0</v>
      </c>
      <c r="AA110" s="29">
        <f t="shared" si="77"/>
        <v>0</v>
      </c>
      <c r="AB110" s="29">
        <f t="shared" si="77"/>
        <v>0</v>
      </c>
      <c r="AC110" s="29">
        <f t="shared" si="77"/>
        <v>0</v>
      </c>
      <c r="AD110" s="29">
        <f t="shared" si="77"/>
        <v>0</v>
      </c>
      <c r="AE110" s="29">
        <f t="shared" si="77"/>
        <v>0</v>
      </c>
      <c r="AF110" s="29">
        <f t="shared" si="77"/>
        <v>0</v>
      </c>
      <c r="AG110" s="29">
        <f t="shared" si="77"/>
        <v>0</v>
      </c>
      <c r="AH110" s="29">
        <f t="shared" si="77"/>
        <v>0</v>
      </c>
      <c r="AI110" s="29">
        <f t="shared" si="77"/>
        <v>0</v>
      </c>
      <c r="AJ110" s="29">
        <f t="shared" si="77"/>
        <v>0</v>
      </c>
      <c r="AK110" s="29">
        <f t="shared" si="77"/>
        <v>0</v>
      </c>
      <c r="AL110" s="29">
        <f t="shared" si="77"/>
        <v>0</v>
      </c>
      <c r="AM110" s="29">
        <f t="shared" si="77"/>
        <v>0</v>
      </c>
      <c r="AN110" s="29">
        <f t="shared" si="77"/>
        <v>0</v>
      </c>
      <c r="AO110" s="29">
        <f t="shared" si="77"/>
        <v>0</v>
      </c>
      <c r="AP110" s="29">
        <f t="shared" si="77"/>
        <v>0</v>
      </c>
      <c r="AQ110" s="29">
        <f t="shared" si="77"/>
        <v>0</v>
      </c>
      <c r="AR110" s="29">
        <f t="shared" si="77"/>
        <v>0</v>
      </c>
      <c r="AS110" s="29">
        <f t="shared" si="77"/>
        <v>0</v>
      </c>
      <c r="AT110" s="29">
        <f t="shared" si="77"/>
        <v>0</v>
      </c>
      <c r="AU110" s="29">
        <f t="shared" si="77"/>
        <v>0</v>
      </c>
      <c r="AV110" s="29">
        <f t="shared" si="77"/>
        <v>0</v>
      </c>
      <c r="AW110" s="29">
        <f t="shared" si="77"/>
        <v>0</v>
      </c>
      <c r="AX110" s="29">
        <f t="shared" si="77"/>
        <v>0</v>
      </c>
      <c r="AY110" s="29">
        <f t="shared" si="77"/>
        <v>0</v>
      </c>
      <c r="AZ110" s="29">
        <f t="shared" si="77"/>
        <v>0</v>
      </c>
      <c r="BA110" s="29">
        <f t="shared" si="77"/>
        <v>0</v>
      </c>
      <c r="BB110" s="29">
        <f t="shared" si="77"/>
        <v>0</v>
      </c>
      <c r="BC110" s="29">
        <f t="shared" si="77"/>
        <v>0</v>
      </c>
      <c r="BD110" s="29">
        <f t="shared" si="77"/>
        <v>0</v>
      </c>
      <c r="BE110" s="29">
        <f t="shared" si="77"/>
        <v>0</v>
      </c>
      <c r="BF110" s="29">
        <f t="shared" si="77"/>
        <v>0</v>
      </c>
      <c r="BG110" s="29">
        <f t="shared" si="77"/>
        <v>0</v>
      </c>
      <c r="BH110" s="29">
        <f t="shared" si="77"/>
        <v>0</v>
      </c>
      <c r="BI110" s="29">
        <f t="shared" si="77"/>
        <v>0</v>
      </c>
      <c r="BJ110" s="29">
        <f t="shared" si="77"/>
        <v>0</v>
      </c>
      <c r="BK110" s="29">
        <f t="shared" si="77"/>
        <v>0</v>
      </c>
      <c r="BL110" s="29">
        <f t="shared" si="77"/>
        <v>0</v>
      </c>
      <c r="BM110" s="29">
        <f t="shared" si="77"/>
        <v>0</v>
      </c>
      <c r="BN110" s="29">
        <f t="shared" si="77"/>
        <v>0</v>
      </c>
      <c r="BO110" s="29">
        <f t="shared" si="77"/>
        <v>0</v>
      </c>
      <c r="BP110" s="29">
        <f t="shared" si="77"/>
        <v>0</v>
      </c>
      <c r="BQ110" s="29">
        <f t="shared" si="77"/>
        <v>0</v>
      </c>
      <c r="BR110" s="29">
        <f t="shared" si="77"/>
        <v>0</v>
      </c>
      <c r="BS110" s="29">
        <f t="shared" si="77"/>
        <v>0</v>
      </c>
      <c r="BT110" s="29">
        <f t="shared" si="77"/>
        <v>0</v>
      </c>
      <c r="BU110" s="29">
        <f t="shared" si="77"/>
        <v>0</v>
      </c>
      <c r="BV110" s="29">
        <f t="shared" si="77"/>
        <v>0</v>
      </c>
      <c r="BW110" s="29">
        <f t="shared" si="77"/>
        <v>0</v>
      </c>
      <c r="BX110" s="29">
        <f t="shared" si="77"/>
        <v>0</v>
      </c>
      <c r="BY110" s="29">
        <f t="shared" si="77"/>
        <v>0</v>
      </c>
      <c r="BZ110" s="29">
        <f t="shared" si="77"/>
        <v>0</v>
      </c>
      <c r="CA110" s="29">
        <f t="shared" si="77"/>
        <v>0</v>
      </c>
      <c r="CB110" s="29">
        <f t="shared" si="77"/>
        <v>0</v>
      </c>
      <c r="CC110" s="29">
        <f t="shared" si="77"/>
        <v>0</v>
      </c>
      <c r="CD110" s="29">
        <f t="shared" si="77"/>
        <v>0</v>
      </c>
      <c r="CE110" s="29">
        <f t="shared" si="77"/>
        <v>0</v>
      </c>
      <c r="CF110" s="29">
        <f t="shared" si="77"/>
        <v>0</v>
      </c>
      <c r="CG110" s="29">
        <f t="shared" si="77"/>
        <v>0</v>
      </c>
      <c r="CH110" s="29">
        <f t="shared" si="77"/>
        <v>0</v>
      </c>
    </row>
    <row r="111" spans="2:86" ht="13" hidden="1" outlineLevel="1">
      <c r="B111" s="84">
        <f t="shared" si="71"/>
        <v>8</v>
      </c>
      <c r="C111" s="64">
        <f t="shared" ca="1" si="69"/>
        <v>-0.13052386610076128</v>
      </c>
      <c r="D111" s="15" t="s">
        <v>238</v>
      </c>
      <c r="E111" s="29">
        <f t="shared" ca="1" si="59"/>
        <v>-1230000</v>
      </c>
      <c r="F111" s="29"/>
      <c r="G111" s="29">
        <f t="shared" ref="G111:CH111" ca="1" si="78">IF(G$4&lt;=$B111,ABS(G$31)*-1+G$47,0)+IF($B111=G$4,G$81,0)</f>
        <v>-1444375</v>
      </c>
      <c r="H111" s="29">
        <f t="shared" ca="1" si="78"/>
        <v>-1344375</v>
      </c>
      <c r="I111" s="29">
        <f t="shared" ca="1" si="78"/>
        <v>-1344375</v>
      </c>
      <c r="J111" s="29">
        <f t="shared" ca="1" si="78"/>
        <v>-1344375</v>
      </c>
      <c r="K111" s="29">
        <f t="shared" ca="1" si="78"/>
        <v>-1344375</v>
      </c>
      <c r="L111" s="29">
        <f t="shared" ca="1" si="78"/>
        <v>-1344375</v>
      </c>
      <c r="M111" s="29">
        <f t="shared" ca="1" si="78"/>
        <v>-1344375</v>
      </c>
      <c r="N111" s="29">
        <f t="shared" ca="1" si="78"/>
        <v>8280625</v>
      </c>
      <c r="O111" s="29">
        <f t="shared" si="78"/>
        <v>0</v>
      </c>
      <c r="P111" s="29">
        <f t="shared" si="78"/>
        <v>0</v>
      </c>
      <c r="Q111" s="29">
        <f t="shared" si="78"/>
        <v>0</v>
      </c>
      <c r="R111" s="29">
        <f t="shared" si="78"/>
        <v>0</v>
      </c>
      <c r="S111" s="29">
        <f t="shared" si="78"/>
        <v>0</v>
      </c>
      <c r="T111" s="29">
        <f t="shared" si="78"/>
        <v>0</v>
      </c>
      <c r="U111" s="29">
        <f t="shared" si="78"/>
        <v>0</v>
      </c>
      <c r="V111" s="29">
        <f t="shared" si="78"/>
        <v>0</v>
      </c>
      <c r="W111" s="29">
        <f t="shared" si="78"/>
        <v>0</v>
      </c>
      <c r="X111" s="29">
        <f t="shared" si="78"/>
        <v>0</v>
      </c>
      <c r="Y111" s="29">
        <f t="shared" si="78"/>
        <v>0</v>
      </c>
      <c r="Z111" s="29">
        <f t="shared" si="78"/>
        <v>0</v>
      </c>
      <c r="AA111" s="29">
        <f t="shared" si="78"/>
        <v>0</v>
      </c>
      <c r="AB111" s="29">
        <f t="shared" si="78"/>
        <v>0</v>
      </c>
      <c r="AC111" s="29">
        <f t="shared" si="78"/>
        <v>0</v>
      </c>
      <c r="AD111" s="29">
        <f t="shared" si="78"/>
        <v>0</v>
      </c>
      <c r="AE111" s="29">
        <f t="shared" si="78"/>
        <v>0</v>
      </c>
      <c r="AF111" s="29">
        <f t="shared" si="78"/>
        <v>0</v>
      </c>
      <c r="AG111" s="29">
        <f t="shared" si="78"/>
        <v>0</v>
      </c>
      <c r="AH111" s="29">
        <f t="shared" si="78"/>
        <v>0</v>
      </c>
      <c r="AI111" s="29">
        <f t="shared" si="78"/>
        <v>0</v>
      </c>
      <c r="AJ111" s="29">
        <f t="shared" si="78"/>
        <v>0</v>
      </c>
      <c r="AK111" s="29">
        <f t="shared" si="78"/>
        <v>0</v>
      </c>
      <c r="AL111" s="29">
        <f t="shared" si="78"/>
        <v>0</v>
      </c>
      <c r="AM111" s="29">
        <f t="shared" si="78"/>
        <v>0</v>
      </c>
      <c r="AN111" s="29">
        <f t="shared" si="78"/>
        <v>0</v>
      </c>
      <c r="AO111" s="29">
        <f t="shared" si="78"/>
        <v>0</v>
      </c>
      <c r="AP111" s="29">
        <f t="shared" si="78"/>
        <v>0</v>
      </c>
      <c r="AQ111" s="29">
        <f t="shared" si="78"/>
        <v>0</v>
      </c>
      <c r="AR111" s="29">
        <f t="shared" si="78"/>
        <v>0</v>
      </c>
      <c r="AS111" s="29">
        <f t="shared" si="78"/>
        <v>0</v>
      </c>
      <c r="AT111" s="29">
        <f t="shared" si="78"/>
        <v>0</v>
      </c>
      <c r="AU111" s="29">
        <f t="shared" si="78"/>
        <v>0</v>
      </c>
      <c r="AV111" s="29">
        <f t="shared" si="78"/>
        <v>0</v>
      </c>
      <c r="AW111" s="29">
        <f t="shared" si="78"/>
        <v>0</v>
      </c>
      <c r="AX111" s="29">
        <f t="shared" si="78"/>
        <v>0</v>
      </c>
      <c r="AY111" s="29">
        <f t="shared" si="78"/>
        <v>0</v>
      </c>
      <c r="AZ111" s="29">
        <f t="shared" si="78"/>
        <v>0</v>
      </c>
      <c r="BA111" s="29">
        <f t="shared" si="78"/>
        <v>0</v>
      </c>
      <c r="BB111" s="29">
        <f t="shared" si="78"/>
        <v>0</v>
      </c>
      <c r="BC111" s="29">
        <f t="shared" si="78"/>
        <v>0</v>
      </c>
      <c r="BD111" s="29">
        <f t="shared" si="78"/>
        <v>0</v>
      </c>
      <c r="BE111" s="29">
        <f t="shared" si="78"/>
        <v>0</v>
      </c>
      <c r="BF111" s="29">
        <f t="shared" si="78"/>
        <v>0</v>
      </c>
      <c r="BG111" s="29">
        <f t="shared" si="78"/>
        <v>0</v>
      </c>
      <c r="BH111" s="29">
        <f t="shared" si="78"/>
        <v>0</v>
      </c>
      <c r="BI111" s="29">
        <f t="shared" si="78"/>
        <v>0</v>
      </c>
      <c r="BJ111" s="29">
        <f t="shared" si="78"/>
        <v>0</v>
      </c>
      <c r="BK111" s="29">
        <f t="shared" si="78"/>
        <v>0</v>
      </c>
      <c r="BL111" s="29">
        <f t="shared" si="78"/>
        <v>0</v>
      </c>
      <c r="BM111" s="29">
        <f t="shared" si="78"/>
        <v>0</v>
      </c>
      <c r="BN111" s="29">
        <f t="shared" si="78"/>
        <v>0</v>
      </c>
      <c r="BO111" s="29">
        <f t="shared" si="78"/>
        <v>0</v>
      </c>
      <c r="BP111" s="29">
        <f t="shared" si="78"/>
        <v>0</v>
      </c>
      <c r="BQ111" s="29">
        <f t="shared" si="78"/>
        <v>0</v>
      </c>
      <c r="BR111" s="29">
        <f t="shared" si="78"/>
        <v>0</v>
      </c>
      <c r="BS111" s="29">
        <f t="shared" si="78"/>
        <v>0</v>
      </c>
      <c r="BT111" s="29">
        <f t="shared" si="78"/>
        <v>0</v>
      </c>
      <c r="BU111" s="29">
        <f t="shared" si="78"/>
        <v>0</v>
      </c>
      <c r="BV111" s="29">
        <f t="shared" si="78"/>
        <v>0</v>
      </c>
      <c r="BW111" s="29">
        <f t="shared" si="78"/>
        <v>0</v>
      </c>
      <c r="BX111" s="29">
        <f t="shared" si="78"/>
        <v>0</v>
      </c>
      <c r="BY111" s="29">
        <f t="shared" si="78"/>
        <v>0</v>
      </c>
      <c r="BZ111" s="29">
        <f t="shared" si="78"/>
        <v>0</v>
      </c>
      <c r="CA111" s="29">
        <f t="shared" si="78"/>
        <v>0</v>
      </c>
      <c r="CB111" s="29">
        <f t="shared" si="78"/>
        <v>0</v>
      </c>
      <c r="CC111" s="29">
        <f t="shared" si="78"/>
        <v>0</v>
      </c>
      <c r="CD111" s="29">
        <f t="shared" si="78"/>
        <v>0</v>
      </c>
      <c r="CE111" s="29">
        <f t="shared" si="78"/>
        <v>0</v>
      </c>
      <c r="CF111" s="29">
        <f t="shared" si="78"/>
        <v>0</v>
      </c>
      <c r="CG111" s="29">
        <f t="shared" si="78"/>
        <v>0</v>
      </c>
      <c r="CH111" s="29">
        <f t="shared" si="78"/>
        <v>0</v>
      </c>
    </row>
    <row r="112" spans="2:86" ht="13" hidden="1" outlineLevel="1">
      <c r="B112" s="84">
        <f t="shared" si="71"/>
        <v>9</v>
      </c>
      <c r="C112" s="64">
        <f t="shared" ca="1" si="69"/>
        <v>-9.527507788361167E-2</v>
      </c>
      <c r="D112" s="15" t="s">
        <v>238</v>
      </c>
      <c r="E112" s="29">
        <f t="shared" ca="1" si="59"/>
        <v>-1148039.9123833198</v>
      </c>
      <c r="F112" s="29"/>
      <c r="G112" s="29">
        <f t="shared" ref="G112:CH112" ca="1" si="79">IF(G$4&lt;=$B112,ABS(G$31)*-1+G$47,0)+IF($B112=G$4,G$81,0)</f>
        <v>-1444375</v>
      </c>
      <c r="H112" s="29">
        <f t="shared" ca="1" si="79"/>
        <v>-1344375</v>
      </c>
      <c r="I112" s="29">
        <f t="shared" ca="1" si="79"/>
        <v>-1344375</v>
      </c>
      <c r="J112" s="29">
        <f t="shared" ca="1" si="79"/>
        <v>-1344375</v>
      </c>
      <c r="K112" s="29">
        <f t="shared" ca="1" si="79"/>
        <v>-1344375</v>
      </c>
      <c r="L112" s="29">
        <f t="shared" ca="1" si="79"/>
        <v>-1344375</v>
      </c>
      <c r="M112" s="29">
        <f t="shared" ca="1" si="79"/>
        <v>-1344375</v>
      </c>
      <c r="N112" s="29">
        <f t="shared" ca="1" si="79"/>
        <v>-1344375</v>
      </c>
      <c r="O112" s="29">
        <f t="shared" ca="1" si="79"/>
        <v>9706960.0876166802</v>
      </c>
      <c r="P112" s="29">
        <f t="shared" si="79"/>
        <v>0</v>
      </c>
      <c r="Q112" s="29">
        <f t="shared" si="79"/>
        <v>0</v>
      </c>
      <c r="R112" s="29">
        <f t="shared" si="79"/>
        <v>0</v>
      </c>
      <c r="S112" s="29">
        <f t="shared" si="79"/>
        <v>0</v>
      </c>
      <c r="T112" s="29">
        <f t="shared" si="79"/>
        <v>0</v>
      </c>
      <c r="U112" s="29">
        <f t="shared" si="79"/>
        <v>0</v>
      </c>
      <c r="V112" s="29">
        <f t="shared" si="79"/>
        <v>0</v>
      </c>
      <c r="W112" s="29">
        <f t="shared" si="79"/>
        <v>0</v>
      </c>
      <c r="X112" s="29">
        <f t="shared" si="79"/>
        <v>0</v>
      </c>
      <c r="Y112" s="29">
        <f t="shared" si="79"/>
        <v>0</v>
      </c>
      <c r="Z112" s="29">
        <f t="shared" si="79"/>
        <v>0</v>
      </c>
      <c r="AA112" s="29">
        <f t="shared" si="79"/>
        <v>0</v>
      </c>
      <c r="AB112" s="29">
        <f t="shared" si="79"/>
        <v>0</v>
      </c>
      <c r="AC112" s="29">
        <f t="shared" si="79"/>
        <v>0</v>
      </c>
      <c r="AD112" s="29">
        <f t="shared" si="79"/>
        <v>0</v>
      </c>
      <c r="AE112" s="29">
        <f t="shared" si="79"/>
        <v>0</v>
      </c>
      <c r="AF112" s="29">
        <f t="shared" si="79"/>
        <v>0</v>
      </c>
      <c r="AG112" s="29">
        <f t="shared" si="79"/>
        <v>0</v>
      </c>
      <c r="AH112" s="29">
        <f t="shared" si="79"/>
        <v>0</v>
      </c>
      <c r="AI112" s="29">
        <f t="shared" si="79"/>
        <v>0</v>
      </c>
      <c r="AJ112" s="29">
        <f t="shared" si="79"/>
        <v>0</v>
      </c>
      <c r="AK112" s="29">
        <f t="shared" si="79"/>
        <v>0</v>
      </c>
      <c r="AL112" s="29">
        <f t="shared" si="79"/>
        <v>0</v>
      </c>
      <c r="AM112" s="29">
        <f t="shared" si="79"/>
        <v>0</v>
      </c>
      <c r="AN112" s="29">
        <f t="shared" si="79"/>
        <v>0</v>
      </c>
      <c r="AO112" s="29">
        <f t="shared" si="79"/>
        <v>0</v>
      </c>
      <c r="AP112" s="29">
        <f t="shared" si="79"/>
        <v>0</v>
      </c>
      <c r="AQ112" s="29">
        <f t="shared" si="79"/>
        <v>0</v>
      </c>
      <c r="AR112" s="29">
        <f t="shared" si="79"/>
        <v>0</v>
      </c>
      <c r="AS112" s="29">
        <f t="shared" si="79"/>
        <v>0</v>
      </c>
      <c r="AT112" s="29">
        <f t="shared" si="79"/>
        <v>0</v>
      </c>
      <c r="AU112" s="29">
        <f t="shared" si="79"/>
        <v>0</v>
      </c>
      <c r="AV112" s="29">
        <f t="shared" si="79"/>
        <v>0</v>
      </c>
      <c r="AW112" s="29">
        <f t="shared" si="79"/>
        <v>0</v>
      </c>
      <c r="AX112" s="29">
        <f t="shared" si="79"/>
        <v>0</v>
      </c>
      <c r="AY112" s="29">
        <f t="shared" si="79"/>
        <v>0</v>
      </c>
      <c r="AZ112" s="29">
        <f t="shared" si="79"/>
        <v>0</v>
      </c>
      <c r="BA112" s="29">
        <f t="shared" si="79"/>
        <v>0</v>
      </c>
      <c r="BB112" s="29">
        <f t="shared" si="79"/>
        <v>0</v>
      </c>
      <c r="BC112" s="29">
        <f t="shared" si="79"/>
        <v>0</v>
      </c>
      <c r="BD112" s="29">
        <f t="shared" si="79"/>
        <v>0</v>
      </c>
      <c r="BE112" s="29">
        <f t="shared" si="79"/>
        <v>0</v>
      </c>
      <c r="BF112" s="29">
        <f t="shared" si="79"/>
        <v>0</v>
      </c>
      <c r="BG112" s="29">
        <f t="shared" si="79"/>
        <v>0</v>
      </c>
      <c r="BH112" s="29">
        <f t="shared" si="79"/>
        <v>0</v>
      </c>
      <c r="BI112" s="29">
        <f t="shared" si="79"/>
        <v>0</v>
      </c>
      <c r="BJ112" s="29">
        <f t="shared" si="79"/>
        <v>0</v>
      </c>
      <c r="BK112" s="29">
        <f t="shared" si="79"/>
        <v>0</v>
      </c>
      <c r="BL112" s="29">
        <f t="shared" si="79"/>
        <v>0</v>
      </c>
      <c r="BM112" s="29">
        <f t="shared" si="79"/>
        <v>0</v>
      </c>
      <c r="BN112" s="29">
        <f t="shared" si="79"/>
        <v>0</v>
      </c>
      <c r="BO112" s="29">
        <f t="shared" si="79"/>
        <v>0</v>
      </c>
      <c r="BP112" s="29">
        <f t="shared" si="79"/>
        <v>0</v>
      </c>
      <c r="BQ112" s="29">
        <f t="shared" si="79"/>
        <v>0</v>
      </c>
      <c r="BR112" s="29">
        <f t="shared" si="79"/>
        <v>0</v>
      </c>
      <c r="BS112" s="29">
        <f t="shared" si="79"/>
        <v>0</v>
      </c>
      <c r="BT112" s="29">
        <f t="shared" si="79"/>
        <v>0</v>
      </c>
      <c r="BU112" s="29">
        <f t="shared" si="79"/>
        <v>0</v>
      </c>
      <c r="BV112" s="29">
        <f t="shared" si="79"/>
        <v>0</v>
      </c>
      <c r="BW112" s="29">
        <f t="shared" si="79"/>
        <v>0</v>
      </c>
      <c r="BX112" s="29">
        <f t="shared" si="79"/>
        <v>0</v>
      </c>
      <c r="BY112" s="29">
        <f t="shared" si="79"/>
        <v>0</v>
      </c>
      <c r="BZ112" s="29">
        <f t="shared" si="79"/>
        <v>0</v>
      </c>
      <c r="CA112" s="29">
        <f t="shared" si="79"/>
        <v>0</v>
      </c>
      <c r="CB112" s="29">
        <f t="shared" si="79"/>
        <v>0</v>
      </c>
      <c r="CC112" s="29">
        <f t="shared" si="79"/>
        <v>0</v>
      </c>
      <c r="CD112" s="29">
        <f t="shared" si="79"/>
        <v>0</v>
      </c>
      <c r="CE112" s="29">
        <f t="shared" si="79"/>
        <v>0</v>
      </c>
      <c r="CF112" s="29">
        <f t="shared" si="79"/>
        <v>0</v>
      </c>
      <c r="CG112" s="29">
        <f t="shared" si="79"/>
        <v>0</v>
      </c>
      <c r="CH112" s="29">
        <f t="shared" si="79"/>
        <v>0</v>
      </c>
    </row>
    <row r="113" spans="2:86" ht="13" hidden="1" outlineLevel="1">
      <c r="B113" s="84">
        <f t="shared" si="71"/>
        <v>10</v>
      </c>
      <c r="C113" s="64">
        <f t="shared" ca="1" si="69"/>
        <v>-6.78752102825253E-2</v>
      </c>
      <c r="D113" s="15" t="s">
        <v>238</v>
      </c>
      <c r="E113" s="29">
        <f t="shared" ca="1" si="59"/>
        <v>-1020915.7252104841</v>
      </c>
      <c r="F113" s="29"/>
      <c r="G113" s="29">
        <f t="shared" ref="G113:CH113" ca="1" si="80">IF(G$4&lt;=$B113,ABS(G$31)*-1+G$47,0)+IF($B113=G$4,G$81,0)</f>
        <v>-1444375</v>
      </c>
      <c r="H113" s="29">
        <f t="shared" ca="1" si="80"/>
        <v>-1344375</v>
      </c>
      <c r="I113" s="29">
        <f t="shared" ca="1" si="80"/>
        <v>-1344375</v>
      </c>
      <c r="J113" s="29">
        <f t="shared" ca="1" si="80"/>
        <v>-1344375</v>
      </c>
      <c r="K113" s="29">
        <f t="shared" ca="1" si="80"/>
        <v>-1344375</v>
      </c>
      <c r="L113" s="29">
        <f t="shared" ca="1" si="80"/>
        <v>-1344375</v>
      </c>
      <c r="M113" s="29">
        <f t="shared" ca="1" si="80"/>
        <v>-1344375</v>
      </c>
      <c r="N113" s="29">
        <f t="shared" ca="1" si="80"/>
        <v>-1344375</v>
      </c>
      <c r="O113" s="29">
        <f t="shared" ca="1" si="80"/>
        <v>-1344375</v>
      </c>
      <c r="P113" s="29">
        <f t="shared" ca="1" si="80"/>
        <v>11178459.274789516</v>
      </c>
      <c r="Q113" s="29">
        <f t="shared" si="80"/>
        <v>0</v>
      </c>
      <c r="R113" s="29">
        <f t="shared" si="80"/>
        <v>0</v>
      </c>
      <c r="S113" s="29">
        <f t="shared" si="80"/>
        <v>0</v>
      </c>
      <c r="T113" s="29">
        <f t="shared" si="80"/>
        <v>0</v>
      </c>
      <c r="U113" s="29">
        <f t="shared" si="80"/>
        <v>0</v>
      </c>
      <c r="V113" s="29">
        <f t="shared" si="80"/>
        <v>0</v>
      </c>
      <c r="W113" s="29">
        <f t="shared" si="80"/>
        <v>0</v>
      </c>
      <c r="X113" s="29">
        <f t="shared" si="80"/>
        <v>0</v>
      </c>
      <c r="Y113" s="29">
        <f t="shared" si="80"/>
        <v>0</v>
      </c>
      <c r="Z113" s="29">
        <f t="shared" si="80"/>
        <v>0</v>
      </c>
      <c r="AA113" s="29">
        <f t="shared" si="80"/>
        <v>0</v>
      </c>
      <c r="AB113" s="29">
        <f t="shared" si="80"/>
        <v>0</v>
      </c>
      <c r="AC113" s="29">
        <f t="shared" si="80"/>
        <v>0</v>
      </c>
      <c r="AD113" s="29">
        <f t="shared" si="80"/>
        <v>0</v>
      </c>
      <c r="AE113" s="29">
        <f t="shared" si="80"/>
        <v>0</v>
      </c>
      <c r="AF113" s="29">
        <f t="shared" si="80"/>
        <v>0</v>
      </c>
      <c r="AG113" s="29">
        <f t="shared" si="80"/>
        <v>0</v>
      </c>
      <c r="AH113" s="29">
        <f t="shared" si="80"/>
        <v>0</v>
      </c>
      <c r="AI113" s="29">
        <f t="shared" si="80"/>
        <v>0</v>
      </c>
      <c r="AJ113" s="29">
        <f t="shared" si="80"/>
        <v>0</v>
      </c>
      <c r="AK113" s="29">
        <f t="shared" si="80"/>
        <v>0</v>
      </c>
      <c r="AL113" s="29">
        <f t="shared" si="80"/>
        <v>0</v>
      </c>
      <c r="AM113" s="29">
        <f t="shared" si="80"/>
        <v>0</v>
      </c>
      <c r="AN113" s="29">
        <f t="shared" si="80"/>
        <v>0</v>
      </c>
      <c r="AO113" s="29">
        <f t="shared" si="80"/>
        <v>0</v>
      </c>
      <c r="AP113" s="29">
        <f t="shared" si="80"/>
        <v>0</v>
      </c>
      <c r="AQ113" s="29">
        <f t="shared" si="80"/>
        <v>0</v>
      </c>
      <c r="AR113" s="29">
        <f t="shared" si="80"/>
        <v>0</v>
      </c>
      <c r="AS113" s="29">
        <f t="shared" si="80"/>
        <v>0</v>
      </c>
      <c r="AT113" s="29">
        <f t="shared" si="80"/>
        <v>0</v>
      </c>
      <c r="AU113" s="29">
        <f t="shared" si="80"/>
        <v>0</v>
      </c>
      <c r="AV113" s="29">
        <f t="shared" si="80"/>
        <v>0</v>
      </c>
      <c r="AW113" s="29">
        <f t="shared" si="80"/>
        <v>0</v>
      </c>
      <c r="AX113" s="29">
        <f t="shared" si="80"/>
        <v>0</v>
      </c>
      <c r="AY113" s="29">
        <f t="shared" si="80"/>
        <v>0</v>
      </c>
      <c r="AZ113" s="29">
        <f t="shared" si="80"/>
        <v>0</v>
      </c>
      <c r="BA113" s="29">
        <f t="shared" si="80"/>
        <v>0</v>
      </c>
      <c r="BB113" s="29">
        <f t="shared" si="80"/>
        <v>0</v>
      </c>
      <c r="BC113" s="29">
        <f t="shared" si="80"/>
        <v>0</v>
      </c>
      <c r="BD113" s="29">
        <f t="shared" si="80"/>
        <v>0</v>
      </c>
      <c r="BE113" s="29">
        <f t="shared" si="80"/>
        <v>0</v>
      </c>
      <c r="BF113" s="29">
        <f t="shared" si="80"/>
        <v>0</v>
      </c>
      <c r="BG113" s="29">
        <f t="shared" si="80"/>
        <v>0</v>
      </c>
      <c r="BH113" s="29">
        <f t="shared" si="80"/>
        <v>0</v>
      </c>
      <c r="BI113" s="29">
        <f t="shared" si="80"/>
        <v>0</v>
      </c>
      <c r="BJ113" s="29">
        <f t="shared" si="80"/>
        <v>0</v>
      </c>
      <c r="BK113" s="29">
        <f t="shared" si="80"/>
        <v>0</v>
      </c>
      <c r="BL113" s="29">
        <f t="shared" si="80"/>
        <v>0</v>
      </c>
      <c r="BM113" s="29">
        <f t="shared" si="80"/>
        <v>0</v>
      </c>
      <c r="BN113" s="29">
        <f t="shared" si="80"/>
        <v>0</v>
      </c>
      <c r="BO113" s="29">
        <f t="shared" si="80"/>
        <v>0</v>
      </c>
      <c r="BP113" s="29">
        <f t="shared" si="80"/>
        <v>0</v>
      </c>
      <c r="BQ113" s="29">
        <f t="shared" si="80"/>
        <v>0</v>
      </c>
      <c r="BR113" s="29">
        <f t="shared" si="80"/>
        <v>0</v>
      </c>
      <c r="BS113" s="29">
        <f t="shared" si="80"/>
        <v>0</v>
      </c>
      <c r="BT113" s="29">
        <f t="shared" si="80"/>
        <v>0</v>
      </c>
      <c r="BU113" s="29">
        <f t="shared" si="80"/>
        <v>0</v>
      </c>
      <c r="BV113" s="29">
        <f t="shared" si="80"/>
        <v>0</v>
      </c>
      <c r="BW113" s="29">
        <f t="shared" si="80"/>
        <v>0</v>
      </c>
      <c r="BX113" s="29">
        <f t="shared" si="80"/>
        <v>0</v>
      </c>
      <c r="BY113" s="29">
        <f t="shared" si="80"/>
        <v>0</v>
      </c>
      <c r="BZ113" s="29">
        <f t="shared" si="80"/>
        <v>0</v>
      </c>
      <c r="CA113" s="29">
        <f t="shared" si="80"/>
        <v>0</v>
      </c>
      <c r="CB113" s="29">
        <f t="shared" si="80"/>
        <v>0</v>
      </c>
      <c r="CC113" s="29">
        <f t="shared" si="80"/>
        <v>0</v>
      </c>
      <c r="CD113" s="29">
        <f t="shared" si="80"/>
        <v>0</v>
      </c>
      <c r="CE113" s="29">
        <f t="shared" si="80"/>
        <v>0</v>
      </c>
      <c r="CF113" s="29">
        <f t="shared" si="80"/>
        <v>0</v>
      </c>
      <c r="CG113" s="29">
        <f t="shared" si="80"/>
        <v>0</v>
      </c>
      <c r="CH113" s="29">
        <f t="shared" si="80"/>
        <v>0</v>
      </c>
    </row>
    <row r="114" spans="2:86" ht="13" hidden="1" outlineLevel="1">
      <c r="B114" s="84">
        <f t="shared" si="71"/>
        <v>11</v>
      </c>
      <c r="C114" s="64">
        <f t="shared" ca="1" si="69"/>
        <v>-4.6100371373575255E-2</v>
      </c>
      <c r="D114" s="15" t="s">
        <v>238</v>
      </c>
      <c r="E114" s="29">
        <f t="shared" ca="1" si="59"/>
        <v>-848627.43848149478</v>
      </c>
      <c r="F114" s="29"/>
      <c r="G114" s="29">
        <f t="shared" ref="G114:CH114" ca="1" si="81">IF(G$4&lt;=$B114,ABS(G$31)*-1+G$47,0)+IF($B114=G$4,G$81,0)</f>
        <v>-1444375</v>
      </c>
      <c r="H114" s="29">
        <f t="shared" ca="1" si="81"/>
        <v>-1344375</v>
      </c>
      <c r="I114" s="29">
        <f t="shared" ca="1" si="81"/>
        <v>-1344375</v>
      </c>
      <c r="J114" s="29">
        <f t="shared" ca="1" si="81"/>
        <v>-1344375</v>
      </c>
      <c r="K114" s="29">
        <f t="shared" ca="1" si="81"/>
        <v>-1344375</v>
      </c>
      <c r="L114" s="29">
        <f t="shared" ca="1" si="81"/>
        <v>-1344375</v>
      </c>
      <c r="M114" s="29">
        <f t="shared" ca="1" si="81"/>
        <v>-1344375</v>
      </c>
      <c r="N114" s="29">
        <f t="shared" ca="1" si="81"/>
        <v>-1344375</v>
      </c>
      <c r="O114" s="29">
        <f t="shared" ca="1" si="81"/>
        <v>-1344375</v>
      </c>
      <c r="P114" s="29">
        <f t="shared" ca="1" si="81"/>
        <v>-1344375</v>
      </c>
      <c r="Q114" s="29">
        <f t="shared" ca="1" si="81"/>
        <v>12695122.561518505</v>
      </c>
      <c r="R114" s="29">
        <f t="shared" si="81"/>
        <v>0</v>
      </c>
      <c r="S114" s="29">
        <f t="shared" si="81"/>
        <v>0</v>
      </c>
      <c r="T114" s="29">
        <f t="shared" si="81"/>
        <v>0</v>
      </c>
      <c r="U114" s="29">
        <f t="shared" si="81"/>
        <v>0</v>
      </c>
      <c r="V114" s="29">
        <f t="shared" si="81"/>
        <v>0</v>
      </c>
      <c r="W114" s="29">
        <f t="shared" si="81"/>
        <v>0</v>
      </c>
      <c r="X114" s="29">
        <f t="shared" si="81"/>
        <v>0</v>
      </c>
      <c r="Y114" s="29">
        <f t="shared" si="81"/>
        <v>0</v>
      </c>
      <c r="Z114" s="29">
        <f t="shared" si="81"/>
        <v>0</v>
      </c>
      <c r="AA114" s="29">
        <f t="shared" si="81"/>
        <v>0</v>
      </c>
      <c r="AB114" s="29">
        <f t="shared" si="81"/>
        <v>0</v>
      </c>
      <c r="AC114" s="29">
        <f t="shared" si="81"/>
        <v>0</v>
      </c>
      <c r="AD114" s="29">
        <f t="shared" si="81"/>
        <v>0</v>
      </c>
      <c r="AE114" s="29">
        <f t="shared" si="81"/>
        <v>0</v>
      </c>
      <c r="AF114" s="29">
        <f t="shared" si="81"/>
        <v>0</v>
      </c>
      <c r="AG114" s="29">
        <f t="shared" si="81"/>
        <v>0</v>
      </c>
      <c r="AH114" s="29">
        <f t="shared" si="81"/>
        <v>0</v>
      </c>
      <c r="AI114" s="29">
        <f t="shared" si="81"/>
        <v>0</v>
      </c>
      <c r="AJ114" s="29">
        <f t="shared" si="81"/>
        <v>0</v>
      </c>
      <c r="AK114" s="29">
        <f t="shared" si="81"/>
        <v>0</v>
      </c>
      <c r="AL114" s="29">
        <f t="shared" si="81"/>
        <v>0</v>
      </c>
      <c r="AM114" s="29">
        <f t="shared" si="81"/>
        <v>0</v>
      </c>
      <c r="AN114" s="29">
        <f t="shared" si="81"/>
        <v>0</v>
      </c>
      <c r="AO114" s="29">
        <f t="shared" si="81"/>
        <v>0</v>
      </c>
      <c r="AP114" s="29">
        <f t="shared" si="81"/>
        <v>0</v>
      </c>
      <c r="AQ114" s="29">
        <f t="shared" si="81"/>
        <v>0</v>
      </c>
      <c r="AR114" s="29">
        <f t="shared" si="81"/>
        <v>0</v>
      </c>
      <c r="AS114" s="29">
        <f t="shared" si="81"/>
        <v>0</v>
      </c>
      <c r="AT114" s="29">
        <f t="shared" si="81"/>
        <v>0</v>
      </c>
      <c r="AU114" s="29">
        <f t="shared" si="81"/>
        <v>0</v>
      </c>
      <c r="AV114" s="29">
        <f t="shared" si="81"/>
        <v>0</v>
      </c>
      <c r="AW114" s="29">
        <f t="shared" si="81"/>
        <v>0</v>
      </c>
      <c r="AX114" s="29">
        <f t="shared" si="81"/>
        <v>0</v>
      </c>
      <c r="AY114" s="29">
        <f t="shared" si="81"/>
        <v>0</v>
      </c>
      <c r="AZ114" s="29">
        <f t="shared" si="81"/>
        <v>0</v>
      </c>
      <c r="BA114" s="29">
        <f t="shared" si="81"/>
        <v>0</v>
      </c>
      <c r="BB114" s="29">
        <f t="shared" si="81"/>
        <v>0</v>
      </c>
      <c r="BC114" s="29">
        <f t="shared" si="81"/>
        <v>0</v>
      </c>
      <c r="BD114" s="29">
        <f t="shared" si="81"/>
        <v>0</v>
      </c>
      <c r="BE114" s="29">
        <f t="shared" si="81"/>
        <v>0</v>
      </c>
      <c r="BF114" s="29">
        <f t="shared" si="81"/>
        <v>0</v>
      </c>
      <c r="BG114" s="29">
        <f t="shared" si="81"/>
        <v>0</v>
      </c>
      <c r="BH114" s="29">
        <f t="shared" si="81"/>
        <v>0</v>
      </c>
      <c r="BI114" s="29">
        <f t="shared" si="81"/>
        <v>0</v>
      </c>
      <c r="BJ114" s="29">
        <f t="shared" si="81"/>
        <v>0</v>
      </c>
      <c r="BK114" s="29">
        <f t="shared" si="81"/>
        <v>0</v>
      </c>
      <c r="BL114" s="29">
        <f t="shared" si="81"/>
        <v>0</v>
      </c>
      <c r="BM114" s="29">
        <f t="shared" si="81"/>
        <v>0</v>
      </c>
      <c r="BN114" s="29">
        <f t="shared" si="81"/>
        <v>0</v>
      </c>
      <c r="BO114" s="29">
        <f t="shared" si="81"/>
        <v>0</v>
      </c>
      <c r="BP114" s="29">
        <f t="shared" si="81"/>
        <v>0</v>
      </c>
      <c r="BQ114" s="29">
        <f t="shared" si="81"/>
        <v>0</v>
      </c>
      <c r="BR114" s="29">
        <f t="shared" si="81"/>
        <v>0</v>
      </c>
      <c r="BS114" s="29">
        <f t="shared" si="81"/>
        <v>0</v>
      </c>
      <c r="BT114" s="29">
        <f t="shared" si="81"/>
        <v>0</v>
      </c>
      <c r="BU114" s="29">
        <f t="shared" si="81"/>
        <v>0</v>
      </c>
      <c r="BV114" s="29">
        <f t="shared" si="81"/>
        <v>0</v>
      </c>
      <c r="BW114" s="29">
        <f t="shared" si="81"/>
        <v>0</v>
      </c>
      <c r="BX114" s="29">
        <f t="shared" si="81"/>
        <v>0</v>
      </c>
      <c r="BY114" s="29">
        <f t="shared" si="81"/>
        <v>0</v>
      </c>
      <c r="BZ114" s="29">
        <f t="shared" si="81"/>
        <v>0</v>
      </c>
      <c r="CA114" s="29">
        <f t="shared" si="81"/>
        <v>0</v>
      </c>
      <c r="CB114" s="29">
        <f t="shared" si="81"/>
        <v>0</v>
      </c>
      <c r="CC114" s="29">
        <f t="shared" si="81"/>
        <v>0</v>
      </c>
      <c r="CD114" s="29">
        <f t="shared" si="81"/>
        <v>0</v>
      </c>
      <c r="CE114" s="29">
        <f t="shared" si="81"/>
        <v>0</v>
      </c>
      <c r="CF114" s="29">
        <f t="shared" si="81"/>
        <v>0</v>
      </c>
      <c r="CG114" s="29">
        <f t="shared" si="81"/>
        <v>0</v>
      </c>
      <c r="CH114" s="29">
        <f t="shared" si="81"/>
        <v>0</v>
      </c>
    </row>
    <row r="115" spans="2:86" ht="13" hidden="1" outlineLevel="1">
      <c r="B115" s="84">
        <f t="shared" si="71"/>
        <v>12</v>
      </c>
      <c r="C115" s="64">
        <f t="shared" ca="1" si="69"/>
        <v>-2.8480110135997494E-2</v>
      </c>
      <c r="D115" s="15" t="s">
        <v>238</v>
      </c>
      <c r="E115" s="29">
        <f t="shared" ca="1" si="59"/>
        <v>-631175.05219634995</v>
      </c>
      <c r="F115" s="29"/>
      <c r="G115" s="29">
        <f t="shared" ref="G115:CH115" ca="1" si="82">IF(G$4&lt;=$B115,ABS(G$31)*-1+G$47,0)+IF($B115=G$4,G$81,0)</f>
        <v>-1444375</v>
      </c>
      <c r="H115" s="29">
        <f t="shared" ca="1" si="82"/>
        <v>-1344375</v>
      </c>
      <c r="I115" s="29">
        <f t="shared" ca="1" si="82"/>
        <v>-1344375</v>
      </c>
      <c r="J115" s="29">
        <f t="shared" ca="1" si="82"/>
        <v>-1344375</v>
      </c>
      <c r="K115" s="29">
        <f t="shared" ca="1" si="82"/>
        <v>-1344375</v>
      </c>
      <c r="L115" s="29">
        <f t="shared" ca="1" si="82"/>
        <v>-1344375</v>
      </c>
      <c r="M115" s="29">
        <f t="shared" ca="1" si="82"/>
        <v>-1344375</v>
      </c>
      <c r="N115" s="29">
        <f t="shared" ca="1" si="82"/>
        <v>-1344375</v>
      </c>
      <c r="O115" s="29">
        <f t="shared" ca="1" si="82"/>
        <v>-1344375</v>
      </c>
      <c r="P115" s="29">
        <f t="shared" ca="1" si="82"/>
        <v>-1344375</v>
      </c>
      <c r="Q115" s="29">
        <f t="shared" ca="1" si="82"/>
        <v>-1344375</v>
      </c>
      <c r="R115" s="29">
        <f t="shared" ca="1" si="82"/>
        <v>14256949.94780365</v>
      </c>
      <c r="S115" s="29">
        <f t="shared" si="82"/>
        <v>0</v>
      </c>
      <c r="T115" s="29">
        <f t="shared" si="82"/>
        <v>0</v>
      </c>
      <c r="U115" s="29">
        <f t="shared" si="82"/>
        <v>0</v>
      </c>
      <c r="V115" s="29">
        <f t="shared" si="82"/>
        <v>0</v>
      </c>
      <c r="W115" s="29">
        <f t="shared" si="82"/>
        <v>0</v>
      </c>
      <c r="X115" s="29">
        <f t="shared" si="82"/>
        <v>0</v>
      </c>
      <c r="Y115" s="29">
        <f t="shared" si="82"/>
        <v>0</v>
      </c>
      <c r="Z115" s="29">
        <f t="shared" si="82"/>
        <v>0</v>
      </c>
      <c r="AA115" s="29">
        <f t="shared" si="82"/>
        <v>0</v>
      </c>
      <c r="AB115" s="29">
        <f t="shared" si="82"/>
        <v>0</v>
      </c>
      <c r="AC115" s="29">
        <f t="shared" si="82"/>
        <v>0</v>
      </c>
      <c r="AD115" s="29">
        <f t="shared" si="82"/>
        <v>0</v>
      </c>
      <c r="AE115" s="29">
        <f t="shared" si="82"/>
        <v>0</v>
      </c>
      <c r="AF115" s="29">
        <f t="shared" si="82"/>
        <v>0</v>
      </c>
      <c r="AG115" s="29">
        <f t="shared" si="82"/>
        <v>0</v>
      </c>
      <c r="AH115" s="29">
        <f t="shared" si="82"/>
        <v>0</v>
      </c>
      <c r="AI115" s="29">
        <f t="shared" si="82"/>
        <v>0</v>
      </c>
      <c r="AJ115" s="29">
        <f t="shared" si="82"/>
        <v>0</v>
      </c>
      <c r="AK115" s="29">
        <f t="shared" si="82"/>
        <v>0</v>
      </c>
      <c r="AL115" s="29">
        <f t="shared" si="82"/>
        <v>0</v>
      </c>
      <c r="AM115" s="29">
        <f t="shared" si="82"/>
        <v>0</v>
      </c>
      <c r="AN115" s="29">
        <f t="shared" si="82"/>
        <v>0</v>
      </c>
      <c r="AO115" s="29">
        <f t="shared" si="82"/>
        <v>0</v>
      </c>
      <c r="AP115" s="29">
        <f t="shared" si="82"/>
        <v>0</v>
      </c>
      <c r="AQ115" s="29">
        <f t="shared" si="82"/>
        <v>0</v>
      </c>
      <c r="AR115" s="29">
        <f t="shared" si="82"/>
        <v>0</v>
      </c>
      <c r="AS115" s="29">
        <f t="shared" si="82"/>
        <v>0</v>
      </c>
      <c r="AT115" s="29">
        <f t="shared" si="82"/>
        <v>0</v>
      </c>
      <c r="AU115" s="29">
        <f t="shared" si="82"/>
        <v>0</v>
      </c>
      <c r="AV115" s="29">
        <f t="shared" si="82"/>
        <v>0</v>
      </c>
      <c r="AW115" s="29">
        <f t="shared" si="82"/>
        <v>0</v>
      </c>
      <c r="AX115" s="29">
        <f t="shared" si="82"/>
        <v>0</v>
      </c>
      <c r="AY115" s="29">
        <f t="shared" si="82"/>
        <v>0</v>
      </c>
      <c r="AZ115" s="29">
        <f t="shared" si="82"/>
        <v>0</v>
      </c>
      <c r="BA115" s="29">
        <f t="shared" si="82"/>
        <v>0</v>
      </c>
      <c r="BB115" s="29">
        <f t="shared" si="82"/>
        <v>0</v>
      </c>
      <c r="BC115" s="29">
        <f t="shared" si="82"/>
        <v>0</v>
      </c>
      <c r="BD115" s="29">
        <f t="shared" si="82"/>
        <v>0</v>
      </c>
      <c r="BE115" s="29">
        <f t="shared" si="82"/>
        <v>0</v>
      </c>
      <c r="BF115" s="29">
        <f t="shared" si="82"/>
        <v>0</v>
      </c>
      <c r="BG115" s="29">
        <f t="shared" si="82"/>
        <v>0</v>
      </c>
      <c r="BH115" s="29">
        <f t="shared" si="82"/>
        <v>0</v>
      </c>
      <c r="BI115" s="29">
        <f t="shared" si="82"/>
        <v>0</v>
      </c>
      <c r="BJ115" s="29">
        <f t="shared" si="82"/>
        <v>0</v>
      </c>
      <c r="BK115" s="29">
        <f t="shared" si="82"/>
        <v>0</v>
      </c>
      <c r="BL115" s="29">
        <f t="shared" si="82"/>
        <v>0</v>
      </c>
      <c r="BM115" s="29">
        <f t="shared" si="82"/>
        <v>0</v>
      </c>
      <c r="BN115" s="29">
        <f t="shared" si="82"/>
        <v>0</v>
      </c>
      <c r="BO115" s="29">
        <f t="shared" si="82"/>
        <v>0</v>
      </c>
      <c r="BP115" s="29">
        <f t="shared" si="82"/>
        <v>0</v>
      </c>
      <c r="BQ115" s="29">
        <f t="shared" si="82"/>
        <v>0</v>
      </c>
      <c r="BR115" s="29">
        <f t="shared" si="82"/>
        <v>0</v>
      </c>
      <c r="BS115" s="29">
        <f t="shared" si="82"/>
        <v>0</v>
      </c>
      <c r="BT115" s="29">
        <f t="shared" si="82"/>
        <v>0</v>
      </c>
      <c r="BU115" s="29">
        <f t="shared" si="82"/>
        <v>0</v>
      </c>
      <c r="BV115" s="29">
        <f t="shared" si="82"/>
        <v>0</v>
      </c>
      <c r="BW115" s="29">
        <f t="shared" si="82"/>
        <v>0</v>
      </c>
      <c r="BX115" s="29">
        <f t="shared" si="82"/>
        <v>0</v>
      </c>
      <c r="BY115" s="29">
        <f t="shared" si="82"/>
        <v>0</v>
      </c>
      <c r="BZ115" s="29">
        <f t="shared" si="82"/>
        <v>0</v>
      </c>
      <c r="CA115" s="29">
        <f t="shared" si="82"/>
        <v>0</v>
      </c>
      <c r="CB115" s="29">
        <f t="shared" si="82"/>
        <v>0</v>
      </c>
      <c r="CC115" s="29">
        <f t="shared" si="82"/>
        <v>0</v>
      </c>
      <c r="CD115" s="29">
        <f t="shared" si="82"/>
        <v>0</v>
      </c>
      <c r="CE115" s="29">
        <f t="shared" si="82"/>
        <v>0</v>
      </c>
      <c r="CF115" s="29">
        <f t="shared" si="82"/>
        <v>0</v>
      </c>
      <c r="CG115" s="29">
        <f t="shared" si="82"/>
        <v>0</v>
      </c>
      <c r="CH115" s="29">
        <f t="shared" si="82"/>
        <v>0</v>
      </c>
    </row>
    <row r="116" spans="2:86" ht="13" hidden="1" outlineLevel="1">
      <c r="B116" s="84">
        <f t="shared" si="71"/>
        <v>13</v>
      </c>
      <c r="C116" s="64">
        <f t="shared" ca="1" si="69"/>
        <v>1.71116376652658E-3</v>
      </c>
      <c r="D116" s="15" t="s">
        <v>238</v>
      </c>
      <c r="E116" s="29">
        <f t="shared" ca="1" si="59"/>
        <v>45414.513256272301</v>
      </c>
      <c r="F116" s="29"/>
      <c r="G116" s="29">
        <f t="shared" ref="G116:CH116" ca="1" si="83">IF(G$4&lt;=$B116,ABS(G$31)*-1+G$47,0)+IF($B116=G$4,G$81,0)</f>
        <v>-1444375</v>
      </c>
      <c r="H116" s="29">
        <f t="shared" ca="1" si="83"/>
        <v>-1344375</v>
      </c>
      <c r="I116" s="29">
        <f t="shared" ca="1" si="83"/>
        <v>-1344375</v>
      </c>
      <c r="J116" s="29">
        <f t="shared" ca="1" si="83"/>
        <v>-1344375</v>
      </c>
      <c r="K116" s="29">
        <f t="shared" ca="1" si="83"/>
        <v>-1344375</v>
      </c>
      <c r="L116" s="29">
        <f t="shared" ca="1" si="83"/>
        <v>-1344375</v>
      </c>
      <c r="M116" s="29">
        <f t="shared" ca="1" si="83"/>
        <v>-1344375</v>
      </c>
      <c r="N116" s="29">
        <f t="shared" ca="1" si="83"/>
        <v>-1344375</v>
      </c>
      <c r="O116" s="29">
        <f t="shared" ca="1" si="83"/>
        <v>-1344375</v>
      </c>
      <c r="P116" s="29">
        <f t="shared" ca="1" si="83"/>
        <v>-1344375</v>
      </c>
      <c r="Q116" s="29">
        <f t="shared" ca="1" si="83"/>
        <v>-1344375</v>
      </c>
      <c r="R116" s="29">
        <f t="shared" ca="1" si="83"/>
        <v>-1344375</v>
      </c>
      <c r="S116" s="29">
        <f t="shared" ca="1" si="83"/>
        <v>16277914.513256272</v>
      </c>
      <c r="T116" s="29">
        <f t="shared" si="83"/>
        <v>0</v>
      </c>
      <c r="U116" s="29">
        <f t="shared" si="83"/>
        <v>0</v>
      </c>
      <c r="V116" s="29">
        <f t="shared" si="83"/>
        <v>0</v>
      </c>
      <c r="W116" s="29">
        <f t="shared" si="83"/>
        <v>0</v>
      </c>
      <c r="X116" s="29">
        <f t="shared" si="83"/>
        <v>0</v>
      </c>
      <c r="Y116" s="29">
        <f t="shared" si="83"/>
        <v>0</v>
      </c>
      <c r="Z116" s="29">
        <f t="shared" si="83"/>
        <v>0</v>
      </c>
      <c r="AA116" s="29">
        <f t="shared" si="83"/>
        <v>0</v>
      </c>
      <c r="AB116" s="29">
        <f t="shared" si="83"/>
        <v>0</v>
      </c>
      <c r="AC116" s="29">
        <f t="shared" si="83"/>
        <v>0</v>
      </c>
      <c r="AD116" s="29">
        <f t="shared" si="83"/>
        <v>0</v>
      </c>
      <c r="AE116" s="29">
        <f t="shared" si="83"/>
        <v>0</v>
      </c>
      <c r="AF116" s="29">
        <f t="shared" si="83"/>
        <v>0</v>
      </c>
      <c r="AG116" s="29">
        <f t="shared" si="83"/>
        <v>0</v>
      </c>
      <c r="AH116" s="29">
        <f t="shared" si="83"/>
        <v>0</v>
      </c>
      <c r="AI116" s="29">
        <f t="shared" si="83"/>
        <v>0</v>
      </c>
      <c r="AJ116" s="29">
        <f t="shared" si="83"/>
        <v>0</v>
      </c>
      <c r="AK116" s="29">
        <f t="shared" si="83"/>
        <v>0</v>
      </c>
      <c r="AL116" s="29">
        <f t="shared" si="83"/>
        <v>0</v>
      </c>
      <c r="AM116" s="29">
        <f t="shared" si="83"/>
        <v>0</v>
      </c>
      <c r="AN116" s="29">
        <f t="shared" si="83"/>
        <v>0</v>
      </c>
      <c r="AO116" s="29">
        <f t="shared" si="83"/>
        <v>0</v>
      </c>
      <c r="AP116" s="29">
        <f t="shared" si="83"/>
        <v>0</v>
      </c>
      <c r="AQ116" s="29">
        <f t="shared" si="83"/>
        <v>0</v>
      </c>
      <c r="AR116" s="29">
        <f t="shared" si="83"/>
        <v>0</v>
      </c>
      <c r="AS116" s="29">
        <f t="shared" si="83"/>
        <v>0</v>
      </c>
      <c r="AT116" s="29">
        <f t="shared" si="83"/>
        <v>0</v>
      </c>
      <c r="AU116" s="29">
        <f t="shared" si="83"/>
        <v>0</v>
      </c>
      <c r="AV116" s="29">
        <f t="shared" si="83"/>
        <v>0</v>
      </c>
      <c r="AW116" s="29">
        <f t="shared" si="83"/>
        <v>0</v>
      </c>
      <c r="AX116" s="29">
        <f t="shared" si="83"/>
        <v>0</v>
      </c>
      <c r="AY116" s="29">
        <f t="shared" si="83"/>
        <v>0</v>
      </c>
      <c r="AZ116" s="29">
        <f t="shared" si="83"/>
        <v>0</v>
      </c>
      <c r="BA116" s="29">
        <f t="shared" si="83"/>
        <v>0</v>
      </c>
      <c r="BB116" s="29">
        <f t="shared" si="83"/>
        <v>0</v>
      </c>
      <c r="BC116" s="29">
        <f t="shared" si="83"/>
        <v>0</v>
      </c>
      <c r="BD116" s="29">
        <f t="shared" si="83"/>
        <v>0</v>
      </c>
      <c r="BE116" s="29">
        <f t="shared" si="83"/>
        <v>0</v>
      </c>
      <c r="BF116" s="29">
        <f t="shared" si="83"/>
        <v>0</v>
      </c>
      <c r="BG116" s="29">
        <f t="shared" si="83"/>
        <v>0</v>
      </c>
      <c r="BH116" s="29">
        <f t="shared" si="83"/>
        <v>0</v>
      </c>
      <c r="BI116" s="29">
        <f t="shared" si="83"/>
        <v>0</v>
      </c>
      <c r="BJ116" s="29">
        <f t="shared" si="83"/>
        <v>0</v>
      </c>
      <c r="BK116" s="29">
        <f t="shared" si="83"/>
        <v>0</v>
      </c>
      <c r="BL116" s="29">
        <f t="shared" si="83"/>
        <v>0</v>
      </c>
      <c r="BM116" s="29">
        <f t="shared" si="83"/>
        <v>0</v>
      </c>
      <c r="BN116" s="29">
        <f t="shared" si="83"/>
        <v>0</v>
      </c>
      <c r="BO116" s="29">
        <f t="shared" si="83"/>
        <v>0</v>
      </c>
      <c r="BP116" s="29">
        <f t="shared" si="83"/>
        <v>0</v>
      </c>
      <c r="BQ116" s="29">
        <f t="shared" si="83"/>
        <v>0</v>
      </c>
      <c r="BR116" s="29">
        <f t="shared" si="83"/>
        <v>0</v>
      </c>
      <c r="BS116" s="29">
        <f t="shared" si="83"/>
        <v>0</v>
      </c>
      <c r="BT116" s="29">
        <f t="shared" si="83"/>
        <v>0</v>
      </c>
      <c r="BU116" s="29">
        <f t="shared" si="83"/>
        <v>0</v>
      </c>
      <c r="BV116" s="29">
        <f t="shared" si="83"/>
        <v>0</v>
      </c>
      <c r="BW116" s="29">
        <f t="shared" si="83"/>
        <v>0</v>
      </c>
      <c r="BX116" s="29">
        <f t="shared" si="83"/>
        <v>0</v>
      </c>
      <c r="BY116" s="29">
        <f t="shared" si="83"/>
        <v>0</v>
      </c>
      <c r="BZ116" s="29">
        <f t="shared" si="83"/>
        <v>0</v>
      </c>
      <c r="CA116" s="29">
        <f t="shared" si="83"/>
        <v>0</v>
      </c>
      <c r="CB116" s="29">
        <f t="shared" si="83"/>
        <v>0</v>
      </c>
      <c r="CC116" s="29">
        <f t="shared" si="83"/>
        <v>0</v>
      </c>
      <c r="CD116" s="29">
        <f t="shared" si="83"/>
        <v>0</v>
      </c>
      <c r="CE116" s="29">
        <f t="shared" si="83"/>
        <v>0</v>
      </c>
      <c r="CF116" s="29">
        <f t="shared" si="83"/>
        <v>0</v>
      </c>
      <c r="CG116" s="29">
        <f t="shared" si="83"/>
        <v>0</v>
      </c>
      <c r="CH116" s="29">
        <f t="shared" si="83"/>
        <v>0</v>
      </c>
    </row>
    <row r="117" spans="2:86" ht="13" hidden="1" outlineLevel="1">
      <c r="B117" s="84">
        <f t="shared" si="71"/>
        <v>14</v>
      </c>
      <c r="C117" s="64">
        <f t="shared" ca="1" si="69"/>
        <v>2.4642666987322093E-2</v>
      </c>
      <c r="D117" s="15" t="s">
        <v>238</v>
      </c>
      <c r="E117" s="29">
        <f t="shared" ca="1" si="59"/>
        <v>767168.17826505005</v>
      </c>
      <c r="F117" s="29"/>
      <c r="G117" s="29">
        <f t="shared" ref="G117:CH117" ca="1" si="84">IF(G$4&lt;=$B117,ABS(G$31)*-1+G$47,0)+IF($B117=G$4,G$81,0)</f>
        <v>-1444375</v>
      </c>
      <c r="H117" s="29">
        <f t="shared" ca="1" si="84"/>
        <v>-1344375</v>
      </c>
      <c r="I117" s="29">
        <f t="shared" ca="1" si="84"/>
        <v>-1344375</v>
      </c>
      <c r="J117" s="29">
        <f t="shared" ca="1" si="84"/>
        <v>-1344375</v>
      </c>
      <c r="K117" s="29">
        <f t="shared" ca="1" si="84"/>
        <v>-1344375</v>
      </c>
      <c r="L117" s="29">
        <f t="shared" ca="1" si="84"/>
        <v>-1344375</v>
      </c>
      <c r="M117" s="29">
        <f t="shared" ca="1" si="84"/>
        <v>-1344375</v>
      </c>
      <c r="N117" s="29">
        <f t="shared" ca="1" si="84"/>
        <v>-1344375</v>
      </c>
      <c r="O117" s="29">
        <f t="shared" ca="1" si="84"/>
        <v>-1344375</v>
      </c>
      <c r="P117" s="29">
        <f t="shared" ca="1" si="84"/>
        <v>-1344375</v>
      </c>
      <c r="Q117" s="29">
        <f t="shared" ca="1" si="84"/>
        <v>-1344375</v>
      </c>
      <c r="R117" s="29">
        <f t="shared" ca="1" si="84"/>
        <v>-1344375</v>
      </c>
      <c r="S117" s="29">
        <f t="shared" ca="1" si="84"/>
        <v>-291239.58333333279</v>
      </c>
      <c r="T117" s="29">
        <f t="shared" ca="1" si="84"/>
        <v>17290907.761598382</v>
      </c>
      <c r="U117" s="29">
        <f t="shared" si="84"/>
        <v>0</v>
      </c>
      <c r="V117" s="29">
        <f t="shared" si="84"/>
        <v>0</v>
      </c>
      <c r="W117" s="29">
        <f t="shared" si="84"/>
        <v>0</v>
      </c>
      <c r="X117" s="29">
        <f t="shared" si="84"/>
        <v>0</v>
      </c>
      <c r="Y117" s="29">
        <f t="shared" si="84"/>
        <v>0</v>
      </c>
      <c r="Z117" s="29">
        <f t="shared" si="84"/>
        <v>0</v>
      </c>
      <c r="AA117" s="29">
        <f t="shared" si="84"/>
        <v>0</v>
      </c>
      <c r="AB117" s="29">
        <f t="shared" si="84"/>
        <v>0</v>
      </c>
      <c r="AC117" s="29">
        <f t="shared" si="84"/>
        <v>0</v>
      </c>
      <c r="AD117" s="29">
        <f t="shared" si="84"/>
        <v>0</v>
      </c>
      <c r="AE117" s="29">
        <f t="shared" si="84"/>
        <v>0</v>
      </c>
      <c r="AF117" s="29">
        <f t="shared" si="84"/>
        <v>0</v>
      </c>
      <c r="AG117" s="29">
        <f t="shared" si="84"/>
        <v>0</v>
      </c>
      <c r="AH117" s="29">
        <f t="shared" si="84"/>
        <v>0</v>
      </c>
      <c r="AI117" s="29">
        <f t="shared" si="84"/>
        <v>0</v>
      </c>
      <c r="AJ117" s="29">
        <f t="shared" si="84"/>
        <v>0</v>
      </c>
      <c r="AK117" s="29">
        <f t="shared" si="84"/>
        <v>0</v>
      </c>
      <c r="AL117" s="29">
        <f t="shared" si="84"/>
        <v>0</v>
      </c>
      <c r="AM117" s="29">
        <f t="shared" si="84"/>
        <v>0</v>
      </c>
      <c r="AN117" s="29">
        <f t="shared" si="84"/>
        <v>0</v>
      </c>
      <c r="AO117" s="29">
        <f t="shared" si="84"/>
        <v>0</v>
      </c>
      <c r="AP117" s="29">
        <f t="shared" si="84"/>
        <v>0</v>
      </c>
      <c r="AQ117" s="29">
        <f t="shared" si="84"/>
        <v>0</v>
      </c>
      <c r="AR117" s="29">
        <f t="shared" si="84"/>
        <v>0</v>
      </c>
      <c r="AS117" s="29">
        <f t="shared" si="84"/>
        <v>0</v>
      </c>
      <c r="AT117" s="29">
        <f t="shared" si="84"/>
        <v>0</v>
      </c>
      <c r="AU117" s="29">
        <f t="shared" si="84"/>
        <v>0</v>
      </c>
      <c r="AV117" s="29">
        <f t="shared" si="84"/>
        <v>0</v>
      </c>
      <c r="AW117" s="29">
        <f t="shared" si="84"/>
        <v>0</v>
      </c>
      <c r="AX117" s="29">
        <f t="shared" si="84"/>
        <v>0</v>
      </c>
      <c r="AY117" s="29">
        <f t="shared" si="84"/>
        <v>0</v>
      </c>
      <c r="AZ117" s="29">
        <f t="shared" si="84"/>
        <v>0</v>
      </c>
      <c r="BA117" s="29">
        <f t="shared" si="84"/>
        <v>0</v>
      </c>
      <c r="BB117" s="29">
        <f t="shared" si="84"/>
        <v>0</v>
      </c>
      <c r="BC117" s="29">
        <f t="shared" si="84"/>
        <v>0</v>
      </c>
      <c r="BD117" s="29">
        <f t="shared" si="84"/>
        <v>0</v>
      </c>
      <c r="BE117" s="29">
        <f t="shared" si="84"/>
        <v>0</v>
      </c>
      <c r="BF117" s="29">
        <f t="shared" si="84"/>
        <v>0</v>
      </c>
      <c r="BG117" s="29">
        <f t="shared" si="84"/>
        <v>0</v>
      </c>
      <c r="BH117" s="29">
        <f t="shared" si="84"/>
        <v>0</v>
      </c>
      <c r="BI117" s="29">
        <f t="shared" si="84"/>
        <v>0</v>
      </c>
      <c r="BJ117" s="29">
        <f t="shared" si="84"/>
        <v>0</v>
      </c>
      <c r="BK117" s="29">
        <f t="shared" si="84"/>
        <v>0</v>
      </c>
      <c r="BL117" s="29">
        <f t="shared" si="84"/>
        <v>0</v>
      </c>
      <c r="BM117" s="29">
        <f t="shared" si="84"/>
        <v>0</v>
      </c>
      <c r="BN117" s="29">
        <f t="shared" si="84"/>
        <v>0</v>
      </c>
      <c r="BO117" s="29">
        <f t="shared" si="84"/>
        <v>0</v>
      </c>
      <c r="BP117" s="29">
        <f t="shared" si="84"/>
        <v>0</v>
      </c>
      <c r="BQ117" s="29">
        <f t="shared" si="84"/>
        <v>0</v>
      </c>
      <c r="BR117" s="29">
        <f t="shared" si="84"/>
        <v>0</v>
      </c>
      <c r="BS117" s="29">
        <f t="shared" si="84"/>
        <v>0</v>
      </c>
      <c r="BT117" s="29">
        <f t="shared" si="84"/>
        <v>0</v>
      </c>
      <c r="BU117" s="29">
        <f t="shared" si="84"/>
        <v>0</v>
      </c>
      <c r="BV117" s="29">
        <f t="shared" si="84"/>
        <v>0</v>
      </c>
      <c r="BW117" s="29">
        <f t="shared" si="84"/>
        <v>0</v>
      </c>
      <c r="BX117" s="29">
        <f t="shared" si="84"/>
        <v>0</v>
      </c>
      <c r="BY117" s="29">
        <f t="shared" si="84"/>
        <v>0</v>
      </c>
      <c r="BZ117" s="29">
        <f t="shared" si="84"/>
        <v>0</v>
      </c>
      <c r="CA117" s="29">
        <f t="shared" si="84"/>
        <v>0</v>
      </c>
      <c r="CB117" s="29">
        <f t="shared" si="84"/>
        <v>0</v>
      </c>
      <c r="CC117" s="29">
        <f t="shared" si="84"/>
        <v>0</v>
      </c>
      <c r="CD117" s="29">
        <f t="shared" si="84"/>
        <v>0</v>
      </c>
      <c r="CE117" s="29">
        <f t="shared" si="84"/>
        <v>0</v>
      </c>
      <c r="CF117" s="29">
        <f t="shared" si="84"/>
        <v>0</v>
      </c>
      <c r="CG117" s="29">
        <f t="shared" si="84"/>
        <v>0</v>
      </c>
      <c r="CH117" s="29">
        <f t="shared" si="84"/>
        <v>0</v>
      </c>
    </row>
    <row r="118" spans="2:86" ht="13" hidden="1" outlineLevel="1">
      <c r="B118" s="84">
        <f t="shared" si="71"/>
        <v>15</v>
      </c>
      <c r="C118" s="64">
        <f t="shared" ca="1" si="69"/>
        <v>4.2661897148389638E-2</v>
      </c>
      <c r="D118" s="15" t="s">
        <v>238</v>
      </c>
      <c r="E118" s="29">
        <f t="shared" ca="1" si="59"/>
        <v>1534085.9428299814</v>
      </c>
      <c r="F118" s="29"/>
      <c r="G118" s="29">
        <f t="shared" ref="G118:CH118" ca="1" si="85">IF(G$4&lt;=$B118,ABS(G$31)*-1+G$47,0)+IF($B118=G$4,G$81,0)</f>
        <v>-1444375</v>
      </c>
      <c r="H118" s="29">
        <f t="shared" ca="1" si="85"/>
        <v>-1344375</v>
      </c>
      <c r="I118" s="29">
        <f t="shared" ca="1" si="85"/>
        <v>-1344375</v>
      </c>
      <c r="J118" s="29">
        <f t="shared" ca="1" si="85"/>
        <v>-1344375</v>
      </c>
      <c r="K118" s="29">
        <f t="shared" ca="1" si="85"/>
        <v>-1344375</v>
      </c>
      <c r="L118" s="29">
        <f t="shared" ca="1" si="85"/>
        <v>-1344375</v>
      </c>
      <c r="M118" s="29">
        <f t="shared" ca="1" si="85"/>
        <v>-1344375</v>
      </c>
      <c r="N118" s="29">
        <f t="shared" ca="1" si="85"/>
        <v>-1344375</v>
      </c>
      <c r="O118" s="29">
        <f t="shared" ca="1" si="85"/>
        <v>-1344375</v>
      </c>
      <c r="P118" s="29">
        <f t="shared" ca="1" si="85"/>
        <v>-1344375</v>
      </c>
      <c r="Q118" s="29">
        <f t="shared" ca="1" si="85"/>
        <v>-1344375</v>
      </c>
      <c r="R118" s="29">
        <f t="shared" ca="1" si="85"/>
        <v>-1344375</v>
      </c>
      <c r="S118" s="29">
        <f t="shared" ca="1" si="85"/>
        <v>-291239.58333333279</v>
      </c>
      <c r="T118" s="29">
        <f t="shared" ca="1" si="85"/>
        <v>-291239.58333333279</v>
      </c>
      <c r="U118" s="29">
        <f t="shared" ca="1" si="85"/>
        <v>18349065.109496646</v>
      </c>
      <c r="V118" s="29">
        <f t="shared" si="85"/>
        <v>0</v>
      </c>
      <c r="W118" s="29">
        <f t="shared" si="85"/>
        <v>0</v>
      </c>
      <c r="X118" s="29">
        <f t="shared" si="85"/>
        <v>0</v>
      </c>
      <c r="Y118" s="29">
        <f t="shared" si="85"/>
        <v>0</v>
      </c>
      <c r="Z118" s="29">
        <f t="shared" si="85"/>
        <v>0</v>
      </c>
      <c r="AA118" s="29">
        <f t="shared" si="85"/>
        <v>0</v>
      </c>
      <c r="AB118" s="29">
        <f t="shared" si="85"/>
        <v>0</v>
      </c>
      <c r="AC118" s="29">
        <f t="shared" si="85"/>
        <v>0</v>
      </c>
      <c r="AD118" s="29">
        <f t="shared" si="85"/>
        <v>0</v>
      </c>
      <c r="AE118" s="29">
        <f t="shared" si="85"/>
        <v>0</v>
      </c>
      <c r="AF118" s="29">
        <f t="shared" si="85"/>
        <v>0</v>
      </c>
      <c r="AG118" s="29">
        <f t="shared" si="85"/>
        <v>0</v>
      </c>
      <c r="AH118" s="29">
        <f t="shared" si="85"/>
        <v>0</v>
      </c>
      <c r="AI118" s="29">
        <f t="shared" si="85"/>
        <v>0</v>
      </c>
      <c r="AJ118" s="29">
        <f t="shared" si="85"/>
        <v>0</v>
      </c>
      <c r="AK118" s="29">
        <f t="shared" si="85"/>
        <v>0</v>
      </c>
      <c r="AL118" s="29">
        <f t="shared" si="85"/>
        <v>0</v>
      </c>
      <c r="AM118" s="29">
        <f t="shared" si="85"/>
        <v>0</v>
      </c>
      <c r="AN118" s="29">
        <f t="shared" si="85"/>
        <v>0</v>
      </c>
      <c r="AO118" s="29">
        <f t="shared" si="85"/>
        <v>0</v>
      </c>
      <c r="AP118" s="29">
        <f t="shared" si="85"/>
        <v>0</v>
      </c>
      <c r="AQ118" s="29">
        <f t="shared" si="85"/>
        <v>0</v>
      </c>
      <c r="AR118" s="29">
        <f t="shared" si="85"/>
        <v>0</v>
      </c>
      <c r="AS118" s="29">
        <f t="shared" si="85"/>
        <v>0</v>
      </c>
      <c r="AT118" s="29">
        <f t="shared" si="85"/>
        <v>0</v>
      </c>
      <c r="AU118" s="29">
        <f t="shared" si="85"/>
        <v>0</v>
      </c>
      <c r="AV118" s="29">
        <f t="shared" si="85"/>
        <v>0</v>
      </c>
      <c r="AW118" s="29">
        <f t="shared" si="85"/>
        <v>0</v>
      </c>
      <c r="AX118" s="29">
        <f t="shared" si="85"/>
        <v>0</v>
      </c>
      <c r="AY118" s="29">
        <f t="shared" si="85"/>
        <v>0</v>
      </c>
      <c r="AZ118" s="29">
        <f t="shared" si="85"/>
        <v>0</v>
      </c>
      <c r="BA118" s="29">
        <f t="shared" si="85"/>
        <v>0</v>
      </c>
      <c r="BB118" s="29">
        <f t="shared" si="85"/>
        <v>0</v>
      </c>
      <c r="BC118" s="29">
        <f t="shared" si="85"/>
        <v>0</v>
      </c>
      <c r="BD118" s="29">
        <f t="shared" si="85"/>
        <v>0</v>
      </c>
      <c r="BE118" s="29">
        <f t="shared" si="85"/>
        <v>0</v>
      </c>
      <c r="BF118" s="29">
        <f t="shared" si="85"/>
        <v>0</v>
      </c>
      <c r="BG118" s="29">
        <f t="shared" si="85"/>
        <v>0</v>
      </c>
      <c r="BH118" s="29">
        <f t="shared" si="85"/>
        <v>0</v>
      </c>
      <c r="BI118" s="29">
        <f t="shared" si="85"/>
        <v>0</v>
      </c>
      <c r="BJ118" s="29">
        <f t="shared" si="85"/>
        <v>0</v>
      </c>
      <c r="BK118" s="29">
        <f t="shared" si="85"/>
        <v>0</v>
      </c>
      <c r="BL118" s="29">
        <f t="shared" si="85"/>
        <v>0</v>
      </c>
      <c r="BM118" s="29">
        <f t="shared" si="85"/>
        <v>0</v>
      </c>
      <c r="BN118" s="29">
        <f t="shared" si="85"/>
        <v>0</v>
      </c>
      <c r="BO118" s="29">
        <f t="shared" si="85"/>
        <v>0</v>
      </c>
      <c r="BP118" s="29">
        <f t="shared" si="85"/>
        <v>0</v>
      </c>
      <c r="BQ118" s="29">
        <f t="shared" si="85"/>
        <v>0</v>
      </c>
      <c r="BR118" s="29">
        <f t="shared" si="85"/>
        <v>0</v>
      </c>
      <c r="BS118" s="29">
        <f t="shared" si="85"/>
        <v>0</v>
      </c>
      <c r="BT118" s="29">
        <f t="shared" si="85"/>
        <v>0</v>
      </c>
      <c r="BU118" s="29">
        <f t="shared" si="85"/>
        <v>0</v>
      </c>
      <c r="BV118" s="29">
        <f t="shared" si="85"/>
        <v>0</v>
      </c>
      <c r="BW118" s="29">
        <f t="shared" si="85"/>
        <v>0</v>
      </c>
      <c r="BX118" s="29">
        <f t="shared" si="85"/>
        <v>0</v>
      </c>
      <c r="BY118" s="29">
        <f t="shared" si="85"/>
        <v>0</v>
      </c>
      <c r="BZ118" s="29">
        <f t="shared" si="85"/>
        <v>0</v>
      </c>
      <c r="CA118" s="29">
        <f t="shared" si="85"/>
        <v>0</v>
      </c>
      <c r="CB118" s="29">
        <f t="shared" si="85"/>
        <v>0</v>
      </c>
      <c r="CC118" s="29">
        <f t="shared" si="85"/>
        <v>0</v>
      </c>
      <c r="CD118" s="29">
        <f t="shared" si="85"/>
        <v>0</v>
      </c>
      <c r="CE118" s="29">
        <f t="shared" si="85"/>
        <v>0</v>
      </c>
      <c r="CF118" s="29">
        <f t="shared" si="85"/>
        <v>0</v>
      </c>
      <c r="CG118" s="29">
        <f t="shared" si="85"/>
        <v>0</v>
      </c>
      <c r="CH118" s="29">
        <f t="shared" si="85"/>
        <v>0</v>
      </c>
    </row>
    <row r="119" spans="2:86" ht="13" hidden="1" outlineLevel="1">
      <c r="B119" s="84">
        <f t="shared" si="71"/>
        <v>16</v>
      </c>
      <c r="C119" s="64">
        <f t="shared" ca="1" si="69"/>
        <v>5.7168812370099964E-2</v>
      </c>
      <c r="D119" s="15" t="s">
        <v>238</v>
      </c>
      <c r="E119" s="29">
        <f t="shared" ca="1" si="59"/>
        <v>2346167.8069510683</v>
      </c>
      <c r="F119" s="29"/>
      <c r="G119" s="29">
        <f t="shared" ref="G119:CH119" ca="1" si="86">IF(G$4&lt;=$B119,ABS(G$31)*-1+G$47,0)+IF($B119=G$4,G$81,0)</f>
        <v>-1444375</v>
      </c>
      <c r="H119" s="29">
        <f t="shared" ca="1" si="86"/>
        <v>-1344375</v>
      </c>
      <c r="I119" s="29">
        <f t="shared" ca="1" si="86"/>
        <v>-1344375</v>
      </c>
      <c r="J119" s="29">
        <f t="shared" ca="1" si="86"/>
        <v>-1344375</v>
      </c>
      <c r="K119" s="29">
        <f t="shared" ca="1" si="86"/>
        <v>-1344375</v>
      </c>
      <c r="L119" s="29">
        <f t="shared" ca="1" si="86"/>
        <v>-1344375</v>
      </c>
      <c r="M119" s="29">
        <f t="shared" ca="1" si="86"/>
        <v>-1344375</v>
      </c>
      <c r="N119" s="29">
        <f t="shared" ca="1" si="86"/>
        <v>-1344375</v>
      </c>
      <c r="O119" s="29">
        <f t="shared" ca="1" si="86"/>
        <v>-1344375</v>
      </c>
      <c r="P119" s="29">
        <f t="shared" ca="1" si="86"/>
        <v>-1344375</v>
      </c>
      <c r="Q119" s="29">
        <f t="shared" ca="1" si="86"/>
        <v>-1344375</v>
      </c>
      <c r="R119" s="29">
        <f t="shared" ca="1" si="86"/>
        <v>-1344375</v>
      </c>
      <c r="S119" s="29">
        <f t="shared" ca="1" si="86"/>
        <v>-291239.58333333279</v>
      </c>
      <c r="T119" s="29">
        <f t="shared" ca="1" si="86"/>
        <v>-291239.58333333279</v>
      </c>
      <c r="U119" s="29">
        <f t="shared" ca="1" si="86"/>
        <v>-291239.58333333279</v>
      </c>
      <c r="V119" s="29">
        <f t="shared" ca="1" si="86"/>
        <v>19452386.556951065</v>
      </c>
      <c r="W119" s="29">
        <f t="shared" si="86"/>
        <v>0</v>
      </c>
      <c r="X119" s="29">
        <f t="shared" si="86"/>
        <v>0</v>
      </c>
      <c r="Y119" s="29">
        <f t="shared" si="86"/>
        <v>0</v>
      </c>
      <c r="Z119" s="29">
        <f t="shared" si="86"/>
        <v>0</v>
      </c>
      <c r="AA119" s="29">
        <f t="shared" si="86"/>
        <v>0</v>
      </c>
      <c r="AB119" s="29">
        <f t="shared" si="86"/>
        <v>0</v>
      </c>
      <c r="AC119" s="29">
        <f t="shared" si="86"/>
        <v>0</v>
      </c>
      <c r="AD119" s="29">
        <f t="shared" si="86"/>
        <v>0</v>
      </c>
      <c r="AE119" s="29">
        <f t="shared" si="86"/>
        <v>0</v>
      </c>
      <c r="AF119" s="29">
        <f t="shared" si="86"/>
        <v>0</v>
      </c>
      <c r="AG119" s="29">
        <f t="shared" si="86"/>
        <v>0</v>
      </c>
      <c r="AH119" s="29">
        <f t="shared" si="86"/>
        <v>0</v>
      </c>
      <c r="AI119" s="29">
        <f t="shared" si="86"/>
        <v>0</v>
      </c>
      <c r="AJ119" s="29">
        <f t="shared" si="86"/>
        <v>0</v>
      </c>
      <c r="AK119" s="29">
        <f t="shared" si="86"/>
        <v>0</v>
      </c>
      <c r="AL119" s="29">
        <f t="shared" si="86"/>
        <v>0</v>
      </c>
      <c r="AM119" s="29">
        <f t="shared" si="86"/>
        <v>0</v>
      </c>
      <c r="AN119" s="29">
        <f t="shared" si="86"/>
        <v>0</v>
      </c>
      <c r="AO119" s="29">
        <f t="shared" si="86"/>
        <v>0</v>
      </c>
      <c r="AP119" s="29">
        <f t="shared" si="86"/>
        <v>0</v>
      </c>
      <c r="AQ119" s="29">
        <f t="shared" si="86"/>
        <v>0</v>
      </c>
      <c r="AR119" s="29">
        <f t="shared" si="86"/>
        <v>0</v>
      </c>
      <c r="AS119" s="29">
        <f t="shared" si="86"/>
        <v>0</v>
      </c>
      <c r="AT119" s="29">
        <f t="shared" si="86"/>
        <v>0</v>
      </c>
      <c r="AU119" s="29">
        <f t="shared" si="86"/>
        <v>0</v>
      </c>
      <c r="AV119" s="29">
        <f t="shared" si="86"/>
        <v>0</v>
      </c>
      <c r="AW119" s="29">
        <f t="shared" si="86"/>
        <v>0</v>
      </c>
      <c r="AX119" s="29">
        <f t="shared" si="86"/>
        <v>0</v>
      </c>
      <c r="AY119" s="29">
        <f t="shared" si="86"/>
        <v>0</v>
      </c>
      <c r="AZ119" s="29">
        <f t="shared" si="86"/>
        <v>0</v>
      </c>
      <c r="BA119" s="29">
        <f t="shared" si="86"/>
        <v>0</v>
      </c>
      <c r="BB119" s="29">
        <f t="shared" si="86"/>
        <v>0</v>
      </c>
      <c r="BC119" s="29">
        <f t="shared" si="86"/>
        <v>0</v>
      </c>
      <c r="BD119" s="29">
        <f t="shared" si="86"/>
        <v>0</v>
      </c>
      <c r="BE119" s="29">
        <f t="shared" si="86"/>
        <v>0</v>
      </c>
      <c r="BF119" s="29">
        <f t="shared" si="86"/>
        <v>0</v>
      </c>
      <c r="BG119" s="29">
        <f t="shared" si="86"/>
        <v>0</v>
      </c>
      <c r="BH119" s="29">
        <f t="shared" si="86"/>
        <v>0</v>
      </c>
      <c r="BI119" s="29">
        <f t="shared" si="86"/>
        <v>0</v>
      </c>
      <c r="BJ119" s="29">
        <f t="shared" si="86"/>
        <v>0</v>
      </c>
      <c r="BK119" s="29">
        <f t="shared" si="86"/>
        <v>0</v>
      </c>
      <c r="BL119" s="29">
        <f t="shared" si="86"/>
        <v>0</v>
      </c>
      <c r="BM119" s="29">
        <f t="shared" si="86"/>
        <v>0</v>
      </c>
      <c r="BN119" s="29">
        <f t="shared" si="86"/>
        <v>0</v>
      </c>
      <c r="BO119" s="29">
        <f t="shared" si="86"/>
        <v>0</v>
      </c>
      <c r="BP119" s="29">
        <f t="shared" si="86"/>
        <v>0</v>
      </c>
      <c r="BQ119" s="29">
        <f t="shared" si="86"/>
        <v>0</v>
      </c>
      <c r="BR119" s="29">
        <f t="shared" si="86"/>
        <v>0</v>
      </c>
      <c r="BS119" s="29">
        <f t="shared" si="86"/>
        <v>0</v>
      </c>
      <c r="BT119" s="29">
        <f t="shared" si="86"/>
        <v>0</v>
      </c>
      <c r="BU119" s="29">
        <f t="shared" si="86"/>
        <v>0</v>
      </c>
      <c r="BV119" s="29">
        <f t="shared" si="86"/>
        <v>0</v>
      </c>
      <c r="BW119" s="29">
        <f t="shared" si="86"/>
        <v>0</v>
      </c>
      <c r="BX119" s="29">
        <f t="shared" si="86"/>
        <v>0</v>
      </c>
      <c r="BY119" s="29">
        <f t="shared" si="86"/>
        <v>0</v>
      </c>
      <c r="BZ119" s="29">
        <f t="shared" si="86"/>
        <v>0</v>
      </c>
      <c r="CA119" s="29">
        <f t="shared" si="86"/>
        <v>0</v>
      </c>
      <c r="CB119" s="29">
        <f t="shared" si="86"/>
        <v>0</v>
      </c>
      <c r="CC119" s="29">
        <f t="shared" si="86"/>
        <v>0</v>
      </c>
      <c r="CD119" s="29">
        <f t="shared" si="86"/>
        <v>0</v>
      </c>
      <c r="CE119" s="29">
        <f t="shared" si="86"/>
        <v>0</v>
      </c>
      <c r="CF119" s="29">
        <f t="shared" si="86"/>
        <v>0</v>
      </c>
      <c r="CG119" s="29">
        <f t="shared" si="86"/>
        <v>0</v>
      </c>
      <c r="CH119" s="29">
        <f t="shared" si="86"/>
        <v>0</v>
      </c>
    </row>
    <row r="120" spans="2:86" ht="13" hidden="1" outlineLevel="1">
      <c r="B120" s="84">
        <f t="shared" si="71"/>
        <v>17</v>
      </c>
      <c r="C120" s="64">
        <f t="shared" ca="1" si="69"/>
        <v>0.10985289144973009</v>
      </c>
      <c r="D120" s="15" t="s">
        <v>238</v>
      </c>
      <c r="E120" s="29">
        <f t="shared" ca="1" si="59"/>
        <v>5293229.2168598212</v>
      </c>
      <c r="F120" s="29"/>
      <c r="G120" s="29">
        <f t="shared" ref="G120:CH120" ca="1" si="87">IF(G$4&lt;=$B120,ABS(G$31)*-1+G$47,0)+IF($B120=G$4,G$81,0)</f>
        <v>-1444375</v>
      </c>
      <c r="H120" s="29">
        <f t="shared" ca="1" si="87"/>
        <v>-1344375</v>
      </c>
      <c r="I120" s="29">
        <f t="shared" ca="1" si="87"/>
        <v>-1344375</v>
      </c>
      <c r="J120" s="29">
        <f t="shared" ca="1" si="87"/>
        <v>-1344375</v>
      </c>
      <c r="K120" s="29">
        <f t="shared" ca="1" si="87"/>
        <v>-1344375</v>
      </c>
      <c r="L120" s="29">
        <f t="shared" ca="1" si="87"/>
        <v>-1344375</v>
      </c>
      <c r="M120" s="29">
        <f t="shared" ca="1" si="87"/>
        <v>-1344375</v>
      </c>
      <c r="N120" s="29">
        <f t="shared" ca="1" si="87"/>
        <v>-1344375</v>
      </c>
      <c r="O120" s="29">
        <f t="shared" ca="1" si="87"/>
        <v>-1344375</v>
      </c>
      <c r="P120" s="29">
        <f t="shared" ca="1" si="87"/>
        <v>-1344375</v>
      </c>
      <c r="Q120" s="29">
        <f t="shared" ca="1" si="87"/>
        <v>-1344375</v>
      </c>
      <c r="R120" s="29">
        <f t="shared" ca="1" si="87"/>
        <v>-1344375</v>
      </c>
      <c r="S120" s="29">
        <f t="shared" ca="1" si="87"/>
        <v>-291239.58333333279</v>
      </c>
      <c r="T120" s="29">
        <f t="shared" ca="1" si="87"/>
        <v>-291239.58333333279</v>
      </c>
      <c r="U120" s="29">
        <f t="shared" ca="1" si="87"/>
        <v>-291239.58333333279</v>
      </c>
      <c r="V120" s="29">
        <f t="shared" ca="1" si="87"/>
        <v>-291239.58333333279</v>
      </c>
      <c r="W120" s="29">
        <f t="shared" ca="1" si="87"/>
        <v>22690687.55019315</v>
      </c>
      <c r="X120" s="29">
        <f t="shared" si="87"/>
        <v>0</v>
      </c>
      <c r="Y120" s="29">
        <f t="shared" si="87"/>
        <v>0</v>
      </c>
      <c r="Z120" s="29">
        <f t="shared" si="87"/>
        <v>0</v>
      </c>
      <c r="AA120" s="29">
        <f t="shared" si="87"/>
        <v>0</v>
      </c>
      <c r="AB120" s="29">
        <f t="shared" si="87"/>
        <v>0</v>
      </c>
      <c r="AC120" s="29">
        <f t="shared" si="87"/>
        <v>0</v>
      </c>
      <c r="AD120" s="29">
        <f t="shared" si="87"/>
        <v>0</v>
      </c>
      <c r="AE120" s="29">
        <f t="shared" si="87"/>
        <v>0</v>
      </c>
      <c r="AF120" s="29">
        <f t="shared" si="87"/>
        <v>0</v>
      </c>
      <c r="AG120" s="29">
        <f t="shared" si="87"/>
        <v>0</v>
      </c>
      <c r="AH120" s="29">
        <f t="shared" si="87"/>
        <v>0</v>
      </c>
      <c r="AI120" s="29">
        <f t="shared" si="87"/>
        <v>0</v>
      </c>
      <c r="AJ120" s="29">
        <f t="shared" si="87"/>
        <v>0</v>
      </c>
      <c r="AK120" s="29">
        <f t="shared" si="87"/>
        <v>0</v>
      </c>
      <c r="AL120" s="29">
        <f t="shared" si="87"/>
        <v>0</v>
      </c>
      <c r="AM120" s="29">
        <f t="shared" si="87"/>
        <v>0</v>
      </c>
      <c r="AN120" s="29">
        <f t="shared" si="87"/>
        <v>0</v>
      </c>
      <c r="AO120" s="29">
        <f t="shared" si="87"/>
        <v>0</v>
      </c>
      <c r="AP120" s="29">
        <f t="shared" si="87"/>
        <v>0</v>
      </c>
      <c r="AQ120" s="29">
        <f t="shared" si="87"/>
        <v>0</v>
      </c>
      <c r="AR120" s="29">
        <f t="shared" si="87"/>
        <v>0</v>
      </c>
      <c r="AS120" s="29">
        <f t="shared" si="87"/>
        <v>0</v>
      </c>
      <c r="AT120" s="29">
        <f t="shared" si="87"/>
        <v>0</v>
      </c>
      <c r="AU120" s="29">
        <f t="shared" si="87"/>
        <v>0</v>
      </c>
      <c r="AV120" s="29">
        <f t="shared" si="87"/>
        <v>0</v>
      </c>
      <c r="AW120" s="29">
        <f t="shared" si="87"/>
        <v>0</v>
      </c>
      <c r="AX120" s="29">
        <f t="shared" si="87"/>
        <v>0</v>
      </c>
      <c r="AY120" s="29">
        <f t="shared" si="87"/>
        <v>0</v>
      </c>
      <c r="AZ120" s="29">
        <f t="shared" si="87"/>
        <v>0</v>
      </c>
      <c r="BA120" s="29">
        <f t="shared" si="87"/>
        <v>0</v>
      </c>
      <c r="BB120" s="29">
        <f t="shared" si="87"/>
        <v>0</v>
      </c>
      <c r="BC120" s="29">
        <f t="shared" si="87"/>
        <v>0</v>
      </c>
      <c r="BD120" s="29">
        <f t="shared" si="87"/>
        <v>0</v>
      </c>
      <c r="BE120" s="29">
        <f t="shared" si="87"/>
        <v>0</v>
      </c>
      <c r="BF120" s="29">
        <f t="shared" si="87"/>
        <v>0</v>
      </c>
      <c r="BG120" s="29">
        <f t="shared" si="87"/>
        <v>0</v>
      </c>
      <c r="BH120" s="29">
        <f t="shared" si="87"/>
        <v>0</v>
      </c>
      <c r="BI120" s="29">
        <f t="shared" si="87"/>
        <v>0</v>
      </c>
      <c r="BJ120" s="29">
        <f t="shared" si="87"/>
        <v>0</v>
      </c>
      <c r="BK120" s="29">
        <f t="shared" si="87"/>
        <v>0</v>
      </c>
      <c r="BL120" s="29">
        <f t="shared" si="87"/>
        <v>0</v>
      </c>
      <c r="BM120" s="29">
        <f t="shared" si="87"/>
        <v>0</v>
      </c>
      <c r="BN120" s="29">
        <f t="shared" si="87"/>
        <v>0</v>
      </c>
      <c r="BO120" s="29">
        <f t="shared" si="87"/>
        <v>0</v>
      </c>
      <c r="BP120" s="29">
        <f t="shared" si="87"/>
        <v>0</v>
      </c>
      <c r="BQ120" s="29">
        <f t="shared" si="87"/>
        <v>0</v>
      </c>
      <c r="BR120" s="29">
        <f t="shared" si="87"/>
        <v>0</v>
      </c>
      <c r="BS120" s="29">
        <f t="shared" si="87"/>
        <v>0</v>
      </c>
      <c r="BT120" s="29">
        <f t="shared" si="87"/>
        <v>0</v>
      </c>
      <c r="BU120" s="29">
        <f t="shared" si="87"/>
        <v>0</v>
      </c>
      <c r="BV120" s="29">
        <f t="shared" si="87"/>
        <v>0</v>
      </c>
      <c r="BW120" s="29">
        <f t="shared" si="87"/>
        <v>0</v>
      </c>
      <c r="BX120" s="29">
        <f t="shared" si="87"/>
        <v>0</v>
      </c>
      <c r="BY120" s="29">
        <f t="shared" si="87"/>
        <v>0</v>
      </c>
      <c r="BZ120" s="29">
        <f t="shared" si="87"/>
        <v>0</v>
      </c>
      <c r="CA120" s="29">
        <f t="shared" si="87"/>
        <v>0</v>
      </c>
      <c r="CB120" s="29">
        <f t="shared" si="87"/>
        <v>0</v>
      </c>
      <c r="CC120" s="29">
        <f t="shared" si="87"/>
        <v>0</v>
      </c>
      <c r="CD120" s="29">
        <f t="shared" si="87"/>
        <v>0</v>
      </c>
      <c r="CE120" s="29">
        <f t="shared" si="87"/>
        <v>0</v>
      </c>
      <c r="CF120" s="29">
        <f t="shared" si="87"/>
        <v>0</v>
      </c>
      <c r="CG120" s="29">
        <f t="shared" si="87"/>
        <v>0</v>
      </c>
      <c r="CH120" s="29">
        <f t="shared" si="87"/>
        <v>0</v>
      </c>
    </row>
    <row r="121" spans="2:86" ht="13" hidden="1" outlineLevel="1">
      <c r="B121" s="84">
        <f t="shared" si="71"/>
        <v>18</v>
      </c>
      <c r="C121" s="64">
        <f t="shared" ca="1" si="69"/>
        <v>0.14575025244461859</v>
      </c>
      <c r="D121" s="15" t="s">
        <v>238</v>
      </c>
      <c r="E121" s="29">
        <f t="shared" ca="1" si="59"/>
        <v>7981781.3184482493</v>
      </c>
      <c r="F121" s="29"/>
      <c r="G121" s="29">
        <f t="shared" ref="G121:CH121" ca="1" si="88">IF(G$4&lt;=$B121,ABS(G$31)*-1+G$47,0)+IF($B121=G$4,G$81,0)</f>
        <v>-1444375</v>
      </c>
      <c r="H121" s="29">
        <f t="shared" ca="1" si="88"/>
        <v>-1344375</v>
      </c>
      <c r="I121" s="29">
        <f t="shared" ca="1" si="88"/>
        <v>-1344375</v>
      </c>
      <c r="J121" s="29">
        <f t="shared" ca="1" si="88"/>
        <v>-1344375</v>
      </c>
      <c r="K121" s="29">
        <f t="shared" ca="1" si="88"/>
        <v>-1344375</v>
      </c>
      <c r="L121" s="29">
        <f t="shared" ca="1" si="88"/>
        <v>-1344375</v>
      </c>
      <c r="M121" s="29">
        <f t="shared" ca="1" si="88"/>
        <v>-1344375</v>
      </c>
      <c r="N121" s="29">
        <f t="shared" ca="1" si="88"/>
        <v>-1344375</v>
      </c>
      <c r="O121" s="29">
        <f t="shared" ca="1" si="88"/>
        <v>-1344375</v>
      </c>
      <c r="P121" s="29">
        <f t="shared" ca="1" si="88"/>
        <v>-1344375</v>
      </c>
      <c r="Q121" s="29">
        <f t="shared" ca="1" si="88"/>
        <v>-1344375</v>
      </c>
      <c r="R121" s="29">
        <f t="shared" ca="1" si="88"/>
        <v>-1344375</v>
      </c>
      <c r="S121" s="29">
        <f t="shared" ca="1" si="88"/>
        <v>-291239.58333333279</v>
      </c>
      <c r="T121" s="29">
        <f t="shared" ca="1" si="88"/>
        <v>-291239.58333333279</v>
      </c>
      <c r="U121" s="29">
        <f t="shared" ca="1" si="88"/>
        <v>-291239.58333333279</v>
      </c>
      <c r="V121" s="29">
        <f t="shared" ca="1" si="88"/>
        <v>-291239.58333333279</v>
      </c>
      <c r="W121" s="29">
        <f t="shared" ca="1" si="88"/>
        <v>3825453.1250000005</v>
      </c>
      <c r="X121" s="29">
        <f t="shared" ca="1" si="88"/>
        <v>21553786.526781578</v>
      </c>
      <c r="Y121" s="29">
        <f t="shared" si="88"/>
        <v>0</v>
      </c>
      <c r="Z121" s="29">
        <f t="shared" si="88"/>
        <v>0</v>
      </c>
      <c r="AA121" s="29">
        <f t="shared" si="88"/>
        <v>0</v>
      </c>
      <c r="AB121" s="29">
        <f t="shared" si="88"/>
        <v>0</v>
      </c>
      <c r="AC121" s="29">
        <f t="shared" si="88"/>
        <v>0</v>
      </c>
      <c r="AD121" s="29">
        <f t="shared" si="88"/>
        <v>0</v>
      </c>
      <c r="AE121" s="29">
        <f t="shared" si="88"/>
        <v>0</v>
      </c>
      <c r="AF121" s="29">
        <f t="shared" si="88"/>
        <v>0</v>
      </c>
      <c r="AG121" s="29">
        <f t="shared" si="88"/>
        <v>0</v>
      </c>
      <c r="AH121" s="29">
        <f t="shared" si="88"/>
        <v>0</v>
      </c>
      <c r="AI121" s="29">
        <f t="shared" si="88"/>
        <v>0</v>
      </c>
      <c r="AJ121" s="29">
        <f t="shared" si="88"/>
        <v>0</v>
      </c>
      <c r="AK121" s="29">
        <f t="shared" si="88"/>
        <v>0</v>
      </c>
      <c r="AL121" s="29">
        <f t="shared" si="88"/>
        <v>0</v>
      </c>
      <c r="AM121" s="29">
        <f t="shared" si="88"/>
        <v>0</v>
      </c>
      <c r="AN121" s="29">
        <f t="shared" si="88"/>
        <v>0</v>
      </c>
      <c r="AO121" s="29">
        <f t="shared" si="88"/>
        <v>0</v>
      </c>
      <c r="AP121" s="29">
        <f t="shared" si="88"/>
        <v>0</v>
      </c>
      <c r="AQ121" s="29">
        <f t="shared" si="88"/>
        <v>0</v>
      </c>
      <c r="AR121" s="29">
        <f t="shared" si="88"/>
        <v>0</v>
      </c>
      <c r="AS121" s="29">
        <f t="shared" si="88"/>
        <v>0</v>
      </c>
      <c r="AT121" s="29">
        <f t="shared" si="88"/>
        <v>0</v>
      </c>
      <c r="AU121" s="29">
        <f t="shared" si="88"/>
        <v>0</v>
      </c>
      <c r="AV121" s="29">
        <f t="shared" si="88"/>
        <v>0</v>
      </c>
      <c r="AW121" s="29">
        <f t="shared" si="88"/>
        <v>0</v>
      </c>
      <c r="AX121" s="29">
        <f t="shared" si="88"/>
        <v>0</v>
      </c>
      <c r="AY121" s="29">
        <f t="shared" si="88"/>
        <v>0</v>
      </c>
      <c r="AZ121" s="29">
        <f t="shared" si="88"/>
        <v>0</v>
      </c>
      <c r="BA121" s="29">
        <f t="shared" si="88"/>
        <v>0</v>
      </c>
      <c r="BB121" s="29">
        <f t="shared" si="88"/>
        <v>0</v>
      </c>
      <c r="BC121" s="29">
        <f t="shared" si="88"/>
        <v>0</v>
      </c>
      <c r="BD121" s="29">
        <f t="shared" si="88"/>
        <v>0</v>
      </c>
      <c r="BE121" s="29">
        <f t="shared" si="88"/>
        <v>0</v>
      </c>
      <c r="BF121" s="29">
        <f t="shared" si="88"/>
        <v>0</v>
      </c>
      <c r="BG121" s="29">
        <f t="shared" si="88"/>
        <v>0</v>
      </c>
      <c r="BH121" s="29">
        <f t="shared" si="88"/>
        <v>0</v>
      </c>
      <c r="BI121" s="29">
        <f t="shared" si="88"/>
        <v>0</v>
      </c>
      <c r="BJ121" s="29">
        <f t="shared" si="88"/>
        <v>0</v>
      </c>
      <c r="BK121" s="29">
        <f t="shared" si="88"/>
        <v>0</v>
      </c>
      <c r="BL121" s="29">
        <f t="shared" si="88"/>
        <v>0</v>
      </c>
      <c r="BM121" s="29">
        <f t="shared" si="88"/>
        <v>0</v>
      </c>
      <c r="BN121" s="29">
        <f t="shared" si="88"/>
        <v>0</v>
      </c>
      <c r="BO121" s="29">
        <f t="shared" si="88"/>
        <v>0</v>
      </c>
      <c r="BP121" s="29">
        <f t="shared" si="88"/>
        <v>0</v>
      </c>
      <c r="BQ121" s="29">
        <f t="shared" si="88"/>
        <v>0</v>
      </c>
      <c r="BR121" s="29">
        <f t="shared" si="88"/>
        <v>0</v>
      </c>
      <c r="BS121" s="29">
        <f t="shared" si="88"/>
        <v>0</v>
      </c>
      <c r="BT121" s="29">
        <f t="shared" si="88"/>
        <v>0</v>
      </c>
      <c r="BU121" s="29">
        <f t="shared" si="88"/>
        <v>0</v>
      </c>
      <c r="BV121" s="29">
        <f t="shared" si="88"/>
        <v>0</v>
      </c>
      <c r="BW121" s="29">
        <f t="shared" si="88"/>
        <v>0</v>
      </c>
      <c r="BX121" s="29">
        <f t="shared" si="88"/>
        <v>0</v>
      </c>
      <c r="BY121" s="29">
        <f t="shared" si="88"/>
        <v>0</v>
      </c>
      <c r="BZ121" s="29">
        <f t="shared" si="88"/>
        <v>0</v>
      </c>
      <c r="CA121" s="29">
        <f t="shared" si="88"/>
        <v>0</v>
      </c>
      <c r="CB121" s="29">
        <f t="shared" si="88"/>
        <v>0</v>
      </c>
      <c r="CC121" s="29">
        <f t="shared" si="88"/>
        <v>0</v>
      </c>
      <c r="CD121" s="29">
        <f t="shared" si="88"/>
        <v>0</v>
      </c>
      <c r="CE121" s="29">
        <f t="shared" si="88"/>
        <v>0</v>
      </c>
      <c r="CF121" s="29">
        <f t="shared" si="88"/>
        <v>0</v>
      </c>
      <c r="CG121" s="29">
        <f t="shared" si="88"/>
        <v>0</v>
      </c>
      <c r="CH121" s="29">
        <f t="shared" si="88"/>
        <v>0</v>
      </c>
    </row>
    <row r="122" spans="2:86" ht="13" hidden="1" outlineLevel="1">
      <c r="B122" s="84">
        <f t="shared" si="71"/>
        <v>19</v>
      </c>
      <c r="C122" s="64">
        <f t="shared" ca="1" si="69"/>
        <v>0.16813471042483741</v>
      </c>
      <c r="D122" s="15" t="s">
        <v>238</v>
      </c>
      <c r="E122" s="29">
        <f t="shared" ca="1" si="59"/>
        <v>10193265.815438353</v>
      </c>
      <c r="F122" s="29"/>
      <c r="G122" s="29">
        <f t="shared" ref="G122:CH122" ca="1" si="89">IF(G$4&lt;=$B122,ABS(G$31)*-1+G$47,0)+IF($B122=G$4,G$81,0)</f>
        <v>-1444375</v>
      </c>
      <c r="H122" s="29">
        <f t="shared" ca="1" si="89"/>
        <v>-1344375</v>
      </c>
      <c r="I122" s="29">
        <f t="shared" ca="1" si="89"/>
        <v>-1344375</v>
      </c>
      <c r="J122" s="29">
        <f t="shared" ca="1" si="89"/>
        <v>-1344375</v>
      </c>
      <c r="K122" s="29">
        <f t="shared" ca="1" si="89"/>
        <v>-1344375</v>
      </c>
      <c r="L122" s="29">
        <f t="shared" ca="1" si="89"/>
        <v>-1344375</v>
      </c>
      <c r="M122" s="29">
        <f t="shared" ca="1" si="89"/>
        <v>-1344375</v>
      </c>
      <c r="N122" s="29">
        <f t="shared" ca="1" si="89"/>
        <v>-1344375</v>
      </c>
      <c r="O122" s="29">
        <f t="shared" ca="1" si="89"/>
        <v>-1344375</v>
      </c>
      <c r="P122" s="29">
        <f t="shared" ca="1" si="89"/>
        <v>-1344375</v>
      </c>
      <c r="Q122" s="29">
        <f t="shared" ca="1" si="89"/>
        <v>-1344375</v>
      </c>
      <c r="R122" s="29">
        <f t="shared" ca="1" si="89"/>
        <v>-1344375</v>
      </c>
      <c r="S122" s="29">
        <f t="shared" ca="1" si="89"/>
        <v>-291239.58333333279</v>
      </c>
      <c r="T122" s="29">
        <f t="shared" ca="1" si="89"/>
        <v>-291239.58333333279</v>
      </c>
      <c r="U122" s="29">
        <f t="shared" ca="1" si="89"/>
        <v>-291239.58333333279</v>
      </c>
      <c r="V122" s="29">
        <f t="shared" ca="1" si="89"/>
        <v>-291239.58333333279</v>
      </c>
      <c r="W122" s="29">
        <f t="shared" ca="1" si="89"/>
        <v>3825453.1250000005</v>
      </c>
      <c r="X122" s="29">
        <f t="shared" ca="1" si="89"/>
        <v>3678872.2373188408</v>
      </c>
      <c r="Y122" s="29">
        <f t="shared" ca="1" si="89"/>
        <v>20086398.786452841</v>
      </c>
      <c r="Z122" s="29">
        <f t="shared" si="89"/>
        <v>0</v>
      </c>
      <c r="AA122" s="29">
        <f t="shared" si="89"/>
        <v>0</v>
      </c>
      <c r="AB122" s="29">
        <f t="shared" si="89"/>
        <v>0</v>
      </c>
      <c r="AC122" s="29">
        <f t="shared" si="89"/>
        <v>0</v>
      </c>
      <c r="AD122" s="29">
        <f t="shared" si="89"/>
        <v>0</v>
      </c>
      <c r="AE122" s="29">
        <f t="shared" si="89"/>
        <v>0</v>
      </c>
      <c r="AF122" s="29">
        <f t="shared" si="89"/>
        <v>0</v>
      </c>
      <c r="AG122" s="29">
        <f t="shared" si="89"/>
        <v>0</v>
      </c>
      <c r="AH122" s="29">
        <f t="shared" si="89"/>
        <v>0</v>
      </c>
      <c r="AI122" s="29">
        <f t="shared" si="89"/>
        <v>0</v>
      </c>
      <c r="AJ122" s="29">
        <f t="shared" si="89"/>
        <v>0</v>
      </c>
      <c r="AK122" s="29">
        <f t="shared" si="89"/>
        <v>0</v>
      </c>
      <c r="AL122" s="29">
        <f t="shared" si="89"/>
        <v>0</v>
      </c>
      <c r="AM122" s="29">
        <f t="shared" si="89"/>
        <v>0</v>
      </c>
      <c r="AN122" s="29">
        <f t="shared" si="89"/>
        <v>0</v>
      </c>
      <c r="AO122" s="29">
        <f t="shared" si="89"/>
        <v>0</v>
      </c>
      <c r="AP122" s="29">
        <f t="shared" si="89"/>
        <v>0</v>
      </c>
      <c r="AQ122" s="29">
        <f t="shared" si="89"/>
        <v>0</v>
      </c>
      <c r="AR122" s="29">
        <f t="shared" si="89"/>
        <v>0</v>
      </c>
      <c r="AS122" s="29">
        <f t="shared" si="89"/>
        <v>0</v>
      </c>
      <c r="AT122" s="29">
        <f t="shared" si="89"/>
        <v>0</v>
      </c>
      <c r="AU122" s="29">
        <f t="shared" si="89"/>
        <v>0</v>
      </c>
      <c r="AV122" s="29">
        <f t="shared" si="89"/>
        <v>0</v>
      </c>
      <c r="AW122" s="29">
        <f t="shared" si="89"/>
        <v>0</v>
      </c>
      <c r="AX122" s="29">
        <f t="shared" si="89"/>
        <v>0</v>
      </c>
      <c r="AY122" s="29">
        <f t="shared" si="89"/>
        <v>0</v>
      </c>
      <c r="AZ122" s="29">
        <f t="shared" si="89"/>
        <v>0</v>
      </c>
      <c r="BA122" s="29">
        <f t="shared" si="89"/>
        <v>0</v>
      </c>
      <c r="BB122" s="29">
        <f t="shared" si="89"/>
        <v>0</v>
      </c>
      <c r="BC122" s="29">
        <f t="shared" si="89"/>
        <v>0</v>
      </c>
      <c r="BD122" s="29">
        <f t="shared" si="89"/>
        <v>0</v>
      </c>
      <c r="BE122" s="29">
        <f t="shared" si="89"/>
        <v>0</v>
      </c>
      <c r="BF122" s="29">
        <f t="shared" si="89"/>
        <v>0</v>
      </c>
      <c r="BG122" s="29">
        <f t="shared" si="89"/>
        <v>0</v>
      </c>
      <c r="BH122" s="29">
        <f t="shared" si="89"/>
        <v>0</v>
      </c>
      <c r="BI122" s="29">
        <f t="shared" si="89"/>
        <v>0</v>
      </c>
      <c r="BJ122" s="29">
        <f t="shared" si="89"/>
        <v>0</v>
      </c>
      <c r="BK122" s="29">
        <f t="shared" si="89"/>
        <v>0</v>
      </c>
      <c r="BL122" s="29">
        <f t="shared" si="89"/>
        <v>0</v>
      </c>
      <c r="BM122" s="29">
        <f t="shared" si="89"/>
        <v>0</v>
      </c>
      <c r="BN122" s="29">
        <f t="shared" si="89"/>
        <v>0</v>
      </c>
      <c r="BO122" s="29">
        <f t="shared" si="89"/>
        <v>0</v>
      </c>
      <c r="BP122" s="29">
        <f t="shared" si="89"/>
        <v>0</v>
      </c>
      <c r="BQ122" s="29">
        <f t="shared" si="89"/>
        <v>0</v>
      </c>
      <c r="BR122" s="29">
        <f t="shared" si="89"/>
        <v>0</v>
      </c>
      <c r="BS122" s="29">
        <f t="shared" si="89"/>
        <v>0</v>
      </c>
      <c r="BT122" s="29">
        <f t="shared" si="89"/>
        <v>0</v>
      </c>
      <c r="BU122" s="29">
        <f t="shared" si="89"/>
        <v>0</v>
      </c>
      <c r="BV122" s="29">
        <f t="shared" si="89"/>
        <v>0</v>
      </c>
      <c r="BW122" s="29">
        <f t="shared" si="89"/>
        <v>0</v>
      </c>
      <c r="BX122" s="29">
        <f t="shared" si="89"/>
        <v>0</v>
      </c>
      <c r="BY122" s="29">
        <f t="shared" si="89"/>
        <v>0</v>
      </c>
      <c r="BZ122" s="29">
        <f t="shared" si="89"/>
        <v>0</v>
      </c>
      <c r="CA122" s="29">
        <f t="shared" si="89"/>
        <v>0</v>
      </c>
      <c r="CB122" s="29">
        <f t="shared" si="89"/>
        <v>0</v>
      </c>
      <c r="CC122" s="29">
        <f t="shared" si="89"/>
        <v>0</v>
      </c>
      <c r="CD122" s="29">
        <f t="shared" si="89"/>
        <v>0</v>
      </c>
      <c r="CE122" s="29">
        <f t="shared" si="89"/>
        <v>0</v>
      </c>
      <c r="CF122" s="29">
        <f t="shared" si="89"/>
        <v>0</v>
      </c>
      <c r="CG122" s="29">
        <f t="shared" si="89"/>
        <v>0</v>
      </c>
      <c r="CH122" s="29">
        <f t="shared" si="89"/>
        <v>0</v>
      </c>
    </row>
    <row r="123" spans="2:86" ht="13" hidden="1" outlineLevel="1">
      <c r="B123" s="84">
        <f t="shared" si="71"/>
        <v>20</v>
      </c>
      <c r="C123" s="64">
        <f t="shared" ca="1" si="69"/>
        <v>0.18578948056557487</v>
      </c>
      <c r="D123" s="15" t="s">
        <v>238</v>
      </c>
      <c r="E123" s="29">
        <f t="shared" ca="1" si="59"/>
        <v>12292821.891789287</v>
      </c>
      <c r="F123" s="29"/>
      <c r="G123" s="29">
        <f t="shared" ref="G123:CH123" ca="1" si="90">IF(G$4&lt;=$B123,ABS(G$31)*-1+G$47,0)+IF($B123=G$4,G$81,0)</f>
        <v>-1444375</v>
      </c>
      <c r="H123" s="29">
        <f t="shared" ca="1" si="90"/>
        <v>-1344375</v>
      </c>
      <c r="I123" s="29">
        <f t="shared" ca="1" si="90"/>
        <v>-1344375</v>
      </c>
      <c r="J123" s="29">
        <f t="shared" ca="1" si="90"/>
        <v>-1344375</v>
      </c>
      <c r="K123" s="29">
        <f t="shared" ca="1" si="90"/>
        <v>-1344375</v>
      </c>
      <c r="L123" s="29">
        <f t="shared" ca="1" si="90"/>
        <v>-1344375</v>
      </c>
      <c r="M123" s="29">
        <f t="shared" ca="1" si="90"/>
        <v>-1344375</v>
      </c>
      <c r="N123" s="29">
        <f t="shared" ca="1" si="90"/>
        <v>-1344375</v>
      </c>
      <c r="O123" s="29">
        <f t="shared" ca="1" si="90"/>
        <v>-1344375</v>
      </c>
      <c r="P123" s="29">
        <f t="shared" ca="1" si="90"/>
        <v>-1344375</v>
      </c>
      <c r="Q123" s="29">
        <f t="shared" ca="1" si="90"/>
        <v>-1344375</v>
      </c>
      <c r="R123" s="29">
        <f t="shared" ca="1" si="90"/>
        <v>-1344375</v>
      </c>
      <c r="S123" s="29">
        <f t="shared" ca="1" si="90"/>
        <v>-291239.58333333279</v>
      </c>
      <c r="T123" s="29">
        <f t="shared" ca="1" si="90"/>
        <v>-291239.58333333279</v>
      </c>
      <c r="U123" s="29">
        <f t="shared" ca="1" si="90"/>
        <v>-291239.58333333279</v>
      </c>
      <c r="V123" s="29">
        <f t="shared" ca="1" si="90"/>
        <v>-291239.58333333279</v>
      </c>
      <c r="W123" s="29">
        <f t="shared" ca="1" si="90"/>
        <v>3825453.1250000005</v>
      </c>
      <c r="X123" s="29">
        <f t="shared" ca="1" si="90"/>
        <v>3678872.2373188408</v>
      </c>
      <c r="Y123" s="29">
        <f t="shared" ca="1" si="90"/>
        <v>3313733.0533596845</v>
      </c>
      <c r="Z123" s="29">
        <f t="shared" ca="1" si="90"/>
        <v>18872221.809444092</v>
      </c>
      <c r="AA123" s="29">
        <f t="shared" si="90"/>
        <v>0</v>
      </c>
      <c r="AB123" s="29">
        <f t="shared" si="90"/>
        <v>0</v>
      </c>
      <c r="AC123" s="29">
        <f t="shared" si="90"/>
        <v>0</v>
      </c>
      <c r="AD123" s="29">
        <f t="shared" si="90"/>
        <v>0</v>
      </c>
      <c r="AE123" s="29">
        <f t="shared" si="90"/>
        <v>0</v>
      </c>
      <c r="AF123" s="29">
        <f t="shared" si="90"/>
        <v>0</v>
      </c>
      <c r="AG123" s="29">
        <f t="shared" si="90"/>
        <v>0</v>
      </c>
      <c r="AH123" s="29">
        <f t="shared" si="90"/>
        <v>0</v>
      </c>
      <c r="AI123" s="29">
        <f t="shared" si="90"/>
        <v>0</v>
      </c>
      <c r="AJ123" s="29">
        <f t="shared" si="90"/>
        <v>0</v>
      </c>
      <c r="AK123" s="29">
        <f t="shared" si="90"/>
        <v>0</v>
      </c>
      <c r="AL123" s="29">
        <f t="shared" si="90"/>
        <v>0</v>
      </c>
      <c r="AM123" s="29">
        <f t="shared" si="90"/>
        <v>0</v>
      </c>
      <c r="AN123" s="29">
        <f t="shared" si="90"/>
        <v>0</v>
      </c>
      <c r="AO123" s="29">
        <f t="shared" si="90"/>
        <v>0</v>
      </c>
      <c r="AP123" s="29">
        <f t="shared" si="90"/>
        <v>0</v>
      </c>
      <c r="AQ123" s="29">
        <f t="shared" si="90"/>
        <v>0</v>
      </c>
      <c r="AR123" s="29">
        <f t="shared" si="90"/>
        <v>0</v>
      </c>
      <c r="AS123" s="29">
        <f t="shared" si="90"/>
        <v>0</v>
      </c>
      <c r="AT123" s="29">
        <f t="shared" si="90"/>
        <v>0</v>
      </c>
      <c r="AU123" s="29">
        <f t="shared" si="90"/>
        <v>0</v>
      </c>
      <c r="AV123" s="29">
        <f t="shared" si="90"/>
        <v>0</v>
      </c>
      <c r="AW123" s="29">
        <f t="shared" si="90"/>
        <v>0</v>
      </c>
      <c r="AX123" s="29">
        <f t="shared" si="90"/>
        <v>0</v>
      </c>
      <c r="AY123" s="29">
        <f t="shared" si="90"/>
        <v>0</v>
      </c>
      <c r="AZ123" s="29">
        <f t="shared" si="90"/>
        <v>0</v>
      </c>
      <c r="BA123" s="29">
        <f t="shared" si="90"/>
        <v>0</v>
      </c>
      <c r="BB123" s="29">
        <f t="shared" si="90"/>
        <v>0</v>
      </c>
      <c r="BC123" s="29">
        <f t="shared" si="90"/>
        <v>0</v>
      </c>
      <c r="BD123" s="29">
        <f t="shared" si="90"/>
        <v>0</v>
      </c>
      <c r="BE123" s="29">
        <f t="shared" si="90"/>
        <v>0</v>
      </c>
      <c r="BF123" s="29">
        <f t="shared" si="90"/>
        <v>0</v>
      </c>
      <c r="BG123" s="29">
        <f t="shared" si="90"/>
        <v>0</v>
      </c>
      <c r="BH123" s="29">
        <f t="shared" si="90"/>
        <v>0</v>
      </c>
      <c r="BI123" s="29">
        <f t="shared" si="90"/>
        <v>0</v>
      </c>
      <c r="BJ123" s="29">
        <f t="shared" si="90"/>
        <v>0</v>
      </c>
      <c r="BK123" s="29">
        <f t="shared" si="90"/>
        <v>0</v>
      </c>
      <c r="BL123" s="29">
        <f t="shared" si="90"/>
        <v>0</v>
      </c>
      <c r="BM123" s="29">
        <f t="shared" si="90"/>
        <v>0</v>
      </c>
      <c r="BN123" s="29">
        <f t="shared" si="90"/>
        <v>0</v>
      </c>
      <c r="BO123" s="29">
        <f t="shared" si="90"/>
        <v>0</v>
      </c>
      <c r="BP123" s="29">
        <f t="shared" si="90"/>
        <v>0</v>
      </c>
      <c r="BQ123" s="29">
        <f t="shared" si="90"/>
        <v>0</v>
      </c>
      <c r="BR123" s="29">
        <f t="shared" si="90"/>
        <v>0</v>
      </c>
      <c r="BS123" s="29">
        <f t="shared" si="90"/>
        <v>0</v>
      </c>
      <c r="BT123" s="29">
        <f t="shared" si="90"/>
        <v>0</v>
      </c>
      <c r="BU123" s="29">
        <f t="shared" si="90"/>
        <v>0</v>
      </c>
      <c r="BV123" s="29">
        <f t="shared" si="90"/>
        <v>0</v>
      </c>
      <c r="BW123" s="29">
        <f t="shared" si="90"/>
        <v>0</v>
      </c>
      <c r="BX123" s="29">
        <f t="shared" si="90"/>
        <v>0</v>
      </c>
      <c r="BY123" s="29">
        <f t="shared" si="90"/>
        <v>0</v>
      </c>
      <c r="BZ123" s="29">
        <f t="shared" si="90"/>
        <v>0</v>
      </c>
      <c r="CA123" s="29">
        <f t="shared" si="90"/>
        <v>0</v>
      </c>
      <c r="CB123" s="29">
        <f t="shared" si="90"/>
        <v>0</v>
      </c>
      <c r="CC123" s="29">
        <f t="shared" si="90"/>
        <v>0</v>
      </c>
      <c r="CD123" s="29">
        <f t="shared" si="90"/>
        <v>0</v>
      </c>
      <c r="CE123" s="29">
        <f t="shared" si="90"/>
        <v>0</v>
      </c>
      <c r="CF123" s="29">
        <f t="shared" si="90"/>
        <v>0</v>
      </c>
      <c r="CG123" s="29">
        <f t="shared" si="90"/>
        <v>0</v>
      </c>
      <c r="CH123" s="29">
        <f t="shared" si="90"/>
        <v>0</v>
      </c>
    </row>
    <row r="124" spans="2:86" ht="13" hidden="1" outlineLevel="1">
      <c r="B124" s="84">
        <f t="shared" si="71"/>
        <v>21</v>
      </c>
      <c r="C124" s="64">
        <f t="shared" ca="1" si="69"/>
        <v>0.19867847624651835</v>
      </c>
      <c r="D124" s="15" t="s">
        <v>238</v>
      </c>
      <c r="E124" s="29">
        <f t="shared" ca="1" si="59"/>
        <v>14151435.726522194</v>
      </c>
      <c r="F124" s="29"/>
      <c r="G124" s="29">
        <f t="shared" ref="G124:CH124" ca="1" si="91">IF(G$4&lt;=$B124,ABS(G$31)*-1+G$47,0)+IF($B124=G$4,G$81,0)</f>
        <v>-1444375</v>
      </c>
      <c r="H124" s="29">
        <f t="shared" ca="1" si="91"/>
        <v>-1344375</v>
      </c>
      <c r="I124" s="29">
        <f t="shared" ca="1" si="91"/>
        <v>-1344375</v>
      </c>
      <c r="J124" s="29">
        <f t="shared" ca="1" si="91"/>
        <v>-1344375</v>
      </c>
      <c r="K124" s="29">
        <f t="shared" ca="1" si="91"/>
        <v>-1344375</v>
      </c>
      <c r="L124" s="29">
        <f t="shared" ca="1" si="91"/>
        <v>-1344375</v>
      </c>
      <c r="M124" s="29">
        <f t="shared" ca="1" si="91"/>
        <v>-1344375</v>
      </c>
      <c r="N124" s="29">
        <f t="shared" ca="1" si="91"/>
        <v>-1344375</v>
      </c>
      <c r="O124" s="29">
        <f t="shared" ca="1" si="91"/>
        <v>-1344375</v>
      </c>
      <c r="P124" s="29">
        <f t="shared" ca="1" si="91"/>
        <v>-1344375</v>
      </c>
      <c r="Q124" s="29">
        <f t="shared" ca="1" si="91"/>
        <v>-1344375</v>
      </c>
      <c r="R124" s="29">
        <f t="shared" ca="1" si="91"/>
        <v>-1344375</v>
      </c>
      <c r="S124" s="29">
        <f t="shared" ca="1" si="91"/>
        <v>-291239.58333333279</v>
      </c>
      <c r="T124" s="29">
        <f t="shared" ca="1" si="91"/>
        <v>-291239.58333333279</v>
      </c>
      <c r="U124" s="29">
        <f t="shared" ca="1" si="91"/>
        <v>-291239.58333333279</v>
      </c>
      <c r="V124" s="29">
        <f t="shared" ca="1" si="91"/>
        <v>-291239.58333333279</v>
      </c>
      <c r="W124" s="29">
        <f t="shared" ca="1" si="91"/>
        <v>3825453.1250000005</v>
      </c>
      <c r="X124" s="29">
        <f t="shared" ca="1" si="91"/>
        <v>3678872.2373188408</v>
      </c>
      <c r="Y124" s="29">
        <f t="shared" ca="1" si="91"/>
        <v>3313733.0533596845</v>
      </c>
      <c r="Z124" s="29">
        <f t="shared" ca="1" si="91"/>
        <v>3313733.0533596841</v>
      </c>
      <c r="AA124" s="29">
        <f t="shared" ca="1" si="91"/>
        <v>17417102.590817314</v>
      </c>
      <c r="AB124" s="29">
        <f t="shared" si="91"/>
        <v>0</v>
      </c>
      <c r="AC124" s="29">
        <f t="shared" si="91"/>
        <v>0</v>
      </c>
      <c r="AD124" s="29">
        <f t="shared" si="91"/>
        <v>0</v>
      </c>
      <c r="AE124" s="29">
        <f t="shared" si="91"/>
        <v>0</v>
      </c>
      <c r="AF124" s="29">
        <f t="shared" si="91"/>
        <v>0</v>
      </c>
      <c r="AG124" s="29">
        <f t="shared" si="91"/>
        <v>0</v>
      </c>
      <c r="AH124" s="29">
        <f t="shared" si="91"/>
        <v>0</v>
      </c>
      <c r="AI124" s="29">
        <f t="shared" si="91"/>
        <v>0</v>
      </c>
      <c r="AJ124" s="29">
        <f t="shared" si="91"/>
        <v>0</v>
      </c>
      <c r="AK124" s="29">
        <f t="shared" si="91"/>
        <v>0</v>
      </c>
      <c r="AL124" s="29">
        <f t="shared" si="91"/>
        <v>0</v>
      </c>
      <c r="AM124" s="29">
        <f t="shared" si="91"/>
        <v>0</v>
      </c>
      <c r="AN124" s="29">
        <f t="shared" si="91"/>
        <v>0</v>
      </c>
      <c r="AO124" s="29">
        <f t="shared" si="91"/>
        <v>0</v>
      </c>
      <c r="AP124" s="29">
        <f t="shared" si="91"/>
        <v>0</v>
      </c>
      <c r="AQ124" s="29">
        <f t="shared" si="91"/>
        <v>0</v>
      </c>
      <c r="AR124" s="29">
        <f t="shared" si="91"/>
        <v>0</v>
      </c>
      <c r="AS124" s="29">
        <f t="shared" si="91"/>
        <v>0</v>
      </c>
      <c r="AT124" s="29">
        <f t="shared" si="91"/>
        <v>0</v>
      </c>
      <c r="AU124" s="29">
        <f t="shared" si="91"/>
        <v>0</v>
      </c>
      <c r="AV124" s="29">
        <f t="shared" si="91"/>
        <v>0</v>
      </c>
      <c r="AW124" s="29">
        <f t="shared" si="91"/>
        <v>0</v>
      </c>
      <c r="AX124" s="29">
        <f t="shared" si="91"/>
        <v>0</v>
      </c>
      <c r="AY124" s="29">
        <f t="shared" si="91"/>
        <v>0</v>
      </c>
      <c r="AZ124" s="29">
        <f t="shared" si="91"/>
        <v>0</v>
      </c>
      <c r="BA124" s="29">
        <f t="shared" si="91"/>
        <v>0</v>
      </c>
      <c r="BB124" s="29">
        <f t="shared" si="91"/>
        <v>0</v>
      </c>
      <c r="BC124" s="29">
        <f t="shared" si="91"/>
        <v>0</v>
      </c>
      <c r="BD124" s="29">
        <f t="shared" si="91"/>
        <v>0</v>
      </c>
      <c r="BE124" s="29">
        <f t="shared" si="91"/>
        <v>0</v>
      </c>
      <c r="BF124" s="29">
        <f t="shared" si="91"/>
        <v>0</v>
      </c>
      <c r="BG124" s="29">
        <f t="shared" si="91"/>
        <v>0</v>
      </c>
      <c r="BH124" s="29">
        <f t="shared" si="91"/>
        <v>0</v>
      </c>
      <c r="BI124" s="29">
        <f t="shared" si="91"/>
        <v>0</v>
      </c>
      <c r="BJ124" s="29">
        <f t="shared" si="91"/>
        <v>0</v>
      </c>
      <c r="BK124" s="29">
        <f t="shared" si="91"/>
        <v>0</v>
      </c>
      <c r="BL124" s="29">
        <f t="shared" si="91"/>
        <v>0</v>
      </c>
      <c r="BM124" s="29">
        <f t="shared" si="91"/>
        <v>0</v>
      </c>
      <c r="BN124" s="29">
        <f t="shared" si="91"/>
        <v>0</v>
      </c>
      <c r="BO124" s="29">
        <f t="shared" si="91"/>
        <v>0</v>
      </c>
      <c r="BP124" s="29">
        <f t="shared" si="91"/>
        <v>0</v>
      </c>
      <c r="BQ124" s="29">
        <f t="shared" si="91"/>
        <v>0</v>
      </c>
      <c r="BR124" s="29">
        <f t="shared" si="91"/>
        <v>0</v>
      </c>
      <c r="BS124" s="29">
        <f t="shared" si="91"/>
        <v>0</v>
      </c>
      <c r="BT124" s="29">
        <f t="shared" si="91"/>
        <v>0</v>
      </c>
      <c r="BU124" s="29">
        <f t="shared" si="91"/>
        <v>0</v>
      </c>
      <c r="BV124" s="29">
        <f t="shared" si="91"/>
        <v>0</v>
      </c>
      <c r="BW124" s="29">
        <f t="shared" si="91"/>
        <v>0</v>
      </c>
      <c r="BX124" s="29">
        <f t="shared" si="91"/>
        <v>0</v>
      </c>
      <c r="BY124" s="29">
        <f t="shared" si="91"/>
        <v>0</v>
      </c>
      <c r="BZ124" s="29">
        <f t="shared" si="91"/>
        <v>0</v>
      </c>
      <c r="CA124" s="29">
        <f t="shared" si="91"/>
        <v>0</v>
      </c>
      <c r="CB124" s="29">
        <f t="shared" si="91"/>
        <v>0</v>
      </c>
      <c r="CC124" s="29">
        <f t="shared" si="91"/>
        <v>0</v>
      </c>
      <c r="CD124" s="29">
        <f t="shared" si="91"/>
        <v>0</v>
      </c>
      <c r="CE124" s="29">
        <f t="shared" si="91"/>
        <v>0</v>
      </c>
      <c r="CF124" s="29">
        <f t="shared" si="91"/>
        <v>0</v>
      </c>
      <c r="CG124" s="29">
        <f t="shared" si="91"/>
        <v>0</v>
      </c>
      <c r="CH124" s="29">
        <f t="shared" si="91"/>
        <v>0</v>
      </c>
    </row>
    <row r="125" spans="2:86" ht="13" hidden="1" outlineLevel="1">
      <c r="B125" s="84">
        <f t="shared" si="71"/>
        <v>22</v>
      </c>
      <c r="C125" s="64">
        <f t="shared" ca="1" si="69"/>
        <v>0.20923246114351701</v>
      </c>
      <c r="D125" s="15" t="s">
        <v>238</v>
      </c>
      <c r="E125" s="29">
        <f t="shared" ca="1" si="59"/>
        <v>15882379.160988029</v>
      </c>
      <c r="F125" s="29"/>
      <c r="G125" s="29">
        <f t="shared" ref="G125:CH125" ca="1" si="92">IF(G$4&lt;=$B125,ABS(G$31)*-1+G$47,0)+IF($B125=G$4,G$81,0)</f>
        <v>-1444375</v>
      </c>
      <c r="H125" s="29">
        <f t="shared" ca="1" si="92"/>
        <v>-1344375</v>
      </c>
      <c r="I125" s="29">
        <f t="shared" ca="1" si="92"/>
        <v>-1344375</v>
      </c>
      <c r="J125" s="29">
        <f t="shared" ca="1" si="92"/>
        <v>-1344375</v>
      </c>
      <c r="K125" s="29">
        <f t="shared" ca="1" si="92"/>
        <v>-1344375</v>
      </c>
      <c r="L125" s="29">
        <f t="shared" ca="1" si="92"/>
        <v>-1344375</v>
      </c>
      <c r="M125" s="29">
        <f t="shared" ca="1" si="92"/>
        <v>-1344375</v>
      </c>
      <c r="N125" s="29">
        <f t="shared" ca="1" si="92"/>
        <v>-1344375</v>
      </c>
      <c r="O125" s="29">
        <f t="shared" ca="1" si="92"/>
        <v>-1344375</v>
      </c>
      <c r="P125" s="29">
        <f t="shared" ca="1" si="92"/>
        <v>-1344375</v>
      </c>
      <c r="Q125" s="29">
        <f t="shared" ca="1" si="92"/>
        <v>-1344375</v>
      </c>
      <c r="R125" s="29">
        <f t="shared" ca="1" si="92"/>
        <v>-1344375</v>
      </c>
      <c r="S125" s="29">
        <f t="shared" ca="1" si="92"/>
        <v>-291239.58333333279</v>
      </c>
      <c r="T125" s="29">
        <f t="shared" ca="1" si="92"/>
        <v>-291239.58333333279</v>
      </c>
      <c r="U125" s="29">
        <f t="shared" ca="1" si="92"/>
        <v>-291239.58333333279</v>
      </c>
      <c r="V125" s="29">
        <f t="shared" ca="1" si="92"/>
        <v>-291239.58333333279</v>
      </c>
      <c r="W125" s="29">
        <f t="shared" ca="1" si="92"/>
        <v>3825453.1250000005</v>
      </c>
      <c r="X125" s="29">
        <f t="shared" ca="1" si="92"/>
        <v>3678872.2373188408</v>
      </c>
      <c r="Y125" s="29">
        <f t="shared" ca="1" si="92"/>
        <v>3313733.0533596845</v>
      </c>
      <c r="Z125" s="29">
        <f t="shared" ca="1" si="92"/>
        <v>3313733.0533596841</v>
      </c>
      <c r="AA125" s="29">
        <f t="shared" ca="1" si="92"/>
        <v>3353341.0902503296</v>
      </c>
      <c r="AB125" s="29">
        <f t="shared" ca="1" si="92"/>
        <v>15794704.935032818</v>
      </c>
      <c r="AC125" s="29">
        <f t="shared" si="92"/>
        <v>0</v>
      </c>
      <c r="AD125" s="29">
        <f t="shared" si="92"/>
        <v>0</v>
      </c>
      <c r="AE125" s="29">
        <f t="shared" si="92"/>
        <v>0</v>
      </c>
      <c r="AF125" s="29">
        <f t="shared" si="92"/>
        <v>0</v>
      </c>
      <c r="AG125" s="29">
        <f t="shared" si="92"/>
        <v>0</v>
      </c>
      <c r="AH125" s="29">
        <f t="shared" si="92"/>
        <v>0</v>
      </c>
      <c r="AI125" s="29">
        <f t="shared" si="92"/>
        <v>0</v>
      </c>
      <c r="AJ125" s="29">
        <f t="shared" si="92"/>
        <v>0</v>
      </c>
      <c r="AK125" s="29">
        <f t="shared" si="92"/>
        <v>0</v>
      </c>
      <c r="AL125" s="29">
        <f t="shared" si="92"/>
        <v>0</v>
      </c>
      <c r="AM125" s="29">
        <f t="shared" si="92"/>
        <v>0</v>
      </c>
      <c r="AN125" s="29">
        <f t="shared" si="92"/>
        <v>0</v>
      </c>
      <c r="AO125" s="29">
        <f t="shared" si="92"/>
        <v>0</v>
      </c>
      <c r="AP125" s="29">
        <f t="shared" si="92"/>
        <v>0</v>
      </c>
      <c r="AQ125" s="29">
        <f t="shared" si="92"/>
        <v>0</v>
      </c>
      <c r="AR125" s="29">
        <f t="shared" si="92"/>
        <v>0</v>
      </c>
      <c r="AS125" s="29">
        <f t="shared" si="92"/>
        <v>0</v>
      </c>
      <c r="AT125" s="29">
        <f t="shared" si="92"/>
        <v>0</v>
      </c>
      <c r="AU125" s="29">
        <f t="shared" si="92"/>
        <v>0</v>
      </c>
      <c r="AV125" s="29">
        <f t="shared" si="92"/>
        <v>0</v>
      </c>
      <c r="AW125" s="29">
        <f t="shared" si="92"/>
        <v>0</v>
      </c>
      <c r="AX125" s="29">
        <f t="shared" si="92"/>
        <v>0</v>
      </c>
      <c r="AY125" s="29">
        <f t="shared" si="92"/>
        <v>0</v>
      </c>
      <c r="AZ125" s="29">
        <f t="shared" si="92"/>
        <v>0</v>
      </c>
      <c r="BA125" s="29">
        <f t="shared" si="92"/>
        <v>0</v>
      </c>
      <c r="BB125" s="29">
        <f t="shared" si="92"/>
        <v>0</v>
      </c>
      <c r="BC125" s="29">
        <f t="shared" si="92"/>
        <v>0</v>
      </c>
      <c r="BD125" s="29">
        <f t="shared" si="92"/>
        <v>0</v>
      </c>
      <c r="BE125" s="29">
        <f t="shared" si="92"/>
        <v>0</v>
      </c>
      <c r="BF125" s="29">
        <f t="shared" si="92"/>
        <v>0</v>
      </c>
      <c r="BG125" s="29">
        <f t="shared" si="92"/>
        <v>0</v>
      </c>
      <c r="BH125" s="29">
        <f t="shared" si="92"/>
        <v>0</v>
      </c>
      <c r="BI125" s="29">
        <f t="shared" si="92"/>
        <v>0</v>
      </c>
      <c r="BJ125" s="29">
        <f t="shared" si="92"/>
        <v>0</v>
      </c>
      <c r="BK125" s="29">
        <f t="shared" si="92"/>
        <v>0</v>
      </c>
      <c r="BL125" s="29">
        <f t="shared" si="92"/>
        <v>0</v>
      </c>
      <c r="BM125" s="29">
        <f t="shared" si="92"/>
        <v>0</v>
      </c>
      <c r="BN125" s="29">
        <f t="shared" si="92"/>
        <v>0</v>
      </c>
      <c r="BO125" s="29">
        <f t="shared" si="92"/>
        <v>0</v>
      </c>
      <c r="BP125" s="29">
        <f t="shared" si="92"/>
        <v>0</v>
      </c>
      <c r="BQ125" s="29">
        <f t="shared" si="92"/>
        <v>0</v>
      </c>
      <c r="BR125" s="29">
        <f t="shared" si="92"/>
        <v>0</v>
      </c>
      <c r="BS125" s="29">
        <f t="shared" si="92"/>
        <v>0</v>
      </c>
      <c r="BT125" s="29">
        <f t="shared" si="92"/>
        <v>0</v>
      </c>
      <c r="BU125" s="29">
        <f t="shared" si="92"/>
        <v>0</v>
      </c>
      <c r="BV125" s="29">
        <f t="shared" si="92"/>
        <v>0</v>
      </c>
      <c r="BW125" s="29">
        <f t="shared" si="92"/>
        <v>0</v>
      </c>
      <c r="BX125" s="29">
        <f t="shared" si="92"/>
        <v>0</v>
      </c>
      <c r="BY125" s="29">
        <f t="shared" si="92"/>
        <v>0</v>
      </c>
      <c r="BZ125" s="29">
        <f t="shared" si="92"/>
        <v>0</v>
      </c>
      <c r="CA125" s="29">
        <f t="shared" si="92"/>
        <v>0</v>
      </c>
      <c r="CB125" s="29">
        <f t="shared" si="92"/>
        <v>0</v>
      </c>
      <c r="CC125" s="29">
        <f t="shared" si="92"/>
        <v>0</v>
      </c>
      <c r="CD125" s="29">
        <f t="shared" si="92"/>
        <v>0</v>
      </c>
      <c r="CE125" s="29">
        <f t="shared" si="92"/>
        <v>0</v>
      </c>
      <c r="CF125" s="29">
        <f t="shared" si="92"/>
        <v>0</v>
      </c>
      <c r="CG125" s="29">
        <f t="shared" si="92"/>
        <v>0</v>
      </c>
      <c r="CH125" s="29">
        <f t="shared" si="92"/>
        <v>0</v>
      </c>
    </row>
    <row r="126" spans="2:86" ht="13" hidden="1" outlineLevel="1">
      <c r="B126" s="84">
        <f t="shared" si="71"/>
        <v>23</v>
      </c>
      <c r="C126" s="64">
        <f t="shared" ca="1" si="69"/>
        <v>0.21804781074401025</v>
      </c>
      <c r="D126" s="15" t="s">
        <v>238</v>
      </c>
      <c r="E126" s="29">
        <f t="shared" ca="1" si="59"/>
        <v>17485652.195186786</v>
      </c>
      <c r="F126" s="29"/>
      <c r="G126" s="29">
        <f t="shared" ref="G126:CH126" ca="1" si="93">IF(G$4&lt;=$B126,ABS(G$31)*-1+G$47,0)+IF($B126=G$4,G$81,0)</f>
        <v>-1444375</v>
      </c>
      <c r="H126" s="29">
        <f t="shared" ca="1" si="93"/>
        <v>-1344375</v>
      </c>
      <c r="I126" s="29">
        <f t="shared" ca="1" si="93"/>
        <v>-1344375</v>
      </c>
      <c r="J126" s="29">
        <f t="shared" ca="1" si="93"/>
        <v>-1344375</v>
      </c>
      <c r="K126" s="29">
        <f t="shared" ca="1" si="93"/>
        <v>-1344375</v>
      </c>
      <c r="L126" s="29">
        <f t="shared" ca="1" si="93"/>
        <v>-1344375</v>
      </c>
      <c r="M126" s="29">
        <f t="shared" ca="1" si="93"/>
        <v>-1344375</v>
      </c>
      <c r="N126" s="29">
        <f t="shared" ca="1" si="93"/>
        <v>-1344375</v>
      </c>
      <c r="O126" s="29">
        <f t="shared" ca="1" si="93"/>
        <v>-1344375</v>
      </c>
      <c r="P126" s="29">
        <f t="shared" ca="1" si="93"/>
        <v>-1344375</v>
      </c>
      <c r="Q126" s="29">
        <f t="shared" ca="1" si="93"/>
        <v>-1344375</v>
      </c>
      <c r="R126" s="29">
        <f t="shared" ca="1" si="93"/>
        <v>-1344375</v>
      </c>
      <c r="S126" s="29">
        <f t="shared" ca="1" si="93"/>
        <v>-291239.58333333279</v>
      </c>
      <c r="T126" s="29">
        <f t="shared" ca="1" si="93"/>
        <v>-291239.58333333279</v>
      </c>
      <c r="U126" s="29">
        <f t="shared" ca="1" si="93"/>
        <v>-291239.58333333279</v>
      </c>
      <c r="V126" s="29">
        <f t="shared" ca="1" si="93"/>
        <v>-291239.58333333279</v>
      </c>
      <c r="W126" s="29">
        <f t="shared" ca="1" si="93"/>
        <v>3825453.1250000005</v>
      </c>
      <c r="X126" s="29">
        <f t="shared" ca="1" si="93"/>
        <v>3678872.2373188408</v>
      </c>
      <c r="Y126" s="29">
        <f t="shared" ca="1" si="93"/>
        <v>3313733.0533596845</v>
      </c>
      <c r="Z126" s="29">
        <f t="shared" ca="1" si="93"/>
        <v>3313733.0533596841</v>
      </c>
      <c r="AA126" s="29">
        <f t="shared" ca="1" si="93"/>
        <v>3353341.0902503296</v>
      </c>
      <c r="AB126" s="29">
        <f t="shared" ca="1" si="93"/>
        <v>3353341.09025033</v>
      </c>
      <c r="AC126" s="29">
        <f t="shared" ca="1" si="93"/>
        <v>14044636.878981248</v>
      </c>
      <c r="AD126" s="29">
        <f t="shared" si="93"/>
        <v>0</v>
      </c>
      <c r="AE126" s="29">
        <f t="shared" si="93"/>
        <v>0</v>
      </c>
      <c r="AF126" s="29">
        <f t="shared" si="93"/>
        <v>0</v>
      </c>
      <c r="AG126" s="29">
        <f t="shared" si="93"/>
        <v>0</v>
      </c>
      <c r="AH126" s="29">
        <f t="shared" si="93"/>
        <v>0</v>
      </c>
      <c r="AI126" s="29">
        <f t="shared" si="93"/>
        <v>0</v>
      </c>
      <c r="AJ126" s="29">
        <f t="shared" si="93"/>
        <v>0</v>
      </c>
      <c r="AK126" s="29">
        <f t="shared" si="93"/>
        <v>0</v>
      </c>
      <c r="AL126" s="29">
        <f t="shared" si="93"/>
        <v>0</v>
      </c>
      <c r="AM126" s="29">
        <f t="shared" si="93"/>
        <v>0</v>
      </c>
      <c r="AN126" s="29">
        <f t="shared" si="93"/>
        <v>0</v>
      </c>
      <c r="AO126" s="29">
        <f t="shared" si="93"/>
        <v>0</v>
      </c>
      <c r="AP126" s="29">
        <f t="shared" si="93"/>
        <v>0</v>
      </c>
      <c r="AQ126" s="29">
        <f t="shared" si="93"/>
        <v>0</v>
      </c>
      <c r="AR126" s="29">
        <f t="shared" si="93"/>
        <v>0</v>
      </c>
      <c r="AS126" s="29">
        <f t="shared" si="93"/>
        <v>0</v>
      </c>
      <c r="AT126" s="29">
        <f t="shared" si="93"/>
        <v>0</v>
      </c>
      <c r="AU126" s="29">
        <f t="shared" si="93"/>
        <v>0</v>
      </c>
      <c r="AV126" s="29">
        <f t="shared" si="93"/>
        <v>0</v>
      </c>
      <c r="AW126" s="29">
        <f t="shared" si="93"/>
        <v>0</v>
      </c>
      <c r="AX126" s="29">
        <f t="shared" si="93"/>
        <v>0</v>
      </c>
      <c r="AY126" s="29">
        <f t="shared" si="93"/>
        <v>0</v>
      </c>
      <c r="AZ126" s="29">
        <f t="shared" si="93"/>
        <v>0</v>
      </c>
      <c r="BA126" s="29">
        <f t="shared" si="93"/>
        <v>0</v>
      </c>
      <c r="BB126" s="29">
        <f t="shared" si="93"/>
        <v>0</v>
      </c>
      <c r="BC126" s="29">
        <f t="shared" si="93"/>
        <v>0</v>
      </c>
      <c r="BD126" s="29">
        <f t="shared" si="93"/>
        <v>0</v>
      </c>
      <c r="BE126" s="29">
        <f t="shared" si="93"/>
        <v>0</v>
      </c>
      <c r="BF126" s="29">
        <f t="shared" si="93"/>
        <v>0</v>
      </c>
      <c r="BG126" s="29">
        <f t="shared" si="93"/>
        <v>0</v>
      </c>
      <c r="BH126" s="29">
        <f t="shared" si="93"/>
        <v>0</v>
      </c>
      <c r="BI126" s="29">
        <f t="shared" si="93"/>
        <v>0</v>
      </c>
      <c r="BJ126" s="29">
        <f t="shared" si="93"/>
        <v>0</v>
      </c>
      <c r="BK126" s="29">
        <f t="shared" si="93"/>
        <v>0</v>
      </c>
      <c r="BL126" s="29">
        <f t="shared" si="93"/>
        <v>0</v>
      </c>
      <c r="BM126" s="29">
        <f t="shared" si="93"/>
        <v>0</v>
      </c>
      <c r="BN126" s="29">
        <f t="shared" si="93"/>
        <v>0</v>
      </c>
      <c r="BO126" s="29">
        <f t="shared" si="93"/>
        <v>0</v>
      </c>
      <c r="BP126" s="29">
        <f t="shared" si="93"/>
        <v>0</v>
      </c>
      <c r="BQ126" s="29">
        <f t="shared" si="93"/>
        <v>0</v>
      </c>
      <c r="BR126" s="29">
        <f t="shared" si="93"/>
        <v>0</v>
      </c>
      <c r="BS126" s="29">
        <f t="shared" si="93"/>
        <v>0</v>
      </c>
      <c r="BT126" s="29">
        <f t="shared" si="93"/>
        <v>0</v>
      </c>
      <c r="BU126" s="29">
        <f t="shared" si="93"/>
        <v>0</v>
      </c>
      <c r="BV126" s="29">
        <f t="shared" si="93"/>
        <v>0</v>
      </c>
      <c r="BW126" s="29">
        <f t="shared" si="93"/>
        <v>0</v>
      </c>
      <c r="BX126" s="29">
        <f t="shared" si="93"/>
        <v>0</v>
      </c>
      <c r="BY126" s="29">
        <f t="shared" si="93"/>
        <v>0</v>
      </c>
      <c r="BZ126" s="29">
        <f t="shared" si="93"/>
        <v>0</v>
      </c>
      <c r="CA126" s="29">
        <f t="shared" si="93"/>
        <v>0</v>
      </c>
      <c r="CB126" s="29">
        <f t="shared" si="93"/>
        <v>0</v>
      </c>
      <c r="CC126" s="29">
        <f t="shared" si="93"/>
        <v>0</v>
      </c>
      <c r="CD126" s="29">
        <f t="shared" si="93"/>
        <v>0</v>
      </c>
      <c r="CE126" s="29">
        <f t="shared" si="93"/>
        <v>0</v>
      </c>
      <c r="CF126" s="29">
        <f t="shared" si="93"/>
        <v>0</v>
      </c>
      <c r="CG126" s="29">
        <f t="shared" si="93"/>
        <v>0</v>
      </c>
      <c r="CH126" s="29">
        <f t="shared" si="93"/>
        <v>0</v>
      </c>
    </row>
    <row r="127" spans="2:86" ht="13" hidden="1" outlineLevel="1">
      <c r="B127" s="84">
        <f t="shared" si="71"/>
        <v>24</v>
      </c>
      <c r="C127" s="64">
        <f t="shared" ca="1" si="69"/>
        <v>0.22555214932272238</v>
      </c>
      <c r="D127" s="15" t="s">
        <v>238</v>
      </c>
      <c r="E127" s="29">
        <f t="shared" ca="1" si="59"/>
        <v>18961254.829118472</v>
      </c>
      <c r="F127" s="29"/>
      <c r="G127" s="29">
        <f t="shared" ref="G127:CH127" ca="1" si="94">IF(G$4&lt;=$B127,ABS(G$31)*-1+G$47,0)+IF($B127=G$4,G$81,0)</f>
        <v>-1444375</v>
      </c>
      <c r="H127" s="29">
        <f t="shared" ca="1" si="94"/>
        <v>-1344375</v>
      </c>
      <c r="I127" s="29">
        <f t="shared" ca="1" si="94"/>
        <v>-1344375</v>
      </c>
      <c r="J127" s="29">
        <f t="shared" ca="1" si="94"/>
        <v>-1344375</v>
      </c>
      <c r="K127" s="29">
        <f t="shared" ca="1" si="94"/>
        <v>-1344375</v>
      </c>
      <c r="L127" s="29">
        <f t="shared" ca="1" si="94"/>
        <v>-1344375</v>
      </c>
      <c r="M127" s="29">
        <f t="shared" ca="1" si="94"/>
        <v>-1344375</v>
      </c>
      <c r="N127" s="29">
        <f t="shared" ca="1" si="94"/>
        <v>-1344375</v>
      </c>
      <c r="O127" s="29">
        <f t="shared" ca="1" si="94"/>
        <v>-1344375</v>
      </c>
      <c r="P127" s="29">
        <f t="shared" ca="1" si="94"/>
        <v>-1344375</v>
      </c>
      <c r="Q127" s="29">
        <f t="shared" ca="1" si="94"/>
        <v>-1344375</v>
      </c>
      <c r="R127" s="29">
        <f t="shared" ca="1" si="94"/>
        <v>-1344375</v>
      </c>
      <c r="S127" s="29">
        <f t="shared" ca="1" si="94"/>
        <v>-291239.58333333279</v>
      </c>
      <c r="T127" s="29">
        <f t="shared" ca="1" si="94"/>
        <v>-291239.58333333279</v>
      </c>
      <c r="U127" s="29">
        <f t="shared" ca="1" si="94"/>
        <v>-291239.58333333279</v>
      </c>
      <c r="V127" s="29">
        <f t="shared" ca="1" si="94"/>
        <v>-291239.58333333279</v>
      </c>
      <c r="W127" s="29">
        <f t="shared" ca="1" si="94"/>
        <v>3825453.1250000005</v>
      </c>
      <c r="X127" s="29">
        <f t="shared" ca="1" si="94"/>
        <v>3678872.2373188408</v>
      </c>
      <c r="Y127" s="29">
        <f t="shared" ca="1" si="94"/>
        <v>3313733.0533596845</v>
      </c>
      <c r="Z127" s="29">
        <f t="shared" ca="1" si="94"/>
        <v>3313733.0533596841</v>
      </c>
      <c r="AA127" s="29">
        <f t="shared" ca="1" si="94"/>
        <v>3353341.0902503296</v>
      </c>
      <c r="AB127" s="29">
        <f t="shared" ca="1" si="94"/>
        <v>3353341.09025033</v>
      </c>
      <c r="AC127" s="29">
        <f t="shared" ca="1" si="94"/>
        <v>3353341.09025033</v>
      </c>
      <c r="AD127" s="29">
        <f t="shared" ca="1" si="94"/>
        <v>12166898.422662603</v>
      </c>
      <c r="AE127" s="29">
        <f t="shared" si="94"/>
        <v>0</v>
      </c>
      <c r="AF127" s="29">
        <f t="shared" si="94"/>
        <v>0</v>
      </c>
      <c r="AG127" s="29">
        <f t="shared" si="94"/>
        <v>0</v>
      </c>
      <c r="AH127" s="29">
        <f t="shared" si="94"/>
        <v>0</v>
      </c>
      <c r="AI127" s="29">
        <f t="shared" si="94"/>
        <v>0</v>
      </c>
      <c r="AJ127" s="29">
        <f t="shared" si="94"/>
        <v>0</v>
      </c>
      <c r="AK127" s="29">
        <f t="shared" si="94"/>
        <v>0</v>
      </c>
      <c r="AL127" s="29">
        <f t="shared" si="94"/>
        <v>0</v>
      </c>
      <c r="AM127" s="29">
        <f t="shared" si="94"/>
        <v>0</v>
      </c>
      <c r="AN127" s="29">
        <f t="shared" si="94"/>
        <v>0</v>
      </c>
      <c r="AO127" s="29">
        <f t="shared" si="94"/>
        <v>0</v>
      </c>
      <c r="AP127" s="29">
        <f t="shared" si="94"/>
        <v>0</v>
      </c>
      <c r="AQ127" s="29">
        <f t="shared" si="94"/>
        <v>0</v>
      </c>
      <c r="AR127" s="29">
        <f t="shared" si="94"/>
        <v>0</v>
      </c>
      <c r="AS127" s="29">
        <f t="shared" si="94"/>
        <v>0</v>
      </c>
      <c r="AT127" s="29">
        <f t="shared" si="94"/>
        <v>0</v>
      </c>
      <c r="AU127" s="29">
        <f t="shared" si="94"/>
        <v>0</v>
      </c>
      <c r="AV127" s="29">
        <f t="shared" si="94"/>
        <v>0</v>
      </c>
      <c r="AW127" s="29">
        <f t="shared" si="94"/>
        <v>0</v>
      </c>
      <c r="AX127" s="29">
        <f t="shared" si="94"/>
        <v>0</v>
      </c>
      <c r="AY127" s="29">
        <f t="shared" si="94"/>
        <v>0</v>
      </c>
      <c r="AZ127" s="29">
        <f t="shared" si="94"/>
        <v>0</v>
      </c>
      <c r="BA127" s="29">
        <f t="shared" si="94"/>
        <v>0</v>
      </c>
      <c r="BB127" s="29">
        <f t="shared" si="94"/>
        <v>0</v>
      </c>
      <c r="BC127" s="29">
        <f t="shared" si="94"/>
        <v>0</v>
      </c>
      <c r="BD127" s="29">
        <f t="shared" si="94"/>
        <v>0</v>
      </c>
      <c r="BE127" s="29">
        <f t="shared" si="94"/>
        <v>0</v>
      </c>
      <c r="BF127" s="29">
        <f t="shared" si="94"/>
        <v>0</v>
      </c>
      <c r="BG127" s="29">
        <f t="shared" si="94"/>
        <v>0</v>
      </c>
      <c r="BH127" s="29">
        <f t="shared" si="94"/>
        <v>0</v>
      </c>
      <c r="BI127" s="29">
        <f t="shared" si="94"/>
        <v>0</v>
      </c>
      <c r="BJ127" s="29">
        <f t="shared" si="94"/>
        <v>0</v>
      </c>
      <c r="BK127" s="29">
        <f t="shared" si="94"/>
        <v>0</v>
      </c>
      <c r="BL127" s="29">
        <f t="shared" si="94"/>
        <v>0</v>
      </c>
      <c r="BM127" s="29">
        <f t="shared" si="94"/>
        <v>0</v>
      </c>
      <c r="BN127" s="29">
        <f t="shared" si="94"/>
        <v>0</v>
      </c>
      <c r="BO127" s="29">
        <f t="shared" si="94"/>
        <v>0</v>
      </c>
      <c r="BP127" s="29">
        <f t="shared" si="94"/>
        <v>0</v>
      </c>
      <c r="BQ127" s="29">
        <f t="shared" si="94"/>
        <v>0</v>
      </c>
      <c r="BR127" s="29">
        <f t="shared" si="94"/>
        <v>0</v>
      </c>
      <c r="BS127" s="29">
        <f t="shared" si="94"/>
        <v>0</v>
      </c>
      <c r="BT127" s="29">
        <f t="shared" si="94"/>
        <v>0</v>
      </c>
      <c r="BU127" s="29">
        <f t="shared" si="94"/>
        <v>0</v>
      </c>
      <c r="BV127" s="29">
        <f t="shared" si="94"/>
        <v>0</v>
      </c>
      <c r="BW127" s="29">
        <f t="shared" si="94"/>
        <v>0</v>
      </c>
      <c r="BX127" s="29">
        <f t="shared" si="94"/>
        <v>0</v>
      </c>
      <c r="BY127" s="29">
        <f t="shared" si="94"/>
        <v>0</v>
      </c>
      <c r="BZ127" s="29">
        <f t="shared" si="94"/>
        <v>0</v>
      </c>
      <c r="CA127" s="29">
        <f t="shared" si="94"/>
        <v>0</v>
      </c>
      <c r="CB127" s="29">
        <f t="shared" si="94"/>
        <v>0</v>
      </c>
      <c r="CC127" s="29">
        <f t="shared" si="94"/>
        <v>0</v>
      </c>
      <c r="CD127" s="29">
        <f t="shared" si="94"/>
        <v>0</v>
      </c>
      <c r="CE127" s="29">
        <f t="shared" si="94"/>
        <v>0</v>
      </c>
      <c r="CF127" s="29">
        <f t="shared" si="94"/>
        <v>0</v>
      </c>
      <c r="CG127" s="29">
        <f t="shared" si="94"/>
        <v>0</v>
      </c>
      <c r="CH127" s="29">
        <f t="shared" si="94"/>
        <v>0</v>
      </c>
    </row>
    <row r="128" spans="2:86" ht="13" hidden="1" outlineLevel="1">
      <c r="B128" s="84">
        <f t="shared" si="71"/>
        <v>25</v>
      </c>
      <c r="C128" s="64">
        <f t="shared" ca="1" si="69"/>
        <v>0.24571332374826782</v>
      </c>
      <c r="D128" s="15" t="s">
        <v>238</v>
      </c>
      <c r="E128" s="29">
        <f t="shared" ca="1" si="59"/>
        <v>22246127.583681956</v>
      </c>
      <c r="F128" s="29"/>
      <c r="G128" s="29">
        <f t="shared" ref="G128:CH128" ca="1" si="95">IF(G$4&lt;=$B128,ABS(G$31)*-1+G$47,0)+IF($B128=G$4,G$81,0)</f>
        <v>-1444375</v>
      </c>
      <c r="H128" s="29">
        <f t="shared" ca="1" si="95"/>
        <v>-1344375</v>
      </c>
      <c r="I128" s="29">
        <f t="shared" ca="1" si="95"/>
        <v>-1344375</v>
      </c>
      <c r="J128" s="29">
        <f t="shared" ca="1" si="95"/>
        <v>-1344375</v>
      </c>
      <c r="K128" s="29">
        <f t="shared" ca="1" si="95"/>
        <v>-1344375</v>
      </c>
      <c r="L128" s="29">
        <f t="shared" ca="1" si="95"/>
        <v>-1344375</v>
      </c>
      <c r="M128" s="29">
        <f t="shared" ca="1" si="95"/>
        <v>-1344375</v>
      </c>
      <c r="N128" s="29">
        <f t="shared" ca="1" si="95"/>
        <v>-1344375</v>
      </c>
      <c r="O128" s="29">
        <f t="shared" ca="1" si="95"/>
        <v>-1344375</v>
      </c>
      <c r="P128" s="29">
        <f t="shared" ca="1" si="95"/>
        <v>-1344375</v>
      </c>
      <c r="Q128" s="29">
        <f t="shared" ca="1" si="95"/>
        <v>-1344375</v>
      </c>
      <c r="R128" s="29">
        <f t="shared" ca="1" si="95"/>
        <v>-1344375</v>
      </c>
      <c r="S128" s="29">
        <f t="shared" ca="1" si="95"/>
        <v>-291239.58333333279</v>
      </c>
      <c r="T128" s="29">
        <f t="shared" ca="1" si="95"/>
        <v>-291239.58333333279</v>
      </c>
      <c r="U128" s="29">
        <f t="shared" ca="1" si="95"/>
        <v>-291239.58333333279</v>
      </c>
      <c r="V128" s="29">
        <f t="shared" ca="1" si="95"/>
        <v>-291239.58333333279</v>
      </c>
      <c r="W128" s="29">
        <f t="shared" ca="1" si="95"/>
        <v>3825453.1250000005</v>
      </c>
      <c r="X128" s="29">
        <f t="shared" ca="1" si="95"/>
        <v>3678872.2373188408</v>
      </c>
      <c r="Y128" s="29">
        <f t="shared" ca="1" si="95"/>
        <v>3313733.0533596845</v>
      </c>
      <c r="Z128" s="29">
        <f t="shared" ca="1" si="95"/>
        <v>3313733.0533596841</v>
      </c>
      <c r="AA128" s="29">
        <f t="shared" ca="1" si="95"/>
        <v>3353341.0902503296</v>
      </c>
      <c r="AB128" s="29">
        <f t="shared" ca="1" si="95"/>
        <v>3353341.09025033</v>
      </c>
      <c r="AC128" s="29">
        <f t="shared" ca="1" si="95"/>
        <v>3353341.09025033</v>
      </c>
      <c r="AD128" s="29">
        <f t="shared" ca="1" si="95"/>
        <v>3353341.09025033</v>
      </c>
      <c r="AE128" s="29">
        <f t="shared" ca="1" si="95"/>
        <v>12098430.086975757</v>
      </c>
      <c r="AF128" s="29">
        <f t="shared" si="95"/>
        <v>0</v>
      </c>
      <c r="AG128" s="29">
        <f t="shared" si="95"/>
        <v>0</v>
      </c>
      <c r="AH128" s="29">
        <f t="shared" si="95"/>
        <v>0</v>
      </c>
      <c r="AI128" s="29">
        <f t="shared" si="95"/>
        <v>0</v>
      </c>
      <c r="AJ128" s="29">
        <f t="shared" si="95"/>
        <v>0</v>
      </c>
      <c r="AK128" s="29">
        <f t="shared" si="95"/>
        <v>0</v>
      </c>
      <c r="AL128" s="29">
        <f t="shared" si="95"/>
        <v>0</v>
      </c>
      <c r="AM128" s="29">
        <f t="shared" si="95"/>
        <v>0</v>
      </c>
      <c r="AN128" s="29">
        <f t="shared" si="95"/>
        <v>0</v>
      </c>
      <c r="AO128" s="29">
        <f t="shared" si="95"/>
        <v>0</v>
      </c>
      <c r="AP128" s="29">
        <f t="shared" si="95"/>
        <v>0</v>
      </c>
      <c r="AQ128" s="29">
        <f t="shared" si="95"/>
        <v>0</v>
      </c>
      <c r="AR128" s="29">
        <f t="shared" si="95"/>
        <v>0</v>
      </c>
      <c r="AS128" s="29">
        <f t="shared" si="95"/>
        <v>0</v>
      </c>
      <c r="AT128" s="29">
        <f t="shared" si="95"/>
        <v>0</v>
      </c>
      <c r="AU128" s="29">
        <f t="shared" si="95"/>
        <v>0</v>
      </c>
      <c r="AV128" s="29">
        <f t="shared" si="95"/>
        <v>0</v>
      </c>
      <c r="AW128" s="29">
        <f t="shared" si="95"/>
        <v>0</v>
      </c>
      <c r="AX128" s="29">
        <f t="shared" si="95"/>
        <v>0</v>
      </c>
      <c r="AY128" s="29">
        <f t="shared" si="95"/>
        <v>0</v>
      </c>
      <c r="AZ128" s="29">
        <f t="shared" si="95"/>
        <v>0</v>
      </c>
      <c r="BA128" s="29">
        <f t="shared" si="95"/>
        <v>0</v>
      </c>
      <c r="BB128" s="29">
        <f t="shared" si="95"/>
        <v>0</v>
      </c>
      <c r="BC128" s="29">
        <f t="shared" si="95"/>
        <v>0</v>
      </c>
      <c r="BD128" s="29">
        <f t="shared" si="95"/>
        <v>0</v>
      </c>
      <c r="BE128" s="29">
        <f t="shared" si="95"/>
        <v>0</v>
      </c>
      <c r="BF128" s="29">
        <f t="shared" si="95"/>
        <v>0</v>
      </c>
      <c r="BG128" s="29">
        <f t="shared" si="95"/>
        <v>0</v>
      </c>
      <c r="BH128" s="29">
        <f t="shared" si="95"/>
        <v>0</v>
      </c>
      <c r="BI128" s="29">
        <f t="shared" si="95"/>
        <v>0</v>
      </c>
      <c r="BJ128" s="29">
        <f t="shared" si="95"/>
        <v>0</v>
      </c>
      <c r="BK128" s="29">
        <f t="shared" si="95"/>
        <v>0</v>
      </c>
      <c r="BL128" s="29">
        <f t="shared" si="95"/>
        <v>0</v>
      </c>
      <c r="BM128" s="29">
        <f t="shared" si="95"/>
        <v>0</v>
      </c>
      <c r="BN128" s="29">
        <f t="shared" si="95"/>
        <v>0</v>
      </c>
      <c r="BO128" s="29">
        <f t="shared" si="95"/>
        <v>0</v>
      </c>
      <c r="BP128" s="29">
        <f t="shared" si="95"/>
        <v>0</v>
      </c>
      <c r="BQ128" s="29">
        <f t="shared" si="95"/>
        <v>0</v>
      </c>
      <c r="BR128" s="29">
        <f t="shared" si="95"/>
        <v>0</v>
      </c>
      <c r="BS128" s="29">
        <f t="shared" si="95"/>
        <v>0</v>
      </c>
      <c r="BT128" s="29">
        <f t="shared" si="95"/>
        <v>0</v>
      </c>
      <c r="BU128" s="29">
        <f t="shared" si="95"/>
        <v>0</v>
      </c>
      <c r="BV128" s="29">
        <f t="shared" si="95"/>
        <v>0</v>
      </c>
      <c r="BW128" s="29">
        <f t="shared" si="95"/>
        <v>0</v>
      </c>
      <c r="BX128" s="29">
        <f t="shared" si="95"/>
        <v>0</v>
      </c>
      <c r="BY128" s="29">
        <f t="shared" si="95"/>
        <v>0</v>
      </c>
      <c r="BZ128" s="29">
        <f t="shared" si="95"/>
        <v>0</v>
      </c>
      <c r="CA128" s="29">
        <f t="shared" si="95"/>
        <v>0</v>
      </c>
      <c r="CB128" s="29">
        <f t="shared" si="95"/>
        <v>0</v>
      </c>
      <c r="CC128" s="29">
        <f t="shared" si="95"/>
        <v>0</v>
      </c>
      <c r="CD128" s="29">
        <f t="shared" si="95"/>
        <v>0</v>
      </c>
      <c r="CE128" s="29">
        <f t="shared" si="95"/>
        <v>0</v>
      </c>
      <c r="CF128" s="29">
        <f t="shared" si="95"/>
        <v>0</v>
      </c>
      <c r="CG128" s="29">
        <f t="shared" si="95"/>
        <v>0</v>
      </c>
      <c r="CH128" s="29">
        <f t="shared" si="95"/>
        <v>0</v>
      </c>
    </row>
    <row r="129" spans="2:86" ht="13" hidden="1" outlineLevel="1">
      <c r="B129" s="84">
        <f t="shared" si="71"/>
        <v>26</v>
      </c>
      <c r="C129" s="64">
        <f t="shared" ca="1" si="69"/>
        <v>0.26321622878534834</v>
      </c>
      <c r="D129" s="15" t="s">
        <v>238</v>
      </c>
      <c r="E129" s="29">
        <f t="shared" ca="1" si="59"/>
        <v>25480305.272874076</v>
      </c>
      <c r="F129" s="29"/>
      <c r="G129" s="29">
        <f t="shared" ref="G129:CH129" ca="1" si="96">IF(G$4&lt;=$B129,ABS(G$31)*-1+G$47,0)+IF($B129=G$4,G$81,0)</f>
        <v>-1444375</v>
      </c>
      <c r="H129" s="29">
        <f t="shared" ca="1" si="96"/>
        <v>-1344375</v>
      </c>
      <c r="I129" s="29">
        <f t="shared" ca="1" si="96"/>
        <v>-1344375</v>
      </c>
      <c r="J129" s="29">
        <f t="shared" ca="1" si="96"/>
        <v>-1344375</v>
      </c>
      <c r="K129" s="29">
        <f t="shared" ca="1" si="96"/>
        <v>-1344375</v>
      </c>
      <c r="L129" s="29">
        <f t="shared" ca="1" si="96"/>
        <v>-1344375</v>
      </c>
      <c r="M129" s="29">
        <f t="shared" ca="1" si="96"/>
        <v>-1344375</v>
      </c>
      <c r="N129" s="29">
        <f t="shared" ca="1" si="96"/>
        <v>-1344375</v>
      </c>
      <c r="O129" s="29">
        <f t="shared" ca="1" si="96"/>
        <v>-1344375</v>
      </c>
      <c r="P129" s="29">
        <f t="shared" ca="1" si="96"/>
        <v>-1344375</v>
      </c>
      <c r="Q129" s="29">
        <f t="shared" ca="1" si="96"/>
        <v>-1344375</v>
      </c>
      <c r="R129" s="29">
        <f t="shared" ca="1" si="96"/>
        <v>-1344375</v>
      </c>
      <c r="S129" s="29">
        <f t="shared" ca="1" si="96"/>
        <v>-291239.58333333279</v>
      </c>
      <c r="T129" s="29">
        <f t="shared" ca="1" si="96"/>
        <v>-291239.58333333279</v>
      </c>
      <c r="U129" s="29">
        <f t="shared" ca="1" si="96"/>
        <v>-291239.58333333279</v>
      </c>
      <c r="V129" s="29">
        <f t="shared" ca="1" si="96"/>
        <v>-291239.58333333279</v>
      </c>
      <c r="W129" s="29">
        <f t="shared" ca="1" si="96"/>
        <v>3825453.1250000005</v>
      </c>
      <c r="X129" s="29">
        <f t="shared" ca="1" si="96"/>
        <v>3678872.2373188408</v>
      </c>
      <c r="Y129" s="29">
        <f t="shared" ca="1" si="96"/>
        <v>3313733.0533596845</v>
      </c>
      <c r="Z129" s="29">
        <f t="shared" ca="1" si="96"/>
        <v>3313733.0533596841</v>
      </c>
      <c r="AA129" s="29">
        <f t="shared" ca="1" si="96"/>
        <v>3353341.0902503296</v>
      </c>
      <c r="AB129" s="29">
        <f t="shared" ca="1" si="96"/>
        <v>3353341.09025033</v>
      </c>
      <c r="AC129" s="29">
        <f t="shared" ca="1" si="96"/>
        <v>3353341.09025033</v>
      </c>
      <c r="AD129" s="29">
        <f t="shared" ca="1" si="96"/>
        <v>3353341.09025033</v>
      </c>
      <c r="AE129" s="29">
        <f t="shared" ca="1" si="96"/>
        <v>4751736.4509222666</v>
      </c>
      <c r="AF129" s="29">
        <f t="shared" ca="1" si="96"/>
        <v>10580871.325245611</v>
      </c>
      <c r="AG129" s="29">
        <f t="shared" si="96"/>
        <v>0</v>
      </c>
      <c r="AH129" s="29">
        <f t="shared" si="96"/>
        <v>0</v>
      </c>
      <c r="AI129" s="29">
        <f t="shared" si="96"/>
        <v>0</v>
      </c>
      <c r="AJ129" s="29">
        <f t="shared" si="96"/>
        <v>0</v>
      </c>
      <c r="AK129" s="29">
        <f t="shared" si="96"/>
        <v>0</v>
      </c>
      <c r="AL129" s="29">
        <f t="shared" si="96"/>
        <v>0</v>
      </c>
      <c r="AM129" s="29">
        <f t="shared" si="96"/>
        <v>0</v>
      </c>
      <c r="AN129" s="29">
        <f t="shared" si="96"/>
        <v>0</v>
      </c>
      <c r="AO129" s="29">
        <f t="shared" si="96"/>
        <v>0</v>
      </c>
      <c r="AP129" s="29">
        <f t="shared" si="96"/>
        <v>0</v>
      </c>
      <c r="AQ129" s="29">
        <f t="shared" si="96"/>
        <v>0</v>
      </c>
      <c r="AR129" s="29">
        <f t="shared" si="96"/>
        <v>0</v>
      </c>
      <c r="AS129" s="29">
        <f t="shared" si="96"/>
        <v>0</v>
      </c>
      <c r="AT129" s="29">
        <f t="shared" si="96"/>
        <v>0</v>
      </c>
      <c r="AU129" s="29">
        <f t="shared" si="96"/>
        <v>0</v>
      </c>
      <c r="AV129" s="29">
        <f t="shared" si="96"/>
        <v>0</v>
      </c>
      <c r="AW129" s="29">
        <f t="shared" si="96"/>
        <v>0</v>
      </c>
      <c r="AX129" s="29">
        <f t="shared" si="96"/>
        <v>0</v>
      </c>
      <c r="AY129" s="29">
        <f t="shared" si="96"/>
        <v>0</v>
      </c>
      <c r="AZ129" s="29">
        <f t="shared" si="96"/>
        <v>0</v>
      </c>
      <c r="BA129" s="29">
        <f t="shared" si="96"/>
        <v>0</v>
      </c>
      <c r="BB129" s="29">
        <f t="shared" si="96"/>
        <v>0</v>
      </c>
      <c r="BC129" s="29">
        <f t="shared" si="96"/>
        <v>0</v>
      </c>
      <c r="BD129" s="29">
        <f t="shared" si="96"/>
        <v>0</v>
      </c>
      <c r="BE129" s="29">
        <f t="shared" si="96"/>
        <v>0</v>
      </c>
      <c r="BF129" s="29">
        <f t="shared" si="96"/>
        <v>0</v>
      </c>
      <c r="BG129" s="29">
        <f t="shared" si="96"/>
        <v>0</v>
      </c>
      <c r="BH129" s="29">
        <f t="shared" si="96"/>
        <v>0</v>
      </c>
      <c r="BI129" s="29">
        <f t="shared" si="96"/>
        <v>0</v>
      </c>
      <c r="BJ129" s="29">
        <f t="shared" si="96"/>
        <v>0</v>
      </c>
      <c r="BK129" s="29">
        <f t="shared" si="96"/>
        <v>0</v>
      </c>
      <c r="BL129" s="29">
        <f t="shared" si="96"/>
        <v>0</v>
      </c>
      <c r="BM129" s="29">
        <f t="shared" si="96"/>
        <v>0</v>
      </c>
      <c r="BN129" s="29">
        <f t="shared" si="96"/>
        <v>0</v>
      </c>
      <c r="BO129" s="29">
        <f t="shared" si="96"/>
        <v>0</v>
      </c>
      <c r="BP129" s="29">
        <f t="shared" si="96"/>
        <v>0</v>
      </c>
      <c r="BQ129" s="29">
        <f t="shared" si="96"/>
        <v>0</v>
      </c>
      <c r="BR129" s="29">
        <f t="shared" si="96"/>
        <v>0</v>
      </c>
      <c r="BS129" s="29">
        <f t="shared" si="96"/>
        <v>0</v>
      </c>
      <c r="BT129" s="29">
        <f t="shared" si="96"/>
        <v>0</v>
      </c>
      <c r="BU129" s="29">
        <f t="shared" si="96"/>
        <v>0</v>
      </c>
      <c r="BV129" s="29">
        <f t="shared" si="96"/>
        <v>0</v>
      </c>
      <c r="BW129" s="29">
        <f t="shared" si="96"/>
        <v>0</v>
      </c>
      <c r="BX129" s="29">
        <f t="shared" si="96"/>
        <v>0</v>
      </c>
      <c r="BY129" s="29">
        <f t="shared" si="96"/>
        <v>0</v>
      </c>
      <c r="BZ129" s="29">
        <f t="shared" si="96"/>
        <v>0</v>
      </c>
      <c r="CA129" s="29">
        <f t="shared" si="96"/>
        <v>0</v>
      </c>
      <c r="CB129" s="29">
        <f t="shared" si="96"/>
        <v>0</v>
      </c>
      <c r="CC129" s="29">
        <f t="shared" si="96"/>
        <v>0</v>
      </c>
      <c r="CD129" s="29">
        <f t="shared" si="96"/>
        <v>0</v>
      </c>
      <c r="CE129" s="29">
        <f t="shared" si="96"/>
        <v>0</v>
      </c>
      <c r="CF129" s="29">
        <f t="shared" si="96"/>
        <v>0</v>
      </c>
      <c r="CG129" s="29">
        <f t="shared" si="96"/>
        <v>0</v>
      </c>
      <c r="CH129" s="29">
        <f t="shared" si="96"/>
        <v>0</v>
      </c>
    </row>
    <row r="130" spans="2:86" ht="13" hidden="1" outlineLevel="1">
      <c r="B130" s="84">
        <f t="shared" si="71"/>
        <v>27</v>
      </c>
      <c r="C130" s="64">
        <f t="shared" ca="1" si="69"/>
        <v>0.27858944273472219</v>
      </c>
      <c r="D130" s="15" t="s">
        <v>238</v>
      </c>
      <c r="E130" s="29">
        <f t="shared" ca="1" si="59"/>
        <v>28663787.896694828</v>
      </c>
      <c r="F130" s="29"/>
      <c r="G130" s="29">
        <f t="shared" ref="G130:CH130" ca="1" si="97">IF(G$4&lt;=$B130,ABS(G$31)*-1+G$47,0)+IF($B130=G$4,G$81,0)</f>
        <v>-1444375</v>
      </c>
      <c r="H130" s="29">
        <f t="shared" ca="1" si="97"/>
        <v>-1344375</v>
      </c>
      <c r="I130" s="29">
        <f t="shared" ca="1" si="97"/>
        <v>-1344375</v>
      </c>
      <c r="J130" s="29">
        <f t="shared" ca="1" si="97"/>
        <v>-1344375</v>
      </c>
      <c r="K130" s="29">
        <f t="shared" ca="1" si="97"/>
        <v>-1344375</v>
      </c>
      <c r="L130" s="29">
        <f t="shared" ca="1" si="97"/>
        <v>-1344375</v>
      </c>
      <c r="M130" s="29">
        <f t="shared" ca="1" si="97"/>
        <v>-1344375</v>
      </c>
      <c r="N130" s="29">
        <f t="shared" ca="1" si="97"/>
        <v>-1344375</v>
      </c>
      <c r="O130" s="29">
        <f t="shared" ca="1" si="97"/>
        <v>-1344375</v>
      </c>
      <c r="P130" s="29">
        <f t="shared" ca="1" si="97"/>
        <v>-1344375</v>
      </c>
      <c r="Q130" s="29">
        <f t="shared" ca="1" si="97"/>
        <v>-1344375</v>
      </c>
      <c r="R130" s="29">
        <f t="shared" ca="1" si="97"/>
        <v>-1344375</v>
      </c>
      <c r="S130" s="29">
        <f t="shared" ca="1" si="97"/>
        <v>-291239.58333333279</v>
      </c>
      <c r="T130" s="29">
        <f t="shared" ca="1" si="97"/>
        <v>-291239.58333333279</v>
      </c>
      <c r="U130" s="29">
        <f t="shared" ca="1" si="97"/>
        <v>-291239.58333333279</v>
      </c>
      <c r="V130" s="29">
        <f t="shared" ca="1" si="97"/>
        <v>-291239.58333333279</v>
      </c>
      <c r="W130" s="29">
        <f t="shared" ca="1" si="97"/>
        <v>3825453.1250000005</v>
      </c>
      <c r="X130" s="29">
        <f t="shared" ca="1" si="97"/>
        <v>3678872.2373188408</v>
      </c>
      <c r="Y130" s="29">
        <f t="shared" ca="1" si="97"/>
        <v>3313733.0533596845</v>
      </c>
      <c r="Z130" s="29">
        <f t="shared" ca="1" si="97"/>
        <v>3313733.0533596841</v>
      </c>
      <c r="AA130" s="29">
        <f t="shared" ca="1" si="97"/>
        <v>3353341.0902503296</v>
      </c>
      <c r="AB130" s="29">
        <f t="shared" ca="1" si="97"/>
        <v>3353341.09025033</v>
      </c>
      <c r="AC130" s="29">
        <f t="shared" ca="1" si="97"/>
        <v>3353341.09025033</v>
      </c>
      <c r="AD130" s="29">
        <f t="shared" ca="1" si="97"/>
        <v>3353341.09025033</v>
      </c>
      <c r="AE130" s="29">
        <f t="shared" ca="1" si="97"/>
        <v>4751736.4509222666</v>
      </c>
      <c r="AF130" s="29">
        <f t="shared" ca="1" si="97"/>
        <v>4751736.4509222666</v>
      </c>
      <c r="AG130" s="29">
        <f t="shared" ca="1" si="97"/>
        <v>9012617.4981440976</v>
      </c>
      <c r="AH130" s="29">
        <f t="shared" si="97"/>
        <v>0</v>
      </c>
      <c r="AI130" s="29">
        <f t="shared" si="97"/>
        <v>0</v>
      </c>
      <c r="AJ130" s="29">
        <f t="shared" si="97"/>
        <v>0</v>
      </c>
      <c r="AK130" s="29">
        <f t="shared" si="97"/>
        <v>0</v>
      </c>
      <c r="AL130" s="29">
        <f t="shared" si="97"/>
        <v>0</v>
      </c>
      <c r="AM130" s="29">
        <f t="shared" si="97"/>
        <v>0</v>
      </c>
      <c r="AN130" s="29">
        <f t="shared" si="97"/>
        <v>0</v>
      </c>
      <c r="AO130" s="29">
        <f t="shared" si="97"/>
        <v>0</v>
      </c>
      <c r="AP130" s="29">
        <f t="shared" si="97"/>
        <v>0</v>
      </c>
      <c r="AQ130" s="29">
        <f t="shared" si="97"/>
        <v>0</v>
      </c>
      <c r="AR130" s="29">
        <f t="shared" si="97"/>
        <v>0</v>
      </c>
      <c r="AS130" s="29">
        <f t="shared" si="97"/>
        <v>0</v>
      </c>
      <c r="AT130" s="29">
        <f t="shared" si="97"/>
        <v>0</v>
      </c>
      <c r="AU130" s="29">
        <f t="shared" si="97"/>
        <v>0</v>
      </c>
      <c r="AV130" s="29">
        <f t="shared" si="97"/>
        <v>0</v>
      </c>
      <c r="AW130" s="29">
        <f t="shared" si="97"/>
        <v>0</v>
      </c>
      <c r="AX130" s="29">
        <f t="shared" si="97"/>
        <v>0</v>
      </c>
      <c r="AY130" s="29">
        <f t="shared" si="97"/>
        <v>0</v>
      </c>
      <c r="AZ130" s="29">
        <f t="shared" si="97"/>
        <v>0</v>
      </c>
      <c r="BA130" s="29">
        <f t="shared" si="97"/>
        <v>0</v>
      </c>
      <c r="BB130" s="29">
        <f t="shared" si="97"/>
        <v>0</v>
      </c>
      <c r="BC130" s="29">
        <f t="shared" si="97"/>
        <v>0</v>
      </c>
      <c r="BD130" s="29">
        <f t="shared" si="97"/>
        <v>0</v>
      </c>
      <c r="BE130" s="29">
        <f t="shared" si="97"/>
        <v>0</v>
      </c>
      <c r="BF130" s="29">
        <f t="shared" si="97"/>
        <v>0</v>
      </c>
      <c r="BG130" s="29">
        <f t="shared" si="97"/>
        <v>0</v>
      </c>
      <c r="BH130" s="29">
        <f t="shared" si="97"/>
        <v>0</v>
      </c>
      <c r="BI130" s="29">
        <f t="shared" si="97"/>
        <v>0</v>
      </c>
      <c r="BJ130" s="29">
        <f t="shared" si="97"/>
        <v>0</v>
      </c>
      <c r="BK130" s="29">
        <f t="shared" si="97"/>
        <v>0</v>
      </c>
      <c r="BL130" s="29">
        <f t="shared" si="97"/>
        <v>0</v>
      </c>
      <c r="BM130" s="29">
        <f t="shared" si="97"/>
        <v>0</v>
      </c>
      <c r="BN130" s="29">
        <f t="shared" si="97"/>
        <v>0</v>
      </c>
      <c r="BO130" s="29">
        <f t="shared" si="97"/>
        <v>0</v>
      </c>
      <c r="BP130" s="29">
        <f t="shared" si="97"/>
        <v>0</v>
      </c>
      <c r="BQ130" s="29">
        <f t="shared" si="97"/>
        <v>0</v>
      </c>
      <c r="BR130" s="29">
        <f t="shared" si="97"/>
        <v>0</v>
      </c>
      <c r="BS130" s="29">
        <f t="shared" si="97"/>
        <v>0</v>
      </c>
      <c r="BT130" s="29">
        <f t="shared" si="97"/>
        <v>0</v>
      </c>
      <c r="BU130" s="29">
        <f t="shared" si="97"/>
        <v>0</v>
      </c>
      <c r="BV130" s="29">
        <f t="shared" si="97"/>
        <v>0</v>
      </c>
      <c r="BW130" s="29">
        <f t="shared" si="97"/>
        <v>0</v>
      </c>
      <c r="BX130" s="29">
        <f t="shared" si="97"/>
        <v>0</v>
      </c>
      <c r="BY130" s="29">
        <f t="shared" si="97"/>
        <v>0</v>
      </c>
      <c r="BZ130" s="29">
        <f t="shared" si="97"/>
        <v>0</v>
      </c>
      <c r="CA130" s="29">
        <f t="shared" si="97"/>
        <v>0</v>
      </c>
      <c r="CB130" s="29">
        <f t="shared" si="97"/>
        <v>0</v>
      </c>
      <c r="CC130" s="29">
        <f t="shared" si="97"/>
        <v>0</v>
      </c>
      <c r="CD130" s="29">
        <f t="shared" si="97"/>
        <v>0</v>
      </c>
      <c r="CE130" s="29">
        <f t="shared" si="97"/>
        <v>0</v>
      </c>
      <c r="CF130" s="29">
        <f t="shared" si="97"/>
        <v>0</v>
      </c>
      <c r="CG130" s="29">
        <f t="shared" si="97"/>
        <v>0</v>
      </c>
      <c r="CH130" s="29">
        <f t="shared" si="97"/>
        <v>0</v>
      </c>
    </row>
    <row r="131" spans="2:86" ht="13" hidden="1" outlineLevel="1">
      <c r="B131" s="84">
        <f t="shared" si="71"/>
        <v>28</v>
      </c>
      <c r="C131" s="64">
        <f t="shared" ca="1" si="69"/>
        <v>0.29222074021755229</v>
      </c>
      <c r="D131" s="15" t="s">
        <v>238</v>
      </c>
      <c r="E131" s="29">
        <f t="shared" ca="1" si="59"/>
        <v>31796575.455144215</v>
      </c>
      <c r="F131" s="29"/>
      <c r="G131" s="29">
        <f t="shared" ref="G131:CH131" ca="1" si="98">IF(G$4&lt;=$B131,ABS(G$31)*-1+G$47,0)+IF($B131=G$4,G$81,0)</f>
        <v>-1444375</v>
      </c>
      <c r="H131" s="29">
        <f t="shared" ca="1" si="98"/>
        <v>-1344375</v>
      </c>
      <c r="I131" s="29">
        <f t="shared" ca="1" si="98"/>
        <v>-1344375</v>
      </c>
      <c r="J131" s="29">
        <f t="shared" ca="1" si="98"/>
        <v>-1344375</v>
      </c>
      <c r="K131" s="29">
        <f t="shared" ca="1" si="98"/>
        <v>-1344375</v>
      </c>
      <c r="L131" s="29">
        <f t="shared" ca="1" si="98"/>
        <v>-1344375</v>
      </c>
      <c r="M131" s="29">
        <f t="shared" ca="1" si="98"/>
        <v>-1344375</v>
      </c>
      <c r="N131" s="29">
        <f t="shared" ca="1" si="98"/>
        <v>-1344375</v>
      </c>
      <c r="O131" s="29">
        <f t="shared" ca="1" si="98"/>
        <v>-1344375</v>
      </c>
      <c r="P131" s="29">
        <f t="shared" ca="1" si="98"/>
        <v>-1344375</v>
      </c>
      <c r="Q131" s="29">
        <f t="shared" ca="1" si="98"/>
        <v>-1344375</v>
      </c>
      <c r="R131" s="29">
        <f t="shared" ca="1" si="98"/>
        <v>-1344375</v>
      </c>
      <c r="S131" s="29">
        <f t="shared" ca="1" si="98"/>
        <v>-291239.58333333279</v>
      </c>
      <c r="T131" s="29">
        <f t="shared" ca="1" si="98"/>
        <v>-291239.58333333279</v>
      </c>
      <c r="U131" s="29">
        <f t="shared" ca="1" si="98"/>
        <v>-291239.58333333279</v>
      </c>
      <c r="V131" s="29">
        <f t="shared" ca="1" si="98"/>
        <v>-291239.58333333279</v>
      </c>
      <c r="W131" s="29">
        <f t="shared" ca="1" si="98"/>
        <v>3825453.1250000005</v>
      </c>
      <c r="X131" s="29">
        <f t="shared" ca="1" si="98"/>
        <v>3678872.2373188408</v>
      </c>
      <c r="Y131" s="29">
        <f t="shared" ca="1" si="98"/>
        <v>3313733.0533596845</v>
      </c>
      <c r="Z131" s="29">
        <f t="shared" ca="1" si="98"/>
        <v>3313733.0533596841</v>
      </c>
      <c r="AA131" s="29">
        <f t="shared" ca="1" si="98"/>
        <v>3353341.0902503296</v>
      </c>
      <c r="AB131" s="29">
        <f t="shared" ca="1" si="98"/>
        <v>3353341.09025033</v>
      </c>
      <c r="AC131" s="29">
        <f t="shared" ca="1" si="98"/>
        <v>3353341.09025033</v>
      </c>
      <c r="AD131" s="29">
        <f t="shared" ca="1" si="98"/>
        <v>3353341.09025033</v>
      </c>
      <c r="AE131" s="29">
        <f t="shared" ca="1" si="98"/>
        <v>4751736.4509222666</v>
      </c>
      <c r="AF131" s="29">
        <f t="shared" ca="1" si="98"/>
        <v>4751736.4509222666</v>
      </c>
      <c r="AG131" s="29">
        <f t="shared" ca="1" si="98"/>
        <v>4751736.4509222666</v>
      </c>
      <c r="AH131" s="29">
        <f t="shared" ca="1" si="98"/>
        <v>7393668.6056712195</v>
      </c>
      <c r="AI131" s="29">
        <f t="shared" si="98"/>
        <v>0</v>
      </c>
      <c r="AJ131" s="29">
        <f t="shared" si="98"/>
        <v>0</v>
      </c>
      <c r="AK131" s="29">
        <f t="shared" si="98"/>
        <v>0</v>
      </c>
      <c r="AL131" s="29">
        <f t="shared" si="98"/>
        <v>0</v>
      </c>
      <c r="AM131" s="29">
        <f t="shared" si="98"/>
        <v>0</v>
      </c>
      <c r="AN131" s="29">
        <f t="shared" si="98"/>
        <v>0</v>
      </c>
      <c r="AO131" s="29">
        <f t="shared" si="98"/>
        <v>0</v>
      </c>
      <c r="AP131" s="29">
        <f t="shared" si="98"/>
        <v>0</v>
      </c>
      <c r="AQ131" s="29">
        <f t="shared" si="98"/>
        <v>0</v>
      </c>
      <c r="AR131" s="29">
        <f t="shared" si="98"/>
        <v>0</v>
      </c>
      <c r="AS131" s="29">
        <f t="shared" si="98"/>
        <v>0</v>
      </c>
      <c r="AT131" s="29">
        <f t="shared" si="98"/>
        <v>0</v>
      </c>
      <c r="AU131" s="29">
        <f t="shared" si="98"/>
        <v>0</v>
      </c>
      <c r="AV131" s="29">
        <f t="shared" si="98"/>
        <v>0</v>
      </c>
      <c r="AW131" s="29">
        <f t="shared" si="98"/>
        <v>0</v>
      </c>
      <c r="AX131" s="29">
        <f t="shared" si="98"/>
        <v>0</v>
      </c>
      <c r="AY131" s="29">
        <f t="shared" si="98"/>
        <v>0</v>
      </c>
      <c r="AZ131" s="29">
        <f t="shared" si="98"/>
        <v>0</v>
      </c>
      <c r="BA131" s="29">
        <f t="shared" si="98"/>
        <v>0</v>
      </c>
      <c r="BB131" s="29">
        <f t="shared" si="98"/>
        <v>0</v>
      </c>
      <c r="BC131" s="29">
        <f t="shared" si="98"/>
        <v>0</v>
      </c>
      <c r="BD131" s="29">
        <f t="shared" si="98"/>
        <v>0</v>
      </c>
      <c r="BE131" s="29">
        <f t="shared" si="98"/>
        <v>0</v>
      </c>
      <c r="BF131" s="29">
        <f t="shared" si="98"/>
        <v>0</v>
      </c>
      <c r="BG131" s="29">
        <f t="shared" si="98"/>
        <v>0</v>
      </c>
      <c r="BH131" s="29">
        <f t="shared" si="98"/>
        <v>0</v>
      </c>
      <c r="BI131" s="29">
        <f t="shared" si="98"/>
        <v>0</v>
      </c>
      <c r="BJ131" s="29">
        <f t="shared" si="98"/>
        <v>0</v>
      </c>
      <c r="BK131" s="29">
        <f t="shared" si="98"/>
        <v>0</v>
      </c>
      <c r="BL131" s="29">
        <f t="shared" si="98"/>
        <v>0</v>
      </c>
      <c r="BM131" s="29">
        <f t="shared" si="98"/>
        <v>0</v>
      </c>
      <c r="BN131" s="29">
        <f t="shared" si="98"/>
        <v>0</v>
      </c>
      <c r="BO131" s="29">
        <f t="shared" si="98"/>
        <v>0</v>
      </c>
      <c r="BP131" s="29">
        <f t="shared" si="98"/>
        <v>0</v>
      </c>
      <c r="BQ131" s="29">
        <f t="shared" si="98"/>
        <v>0</v>
      </c>
      <c r="BR131" s="29">
        <f t="shared" si="98"/>
        <v>0</v>
      </c>
      <c r="BS131" s="29">
        <f t="shared" si="98"/>
        <v>0</v>
      </c>
      <c r="BT131" s="29">
        <f t="shared" si="98"/>
        <v>0</v>
      </c>
      <c r="BU131" s="29">
        <f t="shared" si="98"/>
        <v>0</v>
      </c>
      <c r="BV131" s="29">
        <f t="shared" si="98"/>
        <v>0</v>
      </c>
      <c r="BW131" s="29">
        <f t="shared" si="98"/>
        <v>0</v>
      </c>
      <c r="BX131" s="29">
        <f t="shared" si="98"/>
        <v>0</v>
      </c>
      <c r="BY131" s="29">
        <f t="shared" si="98"/>
        <v>0</v>
      </c>
      <c r="BZ131" s="29">
        <f t="shared" si="98"/>
        <v>0</v>
      </c>
      <c r="CA131" s="29">
        <f t="shared" si="98"/>
        <v>0</v>
      </c>
      <c r="CB131" s="29">
        <f t="shared" si="98"/>
        <v>0</v>
      </c>
      <c r="CC131" s="29">
        <f t="shared" si="98"/>
        <v>0</v>
      </c>
      <c r="CD131" s="29">
        <f t="shared" si="98"/>
        <v>0</v>
      </c>
      <c r="CE131" s="29">
        <f t="shared" si="98"/>
        <v>0</v>
      </c>
      <c r="CF131" s="29">
        <f t="shared" si="98"/>
        <v>0</v>
      </c>
      <c r="CG131" s="29">
        <f t="shared" si="98"/>
        <v>0</v>
      </c>
      <c r="CH131" s="29">
        <f t="shared" si="98"/>
        <v>0</v>
      </c>
    </row>
    <row r="132" spans="2:86" ht="13" hidden="1" outlineLevel="1">
      <c r="B132" s="84">
        <f t="shared" si="71"/>
        <v>29</v>
      </c>
      <c r="C132" s="64">
        <f t="shared" ca="1" si="69"/>
        <v>0.30486659610872091</v>
      </c>
      <c r="D132" s="15" t="s">
        <v>238</v>
      </c>
      <c r="E132" s="29">
        <f t="shared" ca="1" si="59"/>
        <v>34992936.155729197</v>
      </c>
      <c r="F132" s="29"/>
      <c r="G132" s="29">
        <f t="shared" ref="G132:CH132" ca="1" si="99">IF(G$4&lt;=$B132,ABS(G$31)*-1+G$47,0)+IF($B132=G$4,G$81,0)</f>
        <v>-1444375</v>
      </c>
      <c r="H132" s="29">
        <f t="shared" ca="1" si="99"/>
        <v>-1344375</v>
      </c>
      <c r="I132" s="29">
        <f t="shared" ca="1" si="99"/>
        <v>-1344375</v>
      </c>
      <c r="J132" s="29">
        <f t="shared" ca="1" si="99"/>
        <v>-1344375</v>
      </c>
      <c r="K132" s="29">
        <f t="shared" ca="1" si="99"/>
        <v>-1344375</v>
      </c>
      <c r="L132" s="29">
        <f t="shared" ca="1" si="99"/>
        <v>-1344375</v>
      </c>
      <c r="M132" s="29">
        <f t="shared" ca="1" si="99"/>
        <v>-1344375</v>
      </c>
      <c r="N132" s="29">
        <f t="shared" ca="1" si="99"/>
        <v>-1344375</v>
      </c>
      <c r="O132" s="29">
        <f t="shared" ca="1" si="99"/>
        <v>-1344375</v>
      </c>
      <c r="P132" s="29">
        <f t="shared" ca="1" si="99"/>
        <v>-1344375</v>
      </c>
      <c r="Q132" s="29">
        <f t="shared" ca="1" si="99"/>
        <v>-1344375</v>
      </c>
      <c r="R132" s="29">
        <f t="shared" ca="1" si="99"/>
        <v>-1344375</v>
      </c>
      <c r="S132" s="29">
        <f t="shared" ca="1" si="99"/>
        <v>-291239.58333333279</v>
      </c>
      <c r="T132" s="29">
        <f t="shared" ca="1" si="99"/>
        <v>-291239.58333333279</v>
      </c>
      <c r="U132" s="29">
        <f t="shared" ca="1" si="99"/>
        <v>-291239.58333333279</v>
      </c>
      <c r="V132" s="29">
        <f t="shared" ca="1" si="99"/>
        <v>-291239.58333333279</v>
      </c>
      <c r="W132" s="29">
        <f t="shared" ca="1" si="99"/>
        <v>3825453.1250000005</v>
      </c>
      <c r="X132" s="29">
        <f t="shared" ca="1" si="99"/>
        <v>3678872.2373188408</v>
      </c>
      <c r="Y132" s="29">
        <f t="shared" ca="1" si="99"/>
        <v>3313733.0533596845</v>
      </c>
      <c r="Z132" s="29">
        <f t="shared" ca="1" si="99"/>
        <v>3313733.0533596841</v>
      </c>
      <c r="AA132" s="29">
        <f t="shared" ca="1" si="99"/>
        <v>3353341.0902503296</v>
      </c>
      <c r="AB132" s="29">
        <f t="shared" ca="1" si="99"/>
        <v>3353341.09025033</v>
      </c>
      <c r="AC132" s="29">
        <f t="shared" ca="1" si="99"/>
        <v>3353341.09025033</v>
      </c>
      <c r="AD132" s="29">
        <f t="shared" ca="1" si="99"/>
        <v>3353341.09025033</v>
      </c>
      <c r="AE132" s="29">
        <f t="shared" ca="1" si="99"/>
        <v>4751736.4509222666</v>
      </c>
      <c r="AF132" s="29">
        <f t="shared" ca="1" si="99"/>
        <v>4751736.4509222666</v>
      </c>
      <c r="AG132" s="29">
        <f t="shared" ca="1" si="99"/>
        <v>4751736.4509222666</v>
      </c>
      <c r="AH132" s="29">
        <f t="shared" ca="1" si="99"/>
        <v>4751736.4509222666</v>
      </c>
      <c r="AI132" s="29">
        <f t="shared" ca="1" si="99"/>
        <v>5838292.8553339345</v>
      </c>
      <c r="AJ132" s="29">
        <f t="shared" si="99"/>
        <v>0</v>
      </c>
      <c r="AK132" s="29">
        <f t="shared" si="99"/>
        <v>0</v>
      </c>
      <c r="AL132" s="29">
        <f t="shared" si="99"/>
        <v>0</v>
      </c>
      <c r="AM132" s="29">
        <f t="shared" si="99"/>
        <v>0</v>
      </c>
      <c r="AN132" s="29">
        <f t="shared" si="99"/>
        <v>0</v>
      </c>
      <c r="AO132" s="29">
        <f t="shared" si="99"/>
        <v>0</v>
      </c>
      <c r="AP132" s="29">
        <f t="shared" si="99"/>
        <v>0</v>
      </c>
      <c r="AQ132" s="29">
        <f t="shared" si="99"/>
        <v>0</v>
      </c>
      <c r="AR132" s="29">
        <f t="shared" si="99"/>
        <v>0</v>
      </c>
      <c r="AS132" s="29">
        <f t="shared" si="99"/>
        <v>0</v>
      </c>
      <c r="AT132" s="29">
        <f t="shared" si="99"/>
        <v>0</v>
      </c>
      <c r="AU132" s="29">
        <f t="shared" si="99"/>
        <v>0</v>
      </c>
      <c r="AV132" s="29">
        <f t="shared" si="99"/>
        <v>0</v>
      </c>
      <c r="AW132" s="29">
        <f t="shared" si="99"/>
        <v>0</v>
      </c>
      <c r="AX132" s="29">
        <f t="shared" si="99"/>
        <v>0</v>
      </c>
      <c r="AY132" s="29">
        <f t="shared" si="99"/>
        <v>0</v>
      </c>
      <c r="AZ132" s="29">
        <f t="shared" si="99"/>
        <v>0</v>
      </c>
      <c r="BA132" s="29">
        <f t="shared" si="99"/>
        <v>0</v>
      </c>
      <c r="BB132" s="29">
        <f t="shared" si="99"/>
        <v>0</v>
      </c>
      <c r="BC132" s="29">
        <f t="shared" si="99"/>
        <v>0</v>
      </c>
      <c r="BD132" s="29">
        <f t="shared" si="99"/>
        <v>0</v>
      </c>
      <c r="BE132" s="29">
        <f t="shared" si="99"/>
        <v>0</v>
      </c>
      <c r="BF132" s="29">
        <f t="shared" si="99"/>
        <v>0</v>
      </c>
      <c r="BG132" s="29">
        <f t="shared" si="99"/>
        <v>0</v>
      </c>
      <c r="BH132" s="29">
        <f t="shared" si="99"/>
        <v>0</v>
      </c>
      <c r="BI132" s="29">
        <f t="shared" si="99"/>
        <v>0</v>
      </c>
      <c r="BJ132" s="29">
        <f t="shared" si="99"/>
        <v>0</v>
      </c>
      <c r="BK132" s="29">
        <f t="shared" si="99"/>
        <v>0</v>
      </c>
      <c r="BL132" s="29">
        <f t="shared" si="99"/>
        <v>0</v>
      </c>
      <c r="BM132" s="29">
        <f t="shared" si="99"/>
        <v>0</v>
      </c>
      <c r="BN132" s="29">
        <f t="shared" si="99"/>
        <v>0</v>
      </c>
      <c r="BO132" s="29">
        <f t="shared" si="99"/>
        <v>0</v>
      </c>
      <c r="BP132" s="29">
        <f t="shared" si="99"/>
        <v>0</v>
      </c>
      <c r="BQ132" s="29">
        <f t="shared" si="99"/>
        <v>0</v>
      </c>
      <c r="BR132" s="29">
        <f t="shared" si="99"/>
        <v>0</v>
      </c>
      <c r="BS132" s="29">
        <f t="shared" si="99"/>
        <v>0</v>
      </c>
      <c r="BT132" s="29">
        <f t="shared" si="99"/>
        <v>0</v>
      </c>
      <c r="BU132" s="29">
        <f t="shared" si="99"/>
        <v>0</v>
      </c>
      <c r="BV132" s="29">
        <f t="shared" si="99"/>
        <v>0</v>
      </c>
      <c r="BW132" s="29">
        <f t="shared" si="99"/>
        <v>0</v>
      </c>
      <c r="BX132" s="29">
        <f t="shared" si="99"/>
        <v>0</v>
      </c>
      <c r="BY132" s="29">
        <f t="shared" si="99"/>
        <v>0</v>
      </c>
      <c r="BZ132" s="29">
        <f t="shared" si="99"/>
        <v>0</v>
      </c>
      <c r="CA132" s="29">
        <f t="shared" si="99"/>
        <v>0</v>
      </c>
      <c r="CB132" s="29">
        <f t="shared" si="99"/>
        <v>0</v>
      </c>
      <c r="CC132" s="29">
        <f t="shared" si="99"/>
        <v>0</v>
      </c>
      <c r="CD132" s="29">
        <f t="shared" si="99"/>
        <v>0</v>
      </c>
      <c r="CE132" s="29">
        <f t="shared" si="99"/>
        <v>0</v>
      </c>
      <c r="CF132" s="29">
        <f t="shared" si="99"/>
        <v>0</v>
      </c>
      <c r="CG132" s="29">
        <f t="shared" si="99"/>
        <v>0</v>
      </c>
      <c r="CH132" s="29">
        <f t="shared" si="99"/>
        <v>0</v>
      </c>
    </row>
    <row r="133" spans="2:86" ht="13" hidden="1" outlineLevel="1">
      <c r="B133" s="84">
        <f t="shared" si="71"/>
        <v>30</v>
      </c>
      <c r="C133" s="64">
        <f t="shared" ca="1" si="69"/>
        <v>0.31605289746371446</v>
      </c>
      <c r="D133" s="15" t="s">
        <v>238</v>
      </c>
      <c r="E133" s="29">
        <f t="shared" ca="1" si="59"/>
        <v>38166682.078927726</v>
      </c>
      <c r="F133" s="29"/>
      <c r="G133" s="29">
        <f t="shared" ref="G133:CH133" ca="1" si="100">IF(G$4&lt;=$B133,ABS(G$31)*-1+G$47,0)+IF($B133=G$4,G$81,0)</f>
        <v>-1444375</v>
      </c>
      <c r="H133" s="29">
        <f t="shared" ca="1" si="100"/>
        <v>-1344375</v>
      </c>
      <c r="I133" s="29">
        <f t="shared" ca="1" si="100"/>
        <v>-1344375</v>
      </c>
      <c r="J133" s="29">
        <f t="shared" ca="1" si="100"/>
        <v>-1344375</v>
      </c>
      <c r="K133" s="29">
        <f t="shared" ca="1" si="100"/>
        <v>-1344375</v>
      </c>
      <c r="L133" s="29">
        <f t="shared" ca="1" si="100"/>
        <v>-1344375</v>
      </c>
      <c r="M133" s="29">
        <f t="shared" ca="1" si="100"/>
        <v>-1344375</v>
      </c>
      <c r="N133" s="29">
        <f t="shared" ca="1" si="100"/>
        <v>-1344375</v>
      </c>
      <c r="O133" s="29">
        <f t="shared" ca="1" si="100"/>
        <v>-1344375</v>
      </c>
      <c r="P133" s="29">
        <f t="shared" ca="1" si="100"/>
        <v>-1344375</v>
      </c>
      <c r="Q133" s="29">
        <f t="shared" ca="1" si="100"/>
        <v>-1344375</v>
      </c>
      <c r="R133" s="29">
        <f t="shared" ca="1" si="100"/>
        <v>-1344375</v>
      </c>
      <c r="S133" s="29">
        <f t="shared" ca="1" si="100"/>
        <v>-291239.58333333279</v>
      </c>
      <c r="T133" s="29">
        <f t="shared" ca="1" si="100"/>
        <v>-291239.58333333279</v>
      </c>
      <c r="U133" s="29">
        <f t="shared" ca="1" si="100"/>
        <v>-291239.58333333279</v>
      </c>
      <c r="V133" s="29">
        <f t="shared" ca="1" si="100"/>
        <v>-291239.58333333279</v>
      </c>
      <c r="W133" s="29">
        <f t="shared" ca="1" si="100"/>
        <v>3825453.1250000005</v>
      </c>
      <c r="X133" s="29">
        <f t="shared" ca="1" si="100"/>
        <v>3678872.2373188408</v>
      </c>
      <c r="Y133" s="29">
        <f t="shared" ca="1" si="100"/>
        <v>3313733.0533596845</v>
      </c>
      <c r="Z133" s="29">
        <f t="shared" ca="1" si="100"/>
        <v>3313733.0533596841</v>
      </c>
      <c r="AA133" s="29">
        <f t="shared" ca="1" si="100"/>
        <v>3353341.0902503296</v>
      </c>
      <c r="AB133" s="29">
        <f t="shared" ca="1" si="100"/>
        <v>3353341.09025033</v>
      </c>
      <c r="AC133" s="29">
        <f t="shared" ca="1" si="100"/>
        <v>3353341.09025033</v>
      </c>
      <c r="AD133" s="29">
        <f t="shared" ca="1" si="100"/>
        <v>3353341.09025033</v>
      </c>
      <c r="AE133" s="29">
        <f t="shared" ca="1" si="100"/>
        <v>4751736.4509222666</v>
      </c>
      <c r="AF133" s="29">
        <f t="shared" ca="1" si="100"/>
        <v>4751736.4509222666</v>
      </c>
      <c r="AG133" s="29">
        <f t="shared" ca="1" si="100"/>
        <v>4751736.4509222666</v>
      </c>
      <c r="AH133" s="29">
        <f t="shared" ca="1" si="100"/>
        <v>4751736.4509222666</v>
      </c>
      <c r="AI133" s="29">
        <f t="shared" ca="1" si="100"/>
        <v>3862141.1520092217</v>
      </c>
      <c r="AJ133" s="29">
        <f t="shared" ca="1" si="100"/>
        <v>5149897.6265232423</v>
      </c>
      <c r="AK133" s="29">
        <f t="shared" si="100"/>
        <v>0</v>
      </c>
      <c r="AL133" s="29">
        <f t="shared" si="100"/>
        <v>0</v>
      </c>
      <c r="AM133" s="29">
        <f t="shared" si="100"/>
        <v>0</v>
      </c>
      <c r="AN133" s="29">
        <f t="shared" si="100"/>
        <v>0</v>
      </c>
      <c r="AO133" s="29">
        <f t="shared" si="100"/>
        <v>0</v>
      </c>
      <c r="AP133" s="29">
        <f t="shared" si="100"/>
        <v>0</v>
      </c>
      <c r="AQ133" s="29">
        <f t="shared" si="100"/>
        <v>0</v>
      </c>
      <c r="AR133" s="29">
        <f t="shared" si="100"/>
        <v>0</v>
      </c>
      <c r="AS133" s="29">
        <f t="shared" si="100"/>
        <v>0</v>
      </c>
      <c r="AT133" s="29">
        <f t="shared" si="100"/>
        <v>0</v>
      </c>
      <c r="AU133" s="29">
        <f t="shared" si="100"/>
        <v>0</v>
      </c>
      <c r="AV133" s="29">
        <f t="shared" si="100"/>
        <v>0</v>
      </c>
      <c r="AW133" s="29">
        <f t="shared" si="100"/>
        <v>0</v>
      </c>
      <c r="AX133" s="29">
        <f t="shared" si="100"/>
        <v>0</v>
      </c>
      <c r="AY133" s="29">
        <f t="shared" si="100"/>
        <v>0</v>
      </c>
      <c r="AZ133" s="29">
        <f t="shared" si="100"/>
        <v>0</v>
      </c>
      <c r="BA133" s="29">
        <f t="shared" si="100"/>
        <v>0</v>
      </c>
      <c r="BB133" s="29">
        <f t="shared" si="100"/>
        <v>0</v>
      </c>
      <c r="BC133" s="29">
        <f t="shared" si="100"/>
        <v>0</v>
      </c>
      <c r="BD133" s="29">
        <f t="shared" si="100"/>
        <v>0</v>
      </c>
      <c r="BE133" s="29">
        <f t="shared" si="100"/>
        <v>0</v>
      </c>
      <c r="BF133" s="29">
        <f t="shared" si="100"/>
        <v>0</v>
      </c>
      <c r="BG133" s="29">
        <f t="shared" si="100"/>
        <v>0</v>
      </c>
      <c r="BH133" s="29">
        <f t="shared" si="100"/>
        <v>0</v>
      </c>
      <c r="BI133" s="29">
        <f t="shared" si="100"/>
        <v>0</v>
      </c>
      <c r="BJ133" s="29">
        <f t="shared" si="100"/>
        <v>0</v>
      </c>
      <c r="BK133" s="29">
        <f t="shared" si="100"/>
        <v>0</v>
      </c>
      <c r="BL133" s="29">
        <f t="shared" si="100"/>
        <v>0</v>
      </c>
      <c r="BM133" s="29">
        <f t="shared" si="100"/>
        <v>0</v>
      </c>
      <c r="BN133" s="29">
        <f t="shared" si="100"/>
        <v>0</v>
      </c>
      <c r="BO133" s="29">
        <f t="shared" si="100"/>
        <v>0</v>
      </c>
      <c r="BP133" s="29">
        <f t="shared" si="100"/>
        <v>0</v>
      </c>
      <c r="BQ133" s="29">
        <f t="shared" si="100"/>
        <v>0</v>
      </c>
      <c r="BR133" s="29">
        <f t="shared" si="100"/>
        <v>0</v>
      </c>
      <c r="BS133" s="29">
        <f t="shared" si="100"/>
        <v>0</v>
      </c>
      <c r="BT133" s="29">
        <f t="shared" si="100"/>
        <v>0</v>
      </c>
      <c r="BU133" s="29">
        <f t="shared" si="100"/>
        <v>0</v>
      </c>
      <c r="BV133" s="29">
        <f t="shared" si="100"/>
        <v>0</v>
      </c>
      <c r="BW133" s="29">
        <f t="shared" si="100"/>
        <v>0</v>
      </c>
      <c r="BX133" s="29">
        <f t="shared" si="100"/>
        <v>0</v>
      </c>
      <c r="BY133" s="29">
        <f t="shared" si="100"/>
        <v>0</v>
      </c>
      <c r="BZ133" s="29">
        <f t="shared" si="100"/>
        <v>0</v>
      </c>
      <c r="CA133" s="29">
        <f t="shared" si="100"/>
        <v>0</v>
      </c>
      <c r="CB133" s="29">
        <f t="shared" si="100"/>
        <v>0</v>
      </c>
      <c r="CC133" s="29">
        <f t="shared" si="100"/>
        <v>0</v>
      </c>
      <c r="CD133" s="29">
        <f t="shared" si="100"/>
        <v>0</v>
      </c>
      <c r="CE133" s="29">
        <f t="shared" si="100"/>
        <v>0</v>
      </c>
      <c r="CF133" s="29">
        <f t="shared" si="100"/>
        <v>0</v>
      </c>
      <c r="CG133" s="29">
        <f t="shared" si="100"/>
        <v>0</v>
      </c>
      <c r="CH133" s="29">
        <f t="shared" si="100"/>
        <v>0</v>
      </c>
    </row>
    <row r="134" spans="2:86" ht="13" hidden="1" outlineLevel="1">
      <c r="B134" s="84">
        <f t="shared" si="71"/>
        <v>31</v>
      </c>
      <c r="C134" s="64">
        <f t="shared" ca="1" si="69"/>
        <v>0.32598944063030943</v>
      </c>
      <c r="D134" s="15" t="s">
        <v>238</v>
      </c>
      <c r="E134" s="29">
        <f t="shared" ca="1" si="59"/>
        <v>41317813.224739805</v>
      </c>
      <c r="F134" s="29"/>
      <c r="G134" s="29">
        <f t="shared" ref="G134:CH134" ca="1" si="101">IF(G$4&lt;=$B134,ABS(G$31)*-1+G$47,0)+IF($B134=G$4,G$81,0)</f>
        <v>-1444375</v>
      </c>
      <c r="H134" s="29">
        <f t="shared" ca="1" si="101"/>
        <v>-1344375</v>
      </c>
      <c r="I134" s="29">
        <f t="shared" ca="1" si="101"/>
        <v>-1344375</v>
      </c>
      <c r="J134" s="29">
        <f t="shared" ca="1" si="101"/>
        <v>-1344375</v>
      </c>
      <c r="K134" s="29">
        <f t="shared" ca="1" si="101"/>
        <v>-1344375</v>
      </c>
      <c r="L134" s="29">
        <f t="shared" ca="1" si="101"/>
        <v>-1344375</v>
      </c>
      <c r="M134" s="29">
        <f t="shared" ca="1" si="101"/>
        <v>-1344375</v>
      </c>
      <c r="N134" s="29">
        <f t="shared" ca="1" si="101"/>
        <v>-1344375</v>
      </c>
      <c r="O134" s="29">
        <f t="shared" ca="1" si="101"/>
        <v>-1344375</v>
      </c>
      <c r="P134" s="29">
        <f t="shared" ca="1" si="101"/>
        <v>-1344375</v>
      </c>
      <c r="Q134" s="29">
        <f t="shared" ca="1" si="101"/>
        <v>-1344375</v>
      </c>
      <c r="R134" s="29">
        <f t="shared" ca="1" si="101"/>
        <v>-1344375</v>
      </c>
      <c r="S134" s="29">
        <f t="shared" ca="1" si="101"/>
        <v>-291239.58333333279</v>
      </c>
      <c r="T134" s="29">
        <f t="shared" ca="1" si="101"/>
        <v>-291239.58333333279</v>
      </c>
      <c r="U134" s="29">
        <f t="shared" ca="1" si="101"/>
        <v>-291239.58333333279</v>
      </c>
      <c r="V134" s="29">
        <f t="shared" ca="1" si="101"/>
        <v>-291239.58333333279</v>
      </c>
      <c r="W134" s="29">
        <f t="shared" ca="1" si="101"/>
        <v>3825453.1250000005</v>
      </c>
      <c r="X134" s="29">
        <f t="shared" ca="1" si="101"/>
        <v>3678872.2373188408</v>
      </c>
      <c r="Y134" s="29">
        <f t="shared" ca="1" si="101"/>
        <v>3313733.0533596845</v>
      </c>
      <c r="Z134" s="29">
        <f t="shared" ca="1" si="101"/>
        <v>3313733.0533596841</v>
      </c>
      <c r="AA134" s="29">
        <f t="shared" ca="1" si="101"/>
        <v>3353341.0902503296</v>
      </c>
      <c r="AB134" s="29">
        <f t="shared" ca="1" si="101"/>
        <v>3353341.09025033</v>
      </c>
      <c r="AC134" s="29">
        <f t="shared" ca="1" si="101"/>
        <v>3353341.09025033</v>
      </c>
      <c r="AD134" s="29">
        <f t="shared" ca="1" si="101"/>
        <v>3353341.09025033</v>
      </c>
      <c r="AE134" s="29">
        <f t="shared" ca="1" si="101"/>
        <v>4751736.4509222666</v>
      </c>
      <c r="AF134" s="29">
        <f t="shared" ca="1" si="101"/>
        <v>4751736.4509222666</v>
      </c>
      <c r="AG134" s="29">
        <f t="shared" ca="1" si="101"/>
        <v>4751736.4509222666</v>
      </c>
      <c r="AH134" s="29">
        <f t="shared" ca="1" si="101"/>
        <v>4751736.4509222666</v>
      </c>
      <c r="AI134" s="29">
        <f t="shared" ca="1" si="101"/>
        <v>3862141.1520092217</v>
      </c>
      <c r="AJ134" s="29">
        <f t="shared" ca="1" si="101"/>
        <v>3862141.1520092217</v>
      </c>
      <c r="AK134" s="29">
        <f t="shared" ca="1" si="101"/>
        <v>4438887.620326099</v>
      </c>
      <c r="AL134" s="29">
        <f t="shared" si="101"/>
        <v>0</v>
      </c>
      <c r="AM134" s="29">
        <f t="shared" si="101"/>
        <v>0</v>
      </c>
      <c r="AN134" s="29">
        <f t="shared" si="101"/>
        <v>0</v>
      </c>
      <c r="AO134" s="29">
        <f t="shared" si="101"/>
        <v>0</v>
      </c>
      <c r="AP134" s="29">
        <f t="shared" si="101"/>
        <v>0</v>
      </c>
      <c r="AQ134" s="29">
        <f t="shared" si="101"/>
        <v>0</v>
      </c>
      <c r="AR134" s="29">
        <f t="shared" si="101"/>
        <v>0</v>
      </c>
      <c r="AS134" s="29">
        <f t="shared" si="101"/>
        <v>0</v>
      </c>
      <c r="AT134" s="29">
        <f t="shared" si="101"/>
        <v>0</v>
      </c>
      <c r="AU134" s="29">
        <f t="shared" si="101"/>
        <v>0</v>
      </c>
      <c r="AV134" s="29">
        <f t="shared" si="101"/>
        <v>0</v>
      </c>
      <c r="AW134" s="29">
        <f t="shared" si="101"/>
        <v>0</v>
      </c>
      <c r="AX134" s="29">
        <f t="shared" si="101"/>
        <v>0</v>
      </c>
      <c r="AY134" s="29">
        <f t="shared" si="101"/>
        <v>0</v>
      </c>
      <c r="AZ134" s="29">
        <f t="shared" si="101"/>
        <v>0</v>
      </c>
      <c r="BA134" s="29">
        <f t="shared" si="101"/>
        <v>0</v>
      </c>
      <c r="BB134" s="29">
        <f t="shared" si="101"/>
        <v>0</v>
      </c>
      <c r="BC134" s="29">
        <f t="shared" si="101"/>
        <v>0</v>
      </c>
      <c r="BD134" s="29">
        <f t="shared" si="101"/>
        <v>0</v>
      </c>
      <c r="BE134" s="29">
        <f t="shared" si="101"/>
        <v>0</v>
      </c>
      <c r="BF134" s="29">
        <f t="shared" si="101"/>
        <v>0</v>
      </c>
      <c r="BG134" s="29">
        <f t="shared" si="101"/>
        <v>0</v>
      </c>
      <c r="BH134" s="29">
        <f t="shared" si="101"/>
        <v>0</v>
      </c>
      <c r="BI134" s="29">
        <f t="shared" si="101"/>
        <v>0</v>
      </c>
      <c r="BJ134" s="29">
        <f t="shared" si="101"/>
        <v>0</v>
      </c>
      <c r="BK134" s="29">
        <f t="shared" si="101"/>
        <v>0</v>
      </c>
      <c r="BL134" s="29">
        <f t="shared" si="101"/>
        <v>0</v>
      </c>
      <c r="BM134" s="29">
        <f t="shared" si="101"/>
        <v>0</v>
      </c>
      <c r="BN134" s="29">
        <f t="shared" si="101"/>
        <v>0</v>
      </c>
      <c r="BO134" s="29">
        <f t="shared" si="101"/>
        <v>0</v>
      </c>
      <c r="BP134" s="29">
        <f t="shared" si="101"/>
        <v>0</v>
      </c>
      <c r="BQ134" s="29">
        <f t="shared" si="101"/>
        <v>0</v>
      </c>
      <c r="BR134" s="29">
        <f t="shared" si="101"/>
        <v>0</v>
      </c>
      <c r="BS134" s="29">
        <f t="shared" si="101"/>
        <v>0</v>
      </c>
      <c r="BT134" s="29">
        <f t="shared" si="101"/>
        <v>0</v>
      </c>
      <c r="BU134" s="29">
        <f t="shared" si="101"/>
        <v>0</v>
      </c>
      <c r="BV134" s="29">
        <f t="shared" si="101"/>
        <v>0</v>
      </c>
      <c r="BW134" s="29">
        <f t="shared" si="101"/>
        <v>0</v>
      </c>
      <c r="BX134" s="29">
        <f t="shared" si="101"/>
        <v>0</v>
      </c>
      <c r="BY134" s="29">
        <f t="shared" si="101"/>
        <v>0</v>
      </c>
      <c r="BZ134" s="29">
        <f t="shared" si="101"/>
        <v>0</v>
      </c>
      <c r="CA134" s="29">
        <f t="shared" si="101"/>
        <v>0</v>
      </c>
      <c r="CB134" s="29">
        <f t="shared" si="101"/>
        <v>0</v>
      </c>
      <c r="CC134" s="29">
        <f t="shared" si="101"/>
        <v>0</v>
      </c>
      <c r="CD134" s="29">
        <f t="shared" si="101"/>
        <v>0</v>
      </c>
      <c r="CE134" s="29">
        <f t="shared" si="101"/>
        <v>0</v>
      </c>
      <c r="CF134" s="29">
        <f t="shared" si="101"/>
        <v>0</v>
      </c>
      <c r="CG134" s="29">
        <f t="shared" si="101"/>
        <v>0</v>
      </c>
      <c r="CH134" s="29">
        <f t="shared" si="101"/>
        <v>0</v>
      </c>
    </row>
    <row r="135" spans="2:86" ht="13" hidden="1" outlineLevel="1">
      <c r="B135" s="84">
        <f t="shared" si="71"/>
        <v>32</v>
      </c>
      <c r="C135" s="64">
        <f t="shared" ca="1" si="69"/>
        <v>0.33484901652336507</v>
      </c>
      <c r="D135" s="15" t="s">
        <v>238</v>
      </c>
      <c r="E135" s="29">
        <f t="shared" ca="1" si="59"/>
        <v>44446329.593165427</v>
      </c>
      <c r="F135" s="29"/>
      <c r="G135" s="29">
        <f t="shared" ref="G135:CH135" ca="1" si="102">IF(G$4&lt;=$B135,ABS(G$31)*-1+G$47,0)+IF($B135=G$4,G$81,0)</f>
        <v>-1444375</v>
      </c>
      <c r="H135" s="29">
        <f t="shared" ca="1" si="102"/>
        <v>-1344375</v>
      </c>
      <c r="I135" s="29">
        <f t="shared" ca="1" si="102"/>
        <v>-1344375</v>
      </c>
      <c r="J135" s="29">
        <f t="shared" ca="1" si="102"/>
        <v>-1344375</v>
      </c>
      <c r="K135" s="29">
        <f t="shared" ca="1" si="102"/>
        <v>-1344375</v>
      </c>
      <c r="L135" s="29">
        <f t="shared" ca="1" si="102"/>
        <v>-1344375</v>
      </c>
      <c r="M135" s="29">
        <f t="shared" ca="1" si="102"/>
        <v>-1344375</v>
      </c>
      <c r="N135" s="29">
        <f t="shared" ca="1" si="102"/>
        <v>-1344375</v>
      </c>
      <c r="O135" s="29">
        <f t="shared" ca="1" si="102"/>
        <v>-1344375</v>
      </c>
      <c r="P135" s="29">
        <f t="shared" ca="1" si="102"/>
        <v>-1344375</v>
      </c>
      <c r="Q135" s="29">
        <f t="shared" ca="1" si="102"/>
        <v>-1344375</v>
      </c>
      <c r="R135" s="29">
        <f t="shared" ca="1" si="102"/>
        <v>-1344375</v>
      </c>
      <c r="S135" s="29">
        <f t="shared" ca="1" si="102"/>
        <v>-291239.58333333279</v>
      </c>
      <c r="T135" s="29">
        <f t="shared" ca="1" si="102"/>
        <v>-291239.58333333279</v>
      </c>
      <c r="U135" s="29">
        <f t="shared" ca="1" si="102"/>
        <v>-291239.58333333279</v>
      </c>
      <c r="V135" s="29">
        <f t="shared" ca="1" si="102"/>
        <v>-291239.58333333279</v>
      </c>
      <c r="W135" s="29">
        <f t="shared" ca="1" si="102"/>
        <v>3825453.1250000005</v>
      </c>
      <c r="X135" s="29">
        <f t="shared" ca="1" si="102"/>
        <v>3678872.2373188408</v>
      </c>
      <c r="Y135" s="29">
        <f t="shared" ca="1" si="102"/>
        <v>3313733.0533596845</v>
      </c>
      <c r="Z135" s="29">
        <f t="shared" ca="1" si="102"/>
        <v>3313733.0533596841</v>
      </c>
      <c r="AA135" s="29">
        <f t="shared" ca="1" si="102"/>
        <v>3353341.0902503296</v>
      </c>
      <c r="AB135" s="29">
        <f t="shared" ca="1" si="102"/>
        <v>3353341.09025033</v>
      </c>
      <c r="AC135" s="29">
        <f t="shared" ca="1" si="102"/>
        <v>3353341.09025033</v>
      </c>
      <c r="AD135" s="29">
        <f t="shared" ca="1" si="102"/>
        <v>3353341.09025033</v>
      </c>
      <c r="AE135" s="29">
        <f t="shared" ca="1" si="102"/>
        <v>4751736.4509222666</v>
      </c>
      <c r="AF135" s="29">
        <f t="shared" ca="1" si="102"/>
        <v>4751736.4509222666</v>
      </c>
      <c r="AG135" s="29">
        <f t="shared" ca="1" si="102"/>
        <v>4751736.4509222666</v>
      </c>
      <c r="AH135" s="29">
        <f t="shared" ca="1" si="102"/>
        <v>4751736.4509222666</v>
      </c>
      <c r="AI135" s="29">
        <f t="shared" ca="1" si="102"/>
        <v>3862141.1520092217</v>
      </c>
      <c r="AJ135" s="29">
        <f t="shared" ca="1" si="102"/>
        <v>3862141.1520092217</v>
      </c>
      <c r="AK135" s="29">
        <f t="shared" ca="1" si="102"/>
        <v>3862141.1520092217</v>
      </c>
      <c r="AL135" s="29">
        <f t="shared" ca="1" si="102"/>
        <v>3705262.8367425036</v>
      </c>
      <c r="AM135" s="29">
        <f t="shared" si="102"/>
        <v>0</v>
      </c>
      <c r="AN135" s="29">
        <f t="shared" si="102"/>
        <v>0</v>
      </c>
      <c r="AO135" s="29">
        <f t="shared" si="102"/>
        <v>0</v>
      </c>
      <c r="AP135" s="29">
        <f t="shared" si="102"/>
        <v>0</v>
      </c>
      <c r="AQ135" s="29">
        <f t="shared" si="102"/>
        <v>0</v>
      </c>
      <c r="AR135" s="29">
        <f t="shared" si="102"/>
        <v>0</v>
      </c>
      <c r="AS135" s="29">
        <f t="shared" si="102"/>
        <v>0</v>
      </c>
      <c r="AT135" s="29">
        <f t="shared" si="102"/>
        <v>0</v>
      </c>
      <c r="AU135" s="29">
        <f t="shared" si="102"/>
        <v>0</v>
      </c>
      <c r="AV135" s="29">
        <f t="shared" si="102"/>
        <v>0</v>
      </c>
      <c r="AW135" s="29">
        <f t="shared" si="102"/>
        <v>0</v>
      </c>
      <c r="AX135" s="29">
        <f t="shared" si="102"/>
        <v>0</v>
      </c>
      <c r="AY135" s="29">
        <f t="shared" si="102"/>
        <v>0</v>
      </c>
      <c r="AZ135" s="29">
        <f t="shared" si="102"/>
        <v>0</v>
      </c>
      <c r="BA135" s="29">
        <f t="shared" si="102"/>
        <v>0</v>
      </c>
      <c r="BB135" s="29">
        <f t="shared" si="102"/>
        <v>0</v>
      </c>
      <c r="BC135" s="29">
        <f t="shared" si="102"/>
        <v>0</v>
      </c>
      <c r="BD135" s="29">
        <f t="shared" si="102"/>
        <v>0</v>
      </c>
      <c r="BE135" s="29">
        <f t="shared" si="102"/>
        <v>0</v>
      </c>
      <c r="BF135" s="29">
        <f t="shared" si="102"/>
        <v>0</v>
      </c>
      <c r="BG135" s="29">
        <f t="shared" si="102"/>
        <v>0</v>
      </c>
      <c r="BH135" s="29">
        <f t="shared" si="102"/>
        <v>0</v>
      </c>
      <c r="BI135" s="29">
        <f t="shared" si="102"/>
        <v>0</v>
      </c>
      <c r="BJ135" s="29">
        <f t="shared" si="102"/>
        <v>0</v>
      </c>
      <c r="BK135" s="29">
        <f t="shared" si="102"/>
        <v>0</v>
      </c>
      <c r="BL135" s="29">
        <f t="shared" si="102"/>
        <v>0</v>
      </c>
      <c r="BM135" s="29">
        <f t="shared" si="102"/>
        <v>0</v>
      </c>
      <c r="BN135" s="29">
        <f t="shared" si="102"/>
        <v>0</v>
      </c>
      <c r="BO135" s="29">
        <f t="shared" si="102"/>
        <v>0</v>
      </c>
      <c r="BP135" s="29">
        <f t="shared" si="102"/>
        <v>0</v>
      </c>
      <c r="BQ135" s="29">
        <f t="shared" si="102"/>
        <v>0</v>
      </c>
      <c r="BR135" s="29">
        <f t="shared" si="102"/>
        <v>0</v>
      </c>
      <c r="BS135" s="29">
        <f t="shared" si="102"/>
        <v>0</v>
      </c>
      <c r="BT135" s="29">
        <f t="shared" si="102"/>
        <v>0</v>
      </c>
      <c r="BU135" s="29">
        <f t="shared" si="102"/>
        <v>0</v>
      </c>
      <c r="BV135" s="29">
        <f t="shared" si="102"/>
        <v>0</v>
      </c>
      <c r="BW135" s="29">
        <f t="shared" si="102"/>
        <v>0</v>
      </c>
      <c r="BX135" s="29">
        <f t="shared" si="102"/>
        <v>0</v>
      </c>
      <c r="BY135" s="29">
        <f t="shared" si="102"/>
        <v>0</v>
      </c>
      <c r="BZ135" s="29">
        <f t="shared" si="102"/>
        <v>0</v>
      </c>
      <c r="CA135" s="29">
        <f t="shared" si="102"/>
        <v>0</v>
      </c>
      <c r="CB135" s="29">
        <f t="shared" si="102"/>
        <v>0</v>
      </c>
      <c r="CC135" s="29">
        <f t="shared" si="102"/>
        <v>0</v>
      </c>
      <c r="CD135" s="29">
        <f t="shared" si="102"/>
        <v>0</v>
      </c>
      <c r="CE135" s="29">
        <f t="shared" si="102"/>
        <v>0</v>
      </c>
      <c r="CF135" s="29">
        <f t="shared" si="102"/>
        <v>0</v>
      </c>
      <c r="CG135" s="29">
        <f t="shared" si="102"/>
        <v>0</v>
      </c>
      <c r="CH135" s="29">
        <f t="shared" si="102"/>
        <v>0</v>
      </c>
    </row>
    <row r="136" spans="2:86" ht="13" hidden="1" outlineLevel="1">
      <c r="B136" s="84">
        <f t="shared" si="71"/>
        <v>33</v>
      </c>
      <c r="C136" s="64">
        <f t="shared" ca="1" si="69"/>
        <v>0.33766676356444125</v>
      </c>
      <c r="D136" s="15" t="s">
        <v>238</v>
      </c>
      <c r="E136" s="29">
        <f t="shared" ca="1" si="59"/>
        <v>45525878.004905127</v>
      </c>
      <c r="F136" s="29"/>
      <c r="G136" s="29">
        <f t="shared" ref="G136:CH136" ca="1" si="103">IF(G$4&lt;=$B136,ABS(G$31)*-1+G$47,0)+IF($B136=G$4,G$81,0)</f>
        <v>-1444375</v>
      </c>
      <c r="H136" s="29">
        <f t="shared" ca="1" si="103"/>
        <v>-1344375</v>
      </c>
      <c r="I136" s="29">
        <f t="shared" ca="1" si="103"/>
        <v>-1344375</v>
      </c>
      <c r="J136" s="29">
        <f t="shared" ca="1" si="103"/>
        <v>-1344375</v>
      </c>
      <c r="K136" s="29">
        <f t="shared" ca="1" si="103"/>
        <v>-1344375</v>
      </c>
      <c r="L136" s="29">
        <f t="shared" ca="1" si="103"/>
        <v>-1344375</v>
      </c>
      <c r="M136" s="29">
        <f t="shared" ca="1" si="103"/>
        <v>-1344375</v>
      </c>
      <c r="N136" s="29">
        <f t="shared" ca="1" si="103"/>
        <v>-1344375</v>
      </c>
      <c r="O136" s="29">
        <f t="shared" ca="1" si="103"/>
        <v>-1344375</v>
      </c>
      <c r="P136" s="29">
        <f t="shared" ca="1" si="103"/>
        <v>-1344375</v>
      </c>
      <c r="Q136" s="29">
        <f t="shared" ca="1" si="103"/>
        <v>-1344375</v>
      </c>
      <c r="R136" s="29">
        <f t="shared" ca="1" si="103"/>
        <v>-1344375</v>
      </c>
      <c r="S136" s="29">
        <f t="shared" ca="1" si="103"/>
        <v>-291239.58333333279</v>
      </c>
      <c r="T136" s="29">
        <f t="shared" ca="1" si="103"/>
        <v>-291239.58333333279</v>
      </c>
      <c r="U136" s="29">
        <f t="shared" ca="1" si="103"/>
        <v>-291239.58333333279</v>
      </c>
      <c r="V136" s="29">
        <f t="shared" ca="1" si="103"/>
        <v>-291239.58333333279</v>
      </c>
      <c r="W136" s="29">
        <f t="shared" ca="1" si="103"/>
        <v>3825453.1250000005</v>
      </c>
      <c r="X136" s="29">
        <f t="shared" ca="1" si="103"/>
        <v>3678872.2373188408</v>
      </c>
      <c r="Y136" s="29">
        <f t="shared" ca="1" si="103"/>
        <v>3313733.0533596845</v>
      </c>
      <c r="Z136" s="29">
        <f t="shared" ca="1" si="103"/>
        <v>3313733.0533596841</v>
      </c>
      <c r="AA136" s="29">
        <f t="shared" ca="1" si="103"/>
        <v>3353341.0902503296</v>
      </c>
      <c r="AB136" s="29">
        <f t="shared" ca="1" si="103"/>
        <v>3353341.09025033</v>
      </c>
      <c r="AC136" s="29">
        <f t="shared" ca="1" si="103"/>
        <v>3353341.09025033</v>
      </c>
      <c r="AD136" s="29">
        <f t="shared" ca="1" si="103"/>
        <v>3353341.09025033</v>
      </c>
      <c r="AE136" s="29">
        <f t="shared" ca="1" si="103"/>
        <v>4751736.4509222666</v>
      </c>
      <c r="AF136" s="29">
        <f t="shared" ca="1" si="103"/>
        <v>4751736.4509222666</v>
      </c>
      <c r="AG136" s="29">
        <f t="shared" ca="1" si="103"/>
        <v>4751736.4509222666</v>
      </c>
      <c r="AH136" s="29">
        <f t="shared" ca="1" si="103"/>
        <v>4751736.4509222666</v>
      </c>
      <c r="AI136" s="29">
        <f t="shared" ca="1" si="103"/>
        <v>3862141.1520092217</v>
      </c>
      <c r="AJ136" s="29">
        <f t="shared" ca="1" si="103"/>
        <v>3862141.1520092217</v>
      </c>
      <c r="AK136" s="29">
        <f t="shared" ca="1" si="103"/>
        <v>3862141.1520092217</v>
      </c>
      <c r="AL136" s="29">
        <f t="shared" ca="1" si="103"/>
        <v>3862141.1520092217</v>
      </c>
      <c r="AM136" s="29">
        <f t="shared" ca="1" si="103"/>
        <v>922670.0964729893</v>
      </c>
      <c r="AN136" s="29">
        <f t="shared" si="103"/>
        <v>0</v>
      </c>
      <c r="AO136" s="29">
        <f t="shared" si="103"/>
        <v>0</v>
      </c>
      <c r="AP136" s="29">
        <f t="shared" si="103"/>
        <v>0</v>
      </c>
      <c r="AQ136" s="29">
        <f t="shared" si="103"/>
        <v>0</v>
      </c>
      <c r="AR136" s="29">
        <f t="shared" si="103"/>
        <v>0</v>
      </c>
      <c r="AS136" s="29">
        <f t="shared" si="103"/>
        <v>0</v>
      </c>
      <c r="AT136" s="29">
        <f t="shared" si="103"/>
        <v>0</v>
      </c>
      <c r="AU136" s="29">
        <f t="shared" si="103"/>
        <v>0</v>
      </c>
      <c r="AV136" s="29">
        <f t="shared" si="103"/>
        <v>0</v>
      </c>
      <c r="AW136" s="29">
        <f t="shared" si="103"/>
        <v>0</v>
      </c>
      <c r="AX136" s="29">
        <f t="shared" si="103"/>
        <v>0</v>
      </c>
      <c r="AY136" s="29">
        <f t="shared" si="103"/>
        <v>0</v>
      </c>
      <c r="AZ136" s="29">
        <f t="shared" si="103"/>
        <v>0</v>
      </c>
      <c r="BA136" s="29">
        <f t="shared" si="103"/>
        <v>0</v>
      </c>
      <c r="BB136" s="29">
        <f t="shared" si="103"/>
        <v>0</v>
      </c>
      <c r="BC136" s="29">
        <f t="shared" si="103"/>
        <v>0</v>
      </c>
      <c r="BD136" s="29">
        <f t="shared" si="103"/>
        <v>0</v>
      </c>
      <c r="BE136" s="29">
        <f t="shared" si="103"/>
        <v>0</v>
      </c>
      <c r="BF136" s="29">
        <f t="shared" si="103"/>
        <v>0</v>
      </c>
      <c r="BG136" s="29">
        <f t="shared" si="103"/>
        <v>0</v>
      </c>
      <c r="BH136" s="29">
        <f t="shared" si="103"/>
        <v>0</v>
      </c>
      <c r="BI136" s="29">
        <f t="shared" si="103"/>
        <v>0</v>
      </c>
      <c r="BJ136" s="29">
        <f t="shared" si="103"/>
        <v>0</v>
      </c>
      <c r="BK136" s="29">
        <f t="shared" si="103"/>
        <v>0</v>
      </c>
      <c r="BL136" s="29">
        <f t="shared" si="103"/>
        <v>0</v>
      </c>
      <c r="BM136" s="29">
        <f t="shared" si="103"/>
        <v>0</v>
      </c>
      <c r="BN136" s="29">
        <f t="shared" si="103"/>
        <v>0</v>
      </c>
      <c r="BO136" s="29">
        <f t="shared" si="103"/>
        <v>0</v>
      </c>
      <c r="BP136" s="29">
        <f t="shared" si="103"/>
        <v>0</v>
      </c>
      <c r="BQ136" s="29">
        <f t="shared" si="103"/>
        <v>0</v>
      </c>
      <c r="BR136" s="29">
        <f t="shared" si="103"/>
        <v>0</v>
      </c>
      <c r="BS136" s="29">
        <f t="shared" si="103"/>
        <v>0</v>
      </c>
      <c r="BT136" s="29">
        <f t="shared" si="103"/>
        <v>0</v>
      </c>
      <c r="BU136" s="29">
        <f t="shared" si="103"/>
        <v>0</v>
      </c>
      <c r="BV136" s="29">
        <f t="shared" si="103"/>
        <v>0</v>
      </c>
      <c r="BW136" s="29">
        <f t="shared" si="103"/>
        <v>0</v>
      </c>
      <c r="BX136" s="29">
        <f t="shared" si="103"/>
        <v>0</v>
      </c>
      <c r="BY136" s="29">
        <f t="shared" si="103"/>
        <v>0</v>
      </c>
      <c r="BZ136" s="29">
        <f t="shared" si="103"/>
        <v>0</v>
      </c>
      <c r="CA136" s="29">
        <f t="shared" si="103"/>
        <v>0</v>
      </c>
      <c r="CB136" s="29">
        <f t="shared" si="103"/>
        <v>0</v>
      </c>
      <c r="CC136" s="29">
        <f t="shared" si="103"/>
        <v>0</v>
      </c>
      <c r="CD136" s="29">
        <f t="shared" si="103"/>
        <v>0</v>
      </c>
      <c r="CE136" s="29">
        <f t="shared" si="103"/>
        <v>0</v>
      </c>
      <c r="CF136" s="29">
        <f t="shared" si="103"/>
        <v>0</v>
      </c>
      <c r="CG136" s="29">
        <f t="shared" si="103"/>
        <v>0</v>
      </c>
      <c r="CH136" s="29">
        <f t="shared" si="103"/>
        <v>0</v>
      </c>
    </row>
    <row r="137" spans="2:86" ht="13" hidden="1" outlineLevel="1">
      <c r="B137" s="84">
        <f t="shared" si="71"/>
        <v>34</v>
      </c>
      <c r="C137" s="64">
        <f t="shared" ca="1" si="69"/>
        <v>0.34025805356942218</v>
      </c>
      <c r="D137" s="15" t="s">
        <v>238</v>
      </c>
      <c r="E137" s="29">
        <f t="shared" ca="1" si="59"/>
        <v>46599535.447137512</v>
      </c>
      <c r="F137" s="29"/>
      <c r="G137" s="29">
        <f t="shared" ref="G137:CH137" ca="1" si="104">IF(G$4&lt;=$B137,ABS(G$31)*-1+G$47,0)+IF($B137=G$4,G$81,0)</f>
        <v>-1444375</v>
      </c>
      <c r="H137" s="29">
        <f t="shared" ca="1" si="104"/>
        <v>-1344375</v>
      </c>
      <c r="I137" s="29">
        <f t="shared" ca="1" si="104"/>
        <v>-1344375</v>
      </c>
      <c r="J137" s="29">
        <f t="shared" ca="1" si="104"/>
        <v>-1344375</v>
      </c>
      <c r="K137" s="29">
        <f t="shared" ca="1" si="104"/>
        <v>-1344375</v>
      </c>
      <c r="L137" s="29">
        <f t="shared" ca="1" si="104"/>
        <v>-1344375</v>
      </c>
      <c r="M137" s="29">
        <f t="shared" ca="1" si="104"/>
        <v>-1344375</v>
      </c>
      <c r="N137" s="29">
        <f t="shared" ca="1" si="104"/>
        <v>-1344375</v>
      </c>
      <c r="O137" s="29">
        <f t="shared" ca="1" si="104"/>
        <v>-1344375</v>
      </c>
      <c r="P137" s="29">
        <f t="shared" ca="1" si="104"/>
        <v>-1344375</v>
      </c>
      <c r="Q137" s="29">
        <f t="shared" ca="1" si="104"/>
        <v>-1344375</v>
      </c>
      <c r="R137" s="29">
        <f t="shared" ca="1" si="104"/>
        <v>-1344375</v>
      </c>
      <c r="S137" s="29">
        <f t="shared" ca="1" si="104"/>
        <v>-291239.58333333279</v>
      </c>
      <c r="T137" s="29">
        <f t="shared" ca="1" si="104"/>
        <v>-291239.58333333279</v>
      </c>
      <c r="U137" s="29">
        <f t="shared" ca="1" si="104"/>
        <v>-291239.58333333279</v>
      </c>
      <c r="V137" s="29">
        <f t="shared" ca="1" si="104"/>
        <v>-291239.58333333279</v>
      </c>
      <c r="W137" s="29">
        <f t="shared" ca="1" si="104"/>
        <v>3825453.1250000005</v>
      </c>
      <c r="X137" s="29">
        <f t="shared" ca="1" si="104"/>
        <v>3678872.2373188408</v>
      </c>
      <c r="Y137" s="29">
        <f t="shared" ca="1" si="104"/>
        <v>3313733.0533596845</v>
      </c>
      <c r="Z137" s="29">
        <f t="shared" ca="1" si="104"/>
        <v>3313733.0533596841</v>
      </c>
      <c r="AA137" s="29">
        <f t="shared" ca="1" si="104"/>
        <v>3353341.0902503296</v>
      </c>
      <c r="AB137" s="29">
        <f t="shared" ca="1" si="104"/>
        <v>3353341.09025033</v>
      </c>
      <c r="AC137" s="29">
        <f t="shared" ca="1" si="104"/>
        <v>3353341.09025033</v>
      </c>
      <c r="AD137" s="29">
        <f t="shared" ca="1" si="104"/>
        <v>3353341.09025033</v>
      </c>
      <c r="AE137" s="29">
        <f t="shared" ca="1" si="104"/>
        <v>4751736.4509222666</v>
      </c>
      <c r="AF137" s="29">
        <f t="shared" ca="1" si="104"/>
        <v>4751736.4509222666</v>
      </c>
      <c r="AG137" s="29">
        <f t="shared" ca="1" si="104"/>
        <v>4751736.4509222666</v>
      </c>
      <c r="AH137" s="29">
        <f t="shared" ca="1" si="104"/>
        <v>4751736.4509222666</v>
      </c>
      <c r="AI137" s="29">
        <f t="shared" ca="1" si="104"/>
        <v>3862141.1520092217</v>
      </c>
      <c r="AJ137" s="29">
        <f t="shared" ca="1" si="104"/>
        <v>3862141.1520092217</v>
      </c>
      <c r="AK137" s="29">
        <f t="shared" ca="1" si="104"/>
        <v>3862141.1520092217</v>
      </c>
      <c r="AL137" s="29">
        <f t="shared" ca="1" si="104"/>
        <v>3862141.1520092217</v>
      </c>
      <c r="AM137" s="29">
        <f t="shared" ca="1" si="104"/>
        <v>1237915.8843873511</v>
      </c>
      <c r="AN137" s="29">
        <f t="shared" ca="1" si="104"/>
        <v>758411.6543180208</v>
      </c>
      <c r="AO137" s="29">
        <f t="shared" si="104"/>
        <v>0</v>
      </c>
      <c r="AP137" s="29">
        <f t="shared" si="104"/>
        <v>0</v>
      </c>
      <c r="AQ137" s="29">
        <f t="shared" si="104"/>
        <v>0</v>
      </c>
      <c r="AR137" s="29">
        <f t="shared" si="104"/>
        <v>0</v>
      </c>
      <c r="AS137" s="29">
        <f t="shared" si="104"/>
        <v>0</v>
      </c>
      <c r="AT137" s="29">
        <f t="shared" si="104"/>
        <v>0</v>
      </c>
      <c r="AU137" s="29">
        <f t="shared" si="104"/>
        <v>0</v>
      </c>
      <c r="AV137" s="29">
        <f t="shared" si="104"/>
        <v>0</v>
      </c>
      <c r="AW137" s="29">
        <f t="shared" si="104"/>
        <v>0</v>
      </c>
      <c r="AX137" s="29">
        <f t="shared" si="104"/>
        <v>0</v>
      </c>
      <c r="AY137" s="29">
        <f t="shared" si="104"/>
        <v>0</v>
      </c>
      <c r="AZ137" s="29">
        <f t="shared" si="104"/>
        <v>0</v>
      </c>
      <c r="BA137" s="29">
        <f t="shared" si="104"/>
        <v>0</v>
      </c>
      <c r="BB137" s="29">
        <f t="shared" si="104"/>
        <v>0</v>
      </c>
      <c r="BC137" s="29">
        <f t="shared" si="104"/>
        <v>0</v>
      </c>
      <c r="BD137" s="29">
        <f t="shared" si="104"/>
        <v>0</v>
      </c>
      <c r="BE137" s="29">
        <f t="shared" si="104"/>
        <v>0</v>
      </c>
      <c r="BF137" s="29">
        <f t="shared" si="104"/>
        <v>0</v>
      </c>
      <c r="BG137" s="29">
        <f t="shared" si="104"/>
        <v>0</v>
      </c>
      <c r="BH137" s="29">
        <f t="shared" si="104"/>
        <v>0</v>
      </c>
      <c r="BI137" s="29">
        <f t="shared" si="104"/>
        <v>0</v>
      </c>
      <c r="BJ137" s="29">
        <f t="shared" si="104"/>
        <v>0</v>
      </c>
      <c r="BK137" s="29">
        <f t="shared" si="104"/>
        <v>0</v>
      </c>
      <c r="BL137" s="29">
        <f t="shared" si="104"/>
        <v>0</v>
      </c>
      <c r="BM137" s="29">
        <f t="shared" si="104"/>
        <v>0</v>
      </c>
      <c r="BN137" s="29">
        <f t="shared" si="104"/>
        <v>0</v>
      </c>
      <c r="BO137" s="29">
        <f t="shared" si="104"/>
        <v>0</v>
      </c>
      <c r="BP137" s="29">
        <f t="shared" si="104"/>
        <v>0</v>
      </c>
      <c r="BQ137" s="29">
        <f t="shared" si="104"/>
        <v>0</v>
      </c>
      <c r="BR137" s="29">
        <f t="shared" si="104"/>
        <v>0</v>
      </c>
      <c r="BS137" s="29">
        <f t="shared" si="104"/>
        <v>0</v>
      </c>
      <c r="BT137" s="29">
        <f t="shared" si="104"/>
        <v>0</v>
      </c>
      <c r="BU137" s="29">
        <f t="shared" si="104"/>
        <v>0</v>
      </c>
      <c r="BV137" s="29">
        <f t="shared" si="104"/>
        <v>0</v>
      </c>
      <c r="BW137" s="29">
        <f t="shared" si="104"/>
        <v>0</v>
      </c>
      <c r="BX137" s="29">
        <f t="shared" si="104"/>
        <v>0</v>
      </c>
      <c r="BY137" s="29">
        <f t="shared" si="104"/>
        <v>0</v>
      </c>
      <c r="BZ137" s="29">
        <f t="shared" si="104"/>
        <v>0</v>
      </c>
      <c r="CA137" s="29">
        <f t="shared" si="104"/>
        <v>0</v>
      </c>
      <c r="CB137" s="29">
        <f t="shared" si="104"/>
        <v>0</v>
      </c>
      <c r="CC137" s="29">
        <f t="shared" si="104"/>
        <v>0</v>
      </c>
      <c r="CD137" s="29">
        <f t="shared" si="104"/>
        <v>0</v>
      </c>
      <c r="CE137" s="29">
        <f t="shared" si="104"/>
        <v>0</v>
      </c>
      <c r="CF137" s="29">
        <f t="shared" si="104"/>
        <v>0</v>
      </c>
      <c r="CG137" s="29">
        <f t="shared" si="104"/>
        <v>0</v>
      </c>
      <c r="CH137" s="29">
        <f t="shared" si="104"/>
        <v>0</v>
      </c>
    </row>
    <row r="138" spans="2:86" ht="13" hidden="1" outlineLevel="1">
      <c r="B138" s="84">
        <f t="shared" si="71"/>
        <v>35</v>
      </c>
      <c r="C138" s="64">
        <f t="shared" ca="1" si="69"/>
        <v>0.34264249361580235</v>
      </c>
      <c r="D138" s="15" t="s">
        <v>238</v>
      </c>
      <c r="E138" s="29">
        <f t="shared" ca="1" si="59"/>
        <v>47667301.919862568</v>
      </c>
      <c r="F138" s="29"/>
      <c r="G138" s="29">
        <f t="shared" ref="G138:CH138" ca="1" si="105">IF(G$4&lt;=$B138,ABS(G$31)*-1+G$47,0)+IF($B138=G$4,G$81,0)</f>
        <v>-1444375</v>
      </c>
      <c r="H138" s="29">
        <f t="shared" ca="1" si="105"/>
        <v>-1344375</v>
      </c>
      <c r="I138" s="29">
        <f t="shared" ca="1" si="105"/>
        <v>-1344375</v>
      </c>
      <c r="J138" s="29">
        <f t="shared" ca="1" si="105"/>
        <v>-1344375</v>
      </c>
      <c r="K138" s="29">
        <f t="shared" ca="1" si="105"/>
        <v>-1344375</v>
      </c>
      <c r="L138" s="29">
        <f t="shared" ca="1" si="105"/>
        <v>-1344375</v>
      </c>
      <c r="M138" s="29">
        <f t="shared" ca="1" si="105"/>
        <v>-1344375</v>
      </c>
      <c r="N138" s="29">
        <f t="shared" ca="1" si="105"/>
        <v>-1344375</v>
      </c>
      <c r="O138" s="29">
        <f t="shared" ca="1" si="105"/>
        <v>-1344375</v>
      </c>
      <c r="P138" s="29">
        <f t="shared" ca="1" si="105"/>
        <v>-1344375</v>
      </c>
      <c r="Q138" s="29">
        <f t="shared" ca="1" si="105"/>
        <v>-1344375</v>
      </c>
      <c r="R138" s="29">
        <f t="shared" ca="1" si="105"/>
        <v>-1344375</v>
      </c>
      <c r="S138" s="29">
        <f t="shared" ca="1" si="105"/>
        <v>-291239.58333333279</v>
      </c>
      <c r="T138" s="29">
        <f t="shared" ca="1" si="105"/>
        <v>-291239.58333333279</v>
      </c>
      <c r="U138" s="29">
        <f t="shared" ca="1" si="105"/>
        <v>-291239.58333333279</v>
      </c>
      <c r="V138" s="29">
        <f t="shared" ca="1" si="105"/>
        <v>-291239.58333333279</v>
      </c>
      <c r="W138" s="29">
        <f t="shared" ca="1" si="105"/>
        <v>3825453.1250000005</v>
      </c>
      <c r="X138" s="29">
        <f t="shared" ca="1" si="105"/>
        <v>3678872.2373188408</v>
      </c>
      <c r="Y138" s="29">
        <f t="shared" ca="1" si="105"/>
        <v>3313733.0533596845</v>
      </c>
      <c r="Z138" s="29">
        <f t="shared" ca="1" si="105"/>
        <v>3313733.0533596841</v>
      </c>
      <c r="AA138" s="29">
        <f t="shared" ca="1" si="105"/>
        <v>3353341.0902503296</v>
      </c>
      <c r="AB138" s="29">
        <f t="shared" ca="1" si="105"/>
        <v>3353341.09025033</v>
      </c>
      <c r="AC138" s="29">
        <f t="shared" ca="1" si="105"/>
        <v>3353341.09025033</v>
      </c>
      <c r="AD138" s="29">
        <f t="shared" ca="1" si="105"/>
        <v>3353341.09025033</v>
      </c>
      <c r="AE138" s="29">
        <f t="shared" ca="1" si="105"/>
        <v>4751736.4509222666</v>
      </c>
      <c r="AF138" s="29">
        <f t="shared" ca="1" si="105"/>
        <v>4751736.4509222666</v>
      </c>
      <c r="AG138" s="29">
        <f t="shared" ca="1" si="105"/>
        <v>4751736.4509222666</v>
      </c>
      <c r="AH138" s="29">
        <f t="shared" ca="1" si="105"/>
        <v>4751736.4509222666</v>
      </c>
      <c r="AI138" s="29">
        <f t="shared" ca="1" si="105"/>
        <v>3862141.1520092217</v>
      </c>
      <c r="AJ138" s="29">
        <f t="shared" ca="1" si="105"/>
        <v>3862141.1520092217</v>
      </c>
      <c r="AK138" s="29">
        <f t="shared" ca="1" si="105"/>
        <v>3862141.1520092217</v>
      </c>
      <c r="AL138" s="29">
        <f t="shared" ca="1" si="105"/>
        <v>3862141.1520092217</v>
      </c>
      <c r="AM138" s="29">
        <f t="shared" ca="1" si="105"/>
        <v>1237915.8843873511</v>
      </c>
      <c r="AN138" s="29">
        <f t="shared" ca="1" si="105"/>
        <v>1237915.8843873511</v>
      </c>
      <c r="AO138" s="29">
        <f t="shared" ca="1" si="105"/>
        <v>588262.24265572778</v>
      </c>
      <c r="AP138" s="29">
        <f t="shared" si="105"/>
        <v>0</v>
      </c>
      <c r="AQ138" s="29">
        <f t="shared" si="105"/>
        <v>0</v>
      </c>
      <c r="AR138" s="29">
        <f t="shared" si="105"/>
        <v>0</v>
      </c>
      <c r="AS138" s="29">
        <f t="shared" si="105"/>
        <v>0</v>
      </c>
      <c r="AT138" s="29">
        <f t="shared" si="105"/>
        <v>0</v>
      </c>
      <c r="AU138" s="29">
        <f t="shared" si="105"/>
        <v>0</v>
      </c>
      <c r="AV138" s="29">
        <f t="shared" si="105"/>
        <v>0</v>
      </c>
      <c r="AW138" s="29">
        <f t="shared" si="105"/>
        <v>0</v>
      </c>
      <c r="AX138" s="29">
        <f t="shared" si="105"/>
        <v>0</v>
      </c>
      <c r="AY138" s="29">
        <f t="shared" si="105"/>
        <v>0</v>
      </c>
      <c r="AZ138" s="29">
        <f t="shared" si="105"/>
        <v>0</v>
      </c>
      <c r="BA138" s="29">
        <f t="shared" si="105"/>
        <v>0</v>
      </c>
      <c r="BB138" s="29">
        <f t="shared" si="105"/>
        <v>0</v>
      </c>
      <c r="BC138" s="29">
        <f t="shared" si="105"/>
        <v>0</v>
      </c>
      <c r="BD138" s="29">
        <f t="shared" si="105"/>
        <v>0</v>
      </c>
      <c r="BE138" s="29">
        <f t="shared" si="105"/>
        <v>0</v>
      </c>
      <c r="BF138" s="29">
        <f t="shared" si="105"/>
        <v>0</v>
      </c>
      <c r="BG138" s="29">
        <f t="shared" si="105"/>
        <v>0</v>
      </c>
      <c r="BH138" s="29">
        <f t="shared" si="105"/>
        <v>0</v>
      </c>
      <c r="BI138" s="29">
        <f t="shared" si="105"/>
        <v>0</v>
      </c>
      <c r="BJ138" s="29">
        <f t="shared" si="105"/>
        <v>0</v>
      </c>
      <c r="BK138" s="29">
        <f t="shared" si="105"/>
        <v>0</v>
      </c>
      <c r="BL138" s="29">
        <f t="shared" si="105"/>
        <v>0</v>
      </c>
      <c r="BM138" s="29">
        <f t="shared" si="105"/>
        <v>0</v>
      </c>
      <c r="BN138" s="29">
        <f t="shared" si="105"/>
        <v>0</v>
      </c>
      <c r="BO138" s="29">
        <f t="shared" si="105"/>
        <v>0</v>
      </c>
      <c r="BP138" s="29">
        <f t="shared" si="105"/>
        <v>0</v>
      </c>
      <c r="BQ138" s="29">
        <f t="shared" si="105"/>
        <v>0</v>
      </c>
      <c r="BR138" s="29">
        <f t="shared" si="105"/>
        <v>0</v>
      </c>
      <c r="BS138" s="29">
        <f t="shared" si="105"/>
        <v>0</v>
      </c>
      <c r="BT138" s="29">
        <f t="shared" si="105"/>
        <v>0</v>
      </c>
      <c r="BU138" s="29">
        <f t="shared" si="105"/>
        <v>0</v>
      </c>
      <c r="BV138" s="29">
        <f t="shared" si="105"/>
        <v>0</v>
      </c>
      <c r="BW138" s="29">
        <f t="shared" si="105"/>
        <v>0</v>
      </c>
      <c r="BX138" s="29">
        <f t="shared" si="105"/>
        <v>0</v>
      </c>
      <c r="BY138" s="29">
        <f t="shared" si="105"/>
        <v>0</v>
      </c>
      <c r="BZ138" s="29">
        <f t="shared" si="105"/>
        <v>0</v>
      </c>
      <c r="CA138" s="29">
        <f t="shared" si="105"/>
        <v>0</v>
      </c>
      <c r="CB138" s="29">
        <f t="shared" si="105"/>
        <v>0</v>
      </c>
      <c r="CC138" s="29">
        <f t="shared" si="105"/>
        <v>0</v>
      </c>
      <c r="CD138" s="29">
        <f t="shared" si="105"/>
        <v>0</v>
      </c>
      <c r="CE138" s="29">
        <f t="shared" si="105"/>
        <v>0</v>
      </c>
      <c r="CF138" s="29">
        <f t="shared" si="105"/>
        <v>0</v>
      </c>
      <c r="CG138" s="29">
        <f t="shared" si="105"/>
        <v>0</v>
      </c>
      <c r="CH138" s="29">
        <f t="shared" si="105"/>
        <v>0</v>
      </c>
    </row>
    <row r="139" spans="2:86" ht="13" hidden="1" outlineLevel="1">
      <c r="B139" s="84">
        <f t="shared" si="71"/>
        <v>36</v>
      </c>
      <c r="C139" s="64">
        <f t="shared" ca="1" si="69"/>
        <v>0.34483796053246296</v>
      </c>
      <c r="D139" s="15" t="s">
        <v>238</v>
      </c>
      <c r="E139" s="29">
        <f t="shared" ca="1" si="59"/>
        <v>48729177.423080303</v>
      </c>
      <c r="F139" s="29"/>
      <c r="G139" s="29">
        <f t="shared" ref="G139:CH139" ca="1" si="106">IF(G$4&lt;=$B139,ABS(G$31)*-1+G$47,0)+IF($B139=G$4,G$81,0)</f>
        <v>-1444375</v>
      </c>
      <c r="H139" s="29">
        <f t="shared" ca="1" si="106"/>
        <v>-1344375</v>
      </c>
      <c r="I139" s="29">
        <f t="shared" ca="1" si="106"/>
        <v>-1344375</v>
      </c>
      <c r="J139" s="29">
        <f t="shared" ca="1" si="106"/>
        <v>-1344375</v>
      </c>
      <c r="K139" s="29">
        <f t="shared" ca="1" si="106"/>
        <v>-1344375</v>
      </c>
      <c r="L139" s="29">
        <f t="shared" ca="1" si="106"/>
        <v>-1344375</v>
      </c>
      <c r="M139" s="29">
        <f t="shared" ca="1" si="106"/>
        <v>-1344375</v>
      </c>
      <c r="N139" s="29">
        <f t="shared" ca="1" si="106"/>
        <v>-1344375</v>
      </c>
      <c r="O139" s="29">
        <f t="shared" ca="1" si="106"/>
        <v>-1344375</v>
      </c>
      <c r="P139" s="29">
        <f t="shared" ca="1" si="106"/>
        <v>-1344375</v>
      </c>
      <c r="Q139" s="29">
        <f t="shared" ca="1" si="106"/>
        <v>-1344375</v>
      </c>
      <c r="R139" s="29">
        <f t="shared" ca="1" si="106"/>
        <v>-1344375</v>
      </c>
      <c r="S139" s="29">
        <f t="shared" ca="1" si="106"/>
        <v>-291239.58333333279</v>
      </c>
      <c r="T139" s="29">
        <f t="shared" ca="1" si="106"/>
        <v>-291239.58333333279</v>
      </c>
      <c r="U139" s="29">
        <f t="shared" ca="1" si="106"/>
        <v>-291239.58333333279</v>
      </c>
      <c r="V139" s="29">
        <f t="shared" ca="1" si="106"/>
        <v>-291239.58333333279</v>
      </c>
      <c r="W139" s="29">
        <f t="shared" ca="1" si="106"/>
        <v>3825453.1250000005</v>
      </c>
      <c r="X139" s="29">
        <f t="shared" ca="1" si="106"/>
        <v>3678872.2373188408</v>
      </c>
      <c r="Y139" s="29">
        <f t="shared" ca="1" si="106"/>
        <v>3313733.0533596845</v>
      </c>
      <c r="Z139" s="29">
        <f t="shared" ca="1" si="106"/>
        <v>3313733.0533596841</v>
      </c>
      <c r="AA139" s="29">
        <f t="shared" ca="1" si="106"/>
        <v>3353341.0902503296</v>
      </c>
      <c r="AB139" s="29">
        <f t="shared" ca="1" si="106"/>
        <v>3353341.09025033</v>
      </c>
      <c r="AC139" s="29">
        <f t="shared" ca="1" si="106"/>
        <v>3353341.09025033</v>
      </c>
      <c r="AD139" s="29">
        <f t="shared" ca="1" si="106"/>
        <v>3353341.09025033</v>
      </c>
      <c r="AE139" s="29">
        <f t="shared" ca="1" si="106"/>
        <v>4751736.4509222666</v>
      </c>
      <c r="AF139" s="29">
        <f t="shared" ca="1" si="106"/>
        <v>4751736.4509222666</v>
      </c>
      <c r="AG139" s="29">
        <f t="shared" ca="1" si="106"/>
        <v>4751736.4509222666</v>
      </c>
      <c r="AH139" s="29">
        <f t="shared" ca="1" si="106"/>
        <v>4751736.4509222666</v>
      </c>
      <c r="AI139" s="29">
        <f t="shared" ca="1" si="106"/>
        <v>3862141.1520092217</v>
      </c>
      <c r="AJ139" s="29">
        <f t="shared" ca="1" si="106"/>
        <v>3862141.1520092217</v>
      </c>
      <c r="AK139" s="29">
        <f t="shared" ca="1" si="106"/>
        <v>3862141.1520092217</v>
      </c>
      <c r="AL139" s="29">
        <f t="shared" ca="1" si="106"/>
        <v>3862141.1520092217</v>
      </c>
      <c r="AM139" s="29">
        <f t="shared" ca="1" si="106"/>
        <v>1237915.8843873511</v>
      </c>
      <c r="AN139" s="29">
        <f t="shared" ca="1" si="106"/>
        <v>1237915.8843873511</v>
      </c>
      <c r="AO139" s="29">
        <f t="shared" ca="1" si="106"/>
        <v>1237915.8843873511</v>
      </c>
      <c r="AP139" s="29">
        <f t="shared" ca="1" si="106"/>
        <v>412221.86148611014</v>
      </c>
      <c r="AQ139" s="29">
        <f t="shared" si="106"/>
        <v>0</v>
      </c>
      <c r="AR139" s="29">
        <f t="shared" si="106"/>
        <v>0</v>
      </c>
      <c r="AS139" s="29">
        <f t="shared" si="106"/>
        <v>0</v>
      </c>
      <c r="AT139" s="29">
        <f t="shared" si="106"/>
        <v>0</v>
      </c>
      <c r="AU139" s="29">
        <f t="shared" si="106"/>
        <v>0</v>
      </c>
      <c r="AV139" s="29">
        <f t="shared" si="106"/>
        <v>0</v>
      </c>
      <c r="AW139" s="29">
        <f t="shared" si="106"/>
        <v>0</v>
      </c>
      <c r="AX139" s="29">
        <f t="shared" si="106"/>
        <v>0</v>
      </c>
      <c r="AY139" s="29">
        <f t="shared" si="106"/>
        <v>0</v>
      </c>
      <c r="AZ139" s="29">
        <f t="shared" si="106"/>
        <v>0</v>
      </c>
      <c r="BA139" s="29">
        <f t="shared" si="106"/>
        <v>0</v>
      </c>
      <c r="BB139" s="29">
        <f t="shared" si="106"/>
        <v>0</v>
      </c>
      <c r="BC139" s="29">
        <f t="shared" si="106"/>
        <v>0</v>
      </c>
      <c r="BD139" s="29">
        <f t="shared" si="106"/>
        <v>0</v>
      </c>
      <c r="BE139" s="29">
        <f t="shared" si="106"/>
        <v>0</v>
      </c>
      <c r="BF139" s="29">
        <f t="shared" si="106"/>
        <v>0</v>
      </c>
      <c r="BG139" s="29">
        <f t="shared" si="106"/>
        <v>0</v>
      </c>
      <c r="BH139" s="29">
        <f t="shared" si="106"/>
        <v>0</v>
      </c>
      <c r="BI139" s="29">
        <f t="shared" si="106"/>
        <v>0</v>
      </c>
      <c r="BJ139" s="29">
        <f t="shared" si="106"/>
        <v>0</v>
      </c>
      <c r="BK139" s="29">
        <f t="shared" si="106"/>
        <v>0</v>
      </c>
      <c r="BL139" s="29">
        <f t="shared" si="106"/>
        <v>0</v>
      </c>
      <c r="BM139" s="29">
        <f t="shared" si="106"/>
        <v>0</v>
      </c>
      <c r="BN139" s="29">
        <f t="shared" si="106"/>
        <v>0</v>
      </c>
      <c r="BO139" s="29">
        <f t="shared" si="106"/>
        <v>0</v>
      </c>
      <c r="BP139" s="29">
        <f t="shared" si="106"/>
        <v>0</v>
      </c>
      <c r="BQ139" s="29">
        <f t="shared" si="106"/>
        <v>0</v>
      </c>
      <c r="BR139" s="29">
        <f t="shared" si="106"/>
        <v>0</v>
      </c>
      <c r="BS139" s="29">
        <f t="shared" si="106"/>
        <v>0</v>
      </c>
      <c r="BT139" s="29">
        <f t="shared" si="106"/>
        <v>0</v>
      </c>
      <c r="BU139" s="29">
        <f t="shared" si="106"/>
        <v>0</v>
      </c>
      <c r="BV139" s="29">
        <f t="shared" si="106"/>
        <v>0</v>
      </c>
      <c r="BW139" s="29">
        <f t="shared" si="106"/>
        <v>0</v>
      </c>
      <c r="BX139" s="29">
        <f t="shared" si="106"/>
        <v>0</v>
      </c>
      <c r="BY139" s="29">
        <f t="shared" si="106"/>
        <v>0</v>
      </c>
      <c r="BZ139" s="29">
        <f t="shared" si="106"/>
        <v>0</v>
      </c>
      <c r="CA139" s="29">
        <f t="shared" si="106"/>
        <v>0</v>
      </c>
      <c r="CB139" s="29">
        <f t="shared" si="106"/>
        <v>0</v>
      </c>
      <c r="CC139" s="29">
        <f t="shared" si="106"/>
        <v>0</v>
      </c>
      <c r="CD139" s="29">
        <f t="shared" si="106"/>
        <v>0</v>
      </c>
      <c r="CE139" s="29">
        <f t="shared" si="106"/>
        <v>0</v>
      </c>
      <c r="CF139" s="29">
        <f t="shared" si="106"/>
        <v>0</v>
      </c>
      <c r="CG139" s="29">
        <f t="shared" si="106"/>
        <v>0</v>
      </c>
      <c r="CH139" s="29">
        <f t="shared" si="106"/>
        <v>0</v>
      </c>
    </row>
    <row r="140" spans="2:86" ht="13" hidden="1" outlineLevel="1">
      <c r="B140" s="84">
        <f t="shared" si="71"/>
        <v>37</v>
      </c>
      <c r="C140" s="64">
        <f t="shared" ca="1" si="69"/>
        <v>0.34731404989232262</v>
      </c>
      <c r="D140" s="15" t="s">
        <v>238</v>
      </c>
      <c r="E140" s="29">
        <f t="shared" ca="1" si="59"/>
        <v>50038351.072358578</v>
      </c>
      <c r="F140" s="29"/>
      <c r="G140" s="29">
        <f t="shared" ref="G140:CH140" ca="1" si="107">IF(G$4&lt;=$B140,ABS(G$31)*-1+G$47,0)+IF($B140=G$4,G$81,0)</f>
        <v>-1444375</v>
      </c>
      <c r="H140" s="29">
        <f t="shared" ca="1" si="107"/>
        <v>-1344375</v>
      </c>
      <c r="I140" s="29">
        <f t="shared" ca="1" si="107"/>
        <v>-1344375</v>
      </c>
      <c r="J140" s="29">
        <f t="shared" ca="1" si="107"/>
        <v>-1344375</v>
      </c>
      <c r="K140" s="29">
        <f t="shared" ca="1" si="107"/>
        <v>-1344375</v>
      </c>
      <c r="L140" s="29">
        <f t="shared" ca="1" si="107"/>
        <v>-1344375</v>
      </c>
      <c r="M140" s="29">
        <f t="shared" ca="1" si="107"/>
        <v>-1344375</v>
      </c>
      <c r="N140" s="29">
        <f t="shared" ca="1" si="107"/>
        <v>-1344375</v>
      </c>
      <c r="O140" s="29">
        <f t="shared" ca="1" si="107"/>
        <v>-1344375</v>
      </c>
      <c r="P140" s="29">
        <f t="shared" ca="1" si="107"/>
        <v>-1344375</v>
      </c>
      <c r="Q140" s="29">
        <f t="shared" ca="1" si="107"/>
        <v>-1344375</v>
      </c>
      <c r="R140" s="29">
        <f t="shared" ca="1" si="107"/>
        <v>-1344375</v>
      </c>
      <c r="S140" s="29">
        <f t="shared" ca="1" si="107"/>
        <v>-291239.58333333279</v>
      </c>
      <c r="T140" s="29">
        <f t="shared" ca="1" si="107"/>
        <v>-291239.58333333279</v>
      </c>
      <c r="U140" s="29">
        <f t="shared" ca="1" si="107"/>
        <v>-291239.58333333279</v>
      </c>
      <c r="V140" s="29">
        <f t="shared" ca="1" si="107"/>
        <v>-291239.58333333279</v>
      </c>
      <c r="W140" s="29">
        <f t="shared" ca="1" si="107"/>
        <v>3825453.1250000005</v>
      </c>
      <c r="X140" s="29">
        <f t="shared" ca="1" si="107"/>
        <v>3678872.2373188408</v>
      </c>
      <c r="Y140" s="29">
        <f t="shared" ca="1" si="107"/>
        <v>3313733.0533596845</v>
      </c>
      <c r="Z140" s="29">
        <f t="shared" ca="1" si="107"/>
        <v>3313733.0533596841</v>
      </c>
      <c r="AA140" s="29">
        <f t="shared" ca="1" si="107"/>
        <v>3353341.0902503296</v>
      </c>
      <c r="AB140" s="29">
        <f t="shared" ca="1" si="107"/>
        <v>3353341.09025033</v>
      </c>
      <c r="AC140" s="29">
        <f t="shared" ca="1" si="107"/>
        <v>3353341.09025033</v>
      </c>
      <c r="AD140" s="29">
        <f t="shared" ca="1" si="107"/>
        <v>3353341.09025033</v>
      </c>
      <c r="AE140" s="29">
        <f t="shared" ca="1" si="107"/>
        <v>4751736.4509222666</v>
      </c>
      <c r="AF140" s="29">
        <f t="shared" ca="1" si="107"/>
        <v>4751736.4509222666</v>
      </c>
      <c r="AG140" s="29">
        <f t="shared" ca="1" si="107"/>
        <v>4751736.4509222666</v>
      </c>
      <c r="AH140" s="29">
        <f t="shared" ca="1" si="107"/>
        <v>4751736.4509222666</v>
      </c>
      <c r="AI140" s="29">
        <f t="shared" ca="1" si="107"/>
        <v>3862141.1520092217</v>
      </c>
      <c r="AJ140" s="29">
        <f t="shared" ca="1" si="107"/>
        <v>3862141.1520092217</v>
      </c>
      <c r="AK140" s="29">
        <f t="shared" ca="1" si="107"/>
        <v>3862141.1520092217</v>
      </c>
      <c r="AL140" s="29">
        <f t="shared" ca="1" si="107"/>
        <v>3862141.1520092217</v>
      </c>
      <c r="AM140" s="29">
        <f t="shared" ca="1" si="107"/>
        <v>1237915.8843873511</v>
      </c>
      <c r="AN140" s="29">
        <f t="shared" ca="1" si="107"/>
        <v>1237915.8843873511</v>
      </c>
      <c r="AO140" s="29">
        <f t="shared" ca="1" si="107"/>
        <v>1237915.8843873511</v>
      </c>
      <c r="AP140" s="29">
        <f t="shared" ca="1" si="107"/>
        <v>1237915.8843873511</v>
      </c>
      <c r="AQ140" s="29">
        <f t="shared" ca="1" si="107"/>
        <v>483479.62637703307</v>
      </c>
      <c r="AR140" s="29">
        <f t="shared" si="107"/>
        <v>0</v>
      </c>
      <c r="AS140" s="29">
        <f t="shared" si="107"/>
        <v>0</v>
      </c>
      <c r="AT140" s="29">
        <f t="shared" si="107"/>
        <v>0</v>
      </c>
      <c r="AU140" s="29">
        <f t="shared" si="107"/>
        <v>0</v>
      </c>
      <c r="AV140" s="29">
        <f t="shared" si="107"/>
        <v>0</v>
      </c>
      <c r="AW140" s="29">
        <f t="shared" si="107"/>
        <v>0</v>
      </c>
      <c r="AX140" s="29">
        <f t="shared" si="107"/>
        <v>0</v>
      </c>
      <c r="AY140" s="29">
        <f t="shared" si="107"/>
        <v>0</v>
      </c>
      <c r="AZ140" s="29">
        <f t="shared" si="107"/>
        <v>0</v>
      </c>
      <c r="BA140" s="29">
        <f t="shared" si="107"/>
        <v>0</v>
      </c>
      <c r="BB140" s="29">
        <f t="shared" si="107"/>
        <v>0</v>
      </c>
      <c r="BC140" s="29">
        <f t="shared" si="107"/>
        <v>0</v>
      </c>
      <c r="BD140" s="29">
        <f t="shared" si="107"/>
        <v>0</v>
      </c>
      <c r="BE140" s="29">
        <f t="shared" si="107"/>
        <v>0</v>
      </c>
      <c r="BF140" s="29">
        <f t="shared" si="107"/>
        <v>0</v>
      </c>
      <c r="BG140" s="29">
        <f t="shared" si="107"/>
        <v>0</v>
      </c>
      <c r="BH140" s="29">
        <f t="shared" si="107"/>
        <v>0</v>
      </c>
      <c r="BI140" s="29">
        <f t="shared" si="107"/>
        <v>0</v>
      </c>
      <c r="BJ140" s="29">
        <f t="shared" si="107"/>
        <v>0</v>
      </c>
      <c r="BK140" s="29">
        <f t="shared" si="107"/>
        <v>0</v>
      </c>
      <c r="BL140" s="29">
        <f t="shared" si="107"/>
        <v>0</v>
      </c>
      <c r="BM140" s="29">
        <f t="shared" si="107"/>
        <v>0</v>
      </c>
      <c r="BN140" s="29">
        <f t="shared" si="107"/>
        <v>0</v>
      </c>
      <c r="BO140" s="29">
        <f t="shared" si="107"/>
        <v>0</v>
      </c>
      <c r="BP140" s="29">
        <f t="shared" si="107"/>
        <v>0</v>
      </c>
      <c r="BQ140" s="29">
        <f t="shared" si="107"/>
        <v>0</v>
      </c>
      <c r="BR140" s="29">
        <f t="shared" si="107"/>
        <v>0</v>
      </c>
      <c r="BS140" s="29">
        <f t="shared" si="107"/>
        <v>0</v>
      </c>
      <c r="BT140" s="29">
        <f t="shared" si="107"/>
        <v>0</v>
      </c>
      <c r="BU140" s="29">
        <f t="shared" si="107"/>
        <v>0</v>
      </c>
      <c r="BV140" s="29">
        <f t="shared" si="107"/>
        <v>0</v>
      </c>
      <c r="BW140" s="29">
        <f t="shared" si="107"/>
        <v>0</v>
      </c>
      <c r="BX140" s="29">
        <f t="shared" si="107"/>
        <v>0</v>
      </c>
      <c r="BY140" s="29">
        <f t="shared" si="107"/>
        <v>0</v>
      </c>
      <c r="BZ140" s="29">
        <f t="shared" si="107"/>
        <v>0</v>
      </c>
      <c r="CA140" s="29">
        <f t="shared" si="107"/>
        <v>0</v>
      </c>
      <c r="CB140" s="29">
        <f t="shared" si="107"/>
        <v>0</v>
      </c>
      <c r="CC140" s="29">
        <f t="shared" si="107"/>
        <v>0</v>
      </c>
      <c r="CD140" s="29">
        <f t="shared" si="107"/>
        <v>0</v>
      </c>
      <c r="CE140" s="29">
        <f t="shared" si="107"/>
        <v>0</v>
      </c>
      <c r="CF140" s="29">
        <f t="shared" si="107"/>
        <v>0</v>
      </c>
      <c r="CG140" s="29">
        <f t="shared" si="107"/>
        <v>0</v>
      </c>
      <c r="CH140" s="29">
        <f t="shared" si="107"/>
        <v>0</v>
      </c>
    </row>
    <row r="141" spans="2:86" ht="13" hidden="1" outlineLevel="1">
      <c r="B141" s="84">
        <f t="shared" si="71"/>
        <v>38</v>
      </c>
      <c r="C141" s="64">
        <f t="shared" ca="1" si="69"/>
        <v>0.34958998325731727</v>
      </c>
      <c r="D141" s="15" t="s">
        <v>238</v>
      </c>
      <c r="E141" s="29">
        <f t="shared" ca="1" si="59"/>
        <v>51340357.375402942</v>
      </c>
      <c r="F141" s="29"/>
      <c r="G141" s="29">
        <f t="shared" ref="G141:CH141" ca="1" si="108">IF(G$4&lt;=$B141,ABS(G$31)*-1+G$47,0)+IF($B141=G$4,G$81,0)</f>
        <v>-1444375</v>
      </c>
      <c r="H141" s="29">
        <f t="shared" ca="1" si="108"/>
        <v>-1344375</v>
      </c>
      <c r="I141" s="29">
        <f t="shared" ca="1" si="108"/>
        <v>-1344375</v>
      </c>
      <c r="J141" s="29">
        <f t="shared" ca="1" si="108"/>
        <v>-1344375</v>
      </c>
      <c r="K141" s="29">
        <f t="shared" ca="1" si="108"/>
        <v>-1344375</v>
      </c>
      <c r="L141" s="29">
        <f t="shared" ca="1" si="108"/>
        <v>-1344375</v>
      </c>
      <c r="M141" s="29">
        <f t="shared" ca="1" si="108"/>
        <v>-1344375</v>
      </c>
      <c r="N141" s="29">
        <f t="shared" ca="1" si="108"/>
        <v>-1344375</v>
      </c>
      <c r="O141" s="29">
        <f t="shared" ca="1" si="108"/>
        <v>-1344375</v>
      </c>
      <c r="P141" s="29">
        <f t="shared" ca="1" si="108"/>
        <v>-1344375</v>
      </c>
      <c r="Q141" s="29">
        <f t="shared" ca="1" si="108"/>
        <v>-1344375</v>
      </c>
      <c r="R141" s="29">
        <f t="shared" ca="1" si="108"/>
        <v>-1344375</v>
      </c>
      <c r="S141" s="29">
        <f t="shared" ca="1" si="108"/>
        <v>-291239.58333333279</v>
      </c>
      <c r="T141" s="29">
        <f t="shared" ca="1" si="108"/>
        <v>-291239.58333333279</v>
      </c>
      <c r="U141" s="29">
        <f t="shared" ca="1" si="108"/>
        <v>-291239.58333333279</v>
      </c>
      <c r="V141" s="29">
        <f t="shared" ca="1" si="108"/>
        <v>-291239.58333333279</v>
      </c>
      <c r="W141" s="29">
        <f t="shared" ca="1" si="108"/>
        <v>3825453.1250000005</v>
      </c>
      <c r="X141" s="29">
        <f t="shared" ca="1" si="108"/>
        <v>3678872.2373188408</v>
      </c>
      <c r="Y141" s="29">
        <f t="shared" ca="1" si="108"/>
        <v>3313733.0533596845</v>
      </c>
      <c r="Z141" s="29">
        <f t="shared" ca="1" si="108"/>
        <v>3313733.0533596841</v>
      </c>
      <c r="AA141" s="29">
        <f t="shared" ca="1" si="108"/>
        <v>3353341.0902503296</v>
      </c>
      <c r="AB141" s="29">
        <f t="shared" ca="1" si="108"/>
        <v>3353341.09025033</v>
      </c>
      <c r="AC141" s="29">
        <f t="shared" ca="1" si="108"/>
        <v>3353341.09025033</v>
      </c>
      <c r="AD141" s="29">
        <f t="shared" ca="1" si="108"/>
        <v>3353341.09025033</v>
      </c>
      <c r="AE141" s="29">
        <f t="shared" ca="1" si="108"/>
        <v>4751736.4509222666</v>
      </c>
      <c r="AF141" s="29">
        <f t="shared" ca="1" si="108"/>
        <v>4751736.4509222666</v>
      </c>
      <c r="AG141" s="29">
        <f t="shared" ca="1" si="108"/>
        <v>4751736.4509222666</v>
      </c>
      <c r="AH141" s="29">
        <f t="shared" ca="1" si="108"/>
        <v>4751736.4509222666</v>
      </c>
      <c r="AI141" s="29">
        <f t="shared" ca="1" si="108"/>
        <v>3862141.1520092217</v>
      </c>
      <c r="AJ141" s="29">
        <f t="shared" ca="1" si="108"/>
        <v>3862141.1520092217</v>
      </c>
      <c r="AK141" s="29">
        <f t="shared" ca="1" si="108"/>
        <v>3862141.1520092217</v>
      </c>
      <c r="AL141" s="29">
        <f t="shared" ca="1" si="108"/>
        <v>3862141.1520092217</v>
      </c>
      <c r="AM141" s="29">
        <f t="shared" ca="1" si="108"/>
        <v>1237915.8843873511</v>
      </c>
      <c r="AN141" s="29">
        <f t="shared" ca="1" si="108"/>
        <v>1237915.8843873511</v>
      </c>
      <c r="AO141" s="29">
        <f t="shared" ca="1" si="108"/>
        <v>1237915.8843873511</v>
      </c>
      <c r="AP141" s="29">
        <f t="shared" ca="1" si="108"/>
        <v>1237915.8843873511</v>
      </c>
      <c r="AQ141" s="29">
        <f t="shared" ca="1" si="108"/>
        <v>1536735.1593379439</v>
      </c>
      <c r="AR141" s="29">
        <f t="shared" ca="1" si="108"/>
        <v>248750.77008345164</v>
      </c>
      <c r="AS141" s="29">
        <f t="shared" si="108"/>
        <v>0</v>
      </c>
      <c r="AT141" s="29">
        <f t="shared" si="108"/>
        <v>0</v>
      </c>
      <c r="AU141" s="29">
        <f t="shared" si="108"/>
        <v>0</v>
      </c>
      <c r="AV141" s="29">
        <f t="shared" si="108"/>
        <v>0</v>
      </c>
      <c r="AW141" s="29">
        <f t="shared" si="108"/>
        <v>0</v>
      </c>
      <c r="AX141" s="29">
        <f t="shared" si="108"/>
        <v>0</v>
      </c>
      <c r="AY141" s="29">
        <f t="shared" si="108"/>
        <v>0</v>
      </c>
      <c r="AZ141" s="29">
        <f t="shared" si="108"/>
        <v>0</v>
      </c>
      <c r="BA141" s="29">
        <f t="shared" si="108"/>
        <v>0</v>
      </c>
      <c r="BB141" s="29">
        <f t="shared" si="108"/>
        <v>0</v>
      </c>
      <c r="BC141" s="29">
        <f t="shared" si="108"/>
        <v>0</v>
      </c>
      <c r="BD141" s="29">
        <f t="shared" si="108"/>
        <v>0</v>
      </c>
      <c r="BE141" s="29">
        <f t="shared" si="108"/>
        <v>0</v>
      </c>
      <c r="BF141" s="29">
        <f t="shared" si="108"/>
        <v>0</v>
      </c>
      <c r="BG141" s="29">
        <f t="shared" si="108"/>
        <v>0</v>
      </c>
      <c r="BH141" s="29">
        <f t="shared" si="108"/>
        <v>0</v>
      </c>
      <c r="BI141" s="29">
        <f t="shared" si="108"/>
        <v>0</v>
      </c>
      <c r="BJ141" s="29">
        <f t="shared" si="108"/>
        <v>0</v>
      </c>
      <c r="BK141" s="29">
        <f t="shared" si="108"/>
        <v>0</v>
      </c>
      <c r="BL141" s="29">
        <f t="shared" si="108"/>
        <v>0</v>
      </c>
      <c r="BM141" s="29">
        <f t="shared" si="108"/>
        <v>0</v>
      </c>
      <c r="BN141" s="29">
        <f t="shared" si="108"/>
        <v>0</v>
      </c>
      <c r="BO141" s="29">
        <f t="shared" si="108"/>
        <v>0</v>
      </c>
      <c r="BP141" s="29">
        <f t="shared" si="108"/>
        <v>0</v>
      </c>
      <c r="BQ141" s="29">
        <f t="shared" si="108"/>
        <v>0</v>
      </c>
      <c r="BR141" s="29">
        <f t="shared" si="108"/>
        <v>0</v>
      </c>
      <c r="BS141" s="29">
        <f t="shared" si="108"/>
        <v>0</v>
      </c>
      <c r="BT141" s="29">
        <f t="shared" si="108"/>
        <v>0</v>
      </c>
      <c r="BU141" s="29">
        <f t="shared" si="108"/>
        <v>0</v>
      </c>
      <c r="BV141" s="29">
        <f t="shared" si="108"/>
        <v>0</v>
      </c>
      <c r="BW141" s="29">
        <f t="shared" si="108"/>
        <v>0</v>
      </c>
      <c r="BX141" s="29">
        <f t="shared" si="108"/>
        <v>0</v>
      </c>
      <c r="BY141" s="29">
        <f t="shared" si="108"/>
        <v>0</v>
      </c>
      <c r="BZ141" s="29">
        <f t="shared" si="108"/>
        <v>0</v>
      </c>
      <c r="CA141" s="29">
        <f t="shared" si="108"/>
        <v>0</v>
      </c>
      <c r="CB141" s="29">
        <f t="shared" si="108"/>
        <v>0</v>
      </c>
      <c r="CC141" s="29">
        <f t="shared" si="108"/>
        <v>0</v>
      </c>
      <c r="CD141" s="29">
        <f t="shared" si="108"/>
        <v>0</v>
      </c>
      <c r="CE141" s="29">
        <f t="shared" si="108"/>
        <v>0</v>
      </c>
      <c r="CF141" s="29">
        <f t="shared" si="108"/>
        <v>0</v>
      </c>
      <c r="CG141" s="29">
        <f t="shared" si="108"/>
        <v>0</v>
      </c>
      <c r="CH141" s="29">
        <f t="shared" si="108"/>
        <v>0</v>
      </c>
    </row>
    <row r="142" spans="2:86" ht="13" hidden="1" outlineLevel="1">
      <c r="B142" s="84">
        <f t="shared" si="71"/>
        <v>39</v>
      </c>
      <c r="C142" s="64">
        <f t="shared" ca="1" si="69"/>
        <v>0.35168362532127739</v>
      </c>
      <c r="D142" s="15" t="s">
        <v>238</v>
      </c>
      <c r="E142" s="29">
        <f t="shared" ca="1" si="59"/>
        <v>52635196.332213394</v>
      </c>
      <c r="F142" s="29"/>
      <c r="G142" s="29">
        <f t="shared" ref="G142:CH142" ca="1" si="109">IF(G$4&lt;=$B142,ABS(G$31)*-1+G$47,0)+IF($B142=G$4,G$81,0)</f>
        <v>-1444375</v>
      </c>
      <c r="H142" s="29">
        <f t="shared" ca="1" si="109"/>
        <v>-1344375</v>
      </c>
      <c r="I142" s="29">
        <f t="shared" ca="1" si="109"/>
        <v>-1344375</v>
      </c>
      <c r="J142" s="29">
        <f t="shared" ca="1" si="109"/>
        <v>-1344375</v>
      </c>
      <c r="K142" s="29">
        <f t="shared" ca="1" si="109"/>
        <v>-1344375</v>
      </c>
      <c r="L142" s="29">
        <f t="shared" ca="1" si="109"/>
        <v>-1344375</v>
      </c>
      <c r="M142" s="29">
        <f t="shared" ca="1" si="109"/>
        <v>-1344375</v>
      </c>
      <c r="N142" s="29">
        <f t="shared" ca="1" si="109"/>
        <v>-1344375</v>
      </c>
      <c r="O142" s="29">
        <f t="shared" ca="1" si="109"/>
        <v>-1344375</v>
      </c>
      <c r="P142" s="29">
        <f t="shared" ca="1" si="109"/>
        <v>-1344375</v>
      </c>
      <c r="Q142" s="29">
        <f t="shared" ca="1" si="109"/>
        <v>-1344375</v>
      </c>
      <c r="R142" s="29">
        <f t="shared" ca="1" si="109"/>
        <v>-1344375</v>
      </c>
      <c r="S142" s="29">
        <f t="shared" ca="1" si="109"/>
        <v>-291239.58333333279</v>
      </c>
      <c r="T142" s="29">
        <f t="shared" ca="1" si="109"/>
        <v>-291239.58333333279</v>
      </c>
      <c r="U142" s="29">
        <f t="shared" ca="1" si="109"/>
        <v>-291239.58333333279</v>
      </c>
      <c r="V142" s="29">
        <f t="shared" ca="1" si="109"/>
        <v>-291239.58333333279</v>
      </c>
      <c r="W142" s="29">
        <f t="shared" ca="1" si="109"/>
        <v>3825453.1250000005</v>
      </c>
      <c r="X142" s="29">
        <f t="shared" ca="1" si="109"/>
        <v>3678872.2373188408</v>
      </c>
      <c r="Y142" s="29">
        <f t="shared" ca="1" si="109"/>
        <v>3313733.0533596845</v>
      </c>
      <c r="Z142" s="29">
        <f t="shared" ca="1" si="109"/>
        <v>3313733.0533596841</v>
      </c>
      <c r="AA142" s="29">
        <f t="shared" ca="1" si="109"/>
        <v>3353341.0902503296</v>
      </c>
      <c r="AB142" s="29">
        <f t="shared" ca="1" si="109"/>
        <v>3353341.09025033</v>
      </c>
      <c r="AC142" s="29">
        <f t="shared" ca="1" si="109"/>
        <v>3353341.09025033</v>
      </c>
      <c r="AD142" s="29">
        <f t="shared" ca="1" si="109"/>
        <v>3353341.09025033</v>
      </c>
      <c r="AE142" s="29">
        <f t="shared" ca="1" si="109"/>
        <v>4751736.4509222666</v>
      </c>
      <c r="AF142" s="29">
        <f t="shared" ca="1" si="109"/>
        <v>4751736.4509222666</v>
      </c>
      <c r="AG142" s="29">
        <f t="shared" ca="1" si="109"/>
        <v>4751736.4509222666</v>
      </c>
      <c r="AH142" s="29">
        <f t="shared" ca="1" si="109"/>
        <v>4751736.4509222666</v>
      </c>
      <c r="AI142" s="29">
        <f t="shared" ca="1" si="109"/>
        <v>3862141.1520092217</v>
      </c>
      <c r="AJ142" s="29">
        <f t="shared" ca="1" si="109"/>
        <v>3862141.1520092217</v>
      </c>
      <c r="AK142" s="29">
        <f t="shared" ca="1" si="109"/>
        <v>3862141.1520092217</v>
      </c>
      <c r="AL142" s="29">
        <f t="shared" ca="1" si="109"/>
        <v>3862141.1520092217</v>
      </c>
      <c r="AM142" s="29">
        <f t="shared" ca="1" si="109"/>
        <v>1237915.8843873511</v>
      </c>
      <c r="AN142" s="29">
        <f t="shared" ca="1" si="109"/>
        <v>1237915.8843873511</v>
      </c>
      <c r="AO142" s="29">
        <f t="shared" ca="1" si="109"/>
        <v>1237915.8843873511</v>
      </c>
      <c r="AP142" s="29">
        <f t="shared" ca="1" si="109"/>
        <v>1237915.8843873511</v>
      </c>
      <c r="AQ142" s="29">
        <f t="shared" ca="1" si="109"/>
        <v>1536735.1593379439</v>
      </c>
      <c r="AR142" s="29">
        <f t="shared" ca="1" si="109"/>
        <v>1536735.1593379439</v>
      </c>
      <c r="AS142" s="29">
        <f t="shared" ca="1" si="109"/>
        <v>6854.5675559588708</v>
      </c>
      <c r="AT142" s="29">
        <f t="shared" si="109"/>
        <v>0</v>
      </c>
      <c r="AU142" s="29">
        <f t="shared" si="109"/>
        <v>0</v>
      </c>
      <c r="AV142" s="29">
        <f t="shared" si="109"/>
        <v>0</v>
      </c>
      <c r="AW142" s="29">
        <f t="shared" si="109"/>
        <v>0</v>
      </c>
      <c r="AX142" s="29">
        <f t="shared" si="109"/>
        <v>0</v>
      </c>
      <c r="AY142" s="29">
        <f t="shared" si="109"/>
        <v>0</v>
      </c>
      <c r="AZ142" s="29">
        <f t="shared" si="109"/>
        <v>0</v>
      </c>
      <c r="BA142" s="29">
        <f t="shared" si="109"/>
        <v>0</v>
      </c>
      <c r="BB142" s="29">
        <f t="shared" si="109"/>
        <v>0</v>
      </c>
      <c r="BC142" s="29">
        <f t="shared" si="109"/>
        <v>0</v>
      </c>
      <c r="BD142" s="29">
        <f t="shared" si="109"/>
        <v>0</v>
      </c>
      <c r="BE142" s="29">
        <f t="shared" si="109"/>
        <v>0</v>
      </c>
      <c r="BF142" s="29">
        <f t="shared" si="109"/>
        <v>0</v>
      </c>
      <c r="BG142" s="29">
        <f t="shared" si="109"/>
        <v>0</v>
      </c>
      <c r="BH142" s="29">
        <f t="shared" si="109"/>
        <v>0</v>
      </c>
      <c r="BI142" s="29">
        <f t="shared" si="109"/>
        <v>0</v>
      </c>
      <c r="BJ142" s="29">
        <f t="shared" si="109"/>
        <v>0</v>
      </c>
      <c r="BK142" s="29">
        <f t="shared" si="109"/>
        <v>0</v>
      </c>
      <c r="BL142" s="29">
        <f t="shared" si="109"/>
        <v>0</v>
      </c>
      <c r="BM142" s="29">
        <f t="shared" si="109"/>
        <v>0</v>
      </c>
      <c r="BN142" s="29">
        <f t="shared" si="109"/>
        <v>0</v>
      </c>
      <c r="BO142" s="29">
        <f t="shared" si="109"/>
        <v>0</v>
      </c>
      <c r="BP142" s="29">
        <f t="shared" si="109"/>
        <v>0</v>
      </c>
      <c r="BQ142" s="29">
        <f t="shared" si="109"/>
        <v>0</v>
      </c>
      <c r="BR142" s="29">
        <f t="shared" si="109"/>
        <v>0</v>
      </c>
      <c r="BS142" s="29">
        <f t="shared" si="109"/>
        <v>0</v>
      </c>
      <c r="BT142" s="29">
        <f t="shared" si="109"/>
        <v>0</v>
      </c>
      <c r="BU142" s="29">
        <f t="shared" si="109"/>
        <v>0</v>
      </c>
      <c r="BV142" s="29">
        <f t="shared" si="109"/>
        <v>0</v>
      </c>
      <c r="BW142" s="29">
        <f t="shared" si="109"/>
        <v>0</v>
      </c>
      <c r="BX142" s="29">
        <f t="shared" si="109"/>
        <v>0</v>
      </c>
      <c r="BY142" s="29">
        <f t="shared" si="109"/>
        <v>0</v>
      </c>
      <c r="BZ142" s="29">
        <f t="shared" si="109"/>
        <v>0</v>
      </c>
      <c r="CA142" s="29">
        <f t="shared" si="109"/>
        <v>0</v>
      </c>
      <c r="CB142" s="29">
        <f t="shared" si="109"/>
        <v>0</v>
      </c>
      <c r="CC142" s="29">
        <f t="shared" si="109"/>
        <v>0</v>
      </c>
      <c r="CD142" s="29">
        <f t="shared" si="109"/>
        <v>0</v>
      </c>
      <c r="CE142" s="29">
        <f t="shared" si="109"/>
        <v>0</v>
      </c>
      <c r="CF142" s="29">
        <f t="shared" si="109"/>
        <v>0</v>
      </c>
      <c r="CG142" s="29">
        <f t="shared" si="109"/>
        <v>0</v>
      </c>
      <c r="CH142" s="29">
        <f t="shared" si="109"/>
        <v>0</v>
      </c>
    </row>
    <row r="143" spans="2:86" ht="13" hidden="1" outlineLevel="1">
      <c r="B143" s="84">
        <f t="shared" si="71"/>
        <v>40</v>
      </c>
      <c r="C143" s="64">
        <f t="shared" ca="1" si="69"/>
        <v>0.35600376008230028</v>
      </c>
      <c r="D143" s="15" t="s">
        <v>238</v>
      </c>
      <c r="E143" s="29">
        <f t="shared" ca="1" si="59"/>
        <v>55701812.083333328</v>
      </c>
      <c r="F143" s="29"/>
      <c r="G143" s="29">
        <f t="shared" ref="G143:CH143" ca="1" si="110">IF(G$4&lt;=$B143,ABS(G$31)*-1+G$47,0)+IF($B143=G$4,G$81,0)</f>
        <v>-1444375</v>
      </c>
      <c r="H143" s="29">
        <f t="shared" ca="1" si="110"/>
        <v>-1344375</v>
      </c>
      <c r="I143" s="29">
        <f t="shared" ca="1" si="110"/>
        <v>-1344375</v>
      </c>
      <c r="J143" s="29">
        <f t="shared" ca="1" si="110"/>
        <v>-1344375</v>
      </c>
      <c r="K143" s="29">
        <f t="shared" ca="1" si="110"/>
        <v>-1344375</v>
      </c>
      <c r="L143" s="29">
        <f t="shared" ca="1" si="110"/>
        <v>-1344375</v>
      </c>
      <c r="M143" s="29">
        <f t="shared" ca="1" si="110"/>
        <v>-1344375</v>
      </c>
      <c r="N143" s="29">
        <f t="shared" ca="1" si="110"/>
        <v>-1344375</v>
      </c>
      <c r="O143" s="29">
        <f t="shared" ca="1" si="110"/>
        <v>-1344375</v>
      </c>
      <c r="P143" s="29">
        <f t="shared" ca="1" si="110"/>
        <v>-1344375</v>
      </c>
      <c r="Q143" s="29">
        <f t="shared" ca="1" si="110"/>
        <v>-1344375</v>
      </c>
      <c r="R143" s="29">
        <f t="shared" ca="1" si="110"/>
        <v>-1344375</v>
      </c>
      <c r="S143" s="29">
        <f t="shared" ca="1" si="110"/>
        <v>-291239.58333333279</v>
      </c>
      <c r="T143" s="29">
        <f t="shared" ca="1" si="110"/>
        <v>-291239.58333333279</v>
      </c>
      <c r="U143" s="29">
        <f t="shared" ca="1" si="110"/>
        <v>-291239.58333333279</v>
      </c>
      <c r="V143" s="29">
        <f t="shared" ca="1" si="110"/>
        <v>-291239.58333333279</v>
      </c>
      <c r="W143" s="29">
        <f t="shared" ca="1" si="110"/>
        <v>3825453.1250000005</v>
      </c>
      <c r="X143" s="29">
        <f t="shared" ca="1" si="110"/>
        <v>3678872.2373188408</v>
      </c>
      <c r="Y143" s="29">
        <f t="shared" ca="1" si="110"/>
        <v>3313733.0533596845</v>
      </c>
      <c r="Z143" s="29">
        <f t="shared" ca="1" si="110"/>
        <v>3313733.0533596841</v>
      </c>
      <c r="AA143" s="29">
        <f t="shared" ca="1" si="110"/>
        <v>3353341.0902503296</v>
      </c>
      <c r="AB143" s="29">
        <f t="shared" ca="1" si="110"/>
        <v>3353341.09025033</v>
      </c>
      <c r="AC143" s="29">
        <f t="shared" ca="1" si="110"/>
        <v>3353341.09025033</v>
      </c>
      <c r="AD143" s="29">
        <f t="shared" ca="1" si="110"/>
        <v>3353341.09025033</v>
      </c>
      <c r="AE143" s="29">
        <f t="shared" ca="1" si="110"/>
        <v>4751736.4509222666</v>
      </c>
      <c r="AF143" s="29">
        <f t="shared" ca="1" si="110"/>
        <v>4751736.4509222666</v>
      </c>
      <c r="AG143" s="29">
        <f t="shared" ca="1" si="110"/>
        <v>4751736.4509222666</v>
      </c>
      <c r="AH143" s="29">
        <f t="shared" ca="1" si="110"/>
        <v>4751736.4509222666</v>
      </c>
      <c r="AI143" s="29">
        <f t="shared" ca="1" si="110"/>
        <v>3862141.1520092217</v>
      </c>
      <c r="AJ143" s="29">
        <f t="shared" ca="1" si="110"/>
        <v>3862141.1520092217</v>
      </c>
      <c r="AK143" s="29">
        <f t="shared" ca="1" si="110"/>
        <v>3862141.1520092217</v>
      </c>
      <c r="AL143" s="29">
        <f t="shared" ca="1" si="110"/>
        <v>3862141.1520092217</v>
      </c>
      <c r="AM143" s="29">
        <f t="shared" ca="1" si="110"/>
        <v>1237915.8843873511</v>
      </c>
      <c r="AN143" s="29">
        <f t="shared" ca="1" si="110"/>
        <v>1237915.8843873511</v>
      </c>
      <c r="AO143" s="29">
        <f t="shared" ca="1" si="110"/>
        <v>1237915.8843873511</v>
      </c>
      <c r="AP143" s="29">
        <f t="shared" ca="1" si="110"/>
        <v>1237915.8843873511</v>
      </c>
      <c r="AQ143" s="29">
        <f t="shared" ca="1" si="110"/>
        <v>1536735.1593379439</v>
      </c>
      <c r="AR143" s="29">
        <f t="shared" ca="1" si="110"/>
        <v>1536735.1593379439</v>
      </c>
      <c r="AS143" s="29">
        <f t="shared" ca="1" si="110"/>
        <v>1536735.1593379439</v>
      </c>
      <c r="AT143" s="29">
        <f t="shared" ca="1" si="110"/>
        <v>1536735.1593379439</v>
      </c>
      <c r="AU143" s="29">
        <f t="shared" si="110"/>
        <v>0</v>
      </c>
      <c r="AV143" s="29">
        <f t="shared" si="110"/>
        <v>0</v>
      </c>
      <c r="AW143" s="29">
        <f t="shared" si="110"/>
        <v>0</v>
      </c>
      <c r="AX143" s="29">
        <f t="shared" si="110"/>
        <v>0</v>
      </c>
      <c r="AY143" s="29">
        <f t="shared" si="110"/>
        <v>0</v>
      </c>
      <c r="AZ143" s="29">
        <f t="shared" si="110"/>
        <v>0</v>
      </c>
      <c r="BA143" s="29">
        <f t="shared" si="110"/>
        <v>0</v>
      </c>
      <c r="BB143" s="29">
        <f t="shared" si="110"/>
        <v>0</v>
      </c>
      <c r="BC143" s="29">
        <f t="shared" si="110"/>
        <v>0</v>
      </c>
      <c r="BD143" s="29">
        <f t="shared" si="110"/>
        <v>0</v>
      </c>
      <c r="BE143" s="29">
        <f t="shared" si="110"/>
        <v>0</v>
      </c>
      <c r="BF143" s="29">
        <f t="shared" si="110"/>
        <v>0</v>
      </c>
      <c r="BG143" s="29">
        <f t="shared" si="110"/>
        <v>0</v>
      </c>
      <c r="BH143" s="29">
        <f t="shared" si="110"/>
        <v>0</v>
      </c>
      <c r="BI143" s="29">
        <f t="shared" si="110"/>
        <v>0</v>
      </c>
      <c r="BJ143" s="29">
        <f t="shared" si="110"/>
        <v>0</v>
      </c>
      <c r="BK143" s="29">
        <f t="shared" si="110"/>
        <v>0</v>
      </c>
      <c r="BL143" s="29">
        <f t="shared" si="110"/>
        <v>0</v>
      </c>
      <c r="BM143" s="29">
        <f t="shared" si="110"/>
        <v>0</v>
      </c>
      <c r="BN143" s="29">
        <f t="shared" si="110"/>
        <v>0</v>
      </c>
      <c r="BO143" s="29">
        <f t="shared" si="110"/>
        <v>0</v>
      </c>
      <c r="BP143" s="29">
        <f t="shared" si="110"/>
        <v>0</v>
      </c>
      <c r="BQ143" s="29">
        <f t="shared" si="110"/>
        <v>0</v>
      </c>
      <c r="BR143" s="29">
        <f t="shared" si="110"/>
        <v>0</v>
      </c>
      <c r="BS143" s="29">
        <f t="shared" si="110"/>
        <v>0</v>
      </c>
      <c r="BT143" s="29">
        <f t="shared" si="110"/>
        <v>0</v>
      </c>
      <c r="BU143" s="29">
        <f t="shared" si="110"/>
        <v>0</v>
      </c>
      <c r="BV143" s="29">
        <f t="shared" si="110"/>
        <v>0</v>
      </c>
      <c r="BW143" s="29">
        <f t="shared" si="110"/>
        <v>0</v>
      </c>
      <c r="BX143" s="29">
        <f t="shared" si="110"/>
        <v>0</v>
      </c>
      <c r="BY143" s="29">
        <f t="shared" si="110"/>
        <v>0</v>
      </c>
      <c r="BZ143" s="29">
        <f t="shared" si="110"/>
        <v>0</v>
      </c>
      <c r="CA143" s="29">
        <f t="shared" si="110"/>
        <v>0</v>
      </c>
      <c r="CB143" s="29">
        <f t="shared" si="110"/>
        <v>0</v>
      </c>
      <c r="CC143" s="29">
        <f t="shared" si="110"/>
        <v>0</v>
      </c>
      <c r="CD143" s="29">
        <f t="shared" si="110"/>
        <v>0</v>
      </c>
      <c r="CE143" s="29">
        <f t="shared" si="110"/>
        <v>0</v>
      </c>
      <c r="CF143" s="29">
        <f t="shared" si="110"/>
        <v>0</v>
      </c>
      <c r="CG143" s="29">
        <f t="shared" si="110"/>
        <v>0</v>
      </c>
      <c r="CH143" s="29">
        <f t="shared" si="110"/>
        <v>0</v>
      </c>
    </row>
    <row r="144" spans="2:86" ht="13" hidden="1" outlineLevel="1">
      <c r="B144" s="84">
        <f t="shared" si="71"/>
        <v>41</v>
      </c>
      <c r="C144" s="64">
        <f t="shared" ca="1" si="69"/>
        <v>0.35600376008230028</v>
      </c>
      <c r="D144" s="15" t="s">
        <v>238</v>
      </c>
      <c r="E144" s="29">
        <f t="shared" ca="1" si="59"/>
        <v>55701812.083333328</v>
      </c>
      <c r="F144" s="29"/>
      <c r="G144" s="29">
        <f t="shared" ref="G144:CH144" ca="1" si="111">IF(G$4&lt;=$B144,ABS(G$31)*-1+G$47,0)+IF($B144=G$4,G$81,0)</f>
        <v>-1444375</v>
      </c>
      <c r="H144" s="29">
        <f t="shared" ca="1" si="111"/>
        <v>-1344375</v>
      </c>
      <c r="I144" s="29">
        <f t="shared" ca="1" si="111"/>
        <v>-1344375</v>
      </c>
      <c r="J144" s="29">
        <f t="shared" ca="1" si="111"/>
        <v>-1344375</v>
      </c>
      <c r="K144" s="29">
        <f t="shared" ca="1" si="111"/>
        <v>-1344375</v>
      </c>
      <c r="L144" s="29">
        <f t="shared" ca="1" si="111"/>
        <v>-1344375</v>
      </c>
      <c r="M144" s="29">
        <f t="shared" ca="1" si="111"/>
        <v>-1344375</v>
      </c>
      <c r="N144" s="29">
        <f t="shared" ca="1" si="111"/>
        <v>-1344375</v>
      </c>
      <c r="O144" s="29">
        <f t="shared" ca="1" si="111"/>
        <v>-1344375</v>
      </c>
      <c r="P144" s="29">
        <f t="shared" ca="1" si="111"/>
        <v>-1344375</v>
      </c>
      <c r="Q144" s="29">
        <f t="shared" ca="1" si="111"/>
        <v>-1344375</v>
      </c>
      <c r="R144" s="29">
        <f t="shared" ca="1" si="111"/>
        <v>-1344375</v>
      </c>
      <c r="S144" s="29">
        <f t="shared" ca="1" si="111"/>
        <v>-291239.58333333279</v>
      </c>
      <c r="T144" s="29">
        <f t="shared" ca="1" si="111"/>
        <v>-291239.58333333279</v>
      </c>
      <c r="U144" s="29">
        <f t="shared" ca="1" si="111"/>
        <v>-291239.58333333279</v>
      </c>
      <c r="V144" s="29">
        <f t="shared" ca="1" si="111"/>
        <v>-291239.58333333279</v>
      </c>
      <c r="W144" s="29">
        <f t="shared" ca="1" si="111"/>
        <v>3825453.1250000005</v>
      </c>
      <c r="X144" s="29">
        <f t="shared" ca="1" si="111"/>
        <v>3678872.2373188408</v>
      </c>
      <c r="Y144" s="29">
        <f t="shared" ca="1" si="111"/>
        <v>3313733.0533596845</v>
      </c>
      <c r="Z144" s="29">
        <f t="shared" ca="1" si="111"/>
        <v>3313733.0533596841</v>
      </c>
      <c r="AA144" s="29">
        <f t="shared" ca="1" si="111"/>
        <v>3353341.0902503296</v>
      </c>
      <c r="AB144" s="29">
        <f t="shared" ca="1" si="111"/>
        <v>3353341.09025033</v>
      </c>
      <c r="AC144" s="29">
        <f t="shared" ca="1" si="111"/>
        <v>3353341.09025033</v>
      </c>
      <c r="AD144" s="29">
        <f t="shared" ca="1" si="111"/>
        <v>3353341.09025033</v>
      </c>
      <c r="AE144" s="29">
        <f t="shared" ca="1" si="111"/>
        <v>4751736.4509222666</v>
      </c>
      <c r="AF144" s="29">
        <f t="shared" ca="1" si="111"/>
        <v>4751736.4509222666</v>
      </c>
      <c r="AG144" s="29">
        <f t="shared" ca="1" si="111"/>
        <v>4751736.4509222666</v>
      </c>
      <c r="AH144" s="29">
        <f t="shared" ca="1" si="111"/>
        <v>4751736.4509222666</v>
      </c>
      <c r="AI144" s="29">
        <f t="shared" ca="1" si="111"/>
        <v>3862141.1520092217</v>
      </c>
      <c r="AJ144" s="29">
        <f t="shared" ca="1" si="111"/>
        <v>3862141.1520092217</v>
      </c>
      <c r="AK144" s="29">
        <f t="shared" ca="1" si="111"/>
        <v>3862141.1520092217</v>
      </c>
      <c r="AL144" s="29">
        <f t="shared" ca="1" si="111"/>
        <v>3862141.1520092217</v>
      </c>
      <c r="AM144" s="29">
        <f t="shared" ca="1" si="111"/>
        <v>1237915.8843873511</v>
      </c>
      <c r="AN144" s="29">
        <f t="shared" ca="1" si="111"/>
        <v>1237915.8843873511</v>
      </c>
      <c r="AO144" s="29">
        <f t="shared" ca="1" si="111"/>
        <v>1237915.8843873511</v>
      </c>
      <c r="AP144" s="29">
        <f t="shared" ca="1" si="111"/>
        <v>1237915.8843873511</v>
      </c>
      <c r="AQ144" s="29">
        <f t="shared" ca="1" si="111"/>
        <v>1536735.1593379439</v>
      </c>
      <c r="AR144" s="29">
        <f t="shared" ca="1" si="111"/>
        <v>1536735.1593379439</v>
      </c>
      <c r="AS144" s="29">
        <f t="shared" ca="1" si="111"/>
        <v>1536735.1593379439</v>
      </c>
      <c r="AT144" s="29">
        <f t="shared" ca="1" si="111"/>
        <v>1536735.1593379439</v>
      </c>
      <c r="AU144" s="29">
        <f t="shared" ca="1" si="111"/>
        <v>0</v>
      </c>
      <c r="AV144" s="29">
        <f t="shared" si="111"/>
        <v>0</v>
      </c>
      <c r="AW144" s="29">
        <f t="shared" si="111"/>
        <v>0</v>
      </c>
      <c r="AX144" s="29">
        <f t="shared" si="111"/>
        <v>0</v>
      </c>
      <c r="AY144" s="29">
        <f t="shared" si="111"/>
        <v>0</v>
      </c>
      <c r="AZ144" s="29">
        <f t="shared" si="111"/>
        <v>0</v>
      </c>
      <c r="BA144" s="29">
        <f t="shared" si="111"/>
        <v>0</v>
      </c>
      <c r="BB144" s="29">
        <f t="shared" si="111"/>
        <v>0</v>
      </c>
      <c r="BC144" s="29">
        <f t="shared" si="111"/>
        <v>0</v>
      </c>
      <c r="BD144" s="29">
        <f t="shared" si="111"/>
        <v>0</v>
      </c>
      <c r="BE144" s="29">
        <f t="shared" si="111"/>
        <v>0</v>
      </c>
      <c r="BF144" s="29">
        <f t="shared" si="111"/>
        <v>0</v>
      </c>
      <c r="BG144" s="29">
        <f t="shared" si="111"/>
        <v>0</v>
      </c>
      <c r="BH144" s="29">
        <f t="shared" si="111"/>
        <v>0</v>
      </c>
      <c r="BI144" s="29">
        <f t="shared" si="111"/>
        <v>0</v>
      </c>
      <c r="BJ144" s="29">
        <f t="shared" si="111"/>
        <v>0</v>
      </c>
      <c r="BK144" s="29">
        <f t="shared" si="111"/>
        <v>0</v>
      </c>
      <c r="BL144" s="29">
        <f t="shared" si="111"/>
        <v>0</v>
      </c>
      <c r="BM144" s="29">
        <f t="shared" si="111"/>
        <v>0</v>
      </c>
      <c r="BN144" s="29">
        <f t="shared" si="111"/>
        <v>0</v>
      </c>
      <c r="BO144" s="29">
        <f t="shared" si="111"/>
        <v>0</v>
      </c>
      <c r="BP144" s="29">
        <f t="shared" si="111"/>
        <v>0</v>
      </c>
      <c r="BQ144" s="29">
        <f t="shared" si="111"/>
        <v>0</v>
      </c>
      <c r="BR144" s="29">
        <f t="shared" si="111"/>
        <v>0</v>
      </c>
      <c r="BS144" s="29">
        <f t="shared" si="111"/>
        <v>0</v>
      </c>
      <c r="BT144" s="29">
        <f t="shared" si="111"/>
        <v>0</v>
      </c>
      <c r="BU144" s="29">
        <f t="shared" si="111"/>
        <v>0</v>
      </c>
      <c r="BV144" s="29">
        <f t="shared" si="111"/>
        <v>0</v>
      </c>
      <c r="BW144" s="29">
        <f t="shared" si="111"/>
        <v>0</v>
      </c>
      <c r="BX144" s="29">
        <f t="shared" si="111"/>
        <v>0</v>
      </c>
      <c r="BY144" s="29">
        <f t="shared" si="111"/>
        <v>0</v>
      </c>
      <c r="BZ144" s="29">
        <f t="shared" si="111"/>
        <v>0</v>
      </c>
      <c r="CA144" s="29">
        <f t="shared" si="111"/>
        <v>0</v>
      </c>
      <c r="CB144" s="29">
        <f t="shared" si="111"/>
        <v>0</v>
      </c>
      <c r="CC144" s="29">
        <f t="shared" si="111"/>
        <v>0</v>
      </c>
      <c r="CD144" s="29">
        <f t="shared" si="111"/>
        <v>0</v>
      </c>
      <c r="CE144" s="29">
        <f t="shared" si="111"/>
        <v>0</v>
      </c>
      <c r="CF144" s="29">
        <f t="shared" si="111"/>
        <v>0</v>
      </c>
      <c r="CG144" s="29">
        <f t="shared" si="111"/>
        <v>0</v>
      </c>
      <c r="CH144" s="29">
        <f t="shared" si="111"/>
        <v>0</v>
      </c>
    </row>
    <row r="145" spans="2:86" ht="13" hidden="1" outlineLevel="1">
      <c r="B145" s="84">
        <f t="shared" si="71"/>
        <v>42</v>
      </c>
      <c r="C145" s="64">
        <f t="shared" ca="1" si="69"/>
        <v>0.35600376008230028</v>
      </c>
      <c r="D145" s="15" t="s">
        <v>238</v>
      </c>
      <c r="E145" s="29">
        <f t="shared" ca="1" si="59"/>
        <v>55701812.083333328</v>
      </c>
      <c r="F145" s="29"/>
      <c r="G145" s="29">
        <f t="shared" ref="G145:CH145" ca="1" si="112">IF(G$4&lt;=$B145,ABS(G$31)*-1+G$47,0)+IF($B145=G$4,G$81,0)</f>
        <v>-1444375</v>
      </c>
      <c r="H145" s="29">
        <f t="shared" ca="1" si="112"/>
        <v>-1344375</v>
      </c>
      <c r="I145" s="29">
        <f t="shared" ca="1" si="112"/>
        <v>-1344375</v>
      </c>
      <c r="J145" s="29">
        <f t="shared" ca="1" si="112"/>
        <v>-1344375</v>
      </c>
      <c r="K145" s="29">
        <f t="shared" ca="1" si="112"/>
        <v>-1344375</v>
      </c>
      <c r="L145" s="29">
        <f t="shared" ca="1" si="112"/>
        <v>-1344375</v>
      </c>
      <c r="M145" s="29">
        <f t="shared" ca="1" si="112"/>
        <v>-1344375</v>
      </c>
      <c r="N145" s="29">
        <f t="shared" ca="1" si="112"/>
        <v>-1344375</v>
      </c>
      <c r="O145" s="29">
        <f t="shared" ca="1" si="112"/>
        <v>-1344375</v>
      </c>
      <c r="P145" s="29">
        <f t="shared" ca="1" si="112"/>
        <v>-1344375</v>
      </c>
      <c r="Q145" s="29">
        <f t="shared" ca="1" si="112"/>
        <v>-1344375</v>
      </c>
      <c r="R145" s="29">
        <f t="shared" ca="1" si="112"/>
        <v>-1344375</v>
      </c>
      <c r="S145" s="29">
        <f t="shared" ca="1" si="112"/>
        <v>-291239.58333333279</v>
      </c>
      <c r="T145" s="29">
        <f t="shared" ca="1" si="112"/>
        <v>-291239.58333333279</v>
      </c>
      <c r="U145" s="29">
        <f t="shared" ca="1" si="112"/>
        <v>-291239.58333333279</v>
      </c>
      <c r="V145" s="29">
        <f t="shared" ca="1" si="112"/>
        <v>-291239.58333333279</v>
      </c>
      <c r="W145" s="29">
        <f t="shared" ca="1" si="112"/>
        <v>3825453.1250000005</v>
      </c>
      <c r="X145" s="29">
        <f t="shared" ca="1" si="112"/>
        <v>3678872.2373188408</v>
      </c>
      <c r="Y145" s="29">
        <f t="shared" ca="1" si="112"/>
        <v>3313733.0533596845</v>
      </c>
      <c r="Z145" s="29">
        <f t="shared" ca="1" si="112"/>
        <v>3313733.0533596841</v>
      </c>
      <c r="AA145" s="29">
        <f t="shared" ca="1" si="112"/>
        <v>3353341.0902503296</v>
      </c>
      <c r="AB145" s="29">
        <f t="shared" ca="1" si="112"/>
        <v>3353341.09025033</v>
      </c>
      <c r="AC145" s="29">
        <f t="shared" ca="1" si="112"/>
        <v>3353341.09025033</v>
      </c>
      <c r="AD145" s="29">
        <f t="shared" ca="1" si="112"/>
        <v>3353341.09025033</v>
      </c>
      <c r="AE145" s="29">
        <f t="shared" ca="1" si="112"/>
        <v>4751736.4509222666</v>
      </c>
      <c r="AF145" s="29">
        <f t="shared" ca="1" si="112"/>
        <v>4751736.4509222666</v>
      </c>
      <c r="AG145" s="29">
        <f t="shared" ca="1" si="112"/>
        <v>4751736.4509222666</v>
      </c>
      <c r="AH145" s="29">
        <f t="shared" ca="1" si="112"/>
        <v>4751736.4509222666</v>
      </c>
      <c r="AI145" s="29">
        <f t="shared" ca="1" si="112"/>
        <v>3862141.1520092217</v>
      </c>
      <c r="AJ145" s="29">
        <f t="shared" ca="1" si="112"/>
        <v>3862141.1520092217</v>
      </c>
      <c r="AK145" s="29">
        <f t="shared" ca="1" si="112"/>
        <v>3862141.1520092217</v>
      </c>
      <c r="AL145" s="29">
        <f t="shared" ca="1" si="112"/>
        <v>3862141.1520092217</v>
      </c>
      <c r="AM145" s="29">
        <f t="shared" ca="1" si="112"/>
        <v>1237915.8843873511</v>
      </c>
      <c r="AN145" s="29">
        <f t="shared" ca="1" si="112"/>
        <v>1237915.8843873511</v>
      </c>
      <c r="AO145" s="29">
        <f t="shared" ca="1" si="112"/>
        <v>1237915.8843873511</v>
      </c>
      <c r="AP145" s="29">
        <f t="shared" ca="1" si="112"/>
        <v>1237915.8843873511</v>
      </c>
      <c r="AQ145" s="29">
        <f t="shared" ca="1" si="112"/>
        <v>1536735.1593379439</v>
      </c>
      <c r="AR145" s="29">
        <f t="shared" ca="1" si="112"/>
        <v>1536735.1593379439</v>
      </c>
      <c r="AS145" s="29">
        <f t="shared" ca="1" si="112"/>
        <v>1536735.1593379439</v>
      </c>
      <c r="AT145" s="29">
        <f t="shared" ca="1" si="112"/>
        <v>1536735.1593379439</v>
      </c>
      <c r="AU145" s="29">
        <f t="shared" ca="1" si="112"/>
        <v>0</v>
      </c>
      <c r="AV145" s="29">
        <f t="shared" ca="1" si="112"/>
        <v>0</v>
      </c>
      <c r="AW145" s="29">
        <f t="shared" si="112"/>
        <v>0</v>
      </c>
      <c r="AX145" s="29">
        <f t="shared" si="112"/>
        <v>0</v>
      </c>
      <c r="AY145" s="29">
        <f t="shared" si="112"/>
        <v>0</v>
      </c>
      <c r="AZ145" s="29">
        <f t="shared" si="112"/>
        <v>0</v>
      </c>
      <c r="BA145" s="29">
        <f t="shared" si="112"/>
        <v>0</v>
      </c>
      <c r="BB145" s="29">
        <f t="shared" si="112"/>
        <v>0</v>
      </c>
      <c r="BC145" s="29">
        <f t="shared" si="112"/>
        <v>0</v>
      </c>
      <c r="BD145" s="29">
        <f t="shared" si="112"/>
        <v>0</v>
      </c>
      <c r="BE145" s="29">
        <f t="shared" si="112"/>
        <v>0</v>
      </c>
      <c r="BF145" s="29">
        <f t="shared" si="112"/>
        <v>0</v>
      </c>
      <c r="BG145" s="29">
        <f t="shared" si="112"/>
        <v>0</v>
      </c>
      <c r="BH145" s="29">
        <f t="shared" si="112"/>
        <v>0</v>
      </c>
      <c r="BI145" s="29">
        <f t="shared" si="112"/>
        <v>0</v>
      </c>
      <c r="BJ145" s="29">
        <f t="shared" si="112"/>
        <v>0</v>
      </c>
      <c r="BK145" s="29">
        <f t="shared" si="112"/>
        <v>0</v>
      </c>
      <c r="BL145" s="29">
        <f t="shared" si="112"/>
        <v>0</v>
      </c>
      <c r="BM145" s="29">
        <f t="shared" si="112"/>
        <v>0</v>
      </c>
      <c r="BN145" s="29">
        <f t="shared" si="112"/>
        <v>0</v>
      </c>
      <c r="BO145" s="29">
        <f t="shared" si="112"/>
        <v>0</v>
      </c>
      <c r="BP145" s="29">
        <f t="shared" si="112"/>
        <v>0</v>
      </c>
      <c r="BQ145" s="29">
        <f t="shared" si="112"/>
        <v>0</v>
      </c>
      <c r="BR145" s="29">
        <f t="shared" si="112"/>
        <v>0</v>
      </c>
      <c r="BS145" s="29">
        <f t="shared" si="112"/>
        <v>0</v>
      </c>
      <c r="BT145" s="29">
        <f t="shared" si="112"/>
        <v>0</v>
      </c>
      <c r="BU145" s="29">
        <f t="shared" si="112"/>
        <v>0</v>
      </c>
      <c r="BV145" s="29">
        <f t="shared" si="112"/>
        <v>0</v>
      </c>
      <c r="BW145" s="29">
        <f t="shared" si="112"/>
        <v>0</v>
      </c>
      <c r="BX145" s="29">
        <f t="shared" si="112"/>
        <v>0</v>
      </c>
      <c r="BY145" s="29">
        <f t="shared" si="112"/>
        <v>0</v>
      </c>
      <c r="BZ145" s="29">
        <f t="shared" si="112"/>
        <v>0</v>
      </c>
      <c r="CA145" s="29">
        <f t="shared" si="112"/>
        <v>0</v>
      </c>
      <c r="CB145" s="29">
        <f t="shared" si="112"/>
        <v>0</v>
      </c>
      <c r="CC145" s="29">
        <f t="shared" si="112"/>
        <v>0</v>
      </c>
      <c r="CD145" s="29">
        <f t="shared" si="112"/>
        <v>0</v>
      </c>
      <c r="CE145" s="29">
        <f t="shared" si="112"/>
        <v>0</v>
      </c>
      <c r="CF145" s="29">
        <f t="shared" si="112"/>
        <v>0</v>
      </c>
      <c r="CG145" s="29">
        <f t="shared" si="112"/>
        <v>0</v>
      </c>
      <c r="CH145" s="29">
        <f t="shared" si="112"/>
        <v>0</v>
      </c>
    </row>
    <row r="146" spans="2:86" ht="13" hidden="1" outlineLevel="1">
      <c r="B146" s="84">
        <f t="shared" si="71"/>
        <v>43</v>
      </c>
      <c r="C146" s="64">
        <f t="shared" ca="1" si="69"/>
        <v>0.35600376008230028</v>
      </c>
      <c r="D146" s="15" t="s">
        <v>238</v>
      </c>
      <c r="E146" s="29">
        <f t="shared" ca="1" si="59"/>
        <v>55701812.083333328</v>
      </c>
      <c r="F146" s="29"/>
      <c r="G146" s="29">
        <f t="shared" ref="G146:CH146" ca="1" si="113">IF(G$4&lt;=$B146,ABS(G$31)*-1+G$47,0)+IF($B146=G$4,G$81,0)</f>
        <v>-1444375</v>
      </c>
      <c r="H146" s="29">
        <f t="shared" ca="1" si="113"/>
        <v>-1344375</v>
      </c>
      <c r="I146" s="29">
        <f t="shared" ca="1" si="113"/>
        <v>-1344375</v>
      </c>
      <c r="J146" s="29">
        <f t="shared" ca="1" si="113"/>
        <v>-1344375</v>
      </c>
      <c r="K146" s="29">
        <f t="shared" ca="1" si="113"/>
        <v>-1344375</v>
      </c>
      <c r="L146" s="29">
        <f t="shared" ca="1" si="113"/>
        <v>-1344375</v>
      </c>
      <c r="M146" s="29">
        <f t="shared" ca="1" si="113"/>
        <v>-1344375</v>
      </c>
      <c r="N146" s="29">
        <f t="shared" ca="1" si="113"/>
        <v>-1344375</v>
      </c>
      <c r="O146" s="29">
        <f t="shared" ca="1" si="113"/>
        <v>-1344375</v>
      </c>
      <c r="P146" s="29">
        <f t="shared" ca="1" si="113"/>
        <v>-1344375</v>
      </c>
      <c r="Q146" s="29">
        <f t="shared" ca="1" si="113"/>
        <v>-1344375</v>
      </c>
      <c r="R146" s="29">
        <f t="shared" ca="1" si="113"/>
        <v>-1344375</v>
      </c>
      <c r="S146" s="29">
        <f t="shared" ca="1" si="113"/>
        <v>-291239.58333333279</v>
      </c>
      <c r="T146" s="29">
        <f t="shared" ca="1" si="113"/>
        <v>-291239.58333333279</v>
      </c>
      <c r="U146" s="29">
        <f t="shared" ca="1" si="113"/>
        <v>-291239.58333333279</v>
      </c>
      <c r="V146" s="29">
        <f t="shared" ca="1" si="113"/>
        <v>-291239.58333333279</v>
      </c>
      <c r="W146" s="29">
        <f t="shared" ca="1" si="113"/>
        <v>3825453.1250000005</v>
      </c>
      <c r="X146" s="29">
        <f t="shared" ca="1" si="113"/>
        <v>3678872.2373188408</v>
      </c>
      <c r="Y146" s="29">
        <f t="shared" ca="1" si="113"/>
        <v>3313733.0533596845</v>
      </c>
      <c r="Z146" s="29">
        <f t="shared" ca="1" si="113"/>
        <v>3313733.0533596841</v>
      </c>
      <c r="AA146" s="29">
        <f t="shared" ca="1" si="113"/>
        <v>3353341.0902503296</v>
      </c>
      <c r="AB146" s="29">
        <f t="shared" ca="1" si="113"/>
        <v>3353341.09025033</v>
      </c>
      <c r="AC146" s="29">
        <f t="shared" ca="1" si="113"/>
        <v>3353341.09025033</v>
      </c>
      <c r="AD146" s="29">
        <f t="shared" ca="1" si="113"/>
        <v>3353341.09025033</v>
      </c>
      <c r="AE146" s="29">
        <f t="shared" ca="1" si="113"/>
        <v>4751736.4509222666</v>
      </c>
      <c r="AF146" s="29">
        <f t="shared" ca="1" si="113"/>
        <v>4751736.4509222666</v>
      </c>
      <c r="AG146" s="29">
        <f t="shared" ca="1" si="113"/>
        <v>4751736.4509222666</v>
      </c>
      <c r="AH146" s="29">
        <f t="shared" ca="1" si="113"/>
        <v>4751736.4509222666</v>
      </c>
      <c r="AI146" s="29">
        <f t="shared" ca="1" si="113"/>
        <v>3862141.1520092217</v>
      </c>
      <c r="AJ146" s="29">
        <f t="shared" ca="1" si="113"/>
        <v>3862141.1520092217</v>
      </c>
      <c r="AK146" s="29">
        <f t="shared" ca="1" si="113"/>
        <v>3862141.1520092217</v>
      </c>
      <c r="AL146" s="29">
        <f t="shared" ca="1" si="113"/>
        <v>3862141.1520092217</v>
      </c>
      <c r="AM146" s="29">
        <f t="shared" ca="1" si="113"/>
        <v>1237915.8843873511</v>
      </c>
      <c r="AN146" s="29">
        <f t="shared" ca="1" si="113"/>
        <v>1237915.8843873511</v>
      </c>
      <c r="AO146" s="29">
        <f t="shared" ca="1" si="113"/>
        <v>1237915.8843873511</v>
      </c>
      <c r="AP146" s="29">
        <f t="shared" ca="1" si="113"/>
        <v>1237915.8843873511</v>
      </c>
      <c r="AQ146" s="29">
        <f t="shared" ca="1" si="113"/>
        <v>1536735.1593379439</v>
      </c>
      <c r="AR146" s="29">
        <f t="shared" ca="1" si="113"/>
        <v>1536735.1593379439</v>
      </c>
      <c r="AS146" s="29">
        <f t="shared" ca="1" si="113"/>
        <v>1536735.1593379439</v>
      </c>
      <c r="AT146" s="29">
        <f t="shared" ca="1" si="113"/>
        <v>1536735.1593379439</v>
      </c>
      <c r="AU146" s="29">
        <f t="shared" ca="1" si="113"/>
        <v>0</v>
      </c>
      <c r="AV146" s="29">
        <f t="shared" ca="1" si="113"/>
        <v>0</v>
      </c>
      <c r="AW146" s="29">
        <f t="shared" ca="1" si="113"/>
        <v>0</v>
      </c>
      <c r="AX146" s="29">
        <f t="shared" si="113"/>
        <v>0</v>
      </c>
      <c r="AY146" s="29">
        <f t="shared" si="113"/>
        <v>0</v>
      </c>
      <c r="AZ146" s="29">
        <f t="shared" si="113"/>
        <v>0</v>
      </c>
      <c r="BA146" s="29">
        <f t="shared" si="113"/>
        <v>0</v>
      </c>
      <c r="BB146" s="29">
        <f t="shared" si="113"/>
        <v>0</v>
      </c>
      <c r="BC146" s="29">
        <f t="shared" si="113"/>
        <v>0</v>
      </c>
      <c r="BD146" s="29">
        <f t="shared" si="113"/>
        <v>0</v>
      </c>
      <c r="BE146" s="29">
        <f t="shared" si="113"/>
        <v>0</v>
      </c>
      <c r="BF146" s="29">
        <f t="shared" si="113"/>
        <v>0</v>
      </c>
      <c r="BG146" s="29">
        <f t="shared" si="113"/>
        <v>0</v>
      </c>
      <c r="BH146" s="29">
        <f t="shared" si="113"/>
        <v>0</v>
      </c>
      <c r="BI146" s="29">
        <f t="shared" si="113"/>
        <v>0</v>
      </c>
      <c r="BJ146" s="29">
        <f t="shared" si="113"/>
        <v>0</v>
      </c>
      <c r="BK146" s="29">
        <f t="shared" si="113"/>
        <v>0</v>
      </c>
      <c r="BL146" s="29">
        <f t="shared" si="113"/>
        <v>0</v>
      </c>
      <c r="BM146" s="29">
        <f t="shared" si="113"/>
        <v>0</v>
      </c>
      <c r="BN146" s="29">
        <f t="shared" si="113"/>
        <v>0</v>
      </c>
      <c r="BO146" s="29">
        <f t="shared" si="113"/>
        <v>0</v>
      </c>
      <c r="BP146" s="29">
        <f t="shared" si="113"/>
        <v>0</v>
      </c>
      <c r="BQ146" s="29">
        <f t="shared" si="113"/>
        <v>0</v>
      </c>
      <c r="BR146" s="29">
        <f t="shared" si="113"/>
        <v>0</v>
      </c>
      <c r="BS146" s="29">
        <f t="shared" si="113"/>
        <v>0</v>
      </c>
      <c r="BT146" s="29">
        <f t="shared" si="113"/>
        <v>0</v>
      </c>
      <c r="BU146" s="29">
        <f t="shared" si="113"/>
        <v>0</v>
      </c>
      <c r="BV146" s="29">
        <f t="shared" si="113"/>
        <v>0</v>
      </c>
      <c r="BW146" s="29">
        <f t="shared" si="113"/>
        <v>0</v>
      </c>
      <c r="BX146" s="29">
        <f t="shared" si="113"/>
        <v>0</v>
      </c>
      <c r="BY146" s="29">
        <f t="shared" si="113"/>
        <v>0</v>
      </c>
      <c r="BZ146" s="29">
        <f t="shared" si="113"/>
        <v>0</v>
      </c>
      <c r="CA146" s="29">
        <f t="shared" si="113"/>
        <v>0</v>
      </c>
      <c r="CB146" s="29">
        <f t="shared" si="113"/>
        <v>0</v>
      </c>
      <c r="CC146" s="29">
        <f t="shared" si="113"/>
        <v>0</v>
      </c>
      <c r="CD146" s="29">
        <f t="shared" si="113"/>
        <v>0</v>
      </c>
      <c r="CE146" s="29">
        <f t="shared" si="113"/>
        <v>0</v>
      </c>
      <c r="CF146" s="29">
        <f t="shared" si="113"/>
        <v>0</v>
      </c>
      <c r="CG146" s="29">
        <f t="shared" si="113"/>
        <v>0</v>
      </c>
      <c r="CH146" s="29">
        <f t="shared" si="113"/>
        <v>0</v>
      </c>
    </row>
    <row r="147" spans="2:86" ht="13" hidden="1" outlineLevel="1">
      <c r="B147" s="84">
        <f t="shared" si="71"/>
        <v>44</v>
      </c>
      <c r="C147" s="64">
        <f t="shared" ca="1" si="69"/>
        <v>0.35600376008230028</v>
      </c>
      <c r="D147" s="15" t="s">
        <v>238</v>
      </c>
      <c r="E147" s="29">
        <f t="shared" ca="1" si="59"/>
        <v>55701812.083333328</v>
      </c>
      <c r="F147" s="29"/>
      <c r="G147" s="29">
        <f t="shared" ref="G147:CH147" ca="1" si="114">IF(G$4&lt;=$B147,ABS(G$31)*-1+G$47,0)+IF($B147=G$4,G$81,0)</f>
        <v>-1444375</v>
      </c>
      <c r="H147" s="29">
        <f t="shared" ca="1" si="114"/>
        <v>-1344375</v>
      </c>
      <c r="I147" s="29">
        <f t="shared" ca="1" si="114"/>
        <v>-1344375</v>
      </c>
      <c r="J147" s="29">
        <f t="shared" ca="1" si="114"/>
        <v>-1344375</v>
      </c>
      <c r="K147" s="29">
        <f t="shared" ca="1" si="114"/>
        <v>-1344375</v>
      </c>
      <c r="L147" s="29">
        <f t="shared" ca="1" si="114"/>
        <v>-1344375</v>
      </c>
      <c r="M147" s="29">
        <f t="shared" ca="1" si="114"/>
        <v>-1344375</v>
      </c>
      <c r="N147" s="29">
        <f t="shared" ca="1" si="114"/>
        <v>-1344375</v>
      </c>
      <c r="O147" s="29">
        <f t="shared" ca="1" si="114"/>
        <v>-1344375</v>
      </c>
      <c r="P147" s="29">
        <f t="shared" ca="1" si="114"/>
        <v>-1344375</v>
      </c>
      <c r="Q147" s="29">
        <f t="shared" ca="1" si="114"/>
        <v>-1344375</v>
      </c>
      <c r="R147" s="29">
        <f t="shared" ca="1" si="114"/>
        <v>-1344375</v>
      </c>
      <c r="S147" s="29">
        <f t="shared" ca="1" si="114"/>
        <v>-291239.58333333279</v>
      </c>
      <c r="T147" s="29">
        <f t="shared" ca="1" si="114"/>
        <v>-291239.58333333279</v>
      </c>
      <c r="U147" s="29">
        <f t="shared" ca="1" si="114"/>
        <v>-291239.58333333279</v>
      </c>
      <c r="V147" s="29">
        <f t="shared" ca="1" si="114"/>
        <v>-291239.58333333279</v>
      </c>
      <c r="W147" s="29">
        <f t="shared" ca="1" si="114"/>
        <v>3825453.1250000005</v>
      </c>
      <c r="X147" s="29">
        <f t="shared" ca="1" si="114"/>
        <v>3678872.2373188408</v>
      </c>
      <c r="Y147" s="29">
        <f t="shared" ca="1" si="114"/>
        <v>3313733.0533596845</v>
      </c>
      <c r="Z147" s="29">
        <f t="shared" ca="1" si="114"/>
        <v>3313733.0533596841</v>
      </c>
      <c r="AA147" s="29">
        <f t="shared" ca="1" si="114"/>
        <v>3353341.0902503296</v>
      </c>
      <c r="AB147" s="29">
        <f t="shared" ca="1" si="114"/>
        <v>3353341.09025033</v>
      </c>
      <c r="AC147" s="29">
        <f t="shared" ca="1" si="114"/>
        <v>3353341.09025033</v>
      </c>
      <c r="AD147" s="29">
        <f t="shared" ca="1" si="114"/>
        <v>3353341.09025033</v>
      </c>
      <c r="AE147" s="29">
        <f t="shared" ca="1" si="114"/>
        <v>4751736.4509222666</v>
      </c>
      <c r="AF147" s="29">
        <f t="shared" ca="1" si="114"/>
        <v>4751736.4509222666</v>
      </c>
      <c r="AG147" s="29">
        <f t="shared" ca="1" si="114"/>
        <v>4751736.4509222666</v>
      </c>
      <c r="AH147" s="29">
        <f t="shared" ca="1" si="114"/>
        <v>4751736.4509222666</v>
      </c>
      <c r="AI147" s="29">
        <f t="shared" ca="1" si="114"/>
        <v>3862141.1520092217</v>
      </c>
      <c r="AJ147" s="29">
        <f t="shared" ca="1" si="114"/>
        <v>3862141.1520092217</v>
      </c>
      <c r="AK147" s="29">
        <f t="shared" ca="1" si="114"/>
        <v>3862141.1520092217</v>
      </c>
      <c r="AL147" s="29">
        <f t="shared" ca="1" si="114"/>
        <v>3862141.1520092217</v>
      </c>
      <c r="AM147" s="29">
        <f t="shared" ca="1" si="114"/>
        <v>1237915.8843873511</v>
      </c>
      <c r="AN147" s="29">
        <f t="shared" ca="1" si="114"/>
        <v>1237915.8843873511</v>
      </c>
      <c r="AO147" s="29">
        <f t="shared" ca="1" si="114"/>
        <v>1237915.8843873511</v>
      </c>
      <c r="AP147" s="29">
        <f t="shared" ca="1" si="114"/>
        <v>1237915.8843873511</v>
      </c>
      <c r="AQ147" s="29">
        <f t="shared" ca="1" si="114"/>
        <v>1536735.1593379439</v>
      </c>
      <c r="AR147" s="29">
        <f t="shared" ca="1" si="114"/>
        <v>1536735.1593379439</v>
      </c>
      <c r="AS147" s="29">
        <f t="shared" ca="1" si="114"/>
        <v>1536735.1593379439</v>
      </c>
      <c r="AT147" s="29">
        <f t="shared" ca="1" si="114"/>
        <v>1536735.1593379439</v>
      </c>
      <c r="AU147" s="29">
        <f t="shared" ca="1" si="114"/>
        <v>0</v>
      </c>
      <c r="AV147" s="29">
        <f t="shared" ca="1" si="114"/>
        <v>0</v>
      </c>
      <c r="AW147" s="29">
        <f t="shared" ca="1" si="114"/>
        <v>0</v>
      </c>
      <c r="AX147" s="29">
        <f t="shared" ca="1" si="114"/>
        <v>0</v>
      </c>
      <c r="AY147" s="29">
        <f t="shared" si="114"/>
        <v>0</v>
      </c>
      <c r="AZ147" s="29">
        <f t="shared" si="114"/>
        <v>0</v>
      </c>
      <c r="BA147" s="29">
        <f t="shared" si="114"/>
        <v>0</v>
      </c>
      <c r="BB147" s="29">
        <f t="shared" si="114"/>
        <v>0</v>
      </c>
      <c r="BC147" s="29">
        <f t="shared" si="114"/>
        <v>0</v>
      </c>
      <c r="BD147" s="29">
        <f t="shared" si="114"/>
        <v>0</v>
      </c>
      <c r="BE147" s="29">
        <f t="shared" si="114"/>
        <v>0</v>
      </c>
      <c r="BF147" s="29">
        <f t="shared" si="114"/>
        <v>0</v>
      </c>
      <c r="BG147" s="29">
        <f t="shared" si="114"/>
        <v>0</v>
      </c>
      <c r="BH147" s="29">
        <f t="shared" si="114"/>
        <v>0</v>
      </c>
      <c r="BI147" s="29">
        <f t="shared" si="114"/>
        <v>0</v>
      </c>
      <c r="BJ147" s="29">
        <f t="shared" si="114"/>
        <v>0</v>
      </c>
      <c r="BK147" s="29">
        <f t="shared" si="114"/>
        <v>0</v>
      </c>
      <c r="BL147" s="29">
        <f t="shared" si="114"/>
        <v>0</v>
      </c>
      <c r="BM147" s="29">
        <f t="shared" si="114"/>
        <v>0</v>
      </c>
      <c r="BN147" s="29">
        <f t="shared" si="114"/>
        <v>0</v>
      </c>
      <c r="BO147" s="29">
        <f t="shared" si="114"/>
        <v>0</v>
      </c>
      <c r="BP147" s="29">
        <f t="shared" si="114"/>
        <v>0</v>
      </c>
      <c r="BQ147" s="29">
        <f t="shared" si="114"/>
        <v>0</v>
      </c>
      <c r="BR147" s="29">
        <f t="shared" si="114"/>
        <v>0</v>
      </c>
      <c r="BS147" s="29">
        <f t="shared" si="114"/>
        <v>0</v>
      </c>
      <c r="BT147" s="29">
        <f t="shared" si="114"/>
        <v>0</v>
      </c>
      <c r="BU147" s="29">
        <f t="shared" si="114"/>
        <v>0</v>
      </c>
      <c r="BV147" s="29">
        <f t="shared" si="114"/>
        <v>0</v>
      </c>
      <c r="BW147" s="29">
        <f t="shared" si="114"/>
        <v>0</v>
      </c>
      <c r="BX147" s="29">
        <f t="shared" si="114"/>
        <v>0</v>
      </c>
      <c r="BY147" s="29">
        <f t="shared" si="114"/>
        <v>0</v>
      </c>
      <c r="BZ147" s="29">
        <f t="shared" si="114"/>
        <v>0</v>
      </c>
      <c r="CA147" s="29">
        <f t="shared" si="114"/>
        <v>0</v>
      </c>
      <c r="CB147" s="29">
        <f t="shared" si="114"/>
        <v>0</v>
      </c>
      <c r="CC147" s="29">
        <f t="shared" si="114"/>
        <v>0</v>
      </c>
      <c r="CD147" s="29">
        <f t="shared" si="114"/>
        <v>0</v>
      </c>
      <c r="CE147" s="29">
        <f t="shared" si="114"/>
        <v>0</v>
      </c>
      <c r="CF147" s="29">
        <f t="shared" si="114"/>
        <v>0</v>
      </c>
      <c r="CG147" s="29">
        <f t="shared" si="114"/>
        <v>0</v>
      </c>
      <c r="CH147" s="29">
        <f t="shared" si="114"/>
        <v>0</v>
      </c>
    </row>
    <row r="148" spans="2:86" ht="13" hidden="1" outlineLevel="1">
      <c r="B148" s="84">
        <f t="shared" si="71"/>
        <v>45</v>
      </c>
      <c r="C148" s="64">
        <f t="shared" ca="1" si="69"/>
        <v>0.35600376008230028</v>
      </c>
      <c r="D148" s="15" t="s">
        <v>238</v>
      </c>
      <c r="E148" s="29">
        <f t="shared" ca="1" si="59"/>
        <v>55701812.083333328</v>
      </c>
      <c r="F148" s="29"/>
      <c r="G148" s="29">
        <f t="shared" ref="G148:CH148" ca="1" si="115">IF(G$4&lt;=$B148,ABS(G$31)*-1+G$47,0)+IF($B148=G$4,G$81,0)</f>
        <v>-1444375</v>
      </c>
      <c r="H148" s="29">
        <f t="shared" ca="1" si="115"/>
        <v>-1344375</v>
      </c>
      <c r="I148" s="29">
        <f t="shared" ca="1" si="115"/>
        <v>-1344375</v>
      </c>
      <c r="J148" s="29">
        <f t="shared" ca="1" si="115"/>
        <v>-1344375</v>
      </c>
      <c r="K148" s="29">
        <f t="shared" ca="1" si="115"/>
        <v>-1344375</v>
      </c>
      <c r="L148" s="29">
        <f t="shared" ca="1" si="115"/>
        <v>-1344375</v>
      </c>
      <c r="M148" s="29">
        <f t="shared" ca="1" si="115"/>
        <v>-1344375</v>
      </c>
      <c r="N148" s="29">
        <f t="shared" ca="1" si="115"/>
        <v>-1344375</v>
      </c>
      <c r="O148" s="29">
        <f t="shared" ca="1" si="115"/>
        <v>-1344375</v>
      </c>
      <c r="P148" s="29">
        <f t="shared" ca="1" si="115"/>
        <v>-1344375</v>
      </c>
      <c r="Q148" s="29">
        <f t="shared" ca="1" si="115"/>
        <v>-1344375</v>
      </c>
      <c r="R148" s="29">
        <f t="shared" ca="1" si="115"/>
        <v>-1344375</v>
      </c>
      <c r="S148" s="29">
        <f t="shared" ca="1" si="115"/>
        <v>-291239.58333333279</v>
      </c>
      <c r="T148" s="29">
        <f t="shared" ca="1" si="115"/>
        <v>-291239.58333333279</v>
      </c>
      <c r="U148" s="29">
        <f t="shared" ca="1" si="115"/>
        <v>-291239.58333333279</v>
      </c>
      <c r="V148" s="29">
        <f t="shared" ca="1" si="115"/>
        <v>-291239.58333333279</v>
      </c>
      <c r="W148" s="29">
        <f t="shared" ca="1" si="115"/>
        <v>3825453.1250000005</v>
      </c>
      <c r="X148" s="29">
        <f t="shared" ca="1" si="115"/>
        <v>3678872.2373188408</v>
      </c>
      <c r="Y148" s="29">
        <f t="shared" ca="1" si="115"/>
        <v>3313733.0533596845</v>
      </c>
      <c r="Z148" s="29">
        <f t="shared" ca="1" si="115"/>
        <v>3313733.0533596841</v>
      </c>
      <c r="AA148" s="29">
        <f t="shared" ca="1" si="115"/>
        <v>3353341.0902503296</v>
      </c>
      <c r="AB148" s="29">
        <f t="shared" ca="1" si="115"/>
        <v>3353341.09025033</v>
      </c>
      <c r="AC148" s="29">
        <f t="shared" ca="1" si="115"/>
        <v>3353341.09025033</v>
      </c>
      <c r="AD148" s="29">
        <f t="shared" ca="1" si="115"/>
        <v>3353341.09025033</v>
      </c>
      <c r="AE148" s="29">
        <f t="shared" ca="1" si="115"/>
        <v>4751736.4509222666</v>
      </c>
      <c r="AF148" s="29">
        <f t="shared" ca="1" si="115"/>
        <v>4751736.4509222666</v>
      </c>
      <c r="AG148" s="29">
        <f t="shared" ca="1" si="115"/>
        <v>4751736.4509222666</v>
      </c>
      <c r="AH148" s="29">
        <f t="shared" ca="1" si="115"/>
        <v>4751736.4509222666</v>
      </c>
      <c r="AI148" s="29">
        <f t="shared" ca="1" si="115"/>
        <v>3862141.1520092217</v>
      </c>
      <c r="AJ148" s="29">
        <f t="shared" ca="1" si="115"/>
        <v>3862141.1520092217</v>
      </c>
      <c r="AK148" s="29">
        <f t="shared" ca="1" si="115"/>
        <v>3862141.1520092217</v>
      </c>
      <c r="AL148" s="29">
        <f t="shared" ca="1" si="115"/>
        <v>3862141.1520092217</v>
      </c>
      <c r="AM148" s="29">
        <f t="shared" ca="1" si="115"/>
        <v>1237915.8843873511</v>
      </c>
      <c r="AN148" s="29">
        <f t="shared" ca="1" si="115"/>
        <v>1237915.8843873511</v>
      </c>
      <c r="AO148" s="29">
        <f t="shared" ca="1" si="115"/>
        <v>1237915.8843873511</v>
      </c>
      <c r="AP148" s="29">
        <f t="shared" ca="1" si="115"/>
        <v>1237915.8843873511</v>
      </c>
      <c r="AQ148" s="29">
        <f t="shared" ca="1" si="115"/>
        <v>1536735.1593379439</v>
      </c>
      <c r="AR148" s="29">
        <f t="shared" ca="1" si="115"/>
        <v>1536735.1593379439</v>
      </c>
      <c r="AS148" s="29">
        <f t="shared" ca="1" si="115"/>
        <v>1536735.1593379439</v>
      </c>
      <c r="AT148" s="29">
        <f t="shared" ca="1" si="115"/>
        <v>1536735.1593379439</v>
      </c>
      <c r="AU148" s="29">
        <f t="shared" ca="1" si="115"/>
        <v>0</v>
      </c>
      <c r="AV148" s="29">
        <f t="shared" ca="1" si="115"/>
        <v>0</v>
      </c>
      <c r="AW148" s="29">
        <f t="shared" ca="1" si="115"/>
        <v>0</v>
      </c>
      <c r="AX148" s="29">
        <f t="shared" ca="1" si="115"/>
        <v>0</v>
      </c>
      <c r="AY148" s="29">
        <f t="shared" ca="1" si="115"/>
        <v>0</v>
      </c>
      <c r="AZ148" s="29">
        <f t="shared" si="115"/>
        <v>0</v>
      </c>
      <c r="BA148" s="29">
        <f t="shared" si="115"/>
        <v>0</v>
      </c>
      <c r="BB148" s="29">
        <f t="shared" si="115"/>
        <v>0</v>
      </c>
      <c r="BC148" s="29">
        <f t="shared" si="115"/>
        <v>0</v>
      </c>
      <c r="BD148" s="29">
        <f t="shared" si="115"/>
        <v>0</v>
      </c>
      <c r="BE148" s="29">
        <f t="shared" si="115"/>
        <v>0</v>
      </c>
      <c r="BF148" s="29">
        <f t="shared" si="115"/>
        <v>0</v>
      </c>
      <c r="BG148" s="29">
        <f t="shared" si="115"/>
        <v>0</v>
      </c>
      <c r="BH148" s="29">
        <f t="shared" si="115"/>
        <v>0</v>
      </c>
      <c r="BI148" s="29">
        <f t="shared" si="115"/>
        <v>0</v>
      </c>
      <c r="BJ148" s="29">
        <f t="shared" si="115"/>
        <v>0</v>
      </c>
      <c r="BK148" s="29">
        <f t="shared" si="115"/>
        <v>0</v>
      </c>
      <c r="BL148" s="29">
        <f t="shared" si="115"/>
        <v>0</v>
      </c>
      <c r="BM148" s="29">
        <f t="shared" si="115"/>
        <v>0</v>
      </c>
      <c r="BN148" s="29">
        <f t="shared" si="115"/>
        <v>0</v>
      </c>
      <c r="BO148" s="29">
        <f t="shared" si="115"/>
        <v>0</v>
      </c>
      <c r="BP148" s="29">
        <f t="shared" si="115"/>
        <v>0</v>
      </c>
      <c r="BQ148" s="29">
        <f t="shared" si="115"/>
        <v>0</v>
      </c>
      <c r="BR148" s="29">
        <f t="shared" si="115"/>
        <v>0</v>
      </c>
      <c r="BS148" s="29">
        <f t="shared" si="115"/>
        <v>0</v>
      </c>
      <c r="BT148" s="29">
        <f t="shared" si="115"/>
        <v>0</v>
      </c>
      <c r="BU148" s="29">
        <f t="shared" si="115"/>
        <v>0</v>
      </c>
      <c r="BV148" s="29">
        <f t="shared" si="115"/>
        <v>0</v>
      </c>
      <c r="BW148" s="29">
        <f t="shared" si="115"/>
        <v>0</v>
      </c>
      <c r="BX148" s="29">
        <f t="shared" si="115"/>
        <v>0</v>
      </c>
      <c r="BY148" s="29">
        <f t="shared" si="115"/>
        <v>0</v>
      </c>
      <c r="BZ148" s="29">
        <f t="shared" si="115"/>
        <v>0</v>
      </c>
      <c r="CA148" s="29">
        <f t="shared" si="115"/>
        <v>0</v>
      </c>
      <c r="CB148" s="29">
        <f t="shared" si="115"/>
        <v>0</v>
      </c>
      <c r="CC148" s="29">
        <f t="shared" si="115"/>
        <v>0</v>
      </c>
      <c r="CD148" s="29">
        <f t="shared" si="115"/>
        <v>0</v>
      </c>
      <c r="CE148" s="29">
        <f t="shared" si="115"/>
        <v>0</v>
      </c>
      <c r="CF148" s="29">
        <f t="shared" si="115"/>
        <v>0</v>
      </c>
      <c r="CG148" s="29">
        <f t="shared" si="115"/>
        <v>0</v>
      </c>
      <c r="CH148" s="29">
        <f t="shared" si="115"/>
        <v>0</v>
      </c>
    </row>
    <row r="149" spans="2:86" ht="13" hidden="1" outlineLevel="1">
      <c r="B149" s="84">
        <f t="shared" si="71"/>
        <v>46</v>
      </c>
      <c r="C149" s="64">
        <f t="shared" ca="1" si="69"/>
        <v>0.35600376008230028</v>
      </c>
      <c r="D149" s="15" t="s">
        <v>238</v>
      </c>
      <c r="E149" s="29">
        <f t="shared" ca="1" si="59"/>
        <v>55701812.083333328</v>
      </c>
      <c r="F149" s="29"/>
      <c r="G149" s="29">
        <f t="shared" ref="G149:CH149" ca="1" si="116">IF(G$4&lt;=$B149,ABS(G$31)*-1+G$47,0)+IF($B149=G$4,G$81,0)</f>
        <v>-1444375</v>
      </c>
      <c r="H149" s="29">
        <f t="shared" ca="1" si="116"/>
        <v>-1344375</v>
      </c>
      <c r="I149" s="29">
        <f t="shared" ca="1" si="116"/>
        <v>-1344375</v>
      </c>
      <c r="J149" s="29">
        <f t="shared" ca="1" si="116"/>
        <v>-1344375</v>
      </c>
      <c r="K149" s="29">
        <f t="shared" ca="1" si="116"/>
        <v>-1344375</v>
      </c>
      <c r="L149" s="29">
        <f t="shared" ca="1" si="116"/>
        <v>-1344375</v>
      </c>
      <c r="M149" s="29">
        <f t="shared" ca="1" si="116"/>
        <v>-1344375</v>
      </c>
      <c r="N149" s="29">
        <f t="shared" ca="1" si="116"/>
        <v>-1344375</v>
      </c>
      <c r="O149" s="29">
        <f t="shared" ca="1" si="116"/>
        <v>-1344375</v>
      </c>
      <c r="P149" s="29">
        <f t="shared" ca="1" si="116"/>
        <v>-1344375</v>
      </c>
      <c r="Q149" s="29">
        <f t="shared" ca="1" si="116"/>
        <v>-1344375</v>
      </c>
      <c r="R149" s="29">
        <f t="shared" ca="1" si="116"/>
        <v>-1344375</v>
      </c>
      <c r="S149" s="29">
        <f t="shared" ca="1" si="116"/>
        <v>-291239.58333333279</v>
      </c>
      <c r="T149" s="29">
        <f t="shared" ca="1" si="116"/>
        <v>-291239.58333333279</v>
      </c>
      <c r="U149" s="29">
        <f t="shared" ca="1" si="116"/>
        <v>-291239.58333333279</v>
      </c>
      <c r="V149" s="29">
        <f t="shared" ca="1" si="116"/>
        <v>-291239.58333333279</v>
      </c>
      <c r="W149" s="29">
        <f t="shared" ca="1" si="116"/>
        <v>3825453.1250000005</v>
      </c>
      <c r="X149" s="29">
        <f t="shared" ca="1" si="116"/>
        <v>3678872.2373188408</v>
      </c>
      <c r="Y149" s="29">
        <f t="shared" ca="1" si="116"/>
        <v>3313733.0533596845</v>
      </c>
      <c r="Z149" s="29">
        <f t="shared" ca="1" si="116"/>
        <v>3313733.0533596841</v>
      </c>
      <c r="AA149" s="29">
        <f t="shared" ca="1" si="116"/>
        <v>3353341.0902503296</v>
      </c>
      <c r="AB149" s="29">
        <f t="shared" ca="1" si="116"/>
        <v>3353341.09025033</v>
      </c>
      <c r="AC149" s="29">
        <f t="shared" ca="1" si="116"/>
        <v>3353341.09025033</v>
      </c>
      <c r="AD149" s="29">
        <f t="shared" ca="1" si="116"/>
        <v>3353341.09025033</v>
      </c>
      <c r="AE149" s="29">
        <f t="shared" ca="1" si="116"/>
        <v>4751736.4509222666</v>
      </c>
      <c r="AF149" s="29">
        <f t="shared" ca="1" si="116"/>
        <v>4751736.4509222666</v>
      </c>
      <c r="AG149" s="29">
        <f t="shared" ca="1" si="116"/>
        <v>4751736.4509222666</v>
      </c>
      <c r="AH149" s="29">
        <f t="shared" ca="1" si="116"/>
        <v>4751736.4509222666</v>
      </c>
      <c r="AI149" s="29">
        <f t="shared" ca="1" si="116"/>
        <v>3862141.1520092217</v>
      </c>
      <c r="AJ149" s="29">
        <f t="shared" ca="1" si="116"/>
        <v>3862141.1520092217</v>
      </c>
      <c r="AK149" s="29">
        <f t="shared" ca="1" si="116"/>
        <v>3862141.1520092217</v>
      </c>
      <c r="AL149" s="29">
        <f t="shared" ca="1" si="116"/>
        <v>3862141.1520092217</v>
      </c>
      <c r="AM149" s="29">
        <f t="shared" ca="1" si="116"/>
        <v>1237915.8843873511</v>
      </c>
      <c r="AN149" s="29">
        <f t="shared" ca="1" si="116"/>
        <v>1237915.8843873511</v>
      </c>
      <c r="AO149" s="29">
        <f t="shared" ca="1" si="116"/>
        <v>1237915.8843873511</v>
      </c>
      <c r="AP149" s="29">
        <f t="shared" ca="1" si="116"/>
        <v>1237915.8843873511</v>
      </c>
      <c r="AQ149" s="29">
        <f t="shared" ca="1" si="116"/>
        <v>1536735.1593379439</v>
      </c>
      <c r="AR149" s="29">
        <f t="shared" ca="1" si="116"/>
        <v>1536735.1593379439</v>
      </c>
      <c r="AS149" s="29">
        <f t="shared" ca="1" si="116"/>
        <v>1536735.1593379439</v>
      </c>
      <c r="AT149" s="29">
        <f t="shared" ca="1" si="116"/>
        <v>1536735.1593379439</v>
      </c>
      <c r="AU149" s="29">
        <f t="shared" ca="1" si="116"/>
        <v>0</v>
      </c>
      <c r="AV149" s="29">
        <f t="shared" ca="1" si="116"/>
        <v>0</v>
      </c>
      <c r="AW149" s="29">
        <f t="shared" ca="1" si="116"/>
        <v>0</v>
      </c>
      <c r="AX149" s="29">
        <f t="shared" ca="1" si="116"/>
        <v>0</v>
      </c>
      <c r="AY149" s="29">
        <f t="shared" ca="1" si="116"/>
        <v>0</v>
      </c>
      <c r="AZ149" s="29">
        <f t="shared" ca="1" si="116"/>
        <v>0</v>
      </c>
      <c r="BA149" s="29">
        <f t="shared" si="116"/>
        <v>0</v>
      </c>
      <c r="BB149" s="29">
        <f t="shared" si="116"/>
        <v>0</v>
      </c>
      <c r="BC149" s="29">
        <f t="shared" si="116"/>
        <v>0</v>
      </c>
      <c r="BD149" s="29">
        <f t="shared" si="116"/>
        <v>0</v>
      </c>
      <c r="BE149" s="29">
        <f t="shared" si="116"/>
        <v>0</v>
      </c>
      <c r="BF149" s="29">
        <f t="shared" si="116"/>
        <v>0</v>
      </c>
      <c r="BG149" s="29">
        <f t="shared" si="116"/>
        <v>0</v>
      </c>
      <c r="BH149" s="29">
        <f t="shared" si="116"/>
        <v>0</v>
      </c>
      <c r="BI149" s="29">
        <f t="shared" si="116"/>
        <v>0</v>
      </c>
      <c r="BJ149" s="29">
        <f t="shared" si="116"/>
        <v>0</v>
      </c>
      <c r="BK149" s="29">
        <f t="shared" si="116"/>
        <v>0</v>
      </c>
      <c r="BL149" s="29">
        <f t="shared" si="116"/>
        <v>0</v>
      </c>
      <c r="BM149" s="29">
        <f t="shared" si="116"/>
        <v>0</v>
      </c>
      <c r="BN149" s="29">
        <f t="shared" si="116"/>
        <v>0</v>
      </c>
      <c r="BO149" s="29">
        <f t="shared" si="116"/>
        <v>0</v>
      </c>
      <c r="BP149" s="29">
        <f t="shared" si="116"/>
        <v>0</v>
      </c>
      <c r="BQ149" s="29">
        <f t="shared" si="116"/>
        <v>0</v>
      </c>
      <c r="BR149" s="29">
        <f t="shared" si="116"/>
        <v>0</v>
      </c>
      <c r="BS149" s="29">
        <f t="shared" si="116"/>
        <v>0</v>
      </c>
      <c r="BT149" s="29">
        <f t="shared" si="116"/>
        <v>0</v>
      </c>
      <c r="BU149" s="29">
        <f t="shared" si="116"/>
        <v>0</v>
      </c>
      <c r="BV149" s="29">
        <f t="shared" si="116"/>
        <v>0</v>
      </c>
      <c r="BW149" s="29">
        <f t="shared" si="116"/>
        <v>0</v>
      </c>
      <c r="BX149" s="29">
        <f t="shared" si="116"/>
        <v>0</v>
      </c>
      <c r="BY149" s="29">
        <f t="shared" si="116"/>
        <v>0</v>
      </c>
      <c r="BZ149" s="29">
        <f t="shared" si="116"/>
        <v>0</v>
      </c>
      <c r="CA149" s="29">
        <f t="shared" si="116"/>
        <v>0</v>
      </c>
      <c r="CB149" s="29">
        <f t="shared" si="116"/>
        <v>0</v>
      </c>
      <c r="CC149" s="29">
        <f t="shared" si="116"/>
        <v>0</v>
      </c>
      <c r="CD149" s="29">
        <f t="shared" si="116"/>
        <v>0</v>
      </c>
      <c r="CE149" s="29">
        <f t="shared" si="116"/>
        <v>0</v>
      </c>
      <c r="CF149" s="29">
        <f t="shared" si="116"/>
        <v>0</v>
      </c>
      <c r="CG149" s="29">
        <f t="shared" si="116"/>
        <v>0</v>
      </c>
      <c r="CH149" s="29">
        <f t="shared" si="116"/>
        <v>0</v>
      </c>
    </row>
    <row r="150" spans="2:86" ht="13" hidden="1" outlineLevel="1">
      <c r="B150" s="84">
        <f t="shared" si="71"/>
        <v>47</v>
      </c>
      <c r="C150" s="64">
        <f t="shared" ca="1" si="69"/>
        <v>0.35600376008230028</v>
      </c>
      <c r="D150" s="15" t="s">
        <v>238</v>
      </c>
      <c r="E150" s="29">
        <f t="shared" ca="1" si="59"/>
        <v>55701812.083333328</v>
      </c>
      <c r="F150" s="29"/>
      <c r="G150" s="29">
        <f t="shared" ref="G150:CH150" ca="1" si="117">IF(G$4&lt;=$B150,ABS(G$31)*-1+G$47,0)+IF($B150=G$4,G$81,0)</f>
        <v>-1444375</v>
      </c>
      <c r="H150" s="29">
        <f t="shared" ca="1" si="117"/>
        <v>-1344375</v>
      </c>
      <c r="I150" s="29">
        <f t="shared" ca="1" si="117"/>
        <v>-1344375</v>
      </c>
      <c r="J150" s="29">
        <f t="shared" ca="1" si="117"/>
        <v>-1344375</v>
      </c>
      <c r="K150" s="29">
        <f t="shared" ca="1" si="117"/>
        <v>-1344375</v>
      </c>
      <c r="L150" s="29">
        <f t="shared" ca="1" si="117"/>
        <v>-1344375</v>
      </c>
      <c r="M150" s="29">
        <f t="shared" ca="1" si="117"/>
        <v>-1344375</v>
      </c>
      <c r="N150" s="29">
        <f t="shared" ca="1" si="117"/>
        <v>-1344375</v>
      </c>
      <c r="O150" s="29">
        <f t="shared" ca="1" si="117"/>
        <v>-1344375</v>
      </c>
      <c r="P150" s="29">
        <f t="shared" ca="1" si="117"/>
        <v>-1344375</v>
      </c>
      <c r="Q150" s="29">
        <f t="shared" ca="1" si="117"/>
        <v>-1344375</v>
      </c>
      <c r="R150" s="29">
        <f t="shared" ca="1" si="117"/>
        <v>-1344375</v>
      </c>
      <c r="S150" s="29">
        <f t="shared" ca="1" si="117"/>
        <v>-291239.58333333279</v>
      </c>
      <c r="T150" s="29">
        <f t="shared" ca="1" si="117"/>
        <v>-291239.58333333279</v>
      </c>
      <c r="U150" s="29">
        <f t="shared" ca="1" si="117"/>
        <v>-291239.58333333279</v>
      </c>
      <c r="V150" s="29">
        <f t="shared" ca="1" si="117"/>
        <v>-291239.58333333279</v>
      </c>
      <c r="W150" s="29">
        <f t="shared" ca="1" si="117"/>
        <v>3825453.1250000005</v>
      </c>
      <c r="X150" s="29">
        <f t="shared" ca="1" si="117"/>
        <v>3678872.2373188408</v>
      </c>
      <c r="Y150" s="29">
        <f t="shared" ca="1" si="117"/>
        <v>3313733.0533596845</v>
      </c>
      <c r="Z150" s="29">
        <f t="shared" ca="1" si="117"/>
        <v>3313733.0533596841</v>
      </c>
      <c r="AA150" s="29">
        <f t="shared" ca="1" si="117"/>
        <v>3353341.0902503296</v>
      </c>
      <c r="AB150" s="29">
        <f t="shared" ca="1" si="117"/>
        <v>3353341.09025033</v>
      </c>
      <c r="AC150" s="29">
        <f t="shared" ca="1" si="117"/>
        <v>3353341.09025033</v>
      </c>
      <c r="AD150" s="29">
        <f t="shared" ca="1" si="117"/>
        <v>3353341.09025033</v>
      </c>
      <c r="AE150" s="29">
        <f t="shared" ca="1" si="117"/>
        <v>4751736.4509222666</v>
      </c>
      <c r="AF150" s="29">
        <f t="shared" ca="1" si="117"/>
        <v>4751736.4509222666</v>
      </c>
      <c r="AG150" s="29">
        <f t="shared" ca="1" si="117"/>
        <v>4751736.4509222666</v>
      </c>
      <c r="AH150" s="29">
        <f t="shared" ca="1" si="117"/>
        <v>4751736.4509222666</v>
      </c>
      <c r="AI150" s="29">
        <f t="shared" ca="1" si="117"/>
        <v>3862141.1520092217</v>
      </c>
      <c r="AJ150" s="29">
        <f t="shared" ca="1" si="117"/>
        <v>3862141.1520092217</v>
      </c>
      <c r="AK150" s="29">
        <f t="shared" ca="1" si="117"/>
        <v>3862141.1520092217</v>
      </c>
      <c r="AL150" s="29">
        <f t="shared" ca="1" si="117"/>
        <v>3862141.1520092217</v>
      </c>
      <c r="AM150" s="29">
        <f t="shared" ca="1" si="117"/>
        <v>1237915.8843873511</v>
      </c>
      <c r="AN150" s="29">
        <f t="shared" ca="1" si="117"/>
        <v>1237915.8843873511</v>
      </c>
      <c r="AO150" s="29">
        <f t="shared" ca="1" si="117"/>
        <v>1237915.8843873511</v>
      </c>
      <c r="AP150" s="29">
        <f t="shared" ca="1" si="117"/>
        <v>1237915.8843873511</v>
      </c>
      <c r="AQ150" s="29">
        <f t="shared" ca="1" si="117"/>
        <v>1536735.1593379439</v>
      </c>
      <c r="AR150" s="29">
        <f t="shared" ca="1" si="117"/>
        <v>1536735.1593379439</v>
      </c>
      <c r="AS150" s="29">
        <f t="shared" ca="1" si="117"/>
        <v>1536735.1593379439</v>
      </c>
      <c r="AT150" s="29">
        <f t="shared" ca="1" si="117"/>
        <v>1536735.1593379439</v>
      </c>
      <c r="AU150" s="29">
        <f t="shared" ca="1" si="117"/>
        <v>0</v>
      </c>
      <c r="AV150" s="29">
        <f t="shared" ca="1" si="117"/>
        <v>0</v>
      </c>
      <c r="AW150" s="29">
        <f t="shared" ca="1" si="117"/>
        <v>0</v>
      </c>
      <c r="AX150" s="29">
        <f t="shared" ca="1" si="117"/>
        <v>0</v>
      </c>
      <c r="AY150" s="29">
        <f t="shared" ca="1" si="117"/>
        <v>0</v>
      </c>
      <c r="AZ150" s="29">
        <f t="shared" ca="1" si="117"/>
        <v>0</v>
      </c>
      <c r="BA150" s="29">
        <f t="shared" ca="1" si="117"/>
        <v>0</v>
      </c>
      <c r="BB150" s="29">
        <f t="shared" si="117"/>
        <v>0</v>
      </c>
      <c r="BC150" s="29">
        <f t="shared" si="117"/>
        <v>0</v>
      </c>
      <c r="BD150" s="29">
        <f t="shared" si="117"/>
        <v>0</v>
      </c>
      <c r="BE150" s="29">
        <f t="shared" si="117"/>
        <v>0</v>
      </c>
      <c r="BF150" s="29">
        <f t="shared" si="117"/>
        <v>0</v>
      </c>
      <c r="BG150" s="29">
        <f t="shared" si="117"/>
        <v>0</v>
      </c>
      <c r="BH150" s="29">
        <f t="shared" si="117"/>
        <v>0</v>
      </c>
      <c r="BI150" s="29">
        <f t="shared" si="117"/>
        <v>0</v>
      </c>
      <c r="BJ150" s="29">
        <f t="shared" si="117"/>
        <v>0</v>
      </c>
      <c r="BK150" s="29">
        <f t="shared" si="117"/>
        <v>0</v>
      </c>
      <c r="BL150" s="29">
        <f t="shared" si="117"/>
        <v>0</v>
      </c>
      <c r="BM150" s="29">
        <f t="shared" si="117"/>
        <v>0</v>
      </c>
      <c r="BN150" s="29">
        <f t="shared" si="117"/>
        <v>0</v>
      </c>
      <c r="BO150" s="29">
        <f t="shared" si="117"/>
        <v>0</v>
      </c>
      <c r="BP150" s="29">
        <f t="shared" si="117"/>
        <v>0</v>
      </c>
      <c r="BQ150" s="29">
        <f t="shared" si="117"/>
        <v>0</v>
      </c>
      <c r="BR150" s="29">
        <f t="shared" si="117"/>
        <v>0</v>
      </c>
      <c r="BS150" s="29">
        <f t="shared" si="117"/>
        <v>0</v>
      </c>
      <c r="BT150" s="29">
        <f t="shared" si="117"/>
        <v>0</v>
      </c>
      <c r="BU150" s="29">
        <f t="shared" si="117"/>
        <v>0</v>
      </c>
      <c r="BV150" s="29">
        <f t="shared" si="117"/>
        <v>0</v>
      </c>
      <c r="BW150" s="29">
        <f t="shared" si="117"/>
        <v>0</v>
      </c>
      <c r="BX150" s="29">
        <f t="shared" si="117"/>
        <v>0</v>
      </c>
      <c r="BY150" s="29">
        <f t="shared" si="117"/>
        <v>0</v>
      </c>
      <c r="BZ150" s="29">
        <f t="shared" si="117"/>
        <v>0</v>
      </c>
      <c r="CA150" s="29">
        <f t="shared" si="117"/>
        <v>0</v>
      </c>
      <c r="CB150" s="29">
        <f t="shared" si="117"/>
        <v>0</v>
      </c>
      <c r="CC150" s="29">
        <f t="shared" si="117"/>
        <v>0</v>
      </c>
      <c r="CD150" s="29">
        <f t="shared" si="117"/>
        <v>0</v>
      </c>
      <c r="CE150" s="29">
        <f t="shared" si="117"/>
        <v>0</v>
      </c>
      <c r="CF150" s="29">
        <f t="shared" si="117"/>
        <v>0</v>
      </c>
      <c r="CG150" s="29">
        <f t="shared" si="117"/>
        <v>0</v>
      </c>
      <c r="CH150" s="29">
        <f t="shared" si="117"/>
        <v>0</v>
      </c>
    </row>
    <row r="151" spans="2:86" ht="13" hidden="1" outlineLevel="1">
      <c r="B151" s="84">
        <f t="shared" si="71"/>
        <v>48</v>
      </c>
      <c r="C151" s="64">
        <f t="shared" ca="1" si="69"/>
        <v>0.35600376008230028</v>
      </c>
      <c r="D151" s="15" t="s">
        <v>238</v>
      </c>
      <c r="E151" s="29">
        <f t="shared" ca="1" si="59"/>
        <v>55701812.083333328</v>
      </c>
      <c r="F151" s="29"/>
      <c r="G151" s="29">
        <f t="shared" ref="G151:CH151" ca="1" si="118">IF(G$4&lt;=$B151,ABS(G$31)*-1+G$47,0)+IF($B151=G$4,G$81,0)</f>
        <v>-1444375</v>
      </c>
      <c r="H151" s="29">
        <f t="shared" ca="1" si="118"/>
        <v>-1344375</v>
      </c>
      <c r="I151" s="29">
        <f t="shared" ca="1" si="118"/>
        <v>-1344375</v>
      </c>
      <c r="J151" s="29">
        <f t="shared" ca="1" si="118"/>
        <v>-1344375</v>
      </c>
      <c r="K151" s="29">
        <f t="shared" ca="1" si="118"/>
        <v>-1344375</v>
      </c>
      <c r="L151" s="29">
        <f t="shared" ca="1" si="118"/>
        <v>-1344375</v>
      </c>
      <c r="M151" s="29">
        <f t="shared" ca="1" si="118"/>
        <v>-1344375</v>
      </c>
      <c r="N151" s="29">
        <f t="shared" ca="1" si="118"/>
        <v>-1344375</v>
      </c>
      <c r="O151" s="29">
        <f t="shared" ca="1" si="118"/>
        <v>-1344375</v>
      </c>
      <c r="P151" s="29">
        <f t="shared" ca="1" si="118"/>
        <v>-1344375</v>
      </c>
      <c r="Q151" s="29">
        <f t="shared" ca="1" si="118"/>
        <v>-1344375</v>
      </c>
      <c r="R151" s="29">
        <f t="shared" ca="1" si="118"/>
        <v>-1344375</v>
      </c>
      <c r="S151" s="29">
        <f t="shared" ca="1" si="118"/>
        <v>-291239.58333333279</v>
      </c>
      <c r="T151" s="29">
        <f t="shared" ca="1" si="118"/>
        <v>-291239.58333333279</v>
      </c>
      <c r="U151" s="29">
        <f t="shared" ca="1" si="118"/>
        <v>-291239.58333333279</v>
      </c>
      <c r="V151" s="29">
        <f t="shared" ca="1" si="118"/>
        <v>-291239.58333333279</v>
      </c>
      <c r="W151" s="29">
        <f t="shared" ca="1" si="118"/>
        <v>3825453.1250000005</v>
      </c>
      <c r="X151" s="29">
        <f t="shared" ca="1" si="118"/>
        <v>3678872.2373188408</v>
      </c>
      <c r="Y151" s="29">
        <f t="shared" ca="1" si="118"/>
        <v>3313733.0533596845</v>
      </c>
      <c r="Z151" s="29">
        <f t="shared" ca="1" si="118"/>
        <v>3313733.0533596841</v>
      </c>
      <c r="AA151" s="29">
        <f t="shared" ca="1" si="118"/>
        <v>3353341.0902503296</v>
      </c>
      <c r="AB151" s="29">
        <f t="shared" ca="1" si="118"/>
        <v>3353341.09025033</v>
      </c>
      <c r="AC151" s="29">
        <f t="shared" ca="1" si="118"/>
        <v>3353341.09025033</v>
      </c>
      <c r="AD151" s="29">
        <f t="shared" ca="1" si="118"/>
        <v>3353341.09025033</v>
      </c>
      <c r="AE151" s="29">
        <f t="shared" ca="1" si="118"/>
        <v>4751736.4509222666</v>
      </c>
      <c r="AF151" s="29">
        <f t="shared" ca="1" si="118"/>
        <v>4751736.4509222666</v>
      </c>
      <c r="AG151" s="29">
        <f t="shared" ca="1" si="118"/>
        <v>4751736.4509222666</v>
      </c>
      <c r="AH151" s="29">
        <f t="shared" ca="1" si="118"/>
        <v>4751736.4509222666</v>
      </c>
      <c r="AI151" s="29">
        <f t="shared" ca="1" si="118"/>
        <v>3862141.1520092217</v>
      </c>
      <c r="AJ151" s="29">
        <f t="shared" ca="1" si="118"/>
        <v>3862141.1520092217</v>
      </c>
      <c r="AK151" s="29">
        <f t="shared" ca="1" si="118"/>
        <v>3862141.1520092217</v>
      </c>
      <c r="AL151" s="29">
        <f t="shared" ca="1" si="118"/>
        <v>3862141.1520092217</v>
      </c>
      <c r="AM151" s="29">
        <f t="shared" ca="1" si="118"/>
        <v>1237915.8843873511</v>
      </c>
      <c r="AN151" s="29">
        <f t="shared" ca="1" si="118"/>
        <v>1237915.8843873511</v>
      </c>
      <c r="AO151" s="29">
        <f t="shared" ca="1" si="118"/>
        <v>1237915.8843873511</v>
      </c>
      <c r="AP151" s="29">
        <f t="shared" ca="1" si="118"/>
        <v>1237915.8843873511</v>
      </c>
      <c r="AQ151" s="29">
        <f t="shared" ca="1" si="118"/>
        <v>1536735.1593379439</v>
      </c>
      <c r="AR151" s="29">
        <f t="shared" ca="1" si="118"/>
        <v>1536735.1593379439</v>
      </c>
      <c r="AS151" s="29">
        <f t="shared" ca="1" si="118"/>
        <v>1536735.1593379439</v>
      </c>
      <c r="AT151" s="29">
        <f t="shared" ca="1" si="118"/>
        <v>1536735.1593379439</v>
      </c>
      <c r="AU151" s="29">
        <f t="shared" ca="1" si="118"/>
        <v>0</v>
      </c>
      <c r="AV151" s="29">
        <f t="shared" ca="1" si="118"/>
        <v>0</v>
      </c>
      <c r="AW151" s="29">
        <f t="shared" ca="1" si="118"/>
        <v>0</v>
      </c>
      <c r="AX151" s="29">
        <f t="shared" ca="1" si="118"/>
        <v>0</v>
      </c>
      <c r="AY151" s="29">
        <f t="shared" ca="1" si="118"/>
        <v>0</v>
      </c>
      <c r="AZ151" s="29">
        <f t="shared" ca="1" si="118"/>
        <v>0</v>
      </c>
      <c r="BA151" s="29">
        <f t="shared" ca="1" si="118"/>
        <v>0</v>
      </c>
      <c r="BB151" s="29">
        <f t="shared" ca="1" si="118"/>
        <v>0</v>
      </c>
      <c r="BC151" s="29">
        <f t="shared" si="118"/>
        <v>0</v>
      </c>
      <c r="BD151" s="29">
        <f t="shared" si="118"/>
        <v>0</v>
      </c>
      <c r="BE151" s="29">
        <f t="shared" si="118"/>
        <v>0</v>
      </c>
      <c r="BF151" s="29">
        <f t="shared" si="118"/>
        <v>0</v>
      </c>
      <c r="BG151" s="29">
        <f t="shared" si="118"/>
        <v>0</v>
      </c>
      <c r="BH151" s="29">
        <f t="shared" si="118"/>
        <v>0</v>
      </c>
      <c r="BI151" s="29">
        <f t="shared" si="118"/>
        <v>0</v>
      </c>
      <c r="BJ151" s="29">
        <f t="shared" si="118"/>
        <v>0</v>
      </c>
      <c r="BK151" s="29">
        <f t="shared" si="118"/>
        <v>0</v>
      </c>
      <c r="BL151" s="29">
        <f t="shared" si="118"/>
        <v>0</v>
      </c>
      <c r="BM151" s="29">
        <f t="shared" si="118"/>
        <v>0</v>
      </c>
      <c r="BN151" s="29">
        <f t="shared" si="118"/>
        <v>0</v>
      </c>
      <c r="BO151" s="29">
        <f t="shared" si="118"/>
        <v>0</v>
      </c>
      <c r="BP151" s="29">
        <f t="shared" si="118"/>
        <v>0</v>
      </c>
      <c r="BQ151" s="29">
        <f t="shared" si="118"/>
        <v>0</v>
      </c>
      <c r="BR151" s="29">
        <f t="shared" si="118"/>
        <v>0</v>
      </c>
      <c r="BS151" s="29">
        <f t="shared" si="118"/>
        <v>0</v>
      </c>
      <c r="BT151" s="29">
        <f t="shared" si="118"/>
        <v>0</v>
      </c>
      <c r="BU151" s="29">
        <f t="shared" si="118"/>
        <v>0</v>
      </c>
      <c r="BV151" s="29">
        <f t="shared" si="118"/>
        <v>0</v>
      </c>
      <c r="BW151" s="29">
        <f t="shared" si="118"/>
        <v>0</v>
      </c>
      <c r="BX151" s="29">
        <f t="shared" si="118"/>
        <v>0</v>
      </c>
      <c r="BY151" s="29">
        <f t="shared" si="118"/>
        <v>0</v>
      </c>
      <c r="BZ151" s="29">
        <f t="shared" si="118"/>
        <v>0</v>
      </c>
      <c r="CA151" s="29">
        <f t="shared" si="118"/>
        <v>0</v>
      </c>
      <c r="CB151" s="29">
        <f t="shared" si="118"/>
        <v>0</v>
      </c>
      <c r="CC151" s="29">
        <f t="shared" si="118"/>
        <v>0</v>
      </c>
      <c r="CD151" s="29">
        <f t="shared" si="118"/>
        <v>0</v>
      </c>
      <c r="CE151" s="29">
        <f t="shared" si="118"/>
        <v>0</v>
      </c>
      <c r="CF151" s="29">
        <f t="shared" si="118"/>
        <v>0</v>
      </c>
      <c r="CG151" s="29">
        <f t="shared" si="118"/>
        <v>0</v>
      </c>
      <c r="CH151" s="29">
        <f t="shared" si="118"/>
        <v>0</v>
      </c>
    </row>
    <row r="152" spans="2:86" ht="13" hidden="1" outlineLevel="1">
      <c r="B152" s="84">
        <f t="shared" si="71"/>
        <v>49</v>
      </c>
      <c r="C152" s="64">
        <f t="shared" ca="1" si="69"/>
        <v>0.35600376008230028</v>
      </c>
      <c r="D152" s="15" t="s">
        <v>238</v>
      </c>
      <c r="E152" s="29">
        <f t="shared" ca="1" si="59"/>
        <v>55701812.083333328</v>
      </c>
      <c r="F152" s="29"/>
      <c r="G152" s="29">
        <f t="shared" ref="G152:CH152" ca="1" si="119">IF(G$4&lt;=$B152,ABS(G$31)*-1+G$47,0)+IF($B152=G$4,G$81,0)</f>
        <v>-1444375</v>
      </c>
      <c r="H152" s="29">
        <f t="shared" ca="1" si="119"/>
        <v>-1344375</v>
      </c>
      <c r="I152" s="29">
        <f t="shared" ca="1" si="119"/>
        <v>-1344375</v>
      </c>
      <c r="J152" s="29">
        <f t="shared" ca="1" si="119"/>
        <v>-1344375</v>
      </c>
      <c r="K152" s="29">
        <f t="shared" ca="1" si="119"/>
        <v>-1344375</v>
      </c>
      <c r="L152" s="29">
        <f t="shared" ca="1" si="119"/>
        <v>-1344375</v>
      </c>
      <c r="M152" s="29">
        <f t="shared" ca="1" si="119"/>
        <v>-1344375</v>
      </c>
      <c r="N152" s="29">
        <f t="shared" ca="1" si="119"/>
        <v>-1344375</v>
      </c>
      <c r="O152" s="29">
        <f t="shared" ca="1" si="119"/>
        <v>-1344375</v>
      </c>
      <c r="P152" s="29">
        <f t="shared" ca="1" si="119"/>
        <v>-1344375</v>
      </c>
      <c r="Q152" s="29">
        <f t="shared" ca="1" si="119"/>
        <v>-1344375</v>
      </c>
      <c r="R152" s="29">
        <f t="shared" ca="1" si="119"/>
        <v>-1344375</v>
      </c>
      <c r="S152" s="29">
        <f t="shared" ca="1" si="119"/>
        <v>-291239.58333333279</v>
      </c>
      <c r="T152" s="29">
        <f t="shared" ca="1" si="119"/>
        <v>-291239.58333333279</v>
      </c>
      <c r="U152" s="29">
        <f t="shared" ca="1" si="119"/>
        <v>-291239.58333333279</v>
      </c>
      <c r="V152" s="29">
        <f t="shared" ca="1" si="119"/>
        <v>-291239.58333333279</v>
      </c>
      <c r="W152" s="29">
        <f t="shared" ca="1" si="119"/>
        <v>3825453.1250000005</v>
      </c>
      <c r="X152" s="29">
        <f t="shared" ca="1" si="119"/>
        <v>3678872.2373188408</v>
      </c>
      <c r="Y152" s="29">
        <f t="shared" ca="1" si="119"/>
        <v>3313733.0533596845</v>
      </c>
      <c r="Z152" s="29">
        <f t="shared" ca="1" si="119"/>
        <v>3313733.0533596841</v>
      </c>
      <c r="AA152" s="29">
        <f t="shared" ca="1" si="119"/>
        <v>3353341.0902503296</v>
      </c>
      <c r="AB152" s="29">
        <f t="shared" ca="1" si="119"/>
        <v>3353341.09025033</v>
      </c>
      <c r="AC152" s="29">
        <f t="shared" ca="1" si="119"/>
        <v>3353341.09025033</v>
      </c>
      <c r="AD152" s="29">
        <f t="shared" ca="1" si="119"/>
        <v>3353341.09025033</v>
      </c>
      <c r="AE152" s="29">
        <f t="shared" ca="1" si="119"/>
        <v>4751736.4509222666</v>
      </c>
      <c r="AF152" s="29">
        <f t="shared" ca="1" si="119"/>
        <v>4751736.4509222666</v>
      </c>
      <c r="AG152" s="29">
        <f t="shared" ca="1" si="119"/>
        <v>4751736.4509222666</v>
      </c>
      <c r="AH152" s="29">
        <f t="shared" ca="1" si="119"/>
        <v>4751736.4509222666</v>
      </c>
      <c r="AI152" s="29">
        <f t="shared" ca="1" si="119"/>
        <v>3862141.1520092217</v>
      </c>
      <c r="AJ152" s="29">
        <f t="shared" ca="1" si="119"/>
        <v>3862141.1520092217</v>
      </c>
      <c r="AK152" s="29">
        <f t="shared" ca="1" si="119"/>
        <v>3862141.1520092217</v>
      </c>
      <c r="AL152" s="29">
        <f t="shared" ca="1" si="119"/>
        <v>3862141.1520092217</v>
      </c>
      <c r="AM152" s="29">
        <f t="shared" ca="1" si="119"/>
        <v>1237915.8843873511</v>
      </c>
      <c r="AN152" s="29">
        <f t="shared" ca="1" si="119"/>
        <v>1237915.8843873511</v>
      </c>
      <c r="AO152" s="29">
        <f t="shared" ca="1" si="119"/>
        <v>1237915.8843873511</v>
      </c>
      <c r="AP152" s="29">
        <f t="shared" ca="1" si="119"/>
        <v>1237915.8843873511</v>
      </c>
      <c r="AQ152" s="29">
        <f t="shared" ca="1" si="119"/>
        <v>1536735.1593379439</v>
      </c>
      <c r="AR152" s="29">
        <f t="shared" ca="1" si="119"/>
        <v>1536735.1593379439</v>
      </c>
      <c r="AS152" s="29">
        <f t="shared" ca="1" si="119"/>
        <v>1536735.1593379439</v>
      </c>
      <c r="AT152" s="29">
        <f t="shared" ca="1" si="119"/>
        <v>1536735.1593379439</v>
      </c>
      <c r="AU152" s="29">
        <f t="shared" ca="1" si="119"/>
        <v>0</v>
      </c>
      <c r="AV152" s="29">
        <f t="shared" ca="1" si="119"/>
        <v>0</v>
      </c>
      <c r="AW152" s="29">
        <f t="shared" ca="1" si="119"/>
        <v>0</v>
      </c>
      <c r="AX152" s="29">
        <f t="shared" ca="1" si="119"/>
        <v>0</v>
      </c>
      <c r="AY152" s="29">
        <f t="shared" ca="1" si="119"/>
        <v>0</v>
      </c>
      <c r="AZ152" s="29">
        <f t="shared" ca="1" si="119"/>
        <v>0</v>
      </c>
      <c r="BA152" s="29">
        <f t="shared" ca="1" si="119"/>
        <v>0</v>
      </c>
      <c r="BB152" s="29">
        <f t="shared" ca="1" si="119"/>
        <v>0</v>
      </c>
      <c r="BC152" s="29">
        <f t="shared" ca="1" si="119"/>
        <v>0</v>
      </c>
      <c r="BD152" s="29">
        <f t="shared" si="119"/>
        <v>0</v>
      </c>
      <c r="BE152" s="29">
        <f t="shared" si="119"/>
        <v>0</v>
      </c>
      <c r="BF152" s="29">
        <f t="shared" si="119"/>
        <v>0</v>
      </c>
      <c r="BG152" s="29">
        <f t="shared" si="119"/>
        <v>0</v>
      </c>
      <c r="BH152" s="29">
        <f t="shared" si="119"/>
        <v>0</v>
      </c>
      <c r="BI152" s="29">
        <f t="shared" si="119"/>
        <v>0</v>
      </c>
      <c r="BJ152" s="29">
        <f t="shared" si="119"/>
        <v>0</v>
      </c>
      <c r="BK152" s="29">
        <f t="shared" si="119"/>
        <v>0</v>
      </c>
      <c r="BL152" s="29">
        <f t="shared" si="119"/>
        <v>0</v>
      </c>
      <c r="BM152" s="29">
        <f t="shared" si="119"/>
        <v>0</v>
      </c>
      <c r="BN152" s="29">
        <f t="shared" si="119"/>
        <v>0</v>
      </c>
      <c r="BO152" s="29">
        <f t="shared" si="119"/>
        <v>0</v>
      </c>
      <c r="BP152" s="29">
        <f t="shared" si="119"/>
        <v>0</v>
      </c>
      <c r="BQ152" s="29">
        <f t="shared" si="119"/>
        <v>0</v>
      </c>
      <c r="BR152" s="29">
        <f t="shared" si="119"/>
        <v>0</v>
      </c>
      <c r="BS152" s="29">
        <f t="shared" si="119"/>
        <v>0</v>
      </c>
      <c r="BT152" s="29">
        <f t="shared" si="119"/>
        <v>0</v>
      </c>
      <c r="BU152" s="29">
        <f t="shared" si="119"/>
        <v>0</v>
      </c>
      <c r="BV152" s="29">
        <f t="shared" si="119"/>
        <v>0</v>
      </c>
      <c r="BW152" s="29">
        <f t="shared" si="119"/>
        <v>0</v>
      </c>
      <c r="BX152" s="29">
        <f t="shared" si="119"/>
        <v>0</v>
      </c>
      <c r="BY152" s="29">
        <f t="shared" si="119"/>
        <v>0</v>
      </c>
      <c r="BZ152" s="29">
        <f t="shared" si="119"/>
        <v>0</v>
      </c>
      <c r="CA152" s="29">
        <f t="shared" si="119"/>
        <v>0</v>
      </c>
      <c r="CB152" s="29">
        <f t="shared" si="119"/>
        <v>0</v>
      </c>
      <c r="CC152" s="29">
        <f t="shared" si="119"/>
        <v>0</v>
      </c>
      <c r="CD152" s="29">
        <f t="shared" si="119"/>
        <v>0</v>
      </c>
      <c r="CE152" s="29">
        <f t="shared" si="119"/>
        <v>0</v>
      </c>
      <c r="CF152" s="29">
        <f t="shared" si="119"/>
        <v>0</v>
      </c>
      <c r="CG152" s="29">
        <f t="shared" si="119"/>
        <v>0</v>
      </c>
      <c r="CH152" s="29">
        <f t="shared" si="119"/>
        <v>0</v>
      </c>
    </row>
    <row r="153" spans="2:86" ht="13" hidden="1" outlineLevel="1">
      <c r="B153" s="84">
        <f t="shared" si="71"/>
        <v>50</v>
      </c>
      <c r="C153" s="64">
        <f t="shared" ca="1" si="69"/>
        <v>0.35600376008230028</v>
      </c>
      <c r="D153" s="15" t="s">
        <v>238</v>
      </c>
      <c r="E153" s="29">
        <f t="shared" ca="1" si="59"/>
        <v>55701812.083333328</v>
      </c>
      <c r="F153" s="29"/>
      <c r="G153" s="29">
        <f t="shared" ref="G153:CH153" ca="1" si="120">IF(G$4&lt;=$B153,ABS(G$31)*-1+G$47,0)+IF($B153=G$4,G$81,0)</f>
        <v>-1444375</v>
      </c>
      <c r="H153" s="29">
        <f t="shared" ca="1" si="120"/>
        <v>-1344375</v>
      </c>
      <c r="I153" s="29">
        <f t="shared" ca="1" si="120"/>
        <v>-1344375</v>
      </c>
      <c r="J153" s="29">
        <f t="shared" ca="1" si="120"/>
        <v>-1344375</v>
      </c>
      <c r="K153" s="29">
        <f t="shared" ca="1" si="120"/>
        <v>-1344375</v>
      </c>
      <c r="L153" s="29">
        <f t="shared" ca="1" si="120"/>
        <v>-1344375</v>
      </c>
      <c r="M153" s="29">
        <f t="shared" ca="1" si="120"/>
        <v>-1344375</v>
      </c>
      <c r="N153" s="29">
        <f t="shared" ca="1" si="120"/>
        <v>-1344375</v>
      </c>
      <c r="O153" s="29">
        <f t="shared" ca="1" si="120"/>
        <v>-1344375</v>
      </c>
      <c r="P153" s="29">
        <f t="shared" ca="1" si="120"/>
        <v>-1344375</v>
      </c>
      <c r="Q153" s="29">
        <f t="shared" ca="1" si="120"/>
        <v>-1344375</v>
      </c>
      <c r="R153" s="29">
        <f t="shared" ca="1" si="120"/>
        <v>-1344375</v>
      </c>
      <c r="S153" s="29">
        <f t="shared" ca="1" si="120"/>
        <v>-291239.58333333279</v>
      </c>
      <c r="T153" s="29">
        <f t="shared" ca="1" si="120"/>
        <v>-291239.58333333279</v>
      </c>
      <c r="U153" s="29">
        <f t="shared" ca="1" si="120"/>
        <v>-291239.58333333279</v>
      </c>
      <c r="V153" s="29">
        <f t="shared" ca="1" si="120"/>
        <v>-291239.58333333279</v>
      </c>
      <c r="W153" s="29">
        <f t="shared" ca="1" si="120"/>
        <v>3825453.1250000005</v>
      </c>
      <c r="X153" s="29">
        <f t="shared" ca="1" si="120"/>
        <v>3678872.2373188408</v>
      </c>
      <c r="Y153" s="29">
        <f t="shared" ca="1" si="120"/>
        <v>3313733.0533596845</v>
      </c>
      <c r="Z153" s="29">
        <f t="shared" ca="1" si="120"/>
        <v>3313733.0533596841</v>
      </c>
      <c r="AA153" s="29">
        <f t="shared" ca="1" si="120"/>
        <v>3353341.0902503296</v>
      </c>
      <c r="AB153" s="29">
        <f t="shared" ca="1" si="120"/>
        <v>3353341.09025033</v>
      </c>
      <c r="AC153" s="29">
        <f t="shared" ca="1" si="120"/>
        <v>3353341.09025033</v>
      </c>
      <c r="AD153" s="29">
        <f t="shared" ca="1" si="120"/>
        <v>3353341.09025033</v>
      </c>
      <c r="AE153" s="29">
        <f t="shared" ca="1" si="120"/>
        <v>4751736.4509222666</v>
      </c>
      <c r="AF153" s="29">
        <f t="shared" ca="1" si="120"/>
        <v>4751736.4509222666</v>
      </c>
      <c r="AG153" s="29">
        <f t="shared" ca="1" si="120"/>
        <v>4751736.4509222666</v>
      </c>
      <c r="AH153" s="29">
        <f t="shared" ca="1" si="120"/>
        <v>4751736.4509222666</v>
      </c>
      <c r="AI153" s="29">
        <f t="shared" ca="1" si="120"/>
        <v>3862141.1520092217</v>
      </c>
      <c r="AJ153" s="29">
        <f t="shared" ca="1" si="120"/>
        <v>3862141.1520092217</v>
      </c>
      <c r="AK153" s="29">
        <f t="shared" ca="1" si="120"/>
        <v>3862141.1520092217</v>
      </c>
      <c r="AL153" s="29">
        <f t="shared" ca="1" si="120"/>
        <v>3862141.1520092217</v>
      </c>
      <c r="AM153" s="29">
        <f t="shared" ca="1" si="120"/>
        <v>1237915.8843873511</v>
      </c>
      <c r="AN153" s="29">
        <f t="shared" ca="1" si="120"/>
        <v>1237915.8843873511</v>
      </c>
      <c r="AO153" s="29">
        <f t="shared" ca="1" si="120"/>
        <v>1237915.8843873511</v>
      </c>
      <c r="AP153" s="29">
        <f t="shared" ca="1" si="120"/>
        <v>1237915.8843873511</v>
      </c>
      <c r="AQ153" s="29">
        <f t="shared" ca="1" si="120"/>
        <v>1536735.1593379439</v>
      </c>
      <c r="AR153" s="29">
        <f t="shared" ca="1" si="120"/>
        <v>1536735.1593379439</v>
      </c>
      <c r="AS153" s="29">
        <f t="shared" ca="1" si="120"/>
        <v>1536735.1593379439</v>
      </c>
      <c r="AT153" s="29">
        <f t="shared" ca="1" si="120"/>
        <v>1536735.1593379439</v>
      </c>
      <c r="AU153" s="29">
        <f t="shared" ca="1" si="120"/>
        <v>0</v>
      </c>
      <c r="AV153" s="29">
        <f t="shared" ca="1" si="120"/>
        <v>0</v>
      </c>
      <c r="AW153" s="29">
        <f t="shared" ca="1" si="120"/>
        <v>0</v>
      </c>
      <c r="AX153" s="29">
        <f t="shared" ca="1" si="120"/>
        <v>0</v>
      </c>
      <c r="AY153" s="29">
        <f t="shared" ca="1" si="120"/>
        <v>0</v>
      </c>
      <c r="AZ153" s="29">
        <f t="shared" ca="1" si="120"/>
        <v>0</v>
      </c>
      <c r="BA153" s="29">
        <f t="shared" ca="1" si="120"/>
        <v>0</v>
      </c>
      <c r="BB153" s="29">
        <f t="shared" ca="1" si="120"/>
        <v>0</v>
      </c>
      <c r="BC153" s="29">
        <f t="shared" ca="1" si="120"/>
        <v>0</v>
      </c>
      <c r="BD153" s="29">
        <f t="shared" ca="1" si="120"/>
        <v>0</v>
      </c>
      <c r="BE153" s="29">
        <f t="shared" si="120"/>
        <v>0</v>
      </c>
      <c r="BF153" s="29">
        <f t="shared" si="120"/>
        <v>0</v>
      </c>
      <c r="BG153" s="29">
        <f t="shared" si="120"/>
        <v>0</v>
      </c>
      <c r="BH153" s="29">
        <f t="shared" si="120"/>
        <v>0</v>
      </c>
      <c r="BI153" s="29">
        <f t="shared" si="120"/>
        <v>0</v>
      </c>
      <c r="BJ153" s="29">
        <f t="shared" si="120"/>
        <v>0</v>
      </c>
      <c r="BK153" s="29">
        <f t="shared" si="120"/>
        <v>0</v>
      </c>
      <c r="BL153" s="29">
        <f t="shared" si="120"/>
        <v>0</v>
      </c>
      <c r="BM153" s="29">
        <f t="shared" si="120"/>
        <v>0</v>
      </c>
      <c r="BN153" s="29">
        <f t="shared" si="120"/>
        <v>0</v>
      </c>
      <c r="BO153" s="29">
        <f t="shared" si="120"/>
        <v>0</v>
      </c>
      <c r="BP153" s="29">
        <f t="shared" si="120"/>
        <v>0</v>
      </c>
      <c r="BQ153" s="29">
        <f t="shared" si="120"/>
        <v>0</v>
      </c>
      <c r="BR153" s="29">
        <f t="shared" si="120"/>
        <v>0</v>
      </c>
      <c r="BS153" s="29">
        <f t="shared" si="120"/>
        <v>0</v>
      </c>
      <c r="BT153" s="29">
        <f t="shared" si="120"/>
        <v>0</v>
      </c>
      <c r="BU153" s="29">
        <f t="shared" si="120"/>
        <v>0</v>
      </c>
      <c r="BV153" s="29">
        <f t="shared" si="120"/>
        <v>0</v>
      </c>
      <c r="BW153" s="29">
        <f t="shared" si="120"/>
        <v>0</v>
      </c>
      <c r="BX153" s="29">
        <f t="shared" si="120"/>
        <v>0</v>
      </c>
      <c r="BY153" s="29">
        <f t="shared" si="120"/>
        <v>0</v>
      </c>
      <c r="BZ153" s="29">
        <f t="shared" si="120"/>
        <v>0</v>
      </c>
      <c r="CA153" s="29">
        <f t="shared" si="120"/>
        <v>0</v>
      </c>
      <c r="CB153" s="29">
        <f t="shared" si="120"/>
        <v>0</v>
      </c>
      <c r="CC153" s="29">
        <f t="shared" si="120"/>
        <v>0</v>
      </c>
      <c r="CD153" s="29">
        <f t="shared" si="120"/>
        <v>0</v>
      </c>
      <c r="CE153" s="29">
        <f t="shared" si="120"/>
        <v>0</v>
      </c>
      <c r="CF153" s="29">
        <f t="shared" si="120"/>
        <v>0</v>
      </c>
      <c r="CG153" s="29">
        <f t="shared" si="120"/>
        <v>0</v>
      </c>
      <c r="CH153" s="29">
        <f t="shared" si="120"/>
        <v>0</v>
      </c>
    </row>
    <row r="154" spans="2:86" ht="13" hidden="1" outlineLevel="1">
      <c r="B154" s="84">
        <f t="shared" si="71"/>
        <v>51</v>
      </c>
      <c r="C154" s="64">
        <f t="shared" ca="1" si="69"/>
        <v>0.35600376008230028</v>
      </c>
      <c r="D154" s="15" t="s">
        <v>238</v>
      </c>
      <c r="E154" s="29">
        <f t="shared" ca="1" si="59"/>
        <v>55701812.083333328</v>
      </c>
      <c r="F154" s="29"/>
      <c r="G154" s="29">
        <f t="shared" ref="G154:CH154" ca="1" si="121">IF(G$4&lt;=$B154,ABS(G$31)*-1+G$47,0)+IF($B154=G$4,G$81,0)</f>
        <v>-1444375</v>
      </c>
      <c r="H154" s="29">
        <f t="shared" ca="1" si="121"/>
        <v>-1344375</v>
      </c>
      <c r="I154" s="29">
        <f t="shared" ca="1" si="121"/>
        <v>-1344375</v>
      </c>
      <c r="J154" s="29">
        <f t="shared" ca="1" si="121"/>
        <v>-1344375</v>
      </c>
      <c r="K154" s="29">
        <f t="shared" ca="1" si="121"/>
        <v>-1344375</v>
      </c>
      <c r="L154" s="29">
        <f t="shared" ca="1" si="121"/>
        <v>-1344375</v>
      </c>
      <c r="M154" s="29">
        <f t="shared" ca="1" si="121"/>
        <v>-1344375</v>
      </c>
      <c r="N154" s="29">
        <f t="shared" ca="1" si="121"/>
        <v>-1344375</v>
      </c>
      <c r="O154" s="29">
        <f t="shared" ca="1" si="121"/>
        <v>-1344375</v>
      </c>
      <c r="P154" s="29">
        <f t="shared" ca="1" si="121"/>
        <v>-1344375</v>
      </c>
      <c r="Q154" s="29">
        <f t="shared" ca="1" si="121"/>
        <v>-1344375</v>
      </c>
      <c r="R154" s="29">
        <f t="shared" ca="1" si="121"/>
        <v>-1344375</v>
      </c>
      <c r="S154" s="29">
        <f t="shared" ca="1" si="121"/>
        <v>-291239.58333333279</v>
      </c>
      <c r="T154" s="29">
        <f t="shared" ca="1" si="121"/>
        <v>-291239.58333333279</v>
      </c>
      <c r="U154" s="29">
        <f t="shared" ca="1" si="121"/>
        <v>-291239.58333333279</v>
      </c>
      <c r="V154" s="29">
        <f t="shared" ca="1" si="121"/>
        <v>-291239.58333333279</v>
      </c>
      <c r="W154" s="29">
        <f t="shared" ca="1" si="121"/>
        <v>3825453.1250000005</v>
      </c>
      <c r="X154" s="29">
        <f t="shared" ca="1" si="121"/>
        <v>3678872.2373188408</v>
      </c>
      <c r="Y154" s="29">
        <f t="shared" ca="1" si="121"/>
        <v>3313733.0533596845</v>
      </c>
      <c r="Z154" s="29">
        <f t="shared" ca="1" si="121"/>
        <v>3313733.0533596841</v>
      </c>
      <c r="AA154" s="29">
        <f t="shared" ca="1" si="121"/>
        <v>3353341.0902503296</v>
      </c>
      <c r="AB154" s="29">
        <f t="shared" ca="1" si="121"/>
        <v>3353341.09025033</v>
      </c>
      <c r="AC154" s="29">
        <f t="shared" ca="1" si="121"/>
        <v>3353341.09025033</v>
      </c>
      <c r="AD154" s="29">
        <f t="shared" ca="1" si="121"/>
        <v>3353341.09025033</v>
      </c>
      <c r="AE154" s="29">
        <f t="shared" ca="1" si="121"/>
        <v>4751736.4509222666</v>
      </c>
      <c r="AF154" s="29">
        <f t="shared" ca="1" si="121"/>
        <v>4751736.4509222666</v>
      </c>
      <c r="AG154" s="29">
        <f t="shared" ca="1" si="121"/>
        <v>4751736.4509222666</v>
      </c>
      <c r="AH154" s="29">
        <f t="shared" ca="1" si="121"/>
        <v>4751736.4509222666</v>
      </c>
      <c r="AI154" s="29">
        <f t="shared" ca="1" si="121"/>
        <v>3862141.1520092217</v>
      </c>
      <c r="AJ154" s="29">
        <f t="shared" ca="1" si="121"/>
        <v>3862141.1520092217</v>
      </c>
      <c r="AK154" s="29">
        <f t="shared" ca="1" si="121"/>
        <v>3862141.1520092217</v>
      </c>
      <c r="AL154" s="29">
        <f t="shared" ca="1" si="121"/>
        <v>3862141.1520092217</v>
      </c>
      <c r="AM154" s="29">
        <f t="shared" ca="1" si="121"/>
        <v>1237915.8843873511</v>
      </c>
      <c r="AN154" s="29">
        <f t="shared" ca="1" si="121"/>
        <v>1237915.8843873511</v>
      </c>
      <c r="AO154" s="29">
        <f t="shared" ca="1" si="121"/>
        <v>1237915.8843873511</v>
      </c>
      <c r="AP154" s="29">
        <f t="shared" ca="1" si="121"/>
        <v>1237915.8843873511</v>
      </c>
      <c r="AQ154" s="29">
        <f t="shared" ca="1" si="121"/>
        <v>1536735.1593379439</v>
      </c>
      <c r="AR154" s="29">
        <f t="shared" ca="1" si="121"/>
        <v>1536735.1593379439</v>
      </c>
      <c r="AS154" s="29">
        <f t="shared" ca="1" si="121"/>
        <v>1536735.1593379439</v>
      </c>
      <c r="AT154" s="29">
        <f t="shared" ca="1" si="121"/>
        <v>1536735.1593379439</v>
      </c>
      <c r="AU154" s="29">
        <f t="shared" ca="1" si="121"/>
        <v>0</v>
      </c>
      <c r="AV154" s="29">
        <f t="shared" ca="1" si="121"/>
        <v>0</v>
      </c>
      <c r="AW154" s="29">
        <f t="shared" ca="1" si="121"/>
        <v>0</v>
      </c>
      <c r="AX154" s="29">
        <f t="shared" ca="1" si="121"/>
        <v>0</v>
      </c>
      <c r="AY154" s="29">
        <f t="shared" ca="1" si="121"/>
        <v>0</v>
      </c>
      <c r="AZ154" s="29">
        <f t="shared" ca="1" si="121"/>
        <v>0</v>
      </c>
      <c r="BA154" s="29">
        <f t="shared" ca="1" si="121"/>
        <v>0</v>
      </c>
      <c r="BB154" s="29">
        <f t="shared" ca="1" si="121"/>
        <v>0</v>
      </c>
      <c r="BC154" s="29">
        <f t="shared" ca="1" si="121"/>
        <v>0</v>
      </c>
      <c r="BD154" s="29">
        <f t="shared" ca="1" si="121"/>
        <v>0</v>
      </c>
      <c r="BE154" s="29">
        <f t="shared" ca="1" si="121"/>
        <v>0</v>
      </c>
      <c r="BF154" s="29">
        <f t="shared" si="121"/>
        <v>0</v>
      </c>
      <c r="BG154" s="29">
        <f t="shared" si="121"/>
        <v>0</v>
      </c>
      <c r="BH154" s="29">
        <f t="shared" si="121"/>
        <v>0</v>
      </c>
      <c r="BI154" s="29">
        <f t="shared" si="121"/>
        <v>0</v>
      </c>
      <c r="BJ154" s="29">
        <f t="shared" si="121"/>
        <v>0</v>
      </c>
      <c r="BK154" s="29">
        <f t="shared" si="121"/>
        <v>0</v>
      </c>
      <c r="BL154" s="29">
        <f t="shared" si="121"/>
        <v>0</v>
      </c>
      <c r="BM154" s="29">
        <f t="shared" si="121"/>
        <v>0</v>
      </c>
      <c r="BN154" s="29">
        <f t="shared" si="121"/>
        <v>0</v>
      </c>
      <c r="BO154" s="29">
        <f t="shared" si="121"/>
        <v>0</v>
      </c>
      <c r="BP154" s="29">
        <f t="shared" si="121"/>
        <v>0</v>
      </c>
      <c r="BQ154" s="29">
        <f t="shared" si="121"/>
        <v>0</v>
      </c>
      <c r="BR154" s="29">
        <f t="shared" si="121"/>
        <v>0</v>
      </c>
      <c r="BS154" s="29">
        <f t="shared" si="121"/>
        <v>0</v>
      </c>
      <c r="BT154" s="29">
        <f t="shared" si="121"/>
        <v>0</v>
      </c>
      <c r="BU154" s="29">
        <f t="shared" si="121"/>
        <v>0</v>
      </c>
      <c r="BV154" s="29">
        <f t="shared" si="121"/>
        <v>0</v>
      </c>
      <c r="BW154" s="29">
        <f t="shared" si="121"/>
        <v>0</v>
      </c>
      <c r="BX154" s="29">
        <f t="shared" si="121"/>
        <v>0</v>
      </c>
      <c r="BY154" s="29">
        <f t="shared" si="121"/>
        <v>0</v>
      </c>
      <c r="BZ154" s="29">
        <f t="shared" si="121"/>
        <v>0</v>
      </c>
      <c r="CA154" s="29">
        <f t="shared" si="121"/>
        <v>0</v>
      </c>
      <c r="CB154" s="29">
        <f t="shared" si="121"/>
        <v>0</v>
      </c>
      <c r="CC154" s="29">
        <f t="shared" si="121"/>
        <v>0</v>
      </c>
      <c r="CD154" s="29">
        <f t="shared" si="121"/>
        <v>0</v>
      </c>
      <c r="CE154" s="29">
        <f t="shared" si="121"/>
        <v>0</v>
      </c>
      <c r="CF154" s="29">
        <f t="shared" si="121"/>
        <v>0</v>
      </c>
      <c r="CG154" s="29">
        <f t="shared" si="121"/>
        <v>0</v>
      </c>
      <c r="CH154" s="29">
        <f t="shared" si="121"/>
        <v>0</v>
      </c>
    </row>
    <row r="155" spans="2:86" ht="13" hidden="1" outlineLevel="1">
      <c r="B155" s="84">
        <f t="shared" si="71"/>
        <v>52</v>
      </c>
      <c r="C155" s="64">
        <f t="shared" ca="1" si="69"/>
        <v>0.35600376008230028</v>
      </c>
      <c r="D155" s="15" t="s">
        <v>238</v>
      </c>
      <c r="E155" s="29">
        <f t="shared" ca="1" si="59"/>
        <v>55701812.083333328</v>
      </c>
      <c r="F155" s="29"/>
      <c r="G155" s="29">
        <f t="shared" ref="G155:CH155" ca="1" si="122">IF(G$4&lt;=$B155,ABS(G$31)*-1+G$47,0)+IF($B155=G$4,G$81,0)</f>
        <v>-1444375</v>
      </c>
      <c r="H155" s="29">
        <f t="shared" ca="1" si="122"/>
        <v>-1344375</v>
      </c>
      <c r="I155" s="29">
        <f t="shared" ca="1" si="122"/>
        <v>-1344375</v>
      </c>
      <c r="J155" s="29">
        <f t="shared" ca="1" si="122"/>
        <v>-1344375</v>
      </c>
      <c r="K155" s="29">
        <f t="shared" ca="1" si="122"/>
        <v>-1344375</v>
      </c>
      <c r="L155" s="29">
        <f t="shared" ca="1" si="122"/>
        <v>-1344375</v>
      </c>
      <c r="M155" s="29">
        <f t="shared" ca="1" si="122"/>
        <v>-1344375</v>
      </c>
      <c r="N155" s="29">
        <f t="shared" ca="1" si="122"/>
        <v>-1344375</v>
      </c>
      <c r="O155" s="29">
        <f t="shared" ca="1" si="122"/>
        <v>-1344375</v>
      </c>
      <c r="P155" s="29">
        <f t="shared" ca="1" si="122"/>
        <v>-1344375</v>
      </c>
      <c r="Q155" s="29">
        <f t="shared" ca="1" si="122"/>
        <v>-1344375</v>
      </c>
      <c r="R155" s="29">
        <f t="shared" ca="1" si="122"/>
        <v>-1344375</v>
      </c>
      <c r="S155" s="29">
        <f t="shared" ca="1" si="122"/>
        <v>-291239.58333333279</v>
      </c>
      <c r="T155" s="29">
        <f t="shared" ca="1" si="122"/>
        <v>-291239.58333333279</v>
      </c>
      <c r="U155" s="29">
        <f t="shared" ca="1" si="122"/>
        <v>-291239.58333333279</v>
      </c>
      <c r="V155" s="29">
        <f t="shared" ca="1" si="122"/>
        <v>-291239.58333333279</v>
      </c>
      <c r="W155" s="29">
        <f t="shared" ca="1" si="122"/>
        <v>3825453.1250000005</v>
      </c>
      <c r="X155" s="29">
        <f t="shared" ca="1" si="122"/>
        <v>3678872.2373188408</v>
      </c>
      <c r="Y155" s="29">
        <f t="shared" ca="1" si="122"/>
        <v>3313733.0533596845</v>
      </c>
      <c r="Z155" s="29">
        <f t="shared" ca="1" si="122"/>
        <v>3313733.0533596841</v>
      </c>
      <c r="AA155" s="29">
        <f t="shared" ca="1" si="122"/>
        <v>3353341.0902503296</v>
      </c>
      <c r="AB155" s="29">
        <f t="shared" ca="1" si="122"/>
        <v>3353341.09025033</v>
      </c>
      <c r="AC155" s="29">
        <f t="shared" ca="1" si="122"/>
        <v>3353341.09025033</v>
      </c>
      <c r="AD155" s="29">
        <f t="shared" ca="1" si="122"/>
        <v>3353341.09025033</v>
      </c>
      <c r="AE155" s="29">
        <f t="shared" ca="1" si="122"/>
        <v>4751736.4509222666</v>
      </c>
      <c r="AF155" s="29">
        <f t="shared" ca="1" si="122"/>
        <v>4751736.4509222666</v>
      </c>
      <c r="AG155" s="29">
        <f t="shared" ca="1" si="122"/>
        <v>4751736.4509222666</v>
      </c>
      <c r="AH155" s="29">
        <f t="shared" ca="1" si="122"/>
        <v>4751736.4509222666</v>
      </c>
      <c r="AI155" s="29">
        <f t="shared" ca="1" si="122"/>
        <v>3862141.1520092217</v>
      </c>
      <c r="AJ155" s="29">
        <f t="shared" ca="1" si="122"/>
        <v>3862141.1520092217</v>
      </c>
      <c r="AK155" s="29">
        <f t="shared" ca="1" si="122"/>
        <v>3862141.1520092217</v>
      </c>
      <c r="AL155" s="29">
        <f t="shared" ca="1" si="122"/>
        <v>3862141.1520092217</v>
      </c>
      <c r="AM155" s="29">
        <f t="shared" ca="1" si="122"/>
        <v>1237915.8843873511</v>
      </c>
      <c r="AN155" s="29">
        <f t="shared" ca="1" si="122"/>
        <v>1237915.8843873511</v>
      </c>
      <c r="AO155" s="29">
        <f t="shared" ca="1" si="122"/>
        <v>1237915.8843873511</v>
      </c>
      <c r="AP155" s="29">
        <f t="shared" ca="1" si="122"/>
        <v>1237915.8843873511</v>
      </c>
      <c r="AQ155" s="29">
        <f t="shared" ca="1" si="122"/>
        <v>1536735.1593379439</v>
      </c>
      <c r="AR155" s="29">
        <f t="shared" ca="1" si="122"/>
        <v>1536735.1593379439</v>
      </c>
      <c r="AS155" s="29">
        <f t="shared" ca="1" si="122"/>
        <v>1536735.1593379439</v>
      </c>
      <c r="AT155" s="29">
        <f t="shared" ca="1" si="122"/>
        <v>1536735.1593379439</v>
      </c>
      <c r="AU155" s="29">
        <f t="shared" ca="1" si="122"/>
        <v>0</v>
      </c>
      <c r="AV155" s="29">
        <f t="shared" ca="1" si="122"/>
        <v>0</v>
      </c>
      <c r="AW155" s="29">
        <f t="shared" ca="1" si="122"/>
        <v>0</v>
      </c>
      <c r="AX155" s="29">
        <f t="shared" ca="1" si="122"/>
        <v>0</v>
      </c>
      <c r="AY155" s="29">
        <f t="shared" ca="1" si="122"/>
        <v>0</v>
      </c>
      <c r="AZ155" s="29">
        <f t="shared" ca="1" si="122"/>
        <v>0</v>
      </c>
      <c r="BA155" s="29">
        <f t="shared" ca="1" si="122"/>
        <v>0</v>
      </c>
      <c r="BB155" s="29">
        <f t="shared" ca="1" si="122"/>
        <v>0</v>
      </c>
      <c r="BC155" s="29">
        <f t="shared" ca="1" si="122"/>
        <v>0</v>
      </c>
      <c r="BD155" s="29">
        <f t="shared" ca="1" si="122"/>
        <v>0</v>
      </c>
      <c r="BE155" s="29">
        <f t="shared" ca="1" si="122"/>
        <v>0</v>
      </c>
      <c r="BF155" s="29">
        <f t="shared" ca="1" si="122"/>
        <v>0</v>
      </c>
      <c r="BG155" s="29">
        <f t="shared" si="122"/>
        <v>0</v>
      </c>
      <c r="BH155" s="29">
        <f t="shared" si="122"/>
        <v>0</v>
      </c>
      <c r="BI155" s="29">
        <f t="shared" si="122"/>
        <v>0</v>
      </c>
      <c r="BJ155" s="29">
        <f t="shared" si="122"/>
        <v>0</v>
      </c>
      <c r="BK155" s="29">
        <f t="shared" si="122"/>
        <v>0</v>
      </c>
      <c r="BL155" s="29">
        <f t="shared" si="122"/>
        <v>0</v>
      </c>
      <c r="BM155" s="29">
        <f t="shared" si="122"/>
        <v>0</v>
      </c>
      <c r="BN155" s="29">
        <f t="shared" si="122"/>
        <v>0</v>
      </c>
      <c r="BO155" s="29">
        <f t="shared" si="122"/>
        <v>0</v>
      </c>
      <c r="BP155" s="29">
        <f t="shared" si="122"/>
        <v>0</v>
      </c>
      <c r="BQ155" s="29">
        <f t="shared" si="122"/>
        <v>0</v>
      </c>
      <c r="BR155" s="29">
        <f t="shared" si="122"/>
        <v>0</v>
      </c>
      <c r="BS155" s="29">
        <f t="shared" si="122"/>
        <v>0</v>
      </c>
      <c r="BT155" s="29">
        <f t="shared" si="122"/>
        <v>0</v>
      </c>
      <c r="BU155" s="29">
        <f t="shared" si="122"/>
        <v>0</v>
      </c>
      <c r="BV155" s="29">
        <f t="shared" si="122"/>
        <v>0</v>
      </c>
      <c r="BW155" s="29">
        <f t="shared" si="122"/>
        <v>0</v>
      </c>
      <c r="BX155" s="29">
        <f t="shared" si="122"/>
        <v>0</v>
      </c>
      <c r="BY155" s="29">
        <f t="shared" si="122"/>
        <v>0</v>
      </c>
      <c r="BZ155" s="29">
        <f t="shared" si="122"/>
        <v>0</v>
      </c>
      <c r="CA155" s="29">
        <f t="shared" si="122"/>
        <v>0</v>
      </c>
      <c r="CB155" s="29">
        <f t="shared" si="122"/>
        <v>0</v>
      </c>
      <c r="CC155" s="29">
        <f t="shared" si="122"/>
        <v>0</v>
      </c>
      <c r="CD155" s="29">
        <f t="shared" si="122"/>
        <v>0</v>
      </c>
      <c r="CE155" s="29">
        <f t="shared" si="122"/>
        <v>0</v>
      </c>
      <c r="CF155" s="29">
        <f t="shared" si="122"/>
        <v>0</v>
      </c>
      <c r="CG155" s="29">
        <f t="shared" si="122"/>
        <v>0</v>
      </c>
      <c r="CH155" s="29">
        <f t="shared" si="122"/>
        <v>0</v>
      </c>
    </row>
    <row r="156" spans="2:86" ht="13" hidden="1" outlineLevel="1">
      <c r="B156" s="84">
        <f t="shared" si="71"/>
        <v>53</v>
      </c>
      <c r="C156" s="64">
        <f t="shared" ca="1" si="69"/>
        <v>0.35600376008230028</v>
      </c>
      <c r="D156" s="15" t="s">
        <v>238</v>
      </c>
      <c r="E156" s="29">
        <f t="shared" ca="1" si="59"/>
        <v>55701812.083333328</v>
      </c>
      <c r="F156" s="29"/>
      <c r="G156" s="29">
        <f t="shared" ref="G156:CH156" ca="1" si="123">IF(G$4&lt;=$B156,ABS(G$31)*-1+G$47,0)+IF($B156=G$4,G$81,0)</f>
        <v>-1444375</v>
      </c>
      <c r="H156" s="29">
        <f t="shared" ca="1" si="123"/>
        <v>-1344375</v>
      </c>
      <c r="I156" s="29">
        <f t="shared" ca="1" si="123"/>
        <v>-1344375</v>
      </c>
      <c r="J156" s="29">
        <f t="shared" ca="1" si="123"/>
        <v>-1344375</v>
      </c>
      <c r="K156" s="29">
        <f t="shared" ca="1" si="123"/>
        <v>-1344375</v>
      </c>
      <c r="L156" s="29">
        <f t="shared" ca="1" si="123"/>
        <v>-1344375</v>
      </c>
      <c r="M156" s="29">
        <f t="shared" ca="1" si="123"/>
        <v>-1344375</v>
      </c>
      <c r="N156" s="29">
        <f t="shared" ca="1" si="123"/>
        <v>-1344375</v>
      </c>
      <c r="O156" s="29">
        <f t="shared" ca="1" si="123"/>
        <v>-1344375</v>
      </c>
      <c r="P156" s="29">
        <f t="shared" ca="1" si="123"/>
        <v>-1344375</v>
      </c>
      <c r="Q156" s="29">
        <f t="shared" ca="1" si="123"/>
        <v>-1344375</v>
      </c>
      <c r="R156" s="29">
        <f t="shared" ca="1" si="123"/>
        <v>-1344375</v>
      </c>
      <c r="S156" s="29">
        <f t="shared" ca="1" si="123"/>
        <v>-291239.58333333279</v>
      </c>
      <c r="T156" s="29">
        <f t="shared" ca="1" si="123"/>
        <v>-291239.58333333279</v>
      </c>
      <c r="U156" s="29">
        <f t="shared" ca="1" si="123"/>
        <v>-291239.58333333279</v>
      </c>
      <c r="V156" s="29">
        <f t="shared" ca="1" si="123"/>
        <v>-291239.58333333279</v>
      </c>
      <c r="W156" s="29">
        <f t="shared" ca="1" si="123"/>
        <v>3825453.1250000005</v>
      </c>
      <c r="X156" s="29">
        <f t="shared" ca="1" si="123"/>
        <v>3678872.2373188408</v>
      </c>
      <c r="Y156" s="29">
        <f t="shared" ca="1" si="123"/>
        <v>3313733.0533596845</v>
      </c>
      <c r="Z156" s="29">
        <f t="shared" ca="1" si="123"/>
        <v>3313733.0533596841</v>
      </c>
      <c r="AA156" s="29">
        <f t="shared" ca="1" si="123"/>
        <v>3353341.0902503296</v>
      </c>
      <c r="AB156" s="29">
        <f t="shared" ca="1" si="123"/>
        <v>3353341.09025033</v>
      </c>
      <c r="AC156" s="29">
        <f t="shared" ca="1" si="123"/>
        <v>3353341.09025033</v>
      </c>
      <c r="AD156" s="29">
        <f t="shared" ca="1" si="123"/>
        <v>3353341.09025033</v>
      </c>
      <c r="AE156" s="29">
        <f t="shared" ca="1" si="123"/>
        <v>4751736.4509222666</v>
      </c>
      <c r="AF156" s="29">
        <f t="shared" ca="1" si="123"/>
        <v>4751736.4509222666</v>
      </c>
      <c r="AG156" s="29">
        <f t="shared" ca="1" si="123"/>
        <v>4751736.4509222666</v>
      </c>
      <c r="AH156" s="29">
        <f t="shared" ca="1" si="123"/>
        <v>4751736.4509222666</v>
      </c>
      <c r="AI156" s="29">
        <f t="shared" ca="1" si="123"/>
        <v>3862141.1520092217</v>
      </c>
      <c r="AJ156" s="29">
        <f t="shared" ca="1" si="123"/>
        <v>3862141.1520092217</v>
      </c>
      <c r="AK156" s="29">
        <f t="shared" ca="1" si="123"/>
        <v>3862141.1520092217</v>
      </c>
      <c r="AL156" s="29">
        <f t="shared" ca="1" si="123"/>
        <v>3862141.1520092217</v>
      </c>
      <c r="AM156" s="29">
        <f t="shared" ca="1" si="123"/>
        <v>1237915.8843873511</v>
      </c>
      <c r="AN156" s="29">
        <f t="shared" ca="1" si="123"/>
        <v>1237915.8843873511</v>
      </c>
      <c r="AO156" s="29">
        <f t="shared" ca="1" si="123"/>
        <v>1237915.8843873511</v>
      </c>
      <c r="AP156" s="29">
        <f t="shared" ca="1" si="123"/>
        <v>1237915.8843873511</v>
      </c>
      <c r="AQ156" s="29">
        <f t="shared" ca="1" si="123"/>
        <v>1536735.1593379439</v>
      </c>
      <c r="AR156" s="29">
        <f t="shared" ca="1" si="123"/>
        <v>1536735.1593379439</v>
      </c>
      <c r="AS156" s="29">
        <f t="shared" ca="1" si="123"/>
        <v>1536735.1593379439</v>
      </c>
      <c r="AT156" s="29">
        <f t="shared" ca="1" si="123"/>
        <v>1536735.1593379439</v>
      </c>
      <c r="AU156" s="29">
        <f t="shared" ca="1" si="123"/>
        <v>0</v>
      </c>
      <c r="AV156" s="29">
        <f t="shared" ca="1" si="123"/>
        <v>0</v>
      </c>
      <c r="AW156" s="29">
        <f t="shared" ca="1" si="123"/>
        <v>0</v>
      </c>
      <c r="AX156" s="29">
        <f t="shared" ca="1" si="123"/>
        <v>0</v>
      </c>
      <c r="AY156" s="29">
        <f t="shared" ca="1" si="123"/>
        <v>0</v>
      </c>
      <c r="AZ156" s="29">
        <f t="shared" ca="1" si="123"/>
        <v>0</v>
      </c>
      <c r="BA156" s="29">
        <f t="shared" ca="1" si="123"/>
        <v>0</v>
      </c>
      <c r="BB156" s="29">
        <f t="shared" ca="1" si="123"/>
        <v>0</v>
      </c>
      <c r="BC156" s="29">
        <f t="shared" ca="1" si="123"/>
        <v>0</v>
      </c>
      <c r="BD156" s="29">
        <f t="shared" ca="1" si="123"/>
        <v>0</v>
      </c>
      <c r="BE156" s="29">
        <f t="shared" ca="1" si="123"/>
        <v>0</v>
      </c>
      <c r="BF156" s="29">
        <f t="shared" ca="1" si="123"/>
        <v>0</v>
      </c>
      <c r="BG156" s="29">
        <f t="shared" ca="1" si="123"/>
        <v>0</v>
      </c>
      <c r="BH156" s="29">
        <f t="shared" si="123"/>
        <v>0</v>
      </c>
      <c r="BI156" s="29">
        <f t="shared" si="123"/>
        <v>0</v>
      </c>
      <c r="BJ156" s="29">
        <f t="shared" si="123"/>
        <v>0</v>
      </c>
      <c r="BK156" s="29">
        <f t="shared" si="123"/>
        <v>0</v>
      </c>
      <c r="BL156" s="29">
        <f t="shared" si="123"/>
        <v>0</v>
      </c>
      <c r="BM156" s="29">
        <f t="shared" si="123"/>
        <v>0</v>
      </c>
      <c r="BN156" s="29">
        <f t="shared" si="123"/>
        <v>0</v>
      </c>
      <c r="BO156" s="29">
        <f t="shared" si="123"/>
        <v>0</v>
      </c>
      <c r="BP156" s="29">
        <f t="shared" si="123"/>
        <v>0</v>
      </c>
      <c r="BQ156" s="29">
        <f t="shared" si="123"/>
        <v>0</v>
      </c>
      <c r="BR156" s="29">
        <f t="shared" si="123"/>
        <v>0</v>
      </c>
      <c r="BS156" s="29">
        <f t="shared" si="123"/>
        <v>0</v>
      </c>
      <c r="BT156" s="29">
        <f t="shared" si="123"/>
        <v>0</v>
      </c>
      <c r="BU156" s="29">
        <f t="shared" si="123"/>
        <v>0</v>
      </c>
      <c r="BV156" s="29">
        <f t="shared" si="123"/>
        <v>0</v>
      </c>
      <c r="BW156" s="29">
        <f t="shared" si="123"/>
        <v>0</v>
      </c>
      <c r="BX156" s="29">
        <f t="shared" si="123"/>
        <v>0</v>
      </c>
      <c r="BY156" s="29">
        <f t="shared" si="123"/>
        <v>0</v>
      </c>
      <c r="BZ156" s="29">
        <f t="shared" si="123"/>
        <v>0</v>
      </c>
      <c r="CA156" s="29">
        <f t="shared" si="123"/>
        <v>0</v>
      </c>
      <c r="CB156" s="29">
        <f t="shared" si="123"/>
        <v>0</v>
      </c>
      <c r="CC156" s="29">
        <f t="shared" si="123"/>
        <v>0</v>
      </c>
      <c r="CD156" s="29">
        <f t="shared" si="123"/>
        <v>0</v>
      </c>
      <c r="CE156" s="29">
        <f t="shared" si="123"/>
        <v>0</v>
      </c>
      <c r="CF156" s="29">
        <f t="shared" si="123"/>
        <v>0</v>
      </c>
      <c r="CG156" s="29">
        <f t="shared" si="123"/>
        <v>0</v>
      </c>
      <c r="CH156" s="29">
        <f t="shared" si="123"/>
        <v>0</v>
      </c>
    </row>
    <row r="157" spans="2:86" ht="13" hidden="1" outlineLevel="1">
      <c r="B157" s="84">
        <f t="shared" si="71"/>
        <v>54</v>
      </c>
      <c r="C157" s="64">
        <f t="shared" ca="1" si="69"/>
        <v>0.35600376008230028</v>
      </c>
      <c r="D157" s="15" t="s">
        <v>238</v>
      </c>
      <c r="E157" s="29">
        <f t="shared" ca="1" si="59"/>
        <v>55701812.083333328</v>
      </c>
      <c r="F157" s="29"/>
      <c r="G157" s="29">
        <f t="shared" ref="G157:CH157" ca="1" si="124">IF(G$4&lt;=$B157,ABS(G$31)*-1+G$47,0)+IF($B157=G$4,G$81,0)</f>
        <v>-1444375</v>
      </c>
      <c r="H157" s="29">
        <f t="shared" ca="1" si="124"/>
        <v>-1344375</v>
      </c>
      <c r="I157" s="29">
        <f t="shared" ca="1" si="124"/>
        <v>-1344375</v>
      </c>
      <c r="J157" s="29">
        <f t="shared" ca="1" si="124"/>
        <v>-1344375</v>
      </c>
      <c r="K157" s="29">
        <f t="shared" ca="1" si="124"/>
        <v>-1344375</v>
      </c>
      <c r="L157" s="29">
        <f t="shared" ca="1" si="124"/>
        <v>-1344375</v>
      </c>
      <c r="M157" s="29">
        <f t="shared" ca="1" si="124"/>
        <v>-1344375</v>
      </c>
      <c r="N157" s="29">
        <f t="shared" ca="1" si="124"/>
        <v>-1344375</v>
      </c>
      <c r="O157" s="29">
        <f t="shared" ca="1" si="124"/>
        <v>-1344375</v>
      </c>
      <c r="P157" s="29">
        <f t="shared" ca="1" si="124"/>
        <v>-1344375</v>
      </c>
      <c r="Q157" s="29">
        <f t="shared" ca="1" si="124"/>
        <v>-1344375</v>
      </c>
      <c r="R157" s="29">
        <f t="shared" ca="1" si="124"/>
        <v>-1344375</v>
      </c>
      <c r="S157" s="29">
        <f t="shared" ca="1" si="124"/>
        <v>-291239.58333333279</v>
      </c>
      <c r="T157" s="29">
        <f t="shared" ca="1" si="124"/>
        <v>-291239.58333333279</v>
      </c>
      <c r="U157" s="29">
        <f t="shared" ca="1" si="124"/>
        <v>-291239.58333333279</v>
      </c>
      <c r="V157" s="29">
        <f t="shared" ca="1" si="124"/>
        <v>-291239.58333333279</v>
      </c>
      <c r="W157" s="29">
        <f t="shared" ca="1" si="124"/>
        <v>3825453.1250000005</v>
      </c>
      <c r="X157" s="29">
        <f t="shared" ca="1" si="124"/>
        <v>3678872.2373188408</v>
      </c>
      <c r="Y157" s="29">
        <f t="shared" ca="1" si="124"/>
        <v>3313733.0533596845</v>
      </c>
      <c r="Z157" s="29">
        <f t="shared" ca="1" si="124"/>
        <v>3313733.0533596841</v>
      </c>
      <c r="AA157" s="29">
        <f t="shared" ca="1" si="124"/>
        <v>3353341.0902503296</v>
      </c>
      <c r="AB157" s="29">
        <f t="shared" ca="1" si="124"/>
        <v>3353341.09025033</v>
      </c>
      <c r="AC157" s="29">
        <f t="shared" ca="1" si="124"/>
        <v>3353341.09025033</v>
      </c>
      <c r="AD157" s="29">
        <f t="shared" ca="1" si="124"/>
        <v>3353341.09025033</v>
      </c>
      <c r="AE157" s="29">
        <f t="shared" ca="1" si="124"/>
        <v>4751736.4509222666</v>
      </c>
      <c r="AF157" s="29">
        <f t="shared" ca="1" si="124"/>
        <v>4751736.4509222666</v>
      </c>
      <c r="AG157" s="29">
        <f t="shared" ca="1" si="124"/>
        <v>4751736.4509222666</v>
      </c>
      <c r="AH157" s="29">
        <f t="shared" ca="1" si="124"/>
        <v>4751736.4509222666</v>
      </c>
      <c r="AI157" s="29">
        <f t="shared" ca="1" si="124"/>
        <v>3862141.1520092217</v>
      </c>
      <c r="AJ157" s="29">
        <f t="shared" ca="1" si="124"/>
        <v>3862141.1520092217</v>
      </c>
      <c r="AK157" s="29">
        <f t="shared" ca="1" si="124"/>
        <v>3862141.1520092217</v>
      </c>
      <c r="AL157" s="29">
        <f t="shared" ca="1" si="124"/>
        <v>3862141.1520092217</v>
      </c>
      <c r="AM157" s="29">
        <f t="shared" ca="1" si="124"/>
        <v>1237915.8843873511</v>
      </c>
      <c r="AN157" s="29">
        <f t="shared" ca="1" si="124"/>
        <v>1237915.8843873511</v>
      </c>
      <c r="AO157" s="29">
        <f t="shared" ca="1" si="124"/>
        <v>1237915.8843873511</v>
      </c>
      <c r="AP157" s="29">
        <f t="shared" ca="1" si="124"/>
        <v>1237915.8843873511</v>
      </c>
      <c r="AQ157" s="29">
        <f t="shared" ca="1" si="124"/>
        <v>1536735.1593379439</v>
      </c>
      <c r="AR157" s="29">
        <f t="shared" ca="1" si="124"/>
        <v>1536735.1593379439</v>
      </c>
      <c r="AS157" s="29">
        <f t="shared" ca="1" si="124"/>
        <v>1536735.1593379439</v>
      </c>
      <c r="AT157" s="29">
        <f t="shared" ca="1" si="124"/>
        <v>1536735.1593379439</v>
      </c>
      <c r="AU157" s="29">
        <f t="shared" ca="1" si="124"/>
        <v>0</v>
      </c>
      <c r="AV157" s="29">
        <f t="shared" ca="1" si="124"/>
        <v>0</v>
      </c>
      <c r="AW157" s="29">
        <f t="shared" ca="1" si="124"/>
        <v>0</v>
      </c>
      <c r="AX157" s="29">
        <f t="shared" ca="1" si="124"/>
        <v>0</v>
      </c>
      <c r="AY157" s="29">
        <f t="shared" ca="1" si="124"/>
        <v>0</v>
      </c>
      <c r="AZ157" s="29">
        <f t="shared" ca="1" si="124"/>
        <v>0</v>
      </c>
      <c r="BA157" s="29">
        <f t="shared" ca="1" si="124"/>
        <v>0</v>
      </c>
      <c r="BB157" s="29">
        <f t="shared" ca="1" si="124"/>
        <v>0</v>
      </c>
      <c r="BC157" s="29">
        <f t="shared" ca="1" si="124"/>
        <v>0</v>
      </c>
      <c r="BD157" s="29">
        <f t="shared" ca="1" si="124"/>
        <v>0</v>
      </c>
      <c r="BE157" s="29">
        <f t="shared" ca="1" si="124"/>
        <v>0</v>
      </c>
      <c r="BF157" s="29">
        <f t="shared" ca="1" si="124"/>
        <v>0</v>
      </c>
      <c r="BG157" s="29">
        <f t="shared" ca="1" si="124"/>
        <v>0</v>
      </c>
      <c r="BH157" s="29">
        <f t="shared" ca="1" si="124"/>
        <v>0</v>
      </c>
      <c r="BI157" s="29">
        <f t="shared" si="124"/>
        <v>0</v>
      </c>
      <c r="BJ157" s="29">
        <f t="shared" si="124"/>
        <v>0</v>
      </c>
      <c r="BK157" s="29">
        <f t="shared" si="124"/>
        <v>0</v>
      </c>
      <c r="BL157" s="29">
        <f t="shared" si="124"/>
        <v>0</v>
      </c>
      <c r="BM157" s="29">
        <f t="shared" si="124"/>
        <v>0</v>
      </c>
      <c r="BN157" s="29">
        <f t="shared" si="124"/>
        <v>0</v>
      </c>
      <c r="BO157" s="29">
        <f t="shared" si="124"/>
        <v>0</v>
      </c>
      <c r="BP157" s="29">
        <f t="shared" si="124"/>
        <v>0</v>
      </c>
      <c r="BQ157" s="29">
        <f t="shared" si="124"/>
        <v>0</v>
      </c>
      <c r="BR157" s="29">
        <f t="shared" si="124"/>
        <v>0</v>
      </c>
      <c r="BS157" s="29">
        <f t="shared" si="124"/>
        <v>0</v>
      </c>
      <c r="BT157" s="29">
        <f t="shared" si="124"/>
        <v>0</v>
      </c>
      <c r="BU157" s="29">
        <f t="shared" si="124"/>
        <v>0</v>
      </c>
      <c r="BV157" s="29">
        <f t="shared" si="124"/>
        <v>0</v>
      </c>
      <c r="BW157" s="29">
        <f t="shared" si="124"/>
        <v>0</v>
      </c>
      <c r="BX157" s="29">
        <f t="shared" si="124"/>
        <v>0</v>
      </c>
      <c r="BY157" s="29">
        <f t="shared" si="124"/>
        <v>0</v>
      </c>
      <c r="BZ157" s="29">
        <f t="shared" si="124"/>
        <v>0</v>
      </c>
      <c r="CA157" s="29">
        <f t="shared" si="124"/>
        <v>0</v>
      </c>
      <c r="CB157" s="29">
        <f t="shared" si="124"/>
        <v>0</v>
      </c>
      <c r="CC157" s="29">
        <f t="shared" si="124"/>
        <v>0</v>
      </c>
      <c r="CD157" s="29">
        <f t="shared" si="124"/>
        <v>0</v>
      </c>
      <c r="CE157" s="29">
        <f t="shared" si="124"/>
        <v>0</v>
      </c>
      <c r="CF157" s="29">
        <f t="shared" si="124"/>
        <v>0</v>
      </c>
      <c r="CG157" s="29">
        <f t="shared" si="124"/>
        <v>0</v>
      </c>
      <c r="CH157" s="29">
        <f t="shared" si="124"/>
        <v>0</v>
      </c>
    </row>
    <row r="158" spans="2:86" ht="13" hidden="1" outlineLevel="1">
      <c r="B158" s="84">
        <f t="shared" si="71"/>
        <v>55</v>
      </c>
      <c r="C158" s="64">
        <f t="shared" ca="1" si="69"/>
        <v>0.35600376008230028</v>
      </c>
      <c r="D158" s="15" t="s">
        <v>238</v>
      </c>
      <c r="E158" s="29">
        <f t="shared" ca="1" si="59"/>
        <v>55701812.083333328</v>
      </c>
      <c r="F158" s="29"/>
      <c r="G158" s="29">
        <f t="shared" ref="G158:CH158" ca="1" si="125">IF(G$4&lt;=$B158,ABS(G$31)*-1+G$47,0)+IF($B158=G$4,G$81,0)</f>
        <v>-1444375</v>
      </c>
      <c r="H158" s="29">
        <f t="shared" ca="1" si="125"/>
        <v>-1344375</v>
      </c>
      <c r="I158" s="29">
        <f t="shared" ca="1" si="125"/>
        <v>-1344375</v>
      </c>
      <c r="J158" s="29">
        <f t="shared" ca="1" si="125"/>
        <v>-1344375</v>
      </c>
      <c r="K158" s="29">
        <f t="shared" ca="1" si="125"/>
        <v>-1344375</v>
      </c>
      <c r="L158" s="29">
        <f t="shared" ca="1" si="125"/>
        <v>-1344375</v>
      </c>
      <c r="M158" s="29">
        <f t="shared" ca="1" si="125"/>
        <v>-1344375</v>
      </c>
      <c r="N158" s="29">
        <f t="shared" ca="1" si="125"/>
        <v>-1344375</v>
      </c>
      <c r="O158" s="29">
        <f t="shared" ca="1" si="125"/>
        <v>-1344375</v>
      </c>
      <c r="P158" s="29">
        <f t="shared" ca="1" si="125"/>
        <v>-1344375</v>
      </c>
      <c r="Q158" s="29">
        <f t="shared" ca="1" si="125"/>
        <v>-1344375</v>
      </c>
      <c r="R158" s="29">
        <f t="shared" ca="1" si="125"/>
        <v>-1344375</v>
      </c>
      <c r="S158" s="29">
        <f t="shared" ca="1" si="125"/>
        <v>-291239.58333333279</v>
      </c>
      <c r="T158" s="29">
        <f t="shared" ca="1" si="125"/>
        <v>-291239.58333333279</v>
      </c>
      <c r="U158" s="29">
        <f t="shared" ca="1" si="125"/>
        <v>-291239.58333333279</v>
      </c>
      <c r="V158" s="29">
        <f t="shared" ca="1" si="125"/>
        <v>-291239.58333333279</v>
      </c>
      <c r="W158" s="29">
        <f t="shared" ca="1" si="125"/>
        <v>3825453.1250000005</v>
      </c>
      <c r="X158" s="29">
        <f t="shared" ca="1" si="125"/>
        <v>3678872.2373188408</v>
      </c>
      <c r="Y158" s="29">
        <f t="shared" ca="1" si="125"/>
        <v>3313733.0533596845</v>
      </c>
      <c r="Z158" s="29">
        <f t="shared" ca="1" si="125"/>
        <v>3313733.0533596841</v>
      </c>
      <c r="AA158" s="29">
        <f t="shared" ca="1" si="125"/>
        <v>3353341.0902503296</v>
      </c>
      <c r="AB158" s="29">
        <f t="shared" ca="1" si="125"/>
        <v>3353341.09025033</v>
      </c>
      <c r="AC158" s="29">
        <f t="shared" ca="1" si="125"/>
        <v>3353341.09025033</v>
      </c>
      <c r="AD158" s="29">
        <f t="shared" ca="1" si="125"/>
        <v>3353341.09025033</v>
      </c>
      <c r="AE158" s="29">
        <f t="shared" ca="1" si="125"/>
        <v>4751736.4509222666</v>
      </c>
      <c r="AF158" s="29">
        <f t="shared" ca="1" si="125"/>
        <v>4751736.4509222666</v>
      </c>
      <c r="AG158" s="29">
        <f t="shared" ca="1" si="125"/>
        <v>4751736.4509222666</v>
      </c>
      <c r="AH158" s="29">
        <f t="shared" ca="1" si="125"/>
        <v>4751736.4509222666</v>
      </c>
      <c r="AI158" s="29">
        <f t="shared" ca="1" si="125"/>
        <v>3862141.1520092217</v>
      </c>
      <c r="AJ158" s="29">
        <f t="shared" ca="1" si="125"/>
        <v>3862141.1520092217</v>
      </c>
      <c r="AK158" s="29">
        <f t="shared" ca="1" si="125"/>
        <v>3862141.1520092217</v>
      </c>
      <c r="AL158" s="29">
        <f t="shared" ca="1" si="125"/>
        <v>3862141.1520092217</v>
      </c>
      <c r="AM158" s="29">
        <f t="shared" ca="1" si="125"/>
        <v>1237915.8843873511</v>
      </c>
      <c r="AN158" s="29">
        <f t="shared" ca="1" si="125"/>
        <v>1237915.8843873511</v>
      </c>
      <c r="AO158" s="29">
        <f t="shared" ca="1" si="125"/>
        <v>1237915.8843873511</v>
      </c>
      <c r="AP158" s="29">
        <f t="shared" ca="1" si="125"/>
        <v>1237915.8843873511</v>
      </c>
      <c r="AQ158" s="29">
        <f t="shared" ca="1" si="125"/>
        <v>1536735.1593379439</v>
      </c>
      <c r="AR158" s="29">
        <f t="shared" ca="1" si="125"/>
        <v>1536735.1593379439</v>
      </c>
      <c r="AS158" s="29">
        <f t="shared" ca="1" si="125"/>
        <v>1536735.1593379439</v>
      </c>
      <c r="AT158" s="29">
        <f t="shared" ca="1" si="125"/>
        <v>1536735.1593379439</v>
      </c>
      <c r="AU158" s="29">
        <f t="shared" ca="1" si="125"/>
        <v>0</v>
      </c>
      <c r="AV158" s="29">
        <f t="shared" ca="1" si="125"/>
        <v>0</v>
      </c>
      <c r="AW158" s="29">
        <f t="shared" ca="1" si="125"/>
        <v>0</v>
      </c>
      <c r="AX158" s="29">
        <f t="shared" ca="1" si="125"/>
        <v>0</v>
      </c>
      <c r="AY158" s="29">
        <f t="shared" ca="1" si="125"/>
        <v>0</v>
      </c>
      <c r="AZ158" s="29">
        <f t="shared" ca="1" si="125"/>
        <v>0</v>
      </c>
      <c r="BA158" s="29">
        <f t="shared" ca="1" si="125"/>
        <v>0</v>
      </c>
      <c r="BB158" s="29">
        <f t="shared" ca="1" si="125"/>
        <v>0</v>
      </c>
      <c r="BC158" s="29">
        <f t="shared" ca="1" si="125"/>
        <v>0</v>
      </c>
      <c r="BD158" s="29">
        <f t="shared" ca="1" si="125"/>
        <v>0</v>
      </c>
      <c r="BE158" s="29">
        <f t="shared" ca="1" si="125"/>
        <v>0</v>
      </c>
      <c r="BF158" s="29">
        <f t="shared" ca="1" si="125"/>
        <v>0</v>
      </c>
      <c r="BG158" s="29">
        <f t="shared" ca="1" si="125"/>
        <v>0</v>
      </c>
      <c r="BH158" s="29">
        <f t="shared" ca="1" si="125"/>
        <v>0</v>
      </c>
      <c r="BI158" s="29">
        <f t="shared" ca="1" si="125"/>
        <v>0</v>
      </c>
      <c r="BJ158" s="29">
        <f t="shared" si="125"/>
        <v>0</v>
      </c>
      <c r="BK158" s="29">
        <f t="shared" si="125"/>
        <v>0</v>
      </c>
      <c r="BL158" s="29">
        <f t="shared" si="125"/>
        <v>0</v>
      </c>
      <c r="BM158" s="29">
        <f t="shared" si="125"/>
        <v>0</v>
      </c>
      <c r="BN158" s="29">
        <f t="shared" si="125"/>
        <v>0</v>
      </c>
      <c r="BO158" s="29">
        <f t="shared" si="125"/>
        <v>0</v>
      </c>
      <c r="BP158" s="29">
        <f t="shared" si="125"/>
        <v>0</v>
      </c>
      <c r="BQ158" s="29">
        <f t="shared" si="125"/>
        <v>0</v>
      </c>
      <c r="BR158" s="29">
        <f t="shared" si="125"/>
        <v>0</v>
      </c>
      <c r="BS158" s="29">
        <f t="shared" si="125"/>
        <v>0</v>
      </c>
      <c r="BT158" s="29">
        <f t="shared" si="125"/>
        <v>0</v>
      </c>
      <c r="BU158" s="29">
        <f t="shared" si="125"/>
        <v>0</v>
      </c>
      <c r="BV158" s="29">
        <f t="shared" si="125"/>
        <v>0</v>
      </c>
      <c r="BW158" s="29">
        <f t="shared" si="125"/>
        <v>0</v>
      </c>
      <c r="BX158" s="29">
        <f t="shared" si="125"/>
        <v>0</v>
      </c>
      <c r="BY158" s="29">
        <f t="shared" si="125"/>
        <v>0</v>
      </c>
      <c r="BZ158" s="29">
        <f t="shared" si="125"/>
        <v>0</v>
      </c>
      <c r="CA158" s="29">
        <f t="shared" si="125"/>
        <v>0</v>
      </c>
      <c r="CB158" s="29">
        <f t="shared" si="125"/>
        <v>0</v>
      </c>
      <c r="CC158" s="29">
        <f t="shared" si="125"/>
        <v>0</v>
      </c>
      <c r="CD158" s="29">
        <f t="shared" si="125"/>
        <v>0</v>
      </c>
      <c r="CE158" s="29">
        <f t="shared" si="125"/>
        <v>0</v>
      </c>
      <c r="CF158" s="29">
        <f t="shared" si="125"/>
        <v>0</v>
      </c>
      <c r="CG158" s="29">
        <f t="shared" si="125"/>
        <v>0</v>
      </c>
      <c r="CH158" s="29">
        <f t="shared" si="125"/>
        <v>0</v>
      </c>
    </row>
    <row r="159" spans="2:86" ht="13" hidden="1" outlineLevel="1">
      <c r="B159" s="84">
        <f t="shared" si="71"/>
        <v>56</v>
      </c>
      <c r="C159" s="64">
        <f t="shared" ca="1" si="69"/>
        <v>0.35600376008230028</v>
      </c>
      <c r="D159" s="15" t="s">
        <v>238</v>
      </c>
      <c r="E159" s="29">
        <f t="shared" ca="1" si="59"/>
        <v>55701812.083333328</v>
      </c>
      <c r="F159" s="29"/>
      <c r="G159" s="29">
        <f t="shared" ref="G159:CH159" ca="1" si="126">IF(G$4&lt;=$B159,ABS(G$31)*-1+G$47,0)+IF($B159=G$4,G$81,0)</f>
        <v>-1444375</v>
      </c>
      <c r="H159" s="29">
        <f t="shared" ca="1" si="126"/>
        <v>-1344375</v>
      </c>
      <c r="I159" s="29">
        <f t="shared" ca="1" si="126"/>
        <v>-1344375</v>
      </c>
      <c r="J159" s="29">
        <f t="shared" ca="1" si="126"/>
        <v>-1344375</v>
      </c>
      <c r="K159" s="29">
        <f t="shared" ca="1" si="126"/>
        <v>-1344375</v>
      </c>
      <c r="L159" s="29">
        <f t="shared" ca="1" si="126"/>
        <v>-1344375</v>
      </c>
      <c r="M159" s="29">
        <f t="shared" ca="1" si="126"/>
        <v>-1344375</v>
      </c>
      <c r="N159" s="29">
        <f t="shared" ca="1" si="126"/>
        <v>-1344375</v>
      </c>
      <c r="O159" s="29">
        <f t="shared" ca="1" si="126"/>
        <v>-1344375</v>
      </c>
      <c r="P159" s="29">
        <f t="shared" ca="1" si="126"/>
        <v>-1344375</v>
      </c>
      <c r="Q159" s="29">
        <f t="shared" ca="1" si="126"/>
        <v>-1344375</v>
      </c>
      <c r="R159" s="29">
        <f t="shared" ca="1" si="126"/>
        <v>-1344375</v>
      </c>
      <c r="S159" s="29">
        <f t="shared" ca="1" si="126"/>
        <v>-291239.58333333279</v>
      </c>
      <c r="T159" s="29">
        <f t="shared" ca="1" si="126"/>
        <v>-291239.58333333279</v>
      </c>
      <c r="U159" s="29">
        <f t="shared" ca="1" si="126"/>
        <v>-291239.58333333279</v>
      </c>
      <c r="V159" s="29">
        <f t="shared" ca="1" si="126"/>
        <v>-291239.58333333279</v>
      </c>
      <c r="W159" s="29">
        <f t="shared" ca="1" si="126"/>
        <v>3825453.1250000005</v>
      </c>
      <c r="X159" s="29">
        <f t="shared" ca="1" si="126"/>
        <v>3678872.2373188408</v>
      </c>
      <c r="Y159" s="29">
        <f t="shared" ca="1" si="126"/>
        <v>3313733.0533596845</v>
      </c>
      <c r="Z159" s="29">
        <f t="shared" ca="1" si="126"/>
        <v>3313733.0533596841</v>
      </c>
      <c r="AA159" s="29">
        <f t="shared" ca="1" si="126"/>
        <v>3353341.0902503296</v>
      </c>
      <c r="AB159" s="29">
        <f t="shared" ca="1" si="126"/>
        <v>3353341.09025033</v>
      </c>
      <c r="AC159" s="29">
        <f t="shared" ca="1" si="126"/>
        <v>3353341.09025033</v>
      </c>
      <c r="AD159" s="29">
        <f t="shared" ca="1" si="126"/>
        <v>3353341.09025033</v>
      </c>
      <c r="AE159" s="29">
        <f t="shared" ca="1" si="126"/>
        <v>4751736.4509222666</v>
      </c>
      <c r="AF159" s="29">
        <f t="shared" ca="1" si="126"/>
        <v>4751736.4509222666</v>
      </c>
      <c r="AG159" s="29">
        <f t="shared" ca="1" si="126"/>
        <v>4751736.4509222666</v>
      </c>
      <c r="AH159" s="29">
        <f t="shared" ca="1" si="126"/>
        <v>4751736.4509222666</v>
      </c>
      <c r="AI159" s="29">
        <f t="shared" ca="1" si="126"/>
        <v>3862141.1520092217</v>
      </c>
      <c r="AJ159" s="29">
        <f t="shared" ca="1" si="126"/>
        <v>3862141.1520092217</v>
      </c>
      <c r="AK159" s="29">
        <f t="shared" ca="1" si="126"/>
        <v>3862141.1520092217</v>
      </c>
      <c r="AL159" s="29">
        <f t="shared" ca="1" si="126"/>
        <v>3862141.1520092217</v>
      </c>
      <c r="AM159" s="29">
        <f t="shared" ca="1" si="126"/>
        <v>1237915.8843873511</v>
      </c>
      <c r="AN159" s="29">
        <f t="shared" ca="1" si="126"/>
        <v>1237915.8843873511</v>
      </c>
      <c r="AO159" s="29">
        <f t="shared" ca="1" si="126"/>
        <v>1237915.8843873511</v>
      </c>
      <c r="AP159" s="29">
        <f t="shared" ca="1" si="126"/>
        <v>1237915.8843873511</v>
      </c>
      <c r="AQ159" s="29">
        <f t="shared" ca="1" si="126"/>
        <v>1536735.1593379439</v>
      </c>
      <c r="AR159" s="29">
        <f t="shared" ca="1" si="126"/>
        <v>1536735.1593379439</v>
      </c>
      <c r="AS159" s="29">
        <f t="shared" ca="1" si="126"/>
        <v>1536735.1593379439</v>
      </c>
      <c r="AT159" s="29">
        <f t="shared" ca="1" si="126"/>
        <v>1536735.1593379439</v>
      </c>
      <c r="AU159" s="29">
        <f t="shared" ca="1" si="126"/>
        <v>0</v>
      </c>
      <c r="AV159" s="29">
        <f t="shared" ca="1" si="126"/>
        <v>0</v>
      </c>
      <c r="AW159" s="29">
        <f t="shared" ca="1" si="126"/>
        <v>0</v>
      </c>
      <c r="AX159" s="29">
        <f t="shared" ca="1" si="126"/>
        <v>0</v>
      </c>
      <c r="AY159" s="29">
        <f t="shared" ca="1" si="126"/>
        <v>0</v>
      </c>
      <c r="AZ159" s="29">
        <f t="shared" ca="1" si="126"/>
        <v>0</v>
      </c>
      <c r="BA159" s="29">
        <f t="shared" ca="1" si="126"/>
        <v>0</v>
      </c>
      <c r="BB159" s="29">
        <f t="shared" ca="1" si="126"/>
        <v>0</v>
      </c>
      <c r="BC159" s="29">
        <f t="shared" ca="1" si="126"/>
        <v>0</v>
      </c>
      <c r="BD159" s="29">
        <f t="shared" ca="1" si="126"/>
        <v>0</v>
      </c>
      <c r="BE159" s="29">
        <f t="shared" ca="1" si="126"/>
        <v>0</v>
      </c>
      <c r="BF159" s="29">
        <f t="shared" ca="1" si="126"/>
        <v>0</v>
      </c>
      <c r="BG159" s="29">
        <f t="shared" ca="1" si="126"/>
        <v>0</v>
      </c>
      <c r="BH159" s="29">
        <f t="shared" ca="1" si="126"/>
        <v>0</v>
      </c>
      <c r="BI159" s="29">
        <f t="shared" ca="1" si="126"/>
        <v>0</v>
      </c>
      <c r="BJ159" s="29">
        <f t="shared" ca="1" si="126"/>
        <v>0</v>
      </c>
      <c r="BK159" s="29">
        <f t="shared" si="126"/>
        <v>0</v>
      </c>
      <c r="BL159" s="29">
        <f t="shared" si="126"/>
        <v>0</v>
      </c>
      <c r="BM159" s="29">
        <f t="shared" si="126"/>
        <v>0</v>
      </c>
      <c r="BN159" s="29">
        <f t="shared" si="126"/>
        <v>0</v>
      </c>
      <c r="BO159" s="29">
        <f t="shared" si="126"/>
        <v>0</v>
      </c>
      <c r="BP159" s="29">
        <f t="shared" si="126"/>
        <v>0</v>
      </c>
      <c r="BQ159" s="29">
        <f t="shared" si="126"/>
        <v>0</v>
      </c>
      <c r="BR159" s="29">
        <f t="shared" si="126"/>
        <v>0</v>
      </c>
      <c r="BS159" s="29">
        <f t="shared" si="126"/>
        <v>0</v>
      </c>
      <c r="BT159" s="29">
        <f t="shared" si="126"/>
        <v>0</v>
      </c>
      <c r="BU159" s="29">
        <f t="shared" si="126"/>
        <v>0</v>
      </c>
      <c r="BV159" s="29">
        <f t="shared" si="126"/>
        <v>0</v>
      </c>
      <c r="BW159" s="29">
        <f t="shared" si="126"/>
        <v>0</v>
      </c>
      <c r="BX159" s="29">
        <f t="shared" si="126"/>
        <v>0</v>
      </c>
      <c r="BY159" s="29">
        <f t="shared" si="126"/>
        <v>0</v>
      </c>
      <c r="BZ159" s="29">
        <f t="shared" si="126"/>
        <v>0</v>
      </c>
      <c r="CA159" s="29">
        <f t="shared" si="126"/>
        <v>0</v>
      </c>
      <c r="CB159" s="29">
        <f t="shared" si="126"/>
        <v>0</v>
      </c>
      <c r="CC159" s="29">
        <f t="shared" si="126"/>
        <v>0</v>
      </c>
      <c r="CD159" s="29">
        <f t="shared" si="126"/>
        <v>0</v>
      </c>
      <c r="CE159" s="29">
        <f t="shared" si="126"/>
        <v>0</v>
      </c>
      <c r="CF159" s="29">
        <f t="shared" si="126"/>
        <v>0</v>
      </c>
      <c r="CG159" s="29">
        <f t="shared" si="126"/>
        <v>0</v>
      </c>
      <c r="CH159" s="29">
        <f t="shared" si="126"/>
        <v>0</v>
      </c>
    </row>
    <row r="160" spans="2:86" ht="13" hidden="1" outlineLevel="1">
      <c r="B160" s="84">
        <f t="shared" si="71"/>
        <v>57</v>
      </c>
      <c r="C160" s="64">
        <f t="shared" ca="1" si="69"/>
        <v>0.35600376008230028</v>
      </c>
      <c r="D160" s="15" t="s">
        <v>238</v>
      </c>
      <c r="E160" s="29">
        <f t="shared" ca="1" si="59"/>
        <v>55701812.083333328</v>
      </c>
      <c r="F160" s="29"/>
      <c r="G160" s="29">
        <f t="shared" ref="G160:CH160" ca="1" si="127">IF(G$4&lt;=$B160,ABS(G$31)*-1+G$47,0)+IF($B160=G$4,G$81,0)</f>
        <v>-1444375</v>
      </c>
      <c r="H160" s="29">
        <f t="shared" ca="1" si="127"/>
        <v>-1344375</v>
      </c>
      <c r="I160" s="29">
        <f t="shared" ca="1" si="127"/>
        <v>-1344375</v>
      </c>
      <c r="J160" s="29">
        <f t="shared" ca="1" si="127"/>
        <v>-1344375</v>
      </c>
      <c r="K160" s="29">
        <f t="shared" ca="1" si="127"/>
        <v>-1344375</v>
      </c>
      <c r="L160" s="29">
        <f t="shared" ca="1" si="127"/>
        <v>-1344375</v>
      </c>
      <c r="M160" s="29">
        <f t="shared" ca="1" si="127"/>
        <v>-1344375</v>
      </c>
      <c r="N160" s="29">
        <f t="shared" ca="1" si="127"/>
        <v>-1344375</v>
      </c>
      <c r="O160" s="29">
        <f t="shared" ca="1" si="127"/>
        <v>-1344375</v>
      </c>
      <c r="P160" s="29">
        <f t="shared" ca="1" si="127"/>
        <v>-1344375</v>
      </c>
      <c r="Q160" s="29">
        <f t="shared" ca="1" si="127"/>
        <v>-1344375</v>
      </c>
      <c r="R160" s="29">
        <f t="shared" ca="1" si="127"/>
        <v>-1344375</v>
      </c>
      <c r="S160" s="29">
        <f t="shared" ca="1" si="127"/>
        <v>-291239.58333333279</v>
      </c>
      <c r="T160" s="29">
        <f t="shared" ca="1" si="127"/>
        <v>-291239.58333333279</v>
      </c>
      <c r="U160" s="29">
        <f t="shared" ca="1" si="127"/>
        <v>-291239.58333333279</v>
      </c>
      <c r="V160" s="29">
        <f t="shared" ca="1" si="127"/>
        <v>-291239.58333333279</v>
      </c>
      <c r="W160" s="29">
        <f t="shared" ca="1" si="127"/>
        <v>3825453.1250000005</v>
      </c>
      <c r="X160" s="29">
        <f t="shared" ca="1" si="127"/>
        <v>3678872.2373188408</v>
      </c>
      <c r="Y160" s="29">
        <f t="shared" ca="1" si="127"/>
        <v>3313733.0533596845</v>
      </c>
      <c r="Z160" s="29">
        <f t="shared" ca="1" si="127"/>
        <v>3313733.0533596841</v>
      </c>
      <c r="AA160" s="29">
        <f t="shared" ca="1" si="127"/>
        <v>3353341.0902503296</v>
      </c>
      <c r="AB160" s="29">
        <f t="shared" ca="1" si="127"/>
        <v>3353341.09025033</v>
      </c>
      <c r="AC160" s="29">
        <f t="shared" ca="1" si="127"/>
        <v>3353341.09025033</v>
      </c>
      <c r="AD160" s="29">
        <f t="shared" ca="1" si="127"/>
        <v>3353341.09025033</v>
      </c>
      <c r="AE160" s="29">
        <f t="shared" ca="1" si="127"/>
        <v>4751736.4509222666</v>
      </c>
      <c r="AF160" s="29">
        <f t="shared" ca="1" si="127"/>
        <v>4751736.4509222666</v>
      </c>
      <c r="AG160" s="29">
        <f t="shared" ca="1" si="127"/>
        <v>4751736.4509222666</v>
      </c>
      <c r="AH160" s="29">
        <f t="shared" ca="1" si="127"/>
        <v>4751736.4509222666</v>
      </c>
      <c r="AI160" s="29">
        <f t="shared" ca="1" si="127"/>
        <v>3862141.1520092217</v>
      </c>
      <c r="AJ160" s="29">
        <f t="shared" ca="1" si="127"/>
        <v>3862141.1520092217</v>
      </c>
      <c r="AK160" s="29">
        <f t="shared" ca="1" si="127"/>
        <v>3862141.1520092217</v>
      </c>
      <c r="AL160" s="29">
        <f t="shared" ca="1" si="127"/>
        <v>3862141.1520092217</v>
      </c>
      <c r="AM160" s="29">
        <f t="shared" ca="1" si="127"/>
        <v>1237915.8843873511</v>
      </c>
      <c r="AN160" s="29">
        <f t="shared" ca="1" si="127"/>
        <v>1237915.8843873511</v>
      </c>
      <c r="AO160" s="29">
        <f t="shared" ca="1" si="127"/>
        <v>1237915.8843873511</v>
      </c>
      <c r="AP160" s="29">
        <f t="shared" ca="1" si="127"/>
        <v>1237915.8843873511</v>
      </c>
      <c r="AQ160" s="29">
        <f t="shared" ca="1" si="127"/>
        <v>1536735.1593379439</v>
      </c>
      <c r="AR160" s="29">
        <f t="shared" ca="1" si="127"/>
        <v>1536735.1593379439</v>
      </c>
      <c r="AS160" s="29">
        <f t="shared" ca="1" si="127"/>
        <v>1536735.1593379439</v>
      </c>
      <c r="AT160" s="29">
        <f t="shared" ca="1" si="127"/>
        <v>1536735.1593379439</v>
      </c>
      <c r="AU160" s="29">
        <f t="shared" ca="1" si="127"/>
        <v>0</v>
      </c>
      <c r="AV160" s="29">
        <f t="shared" ca="1" si="127"/>
        <v>0</v>
      </c>
      <c r="AW160" s="29">
        <f t="shared" ca="1" si="127"/>
        <v>0</v>
      </c>
      <c r="AX160" s="29">
        <f t="shared" ca="1" si="127"/>
        <v>0</v>
      </c>
      <c r="AY160" s="29">
        <f t="shared" ca="1" si="127"/>
        <v>0</v>
      </c>
      <c r="AZ160" s="29">
        <f t="shared" ca="1" si="127"/>
        <v>0</v>
      </c>
      <c r="BA160" s="29">
        <f t="shared" ca="1" si="127"/>
        <v>0</v>
      </c>
      <c r="BB160" s="29">
        <f t="shared" ca="1" si="127"/>
        <v>0</v>
      </c>
      <c r="BC160" s="29">
        <f t="shared" ca="1" si="127"/>
        <v>0</v>
      </c>
      <c r="BD160" s="29">
        <f t="shared" ca="1" si="127"/>
        <v>0</v>
      </c>
      <c r="BE160" s="29">
        <f t="shared" ca="1" si="127"/>
        <v>0</v>
      </c>
      <c r="BF160" s="29">
        <f t="shared" ca="1" si="127"/>
        <v>0</v>
      </c>
      <c r="BG160" s="29">
        <f t="shared" ca="1" si="127"/>
        <v>0</v>
      </c>
      <c r="BH160" s="29">
        <f t="shared" ca="1" si="127"/>
        <v>0</v>
      </c>
      <c r="BI160" s="29">
        <f t="shared" ca="1" si="127"/>
        <v>0</v>
      </c>
      <c r="BJ160" s="29">
        <f t="shared" ca="1" si="127"/>
        <v>0</v>
      </c>
      <c r="BK160" s="29">
        <f t="shared" ca="1" si="127"/>
        <v>0</v>
      </c>
      <c r="BL160" s="29">
        <f t="shared" si="127"/>
        <v>0</v>
      </c>
      <c r="BM160" s="29">
        <f t="shared" si="127"/>
        <v>0</v>
      </c>
      <c r="BN160" s="29">
        <f t="shared" si="127"/>
        <v>0</v>
      </c>
      <c r="BO160" s="29">
        <f t="shared" si="127"/>
        <v>0</v>
      </c>
      <c r="BP160" s="29">
        <f t="shared" si="127"/>
        <v>0</v>
      </c>
      <c r="BQ160" s="29">
        <f t="shared" si="127"/>
        <v>0</v>
      </c>
      <c r="BR160" s="29">
        <f t="shared" si="127"/>
        <v>0</v>
      </c>
      <c r="BS160" s="29">
        <f t="shared" si="127"/>
        <v>0</v>
      </c>
      <c r="BT160" s="29">
        <f t="shared" si="127"/>
        <v>0</v>
      </c>
      <c r="BU160" s="29">
        <f t="shared" si="127"/>
        <v>0</v>
      </c>
      <c r="BV160" s="29">
        <f t="shared" si="127"/>
        <v>0</v>
      </c>
      <c r="BW160" s="29">
        <f t="shared" si="127"/>
        <v>0</v>
      </c>
      <c r="BX160" s="29">
        <f t="shared" si="127"/>
        <v>0</v>
      </c>
      <c r="BY160" s="29">
        <f t="shared" si="127"/>
        <v>0</v>
      </c>
      <c r="BZ160" s="29">
        <f t="shared" si="127"/>
        <v>0</v>
      </c>
      <c r="CA160" s="29">
        <f t="shared" si="127"/>
        <v>0</v>
      </c>
      <c r="CB160" s="29">
        <f t="shared" si="127"/>
        <v>0</v>
      </c>
      <c r="CC160" s="29">
        <f t="shared" si="127"/>
        <v>0</v>
      </c>
      <c r="CD160" s="29">
        <f t="shared" si="127"/>
        <v>0</v>
      </c>
      <c r="CE160" s="29">
        <f t="shared" si="127"/>
        <v>0</v>
      </c>
      <c r="CF160" s="29">
        <f t="shared" si="127"/>
        <v>0</v>
      </c>
      <c r="CG160" s="29">
        <f t="shared" si="127"/>
        <v>0</v>
      </c>
      <c r="CH160" s="29">
        <f t="shared" si="127"/>
        <v>0</v>
      </c>
    </row>
    <row r="161" spans="2:86" ht="13" hidden="1" outlineLevel="1">
      <c r="B161" s="84">
        <f t="shared" si="71"/>
        <v>58</v>
      </c>
      <c r="C161" s="64">
        <f t="shared" ca="1" si="69"/>
        <v>0.35600376008230028</v>
      </c>
      <c r="D161" s="15" t="s">
        <v>238</v>
      </c>
      <c r="E161" s="29">
        <f t="shared" ca="1" si="59"/>
        <v>55701812.083333328</v>
      </c>
      <c r="F161" s="29"/>
      <c r="G161" s="29">
        <f t="shared" ref="G161:CH161" ca="1" si="128">IF(G$4&lt;=$B161,ABS(G$31)*-1+G$47,0)+IF($B161=G$4,G$81,0)</f>
        <v>-1444375</v>
      </c>
      <c r="H161" s="29">
        <f t="shared" ca="1" si="128"/>
        <v>-1344375</v>
      </c>
      <c r="I161" s="29">
        <f t="shared" ca="1" si="128"/>
        <v>-1344375</v>
      </c>
      <c r="J161" s="29">
        <f t="shared" ca="1" si="128"/>
        <v>-1344375</v>
      </c>
      <c r="K161" s="29">
        <f t="shared" ca="1" si="128"/>
        <v>-1344375</v>
      </c>
      <c r="L161" s="29">
        <f t="shared" ca="1" si="128"/>
        <v>-1344375</v>
      </c>
      <c r="M161" s="29">
        <f t="shared" ca="1" si="128"/>
        <v>-1344375</v>
      </c>
      <c r="N161" s="29">
        <f t="shared" ca="1" si="128"/>
        <v>-1344375</v>
      </c>
      <c r="O161" s="29">
        <f t="shared" ca="1" si="128"/>
        <v>-1344375</v>
      </c>
      <c r="P161" s="29">
        <f t="shared" ca="1" si="128"/>
        <v>-1344375</v>
      </c>
      <c r="Q161" s="29">
        <f t="shared" ca="1" si="128"/>
        <v>-1344375</v>
      </c>
      <c r="R161" s="29">
        <f t="shared" ca="1" si="128"/>
        <v>-1344375</v>
      </c>
      <c r="S161" s="29">
        <f t="shared" ca="1" si="128"/>
        <v>-291239.58333333279</v>
      </c>
      <c r="T161" s="29">
        <f t="shared" ca="1" si="128"/>
        <v>-291239.58333333279</v>
      </c>
      <c r="U161" s="29">
        <f t="shared" ca="1" si="128"/>
        <v>-291239.58333333279</v>
      </c>
      <c r="V161" s="29">
        <f t="shared" ca="1" si="128"/>
        <v>-291239.58333333279</v>
      </c>
      <c r="W161" s="29">
        <f t="shared" ca="1" si="128"/>
        <v>3825453.1250000005</v>
      </c>
      <c r="X161" s="29">
        <f t="shared" ca="1" si="128"/>
        <v>3678872.2373188408</v>
      </c>
      <c r="Y161" s="29">
        <f t="shared" ca="1" si="128"/>
        <v>3313733.0533596845</v>
      </c>
      <c r="Z161" s="29">
        <f t="shared" ca="1" si="128"/>
        <v>3313733.0533596841</v>
      </c>
      <c r="AA161" s="29">
        <f t="shared" ca="1" si="128"/>
        <v>3353341.0902503296</v>
      </c>
      <c r="AB161" s="29">
        <f t="shared" ca="1" si="128"/>
        <v>3353341.09025033</v>
      </c>
      <c r="AC161" s="29">
        <f t="shared" ca="1" si="128"/>
        <v>3353341.09025033</v>
      </c>
      <c r="AD161" s="29">
        <f t="shared" ca="1" si="128"/>
        <v>3353341.09025033</v>
      </c>
      <c r="AE161" s="29">
        <f t="shared" ca="1" si="128"/>
        <v>4751736.4509222666</v>
      </c>
      <c r="AF161" s="29">
        <f t="shared" ca="1" si="128"/>
        <v>4751736.4509222666</v>
      </c>
      <c r="AG161" s="29">
        <f t="shared" ca="1" si="128"/>
        <v>4751736.4509222666</v>
      </c>
      <c r="AH161" s="29">
        <f t="shared" ca="1" si="128"/>
        <v>4751736.4509222666</v>
      </c>
      <c r="AI161" s="29">
        <f t="shared" ca="1" si="128"/>
        <v>3862141.1520092217</v>
      </c>
      <c r="AJ161" s="29">
        <f t="shared" ca="1" si="128"/>
        <v>3862141.1520092217</v>
      </c>
      <c r="AK161" s="29">
        <f t="shared" ca="1" si="128"/>
        <v>3862141.1520092217</v>
      </c>
      <c r="AL161" s="29">
        <f t="shared" ca="1" si="128"/>
        <v>3862141.1520092217</v>
      </c>
      <c r="AM161" s="29">
        <f t="shared" ca="1" si="128"/>
        <v>1237915.8843873511</v>
      </c>
      <c r="AN161" s="29">
        <f t="shared" ca="1" si="128"/>
        <v>1237915.8843873511</v>
      </c>
      <c r="AO161" s="29">
        <f t="shared" ca="1" si="128"/>
        <v>1237915.8843873511</v>
      </c>
      <c r="AP161" s="29">
        <f t="shared" ca="1" si="128"/>
        <v>1237915.8843873511</v>
      </c>
      <c r="AQ161" s="29">
        <f t="shared" ca="1" si="128"/>
        <v>1536735.1593379439</v>
      </c>
      <c r="AR161" s="29">
        <f t="shared" ca="1" si="128"/>
        <v>1536735.1593379439</v>
      </c>
      <c r="AS161" s="29">
        <f t="shared" ca="1" si="128"/>
        <v>1536735.1593379439</v>
      </c>
      <c r="AT161" s="29">
        <f t="shared" ca="1" si="128"/>
        <v>1536735.1593379439</v>
      </c>
      <c r="AU161" s="29">
        <f t="shared" ca="1" si="128"/>
        <v>0</v>
      </c>
      <c r="AV161" s="29">
        <f t="shared" ca="1" si="128"/>
        <v>0</v>
      </c>
      <c r="AW161" s="29">
        <f t="shared" ca="1" si="128"/>
        <v>0</v>
      </c>
      <c r="AX161" s="29">
        <f t="shared" ca="1" si="128"/>
        <v>0</v>
      </c>
      <c r="AY161" s="29">
        <f t="shared" ca="1" si="128"/>
        <v>0</v>
      </c>
      <c r="AZ161" s="29">
        <f t="shared" ca="1" si="128"/>
        <v>0</v>
      </c>
      <c r="BA161" s="29">
        <f t="shared" ca="1" si="128"/>
        <v>0</v>
      </c>
      <c r="BB161" s="29">
        <f t="shared" ca="1" si="128"/>
        <v>0</v>
      </c>
      <c r="BC161" s="29">
        <f t="shared" ca="1" si="128"/>
        <v>0</v>
      </c>
      <c r="BD161" s="29">
        <f t="shared" ca="1" si="128"/>
        <v>0</v>
      </c>
      <c r="BE161" s="29">
        <f t="shared" ca="1" si="128"/>
        <v>0</v>
      </c>
      <c r="BF161" s="29">
        <f t="shared" ca="1" si="128"/>
        <v>0</v>
      </c>
      <c r="BG161" s="29">
        <f t="shared" ca="1" si="128"/>
        <v>0</v>
      </c>
      <c r="BH161" s="29">
        <f t="shared" ca="1" si="128"/>
        <v>0</v>
      </c>
      <c r="BI161" s="29">
        <f t="shared" ca="1" si="128"/>
        <v>0</v>
      </c>
      <c r="BJ161" s="29">
        <f t="shared" ca="1" si="128"/>
        <v>0</v>
      </c>
      <c r="BK161" s="29">
        <f t="shared" ca="1" si="128"/>
        <v>0</v>
      </c>
      <c r="BL161" s="29">
        <f t="shared" ca="1" si="128"/>
        <v>0</v>
      </c>
      <c r="BM161" s="29">
        <f t="shared" si="128"/>
        <v>0</v>
      </c>
      <c r="BN161" s="29">
        <f t="shared" si="128"/>
        <v>0</v>
      </c>
      <c r="BO161" s="29">
        <f t="shared" si="128"/>
        <v>0</v>
      </c>
      <c r="BP161" s="29">
        <f t="shared" si="128"/>
        <v>0</v>
      </c>
      <c r="BQ161" s="29">
        <f t="shared" si="128"/>
        <v>0</v>
      </c>
      <c r="BR161" s="29">
        <f t="shared" si="128"/>
        <v>0</v>
      </c>
      <c r="BS161" s="29">
        <f t="shared" si="128"/>
        <v>0</v>
      </c>
      <c r="BT161" s="29">
        <f t="shared" si="128"/>
        <v>0</v>
      </c>
      <c r="BU161" s="29">
        <f t="shared" si="128"/>
        <v>0</v>
      </c>
      <c r="BV161" s="29">
        <f t="shared" si="128"/>
        <v>0</v>
      </c>
      <c r="BW161" s="29">
        <f t="shared" si="128"/>
        <v>0</v>
      </c>
      <c r="BX161" s="29">
        <f t="shared" si="128"/>
        <v>0</v>
      </c>
      <c r="BY161" s="29">
        <f t="shared" si="128"/>
        <v>0</v>
      </c>
      <c r="BZ161" s="29">
        <f t="shared" si="128"/>
        <v>0</v>
      </c>
      <c r="CA161" s="29">
        <f t="shared" si="128"/>
        <v>0</v>
      </c>
      <c r="CB161" s="29">
        <f t="shared" si="128"/>
        <v>0</v>
      </c>
      <c r="CC161" s="29">
        <f t="shared" si="128"/>
        <v>0</v>
      </c>
      <c r="CD161" s="29">
        <f t="shared" si="128"/>
        <v>0</v>
      </c>
      <c r="CE161" s="29">
        <f t="shared" si="128"/>
        <v>0</v>
      </c>
      <c r="CF161" s="29">
        <f t="shared" si="128"/>
        <v>0</v>
      </c>
      <c r="CG161" s="29">
        <f t="shared" si="128"/>
        <v>0</v>
      </c>
      <c r="CH161" s="29">
        <f t="shared" si="128"/>
        <v>0</v>
      </c>
    </row>
    <row r="162" spans="2:86" ht="13" hidden="1" outlineLevel="1">
      <c r="B162" s="84">
        <f t="shared" si="71"/>
        <v>59</v>
      </c>
      <c r="C162" s="64">
        <f t="shared" ca="1" si="69"/>
        <v>0.35600376008230028</v>
      </c>
      <c r="D162" s="15" t="s">
        <v>238</v>
      </c>
      <c r="E162" s="29">
        <f t="shared" ca="1" si="59"/>
        <v>55701812.083333328</v>
      </c>
      <c r="F162" s="29"/>
      <c r="G162" s="29">
        <f t="shared" ref="G162:CH162" ca="1" si="129">IF(G$4&lt;=$B162,ABS(G$31)*-1+G$47,0)+IF($B162=G$4,G$81,0)</f>
        <v>-1444375</v>
      </c>
      <c r="H162" s="29">
        <f t="shared" ca="1" si="129"/>
        <v>-1344375</v>
      </c>
      <c r="I162" s="29">
        <f t="shared" ca="1" si="129"/>
        <v>-1344375</v>
      </c>
      <c r="J162" s="29">
        <f t="shared" ca="1" si="129"/>
        <v>-1344375</v>
      </c>
      <c r="K162" s="29">
        <f t="shared" ca="1" si="129"/>
        <v>-1344375</v>
      </c>
      <c r="L162" s="29">
        <f t="shared" ca="1" si="129"/>
        <v>-1344375</v>
      </c>
      <c r="M162" s="29">
        <f t="shared" ca="1" si="129"/>
        <v>-1344375</v>
      </c>
      <c r="N162" s="29">
        <f t="shared" ca="1" si="129"/>
        <v>-1344375</v>
      </c>
      <c r="O162" s="29">
        <f t="shared" ca="1" si="129"/>
        <v>-1344375</v>
      </c>
      <c r="P162" s="29">
        <f t="shared" ca="1" si="129"/>
        <v>-1344375</v>
      </c>
      <c r="Q162" s="29">
        <f t="shared" ca="1" si="129"/>
        <v>-1344375</v>
      </c>
      <c r="R162" s="29">
        <f t="shared" ca="1" si="129"/>
        <v>-1344375</v>
      </c>
      <c r="S162" s="29">
        <f t="shared" ca="1" si="129"/>
        <v>-291239.58333333279</v>
      </c>
      <c r="T162" s="29">
        <f t="shared" ca="1" si="129"/>
        <v>-291239.58333333279</v>
      </c>
      <c r="U162" s="29">
        <f t="shared" ca="1" si="129"/>
        <v>-291239.58333333279</v>
      </c>
      <c r="V162" s="29">
        <f t="shared" ca="1" si="129"/>
        <v>-291239.58333333279</v>
      </c>
      <c r="W162" s="29">
        <f t="shared" ca="1" si="129"/>
        <v>3825453.1250000005</v>
      </c>
      <c r="X162" s="29">
        <f t="shared" ca="1" si="129"/>
        <v>3678872.2373188408</v>
      </c>
      <c r="Y162" s="29">
        <f t="shared" ca="1" si="129"/>
        <v>3313733.0533596845</v>
      </c>
      <c r="Z162" s="29">
        <f t="shared" ca="1" si="129"/>
        <v>3313733.0533596841</v>
      </c>
      <c r="AA162" s="29">
        <f t="shared" ca="1" si="129"/>
        <v>3353341.0902503296</v>
      </c>
      <c r="AB162" s="29">
        <f t="shared" ca="1" si="129"/>
        <v>3353341.09025033</v>
      </c>
      <c r="AC162" s="29">
        <f t="shared" ca="1" si="129"/>
        <v>3353341.09025033</v>
      </c>
      <c r="AD162" s="29">
        <f t="shared" ca="1" si="129"/>
        <v>3353341.09025033</v>
      </c>
      <c r="AE162" s="29">
        <f t="shared" ca="1" si="129"/>
        <v>4751736.4509222666</v>
      </c>
      <c r="AF162" s="29">
        <f t="shared" ca="1" si="129"/>
        <v>4751736.4509222666</v>
      </c>
      <c r="AG162" s="29">
        <f t="shared" ca="1" si="129"/>
        <v>4751736.4509222666</v>
      </c>
      <c r="AH162" s="29">
        <f t="shared" ca="1" si="129"/>
        <v>4751736.4509222666</v>
      </c>
      <c r="AI162" s="29">
        <f t="shared" ca="1" si="129"/>
        <v>3862141.1520092217</v>
      </c>
      <c r="AJ162" s="29">
        <f t="shared" ca="1" si="129"/>
        <v>3862141.1520092217</v>
      </c>
      <c r="AK162" s="29">
        <f t="shared" ca="1" si="129"/>
        <v>3862141.1520092217</v>
      </c>
      <c r="AL162" s="29">
        <f t="shared" ca="1" si="129"/>
        <v>3862141.1520092217</v>
      </c>
      <c r="AM162" s="29">
        <f t="shared" ca="1" si="129"/>
        <v>1237915.8843873511</v>
      </c>
      <c r="AN162" s="29">
        <f t="shared" ca="1" si="129"/>
        <v>1237915.8843873511</v>
      </c>
      <c r="AO162" s="29">
        <f t="shared" ca="1" si="129"/>
        <v>1237915.8843873511</v>
      </c>
      <c r="AP162" s="29">
        <f t="shared" ca="1" si="129"/>
        <v>1237915.8843873511</v>
      </c>
      <c r="AQ162" s="29">
        <f t="shared" ca="1" si="129"/>
        <v>1536735.1593379439</v>
      </c>
      <c r="AR162" s="29">
        <f t="shared" ca="1" si="129"/>
        <v>1536735.1593379439</v>
      </c>
      <c r="AS162" s="29">
        <f t="shared" ca="1" si="129"/>
        <v>1536735.1593379439</v>
      </c>
      <c r="AT162" s="29">
        <f t="shared" ca="1" si="129"/>
        <v>1536735.1593379439</v>
      </c>
      <c r="AU162" s="29">
        <f t="shared" ca="1" si="129"/>
        <v>0</v>
      </c>
      <c r="AV162" s="29">
        <f t="shared" ca="1" si="129"/>
        <v>0</v>
      </c>
      <c r="AW162" s="29">
        <f t="shared" ca="1" si="129"/>
        <v>0</v>
      </c>
      <c r="AX162" s="29">
        <f t="shared" ca="1" si="129"/>
        <v>0</v>
      </c>
      <c r="AY162" s="29">
        <f t="shared" ca="1" si="129"/>
        <v>0</v>
      </c>
      <c r="AZ162" s="29">
        <f t="shared" ca="1" si="129"/>
        <v>0</v>
      </c>
      <c r="BA162" s="29">
        <f t="shared" ca="1" si="129"/>
        <v>0</v>
      </c>
      <c r="BB162" s="29">
        <f t="shared" ca="1" si="129"/>
        <v>0</v>
      </c>
      <c r="BC162" s="29">
        <f t="shared" ca="1" si="129"/>
        <v>0</v>
      </c>
      <c r="BD162" s="29">
        <f t="shared" ca="1" si="129"/>
        <v>0</v>
      </c>
      <c r="BE162" s="29">
        <f t="shared" ca="1" si="129"/>
        <v>0</v>
      </c>
      <c r="BF162" s="29">
        <f t="shared" ca="1" si="129"/>
        <v>0</v>
      </c>
      <c r="BG162" s="29">
        <f t="shared" ca="1" si="129"/>
        <v>0</v>
      </c>
      <c r="BH162" s="29">
        <f t="shared" ca="1" si="129"/>
        <v>0</v>
      </c>
      <c r="BI162" s="29">
        <f t="shared" ca="1" si="129"/>
        <v>0</v>
      </c>
      <c r="BJ162" s="29">
        <f t="shared" ca="1" si="129"/>
        <v>0</v>
      </c>
      <c r="BK162" s="29">
        <f t="shared" ca="1" si="129"/>
        <v>0</v>
      </c>
      <c r="BL162" s="29">
        <f t="shared" ca="1" si="129"/>
        <v>0</v>
      </c>
      <c r="BM162" s="29">
        <f t="shared" ca="1" si="129"/>
        <v>0</v>
      </c>
      <c r="BN162" s="29">
        <f t="shared" si="129"/>
        <v>0</v>
      </c>
      <c r="BO162" s="29">
        <f t="shared" si="129"/>
        <v>0</v>
      </c>
      <c r="BP162" s="29">
        <f t="shared" si="129"/>
        <v>0</v>
      </c>
      <c r="BQ162" s="29">
        <f t="shared" si="129"/>
        <v>0</v>
      </c>
      <c r="BR162" s="29">
        <f t="shared" si="129"/>
        <v>0</v>
      </c>
      <c r="BS162" s="29">
        <f t="shared" si="129"/>
        <v>0</v>
      </c>
      <c r="BT162" s="29">
        <f t="shared" si="129"/>
        <v>0</v>
      </c>
      <c r="BU162" s="29">
        <f t="shared" si="129"/>
        <v>0</v>
      </c>
      <c r="BV162" s="29">
        <f t="shared" si="129"/>
        <v>0</v>
      </c>
      <c r="BW162" s="29">
        <f t="shared" si="129"/>
        <v>0</v>
      </c>
      <c r="BX162" s="29">
        <f t="shared" si="129"/>
        <v>0</v>
      </c>
      <c r="BY162" s="29">
        <f t="shared" si="129"/>
        <v>0</v>
      </c>
      <c r="BZ162" s="29">
        <f t="shared" si="129"/>
        <v>0</v>
      </c>
      <c r="CA162" s="29">
        <f t="shared" si="129"/>
        <v>0</v>
      </c>
      <c r="CB162" s="29">
        <f t="shared" si="129"/>
        <v>0</v>
      </c>
      <c r="CC162" s="29">
        <f t="shared" si="129"/>
        <v>0</v>
      </c>
      <c r="CD162" s="29">
        <f t="shared" si="129"/>
        <v>0</v>
      </c>
      <c r="CE162" s="29">
        <f t="shared" si="129"/>
        <v>0</v>
      </c>
      <c r="CF162" s="29">
        <f t="shared" si="129"/>
        <v>0</v>
      </c>
      <c r="CG162" s="29">
        <f t="shared" si="129"/>
        <v>0</v>
      </c>
      <c r="CH162" s="29">
        <f t="shared" si="129"/>
        <v>0</v>
      </c>
    </row>
    <row r="163" spans="2:86" ht="13" hidden="1" outlineLevel="1">
      <c r="B163" s="84">
        <f t="shared" si="71"/>
        <v>60</v>
      </c>
      <c r="C163" s="64">
        <f t="shared" ca="1" si="69"/>
        <v>0.35600376008230028</v>
      </c>
      <c r="D163" s="15" t="s">
        <v>238</v>
      </c>
      <c r="E163" s="29">
        <f t="shared" ca="1" si="59"/>
        <v>55701812.083333328</v>
      </c>
      <c r="F163" s="29"/>
      <c r="G163" s="29">
        <f t="shared" ref="G163:CH163" ca="1" si="130">IF(G$4&lt;=$B163,ABS(G$31)*-1+G$47,0)+IF($B163=G$4,G$81,0)</f>
        <v>-1444375</v>
      </c>
      <c r="H163" s="29">
        <f t="shared" ca="1" si="130"/>
        <v>-1344375</v>
      </c>
      <c r="I163" s="29">
        <f t="shared" ca="1" si="130"/>
        <v>-1344375</v>
      </c>
      <c r="J163" s="29">
        <f t="shared" ca="1" si="130"/>
        <v>-1344375</v>
      </c>
      <c r="K163" s="29">
        <f t="shared" ca="1" si="130"/>
        <v>-1344375</v>
      </c>
      <c r="L163" s="29">
        <f t="shared" ca="1" si="130"/>
        <v>-1344375</v>
      </c>
      <c r="M163" s="29">
        <f t="shared" ca="1" si="130"/>
        <v>-1344375</v>
      </c>
      <c r="N163" s="29">
        <f t="shared" ca="1" si="130"/>
        <v>-1344375</v>
      </c>
      <c r="O163" s="29">
        <f t="shared" ca="1" si="130"/>
        <v>-1344375</v>
      </c>
      <c r="P163" s="29">
        <f t="shared" ca="1" si="130"/>
        <v>-1344375</v>
      </c>
      <c r="Q163" s="29">
        <f t="shared" ca="1" si="130"/>
        <v>-1344375</v>
      </c>
      <c r="R163" s="29">
        <f t="shared" ca="1" si="130"/>
        <v>-1344375</v>
      </c>
      <c r="S163" s="29">
        <f t="shared" ca="1" si="130"/>
        <v>-291239.58333333279</v>
      </c>
      <c r="T163" s="29">
        <f t="shared" ca="1" si="130"/>
        <v>-291239.58333333279</v>
      </c>
      <c r="U163" s="29">
        <f t="shared" ca="1" si="130"/>
        <v>-291239.58333333279</v>
      </c>
      <c r="V163" s="29">
        <f t="shared" ca="1" si="130"/>
        <v>-291239.58333333279</v>
      </c>
      <c r="W163" s="29">
        <f t="shared" ca="1" si="130"/>
        <v>3825453.1250000005</v>
      </c>
      <c r="X163" s="29">
        <f t="shared" ca="1" si="130"/>
        <v>3678872.2373188408</v>
      </c>
      <c r="Y163" s="29">
        <f t="shared" ca="1" si="130"/>
        <v>3313733.0533596845</v>
      </c>
      <c r="Z163" s="29">
        <f t="shared" ca="1" si="130"/>
        <v>3313733.0533596841</v>
      </c>
      <c r="AA163" s="29">
        <f t="shared" ca="1" si="130"/>
        <v>3353341.0902503296</v>
      </c>
      <c r="AB163" s="29">
        <f t="shared" ca="1" si="130"/>
        <v>3353341.09025033</v>
      </c>
      <c r="AC163" s="29">
        <f t="shared" ca="1" si="130"/>
        <v>3353341.09025033</v>
      </c>
      <c r="AD163" s="29">
        <f t="shared" ca="1" si="130"/>
        <v>3353341.09025033</v>
      </c>
      <c r="AE163" s="29">
        <f t="shared" ca="1" si="130"/>
        <v>4751736.4509222666</v>
      </c>
      <c r="AF163" s="29">
        <f t="shared" ca="1" si="130"/>
        <v>4751736.4509222666</v>
      </c>
      <c r="AG163" s="29">
        <f t="shared" ca="1" si="130"/>
        <v>4751736.4509222666</v>
      </c>
      <c r="AH163" s="29">
        <f t="shared" ca="1" si="130"/>
        <v>4751736.4509222666</v>
      </c>
      <c r="AI163" s="29">
        <f t="shared" ca="1" si="130"/>
        <v>3862141.1520092217</v>
      </c>
      <c r="AJ163" s="29">
        <f t="shared" ca="1" si="130"/>
        <v>3862141.1520092217</v>
      </c>
      <c r="AK163" s="29">
        <f t="shared" ca="1" si="130"/>
        <v>3862141.1520092217</v>
      </c>
      <c r="AL163" s="29">
        <f t="shared" ca="1" si="130"/>
        <v>3862141.1520092217</v>
      </c>
      <c r="AM163" s="29">
        <f t="shared" ca="1" si="130"/>
        <v>1237915.8843873511</v>
      </c>
      <c r="AN163" s="29">
        <f t="shared" ca="1" si="130"/>
        <v>1237915.8843873511</v>
      </c>
      <c r="AO163" s="29">
        <f t="shared" ca="1" si="130"/>
        <v>1237915.8843873511</v>
      </c>
      <c r="AP163" s="29">
        <f t="shared" ca="1" si="130"/>
        <v>1237915.8843873511</v>
      </c>
      <c r="AQ163" s="29">
        <f t="shared" ca="1" si="130"/>
        <v>1536735.1593379439</v>
      </c>
      <c r="AR163" s="29">
        <f t="shared" ca="1" si="130"/>
        <v>1536735.1593379439</v>
      </c>
      <c r="AS163" s="29">
        <f t="shared" ca="1" si="130"/>
        <v>1536735.1593379439</v>
      </c>
      <c r="AT163" s="29">
        <f t="shared" ca="1" si="130"/>
        <v>1536735.1593379439</v>
      </c>
      <c r="AU163" s="29">
        <f t="shared" ca="1" si="130"/>
        <v>0</v>
      </c>
      <c r="AV163" s="29">
        <f t="shared" ca="1" si="130"/>
        <v>0</v>
      </c>
      <c r="AW163" s="29">
        <f t="shared" ca="1" si="130"/>
        <v>0</v>
      </c>
      <c r="AX163" s="29">
        <f t="shared" ca="1" si="130"/>
        <v>0</v>
      </c>
      <c r="AY163" s="29">
        <f t="shared" ca="1" si="130"/>
        <v>0</v>
      </c>
      <c r="AZ163" s="29">
        <f t="shared" ca="1" si="130"/>
        <v>0</v>
      </c>
      <c r="BA163" s="29">
        <f t="shared" ca="1" si="130"/>
        <v>0</v>
      </c>
      <c r="BB163" s="29">
        <f t="shared" ca="1" si="130"/>
        <v>0</v>
      </c>
      <c r="BC163" s="29">
        <f t="shared" ca="1" si="130"/>
        <v>0</v>
      </c>
      <c r="BD163" s="29">
        <f t="shared" ca="1" si="130"/>
        <v>0</v>
      </c>
      <c r="BE163" s="29">
        <f t="shared" ca="1" si="130"/>
        <v>0</v>
      </c>
      <c r="BF163" s="29">
        <f t="shared" ca="1" si="130"/>
        <v>0</v>
      </c>
      <c r="BG163" s="29">
        <f t="shared" ca="1" si="130"/>
        <v>0</v>
      </c>
      <c r="BH163" s="29">
        <f t="shared" ca="1" si="130"/>
        <v>0</v>
      </c>
      <c r="BI163" s="29">
        <f t="shared" ca="1" si="130"/>
        <v>0</v>
      </c>
      <c r="BJ163" s="29">
        <f t="shared" ca="1" si="130"/>
        <v>0</v>
      </c>
      <c r="BK163" s="29">
        <f t="shared" ca="1" si="130"/>
        <v>0</v>
      </c>
      <c r="BL163" s="29">
        <f t="shared" ca="1" si="130"/>
        <v>0</v>
      </c>
      <c r="BM163" s="29">
        <f t="shared" ca="1" si="130"/>
        <v>0</v>
      </c>
      <c r="BN163" s="29">
        <f t="shared" ca="1" si="130"/>
        <v>0</v>
      </c>
      <c r="BO163" s="29">
        <f t="shared" si="130"/>
        <v>0</v>
      </c>
      <c r="BP163" s="29">
        <f t="shared" si="130"/>
        <v>0</v>
      </c>
      <c r="BQ163" s="29">
        <f t="shared" si="130"/>
        <v>0</v>
      </c>
      <c r="BR163" s="29">
        <f t="shared" si="130"/>
        <v>0</v>
      </c>
      <c r="BS163" s="29">
        <f t="shared" si="130"/>
        <v>0</v>
      </c>
      <c r="BT163" s="29">
        <f t="shared" si="130"/>
        <v>0</v>
      </c>
      <c r="BU163" s="29">
        <f t="shared" si="130"/>
        <v>0</v>
      </c>
      <c r="BV163" s="29">
        <f t="shared" si="130"/>
        <v>0</v>
      </c>
      <c r="BW163" s="29">
        <f t="shared" si="130"/>
        <v>0</v>
      </c>
      <c r="BX163" s="29">
        <f t="shared" si="130"/>
        <v>0</v>
      </c>
      <c r="BY163" s="29">
        <f t="shared" si="130"/>
        <v>0</v>
      </c>
      <c r="BZ163" s="29">
        <f t="shared" si="130"/>
        <v>0</v>
      </c>
      <c r="CA163" s="29">
        <f t="shared" si="130"/>
        <v>0</v>
      </c>
      <c r="CB163" s="29">
        <f t="shared" si="130"/>
        <v>0</v>
      </c>
      <c r="CC163" s="29">
        <f t="shared" si="130"/>
        <v>0</v>
      </c>
      <c r="CD163" s="29">
        <f t="shared" si="130"/>
        <v>0</v>
      </c>
      <c r="CE163" s="29">
        <f t="shared" si="130"/>
        <v>0</v>
      </c>
      <c r="CF163" s="29">
        <f t="shared" si="130"/>
        <v>0</v>
      </c>
      <c r="CG163" s="29">
        <f t="shared" si="130"/>
        <v>0</v>
      </c>
      <c r="CH163" s="29">
        <f t="shared" si="130"/>
        <v>0</v>
      </c>
    </row>
    <row r="164" spans="2:86" ht="13" hidden="1" outlineLevel="1">
      <c r="B164" s="84">
        <f t="shared" si="71"/>
        <v>61</v>
      </c>
      <c r="C164" s="64">
        <f t="shared" ca="1" si="69"/>
        <v>0.35600376008230028</v>
      </c>
      <c r="D164" s="15" t="s">
        <v>238</v>
      </c>
      <c r="E164" s="29">
        <f t="shared" ca="1" si="59"/>
        <v>55701812.083333328</v>
      </c>
      <c r="F164" s="29"/>
      <c r="G164" s="29">
        <f t="shared" ref="G164:CH164" ca="1" si="131">IF(G$4&lt;=$B164,ABS(G$31)*-1+G$47,0)+IF($B164=G$4,G$81,0)</f>
        <v>-1444375</v>
      </c>
      <c r="H164" s="29">
        <f t="shared" ca="1" si="131"/>
        <v>-1344375</v>
      </c>
      <c r="I164" s="29">
        <f t="shared" ca="1" si="131"/>
        <v>-1344375</v>
      </c>
      <c r="J164" s="29">
        <f t="shared" ca="1" si="131"/>
        <v>-1344375</v>
      </c>
      <c r="K164" s="29">
        <f t="shared" ca="1" si="131"/>
        <v>-1344375</v>
      </c>
      <c r="L164" s="29">
        <f t="shared" ca="1" si="131"/>
        <v>-1344375</v>
      </c>
      <c r="M164" s="29">
        <f t="shared" ca="1" si="131"/>
        <v>-1344375</v>
      </c>
      <c r="N164" s="29">
        <f t="shared" ca="1" si="131"/>
        <v>-1344375</v>
      </c>
      <c r="O164" s="29">
        <f t="shared" ca="1" si="131"/>
        <v>-1344375</v>
      </c>
      <c r="P164" s="29">
        <f t="shared" ca="1" si="131"/>
        <v>-1344375</v>
      </c>
      <c r="Q164" s="29">
        <f t="shared" ca="1" si="131"/>
        <v>-1344375</v>
      </c>
      <c r="R164" s="29">
        <f t="shared" ca="1" si="131"/>
        <v>-1344375</v>
      </c>
      <c r="S164" s="29">
        <f t="shared" ca="1" si="131"/>
        <v>-291239.58333333279</v>
      </c>
      <c r="T164" s="29">
        <f t="shared" ca="1" si="131"/>
        <v>-291239.58333333279</v>
      </c>
      <c r="U164" s="29">
        <f t="shared" ca="1" si="131"/>
        <v>-291239.58333333279</v>
      </c>
      <c r="V164" s="29">
        <f t="shared" ca="1" si="131"/>
        <v>-291239.58333333279</v>
      </c>
      <c r="W164" s="29">
        <f t="shared" ca="1" si="131"/>
        <v>3825453.1250000005</v>
      </c>
      <c r="X164" s="29">
        <f t="shared" ca="1" si="131"/>
        <v>3678872.2373188408</v>
      </c>
      <c r="Y164" s="29">
        <f t="shared" ca="1" si="131"/>
        <v>3313733.0533596845</v>
      </c>
      <c r="Z164" s="29">
        <f t="shared" ca="1" si="131"/>
        <v>3313733.0533596841</v>
      </c>
      <c r="AA164" s="29">
        <f t="shared" ca="1" si="131"/>
        <v>3353341.0902503296</v>
      </c>
      <c r="AB164" s="29">
        <f t="shared" ca="1" si="131"/>
        <v>3353341.09025033</v>
      </c>
      <c r="AC164" s="29">
        <f t="shared" ca="1" si="131"/>
        <v>3353341.09025033</v>
      </c>
      <c r="AD164" s="29">
        <f t="shared" ca="1" si="131"/>
        <v>3353341.09025033</v>
      </c>
      <c r="AE164" s="29">
        <f t="shared" ca="1" si="131"/>
        <v>4751736.4509222666</v>
      </c>
      <c r="AF164" s="29">
        <f t="shared" ca="1" si="131"/>
        <v>4751736.4509222666</v>
      </c>
      <c r="AG164" s="29">
        <f t="shared" ca="1" si="131"/>
        <v>4751736.4509222666</v>
      </c>
      <c r="AH164" s="29">
        <f t="shared" ca="1" si="131"/>
        <v>4751736.4509222666</v>
      </c>
      <c r="AI164" s="29">
        <f t="shared" ca="1" si="131"/>
        <v>3862141.1520092217</v>
      </c>
      <c r="AJ164" s="29">
        <f t="shared" ca="1" si="131"/>
        <v>3862141.1520092217</v>
      </c>
      <c r="AK164" s="29">
        <f t="shared" ca="1" si="131"/>
        <v>3862141.1520092217</v>
      </c>
      <c r="AL164" s="29">
        <f t="shared" ca="1" si="131"/>
        <v>3862141.1520092217</v>
      </c>
      <c r="AM164" s="29">
        <f t="shared" ca="1" si="131"/>
        <v>1237915.8843873511</v>
      </c>
      <c r="AN164" s="29">
        <f t="shared" ca="1" si="131"/>
        <v>1237915.8843873511</v>
      </c>
      <c r="AO164" s="29">
        <f t="shared" ca="1" si="131"/>
        <v>1237915.8843873511</v>
      </c>
      <c r="AP164" s="29">
        <f t="shared" ca="1" si="131"/>
        <v>1237915.8843873511</v>
      </c>
      <c r="AQ164" s="29">
        <f t="shared" ca="1" si="131"/>
        <v>1536735.1593379439</v>
      </c>
      <c r="AR164" s="29">
        <f t="shared" ca="1" si="131"/>
        <v>1536735.1593379439</v>
      </c>
      <c r="AS164" s="29">
        <f t="shared" ca="1" si="131"/>
        <v>1536735.1593379439</v>
      </c>
      <c r="AT164" s="29">
        <f t="shared" ca="1" si="131"/>
        <v>1536735.1593379439</v>
      </c>
      <c r="AU164" s="29">
        <f t="shared" ca="1" si="131"/>
        <v>0</v>
      </c>
      <c r="AV164" s="29">
        <f t="shared" ca="1" si="131"/>
        <v>0</v>
      </c>
      <c r="AW164" s="29">
        <f t="shared" ca="1" si="131"/>
        <v>0</v>
      </c>
      <c r="AX164" s="29">
        <f t="shared" ca="1" si="131"/>
        <v>0</v>
      </c>
      <c r="AY164" s="29">
        <f t="shared" ca="1" si="131"/>
        <v>0</v>
      </c>
      <c r="AZ164" s="29">
        <f t="shared" ca="1" si="131"/>
        <v>0</v>
      </c>
      <c r="BA164" s="29">
        <f t="shared" ca="1" si="131"/>
        <v>0</v>
      </c>
      <c r="BB164" s="29">
        <f t="shared" ca="1" si="131"/>
        <v>0</v>
      </c>
      <c r="BC164" s="29">
        <f t="shared" ca="1" si="131"/>
        <v>0</v>
      </c>
      <c r="BD164" s="29">
        <f t="shared" ca="1" si="131"/>
        <v>0</v>
      </c>
      <c r="BE164" s="29">
        <f t="shared" ca="1" si="131"/>
        <v>0</v>
      </c>
      <c r="BF164" s="29">
        <f t="shared" ca="1" si="131"/>
        <v>0</v>
      </c>
      <c r="BG164" s="29">
        <f t="shared" ca="1" si="131"/>
        <v>0</v>
      </c>
      <c r="BH164" s="29">
        <f t="shared" ca="1" si="131"/>
        <v>0</v>
      </c>
      <c r="BI164" s="29">
        <f t="shared" ca="1" si="131"/>
        <v>0</v>
      </c>
      <c r="BJ164" s="29">
        <f t="shared" ca="1" si="131"/>
        <v>0</v>
      </c>
      <c r="BK164" s="29">
        <f t="shared" ca="1" si="131"/>
        <v>0</v>
      </c>
      <c r="BL164" s="29">
        <f t="shared" ca="1" si="131"/>
        <v>0</v>
      </c>
      <c r="BM164" s="29">
        <f t="shared" ca="1" si="131"/>
        <v>0</v>
      </c>
      <c r="BN164" s="29">
        <f t="shared" ca="1" si="131"/>
        <v>0</v>
      </c>
      <c r="BO164" s="29">
        <f t="shared" ca="1" si="131"/>
        <v>0</v>
      </c>
      <c r="BP164" s="29">
        <f t="shared" si="131"/>
        <v>0</v>
      </c>
      <c r="BQ164" s="29">
        <f t="shared" si="131"/>
        <v>0</v>
      </c>
      <c r="BR164" s="29">
        <f t="shared" si="131"/>
        <v>0</v>
      </c>
      <c r="BS164" s="29">
        <f t="shared" si="131"/>
        <v>0</v>
      </c>
      <c r="BT164" s="29">
        <f t="shared" si="131"/>
        <v>0</v>
      </c>
      <c r="BU164" s="29">
        <f t="shared" si="131"/>
        <v>0</v>
      </c>
      <c r="BV164" s="29">
        <f t="shared" si="131"/>
        <v>0</v>
      </c>
      <c r="BW164" s="29">
        <f t="shared" si="131"/>
        <v>0</v>
      </c>
      <c r="BX164" s="29">
        <f t="shared" si="131"/>
        <v>0</v>
      </c>
      <c r="BY164" s="29">
        <f t="shared" si="131"/>
        <v>0</v>
      </c>
      <c r="BZ164" s="29">
        <f t="shared" si="131"/>
        <v>0</v>
      </c>
      <c r="CA164" s="29">
        <f t="shared" si="131"/>
        <v>0</v>
      </c>
      <c r="CB164" s="29">
        <f t="shared" si="131"/>
        <v>0</v>
      </c>
      <c r="CC164" s="29">
        <f t="shared" si="131"/>
        <v>0</v>
      </c>
      <c r="CD164" s="29">
        <f t="shared" si="131"/>
        <v>0</v>
      </c>
      <c r="CE164" s="29">
        <f t="shared" si="131"/>
        <v>0</v>
      </c>
      <c r="CF164" s="29">
        <f t="shared" si="131"/>
        <v>0</v>
      </c>
      <c r="CG164" s="29">
        <f t="shared" si="131"/>
        <v>0</v>
      </c>
      <c r="CH164" s="29">
        <f t="shared" si="131"/>
        <v>0</v>
      </c>
    </row>
    <row r="165" spans="2:86" ht="13" hidden="1" outlineLevel="1">
      <c r="B165" s="84">
        <f t="shared" si="71"/>
        <v>62</v>
      </c>
      <c r="C165" s="64">
        <f t="shared" ca="1" si="69"/>
        <v>0.35600376008230028</v>
      </c>
      <c r="D165" s="15" t="s">
        <v>238</v>
      </c>
      <c r="E165" s="29">
        <f t="shared" ca="1" si="59"/>
        <v>55701812.083333328</v>
      </c>
      <c r="F165" s="29"/>
      <c r="G165" s="29">
        <f t="shared" ref="G165:CH165" ca="1" si="132">IF(G$4&lt;=$B165,ABS(G$31)*-1+G$47,0)+IF($B165=G$4,G$81,0)</f>
        <v>-1444375</v>
      </c>
      <c r="H165" s="29">
        <f t="shared" ca="1" si="132"/>
        <v>-1344375</v>
      </c>
      <c r="I165" s="29">
        <f t="shared" ca="1" si="132"/>
        <v>-1344375</v>
      </c>
      <c r="J165" s="29">
        <f t="shared" ca="1" si="132"/>
        <v>-1344375</v>
      </c>
      <c r="K165" s="29">
        <f t="shared" ca="1" si="132"/>
        <v>-1344375</v>
      </c>
      <c r="L165" s="29">
        <f t="shared" ca="1" si="132"/>
        <v>-1344375</v>
      </c>
      <c r="M165" s="29">
        <f t="shared" ca="1" si="132"/>
        <v>-1344375</v>
      </c>
      <c r="N165" s="29">
        <f t="shared" ca="1" si="132"/>
        <v>-1344375</v>
      </c>
      <c r="O165" s="29">
        <f t="shared" ca="1" si="132"/>
        <v>-1344375</v>
      </c>
      <c r="P165" s="29">
        <f t="shared" ca="1" si="132"/>
        <v>-1344375</v>
      </c>
      <c r="Q165" s="29">
        <f t="shared" ca="1" si="132"/>
        <v>-1344375</v>
      </c>
      <c r="R165" s="29">
        <f t="shared" ca="1" si="132"/>
        <v>-1344375</v>
      </c>
      <c r="S165" s="29">
        <f t="shared" ca="1" si="132"/>
        <v>-291239.58333333279</v>
      </c>
      <c r="T165" s="29">
        <f t="shared" ca="1" si="132"/>
        <v>-291239.58333333279</v>
      </c>
      <c r="U165" s="29">
        <f t="shared" ca="1" si="132"/>
        <v>-291239.58333333279</v>
      </c>
      <c r="V165" s="29">
        <f t="shared" ca="1" si="132"/>
        <v>-291239.58333333279</v>
      </c>
      <c r="W165" s="29">
        <f t="shared" ca="1" si="132"/>
        <v>3825453.1250000005</v>
      </c>
      <c r="X165" s="29">
        <f t="shared" ca="1" si="132"/>
        <v>3678872.2373188408</v>
      </c>
      <c r="Y165" s="29">
        <f t="shared" ca="1" si="132"/>
        <v>3313733.0533596845</v>
      </c>
      <c r="Z165" s="29">
        <f t="shared" ca="1" si="132"/>
        <v>3313733.0533596841</v>
      </c>
      <c r="AA165" s="29">
        <f t="shared" ca="1" si="132"/>
        <v>3353341.0902503296</v>
      </c>
      <c r="AB165" s="29">
        <f t="shared" ca="1" si="132"/>
        <v>3353341.09025033</v>
      </c>
      <c r="AC165" s="29">
        <f t="shared" ca="1" si="132"/>
        <v>3353341.09025033</v>
      </c>
      <c r="AD165" s="29">
        <f t="shared" ca="1" si="132"/>
        <v>3353341.09025033</v>
      </c>
      <c r="AE165" s="29">
        <f t="shared" ca="1" si="132"/>
        <v>4751736.4509222666</v>
      </c>
      <c r="AF165" s="29">
        <f t="shared" ca="1" si="132"/>
        <v>4751736.4509222666</v>
      </c>
      <c r="AG165" s="29">
        <f t="shared" ca="1" si="132"/>
        <v>4751736.4509222666</v>
      </c>
      <c r="AH165" s="29">
        <f t="shared" ca="1" si="132"/>
        <v>4751736.4509222666</v>
      </c>
      <c r="AI165" s="29">
        <f t="shared" ca="1" si="132"/>
        <v>3862141.1520092217</v>
      </c>
      <c r="AJ165" s="29">
        <f t="shared" ca="1" si="132"/>
        <v>3862141.1520092217</v>
      </c>
      <c r="AK165" s="29">
        <f t="shared" ca="1" si="132"/>
        <v>3862141.1520092217</v>
      </c>
      <c r="AL165" s="29">
        <f t="shared" ca="1" si="132"/>
        <v>3862141.1520092217</v>
      </c>
      <c r="AM165" s="29">
        <f t="shared" ca="1" si="132"/>
        <v>1237915.8843873511</v>
      </c>
      <c r="AN165" s="29">
        <f t="shared" ca="1" si="132"/>
        <v>1237915.8843873511</v>
      </c>
      <c r="AO165" s="29">
        <f t="shared" ca="1" si="132"/>
        <v>1237915.8843873511</v>
      </c>
      <c r="AP165" s="29">
        <f t="shared" ca="1" si="132"/>
        <v>1237915.8843873511</v>
      </c>
      <c r="AQ165" s="29">
        <f t="shared" ca="1" si="132"/>
        <v>1536735.1593379439</v>
      </c>
      <c r="AR165" s="29">
        <f t="shared" ca="1" si="132"/>
        <v>1536735.1593379439</v>
      </c>
      <c r="AS165" s="29">
        <f t="shared" ca="1" si="132"/>
        <v>1536735.1593379439</v>
      </c>
      <c r="AT165" s="29">
        <f t="shared" ca="1" si="132"/>
        <v>1536735.1593379439</v>
      </c>
      <c r="AU165" s="29">
        <f t="shared" ca="1" si="132"/>
        <v>0</v>
      </c>
      <c r="AV165" s="29">
        <f t="shared" ca="1" si="132"/>
        <v>0</v>
      </c>
      <c r="AW165" s="29">
        <f t="shared" ca="1" si="132"/>
        <v>0</v>
      </c>
      <c r="AX165" s="29">
        <f t="shared" ca="1" si="132"/>
        <v>0</v>
      </c>
      <c r="AY165" s="29">
        <f t="shared" ca="1" si="132"/>
        <v>0</v>
      </c>
      <c r="AZ165" s="29">
        <f t="shared" ca="1" si="132"/>
        <v>0</v>
      </c>
      <c r="BA165" s="29">
        <f t="shared" ca="1" si="132"/>
        <v>0</v>
      </c>
      <c r="BB165" s="29">
        <f t="shared" ca="1" si="132"/>
        <v>0</v>
      </c>
      <c r="BC165" s="29">
        <f t="shared" ca="1" si="132"/>
        <v>0</v>
      </c>
      <c r="BD165" s="29">
        <f t="shared" ca="1" si="132"/>
        <v>0</v>
      </c>
      <c r="BE165" s="29">
        <f t="shared" ca="1" si="132"/>
        <v>0</v>
      </c>
      <c r="BF165" s="29">
        <f t="shared" ca="1" si="132"/>
        <v>0</v>
      </c>
      <c r="BG165" s="29">
        <f t="shared" ca="1" si="132"/>
        <v>0</v>
      </c>
      <c r="BH165" s="29">
        <f t="shared" ca="1" si="132"/>
        <v>0</v>
      </c>
      <c r="BI165" s="29">
        <f t="shared" ca="1" si="132"/>
        <v>0</v>
      </c>
      <c r="BJ165" s="29">
        <f t="shared" ca="1" si="132"/>
        <v>0</v>
      </c>
      <c r="BK165" s="29">
        <f t="shared" ca="1" si="132"/>
        <v>0</v>
      </c>
      <c r="BL165" s="29">
        <f t="shared" ca="1" si="132"/>
        <v>0</v>
      </c>
      <c r="BM165" s="29">
        <f t="shared" ca="1" si="132"/>
        <v>0</v>
      </c>
      <c r="BN165" s="29">
        <f t="shared" ca="1" si="132"/>
        <v>0</v>
      </c>
      <c r="BO165" s="29">
        <f t="shared" ca="1" si="132"/>
        <v>0</v>
      </c>
      <c r="BP165" s="29">
        <f t="shared" ca="1" si="132"/>
        <v>0</v>
      </c>
      <c r="BQ165" s="29">
        <f t="shared" si="132"/>
        <v>0</v>
      </c>
      <c r="BR165" s="29">
        <f t="shared" si="132"/>
        <v>0</v>
      </c>
      <c r="BS165" s="29">
        <f t="shared" si="132"/>
        <v>0</v>
      </c>
      <c r="BT165" s="29">
        <f t="shared" si="132"/>
        <v>0</v>
      </c>
      <c r="BU165" s="29">
        <f t="shared" si="132"/>
        <v>0</v>
      </c>
      <c r="BV165" s="29">
        <f t="shared" si="132"/>
        <v>0</v>
      </c>
      <c r="BW165" s="29">
        <f t="shared" si="132"/>
        <v>0</v>
      </c>
      <c r="BX165" s="29">
        <f t="shared" si="132"/>
        <v>0</v>
      </c>
      <c r="BY165" s="29">
        <f t="shared" si="132"/>
        <v>0</v>
      </c>
      <c r="BZ165" s="29">
        <f t="shared" si="132"/>
        <v>0</v>
      </c>
      <c r="CA165" s="29">
        <f t="shared" si="132"/>
        <v>0</v>
      </c>
      <c r="CB165" s="29">
        <f t="shared" si="132"/>
        <v>0</v>
      </c>
      <c r="CC165" s="29">
        <f t="shared" si="132"/>
        <v>0</v>
      </c>
      <c r="CD165" s="29">
        <f t="shared" si="132"/>
        <v>0</v>
      </c>
      <c r="CE165" s="29">
        <f t="shared" si="132"/>
        <v>0</v>
      </c>
      <c r="CF165" s="29">
        <f t="shared" si="132"/>
        <v>0</v>
      </c>
      <c r="CG165" s="29">
        <f t="shared" si="132"/>
        <v>0</v>
      </c>
      <c r="CH165" s="29">
        <f t="shared" si="132"/>
        <v>0</v>
      </c>
    </row>
    <row r="166" spans="2:86" ht="13" hidden="1" outlineLevel="1">
      <c r="B166" s="84">
        <f t="shared" si="71"/>
        <v>63</v>
      </c>
      <c r="C166" s="64">
        <f t="shared" ca="1" si="69"/>
        <v>0.35600376008230028</v>
      </c>
      <c r="D166" s="15" t="s">
        <v>238</v>
      </c>
      <c r="E166" s="29">
        <f t="shared" ca="1" si="59"/>
        <v>55701812.083333328</v>
      </c>
      <c r="F166" s="29"/>
      <c r="G166" s="29">
        <f t="shared" ref="G166:CH166" ca="1" si="133">IF(G$4&lt;=$B166,ABS(G$31)*-1+G$47,0)+IF($B166=G$4,G$81,0)</f>
        <v>-1444375</v>
      </c>
      <c r="H166" s="29">
        <f t="shared" ca="1" si="133"/>
        <v>-1344375</v>
      </c>
      <c r="I166" s="29">
        <f t="shared" ca="1" si="133"/>
        <v>-1344375</v>
      </c>
      <c r="J166" s="29">
        <f t="shared" ca="1" si="133"/>
        <v>-1344375</v>
      </c>
      <c r="K166" s="29">
        <f t="shared" ca="1" si="133"/>
        <v>-1344375</v>
      </c>
      <c r="L166" s="29">
        <f t="shared" ca="1" si="133"/>
        <v>-1344375</v>
      </c>
      <c r="M166" s="29">
        <f t="shared" ca="1" si="133"/>
        <v>-1344375</v>
      </c>
      <c r="N166" s="29">
        <f t="shared" ca="1" si="133"/>
        <v>-1344375</v>
      </c>
      <c r="O166" s="29">
        <f t="shared" ca="1" si="133"/>
        <v>-1344375</v>
      </c>
      <c r="P166" s="29">
        <f t="shared" ca="1" si="133"/>
        <v>-1344375</v>
      </c>
      <c r="Q166" s="29">
        <f t="shared" ca="1" si="133"/>
        <v>-1344375</v>
      </c>
      <c r="R166" s="29">
        <f t="shared" ca="1" si="133"/>
        <v>-1344375</v>
      </c>
      <c r="S166" s="29">
        <f t="shared" ca="1" si="133"/>
        <v>-291239.58333333279</v>
      </c>
      <c r="T166" s="29">
        <f t="shared" ca="1" si="133"/>
        <v>-291239.58333333279</v>
      </c>
      <c r="U166" s="29">
        <f t="shared" ca="1" si="133"/>
        <v>-291239.58333333279</v>
      </c>
      <c r="V166" s="29">
        <f t="shared" ca="1" si="133"/>
        <v>-291239.58333333279</v>
      </c>
      <c r="W166" s="29">
        <f t="shared" ca="1" si="133"/>
        <v>3825453.1250000005</v>
      </c>
      <c r="X166" s="29">
        <f t="shared" ca="1" si="133"/>
        <v>3678872.2373188408</v>
      </c>
      <c r="Y166" s="29">
        <f t="shared" ca="1" si="133"/>
        <v>3313733.0533596845</v>
      </c>
      <c r="Z166" s="29">
        <f t="shared" ca="1" si="133"/>
        <v>3313733.0533596841</v>
      </c>
      <c r="AA166" s="29">
        <f t="shared" ca="1" si="133"/>
        <v>3353341.0902503296</v>
      </c>
      <c r="AB166" s="29">
        <f t="shared" ca="1" si="133"/>
        <v>3353341.09025033</v>
      </c>
      <c r="AC166" s="29">
        <f t="shared" ca="1" si="133"/>
        <v>3353341.09025033</v>
      </c>
      <c r="AD166" s="29">
        <f t="shared" ca="1" si="133"/>
        <v>3353341.09025033</v>
      </c>
      <c r="AE166" s="29">
        <f t="shared" ca="1" si="133"/>
        <v>4751736.4509222666</v>
      </c>
      <c r="AF166" s="29">
        <f t="shared" ca="1" si="133"/>
        <v>4751736.4509222666</v>
      </c>
      <c r="AG166" s="29">
        <f t="shared" ca="1" si="133"/>
        <v>4751736.4509222666</v>
      </c>
      <c r="AH166" s="29">
        <f t="shared" ca="1" si="133"/>
        <v>4751736.4509222666</v>
      </c>
      <c r="AI166" s="29">
        <f t="shared" ca="1" si="133"/>
        <v>3862141.1520092217</v>
      </c>
      <c r="AJ166" s="29">
        <f t="shared" ca="1" si="133"/>
        <v>3862141.1520092217</v>
      </c>
      <c r="AK166" s="29">
        <f t="shared" ca="1" si="133"/>
        <v>3862141.1520092217</v>
      </c>
      <c r="AL166" s="29">
        <f t="shared" ca="1" si="133"/>
        <v>3862141.1520092217</v>
      </c>
      <c r="AM166" s="29">
        <f t="shared" ca="1" si="133"/>
        <v>1237915.8843873511</v>
      </c>
      <c r="AN166" s="29">
        <f t="shared" ca="1" si="133"/>
        <v>1237915.8843873511</v>
      </c>
      <c r="AO166" s="29">
        <f t="shared" ca="1" si="133"/>
        <v>1237915.8843873511</v>
      </c>
      <c r="AP166" s="29">
        <f t="shared" ca="1" si="133"/>
        <v>1237915.8843873511</v>
      </c>
      <c r="AQ166" s="29">
        <f t="shared" ca="1" si="133"/>
        <v>1536735.1593379439</v>
      </c>
      <c r="AR166" s="29">
        <f t="shared" ca="1" si="133"/>
        <v>1536735.1593379439</v>
      </c>
      <c r="AS166" s="29">
        <f t="shared" ca="1" si="133"/>
        <v>1536735.1593379439</v>
      </c>
      <c r="AT166" s="29">
        <f t="shared" ca="1" si="133"/>
        <v>1536735.1593379439</v>
      </c>
      <c r="AU166" s="29">
        <f t="shared" ca="1" si="133"/>
        <v>0</v>
      </c>
      <c r="AV166" s="29">
        <f t="shared" ca="1" si="133"/>
        <v>0</v>
      </c>
      <c r="AW166" s="29">
        <f t="shared" ca="1" si="133"/>
        <v>0</v>
      </c>
      <c r="AX166" s="29">
        <f t="shared" ca="1" si="133"/>
        <v>0</v>
      </c>
      <c r="AY166" s="29">
        <f t="shared" ca="1" si="133"/>
        <v>0</v>
      </c>
      <c r="AZ166" s="29">
        <f t="shared" ca="1" si="133"/>
        <v>0</v>
      </c>
      <c r="BA166" s="29">
        <f t="shared" ca="1" si="133"/>
        <v>0</v>
      </c>
      <c r="BB166" s="29">
        <f t="shared" ca="1" si="133"/>
        <v>0</v>
      </c>
      <c r="BC166" s="29">
        <f t="shared" ca="1" si="133"/>
        <v>0</v>
      </c>
      <c r="BD166" s="29">
        <f t="shared" ca="1" si="133"/>
        <v>0</v>
      </c>
      <c r="BE166" s="29">
        <f t="shared" ca="1" si="133"/>
        <v>0</v>
      </c>
      <c r="BF166" s="29">
        <f t="shared" ca="1" si="133"/>
        <v>0</v>
      </c>
      <c r="BG166" s="29">
        <f t="shared" ca="1" si="133"/>
        <v>0</v>
      </c>
      <c r="BH166" s="29">
        <f t="shared" ca="1" si="133"/>
        <v>0</v>
      </c>
      <c r="BI166" s="29">
        <f t="shared" ca="1" si="133"/>
        <v>0</v>
      </c>
      <c r="BJ166" s="29">
        <f t="shared" ca="1" si="133"/>
        <v>0</v>
      </c>
      <c r="BK166" s="29">
        <f t="shared" ca="1" si="133"/>
        <v>0</v>
      </c>
      <c r="BL166" s="29">
        <f t="shared" ca="1" si="133"/>
        <v>0</v>
      </c>
      <c r="BM166" s="29">
        <f t="shared" ca="1" si="133"/>
        <v>0</v>
      </c>
      <c r="BN166" s="29">
        <f t="shared" ca="1" si="133"/>
        <v>0</v>
      </c>
      <c r="BO166" s="29">
        <f t="shared" ca="1" si="133"/>
        <v>0</v>
      </c>
      <c r="BP166" s="29">
        <f t="shared" ca="1" si="133"/>
        <v>0</v>
      </c>
      <c r="BQ166" s="29">
        <f t="shared" ca="1" si="133"/>
        <v>0</v>
      </c>
      <c r="BR166" s="29">
        <f t="shared" si="133"/>
        <v>0</v>
      </c>
      <c r="BS166" s="29">
        <f t="shared" si="133"/>
        <v>0</v>
      </c>
      <c r="BT166" s="29">
        <f t="shared" si="133"/>
        <v>0</v>
      </c>
      <c r="BU166" s="29">
        <f t="shared" si="133"/>
        <v>0</v>
      </c>
      <c r="BV166" s="29">
        <f t="shared" si="133"/>
        <v>0</v>
      </c>
      <c r="BW166" s="29">
        <f t="shared" si="133"/>
        <v>0</v>
      </c>
      <c r="BX166" s="29">
        <f t="shared" si="133"/>
        <v>0</v>
      </c>
      <c r="BY166" s="29">
        <f t="shared" si="133"/>
        <v>0</v>
      </c>
      <c r="BZ166" s="29">
        <f t="shared" si="133"/>
        <v>0</v>
      </c>
      <c r="CA166" s="29">
        <f t="shared" si="133"/>
        <v>0</v>
      </c>
      <c r="CB166" s="29">
        <f t="shared" si="133"/>
        <v>0</v>
      </c>
      <c r="CC166" s="29">
        <f t="shared" si="133"/>
        <v>0</v>
      </c>
      <c r="CD166" s="29">
        <f t="shared" si="133"/>
        <v>0</v>
      </c>
      <c r="CE166" s="29">
        <f t="shared" si="133"/>
        <v>0</v>
      </c>
      <c r="CF166" s="29">
        <f t="shared" si="133"/>
        <v>0</v>
      </c>
      <c r="CG166" s="29">
        <f t="shared" si="133"/>
        <v>0</v>
      </c>
      <c r="CH166" s="29">
        <f t="shared" si="133"/>
        <v>0</v>
      </c>
    </row>
    <row r="167" spans="2:86" ht="13" hidden="1" outlineLevel="1">
      <c r="B167" s="84">
        <f t="shared" si="71"/>
        <v>64</v>
      </c>
      <c r="C167" s="64">
        <f t="shared" ca="1" si="69"/>
        <v>0.35600376008230028</v>
      </c>
      <c r="D167" s="15" t="s">
        <v>238</v>
      </c>
      <c r="E167" s="29">
        <f t="shared" ca="1" si="59"/>
        <v>55701812.083333328</v>
      </c>
      <c r="F167" s="29"/>
      <c r="G167" s="29">
        <f t="shared" ref="G167:CH167" ca="1" si="134">IF(G$4&lt;=$B167,ABS(G$31)*-1+G$47,0)+IF($B167=G$4,G$81,0)</f>
        <v>-1444375</v>
      </c>
      <c r="H167" s="29">
        <f t="shared" ca="1" si="134"/>
        <v>-1344375</v>
      </c>
      <c r="I167" s="29">
        <f t="shared" ca="1" si="134"/>
        <v>-1344375</v>
      </c>
      <c r="J167" s="29">
        <f t="shared" ca="1" si="134"/>
        <v>-1344375</v>
      </c>
      <c r="K167" s="29">
        <f t="shared" ca="1" si="134"/>
        <v>-1344375</v>
      </c>
      <c r="L167" s="29">
        <f t="shared" ca="1" si="134"/>
        <v>-1344375</v>
      </c>
      <c r="M167" s="29">
        <f t="shared" ca="1" si="134"/>
        <v>-1344375</v>
      </c>
      <c r="N167" s="29">
        <f t="shared" ca="1" si="134"/>
        <v>-1344375</v>
      </c>
      <c r="O167" s="29">
        <f t="shared" ca="1" si="134"/>
        <v>-1344375</v>
      </c>
      <c r="P167" s="29">
        <f t="shared" ca="1" si="134"/>
        <v>-1344375</v>
      </c>
      <c r="Q167" s="29">
        <f t="shared" ca="1" si="134"/>
        <v>-1344375</v>
      </c>
      <c r="R167" s="29">
        <f t="shared" ca="1" si="134"/>
        <v>-1344375</v>
      </c>
      <c r="S167" s="29">
        <f t="shared" ca="1" si="134"/>
        <v>-291239.58333333279</v>
      </c>
      <c r="T167" s="29">
        <f t="shared" ca="1" si="134"/>
        <v>-291239.58333333279</v>
      </c>
      <c r="U167" s="29">
        <f t="shared" ca="1" si="134"/>
        <v>-291239.58333333279</v>
      </c>
      <c r="V167" s="29">
        <f t="shared" ca="1" si="134"/>
        <v>-291239.58333333279</v>
      </c>
      <c r="W167" s="29">
        <f t="shared" ca="1" si="134"/>
        <v>3825453.1250000005</v>
      </c>
      <c r="X167" s="29">
        <f t="shared" ca="1" si="134"/>
        <v>3678872.2373188408</v>
      </c>
      <c r="Y167" s="29">
        <f t="shared" ca="1" si="134"/>
        <v>3313733.0533596845</v>
      </c>
      <c r="Z167" s="29">
        <f t="shared" ca="1" si="134"/>
        <v>3313733.0533596841</v>
      </c>
      <c r="AA167" s="29">
        <f t="shared" ca="1" si="134"/>
        <v>3353341.0902503296</v>
      </c>
      <c r="AB167" s="29">
        <f t="shared" ca="1" si="134"/>
        <v>3353341.09025033</v>
      </c>
      <c r="AC167" s="29">
        <f t="shared" ca="1" si="134"/>
        <v>3353341.09025033</v>
      </c>
      <c r="AD167" s="29">
        <f t="shared" ca="1" si="134"/>
        <v>3353341.09025033</v>
      </c>
      <c r="AE167" s="29">
        <f t="shared" ca="1" si="134"/>
        <v>4751736.4509222666</v>
      </c>
      <c r="AF167" s="29">
        <f t="shared" ca="1" si="134"/>
        <v>4751736.4509222666</v>
      </c>
      <c r="AG167" s="29">
        <f t="shared" ca="1" si="134"/>
        <v>4751736.4509222666</v>
      </c>
      <c r="AH167" s="29">
        <f t="shared" ca="1" si="134"/>
        <v>4751736.4509222666</v>
      </c>
      <c r="AI167" s="29">
        <f t="shared" ca="1" si="134"/>
        <v>3862141.1520092217</v>
      </c>
      <c r="AJ167" s="29">
        <f t="shared" ca="1" si="134"/>
        <v>3862141.1520092217</v>
      </c>
      <c r="AK167" s="29">
        <f t="shared" ca="1" si="134"/>
        <v>3862141.1520092217</v>
      </c>
      <c r="AL167" s="29">
        <f t="shared" ca="1" si="134"/>
        <v>3862141.1520092217</v>
      </c>
      <c r="AM167" s="29">
        <f t="shared" ca="1" si="134"/>
        <v>1237915.8843873511</v>
      </c>
      <c r="AN167" s="29">
        <f t="shared" ca="1" si="134"/>
        <v>1237915.8843873511</v>
      </c>
      <c r="AO167" s="29">
        <f t="shared" ca="1" si="134"/>
        <v>1237915.8843873511</v>
      </c>
      <c r="AP167" s="29">
        <f t="shared" ca="1" si="134"/>
        <v>1237915.8843873511</v>
      </c>
      <c r="AQ167" s="29">
        <f t="shared" ca="1" si="134"/>
        <v>1536735.1593379439</v>
      </c>
      <c r="AR167" s="29">
        <f t="shared" ca="1" si="134"/>
        <v>1536735.1593379439</v>
      </c>
      <c r="AS167" s="29">
        <f t="shared" ca="1" si="134"/>
        <v>1536735.1593379439</v>
      </c>
      <c r="AT167" s="29">
        <f t="shared" ca="1" si="134"/>
        <v>1536735.1593379439</v>
      </c>
      <c r="AU167" s="29">
        <f t="shared" ca="1" si="134"/>
        <v>0</v>
      </c>
      <c r="AV167" s="29">
        <f t="shared" ca="1" si="134"/>
        <v>0</v>
      </c>
      <c r="AW167" s="29">
        <f t="shared" ca="1" si="134"/>
        <v>0</v>
      </c>
      <c r="AX167" s="29">
        <f t="shared" ca="1" si="134"/>
        <v>0</v>
      </c>
      <c r="AY167" s="29">
        <f t="shared" ca="1" si="134"/>
        <v>0</v>
      </c>
      <c r="AZ167" s="29">
        <f t="shared" ca="1" si="134"/>
        <v>0</v>
      </c>
      <c r="BA167" s="29">
        <f t="shared" ca="1" si="134"/>
        <v>0</v>
      </c>
      <c r="BB167" s="29">
        <f t="shared" ca="1" si="134"/>
        <v>0</v>
      </c>
      <c r="BC167" s="29">
        <f t="shared" ca="1" si="134"/>
        <v>0</v>
      </c>
      <c r="BD167" s="29">
        <f t="shared" ca="1" si="134"/>
        <v>0</v>
      </c>
      <c r="BE167" s="29">
        <f t="shared" ca="1" si="134"/>
        <v>0</v>
      </c>
      <c r="BF167" s="29">
        <f t="shared" ca="1" si="134"/>
        <v>0</v>
      </c>
      <c r="BG167" s="29">
        <f t="shared" ca="1" si="134"/>
        <v>0</v>
      </c>
      <c r="BH167" s="29">
        <f t="shared" ca="1" si="134"/>
        <v>0</v>
      </c>
      <c r="BI167" s="29">
        <f t="shared" ca="1" si="134"/>
        <v>0</v>
      </c>
      <c r="BJ167" s="29">
        <f t="shared" ca="1" si="134"/>
        <v>0</v>
      </c>
      <c r="BK167" s="29">
        <f t="shared" ca="1" si="134"/>
        <v>0</v>
      </c>
      <c r="BL167" s="29">
        <f t="shared" ca="1" si="134"/>
        <v>0</v>
      </c>
      <c r="BM167" s="29">
        <f t="shared" ca="1" si="134"/>
        <v>0</v>
      </c>
      <c r="BN167" s="29">
        <f t="shared" ca="1" si="134"/>
        <v>0</v>
      </c>
      <c r="BO167" s="29">
        <f t="shared" ca="1" si="134"/>
        <v>0</v>
      </c>
      <c r="BP167" s="29">
        <f t="shared" ca="1" si="134"/>
        <v>0</v>
      </c>
      <c r="BQ167" s="29">
        <f t="shared" ca="1" si="134"/>
        <v>0</v>
      </c>
      <c r="BR167" s="29">
        <f t="shared" ca="1" si="134"/>
        <v>0</v>
      </c>
      <c r="BS167" s="29">
        <f t="shared" si="134"/>
        <v>0</v>
      </c>
      <c r="BT167" s="29">
        <f t="shared" si="134"/>
        <v>0</v>
      </c>
      <c r="BU167" s="29">
        <f t="shared" si="134"/>
        <v>0</v>
      </c>
      <c r="BV167" s="29">
        <f t="shared" si="134"/>
        <v>0</v>
      </c>
      <c r="BW167" s="29">
        <f t="shared" si="134"/>
        <v>0</v>
      </c>
      <c r="BX167" s="29">
        <f t="shared" si="134"/>
        <v>0</v>
      </c>
      <c r="BY167" s="29">
        <f t="shared" si="134"/>
        <v>0</v>
      </c>
      <c r="BZ167" s="29">
        <f t="shared" si="134"/>
        <v>0</v>
      </c>
      <c r="CA167" s="29">
        <f t="shared" si="134"/>
        <v>0</v>
      </c>
      <c r="CB167" s="29">
        <f t="shared" si="134"/>
        <v>0</v>
      </c>
      <c r="CC167" s="29">
        <f t="shared" si="134"/>
        <v>0</v>
      </c>
      <c r="CD167" s="29">
        <f t="shared" si="134"/>
        <v>0</v>
      </c>
      <c r="CE167" s="29">
        <f t="shared" si="134"/>
        <v>0</v>
      </c>
      <c r="CF167" s="29">
        <f t="shared" si="134"/>
        <v>0</v>
      </c>
      <c r="CG167" s="29">
        <f t="shared" si="134"/>
        <v>0</v>
      </c>
      <c r="CH167" s="29">
        <f t="shared" si="134"/>
        <v>0</v>
      </c>
    </row>
    <row r="168" spans="2:86" ht="13" hidden="1" outlineLevel="1">
      <c r="B168" s="84">
        <f t="shared" si="71"/>
        <v>65</v>
      </c>
      <c r="C168" s="64">
        <f t="shared" ca="1" si="69"/>
        <v>0.35600376008230028</v>
      </c>
      <c r="D168" s="15" t="s">
        <v>238</v>
      </c>
      <c r="E168" s="29">
        <f t="shared" ca="1" si="59"/>
        <v>55701812.083333328</v>
      </c>
      <c r="F168" s="29"/>
      <c r="G168" s="29">
        <f t="shared" ref="G168:CH168" ca="1" si="135">IF(G$4&lt;=$B168,ABS(G$31)*-1+G$47,0)+IF($B168=G$4,G$81,0)</f>
        <v>-1444375</v>
      </c>
      <c r="H168" s="29">
        <f t="shared" ca="1" si="135"/>
        <v>-1344375</v>
      </c>
      <c r="I168" s="29">
        <f t="shared" ca="1" si="135"/>
        <v>-1344375</v>
      </c>
      <c r="J168" s="29">
        <f t="shared" ca="1" si="135"/>
        <v>-1344375</v>
      </c>
      <c r="K168" s="29">
        <f t="shared" ca="1" si="135"/>
        <v>-1344375</v>
      </c>
      <c r="L168" s="29">
        <f t="shared" ca="1" si="135"/>
        <v>-1344375</v>
      </c>
      <c r="M168" s="29">
        <f t="shared" ca="1" si="135"/>
        <v>-1344375</v>
      </c>
      <c r="N168" s="29">
        <f t="shared" ca="1" si="135"/>
        <v>-1344375</v>
      </c>
      <c r="O168" s="29">
        <f t="shared" ca="1" si="135"/>
        <v>-1344375</v>
      </c>
      <c r="P168" s="29">
        <f t="shared" ca="1" si="135"/>
        <v>-1344375</v>
      </c>
      <c r="Q168" s="29">
        <f t="shared" ca="1" si="135"/>
        <v>-1344375</v>
      </c>
      <c r="R168" s="29">
        <f t="shared" ca="1" si="135"/>
        <v>-1344375</v>
      </c>
      <c r="S168" s="29">
        <f t="shared" ca="1" si="135"/>
        <v>-291239.58333333279</v>
      </c>
      <c r="T168" s="29">
        <f t="shared" ca="1" si="135"/>
        <v>-291239.58333333279</v>
      </c>
      <c r="U168" s="29">
        <f t="shared" ca="1" si="135"/>
        <v>-291239.58333333279</v>
      </c>
      <c r="V168" s="29">
        <f t="shared" ca="1" si="135"/>
        <v>-291239.58333333279</v>
      </c>
      <c r="W168" s="29">
        <f t="shared" ca="1" si="135"/>
        <v>3825453.1250000005</v>
      </c>
      <c r="X168" s="29">
        <f t="shared" ca="1" si="135"/>
        <v>3678872.2373188408</v>
      </c>
      <c r="Y168" s="29">
        <f t="shared" ca="1" si="135"/>
        <v>3313733.0533596845</v>
      </c>
      <c r="Z168" s="29">
        <f t="shared" ca="1" si="135"/>
        <v>3313733.0533596841</v>
      </c>
      <c r="AA168" s="29">
        <f t="shared" ca="1" si="135"/>
        <v>3353341.0902503296</v>
      </c>
      <c r="AB168" s="29">
        <f t="shared" ca="1" si="135"/>
        <v>3353341.09025033</v>
      </c>
      <c r="AC168" s="29">
        <f t="shared" ca="1" si="135"/>
        <v>3353341.09025033</v>
      </c>
      <c r="AD168" s="29">
        <f t="shared" ca="1" si="135"/>
        <v>3353341.09025033</v>
      </c>
      <c r="AE168" s="29">
        <f t="shared" ca="1" si="135"/>
        <v>4751736.4509222666</v>
      </c>
      <c r="AF168" s="29">
        <f t="shared" ca="1" si="135"/>
        <v>4751736.4509222666</v>
      </c>
      <c r="AG168" s="29">
        <f t="shared" ca="1" si="135"/>
        <v>4751736.4509222666</v>
      </c>
      <c r="AH168" s="29">
        <f t="shared" ca="1" si="135"/>
        <v>4751736.4509222666</v>
      </c>
      <c r="AI168" s="29">
        <f t="shared" ca="1" si="135"/>
        <v>3862141.1520092217</v>
      </c>
      <c r="AJ168" s="29">
        <f t="shared" ca="1" si="135"/>
        <v>3862141.1520092217</v>
      </c>
      <c r="AK168" s="29">
        <f t="shared" ca="1" si="135"/>
        <v>3862141.1520092217</v>
      </c>
      <c r="AL168" s="29">
        <f t="shared" ca="1" si="135"/>
        <v>3862141.1520092217</v>
      </c>
      <c r="AM168" s="29">
        <f t="shared" ca="1" si="135"/>
        <v>1237915.8843873511</v>
      </c>
      <c r="AN168" s="29">
        <f t="shared" ca="1" si="135"/>
        <v>1237915.8843873511</v>
      </c>
      <c r="AO168" s="29">
        <f t="shared" ca="1" si="135"/>
        <v>1237915.8843873511</v>
      </c>
      <c r="AP168" s="29">
        <f t="shared" ca="1" si="135"/>
        <v>1237915.8843873511</v>
      </c>
      <c r="AQ168" s="29">
        <f t="shared" ca="1" si="135"/>
        <v>1536735.1593379439</v>
      </c>
      <c r="AR168" s="29">
        <f t="shared" ca="1" si="135"/>
        <v>1536735.1593379439</v>
      </c>
      <c r="AS168" s="29">
        <f t="shared" ca="1" si="135"/>
        <v>1536735.1593379439</v>
      </c>
      <c r="AT168" s="29">
        <f t="shared" ca="1" si="135"/>
        <v>1536735.1593379439</v>
      </c>
      <c r="AU168" s="29">
        <f t="shared" ca="1" si="135"/>
        <v>0</v>
      </c>
      <c r="AV168" s="29">
        <f t="shared" ca="1" si="135"/>
        <v>0</v>
      </c>
      <c r="AW168" s="29">
        <f t="shared" ca="1" si="135"/>
        <v>0</v>
      </c>
      <c r="AX168" s="29">
        <f t="shared" ca="1" si="135"/>
        <v>0</v>
      </c>
      <c r="AY168" s="29">
        <f t="shared" ca="1" si="135"/>
        <v>0</v>
      </c>
      <c r="AZ168" s="29">
        <f t="shared" ca="1" si="135"/>
        <v>0</v>
      </c>
      <c r="BA168" s="29">
        <f t="shared" ca="1" si="135"/>
        <v>0</v>
      </c>
      <c r="BB168" s="29">
        <f t="shared" ca="1" si="135"/>
        <v>0</v>
      </c>
      <c r="BC168" s="29">
        <f t="shared" ca="1" si="135"/>
        <v>0</v>
      </c>
      <c r="BD168" s="29">
        <f t="shared" ca="1" si="135"/>
        <v>0</v>
      </c>
      <c r="BE168" s="29">
        <f t="shared" ca="1" si="135"/>
        <v>0</v>
      </c>
      <c r="BF168" s="29">
        <f t="shared" ca="1" si="135"/>
        <v>0</v>
      </c>
      <c r="BG168" s="29">
        <f t="shared" ca="1" si="135"/>
        <v>0</v>
      </c>
      <c r="BH168" s="29">
        <f t="shared" ca="1" si="135"/>
        <v>0</v>
      </c>
      <c r="BI168" s="29">
        <f t="shared" ca="1" si="135"/>
        <v>0</v>
      </c>
      <c r="BJ168" s="29">
        <f t="shared" ca="1" si="135"/>
        <v>0</v>
      </c>
      <c r="BK168" s="29">
        <f t="shared" ca="1" si="135"/>
        <v>0</v>
      </c>
      <c r="BL168" s="29">
        <f t="shared" ca="1" si="135"/>
        <v>0</v>
      </c>
      <c r="BM168" s="29">
        <f t="shared" ca="1" si="135"/>
        <v>0</v>
      </c>
      <c r="BN168" s="29">
        <f t="shared" ca="1" si="135"/>
        <v>0</v>
      </c>
      <c r="BO168" s="29">
        <f t="shared" ca="1" si="135"/>
        <v>0</v>
      </c>
      <c r="BP168" s="29">
        <f t="shared" ca="1" si="135"/>
        <v>0</v>
      </c>
      <c r="BQ168" s="29">
        <f t="shared" ca="1" si="135"/>
        <v>0</v>
      </c>
      <c r="BR168" s="29">
        <f t="shared" ca="1" si="135"/>
        <v>0</v>
      </c>
      <c r="BS168" s="29">
        <f t="shared" ca="1" si="135"/>
        <v>0</v>
      </c>
      <c r="BT168" s="29">
        <f t="shared" si="135"/>
        <v>0</v>
      </c>
      <c r="BU168" s="29">
        <f t="shared" si="135"/>
        <v>0</v>
      </c>
      <c r="BV168" s="29">
        <f t="shared" si="135"/>
        <v>0</v>
      </c>
      <c r="BW168" s="29">
        <f t="shared" si="135"/>
        <v>0</v>
      </c>
      <c r="BX168" s="29">
        <f t="shared" si="135"/>
        <v>0</v>
      </c>
      <c r="BY168" s="29">
        <f t="shared" si="135"/>
        <v>0</v>
      </c>
      <c r="BZ168" s="29">
        <f t="shared" si="135"/>
        <v>0</v>
      </c>
      <c r="CA168" s="29">
        <f t="shared" si="135"/>
        <v>0</v>
      </c>
      <c r="CB168" s="29">
        <f t="shared" si="135"/>
        <v>0</v>
      </c>
      <c r="CC168" s="29">
        <f t="shared" si="135"/>
        <v>0</v>
      </c>
      <c r="CD168" s="29">
        <f t="shared" si="135"/>
        <v>0</v>
      </c>
      <c r="CE168" s="29">
        <f t="shared" si="135"/>
        <v>0</v>
      </c>
      <c r="CF168" s="29">
        <f t="shared" si="135"/>
        <v>0</v>
      </c>
      <c r="CG168" s="29">
        <f t="shared" si="135"/>
        <v>0</v>
      </c>
      <c r="CH168" s="29">
        <f t="shared" si="135"/>
        <v>0</v>
      </c>
    </row>
    <row r="169" spans="2:86" ht="13" hidden="1" outlineLevel="1">
      <c r="B169" s="84">
        <f t="shared" si="71"/>
        <v>66</v>
      </c>
      <c r="C169" s="64">
        <f t="shared" ca="1" si="69"/>
        <v>0.35600376008230028</v>
      </c>
      <c r="D169" s="15" t="s">
        <v>238</v>
      </c>
      <c r="E169" s="29">
        <f t="shared" ca="1" si="59"/>
        <v>55701812.083333328</v>
      </c>
      <c r="F169" s="29"/>
      <c r="G169" s="29">
        <f t="shared" ref="G169:CH169" ca="1" si="136">IF(G$4&lt;=$B169,ABS(G$31)*-1+G$47,0)+IF($B169=G$4,G$81,0)</f>
        <v>-1444375</v>
      </c>
      <c r="H169" s="29">
        <f t="shared" ca="1" si="136"/>
        <v>-1344375</v>
      </c>
      <c r="I169" s="29">
        <f t="shared" ca="1" si="136"/>
        <v>-1344375</v>
      </c>
      <c r="J169" s="29">
        <f t="shared" ca="1" si="136"/>
        <v>-1344375</v>
      </c>
      <c r="K169" s="29">
        <f t="shared" ca="1" si="136"/>
        <v>-1344375</v>
      </c>
      <c r="L169" s="29">
        <f t="shared" ca="1" si="136"/>
        <v>-1344375</v>
      </c>
      <c r="M169" s="29">
        <f t="shared" ca="1" si="136"/>
        <v>-1344375</v>
      </c>
      <c r="N169" s="29">
        <f t="shared" ca="1" si="136"/>
        <v>-1344375</v>
      </c>
      <c r="O169" s="29">
        <f t="shared" ca="1" si="136"/>
        <v>-1344375</v>
      </c>
      <c r="P169" s="29">
        <f t="shared" ca="1" si="136"/>
        <v>-1344375</v>
      </c>
      <c r="Q169" s="29">
        <f t="shared" ca="1" si="136"/>
        <v>-1344375</v>
      </c>
      <c r="R169" s="29">
        <f t="shared" ca="1" si="136"/>
        <v>-1344375</v>
      </c>
      <c r="S169" s="29">
        <f t="shared" ca="1" si="136"/>
        <v>-291239.58333333279</v>
      </c>
      <c r="T169" s="29">
        <f t="shared" ca="1" si="136"/>
        <v>-291239.58333333279</v>
      </c>
      <c r="U169" s="29">
        <f t="shared" ca="1" si="136"/>
        <v>-291239.58333333279</v>
      </c>
      <c r="V169" s="29">
        <f t="shared" ca="1" si="136"/>
        <v>-291239.58333333279</v>
      </c>
      <c r="W169" s="29">
        <f t="shared" ca="1" si="136"/>
        <v>3825453.1250000005</v>
      </c>
      <c r="X169" s="29">
        <f t="shared" ca="1" si="136"/>
        <v>3678872.2373188408</v>
      </c>
      <c r="Y169" s="29">
        <f t="shared" ca="1" si="136"/>
        <v>3313733.0533596845</v>
      </c>
      <c r="Z169" s="29">
        <f t="shared" ca="1" si="136"/>
        <v>3313733.0533596841</v>
      </c>
      <c r="AA169" s="29">
        <f t="shared" ca="1" si="136"/>
        <v>3353341.0902503296</v>
      </c>
      <c r="AB169" s="29">
        <f t="shared" ca="1" si="136"/>
        <v>3353341.09025033</v>
      </c>
      <c r="AC169" s="29">
        <f t="shared" ca="1" si="136"/>
        <v>3353341.09025033</v>
      </c>
      <c r="AD169" s="29">
        <f t="shared" ca="1" si="136"/>
        <v>3353341.09025033</v>
      </c>
      <c r="AE169" s="29">
        <f t="shared" ca="1" si="136"/>
        <v>4751736.4509222666</v>
      </c>
      <c r="AF169" s="29">
        <f t="shared" ca="1" si="136"/>
        <v>4751736.4509222666</v>
      </c>
      <c r="AG169" s="29">
        <f t="shared" ca="1" si="136"/>
        <v>4751736.4509222666</v>
      </c>
      <c r="AH169" s="29">
        <f t="shared" ca="1" si="136"/>
        <v>4751736.4509222666</v>
      </c>
      <c r="AI169" s="29">
        <f t="shared" ca="1" si="136"/>
        <v>3862141.1520092217</v>
      </c>
      <c r="AJ169" s="29">
        <f t="shared" ca="1" si="136"/>
        <v>3862141.1520092217</v>
      </c>
      <c r="AK169" s="29">
        <f t="shared" ca="1" si="136"/>
        <v>3862141.1520092217</v>
      </c>
      <c r="AL169" s="29">
        <f t="shared" ca="1" si="136"/>
        <v>3862141.1520092217</v>
      </c>
      <c r="AM169" s="29">
        <f t="shared" ca="1" si="136"/>
        <v>1237915.8843873511</v>
      </c>
      <c r="AN169" s="29">
        <f t="shared" ca="1" si="136"/>
        <v>1237915.8843873511</v>
      </c>
      <c r="AO169" s="29">
        <f t="shared" ca="1" si="136"/>
        <v>1237915.8843873511</v>
      </c>
      <c r="AP169" s="29">
        <f t="shared" ca="1" si="136"/>
        <v>1237915.8843873511</v>
      </c>
      <c r="AQ169" s="29">
        <f t="shared" ca="1" si="136"/>
        <v>1536735.1593379439</v>
      </c>
      <c r="AR169" s="29">
        <f t="shared" ca="1" si="136"/>
        <v>1536735.1593379439</v>
      </c>
      <c r="AS169" s="29">
        <f t="shared" ca="1" si="136"/>
        <v>1536735.1593379439</v>
      </c>
      <c r="AT169" s="29">
        <f t="shared" ca="1" si="136"/>
        <v>1536735.1593379439</v>
      </c>
      <c r="AU169" s="29">
        <f t="shared" ca="1" si="136"/>
        <v>0</v>
      </c>
      <c r="AV169" s="29">
        <f t="shared" ca="1" si="136"/>
        <v>0</v>
      </c>
      <c r="AW169" s="29">
        <f t="shared" ca="1" si="136"/>
        <v>0</v>
      </c>
      <c r="AX169" s="29">
        <f t="shared" ca="1" si="136"/>
        <v>0</v>
      </c>
      <c r="AY169" s="29">
        <f t="shared" ca="1" si="136"/>
        <v>0</v>
      </c>
      <c r="AZ169" s="29">
        <f t="shared" ca="1" si="136"/>
        <v>0</v>
      </c>
      <c r="BA169" s="29">
        <f t="shared" ca="1" si="136"/>
        <v>0</v>
      </c>
      <c r="BB169" s="29">
        <f t="shared" ca="1" si="136"/>
        <v>0</v>
      </c>
      <c r="BC169" s="29">
        <f t="shared" ca="1" si="136"/>
        <v>0</v>
      </c>
      <c r="BD169" s="29">
        <f t="shared" ca="1" si="136"/>
        <v>0</v>
      </c>
      <c r="BE169" s="29">
        <f t="shared" ca="1" si="136"/>
        <v>0</v>
      </c>
      <c r="BF169" s="29">
        <f t="shared" ca="1" si="136"/>
        <v>0</v>
      </c>
      <c r="BG169" s="29">
        <f t="shared" ca="1" si="136"/>
        <v>0</v>
      </c>
      <c r="BH169" s="29">
        <f t="shared" ca="1" si="136"/>
        <v>0</v>
      </c>
      <c r="BI169" s="29">
        <f t="shared" ca="1" si="136"/>
        <v>0</v>
      </c>
      <c r="BJ169" s="29">
        <f t="shared" ca="1" si="136"/>
        <v>0</v>
      </c>
      <c r="BK169" s="29">
        <f t="shared" ca="1" si="136"/>
        <v>0</v>
      </c>
      <c r="BL169" s="29">
        <f t="shared" ca="1" si="136"/>
        <v>0</v>
      </c>
      <c r="BM169" s="29">
        <f t="shared" ca="1" si="136"/>
        <v>0</v>
      </c>
      <c r="BN169" s="29">
        <f t="shared" ca="1" si="136"/>
        <v>0</v>
      </c>
      <c r="BO169" s="29">
        <f t="shared" ca="1" si="136"/>
        <v>0</v>
      </c>
      <c r="BP169" s="29">
        <f t="shared" ca="1" si="136"/>
        <v>0</v>
      </c>
      <c r="BQ169" s="29">
        <f t="shared" ca="1" si="136"/>
        <v>0</v>
      </c>
      <c r="BR169" s="29">
        <f t="shared" ca="1" si="136"/>
        <v>0</v>
      </c>
      <c r="BS169" s="29">
        <f t="shared" ca="1" si="136"/>
        <v>0</v>
      </c>
      <c r="BT169" s="29">
        <f t="shared" ca="1" si="136"/>
        <v>0</v>
      </c>
      <c r="BU169" s="29">
        <f t="shared" si="136"/>
        <v>0</v>
      </c>
      <c r="BV169" s="29">
        <f t="shared" si="136"/>
        <v>0</v>
      </c>
      <c r="BW169" s="29">
        <f t="shared" si="136"/>
        <v>0</v>
      </c>
      <c r="BX169" s="29">
        <f t="shared" si="136"/>
        <v>0</v>
      </c>
      <c r="BY169" s="29">
        <f t="shared" si="136"/>
        <v>0</v>
      </c>
      <c r="BZ169" s="29">
        <f t="shared" si="136"/>
        <v>0</v>
      </c>
      <c r="CA169" s="29">
        <f t="shared" si="136"/>
        <v>0</v>
      </c>
      <c r="CB169" s="29">
        <f t="shared" si="136"/>
        <v>0</v>
      </c>
      <c r="CC169" s="29">
        <f t="shared" si="136"/>
        <v>0</v>
      </c>
      <c r="CD169" s="29">
        <f t="shared" si="136"/>
        <v>0</v>
      </c>
      <c r="CE169" s="29">
        <f t="shared" si="136"/>
        <v>0</v>
      </c>
      <c r="CF169" s="29">
        <f t="shared" si="136"/>
        <v>0</v>
      </c>
      <c r="CG169" s="29">
        <f t="shared" si="136"/>
        <v>0</v>
      </c>
      <c r="CH169" s="29">
        <f t="shared" si="136"/>
        <v>0</v>
      </c>
    </row>
    <row r="170" spans="2:86" ht="13" hidden="1" outlineLevel="1">
      <c r="B170" s="84">
        <f t="shared" si="71"/>
        <v>67</v>
      </c>
      <c r="C170" s="64">
        <f t="shared" ca="1" si="69"/>
        <v>0.35600376008230028</v>
      </c>
      <c r="D170" s="15" t="s">
        <v>238</v>
      </c>
      <c r="E170" s="29">
        <f t="shared" ca="1" si="59"/>
        <v>55701812.083333328</v>
      </c>
      <c r="F170" s="29"/>
      <c r="G170" s="29">
        <f t="shared" ref="G170:CH170" ca="1" si="137">IF(G$4&lt;=$B170,ABS(G$31)*-1+G$47,0)+IF($B170=G$4,G$81,0)</f>
        <v>-1444375</v>
      </c>
      <c r="H170" s="29">
        <f t="shared" ca="1" si="137"/>
        <v>-1344375</v>
      </c>
      <c r="I170" s="29">
        <f t="shared" ca="1" si="137"/>
        <v>-1344375</v>
      </c>
      <c r="J170" s="29">
        <f t="shared" ca="1" si="137"/>
        <v>-1344375</v>
      </c>
      <c r="K170" s="29">
        <f t="shared" ca="1" si="137"/>
        <v>-1344375</v>
      </c>
      <c r="L170" s="29">
        <f t="shared" ca="1" si="137"/>
        <v>-1344375</v>
      </c>
      <c r="M170" s="29">
        <f t="shared" ca="1" si="137"/>
        <v>-1344375</v>
      </c>
      <c r="N170" s="29">
        <f t="shared" ca="1" si="137"/>
        <v>-1344375</v>
      </c>
      <c r="O170" s="29">
        <f t="shared" ca="1" si="137"/>
        <v>-1344375</v>
      </c>
      <c r="P170" s="29">
        <f t="shared" ca="1" si="137"/>
        <v>-1344375</v>
      </c>
      <c r="Q170" s="29">
        <f t="shared" ca="1" si="137"/>
        <v>-1344375</v>
      </c>
      <c r="R170" s="29">
        <f t="shared" ca="1" si="137"/>
        <v>-1344375</v>
      </c>
      <c r="S170" s="29">
        <f t="shared" ca="1" si="137"/>
        <v>-291239.58333333279</v>
      </c>
      <c r="T170" s="29">
        <f t="shared" ca="1" si="137"/>
        <v>-291239.58333333279</v>
      </c>
      <c r="U170" s="29">
        <f t="shared" ca="1" si="137"/>
        <v>-291239.58333333279</v>
      </c>
      <c r="V170" s="29">
        <f t="shared" ca="1" si="137"/>
        <v>-291239.58333333279</v>
      </c>
      <c r="W170" s="29">
        <f t="shared" ca="1" si="137"/>
        <v>3825453.1250000005</v>
      </c>
      <c r="X170" s="29">
        <f t="shared" ca="1" si="137"/>
        <v>3678872.2373188408</v>
      </c>
      <c r="Y170" s="29">
        <f t="shared" ca="1" si="137"/>
        <v>3313733.0533596845</v>
      </c>
      <c r="Z170" s="29">
        <f t="shared" ca="1" si="137"/>
        <v>3313733.0533596841</v>
      </c>
      <c r="AA170" s="29">
        <f t="shared" ca="1" si="137"/>
        <v>3353341.0902503296</v>
      </c>
      <c r="AB170" s="29">
        <f t="shared" ca="1" si="137"/>
        <v>3353341.09025033</v>
      </c>
      <c r="AC170" s="29">
        <f t="shared" ca="1" si="137"/>
        <v>3353341.09025033</v>
      </c>
      <c r="AD170" s="29">
        <f t="shared" ca="1" si="137"/>
        <v>3353341.09025033</v>
      </c>
      <c r="AE170" s="29">
        <f t="shared" ca="1" si="137"/>
        <v>4751736.4509222666</v>
      </c>
      <c r="AF170" s="29">
        <f t="shared" ca="1" si="137"/>
        <v>4751736.4509222666</v>
      </c>
      <c r="AG170" s="29">
        <f t="shared" ca="1" si="137"/>
        <v>4751736.4509222666</v>
      </c>
      <c r="AH170" s="29">
        <f t="shared" ca="1" si="137"/>
        <v>4751736.4509222666</v>
      </c>
      <c r="AI170" s="29">
        <f t="shared" ca="1" si="137"/>
        <v>3862141.1520092217</v>
      </c>
      <c r="AJ170" s="29">
        <f t="shared" ca="1" si="137"/>
        <v>3862141.1520092217</v>
      </c>
      <c r="AK170" s="29">
        <f t="shared" ca="1" si="137"/>
        <v>3862141.1520092217</v>
      </c>
      <c r="AL170" s="29">
        <f t="shared" ca="1" si="137"/>
        <v>3862141.1520092217</v>
      </c>
      <c r="AM170" s="29">
        <f t="shared" ca="1" si="137"/>
        <v>1237915.8843873511</v>
      </c>
      <c r="AN170" s="29">
        <f t="shared" ca="1" si="137"/>
        <v>1237915.8843873511</v>
      </c>
      <c r="AO170" s="29">
        <f t="shared" ca="1" si="137"/>
        <v>1237915.8843873511</v>
      </c>
      <c r="AP170" s="29">
        <f t="shared" ca="1" si="137"/>
        <v>1237915.8843873511</v>
      </c>
      <c r="AQ170" s="29">
        <f t="shared" ca="1" si="137"/>
        <v>1536735.1593379439</v>
      </c>
      <c r="AR170" s="29">
        <f t="shared" ca="1" si="137"/>
        <v>1536735.1593379439</v>
      </c>
      <c r="AS170" s="29">
        <f t="shared" ca="1" si="137"/>
        <v>1536735.1593379439</v>
      </c>
      <c r="AT170" s="29">
        <f t="shared" ca="1" si="137"/>
        <v>1536735.1593379439</v>
      </c>
      <c r="AU170" s="29">
        <f t="shared" ca="1" si="137"/>
        <v>0</v>
      </c>
      <c r="AV170" s="29">
        <f t="shared" ca="1" si="137"/>
        <v>0</v>
      </c>
      <c r="AW170" s="29">
        <f t="shared" ca="1" si="137"/>
        <v>0</v>
      </c>
      <c r="AX170" s="29">
        <f t="shared" ca="1" si="137"/>
        <v>0</v>
      </c>
      <c r="AY170" s="29">
        <f t="shared" ca="1" si="137"/>
        <v>0</v>
      </c>
      <c r="AZ170" s="29">
        <f t="shared" ca="1" si="137"/>
        <v>0</v>
      </c>
      <c r="BA170" s="29">
        <f t="shared" ca="1" si="137"/>
        <v>0</v>
      </c>
      <c r="BB170" s="29">
        <f t="shared" ca="1" si="137"/>
        <v>0</v>
      </c>
      <c r="BC170" s="29">
        <f t="shared" ca="1" si="137"/>
        <v>0</v>
      </c>
      <c r="BD170" s="29">
        <f t="shared" ca="1" si="137"/>
        <v>0</v>
      </c>
      <c r="BE170" s="29">
        <f t="shared" ca="1" si="137"/>
        <v>0</v>
      </c>
      <c r="BF170" s="29">
        <f t="shared" ca="1" si="137"/>
        <v>0</v>
      </c>
      <c r="BG170" s="29">
        <f t="shared" ca="1" si="137"/>
        <v>0</v>
      </c>
      <c r="BH170" s="29">
        <f t="shared" ca="1" si="137"/>
        <v>0</v>
      </c>
      <c r="BI170" s="29">
        <f t="shared" ca="1" si="137"/>
        <v>0</v>
      </c>
      <c r="BJ170" s="29">
        <f t="shared" ca="1" si="137"/>
        <v>0</v>
      </c>
      <c r="BK170" s="29">
        <f t="shared" ca="1" si="137"/>
        <v>0</v>
      </c>
      <c r="BL170" s="29">
        <f t="shared" ca="1" si="137"/>
        <v>0</v>
      </c>
      <c r="BM170" s="29">
        <f t="shared" ca="1" si="137"/>
        <v>0</v>
      </c>
      <c r="BN170" s="29">
        <f t="shared" ca="1" si="137"/>
        <v>0</v>
      </c>
      <c r="BO170" s="29">
        <f t="shared" ca="1" si="137"/>
        <v>0</v>
      </c>
      <c r="BP170" s="29">
        <f t="shared" ca="1" si="137"/>
        <v>0</v>
      </c>
      <c r="BQ170" s="29">
        <f t="shared" ca="1" si="137"/>
        <v>0</v>
      </c>
      <c r="BR170" s="29">
        <f t="shared" ca="1" si="137"/>
        <v>0</v>
      </c>
      <c r="BS170" s="29">
        <f t="shared" ca="1" si="137"/>
        <v>0</v>
      </c>
      <c r="BT170" s="29">
        <f t="shared" ca="1" si="137"/>
        <v>0</v>
      </c>
      <c r="BU170" s="29">
        <f t="shared" ca="1" si="137"/>
        <v>0</v>
      </c>
      <c r="BV170" s="29">
        <f t="shared" si="137"/>
        <v>0</v>
      </c>
      <c r="BW170" s="29">
        <f t="shared" si="137"/>
        <v>0</v>
      </c>
      <c r="BX170" s="29">
        <f t="shared" si="137"/>
        <v>0</v>
      </c>
      <c r="BY170" s="29">
        <f t="shared" si="137"/>
        <v>0</v>
      </c>
      <c r="BZ170" s="29">
        <f t="shared" si="137"/>
        <v>0</v>
      </c>
      <c r="CA170" s="29">
        <f t="shared" si="137"/>
        <v>0</v>
      </c>
      <c r="CB170" s="29">
        <f t="shared" si="137"/>
        <v>0</v>
      </c>
      <c r="CC170" s="29">
        <f t="shared" si="137"/>
        <v>0</v>
      </c>
      <c r="CD170" s="29">
        <f t="shared" si="137"/>
        <v>0</v>
      </c>
      <c r="CE170" s="29">
        <f t="shared" si="137"/>
        <v>0</v>
      </c>
      <c r="CF170" s="29">
        <f t="shared" si="137"/>
        <v>0</v>
      </c>
      <c r="CG170" s="29">
        <f t="shared" si="137"/>
        <v>0</v>
      </c>
      <c r="CH170" s="29">
        <f t="shared" si="137"/>
        <v>0</v>
      </c>
    </row>
    <row r="171" spans="2:86" ht="13" hidden="1" outlineLevel="1">
      <c r="B171" s="84">
        <f t="shared" si="71"/>
        <v>68</v>
      </c>
      <c r="C171" s="64">
        <f t="shared" ca="1" si="69"/>
        <v>0.35600376008230028</v>
      </c>
      <c r="D171" s="15" t="s">
        <v>238</v>
      </c>
      <c r="E171" s="29">
        <f t="shared" ca="1" si="59"/>
        <v>55701812.083333328</v>
      </c>
      <c r="F171" s="29"/>
      <c r="G171" s="29">
        <f t="shared" ref="G171:CH171" ca="1" si="138">IF(G$4&lt;=$B171,ABS(G$31)*-1+G$47,0)+IF($B171=G$4,G$81,0)</f>
        <v>-1444375</v>
      </c>
      <c r="H171" s="29">
        <f t="shared" ca="1" si="138"/>
        <v>-1344375</v>
      </c>
      <c r="I171" s="29">
        <f t="shared" ca="1" si="138"/>
        <v>-1344375</v>
      </c>
      <c r="J171" s="29">
        <f t="shared" ca="1" si="138"/>
        <v>-1344375</v>
      </c>
      <c r="K171" s="29">
        <f t="shared" ca="1" si="138"/>
        <v>-1344375</v>
      </c>
      <c r="L171" s="29">
        <f t="shared" ca="1" si="138"/>
        <v>-1344375</v>
      </c>
      <c r="M171" s="29">
        <f t="shared" ca="1" si="138"/>
        <v>-1344375</v>
      </c>
      <c r="N171" s="29">
        <f t="shared" ca="1" si="138"/>
        <v>-1344375</v>
      </c>
      <c r="O171" s="29">
        <f t="shared" ca="1" si="138"/>
        <v>-1344375</v>
      </c>
      <c r="P171" s="29">
        <f t="shared" ca="1" si="138"/>
        <v>-1344375</v>
      </c>
      <c r="Q171" s="29">
        <f t="shared" ca="1" si="138"/>
        <v>-1344375</v>
      </c>
      <c r="R171" s="29">
        <f t="shared" ca="1" si="138"/>
        <v>-1344375</v>
      </c>
      <c r="S171" s="29">
        <f t="shared" ca="1" si="138"/>
        <v>-291239.58333333279</v>
      </c>
      <c r="T171" s="29">
        <f t="shared" ca="1" si="138"/>
        <v>-291239.58333333279</v>
      </c>
      <c r="U171" s="29">
        <f t="shared" ca="1" si="138"/>
        <v>-291239.58333333279</v>
      </c>
      <c r="V171" s="29">
        <f t="shared" ca="1" si="138"/>
        <v>-291239.58333333279</v>
      </c>
      <c r="W171" s="29">
        <f t="shared" ca="1" si="138"/>
        <v>3825453.1250000005</v>
      </c>
      <c r="X171" s="29">
        <f t="shared" ca="1" si="138"/>
        <v>3678872.2373188408</v>
      </c>
      <c r="Y171" s="29">
        <f t="shared" ca="1" si="138"/>
        <v>3313733.0533596845</v>
      </c>
      <c r="Z171" s="29">
        <f t="shared" ca="1" si="138"/>
        <v>3313733.0533596841</v>
      </c>
      <c r="AA171" s="29">
        <f t="shared" ca="1" si="138"/>
        <v>3353341.0902503296</v>
      </c>
      <c r="AB171" s="29">
        <f t="shared" ca="1" si="138"/>
        <v>3353341.09025033</v>
      </c>
      <c r="AC171" s="29">
        <f t="shared" ca="1" si="138"/>
        <v>3353341.09025033</v>
      </c>
      <c r="AD171" s="29">
        <f t="shared" ca="1" si="138"/>
        <v>3353341.09025033</v>
      </c>
      <c r="AE171" s="29">
        <f t="shared" ca="1" si="138"/>
        <v>4751736.4509222666</v>
      </c>
      <c r="AF171" s="29">
        <f t="shared" ca="1" si="138"/>
        <v>4751736.4509222666</v>
      </c>
      <c r="AG171" s="29">
        <f t="shared" ca="1" si="138"/>
        <v>4751736.4509222666</v>
      </c>
      <c r="AH171" s="29">
        <f t="shared" ca="1" si="138"/>
        <v>4751736.4509222666</v>
      </c>
      <c r="AI171" s="29">
        <f t="shared" ca="1" si="138"/>
        <v>3862141.1520092217</v>
      </c>
      <c r="AJ171" s="29">
        <f t="shared" ca="1" si="138"/>
        <v>3862141.1520092217</v>
      </c>
      <c r="AK171" s="29">
        <f t="shared" ca="1" si="138"/>
        <v>3862141.1520092217</v>
      </c>
      <c r="AL171" s="29">
        <f t="shared" ca="1" si="138"/>
        <v>3862141.1520092217</v>
      </c>
      <c r="AM171" s="29">
        <f t="shared" ca="1" si="138"/>
        <v>1237915.8843873511</v>
      </c>
      <c r="AN171" s="29">
        <f t="shared" ca="1" si="138"/>
        <v>1237915.8843873511</v>
      </c>
      <c r="AO171" s="29">
        <f t="shared" ca="1" si="138"/>
        <v>1237915.8843873511</v>
      </c>
      <c r="AP171" s="29">
        <f t="shared" ca="1" si="138"/>
        <v>1237915.8843873511</v>
      </c>
      <c r="AQ171" s="29">
        <f t="shared" ca="1" si="138"/>
        <v>1536735.1593379439</v>
      </c>
      <c r="AR171" s="29">
        <f t="shared" ca="1" si="138"/>
        <v>1536735.1593379439</v>
      </c>
      <c r="AS171" s="29">
        <f t="shared" ca="1" si="138"/>
        <v>1536735.1593379439</v>
      </c>
      <c r="AT171" s="29">
        <f t="shared" ca="1" si="138"/>
        <v>1536735.1593379439</v>
      </c>
      <c r="AU171" s="29">
        <f t="shared" ca="1" si="138"/>
        <v>0</v>
      </c>
      <c r="AV171" s="29">
        <f t="shared" ca="1" si="138"/>
        <v>0</v>
      </c>
      <c r="AW171" s="29">
        <f t="shared" ca="1" si="138"/>
        <v>0</v>
      </c>
      <c r="AX171" s="29">
        <f t="shared" ca="1" si="138"/>
        <v>0</v>
      </c>
      <c r="AY171" s="29">
        <f t="shared" ca="1" si="138"/>
        <v>0</v>
      </c>
      <c r="AZ171" s="29">
        <f t="shared" ca="1" si="138"/>
        <v>0</v>
      </c>
      <c r="BA171" s="29">
        <f t="shared" ca="1" si="138"/>
        <v>0</v>
      </c>
      <c r="BB171" s="29">
        <f t="shared" ca="1" si="138"/>
        <v>0</v>
      </c>
      <c r="BC171" s="29">
        <f t="shared" ca="1" si="138"/>
        <v>0</v>
      </c>
      <c r="BD171" s="29">
        <f t="shared" ca="1" si="138"/>
        <v>0</v>
      </c>
      <c r="BE171" s="29">
        <f t="shared" ca="1" si="138"/>
        <v>0</v>
      </c>
      <c r="BF171" s="29">
        <f t="shared" ca="1" si="138"/>
        <v>0</v>
      </c>
      <c r="BG171" s="29">
        <f t="shared" ca="1" si="138"/>
        <v>0</v>
      </c>
      <c r="BH171" s="29">
        <f t="shared" ca="1" si="138"/>
        <v>0</v>
      </c>
      <c r="BI171" s="29">
        <f t="shared" ca="1" si="138"/>
        <v>0</v>
      </c>
      <c r="BJ171" s="29">
        <f t="shared" ca="1" si="138"/>
        <v>0</v>
      </c>
      <c r="BK171" s="29">
        <f t="shared" ca="1" si="138"/>
        <v>0</v>
      </c>
      <c r="BL171" s="29">
        <f t="shared" ca="1" si="138"/>
        <v>0</v>
      </c>
      <c r="BM171" s="29">
        <f t="shared" ca="1" si="138"/>
        <v>0</v>
      </c>
      <c r="BN171" s="29">
        <f t="shared" ca="1" si="138"/>
        <v>0</v>
      </c>
      <c r="BO171" s="29">
        <f t="shared" ca="1" si="138"/>
        <v>0</v>
      </c>
      <c r="BP171" s="29">
        <f t="shared" ca="1" si="138"/>
        <v>0</v>
      </c>
      <c r="BQ171" s="29">
        <f t="shared" ca="1" si="138"/>
        <v>0</v>
      </c>
      <c r="BR171" s="29">
        <f t="shared" ca="1" si="138"/>
        <v>0</v>
      </c>
      <c r="BS171" s="29">
        <f t="shared" ca="1" si="138"/>
        <v>0</v>
      </c>
      <c r="BT171" s="29">
        <f t="shared" ca="1" si="138"/>
        <v>0</v>
      </c>
      <c r="BU171" s="29">
        <f t="shared" ca="1" si="138"/>
        <v>0</v>
      </c>
      <c r="BV171" s="29">
        <f t="shared" ca="1" si="138"/>
        <v>0</v>
      </c>
      <c r="BW171" s="29">
        <f t="shared" si="138"/>
        <v>0</v>
      </c>
      <c r="BX171" s="29">
        <f t="shared" si="138"/>
        <v>0</v>
      </c>
      <c r="BY171" s="29">
        <f t="shared" si="138"/>
        <v>0</v>
      </c>
      <c r="BZ171" s="29">
        <f t="shared" si="138"/>
        <v>0</v>
      </c>
      <c r="CA171" s="29">
        <f t="shared" si="138"/>
        <v>0</v>
      </c>
      <c r="CB171" s="29">
        <f t="shared" si="138"/>
        <v>0</v>
      </c>
      <c r="CC171" s="29">
        <f t="shared" si="138"/>
        <v>0</v>
      </c>
      <c r="CD171" s="29">
        <f t="shared" si="138"/>
        <v>0</v>
      </c>
      <c r="CE171" s="29">
        <f t="shared" si="138"/>
        <v>0</v>
      </c>
      <c r="CF171" s="29">
        <f t="shared" si="138"/>
        <v>0</v>
      </c>
      <c r="CG171" s="29">
        <f t="shared" si="138"/>
        <v>0</v>
      </c>
      <c r="CH171" s="29">
        <f t="shared" si="138"/>
        <v>0</v>
      </c>
    </row>
    <row r="172" spans="2:86" ht="13" hidden="1" outlineLevel="1">
      <c r="B172" s="84">
        <f t="shared" si="71"/>
        <v>69</v>
      </c>
      <c r="C172" s="64">
        <f t="shared" ca="1" si="69"/>
        <v>0.35600376008230028</v>
      </c>
      <c r="D172" s="15" t="s">
        <v>238</v>
      </c>
      <c r="E172" s="29">
        <f t="shared" ca="1" si="59"/>
        <v>55701812.083333328</v>
      </c>
      <c r="F172" s="29"/>
      <c r="G172" s="29">
        <f t="shared" ref="G172:CH172" ca="1" si="139">IF(G$4&lt;=$B172,ABS(G$31)*-1+G$47,0)+IF($B172=G$4,G$81,0)</f>
        <v>-1444375</v>
      </c>
      <c r="H172" s="29">
        <f t="shared" ca="1" si="139"/>
        <v>-1344375</v>
      </c>
      <c r="I172" s="29">
        <f t="shared" ca="1" si="139"/>
        <v>-1344375</v>
      </c>
      <c r="J172" s="29">
        <f t="shared" ca="1" si="139"/>
        <v>-1344375</v>
      </c>
      <c r="K172" s="29">
        <f t="shared" ca="1" si="139"/>
        <v>-1344375</v>
      </c>
      <c r="L172" s="29">
        <f t="shared" ca="1" si="139"/>
        <v>-1344375</v>
      </c>
      <c r="M172" s="29">
        <f t="shared" ca="1" si="139"/>
        <v>-1344375</v>
      </c>
      <c r="N172" s="29">
        <f t="shared" ca="1" si="139"/>
        <v>-1344375</v>
      </c>
      <c r="O172" s="29">
        <f t="shared" ca="1" si="139"/>
        <v>-1344375</v>
      </c>
      <c r="P172" s="29">
        <f t="shared" ca="1" si="139"/>
        <v>-1344375</v>
      </c>
      <c r="Q172" s="29">
        <f t="shared" ca="1" si="139"/>
        <v>-1344375</v>
      </c>
      <c r="R172" s="29">
        <f t="shared" ca="1" si="139"/>
        <v>-1344375</v>
      </c>
      <c r="S172" s="29">
        <f t="shared" ca="1" si="139"/>
        <v>-291239.58333333279</v>
      </c>
      <c r="T172" s="29">
        <f t="shared" ca="1" si="139"/>
        <v>-291239.58333333279</v>
      </c>
      <c r="U172" s="29">
        <f t="shared" ca="1" si="139"/>
        <v>-291239.58333333279</v>
      </c>
      <c r="V172" s="29">
        <f t="shared" ca="1" si="139"/>
        <v>-291239.58333333279</v>
      </c>
      <c r="W172" s="29">
        <f t="shared" ca="1" si="139"/>
        <v>3825453.1250000005</v>
      </c>
      <c r="X172" s="29">
        <f t="shared" ca="1" si="139"/>
        <v>3678872.2373188408</v>
      </c>
      <c r="Y172" s="29">
        <f t="shared" ca="1" si="139"/>
        <v>3313733.0533596845</v>
      </c>
      <c r="Z172" s="29">
        <f t="shared" ca="1" si="139"/>
        <v>3313733.0533596841</v>
      </c>
      <c r="AA172" s="29">
        <f t="shared" ca="1" si="139"/>
        <v>3353341.0902503296</v>
      </c>
      <c r="AB172" s="29">
        <f t="shared" ca="1" si="139"/>
        <v>3353341.09025033</v>
      </c>
      <c r="AC172" s="29">
        <f t="shared" ca="1" si="139"/>
        <v>3353341.09025033</v>
      </c>
      <c r="AD172" s="29">
        <f t="shared" ca="1" si="139"/>
        <v>3353341.09025033</v>
      </c>
      <c r="AE172" s="29">
        <f t="shared" ca="1" si="139"/>
        <v>4751736.4509222666</v>
      </c>
      <c r="AF172" s="29">
        <f t="shared" ca="1" si="139"/>
        <v>4751736.4509222666</v>
      </c>
      <c r="AG172" s="29">
        <f t="shared" ca="1" si="139"/>
        <v>4751736.4509222666</v>
      </c>
      <c r="AH172" s="29">
        <f t="shared" ca="1" si="139"/>
        <v>4751736.4509222666</v>
      </c>
      <c r="AI172" s="29">
        <f t="shared" ca="1" si="139"/>
        <v>3862141.1520092217</v>
      </c>
      <c r="AJ172" s="29">
        <f t="shared" ca="1" si="139"/>
        <v>3862141.1520092217</v>
      </c>
      <c r="AK172" s="29">
        <f t="shared" ca="1" si="139"/>
        <v>3862141.1520092217</v>
      </c>
      <c r="AL172" s="29">
        <f t="shared" ca="1" si="139"/>
        <v>3862141.1520092217</v>
      </c>
      <c r="AM172" s="29">
        <f t="shared" ca="1" si="139"/>
        <v>1237915.8843873511</v>
      </c>
      <c r="AN172" s="29">
        <f t="shared" ca="1" si="139"/>
        <v>1237915.8843873511</v>
      </c>
      <c r="AO172" s="29">
        <f t="shared" ca="1" si="139"/>
        <v>1237915.8843873511</v>
      </c>
      <c r="AP172" s="29">
        <f t="shared" ca="1" si="139"/>
        <v>1237915.8843873511</v>
      </c>
      <c r="AQ172" s="29">
        <f t="shared" ca="1" si="139"/>
        <v>1536735.1593379439</v>
      </c>
      <c r="AR172" s="29">
        <f t="shared" ca="1" si="139"/>
        <v>1536735.1593379439</v>
      </c>
      <c r="AS172" s="29">
        <f t="shared" ca="1" si="139"/>
        <v>1536735.1593379439</v>
      </c>
      <c r="AT172" s="29">
        <f t="shared" ca="1" si="139"/>
        <v>1536735.1593379439</v>
      </c>
      <c r="AU172" s="29">
        <f t="shared" ca="1" si="139"/>
        <v>0</v>
      </c>
      <c r="AV172" s="29">
        <f t="shared" ca="1" si="139"/>
        <v>0</v>
      </c>
      <c r="AW172" s="29">
        <f t="shared" ca="1" si="139"/>
        <v>0</v>
      </c>
      <c r="AX172" s="29">
        <f t="shared" ca="1" si="139"/>
        <v>0</v>
      </c>
      <c r="AY172" s="29">
        <f t="shared" ca="1" si="139"/>
        <v>0</v>
      </c>
      <c r="AZ172" s="29">
        <f t="shared" ca="1" si="139"/>
        <v>0</v>
      </c>
      <c r="BA172" s="29">
        <f t="shared" ca="1" si="139"/>
        <v>0</v>
      </c>
      <c r="BB172" s="29">
        <f t="shared" ca="1" si="139"/>
        <v>0</v>
      </c>
      <c r="BC172" s="29">
        <f t="shared" ca="1" si="139"/>
        <v>0</v>
      </c>
      <c r="BD172" s="29">
        <f t="shared" ca="1" si="139"/>
        <v>0</v>
      </c>
      <c r="BE172" s="29">
        <f t="shared" ca="1" si="139"/>
        <v>0</v>
      </c>
      <c r="BF172" s="29">
        <f t="shared" ca="1" si="139"/>
        <v>0</v>
      </c>
      <c r="BG172" s="29">
        <f t="shared" ca="1" si="139"/>
        <v>0</v>
      </c>
      <c r="BH172" s="29">
        <f t="shared" ca="1" si="139"/>
        <v>0</v>
      </c>
      <c r="BI172" s="29">
        <f t="shared" ca="1" si="139"/>
        <v>0</v>
      </c>
      <c r="BJ172" s="29">
        <f t="shared" ca="1" si="139"/>
        <v>0</v>
      </c>
      <c r="BK172" s="29">
        <f t="shared" ca="1" si="139"/>
        <v>0</v>
      </c>
      <c r="BL172" s="29">
        <f t="shared" ca="1" si="139"/>
        <v>0</v>
      </c>
      <c r="BM172" s="29">
        <f t="shared" ca="1" si="139"/>
        <v>0</v>
      </c>
      <c r="BN172" s="29">
        <f t="shared" ca="1" si="139"/>
        <v>0</v>
      </c>
      <c r="BO172" s="29">
        <f t="shared" ca="1" si="139"/>
        <v>0</v>
      </c>
      <c r="BP172" s="29">
        <f t="shared" ca="1" si="139"/>
        <v>0</v>
      </c>
      <c r="BQ172" s="29">
        <f t="shared" ca="1" si="139"/>
        <v>0</v>
      </c>
      <c r="BR172" s="29">
        <f t="shared" ca="1" si="139"/>
        <v>0</v>
      </c>
      <c r="BS172" s="29">
        <f t="shared" ca="1" si="139"/>
        <v>0</v>
      </c>
      <c r="BT172" s="29">
        <f t="shared" ca="1" si="139"/>
        <v>0</v>
      </c>
      <c r="BU172" s="29">
        <f t="shared" ca="1" si="139"/>
        <v>0</v>
      </c>
      <c r="BV172" s="29">
        <f t="shared" ca="1" si="139"/>
        <v>0</v>
      </c>
      <c r="BW172" s="29">
        <f t="shared" ca="1" si="139"/>
        <v>0</v>
      </c>
      <c r="BX172" s="29">
        <f t="shared" si="139"/>
        <v>0</v>
      </c>
      <c r="BY172" s="29">
        <f t="shared" si="139"/>
        <v>0</v>
      </c>
      <c r="BZ172" s="29">
        <f t="shared" si="139"/>
        <v>0</v>
      </c>
      <c r="CA172" s="29">
        <f t="shared" si="139"/>
        <v>0</v>
      </c>
      <c r="CB172" s="29">
        <f t="shared" si="139"/>
        <v>0</v>
      </c>
      <c r="CC172" s="29">
        <f t="shared" si="139"/>
        <v>0</v>
      </c>
      <c r="CD172" s="29">
        <f t="shared" si="139"/>
        <v>0</v>
      </c>
      <c r="CE172" s="29">
        <f t="shared" si="139"/>
        <v>0</v>
      </c>
      <c r="CF172" s="29">
        <f t="shared" si="139"/>
        <v>0</v>
      </c>
      <c r="CG172" s="29">
        <f t="shared" si="139"/>
        <v>0</v>
      </c>
      <c r="CH172" s="29">
        <f t="shared" si="139"/>
        <v>0</v>
      </c>
    </row>
    <row r="173" spans="2:86" ht="13" hidden="1" outlineLevel="1">
      <c r="B173" s="84">
        <f t="shared" si="71"/>
        <v>70</v>
      </c>
      <c r="C173" s="64">
        <f t="shared" ca="1" si="69"/>
        <v>0.35600376008230028</v>
      </c>
      <c r="D173" s="15" t="s">
        <v>238</v>
      </c>
      <c r="E173" s="29">
        <f t="shared" ca="1" si="59"/>
        <v>55701812.083333328</v>
      </c>
      <c r="F173" s="29"/>
      <c r="G173" s="29">
        <f t="shared" ref="G173:CH173" ca="1" si="140">IF(G$4&lt;=$B173,ABS(G$31)*-1+G$47,0)+IF($B173=G$4,G$81,0)</f>
        <v>-1444375</v>
      </c>
      <c r="H173" s="29">
        <f t="shared" ca="1" si="140"/>
        <v>-1344375</v>
      </c>
      <c r="I173" s="29">
        <f t="shared" ca="1" si="140"/>
        <v>-1344375</v>
      </c>
      <c r="J173" s="29">
        <f t="shared" ca="1" si="140"/>
        <v>-1344375</v>
      </c>
      <c r="K173" s="29">
        <f t="shared" ca="1" si="140"/>
        <v>-1344375</v>
      </c>
      <c r="L173" s="29">
        <f t="shared" ca="1" si="140"/>
        <v>-1344375</v>
      </c>
      <c r="M173" s="29">
        <f t="shared" ca="1" si="140"/>
        <v>-1344375</v>
      </c>
      <c r="N173" s="29">
        <f t="shared" ca="1" si="140"/>
        <v>-1344375</v>
      </c>
      <c r="O173" s="29">
        <f t="shared" ca="1" si="140"/>
        <v>-1344375</v>
      </c>
      <c r="P173" s="29">
        <f t="shared" ca="1" si="140"/>
        <v>-1344375</v>
      </c>
      <c r="Q173" s="29">
        <f t="shared" ca="1" si="140"/>
        <v>-1344375</v>
      </c>
      <c r="R173" s="29">
        <f t="shared" ca="1" si="140"/>
        <v>-1344375</v>
      </c>
      <c r="S173" s="29">
        <f t="shared" ca="1" si="140"/>
        <v>-291239.58333333279</v>
      </c>
      <c r="T173" s="29">
        <f t="shared" ca="1" si="140"/>
        <v>-291239.58333333279</v>
      </c>
      <c r="U173" s="29">
        <f t="shared" ca="1" si="140"/>
        <v>-291239.58333333279</v>
      </c>
      <c r="V173" s="29">
        <f t="shared" ca="1" si="140"/>
        <v>-291239.58333333279</v>
      </c>
      <c r="W173" s="29">
        <f t="shared" ca="1" si="140"/>
        <v>3825453.1250000005</v>
      </c>
      <c r="X173" s="29">
        <f t="shared" ca="1" si="140"/>
        <v>3678872.2373188408</v>
      </c>
      <c r="Y173" s="29">
        <f t="shared" ca="1" si="140"/>
        <v>3313733.0533596845</v>
      </c>
      <c r="Z173" s="29">
        <f t="shared" ca="1" si="140"/>
        <v>3313733.0533596841</v>
      </c>
      <c r="AA173" s="29">
        <f t="shared" ca="1" si="140"/>
        <v>3353341.0902503296</v>
      </c>
      <c r="AB173" s="29">
        <f t="shared" ca="1" si="140"/>
        <v>3353341.09025033</v>
      </c>
      <c r="AC173" s="29">
        <f t="shared" ca="1" si="140"/>
        <v>3353341.09025033</v>
      </c>
      <c r="AD173" s="29">
        <f t="shared" ca="1" si="140"/>
        <v>3353341.09025033</v>
      </c>
      <c r="AE173" s="29">
        <f t="shared" ca="1" si="140"/>
        <v>4751736.4509222666</v>
      </c>
      <c r="AF173" s="29">
        <f t="shared" ca="1" si="140"/>
        <v>4751736.4509222666</v>
      </c>
      <c r="AG173" s="29">
        <f t="shared" ca="1" si="140"/>
        <v>4751736.4509222666</v>
      </c>
      <c r="AH173" s="29">
        <f t="shared" ca="1" si="140"/>
        <v>4751736.4509222666</v>
      </c>
      <c r="AI173" s="29">
        <f t="shared" ca="1" si="140"/>
        <v>3862141.1520092217</v>
      </c>
      <c r="AJ173" s="29">
        <f t="shared" ca="1" si="140"/>
        <v>3862141.1520092217</v>
      </c>
      <c r="AK173" s="29">
        <f t="shared" ca="1" si="140"/>
        <v>3862141.1520092217</v>
      </c>
      <c r="AL173" s="29">
        <f t="shared" ca="1" si="140"/>
        <v>3862141.1520092217</v>
      </c>
      <c r="AM173" s="29">
        <f t="shared" ca="1" si="140"/>
        <v>1237915.8843873511</v>
      </c>
      <c r="AN173" s="29">
        <f t="shared" ca="1" si="140"/>
        <v>1237915.8843873511</v>
      </c>
      <c r="AO173" s="29">
        <f t="shared" ca="1" si="140"/>
        <v>1237915.8843873511</v>
      </c>
      <c r="AP173" s="29">
        <f t="shared" ca="1" si="140"/>
        <v>1237915.8843873511</v>
      </c>
      <c r="AQ173" s="29">
        <f t="shared" ca="1" si="140"/>
        <v>1536735.1593379439</v>
      </c>
      <c r="AR173" s="29">
        <f t="shared" ca="1" si="140"/>
        <v>1536735.1593379439</v>
      </c>
      <c r="AS173" s="29">
        <f t="shared" ca="1" si="140"/>
        <v>1536735.1593379439</v>
      </c>
      <c r="AT173" s="29">
        <f t="shared" ca="1" si="140"/>
        <v>1536735.1593379439</v>
      </c>
      <c r="AU173" s="29">
        <f t="shared" ca="1" si="140"/>
        <v>0</v>
      </c>
      <c r="AV173" s="29">
        <f t="shared" ca="1" si="140"/>
        <v>0</v>
      </c>
      <c r="AW173" s="29">
        <f t="shared" ca="1" si="140"/>
        <v>0</v>
      </c>
      <c r="AX173" s="29">
        <f t="shared" ca="1" si="140"/>
        <v>0</v>
      </c>
      <c r="AY173" s="29">
        <f t="shared" ca="1" si="140"/>
        <v>0</v>
      </c>
      <c r="AZ173" s="29">
        <f t="shared" ca="1" si="140"/>
        <v>0</v>
      </c>
      <c r="BA173" s="29">
        <f t="shared" ca="1" si="140"/>
        <v>0</v>
      </c>
      <c r="BB173" s="29">
        <f t="shared" ca="1" si="140"/>
        <v>0</v>
      </c>
      <c r="BC173" s="29">
        <f t="shared" ca="1" si="140"/>
        <v>0</v>
      </c>
      <c r="BD173" s="29">
        <f t="shared" ca="1" si="140"/>
        <v>0</v>
      </c>
      <c r="BE173" s="29">
        <f t="shared" ca="1" si="140"/>
        <v>0</v>
      </c>
      <c r="BF173" s="29">
        <f t="shared" ca="1" si="140"/>
        <v>0</v>
      </c>
      <c r="BG173" s="29">
        <f t="shared" ca="1" si="140"/>
        <v>0</v>
      </c>
      <c r="BH173" s="29">
        <f t="shared" ca="1" si="140"/>
        <v>0</v>
      </c>
      <c r="BI173" s="29">
        <f t="shared" ca="1" si="140"/>
        <v>0</v>
      </c>
      <c r="BJ173" s="29">
        <f t="shared" ca="1" si="140"/>
        <v>0</v>
      </c>
      <c r="BK173" s="29">
        <f t="shared" ca="1" si="140"/>
        <v>0</v>
      </c>
      <c r="BL173" s="29">
        <f t="shared" ca="1" si="140"/>
        <v>0</v>
      </c>
      <c r="BM173" s="29">
        <f t="shared" ca="1" si="140"/>
        <v>0</v>
      </c>
      <c r="BN173" s="29">
        <f t="shared" ca="1" si="140"/>
        <v>0</v>
      </c>
      <c r="BO173" s="29">
        <f t="shared" ca="1" si="140"/>
        <v>0</v>
      </c>
      <c r="BP173" s="29">
        <f t="shared" ca="1" si="140"/>
        <v>0</v>
      </c>
      <c r="BQ173" s="29">
        <f t="shared" ca="1" si="140"/>
        <v>0</v>
      </c>
      <c r="BR173" s="29">
        <f t="shared" ca="1" si="140"/>
        <v>0</v>
      </c>
      <c r="BS173" s="29">
        <f t="shared" ca="1" si="140"/>
        <v>0</v>
      </c>
      <c r="BT173" s="29">
        <f t="shared" ca="1" si="140"/>
        <v>0</v>
      </c>
      <c r="BU173" s="29">
        <f t="shared" ca="1" si="140"/>
        <v>0</v>
      </c>
      <c r="BV173" s="29">
        <f t="shared" ca="1" si="140"/>
        <v>0</v>
      </c>
      <c r="BW173" s="29">
        <f t="shared" ca="1" si="140"/>
        <v>0</v>
      </c>
      <c r="BX173" s="29">
        <f t="shared" ca="1" si="140"/>
        <v>0</v>
      </c>
      <c r="BY173" s="29">
        <f t="shared" si="140"/>
        <v>0</v>
      </c>
      <c r="BZ173" s="29">
        <f t="shared" si="140"/>
        <v>0</v>
      </c>
      <c r="CA173" s="29">
        <f t="shared" si="140"/>
        <v>0</v>
      </c>
      <c r="CB173" s="29">
        <f t="shared" si="140"/>
        <v>0</v>
      </c>
      <c r="CC173" s="29">
        <f t="shared" si="140"/>
        <v>0</v>
      </c>
      <c r="CD173" s="29">
        <f t="shared" si="140"/>
        <v>0</v>
      </c>
      <c r="CE173" s="29">
        <f t="shared" si="140"/>
        <v>0</v>
      </c>
      <c r="CF173" s="29">
        <f t="shared" si="140"/>
        <v>0</v>
      </c>
      <c r="CG173" s="29">
        <f t="shared" si="140"/>
        <v>0</v>
      </c>
      <c r="CH173" s="29">
        <f t="shared" si="140"/>
        <v>0</v>
      </c>
    </row>
    <row r="174" spans="2:86" ht="13" hidden="1" outlineLevel="1">
      <c r="B174" s="84">
        <f t="shared" si="71"/>
        <v>71</v>
      </c>
      <c r="C174" s="64">
        <f t="shared" ca="1" si="69"/>
        <v>0.35600376008230028</v>
      </c>
      <c r="D174" s="15" t="s">
        <v>238</v>
      </c>
      <c r="E174" s="29">
        <f t="shared" ca="1" si="59"/>
        <v>55701812.083333328</v>
      </c>
      <c r="F174" s="29"/>
      <c r="G174" s="29">
        <f t="shared" ref="G174:CH174" ca="1" si="141">IF(G$4&lt;=$B174,ABS(G$31)*-1+G$47,0)+IF($B174=G$4,G$81,0)</f>
        <v>-1444375</v>
      </c>
      <c r="H174" s="29">
        <f t="shared" ca="1" si="141"/>
        <v>-1344375</v>
      </c>
      <c r="I174" s="29">
        <f t="shared" ca="1" si="141"/>
        <v>-1344375</v>
      </c>
      <c r="J174" s="29">
        <f t="shared" ca="1" si="141"/>
        <v>-1344375</v>
      </c>
      <c r="K174" s="29">
        <f t="shared" ca="1" si="141"/>
        <v>-1344375</v>
      </c>
      <c r="L174" s="29">
        <f t="shared" ca="1" si="141"/>
        <v>-1344375</v>
      </c>
      <c r="M174" s="29">
        <f t="shared" ca="1" si="141"/>
        <v>-1344375</v>
      </c>
      <c r="N174" s="29">
        <f t="shared" ca="1" si="141"/>
        <v>-1344375</v>
      </c>
      <c r="O174" s="29">
        <f t="shared" ca="1" si="141"/>
        <v>-1344375</v>
      </c>
      <c r="P174" s="29">
        <f t="shared" ca="1" si="141"/>
        <v>-1344375</v>
      </c>
      <c r="Q174" s="29">
        <f t="shared" ca="1" si="141"/>
        <v>-1344375</v>
      </c>
      <c r="R174" s="29">
        <f t="shared" ca="1" si="141"/>
        <v>-1344375</v>
      </c>
      <c r="S174" s="29">
        <f t="shared" ca="1" si="141"/>
        <v>-291239.58333333279</v>
      </c>
      <c r="T174" s="29">
        <f t="shared" ca="1" si="141"/>
        <v>-291239.58333333279</v>
      </c>
      <c r="U174" s="29">
        <f t="shared" ca="1" si="141"/>
        <v>-291239.58333333279</v>
      </c>
      <c r="V174" s="29">
        <f t="shared" ca="1" si="141"/>
        <v>-291239.58333333279</v>
      </c>
      <c r="W174" s="29">
        <f t="shared" ca="1" si="141"/>
        <v>3825453.1250000005</v>
      </c>
      <c r="X174" s="29">
        <f t="shared" ca="1" si="141"/>
        <v>3678872.2373188408</v>
      </c>
      <c r="Y174" s="29">
        <f t="shared" ca="1" si="141"/>
        <v>3313733.0533596845</v>
      </c>
      <c r="Z174" s="29">
        <f t="shared" ca="1" si="141"/>
        <v>3313733.0533596841</v>
      </c>
      <c r="AA174" s="29">
        <f t="shared" ca="1" si="141"/>
        <v>3353341.0902503296</v>
      </c>
      <c r="AB174" s="29">
        <f t="shared" ca="1" si="141"/>
        <v>3353341.09025033</v>
      </c>
      <c r="AC174" s="29">
        <f t="shared" ca="1" si="141"/>
        <v>3353341.09025033</v>
      </c>
      <c r="AD174" s="29">
        <f t="shared" ca="1" si="141"/>
        <v>3353341.09025033</v>
      </c>
      <c r="AE174" s="29">
        <f t="shared" ca="1" si="141"/>
        <v>4751736.4509222666</v>
      </c>
      <c r="AF174" s="29">
        <f t="shared" ca="1" si="141"/>
        <v>4751736.4509222666</v>
      </c>
      <c r="AG174" s="29">
        <f t="shared" ca="1" si="141"/>
        <v>4751736.4509222666</v>
      </c>
      <c r="AH174" s="29">
        <f t="shared" ca="1" si="141"/>
        <v>4751736.4509222666</v>
      </c>
      <c r="AI174" s="29">
        <f t="shared" ca="1" si="141"/>
        <v>3862141.1520092217</v>
      </c>
      <c r="AJ174" s="29">
        <f t="shared" ca="1" si="141"/>
        <v>3862141.1520092217</v>
      </c>
      <c r="AK174" s="29">
        <f t="shared" ca="1" si="141"/>
        <v>3862141.1520092217</v>
      </c>
      <c r="AL174" s="29">
        <f t="shared" ca="1" si="141"/>
        <v>3862141.1520092217</v>
      </c>
      <c r="AM174" s="29">
        <f t="shared" ca="1" si="141"/>
        <v>1237915.8843873511</v>
      </c>
      <c r="AN174" s="29">
        <f t="shared" ca="1" si="141"/>
        <v>1237915.8843873511</v>
      </c>
      <c r="AO174" s="29">
        <f t="shared" ca="1" si="141"/>
        <v>1237915.8843873511</v>
      </c>
      <c r="AP174" s="29">
        <f t="shared" ca="1" si="141"/>
        <v>1237915.8843873511</v>
      </c>
      <c r="AQ174" s="29">
        <f t="shared" ca="1" si="141"/>
        <v>1536735.1593379439</v>
      </c>
      <c r="AR174" s="29">
        <f t="shared" ca="1" si="141"/>
        <v>1536735.1593379439</v>
      </c>
      <c r="AS174" s="29">
        <f t="shared" ca="1" si="141"/>
        <v>1536735.1593379439</v>
      </c>
      <c r="AT174" s="29">
        <f t="shared" ca="1" si="141"/>
        <v>1536735.1593379439</v>
      </c>
      <c r="AU174" s="29">
        <f t="shared" ca="1" si="141"/>
        <v>0</v>
      </c>
      <c r="AV174" s="29">
        <f t="shared" ca="1" si="141"/>
        <v>0</v>
      </c>
      <c r="AW174" s="29">
        <f t="shared" ca="1" si="141"/>
        <v>0</v>
      </c>
      <c r="AX174" s="29">
        <f t="shared" ca="1" si="141"/>
        <v>0</v>
      </c>
      <c r="AY174" s="29">
        <f t="shared" ca="1" si="141"/>
        <v>0</v>
      </c>
      <c r="AZ174" s="29">
        <f t="shared" ca="1" si="141"/>
        <v>0</v>
      </c>
      <c r="BA174" s="29">
        <f t="shared" ca="1" si="141"/>
        <v>0</v>
      </c>
      <c r="BB174" s="29">
        <f t="shared" ca="1" si="141"/>
        <v>0</v>
      </c>
      <c r="BC174" s="29">
        <f t="shared" ca="1" si="141"/>
        <v>0</v>
      </c>
      <c r="BD174" s="29">
        <f t="shared" ca="1" si="141"/>
        <v>0</v>
      </c>
      <c r="BE174" s="29">
        <f t="shared" ca="1" si="141"/>
        <v>0</v>
      </c>
      <c r="BF174" s="29">
        <f t="shared" ca="1" si="141"/>
        <v>0</v>
      </c>
      <c r="BG174" s="29">
        <f t="shared" ca="1" si="141"/>
        <v>0</v>
      </c>
      <c r="BH174" s="29">
        <f t="shared" ca="1" si="141"/>
        <v>0</v>
      </c>
      <c r="BI174" s="29">
        <f t="shared" ca="1" si="141"/>
        <v>0</v>
      </c>
      <c r="BJ174" s="29">
        <f t="shared" ca="1" si="141"/>
        <v>0</v>
      </c>
      <c r="BK174" s="29">
        <f t="shared" ca="1" si="141"/>
        <v>0</v>
      </c>
      <c r="BL174" s="29">
        <f t="shared" ca="1" si="141"/>
        <v>0</v>
      </c>
      <c r="BM174" s="29">
        <f t="shared" ca="1" si="141"/>
        <v>0</v>
      </c>
      <c r="BN174" s="29">
        <f t="shared" ca="1" si="141"/>
        <v>0</v>
      </c>
      <c r="BO174" s="29">
        <f t="shared" ca="1" si="141"/>
        <v>0</v>
      </c>
      <c r="BP174" s="29">
        <f t="shared" ca="1" si="141"/>
        <v>0</v>
      </c>
      <c r="BQ174" s="29">
        <f t="shared" ca="1" si="141"/>
        <v>0</v>
      </c>
      <c r="BR174" s="29">
        <f t="shared" ca="1" si="141"/>
        <v>0</v>
      </c>
      <c r="BS174" s="29">
        <f t="shared" ca="1" si="141"/>
        <v>0</v>
      </c>
      <c r="BT174" s="29">
        <f t="shared" ca="1" si="141"/>
        <v>0</v>
      </c>
      <c r="BU174" s="29">
        <f t="shared" ca="1" si="141"/>
        <v>0</v>
      </c>
      <c r="BV174" s="29">
        <f t="shared" ca="1" si="141"/>
        <v>0</v>
      </c>
      <c r="BW174" s="29">
        <f t="shared" ca="1" si="141"/>
        <v>0</v>
      </c>
      <c r="BX174" s="29">
        <f t="shared" ca="1" si="141"/>
        <v>0</v>
      </c>
      <c r="BY174" s="29">
        <f t="shared" ca="1" si="141"/>
        <v>0</v>
      </c>
      <c r="BZ174" s="29">
        <f t="shared" si="141"/>
        <v>0</v>
      </c>
      <c r="CA174" s="29">
        <f t="shared" si="141"/>
        <v>0</v>
      </c>
      <c r="CB174" s="29">
        <f t="shared" si="141"/>
        <v>0</v>
      </c>
      <c r="CC174" s="29">
        <f t="shared" si="141"/>
        <v>0</v>
      </c>
      <c r="CD174" s="29">
        <f t="shared" si="141"/>
        <v>0</v>
      </c>
      <c r="CE174" s="29">
        <f t="shared" si="141"/>
        <v>0</v>
      </c>
      <c r="CF174" s="29">
        <f t="shared" si="141"/>
        <v>0</v>
      </c>
      <c r="CG174" s="29">
        <f t="shared" si="141"/>
        <v>0</v>
      </c>
      <c r="CH174" s="29">
        <f t="shared" si="141"/>
        <v>0</v>
      </c>
    </row>
    <row r="175" spans="2:86" ht="13" hidden="1" outlineLevel="1">
      <c r="B175" s="84">
        <f t="shared" si="71"/>
        <v>72</v>
      </c>
      <c r="C175" s="64">
        <f t="shared" ca="1" si="69"/>
        <v>0.35600376008230028</v>
      </c>
      <c r="D175" s="15" t="s">
        <v>238</v>
      </c>
      <c r="E175" s="29">
        <f t="shared" ca="1" si="59"/>
        <v>55701812.083333328</v>
      </c>
      <c r="F175" s="29"/>
      <c r="G175" s="29">
        <f t="shared" ref="G175:CH175" ca="1" si="142">IF(G$4&lt;=$B175,ABS(G$31)*-1+G$47,0)+IF($B175=G$4,G$81,0)</f>
        <v>-1444375</v>
      </c>
      <c r="H175" s="29">
        <f t="shared" ca="1" si="142"/>
        <v>-1344375</v>
      </c>
      <c r="I175" s="29">
        <f t="shared" ca="1" si="142"/>
        <v>-1344375</v>
      </c>
      <c r="J175" s="29">
        <f t="shared" ca="1" si="142"/>
        <v>-1344375</v>
      </c>
      <c r="K175" s="29">
        <f t="shared" ca="1" si="142"/>
        <v>-1344375</v>
      </c>
      <c r="L175" s="29">
        <f t="shared" ca="1" si="142"/>
        <v>-1344375</v>
      </c>
      <c r="M175" s="29">
        <f t="shared" ca="1" si="142"/>
        <v>-1344375</v>
      </c>
      <c r="N175" s="29">
        <f t="shared" ca="1" si="142"/>
        <v>-1344375</v>
      </c>
      <c r="O175" s="29">
        <f t="shared" ca="1" si="142"/>
        <v>-1344375</v>
      </c>
      <c r="P175" s="29">
        <f t="shared" ca="1" si="142"/>
        <v>-1344375</v>
      </c>
      <c r="Q175" s="29">
        <f t="shared" ca="1" si="142"/>
        <v>-1344375</v>
      </c>
      <c r="R175" s="29">
        <f t="shared" ca="1" si="142"/>
        <v>-1344375</v>
      </c>
      <c r="S175" s="29">
        <f t="shared" ca="1" si="142"/>
        <v>-291239.58333333279</v>
      </c>
      <c r="T175" s="29">
        <f t="shared" ca="1" si="142"/>
        <v>-291239.58333333279</v>
      </c>
      <c r="U175" s="29">
        <f t="shared" ca="1" si="142"/>
        <v>-291239.58333333279</v>
      </c>
      <c r="V175" s="29">
        <f t="shared" ca="1" si="142"/>
        <v>-291239.58333333279</v>
      </c>
      <c r="W175" s="29">
        <f t="shared" ca="1" si="142"/>
        <v>3825453.1250000005</v>
      </c>
      <c r="X175" s="29">
        <f t="shared" ca="1" si="142"/>
        <v>3678872.2373188408</v>
      </c>
      <c r="Y175" s="29">
        <f t="shared" ca="1" si="142"/>
        <v>3313733.0533596845</v>
      </c>
      <c r="Z175" s="29">
        <f t="shared" ca="1" si="142"/>
        <v>3313733.0533596841</v>
      </c>
      <c r="AA175" s="29">
        <f t="shared" ca="1" si="142"/>
        <v>3353341.0902503296</v>
      </c>
      <c r="AB175" s="29">
        <f t="shared" ca="1" si="142"/>
        <v>3353341.09025033</v>
      </c>
      <c r="AC175" s="29">
        <f t="shared" ca="1" si="142"/>
        <v>3353341.09025033</v>
      </c>
      <c r="AD175" s="29">
        <f t="shared" ca="1" si="142"/>
        <v>3353341.09025033</v>
      </c>
      <c r="AE175" s="29">
        <f t="shared" ca="1" si="142"/>
        <v>4751736.4509222666</v>
      </c>
      <c r="AF175" s="29">
        <f t="shared" ca="1" si="142"/>
        <v>4751736.4509222666</v>
      </c>
      <c r="AG175" s="29">
        <f t="shared" ca="1" si="142"/>
        <v>4751736.4509222666</v>
      </c>
      <c r="AH175" s="29">
        <f t="shared" ca="1" si="142"/>
        <v>4751736.4509222666</v>
      </c>
      <c r="AI175" s="29">
        <f t="shared" ca="1" si="142"/>
        <v>3862141.1520092217</v>
      </c>
      <c r="AJ175" s="29">
        <f t="shared" ca="1" si="142"/>
        <v>3862141.1520092217</v>
      </c>
      <c r="AK175" s="29">
        <f t="shared" ca="1" si="142"/>
        <v>3862141.1520092217</v>
      </c>
      <c r="AL175" s="29">
        <f t="shared" ca="1" si="142"/>
        <v>3862141.1520092217</v>
      </c>
      <c r="AM175" s="29">
        <f t="shared" ca="1" si="142"/>
        <v>1237915.8843873511</v>
      </c>
      <c r="AN175" s="29">
        <f t="shared" ca="1" si="142"/>
        <v>1237915.8843873511</v>
      </c>
      <c r="AO175" s="29">
        <f t="shared" ca="1" si="142"/>
        <v>1237915.8843873511</v>
      </c>
      <c r="AP175" s="29">
        <f t="shared" ca="1" si="142"/>
        <v>1237915.8843873511</v>
      </c>
      <c r="AQ175" s="29">
        <f t="shared" ca="1" si="142"/>
        <v>1536735.1593379439</v>
      </c>
      <c r="AR175" s="29">
        <f t="shared" ca="1" si="142"/>
        <v>1536735.1593379439</v>
      </c>
      <c r="AS175" s="29">
        <f t="shared" ca="1" si="142"/>
        <v>1536735.1593379439</v>
      </c>
      <c r="AT175" s="29">
        <f t="shared" ca="1" si="142"/>
        <v>1536735.1593379439</v>
      </c>
      <c r="AU175" s="29">
        <f t="shared" ca="1" si="142"/>
        <v>0</v>
      </c>
      <c r="AV175" s="29">
        <f t="shared" ca="1" si="142"/>
        <v>0</v>
      </c>
      <c r="AW175" s="29">
        <f t="shared" ca="1" si="142"/>
        <v>0</v>
      </c>
      <c r="AX175" s="29">
        <f t="shared" ca="1" si="142"/>
        <v>0</v>
      </c>
      <c r="AY175" s="29">
        <f t="shared" ca="1" si="142"/>
        <v>0</v>
      </c>
      <c r="AZ175" s="29">
        <f t="shared" ca="1" si="142"/>
        <v>0</v>
      </c>
      <c r="BA175" s="29">
        <f t="shared" ca="1" si="142"/>
        <v>0</v>
      </c>
      <c r="BB175" s="29">
        <f t="shared" ca="1" si="142"/>
        <v>0</v>
      </c>
      <c r="BC175" s="29">
        <f t="shared" ca="1" si="142"/>
        <v>0</v>
      </c>
      <c r="BD175" s="29">
        <f t="shared" ca="1" si="142"/>
        <v>0</v>
      </c>
      <c r="BE175" s="29">
        <f t="shared" ca="1" si="142"/>
        <v>0</v>
      </c>
      <c r="BF175" s="29">
        <f t="shared" ca="1" si="142"/>
        <v>0</v>
      </c>
      <c r="BG175" s="29">
        <f t="shared" ca="1" si="142"/>
        <v>0</v>
      </c>
      <c r="BH175" s="29">
        <f t="shared" ca="1" si="142"/>
        <v>0</v>
      </c>
      <c r="BI175" s="29">
        <f t="shared" ca="1" si="142"/>
        <v>0</v>
      </c>
      <c r="BJ175" s="29">
        <f t="shared" ca="1" si="142"/>
        <v>0</v>
      </c>
      <c r="BK175" s="29">
        <f t="shared" ca="1" si="142"/>
        <v>0</v>
      </c>
      <c r="BL175" s="29">
        <f t="shared" ca="1" si="142"/>
        <v>0</v>
      </c>
      <c r="BM175" s="29">
        <f t="shared" ca="1" si="142"/>
        <v>0</v>
      </c>
      <c r="BN175" s="29">
        <f t="shared" ca="1" si="142"/>
        <v>0</v>
      </c>
      <c r="BO175" s="29">
        <f t="shared" ca="1" si="142"/>
        <v>0</v>
      </c>
      <c r="BP175" s="29">
        <f t="shared" ca="1" si="142"/>
        <v>0</v>
      </c>
      <c r="BQ175" s="29">
        <f t="shared" ca="1" si="142"/>
        <v>0</v>
      </c>
      <c r="BR175" s="29">
        <f t="shared" ca="1" si="142"/>
        <v>0</v>
      </c>
      <c r="BS175" s="29">
        <f t="shared" ca="1" si="142"/>
        <v>0</v>
      </c>
      <c r="BT175" s="29">
        <f t="shared" ca="1" si="142"/>
        <v>0</v>
      </c>
      <c r="BU175" s="29">
        <f t="shared" ca="1" si="142"/>
        <v>0</v>
      </c>
      <c r="BV175" s="29">
        <f t="shared" ca="1" si="142"/>
        <v>0</v>
      </c>
      <c r="BW175" s="29">
        <f t="shared" ca="1" si="142"/>
        <v>0</v>
      </c>
      <c r="BX175" s="29">
        <f t="shared" ca="1" si="142"/>
        <v>0</v>
      </c>
      <c r="BY175" s="29">
        <f t="shared" ca="1" si="142"/>
        <v>0</v>
      </c>
      <c r="BZ175" s="29">
        <f t="shared" ca="1" si="142"/>
        <v>0</v>
      </c>
      <c r="CA175" s="29">
        <f t="shared" si="142"/>
        <v>0</v>
      </c>
      <c r="CB175" s="29">
        <f t="shared" si="142"/>
        <v>0</v>
      </c>
      <c r="CC175" s="29">
        <f t="shared" si="142"/>
        <v>0</v>
      </c>
      <c r="CD175" s="29">
        <f t="shared" si="142"/>
        <v>0</v>
      </c>
      <c r="CE175" s="29">
        <f t="shared" si="142"/>
        <v>0</v>
      </c>
      <c r="CF175" s="29">
        <f t="shared" si="142"/>
        <v>0</v>
      </c>
      <c r="CG175" s="29">
        <f t="shared" si="142"/>
        <v>0</v>
      </c>
      <c r="CH175" s="29">
        <f t="shared" si="142"/>
        <v>0</v>
      </c>
    </row>
    <row r="176" spans="2:86" ht="13" hidden="1" outlineLevel="1">
      <c r="B176" s="84">
        <f t="shared" si="71"/>
        <v>73</v>
      </c>
      <c r="C176" s="64">
        <f t="shared" ca="1" si="69"/>
        <v>0.35600376008230028</v>
      </c>
      <c r="D176" s="15" t="s">
        <v>238</v>
      </c>
      <c r="E176" s="29">
        <f t="shared" ca="1" si="59"/>
        <v>55701812.083333328</v>
      </c>
      <c r="F176" s="29"/>
      <c r="G176" s="29">
        <f t="shared" ref="G176:CH176" ca="1" si="143">IF(G$4&lt;=$B176,ABS(G$31)*-1+G$47,0)+IF($B176=G$4,G$81,0)</f>
        <v>-1444375</v>
      </c>
      <c r="H176" s="29">
        <f t="shared" ca="1" si="143"/>
        <v>-1344375</v>
      </c>
      <c r="I176" s="29">
        <f t="shared" ca="1" si="143"/>
        <v>-1344375</v>
      </c>
      <c r="J176" s="29">
        <f t="shared" ca="1" si="143"/>
        <v>-1344375</v>
      </c>
      <c r="K176" s="29">
        <f t="shared" ca="1" si="143"/>
        <v>-1344375</v>
      </c>
      <c r="L176" s="29">
        <f t="shared" ca="1" si="143"/>
        <v>-1344375</v>
      </c>
      <c r="M176" s="29">
        <f t="shared" ca="1" si="143"/>
        <v>-1344375</v>
      </c>
      <c r="N176" s="29">
        <f t="shared" ca="1" si="143"/>
        <v>-1344375</v>
      </c>
      <c r="O176" s="29">
        <f t="shared" ca="1" si="143"/>
        <v>-1344375</v>
      </c>
      <c r="P176" s="29">
        <f t="shared" ca="1" si="143"/>
        <v>-1344375</v>
      </c>
      <c r="Q176" s="29">
        <f t="shared" ca="1" si="143"/>
        <v>-1344375</v>
      </c>
      <c r="R176" s="29">
        <f t="shared" ca="1" si="143"/>
        <v>-1344375</v>
      </c>
      <c r="S176" s="29">
        <f t="shared" ca="1" si="143"/>
        <v>-291239.58333333279</v>
      </c>
      <c r="T176" s="29">
        <f t="shared" ca="1" si="143"/>
        <v>-291239.58333333279</v>
      </c>
      <c r="U176" s="29">
        <f t="shared" ca="1" si="143"/>
        <v>-291239.58333333279</v>
      </c>
      <c r="V176" s="29">
        <f t="shared" ca="1" si="143"/>
        <v>-291239.58333333279</v>
      </c>
      <c r="W176" s="29">
        <f t="shared" ca="1" si="143"/>
        <v>3825453.1250000005</v>
      </c>
      <c r="X176" s="29">
        <f t="shared" ca="1" si="143"/>
        <v>3678872.2373188408</v>
      </c>
      <c r="Y176" s="29">
        <f t="shared" ca="1" si="143"/>
        <v>3313733.0533596845</v>
      </c>
      <c r="Z176" s="29">
        <f t="shared" ca="1" si="143"/>
        <v>3313733.0533596841</v>
      </c>
      <c r="AA176" s="29">
        <f t="shared" ca="1" si="143"/>
        <v>3353341.0902503296</v>
      </c>
      <c r="AB176" s="29">
        <f t="shared" ca="1" si="143"/>
        <v>3353341.09025033</v>
      </c>
      <c r="AC176" s="29">
        <f t="shared" ca="1" si="143"/>
        <v>3353341.09025033</v>
      </c>
      <c r="AD176" s="29">
        <f t="shared" ca="1" si="143"/>
        <v>3353341.09025033</v>
      </c>
      <c r="AE176" s="29">
        <f t="shared" ca="1" si="143"/>
        <v>4751736.4509222666</v>
      </c>
      <c r="AF176" s="29">
        <f t="shared" ca="1" si="143"/>
        <v>4751736.4509222666</v>
      </c>
      <c r="AG176" s="29">
        <f t="shared" ca="1" si="143"/>
        <v>4751736.4509222666</v>
      </c>
      <c r="AH176" s="29">
        <f t="shared" ca="1" si="143"/>
        <v>4751736.4509222666</v>
      </c>
      <c r="AI176" s="29">
        <f t="shared" ca="1" si="143"/>
        <v>3862141.1520092217</v>
      </c>
      <c r="AJ176" s="29">
        <f t="shared" ca="1" si="143"/>
        <v>3862141.1520092217</v>
      </c>
      <c r="AK176" s="29">
        <f t="shared" ca="1" si="143"/>
        <v>3862141.1520092217</v>
      </c>
      <c r="AL176" s="29">
        <f t="shared" ca="1" si="143"/>
        <v>3862141.1520092217</v>
      </c>
      <c r="AM176" s="29">
        <f t="shared" ca="1" si="143"/>
        <v>1237915.8843873511</v>
      </c>
      <c r="AN176" s="29">
        <f t="shared" ca="1" si="143"/>
        <v>1237915.8843873511</v>
      </c>
      <c r="AO176" s="29">
        <f t="shared" ca="1" si="143"/>
        <v>1237915.8843873511</v>
      </c>
      <c r="AP176" s="29">
        <f t="shared" ca="1" si="143"/>
        <v>1237915.8843873511</v>
      </c>
      <c r="AQ176" s="29">
        <f t="shared" ca="1" si="143"/>
        <v>1536735.1593379439</v>
      </c>
      <c r="AR176" s="29">
        <f t="shared" ca="1" si="143"/>
        <v>1536735.1593379439</v>
      </c>
      <c r="AS176" s="29">
        <f t="shared" ca="1" si="143"/>
        <v>1536735.1593379439</v>
      </c>
      <c r="AT176" s="29">
        <f t="shared" ca="1" si="143"/>
        <v>1536735.1593379439</v>
      </c>
      <c r="AU176" s="29">
        <f t="shared" ca="1" si="143"/>
        <v>0</v>
      </c>
      <c r="AV176" s="29">
        <f t="shared" ca="1" si="143"/>
        <v>0</v>
      </c>
      <c r="AW176" s="29">
        <f t="shared" ca="1" si="143"/>
        <v>0</v>
      </c>
      <c r="AX176" s="29">
        <f t="shared" ca="1" si="143"/>
        <v>0</v>
      </c>
      <c r="AY176" s="29">
        <f t="shared" ca="1" si="143"/>
        <v>0</v>
      </c>
      <c r="AZ176" s="29">
        <f t="shared" ca="1" si="143"/>
        <v>0</v>
      </c>
      <c r="BA176" s="29">
        <f t="shared" ca="1" si="143"/>
        <v>0</v>
      </c>
      <c r="BB176" s="29">
        <f t="shared" ca="1" si="143"/>
        <v>0</v>
      </c>
      <c r="BC176" s="29">
        <f t="shared" ca="1" si="143"/>
        <v>0</v>
      </c>
      <c r="BD176" s="29">
        <f t="shared" ca="1" si="143"/>
        <v>0</v>
      </c>
      <c r="BE176" s="29">
        <f t="shared" ca="1" si="143"/>
        <v>0</v>
      </c>
      <c r="BF176" s="29">
        <f t="shared" ca="1" si="143"/>
        <v>0</v>
      </c>
      <c r="BG176" s="29">
        <f t="shared" ca="1" si="143"/>
        <v>0</v>
      </c>
      <c r="BH176" s="29">
        <f t="shared" ca="1" si="143"/>
        <v>0</v>
      </c>
      <c r="BI176" s="29">
        <f t="shared" ca="1" si="143"/>
        <v>0</v>
      </c>
      <c r="BJ176" s="29">
        <f t="shared" ca="1" si="143"/>
        <v>0</v>
      </c>
      <c r="BK176" s="29">
        <f t="shared" ca="1" si="143"/>
        <v>0</v>
      </c>
      <c r="BL176" s="29">
        <f t="shared" ca="1" si="143"/>
        <v>0</v>
      </c>
      <c r="BM176" s="29">
        <f t="shared" ca="1" si="143"/>
        <v>0</v>
      </c>
      <c r="BN176" s="29">
        <f t="shared" ca="1" si="143"/>
        <v>0</v>
      </c>
      <c r="BO176" s="29">
        <f t="shared" ca="1" si="143"/>
        <v>0</v>
      </c>
      <c r="BP176" s="29">
        <f t="shared" ca="1" si="143"/>
        <v>0</v>
      </c>
      <c r="BQ176" s="29">
        <f t="shared" ca="1" si="143"/>
        <v>0</v>
      </c>
      <c r="BR176" s="29">
        <f t="shared" ca="1" si="143"/>
        <v>0</v>
      </c>
      <c r="BS176" s="29">
        <f t="shared" ca="1" si="143"/>
        <v>0</v>
      </c>
      <c r="BT176" s="29">
        <f t="shared" ca="1" si="143"/>
        <v>0</v>
      </c>
      <c r="BU176" s="29">
        <f t="shared" ca="1" si="143"/>
        <v>0</v>
      </c>
      <c r="BV176" s="29">
        <f t="shared" ca="1" si="143"/>
        <v>0</v>
      </c>
      <c r="BW176" s="29">
        <f t="shared" ca="1" si="143"/>
        <v>0</v>
      </c>
      <c r="BX176" s="29">
        <f t="shared" ca="1" si="143"/>
        <v>0</v>
      </c>
      <c r="BY176" s="29">
        <f t="shared" ca="1" si="143"/>
        <v>0</v>
      </c>
      <c r="BZ176" s="29">
        <f t="shared" ca="1" si="143"/>
        <v>0</v>
      </c>
      <c r="CA176" s="29">
        <f t="shared" ca="1" si="143"/>
        <v>0</v>
      </c>
      <c r="CB176" s="29">
        <f t="shared" si="143"/>
        <v>0</v>
      </c>
      <c r="CC176" s="29">
        <f t="shared" si="143"/>
        <v>0</v>
      </c>
      <c r="CD176" s="29">
        <f t="shared" si="143"/>
        <v>0</v>
      </c>
      <c r="CE176" s="29">
        <f t="shared" si="143"/>
        <v>0</v>
      </c>
      <c r="CF176" s="29">
        <f t="shared" si="143"/>
        <v>0</v>
      </c>
      <c r="CG176" s="29">
        <f t="shared" si="143"/>
        <v>0</v>
      </c>
      <c r="CH176" s="29">
        <f t="shared" si="143"/>
        <v>0</v>
      </c>
    </row>
    <row r="177" spans="1:86" ht="13" hidden="1" outlineLevel="1">
      <c r="B177" s="84">
        <f t="shared" si="71"/>
        <v>74</v>
      </c>
      <c r="C177" s="64">
        <f t="shared" ca="1" si="69"/>
        <v>0.35600376008230028</v>
      </c>
      <c r="D177" s="15" t="s">
        <v>238</v>
      </c>
      <c r="E177" s="29">
        <f t="shared" ca="1" si="59"/>
        <v>55701812.083333328</v>
      </c>
      <c r="F177" s="29"/>
      <c r="G177" s="29">
        <f t="shared" ref="G177:CH177" ca="1" si="144">IF(G$4&lt;=$B177,ABS(G$31)*-1+G$47,0)+IF($B177=G$4,G$81,0)</f>
        <v>-1444375</v>
      </c>
      <c r="H177" s="29">
        <f t="shared" ca="1" si="144"/>
        <v>-1344375</v>
      </c>
      <c r="I177" s="29">
        <f t="shared" ca="1" si="144"/>
        <v>-1344375</v>
      </c>
      <c r="J177" s="29">
        <f t="shared" ca="1" si="144"/>
        <v>-1344375</v>
      </c>
      <c r="K177" s="29">
        <f t="shared" ca="1" si="144"/>
        <v>-1344375</v>
      </c>
      <c r="L177" s="29">
        <f t="shared" ca="1" si="144"/>
        <v>-1344375</v>
      </c>
      <c r="M177" s="29">
        <f t="shared" ca="1" si="144"/>
        <v>-1344375</v>
      </c>
      <c r="N177" s="29">
        <f t="shared" ca="1" si="144"/>
        <v>-1344375</v>
      </c>
      <c r="O177" s="29">
        <f t="shared" ca="1" si="144"/>
        <v>-1344375</v>
      </c>
      <c r="P177" s="29">
        <f t="shared" ca="1" si="144"/>
        <v>-1344375</v>
      </c>
      <c r="Q177" s="29">
        <f t="shared" ca="1" si="144"/>
        <v>-1344375</v>
      </c>
      <c r="R177" s="29">
        <f t="shared" ca="1" si="144"/>
        <v>-1344375</v>
      </c>
      <c r="S177" s="29">
        <f t="shared" ca="1" si="144"/>
        <v>-291239.58333333279</v>
      </c>
      <c r="T177" s="29">
        <f t="shared" ca="1" si="144"/>
        <v>-291239.58333333279</v>
      </c>
      <c r="U177" s="29">
        <f t="shared" ca="1" si="144"/>
        <v>-291239.58333333279</v>
      </c>
      <c r="V177" s="29">
        <f t="shared" ca="1" si="144"/>
        <v>-291239.58333333279</v>
      </c>
      <c r="W177" s="29">
        <f t="shared" ca="1" si="144"/>
        <v>3825453.1250000005</v>
      </c>
      <c r="X177" s="29">
        <f t="shared" ca="1" si="144"/>
        <v>3678872.2373188408</v>
      </c>
      <c r="Y177" s="29">
        <f t="shared" ca="1" si="144"/>
        <v>3313733.0533596845</v>
      </c>
      <c r="Z177" s="29">
        <f t="shared" ca="1" si="144"/>
        <v>3313733.0533596841</v>
      </c>
      <c r="AA177" s="29">
        <f t="shared" ca="1" si="144"/>
        <v>3353341.0902503296</v>
      </c>
      <c r="AB177" s="29">
        <f t="shared" ca="1" si="144"/>
        <v>3353341.09025033</v>
      </c>
      <c r="AC177" s="29">
        <f t="shared" ca="1" si="144"/>
        <v>3353341.09025033</v>
      </c>
      <c r="AD177" s="29">
        <f t="shared" ca="1" si="144"/>
        <v>3353341.09025033</v>
      </c>
      <c r="AE177" s="29">
        <f t="shared" ca="1" si="144"/>
        <v>4751736.4509222666</v>
      </c>
      <c r="AF177" s="29">
        <f t="shared" ca="1" si="144"/>
        <v>4751736.4509222666</v>
      </c>
      <c r="AG177" s="29">
        <f t="shared" ca="1" si="144"/>
        <v>4751736.4509222666</v>
      </c>
      <c r="AH177" s="29">
        <f t="shared" ca="1" si="144"/>
        <v>4751736.4509222666</v>
      </c>
      <c r="AI177" s="29">
        <f t="shared" ca="1" si="144"/>
        <v>3862141.1520092217</v>
      </c>
      <c r="AJ177" s="29">
        <f t="shared" ca="1" si="144"/>
        <v>3862141.1520092217</v>
      </c>
      <c r="AK177" s="29">
        <f t="shared" ca="1" si="144"/>
        <v>3862141.1520092217</v>
      </c>
      <c r="AL177" s="29">
        <f t="shared" ca="1" si="144"/>
        <v>3862141.1520092217</v>
      </c>
      <c r="AM177" s="29">
        <f t="shared" ca="1" si="144"/>
        <v>1237915.8843873511</v>
      </c>
      <c r="AN177" s="29">
        <f t="shared" ca="1" si="144"/>
        <v>1237915.8843873511</v>
      </c>
      <c r="AO177" s="29">
        <f t="shared" ca="1" si="144"/>
        <v>1237915.8843873511</v>
      </c>
      <c r="AP177" s="29">
        <f t="shared" ca="1" si="144"/>
        <v>1237915.8843873511</v>
      </c>
      <c r="AQ177" s="29">
        <f t="shared" ca="1" si="144"/>
        <v>1536735.1593379439</v>
      </c>
      <c r="AR177" s="29">
        <f t="shared" ca="1" si="144"/>
        <v>1536735.1593379439</v>
      </c>
      <c r="AS177" s="29">
        <f t="shared" ca="1" si="144"/>
        <v>1536735.1593379439</v>
      </c>
      <c r="AT177" s="29">
        <f t="shared" ca="1" si="144"/>
        <v>1536735.1593379439</v>
      </c>
      <c r="AU177" s="29">
        <f t="shared" ca="1" si="144"/>
        <v>0</v>
      </c>
      <c r="AV177" s="29">
        <f t="shared" ca="1" si="144"/>
        <v>0</v>
      </c>
      <c r="AW177" s="29">
        <f t="shared" ca="1" si="144"/>
        <v>0</v>
      </c>
      <c r="AX177" s="29">
        <f t="shared" ca="1" si="144"/>
        <v>0</v>
      </c>
      <c r="AY177" s="29">
        <f t="shared" ca="1" si="144"/>
        <v>0</v>
      </c>
      <c r="AZ177" s="29">
        <f t="shared" ca="1" si="144"/>
        <v>0</v>
      </c>
      <c r="BA177" s="29">
        <f t="shared" ca="1" si="144"/>
        <v>0</v>
      </c>
      <c r="BB177" s="29">
        <f t="shared" ca="1" si="144"/>
        <v>0</v>
      </c>
      <c r="BC177" s="29">
        <f t="shared" ca="1" si="144"/>
        <v>0</v>
      </c>
      <c r="BD177" s="29">
        <f t="shared" ca="1" si="144"/>
        <v>0</v>
      </c>
      <c r="BE177" s="29">
        <f t="shared" ca="1" si="144"/>
        <v>0</v>
      </c>
      <c r="BF177" s="29">
        <f t="shared" ca="1" si="144"/>
        <v>0</v>
      </c>
      <c r="BG177" s="29">
        <f t="shared" ca="1" si="144"/>
        <v>0</v>
      </c>
      <c r="BH177" s="29">
        <f t="shared" ca="1" si="144"/>
        <v>0</v>
      </c>
      <c r="BI177" s="29">
        <f t="shared" ca="1" si="144"/>
        <v>0</v>
      </c>
      <c r="BJ177" s="29">
        <f t="shared" ca="1" si="144"/>
        <v>0</v>
      </c>
      <c r="BK177" s="29">
        <f t="shared" ca="1" si="144"/>
        <v>0</v>
      </c>
      <c r="BL177" s="29">
        <f t="shared" ca="1" si="144"/>
        <v>0</v>
      </c>
      <c r="BM177" s="29">
        <f t="shared" ca="1" si="144"/>
        <v>0</v>
      </c>
      <c r="BN177" s="29">
        <f t="shared" ca="1" si="144"/>
        <v>0</v>
      </c>
      <c r="BO177" s="29">
        <f t="shared" ca="1" si="144"/>
        <v>0</v>
      </c>
      <c r="BP177" s="29">
        <f t="shared" ca="1" si="144"/>
        <v>0</v>
      </c>
      <c r="BQ177" s="29">
        <f t="shared" ca="1" si="144"/>
        <v>0</v>
      </c>
      <c r="BR177" s="29">
        <f t="shared" ca="1" si="144"/>
        <v>0</v>
      </c>
      <c r="BS177" s="29">
        <f t="shared" ca="1" si="144"/>
        <v>0</v>
      </c>
      <c r="BT177" s="29">
        <f t="shared" ca="1" si="144"/>
        <v>0</v>
      </c>
      <c r="BU177" s="29">
        <f t="shared" ca="1" si="144"/>
        <v>0</v>
      </c>
      <c r="BV177" s="29">
        <f t="shared" ca="1" si="144"/>
        <v>0</v>
      </c>
      <c r="BW177" s="29">
        <f t="shared" ca="1" si="144"/>
        <v>0</v>
      </c>
      <c r="BX177" s="29">
        <f t="shared" ca="1" si="144"/>
        <v>0</v>
      </c>
      <c r="BY177" s="29">
        <f t="shared" ca="1" si="144"/>
        <v>0</v>
      </c>
      <c r="BZ177" s="29">
        <f t="shared" ca="1" si="144"/>
        <v>0</v>
      </c>
      <c r="CA177" s="29">
        <f t="shared" ca="1" si="144"/>
        <v>0</v>
      </c>
      <c r="CB177" s="29">
        <f t="shared" ca="1" si="144"/>
        <v>0</v>
      </c>
      <c r="CC177" s="29">
        <f t="shared" si="144"/>
        <v>0</v>
      </c>
      <c r="CD177" s="29">
        <f t="shared" si="144"/>
        <v>0</v>
      </c>
      <c r="CE177" s="29">
        <f t="shared" si="144"/>
        <v>0</v>
      </c>
      <c r="CF177" s="29">
        <f t="shared" si="144"/>
        <v>0</v>
      </c>
      <c r="CG177" s="29">
        <f t="shared" si="144"/>
        <v>0</v>
      </c>
      <c r="CH177" s="29">
        <f t="shared" si="144"/>
        <v>0</v>
      </c>
    </row>
    <row r="178" spans="1:86" ht="13" hidden="1" outlineLevel="1">
      <c r="B178" s="84">
        <f t="shared" si="71"/>
        <v>75</v>
      </c>
      <c r="C178" s="64">
        <f t="shared" ca="1" si="69"/>
        <v>0.35600376008230028</v>
      </c>
      <c r="D178" s="15" t="s">
        <v>238</v>
      </c>
      <c r="E178" s="29">
        <f t="shared" ca="1" si="59"/>
        <v>55701812.083333328</v>
      </c>
      <c r="F178" s="29"/>
      <c r="G178" s="29">
        <f t="shared" ref="G178:CH178" ca="1" si="145">IF(G$4&lt;=$B178,ABS(G$31)*-1+G$47,0)+IF($B178=G$4,G$81,0)</f>
        <v>-1444375</v>
      </c>
      <c r="H178" s="29">
        <f t="shared" ca="1" si="145"/>
        <v>-1344375</v>
      </c>
      <c r="I178" s="29">
        <f t="shared" ca="1" si="145"/>
        <v>-1344375</v>
      </c>
      <c r="J178" s="29">
        <f t="shared" ca="1" si="145"/>
        <v>-1344375</v>
      </c>
      <c r="K178" s="29">
        <f t="shared" ca="1" si="145"/>
        <v>-1344375</v>
      </c>
      <c r="L178" s="29">
        <f t="shared" ca="1" si="145"/>
        <v>-1344375</v>
      </c>
      <c r="M178" s="29">
        <f t="shared" ca="1" si="145"/>
        <v>-1344375</v>
      </c>
      <c r="N178" s="29">
        <f t="shared" ca="1" si="145"/>
        <v>-1344375</v>
      </c>
      <c r="O178" s="29">
        <f t="shared" ca="1" si="145"/>
        <v>-1344375</v>
      </c>
      <c r="P178" s="29">
        <f t="shared" ca="1" si="145"/>
        <v>-1344375</v>
      </c>
      <c r="Q178" s="29">
        <f t="shared" ca="1" si="145"/>
        <v>-1344375</v>
      </c>
      <c r="R178" s="29">
        <f t="shared" ca="1" si="145"/>
        <v>-1344375</v>
      </c>
      <c r="S178" s="29">
        <f t="shared" ca="1" si="145"/>
        <v>-291239.58333333279</v>
      </c>
      <c r="T178" s="29">
        <f t="shared" ca="1" si="145"/>
        <v>-291239.58333333279</v>
      </c>
      <c r="U178" s="29">
        <f t="shared" ca="1" si="145"/>
        <v>-291239.58333333279</v>
      </c>
      <c r="V178" s="29">
        <f t="shared" ca="1" si="145"/>
        <v>-291239.58333333279</v>
      </c>
      <c r="W178" s="29">
        <f t="shared" ca="1" si="145"/>
        <v>3825453.1250000005</v>
      </c>
      <c r="X178" s="29">
        <f t="shared" ca="1" si="145"/>
        <v>3678872.2373188408</v>
      </c>
      <c r="Y178" s="29">
        <f t="shared" ca="1" si="145"/>
        <v>3313733.0533596845</v>
      </c>
      <c r="Z178" s="29">
        <f t="shared" ca="1" si="145"/>
        <v>3313733.0533596841</v>
      </c>
      <c r="AA178" s="29">
        <f t="shared" ca="1" si="145"/>
        <v>3353341.0902503296</v>
      </c>
      <c r="AB178" s="29">
        <f t="shared" ca="1" si="145"/>
        <v>3353341.09025033</v>
      </c>
      <c r="AC178" s="29">
        <f t="shared" ca="1" si="145"/>
        <v>3353341.09025033</v>
      </c>
      <c r="AD178" s="29">
        <f t="shared" ca="1" si="145"/>
        <v>3353341.09025033</v>
      </c>
      <c r="AE178" s="29">
        <f t="shared" ca="1" si="145"/>
        <v>4751736.4509222666</v>
      </c>
      <c r="AF178" s="29">
        <f t="shared" ca="1" si="145"/>
        <v>4751736.4509222666</v>
      </c>
      <c r="AG178" s="29">
        <f t="shared" ca="1" si="145"/>
        <v>4751736.4509222666</v>
      </c>
      <c r="AH178" s="29">
        <f t="shared" ca="1" si="145"/>
        <v>4751736.4509222666</v>
      </c>
      <c r="AI178" s="29">
        <f t="shared" ca="1" si="145"/>
        <v>3862141.1520092217</v>
      </c>
      <c r="AJ178" s="29">
        <f t="shared" ca="1" si="145"/>
        <v>3862141.1520092217</v>
      </c>
      <c r="AK178" s="29">
        <f t="shared" ca="1" si="145"/>
        <v>3862141.1520092217</v>
      </c>
      <c r="AL178" s="29">
        <f t="shared" ca="1" si="145"/>
        <v>3862141.1520092217</v>
      </c>
      <c r="AM178" s="29">
        <f t="shared" ca="1" si="145"/>
        <v>1237915.8843873511</v>
      </c>
      <c r="AN178" s="29">
        <f t="shared" ca="1" si="145"/>
        <v>1237915.8843873511</v>
      </c>
      <c r="AO178" s="29">
        <f t="shared" ca="1" si="145"/>
        <v>1237915.8843873511</v>
      </c>
      <c r="AP178" s="29">
        <f t="shared" ca="1" si="145"/>
        <v>1237915.8843873511</v>
      </c>
      <c r="AQ178" s="29">
        <f t="shared" ca="1" si="145"/>
        <v>1536735.1593379439</v>
      </c>
      <c r="AR178" s="29">
        <f t="shared" ca="1" si="145"/>
        <v>1536735.1593379439</v>
      </c>
      <c r="AS178" s="29">
        <f t="shared" ca="1" si="145"/>
        <v>1536735.1593379439</v>
      </c>
      <c r="AT178" s="29">
        <f t="shared" ca="1" si="145"/>
        <v>1536735.1593379439</v>
      </c>
      <c r="AU178" s="29">
        <f t="shared" ca="1" si="145"/>
        <v>0</v>
      </c>
      <c r="AV178" s="29">
        <f t="shared" ca="1" si="145"/>
        <v>0</v>
      </c>
      <c r="AW178" s="29">
        <f t="shared" ca="1" si="145"/>
        <v>0</v>
      </c>
      <c r="AX178" s="29">
        <f t="shared" ca="1" si="145"/>
        <v>0</v>
      </c>
      <c r="AY178" s="29">
        <f t="shared" ca="1" si="145"/>
        <v>0</v>
      </c>
      <c r="AZ178" s="29">
        <f t="shared" ca="1" si="145"/>
        <v>0</v>
      </c>
      <c r="BA178" s="29">
        <f t="shared" ca="1" si="145"/>
        <v>0</v>
      </c>
      <c r="BB178" s="29">
        <f t="shared" ca="1" si="145"/>
        <v>0</v>
      </c>
      <c r="BC178" s="29">
        <f t="shared" ca="1" si="145"/>
        <v>0</v>
      </c>
      <c r="BD178" s="29">
        <f t="shared" ca="1" si="145"/>
        <v>0</v>
      </c>
      <c r="BE178" s="29">
        <f t="shared" ca="1" si="145"/>
        <v>0</v>
      </c>
      <c r="BF178" s="29">
        <f t="shared" ca="1" si="145"/>
        <v>0</v>
      </c>
      <c r="BG178" s="29">
        <f t="shared" ca="1" si="145"/>
        <v>0</v>
      </c>
      <c r="BH178" s="29">
        <f t="shared" ca="1" si="145"/>
        <v>0</v>
      </c>
      <c r="BI178" s="29">
        <f t="shared" ca="1" si="145"/>
        <v>0</v>
      </c>
      <c r="BJ178" s="29">
        <f t="shared" ca="1" si="145"/>
        <v>0</v>
      </c>
      <c r="BK178" s="29">
        <f t="shared" ca="1" si="145"/>
        <v>0</v>
      </c>
      <c r="BL178" s="29">
        <f t="shared" ca="1" si="145"/>
        <v>0</v>
      </c>
      <c r="BM178" s="29">
        <f t="shared" ca="1" si="145"/>
        <v>0</v>
      </c>
      <c r="BN178" s="29">
        <f t="shared" ca="1" si="145"/>
        <v>0</v>
      </c>
      <c r="BO178" s="29">
        <f t="shared" ca="1" si="145"/>
        <v>0</v>
      </c>
      <c r="BP178" s="29">
        <f t="shared" ca="1" si="145"/>
        <v>0</v>
      </c>
      <c r="BQ178" s="29">
        <f t="shared" ca="1" si="145"/>
        <v>0</v>
      </c>
      <c r="BR178" s="29">
        <f t="shared" ca="1" si="145"/>
        <v>0</v>
      </c>
      <c r="BS178" s="29">
        <f t="shared" ca="1" si="145"/>
        <v>0</v>
      </c>
      <c r="BT178" s="29">
        <f t="shared" ca="1" si="145"/>
        <v>0</v>
      </c>
      <c r="BU178" s="29">
        <f t="shared" ca="1" si="145"/>
        <v>0</v>
      </c>
      <c r="BV178" s="29">
        <f t="shared" ca="1" si="145"/>
        <v>0</v>
      </c>
      <c r="BW178" s="29">
        <f t="shared" ca="1" si="145"/>
        <v>0</v>
      </c>
      <c r="BX178" s="29">
        <f t="shared" ca="1" si="145"/>
        <v>0</v>
      </c>
      <c r="BY178" s="29">
        <f t="shared" ca="1" si="145"/>
        <v>0</v>
      </c>
      <c r="BZ178" s="29">
        <f t="shared" ca="1" si="145"/>
        <v>0</v>
      </c>
      <c r="CA178" s="29">
        <f t="shared" ca="1" si="145"/>
        <v>0</v>
      </c>
      <c r="CB178" s="29">
        <f t="shared" ca="1" si="145"/>
        <v>0</v>
      </c>
      <c r="CC178" s="29">
        <f t="shared" ca="1" si="145"/>
        <v>0</v>
      </c>
      <c r="CD178" s="29">
        <f t="shared" si="145"/>
        <v>0</v>
      </c>
      <c r="CE178" s="29">
        <f t="shared" si="145"/>
        <v>0</v>
      </c>
      <c r="CF178" s="29">
        <f t="shared" si="145"/>
        <v>0</v>
      </c>
      <c r="CG178" s="29">
        <f t="shared" si="145"/>
        <v>0</v>
      </c>
      <c r="CH178" s="29">
        <f t="shared" si="145"/>
        <v>0</v>
      </c>
    </row>
    <row r="179" spans="1:86" ht="13" hidden="1" outlineLevel="1">
      <c r="B179" s="84">
        <f t="shared" si="71"/>
        <v>76</v>
      </c>
      <c r="C179" s="64">
        <f t="shared" ca="1" si="69"/>
        <v>0.35600376008230028</v>
      </c>
      <c r="D179" s="15" t="s">
        <v>238</v>
      </c>
      <c r="E179" s="29">
        <f t="shared" ca="1" si="59"/>
        <v>55701812.083333328</v>
      </c>
      <c r="F179" s="29"/>
      <c r="G179" s="29">
        <f t="shared" ref="G179:CH179" ca="1" si="146">IF(G$4&lt;=$B179,ABS(G$31)*-1+G$47,0)+IF($B179=G$4,G$81,0)</f>
        <v>-1444375</v>
      </c>
      <c r="H179" s="29">
        <f t="shared" ca="1" si="146"/>
        <v>-1344375</v>
      </c>
      <c r="I179" s="29">
        <f t="shared" ca="1" si="146"/>
        <v>-1344375</v>
      </c>
      <c r="J179" s="29">
        <f t="shared" ca="1" si="146"/>
        <v>-1344375</v>
      </c>
      <c r="K179" s="29">
        <f t="shared" ca="1" si="146"/>
        <v>-1344375</v>
      </c>
      <c r="L179" s="29">
        <f t="shared" ca="1" si="146"/>
        <v>-1344375</v>
      </c>
      <c r="M179" s="29">
        <f t="shared" ca="1" si="146"/>
        <v>-1344375</v>
      </c>
      <c r="N179" s="29">
        <f t="shared" ca="1" si="146"/>
        <v>-1344375</v>
      </c>
      <c r="O179" s="29">
        <f t="shared" ca="1" si="146"/>
        <v>-1344375</v>
      </c>
      <c r="P179" s="29">
        <f t="shared" ca="1" si="146"/>
        <v>-1344375</v>
      </c>
      <c r="Q179" s="29">
        <f t="shared" ca="1" si="146"/>
        <v>-1344375</v>
      </c>
      <c r="R179" s="29">
        <f t="shared" ca="1" si="146"/>
        <v>-1344375</v>
      </c>
      <c r="S179" s="29">
        <f t="shared" ca="1" si="146"/>
        <v>-291239.58333333279</v>
      </c>
      <c r="T179" s="29">
        <f t="shared" ca="1" si="146"/>
        <v>-291239.58333333279</v>
      </c>
      <c r="U179" s="29">
        <f t="shared" ca="1" si="146"/>
        <v>-291239.58333333279</v>
      </c>
      <c r="V179" s="29">
        <f t="shared" ca="1" si="146"/>
        <v>-291239.58333333279</v>
      </c>
      <c r="W179" s="29">
        <f t="shared" ca="1" si="146"/>
        <v>3825453.1250000005</v>
      </c>
      <c r="X179" s="29">
        <f t="shared" ca="1" si="146"/>
        <v>3678872.2373188408</v>
      </c>
      <c r="Y179" s="29">
        <f t="shared" ca="1" si="146"/>
        <v>3313733.0533596845</v>
      </c>
      <c r="Z179" s="29">
        <f t="shared" ca="1" si="146"/>
        <v>3313733.0533596841</v>
      </c>
      <c r="AA179" s="29">
        <f t="shared" ca="1" si="146"/>
        <v>3353341.0902503296</v>
      </c>
      <c r="AB179" s="29">
        <f t="shared" ca="1" si="146"/>
        <v>3353341.09025033</v>
      </c>
      <c r="AC179" s="29">
        <f t="shared" ca="1" si="146"/>
        <v>3353341.09025033</v>
      </c>
      <c r="AD179" s="29">
        <f t="shared" ca="1" si="146"/>
        <v>3353341.09025033</v>
      </c>
      <c r="AE179" s="29">
        <f t="shared" ca="1" si="146"/>
        <v>4751736.4509222666</v>
      </c>
      <c r="AF179" s="29">
        <f t="shared" ca="1" si="146"/>
        <v>4751736.4509222666</v>
      </c>
      <c r="AG179" s="29">
        <f t="shared" ca="1" si="146"/>
        <v>4751736.4509222666</v>
      </c>
      <c r="AH179" s="29">
        <f t="shared" ca="1" si="146"/>
        <v>4751736.4509222666</v>
      </c>
      <c r="AI179" s="29">
        <f t="shared" ca="1" si="146"/>
        <v>3862141.1520092217</v>
      </c>
      <c r="AJ179" s="29">
        <f t="shared" ca="1" si="146"/>
        <v>3862141.1520092217</v>
      </c>
      <c r="AK179" s="29">
        <f t="shared" ca="1" si="146"/>
        <v>3862141.1520092217</v>
      </c>
      <c r="AL179" s="29">
        <f t="shared" ca="1" si="146"/>
        <v>3862141.1520092217</v>
      </c>
      <c r="AM179" s="29">
        <f t="shared" ca="1" si="146"/>
        <v>1237915.8843873511</v>
      </c>
      <c r="AN179" s="29">
        <f t="shared" ca="1" si="146"/>
        <v>1237915.8843873511</v>
      </c>
      <c r="AO179" s="29">
        <f t="shared" ca="1" si="146"/>
        <v>1237915.8843873511</v>
      </c>
      <c r="AP179" s="29">
        <f t="shared" ca="1" si="146"/>
        <v>1237915.8843873511</v>
      </c>
      <c r="AQ179" s="29">
        <f t="shared" ca="1" si="146"/>
        <v>1536735.1593379439</v>
      </c>
      <c r="AR179" s="29">
        <f t="shared" ca="1" si="146"/>
        <v>1536735.1593379439</v>
      </c>
      <c r="AS179" s="29">
        <f t="shared" ca="1" si="146"/>
        <v>1536735.1593379439</v>
      </c>
      <c r="AT179" s="29">
        <f t="shared" ca="1" si="146"/>
        <v>1536735.1593379439</v>
      </c>
      <c r="AU179" s="29">
        <f t="shared" ca="1" si="146"/>
        <v>0</v>
      </c>
      <c r="AV179" s="29">
        <f t="shared" ca="1" si="146"/>
        <v>0</v>
      </c>
      <c r="AW179" s="29">
        <f t="shared" ca="1" si="146"/>
        <v>0</v>
      </c>
      <c r="AX179" s="29">
        <f t="shared" ca="1" si="146"/>
        <v>0</v>
      </c>
      <c r="AY179" s="29">
        <f t="shared" ca="1" si="146"/>
        <v>0</v>
      </c>
      <c r="AZ179" s="29">
        <f t="shared" ca="1" si="146"/>
        <v>0</v>
      </c>
      <c r="BA179" s="29">
        <f t="shared" ca="1" si="146"/>
        <v>0</v>
      </c>
      <c r="BB179" s="29">
        <f t="shared" ca="1" si="146"/>
        <v>0</v>
      </c>
      <c r="BC179" s="29">
        <f t="shared" ca="1" si="146"/>
        <v>0</v>
      </c>
      <c r="BD179" s="29">
        <f t="shared" ca="1" si="146"/>
        <v>0</v>
      </c>
      <c r="BE179" s="29">
        <f t="shared" ca="1" si="146"/>
        <v>0</v>
      </c>
      <c r="BF179" s="29">
        <f t="shared" ca="1" si="146"/>
        <v>0</v>
      </c>
      <c r="BG179" s="29">
        <f t="shared" ca="1" si="146"/>
        <v>0</v>
      </c>
      <c r="BH179" s="29">
        <f t="shared" ca="1" si="146"/>
        <v>0</v>
      </c>
      <c r="BI179" s="29">
        <f t="shared" ca="1" si="146"/>
        <v>0</v>
      </c>
      <c r="BJ179" s="29">
        <f t="shared" ca="1" si="146"/>
        <v>0</v>
      </c>
      <c r="BK179" s="29">
        <f t="shared" ca="1" si="146"/>
        <v>0</v>
      </c>
      <c r="BL179" s="29">
        <f t="shared" ca="1" si="146"/>
        <v>0</v>
      </c>
      <c r="BM179" s="29">
        <f t="shared" ca="1" si="146"/>
        <v>0</v>
      </c>
      <c r="BN179" s="29">
        <f t="shared" ca="1" si="146"/>
        <v>0</v>
      </c>
      <c r="BO179" s="29">
        <f t="shared" ca="1" si="146"/>
        <v>0</v>
      </c>
      <c r="BP179" s="29">
        <f t="shared" ca="1" si="146"/>
        <v>0</v>
      </c>
      <c r="BQ179" s="29">
        <f t="shared" ca="1" si="146"/>
        <v>0</v>
      </c>
      <c r="BR179" s="29">
        <f t="shared" ca="1" si="146"/>
        <v>0</v>
      </c>
      <c r="BS179" s="29">
        <f t="shared" ca="1" si="146"/>
        <v>0</v>
      </c>
      <c r="BT179" s="29">
        <f t="shared" ca="1" si="146"/>
        <v>0</v>
      </c>
      <c r="BU179" s="29">
        <f t="shared" ca="1" si="146"/>
        <v>0</v>
      </c>
      <c r="BV179" s="29">
        <f t="shared" ca="1" si="146"/>
        <v>0</v>
      </c>
      <c r="BW179" s="29">
        <f t="shared" ca="1" si="146"/>
        <v>0</v>
      </c>
      <c r="BX179" s="29">
        <f t="shared" ca="1" si="146"/>
        <v>0</v>
      </c>
      <c r="BY179" s="29">
        <f t="shared" ca="1" si="146"/>
        <v>0</v>
      </c>
      <c r="BZ179" s="29">
        <f t="shared" ca="1" si="146"/>
        <v>0</v>
      </c>
      <c r="CA179" s="29">
        <f t="shared" ca="1" si="146"/>
        <v>0</v>
      </c>
      <c r="CB179" s="29">
        <f t="shared" ca="1" si="146"/>
        <v>0</v>
      </c>
      <c r="CC179" s="29">
        <f t="shared" ca="1" si="146"/>
        <v>0</v>
      </c>
      <c r="CD179" s="29">
        <f t="shared" ca="1" si="146"/>
        <v>0</v>
      </c>
      <c r="CE179" s="29">
        <f t="shared" si="146"/>
        <v>0</v>
      </c>
      <c r="CF179" s="29">
        <f t="shared" si="146"/>
        <v>0</v>
      </c>
      <c r="CG179" s="29">
        <f t="shared" si="146"/>
        <v>0</v>
      </c>
      <c r="CH179" s="29">
        <f t="shared" si="146"/>
        <v>0</v>
      </c>
    </row>
    <row r="180" spans="1:86" ht="13" hidden="1" outlineLevel="1">
      <c r="B180" s="84">
        <f t="shared" si="71"/>
        <v>77</v>
      </c>
      <c r="C180" s="64">
        <f t="shared" ca="1" si="69"/>
        <v>0.35600376008230028</v>
      </c>
      <c r="D180" s="15" t="s">
        <v>238</v>
      </c>
      <c r="E180" s="29">
        <f t="shared" ca="1" si="59"/>
        <v>55701812.083333328</v>
      </c>
      <c r="F180" s="29"/>
      <c r="G180" s="29">
        <f t="shared" ref="G180:CH180" ca="1" si="147">IF(G$4&lt;=$B180,ABS(G$31)*-1+G$47,0)+IF($B180=G$4,G$81,0)</f>
        <v>-1444375</v>
      </c>
      <c r="H180" s="29">
        <f t="shared" ca="1" si="147"/>
        <v>-1344375</v>
      </c>
      <c r="I180" s="29">
        <f t="shared" ca="1" si="147"/>
        <v>-1344375</v>
      </c>
      <c r="J180" s="29">
        <f t="shared" ca="1" si="147"/>
        <v>-1344375</v>
      </c>
      <c r="K180" s="29">
        <f t="shared" ca="1" si="147"/>
        <v>-1344375</v>
      </c>
      <c r="L180" s="29">
        <f t="shared" ca="1" si="147"/>
        <v>-1344375</v>
      </c>
      <c r="M180" s="29">
        <f t="shared" ca="1" si="147"/>
        <v>-1344375</v>
      </c>
      <c r="N180" s="29">
        <f t="shared" ca="1" si="147"/>
        <v>-1344375</v>
      </c>
      <c r="O180" s="29">
        <f t="shared" ca="1" si="147"/>
        <v>-1344375</v>
      </c>
      <c r="P180" s="29">
        <f t="shared" ca="1" si="147"/>
        <v>-1344375</v>
      </c>
      <c r="Q180" s="29">
        <f t="shared" ca="1" si="147"/>
        <v>-1344375</v>
      </c>
      <c r="R180" s="29">
        <f t="shared" ca="1" si="147"/>
        <v>-1344375</v>
      </c>
      <c r="S180" s="29">
        <f t="shared" ca="1" si="147"/>
        <v>-291239.58333333279</v>
      </c>
      <c r="T180" s="29">
        <f t="shared" ca="1" si="147"/>
        <v>-291239.58333333279</v>
      </c>
      <c r="U180" s="29">
        <f t="shared" ca="1" si="147"/>
        <v>-291239.58333333279</v>
      </c>
      <c r="V180" s="29">
        <f t="shared" ca="1" si="147"/>
        <v>-291239.58333333279</v>
      </c>
      <c r="W180" s="29">
        <f t="shared" ca="1" si="147"/>
        <v>3825453.1250000005</v>
      </c>
      <c r="X180" s="29">
        <f t="shared" ca="1" si="147"/>
        <v>3678872.2373188408</v>
      </c>
      <c r="Y180" s="29">
        <f t="shared" ca="1" si="147"/>
        <v>3313733.0533596845</v>
      </c>
      <c r="Z180" s="29">
        <f t="shared" ca="1" si="147"/>
        <v>3313733.0533596841</v>
      </c>
      <c r="AA180" s="29">
        <f t="shared" ca="1" si="147"/>
        <v>3353341.0902503296</v>
      </c>
      <c r="AB180" s="29">
        <f t="shared" ca="1" si="147"/>
        <v>3353341.09025033</v>
      </c>
      <c r="AC180" s="29">
        <f t="shared" ca="1" si="147"/>
        <v>3353341.09025033</v>
      </c>
      <c r="AD180" s="29">
        <f t="shared" ca="1" si="147"/>
        <v>3353341.09025033</v>
      </c>
      <c r="AE180" s="29">
        <f t="shared" ca="1" si="147"/>
        <v>4751736.4509222666</v>
      </c>
      <c r="AF180" s="29">
        <f t="shared" ca="1" si="147"/>
        <v>4751736.4509222666</v>
      </c>
      <c r="AG180" s="29">
        <f t="shared" ca="1" si="147"/>
        <v>4751736.4509222666</v>
      </c>
      <c r="AH180" s="29">
        <f t="shared" ca="1" si="147"/>
        <v>4751736.4509222666</v>
      </c>
      <c r="AI180" s="29">
        <f t="shared" ca="1" si="147"/>
        <v>3862141.1520092217</v>
      </c>
      <c r="AJ180" s="29">
        <f t="shared" ca="1" si="147"/>
        <v>3862141.1520092217</v>
      </c>
      <c r="AK180" s="29">
        <f t="shared" ca="1" si="147"/>
        <v>3862141.1520092217</v>
      </c>
      <c r="AL180" s="29">
        <f t="shared" ca="1" si="147"/>
        <v>3862141.1520092217</v>
      </c>
      <c r="AM180" s="29">
        <f t="shared" ca="1" si="147"/>
        <v>1237915.8843873511</v>
      </c>
      <c r="AN180" s="29">
        <f t="shared" ca="1" si="147"/>
        <v>1237915.8843873511</v>
      </c>
      <c r="AO180" s="29">
        <f t="shared" ca="1" si="147"/>
        <v>1237915.8843873511</v>
      </c>
      <c r="AP180" s="29">
        <f t="shared" ca="1" si="147"/>
        <v>1237915.8843873511</v>
      </c>
      <c r="AQ180" s="29">
        <f t="shared" ca="1" si="147"/>
        <v>1536735.1593379439</v>
      </c>
      <c r="AR180" s="29">
        <f t="shared" ca="1" si="147"/>
        <v>1536735.1593379439</v>
      </c>
      <c r="AS180" s="29">
        <f t="shared" ca="1" si="147"/>
        <v>1536735.1593379439</v>
      </c>
      <c r="AT180" s="29">
        <f t="shared" ca="1" si="147"/>
        <v>1536735.1593379439</v>
      </c>
      <c r="AU180" s="29">
        <f t="shared" ca="1" si="147"/>
        <v>0</v>
      </c>
      <c r="AV180" s="29">
        <f t="shared" ca="1" si="147"/>
        <v>0</v>
      </c>
      <c r="AW180" s="29">
        <f t="shared" ca="1" si="147"/>
        <v>0</v>
      </c>
      <c r="AX180" s="29">
        <f t="shared" ca="1" si="147"/>
        <v>0</v>
      </c>
      <c r="AY180" s="29">
        <f t="shared" ca="1" si="147"/>
        <v>0</v>
      </c>
      <c r="AZ180" s="29">
        <f t="shared" ca="1" si="147"/>
        <v>0</v>
      </c>
      <c r="BA180" s="29">
        <f t="shared" ca="1" si="147"/>
        <v>0</v>
      </c>
      <c r="BB180" s="29">
        <f t="shared" ca="1" si="147"/>
        <v>0</v>
      </c>
      <c r="BC180" s="29">
        <f t="shared" ca="1" si="147"/>
        <v>0</v>
      </c>
      <c r="BD180" s="29">
        <f t="shared" ca="1" si="147"/>
        <v>0</v>
      </c>
      <c r="BE180" s="29">
        <f t="shared" ca="1" si="147"/>
        <v>0</v>
      </c>
      <c r="BF180" s="29">
        <f t="shared" ca="1" si="147"/>
        <v>0</v>
      </c>
      <c r="BG180" s="29">
        <f t="shared" ca="1" si="147"/>
        <v>0</v>
      </c>
      <c r="BH180" s="29">
        <f t="shared" ca="1" si="147"/>
        <v>0</v>
      </c>
      <c r="BI180" s="29">
        <f t="shared" ca="1" si="147"/>
        <v>0</v>
      </c>
      <c r="BJ180" s="29">
        <f t="shared" ca="1" si="147"/>
        <v>0</v>
      </c>
      <c r="BK180" s="29">
        <f t="shared" ca="1" si="147"/>
        <v>0</v>
      </c>
      <c r="BL180" s="29">
        <f t="shared" ca="1" si="147"/>
        <v>0</v>
      </c>
      <c r="BM180" s="29">
        <f t="shared" ca="1" si="147"/>
        <v>0</v>
      </c>
      <c r="BN180" s="29">
        <f t="shared" ca="1" si="147"/>
        <v>0</v>
      </c>
      <c r="BO180" s="29">
        <f t="shared" ca="1" si="147"/>
        <v>0</v>
      </c>
      <c r="BP180" s="29">
        <f t="shared" ca="1" si="147"/>
        <v>0</v>
      </c>
      <c r="BQ180" s="29">
        <f t="shared" ca="1" si="147"/>
        <v>0</v>
      </c>
      <c r="BR180" s="29">
        <f t="shared" ca="1" si="147"/>
        <v>0</v>
      </c>
      <c r="BS180" s="29">
        <f t="shared" ca="1" si="147"/>
        <v>0</v>
      </c>
      <c r="BT180" s="29">
        <f t="shared" ca="1" si="147"/>
        <v>0</v>
      </c>
      <c r="BU180" s="29">
        <f t="shared" ca="1" si="147"/>
        <v>0</v>
      </c>
      <c r="BV180" s="29">
        <f t="shared" ca="1" si="147"/>
        <v>0</v>
      </c>
      <c r="BW180" s="29">
        <f t="shared" ca="1" si="147"/>
        <v>0</v>
      </c>
      <c r="BX180" s="29">
        <f t="shared" ca="1" si="147"/>
        <v>0</v>
      </c>
      <c r="BY180" s="29">
        <f t="shared" ca="1" si="147"/>
        <v>0</v>
      </c>
      <c r="BZ180" s="29">
        <f t="shared" ca="1" si="147"/>
        <v>0</v>
      </c>
      <c r="CA180" s="29">
        <f t="shared" ca="1" si="147"/>
        <v>0</v>
      </c>
      <c r="CB180" s="29">
        <f t="shared" ca="1" si="147"/>
        <v>0</v>
      </c>
      <c r="CC180" s="29">
        <f t="shared" ca="1" si="147"/>
        <v>0</v>
      </c>
      <c r="CD180" s="29">
        <f t="shared" ca="1" si="147"/>
        <v>0</v>
      </c>
      <c r="CE180" s="29">
        <f t="shared" ca="1" si="147"/>
        <v>0</v>
      </c>
      <c r="CF180" s="29">
        <f t="shared" si="147"/>
        <v>0</v>
      </c>
      <c r="CG180" s="29">
        <f t="shared" si="147"/>
        <v>0</v>
      </c>
      <c r="CH180" s="29">
        <f t="shared" si="147"/>
        <v>0</v>
      </c>
    </row>
    <row r="181" spans="1:86" ht="13" hidden="1" outlineLevel="1">
      <c r="B181" s="84">
        <f t="shared" si="71"/>
        <v>78</v>
      </c>
      <c r="C181" s="64">
        <f t="shared" ca="1" si="69"/>
        <v>0.35600376008230028</v>
      </c>
      <c r="D181" s="15" t="s">
        <v>238</v>
      </c>
      <c r="E181" s="29">
        <f t="shared" ca="1" si="59"/>
        <v>55701812.083333328</v>
      </c>
      <c r="F181" s="29"/>
      <c r="G181" s="29">
        <f t="shared" ref="G181:CH181" ca="1" si="148">IF(G$4&lt;=$B181,ABS(G$31)*-1+G$47,0)+IF($B181=G$4,G$81,0)</f>
        <v>-1444375</v>
      </c>
      <c r="H181" s="29">
        <f t="shared" ca="1" si="148"/>
        <v>-1344375</v>
      </c>
      <c r="I181" s="29">
        <f t="shared" ca="1" si="148"/>
        <v>-1344375</v>
      </c>
      <c r="J181" s="29">
        <f t="shared" ca="1" si="148"/>
        <v>-1344375</v>
      </c>
      <c r="K181" s="29">
        <f t="shared" ca="1" si="148"/>
        <v>-1344375</v>
      </c>
      <c r="L181" s="29">
        <f t="shared" ca="1" si="148"/>
        <v>-1344375</v>
      </c>
      <c r="M181" s="29">
        <f t="shared" ca="1" si="148"/>
        <v>-1344375</v>
      </c>
      <c r="N181" s="29">
        <f t="shared" ca="1" si="148"/>
        <v>-1344375</v>
      </c>
      <c r="O181" s="29">
        <f t="shared" ca="1" si="148"/>
        <v>-1344375</v>
      </c>
      <c r="P181" s="29">
        <f t="shared" ca="1" si="148"/>
        <v>-1344375</v>
      </c>
      <c r="Q181" s="29">
        <f t="shared" ca="1" si="148"/>
        <v>-1344375</v>
      </c>
      <c r="R181" s="29">
        <f t="shared" ca="1" si="148"/>
        <v>-1344375</v>
      </c>
      <c r="S181" s="29">
        <f t="shared" ca="1" si="148"/>
        <v>-291239.58333333279</v>
      </c>
      <c r="T181" s="29">
        <f t="shared" ca="1" si="148"/>
        <v>-291239.58333333279</v>
      </c>
      <c r="U181" s="29">
        <f t="shared" ca="1" si="148"/>
        <v>-291239.58333333279</v>
      </c>
      <c r="V181" s="29">
        <f t="shared" ca="1" si="148"/>
        <v>-291239.58333333279</v>
      </c>
      <c r="W181" s="29">
        <f t="shared" ca="1" si="148"/>
        <v>3825453.1250000005</v>
      </c>
      <c r="X181" s="29">
        <f t="shared" ca="1" si="148"/>
        <v>3678872.2373188408</v>
      </c>
      <c r="Y181" s="29">
        <f t="shared" ca="1" si="148"/>
        <v>3313733.0533596845</v>
      </c>
      <c r="Z181" s="29">
        <f t="shared" ca="1" si="148"/>
        <v>3313733.0533596841</v>
      </c>
      <c r="AA181" s="29">
        <f t="shared" ca="1" si="148"/>
        <v>3353341.0902503296</v>
      </c>
      <c r="AB181" s="29">
        <f t="shared" ca="1" si="148"/>
        <v>3353341.09025033</v>
      </c>
      <c r="AC181" s="29">
        <f t="shared" ca="1" si="148"/>
        <v>3353341.09025033</v>
      </c>
      <c r="AD181" s="29">
        <f t="shared" ca="1" si="148"/>
        <v>3353341.09025033</v>
      </c>
      <c r="AE181" s="29">
        <f t="shared" ca="1" si="148"/>
        <v>4751736.4509222666</v>
      </c>
      <c r="AF181" s="29">
        <f t="shared" ca="1" si="148"/>
        <v>4751736.4509222666</v>
      </c>
      <c r="AG181" s="29">
        <f t="shared" ca="1" si="148"/>
        <v>4751736.4509222666</v>
      </c>
      <c r="AH181" s="29">
        <f t="shared" ca="1" si="148"/>
        <v>4751736.4509222666</v>
      </c>
      <c r="AI181" s="29">
        <f t="shared" ca="1" si="148"/>
        <v>3862141.1520092217</v>
      </c>
      <c r="AJ181" s="29">
        <f t="shared" ca="1" si="148"/>
        <v>3862141.1520092217</v>
      </c>
      <c r="AK181" s="29">
        <f t="shared" ca="1" si="148"/>
        <v>3862141.1520092217</v>
      </c>
      <c r="AL181" s="29">
        <f t="shared" ca="1" si="148"/>
        <v>3862141.1520092217</v>
      </c>
      <c r="AM181" s="29">
        <f t="shared" ca="1" si="148"/>
        <v>1237915.8843873511</v>
      </c>
      <c r="AN181" s="29">
        <f t="shared" ca="1" si="148"/>
        <v>1237915.8843873511</v>
      </c>
      <c r="AO181" s="29">
        <f t="shared" ca="1" si="148"/>
        <v>1237915.8843873511</v>
      </c>
      <c r="AP181" s="29">
        <f t="shared" ca="1" si="148"/>
        <v>1237915.8843873511</v>
      </c>
      <c r="AQ181" s="29">
        <f t="shared" ca="1" si="148"/>
        <v>1536735.1593379439</v>
      </c>
      <c r="AR181" s="29">
        <f t="shared" ca="1" si="148"/>
        <v>1536735.1593379439</v>
      </c>
      <c r="AS181" s="29">
        <f t="shared" ca="1" si="148"/>
        <v>1536735.1593379439</v>
      </c>
      <c r="AT181" s="29">
        <f t="shared" ca="1" si="148"/>
        <v>1536735.1593379439</v>
      </c>
      <c r="AU181" s="29">
        <f t="shared" ca="1" si="148"/>
        <v>0</v>
      </c>
      <c r="AV181" s="29">
        <f t="shared" ca="1" si="148"/>
        <v>0</v>
      </c>
      <c r="AW181" s="29">
        <f t="shared" ca="1" si="148"/>
        <v>0</v>
      </c>
      <c r="AX181" s="29">
        <f t="shared" ca="1" si="148"/>
        <v>0</v>
      </c>
      <c r="AY181" s="29">
        <f t="shared" ca="1" si="148"/>
        <v>0</v>
      </c>
      <c r="AZ181" s="29">
        <f t="shared" ca="1" si="148"/>
        <v>0</v>
      </c>
      <c r="BA181" s="29">
        <f t="shared" ca="1" si="148"/>
        <v>0</v>
      </c>
      <c r="BB181" s="29">
        <f t="shared" ca="1" si="148"/>
        <v>0</v>
      </c>
      <c r="BC181" s="29">
        <f t="shared" ca="1" si="148"/>
        <v>0</v>
      </c>
      <c r="BD181" s="29">
        <f t="shared" ca="1" si="148"/>
        <v>0</v>
      </c>
      <c r="BE181" s="29">
        <f t="shared" ca="1" si="148"/>
        <v>0</v>
      </c>
      <c r="BF181" s="29">
        <f t="shared" ca="1" si="148"/>
        <v>0</v>
      </c>
      <c r="BG181" s="29">
        <f t="shared" ca="1" si="148"/>
        <v>0</v>
      </c>
      <c r="BH181" s="29">
        <f t="shared" ca="1" si="148"/>
        <v>0</v>
      </c>
      <c r="BI181" s="29">
        <f t="shared" ca="1" si="148"/>
        <v>0</v>
      </c>
      <c r="BJ181" s="29">
        <f t="shared" ca="1" si="148"/>
        <v>0</v>
      </c>
      <c r="BK181" s="29">
        <f t="shared" ca="1" si="148"/>
        <v>0</v>
      </c>
      <c r="BL181" s="29">
        <f t="shared" ca="1" si="148"/>
        <v>0</v>
      </c>
      <c r="BM181" s="29">
        <f t="shared" ca="1" si="148"/>
        <v>0</v>
      </c>
      <c r="BN181" s="29">
        <f t="shared" ca="1" si="148"/>
        <v>0</v>
      </c>
      <c r="BO181" s="29">
        <f t="shared" ca="1" si="148"/>
        <v>0</v>
      </c>
      <c r="BP181" s="29">
        <f t="shared" ca="1" si="148"/>
        <v>0</v>
      </c>
      <c r="BQ181" s="29">
        <f t="shared" ca="1" si="148"/>
        <v>0</v>
      </c>
      <c r="BR181" s="29">
        <f t="shared" ca="1" si="148"/>
        <v>0</v>
      </c>
      <c r="BS181" s="29">
        <f t="shared" ca="1" si="148"/>
        <v>0</v>
      </c>
      <c r="BT181" s="29">
        <f t="shared" ca="1" si="148"/>
        <v>0</v>
      </c>
      <c r="BU181" s="29">
        <f t="shared" ca="1" si="148"/>
        <v>0</v>
      </c>
      <c r="BV181" s="29">
        <f t="shared" ca="1" si="148"/>
        <v>0</v>
      </c>
      <c r="BW181" s="29">
        <f t="shared" ca="1" si="148"/>
        <v>0</v>
      </c>
      <c r="BX181" s="29">
        <f t="shared" ca="1" si="148"/>
        <v>0</v>
      </c>
      <c r="BY181" s="29">
        <f t="shared" ca="1" si="148"/>
        <v>0</v>
      </c>
      <c r="BZ181" s="29">
        <f t="shared" ca="1" si="148"/>
        <v>0</v>
      </c>
      <c r="CA181" s="29">
        <f t="shared" ca="1" si="148"/>
        <v>0</v>
      </c>
      <c r="CB181" s="29">
        <f t="shared" ca="1" si="148"/>
        <v>0</v>
      </c>
      <c r="CC181" s="29">
        <f t="shared" ca="1" si="148"/>
        <v>0</v>
      </c>
      <c r="CD181" s="29">
        <f t="shared" ca="1" si="148"/>
        <v>0</v>
      </c>
      <c r="CE181" s="29">
        <f t="shared" ca="1" si="148"/>
        <v>0</v>
      </c>
      <c r="CF181" s="29">
        <f t="shared" ca="1" si="148"/>
        <v>0</v>
      </c>
      <c r="CG181" s="29">
        <f t="shared" si="148"/>
        <v>0</v>
      </c>
      <c r="CH181" s="29">
        <f t="shared" si="148"/>
        <v>0</v>
      </c>
    </row>
    <row r="182" spans="1:86" ht="13" hidden="1" outlineLevel="1">
      <c r="B182" s="84">
        <f t="shared" si="71"/>
        <v>79</v>
      </c>
      <c r="C182" s="64">
        <f t="shared" ca="1" si="69"/>
        <v>0.35600376008230028</v>
      </c>
      <c r="D182" s="15" t="s">
        <v>238</v>
      </c>
      <c r="E182" s="29">
        <f t="shared" ca="1" si="59"/>
        <v>55701812.083333328</v>
      </c>
      <c r="F182" s="29"/>
      <c r="G182" s="29">
        <f t="shared" ref="G182:CH182" ca="1" si="149">IF(G$4&lt;=$B182,ABS(G$31)*-1+G$47,0)+IF($B182=G$4,G$81,0)</f>
        <v>-1444375</v>
      </c>
      <c r="H182" s="29">
        <f t="shared" ca="1" si="149"/>
        <v>-1344375</v>
      </c>
      <c r="I182" s="29">
        <f t="shared" ca="1" si="149"/>
        <v>-1344375</v>
      </c>
      <c r="J182" s="29">
        <f t="shared" ca="1" si="149"/>
        <v>-1344375</v>
      </c>
      <c r="K182" s="29">
        <f t="shared" ca="1" si="149"/>
        <v>-1344375</v>
      </c>
      <c r="L182" s="29">
        <f t="shared" ca="1" si="149"/>
        <v>-1344375</v>
      </c>
      <c r="M182" s="29">
        <f t="shared" ca="1" si="149"/>
        <v>-1344375</v>
      </c>
      <c r="N182" s="29">
        <f t="shared" ca="1" si="149"/>
        <v>-1344375</v>
      </c>
      <c r="O182" s="29">
        <f t="shared" ca="1" si="149"/>
        <v>-1344375</v>
      </c>
      <c r="P182" s="29">
        <f t="shared" ca="1" si="149"/>
        <v>-1344375</v>
      </c>
      <c r="Q182" s="29">
        <f t="shared" ca="1" si="149"/>
        <v>-1344375</v>
      </c>
      <c r="R182" s="29">
        <f t="shared" ca="1" si="149"/>
        <v>-1344375</v>
      </c>
      <c r="S182" s="29">
        <f t="shared" ca="1" si="149"/>
        <v>-291239.58333333279</v>
      </c>
      <c r="T182" s="29">
        <f t="shared" ca="1" si="149"/>
        <v>-291239.58333333279</v>
      </c>
      <c r="U182" s="29">
        <f t="shared" ca="1" si="149"/>
        <v>-291239.58333333279</v>
      </c>
      <c r="V182" s="29">
        <f t="shared" ca="1" si="149"/>
        <v>-291239.58333333279</v>
      </c>
      <c r="W182" s="29">
        <f t="shared" ca="1" si="149"/>
        <v>3825453.1250000005</v>
      </c>
      <c r="X182" s="29">
        <f t="shared" ca="1" si="149"/>
        <v>3678872.2373188408</v>
      </c>
      <c r="Y182" s="29">
        <f t="shared" ca="1" si="149"/>
        <v>3313733.0533596845</v>
      </c>
      <c r="Z182" s="29">
        <f t="shared" ca="1" si="149"/>
        <v>3313733.0533596841</v>
      </c>
      <c r="AA182" s="29">
        <f t="shared" ca="1" si="149"/>
        <v>3353341.0902503296</v>
      </c>
      <c r="AB182" s="29">
        <f t="shared" ca="1" si="149"/>
        <v>3353341.09025033</v>
      </c>
      <c r="AC182" s="29">
        <f t="shared" ca="1" si="149"/>
        <v>3353341.09025033</v>
      </c>
      <c r="AD182" s="29">
        <f t="shared" ca="1" si="149"/>
        <v>3353341.09025033</v>
      </c>
      <c r="AE182" s="29">
        <f t="shared" ca="1" si="149"/>
        <v>4751736.4509222666</v>
      </c>
      <c r="AF182" s="29">
        <f t="shared" ca="1" si="149"/>
        <v>4751736.4509222666</v>
      </c>
      <c r="AG182" s="29">
        <f t="shared" ca="1" si="149"/>
        <v>4751736.4509222666</v>
      </c>
      <c r="AH182" s="29">
        <f t="shared" ca="1" si="149"/>
        <v>4751736.4509222666</v>
      </c>
      <c r="AI182" s="29">
        <f t="shared" ca="1" si="149"/>
        <v>3862141.1520092217</v>
      </c>
      <c r="AJ182" s="29">
        <f t="shared" ca="1" si="149"/>
        <v>3862141.1520092217</v>
      </c>
      <c r="AK182" s="29">
        <f t="shared" ca="1" si="149"/>
        <v>3862141.1520092217</v>
      </c>
      <c r="AL182" s="29">
        <f t="shared" ca="1" si="149"/>
        <v>3862141.1520092217</v>
      </c>
      <c r="AM182" s="29">
        <f t="shared" ca="1" si="149"/>
        <v>1237915.8843873511</v>
      </c>
      <c r="AN182" s="29">
        <f t="shared" ca="1" si="149"/>
        <v>1237915.8843873511</v>
      </c>
      <c r="AO182" s="29">
        <f t="shared" ca="1" si="149"/>
        <v>1237915.8843873511</v>
      </c>
      <c r="AP182" s="29">
        <f t="shared" ca="1" si="149"/>
        <v>1237915.8843873511</v>
      </c>
      <c r="AQ182" s="29">
        <f t="shared" ca="1" si="149"/>
        <v>1536735.1593379439</v>
      </c>
      <c r="AR182" s="29">
        <f t="shared" ca="1" si="149"/>
        <v>1536735.1593379439</v>
      </c>
      <c r="AS182" s="29">
        <f t="shared" ca="1" si="149"/>
        <v>1536735.1593379439</v>
      </c>
      <c r="AT182" s="29">
        <f t="shared" ca="1" si="149"/>
        <v>1536735.1593379439</v>
      </c>
      <c r="AU182" s="29">
        <f t="shared" ca="1" si="149"/>
        <v>0</v>
      </c>
      <c r="AV182" s="29">
        <f t="shared" ca="1" si="149"/>
        <v>0</v>
      </c>
      <c r="AW182" s="29">
        <f t="shared" ca="1" si="149"/>
        <v>0</v>
      </c>
      <c r="AX182" s="29">
        <f t="shared" ca="1" si="149"/>
        <v>0</v>
      </c>
      <c r="AY182" s="29">
        <f t="shared" ca="1" si="149"/>
        <v>0</v>
      </c>
      <c r="AZ182" s="29">
        <f t="shared" ca="1" si="149"/>
        <v>0</v>
      </c>
      <c r="BA182" s="29">
        <f t="shared" ca="1" si="149"/>
        <v>0</v>
      </c>
      <c r="BB182" s="29">
        <f t="shared" ca="1" si="149"/>
        <v>0</v>
      </c>
      <c r="BC182" s="29">
        <f t="shared" ca="1" si="149"/>
        <v>0</v>
      </c>
      <c r="BD182" s="29">
        <f t="shared" ca="1" si="149"/>
        <v>0</v>
      </c>
      <c r="BE182" s="29">
        <f t="shared" ca="1" si="149"/>
        <v>0</v>
      </c>
      <c r="BF182" s="29">
        <f t="shared" ca="1" si="149"/>
        <v>0</v>
      </c>
      <c r="BG182" s="29">
        <f t="shared" ca="1" si="149"/>
        <v>0</v>
      </c>
      <c r="BH182" s="29">
        <f t="shared" ca="1" si="149"/>
        <v>0</v>
      </c>
      <c r="BI182" s="29">
        <f t="shared" ca="1" si="149"/>
        <v>0</v>
      </c>
      <c r="BJ182" s="29">
        <f t="shared" ca="1" si="149"/>
        <v>0</v>
      </c>
      <c r="BK182" s="29">
        <f t="shared" ca="1" si="149"/>
        <v>0</v>
      </c>
      <c r="BL182" s="29">
        <f t="shared" ca="1" si="149"/>
        <v>0</v>
      </c>
      <c r="BM182" s="29">
        <f t="shared" ca="1" si="149"/>
        <v>0</v>
      </c>
      <c r="BN182" s="29">
        <f t="shared" ca="1" si="149"/>
        <v>0</v>
      </c>
      <c r="BO182" s="29">
        <f t="shared" ca="1" si="149"/>
        <v>0</v>
      </c>
      <c r="BP182" s="29">
        <f t="shared" ca="1" si="149"/>
        <v>0</v>
      </c>
      <c r="BQ182" s="29">
        <f t="shared" ca="1" si="149"/>
        <v>0</v>
      </c>
      <c r="BR182" s="29">
        <f t="shared" ca="1" si="149"/>
        <v>0</v>
      </c>
      <c r="BS182" s="29">
        <f t="shared" ca="1" si="149"/>
        <v>0</v>
      </c>
      <c r="BT182" s="29">
        <f t="shared" ca="1" si="149"/>
        <v>0</v>
      </c>
      <c r="BU182" s="29">
        <f t="shared" ca="1" si="149"/>
        <v>0</v>
      </c>
      <c r="BV182" s="29">
        <f t="shared" ca="1" si="149"/>
        <v>0</v>
      </c>
      <c r="BW182" s="29">
        <f t="shared" ca="1" si="149"/>
        <v>0</v>
      </c>
      <c r="BX182" s="29">
        <f t="shared" ca="1" si="149"/>
        <v>0</v>
      </c>
      <c r="BY182" s="29">
        <f t="shared" ca="1" si="149"/>
        <v>0</v>
      </c>
      <c r="BZ182" s="29">
        <f t="shared" ca="1" si="149"/>
        <v>0</v>
      </c>
      <c r="CA182" s="29">
        <f t="shared" ca="1" si="149"/>
        <v>0</v>
      </c>
      <c r="CB182" s="29">
        <f t="shared" ca="1" si="149"/>
        <v>0</v>
      </c>
      <c r="CC182" s="29">
        <f t="shared" ca="1" si="149"/>
        <v>0</v>
      </c>
      <c r="CD182" s="29">
        <f t="shared" ca="1" si="149"/>
        <v>0</v>
      </c>
      <c r="CE182" s="29">
        <f t="shared" ca="1" si="149"/>
        <v>0</v>
      </c>
      <c r="CF182" s="29">
        <f t="shared" ca="1" si="149"/>
        <v>0</v>
      </c>
      <c r="CG182" s="29">
        <f t="shared" ca="1" si="149"/>
        <v>0</v>
      </c>
      <c r="CH182" s="29">
        <f t="shared" si="149"/>
        <v>0</v>
      </c>
    </row>
    <row r="183" spans="1:86" ht="13" hidden="1" outlineLevel="1">
      <c r="B183" s="84">
        <f t="shared" si="71"/>
        <v>80</v>
      </c>
      <c r="C183" s="64">
        <f t="shared" ca="1" si="69"/>
        <v>0.35600376008230028</v>
      </c>
      <c r="D183" s="15" t="s">
        <v>238</v>
      </c>
      <c r="E183" s="29">
        <f t="shared" ca="1" si="59"/>
        <v>55701812.083333328</v>
      </c>
      <c r="F183" s="29"/>
      <c r="G183" s="29">
        <f t="shared" ref="G183:CH183" ca="1" si="150">IF(G$4&lt;=$B183,ABS(G$31)*-1+G$47,0)+IF($B183=G$4,G$81,0)</f>
        <v>-1444375</v>
      </c>
      <c r="H183" s="29">
        <f t="shared" ca="1" si="150"/>
        <v>-1344375</v>
      </c>
      <c r="I183" s="29">
        <f t="shared" ca="1" si="150"/>
        <v>-1344375</v>
      </c>
      <c r="J183" s="29">
        <f t="shared" ca="1" si="150"/>
        <v>-1344375</v>
      </c>
      <c r="K183" s="29">
        <f t="shared" ca="1" si="150"/>
        <v>-1344375</v>
      </c>
      <c r="L183" s="29">
        <f t="shared" ca="1" si="150"/>
        <v>-1344375</v>
      </c>
      <c r="M183" s="29">
        <f t="shared" ca="1" si="150"/>
        <v>-1344375</v>
      </c>
      <c r="N183" s="29">
        <f t="shared" ca="1" si="150"/>
        <v>-1344375</v>
      </c>
      <c r="O183" s="29">
        <f t="shared" ca="1" si="150"/>
        <v>-1344375</v>
      </c>
      <c r="P183" s="29">
        <f t="shared" ca="1" si="150"/>
        <v>-1344375</v>
      </c>
      <c r="Q183" s="29">
        <f t="shared" ca="1" si="150"/>
        <v>-1344375</v>
      </c>
      <c r="R183" s="29">
        <f t="shared" ca="1" si="150"/>
        <v>-1344375</v>
      </c>
      <c r="S183" s="29">
        <f t="shared" ca="1" si="150"/>
        <v>-291239.58333333279</v>
      </c>
      <c r="T183" s="29">
        <f t="shared" ca="1" si="150"/>
        <v>-291239.58333333279</v>
      </c>
      <c r="U183" s="29">
        <f t="shared" ca="1" si="150"/>
        <v>-291239.58333333279</v>
      </c>
      <c r="V183" s="29">
        <f t="shared" ca="1" si="150"/>
        <v>-291239.58333333279</v>
      </c>
      <c r="W183" s="29">
        <f t="shared" ca="1" si="150"/>
        <v>3825453.1250000005</v>
      </c>
      <c r="X183" s="29">
        <f t="shared" ca="1" si="150"/>
        <v>3678872.2373188408</v>
      </c>
      <c r="Y183" s="29">
        <f t="shared" ca="1" si="150"/>
        <v>3313733.0533596845</v>
      </c>
      <c r="Z183" s="29">
        <f t="shared" ca="1" si="150"/>
        <v>3313733.0533596841</v>
      </c>
      <c r="AA183" s="29">
        <f t="shared" ca="1" si="150"/>
        <v>3353341.0902503296</v>
      </c>
      <c r="AB183" s="29">
        <f t="shared" ca="1" si="150"/>
        <v>3353341.09025033</v>
      </c>
      <c r="AC183" s="29">
        <f t="shared" ca="1" si="150"/>
        <v>3353341.09025033</v>
      </c>
      <c r="AD183" s="29">
        <f t="shared" ca="1" si="150"/>
        <v>3353341.09025033</v>
      </c>
      <c r="AE183" s="29">
        <f t="shared" ca="1" si="150"/>
        <v>4751736.4509222666</v>
      </c>
      <c r="AF183" s="29">
        <f t="shared" ca="1" si="150"/>
        <v>4751736.4509222666</v>
      </c>
      <c r="AG183" s="29">
        <f t="shared" ca="1" si="150"/>
        <v>4751736.4509222666</v>
      </c>
      <c r="AH183" s="29">
        <f t="shared" ca="1" si="150"/>
        <v>4751736.4509222666</v>
      </c>
      <c r="AI183" s="29">
        <f t="shared" ca="1" si="150"/>
        <v>3862141.1520092217</v>
      </c>
      <c r="AJ183" s="29">
        <f t="shared" ca="1" si="150"/>
        <v>3862141.1520092217</v>
      </c>
      <c r="AK183" s="29">
        <f t="shared" ca="1" si="150"/>
        <v>3862141.1520092217</v>
      </c>
      <c r="AL183" s="29">
        <f t="shared" ca="1" si="150"/>
        <v>3862141.1520092217</v>
      </c>
      <c r="AM183" s="29">
        <f t="shared" ca="1" si="150"/>
        <v>1237915.8843873511</v>
      </c>
      <c r="AN183" s="29">
        <f t="shared" ca="1" si="150"/>
        <v>1237915.8843873511</v>
      </c>
      <c r="AO183" s="29">
        <f t="shared" ca="1" si="150"/>
        <v>1237915.8843873511</v>
      </c>
      <c r="AP183" s="29">
        <f t="shared" ca="1" si="150"/>
        <v>1237915.8843873511</v>
      </c>
      <c r="AQ183" s="29">
        <f t="shared" ca="1" si="150"/>
        <v>1536735.1593379439</v>
      </c>
      <c r="AR183" s="29">
        <f t="shared" ca="1" si="150"/>
        <v>1536735.1593379439</v>
      </c>
      <c r="AS183" s="29">
        <f t="shared" ca="1" si="150"/>
        <v>1536735.1593379439</v>
      </c>
      <c r="AT183" s="29">
        <f t="shared" ca="1" si="150"/>
        <v>1536735.1593379439</v>
      </c>
      <c r="AU183" s="29">
        <f t="shared" ca="1" si="150"/>
        <v>0</v>
      </c>
      <c r="AV183" s="29">
        <f t="shared" ca="1" si="150"/>
        <v>0</v>
      </c>
      <c r="AW183" s="29">
        <f t="shared" ca="1" si="150"/>
        <v>0</v>
      </c>
      <c r="AX183" s="29">
        <f t="shared" ca="1" si="150"/>
        <v>0</v>
      </c>
      <c r="AY183" s="29">
        <f t="shared" ca="1" si="150"/>
        <v>0</v>
      </c>
      <c r="AZ183" s="29">
        <f t="shared" ca="1" si="150"/>
        <v>0</v>
      </c>
      <c r="BA183" s="29">
        <f t="shared" ca="1" si="150"/>
        <v>0</v>
      </c>
      <c r="BB183" s="29">
        <f t="shared" ca="1" si="150"/>
        <v>0</v>
      </c>
      <c r="BC183" s="29">
        <f t="shared" ca="1" si="150"/>
        <v>0</v>
      </c>
      <c r="BD183" s="29">
        <f t="shared" ca="1" si="150"/>
        <v>0</v>
      </c>
      <c r="BE183" s="29">
        <f t="shared" ca="1" si="150"/>
        <v>0</v>
      </c>
      <c r="BF183" s="29">
        <f t="shared" ca="1" si="150"/>
        <v>0</v>
      </c>
      <c r="BG183" s="29">
        <f t="shared" ca="1" si="150"/>
        <v>0</v>
      </c>
      <c r="BH183" s="29">
        <f t="shared" ca="1" si="150"/>
        <v>0</v>
      </c>
      <c r="BI183" s="29">
        <f t="shared" ca="1" si="150"/>
        <v>0</v>
      </c>
      <c r="BJ183" s="29">
        <f t="shared" ca="1" si="150"/>
        <v>0</v>
      </c>
      <c r="BK183" s="29">
        <f t="shared" ca="1" si="150"/>
        <v>0</v>
      </c>
      <c r="BL183" s="29">
        <f t="shared" ca="1" si="150"/>
        <v>0</v>
      </c>
      <c r="BM183" s="29">
        <f t="shared" ca="1" si="150"/>
        <v>0</v>
      </c>
      <c r="BN183" s="29">
        <f t="shared" ca="1" si="150"/>
        <v>0</v>
      </c>
      <c r="BO183" s="29">
        <f t="shared" ca="1" si="150"/>
        <v>0</v>
      </c>
      <c r="BP183" s="29">
        <f t="shared" ca="1" si="150"/>
        <v>0</v>
      </c>
      <c r="BQ183" s="29">
        <f t="shared" ca="1" si="150"/>
        <v>0</v>
      </c>
      <c r="BR183" s="29">
        <f t="shared" ca="1" si="150"/>
        <v>0</v>
      </c>
      <c r="BS183" s="29">
        <f t="shared" ca="1" si="150"/>
        <v>0</v>
      </c>
      <c r="BT183" s="29">
        <f t="shared" ca="1" si="150"/>
        <v>0</v>
      </c>
      <c r="BU183" s="29">
        <f t="shared" ca="1" si="150"/>
        <v>0</v>
      </c>
      <c r="BV183" s="29">
        <f t="shared" ca="1" si="150"/>
        <v>0</v>
      </c>
      <c r="BW183" s="29">
        <f t="shared" ca="1" si="150"/>
        <v>0</v>
      </c>
      <c r="BX183" s="29">
        <f t="shared" ca="1" si="150"/>
        <v>0</v>
      </c>
      <c r="BY183" s="29">
        <f t="shared" ca="1" si="150"/>
        <v>0</v>
      </c>
      <c r="BZ183" s="29">
        <f t="shared" ca="1" si="150"/>
        <v>0</v>
      </c>
      <c r="CA183" s="29">
        <f t="shared" ca="1" si="150"/>
        <v>0</v>
      </c>
      <c r="CB183" s="29">
        <f t="shared" ca="1" si="150"/>
        <v>0</v>
      </c>
      <c r="CC183" s="29">
        <f t="shared" ca="1" si="150"/>
        <v>0</v>
      </c>
      <c r="CD183" s="29">
        <f t="shared" ca="1" si="150"/>
        <v>0</v>
      </c>
      <c r="CE183" s="29">
        <f t="shared" ca="1" si="150"/>
        <v>0</v>
      </c>
      <c r="CF183" s="29">
        <f t="shared" ca="1" si="150"/>
        <v>0</v>
      </c>
      <c r="CG183" s="29">
        <f t="shared" ca="1" si="150"/>
        <v>0</v>
      </c>
      <c r="CH183" s="29">
        <f t="shared" ca="1" si="150"/>
        <v>0</v>
      </c>
    </row>
    <row r="184" spans="1:86" ht="13">
      <c r="A184" s="13"/>
      <c r="B184" s="13" t="s">
        <v>298</v>
      </c>
      <c r="C184" s="13" t="s">
        <v>299</v>
      </c>
      <c r="D184" s="13" t="s">
        <v>247</v>
      </c>
      <c r="E184" s="52">
        <f t="shared" ca="1" si="59"/>
        <v>4.7145000000000001</v>
      </c>
      <c r="F184" s="48"/>
      <c r="G184" s="52">
        <f t="shared" ref="G184:CH184" ca="1" si="151">IFERROR((G81+G72)/G67,0)</f>
        <v>1</v>
      </c>
      <c r="H184" s="52">
        <f t="shared" ca="1" si="151"/>
        <v>1</v>
      </c>
      <c r="I184" s="52">
        <f t="shared" ca="1" si="151"/>
        <v>1</v>
      </c>
      <c r="J184" s="52">
        <f t="shared" ca="1" si="151"/>
        <v>1</v>
      </c>
      <c r="K184" s="52">
        <f t="shared" ca="1" si="151"/>
        <v>1</v>
      </c>
      <c r="L184" s="52">
        <f t="shared" ca="1" si="151"/>
        <v>1</v>
      </c>
      <c r="M184" s="52">
        <f t="shared" ca="1" si="151"/>
        <v>1</v>
      </c>
      <c r="N184" s="52">
        <f t="shared" ca="1" si="151"/>
        <v>1</v>
      </c>
      <c r="O184" s="52">
        <f t="shared" ca="1" si="151"/>
        <v>1.0206139186254943</v>
      </c>
      <c r="P184" s="52">
        <f t="shared" ca="1" si="151"/>
        <v>1.040858952709778</v>
      </c>
      <c r="Q184" s="52">
        <f t="shared" ca="1" si="151"/>
        <v>1.0608357071277266</v>
      </c>
      <c r="R184" s="52">
        <f t="shared" ca="1" si="151"/>
        <v>1.0806112517959239</v>
      </c>
      <c r="S184" s="52">
        <f t="shared" ca="1" si="151"/>
        <v>1.1246227826420152</v>
      </c>
      <c r="T184" s="52">
        <f t="shared" ca="1" si="151"/>
        <v>1.1638152095698655</v>
      </c>
      <c r="U184" s="52">
        <f t="shared" ca="1" si="151"/>
        <v>1.1993124769437937</v>
      </c>
      <c r="V184" s="52">
        <f t="shared" ca="1" si="151"/>
        <v>1.2319142289755671</v>
      </c>
      <c r="W184" s="52">
        <f t="shared" ca="1" si="151"/>
        <v>1.3841024612794739</v>
      </c>
      <c r="X184" s="52">
        <f t="shared" ca="1" si="151"/>
        <v>1.5307749970681295</v>
      </c>
      <c r="Y184" s="52">
        <f t="shared" ca="1" si="151"/>
        <v>1.6719318363415345</v>
      </c>
      <c r="Z184" s="52">
        <f t="shared" ca="1" si="151"/>
        <v>1.8075729790996888</v>
      </c>
      <c r="AA184" s="52">
        <f t="shared" ca="1" si="151"/>
        <v>1.929388945153961</v>
      </c>
      <c r="AB184" s="52">
        <f t="shared" ca="1" si="151"/>
        <v>2.0449134690719775</v>
      </c>
      <c r="AC184" s="52">
        <f t="shared" ca="1" si="151"/>
        <v>2.154146550853739</v>
      </c>
      <c r="AD184" s="52">
        <f t="shared" ca="1" si="151"/>
        <v>2.2570881904992448</v>
      </c>
      <c r="AE184" s="52">
        <f t="shared" ca="1" si="151"/>
        <v>2.4783464088399652</v>
      </c>
      <c r="AF184" s="52">
        <f t="shared" ca="1" si="151"/>
        <v>2.697106435981234</v>
      </c>
      <c r="AG184" s="52">
        <f t="shared" ca="1" si="151"/>
        <v>2.9133682719230518</v>
      </c>
      <c r="AH184" s="52">
        <f t="shared" ca="1" si="151"/>
        <v>3.1271319166654181</v>
      </c>
      <c r="AI184" s="52">
        <f t="shared" ca="1" si="151"/>
        <v>3.3374208913911882</v>
      </c>
      <c r="AJ184" s="52">
        <f t="shared" ca="1" si="151"/>
        <v>3.5465954373765958</v>
      </c>
      <c r="AK184" s="52">
        <f t="shared" ca="1" si="151"/>
        <v>3.754655554621642</v>
      </c>
      <c r="AL184" s="52">
        <f t="shared" ca="1" si="151"/>
        <v>3.9616012431263261</v>
      </c>
      <c r="AM184" s="52">
        <f t="shared" ca="1" si="151"/>
        <v>4.037838588553063</v>
      </c>
      <c r="AN184" s="52">
        <f t="shared" ca="1" si="151"/>
        <v>4.1137856341632082</v>
      </c>
      <c r="AO184" s="52">
        <f t="shared" ca="1" si="151"/>
        <v>4.1894423799567608</v>
      </c>
      <c r="AP184" s="52">
        <f t="shared" ca="1" si="151"/>
        <v>4.2648088259337209</v>
      </c>
      <c r="AQ184" s="52">
        <f t="shared" ca="1" si="151"/>
        <v>4.3558453654000067</v>
      </c>
      <c r="AR184" s="52">
        <f t="shared" ca="1" si="151"/>
        <v>4.446528706756105</v>
      </c>
      <c r="AS184" s="52">
        <f t="shared" ca="1" si="151"/>
        <v>4.5368588500020168</v>
      </c>
      <c r="AT184" s="52">
        <f t="shared" ca="1" si="151"/>
        <v>4.7145000000000001</v>
      </c>
      <c r="AU184" s="52">
        <f t="shared" ca="1" si="151"/>
        <v>4.7145000000000001</v>
      </c>
      <c r="AV184" s="52">
        <f t="shared" ca="1" si="151"/>
        <v>4.7145000000000001</v>
      </c>
      <c r="AW184" s="52">
        <f t="shared" ca="1" si="151"/>
        <v>4.7145000000000001</v>
      </c>
      <c r="AX184" s="52">
        <f t="shared" ca="1" si="151"/>
        <v>4.7145000000000001</v>
      </c>
      <c r="AY184" s="52">
        <f t="shared" ca="1" si="151"/>
        <v>4.7145000000000001</v>
      </c>
      <c r="AZ184" s="52">
        <f t="shared" ca="1" si="151"/>
        <v>4.7145000000000001</v>
      </c>
      <c r="BA184" s="52">
        <f t="shared" ca="1" si="151"/>
        <v>4.7145000000000001</v>
      </c>
      <c r="BB184" s="52">
        <f t="shared" ca="1" si="151"/>
        <v>4.7145000000000001</v>
      </c>
      <c r="BC184" s="52">
        <f t="shared" ca="1" si="151"/>
        <v>4.7145000000000001</v>
      </c>
      <c r="BD184" s="52">
        <f t="shared" ca="1" si="151"/>
        <v>4.7145000000000001</v>
      </c>
      <c r="BE184" s="52">
        <f t="shared" ca="1" si="151"/>
        <v>4.7145000000000001</v>
      </c>
      <c r="BF184" s="52">
        <f t="shared" ca="1" si="151"/>
        <v>4.7145000000000001</v>
      </c>
      <c r="BG184" s="52">
        <f t="shared" ca="1" si="151"/>
        <v>4.7145000000000001</v>
      </c>
      <c r="BH184" s="52">
        <f t="shared" ca="1" si="151"/>
        <v>4.7145000000000001</v>
      </c>
      <c r="BI184" s="52">
        <f t="shared" ca="1" si="151"/>
        <v>4.7145000000000001</v>
      </c>
      <c r="BJ184" s="52">
        <f t="shared" ca="1" si="151"/>
        <v>4.7145000000000001</v>
      </c>
      <c r="BK184" s="52">
        <f t="shared" ca="1" si="151"/>
        <v>4.7145000000000001</v>
      </c>
      <c r="BL184" s="52">
        <f t="shared" ca="1" si="151"/>
        <v>4.7145000000000001</v>
      </c>
      <c r="BM184" s="52">
        <f t="shared" ca="1" si="151"/>
        <v>4.7145000000000001</v>
      </c>
      <c r="BN184" s="52">
        <f t="shared" ca="1" si="151"/>
        <v>4.7145000000000001</v>
      </c>
      <c r="BO184" s="52">
        <f t="shared" ca="1" si="151"/>
        <v>4.7145000000000001</v>
      </c>
      <c r="BP184" s="52">
        <f t="shared" ca="1" si="151"/>
        <v>4.7145000000000001</v>
      </c>
      <c r="BQ184" s="52">
        <f t="shared" ca="1" si="151"/>
        <v>4.7145000000000001</v>
      </c>
      <c r="BR184" s="52">
        <f t="shared" ca="1" si="151"/>
        <v>4.7145000000000001</v>
      </c>
      <c r="BS184" s="52">
        <f t="shared" ca="1" si="151"/>
        <v>4.7145000000000001</v>
      </c>
      <c r="BT184" s="52">
        <f t="shared" ca="1" si="151"/>
        <v>4.7145000000000001</v>
      </c>
      <c r="BU184" s="52">
        <f t="shared" ca="1" si="151"/>
        <v>4.7145000000000001</v>
      </c>
      <c r="BV184" s="52">
        <f t="shared" ca="1" si="151"/>
        <v>4.7145000000000001</v>
      </c>
      <c r="BW184" s="52">
        <f t="shared" ca="1" si="151"/>
        <v>4.7145000000000001</v>
      </c>
      <c r="BX184" s="52">
        <f t="shared" ca="1" si="151"/>
        <v>4.7145000000000001</v>
      </c>
      <c r="BY184" s="52">
        <f t="shared" ca="1" si="151"/>
        <v>4.7145000000000001</v>
      </c>
      <c r="BZ184" s="52">
        <f t="shared" ca="1" si="151"/>
        <v>4.7145000000000001</v>
      </c>
      <c r="CA184" s="52">
        <f t="shared" ca="1" si="151"/>
        <v>4.7145000000000001</v>
      </c>
      <c r="CB184" s="52">
        <f t="shared" ca="1" si="151"/>
        <v>4.7145000000000001</v>
      </c>
      <c r="CC184" s="52">
        <f t="shared" ca="1" si="151"/>
        <v>4.7145000000000001</v>
      </c>
      <c r="CD184" s="52">
        <f t="shared" ca="1" si="151"/>
        <v>4.7145000000000001</v>
      </c>
      <c r="CE184" s="52">
        <f t="shared" ca="1" si="151"/>
        <v>4.7145000000000001</v>
      </c>
      <c r="CF184" s="52">
        <f t="shared" ca="1" si="151"/>
        <v>4.7145000000000001</v>
      </c>
      <c r="CG184" s="52">
        <f t="shared" ca="1" si="151"/>
        <v>4.7145000000000001</v>
      </c>
      <c r="CH184" s="52">
        <f t="shared" ca="1" si="151"/>
        <v>4.7145000000000001</v>
      </c>
    </row>
    <row r="185" spans="1:86" ht="13">
      <c r="A185" s="13"/>
      <c r="B185" s="13" t="s">
        <v>300</v>
      </c>
      <c r="C185" s="13" t="s">
        <v>301</v>
      </c>
      <c r="D185" s="13" t="s">
        <v>247</v>
      </c>
      <c r="E185" s="52">
        <f t="shared" ca="1" si="59"/>
        <v>3.2280724833333303</v>
      </c>
      <c r="F185" s="48"/>
      <c r="G185" s="52">
        <f ca="1">IFERROR((IFERROR((G81-(MAX(0,(F81+G51+G50+G72-G71-G60))*'Get Started  2'!$E14-G75)),0)+G76)/G60,0)</f>
        <v>0.83297273907399394</v>
      </c>
      <c r="H185" s="52">
        <f ca="1">IFERROR((IFERROR((H81-(MAX(0,(G81+H51+H50+H72-H71-H60))*'Get Started  2'!$E14-H75)),0)+H76)/H60,0)</f>
        <v>0.86284177498879422</v>
      </c>
      <c r="I185" s="52">
        <f ca="1">IFERROR((IFERROR((I81-(MAX(0,(H81+I51+I50+I72-I71-I60))*'Get Started  2'!$E14-I75)),0)+I76)/I60,0)</f>
        <v>0.87327990322092852</v>
      </c>
      <c r="J185" s="52">
        <f ca="1">IFERROR((IFERROR((J81-(MAX(0,(I81+J51+J50+J72-J71-J60))*'Get Started  2'!$E14-J75)),0)+J76)/J60,0)</f>
        <v>0.87859424920127793</v>
      </c>
      <c r="K185" s="52">
        <f ca="1">IFERROR((IFERROR((K81-(MAX(0,(J81+K51+K50+K72-K71-K60))*'Get Started  2'!$E14-K75)),0)+K76)/K60,0)</f>
        <v>0.88181401740723775</v>
      </c>
      <c r="L185" s="52">
        <f ca="1">IFERROR((IFERROR((L81-(MAX(0,(K81+L51+L50+L72-L71-L60))*'Get Started  2'!$E14-L75)),0)+L76)/L60,0)</f>
        <v>0.88397367212612887</v>
      </c>
      <c r="M185" s="52">
        <f ca="1">IFERROR((IFERROR((M81-(MAX(0,(L81+M51+M50+M72-M71-M60))*'Get Started  2'!$E14-M75)),0)+M76)/M60,0)</f>
        <v>0.88552277058552931</v>
      </c>
      <c r="N185" s="52">
        <f ca="1">IFERROR((IFERROR((N81-(MAX(0,(M81+N51+N50+N72-N71-N60))*'Get Started  2'!$E14-N75)),0)+N76)/N60,0)</f>
        <v>0.88668816213726398</v>
      </c>
      <c r="O185" s="52">
        <f ca="1">IFERROR((IFERROR((O81-(MAX(0,(N81+O51+O50+O72-O71-O60))*'Get Started  2'!$E14-O75)),0)+O76)/O60,0)</f>
        <v>0.9058935468101178</v>
      </c>
      <c r="P185" s="52">
        <f ca="1">IFERROR((IFERROR((P81-(MAX(0,(O81+P51+P50+P72-P71-P60))*'Get Started  2'!$E14-P75)),0)+P76)/P60,0)</f>
        <v>0.92462089707721395</v>
      </c>
      <c r="Q185" s="52">
        <f ca="1">IFERROR((IFERROR((Q81-(MAX(0,(P81+Q51+Q50+Q72-Q71-Q60))*'Get Started  2'!$E14-Q75)),0)+Q76)/Q60,0)</f>
        <v>0.94299971027369167</v>
      </c>
      <c r="R185" s="52">
        <f ca="1">IFERROR((IFERROR((R81-(MAX(0,(Q81+R51+R50+R72-R71-R60))*'Get Started  2'!$E14-R75)),0)+R76)/R60,0)</f>
        <v>0.96111658387824739</v>
      </c>
      <c r="S185" s="52">
        <f ca="1">IFERROR((IFERROR((S81-(MAX(0,(R81+S51+S50+S72-S71-S60))*'Get Started  2'!$E14-S75)),0)+S76)/S60,0)</f>
        <v>1.0020670119463793</v>
      </c>
      <c r="T185" s="52">
        <f ca="1">IFERROR((IFERROR((T81-(MAX(0,(S81+T51+T50+T72-T71-T60))*'Get Started  2'!$E14-T75)),0)+T76)/T60,0)</f>
        <v>1.0324362577848738</v>
      </c>
      <c r="U185" s="52">
        <f ca="1">IFERROR((IFERROR((U81-(MAX(0,(T81+U51+U50+U72-U71-U60))*'Get Started  2'!$E14-U75)),0)+U76)/U60,0)</f>
        <v>1.0605591366791787</v>
      </c>
      <c r="V185" s="52">
        <f ca="1">IFERROR((IFERROR((V81-(MAX(0,(U81+V51+V50+V72-V71-V60))*'Get Started  2'!$E14-V75)),0)+V76)/V60,0)</f>
        <v>1.0868548933623716</v>
      </c>
      <c r="W185" s="52">
        <f ca="1">IFERROR((IFERROR((W81-(MAX(0,(V81+W51+W50+W72-W71-W60))*'Get Started  2'!$E14-W75)),0)+W76)/W60,0)</f>
        <v>1.1946822997983038</v>
      </c>
      <c r="X185" s="52">
        <f ca="1">IFERROR((IFERROR((X81-(MAX(0,(W81+X51+X50+X72-X71-X60))*'Get Started  2'!$E14-X75)),0)+X76)/X60,0)</f>
        <v>1.2970281952679468</v>
      </c>
      <c r="Y185" s="52">
        <f ca="1">IFERROR((IFERROR((Y81-(MAX(0,(X81+Y51+Y50+Y72-Y71-Y60))*'Get Started  2'!$E14-Y75)),0)+Y76)/Y60,0)</f>
        <v>1.3939979994239684</v>
      </c>
      <c r="Z185" s="52">
        <f ca="1">IFERROR((IFERROR((Z81-(MAX(0,(Y81+Z51+Z50+Z72-Z71-Z60))*'Get Started  2'!$E14-Z75)),0)+Z76)/Z60,0)</f>
        <v>1.4856944459166117</v>
      </c>
      <c r="AA185" s="52">
        <f ca="1">IFERROR((IFERROR((AA81-(MAX(0,(Z81+AA51+AA50+AA72-AA71-AA60))*'Get Started  2'!$E14-AA75)),0)+AA76)/AA60,0)</f>
        <v>1.5661728576166212</v>
      </c>
      <c r="AB185" s="52">
        <f ca="1">IFERROR((IFERROR((AB81-(MAX(0,(AA81+AB51+AB50+AB72-AB71-AB60))*'Get Started  2'!$E14-AB75)),0)+AB76)/AB60,0)</f>
        <v>1.6410909232621322</v>
      </c>
      <c r="AC185" s="52">
        <f ca="1">IFERROR((IFERROR((AC81-(MAX(0,(AB81+AC51+AC50+AC72-AC71-AC60))*'Get Started  2'!$E14-AC75)),0)+AC76)/AC60,0)</f>
        <v>1.7105529051083828</v>
      </c>
      <c r="AD185" s="52">
        <f ca="1">IFERROR((IFERROR((AD81-(MAX(0,(AC81+AD51+AD50+AD72-AD71-AD60))*'Get Started  2'!$E14-AD75)),0)+AD76)/AD60,0)</f>
        <v>1.7746604749016339</v>
      </c>
      <c r="AE185" s="52">
        <f ca="1">IFERROR((IFERROR((AE81-(MAX(0,(AD81+AE51+AE50+AE72-AE71-AE60))*'Get Started  2'!$E14-AE75)),0)+AE76)/AE60,0)</f>
        <v>1.9219217478143078</v>
      </c>
      <c r="AF185" s="52">
        <f ca="1">IFERROR((IFERROR((AF81-(MAX(0,(AE81+AF51+AF50+AF72-AF71-AF60))*'Get Started  2'!$E14-AF75)),0)+AF76)/AF60,0)</f>
        <v>2.0656144525048106</v>
      </c>
      <c r="AG185" s="52">
        <f ca="1">IFERROR((IFERROR((AG81-(MAX(0,(AF81+AG51+AG50+AG72-AG71-AG60))*'Get Started  2'!$E14-AG75)),0)+AG76)/AG60,0)</f>
        <v>2.205803871182809</v>
      </c>
      <c r="AH185" s="52">
        <f ca="1">IFERROR((IFERROR((AH81-(MAX(0,(AG81+AH51+AH50+AH72-AH71-AH60))*'Get Started  2'!$E14-AH75)),0)+AH76)/AH60,0)</f>
        <v>2.3425537033740609</v>
      </c>
      <c r="AI185" s="52">
        <f ca="1">IFERROR((IFERROR((AI81-(MAX(0,(AH81+AI51+AI50+AI72-AI71-AI60))*'Get Started  2'!$E14-AI75)),0)+AI76)/AI60,0)</f>
        <v>2.4752500003622369</v>
      </c>
      <c r="AJ185" s="52">
        <f ca="1">IFERROR((IFERROR((AJ81-(MAX(0,(AI81+AJ51+AJ50+AJ72-AJ71-AJ60))*'Get Started  2'!$E14-AJ75)),0)+AJ76)/AJ60,0)</f>
        <v>2.6055900270458734</v>
      </c>
      <c r="AK185" s="52">
        <f ca="1">IFERROR((IFERROR((AK81-(MAX(0,(AJ81+AK51+AK50+AK72-AK71-AK60))*'Get Started  2'!$E14-AK75)),0)+AK76)/AK60,0)</f>
        <v>2.733615861896932</v>
      </c>
      <c r="AL185" s="52">
        <f ca="1">IFERROR((IFERROR((AL81-(MAX(0,(AK81+AL51+AL50+AL72-AL71-AL60))*'Get Started  2'!$E14-AL75)),0)+AL76)/AL60,0)</f>
        <v>2.8593685873950543</v>
      </c>
      <c r="AM185" s="52">
        <f ca="1">IFERROR((IFERROR((AM81-(MAX(0,(AL81+AM51+AM50+AM72-AM71-AM60))*'Get Started  2'!$E14-AM75)),0)+AM76)/AM60,0)</f>
        <v>2.8952690073612088</v>
      </c>
      <c r="AN185" s="52">
        <f ca="1">IFERROR((IFERROR((AN81-(MAX(0,(AM81+AN51+AN50+AN72-AN71-AN60))*'Get Started  2'!$E14-AN75)),0)+AN76)/AN60,0)</f>
        <v>2.9305543918549986</v>
      </c>
      <c r="AO185" s="52">
        <f ca="1">IFERROR((IFERROR((AO81-(MAX(0,(AN81+AO51+AO50+AO72-AO71-AO60))*'Get Started  2'!$E14-AO75)),0)+AO76)/AO60,0)</f>
        <v>2.9652354687912732</v>
      </c>
      <c r="AP185" s="52">
        <f ca="1">IFERROR((IFERROR((AP81-(MAX(0,(AO81+AP51+AP50+AP72-AP71-AP60))*'Get Started  2'!$E14-AP75)),0)+AP76)/AP60,0)</f>
        <v>2.9993227180279232</v>
      </c>
      <c r="AQ185" s="52">
        <f ca="1">IFERROR((IFERROR((AQ81-(MAX(0,(AP81+AQ51+AQ50+AQ72-AQ71-AQ60))*'Get Started  2'!$E14-AQ75)),0)+AQ76)/AQ60,0)</f>
        <v>3.0433692271792707</v>
      </c>
      <c r="AR185" s="52">
        <f ca="1">IFERROR((IFERROR((AR81-(MAX(0,(AQ81+AR51+AR50+AR72-AR71-AR60))*'Get Started  2'!$E14-AR75)),0)+AR76)/AR60,0)</f>
        <v>3.0866803457845524</v>
      </c>
      <c r="AS185" s="52">
        <f ca="1">IFERROR((IFERROR((AS81-(MAX(0,(AR81+AS51+AS50+AS72-AS71-AS60))*'Get Started  2'!$E14-AS75)),0)+AS76)/AS60,0)</f>
        <v>3.1292686095402096</v>
      </c>
      <c r="AT185" s="52">
        <f ca="1">IFERROR((IFERROR((AT81-(MAX(0,(AS81+AT51+AT50+AT72-AT71-AT60))*'Get Started  2'!$E14-AT75)),0)+AT76)/AT60,0)</f>
        <v>3.2280724833333303</v>
      </c>
      <c r="AU185" s="52">
        <f ca="1">IFERROR((IFERROR((AU81-(MAX(0,(AT81+AU51+AU50+AU72-AU71-AU60))*'Get Started  2'!$E14-AU75)),0)+AU76)/AU60,0)</f>
        <v>3.2280724833333303</v>
      </c>
      <c r="AV185" s="52">
        <f ca="1">IFERROR((IFERROR((AV81-(MAX(0,(AU81+AV51+AV50+AV72-AV71-AV60))*'Get Started  2'!$E14-AV75)),0)+AV76)/AV60,0)</f>
        <v>3.2280724833333303</v>
      </c>
      <c r="AW185" s="52">
        <f ca="1">IFERROR((IFERROR((AW81-(MAX(0,(AV81+AW51+AW50+AW72-AW71-AW60))*'Get Started  2'!$E14-AW75)),0)+AW76)/AW60,0)</f>
        <v>3.2280724833333303</v>
      </c>
      <c r="AX185" s="52">
        <f ca="1">IFERROR((IFERROR((AX81-(MAX(0,(AW81+AX51+AX50+AX72-AX71-AX60))*'Get Started  2'!$E14-AX75)),0)+AX76)/AX60,0)</f>
        <v>3.2280724833333303</v>
      </c>
      <c r="AY185" s="52">
        <f ca="1">IFERROR((IFERROR((AY81-(MAX(0,(AX81+AY51+AY50+AY72-AY71-AY60))*'Get Started  2'!$E14-AY75)),0)+AY76)/AY60,0)</f>
        <v>3.2280724833333303</v>
      </c>
      <c r="AZ185" s="52">
        <f ca="1">IFERROR((IFERROR((AZ81-(MAX(0,(AY81+AZ51+AZ50+AZ72-AZ71-AZ60))*'Get Started  2'!$E14-AZ75)),0)+AZ76)/AZ60,0)</f>
        <v>3.2280724833333303</v>
      </c>
      <c r="BA185" s="52">
        <f ca="1">IFERROR((IFERROR((BA81-(MAX(0,(AZ81+BA51+BA50+BA72-BA71-BA60))*'Get Started  2'!$E14-BA75)),0)+BA76)/BA60,0)</f>
        <v>3.2280724833333303</v>
      </c>
      <c r="BB185" s="52">
        <f ca="1">IFERROR((IFERROR((BB81-(MAX(0,(BA81+BB51+BB50+BB72-BB71-BB60))*'Get Started  2'!$E14-BB75)),0)+BB76)/BB60,0)</f>
        <v>3.2280724833333303</v>
      </c>
      <c r="BC185" s="52">
        <f ca="1">IFERROR((IFERROR((BC81-(MAX(0,(BB81+BC51+BC50+BC72-BC71-BC60))*'Get Started  2'!$E14-BC75)),0)+BC76)/BC60,0)</f>
        <v>3.2280724833333303</v>
      </c>
      <c r="BD185" s="52">
        <f ca="1">IFERROR((IFERROR((BD81-(MAX(0,(BC81+BD51+BD50+BD72-BD71-BD60))*'Get Started  2'!$E14-BD75)),0)+BD76)/BD60,0)</f>
        <v>3.2280724833333303</v>
      </c>
      <c r="BE185" s="52">
        <f ca="1">IFERROR((IFERROR((BE81-(MAX(0,(BD81+BE51+BE50+BE72-BE71-BE60))*'Get Started  2'!$E14-BE75)),0)+BE76)/BE60,0)</f>
        <v>3.2280724833333303</v>
      </c>
      <c r="BF185" s="52">
        <f ca="1">IFERROR((IFERROR((BF81-(MAX(0,(BE81+BF51+BF50+BF72-BF71-BF60))*'Get Started  2'!$E14-BF75)),0)+BF76)/BF60,0)</f>
        <v>3.2280724833333303</v>
      </c>
      <c r="BG185" s="52">
        <f ca="1">IFERROR((IFERROR((BG81-(MAX(0,(BF81+BG51+BG50+BG72-BG71-BG60))*'Get Started  2'!$E14-BG75)),0)+BG76)/BG60,0)</f>
        <v>3.2280724833333303</v>
      </c>
      <c r="BH185" s="52">
        <f ca="1">IFERROR((IFERROR((BH81-(MAX(0,(BG81+BH51+BH50+BH72-BH71-BH60))*'Get Started  2'!$E14-BH75)),0)+BH76)/BH60,0)</f>
        <v>3.2280724833333303</v>
      </c>
      <c r="BI185" s="52">
        <f ca="1">IFERROR((IFERROR((BI81-(MAX(0,(BH81+BI51+BI50+BI72-BI71-BI60))*'Get Started  2'!$E14-BI75)),0)+BI76)/BI60,0)</f>
        <v>3.2280724833333303</v>
      </c>
      <c r="BJ185" s="52">
        <f ca="1">IFERROR((IFERROR((BJ81-(MAX(0,(BI81+BJ51+BJ50+BJ72-BJ71-BJ60))*'Get Started  2'!$E14-BJ75)),0)+BJ76)/BJ60,0)</f>
        <v>3.2280724833333303</v>
      </c>
      <c r="BK185" s="52">
        <f ca="1">IFERROR((IFERROR((BK81-(MAX(0,(BJ81+BK51+BK50+BK72-BK71-BK60))*'Get Started  2'!$E14-BK75)),0)+BK76)/BK60,0)</f>
        <v>3.2280724833333303</v>
      </c>
      <c r="BL185" s="52">
        <f ca="1">IFERROR((IFERROR((BL81-(MAX(0,(BK81+BL51+BL50+BL72-BL71-BL60))*'Get Started  2'!$E14-BL75)),0)+BL76)/BL60,0)</f>
        <v>3.2280724833333303</v>
      </c>
      <c r="BM185" s="52">
        <f ca="1">IFERROR((IFERROR((BM81-(MAX(0,(BL81+BM51+BM50+BM72-BM71-BM60))*'Get Started  2'!$E14-BM75)),0)+BM76)/BM60,0)</f>
        <v>3.2280724833333303</v>
      </c>
      <c r="BN185" s="52">
        <f ca="1">IFERROR((IFERROR((BN81-(MAX(0,(BM81+BN51+BN50+BN72-BN71-BN60))*'Get Started  2'!$E14-BN75)),0)+BN76)/BN60,0)</f>
        <v>3.2280724833333303</v>
      </c>
      <c r="BO185" s="52">
        <f ca="1">IFERROR((IFERROR((BO81-(MAX(0,(BN81+BO51+BO50+BO72-BO71-BO60))*'Get Started  2'!$E14-BO75)),0)+BO76)/BO60,0)</f>
        <v>3.2280724833333303</v>
      </c>
      <c r="BP185" s="52">
        <f ca="1">IFERROR((IFERROR((BP81-(MAX(0,(BO81+BP51+BP50+BP72-BP71-BP60))*'Get Started  2'!$E14-BP75)),0)+BP76)/BP60,0)</f>
        <v>3.2280724833333303</v>
      </c>
      <c r="BQ185" s="52">
        <f ca="1">IFERROR((IFERROR((BQ81-(MAX(0,(BP81+BQ51+BQ50+BQ72-BQ71-BQ60))*'Get Started  2'!$E14-BQ75)),0)+BQ76)/BQ60,0)</f>
        <v>3.2280724833333303</v>
      </c>
      <c r="BR185" s="52">
        <f ca="1">IFERROR((IFERROR((BR81-(MAX(0,(BQ81+BR51+BR50+BR72-BR71-BR60))*'Get Started  2'!$E14-BR75)),0)+BR76)/BR60,0)</f>
        <v>3.2280724833333303</v>
      </c>
      <c r="BS185" s="52">
        <f ca="1">IFERROR((IFERROR((BS81-(MAX(0,(BR81+BS51+BS50+BS72-BS71-BS60))*'Get Started  2'!$E14-BS75)),0)+BS76)/BS60,0)</f>
        <v>3.2280724833333303</v>
      </c>
      <c r="BT185" s="52">
        <f ca="1">IFERROR((IFERROR((BT81-(MAX(0,(BS81+BT51+BT50+BT72-BT71-BT60))*'Get Started  2'!$E14-BT75)),0)+BT76)/BT60,0)</f>
        <v>3.2280724833333303</v>
      </c>
      <c r="BU185" s="52">
        <f ca="1">IFERROR((IFERROR((BU81-(MAX(0,(BT81+BU51+BU50+BU72-BU71-BU60))*'Get Started  2'!$E14-BU75)),0)+BU76)/BU60,0)</f>
        <v>3.2280724833333303</v>
      </c>
      <c r="BV185" s="52">
        <f ca="1">IFERROR((IFERROR((BV81-(MAX(0,(BU81+BV51+BV50+BV72-BV71-BV60))*'Get Started  2'!$E14-BV75)),0)+BV76)/BV60,0)</f>
        <v>3.2280724833333303</v>
      </c>
      <c r="BW185" s="52">
        <f ca="1">IFERROR((IFERROR((BW81-(MAX(0,(BV81+BW51+BW50+BW72-BW71-BW60))*'Get Started  2'!$E14-BW75)),0)+BW76)/BW60,0)</f>
        <v>3.2280724833333303</v>
      </c>
      <c r="BX185" s="52">
        <f ca="1">IFERROR((IFERROR((BX81-(MAX(0,(BW81+BX51+BX50+BX72-BX71-BX60))*'Get Started  2'!$E14-BX75)),0)+BX76)/BX60,0)</f>
        <v>3.2280724833333303</v>
      </c>
      <c r="BY185" s="52">
        <f ca="1">IFERROR((IFERROR((BY81-(MAX(0,(BX81+BY51+BY50+BY72-BY71-BY60))*'Get Started  2'!$E14-BY75)),0)+BY76)/BY60,0)</f>
        <v>3.2280724833333303</v>
      </c>
      <c r="BZ185" s="52">
        <f ca="1">IFERROR((IFERROR((BZ81-(MAX(0,(BY81+BZ51+BZ50+BZ72-BZ71-BZ60))*'Get Started  2'!$E14-BZ75)),0)+BZ76)/BZ60,0)</f>
        <v>3.2280724833333303</v>
      </c>
      <c r="CA185" s="52">
        <f ca="1">IFERROR((IFERROR((CA81-(MAX(0,(BZ81+CA51+CA50+CA72-CA71-CA60))*'Get Started  2'!$E14-CA75)),0)+CA76)/CA60,0)</f>
        <v>3.2280724833333303</v>
      </c>
      <c r="CB185" s="52">
        <f ca="1">IFERROR((IFERROR((CB81-(MAX(0,(CA81+CB51+CB50+CB72-CB71-CB60))*'Get Started  2'!$E14-CB75)),0)+CB76)/CB60,0)</f>
        <v>3.2280724833333303</v>
      </c>
      <c r="CC185" s="52">
        <f ca="1">IFERROR((IFERROR((CC81-(MAX(0,(CB81+CC51+CC50+CC72-CC71-CC60))*'Get Started  2'!$E14-CC75)),0)+CC76)/CC60,0)</f>
        <v>3.2280724833333303</v>
      </c>
      <c r="CD185" s="52">
        <f ca="1">IFERROR((IFERROR((CD81-(MAX(0,(CC81+CD51+CD50+CD72-CD71-CD60))*'Get Started  2'!$E14-CD75)),0)+CD76)/CD60,0)</f>
        <v>3.2280724833333303</v>
      </c>
      <c r="CE185" s="52">
        <f ca="1">IFERROR((IFERROR((CE81-(MAX(0,(CD81+CE51+CE50+CE72-CE71-CE60))*'Get Started  2'!$E14-CE75)),0)+CE76)/CE60,0)</f>
        <v>3.2280724833333303</v>
      </c>
      <c r="CF185" s="52">
        <f ca="1">IFERROR((IFERROR((CF81-(MAX(0,(CE81+CF51+CF50+CF72-CF71-CF60))*'Get Started  2'!$E14-CF75)),0)+CF76)/CF60,0)</f>
        <v>3.2280724833333303</v>
      </c>
      <c r="CG185" s="52">
        <f ca="1">IFERROR((IFERROR((CG81-(MAX(0,(CF81+CG51+CG50+CG72-CG71-CG60))*'Get Started  2'!$E14-CG75)),0)+CG76)/CG60,0)</f>
        <v>3.2280724833333303</v>
      </c>
      <c r="CH185" s="52">
        <f ca="1">IFERROR((IFERROR((CH81-(MAX(0,(CG81+CH51+CH50+CH72-CH71-CH60))*'Get Started  2'!$E14-CH75)),0)+CH76)/CH60,0)</f>
        <v>3.2280724833333303</v>
      </c>
    </row>
    <row r="186" spans="1:86" ht="13">
      <c r="C186" s="15"/>
      <c r="D186" s="15"/>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29"/>
      <c r="CG186" s="29"/>
      <c r="CH186" s="29"/>
    </row>
    <row r="187" spans="1:86" ht="13">
      <c r="B187" s="85" t="str">
        <f>"Waterfall, "&amp;C187&amp;""</f>
        <v>Waterfall, Deal-by-deal with clawback (American)</v>
      </c>
      <c r="C187" s="36" t="str">
        <f>Forecast!C187</f>
        <v>Deal-by-deal with clawback (American)</v>
      </c>
      <c r="D187" s="15"/>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29"/>
      <c r="CG187" s="29"/>
      <c r="CH187" s="29"/>
    </row>
    <row r="188" spans="1:86" ht="13">
      <c r="B188" s="15" t="s">
        <v>302</v>
      </c>
      <c r="C188" s="15" t="s">
        <v>303</v>
      </c>
      <c r="D188" s="15" t="s">
        <v>238</v>
      </c>
      <c r="E188" s="29">
        <f t="shared" ref="E188:E194" ca="1" si="152">IF(D188="sum",SUM(G188:CH188),IF(D188="final",CH188,IF(D188="initial",G188,IF(D188="average",AVERAGE(G188:CH188),0))))</f>
        <v>94627265.104166672</v>
      </c>
      <c r="F188" s="77"/>
      <c r="G188" s="37">
        <f t="shared" ref="G188:CH188" ca="1" si="153">IF($E20&gt;0,  MAX(0, MIN(G24, SUM(G22,G24,G26,G27) )), MAX(0,SUM(G22,G23,G24,G26,G27)) )</f>
        <v>0</v>
      </c>
      <c r="H188" s="37">
        <f t="shared" ca="1" si="153"/>
        <v>0</v>
      </c>
      <c r="I188" s="37">
        <f t="shared" ca="1" si="153"/>
        <v>0</v>
      </c>
      <c r="J188" s="37">
        <f t="shared" ca="1" si="153"/>
        <v>0</v>
      </c>
      <c r="K188" s="37">
        <f t="shared" ca="1" si="153"/>
        <v>0</v>
      </c>
      <c r="L188" s="37">
        <f t="shared" ca="1" si="153"/>
        <v>0</v>
      </c>
      <c r="M188" s="37">
        <f t="shared" ca="1" si="153"/>
        <v>0</v>
      </c>
      <c r="N188" s="37">
        <f t="shared" ca="1" si="153"/>
        <v>0</v>
      </c>
      <c r="O188" s="37">
        <f t="shared" ca="1" si="153"/>
        <v>0</v>
      </c>
      <c r="P188" s="37">
        <f t="shared" ca="1" si="153"/>
        <v>0</v>
      </c>
      <c r="Q188" s="37">
        <f t="shared" ca="1" si="153"/>
        <v>0</v>
      </c>
      <c r="R188" s="37">
        <f t="shared" ca="1" si="153"/>
        <v>0</v>
      </c>
      <c r="S188" s="37">
        <f t="shared" ca="1" si="153"/>
        <v>1053135.4166666672</v>
      </c>
      <c r="T188" s="37">
        <f t="shared" ca="1" si="153"/>
        <v>1053135.4166666672</v>
      </c>
      <c r="U188" s="37">
        <f t="shared" ca="1" si="153"/>
        <v>1053135.4166666672</v>
      </c>
      <c r="V188" s="37">
        <f t="shared" ca="1" si="153"/>
        <v>1053135.4166666672</v>
      </c>
      <c r="W188" s="37">
        <f t="shared" ca="1" si="153"/>
        <v>3966703.1250000005</v>
      </c>
      <c r="X188" s="37">
        <f t="shared" ca="1" si="153"/>
        <v>3966703.1250000005</v>
      </c>
      <c r="Y188" s="37">
        <f t="shared" ca="1" si="153"/>
        <v>3966703.1250000005</v>
      </c>
      <c r="Z188" s="37">
        <f t="shared" ca="1" si="153"/>
        <v>3966703.125</v>
      </c>
      <c r="AA188" s="37">
        <f t="shared" ca="1" si="153"/>
        <v>3966703.1250000005</v>
      </c>
      <c r="AB188" s="37">
        <f t="shared" ca="1" si="153"/>
        <v>3966703.1250000005</v>
      </c>
      <c r="AC188" s="37">
        <f t="shared" ca="1" si="153"/>
        <v>3966703.1250000005</v>
      </c>
      <c r="AD188" s="37">
        <f t="shared" ca="1" si="153"/>
        <v>3966703.1250000005</v>
      </c>
      <c r="AE188" s="37">
        <f t="shared" ca="1" si="153"/>
        <v>5956792.1875</v>
      </c>
      <c r="AF188" s="37">
        <f t="shared" ca="1" si="153"/>
        <v>5956792.1875</v>
      </c>
      <c r="AG188" s="37">
        <f t="shared" ca="1" si="153"/>
        <v>5956792.1875</v>
      </c>
      <c r="AH188" s="37">
        <f t="shared" ca="1" si="153"/>
        <v>5956792.1875</v>
      </c>
      <c r="AI188" s="37">
        <f t="shared" ca="1" si="153"/>
        <v>4933113.2812499991</v>
      </c>
      <c r="AJ188" s="37">
        <f t="shared" ca="1" si="153"/>
        <v>4933113.2812499991</v>
      </c>
      <c r="AK188" s="37">
        <f t="shared" ca="1" si="153"/>
        <v>4933113.2812499991</v>
      </c>
      <c r="AL188" s="37">
        <f t="shared" ca="1" si="153"/>
        <v>4933113.2812499991</v>
      </c>
      <c r="AM188" s="37">
        <f t="shared" ca="1" si="153"/>
        <v>1705429.6874999995</v>
      </c>
      <c r="AN188" s="37">
        <f t="shared" ca="1" si="153"/>
        <v>1705429.6874999995</v>
      </c>
      <c r="AO188" s="37">
        <f t="shared" ca="1" si="153"/>
        <v>1705429.6874999995</v>
      </c>
      <c r="AP188" s="37">
        <f t="shared" ca="1" si="153"/>
        <v>1705429.6874999995</v>
      </c>
      <c r="AQ188" s="37">
        <f t="shared" ca="1" si="153"/>
        <v>2074939.4531249991</v>
      </c>
      <c r="AR188" s="37">
        <f t="shared" ca="1" si="153"/>
        <v>2074939.4531249991</v>
      </c>
      <c r="AS188" s="37">
        <f t="shared" ca="1" si="153"/>
        <v>2074939.4531249991</v>
      </c>
      <c r="AT188" s="37">
        <f t="shared" ca="1" si="153"/>
        <v>2074939.4531249991</v>
      </c>
      <c r="AU188" s="37">
        <f t="shared" ca="1" si="153"/>
        <v>0</v>
      </c>
      <c r="AV188" s="37">
        <f t="shared" ca="1" si="153"/>
        <v>0</v>
      </c>
      <c r="AW188" s="37">
        <f t="shared" ca="1" si="153"/>
        <v>0</v>
      </c>
      <c r="AX188" s="37">
        <f t="shared" ca="1" si="153"/>
        <v>0</v>
      </c>
      <c r="AY188" s="37">
        <f t="shared" ca="1" si="153"/>
        <v>0</v>
      </c>
      <c r="AZ188" s="37">
        <f t="shared" ca="1" si="153"/>
        <v>0</v>
      </c>
      <c r="BA188" s="37">
        <f t="shared" ca="1" si="153"/>
        <v>0</v>
      </c>
      <c r="BB188" s="37">
        <f t="shared" ca="1" si="153"/>
        <v>0</v>
      </c>
      <c r="BC188" s="37">
        <f t="shared" ca="1" si="153"/>
        <v>0</v>
      </c>
      <c r="BD188" s="37">
        <f t="shared" ca="1" si="153"/>
        <v>0</v>
      </c>
      <c r="BE188" s="37">
        <f t="shared" ca="1" si="153"/>
        <v>0</v>
      </c>
      <c r="BF188" s="37">
        <f t="shared" ca="1" si="153"/>
        <v>0</v>
      </c>
      <c r="BG188" s="37">
        <f t="shared" ca="1" si="153"/>
        <v>0</v>
      </c>
      <c r="BH188" s="37">
        <f t="shared" ca="1" si="153"/>
        <v>0</v>
      </c>
      <c r="BI188" s="37">
        <f t="shared" ca="1" si="153"/>
        <v>0</v>
      </c>
      <c r="BJ188" s="37">
        <f t="shared" ca="1" si="153"/>
        <v>0</v>
      </c>
      <c r="BK188" s="37">
        <f t="shared" ca="1" si="153"/>
        <v>0</v>
      </c>
      <c r="BL188" s="37">
        <f t="shared" ca="1" si="153"/>
        <v>0</v>
      </c>
      <c r="BM188" s="37">
        <f t="shared" ca="1" si="153"/>
        <v>0</v>
      </c>
      <c r="BN188" s="37">
        <f t="shared" ca="1" si="153"/>
        <v>0</v>
      </c>
      <c r="BO188" s="37">
        <f t="shared" ca="1" si="153"/>
        <v>0</v>
      </c>
      <c r="BP188" s="37">
        <f t="shared" ca="1" si="153"/>
        <v>0</v>
      </c>
      <c r="BQ188" s="37">
        <f t="shared" ca="1" si="153"/>
        <v>0</v>
      </c>
      <c r="BR188" s="37">
        <f t="shared" ca="1" si="153"/>
        <v>0</v>
      </c>
      <c r="BS188" s="37">
        <f t="shared" ca="1" si="153"/>
        <v>0</v>
      </c>
      <c r="BT188" s="37">
        <f t="shared" ca="1" si="153"/>
        <v>0</v>
      </c>
      <c r="BU188" s="37">
        <f t="shared" ca="1" si="153"/>
        <v>0</v>
      </c>
      <c r="BV188" s="37">
        <f t="shared" ca="1" si="153"/>
        <v>0</v>
      </c>
      <c r="BW188" s="37">
        <f t="shared" ca="1" si="153"/>
        <v>0</v>
      </c>
      <c r="BX188" s="37">
        <f t="shared" ca="1" si="153"/>
        <v>0</v>
      </c>
      <c r="BY188" s="37">
        <f t="shared" ca="1" si="153"/>
        <v>0</v>
      </c>
      <c r="BZ188" s="37">
        <f t="shared" ca="1" si="153"/>
        <v>0</v>
      </c>
      <c r="CA188" s="37">
        <f t="shared" ca="1" si="153"/>
        <v>0</v>
      </c>
      <c r="CB188" s="37">
        <f t="shared" ca="1" si="153"/>
        <v>0</v>
      </c>
      <c r="CC188" s="37">
        <f t="shared" ca="1" si="153"/>
        <v>0</v>
      </c>
      <c r="CD188" s="37">
        <f t="shared" ca="1" si="153"/>
        <v>0</v>
      </c>
      <c r="CE188" s="37">
        <f t="shared" ca="1" si="153"/>
        <v>0</v>
      </c>
      <c r="CF188" s="37">
        <f t="shared" ca="1" si="153"/>
        <v>0</v>
      </c>
      <c r="CG188" s="37">
        <f t="shared" ca="1" si="153"/>
        <v>0</v>
      </c>
      <c r="CH188" s="37">
        <f t="shared" ca="1" si="153"/>
        <v>0</v>
      </c>
    </row>
    <row r="189" spans="1:86" ht="13">
      <c r="A189" s="13"/>
      <c r="B189" s="13" t="s">
        <v>304</v>
      </c>
      <c r="C189" s="13" t="s">
        <v>305</v>
      </c>
      <c r="D189" s="15" t="s">
        <v>238</v>
      </c>
      <c r="E189" s="29">
        <f t="shared" ca="1" si="152"/>
        <v>25000000.000000007</v>
      </c>
      <c r="F189" s="48"/>
      <c r="G189" s="37">
        <f t="shared" ref="G189:CH189" ca="1" si="154">IF(OR($C187="total fund (european)",$C187="Deal-by-deal with clawback (American)"),G48/($E38/$E31)+G49/($E38/$E31),G49/($E38/$E31))</f>
        <v>0</v>
      </c>
      <c r="H189" s="37">
        <f t="shared" ca="1" si="154"/>
        <v>0</v>
      </c>
      <c r="I189" s="37">
        <f t="shared" ca="1" si="154"/>
        <v>0</v>
      </c>
      <c r="J189" s="37">
        <f t="shared" ca="1" si="154"/>
        <v>0</v>
      </c>
      <c r="K189" s="37">
        <f t="shared" ca="1" si="154"/>
        <v>0</v>
      </c>
      <c r="L189" s="37">
        <f t="shared" ca="1" si="154"/>
        <v>0</v>
      </c>
      <c r="M189" s="37">
        <f t="shared" ca="1" si="154"/>
        <v>0</v>
      </c>
      <c r="N189" s="37">
        <f t="shared" ca="1" si="154"/>
        <v>0</v>
      </c>
      <c r="O189" s="37">
        <f t="shared" ca="1" si="154"/>
        <v>914031.62055335985</v>
      </c>
      <c r="P189" s="37">
        <f t="shared" ca="1" si="154"/>
        <v>914031.62055335985</v>
      </c>
      <c r="Q189" s="37">
        <f t="shared" ca="1" si="154"/>
        <v>914031.62055335985</v>
      </c>
      <c r="R189" s="37">
        <f t="shared" ca="1" si="154"/>
        <v>914031.62055335985</v>
      </c>
      <c r="S189" s="37">
        <f t="shared" ca="1" si="154"/>
        <v>1235177.8656126484</v>
      </c>
      <c r="T189" s="37">
        <f t="shared" ca="1" si="154"/>
        <v>1235177.8656126484</v>
      </c>
      <c r="U189" s="37">
        <f t="shared" ca="1" si="154"/>
        <v>1235177.8656126484</v>
      </c>
      <c r="V189" s="37">
        <f t="shared" ca="1" si="154"/>
        <v>1235177.8656126484</v>
      </c>
      <c r="W189" s="37">
        <f t="shared" ca="1" si="154"/>
        <v>1408102.7667984192</v>
      </c>
      <c r="X189" s="37">
        <f t="shared" ca="1" si="154"/>
        <v>1408102.7667984192</v>
      </c>
      <c r="Y189" s="37">
        <f t="shared" ca="1" si="154"/>
        <v>1408102.7667984192</v>
      </c>
      <c r="Z189" s="37">
        <f t="shared" ca="1" si="154"/>
        <v>1408102.7667984192</v>
      </c>
      <c r="AA189" s="37">
        <f t="shared" ca="1" si="154"/>
        <v>1606142.951251647</v>
      </c>
      <c r="AB189" s="37">
        <f t="shared" ca="1" si="154"/>
        <v>1606142.951251647</v>
      </c>
      <c r="AC189" s="37">
        <f t="shared" ca="1" si="154"/>
        <v>1606142.951251647</v>
      </c>
      <c r="AD189" s="37">
        <f t="shared" ca="1" si="154"/>
        <v>1606142.951251647</v>
      </c>
      <c r="AE189" s="37">
        <f t="shared" ca="1" si="154"/>
        <v>637763.50461133057</v>
      </c>
      <c r="AF189" s="37">
        <f t="shared" ca="1" si="154"/>
        <v>637763.50461133057</v>
      </c>
      <c r="AG189" s="37">
        <f t="shared" ca="1" si="154"/>
        <v>637763.50461133057</v>
      </c>
      <c r="AH189" s="37">
        <f t="shared" ca="1" si="154"/>
        <v>637763.50461133057</v>
      </c>
      <c r="AI189" s="37">
        <f t="shared" ca="1" si="154"/>
        <v>284502.63504611328</v>
      </c>
      <c r="AJ189" s="37">
        <f t="shared" ca="1" si="154"/>
        <v>284502.63504611328</v>
      </c>
      <c r="AK189" s="37">
        <f t="shared" ca="1" si="154"/>
        <v>284502.63504611328</v>
      </c>
      <c r="AL189" s="37">
        <f t="shared" ca="1" si="154"/>
        <v>284502.63504611328</v>
      </c>
      <c r="AM189" s="37">
        <f t="shared" ca="1" si="154"/>
        <v>74110.671936758867</v>
      </c>
      <c r="AN189" s="37">
        <f t="shared" ca="1" si="154"/>
        <v>74110.671936758867</v>
      </c>
      <c r="AO189" s="37">
        <f t="shared" ca="1" si="154"/>
        <v>74110.671936758867</v>
      </c>
      <c r="AP189" s="37">
        <f t="shared" ca="1" si="154"/>
        <v>74110.671936758867</v>
      </c>
      <c r="AQ189" s="37">
        <f t="shared" ca="1" si="154"/>
        <v>90167.984189723298</v>
      </c>
      <c r="AR189" s="37">
        <f t="shared" ca="1" si="154"/>
        <v>90167.984189723298</v>
      </c>
      <c r="AS189" s="37">
        <f t="shared" ca="1" si="154"/>
        <v>90167.984189723298</v>
      </c>
      <c r="AT189" s="37">
        <f t="shared" ca="1" si="154"/>
        <v>90167.984189723298</v>
      </c>
      <c r="AU189" s="37">
        <f t="shared" ca="1" si="154"/>
        <v>0</v>
      </c>
      <c r="AV189" s="37">
        <f t="shared" ca="1" si="154"/>
        <v>0</v>
      </c>
      <c r="AW189" s="37">
        <f t="shared" ca="1" si="154"/>
        <v>0</v>
      </c>
      <c r="AX189" s="37">
        <f t="shared" ca="1" si="154"/>
        <v>0</v>
      </c>
      <c r="AY189" s="37">
        <f t="shared" ca="1" si="154"/>
        <v>0</v>
      </c>
      <c r="AZ189" s="37">
        <f t="shared" ca="1" si="154"/>
        <v>0</v>
      </c>
      <c r="BA189" s="37">
        <f t="shared" ca="1" si="154"/>
        <v>0</v>
      </c>
      <c r="BB189" s="37">
        <f t="shared" ca="1" si="154"/>
        <v>0</v>
      </c>
      <c r="BC189" s="37">
        <f t="shared" ca="1" si="154"/>
        <v>0</v>
      </c>
      <c r="BD189" s="37">
        <f t="shared" ca="1" si="154"/>
        <v>0</v>
      </c>
      <c r="BE189" s="37">
        <f t="shared" ca="1" si="154"/>
        <v>0</v>
      </c>
      <c r="BF189" s="37">
        <f t="shared" ca="1" si="154"/>
        <v>0</v>
      </c>
      <c r="BG189" s="37">
        <f t="shared" ca="1" si="154"/>
        <v>0</v>
      </c>
      <c r="BH189" s="37">
        <f t="shared" ca="1" si="154"/>
        <v>0</v>
      </c>
      <c r="BI189" s="37">
        <f t="shared" ca="1" si="154"/>
        <v>0</v>
      </c>
      <c r="BJ189" s="37">
        <f t="shared" ca="1" si="154"/>
        <v>0</v>
      </c>
      <c r="BK189" s="37">
        <f t="shared" ca="1" si="154"/>
        <v>0</v>
      </c>
      <c r="BL189" s="37">
        <f t="shared" ca="1" si="154"/>
        <v>0</v>
      </c>
      <c r="BM189" s="37">
        <f t="shared" ca="1" si="154"/>
        <v>0</v>
      </c>
      <c r="BN189" s="37">
        <f t="shared" ca="1" si="154"/>
        <v>0</v>
      </c>
      <c r="BO189" s="37">
        <f t="shared" ca="1" si="154"/>
        <v>0</v>
      </c>
      <c r="BP189" s="37">
        <f t="shared" ca="1" si="154"/>
        <v>0</v>
      </c>
      <c r="BQ189" s="37">
        <f t="shared" ca="1" si="154"/>
        <v>0</v>
      </c>
      <c r="BR189" s="37">
        <f t="shared" ca="1" si="154"/>
        <v>0</v>
      </c>
      <c r="BS189" s="37">
        <f t="shared" ca="1" si="154"/>
        <v>0</v>
      </c>
      <c r="BT189" s="37">
        <f t="shared" ca="1" si="154"/>
        <v>0</v>
      </c>
      <c r="BU189" s="37">
        <f t="shared" ca="1" si="154"/>
        <v>0</v>
      </c>
      <c r="BV189" s="37">
        <f t="shared" ca="1" si="154"/>
        <v>0</v>
      </c>
      <c r="BW189" s="37">
        <f t="shared" ca="1" si="154"/>
        <v>0</v>
      </c>
      <c r="BX189" s="37">
        <f t="shared" ca="1" si="154"/>
        <v>0</v>
      </c>
      <c r="BY189" s="37">
        <f t="shared" ca="1" si="154"/>
        <v>0</v>
      </c>
      <c r="BZ189" s="37">
        <f t="shared" ca="1" si="154"/>
        <v>0</v>
      </c>
      <c r="CA189" s="37">
        <f t="shared" ca="1" si="154"/>
        <v>0</v>
      </c>
      <c r="CB189" s="37">
        <f t="shared" ca="1" si="154"/>
        <v>0</v>
      </c>
      <c r="CC189" s="37">
        <f t="shared" ca="1" si="154"/>
        <v>0</v>
      </c>
      <c r="CD189" s="37">
        <f t="shared" ca="1" si="154"/>
        <v>0</v>
      </c>
      <c r="CE189" s="37">
        <f t="shared" ca="1" si="154"/>
        <v>0</v>
      </c>
      <c r="CF189" s="37">
        <f t="shared" ca="1" si="154"/>
        <v>0</v>
      </c>
      <c r="CG189" s="37">
        <f t="shared" ca="1" si="154"/>
        <v>0</v>
      </c>
      <c r="CH189" s="37">
        <f t="shared" ca="1" si="154"/>
        <v>0</v>
      </c>
    </row>
    <row r="190" spans="1:86" ht="13">
      <c r="A190" s="13"/>
      <c r="B190" s="13" t="s">
        <v>306</v>
      </c>
      <c r="C190" s="13" t="s">
        <v>307</v>
      </c>
      <c r="D190" s="13" t="s">
        <v>238</v>
      </c>
      <c r="E190" s="37">
        <f t="shared" ca="1" si="152"/>
        <v>25000000.000000007</v>
      </c>
      <c r="F190" s="48"/>
      <c r="G190" s="37">
        <f t="shared" ref="G190:CH190" ca="1" si="155">IF($C187="total fund (european)",MIN(G84-F191,G188),IF($C187="Deal-by-deal with clawback (American)",MIN(SUM($G189:G189)-F191,G188),G189))</f>
        <v>0</v>
      </c>
      <c r="H190" s="37">
        <f t="shared" ca="1" si="155"/>
        <v>0</v>
      </c>
      <c r="I190" s="37">
        <f t="shared" ca="1" si="155"/>
        <v>0</v>
      </c>
      <c r="J190" s="37">
        <f t="shared" ca="1" si="155"/>
        <v>0</v>
      </c>
      <c r="K190" s="37">
        <f t="shared" ca="1" si="155"/>
        <v>0</v>
      </c>
      <c r="L190" s="37">
        <f t="shared" ca="1" si="155"/>
        <v>0</v>
      </c>
      <c r="M190" s="37">
        <f t="shared" ca="1" si="155"/>
        <v>0</v>
      </c>
      <c r="N190" s="37">
        <f t="shared" ca="1" si="155"/>
        <v>0</v>
      </c>
      <c r="O190" s="37">
        <f t="shared" ca="1" si="155"/>
        <v>0</v>
      </c>
      <c r="P190" s="37">
        <f t="shared" ca="1" si="155"/>
        <v>0</v>
      </c>
      <c r="Q190" s="37">
        <f t="shared" ca="1" si="155"/>
        <v>0</v>
      </c>
      <c r="R190" s="37">
        <f t="shared" ca="1" si="155"/>
        <v>0</v>
      </c>
      <c r="S190" s="37">
        <f t="shared" ca="1" si="155"/>
        <v>1053135.4166666672</v>
      </c>
      <c r="T190" s="37">
        <f t="shared" ca="1" si="155"/>
        <v>1053135.4166666672</v>
      </c>
      <c r="U190" s="37">
        <f t="shared" ca="1" si="155"/>
        <v>1053135.4166666672</v>
      </c>
      <c r="V190" s="37">
        <f t="shared" ca="1" si="155"/>
        <v>1053135.4166666672</v>
      </c>
      <c r="W190" s="37">
        <f t="shared" ca="1" si="155"/>
        <v>3966703.1250000005</v>
      </c>
      <c r="X190" s="37">
        <f t="shared" ca="1" si="155"/>
        <v>3233798.6865942031</v>
      </c>
      <c r="Y190" s="37">
        <f t="shared" ca="1" si="155"/>
        <v>1408102.7667984199</v>
      </c>
      <c r="Z190" s="37">
        <f t="shared" ca="1" si="155"/>
        <v>1408102.7667984199</v>
      </c>
      <c r="AA190" s="37">
        <f t="shared" ca="1" si="155"/>
        <v>1606142.9512516465</v>
      </c>
      <c r="AB190" s="37">
        <f t="shared" ca="1" si="155"/>
        <v>1606142.9512516484</v>
      </c>
      <c r="AC190" s="37">
        <f t="shared" ca="1" si="155"/>
        <v>1606142.9512516484</v>
      </c>
      <c r="AD190" s="37">
        <f t="shared" ca="1" si="155"/>
        <v>1606142.9512516484</v>
      </c>
      <c r="AE190" s="37">
        <f t="shared" ca="1" si="155"/>
        <v>637763.50461133197</v>
      </c>
      <c r="AF190" s="37">
        <f t="shared" ca="1" si="155"/>
        <v>637763.50461133197</v>
      </c>
      <c r="AG190" s="37">
        <f t="shared" ca="1" si="155"/>
        <v>637763.50461133197</v>
      </c>
      <c r="AH190" s="37">
        <f t="shared" ca="1" si="155"/>
        <v>637763.50461133197</v>
      </c>
      <c r="AI190" s="37">
        <f t="shared" ca="1" si="155"/>
        <v>284502.63504611328</v>
      </c>
      <c r="AJ190" s="37">
        <f t="shared" ca="1" si="155"/>
        <v>284502.63504611328</v>
      </c>
      <c r="AK190" s="37">
        <f t="shared" ca="1" si="155"/>
        <v>284502.63504611328</v>
      </c>
      <c r="AL190" s="37">
        <f t="shared" ca="1" si="155"/>
        <v>284502.63504611328</v>
      </c>
      <c r="AM190" s="37">
        <f t="shared" ca="1" si="155"/>
        <v>74110.671936757863</v>
      </c>
      <c r="AN190" s="37">
        <f t="shared" ca="1" si="155"/>
        <v>74110.671936757863</v>
      </c>
      <c r="AO190" s="37">
        <f t="shared" ca="1" si="155"/>
        <v>74110.671936757863</v>
      </c>
      <c r="AP190" s="37">
        <f t="shared" ca="1" si="155"/>
        <v>74110.671936757863</v>
      </c>
      <c r="AQ190" s="37">
        <f t="shared" ca="1" si="155"/>
        <v>90167.984189722687</v>
      </c>
      <c r="AR190" s="37">
        <f t="shared" ca="1" si="155"/>
        <v>90167.984189722687</v>
      </c>
      <c r="AS190" s="37">
        <f t="shared" ca="1" si="155"/>
        <v>90167.984189722687</v>
      </c>
      <c r="AT190" s="37">
        <f t="shared" ca="1" si="155"/>
        <v>90167.984189722687</v>
      </c>
      <c r="AU190" s="37">
        <f t="shared" ca="1" si="155"/>
        <v>0</v>
      </c>
      <c r="AV190" s="37">
        <f t="shared" ca="1" si="155"/>
        <v>0</v>
      </c>
      <c r="AW190" s="37">
        <f t="shared" ca="1" si="155"/>
        <v>0</v>
      </c>
      <c r="AX190" s="37">
        <f t="shared" ca="1" si="155"/>
        <v>0</v>
      </c>
      <c r="AY190" s="37">
        <f t="shared" ca="1" si="155"/>
        <v>0</v>
      </c>
      <c r="AZ190" s="37">
        <f t="shared" ca="1" si="155"/>
        <v>0</v>
      </c>
      <c r="BA190" s="37">
        <f t="shared" ca="1" si="155"/>
        <v>0</v>
      </c>
      <c r="BB190" s="37">
        <f t="shared" ca="1" si="155"/>
        <v>0</v>
      </c>
      <c r="BC190" s="37">
        <f t="shared" ca="1" si="155"/>
        <v>0</v>
      </c>
      <c r="BD190" s="37">
        <f t="shared" ca="1" si="155"/>
        <v>0</v>
      </c>
      <c r="BE190" s="37">
        <f t="shared" ca="1" si="155"/>
        <v>0</v>
      </c>
      <c r="BF190" s="37">
        <f t="shared" ca="1" si="155"/>
        <v>0</v>
      </c>
      <c r="BG190" s="37">
        <f t="shared" ca="1" si="155"/>
        <v>0</v>
      </c>
      <c r="BH190" s="37">
        <f t="shared" ca="1" si="155"/>
        <v>0</v>
      </c>
      <c r="BI190" s="37">
        <f t="shared" ca="1" si="155"/>
        <v>0</v>
      </c>
      <c r="BJ190" s="37">
        <f t="shared" ca="1" si="155"/>
        <v>0</v>
      </c>
      <c r="BK190" s="37">
        <f t="shared" ca="1" si="155"/>
        <v>0</v>
      </c>
      <c r="BL190" s="37">
        <f t="shared" ca="1" si="155"/>
        <v>0</v>
      </c>
      <c r="BM190" s="37">
        <f t="shared" ca="1" si="155"/>
        <v>0</v>
      </c>
      <c r="BN190" s="37">
        <f t="shared" ca="1" si="155"/>
        <v>0</v>
      </c>
      <c r="BO190" s="37">
        <f t="shared" ca="1" si="155"/>
        <v>0</v>
      </c>
      <c r="BP190" s="37">
        <f t="shared" ca="1" si="155"/>
        <v>0</v>
      </c>
      <c r="BQ190" s="37">
        <f t="shared" ca="1" si="155"/>
        <v>0</v>
      </c>
      <c r="BR190" s="37">
        <f t="shared" ca="1" si="155"/>
        <v>0</v>
      </c>
      <c r="BS190" s="37">
        <f t="shared" ca="1" si="155"/>
        <v>0</v>
      </c>
      <c r="BT190" s="37">
        <f t="shared" ca="1" si="155"/>
        <v>0</v>
      </c>
      <c r="BU190" s="37">
        <f t="shared" ca="1" si="155"/>
        <v>0</v>
      </c>
      <c r="BV190" s="37">
        <f t="shared" ca="1" si="155"/>
        <v>0</v>
      </c>
      <c r="BW190" s="37">
        <f t="shared" ca="1" si="155"/>
        <v>0</v>
      </c>
      <c r="BX190" s="37">
        <f t="shared" ca="1" si="155"/>
        <v>0</v>
      </c>
      <c r="BY190" s="37">
        <f t="shared" ca="1" si="155"/>
        <v>0</v>
      </c>
      <c r="BZ190" s="37">
        <f t="shared" ca="1" si="155"/>
        <v>0</v>
      </c>
      <c r="CA190" s="37">
        <f t="shared" ca="1" si="155"/>
        <v>0</v>
      </c>
      <c r="CB190" s="37">
        <f t="shared" ca="1" si="155"/>
        <v>0</v>
      </c>
      <c r="CC190" s="37">
        <f t="shared" ca="1" si="155"/>
        <v>0</v>
      </c>
      <c r="CD190" s="37">
        <f t="shared" ca="1" si="155"/>
        <v>0</v>
      </c>
      <c r="CE190" s="37">
        <f t="shared" ca="1" si="155"/>
        <v>0</v>
      </c>
      <c r="CF190" s="37">
        <f t="shared" ca="1" si="155"/>
        <v>0</v>
      </c>
      <c r="CG190" s="37">
        <f t="shared" ca="1" si="155"/>
        <v>0</v>
      </c>
      <c r="CH190" s="37">
        <f t="shared" ca="1" si="155"/>
        <v>0</v>
      </c>
    </row>
    <row r="191" spans="1:86" ht="13">
      <c r="A191" s="13"/>
      <c r="B191" s="13" t="s">
        <v>308</v>
      </c>
      <c r="C191" s="13" t="s">
        <v>309</v>
      </c>
      <c r="D191" s="13" t="s">
        <v>247</v>
      </c>
      <c r="E191" s="37">
        <f t="shared" ca="1" si="152"/>
        <v>25000000.000000007</v>
      </c>
      <c r="F191" s="48"/>
      <c r="G191" s="37">
        <f t="shared" ref="G191:CH191" ca="1" si="156">F191+G190</f>
        <v>0</v>
      </c>
      <c r="H191" s="37">
        <f t="shared" ca="1" si="156"/>
        <v>0</v>
      </c>
      <c r="I191" s="37">
        <f t="shared" ca="1" si="156"/>
        <v>0</v>
      </c>
      <c r="J191" s="37">
        <f t="shared" ca="1" si="156"/>
        <v>0</v>
      </c>
      <c r="K191" s="37">
        <f t="shared" ca="1" si="156"/>
        <v>0</v>
      </c>
      <c r="L191" s="37">
        <f t="shared" ca="1" si="156"/>
        <v>0</v>
      </c>
      <c r="M191" s="37">
        <f t="shared" ca="1" si="156"/>
        <v>0</v>
      </c>
      <c r="N191" s="37">
        <f t="shared" ca="1" si="156"/>
        <v>0</v>
      </c>
      <c r="O191" s="37">
        <f t="shared" ca="1" si="156"/>
        <v>0</v>
      </c>
      <c r="P191" s="37">
        <f t="shared" ca="1" si="156"/>
        <v>0</v>
      </c>
      <c r="Q191" s="37">
        <f t="shared" ca="1" si="156"/>
        <v>0</v>
      </c>
      <c r="R191" s="37">
        <f t="shared" ca="1" si="156"/>
        <v>0</v>
      </c>
      <c r="S191" s="37">
        <f t="shared" ca="1" si="156"/>
        <v>1053135.4166666672</v>
      </c>
      <c r="T191" s="37">
        <f t="shared" ca="1" si="156"/>
        <v>2106270.8333333344</v>
      </c>
      <c r="U191" s="37">
        <f t="shared" ca="1" si="156"/>
        <v>3159406.2500000019</v>
      </c>
      <c r="V191" s="37">
        <f t="shared" ca="1" si="156"/>
        <v>4212541.6666666688</v>
      </c>
      <c r="W191" s="37">
        <f t="shared" ca="1" si="156"/>
        <v>8179244.7916666698</v>
      </c>
      <c r="X191" s="37">
        <f t="shared" ca="1" si="156"/>
        <v>11413043.478260873</v>
      </c>
      <c r="Y191" s="37">
        <f t="shared" ca="1" si="156"/>
        <v>12821146.245059293</v>
      </c>
      <c r="Z191" s="37">
        <f t="shared" ca="1" si="156"/>
        <v>14229249.011857713</v>
      </c>
      <c r="AA191" s="37">
        <f t="shared" ca="1" si="156"/>
        <v>15835391.963109359</v>
      </c>
      <c r="AB191" s="37">
        <f t="shared" ca="1" si="156"/>
        <v>17441534.914361008</v>
      </c>
      <c r="AC191" s="37">
        <f t="shared" ca="1" si="156"/>
        <v>19047677.865612656</v>
      </c>
      <c r="AD191" s="37">
        <f t="shared" ca="1" si="156"/>
        <v>20653820.816864304</v>
      </c>
      <c r="AE191" s="37">
        <f t="shared" ca="1" si="156"/>
        <v>21291584.321475636</v>
      </c>
      <c r="AF191" s="37">
        <f t="shared" ca="1" si="156"/>
        <v>21929347.826086968</v>
      </c>
      <c r="AG191" s="37">
        <f t="shared" ca="1" si="156"/>
        <v>22567111.3306983</v>
      </c>
      <c r="AH191" s="37">
        <f t="shared" ca="1" si="156"/>
        <v>23204874.835309632</v>
      </c>
      <c r="AI191" s="37">
        <f t="shared" ca="1" si="156"/>
        <v>23489377.470355745</v>
      </c>
      <c r="AJ191" s="37">
        <f t="shared" ca="1" si="156"/>
        <v>23773880.105401859</v>
      </c>
      <c r="AK191" s="37">
        <f t="shared" ca="1" si="156"/>
        <v>24058382.740447972</v>
      </c>
      <c r="AL191" s="37">
        <f t="shared" ca="1" si="156"/>
        <v>24342885.375494085</v>
      </c>
      <c r="AM191" s="37">
        <f t="shared" ca="1" si="156"/>
        <v>24416996.047430843</v>
      </c>
      <c r="AN191" s="37">
        <f t="shared" ca="1" si="156"/>
        <v>24491106.719367601</v>
      </c>
      <c r="AO191" s="37">
        <f t="shared" ca="1" si="156"/>
        <v>24565217.391304359</v>
      </c>
      <c r="AP191" s="37">
        <f t="shared" ca="1" si="156"/>
        <v>24639328.063241117</v>
      </c>
      <c r="AQ191" s="37">
        <f t="shared" ca="1" si="156"/>
        <v>24729496.047430839</v>
      </c>
      <c r="AR191" s="37">
        <f t="shared" ca="1" si="156"/>
        <v>24819664.031620562</v>
      </c>
      <c r="AS191" s="37">
        <f t="shared" ca="1" si="156"/>
        <v>24909832.015810285</v>
      </c>
      <c r="AT191" s="37">
        <f t="shared" ca="1" si="156"/>
        <v>25000000.000000007</v>
      </c>
      <c r="AU191" s="37">
        <f t="shared" ca="1" si="156"/>
        <v>25000000.000000007</v>
      </c>
      <c r="AV191" s="37">
        <f t="shared" ca="1" si="156"/>
        <v>25000000.000000007</v>
      </c>
      <c r="AW191" s="37">
        <f t="shared" ca="1" si="156"/>
        <v>25000000.000000007</v>
      </c>
      <c r="AX191" s="37">
        <f t="shared" ca="1" si="156"/>
        <v>25000000.000000007</v>
      </c>
      <c r="AY191" s="37">
        <f t="shared" ca="1" si="156"/>
        <v>25000000.000000007</v>
      </c>
      <c r="AZ191" s="37">
        <f t="shared" ca="1" si="156"/>
        <v>25000000.000000007</v>
      </c>
      <c r="BA191" s="37">
        <f t="shared" ca="1" si="156"/>
        <v>25000000.000000007</v>
      </c>
      <c r="BB191" s="37">
        <f t="shared" ca="1" si="156"/>
        <v>25000000.000000007</v>
      </c>
      <c r="BC191" s="37">
        <f t="shared" ca="1" si="156"/>
        <v>25000000.000000007</v>
      </c>
      <c r="BD191" s="37">
        <f t="shared" ca="1" si="156"/>
        <v>25000000.000000007</v>
      </c>
      <c r="BE191" s="37">
        <f t="shared" ca="1" si="156"/>
        <v>25000000.000000007</v>
      </c>
      <c r="BF191" s="37">
        <f t="shared" ca="1" si="156"/>
        <v>25000000.000000007</v>
      </c>
      <c r="BG191" s="37">
        <f t="shared" ca="1" si="156"/>
        <v>25000000.000000007</v>
      </c>
      <c r="BH191" s="37">
        <f t="shared" ca="1" si="156"/>
        <v>25000000.000000007</v>
      </c>
      <c r="BI191" s="37">
        <f t="shared" ca="1" si="156"/>
        <v>25000000.000000007</v>
      </c>
      <c r="BJ191" s="37">
        <f t="shared" ca="1" si="156"/>
        <v>25000000.000000007</v>
      </c>
      <c r="BK191" s="37">
        <f t="shared" ca="1" si="156"/>
        <v>25000000.000000007</v>
      </c>
      <c r="BL191" s="37">
        <f t="shared" ca="1" si="156"/>
        <v>25000000.000000007</v>
      </c>
      <c r="BM191" s="37">
        <f t="shared" ca="1" si="156"/>
        <v>25000000.000000007</v>
      </c>
      <c r="BN191" s="37">
        <f t="shared" ca="1" si="156"/>
        <v>25000000.000000007</v>
      </c>
      <c r="BO191" s="37">
        <f t="shared" ca="1" si="156"/>
        <v>25000000.000000007</v>
      </c>
      <c r="BP191" s="37">
        <f t="shared" ca="1" si="156"/>
        <v>25000000.000000007</v>
      </c>
      <c r="BQ191" s="37">
        <f t="shared" ca="1" si="156"/>
        <v>25000000.000000007</v>
      </c>
      <c r="BR191" s="37">
        <f t="shared" ca="1" si="156"/>
        <v>25000000.000000007</v>
      </c>
      <c r="BS191" s="37">
        <f t="shared" ca="1" si="156"/>
        <v>25000000.000000007</v>
      </c>
      <c r="BT191" s="37">
        <f t="shared" ca="1" si="156"/>
        <v>25000000.000000007</v>
      </c>
      <c r="BU191" s="37">
        <f t="shared" ca="1" si="156"/>
        <v>25000000.000000007</v>
      </c>
      <c r="BV191" s="37">
        <f t="shared" ca="1" si="156"/>
        <v>25000000.000000007</v>
      </c>
      <c r="BW191" s="37">
        <f t="shared" ca="1" si="156"/>
        <v>25000000.000000007</v>
      </c>
      <c r="BX191" s="37">
        <f t="shared" ca="1" si="156"/>
        <v>25000000.000000007</v>
      </c>
      <c r="BY191" s="37">
        <f t="shared" ca="1" si="156"/>
        <v>25000000.000000007</v>
      </c>
      <c r="BZ191" s="37">
        <f t="shared" ca="1" si="156"/>
        <v>25000000.000000007</v>
      </c>
      <c r="CA191" s="37">
        <f t="shared" ca="1" si="156"/>
        <v>25000000.000000007</v>
      </c>
      <c r="CB191" s="37">
        <f t="shared" ca="1" si="156"/>
        <v>25000000.000000007</v>
      </c>
      <c r="CC191" s="37">
        <f t="shared" ca="1" si="156"/>
        <v>25000000.000000007</v>
      </c>
      <c r="CD191" s="37">
        <f t="shared" ca="1" si="156"/>
        <v>25000000.000000007</v>
      </c>
      <c r="CE191" s="37">
        <f t="shared" ca="1" si="156"/>
        <v>25000000.000000007</v>
      </c>
      <c r="CF191" s="37">
        <f t="shared" ca="1" si="156"/>
        <v>25000000.000000007</v>
      </c>
      <c r="CG191" s="37">
        <f t="shared" ca="1" si="156"/>
        <v>25000000.000000007</v>
      </c>
      <c r="CH191" s="37">
        <f t="shared" ca="1" si="156"/>
        <v>25000000.000000007</v>
      </c>
    </row>
    <row r="192" spans="1:86" ht="13">
      <c r="A192" s="13"/>
      <c r="B192" s="13" t="s">
        <v>310</v>
      </c>
      <c r="C192" s="13" t="s">
        <v>311</v>
      </c>
      <c r="D192" s="13" t="s">
        <v>247</v>
      </c>
      <c r="E192" s="37">
        <f t="shared" ca="1" si="152"/>
        <v>0</v>
      </c>
      <c r="F192" s="48"/>
      <c r="G192" s="37">
        <f t="shared" ref="G192:CH192" ca="1" si="157">G84-G191</f>
        <v>1444375</v>
      </c>
      <c r="H192" s="37">
        <f t="shared" ca="1" si="157"/>
        <v>2788750</v>
      </c>
      <c r="I192" s="37">
        <f t="shared" ca="1" si="157"/>
        <v>4133125</v>
      </c>
      <c r="J192" s="37">
        <f t="shared" ca="1" si="157"/>
        <v>5477500</v>
      </c>
      <c r="K192" s="37">
        <f t="shared" ca="1" si="157"/>
        <v>6821875</v>
      </c>
      <c r="L192" s="37">
        <f t="shared" ca="1" si="157"/>
        <v>8166250</v>
      </c>
      <c r="M192" s="37">
        <f t="shared" ca="1" si="157"/>
        <v>9510625</v>
      </c>
      <c r="N192" s="37">
        <f t="shared" ca="1" si="157"/>
        <v>10855000</v>
      </c>
      <c r="O192" s="37">
        <f t="shared" ca="1" si="157"/>
        <v>12199375</v>
      </c>
      <c r="P192" s="37">
        <f t="shared" ca="1" si="157"/>
        <v>13543750</v>
      </c>
      <c r="Q192" s="37">
        <f t="shared" ca="1" si="157"/>
        <v>14888125</v>
      </c>
      <c r="R192" s="37">
        <f t="shared" ca="1" si="157"/>
        <v>16232500</v>
      </c>
      <c r="S192" s="37">
        <f t="shared" ca="1" si="157"/>
        <v>16523739.583333332</v>
      </c>
      <c r="T192" s="37">
        <f t="shared" ca="1" si="157"/>
        <v>16814979.166666664</v>
      </c>
      <c r="U192" s="37">
        <f t="shared" ca="1" si="157"/>
        <v>17106218.75</v>
      </c>
      <c r="V192" s="37">
        <f t="shared" ca="1" si="157"/>
        <v>17397458.333333332</v>
      </c>
      <c r="W192" s="37">
        <f t="shared" ca="1" si="157"/>
        <v>13572005.20833333</v>
      </c>
      <c r="X192" s="37">
        <f t="shared" ca="1" si="157"/>
        <v>10479456.521739127</v>
      </c>
      <c r="Y192" s="37">
        <f t="shared" ca="1" si="157"/>
        <v>9212603.7549407072</v>
      </c>
      <c r="Z192" s="37">
        <f t="shared" ca="1" si="157"/>
        <v>7945750.9881422874</v>
      </c>
      <c r="AA192" s="37">
        <f t="shared" ca="1" si="157"/>
        <v>6480858.0368906409</v>
      </c>
      <c r="AB192" s="37">
        <f t="shared" ca="1" si="157"/>
        <v>5015965.0856389925</v>
      </c>
      <c r="AC192" s="37">
        <f t="shared" ca="1" si="157"/>
        <v>3551072.1343873441</v>
      </c>
      <c r="AD192" s="37">
        <f t="shared" ca="1" si="157"/>
        <v>2086179.1831356958</v>
      </c>
      <c r="AE192" s="37">
        <f t="shared" ca="1" si="157"/>
        <v>1589665.6785243638</v>
      </c>
      <c r="AF192" s="37">
        <f t="shared" ca="1" si="157"/>
        <v>1093152.1739130318</v>
      </c>
      <c r="AG192" s="37">
        <f t="shared" ca="1" si="157"/>
        <v>596638.66930169985</v>
      </c>
      <c r="AH192" s="37">
        <f t="shared" ca="1" si="157"/>
        <v>100125.16469036788</v>
      </c>
      <c r="AI192" s="37">
        <f t="shared" ca="1" si="157"/>
        <v>-43127.470355745405</v>
      </c>
      <c r="AJ192" s="37">
        <f t="shared" ca="1" si="157"/>
        <v>-186380.10540185869</v>
      </c>
      <c r="AK192" s="37">
        <f t="shared" ca="1" si="157"/>
        <v>-329632.74044797197</v>
      </c>
      <c r="AL192" s="37">
        <f t="shared" ca="1" si="157"/>
        <v>-472885.37549408525</v>
      </c>
      <c r="AM192" s="37">
        <f t="shared" ca="1" si="157"/>
        <v>-405746.04743084311</v>
      </c>
      <c r="AN192" s="37">
        <f t="shared" ca="1" si="157"/>
        <v>-338606.71936760098</v>
      </c>
      <c r="AO192" s="37">
        <f t="shared" ca="1" si="157"/>
        <v>-271467.39130435884</v>
      </c>
      <c r="AP192" s="37">
        <f t="shared" ca="1" si="157"/>
        <v>-204328.0632411167</v>
      </c>
      <c r="AQ192" s="37">
        <f t="shared" ca="1" si="157"/>
        <v>-153246.04743083939</v>
      </c>
      <c r="AR192" s="37">
        <f t="shared" ca="1" si="157"/>
        <v>-102164.03162056208</v>
      </c>
      <c r="AS192" s="37">
        <f t="shared" ca="1" si="157"/>
        <v>-51082.015810284764</v>
      </c>
      <c r="AT192" s="37">
        <f t="shared" ca="1" si="157"/>
        <v>0</v>
      </c>
      <c r="AU192" s="37">
        <f t="shared" ca="1" si="157"/>
        <v>0</v>
      </c>
      <c r="AV192" s="37">
        <f t="shared" ca="1" si="157"/>
        <v>0</v>
      </c>
      <c r="AW192" s="37">
        <f t="shared" ca="1" si="157"/>
        <v>0</v>
      </c>
      <c r="AX192" s="37">
        <f t="shared" ca="1" si="157"/>
        <v>0</v>
      </c>
      <c r="AY192" s="37">
        <f t="shared" ca="1" si="157"/>
        <v>0</v>
      </c>
      <c r="AZ192" s="37">
        <f t="shared" ca="1" si="157"/>
        <v>0</v>
      </c>
      <c r="BA192" s="37">
        <f t="shared" ca="1" si="157"/>
        <v>0</v>
      </c>
      <c r="BB192" s="37">
        <f t="shared" ca="1" si="157"/>
        <v>0</v>
      </c>
      <c r="BC192" s="37">
        <f t="shared" ca="1" si="157"/>
        <v>0</v>
      </c>
      <c r="BD192" s="37">
        <f t="shared" ca="1" si="157"/>
        <v>0</v>
      </c>
      <c r="BE192" s="37">
        <f t="shared" ca="1" si="157"/>
        <v>0</v>
      </c>
      <c r="BF192" s="37">
        <f t="shared" ca="1" si="157"/>
        <v>0</v>
      </c>
      <c r="BG192" s="37">
        <f t="shared" ca="1" si="157"/>
        <v>0</v>
      </c>
      <c r="BH192" s="37">
        <f t="shared" ca="1" si="157"/>
        <v>0</v>
      </c>
      <c r="BI192" s="37">
        <f t="shared" ca="1" si="157"/>
        <v>0</v>
      </c>
      <c r="BJ192" s="37">
        <f t="shared" ca="1" si="157"/>
        <v>0</v>
      </c>
      <c r="BK192" s="37">
        <f t="shared" ca="1" si="157"/>
        <v>0</v>
      </c>
      <c r="BL192" s="37">
        <f t="shared" ca="1" si="157"/>
        <v>0</v>
      </c>
      <c r="BM192" s="37">
        <f t="shared" ca="1" si="157"/>
        <v>0</v>
      </c>
      <c r="BN192" s="37">
        <f t="shared" ca="1" si="157"/>
        <v>0</v>
      </c>
      <c r="BO192" s="37">
        <f t="shared" ca="1" si="157"/>
        <v>0</v>
      </c>
      <c r="BP192" s="37">
        <f t="shared" ca="1" si="157"/>
        <v>0</v>
      </c>
      <c r="BQ192" s="37">
        <f t="shared" ca="1" si="157"/>
        <v>0</v>
      </c>
      <c r="BR192" s="37">
        <f t="shared" ca="1" si="157"/>
        <v>0</v>
      </c>
      <c r="BS192" s="37">
        <f t="shared" ca="1" si="157"/>
        <v>0</v>
      </c>
      <c r="BT192" s="37">
        <f t="shared" ca="1" si="157"/>
        <v>0</v>
      </c>
      <c r="BU192" s="37">
        <f t="shared" ca="1" si="157"/>
        <v>0</v>
      </c>
      <c r="BV192" s="37">
        <f t="shared" ca="1" si="157"/>
        <v>0</v>
      </c>
      <c r="BW192" s="37">
        <f t="shared" ca="1" si="157"/>
        <v>0</v>
      </c>
      <c r="BX192" s="37">
        <f t="shared" ca="1" si="157"/>
        <v>0</v>
      </c>
      <c r="BY192" s="37">
        <f t="shared" ca="1" si="157"/>
        <v>0</v>
      </c>
      <c r="BZ192" s="37">
        <f t="shared" ca="1" si="157"/>
        <v>0</v>
      </c>
      <c r="CA192" s="37">
        <f t="shared" ca="1" si="157"/>
        <v>0</v>
      </c>
      <c r="CB192" s="37">
        <f t="shared" ca="1" si="157"/>
        <v>0</v>
      </c>
      <c r="CC192" s="37">
        <f t="shared" ca="1" si="157"/>
        <v>0</v>
      </c>
      <c r="CD192" s="37">
        <f t="shared" ca="1" si="157"/>
        <v>0</v>
      </c>
      <c r="CE192" s="37">
        <f t="shared" ca="1" si="157"/>
        <v>0</v>
      </c>
      <c r="CF192" s="37">
        <f t="shared" ca="1" si="157"/>
        <v>0</v>
      </c>
      <c r="CG192" s="37">
        <f t="shared" ca="1" si="157"/>
        <v>0</v>
      </c>
      <c r="CH192" s="37">
        <f t="shared" ca="1" si="157"/>
        <v>0</v>
      </c>
    </row>
    <row r="193" spans="2:86" ht="13">
      <c r="B193" s="15" t="s">
        <v>312</v>
      </c>
      <c r="C193" s="15" t="s">
        <v>313</v>
      </c>
      <c r="D193" s="15" t="s">
        <v>238</v>
      </c>
      <c r="E193" s="29">
        <f t="shared" ca="1" si="152"/>
        <v>69627265.104166642</v>
      </c>
      <c r="F193" s="29"/>
      <c r="G193" s="37">
        <f t="shared" ref="G193:CH193" ca="1" si="158">G188-G190</f>
        <v>0</v>
      </c>
      <c r="H193" s="37">
        <f t="shared" ca="1" si="158"/>
        <v>0</v>
      </c>
      <c r="I193" s="37">
        <f t="shared" ca="1" si="158"/>
        <v>0</v>
      </c>
      <c r="J193" s="37">
        <f t="shared" ca="1" si="158"/>
        <v>0</v>
      </c>
      <c r="K193" s="37">
        <f t="shared" ca="1" si="158"/>
        <v>0</v>
      </c>
      <c r="L193" s="37">
        <f t="shared" ca="1" si="158"/>
        <v>0</v>
      </c>
      <c r="M193" s="37">
        <f t="shared" ca="1" si="158"/>
        <v>0</v>
      </c>
      <c r="N193" s="37">
        <f t="shared" ca="1" si="158"/>
        <v>0</v>
      </c>
      <c r="O193" s="37">
        <f t="shared" ca="1" si="158"/>
        <v>0</v>
      </c>
      <c r="P193" s="37">
        <f t="shared" ca="1" si="158"/>
        <v>0</v>
      </c>
      <c r="Q193" s="37">
        <f t="shared" ca="1" si="158"/>
        <v>0</v>
      </c>
      <c r="R193" s="37">
        <f t="shared" ca="1" si="158"/>
        <v>0</v>
      </c>
      <c r="S193" s="37">
        <f t="shared" ca="1" si="158"/>
        <v>0</v>
      </c>
      <c r="T193" s="37">
        <f t="shared" ca="1" si="158"/>
        <v>0</v>
      </c>
      <c r="U193" s="37">
        <f t="shared" ca="1" si="158"/>
        <v>0</v>
      </c>
      <c r="V193" s="37">
        <f t="shared" ca="1" si="158"/>
        <v>0</v>
      </c>
      <c r="W193" s="37">
        <f t="shared" ca="1" si="158"/>
        <v>0</v>
      </c>
      <c r="X193" s="37">
        <f t="shared" ca="1" si="158"/>
        <v>732904.43840579735</v>
      </c>
      <c r="Y193" s="37">
        <f t="shared" ca="1" si="158"/>
        <v>2558600.3582015806</v>
      </c>
      <c r="Z193" s="37">
        <f t="shared" ca="1" si="158"/>
        <v>2558600.3582015801</v>
      </c>
      <c r="AA193" s="37">
        <f t="shared" ca="1" si="158"/>
        <v>2360560.173748354</v>
      </c>
      <c r="AB193" s="37">
        <f t="shared" ca="1" si="158"/>
        <v>2360560.1737483521</v>
      </c>
      <c r="AC193" s="37">
        <f t="shared" ca="1" si="158"/>
        <v>2360560.1737483521</v>
      </c>
      <c r="AD193" s="37">
        <f t="shared" ca="1" si="158"/>
        <v>2360560.1737483521</v>
      </c>
      <c r="AE193" s="37">
        <f t="shared" ca="1" si="158"/>
        <v>5319028.682888668</v>
      </c>
      <c r="AF193" s="37">
        <f t="shared" ca="1" si="158"/>
        <v>5319028.682888668</v>
      </c>
      <c r="AG193" s="37">
        <f t="shared" ca="1" si="158"/>
        <v>5319028.682888668</v>
      </c>
      <c r="AH193" s="37">
        <f t="shared" ca="1" si="158"/>
        <v>5319028.682888668</v>
      </c>
      <c r="AI193" s="37">
        <f t="shared" ca="1" si="158"/>
        <v>4648610.6462038858</v>
      </c>
      <c r="AJ193" s="37">
        <f t="shared" ca="1" si="158"/>
        <v>4648610.6462038858</v>
      </c>
      <c r="AK193" s="37">
        <f t="shared" ca="1" si="158"/>
        <v>4648610.6462038858</v>
      </c>
      <c r="AL193" s="37">
        <f t="shared" ca="1" si="158"/>
        <v>4648610.6462038858</v>
      </c>
      <c r="AM193" s="37">
        <f t="shared" ca="1" si="158"/>
        <v>1631319.0155632417</v>
      </c>
      <c r="AN193" s="37">
        <f t="shared" ca="1" si="158"/>
        <v>1631319.0155632417</v>
      </c>
      <c r="AO193" s="37">
        <f t="shared" ca="1" si="158"/>
        <v>1631319.0155632417</v>
      </c>
      <c r="AP193" s="37">
        <f t="shared" ca="1" si="158"/>
        <v>1631319.0155632417</v>
      </c>
      <c r="AQ193" s="37">
        <f t="shared" ca="1" si="158"/>
        <v>1984771.4689352764</v>
      </c>
      <c r="AR193" s="37">
        <f t="shared" ca="1" si="158"/>
        <v>1984771.4689352764</v>
      </c>
      <c r="AS193" s="37">
        <f t="shared" ca="1" si="158"/>
        <v>1984771.4689352764</v>
      </c>
      <c r="AT193" s="37">
        <f t="shared" ca="1" si="158"/>
        <v>1984771.4689352764</v>
      </c>
      <c r="AU193" s="37">
        <f t="shared" ca="1" si="158"/>
        <v>0</v>
      </c>
      <c r="AV193" s="37">
        <f t="shared" ca="1" si="158"/>
        <v>0</v>
      </c>
      <c r="AW193" s="37">
        <f t="shared" ca="1" si="158"/>
        <v>0</v>
      </c>
      <c r="AX193" s="37">
        <f t="shared" ca="1" si="158"/>
        <v>0</v>
      </c>
      <c r="AY193" s="37">
        <f t="shared" ca="1" si="158"/>
        <v>0</v>
      </c>
      <c r="AZ193" s="37">
        <f t="shared" ca="1" si="158"/>
        <v>0</v>
      </c>
      <c r="BA193" s="37">
        <f t="shared" ca="1" si="158"/>
        <v>0</v>
      </c>
      <c r="BB193" s="37">
        <f t="shared" ca="1" si="158"/>
        <v>0</v>
      </c>
      <c r="BC193" s="37">
        <f t="shared" ca="1" si="158"/>
        <v>0</v>
      </c>
      <c r="BD193" s="37">
        <f t="shared" ca="1" si="158"/>
        <v>0</v>
      </c>
      <c r="BE193" s="37">
        <f t="shared" ca="1" si="158"/>
        <v>0</v>
      </c>
      <c r="BF193" s="37">
        <f t="shared" ca="1" si="158"/>
        <v>0</v>
      </c>
      <c r="BG193" s="37">
        <f t="shared" ca="1" si="158"/>
        <v>0</v>
      </c>
      <c r="BH193" s="37">
        <f t="shared" ca="1" si="158"/>
        <v>0</v>
      </c>
      <c r="BI193" s="37">
        <f t="shared" ca="1" si="158"/>
        <v>0</v>
      </c>
      <c r="BJ193" s="37">
        <f t="shared" ca="1" si="158"/>
        <v>0</v>
      </c>
      <c r="BK193" s="37">
        <f t="shared" ca="1" si="158"/>
        <v>0</v>
      </c>
      <c r="BL193" s="37">
        <f t="shared" ca="1" si="158"/>
        <v>0</v>
      </c>
      <c r="BM193" s="37">
        <f t="shared" ca="1" si="158"/>
        <v>0</v>
      </c>
      <c r="BN193" s="37">
        <f t="shared" ca="1" si="158"/>
        <v>0</v>
      </c>
      <c r="BO193" s="37">
        <f t="shared" ca="1" si="158"/>
        <v>0</v>
      </c>
      <c r="BP193" s="37">
        <f t="shared" ca="1" si="158"/>
        <v>0</v>
      </c>
      <c r="BQ193" s="37">
        <f t="shared" ca="1" si="158"/>
        <v>0</v>
      </c>
      <c r="BR193" s="37">
        <f t="shared" ca="1" si="158"/>
        <v>0</v>
      </c>
      <c r="BS193" s="37">
        <f t="shared" ca="1" si="158"/>
        <v>0</v>
      </c>
      <c r="BT193" s="37">
        <f t="shared" ca="1" si="158"/>
        <v>0</v>
      </c>
      <c r="BU193" s="37">
        <f t="shared" ca="1" si="158"/>
        <v>0</v>
      </c>
      <c r="BV193" s="37">
        <f t="shared" ca="1" si="158"/>
        <v>0</v>
      </c>
      <c r="BW193" s="37">
        <f t="shared" ca="1" si="158"/>
        <v>0</v>
      </c>
      <c r="BX193" s="37">
        <f t="shared" ca="1" si="158"/>
        <v>0</v>
      </c>
      <c r="BY193" s="37">
        <f t="shared" ca="1" si="158"/>
        <v>0</v>
      </c>
      <c r="BZ193" s="37">
        <f t="shared" ca="1" si="158"/>
        <v>0</v>
      </c>
      <c r="CA193" s="37">
        <f t="shared" ca="1" si="158"/>
        <v>0</v>
      </c>
      <c r="CB193" s="37">
        <f t="shared" ca="1" si="158"/>
        <v>0</v>
      </c>
      <c r="CC193" s="37">
        <f t="shared" ca="1" si="158"/>
        <v>0</v>
      </c>
      <c r="CD193" s="37">
        <f t="shared" ca="1" si="158"/>
        <v>0</v>
      </c>
      <c r="CE193" s="37">
        <f t="shared" ca="1" si="158"/>
        <v>0</v>
      </c>
      <c r="CF193" s="37">
        <f t="shared" ca="1" si="158"/>
        <v>0</v>
      </c>
      <c r="CG193" s="37">
        <f t="shared" ca="1" si="158"/>
        <v>0</v>
      </c>
      <c r="CH193" s="37">
        <f t="shared" ca="1" si="158"/>
        <v>0</v>
      </c>
    </row>
    <row r="194" spans="2:86" ht="13">
      <c r="B194" s="15" t="s">
        <v>220</v>
      </c>
      <c r="C194" s="15" t="s">
        <v>314</v>
      </c>
      <c r="D194" s="15" t="s">
        <v>238</v>
      </c>
      <c r="E194" s="29">
        <f t="shared" ca="1" si="152"/>
        <v>13925453.020833328</v>
      </c>
      <c r="F194" s="29"/>
      <c r="G194" s="37">
        <f ca="1">G193*'Get Started  2'!$E14</f>
        <v>0</v>
      </c>
      <c r="H194" s="37">
        <f ca="1">H193*'Get Started  2'!$E14</f>
        <v>0</v>
      </c>
      <c r="I194" s="37">
        <f ca="1">I193*'Get Started  2'!$E14</f>
        <v>0</v>
      </c>
      <c r="J194" s="37">
        <f ca="1">J193*'Get Started  2'!$E14</f>
        <v>0</v>
      </c>
      <c r="K194" s="37">
        <f ca="1">K193*'Get Started  2'!$E14</f>
        <v>0</v>
      </c>
      <c r="L194" s="37">
        <f ca="1">L193*'Get Started  2'!$E14</f>
        <v>0</v>
      </c>
      <c r="M194" s="37">
        <f ca="1">M193*'Get Started  2'!$E14</f>
        <v>0</v>
      </c>
      <c r="N194" s="37">
        <f ca="1">N193*'Get Started  2'!$E14</f>
        <v>0</v>
      </c>
      <c r="O194" s="37">
        <f ca="1">O193*'Get Started  2'!$E14</f>
        <v>0</v>
      </c>
      <c r="P194" s="37">
        <f ca="1">P193*'Get Started  2'!$E14</f>
        <v>0</v>
      </c>
      <c r="Q194" s="37">
        <f ca="1">Q193*'Get Started  2'!$E14</f>
        <v>0</v>
      </c>
      <c r="R194" s="37">
        <f ca="1">R193*'Get Started  2'!$E14</f>
        <v>0</v>
      </c>
      <c r="S194" s="37">
        <f ca="1">S193*'Get Started  2'!$E14</f>
        <v>0</v>
      </c>
      <c r="T194" s="37">
        <f ca="1">T193*'Get Started  2'!$E14</f>
        <v>0</v>
      </c>
      <c r="U194" s="37">
        <f ca="1">U193*'Get Started  2'!$E14</f>
        <v>0</v>
      </c>
      <c r="V194" s="37">
        <f ca="1">V193*'Get Started  2'!$E14</f>
        <v>0</v>
      </c>
      <c r="W194" s="37">
        <f ca="1">W193*'Get Started  2'!$E14</f>
        <v>0</v>
      </c>
      <c r="X194" s="37">
        <f ca="1">X193*'Get Started  2'!$E14</f>
        <v>146580.88768115948</v>
      </c>
      <c r="Y194" s="37">
        <f ca="1">Y193*'Get Started  2'!$E14</f>
        <v>511720.07164031616</v>
      </c>
      <c r="Z194" s="37">
        <f ca="1">Z193*'Get Started  2'!$E14</f>
        <v>511720.07164031605</v>
      </c>
      <c r="AA194" s="37">
        <f ca="1">AA193*'Get Started  2'!$E14</f>
        <v>472112.03474967083</v>
      </c>
      <c r="AB194" s="37">
        <f ca="1">AB193*'Get Started  2'!$E14</f>
        <v>472112.03474967042</v>
      </c>
      <c r="AC194" s="37">
        <f ca="1">AC193*'Get Started  2'!$E14</f>
        <v>472112.03474967042</v>
      </c>
      <c r="AD194" s="37">
        <f ca="1">AD193*'Get Started  2'!$E14</f>
        <v>472112.03474967042</v>
      </c>
      <c r="AE194" s="37">
        <f ca="1">AE193*'Get Started  2'!$E14</f>
        <v>1063805.7365777337</v>
      </c>
      <c r="AF194" s="37">
        <f ca="1">AF193*'Get Started  2'!$E14</f>
        <v>1063805.7365777337</v>
      </c>
      <c r="AG194" s="37">
        <f ca="1">AG193*'Get Started  2'!$E14</f>
        <v>1063805.7365777337</v>
      </c>
      <c r="AH194" s="37">
        <f ca="1">AH193*'Get Started  2'!$E14</f>
        <v>1063805.7365777337</v>
      </c>
      <c r="AI194" s="37">
        <f ca="1">AI193*'Get Started  2'!$E14</f>
        <v>929722.12924077723</v>
      </c>
      <c r="AJ194" s="37">
        <f ca="1">AJ193*'Get Started  2'!$E14</f>
        <v>929722.12924077723</v>
      </c>
      <c r="AK194" s="37">
        <f ca="1">AK193*'Get Started  2'!$E14</f>
        <v>929722.12924077723</v>
      </c>
      <c r="AL194" s="37">
        <f ca="1">AL193*'Get Started  2'!$E14</f>
        <v>929722.12924077723</v>
      </c>
      <c r="AM194" s="37">
        <f ca="1">AM193*'Get Started  2'!$E14</f>
        <v>326263.80311264837</v>
      </c>
      <c r="AN194" s="37">
        <f ca="1">AN193*'Get Started  2'!$E14</f>
        <v>326263.80311264837</v>
      </c>
      <c r="AO194" s="37">
        <f ca="1">AO193*'Get Started  2'!$E14</f>
        <v>326263.80311264837</v>
      </c>
      <c r="AP194" s="37">
        <f ca="1">AP193*'Get Started  2'!$E14</f>
        <v>326263.80311264837</v>
      </c>
      <c r="AQ194" s="37">
        <f ca="1">AQ193*'Get Started  2'!$E14</f>
        <v>396954.2937870553</v>
      </c>
      <c r="AR194" s="37">
        <f ca="1">AR193*'Get Started  2'!$E14</f>
        <v>396954.2937870553</v>
      </c>
      <c r="AS194" s="37">
        <f ca="1">AS193*'Get Started  2'!$E14</f>
        <v>396954.2937870553</v>
      </c>
      <c r="AT194" s="37">
        <f ca="1">AT193*'Get Started  2'!$E14</f>
        <v>396954.2937870553</v>
      </c>
      <c r="AU194" s="37">
        <f ca="1">AU193*'Get Started  2'!$E14</f>
        <v>0</v>
      </c>
      <c r="AV194" s="37">
        <f ca="1">AV193*'Get Started  2'!$E14</f>
        <v>0</v>
      </c>
      <c r="AW194" s="37">
        <f ca="1">AW193*'Get Started  2'!$E14</f>
        <v>0</v>
      </c>
      <c r="AX194" s="37">
        <f ca="1">AX193*'Get Started  2'!$E14</f>
        <v>0</v>
      </c>
      <c r="AY194" s="37">
        <f ca="1">AY193*'Get Started  2'!$E14</f>
        <v>0</v>
      </c>
      <c r="AZ194" s="37">
        <f ca="1">AZ193*'Get Started  2'!$E14</f>
        <v>0</v>
      </c>
      <c r="BA194" s="37">
        <f ca="1">BA193*'Get Started  2'!$E14</f>
        <v>0</v>
      </c>
      <c r="BB194" s="37">
        <f ca="1">BB193*'Get Started  2'!$E14</f>
        <v>0</v>
      </c>
      <c r="BC194" s="37">
        <f ca="1">BC193*'Get Started  2'!$E14</f>
        <v>0</v>
      </c>
      <c r="BD194" s="37">
        <f ca="1">BD193*'Get Started  2'!$E14</f>
        <v>0</v>
      </c>
      <c r="BE194" s="37">
        <f ca="1">BE193*'Get Started  2'!$E14</f>
        <v>0</v>
      </c>
      <c r="BF194" s="37">
        <f ca="1">BF193*'Get Started  2'!$E14</f>
        <v>0</v>
      </c>
      <c r="BG194" s="37">
        <f ca="1">BG193*'Get Started  2'!$E14</f>
        <v>0</v>
      </c>
      <c r="BH194" s="37">
        <f ca="1">BH193*'Get Started  2'!$E14</f>
        <v>0</v>
      </c>
      <c r="BI194" s="37">
        <f ca="1">BI193*'Get Started  2'!$E14</f>
        <v>0</v>
      </c>
      <c r="BJ194" s="37">
        <f ca="1">BJ193*'Get Started  2'!$E14</f>
        <v>0</v>
      </c>
      <c r="BK194" s="37">
        <f ca="1">BK193*'Get Started  2'!$E14</f>
        <v>0</v>
      </c>
      <c r="BL194" s="37">
        <f ca="1">BL193*'Get Started  2'!$E14</f>
        <v>0</v>
      </c>
      <c r="BM194" s="37">
        <f ca="1">BM193*'Get Started  2'!$E14</f>
        <v>0</v>
      </c>
      <c r="BN194" s="37">
        <f ca="1">BN193*'Get Started  2'!$E14</f>
        <v>0</v>
      </c>
      <c r="BO194" s="37">
        <f ca="1">BO193*'Get Started  2'!$E14</f>
        <v>0</v>
      </c>
      <c r="BP194" s="37">
        <f ca="1">BP193*'Get Started  2'!$E14</f>
        <v>0</v>
      </c>
      <c r="BQ194" s="37">
        <f ca="1">BQ193*'Get Started  2'!$E14</f>
        <v>0</v>
      </c>
      <c r="BR194" s="37">
        <f ca="1">BR193*'Get Started  2'!$E14</f>
        <v>0</v>
      </c>
      <c r="BS194" s="37">
        <f ca="1">BS193*'Get Started  2'!$E14</f>
        <v>0</v>
      </c>
      <c r="BT194" s="37">
        <f ca="1">BT193*'Get Started  2'!$E14</f>
        <v>0</v>
      </c>
      <c r="BU194" s="37">
        <f ca="1">BU193*'Get Started  2'!$E14</f>
        <v>0</v>
      </c>
      <c r="BV194" s="37">
        <f ca="1">BV193*'Get Started  2'!$E14</f>
        <v>0</v>
      </c>
      <c r="BW194" s="37">
        <f ca="1">BW193*'Get Started  2'!$E14</f>
        <v>0</v>
      </c>
      <c r="BX194" s="37">
        <f ca="1">BX193*'Get Started  2'!$E14</f>
        <v>0</v>
      </c>
      <c r="BY194" s="37">
        <f ca="1">BY193*'Get Started  2'!$E14</f>
        <v>0</v>
      </c>
      <c r="BZ194" s="37">
        <f ca="1">BZ193*'Get Started  2'!$E14</f>
        <v>0</v>
      </c>
      <c r="CA194" s="37">
        <f ca="1">CA193*'Get Started  2'!$E14</f>
        <v>0</v>
      </c>
      <c r="CB194" s="37">
        <f ca="1">CB193*'Get Started  2'!$E14</f>
        <v>0</v>
      </c>
      <c r="CC194" s="37">
        <f ca="1">CC193*'Get Started  2'!$E14</f>
        <v>0</v>
      </c>
      <c r="CD194" s="37">
        <f ca="1">CD193*'Get Started  2'!$E14</f>
        <v>0</v>
      </c>
      <c r="CE194" s="37">
        <f ca="1">CE193*'Get Started  2'!$E14</f>
        <v>0</v>
      </c>
      <c r="CF194" s="37">
        <f ca="1">CF193*'Get Started  2'!$E14</f>
        <v>0</v>
      </c>
      <c r="CG194" s="37">
        <f ca="1">CG193*'Get Started  2'!$E14</f>
        <v>0</v>
      </c>
      <c r="CH194" s="37">
        <f ca="1">CH193*'Get Started  2'!$E14</f>
        <v>0</v>
      </c>
    </row>
    <row r="195" spans="2:86" ht="13">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29"/>
      <c r="CG195" s="29"/>
      <c r="CH195" s="29"/>
    </row>
    <row r="196" spans="2:86" ht="13">
      <c r="B196" s="76" t="s">
        <v>315</v>
      </c>
      <c r="C196" s="15"/>
      <c r="D196" s="15"/>
      <c r="E196" s="77"/>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29"/>
      <c r="CG196" s="29"/>
      <c r="CH196" s="29"/>
    </row>
    <row r="197" spans="2:86" ht="13">
      <c r="B197" s="15" t="s">
        <v>260</v>
      </c>
      <c r="C197" s="15"/>
      <c r="D197" s="15" t="s">
        <v>238</v>
      </c>
      <c r="E197" s="29">
        <f t="shared" ref="E197:E201" ca="1" si="159">IF(D197="sum",SUM(G197:CH197),IF(D197="final",CH197,IF(D197="initial",G197,IF(D197="average",AVERAGE(G197:CH197),0))))</f>
        <v>-20292708.333333332</v>
      </c>
      <c r="F197" s="82" t="str">
        <f t="shared" ref="F197:F201" si="160">B197</f>
        <v>New Investments</v>
      </c>
      <c r="G197" s="29">
        <f t="shared" ref="G197:CH197" ca="1" si="161">-1*G33</f>
        <v>-1203125</v>
      </c>
      <c r="H197" s="29">
        <f t="shared" ca="1" si="161"/>
        <v>-1203125</v>
      </c>
      <c r="I197" s="29">
        <f t="shared" ca="1" si="161"/>
        <v>-1203125</v>
      </c>
      <c r="J197" s="29">
        <f t="shared" ca="1" si="161"/>
        <v>-1203125</v>
      </c>
      <c r="K197" s="29">
        <f t="shared" ca="1" si="161"/>
        <v>-1203125</v>
      </c>
      <c r="L197" s="29">
        <f t="shared" ca="1" si="161"/>
        <v>-1203125</v>
      </c>
      <c r="M197" s="29">
        <f t="shared" ca="1" si="161"/>
        <v>-1203125</v>
      </c>
      <c r="N197" s="29">
        <f t="shared" ca="1" si="161"/>
        <v>-1203125</v>
      </c>
      <c r="O197" s="29">
        <f t="shared" ca="1" si="161"/>
        <v>-1203125</v>
      </c>
      <c r="P197" s="29">
        <f t="shared" ca="1" si="161"/>
        <v>-1203125</v>
      </c>
      <c r="Q197" s="29">
        <f t="shared" ca="1" si="161"/>
        <v>-1203125</v>
      </c>
      <c r="R197" s="29">
        <f t="shared" ca="1" si="161"/>
        <v>-1203125</v>
      </c>
      <c r="S197" s="29">
        <f t="shared" ca="1" si="161"/>
        <v>-1463802.0833333333</v>
      </c>
      <c r="T197" s="29">
        <f t="shared" ca="1" si="161"/>
        <v>-1463802.0833333333</v>
      </c>
      <c r="U197" s="29">
        <f t="shared" ca="1" si="161"/>
        <v>-1463802.0833333333</v>
      </c>
      <c r="V197" s="29">
        <f t="shared" ca="1" si="161"/>
        <v>-1463802.0833333333</v>
      </c>
      <c r="W197" s="29">
        <f t="shared" si="161"/>
        <v>0</v>
      </c>
      <c r="X197" s="29">
        <f t="shared" si="161"/>
        <v>0</v>
      </c>
      <c r="Y197" s="29">
        <f t="shared" si="161"/>
        <v>0</v>
      </c>
      <c r="Z197" s="29">
        <f t="shared" si="161"/>
        <v>0</v>
      </c>
      <c r="AA197" s="29">
        <f t="shared" si="161"/>
        <v>0</v>
      </c>
      <c r="AB197" s="29">
        <f t="shared" si="161"/>
        <v>0</v>
      </c>
      <c r="AC197" s="29">
        <f t="shared" si="161"/>
        <v>0</v>
      </c>
      <c r="AD197" s="29">
        <f t="shared" si="161"/>
        <v>0</v>
      </c>
      <c r="AE197" s="29">
        <f t="shared" si="161"/>
        <v>0</v>
      </c>
      <c r="AF197" s="29">
        <f t="shared" si="161"/>
        <v>0</v>
      </c>
      <c r="AG197" s="29">
        <f t="shared" si="161"/>
        <v>0</v>
      </c>
      <c r="AH197" s="29">
        <f t="shared" si="161"/>
        <v>0</v>
      </c>
      <c r="AI197" s="29">
        <f t="shared" si="161"/>
        <v>0</v>
      </c>
      <c r="AJ197" s="29">
        <f t="shared" si="161"/>
        <v>0</v>
      </c>
      <c r="AK197" s="29">
        <f t="shared" si="161"/>
        <v>0</v>
      </c>
      <c r="AL197" s="29">
        <f t="shared" si="161"/>
        <v>0</v>
      </c>
      <c r="AM197" s="29">
        <f t="shared" si="161"/>
        <v>0</v>
      </c>
      <c r="AN197" s="29">
        <f t="shared" si="161"/>
        <v>0</v>
      </c>
      <c r="AO197" s="29">
        <f t="shared" si="161"/>
        <v>0</v>
      </c>
      <c r="AP197" s="29">
        <f t="shared" si="161"/>
        <v>0</v>
      </c>
      <c r="AQ197" s="29">
        <f t="shared" si="161"/>
        <v>0</v>
      </c>
      <c r="AR197" s="29">
        <f t="shared" si="161"/>
        <v>0</v>
      </c>
      <c r="AS197" s="29">
        <f t="shared" si="161"/>
        <v>0</v>
      </c>
      <c r="AT197" s="29">
        <f t="shared" si="161"/>
        <v>0</v>
      </c>
      <c r="AU197" s="29">
        <f t="shared" si="161"/>
        <v>0</v>
      </c>
      <c r="AV197" s="29">
        <f t="shared" si="161"/>
        <v>0</v>
      </c>
      <c r="AW197" s="29">
        <f t="shared" si="161"/>
        <v>0</v>
      </c>
      <c r="AX197" s="29">
        <f t="shared" si="161"/>
        <v>0</v>
      </c>
      <c r="AY197" s="29">
        <f t="shared" si="161"/>
        <v>0</v>
      </c>
      <c r="AZ197" s="29">
        <f t="shared" si="161"/>
        <v>0</v>
      </c>
      <c r="BA197" s="29">
        <f t="shared" si="161"/>
        <v>0</v>
      </c>
      <c r="BB197" s="29">
        <f t="shared" si="161"/>
        <v>0</v>
      </c>
      <c r="BC197" s="29">
        <f t="shared" si="161"/>
        <v>0</v>
      </c>
      <c r="BD197" s="29">
        <f t="shared" si="161"/>
        <v>0</v>
      </c>
      <c r="BE197" s="29">
        <f t="shared" si="161"/>
        <v>0</v>
      </c>
      <c r="BF197" s="29">
        <f t="shared" si="161"/>
        <v>0</v>
      </c>
      <c r="BG197" s="29">
        <f t="shared" si="161"/>
        <v>0</v>
      </c>
      <c r="BH197" s="29">
        <f t="shared" si="161"/>
        <v>0</v>
      </c>
      <c r="BI197" s="29">
        <f t="shared" si="161"/>
        <v>0</v>
      </c>
      <c r="BJ197" s="29">
        <f t="shared" si="161"/>
        <v>0</v>
      </c>
      <c r="BK197" s="29">
        <f t="shared" si="161"/>
        <v>0</v>
      </c>
      <c r="BL197" s="29">
        <f t="shared" si="161"/>
        <v>0</v>
      </c>
      <c r="BM197" s="29">
        <f t="shared" si="161"/>
        <v>0</v>
      </c>
      <c r="BN197" s="29">
        <f t="shared" si="161"/>
        <v>0</v>
      </c>
      <c r="BO197" s="29">
        <f t="shared" si="161"/>
        <v>0</v>
      </c>
      <c r="BP197" s="29">
        <f t="shared" si="161"/>
        <v>0</v>
      </c>
      <c r="BQ197" s="29">
        <f t="shared" si="161"/>
        <v>0</v>
      </c>
      <c r="BR197" s="29">
        <f t="shared" si="161"/>
        <v>0</v>
      </c>
      <c r="BS197" s="29">
        <f t="shared" si="161"/>
        <v>0</v>
      </c>
      <c r="BT197" s="29">
        <f t="shared" si="161"/>
        <v>0</v>
      </c>
      <c r="BU197" s="29">
        <f t="shared" si="161"/>
        <v>0</v>
      </c>
      <c r="BV197" s="29">
        <f t="shared" si="161"/>
        <v>0</v>
      </c>
      <c r="BW197" s="29">
        <f t="shared" si="161"/>
        <v>0</v>
      </c>
      <c r="BX197" s="29">
        <f t="shared" si="161"/>
        <v>0</v>
      </c>
      <c r="BY197" s="29">
        <f t="shared" si="161"/>
        <v>0</v>
      </c>
      <c r="BZ197" s="29">
        <f t="shared" si="161"/>
        <v>0</v>
      </c>
      <c r="CA197" s="29">
        <f t="shared" si="161"/>
        <v>0</v>
      </c>
      <c r="CB197" s="29">
        <f t="shared" si="161"/>
        <v>0</v>
      </c>
      <c r="CC197" s="29">
        <f t="shared" si="161"/>
        <v>0</v>
      </c>
      <c r="CD197" s="29">
        <f t="shared" si="161"/>
        <v>0</v>
      </c>
      <c r="CE197" s="29">
        <f t="shared" si="161"/>
        <v>0</v>
      </c>
      <c r="CF197" s="29">
        <f t="shared" si="161"/>
        <v>0</v>
      </c>
      <c r="CG197" s="29">
        <f t="shared" si="161"/>
        <v>0</v>
      </c>
      <c r="CH197" s="29">
        <f t="shared" si="161"/>
        <v>0</v>
      </c>
    </row>
    <row r="198" spans="2:86" ht="13">
      <c r="B198" s="15" t="s">
        <v>264</v>
      </c>
      <c r="C198" s="15"/>
      <c r="D198" s="15" t="s">
        <v>238</v>
      </c>
      <c r="E198" s="29">
        <f t="shared" ca="1" si="159"/>
        <v>0</v>
      </c>
      <c r="F198" s="82" t="str">
        <f t="shared" si="160"/>
        <v>Follow on Investments</v>
      </c>
      <c r="G198" s="29">
        <f t="shared" ref="G198:CH198" ca="1" si="162">-1*G36</f>
        <v>0</v>
      </c>
      <c r="H198" s="29">
        <f t="shared" ca="1" si="162"/>
        <v>0</v>
      </c>
      <c r="I198" s="29">
        <f t="shared" ca="1" si="162"/>
        <v>0</v>
      </c>
      <c r="J198" s="29">
        <f t="shared" ca="1" si="162"/>
        <v>0</v>
      </c>
      <c r="K198" s="29">
        <f t="shared" ca="1" si="162"/>
        <v>0</v>
      </c>
      <c r="L198" s="29">
        <f t="shared" ca="1" si="162"/>
        <v>0</v>
      </c>
      <c r="M198" s="29">
        <f t="shared" ca="1" si="162"/>
        <v>0</v>
      </c>
      <c r="N198" s="29">
        <f t="shared" ca="1" si="162"/>
        <v>0</v>
      </c>
      <c r="O198" s="29">
        <f t="shared" ca="1" si="162"/>
        <v>0</v>
      </c>
      <c r="P198" s="29">
        <f t="shared" ca="1" si="162"/>
        <v>0</v>
      </c>
      <c r="Q198" s="29">
        <f t="shared" ca="1" si="162"/>
        <v>0</v>
      </c>
      <c r="R198" s="29">
        <f t="shared" ca="1" si="162"/>
        <v>0</v>
      </c>
      <c r="S198" s="29">
        <f t="shared" ca="1" si="162"/>
        <v>0</v>
      </c>
      <c r="T198" s="29">
        <f t="shared" ca="1" si="162"/>
        <v>0</v>
      </c>
      <c r="U198" s="29">
        <f t="shared" ca="1" si="162"/>
        <v>0</v>
      </c>
      <c r="V198" s="29">
        <f t="shared" ca="1" si="162"/>
        <v>0</v>
      </c>
      <c r="W198" s="29">
        <f t="shared" ca="1" si="162"/>
        <v>0</v>
      </c>
      <c r="X198" s="29">
        <f t="shared" ca="1" si="162"/>
        <v>0</v>
      </c>
      <c r="Y198" s="29">
        <f t="shared" ca="1" si="162"/>
        <v>0</v>
      </c>
      <c r="Z198" s="29">
        <f t="shared" ca="1" si="162"/>
        <v>0</v>
      </c>
      <c r="AA198" s="29">
        <f t="shared" ca="1" si="162"/>
        <v>0</v>
      </c>
      <c r="AB198" s="29">
        <f t="shared" ca="1" si="162"/>
        <v>0</v>
      </c>
      <c r="AC198" s="29">
        <f t="shared" ca="1" si="162"/>
        <v>0</v>
      </c>
      <c r="AD198" s="29">
        <f t="shared" ca="1" si="162"/>
        <v>0</v>
      </c>
      <c r="AE198" s="29">
        <f t="shared" ca="1" si="162"/>
        <v>0</v>
      </c>
      <c r="AF198" s="29">
        <f t="shared" ca="1" si="162"/>
        <v>0</v>
      </c>
      <c r="AG198" s="29">
        <f t="shared" ca="1" si="162"/>
        <v>0</v>
      </c>
      <c r="AH198" s="29">
        <f t="shared" ca="1" si="162"/>
        <v>0</v>
      </c>
      <c r="AI198" s="29">
        <f t="shared" ca="1" si="162"/>
        <v>0</v>
      </c>
      <c r="AJ198" s="29">
        <f t="shared" ca="1" si="162"/>
        <v>0</v>
      </c>
      <c r="AK198" s="29">
        <f t="shared" ca="1" si="162"/>
        <v>0</v>
      </c>
      <c r="AL198" s="29">
        <f t="shared" ca="1" si="162"/>
        <v>0</v>
      </c>
      <c r="AM198" s="29">
        <f t="shared" ca="1" si="162"/>
        <v>0</v>
      </c>
      <c r="AN198" s="29">
        <f t="shared" ca="1" si="162"/>
        <v>0</v>
      </c>
      <c r="AO198" s="29">
        <f t="shared" ca="1" si="162"/>
        <v>0</v>
      </c>
      <c r="AP198" s="29">
        <f t="shared" ca="1" si="162"/>
        <v>0</v>
      </c>
      <c r="AQ198" s="29">
        <f t="shared" ca="1" si="162"/>
        <v>0</v>
      </c>
      <c r="AR198" s="29">
        <f t="shared" ca="1" si="162"/>
        <v>0</v>
      </c>
      <c r="AS198" s="29">
        <f t="shared" ca="1" si="162"/>
        <v>0</v>
      </c>
      <c r="AT198" s="29">
        <f t="shared" ca="1" si="162"/>
        <v>0</v>
      </c>
      <c r="AU198" s="29">
        <f t="shared" ca="1" si="162"/>
        <v>0</v>
      </c>
      <c r="AV198" s="29">
        <f t="shared" ca="1" si="162"/>
        <v>0</v>
      </c>
      <c r="AW198" s="29">
        <f t="shared" ca="1" si="162"/>
        <v>0</v>
      </c>
      <c r="AX198" s="29">
        <f t="shared" ca="1" si="162"/>
        <v>0</v>
      </c>
      <c r="AY198" s="29">
        <f t="shared" ca="1" si="162"/>
        <v>0</v>
      </c>
      <c r="AZ198" s="29">
        <f t="shared" ca="1" si="162"/>
        <v>0</v>
      </c>
      <c r="BA198" s="29">
        <f t="shared" ca="1" si="162"/>
        <v>0</v>
      </c>
      <c r="BB198" s="29">
        <f t="shared" ca="1" si="162"/>
        <v>0</v>
      </c>
      <c r="BC198" s="29">
        <f t="shared" ca="1" si="162"/>
        <v>0</v>
      </c>
      <c r="BD198" s="29">
        <f t="shared" ca="1" si="162"/>
        <v>0</v>
      </c>
      <c r="BE198" s="29">
        <f t="shared" ca="1" si="162"/>
        <v>0</v>
      </c>
      <c r="BF198" s="29">
        <f t="shared" ca="1" si="162"/>
        <v>0</v>
      </c>
      <c r="BG198" s="29">
        <f t="shared" ca="1" si="162"/>
        <v>0</v>
      </c>
      <c r="BH198" s="29">
        <f t="shared" ca="1" si="162"/>
        <v>0</v>
      </c>
      <c r="BI198" s="29">
        <f t="shared" ca="1" si="162"/>
        <v>0</v>
      </c>
      <c r="BJ198" s="29">
        <f t="shared" ca="1" si="162"/>
        <v>0</v>
      </c>
      <c r="BK198" s="29">
        <f t="shared" ca="1" si="162"/>
        <v>0</v>
      </c>
      <c r="BL198" s="29">
        <f t="shared" ca="1" si="162"/>
        <v>0</v>
      </c>
      <c r="BM198" s="29">
        <f t="shared" ca="1" si="162"/>
        <v>0</v>
      </c>
      <c r="BN198" s="29">
        <f t="shared" ca="1" si="162"/>
        <v>0</v>
      </c>
      <c r="BO198" s="29">
        <f t="shared" ca="1" si="162"/>
        <v>0</v>
      </c>
      <c r="BP198" s="29">
        <f t="shared" ca="1" si="162"/>
        <v>0</v>
      </c>
      <c r="BQ198" s="29">
        <f t="shared" ca="1" si="162"/>
        <v>0</v>
      </c>
      <c r="BR198" s="29">
        <f t="shared" ca="1" si="162"/>
        <v>0</v>
      </c>
      <c r="BS198" s="29">
        <f t="shared" ca="1" si="162"/>
        <v>0</v>
      </c>
      <c r="BT198" s="29">
        <f t="shared" ca="1" si="162"/>
        <v>0</v>
      </c>
      <c r="BU198" s="29">
        <f t="shared" ca="1" si="162"/>
        <v>0</v>
      </c>
      <c r="BV198" s="29">
        <f t="shared" ca="1" si="162"/>
        <v>0</v>
      </c>
      <c r="BW198" s="29">
        <f t="shared" ca="1" si="162"/>
        <v>0</v>
      </c>
      <c r="BX198" s="29">
        <f t="shared" ca="1" si="162"/>
        <v>0</v>
      </c>
      <c r="BY198" s="29">
        <f t="shared" ca="1" si="162"/>
        <v>0</v>
      </c>
      <c r="BZ198" s="29">
        <f t="shared" ca="1" si="162"/>
        <v>0</v>
      </c>
      <c r="CA198" s="29">
        <f t="shared" ca="1" si="162"/>
        <v>0</v>
      </c>
      <c r="CB198" s="29">
        <f t="shared" ca="1" si="162"/>
        <v>0</v>
      </c>
      <c r="CC198" s="29">
        <f t="shared" ca="1" si="162"/>
        <v>0</v>
      </c>
      <c r="CD198" s="29">
        <f t="shared" ca="1" si="162"/>
        <v>0</v>
      </c>
      <c r="CE198" s="29">
        <f t="shared" ca="1" si="162"/>
        <v>0</v>
      </c>
      <c r="CF198" s="29">
        <f t="shared" ca="1" si="162"/>
        <v>0</v>
      </c>
      <c r="CG198" s="29">
        <f t="shared" ca="1" si="162"/>
        <v>0</v>
      </c>
      <c r="CH198" s="29">
        <f t="shared" ca="1" si="162"/>
        <v>0</v>
      </c>
    </row>
    <row r="199" spans="2:86" ht="13">
      <c r="B199" s="15" t="s">
        <v>255</v>
      </c>
      <c r="C199" s="15"/>
      <c r="D199" s="15" t="s">
        <v>238</v>
      </c>
      <c r="E199" s="29">
        <f t="shared" si="159"/>
        <v>-5750000</v>
      </c>
      <c r="F199" s="82" t="str">
        <f t="shared" si="160"/>
        <v>Fees</v>
      </c>
      <c r="G199" s="29">
        <f t="shared" ref="G199:CH199" si="163">SUM(G39,G40,G41)*-1</f>
        <v>-241250</v>
      </c>
      <c r="H199" s="29">
        <f t="shared" si="163"/>
        <v>-141250</v>
      </c>
      <c r="I199" s="29">
        <f t="shared" si="163"/>
        <v>-141250</v>
      </c>
      <c r="J199" s="29">
        <f t="shared" si="163"/>
        <v>-141250</v>
      </c>
      <c r="K199" s="29">
        <f t="shared" si="163"/>
        <v>-141250</v>
      </c>
      <c r="L199" s="29">
        <f t="shared" si="163"/>
        <v>-141250</v>
      </c>
      <c r="M199" s="29">
        <f t="shared" si="163"/>
        <v>-141250</v>
      </c>
      <c r="N199" s="29">
        <f t="shared" si="163"/>
        <v>-141250</v>
      </c>
      <c r="O199" s="29">
        <f t="shared" si="163"/>
        <v>-141250</v>
      </c>
      <c r="P199" s="29">
        <f t="shared" si="163"/>
        <v>-141250</v>
      </c>
      <c r="Q199" s="29">
        <f t="shared" si="163"/>
        <v>-141250</v>
      </c>
      <c r="R199" s="29">
        <f t="shared" si="163"/>
        <v>-141250</v>
      </c>
      <c r="S199" s="29">
        <f t="shared" si="163"/>
        <v>-141250</v>
      </c>
      <c r="T199" s="29">
        <f t="shared" si="163"/>
        <v>-141250</v>
      </c>
      <c r="U199" s="29">
        <f t="shared" si="163"/>
        <v>-141250</v>
      </c>
      <c r="V199" s="29">
        <f t="shared" si="163"/>
        <v>-141250</v>
      </c>
      <c r="W199" s="29">
        <f t="shared" si="163"/>
        <v>-141250</v>
      </c>
      <c r="X199" s="29">
        <f t="shared" si="163"/>
        <v>-141250</v>
      </c>
      <c r="Y199" s="29">
        <f t="shared" si="163"/>
        <v>-141250</v>
      </c>
      <c r="Z199" s="29">
        <f t="shared" si="163"/>
        <v>-141250</v>
      </c>
      <c r="AA199" s="29">
        <f t="shared" si="163"/>
        <v>-141250</v>
      </c>
      <c r="AB199" s="29">
        <f t="shared" si="163"/>
        <v>-141250</v>
      </c>
      <c r="AC199" s="29">
        <f t="shared" si="163"/>
        <v>-141250</v>
      </c>
      <c r="AD199" s="29">
        <f t="shared" si="163"/>
        <v>-141250</v>
      </c>
      <c r="AE199" s="29">
        <f t="shared" si="163"/>
        <v>-141250</v>
      </c>
      <c r="AF199" s="29">
        <f t="shared" si="163"/>
        <v>-141250</v>
      </c>
      <c r="AG199" s="29">
        <f t="shared" si="163"/>
        <v>-141250</v>
      </c>
      <c r="AH199" s="29">
        <f t="shared" si="163"/>
        <v>-141250</v>
      </c>
      <c r="AI199" s="29">
        <f t="shared" si="163"/>
        <v>-141250</v>
      </c>
      <c r="AJ199" s="29">
        <f t="shared" si="163"/>
        <v>-141250</v>
      </c>
      <c r="AK199" s="29">
        <f t="shared" si="163"/>
        <v>-141250</v>
      </c>
      <c r="AL199" s="29">
        <f t="shared" si="163"/>
        <v>-141250</v>
      </c>
      <c r="AM199" s="29">
        <f t="shared" si="163"/>
        <v>-141250</v>
      </c>
      <c r="AN199" s="29">
        <f t="shared" si="163"/>
        <v>-141250</v>
      </c>
      <c r="AO199" s="29">
        <f t="shared" si="163"/>
        <v>-141250</v>
      </c>
      <c r="AP199" s="29">
        <f t="shared" si="163"/>
        <v>-141250</v>
      </c>
      <c r="AQ199" s="29">
        <f t="shared" si="163"/>
        <v>-141250</v>
      </c>
      <c r="AR199" s="29">
        <f t="shared" si="163"/>
        <v>-141250</v>
      </c>
      <c r="AS199" s="29">
        <f t="shared" si="163"/>
        <v>-141250</v>
      </c>
      <c r="AT199" s="29">
        <f t="shared" si="163"/>
        <v>-141250</v>
      </c>
      <c r="AU199" s="29">
        <f t="shared" si="163"/>
        <v>0</v>
      </c>
      <c r="AV199" s="29">
        <f t="shared" si="163"/>
        <v>0</v>
      </c>
      <c r="AW199" s="29">
        <f t="shared" si="163"/>
        <v>0</v>
      </c>
      <c r="AX199" s="29">
        <f t="shared" si="163"/>
        <v>0</v>
      </c>
      <c r="AY199" s="29">
        <f t="shared" si="163"/>
        <v>0</v>
      </c>
      <c r="AZ199" s="29">
        <f t="shared" si="163"/>
        <v>0</v>
      </c>
      <c r="BA199" s="29">
        <f t="shared" si="163"/>
        <v>0</v>
      </c>
      <c r="BB199" s="29">
        <f t="shared" si="163"/>
        <v>0</v>
      </c>
      <c r="BC199" s="29">
        <f t="shared" si="163"/>
        <v>0</v>
      </c>
      <c r="BD199" s="29">
        <f t="shared" si="163"/>
        <v>0</v>
      </c>
      <c r="BE199" s="29">
        <f t="shared" si="163"/>
        <v>0</v>
      </c>
      <c r="BF199" s="29">
        <f t="shared" si="163"/>
        <v>0</v>
      </c>
      <c r="BG199" s="29">
        <f t="shared" si="163"/>
        <v>0</v>
      </c>
      <c r="BH199" s="29">
        <f t="shared" si="163"/>
        <v>0</v>
      </c>
      <c r="BI199" s="29">
        <f t="shared" si="163"/>
        <v>0</v>
      </c>
      <c r="BJ199" s="29">
        <f t="shared" si="163"/>
        <v>0</v>
      </c>
      <c r="BK199" s="29">
        <f t="shared" si="163"/>
        <v>0</v>
      </c>
      <c r="BL199" s="29">
        <f t="shared" si="163"/>
        <v>0</v>
      </c>
      <c r="BM199" s="29">
        <f t="shared" si="163"/>
        <v>0</v>
      </c>
      <c r="BN199" s="29">
        <f t="shared" si="163"/>
        <v>0</v>
      </c>
      <c r="BO199" s="29">
        <f t="shared" si="163"/>
        <v>0</v>
      </c>
      <c r="BP199" s="29">
        <f t="shared" si="163"/>
        <v>0</v>
      </c>
      <c r="BQ199" s="29">
        <f t="shared" si="163"/>
        <v>0</v>
      </c>
      <c r="BR199" s="29">
        <f t="shared" si="163"/>
        <v>0</v>
      </c>
      <c r="BS199" s="29">
        <f t="shared" si="163"/>
        <v>0</v>
      </c>
      <c r="BT199" s="29">
        <f t="shared" si="163"/>
        <v>0</v>
      </c>
      <c r="BU199" s="29">
        <f t="shared" si="163"/>
        <v>0</v>
      </c>
      <c r="BV199" s="29">
        <f t="shared" si="163"/>
        <v>0</v>
      </c>
      <c r="BW199" s="29">
        <f t="shared" si="163"/>
        <v>0</v>
      </c>
      <c r="BX199" s="29">
        <f t="shared" si="163"/>
        <v>0</v>
      </c>
      <c r="BY199" s="29">
        <f t="shared" si="163"/>
        <v>0</v>
      </c>
      <c r="BZ199" s="29">
        <f t="shared" si="163"/>
        <v>0</v>
      </c>
      <c r="CA199" s="29">
        <f t="shared" si="163"/>
        <v>0</v>
      </c>
      <c r="CB199" s="29">
        <f t="shared" si="163"/>
        <v>0</v>
      </c>
      <c r="CC199" s="29">
        <f t="shared" si="163"/>
        <v>0</v>
      </c>
      <c r="CD199" s="29">
        <f t="shared" si="163"/>
        <v>0</v>
      </c>
      <c r="CE199" s="29">
        <f t="shared" si="163"/>
        <v>0</v>
      </c>
      <c r="CF199" s="29">
        <f t="shared" si="163"/>
        <v>0</v>
      </c>
      <c r="CG199" s="29">
        <f t="shared" si="163"/>
        <v>0</v>
      </c>
      <c r="CH199" s="29">
        <f t="shared" si="163"/>
        <v>0</v>
      </c>
    </row>
    <row r="200" spans="2:86" ht="13">
      <c r="B200" s="15" t="s">
        <v>221</v>
      </c>
      <c r="C200" s="15"/>
      <c r="D200" s="15" t="s">
        <v>238</v>
      </c>
      <c r="E200" s="29">
        <f t="shared" ca="1" si="159"/>
        <v>80701812.083333269</v>
      </c>
      <c r="F200" s="82" t="str">
        <f t="shared" si="160"/>
        <v>Distributions</v>
      </c>
      <c r="G200" s="29">
        <f t="shared" ref="G200:CH200" ca="1" si="164">G47</f>
        <v>0</v>
      </c>
      <c r="H200" s="29">
        <f t="shared" ca="1" si="164"/>
        <v>0</v>
      </c>
      <c r="I200" s="29">
        <f t="shared" ca="1" si="164"/>
        <v>0</v>
      </c>
      <c r="J200" s="29">
        <f t="shared" ca="1" si="164"/>
        <v>0</v>
      </c>
      <c r="K200" s="29">
        <f t="shared" ca="1" si="164"/>
        <v>0</v>
      </c>
      <c r="L200" s="29">
        <f t="shared" ca="1" si="164"/>
        <v>0</v>
      </c>
      <c r="M200" s="29">
        <f t="shared" ca="1" si="164"/>
        <v>0</v>
      </c>
      <c r="N200" s="29">
        <f t="shared" ca="1" si="164"/>
        <v>0</v>
      </c>
      <c r="O200" s="29">
        <f t="shared" ca="1" si="164"/>
        <v>0</v>
      </c>
      <c r="P200" s="29">
        <f t="shared" ca="1" si="164"/>
        <v>0</v>
      </c>
      <c r="Q200" s="29">
        <f t="shared" ca="1" si="164"/>
        <v>0</v>
      </c>
      <c r="R200" s="29">
        <f t="shared" ca="1" si="164"/>
        <v>0</v>
      </c>
      <c r="S200" s="29">
        <f t="shared" ca="1" si="164"/>
        <v>1053135.4166666672</v>
      </c>
      <c r="T200" s="29">
        <f t="shared" ca="1" si="164"/>
        <v>1053135.4166666672</v>
      </c>
      <c r="U200" s="29">
        <f t="shared" ca="1" si="164"/>
        <v>1053135.4166666672</v>
      </c>
      <c r="V200" s="29">
        <f t="shared" ca="1" si="164"/>
        <v>1053135.4166666672</v>
      </c>
      <c r="W200" s="29">
        <f t="shared" ca="1" si="164"/>
        <v>3966703.1250000005</v>
      </c>
      <c r="X200" s="29">
        <f t="shared" ca="1" si="164"/>
        <v>3820122.2373188408</v>
      </c>
      <c r="Y200" s="29">
        <f t="shared" ca="1" si="164"/>
        <v>3454983.0533596845</v>
      </c>
      <c r="Z200" s="29">
        <f t="shared" ca="1" si="164"/>
        <v>3454983.0533596841</v>
      </c>
      <c r="AA200" s="29">
        <f t="shared" ca="1" si="164"/>
        <v>3494591.0902503296</v>
      </c>
      <c r="AB200" s="29">
        <f t="shared" ca="1" si="164"/>
        <v>3494591.09025033</v>
      </c>
      <c r="AC200" s="29">
        <f t="shared" ca="1" si="164"/>
        <v>3494591.09025033</v>
      </c>
      <c r="AD200" s="29">
        <f t="shared" ca="1" si="164"/>
        <v>3494591.09025033</v>
      </c>
      <c r="AE200" s="29">
        <f t="shared" ca="1" si="164"/>
        <v>4892986.4509222666</v>
      </c>
      <c r="AF200" s="29">
        <f t="shared" ca="1" si="164"/>
        <v>4892986.4509222666</v>
      </c>
      <c r="AG200" s="29">
        <f t="shared" ca="1" si="164"/>
        <v>4892986.4509222666</v>
      </c>
      <c r="AH200" s="29">
        <f t="shared" ca="1" si="164"/>
        <v>4892986.4509222666</v>
      </c>
      <c r="AI200" s="29">
        <f t="shared" ca="1" si="164"/>
        <v>4003391.1520092217</v>
      </c>
      <c r="AJ200" s="29">
        <f t="shared" ca="1" si="164"/>
        <v>4003391.1520092217</v>
      </c>
      <c r="AK200" s="29">
        <f t="shared" ca="1" si="164"/>
        <v>4003391.1520092217</v>
      </c>
      <c r="AL200" s="29">
        <f t="shared" ca="1" si="164"/>
        <v>4003391.1520092217</v>
      </c>
      <c r="AM200" s="29">
        <f t="shared" ca="1" si="164"/>
        <v>1379165.8843873511</v>
      </c>
      <c r="AN200" s="29">
        <f t="shared" ca="1" si="164"/>
        <v>1379165.8843873511</v>
      </c>
      <c r="AO200" s="29">
        <f t="shared" ca="1" si="164"/>
        <v>1379165.8843873511</v>
      </c>
      <c r="AP200" s="29">
        <f t="shared" ca="1" si="164"/>
        <v>1379165.8843873511</v>
      </c>
      <c r="AQ200" s="29">
        <f t="shared" ca="1" si="164"/>
        <v>1677985.1593379439</v>
      </c>
      <c r="AR200" s="29">
        <f t="shared" ca="1" si="164"/>
        <v>1677985.1593379439</v>
      </c>
      <c r="AS200" s="29">
        <f t="shared" ca="1" si="164"/>
        <v>1677985.1593379439</v>
      </c>
      <c r="AT200" s="29">
        <f t="shared" ca="1" si="164"/>
        <v>1677985.1593379439</v>
      </c>
      <c r="AU200" s="29">
        <f t="shared" ca="1" si="164"/>
        <v>0</v>
      </c>
      <c r="AV200" s="29">
        <f t="shared" ca="1" si="164"/>
        <v>0</v>
      </c>
      <c r="AW200" s="29">
        <f t="shared" ca="1" si="164"/>
        <v>0</v>
      </c>
      <c r="AX200" s="29">
        <f t="shared" ca="1" si="164"/>
        <v>0</v>
      </c>
      <c r="AY200" s="29">
        <f t="shared" ca="1" si="164"/>
        <v>0</v>
      </c>
      <c r="AZ200" s="29">
        <f t="shared" ca="1" si="164"/>
        <v>0</v>
      </c>
      <c r="BA200" s="29">
        <f t="shared" ca="1" si="164"/>
        <v>0</v>
      </c>
      <c r="BB200" s="29">
        <f t="shared" ca="1" si="164"/>
        <v>0</v>
      </c>
      <c r="BC200" s="29">
        <f t="shared" ca="1" si="164"/>
        <v>0</v>
      </c>
      <c r="BD200" s="29">
        <f t="shared" ca="1" si="164"/>
        <v>0</v>
      </c>
      <c r="BE200" s="29">
        <f t="shared" ca="1" si="164"/>
        <v>0</v>
      </c>
      <c r="BF200" s="29">
        <f t="shared" ca="1" si="164"/>
        <v>0</v>
      </c>
      <c r="BG200" s="29">
        <f t="shared" ca="1" si="164"/>
        <v>0</v>
      </c>
      <c r="BH200" s="29">
        <f t="shared" ca="1" si="164"/>
        <v>0</v>
      </c>
      <c r="BI200" s="29">
        <f t="shared" ca="1" si="164"/>
        <v>0</v>
      </c>
      <c r="BJ200" s="29">
        <f t="shared" ca="1" si="164"/>
        <v>0</v>
      </c>
      <c r="BK200" s="29">
        <f t="shared" ca="1" si="164"/>
        <v>0</v>
      </c>
      <c r="BL200" s="29">
        <f t="shared" ca="1" si="164"/>
        <v>0</v>
      </c>
      <c r="BM200" s="29">
        <f t="shared" ca="1" si="164"/>
        <v>0</v>
      </c>
      <c r="BN200" s="29">
        <f t="shared" ca="1" si="164"/>
        <v>0</v>
      </c>
      <c r="BO200" s="29">
        <f t="shared" ca="1" si="164"/>
        <v>0</v>
      </c>
      <c r="BP200" s="29">
        <f t="shared" ca="1" si="164"/>
        <v>0</v>
      </c>
      <c r="BQ200" s="29">
        <f t="shared" ca="1" si="164"/>
        <v>0</v>
      </c>
      <c r="BR200" s="29">
        <f t="shared" ca="1" si="164"/>
        <v>0</v>
      </c>
      <c r="BS200" s="29">
        <f t="shared" ca="1" si="164"/>
        <v>0</v>
      </c>
      <c r="BT200" s="29">
        <f t="shared" ca="1" si="164"/>
        <v>0</v>
      </c>
      <c r="BU200" s="29">
        <f t="shared" ca="1" si="164"/>
        <v>0</v>
      </c>
      <c r="BV200" s="29">
        <f t="shared" ca="1" si="164"/>
        <v>0</v>
      </c>
      <c r="BW200" s="29">
        <f t="shared" ca="1" si="164"/>
        <v>0</v>
      </c>
      <c r="BX200" s="29">
        <f t="shared" ca="1" si="164"/>
        <v>0</v>
      </c>
      <c r="BY200" s="29">
        <f t="shared" ca="1" si="164"/>
        <v>0</v>
      </c>
      <c r="BZ200" s="29">
        <f t="shared" ca="1" si="164"/>
        <v>0</v>
      </c>
      <c r="CA200" s="29">
        <f t="shared" ca="1" si="164"/>
        <v>0</v>
      </c>
      <c r="CB200" s="29">
        <f t="shared" ca="1" si="164"/>
        <v>0</v>
      </c>
      <c r="CC200" s="29">
        <f t="shared" ca="1" si="164"/>
        <v>0</v>
      </c>
      <c r="CD200" s="29">
        <f t="shared" ca="1" si="164"/>
        <v>0</v>
      </c>
      <c r="CE200" s="29">
        <f t="shared" ca="1" si="164"/>
        <v>0</v>
      </c>
      <c r="CF200" s="29">
        <f t="shared" ca="1" si="164"/>
        <v>0</v>
      </c>
      <c r="CG200" s="29">
        <f t="shared" ca="1" si="164"/>
        <v>0</v>
      </c>
      <c r="CH200" s="29">
        <f t="shared" ca="1" si="164"/>
        <v>0</v>
      </c>
    </row>
    <row r="201" spans="2:86" ht="13">
      <c r="B201" s="15" t="s">
        <v>220</v>
      </c>
      <c r="C201" s="15"/>
      <c r="D201" s="15" t="s">
        <v>238</v>
      </c>
      <c r="E201" s="29">
        <f t="shared" ca="1" si="159"/>
        <v>13925453.020833328</v>
      </c>
      <c r="F201" s="82" t="str">
        <f t="shared" si="160"/>
        <v>Carried Interest</v>
      </c>
      <c r="G201" s="29">
        <f t="shared" ref="G201:CH201" ca="1" si="165">G46+G45</f>
        <v>0</v>
      </c>
      <c r="H201" s="29">
        <f t="shared" ca="1" si="165"/>
        <v>0</v>
      </c>
      <c r="I201" s="29">
        <f t="shared" ca="1" si="165"/>
        <v>0</v>
      </c>
      <c r="J201" s="29">
        <f t="shared" ca="1" si="165"/>
        <v>0</v>
      </c>
      <c r="K201" s="29">
        <f t="shared" ca="1" si="165"/>
        <v>0</v>
      </c>
      <c r="L201" s="29">
        <f t="shared" ca="1" si="165"/>
        <v>0</v>
      </c>
      <c r="M201" s="29">
        <f t="shared" ca="1" si="165"/>
        <v>0</v>
      </c>
      <c r="N201" s="29">
        <f t="shared" ca="1" si="165"/>
        <v>0</v>
      </c>
      <c r="O201" s="29">
        <f t="shared" ca="1" si="165"/>
        <v>0</v>
      </c>
      <c r="P201" s="29">
        <f t="shared" ca="1" si="165"/>
        <v>0</v>
      </c>
      <c r="Q201" s="29">
        <f t="shared" ca="1" si="165"/>
        <v>0</v>
      </c>
      <c r="R201" s="29">
        <f t="shared" ca="1" si="165"/>
        <v>0</v>
      </c>
      <c r="S201" s="29">
        <f t="shared" ca="1" si="165"/>
        <v>0</v>
      </c>
      <c r="T201" s="29">
        <f t="shared" ca="1" si="165"/>
        <v>0</v>
      </c>
      <c r="U201" s="29">
        <f t="shared" ca="1" si="165"/>
        <v>0</v>
      </c>
      <c r="V201" s="29">
        <f t="shared" ca="1" si="165"/>
        <v>0</v>
      </c>
      <c r="W201" s="29">
        <f t="shared" ca="1" si="165"/>
        <v>0</v>
      </c>
      <c r="X201" s="29">
        <f t="shared" ca="1" si="165"/>
        <v>146580.88768115948</v>
      </c>
      <c r="Y201" s="29">
        <f t="shared" ca="1" si="165"/>
        <v>511720.07164031616</v>
      </c>
      <c r="Z201" s="29">
        <f t="shared" ca="1" si="165"/>
        <v>511720.07164031605</v>
      </c>
      <c r="AA201" s="29">
        <f t="shared" ca="1" si="165"/>
        <v>472112.03474967083</v>
      </c>
      <c r="AB201" s="29">
        <f t="shared" ca="1" si="165"/>
        <v>472112.03474967042</v>
      </c>
      <c r="AC201" s="29">
        <f t="shared" ca="1" si="165"/>
        <v>472112.03474967042</v>
      </c>
      <c r="AD201" s="29">
        <f t="shared" ca="1" si="165"/>
        <v>472112.03474967042</v>
      </c>
      <c r="AE201" s="29">
        <f t="shared" ca="1" si="165"/>
        <v>1063805.7365777337</v>
      </c>
      <c r="AF201" s="29">
        <f t="shared" ca="1" si="165"/>
        <v>1063805.7365777337</v>
      </c>
      <c r="AG201" s="29">
        <f t="shared" ca="1" si="165"/>
        <v>1063805.7365777337</v>
      </c>
      <c r="AH201" s="29">
        <f t="shared" ca="1" si="165"/>
        <v>1063805.7365777337</v>
      </c>
      <c r="AI201" s="29">
        <f t="shared" ca="1" si="165"/>
        <v>929722.12924077723</v>
      </c>
      <c r="AJ201" s="29">
        <f t="shared" ca="1" si="165"/>
        <v>929722.12924077723</v>
      </c>
      <c r="AK201" s="29">
        <f t="shared" ca="1" si="165"/>
        <v>929722.12924077723</v>
      </c>
      <c r="AL201" s="29">
        <f t="shared" ca="1" si="165"/>
        <v>929722.12924077723</v>
      </c>
      <c r="AM201" s="29">
        <f t="shared" ca="1" si="165"/>
        <v>326263.80311264837</v>
      </c>
      <c r="AN201" s="29">
        <f t="shared" ca="1" si="165"/>
        <v>326263.80311264837</v>
      </c>
      <c r="AO201" s="29">
        <f t="shared" ca="1" si="165"/>
        <v>326263.80311264837</v>
      </c>
      <c r="AP201" s="29">
        <f t="shared" ca="1" si="165"/>
        <v>326263.80311264837</v>
      </c>
      <c r="AQ201" s="29">
        <f t="shared" ca="1" si="165"/>
        <v>396954.2937870553</v>
      </c>
      <c r="AR201" s="29">
        <f t="shared" ca="1" si="165"/>
        <v>396954.2937870553</v>
      </c>
      <c r="AS201" s="29">
        <f t="shared" ca="1" si="165"/>
        <v>396954.2937870553</v>
      </c>
      <c r="AT201" s="29">
        <f t="shared" ca="1" si="165"/>
        <v>396954.2937870553</v>
      </c>
      <c r="AU201" s="29">
        <f t="shared" ca="1" si="165"/>
        <v>0</v>
      </c>
      <c r="AV201" s="29">
        <f t="shared" ca="1" si="165"/>
        <v>0</v>
      </c>
      <c r="AW201" s="29">
        <f t="shared" ca="1" si="165"/>
        <v>0</v>
      </c>
      <c r="AX201" s="29">
        <f t="shared" ca="1" si="165"/>
        <v>0</v>
      </c>
      <c r="AY201" s="29">
        <f t="shared" ca="1" si="165"/>
        <v>0</v>
      </c>
      <c r="AZ201" s="29">
        <f t="shared" ca="1" si="165"/>
        <v>0</v>
      </c>
      <c r="BA201" s="29">
        <f t="shared" ca="1" si="165"/>
        <v>0</v>
      </c>
      <c r="BB201" s="29">
        <f t="shared" ca="1" si="165"/>
        <v>0</v>
      </c>
      <c r="BC201" s="29">
        <f t="shared" ca="1" si="165"/>
        <v>0</v>
      </c>
      <c r="BD201" s="29">
        <f t="shared" ca="1" si="165"/>
        <v>0</v>
      </c>
      <c r="BE201" s="29">
        <f t="shared" ca="1" si="165"/>
        <v>0</v>
      </c>
      <c r="BF201" s="29">
        <f t="shared" ca="1" si="165"/>
        <v>0</v>
      </c>
      <c r="BG201" s="29">
        <f t="shared" ca="1" si="165"/>
        <v>0</v>
      </c>
      <c r="BH201" s="29">
        <f t="shared" ca="1" si="165"/>
        <v>0</v>
      </c>
      <c r="BI201" s="29">
        <f t="shared" ca="1" si="165"/>
        <v>0</v>
      </c>
      <c r="BJ201" s="29">
        <f t="shared" ca="1" si="165"/>
        <v>0</v>
      </c>
      <c r="BK201" s="29">
        <f t="shared" ca="1" si="165"/>
        <v>0</v>
      </c>
      <c r="BL201" s="29">
        <f t="shared" ca="1" si="165"/>
        <v>0</v>
      </c>
      <c r="BM201" s="29">
        <f t="shared" ca="1" si="165"/>
        <v>0</v>
      </c>
      <c r="BN201" s="29">
        <f t="shared" ca="1" si="165"/>
        <v>0</v>
      </c>
      <c r="BO201" s="29">
        <f t="shared" ca="1" si="165"/>
        <v>0</v>
      </c>
      <c r="BP201" s="29">
        <f t="shared" ca="1" si="165"/>
        <v>0</v>
      </c>
      <c r="BQ201" s="29">
        <f t="shared" ca="1" si="165"/>
        <v>0</v>
      </c>
      <c r="BR201" s="29">
        <f t="shared" ca="1" si="165"/>
        <v>0</v>
      </c>
      <c r="BS201" s="29">
        <f t="shared" ca="1" si="165"/>
        <v>0</v>
      </c>
      <c r="BT201" s="29">
        <f t="shared" ca="1" si="165"/>
        <v>0</v>
      </c>
      <c r="BU201" s="29">
        <f t="shared" ca="1" si="165"/>
        <v>0</v>
      </c>
      <c r="BV201" s="29">
        <f t="shared" ca="1" si="165"/>
        <v>0</v>
      </c>
      <c r="BW201" s="29">
        <f t="shared" ca="1" si="165"/>
        <v>0</v>
      </c>
      <c r="BX201" s="29">
        <f t="shared" ca="1" si="165"/>
        <v>0</v>
      </c>
      <c r="BY201" s="29">
        <f t="shared" ca="1" si="165"/>
        <v>0</v>
      </c>
      <c r="BZ201" s="29">
        <f t="shared" ca="1" si="165"/>
        <v>0</v>
      </c>
      <c r="CA201" s="29">
        <f t="shared" ca="1" si="165"/>
        <v>0</v>
      </c>
      <c r="CB201" s="29">
        <f t="shared" ca="1" si="165"/>
        <v>0</v>
      </c>
      <c r="CC201" s="29">
        <f t="shared" ca="1" si="165"/>
        <v>0</v>
      </c>
      <c r="CD201" s="29">
        <f t="shared" ca="1" si="165"/>
        <v>0</v>
      </c>
      <c r="CE201" s="29">
        <f t="shared" ca="1" si="165"/>
        <v>0</v>
      </c>
      <c r="CF201" s="29">
        <f t="shared" ca="1" si="165"/>
        <v>0</v>
      </c>
      <c r="CG201" s="29">
        <f t="shared" ca="1" si="165"/>
        <v>0</v>
      </c>
      <c r="CH201" s="29">
        <f t="shared" ca="1" si="165"/>
        <v>0</v>
      </c>
    </row>
    <row r="203" spans="2:86" ht="13" outlineLevel="1">
      <c r="B203" s="76" t="s">
        <v>316</v>
      </c>
      <c r="C203" s="15"/>
      <c r="D203" s="29"/>
      <c r="E203" s="29"/>
      <c r="F203" s="29"/>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row>
    <row r="204" spans="2:86" ht="13" outlineLevel="1">
      <c r="B204" s="13" t="str">
        <f>"Proceeds from investments exited within "&amp;'Get Started  2'!E$27&amp;" years"</f>
        <v>Proceeds from investments exited within 24 years</v>
      </c>
      <c r="C204" s="15"/>
      <c r="D204" s="15" t="s">
        <v>238</v>
      </c>
      <c r="E204" s="29">
        <f t="shared" ref="E204:E210" ca="1" si="166">IF(D204="sum",SUM(G204:CH204),IF(D204="final",CH204,IF(D204="initial",G204,IF(D204="average",AVERAGE(G204:CH204),0))))</f>
        <v>95669973.4375</v>
      </c>
      <c r="F204" s="29"/>
      <c r="G204" s="29">
        <f ca="1">IF('Get Started  2'!$H112&lt;='Get Started  2'!$E27,IF(AND(G4&lt;'Get Started  2'!$H112,'Get Started  2'!$H112&lt;='Get Started  2'!$E27),0,OFFSET(G37,0,-1*'Get Started  2'!$H112)*'Get Started  2'!$H42*'Get Started  2'!$G112),0)+IF('Get Started  2'!$H111&lt;='Get Started  2'!$E27,IF(G4&lt;'Get Started  2'!$H111,0,OFFSET(G37,0,-1*'Get Started  2'!$H111)*'Get Started  2'!$G42*'Get Started  2'!$G111),0)+IF('Get Started  2'!$H110&lt;='Get Started  2'!$E27,IF(G4&lt;'Get Started  2'!$H110,0,OFFSET(G37,0,-1*'Get Started  2'!$H110)*'Get Started  2'!$F42*'Get Started  2'!$G110),0)+IF('Get Started  2'!$H109&lt;='Get Started  2'!$E27,IF(G4&lt;'Get Started  2'!$H109,0,OFFSET(G37,0,-1*'Get Started  2'!$H109)*'Get Started  2'!$E42*'Get Started  2'!$G109),0)</f>
        <v>0</v>
      </c>
      <c r="H204" s="29">
        <f ca="1">IF('Get Started  2'!$H112&lt;='Get Started  2'!$E27,IF(AND(H4&lt;'Get Started  2'!$H112,'Get Started  2'!$H112&lt;='Get Started  2'!$E27),0,OFFSET(H37,0,-1*'Get Started  2'!$H112)*'Get Started  2'!$H42*'Get Started  2'!$G112),0)+IF('Get Started  2'!$H111&lt;='Get Started  2'!$E27,IF(H4&lt;'Get Started  2'!$H111,0,OFFSET(H37,0,-1*'Get Started  2'!$H111)*'Get Started  2'!$G42*'Get Started  2'!$G111),0)+IF('Get Started  2'!$H110&lt;='Get Started  2'!$E27,IF(H4&lt;'Get Started  2'!$H110,0,OFFSET(H37,0,-1*'Get Started  2'!$H110)*'Get Started  2'!$F42*'Get Started  2'!$G110),0)+IF('Get Started  2'!$H109&lt;='Get Started  2'!$E27,IF(H4&lt;'Get Started  2'!$H109,0,OFFSET(H37,0,-1*'Get Started  2'!$H109)*'Get Started  2'!$E42*'Get Started  2'!$G109),0)</f>
        <v>0</v>
      </c>
      <c r="I204" s="29">
        <f ca="1">IF('Get Started  2'!$H112&lt;='Get Started  2'!$E27,IF(AND(I4&lt;'Get Started  2'!$H112,'Get Started  2'!$H112&lt;='Get Started  2'!$E27),0,OFFSET(I37,0,-1*'Get Started  2'!$H112)*'Get Started  2'!$H42*'Get Started  2'!$G112),0)+IF('Get Started  2'!$H111&lt;='Get Started  2'!$E27,IF(I4&lt;'Get Started  2'!$H111,0,OFFSET(I37,0,-1*'Get Started  2'!$H111)*'Get Started  2'!$G42*'Get Started  2'!$G111),0)+IF('Get Started  2'!$H110&lt;='Get Started  2'!$E27,IF(I4&lt;'Get Started  2'!$H110,0,OFFSET(I37,0,-1*'Get Started  2'!$H110)*'Get Started  2'!$F42*'Get Started  2'!$G110),0)+IF('Get Started  2'!$H109&lt;='Get Started  2'!$E27,IF(I4&lt;'Get Started  2'!$H109,0,OFFSET(I37,0,-1*'Get Started  2'!$H109)*'Get Started  2'!$E42*'Get Started  2'!$G109),0)</f>
        <v>0</v>
      </c>
      <c r="J204" s="29">
        <f ca="1">IF('Get Started  2'!$H112&lt;='Get Started  2'!$E27,IF(AND(J4&lt;'Get Started  2'!$H112,'Get Started  2'!$H112&lt;='Get Started  2'!$E27),0,OFFSET(J37,0,-1*'Get Started  2'!$H112)*'Get Started  2'!$H42*'Get Started  2'!$G112),0)+IF('Get Started  2'!$H111&lt;='Get Started  2'!$E27,IF(J4&lt;'Get Started  2'!$H111,0,OFFSET(J37,0,-1*'Get Started  2'!$H111)*'Get Started  2'!$G42*'Get Started  2'!$G111),0)+IF('Get Started  2'!$H110&lt;='Get Started  2'!$E27,IF(J4&lt;'Get Started  2'!$H110,0,OFFSET(J37,0,-1*'Get Started  2'!$H110)*'Get Started  2'!$F42*'Get Started  2'!$G110),0)+IF('Get Started  2'!$H109&lt;='Get Started  2'!$E27,IF(J4&lt;'Get Started  2'!$H109,0,OFFSET(J37,0,-1*'Get Started  2'!$H109)*'Get Started  2'!$E42*'Get Started  2'!$G109),0)</f>
        <v>0</v>
      </c>
      <c r="K204" s="29">
        <f ca="1">IF('Get Started  2'!$H112&lt;='Get Started  2'!$E27,IF(AND(K4&lt;'Get Started  2'!$H112,'Get Started  2'!$H112&lt;='Get Started  2'!$E27),0,OFFSET(K37,0,-1*'Get Started  2'!$H112)*'Get Started  2'!$H42*'Get Started  2'!$G112),0)+IF('Get Started  2'!$H111&lt;='Get Started  2'!$E27,IF(K4&lt;'Get Started  2'!$H111,0,OFFSET(K37,0,-1*'Get Started  2'!$H111)*'Get Started  2'!$G42*'Get Started  2'!$G111),0)+IF('Get Started  2'!$H110&lt;='Get Started  2'!$E27,IF(K4&lt;'Get Started  2'!$H110,0,OFFSET(K37,0,-1*'Get Started  2'!$H110)*'Get Started  2'!$F42*'Get Started  2'!$G110),0)+IF('Get Started  2'!$H109&lt;='Get Started  2'!$E27,IF(K4&lt;'Get Started  2'!$H109,0,OFFSET(K37,0,-1*'Get Started  2'!$H109)*'Get Started  2'!$E42*'Get Started  2'!$G109),0)</f>
        <v>0</v>
      </c>
      <c r="L204" s="29">
        <f ca="1">IF('Get Started  2'!$H112&lt;='Get Started  2'!$E27,IF(AND(L4&lt;'Get Started  2'!$H112,'Get Started  2'!$H112&lt;='Get Started  2'!$E27),0,OFFSET(L37,0,-1*'Get Started  2'!$H112)*'Get Started  2'!$H42*'Get Started  2'!$G112),0)+IF('Get Started  2'!$H111&lt;='Get Started  2'!$E27,IF(L4&lt;'Get Started  2'!$H111,0,OFFSET(L37,0,-1*'Get Started  2'!$H111)*'Get Started  2'!$G42*'Get Started  2'!$G111),0)+IF('Get Started  2'!$H110&lt;='Get Started  2'!$E27,IF(L4&lt;'Get Started  2'!$H110,0,OFFSET(L37,0,-1*'Get Started  2'!$H110)*'Get Started  2'!$F42*'Get Started  2'!$G110),0)+IF('Get Started  2'!$H109&lt;='Get Started  2'!$E27,IF(L4&lt;'Get Started  2'!$H109,0,OFFSET(L37,0,-1*'Get Started  2'!$H109)*'Get Started  2'!$E42*'Get Started  2'!$G109),0)</f>
        <v>0</v>
      </c>
      <c r="M204" s="29">
        <f ca="1">IF('Get Started  2'!$H112&lt;='Get Started  2'!$E27,IF(AND(M4&lt;'Get Started  2'!$H112,'Get Started  2'!$H112&lt;='Get Started  2'!$E27),0,OFFSET(M37,0,-1*'Get Started  2'!$H112)*'Get Started  2'!$H42*'Get Started  2'!$G112),0)+IF('Get Started  2'!$H111&lt;='Get Started  2'!$E27,IF(M4&lt;'Get Started  2'!$H111,0,OFFSET(M37,0,-1*'Get Started  2'!$H111)*'Get Started  2'!$G42*'Get Started  2'!$G111),0)+IF('Get Started  2'!$H110&lt;='Get Started  2'!$E27,IF(M4&lt;'Get Started  2'!$H110,0,OFFSET(M37,0,-1*'Get Started  2'!$H110)*'Get Started  2'!$F42*'Get Started  2'!$G110),0)+IF('Get Started  2'!$H109&lt;='Get Started  2'!$E27,IF(M4&lt;'Get Started  2'!$H109,0,OFFSET(M37,0,-1*'Get Started  2'!$H109)*'Get Started  2'!$E42*'Get Started  2'!$G109),0)</f>
        <v>0</v>
      </c>
      <c r="N204" s="29">
        <f ca="1">IF('Get Started  2'!$H112&lt;='Get Started  2'!$E27,IF(AND(N4&lt;'Get Started  2'!$H112,'Get Started  2'!$H112&lt;='Get Started  2'!$E27),0,OFFSET(N37,0,-1*'Get Started  2'!$H112)*'Get Started  2'!$H42*'Get Started  2'!$G112),0)+IF('Get Started  2'!$H111&lt;='Get Started  2'!$E27,IF(N4&lt;'Get Started  2'!$H111,0,OFFSET(N37,0,-1*'Get Started  2'!$H111)*'Get Started  2'!$G42*'Get Started  2'!$G111),0)+IF('Get Started  2'!$H110&lt;='Get Started  2'!$E27,IF(N4&lt;'Get Started  2'!$H110,0,OFFSET(N37,0,-1*'Get Started  2'!$H110)*'Get Started  2'!$F42*'Get Started  2'!$G110),0)+IF('Get Started  2'!$H109&lt;='Get Started  2'!$E27,IF(N4&lt;'Get Started  2'!$H109,0,OFFSET(N37,0,-1*'Get Started  2'!$H109)*'Get Started  2'!$E42*'Get Started  2'!$G109),0)</f>
        <v>0</v>
      </c>
      <c r="O204" s="29">
        <f ca="1">IF('Get Started  2'!$H112&lt;='Get Started  2'!$E27,IF(AND(O4&lt;'Get Started  2'!$H112,'Get Started  2'!$H112&lt;='Get Started  2'!$E27),0,OFFSET(O37,0,-1*'Get Started  2'!$H112)*'Get Started  2'!$H42*'Get Started  2'!$G112),0)+IF('Get Started  2'!$H111&lt;='Get Started  2'!$E27,IF(O4&lt;'Get Started  2'!$H111,0,OFFSET(O37,0,-1*'Get Started  2'!$H111)*'Get Started  2'!$G42*'Get Started  2'!$G111),0)+IF('Get Started  2'!$H110&lt;='Get Started  2'!$E27,IF(O4&lt;'Get Started  2'!$H110,0,OFFSET(O37,0,-1*'Get Started  2'!$H110)*'Get Started  2'!$F42*'Get Started  2'!$G110),0)+IF('Get Started  2'!$H109&lt;='Get Started  2'!$E27,IF(O4&lt;'Get Started  2'!$H109,0,OFFSET(O37,0,-1*'Get Started  2'!$H109)*'Get Started  2'!$E42*'Get Started  2'!$G109),0)</f>
        <v>0</v>
      </c>
      <c r="P204" s="29">
        <f ca="1">IF('Get Started  2'!$H112&lt;='Get Started  2'!$E27,IF(AND(P4&lt;'Get Started  2'!$H112,'Get Started  2'!$H112&lt;='Get Started  2'!$E27),0,OFFSET(P37,0,-1*'Get Started  2'!$H112)*'Get Started  2'!$H42*'Get Started  2'!$G112),0)+IF('Get Started  2'!$H111&lt;='Get Started  2'!$E27,IF(P4&lt;'Get Started  2'!$H111,0,OFFSET(P37,0,-1*'Get Started  2'!$H111)*'Get Started  2'!$G42*'Get Started  2'!$G111),0)+IF('Get Started  2'!$H110&lt;='Get Started  2'!$E27,IF(P4&lt;'Get Started  2'!$H110,0,OFFSET(P37,0,-1*'Get Started  2'!$H110)*'Get Started  2'!$F42*'Get Started  2'!$G110),0)+IF('Get Started  2'!$H109&lt;='Get Started  2'!$E27,IF(P4&lt;'Get Started  2'!$H109,0,OFFSET(P37,0,-1*'Get Started  2'!$H109)*'Get Started  2'!$E42*'Get Started  2'!$G109),0)</f>
        <v>0</v>
      </c>
      <c r="Q204" s="29">
        <f ca="1">IF('Get Started  2'!$H112&lt;='Get Started  2'!$E27,IF(AND(Q4&lt;'Get Started  2'!$H112,'Get Started  2'!$H112&lt;='Get Started  2'!$E27),0,OFFSET(Q37,0,-1*'Get Started  2'!$H112)*'Get Started  2'!$H42*'Get Started  2'!$G112),0)+IF('Get Started  2'!$H111&lt;='Get Started  2'!$E27,IF(Q4&lt;'Get Started  2'!$H111,0,OFFSET(Q37,0,-1*'Get Started  2'!$H111)*'Get Started  2'!$G42*'Get Started  2'!$G111),0)+IF('Get Started  2'!$H110&lt;='Get Started  2'!$E27,IF(Q4&lt;'Get Started  2'!$H110,0,OFFSET(Q37,0,-1*'Get Started  2'!$H110)*'Get Started  2'!$F42*'Get Started  2'!$G110),0)+IF('Get Started  2'!$H109&lt;='Get Started  2'!$E27,IF(Q4&lt;'Get Started  2'!$H109,0,OFFSET(Q37,0,-1*'Get Started  2'!$H109)*'Get Started  2'!$E42*'Get Started  2'!$G109),0)</f>
        <v>0</v>
      </c>
      <c r="R204" s="29">
        <f ca="1">IF('Get Started  2'!$H112&lt;='Get Started  2'!$E27,IF(AND(R4&lt;'Get Started  2'!$H112,'Get Started  2'!$H112&lt;='Get Started  2'!$E27),0,OFFSET(R37,0,-1*'Get Started  2'!$H112)*'Get Started  2'!$H42*'Get Started  2'!$G112),0)+IF('Get Started  2'!$H111&lt;='Get Started  2'!$E27,IF(R4&lt;'Get Started  2'!$H111,0,OFFSET(R37,0,-1*'Get Started  2'!$H111)*'Get Started  2'!$G42*'Get Started  2'!$G111),0)+IF('Get Started  2'!$H110&lt;='Get Started  2'!$E27,IF(R4&lt;'Get Started  2'!$H110,0,OFFSET(R37,0,-1*'Get Started  2'!$H110)*'Get Started  2'!$F42*'Get Started  2'!$G110),0)+IF('Get Started  2'!$H109&lt;='Get Started  2'!$E27,IF(R4&lt;'Get Started  2'!$H109,0,OFFSET(R37,0,-1*'Get Started  2'!$H109)*'Get Started  2'!$E42*'Get Started  2'!$G109),0)</f>
        <v>0</v>
      </c>
      <c r="S204" s="29">
        <f ca="1">IF('Get Started  2'!$H112&lt;='Get Started  2'!$E27,IF(AND(S4&lt;'Get Started  2'!$H112,'Get Started  2'!$H112&lt;='Get Started  2'!$E27),0,OFFSET(S37,0,-1*'Get Started  2'!$H112)*'Get Started  2'!$H42*'Get Started  2'!$G112),0)+IF('Get Started  2'!$H111&lt;='Get Started  2'!$E27,IF(S4&lt;'Get Started  2'!$H111,0,OFFSET(S37,0,-1*'Get Started  2'!$H111)*'Get Started  2'!$G42*'Get Started  2'!$G111),0)+IF('Get Started  2'!$H110&lt;='Get Started  2'!$E27,IF(S4&lt;'Get Started  2'!$H110,0,OFFSET(S37,0,-1*'Get Started  2'!$H110)*'Get Started  2'!$F42*'Get Started  2'!$G110),0)+IF('Get Started  2'!$H109&lt;='Get Started  2'!$E27,IF(S4&lt;'Get Started  2'!$H109,0,OFFSET(S37,0,-1*'Get Started  2'!$H109)*'Get Started  2'!$E42*'Get Started  2'!$G109),0)</f>
        <v>1313812.5000000005</v>
      </c>
      <c r="T204" s="29">
        <f ca="1">IF('Get Started  2'!$H112&lt;='Get Started  2'!$E27,IF(AND(T4&lt;'Get Started  2'!$H112,'Get Started  2'!$H112&lt;='Get Started  2'!$E27),0,OFFSET(T37,0,-1*'Get Started  2'!$H112)*'Get Started  2'!$H42*'Get Started  2'!$G112),0)+IF('Get Started  2'!$H111&lt;='Get Started  2'!$E27,IF(T4&lt;'Get Started  2'!$H111,0,OFFSET(T37,0,-1*'Get Started  2'!$H111)*'Get Started  2'!$G42*'Get Started  2'!$G111),0)+IF('Get Started  2'!$H110&lt;='Get Started  2'!$E27,IF(T4&lt;'Get Started  2'!$H110,0,OFFSET(T37,0,-1*'Get Started  2'!$H110)*'Get Started  2'!$F42*'Get Started  2'!$G110),0)+IF('Get Started  2'!$H109&lt;='Get Started  2'!$E27,IF(T4&lt;'Get Started  2'!$H109,0,OFFSET(T37,0,-1*'Get Started  2'!$H109)*'Get Started  2'!$E42*'Get Started  2'!$G109),0)</f>
        <v>1313812.5000000005</v>
      </c>
      <c r="U204" s="29">
        <f ca="1">IF('Get Started  2'!$H112&lt;='Get Started  2'!$E27,IF(AND(U4&lt;'Get Started  2'!$H112,'Get Started  2'!$H112&lt;='Get Started  2'!$E27),0,OFFSET(U37,0,-1*'Get Started  2'!$H112)*'Get Started  2'!$H42*'Get Started  2'!$G112),0)+IF('Get Started  2'!$H111&lt;='Get Started  2'!$E27,IF(U4&lt;'Get Started  2'!$H111,0,OFFSET(U37,0,-1*'Get Started  2'!$H111)*'Get Started  2'!$G42*'Get Started  2'!$G111),0)+IF('Get Started  2'!$H110&lt;='Get Started  2'!$E27,IF(U4&lt;'Get Started  2'!$H110,0,OFFSET(U37,0,-1*'Get Started  2'!$H110)*'Get Started  2'!$F42*'Get Started  2'!$G110),0)+IF('Get Started  2'!$H109&lt;='Get Started  2'!$E27,IF(U4&lt;'Get Started  2'!$H109,0,OFFSET(U37,0,-1*'Get Started  2'!$H109)*'Get Started  2'!$E42*'Get Started  2'!$G109),0)</f>
        <v>1313812.5000000005</v>
      </c>
      <c r="V204" s="29">
        <f ca="1">IF('Get Started  2'!$H112&lt;='Get Started  2'!$E27,IF(AND(V4&lt;'Get Started  2'!$H112,'Get Started  2'!$H112&lt;='Get Started  2'!$E27),0,OFFSET(V37,0,-1*'Get Started  2'!$H112)*'Get Started  2'!$H42*'Get Started  2'!$G112),0)+IF('Get Started  2'!$H111&lt;='Get Started  2'!$E27,IF(V4&lt;'Get Started  2'!$H111,0,OFFSET(V37,0,-1*'Get Started  2'!$H111)*'Get Started  2'!$G42*'Get Started  2'!$G111),0)+IF('Get Started  2'!$H110&lt;='Get Started  2'!$E27,IF(V4&lt;'Get Started  2'!$H110,0,OFFSET(V37,0,-1*'Get Started  2'!$H110)*'Get Started  2'!$F42*'Get Started  2'!$G110),0)+IF('Get Started  2'!$H109&lt;='Get Started  2'!$E27,IF(V4&lt;'Get Started  2'!$H109,0,OFFSET(V37,0,-1*'Get Started  2'!$H109)*'Get Started  2'!$E42*'Get Started  2'!$G109),0)</f>
        <v>1313812.5000000005</v>
      </c>
      <c r="W204" s="29">
        <f ca="1">IF('Get Started  2'!$H112&lt;='Get Started  2'!$E27,IF(AND(W4&lt;'Get Started  2'!$H112,'Get Started  2'!$H112&lt;='Get Started  2'!$E27),0,OFFSET(W37,0,-1*'Get Started  2'!$H112)*'Get Started  2'!$H42*'Get Started  2'!$G112),0)+IF('Get Started  2'!$H111&lt;='Get Started  2'!$E27,IF(W4&lt;'Get Started  2'!$H111,0,OFFSET(W37,0,-1*'Get Started  2'!$H111)*'Get Started  2'!$G42*'Get Started  2'!$G111),0)+IF('Get Started  2'!$H110&lt;='Get Started  2'!$E27,IF(W4&lt;'Get Started  2'!$H110,0,OFFSET(W37,0,-1*'Get Started  2'!$H110)*'Get Started  2'!$F42*'Get Started  2'!$G110),0)+IF('Get Started  2'!$H109&lt;='Get Started  2'!$E27,IF(W4&lt;'Get Started  2'!$H109,0,OFFSET(W37,0,-1*'Get Started  2'!$H109)*'Get Started  2'!$E42*'Get Started  2'!$G109),0)</f>
        <v>3966703.1250000005</v>
      </c>
      <c r="X204" s="29">
        <f ca="1">IF('Get Started  2'!$H112&lt;='Get Started  2'!$E27,IF(AND(X4&lt;'Get Started  2'!$H112,'Get Started  2'!$H112&lt;='Get Started  2'!$E27),0,OFFSET(X37,0,-1*'Get Started  2'!$H112)*'Get Started  2'!$H42*'Get Started  2'!$G112),0)+IF('Get Started  2'!$H111&lt;='Get Started  2'!$E27,IF(X4&lt;'Get Started  2'!$H111,0,OFFSET(X37,0,-1*'Get Started  2'!$H111)*'Get Started  2'!$G42*'Get Started  2'!$G111),0)+IF('Get Started  2'!$H110&lt;='Get Started  2'!$E27,IF(X4&lt;'Get Started  2'!$H110,0,OFFSET(X37,0,-1*'Get Started  2'!$H110)*'Get Started  2'!$F42*'Get Started  2'!$G110),0)+IF('Get Started  2'!$H109&lt;='Get Started  2'!$E27,IF(X4&lt;'Get Started  2'!$H109,0,OFFSET(X37,0,-1*'Get Started  2'!$H109)*'Get Started  2'!$E42*'Get Started  2'!$G109),0)</f>
        <v>3966703.1250000005</v>
      </c>
      <c r="Y204" s="29">
        <f ca="1">IF('Get Started  2'!$H112&lt;='Get Started  2'!$E27,IF(AND(Y4&lt;'Get Started  2'!$H112,'Get Started  2'!$H112&lt;='Get Started  2'!$E27),0,OFFSET(Y37,0,-1*'Get Started  2'!$H112)*'Get Started  2'!$H42*'Get Started  2'!$G112),0)+IF('Get Started  2'!$H111&lt;='Get Started  2'!$E27,IF(Y4&lt;'Get Started  2'!$H111,0,OFFSET(Y37,0,-1*'Get Started  2'!$H111)*'Get Started  2'!$G42*'Get Started  2'!$G111),0)+IF('Get Started  2'!$H110&lt;='Get Started  2'!$E27,IF(Y4&lt;'Get Started  2'!$H110,0,OFFSET(Y37,0,-1*'Get Started  2'!$H110)*'Get Started  2'!$F42*'Get Started  2'!$G110),0)+IF('Get Started  2'!$H109&lt;='Get Started  2'!$E27,IF(Y4&lt;'Get Started  2'!$H109,0,OFFSET(Y37,0,-1*'Get Started  2'!$H109)*'Get Started  2'!$E42*'Get Started  2'!$G109),0)</f>
        <v>3966703.1250000005</v>
      </c>
      <c r="Z204" s="29">
        <f ca="1">IF('Get Started  2'!$H112&lt;='Get Started  2'!$E27,IF(AND(Z4&lt;'Get Started  2'!$H112,'Get Started  2'!$H112&lt;='Get Started  2'!$E27),0,OFFSET(Z37,0,-1*'Get Started  2'!$H112)*'Get Started  2'!$H42*'Get Started  2'!$G112),0)+IF('Get Started  2'!$H111&lt;='Get Started  2'!$E27,IF(Z4&lt;'Get Started  2'!$H111,0,OFFSET(Z37,0,-1*'Get Started  2'!$H111)*'Get Started  2'!$G42*'Get Started  2'!$G111),0)+IF('Get Started  2'!$H110&lt;='Get Started  2'!$E27,IF(Z4&lt;'Get Started  2'!$H110,0,OFFSET(Z37,0,-1*'Get Started  2'!$H110)*'Get Started  2'!$F42*'Get Started  2'!$G110),0)+IF('Get Started  2'!$H109&lt;='Get Started  2'!$E27,IF(Z4&lt;'Get Started  2'!$H109,0,OFFSET(Z37,0,-1*'Get Started  2'!$H109)*'Get Started  2'!$E42*'Get Started  2'!$G109),0)</f>
        <v>3966703.1250000005</v>
      </c>
      <c r="AA204" s="29">
        <f ca="1">IF('Get Started  2'!$H112&lt;='Get Started  2'!$E27,IF(AND(AA4&lt;'Get Started  2'!$H112,'Get Started  2'!$H112&lt;='Get Started  2'!$E27),0,OFFSET(AA37,0,-1*'Get Started  2'!$H112)*'Get Started  2'!$H42*'Get Started  2'!$G112),0)+IF('Get Started  2'!$H111&lt;='Get Started  2'!$E27,IF(AA4&lt;'Get Started  2'!$H111,0,OFFSET(AA37,0,-1*'Get Started  2'!$H111)*'Get Started  2'!$G42*'Get Started  2'!$G111),0)+IF('Get Started  2'!$H110&lt;='Get Started  2'!$E27,IF(AA4&lt;'Get Started  2'!$H110,0,OFFSET(AA37,0,-1*'Get Started  2'!$H110)*'Get Started  2'!$F42*'Get Started  2'!$G110),0)+IF('Get Started  2'!$H109&lt;='Get Started  2'!$E27,IF(AA4&lt;'Get Started  2'!$H109,0,OFFSET(AA37,0,-1*'Get Started  2'!$H109)*'Get Started  2'!$E42*'Get Started  2'!$G109),0)</f>
        <v>3966703.1250000005</v>
      </c>
      <c r="AB204" s="29">
        <f ca="1">IF('Get Started  2'!$H112&lt;='Get Started  2'!$E27,IF(AND(AB4&lt;'Get Started  2'!$H112,'Get Started  2'!$H112&lt;='Get Started  2'!$E27),0,OFFSET(AB37,0,-1*'Get Started  2'!$H112)*'Get Started  2'!$H42*'Get Started  2'!$G112),0)+IF('Get Started  2'!$H111&lt;='Get Started  2'!$E27,IF(AB4&lt;'Get Started  2'!$H111,0,OFFSET(AB37,0,-1*'Get Started  2'!$H111)*'Get Started  2'!$G42*'Get Started  2'!$G111),0)+IF('Get Started  2'!$H110&lt;='Get Started  2'!$E27,IF(AB4&lt;'Get Started  2'!$H110,0,OFFSET(AB37,0,-1*'Get Started  2'!$H110)*'Get Started  2'!$F42*'Get Started  2'!$G110),0)+IF('Get Started  2'!$H109&lt;='Get Started  2'!$E27,IF(AB4&lt;'Get Started  2'!$H109,0,OFFSET(AB37,0,-1*'Get Started  2'!$H109)*'Get Started  2'!$E42*'Get Started  2'!$G109),0)</f>
        <v>3966703.1250000005</v>
      </c>
      <c r="AC204" s="29">
        <f ca="1">IF('Get Started  2'!$H112&lt;='Get Started  2'!$E27,IF(AND(AC4&lt;'Get Started  2'!$H112,'Get Started  2'!$H112&lt;='Get Started  2'!$E27),0,OFFSET(AC37,0,-1*'Get Started  2'!$H112)*'Get Started  2'!$H42*'Get Started  2'!$G112),0)+IF('Get Started  2'!$H111&lt;='Get Started  2'!$E27,IF(AC4&lt;'Get Started  2'!$H111,0,OFFSET(AC37,0,-1*'Get Started  2'!$H111)*'Get Started  2'!$G42*'Get Started  2'!$G111),0)+IF('Get Started  2'!$H110&lt;='Get Started  2'!$E27,IF(AC4&lt;'Get Started  2'!$H110,0,OFFSET(AC37,0,-1*'Get Started  2'!$H110)*'Get Started  2'!$F42*'Get Started  2'!$G110),0)+IF('Get Started  2'!$H109&lt;='Get Started  2'!$E27,IF(AC4&lt;'Get Started  2'!$H109,0,OFFSET(AC37,0,-1*'Get Started  2'!$H109)*'Get Started  2'!$E42*'Get Started  2'!$G109),0)</f>
        <v>3966703.1250000005</v>
      </c>
      <c r="AD204" s="29">
        <f ca="1">IF('Get Started  2'!$H112&lt;='Get Started  2'!$E27,IF(AND(AD4&lt;'Get Started  2'!$H112,'Get Started  2'!$H112&lt;='Get Started  2'!$E27),0,OFFSET(AD37,0,-1*'Get Started  2'!$H112)*'Get Started  2'!$H42*'Get Started  2'!$G112),0)+IF('Get Started  2'!$H111&lt;='Get Started  2'!$E27,IF(AD4&lt;'Get Started  2'!$H111,0,OFFSET(AD37,0,-1*'Get Started  2'!$H111)*'Get Started  2'!$G42*'Get Started  2'!$G111),0)+IF('Get Started  2'!$H110&lt;='Get Started  2'!$E27,IF(AD4&lt;'Get Started  2'!$H110,0,OFFSET(AD37,0,-1*'Get Started  2'!$H110)*'Get Started  2'!$F42*'Get Started  2'!$G110),0)+IF('Get Started  2'!$H109&lt;='Get Started  2'!$E27,IF(AD4&lt;'Get Started  2'!$H109,0,OFFSET(AD37,0,-1*'Get Started  2'!$H109)*'Get Started  2'!$E42*'Get Started  2'!$G109),0)</f>
        <v>3966703.1250000005</v>
      </c>
      <c r="AE204" s="29">
        <f ca="1">IF('Get Started  2'!$H112&lt;='Get Started  2'!$E27,IF(AND(AE4&lt;'Get Started  2'!$H112,'Get Started  2'!$H112&lt;='Get Started  2'!$E27),0,OFFSET(AE37,0,-1*'Get Started  2'!$H112)*'Get Started  2'!$H42*'Get Started  2'!$G112),0)+IF('Get Started  2'!$H111&lt;='Get Started  2'!$E27,IF(AE4&lt;'Get Started  2'!$H111,0,OFFSET(AE37,0,-1*'Get Started  2'!$H111)*'Get Started  2'!$G42*'Get Started  2'!$G111),0)+IF('Get Started  2'!$H110&lt;='Get Started  2'!$E27,IF(AE4&lt;'Get Started  2'!$H110,0,OFFSET(AE37,0,-1*'Get Started  2'!$H110)*'Get Started  2'!$F42*'Get Started  2'!$G110),0)+IF('Get Started  2'!$H109&lt;='Get Started  2'!$E27,IF(AE4&lt;'Get Started  2'!$H109,0,OFFSET(AE37,0,-1*'Get Started  2'!$H109)*'Get Started  2'!$E42*'Get Started  2'!$G109),0)</f>
        <v>5956792.1875</v>
      </c>
      <c r="AF204" s="29">
        <f ca="1">IF('Get Started  2'!$H112&lt;='Get Started  2'!$E27,IF(AND(AF4&lt;'Get Started  2'!$H112,'Get Started  2'!$H112&lt;='Get Started  2'!$E27),0,OFFSET(AF37,0,-1*'Get Started  2'!$H112)*'Get Started  2'!$H42*'Get Started  2'!$G112),0)+IF('Get Started  2'!$H111&lt;='Get Started  2'!$E27,IF(AF4&lt;'Get Started  2'!$H111,0,OFFSET(AF37,0,-1*'Get Started  2'!$H111)*'Get Started  2'!$G42*'Get Started  2'!$G111),0)+IF('Get Started  2'!$H110&lt;='Get Started  2'!$E27,IF(AF4&lt;'Get Started  2'!$H110,0,OFFSET(AF37,0,-1*'Get Started  2'!$H110)*'Get Started  2'!$F42*'Get Started  2'!$G110),0)+IF('Get Started  2'!$H109&lt;='Get Started  2'!$E27,IF(AF4&lt;'Get Started  2'!$H109,0,OFFSET(AF37,0,-1*'Get Started  2'!$H109)*'Get Started  2'!$E42*'Get Started  2'!$G109),0)</f>
        <v>5956792.1875</v>
      </c>
      <c r="AG204" s="29">
        <f ca="1">IF('Get Started  2'!$H112&lt;='Get Started  2'!$E27,IF(AND(AG4&lt;'Get Started  2'!$H112,'Get Started  2'!$H112&lt;='Get Started  2'!$E27),0,OFFSET(AG37,0,-1*'Get Started  2'!$H112)*'Get Started  2'!$H42*'Get Started  2'!$G112),0)+IF('Get Started  2'!$H111&lt;='Get Started  2'!$E27,IF(AG4&lt;'Get Started  2'!$H111,0,OFFSET(AG37,0,-1*'Get Started  2'!$H111)*'Get Started  2'!$G42*'Get Started  2'!$G111),0)+IF('Get Started  2'!$H110&lt;='Get Started  2'!$E27,IF(AG4&lt;'Get Started  2'!$H110,0,OFFSET(AG37,0,-1*'Get Started  2'!$H110)*'Get Started  2'!$F42*'Get Started  2'!$G110),0)+IF('Get Started  2'!$H109&lt;='Get Started  2'!$E27,IF(AG4&lt;'Get Started  2'!$H109,0,OFFSET(AG37,0,-1*'Get Started  2'!$H109)*'Get Started  2'!$E42*'Get Started  2'!$G109),0)</f>
        <v>5956792.1875</v>
      </c>
      <c r="AH204" s="29">
        <f ca="1">IF('Get Started  2'!$H112&lt;='Get Started  2'!$E27,IF(AND(AH4&lt;'Get Started  2'!$H112,'Get Started  2'!$H112&lt;='Get Started  2'!$E27),0,OFFSET(AH37,0,-1*'Get Started  2'!$H112)*'Get Started  2'!$H42*'Get Started  2'!$G112),0)+IF('Get Started  2'!$H111&lt;='Get Started  2'!$E27,IF(AH4&lt;'Get Started  2'!$H111,0,OFFSET(AH37,0,-1*'Get Started  2'!$H111)*'Get Started  2'!$G42*'Get Started  2'!$G111),0)+IF('Get Started  2'!$H110&lt;='Get Started  2'!$E27,IF(AH4&lt;'Get Started  2'!$H110,0,OFFSET(AH37,0,-1*'Get Started  2'!$H110)*'Get Started  2'!$F42*'Get Started  2'!$G110),0)+IF('Get Started  2'!$H109&lt;='Get Started  2'!$E27,IF(AH4&lt;'Get Started  2'!$H109,0,OFFSET(AH37,0,-1*'Get Started  2'!$H109)*'Get Started  2'!$E42*'Get Started  2'!$G109),0)</f>
        <v>5956792.1875</v>
      </c>
      <c r="AI204" s="29">
        <f ca="1">IF('Get Started  2'!$H112&lt;='Get Started  2'!$E27,IF(AND(AI4&lt;'Get Started  2'!$H112,'Get Started  2'!$H112&lt;='Get Started  2'!$E27),0,OFFSET(AI37,0,-1*'Get Started  2'!$H112)*'Get Started  2'!$H42*'Get Started  2'!$G112),0)+IF('Get Started  2'!$H111&lt;='Get Started  2'!$E27,IF(AI4&lt;'Get Started  2'!$H111,0,OFFSET(AI37,0,-1*'Get Started  2'!$H111)*'Get Started  2'!$G42*'Get Started  2'!$G111),0)+IF('Get Started  2'!$H110&lt;='Get Started  2'!$E27,IF(AI4&lt;'Get Started  2'!$H110,0,OFFSET(AI37,0,-1*'Get Started  2'!$H110)*'Get Started  2'!$F42*'Get Started  2'!$G110),0)+IF('Get Started  2'!$H109&lt;='Get Started  2'!$E27,IF(AI4&lt;'Get Started  2'!$H109,0,OFFSET(AI37,0,-1*'Get Started  2'!$H109)*'Get Started  2'!$E42*'Get Started  2'!$G109),0)</f>
        <v>4933113.2812499991</v>
      </c>
      <c r="AJ204" s="29">
        <f ca="1">IF('Get Started  2'!$H112&lt;='Get Started  2'!$E27,IF(AND(AJ4&lt;'Get Started  2'!$H112,'Get Started  2'!$H112&lt;='Get Started  2'!$E27),0,OFFSET(AJ37,0,-1*'Get Started  2'!$H112)*'Get Started  2'!$H42*'Get Started  2'!$G112),0)+IF('Get Started  2'!$H111&lt;='Get Started  2'!$E27,IF(AJ4&lt;'Get Started  2'!$H111,0,OFFSET(AJ37,0,-1*'Get Started  2'!$H111)*'Get Started  2'!$G42*'Get Started  2'!$G111),0)+IF('Get Started  2'!$H110&lt;='Get Started  2'!$E27,IF(AJ4&lt;'Get Started  2'!$H110,0,OFFSET(AJ37,0,-1*'Get Started  2'!$H110)*'Get Started  2'!$F42*'Get Started  2'!$G110),0)+IF('Get Started  2'!$H109&lt;='Get Started  2'!$E27,IF(AJ4&lt;'Get Started  2'!$H109,0,OFFSET(AJ37,0,-1*'Get Started  2'!$H109)*'Get Started  2'!$E42*'Get Started  2'!$G109),0)</f>
        <v>4933113.2812499991</v>
      </c>
      <c r="AK204" s="29">
        <f ca="1">IF('Get Started  2'!$H112&lt;='Get Started  2'!$E27,IF(AND(AK4&lt;'Get Started  2'!$H112,'Get Started  2'!$H112&lt;='Get Started  2'!$E27),0,OFFSET(AK37,0,-1*'Get Started  2'!$H112)*'Get Started  2'!$H42*'Get Started  2'!$G112),0)+IF('Get Started  2'!$H111&lt;='Get Started  2'!$E27,IF(AK4&lt;'Get Started  2'!$H111,0,OFFSET(AK37,0,-1*'Get Started  2'!$H111)*'Get Started  2'!$G42*'Get Started  2'!$G111),0)+IF('Get Started  2'!$H110&lt;='Get Started  2'!$E27,IF(AK4&lt;'Get Started  2'!$H110,0,OFFSET(AK37,0,-1*'Get Started  2'!$H110)*'Get Started  2'!$F42*'Get Started  2'!$G110),0)+IF('Get Started  2'!$H109&lt;='Get Started  2'!$E27,IF(AK4&lt;'Get Started  2'!$H109,0,OFFSET(AK37,0,-1*'Get Started  2'!$H109)*'Get Started  2'!$E42*'Get Started  2'!$G109),0)</f>
        <v>4933113.2812499991</v>
      </c>
      <c r="AL204" s="29">
        <f ca="1">IF('Get Started  2'!$H112&lt;='Get Started  2'!$E27,IF(AND(AL4&lt;'Get Started  2'!$H112,'Get Started  2'!$H112&lt;='Get Started  2'!$E27),0,OFFSET(AL37,0,-1*'Get Started  2'!$H112)*'Get Started  2'!$H42*'Get Started  2'!$G112),0)+IF('Get Started  2'!$H111&lt;='Get Started  2'!$E27,IF(AL4&lt;'Get Started  2'!$H111,0,OFFSET(AL37,0,-1*'Get Started  2'!$H111)*'Get Started  2'!$G42*'Get Started  2'!$G111),0)+IF('Get Started  2'!$H110&lt;='Get Started  2'!$E27,IF(AL4&lt;'Get Started  2'!$H110,0,OFFSET(AL37,0,-1*'Get Started  2'!$H110)*'Get Started  2'!$F42*'Get Started  2'!$G110),0)+IF('Get Started  2'!$H109&lt;='Get Started  2'!$E27,IF(AL4&lt;'Get Started  2'!$H109,0,OFFSET(AL37,0,-1*'Get Started  2'!$H109)*'Get Started  2'!$E42*'Get Started  2'!$G109),0)</f>
        <v>4933113.2812499991</v>
      </c>
      <c r="AM204" s="29">
        <f ca="1">IF('Get Started  2'!$H112&lt;='Get Started  2'!$E27,IF(AND(AM4&lt;'Get Started  2'!$H112,'Get Started  2'!$H112&lt;='Get Started  2'!$E27),0,OFFSET(AM37,0,-1*'Get Started  2'!$H112)*'Get Started  2'!$H42*'Get Started  2'!$G112),0)+IF('Get Started  2'!$H111&lt;='Get Started  2'!$E27,IF(AM4&lt;'Get Started  2'!$H111,0,OFFSET(AM37,0,-1*'Get Started  2'!$H111)*'Get Started  2'!$G42*'Get Started  2'!$G111),0)+IF('Get Started  2'!$H110&lt;='Get Started  2'!$E27,IF(AM4&lt;'Get Started  2'!$H110,0,OFFSET(AM37,0,-1*'Get Started  2'!$H110)*'Get Started  2'!$F42*'Get Started  2'!$G110),0)+IF('Get Started  2'!$H109&lt;='Get Started  2'!$E27,IF(AM4&lt;'Get Started  2'!$H109,0,OFFSET(AM37,0,-1*'Get Started  2'!$H109)*'Get Started  2'!$E42*'Get Started  2'!$G109),0)</f>
        <v>1705429.6874999995</v>
      </c>
      <c r="AN204" s="29">
        <f ca="1">IF('Get Started  2'!$H112&lt;='Get Started  2'!$E27,IF(AND(AN4&lt;'Get Started  2'!$H112,'Get Started  2'!$H112&lt;='Get Started  2'!$E27),0,OFFSET(AN37,0,-1*'Get Started  2'!$H112)*'Get Started  2'!$H42*'Get Started  2'!$G112),0)+IF('Get Started  2'!$H111&lt;='Get Started  2'!$E27,IF(AN4&lt;'Get Started  2'!$H111,0,OFFSET(AN37,0,-1*'Get Started  2'!$H111)*'Get Started  2'!$G42*'Get Started  2'!$G111),0)+IF('Get Started  2'!$H110&lt;='Get Started  2'!$E27,IF(AN4&lt;'Get Started  2'!$H110,0,OFFSET(AN37,0,-1*'Get Started  2'!$H110)*'Get Started  2'!$F42*'Get Started  2'!$G110),0)+IF('Get Started  2'!$H109&lt;='Get Started  2'!$E27,IF(AN4&lt;'Get Started  2'!$H109,0,OFFSET(AN37,0,-1*'Get Started  2'!$H109)*'Get Started  2'!$E42*'Get Started  2'!$G109),0)</f>
        <v>1705429.6874999995</v>
      </c>
      <c r="AO204" s="29">
        <f ca="1">IF('Get Started  2'!$H112&lt;='Get Started  2'!$E27,IF(AND(AO4&lt;'Get Started  2'!$H112,'Get Started  2'!$H112&lt;='Get Started  2'!$E27),0,OFFSET(AO37,0,-1*'Get Started  2'!$H112)*'Get Started  2'!$H42*'Get Started  2'!$G112),0)+IF('Get Started  2'!$H111&lt;='Get Started  2'!$E27,IF(AO4&lt;'Get Started  2'!$H111,0,OFFSET(AO37,0,-1*'Get Started  2'!$H111)*'Get Started  2'!$G42*'Get Started  2'!$G111),0)+IF('Get Started  2'!$H110&lt;='Get Started  2'!$E27,IF(AO4&lt;'Get Started  2'!$H110,0,OFFSET(AO37,0,-1*'Get Started  2'!$H110)*'Get Started  2'!$F42*'Get Started  2'!$G110),0)+IF('Get Started  2'!$H109&lt;='Get Started  2'!$E27,IF(AO4&lt;'Get Started  2'!$H109,0,OFFSET(AO37,0,-1*'Get Started  2'!$H109)*'Get Started  2'!$E42*'Get Started  2'!$G109),0)</f>
        <v>1705429.6874999995</v>
      </c>
      <c r="AP204" s="29">
        <f ca="1">IF('Get Started  2'!$H112&lt;='Get Started  2'!$E27,IF(AND(AP4&lt;'Get Started  2'!$H112,'Get Started  2'!$H112&lt;='Get Started  2'!$E27),0,OFFSET(AP37,0,-1*'Get Started  2'!$H112)*'Get Started  2'!$H42*'Get Started  2'!$G112),0)+IF('Get Started  2'!$H111&lt;='Get Started  2'!$E27,IF(AP4&lt;'Get Started  2'!$H111,0,OFFSET(AP37,0,-1*'Get Started  2'!$H111)*'Get Started  2'!$G42*'Get Started  2'!$G111),0)+IF('Get Started  2'!$H110&lt;='Get Started  2'!$E27,IF(AP4&lt;'Get Started  2'!$H110,0,OFFSET(AP37,0,-1*'Get Started  2'!$H110)*'Get Started  2'!$F42*'Get Started  2'!$G110),0)+IF('Get Started  2'!$H109&lt;='Get Started  2'!$E27,IF(AP4&lt;'Get Started  2'!$H109,0,OFFSET(AP37,0,-1*'Get Started  2'!$H109)*'Get Started  2'!$E42*'Get Started  2'!$G109),0)</f>
        <v>1705429.6874999995</v>
      </c>
      <c r="AQ204" s="29">
        <f ca="1">IF('Get Started  2'!$H112&lt;='Get Started  2'!$E27,IF(AND(AQ4&lt;'Get Started  2'!$H112,'Get Started  2'!$H112&lt;='Get Started  2'!$E27),0,OFFSET(AQ37,0,-1*'Get Started  2'!$H112)*'Get Started  2'!$H42*'Get Started  2'!$G112),0)+IF('Get Started  2'!$H111&lt;='Get Started  2'!$E27,IF(AQ4&lt;'Get Started  2'!$H111,0,OFFSET(AQ37,0,-1*'Get Started  2'!$H111)*'Get Started  2'!$G42*'Get Started  2'!$G111),0)+IF('Get Started  2'!$H110&lt;='Get Started  2'!$E27,IF(AQ4&lt;'Get Started  2'!$H110,0,OFFSET(AQ37,0,-1*'Get Started  2'!$H110)*'Get Started  2'!$F42*'Get Started  2'!$G110),0)+IF('Get Started  2'!$H109&lt;='Get Started  2'!$E27,IF(AQ4&lt;'Get Started  2'!$H109,0,OFFSET(AQ37,0,-1*'Get Started  2'!$H109)*'Get Started  2'!$E42*'Get Started  2'!$G109),0)</f>
        <v>2074939.4531249993</v>
      </c>
      <c r="AR204" s="29">
        <f ca="1">IF('Get Started  2'!$H112&lt;='Get Started  2'!$E27,IF(AND(AR4&lt;'Get Started  2'!$H112,'Get Started  2'!$H112&lt;='Get Started  2'!$E27),0,OFFSET(AR37,0,-1*'Get Started  2'!$H112)*'Get Started  2'!$H42*'Get Started  2'!$G112),0)+IF('Get Started  2'!$H111&lt;='Get Started  2'!$E27,IF(AR4&lt;'Get Started  2'!$H111,0,OFFSET(AR37,0,-1*'Get Started  2'!$H111)*'Get Started  2'!$G42*'Get Started  2'!$G111),0)+IF('Get Started  2'!$H110&lt;='Get Started  2'!$E27,IF(AR4&lt;'Get Started  2'!$H110,0,OFFSET(AR37,0,-1*'Get Started  2'!$H110)*'Get Started  2'!$F42*'Get Started  2'!$G110),0)+IF('Get Started  2'!$H109&lt;='Get Started  2'!$E27,IF(AR4&lt;'Get Started  2'!$H109,0,OFFSET(AR37,0,-1*'Get Started  2'!$H109)*'Get Started  2'!$E42*'Get Started  2'!$G109),0)</f>
        <v>2074939.4531249993</v>
      </c>
      <c r="AS204" s="29">
        <f ca="1">IF('Get Started  2'!$H112&lt;='Get Started  2'!$E27,IF(AND(AS4&lt;'Get Started  2'!$H112,'Get Started  2'!$H112&lt;='Get Started  2'!$E27),0,OFFSET(AS37,0,-1*'Get Started  2'!$H112)*'Get Started  2'!$H42*'Get Started  2'!$G112),0)+IF('Get Started  2'!$H111&lt;='Get Started  2'!$E27,IF(AS4&lt;'Get Started  2'!$H111,0,OFFSET(AS37,0,-1*'Get Started  2'!$H111)*'Get Started  2'!$G42*'Get Started  2'!$G111),0)+IF('Get Started  2'!$H110&lt;='Get Started  2'!$E27,IF(AS4&lt;'Get Started  2'!$H110,0,OFFSET(AS37,0,-1*'Get Started  2'!$H110)*'Get Started  2'!$F42*'Get Started  2'!$G110),0)+IF('Get Started  2'!$H109&lt;='Get Started  2'!$E27,IF(AS4&lt;'Get Started  2'!$H109,0,OFFSET(AS37,0,-1*'Get Started  2'!$H109)*'Get Started  2'!$E42*'Get Started  2'!$G109),0)</f>
        <v>2074939.4531249993</v>
      </c>
      <c r="AT204" s="29">
        <f ca="1">IF('Get Started  2'!$H112&lt;='Get Started  2'!$E27,IF(AND(AT4&lt;'Get Started  2'!$H112,'Get Started  2'!$H112&lt;='Get Started  2'!$E27),0,OFFSET(AT37,0,-1*'Get Started  2'!$H112)*'Get Started  2'!$H42*'Get Started  2'!$G112),0)+IF('Get Started  2'!$H111&lt;='Get Started  2'!$E27,IF(AT4&lt;'Get Started  2'!$H111,0,OFFSET(AT37,0,-1*'Get Started  2'!$H111)*'Get Started  2'!$G42*'Get Started  2'!$G111),0)+IF('Get Started  2'!$H110&lt;='Get Started  2'!$E27,IF(AT4&lt;'Get Started  2'!$H110,0,OFFSET(AT37,0,-1*'Get Started  2'!$H110)*'Get Started  2'!$F42*'Get Started  2'!$G110),0)+IF('Get Started  2'!$H109&lt;='Get Started  2'!$E27,IF(AT4&lt;'Get Started  2'!$H109,0,OFFSET(AT37,0,-1*'Get Started  2'!$H109)*'Get Started  2'!$E42*'Get Started  2'!$G109),0)</f>
        <v>2074939.4531249993</v>
      </c>
      <c r="AU204" s="29">
        <f ca="1">IF('Get Started  2'!$H112&lt;='Get Started  2'!$E27,IF(AND(AU4&lt;'Get Started  2'!$H112,'Get Started  2'!$H112&lt;='Get Started  2'!$E27),0,OFFSET(AU37,0,-1*'Get Started  2'!$H112)*'Get Started  2'!$H42*'Get Started  2'!$G112),0)+IF('Get Started  2'!$H111&lt;='Get Started  2'!$E27,IF(AU4&lt;'Get Started  2'!$H111,0,OFFSET(AU37,0,-1*'Get Started  2'!$H111)*'Get Started  2'!$G42*'Get Started  2'!$G111),0)+IF('Get Started  2'!$H110&lt;='Get Started  2'!$E27,IF(AU4&lt;'Get Started  2'!$H110,0,OFFSET(AU37,0,-1*'Get Started  2'!$H110)*'Get Started  2'!$F42*'Get Started  2'!$G110),0)+IF('Get Started  2'!$H109&lt;='Get Started  2'!$E27,IF(AU4&lt;'Get Started  2'!$H109,0,OFFSET(AU37,0,-1*'Get Started  2'!$H109)*'Get Started  2'!$E42*'Get Started  2'!$G109),0)</f>
        <v>0</v>
      </c>
      <c r="AV204" s="29">
        <f ca="1">IF('Get Started  2'!$H112&lt;='Get Started  2'!$E27,IF(AND(AV4&lt;'Get Started  2'!$H112,'Get Started  2'!$H112&lt;='Get Started  2'!$E27),0,OFFSET(AV37,0,-1*'Get Started  2'!$H112)*'Get Started  2'!$H42*'Get Started  2'!$G112),0)+IF('Get Started  2'!$H111&lt;='Get Started  2'!$E27,IF(AV4&lt;'Get Started  2'!$H111,0,OFFSET(AV37,0,-1*'Get Started  2'!$H111)*'Get Started  2'!$G42*'Get Started  2'!$G111),0)+IF('Get Started  2'!$H110&lt;='Get Started  2'!$E27,IF(AV4&lt;'Get Started  2'!$H110,0,OFFSET(AV37,0,-1*'Get Started  2'!$H110)*'Get Started  2'!$F42*'Get Started  2'!$G110),0)+IF('Get Started  2'!$H109&lt;='Get Started  2'!$E27,IF(AV4&lt;'Get Started  2'!$H109,0,OFFSET(AV37,0,-1*'Get Started  2'!$H109)*'Get Started  2'!$E42*'Get Started  2'!$G109),0)</f>
        <v>0</v>
      </c>
      <c r="AW204" s="29">
        <f ca="1">IF('Get Started  2'!$H112&lt;='Get Started  2'!$E27,IF(AND(AW4&lt;'Get Started  2'!$H112,'Get Started  2'!$H112&lt;='Get Started  2'!$E27),0,OFFSET(AW37,0,-1*'Get Started  2'!$H112)*'Get Started  2'!$H42*'Get Started  2'!$G112),0)+IF('Get Started  2'!$H111&lt;='Get Started  2'!$E27,IF(AW4&lt;'Get Started  2'!$H111,0,OFFSET(AW37,0,-1*'Get Started  2'!$H111)*'Get Started  2'!$G42*'Get Started  2'!$G111),0)+IF('Get Started  2'!$H110&lt;='Get Started  2'!$E27,IF(AW4&lt;'Get Started  2'!$H110,0,OFFSET(AW37,0,-1*'Get Started  2'!$H110)*'Get Started  2'!$F42*'Get Started  2'!$G110),0)+IF('Get Started  2'!$H109&lt;='Get Started  2'!$E27,IF(AW4&lt;'Get Started  2'!$H109,0,OFFSET(AW37,0,-1*'Get Started  2'!$H109)*'Get Started  2'!$E42*'Get Started  2'!$G109),0)</f>
        <v>0</v>
      </c>
      <c r="AX204" s="29">
        <f ca="1">IF('Get Started  2'!$H112&lt;='Get Started  2'!$E27,IF(AND(AX4&lt;'Get Started  2'!$H112,'Get Started  2'!$H112&lt;='Get Started  2'!$E27),0,OFFSET(AX37,0,-1*'Get Started  2'!$H112)*'Get Started  2'!$H42*'Get Started  2'!$G112),0)+IF('Get Started  2'!$H111&lt;='Get Started  2'!$E27,IF(AX4&lt;'Get Started  2'!$H111,0,OFFSET(AX37,0,-1*'Get Started  2'!$H111)*'Get Started  2'!$G42*'Get Started  2'!$G111),0)+IF('Get Started  2'!$H110&lt;='Get Started  2'!$E27,IF(AX4&lt;'Get Started  2'!$H110,0,OFFSET(AX37,0,-1*'Get Started  2'!$H110)*'Get Started  2'!$F42*'Get Started  2'!$G110),0)+IF('Get Started  2'!$H109&lt;='Get Started  2'!$E27,IF(AX4&lt;'Get Started  2'!$H109,0,OFFSET(AX37,0,-1*'Get Started  2'!$H109)*'Get Started  2'!$E42*'Get Started  2'!$G109),0)</f>
        <v>0</v>
      </c>
      <c r="AY204" s="29">
        <f ca="1">IF('Get Started  2'!$H112&lt;='Get Started  2'!$E27,IF(AND(AY4&lt;'Get Started  2'!$H112,'Get Started  2'!$H112&lt;='Get Started  2'!$E27),0,OFFSET(AY37,0,-1*'Get Started  2'!$H112)*'Get Started  2'!$H42*'Get Started  2'!$G112),0)+IF('Get Started  2'!$H111&lt;='Get Started  2'!$E27,IF(AY4&lt;'Get Started  2'!$H111,0,OFFSET(AY37,0,-1*'Get Started  2'!$H111)*'Get Started  2'!$G42*'Get Started  2'!$G111),0)+IF('Get Started  2'!$H110&lt;='Get Started  2'!$E27,IF(AY4&lt;'Get Started  2'!$H110,0,OFFSET(AY37,0,-1*'Get Started  2'!$H110)*'Get Started  2'!$F42*'Get Started  2'!$G110),0)+IF('Get Started  2'!$H109&lt;='Get Started  2'!$E27,IF(AY4&lt;'Get Started  2'!$H109,0,OFFSET(AY37,0,-1*'Get Started  2'!$H109)*'Get Started  2'!$E42*'Get Started  2'!$G109),0)</f>
        <v>0</v>
      </c>
      <c r="AZ204" s="29">
        <f ca="1">IF('Get Started  2'!$H112&lt;='Get Started  2'!$E27,IF(AND(AZ4&lt;'Get Started  2'!$H112,'Get Started  2'!$H112&lt;='Get Started  2'!$E27),0,OFFSET(AZ37,0,-1*'Get Started  2'!$H112)*'Get Started  2'!$H42*'Get Started  2'!$G112),0)+IF('Get Started  2'!$H111&lt;='Get Started  2'!$E27,IF(AZ4&lt;'Get Started  2'!$H111,0,OFFSET(AZ37,0,-1*'Get Started  2'!$H111)*'Get Started  2'!$G42*'Get Started  2'!$G111),0)+IF('Get Started  2'!$H110&lt;='Get Started  2'!$E27,IF(AZ4&lt;'Get Started  2'!$H110,0,OFFSET(AZ37,0,-1*'Get Started  2'!$H110)*'Get Started  2'!$F42*'Get Started  2'!$G110),0)+IF('Get Started  2'!$H109&lt;='Get Started  2'!$E27,IF(AZ4&lt;'Get Started  2'!$H109,0,OFFSET(AZ37,0,-1*'Get Started  2'!$H109)*'Get Started  2'!$E42*'Get Started  2'!$G109),0)</f>
        <v>0</v>
      </c>
      <c r="BA204" s="29">
        <f ca="1">IF('Get Started  2'!$H112&lt;='Get Started  2'!$E27,IF(AND(BA4&lt;'Get Started  2'!$H112,'Get Started  2'!$H112&lt;='Get Started  2'!$E27),0,OFFSET(BA37,0,-1*'Get Started  2'!$H112)*'Get Started  2'!$H42*'Get Started  2'!$G112),0)+IF('Get Started  2'!$H111&lt;='Get Started  2'!$E27,IF(BA4&lt;'Get Started  2'!$H111,0,OFFSET(BA37,0,-1*'Get Started  2'!$H111)*'Get Started  2'!$G42*'Get Started  2'!$G111),0)+IF('Get Started  2'!$H110&lt;='Get Started  2'!$E27,IF(BA4&lt;'Get Started  2'!$H110,0,OFFSET(BA37,0,-1*'Get Started  2'!$H110)*'Get Started  2'!$F42*'Get Started  2'!$G110),0)+IF('Get Started  2'!$H109&lt;='Get Started  2'!$E27,IF(BA4&lt;'Get Started  2'!$H109,0,OFFSET(BA37,0,-1*'Get Started  2'!$H109)*'Get Started  2'!$E42*'Get Started  2'!$G109),0)</f>
        <v>0</v>
      </c>
      <c r="BB204" s="29">
        <f ca="1">IF('Get Started  2'!$H112&lt;='Get Started  2'!$E27,IF(AND(BB4&lt;'Get Started  2'!$H112,'Get Started  2'!$H112&lt;='Get Started  2'!$E27),0,OFFSET(BB37,0,-1*'Get Started  2'!$H112)*'Get Started  2'!$H42*'Get Started  2'!$G112),0)+IF('Get Started  2'!$H111&lt;='Get Started  2'!$E27,IF(BB4&lt;'Get Started  2'!$H111,0,OFFSET(BB37,0,-1*'Get Started  2'!$H111)*'Get Started  2'!$G42*'Get Started  2'!$G111),0)+IF('Get Started  2'!$H110&lt;='Get Started  2'!$E27,IF(BB4&lt;'Get Started  2'!$H110,0,OFFSET(BB37,0,-1*'Get Started  2'!$H110)*'Get Started  2'!$F42*'Get Started  2'!$G110),0)+IF('Get Started  2'!$H109&lt;='Get Started  2'!$E27,IF(BB4&lt;'Get Started  2'!$H109,0,OFFSET(BB37,0,-1*'Get Started  2'!$H109)*'Get Started  2'!$E42*'Get Started  2'!$G109),0)</f>
        <v>0</v>
      </c>
      <c r="BC204" s="29">
        <f ca="1">IF('Get Started  2'!$H112&lt;='Get Started  2'!$E27,IF(AND(BC4&lt;'Get Started  2'!$H112,'Get Started  2'!$H112&lt;='Get Started  2'!$E27),0,OFFSET(BC37,0,-1*'Get Started  2'!$H112)*'Get Started  2'!$H42*'Get Started  2'!$G112),0)+IF('Get Started  2'!$H111&lt;='Get Started  2'!$E27,IF(BC4&lt;'Get Started  2'!$H111,0,OFFSET(BC37,0,-1*'Get Started  2'!$H111)*'Get Started  2'!$G42*'Get Started  2'!$G111),0)+IF('Get Started  2'!$H110&lt;='Get Started  2'!$E27,IF(BC4&lt;'Get Started  2'!$H110,0,OFFSET(BC37,0,-1*'Get Started  2'!$H110)*'Get Started  2'!$F42*'Get Started  2'!$G110),0)+IF('Get Started  2'!$H109&lt;='Get Started  2'!$E27,IF(BC4&lt;'Get Started  2'!$H109,0,OFFSET(BC37,0,-1*'Get Started  2'!$H109)*'Get Started  2'!$E42*'Get Started  2'!$G109),0)</f>
        <v>0</v>
      </c>
      <c r="BD204" s="29">
        <f ca="1">IF('Get Started  2'!$H112&lt;='Get Started  2'!$E27,IF(AND(BD4&lt;'Get Started  2'!$H112,'Get Started  2'!$H112&lt;='Get Started  2'!$E27),0,OFFSET(BD37,0,-1*'Get Started  2'!$H112)*'Get Started  2'!$H42*'Get Started  2'!$G112),0)+IF('Get Started  2'!$H111&lt;='Get Started  2'!$E27,IF(BD4&lt;'Get Started  2'!$H111,0,OFFSET(BD37,0,-1*'Get Started  2'!$H111)*'Get Started  2'!$G42*'Get Started  2'!$G111),0)+IF('Get Started  2'!$H110&lt;='Get Started  2'!$E27,IF(BD4&lt;'Get Started  2'!$H110,0,OFFSET(BD37,0,-1*'Get Started  2'!$H110)*'Get Started  2'!$F42*'Get Started  2'!$G110),0)+IF('Get Started  2'!$H109&lt;='Get Started  2'!$E27,IF(BD4&lt;'Get Started  2'!$H109,0,OFFSET(BD37,0,-1*'Get Started  2'!$H109)*'Get Started  2'!$E42*'Get Started  2'!$G109),0)</f>
        <v>0</v>
      </c>
      <c r="BE204" s="29">
        <f ca="1">IF('Get Started  2'!$H112&lt;='Get Started  2'!$E27,IF(AND(BE4&lt;'Get Started  2'!$H112,'Get Started  2'!$H112&lt;='Get Started  2'!$E27),0,OFFSET(BE37,0,-1*'Get Started  2'!$H112)*'Get Started  2'!$H42*'Get Started  2'!$G112),0)+IF('Get Started  2'!$H111&lt;='Get Started  2'!$E27,IF(BE4&lt;'Get Started  2'!$H111,0,OFFSET(BE37,0,-1*'Get Started  2'!$H111)*'Get Started  2'!$G42*'Get Started  2'!$G111),0)+IF('Get Started  2'!$H110&lt;='Get Started  2'!$E27,IF(BE4&lt;'Get Started  2'!$H110,0,OFFSET(BE37,0,-1*'Get Started  2'!$H110)*'Get Started  2'!$F42*'Get Started  2'!$G110),0)+IF('Get Started  2'!$H109&lt;='Get Started  2'!$E27,IF(BE4&lt;'Get Started  2'!$H109,0,OFFSET(BE37,0,-1*'Get Started  2'!$H109)*'Get Started  2'!$E42*'Get Started  2'!$G109),0)</f>
        <v>0</v>
      </c>
      <c r="BF204" s="29">
        <f ca="1">IF('Get Started  2'!$H112&lt;='Get Started  2'!$E27,IF(AND(BF4&lt;'Get Started  2'!$H112,'Get Started  2'!$H112&lt;='Get Started  2'!$E27),0,OFFSET(BF37,0,-1*'Get Started  2'!$H112)*'Get Started  2'!$H42*'Get Started  2'!$G112),0)+IF('Get Started  2'!$H111&lt;='Get Started  2'!$E27,IF(BF4&lt;'Get Started  2'!$H111,0,OFFSET(BF37,0,-1*'Get Started  2'!$H111)*'Get Started  2'!$G42*'Get Started  2'!$G111),0)+IF('Get Started  2'!$H110&lt;='Get Started  2'!$E27,IF(BF4&lt;'Get Started  2'!$H110,0,OFFSET(BF37,0,-1*'Get Started  2'!$H110)*'Get Started  2'!$F42*'Get Started  2'!$G110),0)+IF('Get Started  2'!$H109&lt;='Get Started  2'!$E27,IF(BF4&lt;'Get Started  2'!$H109,0,OFFSET(BF37,0,-1*'Get Started  2'!$H109)*'Get Started  2'!$E42*'Get Started  2'!$G109),0)</f>
        <v>0</v>
      </c>
      <c r="BG204" s="29">
        <f ca="1">IF('Get Started  2'!$H112&lt;='Get Started  2'!$E27,IF(AND(BG4&lt;'Get Started  2'!$H112,'Get Started  2'!$H112&lt;='Get Started  2'!$E27),0,OFFSET(BG37,0,-1*'Get Started  2'!$H112)*'Get Started  2'!$H42*'Get Started  2'!$G112),0)+IF('Get Started  2'!$H111&lt;='Get Started  2'!$E27,IF(BG4&lt;'Get Started  2'!$H111,0,OFFSET(BG37,0,-1*'Get Started  2'!$H111)*'Get Started  2'!$G42*'Get Started  2'!$G111),0)+IF('Get Started  2'!$H110&lt;='Get Started  2'!$E27,IF(BG4&lt;'Get Started  2'!$H110,0,OFFSET(BG37,0,-1*'Get Started  2'!$H110)*'Get Started  2'!$F42*'Get Started  2'!$G110),0)+IF('Get Started  2'!$H109&lt;='Get Started  2'!$E27,IF(BG4&lt;'Get Started  2'!$H109,0,OFFSET(BG37,0,-1*'Get Started  2'!$H109)*'Get Started  2'!$E42*'Get Started  2'!$G109),0)</f>
        <v>0</v>
      </c>
      <c r="BH204" s="29">
        <f ca="1">IF('Get Started  2'!$H112&lt;='Get Started  2'!$E27,IF(AND(BH4&lt;'Get Started  2'!$H112,'Get Started  2'!$H112&lt;='Get Started  2'!$E27),0,OFFSET(BH37,0,-1*'Get Started  2'!$H112)*'Get Started  2'!$H42*'Get Started  2'!$G112),0)+IF('Get Started  2'!$H111&lt;='Get Started  2'!$E27,IF(BH4&lt;'Get Started  2'!$H111,0,OFFSET(BH37,0,-1*'Get Started  2'!$H111)*'Get Started  2'!$G42*'Get Started  2'!$G111),0)+IF('Get Started  2'!$H110&lt;='Get Started  2'!$E27,IF(BH4&lt;'Get Started  2'!$H110,0,OFFSET(BH37,0,-1*'Get Started  2'!$H110)*'Get Started  2'!$F42*'Get Started  2'!$G110),0)+IF('Get Started  2'!$H109&lt;='Get Started  2'!$E27,IF(BH4&lt;'Get Started  2'!$H109,0,OFFSET(BH37,0,-1*'Get Started  2'!$H109)*'Get Started  2'!$E42*'Get Started  2'!$G109),0)</f>
        <v>0</v>
      </c>
      <c r="BI204" s="29">
        <f ca="1">IF('Get Started  2'!$H112&lt;='Get Started  2'!$E27,IF(AND(BI4&lt;'Get Started  2'!$H112,'Get Started  2'!$H112&lt;='Get Started  2'!$E27),0,OFFSET(BI37,0,-1*'Get Started  2'!$H112)*'Get Started  2'!$H42*'Get Started  2'!$G112),0)+IF('Get Started  2'!$H111&lt;='Get Started  2'!$E27,IF(BI4&lt;'Get Started  2'!$H111,0,OFFSET(BI37,0,-1*'Get Started  2'!$H111)*'Get Started  2'!$G42*'Get Started  2'!$G111),0)+IF('Get Started  2'!$H110&lt;='Get Started  2'!$E27,IF(BI4&lt;'Get Started  2'!$H110,0,OFFSET(BI37,0,-1*'Get Started  2'!$H110)*'Get Started  2'!$F42*'Get Started  2'!$G110),0)+IF('Get Started  2'!$H109&lt;='Get Started  2'!$E27,IF(BI4&lt;'Get Started  2'!$H109,0,OFFSET(BI37,0,-1*'Get Started  2'!$H109)*'Get Started  2'!$E42*'Get Started  2'!$G109),0)</f>
        <v>0</v>
      </c>
      <c r="BJ204" s="29">
        <f ca="1">IF('Get Started  2'!$H112&lt;='Get Started  2'!$E27,IF(AND(BJ4&lt;'Get Started  2'!$H112,'Get Started  2'!$H112&lt;='Get Started  2'!$E27),0,OFFSET(BJ37,0,-1*'Get Started  2'!$H112)*'Get Started  2'!$H42*'Get Started  2'!$G112),0)+IF('Get Started  2'!$H111&lt;='Get Started  2'!$E27,IF(BJ4&lt;'Get Started  2'!$H111,0,OFFSET(BJ37,0,-1*'Get Started  2'!$H111)*'Get Started  2'!$G42*'Get Started  2'!$G111),0)+IF('Get Started  2'!$H110&lt;='Get Started  2'!$E27,IF(BJ4&lt;'Get Started  2'!$H110,0,OFFSET(BJ37,0,-1*'Get Started  2'!$H110)*'Get Started  2'!$F42*'Get Started  2'!$G110),0)+IF('Get Started  2'!$H109&lt;='Get Started  2'!$E27,IF(BJ4&lt;'Get Started  2'!$H109,0,OFFSET(BJ37,0,-1*'Get Started  2'!$H109)*'Get Started  2'!$E42*'Get Started  2'!$G109),0)</f>
        <v>0</v>
      </c>
      <c r="BK204" s="29">
        <f ca="1">IF('Get Started  2'!$H112&lt;='Get Started  2'!$E27,IF(AND(BK4&lt;'Get Started  2'!$H112,'Get Started  2'!$H112&lt;='Get Started  2'!$E27),0,OFFSET(BK37,0,-1*'Get Started  2'!$H112)*'Get Started  2'!$H42*'Get Started  2'!$G112),0)+IF('Get Started  2'!$H111&lt;='Get Started  2'!$E27,IF(BK4&lt;'Get Started  2'!$H111,0,OFFSET(BK37,0,-1*'Get Started  2'!$H111)*'Get Started  2'!$G42*'Get Started  2'!$G111),0)+IF('Get Started  2'!$H110&lt;='Get Started  2'!$E27,IF(BK4&lt;'Get Started  2'!$H110,0,OFFSET(BK37,0,-1*'Get Started  2'!$H110)*'Get Started  2'!$F42*'Get Started  2'!$G110),0)+IF('Get Started  2'!$H109&lt;='Get Started  2'!$E27,IF(BK4&lt;'Get Started  2'!$H109,0,OFFSET(BK37,0,-1*'Get Started  2'!$H109)*'Get Started  2'!$E42*'Get Started  2'!$G109),0)</f>
        <v>0</v>
      </c>
      <c r="BL204" s="29">
        <f ca="1">IF('Get Started  2'!$H112&lt;='Get Started  2'!$E27,IF(AND(BL4&lt;'Get Started  2'!$H112,'Get Started  2'!$H112&lt;='Get Started  2'!$E27),0,OFFSET(BL37,0,-1*'Get Started  2'!$H112)*'Get Started  2'!$H42*'Get Started  2'!$G112),0)+IF('Get Started  2'!$H111&lt;='Get Started  2'!$E27,IF(BL4&lt;'Get Started  2'!$H111,0,OFFSET(BL37,0,-1*'Get Started  2'!$H111)*'Get Started  2'!$G42*'Get Started  2'!$G111),0)+IF('Get Started  2'!$H110&lt;='Get Started  2'!$E27,IF(BL4&lt;'Get Started  2'!$H110,0,OFFSET(BL37,0,-1*'Get Started  2'!$H110)*'Get Started  2'!$F42*'Get Started  2'!$G110),0)+IF('Get Started  2'!$H109&lt;='Get Started  2'!$E27,IF(BL4&lt;'Get Started  2'!$H109,0,OFFSET(BL37,0,-1*'Get Started  2'!$H109)*'Get Started  2'!$E42*'Get Started  2'!$G109),0)</f>
        <v>0</v>
      </c>
      <c r="BM204" s="29">
        <f ca="1">IF('Get Started  2'!$H112&lt;='Get Started  2'!$E27,IF(AND(BM4&lt;'Get Started  2'!$H112,'Get Started  2'!$H112&lt;='Get Started  2'!$E27),0,OFFSET(BM37,0,-1*'Get Started  2'!$H112)*'Get Started  2'!$H42*'Get Started  2'!$G112),0)+IF('Get Started  2'!$H111&lt;='Get Started  2'!$E27,IF(BM4&lt;'Get Started  2'!$H111,0,OFFSET(BM37,0,-1*'Get Started  2'!$H111)*'Get Started  2'!$G42*'Get Started  2'!$G111),0)+IF('Get Started  2'!$H110&lt;='Get Started  2'!$E27,IF(BM4&lt;'Get Started  2'!$H110,0,OFFSET(BM37,0,-1*'Get Started  2'!$H110)*'Get Started  2'!$F42*'Get Started  2'!$G110),0)+IF('Get Started  2'!$H109&lt;='Get Started  2'!$E27,IF(BM4&lt;'Get Started  2'!$H109,0,OFFSET(BM37,0,-1*'Get Started  2'!$H109)*'Get Started  2'!$E42*'Get Started  2'!$G109),0)</f>
        <v>0</v>
      </c>
      <c r="BN204" s="29">
        <f ca="1">IF('Get Started  2'!$H112&lt;='Get Started  2'!$E27,IF(AND(BN4&lt;'Get Started  2'!$H112,'Get Started  2'!$H112&lt;='Get Started  2'!$E27),0,OFFSET(BN37,0,-1*'Get Started  2'!$H112)*'Get Started  2'!$H42*'Get Started  2'!$G112),0)+IF('Get Started  2'!$H111&lt;='Get Started  2'!$E27,IF(BN4&lt;'Get Started  2'!$H111,0,OFFSET(BN37,0,-1*'Get Started  2'!$H111)*'Get Started  2'!$G42*'Get Started  2'!$G111),0)+IF('Get Started  2'!$H110&lt;='Get Started  2'!$E27,IF(BN4&lt;'Get Started  2'!$H110,0,OFFSET(BN37,0,-1*'Get Started  2'!$H110)*'Get Started  2'!$F42*'Get Started  2'!$G110),0)+IF('Get Started  2'!$H109&lt;='Get Started  2'!$E27,IF(BN4&lt;'Get Started  2'!$H109,0,OFFSET(BN37,0,-1*'Get Started  2'!$H109)*'Get Started  2'!$E42*'Get Started  2'!$G109),0)</f>
        <v>0</v>
      </c>
      <c r="BO204" s="29">
        <f ca="1">IF('Get Started  2'!$H112&lt;='Get Started  2'!$E27,IF(AND(BO4&lt;'Get Started  2'!$H112,'Get Started  2'!$H112&lt;='Get Started  2'!$E27),0,OFFSET(BO37,0,-1*'Get Started  2'!$H112)*'Get Started  2'!$H42*'Get Started  2'!$G112),0)+IF('Get Started  2'!$H111&lt;='Get Started  2'!$E27,IF(BO4&lt;'Get Started  2'!$H111,0,OFFSET(BO37,0,-1*'Get Started  2'!$H111)*'Get Started  2'!$G42*'Get Started  2'!$G111),0)+IF('Get Started  2'!$H110&lt;='Get Started  2'!$E27,IF(BO4&lt;'Get Started  2'!$H110,0,OFFSET(BO37,0,-1*'Get Started  2'!$H110)*'Get Started  2'!$F42*'Get Started  2'!$G110),0)+IF('Get Started  2'!$H109&lt;='Get Started  2'!$E27,IF(BO4&lt;'Get Started  2'!$H109,0,OFFSET(BO37,0,-1*'Get Started  2'!$H109)*'Get Started  2'!$E42*'Get Started  2'!$G109),0)</f>
        <v>0</v>
      </c>
      <c r="BP204" s="29">
        <f ca="1">IF('Get Started  2'!$H112&lt;='Get Started  2'!$E27,IF(AND(BP4&lt;'Get Started  2'!$H112,'Get Started  2'!$H112&lt;='Get Started  2'!$E27),0,OFFSET(BP37,0,-1*'Get Started  2'!$H112)*'Get Started  2'!$H42*'Get Started  2'!$G112),0)+IF('Get Started  2'!$H111&lt;='Get Started  2'!$E27,IF(BP4&lt;'Get Started  2'!$H111,0,OFFSET(BP37,0,-1*'Get Started  2'!$H111)*'Get Started  2'!$G42*'Get Started  2'!$G111),0)+IF('Get Started  2'!$H110&lt;='Get Started  2'!$E27,IF(BP4&lt;'Get Started  2'!$H110,0,OFFSET(BP37,0,-1*'Get Started  2'!$H110)*'Get Started  2'!$F42*'Get Started  2'!$G110),0)+IF('Get Started  2'!$H109&lt;='Get Started  2'!$E27,IF(BP4&lt;'Get Started  2'!$H109,0,OFFSET(BP37,0,-1*'Get Started  2'!$H109)*'Get Started  2'!$E42*'Get Started  2'!$G109),0)</f>
        <v>0</v>
      </c>
      <c r="BQ204" s="29">
        <f ca="1">IF('Get Started  2'!$H112&lt;='Get Started  2'!$E27,IF(AND(BQ4&lt;'Get Started  2'!$H112,'Get Started  2'!$H112&lt;='Get Started  2'!$E27),0,OFFSET(BQ37,0,-1*'Get Started  2'!$H112)*'Get Started  2'!$H42*'Get Started  2'!$G112),0)+IF('Get Started  2'!$H111&lt;='Get Started  2'!$E27,IF(BQ4&lt;'Get Started  2'!$H111,0,OFFSET(BQ37,0,-1*'Get Started  2'!$H111)*'Get Started  2'!$G42*'Get Started  2'!$G111),0)+IF('Get Started  2'!$H110&lt;='Get Started  2'!$E27,IF(BQ4&lt;'Get Started  2'!$H110,0,OFFSET(BQ37,0,-1*'Get Started  2'!$H110)*'Get Started  2'!$F42*'Get Started  2'!$G110),0)+IF('Get Started  2'!$H109&lt;='Get Started  2'!$E27,IF(BQ4&lt;'Get Started  2'!$H109,0,OFFSET(BQ37,0,-1*'Get Started  2'!$H109)*'Get Started  2'!$E42*'Get Started  2'!$G109),0)</f>
        <v>0</v>
      </c>
      <c r="BR204" s="29">
        <f ca="1">IF('Get Started  2'!$H112&lt;='Get Started  2'!$E27,IF(AND(BR4&lt;'Get Started  2'!$H112,'Get Started  2'!$H112&lt;='Get Started  2'!$E27),0,OFFSET(BR37,0,-1*'Get Started  2'!$H112)*'Get Started  2'!$H42*'Get Started  2'!$G112),0)+IF('Get Started  2'!$H111&lt;='Get Started  2'!$E27,IF(BR4&lt;'Get Started  2'!$H111,0,OFFSET(BR37,0,-1*'Get Started  2'!$H111)*'Get Started  2'!$G42*'Get Started  2'!$G111),0)+IF('Get Started  2'!$H110&lt;='Get Started  2'!$E27,IF(BR4&lt;'Get Started  2'!$H110,0,OFFSET(BR37,0,-1*'Get Started  2'!$H110)*'Get Started  2'!$F42*'Get Started  2'!$G110),0)+IF('Get Started  2'!$H109&lt;='Get Started  2'!$E27,IF(BR4&lt;'Get Started  2'!$H109,0,OFFSET(BR37,0,-1*'Get Started  2'!$H109)*'Get Started  2'!$E42*'Get Started  2'!$G109),0)</f>
        <v>0</v>
      </c>
      <c r="BS204" s="29">
        <f ca="1">IF('Get Started  2'!$H112&lt;='Get Started  2'!$E27,IF(AND(BS4&lt;'Get Started  2'!$H112,'Get Started  2'!$H112&lt;='Get Started  2'!$E27),0,OFFSET(BS37,0,-1*'Get Started  2'!$H112)*'Get Started  2'!$H42*'Get Started  2'!$G112),0)+IF('Get Started  2'!$H111&lt;='Get Started  2'!$E27,IF(BS4&lt;'Get Started  2'!$H111,0,OFFSET(BS37,0,-1*'Get Started  2'!$H111)*'Get Started  2'!$G42*'Get Started  2'!$G111),0)+IF('Get Started  2'!$H110&lt;='Get Started  2'!$E27,IF(BS4&lt;'Get Started  2'!$H110,0,OFFSET(BS37,0,-1*'Get Started  2'!$H110)*'Get Started  2'!$F42*'Get Started  2'!$G110),0)+IF('Get Started  2'!$H109&lt;='Get Started  2'!$E27,IF(BS4&lt;'Get Started  2'!$H109,0,OFFSET(BS37,0,-1*'Get Started  2'!$H109)*'Get Started  2'!$E42*'Get Started  2'!$G109),0)</f>
        <v>0</v>
      </c>
      <c r="BT204" s="29">
        <f ca="1">IF('Get Started  2'!$H112&lt;='Get Started  2'!$E27,IF(AND(BT4&lt;'Get Started  2'!$H112,'Get Started  2'!$H112&lt;='Get Started  2'!$E27),0,OFFSET(BT37,0,-1*'Get Started  2'!$H112)*'Get Started  2'!$H42*'Get Started  2'!$G112),0)+IF('Get Started  2'!$H111&lt;='Get Started  2'!$E27,IF(BT4&lt;'Get Started  2'!$H111,0,OFFSET(BT37,0,-1*'Get Started  2'!$H111)*'Get Started  2'!$G42*'Get Started  2'!$G111),0)+IF('Get Started  2'!$H110&lt;='Get Started  2'!$E27,IF(BT4&lt;'Get Started  2'!$H110,0,OFFSET(BT37,0,-1*'Get Started  2'!$H110)*'Get Started  2'!$F42*'Get Started  2'!$G110),0)+IF('Get Started  2'!$H109&lt;='Get Started  2'!$E27,IF(BT4&lt;'Get Started  2'!$H109,0,OFFSET(BT37,0,-1*'Get Started  2'!$H109)*'Get Started  2'!$E42*'Get Started  2'!$G109),0)</f>
        <v>0</v>
      </c>
      <c r="BU204" s="29">
        <f ca="1">IF('Get Started  2'!$H112&lt;='Get Started  2'!$E27,IF(AND(BU4&lt;'Get Started  2'!$H112,'Get Started  2'!$H112&lt;='Get Started  2'!$E27),0,OFFSET(BU37,0,-1*'Get Started  2'!$H112)*'Get Started  2'!$H42*'Get Started  2'!$G112),0)+IF('Get Started  2'!$H111&lt;='Get Started  2'!$E27,IF(BU4&lt;'Get Started  2'!$H111,0,OFFSET(BU37,0,-1*'Get Started  2'!$H111)*'Get Started  2'!$G42*'Get Started  2'!$G111),0)+IF('Get Started  2'!$H110&lt;='Get Started  2'!$E27,IF(BU4&lt;'Get Started  2'!$H110,0,OFFSET(BU37,0,-1*'Get Started  2'!$H110)*'Get Started  2'!$F42*'Get Started  2'!$G110),0)+IF('Get Started  2'!$H109&lt;='Get Started  2'!$E27,IF(BU4&lt;'Get Started  2'!$H109,0,OFFSET(BU37,0,-1*'Get Started  2'!$H109)*'Get Started  2'!$E42*'Get Started  2'!$G109),0)</f>
        <v>0</v>
      </c>
      <c r="BV204" s="29">
        <f ca="1">IF('Get Started  2'!$H112&lt;='Get Started  2'!$E27,IF(AND(BV4&lt;'Get Started  2'!$H112,'Get Started  2'!$H112&lt;='Get Started  2'!$E27),0,OFFSET(BV37,0,-1*'Get Started  2'!$H112)*'Get Started  2'!$H42*'Get Started  2'!$G112),0)+IF('Get Started  2'!$H111&lt;='Get Started  2'!$E27,IF(BV4&lt;'Get Started  2'!$H111,0,OFFSET(BV37,0,-1*'Get Started  2'!$H111)*'Get Started  2'!$G42*'Get Started  2'!$G111),0)+IF('Get Started  2'!$H110&lt;='Get Started  2'!$E27,IF(BV4&lt;'Get Started  2'!$H110,0,OFFSET(BV37,0,-1*'Get Started  2'!$H110)*'Get Started  2'!$F42*'Get Started  2'!$G110),0)+IF('Get Started  2'!$H109&lt;='Get Started  2'!$E27,IF(BV4&lt;'Get Started  2'!$H109,0,OFFSET(BV37,0,-1*'Get Started  2'!$H109)*'Get Started  2'!$E42*'Get Started  2'!$G109),0)</f>
        <v>0</v>
      </c>
      <c r="BW204" s="29">
        <f ca="1">IF('Get Started  2'!$H112&lt;='Get Started  2'!$E27,IF(AND(BW4&lt;'Get Started  2'!$H112,'Get Started  2'!$H112&lt;='Get Started  2'!$E27),0,OFFSET(BW37,0,-1*'Get Started  2'!$H112)*'Get Started  2'!$H42*'Get Started  2'!$G112),0)+IF('Get Started  2'!$H111&lt;='Get Started  2'!$E27,IF(BW4&lt;'Get Started  2'!$H111,0,OFFSET(BW37,0,-1*'Get Started  2'!$H111)*'Get Started  2'!$G42*'Get Started  2'!$G111),0)+IF('Get Started  2'!$H110&lt;='Get Started  2'!$E27,IF(BW4&lt;'Get Started  2'!$H110,0,OFFSET(BW37,0,-1*'Get Started  2'!$H110)*'Get Started  2'!$F42*'Get Started  2'!$G110),0)+IF('Get Started  2'!$H109&lt;='Get Started  2'!$E27,IF(BW4&lt;'Get Started  2'!$H109,0,OFFSET(BW37,0,-1*'Get Started  2'!$H109)*'Get Started  2'!$E42*'Get Started  2'!$G109),0)</f>
        <v>0</v>
      </c>
      <c r="BX204" s="29">
        <f ca="1">IF('Get Started  2'!$H112&lt;='Get Started  2'!$E27,IF(AND(BX4&lt;'Get Started  2'!$H112,'Get Started  2'!$H112&lt;='Get Started  2'!$E27),0,OFFSET(BX37,0,-1*'Get Started  2'!$H112)*'Get Started  2'!$H42*'Get Started  2'!$G112),0)+IF('Get Started  2'!$H111&lt;='Get Started  2'!$E27,IF(BX4&lt;'Get Started  2'!$H111,0,OFFSET(BX37,0,-1*'Get Started  2'!$H111)*'Get Started  2'!$G42*'Get Started  2'!$G111),0)+IF('Get Started  2'!$H110&lt;='Get Started  2'!$E27,IF(BX4&lt;'Get Started  2'!$H110,0,OFFSET(BX37,0,-1*'Get Started  2'!$H110)*'Get Started  2'!$F42*'Get Started  2'!$G110),0)+IF('Get Started  2'!$H109&lt;='Get Started  2'!$E27,IF(BX4&lt;'Get Started  2'!$H109,0,OFFSET(BX37,0,-1*'Get Started  2'!$H109)*'Get Started  2'!$E42*'Get Started  2'!$G109),0)</f>
        <v>0</v>
      </c>
      <c r="BY204" s="29">
        <f ca="1">IF('Get Started  2'!$H112&lt;='Get Started  2'!$E27,IF(AND(BY4&lt;'Get Started  2'!$H112,'Get Started  2'!$H112&lt;='Get Started  2'!$E27),0,OFFSET(BY37,0,-1*'Get Started  2'!$H112)*'Get Started  2'!$H42*'Get Started  2'!$G112),0)+IF('Get Started  2'!$H111&lt;='Get Started  2'!$E27,IF(BY4&lt;'Get Started  2'!$H111,0,OFFSET(BY37,0,-1*'Get Started  2'!$H111)*'Get Started  2'!$G42*'Get Started  2'!$G111),0)+IF('Get Started  2'!$H110&lt;='Get Started  2'!$E27,IF(BY4&lt;'Get Started  2'!$H110,0,OFFSET(BY37,0,-1*'Get Started  2'!$H110)*'Get Started  2'!$F42*'Get Started  2'!$G110),0)+IF('Get Started  2'!$H109&lt;='Get Started  2'!$E27,IF(BY4&lt;'Get Started  2'!$H109,0,OFFSET(BY37,0,-1*'Get Started  2'!$H109)*'Get Started  2'!$E42*'Get Started  2'!$G109),0)</f>
        <v>0</v>
      </c>
      <c r="BZ204" s="29">
        <f ca="1">IF('Get Started  2'!$H112&lt;='Get Started  2'!$E27,IF(AND(BZ4&lt;'Get Started  2'!$H112,'Get Started  2'!$H112&lt;='Get Started  2'!$E27),0,OFFSET(BZ37,0,-1*'Get Started  2'!$H112)*'Get Started  2'!$H42*'Get Started  2'!$G112),0)+IF('Get Started  2'!$H111&lt;='Get Started  2'!$E27,IF(BZ4&lt;'Get Started  2'!$H111,0,OFFSET(BZ37,0,-1*'Get Started  2'!$H111)*'Get Started  2'!$G42*'Get Started  2'!$G111),0)+IF('Get Started  2'!$H110&lt;='Get Started  2'!$E27,IF(BZ4&lt;'Get Started  2'!$H110,0,OFFSET(BZ37,0,-1*'Get Started  2'!$H110)*'Get Started  2'!$F42*'Get Started  2'!$G110),0)+IF('Get Started  2'!$H109&lt;='Get Started  2'!$E27,IF(BZ4&lt;'Get Started  2'!$H109,0,OFFSET(BZ37,0,-1*'Get Started  2'!$H109)*'Get Started  2'!$E42*'Get Started  2'!$G109),0)</f>
        <v>0</v>
      </c>
      <c r="CA204" s="29">
        <f ca="1">IF('Get Started  2'!$H112&lt;='Get Started  2'!$E27,IF(AND(CA4&lt;'Get Started  2'!$H112,'Get Started  2'!$H112&lt;='Get Started  2'!$E27),0,OFFSET(CA37,0,-1*'Get Started  2'!$H112)*'Get Started  2'!$H42*'Get Started  2'!$G112),0)+IF('Get Started  2'!$H111&lt;='Get Started  2'!$E27,IF(CA4&lt;'Get Started  2'!$H111,0,OFFSET(CA37,0,-1*'Get Started  2'!$H111)*'Get Started  2'!$G42*'Get Started  2'!$G111),0)+IF('Get Started  2'!$H110&lt;='Get Started  2'!$E27,IF(CA4&lt;'Get Started  2'!$H110,0,OFFSET(CA37,0,-1*'Get Started  2'!$H110)*'Get Started  2'!$F42*'Get Started  2'!$G110),0)+IF('Get Started  2'!$H109&lt;='Get Started  2'!$E27,IF(CA4&lt;'Get Started  2'!$H109,0,OFFSET(CA37,0,-1*'Get Started  2'!$H109)*'Get Started  2'!$E42*'Get Started  2'!$G109),0)</f>
        <v>0</v>
      </c>
      <c r="CB204" s="29">
        <f ca="1">IF('Get Started  2'!$H112&lt;='Get Started  2'!$E27,IF(AND(CB4&lt;'Get Started  2'!$H112,'Get Started  2'!$H112&lt;='Get Started  2'!$E27),0,OFFSET(CB37,0,-1*'Get Started  2'!$H112)*'Get Started  2'!$H42*'Get Started  2'!$G112),0)+IF('Get Started  2'!$H111&lt;='Get Started  2'!$E27,IF(CB4&lt;'Get Started  2'!$H111,0,OFFSET(CB37,0,-1*'Get Started  2'!$H111)*'Get Started  2'!$G42*'Get Started  2'!$G111),0)+IF('Get Started  2'!$H110&lt;='Get Started  2'!$E27,IF(CB4&lt;'Get Started  2'!$H110,0,OFFSET(CB37,0,-1*'Get Started  2'!$H110)*'Get Started  2'!$F42*'Get Started  2'!$G110),0)+IF('Get Started  2'!$H109&lt;='Get Started  2'!$E27,IF(CB4&lt;'Get Started  2'!$H109,0,OFFSET(CB37,0,-1*'Get Started  2'!$H109)*'Get Started  2'!$E42*'Get Started  2'!$G109),0)</f>
        <v>0</v>
      </c>
      <c r="CC204" s="29">
        <f ca="1">IF('Get Started  2'!$H112&lt;='Get Started  2'!$E27,IF(AND(CC4&lt;'Get Started  2'!$H112,'Get Started  2'!$H112&lt;='Get Started  2'!$E27),0,OFFSET(CC37,0,-1*'Get Started  2'!$H112)*'Get Started  2'!$H42*'Get Started  2'!$G112),0)+IF('Get Started  2'!$H111&lt;='Get Started  2'!$E27,IF(CC4&lt;'Get Started  2'!$H111,0,OFFSET(CC37,0,-1*'Get Started  2'!$H111)*'Get Started  2'!$G42*'Get Started  2'!$G111),0)+IF('Get Started  2'!$H110&lt;='Get Started  2'!$E27,IF(CC4&lt;'Get Started  2'!$H110,0,OFFSET(CC37,0,-1*'Get Started  2'!$H110)*'Get Started  2'!$F42*'Get Started  2'!$G110),0)+IF('Get Started  2'!$H109&lt;='Get Started  2'!$E27,IF(CC4&lt;'Get Started  2'!$H109,0,OFFSET(CC37,0,-1*'Get Started  2'!$H109)*'Get Started  2'!$E42*'Get Started  2'!$G109),0)</f>
        <v>0</v>
      </c>
      <c r="CD204" s="29">
        <f ca="1">IF('Get Started  2'!$H112&lt;='Get Started  2'!$E27,IF(AND(CD4&lt;'Get Started  2'!$H112,'Get Started  2'!$H112&lt;='Get Started  2'!$E27),0,OFFSET(CD37,0,-1*'Get Started  2'!$H112)*'Get Started  2'!$H42*'Get Started  2'!$G112),0)+IF('Get Started  2'!$H111&lt;='Get Started  2'!$E27,IF(CD4&lt;'Get Started  2'!$H111,0,OFFSET(CD37,0,-1*'Get Started  2'!$H111)*'Get Started  2'!$G42*'Get Started  2'!$G111),0)+IF('Get Started  2'!$H110&lt;='Get Started  2'!$E27,IF(CD4&lt;'Get Started  2'!$H110,0,OFFSET(CD37,0,-1*'Get Started  2'!$H110)*'Get Started  2'!$F42*'Get Started  2'!$G110),0)+IF('Get Started  2'!$H109&lt;='Get Started  2'!$E27,IF(CD4&lt;'Get Started  2'!$H109,0,OFFSET(CD37,0,-1*'Get Started  2'!$H109)*'Get Started  2'!$E42*'Get Started  2'!$G109),0)</f>
        <v>0</v>
      </c>
      <c r="CE204" s="29">
        <f ca="1">IF('Get Started  2'!$H112&lt;='Get Started  2'!$E27,IF(AND(CE4&lt;'Get Started  2'!$H112,'Get Started  2'!$H112&lt;='Get Started  2'!$E27),0,OFFSET(CE37,0,-1*'Get Started  2'!$H112)*'Get Started  2'!$H42*'Get Started  2'!$G112),0)+IF('Get Started  2'!$H111&lt;='Get Started  2'!$E27,IF(CE4&lt;'Get Started  2'!$H111,0,OFFSET(CE37,0,-1*'Get Started  2'!$H111)*'Get Started  2'!$G42*'Get Started  2'!$G111),0)+IF('Get Started  2'!$H110&lt;='Get Started  2'!$E27,IF(CE4&lt;'Get Started  2'!$H110,0,OFFSET(CE37,0,-1*'Get Started  2'!$H110)*'Get Started  2'!$F42*'Get Started  2'!$G110),0)+IF('Get Started  2'!$H109&lt;='Get Started  2'!$E27,IF(CE4&lt;'Get Started  2'!$H109,0,OFFSET(CE37,0,-1*'Get Started  2'!$H109)*'Get Started  2'!$E42*'Get Started  2'!$G109),0)</f>
        <v>0</v>
      </c>
      <c r="CF204" s="29">
        <f ca="1">IF('Get Started  2'!$H112&lt;='Get Started  2'!$E27,IF(AND(CF4&lt;'Get Started  2'!$H112,'Get Started  2'!$H112&lt;='Get Started  2'!$E27),0,OFFSET(CF37,0,-1*'Get Started  2'!$H112)*'Get Started  2'!$H42*'Get Started  2'!$G112),0)+IF('Get Started  2'!$H111&lt;='Get Started  2'!$E27,IF(CF4&lt;'Get Started  2'!$H111,0,OFFSET(CF37,0,-1*'Get Started  2'!$H111)*'Get Started  2'!$G42*'Get Started  2'!$G111),0)+IF('Get Started  2'!$H110&lt;='Get Started  2'!$E27,IF(CF4&lt;'Get Started  2'!$H110,0,OFFSET(CF37,0,-1*'Get Started  2'!$H110)*'Get Started  2'!$F42*'Get Started  2'!$G110),0)+IF('Get Started  2'!$H109&lt;='Get Started  2'!$E27,IF(CF4&lt;'Get Started  2'!$H109,0,OFFSET(CF37,0,-1*'Get Started  2'!$H109)*'Get Started  2'!$E42*'Get Started  2'!$G109),0)</f>
        <v>0</v>
      </c>
      <c r="CG204" s="29">
        <f ca="1">IF('Get Started  2'!$H112&lt;='Get Started  2'!$E27,IF(AND(CG4&lt;'Get Started  2'!$H112,'Get Started  2'!$H112&lt;='Get Started  2'!$E27),0,OFFSET(CG37,0,-1*'Get Started  2'!$H112)*'Get Started  2'!$H42*'Get Started  2'!$G112),0)+IF('Get Started  2'!$H111&lt;='Get Started  2'!$E27,IF(CG4&lt;'Get Started  2'!$H111,0,OFFSET(CG37,0,-1*'Get Started  2'!$H111)*'Get Started  2'!$G42*'Get Started  2'!$G111),0)+IF('Get Started  2'!$H110&lt;='Get Started  2'!$E27,IF(CG4&lt;'Get Started  2'!$H110,0,OFFSET(CG37,0,-1*'Get Started  2'!$H110)*'Get Started  2'!$F42*'Get Started  2'!$G110),0)+IF('Get Started  2'!$H109&lt;='Get Started  2'!$E27,IF(CG4&lt;'Get Started  2'!$H109,0,OFFSET(CG37,0,-1*'Get Started  2'!$H109)*'Get Started  2'!$E42*'Get Started  2'!$G109),0)</f>
        <v>0</v>
      </c>
      <c r="CH204" s="29">
        <f ca="1">IF('Get Started  2'!$H112&lt;='Get Started  2'!$E27,IF(AND(CH4&lt;'Get Started  2'!$H112,'Get Started  2'!$H112&lt;='Get Started  2'!$E27),0,OFFSET(CH37,0,-1*'Get Started  2'!$H112)*'Get Started  2'!$H42*'Get Started  2'!$G112),0)+IF('Get Started  2'!$H111&lt;='Get Started  2'!$E27,IF(CH4&lt;'Get Started  2'!$H111,0,OFFSET(CH37,0,-1*'Get Started  2'!$H111)*'Get Started  2'!$G42*'Get Started  2'!$G111),0)+IF('Get Started  2'!$H110&lt;='Get Started  2'!$E27,IF(CH4&lt;'Get Started  2'!$H110,0,OFFSET(CH37,0,-1*'Get Started  2'!$H110)*'Get Started  2'!$F42*'Get Started  2'!$G110),0)+IF('Get Started  2'!$H109&lt;='Get Started  2'!$E27,IF(CH4&lt;'Get Started  2'!$H109,0,OFFSET(CH37,0,-1*'Get Started  2'!$H109)*'Get Started  2'!$E42*'Get Started  2'!$G109),0)</f>
        <v>0</v>
      </c>
    </row>
    <row r="205" spans="2:86" ht="13" outlineLevel="1">
      <c r="B205" s="13" t="str">
        <f>"Cost basis of investments exited within "&amp;'Get Started  2'!E$27&amp;" years"</f>
        <v>Cost basis of investments exited within 24 years</v>
      </c>
      <c r="C205" s="15"/>
      <c r="D205" s="15" t="s">
        <v>238</v>
      </c>
      <c r="E205" s="29">
        <f t="shared" ca="1" si="166"/>
        <v>10102430.555555556</v>
      </c>
      <c r="F205" s="77"/>
      <c r="G205" s="29">
        <f t="shared" ref="G205:CH205" ca="1" si="167">IFERROR(G206/(($E30-$E39-$E40-$E41)/$E30),0)</f>
        <v>0</v>
      </c>
      <c r="H205" s="29">
        <f t="shared" ca="1" si="167"/>
        <v>0</v>
      </c>
      <c r="I205" s="29">
        <f t="shared" ca="1" si="167"/>
        <v>0</v>
      </c>
      <c r="J205" s="29">
        <f t="shared" ca="1" si="167"/>
        <v>0</v>
      </c>
      <c r="K205" s="29">
        <f t="shared" ca="1" si="167"/>
        <v>0</v>
      </c>
      <c r="L205" s="29">
        <f t="shared" ca="1" si="167"/>
        <v>0</v>
      </c>
      <c r="M205" s="29">
        <f t="shared" ca="1" si="167"/>
        <v>0</v>
      </c>
      <c r="N205" s="29">
        <f t="shared" ca="1" si="167"/>
        <v>0</v>
      </c>
      <c r="O205" s="29">
        <f t="shared" ca="1" si="167"/>
        <v>0</v>
      </c>
      <c r="P205" s="29">
        <f t="shared" ca="1" si="167"/>
        <v>0</v>
      </c>
      <c r="Q205" s="29">
        <f t="shared" ca="1" si="167"/>
        <v>0</v>
      </c>
      <c r="R205" s="29">
        <f t="shared" ca="1" si="167"/>
        <v>0</v>
      </c>
      <c r="S205" s="29">
        <f t="shared" ca="1" si="167"/>
        <v>338541.66666666663</v>
      </c>
      <c r="T205" s="29">
        <f t="shared" ca="1" si="167"/>
        <v>338541.66666666663</v>
      </c>
      <c r="U205" s="29">
        <f t="shared" ca="1" si="167"/>
        <v>338541.66666666663</v>
      </c>
      <c r="V205" s="29">
        <f t="shared" ca="1" si="167"/>
        <v>338541.66666666663</v>
      </c>
      <c r="W205" s="29">
        <f t="shared" ca="1" si="167"/>
        <v>520833.33333333326</v>
      </c>
      <c r="X205" s="29">
        <f t="shared" ca="1" si="167"/>
        <v>520833.33333333326</v>
      </c>
      <c r="Y205" s="29">
        <f t="shared" ca="1" si="167"/>
        <v>520833.33333333326</v>
      </c>
      <c r="Z205" s="29">
        <f t="shared" ca="1" si="167"/>
        <v>520833.33333333326</v>
      </c>
      <c r="AA205" s="29">
        <f t="shared" ca="1" si="167"/>
        <v>520833.33333333326</v>
      </c>
      <c r="AB205" s="29">
        <f t="shared" ca="1" si="167"/>
        <v>520833.33333333326</v>
      </c>
      <c r="AC205" s="29">
        <f t="shared" ca="1" si="167"/>
        <v>520833.33333333326</v>
      </c>
      <c r="AD205" s="29">
        <f t="shared" ca="1" si="167"/>
        <v>520833.33333333326</v>
      </c>
      <c r="AE205" s="29">
        <f t="shared" ca="1" si="167"/>
        <v>672309.02777777764</v>
      </c>
      <c r="AF205" s="29">
        <f t="shared" ca="1" si="167"/>
        <v>672309.02777777764</v>
      </c>
      <c r="AG205" s="29">
        <f t="shared" ca="1" si="167"/>
        <v>672309.02777777764</v>
      </c>
      <c r="AH205" s="29">
        <f t="shared" ca="1" si="167"/>
        <v>672309.02777777764</v>
      </c>
      <c r="AI205" s="29">
        <f t="shared" ca="1" si="167"/>
        <v>299913.19444444438</v>
      </c>
      <c r="AJ205" s="29">
        <f t="shared" ca="1" si="167"/>
        <v>299913.19444444438</v>
      </c>
      <c r="AK205" s="29">
        <f t="shared" ca="1" si="167"/>
        <v>299913.19444444438</v>
      </c>
      <c r="AL205" s="29">
        <f t="shared" ca="1" si="167"/>
        <v>299913.19444444438</v>
      </c>
      <c r="AM205" s="29">
        <f t="shared" ca="1" si="167"/>
        <v>78124.999999999971</v>
      </c>
      <c r="AN205" s="29">
        <f t="shared" ca="1" si="167"/>
        <v>78124.999999999971</v>
      </c>
      <c r="AO205" s="29">
        <f t="shared" ca="1" si="167"/>
        <v>78124.999999999971</v>
      </c>
      <c r="AP205" s="29">
        <f t="shared" ca="1" si="167"/>
        <v>78124.999999999971</v>
      </c>
      <c r="AQ205" s="29">
        <f t="shared" ca="1" si="167"/>
        <v>95052.083333333299</v>
      </c>
      <c r="AR205" s="29">
        <f t="shared" ca="1" si="167"/>
        <v>95052.083333333299</v>
      </c>
      <c r="AS205" s="29">
        <f t="shared" ca="1" si="167"/>
        <v>95052.083333333299</v>
      </c>
      <c r="AT205" s="29">
        <f t="shared" ca="1" si="167"/>
        <v>95052.083333333299</v>
      </c>
      <c r="AU205" s="29">
        <f t="shared" ca="1" si="167"/>
        <v>0</v>
      </c>
      <c r="AV205" s="29">
        <f t="shared" ca="1" si="167"/>
        <v>0</v>
      </c>
      <c r="AW205" s="29">
        <f t="shared" ca="1" si="167"/>
        <v>0</v>
      </c>
      <c r="AX205" s="29">
        <f t="shared" ca="1" si="167"/>
        <v>0</v>
      </c>
      <c r="AY205" s="29">
        <f t="shared" ca="1" si="167"/>
        <v>0</v>
      </c>
      <c r="AZ205" s="29">
        <f t="shared" ca="1" si="167"/>
        <v>0</v>
      </c>
      <c r="BA205" s="29">
        <f t="shared" ca="1" si="167"/>
        <v>0</v>
      </c>
      <c r="BB205" s="29">
        <f t="shared" ca="1" si="167"/>
        <v>0</v>
      </c>
      <c r="BC205" s="29">
        <f t="shared" ca="1" si="167"/>
        <v>0</v>
      </c>
      <c r="BD205" s="29">
        <f t="shared" ca="1" si="167"/>
        <v>0</v>
      </c>
      <c r="BE205" s="29">
        <f t="shared" ca="1" si="167"/>
        <v>0</v>
      </c>
      <c r="BF205" s="29">
        <f t="shared" ca="1" si="167"/>
        <v>0</v>
      </c>
      <c r="BG205" s="29">
        <f t="shared" ca="1" si="167"/>
        <v>0</v>
      </c>
      <c r="BH205" s="29">
        <f t="shared" ca="1" si="167"/>
        <v>0</v>
      </c>
      <c r="BI205" s="29">
        <f t="shared" ca="1" si="167"/>
        <v>0</v>
      </c>
      <c r="BJ205" s="29">
        <f t="shared" ca="1" si="167"/>
        <v>0</v>
      </c>
      <c r="BK205" s="29">
        <f t="shared" ca="1" si="167"/>
        <v>0</v>
      </c>
      <c r="BL205" s="29">
        <f t="shared" ca="1" si="167"/>
        <v>0</v>
      </c>
      <c r="BM205" s="29">
        <f t="shared" ca="1" si="167"/>
        <v>0</v>
      </c>
      <c r="BN205" s="29">
        <f t="shared" ca="1" si="167"/>
        <v>0</v>
      </c>
      <c r="BO205" s="29">
        <f t="shared" ca="1" si="167"/>
        <v>0</v>
      </c>
      <c r="BP205" s="29">
        <f t="shared" ca="1" si="167"/>
        <v>0</v>
      </c>
      <c r="BQ205" s="29">
        <f t="shared" ca="1" si="167"/>
        <v>0</v>
      </c>
      <c r="BR205" s="29">
        <f t="shared" ca="1" si="167"/>
        <v>0</v>
      </c>
      <c r="BS205" s="29">
        <f t="shared" ca="1" si="167"/>
        <v>0</v>
      </c>
      <c r="BT205" s="29">
        <f t="shared" ca="1" si="167"/>
        <v>0</v>
      </c>
      <c r="BU205" s="29">
        <f t="shared" ca="1" si="167"/>
        <v>0</v>
      </c>
      <c r="BV205" s="29">
        <f t="shared" ca="1" si="167"/>
        <v>0</v>
      </c>
      <c r="BW205" s="29">
        <f t="shared" ca="1" si="167"/>
        <v>0</v>
      </c>
      <c r="BX205" s="29">
        <f t="shared" ca="1" si="167"/>
        <v>0</v>
      </c>
      <c r="BY205" s="29">
        <f t="shared" ca="1" si="167"/>
        <v>0</v>
      </c>
      <c r="BZ205" s="29">
        <f t="shared" ca="1" si="167"/>
        <v>0</v>
      </c>
      <c r="CA205" s="29">
        <f t="shared" ca="1" si="167"/>
        <v>0</v>
      </c>
      <c r="CB205" s="29">
        <f t="shared" ca="1" si="167"/>
        <v>0</v>
      </c>
      <c r="CC205" s="29">
        <f t="shared" ca="1" si="167"/>
        <v>0</v>
      </c>
      <c r="CD205" s="29">
        <f t="shared" ca="1" si="167"/>
        <v>0</v>
      </c>
      <c r="CE205" s="29">
        <f t="shared" ca="1" si="167"/>
        <v>0</v>
      </c>
      <c r="CF205" s="29">
        <f t="shared" ca="1" si="167"/>
        <v>0</v>
      </c>
      <c r="CG205" s="29">
        <f t="shared" ca="1" si="167"/>
        <v>0</v>
      </c>
      <c r="CH205" s="29">
        <f t="shared" ca="1" si="167"/>
        <v>0</v>
      </c>
    </row>
    <row r="206" spans="2:86" ht="13" outlineLevel="1">
      <c r="B206" s="13" t="str">
        <f>"Invested capital from investments exited within "&amp;'Get Started  2'!E$27&amp;" years"</f>
        <v>Invested capital from investments exited within 24 years</v>
      </c>
      <c r="C206" s="15"/>
      <c r="D206" s="15" t="s">
        <v>238</v>
      </c>
      <c r="E206" s="29">
        <f t="shared" ca="1" si="166"/>
        <v>7778871.527777778</v>
      </c>
      <c r="F206" s="77"/>
      <c r="G206" s="29">
        <f ca="1">IF(AND('Get Started  2'!$H112&lt;='Get Started  2'!$E27,'Get Started  2'!$G112&lt;&gt;0),IF(AND(G4&lt;'Get Started  2'!$H112,'Get Started  2'!$H112&lt;='Get Started  2'!$E27),0,OFFSET(G37,0,-1*'Get Started  2'!$H112)*'Get Started  2'!$H42),0)+IF(AND('Get Started  2'!$H111&lt;='Get Started  2'!$E27,'Get Started  2'!$G111&lt;&gt;0),IF(G4&lt;'Get Started  2'!$H111,0,OFFSET(G37,0,-1*'Get Started  2'!$H111)*'Get Started  2'!$G42),0)+IF(AND('Get Started  2'!$H110&lt;='Get Started  2'!$E27,'Get Started  2'!$G110&lt;&gt;0),IF(G4&lt;'Get Started  2'!$H110,0,OFFSET(G37,0,-1*'Get Started  2'!$H110)*'Get Started  2'!$F42),0)+IF(AND('Get Started  2'!$H109&lt;='Get Started  2'!$E27,'Get Started  2'!$G109&lt;&gt;0),IF(G4&lt;'Get Started  2'!$H109,0,OFFSET(G37,0,-1*'Get Started  2'!$H109)*'Get Started  2'!$E42*'Get Started  2'!$G109),0)</f>
        <v>0</v>
      </c>
      <c r="H206" s="29">
        <f ca="1">IF(AND('Get Started  2'!$H112&lt;='Get Started  2'!$E27,'Get Started  2'!$G112&lt;&gt;0),IF(AND(H4&lt;'Get Started  2'!$H112,'Get Started  2'!$H112&lt;='Get Started  2'!$E27),0,OFFSET(H37,0,-1*'Get Started  2'!$H112)*'Get Started  2'!$H42),0)+IF(AND('Get Started  2'!$H111&lt;='Get Started  2'!$E27,'Get Started  2'!$G111&lt;&gt;0),IF(H4&lt;'Get Started  2'!$H111,0,OFFSET(H37,0,-1*'Get Started  2'!$H111)*'Get Started  2'!$G42),0)+IF(AND('Get Started  2'!$H110&lt;='Get Started  2'!$E27,'Get Started  2'!$G110&lt;&gt;0),IF(H4&lt;'Get Started  2'!$H110,0,OFFSET(H37,0,-1*'Get Started  2'!$H110)*'Get Started  2'!$F42),0)+IF(AND('Get Started  2'!$H109&lt;='Get Started  2'!$E27,'Get Started  2'!$G109&lt;&gt;0),IF(H4&lt;'Get Started  2'!$H109,0,OFFSET(H37,0,-1*'Get Started  2'!$H109)*'Get Started  2'!$E42*'Get Started  2'!$G109),0)</f>
        <v>0</v>
      </c>
      <c r="I206" s="29">
        <f ca="1">IF(AND('Get Started  2'!$H112&lt;='Get Started  2'!$E27,'Get Started  2'!$G112&lt;&gt;0),IF(AND(I4&lt;'Get Started  2'!$H112,'Get Started  2'!$H112&lt;='Get Started  2'!$E27),0,OFFSET(I37,0,-1*'Get Started  2'!$H112)*'Get Started  2'!$H42),0)+IF(AND('Get Started  2'!$H111&lt;='Get Started  2'!$E27,'Get Started  2'!$G111&lt;&gt;0),IF(I4&lt;'Get Started  2'!$H111,0,OFFSET(I37,0,-1*'Get Started  2'!$H111)*'Get Started  2'!$G42),0)+IF(AND('Get Started  2'!$H110&lt;='Get Started  2'!$E27,'Get Started  2'!$G110&lt;&gt;0),IF(I4&lt;'Get Started  2'!$H110,0,OFFSET(I37,0,-1*'Get Started  2'!$H110)*'Get Started  2'!$F42),0)+IF(AND('Get Started  2'!$H109&lt;='Get Started  2'!$E27,'Get Started  2'!$G109&lt;&gt;0),IF(I4&lt;'Get Started  2'!$H109,0,OFFSET(I37,0,-1*'Get Started  2'!$H109)*'Get Started  2'!$E42*'Get Started  2'!$G109),0)</f>
        <v>0</v>
      </c>
      <c r="J206" s="29">
        <f ca="1">IF(AND('Get Started  2'!$H112&lt;='Get Started  2'!$E27,'Get Started  2'!$G112&lt;&gt;0),IF(AND(J4&lt;'Get Started  2'!$H112,'Get Started  2'!$H112&lt;='Get Started  2'!$E27),0,OFFSET(J37,0,-1*'Get Started  2'!$H112)*'Get Started  2'!$H42),0)+IF(AND('Get Started  2'!$H111&lt;='Get Started  2'!$E27,'Get Started  2'!$G111&lt;&gt;0),IF(J4&lt;'Get Started  2'!$H111,0,OFFSET(J37,0,-1*'Get Started  2'!$H111)*'Get Started  2'!$G42),0)+IF(AND('Get Started  2'!$H110&lt;='Get Started  2'!$E27,'Get Started  2'!$G110&lt;&gt;0),IF(J4&lt;'Get Started  2'!$H110,0,OFFSET(J37,0,-1*'Get Started  2'!$H110)*'Get Started  2'!$F42),0)+IF(AND('Get Started  2'!$H109&lt;='Get Started  2'!$E27,'Get Started  2'!$G109&lt;&gt;0),IF(J4&lt;'Get Started  2'!$H109,0,OFFSET(J37,0,-1*'Get Started  2'!$H109)*'Get Started  2'!$E42*'Get Started  2'!$G109),0)</f>
        <v>0</v>
      </c>
      <c r="K206" s="29">
        <f ca="1">IF(AND('Get Started  2'!$H112&lt;='Get Started  2'!$E27,'Get Started  2'!$G112&lt;&gt;0),IF(AND(K4&lt;'Get Started  2'!$H112,'Get Started  2'!$H112&lt;='Get Started  2'!$E27),0,OFFSET(K37,0,-1*'Get Started  2'!$H112)*'Get Started  2'!$H42),0)+IF(AND('Get Started  2'!$H111&lt;='Get Started  2'!$E27,'Get Started  2'!$G111&lt;&gt;0),IF(K4&lt;'Get Started  2'!$H111,0,OFFSET(K37,0,-1*'Get Started  2'!$H111)*'Get Started  2'!$G42),0)+IF(AND('Get Started  2'!$H110&lt;='Get Started  2'!$E27,'Get Started  2'!$G110&lt;&gt;0),IF(K4&lt;'Get Started  2'!$H110,0,OFFSET(K37,0,-1*'Get Started  2'!$H110)*'Get Started  2'!$F42),0)+IF(AND('Get Started  2'!$H109&lt;='Get Started  2'!$E27,'Get Started  2'!$G109&lt;&gt;0),IF(K4&lt;'Get Started  2'!$H109,0,OFFSET(K37,0,-1*'Get Started  2'!$H109)*'Get Started  2'!$E42*'Get Started  2'!$G109),0)</f>
        <v>0</v>
      </c>
      <c r="L206" s="29">
        <f ca="1">IF(AND('Get Started  2'!$H112&lt;='Get Started  2'!$E27,'Get Started  2'!$G112&lt;&gt;0),IF(AND(L4&lt;'Get Started  2'!$H112,'Get Started  2'!$H112&lt;='Get Started  2'!$E27),0,OFFSET(L37,0,-1*'Get Started  2'!$H112)*'Get Started  2'!$H42),0)+IF(AND('Get Started  2'!$H111&lt;='Get Started  2'!$E27,'Get Started  2'!$G111&lt;&gt;0),IF(L4&lt;'Get Started  2'!$H111,0,OFFSET(L37,0,-1*'Get Started  2'!$H111)*'Get Started  2'!$G42),0)+IF(AND('Get Started  2'!$H110&lt;='Get Started  2'!$E27,'Get Started  2'!$G110&lt;&gt;0),IF(L4&lt;'Get Started  2'!$H110,0,OFFSET(L37,0,-1*'Get Started  2'!$H110)*'Get Started  2'!$F42),0)+IF(AND('Get Started  2'!$H109&lt;='Get Started  2'!$E27,'Get Started  2'!$G109&lt;&gt;0),IF(L4&lt;'Get Started  2'!$H109,0,OFFSET(L37,0,-1*'Get Started  2'!$H109)*'Get Started  2'!$E42*'Get Started  2'!$G109),0)</f>
        <v>0</v>
      </c>
      <c r="M206" s="29">
        <f ca="1">IF(AND('Get Started  2'!$H112&lt;='Get Started  2'!$E27,'Get Started  2'!$G112&lt;&gt;0),IF(AND(M4&lt;'Get Started  2'!$H112,'Get Started  2'!$H112&lt;='Get Started  2'!$E27),0,OFFSET(M37,0,-1*'Get Started  2'!$H112)*'Get Started  2'!$H42),0)+IF(AND('Get Started  2'!$H111&lt;='Get Started  2'!$E27,'Get Started  2'!$G111&lt;&gt;0),IF(M4&lt;'Get Started  2'!$H111,0,OFFSET(M37,0,-1*'Get Started  2'!$H111)*'Get Started  2'!$G42),0)+IF(AND('Get Started  2'!$H110&lt;='Get Started  2'!$E27,'Get Started  2'!$G110&lt;&gt;0),IF(M4&lt;'Get Started  2'!$H110,0,OFFSET(M37,0,-1*'Get Started  2'!$H110)*'Get Started  2'!$F42),0)+IF(AND('Get Started  2'!$H109&lt;='Get Started  2'!$E27,'Get Started  2'!$G109&lt;&gt;0),IF(M4&lt;'Get Started  2'!$H109,0,OFFSET(M37,0,-1*'Get Started  2'!$H109)*'Get Started  2'!$E42*'Get Started  2'!$G109),0)</f>
        <v>0</v>
      </c>
      <c r="N206" s="29">
        <f ca="1">IF(AND('Get Started  2'!$H112&lt;='Get Started  2'!$E27,'Get Started  2'!$G112&lt;&gt;0),IF(AND(N4&lt;'Get Started  2'!$H112,'Get Started  2'!$H112&lt;='Get Started  2'!$E27),0,OFFSET(N37,0,-1*'Get Started  2'!$H112)*'Get Started  2'!$H42),0)+IF(AND('Get Started  2'!$H111&lt;='Get Started  2'!$E27,'Get Started  2'!$G111&lt;&gt;0),IF(N4&lt;'Get Started  2'!$H111,0,OFFSET(N37,0,-1*'Get Started  2'!$H111)*'Get Started  2'!$G42),0)+IF(AND('Get Started  2'!$H110&lt;='Get Started  2'!$E27,'Get Started  2'!$G110&lt;&gt;0),IF(N4&lt;'Get Started  2'!$H110,0,OFFSET(N37,0,-1*'Get Started  2'!$H110)*'Get Started  2'!$F42),0)+IF(AND('Get Started  2'!$H109&lt;='Get Started  2'!$E27,'Get Started  2'!$G109&lt;&gt;0),IF(N4&lt;'Get Started  2'!$H109,0,OFFSET(N37,0,-1*'Get Started  2'!$H109)*'Get Started  2'!$E42*'Get Started  2'!$G109),0)</f>
        <v>0</v>
      </c>
      <c r="O206" s="29">
        <f ca="1">IF(AND('Get Started  2'!$H112&lt;='Get Started  2'!$E27,'Get Started  2'!$G112&lt;&gt;0),IF(AND(O4&lt;'Get Started  2'!$H112,'Get Started  2'!$H112&lt;='Get Started  2'!$E27),0,OFFSET(O37,0,-1*'Get Started  2'!$H112)*'Get Started  2'!$H42),0)+IF(AND('Get Started  2'!$H111&lt;='Get Started  2'!$E27,'Get Started  2'!$G111&lt;&gt;0),IF(O4&lt;'Get Started  2'!$H111,0,OFFSET(O37,0,-1*'Get Started  2'!$H111)*'Get Started  2'!$G42),0)+IF(AND('Get Started  2'!$H110&lt;='Get Started  2'!$E27,'Get Started  2'!$G110&lt;&gt;0),IF(O4&lt;'Get Started  2'!$H110,0,OFFSET(O37,0,-1*'Get Started  2'!$H110)*'Get Started  2'!$F42),0)+IF(AND('Get Started  2'!$H109&lt;='Get Started  2'!$E27,'Get Started  2'!$G109&lt;&gt;0),IF(O4&lt;'Get Started  2'!$H109,0,OFFSET(O37,0,-1*'Get Started  2'!$H109)*'Get Started  2'!$E42*'Get Started  2'!$G109),0)</f>
        <v>0</v>
      </c>
      <c r="P206" s="29">
        <f ca="1">IF(AND('Get Started  2'!$H112&lt;='Get Started  2'!$E27,'Get Started  2'!$G112&lt;&gt;0),IF(AND(P4&lt;'Get Started  2'!$H112,'Get Started  2'!$H112&lt;='Get Started  2'!$E27),0,OFFSET(P37,0,-1*'Get Started  2'!$H112)*'Get Started  2'!$H42),0)+IF(AND('Get Started  2'!$H111&lt;='Get Started  2'!$E27,'Get Started  2'!$G111&lt;&gt;0),IF(P4&lt;'Get Started  2'!$H111,0,OFFSET(P37,0,-1*'Get Started  2'!$H111)*'Get Started  2'!$G42),0)+IF(AND('Get Started  2'!$H110&lt;='Get Started  2'!$E27,'Get Started  2'!$G110&lt;&gt;0),IF(P4&lt;'Get Started  2'!$H110,0,OFFSET(P37,0,-1*'Get Started  2'!$H110)*'Get Started  2'!$F42),0)+IF(AND('Get Started  2'!$H109&lt;='Get Started  2'!$E27,'Get Started  2'!$G109&lt;&gt;0),IF(P4&lt;'Get Started  2'!$H109,0,OFFSET(P37,0,-1*'Get Started  2'!$H109)*'Get Started  2'!$E42*'Get Started  2'!$G109),0)</f>
        <v>0</v>
      </c>
      <c r="Q206" s="29">
        <f ca="1">IF(AND('Get Started  2'!$H112&lt;='Get Started  2'!$E27,'Get Started  2'!$G112&lt;&gt;0),IF(AND(Q4&lt;'Get Started  2'!$H112,'Get Started  2'!$H112&lt;='Get Started  2'!$E27),0,OFFSET(Q37,0,-1*'Get Started  2'!$H112)*'Get Started  2'!$H42),0)+IF(AND('Get Started  2'!$H111&lt;='Get Started  2'!$E27,'Get Started  2'!$G111&lt;&gt;0),IF(Q4&lt;'Get Started  2'!$H111,0,OFFSET(Q37,0,-1*'Get Started  2'!$H111)*'Get Started  2'!$G42),0)+IF(AND('Get Started  2'!$H110&lt;='Get Started  2'!$E27,'Get Started  2'!$G110&lt;&gt;0),IF(Q4&lt;'Get Started  2'!$H110,0,OFFSET(Q37,0,-1*'Get Started  2'!$H110)*'Get Started  2'!$F42),0)+IF(AND('Get Started  2'!$H109&lt;='Get Started  2'!$E27,'Get Started  2'!$G109&lt;&gt;0),IF(Q4&lt;'Get Started  2'!$H109,0,OFFSET(Q37,0,-1*'Get Started  2'!$H109)*'Get Started  2'!$E42*'Get Started  2'!$G109),0)</f>
        <v>0</v>
      </c>
      <c r="R206" s="29">
        <f ca="1">IF(AND('Get Started  2'!$H112&lt;='Get Started  2'!$E27,'Get Started  2'!$G112&lt;&gt;0),IF(AND(R4&lt;'Get Started  2'!$H112,'Get Started  2'!$H112&lt;='Get Started  2'!$E27),0,OFFSET(R37,0,-1*'Get Started  2'!$H112)*'Get Started  2'!$H42),0)+IF(AND('Get Started  2'!$H111&lt;='Get Started  2'!$E27,'Get Started  2'!$G111&lt;&gt;0),IF(R4&lt;'Get Started  2'!$H111,0,OFFSET(R37,0,-1*'Get Started  2'!$H111)*'Get Started  2'!$G42),0)+IF(AND('Get Started  2'!$H110&lt;='Get Started  2'!$E27,'Get Started  2'!$G110&lt;&gt;0),IF(R4&lt;'Get Started  2'!$H110,0,OFFSET(R37,0,-1*'Get Started  2'!$H110)*'Get Started  2'!$F42),0)+IF(AND('Get Started  2'!$H109&lt;='Get Started  2'!$E27,'Get Started  2'!$G109&lt;&gt;0),IF(R4&lt;'Get Started  2'!$H109,0,OFFSET(R37,0,-1*'Get Started  2'!$H109)*'Get Started  2'!$E42*'Get Started  2'!$G109),0)</f>
        <v>0</v>
      </c>
      <c r="S206" s="29">
        <f ca="1">IF(AND('Get Started  2'!$H112&lt;='Get Started  2'!$E27,'Get Started  2'!$G112&lt;&gt;0),IF(AND(S4&lt;'Get Started  2'!$H112,'Get Started  2'!$H112&lt;='Get Started  2'!$E27),0,OFFSET(S37,0,-1*'Get Started  2'!$H112)*'Get Started  2'!$H42),0)+IF(AND('Get Started  2'!$H111&lt;='Get Started  2'!$E27,'Get Started  2'!$G111&lt;&gt;0),IF(S4&lt;'Get Started  2'!$H111,0,OFFSET(S37,0,-1*'Get Started  2'!$H111)*'Get Started  2'!$G42),0)+IF(AND('Get Started  2'!$H110&lt;='Get Started  2'!$E27,'Get Started  2'!$G110&lt;&gt;0),IF(S4&lt;'Get Started  2'!$H110,0,OFFSET(S37,0,-1*'Get Started  2'!$H110)*'Get Started  2'!$F42),0)+IF(AND('Get Started  2'!$H109&lt;='Get Started  2'!$E27,'Get Started  2'!$G109&lt;&gt;0),IF(S4&lt;'Get Started  2'!$H109,0,OFFSET(S37,0,-1*'Get Started  2'!$H109)*'Get Started  2'!$E42*'Get Started  2'!$G109),0)</f>
        <v>260677.08333333331</v>
      </c>
      <c r="T206" s="29">
        <f ca="1">IF(AND('Get Started  2'!$H112&lt;='Get Started  2'!$E27,'Get Started  2'!$G112&lt;&gt;0),IF(AND(T4&lt;'Get Started  2'!$H112,'Get Started  2'!$H112&lt;='Get Started  2'!$E27),0,OFFSET(T37,0,-1*'Get Started  2'!$H112)*'Get Started  2'!$H42),0)+IF(AND('Get Started  2'!$H111&lt;='Get Started  2'!$E27,'Get Started  2'!$G111&lt;&gt;0),IF(T4&lt;'Get Started  2'!$H111,0,OFFSET(T37,0,-1*'Get Started  2'!$H111)*'Get Started  2'!$G42),0)+IF(AND('Get Started  2'!$H110&lt;='Get Started  2'!$E27,'Get Started  2'!$G110&lt;&gt;0),IF(T4&lt;'Get Started  2'!$H110,0,OFFSET(T37,0,-1*'Get Started  2'!$H110)*'Get Started  2'!$F42),0)+IF(AND('Get Started  2'!$H109&lt;='Get Started  2'!$E27,'Get Started  2'!$G109&lt;&gt;0),IF(T4&lt;'Get Started  2'!$H109,0,OFFSET(T37,0,-1*'Get Started  2'!$H109)*'Get Started  2'!$E42*'Get Started  2'!$G109),0)</f>
        <v>260677.08333333331</v>
      </c>
      <c r="U206" s="29">
        <f ca="1">IF(AND('Get Started  2'!$H112&lt;='Get Started  2'!$E27,'Get Started  2'!$G112&lt;&gt;0),IF(AND(U4&lt;'Get Started  2'!$H112,'Get Started  2'!$H112&lt;='Get Started  2'!$E27),0,OFFSET(U37,0,-1*'Get Started  2'!$H112)*'Get Started  2'!$H42),0)+IF(AND('Get Started  2'!$H111&lt;='Get Started  2'!$E27,'Get Started  2'!$G111&lt;&gt;0),IF(U4&lt;'Get Started  2'!$H111,0,OFFSET(U37,0,-1*'Get Started  2'!$H111)*'Get Started  2'!$G42),0)+IF(AND('Get Started  2'!$H110&lt;='Get Started  2'!$E27,'Get Started  2'!$G110&lt;&gt;0),IF(U4&lt;'Get Started  2'!$H110,0,OFFSET(U37,0,-1*'Get Started  2'!$H110)*'Get Started  2'!$F42),0)+IF(AND('Get Started  2'!$H109&lt;='Get Started  2'!$E27,'Get Started  2'!$G109&lt;&gt;0),IF(U4&lt;'Get Started  2'!$H109,0,OFFSET(U37,0,-1*'Get Started  2'!$H109)*'Get Started  2'!$E42*'Get Started  2'!$G109),0)</f>
        <v>260677.08333333331</v>
      </c>
      <c r="V206" s="29">
        <f ca="1">IF(AND('Get Started  2'!$H112&lt;='Get Started  2'!$E27,'Get Started  2'!$G112&lt;&gt;0),IF(AND(V4&lt;'Get Started  2'!$H112,'Get Started  2'!$H112&lt;='Get Started  2'!$E27),0,OFFSET(V37,0,-1*'Get Started  2'!$H112)*'Get Started  2'!$H42),0)+IF(AND('Get Started  2'!$H111&lt;='Get Started  2'!$E27,'Get Started  2'!$G111&lt;&gt;0),IF(V4&lt;'Get Started  2'!$H111,0,OFFSET(V37,0,-1*'Get Started  2'!$H111)*'Get Started  2'!$G42),0)+IF(AND('Get Started  2'!$H110&lt;='Get Started  2'!$E27,'Get Started  2'!$G110&lt;&gt;0),IF(V4&lt;'Get Started  2'!$H110,0,OFFSET(V37,0,-1*'Get Started  2'!$H110)*'Get Started  2'!$F42),0)+IF(AND('Get Started  2'!$H109&lt;='Get Started  2'!$E27,'Get Started  2'!$G109&lt;&gt;0),IF(V4&lt;'Get Started  2'!$H109,0,OFFSET(V37,0,-1*'Get Started  2'!$H109)*'Get Started  2'!$E42*'Get Started  2'!$G109),0)</f>
        <v>260677.08333333331</v>
      </c>
      <c r="W206" s="29">
        <f ca="1">IF(AND('Get Started  2'!$H112&lt;='Get Started  2'!$E27,'Get Started  2'!$G112&lt;&gt;0),IF(AND(W4&lt;'Get Started  2'!$H112,'Get Started  2'!$H112&lt;='Get Started  2'!$E27),0,OFFSET(W37,0,-1*'Get Started  2'!$H112)*'Get Started  2'!$H42),0)+IF(AND('Get Started  2'!$H111&lt;='Get Started  2'!$E27,'Get Started  2'!$G111&lt;&gt;0),IF(W4&lt;'Get Started  2'!$H111,0,OFFSET(W37,0,-1*'Get Started  2'!$H111)*'Get Started  2'!$G42),0)+IF(AND('Get Started  2'!$H110&lt;='Get Started  2'!$E27,'Get Started  2'!$G110&lt;&gt;0),IF(W4&lt;'Get Started  2'!$H110,0,OFFSET(W37,0,-1*'Get Started  2'!$H110)*'Get Started  2'!$F42),0)+IF(AND('Get Started  2'!$H109&lt;='Get Started  2'!$E27,'Get Started  2'!$G109&lt;&gt;0),IF(W4&lt;'Get Started  2'!$H109,0,OFFSET(W37,0,-1*'Get Started  2'!$H109)*'Get Started  2'!$E42*'Get Started  2'!$G109),0)</f>
        <v>401041.66666666663</v>
      </c>
      <c r="X206" s="29">
        <f ca="1">IF(AND('Get Started  2'!$H112&lt;='Get Started  2'!$E27,'Get Started  2'!$G112&lt;&gt;0),IF(AND(X4&lt;'Get Started  2'!$H112,'Get Started  2'!$H112&lt;='Get Started  2'!$E27),0,OFFSET(X37,0,-1*'Get Started  2'!$H112)*'Get Started  2'!$H42),0)+IF(AND('Get Started  2'!$H111&lt;='Get Started  2'!$E27,'Get Started  2'!$G111&lt;&gt;0),IF(X4&lt;'Get Started  2'!$H111,0,OFFSET(X37,0,-1*'Get Started  2'!$H111)*'Get Started  2'!$G42),0)+IF(AND('Get Started  2'!$H110&lt;='Get Started  2'!$E27,'Get Started  2'!$G110&lt;&gt;0),IF(X4&lt;'Get Started  2'!$H110,0,OFFSET(X37,0,-1*'Get Started  2'!$H110)*'Get Started  2'!$F42),0)+IF(AND('Get Started  2'!$H109&lt;='Get Started  2'!$E27,'Get Started  2'!$G109&lt;&gt;0),IF(X4&lt;'Get Started  2'!$H109,0,OFFSET(X37,0,-1*'Get Started  2'!$H109)*'Get Started  2'!$E42*'Get Started  2'!$G109),0)</f>
        <v>401041.66666666663</v>
      </c>
      <c r="Y206" s="29">
        <f ca="1">IF(AND('Get Started  2'!$H112&lt;='Get Started  2'!$E27,'Get Started  2'!$G112&lt;&gt;0),IF(AND(Y4&lt;'Get Started  2'!$H112,'Get Started  2'!$H112&lt;='Get Started  2'!$E27),0,OFFSET(Y37,0,-1*'Get Started  2'!$H112)*'Get Started  2'!$H42),0)+IF(AND('Get Started  2'!$H111&lt;='Get Started  2'!$E27,'Get Started  2'!$G111&lt;&gt;0),IF(Y4&lt;'Get Started  2'!$H111,0,OFFSET(Y37,0,-1*'Get Started  2'!$H111)*'Get Started  2'!$G42),0)+IF(AND('Get Started  2'!$H110&lt;='Get Started  2'!$E27,'Get Started  2'!$G110&lt;&gt;0),IF(Y4&lt;'Get Started  2'!$H110,0,OFFSET(Y37,0,-1*'Get Started  2'!$H110)*'Get Started  2'!$F42),0)+IF(AND('Get Started  2'!$H109&lt;='Get Started  2'!$E27,'Get Started  2'!$G109&lt;&gt;0),IF(Y4&lt;'Get Started  2'!$H109,0,OFFSET(Y37,0,-1*'Get Started  2'!$H109)*'Get Started  2'!$E42*'Get Started  2'!$G109),0)</f>
        <v>401041.66666666663</v>
      </c>
      <c r="Z206" s="29">
        <f ca="1">IF(AND('Get Started  2'!$H112&lt;='Get Started  2'!$E27,'Get Started  2'!$G112&lt;&gt;0),IF(AND(Z4&lt;'Get Started  2'!$H112,'Get Started  2'!$H112&lt;='Get Started  2'!$E27),0,OFFSET(Z37,0,-1*'Get Started  2'!$H112)*'Get Started  2'!$H42),0)+IF(AND('Get Started  2'!$H111&lt;='Get Started  2'!$E27,'Get Started  2'!$G111&lt;&gt;0),IF(Z4&lt;'Get Started  2'!$H111,0,OFFSET(Z37,0,-1*'Get Started  2'!$H111)*'Get Started  2'!$G42),0)+IF(AND('Get Started  2'!$H110&lt;='Get Started  2'!$E27,'Get Started  2'!$G110&lt;&gt;0),IF(Z4&lt;'Get Started  2'!$H110,0,OFFSET(Z37,0,-1*'Get Started  2'!$H110)*'Get Started  2'!$F42),0)+IF(AND('Get Started  2'!$H109&lt;='Get Started  2'!$E27,'Get Started  2'!$G109&lt;&gt;0),IF(Z4&lt;'Get Started  2'!$H109,0,OFFSET(Z37,0,-1*'Get Started  2'!$H109)*'Get Started  2'!$E42*'Get Started  2'!$G109),0)</f>
        <v>401041.66666666663</v>
      </c>
      <c r="AA206" s="29">
        <f ca="1">IF(AND('Get Started  2'!$H112&lt;='Get Started  2'!$E27,'Get Started  2'!$G112&lt;&gt;0),IF(AND(AA4&lt;'Get Started  2'!$H112,'Get Started  2'!$H112&lt;='Get Started  2'!$E27),0,OFFSET(AA37,0,-1*'Get Started  2'!$H112)*'Get Started  2'!$H42),0)+IF(AND('Get Started  2'!$H111&lt;='Get Started  2'!$E27,'Get Started  2'!$G111&lt;&gt;0),IF(AA4&lt;'Get Started  2'!$H111,0,OFFSET(AA37,0,-1*'Get Started  2'!$H111)*'Get Started  2'!$G42),0)+IF(AND('Get Started  2'!$H110&lt;='Get Started  2'!$E27,'Get Started  2'!$G110&lt;&gt;0),IF(AA4&lt;'Get Started  2'!$H110,0,OFFSET(AA37,0,-1*'Get Started  2'!$H110)*'Get Started  2'!$F42),0)+IF(AND('Get Started  2'!$H109&lt;='Get Started  2'!$E27,'Get Started  2'!$G109&lt;&gt;0),IF(AA4&lt;'Get Started  2'!$H109,0,OFFSET(AA37,0,-1*'Get Started  2'!$H109)*'Get Started  2'!$E42*'Get Started  2'!$G109),0)</f>
        <v>401041.66666666663</v>
      </c>
      <c r="AB206" s="29">
        <f ca="1">IF(AND('Get Started  2'!$H112&lt;='Get Started  2'!$E27,'Get Started  2'!$G112&lt;&gt;0),IF(AND(AB4&lt;'Get Started  2'!$H112,'Get Started  2'!$H112&lt;='Get Started  2'!$E27),0,OFFSET(AB37,0,-1*'Get Started  2'!$H112)*'Get Started  2'!$H42),0)+IF(AND('Get Started  2'!$H111&lt;='Get Started  2'!$E27,'Get Started  2'!$G111&lt;&gt;0),IF(AB4&lt;'Get Started  2'!$H111,0,OFFSET(AB37,0,-1*'Get Started  2'!$H111)*'Get Started  2'!$G42),0)+IF(AND('Get Started  2'!$H110&lt;='Get Started  2'!$E27,'Get Started  2'!$G110&lt;&gt;0),IF(AB4&lt;'Get Started  2'!$H110,0,OFFSET(AB37,0,-1*'Get Started  2'!$H110)*'Get Started  2'!$F42),0)+IF(AND('Get Started  2'!$H109&lt;='Get Started  2'!$E27,'Get Started  2'!$G109&lt;&gt;0),IF(AB4&lt;'Get Started  2'!$H109,0,OFFSET(AB37,0,-1*'Get Started  2'!$H109)*'Get Started  2'!$E42*'Get Started  2'!$G109),0)</f>
        <v>401041.66666666663</v>
      </c>
      <c r="AC206" s="29">
        <f ca="1">IF(AND('Get Started  2'!$H112&lt;='Get Started  2'!$E27,'Get Started  2'!$G112&lt;&gt;0),IF(AND(AC4&lt;'Get Started  2'!$H112,'Get Started  2'!$H112&lt;='Get Started  2'!$E27),0,OFFSET(AC37,0,-1*'Get Started  2'!$H112)*'Get Started  2'!$H42),0)+IF(AND('Get Started  2'!$H111&lt;='Get Started  2'!$E27,'Get Started  2'!$G111&lt;&gt;0),IF(AC4&lt;'Get Started  2'!$H111,0,OFFSET(AC37,0,-1*'Get Started  2'!$H111)*'Get Started  2'!$G42),0)+IF(AND('Get Started  2'!$H110&lt;='Get Started  2'!$E27,'Get Started  2'!$G110&lt;&gt;0),IF(AC4&lt;'Get Started  2'!$H110,0,OFFSET(AC37,0,-1*'Get Started  2'!$H110)*'Get Started  2'!$F42),0)+IF(AND('Get Started  2'!$H109&lt;='Get Started  2'!$E27,'Get Started  2'!$G109&lt;&gt;0),IF(AC4&lt;'Get Started  2'!$H109,0,OFFSET(AC37,0,-1*'Get Started  2'!$H109)*'Get Started  2'!$E42*'Get Started  2'!$G109),0)</f>
        <v>401041.66666666663</v>
      </c>
      <c r="AD206" s="29">
        <f ca="1">IF(AND('Get Started  2'!$H112&lt;='Get Started  2'!$E27,'Get Started  2'!$G112&lt;&gt;0),IF(AND(AD4&lt;'Get Started  2'!$H112,'Get Started  2'!$H112&lt;='Get Started  2'!$E27),0,OFFSET(AD37,0,-1*'Get Started  2'!$H112)*'Get Started  2'!$H42),0)+IF(AND('Get Started  2'!$H111&lt;='Get Started  2'!$E27,'Get Started  2'!$G111&lt;&gt;0),IF(AD4&lt;'Get Started  2'!$H111,0,OFFSET(AD37,0,-1*'Get Started  2'!$H111)*'Get Started  2'!$G42),0)+IF(AND('Get Started  2'!$H110&lt;='Get Started  2'!$E27,'Get Started  2'!$G110&lt;&gt;0),IF(AD4&lt;'Get Started  2'!$H110,0,OFFSET(AD37,0,-1*'Get Started  2'!$H110)*'Get Started  2'!$F42),0)+IF(AND('Get Started  2'!$H109&lt;='Get Started  2'!$E27,'Get Started  2'!$G109&lt;&gt;0),IF(AD4&lt;'Get Started  2'!$H109,0,OFFSET(AD37,0,-1*'Get Started  2'!$H109)*'Get Started  2'!$E42*'Get Started  2'!$G109),0)</f>
        <v>401041.66666666663</v>
      </c>
      <c r="AE206" s="29">
        <f ca="1">IF(AND('Get Started  2'!$H112&lt;='Get Started  2'!$E27,'Get Started  2'!$G112&lt;&gt;0),IF(AND(AE4&lt;'Get Started  2'!$H112,'Get Started  2'!$H112&lt;='Get Started  2'!$E27),0,OFFSET(AE37,0,-1*'Get Started  2'!$H112)*'Get Started  2'!$H42),0)+IF(AND('Get Started  2'!$H111&lt;='Get Started  2'!$E27,'Get Started  2'!$G111&lt;&gt;0),IF(AE4&lt;'Get Started  2'!$H111,0,OFFSET(AE37,0,-1*'Get Started  2'!$H111)*'Get Started  2'!$G42),0)+IF(AND('Get Started  2'!$H110&lt;='Get Started  2'!$E27,'Get Started  2'!$G110&lt;&gt;0),IF(AE4&lt;'Get Started  2'!$H110,0,OFFSET(AE37,0,-1*'Get Started  2'!$H110)*'Get Started  2'!$F42),0)+IF(AND('Get Started  2'!$H109&lt;='Get Started  2'!$E27,'Get Started  2'!$G109&lt;&gt;0),IF(AE4&lt;'Get Started  2'!$H109,0,OFFSET(AE37,0,-1*'Get Started  2'!$H109)*'Get Started  2'!$E42*'Get Started  2'!$G109),0)</f>
        <v>517677.95138888876</v>
      </c>
      <c r="AF206" s="29">
        <f ca="1">IF(AND('Get Started  2'!$H112&lt;='Get Started  2'!$E27,'Get Started  2'!$G112&lt;&gt;0),IF(AND(AF4&lt;'Get Started  2'!$H112,'Get Started  2'!$H112&lt;='Get Started  2'!$E27),0,OFFSET(AF37,0,-1*'Get Started  2'!$H112)*'Get Started  2'!$H42),0)+IF(AND('Get Started  2'!$H111&lt;='Get Started  2'!$E27,'Get Started  2'!$G111&lt;&gt;0),IF(AF4&lt;'Get Started  2'!$H111,0,OFFSET(AF37,0,-1*'Get Started  2'!$H111)*'Get Started  2'!$G42),0)+IF(AND('Get Started  2'!$H110&lt;='Get Started  2'!$E27,'Get Started  2'!$G110&lt;&gt;0),IF(AF4&lt;'Get Started  2'!$H110,0,OFFSET(AF37,0,-1*'Get Started  2'!$H110)*'Get Started  2'!$F42),0)+IF(AND('Get Started  2'!$H109&lt;='Get Started  2'!$E27,'Get Started  2'!$G109&lt;&gt;0),IF(AF4&lt;'Get Started  2'!$H109,0,OFFSET(AF37,0,-1*'Get Started  2'!$H109)*'Get Started  2'!$E42*'Get Started  2'!$G109),0)</f>
        <v>517677.95138888876</v>
      </c>
      <c r="AG206" s="29">
        <f ca="1">IF(AND('Get Started  2'!$H112&lt;='Get Started  2'!$E27,'Get Started  2'!$G112&lt;&gt;0),IF(AND(AG4&lt;'Get Started  2'!$H112,'Get Started  2'!$H112&lt;='Get Started  2'!$E27),0,OFFSET(AG37,0,-1*'Get Started  2'!$H112)*'Get Started  2'!$H42),0)+IF(AND('Get Started  2'!$H111&lt;='Get Started  2'!$E27,'Get Started  2'!$G111&lt;&gt;0),IF(AG4&lt;'Get Started  2'!$H111,0,OFFSET(AG37,0,-1*'Get Started  2'!$H111)*'Get Started  2'!$G42),0)+IF(AND('Get Started  2'!$H110&lt;='Get Started  2'!$E27,'Get Started  2'!$G110&lt;&gt;0),IF(AG4&lt;'Get Started  2'!$H110,0,OFFSET(AG37,0,-1*'Get Started  2'!$H110)*'Get Started  2'!$F42),0)+IF(AND('Get Started  2'!$H109&lt;='Get Started  2'!$E27,'Get Started  2'!$G109&lt;&gt;0),IF(AG4&lt;'Get Started  2'!$H109,0,OFFSET(AG37,0,-1*'Get Started  2'!$H109)*'Get Started  2'!$E42*'Get Started  2'!$G109),0)</f>
        <v>517677.95138888876</v>
      </c>
      <c r="AH206" s="29">
        <f ca="1">IF(AND('Get Started  2'!$H112&lt;='Get Started  2'!$E27,'Get Started  2'!$G112&lt;&gt;0),IF(AND(AH4&lt;'Get Started  2'!$H112,'Get Started  2'!$H112&lt;='Get Started  2'!$E27),0,OFFSET(AH37,0,-1*'Get Started  2'!$H112)*'Get Started  2'!$H42),0)+IF(AND('Get Started  2'!$H111&lt;='Get Started  2'!$E27,'Get Started  2'!$G111&lt;&gt;0),IF(AH4&lt;'Get Started  2'!$H111,0,OFFSET(AH37,0,-1*'Get Started  2'!$H111)*'Get Started  2'!$G42),0)+IF(AND('Get Started  2'!$H110&lt;='Get Started  2'!$E27,'Get Started  2'!$G110&lt;&gt;0),IF(AH4&lt;'Get Started  2'!$H110,0,OFFSET(AH37,0,-1*'Get Started  2'!$H110)*'Get Started  2'!$F42),0)+IF(AND('Get Started  2'!$H109&lt;='Get Started  2'!$E27,'Get Started  2'!$G109&lt;&gt;0),IF(AH4&lt;'Get Started  2'!$H109,0,OFFSET(AH37,0,-1*'Get Started  2'!$H109)*'Get Started  2'!$E42*'Get Started  2'!$G109),0)</f>
        <v>517677.95138888876</v>
      </c>
      <c r="AI206" s="29">
        <f ca="1">IF(AND('Get Started  2'!$H112&lt;='Get Started  2'!$E27,'Get Started  2'!$G112&lt;&gt;0),IF(AND(AI4&lt;'Get Started  2'!$H112,'Get Started  2'!$H112&lt;='Get Started  2'!$E27),0,OFFSET(AI37,0,-1*'Get Started  2'!$H112)*'Get Started  2'!$H42),0)+IF(AND('Get Started  2'!$H111&lt;='Get Started  2'!$E27,'Get Started  2'!$G111&lt;&gt;0),IF(AI4&lt;'Get Started  2'!$H111,0,OFFSET(AI37,0,-1*'Get Started  2'!$H111)*'Get Started  2'!$G42),0)+IF(AND('Get Started  2'!$H110&lt;='Get Started  2'!$E27,'Get Started  2'!$G110&lt;&gt;0),IF(AI4&lt;'Get Started  2'!$H110,0,OFFSET(AI37,0,-1*'Get Started  2'!$H110)*'Get Started  2'!$F42),0)+IF(AND('Get Started  2'!$H109&lt;='Get Started  2'!$E27,'Get Started  2'!$G109&lt;&gt;0),IF(AI4&lt;'Get Started  2'!$H109,0,OFFSET(AI37,0,-1*'Get Started  2'!$H109)*'Get Started  2'!$E42*'Get Started  2'!$G109),0)</f>
        <v>230933.15972222216</v>
      </c>
      <c r="AJ206" s="29">
        <f ca="1">IF(AND('Get Started  2'!$H112&lt;='Get Started  2'!$E27,'Get Started  2'!$G112&lt;&gt;0),IF(AND(AJ4&lt;'Get Started  2'!$H112,'Get Started  2'!$H112&lt;='Get Started  2'!$E27),0,OFFSET(AJ37,0,-1*'Get Started  2'!$H112)*'Get Started  2'!$H42),0)+IF(AND('Get Started  2'!$H111&lt;='Get Started  2'!$E27,'Get Started  2'!$G111&lt;&gt;0),IF(AJ4&lt;'Get Started  2'!$H111,0,OFFSET(AJ37,0,-1*'Get Started  2'!$H111)*'Get Started  2'!$G42),0)+IF(AND('Get Started  2'!$H110&lt;='Get Started  2'!$E27,'Get Started  2'!$G110&lt;&gt;0),IF(AJ4&lt;'Get Started  2'!$H110,0,OFFSET(AJ37,0,-1*'Get Started  2'!$H110)*'Get Started  2'!$F42),0)+IF(AND('Get Started  2'!$H109&lt;='Get Started  2'!$E27,'Get Started  2'!$G109&lt;&gt;0),IF(AJ4&lt;'Get Started  2'!$H109,0,OFFSET(AJ37,0,-1*'Get Started  2'!$H109)*'Get Started  2'!$E42*'Get Started  2'!$G109),0)</f>
        <v>230933.15972222216</v>
      </c>
      <c r="AK206" s="29">
        <f ca="1">IF(AND('Get Started  2'!$H112&lt;='Get Started  2'!$E27,'Get Started  2'!$G112&lt;&gt;0),IF(AND(AK4&lt;'Get Started  2'!$H112,'Get Started  2'!$H112&lt;='Get Started  2'!$E27),0,OFFSET(AK37,0,-1*'Get Started  2'!$H112)*'Get Started  2'!$H42),0)+IF(AND('Get Started  2'!$H111&lt;='Get Started  2'!$E27,'Get Started  2'!$G111&lt;&gt;0),IF(AK4&lt;'Get Started  2'!$H111,0,OFFSET(AK37,0,-1*'Get Started  2'!$H111)*'Get Started  2'!$G42),0)+IF(AND('Get Started  2'!$H110&lt;='Get Started  2'!$E27,'Get Started  2'!$G110&lt;&gt;0),IF(AK4&lt;'Get Started  2'!$H110,0,OFFSET(AK37,0,-1*'Get Started  2'!$H110)*'Get Started  2'!$F42),0)+IF(AND('Get Started  2'!$H109&lt;='Get Started  2'!$E27,'Get Started  2'!$G109&lt;&gt;0),IF(AK4&lt;'Get Started  2'!$H109,0,OFFSET(AK37,0,-1*'Get Started  2'!$H109)*'Get Started  2'!$E42*'Get Started  2'!$G109),0)</f>
        <v>230933.15972222216</v>
      </c>
      <c r="AL206" s="29">
        <f ca="1">IF(AND('Get Started  2'!$H112&lt;='Get Started  2'!$E27,'Get Started  2'!$G112&lt;&gt;0),IF(AND(AL4&lt;'Get Started  2'!$H112,'Get Started  2'!$H112&lt;='Get Started  2'!$E27),0,OFFSET(AL37,0,-1*'Get Started  2'!$H112)*'Get Started  2'!$H42),0)+IF(AND('Get Started  2'!$H111&lt;='Get Started  2'!$E27,'Get Started  2'!$G111&lt;&gt;0),IF(AL4&lt;'Get Started  2'!$H111,0,OFFSET(AL37,0,-1*'Get Started  2'!$H111)*'Get Started  2'!$G42),0)+IF(AND('Get Started  2'!$H110&lt;='Get Started  2'!$E27,'Get Started  2'!$G110&lt;&gt;0),IF(AL4&lt;'Get Started  2'!$H110,0,OFFSET(AL37,0,-1*'Get Started  2'!$H110)*'Get Started  2'!$F42),0)+IF(AND('Get Started  2'!$H109&lt;='Get Started  2'!$E27,'Get Started  2'!$G109&lt;&gt;0),IF(AL4&lt;'Get Started  2'!$H109,0,OFFSET(AL37,0,-1*'Get Started  2'!$H109)*'Get Started  2'!$E42*'Get Started  2'!$G109),0)</f>
        <v>230933.15972222216</v>
      </c>
      <c r="AM206" s="29">
        <f ca="1">IF(AND('Get Started  2'!$H112&lt;='Get Started  2'!$E27,'Get Started  2'!$G112&lt;&gt;0),IF(AND(AM4&lt;'Get Started  2'!$H112,'Get Started  2'!$H112&lt;='Get Started  2'!$E27),0,OFFSET(AM37,0,-1*'Get Started  2'!$H112)*'Get Started  2'!$H42),0)+IF(AND('Get Started  2'!$H111&lt;='Get Started  2'!$E27,'Get Started  2'!$G111&lt;&gt;0),IF(AM4&lt;'Get Started  2'!$H111,0,OFFSET(AM37,0,-1*'Get Started  2'!$H111)*'Get Started  2'!$G42),0)+IF(AND('Get Started  2'!$H110&lt;='Get Started  2'!$E27,'Get Started  2'!$G110&lt;&gt;0),IF(AM4&lt;'Get Started  2'!$H110,0,OFFSET(AM37,0,-1*'Get Started  2'!$H110)*'Get Started  2'!$F42),0)+IF(AND('Get Started  2'!$H109&lt;='Get Started  2'!$E27,'Get Started  2'!$G109&lt;&gt;0),IF(AM4&lt;'Get Started  2'!$H109,0,OFFSET(AM37,0,-1*'Get Started  2'!$H109)*'Get Started  2'!$E42*'Get Started  2'!$G109),0)</f>
        <v>60156.249999999978</v>
      </c>
      <c r="AN206" s="29">
        <f ca="1">IF(AND('Get Started  2'!$H112&lt;='Get Started  2'!$E27,'Get Started  2'!$G112&lt;&gt;0),IF(AND(AN4&lt;'Get Started  2'!$H112,'Get Started  2'!$H112&lt;='Get Started  2'!$E27),0,OFFSET(AN37,0,-1*'Get Started  2'!$H112)*'Get Started  2'!$H42),0)+IF(AND('Get Started  2'!$H111&lt;='Get Started  2'!$E27,'Get Started  2'!$G111&lt;&gt;0),IF(AN4&lt;'Get Started  2'!$H111,0,OFFSET(AN37,0,-1*'Get Started  2'!$H111)*'Get Started  2'!$G42),0)+IF(AND('Get Started  2'!$H110&lt;='Get Started  2'!$E27,'Get Started  2'!$G110&lt;&gt;0),IF(AN4&lt;'Get Started  2'!$H110,0,OFFSET(AN37,0,-1*'Get Started  2'!$H110)*'Get Started  2'!$F42),0)+IF(AND('Get Started  2'!$H109&lt;='Get Started  2'!$E27,'Get Started  2'!$G109&lt;&gt;0),IF(AN4&lt;'Get Started  2'!$H109,0,OFFSET(AN37,0,-1*'Get Started  2'!$H109)*'Get Started  2'!$E42*'Get Started  2'!$G109),0)</f>
        <v>60156.249999999978</v>
      </c>
      <c r="AO206" s="29">
        <f ca="1">IF(AND('Get Started  2'!$H112&lt;='Get Started  2'!$E27,'Get Started  2'!$G112&lt;&gt;0),IF(AND(AO4&lt;'Get Started  2'!$H112,'Get Started  2'!$H112&lt;='Get Started  2'!$E27),0,OFFSET(AO37,0,-1*'Get Started  2'!$H112)*'Get Started  2'!$H42),0)+IF(AND('Get Started  2'!$H111&lt;='Get Started  2'!$E27,'Get Started  2'!$G111&lt;&gt;0),IF(AO4&lt;'Get Started  2'!$H111,0,OFFSET(AO37,0,-1*'Get Started  2'!$H111)*'Get Started  2'!$G42),0)+IF(AND('Get Started  2'!$H110&lt;='Get Started  2'!$E27,'Get Started  2'!$G110&lt;&gt;0),IF(AO4&lt;'Get Started  2'!$H110,0,OFFSET(AO37,0,-1*'Get Started  2'!$H110)*'Get Started  2'!$F42),0)+IF(AND('Get Started  2'!$H109&lt;='Get Started  2'!$E27,'Get Started  2'!$G109&lt;&gt;0),IF(AO4&lt;'Get Started  2'!$H109,0,OFFSET(AO37,0,-1*'Get Started  2'!$H109)*'Get Started  2'!$E42*'Get Started  2'!$G109),0)</f>
        <v>60156.249999999978</v>
      </c>
      <c r="AP206" s="29">
        <f ca="1">IF(AND('Get Started  2'!$H112&lt;='Get Started  2'!$E27,'Get Started  2'!$G112&lt;&gt;0),IF(AND(AP4&lt;'Get Started  2'!$H112,'Get Started  2'!$H112&lt;='Get Started  2'!$E27),0,OFFSET(AP37,0,-1*'Get Started  2'!$H112)*'Get Started  2'!$H42),0)+IF(AND('Get Started  2'!$H111&lt;='Get Started  2'!$E27,'Get Started  2'!$G111&lt;&gt;0),IF(AP4&lt;'Get Started  2'!$H111,0,OFFSET(AP37,0,-1*'Get Started  2'!$H111)*'Get Started  2'!$G42),0)+IF(AND('Get Started  2'!$H110&lt;='Get Started  2'!$E27,'Get Started  2'!$G110&lt;&gt;0),IF(AP4&lt;'Get Started  2'!$H110,0,OFFSET(AP37,0,-1*'Get Started  2'!$H110)*'Get Started  2'!$F42),0)+IF(AND('Get Started  2'!$H109&lt;='Get Started  2'!$E27,'Get Started  2'!$G109&lt;&gt;0),IF(AP4&lt;'Get Started  2'!$H109,0,OFFSET(AP37,0,-1*'Get Started  2'!$H109)*'Get Started  2'!$E42*'Get Started  2'!$G109),0)</f>
        <v>60156.249999999978</v>
      </c>
      <c r="AQ206" s="29">
        <f ca="1">IF(AND('Get Started  2'!$H112&lt;='Get Started  2'!$E27,'Get Started  2'!$G112&lt;&gt;0),IF(AND(AQ4&lt;'Get Started  2'!$H112,'Get Started  2'!$H112&lt;='Get Started  2'!$E27),0,OFFSET(AQ37,0,-1*'Get Started  2'!$H112)*'Get Started  2'!$H42),0)+IF(AND('Get Started  2'!$H111&lt;='Get Started  2'!$E27,'Get Started  2'!$G111&lt;&gt;0),IF(AQ4&lt;'Get Started  2'!$H111,0,OFFSET(AQ37,0,-1*'Get Started  2'!$H111)*'Get Started  2'!$G42),0)+IF(AND('Get Started  2'!$H110&lt;='Get Started  2'!$E27,'Get Started  2'!$G110&lt;&gt;0),IF(AQ4&lt;'Get Started  2'!$H110,0,OFFSET(AQ37,0,-1*'Get Started  2'!$H110)*'Get Started  2'!$F42),0)+IF(AND('Get Started  2'!$H109&lt;='Get Started  2'!$E27,'Get Started  2'!$G109&lt;&gt;0),IF(AQ4&lt;'Get Started  2'!$H109,0,OFFSET(AQ37,0,-1*'Get Started  2'!$H109)*'Get Started  2'!$E42*'Get Started  2'!$G109),0)</f>
        <v>73190.104166666642</v>
      </c>
      <c r="AR206" s="29">
        <f ca="1">IF(AND('Get Started  2'!$H112&lt;='Get Started  2'!$E27,'Get Started  2'!$G112&lt;&gt;0),IF(AND(AR4&lt;'Get Started  2'!$H112,'Get Started  2'!$H112&lt;='Get Started  2'!$E27),0,OFFSET(AR37,0,-1*'Get Started  2'!$H112)*'Get Started  2'!$H42),0)+IF(AND('Get Started  2'!$H111&lt;='Get Started  2'!$E27,'Get Started  2'!$G111&lt;&gt;0),IF(AR4&lt;'Get Started  2'!$H111,0,OFFSET(AR37,0,-1*'Get Started  2'!$H111)*'Get Started  2'!$G42),0)+IF(AND('Get Started  2'!$H110&lt;='Get Started  2'!$E27,'Get Started  2'!$G110&lt;&gt;0),IF(AR4&lt;'Get Started  2'!$H110,0,OFFSET(AR37,0,-1*'Get Started  2'!$H110)*'Get Started  2'!$F42),0)+IF(AND('Get Started  2'!$H109&lt;='Get Started  2'!$E27,'Get Started  2'!$G109&lt;&gt;0),IF(AR4&lt;'Get Started  2'!$H109,0,OFFSET(AR37,0,-1*'Get Started  2'!$H109)*'Get Started  2'!$E42*'Get Started  2'!$G109),0)</f>
        <v>73190.104166666642</v>
      </c>
      <c r="AS206" s="29">
        <f ca="1">IF(AND('Get Started  2'!$H112&lt;='Get Started  2'!$E27,'Get Started  2'!$G112&lt;&gt;0),IF(AND(AS4&lt;'Get Started  2'!$H112,'Get Started  2'!$H112&lt;='Get Started  2'!$E27),0,OFFSET(AS37,0,-1*'Get Started  2'!$H112)*'Get Started  2'!$H42),0)+IF(AND('Get Started  2'!$H111&lt;='Get Started  2'!$E27,'Get Started  2'!$G111&lt;&gt;0),IF(AS4&lt;'Get Started  2'!$H111,0,OFFSET(AS37,0,-1*'Get Started  2'!$H111)*'Get Started  2'!$G42),0)+IF(AND('Get Started  2'!$H110&lt;='Get Started  2'!$E27,'Get Started  2'!$G110&lt;&gt;0),IF(AS4&lt;'Get Started  2'!$H110,0,OFFSET(AS37,0,-1*'Get Started  2'!$H110)*'Get Started  2'!$F42),0)+IF(AND('Get Started  2'!$H109&lt;='Get Started  2'!$E27,'Get Started  2'!$G109&lt;&gt;0),IF(AS4&lt;'Get Started  2'!$H109,0,OFFSET(AS37,0,-1*'Get Started  2'!$H109)*'Get Started  2'!$E42*'Get Started  2'!$G109),0)</f>
        <v>73190.104166666642</v>
      </c>
      <c r="AT206" s="29">
        <f ca="1">IF(AND('Get Started  2'!$H112&lt;='Get Started  2'!$E27,'Get Started  2'!$G112&lt;&gt;0),IF(AND(AT4&lt;'Get Started  2'!$H112,'Get Started  2'!$H112&lt;='Get Started  2'!$E27),0,OFFSET(AT37,0,-1*'Get Started  2'!$H112)*'Get Started  2'!$H42),0)+IF(AND('Get Started  2'!$H111&lt;='Get Started  2'!$E27,'Get Started  2'!$G111&lt;&gt;0),IF(AT4&lt;'Get Started  2'!$H111,0,OFFSET(AT37,0,-1*'Get Started  2'!$H111)*'Get Started  2'!$G42),0)+IF(AND('Get Started  2'!$H110&lt;='Get Started  2'!$E27,'Get Started  2'!$G110&lt;&gt;0),IF(AT4&lt;'Get Started  2'!$H110,0,OFFSET(AT37,0,-1*'Get Started  2'!$H110)*'Get Started  2'!$F42),0)+IF(AND('Get Started  2'!$H109&lt;='Get Started  2'!$E27,'Get Started  2'!$G109&lt;&gt;0),IF(AT4&lt;'Get Started  2'!$H109,0,OFFSET(AT37,0,-1*'Get Started  2'!$H109)*'Get Started  2'!$E42*'Get Started  2'!$G109),0)</f>
        <v>73190.104166666642</v>
      </c>
      <c r="AU206" s="29">
        <f ca="1">IF(AND('Get Started  2'!$H112&lt;='Get Started  2'!$E27,'Get Started  2'!$G112&lt;&gt;0),IF(AND(AU4&lt;'Get Started  2'!$H112,'Get Started  2'!$H112&lt;='Get Started  2'!$E27),0,OFFSET(AU37,0,-1*'Get Started  2'!$H112)*'Get Started  2'!$H42),0)+IF(AND('Get Started  2'!$H111&lt;='Get Started  2'!$E27,'Get Started  2'!$G111&lt;&gt;0),IF(AU4&lt;'Get Started  2'!$H111,0,OFFSET(AU37,0,-1*'Get Started  2'!$H111)*'Get Started  2'!$G42),0)+IF(AND('Get Started  2'!$H110&lt;='Get Started  2'!$E27,'Get Started  2'!$G110&lt;&gt;0),IF(AU4&lt;'Get Started  2'!$H110,0,OFFSET(AU37,0,-1*'Get Started  2'!$H110)*'Get Started  2'!$F42),0)+IF(AND('Get Started  2'!$H109&lt;='Get Started  2'!$E27,'Get Started  2'!$G109&lt;&gt;0),IF(AU4&lt;'Get Started  2'!$H109,0,OFFSET(AU37,0,-1*'Get Started  2'!$H109)*'Get Started  2'!$E42*'Get Started  2'!$G109),0)</f>
        <v>0</v>
      </c>
      <c r="AV206" s="29">
        <f ca="1">IF(AND('Get Started  2'!$H112&lt;='Get Started  2'!$E27,'Get Started  2'!$G112&lt;&gt;0),IF(AND(AV4&lt;'Get Started  2'!$H112,'Get Started  2'!$H112&lt;='Get Started  2'!$E27),0,OFFSET(AV37,0,-1*'Get Started  2'!$H112)*'Get Started  2'!$H42),0)+IF(AND('Get Started  2'!$H111&lt;='Get Started  2'!$E27,'Get Started  2'!$G111&lt;&gt;0),IF(AV4&lt;'Get Started  2'!$H111,0,OFFSET(AV37,0,-1*'Get Started  2'!$H111)*'Get Started  2'!$G42),0)+IF(AND('Get Started  2'!$H110&lt;='Get Started  2'!$E27,'Get Started  2'!$G110&lt;&gt;0),IF(AV4&lt;'Get Started  2'!$H110,0,OFFSET(AV37,0,-1*'Get Started  2'!$H110)*'Get Started  2'!$F42),0)+IF(AND('Get Started  2'!$H109&lt;='Get Started  2'!$E27,'Get Started  2'!$G109&lt;&gt;0),IF(AV4&lt;'Get Started  2'!$H109,0,OFFSET(AV37,0,-1*'Get Started  2'!$H109)*'Get Started  2'!$E42*'Get Started  2'!$G109),0)</f>
        <v>0</v>
      </c>
      <c r="AW206" s="29">
        <f ca="1">IF(AND('Get Started  2'!$H112&lt;='Get Started  2'!$E27,'Get Started  2'!$G112&lt;&gt;0),IF(AND(AW4&lt;'Get Started  2'!$H112,'Get Started  2'!$H112&lt;='Get Started  2'!$E27),0,OFFSET(AW37,0,-1*'Get Started  2'!$H112)*'Get Started  2'!$H42),0)+IF(AND('Get Started  2'!$H111&lt;='Get Started  2'!$E27,'Get Started  2'!$G111&lt;&gt;0),IF(AW4&lt;'Get Started  2'!$H111,0,OFFSET(AW37,0,-1*'Get Started  2'!$H111)*'Get Started  2'!$G42),0)+IF(AND('Get Started  2'!$H110&lt;='Get Started  2'!$E27,'Get Started  2'!$G110&lt;&gt;0),IF(AW4&lt;'Get Started  2'!$H110,0,OFFSET(AW37,0,-1*'Get Started  2'!$H110)*'Get Started  2'!$F42),0)+IF(AND('Get Started  2'!$H109&lt;='Get Started  2'!$E27,'Get Started  2'!$G109&lt;&gt;0),IF(AW4&lt;'Get Started  2'!$H109,0,OFFSET(AW37,0,-1*'Get Started  2'!$H109)*'Get Started  2'!$E42*'Get Started  2'!$G109),0)</f>
        <v>0</v>
      </c>
      <c r="AX206" s="29">
        <f ca="1">IF(AND('Get Started  2'!$H112&lt;='Get Started  2'!$E27,'Get Started  2'!$G112&lt;&gt;0),IF(AND(AX4&lt;'Get Started  2'!$H112,'Get Started  2'!$H112&lt;='Get Started  2'!$E27),0,OFFSET(AX37,0,-1*'Get Started  2'!$H112)*'Get Started  2'!$H42),0)+IF(AND('Get Started  2'!$H111&lt;='Get Started  2'!$E27,'Get Started  2'!$G111&lt;&gt;0),IF(AX4&lt;'Get Started  2'!$H111,0,OFFSET(AX37,0,-1*'Get Started  2'!$H111)*'Get Started  2'!$G42),0)+IF(AND('Get Started  2'!$H110&lt;='Get Started  2'!$E27,'Get Started  2'!$G110&lt;&gt;0),IF(AX4&lt;'Get Started  2'!$H110,0,OFFSET(AX37,0,-1*'Get Started  2'!$H110)*'Get Started  2'!$F42),0)+IF(AND('Get Started  2'!$H109&lt;='Get Started  2'!$E27,'Get Started  2'!$G109&lt;&gt;0),IF(AX4&lt;'Get Started  2'!$H109,0,OFFSET(AX37,0,-1*'Get Started  2'!$H109)*'Get Started  2'!$E42*'Get Started  2'!$G109),0)</f>
        <v>0</v>
      </c>
      <c r="AY206" s="29">
        <f ca="1">IF(AND('Get Started  2'!$H112&lt;='Get Started  2'!$E27,'Get Started  2'!$G112&lt;&gt;0),IF(AND(AY4&lt;'Get Started  2'!$H112,'Get Started  2'!$H112&lt;='Get Started  2'!$E27),0,OFFSET(AY37,0,-1*'Get Started  2'!$H112)*'Get Started  2'!$H42),0)+IF(AND('Get Started  2'!$H111&lt;='Get Started  2'!$E27,'Get Started  2'!$G111&lt;&gt;0),IF(AY4&lt;'Get Started  2'!$H111,0,OFFSET(AY37,0,-1*'Get Started  2'!$H111)*'Get Started  2'!$G42),0)+IF(AND('Get Started  2'!$H110&lt;='Get Started  2'!$E27,'Get Started  2'!$G110&lt;&gt;0),IF(AY4&lt;'Get Started  2'!$H110,0,OFFSET(AY37,0,-1*'Get Started  2'!$H110)*'Get Started  2'!$F42),0)+IF(AND('Get Started  2'!$H109&lt;='Get Started  2'!$E27,'Get Started  2'!$G109&lt;&gt;0),IF(AY4&lt;'Get Started  2'!$H109,0,OFFSET(AY37,0,-1*'Get Started  2'!$H109)*'Get Started  2'!$E42*'Get Started  2'!$G109),0)</f>
        <v>0</v>
      </c>
      <c r="AZ206" s="29">
        <f ca="1">IF(AND('Get Started  2'!$H112&lt;='Get Started  2'!$E27,'Get Started  2'!$G112&lt;&gt;0),IF(AND(AZ4&lt;'Get Started  2'!$H112,'Get Started  2'!$H112&lt;='Get Started  2'!$E27),0,OFFSET(AZ37,0,-1*'Get Started  2'!$H112)*'Get Started  2'!$H42),0)+IF(AND('Get Started  2'!$H111&lt;='Get Started  2'!$E27,'Get Started  2'!$G111&lt;&gt;0),IF(AZ4&lt;'Get Started  2'!$H111,0,OFFSET(AZ37,0,-1*'Get Started  2'!$H111)*'Get Started  2'!$G42),0)+IF(AND('Get Started  2'!$H110&lt;='Get Started  2'!$E27,'Get Started  2'!$G110&lt;&gt;0),IF(AZ4&lt;'Get Started  2'!$H110,0,OFFSET(AZ37,0,-1*'Get Started  2'!$H110)*'Get Started  2'!$F42),0)+IF(AND('Get Started  2'!$H109&lt;='Get Started  2'!$E27,'Get Started  2'!$G109&lt;&gt;0),IF(AZ4&lt;'Get Started  2'!$H109,0,OFFSET(AZ37,0,-1*'Get Started  2'!$H109)*'Get Started  2'!$E42*'Get Started  2'!$G109),0)</f>
        <v>0</v>
      </c>
      <c r="BA206" s="29">
        <f ca="1">IF(AND('Get Started  2'!$H112&lt;='Get Started  2'!$E27,'Get Started  2'!$G112&lt;&gt;0),IF(AND(BA4&lt;'Get Started  2'!$H112,'Get Started  2'!$H112&lt;='Get Started  2'!$E27),0,OFFSET(BA37,0,-1*'Get Started  2'!$H112)*'Get Started  2'!$H42),0)+IF(AND('Get Started  2'!$H111&lt;='Get Started  2'!$E27,'Get Started  2'!$G111&lt;&gt;0),IF(BA4&lt;'Get Started  2'!$H111,0,OFFSET(BA37,0,-1*'Get Started  2'!$H111)*'Get Started  2'!$G42),0)+IF(AND('Get Started  2'!$H110&lt;='Get Started  2'!$E27,'Get Started  2'!$G110&lt;&gt;0),IF(BA4&lt;'Get Started  2'!$H110,0,OFFSET(BA37,0,-1*'Get Started  2'!$H110)*'Get Started  2'!$F42),0)+IF(AND('Get Started  2'!$H109&lt;='Get Started  2'!$E27,'Get Started  2'!$G109&lt;&gt;0),IF(BA4&lt;'Get Started  2'!$H109,0,OFFSET(BA37,0,-1*'Get Started  2'!$H109)*'Get Started  2'!$E42*'Get Started  2'!$G109),0)</f>
        <v>0</v>
      </c>
      <c r="BB206" s="29">
        <f ca="1">IF(AND('Get Started  2'!$H112&lt;='Get Started  2'!$E27,'Get Started  2'!$G112&lt;&gt;0),IF(AND(BB4&lt;'Get Started  2'!$H112,'Get Started  2'!$H112&lt;='Get Started  2'!$E27),0,OFFSET(BB37,0,-1*'Get Started  2'!$H112)*'Get Started  2'!$H42),0)+IF(AND('Get Started  2'!$H111&lt;='Get Started  2'!$E27,'Get Started  2'!$G111&lt;&gt;0),IF(BB4&lt;'Get Started  2'!$H111,0,OFFSET(BB37,0,-1*'Get Started  2'!$H111)*'Get Started  2'!$G42),0)+IF(AND('Get Started  2'!$H110&lt;='Get Started  2'!$E27,'Get Started  2'!$G110&lt;&gt;0),IF(BB4&lt;'Get Started  2'!$H110,0,OFFSET(BB37,0,-1*'Get Started  2'!$H110)*'Get Started  2'!$F42),0)+IF(AND('Get Started  2'!$H109&lt;='Get Started  2'!$E27,'Get Started  2'!$G109&lt;&gt;0),IF(BB4&lt;'Get Started  2'!$H109,0,OFFSET(BB37,0,-1*'Get Started  2'!$H109)*'Get Started  2'!$E42*'Get Started  2'!$G109),0)</f>
        <v>0</v>
      </c>
      <c r="BC206" s="29">
        <f ca="1">IF(AND('Get Started  2'!$H112&lt;='Get Started  2'!$E27,'Get Started  2'!$G112&lt;&gt;0),IF(AND(BC4&lt;'Get Started  2'!$H112,'Get Started  2'!$H112&lt;='Get Started  2'!$E27),0,OFFSET(BC37,0,-1*'Get Started  2'!$H112)*'Get Started  2'!$H42),0)+IF(AND('Get Started  2'!$H111&lt;='Get Started  2'!$E27,'Get Started  2'!$G111&lt;&gt;0),IF(BC4&lt;'Get Started  2'!$H111,0,OFFSET(BC37,0,-1*'Get Started  2'!$H111)*'Get Started  2'!$G42),0)+IF(AND('Get Started  2'!$H110&lt;='Get Started  2'!$E27,'Get Started  2'!$G110&lt;&gt;0),IF(BC4&lt;'Get Started  2'!$H110,0,OFFSET(BC37,0,-1*'Get Started  2'!$H110)*'Get Started  2'!$F42),0)+IF(AND('Get Started  2'!$H109&lt;='Get Started  2'!$E27,'Get Started  2'!$G109&lt;&gt;0),IF(BC4&lt;'Get Started  2'!$H109,0,OFFSET(BC37,0,-1*'Get Started  2'!$H109)*'Get Started  2'!$E42*'Get Started  2'!$G109),0)</f>
        <v>0</v>
      </c>
      <c r="BD206" s="29">
        <f ca="1">IF(AND('Get Started  2'!$H112&lt;='Get Started  2'!$E27,'Get Started  2'!$G112&lt;&gt;0),IF(AND(BD4&lt;'Get Started  2'!$H112,'Get Started  2'!$H112&lt;='Get Started  2'!$E27),0,OFFSET(BD37,0,-1*'Get Started  2'!$H112)*'Get Started  2'!$H42),0)+IF(AND('Get Started  2'!$H111&lt;='Get Started  2'!$E27,'Get Started  2'!$G111&lt;&gt;0),IF(BD4&lt;'Get Started  2'!$H111,0,OFFSET(BD37,0,-1*'Get Started  2'!$H111)*'Get Started  2'!$G42),0)+IF(AND('Get Started  2'!$H110&lt;='Get Started  2'!$E27,'Get Started  2'!$G110&lt;&gt;0),IF(BD4&lt;'Get Started  2'!$H110,0,OFFSET(BD37,0,-1*'Get Started  2'!$H110)*'Get Started  2'!$F42),0)+IF(AND('Get Started  2'!$H109&lt;='Get Started  2'!$E27,'Get Started  2'!$G109&lt;&gt;0),IF(BD4&lt;'Get Started  2'!$H109,0,OFFSET(BD37,0,-1*'Get Started  2'!$H109)*'Get Started  2'!$E42*'Get Started  2'!$G109),0)</f>
        <v>0</v>
      </c>
      <c r="BE206" s="29">
        <f ca="1">IF(AND('Get Started  2'!$H112&lt;='Get Started  2'!$E27,'Get Started  2'!$G112&lt;&gt;0),IF(AND(BE4&lt;'Get Started  2'!$H112,'Get Started  2'!$H112&lt;='Get Started  2'!$E27),0,OFFSET(BE37,0,-1*'Get Started  2'!$H112)*'Get Started  2'!$H42),0)+IF(AND('Get Started  2'!$H111&lt;='Get Started  2'!$E27,'Get Started  2'!$G111&lt;&gt;0),IF(BE4&lt;'Get Started  2'!$H111,0,OFFSET(BE37,0,-1*'Get Started  2'!$H111)*'Get Started  2'!$G42),0)+IF(AND('Get Started  2'!$H110&lt;='Get Started  2'!$E27,'Get Started  2'!$G110&lt;&gt;0),IF(BE4&lt;'Get Started  2'!$H110,0,OFFSET(BE37,0,-1*'Get Started  2'!$H110)*'Get Started  2'!$F42),0)+IF(AND('Get Started  2'!$H109&lt;='Get Started  2'!$E27,'Get Started  2'!$G109&lt;&gt;0),IF(BE4&lt;'Get Started  2'!$H109,0,OFFSET(BE37,0,-1*'Get Started  2'!$H109)*'Get Started  2'!$E42*'Get Started  2'!$G109),0)</f>
        <v>0</v>
      </c>
      <c r="BF206" s="29">
        <f ca="1">IF(AND('Get Started  2'!$H112&lt;='Get Started  2'!$E27,'Get Started  2'!$G112&lt;&gt;0),IF(AND(BF4&lt;'Get Started  2'!$H112,'Get Started  2'!$H112&lt;='Get Started  2'!$E27),0,OFFSET(BF37,0,-1*'Get Started  2'!$H112)*'Get Started  2'!$H42),0)+IF(AND('Get Started  2'!$H111&lt;='Get Started  2'!$E27,'Get Started  2'!$G111&lt;&gt;0),IF(BF4&lt;'Get Started  2'!$H111,0,OFFSET(BF37,0,-1*'Get Started  2'!$H111)*'Get Started  2'!$G42),0)+IF(AND('Get Started  2'!$H110&lt;='Get Started  2'!$E27,'Get Started  2'!$G110&lt;&gt;0),IF(BF4&lt;'Get Started  2'!$H110,0,OFFSET(BF37,0,-1*'Get Started  2'!$H110)*'Get Started  2'!$F42),0)+IF(AND('Get Started  2'!$H109&lt;='Get Started  2'!$E27,'Get Started  2'!$G109&lt;&gt;0),IF(BF4&lt;'Get Started  2'!$H109,0,OFFSET(BF37,0,-1*'Get Started  2'!$H109)*'Get Started  2'!$E42*'Get Started  2'!$G109),0)</f>
        <v>0</v>
      </c>
      <c r="BG206" s="29">
        <f ca="1">IF(AND('Get Started  2'!$H112&lt;='Get Started  2'!$E27,'Get Started  2'!$G112&lt;&gt;0),IF(AND(BG4&lt;'Get Started  2'!$H112,'Get Started  2'!$H112&lt;='Get Started  2'!$E27),0,OFFSET(BG37,0,-1*'Get Started  2'!$H112)*'Get Started  2'!$H42),0)+IF(AND('Get Started  2'!$H111&lt;='Get Started  2'!$E27,'Get Started  2'!$G111&lt;&gt;0),IF(BG4&lt;'Get Started  2'!$H111,0,OFFSET(BG37,0,-1*'Get Started  2'!$H111)*'Get Started  2'!$G42),0)+IF(AND('Get Started  2'!$H110&lt;='Get Started  2'!$E27,'Get Started  2'!$G110&lt;&gt;0),IF(BG4&lt;'Get Started  2'!$H110,0,OFFSET(BG37,0,-1*'Get Started  2'!$H110)*'Get Started  2'!$F42),0)+IF(AND('Get Started  2'!$H109&lt;='Get Started  2'!$E27,'Get Started  2'!$G109&lt;&gt;0),IF(BG4&lt;'Get Started  2'!$H109,0,OFFSET(BG37,0,-1*'Get Started  2'!$H109)*'Get Started  2'!$E42*'Get Started  2'!$G109),0)</f>
        <v>0</v>
      </c>
      <c r="BH206" s="29">
        <f ca="1">IF(AND('Get Started  2'!$H112&lt;='Get Started  2'!$E27,'Get Started  2'!$G112&lt;&gt;0),IF(AND(BH4&lt;'Get Started  2'!$H112,'Get Started  2'!$H112&lt;='Get Started  2'!$E27),0,OFFSET(BH37,0,-1*'Get Started  2'!$H112)*'Get Started  2'!$H42),0)+IF(AND('Get Started  2'!$H111&lt;='Get Started  2'!$E27,'Get Started  2'!$G111&lt;&gt;0),IF(BH4&lt;'Get Started  2'!$H111,0,OFFSET(BH37,0,-1*'Get Started  2'!$H111)*'Get Started  2'!$G42),0)+IF(AND('Get Started  2'!$H110&lt;='Get Started  2'!$E27,'Get Started  2'!$G110&lt;&gt;0),IF(BH4&lt;'Get Started  2'!$H110,0,OFFSET(BH37,0,-1*'Get Started  2'!$H110)*'Get Started  2'!$F42),0)+IF(AND('Get Started  2'!$H109&lt;='Get Started  2'!$E27,'Get Started  2'!$G109&lt;&gt;0),IF(BH4&lt;'Get Started  2'!$H109,0,OFFSET(BH37,0,-1*'Get Started  2'!$H109)*'Get Started  2'!$E42*'Get Started  2'!$G109),0)</f>
        <v>0</v>
      </c>
      <c r="BI206" s="29">
        <f ca="1">IF(AND('Get Started  2'!$H112&lt;='Get Started  2'!$E27,'Get Started  2'!$G112&lt;&gt;0),IF(AND(BI4&lt;'Get Started  2'!$H112,'Get Started  2'!$H112&lt;='Get Started  2'!$E27),0,OFFSET(BI37,0,-1*'Get Started  2'!$H112)*'Get Started  2'!$H42),0)+IF(AND('Get Started  2'!$H111&lt;='Get Started  2'!$E27,'Get Started  2'!$G111&lt;&gt;0),IF(BI4&lt;'Get Started  2'!$H111,0,OFFSET(BI37,0,-1*'Get Started  2'!$H111)*'Get Started  2'!$G42),0)+IF(AND('Get Started  2'!$H110&lt;='Get Started  2'!$E27,'Get Started  2'!$G110&lt;&gt;0),IF(BI4&lt;'Get Started  2'!$H110,0,OFFSET(BI37,0,-1*'Get Started  2'!$H110)*'Get Started  2'!$F42),0)+IF(AND('Get Started  2'!$H109&lt;='Get Started  2'!$E27,'Get Started  2'!$G109&lt;&gt;0),IF(BI4&lt;'Get Started  2'!$H109,0,OFFSET(BI37,0,-1*'Get Started  2'!$H109)*'Get Started  2'!$E42*'Get Started  2'!$G109),0)</f>
        <v>0</v>
      </c>
      <c r="BJ206" s="29">
        <f ca="1">IF(AND('Get Started  2'!$H112&lt;='Get Started  2'!$E27,'Get Started  2'!$G112&lt;&gt;0),IF(AND(BJ4&lt;'Get Started  2'!$H112,'Get Started  2'!$H112&lt;='Get Started  2'!$E27),0,OFFSET(BJ37,0,-1*'Get Started  2'!$H112)*'Get Started  2'!$H42),0)+IF(AND('Get Started  2'!$H111&lt;='Get Started  2'!$E27,'Get Started  2'!$G111&lt;&gt;0),IF(BJ4&lt;'Get Started  2'!$H111,0,OFFSET(BJ37,0,-1*'Get Started  2'!$H111)*'Get Started  2'!$G42),0)+IF(AND('Get Started  2'!$H110&lt;='Get Started  2'!$E27,'Get Started  2'!$G110&lt;&gt;0),IF(BJ4&lt;'Get Started  2'!$H110,0,OFFSET(BJ37,0,-1*'Get Started  2'!$H110)*'Get Started  2'!$F42),0)+IF(AND('Get Started  2'!$H109&lt;='Get Started  2'!$E27,'Get Started  2'!$G109&lt;&gt;0),IF(BJ4&lt;'Get Started  2'!$H109,0,OFFSET(BJ37,0,-1*'Get Started  2'!$H109)*'Get Started  2'!$E42*'Get Started  2'!$G109),0)</f>
        <v>0</v>
      </c>
      <c r="BK206" s="29">
        <f ca="1">IF(AND('Get Started  2'!$H112&lt;='Get Started  2'!$E27,'Get Started  2'!$G112&lt;&gt;0),IF(AND(BK4&lt;'Get Started  2'!$H112,'Get Started  2'!$H112&lt;='Get Started  2'!$E27),0,OFFSET(BK37,0,-1*'Get Started  2'!$H112)*'Get Started  2'!$H42),0)+IF(AND('Get Started  2'!$H111&lt;='Get Started  2'!$E27,'Get Started  2'!$G111&lt;&gt;0),IF(BK4&lt;'Get Started  2'!$H111,0,OFFSET(BK37,0,-1*'Get Started  2'!$H111)*'Get Started  2'!$G42),0)+IF(AND('Get Started  2'!$H110&lt;='Get Started  2'!$E27,'Get Started  2'!$G110&lt;&gt;0),IF(BK4&lt;'Get Started  2'!$H110,0,OFFSET(BK37,0,-1*'Get Started  2'!$H110)*'Get Started  2'!$F42),0)+IF(AND('Get Started  2'!$H109&lt;='Get Started  2'!$E27,'Get Started  2'!$G109&lt;&gt;0),IF(BK4&lt;'Get Started  2'!$H109,0,OFFSET(BK37,0,-1*'Get Started  2'!$H109)*'Get Started  2'!$E42*'Get Started  2'!$G109),0)</f>
        <v>0</v>
      </c>
      <c r="BL206" s="29">
        <f ca="1">IF(AND('Get Started  2'!$H112&lt;='Get Started  2'!$E27,'Get Started  2'!$G112&lt;&gt;0),IF(AND(BL4&lt;'Get Started  2'!$H112,'Get Started  2'!$H112&lt;='Get Started  2'!$E27),0,OFFSET(BL37,0,-1*'Get Started  2'!$H112)*'Get Started  2'!$H42),0)+IF(AND('Get Started  2'!$H111&lt;='Get Started  2'!$E27,'Get Started  2'!$G111&lt;&gt;0),IF(BL4&lt;'Get Started  2'!$H111,0,OFFSET(BL37,0,-1*'Get Started  2'!$H111)*'Get Started  2'!$G42),0)+IF(AND('Get Started  2'!$H110&lt;='Get Started  2'!$E27,'Get Started  2'!$G110&lt;&gt;0),IF(BL4&lt;'Get Started  2'!$H110,0,OFFSET(BL37,0,-1*'Get Started  2'!$H110)*'Get Started  2'!$F42),0)+IF(AND('Get Started  2'!$H109&lt;='Get Started  2'!$E27,'Get Started  2'!$G109&lt;&gt;0),IF(BL4&lt;'Get Started  2'!$H109,0,OFFSET(BL37,0,-1*'Get Started  2'!$H109)*'Get Started  2'!$E42*'Get Started  2'!$G109),0)</f>
        <v>0</v>
      </c>
      <c r="BM206" s="29">
        <f ca="1">IF(AND('Get Started  2'!$H112&lt;='Get Started  2'!$E27,'Get Started  2'!$G112&lt;&gt;0),IF(AND(BM4&lt;'Get Started  2'!$H112,'Get Started  2'!$H112&lt;='Get Started  2'!$E27),0,OFFSET(BM37,0,-1*'Get Started  2'!$H112)*'Get Started  2'!$H42),0)+IF(AND('Get Started  2'!$H111&lt;='Get Started  2'!$E27,'Get Started  2'!$G111&lt;&gt;0),IF(BM4&lt;'Get Started  2'!$H111,0,OFFSET(BM37,0,-1*'Get Started  2'!$H111)*'Get Started  2'!$G42),0)+IF(AND('Get Started  2'!$H110&lt;='Get Started  2'!$E27,'Get Started  2'!$G110&lt;&gt;0),IF(BM4&lt;'Get Started  2'!$H110,0,OFFSET(BM37,0,-1*'Get Started  2'!$H110)*'Get Started  2'!$F42),0)+IF(AND('Get Started  2'!$H109&lt;='Get Started  2'!$E27,'Get Started  2'!$G109&lt;&gt;0),IF(BM4&lt;'Get Started  2'!$H109,0,OFFSET(BM37,0,-1*'Get Started  2'!$H109)*'Get Started  2'!$E42*'Get Started  2'!$G109),0)</f>
        <v>0</v>
      </c>
      <c r="BN206" s="29">
        <f ca="1">IF(AND('Get Started  2'!$H112&lt;='Get Started  2'!$E27,'Get Started  2'!$G112&lt;&gt;0),IF(AND(BN4&lt;'Get Started  2'!$H112,'Get Started  2'!$H112&lt;='Get Started  2'!$E27),0,OFFSET(BN37,0,-1*'Get Started  2'!$H112)*'Get Started  2'!$H42),0)+IF(AND('Get Started  2'!$H111&lt;='Get Started  2'!$E27,'Get Started  2'!$G111&lt;&gt;0),IF(BN4&lt;'Get Started  2'!$H111,0,OFFSET(BN37,0,-1*'Get Started  2'!$H111)*'Get Started  2'!$G42),0)+IF(AND('Get Started  2'!$H110&lt;='Get Started  2'!$E27,'Get Started  2'!$G110&lt;&gt;0),IF(BN4&lt;'Get Started  2'!$H110,0,OFFSET(BN37,0,-1*'Get Started  2'!$H110)*'Get Started  2'!$F42),0)+IF(AND('Get Started  2'!$H109&lt;='Get Started  2'!$E27,'Get Started  2'!$G109&lt;&gt;0),IF(BN4&lt;'Get Started  2'!$H109,0,OFFSET(BN37,0,-1*'Get Started  2'!$H109)*'Get Started  2'!$E42*'Get Started  2'!$G109),0)</f>
        <v>0</v>
      </c>
      <c r="BO206" s="29">
        <f ca="1">IF(AND('Get Started  2'!$H112&lt;='Get Started  2'!$E27,'Get Started  2'!$G112&lt;&gt;0),IF(AND(BO4&lt;'Get Started  2'!$H112,'Get Started  2'!$H112&lt;='Get Started  2'!$E27),0,OFFSET(BO37,0,-1*'Get Started  2'!$H112)*'Get Started  2'!$H42),0)+IF(AND('Get Started  2'!$H111&lt;='Get Started  2'!$E27,'Get Started  2'!$G111&lt;&gt;0),IF(BO4&lt;'Get Started  2'!$H111,0,OFFSET(BO37,0,-1*'Get Started  2'!$H111)*'Get Started  2'!$G42),0)+IF(AND('Get Started  2'!$H110&lt;='Get Started  2'!$E27,'Get Started  2'!$G110&lt;&gt;0),IF(BO4&lt;'Get Started  2'!$H110,0,OFFSET(BO37,0,-1*'Get Started  2'!$H110)*'Get Started  2'!$F42),0)+IF(AND('Get Started  2'!$H109&lt;='Get Started  2'!$E27,'Get Started  2'!$G109&lt;&gt;0),IF(BO4&lt;'Get Started  2'!$H109,0,OFFSET(BO37,0,-1*'Get Started  2'!$H109)*'Get Started  2'!$E42*'Get Started  2'!$G109),0)</f>
        <v>0</v>
      </c>
      <c r="BP206" s="29">
        <f ca="1">IF(AND('Get Started  2'!$H112&lt;='Get Started  2'!$E27,'Get Started  2'!$G112&lt;&gt;0),IF(AND(BP4&lt;'Get Started  2'!$H112,'Get Started  2'!$H112&lt;='Get Started  2'!$E27),0,OFFSET(BP37,0,-1*'Get Started  2'!$H112)*'Get Started  2'!$H42),0)+IF(AND('Get Started  2'!$H111&lt;='Get Started  2'!$E27,'Get Started  2'!$G111&lt;&gt;0),IF(BP4&lt;'Get Started  2'!$H111,0,OFFSET(BP37,0,-1*'Get Started  2'!$H111)*'Get Started  2'!$G42),0)+IF(AND('Get Started  2'!$H110&lt;='Get Started  2'!$E27,'Get Started  2'!$G110&lt;&gt;0),IF(BP4&lt;'Get Started  2'!$H110,0,OFFSET(BP37,0,-1*'Get Started  2'!$H110)*'Get Started  2'!$F42),0)+IF(AND('Get Started  2'!$H109&lt;='Get Started  2'!$E27,'Get Started  2'!$G109&lt;&gt;0),IF(BP4&lt;'Get Started  2'!$H109,0,OFFSET(BP37,0,-1*'Get Started  2'!$H109)*'Get Started  2'!$E42*'Get Started  2'!$G109),0)</f>
        <v>0</v>
      </c>
      <c r="BQ206" s="29">
        <f ca="1">IF(AND('Get Started  2'!$H112&lt;='Get Started  2'!$E27,'Get Started  2'!$G112&lt;&gt;0),IF(AND(BQ4&lt;'Get Started  2'!$H112,'Get Started  2'!$H112&lt;='Get Started  2'!$E27),0,OFFSET(BQ37,0,-1*'Get Started  2'!$H112)*'Get Started  2'!$H42),0)+IF(AND('Get Started  2'!$H111&lt;='Get Started  2'!$E27,'Get Started  2'!$G111&lt;&gt;0),IF(BQ4&lt;'Get Started  2'!$H111,0,OFFSET(BQ37,0,-1*'Get Started  2'!$H111)*'Get Started  2'!$G42),0)+IF(AND('Get Started  2'!$H110&lt;='Get Started  2'!$E27,'Get Started  2'!$G110&lt;&gt;0),IF(BQ4&lt;'Get Started  2'!$H110,0,OFFSET(BQ37,0,-1*'Get Started  2'!$H110)*'Get Started  2'!$F42),0)+IF(AND('Get Started  2'!$H109&lt;='Get Started  2'!$E27,'Get Started  2'!$G109&lt;&gt;0),IF(BQ4&lt;'Get Started  2'!$H109,0,OFFSET(BQ37,0,-1*'Get Started  2'!$H109)*'Get Started  2'!$E42*'Get Started  2'!$G109),0)</f>
        <v>0</v>
      </c>
      <c r="BR206" s="29">
        <f ca="1">IF(AND('Get Started  2'!$H112&lt;='Get Started  2'!$E27,'Get Started  2'!$G112&lt;&gt;0),IF(AND(BR4&lt;'Get Started  2'!$H112,'Get Started  2'!$H112&lt;='Get Started  2'!$E27),0,OFFSET(BR37,0,-1*'Get Started  2'!$H112)*'Get Started  2'!$H42),0)+IF(AND('Get Started  2'!$H111&lt;='Get Started  2'!$E27,'Get Started  2'!$G111&lt;&gt;0),IF(BR4&lt;'Get Started  2'!$H111,0,OFFSET(BR37,0,-1*'Get Started  2'!$H111)*'Get Started  2'!$G42),0)+IF(AND('Get Started  2'!$H110&lt;='Get Started  2'!$E27,'Get Started  2'!$G110&lt;&gt;0),IF(BR4&lt;'Get Started  2'!$H110,0,OFFSET(BR37,0,-1*'Get Started  2'!$H110)*'Get Started  2'!$F42),0)+IF(AND('Get Started  2'!$H109&lt;='Get Started  2'!$E27,'Get Started  2'!$G109&lt;&gt;0),IF(BR4&lt;'Get Started  2'!$H109,0,OFFSET(BR37,0,-1*'Get Started  2'!$H109)*'Get Started  2'!$E42*'Get Started  2'!$G109),0)</f>
        <v>0</v>
      </c>
      <c r="BS206" s="29">
        <f ca="1">IF(AND('Get Started  2'!$H112&lt;='Get Started  2'!$E27,'Get Started  2'!$G112&lt;&gt;0),IF(AND(BS4&lt;'Get Started  2'!$H112,'Get Started  2'!$H112&lt;='Get Started  2'!$E27),0,OFFSET(BS37,0,-1*'Get Started  2'!$H112)*'Get Started  2'!$H42),0)+IF(AND('Get Started  2'!$H111&lt;='Get Started  2'!$E27,'Get Started  2'!$G111&lt;&gt;0),IF(BS4&lt;'Get Started  2'!$H111,0,OFFSET(BS37,0,-1*'Get Started  2'!$H111)*'Get Started  2'!$G42),0)+IF(AND('Get Started  2'!$H110&lt;='Get Started  2'!$E27,'Get Started  2'!$G110&lt;&gt;0),IF(BS4&lt;'Get Started  2'!$H110,0,OFFSET(BS37,0,-1*'Get Started  2'!$H110)*'Get Started  2'!$F42),0)+IF(AND('Get Started  2'!$H109&lt;='Get Started  2'!$E27,'Get Started  2'!$G109&lt;&gt;0),IF(BS4&lt;'Get Started  2'!$H109,0,OFFSET(BS37,0,-1*'Get Started  2'!$H109)*'Get Started  2'!$E42*'Get Started  2'!$G109),0)</f>
        <v>0</v>
      </c>
      <c r="BT206" s="29">
        <f ca="1">IF(AND('Get Started  2'!$H112&lt;='Get Started  2'!$E27,'Get Started  2'!$G112&lt;&gt;0),IF(AND(BT4&lt;'Get Started  2'!$H112,'Get Started  2'!$H112&lt;='Get Started  2'!$E27),0,OFFSET(BT37,0,-1*'Get Started  2'!$H112)*'Get Started  2'!$H42),0)+IF(AND('Get Started  2'!$H111&lt;='Get Started  2'!$E27,'Get Started  2'!$G111&lt;&gt;0),IF(BT4&lt;'Get Started  2'!$H111,0,OFFSET(BT37,0,-1*'Get Started  2'!$H111)*'Get Started  2'!$G42),0)+IF(AND('Get Started  2'!$H110&lt;='Get Started  2'!$E27,'Get Started  2'!$G110&lt;&gt;0),IF(BT4&lt;'Get Started  2'!$H110,0,OFFSET(BT37,0,-1*'Get Started  2'!$H110)*'Get Started  2'!$F42),0)+IF(AND('Get Started  2'!$H109&lt;='Get Started  2'!$E27,'Get Started  2'!$G109&lt;&gt;0),IF(BT4&lt;'Get Started  2'!$H109,0,OFFSET(BT37,0,-1*'Get Started  2'!$H109)*'Get Started  2'!$E42*'Get Started  2'!$G109),0)</f>
        <v>0</v>
      </c>
      <c r="BU206" s="29">
        <f ca="1">IF(AND('Get Started  2'!$H112&lt;='Get Started  2'!$E27,'Get Started  2'!$G112&lt;&gt;0),IF(AND(BU4&lt;'Get Started  2'!$H112,'Get Started  2'!$H112&lt;='Get Started  2'!$E27),0,OFFSET(BU37,0,-1*'Get Started  2'!$H112)*'Get Started  2'!$H42),0)+IF(AND('Get Started  2'!$H111&lt;='Get Started  2'!$E27,'Get Started  2'!$G111&lt;&gt;0),IF(BU4&lt;'Get Started  2'!$H111,0,OFFSET(BU37,0,-1*'Get Started  2'!$H111)*'Get Started  2'!$G42),0)+IF(AND('Get Started  2'!$H110&lt;='Get Started  2'!$E27,'Get Started  2'!$G110&lt;&gt;0),IF(BU4&lt;'Get Started  2'!$H110,0,OFFSET(BU37,0,-1*'Get Started  2'!$H110)*'Get Started  2'!$F42),0)+IF(AND('Get Started  2'!$H109&lt;='Get Started  2'!$E27,'Get Started  2'!$G109&lt;&gt;0),IF(BU4&lt;'Get Started  2'!$H109,0,OFFSET(BU37,0,-1*'Get Started  2'!$H109)*'Get Started  2'!$E42*'Get Started  2'!$G109),0)</f>
        <v>0</v>
      </c>
      <c r="BV206" s="29">
        <f ca="1">IF(AND('Get Started  2'!$H112&lt;='Get Started  2'!$E27,'Get Started  2'!$G112&lt;&gt;0),IF(AND(BV4&lt;'Get Started  2'!$H112,'Get Started  2'!$H112&lt;='Get Started  2'!$E27),0,OFFSET(BV37,0,-1*'Get Started  2'!$H112)*'Get Started  2'!$H42),0)+IF(AND('Get Started  2'!$H111&lt;='Get Started  2'!$E27,'Get Started  2'!$G111&lt;&gt;0),IF(BV4&lt;'Get Started  2'!$H111,0,OFFSET(BV37,0,-1*'Get Started  2'!$H111)*'Get Started  2'!$G42),0)+IF(AND('Get Started  2'!$H110&lt;='Get Started  2'!$E27,'Get Started  2'!$G110&lt;&gt;0),IF(BV4&lt;'Get Started  2'!$H110,0,OFFSET(BV37,0,-1*'Get Started  2'!$H110)*'Get Started  2'!$F42),0)+IF(AND('Get Started  2'!$H109&lt;='Get Started  2'!$E27,'Get Started  2'!$G109&lt;&gt;0),IF(BV4&lt;'Get Started  2'!$H109,0,OFFSET(BV37,0,-1*'Get Started  2'!$H109)*'Get Started  2'!$E42*'Get Started  2'!$G109),0)</f>
        <v>0</v>
      </c>
      <c r="BW206" s="29">
        <f ca="1">IF(AND('Get Started  2'!$H112&lt;='Get Started  2'!$E27,'Get Started  2'!$G112&lt;&gt;0),IF(AND(BW4&lt;'Get Started  2'!$H112,'Get Started  2'!$H112&lt;='Get Started  2'!$E27),0,OFFSET(BW37,0,-1*'Get Started  2'!$H112)*'Get Started  2'!$H42),0)+IF(AND('Get Started  2'!$H111&lt;='Get Started  2'!$E27,'Get Started  2'!$G111&lt;&gt;0),IF(BW4&lt;'Get Started  2'!$H111,0,OFFSET(BW37,0,-1*'Get Started  2'!$H111)*'Get Started  2'!$G42),0)+IF(AND('Get Started  2'!$H110&lt;='Get Started  2'!$E27,'Get Started  2'!$G110&lt;&gt;0),IF(BW4&lt;'Get Started  2'!$H110,0,OFFSET(BW37,0,-1*'Get Started  2'!$H110)*'Get Started  2'!$F42),0)+IF(AND('Get Started  2'!$H109&lt;='Get Started  2'!$E27,'Get Started  2'!$G109&lt;&gt;0),IF(BW4&lt;'Get Started  2'!$H109,0,OFFSET(BW37,0,-1*'Get Started  2'!$H109)*'Get Started  2'!$E42*'Get Started  2'!$G109),0)</f>
        <v>0</v>
      </c>
      <c r="BX206" s="29">
        <f ca="1">IF(AND('Get Started  2'!$H112&lt;='Get Started  2'!$E27,'Get Started  2'!$G112&lt;&gt;0),IF(AND(BX4&lt;'Get Started  2'!$H112,'Get Started  2'!$H112&lt;='Get Started  2'!$E27),0,OFFSET(BX37,0,-1*'Get Started  2'!$H112)*'Get Started  2'!$H42),0)+IF(AND('Get Started  2'!$H111&lt;='Get Started  2'!$E27,'Get Started  2'!$G111&lt;&gt;0),IF(BX4&lt;'Get Started  2'!$H111,0,OFFSET(BX37,0,-1*'Get Started  2'!$H111)*'Get Started  2'!$G42),0)+IF(AND('Get Started  2'!$H110&lt;='Get Started  2'!$E27,'Get Started  2'!$G110&lt;&gt;0),IF(BX4&lt;'Get Started  2'!$H110,0,OFFSET(BX37,0,-1*'Get Started  2'!$H110)*'Get Started  2'!$F42),0)+IF(AND('Get Started  2'!$H109&lt;='Get Started  2'!$E27,'Get Started  2'!$G109&lt;&gt;0),IF(BX4&lt;'Get Started  2'!$H109,0,OFFSET(BX37,0,-1*'Get Started  2'!$H109)*'Get Started  2'!$E42*'Get Started  2'!$G109),0)</f>
        <v>0</v>
      </c>
      <c r="BY206" s="29">
        <f ca="1">IF(AND('Get Started  2'!$H112&lt;='Get Started  2'!$E27,'Get Started  2'!$G112&lt;&gt;0),IF(AND(BY4&lt;'Get Started  2'!$H112,'Get Started  2'!$H112&lt;='Get Started  2'!$E27),0,OFFSET(BY37,0,-1*'Get Started  2'!$H112)*'Get Started  2'!$H42),0)+IF(AND('Get Started  2'!$H111&lt;='Get Started  2'!$E27,'Get Started  2'!$G111&lt;&gt;0),IF(BY4&lt;'Get Started  2'!$H111,0,OFFSET(BY37,0,-1*'Get Started  2'!$H111)*'Get Started  2'!$G42),0)+IF(AND('Get Started  2'!$H110&lt;='Get Started  2'!$E27,'Get Started  2'!$G110&lt;&gt;0),IF(BY4&lt;'Get Started  2'!$H110,0,OFFSET(BY37,0,-1*'Get Started  2'!$H110)*'Get Started  2'!$F42),0)+IF(AND('Get Started  2'!$H109&lt;='Get Started  2'!$E27,'Get Started  2'!$G109&lt;&gt;0),IF(BY4&lt;'Get Started  2'!$H109,0,OFFSET(BY37,0,-1*'Get Started  2'!$H109)*'Get Started  2'!$E42*'Get Started  2'!$G109),0)</f>
        <v>0</v>
      </c>
      <c r="BZ206" s="29">
        <f ca="1">IF(AND('Get Started  2'!$H112&lt;='Get Started  2'!$E27,'Get Started  2'!$G112&lt;&gt;0),IF(AND(BZ4&lt;'Get Started  2'!$H112,'Get Started  2'!$H112&lt;='Get Started  2'!$E27),0,OFFSET(BZ37,0,-1*'Get Started  2'!$H112)*'Get Started  2'!$H42),0)+IF(AND('Get Started  2'!$H111&lt;='Get Started  2'!$E27,'Get Started  2'!$G111&lt;&gt;0),IF(BZ4&lt;'Get Started  2'!$H111,0,OFFSET(BZ37,0,-1*'Get Started  2'!$H111)*'Get Started  2'!$G42),0)+IF(AND('Get Started  2'!$H110&lt;='Get Started  2'!$E27,'Get Started  2'!$G110&lt;&gt;0),IF(BZ4&lt;'Get Started  2'!$H110,0,OFFSET(BZ37,0,-1*'Get Started  2'!$H110)*'Get Started  2'!$F42),0)+IF(AND('Get Started  2'!$H109&lt;='Get Started  2'!$E27,'Get Started  2'!$G109&lt;&gt;0),IF(BZ4&lt;'Get Started  2'!$H109,0,OFFSET(BZ37,0,-1*'Get Started  2'!$H109)*'Get Started  2'!$E42*'Get Started  2'!$G109),0)</f>
        <v>0</v>
      </c>
      <c r="CA206" s="29">
        <f ca="1">IF(AND('Get Started  2'!$H112&lt;='Get Started  2'!$E27,'Get Started  2'!$G112&lt;&gt;0),IF(AND(CA4&lt;'Get Started  2'!$H112,'Get Started  2'!$H112&lt;='Get Started  2'!$E27),0,OFFSET(CA37,0,-1*'Get Started  2'!$H112)*'Get Started  2'!$H42),0)+IF(AND('Get Started  2'!$H111&lt;='Get Started  2'!$E27,'Get Started  2'!$G111&lt;&gt;0),IF(CA4&lt;'Get Started  2'!$H111,0,OFFSET(CA37,0,-1*'Get Started  2'!$H111)*'Get Started  2'!$G42),0)+IF(AND('Get Started  2'!$H110&lt;='Get Started  2'!$E27,'Get Started  2'!$G110&lt;&gt;0),IF(CA4&lt;'Get Started  2'!$H110,0,OFFSET(CA37,0,-1*'Get Started  2'!$H110)*'Get Started  2'!$F42),0)+IF(AND('Get Started  2'!$H109&lt;='Get Started  2'!$E27,'Get Started  2'!$G109&lt;&gt;0),IF(CA4&lt;'Get Started  2'!$H109,0,OFFSET(CA37,0,-1*'Get Started  2'!$H109)*'Get Started  2'!$E42*'Get Started  2'!$G109),0)</f>
        <v>0</v>
      </c>
      <c r="CB206" s="29">
        <f ca="1">IF(AND('Get Started  2'!$H112&lt;='Get Started  2'!$E27,'Get Started  2'!$G112&lt;&gt;0),IF(AND(CB4&lt;'Get Started  2'!$H112,'Get Started  2'!$H112&lt;='Get Started  2'!$E27),0,OFFSET(CB37,0,-1*'Get Started  2'!$H112)*'Get Started  2'!$H42),0)+IF(AND('Get Started  2'!$H111&lt;='Get Started  2'!$E27,'Get Started  2'!$G111&lt;&gt;0),IF(CB4&lt;'Get Started  2'!$H111,0,OFFSET(CB37,0,-1*'Get Started  2'!$H111)*'Get Started  2'!$G42),0)+IF(AND('Get Started  2'!$H110&lt;='Get Started  2'!$E27,'Get Started  2'!$G110&lt;&gt;0),IF(CB4&lt;'Get Started  2'!$H110,0,OFFSET(CB37,0,-1*'Get Started  2'!$H110)*'Get Started  2'!$F42),0)+IF(AND('Get Started  2'!$H109&lt;='Get Started  2'!$E27,'Get Started  2'!$G109&lt;&gt;0),IF(CB4&lt;'Get Started  2'!$H109,0,OFFSET(CB37,0,-1*'Get Started  2'!$H109)*'Get Started  2'!$E42*'Get Started  2'!$G109),0)</f>
        <v>0</v>
      </c>
      <c r="CC206" s="29">
        <f ca="1">IF(AND('Get Started  2'!$H112&lt;='Get Started  2'!$E27,'Get Started  2'!$G112&lt;&gt;0),IF(AND(CC4&lt;'Get Started  2'!$H112,'Get Started  2'!$H112&lt;='Get Started  2'!$E27),0,OFFSET(CC37,0,-1*'Get Started  2'!$H112)*'Get Started  2'!$H42),0)+IF(AND('Get Started  2'!$H111&lt;='Get Started  2'!$E27,'Get Started  2'!$G111&lt;&gt;0),IF(CC4&lt;'Get Started  2'!$H111,0,OFFSET(CC37,0,-1*'Get Started  2'!$H111)*'Get Started  2'!$G42),0)+IF(AND('Get Started  2'!$H110&lt;='Get Started  2'!$E27,'Get Started  2'!$G110&lt;&gt;0),IF(CC4&lt;'Get Started  2'!$H110,0,OFFSET(CC37,0,-1*'Get Started  2'!$H110)*'Get Started  2'!$F42),0)+IF(AND('Get Started  2'!$H109&lt;='Get Started  2'!$E27,'Get Started  2'!$G109&lt;&gt;0),IF(CC4&lt;'Get Started  2'!$H109,0,OFFSET(CC37,0,-1*'Get Started  2'!$H109)*'Get Started  2'!$E42*'Get Started  2'!$G109),0)</f>
        <v>0</v>
      </c>
      <c r="CD206" s="29">
        <f ca="1">IF(AND('Get Started  2'!$H112&lt;='Get Started  2'!$E27,'Get Started  2'!$G112&lt;&gt;0),IF(AND(CD4&lt;'Get Started  2'!$H112,'Get Started  2'!$H112&lt;='Get Started  2'!$E27),0,OFFSET(CD37,0,-1*'Get Started  2'!$H112)*'Get Started  2'!$H42),0)+IF(AND('Get Started  2'!$H111&lt;='Get Started  2'!$E27,'Get Started  2'!$G111&lt;&gt;0),IF(CD4&lt;'Get Started  2'!$H111,0,OFFSET(CD37,0,-1*'Get Started  2'!$H111)*'Get Started  2'!$G42),0)+IF(AND('Get Started  2'!$H110&lt;='Get Started  2'!$E27,'Get Started  2'!$G110&lt;&gt;0),IF(CD4&lt;'Get Started  2'!$H110,0,OFFSET(CD37,0,-1*'Get Started  2'!$H110)*'Get Started  2'!$F42),0)+IF(AND('Get Started  2'!$H109&lt;='Get Started  2'!$E27,'Get Started  2'!$G109&lt;&gt;0),IF(CD4&lt;'Get Started  2'!$H109,0,OFFSET(CD37,0,-1*'Get Started  2'!$H109)*'Get Started  2'!$E42*'Get Started  2'!$G109),0)</f>
        <v>0</v>
      </c>
      <c r="CE206" s="29">
        <f ca="1">IF(AND('Get Started  2'!$H112&lt;='Get Started  2'!$E27,'Get Started  2'!$G112&lt;&gt;0),IF(AND(CE4&lt;'Get Started  2'!$H112,'Get Started  2'!$H112&lt;='Get Started  2'!$E27),0,OFFSET(CE37,0,-1*'Get Started  2'!$H112)*'Get Started  2'!$H42),0)+IF(AND('Get Started  2'!$H111&lt;='Get Started  2'!$E27,'Get Started  2'!$G111&lt;&gt;0),IF(CE4&lt;'Get Started  2'!$H111,0,OFFSET(CE37,0,-1*'Get Started  2'!$H111)*'Get Started  2'!$G42),0)+IF(AND('Get Started  2'!$H110&lt;='Get Started  2'!$E27,'Get Started  2'!$G110&lt;&gt;0),IF(CE4&lt;'Get Started  2'!$H110,0,OFFSET(CE37,0,-1*'Get Started  2'!$H110)*'Get Started  2'!$F42),0)+IF(AND('Get Started  2'!$H109&lt;='Get Started  2'!$E27,'Get Started  2'!$G109&lt;&gt;0),IF(CE4&lt;'Get Started  2'!$H109,0,OFFSET(CE37,0,-1*'Get Started  2'!$H109)*'Get Started  2'!$E42*'Get Started  2'!$G109),0)</f>
        <v>0</v>
      </c>
      <c r="CF206" s="29">
        <f ca="1">IF(AND('Get Started  2'!$H112&lt;='Get Started  2'!$E27,'Get Started  2'!$G112&lt;&gt;0),IF(AND(CF4&lt;'Get Started  2'!$H112,'Get Started  2'!$H112&lt;='Get Started  2'!$E27),0,OFFSET(CF37,0,-1*'Get Started  2'!$H112)*'Get Started  2'!$H42),0)+IF(AND('Get Started  2'!$H111&lt;='Get Started  2'!$E27,'Get Started  2'!$G111&lt;&gt;0),IF(CF4&lt;'Get Started  2'!$H111,0,OFFSET(CF37,0,-1*'Get Started  2'!$H111)*'Get Started  2'!$G42),0)+IF(AND('Get Started  2'!$H110&lt;='Get Started  2'!$E27,'Get Started  2'!$G110&lt;&gt;0),IF(CF4&lt;'Get Started  2'!$H110,0,OFFSET(CF37,0,-1*'Get Started  2'!$H110)*'Get Started  2'!$F42),0)+IF(AND('Get Started  2'!$H109&lt;='Get Started  2'!$E27,'Get Started  2'!$G109&lt;&gt;0),IF(CF4&lt;'Get Started  2'!$H109,0,OFFSET(CF37,0,-1*'Get Started  2'!$H109)*'Get Started  2'!$E42*'Get Started  2'!$G109),0)</f>
        <v>0</v>
      </c>
      <c r="CG206" s="29">
        <f ca="1">IF(AND('Get Started  2'!$H112&lt;='Get Started  2'!$E27,'Get Started  2'!$G112&lt;&gt;0),IF(AND(CG4&lt;'Get Started  2'!$H112,'Get Started  2'!$H112&lt;='Get Started  2'!$E27),0,OFFSET(CG37,0,-1*'Get Started  2'!$H112)*'Get Started  2'!$H42),0)+IF(AND('Get Started  2'!$H111&lt;='Get Started  2'!$E27,'Get Started  2'!$G111&lt;&gt;0),IF(CG4&lt;'Get Started  2'!$H111,0,OFFSET(CG37,0,-1*'Get Started  2'!$H111)*'Get Started  2'!$G42),0)+IF(AND('Get Started  2'!$H110&lt;='Get Started  2'!$E27,'Get Started  2'!$G110&lt;&gt;0),IF(CG4&lt;'Get Started  2'!$H110,0,OFFSET(CG37,0,-1*'Get Started  2'!$H110)*'Get Started  2'!$F42),0)+IF(AND('Get Started  2'!$H109&lt;='Get Started  2'!$E27,'Get Started  2'!$G109&lt;&gt;0),IF(CG4&lt;'Get Started  2'!$H109,0,OFFSET(CG37,0,-1*'Get Started  2'!$H109)*'Get Started  2'!$E42*'Get Started  2'!$G109),0)</f>
        <v>0</v>
      </c>
      <c r="CH206" s="29">
        <f ca="1">IF(AND('Get Started  2'!$H112&lt;='Get Started  2'!$E27,'Get Started  2'!$G112&lt;&gt;0),IF(AND(CH4&lt;'Get Started  2'!$H112,'Get Started  2'!$H112&lt;='Get Started  2'!$E27),0,OFFSET(CH37,0,-1*'Get Started  2'!$H112)*'Get Started  2'!$H42),0)+IF(AND('Get Started  2'!$H111&lt;='Get Started  2'!$E27,'Get Started  2'!$G111&lt;&gt;0),IF(CH4&lt;'Get Started  2'!$H111,0,OFFSET(CH37,0,-1*'Get Started  2'!$H111)*'Get Started  2'!$G42),0)+IF(AND('Get Started  2'!$H110&lt;='Get Started  2'!$E27,'Get Started  2'!$G110&lt;&gt;0),IF(CH4&lt;'Get Started  2'!$H110,0,OFFSET(CH37,0,-1*'Get Started  2'!$H110)*'Get Started  2'!$F42),0)+IF(AND('Get Started  2'!$H109&lt;='Get Started  2'!$E27,'Get Started  2'!$G109&lt;&gt;0),IF(CH4&lt;'Get Started  2'!$H109,0,OFFSET(CH37,0,-1*'Get Started  2'!$H109)*'Get Started  2'!$E42*'Get Started  2'!$G109),0)</f>
        <v>0</v>
      </c>
    </row>
    <row r="207" spans="2:86" ht="13" outlineLevel="1">
      <c r="B207" s="13" t="s">
        <v>317</v>
      </c>
      <c r="C207" s="15"/>
      <c r="D207" s="15" t="s">
        <v>238</v>
      </c>
      <c r="E207" s="29">
        <f t="shared" ca="1" si="166"/>
        <v>1042708.3333333333</v>
      </c>
      <c r="F207" s="86"/>
      <c r="G207" s="29">
        <f ca="1">IF('Get Started  2'!$E28="invested capital",G206,IF('Get Started  2'!$E28="invested capital plus cost basis",G205,G204))*G11</f>
        <v>0</v>
      </c>
      <c r="H207" s="29">
        <f ca="1">IF('Get Started  2'!$E28="invested capital",H206,IF('Get Started  2'!$E28="invested capital plus cost basis",H205,H204))*H11</f>
        <v>0</v>
      </c>
      <c r="I207" s="29">
        <f ca="1">IF('Get Started  2'!$E28="invested capital",I206,IF('Get Started  2'!$E28="invested capital plus cost basis",I205,I204))*I11</f>
        <v>0</v>
      </c>
      <c r="J207" s="29">
        <f ca="1">IF('Get Started  2'!$E28="invested capital",J206,IF('Get Started  2'!$E28="invested capital plus cost basis",J205,J204))*J11</f>
        <v>0</v>
      </c>
      <c r="K207" s="29">
        <f ca="1">IF('Get Started  2'!$E28="invested capital",K206,IF('Get Started  2'!$E28="invested capital plus cost basis",K205,K204))*K11</f>
        <v>0</v>
      </c>
      <c r="L207" s="29">
        <f ca="1">IF('Get Started  2'!$E28="invested capital",L206,IF('Get Started  2'!$E28="invested capital plus cost basis",L205,L204))*L11</f>
        <v>0</v>
      </c>
      <c r="M207" s="29">
        <f ca="1">IF('Get Started  2'!$E28="invested capital",M206,IF('Get Started  2'!$E28="invested capital plus cost basis",M205,M204))*M11</f>
        <v>0</v>
      </c>
      <c r="N207" s="29">
        <f ca="1">IF('Get Started  2'!$E28="invested capital",N206,IF('Get Started  2'!$E28="invested capital plus cost basis",N205,N204))*N11</f>
        <v>0</v>
      </c>
      <c r="O207" s="29">
        <f ca="1">IF('Get Started  2'!$E28="invested capital",O206,IF('Get Started  2'!$E28="invested capital plus cost basis",O205,O204))*O11</f>
        <v>0</v>
      </c>
      <c r="P207" s="29">
        <f ca="1">IF('Get Started  2'!$E28="invested capital",P206,IF('Get Started  2'!$E28="invested capital plus cost basis",P205,P204))*P11</f>
        <v>0</v>
      </c>
      <c r="Q207" s="29">
        <f ca="1">IF('Get Started  2'!$E28="invested capital",Q206,IF('Get Started  2'!$E28="invested capital plus cost basis",Q205,Q204))*Q11</f>
        <v>0</v>
      </c>
      <c r="R207" s="29">
        <f ca="1">IF('Get Started  2'!$E28="invested capital",R206,IF('Get Started  2'!$E28="invested capital plus cost basis",R205,R204))*R11</f>
        <v>0</v>
      </c>
      <c r="S207" s="29">
        <f ca="1">IF('Get Started  2'!$E28="invested capital",S206,IF('Get Started  2'!$E28="invested capital plus cost basis",S205,S204))*S11</f>
        <v>260677.08333333331</v>
      </c>
      <c r="T207" s="29">
        <f ca="1">IF('Get Started  2'!$E28="invested capital",T206,IF('Get Started  2'!$E28="invested capital plus cost basis",T205,T204))*T11</f>
        <v>260677.08333333331</v>
      </c>
      <c r="U207" s="29">
        <f ca="1">IF('Get Started  2'!$E28="invested capital",U206,IF('Get Started  2'!$E28="invested capital plus cost basis",U205,U204))*U11</f>
        <v>260677.08333333331</v>
      </c>
      <c r="V207" s="29">
        <f ca="1">IF('Get Started  2'!$E28="invested capital",V206,IF('Get Started  2'!$E28="invested capital plus cost basis",V205,V204))*V11</f>
        <v>260677.08333333331</v>
      </c>
      <c r="W207" s="29">
        <f ca="1">IF('Get Started  2'!$E28="invested capital",W206,IF('Get Started  2'!$E28="invested capital plus cost basis",W205,W204))*W11</f>
        <v>0</v>
      </c>
      <c r="X207" s="29">
        <f ca="1">IF('Get Started  2'!$E28="invested capital",X206,IF('Get Started  2'!$E28="invested capital plus cost basis",X205,X204))*X11</f>
        <v>0</v>
      </c>
      <c r="Y207" s="29">
        <f ca="1">IF('Get Started  2'!$E28="invested capital",Y206,IF('Get Started  2'!$E28="invested capital plus cost basis",Y205,Y204))*Y11</f>
        <v>0</v>
      </c>
      <c r="Z207" s="29">
        <f ca="1">IF('Get Started  2'!$E28="invested capital",Z206,IF('Get Started  2'!$E28="invested capital plus cost basis",Z205,Z204))*Z11</f>
        <v>0</v>
      </c>
      <c r="AA207" s="29">
        <f ca="1">IF('Get Started  2'!$E28="invested capital",AA206,IF('Get Started  2'!$E28="invested capital plus cost basis",AA205,AA204))*AA11</f>
        <v>0</v>
      </c>
      <c r="AB207" s="29">
        <f ca="1">IF('Get Started  2'!$E28="invested capital",AB206,IF('Get Started  2'!$E28="invested capital plus cost basis",AB205,AB204))*AB11</f>
        <v>0</v>
      </c>
      <c r="AC207" s="29">
        <f ca="1">IF('Get Started  2'!$E28="invested capital",AC206,IF('Get Started  2'!$E28="invested capital plus cost basis",AC205,AC204))*AC11</f>
        <v>0</v>
      </c>
      <c r="AD207" s="29">
        <f ca="1">IF('Get Started  2'!$E28="invested capital",AD206,IF('Get Started  2'!$E28="invested capital plus cost basis",AD205,AD204))*AD11</f>
        <v>0</v>
      </c>
      <c r="AE207" s="29">
        <f ca="1">IF('Get Started  2'!$E28="invested capital",AE206,IF('Get Started  2'!$E28="invested capital plus cost basis",AE205,AE204))*AE11</f>
        <v>0</v>
      </c>
      <c r="AF207" s="29">
        <f ca="1">IF('Get Started  2'!$E28="invested capital",AF206,IF('Get Started  2'!$E28="invested capital plus cost basis",AF205,AF204))*AF11</f>
        <v>0</v>
      </c>
      <c r="AG207" s="29">
        <f ca="1">IF('Get Started  2'!$E28="invested capital",AG206,IF('Get Started  2'!$E28="invested capital plus cost basis",AG205,AG204))*AG11</f>
        <v>0</v>
      </c>
      <c r="AH207" s="29">
        <f ca="1">IF('Get Started  2'!$E28="invested capital",AH206,IF('Get Started  2'!$E28="invested capital plus cost basis",AH205,AH204))*AH11</f>
        <v>0</v>
      </c>
      <c r="AI207" s="29">
        <f ca="1">IF('Get Started  2'!$E28="invested capital",AI206,IF('Get Started  2'!$E28="invested capital plus cost basis",AI205,AI204))*AI11</f>
        <v>0</v>
      </c>
      <c r="AJ207" s="29">
        <f ca="1">IF('Get Started  2'!$E28="invested capital",AJ206,IF('Get Started  2'!$E28="invested capital plus cost basis",AJ205,AJ204))*AJ11</f>
        <v>0</v>
      </c>
      <c r="AK207" s="29">
        <f ca="1">IF('Get Started  2'!$E28="invested capital",AK206,IF('Get Started  2'!$E28="invested capital plus cost basis",AK205,AK204))*AK11</f>
        <v>0</v>
      </c>
      <c r="AL207" s="29">
        <f ca="1">IF('Get Started  2'!$E28="invested capital",AL206,IF('Get Started  2'!$E28="invested capital plus cost basis",AL205,AL204))*AL11</f>
        <v>0</v>
      </c>
      <c r="AM207" s="29">
        <f ca="1">IF('Get Started  2'!$E28="invested capital",AM206,IF('Get Started  2'!$E28="invested capital plus cost basis",AM205,AM204))*AM11</f>
        <v>0</v>
      </c>
      <c r="AN207" s="29">
        <f ca="1">IF('Get Started  2'!$E28="invested capital",AN206,IF('Get Started  2'!$E28="invested capital plus cost basis",AN205,AN204))*AN11</f>
        <v>0</v>
      </c>
      <c r="AO207" s="29">
        <f ca="1">IF('Get Started  2'!$E28="invested capital",AO206,IF('Get Started  2'!$E28="invested capital plus cost basis",AO205,AO204))*AO11</f>
        <v>0</v>
      </c>
      <c r="AP207" s="29">
        <f ca="1">IF('Get Started  2'!$E28="invested capital",AP206,IF('Get Started  2'!$E28="invested capital plus cost basis",AP205,AP204))*AP11</f>
        <v>0</v>
      </c>
      <c r="AQ207" s="29">
        <f ca="1">IF('Get Started  2'!$E28="invested capital",AQ206,IF('Get Started  2'!$E28="invested capital plus cost basis",AQ205,AQ204))*AQ11</f>
        <v>0</v>
      </c>
      <c r="AR207" s="29">
        <f ca="1">IF('Get Started  2'!$E28="invested capital",AR206,IF('Get Started  2'!$E28="invested capital plus cost basis",AR205,AR204))*AR11</f>
        <v>0</v>
      </c>
      <c r="AS207" s="29">
        <f ca="1">IF('Get Started  2'!$E28="invested capital",AS206,IF('Get Started  2'!$E28="invested capital plus cost basis",AS205,AS204))*AS11</f>
        <v>0</v>
      </c>
      <c r="AT207" s="29">
        <f ca="1">IF('Get Started  2'!$E28="invested capital",AT206,IF('Get Started  2'!$E28="invested capital plus cost basis",AT205,AT204))*AT11</f>
        <v>0</v>
      </c>
      <c r="AU207" s="29">
        <f ca="1">IF('Get Started  2'!$E28="invested capital",AU206,IF('Get Started  2'!$E28="invested capital plus cost basis",AU205,AU204))*AU11</f>
        <v>0</v>
      </c>
      <c r="AV207" s="29">
        <f ca="1">IF('Get Started  2'!$E28="invested capital",AV206,IF('Get Started  2'!$E28="invested capital plus cost basis",AV205,AV204))*AV11</f>
        <v>0</v>
      </c>
      <c r="AW207" s="29">
        <f ca="1">IF('Get Started  2'!$E28="invested capital",AW206,IF('Get Started  2'!$E28="invested capital plus cost basis",AW205,AW204))*AW11</f>
        <v>0</v>
      </c>
      <c r="AX207" s="29">
        <f ca="1">IF('Get Started  2'!$E28="invested capital",AX206,IF('Get Started  2'!$E28="invested capital plus cost basis",AX205,AX204))*AX11</f>
        <v>0</v>
      </c>
      <c r="AY207" s="29">
        <f ca="1">IF('Get Started  2'!$E28="invested capital",AY206,IF('Get Started  2'!$E28="invested capital plus cost basis",AY205,AY204))*AY11</f>
        <v>0</v>
      </c>
      <c r="AZ207" s="29">
        <f ca="1">IF('Get Started  2'!$E28="invested capital",AZ206,IF('Get Started  2'!$E28="invested capital plus cost basis",AZ205,AZ204))*AZ11</f>
        <v>0</v>
      </c>
      <c r="BA207" s="29">
        <f ca="1">IF('Get Started  2'!$E28="invested capital",BA206,IF('Get Started  2'!$E28="invested capital plus cost basis",BA205,BA204))*BA11</f>
        <v>0</v>
      </c>
      <c r="BB207" s="29">
        <f ca="1">IF('Get Started  2'!$E28="invested capital",BB206,IF('Get Started  2'!$E28="invested capital plus cost basis",BB205,BB204))*BB11</f>
        <v>0</v>
      </c>
      <c r="BC207" s="29">
        <f ca="1">IF('Get Started  2'!$E28="invested capital",BC206,IF('Get Started  2'!$E28="invested capital plus cost basis",BC205,BC204))*BC11</f>
        <v>0</v>
      </c>
      <c r="BD207" s="29">
        <f ca="1">IF('Get Started  2'!$E28="invested capital",BD206,IF('Get Started  2'!$E28="invested capital plus cost basis",BD205,BD204))*BD11</f>
        <v>0</v>
      </c>
      <c r="BE207" s="29">
        <f ca="1">IF('Get Started  2'!$E28="invested capital",BE206,IF('Get Started  2'!$E28="invested capital plus cost basis",BE205,BE204))*BE11</f>
        <v>0</v>
      </c>
      <c r="BF207" s="29">
        <f ca="1">IF('Get Started  2'!$E28="invested capital",BF206,IF('Get Started  2'!$E28="invested capital plus cost basis",BF205,BF204))*BF11</f>
        <v>0</v>
      </c>
      <c r="BG207" s="29">
        <f ca="1">IF('Get Started  2'!$E28="invested capital",BG206,IF('Get Started  2'!$E28="invested capital plus cost basis",BG205,BG204))*BG11</f>
        <v>0</v>
      </c>
      <c r="BH207" s="29">
        <f ca="1">IF('Get Started  2'!$E28="invested capital",BH206,IF('Get Started  2'!$E28="invested capital plus cost basis",BH205,BH204))*BH11</f>
        <v>0</v>
      </c>
      <c r="BI207" s="29">
        <f ca="1">IF('Get Started  2'!$E28="invested capital",BI206,IF('Get Started  2'!$E28="invested capital plus cost basis",BI205,BI204))*BI11</f>
        <v>0</v>
      </c>
      <c r="BJ207" s="29">
        <f ca="1">IF('Get Started  2'!$E28="invested capital",BJ206,IF('Get Started  2'!$E28="invested capital plus cost basis",BJ205,BJ204))*BJ11</f>
        <v>0</v>
      </c>
      <c r="BK207" s="29">
        <f ca="1">IF('Get Started  2'!$E28="invested capital",BK206,IF('Get Started  2'!$E28="invested capital plus cost basis",BK205,BK204))*BK11</f>
        <v>0</v>
      </c>
      <c r="BL207" s="29">
        <f ca="1">IF('Get Started  2'!$E28="invested capital",BL206,IF('Get Started  2'!$E28="invested capital plus cost basis",BL205,BL204))*BL11</f>
        <v>0</v>
      </c>
      <c r="BM207" s="29">
        <f ca="1">IF('Get Started  2'!$E28="invested capital",BM206,IF('Get Started  2'!$E28="invested capital plus cost basis",BM205,BM204))*BM11</f>
        <v>0</v>
      </c>
      <c r="BN207" s="29">
        <f ca="1">IF('Get Started  2'!$E28="invested capital",BN206,IF('Get Started  2'!$E28="invested capital plus cost basis",BN205,BN204))*BN11</f>
        <v>0</v>
      </c>
      <c r="BO207" s="29">
        <f ca="1">IF('Get Started  2'!$E28="invested capital",BO206,IF('Get Started  2'!$E28="invested capital plus cost basis",BO205,BO204))*BO11</f>
        <v>0</v>
      </c>
      <c r="BP207" s="29">
        <f ca="1">IF('Get Started  2'!$E28="invested capital",BP206,IF('Get Started  2'!$E28="invested capital plus cost basis",BP205,BP204))*BP11</f>
        <v>0</v>
      </c>
      <c r="BQ207" s="29">
        <f ca="1">IF('Get Started  2'!$E28="invested capital",BQ206,IF('Get Started  2'!$E28="invested capital plus cost basis",BQ205,BQ204))*BQ11</f>
        <v>0</v>
      </c>
      <c r="BR207" s="29">
        <f ca="1">IF('Get Started  2'!$E28="invested capital",BR206,IF('Get Started  2'!$E28="invested capital plus cost basis",BR205,BR204))*BR11</f>
        <v>0</v>
      </c>
      <c r="BS207" s="29">
        <f ca="1">IF('Get Started  2'!$E28="invested capital",BS206,IF('Get Started  2'!$E28="invested capital plus cost basis",BS205,BS204))*BS11</f>
        <v>0</v>
      </c>
      <c r="BT207" s="29">
        <f ca="1">IF('Get Started  2'!$E28="invested capital",BT206,IF('Get Started  2'!$E28="invested capital plus cost basis",BT205,BT204))*BT11</f>
        <v>0</v>
      </c>
      <c r="BU207" s="29">
        <f ca="1">IF('Get Started  2'!$E28="invested capital",BU206,IF('Get Started  2'!$E28="invested capital plus cost basis",BU205,BU204))*BU11</f>
        <v>0</v>
      </c>
      <c r="BV207" s="29">
        <f ca="1">IF('Get Started  2'!$E28="invested capital",BV206,IF('Get Started  2'!$E28="invested capital plus cost basis",BV205,BV204))*BV11</f>
        <v>0</v>
      </c>
      <c r="BW207" s="29">
        <f ca="1">IF('Get Started  2'!$E28="invested capital",BW206,IF('Get Started  2'!$E28="invested capital plus cost basis",BW205,BW204))*BW11</f>
        <v>0</v>
      </c>
      <c r="BX207" s="29">
        <f ca="1">IF('Get Started  2'!$E28="invested capital",BX206,IF('Get Started  2'!$E28="invested capital plus cost basis",BX205,BX204))*BX11</f>
        <v>0</v>
      </c>
      <c r="BY207" s="29">
        <f ca="1">IF('Get Started  2'!$E28="invested capital",BY206,IF('Get Started  2'!$E28="invested capital plus cost basis",BY205,BY204))*BY11</f>
        <v>0</v>
      </c>
      <c r="BZ207" s="29">
        <f ca="1">IF('Get Started  2'!$E28="invested capital",BZ206,IF('Get Started  2'!$E28="invested capital plus cost basis",BZ205,BZ204))*BZ11</f>
        <v>0</v>
      </c>
      <c r="CA207" s="29">
        <f ca="1">IF('Get Started  2'!$E28="invested capital",CA206,IF('Get Started  2'!$E28="invested capital plus cost basis",CA205,CA204))*CA11</f>
        <v>0</v>
      </c>
      <c r="CB207" s="29">
        <f ca="1">IF('Get Started  2'!$E28="invested capital",CB206,IF('Get Started  2'!$E28="invested capital plus cost basis",CB205,CB204))*CB11</f>
        <v>0</v>
      </c>
      <c r="CC207" s="29">
        <f ca="1">IF('Get Started  2'!$E28="invested capital",CC206,IF('Get Started  2'!$E28="invested capital plus cost basis",CC205,CC204))*CC11</f>
        <v>0</v>
      </c>
      <c r="CD207" s="29">
        <f ca="1">IF('Get Started  2'!$E28="invested capital",CD206,IF('Get Started  2'!$E28="invested capital plus cost basis",CD205,CD204))*CD11</f>
        <v>0</v>
      </c>
      <c r="CE207" s="29">
        <f ca="1">IF('Get Started  2'!$E28="invested capital",CE206,IF('Get Started  2'!$E28="invested capital plus cost basis",CE205,CE204))*CE11</f>
        <v>0</v>
      </c>
      <c r="CF207" s="29">
        <f ca="1">IF('Get Started  2'!$E28="invested capital",CF206,IF('Get Started  2'!$E28="invested capital plus cost basis",CF205,CF204))*CF11</f>
        <v>0</v>
      </c>
      <c r="CG207" s="29">
        <f ca="1">IF('Get Started  2'!$E28="invested capital",CG206,IF('Get Started  2'!$E28="invested capital plus cost basis",CG205,CG204))*CG11</f>
        <v>0</v>
      </c>
      <c r="CH207" s="29">
        <f ca="1">IF('Get Started  2'!$E28="invested capital",CH206,IF('Get Started  2'!$E28="invested capital plus cost basis",CH205,CH204))*CH11</f>
        <v>0</v>
      </c>
    </row>
    <row r="208" spans="2:86" ht="13" outlineLevel="1">
      <c r="B208" s="15" t="s">
        <v>318</v>
      </c>
      <c r="C208" s="15"/>
      <c r="D208" s="15" t="s">
        <v>238</v>
      </c>
      <c r="E208" s="29">
        <f t="shared" ca="1" si="166"/>
        <v>1042708.3333333333</v>
      </c>
      <c r="F208" s="29"/>
      <c r="G208" s="29">
        <f ca="1">MIN(G207,'Get Started  2'!$E25*IF('Get Started  2'!$E26="committed capital",G59,IF(SUMPRODUCT(--('Forecast  2'!$G15:$CH15&lt;&gt;"committed"))=0,G70,F70))-F210)</f>
        <v>0</v>
      </c>
      <c r="H208" s="29">
        <f ca="1">MIN(H207,'Get Started  2'!$E25*IF('Get Started  2'!$E26="committed capital",H59,IF(SUMPRODUCT(--('Forecast  2'!$G15:$CH15&lt;&gt;"committed"))=0,H70,G70))-G210)</f>
        <v>0</v>
      </c>
      <c r="I208" s="29">
        <f ca="1">MIN(I207,'Get Started  2'!$E25*IF('Get Started  2'!$E26="committed capital",I59,IF(SUMPRODUCT(--('Forecast  2'!$G15:$CH15&lt;&gt;"committed"))=0,I70,H70))-H210)</f>
        <v>0</v>
      </c>
      <c r="J208" s="29">
        <f ca="1">MIN(J207,'Get Started  2'!$E25*IF('Get Started  2'!$E26="committed capital",J59,IF(SUMPRODUCT(--('Forecast  2'!$G15:$CH15&lt;&gt;"committed"))=0,J70,I70))-I210)</f>
        <v>0</v>
      </c>
      <c r="K208" s="29">
        <f ca="1">MIN(K207,'Get Started  2'!$E25*IF('Get Started  2'!$E26="committed capital",K59,IF(SUMPRODUCT(--('Forecast  2'!$G15:$CH15&lt;&gt;"committed"))=0,K70,J70))-J210)</f>
        <v>0</v>
      </c>
      <c r="L208" s="29">
        <f ca="1">MIN(L207,'Get Started  2'!$E25*IF('Get Started  2'!$E26="committed capital",L59,IF(SUMPRODUCT(--('Forecast  2'!$G15:$CH15&lt;&gt;"committed"))=0,L70,K70))-K210)</f>
        <v>0</v>
      </c>
      <c r="M208" s="29">
        <f ca="1">MIN(M207,'Get Started  2'!$E25*IF('Get Started  2'!$E26="committed capital",M59,IF(SUMPRODUCT(--('Forecast  2'!$G15:$CH15&lt;&gt;"committed"))=0,M70,L70))-L210)</f>
        <v>0</v>
      </c>
      <c r="N208" s="29">
        <f ca="1">MIN(N207,'Get Started  2'!$E25*IF('Get Started  2'!$E26="committed capital",N59,IF(SUMPRODUCT(--('Forecast  2'!$G15:$CH15&lt;&gt;"committed"))=0,N70,M70))-M210)</f>
        <v>0</v>
      </c>
      <c r="O208" s="29">
        <f ca="1">MIN(O207,'Get Started  2'!$E25*IF('Get Started  2'!$E26="committed capital",O59,IF(SUMPRODUCT(--('Forecast  2'!$G15:$CH15&lt;&gt;"committed"))=0,O70,N70))-N210)</f>
        <v>0</v>
      </c>
      <c r="P208" s="29">
        <f ca="1">MIN(P207,'Get Started  2'!$E25*IF('Get Started  2'!$E26="committed capital",P59,IF(SUMPRODUCT(--('Forecast  2'!$G15:$CH15&lt;&gt;"committed"))=0,P70,O70))-O210)</f>
        <v>0</v>
      </c>
      <c r="Q208" s="29">
        <f ca="1">MIN(Q207,'Get Started  2'!$E25*IF('Get Started  2'!$E26="committed capital",Q59,IF(SUMPRODUCT(--('Forecast  2'!$G15:$CH15&lt;&gt;"committed"))=0,Q70,P70))-P210)</f>
        <v>0</v>
      </c>
      <c r="R208" s="29">
        <f ca="1">MIN(R207,'Get Started  2'!$E25*IF('Get Started  2'!$E26="committed capital",R59,IF(SUMPRODUCT(--('Forecast  2'!$G15:$CH15&lt;&gt;"committed"))=0,R70,Q70))-Q210)</f>
        <v>0</v>
      </c>
      <c r="S208" s="29">
        <f ca="1">MIN(S207,'Get Started  2'!$E25*IF('Get Started  2'!$E26="committed capital",S59,IF(SUMPRODUCT(--('Forecast  2'!$G15:$CH15&lt;&gt;"committed"))=0,S70,R70))-R210)</f>
        <v>260677.08333333331</v>
      </c>
      <c r="T208" s="29">
        <f ca="1">MIN(T207,'Get Started  2'!$E25*IF('Get Started  2'!$E26="committed capital",T59,IF(SUMPRODUCT(--('Forecast  2'!$G15:$CH15&lt;&gt;"committed"))=0,T70,S70))-S210)</f>
        <v>260677.08333333331</v>
      </c>
      <c r="U208" s="29">
        <f ca="1">MIN(U207,'Get Started  2'!$E25*IF('Get Started  2'!$E26="committed capital",U59,IF(SUMPRODUCT(--('Forecast  2'!$G15:$CH15&lt;&gt;"committed"))=0,U70,T70))-T210)</f>
        <v>260677.08333333331</v>
      </c>
      <c r="V208" s="29">
        <f ca="1">MIN(V207,'Get Started  2'!$E25*IF('Get Started  2'!$E26="committed capital",V59,IF(SUMPRODUCT(--('Forecast  2'!$G15:$CH15&lt;&gt;"committed"))=0,V70,U70))-U210)</f>
        <v>260677.08333333331</v>
      </c>
      <c r="W208" s="29">
        <f ca="1">MIN(W207,'Get Started  2'!$E25*IF('Get Started  2'!$E26="committed capital",W59,IF(SUMPRODUCT(--('Forecast  2'!$G15:$CH15&lt;&gt;"committed"))=0,W70,V70))-V210)</f>
        <v>0</v>
      </c>
      <c r="X208" s="29">
        <f ca="1">MIN(X207,'Get Started  2'!$E25*IF('Get Started  2'!$E26="committed capital",X59,IF(SUMPRODUCT(--('Forecast  2'!$G15:$CH15&lt;&gt;"committed"))=0,X70,W70))-W210)</f>
        <v>0</v>
      </c>
      <c r="Y208" s="29">
        <f ca="1">MIN(Y207,'Get Started  2'!$E25*IF('Get Started  2'!$E26="committed capital",Y59,IF(SUMPRODUCT(--('Forecast  2'!$G15:$CH15&lt;&gt;"committed"))=0,Y70,X70))-X210)</f>
        <v>0</v>
      </c>
      <c r="Z208" s="29">
        <f ca="1">MIN(Z207,'Get Started  2'!$E25*IF('Get Started  2'!$E26="committed capital",Z59,IF(SUMPRODUCT(--('Forecast  2'!$G15:$CH15&lt;&gt;"committed"))=0,Z70,Y70))-Y210)</f>
        <v>0</v>
      </c>
      <c r="AA208" s="29">
        <f ca="1">MIN(AA207,'Get Started  2'!$E25*IF('Get Started  2'!$E26="committed capital",AA59,IF(SUMPRODUCT(--('Forecast  2'!$G15:$CH15&lt;&gt;"committed"))=0,AA70,Z70))-Z210)</f>
        <v>0</v>
      </c>
      <c r="AB208" s="29">
        <f ca="1">MIN(AB207,'Get Started  2'!$E25*IF('Get Started  2'!$E26="committed capital",AB59,IF(SUMPRODUCT(--('Forecast  2'!$G15:$CH15&lt;&gt;"committed"))=0,AB70,AA70))-AA210)</f>
        <v>0</v>
      </c>
      <c r="AC208" s="29">
        <f ca="1">MIN(AC207,'Get Started  2'!$E25*IF('Get Started  2'!$E26="committed capital",AC59,IF(SUMPRODUCT(--('Forecast  2'!$G15:$CH15&lt;&gt;"committed"))=0,AC70,AB70))-AB210)</f>
        <v>0</v>
      </c>
      <c r="AD208" s="29">
        <f ca="1">MIN(AD207,'Get Started  2'!$E25*IF('Get Started  2'!$E26="committed capital",AD59,IF(SUMPRODUCT(--('Forecast  2'!$G15:$CH15&lt;&gt;"committed"))=0,AD70,AC70))-AC210)</f>
        <v>0</v>
      </c>
      <c r="AE208" s="29">
        <f ca="1">MIN(AE207,'Get Started  2'!$E25*IF('Get Started  2'!$E26="committed capital",AE59,IF(SUMPRODUCT(--('Forecast  2'!$G15:$CH15&lt;&gt;"committed"))=0,AE70,AD70))-AD210)</f>
        <v>0</v>
      </c>
      <c r="AF208" s="29">
        <f ca="1">MIN(AF207,'Get Started  2'!$E25*IF('Get Started  2'!$E26="committed capital",AF59,IF(SUMPRODUCT(--('Forecast  2'!$G15:$CH15&lt;&gt;"committed"))=0,AF70,AE70))-AE210)</f>
        <v>0</v>
      </c>
      <c r="AG208" s="29">
        <f ca="1">MIN(AG207,'Get Started  2'!$E25*IF('Get Started  2'!$E26="committed capital",AG59,IF(SUMPRODUCT(--('Forecast  2'!$G15:$CH15&lt;&gt;"committed"))=0,AG70,AF70))-AF210)</f>
        <v>0</v>
      </c>
      <c r="AH208" s="29">
        <f ca="1">MIN(AH207,'Get Started  2'!$E25*IF('Get Started  2'!$E26="committed capital",AH59,IF(SUMPRODUCT(--('Forecast  2'!$G15:$CH15&lt;&gt;"committed"))=0,AH70,AG70))-AG210)</f>
        <v>0</v>
      </c>
      <c r="AI208" s="29">
        <f ca="1">MIN(AI207,'Get Started  2'!$E25*IF('Get Started  2'!$E26="committed capital",AI59,IF(SUMPRODUCT(--('Forecast  2'!$G15:$CH15&lt;&gt;"committed"))=0,AI70,AH70))-AH210)</f>
        <v>0</v>
      </c>
      <c r="AJ208" s="29">
        <f ca="1">MIN(AJ207,'Get Started  2'!$E25*IF('Get Started  2'!$E26="committed capital",AJ59,IF(SUMPRODUCT(--('Forecast  2'!$G15:$CH15&lt;&gt;"committed"))=0,AJ70,AI70))-AI210)</f>
        <v>0</v>
      </c>
      <c r="AK208" s="29">
        <f ca="1">MIN(AK207,'Get Started  2'!$E25*IF('Get Started  2'!$E26="committed capital",AK59,IF(SUMPRODUCT(--('Forecast  2'!$G15:$CH15&lt;&gt;"committed"))=0,AK70,AJ70))-AJ210)</f>
        <v>0</v>
      </c>
      <c r="AL208" s="29">
        <f ca="1">MIN(AL207,'Get Started  2'!$E25*IF('Get Started  2'!$E26="committed capital",AL59,IF(SUMPRODUCT(--('Forecast  2'!$G15:$CH15&lt;&gt;"committed"))=0,AL70,AK70))-AK210)</f>
        <v>0</v>
      </c>
      <c r="AM208" s="29">
        <f ca="1">MIN(AM207,'Get Started  2'!$E25*IF('Get Started  2'!$E26="committed capital",AM59,IF(SUMPRODUCT(--('Forecast  2'!$G15:$CH15&lt;&gt;"committed"))=0,AM70,AL70))-AL210)</f>
        <v>0</v>
      </c>
      <c r="AN208" s="29">
        <f ca="1">MIN(AN207,'Get Started  2'!$E25*IF('Get Started  2'!$E26="committed capital",AN59,IF(SUMPRODUCT(--('Forecast  2'!$G15:$CH15&lt;&gt;"committed"))=0,AN70,AM70))-AM210)</f>
        <v>0</v>
      </c>
      <c r="AO208" s="29">
        <f ca="1">MIN(AO207,'Get Started  2'!$E25*IF('Get Started  2'!$E26="committed capital",AO59,IF(SUMPRODUCT(--('Forecast  2'!$G15:$CH15&lt;&gt;"committed"))=0,AO70,AN70))-AN210)</f>
        <v>0</v>
      </c>
      <c r="AP208" s="29">
        <f ca="1">MIN(AP207,'Get Started  2'!$E25*IF('Get Started  2'!$E26="committed capital",AP59,IF(SUMPRODUCT(--('Forecast  2'!$G15:$CH15&lt;&gt;"committed"))=0,AP70,AO70))-AO210)</f>
        <v>0</v>
      </c>
      <c r="AQ208" s="29">
        <f ca="1">MIN(AQ207,'Get Started  2'!$E25*IF('Get Started  2'!$E26="committed capital",AQ59,IF(SUMPRODUCT(--('Forecast  2'!$G15:$CH15&lt;&gt;"committed"))=0,AQ70,AP70))-AP210)</f>
        <v>0</v>
      </c>
      <c r="AR208" s="29">
        <f ca="1">MIN(AR207,'Get Started  2'!$E25*IF('Get Started  2'!$E26="committed capital",AR59,IF(SUMPRODUCT(--('Forecast  2'!$G15:$CH15&lt;&gt;"committed"))=0,AR70,AQ70))-AQ210)</f>
        <v>0</v>
      </c>
      <c r="AS208" s="29">
        <f ca="1">MIN(AS207,'Get Started  2'!$E25*IF('Get Started  2'!$E26="committed capital",AS59,IF(SUMPRODUCT(--('Forecast  2'!$G15:$CH15&lt;&gt;"committed"))=0,AS70,AR70))-AR210)</f>
        <v>0</v>
      </c>
      <c r="AT208" s="29">
        <f ca="1">MIN(AT207,'Get Started  2'!$E25*IF('Get Started  2'!$E26="committed capital",AT59,IF(SUMPRODUCT(--('Forecast  2'!$G15:$CH15&lt;&gt;"committed"))=0,AT70,AS70))-AS210)</f>
        <v>0</v>
      </c>
      <c r="AU208" s="29">
        <f ca="1">MIN(AU207,'Get Started  2'!$E25*IF('Get Started  2'!$E26="committed capital",AU59,IF(SUMPRODUCT(--('Forecast  2'!$G15:$CH15&lt;&gt;"committed"))=0,AU70,AT70))-AT210)</f>
        <v>0</v>
      </c>
      <c r="AV208" s="29">
        <f ca="1">MIN(AV207,'Get Started  2'!$E25*IF('Get Started  2'!$E26="committed capital",AV59,IF(SUMPRODUCT(--('Forecast  2'!$G15:$CH15&lt;&gt;"committed"))=0,AV70,AU70))-AU210)</f>
        <v>0</v>
      </c>
      <c r="AW208" s="29">
        <f ca="1">MIN(AW207,'Get Started  2'!$E25*IF('Get Started  2'!$E26="committed capital",AW59,IF(SUMPRODUCT(--('Forecast  2'!$G15:$CH15&lt;&gt;"committed"))=0,AW70,AV70))-AV210)</f>
        <v>0</v>
      </c>
      <c r="AX208" s="29">
        <f ca="1">MIN(AX207,'Get Started  2'!$E25*IF('Get Started  2'!$E26="committed capital",AX59,IF(SUMPRODUCT(--('Forecast  2'!$G15:$CH15&lt;&gt;"committed"))=0,AX70,AW70))-AW210)</f>
        <v>0</v>
      </c>
      <c r="AY208" s="29">
        <f ca="1">MIN(AY207,'Get Started  2'!$E25*IF('Get Started  2'!$E26="committed capital",AY59,IF(SUMPRODUCT(--('Forecast  2'!$G15:$CH15&lt;&gt;"committed"))=0,AY70,AX70))-AX210)</f>
        <v>0</v>
      </c>
      <c r="AZ208" s="29">
        <f ca="1">MIN(AZ207,'Get Started  2'!$E25*IF('Get Started  2'!$E26="committed capital",AZ59,IF(SUMPRODUCT(--('Forecast  2'!$G15:$CH15&lt;&gt;"committed"))=0,AZ70,AY70))-AY210)</f>
        <v>0</v>
      </c>
      <c r="BA208" s="29">
        <f ca="1">MIN(BA207,'Get Started  2'!$E25*IF('Get Started  2'!$E26="committed capital",BA59,IF(SUMPRODUCT(--('Forecast  2'!$G15:$CH15&lt;&gt;"committed"))=0,BA70,AZ70))-AZ210)</f>
        <v>0</v>
      </c>
      <c r="BB208" s="29">
        <f ca="1">MIN(BB207,'Get Started  2'!$E25*IF('Get Started  2'!$E26="committed capital",BB59,IF(SUMPRODUCT(--('Forecast  2'!$G15:$CH15&lt;&gt;"committed"))=0,BB70,BA70))-BA210)</f>
        <v>0</v>
      </c>
      <c r="BC208" s="29">
        <f ca="1">MIN(BC207,'Get Started  2'!$E25*IF('Get Started  2'!$E26="committed capital",BC59,IF(SUMPRODUCT(--('Forecast  2'!$G15:$CH15&lt;&gt;"committed"))=0,BC70,BB70))-BB210)</f>
        <v>0</v>
      </c>
      <c r="BD208" s="29">
        <f ca="1">MIN(BD207,'Get Started  2'!$E25*IF('Get Started  2'!$E26="committed capital",BD59,IF(SUMPRODUCT(--('Forecast  2'!$G15:$CH15&lt;&gt;"committed"))=0,BD70,BC70))-BC210)</f>
        <v>0</v>
      </c>
      <c r="BE208" s="29">
        <f ca="1">MIN(BE207,'Get Started  2'!$E25*IF('Get Started  2'!$E26="committed capital",BE59,IF(SUMPRODUCT(--('Forecast  2'!$G15:$CH15&lt;&gt;"committed"))=0,BE70,BD70))-BD210)</f>
        <v>0</v>
      </c>
      <c r="BF208" s="29">
        <f ca="1">MIN(BF207,'Get Started  2'!$E25*IF('Get Started  2'!$E26="committed capital",BF59,IF(SUMPRODUCT(--('Forecast  2'!$G15:$CH15&lt;&gt;"committed"))=0,BF70,BE70))-BE210)</f>
        <v>0</v>
      </c>
      <c r="BG208" s="29">
        <f ca="1">MIN(BG207,'Get Started  2'!$E25*IF('Get Started  2'!$E26="committed capital",BG59,IF(SUMPRODUCT(--('Forecast  2'!$G15:$CH15&lt;&gt;"committed"))=0,BG70,BF70))-BF210)</f>
        <v>0</v>
      </c>
      <c r="BH208" s="29">
        <f ca="1">MIN(BH207,'Get Started  2'!$E25*IF('Get Started  2'!$E26="committed capital",BH59,IF(SUMPRODUCT(--('Forecast  2'!$G15:$CH15&lt;&gt;"committed"))=0,BH70,BG70))-BG210)</f>
        <v>0</v>
      </c>
      <c r="BI208" s="29">
        <f ca="1">MIN(BI207,'Get Started  2'!$E25*IF('Get Started  2'!$E26="committed capital",BI59,IF(SUMPRODUCT(--('Forecast  2'!$G15:$CH15&lt;&gt;"committed"))=0,BI70,BH70))-BH210)</f>
        <v>0</v>
      </c>
      <c r="BJ208" s="29">
        <f ca="1">MIN(BJ207,'Get Started  2'!$E25*IF('Get Started  2'!$E26="committed capital",BJ59,IF(SUMPRODUCT(--('Forecast  2'!$G15:$CH15&lt;&gt;"committed"))=0,BJ70,BI70))-BI210)</f>
        <v>0</v>
      </c>
      <c r="BK208" s="29">
        <f ca="1">MIN(BK207,'Get Started  2'!$E25*IF('Get Started  2'!$E26="committed capital",BK59,IF(SUMPRODUCT(--('Forecast  2'!$G15:$CH15&lt;&gt;"committed"))=0,BK70,BJ70))-BJ210)</f>
        <v>0</v>
      </c>
      <c r="BL208" s="29">
        <f ca="1">MIN(BL207,'Get Started  2'!$E25*IF('Get Started  2'!$E26="committed capital",BL59,IF(SUMPRODUCT(--('Forecast  2'!$G15:$CH15&lt;&gt;"committed"))=0,BL70,BK70))-BK210)</f>
        <v>0</v>
      </c>
      <c r="BM208" s="29">
        <f ca="1">MIN(BM207,'Get Started  2'!$E25*IF('Get Started  2'!$E26="committed capital",BM59,IF(SUMPRODUCT(--('Forecast  2'!$G15:$CH15&lt;&gt;"committed"))=0,BM70,BL70))-BL210)</f>
        <v>0</v>
      </c>
      <c r="BN208" s="29">
        <f ca="1">MIN(BN207,'Get Started  2'!$E25*IF('Get Started  2'!$E26="committed capital",BN59,IF(SUMPRODUCT(--('Forecast  2'!$G15:$CH15&lt;&gt;"committed"))=0,BN70,BM70))-BM210)</f>
        <v>0</v>
      </c>
      <c r="BO208" s="29">
        <f ca="1">MIN(BO207,'Get Started  2'!$E25*IF('Get Started  2'!$E26="committed capital",BO59,IF(SUMPRODUCT(--('Forecast  2'!$G15:$CH15&lt;&gt;"committed"))=0,BO70,BN70))-BN210)</f>
        <v>0</v>
      </c>
      <c r="BP208" s="29">
        <f ca="1">MIN(BP207,'Get Started  2'!$E25*IF('Get Started  2'!$E26="committed capital",BP59,IF(SUMPRODUCT(--('Forecast  2'!$G15:$CH15&lt;&gt;"committed"))=0,BP70,BO70))-BO210)</f>
        <v>0</v>
      </c>
      <c r="BQ208" s="29">
        <f ca="1">MIN(BQ207,'Get Started  2'!$E25*IF('Get Started  2'!$E26="committed capital",BQ59,IF(SUMPRODUCT(--('Forecast  2'!$G15:$CH15&lt;&gt;"committed"))=0,BQ70,BP70))-BP210)</f>
        <v>0</v>
      </c>
      <c r="BR208" s="29">
        <f ca="1">MIN(BR207,'Get Started  2'!$E25*IF('Get Started  2'!$E26="committed capital",BR59,IF(SUMPRODUCT(--('Forecast  2'!$G15:$CH15&lt;&gt;"committed"))=0,BR70,BQ70))-BQ210)</f>
        <v>0</v>
      </c>
      <c r="BS208" s="29">
        <f ca="1">MIN(BS207,'Get Started  2'!$E25*IF('Get Started  2'!$E26="committed capital",BS59,IF(SUMPRODUCT(--('Forecast  2'!$G15:$CH15&lt;&gt;"committed"))=0,BS70,BR70))-BR210)</f>
        <v>0</v>
      </c>
      <c r="BT208" s="29">
        <f ca="1">MIN(BT207,'Get Started  2'!$E25*IF('Get Started  2'!$E26="committed capital",BT59,IF(SUMPRODUCT(--('Forecast  2'!$G15:$CH15&lt;&gt;"committed"))=0,BT70,BS70))-BS210)</f>
        <v>0</v>
      </c>
      <c r="BU208" s="29">
        <f ca="1">MIN(BU207,'Get Started  2'!$E25*IF('Get Started  2'!$E26="committed capital",BU59,IF(SUMPRODUCT(--('Forecast  2'!$G15:$CH15&lt;&gt;"committed"))=0,BU70,BT70))-BT210)</f>
        <v>0</v>
      </c>
      <c r="BV208" s="29">
        <f ca="1">MIN(BV207,'Get Started  2'!$E25*IF('Get Started  2'!$E26="committed capital",BV59,IF(SUMPRODUCT(--('Forecast  2'!$G15:$CH15&lt;&gt;"committed"))=0,BV70,BU70))-BU210)</f>
        <v>0</v>
      </c>
      <c r="BW208" s="29">
        <f ca="1">MIN(BW207,'Get Started  2'!$E25*IF('Get Started  2'!$E26="committed capital",BW59,IF(SUMPRODUCT(--('Forecast  2'!$G15:$CH15&lt;&gt;"committed"))=0,BW70,BV70))-BV210)</f>
        <v>0</v>
      </c>
      <c r="BX208" s="29">
        <f ca="1">MIN(BX207,'Get Started  2'!$E25*IF('Get Started  2'!$E26="committed capital",BX59,IF(SUMPRODUCT(--('Forecast  2'!$G15:$CH15&lt;&gt;"committed"))=0,BX70,BW70))-BW210)</f>
        <v>0</v>
      </c>
      <c r="BY208" s="29">
        <f ca="1">MIN(BY207,'Get Started  2'!$E25*IF('Get Started  2'!$E26="committed capital",BY59,IF(SUMPRODUCT(--('Forecast  2'!$G15:$CH15&lt;&gt;"committed"))=0,BY70,BX70))-BX210)</f>
        <v>0</v>
      </c>
      <c r="BZ208" s="29">
        <f ca="1">MIN(BZ207,'Get Started  2'!$E25*IF('Get Started  2'!$E26="committed capital",BZ59,IF(SUMPRODUCT(--('Forecast  2'!$G15:$CH15&lt;&gt;"committed"))=0,BZ70,BY70))-BY210)</f>
        <v>0</v>
      </c>
      <c r="CA208" s="29">
        <f ca="1">MIN(CA207,'Get Started  2'!$E25*IF('Get Started  2'!$E26="committed capital",CA59,IF(SUMPRODUCT(--('Forecast  2'!$G15:$CH15&lt;&gt;"committed"))=0,CA70,BZ70))-BZ210)</f>
        <v>0</v>
      </c>
      <c r="CB208" s="29">
        <f ca="1">MIN(CB207,'Get Started  2'!$E25*IF('Get Started  2'!$E26="committed capital",CB59,IF(SUMPRODUCT(--('Forecast  2'!$G15:$CH15&lt;&gt;"committed"))=0,CB70,CA70))-CA210)</f>
        <v>0</v>
      </c>
      <c r="CC208" s="29">
        <f ca="1">MIN(CC207,'Get Started  2'!$E25*IF('Get Started  2'!$E26="committed capital",CC59,IF(SUMPRODUCT(--('Forecast  2'!$G15:$CH15&lt;&gt;"committed"))=0,CC70,CB70))-CB210)</f>
        <v>0</v>
      </c>
      <c r="CD208" s="29">
        <f ca="1">MIN(CD207,'Get Started  2'!$E25*IF('Get Started  2'!$E26="committed capital",CD59,IF(SUMPRODUCT(--('Forecast  2'!$G15:$CH15&lt;&gt;"committed"))=0,CD70,CC70))-CC210)</f>
        <v>0</v>
      </c>
      <c r="CE208" s="29">
        <f ca="1">MIN(CE207,'Get Started  2'!$E25*IF('Get Started  2'!$E26="committed capital",CE59,IF(SUMPRODUCT(--('Forecast  2'!$G15:$CH15&lt;&gt;"committed"))=0,CE70,CD70))-CD210)</f>
        <v>0</v>
      </c>
      <c r="CF208" s="29">
        <f ca="1">MIN(CF207,'Get Started  2'!$E25*IF('Get Started  2'!$E26="committed capital",CF59,IF(SUMPRODUCT(--('Forecast  2'!$G15:$CH15&lt;&gt;"committed"))=0,CF70,CE70))-CE210)</f>
        <v>0</v>
      </c>
      <c r="CG208" s="29">
        <f ca="1">MIN(CG207,'Get Started  2'!$E25*IF('Get Started  2'!$E26="committed capital",CG59,IF(SUMPRODUCT(--('Forecast  2'!$G15:$CH15&lt;&gt;"committed"))=0,CG70,CF70))-CF210)</f>
        <v>0</v>
      </c>
      <c r="CH208" s="29">
        <f ca="1">MIN(CH207,'Get Started  2'!$E25*IF('Get Started  2'!$E26="committed capital",CH59,IF(SUMPRODUCT(--('Forecast  2'!$G15:$CH15&lt;&gt;"committed"))=0,CH70,CG70))-CG210)</f>
        <v>0</v>
      </c>
    </row>
    <row r="209" spans="1:86" ht="13" outlineLevel="1">
      <c r="B209" s="15" t="s">
        <v>280</v>
      </c>
      <c r="C209" s="15"/>
      <c r="D209" s="15" t="s">
        <v>238</v>
      </c>
      <c r="E209" s="29">
        <f t="shared" ca="1" si="166"/>
        <v>1042708.3333333333</v>
      </c>
      <c r="F209" s="29"/>
      <c r="G209" s="29">
        <f t="shared" ref="G209:CH209" ca="1" si="168">G208</f>
        <v>0</v>
      </c>
      <c r="H209" s="29">
        <f t="shared" ca="1" si="168"/>
        <v>0</v>
      </c>
      <c r="I209" s="29">
        <f t="shared" ca="1" si="168"/>
        <v>0</v>
      </c>
      <c r="J209" s="29">
        <f t="shared" ca="1" si="168"/>
        <v>0</v>
      </c>
      <c r="K209" s="29">
        <f t="shared" ca="1" si="168"/>
        <v>0</v>
      </c>
      <c r="L209" s="29">
        <f t="shared" ca="1" si="168"/>
        <v>0</v>
      </c>
      <c r="M209" s="29">
        <f t="shared" ca="1" si="168"/>
        <v>0</v>
      </c>
      <c r="N209" s="29">
        <f t="shared" ca="1" si="168"/>
        <v>0</v>
      </c>
      <c r="O209" s="29">
        <f t="shared" ca="1" si="168"/>
        <v>0</v>
      </c>
      <c r="P209" s="29">
        <f t="shared" ca="1" si="168"/>
        <v>0</v>
      </c>
      <c r="Q209" s="29">
        <f t="shared" ca="1" si="168"/>
        <v>0</v>
      </c>
      <c r="R209" s="29">
        <f t="shared" ca="1" si="168"/>
        <v>0</v>
      </c>
      <c r="S209" s="29">
        <f t="shared" ca="1" si="168"/>
        <v>260677.08333333331</v>
      </c>
      <c r="T209" s="29">
        <f t="shared" ca="1" si="168"/>
        <v>260677.08333333331</v>
      </c>
      <c r="U209" s="29">
        <f t="shared" ca="1" si="168"/>
        <v>260677.08333333331</v>
      </c>
      <c r="V209" s="29">
        <f t="shared" ca="1" si="168"/>
        <v>260677.08333333331</v>
      </c>
      <c r="W209" s="29">
        <f t="shared" ca="1" si="168"/>
        <v>0</v>
      </c>
      <c r="X209" s="29">
        <f t="shared" ca="1" si="168"/>
        <v>0</v>
      </c>
      <c r="Y209" s="29">
        <f t="shared" ca="1" si="168"/>
        <v>0</v>
      </c>
      <c r="Z209" s="29">
        <f t="shared" ca="1" si="168"/>
        <v>0</v>
      </c>
      <c r="AA209" s="29">
        <f t="shared" ca="1" si="168"/>
        <v>0</v>
      </c>
      <c r="AB209" s="29">
        <f t="shared" ca="1" si="168"/>
        <v>0</v>
      </c>
      <c r="AC209" s="29">
        <f t="shared" ca="1" si="168"/>
        <v>0</v>
      </c>
      <c r="AD209" s="29">
        <f t="shared" ca="1" si="168"/>
        <v>0</v>
      </c>
      <c r="AE209" s="29">
        <f t="shared" ca="1" si="168"/>
        <v>0</v>
      </c>
      <c r="AF209" s="29">
        <f t="shared" ca="1" si="168"/>
        <v>0</v>
      </c>
      <c r="AG209" s="29">
        <f t="shared" ca="1" si="168"/>
        <v>0</v>
      </c>
      <c r="AH209" s="29">
        <f t="shared" ca="1" si="168"/>
        <v>0</v>
      </c>
      <c r="AI209" s="29">
        <f t="shared" ca="1" si="168"/>
        <v>0</v>
      </c>
      <c r="AJ209" s="29">
        <f t="shared" ca="1" si="168"/>
        <v>0</v>
      </c>
      <c r="AK209" s="29">
        <f t="shared" ca="1" si="168"/>
        <v>0</v>
      </c>
      <c r="AL209" s="29">
        <f t="shared" ca="1" si="168"/>
        <v>0</v>
      </c>
      <c r="AM209" s="29">
        <f t="shared" ca="1" si="168"/>
        <v>0</v>
      </c>
      <c r="AN209" s="29">
        <f t="shared" ca="1" si="168"/>
        <v>0</v>
      </c>
      <c r="AO209" s="29">
        <f t="shared" ca="1" si="168"/>
        <v>0</v>
      </c>
      <c r="AP209" s="29">
        <f t="shared" ca="1" si="168"/>
        <v>0</v>
      </c>
      <c r="AQ209" s="29">
        <f t="shared" ca="1" si="168"/>
        <v>0</v>
      </c>
      <c r="AR209" s="29">
        <f t="shared" ca="1" si="168"/>
        <v>0</v>
      </c>
      <c r="AS209" s="29">
        <f t="shared" ca="1" si="168"/>
        <v>0</v>
      </c>
      <c r="AT209" s="29">
        <f t="shared" ca="1" si="168"/>
        <v>0</v>
      </c>
      <c r="AU209" s="29">
        <f t="shared" ca="1" si="168"/>
        <v>0</v>
      </c>
      <c r="AV209" s="29">
        <f t="shared" ca="1" si="168"/>
        <v>0</v>
      </c>
      <c r="AW209" s="29">
        <f t="shared" ca="1" si="168"/>
        <v>0</v>
      </c>
      <c r="AX209" s="29">
        <f t="shared" ca="1" si="168"/>
        <v>0</v>
      </c>
      <c r="AY209" s="29">
        <f t="shared" ca="1" si="168"/>
        <v>0</v>
      </c>
      <c r="AZ209" s="29">
        <f t="shared" ca="1" si="168"/>
        <v>0</v>
      </c>
      <c r="BA209" s="29">
        <f t="shared" ca="1" si="168"/>
        <v>0</v>
      </c>
      <c r="BB209" s="29">
        <f t="shared" ca="1" si="168"/>
        <v>0</v>
      </c>
      <c r="BC209" s="29">
        <f t="shared" ca="1" si="168"/>
        <v>0</v>
      </c>
      <c r="BD209" s="29">
        <f t="shared" ca="1" si="168"/>
        <v>0</v>
      </c>
      <c r="BE209" s="29">
        <f t="shared" ca="1" si="168"/>
        <v>0</v>
      </c>
      <c r="BF209" s="29">
        <f t="shared" ca="1" si="168"/>
        <v>0</v>
      </c>
      <c r="BG209" s="29">
        <f t="shared" ca="1" si="168"/>
        <v>0</v>
      </c>
      <c r="BH209" s="29">
        <f t="shared" ca="1" si="168"/>
        <v>0</v>
      </c>
      <c r="BI209" s="29">
        <f t="shared" ca="1" si="168"/>
        <v>0</v>
      </c>
      <c r="BJ209" s="29">
        <f t="shared" ca="1" si="168"/>
        <v>0</v>
      </c>
      <c r="BK209" s="29">
        <f t="shared" ca="1" si="168"/>
        <v>0</v>
      </c>
      <c r="BL209" s="29">
        <f t="shared" ca="1" si="168"/>
        <v>0</v>
      </c>
      <c r="BM209" s="29">
        <f t="shared" ca="1" si="168"/>
        <v>0</v>
      </c>
      <c r="BN209" s="29">
        <f t="shared" ca="1" si="168"/>
        <v>0</v>
      </c>
      <c r="BO209" s="29">
        <f t="shared" ca="1" si="168"/>
        <v>0</v>
      </c>
      <c r="BP209" s="29">
        <f t="shared" ca="1" si="168"/>
        <v>0</v>
      </c>
      <c r="BQ209" s="29">
        <f t="shared" ca="1" si="168"/>
        <v>0</v>
      </c>
      <c r="BR209" s="29">
        <f t="shared" ca="1" si="168"/>
        <v>0</v>
      </c>
      <c r="BS209" s="29">
        <f t="shared" ca="1" si="168"/>
        <v>0</v>
      </c>
      <c r="BT209" s="29">
        <f t="shared" ca="1" si="168"/>
        <v>0</v>
      </c>
      <c r="BU209" s="29">
        <f t="shared" ca="1" si="168"/>
        <v>0</v>
      </c>
      <c r="BV209" s="29">
        <f t="shared" ca="1" si="168"/>
        <v>0</v>
      </c>
      <c r="BW209" s="29">
        <f t="shared" ca="1" si="168"/>
        <v>0</v>
      </c>
      <c r="BX209" s="29">
        <f t="shared" ca="1" si="168"/>
        <v>0</v>
      </c>
      <c r="BY209" s="29">
        <f t="shared" ca="1" si="168"/>
        <v>0</v>
      </c>
      <c r="BZ209" s="29">
        <f t="shared" ca="1" si="168"/>
        <v>0</v>
      </c>
      <c r="CA209" s="29">
        <f t="shared" ca="1" si="168"/>
        <v>0</v>
      </c>
      <c r="CB209" s="29">
        <f t="shared" ca="1" si="168"/>
        <v>0</v>
      </c>
      <c r="CC209" s="29">
        <f t="shared" ca="1" si="168"/>
        <v>0</v>
      </c>
      <c r="CD209" s="29">
        <f t="shared" ca="1" si="168"/>
        <v>0</v>
      </c>
      <c r="CE209" s="29">
        <f t="shared" ca="1" si="168"/>
        <v>0</v>
      </c>
      <c r="CF209" s="29">
        <f t="shared" ca="1" si="168"/>
        <v>0</v>
      </c>
      <c r="CG209" s="29">
        <f t="shared" ca="1" si="168"/>
        <v>0</v>
      </c>
      <c r="CH209" s="29">
        <f t="shared" ca="1" si="168"/>
        <v>0</v>
      </c>
    </row>
    <row r="210" spans="1:86" ht="13" outlineLevel="1">
      <c r="B210" s="13" t="str">
        <f>"Cumulative "&amp;B208</f>
        <v>Cumulative Proceeds Recycled</v>
      </c>
      <c r="C210" s="15"/>
      <c r="D210" s="15" t="s">
        <v>247</v>
      </c>
      <c r="E210" s="29">
        <f t="shared" ca="1" si="166"/>
        <v>1042708.3333333333</v>
      </c>
      <c r="F210" s="29"/>
      <c r="G210" s="29">
        <f t="shared" ref="G210:CH210" ca="1" si="169">F210+G208</f>
        <v>0</v>
      </c>
      <c r="H210" s="29">
        <f t="shared" ca="1" si="169"/>
        <v>0</v>
      </c>
      <c r="I210" s="29">
        <f t="shared" ca="1" si="169"/>
        <v>0</v>
      </c>
      <c r="J210" s="29">
        <f t="shared" ca="1" si="169"/>
        <v>0</v>
      </c>
      <c r="K210" s="29">
        <f t="shared" ca="1" si="169"/>
        <v>0</v>
      </c>
      <c r="L210" s="29">
        <f t="shared" ca="1" si="169"/>
        <v>0</v>
      </c>
      <c r="M210" s="29">
        <f t="shared" ca="1" si="169"/>
        <v>0</v>
      </c>
      <c r="N210" s="29">
        <f t="shared" ca="1" si="169"/>
        <v>0</v>
      </c>
      <c r="O210" s="29">
        <f t="shared" ca="1" si="169"/>
        <v>0</v>
      </c>
      <c r="P210" s="29">
        <f t="shared" ca="1" si="169"/>
        <v>0</v>
      </c>
      <c r="Q210" s="29">
        <f t="shared" ca="1" si="169"/>
        <v>0</v>
      </c>
      <c r="R210" s="29">
        <f t="shared" ca="1" si="169"/>
        <v>0</v>
      </c>
      <c r="S210" s="29">
        <f t="shared" ca="1" si="169"/>
        <v>260677.08333333331</v>
      </c>
      <c r="T210" s="29">
        <f t="shared" ca="1" si="169"/>
        <v>521354.16666666663</v>
      </c>
      <c r="U210" s="29">
        <f t="shared" ca="1" si="169"/>
        <v>782031.25</v>
      </c>
      <c r="V210" s="29">
        <f t="shared" ca="1" si="169"/>
        <v>1042708.3333333333</v>
      </c>
      <c r="W210" s="29">
        <f t="shared" ca="1" si="169"/>
        <v>1042708.3333333333</v>
      </c>
      <c r="X210" s="29">
        <f t="shared" ca="1" si="169"/>
        <v>1042708.3333333333</v>
      </c>
      <c r="Y210" s="29">
        <f t="shared" ca="1" si="169"/>
        <v>1042708.3333333333</v>
      </c>
      <c r="Z210" s="29">
        <f t="shared" ca="1" si="169"/>
        <v>1042708.3333333333</v>
      </c>
      <c r="AA210" s="29">
        <f t="shared" ca="1" si="169"/>
        <v>1042708.3333333333</v>
      </c>
      <c r="AB210" s="29">
        <f t="shared" ca="1" si="169"/>
        <v>1042708.3333333333</v>
      </c>
      <c r="AC210" s="29">
        <f t="shared" ca="1" si="169"/>
        <v>1042708.3333333333</v>
      </c>
      <c r="AD210" s="29">
        <f t="shared" ca="1" si="169"/>
        <v>1042708.3333333333</v>
      </c>
      <c r="AE210" s="29">
        <f t="shared" ca="1" si="169"/>
        <v>1042708.3333333333</v>
      </c>
      <c r="AF210" s="29">
        <f t="shared" ca="1" si="169"/>
        <v>1042708.3333333333</v>
      </c>
      <c r="AG210" s="29">
        <f t="shared" ca="1" si="169"/>
        <v>1042708.3333333333</v>
      </c>
      <c r="AH210" s="29">
        <f t="shared" ca="1" si="169"/>
        <v>1042708.3333333333</v>
      </c>
      <c r="AI210" s="29">
        <f t="shared" ca="1" si="169"/>
        <v>1042708.3333333333</v>
      </c>
      <c r="AJ210" s="29">
        <f t="shared" ca="1" si="169"/>
        <v>1042708.3333333333</v>
      </c>
      <c r="AK210" s="29">
        <f t="shared" ca="1" si="169"/>
        <v>1042708.3333333333</v>
      </c>
      <c r="AL210" s="29">
        <f t="shared" ca="1" si="169"/>
        <v>1042708.3333333333</v>
      </c>
      <c r="AM210" s="29">
        <f t="shared" ca="1" si="169"/>
        <v>1042708.3333333333</v>
      </c>
      <c r="AN210" s="29">
        <f t="shared" ca="1" si="169"/>
        <v>1042708.3333333333</v>
      </c>
      <c r="AO210" s="29">
        <f t="shared" ca="1" si="169"/>
        <v>1042708.3333333333</v>
      </c>
      <c r="AP210" s="29">
        <f t="shared" ca="1" si="169"/>
        <v>1042708.3333333333</v>
      </c>
      <c r="AQ210" s="29">
        <f t="shared" ca="1" si="169"/>
        <v>1042708.3333333333</v>
      </c>
      <c r="AR210" s="29">
        <f t="shared" ca="1" si="169"/>
        <v>1042708.3333333333</v>
      </c>
      <c r="AS210" s="29">
        <f t="shared" ca="1" si="169"/>
        <v>1042708.3333333333</v>
      </c>
      <c r="AT210" s="29">
        <f t="shared" ca="1" si="169"/>
        <v>1042708.3333333333</v>
      </c>
      <c r="AU210" s="29">
        <f t="shared" ca="1" si="169"/>
        <v>1042708.3333333333</v>
      </c>
      <c r="AV210" s="29">
        <f t="shared" ca="1" si="169"/>
        <v>1042708.3333333333</v>
      </c>
      <c r="AW210" s="29">
        <f t="shared" ca="1" si="169"/>
        <v>1042708.3333333333</v>
      </c>
      <c r="AX210" s="29">
        <f t="shared" ca="1" si="169"/>
        <v>1042708.3333333333</v>
      </c>
      <c r="AY210" s="29">
        <f t="shared" ca="1" si="169"/>
        <v>1042708.3333333333</v>
      </c>
      <c r="AZ210" s="29">
        <f t="shared" ca="1" si="169"/>
        <v>1042708.3333333333</v>
      </c>
      <c r="BA210" s="29">
        <f t="shared" ca="1" si="169"/>
        <v>1042708.3333333333</v>
      </c>
      <c r="BB210" s="29">
        <f t="shared" ca="1" si="169"/>
        <v>1042708.3333333333</v>
      </c>
      <c r="BC210" s="29">
        <f t="shared" ca="1" si="169"/>
        <v>1042708.3333333333</v>
      </c>
      <c r="BD210" s="29">
        <f t="shared" ca="1" si="169"/>
        <v>1042708.3333333333</v>
      </c>
      <c r="BE210" s="29">
        <f t="shared" ca="1" si="169"/>
        <v>1042708.3333333333</v>
      </c>
      <c r="BF210" s="29">
        <f t="shared" ca="1" si="169"/>
        <v>1042708.3333333333</v>
      </c>
      <c r="BG210" s="29">
        <f t="shared" ca="1" si="169"/>
        <v>1042708.3333333333</v>
      </c>
      <c r="BH210" s="29">
        <f t="shared" ca="1" si="169"/>
        <v>1042708.3333333333</v>
      </c>
      <c r="BI210" s="29">
        <f t="shared" ca="1" si="169"/>
        <v>1042708.3333333333</v>
      </c>
      <c r="BJ210" s="29">
        <f t="shared" ca="1" si="169"/>
        <v>1042708.3333333333</v>
      </c>
      <c r="BK210" s="29">
        <f t="shared" ca="1" si="169"/>
        <v>1042708.3333333333</v>
      </c>
      <c r="BL210" s="29">
        <f t="shared" ca="1" si="169"/>
        <v>1042708.3333333333</v>
      </c>
      <c r="BM210" s="29">
        <f t="shared" ca="1" si="169"/>
        <v>1042708.3333333333</v>
      </c>
      <c r="BN210" s="29">
        <f t="shared" ca="1" si="169"/>
        <v>1042708.3333333333</v>
      </c>
      <c r="BO210" s="29">
        <f t="shared" ca="1" si="169"/>
        <v>1042708.3333333333</v>
      </c>
      <c r="BP210" s="29">
        <f t="shared" ca="1" si="169"/>
        <v>1042708.3333333333</v>
      </c>
      <c r="BQ210" s="29">
        <f t="shared" ca="1" si="169"/>
        <v>1042708.3333333333</v>
      </c>
      <c r="BR210" s="29">
        <f t="shared" ca="1" si="169"/>
        <v>1042708.3333333333</v>
      </c>
      <c r="BS210" s="29">
        <f t="shared" ca="1" si="169"/>
        <v>1042708.3333333333</v>
      </c>
      <c r="BT210" s="29">
        <f t="shared" ca="1" si="169"/>
        <v>1042708.3333333333</v>
      </c>
      <c r="BU210" s="29">
        <f t="shared" ca="1" si="169"/>
        <v>1042708.3333333333</v>
      </c>
      <c r="BV210" s="29">
        <f t="shared" ca="1" si="169"/>
        <v>1042708.3333333333</v>
      </c>
      <c r="BW210" s="29">
        <f t="shared" ca="1" si="169"/>
        <v>1042708.3333333333</v>
      </c>
      <c r="BX210" s="29">
        <f t="shared" ca="1" si="169"/>
        <v>1042708.3333333333</v>
      </c>
      <c r="BY210" s="29">
        <f t="shared" ca="1" si="169"/>
        <v>1042708.3333333333</v>
      </c>
      <c r="BZ210" s="29">
        <f t="shared" ca="1" si="169"/>
        <v>1042708.3333333333</v>
      </c>
      <c r="CA210" s="29">
        <f t="shared" ca="1" si="169"/>
        <v>1042708.3333333333</v>
      </c>
      <c r="CB210" s="29">
        <f t="shared" ca="1" si="169"/>
        <v>1042708.3333333333</v>
      </c>
      <c r="CC210" s="29">
        <f t="shared" ca="1" si="169"/>
        <v>1042708.3333333333</v>
      </c>
      <c r="CD210" s="29">
        <f t="shared" ca="1" si="169"/>
        <v>1042708.3333333333</v>
      </c>
      <c r="CE210" s="29">
        <f t="shared" ca="1" si="169"/>
        <v>1042708.3333333333</v>
      </c>
      <c r="CF210" s="29">
        <f t="shared" ca="1" si="169"/>
        <v>1042708.3333333333</v>
      </c>
      <c r="CG210" s="29">
        <f t="shared" ca="1" si="169"/>
        <v>1042708.3333333333</v>
      </c>
      <c r="CH210" s="29">
        <f t="shared" ca="1" si="169"/>
        <v>1042708.3333333333</v>
      </c>
    </row>
    <row r="211" spans="1:86" ht="13" outlineLevel="1">
      <c r="B211" s="13" t="s">
        <v>319</v>
      </c>
      <c r="D211" s="15" t="s">
        <v>320</v>
      </c>
      <c r="E211" s="64">
        <f ca="1">E210/E30</f>
        <v>4.1708333333333333E-2</v>
      </c>
      <c r="F211" s="29"/>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row>
    <row r="212" spans="1:86" ht="13" outlineLevel="1">
      <c r="B212" s="13" t="s">
        <v>321</v>
      </c>
      <c r="C212" s="15"/>
      <c r="D212" s="15" t="s">
        <v>320</v>
      </c>
      <c r="E212" s="64">
        <f ca="1">E208/E41</f>
        <v>0.21279761904761904</v>
      </c>
      <c r="F212" s="29"/>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row>
    <row r="213" spans="1:86" ht="13" outlineLevel="1">
      <c r="B213" s="13"/>
      <c r="C213" s="15"/>
      <c r="D213" s="15"/>
      <c r="E213" s="15"/>
      <c r="F213" s="29"/>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row>
    <row r="214" spans="1:86" ht="13" outlineLevel="1">
      <c r="A214" s="13"/>
      <c r="B214" s="44" t="s">
        <v>322</v>
      </c>
      <c r="C214" s="13"/>
      <c r="D214" s="87"/>
      <c r="E214" s="88"/>
      <c r="F214" s="48"/>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89"/>
      <c r="BY214" s="89"/>
      <c r="BZ214" s="89"/>
      <c r="CA214" s="89"/>
      <c r="CB214" s="89"/>
      <c r="CC214" s="89"/>
      <c r="CD214" s="89"/>
      <c r="CE214" s="89"/>
      <c r="CF214" s="89"/>
      <c r="CG214" s="89"/>
      <c r="CH214" s="89"/>
    </row>
    <row r="215" spans="1:86" ht="13" outlineLevel="1">
      <c r="A215" s="13"/>
      <c r="B215" s="13" t="s">
        <v>323</v>
      </c>
      <c r="C215" s="13"/>
      <c r="D215" s="13" t="s">
        <v>238</v>
      </c>
      <c r="E215" s="88">
        <f t="shared" ref="E215:E243" ca="1" si="170">IF(D215="sum",SUM(G215:CH215),IF(D215="final",CH215,IF(D215="initial",G215,IF(D215="average",AVERAGE(G215:CH215),0))))</f>
        <v>0.99513402777777882</v>
      </c>
      <c r="F215" s="48"/>
      <c r="G215" s="90">
        <f t="shared" ref="G215:CH215" ca="1" si="171">MIN(1-F241,MAX(0,G216+G217+G218+G235-G219))</f>
        <v>5.7775000000000007E-2</v>
      </c>
      <c r="H215" s="90">
        <f t="shared" ca="1" si="171"/>
        <v>5.377500000000001E-2</v>
      </c>
      <c r="I215" s="90">
        <f t="shared" ca="1" si="171"/>
        <v>5.377500000000001E-2</v>
      </c>
      <c r="J215" s="90">
        <f t="shared" ca="1" si="171"/>
        <v>5.377500000000001E-2</v>
      </c>
      <c r="K215" s="90">
        <f t="shared" ca="1" si="171"/>
        <v>5.377500000000001E-2</v>
      </c>
      <c r="L215" s="90">
        <f t="shared" ca="1" si="171"/>
        <v>5.377500000000001E-2</v>
      </c>
      <c r="M215" s="90">
        <f t="shared" ca="1" si="171"/>
        <v>5.377500000000001E-2</v>
      </c>
      <c r="N215" s="90">
        <f t="shared" ca="1" si="171"/>
        <v>5.377500000000001E-2</v>
      </c>
      <c r="O215" s="90">
        <f t="shared" ca="1" si="171"/>
        <v>5.377500000000001E-2</v>
      </c>
      <c r="P215" s="90">
        <f t="shared" ca="1" si="171"/>
        <v>5.377500000000001E-2</v>
      </c>
      <c r="Q215" s="90">
        <f t="shared" ca="1" si="171"/>
        <v>5.377500000000001E-2</v>
      </c>
      <c r="R215" s="90">
        <f t="shared" ca="1" si="171"/>
        <v>5.377500000000001E-2</v>
      </c>
      <c r="S215" s="90">
        <f t="shared" ca="1" si="171"/>
        <v>5.2558506944444444E-2</v>
      </c>
      <c r="T215" s="90">
        <f t="shared" ca="1" si="171"/>
        <v>5.2558506944444444E-2</v>
      </c>
      <c r="U215" s="90">
        <f t="shared" ca="1" si="171"/>
        <v>5.2558506944444444E-2</v>
      </c>
      <c r="V215" s="90">
        <f t="shared" ca="1" si="171"/>
        <v>5.2558506944444444E-2</v>
      </c>
      <c r="W215" s="90">
        <f t="shared" ca="1" si="171"/>
        <v>5.6499999999999996E-3</v>
      </c>
      <c r="X215" s="90">
        <f t="shared" ca="1" si="171"/>
        <v>5.6499999999999996E-3</v>
      </c>
      <c r="Y215" s="90">
        <f t="shared" ca="1" si="171"/>
        <v>5.6499999999999996E-3</v>
      </c>
      <c r="Z215" s="90">
        <f t="shared" ca="1" si="171"/>
        <v>5.6499999999999996E-3</v>
      </c>
      <c r="AA215" s="90">
        <f t="shared" ca="1" si="171"/>
        <v>5.6499999999999996E-3</v>
      </c>
      <c r="AB215" s="90">
        <f t="shared" ca="1" si="171"/>
        <v>5.6499999999999996E-3</v>
      </c>
      <c r="AC215" s="90">
        <f t="shared" ca="1" si="171"/>
        <v>5.6499999999999996E-3</v>
      </c>
      <c r="AD215" s="90">
        <f t="shared" ca="1" si="171"/>
        <v>5.6499999999999996E-3</v>
      </c>
      <c r="AE215" s="90">
        <f t="shared" ca="1" si="171"/>
        <v>5.6499999999999996E-3</v>
      </c>
      <c r="AF215" s="90">
        <f t="shared" ca="1" si="171"/>
        <v>5.6499999999999996E-3</v>
      </c>
      <c r="AG215" s="90">
        <f t="shared" ca="1" si="171"/>
        <v>5.6499999999999996E-3</v>
      </c>
      <c r="AH215" s="90">
        <f t="shared" ca="1" si="171"/>
        <v>5.6499999999999996E-3</v>
      </c>
      <c r="AI215" s="90">
        <f t="shared" ca="1" si="171"/>
        <v>5.6499999999999996E-3</v>
      </c>
      <c r="AJ215" s="90">
        <f t="shared" ca="1" si="171"/>
        <v>5.6499999999999996E-3</v>
      </c>
      <c r="AK215" s="90">
        <f t="shared" ca="1" si="171"/>
        <v>5.6499999999999996E-3</v>
      </c>
      <c r="AL215" s="90">
        <f t="shared" ca="1" si="171"/>
        <v>5.6499999999999996E-3</v>
      </c>
      <c r="AM215" s="90">
        <f t="shared" ca="1" si="171"/>
        <v>5.6499999999999996E-3</v>
      </c>
      <c r="AN215" s="90">
        <f t="shared" ca="1" si="171"/>
        <v>5.6499999999999996E-3</v>
      </c>
      <c r="AO215" s="90">
        <f t="shared" ca="1" si="171"/>
        <v>5.6499999999999996E-3</v>
      </c>
      <c r="AP215" s="90">
        <f t="shared" ca="1" si="171"/>
        <v>5.6499999999999996E-3</v>
      </c>
      <c r="AQ215" s="90">
        <f t="shared" ca="1" si="171"/>
        <v>5.6499999999999996E-3</v>
      </c>
      <c r="AR215" s="90">
        <f t="shared" ca="1" si="171"/>
        <v>5.6499999999999996E-3</v>
      </c>
      <c r="AS215" s="90">
        <f t="shared" ca="1" si="171"/>
        <v>5.6499999999999996E-3</v>
      </c>
      <c r="AT215" s="90">
        <f t="shared" ca="1" si="171"/>
        <v>5.6499999999999996E-3</v>
      </c>
      <c r="AU215" s="90">
        <f t="shared" ca="1" si="171"/>
        <v>0</v>
      </c>
      <c r="AV215" s="90">
        <f t="shared" ca="1" si="171"/>
        <v>0</v>
      </c>
      <c r="AW215" s="90">
        <f t="shared" ca="1" si="171"/>
        <v>0</v>
      </c>
      <c r="AX215" s="90">
        <f t="shared" ca="1" si="171"/>
        <v>0</v>
      </c>
      <c r="AY215" s="90">
        <f t="shared" ca="1" si="171"/>
        <v>0</v>
      </c>
      <c r="AZ215" s="90">
        <f t="shared" ca="1" si="171"/>
        <v>0</v>
      </c>
      <c r="BA215" s="90">
        <f t="shared" ca="1" si="171"/>
        <v>0</v>
      </c>
      <c r="BB215" s="90">
        <f t="shared" ca="1" si="171"/>
        <v>0</v>
      </c>
      <c r="BC215" s="90">
        <f t="shared" ca="1" si="171"/>
        <v>0</v>
      </c>
      <c r="BD215" s="90">
        <f t="shared" ca="1" si="171"/>
        <v>0</v>
      </c>
      <c r="BE215" s="90">
        <f t="shared" ca="1" si="171"/>
        <v>0</v>
      </c>
      <c r="BF215" s="90">
        <f t="shared" ca="1" si="171"/>
        <v>0</v>
      </c>
      <c r="BG215" s="90">
        <f t="shared" ca="1" si="171"/>
        <v>0</v>
      </c>
      <c r="BH215" s="90">
        <f t="shared" ca="1" si="171"/>
        <v>0</v>
      </c>
      <c r="BI215" s="90">
        <f t="shared" ca="1" si="171"/>
        <v>0</v>
      </c>
      <c r="BJ215" s="90">
        <f t="shared" ca="1" si="171"/>
        <v>0</v>
      </c>
      <c r="BK215" s="90">
        <f t="shared" ca="1" si="171"/>
        <v>0</v>
      </c>
      <c r="BL215" s="90">
        <f t="shared" ca="1" si="171"/>
        <v>0</v>
      </c>
      <c r="BM215" s="90">
        <f t="shared" ca="1" si="171"/>
        <v>0</v>
      </c>
      <c r="BN215" s="90">
        <f t="shared" ca="1" si="171"/>
        <v>0</v>
      </c>
      <c r="BO215" s="90">
        <f t="shared" ca="1" si="171"/>
        <v>0</v>
      </c>
      <c r="BP215" s="90">
        <f t="shared" ca="1" si="171"/>
        <v>0</v>
      </c>
      <c r="BQ215" s="90">
        <f t="shared" ca="1" si="171"/>
        <v>0</v>
      </c>
      <c r="BR215" s="90">
        <f t="shared" ca="1" si="171"/>
        <v>0</v>
      </c>
      <c r="BS215" s="90">
        <f t="shared" ca="1" si="171"/>
        <v>0</v>
      </c>
      <c r="BT215" s="90">
        <f t="shared" ca="1" si="171"/>
        <v>0</v>
      </c>
      <c r="BU215" s="90">
        <f t="shared" ca="1" si="171"/>
        <v>0</v>
      </c>
      <c r="BV215" s="90">
        <f t="shared" ca="1" si="171"/>
        <v>0</v>
      </c>
      <c r="BW215" s="90">
        <f t="shared" ca="1" si="171"/>
        <v>0</v>
      </c>
      <c r="BX215" s="90">
        <f t="shared" ca="1" si="171"/>
        <v>0</v>
      </c>
      <c r="BY215" s="90">
        <f t="shared" ca="1" si="171"/>
        <v>0</v>
      </c>
      <c r="BZ215" s="90">
        <f t="shared" ca="1" si="171"/>
        <v>0</v>
      </c>
      <c r="CA215" s="90">
        <f t="shared" ca="1" si="171"/>
        <v>0</v>
      </c>
      <c r="CB215" s="90">
        <f t="shared" ca="1" si="171"/>
        <v>0</v>
      </c>
      <c r="CC215" s="90">
        <f t="shared" ca="1" si="171"/>
        <v>0</v>
      </c>
      <c r="CD215" s="90">
        <f t="shared" ca="1" si="171"/>
        <v>0</v>
      </c>
      <c r="CE215" s="90">
        <f t="shared" ca="1" si="171"/>
        <v>0</v>
      </c>
      <c r="CF215" s="90">
        <f t="shared" ca="1" si="171"/>
        <v>0</v>
      </c>
      <c r="CG215" s="90">
        <f t="shared" ca="1" si="171"/>
        <v>0</v>
      </c>
      <c r="CH215" s="90">
        <f t="shared" ca="1" si="171"/>
        <v>0</v>
      </c>
    </row>
    <row r="216" spans="1:86" ht="13" outlineLevel="1">
      <c r="A216" s="13"/>
      <c r="B216" s="13" t="s">
        <v>324</v>
      </c>
      <c r="C216" s="13"/>
      <c r="D216" s="13" t="s">
        <v>238</v>
      </c>
      <c r="E216" s="88">
        <f t="shared" si="170"/>
        <v>4.0000000000000001E-3</v>
      </c>
      <c r="F216" s="48"/>
      <c r="G216" s="90">
        <f t="shared" ref="G216:CH216" si="172">IFERROR(G39/$E30,0)</f>
        <v>4.0000000000000001E-3</v>
      </c>
      <c r="H216" s="90">
        <f t="shared" si="172"/>
        <v>0</v>
      </c>
      <c r="I216" s="90">
        <f t="shared" si="172"/>
        <v>0</v>
      </c>
      <c r="J216" s="90">
        <f t="shared" si="172"/>
        <v>0</v>
      </c>
      <c r="K216" s="90">
        <f t="shared" si="172"/>
        <v>0</v>
      </c>
      <c r="L216" s="90">
        <f t="shared" si="172"/>
        <v>0</v>
      </c>
      <c r="M216" s="90">
        <f t="shared" si="172"/>
        <v>0</v>
      </c>
      <c r="N216" s="90">
        <f t="shared" si="172"/>
        <v>0</v>
      </c>
      <c r="O216" s="90">
        <f t="shared" si="172"/>
        <v>0</v>
      </c>
      <c r="P216" s="90">
        <f t="shared" si="172"/>
        <v>0</v>
      </c>
      <c r="Q216" s="90">
        <f t="shared" si="172"/>
        <v>0</v>
      </c>
      <c r="R216" s="90">
        <f t="shared" si="172"/>
        <v>0</v>
      </c>
      <c r="S216" s="90">
        <f t="shared" si="172"/>
        <v>0</v>
      </c>
      <c r="T216" s="90">
        <f t="shared" si="172"/>
        <v>0</v>
      </c>
      <c r="U216" s="90">
        <f t="shared" si="172"/>
        <v>0</v>
      </c>
      <c r="V216" s="90">
        <f t="shared" si="172"/>
        <v>0</v>
      </c>
      <c r="W216" s="90">
        <f t="shared" si="172"/>
        <v>0</v>
      </c>
      <c r="X216" s="90">
        <f t="shared" si="172"/>
        <v>0</v>
      </c>
      <c r="Y216" s="90">
        <f t="shared" si="172"/>
        <v>0</v>
      </c>
      <c r="Z216" s="90">
        <f t="shared" si="172"/>
        <v>0</v>
      </c>
      <c r="AA216" s="90">
        <f t="shared" si="172"/>
        <v>0</v>
      </c>
      <c r="AB216" s="90">
        <f t="shared" si="172"/>
        <v>0</v>
      </c>
      <c r="AC216" s="90">
        <f t="shared" si="172"/>
        <v>0</v>
      </c>
      <c r="AD216" s="90">
        <f t="shared" si="172"/>
        <v>0</v>
      </c>
      <c r="AE216" s="90">
        <f t="shared" si="172"/>
        <v>0</v>
      </c>
      <c r="AF216" s="90">
        <f t="shared" si="172"/>
        <v>0</v>
      </c>
      <c r="AG216" s="90">
        <f t="shared" si="172"/>
        <v>0</v>
      </c>
      <c r="AH216" s="90">
        <f t="shared" si="172"/>
        <v>0</v>
      </c>
      <c r="AI216" s="90">
        <f t="shared" si="172"/>
        <v>0</v>
      </c>
      <c r="AJ216" s="90">
        <f t="shared" si="172"/>
        <v>0</v>
      </c>
      <c r="AK216" s="90">
        <f t="shared" si="172"/>
        <v>0</v>
      </c>
      <c r="AL216" s="90">
        <f t="shared" si="172"/>
        <v>0</v>
      </c>
      <c r="AM216" s="90">
        <f t="shared" si="172"/>
        <v>0</v>
      </c>
      <c r="AN216" s="90">
        <f t="shared" si="172"/>
        <v>0</v>
      </c>
      <c r="AO216" s="90">
        <f t="shared" si="172"/>
        <v>0</v>
      </c>
      <c r="AP216" s="90">
        <f t="shared" si="172"/>
        <v>0</v>
      </c>
      <c r="AQ216" s="90">
        <f t="shared" si="172"/>
        <v>0</v>
      </c>
      <c r="AR216" s="90">
        <f t="shared" si="172"/>
        <v>0</v>
      </c>
      <c r="AS216" s="90">
        <f t="shared" si="172"/>
        <v>0</v>
      </c>
      <c r="AT216" s="90">
        <f t="shared" si="172"/>
        <v>0</v>
      </c>
      <c r="AU216" s="90">
        <f t="shared" si="172"/>
        <v>0</v>
      </c>
      <c r="AV216" s="90">
        <f t="shared" si="172"/>
        <v>0</v>
      </c>
      <c r="AW216" s="90">
        <f t="shared" si="172"/>
        <v>0</v>
      </c>
      <c r="AX216" s="90">
        <f t="shared" si="172"/>
        <v>0</v>
      </c>
      <c r="AY216" s="90">
        <f t="shared" si="172"/>
        <v>0</v>
      </c>
      <c r="AZ216" s="90">
        <f t="shared" si="172"/>
        <v>0</v>
      </c>
      <c r="BA216" s="90">
        <f t="shared" si="172"/>
        <v>0</v>
      </c>
      <c r="BB216" s="90">
        <f t="shared" si="172"/>
        <v>0</v>
      </c>
      <c r="BC216" s="90">
        <f t="shared" si="172"/>
        <v>0</v>
      </c>
      <c r="BD216" s="90">
        <f t="shared" si="172"/>
        <v>0</v>
      </c>
      <c r="BE216" s="90">
        <f t="shared" si="172"/>
        <v>0</v>
      </c>
      <c r="BF216" s="90">
        <f t="shared" si="172"/>
        <v>0</v>
      </c>
      <c r="BG216" s="90">
        <f t="shared" si="172"/>
        <v>0</v>
      </c>
      <c r="BH216" s="90">
        <f t="shared" si="172"/>
        <v>0</v>
      </c>
      <c r="BI216" s="90">
        <f t="shared" si="172"/>
        <v>0</v>
      </c>
      <c r="BJ216" s="90">
        <f t="shared" si="172"/>
        <v>0</v>
      </c>
      <c r="BK216" s="90">
        <f t="shared" si="172"/>
        <v>0</v>
      </c>
      <c r="BL216" s="90">
        <f t="shared" si="172"/>
        <v>0</v>
      </c>
      <c r="BM216" s="90">
        <f t="shared" si="172"/>
        <v>0</v>
      </c>
      <c r="BN216" s="90">
        <f t="shared" si="172"/>
        <v>0</v>
      </c>
      <c r="BO216" s="90">
        <f t="shared" si="172"/>
        <v>0</v>
      </c>
      <c r="BP216" s="90">
        <f t="shared" si="172"/>
        <v>0</v>
      </c>
      <c r="BQ216" s="90">
        <f t="shared" si="172"/>
        <v>0</v>
      </c>
      <c r="BR216" s="90">
        <f t="shared" si="172"/>
        <v>0</v>
      </c>
      <c r="BS216" s="90">
        <f t="shared" si="172"/>
        <v>0</v>
      </c>
      <c r="BT216" s="90">
        <f t="shared" si="172"/>
        <v>0</v>
      </c>
      <c r="BU216" s="90">
        <f t="shared" si="172"/>
        <v>0</v>
      </c>
      <c r="BV216" s="90">
        <f t="shared" si="172"/>
        <v>0</v>
      </c>
      <c r="BW216" s="90">
        <f t="shared" si="172"/>
        <v>0</v>
      </c>
      <c r="BX216" s="90">
        <f t="shared" si="172"/>
        <v>0</v>
      </c>
      <c r="BY216" s="90">
        <f t="shared" si="172"/>
        <v>0</v>
      </c>
      <c r="BZ216" s="90">
        <f t="shared" si="172"/>
        <v>0</v>
      </c>
      <c r="CA216" s="90">
        <f t="shared" si="172"/>
        <v>0</v>
      </c>
      <c r="CB216" s="90">
        <f t="shared" si="172"/>
        <v>0</v>
      </c>
      <c r="CC216" s="90">
        <f t="shared" si="172"/>
        <v>0</v>
      </c>
      <c r="CD216" s="90">
        <f t="shared" si="172"/>
        <v>0</v>
      </c>
      <c r="CE216" s="90">
        <f t="shared" si="172"/>
        <v>0</v>
      </c>
      <c r="CF216" s="90">
        <f t="shared" si="172"/>
        <v>0</v>
      </c>
      <c r="CG216" s="90">
        <f t="shared" si="172"/>
        <v>0</v>
      </c>
      <c r="CH216" s="90">
        <f t="shared" si="172"/>
        <v>0</v>
      </c>
    </row>
    <row r="217" spans="1:86" ht="13" outlineLevel="1">
      <c r="A217" s="13"/>
      <c r="B217" s="13" t="s">
        <v>325</v>
      </c>
      <c r="C217" s="13"/>
      <c r="D217" s="13" t="s">
        <v>238</v>
      </c>
      <c r="E217" s="88">
        <f t="shared" si="170"/>
        <v>3.0000000000000016E-2</v>
      </c>
      <c r="F217" s="48"/>
      <c r="G217" s="90">
        <f t="shared" ref="G217:CH217" si="173">IFERROR(G40/$E30,0)</f>
        <v>7.5000000000000002E-4</v>
      </c>
      <c r="H217" s="90">
        <f t="shared" si="173"/>
        <v>7.5000000000000002E-4</v>
      </c>
      <c r="I217" s="90">
        <f t="shared" si="173"/>
        <v>7.5000000000000002E-4</v>
      </c>
      <c r="J217" s="90">
        <f t="shared" si="173"/>
        <v>7.5000000000000002E-4</v>
      </c>
      <c r="K217" s="90">
        <f t="shared" si="173"/>
        <v>7.5000000000000002E-4</v>
      </c>
      <c r="L217" s="90">
        <f t="shared" si="173"/>
        <v>7.5000000000000002E-4</v>
      </c>
      <c r="M217" s="90">
        <f t="shared" si="173"/>
        <v>7.5000000000000002E-4</v>
      </c>
      <c r="N217" s="90">
        <f t="shared" si="173"/>
        <v>7.5000000000000002E-4</v>
      </c>
      <c r="O217" s="90">
        <f t="shared" si="173"/>
        <v>7.5000000000000002E-4</v>
      </c>
      <c r="P217" s="90">
        <f t="shared" si="173"/>
        <v>7.5000000000000002E-4</v>
      </c>
      <c r="Q217" s="90">
        <f t="shared" si="173"/>
        <v>7.5000000000000002E-4</v>
      </c>
      <c r="R217" s="90">
        <f t="shared" si="173"/>
        <v>7.5000000000000002E-4</v>
      </c>
      <c r="S217" s="90">
        <f t="shared" si="173"/>
        <v>7.5000000000000002E-4</v>
      </c>
      <c r="T217" s="90">
        <f t="shared" si="173"/>
        <v>7.5000000000000002E-4</v>
      </c>
      <c r="U217" s="90">
        <f t="shared" si="173"/>
        <v>7.5000000000000002E-4</v>
      </c>
      <c r="V217" s="90">
        <f t="shared" si="173"/>
        <v>7.5000000000000002E-4</v>
      </c>
      <c r="W217" s="90">
        <f t="shared" si="173"/>
        <v>7.5000000000000002E-4</v>
      </c>
      <c r="X217" s="90">
        <f t="shared" si="173"/>
        <v>7.5000000000000002E-4</v>
      </c>
      <c r="Y217" s="90">
        <f t="shared" si="173"/>
        <v>7.5000000000000002E-4</v>
      </c>
      <c r="Z217" s="90">
        <f t="shared" si="173"/>
        <v>7.5000000000000002E-4</v>
      </c>
      <c r="AA217" s="90">
        <f t="shared" si="173"/>
        <v>7.5000000000000002E-4</v>
      </c>
      <c r="AB217" s="90">
        <f t="shared" si="173"/>
        <v>7.5000000000000002E-4</v>
      </c>
      <c r="AC217" s="90">
        <f t="shared" si="173"/>
        <v>7.5000000000000002E-4</v>
      </c>
      <c r="AD217" s="90">
        <f t="shared" si="173"/>
        <v>7.5000000000000002E-4</v>
      </c>
      <c r="AE217" s="90">
        <f t="shared" si="173"/>
        <v>7.5000000000000002E-4</v>
      </c>
      <c r="AF217" s="90">
        <f t="shared" si="173"/>
        <v>7.5000000000000002E-4</v>
      </c>
      <c r="AG217" s="90">
        <f t="shared" si="173"/>
        <v>7.5000000000000002E-4</v>
      </c>
      <c r="AH217" s="90">
        <f t="shared" si="173"/>
        <v>7.5000000000000002E-4</v>
      </c>
      <c r="AI217" s="90">
        <f t="shared" si="173"/>
        <v>7.5000000000000002E-4</v>
      </c>
      <c r="AJ217" s="90">
        <f t="shared" si="173"/>
        <v>7.5000000000000002E-4</v>
      </c>
      <c r="AK217" s="90">
        <f t="shared" si="173"/>
        <v>7.5000000000000002E-4</v>
      </c>
      <c r="AL217" s="90">
        <f t="shared" si="173"/>
        <v>7.5000000000000002E-4</v>
      </c>
      <c r="AM217" s="90">
        <f t="shared" si="173"/>
        <v>7.5000000000000002E-4</v>
      </c>
      <c r="AN217" s="90">
        <f t="shared" si="173"/>
        <v>7.5000000000000002E-4</v>
      </c>
      <c r="AO217" s="90">
        <f t="shared" si="173"/>
        <v>7.5000000000000002E-4</v>
      </c>
      <c r="AP217" s="90">
        <f t="shared" si="173"/>
        <v>7.5000000000000002E-4</v>
      </c>
      <c r="AQ217" s="90">
        <f t="shared" si="173"/>
        <v>7.5000000000000002E-4</v>
      </c>
      <c r="AR217" s="90">
        <f t="shared" si="173"/>
        <v>7.5000000000000002E-4</v>
      </c>
      <c r="AS217" s="90">
        <f t="shared" si="173"/>
        <v>7.5000000000000002E-4</v>
      </c>
      <c r="AT217" s="90">
        <f t="shared" si="173"/>
        <v>7.5000000000000002E-4</v>
      </c>
      <c r="AU217" s="90">
        <f t="shared" si="173"/>
        <v>0</v>
      </c>
      <c r="AV217" s="90">
        <f t="shared" si="173"/>
        <v>0</v>
      </c>
      <c r="AW217" s="90">
        <f t="shared" si="173"/>
        <v>0</v>
      </c>
      <c r="AX217" s="90">
        <f t="shared" si="173"/>
        <v>0</v>
      </c>
      <c r="AY217" s="90">
        <f t="shared" si="173"/>
        <v>0</v>
      </c>
      <c r="AZ217" s="90">
        <f t="shared" si="173"/>
        <v>0</v>
      </c>
      <c r="BA217" s="90">
        <f t="shared" si="173"/>
        <v>0</v>
      </c>
      <c r="BB217" s="90">
        <f t="shared" si="173"/>
        <v>0</v>
      </c>
      <c r="BC217" s="90">
        <f t="shared" si="173"/>
        <v>0</v>
      </c>
      <c r="BD217" s="90">
        <f t="shared" si="173"/>
        <v>0</v>
      </c>
      <c r="BE217" s="90">
        <f t="shared" si="173"/>
        <v>0</v>
      </c>
      <c r="BF217" s="90">
        <f t="shared" si="173"/>
        <v>0</v>
      </c>
      <c r="BG217" s="90">
        <f t="shared" si="173"/>
        <v>0</v>
      </c>
      <c r="BH217" s="90">
        <f t="shared" si="173"/>
        <v>0</v>
      </c>
      <c r="BI217" s="90">
        <f t="shared" si="173"/>
        <v>0</v>
      </c>
      <c r="BJ217" s="90">
        <f t="shared" si="173"/>
        <v>0</v>
      </c>
      <c r="BK217" s="90">
        <f t="shared" si="173"/>
        <v>0</v>
      </c>
      <c r="BL217" s="90">
        <f t="shared" si="173"/>
        <v>0</v>
      </c>
      <c r="BM217" s="90">
        <f t="shared" si="173"/>
        <v>0</v>
      </c>
      <c r="BN217" s="90">
        <f t="shared" si="173"/>
        <v>0</v>
      </c>
      <c r="BO217" s="90">
        <f t="shared" si="173"/>
        <v>0</v>
      </c>
      <c r="BP217" s="90">
        <f t="shared" si="173"/>
        <v>0</v>
      </c>
      <c r="BQ217" s="90">
        <f t="shared" si="173"/>
        <v>0</v>
      </c>
      <c r="BR217" s="90">
        <f t="shared" si="173"/>
        <v>0</v>
      </c>
      <c r="BS217" s="90">
        <f t="shared" si="173"/>
        <v>0</v>
      </c>
      <c r="BT217" s="90">
        <f t="shared" si="173"/>
        <v>0</v>
      </c>
      <c r="BU217" s="90">
        <f t="shared" si="173"/>
        <v>0</v>
      </c>
      <c r="BV217" s="90">
        <f t="shared" si="173"/>
        <v>0</v>
      </c>
      <c r="BW217" s="90">
        <f t="shared" si="173"/>
        <v>0</v>
      </c>
      <c r="BX217" s="90">
        <f t="shared" si="173"/>
        <v>0</v>
      </c>
      <c r="BY217" s="90">
        <f t="shared" si="173"/>
        <v>0</v>
      </c>
      <c r="BZ217" s="90">
        <f t="shared" si="173"/>
        <v>0</v>
      </c>
      <c r="CA217" s="90">
        <f t="shared" si="173"/>
        <v>0</v>
      </c>
      <c r="CB217" s="90">
        <f t="shared" si="173"/>
        <v>0</v>
      </c>
      <c r="CC217" s="90">
        <f t="shared" si="173"/>
        <v>0</v>
      </c>
      <c r="CD217" s="90">
        <f t="shared" si="173"/>
        <v>0</v>
      </c>
      <c r="CE217" s="90">
        <f t="shared" si="173"/>
        <v>0</v>
      </c>
      <c r="CF217" s="90">
        <f t="shared" si="173"/>
        <v>0</v>
      </c>
      <c r="CG217" s="90">
        <f t="shared" si="173"/>
        <v>0</v>
      </c>
      <c r="CH217" s="90">
        <f t="shared" si="173"/>
        <v>0</v>
      </c>
    </row>
    <row r="218" spans="1:86" ht="13" outlineLevel="1">
      <c r="A218" s="13"/>
      <c r="B218" s="13" t="s">
        <v>326</v>
      </c>
      <c r="C218" s="13"/>
      <c r="D218" s="13" t="s">
        <v>238</v>
      </c>
      <c r="E218" s="88">
        <f t="shared" si="170"/>
        <v>0.19599999999999984</v>
      </c>
      <c r="F218" s="48"/>
      <c r="G218" s="90">
        <f>IF(G15="committed", 1*G14*G9*IF($C17=TRUE,(1-'Get Started  2'!$E10),1), G267*G14*G9*IF($C17=TRUE,(1-'Get Started  2'!$E10),1) )</f>
        <v>4.8999999999999998E-3</v>
      </c>
      <c r="H218" s="90">
        <f>IF(H15="committed", 1*H14*H9*IF($C17=TRUE,(1-'Get Started  2'!$E10),1), H267*H14*H9*IF($C17=TRUE,(1-'Get Started  2'!$E10),1) )</f>
        <v>4.8999999999999998E-3</v>
      </c>
      <c r="I218" s="90">
        <f>IF(I15="committed", 1*I14*I9*IF($C17=TRUE,(1-'Get Started  2'!$E10),1), I267*I14*I9*IF($C17=TRUE,(1-'Get Started  2'!$E10),1) )</f>
        <v>4.8999999999999998E-3</v>
      </c>
      <c r="J218" s="90">
        <f>IF(J15="committed", 1*J14*J9*IF($C17=TRUE,(1-'Get Started  2'!$E10),1), J267*J14*J9*IF($C17=TRUE,(1-'Get Started  2'!$E10),1) )</f>
        <v>4.8999999999999998E-3</v>
      </c>
      <c r="K218" s="90">
        <f>IF(K15="committed", 1*K14*K9*IF($C17=TRUE,(1-'Get Started  2'!$E10),1), K267*K14*K9*IF($C17=TRUE,(1-'Get Started  2'!$E10),1) )</f>
        <v>4.8999999999999998E-3</v>
      </c>
      <c r="L218" s="90">
        <f>IF(L15="committed", 1*L14*L9*IF($C17=TRUE,(1-'Get Started  2'!$E10),1), L267*L14*L9*IF($C17=TRUE,(1-'Get Started  2'!$E10),1) )</f>
        <v>4.8999999999999998E-3</v>
      </c>
      <c r="M218" s="90">
        <f>IF(M15="committed", 1*M14*M9*IF($C17=TRUE,(1-'Get Started  2'!$E10),1), M267*M14*M9*IF($C17=TRUE,(1-'Get Started  2'!$E10),1) )</f>
        <v>4.8999999999999998E-3</v>
      </c>
      <c r="N218" s="90">
        <f>IF(N15="committed", 1*N14*N9*IF($C17=TRUE,(1-'Get Started  2'!$E10),1), N267*N14*N9*IF($C17=TRUE,(1-'Get Started  2'!$E10),1) )</f>
        <v>4.8999999999999998E-3</v>
      </c>
      <c r="O218" s="90">
        <f>IF(O15="committed", 1*O14*O9*IF($C17=TRUE,(1-'Get Started  2'!$E10),1), O267*O14*O9*IF($C17=TRUE,(1-'Get Started  2'!$E10),1) )</f>
        <v>4.8999999999999998E-3</v>
      </c>
      <c r="P218" s="90">
        <f>IF(P15="committed", 1*P14*P9*IF($C17=TRUE,(1-'Get Started  2'!$E10),1), P267*P14*P9*IF($C17=TRUE,(1-'Get Started  2'!$E10),1) )</f>
        <v>4.8999999999999998E-3</v>
      </c>
      <c r="Q218" s="90">
        <f>IF(Q15="committed", 1*Q14*Q9*IF($C17=TRUE,(1-'Get Started  2'!$E10),1), Q267*Q14*Q9*IF($C17=TRUE,(1-'Get Started  2'!$E10),1) )</f>
        <v>4.8999999999999998E-3</v>
      </c>
      <c r="R218" s="90">
        <f>IF(R15="committed", 1*R14*R9*IF($C17=TRUE,(1-'Get Started  2'!$E10),1), R267*R14*R9*IF($C17=TRUE,(1-'Get Started  2'!$E10),1) )</f>
        <v>4.8999999999999998E-3</v>
      </c>
      <c r="S218" s="90">
        <f>IF(S15="committed", 1*S14*S9*IF($C17=TRUE,(1-'Get Started  2'!$E10),1), S267*S14*S9*IF($C17=TRUE,(1-'Get Started  2'!$E10),1) )</f>
        <v>4.8999999999999998E-3</v>
      </c>
      <c r="T218" s="90">
        <f>IF(T15="committed", 1*T14*T9*IF($C17=TRUE,(1-'Get Started  2'!$E10),1), T267*T14*T9*IF($C17=TRUE,(1-'Get Started  2'!$E10),1) )</f>
        <v>4.8999999999999998E-3</v>
      </c>
      <c r="U218" s="90">
        <f>IF(U15="committed", 1*U14*U9*IF($C17=TRUE,(1-'Get Started  2'!$E10),1), U267*U14*U9*IF($C17=TRUE,(1-'Get Started  2'!$E10),1) )</f>
        <v>4.8999999999999998E-3</v>
      </c>
      <c r="V218" s="90">
        <f>IF(V15="committed", 1*V14*V9*IF($C17=TRUE,(1-'Get Started  2'!$E10),1), V267*V14*V9*IF($C17=TRUE,(1-'Get Started  2'!$E10),1) )</f>
        <v>4.8999999999999998E-3</v>
      </c>
      <c r="W218" s="90">
        <f>IF(W15="committed", 1*W14*W9*IF($C17=TRUE,(1-'Get Started  2'!$E10),1), W267*W14*W9*IF($C17=TRUE,(1-'Get Started  2'!$E10),1) )</f>
        <v>4.8999999999999998E-3</v>
      </c>
      <c r="X218" s="90">
        <f>IF(X15="committed", 1*X14*X9*IF($C17=TRUE,(1-'Get Started  2'!$E10),1), X267*X14*X9*IF($C17=TRUE,(1-'Get Started  2'!$E10),1) )</f>
        <v>4.8999999999999998E-3</v>
      </c>
      <c r="Y218" s="90">
        <f>IF(Y15="committed", 1*Y14*Y9*IF($C17=TRUE,(1-'Get Started  2'!$E10),1), Y267*Y14*Y9*IF($C17=TRUE,(1-'Get Started  2'!$E10),1) )</f>
        <v>4.8999999999999998E-3</v>
      </c>
      <c r="Z218" s="90">
        <f>IF(Z15="committed", 1*Z14*Z9*IF($C17=TRUE,(1-'Get Started  2'!$E10),1), Z267*Z14*Z9*IF($C17=TRUE,(1-'Get Started  2'!$E10),1) )</f>
        <v>4.8999999999999998E-3</v>
      </c>
      <c r="AA218" s="90">
        <f>IF(AA15="committed", 1*AA14*AA9*IF($C17=TRUE,(1-'Get Started  2'!$E10),1), AA267*AA14*AA9*IF($C17=TRUE,(1-'Get Started  2'!$E10),1) )</f>
        <v>4.8999999999999998E-3</v>
      </c>
      <c r="AB218" s="90">
        <f>IF(AB15="committed", 1*AB14*AB9*IF($C17=TRUE,(1-'Get Started  2'!$E10),1), AB267*AB14*AB9*IF($C17=TRUE,(1-'Get Started  2'!$E10),1) )</f>
        <v>4.8999999999999998E-3</v>
      </c>
      <c r="AC218" s="90">
        <f>IF(AC15="committed", 1*AC14*AC9*IF($C17=TRUE,(1-'Get Started  2'!$E10),1), AC267*AC14*AC9*IF($C17=TRUE,(1-'Get Started  2'!$E10),1) )</f>
        <v>4.8999999999999998E-3</v>
      </c>
      <c r="AD218" s="90">
        <f>IF(AD15="committed", 1*AD14*AD9*IF($C17=TRUE,(1-'Get Started  2'!$E10),1), AD267*AD14*AD9*IF($C17=TRUE,(1-'Get Started  2'!$E10),1) )</f>
        <v>4.8999999999999998E-3</v>
      </c>
      <c r="AE218" s="90">
        <f>IF(AE15="committed", 1*AE14*AE9*IF($C17=TRUE,(1-'Get Started  2'!$E10),1), AE267*AE14*AE9*IF($C17=TRUE,(1-'Get Started  2'!$E10),1) )</f>
        <v>4.8999999999999998E-3</v>
      </c>
      <c r="AF218" s="90">
        <f>IF(AF15="committed", 1*AF14*AF9*IF($C17=TRUE,(1-'Get Started  2'!$E10),1), AF267*AF14*AF9*IF($C17=TRUE,(1-'Get Started  2'!$E10),1) )</f>
        <v>4.8999999999999998E-3</v>
      </c>
      <c r="AG218" s="90">
        <f>IF(AG15="committed", 1*AG14*AG9*IF($C17=TRUE,(1-'Get Started  2'!$E10),1), AG267*AG14*AG9*IF($C17=TRUE,(1-'Get Started  2'!$E10),1) )</f>
        <v>4.8999999999999998E-3</v>
      </c>
      <c r="AH218" s="90">
        <f>IF(AH15="committed", 1*AH14*AH9*IF($C17=TRUE,(1-'Get Started  2'!$E10),1), AH267*AH14*AH9*IF($C17=TRUE,(1-'Get Started  2'!$E10),1) )</f>
        <v>4.8999999999999998E-3</v>
      </c>
      <c r="AI218" s="90">
        <f>IF(AI15="committed", 1*AI14*AI9*IF($C17=TRUE,(1-'Get Started  2'!$E10),1), AI267*AI14*AI9*IF($C17=TRUE,(1-'Get Started  2'!$E10),1) )</f>
        <v>4.8999999999999998E-3</v>
      </c>
      <c r="AJ218" s="90">
        <f>IF(AJ15="committed", 1*AJ14*AJ9*IF($C17=TRUE,(1-'Get Started  2'!$E10),1), AJ267*AJ14*AJ9*IF($C17=TRUE,(1-'Get Started  2'!$E10),1) )</f>
        <v>4.8999999999999998E-3</v>
      </c>
      <c r="AK218" s="90">
        <f>IF(AK15="committed", 1*AK14*AK9*IF($C17=TRUE,(1-'Get Started  2'!$E10),1), AK267*AK14*AK9*IF($C17=TRUE,(1-'Get Started  2'!$E10),1) )</f>
        <v>4.8999999999999998E-3</v>
      </c>
      <c r="AL218" s="90">
        <f>IF(AL15="committed", 1*AL14*AL9*IF($C17=TRUE,(1-'Get Started  2'!$E10),1), AL267*AL14*AL9*IF($C17=TRUE,(1-'Get Started  2'!$E10),1) )</f>
        <v>4.8999999999999998E-3</v>
      </c>
      <c r="AM218" s="90">
        <f>IF(AM15="committed", 1*AM14*AM9*IF($C17=TRUE,(1-'Get Started  2'!$E10),1), AM267*AM14*AM9*IF($C17=TRUE,(1-'Get Started  2'!$E10),1) )</f>
        <v>4.8999999999999998E-3</v>
      </c>
      <c r="AN218" s="90">
        <f>IF(AN15="committed", 1*AN14*AN9*IF($C17=TRUE,(1-'Get Started  2'!$E10),1), AN267*AN14*AN9*IF($C17=TRUE,(1-'Get Started  2'!$E10),1) )</f>
        <v>4.8999999999999998E-3</v>
      </c>
      <c r="AO218" s="90">
        <f>IF(AO15="committed", 1*AO14*AO9*IF($C17=TRUE,(1-'Get Started  2'!$E10),1), AO267*AO14*AO9*IF($C17=TRUE,(1-'Get Started  2'!$E10),1) )</f>
        <v>4.8999999999999998E-3</v>
      </c>
      <c r="AP218" s="90">
        <f>IF(AP15="committed", 1*AP14*AP9*IF($C17=TRUE,(1-'Get Started  2'!$E10),1), AP267*AP14*AP9*IF($C17=TRUE,(1-'Get Started  2'!$E10),1) )</f>
        <v>4.8999999999999998E-3</v>
      </c>
      <c r="AQ218" s="90">
        <f>IF(AQ15="committed", 1*AQ14*AQ9*IF($C17=TRUE,(1-'Get Started  2'!$E10),1), AQ267*AQ14*AQ9*IF($C17=TRUE,(1-'Get Started  2'!$E10),1) )</f>
        <v>4.8999999999999998E-3</v>
      </c>
      <c r="AR218" s="90">
        <f>IF(AR15="committed", 1*AR14*AR9*IF($C17=TRUE,(1-'Get Started  2'!$E10),1), AR267*AR14*AR9*IF($C17=TRUE,(1-'Get Started  2'!$E10),1) )</f>
        <v>4.8999999999999998E-3</v>
      </c>
      <c r="AS218" s="90">
        <f>IF(AS15="committed", 1*AS14*AS9*IF($C17=TRUE,(1-'Get Started  2'!$E10),1), AS267*AS14*AS9*IF($C17=TRUE,(1-'Get Started  2'!$E10),1) )</f>
        <v>4.8999999999999998E-3</v>
      </c>
      <c r="AT218" s="90">
        <f>IF(AT15="committed", 1*AT14*AT9*IF($C17=TRUE,(1-'Get Started  2'!$E10),1), AT267*AT14*AT9*IF($C17=TRUE,(1-'Get Started  2'!$E10),1) )</f>
        <v>4.8999999999999998E-3</v>
      </c>
      <c r="AU218" s="90">
        <f>IF(AU15="committed", 1*AU14*AU9*IF($C17=TRUE,(1-'Get Started  2'!$E10),1), AU267*AU14*AU9*IF($C17=TRUE,(1-'Get Started  2'!$E10),1) )</f>
        <v>0</v>
      </c>
      <c r="AV218" s="90">
        <f>IF(AV15="committed", 1*AV14*AV9*IF($C17=TRUE,(1-'Get Started  2'!$E10),1), AV267*AV14*AV9*IF($C17=TRUE,(1-'Get Started  2'!$E10),1) )</f>
        <v>0</v>
      </c>
      <c r="AW218" s="90">
        <f>IF(AW15="committed", 1*AW14*AW9*IF($C17=TRUE,(1-'Get Started  2'!$E10),1), AW267*AW14*AW9*IF($C17=TRUE,(1-'Get Started  2'!$E10),1) )</f>
        <v>0</v>
      </c>
      <c r="AX218" s="90">
        <f>IF(AX15="committed", 1*AX14*AX9*IF($C17=TRUE,(1-'Get Started  2'!$E10),1), AX267*AX14*AX9*IF($C17=TRUE,(1-'Get Started  2'!$E10),1) )</f>
        <v>0</v>
      </c>
      <c r="AY218" s="90">
        <f>IF(AY15="committed", 1*AY14*AY9*IF($C17=TRUE,(1-'Get Started  2'!$E10),1), AY267*AY14*AY9*IF($C17=TRUE,(1-'Get Started  2'!$E10),1) )</f>
        <v>0</v>
      </c>
      <c r="AZ218" s="90">
        <f>IF(AZ15="committed", 1*AZ14*AZ9*IF($C17=TRUE,(1-'Get Started  2'!$E10),1), AZ267*AZ14*AZ9*IF($C17=TRUE,(1-'Get Started  2'!$E10),1) )</f>
        <v>0</v>
      </c>
      <c r="BA218" s="90">
        <f>IF(BA15="committed", 1*BA14*BA9*IF($C17=TRUE,(1-'Get Started  2'!$E10),1), BA267*BA14*BA9*IF($C17=TRUE,(1-'Get Started  2'!$E10),1) )</f>
        <v>0</v>
      </c>
      <c r="BB218" s="90">
        <f>IF(BB15="committed", 1*BB14*BB9*IF($C17=TRUE,(1-'Get Started  2'!$E10),1), BB267*BB14*BB9*IF($C17=TRUE,(1-'Get Started  2'!$E10),1) )</f>
        <v>0</v>
      </c>
      <c r="BC218" s="90">
        <f>IF(BC15="committed", 1*BC14*BC9*IF($C17=TRUE,(1-'Get Started  2'!$E10),1), BC267*BC14*BC9*IF($C17=TRUE,(1-'Get Started  2'!$E10),1) )</f>
        <v>0</v>
      </c>
      <c r="BD218" s="90">
        <f>IF(BD15="committed", 1*BD14*BD9*IF($C17=TRUE,(1-'Get Started  2'!$E10),1), BD267*BD14*BD9*IF($C17=TRUE,(1-'Get Started  2'!$E10),1) )</f>
        <v>0</v>
      </c>
      <c r="BE218" s="90">
        <f>IF(BE15="committed", 1*BE14*BE9*IF($C17=TRUE,(1-'Get Started  2'!$E10),1), BE267*BE14*BE9*IF($C17=TRUE,(1-'Get Started  2'!$E10),1) )</f>
        <v>0</v>
      </c>
      <c r="BF218" s="90">
        <f>IF(BF15="committed", 1*BF14*BF9*IF($C17=TRUE,(1-'Get Started  2'!$E10),1), BF267*BF14*BF9*IF($C17=TRUE,(1-'Get Started  2'!$E10),1) )</f>
        <v>0</v>
      </c>
      <c r="BG218" s="90">
        <f>IF(BG15="committed", 1*BG14*BG9*IF($C17=TRUE,(1-'Get Started  2'!$E10),1), BG267*BG14*BG9*IF($C17=TRUE,(1-'Get Started  2'!$E10),1) )</f>
        <v>0</v>
      </c>
      <c r="BH218" s="90">
        <f>IF(BH15="committed", 1*BH14*BH9*IF($C17=TRUE,(1-'Get Started  2'!$E10),1), BH267*BH14*BH9*IF($C17=TRUE,(1-'Get Started  2'!$E10),1) )</f>
        <v>0</v>
      </c>
      <c r="BI218" s="90">
        <f>IF(BI15="committed", 1*BI14*BI9*IF($C17=TRUE,(1-'Get Started  2'!$E10),1), BI267*BI14*BI9*IF($C17=TRUE,(1-'Get Started  2'!$E10),1) )</f>
        <v>0</v>
      </c>
      <c r="BJ218" s="90">
        <f>IF(BJ15="committed", 1*BJ14*BJ9*IF($C17=TRUE,(1-'Get Started  2'!$E10),1), BJ267*BJ14*BJ9*IF($C17=TRUE,(1-'Get Started  2'!$E10),1) )</f>
        <v>0</v>
      </c>
      <c r="BK218" s="90">
        <f>IF(BK15="committed", 1*BK14*BK9*IF($C17=TRUE,(1-'Get Started  2'!$E10),1), BK267*BK14*BK9*IF($C17=TRUE,(1-'Get Started  2'!$E10),1) )</f>
        <v>0</v>
      </c>
      <c r="BL218" s="90">
        <f>IF(BL15="committed", 1*BL14*BL9*IF($C17=TRUE,(1-'Get Started  2'!$E10),1), BL267*BL14*BL9*IF($C17=TRUE,(1-'Get Started  2'!$E10),1) )</f>
        <v>0</v>
      </c>
      <c r="BM218" s="90">
        <f>IF(BM15="committed", 1*BM14*BM9*IF($C17=TRUE,(1-'Get Started  2'!$E10),1), BM267*BM14*BM9*IF($C17=TRUE,(1-'Get Started  2'!$E10),1) )</f>
        <v>0</v>
      </c>
      <c r="BN218" s="90">
        <f>IF(BN15="committed", 1*BN14*BN9*IF($C17=TRUE,(1-'Get Started  2'!$E10),1), BN267*BN14*BN9*IF($C17=TRUE,(1-'Get Started  2'!$E10),1) )</f>
        <v>0</v>
      </c>
      <c r="BO218" s="90">
        <f>IF(BO15="committed", 1*BO14*BO9*IF($C17=TRUE,(1-'Get Started  2'!$E10),1), BO267*BO14*BO9*IF($C17=TRUE,(1-'Get Started  2'!$E10),1) )</f>
        <v>0</v>
      </c>
      <c r="BP218" s="90">
        <f>IF(BP15="committed", 1*BP14*BP9*IF($C17=TRUE,(1-'Get Started  2'!$E10),1), BP267*BP14*BP9*IF($C17=TRUE,(1-'Get Started  2'!$E10),1) )</f>
        <v>0</v>
      </c>
      <c r="BQ218" s="90">
        <f>IF(BQ15="committed", 1*BQ14*BQ9*IF($C17=TRUE,(1-'Get Started  2'!$E10),1), BQ267*BQ14*BQ9*IF($C17=TRUE,(1-'Get Started  2'!$E10),1) )</f>
        <v>0</v>
      </c>
      <c r="BR218" s="90">
        <f>IF(BR15="committed", 1*BR14*BR9*IF($C17=TRUE,(1-'Get Started  2'!$E10),1), BR267*BR14*BR9*IF($C17=TRUE,(1-'Get Started  2'!$E10),1) )</f>
        <v>0</v>
      </c>
      <c r="BS218" s="90">
        <f>IF(BS15="committed", 1*BS14*BS9*IF($C17=TRUE,(1-'Get Started  2'!$E10),1), BS267*BS14*BS9*IF($C17=TRUE,(1-'Get Started  2'!$E10),1) )</f>
        <v>0</v>
      </c>
      <c r="BT218" s="90">
        <f>IF(BT15="committed", 1*BT14*BT9*IF($C17=TRUE,(1-'Get Started  2'!$E10),1), BT267*BT14*BT9*IF($C17=TRUE,(1-'Get Started  2'!$E10),1) )</f>
        <v>0</v>
      </c>
      <c r="BU218" s="90">
        <f>IF(BU15="committed", 1*BU14*BU9*IF($C17=TRUE,(1-'Get Started  2'!$E10),1), BU267*BU14*BU9*IF($C17=TRUE,(1-'Get Started  2'!$E10),1) )</f>
        <v>0</v>
      </c>
      <c r="BV218" s="90">
        <f>IF(BV15="committed", 1*BV14*BV9*IF($C17=TRUE,(1-'Get Started  2'!$E10),1), BV267*BV14*BV9*IF($C17=TRUE,(1-'Get Started  2'!$E10),1) )</f>
        <v>0</v>
      </c>
      <c r="BW218" s="90">
        <f>IF(BW15="committed", 1*BW14*BW9*IF($C17=TRUE,(1-'Get Started  2'!$E10),1), BW267*BW14*BW9*IF($C17=TRUE,(1-'Get Started  2'!$E10),1) )</f>
        <v>0</v>
      </c>
      <c r="BX218" s="90">
        <f>IF(BX15="committed", 1*BX14*BX9*IF($C17=TRUE,(1-'Get Started  2'!$E10),1), BX267*BX14*BX9*IF($C17=TRUE,(1-'Get Started  2'!$E10),1) )</f>
        <v>0</v>
      </c>
      <c r="BY218" s="90">
        <f>IF(BY15="committed", 1*BY14*BY9*IF($C17=TRUE,(1-'Get Started  2'!$E10),1), BY267*BY14*BY9*IF($C17=TRUE,(1-'Get Started  2'!$E10),1) )</f>
        <v>0</v>
      </c>
      <c r="BZ218" s="90">
        <f>IF(BZ15="committed", 1*BZ14*BZ9*IF($C17=TRUE,(1-'Get Started  2'!$E10),1), BZ267*BZ14*BZ9*IF($C17=TRUE,(1-'Get Started  2'!$E10),1) )</f>
        <v>0</v>
      </c>
      <c r="CA218" s="90">
        <f>IF(CA15="committed", 1*CA14*CA9*IF($C17=TRUE,(1-'Get Started  2'!$E10),1), CA267*CA14*CA9*IF($C17=TRUE,(1-'Get Started  2'!$E10),1) )</f>
        <v>0</v>
      </c>
      <c r="CB218" s="90">
        <f>IF(CB15="committed", 1*CB14*CB9*IF($C17=TRUE,(1-'Get Started  2'!$E10),1), CB267*CB14*CB9*IF($C17=TRUE,(1-'Get Started  2'!$E10),1) )</f>
        <v>0</v>
      </c>
      <c r="CC218" s="90">
        <f>IF(CC15="committed", 1*CC14*CC9*IF($C17=TRUE,(1-'Get Started  2'!$E10),1), CC267*CC14*CC9*IF($C17=TRUE,(1-'Get Started  2'!$E10),1) )</f>
        <v>0</v>
      </c>
      <c r="CD218" s="90">
        <f>IF(CD15="committed", 1*CD14*CD9*IF($C17=TRUE,(1-'Get Started  2'!$E10),1), CD267*CD14*CD9*IF($C17=TRUE,(1-'Get Started  2'!$E10),1) )</f>
        <v>0</v>
      </c>
      <c r="CE218" s="90">
        <f>IF(CE15="committed", 1*CE14*CE9*IF($C17=TRUE,(1-'Get Started  2'!$E10),1), CE267*CE14*CE9*IF($C17=TRUE,(1-'Get Started  2'!$E10),1) )</f>
        <v>0</v>
      </c>
      <c r="CF218" s="90">
        <f>IF(CF15="committed", 1*CF14*CF9*IF($C17=TRUE,(1-'Get Started  2'!$E10),1), CF267*CF14*CF9*IF($C17=TRUE,(1-'Get Started  2'!$E10),1) )</f>
        <v>0</v>
      </c>
      <c r="CG218" s="90">
        <f>IF(CG15="committed", 1*CG14*CG9*IF($C17=TRUE,(1-'Get Started  2'!$E10),1), CG267*CG14*CG9*IF($C17=TRUE,(1-'Get Started  2'!$E10),1) )</f>
        <v>0</v>
      </c>
      <c r="CH218" s="90">
        <f>IF(CH15="committed", 1*CH14*CH9*IF($C17=TRUE,(1-'Get Started  2'!$E10),1), CH267*CH14*CH9*IF($C17=TRUE,(1-'Get Started  2'!$E10),1) )</f>
        <v>0</v>
      </c>
    </row>
    <row r="219" spans="1:86" ht="13" outlineLevel="1">
      <c r="A219" s="13"/>
      <c r="B219" s="13" t="s">
        <v>327</v>
      </c>
      <c r="C219" s="13"/>
      <c r="D219" s="13" t="s">
        <v>238</v>
      </c>
      <c r="E219" s="88">
        <f t="shared" ca="1" si="170"/>
        <v>4.1708333333333333E-2</v>
      </c>
      <c r="F219" s="48"/>
      <c r="G219" s="90">
        <f ca="1">MIN(G240,'Get Started  2'!$E25*IF('Get Started  2'!$E26="committed capital",1,IF(SUMPRODUCT(--('Forecast  2'!$G15:$CH15&lt;&gt;"committed"))=0,G242,F242))-F243)</f>
        <v>0</v>
      </c>
      <c r="H219" s="90">
        <f ca="1">MIN(H240,'Get Started  2'!$E25*IF('Get Started  2'!$E26="committed capital",1,IF(SUMPRODUCT(--('Forecast  2'!$G15:$CH15&lt;&gt;"committed"))=0,H242,G242))-G243)</f>
        <v>0</v>
      </c>
      <c r="I219" s="90">
        <f ca="1">MIN(I240,'Get Started  2'!$E25*IF('Get Started  2'!$E26="committed capital",1,IF(SUMPRODUCT(--('Forecast  2'!$G15:$CH15&lt;&gt;"committed"))=0,I242,H242))-H243)</f>
        <v>0</v>
      </c>
      <c r="J219" s="90">
        <f ca="1">MIN(J240,'Get Started  2'!$E25*IF('Get Started  2'!$E26="committed capital",1,IF(SUMPRODUCT(--('Forecast  2'!$G15:$CH15&lt;&gt;"committed"))=0,J242,I242))-I243)</f>
        <v>0</v>
      </c>
      <c r="K219" s="90">
        <f ca="1">MIN(K240,'Get Started  2'!$E25*IF('Get Started  2'!$E26="committed capital",1,IF(SUMPRODUCT(--('Forecast  2'!$G15:$CH15&lt;&gt;"committed"))=0,K242,J242))-J243)</f>
        <v>0</v>
      </c>
      <c r="L219" s="90">
        <f ca="1">MIN(L240,'Get Started  2'!$E25*IF('Get Started  2'!$E26="committed capital",1,IF(SUMPRODUCT(--('Forecast  2'!$G15:$CH15&lt;&gt;"committed"))=0,L242,K242))-K243)</f>
        <v>0</v>
      </c>
      <c r="M219" s="90">
        <f ca="1">MIN(M240,'Get Started  2'!$E25*IF('Get Started  2'!$E26="committed capital",1,IF(SUMPRODUCT(--('Forecast  2'!$G15:$CH15&lt;&gt;"committed"))=0,M242,L242))-L243)</f>
        <v>0</v>
      </c>
      <c r="N219" s="90">
        <f ca="1">MIN(N240,'Get Started  2'!$E25*IF('Get Started  2'!$E26="committed capital",1,IF(SUMPRODUCT(--('Forecast  2'!$G15:$CH15&lt;&gt;"committed"))=0,N242,M242))-M243)</f>
        <v>0</v>
      </c>
      <c r="O219" s="90">
        <f ca="1">MIN(O240,'Get Started  2'!$E25*IF('Get Started  2'!$E26="committed capital",1,IF(SUMPRODUCT(--('Forecast  2'!$G15:$CH15&lt;&gt;"committed"))=0,O242,N242))-N243)</f>
        <v>0</v>
      </c>
      <c r="P219" s="90">
        <f ca="1">MIN(P240,'Get Started  2'!$E25*IF('Get Started  2'!$E26="committed capital",1,IF(SUMPRODUCT(--('Forecast  2'!$G15:$CH15&lt;&gt;"committed"))=0,P242,O242))-O243)</f>
        <v>0</v>
      </c>
      <c r="Q219" s="90">
        <f ca="1">MIN(Q240,'Get Started  2'!$E25*IF('Get Started  2'!$E26="committed capital",1,IF(SUMPRODUCT(--('Forecast  2'!$G15:$CH15&lt;&gt;"committed"))=0,Q242,P242))-P243)</f>
        <v>0</v>
      </c>
      <c r="R219" s="90">
        <f ca="1">MIN(R240,'Get Started  2'!$E25*IF('Get Started  2'!$E26="committed capital",1,IF(SUMPRODUCT(--('Forecast  2'!$G15:$CH15&lt;&gt;"committed"))=0,R242,Q242))-Q243)</f>
        <v>0</v>
      </c>
      <c r="S219" s="90">
        <f ca="1">MIN(S240,'Get Started  2'!$E25*IF('Get Started  2'!$E26="committed capital",1,IF(SUMPRODUCT(--('Forecast  2'!$G15:$CH15&lt;&gt;"committed"))=0,S242,R242))-R243)</f>
        <v>1.0427083333333333E-2</v>
      </c>
      <c r="T219" s="90">
        <f ca="1">MIN(T240,'Get Started  2'!$E25*IF('Get Started  2'!$E26="committed capital",1,IF(SUMPRODUCT(--('Forecast  2'!$G15:$CH15&lt;&gt;"committed"))=0,T242,S242))-S243)</f>
        <v>1.0427083333333333E-2</v>
      </c>
      <c r="U219" s="90">
        <f ca="1">MIN(U240,'Get Started  2'!$E25*IF('Get Started  2'!$E26="committed capital",1,IF(SUMPRODUCT(--('Forecast  2'!$G15:$CH15&lt;&gt;"committed"))=0,U242,T242))-T243)</f>
        <v>1.0427083333333333E-2</v>
      </c>
      <c r="V219" s="90">
        <f ca="1">MIN(V240,'Get Started  2'!$E25*IF('Get Started  2'!$E26="committed capital",1,IF(SUMPRODUCT(--('Forecast  2'!$G15:$CH15&lt;&gt;"committed"))=0,V242,U242))-U243)</f>
        <v>1.0427083333333333E-2</v>
      </c>
      <c r="W219" s="90">
        <f ca="1">MIN(W240,'Get Started  2'!$E25*IF('Get Started  2'!$E26="committed capital",1,IF(SUMPRODUCT(--('Forecast  2'!$G15:$CH15&lt;&gt;"committed"))=0,W242,V242))-V243)</f>
        <v>0</v>
      </c>
      <c r="X219" s="90">
        <f ca="1">MIN(X240,'Get Started  2'!$E25*IF('Get Started  2'!$E26="committed capital",1,IF(SUMPRODUCT(--('Forecast  2'!$G15:$CH15&lt;&gt;"committed"))=0,X242,W242))-W243)</f>
        <v>0</v>
      </c>
      <c r="Y219" s="90">
        <f ca="1">MIN(Y240,'Get Started  2'!$E25*IF('Get Started  2'!$E26="committed capital",1,IF(SUMPRODUCT(--('Forecast  2'!$G15:$CH15&lt;&gt;"committed"))=0,Y242,X242))-X243)</f>
        <v>0</v>
      </c>
      <c r="Z219" s="90">
        <f ca="1">MIN(Z240,'Get Started  2'!$E25*IF('Get Started  2'!$E26="committed capital",1,IF(SUMPRODUCT(--('Forecast  2'!$G15:$CH15&lt;&gt;"committed"))=0,Z242,Y242))-Y243)</f>
        <v>0</v>
      </c>
      <c r="AA219" s="90">
        <f ca="1">MIN(AA240,'Get Started  2'!$E25*IF('Get Started  2'!$E26="committed capital",1,IF(SUMPRODUCT(--('Forecast  2'!$G15:$CH15&lt;&gt;"committed"))=0,AA242,Z242))-Z243)</f>
        <v>0</v>
      </c>
      <c r="AB219" s="90">
        <f ca="1">MIN(AB240,'Get Started  2'!$E25*IF('Get Started  2'!$E26="committed capital",1,IF(SUMPRODUCT(--('Forecast  2'!$G15:$CH15&lt;&gt;"committed"))=0,AB242,AA242))-AA243)</f>
        <v>0</v>
      </c>
      <c r="AC219" s="90">
        <f ca="1">MIN(AC240,'Get Started  2'!$E25*IF('Get Started  2'!$E26="committed capital",1,IF(SUMPRODUCT(--('Forecast  2'!$G15:$CH15&lt;&gt;"committed"))=0,AC242,AB242))-AB243)</f>
        <v>0</v>
      </c>
      <c r="AD219" s="90">
        <f ca="1">MIN(AD240,'Get Started  2'!$E25*IF('Get Started  2'!$E26="committed capital",1,IF(SUMPRODUCT(--('Forecast  2'!$G15:$CH15&lt;&gt;"committed"))=0,AD242,AC242))-AC243)</f>
        <v>0</v>
      </c>
      <c r="AE219" s="90">
        <f ca="1">MIN(AE240,'Get Started  2'!$E25*IF('Get Started  2'!$E26="committed capital",1,IF(SUMPRODUCT(--('Forecast  2'!$G15:$CH15&lt;&gt;"committed"))=0,AE242,AD242))-AD243)</f>
        <v>0</v>
      </c>
      <c r="AF219" s="90">
        <f ca="1">MIN(AF240,'Get Started  2'!$E25*IF('Get Started  2'!$E26="committed capital",1,IF(SUMPRODUCT(--('Forecast  2'!$G15:$CH15&lt;&gt;"committed"))=0,AF242,AE242))-AE243)</f>
        <v>0</v>
      </c>
      <c r="AG219" s="90">
        <f ca="1">MIN(AG240,'Get Started  2'!$E25*IF('Get Started  2'!$E26="committed capital",1,IF(SUMPRODUCT(--('Forecast  2'!$G15:$CH15&lt;&gt;"committed"))=0,AG242,AF242))-AF243)</f>
        <v>0</v>
      </c>
      <c r="AH219" s="90">
        <f ca="1">MIN(AH240,'Get Started  2'!$E25*IF('Get Started  2'!$E26="committed capital",1,IF(SUMPRODUCT(--('Forecast  2'!$G15:$CH15&lt;&gt;"committed"))=0,AH242,AG242))-AG243)</f>
        <v>0</v>
      </c>
      <c r="AI219" s="90">
        <f ca="1">MIN(AI240,'Get Started  2'!$E25*IF('Get Started  2'!$E26="committed capital",1,IF(SUMPRODUCT(--('Forecast  2'!$G15:$CH15&lt;&gt;"committed"))=0,AI242,AH242))-AH243)</f>
        <v>0</v>
      </c>
      <c r="AJ219" s="90">
        <f ca="1">MIN(AJ240,'Get Started  2'!$E25*IF('Get Started  2'!$E26="committed capital",1,IF(SUMPRODUCT(--('Forecast  2'!$G15:$CH15&lt;&gt;"committed"))=0,AJ242,AI242))-AI243)</f>
        <v>0</v>
      </c>
      <c r="AK219" s="90">
        <f ca="1">MIN(AK240,'Get Started  2'!$E25*IF('Get Started  2'!$E26="committed capital",1,IF(SUMPRODUCT(--('Forecast  2'!$G15:$CH15&lt;&gt;"committed"))=0,AK242,AJ242))-AJ243)</f>
        <v>0</v>
      </c>
      <c r="AL219" s="90">
        <f ca="1">MIN(AL240,'Get Started  2'!$E25*IF('Get Started  2'!$E26="committed capital",1,IF(SUMPRODUCT(--('Forecast  2'!$G15:$CH15&lt;&gt;"committed"))=0,AL242,AK242))-AK243)</f>
        <v>0</v>
      </c>
      <c r="AM219" s="90">
        <f ca="1">MIN(AM240,'Get Started  2'!$E25*IF('Get Started  2'!$E26="committed capital",1,IF(SUMPRODUCT(--('Forecast  2'!$G15:$CH15&lt;&gt;"committed"))=0,AM242,AL242))-AL243)</f>
        <v>0</v>
      </c>
      <c r="AN219" s="90">
        <f ca="1">MIN(AN240,'Get Started  2'!$E25*IF('Get Started  2'!$E26="committed capital",1,IF(SUMPRODUCT(--('Forecast  2'!$G15:$CH15&lt;&gt;"committed"))=0,AN242,AM242))-AM243)</f>
        <v>0</v>
      </c>
      <c r="AO219" s="90">
        <f ca="1">MIN(AO240,'Get Started  2'!$E25*IF('Get Started  2'!$E26="committed capital",1,IF(SUMPRODUCT(--('Forecast  2'!$G15:$CH15&lt;&gt;"committed"))=0,AO242,AN242))-AN243)</f>
        <v>0</v>
      </c>
      <c r="AP219" s="90">
        <f ca="1">MIN(AP240,'Get Started  2'!$E25*IF('Get Started  2'!$E26="committed capital",1,IF(SUMPRODUCT(--('Forecast  2'!$G15:$CH15&lt;&gt;"committed"))=0,AP242,AO242))-AO243)</f>
        <v>0</v>
      </c>
      <c r="AQ219" s="90">
        <f ca="1">MIN(AQ240,'Get Started  2'!$E25*IF('Get Started  2'!$E26="committed capital",1,IF(SUMPRODUCT(--('Forecast  2'!$G15:$CH15&lt;&gt;"committed"))=0,AQ242,AP242))-AP243)</f>
        <v>0</v>
      </c>
      <c r="AR219" s="90">
        <f ca="1">MIN(AR240,'Get Started  2'!$E25*IF('Get Started  2'!$E26="committed capital",1,IF(SUMPRODUCT(--('Forecast  2'!$G15:$CH15&lt;&gt;"committed"))=0,AR242,AQ242))-AQ243)</f>
        <v>0</v>
      </c>
      <c r="AS219" s="90">
        <f ca="1">MIN(AS240,'Get Started  2'!$E25*IF('Get Started  2'!$E26="committed capital",1,IF(SUMPRODUCT(--('Forecast  2'!$G15:$CH15&lt;&gt;"committed"))=0,AS242,AR242))-AR243)</f>
        <v>0</v>
      </c>
      <c r="AT219" s="90">
        <f ca="1">MIN(AT240,'Get Started  2'!$E25*IF('Get Started  2'!$E26="committed capital",1,IF(SUMPRODUCT(--('Forecast  2'!$G15:$CH15&lt;&gt;"committed"))=0,AT242,AS242))-AS243)</f>
        <v>0</v>
      </c>
      <c r="AU219" s="90">
        <f ca="1">MIN(AU240,'Get Started  2'!$E25*IF('Get Started  2'!$E26="committed capital",1,IF(SUMPRODUCT(--('Forecast  2'!$G15:$CH15&lt;&gt;"committed"))=0,AU242,AT242))-AT243)</f>
        <v>0</v>
      </c>
      <c r="AV219" s="90">
        <f ca="1">MIN(AV240,'Get Started  2'!$E25*IF('Get Started  2'!$E26="committed capital",1,IF(SUMPRODUCT(--('Forecast  2'!$G15:$CH15&lt;&gt;"committed"))=0,AV242,AU242))-AU243)</f>
        <v>0</v>
      </c>
      <c r="AW219" s="90">
        <f ca="1">MIN(AW240,'Get Started  2'!$E25*IF('Get Started  2'!$E26="committed capital",1,IF(SUMPRODUCT(--('Forecast  2'!$G15:$CH15&lt;&gt;"committed"))=0,AW242,AV242))-AV243)</f>
        <v>0</v>
      </c>
      <c r="AX219" s="90">
        <f ca="1">MIN(AX240,'Get Started  2'!$E25*IF('Get Started  2'!$E26="committed capital",1,IF(SUMPRODUCT(--('Forecast  2'!$G15:$CH15&lt;&gt;"committed"))=0,AX242,AW242))-AW243)</f>
        <v>0</v>
      </c>
      <c r="AY219" s="90">
        <f ca="1">MIN(AY240,'Get Started  2'!$E25*IF('Get Started  2'!$E26="committed capital",1,IF(SUMPRODUCT(--('Forecast  2'!$G15:$CH15&lt;&gt;"committed"))=0,AY242,AX242))-AX243)</f>
        <v>0</v>
      </c>
      <c r="AZ219" s="90">
        <f ca="1">MIN(AZ240,'Get Started  2'!$E25*IF('Get Started  2'!$E26="committed capital",1,IF(SUMPRODUCT(--('Forecast  2'!$G15:$CH15&lt;&gt;"committed"))=0,AZ242,AY242))-AY243)</f>
        <v>0</v>
      </c>
      <c r="BA219" s="90">
        <f ca="1">MIN(BA240,'Get Started  2'!$E25*IF('Get Started  2'!$E26="committed capital",1,IF(SUMPRODUCT(--('Forecast  2'!$G15:$CH15&lt;&gt;"committed"))=0,BA242,AZ242))-AZ243)</f>
        <v>0</v>
      </c>
      <c r="BB219" s="90">
        <f ca="1">MIN(BB240,'Get Started  2'!$E25*IF('Get Started  2'!$E26="committed capital",1,IF(SUMPRODUCT(--('Forecast  2'!$G15:$CH15&lt;&gt;"committed"))=0,BB242,BA242))-BA243)</f>
        <v>0</v>
      </c>
      <c r="BC219" s="90">
        <f ca="1">MIN(BC240,'Get Started  2'!$E25*IF('Get Started  2'!$E26="committed capital",1,IF(SUMPRODUCT(--('Forecast  2'!$G15:$CH15&lt;&gt;"committed"))=0,BC242,BB242))-BB243)</f>
        <v>0</v>
      </c>
      <c r="BD219" s="90">
        <f ca="1">MIN(BD240,'Get Started  2'!$E25*IF('Get Started  2'!$E26="committed capital",1,IF(SUMPRODUCT(--('Forecast  2'!$G15:$CH15&lt;&gt;"committed"))=0,BD242,BC242))-BC243)</f>
        <v>0</v>
      </c>
      <c r="BE219" s="90">
        <f ca="1">MIN(BE240,'Get Started  2'!$E25*IF('Get Started  2'!$E26="committed capital",1,IF(SUMPRODUCT(--('Forecast  2'!$G15:$CH15&lt;&gt;"committed"))=0,BE242,BD242))-BD243)</f>
        <v>0</v>
      </c>
      <c r="BF219" s="90">
        <f ca="1">MIN(BF240,'Get Started  2'!$E25*IF('Get Started  2'!$E26="committed capital",1,IF(SUMPRODUCT(--('Forecast  2'!$G15:$CH15&lt;&gt;"committed"))=0,BF242,BE242))-BE243)</f>
        <v>0</v>
      </c>
      <c r="BG219" s="90">
        <f ca="1">MIN(BG240,'Get Started  2'!$E25*IF('Get Started  2'!$E26="committed capital",1,IF(SUMPRODUCT(--('Forecast  2'!$G15:$CH15&lt;&gt;"committed"))=0,BG242,BF242))-BF243)</f>
        <v>0</v>
      </c>
      <c r="BH219" s="90">
        <f ca="1">MIN(BH240,'Get Started  2'!$E25*IF('Get Started  2'!$E26="committed capital",1,IF(SUMPRODUCT(--('Forecast  2'!$G15:$CH15&lt;&gt;"committed"))=0,BH242,BG242))-BG243)</f>
        <v>0</v>
      </c>
      <c r="BI219" s="90">
        <f ca="1">MIN(BI240,'Get Started  2'!$E25*IF('Get Started  2'!$E26="committed capital",1,IF(SUMPRODUCT(--('Forecast  2'!$G15:$CH15&lt;&gt;"committed"))=0,BI242,BH242))-BH243)</f>
        <v>0</v>
      </c>
      <c r="BJ219" s="90">
        <f ca="1">MIN(BJ240,'Get Started  2'!$E25*IF('Get Started  2'!$E26="committed capital",1,IF(SUMPRODUCT(--('Forecast  2'!$G15:$CH15&lt;&gt;"committed"))=0,BJ242,BI242))-BI243)</f>
        <v>0</v>
      </c>
      <c r="BK219" s="90">
        <f ca="1">MIN(BK240,'Get Started  2'!$E25*IF('Get Started  2'!$E26="committed capital",1,IF(SUMPRODUCT(--('Forecast  2'!$G15:$CH15&lt;&gt;"committed"))=0,BK242,BJ242))-BJ243)</f>
        <v>0</v>
      </c>
      <c r="BL219" s="90">
        <f ca="1">MIN(BL240,'Get Started  2'!$E25*IF('Get Started  2'!$E26="committed capital",1,IF(SUMPRODUCT(--('Forecast  2'!$G15:$CH15&lt;&gt;"committed"))=0,BL242,BK242))-BK243)</f>
        <v>0</v>
      </c>
      <c r="BM219" s="90">
        <f ca="1">MIN(BM240,'Get Started  2'!$E25*IF('Get Started  2'!$E26="committed capital",1,IF(SUMPRODUCT(--('Forecast  2'!$G15:$CH15&lt;&gt;"committed"))=0,BM242,BL242))-BL243)</f>
        <v>0</v>
      </c>
      <c r="BN219" s="90">
        <f ca="1">MIN(BN240,'Get Started  2'!$E25*IF('Get Started  2'!$E26="committed capital",1,IF(SUMPRODUCT(--('Forecast  2'!$G15:$CH15&lt;&gt;"committed"))=0,BN242,BM242))-BM243)</f>
        <v>0</v>
      </c>
      <c r="BO219" s="90">
        <f ca="1">MIN(BO240,'Get Started  2'!$E25*IF('Get Started  2'!$E26="committed capital",1,IF(SUMPRODUCT(--('Forecast  2'!$G15:$CH15&lt;&gt;"committed"))=0,BO242,BN242))-BN243)</f>
        <v>0</v>
      </c>
      <c r="BP219" s="90">
        <f ca="1">MIN(BP240,'Get Started  2'!$E25*IF('Get Started  2'!$E26="committed capital",1,IF(SUMPRODUCT(--('Forecast  2'!$G15:$CH15&lt;&gt;"committed"))=0,BP242,BO242))-BO243)</f>
        <v>0</v>
      </c>
      <c r="BQ219" s="90">
        <f ca="1">MIN(BQ240,'Get Started  2'!$E25*IF('Get Started  2'!$E26="committed capital",1,IF(SUMPRODUCT(--('Forecast  2'!$G15:$CH15&lt;&gt;"committed"))=0,BQ242,BP242))-BP243)</f>
        <v>0</v>
      </c>
      <c r="BR219" s="90">
        <f ca="1">MIN(BR240,'Get Started  2'!$E25*IF('Get Started  2'!$E26="committed capital",1,IF(SUMPRODUCT(--('Forecast  2'!$G15:$CH15&lt;&gt;"committed"))=0,BR242,BQ242))-BQ243)</f>
        <v>0</v>
      </c>
      <c r="BS219" s="90">
        <f ca="1">MIN(BS240,'Get Started  2'!$E25*IF('Get Started  2'!$E26="committed capital",1,IF(SUMPRODUCT(--('Forecast  2'!$G15:$CH15&lt;&gt;"committed"))=0,BS242,BR242))-BR243)</f>
        <v>0</v>
      </c>
      <c r="BT219" s="90">
        <f ca="1">MIN(BT240,'Get Started  2'!$E25*IF('Get Started  2'!$E26="committed capital",1,IF(SUMPRODUCT(--('Forecast  2'!$G15:$CH15&lt;&gt;"committed"))=0,BT242,BS242))-BS243)</f>
        <v>0</v>
      </c>
      <c r="BU219" s="90">
        <f ca="1">MIN(BU240,'Get Started  2'!$E25*IF('Get Started  2'!$E26="committed capital",1,IF(SUMPRODUCT(--('Forecast  2'!$G15:$CH15&lt;&gt;"committed"))=0,BU242,BT242))-BT243)</f>
        <v>0</v>
      </c>
      <c r="BV219" s="90">
        <f ca="1">MIN(BV240,'Get Started  2'!$E25*IF('Get Started  2'!$E26="committed capital",1,IF(SUMPRODUCT(--('Forecast  2'!$G15:$CH15&lt;&gt;"committed"))=0,BV242,BU242))-BU243)</f>
        <v>0</v>
      </c>
      <c r="BW219" s="90">
        <f ca="1">MIN(BW240,'Get Started  2'!$E25*IF('Get Started  2'!$E26="committed capital",1,IF(SUMPRODUCT(--('Forecast  2'!$G15:$CH15&lt;&gt;"committed"))=0,BW242,BV242))-BV243)</f>
        <v>0</v>
      </c>
      <c r="BX219" s="90">
        <f ca="1">MIN(BX240,'Get Started  2'!$E25*IF('Get Started  2'!$E26="committed capital",1,IF(SUMPRODUCT(--('Forecast  2'!$G15:$CH15&lt;&gt;"committed"))=0,BX242,BW242))-BW243)</f>
        <v>0</v>
      </c>
      <c r="BY219" s="90">
        <f ca="1">MIN(BY240,'Get Started  2'!$E25*IF('Get Started  2'!$E26="committed capital",1,IF(SUMPRODUCT(--('Forecast  2'!$G15:$CH15&lt;&gt;"committed"))=0,BY242,BX242))-BX243)</f>
        <v>0</v>
      </c>
      <c r="BZ219" s="90">
        <f ca="1">MIN(BZ240,'Get Started  2'!$E25*IF('Get Started  2'!$E26="committed capital",1,IF(SUMPRODUCT(--('Forecast  2'!$G15:$CH15&lt;&gt;"committed"))=0,BZ242,BY242))-BY243)</f>
        <v>0</v>
      </c>
      <c r="CA219" s="90">
        <f ca="1">MIN(CA240,'Get Started  2'!$E25*IF('Get Started  2'!$E26="committed capital",1,IF(SUMPRODUCT(--('Forecast  2'!$G15:$CH15&lt;&gt;"committed"))=0,CA242,BZ242))-BZ243)</f>
        <v>0</v>
      </c>
      <c r="CB219" s="90">
        <f ca="1">MIN(CB240,'Get Started  2'!$E25*IF('Get Started  2'!$E26="committed capital",1,IF(SUMPRODUCT(--('Forecast  2'!$G15:$CH15&lt;&gt;"committed"))=0,CB242,CA242))-CA243)</f>
        <v>0</v>
      </c>
      <c r="CC219" s="90">
        <f ca="1">MIN(CC240,'Get Started  2'!$E25*IF('Get Started  2'!$E26="committed capital",1,IF(SUMPRODUCT(--('Forecast  2'!$G15:$CH15&lt;&gt;"committed"))=0,CC242,CB242))-CB243)</f>
        <v>0</v>
      </c>
      <c r="CD219" s="90">
        <f ca="1">MIN(CD240,'Get Started  2'!$E25*IF('Get Started  2'!$E26="committed capital",1,IF(SUMPRODUCT(--('Forecast  2'!$G15:$CH15&lt;&gt;"committed"))=0,CD242,CC242))-CC243)</f>
        <v>0</v>
      </c>
      <c r="CE219" s="90">
        <f ca="1">MIN(CE240,'Get Started  2'!$E25*IF('Get Started  2'!$E26="committed capital",1,IF(SUMPRODUCT(--('Forecast  2'!$G15:$CH15&lt;&gt;"committed"))=0,CE242,CD242))-CD243)</f>
        <v>0</v>
      </c>
      <c r="CF219" s="90">
        <f ca="1">MIN(CF240,'Get Started  2'!$E25*IF('Get Started  2'!$E26="committed capital",1,IF(SUMPRODUCT(--('Forecast  2'!$G15:$CH15&lt;&gt;"committed"))=0,CF242,CE242))-CE243)</f>
        <v>0</v>
      </c>
      <c r="CG219" s="90">
        <f ca="1">MIN(CG240,'Get Started  2'!$E25*IF('Get Started  2'!$E26="committed capital",1,IF(SUMPRODUCT(--('Forecast  2'!$G15:$CH15&lt;&gt;"committed"))=0,CG242,CF242))-CF243)</f>
        <v>0</v>
      </c>
      <c r="CH219" s="90">
        <f ca="1">MIN(CH240,'Get Started  2'!$E25*IF('Get Started  2'!$E26="committed capital",1,IF(SUMPRODUCT(--('Forecast  2'!$G15:$CH15&lt;&gt;"committed"))=0,CH242,CG242))-CG243)</f>
        <v>0</v>
      </c>
    </row>
    <row r="220" spans="1:86" ht="13" outlineLevel="1">
      <c r="A220" s="13"/>
      <c r="B220" s="13" t="s">
        <v>328</v>
      </c>
      <c r="C220" s="91"/>
      <c r="D220" s="13" t="s">
        <v>238</v>
      </c>
      <c r="E220" s="88">
        <f t="shared" ca="1" si="170"/>
        <v>0.50055347222222246</v>
      </c>
      <c r="F220" s="48"/>
      <c r="G220" s="90">
        <f ca="1">G8/$E8*'Get Started  2'!$E82*(1-$E216-$E217-$E218)+G219*'Get Started  2'!$E82*G8</f>
        <v>2.967708333333334E-2</v>
      </c>
      <c r="H220" s="90">
        <f ca="1">H8/$E8*'Get Started  2'!$E82*(1-$E216-$E217-$E218)+H219*'Get Started  2'!$E82*H8</f>
        <v>2.967708333333334E-2</v>
      </c>
      <c r="I220" s="90">
        <f ca="1">I8/$E8*'Get Started  2'!$E82*(1-$E216-$E217-$E218)+I219*'Get Started  2'!$E82*I8</f>
        <v>2.967708333333334E-2</v>
      </c>
      <c r="J220" s="90">
        <f ca="1">J8/$E8*'Get Started  2'!$E82*(1-$E216-$E217-$E218)+J219*'Get Started  2'!$E82*J8</f>
        <v>2.967708333333334E-2</v>
      </c>
      <c r="K220" s="90">
        <f ca="1">K8/$E8*'Get Started  2'!$E82*(1-$E216-$E217-$E218)+K219*'Get Started  2'!$E82*K8</f>
        <v>2.967708333333334E-2</v>
      </c>
      <c r="L220" s="90">
        <f ca="1">L8/$E8*'Get Started  2'!$E82*(1-$E216-$E217-$E218)+L219*'Get Started  2'!$E82*L8</f>
        <v>2.967708333333334E-2</v>
      </c>
      <c r="M220" s="90">
        <f ca="1">M8/$E8*'Get Started  2'!$E82*(1-$E216-$E217-$E218)+M219*'Get Started  2'!$E82*M8</f>
        <v>2.967708333333334E-2</v>
      </c>
      <c r="N220" s="90">
        <f ca="1">N8/$E8*'Get Started  2'!$E82*(1-$E216-$E217-$E218)+N219*'Get Started  2'!$E82*N8</f>
        <v>2.967708333333334E-2</v>
      </c>
      <c r="O220" s="90">
        <f ca="1">O8/$E8*'Get Started  2'!$E82*(1-$E216-$E217-$E218)+O219*'Get Started  2'!$E82*O8</f>
        <v>2.967708333333334E-2</v>
      </c>
      <c r="P220" s="90">
        <f ca="1">P8/$E8*'Get Started  2'!$E82*(1-$E216-$E217-$E218)+P219*'Get Started  2'!$E82*P8</f>
        <v>2.967708333333334E-2</v>
      </c>
      <c r="Q220" s="90">
        <f ca="1">Q8/$E8*'Get Started  2'!$E82*(1-$E216-$E217-$E218)+Q219*'Get Started  2'!$E82*Q8</f>
        <v>2.967708333333334E-2</v>
      </c>
      <c r="R220" s="90">
        <f ca="1">R8/$E8*'Get Started  2'!$E82*(1-$E216-$E217-$E218)+R219*'Get Started  2'!$E82*R8</f>
        <v>2.967708333333334E-2</v>
      </c>
      <c r="S220" s="90">
        <f ca="1">S8/$E8*'Get Started  2'!$E82*(1-$E216-$E217-$E218)+S219*'Get Started  2'!$E82*S8</f>
        <v>3.6107118055555561E-2</v>
      </c>
      <c r="T220" s="90">
        <f ca="1">T8/$E8*'Get Started  2'!$E82*(1-$E216-$E217-$E218)+T219*'Get Started  2'!$E82*T8</f>
        <v>3.6107118055555561E-2</v>
      </c>
      <c r="U220" s="90">
        <f ca="1">U8/$E8*'Get Started  2'!$E82*(1-$E216-$E217-$E218)+U219*'Get Started  2'!$E82*U8</f>
        <v>3.6107118055555561E-2</v>
      </c>
      <c r="V220" s="90">
        <f ca="1">V8/$E8*'Get Started  2'!$E82*(1-$E216-$E217-$E218)+V219*'Get Started  2'!$E82*V8</f>
        <v>3.6107118055555561E-2</v>
      </c>
      <c r="W220" s="90">
        <f ca="1">W8/$E8*'Get Started  2'!$E82*(1-$E216-$E217-$E218)+W219*'Get Started  2'!$E82*W8</f>
        <v>0</v>
      </c>
      <c r="X220" s="90">
        <f ca="1">X8/$E8*'Get Started  2'!$E82*(1-$E216-$E217-$E218)+X219*'Get Started  2'!$E82*X8</f>
        <v>0</v>
      </c>
      <c r="Y220" s="90">
        <f ca="1">Y8/$E8*'Get Started  2'!$E82*(1-$E216-$E217-$E218)+Y219*'Get Started  2'!$E82*Y8</f>
        <v>0</v>
      </c>
      <c r="Z220" s="90">
        <f ca="1">Z8/$E8*'Get Started  2'!$E82*(1-$E216-$E217-$E218)+Z219*'Get Started  2'!$E82*Z8</f>
        <v>0</v>
      </c>
      <c r="AA220" s="90">
        <f ca="1">AA8/$E8*'Get Started  2'!$E82*(1-$E216-$E217-$E218)+AA219*'Get Started  2'!$E82*AA8</f>
        <v>0</v>
      </c>
      <c r="AB220" s="90">
        <f ca="1">AB8/$E8*'Get Started  2'!$E82*(1-$E216-$E217-$E218)+AB219*'Get Started  2'!$E82*AB8</f>
        <v>0</v>
      </c>
      <c r="AC220" s="90">
        <f ca="1">AC8/$E8*'Get Started  2'!$E82*(1-$E216-$E217-$E218)+AC219*'Get Started  2'!$E82*AC8</f>
        <v>0</v>
      </c>
      <c r="AD220" s="90">
        <f ca="1">AD8/$E8*'Get Started  2'!$E82*(1-$E216-$E217-$E218)+AD219*'Get Started  2'!$E82*AD8</f>
        <v>0</v>
      </c>
      <c r="AE220" s="90">
        <f ca="1">AE8/$E8*'Get Started  2'!$E82*(1-$E216-$E217-$E218)+AE219*'Get Started  2'!$E82*AE8</f>
        <v>0</v>
      </c>
      <c r="AF220" s="90">
        <f ca="1">AF8/$E8*'Get Started  2'!$E82*(1-$E216-$E217-$E218)+AF219*'Get Started  2'!$E82*AF8</f>
        <v>0</v>
      </c>
      <c r="AG220" s="90">
        <f ca="1">AG8/$E8*'Get Started  2'!$E82*(1-$E216-$E217-$E218)+AG219*'Get Started  2'!$E82*AG8</f>
        <v>0</v>
      </c>
      <c r="AH220" s="90">
        <f ca="1">AH8/$E8*'Get Started  2'!$E82*(1-$E216-$E217-$E218)+AH219*'Get Started  2'!$E82*AH8</f>
        <v>0</v>
      </c>
      <c r="AI220" s="90">
        <f ca="1">AI8/$E8*'Get Started  2'!$E82*(1-$E216-$E217-$E218)+AI219*'Get Started  2'!$E82*AI8</f>
        <v>0</v>
      </c>
      <c r="AJ220" s="90">
        <f ca="1">AJ8/$E8*'Get Started  2'!$E82*(1-$E216-$E217-$E218)+AJ219*'Get Started  2'!$E82*AJ8</f>
        <v>0</v>
      </c>
      <c r="AK220" s="90">
        <f ca="1">AK8/$E8*'Get Started  2'!$E82*(1-$E216-$E217-$E218)+AK219*'Get Started  2'!$E82*AK8</f>
        <v>0</v>
      </c>
      <c r="AL220" s="90">
        <f ca="1">AL8/$E8*'Get Started  2'!$E82*(1-$E216-$E217-$E218)+AL219*'Get Started  2'!$E82*AL8</f>
        <v>0</v>
      </c>
      <c r="AM220" s="90">
        <f ca="1">AM8/$E8*'Get Started  2'!$E82*(1-$E216-$E217-$E218)+AM219*'Get Started  2'!$E82*AM8</f>
        <v>0</v>
      </c>
      <c r="AN220" s="90">
        <f ca="1">AN8/$E8*'Get Started  2'!$E82*(1-$E216-$E217-$E218)+AN219*'Get Started  2'!$E82*AN8</f>
        <v>0</v>
      </c>
      <c r="AO220" s="90">
        <f ca="1">AO8/$E8*'Get Started  2'!$E82*(1-$E216-$E217-$E218)+AO219*'Get Started  2'!$E82*AO8</f>
        <v>0</v>
      </c>
      <c r="AP220" s="90">
        <f ca="1">AP8/$E8*'Get Started  2'!$E82*(1-$E216-$E217-$E218)+AP219*'Get Started  2'!$E82*AP8</f>
        <v>0</v>
      </c>
      <c r="AQ220" s="90">
        <f ca="1">AQ8/$E8*'Get Started  2'!$E82*(1-$E216-$E217-$E218)+AQ219*'Get Started  2'!$E82*AQ8</f>
        <v>0</v>
      </c>
      <c r="AR220" s="90">
        <f ca="1">AR8/$E8*'Get Started  2'!$E82*(1-$E216-$E217-$E218)+AR219*'Get Started  2'!$E82*AR8</f>
        <v>0</v>
      </c>
      <c r="AS220" s="90">
        <f ca="1">AS8/$E8*'Get Started  2'!$E82*(1-$E216-$E217-$E218)+AS219*'Get Started  2'!$E82*AS8</f>
        <v>0</v>
      </c>
      <c r="AT220" s="90">
        <f ca="1">AT8/$E8*'Get Started  2'!$E82*(1-$E216-$E217-$E218)+AT219*'Get Started  2'!$E82*AT8</f>
        <v>0</v>
      </c>
      <c r="AU220" s="90">
        <f ca="1">AU8/$E8*'Get Started  2'!$E82*(1-$E216-$E217-$E218)+AU219*'Get Started  2'!$E82*AU8</f>
        <v>0</v>
      </c>
      <c r="AV220" s="90">
        <f ca="1">AV8/$E8*'Get Started  2'!$E82*(1-$E216-$E217-$E218)+AV219*'Get Started  2'!$E82*AV8</f>
        <v>0</v>
      </c>
      <c r="AW220" s="90">
        <f ca="1">AW8/$E8*'Get Started  2'!$E82*(1-$E216-$E217-$E218)+AW219*'Get Started  2'!$E82*AW8</f>
        <v>0</v>
      </c>
      <c r="AX220" s="90">
        <f ca="1">AX8/$E8*'Get Started  2'!$E82*(1-$E216-$E217-$E218)+AX219*'Get Started  2'!$E82*AX8</f>
        <v>0</v>
      </c>
      <c r="AY220" s="90">
        <f ca="1">AY8/$E8*'Get Started  2'!$E82*(1-$E216-$E217-$E218)+AY219*'Get Started  2'!$E82*AY8</f>
        <v>0</v>
      </c>
      <c r="AZ220" s="90">
        <f ca="1">AZ8/$E8*'Get Started  2'!$E82*(1-$E216-$E217-$E218)+AZ219*'Get Started  2'!$E82*AZ8</f>
        <v>0</v>
      </c>
      <c r="BA220" s="90">
        <f ca="1">BA8/$E8*'Get Started  2'!$E82*(1-$E216-$E217-$E218)+BA219*'Get Started  2'!$E82*BA8</f>
        <v>0</v>
      </c>
      <c r="BB220" s="90">
        <f ca="1">BB8/$E8*'Get Started  2'!$E82*(1-$E216-$E217-$E218)+BB219*'Get Started  2'!$E82*BB8</f>
        <v>0</v>
      </c>
      <c r="BC220" s="90">
        <f ca="1">BC8/$E8*'Get Started  2'!$E82*(1-$E216-$E217-$E218)+BC219*'Get Started  2'!$E82*BC8</f>
        <v>0</v>
      </c>
      <c r="BD220" s="90">
        <f ca="1">BD8/$E8*'Get Started  2'!$E82*(1-$E216-$E217-$E218)+BD219*'Get Started  2'!$E82*BD8</f>
        <v>0</v>
      </c>
      <c r="BE220" s="90">
        <f ca="1">BE8/$E8*'Get Started  2'!$E82*(1-$E216-$E217-$E218)+BE219*'Get Started  2'!$E82*BE8</f>
        <v>0</v>
      </c>
      <c r="BF220" s="90">
        <f ca="1">BF8/$E8*'Get Started  2'!$E82*(1-$E216-$E217-$E218)+BF219*'Get Started  2'!$E82*BF8</f>
        <v>0</v>
      </c>
      <c r="BG220" s="90">
        <f ca="1">BG8/$E8*'Get Started  2'!$E82*(1-$E216-$E217-$E218)+BG219*'Get Started  2'!$E82*BG8</f>
        <v>0</v>
      </c>
      <c r="BH220" s="90">
        <f ca="1">BH8/$E8*'Get Started  2'!$E82*(1-$E216-$E217-$E218)+BH219*'Get Started  2'!$E82*BH8</f>
        <v>0</v>
      </c>
      <c r="BI220" s="90">
        <f ca="1">BI8/$E8*'Get Started  2'!$E82*(1-$E216-$E217-$E218)+BI219*'Get Started  2'!$E82*BI8</f>
        <v>0</v>
      </c>
      <c r="BJ220" s="90">
        <f ca="1">BJ8/$E8*'Get Started  2'!$E82*(1-$E216-$E217-$E218)+BJ219*'Get Started  2'!$E82*BJ8</f>
        <v>0</v>
      </c>
      <c r="BK220" s="90">
        <f ca="1">BK8/$E8*'Get Started  2'!$E82*(1-$E216-$E217-$E218)+BK219*'Get Started  2'!$E82*BK8</f>
        <v>0</v>
      </c>
      <c r="BL220" s="90">
        <f ca="1">BL8/$E8*'Get Started  2'!$E82*(1-$E216-$E217-$E218)+BL219*'Get Started  2'!$E82*BL8</f>
        <v>0</v>
      </c>
      <c r="BM220" s="90">
        <f ca="1">BM8/$E8*'Get Started  2'!$E82*(1-$E216-$E217-$E218)+BM219*'Get Started  2'!$E82*BM8</f>
        <v>0</v>
      </c>
      <c r="BN220" s="90">
        <f ca="1">BN8/$E8*'Get Started  2'!$E82*(1-$E216-$E217-$E218)+BN219*'Get Started  2'!$E82*BN8</f>
        <v>0</v>
      </c>
      <c r="BO220" s="90">
        <f ca="1">BO8/$E8*'Get Started  2'!$E82*(1-$E216-$E217-$E218)+BO219*'Get Started  2'!$E82*BO8</f>
        <v>0</v>
      </c>
      <c r="BP220" s="90">
        <f ca="1">BP8/$E8*'Get Started  2'!$E82*(1-$E216-$E217-$E218)+BP219*'Get Started  2'!$E82*BP8</f>
        <v>0</v>
      </c>
      <c r="BQ220" s="90">
        <f ca="1">BQ8/$E8*'Get Started  2'!$E82*(1-$E216-$E217-$E218)+BQ219*'Get Started  2'!$E82*BQ8</f>
        <v>0</v>
      </c>
      <c r="BR220" s="90">
        <f ca="1">BR8/$E8*'Get Started  2'!$E82*(1-$E216-$E217-$E218)+BR219*'Get Started  2'!$E82*BR8</f>
        <v>0</v>
      </c>
      <c r="BS220" s="90">
        <f ca="1">BS8/$E8*'Get Started  2'!$E82*(1-$E216-$E217-$E218)+BS219*'Get Started  2'!$E82*BS8</f>
        <v>0</v>
      </c>
      <c r="BT220" s="90">
        <f ca="1">BT8/$E8*'Get Started  2'!$E82*(1-$E216-$E217-$E218)+BT219*'Get Started  2'!$E82*BT8</f>
        <v>0</v>
      </c>
      <c r="BU220" s="90">
        <f ca="1">BU8/$E8*'Get Started  2'!$E82*(1-$E216-$E217-$E218)+BU219*'Get Started  2'!$E82*BU8</f>
        <v>0</v>
      </c>
      <c r="BV220" s="90">
        <f ca="1">BV8/$E8*'Get Started  2'!$E82*(1-$E216-$E217-$E218)+BV219*'Get Started  2'!$E82*BV8</f>
        <v>0</v>
      </c>
      <c r="BW220" s="90">
        <f ca="1">BW8/$E8*'Get Started  2'!$E82*(1-$E216-$E217-$E218)+BW219*'Get Started  2'!$E82*BW8</f>
        <v>0</v>
      </c>
      <c r="BX220" s="90">
        <f ca="1">BX8/$E8*'Get Started  2'!$E82*(1-$E216-$E217-$E218)+BX219*'Get Started  2'!$E82*BX8</f>
        <v>0</v>
      </c>
      <c r="BY220" s="90">
        <f ca="1">BY8/$E8*'Get Started  2'!$E82*(1-$E216-$E217-$E218)+BY219*'Get Started  2'!$E82*BY8</f>
        <v>0</v>
      </c>
      <c r="BZ220" s="90">
        <f ca="1">BZ8/$E8*'Get Started  2'!$E82*(1-$E216-$E217-$E218)+BZ219*'Get Started  2'!$E82*BZ8</f>
        <v>0</v>
      </c>
      <c r="CA220" s="90">
        <f ca="1">CA8/$E8*'Get Started  2'!$E82*(1-$E216-$E217-$E218)+CA219*'Get Started  2'!$E82*CA8</f>
        <v>0</v>
      </c>
      <c r="CB220" s="90">
        <f ca="1">CB8/$E8*'Get Started  2'!$E82*(1-$E216-$E217-$E218)+CB219*'Get Started  2'!$E82*CB8</f>
        <v>0</v>
      </c>
      <c r="CC220" s="90">
        <f ca="1">CC8/$E8*'Get Started  2'!$E82*(1-$E216-$E217-$E218)+CC219*'Get Started  2'!$E82*CC8</f>
        <v>0</v>
      </c>
      <c r="CD220" s="90">
        <f ca="1">CD8/$E8*'Get Started  2'!$E82*(1-$E216-$E217-$E218)+CD219*'Get Started  2'!$E82*CD8</f>
        <v>0</v>
      </c>
      <c r="CE220" s="90">
        <f ca="1">CE8/$E8*'Get Started  2'!$E82*(1-$E216-$E217-$E218)+CE219*'Get Started  2'!$E82*CE8</f>
        <v>0</v>
      </c>
      <c r="CF220" s="90">
        <f ca="1">CF8/$E8*'Get Started  2'!$E82*(1-$E216-$E217-$E218)+CF219*'Get Started  2'!$E82*CF8</f>
        <v>0</v>
      </c>
      <c r="CG220" s="90">
        <f ca="1">CG8/$E8*'Get Started  2'!$E82*(1-$E216-$E217-$E218)+CG219*'Get Started  2'!$E82*CG8</f>
        <v>0</v>
      </c>
      <c r="CH220" s="90">
        <f ca="1">CH8/$E8*'Get Started  2'!$E82*(1-$E216-$E217-$E218)+CH219*'Get Started  2'!$E82*CH8</f>
        <v>0</v>
      </c>
    </row>
    <row r="221" spans="1:86" ht="13" outlineLevel="1">
      <c r="A221" s="13"/>
      <c r="B221" s="13" t="s">
        <v>328</v>
      </c>
      <c r="C221" s="91"/>
      <c r="D221" s="13" t="s">
        <v>238</v>
      </c>
      <c r="E221" s="88">
        <f t="shared" ca="1" si="170"/>
        <v>0.17587013888888889</v>
      </c>
      <c r="F221" s="48"/>
      <c r="G221" s="90">
        <f ca="1">G8/$E8*'Get Started  2'!$F82*(1-$E216-$E217-$E218)+G219*'Get Started  2'!$F82*G8</f>
        <v>1.0427083333333333E-2</v>
      </c>
      <c r="H221" s="90">
        <f ca="1">H8/$E8*'Get Started  2'!$F82*(1-$E216-$E217-$E218)+H219*'Get Started  2'!$F82*H8</f>
        <v>1.0427083333333333E-2</v>
      </c>
      <c r="I221" s="90">
        <f ca="1">I8/$E8*'Get Started  2'!$F82*(1-$E216-$E217-$E218)+I219*'Get Started  2'!$F82*I8</f>
        <v>1.0427083333333333E-2</v>
      </c>
      <c r="J221" s="90">
        <f ca="1">J8/$E8*'Get Started  2'!$F82*(1-$E216-$E217-$E218)+J219*'Get Started  2'!$F82*J8</f>
        <v>1.0427083333333333E-2</v>
      </c>
      <c r="K221" s="90">
        <f ca="1">K8/$E8*'Get Started  2'!$F82*(1-$E216-$E217-$E218)+K219*'Get Started  2'!$F82*K8</f>
        <v>1.0427083333333333E-2</v>
      </c>
      <c r="L221" s="90">
        <f ca="1">L8/$E8*'Get Started  2'!$F82*(1-$E216-$E217-$E218)+L219*'Get Started  2'!$F82*L8</f>
        <v>1.0427083333333333E-2</v>
      </c>
      <c r="M221" s="90">
        <f ca="1">M8/$E8*'Get Started  2'!$F82*(1-$E216-$E217-$E218)+M219*'Get Started  2'!$F82*M8</f>
        <v>1.0427083333333333E-2</v>
      </c>
      <c r="N221" s="90">
        <f ca="1">N8/$E8*'Get Started  2'!$F82*(1-$E216-$E217-$E218)+N219*'Get Started  2'!$F82*N8</f>
        <v>1.0427083333333333E-2</v>
      </c>
      <c r="O221" s="90">
        <f ca="1">O8/$E8*'Get Started  2'!$F82*(1-$E216-$E217-$E218)+O219*'Get Started  2'!$F82*O8</f>
        <v>1.0427083333333333E-2</v>
      </c>
      <c r="P221" s="90">
        <f ca="1">P8/$E8*'Get Started  2'!$F82*(1-$E216-$E217-$E218)+P219*'Get Started  2'!$F82*P8</f>
        <v>1.0427083333333333E-2</v>
      </c>
      <c r="Q221" s="90">
        <f ca="1">Q8/$E8*'Get Started  2'!$F82*(1-$E216-$E217-$E218)+Q219*'Get Started  2'!$F82*Q8</f>
        <v>1.0427083333333333E-2</v>
      </c>
      <c r="R221" s="90">
        <f ca="1">R8/$E8*'Get Started  2'!$F82*(1-$E216-$E217-$E218)+R219*'Get Started  2'!$F82*R8</f>
        <v>1.0427083333333333E-2</v>
      </c>
      <c r="S221" s="90">
        <f ca="1">S8/$E8*'Get Started  2'!$F82*(1-$E216-$E217-$E218)+S219*'Get Started  2'!$F82*S8</f>
        <v>1.2686284722222222E-2</v>
      </c>
      <c r="T221" s="90">
        <f ca="1">T8/$E8*'Get Started  2'!$F82*(1-$E216-$E217-$E218)+T219*'Get Started  2'!$F82*T8</f>
        <v>1.2686284722222222E-2</v>
      </c>
      <c r="U221" s="90">
        <f ca="1">U8/$E8*'Get Started  2'!$F82*(1-$E216-$E217-$E218)+U219*'Get Started  2'!$F82*U8</f>
        <v>1.2686284722222222E-2</v>
      </c>
      <c r="V221" s="90">
        <f ca="1">V8/$E8*'Get Started  2'!$F82*(1-$E216-$E217-$E218)+V219*'Get Started  2'!$F82*V8</f>
        <v>1.2686284722222222E-2</v>
      </c>
      <c r="W221" s="90">
        <f ca="1">W8/$E8*'Get Started  2'!$F82*(1-$E216-$E217-$E218)+W219*'Get Started  2'!$F82*W8</f>
        <v>0</v>
      </c>
      <c r="X221" s="90">
        <f ca="1">X8/$E8*'Get Started  2'!$F82*(1-$E216-$E217-$E218)+X219*'Get Started  2'!$F82*X8</f>
        <v>0</v>
      </c>
      <c r="Y221" s="90">
        <f ca="1">Y8/$E8*'Get Started  2'!$F82*(1-$E216-$E217-$E218)+Y219*'Get Started  2'!$F82*Y8</f>
        <v>0</v>
      </c>
      <c r="Z221" s="90">
        <f ca="1">Z8/$E8*'Get Started  2'!$F82*(1-$E216-$E217-$E218)+Z219*'Get Started  2'!$F82*Z8</f>
        <v>0</v>
      </c>
      <c r="AA221" s="90">
        <f ca="1">AA8/$E8*'Get Started  2'!$F82*(1-$E216-$E217-$E218)+AA219*'Get Started  2'!$F82*AA8</f>
        <v>0</v>
      </c>
      <c r="AB221" s="90">
        <f ca="1">AB8/$E8*'Get Started  2'!$F82*(1-$E216-$E217-$E218)+AB219*'Get Started  2'!$F82*AB8</f>
        <v>0</v>
      </c>
      <c r="AC221" s="90">
        <f ca="1">AC8/$E8*'Get Started  2'!$F82*(1-$E216-$E217-$E218)+AC219*'Get Started  2'!$F82*AC8</f>
        <v>0</v>
      </c>
      <c r="AD221" s="90">
        <f ca="1">AD8/$E8*'Get Started  2'!$F82*(1-$E216-$E217-$E218)+AD219*'Get Started  2'!$F82*AD8</f>
        <v>0</v>
      </c>
      <c r="AE221" s="90">
        <f ca="1">AE8/$E8*'Get Started  2'!$F82*(1-$E216-$E217-$E218)+AE219*'Get Started  2'!$F82*AE8</f>
        <v>0</v>
      </c>
      <c r="AF221" s="90">
        <f ca="1">AF8/$E8*'Get Started  2'!$F82*(1-$E216-$E217-$E218)+AF219*'Get Started  2'!$F82*AF8</f>
        <v>0</v>
      </c>
      <c r="AG221" s="90">
        <f ca="1">AG8/$E8*'Get Started  2'!$F82*(1-$E216-$E217-$E218)+AG219*'Get Started  2'!$F82*AG8</f>
        <v>0</v>
      </c>
      <c r="AH221" s="90">
        <f ca="1">AH8/$E8*'Get Started  2'!$F82*(1-$E216-$E217-$E218)+AH219*'Get Started  2'!$F82*AH8</f>
        <v>0</v>
      </c>
      <c r="AI221" s="90">
        <f ca="1">AI8/$E8*'Get Started  2'!$F82*(1-$E216-$E217-$E218)+AI219*'Get Started  2'!$F82*AI8</f>
        <v>0</v>
      </c>
      <c r="AJ221" s="90">
        <f ca="1">AJ8/$E8*'Get Started  2'!$F82*(1-$E216-$E217-$E218)+AJ219*'Get Started  2'!$F82*AJ8</f>
        <v>0</v>
      </c>
      <c r="AK221" s="90">
        <f ca="1">AK8/$E8*'Get Started  2'!$F82*(1-$E216-$E217-$E218)+AK219*'Get Started  2'!$F82*AK8</f>
        <v>0</v>
      </c>
      <c r="AL221" s="90">
        <f ca="1">AL8/$E8*'Get Started  2'!$F82*(1-$E216-$E217-$E218)+AL219*'Get Started  2'!$F82*AL8</f>
        <v>0</v>
      </c>
      <c r="AM221" s="90">
        <f ca="1">AM8/$E8*'Get Started  2'!$F82*(1-$E216-$E217-$E218)+AM219*'Get Started  2'!$F82*AM8</f>
        <v>0</v>
      </c>
      <c r="AN221" s="90">
        <f ca="1">AN8/$E8*'Get Started  2'!$F82*(1-$E216-$E217-$E218)+AN219*'Get Started  2'!$F82*AN8</f>
        <v>0</v>
      </c>
      <c r="AO221" s="90">
        <f ca="1">AO8/$E8*'Get Started  2'!$F82*(1-$E216-$E217-$E218)+AO219*'Get Started  2'!$F82*AO8</f>
        <v>0</v>
      </c>
      <c r="AP221" s="90">
        <f ca="1">AP8/$E8*'Get Started  2'!$F82*(1-$E216-$E217-$E218)+AP219*'Get Started  2'!$F82*AP8</f>
        <v>0</v>
      </c>
      <c r="AQ221" s="90">
        <f ca="1">AQ8/$E8*'Get Started  2'!$F82*(1-$E216-$E217-$E218)+AQ219*'Get Started  2'!$F82*AQ8</f>
        <v>0</v>
      </c>
      <c r="AR221" s="90">
        <f ca="1">AR8/$E8*'Get Started  2'!$F82*(1-$E216-$E217-$E218)+AR219*'Get Started  2'!$F82*AR8</f>
        <v>0</v>
      </c>
      <c r="AS221" s="90">
        <f ca="1">AS8/$E8*'Get Started  2'!$F82*(1-$E216-$E217-$E218)+AS219*'Get Started  2'!$F82*AS8</f>
        <v>0</v>
      </c>
      <c r="AT221" s="90">
        <f ca="1">AT8/$E8*'Get Started  2'!$F82*(1-$E216-$E217-$E218)+AT219*'Get Started  2'!$F82*AT8</f>
        <v>0</v>
      </c>
      <c r="AU221" s="90">
        <f ca="1">AU8/$E8*'Get Started  2'!$F82*(1-$E216-$E217-$E218)+AU219*'Get Started  2'!$F82*AU8</f>
        <v>0</v>
      </c>
      <c r="AV221" s="90">
        <f ca="1">AV8/$E8*'Get Started  2'!$F82*(1-$E216-$E217-$E218)+AV219*'Get Started  2'!$F82*AV8</f>
        <v>0</v>
      </c>
      <c r="AW221" s="90">
        <f ca="1">AW8/$E8*'Get Started  2'!$F82*(1-$E216-$E217-$E218)+AW219*'Get Started  2'!$F82*AW8</f>
        <v>0</v>
      </c>
      <c r="AX221" s="90">
        <f ca="1">AX8/$E8*'Get Started  2'!$F82*(1-$E216-$E217-$E218)+AX219*'Get Started  2'!$F82*AX8</f>
        <v>0</v>
      </c>
      <c r="AY221" s="90">
        <f ca="1">AY8/$E8*'Get Started  2'!$F82*(1-$E216-$E217-$E218)+AY219*'Get Started  2'!$F82*AY8</f>
        <v>0</v>
      </c>
      <c r="AZ221" s="90">
        <f ca="1">AZ8/$E8*'Get Started  2'!$F82*(1-$E216-$E217-$E218)+AZ219*'Get Started  2'!$F82*AZ8</f>
        <v>0</v>
      </c>
      <c r="BA221" s="90">
        <f ca="1">BA8/$E8*'Get Started  2'!$F82*(1-$E216-$E217-$E218)+BA219*'Get Started  2'!$F82*BA8</f>
        <v>0</v>
      </c>
      <c r="BB221" s="90">
        <f ca="1">BB8/$E8*'Get Started  2'!$F82*(1-$E216-$E217-$E218)+BB219*'Get Started  2'!$F82*BB8</f>
        <v>0</v>
      </c>
      <c r="BC221" s="90">
        <f ca="1">BC8/$E8*'Get Started  2'!$F82*(1-$E216-$E217-$E218)+BC219*'Get Started  2'!$F82*BC8</f>
        <v>0</v>
      </c>
      <c r="BD221" s="90">
        <f ca="1">BD8/$E8*'Get Started  2'!$F82*(1-$E216-$E217-$E218)+BD219*'Get Started  2'!$F82*BD8</f>
        <v>0</v>
      </c>
      <c r="BE221" s="90">
        <f ca="1">BE8/$E8*'Get Started  2'!$F82*(1-$E216-$E217-$E218)+BE219*'Get Started  2'!$F82*BE8</f>
        <v>0</v>
      </c>
      <c r="BF221" s="90">
        <f ca="1">BF8/$E8*'Get Started  2'!$F82*(1-$E216-$E217-$E218)+BF219*'Get Started  2'!$F82*BF8</f>
        <v>0</v>
      </c>
      <c r="BG221" s="90">
        <f ca="1">BG8/$E8*'Get Started  2'!$F82*(1-$E216-$E217-$E218)+BG219*'Get Started  2'!$F82*BG8</f>
        <v>0</v>
      </c>
      <c r="BH221" s="90">
        <f ca="1">BH8/$E8*'Get Started  2'!$F82*(1-$E216-$E217-$E218)+BH219*'Get Started  2'!$F82*BH8</f>
        <v>0</v>
      </c>
      <c r="BI221" s="90">
        <f ca="1">BI8/$E8*'Get Started  2'!$F82*(1-$E216-$E217-$E218)+BI219*'Get Started  2'!$F82*BI8</f>
        <v>0</v>
      </c>
      <c r="BJ221" s="90">
        <f ca="1">BJ8/$E8*'Get Started  2'!$F82*(1-$E216-$E217-$E218)+BJ219*'Get Started  2'!$F82*BJ8</f>
        <v>0</v>
      </c>
      <c r="BK221" s="90">
        <f ca="1">BK8/$E8*'Get Started  2'!$F82*(1-$E216-$E217-$E218)+BK219*'Get Started  2'!$F82*BK8</f>
        <v>0</v>
      </c>
      <c r="BL221" s="90">
        <f ca="1">BL8/$E8*'Get Started  2'!$F82*(1-$E216-$E217-$E218)+BL219*'Get Started  2'!$F82*BL8</f>
        <v>0</v>
      </c>
      <c r="BM221" s="90">
        <f ca="1">BM8/$E8*'Get Started  2'!$F82*(1-$E216-$E217-$E218)+BM219*'Get Started  2'!$F82*BM8</f>
        <v>0</v>
      </c>
      <c r="BN221" s="90">
        <f ca="1">BN8/$E8*'Get Started  2'!$F82*(1-$E216-$E217-$E218)+BN219*'Get Started  2'!$F82*BN8</f>
        <v>0</v>
      </c>
      <c r="BO221" s="90">
        <f ca="1">BO8/$E8*'Get Started  2'!$F82*(1-$E216-$E217-$E218)+BO219*'Get Started  2'!$F82*BO8</f>
        <v>0</v>
      </c>
      <c r="BP221" s="90">
        <f ca="1">BP8/$E8*'Get Started  2'!$F82*(1-$E216-$E217-$E218)+BP219*'Get Started  2'!$F82*BP8</f>
        <v>0</v>
      </c>
      <c r="BQ221" s="90">
        <f ca="1">BQ8/$E8*'Get Started  2'!$F82*(1-$E216-$E217-$E218)+BQ219*'Get Started  2'!$F82*BQ8</f>
        <v>0</v>
      </c>
      <c r="BR221" s="90">
        <f ca="1">BR8/$E8*'Get Started  2'!$F82*(1-$E216-$E217-$E218)+BR219*'Get Started  2'!$F82*BR8</f>
        <v>0</v>
      </c>
      <c r="BS221" s="90">
        <f ca="1">BS8/$E8*'Get Started  2'!$F82*(1-$E216-$E217-$E218)+BS219*'Get Started  2'!$F82*BS8</f>
        <v>0</v>
      </c>
      <c r="BT221" s="90">
        <f ca="1">BT8/$E8*'Get Started  2'!$F82*(1-$E216-$E217-$E218)+BT219*'Get Started  2'!$F82*BT8</f>
        <v>0</v>
      </c>
      <c r="BU221" s="90">
        <f ca="1">BU8/$E8*'Get Started  2'!$F82*(1-$E216-$E217-$E218)+BU219*'Get Started  2'!$F82*BU8</f>
        <v>0</v>
      </c>
      <c r="BV221" s="90">
        <f ca="1">BV8/$E8*'Get Started  2'!$F82*(1-$E216-$E217-$E218)+BV219*'Get Started  2'!$F82*BV8</f>
        <v>0</v>
      </c>
      <c r="BW221" s="90">
        <f ca="1">BW8/$E8*'Get Started  2'!$F82*(1-$E216-$E217-$E218)+BW219*'Get Started  2'!$F82*BW8</f>
        <v>0</v>
      </c>
      <c r="BX221" s="90">
        <f ca="1">BX8/$E8*'Get Started  2'!$F82*(1-$E216-$E217-$E218)+BX219*'Get Started  2'!$F82*BX8</f>
        <v>0</v>
      </c>
      <c r="BY221" s="90">
        <f ca="1">BY8/$E8*'Get Started  2'!$F82*(1-$E216-$E217-$E218)+BY219*'Get Started  2'!$F82*BY8</f>
        <v>0</v>
      </c>
      <c r="BZ221" s="90">
        <f ca="1">BZ8/$E8*'Get Started  2'!$F82*(1-$E216-$E217-$E218)+BZ219*'Get Started  2'!$F82*BZ8</f>
        <v>0</v>
      </c>
      <c r="CA221" s="90">
        <f ca="1">CA8/$E8*'Get Started  2'!$F82*(1-$E216-$E217-$E218)+CA219*'Get Started  2'!$F82*CA8</f>
        <v>0</v>
      </c>
      <c r="CB221" s="90">
        <f ca="1">CB8/$E8*'Get Started  2'!$F82*(1-$E216-$E217-$E218)+CB219*'Get Started  2'!$F82*CB8</f>
        <v>0</v>
      </c>
      <c r="CC221" s="90">
        <f ca="1">CC8/$E8*'Get Started  2'!$F82*(1-$E216-$E217-$E218)+CC219*'Get Started  2'!$F82*CC8</f>
        <v>0</v>
      </c>
      <c r="CD221" s="90">
        <f ca="1">CD8/$E8*'Get Started  2'!$F82*(1-$E216-$E217-$E218)+CD219*'Get Started  2'!$F82*CD8</f>
        <v>0</v>
      </c>
      <c r="CE221" s="90">
        <f ca="1">CE8/$E8*'Get Started  2'!$F82*(1-$E216-$E217-$E218)+CE219*'Get Started  2'!$F82*CE8</f>
        <v>0</v>
      </c>
      <c r="CF221" s="90">
        <f ca="1">CF8/$E8*'Get Started  2'!$F82*(1-$E216-$E217-$E218)+CF219*'Get Started  2'!$F82*CF8</f>
        <v>0</v>
      </c>
      <c r="CG221" s="90">
        <f ca="1">CG8/$E8*'Get Started  2'!$F82*(1-$E216-$E217-$E218)+CG219*'Get Started  2'!$F82*CG8</f>
        <v>0</v>
      </c>
      <c r="CH221" s="90">
        <f ca="1">CH8/$E8*'Get Started  2'!$F82*(1-$E216-$E217-$E218)+CH219*'Get Started  2'!$F82*CH8</f>
        <v>0</v>
      </c>
    </row>
    <row r="222" spans="1:86" ht="13" outlineLevel="1">
      <c r="A222" s="13"/>
      <c r="B222" s="13" t="s">
        <v>328</v>
      </c>
      <c r="C222" s="91"/>
      <c r="D222" s="13" t="s">
        <v>238</v>
      </c>
      <c r="E222" s="88">
        <f t="shared" ca="1" si="170"/>
        <v>8.9833333333333362E-2</v>
      </c>
      <c r="F222" s="48"/>
      <c r="G222" s="90">
        <f ca="1">G8/$E8*'Get Started  2'!$G82*(1-$E216-$E217-$E218)+G219*'Get Started  2'!$EG9*G8</f>
        <v>5.6145833333333334E-3</v>
      </c>
      <c r="H222" s="90">
        <f ca="1">H8/$E8*'Get Started  2'!$G82*(1-$E216-$E217-$E218)+H219*'Get Started  2'!$EG9*H8</f>
        <v>5.6145833333333334E-3</v>
      </c>
      <c r="I222" s="90">
        <f ca="1">I8/$E8*'Get Started  2'!$G82*(1-$E216-$E217-$E218)+I219*'Get Started  2'!$EG9*I8</f>
        <v>5.6145833333333334E-3</v>
      </c>
      <c r="J222" s="90">
        <f ca="1">J8/$E8*'Get Started  2'!$G82*(1-$E216-$E217-$E218)+J219*'Get Started  2'!$EG9*J8</f>
        <v>5.6145833333333334E-3</v>
      </c>
      <c r="K222" s="90">
        <f ca="1">K8/$E8*'Get Started  2'!$G82*(1-$E216-$E217-$E218)+K219*'Get Started  2'!$EG9*K8</f>
        <v>5.6145833333333334E-3</v>
      </c>
      <c r="L222" s="90">
        <f ca="1">L8/$E8*'Get Started  2'!$G82*(1-$E216-$E217-$E218)+L219*'Get Started  2'!$EG9*L8</f>
        <v>5.6145833333333334E-3</v>
      </c>
      <c r="M222" s="90">
        <f ca="1">M8/$E8*'Get Started  2'!$G82*(1-$E216-$E217-$E218)+M219*'Get Started  2'!$EG9*M8</f>
        <v>5.6145833333333334E-3</v>
      </c>
      <c r="N222" s="90">
        <f ca="1">N8/$E8*'Get Started  2'!$G82*(1-$E216-$E217-$E218)+N219*'Get Started  2'!$EG9*N8</f>
        <v>5.6145833333333334E-3</v>
      </c>
      <c r="O222" s="90">
        <f ca="1">O8/$E8*'Get Started  2'!$G82*(1-$E216-$E217-$E218)+O219*'Get Started  2'!$EG9*O8</f>
        <v>5.6145833333333334E-3</v>
      </c>
      <c r="P222" s="90">
        <f ca="1">P8/$E8*'Get Started  2'!$G82*(1-$E216-$E217-$E218)+P219*'Get Started  2'!$EG9*P8</f>
        <v>5.6145833333333334E-3</v>
      </c>
      <c r="Q222" s="90">
        <f ca="1">Q8/$E8*'Get Started  2'!$G82*(1-$E216-$E217-$E218)+Q219*'Get Started  2'!$EG9*Q8</f>
        <v>5.6145833333333334E-3</v>
      </c>
      <c r="R222" s="90">
        <f ca="1">R8/$E8*'Get Started  2'!$G82*(1-$E216-$E217-$E218)+R219*'Get Started  2'!$EG9*R8</f>
        <v>5.6145833333333334E-3</v>
      </c>
      <c r="S222" s="90">
        <f ca="1">S8/$E8*'Get Started  2'!$G82*(1-$E216-$E217-$E218)+S219*'Get Started  2'!$EG9*S8</f>
        <v>5.6145833333333334E-3</v>
      </c>
      <c r="T222" s="90">
        <f ca="1">T8/$E8*'Get Started  2'!$G82*(1-$E216-$E217-$E218)+T219*'Get Started  2'!$EG9*T8</f>
        <v>5.6145833333333334E-3</v>
      </c>
      <c r="U222" s="90">
        <f ca="1">U8/$E8*'Get Started  2'!$G82*(1-$E216-$E217-$E218)+U219*'Get Started  2'!$EG9*U8</f>
        <v>5.6145833333333334E-3</v>
      </c>
      <c r="V222" s="90">
        <f ca="1">V8/$E8*'Get Started  2'!$G82*(1-$E216-$E217-$E218)+V219*'Get Started  2'!$EG9*V8</f>
        <v>5.6145833333333334E-3</v>
      </c>
      <c r="W222" s="90">
        <f ca="1">W8/$E8*'Get Started  2'!$G82*(1-$E216-$E217-$E218)+W219*'Get Started  2'!$EG9*W8</f>
        <v>0</v>
      </c>
      <c r="X222" s="90">
        <f ca="1">X8/$E8*'Get Started  2'!$G82*(1-$E216-$E217-$E218)+X219*'Get Started  2'!$EG9*X8</f>
        <v>0</v>
      </c>
      <c r="Y222" s="90">
        <f ca="1">Y8/$E8*'Get Started  2'!$G82*(1-$E216-$E217-$E218)+Y219*'Get Started  2'!$EG9*Y8</f>
        <v>0</v>
      </c>
      <c r="Z222" s="90">
        <f ca="1">Z8/$E8*'Get Started  2'!$G82*(1-$E216-$E217-$E218)+Z219*'Get Started  2'!$EG9*Z8</f>
        <v>0</v>
      </c>
      <c r="AA222" s="90">
        <f ca="1">AA8/$E8*'Get Started  2'!$G82*(1-$E216-$E217-$E218)+AA219*'Get Started  2'!$EG9*AA8</f>
        <v>0</v>
      </c>
      <c r="AB222" s="90">
        <f ca="1">AB8/$E8*'Get Started  2'!$G82*(1-$E216-$E217-$E218)+AB219*'Get Started  2'!$EG9*AB8</f>
        <v>0</v>
      </c>
      <c r="AC222" s="90">
        <f ca="1">AC8/$E8*'Get Started  2'!$G82*(1-$E216-$E217-$E218)+AC219*'Get Started  2'!$EG9*AC8</f>
        <v>0</v>
      </c>
      <c r="AD222" s="90">
        <f ca="1">AD8/$E8*'Get Started  2'!$G82*(1-$E216-$E217-$E218)+AD219*'Get Started  2'!$EG9*AD8</f>
        <v>0</v>
      </c>
      <c r="AE222" s="90">
        <f ca="1">AE8/$E8*'Get Started  2'!$G82*(1-$E216-$E217-$E218)+AE219*'Get Started  2'!$EG9*AE8</f>
        <v>0</v>
      </c>
      <c r="AF222" s="90">
        <f ca="1">AF8/$E8*'Get Started  2'!$G82*(1-$E216-$E217-$E218)+AF219*'Get Started  2'!$EG9*AF8</f>
        <v>0</v>
      </c>
      <c r="AG222" s="90">
        <f ca="1">AG8/$E8*'Get Started  2'!$G82*(1-$E216-$E217-$E218)+AG219*'Get Started  2'!$EG9*AG8</f>
        <v>0</v>
      </c>
      <c r="AH222" s="90">
        <f ca="1">AH8/$E8*'Get Started  2'!$G82*(1-$E216-$E217-$E218)+AH219*'Get Started  2'!$EG9*AH8</f>
        <v>0</v>
      </c>
      <c r="AI222" s="90">
        <f ca="1">AI8/$E8*'Get Started  2'!$G82*(1-$E216-$E217-$E218)+AI219*'Get Started  2'!$EG9*AI8</f>
        <v>0</v>
      </c>
      <c r="AJ222" s="90">
        <f ca="1">AJ8/$E8*'Get Started  2'!$G82*(1-$E216-$E217-$E218)+AJ219*'Get Started  2'!$EG9*AJ8</f>
        <v>0</v>
      </c>
      <c r="AK222" s="90">
        <f ca="1">AK8/$E8*'Get Started  2'!$G82*(1-$E216-$E217-$E218)+AK219*'Get Started  2'!$EG9*AK8</f>
        <v>0</v>
      </c>
      <c r="AL222" s="90">
        <f ca="1">AL8/$E8*'Get Started  2'!$G82*(1-$E216-$E217-$E218)+AL219*'Get Started  2'!$EG9*AL8</f>
        <v>0</v>
      </c>
      <c r="AM222" s="90">
        <f ca="1">AM8/$E8*'Get Started  2'!$G82*(1-$E216-$E217-$E218)+AM219*'Get Started  2'!$EG9*AM8</f>
        <v>0</v>
      </c>
      <c r="AN222" s="90">
        <f ca="1">AN8/$E8*'Get Started  2'!$G82*(1-$E216-$E217-$E218)+AN219*'Get Started  2'!$EG9*AN8</f>
        <v>0</v>
      </c>
      <c r="AO222" s="90">
        <f ca="1">AO8/$E8*'Get Started  2'!$G82*(1-$E216-$E217-$E218)+AO219*'Get Started  2'!$EG9*AO8</f>
        <v>0</v>
      </c>
      <c r="AP222" s="90">
        <f ca="1">AP8/$E8*'Get Started  2'!$G82*(1-$E216-$E217-$E218)+AP219*'Get Started  2'!$EG9*AP8</f>
        <v>0</v>
      </c>
      <c r="AQ222" s="90">
        <f ca="1">AQ8/$E8*'Get Started  2'!$G82*(1-$E216-$E217-$E218)+AQ219*'Get Started  2'!$EG9*AQ8</f>
        <v>0</v>
      </c>
      <c r="AR222" s="90">
        <f ca="1">AR8/$E8*'Get Started  2'!$G82*(1-$E216-$E217-$E218)+AR219*'Get Started  2'!$EG9*AR8</f>
        <v>0</v>
      </c>
      <c r="AS222" s="90">
        <f ca="1">AS8/$E8*'Get Started  2'!$G82*(1-$E216-$E217-$E218)+AS219*'Get Started  2'!$EG9*AS8</f>
        <v>0</v>
      </c>
      <c r="AT222" s="90">
        <f ca="1">AT8/$E8*'Get Started  2'!$G82*(1-$E216-$E217-$E218)+AT219*'Get Started  2'!$EG9*AT8</f>
        <v>0</v>
      </c>
      <c r="AU222" s="90">
        <f ca="1">AU8/$E8*'Get Started  2'!$G82*(1-$E216-$E217-$E218)+AU219*'Get Started  2'!$EG9*AU8</f>
        <v>0</v>
      </c>
      <c r="AV222" s="90">
        <f ca="1">AV8/$E8*'Get Started  2'!$G82*(1-$E216-$E217-$E218)+AV219*'Get Started  2'!$EG9*AV8</f>
        <v>0</v>
      </c>
      <c r="AW222" s="90">
        <f ca="1">AW8/$E8*'Get Started  2'!$G82*(1-$E216-$E217-$E218)+AW219*'Get Started  2'!$EG9*AW8</f>
        <v>0</v>
      </c>
      <c r="AX222" s="90">
        <f ca="1">AX8/$E8*'Get Started  2'!$G82*(1-$E216-$E217-$E218)+AX219*'Get Started  2'!$EG9*AX8</f>
        <v>0</v>
      </c>
      <c r="AY222" s="90">
        <f ca="1">AY8/$E8*'Get Started  2'!$G82*(1-$E216-$E217-$E218)+AY219*'Get Started  2'!$EG9*AY8</f>
        <v>0</v>
      </c>
      <c r="AZ222" s="90">
        <f ca="1">AZ8/$E8*'Get Started  2'!$G82*(1-$E216-$E217-$E218)+AZ219*'Get Started  2'!$EG9*AZ8</f>
        <v>0</v>
      </c>
      <c r="BA222" s="90">
        <f ca="1">BA8/$E8*'Get Started  2'!$G82*(1-$E216-$E217-$E218)+BA219*'Get Started  2'!$EG9*BA8</f>
        <v>0</v>
      </c>
      <c r="BB222" s="90">
        <f ca="1">BB8/$E8*'Get Started  2'!$G82*(1-$E216-$E217-$E218)+BB219*'Get Started  2'!$EG9*BB8</f>
        <v>0</v>
      </c>
      <c r="BC222" s="90">
        <f ca="1">BC8/$E8*'Get Started  2'!$G82*(1-$E216-$E217-$E218)+BC219*'Get Started  2'!$EG9*BC8</f>
        <v>0</v>
      </c>
      <c r="BD222" s="90">
        <f ca="1">BD8/$E8*'Get Started  2'!$G82*(1-$E216-$E217-$E218)+BD219*'Get Started  2'!$EG9*BD8</f>
        <v>0</v>
      </c>
      <c r="BE222" s="90">
        <f ca="1">BE8/$E8*'Get Started  2'!$G82*(1-$E216-$E217-$E218)+BE219*'Get Started  2'!$EG9*BE8</f>
        <v>0</v>
      </c>
      <c r="BF222" s="90">
        <f ca="1">BF8/$E8*'Get Started  2'!$G82*(1-$E216-$E217-$E218)+BF219*'Get Started  2'!$EG9*BF8</f>
        <v>0</v>
      </c>
      <c r="BG222" s="90">
        <f ca="1">BG8/$E8*'Get Started  2'!$G82*(1-$E216-$E217-$E218)+BG219*'Get Started  2'!$EG9*BG8</f>
        <v>0</v>
      </c>
      <c r="BH222" s="90">
        <f ca="1">BH8/$E8*'Get Started  2'!$G82*(1-$E216-$E217-$E218)+BH219*'Get Started  2'!$EG9*BH8</f>
        <v>0</v>
      </c>
      <c r="BI222" s="90">
        <f ca="1">BI8/$E8*'Get Started  2'!$G82*(1-$E216-$E217-$E218)+BI219*'Get Started  2'!$EG9*BI8</f>
        <v>0</v>
      </c>
      <c r="BJ222" s="90">
        <f ca="1">BJ8/$E8*'Get Started  2'!$G82*(1-$E216-$E217-$E218)+BJ219*'Get Started  2'!$EG9*BJ8</f>
        <v>0</v>
      </c>
      <c r="BK222" s="90">
        <f ca="1">BK8/$E8*'Get Started  2'!$G82*(1-$E216-$E217-$E218)+BK219*'Get Started  2'!$EG9*BK8</f>
        <v>0</v>
      </c>
      <c r="BL222" s="90">
        <f ca="1">BL8/$E8*'Get Started  2'!$G82*(1-$E216-$E217-$E218)+BL219*'Get Started  2'!$EG9*BL8</f>
        <v>0</v>
      </c>
      <c r="BM222" s="90">
        <f ca="1">BM8/$E8*'Get Started  2'!$G82*(1-$E216-$E217-$E218)+BM219*'Get Started  2'!$EG9*BM8</f>
        <v>0</v>
      </c>
      <c r="BN222" s="90">
        <f ca="1">BN8/$E8*'Get Started  2'!$G82*(1-$E216-$E217-$E218)+BN219*'Get Started  2'!$EG9*BN8</f>
        <v>0</v>
      </c>
      <c r="BO222" s="90">
        <f ca="1">BO8/$E8*'Get Started  2'!$G82*(1-$E216-$E217-$E218)+BO219*'Get Started  2'!$EG9*BO8</f>
        <v>0</v>
      </c>
      <c r="BP222" s="90">
        <f ca="1">BP8/$E8*'Get Started  2'!$G82*(1-$E216-$E217-$E218)+BP219*'Get Started  2'!$EG9*BP8</f>
        <v>0</v>
      </c>
      <c r="BQ222" s="90">
        <f ca="1">BQ8/$E8*'Get Started  2'!$G82*(1-$E216-$E217-$E218)+BQ219*'Get Started  2'!$EG9*BQ8</f>
        <v>0</v>
      </c>
      <c r="BR222" s="90">
        <f ca="1">BR8/$E8*'Get Started  2'!$G82*(1-$E216-$E217-$E218)+BR219*'Get Started  2'!$EG9*BR8</f>
        <v>0</v>
      </c>
      <c r="BS222" s="90">
        <f ca="1">BS8/$E8*'Get Started  2'!$G82*(1-$E216-$E217-$E218)+BS219*'Get Started  2'!$EG9*BS8</f>
        <v>0</v>
      </c>
      <c r="BT222" s="90">
        <f ca="1">BT8/$E8*'Get Started  2'!$G82*(1-$E216-$E217-$E218)+BT219*'Get Started  2'!$EG9*BT8</f>
        <v>0</v>
      </c>
      <c r="BU222" s="90">
        <f ca="1">BU8/$E8*'Get Started  2'!$G82*(1-$E216-$E217-$E218)+BU219*'Get Started  2'!$EG9*BU8</f>
        <v>0</v>
      </c>
      <c r="BV222" s="90">
        <f ca="1">BV8/$E8*'Get Started  2'!$G82*(1-$E216-$E217-$E218)+BV219*'Get Started  2'!$EG9*BV8</f>
        <v>0</v>
      </c>
      <c r="BW222" s="90">
        <f ca="1">BW8/$E8*'Get Started  2'!$G82*(1-$E216-$E217-$E218)+BW219*'Get Started  2'!$EG9*BW8</f>
        <v>0</v>
      </c>
      <c r="BX222" s="90">
        <f ca="1">BX8/$E8*'Get Started  2'!$G82*(1-$E216-$E217-$E218)+BX219*'Get Started  2'!$EG9*BX8</f>
        <v>0</v>
      </c>
      <c r="BY222" s="90">
        <f ca="1">BY8/$E8*'Get Started  2'!$G82*(1-$E216-$E217-$E218)+BY219*'Get Started  2'!$EG9*BY8</f>
        <v>0</v>
      </c>
      <c r="BZ222" s="90">
        <f ca="1">BZ8/$E8*'Get Started  2'!$G82*(1-$E216-$E217-$E218)+BZ219*'Get Started  2'!$EG9*BZ8</f>
        <v>0</v>
      </c>
      <c r="CA222" s="90">
        <f ca="1">CA8/$E8*'Get Started  2'!$G82*(1-$E216-$E217-$E218)+CA219*'Get Started  2'!$EG9*CA8</f>
        <v>0</v>
      </c>
      <c r="CB222" s="90">
        <f ca="1">CB8/$E8*'Get Started  2'!$G82*(1-$E216-$E217-$E218)+CB219*'Get Started  2'!$EG9*CB8</f>
        <v>0</v>
      </c>
      <c r="CC222" s="90">
        <f ca="1">CC8/$E8*'Get Started  2'!$G82*(1-$E216-$E217-$E218)+CC219*'Get Started  2'!$EG9*CC8</f>
        <v>0</v>
      </c>
      <c r="CD222" s="90">
        <f ca="1">CD8/$E8*'Get Started  2'!$G82*(1-$E216-$E217-$E218)+CD219*'Get Started  2'!$EG9*CD8</f>
        <v>0</v>
      </c>
      <c r="CE222" s="90">
        <f ca="1">CE8/$E8*'Get Started  2'!$G82*(1-$E216-$E217-$E218)+CE219*'Get Started  2'!$EG9*CE8</f>
        <v>0</v>
      </c>
      <c r="CF222" s="90">
        <f ca="1">CF8/$E8*'Get Started  2'!$G82*(1-$E216-$E217-$E218)+CF219*'Get Started  2'!$EG9*CF8</f>
        <v>0</v>
      </c>
      <c r="CG222" s="90">
        <f ca="1">CG8/$E8*'Get Started  2'!$G82*(1-$E216-$E217-$E218)+CG219*'Get Started  2'!$EG9*CG8</f>
        <v>0</v>
      </c>
      <c r="CH222" s="90">
        <f ca="1">CH8/$E8*'Get Started  2'!$G82*(1-$E216-$E217-$E218)+CH219*'Get Started  2'!$EG9*CH8</f>
        <v>0</v>
      </c>
    </row>
    <row r="223" spans="1:86" ht="13" outlineLevel="1">
      <c r="A223" s="13"/>
      <c r="B223" s="13" t="s">
        <v>328</v>
      </c>
      <c r="C223" s="91"/>
      <c r="D223" s="13" t="s">
        <v>238</v>
      </c>
      <c r="E223" s="88">
        <f t="shared" ca="1" si="170"/>
        <v>4.0585416666666652E-2</v>
      </c>
      <c r="F223" s="48"/>
      <c r="G223" s="90">
        <f ca="1">G8/$E8*'Get Started  2'!$H82*(1-$E216-$E217-$E218)+G219*'Get Started  2'!$H82*G8</f>
        <v>2.4062499999999995E-3</v>
      </c>
      <c r="H223" s="90">
        <f ca="1">H8/$E8*'Get Started  2'!$H82*(1-$E216-$E217-$E218)+H219*'Get Started  2'!$H82*H8</f>
        <v>2.4062499999999995E-3</v>
      </c>
      <c r="I223" s="90">
        <f ca="1">I8/$E8*'Get Started  2'!$H82*(1-$E216-$E217-$E218)+I219*'Get Started  2'!$H82*I8</f>
        <v>2.4062499999999995E-3</v>
      </c>
      <c r="J223" s="90">
        <f ca="1">J8/$E8*'Get Started  2'!$H82*(1-$E216-$E217-$E218)+J219*'Get Started  2'!$H82*J8</f>
        <v>2.4062499999999995E-3</v>
      </c>
      <c r="K223" s="90">
        <f ca="1">K8/$E8*'Get Started  2'!$H82*(1-$E216-$E217-$E218)+K219*'Get Started  2'!$H82*K8</f>
        <v>2.4062499999999995E-3</v>
      </c>
      <c r="L223" s="90">
        <f ca="1">L8/$E8*'Get Started  2'!$H82*(1-$E216-$E217-$E218)+L219*'Get Started  2'!$H82*L8</f>
        <v>2.4062499999999995E-3</v>
      </c>
      <c r="M223" s="90">
        <f ca="1">M8/$E8*'Get Started  2'!$H82*(1-$E216-$E217-$E218)+M219*'Get Started  2'!$H82*M8</f>
        <v>2.4062499999999995E-3</v>
      </c>
      <c r="N223" s="90">
        <f ca="1">N8/$E8*'Get Started  2'!$H82*(1-$E216-$E217-$E218)+N219*'Get Started  2'!$H82*N8</f>
        <v>2.4062499999999995E-3</v>
      </c>
      <c r="O223" s="90">
        <f ca="1">O8/$E8*'Get Started  2'!$H82*(1-$E216-$E217-$E218)+O219*'Get Started  2'!$H82*O8</f>
        <v>2.4062499999999995E-3</v>
      </c>
      <c r="P223" s="90">
        <f ca="1">P8/$E8*'Get Started  2'!$H82*(1-$E216-$E217-$E218)+P219*'Get Started  2'!$H82*P8</f>
        <v>2.4062499999999995E-3</v>
      </c>
      <c r="Q223" s="90">
        <f ca="1">Q8/$E8*'Get Started  2'!$H82*(1-$E216-$E217-$E218)+Q219*'Get Started  2'!$H82*Q8</f>
        <v>2.4062499999999995E-3</v>
      </c>
      <c r="R223" s="90">
        <f ca="1">R8/$E8*'Get Started  2'!$H82*(1-$E216-$E217-$E218)+R219*'Get Started  2'!$H82*R8</f>
        <v>2.4062499999999995E-3</v>
      </c>
      <c r="S223" s="90">
        <f ca="1">S8/$E8*'Get Started  2'!$H82*(1-$E216-$E217-$E218)+S219*'Get Started  2'!$H82*S8</f>
        <v>2.927604166666666E-3</v>
      </c>
      <c r="T223" s="90">
        <f ca="1">T8/$E8*'Get Started  2'!$H82*(1-$E216-$E217-$E218)+T219*'Get Started  2'!$H82*T8</f>
        <v>2.927604166666666E-3</v>
      </c>
      <c r="U223" s="90">
        <f ca="1">U8/$E8*'Get Started  2'!$H82*(1-$E216-$E217-$E218)+U219*'Get Started  2'!$H82*U8</f>
        <v>2.927604166666666E-3</v>
      </c>
      <c r="V223" s="90">
        <f ca="1">V8/$E8*'Get Started  2'!$H82*(1-$E216-$E217-$E218)+V219*'Get Started  2'!$H82*V8</f>
        <v>2.927604166666666E-3</v>
      </c>
      <c r="W223" s="90">
        <f ca="1">W8/$E8*'Get Started  2'!$H82*(1-$E216-$E217-$E218)+W219*'Get Started  2'!$H82*W8</f>
        <v>0</v>
      </c>
      <c r="X223" s="90">
        <f ca="1">X8/$E8*'Get Started  2'!$H82*(1-$E216-$E217-$E218)+X219*'Get Started  2'!$H82*X8</f>
        <v>0</v>
      </c>
      <c r="Y223" s="90">
        <f ca="1">Y8/$E8*'Get Started  2'!$H82*(1-$E216-$E217-$E218)+Y219*'Get Started  2'!$H82*Y8</f>
        <v>0</v>
      </c>
      <c r="Z223" s="90">
        <f ca="1">Z8/$E8*'Get Started  2'!$H82*(1-$E216-$E217-$E218)+Z219*'Get Started  2'!$H82*Z8</f>
        <v>0</v>
      </c>
      <c r="AA223" s="90">
        <f ca="1">AA8/$E8*'Get Started  2'!$H82*(1-$E216-$E217-$E218)+AA219*'Get Started  2'!$H82*AA8</f>
        <v>0</v>
      </c>
      <c r="AB223" s="90">
        <f ca="1">AB8/$E8*'Get Started  2'!$H82*(1-$E216-$E217-$E218)+AB219*'Get Started  2'!$H82*AB8</f>
        <v>0</v>
      </c>
      <c r="AC223" s="90">
        <f ca="1">AC8/$E8*'Get Started  2'!$H82*(1-$E216-$E217-$E218)+AC219*'Get Started  2'!$H82*AC8</f>
        <v>0</v>
      </c>
      <c r="AD223" s="90">
        <f ca="1">AD8/$E8*'Get Started  2'!$H82*(1-$E216-$E217-$E218)+AD219*'Get Started  2'!$H82*AD8</f>
        <v>0</v>
      </c>
      <c r="AE223" s="90">
        <f ca="1">AE8/$E8*'Get Started  2'!$H82*(1-$E216-$E217-$E218)+AE219*'Get Started  2'!$H82*AE8</f>
        <v>0</v>
      </c>
      <c r="AF223" s="90">
        <f ca="1">AF8/$E8*'Get Started  2'!$H82*(1-$E216-$E217-$E218)+AF219*'Get Started  2'!$H82*AF8</f>
        <v>0</v>
      </c>
      <c r="AG223" s="90">
        <f ca="1">AG8/$E8*'Get Started  2'!$H82*(1-$E216-$E217-$E218)+AG219*'Get Started  2'!$H82*AG8</f>
        <v>0</v>
      </c>
      <c r="AH223" s="90">
        <f ca="1">AH8/$E8*'Get Started  2'!$H82*(1-$E216-$E217-$E218)+AH219*'Get Started  2'!$H82*AH8</f>
        <v>0</v>
      </c>
      <c r="AI223" s="90">
        <f ca="1">AI8/$E8*'Get Started  2'!$H82*(1-$E216-$E217-$E218)+AI219*'Get Started  2'!$H82*AI8</f>
        <v>0</v>
      </c>
      <c r="AJ223" s="90">
        <f ca="1">AJ8/$E8*'Get Started  2'!$H82*(1-$E216-$E217-$E218)+AJ219*'Get Started  2'!$H82*AJ8</f>
        <v>0</v>
      </c>
      <c r="AK223" s="90">
        <f ca="1">AK8/$E8*'Get Started  2'!$H82*(1-$E216-$E217-$E218)+AK219*'Get Started  2'!$H82*AK8</f>
        <v>0</v>
      </c>
      <c r="AL223" s="90">
        <f ca="1">AL8/$E8*'Get Started  2'!$H82*(1-$E216-$E217-$E218)+AL219*'Get Started  2'!$H82*AL8</f>
        <v>0</v>
      </c>
      <c r="AM223" s="90">
        <f ca="1">AM8/$E8*'Get Started  2'!$H82*(1-$E216-$E217-$E218)+AM219*'Get Started  2'!$H82*AM8</f>
        <v>0</v>
      </c>
      <c r="AN223" s="90">
        <f ca="1">AN8/$E8*'Get Started  2'!$H82*(1-$E216-$E217-$E218)+AN219*'Get Started  2'!$H82*AN8</f>
        <v>0</v>
      </c>
      <c r="AO223" s="90">
        <f ca="1">AO8/$E8*'Get Started  2'!$H82*(1-$E216-$E217-$E218)+AO219*'Get Started  2'!$H82*AO8</f>
        <v>0</v>
      </c>
      <c r="AP223" s="90">
        <f ca="1">AP8/$E8*'Get Started  2'!$H82*(1-$E216-$E217-$E218)+AP219*'Get Started  2'!$H82*AP8</f>
        <v>0</v>
      </c>
      <c r="AQ223" s="90">
        <f ca="1">AQ8/$E8*'Get Started  2'!$H82*(1-$E216-$E217-$E218)+AQ219*'Get Started  2'!$H82*AQ8</f>
        <v>0</v>
      </c>
      <c r="AR223" s="90">
        <f ca="1">AR8/$E8*'Get Started  2'!$H82*(1-$E216-$E217-$E218)+AR219*'Get Started  2'!$H82*AR8</f>
        <v>0</v>
      </c>
      <c r="AS223" s="90">
        <f ca="1">AS8/$E8*'Get Started  2'!$H82*(1-$E216-$E217-$E218)+AS219*'Get Started  2'!$H82*AS8</f>
        <v>0</v>
      </c>
      <c r="AT223" s="90">
        <f ca="1">AT8/$E8*'Get Started  2'!$H82*(1-$E216-$E217-$E218)+AT219*'Get Started  2'!$H82*AT8</f>
        <v>0</v>
      </c>
      <c r="AU223" s="90">
        <f ca="1">AU8/$E8*'Get Started  2'!$H82*(1-$E216-$E217-$E218)+AU219*'Get Started  2'!$H82*AU8</f>
        <v>0</v>
      </c>
      <c r="AV223" s="90">
        <f ca="1">AV8/$E8*'Get Started  2'!$H82*(1-$E216-$E217-$E218)+AV219*'Get Started  2'!$H82*AV8</f>
        <v>0</v>
      </c>
      <c r="AW223" s="90">
        <f ca="1">AW8/$E8*'Get Started  2'!$H82*(1-$E216-$E217-$E218)+AW219*'Get Started  2'!$H82*AW8</f>
        <v>0</v>
      </c>
      <c r="AX223" s="90">
        <f ca="1">AX8/$E8*'Get Started  2'!$H82*(1-$E216-$E217-$E218)+AX219*'Get Started  2'!$H82*AX8</f>
        <v>0</v>
      </c>
      <c r="AY223" s="90">
        <f ca="1">AY8/$E8*'Get Started  2'!$H82*(1-$E216-$E217-$E218)+AY219*'Get Started  2'!$H82*AY8</f>
        <v>0</v>
      </c>
      <c r="AZ223" s="90">
        <f ca="1">AZ8/$E8*'Get Started  2'!$H82*(1-$E216-$E217-$E218)+AZ219*'Get Started  2'!$H82*AZ8</f>
        <v>0</v>
      </c>
      <c r="BA223" s="90">
        <f ca="1">BA8/$E8*'Get Started  2'!$H82*(1-$E216-$E217-$E218)+BA219*'Get Started  2'!$H82*BA8</f>
        <v>0</v>
      </c>
      <c r="BB223" s="90">
        <f ca="1">BB8/$E8*'Get Started  2'!$H82*(1-$E216-$E217-$E218)+BB219*'Get Started  2'!$H82*BB8</f>
        <v>0</v>
      </c>
      <c r="BC223" s="90">
        <f ca="1">BC8/$E8*'Get Started  2'!$H82*(1-$E216-$E217-$E218)+BC219*'Get Started  2'!$H82*BC8</f>
        <v>0</v>
      </c>
      <c r="BD223" s="90">
        <f ca="1">BD8/$E8*'Get Started  2'!$H82*(1-$E216-$E217-$E218)+BD219*'Get Started  2'!$H82*BD8</f>
        <v>0</v>
      </c>
      <c r="BE223" s="90">
        <f ca="1">BE8/$E8*'Get Started  2'!$H82*(1-$E216-$E217-$E218)+BE219*'Get Started  2'!$H82*BE8</f>
        <v>0</v>
      </c>
      <c r="BF223" s="90">
        <f ca="1">BF8/$E8*'Get Started  2'!$H82*(1-$E216-$E217-$E218)+BF219*'Get Started  2'!$H82*BF8</f>
        <v>0</v>
      </c>
      <c r="BG223" s="90">
        <f ca="1">BG8/$E8*'Get Started  2'!$H82*(1-$E216-$E217-$E218)+BG219*'Get Started  2'!$H82*BG8</f>
        <v>0</v>
      </c>
      <c r="BH223" s="90">
        <f ca="1">BH8/$E8*'Get Started  2'!$H82*(1-$E216-$E217-$E218)+BH219*'Get Started  2'!$H82*BH8</f>
        <v>0</v>
      </c>
      <c r="BI223" s="90">
        <f ca="1">BI8/$E8*'Get Started  2'!$H82*(1-$E216-$E217-$E218)+BI219*'Get Started  2'!$H82*BI8</f>
        <v>0</v>
      </c>
      <c r="BJ223" s="90">
        <f ca="1">BJ8/$E8*'Get Started  2'!$H82*(1-$E216-$E217-$E218)+BJ219*'Get Started  2'!$H82*BJ8</f>
        <v>0</v>
      </c>
      <c r="BK223" s="90">
        <f ca="1">BK8/$E8*'Get Started  2'!$H82*(1-$E216-$E217-$E218)+BK219*'Get Started  2'!$H82*BK8</f>
        <v>0</v>
      </c>
      <c r="BL223" s="90">
        <f ca="1">BL8/$E8*'Get Started  2'!$H82*(1-$E216-$E217-$E218)+BL219*'Get Started  2'!$H82*BL8</f>
        <v>0</v>
      </c>
      <c r="BM223" s="90">
        <f ca="1">BM8/$E8*'Get Started  2'!$H82*(1-$E216-$E217-$E218)+BM219*'Get Started  2'!$H82*BM8</f>
        <v>0</v>
      </c>
      <c r="BN223" s="90">
        <f ca="1">BN8/$E8*'Get Started  2'!$H82*(1-$E216-$E217-$E218)+BN219*'Get Started  2'!$H82*BN8</f>
        <v>0</v>
      </c>
      <c r="BO223" s="90">
        <f ca="1">BO8/$E8*'Get Started  2'!$H82*(1-$E216-$E217-$E218)+BO219*'Get Started  2'!$H82*BO8</f>
        <v>0</v>
      </c>
      <c r="BP223" s="90">
        <f ca="1">BP8/$E8*'Get Started  2'!$H82*(1-$E216-$E217-$E218)+BP219*'Get Started  2'!$H82*BP8</f>
        <v>0</v>
      </c>
      <c r="BQ223" s="90">
        <f ca="1">BQ8/$E8*'Get Started  2'!$H82*(1-$E216-$E217-$E218)+BQ219*'Get Started  2'!$H82*BQ8</f>
        <v>0</v>
      </c>
      <c r="BR223" s="90">
        <f ca="1">BR8/$E8*'Get Started  2'!$H82*(1-$E216-$E217-$E218)+BR219*'Get Started  2'!$H82*BR8</f>
        <v>0</v>
      </c>
      <c r="BS223" s="90">
        <f ca="1">BS8/$E8*'Get Started  2'!$H82*(1-$E216-$E217-$E218)+BS219*'Get Started  2'!$H82*BS8</f>
        <v>0</v>
      </c>
      <c r="BT223" s="90">
        <f ca="1">BT8/$E8*'Get Started  2'!$H82*(1-$E216-$E217-$E218)+BT219*'Get Started  2'!$H82*BT8</f>
        <v>0</v>
      </c>
      <c r="BU223" s="90">
        <f ca="1">BU8/$E8*'Get Started  2'!$H82*(1-$E216-$E217-$E218)+BU219*'Get Started  2'!$H82*BU8</f>
        <v>0</v>
      </c>
      <c r="BV223" s="90">
        <f ca="1">BV8/$E8*'Get Started  2'!$H82*(1-$E216-$E217-$E218)+BV219*'Get Started  2'!$H82*BV8</f>
        <v>0</v>
      </c>
      <c r="BW223" s="90">
        <f ca="1">BW8/$E8*'Get Started  2'!$H82*(1-$E216-$E217-$E218)+BW219*'Get Started  2'!$H82*BW8</f>
        <v>0</v>
      </c>
      <c r="BX223" s="90">
        <f ca="1">BX8/$E8*'Get Started  2'!$H82*(1-$E216-$E217-$E218)+BX219*'Get Started  2'!$H82*BX8</f>
        <v>0</v>
      </c>
      <c r="BY223" s="90">
        <f ca="1">BY8/$E8*'Get Started  2'!$H82*(1-$E216-$E217-$E218)+BY219*'Get Started  2'!$H82*BY8</f>
        <v>0</v>
      </c>
      <c r="BZ223" s="90">
        <f ca="1">BZ8/$E8*'Get Started  2'!$H82*(1-$E216-$E217-$E218)+BZ219*'Get Started  2'!$H82*BZ8</f>
        <v>0</v>
      </c>
      <c r="CA223" s="90">
        <f ca="1">CA8/$E8*'Get Started  2'!$H82*(1-$E216-$E217-$E218)+CA219*'Get Started  2'!$H82*CA8</f>
        <v>0</v>
      </c>
      <c r="CB223" s="90">
        <f ca="1">CB8/$E8*'Get Started  2'!$H82*(1-$E216-$E217-$E218)+CB219*'Get Started  2'!$H82*CB8</f>
        <v>0</v>
      </c>
      <c r="CC223" s="90">
        <f ca="1">CC8/$E8*'Get Started  2'!$H82*(1-$E216-$E217-$E218)+CC219*'Get Started  2'!$H82*CC8</f>
        <v>0</v>
      </c>
      <c r="CD223" s="90">
        <f ca="1">CD8/$E8*'Get Started  2'!$H82*(1-$E216-$E217-$E218)+CD219*'Get Started  2'!$H82*CD8</f>
        <v>0</v>
      </c>
      <c r="CE223" s="90">
        <f ca="1">CE8/$E8*'Get Started  2'!$H82*(1-$E216-$E217-$E218)+CE219*'Get Started  2'!$H82*CE8</f>
        <v>0</v>
      </c>
      <c r="CF223" s="90">
        <f ca="1">CF8/$E8*'Get Started  2'!$H82*(1-$E216-$E217-$E218)+CF219*'Get Started  2'!$H82*CF8</f>
        <v>0</v>
      </c>
      <c r="CG223" s="90">
        <f ca="1">CG8/$E8*'Get Started  2'!$H82*(1-$E216-$E217-$E218)+CG219*'Get Started  2'!$H82*CG8</f>
        <v>0</v>
      </c>
      <c r="CH223" s="90">
        <f ca="1">CH8/$E8*'Get Started  2'!$H82*(1-$E216-$E217-$E218)+CH219*'Get Started  2'!$H82*CH8</f>
        <v>0</v>
      </c>
    </row>
    <row r="224" spans="1:86" ht="13" outlineLevel="1">
      <c r="A224" s="13"/>
      <c r="B224" s="13" t="s">
        <v>328</v>
      </c>
      <c r="C224" s="91"/>
      <c r="D224" s="13" t="s">
        <v>238</v>
      </c>
      <c r="E224" s="88">
        <f t="shared" ca="1" si="170"/>
        <v>0.80684236111111129</v>
      </c>
      <c r="F224" s="48"/>
      <c r="G224" s="90">
        <f t="shared" ref="G224:CH224" ca="1" si="174">SUM(G220:G223)</f>
        <v>4.8125000000000008E-2</v>
      </c>
      <c r="H224" s="90">
        <f t="shared" ca="1" si="174"/>
        <v>4.8125000000000008E-2</v>
      </c>
      <c r="I224" s="90">
        <f t="shared" ca="1" si="174"/>
        <v>4.8125000000000008E-2</v>
      </c>
      <c r="J224" s="90">
        <f t="shared" ca="1" si="174"/>
        <v>4.8125000000000008E-2</v>
      </c>
      <c r="K224" s="90">
        <f t="shared" ca="1" si="174"/>
        <v>4.8125000000000008E-2</v>
      </c>
      <c r="L224" s="90">
        <f t="shared" ca="1" si="174"/>
        <v>4.8125000000000008E-2</v>
      </c>
      <c r="M224" s="90">
        <f t="shared" ca="1" si="174"/>
        <v>4.8125000000000008E-2</v>
      </c>
      <c r="N224" s="90">
        <f t="shared" ca="1" si="174"/>
        <v>4.8125000000000008E-2</v>
      </c>
      <c r="O224" s="90">
        <f t="shared" ca="1" si="174"/>
        <v>4.8125000000000008E-2</v>
      </c>
      <c r="P224" s="90">
        <f t="shared" ca="1" si="174"/>
        <v>4.8125000000000008E-2</v>
      </c>
      <c r="Q224" s="90">
        <f t="shared" ca="1" si="174"/>
        <v>4.8125000000000008E-2</v>
      </c>
      <c r="R224" s="90">
        <f t="shared" ca="1" si="174"/>
        <v>4.8125000000000008E-2</v>
      </c>
      <c r="S224" s="90">
        <f t="shared" ca="1" si="174"/>
        <v>5.7335590277777786E-2</v>
      </c>
      <c r="T224" s="90">
        <f t="shared" ca="1" si="174"/>
        <v>5.7335590277777786E-2</v>
      </c>
      <c r="U224" s="90">
        <f t="shared" ca="1" si="174"/>
        <v>5.7335590277777786E-2</v>
      </c>
      <c r="V224" s="90">
        <f t="shared" ca="1" si="174"/>
        <v>5.7335590277777786E-2</v>
      </c>
      <c r="W224" s="90">
        <f t="shared" ca="1" si="174"/>
        <v>0</v>
      </c>
      <c r="X224" s="90">
        <f t="shared" ca="1" si="174"/>
        <v>0</v>
      </c>
      <c r="Y224" s="90">
        <f t="shared" ca="1" si="174"/>
        <v>0</v>
      </c>
      <c r="Z224" s="90">
        <f t="shared" ca="1" si="174"/>
        <v>0</v>
      </c>
      <c r="AA224" s="90">
        <f t="shared" ca="1" si="174"/>
        <v>0</v>
      </c>
      <c r="AB224" s="90">
        <f t="shared" ca="1" si="174"/>
        <v>0</v>
      </c>
      <c r="AC224" s="90">
        <f t="shared" ca="1" si="174"/>
        <v>0</v>
      </c>
      <c r="AD224" s="90">
        <f t="shared" ca="1" si="174"/>
        <v>0</v>
      </c>
      <c r="AE224" s="90">
        <f t="shared" ca="1" si="174"/>
        <v>0</v>
      </c>
      <c r="AF224" s="90">
        <f t="shared" ca="1" si="174"/>
        <v>0</v>
      </c>
      <c r="AG224" s="90">
        <f t="shared" ca="1" si="174"/>
        <v>0</v>
      </c>
      <c r="AH224" s="90">
        <f t="shared" ca="1" si="174"/>
        <v>0</v>
      </c>
      <c r="AI224" s="90">
        <f t="shared" ca="1" si="174"/>
        <v>0</v>
      </c>
      <c r="AJ224" s="90">
        <f t="shared" ca="1" si="174"/>
        <v>0</v>
      </c>
      <c r="AK224" s="90">
        <f t="shared" ca="1" si="174"/>
        <v>0</v>
      </c>
      <c r="AL224" s="90">
        <f t="shared" ca="1" si="174"/>
        <v>0</v>
      </c>
      <c r="AM224" s="90">
        <f t="shared" ca="1" si="174"/>
        <v>0</v>
      </c>
      <c r="AN224" s="90">
        <f t="shared" ca="1" si="174"/>
        <v>0</v>
      </c>
      <c r="AO224" s="90">
        <f t="shared" ca="1" si="174"/>
        <v>0</v>
      </c>
      <c r="AP224" s="90">
        <f t="shared" ca="1" si="174"/>
        <v>0</v>
      </c>
      <c r="AQ224" s="90">
        <f t="shared" ca="1" si="174"/>
        <v>0</v>
      </c>
      <c r="AR224" s="90">
        <f t="shared" ca="1" si="174"/>
        <v>0</v>
      </c>
      <c r="AS224" s="90">
        <f t="shared" ca="1" si="174"/>
        <v>0</v>
      </c>
      <c r="AT224" s="90">
        <f t="shared" ca="1" si="174"/>
        <v>0</v>
      </c>
      <c r="AU224" s="90">
        <f t="shared" ca="1" si="174"/>
        <v>0</v>
      </c>
      <c r="AV224" s="90">
        <f t="shared" ca="1" si="174"/>
        <v>0</v>
      </c>
      <c r="AW224" s="90">
        <f t="shared" ca="1" si="174"/>
        <v>0</v>
      </c>
      <c r="AX224" s="90">
        <f t="shared" ca="1" si="174"/>
        <v>0</v>
      </c>
      <c r="AY224" s="90">
        <f t="shared" ca="1" si="174"/>
        <v>0</v>
      </c>
      <c r="AZ224" s="90">
        <f t="shared" ca="1" si="174"/>
        <v>0</v>
      </c>
      <c r="BA224" s="90">
        <f t="shared" ca="1" si="174"/>
        <v>0</v>
      </c>
      <c r="BB224" s="90">
        <f t="shared" ca="1" si="174"/>
        <v>0</v>
      </c>
      <c r="BC224" s="90">
        <f t="shared" ca="1" si="174"/>
        <v>0</v>
      </c>
      <c r="BD224" s="90">
        <f t="shared" ca="1" si="174"/>
        <v>0</v>
      </c>
      <c r="BE224" s="90">
        <f t="shared" ca="1" si="174"/>
        <v>0</v>
      </c>
      <c r="BF224" s="90">
        <f t="shared" ca="1" si="174"/>
        <v>0</v>
      </c>
      <c r="BG224" s="90">
        <f t="shared" ca="1" si="174"/>
        <v>0</v>
      </c>
      <c r="BH224" s="90">
        <f t="shared" ca="1" si="174"/>
        <v>0</v>
      </c>
      <c r="BI224" s="90">
        <f t="shared" ca="1" si="174"/>
        <v>0</v>
      </c>
      <c r="BJ224" s="90">
        <f t="shared" ca="1" si="174"/>
        <v>0</v>
      </c>
      <c r="BK224" s="90">
        <f t="shared" ca="1" si="174"/>
        <v>0</v>
      </c>
      <c r="BL224" s="90">
        <f t="shared" ca="1" si="174"/>
        <v>0</v>
      </c>
      <c r="BM224" s="90">
        <f t="shared" ca="1" si="174"/>
        <v>0</v>
      </c>
      <c r="BN224" s="90">
        <f t="shared" ca="1" si="174"/>
        <v>0</v>
      </c>
      <c r="BO224" s="90">
        <f t="shared" ca="1" si="174"/>
        <v>0</v>
      </c>
      <c r="BP224" s="90">
        <f t="shared" ca="1" si="174"/>
        <v>0</v>
      </c>
      <c r="BQ224" s="90">
        <f t="shared" ca="1" si="174"/>
        <v>0</v>
      </c>
      <c r="BR224" s="90">
        <f t="shared" ca="1" si="174"/>
        <v>0</v>
      </c>
      <c r="BS224" s="90">
        <f t="shared" ca="1" si="174"/>
        <v>0</v>
      </c>
      <c r="BT224" s="90">
        <f t="shared" ca="1" si="174"/>
        <v>0</v>
      </c>
      <c r="BU224" s="90">
        <f t="shared" ca="1" si="174"/>
        <v>0</v>
      </c>
      <c r="BV224" s="90">
        <f t="shared" ca="1" si="174"/>
        <v>0</v>
      </c>
      <c r="BW224" s="90">
        <f t="shared" ca="1" si="174"/>
        <v>0</v>
      </c>
      <c r="BX224" s="90">
        <f t="shared" ca="1" si="174"/>
        <v>0</v>
      </c>
      <c r="BY224" s="90">
        <f t="shared" ca="1" si="174"/>
        <v>0</v>
      </c>
      <c r="BZ224" s="90">
        <f t="shared" ca="1" si="174"/>
        <v>0</v>
      </c>
      <c r="CA224" s="90">
        <f t="shared" ca="1" si="174"/>
        <v>0</v>
      </c>
      <c r="CB224" s="90">
        <f t="shared" ca="1" si="174"/>
        <v>0</v>
      </c>
      <c r="CC224" s="90">
        <f t="shared" ca="1" si="174"/>
        <v>0</v>
      </c>
      <c r="CD224" s="90">
        <f t="shared" ca="1" si="174"/>
        <v>0</v>
      </c>
      <c r="CE224" s="90">
        <f t="shared" ca="1" si="174"/>
        <v>0</v>
      </c>
      <c r="CF224" s="90">
        <f t="shared" ca="1" si="174"/>
        <v>0</v>
      </c>
      <c r="CG224" s="90">
        <f t="shared" ca="1" si="174"/>
        <v>0</v>
      </c>
      <c r="CH224" s="90">
        <f t="shared" ca="1" si="174"/>
        <v>0</v>
      </c>
    </row>
    <row r="225" spans="1:86" ht="13" outlineLevel="1">
      <c r="A225" s="13"/>
      <c r="B225" s="13" t="s">
        <v>329</v>
      </c>
      <c r="C225" s="13"/>
      <c r="D225" s="13" t="s">
        <v>238</v>
      </c>
      <c r="E225" s="88">
        <f t="shared" ca="1" si="170"/>
        <v>0</v>
      </c>
      <c r="F225" s="48"/>
      <c r="G225" s="90">
        <f ca="1">IFERROR(IF(G4&lt;'Get Started  2'!$E55,0,OFFSET(G220,0,-1*'Get Started  2'!$E55)*'Get Started  2'!$E84/'Get Started  2'!$E82),0)+IFERROR(IF(G4&lt;'Get Started  2'!$E65,0,OFFSET(G220,0,-1*'Get Started  2'!$E65)*'Get Started  2'!$E86/'Get Started  2'!$E82),0)</f>
        <v>0</v>
      </c>
      <c r="H225" s="90">
        <f ca="1">IFERROR(IF(H4&lt;'Get Started  2'!$E55,0,OFFSET(H220,0,-1*'Get Started  2'!$E55)*'Get Started  2'!$E84/'Get Started  2'!$E82),0)+IFERROR(IF(H4&lt;'Get Started  2'!$E65,0,OFFSET(H220,0,-1*'Get Started  2'!$E65)*'Get Started  2'!$E86/'Get Started  2'!$E82),0)</f>
        <v>0</v>
      </c>
      <c r="I225" s="90">
        <f ca="1">IFERROR(IF(I4&lt;'Get Started  2'!$E55,0,OFFSET(I220,0,-1*'Get Started  2'!$E55)*'Get Started  2'!$E84/'Get Started  2'!$E82),0)+IFERROR(IF(I4&lt;'Get Started  2'!$E65,0,OFFSET(I220,0,-1*'Get Started  2'!$E65)*'Get Started  2'!$E86/'Get Started  2'!$E82),0)</f>
        <v>0</v>
      </c>
      <c r="J225" s="90">
        <f ca="1">IFERROR(IF(J4&lt;'Get Started  2'!$E55,0,OFFSET(J220,0,-1*'Get Started  2'!$E55)*'Get Started  2'!$E84/'Get Started  2'!$E82),0)+IFERROR(IF(J4&lt;'Get Started  2'!$E65,0,OFFSET(J220,0,-1*'Get Started  2'!$E65)*'Get Started  2'!$E86/'Get Started  2'!$E82),0)</f>
        <v>0</v>
      </c>
      <c r="K225" s="90">
        <f ca="1">IFERROR(IF(K4&lt;'Get Started  2'!$E55,0,OFFSET(K220,0,-1*'Get Started  2'!$E55)*'Get Started  2'!$E84/'Get Started  2'!$E82),0)+IFERROR(IF(K4&lt;'Get Started  2'!$E65,0,OFFSET(K220,0,-1*'Get Started  2'!$E65)*'Get Started  2'!$E86/'Get Started  2'!$E82),0)</f>
        <v>0</v>
      </c>
      <c r="L225" s="90">
        <f ca="1">IFERROR(IF(L4&lt;'Get Started  2'!$E55,0,OFFSET(L220,0,-1*'Get Started  2'!$E55)*'Get Started  2'!$E84/'Get Started  2'!$E82),0)+IFERROR(IF(L4&lt;'Get Started  2'!$E65,0,OFFSET(L220,0,-1*'Get Started  2'!$E65)*'Get Started  2'!$E86/'Get Started  2'!$E82),0)</f>
        <v>0</v>
      </c>
      <c r="M225" s="90">
        <f ca="1">IFERROR(IF(M4&lt;'Get Started  2'!$E55,0,OFFSET(M220,0,-1*'Get Started  2'!$E55)*'Get Started  2'!$E84/'Get Started  2'!$E82),0)+IFERROR(IF(M4&lt;'Get Started  2'!$E65,0,OFFSET(M220,0,-1*'Get Started  2'!$E65)*'Get Started  2'!$E86/'Get Started  2'!$E82),0)</f>
        <v>0</v>
      </c>
      <c r="N225" s="90">
        <f ca="1">IFERROR(IF(N4&lt;'Get Started  2'!$E55,0,OFFSET(N220,0,-1*'Get Started  2'!$E55)*'Get Started  2'!$E84/'Get Started  2'!$E82),0)+IFERROR(IF(N4&lt;'Get Started  2'!$E65,0,OFFSET(N220,0,-1*'Get Started  2'!$E65)*'Get Started  2'!$E86/'Get Started  2'!$E82),0)</f>
        <v>0</v>
      </c>
      <c r="O225" s="90">
        <f ca="1">IFERROR(IF(O4&lt;'Get Started  2'!$E55,0,OFFSET(O220,0,-1*'Get Started  2'!$E55)*'Get Started  2'!$E84/'Get Started  2'!$E82),0)+IFERROR(IF(O4&lt;'Get Started  2'!$E65,0,OFFSET(O220,0,-1*'Get Started  2'!$E65)*'Get Started  2'!$E86/'Get Started  2'!$E82),0)</f>
        <v>0</v>
      </c>
      <c r="P225" s="90">
        <f ca="1">IFERROR(IF(P4&lt;'Get Started  2'!$E55,0,OFFSET(P220,0,-1*'Get Started  2'!$E55)*'Get Started  2'!$E84/'Get Started  2'!$E82),0)+IFERROR(IF(P4&lt;'Get Started  2'!$E65,0,OFFSET(P220,0,-1*'Get Started  2'!$E65)*'Get Started  2'!$E86/'Get Started  2'!$E82),0)</f>
        <v>0</v>
      </c>
      <c r="Q225" s="90">
        <f ca="1">IFERROR(IF(Q4&lt;'Get Started  2'!$E55,0,OFFSET(Q220,0,-1*'Get Started  2'!$E55)*'Get Started  2'!$E84/'Get Started  2'!$E82),0)+IFERROR(IF(Q4&lt;'Get Started  2'!$E65,0,OFFSET(Q220,0,-1*'Get Started  2'!$E65)*'Get Started  2'!$E86/'Get Started  2'!$E82),0)</f>
        <v>0</v>
      </c>
      <c r="R225" s="90">
        <f ca="1">IFERROR(IF(R4&lt;'Get Started  2'!$E55,0,OFFSET(R220,0,-1*'Get Started  2'!$E55)*'Get Started  2'!$E84/'Get Started  2'!$E82),0)+IFERROR(IF(R4&lt;'Get Started  2'!$E65,0,OFFSET(R220,0,-1*'Get Started  2'!$E65)*'Get Started  2'!$E86/'Get Started  2'!$E82),0)</f>
        <v>0</v>
      </c>
      <c r="S225" s="90">
        <f ca="1">IFERROR(IF(S4&lt;'Get Started  2'!$E55,0,OFFSET(S220,0,-1*'Get Started  2'!$E55)*'Get Started  2'!$E84/'Get Started  2'!$E82),0)+IFERROR(IF(S4&lt;'Get Started  2'!$E65,0,OFFSET(S220,0,-1*'Get Started  2'!$E65)*'Get Started  2'!$E86/'Get Started  2'!$E82),0)</f>
        <v>0</v>
      </c>
      <c r="T225" s="90">
        <f ca="1">IFERROR(IF(T4&lt;'Get Started  2'!$E55,0,OFFSET(T220,0,-1*'Get Started  2'!$E55)*'Get Started  2'!$E84/'Get Started  2'!$E82),0)+IFERROR(IF(T4&lt;'Get Started  2'!$E65,0,OFFSET(T220,0,-1*'Get Started  2'!$E65)*'Get Started  2'!$E86/'Get Started  2'!$E82),0)</f>
        <v>0</v>
      </c>
      <c r="U225" s="90">
        <f ca="1">IFERROR(IF(U4&lt;'Get Started  2'!$E55,0,OFFSET(U220,0,-1*'Get Started  2'!$E55)*'Get Started  2'!$E84/'Get Started  2'!$E82),0)+IFERROR(IF(U4&lt;'Get Started  2'!$E65,0,OFFSET(U220,0,-1*'Get Started  2'!$E65)*'Get Started  2'!$E86/'Get Started  2'!$E82),0)</f>
        <v>0</v>
      </c>
      <c r="V225" s="90">
        <f ca="1">IFERROR(IF(V4&lt;'Get Started  2'!$E55,0,OFFSET(V220,0,-1*'Get Started  2'!$E55)*'Get Started  2'!$E84/'Get Started  2'!$E82),0)+IFERROR(IF(V4&lt;'Get Started  2'!$E65,0,OFFSET(V220,0,-1*'Get Started  2'!$E65)*'Get Started  2'!$E86/'Get Started  2'!$E82),0)</f>
        <v>0</v>
      </c>
      <c r="W225" s="90">
        <f ca="1">IFERROR(IF(W4&lt;'Get Started  2'!$E55,0,OFFSET(W220,0,-1*'Get Started  2'!$E55)*'Get Started  2'!$E84/'Get Started  2'!$E82),0)+IFERROR(IF(W4&lt;'Get Started  2'!$E65,0,OFFSET(W220,0,-1*'Get Started  2'!$E65)*'Get Started  2'!$E86/'Get Started  2'!$E82),0)</f>
        <v>0</v>
      </c>
      <c r="X225" s="90">
        <f ca="1">IFERROR(IF(X4&lt;'Get Started  2'!$E55,0,OFFSET(X220,0,-1*'Get Started  2'!$E55)*'Get Started  2'!$E84/'Get Started  2'!$E82),0)+IFERROR(IF(X4&lt;'Get Started  2'!$E65,0,OFFSET(X220,0,-1*'Get Started  2'!$E65)*'Get Started  2'!$E86/'Get Started  2'!$E82),0)</f>
        <v>0</v>
      </c>
      <c r="Y225" s="90">
        <f ca="1">IFERROR(IF(Y4&lt;'Get Started  2'!$E55,0,OFFSET(Y220,0,-1*'Get Started  2'!$E55)*'Get Started  2'!$E84/'Get Started  2'!$E82),0)+IFERROR(IF(Y4&lt;'Get Started  2'!$E65,0,OFFSET(Y220,0,-1*'Get Started  2'!$E65)*'Get Started  2'!$E86/'Get Started  2'!$E82),0)</f>
        <v>0</v>
      </c>
      <c r="Z225" s="90">
        <f ca="1">IFERROR(IF(Z4&lt;'Get Started  2'!$E55,0,OFFSET(Z220,0,-1*'Get Started  2'!$E55)*'Get Started  2'!$E84/'Get Started  2'!$E82),0)+IFERROR(IF(Z4&lt;'Get Started  2'!$E65,0,OFFSET(Z220,0,-1*'Get Started  2'!$E65)*'Get Started  2'!$E86/'Get Started  2'!$E82),0)</f>
        <v>0</v>
      </c>
      <c r="AA225" s="90">
        <f ca="1">IFERROR(IF(AA4&lt;'Get Started  2'!$E55,0,OFFSET(AA220,0,-1*'Get Started  2'!$E55)*'Get Started  2'!$E84/'Get Started  2'!$E82),0)+IFERROR(IF(AA4&lt;'Get Started  2'!$E65,0,OFFSET(AA220,0,-1*'Get Started  2'!$E65)*'Get Started  2'!$E86/'Get Started  2'!$E82),0)</f>
        <v>0</v>
      </c>
      <c r="AB225" s="90">
        <f ca="1">IFERROR(IF(AB4&lt;'Get Started  2'!$E55,0,OFFSET(AB220,0,-1*'Get Started  2'!$E55)*'Get Started  2'!$E84/'Get Started  2'!$E82),0)+IFERROR(IF(AB4&lt;'Get Started  2'!$E65,0,OFFSET(AB220,0,-1*'Get Started  2'!$E65)*'Get Started  2'!$E86/'Get Started  2'!$E82),0)</f>
        <v>0</v>
      </c>
      <c r="AC225" s="90">
        <f ca="1">IFERROR(IF(AC4&lt;'Get Started  2'!$E55,0,OFFSET(AC220,0,-1*'Get Started  2'!$E55)*'Get Started  2'!$E84/'Get Started  2'!$E82),0)+IFERROR(IF(AC4&lt;'Get Started  2'!$E65,0,OFFSET(AC220,0,-1*'Get Started  2'!$E65)*'Get Started  2'!$E86/'Get Started  2'!$E82),0)</f>
        <v>0</v>
      </c>
      <c r="AD225" s="90">
        <f ca="1">IFERROR(IF(AD4&lt;'Get Started  2'!$E55,0,OFFSET(AD220,0,-1*'Get Started  2'!$E55)*'Get Started  2'!$E84/'Get Started  2'!$E82),0)+IFERROR(IF(AD4&lt;'Get Started  2'!$E65,0,OFFSET(AD220,0,-1*'Get Started  2'!$E65)*'Get Started  2'!$E86/'Get Started  2'!$E82),0)</f>
        <v>0</v>
      </c>
      <c r="AE225" s="90">
        <f ca="1">IFERROR(IF(AE4&lt;'Get Started  2'!$E55,0,OFFSET(AE220,0,-1*'Get Started  2'!$E55)*'Get Started  2'!$E84/'Get Started  2'!$E82),0)+IFERROR(IF(AE4&lt;'Get Started  2'!$E65,0,OFFSET(AE220,0,-1*'Get Started  2'!$E65)*'Get Started  2'!$E86/'Get Started  2'!$E82),0)</f>
        <v>0</v>
      </c>
      <c r="AF225" s="90">
        <f ca="1">IFERROR(IF(AF4&lt;'Get Started  2'!$E55,0,OFFSET(AF220,0,-1*'Get Started  2'!$E55)*'Get Started  2'!$E84/'Get Started  2'!$E82),0)+IFERROR(IF(AF4&lt;'Get Started  2'!$E65,0,OFFSET(AF220,0,-1*'Get Started  2'!$E65)*'Get Started  2'!$E86/'Get Started  2'!$E82),0)</f>
        <v>0</v>
      </c>
      <c r="AG225" s="90">
        <f ca="1">IFERROR(IF(AG4&lt;'Get Started  2'!$E55,0,OFFSET(AG220,0,-1*'Get Started  2'!$E55)*'Get Started  2'!$E84/'Get Started  2'!$E82),0)+IFERROR(IF(AG4&lt;'Get Started  2'!$E65,0,OFFSET(AG220,0,-1*'Get Started  2'!$E65)*'Get Started  2'!$E86/'Get Started  2'!$E82),0)</f>
        <v>0</v>
      </c>
      <c r="AH225" s="90">
        <f ca="1">IFERROR(IF(AH4&lt;'Get Started  2'!$E55,0,OFFSET(AH220,0,-1*'Get Started  2'!$E55)*'Get Started  2'!$E84/'Get Started  2'!$E82),0)+IFERROR(IF(AH4&lt;'Get Started  2'!$E65,0,OFFSET(AH220,0,-1*'Get Started  2'!$E65)*'Get Started  2'!$E86/'Get Started  2'!$E82),0)</f>
        <v>0</v>
      </c>
      <c r="AI225" s="90">
        <f ca="1">IFERROR(IF(AI4&lt;'Get Started  2'!$E55,0,OFFSET(AI220,0,-1*'Get Started  2'!$E55)*'Get Started  2'!$E84/'Get Started  2'!$E82),0)+IFERROR(IF(AI4&lt;'Get Started  2'!$E65,0,OFFSET(AI220,0,-1*'Get Started  2'!$E65)*'Get Started  2'!$E86/'Get Started  2'!$E82),0)</f>
        <v>0</v>
      </c>
      <c r="AJ225" s="90">
        <f ca="1">IFERROR(IF(AJ4&lt;'Get Started  2'!$E55,0,OFFSET(AJ220,0,-1*'Get Started  2'!$E55)*'Get Started  2'!$E84/'Get Started  2'!$E82),0)+IFERROR(IF(AJ4&lt;'Get Started  2'!$E65,0,OFFSET(AJ220,0,-1*'Get Started  2'!$E65)*'Get Started  2'!$E86/'Get Started  2'!$E82),0)</f>
        <v>0</v>
      </c>
      <c r="AK225" s="90">
        <f ca="1">IFERROR(IF(AK4&lt;'Get Started  2'!$E55,0,OFFSET(AK220,0,-1*'Get Started  2'!$E55)*'Get Started  2'!$E84/'Get Started  2'!$E82),0)+IFERROR(IF(AK4&lt;'Get Started  2'!$E65,0,OFFSET(AK220,0,-1*'Get Started  2'!$E65)*'Get Started  2'!$E86/'Get Started  2'!$E82),0)</f>
        <v>0</v>
      </c>
      <c r="AL225" s="90">
        <f ca="1">IFERROR(IF(AL4&lt;'Get Started  2'!$E55,0,OFFSET(AL220,0,-1*'Get Started  2'!$E55)*'Get Started  2'!$E84/'Get Started  2'!$E82),0)+IFERROR(IF(AL4&lt;'Get Started  2'!$E65,0,OFFSET(AL220,0,-1*'Get Started  2'!$E65)*'Get Started  2'!$E86/'Get Started  2'!$E82),0)</f>
        <v>0</v>
      </c>
      <c r="AM225" s="90">
        <f ca="1">IFERROR(IF(AM4&lt;'Get Started  2'!$E55,0,OFFSET(AM220,0,-1*'Get Started  2'!$E55)*'Get Started  2'!$E84/'Get Started  2'!$E82),0)+IFERROR(IF(AM4&lt;'Get Started  2'!$E65,0,OFFSET(AM220,0,-1*'Get Started  2'!$E65)*'Get Started  2'!$E86/'Get Started  2'!$E82),0)</f>
        <v>0</v>
      </c>
      <c r="AN225" s="90">
        <f ca="1">IFERROR(IF(AN4&lt;'Get Started  2'!$E55,0,OFFSET(AN220,0,-1*'Get Started  2'!$E55)*'Get Started  2'!$E84/'Get Started  2'!$E82),0)+IFERROR(IF(AN4&lt;'Get Started  2'!$E65,0,OFFSET(AN220,0,-1*'Get Started  2'!$E65)*'Get Started  2'!$E86/'Get Started  2'!$E82),0)</f>
        <v>0</v>
      </c>
      <c r="AO225" s="90">
        <f ca="1">IFERROR(IF(AO4&lt;'Get Started  2'!$E55,0,OFFSET(AO220,0,-1*'Get Started  2'!$E55)*'Get Started  2'!$E84/'Get Started  2'!$E82),0)+IFERROR(IF(AO4&lt;'Get Started  2'!$E65,0,OFFSET(AO220,0,-1*'Get Started  2'!$E65)*'Get Started  2'!$E86/'Get Started  2'!$E82),0)</f>
        <v>0</v>
      </c>
      <c r="AP225" s="90">
        <f ca="1">IFERROR(IF(AP4&lt;'Get Started  2'!$E55,0,OFFSET(AP220,0,-1*'Get Started  2'!$E55)*'Get Started  2'!$E84/'Get Started  2'!$E82),0)+IFERROR(IF(AP4&lt;'Get Started  2'!$E65,0,OFFSET(AP220,0,-1*'Get Started  2'!$E65)*'Get Started  2'!$E86/'Get Started  2'!$E82),0)</f>
        <v>0</v>
      </c>
      <c r="AQ225" s="90">
        <f ca="1">IFERROR(IF(AQ4&lt;'Get Started  2'!$E55,0,OFFSET(AQ220,0,-1*'Get Started  2'!$E55)*'Get Started  2'!$E84/'Get Started  2'!$E82),0)+IFERROR(IF(AQ4&lt;'Get Started  2'!$E65,0,OFFSET(AQ220,0,-1*'Get Started  2'!$E65)*'Get Started  2'!$E86/'Get Started  2'!$E82),0)</f>
        <v>0</v>
      </c>
      <c r="AR225" s="90">
        <f ca="1">IFERROR(IF(AR4&lt;'Get Started  2'!$E55,0,OFFSET(AR220,0,-1*'Get Started  2'!$E55)*'Get Started  2'!$E84/'Get Started  2'!$E82),0)+IFERROR(IF(AR4&lt;'Get Started  2'!$E65,0,OFFSET(AR220,0,-1*'Get Started  2'!$E65)*'Get Started  2'!$E86/'Get Started  2'!$E82),0)</f>
        <v>0</v>
      </c>
      <c r="AS225" s="90">
        <f ca="1">IFERROR(IF(AS4&lt;'Get Started  2'!$E55,0,OFFSET(AS220,0,-1*'Get Started  2'!$E55)*'Get Started  2'!$E84/'Get Started  2'!$E82),0)+IFERROR(IF(AS4&lt;'Get Started  2'!$E65,0,OFFSET(AS220,0,-1*'Get Started  2'!$E65)*'Get Started  2'!$E86/'Get Started  2'!$E82),0)</f>
        <v>0</v>
      </c>
      <c r="AT225" s="90">
        <f ca="1">IFERROR(IF(AT4&lt;'Get Started  2'!$E55,0,OFFSET(AT220,0,-1*'Get Started  2'!$E55)*'Get Started  2'!$E84/'Get Started  2'!$E82),0)+IFERROR(IF(AT4&lt;'Get Started  2'!$E65,0,OFFSET(AT220,0,-1*'Get Started  2'!$E65)*'Get Started  2'!$E86/'Get Started  2'!$E82),0)</f>
        <v>0</v>
      </c>
      <c r="AU225" s="90">
        <f ca="1">IFERROR(IF(AU4&lt;'Get Started  2'!$E55,0,OFFSET(AU220,0,-1*'Get Started  2'!$E55)*'Get Started  2'!$E84/'Get Started  2'!$E82),0)+IFERROR(IF(AU4&lt;'Get Started  2'!$E65,0,OFFSET(AU220,0,-1*'Get Started  2'!$E65)*'Get Started  2'!$E86/'Get Started  2'!$E82),0)</f>
        <v>0</v>
      </c>
      <c r="AV225" s="90">
        <f ca="1">IFERROR(IF(AV4&lt;'Get Started  2'!$E55,0,OFFSET(AV220,0,-1*'Get Started  2'!$E55)*'Get Started  2'!$E84/'Get Started  2'!$E82),0)+IFERROR(IF(AV4&lt;'Get Started  2'!$E65,0,OFFSET(AV220,0,-1*'Get Started  2'!$E65)*'Get Started  2'!$E86/'Get Started  2'!$E82),0)</f>
        <v>0</v>
      </c>
      <c r="AW225" s="90">
        <f ca="1">IFERROR(IF(AW4&lt;'Get Started  2'!$E55,0,OFFSET(AW220,0,-1*'Get Started  2'!$E55)*'Get Started  2'!$E84/'Get Started  2'!$E82),0)+IFERROR(IF(AW4&lt;'Get Started  2'!$E65,0,OFFSET(AW220,0,-1*'Get Started  2'!$E65)*'Get Started  2'!$E86/'Get Started  2'!$E82),0)</f>
        <v>0</v>
      </c>
      <c r="AX225" s="90">
        <f ca="1">IFERROR(IF(AX4&lt;'Get Started  2'!$E55,0,OFFSET(AX220,0,-1*'Get Started  2'!$E55)*'Get Started  2'!$E84/'Get Started  2'!$E82),0)+IFERROR(IF(AX4&lt;'Get Started  2'!$E65,0,OFFSET(AX220,0,-1*'Get Started  2'!$E65)*'Get Started  2'!$E86/'Get Started  2'!$E82),0)</f>
        <v>0</v>
      </c>
      <c r="AY225" s="90">
        <f ca="1">IFERROR(IF(AY4&lt;'Get Started  2'!$E55,0,OFFSET(AY220,0,-1*'Get Started  2'!$E55)*'Get Started  2'!$E84/'Get Started  2'!$E82),0)+IFERROR(IF(AY4&lt;'Get Started  2'!$E65,0,OFFSET(AY220,0,-1*'Get Started  2'!$E65)*'Get Started  2'!$E86/'Get Started  2'!$E82),0)</f>
        <v>0</v>
      </c>
      <c r="AZ225" s="90">
        <f ca="1">IFERROR(IF(AZ4&lt;'Get Started  2'!$E55,0,OFFSET(AZ220,0,-1*'Get Started  2'!$E55)*'Get Started  2'!$E84/'Get Started  2'!$E82),0)+IFERROR(IF(AZ4&lt;'Get Started  2'!$E65,0,OFFSET(AZ220,0,-1*'Get Started  2'!$E65)*'Get Started  2'!$E86/'Get Started  2'!$E82),0)</f>
        <v>0</v>
      </c>
      <c r="BA225" s="90">
        <f ca="1">IFERROR(IF(BA4&lt;'Get Started  2'!$E55,0,OFFSET(BA220,0,-1*'Get Started  2'!$E55)*'Get Started  2'!$E84/'Get Started  2'!$E82),0)+IFERROR(IF(BA4&lt;'Get Started  2'!$E65,0,OFFSET(BA220,0,-1*'Get Started  2'!$E65)*'Get Started  2'!$E86/'Get Started  2'!$E82),0)</f>
        <v>0</v>
      </c>
      <c r="BB225" s="90">
        <f ca="1">IFERROR(IF(BB4&lt;'Get Started  2'!$E55,0,OFFSET(BB220,0,-1*'Get Started  2'!$E55)*'Get Started  2'!$E84/'Get Started  2'!$E82),0)+IFERROR(IF(BB4&lt;'Get Started  2'!$E65,0,OFFSET(BB220,0,-1*'Get Started  2'!$E65)*'Get Started  2'!$E86/'Get Started  2'!$E82),0)</f>
        <v>0</v>
      </c>
      <c r="BC225" s="90">
        <f ca="1">IFERROR(IF(BC4&lt;'Get Started  2'!$E55,0,OFFSET(BC220,0,-1*'Get Started  2'!$E55)*'Get Started  2'!$E84/'Get Started  2'!$E82),0)+IFERROR(IF(BC4&lt;'Get Started  2'!$E65,0,OFFSET(BC220,0,-1*'Get Started  2'!$E65)*'Get Started  2'!$E86/'Get Started  2'!$E82),0)</f>
        <v>0</v>
      </c>
      <c r="BD225" s="90">
        <f ca="1">IFERROR(IF(BD4&lt;'Get Started  2'!$E55,0,OFFSET(BD220,0,-1*'Get Started  2'!$E55)*'Get Started  2'!$E84/'Get Started  2'!$E82),0)+IFERROR(IF(BD4&lt;'Get Started  2'!$E65,0,OFFSET(BD220,0,-1*'Get Started  2'!$E65)*'Get Started  2'!$E86/'Get Started  2'!$E82),0)</f>
        <v>0</v>
      </c>
      <c r="BE225" s="90">
        <f ca="1">IFERROR(IF(BE4&lt;'Get Started  2'!$E55,0,OFFSET(BE220,0,-1*'Get Started  2'!$E55)*'Get Started  2'!$E84/'Get Started  2'!$E82),0)+IFERROR(IF(BE4&lt;'Get Started  2'!$E65,0,OFFSET(BE220,0,-1*'Get Started  2'!$E65)*'Get Started  2'!$E86/'Get Started  2'!$E82),0)</f>
        <v>0</v>
      </c>
      <c r="BF225" s="90">
        <f ca="1">IFERROR(IF(BF4&lt;'Get Started  2'!$E55,0,OFFSET(BF220,0,-1*'Get Started  2'!$E55)*'Get Started  2'!$E84/'Get Started  2'!$E82),0)+IFERROR(IF(BF4&lt;'Get Started  2'!$E65,0,OFFSET(BF220,0,-1*'Get Started  2'!$E65)*'Get Started  2'!$E86/'Get Started  2'!$E82),0)</f>
        <v>0</v>
      </c>
      <c r="BG225" s="90">
        <f ca="1">IFERROR(IF(BG4&lt;'Get Started  2'!$E55,0,OFFSET(BG220,0,-1*'Get Started  2'!$E55)*'Get Started  2'!$E84/'Get Started  2'!$E82),0)+IFERROR(IF(BG4&lt;'Get Started  2'!$E65,0,OFFSET(BG220,0,-1*'Get Started  2'!$E65)*'Get Started  2'!$E86/'Get Started  2'!$E82),0)</f>
        <v>0</v>
      </c>
      <c r="BH225" s="90">
        <f ca="1">IFERROR(IF(BH4&lt;'Get Started  2'!$E55,0,OFFSET(BH220,0,-1*'Get Started  2'!$E55)*'Get Started  2'!$E84/'Get Started  2'!$E82),0)+IFERROR(IF(BH4&lt;'Get Started  2'!$E65,0,OFFSET(BH220,0,-1*'Get Started  2'!$E65)*'Get Started  2'!$E86/'Get Started  2'!$E82),0)</f>
        <v>0</v>
      </c>
      <c r="BI225" s="90">
        <f ca="1">IFERROR(IF(BI4&lt;'Get Started  2'!$E55,0,OFFSET(BI220,0,-1*'Get Started  2'!$E55)*'Get Started  2'!$E84/'Get Started  2'!$E82),0)+IFERROR(IF(BI4&lt;'Get Started  2'!$E65,0,OFFSET(BI220,0,-1*'Get Started  2'!$E65)*'Get Started  2'!$E86/'Get Started  2'!$E82),0)</f>
        <v>0</v>
      </c>
      <c r="BJ225" s="90">
        <f ca="1">IFERROR(IF(BJ4&lt;'Get Started  2'!$E55,0,OFFSET(BJ220,0,-1*'Get Started  2'!$E55)*'Get Started  2'!$E84/'Get Started  2'!$E82),0)+IFERROR(IF(BJ4&lt;'Get Started  2'!$E65,0,OFFSET(BJ220,0,-1*'Get Started  2'!$E65)*'Get Started  2'!$E86/'Get Started  2'!$E82),0)</f>
        <v>0</v>
      </c>
      <c r="BK225" s="90">
        <f ca="1">IFERROR(IF(BK4&lt;'Get Started  2'!$E55,0,OFFSET(BK220,0,-1*'Get Started  2'!$E55)*'Get Started  2'!$E84/'Get Started  2'!$E82),0)+IFERROR(IF(BK4&lt;'Get Started  2'!$E65,0,OFFSET(BK220,0,-1*'Get Started  2'!$E65)*'Get Started  2'!$E86/'Get Started  2'!$E82),0)</f>
        <v>0</v>
      </c>
      <c r="BL225" s="90">
        <f ca="1">IFERROR(IF(BL4&lt;'Get Started  2'!$E55,0,OFFSET(BL220,0,-1*'Get Started  2'!$E55)*'Get Started  2'!$E84/'Get Started  2'!$E82),0)+IFERROR(IF(BL4&lt;'Get Started  2'!$E65,0,OFFSET(BL220,0,-1*'Get Started  2'!$E65)*'Get Started  2'!$E86/'Get Started  2'!$E82),0)</f>
        <v>0</v>
      </c>
      <c r="BM225" s="90">
        <f ca="1">IFERROR(IF(BM4&lt;'Get Started  2'!$E55,0,OFFSET(BM220,0,-1*'Get Started  2'!$E55)*'Get Started  2'!$E84/'Get Started  2'!$E82),0)+IFERROR(IF(BM4&lt;'Get Started  2'!$E65,0,OFFSET(BM220,0,-1*'Get Started  2'!$E65)*'Get Started  2'!$E86/'Get Started  2'!$E82),0)</f>
        <v>0</v>
      </c>
      <c r="BN225" s="90">
        <f ca="1">IFERROR(IF(BN4&lt;'Get Started  2'!$E55,0,OFFSET(BN220,0,-1*'Get Started  2'!$E55)*'Get Started  2'!$E84/'Get Started  2'!$E82),0)+IFERROR(IF(BN4&lt;'Get Started  2'!$E65,0,OFFSET(BN220,0,-1*'Get Started  2'!$E65)*'Get Started  2'!$E86/'Get Started  2'!$E82),0)</f>
        <v>0</v>
      </c>
      <c r="BO225" s="90">
        <f ca="1">IFERROR(IF(BO4&lt;'Get Started  2'!$E55,0,OFFSET(BO220,0,-1*'Get Started  2'!$E55)*'Get Started  2'!$E84/'Get Started  2'!$E82),0)+IFERROR(IF(BO4&lt;'Get Started  2'!$E65,0,OFFSET(BO220,0,-1*'Get Started  2'!$E65)*'Get Started  2'!$E86/'Get Started  2'!$E82),0)</f>
        <v>0</v>
      </c>
      <c r="BP225" s="90">
        <f ca="1">IFERROR(IF(BP4&lt;'Get Started  2'!$E55,0,OFFSET(BP220,0,-1*'Get Started  2'!$E55)*'Get Started  2'!$E84/'Get Started  2'!$E82),0)+IFERROR(IF(BP4&lt;'Get Started  2'!$E65,0,OFFSET(BP220,0,-1*'Get Started  2'!$E65)*'Get Started  2'!$E86/'Get Started  2'!$E82),0)</f>
        <v>0</v>
      </c>
      <c r="BQ225" s="90">
        <f ca="1">IFERROR(IF(BQ4&lt;'Get Started  2'!$E55,0,OFFSET(BQ220,0,-1*'Get Started  2'!$E55)*'Get Started  2'!$E84/'Get Started  2'!$E82),0)+IFERROR(IF(BQ4&lt;'Get Started  2'!$E65,0,OFFSET(BQ220,0,-1*'Get Started  2'!$E65)*'Get Started  2'!$E86/'Get Started  2'!$E82),0)</f>
        <v>0</v>
      </c>
      <c r="BR225" s="90">
        <f ca="1">IFERROR(IF(BR4&lt;'Get Started  2'!$E55,0,OFFSET(BR220,0,-1*'Get Started  2'!$E55)*'Get Started  2'!$E84/'Get Started  2'!$E82),0)+IFERROR(IF(BR4&lt;'Get Started  2'!$E65,0,OFFSET(BR220,0,-1*'Get Started  2'!$E65)*'Get Started  2'!$E86/'Get Started  2'!$E82),0)</f>
        <v>0</v>
      </c>
      <c r="BS225" s="90">
        <f ca="1">IFERROR(IF(BS4&lt;'Get Started  2'!$E55,0,OFFSET(BS220,0,-1*'Get Started  2'!$E55)*'Get Started  2'!$E84/'Get Started  2'!$E82),0)+IFERROR(IF(BS4&lt;'Get Started  2'!$E65,0,OFFSET(BS220,0,-1*'Get Started  2'!$E65)*'Get Started  2'!$E86/'Get Started  2'!$E82),0)</f>
        <v>0</v>
      </c>
      <c r="BT225" s="90">
        <f ca="1">IFERROR(IF(BT4&lt;'Get Started  2'!$E55,0,OFFSET(BT220,0,-1*'Get Started  2'!$E55)*'Get Started  2'!$E84/'Get Started  2'!$E82),0)+IFERROR(IF(BT4&lt;'Get Started  2'!$E65,0,OFFSET(BT220,0,-1*'Get Started  2'!$E65)*'Get Started  2'!$E86/'Get Started  2'!$E82),0)</f>
        <v>0</v>
      </c>
      <c r="BU225" s="90">
        <f ca="1">IFERROR(IF(BU4&lt;'Get Started  2'!$E55,0,OFFSET(BU220,0,-1*'Get Started  2'!$E55)*'Get Started  2'!$E84/'Get Started  2'!$E82),0)+IFERROR(IF(BU4&lt;'Get Started  2'!$E65,0,OFFSET(BU220,0,-1*'Get Started  2'!$E65)*'Get Started  2'!$E86/'Get Started  2'!$E82),0)</f>
        <v>0</v>
      </c>
      <c r="BV225" s="90">
        <f ca="1">IFERROR(IF(BV4&lt;'Get Started  2'!$E55,0,OFFSET(BV220,0,-1*'Get Started  2'!$E55)*'Get Started  2'!$E84/'Get Started  2'!$E82),0)+IFERROR(IF(BV4&lt;'Get Started  2'!$E65,0,OFFSET(BV220,0,-1*'Get Started  2'!$E65)*'Get Started  2'!$E86/'Get Started  2'!$E82),0)</f>
        <v>0</v>
      </c>
      <c r="BW225" s="90">
        <f ca="1">IFERROR(IF(BW4&lt;'Get Started  2'!$E55,0,OFFSET(BW220,0,-1*'Get Started  2'!$E55)*'Get Started  2'!$E84/'Get Started  2'!$E82),0)+IFERROR(IF(BW4&lt;'Get Started  2'!$E65,0,OFFSET(BW220,0,-1*'Get Started  2'!$E65)*'Get Started  2'!$E86/'Get Started  2'!$E82),0)</f>
        <v>0</v>
      </c>
      <c r="BX225" s="90">
        <f ca="1">IFERROR(IF(BX4&lt;'Get Started  2'!$E55,0,OFFSET(BX220,0,-1*'Get Started  2'!$E55)*'Get Started  2'!$E84/'Get Started  2'!$E82),0)+IFERROR(IF(BX4&lt;'Get Started  2'!$E65,0,OFFSET(BX220,0,-1*'Get Started  2'!$E65)*'Get Started  2'!$E86/'Get Started  2'!$E82),0)</f>
        <v>0</v>
      </c>
      <c r="BY225" s="90">
        <f ca="1">IFERROR(IF(BY4&lt;'Get Started  2'!$E55,0,OFFSET(BY220,0,-1*'Get Started  2'!$E55)*'Get Started  2'!$E84/'Get Started  2'!$E82),0)+IFERROR(IF(BY4&lt;'Get Started  2'!$E65,0,OFFSET(BY220,0,-1*'Get Started  2'!$E65)*'Get Started  2'!$E86/'Get Started  2'!$E82),0)</f>
        <v>0</v>
      </c>
      <c r="BZ225" s="90">
        <f ca="1">IFERROR(IF(BZ4&lt;'Get Started  2'!$E55,0,OFFSET(BZ220,0,-1*'Get Started  2'!$E55)*'Get Started  2'!$E84/'Get Started  2'!$E82),0)+IFERROR(IF(BZ4&lt;'Get Started  2'!$E65,0,OFFSET(BZ220,0,-1*'Get Started  2'!$E65)*'Get Started  2'!$E86/'Get Started  2'!$E82),0)</f>
        <v>0</v>
      </c>
      <c r="CA225" s="90">
        <f ca="1">IFERROR(IF(CA4&lt;'Get Started  2'!$E55,0,OFFSET(CA220,0,-1*'Get Started  2'!$E55)*'Get Started  2'!$E84/'Get Started  2'!$E82),0)+IFERROR(IF(CA4&lt;'Get Started  2'!$E65,0,OFFSET(CA220,0,-1*'Get Started  2'!$E65)*'Get Started  2'!$E86/'Get Started  2'!$E82),0)</f>
        <v>0</v>
      </c>
      <c r="CB225" s="90">
        <f ca="1">IFERROR(IF(CB4&lt;'Get Started  2'!$E55,0,OFFSET(CB220,0,-1*'Get Started  2'!$E55)*'Get Started  2'!$E84/'Get Started  2'!$E82),0)+IFERROR(IF(CB4&lt;'Get Started  2'!$E65,0,OFFSET(CB220,0,-1*'Get Started  2'!$E65)*'Get Started  2'!$E86/'Get Started  2'!$E82),0)</f>
        <v>0</v>
      </c>
      <c r="CC225" s="90">
        <f ca="1">IFERROR(IF(CC4&lt;'Get Started  2'!$E55,0,OFFSET(CC220,0,-1*'Get Started  2'!$E55)*'Get Started  2'!$E84/'Get Started  2'!$E82),0)+IFERROR(IF(CC4&lt;'Get Started  2'!$E65,0,OFFSET(CC220,0,-1*'Get Started  2'!$E65)*'Get Started  2'!$E86/'Get Started  2'!$E82),0)</f>
        <v>0</v>
      </c>
      <c r="CD225" s="90">
        <f ca="1">IFERROR(IF(CD4&lt;'Get Started  2'!$E55,0,OFFSET(CD220,0,-1*'Get Started  2'!$E55)*'Get Started  2'!$E84/'Get Started  2'!$E82),0)+IFERROR(IF(CD4&lt;'Get Started  2'!$E65,0,OFFSET(CD220,0,-1*'Get Started  2'!$E65)*'Get Started  2'!$E86/'Get Started  2'!$E82),0)</f>
        <v>0</v>
      </c>
      <c r="CE225" s="90">
        <f ca="1">IFERROR(IF(CE4&lt;'Get Started  2'!$E55,0,OFFSET(CE220,0,-1*'Get Started  2'!$E55)*'Get Started  2'!$E84/'Get Started  2'!$E82),0)+IFERROR(IF(CE4&lt;'Get Started  2'!$E65,0,OFFSET(CE220,0,-1*'Get Started  2'!$E65)*'Get Started  2'!$E86/'Get Started  2'!$E82),0)</f>
        <v>0</v>
      </c>
      <c r="CF225" s="90">
        <f ca="1">IFERROR(IF(CF4&lt;'Get Started  2'!$E55,0,OFFSET(CF220,0,-1*'Get Started  2'!$E55)*'Get Started  2'!$E84/'Get Started  2'!$E82),0)+IFERROR(IF(CF4&lt;'Get Started  2'!$E65,0,OFFSET(CF220,0,-1*'Get Started  2'!$E65)*'Get Started  2'!$E86/'Get Started  2'!$E82),0)</f>
        <v>0</v>
      </c>
      <c r="CG225" s="90">
        <f ca="1">IFERROR(IF(CG4&lt;'Get Started  2'!$E55,0,OFFSET(CG220,0,-1*'Get Started  2'!$E55)*'Get Started  2'!$E84/'Get Started  2'!$E82),0)+IFERROR(IF(CG4&lt;'Get Started  2'!$E65,0,OFFSET(CG220,0,-1*'Get Started  2'!$E65)*'Get Started  2'!$E86/'Get Started  2'!$E82),0)</f>
        <v>0</v>
      </c>
      <c r="CH225" s="90">
        <f ca="1">IFERROR(IF(CH4&lt;'Get Started  2'!$E55,0,OFFSET(CH220,0,-1*'Get Started  2'!$E55)*'Get Started  2'!$E84/'Get Started  2'!$E82),0)+IFERROR(IF(CH4&lt;'Get Started  2'!$E65,0,OFFSET(CH220,0,-1*'Get Started  2'!$E65)*'Get Started  2'!$E86/'Get Started  2'!$E82),0)</f>
        <v>0</v>
      </c>
    </row>
    <row r="226" spans="1:86" ht="13" outlineLevel="1">
      <c r="A226" s="13"/>
      <c r="B226" s="13" t="s">
        <v>329</v>
      </c>
      <c r="C226" s="13"/>
      <c r="D226" s="13" t="s">
        <v>238</v>
      </c>
      <c r="E226" s="88">
        <f t="shared" ca="1" si="170"/>
        <v>0</v>
      </c>
      <c r="F226" s="48"/>
      <c r="G226" s="90">
        <f ca="1">IFERROR(IF(G4&lt;'Get Started  2'!$F55,0,OFFSET(G221,0,-1*'Get Started  2'!$F55)*'Get Started  2'!$F84/'Get Started  2'!$F82),0)+IFERROR(IF(G4&lt;'Get Started  2'!$F65,0,OFFSET(G221,0,-1*'Get Started  2'!$F65)*'Get Started  2'!$F86/'Get Started  2'!$F82),0)</f>
        <v>0</v>
      </c>
      <c r="H226" s="90">
        <f ca="1">IFERROR(IF(H4&lt;'Get Started  2'!$F55,0,OFFSET(H221,0,-1*'Get Started  2'!$F55)*'Get Started  2'!$F84/'Get Started  2'!$F82),0)+IFERROR(IF(H4&lt;'Get Started  2'!$F65,0,OFFSET(H221,0,-1*'Get Started  2'!$F65)*'Get Started  2'!$F86/'Get Started  2'!$F82),0)</f>
        <v>0</v>
      </c>
      <c r="I226" s="90">
        <f ca="1">IFERROR(IF(I4&lt;'Get Started  2'!$F55,0,OFFSET(I221,0,-1*'Get Started  2'!$F55)*'Get Started  2'!$F84/'Get Started  2'!$F82),0)+IFERROR(IF(I4&lt;'Get Started  2'!$F65,0,OFFSET(I221,0,-1*'Get Started  2'!$F65)*'Get Started  2'!$F86/'Get Started  2'!$F82),0)</f>
        <v>0</v>
      </c>
      <c r="J226" s="90">
        <f ca="1">IFERROR(IF(J4&lt;'Get Started  2'!$F55,0,OFFSET(J221,0,-1*'Get Started  2'!$F55)*'Get Started  2'!$F84/'Get Started  2'!$F82),0)+IFERROR(IF(J4&lt;'Get Started  2'!$F65,0,OFFSET(J221,0,-1*'Get Started  2'!$F65)*'Get Started  2'!$F86/'Get Started  2'!$F82),0)</f>
        <v>0</v>
      </c>
      <c r="K226" s="90">
        <f ca="1">IFERROR(IF(K4&lt;'Get Started  2'!$F55,0,OFFSET(K221,0,-1*'Get Started  2'!$F55)*'Get Started  2'!$F84/'Get Started  2'!$F82),0)+IFERROR(IF(K4&lt;'Get Started  2'!$F65,0,OFFSET(K221,0,-1*'Get Started  2'!$F65)*'Get Started  2'!$F86/'Get Started  2'!$F82),0)</f>
        <v>0</v>
      </c>
      <c r="L226" s="90">
        <f ca="1">IFERROR(IF(L4&lt;'Get Started  2'!$F55,0,OFFSET(L221,0,-1*'Get Started  2'!$F55)*'Get Started  2'!$F84/'Get Started  2'!$F82),0)+IFERROR(IF(L4&lt;'Get Started  2'!$F65,0,OFFSET(L221,0,-1*'Get Started  2'!$F65)*'Get Started  2'!$F86/'Get Started  2'!$F82),0)</f>
        <v>0</v>
      </c>
      <c r="M226" s="90">
        <f ca="1">IFERROR(IF(M4&lt;'Get Started  2'!$F55,0,OFFSET(M221,0,-1*'Get Started  2'!$F55)*'Get Started  2'!$F84/'Get Started  2'!$F82),0)+IFERROR(IF(M4&lt;'Get Started  2'!$F65,0,OFFSET(M221,0,-1*'Get Started  2'!$F65)*'Get Started  2'!$F86/'Get Started  2'!$F82),0)</f>
        <v>0</v>
      </c>
      <c r="N226" s="90">
        <f ca="1">IFERROR(IF(N4&lt;'Get Started  2'!$F55,0,OFFSET(N221,0,-1*'Get Started  2'!$F55)*'Get Started  2'!$F84/'Get Started  2'!$F82),0)+IFERROR(IF(N4&lt;'Get Started  2'!$F65,0,OFFSET(N221,0,-1*'Get Started  2'!$F65)*'Get Started  2'!$F86/'Get Started  2'!$F82),0)</f>
        <v>0</v>
      </c>
      <c r="O226" s="90">
        <f ca="1">IFERROR(IF(O4&lt;'Get Started  2'!$F55,0,OFFSET(O221,0,-1*'Get Started  2'!$F55)*'Get Started  2'!$F84/'Get Started  2'!$F82),0)+IFERROR(IF(O4&lt;'Get Started  2'!$F65,0,OFFSET(O221,0,-1*'Get Started  2'!$F65)*'Get Started  2'!$F86/'Get Started  2'!$F82),0)</f>
        <v>0</v>
      </c>
      <c r="P226" s="90">
        <f ca="1">IFERROR(IF(P4&lt;'Get Started  2'!$F55,0,OFFSET(P221,0,-1*'Get Started  2'!$F55)*'Get Started  2'!$F84/'Get Started  2'!$F82),0)+IFERROR(IF(P4&lt;'Get Started  2'!$F65,0,OFFSET(P221,0,-1*'Get Started  2'!$F65)*'Get Started  2'!$F86/'Get Started  2'!$F82),0)</f>
        <v>0</v>
      </c>
      <c r="Q226" s="90">
        <f ca="1">IFERROR(IF(Q4&lt;'Get Started  2'!$F55,0,OFFSET(Q221,0,-1*'Get Started  2'!$F55)*'Get Started  2'!$F84/'Get Started  2'!$F82),0)+IFERROR(IF(Q4&lt;'Get Started  2'!$F65,0,OFFSET(Q221,0,-1*'Get Started  2'!$F65)*'Get Started  2'!$F86/'Get Started  2'!$F82),0)</f>
        <v>0</v>
      </c>
      <c r="R226" s="90">
        <f ca="1">IFERROR(IF(R4&lt;'Get Started  2'!$F55,0,OFFSET(R221,0,-1*'Get Started  2'!$F55)*'Get Started  2'!$F84/'Get Started  2'!$F82),0)+IFERROR(IF(R4&lt;'Get Started  2'!$F65,0,OFFSET(R221,0,-1*'Get Started  2'!$F65)*'Get Started  2'!$F86/'Get Started  2'!$F82),0)</f>
        <v>0</v>
      </c>
      <c r="S226" s="90">
        <f ca="1">IFERROR(IF(S4&lt;'Get Started  2'!$F55,0,OFFSET(S221,0,-1*'Get Started  2'!$F55)*'Get Started  2'!$F84/'Get Started  2'!$F82),0)+IFERROR(IF(S4&lt;'Get Started  2'!$F65,0,OFFSET(S221,0,-1*'Get Started  2'!$F65)*'Get Started  2'!$F86/'Get Started  2'!$F82),0)</f>
        <v>0</v>
      </c>
      <c r="T226" s="90">
        <f ca="1">IFERROR(IF(T4&lt;'Get Started  2'!$F55,0,OFFSET(T221,0,-1*'Get Started  2'!$F55)*'Get Started  2'!$F84/'Get Started  2'!$F82),0)+IFERROR(IF(T4&lt;'Get Started  2'!$F65,0,OFFSET(T221,0,-1*'Get Started  2'!$F65)*'Get Started  2'!$F86/'Get Started  2'!$F82),0)</f>
        <v>0</v>
      </c>
      <c r="U226" s="90">
        <f ca="1">IFERROR(IF(U4&lt;'Get Started  2'!$F55,0,OFFSET(U221,0,-1*'Get Started  2'!$F55)*'Get Started  2'!$F84/'Get Started  2'!$F82),0)+IFERROR(IF(U4&lt;'Get Started  2'!$F65,0,OFFSET(U221,0,-1*'Get Started  2'!$F65)*'Get Started  2'!$F86/'Get Started  2'!$F82),0)</f>
        <v>0</v>
      </c>
      <c r="V226" s="90">
        <f ca="1">IFERROR(IF(V4&lt;'Get Started  2'!$F55,0,OFFSET(V221,0,-1*'Get Started  2'!$F55)*'Get Started  2'!$F84/'Get Started  2'!$F82),0)+IFERROR(IF(V4&lt;'Get Started  2'!$F65,0,OFFSET(V221,0,-1*'Get Started  2'!$F65)*'Get Started  2'!$F86/'Get Started  2'!$F82),0)</f>
        <v>0</v>
      </c>
      <c r="W226" s="90">
        <f ca="1">IFERROR(IF(W4&lt;'Get Started  2'!$F55,0,OFFSET(W221,0,-1*'Get Started  2'!$F55)*'Get Started  2'!$F84/'Get Started  2'!$F82),0)+IFERROR(IF(W4&lt;'Get Started  2'!$F65,0,OFFSET(W221,0,-1*'Get Started  2'!$F65)*'Get Started  2'!$F86/'Get Started  2'!$F82),0)</f>
        <v>0</v>
      </c>
      <c r="X226" s="90">
        <f ca="1">IFERROR(IF(X4&lt;'Get Started  2'!$F55,0,OFFSET(X221,0,-1*'Get Started  2'!$F55)*'Get Started  2'!$F84/'Get Started  2'!$F82),0)+IFERROR(IF(X4&lt;'Get Started  2'!$F65,0,OFFSET(X221,0,-1*'Get Started  2'!$F65)*'Get Started  2'!$F86/'Get Started  2'!$F82),0)</f>
        <v>0</v>
      </c>
      <c r="Y226" s="90">
        <f ca="1">IFERROR(IF(Y4&lt;'Get Started  2'!$F55,0,OFFSET(Y221,0,-1*'Get Started  2'!$F55)*'Get Started  2'!$F84/'Get Started  2'!$F82),0)+IFERROR(IF(Y4&lt;'Get Started  2'!$F65,0,OFFSET(Y221,0,-1*'Get Started  2'!$F65)*'Get Started  2'!$F86/'Get Started  2'!$F82),0)</f>
        <v>0</v>
      </c>
      <c r="Z226" s="90">
        <f ca="1">IFERROR(IF(Z4&lt;'Get Started  2'!$F55,0,OFFSET(Z221,0,-1*'Get Started  2'!$F55)*'Get Started  2'!$F84/'Get Started  2'!$F82),0)+IFERROR(IF(Z4&lt;'Get Started  2'!$F65,0,OFFSET(Z221,0,-1*'Get Started  2'!$F65)*'Get Started  2'!$F86/'Get Started  2'!$F82),0)</f>
        <v>0</v>
      </c>
      <c r="AA226" s="90">
        <f ca="1">IFERROR(IF(AA4&lt;'Get Started  2'!$F55,0,OFFSET(AA221,0,-1*'Get Started  2'!$F55)*'Get Started  2'!$F84/'Get Started  2'!$F82),0)+IFERROR(IF(AA4&lt;'Get Started  2'!$F65,0,OFFSET(AA221,0,-1*'Get Started  2'!$F65)*'Get Started  2'!$F86/'Get Started  2'!$F82),0)</f>
        <v>0</v>
      </c>
      <c r="AB226" s="90">
        <f ca="1">IFERROR(IF(AB4&lt;'Get Started  2'!$F55,0,OFFSET(AB221,0,-1*'Get Started  2'!$F55)*'Get Started  2'!$F84/'Get Started  2'!$F82),0)+IFERROR(IF(AB4&lt;'Get Started  2'!$F65,0,OFFSET(AB221,0,-1*'Get Started  2'!$F65)*'Get Started  2'!$F86/'Get Started  2'!$F82),0)</f>
        <v>0</v>
      </c>
      <c r="AC226" s="90">
        <f ca="1">IFERROR(IF(AC4&lt;'Get Started  2'!$F55,0,OFFSET(AC221,0,-1*'Get Started  2'!$F55)*'Get Started  2'!$F84/'Get Started  2'!$F82),0)+IFERROR(IF(AC4&lt;'Get Started  2'!$F65,0,OFFSET(AC221,0,-1*'Get Started  2'!$F65)*'Get Started  2'!$F86/'Get Started  2'!$F82),0)</f>
        <v>0</v>
      </c>
      <c r="AD226" s="90">
        <f ca="1">IFERROR(IF(AD4&lt;'Get Started  2'!$F55,0,OFFSET(AD221,0,-1*'Get Started  2'!$F55)*'Get Started  2'!$F84/'Get Started  2'!$F82),0)+IFERROR(IF(AD4&lt;'Get Started  2'!$F65,0,OFFSET(AD221,0,-1*'Get Started  2'!$F65)*'Get Started  2'!$F86/'Get Started  2'!$F82),0)</f>
        <v>0</v>
      </c>
      <c r="AE226" s="90">
        <f ca="1">IFERROR(IF(AE4&lt;'Get Started  2'!$F55,0,OFFSET(AE221,0,-1*'Get Started  2'!$F55)*'Get Started  2'!$F84/'Get Started  2'!$F82),0)+IFERROR(IF(AE4&lt;'Get Started  2'!$F65,0,OFFSET(AE221,0,-1*'Get Started  2'!$F65)*'Get Started  2'!$F86/'Get Started  2'!$F82),0)</f>
        <v>0</v>
      </c>
      <c r="AF226" s="90">
        <f ca="1">IFERROR(IF(AF4&lt;'Get Started  2'!$F55,0,OFFSET(AF221,0,-1*'Get Started  2'!$F55)*'Get Started  2'!$F84/'Get Started  2'!$F82),0)+IFERROR(IF(AF4&lt;'Get Started  2'!$F65,0,OFFSET(AF221,0,-1*'Get Started  2'!$F65)*'Get Started  2'!$F86/'Get Started  2'!$F82),0)</f>
        <v>0</v>
      </c>
      <c r="AG226" s="90">
        <f ca="1">IFERROR(IF(AG4&lt;'Get Started  2'!$F55,0,OFFSET(AG221,0,-1*'Get Started  2'!$F55)*'Get Started  2'!$F84/'Get Started  2'!$F82),0)+IFERROR(IF(AG4&lt;'Get Started  2'!$F65,0,OFFSET(AG221,0,-1*'Get Started  2'!$F65)*'Get Started  2'!$F86/'Get Started  2'!$F82),0)</f>
        <v>0</v>
      </c>
      <c r="AH226" s="90">
        <f ca="1">IFERROR(IF(AH4&lt;'Get Started  2'!$F55,0,OFFSET(AH221,0,-1*'Get Started  2'!$F55)*'Get Started  2'!$F84/'Get Started  2'!$F82),0)+IFERROR(IF(AH4&lt;'Get Started  2'!$F65,0,OFFSET(AH221,0,-1*'Get Started  2'!$F65)*'Get Started  2'!$F86/'Get Started  2'!$F82),0)</f>
        <v>0</v>
      </c>
      <c r="AI226" s="90">
        <f ca="1">IFERROR(IF(AI4&lt;'Get Started  2'!$F55,0,OFFSET(AI221,0,-1*'Get Started  2'!$F55)*'Get Started  2'!$F84/'Get Started  2'!$F82),0)+IFERROR(IF(AI4&lt;'Get Started  2'!$F65,0,OFFSET(AI221,0,-1*'Get Started  2'!$F65)*'Get Started  2'!$F86/'Get Started  2'!$F82),0)</f>
        <v>0</v>
      </c>
      <c r="AJ226" s="90">
        <f ca="1">IFERROR(IF(AJ4&lt;'Get Started  2'!$F55,0,OFFSET(AJ221,0,-1*'Get Started  2'!$F55)*'Get Started  2'!$F84/'Get Started  2'!$F82),0)+IFERROR(IF(AJ4&lt;'Get Started  2'!$F65,0,OFFSET(AJ221,0,-1*'Get Started  2'!$F65)*'Get Started  2'!$F86/'Get Started  2'!$F82),0)</f>
        <v>0</v>
      </c>
      <c r="AK226" s="90">
        <f ca="1">IFERROR(IF(AK4&lt;'Get Started  2'!$F55,0,OFFSET(AK221,0,-1*'Get Started  2'!$F55)*'Get Started  2'!$F84/'Get Started  2'!$F82),0)+IFERROR(IF(AK4&lt;'Get Started  2'!$F65,0,OFFSET(AK221,0,-1*'Get Started  2'!$F65)*'Get Started  2'!$F86/'Get Started  2'!$F82),0)</f>
        <v>0</v>
      </c>
      <c r="AL226" s="90">
        <f ca="1">IFERROR(IF(AL4&lt;'Get Started  2'!$F55,0,OFFSET(AL221,0,-1*'Get Started  2'!$F55)*'Get Started  2'!$F84/'Get Started  2'!$F82),0)+IFERROR(IF(AL4&lt;'Get Started  2'!$F65,0,OFFSET(AL221,0,-1*'Get Started  2'!$F65)*'Get Started  2'!$F86/'Get Started  2'!$F82),0)</f>
        <v>0</v>
      </c>
      <c r="AM226" s="90">
        <f ca="1">IFERROR(IF(AM4&lt;'Get Started  2'!$F55,0,OFFSET(AM221,0,-1*'Get Started  2'!$F55)*'Get Started  2'!$F84/'Get Started  2'!$F82),0)+IFERROR(IF(AM4&lt;'Get Started  2'!$F65,0,OFFSET(AM221,0,-1*'Get Started  2'!$F65)*'Get Started  2'!$F86/'Get Started  2'!$F82),0)</f>
        <v>0</v>
      </c>
      <c r="AN226" s="90">
        <f ca="1">IFERROR(IF(AN4&lt;'Get Started  2'!$F55,0,OFFSET(AN221,0,-1*'Get Started  2'!$F55)*'Get Started  2'!$F84/'Get Started  2'!$F82),0)+IFERROR(IF(AN4&lt;'Get Started  2'!$F65,0,OFFSET(AN221,0,-1*'Get Started  2'!$F65)*'Get Started  2'!$F86/'Get Started  2'!$F82),0)</f>
        <v>0</v>
      </c>
      <c r="AO226" s="90">
        <f ca="1">IFERROR(IF(AO4&lt;'Get Started  2'!$F55,0,OFFSET(AO221,0,-1*'Get Started  2'!$F55)*'Get Started  2'!$F84/'Get Started  2'!$F82),0)+IFERROR(IF(AO4&lt;'Get Started  2'!$F65,0,OFFSET(AO221,0,-1*'Get Started  2'!$F65)*'Get Started  2'!$F86/'Get Started  2'!$F82),0)</f>
        <v>0</v>
      </c>
      <c r="AP226" s="90">
        <f ca="1">IFERROR(IF(AP4&lt;'Get Started  2'!$F55,0,OFFSET(AP221,0,-1*'Get Started  2'!$F55)*'Get Started  2'!$F84/'Get Started  2'!$F82),0)+IFERROR(IF(AP4&lt;'Get Started  2'!$F65,0,OFFSET(AP221,0,-1*'Get Started  2'!$F65)*'Get Started  2'!$F86/'Get Started  2'!$F82),0)</f>
        <v>0</v>
      </c>
      <c r="AQ226" s="90">
        <f ca="1">IFERROR(IF(AQ4&lt;'Get Started  2'!$F55,0,OFFSET(AQ221,0,-1*'Get Started  2'!$F55)*'Get Started  2'!$F84/'Get Started  2'!$F82),0)+IFERROR(IF(AQ4&lt;'Get Started  2'!$F65,0,OFFSET(AQ221,0,-1*'Get Started  2'!$F65)*'Get Started  2'!$F86/'Get Started  2'!$F82),0)</f>
        <v>0</v>
      </c>
      <c r="AR226" s="90">
        <f ca="1">IFERROR(IF(AR4&lt;'Get Started  2'!$F55,0,OFFSET(AR221,0,-1*'Get Started  2'!$F55)*'Get Started  2'!$F84/'Get Started  2'!$F82),0)+IFERROR(IF(AR4&lt;'Get Started  2'!$F65,0,OFFSET(AR221,0,-1*'Get Started  2'!$F65)*'Get Started  2'!$F86/'Get Started  2'!$F82),0)</f>
        <v>0</v>
      </c>
      <c r="AS226" s="90">
        <f ca="1">IFERROR(IF(AS4&lt;'Get Started  2'!$F55,0,OFFSET(AS221,0,-1*'Get Started  2'!$F55)*'Get Started  2'!$F84/'Get Started  2'!$F82),0)+IFERROR(IF(AS4&lt;'Get Started  2'!$F65,0,OFFSET(AS221,0,-1*'Get Started  2'!$F65)*'Get Started  2'!$F86/'Get Started  2'!$F82),0)</f>
        <v>0</v>
      </c>
      <c r="AT226" s="90">
        <f ca="1">IFERROR(IF(AT4&lt;'Get Started  2'!$F55,0,OFFSET(AT221,0,-1*'Get Started  2'!$F55)*'Get Started  2'!$F84/'Get Started  2'!$F82),0)+IFERROR(IF(AT4&lt;'Get Started  2'!$F65,0,OFFSET(AT221,0,-1*'Get Started  2'!$F65)*'Get Started  2'!$F86/'Get Started  2'!$F82),0)</f>
        <v>0</v>
      </c>
      <c r="AU226" s="90">
        <f ca="1">IFERROR(IF(AU4&lt;'Get Started  2'!$F55,0,OFFSET(AU221,0,-1*'Get Started  2'!$F55)*'Get Started  2'!$F84/'Get Started  2'!$F82),0)+IFERROR(IF(AU4&lt;'Get Started  2'!$F65,0,OFFSET(AU221,0,-1*'Get Started  2'!$F65)*'Get Started  2'!$F86/'Get Started  2'!$F82),0)</f>
        <v>0</v>
      </c>
      <c r="AV226" s="90">
        <f ca="1">IFERROR(IF(AV4&lt;'Get Started  2'!$F55,0,OFFSET(AV221,0,-1*'Get Started  2'!$F55)*'Get Started  2'!$F84/'Get Started  2'!$F82),0)+IFERROR(IF(AV4&lt;'Get Started  2'!$F65,0,OFFSET(AV221,0,-1*'Get Started  2'!$F65)*'Get Started  2'!$F86/'Get Started  2'!$F82),0)</f>
        <v>0</v>
      </c>
      <c r="AW226" s="90">
        <f ca="1">IFERROR(IF(AW4&lt;'Get Started  2'!$F55,0,OFFSET(AW221,0,-1*'Get Started  2'!$F55)*'Get Started  2'!$F84/'Get Started  2'!$F82),0)+IFERROR(IF(AW4&lt;'Get Started  2'!$F65,0,OFFSET(AW221,0,-1*'Get Started  2'!$F65)*'Get Started  2'!$F86/'Get Started  2'!$F82),0)</f>
        <v>0</v>
      </c>
      <c r="AX226" s="90">
        <f ca="1">IFERROR(IF(AX4&lt;'Get Started  2'!$F55,0,OFFSET(AX221,0,-1*'Get Started  2'!$F55)*'Get Started  2'!$F84/'Get Started  2'!$F82),0)+IFERROR(IF(AX4&lt;'Get Started  2'!$F65,0,OFFSET(AX221,0,-1*'Get Started  2'!$F65)*'Get Started  2'!$F86/'Get Started  2'!$F82),0)</f>
        <v>0</v>
      </c>
      <c r="AY226" s="90">
        <f ca="1">IFERROR(IF(AY4&lt;'Get Started  2'!$F55,0,OFFSET(AY221,0,-1*'Get Started  2'!$F55)*'Get Started  2'!$F84/'Get Started  2'!$F82),0)+IFERROR(IF(AY4&lt;'Get Started  2'!$F65,0,OFFSET(AY221,0,-1*'Get Started  2'!$F65)*'Get Started  2'!$F86/'Get Started  2'!$F82),0)</f>
        <v>0</v>
      </c>
      <c r="AZ226" s="90">
        <f ca="1">IFERROR(IF(AZ4&lt;'Get Started  2'!$F55,0,OFFSET(AZ221,0,-1*'Get Started  2'!$F55)*'Get Started  2'!$F84/'Get Started  2'!$F82),0)+IFERROR(IF(AZ4&lt;'Get Started  2'!$F65,0,OFFSET(AZ221,0,-1*'Get Started  2'!$F65)*'Get Started  2'!$F86/'Get Started  2'!$F82),0)</f>
        <v>0</v>
      </c>
      <c r="BA226" s="90">
        <f ca="1">IFERROR(IF(BA4&lt;'Get Started  2'!$F55,0,OFFSET(BA221,0,-1*'Get Started  2'!$F55)*'Get Started  2'!$F84/'Get Started  2'!$F82),0)+IFERROR(IF(BA4&lt;'Get Started  2'!$F65,0,OFFSET(BA221,0,-1*'Get Started  2'!$F65)*'Get Started  2'!$F86/'Get Started  2'!$F82),0)</f>
        <v>0</v>
      </c>
      <c r="BB226" s="90">
        <f ca="1">IFERROR(IF(BB4&lt;'Get Started  2'!$F55,0,OFFSET(BB221,0,-1*'Get Started  2'!$F55)*'Get Started  2'!$F84/'Get Started  2'!$F82),0)+IFERROR(IF(BB4&lt;'Get Started  2'!$F65,0,OFFSET(BB221,0,-1*'Get Started  2'!$F65)*'Get Started  2'!$F86/'Get Started  2'!$F82),0)</f>
        <v>0</v>
      </c>
      <c r="BC226" s="90">
        <f ca="1">IFERROR(IF(BC4&lt;'Get Started  2'!$F55,0,OFFSET(BC221,0,-1*'Get Started  2'!$F55)*'Get Started  2'!$F84/'Get Started  2'!$F82),0)+IFERROR(IF(BC4&lt;'Get Started  2'!$F65,0,OFFSET(BC221,0,-1*'Get Started  2'!$F65)*'Get Started  2'!$F86/'Get Started  2'!$F82),0)</f>
        <v>0</v>
      </c>
      <c r="BD226" s="90">
        <f ca="1">IFERROR(IF(BD4&lt;'Get Started  2'!$F55,0,OFFSET(BD221,0,-1*'Get Started  2'!$F55)*'Get Started  2'!$F84/'Get Started  2'!$F82),0)+IFERROR(IF(BD4&lt;'Get Started  2'!$F65,0,OFFSET(BD221,0,-1*'Get Started  2'!$F65)*'Get Started  2'!$F86/'Get Started  2'!$F82),0)</f>
        <v>0</v>
      </c>
      <c r="BE226" s="90">
        <f ca="1">IFERROR(IF(BE4&lt;'Get Started  2'!$F55,0,OFFSET(BE221,0,-1*'Get Started  2'!$F55)*'Get Started  2'!$F84/'Get Started  2'!$F82),0)+IFERROR(IF(BE4&lt;'Get Started  2'!$F65,0,OFFSET(BE221,0,-1*'Get Started  2'!$F65)*'Get Started  2'!$F86/'Get Started  2'!$F82),0)</f>
        <v>0</v>
      </c>
      <c r="BF226" s="90">
        <f ca="1">IFERROR(IF(BF4&lt;'Get Started  2'!$F55,0,OFFSET(BF221,0,-1*'Get Started  2'!$F55)*'Get Started  2'!$F84/'Get Started  2'!$F82),0)+IFERROR(IF(BF4&lt;'Get Started  2'!$F65,0,OFFSET(BF221,0,-1*'Get Started  2'!$F65)*'Get Started  2'!$F86/'Get Started  2'!$F82),0)</f>
        <v>0</v>
      </c>
      <c r="BG226" s="90">
        <f ca="1">IFERROR(IF(BG4&lt;'Get Started  2'!$F55,0,OFFSET(BG221,0,-1*'Get Started  2'!$F55)*'Get Started  2'!$F84/'Get Started  2'!$F82),0)+IFERROR(IF(BG4&lt;'Get Started  2'!$F65,0,OFFSET(BG221,0,-1*'Get Started  2'!$F65)*'Get Started  2'!$F86/'Get Started  2'!$F82),0)</f>
        <v>0</v>
      </c>
      <c r="BH226" s="90">
        <f ca="1">IFERROR(IF(BH4&lt;'Get Started  2'!$F55,0,OFFSET(BH221,0,-1*'Get Started  2'!$F55)*'Get Started  2'!$F84/'Get Started  2'!$F82),0)+IFERROR(IF(BH4&lt;'Get Started  2'!$F65,0,OFFSET(BH221,0,-1*'Get Started  2'!$F65)*'Get Started  2'!$F86/'Get Started  2'!$F82),0)</f>
        <v>0</v>
      </c>
      <c r="BI226" s="90">
        <f ca="1">IFERROR(IF(BI4&lt;'Get Started  2'!$F55,0,OFFSET(BI221,0,-1*'Get Started  2'!$F55)*'Get Started  2'!$F84/'Get Started  2'!$F82),0)+IFERROR(IF(BI4&lt;'Get Started  2'!$F65,0,OFFSET(BI221,0,-1*'Get Started  2'!$F65)*'Get Started  2'!$F86/'Get Started  2'!$F82),0)</f>
        <v>0</v>
      </c>
      <c r="BJ226" s="90">
        <f ca="1">IFERROR(IF(BJ4&lt;'Get Started  2'!$F55,0,OFFSET(BJ221,0,-1*'Get Started  2'!$F55)*'Get Started  2'!$F84/'Get Started  2'!$F82),0)+IFERROR(IF(BJ4&lt;'Get Started  2'!$F65,0,OFFSET(BJ221,0,-1*'Get Started  2'!$F65)*'Get Started  2'!$F86/'Get Started  2'!$F82),0)</f>
        <v>0</v>
      </c>
      <c r="BK226" s="90">
        <f ca="1">IFERROR(IF(BK4&lt;'Get Started  2'!$F55,0,OFFSET(BK221,0,-1*'Get Started  2'!$F55)*'Get Started  2'!$F84/'Get Started  2'!$F82),0)+IFERROR(IF(BK4&lt;'Get Started  2'!$F65,0,OFFSET(BK221,0,-1*'Get Started  2'!$F65)*'Get Started  2'!$F86/'Get Started  2'!$F82),0)</f>
        <v>0</v>
      </c>
      <c r="BL226" s="90">
        <f ca="1">IFERROR(IF(BL4&lt;'Get Started  2'!$F55,0,OFFSET(BL221,0,-1*'Get Started  2'!$F55)*'Get Started  2'!$F84/'Get Started  2'!$F82),0)+IFERROR(IF(BL4&lt;'Get Started  2'!$F65,0,OFFSET(BL221,0,-1*'Get Started  2'!$F65)*'Get Started  2'!$F86/'Get Started  2'!$F82),0)</f>
        <v>0</v>
      </c>
      <c r="BM226" s="90">
        <f ca="1">IFERROR(IF(BM4&lt;'Get Started  2'!$F55,0,OFFSET(BM221,0,-1*'Get Started  2'!$F55)*'Get Started  2'!$F84/'Get Started  2'!$F82),0)+IFERROR(IF(BM4&lt;'Get Started  2'!$F65,0,OFFSET(BM221,0,-1*'Get Started  2'!$F65)*'Get Started  2'!$F86/'Get Started  2'!$F82),0)</f>
        <v>0</v>
      </c>
      <c r="BN226" s="90">
        <f ca="1">IFERROR(IF(BN4&lt;'Get Started  2'!$F55,0,OFFSET(BN221,0,-1*'Get Started  2'!$F55)*'Get Started  2'!$F84/'Get Started  2'!$F82),0)+IFERROR(IF(BN4&lt;'Get Started  2'!$F65,0,OFFSET(BN221,0,-1*'Get Started  2'!$F65)*'Get Started  2'!$F86/'Get Started  2'!$F82),0)</f>
        <v>0</v>
      </c>
      <c r="BO226" s="90">
        <f ca="1">IFERROR(IF(BO4&lt;'Get Started  2'!$F55,0,OFFSET(BO221,0,-1*'Get Started  2'!$F55)*'Get Started  2'!$F84/'Get Started  2'!$F82),0)+IFERROR(IF(BO4&lt;'Get Started  2'!$F65,0,OFFSET(BO221,0,-1*'Get Started  2'!$F65)*'Get Started  2'!$F86/'Get Started  2'!$F82),0)</f>
        <v>0</v>
      </c>
      <c r="BP226" s="90">
        <f ca="1">IFERROR(IF(BP4&lt;'Get Started  2'!$F55,0,OFFSET(BP221,0,-1*'Get Started  2'!$F55)*'Get Started  2'!$F84/'Get Started  2'!$F82),0)+IFERROR(IF(BP4&lt;'Get Started  2'!$F65,0,OFFSET(BP221,0,-1*'Get Started  2'!$F65)*'Get Started  2'!$F86/'Get Started  2'!$F82),0)</f>
        <v>0</v>
      </c>
      <c r="BQ226" s="90">
        <f ca="1">IFERROR(IF(BQ4&lt;'Get Started  2'!$F55,0,OFFSET(BQ221,0,-1*'Get Started  2'!$F55)*'Get Started  2'!$F84/'Get Started  2'!$F82),0)+IFERROR(IF(BQ4&lt;'Get Started  2'!$F65,0,OFFSET(BQ221,0,-1*'Get Started  2'!$F65)*'Get Started  2'!$F86/'Get Started  2'!$F82),0)</f>
        <v>0</v>
      </c>
      <c r="BR226" s="90">
        <f ca="1">IFERROR(IF(BR4&lt;'Get Started  2'!$F55,0,OFFSET(BR221,0,-1*'Get Started  2'!$F55)*'Get Started  2'!$F84/'Get Started  2'!$F82),0)+IFERROR(IF(BR4&lt;'Get Started  2'!$F65,0,OFFSET(BR221,0,-1*'Get Started  2'!$F65)*'Get Started  2'!$F86/'Get Started  2'!$F82),0)</f>
        <v>0</v>
      </c>
      <c r="BS226" s="90">
        <f ca="1">IFERROR(IF(BS4&lt;'Get Started  2'!$F55,0,OFFSET(BS221,0,-1*'Get Started  2'!$F55)*'Get Started  2'!$F84/'Get Started  2'!$F82),0)+IFERROR(IF(BS4&lt;'Get Started  2'!$F65,0,OFFSET(BS221,0,-1*'Get Started  2'!$F65)*'Get Started  2'!$F86/'Get Started  2'!$F82),0)</f>
        <v>0</v>
      </c>
      <c r="BT226" s="90">
        <f ca="1">IFERROR(IF(BT4&lt;'Get Started  2'!$F55,0,OFFSET(BT221,0,-1*'Get Started  2'!$F55)*'Get Started  2'!$F84/'Get Started  2'!$F82),0)+IFERROR(IF(BT4&lt;'Get Started  2'!$F65,0,OFFSET(BT221,0,-1*'Get Started  2'!$F65)*'Get Started  2'!$F86/'Get Started  2'!$F82),0)</f>
        <v>0</v>
      </c>
      <c r="BU226" s="90">
        <f ca="1">IFERROR(IF(BU4&lt;'Get Started  2'!$F55,0,OFFSET(BU221,0,-1*'Get Started  2'!$F55)*'Get Started  2'!$F84/'Get Started  2'!$F82),0)+IFERROR(IF(BU4&lt;'Get Started  2'!$F65,0,OFFSET(BU221,0,-1*'Get Started  2'!$F65)*'Get Started  2'!$F86/'Get Started  2'!$F82),0)</f>
        <v>0</v>
      </c>
      <c r="BV226" s="90">
        <f ca="1">IFERROR(IF(BV4&lt;'Get Started  2'!$F55,0,OFFSET(BV221,0,-1*'Get Started  2'!$F55)*'Get Started  2'!$F84/'Get Started  2'!$F82),0)+IFERROR(IF(BV4&lt;'Get Started  2'!$F65,0,OFFSET(BV221,0,-1*'Get Started  2'!$F65)*'Get Started  2'!$F86/'Get Started  2'!$F82),0)</f>
        <v>0</v>
      </c>
      <c r="BW226" s="90">
        <f ca="1">IFERROR(IF(BW4&lt;'Get Started  2'!$F55,0,OFFSET(BW221,0,-1*'Get Started  2'!$F55)*'Get Started  2'!$F84/'Get Started  2'!$F82),0)+IFERROR(IF(BW4&lt;'Get Started  2'!$F65,0,OFFSET(BW221,0,-1*'Get Started  2'!$F65)*'Get Started  2'!$F86/'Get Started  2'!$F82),0)</f>
        <v>0</v>
      </c>
      <c r="BX226" s="90">
        <f ca="1">IFERROR(IF(BX4&lt;'Get Started  2'!$F55,0,OFFSET(BX221,0,-1*'Get Started  2'!$F55)*'Get Started  2'!$F84/'Get Started  2'!$F82),0)+IFERROR(IF(BX4&lt;'Get Started  2'!$F65,0,OFFSET(BX221,0,-1*'Get Started  2'!$F65)*'Get Started  2'!$F86/'Get Started  2'!$F82),0)</f>
        <v>0</v>
      </c>
      <c r="BY226" s="90">
        <f ca="1">IFERROR(IF(BY4&lt;'Get Started  2'!$F55,0,OFFSET(BY221,0,-1*'Get Started  2'!$F55)*'Get Started  2'!$F84/'Get Started  2'!$F82),0)+IFERROR(IF(BY4&lt;'Get Started  2'!$F65,0,OFFSET(BY221,0,-1*'Get Started  2'!$F65)*'Get Started  2'!$F86/'Get Started  2'!$F82),0)</f>
        <v>0</v>
      </c>
      <c r="BZ226" s="90">
        <f ca="1">IFERROR(IF(BZ4&lt;'Get Started  2'!$F55,0,OFFSET(BZ221,0,-1*'Get Started  2'!$F55)*'Get Started  2'!$F84/'Get Started  2'!$F82),0)+IFERROR(IF(BZ4&lt;'Get Started  2'!$F65,0,OFFSET(BZ221,0,-1*'Get Started  2'!$F65)*'Get Started  2'!$F86/'Get Started  2'!$F82),0)</f>
        <v>0</v>
      </c>
      <c r="CA226" s="90">
        <f ca="1">IFERROR(IF(CA4&lt;'Get Started  2'!$F55,0,OFFSET(CA221,0,-1*'Get Started  2'!$F55)*'Get Started  2'!$F84/'Get Started  2'!$F82),0)+IFERROR(IF(CA4&lt;'Get Started  2'!$F65,0,OFFSET(CA221,0,-1*'Get Started  2'!$F65)*'Get Started  2'!$F86/'Get Started  2'!$F82),0)</f>
        <v>0</v>
      </c>
      <c r="CB226" s="90">
        <f ca="1">IFERROR(IF(CB4&lt;'Get Started  2'!$F55,0,OFFSET(CB221,0,-1*'Get Started  2'!$F55)*'Get Started  2'!$F84/'Get Started  2'!$F82),0)+IFERROR(IF(CB4&lt;'Get Started  2'!$F65,0,OFFSET(CB221,0,-1*'Get Started  2'!$F65)*'Get Started  2'!$F86/'Get Started  2'!$F82),0)</f>
        <v>0</v>
      </c>
      <c r="CC226" s="90">
        <f ca="1">IFERROR(IF(CC4&lt;'Get Started  2'!$F55,0,OFFSET(CC221,0,-1*'Get Started  2'!$F55)*'Get Started  2'!$F84/'Get Started  2'!$F82),0)+IFERROR(IF(CC4&lt;'Get Started  2'!$F65,0,OFFSET(CC221,0,-1*'Get Started  2'!$F65)*'Get Started  2'!$F86/'Get Started  2'!$F82),0)</f>
        <v>0</v>
      </c>
      <c r="CD226" s="90">
        <f ca="1">IFERROR(IF(CD4&lt;'Get Started  2'!$F55,0,OFFSET(CD221,0,-1*'Get Started  2'!$F55)*'Get Started  2'!$F84/'Get Started  2'!$F82),0)+IFERROR(IF(CD4&lt;'Get Started  2'!$F65,0,OFFSET(CD221,0,-1*'Get Started  2'!$F65)*'Get Started  2'!$F86/'Get Started  2'!$F82),0)</f>
        <v>0</v>
      </c>
      <c r="CE226" s="90">
        <f ca="1">IFERROR(IF(CE4&lt;'Get Started  2'!$F55,0,OFFSET(CE221,0,-1*'Get Started  2'!$F55)*'Get Started  2'!$F84/'Get Started  2'!$F82),0)+IFERROR(IF(CE4&lt;'Get Started  2'!$F65,0,OFFSET(CE221,0,-1*'Get Started  2'!$F65)*'Get Started  2'!$F86/'Get Started  2'!$F82),0)</f>
        <v>0</v>
      </c>
      <c r="CF226" s="90">
        <f ca="1">IFERROR(IF(CF4&lt;'Get Started  2'!$F55,0,OFFSET(CF221,0,-1*'Get Started  2'!$F55)*'Get Started  2'!$F84/'Get Started  2'!$F82),0)+IFERROR(IF(CF4&lt;'Get Started  2'!$F65,0,OFFSET(CF221,0,-1*'Get Started  2'!$F65)*'Get Started  2'!$F86/'Get Started  2'!$F82),0)</f>
        <v>0</v>
      </c>
      <c r="CG226" s="90">
        <f ca="1">IFERROR(IF(CG4&lt;'Get Started  2'!$F55,0,OFFSET(CG221,0,-1*'Get Started  2'!$F55)*'Get Started  2'!$F84/'Get Started  2'!$F82),0)+IFERROR(IF(CG4&lt;'Get Started  2'!$F65,0,OFFSET(CG221,0,-1*'Get Started  2'!$F65)*'Get Started  2'!$F86/'Get Started  2'!$F82),0)</f>
        <v>0</v>
      </c>
      <c r="CH226" s="90">
        <f ca="1">IFERROR(IF(CH4&lt;'Get Started  2'!$F55,0,OFFSET(CH221,0,-1*'Get Started  2'!$F55)*'Get Started  2'!$F84/'Get Started  2'!$F82),0)+IFERROR(IF(CH4&lt;'Get Started  2'!$F65,0,OFFSET(CH221,0,-1*'Get Started  2'!$F65)*'Get Started  2'!$F86/'Get Started  2'!$F82),0)</f>
        <v>0</v>
      </c>
    </row>
    <row r="227" spans="1:86" ht="13" outlineLevel="1">
      <c r="A227" s="13"/>
      <c r="B227" s="13" t="s">
        <v>329</v>
      </c>
      <c r="C227" s="13"/>
      <c r="D227" s="13" t="s">
        <v>238</v>
      </c>
      <c r="E227" s="88">
        <f t="shared" ca="1" si="170"/>
        <v>0</v>
      </c>
      <c r="F227" s="48"/>
      <c r="G227" s="90">
        <f ca="1">IFERROR(IF(G4&lt;'Get Started  2'!$G55,0,OFFSET(G222,0,-1*'Get Started  2'!$G55)*'Get Started  2'!$G84/'Get Started  2'!$G82),0)+IFERROR(IF(G4&lt;'Get Started  2'!$G65,0,OFFSET(G222,0,-1*'Get Started  2'!$G65)*'Get Started  2'!$G86/'Get Started  2'!$G82),0)</f>
        <v>0</v>
      </c>
      <c r="H227" s="90">
        <f ca="1">IFERROR(IF(H4&lt;'Get Started  2'!$G55,0,OFFSET(H222,0,-1*'Get Started  2'!$G55)*'Get Started  2'!$G84/'Get Started  2'!$G82),0)+IFERROR(IF(H4&lt;'Get Started  2'!$G65,0,OFFSET(H222,0,-1*'Get Started  2'!$G65)*'Get Started  2'!$G86/'Get Started  2'!$G82),0)</f>
        <v>0</v>
      </c>
      <c r="I227" s="90">
        <f ca="1">IFERROR(IF(I4&lt;'Get Started  2'!$G55,0,OFFSET(I222,0,-1*'Get Started  2'!$G55)*'Get Started  2'!$G84/'Get Started  2'!$G82),0)+IFERROR(IF(I4&lt;'Get Started  2'!$G65,0,OFFSET(I222,0,-1*'Get Started  2'!$G65)*'Get Started  2'!$G86/'Get Started  2'!$G82),0)</f>
        <v>0</v>
      </c>
      <c r="J227" s="90">
        <f ca="1">IFERROR(IF(J4&lt;'Get Started  2'!$G55,0,OFFSET(J222,0,-1*'Get Started  2'!$G55)*'Get Started  2'!$G84/'Get Started  2'!$G82),0)+IFERROR(IF(J4&lt;'Get Started  2'!$G65,0,OFFSET(J222,0,-1*'Get Started  2'!$G65)*'Get Started  2'!$G86/'Get Started  2'!$G82),0)</f>
        <v>0</v>
      </c>
      <c r="K227" s="90">
        <f ca="1">IFERROR(IF(K4&lt;'Get Started  2'!$G55,0,OFFSET(K222,0,-1*'Get Started  2'!$G55)*'Get Started  2'!$G84/'Get Started  2'!$G82),0)+IFERROR(IF(K4&lt;'Get Started  2'!$G65,0,OFFSET(K222,0,-1*'Get Started  2'!$G65)*'Get Started  2'!$G86/'Get Started  2'!$G82),0)</f>
        <v>0</v>
      </c>
      <c r="L227" s="90">
        <f ca="1">IFERROR(IF(L4&lt;'Get Started  2'!$G55,0,OFFSET(L222,0,-1*'Get Started  2'!$G55)*'Get Started  2'!$G84/'Get Started  2'!$G82),0)+IFERROR(IF(L4&lt;'Get Started  2'!$G65,0,OFFSET(L222,0,-1*'Get Started  2'!$G65)*'Get Started  2'!$G86/'Get Started  2'!$G82),0)</f>
        <v>0</v>
      </c>
      <c r="M227" s="90">
        <f ca="1">IFERROR(IF(M4&lt;'Get Started  2'!$G55,0,OFFSET(M222,0,-1*'Get Started  2'!$G55)*'Get Started  2'!$G84/'Get Started  2'!$G82),0)+IFERROR(IF(M4&lt;'Get Started  2'!$G65,0,OFFSET(M222,0,-1*'Get Started  2'!$G65)*'Get Started  2'!$G86/'Get Started  2'!$G82),0)</f>
        <v>0</v>
      </c>
      <c r="N227" s="90">
        <f ca="1">IFERROR(IF(N4&lt;'Get Started  2'!$G55,0,OFFSET(N222,0,-1*'Get Started  2'!$G55)*'Get Started  2'!$G84/'Get Started  2'!$G82),0)+IFERROR(IF(N4&lt;'Get Started  2'!$G65,0,OFFSET(N222,0,-1*'Get Started  2'!$G65)*'Get Started  2'!$G86/'Get Started  2'!$G82),0)</f>
        <v>0</v>
      </c>
      <c r="O227" s="90">
        <f ca="1">IFERROR(IF(O4&lt;'Get Started  2'!$G55,0,OFFSET(O222,0,-1*'Get Started  2'!$G55)*'Get Started  2'!$G84/'Get Started  2'!$G82),0)+IFERROR(IF(O4&lt;'Get Started  2'!$G65,0,OFFSET(O222,0,-1*'Get Started  2'!$G65)*'Get Started  2'!$G86/'Get Started  2'!$G82),0)</f>
        <v>0</v>
      </c>
      <c r="P227" s="90">
        <f ca="1">IFERROR(IF(P4&lt;'Get Started  2'!$G55,0,OFFSET(P222,0,-1*'Get Started  2'!$G55)*'Get Started  2'!$G84/'Get Started  2'!$G82),0)+IFERROR(IF(P4&lt;'Get Started  2'!$G65,0,OFFSET(P222,0,-1*'Get Started  2'!$G65)*'Get Started  2'!$G86/'Get Started  2'!$G82),0)</f>
        <v>0</v>
      </c>
      <c r="Q227" s="90">
        <f ca="1">IFERROR(IF(Q4&lt;'Get Started  2'!$G55,0,OFFSET(Q222,0,-1*'Get Started  2'!$G55)*'Get Started  2'!$G84/'Get Started  2'!$G82),0)+IFERROR(IF(Q4&lt;'Get Started  2'!$G65,0,OFFSET(Q222,0,-1*'Get Started  2'!$G65)*'Get Started  2'!$G86/'Get Started  2'!$G82),0)</f>
        <v>0</v>
      </c>
      <c r="R227" s="90">
        <f ca="1">IFERROR(IF(R4&lt;'Get Started  2'!$G55,0,OFFSET(R222,0,-1*'Get Started  2'!$G55)*'Get Started  2'!$G84/'Get Started  2'!$G82),0)+IFERROR(IF(R4&lt;'Get Started  2'!$G65,0,OFFSET(R222,0,-1*'Get Started  2'!$G65)*'Get Started  2'!$G86/'Get Started  2'!$G82),0)</f>
        <v>0</v>
      </c>
      <c r="S227" s="90">
        <f ca="1">IFERROR(IF(S4&lt;'Get Started  2'!$G55,0,OFFSET(S222,0,-1*'Get Started  2'!$G55)*'Get Started  2'!$G84/'Get Started  2'!$G82),0)+IFERROR(IF(S4&lt;'Get Started  2'!$G65,0,OFFSET(S222,0,-1*'Get Started  2'!$G65)*'Get Started  2'!$G86/'Get Started  2'!$G82),0)</f>
        <v>0</v>
      </c>
      <c r="T227" s="90">
        <f ca="1">IFERROR(IF(T4&lt;'Get Started  2'!$G55,0,OFFSET(T222,0,-1*'Get Started  2'!$G55)*'Get Started  2'!$G84/'Get Started  2'!$G82),0)+IFERROR(IF(T4&lt;'Get Started  2'!$G65,0,OFFSET(T222,0,-1*'Get Started  2'!$G65)*'Get Started  2'!$G86/'Get Started  2'!$G82),0)</f>
        <v>0</v>
      </c>
      <c r="U227" s="90">
        <f ca="1">IFERROR(IF(U4&lt;'Get Started  2'!$G55,0,OFFSET(U222,0,-1*'Get Started  2'!$G55)*'Get Started  2'!$G84/'Get Started  2'!$G82),0)+IFERROR(IF(U4&lt;'Get Started  2'!$G65,0,OFFSET(U222,0,-1*'Get Started  2'!$G65)*'Get Started  2'!$G86/'Get Started  2'!$G82),0)</f>
        <v>0</v>
      </c>
      <c r="V227" s="90">
        <f ca="1">IFERROR(IF(V4&lt;'Get Started  2'!$G55,0,OFFSET(V222,0,-1*'Get Started  2'!$G55)*'Get Started  2'!$G84/'Get Started  2'!$G82),0)+IFERROR(IF(V4&lt;'Get Started  2'!$G65,0,OFFSET(V222,0,-1*'Get Started  2'!$G65)*'Get Started  2'!$G86/'Get Started  2'!$G82),0)</f>
        <v>0</v>
      </c>
      <c r="W227" s="90">
        <f ca="1">IFERROR(IF(W4&lt;'Get Started  2'!$G55,0,OFFSET(W222,0,-1*'Get Started  2'!$G55)*'Get Started  2'!$G84/'Get Started  2'!$G82),0)+IFERROR(IF(W4&lt;'Get Started  2'!$G65,0,OFFSET(W222,0,-1*'Get Started  2'!$G65)*'Get Started  2'!$G86/'Get Started  2'!$G82),0)</f>
        <v>0</v>
      </c>
      <c r="X227" s="90">
        <f ca="1">IFERROR(IF(X4&lt;'Get Started  2'!$G55,0,OFFSET(X222,0,-1*'Get Started  2'!$G55)*'Get Started  2'!$G84/'Get Started  2'!$G82),0)+IFERROR(IF(X4&lt;'Get Started  2'!$G65,0,OFFSET(X222,0,-1*'Get Started  2'!$G65)*'Get Started  2'!$G86/'Get Started  2'!$G82),0)</f>
        <v>0</v>
      </c>
      <c r="Y227" s="90">
        <f ca="1">IFERROR(IF(Y4&lt;'Get Started  2'!$G55,0,OFFSET(Y222,0,-1*'Get Started  2'!$G55)*'Get Started  2'!$G84/'Get Started  2'!$G82),0)+IFERROR(IF(Y4&lt;'Get Started  2'!$G65,0,OFFSET(Y222,0,-1*'Get Started  2'!$G65)*'Get Started  2'!$G86/'Get Started  2'!$G82),0)</f>
        <v>0</v>
      </c>
      <c r="Z227" s="90">
        <f ca="1">IFERROR(IF(Z4&lt;'Get Started  2'!$G55,0,OFFSET(Z222,0,-1*'Get Started  2'!$G55)*'Get Started  2'!$G84/'Get Started  2'!$G82),0)+IFERROR(IF(Z4&lt;'Get Started  2'!$G65,0,OFFSET(Z222,0,-1*'Get Started  2'!$G65)*'Get Started  2'!$G86/'Get Started  2'!$G82),0)</f>
        <v>0</v>
      </c>
      <c r="AA227" s="90">
        <f ca="1">IFERROR(IF(AA4&lt;'Get Started  2'!$G55,0,OFFSET(AA222,0,-1*'Get Started  2'!$G55)*'Get Started  2'!$G84/'Get Started  2'!$G82),0)+IFERROR(IF(AA4&lt;'Get Started  2'!$G65,0,OFFSET(AA222,0,-1*'Get Started  2'!$G65)*'Get Started  2'!$G86/'Get Started  2'!$G82),0)</f>
        <v>0</v>
      </c>
      <c r="AB227" s="90">
        <f ca="1">IFERROR(IF(AB4&lt;'Get Started  2'!$G55,0,OFFSET(AB222,0,-1*'Get Started  2'!$G55)*'Get Started  2'!$G84/'Get Started  2'!$G82),0)+IFERROR(IF(AB4&lt;'Get Started  2'!$G65,0,OFFSET(AB222,0,-1*'Get Started  2'!$G65)*'Get Started  2'!$G86/'Get Started  2'!$G82),0)</f>
        <v>0</v>
      </c>
      <c r="AC227" s="90">
        <f ca="1">IFERROR(IF(AC4&lt;'Get Started  2'!$G55,0,OFFSET(AC222,0,-1*'Get Started  2'!$G55)*'Get Started  2'!$G84/'Get Started  2'!$G82),0)+IFERROR(IF(AC4&lt;'Get Started  2'!$G65,0,OFFSET(AC222,0,-1*'Get Started  2'!$G65)*'Get Started  2'!$G86/'Get Started  2'!$G82),0)</f>
        <v>0</v>
      </c>
      <c r="AD227" s="90">
        <f ca="1">IFERROR(IF(AD4&lt;'Get Started  2'!$G55,0,OFFSET(AD222,0,-1*'Get Started  2'!$G55)*'Get Started  2'!$G84/'Get Started  2'!$G82),0)+IFERROR(IF(AD4&lt;'Get Started  2'!$G65,0,OFFSET(AD222,0,-1*'Get Started  2'!$G65)*'Get Started  2'!$G86/'Get Started  2'!$G82),0)</f>
        <v>0</v>
      </c>
      <c r="AE227" s="90">
        <f ca="1">IFERROR(IF(AE4&lt;'Get Started  2'!$G55,0,OFFSET(AE222,0,-1*'Get Started  2'!$G55)*'Get Started  2'!$G84/'Get Started  2'!$G82),0)+IFERROR(IF(AE4&lt;'Get Started  2'!$G65,0,OFFSET(AE222,0,-1*'Get Started  2'!$G65)*'Get Started  2'!$G86/'Get Started  2'!$G82),0)</f>
        <v>0</v>
      </c>
      <c r="AF227" s="90">
        <f ca="1">IFERROR(IF(AF4&lt;'Get Started  2'!$G55,0,OFFSET(AF222,0,-1*'Get Started  2'!$G55)*'Get Started  2'!$G84/'Get Started  2'!$G82),0)+IFERROR(IF(AF4&lt;'Get Started  2'!$G65,0,OFFSET(AF222,0,-1*'Get Started  2'!$G65)*'Get Started  2'!$G86/'Get Started  2'!$G82),0)</f>
        <v>0</v>
      </c>
      <c r="AG227" s="90">
        <f ca="1">IFERROR(IF(AG4&lt;'Get Started  2'!$G55,0,OFFSET(AG222,0,-1*'Get Started  2'!$G55)*'Get Started  2'!$G84/'Get Started  2'!$G82),0)+IFERROR(IF(AG4&lt;'Get Started  2'!$G65,0,OFFSET(AG222,0,-1*'Get Started  2'!$G65)*'Get Started  2'!$G86/'Get Started  2'!$G82),0)</f>
        <v>0</v>
      </c>
      <c r="AH227" s="90">
        <f ca="1">IFERROR(IF(AH4&lt;'Get Started  2'!$G55,0,OFFSET(AH222,0,-1*'Get Started  2'!$G55)*'Get Started  2'!$G84/'Get Started  2'!$G82),0)+IFERROR(IF(AH4&lt;'Get Started  2'!$G65,0,OFFSET(AH222,0,-1*'Get Started  2'!$G65)*'Get Started  2'!$G86/'Get Started  2'!$G82),0)</f>
        <v>0</v>
      </c>
      <c r="AI227" s="90">
        <f ca="1">IFERROR(IF(AI4&lt;'Get Started  2'!$G55,0,OFFSET(AI222,0,-1*'Get Started  2'!$G55)*'Get Started  2'!$G84/'Get Started  2'!$G82),0)+IFERROR(IF(AI4&lt;'Get Started  2'!$G65,0,OFFSET(AI222,0,-1*'Get Started  2'!$G65)*'Get Started  2'!$G86/'Get Started  2'!$G82),0)</f>
        <v>0</v>
      </c>
      <c r="AJ227" s="90">
        <f ca="1">IFERROR(IF(AJ4&lt;'Get Started  2'!$G55,0,OFFSET(AJ222,0,-1*'Get Started  2'!$G55)*'Get Started  2'!$G84/'Get Started  2'!$G82),0)+IFERROR(IF(AJ4&lt;'Get Started  2'!$G65,0,OFFSET(AJ222,0,-1*'Get Started  2'!$G65)*'Get Started  2'!$G86/'Get Started  2'!$G82),0)</f>
        <v>0</v>
      </c>
      <c r="AK227" s="90">
        <f ca="1">IFERROR(IF(AK4&lt;'Get Started  2'!$G55,0,OFFSET(AK222,0,-1*'Get Started  2'!$G55)*'Get Started  2'!$G84/'Get Started  2'!$G82),0)+IFERROR(IF(AK4&lt;'Get Started  2'!$G65,0,OFFSET(AK222,0,-1*'Get Started  2'!$G65)*'Get Started  2'!$G86/'Get Started  2'!$G82),0)</f>
        <v>0</v>
      </c>
      <c r="AL227" s="90">
        <f ca="1">IFERROR(IF(AL4&lt;'Get Started  2'!$G55,0,OFFSET(AL222,0,-1*'Get Started  2'!$G55)*'Get Started  2'!$G84/'Get Started  2'!$G82),0)+IFERROR(IF(AL4&lt;'Get Started  2'!$G65,0,OFFSET(AL222,0,-1*'Get Started  2'!$G65)*'Get Started  2'!$G86/'Get Started  2'!$G82),0)</f>
        <v>0</v>
      </c>
      <c r="AM227" s="90">
        <f ca="1">IFERROR(IF(AM4&lt;'Get Started  2'!$G55,0,OFFSET(AM222,0,-1*'Get Started  2'!$G55)*'Get Started  2'!$G84/'Get Started  2'!$G82),0)+IFERROR(IF(AM4&lt;'Get Started  2'!$G65,0,OFFSET(AM222,0,-1*'Get Started  2'!$G65)*'Get Started  2'!$G86/'Get Started  2'!$G82),0)</f>
        <v>0</v>
      </c>
      <c r="AN227" s="90">
        <f ca="1">IFERROR(IF(AN4&lt;'Get Started  2'!$G55,0,OFFSET(AN222,0,-1*'Get Started  2'!$G55)*'Get Started  2'!$G84/'Get Started  2'!$G82),0)+IFERROR(IF(AN4&lt;'Get Started  2'!$G65,0,OFFSET(AN222,0,-1*'Get Started  2'!$G65)*'Get Started  2'!$G86/'Get Started  2'!$G82),0)</f>
        <v>0</v>
      </c>
      <c r="AO227" s="90">
        <f ca="1">IFERROR(IF(AO4&lt;'Get Started  2'!$G55,0,OFFSET(AO222,0,-1*'Get Started  2'!$G55)*'Get Started  2'!$G84/'Get Started  2'!$G82),0)+IFERROR(IF(AO4&lt;'Get Started  2'!$G65,0,OFFSET(AO222,0,-1*'Get Started  2'!$G65)*'Get Started  2'!$G86/'Get Started  2'!$G82),0)</f>
        <v>0</v>
      </c>
      <c r="AP227" s="90">
        <f ca="1">IFERROR(IF(AP4&lt;'Get Started  2'!$G55,0,OFFSET(AP222,0,-1*'Get Started  2'!$G55)*'Get Started  2'!$G84/'Get Started  2'!$G82),0)+IFERROR(IF(AP4&lt;'Get Started  2'!$G65,0,OFFSET(AP222,0,-1*'Get Started  2'!$G65)*'Get Started  2'!$G86/'Get Started  2'!$G82),0)</f>
        <v>0</v>
      </c>
      <c r="AQ227" s="90">
        <f ca="1">IFERROR(IF(AQ4&lt;'Get Started  2'!$G55,0,OFFSET(AQ222,0,-1*'Get Started  2'!$G55)*'Get Started  2'!$G84/'Get Started  2'!$G82),0)+IFERROR(IF(AQ4&lt;'Get Started  2'!$G65,0,OFFSET(AQ222,0,-1*'Get Started  2'!$G65)*'Get Started  2'!$G86/'Get Started  2'!$G82),0)</f>
        <v>0</v>
      </c>
      <c r="AR227" s="90">
        <f ca="1">IFERROR(IF(AR4&lt;'Get Started  2'!$G55,0,OFFSET(AR222,0,-1*'Get Started  2'!$G55)*'Get Started  2'!$G84/'Get Started  2'!$G82),0)+IFERROR(IF(AR4&lt;'Get Started  2'!$G65,0,OFFSET(AR222,0,-1*'Get Started  2'!$G65)*'Get Started  2'!$G86/'Get Started  2'!$G82),0)</f>
        <v>0</v>
      </c>
      <c r="AS227" s="90">
        <f ca="1">IFERROR(IF(AS4&lt;'Get Started  2'!$G55,0,OFFSET(AS222,0,-1*'Get Started  2'!$G55)*'Get Started  2'!$G84/'Get Started  2'!$G82),0)+IFERROR(IF(AS4&lt;'Get Started  2'!$G65,0,OFFSET(AS222,0,-1*'Get Started  2'!$G65)*'Get Started  2'!$G86/'Get Started  2'!$G82),0)</f>
        <v>0</v>
      </c>
      <c r="AT227" s="90">
        <f ca="1">IFERROR(IF(AT4&lt;'Get Started  2'!$G55,0,OFFSET(AT222,0,-1*'Get Started  2'!$G55)*'Get Started  2'!$G84/'Get Started  2'!$G82),0)+IFERROR(IF(AT4&lt;'Get Started  2'!$G65,0,OFFSET(AT222,0,-1*'Get Started  2'!$G65)*'Get Started  2'!$G86/'Get Started  2'!$G82),0)</f>
        <v>0</v>
      </c>
      <c r="AU227" s="90">
        <f ca="1">IFERROR(IF(AU4&lt;'Get Started  2'!$G55,0,OFFSET(AU222,0,-1*'Get Started  2'!$G55)*'Get Started  2'!$G84/'Get Started  2'!$G82),0)+IFERROR(IF(AU4&lt;'Get Started  2'!$G65,0,OFFSET(AU222,0,-1*'Get Started  2'!$G65)*'Get Started  2'!$G86/'Get Started  2'!$G82),0)</f>
        <v>0</v>
      </c>
      <c r="AV227" s="90">
        <f ca="1">IFERROR(IF(AV4&lt;'Get Started  2'!$G55,0,OFFSET(AV222,0,-1*'Get Started  2'!$G55)*'Get Started  2'!$G84/'Get Started  2'!$G82),0)+IFERROR(IF(AV4&lt;'Get Started  2'!$G65,0,OFFSET(AV222,0,-1*'Get Started  2'!$G65)*'Get Started  2'!$G86/'Get Started  2'!$G82),0)</f>
        <v>0</v>
      </c>
      <c r="AW227" s="90">
        <f ca="1">IFERROR(IF(AW4&lt;'Get Started  2'!$G55,0,OFFSET(AW222,0,-1*'Get Started  2'!$G55)*'Get Started  2'!$G84/'Get Started  2'!$G82),0)+IFERROR(IF(AW4&lt;'Get Started  2'!$G65,0,OFFSET(AW222,0,-1*'Get Started  2'!$G65)*'Get Started  2'!$G86/'Get Started  2'!$G82),0)</f>
        <v>0</v>
      </c>
      <c r="AX227" s="90">
        <f ca="1">IFERROR(IF(AX4&lt;'Get Started  2'!$G55,0,OFFSET(AX222,0,-1*'Get Started  2'!$G55)*'Get Started  2'!$G84/'Get Started  2'!$G82),0)+IFERROR(IF(AX4&lt;'Get Started  2'!$G65,0,OFFSET(AX222,0,-1*'Get Started  2'!$G65)*'Get Started  2'!$G86/'Get Started  2'!$G82),0)</f>
        <v>0</v>
      </c>
      <c r="AY227" s="90">
        <f ca="1">IFERROR(IF(AY4&lt;'Get Started  2'!$G55,0,OFFSET(AY222,0,-1*'Get Started  2'!$G55)*'Get Started  2'!$G84/'Get Started  2'!$G82),0)+IFERROR(IF(AY4&lt;'Get Started  2'!$G65,0,OFFSET(AY222,0,-1*'Get Started  2'!$G65)*'Get Started  2'!$G86/'Get Started  2'!$G82),0)</f>
        <v>0</v>
      </c>
      <c r="AZ227" s="90">
        <f ca="1">IFERROR(IF(AZ4&lt;'Get Started  2'!$G55,0,OFFSET(AZ222,0,-1*'Get Started  2'!$G55)*'Get Started  2'!$G84/'Get Started  2'!$G82),0)+IFERROR(IF(AZ4&lt;'Get Started  2'!$G65,0,OFFSET(AZ222,0,-1*'Get Started  2'!$G65)*'Get Started  2'!$G86/'Get Started  2'!$G82),0)</f>
        <v>0</v>
      </c>
      <c r="BA227" s="90">
        <f ca="1">IFERROR(IF(BA4&lt;'Get Started  2'!$G55,0,OFFSET(BA222,0,-1*'Get Started  2'!$G55)*'Get Started  2'!$G84/'Get Started  2'!$G82),0)+IFERROR(IF(BA4&lt;'Get Started  2'!$G65,0,OFFSET(BA222,0,-1*'Get Started  2'!$G65)*'Get Started  2'!$G86/'Get Started  2'!$G82),0)</f>
        <v>0</v>
      </c>
      <c r="BB227" s="90">
        <f ca="1">IFERROR(IF(BB4&lt;'Get Started  2'!$G55,0,OFFSET(BB222,0,-1*'Get Started  2'!$G55)*'Get Started  2'!$G84/'Get Started  2'!$G82),0)+IFERROR(IF(BB4&lt;'Get Started  2'!$G65,0,OFFSET(BB222,0,-1*'Get Started  2'!$G65)*'Get Started  2'!$G86/'Get Started  2'!$G82),0)</f>
        <v>0</v>
      </c>
      <c r="BC227" s="90">
        <f ca="1">IFERROR(IF(BC4&lt;'Get Started  2'!$G55,0,OFFSET(BC222,0,-1*'Get Started  2'!$G55)*'Get Started  2'!$G84/'Get Started  2'!$G82),0)+IFERROR(IF(BC4&lt;'Get Started  2'!$G65,0,OFFSET(BC222,0,-1*'Get Started  2'!$G65)*'Get Started  2'!$G86/'Get Started  2'!$G82),0)</f>
        <v>0</v>
      </c>
      <c r="BD227" s="90">
        <f ca="1">IFERROR(IF(BD4&lt;'Get Started  2'!$G55,0,OFFSET(BD222,0,-1*'Get Started  2'!$G55)*'Get Started  2'!$G84/'Get Started  2'!$G82),0)+IFERROR(IF(BD4&lt;'Get Started  2'!$G65,0,OFFSET(BD222,0,-1*'Get Started  2'!$G65)*'Get Started  2'!$G86/'Get Started  2'!$G82),0)</f>
        <v>0</v>
      </c>
      <c r="BE227" s="90">
        <f ca="1">IFERROR(IF(BE4&lt;'Get Started  2'!$G55,0,OFFSET(BE222,0,-1*'Get Started  2'!$G55)*'Get Started  2'!$G84/'Get Started  2'!$G82),0)+IFERROR(IF(BE4&lt;'Get Started  2'!$G65,0,OFFSET(BE222,0,-1*'Get Started  2'!$G65)*'Get Started  2'!$G86/'Get Started  2'!$G82),0)</f>
        <v>0</v>
      </c>
      <c r="BF227" s="90">
        <f ca="1">IFERROR(IF(BF4&lt;'Get Started  2'!$G55,0,OFFSET(BF222,0,-1*'Get Started  2'!$G55)*'Get Started  2'!$G84/'Get Started  2'!$G82),0)+IFERROR(IF(BF4&lt;'Get Started  2'!$G65,0,OFFSET(BF222,0,-1*'Get Started  2'!$G65)*'Get Started  2'!$G86/'Get Started  2'!$G82),0)</f>
        <v>0</v>
      </c>
      <c r="BG227" s="90">
        <f ca="1">IFERROR(IF(BG4&lt;'Get Started  2'!$G55,0,OFFSET(BG222,0,-1*'Get Started  2'!$G55)*'Get Started  2'!$G84/'Get Started  2'!$G82),0)+IFERROR(IF(BG4&lt;'Get Started  2'!$G65,0,OFFSET(BG222,0,-1*'Get Started  2'!$G65)*'Get Started  2'!$G86/'Get Started  2'!$G82),0)</f>
        <v>0</v>
      </c>
      <c r="BH227" s="90">
        <f ca="1">IFERROR(IF(BH4&lt;'Get Started  2'!$G55,0,OFFSET(BH222,0,-1*'Get Started  2'!$G55)*'Get Started  2'!$G84/'Get Started  2'!$G82),0)+IFERROR(IF(BH4&lt;'Get Started  2'!$G65,0,OFFSET(BH222,0,-1*'Get Started  2'!$G65)*'Get Started  2'!$G86/'Get Started  2'!$G82),0)</f>
        <v>0</v>
      </c>
      <c r="BI227" s="90">
        <f ca="1">IFERROR(IF(BI4&lt;'Get Started  2'!$G55,0,OFFSET(BI222,0,-1*'Get Started  2'!$G55)*'Get Started  2'!$G84/'Get Started  2'!$G82),0)+IFERROR(IF(BI4&lt;'Get Started  2'!$G65,0,OFFSET(BI222,0,-1*'Get Started  2'!$G65)*'Get Started  2'!$G86/'Get Started  2'!$G82),0)</f>
        <v>0</v>
      </c>
      <c r="BJ227" s="90">
        <f ca="1">IFERROR(IF(BJ4&lt;'Get Started  2'!$G55,0,OFFSET(BJ222,0,-1*'Get Started  2'!$G55)*'Get Started  2'!$G84/'Get Started  2'!$G82),0)+IFERROR(IF(BJ4&lt;'Get Started  2'!$G65,0,OFFSET(BJ222,0,-1*'Get Started  2'!$G65)*'Get Started  2'!$G86/'Get Started  2'!$G82),0)</f>
        <v>0</v>
      </c>
      <c r="BK227" s="90">
        <f ca="1">IFERROR(IF(BK4&lt;'Get Started  2'!$G55,0,OFFSET(BK222,0,-1*'Get Started  2'!$G55)*'Get Started  2'!$G84/'Get Started  2'!$G82),0)+IFERROR(IF(BK4&lt;'Get Started  2'!$G65,0,OFFSET(BK222,0,-1*'Get Started  2'!$G65)*'Get Started  2'!$G86/'Get Started  2'!$G82),0)</f>
        <v>0</v>
      </c>
      <c r="BL227" s="90">
        <f ca="1">IFERROR(IF(BL4&lt;'Get Started  2'!$G55,0,OFFSET(BL222,0,-1*'Get Started  2'!$G55)*'Get Started  2'!$G84/'Get Started  2'!$G82),0)+IFERROR(IF(BL4&lt;'Get Started  2'!$G65,0,OFFSET(BL222,0,-1*'Get Started  2'!$G65)*'Get Started  2'!$G86/'Get Started  2'!$G82),0)</f>
        <v>0</v>
      </c>
      <c r="BM227" s="90">
        <f ca="1">IFERROR(IF(BM4&lt;'Get Started  2'!$G55,0,OFFSET(BM222,0,-1*'Get Started  2'!$G55)*'Get Started  2'!$G84/'Get Started  2'!$G82),0)+IFERROR(IF(BM4&lt;'Get Started  2'!$G65,0,OFFSET(BM222,0,-1*'Get Started  2'!$G65)*'Get Started  2'!$G86/'Get Started  2'!$G82),0)</f>
        <v>0</v>
      </c>
      <c r="BN227" s="90">
        <f ca="1">IFERROR(IF(BN4&lt;'Get Started  2'!$G55,0,OFFSET(BN222,0,-1*'Get Started  2'!$G55)*'Get Started  2'!$G84/'Get Started  2'!$G82),0)+IFERROR(IF(BN4&lt;'Get Started  2'!$G65,0,OFFSET(BN222,0,-1*'Get Started  2'!$G65)*'Get Started  2'!$G86/'Get Started  2'!$G82),0)</f>
        <v>0</v>
      </c>
      <c r="BO227" s="90">
        <f ca="1">IFERROR(IF(BO4&lt;'Get Started  2'!$G55,0,OFFSET(BO222,0,-1*'Get Started  2'!$G55)*'Get Started  2'!$G84/'Get Started  2'!$G82),0)+IFERROR(IF(BO4&lt;'Get Started  2'!$G65,0,OFFSET(BO222,0,-1*'Get Started  2'!$G65)*'Get Started  2'!$G86/'Get Started  2'!$G82),0)</f>
        <v>0</v>
      </c>
      <c r="BP227" s="90">
        <f ca="1">IFERROR(IF(BP4&lt;'Get Started  2'!$G55,0,OFFSET(BP222,0,-1*'Get Started  2'!$G55)*'Get Started  2'!$G84/'Get Started  2'!$G82),0)+IFERROR(IF(BP4&lt;'Get Started  2'!$G65,0,OFFSET(BP222,0,-1*'Get Started  2'!$G65)*'Get Started  2'!$G86/'Get Started  2'!$G82),0)</f>
        <v>0</v>
      </c>
      <c r="BQ227" s="90">
        <f ca="1">IFERROR(IF(BQ4&lt;'Get Started  2'!$G55,0,OFFSET(BQ222,0,-1*'Get Started  2'!$G55)*'Get Started  2'!$G84/'Get Started  2'!$G82),0)+IFERROR(IF(BQ4&lt;'Get Started  2'!$G65,0,OFFSET(BQ222,0,-1*'Get Started  2'!$G65)*'Get Started  2'!$G86/'Get Started  2'!$G82),0)</f>
        <v>0</v>
      </c>
      <c r="BR227" s="90">
        <f ca="1">IFERROR(IF(BR4&lt;'Get Started  2'!$G55,0,OFFSET(BR222,0,-1*'Get Started  2'!$G55)*'Get Started  2'!$G84/'Get Started  2'!$G82),0)+IFERROR(IF(BR4&lt;'Get Started  2'!$G65,0,OFFSET(BR222,0,-1*'Get Started  2'!$G65)*'Get Started  2'!$G86/'Get Started  2'!$G82),0)</f>
        <v>0</v>
      </c>
      <c r="BS227" s="90">
        <f ca="1">IFERROR(IF(BS4&lt;'Get Started  2'!$G55,0,OFFSET(BS222,0,-1*'Get Started  2'!$G55)*'Get Started  2'!$G84/'Get Started  2'!$G82),0)+IFERROR(IF(BS4&lt;'Get Started  2'!$G65,0,OFFSET(BS222,0,-1*'Get Started  2'!$G65)*'Get Started  2'!$G86/'Get Started  2'!$G82),0)</f>
        <v>0</v>
      </c>
      <c r="BT227" s="90">
        <f ca="1">IFERROR(IF(BT4&lt;'Get Started  2'!$G55,0,OFFSET(BT222,0,-1*'Get Started  2'!$G55)*'Get Started  2'!$G84/'Get Started  2'!$G82),0)+IFERROR(IF(BT4&lt;'Get Started  2'!$G65,0,OFFSET(BT222,0,-1*'Get Started  2'!$G65)*'Get Started  2'!$G86/'Get Started  2'!$G82),0)</f>
        <v>0</v>
      </c>
      <c r="BU227" s="90">
        <f ca="1">IFERROR(IF(BU4&lt;'Get Started  2'!$G55,0,OFFSET(BU222,0,-1*'Get Started  2'!$G55)*'Get Started  2'!$G84/'Get Started  2'!$G82),0)+IFERROR(IF(BU4&lt;'Get Started  2'!$G65,0,OFFSET(BU222,0,-1*'Get Started  2'!$G65)*'Get Started  2'!$G86/'Get Started  2'!$G82),0)</f>
        <v>0</v>
      </c>
      <c r="BV227" s="90">
        <f ca="1">IFERROR(IF(BV4&lt;'Get Started  2'!$G55,0,OFFSET(BV222,0,-1*'Get Started  2'!$G55)*'Get Started  2'!$G84/'Get Started  2'!$G82),0)+IFERROR(IF(BV4&lt;'Get Started  2'!$G65,0,OFFSET(BV222,0,-1*'Get Started  2'!$G65)*'Get Started  2'!$G86/'Get Started  2'!$G82),0)</f>
        <v>0</v>
      </c>
      <c r="BW227" s="90">
        <f ca="1">IFERROR(IF(BW4&lt;'Get Started  2'!$G55,0,OFFSET(BW222,0,-1*'Get Started  2'!$G55)*'Get Started  2'!$G84/'Get Started  2'!$G82),0)+IFERROR(IF(BW4&lt;'Get Started  2'!$G65,0,OFFSET(BW222,0,-1*'Get Started  2'!$G65)*'Get Started  2'!$G86/'Get Started  2'!$G82),0)</f>
        <v>0</v>
      </c>
      <c r="BX227" s="90">
        <f ca="1">IFERROR(IF(BX4&lt;'Get Started  2'!$G55,0,OFFSET(BX222,0,-1*'Get Started  2'!$G55)*'Get Started  2'!$G84/'Get Started  2'!$G82),0)+IFERROR(IF(BX4&lt;'Get Started  2'!$G65,0,OFFSET(BX222,0,-1*'Get Started  2'!$G65)*'Get Started  2'!$G86/'Get Started  2'!$G82),0)</f>
        <v>0</v>
      </c>
      <c r="BY227" s="90">
        <f ca="1">IFERROR(IF(BY4&lt;'Get Started  2'!$G55,0,OFFSET(BY222,0,-1*'Get Started  2'!$G55)*'Get Started  2'!$G84/'Get Started  2'!$G82),0)+IFERROR(IF(BY4&lt;'Get Started  2'!$G65,0,OFFSET(BY222,0,-1*'Get Started  2'!$G65)*'Get Started  2'!$G86/'Get Started  2'!$G82),0)</f>
        <v>0</v>
      </c>
      <c r="BZ227" s="90">
        <f ca="1">IFERROR(IF(BZ4&lt;'Get Started  2'!$G55,0,OFFSET(BZ222,0,-1*'Get Started  2'!$G55)*'Get Started  2'!$G84/'Get Started  2'!$G82),0)+IFERROR(IF(BZ4&lt;'Get Started  2'!$G65,0,OFFSET(BZ222,0,-1*'Get Started  2'!$G65)*'Get Started  2'!$G86/'Get Started  2'!$G82),0)</f>
        <v>0</v>
      </c>
      <c r="CA227" s="90">
        <f ca="1">IFERROR(IF(CA4&lt;'Get Started  2'!$G55,0,OFFSET(CA222,0,-1*'Get Started  2'!$G55)*'Get Started  2'!$G84/'Get Started  2'!$G82),0)+IFERROR(IF(CA4&lt;'Get Started  2'!$G65,0,OFFSET(CA222,0,-1*'Get Started  2'!$G65)*'Get Started  2'!$G86/'Get Started  2'!$G82),0)</f>
        <v>0</v>
      </c>
      <c r="CB227" s="90">
        <f ca="1">IFERROR(IF(CB4&lt;'Get Started  2'!$G55,0,OFFSET(CB222,0,-1*'Get Started  2'!$G55)*'Get Started  2'!$G84/'Get Started  2'!$G82),0)+IFERROR(IF(CB4&lt;'Get Started  2'!$G65,0,OFFSET(CB222,0,-1*'Get Started  2'!$G65)*'Get Started  2'!$G86/'Get Started  2'!$G82),0)</f>
        <v>0</v>
      </c>
      <c r="CC227" s="90">
        <f ca="1">IFERROR(IF(CC4&lt;'Get Started  2'!$G55,0,OFFSET(CC222,0,-1*'Get Started  2'!$G55)*'Get Started  2'!$G84/'Get Started  2'!$G82),0)+IFERROR(IF(CC4&lt;'Get Started  2'!$G65,0,OFFSET(CC222,0,-1*'Get Started  2'!$G65)*'Get Started  2'!$G86/'Get Started  2'!$G82),0)</f>
        <v>0</v>
      </c>
      <c r="CD227" s="90">
        <f ca="1">IFERROR(IF(CD4&lt;'Get Started  2'!$G55,0,OFFSET(CD222,0,-1*'Get Started  2'!$G55)*'Get Started  2'!$G84/'Get Started  2'!$G82),0)+IFERROR(IF(CD4&lt;'Get Started  2'!$G65,0,OFFSET(CD222,0,-1*'Get Started  2'!$G65)*'Get Started  2'!$G86/'Get Started  2'!$G82),0)</f>
        <v>0</v>
      </c>
      <c r="CE227" s="90">
        <f ca="1">IFERROR(IF(CE4&lt;'Get Started  2'!$G55,0,OFFSET(CE222,0,-1*'Get Started  2'!$G55)*'Get Started  2'!$G84/'Get Started  2'!$G82),0)+IFERROR(IF(CE4&lt;'Get Started  2'!$G65,0,OFFSET(CE222,0,-1*'Get Started  2'!$G65)*'Get Started  2'!$G86/'Get Started  2'!$G82),0)</f>
        <v>0</v>
      </c>
      <c r="CF227" s="90">
        <f ca="1">IFERROR(IF(CF4&lt;'Get Started  2'!$G55,0,OFFSET(CF222,0,-1*'Get Started  2'!$G55)*'Get Started  2'!$G84/'Get Started  2'!$G82),0)+IFERROR(IF(CF4&lt;'Get Started  2'!$G65,0,OFFSET(CF222,0,-1*'Get Started  2'!$G65)*'Get Started  2'!$G86/'Get Started  2'!$G82),0)</f>
        <v>0</v>
      </c>
      <c r="CG227" s="90">
        <f ca="1">IFERROR(IF(CG4&lt;'Get Started  2'!$G55,0,OFFSET(CG222,0,-1*'Get Started  2'!$G55)*'Get Started  2'!$G84/'Get Started  2'!$G82),0)+IFERROR(IF(CG4&lt;'Get Started  2'!$G65,0,OFFSET(CG222,0,-1*'Get Started  2'!$G65)*'Get Started  2'!$G86/'Get Started  2'!$G82),0)</f>
        <v>0</v>
      </c>
      <c r="CH227" s="90">
        <f ca="1">IFERROR(IF(CH4&lt;'Get Started  2'!$G55,0,OFFSET(CH222,0,-1*'Get Started  2'!$G55)*'Get Started  2'!$G84/'Get Started  2'!$G82),0)+IFERROR(IF(CH4&lt;'Get Started  2'!$G65,0,OFFSET(CH222,0,-1*'Get Started  2'!$G65)*'Get Started  2'!$G86/'Get Started  2'!$G82),0)</f>
        <v>0</v>
      </c>
    </row>
    <row r="228" spans="1:86" ht="13" outlineLevel="1">
      <c r="A228" s="13"/>
      <c r="B228" s="13" t="s">
        <v>329</v>
      </c>
      <c r="C228" s="13"/>
      <c r="D228" s="13" t="s">
        <v>238</v>
      </c>
      <c r="E228" s="88">
        <f t="shared" ca="1" si="170"/>
        <v>0</v>
      </c>
      <c r="F228" s="48"/>
      <c r="G228" s="90">
        <f ca="1">IFERROR(IF(G4&lt;'Get Started  2'!$H55,0,OFFSET(G223,0,-1*'Get Started  2'!$H55)*'Get Started  2'!$H84/'Get Started  2'!$H82),0)+IFERROR(IF(G4&lt;'Get Started  2'!$H65,0,OFFSET(G223,0,-1*'Get Started  2'!$H65)*'Get Started  2'!$H86/'Get Started  2'!$H82),0)</f>
        <v>0</v>
      </c>
      <c r="H228" s="90">
        <f ca="1">IFERROR(IF(H4&lt;'Get Started  2'!$H55,0,OFFSET(H223,0,-1*'Get Started  2'!$H55)*'Get Started  2'!$H84/'Get Started  2'!$H82),0)+IFERROR(IF(H4&lt;'Get Started  2'!$H65,0,OFFSET(H223,0,-1*'Get Started  2'!$H65)*'Get Started  2'!$H86/'Get Started  2'!$H82),0)</f>
        <v>0</v>
      </c>
      <c r="I228" s="90">
        <f ca="1">IFERROR(IF(I4&lt;'Get Started  2'!$H55,0,OFFSET(I223,0,-1*'Get Started  2'!$H55)*'Get Started  2'!$H84/'Get Started  2'!$H82),0)+IFERROR(IF(I4&lt;'Get Started  2'!$H65,0,OFFSET(I223,0,-1*'Get Started  2'!$H65)*'Get Started  2'!$H86/'Get Started  2'!$H82),0)</f>
        <v>0</v>
      </c>
      <c r="J228" s="90">
        <f ca="1">IFERROR(IF(J4&lt;'Get Started  2'!$H55,0,OFFSET(J223,0,-1*'Get Started  2'!$H55)*'Get Started  2'!$H84/'Get Started  2'!$H82),0)+IFERROR(IF(J4&lt;'Get Started  2'!$H65,0,OFFSET(J223,0,-1*'Get Started  2'!$H65)*'Get Started  2'!$H86/'Get Started  2'!$H82),0)</f>
        <v>0</v>
      </c>
      <c r="K228" s="90">
        <f ca="1">IFERROR(IF(K4&lt;'Get Started  2'!$H55,0,OFFSET(K223,0,-1*'Get Started  2'!$H55)*'Get Started  2'!$H84/'Get Started  2'!$H82),0)+IFERROR(IF(K4&lt;'Get Started  2'!$H65,0,OFFSET(K223,0,-1*'Get Started  2'!$H65)*'Get Started  2'!$H86/'Get Started  2'!$H82),0)</f>
        <v>0</v>
      </c>
      <c r="L228" s="90">
        <f ca="1">IFERROR(IF(L4&lt;'Get Started  2'!$H55,0,OFFSET(L223,0,-1*'Get Started  2'!$H55)*'Get Started  2'!$H84/'Get Started  2'!$H82),0)+IFERROR(IF(L4&lt;'Get Started  2'!$H65,0,OFFSET(L223,0,-1*'Get Started  2'!$H65)*'Get Started  2'!$H86/'Get Started  2'!$H82),0)</f>
        <v>0</v>
      </c>
      <c r="M228" s="90">
        <f ca="1">IFERROR(IF(M4&lt;'Get Started  2'!$H55,0,OFFSET(M223,0,-1*'Get Started  2'!$H55)*'Get Started  2'!$H84/'Get Started  2'!$H82),0)+IFERROR(IF(M4&lt;'Get Started  2'!$H65,0,OFFSET(M223,0,-1*'Get Started  2'!$H65)*'Get Started  2'!$H86/'Get Started  2'!$H82),0)</f>
        <v>0</v>
      </c>
      <c r="N228" s="90">
        <f ca="1">IFERROR(IF(N4&lt;'Get Started  2'!$H55,0,OFFSET(N223,0,-1*'Get Started  2'!$H55)*'Get Started  2'!$H84/'Get Started  2'!$H82),0)+IFERROR(IF(N4&lt;'Get Started  2'!$H65,0,OFFSET(N223,0,-1*'Get Started  2'!$H65)*'Get Started  2'!$H86/'Get Started  2'!$H82),0)</f>
        <v>0</v>
      </c>
      <c r="O228" s="90">
        <f ca="1">IFERROR(IF(O4&lt;'Get Started  2'!$H55,0,OFFSET(O223,0,-1*'Get Started  2'!$H55)*'Get Started  2'!$H84/'Get Started  2'!$H82),0)+IFERROR(IF(O4&lt;'Get Started  2'!$H65,0,OFFSET(O223,0,-1*'Get Started  2'!$H65)*'Get Started  2'!$H86/'Get Started  2'!$H82),0)</f>
        <v>0</v>
      </c>
      <c r="P228" s="90">
        <f ca="1">IFERROR(IF(P4&lt;'Get Started  2'!$H55,0,OFFSET(P223,0,-1*'Get Started  2'!$H55)*'Get Started  2'!$H84/'Get Started  2'!$H82),0)+IFERROR(IF(P4&lt;'Get Started  2'!$H65,0,OFFSET(P223,0,-1*'Get Started  2'!$H65)*'Get Started  2'!$H86/'Get Started  2'!$H82),0)</f>
        <v>0</v>
      </c>
      <c r="Q228" s="90">
        <f ca="1">IFERROR(IF(Q4&lt;'Get Started  2'!$H55,0,OFFSET(Q223,0,-1*'Get Started  2'!$H55)*'Get Started  2'!$H84/'Get Started  2'!$H82),0)+IFERROR(IF(Q4&lt;'Get Started  2'!$H65,0,OFFSET(Q223,0,-1*'Get Started  2'!$H65)*'Get Started  2'!$H86/'Get Started  2'!$H82),0)</f>
        <v>0</v>
      </c>
      <c r="R228" s="90">
        <f ca="1">IFERROR(IF(R4&lt;'Get Started  2'!$H55,0,OFFSET(R223,0,-1*'Get Started  2'!$H55)*'Get Started  2'!$H84/'Get Started  2'!$H82),0)+IFERROR(IF(R4&lt;'Get Started  2'!$H65,0,OFFSET(R223,0,-1*'Get Started  2'!$H65)*'Get Started  2'!$H86/'Get Started  2'!$H82),0)</f>
        <v>0</v>
      </c>
      <c r="S228" s="90">
        <f ca="1">IFERROR(IF(S4&lt;'Get Started  2'!$H55,0,OFFSET(S223,0,-1*'Get Started  2'!$H55)*'Get Started  2'!$H84/'Get Started  2'!$H82),0)+IFERROR(IF(S4&lt;'Get Started  2'!$H65,0,OFFSET(S223,0,-1*'Get Started  2'!$H65)*'Get Started  2'!$H86/'Get Started  2'!$H82),0)</f>
        <v>0</v>
      </c>
      <c r="T228" s="90">
        <f ca="1">IFERROR(IF(T4&lt;'Get Started  2'!$H55,0,OFFSET(T223,0,-1*'Get Started  2'!$H55)*'Get Started  2'!$H84/'Get Started  2'!$H82),0)+IFERROR(IF(T4&lt;'Get Started  2'!$H65,0,OFFSET(T223,0,-1*'Get Started  2'!$H65)*'Get Started  2'!$H86/'Get Started  2'!$H82),0)</f>
        <v>0</v>
      </c>
      <c r="U228" s="90">
        <f ca="1">IFERROR(IF(U4&lt;'Get Started  2'!$H55,0,OFFSET(U223,0,-1*'Get Started  2'!$H55)*'Get Started  2'!$H84/'Get Started  2'!$H82),0)+IFERROR(IF(U4&lt;'Get Started  2'!$H65,0,OFFSET(U223,0,-1*'Get Started  2'!$H65)*'Get Started  2'!$H86/'Get Started  2'!$H82),0)</f>
        <v>0</v>
      </c>
      <c r="V228" s="90">
        <f ca="1">IFERROR(IF(V4&lt;'Get Started  2'!$H55,0,OFFSET(V223,0,-1*'Get Started  2'!$H55)*'Get Started  2'!$H84/'Get Started  2'!$H82),0)+IFERROR(IF(V4&lt;'Get Started  2'!$H65,0,OFFSET(V223,0,-1*'Get Started  2'!$H65)*'Get Started  2'!$H86/'Get Started  2'!$H82),0)</f>
        <v>0</v>
      </c>
      <c r="W228" s="90">
        <f ca="1">IFERROR(IF(W4&lt;'Get Started  2'!$H55,0,OFFSET(W223,0,-1*'Get Started  2'!$H55)*'Get Started  2'!$H84/'Get Started  2'!$H82),0)+IFERROR(IF(W4&lt;'Get Started  2'!$H65,0,OFFSET(W223,0,-1*'Get Started  2'!$H65)*'Get Started  2'!$H86/'Get Started  2'!$H82),0)</f>
        <v>0</v>
      </c>
      <c r="X228" s="90">
        <f ca="1">IFERROR(IF(X4&lt;'Get Started  2'!$H55,0,OFFSET(X223,0,-1*'Get Started  2'!$H55)*'Get Started  2'!$H84/'Get Started  2'!$H82),0)+IFERROR(IF(X4&lt;'Get Started  2'!$H65,0,OFFSET(X223,0,-1*'Get Started  2'!$H65)*'Get Started  2'!$H86/'Get Started  2'!$H82),0)</f>
        <v>0</v>
      </c>
      <c r="Y228" s="90">
        <f ca="1">IFERROR(IF(Y4&lt;'Get Started  2'!$H55,0,OFFSET(Y223,0,-1*'Get Started  2'!$H55)*'Get Started  2'!$H84/'Get Started  2'!$H82),0)+IFERROR(IF(Y4&lt;'Get Started  2'!$H65,0,OFFSET(Y223,0,-1*'Get Started  2'!$H65)*'Get Started  2'!$H86/'Get Started  2'!$H82),0)</f>
        <v>0</v>
      </c>
      <c r="Z228" s="90">
        <f ca="1">IFERROR(IF(Z4&lt;'Get Started  2'!$H55,0,OFFSET(Z223,0,-1*'Get Started  2'!$H55)*'Get Started  2'!$H84/'Get Started  2'!$H82),0)+IFERROR(IF(Z4&lt;'Get Started  2'!$H65,0,OFFSET(Z223,0,-1*'Get Started  2'!$H65)*'Get Started  2'!$H86/'Get Started  2'!$H82),0)</f>
        <v>0</v>
      </c>
      <c r="AA228" s="90">
        <f ca="1">IFERROR(IF(AA4&lt;'Get Started  2'!$H55,0,OFFSET(AA223,0,-1*'Get Started  2'!$H55)*'Get Started  2'!$H84/'Get Started  2'!$H82),0)+IFERROR(IF(AA4&lt;'Get Started  2'!$H65,0,OFFSET(AA223,0,-1*'Get Started  2'!$H65)*'Get Started  2'!$H86/'Get Started  2'!$H82),0)</f>
        <v>0</v>
      </c>
      <c r="AB228" s="90">
        <f ca="1">IFERROR(IF(AB4&lt;'Get Started  2'!$H55,0,OFFSET(AB223,0,-1*'Get Started  2'!$H55)*'Get Started  2'!$H84/'Get Started  2'!$H82),0)+IFERROR(IF(AB4&lt;'Get Started  2'!$H65,0,OFFSET(AB223,0,-1*'Get Started  2'!$H65)*'Get Started  2'!$H86/'Get Started  2'!$H82),0)</f>
        <v>0</v>
      </c>
      <c r="AC228" s="90">
        <f ca="1">IFERROR(IF(AC4&lt;'Get Started  2'!$H55,0,OFFSET(AC223,0,-1*'Get Started  2'!$H55)*'Get Started  2'!$H84/'Get Started  2'!$H82),0)+IFERROR(IF(AC4&lt;'Get Started  2'!$H65,0,OFFSET(AC223,0,-1*'Get Started  2'!$H65)*'Get Started  2'!$H86/'Get Started  2'!$H82),0)</f>
        <v>0</v>
      </c>
      <c r="AD228" s="90">
        <f ca="1">IFERROR(IF(AD4&lt;'Get Started  2'!$H55,0,OFFSET(AD223,0,-1*'Get Started  2'!$H55)*'Get Started  2'!$H84/'Get Started  2'!$H82),0)+IFERROR(IF(AD4&lt;'Get Started  2'!$H65,0,OFFSET(AD223,0,-1*'Get Started  2'!$H65)*'Get Started  2'!$H86/'Get Started  2'!$H82),0)</f>
        <v>0</v>
      </c>
      <c r="AE228" s="90">
        <f ca="1">IFERROR(IF(AE4&lt;'Get Started  2'!$H55,0,OFFSET(AE223,0,-1*'Get Started  2'!$H55)*'Get Started  2'!$H84/'Get Started  2'!$H82),0)+IFERROR(IF(AE4&lt;'Get Started  2'!$H65,0,OFFSET(AE223,0,-1*'Get Started  2'!$H65)*'Get Started  2'!$H86/'Get Started  2'!$H82),0)</f>
        <v>0</v>
      </c>
      <c r="AF228" s="90">
        <f ca="1">IFERROR(IF(AF4&lt;'Get Started  2'!$H55,0,OFFSET(AF223,0,-1*'Get Started  2'!$H55)*'Get Started  2'!$H84/'Get Started  2'!$H82),0)+IFERROR(IF(AF4&lt;'Get Started  2'!$H65,0,OFFSET(AF223,0,-1*'Get Started  2'!$H65)*'Get Started  2'!$H86/'Get Started  2'!$H82),0)</f>
        <v>0</v>
      </c>
      <c r="AG228" s="90">
        <f ca="1">IFERROR(IF(AG4&lt;'Get Started  2'!$H55,0,OFFSET(AG223,0,-1*'Get Started  2'!$H55)*'Get Started  2'!$H84/'Get Started  2'!$H82),0)+IFERROR(IF(AG4&lt;'Get Started  2'!$H65,0,OFFSET(AG223,0,-1*'Get Started  2'!$H65)*'Get Started  2'!$H86/'Get Started  2'!$H82),0)</f>
        <v>0</v>
      </c>
      <c r="AH228" s="90">
        <f ca="1">IFERROR(IF(AH4&lt;'Get Started  2'!$H55,0,OFFSET(AH223,0,-1*'Get Started  2'!$H55)*'Get Started  2'!$H84/'Get Started  2'!$H82),0)+IFERROR(IF(AH4&lt;'Get Started  2'!$H65,0,OFFSET(AH223,0,-1*'Get Started  2'!$H65)*'Get Started  2'!$H86/'Get Started  2'!$H82),0)</f>
        <v>0</v>
      </c>
      <c r="AI228" s="90">
        <f ca="1">IFERROR(IF(AI4&lt;'Get Started  2'!$H55,0,OFFSET(AI223,0,-1*'Get Started  2'!$H55)*'Get Started  2'!$H84/'Get Started  2'!$H82),0)+IFERROR(IF(AI4&lt;'Get Started  2'!$H65,0,OFFSET(AI223,0,-1*'Get Started  2'!$H65)*'Get Started  2'!$H86/'Get Started  2'!$H82),0)</f>
        <v>0</v>
      </c>
      <c r="AJ228" s="90">
        <f ca="1">IFERROR(IF(AJ4&lt;'Get Started  2'!$H55,0,OFFSET(AJ223,0,-1*'Get Started  2'!$H55)*'Get Started  2'!$H84/'Get Started  2'!$H82),0)+IFERROR(IF(AJ4&lt;'Get Started  2'!$H65,0,OFFSET(AJ223,0,-1*'Get Started  2'!$H65)*'Get Started  2'!$H86/'Get Started  2'!$H82),0)</f>
        <v>0</v>
      </c>
      <c r="AK228" s="90">
        <f ca="1">IFERROR(IF(AK4&lt;'Get Started  2'!$H55,0,OFFSET(AK223,0,-1*'Get Started  2'!$H55)*'Get Started  2'!$H84/'Get Started  2'!$H82),0)+IFERROR(IF(AK4&lt;'Get Started  2'!$H65,0,OFFSET(AK223,0,-1*'Get Started  2'!$H65)*'Get Started  2'!$H86/'Get Started  2'!$H82),0)</f>
        <v>0</v>
      </c>
      <c r="AL228" s="90">
        <f ca="1">IFERROR(IF(AL4&lt;'Get Started  2'!$H55,0,OFFSET(AL223,0,-1*'Get Started  2'!$H55)*'Get Started  2'!$H84/'Get Started  2'!$H82),0)+IFERROR(IF(AL4&lt;'Get Started  2'!$H65,0,OFFSET(AL223,0,-1*'Get Started  2'!$H65)*'Get Started  2'!$H86/'Get Started  2'!$H82),0)</f>
        <v>0</v>
      </c>
      <c r="AM228" s="90">
        <f ca="1">IFERROR(IF(AM4&lt;'Get Started  2'!$H55,0,OFFSET(AM223,0,-1*'Get Started  2'!$H55)*'Get Started  2'!$H84/'Get Started  2'!$H82),0)+IFERROR(IF(AM4&lt;'Get Started  2'!$H65,0,OFFSET(AM223,0,-1*'Get Started  2'!$H65)*'Get Started  2'!$H86/'Get Started  2'!$H82),0)</f>
        <v>0</v>
      </c>
      <c r="AN228" s="90">
        <f ca="1">IFERROR(IF(AN4&lt;'Get Started  2'!$H55,0,OFFSET(AN223,0,-1*'Get Started  2'!$H55)*'Get Started  2'!$H84/'Get Started  2'!$H82),0)+IFERROR(IF(AN4&lt;'Get Started  2'!$H65,0,OFFSET(AN223,0,-1*'Get Started  2'!$H65)*'Get Started  2'!$H86/'Get Started  2'!$H82),0)</f>
        <v>0</v>
      </c>
      <c r="AO228" s="90">
        <f ca="1">IFERROR(IF(AO4&lt;'Get Started  2'!$H55,0,OFFSET(AO223,0,-1*'Get Started  2'!$H55)*'Get Started  2'!$H84/'Get Started  2'!$H82),0)+IFERROR(IF(AO4&lt;'Get Started  2'!$H65,0,OFFSET(AO223,0,-1*'Get Started  2'!$H65)*'Get Started  2'!$H86/'Get Started  2'!$H82),0)</f>
        <v>0</v>
      </c>
      <c r="AP228" s="90">
        <f ca="1">IFERROR(IF(AP4&lt;'Get Started  2'!$H55,0,OFFSET(AP223,0,-1*'Get Started  2'!$H55)*'Get Started  2'!$H84/'Get Started  2'!$H82),0)+IFERROR(IF(AP4&lt;'Get Started  2'!$H65,0,OFFSET(AP223,0,-1*'Get Started  2'!$H65)*'Get Started  2'!$H86/'Get Started  2'!$H82),0)</f>
        <v>0</v>
      </c>
      <c r="AQ228" s="90">
        <f ca="1">IFERROR(IF(AQ4&lt;'Get Started  2'!$H55,0,OFFSET(AQ223,0,-1*'Get Started  2'!$H55)*'Get Started  2'!$H84/'Get Started  2'!$H82),0)+IFERROR(IF(AQ4&lt;'Get Started  2'!$H65,0,OFFSET(AQ223,0,-1*'Get Started  2'!$H65)*'Get Started  2'!$H86/'Get Started  2'!$H82),0)</f>
        <v>0</v>
      </c>
      <c r="AR228" s="90">
        <f ca="1">IFERROR(IF(AR4&lt;'Get Started  2'!$H55,0,OFFSET(AR223,0,-1*'Get Started  2'!$H55)*'Get Started  2'!$H84/'Get Started  2'!$H82),0)+IFERROR(IF(AR4&lt;'Get Started  2'!$H65,0,OFFSET(AR223,0,-1*'Get Started  2'!$H65)*'Get Started  2'!$H86/'Get Started  2'!$H82),0)</f>
        <v>0</v>
      </c>
      <c r="AS228" s="90">
        <f ca="1">IFERROR(IF(AS4&lt;'Get Started  2'!$H55,0,OFFSET(AS223,0,-1*'Get Started  2'!$H55)*'Get Started  2'!$H84/'Get Started  2'!$H82),0)+IFERROR(IF(AS4&lt;'Get Started  2'!$H65,0,OFFSET(AS223,0,-1*'Get Started  2'!$H65)*'Get Started  2'!$H86/'Get Started  2'!$H82),0)</f>
        <v>0</v>
      </c>
      <c r="AT228" s="90">
        <f ca="1">IFERROR(IF(AT4&lt;'Get Started  2'!$H55,0,OFFSET(AT223,0,-1*'Get Started  2'!$H55)*'Get Started  2'!$H84/'Get Started  2'!$H82),0)+IFERROR(IF(AT4&lt;'Get Started  2'!$H65,0,OFFSET(AT223,0,-1*'Get Started  2'!$H65)*'Get Started  2'!$H86/'Get Started  2'!$H82),0)</f>
        <v>0</v>
      </c>
      <c r="AU228" s="90">
        <f ca="1">IFERROR(IF(AU4&lt;'Get Started  2'!$H55,0,OFFSET(AU223,0,-1*'Get Started  2'!$H55)*'Get Started  2'!$H84/'Get Started  2'!$H82),0)+IFERROR(IF(AU4&lt;'Get Started  2'!$H65,0,OFFSET(AU223,0,-1*'Get Started  2'!$H65)*'Get Started  2'!$H86/'Get Started  2'!$H82),0)</f>
        <v>0</v>
      </c>
      <c r="AV228" s="90">
        <f ca="1">IFERROR(IF(AV4&lt;'Get Started  2'!$H55,0,OFFSET(AV223,0,-1*'Get Started  2'!$H55)*'Get Started  2'!$H84/'Get Started  2'!$H82),0)+IFERROR(IF(AV4&lt;'Get Started  2'!$H65,0,OFFSET(AV223,0,-1*'Get Started  2'!$H65)*'Get Started  2'!$H86/'Get Started  2'!$H82),0)</f>
        <v>0</v>
      </c>
      <c r="AW228" s="90">
        <f ca="1">IFERROR(IF(AW4&lt;'Get Started  2'!$H55,0,OFFSET(AW223,0,-1*'Get Started  2'!$H55)*'Get Started  2'!$H84/'Get Started  2'!$H82),0)+IFERROR(IF(AW4&lt;'Get Started  2'!$H65,0,OFFSET(AW223,0,-1*'Get Started  2'!$H65)*'Get Started  2'!$H86/'Get Started  2'!$H82),0)</f>
        <v>0</v>
      </c>
      <c r="AX228" s="90">
        <f ca="1">IFERROR(IF(AX4&lt;'Get Started  2'!$H55,0,OFFSET(AX223,0,-1*'Get Started  2'!$H55)*'Get Started  2'!$H84/'Get Started  2'!$H82),0)+IFERROR(IF(AX4&lt;'Get Started  2'!$H65,0,OFFSET(AX223,0,-1*'Get Started  2'!$H65)*'Get Started  2'!$H86/'Get Started  2'!$H82),0)</f>
        <v>0</v>
      </c>
      <c r="AY228" s="90">
        <f ca="1">IFERROR(IF(AY4&lt;'Get Started  2'!$H55,0,OFFSET(AY223,0,-1*'Get Started  2'!$H55)*'Get Started  2'!$H84/'Get Started  2'!$H82),0)+IFERROR(IF(AY4&lt;'Get Started  2'!$H65,0,OFFSET(AY223,0,-1*'Get Started  2'!$H65)*'Get Started  2'!$H86/'Get Started  2'!$H82),0)</f>
        <v>0</v>
      </c>
      <c r="AZ228" s="90">
        <f ca="1">IFERROR(IF(AZ4&lt;'Get Started  2'!$H55,0,OFFSET(AZ223,0,-1*'Get Started  2'!$H55)*'Get Started  2'!$H84/'Get Started  2'!$H82),0)+IFERROR(IF(AZ4&lt;'Get Started  2'!$H65,0,OFFSET(AZ223,0,-1*'Get Started  2'!$H65)*'Get Started  2'!$H86/'Get Started  2'!$H82),0)</f>
        <v>0</v>
      </c>
      <c r="BA228" s="90">
        <f ca="1">IFERROR(IF(BA4&lt;'Get Started  2'!$H55,0,OFFSET(BA223,0,-1*'Get Started  2'!$H55)*'Get Started  2'!$H84/'Get Started  2'!$H82),0)+IFERROR(IF(BA4&lt;'Get Started  2'!$H65,0,OFFSET(BA223,0,-1*'Get Started  2'!$H65)*'Get Started  2'!$H86/'Get Started  2'!$H82),0)</f>
        <v>0</v>
      </c>
      <c r="BB228" s="90">
        <f ca="1">IFERROR(IF(BB4&lt;'Get Started  2'!$H55,0,OFFSET(BB223,0,-1*'Get Started  2'!$H55)*'Get Started  2'!$H84/'Get Started  2'!$H82),0)+IFERROR(IF(BB4&lt;'Get Started  2'!$H65,0,OFFSET(BB223,0,-1*'Get Started  2'!$H65)*'Get Started  2'!$H86/'Get Started  2'!$H82),0)</f>
        <v>0</v>
      </c>
      <c r="BC228" s="90">
        <f ca="1">IFERROR(IF(BC4&lt;'Get Started  2'!$H55,0,OFFSET(BC223,0,-1*'Get Started  2'!$H55)*'Get Started  2'!$H84/'Get Started  2'!$H82),0)+IFERROR(IF(BC4&lt;'Get Started  2'!$H65,0,OFFSET(BC223,0,-1*'Get Started  2'!$H65)*'Get Started  2'!$H86/'Get Started  2'!$H82),0)</f>
        <v>0</v>
      </c>
      <c r="BD228" s="90">
        <f ca="1">IFERROR(IF(BD4&lt;'Get Started  2'!$H55,0,OFFSET(BD223,0,-1*'Get Started  2'!$H55)*'Get Started  2'!$H84/'Get Started  2'!$H82),0)+IFERROR(IF(BD4&lt;'Get Started  2'!$H65,0,OFFSET(BD223,0,-1*'Get Started  2'!$H65)*'Get Started  2'!$H86/'Get Started  2'!$H82),0)</f>
        <v>0</v>
      </c>
      <c r="BE228" s="90">
        <f ca="1">IFERROR(IF(BE4&lt;'Get Started  2'!$H55,0,OFFSET(BE223,0,-1*'Get Started  2'!$H55)*'Get Started  2'!$H84/'Get Started  2'!$H82),0)+IFERROR(IF(BE4&lt;'Get Started  2'!$H65,0,OFFSET(BE223,0,-1*'Get Started  2'!$H65)*'Get Started  2'!$H86/'Get Started  2'!$H82),0)</f>
        <v>0</v>
      </c>
      <c r="BF228" s="90">
        <f ca="1">IFERROR(IF(BF4&lt;'Get Started  2'!$H55,0,OFFSET(BF223,0,-1*'Get Started  2'!$H55)*'Get Started  2'!$H84/'Get Started  2'!$H82),0)+IFERROR(IF(BF4&lt;'Get Started  2'!$H65,0,OFFSET(BF223,0,-1*'Get Started  2'!$H65)*'Get Started  2'!$H86/'Get Started  2'!$H82),0)</f>
        <v>0</v>
      </c>
      <c r="BG228" s="90">
        <f ca="1">IFERROR(IF(BG4&lt;'Get Started  2'!$H55,0,OFFSET(BG223,0,-1*'Get Started  2'!$H55)*'Get Started  2'!$H84/'Get Started  2'!$H82),0)+IFERROR(IF(BG4&lt;'Get Started  2'!$H65,0,OFFSET(BG223,0,-1*'Get Started  2'!$H65)*'Get Started  2'!$H86/'Get Started  2'!$H82),0)</f>
        <v>0</v>
      </c>
      <c r="BH228" s="90">
        <f ca="1">IFERROR(IF(BH4&lt;'Get Started  2'!$H55,0,OFFSET(BH223,0,-1*'Get Started  2'!$H55)*'Get Started  2'!$H84/'Get Started  2'!$H82),0)+IFERROR(IF(BH4&lt;'Get Started  2'!$H65,0,OFFSET(BH223,0,-1*'Get Started  2'!$H65)*'Get Started  2'!$H86/'Get Started  2'!$H82),0)</f>
        <v>0</v>
      </c>
      <c r="BI228" s="90">
        <f ca="1">IFERROR(IF(BI4&lt;'Get Started  2'!$H55,0,OFFSET(BI223,0,-1*'Get Started  2'!$H55)*'Get Started  2'!$H84/'Get Started  2'!$H82),0)+IFERROR(IF(BI4&lt;'Get Started  2'!$H65,0,OFFSET(BI223,0,-1*'Get Started  2'!$H65)*'Get Started  2'!$H86/'Get Started  2'!$H82),0)</f>
        <v>0</v>
      </c>
      <c r="BJ228" s="90">
        <f ca="1">IFERROR(IF(BJ4&lt;'Get Started  2'!$H55,0,OFFSET(BJ223,0,-1*'Get Started  2'!$H55)*'Get Started  2'!$H84/'Get Started  2'!$H82),0)+IFERROR(IF(BJ4&lt;'Get Started  2'!$H65,0,OFFSET(BJ223,0,-1*'Get Started  2'!$H65)*'Get Started  2'!$H86/'Get Started  2'!$H82),0)</f>
        <v>0</v>
      </c>
      <c r="BK228" s="90">
        <f ca="1">IFERROR(IF(BK4&lt;'Get Started  2'!$H55,0,OFFSET(BK223,0,-1*'Get Started  2'!$H55)*'Get Started  2'!$H84/'Get Started  2'!$H82),0)+IFERROR(IF(BK4&lt;'Get Started  2'!$H65,0,OFFSET(BK223,0,-1*'Get Started  2'!$H65)*'Get Started  2'!$H86/'Get Started  2'!$H82),0)</f>
        <v>0</v>
      </c>
      <c r="BL228" s="90">
        <f ca="1">IFERROR(IF(BL4&lt;'Get Started  2'!$H55,0,OFFSET(BL223,0,-1*'Get Started  2'!$H55)*'Get Started  2'!$H84/'Get Started  2'!$H82),0)+IFERROR(IF(BL4&lt;'Get Started  2'!$H65,0,OFFSET(BL223,0,-1*'Get Started  2'!$H65)*'Get Started  2'!$H86/'Get Started  2'!$H82),0)</f>
        <v>0</v>
      </c>
      <c r="BM228" s="90">
        <f ca="1">IFERROR(IF(BM4&lt;'Get Started  2'!$H55,0,OFFSET(BM223,0,-1*'Get Started  2'!$H55)*'Get Started  2'!$H84/'Get Started  2'!$H82),0)+IFERROR(IF(BM4&lt;'Get Started  2'!$H65,0,OFFSET(BM223,0,-1*'Get Started  2'!$H65)*'Get Started  2'!$H86/'Get Started  2'!$H82),0)</f>
        <v>0</v>
      </c>
      <c r="BN228" s="90">
        <f ca="1">IFERROR(IF(BN4&lt;'Get Started  2'!$H55,0,OFFSET(BN223,0,-1*'Get Started  2'!$H55)*'Get Started  2'!$H84/'Get Started  2'!$H82),0)+IFERROR(IF(BN4&lt;'Get Started  2'!$H65,0,OFFSET(BN223,0,-1*'Get Started  2'!$H65)*'Get Started  2'!$H86/'Get Started  2'!$H82),0)</f>
        <v>0</v>
      </c>
      <c r="BO228" s="90">
        <f ca="1">IFERROR(IF(BO4&lt;'Get Started  2'!$H55,0,OFFSET(BO223,0,-1*'Get Started  2'!$H55)*'Get Started  2'!$H84/'Get Started  2'!$H82),0)+IFERROR(IF(BO4&lt;'Get Started  2'!$H65,0,OFFSET(BO223,0,-1*'Get Started  2'!$H65)*'Get Started  2'!$H86/'Get Started  2'!$H82),0)</f>
        <v>0</v>
      </c>
      <c r="BP228" s="90">
        <f ca="1">IFERROR(IF(BP4&lt;'Get Started  2'!$H55,0,OFFSET(BP223,0,-1*'Get Started  2'!$H55)*'Get Started  2'!$H84/'Get Started  2'!$H82),0)+IFERROR(IF(BP4&lt;'Get Started  2'!$H65,0,OFFSET(BP223,0,-1*'Get Started  2'!$H65)*'Get Started  2'!$H86/'Get Started  2'!$H82),0)</f>
        <v>0</v>
      </c>
      <c r="BQ228" s="90">
        <f ca="1">IFERROR(IF(BQ4&lt;'Get Started  2'!$H55,0,OFFSET(BQ223,0,-1*'Get Started  2'!$H55)*'Get Started  2'!$H84/'Get Started  2'!$H82),0)+IFERROR(IF(BQ4&lt;'Get Started  2'!$H65,0,OFFSET(BQ223,0,-1*'Get Started  2'!$H65)*'Get Started  2'!$H86/'Get Started  2'!$H82),0)</f>
        <v>0</v>
      </c>
      <c r="BR228" s="90">
        <f ca="1">IFERROR(IF(BR4&lt;'Get Started  2'!$H55,0,OFFSET(BR223,0,-1*'Get Started  2'!$H55)*'Get Started  2'!$H84/'Get Started  2'!$H82),0)+IFERROR(IF(BR4&lt;'Get Started  2'!$H65,0,OFFSET(BR223,0,-1*'Get Started  2'!$H65)*'Get Started  2'!$H86/'Get Started  2'!$H82),0)</f>
        <v>0</v>
      </c>
      <c r="BS228" s="90">
        <f ca="1">IFERROR(IF(BS4&lt;'Get Started  2'!$H55,0,OFFSET(BS223,0,-1*'Get Started  2'!$H55)*'Get Started  2'!$H84/'Get Started  2'!$H82),0)+IFERROR(IF(BS4&lt;'Get Started  2'!$H65,0,OFFSET(BS223,0,-1*'Get Started  2'!$H65)*'Get Started  2'!$H86/'Get Started  2'!$H82),0)</f>
        <v>0</v>
      </c>
      <c r="BT228" s="90">
        <f ca="1">IFERROR(IF(BT4&lt;'Get Started  2'!$H55,0,OFFSET(BT223,0,-1*'Get Started  2'!$H55)*'Get Started  2'!$H84/'Get Started  2'!$H82),0)+IFERROR(IF(BT4&lt;'Get Started  2'!$H65,0,OFFSET(BT223,0,-1*'Get Started  2'!$H65)*'Get Started  2'!$H86/'Get Started  2'!$H82),0)</f>
        <v>0</v>
      </c>
      <c r="BU228" s="90">
        <f ca="1">IFERROR(IF(BU4&lt;'Get Started  2'!$H55,0,OFFSET(BU223,0,-1*'Get Started  2'!$H55)*'Get Started  2'!$H84/'Get Started  2'!$H82),0)+IFERROR(IF(BU4&lt;'Get Started  2'!$H65,0,OFFSET(BU223,0,-1*'Get Started  2'!$H65)*'Get Started  2'!$H86/'Get Started  2'!$H82),0)</f>
        <v>0</v>
      </c>
      <c r="BV228" s="90">
        <f ca="1">IFERROR(IF(BV4&lt;'Get Started  2'!$H55,0,OFFSET(BV223,0,-1*'Get Started  2'!$H55)*'Get Started  2'!$H84/'Get Started  2'!$H82),0)+IFERROR(IF(BV4&lt;'Get Started  2'!$H65,0,OFFSET(BV223,0,-1*'Get Started  2'!$H65)*'Get Started  2'!$H86/'Get Started  2'!$H82),0)</f>
        <v>0</v>
      </c>
      <c r="BW228" s="90">
        <f ca="1">IFERROR(IF(BW4&lt;'Get Started  2'!$H55,0,OFFSET(BW223,0,-1*'Get Started  2'!$H55)*'Get Started  2'!$H84/'Get Started  2'!$H82),0)+IFERROR(IF(BW4&lt;'Get Started  2'!$H65,0,OFFSET(BW223,0,-1*'Get Started  2'!$H65)*'Get Started  2'!$H86/'Get Started  2'!$H82),0)</f>
        <v>0</v>
      </c>
      <c r="BX228" s="90">
        <f ca="1">IFERROR(IF(BX4&lt;'Get Started  2'!$H55,0,OFFSET(BX223,0,-1*'Get Started  2'!$H55)*'Get Started  2'!$H84/'Get Started  2'!$H82),0)+IFERROR(IF(BX4&lt;'Get Started  2'!$H65,0,OFFSET(BX223,0,-1*'Get Started  2'!$H65)*'Get Started  2'!$H86/'Get Started  2'!$H82),0)</f>
        <v>0</v>
      </c>
      <c r="BY228" s="90">
        <f ca="1">IFERROR(IF(BY4&lt;'Get Started  2'!$H55,0,OFFSET(BY223,0,-1*'Get Started  2'!$H55)*'Get Started  2'!$H84/'Get Started  2'!$H82),0)+IFERROR(IF(BY4&lt;'Get Started  2'!$H65,0,OFFSET(BY223,0,-1*'Get Started  2'!$H65)*'Get Started  2'!$H86/'Get Started  2'!$H82),0)</f>
        <v>0</v>
      </c>
      <c r="BZ228" s="90">
        <f ca="1">IFERROR(IF(BZ4&lt;'Get Started  2'!$H55,0,OFFSET(BZ223,0,-1*'Get Started  2'!$H55)*'Get Started  2'!$H84/'Get Started  2'!$H82),0)+IFERROR(IF(BZ4&lt;'Get Started  2'!$H65,0,OFFSET(BZ223,0,-1*'Get Started  2'!$H65)*'Get Started  2'!$H86/'Get Started  2'!$H82),0)</f>
        <v>0</v>
      </c>
      <c r="CA228" s="90">
        <f ca="1">IFERROR(IF(CA4&lt;'Get Started  2'!$H55,0,OFFSET(CA223,0,-1*'Get Started  2'!$H55)*'Get Started  2'!$H84/'Get Started  2'!$H82),0)+IFERROR(IF(CA4&lt;'Get Started  2'!$H65,0,OFFSET(CA223,0,-1*'Get Started  2'!$H65)*'Get Started  2'!$H86/'Get Started  2'!$H82),0)</f>
        <v>0</v>
      </c>
      <c r="CB228" s="90">
        <f ca="1">IFERROR(IF(CB4&lt;'Get Started  2'!$H55,0,OFFSET(CB223,0,-1*'Get Started  2'!$H55)*'Get Started  2'!$H84/'Get Started  2'!$H82),0)+IFERROR(IF(CB4&lt;'Get Started  2'!$H65,0,OFFSET(CB223,0,-1*'Get Started  2'!$H65)*'Get Started  2'!$H86/'Get Started  2'!$H82),0)</f>
        <v>0</v>
      </c>
      <c r="CC228" s="90">
        <f ca="1">IFERROR(IF(CC4&lt;'Get Started  2'!$H55,0,OFFSET(CC223,0,-1*'Get Started  2'!$H55)*'Get Started  2'!$H84/'Get Started  2'!$H82),0)+IFERROR(IF(CC4&lt;'Get Started  2'!$H65,0,OFFSET(CC223,0,-1*'Get Started  2'!$H65)*'Get Started  2'!$H86/'Get Started  2'!$H82),0)</f>
        <v>0</v>
      </c>
      <c r="CD228" s="90">
        <f ca="1">IFERROR(IF(CD4&lt;'Get Started  2'!$H55,0,OFFSET(CD223,0,-1*'Get Started  2'!$H55)*'Get Started  2'!$H84/'Get Started  2'!$H82),0)+IFERROR(IF(CD4&lt;'Get Started  2'!$H65,0,OFFSET(CD223,0,-1*'Get Started  2'!$H65)*'Get Started  2'!$H86/'Get Started  2'!$H82),0)</f>
        <v>0</v>
      </c>
      <c r="CE228" s="90">
        <f ca="1">IFERROR(IF(CE4&lt;'Get Started  2'!$H55,0,OFFSET(CE223,0,-1*'Get Started  2'!$H55)*'Get Started  2'!$H84/'Get Started  2'!$H82),0)+IFERROR(IF(CE4&lt;'Get Started  2'!$H65,0,OFFSET(CE223,0,-1*'Get Started  2'!$H65)*'Get Started  2'!$H86/'Get Started  2'!$H82),0)</f>
        <v>0</v>
      </c>
      <c r="CF228" s="90">
        <f ca="1">IFERROR(IF(CF4&lt;'Get Started  2'!$H55,0,OFFSET(CF223,0,-1*'Get Started  2'!$H55)*'Get Started  2'!$H84/'Get Started  2'!$H82),0)+IFERROR(IF(CF4&lt;'Get Started  2'!$H65,0,OFFSET(CF223,0,-1*'Get Started  2'!$H65)*'Get Started  2'!$H86/'Get Started  2'!$H82),0)</f>
        <v>0</v>
      </c>
      <c r="CG228" s="90">
        <f ca="1">IFERROR(IF(CG4&lt;'Get Started  2'!$H55,0,OFFSET(CG223,0,-1*'Get Started  2'!$H55)*'Get Started  2'!$H84/'Get Started  2'!$H82),0)+IFERROR(IF(CG4&lt;'Get Started  2'!$H65,0,OFFSET(CG223,0,-1*'Get Started  2'!$H65)*'Get Started  2'!$H86/'Get Started  2'!$H82),0)</f>
        <v>0</v>
      </c>
      <c r="CH228" s="90">
        <f ca="1">IFERROR(IF(CH4&lt;'Get Started  2'!$H55,0,OFFSET(CH223,0,-1*'Get Started  2'!$H55)*'Get Started  2'!$H84/'Get Started  2'!$H82),0)+IFERROR(IF(CH4&lt;'Get Started  2'!$H65,0,OFFSET(CH223,0,-1*'Get Started  2'!$H65)*'Get Started  2'!$H86/'Get Started  2'!$H82),0)</f>
        <v>0</v>
      </c>
    </row>
    <row r="229" spans="1:86" ht="13" outlineLevel="1">
      <c r="A229" s="13"/>
      <c r="B229" s="13" t="s">
        <v>329</v>
      </c>
      <c r="C229" s="13"/>
      <c r="D229" s="13" t="s">
        <v>238</v>
      </c>
      <c r="E229" s="88">
        <f t="shared" ca="1" si="170"/>
        <v>0</v>
      </c>
      <c r="F229" s="48"/>
      <c r="G229" s="90">
        <f t="shared" ref="G229:CH229" ca="1" si="175">SUM(G225:G228)</f>
        <v>0</v>
      </c>
      <c r="H229" s="90">
        <f t="shared" ca="1" si="175"/>
        <v>0</v>
      </c>
      <c r="I229" s="90">
        <f t="shared" ca="1" si="175"/>
        <v>0</v>
      </c>
      <c r="J229" s="90">
        <f t="shared" ca="1" si="175"/>
        <v>0</v>
      </c>
      <c r="K229" s="90">
        <f t="shared" ca="1" si="175"/>
        <v>0</v>
      </c>
      <c r="L229" s="90">
        <f t="shared" ca="1" si="175"/>
        <v>0</v>
      </c>
      <c r="M229" s="90">
        <f t="shared" ca="1" si="175"/>
        <v>0</v>
      </c>
      <c r="N229" s="90">
        <f t="shared" ca="1" si="175"/>
        <v>0</v>
      </c>
      <c r="O229" s="90">
        <f t="shared" ca="1" si="175"/>
        <v>0</v>
      </c>
      <c r="P229" s="90">
        <f t="shared" ca="1" si="175"/>
        <v>0</v>
      </c>
      <c r="Q229" s="90">
        <f t="shared" ca="1" si="175"/>
        <v>0</v>
      </c>
      <c r="R229" s="90">
        <f t="shared" ca="1" si="175"/>
        <v>0</v>
      </c>
      <c r="S229" s="90">
        <f t="shared" ca="1" si="175"/>
        <v>0</v>
      </c>
      <c r="T229" s="90">
        <f t="shared" ca="1" si="175"/>
        <v>0</v>
      </c>
      <c r="U229" s="90">
        <f t="shared" ca="1" si="175"/>
        <v>0</v>
      </c>
      <c r="V229" s="90">
        <f t="shared" ca="1" si="175"/>
        <v>0</v>
      </c>
      <c r="W229" s="90">
        <f t="shared" ca="1" si="175"/>
        <v>0</v>
      </c>
      <c r="X229" s="90">
        <f t="shared" ca="1" si="175"/>
        <v>0</v>
      </c>
      <c r="Y229" s="90">
        <f t="shared" ca="1" si="175"/>
        <v>0</v>
      </c>
      <c r="Z229" s="90">
        <f t="shared" ca="1" si="175"/>
        <v>0</v>
      </c>
      <c r="AA229" s="90">
        <f t="shared" ca="1" si="175"/>
        <v>0</v>
      </c>
      <c r="AB229" s="90">
        <f t="shared" ca="1" si="175"/>
        <v>0</v>
      </c>
      <c r="AC229" s="90">
        <f t="shared" ca="1" si="175"/>
        <v>0</v>
      </c>
      <c r="AD229" s="90">
        <f t="shared" ca="1" si="175"/>
        <v>0</v>
      </c>
      <c r="AE229" s="90">
        <f t="shared" ca="1" si="175"/>
        <v>0</v>
      </c>
      <c r="AF229" s="90">
        <f t="shared" ca="1" si="175"/>
        <v>0</v>
      </c>
      <c r="AG229" s="90">
        <f t="shared" ca="1" si="175"/>
        <v>0</v>
      </c>
      <c r="AH229" s="90">
        <f t="shared" ca="1" si="175"/>
        <v>0</v>
      </c>
      <c r="AI229" s="90">
        <f t="shared" ca="1" si="175"/>
        <v>0</v>
      </c>
      <c r="AJ229" s="90">
        <f t="shared" ca="1" si="175"/>
        <v>0</v>
      </c>
      <c r="AK229" s="90">
        <f t="shared" ca="1" si="175"/>
        <v>0</v>
      </c>
      <c r="AL229" s="90">
        <f t="shared" ca="1" si="175"/>
        <v>0</v>
      </c>
      <c r="AM229" s="90">
        <f t="shared" ca="1" si="175"/>
        <v>0</v>
      </c>
      <c r="AN229" s="90">
        <f t="shared" ca="1" si="175"/>
        <v>0</v>
      </c>
      <c r="AO229" s="90">
        <f t="shared" ca="1" si="175"/>
        <v>0</v>
      </c>
      <c r="AP229" s="90">
        <f t="shared" ca="1" si="175"/>
        <v>0</v>
      </c>
      <c r="AQ229" s="90">
        <f t="shared" ca="1" si="175"/>
        <v>0</v>
      </c>
      <c r="AR229" s="90">
        <f t="shared" ca="1" si="175"/>
        <v>0</v>
      </c>
      <c r="AS229" s="90">
        <f t="shared" ca="1" si="175"/>
        <v>0</v>
      </c>
      <c r="AT229" s="90">
        <f t="shared" ca="1" si="175"/>
        <v>0</v>
      </c>
      <c r="AU229" s="90">
        <f t="shared" ca="1" si="175"/>
        <v>0</v>
      </c>
      <c r="AV229" s="90">
        <f t="shared" ca="1" si="175"/>
        <v>0</v>
      </c>
      <c r="AW229" s="90">
        <f t="shared" ca="1" si="175"/>
        <v>0</v>
      </c>
      <c r="AX229" s="90">
        <f t="shared" ca="1" si="175"/>
        <v>0</v>
      </c>
      <c r="AY229" s="90">
        <f t="shared" ca="1" si="175"/>
        <v>0</v>
      </c>
      <c r="AZ229" s="90">
        <f t="shared" ca="1" si="175"/>
        <v>0</v>
      </c>
      <c r="BA229" s="90">
        <f t="shared" ca="1" si="175"/>
        <v>0</v>
      </c>
      <c r="BB229" s="90">
        <f t="shared" ca="1" si="175"/>
        <v>0</v>
      </c>
      <c r="BC229" s="90">
        <f t="shared" ca="1" si="175"/>
        <v>0</v>
      </c>
      <c r="BD229" s="90">
        <f t="shared" ca="1" si="175"/>
        <v>0</v>
      </c>
      <c r="BE229" s="90">
        <f t="shared" ca="1" si="175"/>
        <v>0</v>
      </c>
      <c r="BF229" s="90">
        <f t="shared" ca="1" si="175"/>
        <v>0</v>
      </c>
      <c r="BG229" s="90">
        <f t="shared" ca="1" si="175"/>
        <v>0</v>
      </c>
      <c r="BH229" s="90">
        <f t="shared" ca="1" si="175"/>
        <v>0</v>
      </c>
      <c r="BI229" s="90">
        <f t="shared" ca="1" si="175"/>
        <v>0</v>
      </c>
      <c r="BJ229" s="90">
        <f t="shared" ca="1" si="175"/>
        <v>0</v>
      </c>
      <c r="BK229" s="90">
        <f t="shared" ca="1" si="175"/>
        <v>0</v>
      </c>
      <c r="BL229" s="90">
        <f t="shared" ca="1" si="175"/>
        <v>0</v>
      </c>
      <c r="BM229" s="90">
        <f t="shared" ca="1" si="175"/>
        <v>0</v>
      </c>
      <c r="BN229" s="90">
        <f t="shared" ca="1" si="175"/>
        <v>0</v>
      </c>
      <c r="BO229" s="90">
        <f t="shared" ca="1" si="175"/>
        <v>0</v>
      </c>
      <c r="BP229" s="90">
        <f t="shared" ca="1" si="175"/>
        <v>0</v>
      </c>
      <c r="BQ229" s="90">
        <f t="shared" ca="1" si="175"/>
        <v>0</v>
      </c>
      <c r="BR229" s="90">
        <f t="shared" ca="1" si="175"/>
        <v>0</v>
      </c>
      <c r="BS229" s="90">
        <f t="shared" ca="1" si="175"/>
        <v>0</v>
      </c>
      <c r="BT229" s="90">
        <f t="shared" ca="1" si="175"/>
        <v>0</v>
      </c>
      <c r="BU229" s="90">
        <f t="shared" ca="1" si="175"/>
        <v>0</v>
      </c>
      <c r="BV229" s="90">
        <f t="shared" ca="1" si="175"/>
        <v>0</v>
      </c>
      <c r="BW229" s="90">
        <f t="shared" ca="1" si="175"/>
        <v>0</v>
      </c>
      <c r="BX229" s="90">
        <f t="shared" ca="1" si="175"/>
        <v>0</v>
      </c>
      <c r="BY229" s="90">
        <f t="shared" ca="1" si="175"/>
        <v>0</v>
      </c>
      <c r="BZ229" s="90">
        <f t="shared" ca="1" si="175"/>
        <v>0</v>
      </c>
      <c r="CA229" s="90">
        <f t="shared" ca="1" si="175"/>
        <v>0</v>
      </c>
      <c r="CB229" s="90">
        <f t="shared" ca="1" si="175"/>
        <v>0</v>
      </c>
      <c r="CC229" s="90">
        <f t="shared" ca="1" si="175"/>
        <v>0</v>
      </c>
      <c r="CD229" s="90">
        <f t="shared" ca="1" si="175"/>
        <v>0</v>
      </c>
      <c r="CE229" s="90">
        <f t="shared" ca="1" si="175"/>
        <v>0</v>
      </c>
      <c r="CF229" s="90">
        <f t="shared" ca="1" si="175"/>
        <v>0</v>
      </c>
      <c r="CG229" s="90">
        <f t="shared" ca="1" si="175"/>
        <v>0</v>
      </c>
      <c r="CH229" s="90">
        <f t="shared" ca="1" si="175"/>
        <v>0</v>
      </c>
    </row>
    <row r="230" spans="1:86" ht="13" outlineLevel="1">
      <c r="A230" s="13"/>
      <c r="B230" s="13" t="s">
        <v>330</v>
      </c>
      <c r="C230" s="13"/>
      <c r="D230" s="13" t="s">
        <v>238</v>
      </c>
      <c r="E230" s="88">
        <f t="shared" ca="1" si="170"/>
        <v>0.50055347222222246</v>
      </c>
      <c r="F230" s="48"/>
      <c r="G230" s="90">
        <f ca="1">G220*IFERROR('Get Started  2'!$E42/'Get Started  2'!$E43,0)</f>
        <v>2.967708333333334E-2</v>
      </c>
      <c r="H230" s="90">
        <f ca="1">H220*IFERROR('Get Started  2'!$E42/'Get Started  2'!$E43,0)</f>
        <v>2.967708333333334E-2</v>
      </c>
      <c r="I230" s="90">
        <f ca="1">I220*IFERROR('Get Started  2'!$E42/'Get Started  2'!$E43,0)</f>
        <v>2.967708333333334E-2</v>
      </c>
      <c r="J230" s="90">
        <f ca="1">J220*IFERROR('Get Started  2'!$E42/'Get Started  2'!$E43,0)</f>
        <v>2.967708333333334E-2</v>
      </c>
      <c r="K230" s="90">
        <f ca="1">K220*IFERROR('Get Started  2'!$E42/'Get Started  2'!$E43,0)</f>
        <v>2.967708333333334E-2</v>
      </c>
      <c r="L230" s="90">
        <f ca="1">L220*IFERROR('Get Started  2'!$E42/'Get Started  2'!$E43,0)</f>
        <v>2.967708333333334E-2</v>
      </c>
      <c r="M230" s="90">
        <f ca="1">M220*IFERROR('Get Started  2'!$E42/'Get Started  2'!$E43,0)</f>
        <v>2.967708333333334E-2</v>
      </c>
      <c r="N230" s="90">
        <f ca="1">N220*IFERROR('Get Started  2'!$E42/'Get Started  2'!$E43,0)</f>
        <v>2.967708333333334E-2</v>
      </c>
      <c r="O230" s="90">
        <f ca="1">O220*IFERROR('Get Started  2'!$E42/'Get Started  2'!$E43,0)</f>
        <v>2.967708333333334E-2</v>
      </c>
      <c r="P230" s="90">
        <f ca="1">P220*IFERROR('Get Started  2'!$E42/'Get Started  2'!$E43,0)</f>
        <v>2.967708333333334E-2</v>
      </c>
      <c r="Q230" s="90">
        <f ca="1">Q220*IFERROR('Get Started  2'!$E42/'Get Started  2'!$E43,0)</f>
        <v>2.967708333333334E-2</v>
      </c>
      <c r="R230" s="90">
        <f ca="1">R220*IFERROR('Get Started  2'!$E42/'Get Started  2'!$E43,0)</f>
        <v>2.967708333333334E-2</v>
      </c>
      <c r="S230" s="90">
        <f ca="1">S220*IFERROR('Get Started  2'!$E42/'Get Started  2'!$E43,0)</f>
        <v>3.6107118055555561E-2</v>
      </c>
      <c r="T230" s="90">
        <f ca="1">T220*IFERROR('Get Started  2'!$E42/'Get Started  2'!$E43,0)</f>
        <v>3.6107118055555561E-2</v>
      </c>
      <c r="U230" s="90">
        <f ca="1">U220*IFERROR('Get Started  2'!$E42/'Get Started  2'!$E43,0)</f>
        <v>3.6107118055555561E-2</v>
      </c>
      <c r="V230" s="90">
        <f ca="1">V220*IFERROR('Get Started  2'!$E42/'Get Started  2'!$E43,0)</f>
        <v>3.6107118055555561E-2</v>
      </c>
      <c r="W230" s="90">
        <f ca="1">W220*IFERROR('Get Started  2'!$E42/'Get Started  2'!$E43,0)</f>
        <v>0</v>
      </c>
      <c r="X230" s="90">
        <f ca="1">X220*IFERROR('Get Started  2'!$E42/'Get Started  2'!$E43,0)</f>
        <v>0</v>
      </c>
      <c r="Y230" s="90">
        <f ca="1">Y220*IFERROR('Get Started  2'!$E42/'Get Started  2'!$E43,0)</f>
        <v>0</v>
      </c>
      <c r="Z230" s="90">
        <f ca="1">Z220*IFERROR('Get Started  2'!$E42/'Get Started  2'!$E43,0)</f>
        <v>0</v>
      </c>
      <c r="AA230" s="90">
        <f ca="1">AA220*IFERROR('Get Started  2'!$E42/'Get Started  2'!$E43,0)</f>
        <v>0</v>
      </c>
      <c r="AB230" s="90">
        <f ca="1">AB220*IFERROR('Get Started  2'!$E42/'Get Started  2'!$E43,0)</f>
        <v>0</v>
      </c>
      <c r="AC230" s="90">
        <f ca="1">AC220*IFERROR('Get Started  2'!$E42/'Get Started  2'!$E43,0)</f>
        <v>0</v>
      </c>
      <c r="AD230" s="90">
        <f ca="1">AD220*IFERROR('Get Started  2'!$E42/'Get Started  2'!$E43,0)</f>
        <v>0</v>
      </c>
      <c r="AE230" s="90">
        <f ca="1">AE220*IFERROR('Get Started  2'!$E42/'Get Started  2'!$E43,0)</f>
        <v>0</v>
      </c>
      <c r="AF230" s="90">
        <f ca="1">AF220*IFERROR('Get Started  2'!$E42/'Get Started  2'!$E43,0)</f>
        <v>0</v>
      </c>
      <c r="AG230" s="90">
        <f ca="1">AG220*IFERROR('Get Started  2'!$E42/'Get Started  2'!$E43,0)</f>
        <v>0</v>
      </c>
      <c r="AH230" s="90">
        <f ca="1">AH220*IFERROR('Get Started  2'!$E42/'Get Started  2'!$E43,0)</f>
        <v>0</v>
      </c>
      <c r="AI230" s="90">
        <f ca="1">AI220*IFERROR('Get Started  2'!$E42/'Get Started  2'!$E43,0)</f>
        <v>0</v>
      </c>
      <c r="AJ230" s="90">
        <f ca="1">AJ220*IFERROR('Get Started  2'!$E42/'Get Started  2'!$E43,0)</f>
        <v>0</v>
      </c>
      <c r="AK230" s="90">
        <f ca="1">AK220*IFERROR('Get Started  2'!$E42/'Get Started  2'!$E43,0)</f>
        <v>0</v>
      </c>
      <c r="AL230" s="90">
        <f ca="1">AL220*IFERROR('Get Started  2'!$E42/'Get Started  2'!$E43,0)</f>
        <v>0</v>
      </c>
      <c r="AM230" s="90">
        <f ca="1">AM220*IFERROR('Get Started  2'!$E42/'Get Started  2'!$E43,0)</f>
        <v>0</v>
      </c>
      <c r="AN230" s="90">
        <f ca="1">AN220*IFERROR('Get Started  2'!$E42/'Get Started  2'!$E43,0)</f>
        <v>0</v>
      </c>
      <c r="AO230" s="90">
        <f ca="1">AO220*IFERROR('Get Started  2'!$E42/'Get Started  2'!$E43,0)</f>
        <v>0</v>
      </c>
      <c r="AP230" s="90">
        <f ca="1">AP220*IFERROR('Get Started  2'!$E42/'Get Started  2'!$E43,0)</f>
        <v>0</v>
      </c>
      <c r="AQ230" s="90">
        <f ca="1">AQ220*IFERROR('Get Started  2'!$E42/'Get Started  2'!$E43,0)</f>
        <v>0</v>
      </c>
      <c r="AR230" s="90">
        <f ca="1">AR220*IFERROR('Get Started  2'!$E42/'Get Started  2'!$E43,0)</f>
        <v>0</v>
      </c>
      <c r="AS230" s="90">
        <f ca="1">AS220*IFERROR('Get Started  2'!$E42/'Get Started  2'!$E43,0)</f>
        <v>0</v>
      </c>
      <c r="AT230" s="90">
        <f ca="1">AT220*IFERROR('Get Started  2'!$E42/'Get Started  2'!$E43,0)</f>
        <v>0</v>
      </c>
      <c r="AU230" s="90">
        <f ca="1">AU220*IFERROR('Get Started  2'!$E42/'Get Started  2'!$E43,0)</f>
        <v>0</v>
      </c>
      <c r="AV230" s="90">
        <f ca="1">AV220*IFERROR('Get Started  2'!$E42/'Get Started  2'!$E43,0)</f>
        <v>0</v>
      </c>
      <c r="AW230" s="90">
        <f ca="1">AW220*IFERROR('Get Started  2'!$E42/'Get Started  2'!$E43,0)</f>
        <v>0</v>
      </c>
      <c r="AX230" s="90">
        <f ca="1">AX220*IFERROR('Get Started  2'!$E42/'Get Started  2'!$E43,0)</f>
        <v>0</v>
      </c>
      <c r="AY230" s="90">
        <f ca="1">AY220*IFERROR('Get Started  2'!$E42/'Get Started  2'!$E43,0)</f>
        <v>0</v>
      </c>
      <c r="AZ230" s="90">
        <f ca="1">AZ220*IFERROR('Get Started  2'!$E42/'Get Started  2'!$E43,0)</f>
        <v>0</v>
      </c>
      <c r="BA230" s="90">
        <f ca="1">BA220*IFERROR('Get Started  2'!$E42/'Get Started  2'!$E43,0)</f>
        <v>0</v>
      </c>
      <c r="BB230" s="90">
        <f ca="1">BB220*IFERROR('Get Started  2'!$E42/'Get Started  2'!$E43,0)</f>
        <v>0</v>
      </c>
      <c r="BC230" s="90">
        <f ca="1">BC220*IFERROR('Get Started  2'!$E42/'Get Started  2'!$E43,0)</f>
        <v>0</v>
      </c>
      <c r="BD230" s="90">
        <f ca="1">BD220*IFERROR('Get Started  2'!$E42/'Get Started  2'!$E43,0)</f>
        <v>0</v>
      </c>
      <c r="BE230" s="90">
        <f ca="1">BE220*IFERROR('Get Started  2'!$E42/'Get Started  2'!$E43,0)</f>
        <v>0</v>
      </c>
      <c r="BF230" s="90">
        <f ca="1">BF220*IFERROR('Get Started  2'!$E42/'Get Started  2'!$E43,0)</f>
        <v>0</v>
      </c>
      <c r="BG230" s="90">
        <f ca="1">BG220*IFERROR('Get Started  2'!$E42/'Get Started  2'!$E43,0)</f>
        <v>0</v>
      </c>
      <c r="BH230" s="90">
        <f ca="1">BH220*IFERROR('Get Started  2'!$E42/'Get Started  2'!$E43,0)</f>
        <v>0</v>
      </c>
      <c r="BI230" s="90">
        <f ca="1">BI220*IFERROR('Get Started  2'!$E42/'Get Started  2'!$E43,0)</f>
        <v>0</v>
      </c>
      <c r="BJ230" s="90">
        <f ca="1">BJ220*IFERROR('Get Started  2'!$E42/'Get Started  2'!$E43,0)</f>
        <v>0</v>
      </c>
      <c r="BK230" s="90">
        <f ca="1">BK220*IFERROR('Get Started  2'!$E42/'Get Started  2'!$E43,0)</f>
        <v>0</v>
      </c>
      <c r="BL230" s="90">
        <f ca="1">BL220*IFERROR('Get Started  2'!$E42/'Get Started  2'!$E43,0)</f>
        <v>0</v>
      </c>
      <c r="BM230" s="90">
        <f ca="1">BM220*IFERROR('Get Started  2'!$E42/'Get Started  2'!$E43,0)</f>
        <v>0</v>
      </c>
      <c r="BN230" s="90">
        <f ca="1">BN220*IFERROR('Get Started  2'!$E42/'Get Started  2'!$E43,0)</f>
        <v>0</v>
      </c>
      <c r="BO230" s="90">
        <f ca="1">BO220*IFERROR('Get Started  2'!$E42/'Get Started  2'!$E43,0)</f>
        <v>0</v>
      </c>
      <c r="BP230" s="90">
        <f ca="1">BP220*IFERROR('Get Started  2'!$E42/'Get Started  2'!$E43,0)</f>
        <v>0</v>
      </c>
      <c r="BQ230" s="90">
        <f ca="1">BQ220*IFERROR('Get Started  2'!$E42/'Get Started  2'!$E43,0)</f>
        <v>0</v>
      </c>
      <c r="BR230" s="90">
        <f ca="1">BR220*IFERROR('Get Started  2'!$E42/'Get Started  2'!$E43,0)</f>
        <v>0</v>
      </c>
      <c r="BS230" s="90">
        <f ca="1">BS220*IFERROR('Get Started  2'!$E42/'Get Started  2'!$E43,0)</f>
        <v>0</v>
      </c>
      <c r="BT230" s="90">
        <f ca="1">BT220*IFERROR('Get Started  2'!$E42/'Get Started  2'!$E43,0)</f>
        <v>0</v>
      </c>
      <c r="BU230" s="90">
        <f ca="1">BU220*IFERROR('Get Started  2'!$E42/'Get Started  2'!$E43,0)</f>
        <v>0</v>
      </c>
      <c r="BV230" s="90">
        <f ca="1">BV220*IFERROR('Get Started  2'!$E42/'Get Started  2'!$E43,0)</f>
        <v>0</v>
      </c>
      <c r="BW230" s="90">
        <f ca="1">BW220*IFERROR('Get Started  2'!$E42/'Get Started  2'!$E43,0)</f>
        <v>0</v>
      </c>
      <c r="BX230" s="90">
        <f ca="1">BX220*IFERROR('Get Started  2'!$E42/'Get Started  2'!$E43,0)</f>
        <v>0</v>
      </c>
      <c r="BY230" s="90">
        <f ca="1">BY220*IFERROR('Get Started  2'!$E42/'Get Started  2'!$E43,0)</f>
        <v>0</v>
      </c>
      <c r="BZ230" s="90">
        <f ca="1">BZ220*IFERROR('Get Started  2'!$E42/'Get Started  2'!$E43,0)</f>
        <v>0</v>
      </c>
      <c r="CA230" s="90">
        <f ca="1">CA220*IFERROR('Get Started  2'!$E42/'Get Started  2'!$E43,0)</f>
        <v>0</v>
      </c>
      <c r="CB230" s="90">
        <f ca="1">CB220*IFERROR('Get Started  2'!$E42/'Get Started  2'!$E43,0)</f>
        <v>0</v>
      </c>
      <c r="CC230" s="90">
        <f ca="1">CC220*IFERROR('Get Started  2'!$E42/'Get Started  2'!$E43,0)</f>
        <v>0</v>
      </c>
      <c r="CD230" s="90">
        <f ca="1">CD220*IFERROR('Get Started  2'!$E42/'Get Started  2'!$E43,0)</f>
        <v>0</v>
      </c>
      <c r="CE230" s="90">
        <f ca="1">CE220*IFERROR('Get Started  2'!$E42/'Get Started  2'!$E43,0)</f>
        <v>0</v>
      </c>
      <c r="CF230" s="90">
        <f ca="1">CF220*IFERROR('Get Started  2'!$E42/'Get Started  2'!$E43,0)</f>
        <v>0</v>
      </c>
      <c r="CG230" s="90">
        <f ca="1">CG220*IFERROR('Get Started  2'!$E42/'Get Started  2'!$E43,0)</f>
        <v>0</v>
      </c>
      <c r="CH230" s="90">
        <f ca="1">CH220*IFERROR('Get Started  2'!$E42/'Get Started  2'!$E43,0)</f>
        <v>0</v>
      </c>
    </row>
    <row r="231" spans="1:86" ht="13" outlineLevel="1">
      <c r="A231" s="13"/>
      <c r="B231" s="13" t="s">
        <v>330</v>
      </c>
      <c r="C231" s="13"/>
      <c r="D231" s="13" t="s">
        <v>238</v>
      </c>
      <c r="E231" s="88">
        <f t="shared" ca="1" si="170"/>
        <v>0.17587013888888889</v>
      </c>
      <c r="F231" s="48"/>
      <c r="G231" s="90">
        <f ca="1">G221*IFERROR('Get Started  2'!$F42/'Get Started  2'!$F43,0)</f>
        <v>1.0427083333333333E-2</v>
      </c>
      <c r="H231" s="90">
        <f ca="1">H221*IFERROR('Get Started  2'!$F42/'Get Started  2'!$F43,0)</f>
        <v>1.0427083333333333E-2</v>
      </c>
      <c r="I231" s="90">
        <f ca="1">I221*IFERROR('Get Started  2'!$F42/'Get Started  2'!$F43,0)</f>
        <v>1.0427083333333333E-2</v>
      </c>
      <c r="J231" s="90">
        <f ca="1">J221*IFERROR('Get Started  2'!$F42/'Get Started  2'!$F43,0)</f>
        <v>1.0427083333333333E-2</v>
      </c>
      <c r="K231" s="90">
        <f ca="1">K221*IFERROR('Get Started  2'!$F42/'Get Started  2'!$F43,0)</f>
        <v>1.0427083333333333E-2</v>
      </c>
      <c r="L231" s="90">
        <f ca="1">L221*IFERROR('Get Started  2'!$F42/'Get Started  2'!$F43,0)</f>
        <v>1.0427083333333333E-2</v>
      </c>
      <c r="M231" s="90">
        <f ca="1">M221*IFERROR('Get Started  2'!$F42/'Get Started  2'!$F43,0)</f>
        <v>1.0427083333333333E-2</v>
      </c>
      <c r="N231" s="90">
        <f ca="1">N221*IFERROR('Get Started  2'!$F42/'Get Started  2'!$F43,0)</f>
        <v>1.0427083333333333E-2</v>
      </c>
      <c r="O231" s="90">
        <f ca="1">O221*IFERROR('Get Started  2'!$F42/'Get Started  2'!$F43,0)</f>
        <v>1.0427083333333333E-2</v>
      </c>
      <c r="P231" s="90">
        <f ca="1">P221*IFERROR('Get Started  2'!$F42/'Get Started  2'!$F43,0)</f>
        <v>1.0427083333333333E-2</v>
      </c>
      <c r="Q231" s="90">
        <f ca="1">Q221*IFERROR('Get Started  2'!$F42/'Get Started  2'!$F43,0)</f>
        <v>1.0427083333333333E-2</v>
      </c>
      <c r="R231" s="90">
        <f ca="1">R221*IFERROR('Get Started  2'!$F42/'Get Started  2'!$F43,0)</f>
        <v>1.0427083333333333E-2</v>
      </c>
      <c r="S231" s="90">
        <f ca="1">S221*IFERROR('Get Started  2'!$F42/'Get Started  2'!$F43,0)</f>
        <v>1.2686284722222222E-2</v>
      </c>
      <c r="T231" s="90">
        <f ca="1">T221*IFERROR('Get Started  2'!$F42/'Get Started  2'!$F43,0)</f>
        <v>1.2686284722222222E-2</v>
      </c>
      <c r="U231" s="90">
        <f ca="1">U221*IFERROR('Get Started  2'!$F42/'Get Started  2'!$F43,0)</f>
        <v>1.2686284722222222E-2</v>
      </c>
      <c r="V231" s="90">
        <f ca="1">V221*IFERROR('Get Started  2'!$F42/'Get Started  2'!$F43,0)</f>
        <v>1.2686284722222222E-2</v>
      </c>
      <c r="W231" s="90">
        <f ca="1">W221*IFERROR('Get Started  2'!$F42/'Get Started  2'!$F43,0)</f>
        <v>0</v>
      </c>
      <c r="X231" s="90">
        <f ca="1">X221*IFERROR('Get Started  2'!$F42/'Get Started  2'!$F43,0)</f>
        <v>0</v>
      </c>
      <c r="Y231" s="90">
        <f ca="1">Y221*IFERROR('Get Started  2'!$F42/'Get Started  2'!$F43,0)</f>
        <v>0</v>
      </c>
      <c r="Z231" s="90">
        <f ca="1">Z221*IFERROR('Get Started  2'!$F42/'Get Started  2'!$F43,0)</f>
        <v>0</v>
      </c>
      <c r="AA231" s="90">
        <f ca="1">AA221*IFERROR('Get Started  2'!$F42/'Get Started  2'!$F43,0)</f>
        <v>0</v>
      </c>
      <c r="AB231" s="90">
        <f ca="1">AB221*IFERROR('Get Started  2'!$F42/'Get Started  2'!$F43,0)</f>
        <v>0</v>
      </c>
      <c r="AC231" s="90">
        <f ca="1">AC221*IFERROR('Get Started  2'!$F42/'Get Started  2'!$F43,0)</f>
        <v>0</v>
      </c>
      <c r="AD231" s="90">
        <f ca="1">AD221*IFERROR('Get Started  2'!$F42/'Get Started  2'!$F43,0)</f>
        <v>0</v>
      </c>
      <c r="AE231" s="90">
        <f ca="1">AE221*IFERROR('Get Started  2'!$F42/'Get Started  2'!$F43,0)</f>
        <v>0</v>
      </c>
      <c r="AF231" s="90">
        <f ca="1">AF221*IFERROR('Get Started  2'!$F42/'Get Started  2'!$F43,0)</f>
        <v>0</v>
      </c>
      <c r="AG231" s="90">
        <f ca="1">AG221*IFERROR('Get Started  2'!$F42/'Get Started  2'!$F43,0)</f>
        <v>0</v>
      </c>
      <c r="AH231" s="90">
        <f ca="1">AH221*IFERROR('Get Started  2'!$F42/'Get Started  2'!$F43,0)</f>
        <v>0</v>
      </c>
      <c r="AI231" s="90">
        <f ca="1">AI221*IFERROR('Get Started  2'!$F42/'Get Started  2'!$F43,0)</f>
        <v>0</v>
      </c>
      <c r="AJ231" s="90">
        <f ca="1">AJ221*IFERROR('Get Started  2'!$F42/'Get Started  2'!$F43,0)</f>
        <v>0</v>
      </c>
      <c r="AK231" s="90">
        <f ca="1">AK221*IFERROR('Get Started  2'!$F42/'Get Started  2'!$F43,0)</f>
        <v>0</v>
      </c>
      <c r="AL231" s="90">
        <f ca="1">AL221*IFERROR('Get Started  2'!$F42/'Get Started  2'!$F43,0)</f>
        <v>0</v>
      </c>
      <c r="AM231" s="90">
        <f ca="1">AM221*IFERROR('Get Started  2'!$F42/'Get Started  2'!$F43,0)</f>
        <v>0</v>
      </c>
      <c r="AN231" s="90">
        <f ca="1">AN221*IFERROR('Get Started  2'!$F42/'Get Started  2'!$F43,0)</f>
        <v>0</v>
      </c>
      <c r="AO231" s="90">
        <f ca="1">AO221*IFERROR('Get Started  2'!$F42/'Get Started  2'!$F43,0)</f>
        <v>0</v>
      </c>
      <c r="AP231" s="90">
        <f ca="1">AP221*IFERROR('Get Started  2'!$F42/'Get Started  2'!$F43,0)</f>
        <v>0</v>
      </c>
      <c r="AQ231" s="90">
        <f ca="1">AQ221*IFERROR('Get Started  2'!$F42/'Get Started  2'!$F43,0)</f>
        <v>0</v>
      </c>
      <c r="AR231" s="90">
        <f ca="1">AR221*IFERROR('Get Started  2'!$F42/'Get Started  2'!$F43,0)</f>
        <v>0</v>
      </c>
      <c r="AS231" s="90">
        <f ca="1">AS221*IFERROR('Get Started  2'!$F42/'Get Started  2'!$F43,0)</f>
        <v>0</v>
      </c>
      <c r="AT231" s="90">
        <f ca="1">AT221*IFERROR('Get Started  2'!$F42/'Get Started  2'!$F43,0)</f>
        <v>0</v>
      </c>
      <c r="AU231" s="90">
        <f ca="1">AU221*IFERROR('Get Started  2'!$F42/'Get Started  2'!$F43,0)</f>
        <v>0</v>
      </c>
      <c r="AV231" s="90">
        <f ca="1">AV221*IFERROR('Get Started  2'!$F42/'Get Started  2'!$F43,0)</f>
        <v>0</v>
      </c>
      <c r="AW231" s="90">
        <f ca="1">AW221*IFERROR('Get Started  2'!$F42/'Get Started  2'!$F43,0)</f>
        <v>0</v>
      </c>
      <c r="AX231" s="90">
        <f ca="1">AX221*IFERROR('Get Started  2'!$F42/'Get Started  2'!$F43,0)</f>
        <v>0</v>
      </c>
      <c r="AY231" s="90">
        <f ca="1">AY221*IFERROR('Get Started  2'!$F42/'Get Started  2'!$F43,0)</f>
        <v>0</v>
      </c>
      <c r="AZ231" s="90">
        <f ca="1">AZ221*IFERROR('Get Started  2'!$F42/'Get Started  2'!$F43,0)</f>
        <v>0</v>
      </c>
      <c r="BA231" s="90">
        <f ca="1">BA221*IFERROR('Get Started  2'!$F42/'Get Started  2'!$F43,0)</f>
        <v>0</v>
      </c>
      <c r="BB231" s="90">
        <f ca="1">BB221*IFERROR('Get Started  2'!$F42/'Get Started  2'!$F43,0)</f>
        <v>0</v>
      </c>
      <c r="BC231" s="90">
        <f ca="1">BC221*IFERROR('Get Started  2'!$F42/'Get Started  2'!$F43,0)</f>
        <v>0</v>
      </c>
      <c r="BD231" s="90">
        <f ca="1">BD221*IFERROR('Get Started  2'!$F42/'Get Started  2'!$F43,0)</f>
        <v>0</v>
      </c>
      <c r="BE231" s="90">
        <f ca="1">BE221*IFERROR('Get Started  2'!$F42/'Get Started  2'!$F43,0)</f>
        <v>0</v>
      </c>
      <c r="BF231" s="90">
        <f ca="1">BF221*IFERROR('Get Started  2'!$F42/'Get Started  2'!$F43,0)</f>
        <v>0</v>
      </c>
      <c r="BG231" s="90">
        <f ca="1">BG221*IFERROR('Get Started  2'!$F42/'Get Started  2'!$F43,0)</f>
        <v>0</v>
      </c>
      <c r="BH231" s="90">
        <f ca="1">BH221*IFERROR('Get Started  2'!$F42/'Get Started  2'!$F43,0)</f>
        <v>0</v>
      </c>
      <c r="BI231" s="90">
        <f ca="1">BI221*IFERROR('Get Started  2'!$F42/'Get Started  2'!$F43,0)</f>
        <v>0</v>
      </c>
      <c r="BJ231" s="90">
        <f ca="1">BJ221*IFERROR('Get Started  2'!$F42/'Get Started  2'!$F43,0)</f>
        <v>0</v>
      </c>
      <c r="BK231" s="90">
        <f ca="1">BK221*IFERROR('Get Started  2'!$F42/'Get Started  2'!$F43,0)</f>
        <v>0</v>
      </c>
      <c r="BL231" s="90">
        <f ca="1">BL221*IFERROR('Get Started  2'!$F42/'Get Started  2'!$F43,0)</f>
        <v>0</v>
      </c>
      <c r="BM231" s="90">
        <f ca="1">BM221*IFERROR('Get Started  2'!$F42/'Get Started  2'!$F43,0)</f>
        <v>0</v>
      </c>
      <c r="BN231" s="90">
        <f ca="1">BN221*IFERROR('Get Started  2'!$F42/'Get Started  2'!$F43,0)</f>
        <v>0</v>
      </c>
      <c r="BO231" s="90">
        <f ca="1">BO221*IFERROR('Get Started  2'!$F42/'Get Started  2'!$F43,0)</f>
        <v>0</v>
      </c>
      <c r="BP231" s="90">
        <f ca="1">BP221*IFERROR('Get Started  2'!$F42/'Get Started  2'!$F43,0)</f>
        <v>0</v>
      </c>
      <c r="BQ231" s="90">
        <f ca="1">BQ221*IFERROR('Get Started  2'!$F42/'Get Started  2'!$F43,0)</f>
        <v>0</v>
      </c>
      <c r="BR231" s="90">
        <f ca="1">BR221*IFERROR('Get Started  2'!$F42/'Get Started  2'!$F43,0)</f>
        <v>0</v>
      </c>
      <c r="BS231" s="90">
        <f ca="1">BS221*IFERROR('Get Started  2'!$F42/'Get Started  2'!$F43,0)</f>
        <v>0</v>
      </c>
      <c r="BT231" s="90">
        <f ca="1">BT221*IFERROR('Get Started  2'!$F42/'Get Started  2'!$F43,0)</f>
        <v>0</v>
      </c>
      <c r="BU231" s="90">
        <f ca="1">BU221*IFERROR('Get Started  2'!$F42/'Get Started  2'!$F43,0)</f>
        <v>0</v>
      </c>
      <c r="BV231" s="90">
        <f ca="1">BV221*IFERROR('Get Started  2'!$F42/'Get Started  2'!$F43,0)</f>
        <v>0</v>
      </c>
      <c r="BW231" s="90">
        <f ca="1">BW221*IFERROR('Get Started  2'!$F42/'Get Started  2'!$F43,0)</f>
        <v>0</v>
      </c>
      <c r="BX231" s="90">
        <f ca="1">BX221*IFERROR('Get Started  2'!$F42/'Get Started  2'!$F43,0)</f>
        <v>0</v>
      </c>
      <c r="BY231" s="90">
        <f ca="1">BY221*IFERROR('Get Started  2'!$F42/'Get Started  2'!$F43,0)</f>
        <v>0</v>
      </c>
      <c r="BZ231" s="90">
        <f ca="1">BZ221*IFERROR('Get Started  2'!$F42/'Get Started  2'!$F43,0)</f>
        <v>0</v>
      </c>
      <c r="CA231" s="90">
        <f ca="1">CA221*IFERROR('Get Started  2'!$F42/'Get Started  2'!$F43,0)</f>
        <v>0</v>
      </c>
      <c r="CB231" s="90">
        <f ca="1">CB221*IFERROR('Get Started  2'!$F42/'Get Started  2'!$F43,0)</f>
        <v>0</v>
      </c>
      <c r="CC231" s="90">
        <f ca="1">CC221*IFERROR('Get Started  2'!$F42/'Get Started  2'!$F43,0)</f>
        <v>0</v>
      </c>
      <c r="CD231" s="90">
        <f ca="1">CD221*IFERROR('Get Started  2'!$F42/'Get Started  2'!$F43,0)</f>
        <v>0</v>
      </c>
      <c r="CE231" s="90">
        <f ca="1">CE221*IFERROR('Get Started  2'!$F42/'Get Started  2'!$F43,0)</f>
        <v>0</v>
      </c>
      <c r="CF231" s="90">
        <f ca="1">CF221*IFERROR('Get Started  2'!$F42/'Get Started  2'!$F43,0)</f>
        <v>0</v>
      </c>
      <c r="CG231" s="90">
        <f ca="1">CG221*IFERROR('Get Started  2'!$F42/'Get Started  2'!$F43,0)</f>
        <v>0</v>
      </c>
      <c r="CH231" s="90">
        <f ca="1">CH221*IFERROR('Get Started  2'!$F42/'Get Started  2'!$F43,0)</f>
        <v>0</v>
      </c>
    </row>
    <row r="232" spans="1:86" ht="13" outlineLevel="1">
      <c r="A232" s="13"/>
      <c r="B232" s="13" t="s">
        <v>330</v>
      </c>
      <c r="C232" s="13"/>
      <c r="D232" s="13" t="s">
        <v>238</v>
      </c>
      <c r="E232" s="88">
        <f t="shared" ca="1" si="170"/>
        <v>8.9833333333333362E-2</v>
      </c>
      <c r="F232" s="48"/>
      <c r="G232" s="90">
        <f ca="1">G222*IFERROR('Get Started  2'!$G42/'Get Started  2'!$G43,0)</f>
        <v>5.6145833333333334E-3</v>
      </c>
      <c r="H232" s="90">
        <f ca="1">H222*IFERROR('Get Started  2'!$G42/'Get Started  2'!$G43,0)</f>
        <v>5.6145833333333334E-3</v>
      </c>
      <c r="I232" s="90">
        <f ca="1">I222*IFERROR('Get Started  2'!$G42/'Get Started  2'!$G43,0)</f>
        <v>5.6145833333333334E-3</v>
      </c>
      <c r="J232" s="90">
        <f ca="1">J222*IFERROR('Get Started  2'!$G42/'Get Started  2'!$G43,0)</f>
        <v>5.6145833333333334E-3</v>
      </c>
      <c r="K232" s="90">
        <f ca="1">K222*IFERROR('Get Started  2'!$G42/'Get Started  2'!$G43,0)</f>
        <v>5.6145833333333334E-3</v>
      </c>
      <c r="L232" s="90">
        <f ca="1">L222*IFERROR('Get Started  2'!$G42/'Get Started  2'!$G43,0)</f>
        <v>5.6145833333333334E-3</v>
      </c>
      <c r="M232" s="90">
        <f ca="1">M222*IFERROR('Get Started  2'!$G42/'Get Started  2'!$G43,0)</f>
        <v>5.6145833333333334E-3</v>
      </c>
      <c r="N232" s="90">
        <f ca="1">N222*IFERROR('Get Started  2'!$G42/'Get Started  2'!$G43,0)</f>
        <v>5.6145833333333334E-3</v>
      </c>
      <c r="O232" s="90">
        <f ca="1">O222*IFERROR('Get Started  2'!$G42/'Get Started  2'!$G43,0)</f>
        <v>5.6145833333333334E-3</v>
      </c>
      <c r="P232" s="90">
        <f ca="1">P222*IFERROR('Get Started  2'!$G42/'Get Started  2'!$G43,0)</f>
        <v>5.6145833333333334E-3</v>
      </c>
      <c r="Q232" s="90">
        <f ca="1">Q222*IFERROR('Get Started  2'!$G42/'Get Started  2'!$G43,0)</f>
        <v>5.6145833333333334E-3</v>
      </c>
      <c r="R232" s="90">
        <f ca="1">R222*IFERROR('Get Started  2'!$G42/'Get Started  2'!$G43,0)</f>
        <v>5.6145833333333334E-3</v>
      </c>
      <c r="S232" s="90">
        <f ca="1">S222*IFERROR('Get Started  2'!$G42/'Get Started  2'!$G43,0)</f>
        <v>5.6145833333333334E-3</v>
      </c>
      <c r="T232" s="90">
        <f ca="1">T222*IFERROR('Get Started  2'!$G42/'Get Started  2'!$G43,0)</f>
        <v>5.6145833333333334E-3</v>
      </c>
      <c r="U232" s="90">
        <f ca="1">U222*IFERROR('Get Started  2'!$G42/'Get Started  2'!$G43,0)</f>
        <v>5.6145833333333334E-3</v>
      </c>
      <c r="V232" s="90">
        <f ca="1">V222*IFERROR('Get Started  2'!$G42/'Get Started  2'!$G43,0)</f>
        <v>5.6145833333333334E-3</v>
      </c>
      <c r="W232" s="90">
        <f ca="1">W222*IFERROR('Get Started  2'!$G42/'Get Started  2'!$G43,0)</f>
        <v>0</v>
      </c>
      <c r="X232" s="90">
        <f ca="1">X222*IFERROR('Get Started  2'!$G42/'Get Started  2'!$G43,0)</f>
        <v>0</v>
      </c>
      <c r="Y232" s="90">
        <f ca="1">Y222*IFERROR('Get Started  2'!$G42/'Get Started  2'!$G43,0)</f>
        <v>0</v>
      </c>
      <c r="Z232" s="90">
        <f ca="1">Z222*IFERROR('Get Started  2'!$G42/'Get Started  2'!$G43,0)</f>
        <v>0</v>
      </c>
      <c r="AA232" s="90">
        <f ca="1">AA222*IFERROR('Get Started  2'!$G42/'Get Started  2'!$G43,0)</f>
        <v>0</v>
      </c>
      <c r="AB232" s="90">
        <f ca="1">AB222*IFERROR('Get Started  2'!$G42/'Get Started  2'!$G43,0)</f>
        <v>0</v>
      </c>
      <c r="AC232" s="90">
        <f ca="1">AC222*IFERROR('Get Started  2'!$G42/'Get Started  2'!$G43,0)</f>
        <v>0</v>
      </c>
      <c r="AD232" s="90">
        <f ca="1">AD222*IFERROR('Get Started  2'!$G42/'Get Started  2'!$G43,0)</f>
        <v>0</v>
      </c>
      <c r="AE232" s="90">
        <f ca="1">AE222*IFERROR('Get Started  2'!$G42/'Get Started  2'!$G43,0)</f>
        <v>0</v>
      </c>
      <c r="AF232" s="90">
        <f ca="1">AF222*IFERROR('Get Started  2'!$G42/'Get Started  2'!$G43,0)</f>
        <v>0</v>
      </c>
      <c r="AG232" s="90">
        <f ca="1">AG222*IFERROR('Get Started  2'!$G42/'Get Started  2'!$G43,0)</f>
        <v>0</v>
      </c>
      <c r="AH232" s="90">
        <f ca="1">AH222*IFERROR('Get Started  2'!$G42/'Get Started  2'!$G43,0)</f>
        <v>0</v>
      </c>
      <c r="AI232" s="90">
        <f ca="1">AI222*IFERROR('Get Started  2'!$G42/'Get Started  2'!$G43,0)</f>
        <v>0</v>
      </c>
      <c r="AJ232" s="90">
        <f ca="1">AJ222*IFERROR('Get Started  2'!$G42/'Get Started  2'!$G43,0)</f>
        <v>0</v>
      </c>
      <c r="AK232" s="90">
        <f ca="1">AK222*IFERROR('Get Started  2'!$G42/'Get Started  2'!$G43,0)</f>
        <v>0</v>
      </c>
      <c r="AL232" s="90">
        <f ca="1">AL222*IFERROR('Get Started  2'!$G42/'Get Started  2'!$G43,0)</f>
        <v>0</v>
      </c>
      <c r="AM232" s="90">
        <f ca="1">AM222*IFERROR('Get Started  2'!$G42/'Get Started  2'!$G43,0)</f>
        <v>0</v>
      </c>
      <c r="AN232" s="90">
        <f ca="1">AN222*IFERROR('Get Started  2'!$G42/'Get Started  2'!$G43,0)</f>
        <v>0</v>
      </c>
      <c r="AO232" s="90">
        <f ca="1">AO222*IFERROR('Get Started  2'!$G42/'Get Started  2'!$G43,0)</f>
        <v>0</v>
      </c>
      <c r="AP232" s="90">
        <f ca="1">AP222*IFERROR('Get Started  2'!$G42/'Get Started  2'!$G43,0)</f>
        <v>0</v>
      </c>
      <c r="AQ232" s="90">
        <f ca="1">AQ222*IFERROR('Get Started  2'!$G42/'Get Started  2'!$G43,0)</f>
        <v>0</v>
      </c>
      <c r="AR232" s="90">
        <f ca="1">AR222*IFERROR('Get Started  2'!$G42/'Get Started  2'!$G43,0)</f>
        <v>0</v>
      </c>
      <c r="AS232" s="90">
        <f ca="1">AS222*IFERROR('Get Started  2'!$G42/'Get Started  2'!$G43,0)</f>
        <v>0</v>
      </c>
      <c r="AT232" s="90">
        <f ca="1">AT222*IFERROR('Get Started  2'!$G42/'Get Started  2'!$G43,0)</f>
        <v>0</v>
      </c>
      <c r="AU232" s="90">
        <f ca="1">AU222*IFERROR('Get Started  2'!$G42/'Get Started  2'!$G43,0)</f>
        <v>0</v>
      </c>
      <c r="AV232" s="90">
        <f ca="1">AV222*IFERROR('Get Started  2'!$G42/'Get Started  2'!$G43,0)</f>
        <v>0</v>
      </c>
      <c r="AW232" s="90">
        <f ca="1">AW222*IFERROR('Get Started  2'!$G42/'Get Started  2'!$G43,0)</f>
        <v>0</v>
      </c>
      <c r="AX232" s="90">
        <f ca="1">AX222*IFERROR('Get Started  2'!$G42/'Get Started  2'!$G43,0)</f>
        <v>0</v>
      </c>
      <c r="AY232" s="90">
        <f ca="1">AY222*IFERROR('Get Started  2'!$G42/'Get Started  2'!$G43,0)</f>
        <v>0</v>
      </c>
      <c r="AZ232" s="90">
        <f ca="1">AZ222*IFERROR('Get Started  2'!$G42/'Get Started  2'!$G43,0)</f>
        <v>0</v>
      </c>
      <c r="BA232" s="90">
        <f ca="1">BA222*IFERROR('Get Started  2'!$G42/'Get Started  2'!$G43,0)</f>
        <v>0</v>
      </c>
      <c r="BB232" s="90">
        <f ca="1">BB222*IFERROR('Get Started  2'!$G42/'Get Started  2'!$G43,0)</f>
        <v>0</v>
      </c>
      <c r="BC232" s="90">
        <f ca="1">BC222*IFERROR('Get Started  2'!$G42/'Get Started  2'!$G43,0)</f>
        <v>0</v>
      </c>
      <c r="BD232" s="90">
        <f ca="1">BD222*IFERROR('Get Started  2'!$G42/'Get Started  2'!$G43,0)</f>
        <v>0</v>
      </c>
      <c r="BE232" s="90">
        <f ca="1">BE222*IFERROR('Get Started  2'!$G42/'Get Started  2'!$G43,0)</f>
        <v>0</v>
      </c>
      <c r="BF232" s="90">
        <f ca="1">BF222*IFERROR('Get Started  2'!$G42/'Get Started  2'!$G43,0)</f>
        <v>0</v>
      </c>
      <c r="BG232" s="90">
        <f ca="1">BG222*IFERROR('Get Started  2'!$G42/'Get Started  2'!$G43,0)</f>
        <v>0</v>
      </c>
      <c r="BH232" s="90">
        <f ca="1">BH222*IFERROR('Get Started  2'!$G42/'Get Started  2'!$G43,0)</f>
        <v>0</v>
      </c>
      <c r="BI232" s="90">
        <f ca="1">BI222*IFERROR('Get Started  2'!$G42/'Get Started  2'!$G43,0)</f>
        <v>0</v>
      </c>
      <c r="BJ232" s="90">
        <f ca="1">BJ222*IFERROR('Get Started  2'!$G42/'Get Started  2'!$G43,0)</f>
        <v>0</v>
      </c>
      <c r="BK232" s="90">
        <f ca="1">BK222*IFERROR('Get Started  2'!$G42/'Get Started  2'!$G43,0)</f>
        <v>0</v>
      </c>
      <c r="BL232" s="90">
        <f ca="1">BL222*IFERROR('Get Started  2'!$G42/'Get Started  2'!$G43,0)</f>
        <v>0</v>
      </c>
      <c r="BM232" s="90">
        <f ca="1">BM222*IFERROR('Get Started  2'!$G42/'Get Started  2'!$G43,0)</f>
        <v>0</v>
      </c>
      <c r="BN232" s="90">
        <f ca="1">BN222*IFERROR('Get Started  2'!$G42/'Get Started  2'!$G43,0)</f>
        <v>0</v>
      </c>
      <c r="BO232" s="90">
        <f ca="1">BO222*IFERROR('Get Started  2'!$G42/'Get Started  2'!$G43,0)</f>
        <v>0</v>
      </c>
      <c r="BP232" s="90">
        <f ca="1">BP222*IFERROR('Get Started  2'!$G42/'Get Started  2'!$G43,0)</f>
        <v>0</v>
      </c>
      <c r="BQ232" s="90">
        <f ca="1">BQ222*IFERROR('Get Started  2'!$G42/'Get Started  2'!$G43,0)</f>
        <v>0</v>
      </c>
      <c r="BR232" s="90">
        <f ca="1">BR222*IFERROR('Get Started  2'!$G42/'Get Started  2'!$G43,0)</f>
        <v>0</v>
      </c>
      <c r="BS232" s="90">
        <f ca="1">BS222*IFERROR('Get Started  2'!$G42/'Get Started  2'!$G43,0)</f>
        <v>0</v>
      </c>
      <c r="BT232" s="90">
        <f ca="1">BT222*IFERROR('Get Started  2'!$G42/'Get Started  2'!$G43,0)</f>
        <v>0</v>
      </c>
      <c r="BU232" s="90">
        <f ca="1">BU222*IFERROR('Get Started  2'!$G42/'Get Started  2'!$G43,0)</f>
        <v>0</v>
      </c>
      <c r="BV232" s="90">
        <f ca="1">BV222*IFERROR('Get Started  2'!$G42/'Get Started  2'!$G43,0)</f>
        <v>0</v>
      </c>
      <c r="BW232" s="90">
        <f ca="1">BW222*IFERROR('Get Started  2'!$G42/'Get Started  2'!$G43,0)</f>
        <v>0</v>
      </c>
      <c r="BX232" s="90">
        <f ca="1">BX222*IFERROR('Get Started  2'!$G42/'Get Started  2'!$G43,0)</f>
        <v>0</v>
      </c>
      <c r="BY232" s="90">
        <f ca="1">BY222*IFERROR('Get Started  2'!$G42/'Get Started  2'!$G43,0)</f>
        <v>0</v>
      </c>
      <c r="BZ232" s="90">
        <f ca="1">BZ222*IFERROR('Get Started  2'!$G42/'Get Started  2'!$G43,0)</f>
        <v>0</v>
      </c>
      <c r="CA232" s="90">
        <f ca="1">CA222*IFERROR('Get Started  2'!$G42/'Get Started  2'!$G43,0)</f>
        <v>0</v>
      </c>
      <c r="CB232" s="90">
        <f ca="1">CB222*IFERROR('Get Started  2'!$G42/'Get Started  2'!$G43,0)</f>
        <v>0</v>
      </c>
      <c r="CC232" s="90">
        <f ca="1">CC222*IFERROR('Get Started  2'!$G42/'Get Started  2'!$G43,0)</f>
        <v>0</v>
      </c>
      <c r="CD232" s="90">
        <f ca="1">CD222*IFERROR('Get Started  2'!$G42/'Get Started  2'!$G43,0)</f>
        <v>0</v>
      </c>
      <c r="CE232" s="90">
        <f ca="1">CE222*IFERROR('Get Started  2'!$G42/'Get Started  2'!$G43,0)</f>
        <v>0</v>
      </c>
      <c r="CF232" s="90">
        <f ca="1">CF222*IFERROR('Get Started  2'!$G42/'Get Started  2'!$G43,0)</f>
        <v>0</v>
      </c>
      <c r="CG232" s="90">
        <f ca="1">CG222*IFERROR('Get Started  2'!$G42/'Get Started  2'!$G43,0)</f>
        <v>0</v>
      </c>
      <c r="CH232" s="90">
        <f ca="1">CH222*IFERROR('Get Started  2'!$G42/'Get Started  2'!$G43,0)</f>
        <v>0</v>
      </c>
    </row>
    <row r="233" spans="1:86" ht="13" outlineLevel="1">
      <c r="A233" s="13"/>
      <c r="B233" s="13" t="s">
        <v>330</v>
      </c>
      <c r="C233" s="13"/>
      <c r="D233" s="13" t="s">
        <v>238</v>
      </c>
      <c r="E233" s="88">
        <f t="shared" ca="1" si="170"/>
        <v>4.0585416666666652E-2</v>
      </c>
      <c r="F233" s="48"/>
      <c r="G233" s="90">
        <f ca="1">G223*IFERROR('Get Started  2'!$H42/'Get Started  2'!$H43,0)</f>
        <v>2.4062499999999995E-3</v>
      </c>
      <c r="H233" s="90">
        <f ca="1">H223*IFERROR('Get Started  2'!$H42/'Get Started  2'!$H43,0)</f>
        <v>2.4062499999999995E-3</v>
      </c>
      <c r="I233" s="90">
        <f ca="1">I223*IFERROR('Get Started  2'!$H42/'Get Started  2'!$H43,0)</f>
        <v>2.4062499999999995E-3</v>
      </c>
      <c r="J233" s="90">
        <f ca="1">J223*IFERROR('Get Started  2'!$H42/'Get Started  2'!$H43,0)</f>
        <v>2.4062499999999995E-3</v>
      </c>
      <c r="K233" s="90">
        <f ca="1">K223*IFERROR('Get Started  2'!$H42/'Get Started  2'!$H43,0)</f>
        <v>2.4062499999999995E-3</v>
      </c>
      <c r="L233" s="90">
        <f ca="1">L223*IFERROR('Get Started  2'!$H42/'Get Started  2'!$H43,0)</f>
        <v>2.4062499999999995E-3</v>
      </c>
      <c r="M233" s="90">
        <f ca="1">M223*IFERROR('Get Started  2'!$H42/'Get Started  2'!$H43,0)</f>
        <v>2.4062499999999995E-3</v>
      </c>
      <c r="N233" s="90">
        <f ca="1">N223*IFERROR('Get Started  2'!$H42/'Get Started  2'!$H43,0)</f>
        <v>2.4062499999999995E-3</v>
      </c>
      <c r="O233" s="90">
        <f ca="1">O223*IFERROR('Get Started  2'!$H42/'Get Started  2'!$H43,0)</f>
        <v>2.4062499999999995E-3</v>
      </c>
      <c r="P233" s="90">
        <f ca="1">P223*IFERROR('Get Started  2'!$H42/'Get Started  2'!$H43,0)</f>
        <v>2.4062499999999995E-3</v>
      </c>
      <c r="Q233" s="90">
        <f ca="1">Q223*IFERROR('Get Started  2'!$H42/'Get Started  2'!$H43,0)</f>
        <v>2.4062499999999995E-3</v>
      </c>
      <c r="R233" s="90">
        <f ca="1">R223*IFERROR('Get Started  2'!$H42/'Get Started  2'!$H43,0)</f>
        <v>2.4062499999999995E-3</v>
      </c>
      <c r="S233" s="90">
        <f ca="1">S223*IFERROR('Get Started  2'!$H42/'Get Started  2'!$H43,0)</f>
        <v>2.927604166666666E-3</v>
      </c>
      <c r="T233" s="90">
        <f ca="1">T223*IFERROR('Get Started  2'!$H42/'Get Started  2'!$H43,0)</f>
        <v>2.927604166666666E-3</v>
      </c>
      <c r="U233" s="90">
        <f ca="1">U223*IFERROR('Get Started  2'!$H42/'Get Started  2'!$H43,0)</f>
        <v>2.927604166666666E-3</v>
      </c>
      <c r="V233" s="90">
        <f ca="1">V223*IFERROR('Get Started  2'!$H42/'Get Started  2'!$H43,0)</f>
        <v>2.927604166666666E-3</v>
      </c>
      <c r="W233" s="90">
        <f ca="1">W223*IFERROR('Get Started  2'!$H42/'Get Started  2'!$H43,0)</f>
        <v>0</v>
      </c>
      <c r="X233" s="90">
        <f ca="1">X223*IFERROR('Get Started  2'!$H42/'Get Started  2'!$H43,0)</f>
        <v>0</v>
      </c>
      <c r="Y233" s="90">
        <f ca="1">Y223*IFERROR('Get Started  2'!$H42/'Get Started  2'!$H43,0)</f>
        <v>0</v>
      </c>
      <c r="Z233" s="90">
        <f ca="1">Z223*IFERROR('Get Started  2'!$H42/'Get Started  2'!$H43,0)</f>
        <v>0</v>
      </c>
      <c r="AA233" s="90">
        <f ca="1">AA223*IFERROR('Get Started  2'!$H42/'Get Started  2'!$H43,0)</f>
        <v>0</v>
      </c>
      <c r="AB233" s="90">
        <f ca="1">AB223*IFERROR('Get Started  2'!$H42/'Get Started  2'!$H43,0)</f>
        <v>0</v>
      </c>
      <c r="AC233" s="90">
        <f ca="1">AC223*IFERROR('Get Started  2'!$H42/'Get Started  2'!$H43,0)</f>
        <v>0</v>
      </c>
      <c r="AD233" s="90">
        <f ca="1">AD223*IFERROR('Get Started  2'!$H42/'Get Started  2'!$H43,0)</f>
        <v>0</v>
      </c>
      <c r="AE233" s="90">
        <f ca="1">AE223*IFERROR('Get Started  2'!$H42/'Get Started  2'!$H43,0)</f>
        <v>0</v>
      </c>
      <c r="AF233" s="90">
        <f ca="1">AF223*IFERROR('Get Started  2'!$H42/'Get Started  2'!$H43,0)</f>
        <v>0</v>
      </c>
      <c r="AG233" s="90">
        <f ca="1">AG223*IFERROR('Get Started  2'!$H42/'Get Started  2'!$H43,0)</f>
        <v>0</v>
      </c>
      <c r="AH233" s="90">
        <f ca="1">AH223*IFERROR('Get Started  2'!$H42/'Get Started  2'!$H43,0)</f>
        <v>0</v>
      </c>
      <c r="AI233" s="90">
        <f ca="1">AI223*IFERROR('Get Started  2'!$H42/'Get Started  2'!$H43,0)</f>
        <v>0</v>
      </c>
      <c r="AJ233" s="90">
        <f ca="1">AJ223*IFERROR('Get Started  2'!$H42/'Get Started  2'!$H43,0)</f>
        <v>0</v>
      </c>
      <c r="AK233" s="90">
        <f ca="1">AK223*IFERROR('Get Started  2'!$H42/'Get Started  2'!$H43,0)</f>
        <v>0</v>
      </c>
      <c r="AL233" s="90">
        <f ca="1">AL223*IFERROR('Get Started  2'!$H42/'Get Started  2'!$H43,0)</f>
        <v>0</v>
      </c>
      <c r="AM233" s="90">
        <f ca="1">AM223*IFERROR('Get Started  2'!$H42/'Get Started  2'!$H43,0)</f>
        <v>0</v>
      </c>
      <c r="AN233" s="90">
        <f ca="1">AN223*IFERROR('Get Started  2'!$H42/'Get Started  2'!$H43,0)</f>
        <v>0</v>
      </c>
      <c r="AO233" s="90">
        <f ca="1">AO223*IFERROR('Get Started  2'!$H42/'Get Started  2'!$H43,0)</f>
        <v>0</v>
      </c>
      <c r="AP233" s="90">
        <f ca="1">AP223*IFERROR('Get Started  2'!$H42/'Get Started  2'!$H43,0)</f>
        <v>0</v>
      </c>
      <c r="AQ233" s="90">
        <f ca="1">AQ223*IFERROR('Get Started  2'!$H42/'Get Started  2'!$H43,0)</f>
        <v>0</v>
      </c>
      <c r="AR233" s="90">
        <f ca="1">AR223*IFERROR('Get Started  2'!$H42/'Get Started  2'!$H43,0)</f>
        <v>0</v>
      </c>
      <c r="AS233" s="90">
        <f ca="1">AS223*IFERROR('Get Started  2'!$H42/'Get Started  2'!$H43,0)</f>
        <v>0</v>
      </c>
      <c r="AT233" s="90">
        <f ca="1">AT223*IFERROR('Get Started  2'!$H42/'Get Started  2'!$H43,0)</f>
        <v>0</v>
      </c>
      <c r="AU233" s="90">
        <f ca="1">AU223*IFERROR('Get Started  2'!$H42/'Get Started  2'!$H43,0)</f>
        <v>0</v>
      </c>
      <c r="AV233" s="90">
        <f ca="1">AV223*IFERROR('Get Started  2'!$H42/'Get Started  2'!$H43,0)</f>
        <v>0</v>
      </c>
      <c r="AW233" s="90">
        <f ca="1">AW223*IFERROR('Get Started  2'!$H42/'Get Started  2'!$H43,0)</f>
        <v>0</v>
      </c>
      <c r="AX233" s="90">
        <f ca="1">AX223*IFERROR('Get Started  2'!$H42/'Get Started  2'!$H43,0)</f>
        <v>0</v>
      </c>
      <c r="AY233" s="90">
        <f ca="1">AY223*IFERROR('Get Started  2'!$H42/'Get Started  2'!$H43,0)</f>
        <v>0</v>
      </c>
      <c r="AZ233" s="90">
        <f ca="1">AZ223*IFERROR('Get Started  2'!$H42/'Get Started  2'!$H43,0)</f>
        <v>0</v>
      </c>
      <c r="BA233" s="90">
        <f ca="1">BA223*IFERROR('Get Started  2'!$H42/'Get Started  2'!$H43,0)</f>
        <v>0</v>
      </c>
      <c r="BB233" s="90">
        <f ca="1">BB223*IFERROR('Get Started  2'!$H42/'Get Started  2'!$H43,0)</f>
        <v>0</v>
      </c>
      <c r="BC233" s="90">
        <f ca="1">BC223*IFERROR('Get Started  2'!$H42/'Get Started  2'!$H43,0)</f>
        <v>0</v>
      </c>
      <c r="BD233" s="90">
        <f ca="1">BD223*IFERROR('Get Started  2'!$H42/'Get Started  2'!$H43,0)</f>
        <v>0</v>
      </c>
      <c r="BE233" s="90">
        <f ca="1">BE223*IFERROR('Get Started  2'!$H42/'Get Started  2'!$H43,0)</f>
        <v>0</v>
      </c>
      <c r="BF233" s="90">
        <f ca="1">BF223*IFERROR('Get Started  2'!$H42/'Get Started  2'!$H43,0)</f>
        <v>0</v>
      </c>
      <c r="BG233" s="90">
        <f ca="1">BG223*IFERROR('Get Started  2'!$H42/'Get Started  2'!$H43,0)</f>
        <v>0</v>
      </c>
      <c r="BH233" s="90">
        <f ca="1">BH223*IFERROR('Get Started  2'!$H42/'Get Started  2'!$H43,0)</f>
        <v>0</v>
      </c>
      <c r="BI233" s="90">
        <f ca="1">BI223*IFERROR('Get Started  2'!$H42/'Get Started  2'!$H43,0)</f>
        <v>0</v>
      </c>
      <c r="BJ233" s="90">
        <f ca="1">BJ223*IFERROR('Get Started  2'!$H42/'Get Started  2'!$H43,0)</f>
        <v>0</v>
      </c>
      <c r="BK233" s="90">
        <f ca="1">BK223*IFERROR('Get Started  2'!$H42/'Get Started  2'!$H43,0)</f>
        <v>0</v>
      </c>
      <c r="BL233" s="90">
        <f ca="1">BL223*IFERROR('Get Started  2'!$H42/'Get Started  2'!$H43,0)</f>
        <v>0</v>
      </c>
      <c r="BM233" s="90">
        <f ca="1">BM223*IFERROR('Get Started  2'!$H42/'Get Started  2'!$H43,0)</f>
        <v>0</v>
      </c>
      <c r="BN233" s="90">
        <f ca="1">BN223*IFERROR('Get Started  2'!$H42/'Get Started  2'!$H43,0)</f>
        <v>0</v>
      </c>
      <c r="BO233" s="90">
        <f ca="1">BO223*IFERROR('Get Started  2'!$H42/'Get Started  2'!$H43,0)</f>
        <v>0</v>
      </c>
      <c r="BP233" s="90">
        <f ca="1">BP223*IFERROR('Get Started  2'!$H42/'Get Started  2'!$H43,0)</f>
        <v>0</v>
      </c>
      <c r="BQ233" s="90">
        <f ca="1">BQ223*IFERROR('Get Started  2'!$H42/'Get Started  2'!$H43,0)</f>
        <v>0</v>
      </c>
      <c r="BR233" s="90">
        <f ca="1">BR223*IFERROR('Get Started  2'!$H42/'Get Started  2'!$H43,0)</f>
        <v>0</v>
      </c>
      <c r="BS233" s="90">
        <f ca="1">BS223*IFERROR('Get Started  2'!$H42/'Get Started  2'!$H43,0)</f>
        <v>0</v>
      </c>
      <c r="BT233" s="90">
        <f ca="1">BT223*IFERROR('Get Started  2'!$H42/'Get Started  2'!$H43,0)</f>
        <v>0</v>
      </c>
      <c r="BU233" s="90">
        <f ca="1">BU223*IFERROR('Get Started  2'!$H42/'Get Started  2'!$H43,0)</f>
        <v>0</v>
      </c>
      <c r="BV233" s="90">
        <f ca="1">BV223*IFERROR('Get Started  2'!$H42/'Get Started  2'!$H43,0)</f>
        <v>0</v>
      </c>
      <c r="BW233" s="90">
        <f ca="1">BW223*IFERROR('Get Started  2'!$H42/'Get Started  2'!$H43,0)</f>
        <v>0</v>
      </c>
      <c r="BX233" s="90">
        <f ca="1">BX223*IFERROR('Get Started  2'!$H42/'Get Started  2'!$H43,0)</f>
        <v>0</v>
      </c>
      <c r="BY233" s="90">
        <f ca="1">BY223*IFERROR('Get Started  2'!$H42/'Get Started  2'!$H43,0)</f>
        <v>0</v>
      </c>
      <c r="BZ233" s="90">
        <f ca="1">BZ223*IFERROR('Get Started  2'!$H42/'Get Started  2'!$H43,0)</f>
        <v>0</v>
      </c>
      <c r="CA233" s="90">
        <f ca="1">CA223*IFERROR('Get Started  2'!$H42/'Get Started  2'!$H43,0)</f>
        <v>0</v>
      </c>
      <c r="CB233" s="90">
        <f ca="1">CB223*IFERROR('Get Started  2'!$H42/'Get Started  2'!$H43,0)</f>
        <v>0</v>
      </c>
      <c r="CC233" s="90">
        <f ca="1">CC223*IFERROR('Get Started  2'!$H42/'Get Started  2'!$H43,0)</f>
        <v>0</v>
      </c>
      <c r="CD233" s="90">
        <f ca="1">CD223*IFERROR('Get Started  2'!$H42/'Get Started  2'!$H43,0)</f>
        <v>0</v>
      </c>
      <c r="CE233" s="90">
        <f ca="1">CE223*IFERROR('Get Started  2'!$H42/'Get Started  2'!$H43,0)</f>
        <v>0</v>
      </c>
      <c r="CF233" s="90">
        <f ca="1">CF223*IFERROR('Get Started  2'!$H42/'Get Started  2'!$H43,0)</f>
        <v>0</v>
      </c>
      <c r="CG233" s="90">
        <f ca="1">CG223*IFERROR('Get Started  2'!$H42/'Get Started  2'!$H43,0)</f>
        <v>0</v>
      </c>
      <c r="CH233" s="90">
        <f ca="1">CH223*IFERROR('Get Started  2'!$H42/'Get Started  2'!$H43,0)</f>
        <v>0</v>
      </c>
    </row>
    <row r="234" spans="1:86" ht="13" outlineLevel="1">
      <c r="A234" s="13"/>
      <c r="B234" s="13" t="s">
        <v>330</v>
      </c>
      <c r="C234" s="13"/>
      <c r="D234" s="13" t="s">
        <v>238</v>
      </c>
      <c r="E234" s="88">
        <f t="shared" ca="1" si="170"/>
        <v>0.80684236111111129</v>
      </c>
      <c r="F234" s="48"/>
      <c r="G234" s="90">
        <f t="shared" ref="G234:CH234" ca="1" si="176">SUM(G230:G233)</f>
        <v>4.8125000000000008E-2</v>
      </c>
      <c r="H234" s="90">
        <f t="shared" ca="1" si="176"/>
        <v>4.8125000000000008E-2</v>
      </c>
      <c r="I234" s="90">
        <f t="shared" ca="1" si="176"/>
        <v>4.8125000000000008E-2</v>
      </c>
      <c r="J234" s="90">
        <f t="shared" ca="1" si="176"/>
        <v>4.8125000000000008E-2</v>
      </c>
      <c r="K234" s="90">
        <f t="shared" ca="1" si="176"/>
        <v>4.8125000000000008E-2</v>
      </c>
      <c r="L234" s="90">
        <f t="shared" ca="1" si="176"/>
        <v>4.8125000000000008E-2</v>
      </c>
      <c r="M234" s="90">
        <f t="shared" ca="1" si="176"/>
        <v>4.8125000000000008E-2</v>
      </c>
      <c r="N234" s="90">
        <f t="shared" ca="1" si="176"/>
        <v>4.8125000000000008E-2</v>
      </c>
      <c r="O234" s="90">
        <f t="shared" ca="1" si="176"/>
        <v>4.8125000000000008E-2</v>
      </c>
      <c r="P234" s="90">
        <f t="shared" ca="1" si="176"/>
        <v>4.8125000000000008E-2</v>
      </c>
      <c r="Q234" s="90">
        <f t="shared" ca="1" si="176"/>
        <v>4.8125000000000008E-2</v>
      </c>
      <c r="R234" s="90">
        <f t="shared" ca="1" si="176"/>
        <v>4.8125000000000008E-2</v>
      </c>
      <c r="S234" s="90">
        <f t="shared" ca="1" si="176"/>
        <v>5.7335590277777786E-2</v>
      </c>
      <c r="T234" s="90">
        <f t="shared" ca="1" si="176"/>
        <v>5.7335590277777786E-2</v>
      </c>
      <c r="U234" s="90">
        <f t="shared" ca="1" si="176"/>
        <v>5.7335590277777786E-2</v>
      </c>
      <c r="V234" s="90">
        <f t="shared" ca="1" si="176"/>
        <v>5.7335590277777786E-2</v>
      </c>
      <c r="W234" s="90">
        <f t="shared" ca="1" si="176"/>
        <v>0</v>
      </c>
      <c r="X234" s="90">
        <f t="shared" ca="1" si="176"/>
        <v>0</v>
      </c>
      <c r="Y234" s="90">
        <f t="shared" ca="1" si="176"/>
        <v>0</v>
      </c>
      <c r="Z234" s="90">
        <f t="shared" ca="1" si="176"/>
        <v>0</v>
      </c>
      <c r="AA234" s="90">
        <f t="shared" ca="1" si="176"/>
        <v>0</v>
      </c>
      <c r="AB234" s="90">
        <f t="shared" ca="1" si="176"/>
        <v>0</v>
      </c>
      <c r="AC234" s="90">
        <f t="shared" ca="1" si="176"/>
        <v>0</v>
      </c>
      <c r="AD234" s="90">
        <f t="shared" ca="1" si="176"/>
        <v>0</v>
      </c>
      <c r="AE234" s="90">
        <f t="shared" ca="1" si="176"/>
        <v>0</v>
      </c>
      <c r="AF234" s="90">
        <f t="shared" ca="1" si="176"/>
        <v>0</v>
      </c>
      <c r="AG234" s="90">
        <f t="shared" ca="1" si="176"/>
        <v>0</v>
      </c>
      <c r="AH234" s="90">
        <f t="shared" ca="1" si="176"/>
        <v>0</v>
      </c>
      <c r="AI234" s="90">
        <f t="shared" ca="1" si="176"/>
        <v>0</v>
      </c>
      <c r="AJ234" s="90">
        <f t="shared" ca="1" si="176"/>
        <v>0</v>
      </c>
      <c r="AK234" s="90">
        <f t="shared" ca="1" si="176"/>
        <v>0</v>
      </c>
      <c r="AL234" s="90">
        <f t="shared" ca="1" si="176"/>
        <v>0</v>
      </c>
      <c r="AM234" s="90">
        <f t="shared" ca="1" si="176"/>
        <v>0</v>
      </c>
      <c r="AN234" s="90">
        <f t="shared" ca="1" si="176"/>
        <v>0</v>
      </c>
      <c r="AO234" s="90">
        <f t="shared" ca="1" si="176"/>
        <v>0</v>
      </c>
      <c r="AP234" s="90">
        <f t="shared" ca="1" si="176"/>
        <v>0</v>
      </c>
      <c r="AQ234" s="90">
        <f t="shared" ca="1" si="176"/>
        <v>0</v>
      </c>
      <c r="AR234" s="90">
        <f t="shared" ca="1" si="176"/>
        <v>0</v>
      </c>
      <c r="AS234" s="90">
        <f t="shared" ca="1" si="176"/>
        <v>0</v>
      </c>
      <c r="AT234" s="90">
        <f t="shared" ca="1" si="176"/>
        <v>0</v>
      </c>
      <c r="AU234" s="90">
        <f t="shared" ca="1" si="176"/>
        <v>0</v>
      </c>
      <c r="AV234" s="90">
        <f t="shared" ca="1" si="176"/>
        <v>0</v>
      </c>
      <c r="AW234" s="90">
        <f t="shared" ca="1" si="176"/>
        <v>0</v>
      </c>
      <c r="AX234" s="90">
        <f t="shared" ca="1" si="176"/>
        <v>0</v>
      </c>
      <c r="AY234" s="90">
        <f t="shared" ca="1" si="176"/>
        <v>0</v>
      </c>
      <c r="AZ234" s="90">
        <f t="shared" ca="1" si="176"/>
        <v>0</v>
      </c>
      <c r="BA234" s="90">
        <f t="shared" ca="1" si="176"/>
        <v>0</v>
      </c>
      <c r="BB234" s="90">
        <f t="shared" ca="1" si="176"/>
        <v>0</v>
      </c>
      <c r="BC234" s="90">
        <f t="shared" ca="1" si="176"/>
        <v>0</v>
      </c>
      <c r="BD234" s="90">
        <f t="shared" ca="1" si="176"/>
        <v>0</v>
      </c>
      <c r="BE234" s="90">
        <f t="shared" ca="1" si="176"/>
        <v>0</v>
      </c>
      <c r="BF234" s="90">
        <f t="shared" ca="1" si="176"/>
        <v>0</v>
      </c>
      <c r="BG234" s="90">
        <f t="shared" ca="1" si="176"/>
        <v>0</v>
      </c>
      <c r="BH234" s="90">
        <f t="shared" ca="1" si="176"/>
        <v>0</v>
      </c>
      <c r="BI234" s="90">
        <f t="shared" ca="1" si="176"/>
        <v>0</v>
      </c>
      <c r="BJ234" s="90">
        <f t="shared" ca="1" si="176"/>
        <v>0</v>
      </c>
      <c r="BK234" s="90">
        <f t="shared" ca="1" si="176"/>
        <v>0</v>
      </c>
      <c r="BL234" s="90">
        <f t="shared" ca="1" si="176"/>
        <v>0</v>
      </c>
      <c r="BM234" s="90">
        <f t="shared" ca="1" si="176"/>
        <v>0</v>
      </c>
      <c r="BN234" s="90">
        <f t="shared" ca="1" si="176"/>
        <v>0</v>
      </c>
      <c r="BO234" s="90">
        <f t="shared" ca="1" si="176"/>
        <v>0</v>
      </c>
      <c r="BP234" s="90">
        <f t="shared" ca="1" si="176"/>
        <v>0</v>
      </c>
      <c r="BQ234" s="90">
        <f t="shared" ca="1" si="176"/>
        <v>0</v>
      </c>
      <c r="BR234" s="90">
        <f t="shared" ca="1" si="176"/>
        <v>0</v>
      </c>
      <c r="BS234" s="90">
        <f t="shared" ca="1" si="176"/>
        <v>0</v>
      </c>
      <c r="BT234" s="90">
        <f t="shared" ca="1" si="176"/>
        <v>0</v>
      </c>
      <c r="BU234" s="90">
        <f t="shared" ca="1" si="176"/>
        <v>0</v>
      </c>
      <c r="BV234" s="90">
        <f t="shared" ca="1" si="176"/>
        <v>0</v>
      </c>
      <c r="BW234" s="90">
        <f t="shared" ca="1" si="176"/>
        <v>0</v>
      </c>
      <c r="BX234" s="90">
        <f t="shared" ca="1" si="176"/>
        <v>0</v>
      </c>
      <c r="BY234" s="90">
        <f t="shared" ca="1" si="176"/>
        <v>0</v>
      </c>
      <c r="BZ234" s="90">
        <f t="shared" ca="1" si="176"/>
        <v>0</v>
      </c>
      <c r="CA234" s="90">
        <f t="shared" ca="1" si="176"/>
        <v>0</v>
      </c>
      <c r="CB234" s="90">
        <f t="shared" ca="1" si="176"/>
        <v>0</v>
      </c>
      <c r="CC234" s="90">
        <f t="shared" ca="1" si="176"/>
        <v>0</v>
      </c>
      <c r="CD234" s="90">
        <f t="shared" ca="1" si="176"/>
        <v>0</v>
      </c>
      <c r="CE234" s="90">
        <f t="shared" ca="1" si="176"/>
        <v>0</v>
      </c>
      <c r="CF234" s="90">
        <f t="shared" ca="1" si="176"/>
        <v>0</v>
      </c>
      <c r="CG234" s="90">
        <f t="shared" ca="1" si="176"/>
        <v>0</v>
      </c>
      <c r="CH234" s="90">
        <f t="shared" ca="1" si="176"/>
        <v>0</v>
      </c>
    </row>
    <row r="235" spans="1:86" ht="13" outlineLevel="1">
      <c r="A235" s="13"/>
      <c r="B235" s="13" t="s">
        <v>106</v>
      </c>
      <c r="C235" s="13"/>
      <c r="D235" s="13" t="s">
        <v>238</v>
      </c>
      <c r="E235" s="88">
        <f t="shared" ca="1" si="170"/>
        <v>0.80684236111111129</v>
      </c>
      <c r="F235" s="48"/>
      <c r="G235" s="90">
        <f t="shared" ref="G235:CH235" ca="1" si="177">G224+G229</f>
        <v>4.8125000000000008E-2</v>
      </c>
      <c r="H235" s="90">
        <f t="shared" ca="1" si="177"/>
        <v>4.8125000000000008E-2</v>
      </c>
      <c r="I235" s="90">
        <f t="shared" ca="1" si="177"/>
        <v>4.8125000000000008E-2</v>
      </c>
      <c r="J235" s="90">
        <f t="shared" ca="1" si="177"/>
        <v>4.8125000000000008E-2</v>
      </c>
      <c r="K235" s="90">
        <f t="shared" ca="1" si="177"/>
        <v>4.8125000000000008E-2</v>
      </c>
      <c r="L235" s="90">
        <f t="shared" ca="1" si="177"/>
        <v>4.8125000000000008E-2</v>
      </c>
      <c r="M235" s="90">
        <f t="shared" ca="1" si="177"/>
        <v>4.8125000000000008E-2</v>
      </c>
      <c r="N235" s="90">
        <f t="shared" ca="1" si="177"/>
        <v>4.8125000000000008E-2</v>
      </c>
      <c r="O235" s="90">
        <f t="shared" ca="1" si="177"/>
        <v>4.8125000000000008E-2</v>
      </c>
      <c r="P235" s="90">
        <f t="shared" ca="1" si="177"/>
        <v>4.8125000000000008E-2</v>
      </c>
      <c r="Q235" s="90">
        <f t="shared" ca="1" si="177"/>
        <v>4.8125000000000008E-2</v>
      </c>
      <c r="R235" s="90">
        <f t="shared" ca="1" si="177"/>
        <v>4.8125000000000008E-2</v>
      </c>
      <c r="S235" s="90">
        <f t="shared" ca="1" si="177"/>
        <v>5.7335590277777786E-2</v>
      </c>
      <c r="T235" s="90">
        <f t="shared" ca="1" si="177"/>
        <v>5.7335590277777786E-2</v>
      </c>
      <c r="U235" s="90">
        <f t="shared" ca="1" si="177"/>
        <v>5.7335590277777786E-2</v>
      </c>
      <c r="V235" s="90">
        <f t="shared" ca="1" si="177"/>
        <v>5.7335590277777786E-2</v>
      </c>
      <c r="W235" s="90">
        <f t="shared" ca="1" si="177"/>
        <v>0</v>
      </c>
      <c r="X235" s="90">
        <f t="shared" ca="1" si="177"/>
        <v>0</v>
      </c>
      <c r="Y235" s="90">
        <f t="shared" ca="1" si="177"/>
        <v>0</v>
      </c>
      <c r="Z235" s="90">
        <f t="shared" ca="1" si="177"/>
        <v>0</v>
      </c>
      <c r="AA235" s="90">
        <f t="shared" ca="1" si="177"/>
        <v>0</v>
      </c>
      <c r="AB235" s="90">
        <f t="shared" ca="1" si="177"/>
        <v>0</v>
      </c>
      <c r="AC235" s="90">
        <f t="shared" ca="1" si="177"/>
        <v>0</v>
      </c>
      <c r="AD235" s="90">
        <f t="shared" ca="1" si="177"/>
        <v>0</v>
      </c>
      <c r="AE235" s="90">
        <f t="shared" ca="1" si="177"/>
        <v>0</v>
      </c>
      <c r="AF235" s="90">
        <f t="shared" ca="1" si="177"/>
        <v>0</v>
      </c>
      <c r="AG235" s="90">
        <f t="shared" ca="1" si="177"/>
        <v>0</v>
      </c>
      <c r="AH235" s="90">
        <f t="shared" ca="1" si="177"/>
        <v>0</v>
      </c>
      <c r="AI235" s="90">
        <f t="shared" ca="1" si="177"/>
        <v>0</v>
      </c>
      <c r="AJ235" s="90">
        <f t="shared" ca="1" si="177"/>
        <v>0</v>
      </c>
      <c r="AK235" s="90">
        <f t="shared" ca="1" si="177"/>
        <v>0</v>
      </c>
      <c r="AL235" s="90">
        <f t="shared" ca="1" si="177"/>
        <v>0</v>
      </c>
      <c r="AM235" s="90">
        <f t="shared" ca="1" si="177"/>
        <v>0</v>
      </c>
      <c r="AN235" s="90">
        <f t="shared" ca="1" si="177"/>
        <v>0</v>
      </c>
      <c r="AO235" s="90">
        <f t="shared" ca="1" si="177"/>
        <v>0</v>
      </c>
      <c r="AP235" s="90">
        <f t="shared" ca="1" si="177"/>
        <v>0</v>
      </c>
      <c r="AQ235" s="90">
        <f t="shared" ca="1" si="177"/>
        <v>0</v>
      </c>
      <c r="AR235" s="90">
        <f t="shared" ca="1" si="177"/>
        <v>0</v>
      </c>
      <c r="AS235" s="90">
        <f t="shared" ca="1" si="177"/>
        <v>0</v>
      </c>
      <c r="AT235" s="90">
        <f t="shared" ca="1" si="177"/>
        <v>0</v>
      </c>
      <c r="AU235" s="90">
        <f t="shared" ca="1" si="177"/>
        <v>0</v>
      </c>
      <c r="AV235" s="90">
        <f t="shared" ca="1" si="177"/>
        <v>0</v>
      </c>
      <c r="AW235" s="90">
        <f t="shared" ca="1" si="177"/>
        <v>0</v>
      </c>
      <c r="AX235" s="90">
        <f t="shared" ca="1" si="177"/>
        <v>0</v>
      </c>
      <c r="AY235" s="90">
        <f t="shared" ca="1" si="177"/>
        <v>0</v>
      </c>
      <c r="AZ235" s="90">
        <f t="shared" ca="1" si="177"/>
        <v>0</v>
      </c>
      <c r="BA235" s="90">
        <f t="shared" ca="1" si="177"/>
        <v>0</v>
      </c>
      <c r="BB235" s="90">
        <f t="shared" ca="1" si="177"/>
        <v>0</v>
      </c>
      <c r="BC235" s="90">
        <f t="shared" ca="1" si="177"/>
        <v>0</v>
      </c>
      <c r="BD235" s="90">
        <f t="shared" ca="1" si="177"/>
        <v>0</v>
      </c>
      <c r="BE235" s="90">
        <f t="shared" ca="1" si="177"/>
        <v>0</v>
      </c>
      <c r="BF235" s="90">
        <f t="shared" ca="1" si="177"/>
        <v>0</v>
      </c>
      <c r="BG235" s="90">
        <f t="shared" ca="1" si="177"/>
        <v>0</v>
      </c>
      <c r="BH235" s="90">
        <f t="shared" ca="1" si="177"/>
        <v>0</v>
      </c>
      <c r="BI235" s="90">
        <f t="shared" ca="1" si="177"/>
        <v>0</v>
      </c>
      <c r="BJ235" s="90">
        <f t="shared" ca="1" si="177"/>
        <v>0</v>
      </c>
      <c r="BK235" s="90">
        <f t="shared" ca="1" si="177"/>
        <v>0</v>
      </c>
      <c r="BL235" s="90">
        <f t="shared" ca="1" si="177"/>
        <v>0</v>
      </c>
      <c r="BM235" s="90">
        <f t="shared" ca="1" si="177"/>
        <v>0</v>
      </c>
      <c r="BN235" s="90">
        <f t="shared" ca="1" si="177"/>
        <v>0</v>
      </c>
      <c r="BO235" s="90">
        <f t="shared" ca="1" si="177"/>
        <v>0</v>
      </c>
      <c r="BP235" s="90">
        <f t="shared" ca="1" si="177"/>
        <v>0</v>
      </c>
      <c r="BQ235" s="90">
        <f t="shared" ca="1" si="177"/>
        <v>0</v>
      </c>
      <c r="BR235" s="90">
        <f t="shared" ca="1" si="177"/>
        <v>0</v>
      </c>
      <c r="BS235" s="90">
        <f t="shared" ca="1" si="177"/>
        <v>0</v>
      </c>
      <c r="BT235" s="90">
        <f t="shared" ca="1" si="177"/>
        <v>0</v>
      </c>
      <c r="BU235" s="90">
        <f t="shared" ca="1" si="177"/>
        <v>0</v>
      </c>
      <c r="BV235" s="90">
        <f t="shared" ca="1" si="177"/>
        <v>0</v>
      </c>
      <c r="BW235" s="90">
        <f t="shared" ca="1" si="177"/>
        <v>0</v>
      </c>
      <c r="BX235" s="90">
        <f t="shared" ca="1" si="177"/>
        <v>0</v>
      </c>
      <c r="BY235" s="90">
        <f t="shared" ca="1" si="177"/>
        <v>0</v>
      </c>
      <c r="BZ235" s="90">
        <f t="shared" ca="1" si="177"/>
        <v>0</v>
      </c>
      <c r="CA235" s="90">
        <f t="shared" ca="1" si="177"/>
        <v>0</v>
      </c>
      <c r="CB235" s="90">
        <f t="shared" ca="1" si="177"/>
        <v>0</v>
      </c>
      <c r="CC235" s="90">
        <f t="shared" ca="1" si="177"/>
        <v>0</v>
      </c>
      <c r="CD235" s="90">
        <f t="shared" ca="1" si="177"/>
        <v>0</v>
      </c>
      <c r="CE235" s="90">
        <f t="shared" ca="1" si="177"/>
        <v>0</v>
      </c>
      <c r="CF235" s="90">
        <f t="shared" ca="1" si="177"/>
        <v>0</v>
      </c>
      <c r="CG235" s="90">
        <f t="shared" ca="1" si="177"/>
        <v>0</v>
      </c>
      <c r="CH235" s="90">
        <f t="shared" ca="1" si="177"/>
        <v>0</v>
      </c>
    </row>
    <row r="236" spans="1:86" ht="13" outlineLevel="1">
      <c r="A236" s="13"/>
      <c r="B236" s="13" t="s">
        <v>331</v>
      </c>
      <c r="C236" s="13"/>
      <c r="D236" s="13" t="s">
        <v>238</v>
      </c>
      <c r="E236" s="88">
        <f t="shared" ca="1" si="170"/>
        <v>3.8038583114583342</v>
      </c>
      <c r="F236" s="48"/>
      <c r="G236" s="90">
        <f ca="1">(IF(G4&lt;'Get Started  2'!$H112,0,OFFSET(G234,0,-1*'Get Started  2'!$H112)*'Get Started  2'!$H42*'Get Started  2'!$G112)+IF(G4&lt;'Get Started  2'!$H111,0,OFFSET(G234,0,-1*'Get Started  2'!$H111)*'Get Started  2'!$G42*'Get Started  2'!$G111)+IF(G4&lt;'Get Started  2'!$H110,0,OFFSET(G234,0,-1*'Get Started  2'!$H110)*'Get Started  2'!$F42*'Get Started  2'!$G110)+IF(G4&lt;'Get Started  2'!$H109,0,OFFSET(G234,0,-1*'Get Started  2'!$H109)*'Get Started  2'!$E42*'Get Started  2'!$G109))</f>
        <v>0</v>
      </c>
      <c r="H236" s="90">
        <f ca="1">(IF(H4&lt;'Get Started  2'!$H112,0,OFFSET(H234,0,-1*'Get Started  2'!$H112)*'Get Started  2'!$H42*'Get Started  2'!$G112)+IF(H4&lt;'Get Started  2'!$H111,0,OFFSET(H234,0,-1*'Get Started  2'!$H111)*'Get Started  2'!$G42*'Get Started  2'!$G111)+IF(H4&lt;'Get Started  2'!$H110,0,OFFSET(H234,0,-1*'Get Started  2'!$H110)*'Get Started  2'!$F42*'Get Started  2'!$G110)+IF(H4&lt;'Get Started  2'!$H109,0,OFFSET(H234,0,-1*'Get Started  2'!$H109)*'Get Started  2'!$E42*'Get Started  2'!$G109))</f>
        <v>0</v>
      </c>
      <c r="I236" s="90">
        <f ca="1">(IF(I4&lt;'Get Started  2'!$H112,0,OFFSET(I234,0,-1*'Get Started  2'!$H112)*'Get Started  2'!$H42*'Get Started  2'!$G112)+IF(I4&lt;'Get Started  2'!$H111,0,OFFSET(I234,0,-1*'Get Started  2'!$H111)*'Get Started  2'!$G42*'Get Started  2'!$G111)+IF(I4&lt;'Get Started  2'!$H110,0,OFFSET(I234,0,-1*'Get Started  2'!$H110)*'Get Started  2'!$F42*'Get Started  2'!$G110)+IF(I4&lt;'Get Started  2'!$H109,0,OFFSET(I234,0,-1*'Get Started  2'!$H109)*'Get Started  2'!$E42*'Get Started  2'!$G109))</f>
        <v>0</v>
      </c>
      <c r="J236" s="90">
        <f ca="1">(IF(J4&lt;'Get Started  2'!$H112,0,OFFSET(J234,0,-1*'Get Started  2'!$H112)*'Get Started  2'!$H42*'Get Started  2'!$G112)+IF(J4&lt;'Get Started  2'!$H111,0,OFFSET(J234,0,-1*'Get Started  2'!$H111)*'Get Started  2'!$G42*'Get Started  2'!$G111)+IF(J4&lt;'Get Started  2'!$H110,0,OFFSET(J234,0,-1*'Get Started  2'!$H110)*'Get Started  2'!$F42*'Get Started  2'!$G110)+IF(J4&lt;'Get Started  2'!$H109,0,OFFSET(J234,0,-1*'Get Started  2'!$H109)*'Get Started  2'!$E42*'Get Started  2'!$G109))</f>
        <v>0</v>
      </c>
      <c r="K236" s="90">
        <f ca="1">(IF(K4&lt;'Get Started  2'!$H112,0,OFFSET(K234,0,-1*'Get Started  2'!$H112)*'Get Started  2'!$H42*'Get Started  2'!$G112)+IF(K4&lt;'Get Started  2'!$H111,0,OFFSET(K234,0,-1*'Get Started  2'!$H111)*'Get Started  2'!$G42*'Get Started  2'!$G111)+IF(K4&lt;'Get Started  2'!$H110,0,OFFSET(K234,0,-1*'Get Started  2'!$H110)*'Get Started  2'!$F42*'Get Started  2'!$G110)+IF(K4&lt;'Get Started  2'!$H109,0,OFFSET(K234,0,-1*'Get Started  2'!$H109)*'Get Started  2'!$E42*'Get Started  2'!$G109))</f>
        <v>0</v>
      </c>
      <c r="L236" s="90">
        <f ca="1">(IF(L4&lt;'Get Started  2'!$H112,0,OFFSET(L234,0,-1*'Get Started  2'!$H112)*'Get Started  2'!$H42*'Get Started  2'!$G112)+IF(L4&lt;'Get Started  2'!$H111,0,OFFSET(L234,0,-1*'Get Started  2'!$H111)*'Get Started  2'!$G42*'Get Started  2'!$G111)+IF(L4&lt;'Get Started  2'!$H110,0,OFFSET(L234,0,-1*'Get Started  2'!$H110)*'Get Started  2'!$F42*'Get Started  2'!$G110)+IF(L4&lt;'Get Started  2'!$H109,0,OFFSET(L234,0,-1*'Get Started  2'!$H109)*'Get Started  2'!$E42*'Get Started  2'!$G109))</f>
        <v>0</v>
      </c>
      <c r="M236" s="90">
        <f ca="1">(IF(M4&lt;'Get Started  2'!$H112,0,OFFSET(M234,0,-1*'Get Started  2'!$H112)*'Get Started  2'!$H42*'Get Started  2'!$G112)+IF(M4&lt;'Get Started  2'!$H111,0,OFFSET(M234,0,-1*'Get Started  2'!$H111)*'Get Started  2'!$G42*'Get Started  2'!$G111)+IF(M4&lt;'Get Started  2'!$H110,0,OFFSET(M234,0,-1*'Get Started  2'!$H110)*'Get Started  2'!$F42*'Get Started  2'!$G110)+IF(M4&lt;'Get Started  2'!$H109,0,OFFSET(M234,0,-1*'Get Started  2'!$H109)*'Get Started  2'!$E42*'Get Started  2'!$G109))</f>
        <v>0</v>
      </c>
      <c r="N236" s="90">
        <f ca="1">(IF(N4&lt;'Get Started  2'!$H112,0,OFFSET(N234,0,-1*'Get Started  2'!$H112)*'Get Started  2'!$H42*'Get Started  2'!$G112)+IF(N4&lt;'Get Started  2'!$H111,0,OFFSET(N234,0,-1*'Get Started  2'!$H111)*'Get Started  2'!$G42*'Get Started  2'!$G111)+IF(N4&lt;'Get Started  2'!$H110,0,OFFSET(N234,0,-1*'Get Started  2'!$H110)*'Get Started  2'!$F42*'Get Started  2'!$G110)+IF(N4&lt;'Get Started  2'!$H109,0,OFFSET(N234,0,-1*'Get Started  2'!$H109)*'Get Started  2'!$E42*'Get Started  2'!$G109))</f>
        <v>0</v>
      </c>
      <c r="O236" s="90">
        <f ca="1">(IF(O4&lt;'Get Started  2'!$H112,0,OFFSET(O234,0,-1*'Get Started  2'!$H112)*'Get Started  2'!$H42*'Get Started  2'!$G112)+IF(O4&lt;'Get Started  2'!$H111,0,OFFSET(O234,0,-1*'Get Started  2'!$H111)*'Get Started  2'!$G42*'Get Started  2'!$G111)+IF(O4&lt;'Get Started  2'!$H110,0,OFFSET(O234,0,-1*'Get Started  2'!$H110)*'Get Started  2'!$F42*'Get Started  2'!$G110)+IF(O4&lt;'Get Started  2'!$H109,0,OFFSET(O234,0,-1*'Get Started  2'!$H109)*'Get Started  2'!$E42*'Get Started  2'!$G109))</f>
        <v>0</v>
      </c>
      <c r="P236" s="90">
        <f ca="1">(IF(P4&lt;'Get Started  2'!$H112,0,OFFSET(P234,0,-1*'Get Started  2'!$H112)*'Get Started  2'!$H42*'Get Started  2'!$G112)+IF(P4&lt;'Get Started  2'!$H111,0,OFFSET(P234,0,-1*'Get Started  2'!$H111)*'Get Started  2'!$G42*'Get Started  2'!$G111)+IF(P4&lt;'Get Started  2'!$H110,0,OFFSET(P234,0,-1*'Get Started  2'!$H110)*'Get Started  2'!$F42*'Get Started  2'!$G110)+IF(P4&lt;'Get Started  2'!$H109,0,OFFSET(P234,0,-1*'Get Started  2'!$H109)*'Get Started  2'!$E42*'Get Started  2'!$G109))</f>
        <v>0</v>
      </c>
      <c r="Q236" s="90">
        <f ca="1">(IF(Q4&lt;'Get Started  2'!$H112,0,OFFSET(Q234,0,-1*'Get Started  2'!$H112)*'Get Started  2'!$H42*'Get Started  2'!$G112)+IF(Q4&lt;'Get Started  2'!$H111,0,OFFSET(Q234,0,-1*'Get Started  2'!$H111)*'Get Started  2'!$G42*'Get Started  2'!$G111)+IF(Q4&lt;'Get Started  2'!$H110,0,OFFSET(Q234,0,-1*'Get Started  2'!$H110)*'Get Started  2'!$F42*'Get Started  2'!$G110)+IF(Q4&lt;'Get Started  2'!$H109,0,OFFSET(Q234,0,-1*'Get Started  2'!$H109)*'Get Started  2'!$E42*'Get Started  2'!$G109))</f>
        <v>0</v>
      </c>
      <c r="R236" s="90">
        <f ca="1">(IF(R4&lt;'Get Started  2'!$H112,0,OFFSET(R234,0,-1*'Get Started  2'!$H112)*'Get Started  2'!$H42*'Get Started  2'!$G112)+IF(R4&lt;'Get Started  2'!$H111,0,OFFSET(R234,0,-1*'Get Started  2'!$H111)*'Get Started  2'!$G42*'Get Started  2'!$G111)+IF(R4&lt;'Get Started  2'!$H110,0,OFFSET(R234,0,-1*'Get Started  2'!$H110)*'Get Started  2'!$F42*'Get Started  2'!$G110)+IF(R4&lt;'Get Started  2'!$H109,0,OFFSET(R234,0,-1*'Get Started  2'!$H109)*'Get Started  2'!$E42*'Get Started  2'!$G109))</f>
        <v>0</v>
      </c>
      <c r="S236" s="90">
        <f ca="1">(IF(S4&lt;'Get Started  2'!$H112,0,OFFSET(S234,0,-1*'Get Started  2'!$H112)*'Get Started  2'!$H42*'Get Started  2'!$G112)+IF(S4&lt;'Get Started  2'!$H111,0,OFFSET(S234,0,-1*'Get Started  2'!$H111)*'Get Started  2'!$G42*'Get Started  2'!$G111)+IF(S4&lt;'Get Started  2'!$H110,0,OFFSET(S234,0,-1*'Get Started  2'!$H110)*'Get Started  2'!$F42*'Get Started  2'!$G110)+IF(S4&lt;'Get Started  2'!$H109,0,OFFSET(S234,0,-1*'Get Started  2'!$H109)*'Get Started  2'!$E42*'Get Started  2'!$G109))</f>
        <v>5.2552500000000016E-2</v>
      </c>
      <c r="T236" s="90">
        <f ca="1">(IF(T4&lt;'Get Started  2'!$H112,0,OFFSET(T234,0,-1*'Get Started  2'!$H112)*'Get Started  2'!$H42*'Get Started  2'!$G112)+IF(T4&lt;'Get Started  2'!$H111,0,OFFSET(T234,0,-1*'Get Started  2'!$H111)*'Get Started  2'!$G42*'Get Started  2'!$G111)+IF(T4&lt;'Get Started  2'!$H110,0,OFFSET(T234,0,-1*'Get Started  2'!$H110)*'Get Started  2'!$F42*'Get Started  2'!$G110)+IF(T4&lt;'Get Started  2'!$H109,0,OFFSET(T234,0,-1*'Get Started  2'!$H109)*'Get Started  2'!$E42*'Get Started  2'!$G109))</f>
        <v>5.2552500000000016E-2</v>
      </c>
      <c r="U236" s="90">
        <f ca="1">(IF(U4&lt;'Get Started  2'!$H112,0,OFFSET(U234,0,-1*'Get Started  2'!$H112)*'Get Started  2'!$H42*'Get Started  2'!$G112)+IF(U4&lt;'Get Started  2'!$H111,0,OFFSET(U234,0,-1*'Get Started  2'!$H111)*'Get Started  2'!$G42*'Get Started  2'!$G111)+IF(U4&lt;'Get Started  2'!$H110,0,OFFSET(U234,0,-1*'Get Started  2'!$H110)*'Get Started  2'!$F42*'Get Started  2'!$G110)+IF(U4&lt;'Get Started  2'!$H109,0,OFFSET(U234,0,-1*'Get Started  2'!$H109)*'Get Started  2'!$E42*'Get Started  2'!$G109))</f>
        <v>5.2552500000000016E-2</v>
      </c>
      <c r="V236" s="90">
        <f ca="1">(IF(V4&lt;'Get Started  2'!$H112,0,OFFSET(V234,0,-1*'Get Started  2'!$H112)*'Get Started  2'!$H42*'Get Started  2'!$G112)+IF(V4&lt;'Get Started  2'!$H111,0,OFFSET(V234,0,-1*'Get Started  2'!$H111)*'Get Started  2'!$G42*'Get Started  2'!$G111)+IF(V4&lt;'Get Started  2'!$H110,0,OFFSET(V234,0,-1*'Get Started  2'!$H110)*'Get Started  2'!$F42*'Get Started  2'!$G110)+IF(V4&lt;'Get Started  2'!$H109,0,OFFSET(V234,0,-1*'Get Started  2'!$H109)*'Get Started  2'!$E42*'Get Started  2'!$G109))</f>
        <v>5.2552500000000016E-2</v>
      </c>
      <c r="W236" s="90">
        <f ca="1">(IF(W4&lt;'Get Started  2'!$H112,0,OFFSET(W234,0,-1*'Get Started  2'!$H112)*'Get Started  2'!$H42*'Get Started  2'!$G112)+IF(W4&lt;'Get Started  2'!$H111,0,OFFSET(W234,0,-1*'Get Started  2'!$H111)*'Get Started  2'!$G42*'Get Started  2'!$G111)+IF(W4&lt;'Get Started  2'!$H110,0,OFFSET(W234,0,-1*'Get Started  2'!$H110)*'Get Started  2'!$F42*'Get Started  2'!$G110)+IF(W4&lt;'Get Started  2'!$H109,0,OFFSET(W234,0,-1*'Get Started  2'!$H109)*'Get Started  2'!$E42*'Get Started  2'!$G109))</f>
        <v>0.15866812500000005</v>
      </c>
      <c r="X236" s="90">
        <f ca="1">(IF(X4&lt;'Get Started  2'!$H112,0,OFFSET(X234,0,-1*'Get Started  2'!$H112)*'Get Started  2'!$H42*'Get Started  2'!$G112)+IF(X4&lt;'Get Started  2'!$H111,0,OFFSET(X234,0,-1*'Get Started  2'!$H111)*'Get Started  2'!$G42*'Get Started  2'!$G111)+IF(X4&lt;'Get Started  2'!$H110,0,OFFSET(X234,0,-1*'Get Started  2'!$H110)*'Get Started  2'!$F42*'Get Started  2'!$G110)+IF(X4&lt;'Get Started  2'!$H109,0,OFFSET(X234,0,-1*'Get Started  2'!$H109)*'Get Started  2'!$E42*'Get Started  2'!$G109))</f>
        <v>0.15866812500000005</v>
      </c>
      <c r="Y236" s="90">
        <f ca="1">(IF(Y4&lt;'Get Started  2'!$H112,0,OFFSET(Y234,0,-1*'Get Started  2'!$H112)*'Get Started  2'!$H42*'Get Started  2'!$G112)+IF(Y4&lt;'Get Started  2'!$H111,0,OFFSET(Y234,0,-1*'Get Started  2'!$H111)*'Get Started  2'!$G42*'Get Started  2'!$G111)+IF(Y4&lt;'Get Started  2'!$H110,0,OFFSET(Y234,0,-1*'Get Started  2'!$H110)*'Get Started  2'!$F42*'Get Started  2'!$G110)+IF(Y4&lt;'Get Started  2'!$H109,0,OFFSET(Y234,0,-1*'Get Started  2'!$H109)*'Get Started  2'!$E42*'Get Started  2'!$G109))</f>
        <v>0.15866812500000005</v>
      </c>
      <c r="Z236" s="90">
        <f ca="1">(IF(Z4&lt;'Get Started  2'!$H112,0,OFFSET(Z234,0,-1*'Get Started  2'!$H112)*'Get Started  2'!$H42*'Get Started  2'!$G112)+IF(Z4&lt;'Get Started  2'!$H111,0,OFFSET(Z234,0,-1*'Get Started  2'!$H111)*'Get Started  2'!$G42*'Get Started  2'!$G111)+IF(Z4&lt;'Get Started  2'!$H110,0,OFFSET(Z234,0,-1*'Get Started  2'!$H110)*'Get Started  2'!$F42*'Get Started  2'!$G110)+IF(Z4&lt;'Get Started  2'!$H109,0,OFFSET(Z234,0,-1*'Get Started  2'!$H109)*'Get Started  2'!$E42*'Get Started  2'!$G109))</f>
        <v>0.15866812500000005</v>
      </c>
      <c r="AA236" s="90">
        <f ca="1">(IF(AA4&lt;'Get Started  2'!$H112,0,OFFSET(AA234,0,-1*'Get Started  2'!$H112)*'Get Started  2'!$H42*'Get Started  2'!$G112)+IF(AA4&lt;'Get Started  2'!$H111,0,OFFSET(AA234,0,-1*'Get Started  2'!$H111)*'Get Started  2'!$G42*'Get Started  2'!$G111)+IF(AA4&lt;'Get Started  2'!$H110,0,OFFSET(AA234,0,-1*'Get Started  2'!$H110)*'Get Started  2'!$F42*'Get Started  2'!$G110)+IF(AA4&lt;'Get Started  2'!$H109,0,OFFSET(AA234,0,-1*'Get Started  2'!$H109)*'Get Started  2'!$E42*'Get Started  2'!$G109))</f>
        <v>0.15866812500000005</v>
      </c>
      <c r="AB236" s="90">
        <f ca="1">(IF(AB4&lt;'Get Started  2'!$H112,0,OFFSET(AB234,0,-1*'Get Started  2'!$H112)*'Get Started  2'!$H42*'Get Started  2'!$G112)+IF(AB4&lt;'Get Started  2'!$H111,0,OFFSET(AB234,0,-1*'Get Started  2'!$H111)*'Get Started  2'!$G42*'Get Started  2'!$G111)+IF(AB4&lt;'Get Started  2'!$H110,0,OFFSET(AB234,0,-1*'Get Started  2'!$H110)*'Get Started  2'!$F42*'Get Started  2'!$G110)+IF(AB4&lt;'Get Started  2'!$H109,0,OFFSET(AB234,0,-1*'Get Started  2'!$H109)*'Get Started  2'!$E42*'Get Started  2'!$G109))</f>
        <v>0.15866812500000005</v>
      </c>
      <c r="AC236" s="90">
        <f ca="1">(IF(AC4&lt;'Get Started  2'!$H112,0,OFFSET(AC234,0,-1*'Get Started  2'!$H112)*'Get Started  2'!$H42*'Get Started  2'!$G112)+IF(AC4&lt;'Get Started  2'!$H111,0,OFFSET(AC234,0,-1*'Get Started  2'!$H111)*'Get Started  2'!$G42*'Get Started  2'!$G111)+IF(AC4&lt;'Get Started  2'!$H110,0,OFFSET(AC234,0,-1*'Get Started  2'!$H110)*'Get Started  2'!$F42*'Get Started  2'!$G110)+IF(AC4&lt;'Get Started  2'!$H109,0,OFFSET(AC234,0,-1*'Get Started  2'!$H109)*'Get Started  2'!$E42*'Get Started  2'!$G109))</f>
        <v>0.15866812500000005</v>
      </c>
      <c r="AD236" s="90">
        <f ca="1">(IF(AD4&lt;'Get Started  2'!$H112,0,OFFSET(AD234,0,-1*'Get Started  2'!$H112)*'Get Started  2'!$H42*'Get Started  2'!$G112)+IF(AD4&lt;'Get Started  2'!$H111,0,OFFSET(AD234,0,-1*'Get Started  2'!$H111)*'Get Started  2'!$G42*'Get Started  2'!$G111)+IF(AD4&lt;'Get Started  2'!$H110,0,OFFSET(AD234,0,-1*'Get Started  2'!$H110)*'Get Started  2'!$F42*'Get Started  2'!$G110)+IF(AD4&lt;'Get Started  2'!$H109,0,OFFSET(AD234,0,-1*'Get Started  2'!$H109)*'Get Started  2'!$E42*'Get Started  2'!$G109))</f>
        <v>0.15866812500000005</v>
      </c>
      <c r="AE236" s="90">
        <f ca="1">(IF(AE4&lt;'Get Started  2'!$H112,0,OFFSET(AE234,0,-1*'Get Started  2'!$H112)*'Get Started  2'!$H42*'Get Started  2'!$G112)+IF(AE4&lt;'Get Started  2'!$H111,0,OFFSET(AE234,0,-1*'Get Started  2'!$H111)*'Get Started  2'!$G42*'Get Started  2'!$G111)+IF(AE4&lt;'Get Started  2'!$H110,0,OFFSET(AE234,0,-1*'Get Started  2'!$H110)*'Get Started  2'!$F42*'Get Started  2'!$G110)+IF(AE4&lt;'Get Started  2'!$H109,0,OFFSET(AE234,0,-1*'Get Started  2'!$H109)*'Get Started  2'!$E42*'Get Started  2'!$G109))</f>
        <v>0.23694327708333335</v>
      </c>
      <c r="AF236" s="90">
        <f ca="1">(IF(AF4&lt;'Get Started  2'!$H112,0,OFFSET(AF234,0,-1*'Get Started  2'!$H112)*'Get Started  2'!$H42*'Get Started  2'!$G112)+IF(AF4&lt;'Get Started  2'!$H111,0,OFFSET(AF234,0,-1*'Get Started  2'!$H111)*'Get Started  2'!$G42*'Get Started  2'!$G111)+IF(AF4&lt;'Get Started  2'!$H110,0,OFFSET(AF234,0,-1*'Get Started  2'!$H110)*'Get Started  2'!$F42*'Get Started  2'!$G110)+IF(AF4&lt;'Get Started  2'!$H109,0,OFFSET(AF234,0,-1*'Get Started  2'!$H109)*'Get Started  2'!$E42*'Get Started  2'!$G109))</f>
        <v>0.23694327708333335</v>
      </c>
      <c r="AG236" s="90">
        <f ca="1">(IF(AG4&lt;'Get Started  2'!$H112,0,OFFSET(AG234,0,-1*'Get Started  2'!$H112)*'Get Started  2'!$H42*'Get Started  2'!$G112)+IF(AG4&lt;'Get Started  2'!$H111,0,OFFSET(AG234,0,-1*'Get Started  2'!$H111)*'Get Started  2'!$G42*'Get Started  2'!$G111)+IF(AG4&lt;'Get Started  2'!$H110,0,OFFSET(AG234,0,-1*'Get Started  2'!$H110)*'Get Started  2'!$F42*'Get Started  2'!$G110)+IF(AG4&lt;'Get Started  2'!$H109,0,OFFSET(AG234,0,-1*'Get Started  2'!$H109)*'Get Started  2'!$E42*'Get Started  2'!$G109))</f>
        <v>0.23694327708333335</v>
      </c>
      <c r="AH236" s="90">
        <f ca="1">(IF(AH4&lt;'Get Started  2'!$H112,0,OFFSET(AH234,0,-1*'Get Started  2'!$H112)*'Get Started  2'!$H42*'Get Started  2'!$G112)+IF(AH4&lt;'Get Started  2'!$H111,0,OFFSET(AH234,0,-1*'Get Started  2'!$H111)*'Get Started  2'!$G42*'Get Started  2'!$G111)+IF(AH4&lt;'Get Started  2'!$H110,0,OFFSET(AH234,0,-1*'Get Started  2'!$H110)*'Get Started  2'!$F42*'Get Started  2'!$G110)+IF(AH4&lt;'Get Started  2'!$H109,0,OFFSET(AH234,0,-1*'Get Started  2'!$H109)*'Get Started  2'!$E42*'Get Started  2'!$G109))</f>
        <v>0.23694327708333335</v>
      </c>
      <c r="AI236" s="90">
        <f ca="1">(IF(AI4&lt;'Get Started  2'!$H112,0,OFFSET(AI234,0,-1*'Get Started  2'!$H112)*'Get Started  2'!$H42*'Get Started  2'!$G112)+IF(AI4&lt;'Get Started  2'!$H111,0,OFFSET(AI234,0,-1*'Get Started  2'!$H111)*'Get Started  2'!$G42*'Get Started  2'!$G111)+IF(AI4&lt;'Get Started  2'!$H110,0,OFFSET(AI234,0,-1*'Get Started  2'!$H110)*'Get Started  2'!$F42*'Get Started  2'!$G110)+IF(AI4&lt;'Get Started  2'!$H109,0,OFFSET(AI234,0,-1*'Get Started  2'!$H109)*'Get Started  2'!$E42*'Get Started  2'!$G109))</f>
        <v>0.19464216406250001</v>
      </c>
      <c r="AJ236" s="90">
        <f ca="1">(IF(AJ4&lt;'Get Started  2'!$H112,0,OFFSET(AJ234,0,-1*'Get Started  2'!$H112)*'Get Started  2'!$H42*'Get Started  2'!$G112)+IF(AJ4&lt;'Get Started  2'!$H111,0,OFFSET(AJ234,0,-1*'Get Started  2'!$H111)*'Get Started  2'!$G42*'Get Started  2'!$G111)+IF(AJ4&lt;'Get Started  2'!$H110,0,OFFSET(AJ234,0,-1*'Get Started  2'!$H110)*'Get Started  2'!$F42*'Get Started  2'!$G110)+IF(AJ4&lt;'Get Started  2'!$H109,0,OFFSET(AJ234,0,-1*'Get Started  2'!$H109)*'Get Started  2'!$E42*'Get Started  2'!$G109))</f>
        <v>0.19464216406250001</v>
      </c>
      <c r="AK236" s="90">
        <f ca="1">(IF(AK4&lt;'Get Started  2'!$H112,0,OFFSET(AK234,0,-1*'Get Started  2'!$H112)*'Get Started  2'!$H42*'Get Started  2'!$G112)+IF(AK4&lt;'Get Started  2'!$H111,0,OFFSET(AK234,0,-1*'Get Started  2'!$H111)*'Get Started  2'!$G42*'Get Started  2'!$G111)+IF(AK4&lt;'Get Started  2'!$H110,0,OFFSET(AK234,0,-1*'Get Started  2'!$H110)*'Get Started  2'!$F42*'Get Started  2'!$G110)+IF(AK4&lt;'Get Started  2'!$H109,0,OFFSET(AK234,0,-1*'Get Started  2'!$H109)*'Get Started  2'!$E42*'Get Started  2'!$G109))</f>
        <v>0.19464216406250001</v>
      </c>
      <c r="AL236" s="90">
        <f ca="1">(IF(AL4&lt;'Get Started  2'!$H112,0,OFFSET(AL234,0,-1*'Get Started  2'!$H112)*'Get Started  2'!$H42*'Get Started  2'!$G112)+IF(AL4&lt;'Get Started  2'!$H111,0,OFFSET(AL234,0,-1*'Get Started  2'!$H111)*'Get Started  2'!$G42*'Get Started  2'!$G111)+IF(AL4&lt;'Get Started  2'!$H110,0,OFFSET(AL234,0,-1*'Get Started  2'!$H110)*'Get Started  2'!$F42*'Get Started  2'!$G110)+IF(AL4&lt;'Get Started  2'!$H109,0,OFFSET(AL234,0,-1*'Get Started  2'!$H109)*'Get Started  2'!$E42*'Get Started  2'!$G109))</f>
        <v>0.19464216406250001</v>
      </c>
      <c r="AM236" s="90">
        <f ca="1">(IF(AM4&lt;'Get Started  2'!$H112,0,OFFSET(AM234,0,-1*'Get Started  2'!$H112)*'Get Started  2'!$H42*'Get Started  2'!$G112)+IF(AM4&lt;'Get Started  2'!$H111,0,OFFSET(AM234,0,-1*'Get Started  2'!$H111)*'Get Started  2'!$G42*'Get Started  2'!$G111)+IF(AM4&lt;'Get Started  2'!$H110,0,OFFSET(AM234,0,-1*'Get Started  2'!$H110)*'Get Started  2'!$F42*'Get Started  2'!$G110)+IF(AM4&lt;'Get Started  2'!$H109,0,OFFSET(AM234,0,-1*'Get Started  2'!$H109)*'Get Started  2'!$E42*'Get Started  2'!$G109))</f>
        <v>6.8217187499999984E-2</v>
      </c>
      <c r="AN236" s="90">
        <f ca="1">(IF(AN4&lt;'Get Started  2'!$H112,0,OFFSET(AN234,0,-1*'Get Started  2'!$H112)*'Get Started  2'!$H42*'Get Started  2'!$G112)+IF(AN4&lt;'Get Started  2'!$H111,0,OFFSET(AN234,0,-1*'Get Started  2'!$H111)*'Get Started  2'!$G42*'Get Started  2'!$G111)+IF(AN4&lt;'Get Started  2'!$H110,0,OFFSET(AN234,0,-1*'Get Started  2'!$H110)*'Get Started  2'!$F42*'Get Started  2'!$G110)+IF(AN4&lt;'Get Started  2'!$H109,0,OFFSET(AN234,0,-1*'Get Started  2'!$H109)*'Get Started  2'!$E42*'Get Started  2'!$G109))</f>
        <v>6.8217187499999984E-2</v>
      </c>
      <c r="AO236" s="90">
        <f ca="1">(IF(AO4&lt;'Get Started  2'!$H112,0,OFFSET(AO234,0,-1*'Get Started  2'!$H112)*'Get Started  2'!$H42*'Get Started  2'!$G112)+IF(AO4&lt;'Get Started  2'!$H111,0,OFFSET(AO234,0,-1*'Get Started  2'!$H111)*'Get Started  2'!$G42*'Get Started  2'!$G111)+IF(AO4&lt;'Get Started  2'!$H110,0,OFFSET(AO234,0,-1*'Get Started  2'!$H110)*'Get Started  2'!$F42*'Get Started  2'!$G110)+IF(AO4&lt;'Get Started  2'!$H109,0,OFFSET(AO234,0,-1*'Get Started  2'!$H109)*'Get Started  2'!$E42*'Get Started  2'!$G109))</f>
        <v>6.8217187499999984E-2</v>
      </c>
      <c r="AP236" s="90">
        <f ca="1">(IF(AP4&lt;'Get Started  2'!$H112,0,OFFSET(AP234,0,-1*'Get Started  2'!$H112)*'Get Started  2'!$H42*'Get Started  2'!$G112)+IF(AP4&lt;'Get Started  2'!$H111,0,OFFSET(AP234,0,-1*'Get Started  2'!$H111)*'Get Started  2'!$G42*'Get Started  2'!$G111)+IF(AP4&lt;'Get Started  2'!$H110,0,OFFSET(AP234,0,-1*'Get Started  2'!$H110)*'Get Started  2'!$F42*'Get Started  2'!$G110)+IF(AP4&lt;'Get Started  2'!$H109,0,OFFSET(AP234,0,-1*'Get Started  2'!$H109)*'Get Started  2'!$E42*'Get Started  2'!$G109))</f>
        <v>6.8217187499999984E-2</v>
      </c>
      <c r="AQ236" s="90">
        <f ca="1">(IF(AQ4&lt;'Get Started  2'!$H112,0,OFFSET(AQ234,0,-1*'Get Started  2'!$H112)*'Get Started  2'!$H42*'Get Started  2'!$G112)+IF(AQ4&lt;'Get Started  2'!$H111,0,OFFSET(AQ234,0,-1*'Get Started  2'!$H111)*'Get Started  2'!$G42*'Get Started  2'!$G111)+IF(AQ4&lt;'Get Started  2'!$H110,0,OFFSET(AQ234,0,-1*'Get Started  2'!$H110)*'Get Started  2'!$F42*'Get Started  2'!$G110)+IF(AQ4&lt;'Get Started  2'!$H109,0,OFFSET(AQ234,0,-1*'Get Started  2'!$H109)*'Get Started  2'!$E42*'Get Started  2'!$G109))</f>
        <v>8.1273199218749995E-2</v>
      </c>
      <c r="AR236" s="90">
        <f ca="1">(IF(AR4&lt;'Get Started  2'!$H112,0,OFFSET(AR234,0,-1*'Get Started  2'!$H112)*'Get Started  2'!$H42*'Get Started  2'!$G112)+IF(AR4&lt;'Get Started  2'!$H111,0,OFFSET(AR234,0,-1*'Get Started  2'!$H111)*'Get Started  2'!$G42*'Get Started  2'!$G111)+IF(AR4&lt;'Get Started  2'!$H110,0,OFFSET(AR234,0,-1*'Get Started  2'!$H110)*'Get Started  2'!$F42*'Get Started  2'!$G110)+IF(AR4&lt;'Get Started  2'!$H109,0,OFFSET(AR234,0,-1*'Get Started  2'!$H109)*'Get Started  2'!$E42*'Get Started  2'!$G109))</f>
        <v>8.1273199218749995E-2</v>
      </c>
      <c r="AS236" s="90">
        <f ca="1">(IF(AS4&lt;'Get Started  2'!$H112,0,OFFSET(AS234,0,-1*'Get Started  2'!$H112)*'Get Started  2'!$H42*'Get Started  2'!$G112)+IF(AS4&lt;'Get Started  2'!$H111,0,OFFSET(AS234,0,-1*'Get Started  2'!$H111)*'Get Started  2'!$G42*'Get Started  2'!$G111)+IF(AS4&lt;'Get Started  2'!$H110,0,OFFSET(AS234,0,-1*'Get Started  2'!$H110)*'Get Started  2'!$F42*'Get Started  2'!$G110)+IF(AS4&lt;'Get Started  2'!$H109,0,OFFSET(AS234,0,-1*'Get Started  2'!$H109)*'Get Started  2'!$E42*'Get Started  2'!$G109))</f>
        <v>8.1273199218749995E-2</v>
      </c>
      <c r="AT236" s="90">
        <f ca="1">(IF(AT4&lt;'Get Started  2'!$H112,0,OFFSET(AT234,0,-1*'Get Started  2'!$H112)*'Get Started  2'!$H42*'Get Started  2'!$G112)+IF(AT4&lt;'Get Started  2'!$H111,0,OFFSET(AT234,0,-1*'Get Started  2'!$H111)*'Get Started  2'!$G42*'Get Started  2'!$G111)+IF(AT4&lt;'Get Started  2'!$H110,0,OFFSET(AT234,0,-1*'Get Started  2'!$H110)*'Get Started  2'!$F42*'Get Started  2'!$G110)+IF(AT4&lt;'Get Started  2'!$H109,0,OFFSET(AT234,0,-1*'Get Started  2'!$H109)*'Get Started  2'!$E42*'Get Started  2'!$G109))</f>
        <v>8.1273199218749995E-2</v>
      </c>
      <c r="AU236" s="90">
        <f ca="1">(IF(AU4&lt;'Get Started  2'!$H112,0,OFFSET(AU234,0,-1*'Get Started  2'!$H112)*'Get Started  2'!$H42*'Get Started  2'!$G112)+IF(AU4&lt;'Get Started  2'!$H111,0,OFFSET(AU234,0,-1*'Get Started  2'!$H111)*'Get Started  2'!$G42*'Get Started  2'!$G111)+IF(AU4&lt;'Get Started  2'!$H110,0,OFFSET(AU234,0,-1*'Get Started  2'!$H110)*'Get Started  2'!$F42*'Get Started  2'!$G110)+IF(AU4&lt;'Get Started  2'!$H109,0,OFFSET(AU234,0,-1*'Get Started  2'!$H109)*'Get Started  2'!$E42*'Get Started  2'!$G109))</f>
        <v>0</v>
      </c>
      <c r="AV236" s="90">
        <f ca="1">(IF(AV4&lt;'Get Started  2'!$H112,0,OFFSET(AV234,0,-1*'Get Started  2'!$H112)*'Get Started  2'!$H42*'Get Started  2'!$G112)+IF(AV4&lt;'Get Started  2'!$H111,0,OFFSET(AV234,0,-1*'Get Started  2'!$H111)*'Get Started  2'!$G42*'Get Started  2'!$G111)+IF(AV4&lt;'Get Started  2'!$H110,0,OFFSET(AV234,0,-1*'Get Started  2'!$H110)*'Get Started  2'!$F42*'Get Started  2'!$G110)+IF(AV4&lt;'Get Started  2'!$H109,0,OFFSET(AV234,0,-1*'Get Started  2'!$H109)*'Get Started  2'!$E42*'Get Started  2'!$G109))</f>
        <v>0</v>
      </c>
      <c r="AW236" s="90">
        <f ca="1">(IF(AW4&lt;'Get Started  2'!$H112,0,OFFSET(AW234,0,-1*'Get Started  2'!$H112)*'Get Started  2'!$H42*'Get Started  2'!$G112)+IF(AW4&lt;'Get Started  2'!$H111,0,OFFSET(AW234,0,-1*'Get Started  2'!$H111)*'Get Started  2'!$G42*'Get Started  2'!$G111)+IF(AW4&lt;'Get Started  2'!$H110,0,OFFSET(AW234,0,-1*'Get Started  2'!$H110)*'Get Started  2'!$F42*'Get Started  2'!$G110)+IF(AW4&lt;'Get Started  2'!$H109,0,OFFSET(AW234,0,-1*'Get Started  2'!$H109)*'Get Started  2'!$E42*'Get Started  2'!$G109))</f>
        <v>0</v>
      </c>
      <c r="AX236" s="90">
        <f ca="1">(IF(AX4&lt;'Get Started  2'!$H112,0,OFFSET(AX234,0,-1*'Get Started  2'!$H112)*'Get Started  2'!$H42*'Get Started  2'!$G112)+IF(AX4&lt;'Get Started  2'!$H111,0,OFFSET(AX234,0,-1*'Get Started  2'!$H111)*'Get Started  2'!$G42*'Get Started  2'!$G111)+IF(AX4&lt;'Get Started  2'!$H110,0,OFFSET(AX234,0,-1*'Get Started  2'!$H110)*'Get Started  2'!$F42*'Get Started  2'!$G110)+IF(AX4&lt;'Get Started  2'!$H109,0,OFFSET(AX234,0,-1*'Get Started  2'!$H109)*'Get Started  2'!$E42*'Get Started  2'!$G109))</f>
        <v>0</v>
      </c>
      <c r="AY236" s="90">
        <f ca="1">(IF(AY4&lt;'Get Started  2'!$H112,0,OFFSET(AY234,0,-1*'Get Started  2'!$H112)*'Get Started  2'!$H42*'Get Started  2'!$G112)+IF(AY4&lt;'Get Started  2'!$H111,0,OFFSET(AY234,0,-1*'Get Started  2'!$H111)*'Get Started  2'!$G42*'Get Started  2'!$G111)+IF(AY4&lt;'Get Started  2'!$H110,0,OFFSET(AY234,0,-1*'Get Started  2'!$H110)*'Get Started  2'!$F42*'Get Started  2'!$G110)+IF(AY4&lt;'Get Started  2'!$H109,0,OFFSET(AY234,0,-1*'Get Started  2'!$H109)*'Get Started  2'!$E42*'Get Started  2'!$G109))</f>
        <v>0</v>
      </c>
      <c r="AZ236" s="90">
        <f ca="1">(IF(AZ4&lt;'Get Started  2'!$H112,0,OFFSET(AZ234,0,-1*'Get Started  2'!$H112)*'Get Started  2'!$H42*'Get Started  2'!$G112)+IF(AZ4&lt;'Get Started  2'!$H111,0,OFFSET(AZ234,0,-1*'Get Started  2'!$H111)*'Get Started  2'!$G42*'Get Started  2'!$G111)+IF(AZ4&lt;'Get Started  2'!$H110,0,OFFSET(AZ234,0,-1*'Get Started  2'!$H110)*'Get Started  2'!$F42*'Get Started  2'!$G110)+IF(AZ4&lt;'Get Started  2'!$H109,0,OFFSET(AZ234,0,-1*'Get Started  2'!$H109)*'Get Started  2'!$E42*'Get Started  2'!$G109))</f>
        <v>0</v>
      </c>
      <c r="BA236" s="90">
        <f ca="1">(IF(BA4&lt;'Get Started  2'!$H112,0,OFFSET(BA234,0,-1*'Get Started  2'!$H112)*'Get Started  2'!$H42*'Get Started  2'!$G112)+IF(BA4&lt;'Get Started  2'!$H111,0,OFFSET(BA234,0,-1*'Get Started  2'!$H111)*'Get Started  2'!$G42*'Get Started  2'!$G111)+IF(BA4&lt;'Get Started  2'!$H110,0,OFFSET(BA234,0,-1*'Get Started  2'!$H110)*'Get Started  2'!$F42*'Get Started  2'!$G110)+IF(BA4&lt;'Get Started  2'!$H109,0,OFFSET(BA234,0,-1*'Get Started  2'!$H109)*'Get Started  2'!$E42*'Get Started  2'!$G109))</f>
        <v>0</v>
      </c>
      <c r="BB236" s="90">
        <f ca="1">(IF(BB4&lt;'Get Started  2'!$H112,0,OFFSET(BB234,0,-1*'Get Started  2'!$H112)*'Get Started  2'!$H42*'Get Started  2'!$G112)+IF(BB4&lt;'Get Started  2'!$H111,0,OFFSET(BB234,0,-1*'Get Started  2'!$H111)*'Get Started  2'!$G42*'Get Started  2'!$G111)+IF(BB4&lt;'Get Started  2'!$H110,0,OFFSET(BB234,0,-1*'Get Started  2'!$H110)*'Get Started  2'!$F42*'Get Started  2'!$G110)+IF(BB4&lt;'Get Started  2'!$H109,0,OFFSET(BB234,0,-1*'Get Started  2'!$H109)*'Get Started  2'!$E42*'Get Started  2'!$G109))</f>
        <v>0</v>
      </c>
      <c r="BC236" s="90">
        <f ca="1">(IF(BC4&lt;'Get Started  2'!$H112,0,OFFSET(BC234,0,-1*'Get Started  2'!$H112)*'Get Started  2'!$H42*'Get Started  2'!$G112)+IF(BC4&lt;'Get Started  2'!$H111,0,OFFSET(BC234,0,-1*'Get Started  2'!$H111)*'Get Started  2'!$G42*'Get Started  2'!$G111)+IF(BC4&lt;'Get Started  2'!$H110,0,OFFSET(BC234,0,-1*'Get Started  2'!$H110)*'Get Started  2'!$F42*'Get Started  2'!$G110)+IF(BC4&lt;'Get Started  2'!$H109,0,OFFSET(BC234,0,-1*'Get Started  2'!$H109)*'Get Started  2'!$E42*'Get Started  2'!$G109))</f>
        <v>0</v>
      </c>
      <c r="BD236" s="90">
        <f ca="1">(IF(BD4&lt;'Get Started  2'!$H112,0,OFFSET(BD234,0,-1*'Get Started  2'!$H112)*'Get Started  2'!$H42*'Get Started  2'!$G112)+IF(BD4&lt;'Get Started  2'!$H111,0,OFFSET(BD234,0,-1*'Get Started  2'!$H111)*'Get Started  2'!$G42*'Get Started  2'!$G111)+IF(BD4&lt;'Get Started  2'!$H110,0,OFFSET(BD234,0,-1*'Get Started  2'!$H110)*'Get Started  2'!$F42*'Get Started  2'!$G110)+IF(BD4&lt;'Get Started  2'!$H109,0,OFFSET(BD234,0,-1*'Get Started  2'!$H109)*'Get Started  2'!$E42*'Get Started  2'!$G109))</f>
        <v>0</v>
      </c>
      <c r="BE236" s="90">
        <f ca="1">(IF(BE4&lt;'Get Started  2'!$H112,0,OFFSET(BE234,0,-1*'Get Started  2'!$H112)*'Get Started  2'!$H42*'Get Started  2'!$G112)+IF(BE4&lt;'Get Started  2'!$H111,0,OFFSET(BE234,0,-1*'Get Started  2'!$H111)*'Get Started  2'!$G42*'Get Started  2'!$G111)+IF(BE4&lt;'Get Started  2'!$H110,0,OFFSET(BE234,0,-1*'Get Started  2'!$H110)*'Get Started  2'!$F42*'Get Started  2'!$G110)+IF(BE4&lt;'Get Started  2'!$H109,0,OFFSET(BE234,0,-1*'Get Started  2'!$H109)*'Get Started  2'!$E42*'Get Started  2'!$G109))</f>
        <v>0</v>
      </c>
      <c r="BF236" s="90">
        <f ca="1">(IF(BF4&lt;'Get Started  2'!$H112,0,OFFSET(BF234,0,-1*'Get Started  2'!$H112)*'Get Started  2'!$H42*'Get Started  2'!$G112)+IF(BF4&lt;'Get Started  2'!$H111,0,OFFSET(BF234,0,-1*'Get Started  2'!$H111)*'Get Started  2'!$G42*'Get Started  2'!$G111)+IF(BF4&lt;'Get Started  2'!$H110,0,OFFSET(BF234,0,-1*'Get Started  2'!$H110)*'Get Started  2'!$F42*'Get Started  2'!$G110)+IF(BF4&lt;'Get Started  2'!$H109,0,OFFSET(BF234,0,-1*'Get Started  2'!$H109)*'Get Started  2'!$E42*'Get Started  2'!$G109))</f>
        <v>0</v>
      </c>
      <c r="BG236" s="90">
        <f ca="1">(IF(BG4&lt;'Get Started  2'!$H112,0,OFFSET(BG234,0,-1*'Get Started  2'!$H112)*'Get Started  2'!$H42*'Get Started  2'!$G112)+IF(BG4&lt;'Get Started  2'!$H111,0,OFFSET(BG234,0,-1*'Get Started  2'!$H111)*'Get Started  2'!$G42*'Get Started  2'!$G111)+IF(BG4&lt;'Get Started  2'!$H110,0,OFFSET(BG234,0,-1*'Get Started  2'!$H110)*'Get Started  2'!$F42*'Get Started  2'!$G110)+IF(BG4&lt;'Get Started  2'!$H109,0,OFFSET(BG234,0,-1*'Get Started  2'!$H109)*'Get Started  2'!$E42*'Get Started  2'!$G109))</f>
        <v>0</v>
      </c>
      <c r="BH236" s="90">
        <f ca="1">(IF(BH4&lt;'Get Started  2'!$H112,0,OFFSET(BH234,0,-1*'Get Started  2'!$H112)*'Get Started  2'!$H42*'Get Started  2'!$G112)+IF(BH4&lt;'Get Started  2'!$H111,0,OFFSET(BH234,0,-1*'Get Started  2'!$H111)*'Get Started  2'!$G42*'Get Started  2'!$G111)+IF(BH4&lt;'Get Started  2'!$H110,0,OFFSET(BH234,0,-1*'Get Started  2'!$H110)*'Get Started  2'!$F42*'Get Started  2'!$G110)+IF(BH4&lt;'Get Started  2'!$H109,0,OFFSET(BH234,0,-1*'Get Started  2'!$H109)*'Get Started  2'!$E42*'Get Started  2'!$G109))</f>
        <v>0</v>
      </c>
      <c r="BI236" s="90">
        <f ca="1">(IF(BI4&lt;'Get Started  2'!$H112,0,OFFSET(BI234,0,-1*'Get Started  2'!$H112)*'Get Started  2'!$H42*'Get Started  2'!$G112)+IF(BI4&lt;'Get Started  2'!$H111,0,OFFSET(BI234,0,-1*'Get Started  2'!$H111)*'Get Started  2'!$G42*'Get Started  2'!$G111)+IF(BI4&lt;'Get Started  2'!$H110,0,OFFSET(BI234,0,-1*'Get Started  2'!$H110)*'Get Started  2'!$F42*'Get Started  2'!$G110)+IF(BI4&lt;'Get Started  2'!$H109,0,OFFSET(BI234,0,-1*'Get Started  2'!$H109)*'Get Started  2'!$E42*'Get Started  2'!$G109))</f>
        <v>0</v>
      </c>
      <c r="BJ236" s="90">
        <f ca="1">(IF(BJ4&lt;'Get Started  2'!$H112,0,OFFSET(BJ234,0,-1*'Get Started  2'!$H112)*'Get Started  2'!$H42*'Get Started  2'!$G112)+IF(BJ4&lt;'Get Started  2'!$H111,0,OFFSET(BJ234,0,-1*'Get Started  2'!$H111)*'Get Started  2'!$G42*'Get Started  2'!$G111)+IF(BJ4&lt;'Get Started  2'!$H110,0,OFFSET(BJ234,0,-1*'Get Started  2'!$H110)*'Get Started  2'!$F42*'Get Started  2'!$G110)+IF(BJ4&lt;'Get Started  2'!$H109,0,OFFSET(BJ234,0,-1*'Get Started  2'!$H109)*'Get Started  2'!$E42*'Get Started  2'!$G109))</f>
        <v>0</v>
      </c>
      <c r="BK236" s="90">
        <f ca="1">(IF(BK4&lt;'Get Started  2'!$H112,0,OFFSET(BK234,0,-1*'Get Started  2'!$H112)*'Get Started  2'!$H42*'Get Started  2'!$G112)+IF(BK4&lt;'Get Started  2'!$H111,0,OFFSET(BK234,0,-1*'Get Started  2'!$H111)*'Get Started  2'!$G42*'Get Started  2'!$G111)+IF(BK4&lt;'Get Started  2'!$H110,0,OFFSET(BK234,0,-1*'Get Started  2'!$H110)*'Get Started  2'!$F42*'Get Started  2'!$G110)+IF(BK4&lt;'Get Started  2'!$H109,0,OFFSET(BK234,0,-1*'Get Started  2'!$H109)*'Get Started  2'!$E42*'Get Started  2'!$G109))</f>
        <v>0</v>
      </c>
      <c r="BL236" s="90">
        <f ca="1">(IF(BL4&lt;'Get Started  2'!$H112,0,OFFSET(BL234,0,-1*'Get Started  2'!$H112)*'Get Started  2'!$H42*'Get Started  2'!$G112)+IF(BL4&lt;'Get Started  2'!$H111,0,OFFSET(BL234,0,-1*'Get Started  2'!$H111)*'Get Started  2'!$G42*'Get Started  2'!$G111)+IF(BL4&lt;'Get Started  2'!$H110,0,OFFSET(BL234,0,-1*'Get Started  2'!$H110)*'Get Started  2'!$F42*'Get Started  2'!$G110)+IF(BL4&lt;'Get Started  2'!$H109,0,OFFSET(BL234,0,-1*'Get Started  2'!$H109)*'Get Started  2'!$E42*'Get Started  2'!$G109))</f>
        <v>0</v>
      </c>
      <c r="BM236" s="90">
        <f ca="1">(IF(BM4&lt;'Get Started  2'!$H112,0,OFFSET(BM234,0,-1*'Get Started  2'!$H112)*'Get Started  2'!$H42*'Get Started  2'!$G112)+IF(BM4&lt;'Get Started  2'!$H111,0,OFFSET(BM234,0,-1*'Get Started  2'!$H111)*'Get Started  2'!$G42*'Get Started  2'!$G111)+IF(BM4&lt;'Get Started  2'!$H110,0,OFFSET(BM234,0,-1*'Get Started  2'!$H110)*'Get Started  2'!$F42*'Get Started  2'!$G110)+IF(BM4&lt;'Get Started  2'!$H109,0,OFFSET(BM234,0,-1*'Get Started  2'!$H109)*'Get Started  2'!$E42*'Get Started  2'!$G109))</f>
        <v>0</v>
      </c>
      <c r="BN236" s="90">
        <f ca="1">(IF(BN4&lt;'Get Started  2'!$H112,0,OFFSET(BN234,0,-1*'Get Started  2'!$H112)*'Get Started  2'!$H42*'Get Started  2'!$G112)+IF(BN4&lt;'Get Started  2'!$H111,0,OFFSET(BN234,0,-1*'Get Started  2'!$H111)*'Get Started  2'!$G42*'Get Started  2'!$G111)+IF(BN4&lt;'Get Started  2'!$H110,0,OFFSET(BN234,0,-1*'Get Started  2'!$H110)*'Get Started  2'!$F42*'Get Started  2'!$G110)+IF(BN4&lt;'Get Started  2'!$H109,0,OFFSET(BN234,0,-1*'Get Started  2'!$H109)*'Get Started  2'!$E42*'Get Started  2'!$G109))</f>
        <v>0</v>
      </c>
      <c r="BO236" s="90">
        <f ca="1">(IF(BO4&lt;'Get Started  2'!$H112,0,OFFSET(BO234,0,-1*'Get Started  2'!$H112)*'Get Started  2'!$H42*'Get Started  2'!$G112)+IF(BO4&lt;'Get Started  2'!$H111,0,OFFSET(BO234,0,-1*'Get Started  2'!$H111)*'Get Started  2'!$G42*'Get Started  2'!$G111)+IF(BO4&lt;'Get Started  2'!$H110,0,OFFSET(BO234,0,-1*'Get Started  2'!$H110)*'Get Started  2'!$F42*'Get Started  2'!$G110)+IF(BO4&lt;'Get Started  2'!$H109,0,OFFSET(BO234,0,-1*'Get Started  2'!$H109)*'Get Started  2'!$E42*'Get Started  2'!$G109))</f>
        <v>0</v>
      </c>
      <c r="BP236" s="90">
        <f ca="1">(IF(BP4&lt;'Get Started  2'!$H112,0,OFFSET(BP234,0,-1*'Get Started  2'!$H112)*'Get Started  2'!$H42*'Get Started  2'!$G112)+IF(BP4&lt;'Get Started  2'!$H111,0,OFFSET(BP234,0,-1*'Get Started  2'!$H111)*'Get Started  2'!$G42*'Get Started  2'!$G111)+IF(BP4&lt;'Get Started  2'!$H110,0,OFFSET(BP234,0,-1*'Get Started  2'!$H110)*'Get Started  2'!$F42*'Get Started  2'!$G110)+IF(BP4&lt;'Get Started  2'!$H109,0,OFFSET(BP234,0,-1*'Get Started  2'!$H109)*'Get Started  2'!$E42*'Get Started  2'!$G109))</f>
        <v>0</v>
      </c>
      <c r="BQ236" s="90">
        <f ca="1">(IF(BQ4&lt;'Get Started  2'!$H112,0,OFFSET(BQ234,0,-1*'Get Started  2'!$H112)*'Get Started  2'!$H42*'Get Started  2'!$G112)+IF(BQ4&lt;'Get Started  2'!$H111,0,OFFSET(BQ234,0,-1*'Get Started  2'!$H111)*'Get Started  2'!$G42*'Get Started  2'!$G111)+IF(BQ4&lt;'Get Started  2'!$H110,0,OFFSET(BQ234,0,-1*'Get Started  2'!$H110)*'Get Started  2'!$F42*'Get Started  2'!$G110)+IF(BQ4&lt;'Get Started  2'!$H109,0,OFFSET(BQ234,0,-1*'Get Started  2'!$H109)*'Get Started  2'!$E42*'Get Started  2'!$G109))</f>
        <v>0</v>
      </c>
      <c r="BR236" s="90">
        <f ca="1">(IF(BR4&lt;'Get Started  2'!$H112,0,OFFSET(BR234,0,-1*'Get Started  2'!$H112)*'Get Started  2'!$H42*'Get Started  2'!$G112)+IF(BR4&lt;'Get Started  2'!$H111,0,OFFSET(BR234,0,-1*'Get Started  2'!$H111)*'Get Started  2'!$G42*'Get Started  2'!$G111)+IF(BR4&lt;'Get Started  2'!$H110,0,OFFSET(BR234,0,-1*'Get Started  2'!$H110)*'Get Started  2'!$F42*'Get Started  2'!$G110)+IF(BR4&lt;'Get Started  2'!$H109,0,OFFSET(BR234,0,-1*'Get Started  2'!$H109)*'Get Started  2'!$E42*'Get Started  2'!$G109))</f>
        <v>0</v>
      </c>
      <c r="BS236" s="90">
        <f ca="1">(IF(BS4&lt;'Get Started  2'!$H112,0,OFFSET(BS234,0,-1*'Get Started  2'!$H112)*'Get Started  2'!$H42*'Get Started  2'!$G112)+IF(BS4&lt;'Get Started  2'!$H111,0,OFFSET(BS234,0,-1*'Get Started  2'!$H111)*'Get Started  2'!$G42*'Get Started  2'!$G111)+IF(BS4&lt;'Get Started  2'!$H110,0,OFFSET(BS234,0,-1*'Get Started  2'!$H110)*'Get Started  2'!$F42*'Get Started  2'!$G110)+IF(BS4&lt;'Get Started  2'!$H109,0,OFFSET(BS234,0,-1*'Get Started  2'!$H109)*'Get Started  2'!$E42*'Get Started  2'!$G109))</f>
        <v>0</v>
      </c>
      <c r="BT236" s="90">
        <f ca="1">(IF(BT4&lt;'Get Started  2'!$H112,0,OFFSET(BT234,0,-1*'Get Started  2'!$H112)*'Get Started  2'!$H42*'Get Started  2'!$G112)+IF(BT4&lt;'Get Started  2'!$H111,0,OFFSET(BT234,0,-1*'Get Started  2'!$H111)*'Get Started  2'!$G42*'Get Started  2'!$G111)+IF(BT4&lt;'Get Started  2'!$H110,0,OFFSET(BT234,0,-1*'Get Started  2'!$H110)*'Get Started  2'!$F42*'Get Started  2'!$G110)+IF(BT4&lt;'Get Started  2'!$H109,0,OFFSET(BT234,0,-1*'Get Started  2'!$H109)*'Get Started  2'!$E42*'Get Started  2'!$G109))</f>
        <v>0</v>
      </c>
      <c r="BU236" s="90">
        <f ca="1">(IF(BU4&lt;'Get Started  2'!$H112,0,OFFSET(BU234,0,-1*'Get Started  2'!$H112)*'Get Started  2'!$H42*'Get Started  2'!$G112)+IF(BU4&lt;'Get Started  2'!$H111,0,OFFSET(BU234,0,-1*'Get Started  2'!$H111)*'Get Started  2'!$G42*'Get Started  2'!$G111)+IF(BU4&lt;'Get Started  2'!$H110,0,OFFSET(BU234,0,-1*'Get Started  2'!$H110)*'Get Started  2'!$F42*'Get Started  2'!$G110)+IF(BU4&lt;'Get Started  2'!$H109,0,OFFSET(BU234,0,-1*'Get Started  2'!$H109)*'Get Started  2'!$E42*'Get Started  2'!$G109))</f>
        <v>0</v>
      </c>
      <c r="BV236" s="90">
        <f ca="1">(IF(BV4&lt;'Get Started  2'!$H112,0,OFFSET(BV234,0,-1*'Get Started  2'!$H112)*'Get Started  2'!$H42*'Get Started  2'!$G112)+IF(BV4&lt;'Get Started  2'!$H111,0,OFFSET(BV234,0,-1*'Get Started  2'!$H111)*'Get Started  2'!$G42*'Get Started  2'!$G111)+IF(BV4&lt;'Get Started  2'!$H110,0,OFFSET(BV234,0,-1*'Get Started  2'!$H110)*'Get Started  2'!$F42*'Get Started  2'!$G110)+IF(BV4&lt;'Get Started  2'!$H109,0,OFFSET(BV234,0,-1*'Get Started  2'!$H109)*'Get Started  2'!$E42*'Get Started  2'!$G109))</f>
        <v>0</v>
      </c>
      <c r="BW236" s="90">
        <f ca="1">(IF(BW4&lt;'Get Started  2'!$H112,0,OFFSET(BW234,0,-1*'Get Started  2'!$H112)*'Get Started  2'!$H42*'Get Started  2'!$G112)+IF(BW4&lt;'Get Started  2'!$H111,0,OFFSET(BW234,0,-1*'Get Started  2'!$H111)*'Get Started  2'!$G42*'Get Started  2'!$G111)+IF(BW4&lt;'Get Started  2'!$H110,0,OFFSET(BW234,0,-1*'Get Started  2'!$H110)*'Get Started  2'!$F42*'Get Started  2'!$G110)+IF(BW4&lt;'Get Started  2'!$H109,0,OFFSET(BW234,0,-1*'Get Started  2'!$H109)*'Get Started  2'!$E42*'Get Started  2'!$G109))</f>
        <v>0</v>
      </c>
      <c r="BX236" s="90">
        <f ca="1">(IF(BX4&lt;'Get Started  2'!$H112,0,OFFSET(BX234,0,-1*'Get Started  2'!$H112)*'Get Started  2'!$H42*'Get Started  2'!$G112)+IF(BX4&lt;'Get Started  2'!$H111,0,OFFSET(BX234,0,-1*'Get Started  2'!$H111)*'Get Started  2'!$G42*'Get Started  2'!$G111)+IF(BX4&lt;'Get Started  2'!$H110,0,OFFSET(BX234,0,-1*'Get Started  2'!$H110)*'Get Started  2'!$F42*'Get Started  2'!$G110)+IF(BX4&lt;'Get Started  2'!$H109,0,OFFSET(BX234,0,-1*'Get Started  2'!$H109)*'Get Started  2'!$E42*'Get Started  2'!$G109))</f>
        <v>0</v>
      </c>
      <c r="BY236" s="90">
        <f ca="1">(IF(BY4&lt;'Get Started  2'!$H112,0,OFFSET(BY234,0,-1*'Get Started  2'!$H112)*'Get Started  2'!$H42*'Get Started  2'!$G112)+IF(BY4&lt;'Get Started  2'!$H111,0,OFFSET(BY234,0,-1*'Get Started  2'!$H111)*'Get Started  2'!$G42*'Get Started  2'!$G111)+IF(BY4&lt;'Get Started  2'!$H110,0,OFFSET(BY234,0,-1*'Get Started  2'!$H110)*'Get Started  2'!$F42*'Get Started  2'!$G110)+IF(BY4&lt;'Get Started  2'!$H109,0,OFFSET(BY234,0,-1*'Get Started  2'!$H109)*'Get Started  2'!$E42*'Get Started  2'!$G109))</f>
        <v>0</v>
      </c>
      <c r="BZ236" s="90">
        <f ca="1">(IF(BZ4&lt;'Get Started  2'!$H112,0,OFFSET(BZ234,0,-1*'Get Started  2'!$H112)*'Get Started  2'!$H42*'Get Started  2'!$G112)+IF(BZ4&lt;'Get Started  2'!$H111,0,OFFSET(BZ234,0,-1*'Get Started  2'!$H111)*'Get Started  2'!$G42*'Get Started  2'!$G111)+IF(BZ4&lt;'Get Started  2'!$H110,0,OFFSET(BZ234,0,-1*'Get Started  2'!$H110)*'Get Started  2'!$F42*'Get Started  2'!$G110)+IF(BZ4&lt;'Get Started  2'!$H109,0,OFFSET(BZ234,0,-1*'Get Started  2'!$H109)*'Get Started  2'!$E42*'Get Started  2'!$G109))</f>
        <v>0</v>
      </c>
      <c r="CA236" s="90">
        <f ca="1">(IF(CA4&lt;'Get Started  2'!$H112,0,OFFSET(CA234,0,-1*'Get Started  2'!$H112)*'Get Started  2'!$H42*'Get Started  2'!$G112)+IF(CA4&lt;'Get Started  2'!$H111,0,OFFSET(CA234,0,-1*'Get Started  2'!$H111)*'Get Started  2'!$G42*'Get Started  2'!$G111)+IF(CA4&lt;'Get Started  2'!$H110,0,OFFSET(CA234,0,-1*'Get Started  2'!$H110)*'Get Started  2'!$F42*'Get Started  2'!$G110)+IF(CA4&lt;'Get Started  2'!$H109,0,OFFSET(CA234,0,-1*'Get Started  2'!$H109)*'Get Started  2'!$E42*'Get Started  2'!$G109))</f>
        <v>0</v>
      </c>
      <c r="CB236" s="90">
        <f ca="1">(IF(CB4&lt;'Get Started  2'!$H112,0,OFFSET(CB234,0,-1*'Get Started  2'!$H112)*'Get Started  2'!$H42*'Get Started  2'!$G112)+IF(CB4&lt;'Get Started  2'!$H111,0,OFFSET(CB234,0,-1*'Get Started  2'!$H111)*'Get Started  2'!$G42*'Get Started  2'!$G111)+IF(CB4&lt;'Get Started  2'!$H110,0,OFFSET(CB234,0,-1*'Get Started  2'!$H110)*'Get Started  2'!$F42*'Get Started  2'!$G110)+IF(CB4&lt;'Get Started  2'!$H109,0,OFFSET(CB234,0,-1*'Get Started  2'!$H109)*'Get Started  2'!$E42*'Get Started  2'!$G109))</f>
        <v>0</v>
      </c>
      <c r="CC236" s="90">
        <f ca="1">(IF(CC4&lt;'Get Started  2'!$H112,0,OFFSET(CC234,0,-1*'Get Started  2'!$H112)*'Get Started  2'!$H42*'Get Started  2'!$G112)+IF(CC4&lt;'Get Started  2'!$H111,0,OFFSET(CC234,0,-1*'Get Started  2'!$H111)*'Get Started  2'!$G42*'Get Started  2'!$G111)+IF(CC4&lt;'Get Started  2'!$H110,0,OFFSET(CC234,0,-1*'Get Started  2'!$H110)*'Get Started  2'!$F42*'Get Started  2'!$G110)+IF(CC4&lt;'Get Started  2'!$H109,0,OFFSET(CC234,0,-1*'Get Started  2'!$H109)*'Get Started  2'!$E42*'Get Started  2'!$G109))</f>
        <v>0</v>
      </c>
      <c r="CD236" s="90">
        <f ca="1">(IF(CD4&lt;'Get Started  2'!$H112,0,OFFSET(CD234,0,-1*'Get Started  2'!$H112)*'Get Started  2'!$H42*'Get Started  2'!$G112)+IF(CD4&lt;'Get Started  2'!$H111,0,OFFSET(CD234,0,-1*'Get Started  2'!$H111)*'Get Started  2'!$G42*'Get Started  2'!$G111)+IF(CD4&lt;'Get Started  2'!$H110,0,OFFSET(CD234,0,-1*'Get Started  2'!$H110)*'Get Started  2'!$F42*'Get Started  2'!$G110)+IF(CD4&lt;'Get Started  2'!$H109,0,OFFSET(CD234,0,-1*'Get Started  2'!$H109)*'Get Started  2'!$E42*'Get Started  2'!$G109))</f>
        <v>0</v>
      </c>
      <c r="CE236" s="90">
        <f ca="1">(IF(CE4&lt;'Get Started  2'!$H112,0,OFFSET(CE234,0,-1*'Get Started  2'!$H112)*'Get Started  2'!$H42*'Get Started  2'!$G112)+IF(CE4&lt;'Get Started  2'!$H111,0,OFFSET(CE234,0,-1*'Get Started  2'!$H111)*'Get Started  2'!$G42*'Get Started  2'!$G111)+IF(CE4&lt;'Get Started  2'!$H110,0,OFFSET(CE234,0,-1*'Get Started  2'!$H110)*'Get Started  2'!$F42*'Get Started  2'!$G110)+IF(CE4&lt;'Get Started  2'!$H109,0,OFFSET(CE234,0,-1*'Get Started  2'!$H109)*'Get Started  2'!$E42*'Get Started  2'!$G109))</f>
        <v>0</v>
      </c>
      <c r="CF236" s="90">
        <f ca="1">(IF(CF4&lt;'Get Started  2'!$H112,0,OFFSET(CF234,0,-1*'Get Started  2'!$H112)*'Get Started  2'!$H42*'Get Started  2'!$G112)+IF(CF4&lt;'Get Started  2'!$H111,0,OFFSET(CF234,0,-1*'Get Started  2'!$H111)*'Get Started  2'!$G42*'Get Started  2'!$G111)+IF(CF4&lt;'Get Started  2'!$H110,0,OFFSET(CF234,0,-1*'Get Started  2'!$H110)*'Get Started  2'!$F42*'Get Started  2'!$G110)+IF(CF4&lt;'Get Started  2'!$H109,0,OFFSET(CF234,0,-1*'Get Started  2'!$H109)*'Get Started  2'!$E42*'Get Started  2'!$G109))</f>
        <v>0</v>
      </c>
      <c r="CG236" s="90">
        <f ca="1">(IF(CG4&lt;'Get Started  2'!$H112,0,OFFSET(CG234,0,-1*'Get Started  2'!$H112)*'Get Started  2'!$H42*'Get Started  2'!$G112)+IF(CG4&lt;'Get Started  2'!$H111,0,OFFSET(CG234,0,-1*'Get Started  2'!$H111)*'Get Started  2'!$G42*'Get Started  2'!$G111)+IF(CG4&lt;'Get Started  2'!$H110,0,OFFSET(CG234,0,-1*'Get Started  2'!$H110)*'Get Started  2'!$F42*'Get Started  2'!$G110)+IF(CG4&lt;'Get Started  2'!$H109,0,OFFSET(CG234,0,-1*'Get Started  2'!$H109)*'Get Started  2'!$E42*'Get Started  2'!$G109))</f>
        <v>0</v>
      </c>
      <c r="CH236" s="90">
        <f ca="1">(IF(CH4&lt;'Get Started  2'!$H112,0,OFFSET(CH234,0,-1*'Get Started  2'!$H112)*'Get Started  2'!$H42*'Get Started  2'!$G112)+IF(CH4&lt;'Get Started  2'!$H111,0,OFFSET(CH234,0,-1*'Get Started  2'!$H111)*'Get Started  2'!$G42*'Get Started  2'!$G111)+IF(CH4&lt;'Get Started  2'!$H110,0,OFFSET(CH234,0,-1*'Get Started  2'!$H110)*'Get Started  2'!$F42*'Get Started  2'!$G110)+IF(CH4&lt;'Get Started  2'!$H109,0,OFFSET(CH234,0,-1*'Get Started  2'!$H109)*'Get Started  2'!$E42*'Get Started  2'!$G109))</f>
        <v>0</v>
      </c>
    </row>
    <row r="237" spans="1:86" ht="13" outlineLevel="1">
      <c r="A237" s="13"/>
      <c r="B237" s="13" t="s">
        <v>332</v>
      </c>
      <c r="C237" s="13"/>
      <c r="D237" s="13" t="s">
        <v>238</v>
      </c>
      <c r="E237" s="88">
        <f t="shared" ca="1" si="170"/>
        <v>3.8038583114583342</v>
      </c>
      <c r="F237" s="79"/>
      <c r="G237" s="90">
        <f ca="1">IF('Get Started  2'!$H112&lt;='Get Started  2'!$E27,IF(AND(G4&lt;'Get Started  2'!$H112,'Get Started  2'!$H112&lt;='Get Started  2'!$E27),0,OFFSET(G234,0,-1*'Get Started  2'!$H112)*'Get Started  2'!$H42*'Get Started  2'!$G112),0)+IF('Get Started  2'!$H111&lt;='Get Started  2'!$E27,IF(G4&lt;'Get Started  2'!$H111,0,OFFSET(G234,0,-1*'Get Started  2'!$H111)*'Get Started  2'!$G42*'Get Started  2'!$G111),0)+IF('Get Started  2'!$H110&lt;='Get Started  2'!$E27,IF(G4&lt;'Get Started  2'!$H110,0,OFFSET(G234,0,-1*'Get Started  2'!$H110)*'Get Started  2'!$F42*'Get Started  2'!$G110),0)+IF('Get Started  2'!$H109&lt;='Get Started  2'!$E27,IF(G4&lt;'Get Started  2'!$H109,0,OFFSET(G234,0,-1*'Get Started  2'!$H109)*'Get Started  2'!$E42*'Get Started  2'!$G109),0)</f>
        <v>0</v>
      </c>
      <c r="H237" s="90">
        <f ca="1">IF('Get Started  2'!$H112&lt;='Get Started  2'!$E27,IF(AND(H4&lt;'Get Started  2'!$H112,'Get Started  2'!$H112&lt;='Get Started  2'!$E27),0,OFFSET(H234,0,-1*'Get Started  2'!$H112)*'Get Started  2'!$H42*'Get Started  2'!$G112),0)+IF('Get Started  2'!$H111&lt;='Get Started  2'!$E27,IF(H4&lt;'Get Started  2'!$H111,0,OFFSET(H234,0,-1*'Get Started  2'!$H111)*'Get Started  2'!$G42*'Get Started  2'!$G111),0)+IF('Get Started  2'!$H110&lt;='Get Started  2'!$E27,IF(H4&lt;'Get Started  2'!$H110,0,OFFSET(H234,0,-1*'Get Started  2'!$H110)*'Get Started  2'!$F42*'Get Started  2'!$G110),0)+IF('Get Started  2'!$H109&lt;='Get Started  2'!$E27,IF(H4&lt;'Get Started  2'!$H109,0,OFFSET(H234,0,-1*'Get Started  2'!$H109)*'Get Started  2'!$E42*'Get Started  2'!$G109),0)</f>
        <v>0</v>
      </c>
      <c r="I237" s="90">
        <f ca="1">IF('Get Started  2'!$H112&lt;='Get Started  2'!$E27,IF(AND(I4&lt;'Get Started  2'!$H112,'Get Started  2'!$H112&lt;='Get Started  2'!$E27),0,OFFSET(I234,0,-1*'Get Started  2'!$H112)*'Get Started  2'!$H42*'Get Started  2'!$G112),0)+IF('Get Started  2'!$H111&lt;='Get Started  2'!$E27,IF(I4&lt;'Get Started  2'!$H111,0,OFFSET(I234,0,-1*'Get Started  2'!$H111)*'Get Started  2'!$G42*'Get Started  2'!$G111),0)+IF('Get Started  2'!$H110&lt;='Get Started  2'!$E27,IF(I4&lt;'Get Started  2'!$H110,0,OFFSET(I234,0,-1*'Get Started  2'!$H110)*'Get Started  2'!$F42*'Get Started  2'!$G110),0)+IF('Get Started  2'!$H109&lt;='Get Started  2'!$E27,IF(I4&lt;'Get Started  2'!$H109,0,OFFSET(I234,0,-1*'Get Started  2'!$H109)*'Get Started  2'!$E42*'Get Started  2'!$G109),0)</f>
        <v>0</v>
      </c>
      <c r="J237" s="90">
        <f ca="1">IF('Get Started  2'!$H112&lt;='Get Started  2'!$E27,IF(AND(J4&lt;'Get Started  2'!$H112,'Get Started  2'!$H112&lt;='Get Started  2'!$E27),0,OFFSET(J234,0,-1*'Get Started  2'!$H112)*'Get Started  2'!$H42*'Get Started  2'!$G112),0)+IF('Get Started  2'!$H111&lt;='Get Started  2'!$E27,IF(J4&lt;'Get Started  2'!$H111,0,OFFSET(J234,0,-1*'Get Started  2'!$H111)*'Get Started  2'!$G42*'Get Started  2'!$G111),0)+IF('Get Started  2'!$H110&lt;='Get Started  2'!$E27,IF(J4&lt;'Get Started  2'!$H110,0,OFFSET(J234,0,-1*'Get Started  2'!$H110)*'Get Started  2'!$F42*'Get Started  2'!$G110),0)+IF('Get Started  2'!$H109&lt;='Get Started  2'!$E27,IF(J4&lt;'Get Started  2'!$H109,0,OFFSET(J234,0,-1*'Get Started  2'!$H109)*'Get Started  2'!$E42*'Get Started  2'!$G109),0)</f>
        <v>0</v>
      </c>
      <c r="K237" s="90">
        <f ca="1">IF('Get Started  2'!$H112&lt;='Get Started  2'!$E27,IF(AND(K4&lt;'Get Started  2'!$H112,'Get Started  2'!$H112&lt;='Get Started  2'!$E27),0,OFFSET(K234,0,-1*'Get Started  2'!$H112)*'Get Started  2'!$H42*'Get Started  2'!$G112),0)+IF('Get Started  2'!$H111&lt;='Get Started  2'!$E27,IF(K4&lt;'Get Started  2'!$H111,0,OFFSET(K234,0,-1*'Get Started  2'!$H111)*'Get Started  2'!$G42*'Get Started  2'!$G111),0)+IF('Get Started  2'!$H110&lt;='Get Started  2'!$E27,IF(K4&lt;'Get Started  2'!$H110,0,OFFSET(K234,0,-1*'Get Started  2'!$H110)*'Get Started  2'!$F42*'Get Started  2'!$G110),0)+IF('Get Started  2'!$H109&lt;='Get Started  2'!$E27,IF(K4&lt;'Get Started  2'!$H109,0,OFFSET(K234,0,-1*'Get Started  2'!$H109)*'Get Started  2'!$E42*'Get Started  2'!$G109),0)</f>
        <v>0</v>
      </c>
      <c r="L237" s="90">
        <f ca="1">IF('Get Started  2'!$H112&lt;='Get Started  2'!$E27,IF(AND(L4&lt;'Get Started  2'!$H112,'Get Started  2'!$H112&lt;='Get Started  2'!$E27),0,OFFSET(L234,0,-1*'Get Started  2'!$H112)*'Get Started  2'!$H42*'Get Started  2'!$G112),0)+IF('Get Started  2'!$H111&lt;='Get Started  2'!$E27,IF(L4&lt;'Get Started  2'!$H111,0,OFFSET(L234,0,-1*'Get Started  2'!$H111)*'Get Started  2'!$G42*'Get Started  2'!$G111),0)+IF('Get Started  2'!$H110&lt;='Get Started  2'!$E27,IF(L4&lt;'Get Started  2'!$H110,0,OFFSET(L234,0,-1*'Get Started  2'!$H110)*'Get Started  2'!$F42*'Get Started  2'!$G110),0)+IF('Get Started  2'!$H109&lt;='Get Started  2'!$E27,IF(L4&lt;'Get Started  2'!$H109,0,OFFSET(L234,0,-1*'Get Started  2'!$H109)*'Get Started  2'!$E42*'Get Started  2'!$G109),0)</f>
        <v>0</v>
      </c>
      <c r="M237" s="90">
        <f ca="1">IF('Get Started  2'!$H112&lt;='Get Started  2'!$E27,IF(AND(M4&lt;'Get Started  2'!$H112,'Get Started  2'!$H112&lt;='Get Started  2'!$E27),0,OFFSET(M234,0,-1*'Get Started  2'!$H112)*'Get Started  2'!$H42*'Get Started  2'!$G112),0)+IF('Get Started  2'!$H111&lt;='Get Started  2'!$E27,IF(M4&lt;'Get Started  2'!$H111,0,OFFSET(M234,0,-1*'Get Started  2'!$H111)*'Get Started  2'!$G42*'Get Started  2'!$G111),0)+IF('Get Started  2'!$H110&lt;='Get Started  2'!$E27,IF(M4&lt;'Get Started  2'!$H110,0,OFFSET(M234,0,-1*'Get Started  2'!$H110)*'Get Started  2'!$F42*'Get Started  2'!$G110),0)+IF('Get Started  2'!$H109&lt;='Get Started  2'!$E27,IF(M4&lt;'Get Started  2'!$H109,0,OFFSET(M234,0,-1*'Get Started  2'!$H109)*'Get Started  2'!$E42*'Get Started  2'!$G109),0)</f>
        <v>0</v>
      </c>
      <c r="N237" s="90">
        <f ca="1">IF('Get Started  2'!$H112&lt;='Get Started  2'!$E27,IF(AND(N4&lt;'Get Started  2'!$H112,'Get Started  2'!$H112&lt;='Get Started  2'!$E27),0,OFFSET(N234,0,-1*'Get Started  2'!$H112)*'Get Started  2'!$H42*'Get Started  2'!$G112),0)+IF('Get Started  2'!$H111&lt;='Get Started  2'!$E27,IF(N4&lt;'Get Started  2'!$H111,0,OFFSET(N234,0,-1*'Get Started  2'!$H111)*'Get Started  2'!$G42*'Get Started  2'!$G111),0)+IF('Get Started  2'!$H110&lt;='Get Started  2'!$E27,IF(N4&lt;'Get Started  2'!$H110,0,OFFSET(N234,0,-1*'Get Started  2'!$H110)*'Get Started  2'!$F42*'Get Started  2'!$G110),0)+IF('Get Started  2'!$H109&lt;='Get Started  2'!$E27,IF(N4&lt;'Get Started  2'!$H109,0,OFFSET(N234,0,-1*'Get Started  2'!$H109)*'Get Started  2'!$E42*'Get Started  2'!$G109),0)</f>
        <v>0</v>
      </c>
      <c r="O237" s="90">
        <f ca="1">IF('Get Started  2'!$H112&lt;='Get Started  2'!$E27,IF(AND(O4&lt;'Get Started  2'!$H112,'Get Started  2'!$H112&lt;='Get Started  2'!$E27),0,OFFSET(O234,0,-1*'Get Started  2'!$H112)*'Get Started  2'!$H42*'Get Started  2'!$G112),0)+IF('Get Started  2'!$H111&lt;='Get Started  2'!$E27,IF(O4&lt;'Get Started  2'!$H111,0,OFFSET(O234,0,-1*'Get Started  2'!$H111)*'Get Started  2'!$G42*'Get Started  2'!$G111),0)+IF('Get Started  2'!$H110&lt;='Get Started  2'!$E27,IF(O4&lt;'Get Started  2'!$H110,0,OFFSET(O234,0,-1*'Get Started  2'!$H110)*'Get Started  2'!$F42*'Get Started  2'!$G110),0)+IF('Get Started  2'!$H109&lt;='Get Started  2'!$E27,IF(O4&lt;'Get Started  2'!$H109,0,OFFSET(O234,0,-1*'Get Started  2'!$H109)*'Get Started  2'!$E42*'Get Started  2'!$G109),0)</f>
        <v>0</v>
      </c>
      <c r="P237" s="90">
        <f ca="1">IF('Get Started  2'!$H112&lt;='Get Started  2'!$E27,IF(AND(P4&lt;'Get Started  2'!$H112,'Get Started  2'!$H112&lt;='Get Started  2'!$E27),0,OFFSET(P234,0,-1*'Get Started  2'!$H112)*'Get Started  2'!$H42*'Get Started  2'!$G112),0)+IF('Get Started  2'!$H111&lt;='Get Started  2'!$E27,IF(P4&lt;'Get Started  2'!$H111,0,OFFSET(P234,0,-1*'Get Started  2'!$H111)*'Get Started  2'!$G42*'Get Started  2'!$G111),0)+IF('Get Started  2'!$H110&lt;='Get Started  2'!$E27,IF(P4&lt;'Get Started  2'!$H110,0,OFFSET(P234,0,-1*'Get Started  2'!$H110)*'Get Started  2'!$F42*'Get Started  2'!$G110),0)+IF('Get Started  2'!$H109&lt;='Get Started  2'!$E27,IF(P4&lt;'Get Started  2'!$H109,0,OFFSET(P234,0,-1*'Get Started  2'!$H109)*'Get Started  2'!$E42*'Get Started  2'!$G109),0)</f>
        <v>0</v>
      </c>
      <c r="Q237" s="90">
        <f ca="1">IF('Get Started  2'!$H112&lt;='Get Started  2'!$E27,IF(AND(Q4&lt;'Get Started  2'!$H112,'Get Started  2'!$H112&lt;='Get Started  2'!$E27),0,OFFSET(Q234,0,-1*'Get Started  2'!$H112)*'Get Started  2'!$H42*'Get Started  2'!$G112),0)+IF('Get Started  2'!$H111&lt;='Get Started  2'!$E27,IF(Q4&lt;'Get Started  2'!$H111,0,OFFSET(Q234,0,-1*'Get Started  2'!$H111)*'Get Started  2'!$G42*'Get Started  2'!$G111),0)+IF('Get Started  2'!$H110&lt;='Get Started  2'!$E27,IF(Q4&lt;'Get Started  2'!$H110,0,OFFSET(Q234,0,-1*'Get Started  2'!$H110)*'Get Started  2'!$F42*'Get Started  2'!$G110),0)+IF('Get Started  2'!$H109&lt;='Get Started  2'!$E27,IF(Q4&lt;'Get Started  2'!$H109,0,OFFSET(Q234,0,-1*'Get Started  2'!$H109)*'Get Started  2'!$E42*'Get Started  2'!$G109),0)</f>
        <v>0</v>
      </c>
      <c r="R237" s="90">
        <f ca="1">IF('Get Started  2'!$H112&lt;='Get Started  2'!$E27,IF(AND(R4&lt;'Get Started  2'!$H112,'Get Started  2'!$H112&lt;='Get Started  2'!$E27),0,OFFSET(R234,0,-1*'Get Started  2'!$H112)*'Get Started  2'!$H42*'Get Started  2'!$G112),0)+IF('Get Started  2'!$H111&lt;='Get Started  2'!$E27,IF(R4&lt;'Get Started  2'!$H111,0,OFFSET(R234,0,-1*'Get Started  2'!$H111)*'Get Started  2'!$G42*'Get Started  2'!$G111),0)+IF('Get Started  2'!$H110&lt;='Get Started  2'!$E27,IF(R4&lt;'Get Started  2'!$H110,0,OFFSET(R234,0,-1*'Get Started  2'!$H110)*'Get Started  2'!$F42*'Get Started  2'!$G110),0)+IF('Get Started  2'!$H109&lt;='Get Started  2'!$E27,IF(R4&lt;'Get Started  2'!$H109,0,OFFSET(R234,0,-1*'Get Started  2'!$H109)*'Get Started  2'!$E42*'Get Started  2'!$G109),0)</f>
        <v>0</v>
      </c>
      <c r="S237" s="90">
        <f ca="1">IF('Get Started  2'!$H112&lt;='Get Started  2'!$E27,IF(AND(S4&lt;'Get Started  2'!$H112,'Get Started  2'!$H112&lt;='Get Started  2'!$E27),0,OFFSET(S234,0,-1*'Get Started  2'!$H112)*'Get Started  2'!$H42*'Get Started  2'!$G112),0)+IF('Get Started  2'!$H111&lt;='Get Started  2'!$E27,IF(S4&lt;'Get Started  2'!$H111,0,OFFSET(S234,0,-1*'Get Started  2'!$H111)*'Get Started  2'!$G42*'Get Started  2'!$G111),0)+IF('Get Started  2'!$H110&lt;='Get Started  2'!$E27,IF(S4&lt;'Get Started  2'!$H110,0,OFFSET(S234,0,-1*'Get Started  2'!$H110)*'Get Started  2'!$F42*'Get Started  2'!$G110),0)+IF('Get Started  2'!$H109&lt;='Get Started  2'!$E27,IF(S4&lt;'Get Started  2'!$H109,0,OFFSET(S234,0,-1*'Get Started  2'!$H109)*'Get Started  2'!$E42*'Get Started  2'!$G109),0)</f>
        <v>5.2552500000000016E-2</v>
      </c>
      <c r="T237" s="90">
        <f ca="1">IF('Get Started  2'!$H112&lt;='Get Started  2'!$E27,IF(AND(T4&lt;'Get Started  2'!$H112,'Get Started  2'!$H112&lt;='Get Started  2'!$E27),0,OFFSET(T234,0,-1*'Get Started  2'!$H112)*'Get Started  2'!$H42*'Get Started  2'!$G112),0)+IF('Get Started  2'!$H111&lt;='Get Started  2'!$E27,IF(T4&lt;'Get Started  2'!$H111,0,OFFSET(T234,0,-1*'Get Started  2'!$H111)*'Get Started  2'!$G42*'Get Started  2'!$G111),0)+IF('Get Started  2'!$H110&lt;='Get Started  2'!$E27,IF(T4&lt;'Get Started  2'!$H110,0,OFFSET(T234,0,-1*'Get Started  2'!$H110)*'Get Started  2'!$F42*'Get Started  2'!$G110),0)+IF('Get Started  2'!$H109&lt;='Get Started  2'!$E27,IF(T4&lt;'Get Started  2'!$H109,0,OFFSET(T234,0,-1*'Get Started  2'!$H109)*'Get Started  2'!$E42*'Get Started  2'!$G109),0)</f>
        <v>5.2552500000000016E-2</v>
      </c>
      <c r="U237" s="90">
        <f ca="1">IF('Get Started  2'!$H112&lt;='Get Started  2'!$E27,IF(AND(U4&lt;'Get Started  2'!$H112,'Get Started  2'!$H112&lt;='Get Started  2'!$E27),0,OFFSET(U234,0,-1*'Get Started  2'!$H112)*'Get Started  2'!$H42*'Get Started  2'!$G112),0)+IF('Get Started  2'!$H111&lt;='Get Started  2'!$E27,IF(U4&lt;'Get Started  2'!$H111,0,OFFSET(U234,0,-1*'Get Started  2'!$H111)*'Get Started  2'!$G42*'Get Started  2'!$G111),0)+IF('Get Started  2'!$H110&lt;='Get Started  2'!$E27,IF(U4&lt;'Get Started  2'!$H110,0,OFFSET(U234,0,-1*'Get Started  2'!$H110)*'Get Started  2'!$F42*'Get Started  2'!$G110),0)+IF('Get Started  2'!$H109&lt;='Get Started  2'!$E27,IF(U4&lt;'Get Started  2'!$H109,0,OFFSET(U234,0,-1*'Get Started  2'!$H109)*'Get Started  2'!$E42*'Get Started  2'!$G109),0)</f>
        <v>5.2552500000000016E-2</v>
      </c>
      <c r="V237" s="90">
        <f ca="1">IF('Get Started  2'!$H112&lt;='Get Started  2'!$E27,IF(AND(V4&lt;'Get Started  2'!$H112,'Get Started  2'!$H112&lt;='Get Started  2'!$E27),0,OFFSET(V234,0,-1*'Get Started  2'!$H112)*'Get Started  2'!$H42*'Get Started  2'!$G112),0)+IF('Get Started  2'!$H111&lt;='Get Started  2'!$E27,IF(V4&lt;'Get Started  2'!$H111,0,OFFSET(V234,0,-1*'Get Started  2'!$H111)*'Get Started  2'!$G42*'Get Started  2'!$G111),0)+IF('Get Started  2'!$H110&lt;='Get Started  2'!$E27,IF(V4&lt;'Get Started  2'!$H110,0,OFFSET(V234,0,-1*'Get Started  2'!$H110)*'Get Started  2'!$F42*'Get Started  2'!$G110),0)+IF('Get Started  2'!$H109&lt;='Get Started  2'!$E27,IF(V4&lt;'Get Started  2'!$H109,0,OFFSET(V234,0,-1*'Get Started  2'!$H109)*'Get Started  2'!$E42*'Get Started  2'!$G109),0)</f>
        <v>5.2552500000000016E-2</v>
      </c>
      <c r="W237" s="90">
        <f ca="1">IF('Get Started  2'!$H112&lt;='Get Started  2'!$E27,IF(AND(W4&lt;'Get Started  2'!$H112,'Get Started  2'!$H112&lt;='Get Started  2'!$E27),0,OFFSET(W234,0,-1*'Get Started  2'!$H112)*'Get Started  2'!$H42*'Get Started  2'!$G112),0)+IF('Get Started  2'!$H111&lt;='Get Started  2'!$E27,IF(W4&lt;'Get Started  2'!$H111,0,OFFSET(W234,0,-1*'Get Started  2'!$H111)*'Get Started  2'!$G42*'Get Started  2'!$G111),0)+IF('Get Started  2'!$H110&lt;='Get Started  2'!$E27,IF(W4&lt;'Get Started  2'!$H110,0,OFFSET(W234,0,-1*'Get Started  2'!$H110)*'Get Started  2'!$F42*'Get Started  2'!$G110),0)+IF('Get Started  2'!$H109&lt;='Get Started  2'!$E27,IF(W4&lt;'Get Started  2'!$H109,0,OFFSET(W234,0,-1*'Get Started  2'!$H109)*'Get Started  2'!$E42*'Get Started  2'!$G109),0)</f>
        <v>0.15866812500000005</v>
      </c>
      <c r="X237" s="90">
        <f ca="1">IF('Get Started  2'!$H112&lt;='Get Started  2'!$E27,IF(AND(X4&lt;'Get Started  2'!$H112,'Get Started  2'!$H112&lt;='Get Started  2'!$E27),0,OFFSET(X234,0,-1*'Get Started  2'!$H112)*'Get Started  2'!$H42*'Get Started  2'!$G112),0)+IF('Get Started  2'!$H111&lt;='Get Started  2'!$E27,IF(X4&lt;'Get Started  2'!$H111,0,OFFSET(X234,0,-1*'Get Started  2'!$H111)*'Get Started  2'!$G42*'Get Started  2'!$G111),0)+IF('Get Started  2'!$H110&lt;='Get Started  2'!$E27,IF(X4&lt;'Get Started  2'!$H110,0,OFFSET(X234,0,-1*'Get Started  2'!$H110)*'Get Started  2'!$F42*'Get Started  2'!$G110),0)+IF('Get Started  2'!$H109&lt;='Get Started  2'!$E27,IF(X4&lt;'Get Started  2'!$H109,0,OFFSET(X234,0,-1*'Get Started  2'!$H109)*'Get Started  2'!$E42*'Get Started  2'!$G109),0)</f>
        <v>0.15866812500000005</v>
      </c>
      <c r="Y237" s="90">
        <f ca="1">IF('Get Started  2'!$H112&lt;='Get Started  2'!$E27,IF(AND(Y4&lt;'Get Started  2'!$H112,'Get Started  2'!$H112&lt;='Get Started  2'!$E27),0,OFFSET(Y234,0,-1*'Get Started  2'!$H112)*'Get Started  2'!$H42*'Get Started  2'!$G112),0)+IF('Get Started  2'!$H111&lt;='Get Started  2'!$E27,IF(Y4&lt;'Get Started  2'!$H111,0,OFFSET(Y234,0,-1*'Get Started  2'!$H111)*'Get Started  2'!$G42*'Get Started  2'!$G111),0)+IF('Get Started  2'!$H110&lt;='Get Started  2'!$E27,IF(Y4&lt;'Get Started  2'!$H110,0,OFFSET(Y234,0,-1*'Get Started  2'!$H110)*'Get Started  2'!$F42*'Get Started  2'!$G110),0)+IF('Get Started  2'!$H109&lt;='Get Started  2'!$E27,IF(Y4&lt;'Get Started  2'!$H109,0,OFFSET(Y234,0,-1*'Get Started  2'!$H109)*'Get Started  2'!$E42*'Get Started  2'!$G109),0)</f>
        <v>0.15866812500000005</v>
      </c>
      <c r="Z237" s="90">
        <f ca="1">IF('Get Started  2'!$H112&lt;='Get Started  2'!$E27,IF(AND(Z4&lt;'Get Started  2'!$H112,'Get Started  2'!$H112&lt;='Get Started  2'!$E27),0,OFFSET(Z234,0,-1*'Get Started  2'!$H112)*'Get Started  2'!$H42*'Get Started  2'!$G112),0)+IF('Get Started  2'!$H111&lt;='Get Started  2'!$E27,IF(Z4&lt;'Get Started  2'!$H111,0,OFFSET(Z234,0,-1*'Get Started  2'!$H111)*'Get Started  2'!$G42*'Get Started  2'!$G111),0)+IF('Get Started  2'!$H110&lt;='Get Started  2'!$E27,IF(Z4&lt;'Get Started  2'!$H110,0,OFFSET(Z234,0,-1*'Get Started  2'!$H110)*'Get Started  2'!$F42*'Get Started  2'!$G110),0)+IF('Get Started  2'!$H109&lt;='Get Started  2'!$E27,IF(Z4&lt;'Get Started  2'!$H109,0,OFFSET(Z234,0,-1*'Get Started  2'!$H109)*'Get Started  2'!$E42*'Get Started  2'!$G109),0)</f>
        <v>0.15866812500000005</v>
      </c>
      <c r="AA237" s="90">
        <f ca="1">IF('Get Started  2'!$H112&lt;='Get Started  2'!$E27,IF(AND(AA4&lt;'Get Started  2'!$H112,'Get Started  2'!$H112&lt;='Get Started  2'!$E27),0,OFFSET(AA234,0,-1*'Get Started  2'!$H112)*'Get Started  2'!$H42*'Get Started  2'!$G112),0)+IF('Get Started  2'!$H111&lt;='Get Started  2'!$E27,IF(AA4&lt;'Get Started  2'!$H111,0,OFFSET(AA234,0,-1*'Get Started  2'!$H111)*'Get Started  2'!$G42*'Get Started  2'!$G111),0)+IF('Get Started  2'!$H110&lt;='Get Started  2'!$E27,IF(AA4&lt;'Get Started  2'!$H110,0,OFFSET(AA234,0,-1*'Get Started  2'!$H110)*'Get Started  2'!$F42*'Get Started  2'!$G110),0)+IF('Get Started  2'!$H109&lt;='Get Started  2'!$E27,IF(AA4&lt;'Get Started  2'!$H109,0,OFFSET(AA234,0,-1*'Get Started  2'!$H109)*'Get Started  2'!$E42*'Get Started  2'!$G109),0)</f>
        <v>0.15866812500000005</v>
      </c>
      <c r="AB237" s="90">
        <f ca="1">IF('Get Started  2'!$H112&lt;='Get Started  2'!$E27,IF(AND(AB4&lt;'Get Started  2'!$H112,'Get Started  2'!$H112&lt;='Get Started  2'!$E27),0,OFFSET(AB234,0,-1*'Get Started  2'!$H112)*'Get Started  2'!$H42*'Get Started  2'!$G112),0)+IF('Get Started  2'!$H111&lt;='Get Started  2'!$E27,IF(AB4&lt;'Get Started  2'!$H111,0,OFFSET(AB234,0,-1*'Get Started  2'!$H111)*'Get Started  2'!$G42*'Get Started  2'!$G111),0)+IF('Get Started  2'!$H110&lt;='Get Started  2'!$E27,IF(AB4&lt;'Get Started  2'!$H110,0,OFFSET(AB234,0,-1*'Get Started  2'!$H110)*'Get Started  2'!$F42*'Get Started  2'!$G110),0)+IF('Get Started  2'!$H109&lt;='Get Started  2'!$E27,IF(AB4&lt;'Get Started  2'!$H109,0,OFFSET(AB234,0,-1*'Get Started  2'!$H109)*'Get Started  2'!$E42*'Get Started  2'!$G109),0)</f>
        <v>0.15866812500000005</v>
      </c>
      <c r="AC237" s="90">
        <f ca="1">IF('Get Started  2'!$H112&lt;='Get Started  2'!$E27,IF(AND(AC4&lt;'Get Started  2'!$H112,'Get Started  2'!$H112&lt;='Get Started  2'!$E27),0,OFFSET(AC234,0,-1*'Get Started  2'!$H112)*'Get Started  2'!$H42*'Get Started  2'!$G112),0)+IF('Get Started  2'!$H111&lt;='Get Started  2'!$E27,IF(AC4&lt;'Get Started  2'!$H111,0,OFFSET(AC234,0,-1*'Get Started  2'!$H111)*'Get Started  2'!$G42*'Get Started  2'!$G111),0)+IF('Get Started  2'!$H110&lt;='Get Started  2'!$E27,IF(AC4&lt;'Get Started  2'!$H110,0,OFFSET(AC234,0,-1*'Get Started  2'!$H110)*'Get Started  2'!$F42*'Get Started  2'!$G110),0)+IF('Get Started  2'!$H109&lt;='Get Started  2'!$E27,IF(AC4&lt;'Get Started  2'!$H109,0,OFFSET(AC234,0,-1*'Get Started  2'!$H109)*'Get Started  2'!$E42*'Get Started  2'!$G109),0)</f>
        <v>0.15866812500000005</v>
      </c>
      <c r="AD237" s="90">
        <f ca="1">IF('Get Started  2'!$H112&lt;='Get Started  2'!$E27,IF(AND(AD4&lt;'Get Started  2'!$H112,'Get Started  2'!$H112&lt;='Get Started  2'!$E27),0,OFFSET(AD234,0,-1*'Get Started  2'!$H112)*'Get Started  2'!$H42*'Get Started  2'!$G112),0)+IF('Get Started  2'!$H111&lt;='Get Started  2'!$E27,IF(AD4&lt;'Get Started  2'!$H111,0,OFFSET(AD234,0,-1*'Get Started  2'!$H111)*'Get Started  2'!$G42*'Get Started  2'!$G111),0)+IF('Get Started  2'!$H110&lt;='Get Started  2'!$E27,IF(AD4&lt;'Get Started  2'!$H110,0,OFFSET(AD234,0,-1*'Get Started  2'!$H110)*'Get Started  2'!$F42*'Get Started  2'!$G110),0)+IF('Get Started  2'!$H109&lt;='Get Started  2'!$E27,IF(AD4&lt;'Get Started  2'!$H109,0,OFFSET(AD234,0,-1*'Get Started  2'!$H109)*'Get Started  2'!$E42*'Get Started  2'!$G109),0)</f>
        <v>0.15866812500000005</v>
      </c>
      <c r="AE237" s="90">
        <f ca="1">IF('Get Started  2'!$H112&lt;='Get Started  2'!$E27,IF(AND(AE4&lt;'Get Started  2'!$H112,'Get Started  2'!$H112&lt;='Get Started  2'!$E27),0,OFFSET(AE234,0,-1*'Get Started  2'!$H112)*'Get Started  2'!$H42*'Get Started  2'!$G112),0)+IF('Get Started  2'!$H111&lt;='Get Started  2'!$E27,IF(AE4&lt;'Get Started  2'!$H111,0,OFFSET(AE234,0,-1*'Get Started  2'!$H111)*'Get Started  2'!$G42*'Get Started  2'!$G111),0)+IF('Get Started  2'!$H110&lt;='Get Started  2'!$E27,IF(AE4&lt;'Get Started  2'!$H110,0,OFFSET(AE234,0,-1*'Get Started  2'!$H110)*'Get Started  2'!$F42*'Get Started  2'!$G110),0)+IF('Get Started  2'!$H109&lt;='Get Started  2'!$E27,IF(AE4&lt;'Get Started  2'!$H109,0,OFFSET(AE234,0,-1*'Get Started  2'!$H109)*'Get Started  2'!$E42*'Get Started  2'!$G109),0)</f>
        <v>0.23694327708333335</v>
      </c>
      <c r="AF237" s="90">
        <f ca="1">IF('Get Started  2'!$H112&lt;='Get Started  2'!$E27,IF(AND(AF4&lt;'Get Started  2'!$H112,'Get Started  2'!$H112&lt;='Get Started  2'!$E27),0,OFFSET(AF234,0,-1*'Get Started  2'!$H112)*'Get Started  2'!$H42*'Get Started  2'!$G112),0)+IF('Get Started  2'!$H111&lt;='Get Started  2'!$E27,IF(AF4&lt;'Get Started  2'!$H111,0,OFFSET(AF234,0,-1*'Get Started  2'!$H111)*'Get Started  2'!$G42*'Get Started  2'!$G111),0)+IF('Get Started  2'!$H110&lt;='Get Started  2'!$E27,IF(AF4&lt;'Get Started  2'!$H110,0,OFFSET(AF234,0,-1*'Get Started  2'!$H110)*'Get Started  2'!$F42*'Get Started  2'!$G110),0)+IF('Get Started  2'!$H109&lt;='Get Started  2'!$E27,IF(AF4&lt;'Get Started  2'!$H109,0,OFFSET(AF234,0,-1*'Get Started  2'!$H109)*'Get Started  2'!$E42*'Get Started  2'!$G109),0)</f>
        <v>0.23694327708333335</v>
      </c>
      <c r="AG237" s="90">
        <f ca="1">IF('Get Started  2'!$H112&lt;='Get Started  2'!$E27,IF(AND(AG4&lt;'Get Started  2'!$H112,'Get Started  2'!$H112&lt;='Get Started  2'!$E27),0,OFFSET(AG234,0,-1*'Get Started  2'!$H112)*'Get Started  2'!$H42*'Get Started  2'!$G112),0)+IF('Get Started  2'!$H111&lt;='Get Started  2'!$E27,IF(AG4&lt;'Get Started  2'!$H111,0,OFFSET(AG234,0,-1*'Get Started  2'!$H111)*'Get Started  2'!$G42*'Get Started  2'!$G111),0)+IF('Get Started  2'!$H110&lt;='Get Started  2'!$E27,IF(AG4&lt;'Get Started  2'!$H110,0,OFFSET(AG234,0,-1*'Get Started  2'!$H110)*'Get Started  2'!$F42*'Get Started  2'!$G110),0)+IF('Get Started  2'!$H109&lt;='Get Started  2'!$E27,IF(AG4&lt;'Get Started  2'!$H109,0,OFFSET(AG234,0,-1*'Get Started  2'!$H109)*'Get Started  2'!$E42*'Get Started  2'!$G109),0)</f>
        <v>0.23694327708333335</v>
      </c>
      <c r="AH237" s="90">
        <f ca="1">IF('Get Started  2'!$H112&lt;='Get Started  2'!$E27,IF(AND(AH4&lt;'Get Started  2'!$H112,'Get Started  2'!$H112&lt;='Get Started  2'!$E27),0,OFFSET(AH234,0,-1*'Get Started  2'!$H112)*'Get Started  2'!$H42*'Get Started  2'!$G112),0)+IF('Get Started  2'!$H111&lt;='Get Started  2'!$E27,IF(AH4&lt;'Get Started  2'!$H111,0,OFFSET(AH234,0,-1*'Get Started  2'!$H111)*'Get Started  2'!$G42*'Get Started  2'!$G111),0)+IF('Get Started  2'!$H110&lt;='Get Started  2'!$E27,IF(AH4&lt;'Get Started  2'!$H110,0,OFFSET(AH234,0,-1*'Get Started  2'!$H110)*'Get Started  2'!$F42*'Get Started  2'!$G110),0)+IF('Get Started  2'!$H109&lt;='Get Started  2'!$E27,IF(AH4&lt;'Get Started  2'!$H109,0,OFFSET(AH234,0,-1*'Get Started  2'!$H109)*'Get Started  2'!$E42*'Get Started  2'!$G109),0)</f>
        <v>0.23694327708333335</v>
      </c>
      <c r="AI237" s="90">
        <f ca="1">IF('Get Started  2'!$H112&lt;='Get Started  2'!$E27,IF(AND(AI4&lt;'Get Started  2'!$H112,'Get Started  2'!$H112&lt;='Get Started  2'!$E27),0,OFFSET(AI234,0,-1*'Get Started  2'!$H112)*'Get Started  2'!$H42*'Get Started  2'!$G112),0)+IF('Get Started  2'!$H111&lt;='Get Started  2'!$E27,IF(AI4&lt;'Get Started  2'!$H111,0,OFFSET(AI234,0,-1*'Get Started  2'!$H111)*'Get Started  2'!$G42*'Get Started  2'!$G111),0)+IF('Get Started  2'!$H110&lt;='Get Started  2'!$E27,IF(AI4&lt;'Get Started  2'!$H110,0,OFFSET(AI234,0,-1*'Get Started  2'!$H110)*'Get Started  2'!$F42*'Get Started  2'!$G110),0)+IF('Get Started  2'!$H109&lt;='Get Started  2'!$E27,IF(AI4&lt;'Get Started  2'!$H109,0,OFFSET(AI234,0,-1*'Get Started  2'!$H109)*'Get Started  2'!$E42*'Get Started  2'!$G109),0)</f>
        <v>0.19464216406250001</v>
      </c>
      <c r="AJ237" s="90">
        <f ca="1">IF('Get Started  2'!$H112&lt;='Get Started  2'!$E27,IF(AND(AJ4&lt;'Get Started  2'!$H112,'Get Started  2'!$H112&lt;='Get Started  2'!$E27),0,OFFSET(AJ234,0,-1*'Get Started  2'!$H112)*'Get Started  2'!$H42*'Get Started  2'!$G112),0)+IF('Get Started  2'!$H111&lt;='Get Started  2'!$E27,IF(AJ4&lt;'Get Started  2'!$H111,0,OFFSET(AJ234,0,-1*'Get Started  2'!$H111)*'Get Started  2'!$G42*'Get Started  2'!$G111),0)+IF('Get Started  2'!$H110&lt;='Get Started  2'!$E27,IF(AJ4&lt;'Get Started  2'!$H110,0,OFFSET(AJ234,0,-1*'Get Started  2'!$H110)*'Get Started  2'!$F42*'Get Started  2'!$G110),0)+IF('Get Started  2'!$H109&lt;='Get Started  2'!$E27,IF(AJ4&lt;'Get Started  2'!$H109,0,OFFSET(AJ234,0,-1*'Get Started  2'!$H109)*'Get Started  2'!$E42*'Get Started  2'!$G109),0)</f>
        <v>0.19464216406250001</v>
      </c>
      <c r="AK237" s="90">
        <f ca="1">IF('Get Started  2'!$H112&lt;='Get Started  2'!$E27,IF(AND(AK4&lt;'Get Started  2'!$H112,'Get Started  2'!$H112&lt;='Get Started  2'!$E27),0,OFFSET(AK234,0,-1*'Get Started  2'!$H112)*'Get Started  2'!$H42*'Get Started  2'!$G112),0)+IF('Get Started  2'!$H111&lt;='Get Started  2'!$E27,IF(AK4&lt;'Get Started  2'!$H111,0,OFFSET(AK234,0,-1*'Get Started  2'!$H111)*'Get Started  2'!$G42*'Get Started  2'!$G111),0)+IF('Get Started  2'!$H110&lt;='Get Started  2'!$E27,IF(AK4&lt;'Get Started  2'!$H110,0,OFFSET(AK234,0,-1*'Get Started  2'!$H110)*'Get Started  2'!$F42*'Get Started  2'!$G110),0)+IF('Get Started  2'!$H109&lt;='Get Started  2'!$E27,IF(AK4&lt;'Get Started  2'!$H109,0,OFFSET(AK234,0,-1*'Get Started  2'!$H109)*'Get Started  2'!$E42*'Get Started  2'!$G109),0)</f>
        <v>0.19464216406250001</v>
      </c>
      <c r="AL237" s="90">
        <f ca="1">IF('Get Started  2'!$H112&lt;='Get Started  2'!$E27,IF(AND(AL4&lt;'Get Started  2'!$H112,'Get Started  2'!$H112&lt;='Get Started  2'!$E27),0,OFFSET(AL234,0,-1*'Get Started  2'!$H112)*'Get Started  2'!$H42*'Get Started  2'!$G112),0)+IF('Get Started  2'!$H111&lt;='Get Started  2'!$E27,IF(AL4&lt;'Get Started  2'!$H111,0,OFFSET(AL234,0,-1*'Get Started  2'!$H111)*'Get Started  2'!$G42*'Get Started  2'!$G111),0)+IF('Get Started  2'!$H110&lt;='Get Started  2'!$E27,IF(AL4&lt;'Get Started  2'!$H110,0,OFFSET(AL234,0,-1*'Get Started  2'!$H110)*'Get Started  2'!$F42*'Get Started  2'!$G110),0)+IF('Get Started  2'!$H109&lt;='Get Started  2'!$E27,IF(AL4&lt;'Get Started  2'!$H109,0,OFFSET(AL234,0,-1*'Get Started  2'!$H109)*'Get Started  2'!$E42*'Get Started  2'!$G109),0)</f>
        <v>0.19464216406250001</v>
      </c>
      <c r="AM237" s="90">
        <f ca="1">IF('Get Started  2'!$H112&lt;='Get Started  2'!$E27,IF(AND(AM4&lt;'Get Started  2'!$H112,'Get Started  2'!$H112&lt;='Get Started  2'!$E27),0,OFFSET(AM234,0,-1*'Get Started  2'!$H112)*'Get Started  2'!$H42*'Get Started  2'!$G112),0)+IF('Get Started  2'!$H111&lt;='Get Started  2'!$E27,IF(AM4&lt;'Get Started  2'!$H111,0,OFFSET(AM234,0,-1*'Get Started  2'!$H111)*'Get Started  2'!$G42*'Get Started  2'!$G111),0)+IF('Get Started  2'!$H110&lt;='Get Started  2'!$E27,IF(AM4&lt;'Get Started  2'!$H110,0,OFFSET(AM234,0,-1*'Get Started  2'!$H110)*'Get Started  2'!$F42*'Get Started  2'!$G110),0)+IF('Get Started  2'!$H109&lt;='Get Started  2'!$E27,IF(AM4&lt;'Get Started  2'!$H109,0,OFFSET(AM234,0,-1*'Get Started  2'!$H109)*'Get Started  2'!$E42*'Get Started  2'!$G109),0)</f>
        <v>6.8217187499999984E-2</v>
      </c>
      <c r="AN237" s="90">
        <f ca="1">IF('Get Started  2'!$H112&lt;='Get Started  2'!$E27,IF(AND(AN4&lt;'Get Started  2'!$H112,'Get Started  2'!$H112&lt;='Get Started  2'!$E27),0,OFFSET(AN234,0,-1*'Get Started  2'!$H112)*'Get Started  2'!$H42*'Get Started  2'!$G112),0)+IF('Get Started  2'!$H111&lt;='Get Started  2'!$E27,IF(AN4&lt;'Get Started  2'!$H111,0,OFFSET(AN234,0,-1*'Get Started  2'!$H111)*'Get Started  2'!$G42*'Get Started  2'!$G111),0)+IF('Get Started  2'!$H110&lt;='Get Started  2'!$E27,IF(AN4&lt;'Get Started  2'!$H110,0,OFFSET(AN234,0,-1*'Get Started  2'!$H110)*'Get Started  2'!$F42*'Get Started  2'!$G110),0)+IF('Get Started  2'!$H109&lt;='Get Started  2'!$E27,IF(AN4&lt;'Get Started  2'!$H109,0,OFFSET(AN234,0,-1*'Get Started  2'!$H109)*'Get Started  2'!$E42*'Get Started  2'!$G109),0)</f>
        <v>6.8217187499999984E-2</v>
      </c>
      <c r="AO237" s="90">
        <f ca="1">IF('Get Started  2'!$H112&lt;='Get Started  2'!$E27,IF(AND(AO4&lt;'Get Started  2'!$H112,'Get Started  2'!$H112&lt;='Get Started  2'!$E27),0,OFFSET(AO234,0,-1*'Get Started  2'!$H112)*'Get Started  2'!$H42*'Get Started  2'!$G112),0)+IF('Get Started  2'!$H111&lt;='Get Started  2'!$E27,IF(AO4&lt;'Get Started  2'!$H111,0,OFFSET(AO234,0,-1*'Get Started  2'!$H111)*'Get Started  2'!$G42*'Get Started  2'!$G111),0)+IF('Get Started  2'!$H110&lt;='Get Started  2'!$E27,IF(AO4&lt;'Get Started  2'!$H110,0,OFFSET(AO234,0,-1*'Get Started  2'!$H110)*'Get Started  2'!$F42*'Get Started  2'!$G110),0)+IF('Get Started  2'!$H109&lt;='Get Started  2'!$E27,IF(AO4&lt;'Get Started  2'!$H109,0,OFFSET(AO234,0,-1*'Get Started  2'!$H109)*'Get Started  2'!$E42*'Get Started  2'!$G109),0)</f>
        <v>6.8217187499999984E-2</v>
      </c>
      <c r="AP237" s="90">
        <f ca="1">IF('Get Started  2'!$H112&lt;='Get Started  2'!$E27,IF(AND(AP4&lt;'Get Started  2'!$H112,'Get Started  2'!$H112&lt;='Get Started  2'!$E27),0,OFFSET(AP234,0,-1*'Get Started  2'!$H112)*'Get Started  2'!$H42*'Get Started  2'!$G112),0)+IF('Get Started  2'!$H111&lt;='Get Started  2'!$E27,IF(AP4&lt;'Get Started  2'!$H111,0,OFFSET(AP234,0,-1*'Get Started  2'!$H111)*'Get Started  2'!$G42*'Get Started  2'!$G111),0)+IF('Get Started  2'!$H110&lt;='Get Started  2'!$E27,IF(AP4&lt;'Get Started  2'!$H110,0,OFFSET(AP234,0,-1*'Get Started  2'!$H110)*'Get Started  2'!$F42*'Get Started  2'!$G110),0)+IF('Get Started  2'!$H109&lt;='Get Started  2'!$E27,IF(AP4&lt;'Get Started  2'!$H109,0,OFFSET(AP234,0,-1*'Get Started  2'!$H109)*'Get Started  2'!$E42*'Get Started  2'!$G109),0)</f>
        <v>6.8217187499999984E-2</v>
      </c>
      <c r="AQ237" s="90">
        <f ca="1">IF('Get Started  2'!$H112&lt;='Get Started  2'!$E27,IF(AND(AQ4&lt;'Get Started  2'!$H112,'Get Started  2'!$H112&lt;='Get Started  2'!$E27),0,OFFSET(AQ234,0,-1*'Get Started  2'!$H112)*'Get Started  2'!$H42*'Get Started  2'!$G112),0)+IF('Get Started  2'!$H111&lt;='Get Started  2'!$E27,IF(AQ4&lt;'Get Started  2'!$H111,0,OFFSET(AQ234,0,-1*'Get Started  2'!$H111)*'Get Started  2'!$G42*'Get Started  2'!$G111),0)+IF('Get Started  2'!$H110&lt;='Get Started  2'!$E27,IF(AQ4&lt;'Get Started  2'!$H110,0,OFFSET(AQ234,0,-1*'Get Started  2'!$H110)*'Get Started  2'!$F42*'Get Started  2'!$G110),0)+IF('Get Started  2'!$H109&lt;='Get Started  2'!$E27,IF(AQ4&lt;'Get Started  2'!$H109,0,OFFSET(AQ234,0,-1*'Get Started  2'!$H109)*'Get Started  2'!$E42*'Get Started  2'!$G109),0)</f>
        <v>8.1273199218749995E-2</v>
      </c>
      <c r="AR237" s="90">
        <f ca="1">IF('Get Started  2'!$H112&lt;='Get Started  2'!$E27,IF(AND(AR4&lt;'Get Started  2'!$H112,'Get Started  2'!$H112&lt;='Get Started  2'!$E27),0,OFFSET(AR234,0,-1*'Get Started  2'!$H112)*'Get Started  2'!$H42*'Get Started  2'!$G112),0)+IF('Get Started  2'!$H111&lt;='Get Started  2'!$E27,IF(AR4&lt;'Get Started  2'!$H111,0,OFFSET(AR234,0,-1*'Get Started  2'!$H111)*'Get Started  2'!$G42*'Get Started  2'!$G111),0)+IF('Get Started  2'!$H110&lt;='Get Started  2'!$E27,IF(AR4&lt;'Get Started  2'!$H110,0,OFFSET(AR234,0,-1*'Get Started  2'!$H110)*'Get Started  2'!$F42*'Get Started  2'!$G110),0)+IF('Get Started  2'!$H109&lt;='Get Started  2'!$E27,IF(AR4&lt;'Get Started  2'!$H109,0,OFFSET(AR234,0,-1*'Get Started  2'!$H109)*'Get Started  2'!$E42*'Get Started  2'!$G109),0)</f>
        <v>8.1273199218749995E-2</v>
      </c>
      <c r="AS237" s="90">
        <f ca="1">IF('Get Started  2'!$H112&lt;='Get Started  2'!$E27,IF(AND(AS4&lt;'Get Started  2'!$H112,'Get Started  2'!$H112&lt;='Get Started  2'!$E27),0,OFFSET(AS234,0,-1*'Get Started  2'!$H112)*'Get Started  2'!$H42*'Get Started  2'!$G112),0)+IF('Get Started  2'!$H111&lt;='Get Started  2'!$E27,IF(AS4&lt;'Get Started  2'!$H111,0,OFFSET(AS234,0,-1*'Get Started  2'!$H111)*'Get Started  2'!$G42*'Get Started  2'!$G111),0)+IF('Get Started  2'!$H110&lt;='Get Started  2'!$E27,IF(AS4&lt;'Get Started  2'!$H110,0,OFFSET(AS234,0,-1*'Get Started  2'!$H110)*'Get Started  2'!$F42*'Get Started  2'!$G110),0)+IF('Get Started  2'!$H109&lt;='Get Started  2'!$E27,IF(AS4&lt;'Get Started  2'!$H109,0,OFFSET(AS234,0,-1*'Get Started  2'!$H109)*'Get Started  2'!$E42*'Get Started  2'!$G109),0)</f>
        <v>8.1273199218749995E-2</v>
      </c>
      <c r="AT237" s="90">
        <f ca="1">IF('Get Started  2'!$H112&lt;='Get Started  2'!$E27,IF(AND(AT4&lt;'Get Started  2'!$H112,'Get Started  2'!$H112&lt;='Get Started  2'!$E27),0,OFFSET(AT234,0,-1*'Get Started  2'!$H112)*'Get Started  2'!$H42*'Get Started  2'!$G112),0)+IF('Get Started  2'!$H111&lt;='Get Started  2'!$E27,IF(AT4&lt;'Get Started  2'!$H111,0,OFFSET(AT234,0,-1*'Get Started  2'!$H111)*'Get Started  2'!$G42*'Get Started  2'!$G111),0)+IF('Get Started  2'!$H110&lt;='Get Started  2'!$E27,IF(AT4&lt;'Get Started  2'!$H110,0,OFFSET(AT234,0,-1*'Get Started  2'!$H110)*'Get Started  2'!$F42*'Get Started  2'!$G110),0)+IF('Get Started  2'!$H109&lt;='Get Started  2'!$E27,IF(AT4&lt;'Get Started  2'!$H109,0,OFFSET(AT234,0,-1*'Get Started  2'!$H109)*'Get Started  2'!$E42*'Get Started  2'!$G109),0)</f>
        <v>8.1273199218749995E-2</v>
      </c>
      <c r="AU237" s="90">
        <f ca="1">IF('Get Started  2'!$H112&lt;='Get Started  2'!$E27,IF(AND(AU4&lt;'Get Started  2'!$H112,'Get Started  2'!$H112&lt;='Get Started  2'!$E27),0,OFFSET(AU234,0,-1*'Get Started  2'!$H112)*'Get Started  2'!$H42*'Get Started  2'!$G112),0)+IF('Get Started  2'!$H111&lt;='Get Started  2'!$E27,IF(AU4&lt;'Get Started  2'!$H111,0,OFFSET(AU234,0,-1*'Get Started  2'!$H111)*'Get Started  2'!$G42*'Get Started  2'!$G111),0)+IF('Get Started  2'!$H110&lt;='Get Started  2'!$E27,IF(AU4&lt;'Get Started  2'!$H110,0,OFFSET(AU234,0,-1*'Get Started  2'!$H110)*'Get Started  2'!$F42*'Get Started  2'!$G110),0)+IF('Get Started  2'!$H109&lt;='Get Started  2'!$E27,IF(AU4&lt;'Get Started  2'!$H109,0,OFFSET(AU234,0,-1*'Get Started  2'!$H109)*'Get Started  2'!$E42*'Get Started  2'!$G109),0)</f>
        <v>0</v>
      </c>
      <c r="AV237" s="90">
        <f ca="1">IF('Get Started  2'!$H112&lt;='Get Started  2'!$E27,IF(AND(AV4&lt;'Get Started  2'!$H112,'Get Started  2'!$H112&lt;='Get Started  2'!$E27),0,OFFSET(AV234,0,-1*'Get Started  2'!$H112)*'Get Started  2'!$H42*'Get Started  2'!$G112),0)+IF('Get Started  2'!$H111&lt;='Get Started  2'!$E27,IF(AV4&lt;'Get Started  2'!$H111,0,OFFSET(AV234,0,-1*'Get Started  2'!$H111)*'Get Started  2'!$G42*'Get Started  2'!$G111),0)+IF('Get Started  2'!$H110&lt;='Get Started  2'!$E27,IF(AV4&lt;'Get Started  2'!$H110,0,OFFSET(AV234,0,-1*'Get Started  2'!$H110)*'Get Started  2'!$F42*'Get Started  2'!$G110),0)+IF('Get Started  2'!$H109&lt;='Get Started  2'!$E27,IF(AV4&lt;'Get Started  2'!$H109,0,OFFSET(AV234,0,-1*'Get Started  2'!$H109)*'Get Started  2'!$E42*'Get Started  2'!$G109),0)</f>
        <v>0</v>
      </c>
      <c r="AW237" s="90">
        <f ca="1">IF('Get Started  2'!$H112&lt;='Get Started  2'!$E27,IF(AND(AW4&lt;'Get Started  2'!$H112,'Get Started  2'!$H112&lt;='Get Started  2'!$E27),0,OFFSET(AW234,0,-1*'Get Started  2'!$H112)*'Get Started  2'!$H42*'Get Started  2'!$G112),0)+IF('Get Started  2'!$H111&lt;='Get Started  2'!$E27,IF(AW4&lt;'Get Started  2'!$H111,0,OFFSET(AW234,0,-1*'Get Started  2'!$H111)*'Get Started  2'!$G42*'Get Started  2'!$G111),0)+IF('Get Started  2'!$H110&lt;='Get Started  2'!$E27,IF(AW4&lt;'Get Started  2'!$H110,0,OFFSET(AW234,0,-1*'Get Started  2'!$H110)*'Get Started  2'!$F42*'Get Started  2'!$G110),0)+IF('Get Started  2'!$H109&lt;='Get Started  2'!$E27,IF(AW4&lt;'Get Started  2'!$H109,0,OFFSET(AW234,0,-1*'Get Started  2'!$H109)*'Get Started  2'!$E42*'Get Started  2'!$G109),0)</f>
        <v>0</v>
      </c>
      <c r="AX237" s="90">
        <f ca="1">IF('Get Started  2'!$H112&lt;='Get Started  2'!$E27,IF(AND(AX4&lt;'Get Started  2'!$H112,'Get Started  2'!$H112&lt;='Get Started  2'!$E27),0,OFFSET(AX234,0,-1*'Get Started  2'!$H112)*'Get Started  2'!$H42*'Get Started  2'!$G112),0)+IF('Get Started  2'!$H111&lt;='Get Started  2'!$E27,IF(AX4&lt;'Get Started  2'!$H111,0,OFFSET(AX234,0,-1*'Get Started  2'!$H111)*'Get Started  2'!$G42*'Get Started  2'!$G111),0)+IF('Get Started  2'!$H110&lt;='Get Started  2'!$E27,IF(AX4&lt;'Get Started  2'!$H110,0,OFFSET(AX234,0,-1*'Get Started  2'!$H110)*'Get Started  2'!$F42*'Get Started  2'!$G110),0)+IF('Get Started  2'!$H109&lt;='Get Started  2'!$E27,IF(AX4&lt;'Get Started  2'!$H109,0,OFFSET(AX234,0,-1*'Get Started  2'!$H109)*'Get Started  2'!$E42*'Get Started  2'!$G109),0)</f>
        <v>0</v>
      </c>
      <c r="AY237" s="90">
        <f ca="1">IF('Get Started  2'!$H112&lt;='Get Started  2'!$E27,IF(AND(AY4&lt;'Get Started  2'!$H112,'Get Started  2'!$H112&lt;='Get Started  2'!$E27),0,OFFSET(AY234,0,-1*'Get Started  2'!$H112)*'Get Started  2'!$H42*'Get Started  2'!$G112),0)+IF('Get Started  2'!$H111&lt;='Get Started  2'!$E27,IF(AY4&lt;'Get Started  2'!$H111,0,OFFSET(AY234,0,-1*'Get Started  2'!$H111)*'Get Started  2'!$G42*'Get Started  2'!$G111),0)+IF('Get Started  2'!$H110&lt;='Get Started  2'!$E27,IF(AY4&lt;'Get Started  2'!$H110,0,OFFSET(AY234,0,-1*'Get Started  2'!$H110)*'Get Started  2'!$F42*'Get Started  2'!$G110),0)+IF('Get Started  2'!$H109&lt;='Get Started  2'!$E27,IF(AY4&lt;'Get Started  2'!$H109,0,OFFSET(AY234,0,-1*'Get Started  2'!$H109)*'Get Started  2'!$E42*'Get Started  2'!$G109),0)</f>
        <v>0</v>
      </c>
      <c r="AZ237" s="90">
        <f ca="1">IF('Get Started  2'!$H112&lt;='Get Started  2'!$E27,IF(AND(AZ4&lt;'Get Started  2'!$H112,'Get Started  2'!$H112&lt;='Get Started  2'!$E27),0,OFFSET(AZ234,0,-1*'Get Started  2'!$H112)*'Get Started  2'!$H42*'Get Started  2'!$G112),0)+IF('Get Started  2'!$H111&lt;='Get Started  2'!$E27,IF(AZ4&lt;'Get Started  2'!$H111,0,OFFSET(AZ234,0,-1*'Get Started  2'!$H111)*'Get Started  2'!$G42*'Get Started  2'!$G111),0)+IF('Get Started  2'!$H110&lt;='Get Started  2'!$E27,IF(AZ4&lt;'Get Started  2'!$H110,0,OFFSET(AZ234,0,-1*'Get Started  2'!$H110)*'Get Started  2'!$F42*'Get Started  2'!$G110),0)+IF('Get Started  2'!$H109&lt;='Get Started  2'!$E27,IF(AZ4&lt;'Get Started  2'!$H109,0,OFFSET(AZ234,0,-1*'Get Started  2'!$H109)*'Get Started  2'!$E42*'Get Started  2'!$G109),0)</f>
        <v>0</v>
      </c>
      <c r="BA237" s="90">
        <f ca="1">IF('Get Started  2'!$H112&lt;='Get Started  2'!$E27,IF(AND(BA4&lt;'Get Started  2'!$H112,'Get Started  2'!$H112&lt;='Get Started  2'!$E27),0,OFFSET(BA234,0,-1*'Get Started  2'!$H112)*'Get Started  2'!$H42*'Get Started  2'!$G112),0)+IF('Get Started  2'!$H111&lt;='Get Started  2'!$E27,IF(BA4&lt;'Get Started  2'!$H111,0,OFFSET(BA234,0,-1*'Get Started  2'!$H111)*'Get Started  2'!$G42*'Get Started  2'!$G111),0)+IF('Get Started  2'!$H110&lt;='Get Started  2'!$E27,IF(BA4&lt;'Get Started  2'!$H110,0,OFFSET(BA234,0,-1*'Get Started  2'!$H110)*'Get Started  2'!$F42*'Get Started  2'!$G110),0)+IF('Get Started  2'!$H109&lt;='Get Started  2'!$E27,IF(BA4&lt;'Get Started  2'!$H109,0,OFFSET(BA234,0,-1*'Get Started  2'!$H109)*'Get Started  2'!$E42*'Get Started  2'!$G109),0)</f>
        <v>0</v>
      </c>
      <c r="BB237" s="90">
        <f ca="1">IF('Get Started  2'!$H112&lt;='Get Started  2'!$E27,IF(AND(BB4&lt;'Get Started  2'!$H112,'Get Started  2'!$H112&lt;='Get Started  2'!$E27),0,OFFSET(BB234,0,-1*'Get Started  2'!$H112)*'Get Started  2'!$H42*'Get Started  2'!$G112),0)+IF('Get Started  2'!$H111&lt;='Get Started  2'!$E27,IF(BB4&lt;'Get Started  2'!$H111,0,OFFSET(BB234,0,-1*'Get Started  2'!$H111)*'Get Started  2'!$G42*'Get Started  2'!$G111),0)+IF('Get Started  2'!$H110&lt;='Get Started  2'!$E27,IF(BB4&lt;'Get Started  2'!$H110,0,OFFSET(BB234,0,-1*'Get Started  2'!$H110)*'Get Started  2'!$F42*'Get Started  2'!$G110),0)+IF('Get Started  2'!$H109&lt;='Get Started  2'!$E27,IF(BB4&lt;'Get Started  2'!$H109,0,OFFSET(BB234,0,-1*'Get Started  2'!$H109)*'Get Started  2'!$E42*'Get Started  2'!$G109),0)</f>
        <v>0</v>
      </c>
      <c r="BC237" s="90">
        <f ca="1">IF('Get Started  2'!$H112&lt;='Get Started  2'!$E27,IF(AND(BC4&lt;'Get Started  2'!$H112,'Get Started  2'!$H112&lt;='Get Started  2'!$E27),0,OFFSET(BC234,0,-1*'Get Started  2'!$H112)*'Get Started  2'!$H42*'Get Started  2'!$G112),0)+IF('Get Started  2'!$H111&lt;='Get Started  2'!$E27,IF(BC4&lt;'Get Started  2'!$H111,0,OFFSET(BC234,0,-1*'Get Started  2'!$H111)*'Get Started  2'!$G42*'Get Started  2'!$G111),0)+IF('Get Started  2'!$H110&lt;='Get Started  2'!$E27,IF(BC4&lt;'Get Started  2'!$H110,0,OFFSET(BC234,0,-1*'Get Started  2'!$H110)*'Get Started  2'!$F42*'Get Started  2'!$G110),0)+IF('Get Started  2'!$H109&lt;='Get Started  2'!$E27,IF(BC4&lt;'Get Started  2'!$H109,0,OFFSET(BC234,0,-1*'Get Started  2'!$H109)*'Get Started  2'!$E42*'Get Started  2'!$G109),0)</f>
        <v>0</v>
      </c>
      <c r="BD237" s="90">
        <f ca="1">IF('Get Started  2'!$H112&lt;='Get Started  2'!$E27,IF(AND(BD4&lt;'Get Started  2'!$H112,'Get Started  2'!$H112&lt;='Get Started  2'!$E27),0,OFFSET(BD234,0,-1*'Get Started  2'!$H112)*'Get Started  2'!$H42*'Get Started  2'!$G112),0)+IF('Get Started  2'!$H111&lt;='Get Started  2'!$E27,IF(BD4&lt;'Get Started  2'!$H111,0,OFFSET(BD234,0,-1*'Get Started  2'!$H111)*'Get Started  2'!$G42*'Get Started  2'!$G111),0)+IF('Get Started  2'!$H110&lt;='Get Started  2'!$E27,IF(BD4&lt;'Get Started  2'!$H110,0,OFFSET(BD234,0,-1*'Get Started  2'!$H110)*'Get Started  2'!$F42*'Get Started  2'!$G110),0)+IF('Get Started  2'!$H109&lt;='Get Started  2'!$E27,IF(BD4&lt;'Get Started  2'!$H109,0,OFFSET(BD234,0,-1*'Get Started  2'!$H109)*'Get Started  2'!$E42*'Get Started  2'!$G109),0)</f>
        <v>0</v>
      </c>
      <c r="BE237" s="90">
        <f ca="1">IF('Get Started  2'!$H112&lt;='Get Started  2'!$E27,IF(AND(BE4&lt;'Get Started  2'!$H112,'Get Started  2'!$H112&lt;='Get Started  2'!$E27),0,OFFSET(BE234,0,-1*'Get Started  2'!$H112)*'Get Started  2'!$H42*'Get Started  2'!$G112),0)+IF('Get Started  2'!$H111&lt;='Get Started  2'!$E27,IF(BE4&lt;'Get Started  2'!$H111,0,OFFSET(BE234,0,-1*'Get Started  2'!$H111)*'Get Started  2'!$G42*'Get Started  2'!$G111),0)+IF('Get Started  2'!$H110&lt;='Get Started  2'!$E27,IF(BE4&lt;'Get Started  2'!$H110,0,OFFSET(BE234,0,-1*'Get Started  2'!$H110)*'Get Started  2'!$F42*'Get Started  2'!$G110),0)+IF('Get Started  2'!$H109&lt;='Get Started  2'!$E27,IF(BE4&lt;'Get Started  2'!$H109,0,OFFSET(BE234,0,-1*'Get Started  2'!$H109)*'Get Started  2'!$E42*'Get Started  2'!$G109),0)</f>
        <v>0</v>
      </c>
      <c r="BF237" s="90">
        <f ca="1">IF('Get Started  2'!$H112&lt;='Get Started  2'!$E27,IF(AND(BF4&lt;'Get Started  2'!$H112,'Get Started  2'!$H112&lt;='Get Started  2'!$E27),0,OFFSET(BF234,0,-1*'Get Started  2'!$H112)*'Get Started  2'!$H42*'Get Started  2'!$G112),0)+IF('Get Started  2'!$H111&lt;='Get Started  2'!$E27,IF(BF4&lt;'Get Started  2'!$H111,0,OFFSET(BF234,0,-1*'Get Started  2'!$H111)*'Get Started  2'!$G42*'Get Started  2'!$G111),0)+IF('Get Started  2'!$H110&lt;='Get Started  2'!$E27,IF(BF4&lt;'Get Started  2'!$H110,0,OFFSET(BF234,0,-1*'Get Started  2'!$H110)*'Get Started  2'!$F42*'Get Started  2'!$G110),0)+IF('Get Started  2'!$H109&lt;='Get Started  2'!$E27,IF(BF4&lt;'Get Started  2'!$H109,0,OFFSET(BF234,0,-1*'Get Started  2'!$H109)*'Get Started  2'!$E42*'Get Started  2'!$G109),0)</f>
        <v>0</v>
      </c>
      <c r="BG237" s="90">
        <f ca="1">IF('Get Started  2'!$H112&lt;='Get Started  2'!$E27,IF(AND(BG4&lt;'Get Started  2'!$H112,'Get Started  2'!$H112&lt;='Get Started  2'!$E27),0,OFFSET(BG234,0,-1*'Get Started  2'!$H112)*'Get Started  2'!$H42*'Get Started  2'!$G112),0)+IF('Get Started  2'!$H111&lt;='Get Started  2'!$E27,IF(BG4&lt;'Get Started  2'!$H111,0,OFFSET(BG234,0,-1*'Get Started  2'!$H111)*'Get Started  2'!$G42*'Get Started  2'!$G111),0)+IF('Get Started  2'!$H110&lt;='Get Started  2'!$E27,IF(BG4&lt;'Get Started  2'!$H110,0,OFFSET(BG234,0,-1*'Get Started  2'!$H110)*'Get Started  2'!$F42*'Get Started  2'!$G110),0)+IF('Get Started  2'!$H109&lt;='Get Started  2'!$E27,IF(BG4&lt;'Get Started  2'!$H109,0,OFFSET(BG234,0,-1*'Get Started  2'!$H109)*'Get Started  2'!$E42*'Get Started  2'!$G109),0)</f>
        <v>0</v>
      </c>
      <c r="BH237" s="90">
        <f ca="1">IF('Get Started  2'!$H112&lt;='Get Started  2'!$E27,IF(AND(BH4&lt;'Get Started  2'!$H112,'Get Started  2'!$H112&lt;='Get Started  2'!$E27),0,OFFSET(BH234,0,-1*'Get Started  2'!$H112)*'Get Started  2'!$H42*'Get Started  2'!$G112),0)+IF('Get Started  2'!$H111&lt;='Get Started  2'!$E27,IF(BH4&lt;'Get Started  2'!$H111,0,OFFSET(BH234,0,-1*'Get Started  2'!$H111)*'Get Started  2'!$G42*'Get Started  2'!$G111),0)+IF('Get Started  2'!$H110&lt;='Get Started  2'!$E27,IF(BH4&lt;'Get Started  2'!$H110,0,OFFSET(BH234,0,-1*'Get Started  2'!$H110)*'Get Started  2'!$F42*'Get Started  2'!$G110),0)+IF('Get Started  2'!$H109&lt;='Get Started  2'!$E27,IF(BH4&lt;'Get Started  2'!$H109,0,OFFSET(BH234,0,-1*'Get Started  2'!$H109)*'Get Started  2'!$E42*'Get Started  2'!$G109),0)</f>
        <v>0</v>
      </c>
      <c r="BI237" s="90">
        <f ca="1">IF('Get Started  2'!$H112&lt;='Get Started  2'!$E27,IF(AND(BI4&lt;'Get Started  2'!$H112,'Get Started  2'!$H112&lt;='Get Started  2'!$E27),0,OFFSET(BI234,0,-1*'Get Started  2'!$H112)*'Get Started  2'!$H42*'Get Started  2'!$G112),0)+IF('Get Started  2'!$H111&lt;='Get Started  2'!$E27,IF(BI4&lt;'Get Started  2'!$H111,0,OFFSET(BI234,0,-1*'Get Started  2'!$H111)*'Get Started  2'!$G42*'Get Started  2'!$G111),0)+IF('Get Started  2'!$H110&lt;='Get Started  2'!$E27,IF(BI4&lt;'Get Started  2'!$H110,0,OFFSET(BI234,0,-1*'Get Started  2'!$H110)*'Get Started  2'!$F42*'Get Started  2'!$G110),0)+IF('Get Started  2'!$H109&lt;='Get Started  2'!$E27,IF(BI4&lt;'Get Started  2'!$H109,0,OFFSET(BI234,0,-1*'Get Started  2'!$H109)*'Get Started  2'!$E42*'Get Started  2'!$G109),0)</f>
        <v>0</v>
      </c>
      <c r="BJ237" s="90">
        <f ca="1">IF('Get Started  2'!$H112&lt;='Get Started  2'!$E27,IF(AND(BJ4&lt;'Get Started  2'!$H112,'Get Started  2'!$H112&lt;='Get Started  2'!$E27),0,OFFSET(BJ234,0,-1*'Get Started  2'!$H112)*'Get Started  2'!$H42*'Get Started  2'!$G112),0)+IF('Get Started  2'!$H111&lt;='Get Started  2'!$E27,IF(BJ4&lt;'Get Started  2'!$H111,0,OFFSET(BJ234,0,-1*'Get Started  2'!$H111)*'Get Started  2'!$G42*'Get Started  2'!$G111),0)+IF('Get Started  2'!$H110&lt;='Get Started  2'!$E27,IF(BJ4&lt;'Get Started  2'!$H110,0,OFFSET(BJ234,0,-1*'Get Started  2'!$H110)*'Get Started  2'!$F42*'Get Started  2'!$G110),0)+IF('Get Started  2'!$H109&lt;='Get Started  2'!$E27,IF(BJ4&lt;'Get Started  2'!$H109,0,OFFSET(BJ234,0,-1*'Get Started  2'!$H109)*'Get Started  2'!$E42*'Get Started  2'!$G109),0)</f>
        <v>0</v>
      </c>
      <c r="BK237" s="90">
        <f ca="1">IF('Get Started  2'!$H112&lt;='Get Started  2'!$E27,IF(AND(BK4&lt;'Get Started  2'!$H112,'Get Started  2'!$H112&lt;='Get Started  2'!$E27),0,OFFSET(BK234,0,-1*'Get Started  2'!$H112)*'Get Started  2'!$H42*'Get Started  2'!$G112),0)+IF('Get Started  2'!$H111&lt;='Get Started  2'!$E27,IF(BK4&lt;'Get Started  2'!$H111,0,OFFSET(BK234,0,-1*'Get Started  2'!$H111)*'Get Started  2'!$G42*'Get Started  2'!$G111),0)+IF('Get Started  2'!$H110&lt;='Get Started  2'!$E27,IF(BK4&lt;'Get Started  2'!$H110,0,OFFSET(BK234,0,-1*'Get Started  2'!$H110)*'Get Started  2'!$F42*'Get Started  2'!$G110),0)+IF('Get Started  2'!$H109&lt;='Get Started  2'!$E27,IF(BK4&lt;'Get Started  2'!$H109,0,OFFSET(BK234,0,-1*'Get Started  2'!$H109)*'Get Started  2'!$E42*'Get Started  2'!$G109),0)</f>
        <v>0</v>
      </c>
      <c r="BL237" s="90">
        <f ca="1">IF('Get Started  2'!$H112&lt;='Get Started  2'!$E27,IF(AND(BL4&lt;'Get Started  2'!$H112,'Get Started  2'!$H112&lt;='Get Started  2'!$E27),0,OFFSET(BL234,0,-1*'Get Started  2'!$H112)*'Get Started  2'!$H42*'Get Started  2'!$G112),0)+IF('Get Started  2'!$H111&lt;='Get Started  2'!$E27,IF(BL4&lt;'Get Started  2'!$H111,0,OFFSET(BL234,0,-1*'Get Started  2'!$H111)*'Get Started  2'!$G42*'Get Started  2'!$G111),0)+IF('Get Started  2'!$H110&lt;='Get Started  2'!$E27,IF(BL4&lt;'Get Started  2'!$H110,0,OFFSET(BL234,0,-1*'Get Started  2'!$H110)*'Get Started  2'!$F42*'Get Started  2'!$G110),0)+IF('Get Started  2'!$H109&lt;='Get Started  2'!$E27,IF(BL4&lt;'Get Started  2'!$H109,0,OFFSET(BL234,0,-1*'Get Started  2'!$H109)*'Get Started  2'!$E42*'Get Started  2'!$G109),0)</f>
        <v>0</v>
      </c>
      <c r="BM237" s="90">
        <f ca="1">IF('Get Started  2'!$H112&lt;='Get Started  2'!$E27,IF(AND(BM4&lt;'Get Started  2'!$H112,'Get Started  2'!$H112&lt;='Get Started  2'!$E27),0,OFFSET(BM234,0,-1*'Get Started  2'!$H112)*'Get Started  2'!$H42*'Get Started  2'!$G112),0)+IF('Get Started  2'!$H111&lt;='Get Started  2'!$E27,IF(BM4&lt;'Get Started  2'!$H111,0,OFFSET(BM234,0,-1*'Get Started  2'!$H111)*'Get Started  2'!$G42*'Get Started  2'!$G111),0)+IF('Get Started  2'!$H110&lt;='Get Started  2'!$E27,IF(BM4&lt;'Get Started  2'!$H110,0,OFFSET(BM234,0,-1*'Get Started  2'!$H110)*'Get Started  2'!$F42*'Get Started  2'!$G110),0)+IF('Get Started  2'!$H109&lt;='Get Started  2'!$E27,IF(BM4&lt;'Get Started  2'!$H109,0,OFFSET(BM234,0,-1*'Get Started  2'!$H109)*'Get Started  2'!$E42*'Get Started  2'!$G109),0)</f>
        <v>0</v>
      </c>
      <c r="BN237" s="90">
        <f ca="1">IF('Get Started  2'!$H112&lt;='Get Started  2'!$E27,IF(AND(BN4&lt;'Get Started  2'!$H112,'Get Started  2'!$H112&lt;='Get Started  2'!$E27),0,OFFSET(BN234,0,-1*'Get Started  2'!$H112)*'Get Started  2'!$H42*'Get Started  2'!$G112),0)+IF('Get Started  2'!$H111&lt;='Get Started  2'!$E27,IF(BN4&lt;'Get Started  2'!$H111,0,OFFSET(BN234,0,-1*'Get Started  2'!$H111)*'Get Started  2'!$G42*'Get Started  2'!$G111),0)+IF('Get Started  2'!$H110&lt;='Get Started  2'!$E27,IF(BN4&lt;'Get Started  2'!$H110,0,OFFSET(BN234,0,-1*'Get Started  2'!$H110)*'Get Started  2'!$F42*'Get Started  2'!$G110),0)+IF('Get Started  2'!$H109&lt;='Get Started  2'!$E27,IF(BN4&lt;'Get Started  2'!$H109,0,OFFSET(BN234,0,-1*'Get Started  2'!$H109)*'Get Started  2'!$E42*'Get Started  2'!$G109),0)</f>
        <v>0</v>
      </c>
      <c r="BO237" s="90">
        <f ca="1">IF('Get Started  2'!$H112&lt;='Get Started  2'!$E27,IF(AND(BO4&lt;'Get Started  2'!$H112,'Get Started  2'!$H112&lt;='Get Started  2'!$E27),0,OFFSET(BO234,0,-1*'Get Started  2'!$H112)*'Get Started  2'!$H42*'Get Started  2'!$G112),0)+IF('Get Started  2'!$H111&lt;='Get Started  2'!$E27,IF(BO4&lt;'Get Started  2'!$H111,0,OFFSET(BO234,0,-1*'Get Started  2'!$H111)*'Get Started  2'!$G42*'Get Started  2'!$G111),0)+IF('Get Started  2'!$H110&lt;='Get Started  2'!$E27,IF(BO4&lt;'Get Started  2'!$H110,0,OFFSET(BO234,0,-1*'Get Started  2'!$H110)*'Get Started  2'!$F42*'Get Started  2'!$G110),0)+IF('Get Started  2'!$H109&lt;='Get Started  2'!$E27,IF(BO4&lt;'Get Started  2'!$H109,0,OFFSET(BO234,0,-1*'Get Started  2'!$H109)*'Get Started  2'!$E42*'Get Started  2'!$G109),0)</f>
        <v>0</v>
      </c>
      <c r="BP237" s="90">
        <f ca="1">IF('Get Started  2'!$H112&lt;='Get Started  2'!$E27,IF(AND(BP4&lt;'Get Started  2'!$H112,'Get Started  2'!$H112&lt;='Get Started  2'!$E27),0,OFFSET(BP234,0,-1*'Get Started  2'!$H112)*'Get Started  2'!$H42*'Get Started  2'!$G112),0)+IF('Get Started  2'!$H111&lt;='Get Started  2'!$E27,IF(BP4&lt;'Get Started  2'!$H111,0,OFFSET(BP234,0,-1*'Get Started  2'!$H111)*'Get Started  2'!$G42*'Get Started  2'!$G111),0)+IF('Get Started  2'!$H110&lt;='Get Started  2'!$E27,IF(BP4&lt;'Get Started  2'!$H110,0,OFFSET(BP234,0,-1*'Get Started  2'!$H110)*'Get Started  2'!$F42*'Get Started  2'!$G110),0)+IF('Get Started  2'!$H109&lt;='Get Started  2'!$E27,IF(BP4&lt;'Get Started  2'!$H109,0,OFFSET(BP234,0,-1*'Get Started  2'!$H109)*'Get Started  2'!$E42*'Get Started  2'!$G109),0)</f>
        <v>0</v>
      </c>
      <c r="BQ237" s="90">
        <f ca="1">IF('Get Started  2'!$H112&lt;='Get Started  2'!$E27,IF(AND(BQ4&lt;'Get Started  2'!$H112,'Get Started  2'!$H112&lt;='Get Started  2'!$E27),0,OFFSET(BQ234,0,-1*'Get Started  2'!$H112)*'Get Started  2'!$H42*'Get Started  2'!$G112),0)+IF('Get Started  2'!$H111&lt;='Get Started  2'!$E27,IF(BQ4&lt;'Get Started  2'!$H111,0,OFFSET(BQ234,0,-1*'Get Started  2'!$H111)*'Get Started  2'!$G42*'Get Started  2'!$G111),0)+IF('Get Started  2'!$H110&lt;='Get Started  2'!$E27,IF(BQ4&lt;'Get Started  2'!$H110,0,OFFSET(BQ234,0,-1*'Get Started  2'!$H110)*'Get Started  2'!$F42*'Get Started  2'!$G110),0)+IF('Get Started  2'!$H109&lt;='Get Started  2'!$E27,IF(BQ4&lt;'Get Started  2'!$H109,0,OFFSET(BQ234,0,-1*'Get Started  2'!$H109)*'Get Started  2'!$E42*'Get Started  2'!$G109),0)</f>
        <v>0</v>
      </c>
      <c r="BR237" s="90">
        <f ca="1">IF('Get Started  2'!$H112&lt;='Get Started  2'!$E27,IF(AND(BR4&lt;'Get Started  2'!$H112,'Get Started  2'!$H112&lt;='Get Started  2'!$E27),0,OFFSET(BR234,0,-1*'Get Started  2'!$H112)*'Get Started  2'!$H42*'Get Started  2'!$G112),0)+IF('Get Started  2'!$H111&lt;='Get Started  2'!$E27,IF(BR4&lt;'Get Started  2'!$H111,0,OFFSET(BR234,0,-1*'Get Started  2'!$H111)*'Get Started  2'!$G42*'Get Started  2'!$G111),0)+IF('Get Started  2'!$H110&lt;='Get Started  2'!$E27,IF(BR4&lt;'Get Started  2'!$H110,0,OFFSET(BR234,0,-1*'Get Started  2'!$H110)*'Get Started  2'!$F42*'Get Started  2'!$G110),0)+IF('Get Started  2'!$H109&lt;='Get Started  2'!$E27,IF(BR4&lt;'Get Started  2'!$H109,0,OFFSET(BR234,0,-1*'Get Started  2'!$H109)*'Get Started  2'!$E42*'Get Started  2'!$G109),0)</f>
        <v>0</v>
      </c>
      <c r="BS237" s="90">
        <f ca="1">IF('Get Started  2'!$H112&lt;='Get Started  2'!$E27,IF(AND(BS4&lt;'Get Started  2'!$H112,'Get Started  2'!$H112&lt;='Get Started  2'!$E27),0,OFFSET(BS234,0,-1*'Get Started  2'!$H112)*'Get Started  2'!$H42*'Get Started  2'!$G112),0)+IF('Get Started  2'!$H111&lt;='Get Started  2'!$E27,IF(BS4&lt;'Get Started  2'!$H111,0,OFFSET(BS234,0,-1*'Get Started  2'!$H111)*'Get Started  2'!$G42*'Get Started  2'!$G111),0)+IF('Get Started  2'!$H110&lt;='Get Started  2'!$E27,IF(BS4&lt;'Get Started  2'!$H110,0,OFFSET(BS234,0,-1*'Get Started  2'!$H110)*'Get Started  2'!$F42*'Get Started  2'!$G110),0)+IF('Get Started  2'!$H109&lt;='Get Started  2'!$E27,IF(BS4&lt;'Get Started  2'!$H109,0,OFFSET(BS234,0,-1*'Get Started  2'!$H109)*'Get Started  2'!$E42*'Get Started  2'!$G109),0)</f>
        <v>0</v>
      </c>
      <c r="BT237" s="90">
        <f ca="1">IF('Get Started  2'!$H112&lt;='Get Started  2'!$E27,IF(AND(BT4&lt;'Get Started  2'!$H112,'Get Started  2'!$H112&lt;='Get Started  2'!$E27),0,OFFSET(BT234,0,-1*'Get Started  2'!$H112)*'Get Started  2'!$H42*'Get Started  2'!$G112),0)+IF('Get Started  2'!$H111&lt;='Get Started  2'!$E27,IF(BT4&lt;'Get Started  2'!$H111,0,OFFSET(BT234,0,-1*'Get Started  2'!$H111)*'Get Started  2'!$G42*'Get Started  2'!$G111),0)+IF('Get Started  2'!$H110&lt;='Get Started  2'!$E27,IF(BT4&lt;'Get Started  2'!$H110,0,OFFSET(BT234,0,-1*'Get Started  2'!$H110)*'Get Started  2'!$F42*'Get Started  2'!$G110),0)+IF('Get Started  2'!$H109&lt;='Get Started  2'!$E27,IF(BT4&lt;'Get Started  2'!$H109,0,OFFSET(BT234,0,-1*'Get Started  2'!$H109)*'Get Started  2'!$E42*'Get Started  2'!$G109),0)</f>
        <v>0</v>
      </c>
      <c r="BU237" s="90">
        <f ca="1">IF('Get Started  2'!$H112&lt;='Get Started  2'!$E27,IF(AND(BU4&lt;'Get Started  2'!$H112,'Get Started  2'!$H112&lt;='Get Started  2'!$E27),0,OFFSET(BU234,0,-1*'Get Started  2'!$H112)*'Get Started  2'!$H42*'Get Started  2'!$G112),0)+IF('Get Started  2'!$H111&lt;='Get Started  2'!$E27,IF(BU4&lt;'Get Started  2'!$H111,0,OFFSET(BU234,0,-1*'Get Started  2'!$H111)*'Get Started  2'!$G42*'Get Started  2'!$G111),0)+IF('Get Started  2'!$H110&lt;='Get Started  2'!$E27,IF(BU4&lt;'Get Started  2'!$H110,0,OFFSET(BU234,0,-1*'Get Started  2'!$H110)*'Get Started  2'!$F42*'Get Started  2'!$G110),0)+IF('Get Started  2'!$H109&lt;='Get Started  2'!$E27,IF(BU4&lt;'Get Started  2'!$H109,0,OFFSET(BU234,0,-1*'Get Started  2'!$H109)*'Get Started  2'!$E42*'Get Started  2'!$G109),0)</f>
        <v>0</v>
      </c>
      <c r="BV237" s="90">
        <f ca="1">IF('Get Started  2'!$H112&lt;='Get Started  2'!$E27,IF(AND(BV4&lt;'Get Started  2'!$H112,'Get Started  2'!$H112&lt;='Get Started  2'!$E27),0,OFFSET(BV234,0,-1*'Get Started  2'!$H112)*'Get Started  2'!$H42*'Get Started  2'!$G112),0)+IF('Get Started  2'!$H111&lt;='Get Started  2'!$E27,IF(BV4&lt;'Get Started  2'!$H111,0,OFFSET(BV234,0,-1*'Get Started  2'!$H111)*'Get Started  2'!$G42*'Get Started  2'!$G111),0)+IF('Get Started  2'!$H110&lt;='Get Started  2'!$E27,IF(BV4&lt;'Get Started  2'!$H110,0,OFFSET(BV234,0,-1*'Get Started  2'!$H110)*'Get Started  2'!$F42*'Get Started  2'!$G110),0)+IF('Get Started  2'!$H109&lt;='Get Started  2'!$E27,IF(BV4&lt;'Get Started  2'!$H109,0,OFFSET(BV234,0,-1*'Get Started  2'!$H109)*'Get Started  2'!$E42*'Get Started  2'!$G109),0)</f>
        <v>0</v>
      </c>
      <c r="BW237" s="90">
        <f ca="1">IF('Get Started  2'!$H112&lt;='Get Started  2'!$E27,IF(AND(BW4&lt;'Get Started  2'!$H112,'Get Started  2'!$H112&lt;='Get Started  2'!$E27),0,OFFSET(BW234,0,-1*'Get Started  2'!$H112)*'Get Started  2'!$H42*'Get Started  2'!$G112),0)+IF('Get Started  2'!$H111&lt;='Get Started  2'!$E27,IF(BW4&lt;'Get Started  2'!$H111,0,OFFSET(BW234,0,-1*'Get Started  2'!$H111)*'Get Started  2'!$G42*'Get Started  2'!$G111),0)+IF('Get Started  2'!$H110&lt;='Get Started  2'!$E27,IF(BW4&lt;'Get Started  2'!$H110,0,OFFSET(BW234,0,-1*'Get Started  2'!$H110)*'Get Started  2'!$F42*'Get Started  2'!$G110),0)+IF('Get Started  2'!$H109&lt;='Get Started  2'!$E27,IF(BW4&lt;'Get Started  2'!$H109,0,OFFSET(BW234,0,-1*'Get Started  2'!$H109)*'Get Started  2'!$E42*'Get Started  2'!$G109),0)</f>
        <v>0</v>
      </c>
      <c r="BX237" s="90">
        <f ca="1">IF('Get Started  2'!$H112&lt;='Get Started  2'!$E27,IF(AND(BX4&lt;'Get Started  2'!$H112,'Get Started  2'!$H112&lt;='Get Started  2'!$E27),0,OFFSET(BX234,0,-1*'Get Started  2'!$H112)*'Get Started  2'!$H42*'Get Started  2'!$G112),0)+IF('Get Started  2'!$H111&lt;='Get Started  2'!$E27,IF(BX4&lt;'Get Started  2'!$H111,0,OFFSET(BX234,0,-1*'Get Started  2'!$H111)*'Get Started  2'!$G42*'Get Started  2'!$G111),0)+IF('Get Started  2'!$H110&lt;='Get Started  2'!$E27,IF(BX4&lt;'Get Started  2'!$H110,0,OFFSET(BX234,0,-1*'Get Started  2'!$H110)*'Get Started  2'!$F42*'Get Started  2'!$G110),0)+IF('Get Started  2'!$H109&lt;='Get Started  2'!$E27,IF(BX4&lt;'Get Started  2'!$H109,0,OFFSET(BX234,0,-1*'Get Started  2'!$H109)*'Get Started  2'!$E42*'Get Started  2'!$G109),0)</f>
        <v>0</v>
      </c>
      <c r="BY237" s="90">
        <f ca="1">IF('Get Started  2'!$H112&lt;='Get Started  2'!$E27,IF(AND(BY4&lt;'Get Started  2'!$H112,'Get Started  2'!$H112&lt;='Get Started  2'!$E27),0,OFFSET(BY234,0,-1*'Get Started  2'!$H112)*'Get Started  2'!$H42*'Get Started  2'!$G112),0)+IF('Get Started  2'!$H111&lt;='Get Started  2'!$E27,IF(BY4&lt;'Get Started  2'!$H111,0,OFFSET(BY234,0,-1*'Get Started  2'!$H111)*'Get Started  2'!$G42*'Get Started  2'!$G111),0)+IF('Get Started  2'!$H110&lt;='Get Started  2'!$E27,IF(BY4&lt;'Get Started  2'!$H110,0,OFFSET(BY234,0,-1*'Get Started  2'!$H110)*'Get Started  2'!$F42*'Get Started  2'!$G110),0)+IF('Get Started  2'!$H109&lt;='Get Started  2'!$E27,IF(BY4&lt;'Get Started  2'!$H109,0,OFFSET(BY234,0,-1*'Get Started  2'!$H109)*'Get Started  2'!$E42*'Get Started  2'!$G109),0)</f>
        <v>0</v>
      </c>
      <c r="BZ237" s="90">
        <f ca="1">IF('Get Started  2'!$H112&lt;='Get Started  2'!$E27,IF(AND(BZ4&lt;'Get Started  2'!$H112,'Get Started  2'!$H112&lt;='Get Started  2'!$E27),0,OFFSET(BZ234,0,-1*'Get Started  2'!$H112)*'Get Started  2'!$H42*'Get Started  2'!$G112),0)+IF('Get Started  2'!$H111&lt;='Get Started  2'!$E27,IF(BZ4&lt;'Get Started  2'!$H111,0,OFFSET(BZ234,0,-1*'Get Started  2'!$H111)*'Get Started  2'!$G42*'Get Started  2'!$G111),0)+IF('Get Started  2'!$H110&lt;='Get Started  2'!$E27,IF(BZ4&lt;'Get Started  2'!$H110,0,OFFSET(BZ234,0,-1*'Get Started  2'!$H110)*'Get Started  2'!$F42*'Get Started  2'!$G110),0)+IF('Get Started  2'!$H109&lt;='Get Started  2'!$E27,IF(BZ4&lt;'Get Started  2'!$H109,0,OFFSET(BZ234,0,-1*'Get Started  2'!$H109)*'Get Started  2'!$E42*'Get Started  2'!$G109),0)</f>
        <v>0</v>
      </c>
      <c r="CA237" s="90">
        <f ca="1">IF('Get Started  2'!$H112&lt;='Get Started  2'!$E27,IF(AND(CA4&lt;'Get Started  2'!$H112,'Get Started  2'!$H112&lt;='Get Started  2'!$E27),0,OFFSET(CA234,0,-1*'Get Started  2'!$H112)*'Get Started  2'!$H42*'Get Started  2'!$G112),0)+IF('Get Started  2'!$H111&lt;='Get Started  2'!$E27,IF(CA4&lt;'Get Started  2'!$H111,0,OFFSET(CA234,0,-1*'Get Started  2'!$H111)*'Get Started  2'!$G42*'Get Started  2'!$G111),0)+IF('Get Started  2'!$H110&lt;='Get Started  2'!$E27,IF(CA4&lt;'Get Started  2'!$H110,0,OFFSET(CA234,0,-1*'Get Started  2'!$H110)*'Get Started  2'!$F42*'Get Started  2'!$G110),0)+IF('Get Started  2'!$H109&lt;='Get Started  2'!$E27,IF(CA4&lt;'Get Started  2'!$H109,0,OFFSET(CA234,0,-1*'Get Started  2'!$H109)*'Get Started  2'!$E42*'Get Started  2'!$G109),0)</f>
        <v>0</v>
      </c>
      <c r="CB237" s="90">
        <f ca="1">IF('Get Started  2'!$H112&lt;='Get Started  2'!$E27,IF(AND(CB4&lt;'Get Started  2'!$H112,'Get Started  2'!$H112&lt;='Get Started  2'!$E27),0,OFFSET(CB234,0,-1*'Get Started  2'!$H112)*'Get Started  2'!$H42*'Get Started  2'!$G112),0)+IF('Get Started  2'!$H111&lt;='Get Started  2'!$E27,IF(CB4&lt;'Get Started  2'!$H111,0,OFFSET(CB234,0,-1*'Get Started  2'!$H111)*'Get Started  2'!$G42*'Get Started  2'!$G111),0)+IF('Get Started  2'!$H110&lt;='Get Started  2'!$E27,IF(CB4&lt;'Get Started  2'!$H110,0,OFFSET(CB234,0,-1*'Get Started  2'!$H110)*'Get Started  2'!$F42*'Get Started  2'!$G110),0)+IF('Get Started  2'!$H109&lt;='Get Started  2'!$E27,IF(CB4&lt;'Get Started  2'!$H109,0,OFFSET(CB234,0,-1*'Get Started  2'!$H109)*'Get Started  2'!$E42*'Get Started  2'!$G109),0)</f>
        <v>0</v>
      </c>
      <c r="CC237" s="90">
        <f ca="1">IF('Get Started  2'!$H112&lt;='Get Started  2'!$E27,IF(AND(CC4&lt;'Get Started  2'!$H112,'Get Started  2'!$H112&lt;='Get Started  2'!$E27),0,OFFSET(CC234,0,-1*'Get Started  2'!$H112)*'Get Started  2'!$H42*'Get Started  2'!$G112),0)+IF('Get Started  2'!$H111&lt;='Get Started  2'!$E27,IF(CC4&lt;'Get Started  2'!$H111,0,OFFSET(CC234,0,-1*'Get Started  2'!$H111)*'Get Started  2'!$G42*'Get Started  2'!$G111),0)+IF('Get Started  2'!$H110&lt;='Get Started  2'!$E27,IF(CC4&lt;'Get Started  2'!$H110,0,OFFSET(CC234,0,-1*'Get Started  2'!$H110)*'Get Started  2'!$F42*'Get Started  2'!$G110),0)+IF('Get Started  2'!$H109&lt;='Get Started  2'!$E27,IF(CC4&lt;'Get Started  2'!$H109,0,OFFSET(CC234,0,-1*'Get Started  2'!$H109)*'Get Started  2'!$E42*'Get Started  2'!$G109),0)</f>
        <v>0</v>
      </c>
      <c r="CD237" s="90">
        <f ca="1">IF('Get Started  2'!$H112&lt;='Get Started  2'!$E27,IF(AND(CD4&lt;'Get Started  2'!$H112,'Get Started  2'!$H112&lt;='Get Started  2'!$E27),0,OFFSET(CD234,0,-1*'Get Started  2'!$H112)*'Get Started  2'!$H42*'Get Started  2'!$G112),0)+IF('Get Started  2'!$H111&lt;='Get Started  2'!$E27,IF(CD4&lt;'Get Started  2'!$H111,0,OFFSET(CD234,0,-1*'Get Started  2'!$H111)*'Get Started  2'!$G42*'Get Started  2'!$G111),0)+IF('Get Started  2'!$H110&lt;='Get Started  2'!$E27,IF(CD4&lt;'Get Started  2'!$H110,0,OFFSET(CD234,0,-1*'Get Started  2'!$H110)*'Get Started  2'!$F42*'Get Started  2'!$G110),0)+IF('Get Started  2'!$H109&lt;='Get Started  2'!$E27,IF(CD4&lt;'Get Started  2'!$H109,0,OFFSET(CD234,0,-1*'Get Started  2'!$H109)*'Get Started  2'!$E42*'Get Started  2'!$G109),0)</f>
        <v>0</v>
      </c>
      <c r="CE237" s="90">
        <f ca="1">IF('Get Started  2'!$H112&lt;='Get Started  2'!$E27,IF(AND(CE4&lt;'Get Started  2'!$H112,'Get Started  2'!$H112&lt;='Get Started  2'!$E27),0,OFFSET(CE234,0,-1*'Get Started  2'!$H112)*'Get Started  2'!$H42*'Get Started  2'!$G112),0)+IF('Get Started  2'!$H111&lt;='Get Started  2'!$E27,IF(CE4&lt;'Get Started  2'!$H111,0,OFFSET(CE234,0,-1*'Get Started  2'!$H111)*'Get Started  2'!$G42*'Get Started  2'!$G111),0)+IF('Get Started  2'!$H110&lt;='Get Started  2'!$E27,IF(CE4&lt;'Get Started  2'!$H110,0,OFFSET(CE234,0,-1*'Get Started  2'!$H110)*'Get Started  2'!$F42*'Get Started  2'!$G110),0)+IF('Get Started  2'!$H109&lt;='Get Started  2'!$E27,IF(CE4&lt;'Get Started  2'!$H109,0,OFFSET(CE234,0,-1*'Get Started  2'!$H109)*'Get Started  2'!$E42*'Get Started  2'!$G109),0)</f>
        <v>0</v>
      </c>
      <c r="CF237" s="90">
        <f ca="1">IF('Get Started  2'!$H112&lt;='Get Started  2'!$E27,IF(AND(CF4&lt;'Get Started  2'!$H112,'Get Started  2'!$H112&lt;='Get Started  2'!$E27),0,OFFSET(CF234,0,-1*'Get Started  2'!$H112)*'Get Started  2'!$H42*'Get Started  2'!$G112),0)+IF('Get Started  2'!$H111&lt;='Get Started  2'!$E27,IF(CF4&lt;'Get Started  2'!$H111,0,OFFSET(CF234,0,-1*'Get Started  2'!$H111)*'Get Started  2'!$G42*'Get Started  2'!$G111),0)+IF('Get Started  2'!$H110&lt;='Get Started  2'!$E27,IF(CF4&lt;'Get Started  2'!$H110,0,OFFSET(CF234,0,-1*'Get Started  2'!$H110)*'Get Started  2'!$F42*'Get Started  2'!$G110),0)+IF('Get Started  2'!$H109&lt;='Get Started  2'!$E27,IF(CF4&lt;'Get Started  2'!$H109,0,OFFSET(CF234,0,-1*'Get Started  2'!$H109)*'Get Started  2'!$E42*'Get Started  2'!$G109),0)</f>
        <v>0</v>
      </c>
      <c r="CG237" s="90">
        <f ca="1">IF('Get Started  2'!$H112&lt;='Get Started  2'!$E27,IF(AND(CG4&lt;'Get Started  2'!$H112,'Get Started  2'!$H112&lt;='Get Started  2'!$E27),0,OFFSET(CG234,0,-1*'Get Started  2'!$H112)*'Get Started  2'!$H42*'Get Started  2'!$G112),0)+IF('Get Started  2'!$H111&lt;='Get Started  2'!$E27,IF(CG4&lt;'Get Started  2'!$H111,0,OFFSET(CG234,0,-1*'Get Started  2'!$H111)*'Get Started  2'!$G42*'Get Started  2'!$G111),0)+IF('Get Started  2'!$H110&lt;='Get Started  2'!$E27,IF(CG4&lt;'Get Started  2'!$H110,0,OFFSET(CG234,0,-1*'Get Started  2'!$H110)*'Get Started  2'!$F42*'Get Started  2'!$G110),0)+IF('Get Started  2'!$H109&lt;='Get Started  2'!$E27,IF(CG4&lt;'Get Started  2'!$H109,0,OFFSET(CG234,0,-1*'Get Started  2'!$H109)*'Get Started  2'!$E42*'Get Started  2'!$G109),0)</f>
        <v>0</v>
      </c>
      <c r="CH237" s="90">
        <f ca="1">IF('Get Started  2'!$H112&lt;='Get Started  2'!$E27,IF(AND(CH4&lt;'Get Started  2'!$H112,'Get Started  2'!$H112&lt;='Get Started  2'!$E27),0,OFFSET(CH234,0,-1*'Get Started  2'!$H112)*'Get Started  2'!$H42*'Get Started  2'!$G112),0)+IF('Get Started  2'!$H111&lt;='Get Started  2'!$E27,IF(CH4&lt;'Get Started  2'!$H111,0,OFFSET(CH234,0,-1*'Get Started  2'!$H111)*'Get Started  2'!$G42*'Get Started  2'!$G111),0)+IF('Get Started  2'!$H110&lt;='Get Started  2'!$E27,IF(CH4&lt;'Get Started  2'!$H110,0,OFFSET(CH234,0,-1*'Get Started  2'!$H110)*'Get Started  2'!$F42*'Get Started  2'!$G110),0)+IF('Get Started  2'!$H109&lt;='Get Started  2'!$E27,IF(CH4&lt;'Get Started  2'!$H109,0,OFFSET(CH234,0,-1*'Get Started  2'!$H109)*'Get Started  2'!$E42*'Get Started  2'!$G109),0)</f>
        <v>0</v>
      </c>
    </row>
    <row r="238" spans="1:86" ht="13" outlineLevel="1">
      <c r="A238" s="13"/>
      <c r="B238" s="13" t="s">
        <v>333</v>
      </c>
      <c r="C238" s="13"/>
      <c r="D238" s="13" t="s">
        <v>238</v>
      </c>
      <c r="E238" s="88">
        <f t="shared" ca="1" si="170"/>
        <v>0.4016747685185183</v>
      </c>
      <c r="F238" s="79"/>
      <c r="G238" s="90">
        <f t="shared" ref="G238:CH238" ca="1" si="178">IFERROR(G239/((1-$E216-$E217-$E218)/1),0)</f>
        <v>0</v>
      </c>
      <c r="H238" s="90">
        <f t="shared" ca="1" si="178"/>
        <v>0</v>
      </c>
      <c r="I238" s="90">
        <f t="shared" ca="1" si="178"/>
        <v>0</v>
      </c>
      <c r="J238" s="90">
        <f t="shared" ca="1" si="178"/>
        <v>0</v>
      </c>
      <c r="K238" s="90">
        <f t="shared" ca="1" si="178"/>
        <v>0</v>
      </c>
      <c r="L238" s="90">
        <f t="shared" ca="1" si="178"/>
        <v>0</v>
      </c>
      <c r="M238" s="90">
        <f t="shared" ca="1" si="178"/>
        <v>0</v>
      </c>
      <c r="N238" s="90">
        <f t="shared" ca="1" si="178"/>
        <v>0</v>
      </c>
      <c r="O238" s="90">
        <f t="shared" ca="1" si="178"/>
        <v>0</v>
      </c>
      <c r="P238" s="90">
        <f t="shared" ca="1" si="178"/>
        <v>0</v>
      </c>
      <c r="Q238" s="90">
        <f t="shared" ca="1" si="178"/>
        <v>0</v>
      </c>
      <c r="R238" s="90">
        <f t="shared" ca="1" si="178"/>
        <v>0</v>
      </c>
      <c r="S238" s="90">
        <f t="shared" ca="1" si="178"/>
        <v>1.3541666666666664E-2</v>
      </c>
      <c r="T238" s="90">
        <f t="shared" ca="1" si="178"/>
        <v>1.3541666666666664E-2</v>
      </c>
      <c r="U238" s="90">
        <f t="shared" ca="1" si="178"/>
        <v>1.3541666666666664E-2</v>
      </c>
      <c r="V238" s="90">
        <f t="shared" ca="1" si="178"/>
        <v>1.3541666666666664E-2</v>
      </c>
      <c r="W238" s="90">
        <f t="shared" ca="1" si="178"/>
        <v>2.0833333333333329E-2</v>
      </c>
      <c r="X238" s="90">
        <f t="shared" ca="1" si="178"/>
        <v>2.0833333333333329E-2</v>
      </c>
      <c r="Y238" s="90">
        <f t="shared" ca="1" si="178"/>
        <v>2.0833333333333329E-2</v>
      </c>
      <c r="Z238" s="90">
        <f t="shared" ca="1" si="178"/>
        <v>2.0833333333333329E-2</v>
      </c>
      <c r="AA238" s="90">
        <f t="shared" ca="1" si="178"/>
        <v>2.0833333333333329E-2</v>
      </c>
      <c r="AB238" s="90">
        <f t="shared" ca="1" si="178"/>
        <v>2.0833333333333329E-2</v>
      </c>
      <c r="AC238" s="90">
        <f t="shared" ca="1" si="178"/>
        <v>2.0833333333333329E-2</v>
      </c>
      <c r="AD238" s="90">
        <f t="shared" ca="1" si="178"/>
        <v>2.0833333333333329E-2</v>
      </c>
      <c r="AE238" s="90">
        <f t="shared" ca="1" si="178"/>
        <v>2.6550057870370364E-2</v>
      </c>
      <c r="AF238" s="90">
        <f t="shared" ca="1" si="178"/>
        <v>2.6550057870370364E-2</v>
      </c>
      <c r="AG238" s="90">
        <f t="shared" ca="1" si="178"/>
        <v>2.6550057870370364E-2</v>
      </c>
      <c r="AH238" s="90">
        <f t="shared" ca="1" si="178"/>
        <v>2.6550057870370364E-2</v>
      </c>
      <c r="AI238" s="90">
        <f t="shared" ca="1" si="178"/>
        <v>1.1812210648148146E-2</v>
      </c>
      <c r="AJ238" s="90">
        <f t="shared" ca="1" si="178"/>
        <v>1.1812210648148146E-2</v>
      </c>
      <c r="AK238" s="90">
        <f t="shared" ca="1" si="178"/>
        <v>1.1812210648148146E-2</v>
      </c>
      <c r="AL238" s="90">
        <f t="shared" ca="1" si="178"/>
        <v>1.1812210648148146E-2</v>
      </c>
      <c r="AM238" s="90">
        <f t="shared" ca="1" si="178"/>
        <v>3.1249999999999989E-3</v>
      </c>
      <c r="AN238" s="90">
        <f t="shared" ca="1" si="178"/>
        <v>3.1249999999999989E-3</v>
      </c>
      <c r="AO238" s="90">
        <f t="shared" ca="1" si="178"/>
        <v>3.1249999999999989E-3</v>
      </c>
      <c r="AP238" s="90">
        <f t="shared" ca="1" si="178"/>
        <v>3.1249999999999989E-3</v>
      </c>
      <c r="AQ238" s="90">
        <f t="shared" ca="1" si="178"/>
        <v>3.7230902777777766E-3</v>
      </c>
      <c r="AR238" s="90">
        <f t="shared" ca="1" si="178"/>
        <v>3.7230902777777766E-3</v>
      </c>
      <c r="AS238" s="90">
        <f t="shared" ca="1" si="178"/>
        <v>3.7230902777777766E-3</v>
      </c>
      <c r="AT238" s="90">
        <f t="shared" ca="1" si="178"/>
        <v>3.7230902777777766E-3</v>
      </c>
      <c r="AU238" s="90">
        <f t="shared" ca="1" si="178"/>
        <v>0</v>
      </c>
      <c r="AV238" s="90">
        <f t="shared" ca="1" si="178"/>
        <v>0</v>
      </c>
      <c r="AW238" s="90">
        <f t="shared" ca="1" si="178"/>
        <v>0</v>
      </c>
      <c r="AX238" s="90">
        <f t="shared" ca="1" si="178"/>
        <v>0</v>
      </c>
      <c r="AY238" s="90">
        <f t="shared" ca="1" si="178"/>
        <v>0</v>
      </c>
      <c r="AZ238" s="90">
        <f t="shared" ca="1" si="178"/>
        <v>0</v>
      </c>
      <c r="BA238" s="90">
        <f t="shared" ca="1" si="178"/>
        <v>0</v>
      </c>
      <c r="BB238" s="90">
        <f t="shared" ca="1" si="178"/>
        <v>0</v>
      </c>
      <c r="BC238" s="90">
        <f t="shared" ca="1" si="178"/>
        <v>0</v>
      </c>
      <c r="BD238" s="90">
        <f t="shared" ca="1" si="178"/>
        <v>0</v>
      </c>
      <c r="BE238" s="90">
        <f t="shared" ca="1" si="178"/>
        <v>0</v>
      </c>
      <c r="BF238" s="90">
        <f t="shared" ca="1" si="178"/>
        <v>0</v>
      </c>
      <c r="BG238" s="90">
        <f t="shared" ca="1" si="178"/>
        <v>0</v>
      </c>
      <c r="BH238" s="90">
        <f t="shared" ca="1" si="178"/>
        <v>0</v>
      </c>
      <c r="BI238" s="90">
        <f t="shared" ca="1" si="178"/>
        <v>0</v>
      </c>
      <c r="BJ238" s="90">
        <f t="shared" ca="1" si="178"/>
        <v>0</v>
      </c>
      <c r="BK238" s="90">
        <f t="shared" ca="1" si="178"/>
        <v>0</v>
      </c>
      <c r="BL238" s="90">
        <f t="shared" ca="1" si="178"/>
        <v>0</v>
      </c>
      <c r="BM238" s="90">
        <f t="shared" ca="1" si="178"/>
        <v>0</v>
      </c>
      <c r="BN238" s="90">
        <f t="shared" ca="1" si="178"/>
        <v>0</v>
      </c>
      <c r="BO238" s="90">
        <f t="shared" ca="1" si="178"/>
        <v>0</v>
      </c>
      <c r="BP238" s="90">
        <f t="shared" ca="1" si="178"/>
        <v>0</v>
      </c>
      <c r="BQ238" s="90">
        <f t="shared" ca="1" si="178"/>
        <v>0</v>
      </c>
      <c r="BR238" s="90">
        <f t="shared" ca="1" si="178"/>
        <v>0</v>
      </c>
      <c r="BS238" s="90">
        <f t="shared" ca="1" si="178"/>
        <v>0</v>
      </c>
      <c r="BT238" s="90">
        <f t="shared" ca="1" si="178"/>
        <v>0</v>
      </c>
      <c r="BU238" s="90">
        <f t="shared" ca="1" si="178"/>
        <v>0</v>
      </c>
      <c r="BV238" s="90">
        <f t="shared" ca="1" si="178"/>
        <v>0</v>
      </c>
      <c r="BW238" s="90">
        <f t="shared" ca="1" si="178"/>
        <v>0</v>
      </c>
      <c r="BX238" s="90">
        <f t="shared" ca="1" si="178"/>
        <v>0</v>
      </c>
      <c r="BY238" s="90">
        <f t="shared" ca="1" si="178"/>
        <v>0</v>
      </c>
      <c r="BZ238" s="90">
        <f t="shared" ca="1" si="178"/>
        <v>0</v>
      </c>
      <c r="CA238" s="90">
        <f t="shared" ca="1" si="178"/>
        <v>0</v>
      </c>
      <c r="CB238" s="90">
        <f t="shared" ca="1" si="178"/>
        <v>0</v>
      </c>
      <c r="CC238" s="90">
        <f t="shared" ca="1" si="178"/>
        <v>0</v>
      </c>
      <c r="CD238" s="90">
        <f t="shared" ca="1" si="178"/>
        <v>0</v>
      </c>
      <c r="CE238" s="90">
        <f t="shared" ca="1" si="178"/>
        <v>0</v>
      </c>
      <c r="CF238" s="90">
        <f t="shared" ca="1" si="178"/>
        <v>0</v>
      </c>
      <c r="CG238" s="90">
        <f t="shared" ca="1" si="178"/>
        <v>0</v>
      </c>
      <c r="CH238" s="90">
        <f t="shared" ca="1" si="178"/>
        <v>0</v>
      </c>
    </row>
    <row r="239" spans="1:86" ht="13" outlineLevel="1">
      <c r="A239" s="13"/>
      <c r="B239" s="13" t="s">
        <v>334</v>
      </c>
      <c r="C239" s="13"/>
      <c r="D239" s="13" t="s">
        <v>238</v>
      </c>
      <c r="E239" s="88">
        <f t="shared" ca="1" si="170"/>
        <v>0.30928957175925909</v>
      </c>
      <c r="F239" s="79"/>
      <c r="G239" s="90">
        <f ca="1">IF(AND('Get Started  2'!$H112&lt;='Get Started  2'!$E27,'Get Started  2'!$G112&lt;&gt;0),IF(AND(G4&lt;'Get Started  2'!$H112,'Get Started  2'!$H112&lt;='Get Started  2'!$E27),0,OFFSET(G234,0,-1*'Get Started  2'!$H112)*'Get Started  2'!$H42),0)+IF(AND('Get Started  2'!$H111&lt;='Get Started  2'!$E27,'Get Started  2'!$G111&lt;&gt;0),IF(G4&lt;'Get Started  2'!$H111,0,OFFSET(G234,0,-1*'Get Started  2'!$H111)*'Get Started  2'!$G42),0)+IF(AND('Get Started  2'!$H110&lt;='Get Started  2'!$E27,'Get Started  2'!$G110&lt;&gt;0),IF(G4&lt;'Get Started  2'!$H110,0,OFFSET(G234,0,-1*'Get Started  2'!$H110)*'Get Started  2'!$F42),0)+IF(AND('Get Started  2'!$H109&lt;='Get Started  2'!$E27,'Get Started  2'!$G109&lt;&gt;0),IF(G4&lt;'Get Started  2'!$H109,0,OFFSET(G234,0,-1*'Get Started  2'!$H109)*'Get Started  2'!$E42*'Get Started  2'!$G109),0)</f>
        <v>0</v>
      </c>
      <c r="H239" s="90">
        <f ca="1">IF(AND('Get Started  2'!$H112&lt;='Get Started  2'!$E27,'Get Started  2'!$G112&lt;&gt;0),IF(AND(H4&lt;'Get Started  2'!$H112,'Get Started  2'!$H112&lt;='Get Started  2'!$E27),0,OFFSET(H234,0,-1*'Get Started  2'!$H112)*'Get Started  2'!$H42),0)+IF(AND('Get Started  2'!$H111&lt;='Get Started  2'!$E27,'Get Started  2'!$G111&lt;&gt;0),IF(H4&lt;'Get Started  2'!$H111,0,OFFSET(H234,0,-1*'Get Started  2'!$H111)*'Get Started  2'!$G42),0)+IF(AND('Get Started  2'!$H110&lt;='Get Started  2'!$E27,'Get Started  2'!$G110&lt;&gt;0),IF(H4&lt;'Get Started  2'!$H110,0,OFFSET(H234,0,-1*'Get Started  2'!$H110)*'Get Started  2'!$F42),0)+IF(AND('Get Started  2'!$H109&lt;='Get Started  2'!$E27,'Get Started  2'!$G109&lt;&gt;0),IF(H4&lt;'Get Started  2'!$H109,0,OFFSET(H234,0,-1*'Get Started  2'!$H109)*'Get Started  2'!$E42*'Get Started  2'!$G109),0)</f>
        <v>0</v>
      </c>
      <c r="I239" s="90">
        <f ca="1">IF(AND('Get Started  2'!$H112&lt;='Get Started  2'!$E27,'Get Started  2'!$G112&lt;&gt;0),IF(AND(I4&lt;'Get Started  2'!$H112,'Get Started  2'!$H112&lt;='Get Started  2'!$E27),0,OFFSET(I234,0,-1*'Get Started  2'!$H112)*'Get Started  2'!$H42),0)+IF(AND('Get Started  2'!$H111&lt;='Get Started  2'!$E27,'Get Started  2'!$G111&lt;&gt;0),IF(I4&lt;'Get Started  2'!$H111,0,OFFSET(I234,0,-1*'Get Started  2'!$H111)*'Get Started  2'!$G42),0)+IF(AND('Get Started  2'!$H110&lt;='Get Started  2'!$E27,'Get Started  2'!$G110&lt;&gt;0),IF(I4&lt;'Get Started  2'!$H110,0,OFFSET(I234,0,-1*'Get Started  2'!$H110)*'Get Started  2'!$F42),0)+IF(AND('Get Started  2'!$H109&lt;='Get Started  2'!$E27,'Get Started  2'!$G109&lt;&gt;0),IF(I4&lt;'Get Started  2'!$H109,0,OFFSET(I234,0,-1*'Get Started  2'!$H109)*'Get Started  2'!$E42*'Get Started  2'!$G109),0)</f>
        <v>0</v>
      </c>
      <c r="J239" s="90">
        <f ca="1">IF(AND('Get Started  2'!$H112&lt;='Get Started  2'!$E27,'Get Started  2'!$G112&lt;&gt;0),IF(AND(J4&lt;'Get Started  2'!$H112,'Get Started  2'!$H112&lt;='Get Started  2'!$E27),0,OFFSET(J234,0,-1*'Get Started  2'!$H112)*'Get Started  2'!$H42),0)+IF(AND('Get Started  2'!$H111&lt;='Get Started  2'!$E27,'Get Started  2'!$G111&lt;&gt;0),IF(J4&lt;'Get Started  2'!$H111,0,OFFSET(J234,0,-1*'Get Started  2'!$H111)*'Get Started  2'!$G42),0)+IF(AND('Get Started  2'!$H110&lt;='Get Started  2'!$E27,'Get Started  2'!$G110&lt;&gt;0),IF(J4&lt;'Get Started  2'!$H110,0,OFFSET(J234,0,-1*'Get Started  2'!$H110)*'Get Started  2'!$F42),0)+IF(AND('Get Started  2'!$H109&lt;='Get Started  2'!$E27,'Get Started  2'!$G109&lt;&gt;0),IF(J4&lt;'Get Started  2'!$H109,0,OFFSET(J234,0,-1*'Get Started  2'!$H109)*'Get Started  2'!$E42*'Get Started  2'!$G109),0)</f>
        <v>0</v>
      </c>
      <c r="K239" s="90">
        <f ca="1">IF(AND('Get Started  2'!$H112&lt;='Get Started  2'!$E27,'Get Started  2'!$G112&lt;&gt;0),IF(AND(K4&lt;'Get Started  2'!$H112,'Get Started  2'!$H112&lt;='Get Started  2'!$E27),0,OFFSET(K234,0,-1*'Get Started  2'!$H112)*'Get Started  2'!$H42),0)+IF(AND('Get Started  2'!$H111&lt;='Get Started  2'!$E27,'Get Started  2'!$G111&lt;&gt;0),IF(K4&lt;'Get Started  2'!$H111,0,OFFSET(K234,0,-1*'Get Started  2'!$H111)*'Get Started  2'!$G42),0)+IF(AND('Get Started  2'!$H110&lt;='Get Started  2'!$E27,'Get Started  2'!$G110&lt;&gt;0),IF(K4&lt;'Get Started  2'!$H110,0,OFFSET(K234,0,-1*'Get Started  2'!$H110)*'Get Started  2'!$F42),0)+IF(AND('Get Started  2'!$H109&lt;='Get Started  2'!$E27,'Get Started  2'!$G109&lt;&gt;0),IF(K4&lt;'Get Started  2'!$H109,0,OFFSET(K234,0,-1*'Get Started  2'!$H109)*'Get Started  2'!$E42*'Get Started  2'!$G109),0)</f>
        <v>0</v>
      </c>
      <c r="L239" s="90">
        <f ca="1">IF(AND('Get Started  2'!$H112&lt;='Get Started  2'!$E27,'Get Started  2'!$G112&lt;&gt;0),IF(AND(L4&lt;'Get Started  2'!$H112,'Get Started  2'!$H112&lt;='Get Started  2'!$E27),0,OFFSET(L234,0,-1*'Get Started  2'!$H112)*'Get Started  2'!$H42),0)+IF(AND('Get Started  2'!$H111&lt;='Get Started  2'!$E27,'Get Started  2'!$G111&lt;&gt;0),IF(L4&lt;'Get Started  2'!$H111,0,OFFSET(L234,0,-1*'Get Started  2'!$H111)*'Get Started  2'!$G42),0)+IF(AND('Get Started  2'!$H110&lt;='Get Started  2'!$E27,'Get Started  2'!$G110&lt;&gt;0),IF(L4&lt;'Get Started  2'!$H110,0,OFFSET(L234,0,-1*'Get Started  2'!$H110)*'Get Started  2'!$F42),0)+IF(AND('Get Started  2'!$H109&lt;='Get Started  2'!$E27,'Get Started  2'!$G109&lt;&gt;0),IF(L4&lt;'Get Started  2'!$H109,0,OFFSET(L234,0,-1*'Get Started  2'!$H109)*'Get Started  2'!$E42*'Get Started  2'!$G109),0)</f>
        <v>0</v>
      </c>
      <c r="M239" s="90">
        <f ca="1">IF(AND('Get Started  2'!$H112&lt;='Get Started  2'!$E27,'Get Started  2'!$G112&lt;&gt;0),IF(AND(M4&lt;'Get Started  2'!$H112,'Get Started  2'!$H112&lt;='Get Started  2'!$E27),0,OFFSET(M234,0,-1*'Get Started  2'!$H112)*'Get Started  2'!$H42),0)+IF(AND('Get Started  2'!$H111&lt;='Get Started  2'!$E27,'Get Started  2'!$G111&lt;&gt;0),IF(M4&lt;'Get Started  2'!$H111,0,OFFSET(M234,0,-1*'Get Started  2'!$H111)*'Get Started  2'!$G42),0)+IF(AND('Get Started  2'!$H110&lt;='Get Started  2'!$E27,'Get Started  2'!$G110&lt;&gt;0),IF(M4&lt;'Get Started  2'!$H110,0,OFFSET(M234,0,-1*'Get Started  2'!$H110)*'Get Started  2'!$F42),0)+IF(AND('Get Started  2'!$H109&lt;='Get Started  2'!$E27,'Get Started  2'!$G109&lt;&gt;0),IF(M4&lt;'Get Started  2'!$H109,0,OFFSET(M234,0,-1*'Get Started  2'!$H109)*'Get Started  2'!$E42*'Get Started  2'!$G109),0)</f>
        <v>0</v>
      </c>
      <c r="N239" s="90">
        <f ca="1">IF(AND('Get Started  2'!$H112&lt;='Get Started  2'!$E27,'Get Started  2'!$G112&lt;&gt;0),IF(AND(N4&lt;'Get Started  2'!$H112,'Get Started  2'!$H112&lt;='Get Started  2'!$E27),0,OFFSET(N234,0,-1*'Get Started  2'!$H112)*'Get Started  2'!$H42),0)+IF(AND('Get Started  2'!$H111&lt;='Get Started  2'!$E27,'Get Started  2'!$G111&lt;&gt;0),IF(N4&lt;'Get Started  2'!$H111,0,OFFSET(N234,0,-1*'Get Started  2'!$H111)*'Get Started  2'!$G42),0)+IF(AND('Get Started  2'!$H110&lt;='Get Started  2'!$E27,'Get Started  2'!$G110&lt;&gt;0),IF(N4&lt;'Get Started  2'!$H110,0,OFFSET(N234,0,-1*'Get Started  2'!$H110)*'Get Started  2'!$F42),0)+IF(AND('Get Started  2'!$H109&lt;='Get Started  2'!$E27,'Get Started  2'!$G109&lt;&gt;0),IF(N4&lt;'Get Started  2'!$H109,0,OFFSET(N234,0,-1*'Get Started  2'!$H109)*'Get Started  2'!$E42*'Get Started  2'!$G109),0)</f>
        <v>0</v>
      </c>
      <c r="O239" s="90">
        <f ca="1">IF(AND('Get Started  2'!$H112&lt;='Get Started  2'!$E27,'Get Started  2'!$G112&lt;&gt;0),IF(AND(O4&lt;'Get Started  2'!$H112,'Get Started  2'!$H112&lt;='Get Started  2'!$E27),0,OFFSET(O234,0,-1*'Get Started  2'!$H112)*'Get Started  2'!$H42),0)+IF(AND('Get Started  2'!$H111&lt;='Get Started  2'!$E27,'Get Started  2'!$G111&lt;&gt;0),IF(O4&lt;'Get Started  2'!$H111,0,OFFSET(O234,0,-1*'Get Started  2'!$H111)*'Get Started  2'!$G42),0)+IF(AND('Get Started  2'!$H110&lt;='Get Started  2'!$E27,'Get Started  2'!$G110&lt;&gt;0),IF(O4&lt;'Get Started  2'!$H110,0,OFFSET(O234,0,-1*'Get Started  2'!$H110)*'Get Started  2'!$F42),0)+IF(AND('Get Started  2'!$H109&lt;='Get Started  2'!$E27,'Get Started  2'!$G109&lt;&gt;0),IF(O4&lt;'Get Started  2'!$H109,0,OFFSET(O234,0,-1*'Get Started  2'!$H109)*'Get Started  2'!$E42*'Get Started  2'!$G109),0)</f>
        <v>0</v>
      </c>
      <c r="P239" s="90">
        <f ca="1">IF(AND('Get Started  2'!$H112&lt;='Get Started  2'!$E27,'Get Started  2'!$G112&lt;&gt;0),IF(AND(P4&lt;'Get Started  2'!$H112,'Get Started  2'!$H112&lt;='Get Started  2'!$E27),0,OFFSET(P234,0,-1*'Get Started  2'!$H112)*'Get Started  2'!$H42),0)+IF(AND('Get Started  2'!$H111&lt;='Get Started  2'!$E27,'Get Started  2'!$G111&lt;&gt;0),IF(P4&lt;'Get Started  2'!$H111,0,OFFSET(P234,0,-1*'Get Started  2'!$H111)*'Get Started  2'!$G42),0)+IF(AND('Get Started  2'!$H110&lt;='Get Started  2'!$E27,'Get Started  2'!$G110&lt;&gt;0),IF(P4&lt;'Get Started  2'!$H110,0,OFFSET(P234,0,-1*'Get Started  2'!$H110)*'Get Started  2'!$F42),0)+IF(AND('Get Started  2'!$H109&lt;='Get Started  2'!$E27,'Get Started  2'!$G109&lt;&gt;0),IF(P4&lt;'Get Started  2'!$H109,0,OFFSET(P234,0,-1*'Get Started  2'!$H109)*'Get Started  2'!$E42*'Get Started  2'!$G109),0)</f>
        <v>0</v>
      </c>
      <c r="Q239" s="90">
        <f ca="1">IF(AND('Get Started  2'!$H112&lt;='Get Started  2'!$E27,'Get Started  2'!$G112&lt;&gt;0),IF(AND(Q4&lt;'Get Started  2'!$H112,'Get Started  2'!$H112&lt;='Get Started  2'!$E27),0,OFFSET(Q234,0,-1*'Get Started  2'!$H112)*'Get Started  2'!$H42),0)+IF(AND('Get Started  2'!$H111&lt;='Get Started  2'!$E27,'Get Started  2'!$G111&lt;&gt;0),IF(Q4&lt;'Get Started  2'!$H111,0,OFFSET(Q234,0,-1*'Get Started  2'!$H111)*'Get Started  2'!$G42),0)+IF(AND('Get Started  2'!$H110&lt;='Get Started  2'!$E27,'Get Started  2'!$G110&lt;&gt;0),IF(Q4&lt;'Get Started  2'!$H110,0,OFFSET(Q234,0,-1*'Get Started  2'!$H110)*'Get Started  2'!$F42),0)+IF(AND('Get Started  2'!$H109&lt;='Get Started  2'!$E27,'Get Started  2'!$G109&lt;&gt;0),IF(Q4&lt;'Get Started  2'!$H109,0,OFFSET(Q234,0,-1*'Get Started  2'!$H109)*'Get Started  2'!$E42*'Get Started  2'!$G109),0)</f>
        <v>0</v>
      </c>
      <c r="R239" s="90">
        <f ca="1">IF(AND('Get Started  2'!$H112&lt;='Get Started  2'!$E27,'Get Started  2'!$G112&lt;&gt;0),IF(AND(R4&lt;'Get Started  2'!$H112,'Get Started  2'!$H112&lt;='Get Started  2'!$E27),0,OFFSET(R234,0,-1*'Get Started  2'!$H112)*'Get Started  2'!$H42),0)+IF(AND('Get Started  2'!$H111&lt;='Get Started  2'!$E27,'Get Started  2'!$G111&lt;&gt;0),IF(R4&lt;'Get Started  2'!$H111,0,OFFSET(R234,0,-1*'Get Started  2'!$H111)*'Get Started  2'!$G42),0)+IF(AND('Get Started  2'!$H110&lt;='Get Started  2'!$E27,'Get Started  2'!$G110&lt;&gt;0),IF(R4&lt;'Get Started  2'!$H110,0,OFFSET(R234,0,-1*'Get Started  2'!$H110)*'Get Started  2'!$F42),0)+IF(AND('Get Started  2'!$H109&lt;='Get Started  2'!$E27,'Get Started  2'!$G109&lt;&gt;0),IF(R4&lt;'Get Started  2'!$H109,0,OFFSET(R234,0,-1*'Get Started  2'!$H109)*'Get Started  2'!$E42*'Get Started  2'!$G109),0)</f>
        <v>0</v>
      </c>
      <c r="S239" s="90">
        <f ca="1">IF(AND('Get Started  2'!$H112&lt;='Get Started  2'!$E27,'Get Started  2'!$G112&lt;&gt;0),IF(AND(S4&lt;'Get Started  2'!$H112,'Get Started  2'!$H112&lt;='Get Started  2'!$E27),0,OFFSET(S234,0,-1*'Get Started  2'!$H112)*'Get Started  2'!$H42),0)+IF(AND('Get Started  2'!$H111&lt;='Get Started  2'!$E27,'Get Started  2'!$G111&lt;&gt;0),IF(S4&lt;'Get Started  2'!$H111,0,OFFSET(S234,0,-1*'Get Started  2'!$H111)*'Get Started  2'!$G42),0)+IF(AND('Get Started  2'!$H110&lt;='Get Started  2'!$E27,'Get Started  2'!$G110&lt;&gt;0),IF(S4&lt;'Get Started  2'!$H110,0,OFFSET(S234,0,-1*'Get Started  2'!$H110)*'Get Started  2'!$F42),0)+IF(AND('Get Started  2'!$H109&lt;='Get Started  2'!$E27,'Get Started  2'!$G109&lt;&gt;0),IF(S4&lt;'Get Started  2'!$H109,0,OFFSET(S234,0,-1*'Get Started  2'!$H109)*'Get Started  2'!$E42*'Get Started  2'!$G109),0)</f>
        <v>1.0427083333333333E-2</v>
      </c>
      <c r="T239" s="90">
        <f ca="1">IF(AND('Get Started  2'!$H112&lt;='Get Started  2'!$E27,'Get Started  2'!$G112&lt;&gt;0),IF(AND(T4&lt;'Get Started  2'!$H112,'Get Started  2'!$H112&lt;='Get Started  2'!$E27),0,OFFSET(T234,0,-1*'Get Started  2'!$H112)*'Get Started  2'!$H42),0)+IF(AND('Get Started  2'!$H111&lt;='Get Started  2'!$E27,'Get Started  2'!$G111&lt;&gt;0),IF(T4&lt;'Get Started  2'!$H111,0,OFFSET(T234,0,-1*'Get Started  2'!$H111)*'Get Started  2'!$G42),0)+IF(AND('Get Started  2'!$H110&lt;='Get Started  2'!$E27,'Get Started  2'!$G110&lt;&gt;0),IF(T4&lt;'Get Started  2'!$H110,0,OFFSET(T234,0,-1*'Get Started  2'!$H110)*'Get Started  2'!$F42),0)+IF(AND('Get Started  2'!$H109&lt;='Get Started  2'!$E27,'Get Started  2'!$G109&lt;&gt;0),IF(T4&lt;'Get Started  2'!$H109,0,OFFSET(T234,0,-1*'Get Started  2'!$H109)*'Get Started  2'!$E42*'Get Started  2'!$G109),0)</f>
        <v>1.0427083333333333E-2</v>
      </c>
      <c r="U239" s="90">
        <f ca="1">IF(AND('Get Started  2'!$H112&lt;='Get Started  2'!$E27,'Get Started  2'!$G112&lt;&gt;0),IF(AND(U4&lt;'Get Started  2'!$H112,'Get Started  2'!$H112&lt;='Get Started  2'!$E27),0,OFFSET(U234,0,-1*'Get Started  2'!$H112)*'Get Started  2'!$H42),0)+IF(AND('Get Started  2'!$H111&lt;='Get Started  2'!$E27,'Get Started  2'!$G111&lt;&gt;0),IF(U4&lt;'Get Started  2'!$H111,0,OFFSET(U234,0,-1*'Get Started  2'!$H111)*'Get Started  2'!$G42),0)+IF(AND('Get Started  2'!$H110&lt;='Get Started  2'!$E27,'Get Started  2'!$G110&lt;&gt;0),IF(U4&lt;'Get Started  2'!$H110,0,OFFSET(U234,0,-1*'Get Started  2'!$H110)*'Get Started  2'!$F42),0)+IF(AND('Get Started  2'!$H109&lt;='Get Started  2'!$E27,'Get Started  2'!$G109&lt;&gt;0),IF(U4&lt;'Get Started  2'!$H109,0,OFFSET(U234,0,-1*'Get Started  2'!$H109)*'Get Started  2'!$E42*'Get Started  2'!$G109),0)</f>
        <v>1.0427083333333333E-2</v>
      </c>
      <c r="V239" s="90">
        <f ca="1">IF(AND('Get Started  2'!$H112&lt;='Get Started  2'!$E27,'Get Started  2'!$G112&lt;&gt;0),IF(AND(V4&lt;'Get Started  2'!$H112,'Get Started  2'!$H112&lt;='Get Started  2'!$E27),0,OFFSET(V234,0,-1*'Get Started  2'!$H112)*'Get Started  2'!$H42),0)+IF(AND('Get Started  2'!$H111&lt;='Get Started  2'!$E27,'Get Started  2'!$G111&lt;&gt;0),IF(V4&lt;'Get Started  2'!$H111,0,OFFSET(V234,0,-1*'Get Started  2'!$H111)*'Get Started  2'!$G42),0)+IF(AND('Get Started  2'!$H110&lt;='Get Started  2'!$E27,'Get Started  2'!$G110&lt;&gt;0),IF(V4&lt;'Get Started  2'!$H110,0,OFFSET(V234,0,-1*'Get Started  2'!$H110)*'Get Started  2'!$F42),0)+IF(AND('Get Started  2'!$H109&lt;='Get Started  2'!$E27,'Get Started  2'!$G109&lt;&gt;0),IF(V4&lt;'Get Started  2'!$H109,0,OFFSET(V234,0,-1*'Get Started  2'!$H109)*'Get Started  2'!$E42*'Get Started  2'!$G109),0)</f>
        <v>1.0427083333333333E-2</v>
      </c>
      <c r="W239" s="90">
        <f ca="1">IF(AND('Get Started  2'!$H112&lt;='Get Started  2'!$E27,'Get Started  2'!$G112&lt;&gt;0),IF(AND(W4&lt;'Get Started  2'!$H112,'Get Started  2'!$H112&lt;='Get Started  2'!$E27),0,OFFSET(W234,0,-1*'Get Started  2'!$H112)*'Get Started  2'!$H42),0)+IF(AND('Get Started  2'!$H111&lt;='Get Started  2'!$E27,'Get Started  2'!$G111&lt;&gt;0),IF(W4&lt;'Get Started  2'!$H111,0,OFFSET(W234,0,-1*'Get Started  2'!$H111)*'Get Started  2'!$G42),0)+IF(AND('Get Started  2'!$H110&lt;='Get Started  2'!$E27,'Get Started  2'!$G110&lt;&gt;0),IF(W4&lt;'Get Started  2'!$H110,0,OFFSET(W234,0,-1*'Get Started  2'!$H110)*'Get Started  2'!$F42),0)+IF(AND('Get Started  2'!$H109&lt;='Get Started  2'!$E27,'Get Started  2'!$G109&lt;&gt;0),IF(W4&lt;'Get Started  2'!$H109,0,OFFSET(W234,0,-1*'Get Started  2'!$H109)*'Get Started  2'!$E42*'Get Started  2'!$G109),0)</f>
        <v>1.6041666666666666E-2</v>
      </c>
      <c r="X239" s="90">
        <f ca="1">IF(AND('Get Started  2'!$H112&lt;='Get Started  2'!$E27,'Get Started  2'!$G112&lt;&gt;0),IF(AND(X4&lt;'Get Started  2'!$H112,'Get Started  2'!$H112&lt;='Get Started  2'!$E27),0,OFFSET(X234,0,-1*'Get Started  2'!$H112)*'Get Started  2'!$H42),0)+IF(AND('Get Started  2'!$H111&lt;='Get Started  2'!$E27,'Get Started  2'!$G111&lt;&gt;0),IF(X4&lt;'Get Started  2'!$H111,0,OFFSET(X234,0,-1*'Get Started  2'!$H111)*'Get Started  2'!$G42),0)+IF(AND('Get Started  2'!$H110&lt;='Get Started  2'!$E27,'Get Started  2'!$G110&lt;&gt;0),IF(X4&lt;'Get Started  2'!$H110,0,OFFSET(X234,0,-1*'Get Started  2'!$H110)*'Get Started  2'!$F42),0)+IF(AND('Get Started  2'!$H109&lt;='Get Started  2'!$E27,'Get Started  2'!$G109&lt;&gt;0),IF(X4&lt;'Get Started  2'!$H109,0,OFFSET(X234,0,-1*'Get Started  2'!$H109)*'Get Started  2'!$E42*'Get Started  2'!$G109),0)</f>
        <v>1.6041666666666666E-2</v>
      </c>
      <c r="Y239" s="90">
        <f ca="1">IF(AND('Get Started  2'!$H112&lt;='Get Started  2'!$E27,'Get Started  2'!$G112&lt;&gt;0),IF(AND(Y4&lt;'Get Started  2'!$H112,'Get Started  2'!$H112&lt;='Get Started  2'!$E27),0,OFFSET(Y234,0,-1*'Get Started  2'!$H112)*'Get Started  2'!$H42),0)+IF(AND('Get Started  2'!$H111&lt;='Get Started  2'!$E27,'Get Started  2'!$G111&lt;&gt;0),IF(Y4&lt;'Get Started  2'!$H111,0,OFFSET(Y234,0,-1*'Get Started  2'!$H111)*'Get Started  2'!$G42),0)+IF(AND('Get Started  2'!$H110&lt;='Get Started  2'!$E27,'Get Started  2'!$G110&lt;&gt;0),IF(Y4&lt;'Get Started  2'!$H110,0,OFFSET(Y234,0,-1*'Get Started  2'!$H110)*'Get Started  2'!$F42),0)+IF(AND('Get Started  2'!$H109&lt;='Get Started  2'!$E27,'Get Started  2'!$G109&lt;&gt;0),IF(Y4&lt;'Get Started  2'!$H109,0,OFFSET(Y234,0,-1*'Get Started  2'!$H109)*'Get Started  2'!$E42*'Get Started  2'!$G109),0)</f>
        <v>1.6041666666666666E-2</v>
      </c>
      <c r="Z239" s="90">
        <f ca="1">IF(AND('Get Started  2'!$H112&lt;='Get Started  2'!$E27,'Get Started  2'!$G112&lt;&gt;0),IF(AND(Z4&lt;'Get Started  2'!$H112,'Get Started  2'!$H112&lt;='Get Started  2'!$E27),0,OFFSET(Z234,0,-1*'Get Started  2'!$H112)*'Get Started  2'!$H42),0)+IF(AND('Get Started  2'!$H111&lt;='Get Started  2'!$E27,'Get Started  2'!$G111&lt;&gt;0),IF(Z4&lt;'Get Started  2'!$H111,0,OFFSET(Z234,0,-1*'Get Started  2'!$H111)*'Get Started  2'!$G42),0)+IF(AND('Get Started  2'!$H110&lt;='Get Started  2'!$E27,'Get Started  2'!$G110&lt;&gt;0),IF(Z4&lt;'Get Started  2'!$H110,0,OFFSET(Z234,0,-1*'Get Started  2'!$H110)*'Get Started  2'!$F42),0)+IF(AND('Get Started  2'!$H109&lt;='Get Started  2'!$E27,'Get Started  2'!$G109&lt;&gt;0),IF(Z4&lt;'Get Started  2'!$H109,0,OFFSET(Z234,0,-1*'Get Started  2'!$H109)*'Get Started  2'!$E42*'Get Started  2'!$G109),0)</f>
        <v>1.6041666666666666E-2</v>
      </c>
      <c r="AA239" s="90">
        <f ca="1">IF(AND('Get Started  2'!$H112&lt;='Get Started  2'!$E27,'Get Started  2'!$G112&lt;&gt;0),IF(AND(AA4&lt;'Get Started  2'!$H112,'Get Started  2'!$H112&lt;='Get Started  2'!$E27),0,OFFSET(AA234,0,-1*'Get Started  2'!$H112)*'Get Started  2'!$H42),0)+IF(AND('Get Started  2'!$H111&lt;='Get Started  2'!$E27,'Get Started  2'!$G111&lt;&gt;0),IF(AA4&lt;'Get Started  2'!$H111,0,OFFSET(AA234,0,-1*'Get Started  2'!$H111)*'Get Started  2'!$G42),0)+IF(AND('Get Started  2'!$H110&lt;='Get Started  2'!$E27,'Get Started  2'!$G110&lt;&gt;0),IF(AA4&lt;'Get Started  2'!$H110,0,OFFSET(AA234,0,-1*'Get Started  2'!$H110)*'Get Started  2'!$F42),0)+IF(AND('Get Started  2'!$H109&lt;='Get Started  2'!$E27,'Get Started  2'!$G109&lt;&gt;0),IF(AA4&lt;'Get Started  2'!$H109,0,OFFSET(AA234,0,-1*'Get Started  2'!$H109)*'Get Started  2'!$E42*'Get Started  2'!$G109),0)</f>
        <v>1.6041666666666666E-2</v>
      </c>
      <c r="AB239" s="90">
        <f ca="1">IF(AND('Get Started  2'!$H112&lt;='Get Started  2'!$E27,'Get Started  2'!$G112&lt;&gt;0),IF(AND(AB4&lt;'Get Started  2'!$H112,'Get Started  2'!$H112&lt;='Get Started  2'!$E27),0,OFFSET(AB234,0,-1*'Get Started  2'!$H112)*'Get Started  2'!$H42),0)+IF(AND('Get Started  2'!$H111&lt;='Get Started  2'!$E27,'Get Started  2'!$G111&lt;&gt;0),IF(AB4&lt;'Get Started  2'!$H111,0,OFFSET(AB234,0,-1*'Get Started  2'!$H111)*'Get Started  2'!$G42),0)+IF(AND('Get Started  2'!$H110&lt;='Get Started  2'!$E27,'Get Started  2'!$G110&lt;&gt;0),IF(AB4&lt;'Get Started  2'!$H110,0,OFFSET(AB234,0,-1*'Get Started  2'!$H110)*'Get Started  2'!$F42),0)+IF(AND('Get Started  2'!$H109&lt;='Get Started  2'!$E27,'Get Started  2'!$G109&lt;&gt;0),IF(AB4&lt;'Get Started  2'!$H109,0,OFFSET(AB234,0,-1*'Get Started  2'!$H109)*'Get Started  2'!$E42*'Get Started  2'!$G109),0)</f>
        <v>1.6041666666666666E-2</v>
      </c>
      <c r="AC239" s="90">
        <f ca="1">IF(AND('Get Started  2'!$H112&lt;='Get Started  2'!$E27,'Get Started  2'!$G112&lt;&gt;0),IF(AND(AC4&lt;'Get Started  2'!$H112,'Get Started  2'!$H112&lt;='Get Started  2'!$E27),0,OFFSET(AC234,0,-1*'Get Started  2'!$H112)*'Get Started  2'!$H42),0)+IF(AND('Get Started  2'!$H111&lt;='Get Started  2'!$E27,'Get Started  2'!$G111&lt;&gt;0),IF(AC4&lt;'Get Started  2'!$H111,0,OFFSET(AC234,0,-1*'Get Started  2'!$H111)*'Get Started  2'!$G42),0)+IF(AND('Get Started  2'!$H110&lt;='Get Started  2'!$E27,'Get Started  2'!$G110&lt;&gt;0),IF(AC4&lt;'Get Started  2'!$H110,0,OFFSET(AC234,0,-1*'Get Started  2'!$H110)*'Get Started  2'!$F42),0)+IF(AND('Get Started  2'!$H109&lt;='Get Started  2'!$E27,'Get Started  2'!$G109&lt;&gt;0),IF(AC4&lt;'Get Started  2'!$H109,0,OFFSET(AC234,0,-1*'Get Started  2'!$H109)*'Get Started  2'!$E42*'Get Started  2'!$G109),0)</f>
        <v>1.6041666666666666E-2</v>
      </c>
      <c r="AD239" s="90">
        <f ca="1">IF(AND('Get Started  2'!$H112&lt;='Get Started  2'!$E27,'Get Started  2'!$G112&lt;&gt;0),IF(AND(AD4&lt;'Get Started  2'!$H112,'Get Started  2'!$H112&lt;='Get Started  2'!$E27),0,OFFSET(AD234,0,-1*'Get Started  2'!$H112)*'Get Started  2'!$H42),0)+IF(AND('Get Started  2'!$H111&lt;='Get Started  2'!$E27,'Get Started  2'!$G111&lt;&gt;0),IF(AD4&lt;'Get Started  2'!$H111,0,OFFSET(AD234,0,-1*'Get Started  2'!$H111)*'Get Started  2'!$G42),0)+IF(AND('Get Started  2'!$H110&lt;='Get Started  2'!$E27,'Get Started  2'!$G110&lt;&gt;0),IF(AD4&lt;'Get Started  2'!$H110,0,OFFSET(AD234,0,-1*'Get Started  2'!$H110)*'Get Started  2'!$F42),0)+IF(AND('Get Started  2'!$H109&lt;='Get Started  2'!$E27,'Get Started  2'!$G109&lt;&gt;0),IF(AD4&lt;'Get Started  2'!$H109,0,OFFSET(AD234,0,-1*'Get Started  2'!$H109)*'Get Started  2'!$E42*'Get Started  2'!$G109),0)</f>
        <v>1.6041666666666666E-2</v>
      </c>
      <c r="AE239" s="90">
        <f ca="1">IF(AND('Get Started  2'!$H112&lt;='Get Started  2'!$E27,'Get Started  2'!$G112&lt;&gt;0),IF(AND(AE4&lt;'Get Started  2'!$H112,'Get Started  2'!$H112&lt;='Get Started  2'!$E27),0,OFFSET(AE234,0,-1*'Get Started  2'!$H112)*'Get Started  2'!$H42),0)+IF(AND('Get Started  2'!$H111&lt;='Get Started  2'!$E27,'Get Started  2'!$G111&lt;&gt;0),IF(AE4&lt;'Get Started  2'!$H111,0,OFFSET(AE234,0,-1*'Get Started  2'!$H111)*'Get Started  2'!$G42),0)+IF(AND('Get Started  2'!$H110&lt;='Get Started  2'!$E27,'Get Started  2'!$G110&lt;&gt;0),IF(AE4&lt;'Get Started  2'!$H110,0,OFFSET(AE234,0,-1*'Get Started  2'!$H110)*'Get Started  2'!$F42),0)+IF(AND('Get Started  2'!$H109&lt;='Get Started  2'!$E27,'Get Started  2'!$G109&lt;&gt;0),IF(AE4&lt;'Get Started  2'!$H109,0,OFFSET(AE234,0,-1*'Get Started  2'!$H109)*'Get Started  2'!$E42*'Get Started  2'!$G109),0)</f>
        <v>2.0443544560185184E-2</v>
      </c>
      <c r="AF239" s="90">
        <f ca="1">IF(AND('Get Started  2'!$H112&lt;='Get Started  2'!$E27,'Get Started  2'!$G112&lt;&gt;0),IF(AND(AF4&lt;'Get Started  2'!$H112,'Get Started  2'!$H112&lt;='Get Started  2'!$E27),0,OFFSET(AF234,0,-1*'Get Started  2'!$H112)*'Get Started  2'!$H42),0)+IF(AND('Get Started  2'!$H111&lt;='Get Started  2'!$E27,'Get Started  2'!$G111&lt;&gt;0),IF(AF4&lt;'Get Started  2'!$H111,0,OFFSET(AF234,0,-1*'Get Started  2'!$H111)*'Get Started  2'!$G42),0)+IF(AND('Get Started  2'!$H110&lt;='Get Started  2'!$E27,'Get Started  2'!$G110&lt;&gt;0),IF(AF4&lt;'Get Started  2'!$H110,0,OFFSET(AF234,0,-1*'Get Started  2'!$H110)*'Get Started  2'!$F42),0)+IF(AND('Get Started  2'!$H109&lt;='Get Started  2'!$E27,'Get Started  2'!$G109&lt;&gt;0),IF(AF4&lt;'Get Started  2'!$H109,0,OFFSET(AF234,0,-1*'Get Started  2'!$H109)*'Get Started  2'!$E42*'Get Started  2'!$G109),0)</f>
        <v>2.0443544560185184E-2</v>
      </c>
      <c r="AG239" s="90">
        <f ca="1">IF(AND('Get Started  2'!$H112&lt;='Get Started  2'!$E27,'Get Started  2'!$G112&lt;&gt;0),IF(AND(AG4&lt;'Get Started  2'!$H112,'Get Started  2'!$H112&lt;='Get Started  2'!$E27),0,OFFSET(AG234,0,-1*'Get Started  2'!$H112)*'Get Started  2'!$H42),0)+IF(AND('Get Started  2'!$H111&lt;='Get Started  2'!$E27,'Get Started  2'!$G111&lt;&gt;0),IF(AG4&lt;'Get Started  2'!$H111,0,OFFSET(AG234,0,-1*'Get Started  2'!$H111)*'Get Started  2'!$G42),0)+IF(AND('Get Started  2'!$H110&lt;='Get Started  2'!$E27,'Get Started  2'!$G110&lt;&gt;0),IF(AG4&lt;'Get Started  2'!$H110,0,OFFSET(AG234,0,-1*'Get Started  2'!$H110)*'Get Started  2'!$F42),0)+IF(AND('Get Started  2'!$H109&lt;='Get Started  2'!$E27,'Get Started  2'!$G109&lt;&gt;0),IF(AG4&lt;'Get Started  2'!$H109,0,OFFSET(AG234,0,-1*'Get Started  2'!$H109)*'Get Started  2'!$E42*'Get Started  2'!$G109),0)</f>
        <v>2.0443544560185184E-2</v>
      </c>
      <c r="AH239" s="90">
        <f ca="1">IF(AND('Get Started  2'!$H112&lt;='Get Started  2'!$E27,'Get Started  2'!$G112&lt;&gt;0),IF(AND(AH4&lt;'Get Started  2'!$H112,'Get Started  2'!$H112&lt;='Get Started  2'!$E27),0,OFFSET(AH234,0,-1*'Get Started  2'!$H112)*'Get Started  2'!$H42),0)+IF(AND('Get Started  2'!$H111&lt;='Get Started  2'!$E27,'Get Started  2'!$G111&lt;&gt;0),IF(AH4&lt;'Get Started  2'!$H111,0,OFFSET(AH234,0,-1*'Get Started  2'!$H111)*'Get Started  2'!$G42),0)+IF(AND('Get Started  2'!$H110&lt;='Get Started  2'!$E27,'Get Started  2'!$G110&lt;&gt;0),IF(AH4&lt;'Get Started  2'!$H110,0,OFFSET(AH234,0,-1*'Get Started  2'!$H110)*'Get Started  2'!$F42),0)+IF(AND('Get Started  2'!$H109&lt;='Get Started  2'!$E27,'Get Started  2'!$G109&lt;&gt;0),IF(AH4&lt;'Get Started  2'!$H109,0,OFFSET(AH234,0,-1*'Get Started  2'!$H109)*'Get Started  2'!$E42*'Get Started  2'!$G109),0)</f>
        <v>2.0443544560185184E-2</v>
      </c>
      <c r="AI239" s="90">
        <f ca="1">IF(AND('Get Started  2'!$H112&lt;='Get Started  2'!$E27,'Get Started  2'!$G112&lt;&gt;0),IF(AND(AI4&lt;'Get Started  2'!$H112,'Get Started  2'!$H112&lt;='Get Started  2'!$E27),0,OFFSET(AI234,0,-1*'Get Started  2'!$H112)*'Get Started  2'!$H42),0)+IF(AND('Get Started  2'!$H111&lt;='Get Started  2'!$E27,'Get Started  2'!$G111&lt;&gt;0),IF(AI4&lt;'Get Started  2'!$H111,0,OFFSET(AI234,0,-1*'Get Started  2'!$H111)*'Get Started  2'!$G42),0)+IF(AND('Get Started  2'!$H110&lt;='Get Started  2'!$E27,'Get Started  2'!$G110&lt;&gt;0),IF(AI4&lt;'Get Started  2'!$H110,0,OFFSET(AI234,0,-1*'Get Started  2'!$H110)*'Get Started  2'!$F42),0)+IF(AND('Get Started  2'!$H109&lt;='Get Started  2'!$E27,'Get Started  2'!$G109&lt;&gt;0),IF(AI4&lt;'Get Started  2'!$H109,0,OFFSET(AI234,0,-1*'Get Started  2'!$H109)*'Get Started  2'!$E42*'Get Started  2'!$G109),0)</f>
        <v>9.0954021990740739E-3</v>
      </c>
      <c r="AJ239" s="90">
        <f ca="1">IF(AND('Get Started  2'!$H112&lt;='Get Started  2'!$E27,'Get Started  2'!$G112&lt;&gt;0),IF(AND(AJ4&lt;'Get Started  2'!$H112,'Get Started  2'!$H112&lt;='Get Started  2'!$E27),0,OFFSET(AJ234,0,-1*'Get Started  2'!$H112)*'Get Started  2'!$H42),0)+IF(AND('Get Started  2'!$H111&lt;='Get Started  2'!$E27,'Get Started  2'!$G111&lt;&gt;0),IF(AJ4&lt;'Get Started  2'!$H111,0,OFFSET(AJ234,0,-1*'Get Started  2'!$H111)*'Get Started  2'!$G42),0)+IF(AND('Get Started  2'!$H110&lt;='Get Started  2'!$E27,'Get Started  2'!$G110&lt;&gt;0),IF(AJ4&lt;'Get Started  2'!$H110,0,OFFSET(AJ234,0,-1*'Get Started  2'!$H110)*'Get Started  2'!$F42),0)+IF(AND('Get Started  2'!$H109&lt;='Get Started  2'!$E27,'Get Started  2'!$G109&lt;&gt;0),IF(AJ4&lt;'Get Started  2'!$H109,0,OFFSET(AJ234,0,-1*'Get Started  2'!$H109)*'Get Started  2'!$E42*'Get Started  2'!$G109),0)</f>
        <v>9.0954021990740739E-3</v>
      </c>
      <c r="AK239" s="90">
        <f ca="1">IF(AND('Get Started  2'!$H112&lt;='Get Started  2'!$E27,'Get Started  2'!$G112&lt;&gt;0),IF(AND(AK4&lt;'Get Started  2'!$H112,'Get Started  2'!$H112&lt;='Get Started  2'!$E27),0,OFFSET(AK234,0,-1*'Get Started  2'!$H112)*'Get Started  2'!$H42),0)+IF(AND('Get Started  2'!$H111&lt;='Get Started  2'!$E27,'Get Started  2'!$G111&lt;&gt;0),IF(AK4&lt;'Get Started  2'!$H111,0,OFFSET(AK234,0,-1*'Get Started  2'!$H111)*'Get Started  2'!$G42),0)+IF(AND('Get Started  2'!$H110&lt;='Get Started  2'!$E27,'Get Started  2'!$G110&lt;&gt;0),IF(AK4&lt;'Get Started  2'!$H110,0,OFFSET(AK234,0,-1*'Get Started  2'!$H110)*'Get Started  2'!$F42),0)+IF(AND('Get Started  2'!$H109&lt;='Get Started  2'!$E27,'Get Started  2'!$G109&lt;&gt;0),IF(AK4&lt;'Get Started  2'!$H109,0,OFFSET(AK234,0,-1*'Get Started  2'!$H109)*'Get Started  2'!$E42*'Get Started  2'!$G109),0)</f>
        <v>9.0954021990740739E-3</v>
      </c>
      <c r="AL239" s="90">
        <f ca="1">IF(AND('Get Started  2'!$H112&lt;='Get Started  2'!$E27,'Get Started  2'!$G112&lt;&gt;0),IF(AND(AL4&lt;'Get Started  2'!$H112,'Get Started  2'!$H112&lt;='Get Started  2'!$E27),0,OFFSET(AL234,0,-1*'Get Started  2'!$H112)*'Get Started  2'!$H42),0)+IF(AND('Get Started  2'!$H111&lt;='Get Started  2'!$E27,'Get Started  2'!$G111&lt;&gt;0),IF(AL4&lt;'Get Started  2'!$H111,0,OFFSET(AL234,0,-1*'Get Started  2'!$H111)*'Get Started  2'!$G42),0)+IF(AND('Get Started  2'!$H110&lt;='Get Started  2'!$E27,'Get Started  2'!$G110&lt;&gt;0),IF(AL4&lt;'Get Started  2'!$H110,0,OFFSET(AL234,0,-1*'Get Started  2'!$H110)*'Get Started  2'!$F42),0)+IF(AND('Get Started  2'!$H109&lt;='Get Started  2'!$E27,'Get Started  2'!$G109&lt;&gt;0),IF(AL4&lt;'Get Started  2'!$H109,0,OFFSET(AL234,0,-1*'Get Started  2'!$H109)*'Get Started  2'!$E42*'Get Started  2'!$G109),0)</f>
        <v>9.0954021990740739E-3</v>
      </c>
      <c r="AM239" s="90">
        <f ca="1">IF(AND('Get Started  2'!$H112&lt;='Get Started  2'!$E27,'Get Started  2'!$G112&lt;&gt;0),IF(AND(AM4&lt;'Get Started  2'!$H112,'Get Started  2'!$H112&lt;='Get Started  2'!$E27),0,OFFSET(AM234,0,-1*'Get Started  2'!$H112)*'Get Started  2'!$H42),0)+IF(AND('Get Started  2'!$H111&lt;='Get Started  2'!$E27,'Get Started  2'!$G111&lt;&gt;0),IF(AM4&lt;'Get Started  2'!$H111,0,OFFSET(AM234,0,-1*'Get Started  2'!$H111)*'Get Started  2'!$G42),0)+IF(AND('Get Started  2'!$H110&lt;='Get Started  2'!$E27,'Get Started  2'!$G110&lt;&gt;0),IF(AM4&lt;'Get Started  2'!$H110,0,OFFSET(AM234,0,-1*'Get Started  2'!$H110)*'Get Started  2'!$F42),0)+IF(AND('Get Started  2'!$H109&lt;='Get Started  2'!$E27,'Get Started  2'!$G109&lt;&gt;0),IF(AM4&lt;'Get Started  2'!$H109,0,OFFSET(AM234,0,-1*'Get Started  2'!$H109)*'Get Started  2'!$E42*'Get Started  2'!$G109),0)</f>
        <v>2.4062499999999995E-3</v>
      </c>
      <c r="AN239" s="90">
        <f ca="1">IF(AND('Get Started  2'!$H112&lt;='Get Started  2'!$E27,'Get Started  2'!$G112&lt;&gt;0),IF(AND(AN4&lt;'Get Started  2'!$H112,'Get Started  2'!$H112&lt;='Get Started  2'!$E27),0,OFFSET(AN234,0,-1*'Get Started  2'!$H112)*'Get Started  2'!$H42),0)+IF(AND('Get Started  2'!$H111&lt;='Get Started  2'!$E27,'Get Started  2'!$G111&lt;&gt;0),IF(AN4&lt;'Get Started  2'!$H111,0,OFFSET(AN234,0,-1*'Get Started  2'!$H111)*'Get Started  2'!$G42),0)+IF(AND('Get Started  2'!$H110&lt;='Get Started  2'!$E27,'Get Started  2'!$G110&lt;&gt;0),IF(AN4&lt;'Get Started  2'!$H110,0,OFFSET(AN234,0,-1*'Get Started  2'!$H110)*'Get Started  2'!$F42),0)+IF(AND('Get Started  2'!$H109&lt;='Get Started  2'!$E27,'Get Started  2'!$G109&lt;&gt;0),IF(AN4&lt;'Get Started  2'!$H109,0,OFFSET(AN234,0,-1*'Get Started  2'!$H109)*'Get Started  2'!$E42*'Get Started  2'!$G109),0)</f>
        <v>2.4062499999999995E-3</v>
      </c>
      <c r="AO239" s="90">
        <f ca="1">IF(AND('Get Started  2'!$H112&lt;='Get Started  2'!$E27,'Get Started  2'!$G112&lt;&gt;0),IF(AND(AO4&lt;'Get Started  2'!$H112,'Get Started  2'!$H112&lt;='Get Started  2'!$E27),0,OFFSET(AO234,0,-1*'Get Started  2'!$H112)*'Get Started  2'!$H42),0)+IF(AND('Get Started  2'!$H111&lt;='Get Started  2'!$E27,'Get Started  2'!$G111&lt;&gt;0),IF(AO4&lt;'Get Started  2'!$H111,0,OFFSET(AO234,0,-1*'Get Started  2'!$H111)*'Get Started  2'!$G42),0)+IF(AND('Get Started  2'!$H110&lt;='Get Started  2'!$E27,'Get Started  2'!$G110&lt;&gt;0),IF(AO4&lt;'Get Started  2'!$H110,0,OFFSET(AO234,0,-1*'Get Started  2'!$H110)*'Get Started  2'!$F42),0)+IF(AND('Get Started  2'!$H109&lt;='Get Started  2'!$E27,'Get Started  2'!$G109&lt;&gt;0),IF(AO4&lt;'Get Started  2'!$H109,0,OFFSET(AO234,0,-1*'Get Started  2'!$H109)*'Get Started  2'!$E42*'Get Started  2'!$G109),0)</f>
        <v>2.4062499999999995E-3</v>
      </c>
      <c r="AP239" s="90">
        <f ca="1">IF(AND('Get Started  2'!$H112&lt;='Get Started  2'!$E27,'Get Started  2'!$G112&lt;&gt;0),IF(AND(AP4&lt;'Get Started  2'!$H112,'Get Started  2'!$H112&lt;='Get Started  2'!$E27),0,OFFSET(AP234,0,-1*'Get Started  2'!$H112)*'Get Started  2'!$H42),0)+IF(AND('Get Started  2'!$H111&lt;='Get Started  2'!$E27,'Get Started  2'!$G111&lt;&gt;0),IF(AP4&lt;'Get Started  2'!$H111,0,OFFSET(AP234,0,-1*'Get Started  2'!$H111)*'Get Started  2'!$G42),0)+IF(AND('Get Started  2'!$H110&lt;='Get Started  2'!$E27,'Get Started  2'!$G110&lt;&gt;0),IF(AP4&lt;'Get Started  2'!$H110,0,OFFSET(AP234,0,-1*'Get Started  2'!$H110)*'Get Started  2'!$F42),0)+IF(AND('Get Started  2'!$H109&lt;='Get Started  2'!$E27,'Get Started  2'!$G109&lt;&gt;0),IF(AP4&lt;'Get Started  2'!$H109,0,OFFSET(AP234,0,-1*'Get Started  2'!$H109)*'Get Started  2'!$E42*'Get Started  2'!$G109),0)</f>
        <v>2.4062499999999995E-3</v>
      </c>
      <c r="AQ239" s="90">
        <f ca="1">IF(AND('Get Started  2'!$H112&lt;='Get Started  2'!$E27,'Get Started  2'!$G112&lt;&gt;0),IF(AND(AQ4&lt;'Get Started  2'!$H112,'Get Started  2'!$H112&lt;='Get Started  2'!$E27),0,OFFSET(AQ234,0,-1*'Get Started  2'!$H112)*'Get Started  2'!$H42),0)+IF(AND('Get Started  2'!$H111&lt;='Get Started  2'!$E27,'Get Started  2'!$G111&lt;&gt;0),IF(AQ4&lt;'Get Started  2'!$H111,0,OFFSET(AQ234,0,-1*'Get Started  2'!$H111)*'Get Started  2'!$G42),0)+IF(AND('Get Started  2'!$H110&lt;='Get Started  2'!$E27,'Get Started  2'!$G110&lt;&gt;0),IF(AQ4&lt;'Get Started  2'!$H110,0,OFFSET(AQ234,0,-1*'Get Started  2'!$H110)*'Get Started  2'!$F42),0)+IF(AND('Get Started  2'!$H109&lt;='Get Started  2'!$E27,'Get Started  2'!$G109&lt;&gt;0),IF(AQ4&lt;'Get Started  2'!$H109,0,OFFSET(AQ234,0,-1*'Get Started  2'!$H109)*'Get Started  2'!$E42*'Get Started  2'!$G109),0)</f>
        <v>2.8667795138888883E-3</v>
      </c>
      <c r="AR239" s="90">
        <f ca="1">IF(AND('Get Started  2'!$H112&lt;='Get Started  2'!$E27,'Get Started  2'!$G112&lt;&gt;0),IF(AND(AR4&lt;'Get Started  2'!$H112,'Get Started  2'!$H112&lt;='Get Started  2'!$E27),0,OFFSET(AR234,0,-1*'Get Started  2'!$H112)*'Get Started  2'!$H42),0)+IF(AND('Get Started  2'!$H111&lt;='Get Started  2'!$E27,'Get Started  2'!$G111&lt;&gt;0),IF(AR4&lt;'Get Started  2'!$H111,0,OFFSET(AR234,0,-1*'Get Started  2'!$H111)*'Get Started  2'!$G42),0)+IF(AND('Get Started  2'!$H110&lt;='Get Started  2'!$E27,'Get Started  2'!$G110&lt;&gt;0),IF(AR4&lt;'Get Started  2'!$H110,0,OFFSET(AR234,0,-1*'Get Started  2'!$H110)*'Get Started  2'!$F42),0)+IF(AND('Get Started  2'!$H109&lt;='Get Started  2'!$E27,'Get Started  2'!$G109&lt;&gt;0),IF(AR4&lt;'Get Started  2'!$H109,0,OFFSET(AR234,0,-1*'Get Started  2'!$H109)*'Get Started  2'!$E42*'Get Started  2'!$G109),0)</f>
        <v>2.8667795138888883E-3</v>
      </c>
      <c r="AS239" s="90">
        <f ca="1">IF(AND('Get Started  2'!$H112&lt;='Get Started  2'!$E27,'Get Started  2'!$G112&lt;&gt;0),IF(AND(AS4&lt;'Get Started  2'!$H112,'Get Started  2'!$H112&lt;='Get Started  2'!$E27),0,OFFSET(AS234,0,-1*'Get Started  2'!$H112)*'Get Started  2'!$H42),0)+IF(AND('Get Started  2'!$H111&lt;='Get Started  2'!$E27,'Get Started  2'!$G111&lt;&gt;0),IF(AS4&lt;'Get Started  2'!$H111,0,OFFSET(AS234,0,-1*'Get Started  2'!$H111)*'Get Started  2'!$G42),0)+IF(AND('Get Started  2'!$H110&lt;='Get Started  2'!$E27,'Get Started  2'!$G110&lt;&gt;0),IF(AS4&lt;'Get Started  2'!$H110,0,OFFSET(AS234,0,-1*'Get Started  2'!$H110)*'Get Started  2'!$F42),0)+IF(AND('Get Started  2'!$H109&lt;='Get Started  2'!$E27,'Get Started  2'!$G109&lt;&gt;0),IF(AS4&lt;'Get Started  2'!$H109,0,OFFSET(AS234,0,-1*'Get Started  2'!$H109)*'Get Started  2'!$E42*'Get Started  2'!$G109),0)</f>
        <v>2.8667795138888883E-3</v>
      </c>
      <c r="AT239" s="90">
        <f ca="1">IF(AND('Get Started  2'!$H112&lt;='Get Started  2'!$E27,'Get Started  2'!$G112&lt;&gt;0),IF(AND(AT4&lt;'Get Started  2'!$H112,'Get Started  2'!$H112&lt;='Get Started  2'!$E27),0,OFFSET(AT234,0,-1*'Get Started  2'!$H112)*'Get Started  2'!$H42),0)+IF(AND('Get Started  2'!$H111&lt;='Get Started  2'!$E27,'Get Started  2'!$G111&lt;&gt;0),IF(AT4&lt;'Get Started  2'!$H111,0,OFFSET(AT234,0,-1*'Get Started  2'!$H111)*'Get Started  2'!$G42),0)+IF(AND('Get Started  2'!$H110&lt;='Get Started  2'!$E27,'Get Started  2'!$G110&lt;&gt;0),IF(AT4&lt;'Get Started  2'!$H110,0,OFFSET(AT234,0,-1*'Get Started  2'!$H110)*'Get Started  2'!$F42),0)+IF(AND('Get Started  2'!$H109&lt;='Get Started  2'!$E27,'Get Started  2'!$G109&lt;&gt;0),IF(AT4&lt;'Get Started  2'!$H109,0,OFFSET(AT234,0,-1*'Get Started  2'!$H109)*'Get Started  2'!$E42*'Get Started  2'!$G109),0)</f>
        <v>2.8667795138888883E-3</v>
      </c>
      <c r="AU239" s="90">
        <f ca="1">IF(AND('Get Started  2'!$H112&lt;='Get Started  2'!$E27,'Get Started  2'!$G112&lt;&gt;0),IF(AND(AU4&lt;'Get Started  2'!$H112,'Get Started  2'!$H112&lt;='Get Started  2'!$E27),0,OFFSET(AU234,0,-1*'Get Started  2'!$H112)*'Get Started  2'!$H42),0)+IF(AND('Get Started  2'!$H111&lt;='Get Started  2'!$E27,'Get Started  2'!$G111&lt;&gt;0),IF(AU4&lt;'Get Started  2'!$H111,0,OFFSET(AU234,0,-1*'Get Started  2'!$H111)*'Get Started  2'!$G42),0)+IF(AND('Get Started  2'!$H110&lt;='Get Started  2'!$E27,'Get Started  2'!$G110&lt;&gt;0),IF(AU4&lt;'Get Started  2'!$H110,0,OFFSET(AU234,0,-1*'Get Started  2'!$H110)*'Get Started  2'!$F42),0)+IF(AND('Get Started  2'!$H109&lt;='Get Started  2'!$E27,'Get Started  2'!$G109&lt;&gt;0),IF(AU4&lt;'Get Started  2'!$H109,0,OFFSET(AU234,0,-1*'Get Started  2'!$H109)*'Get Started  2'!$E42*'Get Started  2'!$G109),0)</f>
        <v>0</v>
      </c>
      <c r="AV239" s="90">
        <f ca="1">IF(AND('Get Started  2'!$H112&lt;='Get Started  2'!$E27,'Get Started  2'!$G112&lt;&gt;0),IF(AND(AV4&lt;'Get Started  2'!$H112,'Get Started  2'!$H112&lt;='Get Started  2'!$E27),0,OFFSET(AV234,0,-1*'Get Started  2'!$H112)*'Get Started  2'!$H42),0)+IF(AND('Get Started  2'!$H111&lt;='Get Started  2'!$E27,'Get Started  2'!$G111&lt;&gt;0),IF(AV4&lt;'Get Started  2'!$H111,0,OFFSET(AV234,0,-1*'Get Started  2'!$H111)*'Get Started  2'!$G42),0)+IF(AND('Get Started  2'!$H110&lt;='Get Started  2'!$E27,'Get Started  2'!$G110&lt;&gt;0),IF(AV4&lt;'Get Started  2'!$H110,0,OFFSET(AV234,0,-1*'Get Started  2'!$H110)*'Get Started  2'!$F42),0)+IF(AND('Get Started  2'!$H109&lt;='Get Started  2'!$E27,'Get Started  2'!$G109&lt;&gt;0),IF(AV4&lt;'Get Started  2'!$H109,0,OFFSET(AV234,0,-1*'Get Started  2'!$H109)*'Get Started  2'!$E42*'Get Started  2'!$G109),0)</f>
        <v>0</v>
      </c>
      <c r="AW239" s="90">
        <f ca="1">IF(AND('Get Started  2'!$H112&lt;='Get Started  2'!$E27,'Get Started  2'!$G112&lt;&gt;0),IF(AND(AW4&lt;'Get Started  2'!$H112,'Get Started  2'!$H112&lt;='Get Started  2'!$E27),0,OFFSET(AW234,0,-1*'Get Started  2'!$H112)*'Get Started  2'!$H42),0)+IF(AND('Get Started  2'!$H111&lt;='Get Started  2'!$E27,'Get Started  2'!$G111&lt;&gt;0),IF(AW4&lt;'Get Started  2'!$H111,0,OFFSET(AW234,0,-1*'Get Started  2'!$H111)*'Get Started  2'!$G42),0)+IF(AND('Get Started  2'!$H110&lt;='Get Started  2'!$E27,'Get Started  2'!$G110&lt;&gt;0),IF(AW4&lt;'Get Started  2'!$H110,0,OFFSET(AW234,0,-1*'Get Started  2'!$H110)*'Get Started  2'!$F42),0)+IF(AND('Get Started  2'!$H109&lt;='Get Started  2'!$E27,'Get Started  2'!$G109&lt;&gt;0),IF(AW4&lt;'Get Started  2'!$H109,0,OFFSET(AW234,0,-1*'Get Started  2'!$H109)*'Get Started  2'!$E42*'Get Started  2'!$G109),0)</f>
        <v>0</v>
      </c>
      <c r="AX239" s="90">
        <f ca="1">IF(AND('Get Started  2'!$H112&lt;='Get Started  2'!$E27,'Get Started  2'!$G112&lt;&gt;0),IF(AND(AX4&lt;'Get Started  2'!$H112,'Get Started  2'!$H112&lt;='Get Started  2'!$E27),0,OFFSET(AX234,0,-1*'Get Started  2'!$H112)*'Get Started  2'!$H42),0)+IF(AND('Get Started  2'!$H111&lt;='Get Started  2'!$E27,'Get Started  2'!$G111&lt;&gt;0),IF(AX4&lt;'Get Started  2'!$H111,0,OFFSET(AX234,0,-1*'Get Started  2'!$H111)*'Get Started  2'!$G42),0)+IF(AND('Get Started  2'!$H110&lt;='Get Started  2'!$E27,'Get Started  2'!$G110&lt;&gt;0),IF(AX4&lt;'Get Started  2'!$H110,0,OFFSET(AX234,0,-1*'Get Started  2'!$H110)*'Get Started  2'!$F42),0)+IF(AND('Get Started  2'!$H109&lt;='Get Started  2'!$E27,'Get Started  2'!$G109&lt;&gt;0),IF(AX4&lt;'Get Started  2'!$H109,0,OFFSET(AX234,0,-1*'Get Started  2'!$H109)*'Get Started  2'!$E42*'Get Started  2'!$G109),0)</f>
        <v>0</v>
      </c>
      <c r="AY239" s="90">
        <f ca="1">IF(AND('Get Started  2'!$H112&lt;='Get Started  2'!$E27,'Get Started  2'!$G112&lt;&gt;0),IF(AND(AY4&lt;'Get Started  2'!$H112,'Get Started  2'!$H112&lt;='Get Started  2'!$E27),0,OFFSET(AY234,0,-1*'Get Started  2'!$H112)*'Get Started  2'!$H42),0)+IF(AND('Get Started  2'!$H111&lt;='Get Started  2'!$E27,'Get Started  2'!$G111&lt;&gt;0),IF(AY4&lt;'Get Started  2'!$H111,0,OFFSET(AY234,0,-1*'Get Started  2'!$H111)*'Get Started  2'!$G42),0)+IF(AND('Get Started  2'!$H110&lt;='Get Started  2'!$E27,'Get Started  2'!$G110&lt;&gt;0),IF(AY4&lt;'Get Started  2'!$H110,0,OFFSET(AY234,0,-1*'Get Started  2'!$H110)*'Get Started  2'!$F42),0)+IF(AND('Get Started  2'!$H109&lt;='Get Started  2'!$E27,'Get Started  2'!$G109&lt;&gt;0),IF(AY4&lt;'Get Started  2'!$H109,0,OFFSET(AY234,0,-1*'Get Started  2'!$H109)*'Get Started  2'!$E42*'Get Started  2'!$G109),0)</f>
        <v>0</v>
      </c>
      <c r="AZ239" s="90">
        <f ca="1">IF(AND('Get Started  2'!$H112&lt;='Get Started  2'!$E27,'Get Started  2'!$G112&lt;&gt;0),IF(AND(AZ4&lt;'Get Started  2'!$H112,'Get Started  2'!$H112&lt;='Get Started  2'!$E27),0,OFFSET(AZ234,0,-1*'Get Started  2'!$H112)*'Get Started  2'!$H42),0)+IF(AND('Get Started  2'!$H111&lt;='Get Started  2'!$E27,'Get Started  2'!$G111&lt;&gt;0),IF(AZ4&lt;'Get Started  2'!$H111,0,OFFSET(AZ234,0,-1*'Get Started  2'!$H111)*'Get Started  2'!$G42),0)+IF(AND('Get Started  2'!$H110&lt;='Get Started  2'!$E27,'Get Started  2'!$G110&lt;&gt;0),IF(AZ4&lt;'Get Started  2'!$H110,0,OFFSET(AZ234,0,-1*'Get Started  2'!$H110)*'Get Started  2'!$F42),0)+IF(AND('Get Started  2'!$H109&lt;='Get Started  2'!$E27,'Get Started  2'!$G109&lt;&gt;0),IF(AZ4&lt;'Get Started  2'!$H109,0,OFFSET(AZ234,0,-1*'Get Started  2'!$H109)*'Get Started  2'!$E42*'Get Started  2'!$G109),0)</f>
        <v>0</v>
      </c>
      <c r="BA239" s="90">
        <f ca="1">IF(AND('Get Started  2'!$H112&lt;='Get Started  2'!$E27,'Get Started  2'!$G112&lt;&gt;0),IF(AND(BA4&lt;'Get Started  2'!$H112,'Get Started  2'!$H112&lt;='Get Started  2'!$E27),0,OFFSET(BA234,0,-1*'Get Started  2'!$H112)*'Get Started  2'!$H42),0)+IF(AND('Get Started  2'!$H111&lt;='Get Started  2'!$E27,'Get Started  2'!$G111&lt;&gt;0),IF(BA4&lt;'Get Started  2'!$H111,0,OFFSET(BA234,0,-1*'Get Started  2'!$H111)*'Get Started  2'!$G42),0)+IF(AND('Get Started  2'!$H110&lt;='Get Started  2'!$E27,'Get Started  2'!$G110&lt;&gt;0),IF(BA4&lt;'Get Started  2'!$H110,0,OFFSET(BA234,0,-1*'Get Started  2'!$H110)*'Get Started  2'!$F42),0)+IF(AND('Get Started  2'!$H109&lt;='Get Started  2'!$E27,'Get Started  2'!$G109&lt;&gt;0),IF(BA4&lt;'Get Started  2'!$H109,0,OFFSET(BA234,0,-1*'Get Started  2'!$H109)*'Get Started  2'!$E42*'Get Started  2'!$G109),0)</f>
        <v>0</v>
      </c>
      <c r="BB239" s="90">
        <f ca="1">IF(AND('Get Started  2'!$H112&lt;='Get Started  2'!$E27,'Get Started  2'!$G112&lt;&gt;0),IF(AND(BB4&lt;'Get Started  2'!$H112,'Get Started  2'!$H112&lt;='Get Started  2'!$E27),0,OFFSET(BB234,0,-1*'Get Started  2'!$H112)*'Get Started  2'!$H42),0)+IF(AND('Get Started  2'!$H111&lt;='Get Started  2'!$E27,'Get Started  2'!$G111&lt;&gt;0),IF(BB4&lt;'Get Started  2'!$H111,0,OFFSET(BB234,0,-1*'Get Started  2'!$H111)*'Get Started  2'!$G42),0)+IF(AND('Get Started  2'!$H110&lt;='Get Started  2'!$E27,'Get Started  2'!$G110&lt;&gt;0),IF(BB4&lt;'Get Started  2'!$H110,0,OFFSET(BB234,0,-1*'Get Started  2'!$H110)*'Get Started  2'!$F42),0)+IF(AND('Get Started  2'!$H109&lt;='Get Started  2'!$E27,'Get Started  2'!$G109&lt;&gt;0),IF(BB4&lt;'Get Started  2'!$H109,0,OFFSET(BB234,0,-1*'Get Started  2'!$H109)*'Get Started  2'!$E42*'Get Started  2'!$G109),0)</f>
        <v>0</v>
      </c>
      <c r="BC239" s="90">
        <f ca="1">IF(AND('Get Started  2'!$H112&lt;='Get Started  2'!$E27,'Get Started  2'!$G112&lt;&gt;0),IF(AND(BC4&lt;'Get Started  2'!$H112,'Get Started  2'!$H112&lt;='Get Started  2'!$E27),0,OFFSET(BC234,0,-1*'Get Started  2'!$H112)*'Get Started  2'!$H42),0)+IF(AND('Get Started  2'!$H111&lt;='Get Started  2'!$E27,'Get Started  2'!$G111&lt;&gt;0),IF(BC4&lt;'Get Started  2'!$H111,0,OFFSET(BC234,0,-1*'Get Started  2'!$H111)*'Get Started  2'!$G42),0)+IF(AND('Get Started  2'!$H110&lt;='Get Started  2'!$E27,'Get Started  2'!$G110&lt;&gt;0),IF(BC4&lt;'Get Started  2'!$H110,0,OFFSET(BC234,0,-1*'Get Started  2'!$H110)*'Get Started  2'!$F42),0)+IF(AND('Get Started  2'!$H109&lt;='Get Started  2'!$E27,'Get Started  2'!$G109&lt;&gt;0),IF(BC4&lt;'Get Started  2'!$H109,0,OFFSET(BC234,0,-1*'Get Started  2'!$H109)*'Get Started  2'!$E42*'Get Started  2'!$G109),0)</f>
        <v>0</v>
      </c>
      <c r="BD239" s="90">
        <f ca="1">IF(AND('Get Started  2'!$H112&lt;='Get Started  2'!$E27,'Get Started  2'!$G112&lt;&gt;0),IF(AND(BD4&lt;'Get Started  2'!$H112,'Get Started  2'!$H112&lt;='Get Started  2'!$E27),0,OFFSET(BD234,0,-1*'Get Started  2'!$H112)*'Get Started  2'!$H42),0)+IF(AND('Get Started  2'!$H111&lt;='Get Started  2'!$E27,'Get Started  2'!$G111&lt;&gt;0),IF(BD4&lt;'Get Started  2'!$H111,0,OFFSET(BD234,0,-1*'Get Started  2'!$H111)*'Get Started  2'!$G42),0)+IF(AND('Get Started  2'!$H110&lt;='Get Started  2'!$E27,'Get Started  2'!$G110&lt;&gt;0),IF(BD4&lt;'Get Started  2'!$H110,0,OFFSET(BD234,0,-1*'Get Started  2'!$H110)*'Get Started  2'!$F42),0)+IF(AND('Get Started  2'!$H109&lt;='Get Started  2'!$E27,'Get Started  2'!$G109&lt;&gt;0),IF(BD4&lt;'Get Started  2'!$H109,0,OFFSET(BD234,0,-1*'Get Started  2'!$H109)*'Get Started  2'!$E42*'Get Started  2'!$G109),0)</f>
        <v>0</v>
      </c>
      <c r="BE239" s="90">
        <f ca="1">IF(AND('Get Started  2'!$H112&lt;='Get Started  2'!$E27,'Get Started  2'!$G112&lt;&gt;0),IF(AND(BE4&lt;'Get Started  2'!$H112,'Get Started  2'!$H112&lt;='Get Started  2'!$E27),0,OFFSET(BE234,0,-1*'Get Started  2'!$H112)*'Get Started  2'!$H42),0)+IF(AND('Get Started  2'!$H111&lt;='Get Started  2'!$E27,'Get Started  2'!$G111&lt;&gt;0),IF(BE4&lt;'Get Started  2'!$H111,0,OFFSET(BE234,0,-1*'Get Started  2'!$H111)*'Get Started  2'!$G42),0)+IF(AND('Get Started  2'!$H110&lt;='Get Started  2'!$E27,'Get Started  2'!$G110&lt;&gt;0),IF(BE4&lt;'Get Started  2'!$H110,0,OFFSET(BE234,0,-1*'Get Started  2'!$H110)*'Get Started  2'!$F42),0)+IF(AND('Get Started  2'!$H109&lt;='Get Started  2'!$E27,'Get Started  2'!$G109&lt;&gt;0),IF(BE4&lt;'Get Started  2'!$H109,0,OFFSET(BE234,0,-1*'Get Started  2'!$H109)*'Get Started  2'!$E42*'Get Started  2'!$G109),0)</f>
        <v>0</v>
      </c>
      <c r="BF239" s="90">
        <f ca="1">IF(AND('Get Started  2'!$H112&lt;='Get Started  2'!$E27,'Get Started  2'!$G112&lt;&gt;0),IF(AND(BF4&lt;'Get Started  2'!$H112,'Get Started  2'!$H112&lt;='Get Started  2'!$E27),0,OFFSET(BF234,0,-1*'Get Started  2'!$H112)*'Get Started  2'!$H42),0)+IF(AND('Get Started  2'!$H111&lt;='Get Started  2'!$E27,'Get Started  2'!$G111&lt;&gt;0),IF(BF4&lt;'Get Started  2'!$H111,0,OFFSET(BF234,0,-1*'Get Started  2'!$H111)*'Get Started  2'!$G42),0)+IF(AND('Get Started  2'!$H110&lt;='Get Started  2'!$E27,'Get Started  2'!$G110&lt;&gt;0),IF(BF4&lt;'Get Started  2'!$H110,0,OFFSET(BF234,0,-1*'Get Started  2'!$H110)*'Get Started  2'!$F42),0)+IF(AND('Get Started  2'!$H109&lt;='Get Started  2'!$E27,'Get Started  2'!$G109&lt;&gt;0),IF(BF4&lt;'Get Started  2'!$H109,0,OFFSET(BF234,0,-1*'Get Started  2'!$H109)*'Get Started  2'!$E42*'Get Started  2'!$G109),0)</f>
        <v>0</v>
      </c>
      <c r="BG239" s="90">
        <f ca="1">IF(AND('Get Started  2'!$H112&lt;='Get Started  2'!$E27,'Get Started  2'!$G112&lt;&gt;0),IF(AND(BG4&lt;'Get Started  2'!$H112,'Get Started  2'!$H112&lt;='Get Started  2'!$E27),0,OFFSET(BG234,0,-1*'Get Started  2'!$H112)*'Get Started  2'!$H42),0)+IF(AND('Get Started  2'!$H111&lt;='Get Started  2'!$E27,'Get Started  2'!$G111&lt;&gt;0),IF(BG4&lt;'Get Started  2'!$H111,0,OFFSET(BG234,0,-1*'Get Started  2'!$H111)*'Get Started  2'!$G42),0)+IF(AND('Get Started  2'!$H110&lt;='Get Started  2'!$E27,'Get Started  2'!$G110&lt;&gt;0),IF(BG4&lt;'Get Started  2'!$H110,0,OFFSET(BG234,0,-1*'Get Started  2'!$H110)*'Get Started  2'!$F42),0)+IF(AND('Get Started  2'!$H109&lt;='Get Started  2'!$E27,'Get Started  2'!$G109&lt;&gt;0),IF(BG4&lt;'Get Started  2'!$H109,0,OFFSET(BG234,0,-1*'Get Started  2'!$H109)*'Get Started  2'!$E42*'Get Started  2'!$G109),0)</f>
        <v>0</v>
      </c>
      <c r="BH239" s="90">
        <f ca="1">IF(AND('Get Started  2'!$H112&lt;='Get Started  2'!$E27,'Get Started  2'!$G112&lt;&gt;0),IF(AND(BH4&lt;'Get Started  2'!$H112,'Get Started  2'!$H112&lt;='Get Started  2'!$E27),0,OFFSET(BH234,0,-1*'Get Started  2'!$H112)*'Get Started  2'!$H42),0)+IF(AND('Get Started  2'!$H111&lt;='Get Started  2'!$E27,'Get Started  2'!$G111&lt;&gt;0),IF(BH4&lt;'Get Started  2'!$H111,0,OFFSET(BH234,0,-1*'Get Started  2'!$H111)*'Get Started  2'!$G42),0)+IF(AND('Get Started  2'!$H110&lt;='Get Started  2'!$E27,'Get Started  2'!$G110&lt;&gt;0),IF(BH4&lt;'Get Started  2'!$H110,0,OFFSET(BH234,0,-1*'Get Started  2'!$H110)*'Get Started  2'!$F42),0)+IF(AND('Get Started  2'!$H109&lt;='Get Started  2'!$E27,'Get Started  2'!$G109&lt;&gt;0),IF(BH4&lt;'Get Started  2'!$H109,0,OFFSET(BH234,0,-1*'Get Started  2'!$H109)*'Get Started  2'!$E42*'Get Started  2'!$G109),0)</f>
        <v>0</v>
      </c>
      <c r="BI239" s="90">
        <f ca="1">IF(AND('Get Started  2'!$H112&lt;='Get Started  2'!$E27,'Get Started  2'!$G112&lt;&gt;0),IF(AND(BI4&lt;'Get Started  2'!$H112,'Get Started  2'!$H112&lt;='Get Started  2'!$E27),0,OFFSET(BI234,0,-1*'Get Started  2'!$H112)*'Get Started  2'!$H42),0)+IF(AND('Get Started  2'!$H111&lt;='Get Started  2'!$E27,'Get Started  2'!$G111&lt;&gt;0),IF(BI4&lt;'Get Started  2'!$H111,0,OFFSET(BI234,0,-1*'Get Started  2'!$H111)*'Get Started  2'!$G42),0)+IF(AND('Get Started  2'!$H110&lt;='Get Started  2'!$E27,'Get Started  2'!$G110&lt;&gt;0),IF(BI4&lt;'Get Started  2'!$H110,0,OFFSET(BI234,0,-1*'Get Started  2'!$H110)*'Get Started  2'!$F42),0)+IF(AND('Get Started  2'!$H109&lt;='Get Started  2'!$E27,'Get Started  2'!$G109&lt;&gt;0),IF(BI4&lt;'Get Started  2'!$H109,0,OFFSET(BI234,0,-1*'Get Started  2'!$H109)*'Get Started  2'!$E42*'Get Started  2'!$G109),0)</f>
        <v>0</v>
      </c>
      <c r="BJ239" s="90">
        <f ca="1">IF(AND('Get Started  2'!$H112&lt;='Get Started  2'!$E27,'Get Started  2'!$G112&lt;&gt;0),IF(AND(BJ4&lt;'Get Started  2'!$H112,'Get Started  2'!$H112&lt;='Get Started  2'!$E27),0,OFFSET(BJ234,0,-1*'Get Started  2'!$H112)*'Get Started  2'!$H42),0)+IF(AND('Get Started  2'!$H111&lt;='Get Started  2'!$E27,'Get Started  2'!$G111&lt;&gt;0),IF(BJ4&lt;'Get Started  2'!$H111,0,OFFSET(BJ234,0,-1*'Get Started  2'!$H111)*'Get Started  2'!$G42),0)+IF(AND('Get Started  2'!$H110&lt;='Get Started  2'!$E27,'Get Started  2'!$G110&lt;&gt;0),IF(BJ4&lt;'Get Started  2'!$H110,0,OFFSET(BJ234,0,-1*'Get Started  2'!$H110)*'Get Started  2'!$F42),0)+IF(AND('Get Started  2'!$H109&lt;='Get Started  2'!$E27,'Get Started  2'!$G109&lt;&gt;0),IF(BJ4&lt;'Get Started  2'!$H109,0,OFFSET(BJ234,0,-1*'Get Started  2'!$H109)*'Get Started  2'!$E42*'Get Started  2'!$G109),0)</f>
        <v>0</v>
      </c>
      <c r="BK239" s="90">
        <f ca="1">IF(AND('Get Started  2'!$H112&lt;='Get Started  2'!$E27,'Get Started  2'!$G112&lt;&gt;0),IF(AND(BK4&lt;'Get Started  2'!$H112,'Get Started  2'!$H112&lt;='Get Started  2'!$E27),0,OFFSET(BK234,0,-1*'Get Started  2'!$H112)*'Get Started  2'!$H42),0)+IF(AND('Get Started  2'!$H111&lt;='Get Started  2'!$E27,'Get Started  2'!$G111&lt;&gt;0),IF(BK4&lt;'Get Started  2'!$H111,0,OFFSET(BK234,0,-1*'Get Started  2'!$H111)*'Get Started  2'!$G42),0)+IF(AND('Get Started  2'!$H110&lt;='Get Started  2'!$E27,'Get Started  2'!$G110&lt;&gt;0),IF(BK4&lt;'Get Started  2'!$H110,0,OFFSET(BK234,0,-1*'Get Started  2'!$H110)*'Get Started  2'!$F42),0)+IF(AND('Get Started  2'!$H109&lt;='Get Started  2'!$E27,'Get Started  2'!$G109&lt;&gt;0),IF(BK4&lt;'Get Started  2'!$H109,0,OFFSET(BK234,0,-1*'Get Started  2'!$H109)*'Get Started  2'!$E42*'Get Started  2'!$G109),0)</f>
        <v>0</v>
      </c>
      <c r="BL239" s="90">
        <f ca="1">IF(AND('Get Started  2'!$H112&lt;='Get Started  2'!$E27,'Get Started  2'!$G112&lt;&gt;0),IF(AND(BL4&lt;'Get Started  2'!$H112,'Get Started  2'!$H112&lt;='Get Started  2'!$E27),0,OFFSET(BL234,0,-1*'Get Started  2'!$H112)*'Get Started  2'!$H42),0)+IF(AND('Get Started  2'!$H111&lt;='Get Started  2'!$E27,'Get Started  2'!$G111&lt;&gt;0),IF(BL4&lt;'Get Started  2'!$H111,0,OFFSET(BL234,0,-1*'Get Started  2'!$H111)*'Get Started  2'!$G42),0)+IF(AND('Get Started  2'!$H110&lt;='Get Started  2'!$E27,'Get Started  2'!$G110&lt;&gt;0),IF(BL4&lt;'Get Started  2'!$H110,0,OFFSET(BL234,0,-1*'Get Started  2'!$H110)*'Get Started  2'!$F42),0)+IF(AND('Get Started  2'!$H109&lt;='Get Started  2'!$E27,'Get Started  2'!$G109&lt;&gt;0),IF(BL4&lt;'Get Started  2'!$H109,0,OFFSET(BL234,0,-1*'Get Started  2'!$H109)*'Get Started  2'!$E42*'Get Started  2'!$G109),0)</f>
        <v>0</v>
      </c>
      <c r="BM239" s="90">
        <f ca="1">IF(AND('Get Started  2'!$H112&lt;='Get Started  2'!$E27,'Get Started  2'!$G112&lt;&gt;0),IF(AND(BM4&lt;'Get Started  2'!$H112,'Get Started  2'!$H112&lt;='Get Started  2'!$E27),0,OFFSET(BM234,0,-1*'Get Started  2'!$H112)*'Get Started  2'!$H42),0)+IF(AND('Get Started  2'!$H111&lt;='Get Started  2'!$E27,'Get Started  2'!$G111&lt;&gt;0),IF(BM4&lt;'Get Started  2'!$H111,0,OFFSET(BM234,0,-1*'Get Started  2'!$H111)*'Get Started  2'!$G42),0)+IF(AND('Get Started  2'!$H110&lt;='Get Started  2'!$E27,'Get Started  2'!$G110&lt;&gt;0),IF(BM4&lt;'Get Started  2'!$H110,0,OFFSET(BM234,0,-1*'Get Started  2'!$H110)*'Get Started  2'!$F42),0)+IF(AND('Get Started  2'!$H109&lt;='Get Started  2'!$E27,'Get Started  2'!$G109&lt;&gt;0),IF(BM4&lt;'Get Started  2'!$H109,0,OFFSET(BM234,0,-1*'Get Started  2'!$H109)*'Get Started  2'!$E42*'Get Started  2'!$G109),0)</f>
        <v>0</v>
      </c>
      <c r="BN239" s="90">
        <f ca="1">IF(AND('Get Started  2'!$H112&lt;='Get Started  2'!$E27,'Get Started  2'!$G112&lt;&gt;0),IF(AND(BN4&lt;'Get Started  2'!$H112,'Get Started  2'!$H112&lt;='Get Started  2'!$E27),0,OFFSET(BN234,0,-1*'Get Started  2'!$H112)*'Get Started  2'!$H42),0)+IF(AND('Get Started  2'!$H111&lt;='Get Started  2'!$E27,'Get Started  2'!$G111&lt;&gt;0),IF(BN4&lt;'Get Started  2'!$H111,0,OFFSET(BN234,0,-1*'Get Started  2'!$H111)*'Get Started  2'!$G42),0)+IF(AND('Get Started  2'!$H110&lt;='Get Started  2'!$E27,'Get Started  2'!$G110&lt;&gt;0),IF(BN4&lt;'Get Started  2'!$H110,0,OFFSET(BN234,0,-1*'Get Started  2'!$H110)*'Get Started  2'!$F42),0)+IF(AND('Get Started  2'!$H109&lt;='Get Started  2'!$E27,'Get Started  2'!$G109&lt;&gt;0),IF(BN4&lt;'Get Started  2'!$H109,0,OFFSET(BN234,0,-1*'Get Started  2'!$H109)*'Get Started  2'!$E42*'Get Started  2'!$G109),0)</f>
        <v>0</v>
      </c>
      <c r="BO239" s="90">
        <f ca="1">IF(AND('Get Started  2'!$H112&lt;='Get Started  2'!$E27,'Get Started  2'!$G112&lt;&gt;0),IF(AND(BO4&lt;'Get Started  2'!$H112,'Get Started  2'!$H112&lt;='Get Started  2'!$E27),0,OFFSET(BO234,0,-1*'Get Started  2'!$H112)*'Get Started  2'!$H42),0)+IF(AND('Get Started  2'!$H111&lt;='Get Started  2'!$E27,'Get Started  2'!$G111&lt;&gt;0),IF(BO4&lt;'Get Started  2'!$H111,0,OFFSET(BO234,0,-1*'Get Started  2'!$H111)*'Get Started  2'!$G42),0)+IF(AND('Get Started  2'!$H110&lt;='Get Started  2'!$E27,'Get Started  2'!$G110&lt;&gt;0),IF(BO4&lt;'Get Started  2'!$H110,0,OFFSET(BO234,0,-1*'Get Started  2'!$H110)*'Get Started  2'!$F42),0)+IF(AND('Get Started  2'!$H109&lt;='Get Started  2'!$E27,'Get Started  2'!$G109&lt;&gt;0),IF(BO4&lt;'Get Started  2'!$H109,0,OFFSET(BO234,0,-1*'Get Started  2'!$H109)*'Get Started  2'!$E42*'Get Started  2'!$G109),0)</f>
        <v>0</v>
      </c>
      <c r="BP239" s="90">
        <f ca="1">IF(AND('Get Started  2'!$H112&lt;='Get Started  2'!$E27,'Get Started  2'!$G112&lt;&gt;0),IF(AND(BP4&lt;'Get Started  2'!$H112,'Get Started  2'!$H112&lt;='Get Started  2'!$E27),0,OFFSET(BP234,0,-1*'Get Started  2'!$H112)*'Get Started  2'!$H42),0)+IF(AND('Get Started  2'!$H111&lt;='Get Started  2'!$E27,'Get Started  2'!$G111&lt;&gt;0),IF(BP4&lt;'Get Started  2'!$H111,0,OFFSET(BP234,0,-1*'Get Started  2'!$H111)*'Get Started  2'!$G42),0)+IF(AND('Get Started  2'!$H110&lt;='Get Started  2'!$E27,'Get Started  2'!$G110&lt;&gt;0),IF(BP4&lt;'Get Started  2'!$H110,0,OFFSET(BP234,0,-1*'Get Started  2'!$H110)*'Get Started  2'!$F42),0)+IF(AND('Get Started  2'!$H109&lt;='Get Started  2'!$E27,'Get Started  2'!$G109&lt;&gt;0),IF(BP4&lt;'Get Started  2'!$H109,0,OFFSET(BP234,0,-1*'Get Started  2'!$H109)*'Get Started  2'!$E42*'Get Started  2'!$G109),0)</f>
        <v>0</v>
      </c>
      <c r="BQ239" s="90">
        <f ca="1">IF(AND('Get Started  2'!$H112&lt;='Get Started  2'!$E27,'Get Started  2'!$G112&lt;&gt;0),IF(AND(BQ4&lt;'Get Started  2'!$H112,'Get Started  2'!$H112&lt;='Get Started  2'!$E27),0,OFFSET(BQ234,0,-1*'Get Started  2'!$H112)*'Get Started  2'!$H42),0)+IF(AND('Get Started  2'!$H111&lt;='Get Started  2'!$E27,'Get Started  2'!$G111&lt;&gt;0),IF(BQ4&lt;'Get Started  2'!$H111,0,OFFSET(BQ234,0,-1*'Get Started  2'!$H111)*'Get Started  2'!$G42),0)+IF(AND('Get Started  2'!$H110&lt;='Get Started  2'!$E27,'Get Started  2'!$G110&lt;&gt;0),IF(BQ4&lt;'Get Started  2'!$H110,0,OFFSET(BQ234,0,-1*'Get Started  2'!$H110)*'Get Started  2'!$F42),0)+IF(AND('Get Started  2'!$H109&lt;='Get Started  2'!$E27,'Get Started  2'!$G109&lt;&gt;0),IF(BQ4&lt;'Get Started  2'!$H109,0,OFFSET(BQ234,0,-1*'Get Started  2'!$H109)*'Get Started  2'!$E42*'Get Started  2'!$G109),0)</f>
        <v>0</v>
      </c>
      <c r="BR239" s="90">
        <f ca="1">IF(AND('Get Started  2'!$H112&lt;='Get Started  2'!$E27,'Get Started  2'!$G112&lt;&gt;0),IF(AND(BR4&lt;'Get Started  2'!$H112,'Get Started  2'!$H112&lt;='Get Started  2'!$E27),0,OFFSET(BR234,0,-1*'Get Started  2'!$H112)*'Get Started  2'!$H42),0)+IF(AND('Get Started  2'!$H111&lt;='Get Started  2'!$E27,'Get Started  2'!$G111&lt;&gt;0),IF(BR4&lt;'Get Started  2'!$H111,0,OFFSET(BR234,0,-1*'Get Started  2'!$H111)*'Get Started  2'!$G42),0)+IF(AND('Get Started  2'!$H110&lt;='Get Started  2'!$E27,'Get Started  2'!$G110&lt;&gt;0),IF(BR4&lt;'Get Started  2'!$H110,0,OFFSET(BR234,0,-1*'Get Started  2'!$H110)*'Get Started  2'!$F42),0)+IF(AND('Get Started  2'!$H109&lt;='Get Started  2'!$E27,'Get Started  2'!$G109&lt;&gt;0),IF(BR4&lt;'Get Started  2'!$H109,0,OFFSET(BR234,0,-1*'Get Started  2'!$H109)*'Get Started  2'!$E42*'Get Started  2'!$G109),0)</f>
        <v>0</v>
      </c>
      <c r="BS239" s="90">
        <f ca="1">IF(AND('Get Started  2'!$H112&lt;='Get Started  2'!$E27,'Get Started  2'!$G112&lt;&gt;0),IF(AND(BS4&lt;'Get Started  2'!$H112,'Get Started  2'!$H112&lt;='Get Started  2'!$E27),0,OFFSET(BS234,0,-1*'Get Started  2'!$H112)*'Get Started  2'!$H42),0)+IF(AND('Get Started  2'!$H111&lt;='Get Started  2'!$E27,'Get Started  2'!$G111&lt;&gt;0),IF(BS4&lt;'Get Started  2'!$H111,0,OFFSET(BS234,0,-1*'Get Started  2'!$H111)*'Get Started  2'!$G42),0)+IF(AND('Get Started  2'!$H110&lt;='Get Started  2'!$E27,'Get Started  2'!$G110&lt;&gt;0),IF(BS4&lt;'Get Started  2'!$H110,0,OFFSET(BS234,0,-1*'Get Started  2'!$H110)*'Get Started  2'!$F42),0)+IF(AND('Get Started  2'!$H109&lt;='Get Started  2'!$E27,'Get Started  2'!$G109&lt;&gt;0),IF(BS4&lt;'Get Started  2'!$H109,0,OFFSET(BS234,0,-1*'Get Started  2'!$H109)*'Get Started  2'!$E42*'Get Started  2'!$G109),0)</f>
        <v>0</v>
      </c>
      <c r="BT239" s="90">
        <f ca="1">IF(AND('Get Started  2'!$H112&lt;='Get Started  2'!$E27,'Get Started  2'!$G112&lt;&gt;0),IF(AND(BT4&lt;'Get Started  2'!$H112,'Get Started  2'!$H112&lt;='Get Started  2'!$E27),0,OFFSET(BT234,0,-1*'Get Started  2'!$H112)*'Get Started  2'!$H42),0)+IF(AND('Get Started  2'!$H111&lt;='Get Started  2'!$E27,'Get Started  2'!$G111&lt;&gt;0),IF(BT4&lt;'Get Started  2'!$H111,0,OFFSET(BT234,0,-1*'Get Started  2'!$H111)*'Get Started  2'!$G42),0)+IF(AND('Get Started  2'!$H110&lt;='Get Started  2'!$E27,'Get Started  2'!$G110&lt;&gt;0),IF(BT4&lt;'Get Started  2'!$H110,0,OFFSET(BT234,0,-1*'Get Started  2'!$H110)*'Get Started  2'!$F42),0)+IF(AND('Get Started  2'!$H109&lt;='Get Started  2'!$E27,'Get Started  2'!$G109&lt;&gt;0),IF(BT4&lt;'Get Started  2'!$H109,0,OFFSET(BT234,0,-1*'Get Started  2'!$H109)*'Get Started  2'!$E42*'Get Started  2'!$G109),0)</f>
        <v>0</v>
      </c>
      <c r="BU239" s="90">
        <f ca="1">IF(AND('Get Started  2'!$H112&lt;='Get Started  2'!$E27,'Get Started  2'!$G112&lt;&gt;0),IF(AND(BU4&lt;'Get Started  2'!$H112,'Get Started  2'!$H112&lt;='Get Started  2'!$E27),0,OFFSET(BU234,0,-1*'Get Started  2'!$H112)*'Get Started  2'!$H42),0)+IF(AND('Get Started  2'!$H111&lt;='Get Started  2'!$E27,'Get Started  2'!$G111&lt;&gt;0),IF(BU4&lt;'Get Started  2'!$H111,0,OFFSET(BU234,0,-1*'Get Started  2'!$H111)*'Get Started  2'!$G42),0)+IF(AND('Get Started  2'!$H110&lt;='Get Started  2'!$E27,'Get Started  2'!$G110&lt;&gt;0),IF(BU4&lt;'Get Started  2'!$H110,0,OFFSET(BU234,0,-1*'Get Started  2'!$H110)*'Get Started  2'!$F42),0)+IF(AND('Get Started  2'!$H109&lt;='Get Started  2'!$E27,'Get Started  2'!$G109&lt;&gt;0),IF(BU4&lt;'Get Started  2'!$H109,0,OFFSET(BU234,0,-1*'Get Started  2'!$H109)*'Get Started  2'!$E42*'Get Started  2'!$G109),0)</f>
        <v>0</v>
      </c>
      <c r="BV239" s="90">
        <f ca="1">IF(AND('Get Started  2'!$H112&lt;='Get Started  2'!$E27,'Get Started  2'!$G112&lt;&gt;0),IF(AND(BV4&lt;'Get Started  2'!$H112,'Get Started  2'!$H112&lt;='Get Started  2'!$E27),0,OFFSET(BV234,0,-1*'Get Started  2'!$H112)*'Get Started  2'!$H42),0)+IF(AND('Get Started  2'!$H111&lt;='Get Started  2'!$E27,'Get Started  2'!$G111&lt;&gt;0),IF(BV4&lt;'Get Started  2'!$H111,0,OFFSET(BV234,0,-1*'Get Started  2'!$H111)*'Get Started  2'!$G42),0)+IF(AND('Get Started  2'!$H110&lt;='Get Started  2'!$E27,'Get Started  2'!$G110&lt;&gt;0),IF(BV4&lt;'Get Started  2'!$H110,0,OFFSET(BV234,0,-1*'Get Started  2'!$H110)*'Get Started  2'!$F42),0)+IF(AND('Get Started  2'!$H109&lt;='Get Started  2'!$E27,'Get Started  2'!$G109&lt;&gt;0),IF(BV4&lt;'Get Started  2'!$H109,0,OFFSET(BV234,0,-1*'Get Started  2'!$H109)*'Get Started  2'!$E42*'Get Started  2'!$G109),0)</f>
        <v>0</v>
      </c>
      <c r="BW239" s="90">
        <f ca="1">IF(AND('Get Started  2'!$H112&lt;='Get Started  2'!$E27,'Get Started  2'!$G112&lt;&gt;0),IF(AND(BW4&lt;'Get Started  2'!$H112,'Get Started  2'!$H112&lt;='Get Started  2'!$E27),0,OFFSET(BW234,0,-1*'Get Started  2'!$H112)*'Get Started  2'!$H42),0)+IF(AND('Get Started  2'!$H111&lt;='Get Started  2'!$E27,'Get Started  2'!$G111&lt;&gt;0),IF(BW4&lt;'Get Started  2'!$H111,0,OFFSET(BW234,0,-1*'Get Started  2'!$H111)*'Get Started  2'!$G42),0)+IF(AND('Get Started  2'!$H110&lt;='Get Started  2'!$E27,'Get Started  2'!$G110&lt;&gt;0),IF(BW4&lt;'Get Started  2'!$H110,0,OFFSET(BW234,0,-1*'Get Started  2'!$H110)*'Get Started  2'!$F42),0)+IF(AND('Get Started  2'!$H109&lt;='Get Started  2'!$E27,'Get Started  2'!$G109&lt;&gt;0),IF(BW4&lt;'Get Started  2'!$H109,0,OFFSET(BW234,0,-1*'Get Started  2'!$H109)*'Get Started  2'!$E42*'Get Started  2'!$G109),0)</f>
        <v>0</v>
      </c>
      <c r="BX239" s="90">
        <f ca="1">IF(AND('Get Started  2'!$H112&lt;='Get Started  2'!$E27,'Get Started  2'!$G112&lt;&gt;0),IF(AND(BX4&lt;'Get Started  2'!$H112,'Get Started  2'!$H112&lt;='Get Started  2'!$E27),0,OFFSET(BX234,0,-1*'Get Started  2'!$H112)*'Get Started  2'!$H42),0)+IF(AND('Get Started  2'!$H111&lt;='Get Started  2'!$E27,'Get Started  2'!$G111&lt;&gt;0),IF(BX4&lt;'Get Started  2'!$H111,0,OFFSET(BX234,0,-1*'Get Started  2'!$H111)*'Get Started  2'!$G42),0)+IF(AND('Get Started  2'!$H110&lt;='Get Started  2'!$E27,'Get Started  2'!$G110&lt;&gt;0),IF(BX4&lt;'Get Started  2'!$H110,0,OFFSET(BX234,0,-1*'Get Started  2'!$H110)*'Get Started  2'!$F42),0)+IF(AND('Get Started  2'!$H109&lt;='Get Started  2'!$E27,'Get Started  2'!$G109&lt;&gt;0),IF(BX4&lt;'Get Started  2'!$H109,0,OFFSET(BX234,0,-1*'Get Started  2'!$H109)*'Get Started  2'!$E42*'Get Started  2'!$G109),0)</f>
        <v>0</v>
      </c>
      <c r="BY239" s="90">
        <f ca="1">IF(AND('Get Started  2'!$H112&lt;='Get Started  2'!$E27,'Get Started  2'!$G112&lt;&gt;0),IF(AND(BY4&lt;'Get Started  2'!$H112,'Get Started  2'!$H112&lt;='Get Started  2'!$E27),0,OFFSET(BY234,0,-1*'Get Started  2'!$H112)*'Get Started  2'!$H42),0)+IF(AND('Get Started  2'!$H111&lt;='Get Started  2'!$E27,'Get Started  2'!$G111&lt;&gt;0),IF(BY4&lt;'Get Started  2'!$H111,0,OFFSET(BY234,0,-1*'Get Started  2'!$H111)*'Get Started  2'!$G42),0)+IF(AND('Get Started  2'!$H110&lt;='Get Started  2'!$E27,'Get Started  2'!$G110&lt;&gt;0),IF(BY4&lt;'Get Started  2'!$H110,0,OFFSET(BY234,0,-1*'Get Started  2'!$H110)*'Get Started  2'!$F42),0)+IF(AND('Get Started  2'!$H109&lt;='Get Started  2'!$E27,'Get Started  2'!$G109&lt;&gt;0),IF(BY4&lt;'Get Started  2'!$H109,0,OFFSET(BY234,0,-1*'Get Started  2'!$H109)*'Get Started  2'!$E42*'Get Started  2'!$G109),0)</f>
        <v>0</v>
      </c>
      <c r="BZ239" s="90">
        <f ca="1">IF(AND('Get Started  2'!$H112&lt;='Get Started  2'!$E27,'Get Started  2'!$G112&lt;&gt;0),IF(AND(BZ4&lt;'Get Started  2'!$H112,'Get Started  2'!$H112&lt;='Get Started  2'!$E27),0,OFFSET(BZ234,0,-1*'Get Started  2'!$H112)*'Get Started  2'!$H42),0)+IF(AND('Get Started  2'!$H111&lt;='Get Started  2'!$E27,'Get Started  2'!$G111&lt;&gt;0),IF(BZ4&lt;'Get Started  2'!$H111,0,OFFSET(BZ234,0,-1*'Get Started  2'!$H111)*'Get Started  2'!$G42),0)+IF(AND('Get Started  2'!$H110&lt;='Get Started  2'!$E27,'Get Started  2'!$G110&lt;&gt;0),IF(BZ4&lt;'Get Started  2'!$H110,0,OFFSET(BZ234,0,-1*'Get Started  2'!$H110)*'Get Started  2'!$F42),0)+IF(AND('Get Started  2'!$H109&lt;='Get Started  2'!$E27,'Get Started  2'!$G109&lt;&gt;0),IF(BZ4&lt;'Get Started  2'!$H109,0,OFFSET(BZ234,0,-1*'Get Started  2'!$H109)*'Get Started  2'!$E42*'Get Started  2'!$G109),0)</f>
        <v>0</v>
      </c>
      <c r="CA239" s="90">
        <f ca="1">IF(AND('Get Started  2'!$H112&lt;='Get Started  2'!$E27,'Get Started  2'!$G112&lt;&gt;0),IF(AND(CA4&lt;'Get Started  2'!$H112,'Get Started  2'!$H112&lt;='Get Started  2'!$E27),0,OFFSET(CA234,0,-1*'Get Started  2'!$H112)*'Get Started  2'!$H42),0)+IF(AND('Get Started  2'!$H111&lt;='Get Started  2'!$E27,'Get Started  2'!$G111&lt;&gt;0),IF(CA4&lt;'Get Started  2'!$H111,0,OFFSET(CA234,0,-1*'Get Started  2'!$H111)*'Get Started  2'!$G42),0)+IF(AND('Get Started  2'!$H110&lt;='Get Started  2'!$E27,'Get Started  2'!$G110&lt;&gt;0),IF(CA4&lt;'Get Started  2'!$H110,0,OFFSET(CA234,0,-1*'Get Started  2'!$H110)*'Get Started  2'!$F42),0)+IF(AND('Get Started  2'!$H109&lt;='Get Started  2'!$E27,'Get Started  2'!$G109&lt;&gt;0),IF(CA4&lt;'Get Started  2'!$H109,0,OFFSET(CA234,0,-1*'Get Started  2'!$H109)*'Get Started  2'!$E42*'Get Started  2'!$G109),0)</f>
        <v>0</v>
      </c>
      <c r="CB239" s="90">
        <f ca="1">IF(AND('Get Started  2'!$H112&lt;='Get Started  2'!$E27,'Get Started  2'!$G112&lt;&gt;0),IF(AND(CB4&lt;'Get Started  2'!$H112,'Get Started  2'!$H112&lt;='Get Started  2'!$E27),0,OFFSET(CB234,0,-1*'Get Started  2'!$H112)*'Get Started  2'!$H42),0)+IF(AND('Get Started  2'!$H111&lt;='Get Started  2'!$E27,'Get Started  2'!$G111&lt;&gt;0),IF(CB4&lt;'Get Started  2'!$H111,0,OFFSET(CB234,0,-1*'Get Started  2'!$H111)*'Get Started  2'!$G42),0)+IF(AND('Get Started  2'!$H110&lt;='Get Started  2'!$E27,'Get Started  2'!$G110&lt;&gt;0),IF(CB4&lt;'Get Started  2'!$H110,0,OFFSET(CB234,0,-1*'Get Started  2'!$H110)*'Get Started  2'!$F42),0)+IF(AND('Get Started  2'!$H109&lt;='Get Started  2'!$E27,'Get Started  2'!$G109&lt;&gt;0),IF(CB4&lt;'Get Started  2'!$H109,0,OFFSET(CB234,0,-1*'Get Started  2'!$H109)*'Get Started  2'!$E42*'Get Started  2'!$G109),0)</f>
        <v>0</v>
      </c>
      <c r="CC239" s="90">
        <f ca="1">IF(AND('Get Started  2'!$H112&lt;='Get Started  2'!$E27,'Get Started  2'!$G112&lt;&gt;0),IF(AND(CC4&lt;'Get Started  2'!$H112,'Get Started  2'!$H112&lt;='Get Started  2'!$E27),0,OFFSET(CC234,0,-1*'Get Started  2'!$H112)*'Get Started  2'!$H42),0)+IF(AND('Get Started  2'!$H111&lt;='Get Started  2'!$E27,'Get Started  2'!$G111&lt;&gt;0),IF(CC4&lt;'Get Started  2'!$H111,0,OFFSET(CC234,0,-1*'Get Started  2'!$H111)*'Get Started  2'!$G42),0)+IF(AND('Get Started  2'!$H110&lt;='Get Started  2'!$E27,'Get Started  2'!$G110&lt;&gt;0),IF(CC4&lt;'Get Started  2'!$H110,0,OFFSET(CC234,0,-1*'Get Started  2'!$H110)*'Get Started  2'!$F42),0)+IF(AND('Get Started  2'!$H109&lt;='Get Started  2'!$E27,'Get Started  2'!$G109&lt;&gt;0),IF(CC4&lt;'Get Started  2'!$H109,0,OFFSET(CC234,0,-1*'Get Started  2'!$H109)*'Get Started  2'!$E42*'Get Started  2'!$G109),0)</f>
        <v>0</v>
      </c>
      <c r="CD239" s="90">
        <f ca="1">IF(AND('Get Started  2'!$H112&lt;='Get Started  2'!$E27,'Get Started  2'!$G112&lt;&gt;0),IF(AND(CD4&lt;'Get Started  2'!$H112,'Get Started  2'!$H112&lt;='Get Started  2'!$E27),0,OFFSET(CD234,0,-1*'Get Started  2'!$H112)*'Get Started  2'!$H42),0)+IF(AND('Get Started  2'!$H111&lt;='Get Started  2'!$E27,'Get Started  2'!$G111&lt;&gt;0),IF(CD4&lt;'Get Started  2'!$H111,0,OFFSET(CD234,0,-1*'Get Started  2'!$H111)*'Get Started  2'!$G42),0)+IF(AND('Get Started  2'!$H110&lt;='Get Started  2'!$E27,'Get Started  2'!$G110&lt;&gt;0),IF(CD4&lt;'Get Started  2'!$H110,0,OFFSET(CD234,0,-1*'Get Started  2'!$H110)*'Get Started  2'!$F42),0)+IF(AND('Get Started  2'!$H109&lt;='Get Started  2'!$E27,'Get Started  2'!$G109&lt;&gt;0),IF(CD4&lt;'Get Started  2'!$H109,0,OFFSET(CD234,0,-1*'Get Started  2'!$H109)*'Get Started  2'!$E42*'Get Started  2'!$G109),0)</f>
        <v>0</v>
      </c>
      <c r="CE239" s="90">
        <f ca="1">IF(AND('Get Started  2'!$H112&lt;='Get Started  2'!$E27,'Get Started  2'!$G112&lt;&gt;0),IF(AND(CE4&lt;'Get Started  2'!$H112,'Get Started  2'!$H112&lt;='Get Started  2'!$E27),0,OFFSET(CE234,0,-1*'Get Started  2'!$H112)*'Get Started  2'!$H42),0)+IF(AND('Get Started  2'!$H111&lt;='Get Started  2'!$E27,'Get Started  2'!$G111&lt;&gt;0),IF(CE4&lt;'Get Started  2'!$H111,0,OFFSET(CE234,0,-1*'Get Started  2'!$H111)*'Get Started  2'!$G42),0)+IF(AND('Get Started  2'!$H110&lt;='Get Started  2'!$E27,'Get Started  2'!$G110&lt;&gt;0),IF(CE4&lt;'Get Started  2'!$H110,0,OFFSET(CE234,0,-1*'Get Started  2'!$H110)*'Get Started  2'!$F42),0)+IF(AND('Get Started  2'!$H109&lt;='Get Started  2'!$E27,'Get Started  2'!$G109&lt;&gt;0),IF(CE4&lt;'Get Started  2'!$H109,0,OFFSET(CE234,0,-1*'Get Started  2'!$H109)*'Get Started  2'!$E42*'Get Started  2'!$G109),0)</f>
        <v>0</v>
      </c>
      <c r="CF239" s="90">
        <f ca="1">IF(AND('Get Started  2'!$H112&lt;='Get Started  2'!$E27,'Get Started  2'!$G112&lt;&gt;0),IF(AND(CF4&lt;'Get Started  2'!$H112,'Get Started  2'!$H112&lt;='Get Started  2'!$E27),0,OFFSET(CF234,0,-1*'Get Started  2'!$H112)*'Get Started  2'!$H42),0)+IF(AND('Get Started  2'!$H111&lt;='Get Started  2'!$E27,'Get Started  2'!$G111&lt;&gt;0),IF(CF4&lt;'Get Started  2'!$H111,0,OFFSET(CF234,0,-1*'Get Started  2'!$H111)*'Get Started  2'!$G42),0)+IF(AND('Get Started  2'!$H110&lt;='Get Started  2'!$E27,'Get Started  2'!$G110&lt;&gt;0),IF(CF4&lt;'Get Started  2'!$H110,0,OFFSET(CF234,0,-1*'Get Started  2'!$H110)*'Get Started  2'!$F42),0)+IF(AND('Get Started  2'!$H109&lt;='Get Started  2'!$E27,'Get Started  2'!$G109&lt;&gt;0),IF(CF4&lt;'Get Started  2'!$H109,0,OFFSET(CF234,0,-1*'Get Started  2'!$H109)*'Get Started  2'!$E42*'Get Started  2'!$G109),0)</f>
        <v>0</v>
      </c>
      <c r="CG239" s="90">
        <f ca="1">IF(AND('Get Started  2'!$H112&lt;='Get Started  2'!$E27,'Get Started  2'!$G112&lt;&gt;0),IF(AND(CG4&lt;'Get Started  2'!$H112,'Get Started  2'!$H112&lt;='Get Started  2'!$E27),0,OFFSET(CG234,0,-1*'Get Started  2'!$H112)*'Get Started  2'!$H42),0)+IF(AND('Get Started  2'!$H111&lt;='Get Started  2'!$E27,'Get Started  2'!$G111&lt;&gt;0),IF(CG4&lt;'Get Started  2'!$H111,0,OFFSET(CG234,0,-1*'Get Started  2'!$H111)*'Get Started  2'!$G42),0)+IF(AND('Get Started  2'!$H110&lt;='Get Started  2'!$E27,'Get Started  2'!$G110&lt;&gt;0),IF(CG4&lt;'Get Started  2'!$H110,0,OFFSET(CG234,0,-1*'Get Started  2'!$H110)*'Get Started  2'!$F42),0)+IF(AND('Get Started  2'!$H109&lt;='Get Started  2'!$E27,'Get Started  2'!$G109&lt;&gt;0),IF(CG4&lt;'Get Started  2'!$H109,0,OFFSET(CG234,0,-1*'Get Started  2'!$H109)*'Get Started  2'!$E42*'Get Started  2'!$G109),0)</f>
        <v>0</v>
      </c>
      <c r="CH239" s="90">
        <f ca="1">IF(AND('Get Started  2'!$H112&lt;='Get Started  2'!$E27,'Get Started  2'!$G112&lt;&gt;0),IF(AND(CH4&lt;'Get Started  2'!$H112,'Get Started  2'!$H112&lt;='Get Started  2'!$E27),0,OFFSET(CH234,0,-1*'Get Started  2'!$H112)*'Get Started  2'!$H42),0)+IF(AND('Get Started  2'!$H111&lt;='Get Started  2'!$E27,'Get Started  2'!$G111&lt;&gt;0),IF(CH4&lt;'Get Started  2'!$H111,0,OFFSET(CH234,0,-1*'Get Started  2'!$H111)*'Get Started  2'!$G42),0)+IF(AND('Get Started  2'!$H110&lt;='Get Started  2'!$E27,'Get Started  2'!$G110&lt;&gt;0),IF(CH4&lt;'Get Started  2'!$H110,0,OFFSET(CH234,0,-1*'Get Started  2'!$H110)*'Get Started  2'!$F42),0)+IF(AND('Get Started  2'!$H109&lt;='Get Started  2'!$E27,'Get Started  2'!$G109&lt;&gt;0),IF(CH4&lt;'Get Started  2'!$H109,0,OFFSET(CH234,0,-1*'Get Started  2'!$H109)*'Get Started  2'!$E42*'Get Started  2'!$G109),0)</f>
        <v>0</v>
      </c>
    </row>
    <row r="240" spans="1:86" ht="13" outlineLevel="1">
      <c r="A240" s="13"/>
      <c r="B240" s="13" t="s">
        <v>335</v>
      </c>
      <c r="C240" s="13"/>
      <c r="D240" s="13" t="s">
        <v>238</v>
      </c>
      <c r="E240" s="88">
        <f t="shared" ca="1" si="170"/>
        <v>4.1708333333333333E-2</v>
      </c>
      <c r="F240" s="48"/>
      <c r="G240" s="90">
        <f ca="1">IF('Get Started  2'!$E28="invested capital",G239,IF('Get Started  2'!$E28="invested capital plus cost basis",G238,G237))*G11</f>
        <v>0</v>
      </c>
      <c r="H240" s="90">
        <f ca="1">IF('Get Started  2'!$E28="invested capital",H239,IF('Get Started  2'!$E28="invested capital plus cost basis",H238,H237))*H11</f>
        <v>0</v>
      </c>
      <c r="I240" s="90">
        <f ca="1">IF('Get Started  2'!$E28="invested capital",I239,IF('Get Started  2'!$E28="invested capital plus cost basis",I238,I237))*I11</f>
        <v>0</v>
      </c>
      <c r="J240" s="90">
        <f ca="1">IF('Get Started  2'!$E28="invested capital",J239,IF('Get Started  2'!$E28="invested capital plus cost basis",J238,J237))*J11</f>
        <v>0</v>
      </c>
      <c r="K240" s="90">
        <f ca="1">IF('Get Started  2'!$E28="invested capital",K239,IF('Get Started  2'!$E28="invested capital plus cost basis",K238,K237))*K11</f>
        <v>0</v>
      </c>
      <c r="L240" s="90">
        <f ca="1">IF('Get Started  2'!$E28="invested capital",L239,IF('Get Started  2'!$E28="invested capital plus cost basis",L238,L237))*L11</f>
        <v>0</v>
      </c>
      <c r="M240" s="90">
        <f ca="1">IF('Get Started  2'!$E28="invested capital",M239,IF('Get Started  2'!$E28="invested capital plus cost basis",M238,M237))*M11</f>
        <v>0</v>
      </c>
      <c r="N240" s="90">
        <f ca="1">IF('Get Started  2'!$E28="invested capital",N239,IF('Get Started  2'!$E28="invested capital plus cost basis",N238,N237))*N11</f>
        <v>0</v>
      </c>
      <c r="O240" s="90">
        <f ca="1">IF('Get Started  2'!$E28="invested capital",O239,IF('Get Started  2'!$E28="invested capital plus cost basis",O238,O237))*O11</f>
        <v>0</v>
      </c>
      <c r="P240" s="90">
        <f ca="1">IF('Get Started  2'!$E28="invested capital",P239,IF('Get Started  2'!$E28="invested capital plus cost basis",P238,P237))*P11</f>
        <v>0</v>
      </c>
      <c r="Q240" s="90">
        <f ca="1">IF('Get Started  2'!$E28="invested capital",Q239,IF('Get Started  2'!$E28="invested capital plus cost basis",Q238,Q237))*Q11</f>
        <v>0</v>
      </c>
      <c r="R240" s="90">
        <f ca="1">IF('Get Started  2'!$E28="invested capital",R239,IF('Get Started  2'!$E28="invested capital plus cost basis",R238,R237))*R11</f>
        <v>0</v>
      </c>
      <c r="S240" s="90">
        <f ca="1">IF('Get Started  2'!$E28="invested capital",S239,IF('Get Started  2'!$E28="invested capital plus cost basis",S238,S237))*S11</f>
        <v>1.0427083333333333E-2</v>
      </c>
      <c r="T240" s="90">
        <f ca="1">IF('Get Started  2'!$E28="invested capital",T239,IF('Get Started  2'!$E28="invested capital plus cost basis",T238,T237))*T11</f>
        <v>1.0427083333333333E-2</v>
      </c>
      <c r="U240" s="90">
        <f ca="1">IF('Get Started  2'!$E28="invested capital",U239,IF('Get Started  2'!$E28="invested capital plus cost basis",U238,U237))*U11</f>
        <v>1.0427083333333333E-2</v>
      </c>
      <c r="V240" s="90">
        <f ca="1">IF('Get Started  2'!$E28="invested capital",V239,IF('Get Started  2'!$E28="invested capital plus cost basis",V238,V237))*V11</f>
        <v>1.0427083333333333E-2</v>
      </c>
      <c r="W240" s="90">
        <f ca="1">IF('Get Started  2'!$E28="invested capital",W239,IF('Get Started  2'!$E28="invested capital plus cost basis",W238,W237))*W11</f>
        <v>0</v>
      </c>
      <c r="X240" s="90">
        <f ca="1">IF('Get Started  2'!$E28="invested capital",X239,IF('Get Started  2'!$E28="invested capital plus cost basis",X238,X237))*X11</f>
        <v>0</v>
      </c>
      <c r="Y240" s="90">
        <f ca="1">IF('Get Started  2'!$E28="invested capital",Y239,IF('Get Started  2'!$E28="invested capital plus cost basis",Y238,Y237))*Y11</f>
        <v>0</v>
      </c>
      <c r="Z240" s="90">
        <f ca="1">IF('Get Started  2'!$E28="invested capital",Z239,IF('Get Started  2'!$E28="invested capital plus cost basis",Z238,Z237))*Z11</f>
        <v>0</v>
      </c>
      <c r="AA240" s="90">
        <f ca="1">IF('Get Started  2'!$E28="invested capital",AA239,IF('Get Started  2'!$E28="invested capital plus cost basis",AA238,AA237))*AA11</f>
        <v>0</v>
      </c>
      <c r="AB240" s="90">
        <f ca="1">IF('Get Started  2'!$E28="invested capital",AB239,IF('Get Started  2'!$E28="invested capital plus cost basis",AB238,AB237))*AB11</f>
        <v>0</v>
      </c>
      <c r="AC240" s="90">
        <f ca="1">IF('Get Started  2'!$E28="invested capital",AC239,IF('Get Started  2'!$E28="invested capital plus cost basis",AC238,AC237))*AC11</f>
        <v>0</v>
      </c>
      <c r="AD240" s="90">
        <f ca="1">IF('Get Started  2'!$E28="invested capital",AD239,IF('Get Started  2'!$E28="invested capital plus cost basis",AD238,AD237))*AD11</f>
        <v>0</v>
      </c>
      <c r="AE240" s="90">
        <f ca="1">IF('Get Started  2'!$E28="invested capital",AE239,IF('Get Started  2'!$E28="invested capital plus cost basis",AE238,AE237))*AE11</f>
        <v>0</v>
      </c>
      <c r="AF240" s="90">
        <f ca="1">IF('Get Started  2'!$E28="invested capital",AF239,IF('Get Started  2'!$E28="invested capital plus cost basis",AF238,AF237))*AF11</f>
        <v>0</v>
      </c>
      <c r="AG240" s="90">
        <f ca="1">IF('Get Started  2'!$E28="invested capital",AG239,IF('Get Started  2'!$E28="invested capital plus cost basis",AG238,AG237))*AG11</f>
        <v>0</v>
      </c>
      <c r="AH240" s="90">
        <f ca="1">IF('Get Started  2'!$E28="invested capital",AH239,IF('Get Started  2'!$E28="invested capital plus cost basis",AH238,AH237))*AH11</f>
        <v>0</v>
      </c>
      <c r="AI240" s="90">
        <f ca="1">IF('Get Started  2'!$E28="invested capital",AI239,IF('Get Started  2'!$E28="invested capital plus cost basis",AI238,AI237))*AI11</f>
        <v>0</v>
      </c>
      <c r="AJ240" s="90">
        <f ca="1">IF('Get Started  2'!$E28="invested capital",AJ239,IF('Get Started  2'!$E28="invested capital plus cost basis",AJ238,AJ237))*AJ11</f>
        <v>0</v>
      </c>
      <c r="AK240" s="90">
        <f ca="1">IF('Get Started  2'!$E28="invested capital",AK239,IF('Get Started  2'!$E28="invested capital plus cost basis",AK238,AK237))*AK11</f>
        <v>0</v>
      </c>
      <c r="AL240" s="90">
        <f ca="1">IF('Get Started  2'!$E28="invested capital",AL239,IF('Get Started  2'!$E28="invested capital plus cost basis",AL238,AL237))*AL11</f>
        <v>0</v>
      </c>
      <c r="AM240" s="90">
        <f ca="1">IF('Get Started  2'!$E28="invested capital",AM239,IF('Get Started  2'!$E28="invested capital plus cost basis",AM238,AM237))*AM11</f>
        <v>0</v>
      </c>
      <c r="AN240" s="90">
        <f ca="1">IF('Get Started  2'!$E28="invested capital",AN239,IF('Get Started  2'!$E28="invested capital plus cost basis",AN238,AN237))*AN11</f>
        <v>0</v>
      </c>
      <c r="AO240" s="90">
        <f ca="1">IF('Get Started  2'!$E28="invested capital",AO239,IF('Get Started  2'!$E28="invested capital plus cost basis",AO238,AO237))*AO11</f>
        <v>0</v>
      </c>
      <c r="AP240" s="90">
        <f ca="1">IF('Get Started  2'!$E28="invested capital",AP239,IF('Get Started  2'!$E28="invested capital plus cost basis",AP238,AP237))*AP11</f>
        <v>0</v>
      </c>
      <c r="AQ240" s="90">
        <f ca="1">IF('Get Started  2'!$E28="invested capital",AQ239,IF('Get Started  2'!$E28="invested capital plus cost basis",AQ238,AQ237))*AQ11</f>
        <v>0</v>
      </c>
      <c r="AR240" s="90">
        <f ca="1">IF('Get Started  2'!$E28="invested capital",AR239,IF('Get Started  2'!$E28="invested capital plus cost basis",AR238,AR237))*AR11</f>
        <v>0</v>
      </c>
      <c r="AS240" s="90">
        <f ca="1">IF('Get Started  2'!$E28="invested capital",AS239,IF('Get Started  2'!$E28="invested capital plus cost basis",AS238,AS237))*AS11</f>
        <v>0</v>
      </c>
      <c r="AT240" s="90">
        <f ca="1">IF('Get Started  2'!$E28="invested capital",AT239,IF('Get Started  2'!$E28="invested capital plus cost basis",AT238,AT237))*AT11</f>
        <v>0</v>
      </c>
      <c r="AU240" s="90">
        <f ca="1">IF('Get Started  2'!$E28="invested capital",AU239,IF('Get Started  2'!$E28="invested capital plus cost basis",AU238,AU237))*AU11</f>
        <v>0</v>
      </c>
      <c r="AV240" s="90">
        <f ca="1">IF('Get Started  2'!$E28="invested capital",AV239,IF('Get Started  2'!$E28="invested capital plus cost basis",AV238,AV237))*AV11</f>
        <v>0</v>
      </c>
      <c r="AW240" s="90">
        <f ca="1">IF('Get Started  2'!$E28="invested capital",AW239,IF('Get Started  2'!$E28="invested capital plus cost basis",AW238,AW237))*AW11</f>
        <v>0</v>
      </c>
      <c r="AX240" s="90">
        <f ca="1">IF('Get Started  2'!$E28="invested capital",AX239,IF('Get Started  2'!$E28="invested capital plus cost basis",AX238,AX237))*AX11</f>
        <v>0</v>
      </c>
      <c r="AY240" s="90">
        <f ca="1">IF('Get Started  2'!$E28="invested capital",AY239,IF('Get Started  2'!$E28="invested capital plus cost basis",AY238,AY237))*AY11</f>
        <v>0</v>
      </c>
      <c r="AZ240" s="90">
        <f ca="1">IF('Get Started  2'!$E28="invested capital",AZ239,IF('Get Started  2'!$E28="invested capital plus cost basis",AZ238,AZ237))*AZ11</f>
        <v>0</v>
      </c>
      <c r="BA240" s="90">
        <f ca="1">IF('Get Started  2'!$E28="invested capital",BA239,IF('Get Started  2'!$E28="invested capital plus cost basis",BA238,BA237))*BA11</f>
        <v>0</v>
      </c>
      <c r="BB240" s="90">
        <f ca="1">IF('Get Started  2'!$E28="invested capital",BB239,IF('Get Started  2'!$E28="invested capital plus cost basis",BB238,BB237))*BB11</f>
        <v>0</v>
      </c>
      <c r="BC240" s="90">
        <f ca="1">IF('Get Started  2'!$E28="invested capital",BC239,IF('Get Started  2'!$E28="invested capital plus cost basis",BC238,BC237))*BC11</f>
        <v>0</v>
      </c>
      <c r="BD240" s="90">
        <f ca="1">IF('Get Started  2'!$E28="invested capital",BD239,IF('Get Started  2'!$E28="invested capital plus cost basis",BD238,BD237))*BD11</f>
        <v>0</v>
      </c>
      <c r="BE240" s="90">
        <f ca="1">IF('Get Started  2'!$E28="invested capital",BE239,IF('Get Started  2'!$E28="invested capital plus cost basis",BE238,BE237))*BE11</f>
        <v>0</v>
      </c>
      <c r="BF240" s="90">
        <f ca="1">IF('Get Started  2'!$E28="invested capital",BF239,IF('Get Started  2'!$E28="invested capital plus cost basis",BF238,BF237))*BF11</f>
        <v>0</v>
      </c>
      <c r="BG240" s="90">
        <f ca="1">IF('Get Started  2'!$E28="invested capital",BG239,IF('Get Started  2'!$E28="invested capital plus cost basis",BG238,BG237))*BG11</f>
        <v>0</v>
      </c>
      <c r="BH240" s="90">
        <f ca="1">IF('Get Started  2'!$E28="invested capital",BH239,IF('Get Started  2'!$E28="invested capital plus cost basis",BH238,BH237))*BH11</f>
        <v>0</v>
      </c>
      <c r="BI240" s="90">
        <f ca="1">IF('Get Started  2'!$E28="invested capital",BI239,IF('Get Started  2'!$E28="invested capital plus cost basis",BI238,BI237))*BI11</f>
        <v>0</v>
      </c>
      <c r="BJ240" s="90">
        <f ca="1">IF('Get Started  2'!$E28="invested capital",BJ239,IF('Get Started  2'!$E28="invested capital plus cost basis",BJ238,BJ237))*BJ11</f>
        <v>0</v>
      </c>
      <c r="BK240" s="90">
        <f ca="1">IF('Get Started  2'!$E28="invested capital",BK239,IF('Get Started  2'!$E28="invested capital plus cost basis",BK238,BK237))*BK11</f>
        <v>0</v>
      </c>
      <c r="BL240" s="90">
        <f ca="1">IF('Get Started  2'!$E28="invested capital",BL239,IF('Get Started  2'!$E28="invested capital plus cost basis",BL238,BL237))*BL11</f>
        <v>0</v>
      </c>
      <c r="BM240" s="90">
        <f ca="1">IF('Get Started  2'!$E28="invested capital",BM239,IF('Get Started  2'!$E28="invested capital plus cost basis",BM238,BM237))*BM11</f>
        <v>0</v>
      </c>
      <c r="BN240" s="90">
        <f ca="1">IF('Get Started  2'!$E28="invested capital",BN239,IF('Get Started  2'!$E28="invested capital plus cost basis",BN238,BN237))*BN11</f>
        <v>0</v>
      </c>
      <c r="BO240" s="90">
        <f ca="1">IF('Get Started  2'!$E28="invested capital",BO239,IF('Get Started  2'!$E28="invested capital plus cost basis",BO238,BO237))*BO11</f>
        <v>0</v>
      </c>
      <c r="BP240" s="90">
        <f ca="1">IF('Get Started  2'!$E28="invested capital",BP239,IF('Get Started  2'!$E28="invested capital plus cost basis",BP238,BP237))*BP11</f>
        <v>0</v>
      </c>
      <c r="BQ240" s="90">
        <f ca="1">IF('Get Started  2'!$E28="invested capital",BQ239,IF('Get Started  2'!$E28="invested capital plus cost basis",BQ238,BQ237))*BQ11</f>
        <v>0</v>
      </c>
      <c r="BR240" s="90">
        <f ca="1">IF('Get Started  2'!$E28="invested capital",BR239,IF('Get Started  2'!$E28="invested capital plus cost basis",BR238,BR237))*BR11</f>
        <v>0</v>
      </c>
      <c r="BS240" s="90">
        <f ca="1">IF('Get Started  2'!$E28="invested capital",BS239,IF('Get Started  2'!$E28="invested capital plus cost basis",BS238,BS237))*BS11</f>
        <v>0</v>
      </c>
      <c r="BT240" s="90">
        <f ca="1">IF('Get Started  2'!$E28="invested capital",BT239,IF('Get Started  2'!$E28="invested capital plus cost basis",BT238,BT237))*BT11</f>
        <v>0</v>
      </c>
      <c r="BU240" s="90">
        <f ca="1">IF('Get Started  2'!$E28="invested capital",BU239,IF('Get Started  2'!$E28="invested capital plus cost basis",BU238,BU237))*BU11</f>
        <v>0</v>
      </c>
      <c r="BV240" s="90">
        <f ca="1">IF('Get Started  2'!$E28="invested capital",BV239,IF('Get Started  2'!$E28="invested capital plus cost basis",BV238,BV237))*BV11</f>
        <v>0</v>
      </c>
      <c r="BW240" s="90">
        <f ca="1">IF('Get Started  2'!$E28="invested capital",BW239,IF('Get Started  2'!$E28="invested capital plus cost basis",BW238,BW237))*BW11</f>
        <v>0</v>
      </c>
      <c r="BX240" s="90">
        <f ca="1">IF('Get Started  2'!$E28="invested capital",BX239,IF('Get Started  2'!$E28="invested capital plus cost basis",BX238,BX237))*BX11</f>
        <v>0</v>
      </c>
      <c r="BY240" s="90">
        <f ca="1">IF('Get Started  2'!$E28="invested capital",BY239,IF('Get Started  2'!$E28="invested capital plus cost basis",BY238,BY237))*BY11</f>
        <v>0</v>
      </c>
      <c r="BZ240" s="90">
        <f ca="1">IF('Get Started  2'!$E28="invested capital",BZ239,IF('Get Started  2'!$E28="invested capital plus cost basis",BZ238,BZ237))*BZ11</f>
        <v>0</v>
      </c>
      <c r="CA240" s="90">
        <f ca="1">IF('Get Started  2'!$E28="invested capital",CA239,IF('Get Started  2'!$E28="invested capital plus cost basis",CA238,CA237))*CA11</f>
        <v>0</v>
      </c>
      <c r="CB240" s="90">
        <f ca="1">IF('Get Started  2'!$E28="invested capital",CB239,IF('Get Started  2'!$E28="invested capital plus cost basis",CB238,CB237))*CB11</f>
        <v>0</v>
      </c>
      <c r="CC240" s="90">
        <f ca="1">IF('Get Started  2'!$E28="invested capital",CC239,IF('Get Started  2'!$E28="invested capital plus cost basis",CC238,CC237))*CC11</f>
        <v>0</v>
      </c>
      <c r="CD240" s="90">
        <f ca="1">IF('Get Started  2'!$E28="invested capital",CD239,IF('Get Started  2'!$E28="invested capital plus cost basis",CD238,CD237))*CD11</f>
        <v>0</v>
      </c>
      <c r="CE240" s="90">
        <f ca="1">IF('Get Started  2'!$E28="invested capital",CE239,IF('Get Started  2'!$E28="invested capital plus cost basis",CE238,CE237))*CE11</f>
        <v>0</v>
      </c>
      <c r="CF240" s="90">
        <f ca="1">IF('Get Started  2'!$E28="invested capital",CF239,IF('Get Started  2'!$E28="invested capital plus cost basis",CF238,CF237))*CF11</f>
        <v>0</v>
      </c>
      <c r="CG240" s="90">
        <f ca="1">IF('Get Started  2'!$E28="invested capital",CG239,IF('Get Started  2'!$E28="invested capital plus cost basis",CG238,CG237))*CG11</f>
        <v>0</v>
      </c>
      <c r="CH240" s="90">
        <f ca="1">IF('Get Started  2'!$E28="invested capital",CH239,IF('Get Started  2'!$E28="invested capital plus cost basis",CH238,CH237))*CH11</f>
        <v>0</v>
      </c>
    </row>
    <row r="241" spans="1:86" ht="13" outlineLevel="1">
      <c r="A241" s="13"/>
      <c r="B241" s="13" t="s">
        <v>336</v>
      </c>
      <c r="C241" s="13"/>
      <c r="D241" s="13" t="s">
        <v>247</v>
      </c>
      <c r="E241" s="88">
        <f t="shared" si="170"/>
        <v>3.0000000000000016E-2</v>
      </c>
      <c r="F241" s="48"/>
      <c r="G241" s="90">
        <f t="shared" ref="G241:CH241" si="179">F241+G217</f>
        <v>7.5000000000000002E-4</v>
      </c>
      <c r="H241" s="90">
        <f t="shared" si="179"/>
        <v>1.5E-3</v>
      </c>
      <c r="I241" s="90">
        <f t="shared" si="179"/>
        <v>2.2500000000000003E-3</v>
      </c>
      <c r="J241" s="90">
        <f t="shared" si="179"/>
        <v>3.0000000000000001E-3</v>
      </c>
      <c r="K241" s="90">
        <f t="shared" si="179"/>
        <v>3.7499999999999999E-3</v>
      </c>
      <c r="L241" s="90">
        <f t="shared" si="179"/>
        <v>4.4999999999999997E-3</v>
      </c>
      <c r="M241" s="90">
        <f t="shared" si="179"/>
        <v>5.2499999999999995E-3</v>
      </c>
      <c r="N241" s="90">
        <f t="shared" si="179"/>
        <v>5.9999999999999993E-3</v>
      </c>
      <c r="O241" s="90">
        <f t="shared" si="179"/>
        <v>6.7499999999999991E-3</v>
      </c>
      <c r="P241" s="90">
        <f t="shared" si="179"/>
        <v>7.4999999999999989E-3</v>
      </c>
      <c r="Q241" s="90">
        <f t="shared" si="179"/>
        <v>8.2499999999999987E-3</v>
      </c>
      <c r="R241" s="90">
        <f t="shared" si="179"/>
        <v>8.9999999999999993E-3</v>
      </c>
      <c r="S241" s="90">
        <f t="shared" si="179"/>
        <v>9.75E-3</v>
      </c>
      <c r="T241" s="90">
        <f t="shared" si="179"/>
        <v>1.0500000000000001E-2</v>
      </c>
      <c r="U241" s="90">
        <f t="shared" si="179"/>
        <v>1.1250000000000001E-2</v>
      </c>
      <c r="V241" s="90">
        <f t="shared" si="179"/>
        <v>1.2000000000000002E-2</v>
      </c>
      <c r="W241" s="90">
        <f t="shared" si="179"/>
        <v>1.2750000000000003E-2</v>
      </c>
      <c r="X241" s="90">
        <f t="shared" si="179"/>
        <v>1.3500000000000003E-2</v>
      </c>
      <c r="Y241" s="90">
        <f t="shared" si="179"/>
        <v>1.4250000000000004E-2</v>
      </c>
      <c r="Z241" s="90">
        <f t="shared" si="179"/>
        <v>1.5000000000000005E-2</v>
      </c>
      <c r="AA241" s="90">
        <f t="shared" si="179"/>
        <v>1.5750000000000004E-2</v>
      </c>
      <c r="AB241" s="90">
        <f t="shared" si="179"/>
        <v>1.6500000000000004E-2</v>
      </c>
      <c r="AC241" s="90">
        <f t="shared" si="179"/>
        <v>1.7250000000000005E-2</v>
      </c>
      <c r="AD241" s="90">
        <f t="shared" si="179"/>
        <v>1.8000000000000006E-2</v>
      </c>
      <c r="AE241" s="90">
        <f t="shared" si="179"/>
        <v>1.8750000000000006E-2</v>
      </c>
      <c r="AF241" s="90">
        <f t="shared" si="179"/>
        <v>1.9500000000000007E-2</v>
      </c>
      <c r="AG241" s="90">
        <f t="shared" si="179"/>
        <v>2.0250000000000008E-2</v>
      </c>
      <c r="AH241" s="90">
        <f t="shared" si="179"/>
        <v>2.1000000000000008E-2</v>
      </c>
      <c r="AI241" s="90">
        <f t="shared" si="179"/>
        <v>2.1750000000000009E-2</v>
      </c>
      <c r="AJ241" s="90">
        <f t="shared" si="179"/>
        <v>2.250000000000001E-2</v>
      </c>
      <c r="AK241" s="90">
        <f t="shared" si="179"/>
        <v>2.325000000000001E-2</v>
      </c>
      <c r="AL241" s="90">
        <f t="shared" si="179"/>
        <v>2.4000000000000011E-2</v>
      </c>
      <c r="AM241" s="90">
        <f t="shared" si="179"/>
        <v>2.4750000000000012E-2</v>
      </c>
      <c r="AN241" s="90">
        <f t="shared" si="179"/>
        <v>2.5500000000000012E-2</v>
      </c>
      <c r="AO241" s="90">
        <f t="shared" si="179"/>
        <v>2.6250000000000013E-2</v>
      </c>
      <c r="AP241" s="90">
        <f t="shared" si="179"/>
        <v>2.7000000000000014E-2</v>
      </c>
      <c r="AQ241" s="90">
        <f t="shared" si="179"/>
        <v>2.7750000000000014E-2</v>
      </c>
      <c r="AR241" s="90">
        <f t="shared" si="179"/>
        <v>2.8500000000000015E-2</v>
      </c>
      <c r="AS241" s="90">
        <f t="shared" si="179"/>
        <v>2.9250000000000016E-2</v>
      </c>
      <c r="AT241" s="90">
        <f t="shared" si="179"/>
        <v>3.0000000000000016E-2</v>
      </c>
      <c r="AU241" s="90">
        <f t="shared" si="179"/>
        <v>3.0000000000000016E-2</v>
      </c>
      <c r="AV241" s="90">
        <f t="shared" si="179"/>
        <v>3.0000000000000016E-2</v>
      </c>
      <c r="AW241" s="90">
        <f t="shared" si="179"/>
        <v>3.0000000000000016E-2</v>
      </c>
      <c r="AX241" s="90">
        <f t="shared" si="179"/>
        <v>3.0000000000000016E-2</v>
      </c>
      <c r="AY241" s="90">
        <f t="shared" si="179"/>
        <v>3.0000000000000016E-2</v>
      </c>
      <c r="AZ241" s="90">
        <f t="shared" si="179"/>
        <v>3.0000000000000016E-2</v>
      </c>
      <c r="BA241" s="90">
        <f t="shared" si="179"/>
        <v>3.0000000000000016E-2</v>
      </c>
      <c r="BB241" s="90">
        <f t="shared" si="179"/>
        <v>3.0000000000000016E-2</v>
      </c>
      <c r="BC241" s="90">
        <f t="shared" si="179"/>
        <v>3.0000000000000016E-2</v>
      </c>
      <c r="BD241" s="90">
        <f t="shared" si="179"/>
        <v>3.0000000000000016E-2</v>
      </c>
      <c r="BE241" s="90">
        <f t="shared" si="179"/>
        <v>3.0000000000000016E-2</v>
      </c>
      <c r="BF241" s="90">
        <f t="shared" si="179"/>
        <v>3.0000000000000016E-2</v>
      </c>
      <c r="BG241" s="90">
        <f t="shared" si="179"/>
        <v>3.0000000000000016E-2</v>
      </c>
      <c r="BH241" s="90">
        <f t="shared" si="179"/>
        <v>3.0000000000000016E-2</v>
      </c>
      <c r="BI241" s="90">
        <f t="shared" si="179"/>
        <v>3.0000000000000016E-2</v>
      </c>
      <c r="BJ241" s="90">
        <f t="shared" si="179"/>
        <v>3.0000000000000016E-2</v>
      </c>
      <c r="BK241" s="90">
        <f t="shared" si="179"/>
        <v>3.0000000000000016E-2</v>
      </c>
      <c r="BL241" s="90">
        <f t="shared" si="179"/>
        <v>3.0000000000000016E-2</v>
      </c>
      <c r="BM241" s="90">
        <f t="shared" si="179"/>
        <v>3.0000000000000016E-2</v>
      </c>
      <c r="BN241" s="90">
        <f t="shared" si="179"/>
        <v>3.0000000000000016E-2</v>
      </c>
      <c r="BO241" s="90">
        <f t="shared" si="179"/>
        <v>3.0000000000000016E-2</v>
      </c>
      <c r="BP241" s="90">
        <f t="shared" si="179"/>
        <v>3.0000000000000016E-2</v>
      </c>
      <c r="BQ241" s="90">
        <f t="shared" si="179"/>
        <v>3.0000000000000016E-2</v>
      </c>
      <c r="BR241" s="90">
        <f t="shared" si="179"/>
        <v>3.0000000000000016E-2</v>
      </c>
      <c r="BS241" s="90">
        <f t="shared" si="179"/>
        <v>3.0000000000000016E-2</v>
      </c>
      <c r="BT241" s="90">
        <f t="shared" si="179"/>
        <v>3.0000000000000016E-2</v>
      </c>
      <c r="BU241" s="90">
        <f t="shared" si="179"/>
        <v>3.0000000000000016E-2</v>
      </c>
      <c r="BV241" s="90">
        <f t="shared" si="179"/>
        <v>3.0000000000000016E-2</v>
      </c>
      <c r="BW241" s="90">
        <f t="shared" si="179"/>
        <v>3.0000000000000016E-2</v>
      </c>
      <c r="BX241" s="90">
        <f t="shared" si="179"/>
        <v>3.0000000000000016E-2</v>
      </c>
      <c r="BY241" s="90">
        <f t="shared" si="179"/>
        <v>3.0000000000000016E-2</v>
      </c>
      <c r="BZ241" s="90">
        <f t="shared" si="179"/>
        <v>3.0000000000000016E-2</v>
      </c>
      <c r="CA241" s="90">
        <f t="shared" si="179"/>
        <v>3.0000000000000016E-2</v>
      </c>
      <c r="CB241" s="90">
        <f t="shared" si="179"/>
        <v>3.0000000000000016E-2</v>
      </c>
      <c r="CC241" s="90">
        <f t="shared" si="179"/>
        <v>3.0000000000000016E-2</v>
      </c>
      <c r="CD241" s="90">
        <f t="shared" si="179"/>
        <v>3.0000000000000016E-2</v>
      </c>
      <c r="CE241" s="90">
        <f t="shared" si="179"/>
        <v>3.0000000000000016E-2</v>
      </c>
      <c r="CF241" s="90">
        <f t="shared" si="179"/>
        <v>3.0000000000000016E-2</v>
      </c>
      <c r="CG241" s="90">
        <f t="shared" si="179"/>
        <v>3.0000000000000016E-2</v>
      </c>
      <c r="CH241" s="90">
        <f t="shared" si="179"/>
        <v>3.0000000000000016E-2</v>
      </c>
    </row>
    <row r="242" spans="1:86" ht="13" outlineLevel="1">
      <c r="A242" s="13"/>
      <c r="B242" s="13" t="str">
        <f t="shared" ref="B242:B243" si="180">"cumulative "&amp;B218</f>
        <v>cumulative management fees</v>
      </c>
      <c r="C242" s="13"/>
      <c r="D242" s="13" t="s">
        <v>247</v>
      </c>
      <c r="E242" s="88">
        <f t="shared" si="170"/>
        <v>0.19599999999999984</v>
      </c>
      <c r="F242" s="48"/>
      <c r="G242" s="90">
        <f t="shared" ref="G242:CH242" si="181">F242+G218</f>
        <v>4.8999999999999998E-3</v>
      </c>
      <c r="H242" s="90">
        <f t="shared" si="181"/>
        <v>9.7999999999999997E-3</v>
      </c>
      <c r="I242" s="90">
        <f t="shared" si="181"/>
        <v>1.47E-2</v>
      </c>
      <c r="J242" s="90">
        <f t="shared" si="181"/>
        <v>1.9599999999999999E-2</v>
      </c>
      <c r="K242" s="90">
        <f t="shared" si="181"/>
        <v>2.4500000000000001E-2</v>
      </c>
      <c r="L242" s="90">
        <f t="shared" si="181"/>
        <v>2.9400000000000003E-2</v>
      </c>
      <c r="M242" s="90">
        <f t="shared" si="181"/>
        <v>3.4300000000000004E-2</v>
      </c>
      <c r="N242" s="90">
        <f t="shared" si="181"/>
        <v>3.9200000000000006E-2</v>
      </c>
      <c r="O242" s="90">
        <f t="shared" si="181"/>
        <v>4.4100000000000007E-2</v>
      </c>
      <c r="P242" s="90">
        <f t="shared" si="181"/>
        <v>4.9000000000000009E-2</v>
      </c>
      <c r="Q242" s="90">
        <f t="shared" si="181"/>
        <v>5.390000000000001E-2</v>
      </c>
      <c r="R242" s="90">
        <f t="shared" si="181"/>
        <v>5.8800000000000012E-2</v>
      </c>
      <c r="S242" s="90">
        <f t="shared" si="181"/>
        <v>6.3700000000000007E-2</v>
      </c>
      <c r="T242" s="90">
        <f t="shared" si="181"/>
        <v>6.8600000000000008E-2</v>
      </c>
      <c r="U242" s="90">
        <f t="shared" si="181"/>
        <v>7.350000000000001E-2</v>
      </c>
      <c r="V242" s="90">
        <f t="shared" si="181"/>
        <v>7.8400000000000011E-2</v>
      </c>
      <c r="W242" s="90">
        <f t="shared" si="181"/>
        <v>8.3300000000000013E-2</v>
      </c>
      <c r="X242" s="90">
        <f t="shared" si="181"/>
        <v>8.8200000000000014E-2</v>
      </c>
      <c r="Y242" s="90">
        <f t="shared" si="181"/>
        <v>9.3100000000000016E-2</v>
      </c>
      <c r="Z242" s="90">
        <f t="shared" si="181"/>
        <v>9.8000000000000018E-2</v>
      </c>
      <c r="AA242" s="90">
        <f t="shared" si="181"/>
        <v>0.10290000000000002</v>
      </c>
      <c r="AB242" s="90">
        <f t="shared" si="181"/>
        <v>0.10780000000000002</v>
      </c>
      <c r="AC242" s="90">
        <f t="shared" si="181"/>
        <v>0.11270000000000002</v>
      </c>
      <c r="AD242" s="90">
        <f t="shared" si="181"/>
        <v>0.11760000000000002</v>
      </c>
      <c r="AE242" s="90">
        <f t="shared" si="181"/>
        <v>0.12250000000000003</v>
      </c>
      <c r="AF242" s="90">
        <f t="shared" si="181"/>
        <v>0.12740000000000001</v>
      </c>
      <c r="AG242" s="90">
        <f t="shared" si="181"/>
        <v>0.1323</v>
      </c>
      <c r="AH242" s="90">
        <f t="shared" si="181"/>
        <v>0.13719999999999999</v>
      </c>
      <c r="AI242" s="90">
        <f t="shared" si="181"/>
        <v>0.14209999999999998</v>
      </c>
      <c r="AJ242" s="90">
        <f t="shared" si="181"/>
        <v>0.14699999999999996</v>
      </c>
      <c r="AK242" s="90">
        <f t="shared" si="181"/>
        <v>0.15189999999999995</v>
      </c>
      <c r="AL242" s="90">
        <f t="shared" si="181"/>
        <v>0.15679999999999994</v>
      </c>
      <c r="AM242" s="90">
        <f t="shared" si="181"/>
        <v>0.16169999999999993</v>
      </c>
      <c r="AN242" s="90">
        <f t="shared" si="181"/>
        <v>0.16659999999999991</v>
      </c>
      <c r="AO242" s="90">
        <f t="shared" si="181"/>
        <v>0.1714999999999999</v>
      </c>
      <c r="AP242" s="90">
        <f t="shared" si="181"/>
        <v>0.17639999999999989</v>
      </c>
      <c r="AQ242" s="90">
        <f t="shared" si="181"/>
        <v>0.18129999999999988</v>
      </c>
      <c r="AR242" s="90">
        <f t="shared" si="181"/>
        <v>0.18619999999999987</v>
      </c>
      <c r="AS242" s="90">
        <f t="shared" si="181"/>
        <v>0.19109999999999985</v>
      </c>
      <c r="AT242" s="90">
        <f t="shared" si="181"/>
        <v>0.19599999999999984</v>
      </c>
      <c r="AU242" s="90">
        <f t="shared" si="181"/>
        <v>0.19599999999999984</v>
      </c>
      <c r="AV242" s="90">
        <f t="shared" si="181"/>
        <v>0.19599999999999984</v>
      </c>
      <c r="AW242" s="90">
        <f t="shared" si="181"/>
        <v>0.19599999999999984</v>
      </c>
      <c r="AX242" s="90">
        <f t="shared" si="181"/>
        <v>0.19599999999999984</v>
      </c>
      <c r="AY242" s="90">
        <f t="shared" si="181"/>
        <v>0.19599999999999984</v>
      </c>
      <c r="AZ242" s="90">
        <f t="shared" si="181"/>
        <v>0.19599999999999984</v>
      </c>
      <c r="BA242" s="90">
        <f t="shared" si="181"/>
        <v>0.19599999999999984</v>
      </c>
      <c r="BB242" s="90">
        <f t="shared" si="181"/>
        <v>0.19599999999999984</v>
      </c>
      <c r="BC242" s="90">
        <f t="shared" si="181"/>
        <v>0.19599999999999984</v>
      </c>
      <c r="BD242" s="90">
        <f t="shared" si="181"/>
        <v>0.19599999999999984</v>
      </c>
      <c r="BE242" s="90">
        <f t="shared" si="181"/>
        <v>0.19599999999999984</v>
      </c>
      <c r="BF242" s="90">
        <f t="shared" si="181"/>
        <v>0.19599999999999984</v>
      </c>
      <c r="BG242" s="90">
        <f t="shared" si="181"/>
        <v>0.19599999999999984</v>
      </c>
      <c r="BH242" s="90">
        <f t="shared" si="181"/>
        <v>0.19599999999999984</v>
      </c>
      <c r="BI242" s="90">
        <f t="shared" si="181"/>
        <v>0.19599999999999984</v>
      </c>
      <c r="BJ242" s="90">
        <f t="shared" si="181"/>
        <v>0.19599999999999984</v>
      </c>
      <c r="BK242" s="90">
        <f t="shared" si="181"/>
        <v>0.19599999999999984</v>
      </c>
      <c r="BL242" s="90">
        <f t="shared" si="181"/>
        <v>0.19599999999999984</v>
      </c>
      <c r="BM242" s="90">
        <f t="shared" si="181"/>
        <v>0.19599999999999984</v>
      </c>
      <c r="BN242" s="90">
        <f t="shared" si="181"/>
        <v>0.19599999999999984</v>
      </c>
      <c r="BO242" s="90">
        <f t="shared" si="181"/>
        <v>0.19599999999999984</v>
      </c>
      <c r="BP242" s="90">
        <f t="shared" si="181"/>
        <v>0.19599999999999984</v>
      </c>
      <c r="BQ242" s="90">
        <f t="shared" si="181"/>
        <v>0.19599999999999984</v>
      </c>
      <c r="BR242" s="90">
        <f t="shared" si="181"/>
        <v>0.19599999999999984</v>
      </c>
      <c r="BS242" s="90">
        <f t="shared" si="181"/>
        <v>0.19599999999999984</v>
      </c>
      <c r="BT242" s="90">
        <f t="shared" si="181"/>
        <v>0.19599999999999984</v>
      </c>
      <c r="BU242" s="90">
        <f t="shared" si="181"/>
        <v>0.19599999999999984</v>
      </c>
      <c r="BV242" s="90">
        <f t="shared" si="181"/>
        <v>0.19599999999999984</v>
      </c>
      <c r="BW242" s="90">
        <f t="shared" si="181"/>
        <v>0.19599999999999984</v>
      </c>
      <c r="BX242" s="90">
        <f t="shared" si="181"/>
        <v>0.19599999999999984</v>
      </c>
      <c r="BY242" s="90">
        <f t="shared" si="181"/>
        <v>0.19599999999999984</v>
      </c>
      <c r="BZ242" s="90">
        <f t="shared" si="181"/>
        <v>0.19599999999999984</v>
      </c>
      <c r="CA242" s="90">
        <f t="shared" si="181"/>
        <v>0.19599999999999984</v>
      </c>
      <c r="CB242" s="90">
        <f t="shared" si="181"/>
        <v>0.19599999999999984</v>
      </c>
      <c r="CC242" s="90">
        <f t="shared" si="181"/>
        <v>0.19599999999999984</v>
      </c>
      <c r="CD242" s="90">
        <f t="shared" si="181"/>
        <v>0.19599999999999984</v>
      </c>
      <c r="CE242" s="90">
        <f t="shared" si="181"/>
        <v>0.19599999999999984</v>
      </c>
      <c r="CF242" s="90">
        <f t="shared" si="181"/>
        <v>0.19599999999999984</v>
      </c>
      <c r="CG242" s="90">
        <f t="shared" si="181"/>
        <v>0.19599999999999984</v>
      </c>
      <c r="CH242" s="90">
        <f t="shared" si="181"/>
        <v>0.19599999999999984</v>
      </c>
    </row>
    <row r="243" spans="1:86" ht="13" outlineLevel="1">
      <c r="A243" s="13"/>
      <c r="B243" s="13" t="str">
        <f t="shared" si="180"/>
        <v>cumulative proceeds recycled</v>
      </c>
      <c r="C243" s="13"/>
      <c r="D243" s="13" t="s">
        <v>247</v>
      </c>
      <c r="E243" s="88">
        <f t="shared" ca="1" si="170"/>
        <v>4.1708333333333333E-2</v>
      </c>
      <c r="F243" s="48"/>
      <c r="G243" s="90">
        <f t="shared" ref="G243:CH243" ca="1" si="182">F243+G219</f>
        <v>0</v>
      </c>
      <c r="H243" s="90">
        <f t="shared" ca="1" si="182"/>
        <v>0</v>
      </c>
      <c r="I243" s="90">
        <f t="shared" ca="1" si="182"/>
        <v>0</v>
      </c>
      <c r="J243" s="90">
        <f t="shared" ca="1" si="182"/>
        <v>0</v>
      </c>
      <c r="K243" s="90">
        <f t="shared" ca="1" si="182"/>
        <v>0</v>
      </c>
      <c r="L243" s="90">
        <f t="shared" ca="1" si="182"/>
        <v>0</v>
      </c>
      <c r="M243" s="90">
        <f t="shared" ca="1" si="182"/>
        <v>0</v>
      </c>
      <c r="N243" s="90">
        <f t="shared" ca="1" si="182"/>
        <v>0</v>
      </c>
      <c r="O243" s="90">
        <f t="shared" ca="1" si="182"/>
        <v>0</v>
      </c>
      <c r="P243" s="90">
        <f t="shared" ca="1" si="182"/>
        <v>0</v>
      </c>
      <c r="Q243" s="90">
        <f t="shared" ca="1" si="182"/>
        <v>0</v>
      </c>
      <c r="R243" s="90">
        <f t="shared" ca="1" si="182"/>
        <v>0</v>
      </c>
      <c r="S243" s="90">
        <f t="shared" ca="1" si="182"/>
        <v>1.0427083333333333E-2</v>
      </c>
      <c r="T243" s="90">
        <f t="shared" ca="1" si="182"/>
        <v>2.0854166666666667E-2</v>
      </c>
      <c r="U243" s="90">
        <f t="shared" ca="1" si="182"/>
        <v>3.1281249999999997E-2</v>
      </c>
      <c r="V243" s="90">
        <f t="shared" ca="1" si="182"/>
        <v>4.1708333333333333E-2</v>
      </c>
      <c r="W243" s="90">
        <f t="shared" ca="1" si="182"/>
        <v>4.1708333333333333E-2</v>
      </c>
      <c r="X243" s="90">
        <f t="shared" ca="1" si="182"/>
        <v>4.1708333333333333E-2</v>
      </c>
      <c r="Y243" s="90">
        <f t="shared" ca="1" si="182"/>
        <v>4.1708333333333333E-2</v>
      </c>
      <c r="Z243" s="90">
        <f t="shared" ca="1" si="182"/>
        <v>4.1708333333333333E-2</v>
      </c>
      <c r="AA243" s="90">
        <f t="shared" ca="1" si="182"/>
        <v>4.1708333333333333E-2</v>
      </c>
      <c r="AB243" s="90">
        <f t="shared" ca="1" si="182"/>
        <v>4.1708333333333333E-2</v>
      </c>
      <c r="AC243" s="90">
        <f t="shared" ca="1" si="182"/>
        <v>4.1708333333333333E-2</v>
      </c>
      <c r="AD243" s="90">
        <f t="shared" ca="1" si="182"/>
        <v>4.1708333333333333E-2</v>
      </c>
      <c r="AE243" s="90">
        <f t="shared" ca="1" si="182"/>
        <v>4.1708333333333333E-2</v>
      </c>
      <c r="AF243" s="90">
        <f t="shared" ca="1" si="182"/>
        <v>4.1708333333333333E-2</v>
      </c>
      <c r="AG243" s="90">
        <f t="shared" ca="1" si="182"/>
        <v>4.1708333333333333E-2</v>
      </c>
      <c r="AH243" s="90">
        <f t="shared" ca="1" si="182"/>
        <v>4.1708333333333333E-2</v>
      </c>
      <c r="AI243" s="90">
        <f t="shared" ca="1" si="182"/>
        <v>4.1708333333333333E-2</v>
      </c>
      <c r="AJ243" s="90">
        <f t="shared" ca="1" si="182"/>
        <v>4.1708333333333333E-2</v>
      </c>
      <c r="AK243" s="90">
        <f t="shared" ca="1" si="182"/>
        <v>4.1708333333333333E-2</v>
      </c>
      <c r="AL243" s="90">
        <f t="shared" ca="1" si="182"/>
        <v>4.1708333333333333E-2</v>
      </c>
      <c r="AM243" s="90">
        <f t="shared" ca="1" si="182"/>
        <v>4.1708333333333333E-2</v>
      </c>
      <c r="AN243" s="90">
        <f t="shared" ca="1" si="182"/>
        <v>4.1708333333333333E-2</v>
      </c>
      <c r="AO243" s="90">
        <f t="shared" ca="1" si="182"/>
        <v>4.1708333333333333E-2</v>
      </c>
      <c r="AP243" s="90">
        <f t="shared" ca="1" si="182"/>
        <v>4.1708333333333333E-2</v>
      </c>
      <c r="AQ243" s="90">
        <f t="shared" ca="1" si="182"/>
        <v>4.1708333333333333E-2</v>
      </c>
      <c r="AR243" s="90">
        <f t="shared" ca="1" si="182"/>
        <v>4.1708333333333333E-2</v>
      </c>
      <c r="AS243" s="90">
        <f t="shared" ca="1" si="182"/>
        <v>4.1708333333333333E-2</v>
      </c>
      <c r="AT243" s="90">
        <f t="shared" ca="1" si="182"/>
        <v>4.1708333333333333E-2</v>
      </c>
      <c r="AU243" s="90">
        <f t="shared" ca="1" si="182"/>
        <v>4.1708333333333333E-2</v>
      </c>
      <c r="AV243" s="90">
        <f t="shared" ca="1" si="182"/>
        <v>4.1708333333333333E-2</v>
      </c>
      <c r="AW243" s="90">
        <f t="shared" ca="1" si="182"/>
        <v>4.1708333333333333E-2</v>
      </c>
      <c r="AX243" s="90">
        <f t="shared" ca="1" si="182"/>
        <v>4.1708333333333333E-2</v>
      </c>
      <c r="AY243" s="90">
        <f t="shared" ca="1" si="182"/>
        <v>4.1708333333333333E-2</v>
      </c>
      <c r="AZ243" s="90">
        <f t="shared" ca="1" si="182"/>
        <v>4.1708333333333333E-2</v>
      </c>
      <c r="BA243" s="90">
        <f t="shared" ca="1" si="182"/>
        <v>4.1708333333333333E-2</v>
      </c>
      <c r="BB243" s="90">
        <f t="shared" ca="1" si="182"/>
        <v>4.1708333333333333E-2</v>
      </c>
      <c r="BC243" s="90">
        <f t="shared" ca="1" si="182"/>
        <v>4.1708333333333333E-2</v>
      </c>
      <c r="BD243" s="90">
        <f t="shared" ca="1" si="182"/>
        <v>4.1708333333333333E-2</v>
      </c>
      <c r="BE243" s="90">
        <f t="shared" ca="1" si="182"/>
        <v>4.1708333333333333E-2</v>
      </c>
      <c r="BF243" s="90">
        <f t="shared" ca="1" si="182"/>
        <v>4.1708333333333333E-2</v>
      </c>
      <c r="BG243" s="90">
        <f t="shared" ca="1" si="182"/>
        <v>4.1708333333333333E-2</v>
      </c>
      <c r="BH243" s="90">
        <f t="shared" ca="1" si="182"/>
        <v>4.1708333333333333E-2</v>
      </c>
      <c r="BI243" s="90">
        <f t="shared" ca="1" si="182"/>
        <v>4.1708333333333333E-2</v>
      </c>
      <c r="BJ243" s="90">
        <f t="shared" ca="1" si="182"/>
        <v>4.1708333333333333E-2</v>
      </c>
      <c r="BK243" s="90">
        <f t="shared" ca="1" si="182"/>
        <v>4.1708333333333333E-2</v>
      </c>
      <c r="BL243" s="90">
        <f t="shared" ca="1" si="182"/>
        <v>4.1708333333333333E-2</v>
      </c>
      <c r="BM243" s="90">
        <f t="shared" ca="1" si="182"/>
        <v>4.1708333333333333E-2</v>
      </c>
      <c r="BN243" s="90">
        <f t="shared" ca="1" si="182"/>
        <v>4.1708333333333333E-2</v>
      </c>
      <c r="BO243" s="90">
        <f t="shared" ca="1" si="182"/>
        <v>4.1708333333333333E-2</v>
      </c>
      <c r="BP243" s="90">
        <f t="shared" ca="1" si="182"/>
        <v>4.1708333333333333E-2</v>
      </c>
      <c r="BQ243" s="90">
        <f t="shared" ca="1" si="182"/>
        <v>4.1708333333333333E-2</v>
      </c>
      <c r="BR243" s="90">
        <f t="shared" ca="1" si="182"/>
        <v>4.1708333333333333E-2</v>
      </c>
      <c r="BS243" s="90">
        <f t="shared" ca="1" si="182"/>
        <v>4.1708333333333333E-2</v>
      </c>
      <c r="BT243" s="90">
        <f t="shared" ca="1" si="182"/>
        <v>4.1708333333333333E-2</v>
      </c>
      <c r="BU243" s="90">
        <f t="shared" ca="1" si="182"/>
        <v>4.1708333333333333E-2</v>
      </c>
      <c r="BV243" s="90">
        <f t="shared" ca="1" si="182"/>
        <v>4.1708333333333333E-2</v>
      </c>
      <c r="BW243" s="90">
        <f t="shared" ca="1" si="182"/>
        <v>4.1708333333333333E-2</v>
      </c>
      <c r="BX243" s="90">
        <f t="shared" ca="1" si="182"/>
        <v>4.1708333333333333E-2</v>
      </c>
      <c r="BY243" s="90">
        <f t="shared" ca="1" si="182"/>
        <v>4.1708333333333333E-2</v>
      </c>
      <c r="BZ243" s="90">
        <f t="shared" ca="1" si="182"/>
        <v>4.1708333333333333E-2</v>
      </c>
      <c r="CA243" s="90">
        <f t="shared" ca="1" si="182"/>
        <v>4.1708333333333333E-2</v>
      </c>
      <c r="CB243" s="90">
        <f t="shared" ca="1" si="182"/>
        <v>4.1708333333333333E-2</v>
      </c>
      <c r="CC243" s="90">
        <f t="shared" ca="1" si="182"/>
        <v>4.1708333333333333E-2</v>
      </c>
      <c r="CD243" s="90">
        <f t="shared" ca="1" si="182"/>
        <v>4.1708333333333333E-2</v>
      </c>
      <c r="CE243" s="90">
        <f t="shared" ca="1" si="182"/>
        <v>4.1708333333333333E-2</v>
      </c>
      <c r="CF243" s="90">
        <f t="shared" ca="1" si="182"/>
        <v>4.1708333333333333E-2</v>
      </c>
      <c r="CG243" s="90">
        <f t="shared" ca="1" si="182"/>
        <v>4.1708333333333333E-2</v>
      </c>
      <c r="CH243" s="90">
        <f t="shared" ca="1" si="182"/>
        <v>4.1708333333333333E-2</v>
      </c>
    </row>
    <row r="244" spans="1:86" ht="13" outlineLevel="1">
      <c r="A244" s="13"/>
      <c r="B244" s="13"/>
      <c r="C244" s="13"/>
      <c r="D244" s="13"/>
      <c r="E244" s="91"/>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row>
    <row r="245" spans="1:86" ht="13" outlineLevel="1">
      <c r="A245" s="13"/>
      <c r="B245" s="44" t="s">
        <v>337</v>
      </c>
      <c r="C245" s="13"/>
      <c r="D245" s="13"/>
      <c r="E245" s="48"/>
      <c r="F245" s="48"/>
      <c r="G245" s="89"/>
      <c r="H245" s="89"/>
      <c r="I245" s="89"/>
      <c r="J245" s="89"/>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row>
    <row r="246" spans="1:86" ht="13" outlineLevel="1">
      <c r="A246" s="13"/>
      <c r="B246" s="13" t="s">
        <v>328</v>
      </c>
      <c r="C246" s="13"/>
      <c r="D246" s="13" t="s">
        <v>238</v>
      </c>
      <c r="E246" s="88">
        <f t="shared" ref="E246:E267" si="183">IF(D246="sum",SUM(G246:CH246),IF(D246="final",CH246,IF(D246="initial",G246,IF(D246="average",AVERAGE(G246:CH246),0))))</f>
        <v>0.61666666666666692</v>
      </c>
      <c r="F246" s="48"/>
      <c r="G246" s="52">
        <f>G8*G8/$E8*'Get Started  2'!$E82</f>
        <v>3.8541666666666669E-2</v>
      </c>
      <c r="H246" s="52">
        <f>H8*H8/$E8*'Get Started  2'!$E82</f>
        <v>3.8541666666666669E-2</v>
      </c>
      <c r="I246" s="52">
        <f>I8*I8/$E8*'Get Started  2'!$E82</f>
        <v>3.8541666666666669E-2</v>
      </c>
      <c r="J246" s="52">
        <f>J8*J8/$E8*'Get Started  2'!$E82</f>
        <v>3.8541666666666669E-2</v>
      </c>
      <c r="K246" s="52">
        <f>K8*K8/$E8*'Get Started  2'!$E82</f>
        <v>3.8541666666666669E-2</v>
      </c>
      <c r="L246" s="52">
        <f>L8*L8/$E8*'Get Started  2'!$E82</f>
        <v>3.8541666666666669E-2</v>
      </c>
      <c r="M246" s="52">
        <f>M8*M8/$E8*'Get Started  2'!$E82</f>
        <v>3.8541666666666669E-2</v>
      </c>
      <c r="N246" s="52">
        <f>N8*N8/$E8*'Get Started  2'!$E82</f>
        <v>3.8541666666666669E-2</v>
      </c>
      <c r="O246" s="52">
        <f>O8*O8/$E8*'Get Started  2'!$E82</f>
        <v>3.8541666666666669E-2</v>
      </c>
      <c r="P246" s="52">
        <f>P8*P8/$E8*'Get Started  2'!$E82</f>
        <v>3.8541666666666669E-2</v>
      </c>
      <c r="Q246" s="52">
        <f>Q8*Q8/$E8*'Get Started  2'!$E82</f>
        <v>3.8541666666666669E-2</v>
      </c>
      <c r="R246" s="52">
        <f>R8*R8/$E8*'Get Started  2'!$E82</f>
        <v>3.8541666666666669E-2</v>
      </c>
      <c r="S246" s="52">
        <f>S8*S8/$E8*'Get Started  2'!$E82</f>
        <v>3.8541666666666669E-2</v>
      </c>
      <c r="T246" s="52">
        <f>T8*T8/$E8*'Get Started  2'!$E82</f>
        <v>3.8541666666666669E-2</v>
      </c>
      <c r="U246" s="52">
        <f>U8*U8/$E8*'Get Started  2'!$E82</f>
        <v>3.8541666666666669E-2</v>
      </c>
      <c r="V246" s="52">
        <f>V8*V8/$E8*'Get Started  2'!$E82</f>
        <v>3.8541666666666669E-2</v>
      </c>
      <c r="W246" s="52">
        <f>W8*W8/$E8*'Get Started  2'!$E82</f>
        <v>0</v>
      </c>
      <c r="X246" s="52">
        <f>X8*X8/$E8*'Get Started  2'!$E82</f>
        <v>0</v>
      </c>
      <c r="Y246" s="52">
        <f>Y8*Y8/$E8*'Get Started  2'!$E82</f>
        <v>0</v>
      </c>
      <c r="Z246" s="52">
        <f>Z8*Z8/$E8*'Get Started  2'!$E82</f>
        <v>0</v>
      </c>
      <c r="AA246" s="52">
        <f>AA8*AA8/$E8*'Get Started  2'!$E82</f>
        <v>0</v>
      </c>
      <c r="AB246" s="52">
        <f>AB8*AB8/$E8*'Get Started  2'!$E82</f>
        <v>0</v>
      </c>
      <c r="AC246" s="52">
        <f>AC8*AC8/$E8*'Get Started  2'!$E82</f>
        <v>0</v>
      </c>
      <c r="AD246" s="52">
        <f>AD8*AD8/$E8*'Get Started  2'!$E82</f>
        <v>0</v>
      </c>
      <c r="AE246" s="52">
        <f>AE8*AE8/$E8*'Get Started  2'!$E82</f>
        <v>0</v>
      </c>
      <c r="AF246" s="52">
        <f>AF8*AF8/$E8*'Get Started  2'!$E82</f>
        <v>0</v>
      </c>
      <c r="AG246" s="52">
        <f>AG8*AG8/$E8*'Get Started  2'!$E82</f>
        <v>0</v>
      </c>
      <c r="AH246" s="52">
        <f>AH8*AH8/$E8*'Get Started  2'!$E82</f>
        <v>0</v>
      </c>
      <c r="AI246" s="52">
        <f>AI8*AI8/$E8*'Get Started  2'!$E82</f>
        <v>0</v>
      </c>
      <c r="AJ246" s="52">
        <f>AJ8*AJ8/$E8*'Get Started  2'!$E82</f>
        <v>0</v>
      </c>
      <c r="AK246" s="52">
        <f>AK8*AK8/$E8*'Get Started  2'!$E82</f>
        <v>0</v>
      </c>
      <c r="AL246" s="52">
        <f>AL8*AL8/$E8*'Get Started  2'!$E82</f>
        <v>0</v>
      </c>
      <c r="AM246" s="52">
        <f>AM8*AM8/$E8*'Get Started  2'!$E82</f>
        <v>0</v>
      </c>
      <c r="AN246" s="52">
        <f>AN8*AN8/$E8*'Get Started  2'!$E82</f>
        <v>0</v>
      </c>
      <c r="AO246" s="52">
        <f>AO8*AO8/$E8*'Get Started  2'!$E82</f>
        <v>0</v>
      </c>
      <c r="AP246" s="52">
        <f>AP8*AP8/$E8*'Get Started  2'!$E82</f>
        <v>0</v>
      </c>
      <c r="AQ246" s="52">
        <f>AQ8*AQ8/$E8*'Get Started  2'!$E82</f>
        <v>0</v>
      </c>
      <c r="AR246" s="52">
        <f>AR8*AR8/$E8*'Get Started  2'!$E82</f>
        <v>0</v>
      </c>
      <c r="AS246" s="52">
        <f>AS8*AS8/$E8*'Get Started  2'!$E82</f>
        <v>0</v>
      </c>
      <c r="AT246" s="52">
        <f>AT8*AT8/$E8*'Get Started  2'!$E82</f>
        <v>0</v>
      </c>
      <c r="AU246" s="52">
        <f>AU8*AU8/$E8*'Get Started  2'!$E82</f>
        <v>0</v>
      </c>
      <c r="AV246" s="52">
        <f>AV8*AV8/$E8*'Get Started  2'!$E82</f>
        <v>0</v>
      </c>
      <c r="AW246" s="52">
        <f>AW8*AW8/$E8*'Get Started  2'!$E82</f>
        <v>0</v>
      </c>
      <c r="AX246" s="52">
        <f>AX8*AX8/$E8*'Get Started  2'!$E82</f>
        <v>0</v>
      </c>
      <c r="AY246" s="52">
        <f>AY8*AY8/$E8*'Get Started  2'!$E82</f>
        <v>0</v>
      </c>
      <c r="AZ246" s="52">
        <f>AZ8*AZ8/$E8*'Get Started  2'!$E82</f>
        <v>0</v>
      </c>
      <c r="BA246" s="52">
        <f>BA8*BA8/$E8*'Get Started  2'!$E82</f>
        <v>0</v>
      </c>
      <c r="BB246" s="52">
        <f>BB8*BB8/$E8*'Get Started  2'!$E82</f>
        <v>0</v>
      </c>
      <c r="BC246" s="52">
        <f>BC8*BC8/$E8*'Get Started  2'!$E82</f>
        <v>0</v>
      </c>
      <c r="BD246" s="52">
        <f>BD8*BD8/$E8*'Get Started  2'!$E82</f>
        <v>0</v>
      </c>
      <c r="BE246" s="52">
        <f>BE8*BE8/$E8*'Get Started  2'!$E82</f>
        <v>0</v>
      </c>
      <c r="BF246" s="52">
        <f>BF8*BF8/$E8*'Get Started  2'!$E82</f>
        <v>0</v>
      </c>
      <c r="BG246" s="52">
        <f>BG8*BG8/$E8*'Get Started  2'!$E82</f>
        <v>0</v>
      </c>
      <c r="BH246" s="52">
        <f>BH8*BH8/$E8*'Get Started  2'!$E82</f>
        <v>0</v>
      </c>
      <c r="BI246" s="52">
        <f>BI8*BI8/$E8*'Get Started  2'!$E82</f>
        <v>0</v>
      </c>
      <c r="BJ246" s="52">
        <f>BJ8*BJ8/$E8*'Get Started  2'!$E82</f>
        <v>0</v>
      </c>
      <c r="BK246" s="52">
        <f>BK8*BK8/$E8*'Get Started  2'!$E82</f>
        <v>0</v>
      </c>
      <c r="BL246" s="52">
        <f>BL8*BL8/$E8*'Get Started  2'!$E82</f>
        <v>0</v>
      </c>
      <c r="BM246" s="52">
        <f>BM8*BM8/$E8*'Get Started  2'!$E82</f>
        <v>0</v>
      </c>
      <c r="BN246" s="52">
        <f>BN8*BN8/$E8*'Get Started  2'!$E82</f>
        <v>0</v>
      </c>
      <c r="BO246" s="52">
        <f>BO8*BO8/$E8*'Get Started  2'!$E82</f>
        <v>0</v>
      </c>
      <c r="BP246" s="52">
        <f>BP8*BP8/$E8*'Get Started  2'!$E82</f>
        <v>0</v>
      </c>
      <c r="BQ246" s="52">
        <f>BQ8*BQ8/$E8*'Get Started  2'!$E82</f>
        <v>0</v>
      </c>
      <c r="BR246" s="52">
        <f>BR8*BR8/$E8*'Get Started  2'!$E82</f>
        <v>0</v>
      </c>
      <c r="BS246" s="52">
        <f>BS8*BS8/$E8*'Get Started  2'!$E82</f>
        <v>0</v>
      </c>
      <c r="BT246" s="52">
        <f>BT8*BT8/$E8*'Get Started  2'!$E82</f>
        <v>0</v>
      </c>
      <c r="BU246" s="52">
        <f>BU8*BU8/$E8*'Get Started  2'!$E82</f>
        <v>0</v>
      </c>
      <c r="BV246" s="52">
        <f>BV8*BV8/$E8*'Get Started  2'!$E82</f>
        <v>0</v>
      </c>
      <c r="BW246" s="52">
        <f>BW8*BW8/$E8*'Get Started  2'!$E82</f>
        <v>0</v>
      </c>
      <c r="BX246" s="52">
        <f>BX8*BX8/$E8*'Get Started  2'!$E82</f>
        <v>0</v>
      </c>
      <c r="BY246" s="52">
        <f>BY8*BY8/$E8*'Get Started  2'!$E82</f>
        <v>0</v>
      </c>
      <c r="BZ246" s="52">
        <f>BZ8*BZ8/$E8*'Get Started  2'!$E82</f>
        <v>0</v>
      </c>
      <c r="CA246" s="52">
        <f>CA8*CA8/$E8*'Get Started  2'!$E82</f>
        <v>0</v>
      </c>
      <c r="CB246" s="52">
        <f>CB8*CB8/$E8*'Get Started  2'!$E82</f>
        <v>0</v>
      </c>
      <c r="CC246" s="52">
        <f>CC8*CC8/$E8*'Get Started  2'!$E82</f>
        <v>0</v>
      </c>
      <c r="CD246" s="52">
        <f>CD8*CD8/$E8*'Get Started  2'!$E82</f>
        <v>0</v>
      </c>
      <c r="CE246" s="52">
        <f>CE8*CE8/$E8*'Get Started  2'!$E82</f>
        <v>0</v>
      </c>
      <c r="CF246" s="52">
        <f>CF8*CF8/$E8*'Get Started  2'!$E82</f>
        <v>0</v>
      </c>
      <c r="CG246" s="52">
        <f>CG8*CG8/$E8*'Get Started  2'!$E82</f>
        <v>0</v>
      </c>
      <c r="CH246" s="52">
        <f>CH8*CH8/$E8*'Get Started  2'!$E82</f>
        <v>0</v>
      </c>
    </row>
    <row r="247" spans="1:86" ht="13" outlineLevel="1">
      <c r="A247" s="13"/>
      <c r="B247" s="13" t="s">
        <v>328</v>
      </c>
      <c r="C247" s="13"/>
      <c r="D247" s="13" t="s">
        <v>238</v>
      </c>
      <c r="E247" s="88">
        <f t="shared" si="183"/>
        <v>0.21666666666666667</v>
      </c>
      <c r="F247" s="48"/>
      <c r="G247" s="52">
        <f>G8*G8/$E8*'Get Started  2'!$F82</f>
        <v>1.3541666666666665E-2</v>
      </c>
      <c r="H247" s="52">
        <f>H8*H8/$E8*'Get Started  2'!$F82</f>
        <v>1.3541666666666665E-2</v>
      </c>
      <c r="I247" s="52">
        <f>I8*I8/$E8*'Get Started  2'!$F82</f>
        <v>1.3541666666666665E-2</v>
      </c>
      <c r="J247" s="52">
        <f>J8*J8/$E8*'Get Started  2'!$F82</f>
        <v>1.3541666666666665E-2</v>
      </c>
      <c r="K247" s="52">
        <f>K8*K8/$E8*'Get Started  2'!$F82</f>
        <v>1.3541666666666665E-2</v>
      </c>
      <c r="L247" s="52">
        <f>L8*L8/$E8*'Get Started  2'!$F82</f>
        <v>1.3541666666666665E-2</v>
      </c>
      <c r="M247" s="52">
        <f>M8*M8/$E8*'Get Started  2'!$F82</f>
        <v>1.3541666666666665E-2</v>
      </c>
      <c r="N247" s="52">
        <f>N8*N8/$E8*'Get Started  2'!$F82</f>
        <v>1.3541666666666665E-2</v>
      </c>
      <c r="O247" s="52">
        <f>O8*O8/$E8*'Get Started  2'!$F82</f>
        <v>1.3541666666666665E-2</v>
      </c>
      <c r="P247" s="52">
        <f>P8*P8/$E8*'Get Started  2'!$F82</f>
        <v>1.3541666666666665E-2</v>
      </c>
      <c r="Q247" s="52">
        <f>Q8*Q8/$E8*'Get Started  2'!$F82</f>
        <v>1.3541666666666665E-2</v>
      </c>
      <c r="R247" s="52">
        <f>R8*R8/$E8*'Get Started  2'!$F82</f>
        <v>1.3541666666666665E-2</v>
      </c>
      <c r="S247" s="52">
        <f>S8*S8/$E8*'Get Started  2'!$F82</f>
        <v>1.3541666666666665E-2</v>
      </c>
      <c r="T247" s="52">
        <f>T8*T8/$E8*'Get Started  2'!$F82</f>
        <v>1.3541666666666665E-2</v>
      </c>
      <c r="U247" s="52">
        <f>U8*U8/$E8*'Get Started  2'!$F82</f>
        <v>1.3541666666666665E-2</v>
      </c>
      <c r="V247" s="52">
        <f>V8*V8/$E8*'Get Started  2'!$F82</f>
        <v>1.3541666666666665E-2</v>
      </c>
      <c r="W247" s="52">
        <f>W8*W8/$E8*'Get Started  2'!$F82</f>
        <v>0</v>
      </c>
      <c r="X247" s="52">
        <f>X8*X8/$E8*'Get Started  2'!$F82</f>
        <v>0</v>
      </c>
      <c r="Y247" s="52">
        <f>Y8*Y8/$E8*'Get Started  2'!$F82</f>
        <v>0</v>
      </c>
      <c r="Z247" s="52">
        <f>Z8*Z8/$E8*'Get Started  2'!$F82</f>
        <v>0</v>
      </c>
      <c r="AA247" s="52">
        <f>AA8*AA8/$E8*'Get Started  2'!$F82</f>
        <v>0</v>
      </c>
      <c r="AB247" s="52">
        <f>AB8*AB8/$E8*'Get Started  2'!$F82</f>
        <v>0</v>
      </c>
      <c r="AC247" s="52">
        <f>AC8*AC8/$E8*'Get Started  2'!$F82</f>
        <v>0</v>
      </c>
      <c r="AD247" s="52">
        <f>AD8*AD8/$E8*'Get Started  2'!$F82</f>
        <v>0</v>
      </c>
      <c r="AE247" s="52">
        <f>AE8*AE8/$E8*'Get Started  2'!$F82</f>
        <v>0</v>
      </c>
      <c r="AF247" s="52">
        <f>AF8*AF8/$E8*'Get Started  2'!$F82</f>
        <v>0</v>
      </c>
      <c r="AG247" s="52">
        <f>AG8*AG8/$E8*'Get Started  2'!$F82</f>
        <v>0</v>
      </c>
      <c r="AH247" s="52">
        <f>AH8*AH8/$E8*'Get Started  2'!$F82</f>
        <v>0</v>
      </c>
      <c r="AI247" s="52">
        <f>AI8*AI8/$E8*'Get Started  2'!$F82</f>
        <v>0</v>
      </c>
      <c r="AJ247" s="52">
        <f>AJ8*AJ8/$E8*'Get Started  2'!$F82</f>
        <v>0</v>
      </c>
      <c r="AK247" s="52">
        <f>AK8*AK8/$E8*'Get Started  2'!$F82</f>
        <v>0</v>
      </c>
      <c r="AL247" s="52">
        <f>AL8*AL8/$E8*'Get Started  2'!$F82</f>
        <v>0</v>
      </c>
      <c r="AM247" s="52">
        <f>AM8*AM8/$E8*'Get Started  2'!$F82</f>
        <v>0</v>
      </c>
      <c r="AN247" s="52">
        <f>AN8*AN8/$E8*'Get Started  2'!$F82</f>
        <v>0</v>
      </c>
      <c r="AO247" s="52">
        <f>AO8*AO8/$E8*'Get Started  2'!$F82</f>
        <v>0</v>
      </c>
      <c r="AP247" s="52">
        <f>AP8*AP8/$E8*'Get Started  2'!$F82</f>
        <v>0</v>
      </c>
      <c r="AQ247" s="52">
        <f>AQ8*AQ8/$E8*'Get Started  2'!$F82</f>
        <v>0</v>
      </c>
      <c r="AR247" s="52">
        <f>AR8*AR8/$E8*'Get Started  2'!$F82</f>
        <v>0</v>
      </c>
      <c r="AS247" s="52">
        <f>AS8*AS8/$E8*'Get Started  2'!$F82</f>
        <v>0</v>
      </c>
      <c r="AT247" s="52">
        <f>AT8*AT8/$E8*'Get Started  2'!$F82</f>
        <v>0</v>
      </c>
      <c r="AU247" s="52">
        <f>AU8*AU8/$E8*'Get Started  2'!$F82</f>
        <v>0</v>
      </c>
      <c r="AV247" s="52">
        <f>AV8*AV8/$E8*'Get Started  2'!$F82</f>
        <v>0</v>
      </c>
      <c r="AW247" s="52">
        <f>AW8*AW8/$E8*'Get Started  2'!$F82</f>
        <v>0</v>
      </c>
      <c r="AX247" s="52">
        <f>AX8*AX8/$E8*'Get Started  2'!$F82</f>
        <v>0</v>
      </c>
      <c r="AY247" s="52">
        <f>AY8*AY8/$E8*'Get Started  2'!$F82</f>
        <v>0</v>
      </c>
      <c r="AZ247" s="52">
        <f>AZ8*AZ8/$E8*'Get Started  2'!$F82</f>
        <v>0</v>
      </c>
      <c r="BA247" s="52">
        <f>BA8*BA8/$E8*'Get Started  2'!$F82</f>
        <v>0</v>
      </c>
      <c r="BB247" s="52">
        <f>BB8*BB8/$E8*'Get Started  2'!$F82</f>
        <v>0</v>
      </c>
      <c r="BC247" s="52">
        <f>BC8*BC8/$E8*'Get Started  2'!$F82</f>
        <v>0</v>
      </c>
      <c r="BD247" s="52">
        <f>BD8*BD8/$E8*'Get Started  2'!$F82</f>
        <v>0</v>
      </c>
      <c r="BE247" s="52">
        <f>BE8*BE8/$E8*'Get Started  2'!$F82</f>
        <v>0</v>
      </c>
      <c r="BF247" s="52">
        <f>BF8*BF8/$E8*'Get Started  2'!$F82</f>
        <v>0</v>
      </c>
      <c r="BG247" s="52">
        <f>BG8*BG8/$E8*'Get Started  2'!$F82</f>
        <v>0</v>
      </c>
      <c r="BH247" s="52">
        <f>BH8*BH8/$E8*'Get Started  2'!$F82</f>
        <v>0</v>
      </c>
      <c r="BI247" s="52">
        <f>BI8*BI8/$E8*'Get Started  2'!$F82</f>
        <v>0</v>
      </c>
      <c r="BJ247" s="52">
        <f>BJ8*BJ8/$E8*'Get Started  2'!$F82</f>
        <v>0</v>
      </c>
      <c r="BK247" s="52">
        <f>BK8*BK8/$E8*'Get Started  2'!$F82</f>
        <v>0</v>
      </c>
      <c r="BL247" s="52">
        <f>BL8*BL8/$E8*'Get Started  2'!$F82</f>
        <v>0</v>
      </c>
      <c r="BM247" s="52">
        <f>BM8*BM8/$E8*'Get Started  2'!$F82</f>
        <v>0</v>
      </c>
      <c r="BN247" s="52">
        <f>BN8*BN8/$E8*'Get Started  2'!$F82</f>
        <v>0</v>
      </c>
      <c r="BO247" s="52">
        <f>BO8*BO8/$E8*'Get Started  2'!$F82</f>
        <v>0</v>
      </c>
      <c r="BP247" s="52">
        <f>BP8*BP8/$E8*'Get Started  2'!$F82</f>
        <v>0</v>
      </c>
      <c r="BQ247" s="52">
        <f>BQ8*BQ8/$E8*'Get Started  2'!$F82</f>
        <v>0</v>
      </c>
      <c r="BR247" s="52">
        <f>BR8*BR8/$E8*'Get Started  2'!$F82</f>
        <v>0</v>
      </c>
      <c r="BS247" s="52">
        <f>BS8*BS8/$E8*'Get Started  2'!$F82</f>
        <v>0</v>
      </c>
      <c r="BT247" s="52">
        <f>BT8*BT8/$E8*'Get Started  2'!$F82</f>
        <v>0</v>
      </c>
      <c r="BU247" s="52">
        <f>BU8*BU8/$E8*'Get Started  2'!$F82</f>
        <v>0</v>
      </c>
      <c r="BV247" s="52">
        <f>BV8*BV8/$E8*'Get Started  2'!$F82</f>
        <v>0</v>
      </c>
      <c r="BW247" s="52">
        <f>BW8*BW8/$E8*'Get Started  2'!$F82</f>
        <v>0</v>
      </c>
      <c r="BX247" s="52">
        <f>BX8*BX8/$E8*'Get Started  2'!$F82</f>
        <v>0</v>
      </c>
      <c r="BY247" s="52">
        <f>BY8*BY8/$E8*'Get Started  2'!$F82</f>
        <v>0</v>
      </c>
      <c r="BZ247" s="52">
        <f>BZ8*BZ8/$E8*'Get Started  2'!$F82</f>
        <v>0</v>
      </c>
      <c r="CA247" s="52">
        <f>CA8*CA8/$E8*'Get Started  2'!$F82</f>
        <v>0</v>
      </c>
      <c r="CB247" s="52">
        <f>CB8*CB8/$E8*'Get Started  2'!$F82</f>
        <v>0</v>
      </c>
      <c r="CC247" s="52">
        <f>CC8*CC8/$E8*'Get Started  2'!$F82</f>
        <v>0</v>
      </c>
      <c r="CD247" s="52">
        <f>CD8*CD8/$E8*'Get Started  2'!$F82</f>
        <v>0</v>
      </c>
      <c r="CE247" s="52">
        <f>CE8*CE8/$E8*'Get Started  2'!$F82</f>
        <v>0</v>
      </c>
      <c r="CF247" s="52">
        <f>CF8*CF8/$E8*'Get Started  2'!$F82</f>
        <v>0</v>
      </c>
      <c r="CG247" s="52">
        <f>CG8*CG8/$E8*'Get Started  2'!$F82</f>
        <v>0</v>
      </c>
      <c r="CH247" s="52">
        <f>CH8*CH8/$E8*'Get Started  2'!$F82</f>
        <v>0</v>
      </c>
    </row>
    <row r="248" spans="1:86" ht="13" outlineLevel="1">
      <c r="A248" s="13"/>
      <c r="B248" s="13" t="s">
        <v>328</v>
      </c>
      <c r="C248" s="13"/>
      <c r="D248" s="13" t="s">
        <v>238</v>
      </c>
      <c r="E248" s="88">
        <f t="shared" si="183"/>
        <v>0.11666666666666668</v>
      </c>
      <c r="F248" s="48"/>
      <c r="G248" s="52">
        <f>G8*G8/$E8*'Get Started  2'!$G82</f>
        <v>7.2916666666666659E-3</v>
      </c>
      <c r="H248" s="52">
        <f>H8*H8/$E8*'Get Started  2'!$G82</f>
        <v>7.2916666666666659E-3</v>
      </c>
      <c r="I248" s="52">
        <f>I8*I8/$E8*'Get Started  2'!$G82</f>
        <v>7.2916666666666659E-3</v>
      </c>
      <c r="J248" s="52">
        <f>J8*J8/$E8*'Get Started  2'!$G82</f>
        <v>7.2916666666666659E-3</v>
      </c>
      <c r="K248" s="52">
        <f>K8*K8/$E8*'Get Started  2'!$G82</f>
        <v>7.2916666666666659E-3</v>
      </c>
      <c r="L248" s="52">
        <f>L8*L8/$E8*'Get Started  2'!$G82</f>
        <v>7.2916666666666659E-3</v>
      </c>
      <c r="M248" s="52">
        <f>M8*M8/$E8*'Get Started  2'!$G82</f>
        <v>7.2916666666666659E-3</v>
      </c>
      <c r="N248" s="52">
        <f>N8*N8/$E8*'Get Started  2'!$G82</f>
        <v>7.2916666666666659E-3</v>
      </c>
      <c r="O248" s="52">
        <f>O8*O8/$E8*'Get Started  2'!$G82</f>
        <v>7.2916666666666659E-3</v>
      </c>
      <c r="P248" s="52">
        <f>P8*P8/$E8*'Get Started  2'!$G82</f>
        <v>7.2916666666666659E-3</v>
      </c>
      <c r="Q248" s="52">
        <f>Q8*Q8/$E8*'Get Started  2'!$G82</f>
        <v>7.2916666666666659E-3</v>
      </c>
      <c r="R248" s="52">
        <f>R8*R8/$E8*'Get Started  2'!$G82</f>
        <v>7.2916666666666659E-3</v>
      </c>
      <c r="S248" s="52">
        <f>S8*S8/$E8*'Get Started  2'!$G82</f>
        <v>7.2916666666666659E-3</v>
      </c>
      <c r="T248" s="52">
        <f>T8*T8/$E8*'Get Started  2'!$G82</f>
        <v>7.2916666666666659E-3</v>
      </c>
      <c r="U248" s="52">
        <f>U8*U8/$E8*'Get Started  2'!$G82</f>
        <v>7.2916666666666659E-3</v>
      </c>
      <c r="V248" s="52">
        <f>V8*V8/$E8*'Get Started  2'!$G82</f>
        <v>7.2916666666666659E-3</v>
      </c>
      <c r="W248" s="52">
        <f>W8*W8/$E8*'Get Started  2'!$G82</f>
        <v>0</v>
      </c>
      <c r="X248" s="52">
        <f>X8*X8/$E8*'Get Started  2'!$G82</f>
        <v>0</v>
      </c>
      <c r="Y248" s="52">
        <f>Y8*Y8/$E8*'Get Started  2'!$G82</f>
        <v>0</v>
      </c>
      <c r="Z248" s="52">
        <f>Z8*Z8/$E8*'Get Started  2'!$G82</f>
        <v>0</v>
      </c>
      <c r="AA248" s="52">
        <f>AA8*AA8/$E8*'Get Started  2'!$G82</f>
        <v>0</v>
      </c>
      <c r="AB248" s="52">
        <f>AB8*AB8/$E8*'Get Started  2'!$G82</f>
        <v>0</v>
      </c>
      <c r="AC248" s="52">
        <f>AC8*AC8/$E8*'Get Started  2'!$G82</f>
        <v>0</v>
      </c>
      <c r="AD248" s="52">
        <f>AD8*AD8/$E8*'Get Started  2'!$G82</f>
        <v>0</v>
      </c>
      <c r="AE248" s="52">
        <f>AE8*AE8/$E8*'Get Started  2'!$G82</f>
        <v>0</v>
      </c>
      <c r="AF248" s="52">
        <f>AF8*AF8/$E8*'Get Started  2'!$G82</f>
        <v>0</v>
      </c>
      <c r="AG248" s="52">
        <f>AG8*AG8/$E8*'Get Started  2'!$G82</f>
        <v>0</v>
      </c>
      <c r="AH248" s="52">
        <f>AH8*AH8/$E8*'Get Started  2'!$G82</f>
        <v>0</v>
      </c>
      <c r="AI248" s="52">
        <f>AI8*AI8/$E8*'Get Started  2'!$G82</f>
        <v>0</v>
      </c>
      <c r="AJ248" s="52">
        <f>AJ8*AJ8/$E8*'Get Started  2'!$G82</f>
        <v>0</v>
      </c>
      <c r="AK248" s="52">
        <f>AK8*AK8/$E8*'Get Started  2'!$G82</f>
        <v>0</v>
      </c>
      <c r="AL248" s="52">
        <f>AL8*AL8/$E8*'Get Started  2'!$G82</f>
        <v>0</v>
      </c>
      <c r="AM248" s="52">
        <f>AM8*AM8/$E8*'Get Started  2'!$G82</f>
        <v>0</v>
      </c>
      <c r="AN248" s="52">
        <f>AN8*AN8/$E8*'Get Started  2'!$G82</f>
        <v>0</v>
      </c>
      <c r="AO248" s="52">
        <f>AO8*AO8/$E8*'Get Started  2'!$G82</f>
        <v>0</v>
      </c>
      <c r="AP248" s="52">
        <f>AP8*AP8/$E8*'Get Started  2'!$G82</f>
        <v>0</v>
      </c>
      <c r="AQ248" s="52">
        <f>AQ8*AQ8/$E8*'Get Started  2'!$G82</f>
        <v>0</v>
      </c>
      <c r="AR248" s="52">
        <f>AR8*AR8/$E8*'Get Started  2'!$G82</f>
        <v>0</v>
      </c>
      <c r="AS248" s="52">
        <f>AS8*AS8/$E8*'Get Started  2'!$G82</f>
        <v>0</v>
      </c>
      <c r="AT248" s="52">
        <f>AT8*AT8/$E8*'Get Started  2'!$G82</f>
        <v>0</v>
      </c>
      <c r="AU248" s="52">
        <f>AU8*AU8/$E8*'Get Started  2'!$G82</f>
        <v>0</v>
      </c>
      <c r="AV248" s="52">
        <f>AV8*AV8/$E8*'Get Started  2'!$G82</f>
        <v>0</v>
      </c>
      <c r="AW248" s="52">
        <f>AW8*AW8/$E8*'Get Started  2'!$G82</f>
        <v>0</v>
      </c>
      <c r="AX248" s="52">
        <f>AX8*AX8/$E8*'Get Started  2'!$G82</f>
        <v>0</v>
      </c>
      <c r="AY248" s="52">
        <f>AY8*AY8/$E8*'Get Started  2'!$G82</f>
        <v>0</v>
      </c>
      <c r="AZ248" s="52">
        <f>AZ8*AZ8/$E8*'Get Started  2'!$G82</f>
        <v>0</v>
      </c>
      <c r="BA248" s="52">
        <f>BA8*BA8/$E8*'Get Started  2'!$G82</f>
        <v>0</v>
      </c>
      <c r="BB248" s="52">
        <f>BB8*BB8/$E8*'Get Started  2'!$G82</f>
        <v>0</v>
      </c>
      <c r="BC248" s="52">
        <f>BC8*BC8/$E8*'Get Started  2'!$G82</f>
        <v>0</v>
      </c>
      <c r="BD248" s="52">
        <f>BD8*BD8/$E8*'Get Started  2'!$G82</f>
        <v>0</v>
      </c>
      <c r="BE248" s="52">
        <f>BE8*BE8/$E8*'Get Started  2'!$G82</f>
        <v>0</v>
      </c>
      <c r="BF248" s="52">
        <f>BF8*BF8/$E8*'Get Started  2'!$G82</f>
        <v>0</v>
      </c>
      <c r="BG248" s="52">
        <f>BG8*BG8/$E8*'Get Started  2'!$G82</f>
        <v>0</v>
      </c>
      <c r="BH248" s="52">
        <f>BH8*BH8/$E8*'Get Started  2'!$G82</f>
        <v>0</v>
      </c>
      <c r="BI248" s="52">
        <f>BI8*BI8/$E8*'Get Started  2'!$G82</f>
        <v>0</v>
      </c>
      <c r="BJ248" s="52">
        <f>BJ8*BJ8/$E8*'Get Started  2'!$G82</f>
        <v>0</v>
      </c>
      <c r="BK248" s="52">
        <f>BK8*BK8/$E8*'Get Started  2'!$G82</f>
        <v>0</v>
      </c>
      <c r="BL248" s="52">
        <f>BL8*BL8/$E8*'Get Started  2'!$G82</f>
        <v>0</v>
      </c>
      <c r="BM248" s="52">
        <f>BM8*BM8/$E8*'Get Started  2'!$G82</f>
        <v>0</v>
      </c>
      <c r="BN248" s="52">
        <f>BN8*BN8/$E8*'Get Started  2'!$G82</f>
        <v>0</v>
      </c>
      <c r="BO248" s="52">
        <f>BO8*BO8/$E8*'Get Started  2'!$G82</f>
        <v>0</v>
      </c>
      <c r="BP248" s="52">
        <f>BP8*BP8/$E8*'Get Started  2'!$G82</f>
        <v>0</v>
      </c>
      <c r="BQ248" s="52">
        <f>BQ8*BQ8/$E8*'Get Started  2'!$G82</f>
        <v>0</v>
      </c>
      <c r="BR248" s="52">
        <f>BR8*BR8/$E8*'Get Started  2'!$G82</f>
        <v>0</v>
      </c>
      <c r="BS248" s="52">
        <f>BS8*BS8/$E8*'Get Started  2'!$G82</f>
        <v>0</v>
      </c>
      <c r="BT248" s="52">
        <f>BT8*BT8/$E8*'Get Started  2'!$G82</f>
        <v>0</v>
      </c>
      <c r="BU248" s="52">
        <f>BU8*BU8/$E8*'Get Started  2'!$G82</f>
        <v>0</v>
      </c>
      <c r="BV248" s="52">
        <f>BV8*BV8/$E8*'Get Started  2'!$G82</f>
        <v>0</v>
      </c>
      <c r="BW248" s="52">
        <f>BW8*BW8/$E8*'Get Started  2'!$G82</f>
        <v>0</v>
      </c>
      <c r="BX248" s="52">
        <f>BX8*BX8/$E8*'Get Started  2'!$G82</f>
        <v>0</v>
      </c>
      <c r="BY248" s="52">
        <f>BY8*BY8/$E8*'Get Started  2'!$G82</f>
        <v>0</v>
      </c>
      <c r="BZ248" s="52">
        <f>BZ8*BZ8/$E8*'Get Started  2'!$G82</f>
        <v>0</v>
      </c>
      <c r="CA248" s="52">
        <f>CA8*CA8/$E8*'Get Started  2'!$G82</f>
        <v>0</v>
      </c>
      <c r="CB248" s="52">
        <f>CB8*CB8/$E8*'Get Started  2'!$G82</f>
        <v>0</v>
      </c>
      <c r="CC248" s="52">
        <f>CC8*CC8/$E8*'Get Started  2'!$G82</f>
        <v>0</v>
      </c>
      <c r="CD248" s="52">
        <f>CD8*CD8/$E8*'Get Started  2'!$G82</f>
        <v>0</v>
      </c>
      <c r="CE248" s="52">
        <f>CE8*CE8/$E8*'Get Started  2'!$G82</f>
        <v>0</v>
      </c>
      <c r="CF248" s="52">
        <f>CF8*CF8/$E8*'Get Started  2'!$G82</f>
        <v>0</v>
      </c>
      <c r="CG248" s="52">
        <f>CG8*CG8/$E8*'Get Started  2'!$G82</f>
        <v>0</v>
      </c>
      <c r="CH248" s="52">
        <f>CH8*CH8/$E8*'Get Started  2'!$G82</f>
        <v>0</v>
      </c>
    </row>
    <row r="249" spans="1:86" ht="13" outlineLevel="1">
      <c r="A249" s="13"/>
      <c r="B249" s="13" t="s">
        <v>328</v>
      </c>
      <c r="C249" s="13"/>
      <c r="D249" s="13" t="s">
        <v>238</v>
      </c>
      <c r="E249" s="88">
        <f t="shared" si="183"/>
        <v>4.9999999999999968E-2</v>
      </c>
      <c r="F249" s="48"/>
      <c r="G249" s="52">
        <f>G8*G8/$E8*'Get Started  2'!$H82</f>
        <v>3.1249999999999989E-3</v>
      </c>
      <c r="H249" s="52">
        <f>H8*H8/$E8*'Get Started  2'!$H82</f>
        <v>3.1249999999999989E-3</v>
      </c>
      <c r="I249" s="52">
        <f>I8*I8/$E8*'Get Started  2'!$H82</f>
        <v>3.1249999999999989E-3</v>
      </c>
      <c r="J249" s="52">
        <f>J8*J8/$E8*'Get Started  2'!$H82</f>
        <v>3.1249999999999989E-3</v>
      </c>
      <c r="K249" s="52">
        <f>K8*K8/$E8*'Get Started  2'!$H82</f>
        <v>3.1249999999999989E-3</v>
      </c>
      <c r="L249" s="52">
        <f>L8*L8/$E8*'Get Started  2'!$H82</f>
        <v>3.1249999999999989E-3</v>
      </c>
      <c r="M249" s="52">
        <f>M8*M8/$E8*'Get Started  2'!$H82</f>
        <v>3.1249999999999989E-3</v>
      </c>
      <c r="N249" s="52">
        <f>N8*N8/$E8*'Get Started  2'!$H82</f>
        <v>3.1249999999999989E-3</v>
      </c>
      <c r="O249" s="52">
        <f>O8*O8/$E8*'Get Started  2'!$H82</f>
        <v>3.1249999999999989E-3</v>
      </c>
      <c r="P249" s="52">
        <f>P8*P8/$E8*'Get Started  2'!$H82</f>
        <v>3.1249999999999989E-3</v>
      </c>
      <c r="Q249" s="52">
        <f>Q8*Q8/$E8*'Get Started  2'!$H82</f>
        <v>3.1249999999999989E-3</v>
      </c>
      <c r="R249" s="52">
        <f>R8*R8/$E8*'Get Started  2'!$H82</f>
        <v>3.1249999999999989E-3</v>
      </c>
      <c r="S249" s="52">
        <f>S8*S8/$E8*'Get Started  2'!$H82</f>
        <v>3.1249999999999989E-3</v>
      </c>
      <c r="T249" s="52">
        <f>T8*T8/$E8*'Get Started  2'!$H82</f>
        <v>3.1249999999999989E-3</v>
      </c>
      <c r="U249" s="52">
        <f>U8*U8/$E8*'Get Started  2'!$H82</f>
        <v>3.1249999999999989E-3</v>
      </c>
      <c r="V249" s="52">
        <f>V8*V8/$E8*'Get Started  2'!$H82</f>
        <v>3.1249999999999989E-3</v>
      </c>
      <c r="W249" s="52">
        <f>W8*W8/$E8*'Get Started  2'!$H82</f>
        <v>0</v>
      </c>
      <c r="X249" s="52">
        <f>X8*X8/$E8*'Get Started  2'!$H82</f>
        <v>0</v>
      </c>
      <c r="Y249" s="52">
        <f>Y8*Y8/$E8*'Get Started  2'!$H82</f>
        <v>0</v>
      </c>
      <c r="Z249" s="52">
        <f>Z8*Z8/$E8*'Get Started  2'!$H82</f>
        <v>0</v>
      </c>
      <c r="AA249" s="52">
        <f>AA8*AA8/$E8*'Get Started  2'!$H82</f>
        <v>0</v>
      </c>
      <c r="AB249" s="52">
        <f>AB8*AB8/$E8*'Get Started  2'!$H82</f>
        <v>0</v>
      </c>
      <c r="AC249" s="52">
        <f>AC8*AC8/$E8*'Get Started  2'!$H82</f>
        <v>0</v>
      </c>
      <c r="AD249" s="52">
        <f>AD8*AD8/$E8*'Get Started  2'!$H82</f>
        <v>0</v>
      </c>
      <c r="AE249" s="52">
        <f>AE8*AE8/$E8*'Get Started  2'!$H82</f>
        <v>0</v>
      </c>
      <c r="AF249" s="52">
        <f>AF8*AF8/$E8*'Get Started  2'!$H82</f>
        <v>0</v>
      </c>
      <c r="AG249" s="52">
        <f>AG8*AG8/$E8*'Get Started  2'!$H82</f>
        <v>0</v>
      </c>
      <c r="AH249" s="52">
        <f>AH8*AH8/$E8*'Get Started  2'!$H82</f>
        <v>0</v>
      </c>
      <c r="AI249" s="52">
        <f>AI8*AI8/$E8*'Get Started  2'!$H82</f>
        <v>0</v>
      </c>
      <c r="AJ249" s="52">
        <f>AJ8*AJ8/$E8*'Get Started  2'!$H82</f>
        <v>0</v>
      </c>
      <c r="AK249" s="52">
        <f>AK8*AK8/$E8*'Get Started  2'!$H82</f>
        <v>0</v>
      </c>
      <c r="AL249" s="52">
        <f>AL8*AL8/$E8*'Get Started  2'!$H82</f>
        <v>0</v>
      </c>
      <c r="AM249" s="52">
        <f>AM8*AM8/$E8*'Get Started  2'!$H82</f>
        <v>0</v>
      </c>
      <c r="AN249" s="52">
        <f>AN8*AN8/$E8*'Get Started  2'!$H82</f>
        <v>0</v>
      </c>
      <c r="AO249" s="52">
        <f>AO8*AO8/$E8*'Get Started  2'!$H82</f>
        <v>0</v>
      </c>
      <c r="AP249" s="52">
        <f>AP8*AP8/$E8*'Get Started  2'!$H82</f>
        <v>0</v>
      </c>
      <c r="AQ249" s="52">
        <f>AQ8*AQ8/$E8*'Get Started  2'!$H82</f>
        <v>0</v>
      </c>
      <c r="AR249" s="52">
        <f>AR8*AR8/$E8*'Get Started  2'!$H82</f>
        <v>0</v>
      </c>
      <c r="AS249" s="52">
        <f>AS8*AS8/$E8*'Get Started  2'!$H82</f>
        <v>0</v>
      </c>
      <c r="AT249" s="52">
        <f>AT8*AT8/$E8*'Get Started  2'!$H82</f>
        <v>0</v>
      </c>
      <c r="AU249" s="52">
        <f>AU8*AU8/$E8*'Get Started  2'!$H82</f>
        <v>0</v>
      </c>
      <c r="AV249" s="52">
        <f>AV8*AV8/$E8*'Get Started  2'!$H82</f>
        <v>0</v>
      </c>
      <c r="AW249" s="52">
        <f>AW8*AW8/$E8*'Get Started  2'!$H82</f>
        <v>0</v>
      </c>
      <c r="AX249" s="52">
        <f>AX8*AX8/$E8*'Get Started  2'!$H82</f>
        <v>0</v>
      </c>
      <c r="AY249" s="52">
        <f>AY8*AY8/$E8*'Get Started  2'!$H82</f>
        <v>0</v>
      </c>
      <c r="AZ249" s="52">
        <f>AZ8*AZ8/$E8*'Get Started  2'!$H82</f>
        <v>0</v>
      </c>
      <c r="BA249" s="52">
        <f>BA8*BA8/$E8*'Get Started  2'!$H82</f>
        <v>0</v>
      </c>
      <c r="BB249" s="52">
        <f>BB8*BB8/$E8*'Get Started  2'!$H82</f>
        <v>0</v>
      </c>
      <c r="BC249" s="52">
        <f>BC8*BC8/$E8*'Get Started  2'!$H82</f>
        <v>0</v>
      </c>
      <c r="BD249" s="52">
        <f>BD8*BD8/$E8*'Get Started  2'!$H82</f>
        <v>0</v>
      </c>
      <c r="BE249" s="52">
        <f>BE8*BE8/$E8*'Get Started  2'!$H82</f>
        <v>0</v>
      </c>
      <c r="BF249" s="52">
        <f>BF8*BF8/$E8*'Get Started  2'!$H82</f>
        <v>0</v>
      </c>
      <c r="BG249" s="52">
        <f>BG8*BG8/$E8*'Get Started  2'!$H82</f>
        <v>0</v>
      </c>
      <c r="BH249" s="52">
        <f>BH8*BH8/$E8*'Get Started  2'!$H82</f>
        <v>0</v>
      </c>
      <c r="BI249" s="52">
        <f>BI8*BI8/$E8*'Get Started  2'!$H82</f>
        <v>0</v>
      </c>
      <c r="BJ249" s="52">
        <f>BJ8*BJ8/$E8*'Get Started  2'!$H82</f>
        <v>0</v>
      </c>
      <c r="BK249" s="52">
        <f>BK8*BK8/$E8*'Get Started  2'!$H82</f>
        <v>0</v>
      </c>
      <c r="BL249" s="52">
        <f>BL8*BL8/$E8*'Get Started  2'!$H82</f>
        <v>0</v>
      </c>
      <c r="BM249" s="52">
        <f>BM8*BM8/$E8*'Get Started  2'!$H82</f>
        <v>0</v>
      </c>
      <c r="BN249" s="52">
        <f>BN8*BN8/$E8*'Get Started  2'!$H82</f>
        <v>0</v>
      </c>
      <c r="BO249" s="52">
        <f>BO8*BO8/$E8*'Get Started  2'!$H82</f>
        <v>0</v>
      </c>
      <c r="BP249" s="52">
        <f>BP8*BP8/$E8*'Get Started  2'!$H82</f>
        <v>0</v>
      </c>
      <c r="BQ249" s="52">
        <f>BQ8*BQ8/$E8*'Get Started  2'!$H82</f>
        <v>0</v>
      </c>
      <c r="BR249" s="52">
        <f>BR8*BR8/$E8*'Get Started  2'!$H82</f>
        <v>0</v>
      </c>
      <c r="BS249" s="52">
        <f>BS8*BS8/$E8*'Get Started  2'!$H82</f>
        <v>0</v>
      </c>
      <c r="BT249" s="52">
        <f>BT8*BT8/$E8*'Get Started  2'!$H82</f>
        <v>0</v>
      </c>
      <c r="BU249" s="52">
        <f>BU8*BU8/$E8*'Get Started  2'!$H82</f>
        <v>0</v>
      </c>
      <c r="BV249" s="52">
        <f>BV8*BV8/$E8*'Get Started  2'!$H82</f>
        <v>0</v>
      </c>
      <c r="BW249" s="52">
        <f>BW8*BW8/$E8*'Get Started  2'!$H82</f>
        <v>0</v>
      </c>
      <c r="BX249" s="52">
        <f>BX8*BX8/$E8*'Get Started  2'!$H82</f>
        <v>0</v>
      </c>
      <c r="BY249" s="52">
        <f>BY8*BY8/$E8*'Get Started  2'!$H82</f>
        <v>0</v>
      </c>
      <c r="BZ249" s="52">
        <f>BZ8*BZ8/$E8*'Get Started  2'!$H82</f>
        <v>0</v>
      </c>
      <c r="CA249" s="52">
        <f>CA8*CA8/$E8*'Get Started  2'!$H82</f>
        <v>0</v>
      </c>
      <c r="CB249" s="52">
        <f>CB8*CB8/$E8*'Get Started  2'!$H82</f>
        <v>0</v>
      </c>
      <c r="CC249" s="52">
        <f>CC8*CC8/$E8*'Get Started  2'!$H82</f>
        <v>0</v>
      </c>
      <c r="CD249" s="52">
        <f>CD8*CD8/$E8*'Get Started  2'!$H82</f>
        <v>0</v>
      </c>
      <c r="CE249" s="52">
        <f>CE8*CE8/$E8*'Get Started  2'!$H82</f>
        <v>0</v>
      </c>
      <c r="CF249" s="52">
        <f>CF8*CF8/$E8*'Get Started  2'!$H82</f>
        <v>0</v>
      </c>
      <c r="CG249" s="52">
        <f>CG8*CG8/$E8*'Get Started  2'!$H82</f>
        <v>0</v>
      </c>
      <c r="CH249" s="52">
        <f>CH8*CH8/$E8*'Get Started  2'!$H82</f>
        <v>0</v>
      </c>
    </row>
    <row r="250" spans="1:86" ht="13" outlineLevel="1">
      <c r="A250" s="13"/>
      <c r="B250" s="13" t="str">
        <f>B248&amp;" total"</f>
        <v>new invested capital total</v>
      </c>
      <c r="C250" s="13"/>
      <c r="D250" s="13" t="s">
        <v>238</v>
      </c>
      <c r="E250" s="88">
        <f t="shared" si="183"/>
        <v>1</v>
      </c>
      <c r="F250" s="48"/>
      <c r="G250" s="52">
        <f t="shared" ref="G250:CH250" si="184">SUM(G246:G249)</f>
        <v>6.25E-2</v>
      </c>
      <c r="H250" s="52">
        <f t="shared" si="184"/>
        <v>6.25E-2</v>
      </c>
      <c r="I250" s="52">
        <f t="shared" si="184"/>
        <v>6.25E-2</v>
      </c>
      <c r="J250" s="52">
        <f t="shared" si="184"/>
        <v>6.25E-2</v>
      </c>
      <c r="K250" s="52">
        <f t="shared" si="184"/>
        <v>6.25E-2</v>
      </c>
      <c r="L250" s="52">
        <f t="shared" si="184"/>
        <v>6.25E-2</v>
      </c>
      <c r="M250" s="52">
        <f t="shared" si="184"/>
        <v>6.25E-2</v>
      </c>
      <c r="N250" s="52">
        <f t="shared" si="184"/>
        <v>6.25E-2</v>
      </c>
      <c r="O250" s="52">
        <f t="shared" si="184"/>
        <v>6.25E-2</v>
      </c>
      <c r="P250" s="52">
        <f t="shared" si="184"/>
        <v>6.25E-2</v>
      </c>
      <c r="Q250" s="52">
        <f t="shared" si="184"/>
        <v>6.25E-2</v>
      </c>
      <c r="R250" s="52">
        <f t="shared" si="184"/>
        <v>6.25E-2</v>
      </c>
      <c r="S250" s="52">
        <f t="shared" si="184"/>
        <v>6.25E-2</v>
      </c>
      <c r="T250" s="52">
        <f t="shared" si="184"/>
        <v>6.25E-2</v>
      </c>
      <c r="U250" s="52">
        <f t="shared" si="184"/>
        <v>6.25E-2</v>
      </c>
      <c r="V250" s="52">
        <f t="shared" si="184"/>
        <v>6.25E-2</v>
      </c>
      <c r="W250" s="52">
        <f t="shared" si="184"/>
        <v>0</v>
      </c>
      <c r="X250" s="52">
        <f t="shared" si="184"/>
        <v>0</v>
      </c>
      <c r="Y250" s="52">
        <f t="shared" si="184"/>
        <v>0</v>
      </c>
      <c r="Z250" s="52">
        <f t="shared" si="184"/>
        <v>0</v>
      </c>
      <c r="AA250" s="52">
        <f t="shared" si="184"/>
        <v>0</v>
      </c>
      <c r="AB250" s="52">
        <f t="shared" si="184"/>
        <v>0</v>
      </c>
      <c r="AC250" s="52">
        <f t="shared" si="184"/>
        <v>0</v>
      </c>
      <c r="AD250" s="52">
        <f t="shared" si="184"/>
        <v>0</v>
      </c>
      <c r="AE250" s="52">
        <f t="shared" si="184"/>
        <v>0</v>
      </c>
      <c r="AF250" s="52">
        <f t="shared" si="184"/>
        <v>0</v>
      </c>
      <c r="AG250" s="52">
        <f t="shared" si="184"/>
        <v>0</v>
      </c>
      <c r="AH250" s="52">
        <f t="shared" si="184"/>
        <v>0</v>
      </c>
      <c r="AI250" s="52">
        <f t="shared" si="184"/>
        <v>0</v>
      </c>
      <c r="AJ250" s="52">
        <f t="shared" si="184"/>
        <v>0</v>
      </c>
      <c r="AK250" s="52">
        <f t="shared" si="184"/>
        <v>0</v>
      </c>
      <c r="AL250" s="52">
        <f t="shared" si="184"/>
        <v>0</v>
      </c>
      <c r="AM250" s="52">
        <f t="shared" si="184"/>
        <v>0</v>
      </c>
      <c r="AN250" s="52">
        <f t="shared" si="184"/>
        <v>0</v>
      </c>
      <c r="AO250" s="52">
        <f t="shared" si="184"/>
        <v>0</v>
      </c>
      <c r="AP250" s="52">
        <f t="shared" si="184"/>
        <v>0</v>
      </c>
      <c r="AQ250" s="52">
        <f t="shared" si="184"/>
        <v>0</v>
      </c>
      <c r="AR250" s="52">
        <f t="shared" si="184"/>
        <v>0</v>
      </c>
      <c r="AS250" s="52">
        <f t="shared" si="184"/>
        <v>0</v>
      </c>
      <c r="AT250" s="52">
        <f t="shared" si="184"/>
        <v>0</v>
      </c>
      <c r="AU250" s="52">
        <f t="shared" si="184"/>
        <v>0</v>
      </c>
      <c r="AV250" s="52">
        <f t="shared" si="184"/>
        <v>0</v>
      </c>
      <c r="AW250" s="52">
        <f t="shared" si="184"/>
        <v>0</v>
      </c>
      <c r="AX250" s="52">
        <f t="shared" si="184"/>
        <v>0</v>
      </c>
      <c r="AY250" s="52">
        <f t="shared" si="184"/>
        <v>0</v>
      </c>
      <c r="AZ250" s="52">
        <f t="shared" si="184"/>
        <v>0</v>
      </c>
      <c r="BA250" s="52">
        <f t="shared" si="184"/>
        <v>0</v>
      </c>
      <c r="BB250" s="52">
        <f t="shared" si="184"/>
        <v>0</v>
      </c>
      <c r="BC250" s="52">
        <f t="shared" si="184"/>
        <v>0</v>
      </c>
      <c r="BD250" s="52">
        <f t="shared" si="184"/>
        <v>0</v>
      </c>
      <c r="BE250" s="52">
        <f t="shared" si="184"/>
        <v>0</v>
      </c>
      <c r="BF250" s="52">
        <f t="shared" si="184"/>
        <v>0</v>
      </c>
      <c r="BG250" s="52">
        <f t="shared" si="184"/>
        <v>0</v>
      </c>
      <c r="BH250" s="52">
        <f t="shared" si="184"/>
        <v>0</v>
      </c>
      <c r="BI250" s="52">
        <f t="shared" si="184"/>
        <v>0</v>
      </c>
      <c r="BJ250" s="52">
        <f t="shared" si="184"/>
        <v>0</v>
      </c>
      <c r="BK250" s="52">
        <f t="shared" si="184"/>
        <v>0</v>
      </c>
      <c r="BL250" s="52">
        <f t="shared" si="184"/>
        <v>0</v>
      </c>
      <c r="BM250" s="52">
        <f t="shared" si="184"/>
        <v>0</v>
      </c>
      <c r="BN250" s="52">
        <f t="shared" si="184"/>
        <v>0</v>
      </c>
      <c r="BO250" s="52">
        <f t="shared" si="184"/>
        <v>0</v>
      </c>
      <c r="BP250" s="52">
        <f t="shared" si="184"/>
        <v>0</v>
      </c>
      <c r="BQ250" s="52">
        <f t="shared" si="184"/>
        <v>0</v>
      </c>
      <c r="BR250" s="52">
        <f t="shared" si="184"/>
        <v>0</v>
      </c>
      <c r="BS250" s="52">
        <f t="shared" si="184"/>
        <v>0</v>
      </c>
      <c r="BT250" s="52">
        <f t="shared" si="184"/>
        <v>0</v>
      </c>
      <c r="BU250" s="52">
        <f t="shared" si="184"/>
        <v>0</v>
      </c>
      <c r="BV250" s="52">
        <f t="shared" si="184"/>
        <v>0</v>
      </c>
      <c r="BW250" s="52">
        <f t="shared" si="184"/>
        <v>0</v>
      </c>
      <c r="BX250" s="52">
        <f t="shared" si="184"/>
        <v>0</v>
      </c>
      <c r="BY250" s="52">
        <f t="shared" si="184"/>
        <v>0</v>
      </c>
      <c r="BZ250" s="52">
        <f t="shared" si="184"/>
        <v>0</v>
      </c>
      <c r="CA250" s="52">
        <f t="shared" si="184"/>
        <v>0</v>
      </c>
      <c r="CB250" s="52">
        <f t="shared" si="184"/>
        <v>0</v>
      </c>
      <c r="CC250" s="52">
        <f t="shared" si="184"/>
        <v>0</v>
      </c>
      <c r="CD250" s="52">
        <f t="shared" si="184"/>
        <v>0</v>
      </c>
      <c r="CE250" s="52">
        <f t="shared" si="184"/>
        <v>0</v>
      </c>
      <c r="CF250" s="52">
        <f t="shared" si="184"/>
        <v>0</v>
      </c>
      <c r="CG250" s="52">
        <f t="shared" si="184"/>
        <v>0</v>
      </c>
      <c r="CH250" s="52">
        <f t="shared" si="184"/>
        <v>0</v>
      </c>
    </row>
    <row r="251" spans="1:86" ht="13" outlineLevel="1">
      <c r="A251" s="13"/>
      <c r="B251" s="13" t="s">
        <v>329</v>
      </c>
      <c r="C251" s="13"/>
      <c r="D251" s="13" t="s">
        <v>238</v>
      </c>
      <c r="E251" s="88">
        <f t="shared" ca="1" si="183"/>
        <v>0</v>
      </c>
      <c r="F251" s="48"/>
      <c r="G251" s="52">
        <f ca="1">IFERROR(IF(G4&lt;'Get Started  2'!$E55,0,OFFSET(G246,0,-1*'Get Started  2'!$E55)*'Get Started  2'!$E84/'Get Started  2'!$E82),0)+IFERROR(IF(G4&lt;'Get Started  2'!$E65,0,OFFSET(G246,0,-1*'Get Started  2'!$E65)*'Get Started  2'!$E86/'Get Started  2'!$E82),0)</f>
        <v>0</v>
      </c>
      <c r="H251" s="52">
        <f ca="1">IFERROR(IF(H4&lt;'Get Started  2'!$E55,0,OFFSET(H246,0,-1*'Get Started  2'!$E55)*'Get Started  2'!$E84/'Get Started  2'!$E82),0)+IFERROR(IF(H4&lt;'Get Started  2'!$E65,0,OFFSET(H246,0,-1*'Get Started  2'!$E65)*'Get Started  2'!$E86/'Get Started  2'!$E82),0)</f>
        <v>0</v>
      </c>
      <c r="I251" s="52">
        <f ca="1">IFERROR(IF(I4&lt;'Get Started  2'!$E55,0,OFFSET(I246,0,-1*'Get Started  2'!$E55)*'Get Started  2'!$E84/'Get Started  2'!$E82),0)+IFERROR(IF(I4&lt;'Get Started  2'!$E65,0,OFFSET(I246,0,-1*'Get Started  2'!$E65)*'Get Started  2'!$E86/'Get Started  2'!$E82),0)</f>
        <v>0</v>
      </c>
      <c r="J251" s="52">
        <f ca="1">IFERROR(IF(J4&lt;'Get Started  2'!$E55,0,OFFSET(J246,0,-1*'Get Started  2'!$E55)*'Get Started  2'!$E84/'Get Started  2'!$E82),0)+IFERROR(IF(J4&lt;'Get Started  2'!$E65,0,OFFSET(J246,0,-1*'Get Started  2'!$E65)*'Get Started  2'!$E86/'Get Started  2'!$E82),0)</f>
        <v>0</v>
      </c>
      <c r="K251" s="52">
        <f ca="1">IFERROR(IF(K4&lt;'Get Started  2'!$E55,0,OFFSET(K246,0,-1*'Get Started  2'!$E55)*'Get Started  2'!$E84/'Get Started  2'!$E82),0)+IFERROR(IF(K4&lt;'Get Started  2'!$E65,0,OFFSET(K246,0,-1*'Get Started  2'!$E65)*'Get Started  2'!$E86/'Get Started  2'!$E82),0)</f>
        <v>0</v>
      </c>
      <c r="L251" s="52">
        <f ca="1">IFERROR(IF(L4&lt;'Get Started  2'!$E55,0,OFFSET(L246,0,-1*'Get Started  2'!$E55)*'Get Started  2'!$E84/'Get Started  2'!$E82),0)+IFERROR(IF(L4&lt;'Get Started  2'!$E65,0,OFFSET(L246,0,-1*'Get Started  2'!$E65)*'Get Started  2'!$E86/'Get Started  2'!$E82),0)</f>
        <v>0</v>
      </c>
      <c r="M251" s="52">
        <f ca="1">IFERROR(IF(M4&lt;'Get Started  2'!$E55,0,OFFSET(M246,0,-1*'Get Started  2'!$E55)*'Get Started  2'!$E84/'Get Started  2'!$E82),0)+IFERROR(IF(M4&lt;'Get Started  2'!$E65,0,OFFSET(M246,0,-1*'Get Started  2'!$E65)*'Get Started  2'!$E86/'Get Started  2'!$E82),0)</f>
        <v>0</v>
      </c>
      <c r="N251" s="52">
        <f ca="1">IFERROR(IF(N4&lt;'Get Started  2'!$E55,0,OFFSET(N246,0,-1*'Get Started  2'!$E55)*'Get Started  2'!$E84/'Get Started  2'!$E82),0)+IFERROR(IF(N4&lt;'Get Started  2'!$E65,0,OFFSET(N246,0,-1*'Get Started  2'!$E65)*'Get Started  2'!$E86/'Get Started  2'!$E82),0)</f>
        <v>0</v>
      </c>
      <c r="O251" s="52">
        <f ca="1">IFERROR(IF(O4&lt;'Get Started  2'!$E55,0,OFFSET(O246,0,-1*'Get Started  2'!$E55)*'Get Started  2'!$E84/'Get Started  2'!$E82),0)+IFERROR(IF(O4&lt;'Get Started  2'!$E65,0,OFFSET(O246,0,-1*'Get Started  2'!$E65)*'Get Started  2'!$E86/'Get Started  2'!$E82),0)</f>
        <v>0</v>
      </c>
      <c r="P251" s="52">
        <f ca="1">IFERROR(IF(P4&lt;'Get Started  2'!$E55,0,OFFSET(P246,0,-1*'Get Started  2'!$E55)*'Get Started  2'!$E84/'Get Started  2'!$E82),0)+IFERROR(IF(P4&lt;'Get Started  2'!$E65,0,OFFSET(P246,0,-1*'Get Started  2'!$E65)*'Get Started  2'!$E86/'Get Started  2'!$E82),0)</f>
        <v>0</v>
      </c>
      <c r="Q251" s="52">
        <f ca="1">IFERROR(IF(Q4&lt;'Get Started  2'!$E55,0,OFFSET(Q246,0,-1*'Get Started  2'!$E55)*'Get Started  2'!$E84/'Get Started  2'!$E82),0)+IFERROR(IF(Q4&lt;'Get Started  2'!$E65,0,OFFSET(Q246,0,-1*'Get Started  2'!$E65)*'Get Started  2'!$E86/'Get Started  2'!$E82),0)</f>
        <v>0</v>
      </c>
      <c r="R251" s="52">
        <f ca="1">IFERROR(IF(R4&lt;'Get Started  2'!$E55,0,OFFSET(R246,0,-1*'Get Started  2'!$E55)*'Get Started  2'!$E84/'Get Started  2'!$E82),0)+IFERROR(IF(R4&lt;'Get Started  2'!$E65,0,OFFSET(R246,0,-1*'Get Started  2'!$E65)*'Get Started  2'!$E86/'Get Started  2'!$E82),0)</f>
        <v>0</v>
      </c>
      <c r="S251" s="52">
        <f ca="1">IFERROR(IF(S4&lt;'Get Started  2'!$E55,0,OFFSET(S246,0,-1*'Get Started  2'!$E55)*'Get Started  2'!$E84/'Get Started  2'!$E82),0)+IFERROR(IF(S4&lt;'Get Started  2'!$E65,0,OFFSET(S246,0,-1*'Get Started  2'!$E65)*'Get Started  2'!$E86/'Get Started  2'!$E82),0)</f>
        <v>0</v>
      </c>
      <c r="T251" s="52">
        <f ca="1">IFERROR(IF(T4&lt;'Get Started  2'!$E55,0,OFFSET(T246,0,-1*'Get Started  2'!$E55)*'Get Started  2'!$E84/'Get Started  2'!$E82),0)+IFERROR(IF(T4&lt;'Get Started  2'!$E65,0,OFFSET(T246,0,-1*'Get Started  2'!$E65)*'Get Started  2'!$E86/'Get Started  2'!$E82),0)</f>
        <v>0</v>
      </c>
      <c r="U251" s="52">
        <f ca="1">IFERROR(IF(U4&lt;'Get Started  2'!$E55,0,OFFSET(U246,0,-1*'Get Started  2'!$E55)*'Get Started  2'!$E84/'Get Started  2'!$E82),0)+IFERROR(IF(U4&lt;'Get Started  2'!$E65,0,OFFSET(U246,0,-1*'Get Started  2'!$E65)*'Get Started  2'!$E86/'Get Started  2'!$E82),0)</f>
        <v>0</v>
      </c>
      <c r="V251" s="52">
        <f ca="1">IFERROR(IF(V4&lt;'Get Started  2'!$E55,0,OFFSET(V246,0,-1*'Get Started  2'!$E55)*'Get Started  2'!$E84/'Get Started  2'!$E82),0)+IFERROR(IF(V4&lt;'Get Started  2'!$E65,0,OFFSET(V246,0,-1*'Get Started  2'!$E65)*'Get Started  2'!$E86/'Get Started  2'!$E82),0)</f>
        <v>0</v>
      </c>
      <c r="W251" s="52">
        <f ca="1">IFERROR(IF(W4&lt;'Get Started  2'!$E55,0,OFFSET(W246,0,-1*'Get Started  2'!$E55)*'Get Started  2'!$E84/'Get Started  2'!$E82),0)+IFERROR(IF(W4&lt;'Get Started  2'!$E65,0,OFFSET(W246,0,-1*'Get Started  2'!$E65)*'Get Started  2'!$E86/'Get Started  2'!$E82),0)</f>
        <v>0</v>
      </c>
      <c r="X251" s="52">
        <f ca="1">IFERROR(IF(X4&lt;'Get Started  2'!$E55,0,OFFSET(X246,0,-1*'Get Started  2'!$E55)*'Get Started  2'!$E84/'Get Started  2'!$E82),0)+IFERROR(IF(X4&lt;'Get Started  2'!$E65,0,OFFSET(X246,0,-1*'Get Started  2'!$E65)*'Get Started  2'!$E86/'Get Started  2'!$E82),0)</f>
        <v>0</v>
      </c>
      <c r="Y251" s="52">
        <f ca="1">IFERROR(IF(Y4&lt;'Get Started  2'!$E55,0,OFFSET(Y246,0,-1*'Get Started  2'!$E55)*'Get Started  2'!$E84/'Get Started  2'!$E82),0)+IFERROR(IF(Y4&lt;'Get Started  2'!$E65,0,OFFSET(Y246,0,-1*'Get Started  2'!$E65)*'Get Started  2'!$E86/'Get Started  2'!$E82),0)</f>
        <v>0</v>
      </c>
      <c r="Z251" s="52">
        <f ca="1">IFERROR(IF(Z4&lt;'Get Started  2'!$E55,0,OFFSET(Z246,0,-1*'Get Started  2'!$E55)*'Get Started  2'!$E84/'Get Started  2'!$E82),0)+IFERROR(IF(Z4&lt;'Get Started  2'!$E65,0,OFFSET(Z246,0,-1*'Get Started  2'!$E65)*'Get Started  2'!$E86/'Get Started  2'!$E82),0)</f>
        <v>0</v>
      </c>
      <c r="AA251" s="52">
        <f ca="1">IFERROR(IF(AA4&lt;'Get Started  2'!$E55,0,OFFSET(AA246,0,-1*'Get Started  2'!$E55)*'Get Started  2'!$E84/'Get Started  2'!$E82),0)+IFERROR(IF(AA4&lt;'Get Started  2'!$E65,0,OFFSET(AA246,0,-1*'Get Started  2'!$E65)*'Get Started  2'!$E86/'Get Started  2'!$E82),0)</f>
        <v>0</v>
      </c>
      <c r="AB251" s="52">
        <f ca="1">IFERROR(IF(AB4&lt;'Get Started  2'!$E55,0,OFFSET(AB246,0,-1*'Get Started  2'!$E55)*'Get Started  2'!$E84/'Get Started  2'!$E82),0)+IFERROR(IF(AB4&lt;'Get Started  2'!$E65,0,OFFSET(AB246,0,-1*'Get Started  2'!$E65)*'Get Started  2'!$E86/'Get Started  2'!$E82),0)</f>
        <v>0</v>
      </c>
      <c r="AC251" s="52">
        <f ca="1">IFERROR(IF(AC4&lt;'Get Started  2'!$E55,0,OFFSET(AC246,0,-1*'Get Started  2'!$E55)*'Get Started  2'!$E84/'Get Started  2'!$E82),0)+IFERROR(IF(AC4&lt;'Get Started  2'!$E65,0,OFFSET(AC246,0,-1*'Get Started  2'!$E65)*'Get Started  2'!$E86/'Get Started  2'!$E82),0)</f>
        <v>0</v>
      </c>
      <c r="AD251" s="52">
        <f ca="1">IFERROR(IF(AD4&lt;'Get Started  2'!$E55,0,OFFSET(AD246,0,-1*'Get Started  2'!$E55)*'Get Started  2'!$E84/'Get Started  2'!$E82),0)+IFERROR(IF(AD4&lt;'Get Started  2'!$E65,0,OFFSET(AD246,0,-1*'Get Started  2'!$E65)*'Get Started  2'!$E86/'Get Started  2'!$E82),0)</f>
        <v>0</v>
      </c>
      <c r="AE251" s="52">
        <f ca="1">IFERROR(IF(AE4&lt;'Get Started  2'!$E55,0,OFFSET(AE246,0,-1*'Get Started  2'!$E55)*'Get Started  2'!$E84/'Get Started  2'!$E82),0)+IFERROR(IF(AE4&lt;'Get Started  2'!$E65,0,OFFSET(AE246,0,-1*'Get Started  2'!$E65)*'Get Started  2'!$E86/'Get Started  2'!$E82),0)</f>
        <v>0</v>
      </c>
      <c r="AF251" s="52">
        <f ca="1">IFERROR(IF(AF4&lt;'Get Started  2'!$E55,0,OFFSET(AF246,0,-1*'Get Started  2'!$E55)*'Get Started  2'!$E84/'Get Started  2'!$E82),0)+IFERROR(IF(AF4&lt;'Get Started  2'!$E65,0,OFFSET(AF246,0,-1*'Get Started  2'!$E65)*'Get Started  2'!$E86/'Get Started  2'!$E82),0)</f>
        <v>0</v>
      </c>
      <c r="AG251" s="52">
        <f ca="1">IFERROR(IF(AG4&lt;'Get Started  2'!$E55,0,OFFSET(AG246,0,-1*'Get Started  2'!$E55)*'Get Started  2'!$E84/'Get Started  2'!$E82),0)+IFERROR(IF(AG4&lt;'Get Started  2'!$E65,0,OFFSET(AG246,0,-1*'Get Started  2'!$E65)*'Get Started  2'!$E86/'Get Started  2'!$E82),0)</f>
        <v>0</v>
      </c>
      <c r="AH251" s="52">
        <f ca="1">IFERROR(IF(AH4&lt;'Get Started  2'!$E55,0,OFFSET(AH246,0,-1*'Get Started  2'!$E55)*'Get Started  2'!$E84/'Get Started  2'!$E82),0)+IFERROR(IF(AH4&lt;'Get Started  2'!$E65,0,OFFSET(AH246,0,-1*'Get Started  2'!$E65)*'Get Started  2'!$E86/'Get Started  2'!$E82),0)</f>
        <v>0</v>
      </c>
      <c r="AI251" s="52">
        <f ca="1">IFERROR(IF(AI4&lt;'Get Started  2'!$E55,0,OFFSET(AI246,0,-1*'Get Started  2'!$E55)*'Get Started  2'!$E84/'Get Started  2'!$E82),0)+IFERROR(IF(AI4&lt;'Get Started  2'!$E65,0,OFFSET(AI246,0,-1*'Get Started  2'!$E65)*'Get Started  2'!$E86/'Get Started  2'!$E82),0)</f>
        <v>0</v>
      </c>
      <c r="AJ251" s="52">
        <f ca="1">IFERROR(IF(AJ4&lt;'Get Started  2'!$E55,0,OFFSET(AJ246,0,-1*'Get Started  2'!$E55)*'Get Started  2'!$E84/'Get Started  2'!$E82),0)+IFERROR(IF(AJ4&lt;'Get Started  2'!$E65,0,OFFSET(AJ246,0,-1*'Get Started  2'!$E65)*'Get Started  2'!$E86/'Get Started  2'!$E82),0)</f>
        <v>0</v>
      </c>
      <c r="AK251" s="52">
        <f ca="1">IFERROR(IF(AK4&lt;'Get Started  2'!$E55,0,OFFSET(AK246,0,-1*'Get Started  2'!$E55)*'Get Started  2'!$E84/'Get Started  2'!$E82),0)+IFERROR(IF(AK4&lt;'Get Started  2'!$E65,0,OFFSET(AK246,0,-1*'Get Started  2'!$E65)*'Get Started  2'!$E86/'Get Started  2'!$E82),0)</f>
        <v>0</v>
      </c>
      <c r="AL251" s="52">
        <f ca="1">IFERROR(IF(AL4&lt;'Get Started  2'!$E55,0,OFFSET(AL246,0,-1*'Get Started  2'!$E55)*'Get Started  2'!$E84/'Get Started  2'!$E82),0)+IFERROR(IF(AL4&lt;'Get Started  2'!$E65,0,OFFSET(AL246,0,-1*'Get Started  2'!$E65)*'Get Started  2'!$E86/'Get Started  2'!$E82),0)</f>
        <v>0</v>
      </c>
      <c r="AM251" s="52">
        <f ca="1">IFERROR(IF(AM4&lt;'Get Started  2'!$E55,0,OFFSET(AM246,0,-1*'Get Started  2'!$E55)*'Get Started  2'!$E84/'Get Started  2'!$E82),0)+IFERROR(IF(AM4&lt;'Get Started  2'!$E65,0,OFFSET(AM246,0,-1*'Get Started  2'!$E65)*'Get Started  2'!$E86/'Get Started  2'!$E82),0)</f>
        <v>0</v>
      </c>
      <c r="AN251" s="52">
        <f ca="1">IFERROR(IF(AN4&lt;'Get Started  2'!$E55,0,OFFSET(AN246,0,-1*'Get Started  2'!$E55)*'Get Started  2'!$E84/'Get Started  2'!$E82),0)+IFERROR(IF(AN4&lt;'Get Started  2'!$E65,0,OFFSET(AN246,0,-1*'Get Started  2'!$E65)*'Get Started  2'!$E86/'Get Started  2'!$E82),0)</f>
        <v>0</v>
      </c>
      <c r="AO251" s="52">
        <f ca="1">IFERROR(IF(AO4&lt;'Get Started  2'!$E55,0,OFFSET(AO246,0,-1*'Get Started  2'!$E55)*'Get Started  2'!$E84/'Get Started  2'!$E82),0)+IFERROR(IF(AO4&lt;'Get Started  2'!$E65,0,OFFSET(AO246,0,-1*'Get Started  2'!$E65)*'Get Started  2'!$E86/'Get Started  2'!$E82),0)</f>
        <v>0</v>
      </c>
      <c r="AP251" s="52">
        <f ca="1">IFERROR(IF(AP4&lt;'Get Started  2'!$E55,0,OFFSET(AP246,0,-1*'Get Started  2'!$E55)*'Get Started  2'!$E84/'Get Started  2'!$E82),0)+IFERROR(IF(AP4&lt;'Get Started  2'!$E65,0,OFFSET(AP246,0,-1*'Get Started  2'!$E65)*'Get Started  2'!$E86/'Get Started  2'!$E82),0)</f>
        <v>0</v>
      </c>
      <c r="AQ251" s="52">
        <f ca="1">IFERROR(IF(AQ4&lt;'Get Started  2'!$E55,0,OFFSET(AQ246,0,-1*'Get Started  2'!$E55)*'Get Started  2'!$E84/'Get Started  2'!$E82),0)+IFERROR(IF(AQ4&lt;'Get Started  2'!$E65,0,OFFSET(AQ246,0,-1*'Get Started  2'!$E65)*'Get Started  2'!$E86/'Get Started  2'!$E82),0)</f>
        <v>0</v>
      </c>
      <c r="AR251" s="52">
        <f ca="1">IFERROR(IF(AR4&lt;'Get Started  2'!$E55,0,OFFSET(AR246,0,-1*'Get Started  2'!$E55)*'Get Started  2'!$E84/'Get Started  2'!$E82),0)+IFERROR(IF(AR4&lt;'Get Started  2'!$E65,0,OFFSET(AR246,0,-1*'Get Started  2'!$E65)*'Get Started  2'!$E86/'Get Started  2'!$E82),0)</f>
        <v>0</v>
      </c>
      <c r="AS251" s="52">
        <f ca="1">IFERROR(IF(AS4&lt;'Get Started  2'!$E55,0,OFFSET(AS246,0,-1*'Get Started  2'!$E55)*'Get Started  2'!$E84/'Get Started  2'!$E82),0)+IFERROR(IF(AS4&lt;'Get Started  2'!$E65,0,OFFSET(AS246,0,-1*'Get Started  2'!$E65)*'Get Started  2'!$E86/'Get Started  2'!$E82),0)</f>
        <v>0</v>
      </c>
      <c r="AT251" s="52">
        <f ca="1">IFERROR(IF(AT4&lt;'Get Started  2'!$E55,0,OFFSET(AT246,0,-1*'Get Started  2'!$E55)*'Get Started  2'!$E84/'Get Started  2'!$E82),0)+IFERROR(IF(AT4&lt;'Get Started  2'!$E65,0,OFFSET(AT246,0,-1*'Get Started  2'!$E65)*'Get Started  2'!$E86/'Get Started  2'!$E82),0)</f>
        <v>0</v>
      </c>
      <c r="AU251" s="52">
        <f ca="1">IFERROR(IF(AU4&lt;'Get Started  2'!$E55,0,OFFSET(AU246,0,-1*'Get Started  2'!$E55)*'Get Started  2'!$E84/'Get Started  2'!$E82),0)+IFERROR(IF(AU4&lt;'Get Started  2'!$E65,0,OFFSET(AU246,0,-1*'Get Started  2'!$E65)*'Get Started  2'!$E86/'Get Started  2'!$E82),0)</f>
        <v>0</v>
      </c>
      <c r="AV251" s="52">
        <f ca="1">IFERROR(IF(AV4&lt;'Get Started  2'!$E55,0,OFFSET(AV246,0,-1*'Get Started  2'!$E55)*'Get Started  2'!$E84/'Get Started  2'!$E82),0)+IFERROR(IF(AV4&lt;'Get Started  2'!$E65,0,OFFSET(AV246,0,-1*'Get Started  2'!$E65)*'Get Started  2'!$E86/'Get Started  2'!$E82),0)</f>
        <v>0</v>
      </c>
      <c r="AW251" s="52">
        <f ca="1">IFERROR(IF(AW4&lt;'Get Started  2'!$E55,0,OFFSET(AW246,0,-1*'Get Started  2'!$E55)*'Get Started  2'!$E84/'Get Started  2'!$E82),0)+IFERROR(IF(AW4&lt;'Get Started  2'!$E65,0,OFFSET(AW246,0,-1*'Get Started  2'!$E65)*'Get Started  2'!$E86/'Get Started  2'!$E82),0)</f>
        <v>0</v>
      </c>
      <c r="AX251" s="52">
        <f ca="1">IFERROR(IF(AX4&lt;'Get Started  2'!$E55,0,OFFSET(AX246,0,-1*'Get Started  2'!$E55)*'Get Started  2'!$E84/'Get Started  2'!$E82),0)+IFERROR(IF(AX4&lt;'Get Started  2'!$E65,0,OFFSET(AX246,0,-1*'Get Started  2'!$E65)*'Get Started  2'!$E86/'Get Started  2'!$E82),0)</f>
        <v>0</v>
      </c>
      <c r="AY251" s="52">
        <f ca="1">IFERROR(IF(AY4&lt;'Get Started  2'!$E55,0,OFFSET(AY246,0,-1*'Get Started  2'!$E55)*'Get Started  2'!$E84/'Get Started  2'!$E82),0)+IFERROR(IF(AY4&lt;'Get Started  2'!$E65,0,OFFSET(AY246,0,-1*'Get Started  2'!$E65)*'Get Started  2'!$E86/'Get Started  2'!$E82),0)</f>
        <v>0</v>
      </c>
      <c r="AZ251" s="52">
        <f ca="1">IFERROR(IF(AZ4&lt;'Get Started  2'!$E55,0,OFFSET(AZ246,0,-1*'Get Started  2'!$E55)*'Get Started  2'!$E84/'Get Started  2'!$E82),0)+IFERROR(IF(AZ4&lt;'Get Started  2'!$E65,0,OFFSET(AZ246,0,-1*'Get Started  2'!$E65)*'Get Started  2'!$E86/'Get Started  2'!$E82),0)</f>
        <v>0</v>
      </c>
      <c r="BA251" s="52">
        <f ca="1">IFERROR(IF(BA4&lt;'Get Started  2'!$E55,0,OFFSET(BA246,0,-1*'Get Started  2'!$E55)*'Get Started  2'!$E84/'Get Started  2'!$E82),0)+IFERROR(IF(BA4&lt;'Get Started  2'!$E65,0,OFFSET(BA246,0,-1*'Get Started  2'!$E65)*'Get Started  2'!$E86/'Get Started  2'!$E82),0)</f>
        <v>0</v>
      </c>
      <c r="BB251" s="52">
        <f ca="1">IFERROR(IF(BB4&lt;'Get Started  2'!$E55,0,OFFSET(BB246,0,-1*'Get Started  2'!$E55)*'Get Started  2'!$E84/'Get Started  2'!$E82),0)+IFERROR(IF(BB4&lt;'Get Started  2'!$E65,0,OFFSET(BB246,0,-1*'Get Started  2'!$E65)*'Get Started  2'!$E86/'Get Started  2'!$E82),0)</f>
        <v>0</v>
      </c>
      <c r="BC251" s="52">
        <f ca="1">IFERROR(IF(BC4&lt;'Get Started  2'!$E55,0,OFFSET(BC246,0,-1*'Get Started  2'!$E55)*'Get Started  2'!$E84/'Get Started  2'!$E82),0)+IFERROR(IF(BC4&lt;'Get Started  2'!$E65,0,OFFSET(BC246,0,-1*'Get Started  2'!$E65)*'Get Started  2'!$E86/'Get Started  2'!$E82),0)</f>
        <v>0</v>
      </c>
      <c r="BD251" s="52">
        <f ca="1">IFERROR(IF(BD4&lt;'Get Started  2'!$E55,0,OFFSET(BD246,0,-1*'Get Started  2'!$E55)*'Get Started  2'!$E84/'Get Started  2'!$E82),0)+IFERROR(IF(BD4&lt;'Get Started  2'!$E65,0,OFFSET(BD246,0,-1*'Get Started  2'!$E65)*'Get Started  2'!$E86/'Get Started  2'!$E82),0)</f>
        <v>0</v>
      </c>
      <c r="BE251" s="52">
        <f ca="1">IFERROR(IF(BE4&lt;'Get Started  2'!$E55,0,OFFSET(BE246,0,-1*'Get Started  2'!$E55)*'Get Started  2'!$E84/'Get Started  2'!$E82),0)+IFERROR(IF(BE4&lt;'Get Started  2'!$E65,0,OFFSET(BE246,0,-1*'Get Started  2'!$E65)*'Get Started  2'!$E86/'Get Started  2'!$E82),0)</f>
        <v>0</v>
      </c>
      <c r="BF251" s="52">
        <f ca="1">IFERROR(IF(BF4&lt;'Get Started  2'!$E55,0,OFFSET(BF246,0,-1*'Get Started  2'!$E55)*'Get Started  2'!$E84/'Get Started  2'!$E82),0)+IFERROR(IF(BF4&lt;'Get Started  2'!$E65,0,OFFSET(BF246,0,-1*'Get Started  2'!$E65)*'Get Started  2'!$E86/'Get Started  2'!$E82),0)</f>
        <v>0</v>
      </c>
      <c r="BG251" s="52">
        <f ca="1">IFERROR(IF(BG4&lt;'Get Started  2'!$E55,0,OFFSET(BG246,0,-1*'Get Started  2'!$E55)*'Get Started  2'!$E84/'Get Started  2'!$E82),0)+IFERROR(IF(BG4&lt;'Get Started  2'!$E65,0,OFFSET(BG246,0,-1*'Get Started  2'!$E65)*'Get Started  2'!$E86/'Get Started  2'!$E82),0)</f>
        <v>0</v>
      </c>
      <c r="BH251" s="52">
        <f ca="1">IFERROR(IF(BH4&lt;'Get Started  2'!$E55,0,OFFSET(BH246,0,-1*'Get Started  2'!$E55)*'Get Started  2'!$E84/'Get Started  2'!$E82),0)+IFERROR(IF(BH4&lt;'Get Started  2'!$E65,0,OFFSET(BH246,0,-1*'Get Started  2'!$E65)*'Get Started  2'!$E86/'Get Started  2'!$E82),0)</f>
        <v>0</v>
      </c>
      <c r="BI251" s="52">
        <f ca="1">IFERROR(IF(BI4&lt;'Get Started  2'!$E55,0,OFFSET(BI246,0,-1*'Get Started  2'!$E55)*'Get Started  2'!$E84/'Get Started  2'!$E82),0)+IFERROR(IF(BI4&lt;'Get Started  2'!$E65,0,OFFSET(BI246,0,-1*'Get Started  2'!$E65)*'Get Started  2'!$E86/'Get Started  2'!$E82),0)</f>
        <v>0</v>
      </c>
      <c r="BJ251" s="52">
        <f ca="1">IFERROR(IF(BJ4&lt;'Get Started  2'!$E55,0,OFFSET(BJ246,0,-1*'Get Started  2'!$E55)*'Get Started  2'!$E84/'Get Started  2'!$E82),0)+IFERROR(IF(BJ4&lt;'Get Started  2'!$E65,0,OFFSET(BJ246,0,-1*'Get Started  2'!$E65)*'Get Started  2'!$E86/'Get Started  2'!$E82),0)</f>
        <v>0</v>
      </c>
      <c r="BK251" s="52">
        <f ca="1">IFERROR(IF(BK4&lt;'Get Started  2'!$E55,0,OFFSET(BK246,0,-1*'Get Started  2'!$E55)*'Get Started  2'!$E84/'Get Started  2'!$E82),0)+IFERROR(IF(BK4&lt;'Get Started  2'!$E65,0,OFFSET(BK246,0,-1*'Get Started  2'!$E65)*'Get Started  2'!$E86/'Get Started  2'!$E82),0)</f>
        <v>0</v>
      </c>
      <c r="BL251" s="52">
        <f ca="1">IFERROR(IF(BL4&lt;'Get Started  2'!$E55,0,OFFSET(BL246,0,-1*'Get Started  2'!$E55)*'Get Started  2'!$E84/'Get Started  2'!$E82),0)+IFERROR(IF(BL4&lt;'Get Started  2'!$E65,0,OFFSET(BL246,0,-1*'Get Started  2'!$E65)*'Get Started  2'!$E86/'Get Started  2'!$E82),0)</f>
        <v>0</v>
      </c>
      <c r="BM251" s="52">
        <f ca="1">IFERROR(IF(BM4&lt;'Get Started  2'!$E55,0,OFFSET(BM246,0,-1*'Get Started  2'!$E55)*'Get Started  2'!$E84/'Get Started  2'!$E82),0)+IFERROR(IF(BM4&lt;'Get Started  2'!$E65,0,OFFSET(BM246,0,-1*'Get Started  2'!$E65)*'Get Started  2'!$E86/'Get Started  2'!$E82),0)</f>
        <v>0</v>
      </c>
      <c r="BN251" s="52">
        <f ca="1">IFERROR(IF(BN4&lt;'Get Started  2'!$E55,0,OFFSET(BN246,0,-1*'Get Started  2'!$E55)*'Get Started  2'!$E84/'Get Started  2'!$E82),0)+IFERROR(IF(BN4&lt;'Get Started  2'!$E65,0,OFFSET(BN246,0,-1*'Get Started  2'!$E65)*'Get Started  2'!$E86/'Get Started  2'!$E82),0)</f>
        <v>0</v>
      </c>
      <c r="BO251" s="52">
        <f ca="1">IFERROR(IF(BO4&lt;'Get Started  2'!$E55,0,OFFSET(BO246,0,-1*'Get Started  2'!$E55)*'Get Started  2'!$E84/'Get Started  2'!$E82),0)+IFERROR(IF(BO4&lt;'Get Started  2'!$E65,0,OFFSET(BO246,0,-1*'Get Started  2'!$E65)*'Get Started  2'!$E86/'Get Started  2'!$E82),0)</f>
        <v>0</v>
      </c>
      <c r="BP251" s="52">
        <f ca="1">IFERROR(IF(BP4&lt;'Get Started  2'!$E55,0,OFFSET(BP246,0,-1*'Get Started  2'!$E55)*'Get Started  2'!$E84/'Get Started  2'!$E82),0)+IFERROR(IF(BP4&lt;'Get Started  2'!$E65,0,OFFSET(BP246,0,-1*'Get Started  2'!$E65)*'Get Started  2'!$E86/'Get Started  2'!$E82),0)</f>
        <v>0</v>
      </c>
      <c r="BQ251" s="52">
        <f ca="1">IFERROR(IF(BQ4&lt;'Get Started  2'!$E55,0,OFFSET(BQ246,0,-1*'Get Started  2'!$E55)*'Get Started  2'!$E84/'Get Started  2'!$E82),0)+IFERROR(IF(BQ4&lt;'Get Started  2'!$E65,0,OFFSET(BQ246,0,-1*'Get Started  2'!$E65)*'Get Started  2'!$E86/'Get Started  2'!$E82),0)</f>
        <v>0</v>
      </c>
      <c r="BR251" s="52">
        <f ca="1">IFERROR(IF(BR4&lt;'Get Started  2'!$E55,0,OFFSET(BR246,0,-1*'Get Started  2'!$E55)*'Get Started  2'!$E84/'Get Started  2'!$E82),0)+IFERROR(IF(BR4&lt;'Get Started  2'!$E65,0,OFFSET(BR246,0,-1*'Get Started  2'!$E65)*'Get Started  2'!$E86/'Get Started  2'!$E82),0)</f>
        <v>0</v>
      </c>
      <c r="BS251" s="52">
        <f ca="1">IFERROR(IF(BS4&lt;'Get Started  2'!$E55,0,OFFSET(BS246,0,-1*'Get Started  2'!$E55)*'Get Started  2'!$E84/'Get Started  2'!$E82),0)+IFERROR(IF(BS4&lt;'Get Started  2'!$E65,0,OFFSET(BS246,0,-1*'Get Started  2'!$E65)*'Get Started  2'!$E86/'Get Started  2'!$E82),0)</f>
        <v>0</v>
      </c>
      <c r="BT251" s="52">
        <f ca="1">IFERROR(IF(BT4&lt;'Get Started  2'!$E55,0,OFFSET(BT246,0,-1*'Get Started  2'!$E55)*'Get Started  2'!$E84/'Get Started  2'!$E82),0)+IFERROR(IF(BT4&lt;'Get Started  2'!$E65,0,OFFSET(BT246,0,-1*'Get Started  2'!$E65)*'Get Started  2'!$E86/'Get Started  2'!$E82),0)</f>
        <v>0</v>
      </c>
      <c r="BU251" s="52">
        <f ca="1">IFERROR(IF(BU4&lt;'Get Started  2'!$E55,0,OFFSET(BU246,0,-1*'Get Started  2'!$E55)*'Get Started  2'!$E84/'Get Started  2'!$E82),0)+IFERROR(IF(BU4&lt;'Get Started  2'!$E65,0,OFFSET(BU246,0,-1*'Get Started  2'!$E65)*'Get Started  2'!$E86/'Get Started  2'!$E82),0)</f>
        <v>0</v>
      </c>
      <c r="BV251" s="52">
        <f ca="1">IFERROR(IF(BV4&lt;'Get Started  2'!$E55,0,OFFSET(BV246,0,-1*'Get Started  2'!$E55)*'Get Started  2'!$E84/'Get Started  2'!$E82),0)+IFERROR(IF(BV4&lt;'Get Started  2'!$E65,0,OFFSET(BV246,0,-1*'Get Started  2'!$E65)*'Get Started  2'!$E86/'Get Started  2'!$E82),0)</f>
        <v>0</v>
      </c>
      <c r="BW251" s="52">
        <f ca="1">IFERROR(IF(BW4&lt;'Get Started  2'!$E55,0,OFFSET(BW246,0,-1*'Get Started  2'!$E55)*'Get Started  2'!$E84/'Get Started  2'!$E82),0)+IFERROR(IF(BW4&lt;'Get Started  2'!$E65,0,OFFSET(BW246,0,-1*'Get Started  2'!$E65)*'Get Started  2'!$E86/'Get Started  2'!$E82),0)</f>
        <v>0</v>
      </c>
      <c r="BX251" s="52">
        <f ca="1">IFERROR(IF(BX4&lt;'Get Started  2'!$E55,0,OFFSET(BX246,0,-1*'Get Started  2'!$E55)*'Get Started  2'!$E84/'Get Started  2'!$E82),0)+IFERROR(IF(BX4&lt;'Get Started  2'!$E65,0,OFFSET(BX246,0,-1*'Get Started  2'!$E65)*'Get Started  2'!$E86/'Get Started  2'!$E82),0)</f>
        <v>0</v>
      </c>
      <c r="BY251" s="52">
        <f ca="1">IFERROR(IF(BY4&lt;'Get Started  2'!$E55,0,OFFSET(BY246,0,-1*'Get Started  2'!$E55)*'Get Started  2'!$E84/'Get Started  2'!$E82),0)+IFERROR(IF(BY4&lt;'Get Started  2'!$E65,0,OFFSET(BY246,0,-1*'Get Started  2'!$E65)*'Get Started  2'!$E86/'Get Started  2'!$E82),0)</f>
        <v>0</v>
      </c>
      <c r="BZ251" s="52">
        <f ca="1">IFERROR(IF(BZ4&lt;'Get Started  2'!$E55,0,OFFSET(BZ246,0,-1*'Get Started  2'!$E55)*'Get Started  2'!$E84/'Get Started  2'!$E82),0)+IFERROR(IF(BZ4&lt;'Get Started  2'!$E65,0,OFFSET(BZ246,0,-1*'Get Started  2'!$E65)*'Get Started  2'!$E86/'Get Started  2'!$E82),0)</f>
        <v>0</v>
      </c>
      <c r="CA251" s="52">
        <f ca="1">IFERROR(IF(CA4&lt;'Get Started  2'!$E55,0,OFFSET(CA246,0,-1*'Get Started  2'!$E55)*'Get Started  2'!$E84/'Get Started  2'!$E82),0)+IFERROR(IF(CA4&lt;'Get Started  2'!$E65,0,OFFSET(CA246,0,-1*'Get Started  2'!$E65)*'Get Started  2'!$E86/'Get Started  2'!$E82),0)</f>
        <v>0</v>
      </c>
      <c r="CB251" s="52">
        <f ca="1">IFERROR(IF(CB4&lt;'Get Started  2'!$E55,0,OFFSET(CB246,0,-1*'Get Started  2'!$E55)*'Get Started  2'!$E84/'Get Started  2'!$E82),0)+IFERROR(IF(CB4&lt;'Get Started  2'!$E65,0,OFFSET(CB246,0,-1*'Get Started  2'!$E65)*'Get Started  2'!$E86/'Get Started  2'!$E82),0)</f>
        <v>0</v>
      </c>
      <c r="CC251" s="52">
        <f ca="1">IFERROR(IF(CC4&lt;'Get Started  2'!$E55,0,OFFSET(CC246,0,-1*'Get Started  2'!$E55)*'Get Started  2'!$E84/'Get Started  2'!$E82),0)+IFERROR(IF(CC4&lt;'Get Started  2'!$E65,0,OFFSET(CC246,0,-1*'Get Started  2'!$E65)*'Get Started  2'!$E86/'Get Started  2'!$E82),0)</f>
        <v>0</v>
      </c>
      <c r="CD251" s="52">
        <f ca="1">IFERROR(IF(CD4&lt;'Get Started  2'!$E55,0,OFFSET(CD246,0,-1*'Get Started  2'!$E55)*'Get Started  2'!$E84/'Get Started  2'!$E82),0)+IFERROR(IF(CD4&lt;'Get Started  2'!$E65,0,OFFSET(CD246,0,-1*'Get Started  2'!$E65)*'Get Started  2'!$E86/'Get Started  2'!$E82),0)</f>
        <v>0</v>
      </c>
      <c r="CE251" s="52">
        <f ca="1">IFERROR(IF(CE4&lt;'Get Started  2'!$E55,0,OFFSET(CE246,0,-1*'Get Started  2'!$E55)*'Get Started  2'!$E84/'Get Started  2'!$E82),0)+IFERROR(IF(CE4&lt;'Get Started  2'!$E65,0,OFFSET(CE246,0,-1*'Get Started  2'!$E65)*'Get Started  2'!$E86/'Get Started  2'!$E82),0)</f>
        <v>0</v>
      </c>
      <c r="CF251" s="52">
        <f ca="1">IFERROR(IF(CF4&lt;'Get Started  2'!$E55,0,OFFSET(CF246,0,-1*'Get Started  2'!$E55)*'Get Started  2'!$E84/'Get Started  2'!$E82),0)+IFERROR(IF(CF4&lt;'Get Started  2'!$E65,0,OFFSET(CF246,0,-1*'Get Started  2'!$E65)*'Get Started  2'!$E86/'Get Started  2'!$E82),0)</f>
        <v>0</v>
      </c>
      <c r="CG251" s="52">
        <f ca="1">IFERROR(IF(CG4&lt;'Get Started  2'!$E55,0,OFFSET(CG246,0,-1*'Get Started  2'!$E55)*'Get Started  2'!$E84/'Get Started  2'!$E82),0)+IFERROR(IF(CG4&lt;'Get Started  2'!$E65,0,OFFSET(CG246,0,-1*'Get Started  2'!$E65)*'Get Started  2'!$E86/'Get Started  2'!$E82),0)</f>
        <v>0</v>
      </c>
      <c r="CH251" s="52">
        <f ca="1">IFERROR(IF(CH4&lt;'Get Started  2'!$E55,0,OFFSET(CH246,0,-1*'Get Started  2'!$E55)*'Get Started  2'!$E84/'Get Started  2'!$E82),0)+IFERROR(IF(CH4&lt;'Get Started  2'!$E65,0,OFFSET(CH246,0,-1*'Get Started  2'!$E65)*'Get Started  2'!$E86/'Get Started  2'!$E82),0)</f>
        <v>0</v>
      </c>
    </row>
    <row r="252" spans="1:86" ht="13" outlineLevel="1">
      <c r="A252" s="13"/>
      <c r="B252" s="13" t="s">
        <v>329</v>
      </c>
      <c r="C252" s="13"/>
      <c r="D252" s="13" t="s">
        <v>238</v>
      </c>
      <c r="E252" s="88">
        <f t="shared" ca="1" si="183"/>
        <v>0</v>
      </c>
      <c r="F252" s="48"/>
      <c r="G252" s="52">
        <f ca="1">IFERROR(IF(G4&lt;'Get Started  2'!$F55,0,OFFSET(G247,0,-1*'Get Started  2'!$F55)*'Get Started  2'!$F84/'Get Started  2'!$F82),0)+IFERROR(IF(G4&lt;'Get Started  2'!$F65,0,OFFSET(G247,0,-1*'Get Started  2'!$F65)*'Get Started  2'!$F86/'Get Started  2'!$F82),0)</f>
        <v>0</v>
      </c>
      <c r="H252" s="52">
        <f ca="1">IFERROR(IF(H4&lt;'Get Started  2'!$F55,0,OFFSET(H247,0,-1*'Get Started  2'!$F55)*'Get Started  2'!$F84/'Get Started  2'!$F82),0)+IFERROR(IF(H4&lt;'Get Started  2'!$F65,0,OFFSET(H247,0,-1*'Get Started  2'!$F65)*'Get Started  2'!$F86/'Get Started  2'!$F82),0)</f>
        <v>0</v>
      </c>
      <c r="I252" s="52">
        <f ca="1">IFERROR(IF(I4&lt;'Get Started  2'!$F55,0,OFFSET(I247,0,-1*'Get Started  2'!$F55)*'Get Started  2'!$F84/'Get Started  2'!$F82),0)+IFERROR(IF(I4&lt;'Get Started  2'!$F65,0,OFFSET(I247,0,-1*'Get Started  2'!$F65)*'Get Started  2'!$F86/'Get Started  2'!$F82),0)</f>
        <v>0</v>
      </c>
      <c r="J252" s="52">
        <f ca="1">IFERROR(IF(J4&lt;'Get Started  2'!$F55,0,OFFSET(J247,0,-1*'Get Started  2'!$F55)*'Get Started  2'!$F84/'Get Started  2'!$F82),0)+IFERROR(IF(J4&lt;'Get Started  2'!$F65,0,OFFSET(J247,0,-1*'Get Started  2'!$F65)*'Get Started  2'!$F86/'Get Started  2'!$F82),0)</f>
        <v>0</v>
      </c>
      <c r="K252" s="52">
        <f ca="1">IFERROR(IF(K4&lt;'Get Started  2'!$F55,0,OFFSET(K247,0,-1*'Get Started  2'!$F55)*'Get Started  2'!$F84/'Get Started  2'!$F82),0)+IFERROR(IF(K4&lt;'Get Started  2'!$F65,0,OFFSET(K247,0,-1*'Get Started  2'!$F65)*'Get Started  2'!$F86/'Get Started  2'!$F82),0)</f>
        <v>0</v>
      </c>
      <c r="L252" s="52">
        <f ca="1">IFERROR(IF(L4&lt;'Get Started  2'!$F55,0,OFFSET(L247,0,-1*'Get Started  2'!$F55)*'Get Started  2'!$F84/'Get Started  2'!$F82),0)+IFERROR(IF(L4&lt;'Get Started  2'!$F65,0,OFFSET(L247,0,-1*'Get Started  2'!$F65)*'Get Started  2'!$F86/'Get Started  2'!$F82),0)</f>
        <v>0</v>
      </c>
      <c r="M252" s="52">
        <f ca="1">IFERROR(IF(M4&lt;'Get Started  2'!$F55,0,OFFSET(M247,0,-1*'Get Started  2'!$F55)*'Get Started  2'!$F84/'Get Started  2'!$F82),0)+IFERROR(IF(M4&lt;'Get Started  2'!$F65,0,OFFSET(M247,0,-1*'Get Started  2'!$F65)*'Get Started  2'!$F86/'Get Started  2'!$F82),0)</f>
        <v>0</v>
      </c>
      <c r="N252" s="52">
        <f ca="1">IFERROR(IF(N4&lt;'Get Started  2'!$F55,0,OFFSET(N247,0,-1*'Get Started  2'!$F55)*'Get Started  2'!$F84/'Get Started  2'!$F82),0)+IFERROR(IF(N4&lt;'Get Started  2'!$F65,0,OFFSET(N247,0,-1*'Get Started  2'!$F65)*'Get Started  2'!$F86/'Get Started  2'!$F82),0)</f>
        <v>0</v>
      </c>
      <c r="O252" s="52">
        <f ca="1">IFERROR(IF(O4&lt;'Get Started  2'!$F55,0,OFFSET(O247,0,-1*'Get Started  2'!$F55)*'Get Started  2'!$F84/'Get Started  2'!$F82),0)+IFERROR(IF(O4&lt;'Get Started  2'!$F65,0,OFFSET(O247,0,-1*'Get Started  2'!$F65)*'Get Started  2'!$F86/'Get Started  2'!$F82),0)</f>
        <v>0</v>
      </c>
      <c r="P252" s="52">
        <f ca="1">IFERROR(IF(P4&lt;'Get Started  2'!$F55,0,OFFSET(P247,0,-1*'Get Started  2'!$F55)*'Get Started  2'!$F84/'Get Started  2'!$F82),0)+IFERROR(IF(P4&lt;'Get Started  2'!$F65,0,OFFSET(P247,0,-1*'Get Started  2'!$F65)*'Get Started  2'!$F86/'Get Started  2'!$F82),0)</f>
        <v>0</v>
      </c>
      <c r="Q252" s="52">
        <f ca="1">IFERROR(IF(Q4&lt;'Get Started  2'!$F55,0,OFFSET(Q247,0,-1*'Get Started  2'!$F55)*'Get Started  2'!$F84/'Get Started  2'!$F82),0)+IFERROR(IF(Q4&lt;'Get Started  2'!$F65,0,OFFSET(Q247,0,-1*'Get Started  2'!$F65)*'Get Started  2'!$F86/'Get Started  2'!$F82),0)</f>
        <v>0</v>
      </c>
      <c r="R252" s="52">
        <f ca="1">IFERROR(IF(R4&lt;'Get Started  2'!$F55,0,OFFSET(R247,0,-1*'Get Started  2'!$F55)*'Get Started  2'!$F84/'Get Started  2'!$F82),0)+IFERROR(IF(R4&lt;'Get Started  2'!$F65,0,OFFSET(R247,0,-1*'Get Started  2'!$F65)*'Get Started  2'!$F86/'Get Started  2'!$F82),0)</f>
        <v>0</v>
      </c>
      <c r="S252" s="52">
        <f ca="1">IFERROR(IF(S4&lt;'Get Started  2'!$F55,0,OFFSET(S247,0,-1*'Get Started  2'!$F55)*'Get Started  2'!$F84/'Get Started  2'!$F82),0)+IFERROR(IF(S4&lt;'Get Started  2'!$F65,0,OFFSET(S247,0,-1*'Get Started  2'!$F65)*'Get Started  2'!$F86/'Get Started  2'!$F82),0)</f>
        <v>0</v>
      </c>
      <c r="T252" s="52">
        <f ca="1">IFERROR(IF(T4&lt;'Get Started  2'!$F55,0,OFFSET(T247,0,-1*'Get Started  2'!$F55)*'Get Started  2'!$F84/'Get Started  2'!$F82),0)+IFERROR(IF(T4&lt;'Get Started  2'!$F65,0,OFFSET(T247,0,-1*'Get Started  2'!$F65)*'Get Started  2'!$F86/'Get Started  2'!$F82),0)</f>
        <v>0</v>
      </c>
      <c r="U252" s="52">
        <f ca="1">IFERROR(IF(U4&lt;'Get Started  2'!$F55,0,OFFSET(U247,0,-1*'Get Started  2'!$F55)*'Get Started  2'!$F84/'Get Started  2'!$F82),0)+IFERROR(IF(U4&lt;'Get Started  2'!$F65,0,OFFSET(U247,0,-1*'Get Started  2'!$F65)*'Get Started  2'!$F86/'Get Started  2'!$F82),0)</f>
        <v>0</v>
      </c>
      <c r="V252" s="52">
        <f ca="1">IFERROR(IF(V4&lt;'Get Started  2'!$F55,0,OFFSET(V247,0,-1*'Get Started  2'!$F55)*'Get Started  2'!$F84/'Get Started  2'!$F82),0)+IFERROR(IF(V4&lt;'Get Started  2'!$F65,0,OFFSET(V247,0,-1*'Get Started  2'!$F65)*'Get Started  2'!$F86/'Get Started  2'!$F82),0)</f>
        <v>0</v>
      </c>
      <c r="W252" s="52">
        <f ca="1">IFERROR(IF(W4&lt;'Get Started  2'!$F55,0,OFFSET(W247,0,-1*'Get Started  2'!$F55)*'Get Started  2'!$F84/'Get Started  2'!$F82),0)+IFERROR(IF(W4&lt;'Get Started  2'!$F65,0,OFFSET(W247,0,-1*'Get Started  2'!$F65)*'Get Started  2'!$F86/'Get Started  2'!$F82),0)</f>
        <v>0</v>
      </c>
      <c r="X252" s="52">
        <f ca="1">IFERROR(IF(X4&lt;'Get Started  2'!$F55,0,OFFSET(X247,0,-1*'Get Started  2'!$F55)*'Get Started  2'!$F84/'Get Started  2'!$F82),0)+IFERROR(IF(X4&lt;'Get Started  2'!$F65,0,OFFSET(X247,0,-1*'Get Started  2'!$F65)*'Get Started  2'!$F86/'Get Started  2'!$F82),0)</f>
        <v>0</v>
      </c>
      <c r="Y252" s="52">
        <f ca="1">IFERROR(IF(Y4&lt;'Get Started  2'!$F55,0,OFFSET(Y247,0,-1*'Get Started  2'!$F55)*'Get Started  2'!$F84/'Get Started  2'!$F82),0)+IFERROR(IF(Y4&lt;'Get Started  2'!$F65,0,OFFSET(Y247,0,-1*'Get Started  2'!$F65)*'Get Started  2'!$F86/'Get Started  2'!$F82),0)</f>
        <v>0</v>
      </c>
      <c r="Z252" s="52">
        <f ca="1">IFERROR(IF(Z4&lt;'Get Started  2'!$F55,0,OFFSET(Z247,0,-1*'Get Started  2'!$F55)*'Get Started  2'!$F84/'Get Started  2'!$F82),0)+IFERROR(IF(Z4&lt;'Get Started  2'!$F65,0,OFFSET(Z247,0,-1*'Get Started  2'!$F65)*'Get Started  2'!$F86/'Get Started  2'!$F82),0)</f>
        <v>0</v>
      </c>
      <c r="AA252" s="52">
        <f ca="1">IFERROR(IF(AA4&lt;'Get Started  2'!$F55,0,OFFSET(AA247,0,-1*'Get Started  2'!$F55)*'Get Started  2'!$F84/'Get Started  2'!$F82),0)+IFERROR(IF(AA4&lt;'Get Started  2'!$F65,0,OFFSET(AA247,0,-1*'Get Started  2'!$F65)*'Get Started  2'!$F86/'Get Started  2'!$F82),0)</f>
        <v>0</v>
      </c>
      <c r="AB252" s="52">
        <f ca="1">IFERROR(IF(AB4&lt;'Get Started  2'!$F55,0,OFFSET(AB247,0,-1*'Get Started  2'!$F55)*'Get Started  2'!$F84/'Get Started  2'!$F82),0)+IFERROR(IF(AB4&lt;'Get Started  2'!$F65,0,OFFSET(AB247,0,-1*'Get Started  2'!$F65)*'Get Started  2'!$F86/'Get Started  2'!$F82),0)</f>
        <v>0</v>
      </c>
      <c r="AC252" s="52">
        <f ca="1">IFERROR(IF(AC4&lt;'Get Started  2'!$F55,0,OFFSET(AC247,0,-1*'Get Started  2'!$F55)*'Get Started  2'!$F84/'Get Started  2'!$F82),0)+IFERROR(IF(AC4&lt;'Get Started  2'!$F65,0,OFFSET(AC247,0,-1*'Get Started  2'!$F65)*'Get Started  2'!$F86/'Get Started  2'!$F82),0)</f>
        <v>0</v>
      </c>
      <c r="AD252" s="52">
        <f ca="1">IFERROR(IF(AD4&lt;'Get Started  2'!$F55,0,OFFSET(AD247,0,-1*'Get Started  2'!$F55)*'Get Started  2'!$F84/'Get Started  2'!$F82),0)+IFERROR(IF(AD4&lt;'Get Started  2'!$F65,0,OFFSET(AD247,0,-1*'Get Started  2'!$F65)*'Get Started  2'!$F86/'Get Started  2'!$F82),0)</f>
        <v>0</v>
      </c>
      <c r="AE252" s="52">
        <f ca="1">IFERROR(IF(AE4&lt;'Get Started  2'!$F55,0,OFFSET(AE247,0,-1*'Get Started  2'!$F55)*'Get Started  2'!$F84/'Get Started  2'!$F82),0)+IFERROR(IF(AE4&lt;'Get Started  2'!$F65,0,OFFSET(AE247,0,-1*'Get Started  2'!$F65)*'Get Started  2'!$F86/'Get Started  2'!$F82),0)</f>
        <v>0</v>
      </c>
      <c r="AF252" s="52">
        <f ca="1">IFERROR(IF(AF4&lt;'Get Started  2'!$F55,0,OFFSET(AF247,0,-1*'Get Started  2'!$F55)*'Get Started  2'!$F84/'Get Started  2'!$F82),0)+IFERROR(IF(AF4&lt;'Get Started  2'!$F65,0,OFFSET(AF247,0,-1*'Get Started  2'!$F65)*'Get Started  2'!$F86/'Get Started  2'!$F82),0)</f>
        <v>0</v>
      </c>
      <c r="AG252" s="52">
        <f ca="1">IFERROR(IF(AG4&lt;'Get Started  2'!$F55,0,OFFSET(AG247,0,-1*'Get Started  2'!$F55)*'Get Started  2'!$F84/'Get Started  2'!$F82),0)+IFERROR(IF(AG4&lt;'Get Started  2'!$F65,0,OFFSET(AG247,0,-1*'Get Started  2'!$F65)*'Get Started  2'!$F86/'Get Started  2'!$F82),0)</f>
        <v>0</v>
      </c>
      <c r="AH252" s="52">
        <f ca="1">IFERROR(IF(AH4&lt;'Get Started  2'!$F55,0,OFFSET(AH247,0,-1*'Get Started  2'!$F55)*'Get Started  2'!$F84/'Get Started  2'!$F82),0)+IFERROR(IF(AH4&lt;'Get Started  2'!$F65,0,OFFSET(AH247,0,-1*'Get Started  2'!$F65)*'Get Started  2'!$F86/'Get Started  2'!$F82),0)</f>
        <v>0</v>
      </c>
      <c r="AI252" s="52">
        <f ca="1">IFERROR(IF(AI4&lt;'Get Started  2'!$F55,0,OFFSET(AI247,0,-1*'Get Started  2'!$F55)*'Get Started  2'!$F84/'Get Started  2'!$F82),0)+IFERROR(IF(AI4&lt;'Get Started  2'!$F65,0,OFFSET(AI247,0,-1*'Get Started  2'!$F65)*'Get Started  2'!$F86/'Get Started  2'!$F82),0)</f>
        <v>0</v>
      </c>
      <c r="AJ252" s="52">
        <f ca="1">IFERROR(IF(AJ4&lt;'Get Started  2'!$F55,0,OFFSET(AJ247,0,-1*'Get Started  2'!$F55)*'Get Started  2'!$F84/'Get Started  2'!$F82),0)+IFERROR(IF(AJ4&lt;'Get Started  2'!$F65,0,OFFSET(AJ247,0,-1*'Get Started  2'!$F65)*'Get Started  2'!$F86/'Get Started  2'!$F82),0)</f>
        <v>0</v>
      </c>
      <c r="AK252" s="52">
        <f ca="1">IFERROR(IF(AK4&lt;'Get Started  2'!$F55,0,OFFSET(AK247,0,-1*'Get Started  2'!$F55)*'Get Started  2'!$F84/'Get Started  2'!$F82),0)+IFERROR(IF(AK4&lt;'Get Started  2'!$F65,0,OFFSET(AK247,0,-1*'Get Started  2'!$F65)*'Get Started  2'!$F86/'Get Started  2'!$F82),0)</f>
        <v>0</v>
      </c>
      <c r="AL252" s="52">
        <f ca="1">IFERROR(IF(AL4&lt;'Get Started  2'!$F55,0,OFFSET(AL247,0,-1*'Get Started  2'!$F55)*'Get Started  2'!$F84/'Get Started  2'!$F82),0)+IFERROR(IF(AL4&lt;'Get Started  2'!$F65,0,OFFSET(AL247,0,-1*'Get Started  2'!$F65)*'Get Started  2'!$F86/'Get Started  2'!$F82),0)</f>
        <v>0</v>
      </c>
      <c r="AM252" s="52">
        <f ca="1">IFERROR(IF(AM4&lt;'Get Started  2'!$F55,0,OFFSET(AM247,0,-1*'Get Started  2'!$F55)*'Get Started  2'!$F84/'Get Started  2'!$F82),0)+IFERROR(IF(AM4&lt;'Get Started  2'!$F65,0,OFFSET(AM247,0,-1*'Get Started  2'!$F65)*'Get Started  2'!$F86/'Get Started  2'!$F82),0)</f>
        <v>0</v>
      </c>
      <c r="AN252" s="52">
        <f ca="1">IFERROR(IF(AN4&lt;'Get Started  2'!$F55,0,OFFSET(AN247,0,-1*'Get Started  2'!$F55)*'Get Started  2'!$F84/'Get Started  2'!$F82),0)+IFERROR(IF(AN4&lt;'Get Started  2'!$F65,0,OFFSET(AN247,0,-1*'Get Started  2'!$F65)*'Get Started  2'!$F86/'Get Started  2'!$F82),0)</f>
        <v>0</v>
      </c>
      <c r="AO252" s="52">
        <f ca="1">IFERROR(IF(AO4&lt;'Get Started  2'!$F55,0,OFFSET(AO247,0,-1*'Get Started  2'!$F55)*'Get Started  2'!$F84/'Get Started  2'!$F82),0)+IFERROR(IF(AO4&lt;'Get Started  2'!$F65,0,OFFSET(AO247,0,-1*'Get Started  2'!$F65)*'Get Started  2'!$F86/'Get Started  2'!$F82),0)</f>
        <v>0</v>
      </c>
      <c r="AP252" s="52">
        <f ca="1">IFERROR(IF(AP4&lt;'Get Started  2'!$F55,0,OFFSET(AP247,0,-1*'Get Started  2'!$F55)*'Get Started  2'!$F84/'Get Started  2'!$F82),0)+IFERROR(IF(AP4&lt;'Get Started  2'!$F65,0,OFFSET(AP247,0,-1*'Get Started  2'!$F65)*'Get Started  2'!$F86/'Get Started  2'!$F82),0)</f>
        <v>0</v>
      </c>
      <c r="AQ252" s="52">
        <f ca="1">IFERROR(IF(AQ4&lt;'Get Started  2'!$F55,0,OFFSET(AQ247,0,-1*'Get Started  2'!$F55)*'Get Started  2'!$F84/'Get Started  2'!$F82),0)+IFERROR(IF(AQ4&lt;'Get Started  2'!$F65,0,OFFSET(AQ247,0,-1*'Get Started  2'!$F65)*'Get Started  2'!$F86/'Get Started  2'!$F82),0)</f>
        <v>0</v>
      </c>
      <c r="AR252" s="52">
        <f ca="1">IFERROR(IF(AR4&lt;'Get Started  2'!$F55,0,OFFSET(AR247,0,-1*'Get Started  2'!$F55)*'Get Started  2'!$F84/'Get Started  2'!$F82),0)+IFERROR(IF(AR4&lt;'Get Started  2'!$F65,0,OFFSET(AR247,0,-1*'Get Started  2'!$F65)*'Get Started  2'!$F86/'Get Started  2'!$F82),0)</f>
        <v>0</v>
      </c>
      <c r="AS252" s="52">
        <f ca="1">IFERROR(IF(AS4&lt;'Get Started  2'!$F55,0,OFFSET(AS247,0,-1*'Get Started  2'!$F55)*'Get Started  2'!$F84/'Get Started  2'!$F82),0)+IFERROR(IF(AS4&lt;'Get Started  2'!$F65,0,OFFSET(AS247,0,-1*'Get Started  2'!$F65)*'Get Started  2'!$F86/'Get Started  2'!$F82),0)</f>
        <v>0</v>
      </c>
      <c r="AT252" s="52">
        <f ca="1">IFERROR(IF(AT4&lt;'Get Started  2'!$F55,0,OFFSET(AT247,0,-1*'Get Started  2'!$F55)*'Get Started  2'!$F84/'Get Started  2'!$F82),0)+IFERROR(IF(AT4&lt;'Get Started  2'!$F65,0,OFFSET(AT247,0,-1*'Get Started  2'!$F65)*'Get Started  2'!$F86/'Get Started  2'!$F82),0)</f>
        <v>0</v>
      </c>
      <c r="AU252" s="52">
        <f ca="1">IFERROR(IF(AU4&lt;'Get Started  2'!$F55,0,OFFSET(AU247,0,-1*'Get Started  2'!$F55)*'Get Started  2'!$F84/'Get Started  2'!$F82),0)+IFERROR(IF(AU4&lt;'Get Started  2'!$F65,0,OFFSET(AU247,0,-1*'Get Started  2'!$F65)*'Get Started  2'!$F86/'Get Started  2'!$F82),0)</f>
        <v>0</v>
      </c>
      <c r="AV252" s="52">
        <f ca="1">IFERROR(IF(AV4&lt;'Get Started  2'!$F55,0,OFFSET(AV247,0,-1*'Get Started  2'!$F55)*'Get Started  2'!$F84/'Get Started  2'!$F82),0)+IFERROR(IF(AV4&lt;'Get Started  2'!$F65,0,OFFSET(AV247,0,-1*'Get Started  2'!$F65)*'Get Started  2'!$F86/'Get Started  2'!$F82),0)</f>
        <v>0</v>
      </c>
      <c r="AW252" s="52">
        <f ca="1">IFERROR(IF(AW4&lt;'Get Started  2'!$F55,0,OFFSET(AW247,0,-1*'Get Started  2'!$F55)*'Get Started  2'!$F84/'Get Started  2'!$F82),0)+IFERROR(IF(AW4&lt;'Get Started  2'!$F65,0,OFFSET(AW247,0,-1*'Get Started  2'!$F65)*'Get Started  2'!$F86/'Get Started  2'!$F82),0)</f>
        <v>0</v>
      </c>
      <c r="AX252" s="52">
        <f ca="1">IFERROR(IF(AX4&lt;'Get Started  2'!$F55,0,OFFSET(AX247,0,-1*'Get Started  2'!$F55)*'Get Started  2'!$F84/'Get Started  2'!$F82),0)+IFERROR(IF(AX4&lt;'Get Started  2'!$F65,0,OFFSET(AX247,0,-1*'Get Started  2'!$F65)*'Get Started  2'!$F86/'Get Started  2'!$F82),0)</f>
        <v>0</v>
      </c>
      <c r="AY252" s="52">
        <f ca="1">IFERROR(IF(AY4&lt;'Get Started  2'!$F55,0,OFFSET(AY247,0,-1*'Get Started  2'!$F55)*'Get Started  2'!$F84/'Get Started  2'!$F82),0)+IFERROR(IF(AY4&lt;'Get Started  2'!$F65,0,OFFSET(AY247,0,-1*'Get Started  2'!$F65)*'Get Started  2'!$F86/'Get Started  2'!$F82),0)</f>
        <v>0</v>
      </c>
      <c r="AZ252" s="52">
        <f ca="1">IFERROR(IF(AZ4&lt;'Get Started  2'!$F55,0,OFFSET(AZ247,0,-1*'Get Started  2'!$F55)*'Get Started  2'!$F84/'Get Started  2'!$F82),0)+IFERROR(IF(AZ4&lt;'Get Started  2'!$F65,0,OFFSET(AZ247,0,-1*'Get Started  2'!$F65)*'Get Started  2'!$F86/'Get Started  2'!$F82),0)</f>
        <v>0</v>
      </c>
      <c r="BA252" s="52">
        <f ca="1">IFERROR(IF(BA4&lt;'Get Started  2'!$F55,0,OFFSET(BA247,0,-1*'Get Started  2'!$F55)*'Get Started  2'!$F84/'Get Started  2'!$F82),0)+IFERROR(IF(BA4&lt;'Get Started  2'!$F65,0,OFFSET(BA247,0,-1*'Get Started  2'!$F65)*'Get Started  2'!$F86/'Get Started  2'!$F82),0)</f>
        <v>0</v>
      </c>
      <c r="BB252" s="52">
        <f ca="1">IFERROR(IF(BB4&lt;'Get Started  2'!$F55,0,OFFSET(BB247,0,-1*'Get Started  2'!$F55)*'Get Started  2'!$F84/'Get Started  2'!$F82),0)+IFERROR(IF(BB4&lt;'Get Started  2'!$F65,0,OFFSET(BB247,0,-1*'Get Started  2'!$F65)*'Get Started  2'!$F86/'Get Started  2'!$F82),0)</f>
        <v>0</v>
      </c>
      <c r="BC252" s="52">
        <f ca="1">IFERROR(IF(BC4&lt;'Get Started  2'!$F55,0,OFFSET(BC247,0,-1*'Get Started  2'!$F55)*'Get Started  2'!$F84/'Get Started  2'!$F82),0)+IFERROR(IF(BC4&lt;'Get Started  2'!$F65,0,OFFSET(BC247,0,-1*'Get Started  2'!$F65)*'Get Started  2'!$F86/'Get Started  2'!$F82),0)</f>
        <v>0</v>
      </c>
      <c r="BD252" s="52">
        <f ca="1">IFERROR(IF(BD4&lt;'Get Started  2'!$F55,0,OFFSET(BD247,0,-1*'Get Started  2'!$F55)*'Get Started  2'!$F84/'Get Started  2'!$F82),0)+IFERROR(IF(BD4&lt;'Get Started  2'!$F65,0,OFFSET(BD247,0,-1*'Get Started  2'!$F65)*'Get Started  2'!$F86/'Get Started  2'!$F82),0)</f>
        <v>0</v>
      </c>
      <c r="BE252" s="52">
        <f ca="1">IFERROR(IF(BE4&lt;'Get Started  2'!$F55,0,OFFSET(BE247,0,-1*'Get Started  2'!$F55)*'Get Started  2'!$F84/'Get Started  2'!$F82),0)+IFERROR(IF(BE4&lt;'Get Started  2'!$F65,0,OFFSET(BE247,0,-1*'Get Started  2'!$F65)*'Get Started  2'!$F86/'Get Started  2'!$F82),0)</f>
        <v>0</v>
      </c>
      <c r="BF252" s="52">
        <f ca="1">IFERROR(IF(BF4&lt;'Get Started  2'!$F55,0,OFFSET(BF247,0,-1*'Get Started  2'!$F55)*'Get Started  2'!$F84/'Get Started  2'!$F82),0)+IFERROR(IF(BF4&lt;'Get Started  2'!$F65,0,OFFSET(BF247,0,-1*'Get Started  2'!$F65)*'Get Started  2'!$F86/'Get Started  2'!$F82),0)</f>
        <v>0</v>
      </c>
      <c r="BG252" s="52">
        <f ca="1">IFERROR(IF(BG4&lt;'Get Started  2'!$F55,0,OFFSET(BG247,0,-1*'Get Started  2'!$F55)*'Get Started  2'!$F84/'Get Started  2'!$F82),0)+IFERROR(IF(BG4&lt;'Get Started  2'!$F65,0,OFFSET(BG247,0,-1*'Get Started  2'!$F65)*'Get Started  2'!$F86/'Get Started  2'!$F82),0)</f>
        <v>0</v>
      </c>
      <c r="BH252" s="52">
        <f ca="1">IFERROR(IF(BH4&lt;'Get Started  2'!$F55,0,OFFSET(BH247,0,-1*'Get Started  2'!$F55)*'Get Started  2'!$F84/'Get Started  2'!$F82),0)+IFERROR(IF(BH4&lt;'Get Started  2'!$F65,0,OFFSET(BH247,0,-1*'Get Started  2'!$F65)*'Get Started  2'!$F86/'Get Started  2'!$F82),0)</f>
        <v>0</v>
      </c>
      <c r="BI252" s="52">
        <f ca="1">IFERROR(IF(BI4&lt;'Get Started  2'!$F55,0,OFFSET(BI247,0,-1*'Get Started  2'!$F55)*'Get Started  2'!$F84/'Get Started  2'!$F82),0)+IFERROR(IF(BI4&lt;'Get Started  2'!$F65,0,OFFSET(BI247,0,-1*'Get Started  2'!$F65)*'Get Started  2'!$F86/'Get Started  2'!$F82),0)</f>
        <v>0</v>
      </c>
      <c r="BJ252" s="52">
        <f ca="1">IFERROR(IF(BJ4&lt;'Get Started  2'!$F55,0,OFFSET(BJ247,0,-1*'Get Started  2'!$F55)*'Get Started  2'!$F84/'Get Started  2'!$F82),0)+IFERROR(IF(BJ4&lt;'Get Started  2'!$F65,0,OFFSET(BJ247,0,-1*'Get Started  2'!$F65)*'Get Started  2'!$F86/'Get Started  2'!$F82),0)</f>
        <v>0</v>
      </c>
      <c r="BK252" s="52">
        <f ca="1">IFERROR(IF(BK4&lt;'Get Started  2'!$F55,0,OFFSET(BK247,0,-1*'Get Started  2'!$F55)*'Get Started  2'!$F84/'Get Started  2'!$F82),0)+IFERROR(IF(BK4&lt;'Get Started  2'!$F65,0,OFFSET(BK247,0,-1*'Get Started  2'!$F65)*'Get Started  2'!$F86/'Get Started  2'!$F82),0)</f>
        <v>0</v>
      </c>
      <c r="BL252" s="52">
        <f ca="1">IFERROR(IF(BL4&lt;'Get Started  2'!$F55,0,OFFSET(BL247,0,-1*'Get Started  2'!$F55)*'Get Started  2'!$F84/'Get Started  2'!$F82),0)+IFERROR(IF(BL4&lt;'Get Started  2'!$F65,0,OFFSET(BL247,0,-1*'Get Started  2'!$F65)*'Get Started  2'!$F86/'Get Started  2'!$F82),0)</f>
        <v>0</v>
      </c>
      <c r="BM252" s="52">
        <f ca="1">IFERROR(IF(BM4&lt;'Get Started  2'!$F55,0,OFFSET(BM247,0,-1*'Get Started  2'!$F55)*'Get Started  2'!$F84/'Get Started  2'!$F82),0)+IFERROR(IF(BM4&lt;'Get Started  2'!$F65,0,OFFSET(BM247,0,-1*'Get Started  2'!$F65)*'Get Started  2'!$F86/'Get Started  2'!$F82),0)</f>
        <v>0</v>
      </c>
      <c r="BN252" s="52">
        <f ca="1">IFERROR(IF(BN4&lt;'Get Started  2'!$F55,0,OFFSET(BN247,0,-1*'Get Started  2'!$F55)*'Get Started  2'!$F84/'Get Started  2'!$F82),0)+IFERROR(IF(BN4&lt;'Get Started  2'!$F65,0,OFFSET(BN247,0,-1*'Get Started  2'!$F65)*'Get Started  2'!$F86/'Get Started  2'!$F82),0)</f>
        <v>0</v>
      </c>
      <c r="BO252" s="52">
        <f ca="1">IFERROR(IF(BO4&lt;'Get Started  2'!$F55,0,OFFSET(BO247,0,-1*'Get Started  2'!$F55)*'Get Started  2'!$F84/'Get Started  2'!$F82),0)+IFERROR(IF(BO4&lt;'Get Started  2'!$F65,0,OFFSET(BO247,0,-1*'Get Started  2'!$F65)*'Get Started  2'!$F86/'Get Started  2'!$F82),0)</f>
        <v>0</v>
      </c>
      <c r="BP252" s="52">
        <f ca="1">IFERROR(IF(BP4&lt;'Get Started  2'!$F55,0,OFFSET(BP247,0,-1*'Get Started  2'!$F55)*'Get Started  2'!$F84/'Get Started  2'!$F82),0)+IFERROR(IF(BP4&lt;'Get Started  2'!$F65,0,OFFSET(BP247,0,-1*'Get Started  2'!$F65)*'Get Started  2'!$F86/'Get Started  2'!$F82),0)</f>
        <v>0</v>
      </c>
      <c r="BQ252" s="52">
        <f ca="1">IFERROR(IF(BQ4&lt;'Get Started  2'!$F55,0,OFFSET(BQ247,0,-1*'Get Started  2'!$F55)*'Get Started  2'!$F84/'Get Started  2'!$F82),0)+IFERROR(IF(BQ4&lt;'Get Started  2'!$F65,0,OFFSET(BQ247,0,-1*'Get Started  2'!$F65)*'Get Started  2'!$F86/'Get Started  2'!$F82),0)</f>
        <v>0</v>
      </c>
      <c r="BR252" s="52">
        <f ca="1">IFERROR(IF(BR4&lt;'Get Started  2'!$F55,0,OFFSET(BR247,0,-1*'Get Started  2'!$F55)*'Get Started  2'!$F84/'Get Started  2'!$F82),0)+IFERROR(IF(BR4&lt;'Get Started  2'!$F65,0,OFFSET(BR247,0,-1*'Get Started  2'!$F65)*'Get Started  2'!$F86/'Get Started  2'!$F82),0)</f>
        <v>0</v>
      </c>
      <c r="BS252" s="52">
        <f ca="1">IFERROR(IF(BS4&lt;'Get Started  2'!$F55,0,OFFSET(BS247,0,-1*'Get Started  2'!$F55)*'Get Started  2'!$F84/'Get Started  2'!$F82),0)+IFERROR(IF(BS4&lt;'Get Started  2'!$F65,0,OFFSET(BS247,0,-1*'Get Started  2'!$F65)*'Get Started  2'!$F86/'Get Started  2'!$F82),0)</f>
        <v>0</v>
      </c>
      <c r="BT252" s="52">
        <f ca="1">IFERROR(IF(BT4&lt;'Get Started  2'!$F55,0,OFFSET(BT247,0,-1*'Get Started  2'!$F55)*'Get Started  2'!$F84/'Get Started  2'!$F82),0)+IFERROR(IF(BT4&lt;'Get Started  2'!$F65,0,OFFSET(BT247,0,-1*'Get Started  2'!$F65)*'Get Started  2'!$F86/'Get Started  2'!$F82),0)</f>
        <v>0</v>
      </c>
      <c r="BU252" s="52">
        <f ca="1">IFERROR(IF(BU4&lt;'Get Started  2'!$F55,0,OFFSET(BU247,0,-1*'Get Started  2'!$F55)*'Get Started  2'!$F84/'Get Started  2'!$F82),0)+IFERROR(IF(BU4&lt;'Get Started  2'!$F65,0,OFFSET(BU247,0,-1*'Get Started  2'!$F65)*'Get Started  2'!$F86/'Get Started  2'!$F82),0)</f>
        <v>0</v>
      </c>
      <c r="BV252" s="52">
        <f ca="1">IFERROR(IF(BV4&lt;'Get Started  2'!$F55,0,OFFSET(BV247,0,-1*'Get Started  2'!$F55)*'Get Started  2'!$F84/'Get Started  2'!$F82),0)+IFERROR(IF(BV4&lt;'Get Started  2'!$F65,0,OFFSET(BV247,0,-1*'Get Started  2'!$F65)*'Get Started  2'!$F86/'Get Started  2'!$F82),0)</f>
        <v>0</v>
      </c>
      <c r="BW252" s="52">
        <f ca="1">IFERROR(IF(BW4&lt;'Get Started  2'!$F55,0,OFFSET(BW247,0,-1*'Get Started  2'!$F55)*'Get Started  2'!$F84/'Get Started  2'!$F82),0)+IFERROR(IF(BW4&lt;'Get Started  2'!$F65,0,OFFSET(BW247,0,-1*'Get Started  2'!$F65)*'Get Started  2'!$F86/'Get Started  2'!$F82),0)</f>
        <v>0</v>
      </c>
      <c r="BX252" s="52">
        <f ca="1">IFERROR(IF(BX4&lt;'Get Started  2'!$F55,0,OFFSET(BX247,0,-1*'Get Started  2'!$F55)*'Get Started  2'!$F84/'Get Started  2'!$F82),0)+IFERROR(IF(BX4&lt;'Get Started  2'!$F65,0,OFFSET(BX247,0,-1*'Get Started  2'!$F65)*'Get Started  2'!$F86/'Get Started  2'!$F82),0)</f>
        <v>0</v>
      </c>
      <c r="BY252" s="52">
        <f ca="1">IFERROR(IF(BY4&lt;'Get Started  2'!$F55,0,OFFSET(BY247,0,-1*'Get Started  2'!$F55)*'Get Started  2'!$F84/'Get Started  2'!$F82),0)+IFERROR(IF(BY4&lt;'Get Started  2'!$F65,0,OFFSET(BY247,0,-1*'Get Started  2'!$F65)*'Get Started  2'!$F86/'Get Started  2'!$F82),0)</f>
        <v>0</v>
      </c>
      <c r="BZ252" s="52">
        <f ca="1">IFERROR(IF(BZ4&lt;'Get Started  2'!$F55,0,OFFSET(BZ247,0,-1*'Get Started  2'!$F55)*'Get Started  2'!$F84/'Get Started  2'!$F82),0)+IFERROR(IF(BZ4&lt;'Get Started  2'!$F65,0,OFFSET(BZ247,0,-1*'Get Started  2'!$F65)*'Get Started  2'!$F86/'Get Started  2'!$F82),0)</f>
        <v>0</v>
      </c>
      <c r="CA252" s="52">
        <f ca="1">IFERROR(IF(CA4&lt;'Get Started  2'!$F55,0,OFFSET(CA247,0,-1*'Get Started  2'!$F55)*'Get Started  2'!$F84/'Get Started  2'!$F82),0)+IFERROR(IF(CA4&lt;'Get Started  2'!$F65,0,OFFSET(CA247,0,-1*'Get Started  2'!$F65)*'Get Started  2'!$F86/'Get Started  2'!$F82),0)</f>
        <v>0</v>
      </c>
      <c r="CB252" s="52">
        <f ca="1">IFERROR(IF(CB4&lt;'Get Started  2'!$F55,0,OFFSET(CB247,0,-1*'Get Started  2'!$F55)*'Get Started  2'!$F84/'Get Started  2'!$F82),0)+IFERROR(IF(CB4&lt;'Get Started  2'!$F65,0,OFFSET(CB247,0,-1*'Get Started  2'!$F65)*'Get Started  2'!$F86/'Get Started  2'!$F82),0)</f>
        <v>0</v>
      </c>
      <c r="CC252" s="52">
        <f ca="1">IFERROR(IF(CC4&lt;'Get Started  2'!$F55,0,OFFSET(CC247,0,-1*'Get Started  2'!$F55)*'Get Started  2'!$F84/'Get Started  2'!$F82),0)+IFERROR(IF(CC4&lt;'Get Started  2'!$F65,0,OFFSET(CC247,0,-1*'Get Started  2'!$F65)*'Get Started  2'!$F86/'Get Started  2'!$F82),0)</f>
        <v>0</v>
      </c>
      <c r="CD252" s="52">
        <f ca="1">IFERROR(IF(CD4&lt;'Get Started  2'!$F55,0,OFFSET(CD247,0,-1*'Get Started  2'!$F55)*'Get Started  2'!$F84/'Get Started  2'!$F82),0)+IFERROR(IF(CD4&lt;'Get Started  2'!$F65,0,OFFSET(CD247,0,-1*'Get Started  2'!$F65)*'Get Started  2'!$F86/'Get Started  2'!$F82),0)</f>
        <v>0</v>
      </c>
      <c r="CE252" s="52">
        <f ca="1">IFERROR(IF(CE4&lt;'Get Started  2'!$F55,0,OFFSET(CE247,0,-1*'Get Started  2'!$F55)*'Get Started  2'!$F84/'Get Started  2'!$F82),0)+IFERROR(IF(CE4&lt;'Get Started  2'!$F65,0,OFFSET(CE247,0,-1*'Get Started  2'!$F65)*'Get Started  2'!$F86/'Get Started  2'!$F82),0)</f>
        <v>0</v>
      </c>
      <c r="CF252" s="52">
        <f ca="1">IFERROR(IF(CF4&lt;'Get Started  2'!$F55,0,OFFSET(CF247,0,-1*'Get Started  2'!$F55)*'Get Started  2'!$F84/'Get Started  2'!$F82),0)+IFERROR(IF(CF4&lt;'Get Started  2'!$F65,0,OFFSET(CF247,0,-1*'Get Started  2'!$F65)*'Get Started  2'!$F86/'Get Started  2'!$F82),0)</f>
        <v>0</v>
      </c>
      <c r="CG252" s="52">
        <f ca="1">IFERROR(IF(CG4&lt;'Get Started  2'!$F55,0,OFFSET(CG247,0,-1*'Get Started  2'!$F55)*'Get Started  2'!$F84/'Get Started  2'!$F82),0)+IFERROR(IF(CG4&lt;'Get Started  2'!$F65,0,OFFSET(CG247,0,-1*'Get Started  2'!$F65)*'Get Started  2'!$F86/'Get Started  2'!$F82),0)</f>
        <v>0</v>
      </c>
      <c r="CH252" s="52">
        <f ca="1">IFERROR(IF(CH4&lt;'Get Started  2'!$F55,0,OFFSET(CH247,0,-1*'Get Started  2'!$F55)*'Get Started  2'!$F84/'Get Started  2'!$F82),0)+IFERROR(IF(CH4&lt;'Get Started  2'!$F65,0,OFFSET(CH247,0,-1*'Get Started  2'!$F65)*'Get Started  2'!$F86/'Get Started  2'!$F82),0)</f>
        <v>0</v>
      </c>
    </row>
    <row r="253" spans="1:86" ht="13" outlineLevel="1">
      <c r="A253" s="13"/>
      <c r="B253" s="13" t="s">
        <v>329</v>
      </c>
      <c r="C253" s="13"/>
      <c r="D253" s="13" t="s">
        <v>238</v>
      </c>
      <c r="E253" s="88">
        <f t="shared" ca="1" si="183"/>
        <v>0</v>
      </c>
      <c r="F253" s="48"/>
      <c r="G253" s="52">
        <f ca="1">IFERROR(IF(G4&lt;'Get Started  2'!$G55,0,OFFSET(G248,0,-1*'Get Started  2'!$G55)*'Get Started  2'!$G84/'Get Started  2'!$G82),0)+IFERROR(IF(G4&lt;'Get Started  2'!$G65,0,OFFSET(G248,0,-1*'Get Started  2'!$G65)*'Get Started  2'!$G86/'Get Started  2'!$G82),0)</f>
        <v>0</v>
      </c>
      <c r="H253" s="52">
        <f ca="1">IFERROR(IF(H4&lt;'Get Started  2'!$G55,0,OFFSET(H248,0,-1*'Get Started  2'!$G55)*'Get Started  2'!$G84/'Get Started  2'!$G82),0)+IFERROR(IF(H4&lt;'Get Started  2'!$G65,0,OFFSET(H248,0,-1*'Get Started  2'!$G65)*'Get Started  2'!$G86/'Get Started  2'!$G82),0)</f>
        <v>0</v>
      </c>
      <c r="I253" s="52">
        <f ca="1">IFERROR(IF(I4&lt;'Get Started  2'!$G55,0,OFFSET(I248,0,-1*'Get Started  2'!$G55)*'Get Started  2'!$G84/'Get Started  2'!$G82),0)+IFERROR(IF(I4&lt;'Get Started  2'!$G65,0,OFFSET(I248,0,-1*'Get Started  2'!$G65)*'Get Started  2'!$G86/'Get Started  2'!$G82),0)</f>
        <v>0</v>
      </c>
      <c r="J253" s="52">
        <f ca="1">IFERROR(IF(J4&lt;'Get Started  2'!$G55,0,OFFSET(J248,0,-1*'Get Started  2'!$G55)*'Get Started  2'!$G84/'Get Started  2'!$G82),0)+IFERROR(IF(J4&lt;'Get Started  2'!$G65,0,OFFSET(J248,0,-1*'Get Started  2'!$G65)*'Get Started  2'!$G86/'Get Started  2'!$G82),0)</f>
        <v>0</v>
      </c>
      <c r="K253" s="52">
        <f ca="1">IFERROR(IF(K4&lt;'Get Started  2'!$G55,0,OFFSET(K248,0,-1*'Get Started  2'!$G55)*'Get Started  2'!$G84/'Get Started  2'!$G82),0)+IFERROR(IF(K4&lt;'Get Started  2'!$G65,0,OFFSET(K248,0,-1*'Get Started  2'!$G65)*'Get Started  2'!$G86/'Get Started  2'!$G82),0)</f>
        <v>0</v>
      </c>
      <c r="L253" s="52">
        <f ca="1">IFERROR(IF(L4&lt;'Get Started  2'!$G55,0,OFFSET(L248,0,-1*'Get Started  2'!$G55)*'Get Started  2'!$G84/'Get Started  2'!$G82),0)+IFERROR(IF(L4&lt;'Get Started  2'!$G65,0,OFFSET(L248,0,-1*'Get Started  2'!$G65)*'Get Started  2'!$G86/'Get Started  2'!$G82),0)</f>
        <v>0</v>
      </c>
      <c r="M253" s="52">
        <f ca="1">IFERROR(IF(M4&lt;'Get Started  2'!$G55,0,OFFSET(M248,0,-1*'Get Started  2'!$G55)*'Get Started  2'!$G84/'Get Started  2'!$G82),0)+IFERROR(IF(M4&lt;'Get Started  2'!$G65,0,OFFSET(M248,0,-1*'Get Started  2'!$G65)*'Get Started  2'!$G86/'Get Started  2'!$G82),0)</f>
        <v>0</v>
      </c>
      <c r="N253" s="52">
        <f ca="1">IFERROR(IF(N4&lt;'Get Started  2'!$G55,0,OFFSET(N248,0,-1*'Get Started  2'!$G55)*'Get Started  2'!$G84/'Get Started  2'!$G82),0)+IFERROR(IF(N4&lt;'Get Started  2'!$G65,0,OFFSET(N248,0,-1*'Get Started  2'!$G65)*'Get Started  2'!$G86/'Get Started  2'!$G82),0)</f>
        <v>0</v>
      </c>
      <c r="O253" s="52">
        <f ca="1">IFERROR(IF(O4&lt;'Get Started  2'!$G55,0,OFFSET(O248,0,-1*'Get Started  2'!$G55)*'Get Started  2'!$G84/'Get Started  2'!$G82),0)+IFERROR(IF(O4&lt;'Get Started  2'!$G65,0,OFFSET(O248,0,-1*'Get Started  2'!$G65)*'Get Started  2'!$G86/'Get Started  2'!$G82),0)</f>
        <v>0</v>
      </c>
      <c r="P253" s="52">
        <f ca="1">IFERROR(IF(P4&lt;'Get Started  2'!$G55,0,OFFSET(P248,0,-1*'Get Started  2'!$G55)*'Get Started  2'!$G84/'Get Started  2'!$G82),0)+IFERROR(IF(P4&lt;'Get Started  2'!$G65,0,OFFSET(P248,0,-1*'Get Started  2'!$G65)*'Get Started  2'!$G86/'Get Started  2'!$G82),0)</f>
        <v>0</v>
      </c>
      <c r="Q253" s="52">
        <f ca="1">IFERROR(IF(Q4&lt;'Get Started  2'!$G55,0,OFFSET(Q248,0,-1*'Get Started  2'!$G55)*'Get Started  2'!$G84/'Get Started  2'!$G82),0)+IFERROR(IF(Q4&lt;'Get Started  2'!$G65,0,OFFSET(Q248,0,-1*'Get Started  2'!$G65)*'Get Started  2'!$G86/'Get Started  2'!$G82),0)</f>
        <v>0</v>
      </c>
      <c r="R253" s="52">
        <f ca="1">IFERROR(IF(R4&lt;'Get Started  2'!$G55,0,OFFSET(R248,0,-1*'Get Started  2'!$G55)*'Get Started  2'!$G84/'Get Started  2'!$G82),0)+IFERROR(IF(R4&lt;'Get Started  2'!$G65,0,OFFSET(R248,0,-1*'Get Started  2'!$G65)*'Get Started  2'!$G86/'Get Started  2'!$G82),0)</f>
        <v>0</v>
      </c>
      <c r="S253" s="52">
        <f ca="1">IFERROR(IF(S4&lt;'Get Started  2'!$G55,0,OFFSET(S248,0,-1*'Get Started  2'!$G55)*'Get Started  2'!$G84/'Get Started  2'!$G82),0)+IFERROR(IF(S4&lt;'Get Started  2'!$G65,0,OFFSET(S248,0,-1*'Get Started  2'!$G65)*'Get Started  2'!$G86/'Get Started  2'!$G82),0)</f>
        <v>0</v>
      </c>
      <c r="T253" s="52">
        <f ca="1">IFERROR(IF(T4&lt;'Get Started  2'!$G55,0,OFFSET(T248,0,-1*'Get Started  2'!$G55)*'Get Started  2'!$G84/'Get Started  2'!$G82),0)+IFERROR(IF(T4&lt;'Get Started  2'!$G65,0,OFFSET(T248,0,-1*'Get Started  2'!$G65)*'Get Started  2'!$G86/'Get Started  2'!$G82),0)</f>
        <v>0</v>
      </c>
      <c r="U253" s="52">
        <f ca="1">IFERROR(IF(U4&lt;'Get Started  2'!$G55,0,OFFSET(U248,0,-1*'Get Started  2'!$G55)*'Get Started  2'!$G84/'Get Started  2'!$G82),0)+IFERROR(IF(U4&lt;'Get Started  2'!$G65,0,OFFSET(U248,0,-1*'Get Started  2'!$G65)*'Get Started  2'!$G86/'Get Started  2'!$G82),0)</f>
        <v>0</v>
      </c>
      <c r="V253" s="52">
        <f ca="1">IFERROR(IF(V4&lt;'Get Started  2'!$G55,0,OFFSET(V248,0,-1*'Get Started  2'!$G55)*'Get Started  2'!$G84/'Get Started  2'!$G82),0)+IFERROR(IF(V4&lt;'Get Started  2'!$G65,0,OFFSET(V248,0,-1*'Get Started  2'!$G65)*'Get Started  2'!$G86/'Get Started  2'!$G82),0)</f>
        <v>0</v>
      </c>
      <c r="W253" s="52">
        <f ca="1">IFERROR(IF(W4&lt;'Get Started  2'!$G55,0,OFFSET(W248,0,-1*'Get Started  2'!$G55)*'Get Started  2'!$G84/'Get Started  2'!$G82),0)+IFERROR(IF(W4&lt;'Get Started  2'!$G65,0,OFFSET(W248,0,-1*'Get Started  2'!$G65)*'Get Started  2'!$G86/'Get Started  2'!$G82),0)</f>
        <v>0</v>
      </c>
      <c r="X253" s="52">
        <f ca="1">IFERROR(IF(X4&lt;'Get Started  2'!$G55,0,OFFSET(X248,0,-1*'Get Started  2'!$G55)*'Get Started  2'!$G84/'Get Started  2'!$G82),0)+IFERROR(IF(X4&lt;'Get Started  2'!$G65,0,OFFSET(X248,0,-1*'Get Started  2'!$G65)*'Get Started  2'!$G86/'Get Started  2'!$G82),0)</f>
        <v>0</v>
      </c>
      <c r="Y253" s="52">
        <f ca="1">IFERROR(IF(Y4&lt;'Get Started  2'!$G55,0,OFFSET(Y248,0,-1*'Get Started  2'!$G55)*'Get Started  2'!$G84/'Get Started  2'!$G82),0)+IFERROR(IF(Y4&lt;'Get Started  2'!$G65,0,OFFSET(Y248,0,-1*'Get Started  2'!$G65)*'Get Started  2'!$G86/'Get Started  2'!$G82),0)</f>
        <v>0</v>
      </c>
      <c r="Z253" s="52">
        <f ca="1">IFERROR(IF(Z4&lt;'Get Started  2'!$G55,0,OFFSET(Z248,0,-1*'Get Started  2'!$G55)*'Get Started  2'!$G84/'Get Started  2'!$G82),0)+IFERROR(IF(Z4&lt;'Get Started  2'!$G65,0,OFFSET(Z248,0,-1*'Get Started  2'!$G65)*'Get Started  2'!$G86/'Get Started  2'!$G82),0)</f>
        <v>0</v>
      </c>
      <c r="AA253" s="52">
        <f ca="1">IFERROR(IF(AA4&lt;'Get Started  2'!$G55,0,OFFSET(AA248,0,-1*'Get Started  2'!$G55)*'Get Started  2'!$G84/'Get Started  2'!$G82),0)+IFERROR(IF(AA4&lt;'Get Started  2'!$G65,0,OFFSET(AA248,0,-1*'Get Started  2'!$G65)*'Get Started  2'!$G86/'Get Started  2'!$G82),0)</f>
        <v>0</v>
      </c>
      <c r="AB253" s="52">
        <f ca="1">IFERROR(IF(AB4&lt;'Get Started  2'!$G55,0,OFFSET(AB248,0,-1*'Get Started  2'!$G55)*'Get Started  2'!$G84/'Get Started  2'!$G82),0)+IFERROR(IF(AB4&lt;'Get Started  2'!$G65,0,OFFSET(AB248,0,-1*'Get Started  2'!$G65)*'Get Started  2'!$G86/'Get Started  2'!$G82),0)</f>
        <v>0</v>
      </c>
      <c r="AC253" s="52">
        <f ca="1">IFERROR(IF(AC4&lt;'Get Started  2'!$G55,0,OFFSET(AC248,0,-1*'Get Started  2'!$G55)*'Get Started  2'!$G84/'Get Started  2'!$G82),0)+IFERROR(IF(AC4&lt;'Get Started  2'!$G65,0,OFFSET(AC248,0,-1*'Get Started  2'!$G65)*'Get Started  2'!$G86/'Get Started  2'!$G82),0)</f>
        <v>0</v>
      </c>
      <c r="AD253" s="52">
        <f ca="1">IFERROR(IF(AD4&lt;'Get Started  2'!$G55,0,OFFSET(AD248,0,-1*'Get Started  2'!$G55)*'Get Started  2'!$G84/'Get Started  2'!$G82),0)+IFERROR(IF(AD4&lt;'Get Started  2'!$G65,0,OFFSET(AD248,0,-1*'Get Started  2'!$G65)*'Get Started  2'!$G86/'Get Started  2'!$G82),0)</f>
        <v>0</v>
      </c>
      <c r="AE253" s="52">
        <f ca="1">IFERROR(IF(AE4&lt;'Get Started  2'!$G55,0,OFFSET(AE248,0,-1*'Get Started  2'!$G55)*'Get Started  2'!$G84/'Get Started  2'!$G82),0)+IFERROR(IF(AE4&lt;'Get Started  2'!$G65,0,OFFSET(AE248,0,-1*'Get Started  2'!$G65)*'Get Started  2'!$G86/'Get Started  2'!$G82),0)</f>
        <v>0</v>
      </c>
      <c r="AF253" s="52">
        <f ca="1">IFERROR(IF(AF4&lt;'Get Started  2'!$G55,0,OFFSET(AF248,0,-1*'Get Started  2'!$G55)*'Get Started  2'!$G84/'Get Started  2'!$G82),0)+IFERROR(IF(AF4&lt;'Get Started  2'!$G65,0,OFFSET(AF248,0,-1*'Get Started  2'!$G65)*'Get Started  2'!$G86/'Get Started  2'!$G82),0)</f>
        <v>0</v>
      </c>
      <c r="AG253" s="52">
        <f ca="1">IFERROR(IF(AG4&lt;'Get Started  2'!$G55,0,OFFSET(AG248,0,-1*'Get Started  2'!$G55)*'Get Started  2'!$G84/'Get Started  2'!$G82),0)+IFERROR(IF(AG4&lt;'Get Started  2'!$G65,0,OFFSET(AG248,0,-1*'Get Started  2'!$G65)*'Get Started  2'!$G86/'Get Started  2'!$G82),0)</f>
        <v>0</v>
      </c>
      <c r="AH253" s="52">
        <f ca="1">IFERROR(IF(AH4&lt;'Get Started  2'!$G55,0,OFFSET(AH248,0,-1*'Get Started  2'!$G55)*'Get Started  2'!$G84/'Get Started  2'!$G82),0)+IFERROR(IF(AH4&lt;'Get Started  2'!$G65,0,OFFSET(AH248,0,-1*'Get Started  2'!$G65)*'Get Started  2'!$G86/'Get Started  2'!$G82),0)</f>
        <v>0</v>
      </c>
      <c r="AI253" s="52">
        <f ca="1">IFERROR(IF(AI4&lt;'Get Started  2'!$G55,0,OFFSET(AI248,0,-1*'Get Started  2'!$G55)*'Get Started  2'!$G84/'Get Started  2'!$G82),0)+IFERROR(IF(AI4&lt;'Get Started  2'!$G65,0,OFFSET(AI248,0,-1*'Get Started  2'!$G65)*'Get Started  2'!$G86/'Get Started  2'!$G82),0)</f>
        <v>0</v>
      </c>
      <c r="AJ253" s="52">
        <f ca="1">IFERROR(IF(AJ4&lt;'Get Started  2'!$G55,0,OFFSET(AJ248,0,-1*'Get Started  2'!$G55)*'Get Started  2'!$G84/'Get Started  2'!$G82),0)+IFERROR(IF(AJ4&lt;'Get Started  2'!$G65,0,OFFSET(AJ248,0,-1*'Get Started  2'!$G65)*'Get Started  2'!$G86/'Get Started  2'!$G82),0)</f>
        <v>0</v>
      </c>
      <c r="AK253" s="52">
        <f ca="1">IFERROR(IF(AK4&lt;'Get Started  2'!$G55,0,OFFSET(AK248,0,-1*'Get Started  2'!$G55)*'Get Started  2'!$G84/'Get Started  2'!$G82),0)+IFERROR(IF(AK4&lt;'Get Started  2'!$G65,0,OFFSET(AK248,0,-1*'Get Started  2'!$G65)*'Get Started  2'!$G86/'Get Started  2'!$G82),0)</f>
        <v>0</v>
      </c>
      <c r="AL253" s="52">
        <f ca="1">IFERROR(IF(AL4&lt;'Get Started  2'!$G55,0,OFFSET(AL248,0,-1*'Get Started  2'!$G55)*'Get Started  2'!$G84/'Get Started  2'!$G82),0)+IFERROR(IF(AL4&lt;'Get Started  2'!$G65,0,OFFSET(AL248,0,-1*'Get Started  2'!$G65)*'Get Started  2'!$G86/'Get Started  2'!$G82),0)</f>
        <v>0</v>
      </c>
      <c r="AM253" s="52">
        <f ca="1">IFERROR(IF(AM4&lt;'Get Started  2'!$G55,0,OFFSET(AM248,0,-1*'Get Started  2'!$G55)*'Get Started  2'!$G84/'Get Started  2'!$G82),0)+IFERROR(IF(AM4&lt;'Get Started  2'!$G65,0,OFFSET(AM248,0,-1*'Get Started  2'!$G65)*'Get Started  2'!$G86/'Get Started  2'!$G82),0)</f>
        <v>0</v>
      </c>
      <c r="AN253" s="52">
        <f ca="1">IFERROR(IF(AN4&lt;'Get Started  2'!$G55,0,OFFSET(AN248,0,-1*'Get Started  2'!$G55)*'Get Started  2'!$G84/'Get Started  2'!$G82),0)+IFERROR(IF(AN4&lt;'Get Started  2'!$G65,0,OFFSET(AN248,0,-1*'Get Started  2'!$G65)*'Get Started  2'!$G86/'Get Started  2'!$G82),0)</f>
        <v>0</v>
      </c>
      <c r="AO253" s="52">
        <f ca="1">IFERROR(IF(AO4&lt;'Get Started  2'!$G55,0,OFFSET(AO248,0,-1*'Get Started  2'!$G55)*'Get Started  2'!$G84/'Get Started  2'!$G82),0)+IFERROR(IF(AO4&lt;'Get Started  2'!$G65,0,OFFSET(AO248,0,-1*'Get Started  2'!$G65)*'Get Started  2'!$G86/'Get Started  2'!$G82),0)</f>
        <v>0</v>
      </c>
      <c r="AP253" s="52">
        <f ca="1">IFERROR(IF(AP4&lt;'Get Started  2'!$G55,0,OFFSET(AP248,0,-1*'Get Started  2'!$G55)*'Get Started  2'!$G84/'Get Started  2'!$G82),0)+IFERROR(IF(AP4&lt;'Get Started  2'!$G65,0,OFFSET(AP248,0,-1*'Get Started  2'!$G65)*'Get Started  2'!$G86/'Get Started  2'!$G82),0)</f>
        <v>0</v>
      </c>
      <c r="AQ253" s="52">
        <f ca="1">IFERROR(IF(AQ4&lt;'Get Started  2'!$G55,0,OFFSET(AQ248,0,-1*'Get Started  2'!$G55)*'Get Started  2'!$G84/'Get Started  2'!$G82),0)+IFERROR(IF(AQ4&lt;'Get Started  2'!$G65,0,OFFSET(AQ248,0,-1*'Get Started  2'!$G65)*'Get Started  2'!$G86/'Get Started  2'!$G82),0)</f>
        <v>0</v>
      </c>
      <c r="AR253" s="52">
        <f ca="1">IFERROR(IF(AR4&lt;'Get Started  2'!$G55,0,OFFSET(AR248,0,-1*'Get Started  2'!$G55)*'Get Started  2'!$G84/'Get Started  2'!$G82),0)+IFERROR(IF(AR4&lt;'Get Started  2'!$G65,0,OFFSET(AR248,0,-1*'Get Started  2'!$G65)*'Get Started  2'!$G86/'Get Started  2'!$G82),0)</f>
        <v>0</v>
      </c>
      <c r="AS253" s="52">
        <f ca="1">IFERROR(IF(AS4&lt;'Get Started  2'!$G55,0,OFFSET(AS248,0,-1*'Get Started  2'!$G55)*'Get Started  2'!$G84/'Get Started  2'!$G82),0)+IFERROR(IF(AS4&lt;'Get Started  2'!$G65,0,OFFSET(AS248,0,-1*'Get Started  2'!$G65)*'Get Started  2'!$G86/'Get Started  2'!$G82),0)</f>
        <v>0</v>
      </c>
      <c r="AT253" s="52">
        <f ca="1">IFERROR(IF(AT4&lt;'Get Started  2'!$G55,0,OFFSET(AT248,0,-1*'Get Started  2'!$G55)*'Get Started  2'!$G84/'Get Started  2'!$G82),0)+IFERROR(IF(AT4&lt;'Get Started  2'!$G65,0,OFFSET(AT248,0,-1*'Get Started  2'!$G65)*'Get Started  2'!$G86/'Get Started  2'!$G82),0)</f>
        <v>0</v>
      </c>
      <c r="AU253" s="52">
        <f ca="1">IFERROR(IF(AU4&lt;'Get Started  2'!$G55,0,OFFSET(AU248,0,-1*'Get Started  2'!$G55)*'Get Started  2'!$G84/'Get Started  2'!$G82),0)+IFERROR(IF(AU4&lt;'Get Started  2'!$G65,0,OFFSET(AU248,0,-1*'Get Started  2'!$G65)*'Get Started  2'!$G86/'Get Started  2'!$G82),0)</f>
        <v>0</v>
      </c>
      <c r="AV253" s="52">
        <f ca="1">IFERROR(IF(AV4&lt;'Get Started  2'!$G55,0,OFFSET(AV248,0,-1*'Get Started  2'!$G55)*'Get Started  2'!$G84/'Get Started  2'!$G82),0)+IFERROR(IF(AV4&lt;'Get Started  2'!$G65,0,OFFSET(AV248,0,-1*'Get Started  2'!$G65)*'Get Started  2'!$G86/'Get Started  2'!$G82),0)</f>
        <v>0</v>
      </c>
      <c r="AW253" s="52">
        <f ca="1">IFERROR(IF(AW4&lt;'Get Started  2'!$G55,0,OFFSET(AW248,0,-1*'Get Started  2'!$G55)*'Get Started  2'!$G84/'Get Started  2'!$G82),0)+IFERROR(IF(AW4&lt;'Get Started  2'!$G65,0,OFFSET(AW248,0,-1*'Get Started  2'!$G65)*'Get Started  2'!$G86/'Get Started  2'!$G82),0)</f>
        <v>0</v>
      </c>
      <c r="AX253" s="52">
        <f ca="1">IFERROR(IF(AX4&lt;'Get Started  2'!$G55,0,OFFSET(AX248,0,-1*'Get Started  2'!$G55)*'Get Started  2'!$G84/'Get Started  2'!$G82),0)+IFERROR(IF(AX4&lt;'Get Started  2'!$G65,0,OFFSET(AX248,0,-1*'Get Started  2'!$G65)*'Get Started  2'!$G86/'Get Started  2'!$G82),0)</f>
        <v>0</v>
      </c>
      <c r="AY253" s="52">
        <f ca="1">IFERROR(IF(AY4&lt;'Get Started  2'!$G55,0,OFFSET(AY248,0,-1*'Get Started  2'!$G55)*'Get Started  2'!$G84/'Get Started  2'!$G82),0)+IFERROR(IF(AY4&lt;'Get Started  2'!$G65,0,OFFSET(AY248,0,-1*'Get Started  2'!$G65)*'Get Started  2'!$G86/'Get Started  2'!$G82),0)</f>
        <v>0</v>
      </c>
      <c r="AZ253" s="52">
        <f ca="1">IFERROR(IF(AZ4&lt;'Get Started  2'!$G55,0,OFFSET(AZ248,0,-1*'Get Started  2'!$G55)*'Get Started  2'!$G84/'Get Started  2'!$G82),0)+IFERROR(IF(AZ4&lt;'Get Started  2'!$G65,0,OFFSET(AZ248,0,-1*'Get Started  2'!$G65)*'Get Started  2'!$G86/'Get Started  2'!$G82),0)</f>
        <v>0</v>
      </c>
      <c r="BA253" s="52">
        <f ca="1">IFERROR(IF(BA4&lt;'Get Started  2'!$G55,0,OFFSET(BA248,0,-1*'Get Started  2'!$G55)*'Get Started  2'!$G84/'Get Started  2'!$G82),0)+IFERROR(IF(BA4&lt;'Get Started  2'!$G65,0,OFFSET(BA248,0,-1*'Get Started  2'!$G65)*'Get Started  2'!$G86/'Get Started  2'!$G82),0)</f>
        <v>0</v>
      </c>
      <c r="BB253" s="52">
        <f ca="1">IFERROR(IF(BB4&lt;'Get Started  2'!$G55,0,OFFSET(BB248,0,-1*'Get Started  2'!$G55)*'Get Started  2'!$G84/'Get Started  2'!$G82),0)+IFERROR(IF(BB4&lt;'Get Started  2'!$G65,0,OFFSET(BB248,0,-1*'Get Started  2'!$G65)*'Get Started  2'!$G86/'Get Started  2'!$G82),0)</f>
        <v>0</v>
      </c>
      <c r="BC253" s="52">
        <f ca="1">IFERROR(IF(BC4&lt;'Get Started  2'!$G55,0,OFFSET(BC248,0,-1*'Get Started  2'!$G55)*'Get Started  2'!$G84/'Get Started  2'!$G82),0)+IFERROR(IF(BC4&lt;'Get Started  2'!$G65,0,OFFSET(BC248,0,-1*'Get Started  2'!$G65)*'Get Started  2'!$G86/'Get Started  2'!$G82),0)</f>
        <v>0</v>
      </c>
      <c r="BD253" s="52">
        <f ca="1">IFERROR(IF(BD4&lt;'Get Started  2'!$G55,0,OFFSET(BD248,0,-1*'Get Started  2'!$G55)*'Get Started  2'!$G84/'Get Started  2'!$G82),0)+IFERROR(IF(BD4&lt;'Get Started  2'!$G65,0,OFFSET(BD248,0,-1*'Get Started  2'!$G65)*'Get Started  2'!$G86/'Get Started  2'!$G82),0)</f>
        <v>0</v>
      </c>
      <c r="BE253" s="52">
        <f ca="1">IFERROR(IF(BE4&lt;'Get Started  2'!$G55,0,OFFSET(BE248,0,-1*'Get Started  2'!$G55)*'Get Started  2'!$G84/'Get Started  2'!$G82),0)+IFERROR(IF(BE4&lt;'Get Started  2'!$G65,0,OFFSET(BE248,0,-1*'Get Started  2'!$G65)*'Get Started  2'!$G86/'Get Started  2'!$G82),0)</f>
        <v>0</v>
      </c>
      <c r="BF253" s="52">
        <f ca="1">IFERROR(IF(BF4&lt;'Get Started  2'!$G55,0,OFFSET(BF248,0,-1*'Get Started  2'!$G55)*'Get Started  2'!$G84/'Get Started  2'!$G82),0)+IFERROR(IF(BF4&lt;'Get Started  2'!$G65,0,OFFSET(BF248,0,-1*'Get Started  2'!$G65)*'Get Started  2'!$G86/'Get Started  2'!$G82),0)</f>
        <v>0</v>
      </c>
      <c r="BG253" s="52">
        <f ca="1">IFERROR(IF(BG4&lt;'Get Started  2'!$G55,0,OFFSET(BG248,0,-1*'Get Started  2'!$G55)*'Get Started  2'!$G84/'Get Started  2'!$G82),0)+IFERROR(IF(BG4&lt;'Get Started  2'!$G65,0,OFFSET(BG248,0,-1*'Get Started  2'!$G65)*'Get Started  2'!$G86/'Get Started  2'!$G82),0)</f>
        <v>0</v>
      </c>
      <c r="BH253" s="52">
        <f ca="1">IFERROR(IF(BH4&lt;'Get Started  2'!$G55,0,OFFSET(BH248,0,-1*'Get Started  2'!$G55)*'Get Started  2'!$G84/'Get Started  2'!$G82),0)+IFERROR(IF(BH4&lt;'Get Started  2'!$G65,0,OFFSET(BH248,0,-1*'Get Started  2'!$G65)*'Get Started  2'!$G86/'Get Started  2'!$G82),0)</f>
        <v>0</v>
      </c>
      <c r="BI253" s="52">
        <f ca="1">IFERROR(IF(BI4&lt;'Get Started  2'!$G55,0,OFFSET(BI248,0,-1*'Get Started  2'!$G55)*'Get Started  2'!$G84/'Get Started  2'!$G82),0)+IFERROR(IF(BI4&lt;'Get Started  2'!$G65,0,OFFSET(BI248,0,-1*'Get Started  2'!$G65)*'Get Started  2'!$G86/'Get Started  2'!$G82),0)</f>
        <v>0</v>
      </c>
      <c r="BJ253" s="52">
        <f ca="1">IFERROR(IF(BJ4&lt;'Get Started  2'!$G55,0,OFFSET(BJ248,0,-1*'Get Started  2'!$G55)*'Get Started  2'!$G84/'Get Started  2'!$G82),0)+IFERROR(IF(BJ4&lt;'Get Started  2'!$G65,0,OFFSET(BJ248,0,-1*'Get Started  2'!$G65)*'Get Started  2'!$G86/'Get Started  2'!$G82),0)</f>
        <v>0</v>
      </c>
      <c r="BK253" s="52">
        <f ca="1">IFERROR(IF(BK4&lt;'Get Started  2'!$G55,0,OFFSET(BK248,0,-1*'Get Started  2'!$G55)*'Get Started  2'!$G84/'Get Started  2'!$G82),0)+IFERROR(IF(BK4&lt;'Get Started  2'!$G65,0,OFFSET(BK248,0,-1*'Get Started  2'!$G65)*'Get Started  2'!$G86/'Get Started  2'!$G82),0)</f>
        <v>0</v>
      </c>
      <c r="BL253" s="52">
        <f ca="1">IFERROR(IF(BL4&lt;'Get Started  2'!$G55,0,OFFSET(BL248,0,-1*'Get Started  2'!$G55)*'Get Started  2'!$G84/'Get Started  2'!$G82),0)+IFERROR(IF(BL4&lt;'Get Started  2'!$G65,0,OFFSET(BL248,0,-1*'Get Started  2'!$G65)*'Get Started  2'!$G86/'Get Started  2'!$G82),0)</f>
        <v>0</v>
      </c>
      <c r="BM253" s="52">
        <f ca="1">IFERROR(IF(BM4&lt;'Get Started  2'!$G55,0,OFFSET(BM248,0,-1*'Get Started  2'!$G55)*'Get Started  2'!$G84/'Get Started  2'!$G82),0)+IFERROR(IF(BM4&lt;'Get Started  2'!$G65,0,OFFSET(BM248,0,-1*'Get Started  2'!$G65)*'Get Started  2'!$G86/'Get Started  2'!$G82),0)</f>
        <v>0</v>
      </c>
      <c r="BN253" s="52">
        <f ca="1">IFERROR(IF(BN4&lt;'Get Started  2'!$G55,0,OFFSET(BN248,0,-1*'Get Started  2'!$G55)*'Get Started  2'!$G84/'Get Started  2'!$G82),0)+IFERROR(IF(BN4&lt;'Get Started  2'!$G65,0,OFFSET(BN248,0,-1*'Get Started  2'!$G65)*'Get Started  2'!$G86/'Get Started  2'!$G82),0)</f>
        <v>0</v>
      </c>
      <c r="BO253" s="52">
        <f ca="1">IFERROR(IF(BO4&lt;'Get Started  2'!$G55,0,OFFSET(BO248,0,-1*'Get Started  2'!$G55)*'Get Started  2'!$G84/'Get Started  2'!$G82),0)+IFERROR(IF(BO4&lt;'Get Started  2'!$G65,0,OFFSET(BO248,0,-1*'Get Started  2'!$G65)*'Get Started  2'!$G86/'Get Started  2'!$G82),0)</f>
        <v>0</v>
      </c>
      <c r="BP253" s="52">
        <f ca="1">IFERROR(IF(BP4&lt;'Get Started  2'!$G55,0,OFFSET(BP248,0,-1*'Get Started  2'!$G55)*'Get Started  2'!$G84/'Get Started  2'!$G82),0)+IFERROR(IF(BP4&lt;'Get Started  2'!$G65,0,OFFSET(BP248,0,-1*'Get Started  2'!$G65)*'Get Started  2'!$G86/'Get Started  2'!$G82),0)</f>
        <v>0</v>
      </c>
      <c r="BQ253" s="52">
        <f ca="1">IFERROR(IF(BQ4&lt;'Get Started  2'!$G55,0,OFFSET(BQ248,0,-1*'Get Started  2'!$G55)*'Get Started  2'!$G84/'Get Started  2'!$G82),0)+IFERROR(IF(BQ4&lt;'Get Started  2'!$G65,0,OFFSET(BQ248,0,-1*'Get Started  2'!$G65)*'Get Started  2'!$G86/'Get Started  2'!$G82),0)</f>
        <v>0</v>
      </c>
      <c r="BR253" s="52">
        <f ca="1">IFERROR(IF(BR4&lt;'Get Started  2'!$G55,0,OFFSET(BR248,0,-1*'Get Started  2'!$G55)*'Get Started  2'!$G84/'Get Started  2'!$G82),0)+IFERROR(IF(BR4&lt;'Get Started  2'!$G65,0,OFFSET(BR248,0,-1*'Get Started  2'!$G65)*'Get Started  2'!$G86/'Get Started  2'!$G82),0)</f>
        <v>0</v>
      </c>
      <c r="BS253" s="52">
        <f ca="1">IFERROR(IF(BS4&lt;'Get Started  2'!$G55,0,OFFSET(BS248,0,-1*'Get Started  2'!$G55)*'Get Started  2'!$G84/'Get Started  2'!$G82),0)+IFERROR(IF(BS4&lt;'Get Started  2'!$G65,0,OFFSET(BS248,0,-1*'Get Started  2'!$G65)*'Get Started  2'!$G86/'Get Started  2'!$G82),0)</f>
        <v>0</v>
      </c>
      <c r="BT253" s="52">
        <f ca="1">IFERROR(IF(BT4&lt;'Get Started  2'!$G55,0,OFFSET(BT248,0,-1*'Get Started  2'!$G55)*'Get Started  2'!$G84/'Get Started  2'!$G82),0)+IFERROR(IF(BT4&lt;'Get Started  2'!$G65,0,OFFSET(BT248,0,-1*'Get Started  2'!$G65)*'Get Started  2'!$G86/'Get Started  2'!$G82),0)</f>
        <v>0</v>
      </c>
      <c r="BU253" s="52">
        <f ca="1">IFERROR(IF(BU4&lt;'Get Started  2'!$G55,0,OFFSET(BU248,0,-1*'Get Started  2'!$G55)*'Get Started  2'!$G84/'Get Started  2'!$G82),0)+IFERROR(IF(BU4&lt;'Get Started  2'!$G65,0,OFFSET(BU248,0,-1*'Get Started  2'!$G65)*'Get Started  2'!$G86/'Get Started  2'!$G82),0)</f>
        <v>0</v>
      </c>
      <c r="BV253" s="52">
        <f ca="1">IFERROR(IF(BV4&lt;'Get Started  2'!$G55,0,OFFSET(BV248,0,-1*'Get Started  2'!$G55)*'Get Started  2'!$G84/'Get Started  2'!$G82),0)+IFERROR(IF(BV4&lt;'Get Started  2'!$G65,0,OFFSET(BV248,0,-1*'Get Started  2'!$G65)*'Get Started  2'!$G86/'Get Started  2'!$G82),0)</f>
        <v>0</v>
      </c>
      <c r="BW253" s="52">
        <f ca="1">IFERROR(IF(BW4&lt;'Get Started  2'!$G55,0,OFFSET(BW248,0,-1*'Get Started  2'!$G55)*'Get Started  2'!$G84/'Get Started  2'!$G82),0)+IFERROR(IF(BW4&lt;'Get Started  2'!$G65,0,OFFSET(BW248,0,-1*'Get Started  2'!$G65)*'Get Started  2'!$G86/'Get Started  2'!$G82),0)</f>
        <v>0</v>
      </c>
      <c r="BX253" s="52">
        <f ca="1">IFERROR(IF(BX4&lt;'Get Started  2'!$G55,0,OFFSET(BX248,0,-1*'Get Started  2'!$G55)*'Get Started  2'!$G84/'Get Started  2'!$G82),0)+IFERROR(IF(BX4&lt;'Get Started  2'!$G65,0,OFFSET(BX248,0,-1*'Get Started  2'!$G65)*'Get Started  2'!$G86/'Get Started  2'!$G82),0)</f>
        <v>0</v>
      </c>
      <c r="BY253" s="52">
        <f ca="1">IFERROR(IF(BY4&lt;'Get Started  2'!$G55,0,OFFSET(BY248,0,-1*'Get Started  2'!$G55)*'Get Started  2'!$G84/'Get Started  2'!$G82),0)+IFERROR(IF(BY4&lt;'Get Started  2'!$G65,0,OFFSET(BY248,0,-1*'Get Started  2'!$G65)*'Get Started  2'!$G86/'Get Started  2'!$G82),0)</f>
        <v>0</v>
      </c>
      <c r="BZ253" s="52">
        <f ca="1">IFERROR(IF(BZ4&lt;'Get Started  2'!$G55,0,OFFSET(BZ248,0,-1*'Get Started  2'!$G55)*'Get Started  2'!$G84/'Get Started  2'!$G82),0)+IFERROR(IF(BZ4&lt;'Get Started  2'!$G65,0,OFFSET(BZ248,0,-1*'Get Started  2'!$G65)*'Get Started  2'!$G86/'Get Started  2'!$G82),0)</f>
        <v>0</v>
      </c>
      <c r="CA253" s="52">
        <f ca="1">IFERROR(IF(CA4&lt;'Get Started  2'!$G55,0,OFFSET(CA248,0,-1*'Get Started  2'!$G55)*'Get Started  2'!$G84/'Get Started  2'!$G82),0)+IFERROR(IF(CA4&lt;'Get Started  2'!$G65,0,OFFSET(CA248,0,-1*'Get Started  2'!$G65)*'Get Started  2'!$G86/'Get Started  2'!$G82),0)</f>
        <v>0</v>
      </c>
      <c r="CB253" s="52">
        <f ca="1">IFERROR(IF(CB4&lt;'Get Started  2'!$G55,0,OFFSET(CB248,0,-1*'Get Started  2'!$G55)*'Get Started  2'!$G84/'Get Started  2'!$G82),0)+IFERROR(IF(CB4&lt;'Get Started  2'!$G65,0,OFFSET(CB248,0,-1*'Get Started  2'!$G65)*'Get Started  2'!$G86/'Get Started  2'!$G82),0)</f>
        <v>0</v>
      </c>
      <c r="CC253" s="52">
        <f ca="1">IFERROR(IF(CC4&lt;'Get Started  2'!$G55,0,OFFSET(CC248,0,-1*'Get Started  2'!$G55)*'Get Started  2'!$G84/'Get Started  2'!$G82),0)+IFERROR(IF(CC4&lt;'Get Started  2'!$G65,0,OFFSET(CC248,0,-1*'Get Started  2'!$G65)*'Get Started  2'!$G86/'Get Started  2'!$G82),0)</f>
        <v>0</v>
      </c>
      <c r="CD253" s="52">
        <f ca="1">IFERROR(IF(CD4&lt;'Get Started  2'!$G55,0,OFFSET(CD248,0,-1*'Get Started  2'!$G55)*'Get Started  2'!$G84/'Get Started  2'!$G82),0)+IFERROR(IF(CD4&lt;'Get Started  2'!$G65,0,OFFSET(CD248,0,-1*'Get Started  2'!$G65)*'Get Started  2'!$G86/'Get Started  2'!$G82),0)</f>
        <v>0</v>
      </c>
      <c r="CE253" s="52">
        <f ca="1">IFERROR(IF(CE4&lt;'Get Started  2'!$G55,0,OFFSET(CE248,0,-1*'Get Started  2'!$G55)*'Get Started  2'!$G84/'Get Started  2'!$G82),0)+IFERROR(IF(CE4&lt;'Get Started  2'!$G65,0,OFFSET(CE248,0,-1*'Get Started  2'!$G65)*'Get Started  2'!$G86/'Get Started  2'!$G82),0)</f>
        <v>0</v>
      </c>
      <c r="CF253" s="52">
        <f ca="1">IFERROR(IF(CF4&lt;'Get Started  2'!$G55,0,OFFSET(CF248,0,-1*'Get Started  2'!$G55)*'Get Started  2'!$G84/'Get Started  2'!$G82),0)+IFERROR(IF(CF4&lt;'Get Started  2'!$G65,0,OFFSET(CF248,0,-1*'Get Started  2'!$G65)*'Get Started  2'!$G86/'Get Started  2'!$G82),0)</f>
        <v>0</v>
      </c>
      <c r="CG253" s="52">
        <f ca="1">IFERROR(IF(CG4&lt;'Get Started  2'!$G55,0,OFFSET(CG248,0,-1*'Get Started  2'!$G55)*'Get Started  2'!$G84/'Get Started  2'!$G82),0)+IFERROR(IF(CG4&lt;'Get Started  2'!$G65,0,OFFSET(CG248,0,-1*'Get Started  2'!$G65)*'Get Started  2'!$G86/'Get Started  2'!$G82),0)</f>
        <v>0</v>
      </c>
      <c r="CH253" s="52">
        <f ca="1">IFERROR(IF(CH4&lt;'Get Started  2'!$G55,0,OFFSET(CH248,0,-1*'Get Started  2'!$G55)*'Get Started  2'!$G84/'Get Started  2'!$G82),0)+IFERROR(IF(CH4&lt;'Get Started  2'!$G65,0,OFFSET(CH248,0,-1*'Get Started  2'!$G65)*'Get Started  2'!$G86/'Get Started  2'!$G82),0)</f>
        <v>0</v>
      </c>
    </row>
    <row r="254" spans="1:86" ht="13" outlineLevel="1">
      <c r="A254" s="13"/>
      <c r="B254" s="13" t="s">
        <v>329</v>
      </c>
      <c r="C254" s="13"/>
      <c r="D254" s="13" t="s">
        <v>238</v>
      </c>
      <c r="E254" s="88">
        <f t="shared" ca="1" si="183"/>
        <v>0</v>
      </c>
      <c r="F254" s="48"/>
      <c r="G254" s="52">
        <f ca="1">IFERROR(IF(G4&lt;'Get Started  2'!$H55,0,OFFSET(G249,0,-1*'Get Started  2'!$H55)*'Get Started  2'!$H84/'Get Started  2'!$H82),0)+IFERROR(IF(G4&lt;'Get Started  2'!$H65,0,OFFSET(G249,0,-1*'Get Started  2'!$H65)*'Get Started  2'!$H86/'Get Started  2'!$H82),0)</f>
        <v>0</v>
      </c>
      <c r="H254" s="52">
        <f ca="1">IFERROR(IF(H4&lt;'Get Started  2'!$H55,0,OFFSET(H249,0,-1*'Get Started  2'!$H55)*'Get Started  2'!$H84/'Get Started  2'!$H82),0)+IFERROR(IF(H4&lt;'Get Started  2'!$H65,0,OFFSET(H249,0,-1*'Get Started  2'!$H65)*'Get Started  2'!$H86/'Get Started  2'!$H82),0)</f>
        <v>0</v>
      </c>
      <c r="I254" s="52">
        <f ca="1">IFERROR(IF(I4&lt;'Get Started  2'!$H55,0,OFFSET(I249,0,-1*'Get Started  2'!$H55)*'Get Started  2'!$H84/'Get Started  2'!$H82),0)+IFERROR(IF(I4&lt;'Get Started  2'!$H65,0,OFFSET(I249,0,-1*'Get Started  2'!$H65)*'Get Started  2'!$H86/'Get Started  2'!$H82),0)</f>
        <v>0</v>
      </c>
      <c r="J254" s="52">
        <f ca="1">IFERROR(IF(J4&lt;'Get Started  2'!$H55,0,OFFSET(J249,0,-1*'Get Started  2'!$H55)*'Get Started  2'!$H84/'Get Started  2'!$H82),0)+IFERROR(IF(J4&lt;'Get Started  2'!$H65,0,OFFSET(J249,0,-1*'Get Started  2'!$H65)*'Get Started  2'!$H86/'Get Started  2'!$H82),0)</f>
        <v>0</v>
      </c>
      <c r="K254" s="52">
        <f ca="1">IFERROR(IF(K4&lt;'Get Started  2'!$H55,0,OFFSET(K249,0,-1*'Get Started  2'!$H55)*'Get Started  2'!$H84/'Get Started  2'!$H82),0)+IFERROR(IF(K4&lt;'Get Started  2'!$H65,0,OFFSET(K249,0,-1*'Get Started  2'!$H65)*'Get Started  2'!$H86/'Get Started  2'!$H82),0)</f>
        <v>0</v>
      </c>
      <c r="L254" s="52">
        <f ca="1">IFERROR(IF(L4&lt;'Get Started  2'!$H55,0,OFFSET(L249,0,-1*'Get Started  2'!$H55)*'Get Started  2'!$H84/'Get Started  2'!$H82),0)+IFERROR(IF(L4&lt;'Get Started  2'!$H65,0,OFFSET(L249,0,-1*'Get Started  2'!$H65)*'Get Started  2'!$H86/'Get Started  2'!$H82),0)</f>
        <v>0</v>
      </c>
      <c r="M254" s="52">
        <f ca="1">IFERROR(IF(M4&lt;'Get Started  2'!$H55,0,OFFSET(M249,0,-1*'Get Started  2'!$H55)*'Get Started  2'!$H84/'Get Started  2'!$H82),0)+IFERROR(IF(M4&lt;'Get Started  2'!$H65,0,OFFSET(M249,0,-1*'Get Started  2'!$H65)*'Get Started  2'!$H86/'Get Started  2'!$H82),0)</f>
        <v>0</v>
      </c>
      <c r="N254" s="52">
        <f ca="1">IFERROR(IF(N4&lt;'Get Started  2'!$H55,0,OFFSET(N249,0,-1*'Get Started  2'!$H55)*'Get Started  2'!$H84/'Get Started  2'!$H82),0)+IFERROR(IF(N4&lt;'Get Started  2'!$H65,0,OFFSET(N249,0,-1*'Get Started  2'!$H65)*'Get Started  2'!$H86/'Get Started  2'!$H82),0)</f>
        <v>0</v>
      </c>
      <c r="O254" s="52">
        <f ca="1">IFERROR(IF(O4&lt;'Get Started  2'!$H55,0,OFFSET(O249,0,-1*'Get Started  2'!$H55)*'Get Started  2'!$H84/'Get Started  2'!$H82),0)+IFERROR(IF(O4&lt;'Get Started  2'!$H65,0,OFFSET(O249,0,-1*'Get Started  2'!$H65)*'Get Started  2'!$H86/'Get Started  2'!$H82),0)</f>
        <v>0</v>
      </c>
      <c r="P254" s="52">
        <f ca="1">IFERROR(IF(P4&lt;'Get Started  2'!$H55,0,OFFSET(P249,0,-1*'Get Started  2'!$H55)*'Get Started  2'!$H84/'Get Started  2'!$H82),0)+IFERROR(IF(P4&lt;'Get Started  2'!$H65,0,OFFSET(P249,0,-1*'Get Started  2'!$H65)*'Get Started  2'!$H86/'Get Started  2'!$H82),0)</f>
        <v>0</v>
      </c>
      <c r="Q254" s="52">
        <f ca="1">IFERROR(IF(Q4&lt;'Get Started  2'!$H55,0,OFFSET(Q249,0,-1*'Get Started  2'!$H55)*'Get Started  2'!$H84/'Get Started  2'!$H82),0)+IFERROR(IF(Q4&lt;'Get Started  2'!$H65,0,OFFSET(Q249,0,-1*'Get Started  2'!$H65)*'Get Started  2'!$H86/'Get Started  2'!$H82),0)</f>
        <v>0</v>
      </c>
      <c r="R254" s="52">
        <f ca="1">IFERROR(IF(R4&lt;'Get Started  2'!$H55,0,OFFSET(R249,0,-1*'Get Started  2'!$H55)*'Get Started  2'!$H84/'Get Started  2'!$H82),0)+IFERROR(IF(R4&lt;'Get Started  2'!$H65,0,OFFSET(R249,0,-1*'Get Started  2'!$H65)*'Get Started  2'!$H86/'Get Started  2'!$H82),0)</f>
        <v>0</v>
      </c>
      <c r="S254" s="52">
        <f ca="1">IFERROR(IF(S4&lt;'Get Started  2'!$H55,0,OFFSET(S249,0,-1*'Get Started  2'!$H55)*'Get Started  2'!$H84/'Get Started  2'!$H82),0)+IFERROR(IF(S4&lt;'Get Started  2'!$H65,0,OFFSET(S249,0,-1*'Get Started  2'!$H65)*'Get Started  2'!$H86/'Get Started  2'!$H82),0)</f>
        <v>0</v>
      </c>
      <c r="T254" s="52">
        <f ca="1">IFERROR(IF(T4&lt;'Get Started  2'!$H55,0,OFFSET(T249,0,-1*'Get Started  2'!$H55)*'Get Started  2'!$H84/'Get Started  2'!$H82),0)+IFERROR(IF(T4&lt;'Get Started  2'!$H65,0,OFFSET(T249,0,-1*'Get Started  2'!$H65)*'Get Started  2'!$H86/'Get Started  2'!$H82),0)</f>
        <v>0</v>
      </c>
      <c r="U254" s="52">
        <f ca="1">IFERROR(IF(U4&lt;'Get Started  2'!$H55,0,OFFSET(U249,0,-1*'Get Started  2'!$H55)*'Get Started  2'!$H84/'Get Started  2'!$H82),0)+IFERROR(IF(U4&lt;'Get Started  2'!$H65,0,OFFSET(U249,0,-1*'Get Started  2'!$H65)*'Get Started  2'!$H86/'Get Started  2'!$H82),0)</f>
        <v>0</v>
      </c>
      <c r="V254" s="52">
        <f ca="1">IFERROR(IF(V4&lt;'Get Started  2'!$H55,0,OFFSET(V249,0,-1*'Get Started  2'!$H55)*'Get Started  2'!$H84/'Get Started  2'!$H82),0)+IFERROR(IF(V4&lt;'Get Started  2'!$H65,0,OFFSET(V249,0,-1*'Get Started  2'!$H65)*'Get Started  2'!$H86/'Get Started  2'!$H82),0)</f>
        <v>0</v>
      </c>
      <c r="W254" s="52">
        <f ca="1">IFERROR(IF(W4&lt;'Get Started  2'!$H55,0,OFFSET(W249,0,-1*'Get Started  2'!$H55)*'Get Started  2'!$H84/'Get Started  2'!$H82),0)+IFERROR(IF(W4&lt;'Get Started  2'!$H65,0,OFFSET(W249,0,-1*'Get Started  2'!$H65)*'Get Started  2'!$H86/'Get Started  2'!$H82),0)</f>
        <v>0</v>
      </c>
      <c r="X254" s="52">
        <f ca="1">IFERROR(IF(X4&lt;'Get Started  2'!$H55,0,OFFSET(X249,0,-1*'Get Started  2'!$H55)*'Get Started  2'!$H84/'Get Started  2'!$H82),0)+IFERROR(IF(X4&lt;'Get Started  2'!$H65,0,OFFSET(X249,0,-1*'Get Started  2'!$H65)*'Get Started  2'!$H86/'Get Started  2'!$H82),0)</f>
        <v>0</v>
      </c>
      <c r="Y254" s="52">
        <f ca="1">IFERROR(IF(Y4&lt;'Get Started  2'!$H55,0,OFFSET(Y249,0,-1*'Get Started  2'!$H55)*'Get Started  2'!$H84/'Get Started  2'!$H82),0)+IFERROR(IF(Y4&lt;'Get Started  2'!$H65,0,OFFSET(Y249,0,-1*'Get Started  2'!$H65)*'Get Started  2'!$H86/'Get Started  2'!$H82),0)</f>
        <v>0</v>
      </c>
      <c r="Z254" s="52">
        <f ca="1">IFERROR(IF(Z4&lt;'Get Started  2'!$H55,0,OFFSET(Z249,0,-1*'Get Started  2'!$H55)*'Get Started  2'!$H84/'Get Started  2'!$H82),0)+IFERROR(IF(Z4&lt;'Get Started  2'!$H65,0,OFFSET(Z249,0,-1*'Get Started  2'!$H65)*'Get Started  2'!$H86/'Get Started  2'!$H82),0)</f>
        <v>0</v>
      </c>
      <c r="AA254" s="52">
        <f ca="1">IFERROR(IF(AA4&lt;'Get Started  2'!$H55,0,OFFSET(AA249,0,-1*'Get Started  2'!$H55)*'Get Started  2'!$H84/'Get Started  2'!$H82),0)+IFERROR(IF(AA4&lt;'Get Started  2'!$H65,0,OFFSET(AA249,0,-1*'Get Started  2'!$H65)*'Get Started  2'!$H86/'Get Started  2'!$H82),0)</f>
        <v>0</v>
      </c>
      <c r="AB254" s="52">
        <f ca="1">IFERROR(IF(AB4&lt;'Get Started  2'!$H55,0,OFFSET(AB249,0,-1*'Get Started  2'!$H55)*'Get Started  2'!$H84/'Get Started  2'!$H82),0)+IFERROR(IF(AB4&lt;'Get Started  2'!$H65,0,OFFSET(AB249,0,-1*'Get Started  2'!$H65)*'Get Started  2'!$H86/'Get Started  2'!$H82),0)</f>
        <v>0</v>
      </c>
      <c r="AC254" s="52">
        <f ca="1">IFERROR(IF(AC4&lt;'Get Started  2'!$H55,0,OFFSET(AC249,0,-1*'Get Started  2'!$H55)*'Get Started  2'!$H84/'Get Started  2'!$H82),0)+IFERROR(IF(AC4&lt;'Get Started  2'!$H65,0,OFFSET(AC249,0,-1*'Get Started  2'!$H65)*'Get Started  2'!$H86/'Get Started  2'!$H82),0)</f>
        <v>0</v>
      </c>
      <c r="AD254" s="52">
        <f ca="1">IFERROR(IF(AD4&lt;'Get Started  2'!$H55,0,OFFSET(AD249,0,-1*'Get Started  2'!$H55)*'Get Started  2'!$H84/'Get Started  2'!$H82),0)+IFERROR(IF(AD4&lt;'Get Started  2'!$H65,0,OFFSET(AD249,0,-1*'Get Started  2'!$H65)*'Get Started  2'!$H86/'Get Started  2'!$H82),0)</f>
        <v>0</v>
      </c>
      <c r="AE254" s="52">
        <f ca="1">IFERROR(IF(AE4&lt;'Get Started  2'!$H55,0,OFFSET(AE249,0,-1*'Get Started  2'!$H55)*'Get Started  2'!$H84/'Get Started  2'!$H82),0)+IFERROR(IF(AE4&lt;'Get Started  2'!$H65,0,OFFSET(AE249,0,-1*'Get Started  2'!$H65)*'Get Started  2'!$H86/'Get Started  2'!$H82),0)</f>
        <v>0</v>
      </c>
      <c r="AF254" s="52">
        <f ca="1">IFERROR(IF(AF4&lt;'Get Started  2'!$H55,0,OFFSET(AF249,0,-1*'Get Started  2'!$H55)*'Get Started  2'!$H84/'Get Started  2'!$H82),0)+IFERROR(IF(AF4&lt;'Get Started  2'!$H65,0,OFFSET(AF249,0,-1*'Get Started  2'!$H65)*'Get Started  2'!$H86/'Get Started  2'!$H82),0)</f>
        <v>0</v>
      </c>
      <c r="AG254" s="52">
        <f ca="1">IFERROR(IF(AG4&lt;'Get Started  2'!$H55,0,OFFSET(AG249,0,-1*'Get Started  2'!$H55)*'Get Started  2'!$H84/'Get Started  2'!$H82),0)+IFERROR(IF(AG4&lt;'Get Started  2'!$H65,0,OFFSET(AG249,0,-1*'Get Started  2'!$H65)*'Get Started  2'!$H86/'Get Started  2'!$H82),0)</f>
        <v>0</v>
      </c>
      <c r="AH254" s="52">
        <f ca="1">IFERROR(IF(AH4&lt;'Get Started  2'!$H55,0,OFFSET(AH249,0,-1*'Get Started  2'!$H55)*'Get Started  2'!$H84/'Get Started  2'!$H82),0)+IFERROR(IF(AH4&lt;'Get Started  2'!$H65,0,OFFSET(AH249,0,-1*'Get Started  2'!$H65)*'Get Started  2'!$H86/'Get Started  2'!$H82),0)</f>
        <v>0</v>
      </c>
      <c r="AI254" s="52">
        <f ca="1">IFERROR(IF(AI4&lt;'Get Started  2'!$H55,0,OFFSET(AI249,0,-1*'Get Started  2'!$H55)*'Get Started  2'!$H84/'Get Started  2'!$H82),0)+IFERROR(IF(AI4&lt;'Get Started  2'!$H65,0,OFFSET(AI249,0,-1*'Get Started  2'!$H65)*'Get Started  2'!$H86/'Get Started  2'!$H82),0)</f>
        <v>0</v>
      </c>
      <c r="AJ254" s="52">
        <f ca="1">IFERROR(IF(AJ4&lt;'Get Started  2'!$H55,0,OFFSET(AJ249,0,-1*'Get Started  2'!$H55)*'Get Started  2'!$H84/'Get Started  2'!$H82),0)+IFERROR(IF(AJ4&lt;'Get Started  2'!$H65,0,OFFSET(AJ249,0,-1*'Get Started  2'!$H65)*'Get Started  2'!$H86/'Get Started  2'!$H82),0)</f>
        <v>0</v>
      </c>
      <c r="AK254" s="52">
        <f ca="1">IFERROR(IF(AK4&lt;'Get Started  2'!$H55,0,OFFSET(AK249,0,-1*'Get Started  2'!$H55)*'Get Started  2'!$H84/'Get Started  2'!$H82),0)+IFERROR(IF(AK4&lt;'Get Started  2'!$H65,0,OFFSET(AK249,0,-1*'Get Started  2'!$H65)*'Get Started  2'!$H86/'Get Started  2'!$H82),0)</f>
        <v>0</v>
      </c>
      <c r="AL254" s="52">
        <f ca="1">IFERROR(IF(AL4&lt;'Get Started  2'!$H55,0,OFFSET(AL249,0,-1*'Get Started  2'!$H55)*'Get Started  2'!$H84/'Get Started  2'!$H82),0)+IFERROR(IF(AL4&lt;'Get Started  2'!$H65,0,OFFSET(AL249,0,-1*'Get Started  2'!$H65)*'Get Started  2'!$H86/'Get Started  2'!$H82),0)</f>
        <v>0</v>
      </c>
      <c r="AM254" s="52">
        <f ca="1">IFERROR(IF(AM4&lt;'Get Started  2'!$H55,0,OFFSET(AM249,0,-1*'Get Started  2'!$H55)*'Get Started  2'!$H84/'Get Started  2'!$H82),0)+IFERROR(IF(AM4&lt;'Get Started  2'!$H65,0,OFFSET(AM249,0,-1*'Get Started  2'!$H65)*'Get Started  2'!$H86/'Get Started  2'!$H82),0)</f>
        <v>0</v>
      </c>
      <c r="AN254" s="52">
        <f ca="1">IFERROR(IF(AN4&lt;'Get Started  2'!$H55,0,OFFSET(AN249,0,-1*'Get Started  2'!$H55)*'Get Started  2'!$H84/'Get Started  2'!$H82),0)+IFERROR(IF(AN4&lt;'Get Started  2'!$H65,0,OFFSET(AN249,0,-1*'Get Started  2'!$H65)*'Get Started  2'!$H86/'Get Started  2'!$H82),0)</f>
        <v>0</v>
      </c>
      <c r="AO254" s="52">
        <f ca="1">IFERROR(IF(AO4&lt;'Get Started  2'!$H55,0,OFFSET(AO249,0,-1*'Get Started  2'!$H55)*'Get Started  2'!$H84/'Get Started  2'!$H82),0)+IFERROR(IF(AO4&lt;'Get Started  2'!$H65,0,OFFSET(AO249,0,-1*'Get Started  2'!$H65)*'Get Started  2'!$H86/'Get Started  2'!$H82),0)</f>
        <v>0</v>
      </c>
      <c r="AP254" s="52">
        <f ca="1">IFERROR(IF(AP4&lt;'Get Started  2'!$H55,0,OFFSET(AP249,0,-1*'Get Started  2'!$H55)*'Get Started  2'!$H84/'Get Started  2'!$H82),0)+IFERROR(IF(AP4&lt;'Get Started  2'!$H65,0,OFFSET(AP249,0,-1*'Get Started  2'!$H65)*'Get Started  2'!$H86/'Get Started  2'!$H82),0)</f>
        <v>0</v>
      </c>
      <c r="AQ254" s="52">
        <f ca="1">IFERROR(IF(AQ4&lt;'Get Started  2'!$H55,0,OFFSET(AQ249,0,-1*'Get Started  2'!$H55)*'Get Started  2'!$H84/'Get Started  2'!$H82),0)+IFERROR(IF(AQ4&lt;'Get Started  2'!$H65,0,OFFSET(AQ249,0,-1*'Get Started  2'!$H65)*'Get Started  2'!$H86/'Get Started  2'!$H82),0)</f>
        <v>0</v>
      </c>
      <c r="AR254" s="52">
        <f ca="1">IFERROR(IF(AR4&lt;'Get Started  2'!$H55,0,OFFSET(AR249,0,-1*'Get Started  2'!$H55)*'Get Started  2'!$H84/'Get Started  2'!$H82),0)+IFERROR(IF(AR4&lt;'Get Started  2'!$H65,0,OFFSET(AR249,0,-1*'Get Started  2'!$H65)*'Get Started  2'!$H86/'Get Started  2'!$H82),0)</f>
        <v>0</v>
      </c>
      <c r="AS254" s="52">
        <f ca="1">IFERROR(IF(AS4&lt;'Get Started  2'!$H55,0,OFFSET(AS249,0,-1*'Get Started  2'!$H55)*'Get Started  2'!$H84/'Get Started  2'!$H82),0)+IFERROR(IF(AS4&lt;'Get Started  2'!$H65,0,OFFSET(AS249,0,-1*'Get Started  2'!$H65)*'Get Started  2'!$H86/'Get Started  2'!$H82),0)</f>
        <v>0</v>
      </c>
      <c r="AT254" s="52">
        <f ca="1">IFERROR(IF(AT4&lt;'Get Started  2'!$H55,0,OFFSET(AT249,0,-1*'Get Started  2'!$H55)*'Get Started  2'!$H84/'Get Started  2'!$H82),0)+IFERROR(IF(AT4&lt;'Get Started  2'!$H65,0,OFFSET(AT249,0,-1*'Get Started  2'!$H65)*'Get Started  2'!$H86/'Get Started  2'!$H82),0)</f>
        <v>0</v>
      </c>
      <c r="AU254" s="52">
        <f ca="1">IFERROR(IF(AU4&lt;'Get Started  2'!$H55,0,OFFSET(AU249,0,-1*'Get Started  2'!$H55)*'Get Started  2'!$H84/'Get Started  2'!$H82),0)+IFERROR(IF(AU4&lt;'Get Started  2'!$H65,0,OFFSET(AU249,0,-1*'Get Started  2'!$H65)*'Get Started  2'!$H86/'Get Started  2'!$H82),0)</f>
        <v>0</v>
      </c>
      <c r="AV254" s="52">
        <f ca="1">IFERROR(IF(AV4&lt;'Get Started  2'!$H55,0,OFFSET(AV249,0,-1*'Get Started  2'!$H55)*'Get Started  2'!$H84/'Get Started  2'!$H82),0)+IFERROR(IF(AV4&lt;'Get Started  2'!$H65,0,OFFSET(AV249,0,-1*'Get Started  2'!$H65)*'Get Started  2'!$H86/'Get Started  2'!$H82),0)</f>
        <v>0</v>
      </c>
      <c r="AW254" s="52">
        <f ca="1">IFERROR(IF(AW4&lt;'Get Started  2'!$H55,0,OFFSET(AW249,0,-1*'Get Started  2'!$H55)*'Get Started  2'!$H84/'Get Started  2'!$H82),0)+IFERROR(IF(AW4&lt;'Get Started  2'!$H65,0,OFFSET(AW249,0,-1*'Get Started  2'!$H65)*'Get Started  2'!$H86/'Get Started  2'!$H82),0)</f>
        <v>0</v>
      </c>
      <c r="AX254" s="52">
        <f ca="1">IFERROR(IF(AX4&lt;'Get Started  2'!$H55,0,OFFSET(AX249,0,-1*'Get Started  2'!$H55)*'Get Started  2'!$H84/'Get Started  2'!$H82),0)+IFERROR(IF(AX4&lt;'Get Started  2'!$H65,0,OFFSET(AX249,0,-1*'Get Started  2'!$H65)*'Get Started  2'!$H86/'Get Started  2'!$H82),0)</f>
        <v>0</v>
      </c>
      <c r="AY254" s="52">
        <f ca="1">IFERROR(IF(AY4&lt;'Get Started  2'!$H55,0,OFFSET(AY249,0,-1*'Get Started  2'!$H55)*'Get Started  2'!$H84/'Get Started  2'!$H82),0)+IFERROR(IF(AY4&lt;'Get Started  2'!$H65,0,OFFSET(AY249,0,-1*'Get Started  2'!$H65)*'Get Started  2'!$H86/'Get Started  2'!$H82),0)</f>
        <v>0</v>
      </c>
      <c r="AZ254" s="52">
        <f ca="1">IFERROR(IF(AZ4&lt;'Get Started  2'!$H55,0,OFFSET(AZ249,0,-1*'Get Started  2'!$H55)*'Get Started  2'!$H84/'Get Started  2'!$H82),0)+IFERROR(IF(AZ4&lt;'Get Started  2'!$H65,0,OFFSET(AZ249,0,-1*'Get Started  2'!$H65)*'Get Started  2'!$H86/'Get Started  2'!$H82),0)</f>
        <v>0</v>
      </c>
      <c r="BA254" s="52">
        <f ca="1">IFERROR(IF(BA4&lt;'Get Started  2'!$H55,0,OFFSET(BA249,0,-1*'Get Started  2'!$H55)*'Get Started  2'!$H84/'Get Started  2'!$H82),0)+IFERROR(IF(BA4&lt;'Get Started  2'!$H65,0,OFFSET(BA249,0,-1*'Get Started  2'!$H65)*'Get Started  2'!$H86/'Get Started  2'!$H82),0)</f>
        <v>0</v>
      </c>
      <c r="BB254" s="52">
        <f ca="1">IFERROR(IF(BB4&lt;'Get Started  2'!$H55,0,OFFSET(BB249,0,-1*'Get Started  2'!$H55)*'Get Started  2'!$H84/'Get Started  2'!$H82),0)+IFERROR(IF(BB4&lt;'Get Started  2'!$H65,0,OFFSET(BB249,0,-1*'Get Started  2'!$H65)*'Get Started  2'!$H86/'Get Started  2'!$H82),0)</f>
        <v>0</v>
      </c>
      <c r="BC254" s="52">
        <f ca="1">IFERROR(IF(BC4&lt;'Get Started  2'!$H55,0,OFFSET(BC249,0,-1*'Get Started  2'!$H55)*'Get Started  2'!$H84/'Get Started  2'!$H82),0)+IFERROR(IF(BC4&lt;'Get Started  2'!$H65,0,OFFSET(BC249,0,-1*'Get Started  2'!$H65)*'Get Started  2'!$H86/'Get Started  2'!$H82),0)</f>
        <v>0</v>
      </c>
      <c r="BD254" s="52">
        <f ca="1">IFERROR(IF(BD4&lt;'Get Started  2'!$H55,0,OFFSET(BD249,0,-1*'Get Started  2'!$H55)*'Get Started  2'!$H84/'Get Started  2'!$H82),0)+IFERROR(IF(BD4&lt;'Get Started  2'!$H65,0,OFFSET(BD249,0,-1*'Get Started  2'!$H65)*'Get Started  2'!$H86/'Get Started  2'!$H82),0)</f>
        <v>0</v>
      </c>
      <c r="BE254" s="52">
        <f ca="1">IFERROR(IF(BE4&lt;'Get Started  2'!$H55,0,OFFSET(BE249,0,-1*'Get Started  2'!$H55)*'Get Started  2'!$H84/'Get Started  2'!$H82),0)+IFERROR(IF(BE4&lt;'Get Started  2'!$H65,0,OFFSET(BE249,0,-1*'Get Started  2'!$H65)*'Get Started  2'!$H86/'Get Started  2'!$H82),0)</f>
        <v>0</v>
      </c>
      <c r="BF254" s="52">
        <f ca="1">IFERROR(IF(BF4&lt;'Get Started  2'!$H55,0,OFFSET(BF249,0,-1*'Get Started  2'!$H55)*'Get Started  2'!$H84/'Get Started  2'!$H82),0)+IFERROR(IF(BF4&lt;'Get Started  2'!$H65,0,OFFSET(BF249,0,-1*'Get Started  2'!$H65)*'Get Started  2'!$H86/'Get Started  2'!$H82),0)</f>
        <v>0</v>
      </c>
      <c r="BG254" s="52">
        <f ca="1">IFERROR(IF(BG4&lt;'Get Started  2'!$H55,0,OFFSET(BG249,0,-1*'Get Started  2'!$H55)*'Get Started  2'!$H84/'Get Started  2'!$H82),0)+IFERROR(IF(BG4&lt;'Get Started  2'!$H65,0,OFFSET(BG249,0,-1*'Get Started  2'!$H65)*'Get Started  2'!$H86/'Get Started  2'!$H82),0)</f>
        <v>0</v>
      </c>
      <c r="BH254" s="52">
        <f ca="1">IFERROR(IF(BH4&lt;'Get Started  2'!$H55,0,OFFSET(BH249,0,-1*'Get Started  2'!$H55)*'Get Started  2'!$H84/'Get Started  2'!$H82),0)+IFERROR(IF(BH4&lt;'Get Started  2'!$H65,0,OFFSET(BH249,0,-1*'Get Started  2'!$H65)*'Get Started  2'!$H86/'Get Started  2'!$H82),0)</f>
        <v>0</v>
      </c>
      <c r="BI254" s="52">
        <f ca="1">IFERROR(IF(BI4&lt;'Get Started  2'!$H55,0,OFFSET(BI249,0,-1*'Get Started  2'!$H55)*'Get Started  2'!$H84/'Get Started  2'!$H82),0)+IFERROR(IF(BI4&lt;'Get Started  2'!$H65,0,OFFSET(BI249,0,-1*'Get Started  2'!$H65)*'Get Started  2'!$H86/'Get Started  2'!$H82),0)</f>
        <v>0</v>
      </c>
      <c r="BJ254" s="52">
        <f ca="1">IFERROR(IF(BJ4&lt;'Get Started  2'!$H55,0,OFFSET(BJ249,0,-1*'Get Started  2'!$H55)*'Get Started  2'!$H84/'Get Started  2'!$H82),0)+IFERROR(IF(BJ4&lt;'Get Started  2'!$H65,0,OFFSET(BJ249,0,-1*'Get Started  2'!$H65)*'Get Started  2'!$H86/'Get Started  2'!$H82),0)</f>
        <v>0</v>
      </c>
      <c r="BK254" s="52">
        <f ca="1">IFERROR(IF(BK4&lt;'Get Started  2'!$H55,0,OFFSET(BK249,0,-1*'Get Started  2'!$H55)*'Get Started  2'!$H84/'Get Started  2'!$H82),0)+IFERROR(IF(BK4&lt;'Get Started  2'!$H65,0,OFFSET(BK249,0,-1*'Get Started  2'!$H65)*'Get Started  2'!$H86/'Get Started  2'!$H82),0)</f>
        <v>0</v>
      </c>
      <c r="BL254" s="52">
        <f ca="1">IFERROR(IF(BL4&lt;'Get Started  2'!$H55,0,OFFSET(BL249,0,-1*'Get Started  2'!$H55)*'Get Started  2'!$H84/'Get Started  2'!$H82),0)+IFERROR(IF(BL4&lt;'Get Started  2'!$H65,0,OFFSET(BL249,0,-1*'Get Started  2'!$H65)*'Get Started  2'!$H86/'Get Started  2'!$H82),0)</f>
        <v>0</v>
      </c>
      <c r="BM254" s="52">
        <f ca="1">IFERROR(IF(BM4&lt;'Get Started  2'!$H55,0,OFFSET(BM249,0,-1*'Get Started  2'!$H55)*'Get Started  2'!$H84/'Get Started  2'!$H82),0)+IFERROR(IF(BM4&lt;'Get Started  2'!$H65,0,OFFSET(BM249,0,-1*'Get Started  2'!$H65)*'Get Started  2'!$H86/'Get Started  2'!$H82),0)</f>
        <v>0</v>
      </c>
      <c r="BN254" s="52">
        <f ca="1">IFERROR(IF(BN4&lt;'Get Started  2'!$H55,0,OFFSET(BN249,0,-1*'Get Started  2'!$H55)*'Get Started  2'!$H84/'Get Started  2'!$H82),0)+IFERROR(IF(BN4&lt;'Get Started  2'!$H65,0,OFFSET(BN249,0,-1*'Get Started  2'!$H65)*'Get Started  2'!$H86/'Get Started  2'!$H82),0)</f>
        <v>0</v>
      </c>
      <c r="BO254" s="52">
        <f ca="1">IFERROR(IF(BO4&lt;'Get Started  2'!$H55,0,OFFSET(BO249,0,-1*'Get Started  2'!$H55)*'Get Started  2'!$H84/'Get Started  2'!$H82),0)+IFERROR(IF(BO4&lt;'Get Started  2'!$H65,0,OFFSET(BO249,0,-1*'Get Started  2'!$H65)*'Get Started  2'!$H86/'Get Started  2'!$H82),0)</f>
        <v>0</v>
      </c>
      <c r="BP254" s="52">
        <f ca="1">IFERROR(IF(BP4&lt;'Get Started  2'!$H55,0,OFFSET(BP249,0,-1*'Get Started  2'!$H55)*'Get Started  2'!$H84/'Get Started  2'!$H82),0)+IFERROR(IF(BP4&lt;'Get Started  2'!$H65,0,OFFSET(BP249,0,-1*'Get Started  2'!$H65)*'Get Started  2'!$H86/'Get Started  2'!$H82),0)</f>
        <v>0</v>
      </c>
      <c r="BQ254" s="52">
        <f ca="1">IFERROR(IF(BQ4&lt;'Get Started  2'!$H55,0,OFFSET(BQ249,0,-1*'Get Started  2'!$H55)*'Get Started  2'!$H84/'Get Started  2'!$H82),0)+IFERROR(IF(BQ4&lt;'Get Started  2'!$H65,0,OFFSET(BQ249,0,-1*'Get Started  2'!$H65)*'Get Started  2'!$H86/'Get Started  2'!$H82),0)</f>
        <v>0</v>
      </c>
      <c r="BR254" s="52">
        <f ca="1">IFERROR(IF(BR4&lt;'Get Started  2'!$H55,0,OFFSET(BR249,0,-1*'Get Started  2'!$H55)*'Get Started  2'!$H84/'Get Started  2'!$H82),0)+IFERROR(IF(BR4&lt;'Get Started  2'!$H65,0,OFFSET(BR249,0,-1*'Get Started  2'!$H65)*'Get Started  2'!$H86/'Get Started  2'!$H82),0)</f>
        <v>0</v>
      </c>
      <c r="BS254" s="52">
        <f ca="1">IFERROR(IF(BS4&lt;'Get Started  2'!$H55,0,OFFSET(BS249,0,-1*'Get Started  2'!$H55)*'Get Started  2'!$H84/'Get Started  2'!$H82),0)+IFERROR(IF(BS4&lt;'Get Started  2'!$H65,0,OFFSET(BS249,0,-1*'Get Started  2'!$H65)*'Get Started  2'!$H86/'Get Started  2'!$H82),0)</f>
        <v>0</v>
      </c>
      <c r="BT254" s="52">
        <f ca="1">IFERROR(IF(BT4&lt;'Get Started  2'!$H55,0,OFFSET(BT249,0,-1*'Get Started  2'!$H55)*'Get Started  2'!$H84/'Get Started  2'!$H82),0)+IFERROR(IF(BT4&lt;'Get Started  2'!$H65,0,OFFSET(BT249,0,-1*'Get Started  2'!$H65)*'Get Started  2'!$H86/'Get Started  2'!$H82),0)</f>
        <v>0</v>
      </c>
      <c r="BU254" s="52">
        <f ca="1">IFERROR(IF(BU4&lt;'Get Started  2'!$H55,0,OFFSET(BU249,0,-1*'Get Started  2'!$H55)*'Get Started  2'!$H84/'Get Started  2'!$H82),0)+IFERROR(IF(BU4&lt;'Get Started  2'!$H65,0,OFFSET(BU249,0,-1*'Get Started  2'!$H65)*'Get Started  2'!$H86/'Get Started  2'!$H82),0)</f>
        <v>0</v>
      </c>
      <c r="BV254" s="52">
        <f ca="1">IFERROR(IF(BV4&lt;'Get Started  2'!$H55,0,OFFSET(BV249,0,-1*'Get Started  2'!$H55)*'Get Started  2'!$H84/'Get Started  2'!$H82),0)+IFERROR(IF(BV4&lt;'Get Started  2'!$H65,0,OFFSET(BV249,0,-1*'Get Started  2'!$H65)*'Get Started  2'!$H86/'Get Started  2'!$H82),0)</f>
        <v>0</v>
      </c>
      <c r="BW254" s="52">
        <f ca="1">IFERROR(IF(BW4&lt;'Get Started  2'!$H55,0,OFFSET(BW249,0,-1*'Get Started  2'!$H55)*'Get Started  2'!$H84/'Get Started  2'!$H82),0)+IFERROR(IF(BW4&lt;'Get Started  2'!$H65,0,OFFSET(BW249,0,-1*'Get Started  2'!$H65)*'Get Started  2'!$H86/'Get Started  2'!$H82),0)</f>
        <v>0</v>
      </c>
      <c r="BX254" s="52">
        <f ca="1">IFERROR(IF(BX4&lt;'Get Started  2'!$H55,0,OFFSET(BX249,0,-1*'Get Started  2'!$H55)*'Get Started  2'!$H84/'Get Started  2'!$H82),0)+IFERROR(IF(BX4&lt;'Get Started  2'!$H65,0,OFFSET(BX249,0,-1*'Get Started  2'!$H65)*'Get Started  2'!$H86/'Get Started  2'!$H82),0)</f>
        <v>0</v>
      </c>
      <c r="BY254" s="52">
        <f ca="1">IFERROR(IF(BY4&lt;'Get Started  2'!$H55,0,OFFSET(BY249,0,-1*'Get Started  2'!$H55)*'Get Started  2'!$H84/'Get Started  2'!$H82),0)+IFERROR(IF(BY4&lt;'Get Started  2'!$H65,0,OFFSET(BY249,0,-1*'Get Started  2'!$H65)*'Get Started  2'!$H86/'Get Started  2'!$H82),0)</f>
        <v>0</v>
      </c>
      <c r="BZ254" s="52">
        <f ca="1">IFERROR(IF(BZ4&lt;'Get Started  2'!$H55,0,OFFSET(BZ249,0,-1*'Get Started  2'!$H55)*'Get Started  2'!$H84/'Get Started  2'!$H82),0)+IFERROR(IF(BZ4&lt;'Get Started  2'!$H65,0,OFFSET(BZ249,0,-1*'Get Started  2'!$H65)*'Get Started  2'!$H86/'Get Started  2'!$H82),0)</f>
        <v>0</v>
      </c>
      <c r="CA254" s="52">
        <f ca="1">IFERROR(IF(CA4&lt;'Get Started  2'!$H55,0,OFFSET(CA249,0,-1*'Get Started  2'!$H55)*'Get Started  2'!$H84/'Get Started  2'!$H82),0)+IFERROR(IF(CA4&lt;'Get Started  2'!$H65,0,OFFSET(CA249,0,-1*'Get Started  2'!$H65)*'Get Started  2'!$H86/'Get Started  2'!$H82),0)</f>
        <v>0</v>
      </c>
      <c r="CB254" s="52">
        <f ca="1">IFERROR(IF(CB4&lt;'Get Started  2'!$H55,0,OFFSET(CB249,0,-1*'Get Started  2'!$H55)*'Get Started  2'!$H84/'Get Started  2'!$H82),0)+IFERROR(IF(CB4&lt;'Get Started  2'!$H65,0,OFFSET(CB249,0,-1*'Get Started  2'!$H65)*'Get Started  2'!$H86/'Get Started  2'!$H82),0)</f>
        <v>0</v>
      </c>
      <c r="CC254" s="52">
        <f ca="1">IFERROR(IF(CC4&lt;'Get Started  2'!$H55,0,OFFSET(CC249,0,-1*'Get Started  2'!$H55)*'Get Started  2'!$H84/'Get Started  2'!$H82),0)+IFERROR(IF(CC4&lt;'Get Started  2'!$H65,0,OFFSET(CC249,0,-1*'Get Started  2'!$H65)*'Get Started  2'!$H86/'Get Started  2'!$H82),0)</f>
        <v>0</v>
      </c>
      <c r="CD254" s="52">
        <f ca="1">IFERROR(IF(CD4&lt;'Get Started  2'!$H55,0,OFFSET(CD249,0,-1*'Get Started  2'!$H55)*'Get Started  2'!$H84/'Get Started  2'!$H82),0)+IFERROR(IF(CD4&lt;'Get Started  2'!$H65,0,OFFSET(CD249,0,-1*'Get Started  2'!$H65)*'Get Started  2'!$H86/'Get Started  2'!$H82),0)</f>
        <v>0</v>
      </c>
      <c r="CE254" s="52">
        <f ca="1">IFERROR(IF(CE4&lt;'Get Started  2'!$H55,0,OFFSET(CE249,0,-1*'Get Started  2'!$H55)*'Get Started  2'!$H84/'Get Started  2'!$H82),0)+IFERROR(IF(CE4&lt;'Get Started  2'!$H65,0,OFFSET(CE249,0,-1*'Get Started  2'!$H65)*'Get Started  2'!$H86/'Get Started  2'!$H82),0)</f>
        <v>0</v>
      </c>
      <c r="CF254" s="52">
        <f ca="1">IFERROR(IF(CF4&lt;'Get Started  2'!$H55,0,OFFSET(CF249,0,-1*'Get Started  2'!$H55)*'Get Started  2'!$H84/'Get Started  2'!$H82),0)+IFERROR(IF(CF4&lt;'Get Started  2'!$H65,0,OFFSET(CF249,0,-1*'Get Started  2'!$H65)*'Get Started  2'!$H86/'Get Started  2'!$H82),0)</f>
        <v>0</v>
      </c>
      <c r="CG254" s="52">
        <f ca="1">IFERROR(IF(CG4&lt;'Get Started  2'!$H55,0,OFFSET(CG249,0,-1*'Get Started  2'!$H55)*'Get Started  2'!$H84/'Get Started  2'!$H82),0)+IFERROR(IF(CG4&lt;'Get Started  2'!$H65,0,OFFSET(CG249,0,-1*'Get Started  2'!$H65)*'Get Started  2'!$H86/'Get Started  2'!$H82),0)</f>
        <v>0</v>
      </c>
      <c r="CH254" s="52">
        <f ca="1">IFERROR(IF(CH4&lt;'Get Started  2'!$H55,0,OFFSET(CH249,0,-1*'Get Started  2'!$H55)*'Get Started  2'!$H84/'Get Started  2'!$H82),0)+IFERROR(IF(CH4&lt;'Get Started  2'!$H65,0,OFFSET(CH249,0,-1*'Get Started  2'!$H65)*'Get Started  2'!$H86/'Get Started  2'!$H82),0)</f>
        <v>0</v>
      </c>
    </row>
    <row r="255" spans="1:86" ht="13" outlineLevel="1">
      <c r="A255" s="13"/>
      <c r="B255" s="13" t="str">
        <f>B253&amp;" total"</f>
        <v>follow invested capital total</v>
      </c>
      <c r="C255" s="13"/>
      <c r="D255" s="13" t="s">
        <v>238</v>
      </c>
      <c r="E255" s="88">
        <f t="shared" ca="1" si="183"/>
        <v>0</v>
      </c>
      <c r="F255" s="48"/>
      <c r="G255" s="52">
        <f t="shared" ref="G255:CH255" ca="1" si="185">SUM(G251:G254)</f>
        <v>0</v>
      </c>
      <c r="H255" s="52">
        <f t="shared" ca="1" si="185"/>
        <v>0</v>
      </c>
      <c r="I255" s="52">
        <f t="shared" ca="1" si="185"/>
        <v>0</v>
      </c>
      <c r="J255" s="52">
        <f t="shared" ca="1" si="185"/>
        <v>0</v>
      </c>
      <c r="K255" s="52">
        <f t="shared" ca="1" si="185"/>
        <v>0</v>
      </c>
      <c r="L255" s="52">
        <f t="shared" ca="1" si="185"/>
        <v>0</v>
      </c>
      <c r="M255" s="52">
        <f t="shared" ca="1" si="185"/>
        <v>0</v>
      </c>
      <c r="N255" s="52">
        <f t="shared" ca="1" si="185"/>
        <v>0</v>
      </c>
      <c r="O255" s="52">
        <f t="shared" ca="1" si="185"/>
        <v>0</v>
      </c>
      <c r="P255" s="52">
        <f t="shared" ca="1" si="185"/>
        <v>0</v>
      </c>
      <c r="Q255" s="52">
        <f t="shared" ca="1" si="185"/>
        <v>0</v>
      </c>
      <c r="R255" s="52">
        <f t="shared" ca="1" si="185"/>
        <v>0</v>
      </c>
      <c r="S255" s="52">
        <f t="shared" ca="1" si="185"/>
        <v>0</v>
      </c>
      <c r="T255" s="52">
        <f t="shared" ca="1" si="185"/>
        <v>0</v>
      </c>
      <c r="U255" s="52">
        <f t="shared" ca="1" si="185"/>
        <v>0</v>
      </c>
      <c r="V255" s="52">
        <f t="shared" ca="1" si="185"/>
        <v>0</v>
      </c>
      <c r="W255" s="52">
        <f t="shared" ca="1" si="185"/>
        <v>0</v>
      </c>
      <c r="X255" s="52">
        <f t="shared" ca="1" si="185"/>
        <v>0</v>
      </c>
      <c r="Y255" s="52">
        <f t="shared" ca="1" si="185"/>
        <v>0</v>
      </c>
      <c r="Z255" s="52">
        <f t="shared" ca="1" si="185"/>
        <v>0</v>
      </c>
      <c r="AA255" s="52">
        <f t="shared" ca="1" si="185"/>
        <v>0</v>
      </c>
      <c r="AB255" s="52">
        <f t="shared" ca="1" si="185"/>
        <v>0</v>
      </c>
      <c r="AC255" s="52">
        <f t="shared" ca="1" si="185"/>
        <v>0</v>
      </c>
      <c r="AD255" s="52">
        <f t="shared" ca="1" si="185"/>
        <v>0</v>
      </c>
      <c r="AE255" s="52">
        <f t="shared" ca="1" si="185"/>
        <v>0</v>
      </c>
      <c r="AF255" s="52">
        <f t="shared" ca="1" si="185"/>
        <v>0</v>
      </c>
      <c r="AG255" s="52">
        <f t="shared" ca="1" si="185"/>
        <v>0</v>
      </c>
      <c r="AH255" s="52">
        <f t="shared" ca="1" si="185"/>
        <v>0</v>
      </c>
      <c r="AI255" s="52">
        <f t="shared" ca="1" si="185"/>
        <v>0</v>
      </c>
      <c r="AJ255" s="52">
        <f t="shared" ca="1" si="185"/>
        <v>0</v>
      </c>
      <c r="AK255" s="52">
        <f t="shared" ca="1" si="185"/>
        <v>0</v>
      </c>
      <c r="AL255" s="52">
        <f t="shared" ca="1" si="185"/>
        <v>0</v>
      </c>
      <c r="AM255" s="52">
        <f t="shared" ca="1" si="185"/>
        <v>0</v>
      </c>
      <c r="AN255" s="52">
        <f t="shared" ca="1" si="185"/>
        <v>0</v>
      </c>
      <c r="AO255" s="52">
        <f t="shared" ca="1" si="185"/>
        <v>0</v>
      </c>
      <c r="AP255" s="52">
        <f t="shared" ca="1" si="185"/>
        <v>0</v>
      </c>
      <c r="AQ255" s="52">
        <f t="shared" ca="1" si="185"/>
        <v>0</v>
      </c>
      <c r="AR255" s="52">
        <f t="shared" ca="1" si="185"/>
        <v>0</v>
      </c>
      <c r="AS255" s="52">
        <f t="shared" ca="1" si="185"/>
        <v>0</v>
      </c>
      <c r="AT255" s="52">
        <f t="shared" ca="1" si="185"/>
        <v>0</v>
      </c>
      <c r="AU255" s="52">
        <f t="shared" ca="1" si="185"/>
        <v>0</v>
      </c>
      <c r="AV255" s="52">
        <f t="shared" ca="1" si="185"/>
        <v>0</v>
      </c>
      <c r="AW255" s="52">
        <f t="shared" ca="1" si="185"/>
        <v>0</v>
      </c>
      <c r="AX255" s="52">
        <f t="shared" ca="1" si="185"/>
        <v>0</v>
      </c>
      <c r="AY255" s="52">
        <f t="shared" ca="1" si="185"/>
        <v>0</v>
      </c>
      <c r="AZ255" s="52">
        <f t="shared" ca="1" si="185"/>
        <v>0</v>
      </c>
      <c r="BA255" s="52">
        <f t="shared" ca="1" si="185"/>
        <v>0</v>
      </c>
      <c r="BB255" s="52">
        <f t="shared" ca="1" si="185"/>
        <v>0</v>
      </c>
      <c r="BC255" s="52">
        <f t="shared" ca="1" si="185"/>
        <v>0</v>
      </c>
      <c r="BD255" s="52">
        <f t="shared" ca="1" si="185"/>
        <v>0</v>
      </c>
      <c r="BE255" s="52">
        <f t="shared" ca="1" si="185"/>
        <v>0</v>
      </c>
      <c r="BF255" s="52">
        <f t="shared" ca="1" si="185"/>
        <v>0</v>
      </c>
      <c r="BG255" s="52">
        <f t="shared" ca="1" si="185"/>
        <v>0</v>
      </c>
      <c r="BH255" s="52">
        <f t="shared" ca="1" si="185"/>
        <v>0</v>
      </c>
      <c r="BI255" s="52">
        <f t="shared" ca="1" si="185"/>
        <v>0</v>
      </c>
      <c r="BJ255" s="52">
        <f t="shared" ca="1" si="185"/>
        <v>0</v>
      </c>
      <c r="BK255" s="52">
        <f t="shared" ca="1" si="185"/>
        <v>0</v>
      </c>
      <c r="BL255" s="52">
        <f t="shared" ca="1" si="185"/>
        <v>0</v>
      </c>
      <c r="BM255" s="52">
        <f t="shared" ca="1" si="185"/>
        <v>0</v>
      </c>
      <c r="BN255" s="52">
        <f t="shared" ca="1" si="185"/>
        <v>0</v>
      </c>
      <c r="BO255" s="52">
        <f t="shared" ca="1" si="185"/>
        <v>0</v>
      </c>
      <c r="BP255" s="52">
        <f t="shared" ca="1" si="185"/>
        <v>0</v>
      </c>
      <c r="BQ255" s="52">
        <f t="shared" ca="1" si="185"/>
        <v>0</v>
      </c>
      <c r="BR255" s="52">
        <f t="shared" ca="1" si="185"/>
        <v>0</v>
      </c>
      <c r="BS255" s="52">
        <f t="shared" ca="1" si="185"/>
        <v>0</v>
      </c>
      <c r="BT255" s="52">
        <f t="shared" ca="1" si="185"/>
        <v>0</v>
      </c>
      <c r="BU255" s="52">
        <f t="shared" ca="1" si="185"/>
        <v>0</v>
      </c>
      <c r="BV255" s="52">
        <f t="shared" ca="1" si="185"/>
        <v>0</v>
      </c>
      <c r="BW255" s="52">
        <f t="shared" ca="1" si="185"/>
        <v>0</v>
      </c>
      <c r="BX255" s="52">
        <f t="shared" ca="1" si="185"/>
        <v>0</v>
      </c>
      <c r="BY255" s="52">
        <f t="shared" ca="1" si="185"/>
        <v>0</v>
      </c>
      <c r="BZ255" s="52">
        <f t="shared" ca="1" si="185"/>
        <v>0</v>
      </c>
      <c r="CA255" s="52">
        <f t="shared" ca="1" si="185"/>
        <v>0</v>
      </c>
      <c r="CB255" s="52">
        <f t="shared" ca="1" si="185"/>
        <v>0</v>
      </c>
      <c r="CC255" s="52">
        <f t="shared" ca="1" si="185"/>
        <v>0</v>
      </c>
      <c r="CD255" s="52">
        <f t="shared" ca="1" si="185"/>
        <v>0</v>
      </c>
      <c r="CE255" s="52">
        <f t="shared" ca="1" si="185"/>
        <v>0</v>
      </c>
      <c r="CF255" s="52">
        <f t="shared" ca="1" si="185"/>
        <v>0</v>
      </c>
      <c r="CG255" s="52">
        <f t="shared" ca="1" si="185"/>
        <v>0</v>
      </c>
      <c r="CH255" s="52">
        <f t="shared" ca="1" si="185"/>
        <v>0</v>
      </c>
    </row>
    <row r="256" spans="1:86" ht="13" outlineLevel="1">
      <c r="A256" s="13"/>
      <c r="B256" s="13" t="s">
        <v>330</v>
      </c>
      <c r="C256" s="13"/>
      <c r="D256" s="13" t="s">
        <v>238</v>
      </c>
      <c r="E256" s="88">
        <f t="shared" ca="1" si="183"/>
        <v>0.61666666666666692</v>
      </c>
      <c r="F256" s="48"/>
      <c r="G256" s="52">
        <f t="shared" ref="G256:CH256" ca="1" si="186">G246+IFERROR(G246*$E251/$E246,0)</f>
        <v>3.8541666666666669E-2</v>
      </c>
      <c r="H256" s="52">
        <f t="shared" ca="1" si="186"/>
        <v>3.8541666666666669E-2</v>
      </c>
      <c r="I256" s="52">
        <f t="shared" ca="1" si="186"/>
        <v>3.8541666666666669E-2</v>
      </c>
      <c r="J256" s="52">
        <f t="shared" ca="1" si="186"/>
        <v>3.8541666666666669E-2</v>
      </c>
      <c r="K256" s="52">
        <f t="shared" ca="1" si="186"/>
        <v>3.8541666666666669E-2</v>
      </c>
      <c r="L256" s="52">
        <f t="shared" ca="1" si="186"/>
        <v>3.8541666666666669E-2</v>
      </c>
      <c r="M256" s="52">
        <f t="shared" ca="1" si="186"/>
        <v>3.8541666666666669E-2</v>
      </c>
      <c r="N256" s="52">
        <f t="shared" ca="1" si="186"/>
        <v>3.8541666666666669E-2</v>
      </c>
      <c r="O256" s="52">
        <f t="shared" ca="1" si="186"/>
        <v>3.8541666666666669E-2</v>
      </c>
      <c r="P256" s="52">
        <f t="shared" ca="1" si="186"/>
        <v>3.8541666666666669E-2</v>
      </c>
      <c r="Q256" s="52">
        <f t="shared" ca="1" si="186"/>
        <v>3.8541666666666669E-2</v>
      </c>
      <c r="R256" s="52">
        <f t="shared" ca="1" si="186"/>
        <v>3.8541666666666669E-2</v>
      </c>
      <c r="S256" s="52">
        <f t="shared" ca="1" si="186"/>
        <v>3.8541666666666669E-2</v>
      </c>
      <c r="T256" s="52">
        <f t="shared" ca="1" si="186"/>
        <v>3.8541666666666669E-2</v>
      </c>
      <c r="U256" s="52">
        <f t="shared" ca="1" si="186"/>
        <v>3.8541666666666669E-2</v>
      </c>
      <c r="V256" s="52">
        <f t="shared" ca="1" si="186"/>
        <v>3.8541666666666669E-2</v>
      </c>
      <c r="W256" s="52">
        <f t="shared" ca="1" si="186"/>
        <v>0</v>
      </c>
      <c r="X256" s="52">
        <f t="shared" ca="1" si="186"/>
        <v>0</v>
      </c>
      <c r="Y256" s="52">
        <f t="shared" ca="1" si="186"/>
        <v>0</v>
      </c>
      <c r="Z256" s="52">
        <f t="shared" ca="1" si="186"/>
        <v>0</v>
      </c>
      <c r="AA256" s="52">
        <f t="shared" ca="1" si="186"/>
        <v>0</v>
      </c>
      <c r="AB256" s="52">
        <f t="shared" ca="1" si="186"/>
        <v>0</v>
      </c>
      <c r="AC256" s="52">
        <f t="shared" ca="1" si="186"/>
        <v>0</v>
      </c>
      <c r="AD256" s="52">
        <f t="shared" ca="1" si="186"/>
        <v>0</v>
      </c>
      <c r="AE256" s="52">
        <f t="shared" ca="1" si="186"/>
        <v>0</v>
      </c>
      <c r="AF256" s="52">
        <f t="shared" ca="1" si="186"/>
        <v>0</v>
      </c>
      <c r="AG256" s="52">
        <f t="shared" ca="1" si="186"/>
        <v>0</v>
      </c>
      <c r="AH256" s="52">
        <f t="shared" ca="1" si="186"/>
        <v>0</v>
      </c>
      <c r="AI256" s="52">
        <f t="shared" ca="1" si="186"/>
        <v>0</v>
      </c>
      <c r="AJ256" s="52">
        <f t="shared" ca="1" si="186"/>
        <v>0</v>
      </c>
      <c r="AK256" s="52">
        <f t="shared" ca="1" si="186"/>
        <v>0</v>
      </c>
      <c r="AL256" s="52">
        <f t="shared" ca="1" si="186"/>
        <v>0</v>
      </c>
      <c r="AM256" s="52">
        <f t="shared" ca="1" si="186"/>
        <v>0</v>
      </c>
      <c r="AN256" s="52">
        <f t="shared" ca="1" si="186"/>
        <v>0</v>
      </c>
      <c r="AO256" s="52">
        <f t="shared" ca="1" si="186"/>
        <v>0</v>
      </c>
      <c r="AP256" s="52">
        <f t="shared" ca="1" si="186"/>
        <v>0</v>
      </c>
      <c r="AQ256" s="52">
        <f t="shared" ca="1" si="186"/>
        <v>0</v>
      </c>
      <c r="AR256" s="52">
        <f t="shared" ca="1" si="186"/>
        <v>0</v>
      </c>
      <c r="AS256" s="52">
        <f t="shared" ca="1" si="186"/>
        <v>0</v>
      </c>
      <c r="AT256" s="52">
        <f t="shared" ca="1" si="186"/>
        <v>0</v>
      </c>
      <c r="AU256" s="52">
        <f t="shared" ca="1" si="186"/>
        <v>0</v>
      </c>
      <c r="AV256" s="52">
        <f t="shared" ca="1" si="186"/>
        <v>0</v>
      </c>
      <c r="AW256" s="52">
        <f t="shared" ca="1" si="186"/>
        <v>0</v>
      </c>
      <c r="AX256" s="52">
        <f t="shared" ca="1" si="186"/>
        <v>0</v>
      </c>
      <c r="AY256" s="52">
        <f t="shared" ca="1" si="186"/>
        <v>0</v>
      </c>
      <c r="AZ256" s="52">
        <f t="shared" ca="1" si="186"/>
        <v>0</v>
      </c>
      <c r="BA256" s="52">
        <f t="shared" ca="1" si="186"/>
        <v>0</v>
      </c>
      <c r="BB256" s="52">
        <f t="shared" ca="1" si="186"/>
        <v>0</v>
      </c>
      <c r="BC256" s="52">
        <f t="shared" ca="1" si="186"/>
        <v>0</v>
      </c>
      <c r="BD256" s="52">
        <f t="shared" ca="1" si="186"/>
        <v>0</v>
      </c>
      <c r="BE256" s="52">
        <f t="shared" ca="1" si="186"/>
        <v>0</v>
      </c>
      <c r="BF256" s="52">
        <f t="shared" ca="1" si="186"/>
        <v>0</v>
      </c>
      <c r="BG256" s="52">
        <f t="shared" ca="1" si="186"/>
        <v>0</v>
      </c>
      <c r="BH256" s="52">
        <f t="shared" ca="1" si="186"/>
        <v>0</v>
      </c>
      <c r="BI256" s="52">
        <f t="shared" ca="1" si="186"/>
        <v>0</v>
      </c>
      <c r="BJ256" s="52">
        <f t="shared" ca="1" si="186"/>
        <v>0</v>
      </c>
      <c r="BK256" s="52">
        <f t="shared" ca="1" si="186"/>
        <v>0</v>
      </c>
      <c r="BL256" s="52">
        <f t="shared" ca="1" si="186"/>
        <v>0</v>
      </c>
      <c r="BM256" s="52">
        <f t="shared" ca="1" si="186"/>
        <v>0</v>
      </c>
      <c r="BN256" s="52">
        <f t="shared" ca="1" si="186"/>
        <v>0</v>
      </c>
      <c r="BO256" s="52">
        <f t="shared" ca="1" si="186"/>
        <v>0</v>
      </c>
      <c r="BP256" s="52">
        <f t="shared" ca="1" si="186"/>
        <v>0</v>
      </c>
      <c r="BQ256" s="52">
        <f t="shared" ca="1" si="186"/>
        <v>0</v>
      </c>
      <c r="BR256" s="52">
        <f t="shared" ca="1" si="186"/>
        <v>0</v>
      </c>
      <c r="BS256" s="52">
        <f t="shared" ca="1" si="186"/>
        <v>0</v>
      </c>
      <c r="BT256" s="52">
        <f t="shared" ca="1" si="186"/>
        <v>0</v>
      </c>
      <c r="BU256" s="52">
        <f t="shared" ca="1" si="186"/>
        <v>0</v>
      </c>
      <c r="BV256" s="52">
        <f t="shared" ca="1" si="186"/>
        <v>0</v>
      </c>
      <c r="BW256" s="52">
        <f t="shared" ca="1" si="186"/>
        <v>0</v>
      </c>
      <c r="BX256" s="52">
        <f t="shared" ca="1" si="186"/>
        <v>0</v>
      </c>
      <c r="BY256" s="52">
        <f t="shared" ca="1" si="186"/>
        <v>0</v>
      </c>
      <c r="BZ256" s="52">
        <f t="shared" ca="1" si="186"/>
        <v>0</v>
      </c>
      <c r="CA256" s="52">
        <f t="shared" ca="1" si="186"/>
        <v>0</v>
      </c>
      <c r="CB256" s="52">
        <f t="shared" ca="1" si="186"/>
        <v>0</v>
      </c>
      <c r="CC256" s="52">
        <f t="shared" ca="1" si="186"/>
        <v>0</v>
      </c>
      <c r="CD256" s="52">
        <f t="shared" ca="1" si="186"/>
        <v>0</v>
      </c>
      <c r="CE256" s="52">
        <f t="shared" ca="1" si="186"/>
        <v>0</v>
      </c>
      <c r="CF256" s="52">
        <f t="shared" ca="1" si="186"/>
        <v>0</v>
      </c>
      <c r="CG256" s="52">
        <f t="shared" ca="1" si="186"/>
        <v>0</v>
      </c>
      <c r="CH256" s="52">
        <f t="shared" ca="1" si="186"/>
        <v>0</v>
      </c>
    </row>
    <row r="257" spans="1:86" ht="13" outlineLevel="1">
      <c r="A257" s="13"/>
      <c r="B257" s="13" t="s">
        <v>330</v>
      </c>
      <c r="C257" s="13"/>
      <c r="D257" s="13" t="s">
        <v>238</v>
      </c>
      <c r="E257" s="88">
        <f t="shared" ca="1" si="183"/>
        <v>0.21666666666666667</v>
      </c>
      <c r="F257" s="48"/>
      <c r="G257" s="52">
        <f t="shared" ref="G257:CH257" ca="1" si="187">G247+IFERROR(G247*$E252/$E247,0)</f>
        <v>1.3541666666666665E-2</v>
      </c>
      <c r="H257" s="52">
        <f t="shared" ca="1" si="187"/>
        <v>1.3541666666666665E-2</v>
      </c>
      <c r="I257" s="52">
        <f t="shared" ca="1" si="187"/>
        <v>1.3541666666666665E-2</v>
      </c>
      <c r="J257" s="52">
        <f t="shared" ca="1" si="187"/>
        <v>1.3541666666666665E-2</v>
      </c>
      <c r="K257" s="52">
        <f t="shared" ca="1" si="187"/>
        <v>1.3541666666666665E-2</v>
      </c>
      <c r="L257" s="52">
        <f t="shared" ca="1" si="187"/>
        <v>1.3541666666666665E-2</v>
      </c>
      <c r="M257" s="52">
        <f t="shared" ca="1" si="187"/>
        <v>1.3541666666666665E-2</v>
      </c>
      <c r="N257" s="52">
        <f t="shared" ca="1" si="187"/>
        <v>1.3541666666666665E-2</v>
      </c>
      <c r="O257" s="52">
        <f t="shared" ca="1" si="187"/>
        <v>1.3541666666666665E-2</v>
      </c>
      <c r="P257" s="52">
        <f t="shared" ca="1" si="187"/>
        <v>1.3541666666666665E-2</v>
      </c>
      <c r="Q257" s="52">
        <f t="shared" ca="1" si="187"/>
        <v>1.3541666666666665E-2</v>
      </c>
      <c r="R257" s="52">
        <f t="shared" ca="1" si="187"/>
        <v>1.3541666666666665E-2</v>
      </c>
      <c r="S257" s="52">
        <f t="shared" ca="1" si="187"/>
        <v>1.3541666666666665E-2</v>
      </c>
      <c r="T257" s="52">
        <f t="shared" ca="1" si="187"/>
        <v>1.3541666666666665E-2</v>
      </c>
      <c r="U257" s="52">
        <f t="shared" ca="1" si="187"/>
        <v>1.3541666666666665E-2</v>
      </c>
      <c r="V257" s="52">
        <f t="shared" ca="1" si="187"/>
        <v>1.3541666666666665E-2</v>
      </c>
      <c r="W257" s="52">
        <f t="shared" ca="1" si="187"/>
        <v>0</v>
      </c>
      <c r="X257" s="52">
        <f t="shared" ca="1" si="187"/>
        <v>0</v>
      </c>
      <c r="Y257" s="52">
        <f t="shared" ca="1" si="187"/>
        <v>0</v>
      </c>
      <c r="Z257" s="52">
        <f t="shared" ca="1" si="187"/>
        <v>0</v>
      </c>
      <c r="AA257" s="52">
        <f t="shared" ca="1" si="187"/>
        <v>0</v>
      </c>
      <c r="AB257" s="52">
        <f t="shared" ca="1" si="187"/>
        <v>0</v>
      </c>
      <c r="AC257" s="52">
        <f t="shared" ca="1" si="187"/>
        <v>0</v>
      </c>
      <c r="AD257" s="52">
        <f t="shared" ca="1" si="187"/>
        <v>0</v>
      </c>
      <c r="AE257" s="52">
        <f t="shared" ca="1" si="187"/>
        <v>0</v>
      </c>
      <c r="AF257" s="52">
        <f t="shared" ca="1" si="187"/>
        <v>0</v>
      </c>
      <c r="AG257" s="52">
        <f t="shared" ca="1" si="187"/>
        <v>0</v>
      </c>
      <c r="AH257" s="52">
        <f t="shared" ca="1" si="187"/>
        <v>0</v>
      </c>
      <c r="AI257" s="52">
        <f t="shared" ca="1" si="187"/>
        <v>0</v>
      </c>
      <c r="AJ257" s="52">
        <f t="shared" ca="1" si="187"/>
        <v>0</v>
      </c>
      <c r="AK257" s="52">
        <f t="shared" ca="1" si="187"/>
        <v>0</v>
      </c>
      <c r="AL257" s="52">
        <f t="shared" ca="1" si="187"/>
        <v>0</v>
      </c>
      <c r="AM257" s="52">
        <f t="shared" ca="1" si="187"/>
        <v>0</v>
      </c>
      <c r="AN257" s="52">
        <f t="shared" ca="1" si="187"/>
        <v>0</v>
      </c>
      <c r="AO257" s="52">
        <f t="shared" ca="1" si="187"/>
        <v>0</v>
      </c>
      <c r="AP257" s="52">
        <f t="shared" ca="1" si="187"/>
        <v>0</v>
      </c>
      <c r="AQ257" s="52">
        <f t="shared" ca="1" si="187"/>
        <v>0</v>
      </c>
      <c r="AR257" s="52">
        <f t="shared" ca="1" si="187"/>
        <v>0</v>
      </c>
      <c r="AS257" s="52">
        <f t="shared" ca="1" si="187"/>
        <v>0</v>
      </c>
      <c r="AT257" s="52">
        <f t="shared" ca="1" si="187"/>
        <v>0</v>
      </c>
      <c r="AU257" s="52">
        <f t="shared" ca="1" si="187"/>
        <v>0</v>
      </c>
      <c r="AV257" s="52">
        <f t="shared" ca="1" si="187"/>
        <v>0</v>
      </c>
      <c r="AW257" s="52">
        <f t="shared" ca="1" si="187"/>
        <v>0</v>
      </c>
      <c r="AX257" s="52">
        <f t="shared" ca="1" si="187"/>
        <v>0</v>
      </c>
      <c r="AY257" s="52">
        <f t="shared" ca="1" si="187"/>
        <v>0</v>
      </c>
      <c r="AZ257" s="52">
        <f t="shared" ca="1" si="187"/>
        <v>0</v>
      </c>
      <c r="BA257" s="52">
        <f t="shared" ca="1" si="187"/>
        <v>0</v>
      </c>
      <c r="BB257" s="52">
        <f t="shared" ca="1" si="187"/>
        <v>0</v>
      </c>
      <c r="BC257" s="52">
        <f t="shared" ca="1" si="187"/>
        <v>0</v>
      </c>
      <c r="BD257" s="52">
        <f t="shared" ca="1" si="187"/>
        <v>0</v>
      </c>
      <c r="BE257" s="52">
        <f t="shared" ca="1" si="187"/>
        <v>0</v>
      </c>
      <c r="BF257" s="52">
        <f t="shared" ca="1" si="187"/>
        <v>0</v>
      </c>
      <c r="BG257" s="52">
        <f t="shared" ca="1" si="187"/>
        <v>0</v>
      </c>
      <c r="BH257" s="52">
        <f t="shared" ca="1" si="187"/>
        <v>0</v>
      </c>
      <c r="BI257" s="52">
        <f t="shared" ca="1" si="187"/>
        <v>0</v>
      </c>
      <c r="BJ257" s="52">
        <f t="shared" ca="1" si="187"/>
        <v>0</v>
      </c>
      <c r="BK257" s="52">
        <f t="shared" ca="1" si="187"/>
        <v>0</v>
      </c>
      <c r="BL257" s="52">
        <f t="shared" ca="1" si="187"/>
        <v>0</v>
      </c>
      <c r="BM257" s="52">
        <f t="shared" ca="1" si="187"/>
        <v>0</v>
      </c>
      <c r="BN257" s="52">
        <f t="shared" ca="1" si="187"/>
        <v>0</v>
      </c>
      <c r="BO257" s="52">
        <f t="shared" ca="1" si="187"/>
        <v>0</v>
      </c>
      <c r="BP257" s="52">
        <f t="shared" ca="1" si="187"/>
        <v>0</v>
      </c>
      <c r="BQ257" s="52">
        <f t="shared" ca="1" si="187"/>
        <v>0</v>
      </c>
      <c r="BR257" s="52">
        <f t="shared" ca="1" si="187"/>
        <v>0</v>
      </c>
      <c r="BS257" s="52">
        <f t="shared" ca="1" si="187"/>
        <v>0</v>
      </c>
      <c r="BT257" s="52">
        <f t="shared" ca="1" si="187"/>
        <v>0</v>
      </c>
      <c r="BU257" s="52">
        <f t="shared" ca="1" si="187"/>
        <v>0</v>
      </c>
      <c r="BV257" s="52">
        <f t="shared" ca="1" si="187"/>
        <v>0</v>
      </c>
      <c r="BW257" s="52">
        <f t="shared" ca="1" si="187"/>
        <v>0</v>
      </c>
      <c r="BX257" s="52">
        <f t="shared" ca="1" si="187"/>
        <v>0</v>
      </c>
      <c r="BY257" s="52">
        <f t="shared" ca="1" si="187"/>
        <v>0</v>
      </c>
      <c r="BZ257" s="52">
        <f t="shared" ca="1" si="187"/>
        <v>0</v>
      </c>
      <c r="CA257" s="52">
        <f t="shared" ca="1" si="187"/>
        <v>0</v>
      </c>
      <c r="CB257" s="52">
        <f t="shared" ca="1" si="187"/>
        <v>0</v>
      </c>
      <c r="CC257" s="52">
        <f t="shared" ca="1" si="187"/>
        <v>0</v>
      </c>
      <c r="CD257" s="52">
        <f t="shared" ca="1" si="187"/>
        <v>0</v>
      </c>
      <c r="CE257" s="52">
        <f t="shared" ca="1" si="187"/>
        <v>0</v>
      </c>
      <c r="CF257" s="52">
        <f t="shared" ca="1" si="187"/>
        <v>0</v>
      </c>
      <c r="CG257" s="52">
        <f t="shared" ca="1" si="187"/>
        <v>0</v>
      </c>
      <c r="CH257" s="52">
        <f t="shared" ca="1" si="187"/>
        <v>0</v>
      </c>
    </row>
    <row r="258" spans="1:86" ht="13" outlineLevel="1">
      <c r="A258" s="13"/>
      <c r="B258" s="13" t="s">
        <v>330</v>
      </c>
      <c r="C258" s="13"/>
      <c r="D258" s="13" t="s">
        <v>238</v>
      </c>
      <c r="E258" s="88">
        <f t="shared" ca="1" si="183"/>
        <v>0.11666666666666668</v>
      </c>
      <c r="F258" s="48"/>
      <c r="G258" s="52">
        <f t="shared" ref="G258:CH258" ca="1" si="188">G248+IFERROR(G248*$E253/$E248,0)</f>
        <v>7.2916666666666659E-3</v>
      </c>
      <c r="H258" s="52">
        <f t="shared" ca="1" si="188"/>
        <v>7.2916666666666659E-3</v>
      </c>
      <c r="I258" s="52">
        <f t="shared" ca="1" si="188"/>
        <v>7.2916666666666659E-3</v>
      </c>
      <c r="J258" s="52">
        <f t="shared" ca="1" si="188"/>
        <v>7.2916666666666659E-3</v>
      </c>
      <c r="K258" s="52">
        <f t="shared" ca="1" si="188"/>
        <v>7.2916666666666659E-3</v>
      </c>
      <c r="L258" s="52">
        <f t="shared" ca="1" si="188"/>
        <v>7.2916666666666659E-3</v>
      </c>
      <c r="M258" s="52">
        <f t="shared" ca="1" si="188"/>
        <v>7.2916666666666659E-3</v>
      </c>
      <c r="N258" s="52">
        <f t="shared" ca="1" si="188"/>
        <v>7.2916666666666659E-3</v>
      </c>
      <c r="O258" s="52">
        <f t="shared" ca="1" si="188"/>
        <v>7.2916666666666659E-3</v>
      </c>
      <c r="P258" s="52">
        <f t="shared" ca="1" si="188"/>
        <v>7.2916666666666659E-3</v>
      </c>
      <c r="Q258" s="52">
        <f t="shared" ca="1" si="188"/>
        <v>7.2916666666666659E-3</v>
      </c>
      <c r="R258" s="52">
        <f t="shared" ca="1" si="188"/>
        <v>7.2916666666666659E-3</v>
      </c>
      <c r="S258" s="52">
        <f t="shared" ca="1" si="188"/>
        <v>7.2916666666666659E-3</v>
      </c>
      <c r="T258" s="52">
        <f t="shared" ca="1" si="188"/>
        <v>7.2916666666666659E-3</v>
      </c>
      <c r="U258" s="52">
        <f t="shared" ca="1" si="188"/>
        <v>7.2916666666666659E-3</v>
      </c>
      <c r="V258" s="52">
        <f t="shared" ca="1" si="188"/>
        <v>7.2916666666666659E-3</v>
      </c>
      <c r="W258" s="52">
        <f t="shared" ca="1" si="188"/>
        <v>0</v>
      </c>
      <c r="X258" s="52">
        <f t="shared" ca="1" si="188"/>
        <v>0</v>
      </c>
      <c r="Y258" s="52">
        <f t="shared" ca="1" si="188"/>
        <v>0</v>
      </c>
      <c r="Z258" s="52">
        <f t="shared" ca="1" si="188"/>
        <v>0</v>
      </c>
      <c r="AA258" s="52">
        <f t="shared" ca="1" si="188"/>
        <v>0</v>
      </c>
      <c r="AB258" s="52">
        <f t="shared" ca="1" si="188"/>
        <v>0</v>
      </c>
      <c r="AC258" s="52">
        <f t="shared" ca="1" si="188"/>
        <v>0</v>
      </c>
      <c r="AD258" s="52">
        <f t="shared" ca="1" si="188"/>
        <v>0</v>
      </c>
      <c r="AE258" s="52">
        <f t="shared" ca="1" si="188"/>
        <v>0</v>
      </c>
      <c r="AF258" s="52">
        <f t="shared" ca="1" si="188"/>
        <v>0</v>
      </c>
      <c r="AG258" s="52">
        <f t="shared" ca="1" si="188"/>
        <v>0</v>
      </c>
      <c r="AH258" s="52">
        <f t="shared" ca="1" si="188"/>
        <v>0</v>
      </c>
      <c r="AI258" s="52">
        <f t="shared" ca="1" si="188"/>
        <v>0</v>
      </c>
      <c r="AJ258" s="52">
        <f t="shared" ca="1" si="188"/>
        <v>0</v>
      </c>
      <c r="AK258" s="52">
        <f t="shared" ca="1" si="188"/>
        <v>0</v>
      </c>
      <c r="AL258" s="52">
        <f t="shared" ca="1" si="188"/>
        <v>0</v>
      </c>
      <c r="AM258" s="52">
        <f t="shared" ca="1" si="188"/>
        <v>0</v>
      </c>
      <c r="AN258" s="52">
        <f t="shared" ca="1" si="188"/>
        <v>0</v>
      </c>
      <c r="AO258" s="52">
        <f t="shared" ca="1" si="188"/>
        <v>0</v>
      </c>
      <c r="AP258" s="52">
        <f t="shared" ca="1" si="188"/>
        <v>0</v>
      </c>
      <c r="AQ258" s="52">
        <f t="shared" ca="1" si="188"/>
        <v>0</v>
      </c>
      <c r="AR258" s="52">
        <f t="shared" ca="1" si="188"/>
        <v>0</v>
      </c>
      <c r="AS258" s="52">
        <f t="shared" ca="1" si="188"/>
        <v>0</v>
      </c>
      <c r="AT258" s="52">
        <f t="shared" ca="1" si="188"/>
        <v>0</v>
      </c>
      <c r="AU258" s="52">
        <f t="shared" ca="1" si="188"/>
        <v>0</v>
      </c>
      <c r="AV258" s="52">
        <f t="shared" ca="1" si="188"/>
        <v>0</v>
      </c>
      <c r="AW258" s="52">
        <f t="shared" ca="1" si="188"/>
        <v>0</v>
      </c>
      <c r="AX258" s="52">
        <f t="shared" ca="1" si="188"/>
        <v>0</v>
      </c>
      <c r="AY258" s="52">
        <f t="shared" ca="1" si="188"/>
        <v>0</v>
      </c>
      <c r="AZ258" s="52">
        <f t="shared" ca="1" si="188"/>
        <v>0</v>
      </c>
      <c r="BA258" s="52">
        <f t="shared" ca="1" si="188"/>
        <v>0</v>
      </c>
      <c r="BB258" s="52">
        <f t="shared" ca="1" si="188"/>
        <v>0</v>
      </c>
      <c r="BC258" s="52">
        <f t="shared" ca="1" si="188"/>
        <v>0</v>
      </c>
      <c r="BD258" s="52">
        <f t="shared" ca="1" si="188"/>
        <v>0</v>
      </c>
      <c r="BE258" s="52">
        <f t="shared" ca="1" si="188"/>
        <v>0</v>
      </c>
      <c r="BF258" s="52">
        <f t="shared" ca="1" si="188"/>
        <v>0</v>
      </c>
      <c r="BG258" s="52">
        <f t="shared" ca="1" si="188"/>
        <v>0</v>
      </c>
      <c r="BH258" s="52">
        <f t="shared" ca="1" si="188"/>
        <v>0</v>
      </c>
      <c r="BI258" s="52">
        <f t="shared" ca="1" si="188"/>
        <v>0</v>
      </c>
      <c r="BJ258" s="52">
        <f t="shared" ca="1" si="188"/>
        <v>0</v>
      </c>
      <c r="BK258" s="52">
        <f t="shared" ca="1" si="188"/>
        <v>0</v>
      </c>
      <c r="BL258" s="52">
        <f t="shared" ca="1" si="188"/>
        <v>0</v>
      </c>
      <c r="BM258" s="52">
        <f t="shared" ca="1" si="188"/>
        <v>0</v>
      </c>
      <c r="BN258" s="52">
        <f t="shared" ca="1" si="188"/>
        <v>0</v>
      </c>
      <c r="BO258" s="52">
        <f t="shared" ca="1" si="188"/>
        <v>0</v>
      </c>
      <c r="BP258" s="52">
        <f t="shared" ca="1" si="188"/>
        <v>0</v>
      </c>
      <c r="BQ258" s="52">
        <f t="shared" ca="1" si="188"/>
        <v>0</v>
      </c>
      <c r="BR258" s="52">
        <f t="shared" ca="1" si="188"/>
        <v>0</v>
      </c>
      <c r="BS258" s="52">
        <f t="shared" ca="1" si="188"/>
        <v>0</v>
      </c>
      <c r="BT258" s="52">
        <f t="shared" ca="1" si="188"/>
        <v>0</v>
      </c>
      <c r="BU258" s="52">
        <f t="shared" ca="1" si="188"/>
        <v>0</v>
      </c>
      <c r="BV258" s="52">
        <f t="shared" ca="1" si="188"/>
        <v>0</v>
      </c>
      <c r="BW258" s="52">
        <f t="shared" ca="1" si="188"/>
        <v>0</v>
      </c>
      <c r="BX258" s="52">
        <f t="shared" ca="1" si="188"/>
        <v>0</v>
      </c>
      <c r="BY258" s="52">
        <f t="shared" ca="1" si="188"/>
        <v>0</v>
      </c>
      <c r="BZ258" s="52">
        <f t="shared" ca="1" si="188"/>
        <v>0</v>
      </c>
      <c r="CA258" s="52">
        <f t="shared" ca="1" si="188"/>
        <v>0</v>
      </c>
      <c r="CB258" s="52">
        <f t="shared" ca="1" si="188"/>
        <v>0</v>
      </c>
      <c r="CC258" s="52">
        <f t="shared" ca="1" si="188"/>
        <v>0</v>
      </c>
      <c r="CD258" s="52">
        <f t="shared" ca="1" si="188"/>
        <v>0</v>
      </c>
      <c r="CE258" s="52">
        <f t="shared" ca="1" si="188"/>
        <v>0</v>
      </c>
      <c r="CF258" s="52">
        <f t="shared" ca="1" si="188"/>
        <v>0</v>
      </c>
      <c r="CG258" s="52">
        <f t="shared" ca="1" si="188"/>
        <v>0</v>
      </c>
      <c r="CH258" s="52">
        <f t="shared" ca="1" si="188"/>
        <v>0</v>
      </c>
    </row>
    <row r="259" spans="1:86" ht="13" outlineLevel="1">
      <c r="A259" s="13"/>
      <c r="B259" s="13" t="s">
        <v>330</v>
      </c>
      <c r="C259" s="13"/>
      <c r="D259" s="13" t="s">
        <v>238</v>
      </c>
      <c r="E259" s="88">
        <f t="shared" ca="1" si="183"/>
        <v>4.9999999999999968E-2</v>
      </c>
      <c r="F259" s="48"/>
      <c r="G259" s="52">
        <f t="shared" ref="G259:CH259" ca="1" si="189">G249+IFERROR(G249*$E254/$E249,0)</f>
        <v>3.1249999999999989E-3</v>
      </c>
      <c r="H259" s="52">
        <f t="shared" ca="1" si="189"/>
        <v>3.1249999999999989E-3</v>
      </c>
      <c r="I259" s="52">
        <f t="shared" ca="1" si="189"/>
        <v>3.1249999999999989E-3</v>
      </c>
      <c r="J259" s="52">
        <f t="shared" ca="1" si="189"/>
        <v>3.1249999999999989E-3</v>
      </c>
      <c r="K259" s="52">
        <f t="shared" ca="1" si="189"/>
        <v>3.1249999999999989E-3</v>
      </c>
      <c r="L259" s="52">
        <f t="shared" ca="1" si="189"/>
        <v>3.1249999999999989E-3</v>
      </c>
      <c r="M259" s="52">
        <f t="shared" ca="1" si="189"/>
        <v>3.1249999999999989E-3</v>
      </c>
      <c r="N259" s="52">
        <f t="shared" ca="1" si="189"/>
        <v>3.1249999999999989E-3</v>
      </c>
      <c r="O259" s="52">
        <f t="shared" ca="1" si="189"/>
        <v>3.1249999999999989E-3</v>
      </c>
      <c r="P259" s="52">
        <f t="shared" ca="1" si="189"/>
        <v>3.1249999999999989E-3</v>
      </c>
      <c r="Q259" s="52">
        <f t="shared" ca="1" si="189"/>
        <v>3.1249999999999989E-3</v>
      </c>
      <c r="R259" s="52">
        <f t="shared" ca="1" si="189"/>
        <v>3.1249999999999989E-3</v>
      </c>
      <c r="S259" s="52">
        <f t="shared" ca="1" si="189"/>
        <v>3.1249999999999989E-3</v>
      </c>
      <c r="T259" s="52">
        <f t="shared" ca="1" si="189"/>
        <v>3.1249999999999989E-3</v>
      </c>
      <c r="U259" s="52">
        <f t="shared" ca="1" si="189"/>
        <v>3.1249999999999989E-3</v>
      </c>
      <c r="V259" s="52">
        <f t="shared" ca="1" si="189"/>
        <v>3.1249999999999989E-3</v>
      </c>
      <c r="W259" s="52">
        <f t="shared" ca="1" si="189"/>
        <v>0</v>
      </c>
      <c r="X259" s="52">
        <f t="shared" ca="1" si="189"/>
        <v>0</v>
      </c>
      <c r="Y259" s="52">
        <f t="shared" ca="1" si="189"/>
        <v>0</v>
      </c>
      <c r="Z259" s="52">
        <f t="shared" ca="1" si="189"/>
        <v>0</v>
      </c>
      <c r="AA259" s="52">
        <f t="shared" ca="1" si="189"/>
        <v>0</v>
      </c>
      <c r="AB259" s="52">
        <f t="shared" ca="1" si="189"/>
        <v>0</v>
      </c>
      <c r="AC259" s="52">
        <f t="shared" ca="1" si="189"/>
        <v>0</v>
      </c>
      <c r="AD259" s="52">
        <f t="shared" ca="1" si="189"/>
        <v>0</v>
      </c>
      <c r="AE259" s="52">
        <f t="shared" ca="1" si="189"/>
        <v>0</v>
      </c>
      <c r="AF259" s="52">
        <f t="shared" ca="1" si="189"/>
        <v>0</v>
      </c>
      <c r="AG259" s="52">
        <f t="shared" ca="1" si="189"/>
        <v>0</v>
      </c>
      <c r="AH259" s="52">
        <f t="shared" ca="1" si="189"/>
        <v>0</v>
      </c>
      <c r="AI259" s="52">
        <f t="shared" ca="1" si="189"/>
        <v>0</v>
      </c>
      <c r="AJ259" s="52">
        <f t="shared" ca="1" si="189"/>
        <v>0</v>
      </c>
      <c r="AK259" s="52">
        <f t="shared" ca="1" si="189"/>
        <v>0</v>
      </c>
      <c r="AL259" s="52">
        <f t="shared" ca="1" si="189"/>
        <v>0</v>
      </c>
      <c r="AM259" s="52">
        <f t="shared" ca="1" si="189"/>
        <v>0</v>
      </c>
      <c r="AN259" s="52">
        <f t="shared" ca="1" si="189"/>
        <v>0</v>
      </c>
      <c r="AO259" s="52">
        <f t="shared" ca="1" si="189"/>
        <v>0</v>
      </c>
      <c r="AP259" s="52">
        <f t="shared" ca="1" si="189"/>
        <v>0</v>
      </c>
      <c r="AQ259" s="52">
        <f t="shared" ca="1" si="189"/>
        <v>0</v>
      </c>
      <c r="AR259" s="52">
        <f t="shared" ca="1" si="189"/>
        <v>0</v>
      </c>
      <c r="AS259" s="52">
        <f t="shared" ca="1" si="189"/>
        <v>0</v>
      </c>
      <c r="AT259" s="52">
        <f t="shared" ca="1" si="189"/>
        <v>0</v>
      </c>
      <c r="AU259" s="52">
        <f t="shared" ca="1" si="189"/>
        <v>0</v>
      </c>
      <c r="AV259" s="52">
        <f t="shared" ca="1" si="189"/>
        <v>0</v>
      </c>
      <c r="AW259" s="52">
        <f t="shared" ca="1" si="189"/>
        <v>0</v>
      </c>
      <c r="AX259" s="52">
        <f t="shared" ca="1" si="189"/>
        <v>0</v>
      </c>
      <c r="AY259" s="52">
        <f t="shared" ca="1" si="189"/>
        <v>0</v>
      </c>
      <c r="AZ259" s="52">
        <f t="shared" ca="1" si="189"/>
        <v>0</v>
      </c>
      <c r="BA259" s="52">
        <f t="shared" ca="1" si="189"/>
        <v>0</v>
      </c>
      <c r="BB259" s="52">
        <f t="shared" ca="1" si="189"/>
        <v>0</v>
      </c>
      <c r="BC259" s="52">
        <f t="shared" ca="1" si="189"/>
        <v>0</v>
      </c>
      <c r="BD259" s="52">
        <f t="shared" ca="1" si="189"/>
        <v>0</v>
      </c>
      <c r="BE259" s="52">
        <f t="shared" ca="1" si="189"/>
        <v>0</v>
      </c>
      <c r="BF259" s="52">
        <f t="shared" ca="1" si="189"/>
        <v>0</v>
      </c>
      <c r="BG259" s="52">
        <f t="shared" ca="1" si="189"/>
        <v>0</v>
      </c>
      <c r="BH259" s="52">
        <f t="shared" ca="1" si="189"/>
        <v>0</v>
      </c>
      <c r="BI259" s="52">
        <f t="shared" ca="1" si="189"/>
        <v>0</v>
      </c>
      <c r="BJ259" s="52">
        <f t="shared" ca="1" si="189"/>
        <v>0</v>
      </c>
      <c r="BK259" s="52">
        <f t="shared" ca="1" si="189"/>
        <v>0</v>
      </c>
      <c r="BL259" s="52">
        <f t="shared" ca="1" si="189"/>
        <v>0</v>
      </c>
      <c r="BM259" s="52">
        <f t="shared" ca="1" si="189"/>
        <v>0</v>
      </c>
      <c r="BN259" s="52">
        <f t="shared" ca="1" si="189"/>
        <v>0</v>
      </c>
      <c r="BO259" s="52">
        <f t="shared" ca="1" si="189"/>
        <v>0</v>
      </c>
      <c r="BP259" s="52">
        <f t="shared" ca="1" si="189"/>
        <v>0</v>
      </c>
      <c r="BQ259" s="52">
        <f t="shared" ca="1" si="189"/>
        <v>0</v>
      </c>
      <c r="BR259" s="52">
        <f t="shared" ca="1" si="189"/>
        <v>0</v>
      </c>
      <c r="BS259" s="52">
        <f t="shared" ca="1" si="189"/>
        <v>0</v>
      </c>
      <c r="BT259" s="52">
        <f t="shared" ca="1" si="189"/>
        <v>0</v>
      </c>
      <c r="BU259" s="52">
        <f t="shared" ca="1" si="189"/>
        <v>0</v>
      </c>
      <c r="BV259" s="52">
        <f t="shared" ca="1" si="189"/>
        <v>0</v>
      </c>
      <c r="BW259" s="52">
        <f t="shared" ca="1" si="189"/>
        <v>0</v>
      </c>
      <c r="BX259" s="52">
        <f t="shared" ca="1" si="189"/>
        <v>0</v>
      </c>
      <c r="BY259" s="52">
        <f t="shared" ca="1" si="189"/>
        <v>0</v>
      </c>
      <c r="BZ259" s="52">
        <f t="shared" ca="1" si="189"/>
        <v>0</v>
      </c>
      <c r="CA259" s="52">
        <f t="shared" ca="1" si="189"/>
        <v>0</v>
      </c>
      <c r="CB259" s="52">
        <f t="shared" ca="1" si="189"/>
        <v>0</v>
      </c>
      <c r="CC259" s="52">
        <f t="shared" ca="1" si="189"/>
        <v>0</v>
      </c>
      <c r="CD259" s="52">
        <f t="shared" ca="1" si="189"/>
        <v>0</v>
      </c>
      <c r="CE259" s="52">
        <f t="shared" ca="1" si="189"/>
        <v>0</v>
      </c>
      <c r="CF259" s="52">
        <f t="shared" ca="1" si="189"/>
        <v>0</v>
      </c>
      <c r="CG259" s="52">
        <f t="shared" ca="1" si="189"/>
        <v>0</v>
      </c>
      <c r="CH259" s="52">
        <f t="shared" ca="1" si="189"/>
        <v>0</v>
      </c>
    </row>
    <row r="260" spans="1:86" ht="13" outlineLevel="1">
      <c r="A260" s="13"/>
      <c r="B260" s="13" t="str">
        <f>B258&amp;" total"</f>
        <v>invested capital, per cohort total</v>
      </c>
      <c r="C260" s="13"/>
      <c r="D260" s="13" t="s">
        <v>238</v>
      </c>
      <c r="E260" s="88">
        <f t="shared" ca="1" si="183"/>
        <v>1</v>
      </c>
      <c r="F260" s="48"/>
      <c r="G260" s="52">
        <f t="shared" ref="G260:CH260" ca="1" si="190">SUM(G256:G259)</f>
        <v>6.25E-2</v>
      </c>
      <c r="H260" s="52">
        <f t="shared" ca="1" si="190"/>
        <v>6.25E-2</v>
      </c>
      <c r="I260" s="52">
        <f t="shared" ca="1" si="190"/>
        <v>6.25E-2</v>
      </c>
      <c r="J260" s="52">
        <f t="shared" ca="1" si="190"/>
        <v>6.25E-2</v>
      </c>
      <c r="K260" s="52">
        <f t="shared" ca="1" si="190"/>
        <v>6.25E-2</v>
      </c>
      <c r="L260" s="52">
        <f t="shared" ca="1" si="190"/>
        <v>6.25E-2</v>
      </c>
      <c r="M260" s="52">
        <f t="shared" ca="1" si="190"/>
        <v>6.25E-2</v>
      </c>
      <c r="N260" s="52">
        <f t="shared" ca="1" si="190"/>
        <v>6.25E-2</v>
      </c>
      <c r="O260" s="52">
        <f t="shared" ca="1" si="190"/>
        <v>6.25E-2</v>
      </c>
      <c r="P260" s="52">
        <f t="shared" ca="1" si="190"/>
        <v>6.25E-2</v>
      </c>
      <c r="Q260" s="52">
        <f t="shared" ca="1" si="190"/>
        <v>6.25E-2</v>
      </c>
      <c r="R260" s="52">
        <f t="shared" ca="1" si="190"/>
        <v>6.25E-2</v>
      </c>
      <c r="S260" s="52">
        <f t="shared" ca="1" si="190"/>
        <v>6.25E-2</v>
      </c>
      <c r="T260" s="52">
        <f t="shared" ca="1" si="190"/>
        <v>6.25E-2</v>
      </c>
      <c r="U260" s="52">
        <f t="shared" ca="1" si="190"/>
        <v>6.25E-2</v>
      </c>
      <c r="V260" s="52">
        <f t="shared" ca="1" si="190"/>
        <v>6.25E-2</v>
      </c>
      <c r="W260" s="52">
        <f t="shared" ca="1" si="190"/>
        <v>0</v>
      </c>
      <c r="X260" s="52">
        <f t="shared" ca="1" si="190"/>
        <v>0</v>
      </c>
      <c r="Y260" s="52">
        <f t="shared" ca="1" si="190"/>
        <v>0</v>
      </c>
      <c r="Z260" s="52">
        <f t="shared" ca="1" si="190"/>
        <v>0</v>
      </c>
      <c r="AA260" s="52">
        <f t="shared" ca="1" si="190"/>
        <v>0</v>
      </c>
      <c r="AB260" s="52">
        <f t="shared" ca="1" si="190"/>
        <v>0</v>
      </c>
      <c r="AC260" s="52">
        <f t="shared" ca="1" si="190"/>
        <v>0</v>
      </c>
      <c r="AD260" s="52">
        <f t="shared" ca="1" si="190"/>
        <v>0</v>
      </c>
      <c r="AE260" s="52">
        <f t="shared" ca="1" si="190"/>
        <v>0</v>
      </c>
      <c r="AF260" s="52">
        <f t="shared" ca="1" si="190"/>
        <v>0</v>
      </c>
      <c r="AG260" s="52">
        <f t="shared" ca="1" si="190"/>
        <v>0</v>
      </c>
      <c r="AH260" s="52">
        <f t="shared" ca="1" si="190"/>
        <v>0</v>
      </c>
      <c r="AI260" s="52">
        <f t="shared" ca="1" si="190"/>
        <v>0</v>
      </c>
      <c r="AJ260" s="52">
        <f t="shared" ca="1" si="190"/>
        <v>0</v>
      </c>
      <c r="AK260" s="52">
        <f t="shared" ca="1" si="190"/>
        <v>0</v>
      </c>
      <c r="AL260" s="52">
        <f t="shared" ca="1" si="190"/>
        <v>0</v>
      </c>
      <c r="AM260" s="52">
        <f t="shared" ca="1" si="190"/>
        <v>0</v>
      </c>
      <c r="AN260" s="52">
        <f t="shared" ca="1" si="190"/>
        <v>0</v>
      </c>
      <c r="AO260" s="52">
        <f t="shared" ca="1" si="190"/>
        <v>0</v>
      </c>
      <c r="AP260" s="52">
        <f t="shared" ca="1" si="190"/>
        <v>0</v>
      </c>
      <c r="AQ260" s="52">
        <f t="shared" ca="1" si="190"/>
        <v>0</v>
      </c>
      <c r="AR260" s="52">
        <f t="shared" ca="1" si="190"/>
        <v>0</v>
      </c>
      <c r="AS260" s="52">
        <f t="shared" ca="1" si="190"/>
        <v>0</v>
      </c>
      <c r="AT260" s="52">
        <f t="shared" ca="1" si="190"/>
        <v>0</v>
      </c>
      <c r="AU260" s="52">
        <f t="shared" ca="1" si="190"/>
        <v>0</v>
      </c>
      <c r="AV260" s="52">
        <f t="shared" ca="1" si="190"/>
        <v>0</v>
      </c>
      <c r="AW260" s="52">
        <f t="shared" ca="1" si="190"/>
        <v>0</v>
      </c>
      <c r="AX260" s="52">
        <f t="shared" ca="1" si="190"/>
        <v>0</v>
      </c>
      <c r="AY260" s="52">
        <f t="shared" ca="1" si="190"/>
        <v>0</v>
      </c>
      <c r="AZ260" s="52">
        <f t="shared" ca="1" si="190"/>
        <v>0</v>
      </c>
      <c r="BA260" s="52">
        <f t="shared" ca="1" si="190"/>
        <v>0</v>
      </c>
      <c r="BB260" s="52">
        <f t="shared" ca="1" si="190"/>
        <v>0</v>
      </c>
      <c r="BC260" s="52">
        <f t="shared" ca="1" si="190"/>
        <v>0</v>
      </c>
      <c r="BD260" s="52">
        <f t="shared" ca="1" si="190"/>
        <v>0</v>
      </c>
      <c r="BE260" s="52">
        <f t="shared" ca="1" si="190"/>
        <v>0</v>
      </c>
      <c r="BF260" s="52">
        <f t="shared" ca="1" si="190"/>
        <v>0</v>
      </c>
      <c r="BG260" s="52">
        <f t="shared" ca="1" si="190"/>
        <v>0</v>
      </c>
      <c r="BH260" s="52">
        <f t="shared" ca="1" si="190"/>
        <v>0</v>
      </c>
      <c r="BI260" s="52">
        <f t="shared" ca="1" si="190"/>
        <v>0</v>
      </c>
      <c r="BJ260" s="52">
        <f t="shared" ca="1" si="190"/>
        <v>0</v>
      </c>
      <c r="BK260" s="52">
        <f t="shared" ca="1" si="190"/>
        <v>0</v>
      </c>
      <c r="BL260" s="52">
        <f t="shared" ca="1" si="190"/>
        <v>0</v>
      </c>
      <c r="BM260" s="52">
        <f t="shared" ca="1" si="190"/>
        <v>0</v>
      </c>
      <c r="BN260" s="52">
        <f t="shared" ca="1" si="190"/>
        <v>0</v>
      </c>
      <c r="BO260" s="52">
        <f t="shared" ca="1" si="190"/>
        <v>0</v>
      </c>
      <c r="BP260" s="52">
        <f t="shared" ca="1" si="190"/>
        <v>0</v>
      </c>
      <c r="BQ260" s="52">
        <f t="shared" ca="1" si="190"/>
        <v>0</v>
      </c>
      <c r="BR260" s="52">
        <f t="shared" ca="1" si="190"/>
        <v>0</v>
      </c>
      <c r="BS260" s="52">
        <f t="shared" ca="1" si="190"/>
        <v>0</v>
      </c>
      <c r="BT260" s="52">
        <f t="shared" ca="1" si="190"/>
        <v>0</v>
      </c>
      <c r="BU260" s="52">
        <f t="shared" ca="1" si="190"/>
        <v>0</v>
      </c>
      <c r="BV260" s="52">
        <f t="shared" ca="1" si="190"/>
        <v>0</v>
      </c>
      <c r="BW260" s="52">
        <f t="shared" ca="1" si="190"/>
        <v>0</v>
      </c>
      <c r="BX260" s="52">
        <f t="shared" ca="1" si="190"/>
        <v>0</v>
      </c>
      <c r="BY260" s="52">
        <f t="shared" ca="1" si="190"/>
        <v>0</v>
      </c>
      <c r="BZ260" s="52">
        <f t="shared" ca="1" si="190"/>
        <v>0</v>
      </c>
      <c r="CA260" s="52">
        <f t="shared" ca="1" si="190"/>
        <v>0</v>
      </c>
      <c r="CB260" s="52">
        <f t="shared" ca="1" si="190"/>
        <v>0</v>
      </c>
      <c r="CC260" s="52">
        <f t="shared" ca="1" si="190"/>
        <v>0</v>
      </c>
      <c r="CD260" s="52">
        <f t="shared" ca="1" si="190"/>
        <v>0</v>
      </c>
      <c r="CE260" s="52">
        <f t="shared" ca="1" si="190"/>
        <v>0</v>
      </c>
      <c r="CF260" s="52">
        <f t="shared" ca="1" si="190"/>
        <v>0</v>
      </c>
      <c r="CG260" s="52">
        <f t="shared" ca="1" si="190"/>
        <v>0</v>
      </c>
      <c r="CH260" s="52">
        <f t="shared" ca="1" si="190"/>
        <v>0</v>
      </c>
    </row>
    <row r="261" spans="1:86" ht="13" outlineLevel="1">
      <c r="A261" s="13"/>
      <c r="B261" s="13" t="s">
        <v>338</v>
      </c>
      <c r="C261" s="13"/>
      <c r="D261" s="13" t="s">
        <v>238</v>
      </c>
      <c r="E261" s="88">
        <f t="shared" ca="1" si="183"/>
        <v>0.61666666666666692</v>
      </c>
      <c r="F261" s="48"/>
      <c r="G261" s="52">
        <f ca="1">IF(G4&lt;'Get Started  2'!$E77,0,OFFSET(G256,0,-1*'Get Started  2'!$E77))</f>
        <v>0</v>
      </c>
      <c r="H261" s="52">
        <f ca="1">IF(H4&lt;'Get Started  2'!$E77,0,OFFSET(H256,0,-1*'Get Started  2'!$E77))</f>
        <v>0</v>
      </c>
      <c r="I261" s="52">
        <f ca="1">IF(I4&lt;'Get Started  2'!$E77,0,OFFSET(I256,0,-1*'Get Started  2'!$E77))</f>
        <v>0</v>
      </c>
      <c r="J261" s="52">
        <f ca="1">IF(J4&lt;'Get Started  2'!$E77,0,OFFSET(J256,0,-1*'Get Started  2'!$E77))</f>
        <v>0</v>
      </c>
      <c r="K261" s="52">
        <f ca="1">IF(K4&lt;'Get Started  2'!$E77,0,OFFSET(K256,0,-1*'Get Started  2'!$E77))</f>
        <v>0</v>
      </c>
      <c r="L261" s="52">
        <f ca="1">IF(L4&lt;'Get Started  2'!$E77,0,OFFSET(L256,0,-1*'Get Started  2'!$E77))</f>
        <v>0</v>
      </c>
      <c r="M261" s="52">
        <f ca="1">IF(M4&lt;'Get Started  2'!$E77,0,OFFSET(M256,0,-1*'Get Started  2'!$E77))</f>
        <v>0</v>
      </c>
      <c r="N261" s="52">
        <f ca="1">IF(N4&lt;'Get Started  2'!$E77,0,OFFSET(N256,0,-1*'Get Started  2'!$E77))</f>
        <v>0</v>
      </c>
      <c r="O261" s="52">
        <f ca="1">IF(O4&lt;'Get Started  2'!$E77,0,OFFSET(O256,0,-1*'Get Started  2'!$E77))</f>
        <v>3.8541666666666669E-2</v>
      </c>
      <c r="P261" s="52">
        <f ca="1">IF(P4&lt;'Get Started  2'!$E77,0,OFFSET(P256,0,-1*'Get Started  2'!$E77))</f>
        <v>3.8541666666666669E-2</v>
      </c>
      <c r="Q261" s="52">
        <f ca="1">IF(Q4&lt;'Get Started  2'!$E77,0,OFFSET(Q256,0,-1*'Get Started  2'!$E77))</f>
        <v>3.8541666666666669E-2</v>
      </c>
      <c r="R261" s="52">
        <f ca="1">IF(R4&lt;'Get Started  2'!$E77,0,OFFSET(R256,0,-1*'Get Started  2'!$E77))</f>
        <v>3.8541666666666669E-2</v>
      </c>
      <c r="S261" s="52">
        <f ca="1">IF(S4&lt;'Get Started  2'!$E77,0,OFFSET(S256,0,-1*'Get Started  2'!$E77))</f>
        <v>3.8541666666666669E-2</v>
      </c>
      <c r="T261" s="52">
        <f ca="1">IF(T4&lt;'Get Started  2'!$E77,0,OFFSET(T256,0,-1*'Get Started  2'!$E77))</f>
        <v>3.8541666666666669E-2</v>
      </c>
      <c r="U261" s="52">
        <f ca="1">IF(U4&lt;'Get Started  2'!$E77,0,OFFSET(U256,0,-1*'Get Started  2'!$E77))</f>
        <v>3.8541666666666669E-2</v>
      </c>
      <c r="V261" s="52">
        <f ca="1">IF(V4&lt;'Get Started  2'!$E77,0,OFFSET(V256,0,-1*'Get Started  2'!$E77))</f>
        <v>3.8541666666666669E-2</v>
      </c>
      <c r="W261" s="52">
        <f ca="1">IF(W4&lt;'Get Started  2'!$E77,0,OFFSET(W256,0,-1*'Get Started  2'!$E77))</f>
        <v>3.8541666666666669E-2</v>
      </c>
      <c r="X261" s="52">
        <f ca="1">IF(X4&lt;'Get Started  2'!$E77,0,OFFSET(X256,0,-1*'Get Started  2'!$E77))</f>
        <v>3.8541666666666669E-2</v>
      </c>
      <c r="Y261" s="52">
        <f ca="1">IF(Y4&lt;'Get Started  2'!$E77,0,OFFSET(Y256,0,-1*'Get Started  2'!$E77))</f>
        <v>3.8541666666666669E-2</v>
      </c>
      <c r="Z261" s="52">
        <f ca="1">IF(Z4&lt;'Get Started  2'!$E77,0,OFFSET(Z256,0,-1*'Get Started  2'!$E77))</f>
        <v>3.8541666666666669E-2</v>
      </c>
      <c r="AA261" s="52">
        <f ca="1">IF(AA4&lt;'Get Started  2'!$E77,0,OFFSET(AA256,0,-1*'Get Started  2'!$E77))</f>
        <v>3.8541666666666669E-2</v>
      </c>
      <c r="AB261" s="52">
        <f ca="1">IF(AB4&lt;'Get Started  2'!$E77,0,OFFSET(AB256,0,-1*'Get Started  2'!$E77))</f>
        <v>3.8541666666666669E-2</v>
      </c>
      <c r="AC261" s="52">
        <f ca="1">IF(AC4&lt;'Get Started  2'!$E77,0,OFFSET(AC256,0,-1*'Get Started  2'!$E77))</f>
        <v>3.8541666666666669E-2</v>
      </c>
      <c r="AD261" s="52">
        <f ca="1">IF(AD4&lt;'Get Started  2'!$E77,0,OFFSET(AD256,0,-1*'Get Started  2'!$E77))</f>
        <v>3.8541666666666669E-2</v>
      </c>
      <c r="AE261" s="52">
        <f ca="1">IF(AE4&lt;'Get Started  2'!$E77,0,OFFSET(AE256,0,-1*'Get Started  2'!$E77))</f>
        <v>0</v>
      </c>
      <c r="AF261" s="52">
        <f ca="1">IF(AF4&lt;'Get Started  2'!$E77,0,OFFSET(AF256,0,-1*'Get Started  2'!$E77))</f>
        <v>0</v>
      </c>
      <c r="AG261" s="52">
        <f ca="1">IF(AG4&lt;'Get Started  2'!$E77,0,OFFSET(AG256,0,-1*'Get Started  2'!$E77))</f>
        <v>0</v>
      </c>
      <c r="AH261" s="52">
        <f ca="1">IF(AH4&lt;'Get Started  2'!$E77,0,OFFSET(AH256,0,-1*'Get Started  2'!$E77))</f>
        <v>0</v>
      </c>
      <c r="AI261" s="52">
        <f ca="1">IF(AI4&lt;'Get Started  2'!$E77,0,OFFSET(AI256,0,-1*'Get Started  2'!$E77))</f>
        <v>0</v>
      </c>
      <c r="AJ261" s="52">
        <f ca="1">IF(AJ4&lt;'Get Started  2'!$E77,0,OFFSET(AJ256,0,-1*'Get Started  2'!$E77))</f>
        <v>0</v>
      </c>
      <c r="AK261" s="52">
        <f ca="1">IF(AK4&lt;'Get Started  2'!$E77,0,OFFSET(AK256,0,-1*'Get Started  2'!$E77))</f>
        <v>0</v>
      </c>
      <c r="AL261" s="52">
        <f ca="1">IF(AL4&lt;'Get Started  2'!$E77,0,OFFSET(AL256,0,-1*'Get Started  2'!$E77))</f>
        <v>0</v>
      </c>
      <c r="AM261" s="52">
        <f ca="1">IF(AM4&lt;'Get Started  2'!$E77,0,OFFSET(AM256,0,-1*'Get Started  2'!$E77))</f>
        <v>0</v>
      </c>
      <c r="AN261" s="52">
        <f ca="1">IF(AN4&lt;'Get Started  2'!$E77,0,OFFSET(AN256,0,-1*'Get Started  2'!$E77))</f>
        <v>0</v>
      </c>
      <c r="AO261" s="52">
        <f ca="1">IF(AO4&lt;'Get Started  2'!$E77,0,OFFSET(AO256,0,-1*'Get Started  2'!$E77))</f>
        <v>0</v>
      </c>
      <c r="AP261" s="52">
        <f ca="1">IF(AP4&lt;'Get Started  2'!$E77,0,OFFSET(AP256,0,-1*'Get Started  2'!$E77))</f>
        <v>0</v>
      </c>
      <c r="AQ261" s="52">
        <f ca="1">IF(AQ4&lt;'Get Started  2'!$E77,0,OFFSET(AQ256,0,-1*'Get Started  2'!$E77))</f>
        <v>0</v>
      </c>
      <c r="AR261" s="52">
        <f ca="1">IF(AR4&lt;'Get Started  2'!$E77,0,OFFSET(AR256,0,-1*'Get Started  2'!$E77))</f>
        <v>0</v>
      </c>
      <c r="AS261" s="52">
        <f ca="1">IF(AS4&lt;'Get Started  2'!$E77,0,OFFSET(AS256,0,-1*'Get Started  2'!$E77))</f>
        <v>0</v>
      </c>
      <c r="AT261" s="52">
        <f ca="1">IF(AT4&lt;'Get Started  2'!$E77,0,OFFSET(AT256,0,-1*'Get Started  2'!$E77))</f>
        <v>0</v>
      </c>
      <c r="AU261" s="52">
        <f ca="1">IF(AU4&lt;'Get Started  2'!$E77,0,OFFSET(AU256,0,-1*'Get Started  2'!$E77))</f>
        <v>0</v>
      </c>
      <c r="AV261" s="52">
        <f ca="1">IF(AV4&lt;'Get Started  2'!$E77,0,OFFSET(AV256,0,-1*'Get Started  2'!$E77))</f>
        <v>0</v>
      </c>
      <c r="AW261" s="52">
        <f ca="1">IF(AW4&lt;'Get Started  2'!$E77,0,OFFSET(AW256,0,-1*'Get Started  2'!$E77))</f>
        <v>0</v>
      </c>
      <c r="AX261" s="52">
        <f ca="1">IF(AX4&lt;'Get Started  2'!$E77,0,OFFSET(AX256,0,-1*'Get Started  2'!$E77))</f>
        <v>0</v>
      </c>
      <c r="AY261" s="52">
        <f ca="1">IF(AY4&lt;'Get Started  2'!$E77,0,OFFSET(AY256,0,-1*'Get Started  2'!$E77))</f>
        <v>0</v>
      </c>
      <c r="AZ261" s="52">
        <f ca="1">IF(AZ4&lt;'Get Started  2'!$E77,0,OFFSET(AZ256,0,-1*'Get Started  2'!$E77))</f>
        <v>0</v>
      </c>
      <c r="BA261" s="52">
        <f ca="1">IF(BA4&lt;'Get Started  2'!$E77,0,OFFSET(BA256,0,-1*'Get Started  2'!$E77))</f>
        <v>0</v>
      </c>
      <c r="BB261" s="52">
        <f ca="1">IF(BB4&lt;'Get Started  2'!$E77,0,OFFSET(BB256,0,-1*'Get Started  2'!$E77))</f>
        <v>0</v>
      </c>
      <c r="BC261" s="52">
        <f ca="1">IF(BC4&lt;'Get Started  2'!$E77,0,OFFSET(BC256,0,-1*'Get Started  2'!$E77))</f>
        <v>0</v>
      </c>
      <c r="BD261" s="52">
        <f ca="1">IF(BD4&lt;'Get Started  2'!$E77,0,OFFSET(BD256,0,-1*'Get Started  2'!$E77))</f>
        <v>0</v>
      </c>
      <c r="BE261" s="52">
        <f ca="1">IF(BE4&lt;'Get Started  2'!$E77,0,OFFSET(BE256,0,-1*'Get Started  2'!$E77))</f>
        <v>0</v>
      </c>
      <c r="BF261" s="52">
        <f ca="1">IF(BF4&lt;'Get Started  2'!$E77,0,OFFSET(BF256,0,-1*'Get Started  2'!$E77))</f>
        <v>0</v>
      </c>
      <c r="BG261" s="52">
        <f ca="1">IF(BG4&lt;'Get Started  2'!$E77,0,OFFSET(BG256,0,-1*'Get Started  2'!$E77))</f>
        <v>0</v>
      </c>
      <c r="BH261" s="52">
        <f ca="1">IF(BH4&lt;'Get Started  2'!$E77,0,OFFSET(BH256,0,-1*'Get Started  2'!$E77))</f>
        <v>0</v>
      </c>
      <c r="BI261" s="52">
        <f ca="1">IF(BI4&lt;'Get Started  2'!$E77,0,OFFSET(BI256,0,-1*'Get Started  2'!$E77))</f>
        <v>0</v>
      </c>
      <c r="BJ261" s="52">
        <f ca="1">IF(BJ4&lt;'Get Started  2'!$E77,0,OFFSET(BJ256,0,-1*'Get Started  2'!$E77))</f>
        <v>0</v>
      </c>
      <c r="BK261" s="52">
        <f ca="1">IF(BK4&lt;'Get Started  2'!$E77,0,OFFSET(BK256,0,-1*'Get Started  2'!$E77))</f>
        <v>0</v>
      </c>
      <c r="BL261" s="52">
        <f ca="1">IF(BL4&lt;'Get Started  2'!$E77,0,OFFSET(BL256,0,-1*'Get Started  2'!$E77))</f>
        <v>0</v>
      </c>
      <c r="BM261" s="52">
        <f ca="1">IF(BM4&lt;'Get Started  2'!$E77,0,OFFSET(BM256,0,-1*'Get Started  2'!$E77))</f>
        <v>0</v>
      </c>
      <c r="BN261" s="52">
        <f ca="1">IF(BN4&lt;'Get Started  2'!$E77,0,OFFSET(BN256,0,-1*'Get Started  2'!$E77))</f>
        <v>0</v>
      </c>
      <c r="BO261" s="52">
        <f ca="1">IF(BO4&lt;'Get Started  2'!$E77,0,OFFSET(BO256,0,-1*'Get Started  2'!$E77))</f>
        <v>0</v>
      </c>
      <c r="BP261" s="52">
        <f ca="1">IF(BP4&lt;'Get Started  2'!$E77,0,OFFSET(BP256,0,-1*'Get Started  2'!$E77))</f>
        <v>0</v>
      </c>
      <c r="BQ261" s="52">
        <f ca="1">IF(BQ4&lt;'Get Started  2'!$E77,0,OFFSET(BQ256,0,-1*'Get Started  2'!$E77))</f>
        <v>0</v>
      </c>
      <c r="BR261" s="52">
        <f ca="1">IF(BR4&lt;'Get Started  2'!$E77,0,OFFSET(BR256,0,-1*'Get Started  2'!$E77))</f>
        <v>0</v>
      </c>
      <c r="BS261" s="52">
        <f ca="1">IF(BS4&lt;'Get Started  2'!$E77,0,OFFSET(BS256,0,-1*'Get Started  2'!$E77))</f>
        <v>0</v>
      </c>
      <c r="BT261" s="52">
        <f ca="1">IF(BT4&lt;'Get Started  2'!$E77,0,OFFSET(BT256,0,-1*'Get Started  2'!$E77))</f>
        <v>0</v>
      </c>
      <c r="BU261" s="52">
        <f ca="1">IF(BU4&lt;'Get Started  2'!$E77,0,OFFSET(BU256,0,-1*'Get Started  2'!$E77))</f>
        <v>0</v>
      </c>
      <c r="BV261" s="52">
        <f ca="1">IF(BV4&lt;'Get Started  2'!$E77,0,OFFSET(BV256,0,-1*'Get Started  2'!$E77))</f>
        <v>0</v>
      </c>
      <c r="BW261" s="52">
        <f ca="1">IF(BW4&lt;'Get Started  2'!$E77,0,OFFSET(BW256,0,-1*'Get Started  2'!$E77))</f>
        <v>0</v>
      </c>
      <c r="BX261" s="52">
        <f ca="1">IF(BX4&lt;'Get Started  2'!$E77,0,OFFSET(BX256,0,-1*'Get Started  2'!$E77))</f>
        <v>0</v>
      </c>
      <c r="BY261" s="52">
        <f ca="1">IF(BY4&lt;'Get Started  2'!$E77,0,OFFSET(BY256,0,-1*'Get Started  2'!$E77))</f>
        <v>0</v>
      </c>
      <c r="BZ261" s="52">
        <f ca="1">IF(BZ4&lt;'Get Started  2'!$E77,0,OFFSET(BZ256,0,-1*'Get Started  2'!$E77))</f>
        <v>0</v>
      </c>
      <c r="CA261" s="52">
        <f ca="1">IF(CA4&lt;'Get Started  2'!$E77,0,OFFSET(CA256,0,-1*'Get Started  2'!$E77))</f>
        <v>0</v>
      </c>
      <c r="CB261" s="52">
        <f ca="1">IF(CB4&lt;'Get Started  2'!$E77,0,OFFSET(CB256,0,-1*'Get Started  2'!$E77))</f>
        <v>0</v>
      </c>
      <c r="CC261" s="52">
        <f ca="1">IF(CC4&lt;'Get Started  2'!$E77,0,OFFSET(CC256,0,-1*'Get Started  2'!$E77))</f>
        <v>0</v>
      </c>
      <c r="CD261" s="52">
        <f ca="1">IF(CD4&lt;'Get Started  2'!$E77,0,OFFSET(CD256,0,-1*'Get Started  2'!$E77))</f>
        <v>0</v>
      </c>
      <c r="CE261" s="52">
        <f ca="1">IF(CE4&lt;'Get Started  2'!$E77,0,OFFSET(CE256,0,-1*'Get Started  2'!$E77))</f>
        <v>0</v>
      </c>
      <c r="CF261" s="52">
        <f ca="1">IF(CF4&lt;'Get Started  2'!$E77,0,OFFSET(CF256,0,-1*'Get Started  2'!$E77))</f>
        <v>0</v>
      </c>
      <c r="CG261" s="52">
        <f ca="1">IF(CG4&lt;'Get Started  2'!$E77,0,OFFSET(CG256,0,-1*'Get Started  2'!$E77))</f>
        <v>0</v>
      </c>
      <c r="CH261" s="52">
        <f ca="1">IF(CH4&lt;'Get Started  2'!$E77,0,OFFSET(CH256,0,-1*'Get Started  2'!$E77))</f>
        <v>0</v>
      </c>
    </row>
    <row r="262" spans="1:86" ht="13" outlineLevel="1">
      <c r="A262" s="13"/>
      <c r="B262" s="13" t="s">
        <v>338</v>
      </c>
      <c r="C262" s="13"/>
      <c r="D262" s="13" t="s">
        <v>238</v>
      </c>
      <c r="E262" s="88">
        <f t="shared" ca="1" si="183"/>
        <v>0.21666666666666667</v>
      </c>
      <c r="F262" s="48"/>
      <c r="G262" s="52">
        <f ca="1">IF(G4&lt;'Get Started  2'!$F77,0,OFFSET(G257,0,-1*'Get Started  2'!$F77))</f>
        <v>0</v>
      </c>
      <c r="H262" s="52">
        <f ca="1">IF(H4&lt;'Get Started  2'!$F77,0,OFFSET(H257,0,-1*'Get Started  2'!$F77))</f>
        <v>0</v>
      </c>
      <c r="I262" s="52">
        <f ca="1">IF(I4&lt;'Get Started  2'!$F77,0,OFFSET(I257,0,-1*'Get Started  2'!$F77))</f>
        <v>0</v>
      </c>
      <c r="J262" s="52">
        <f ca="1">IF(J4&lt;'Get Started  2'!$F77,0,OFFSET(J257,0,-1*'Get Started  2'!$F77))</f>
        <v>0</v>
      </c>
      <c r="K262" s="52">
        <f ca="1">IF(K4&lt;'Get Started  2'!$F77,0,OFFSET(K257,0,-1*'Get Started  2'!$F77))</f>
        <v>0</v>
      </c>
      <c r="L262" s="52">
        <f ca="1">IF(L4&lt;'Get Started  2'!$F77,0,OFFSET(L257,0,-1*'Get Started  2'!$F77))</f>
        <v>0</v>
      </c>
      <c r="M262" s="52">
        <f ca="1">IF(M4&lt;'Get Started  2'!$F77,0,OFFSET(M257,0,-1*'Get Started  2'!$F77))</f>
        <v>0</v>
      </c>
      <c r="N262" s="52">
        <f ca="1">IF(N4&lt;'Get Started  2'!$F77,0,OFFSET(N257,0,-1*'Get Started  2'!$F77))</f>
        <v>0</v>
      </c>
      <c r="O262" s="52">
        <f ca="1">IF(O4&lt;'Get Started  2'!$F77,0,OFFSET(O257,0,-1*'Get Started  2'!$F77))</f>
        <v>0</v>
      </c>
      <c r="P262" s="52">
        <f ca="1">IF(P4&lt;'Get Started  2'!$F77,0,OFFSET(P257,0,-1*'Get Started  2'!$F77))</f>
        <v>0</v>
      </c>
      <c r="Q262" s="52">
        <f ca="1">IF(Q4&lt;'Get Started  2'!$F77,0,OFFSET(Q257,0,-1*'Get Started  2'!$F77))</f>
        <v>0</v>
      </c>
      <c r="R262" s="52">
        <f ca="1">IF(R4&lt;'Get Started  2'!$F77,0,OFFSET(R257,0,-1*'Get Started  2'!$F77))</f>
        <v>0</v>
      </c>
      <c r="S262" s="52">
        <f ca="1">IF(S4&lt;'Get Started  2'!$F77,0,OFFSET(S257,0,-1*'Get Started  2'!$F77))</f>
        <v>1.3541666666666665E-2</v>
      </c>
      <c r="T262" s="52">
        <f ca="1">IF(T4&lt;'Get Started  2'!$F77,0,OFFSET(T257,0,-1*'Get Started  2'!$F77))</f>
        <v>1.3541666666666665E-2</v>
      </c>
      <c r="U262" s="52">
        <f ca="1">IF(U4&lt;'Get Started  2'!$F77,0,OFFSET(U257,0,-1*'Get Started  2'!$F77))</f>
        <v>1.3541666666666665E-2</v>
      </c>
      <c r="V262" s="52">
        <f ca="1">IF(V4&lt;'Get Started  2'!$F77,0,OFFSET(V257,0,-1*'Get Started  2'!$F77))</f>
        <v>1.3541666666666665E-2</v>
      </c>
      <c r="W262" s="52">
        <f ca="1">IF(W4&lt;'Get Started  2'!$F77,0,OFFSET(W257,0,-1*'Get Started  2'!$F77))</f>
        <v>1.3541666666666665E-2</v>
      </c>
      <c r="X262" s="52">
        <f ca="1">IF(X4&lt;'Get Started  2'!$F77,0,OFFSET(X257,0,-1*'Get Started  2'!$F77))</f>
        <v>1.3541666666666665E-2</v>
      </c>
      <c r="Y262" s="52">
        <f ca="1">IF(Y4&lt;'Get Started  2'!$F77,0,OFFSET(Y257,0,-1*'Get Started  2'!$F77))</f>
        <v>1.3541666666666665E-2</v>
      </c>
      <c r="Z262" s="52">
        <f ca="1">IF(Z4&lt;'Get Started  2'!$F77,0,OFFSET(Z257,0,-1*'Get Started  2'!$F77))</f>
        <v>1.3541666666666665E-2</v>
      </c>
      <c r="AA262" s="52">
        <f ca="1">IF(AA4&lt;'Get Started  2'!$F77,0,OFFSET(AA257,0,-1*'Get Started  2'!$F77))</f>
        <v>1.3541666666666665E-2</v>
      </c>
      <c r="AB262" s="52">
        <f ca="1">IF(AB4&lt;'Get Started  2'!$F77,0,OFFSET(AB257,0,-1*'Get Started  2'!$F77))</f>
        <v>1.3541666666666665E-2</v>
      </c>
      <c r="AC262" s="52">
        <f ca="1">IF(AC4&lt;'Get Started  2'!$F77,0,OFFSET(AC257,0,-1*'Get Started  2'!$F77))</f>
        <v>1.3541666666666665E-2</v>
      </c>
      <c r="AD262" s="52">
        <f ca="1">IF(AD4&lt;'Get Started  2'!$F77,0,OFFSET(AD257,0,-1*'Get Started  2'!$F77))</f>
        <v>1.3541666666666665E-2</v>
      </c>
      <c r="AE262" s="52">
        <f ca="1">IF(AE4&lt;'Get Started  2'!$F77,0,OFFSET(AE257,0,-1*'Get Started  2'!$F77))</f>
        <v>1.3541666666666665E-2</v>
      </c>
      <c r="AF262" s="52">
        <f ca="1">IF(AF4&lt;'Get Started  2'!$F77,0,OFFSET(AF257,0,-1*'Get Started  2'!$F77))</f>
        <v>1.3541666666666665E-2</v>
      </c>
      <c r="AG262" s="52">
        <f ca="1">IF(AG4&lt;'Get Started  2'!$F77,0,OFFSET(AG257,0,-1*'Get Started  2'!$F77))</f>
        <v>1.3541666666666665E-2</v>
      </c>
      <c r="AH262" s="52">
        <f ca="1">IF(AH4&lt;'Get Started  2'!$F77,0,OFFSET(AH257,0,-1*'Get Started  2'!$F77))</f>
        <v>1.3541666666666665E-2</v>
      </c>
      <c r="AI262" s="52">
        <f ca="1">IF(AI4&lt;'Get Started  2'!$F77,0,OFFSET(AI257,0,-1*'Get Started  2'!$F77))</f>
        <v>0</v>
      </c>
      <c r="AJ262" s="52">
        <f ca="1">IF(AJ4&lt;'Get Started  2'!$F77,0,OFFSET(AJ257,0,-1*'Get Started  2'!$F77))</f>
        <v>0</v>
      </c>
      <c r="AK262" s="52">
        <f ca="1">IF(AK4&lt;'Get Started  2'!$F77,0,OFFSET(AK257,0,-1*'Get Started  2'!$F77))</f>
        <v>0</v>
      </c>
      <c r="AL262" s="52">
        <f ca="1">IF(AL4&lt;'Get Started  2'!$F77,0,OFFSET(AL257,0,-1*'Get Started  2'!$F77))</f>
        <v>0</v>
      </c>
      <c r="AM262" s="52">
        <f ca="1">IF(AM4&lt;'Get Started  2'!$F77,0,OFFSET(AM257,0,-1*'Get Started  2'!$F77))</f>
        <v>0</v>
      </c>
      <c r="AN262" s="52">
        <f ca="1">IF(AN4&lt;'Get Started  2'!$F77,0,OFFSET(AN257,0,-1*'Get Started  2'!$F77))</f>
        <v>0</v>
      </c>
      <c r="AO262" s="52">
        <f ca="1">IF(AO4&lt;'Get Started  2'!$F77,0,OFFSET(AO257,0,-1*'Get Started  2'!$F77))</f>
        <v>0</v>
      </c>
      <c r="AP262" s="52">
        <f ca="1">IF(AP4&lt;'Get Started  2'!$F77,0,OFFSET(AP257,0,-1*'Get Started  2'!$F77))</f>
        <v>0</v>
      </c>
      <c r="AQ262" s="52">
        <f ca="1">IF(AQ4&lt;'Get Started  2'!$F77,0,OFFSET(AQ257,0,-1*'Get Started  2'!$F77))</f>
        <v>0</v>
      </c>
      <c r="AR262" s="52">
        <f ca="1">IF(AR4&lt;'Get Started  2'!$F77,0,OFFSET(AR257,0,-1*'Get Started  2'!$F77))</f>
        <v>0</v>
      </c>
      <c r="AS262" s="52">
        <f ca="1">IF(AS4&lt;'Get Started  2'!$F77,0,OFFSET(AS257,0,-1*'Get Started  2'!$F77))</f>
        <v>0</v>
      </c>
      <c r="AT262" s="52">
        <f ca="1">IF(AT4&lt;'Get Started  2'!$F77,0,OFFSET(AT257,0,-1*'Get Started  2'!$F77))</f>
        <v>0</v>
      </c>
      <c r="AU262" s="52">
        <f ca="1">IF(AU4&lt;'Get Started  2'!$F77,0,OFFSET(AU257,0,-1*'Get Started  2'!$F77))</f>
        <v>0</v>
      </c>
      <c r="AV262" s="52">
        <f ca="1">IF(AV4&lt;'Get Started  2'!$F77,0,OFFSET(AV257,0,-1*'Get Started  2'!$F77))</f>
        <v>0</v>
      </c>
      <c r="AW262" s="52">
        <f ca="1">IF(AW4&lt;'Get Started  2'!$F77,0,OFFSET(AW257,0,-1*'Get Started  2'!$F77))</f>
        <v>0</v>
      </c>
      <c r="AX262" s="52">
        <f ca="1">IF(AX4&lt;'Get Started  2'!$F77,0,OFFSET(AX257,0,-1*'Get Started  2'!$F77))</f>
        <v>0</v>
      </c>
      <c r="AY262" s="52">
        <f ca="1">IF(AY4&lt;'Get Started  2'!$F77,0,OFFSET(AY257,0,-1*'Get Started  2'!$F77))</f>
        <v>0</v>
      </c>
      <c r="AZ262" s="52">
        <f ca="1">IF(AZ4&lt;'Get Started  2'!$F77,0,OFFSET(AZ257,0,-1*'Get Started  2'!$F77))</f>
        <v>0</v>
      </c>
      <c r="BA262" s="52">
        <f ca="1">IF(BA4&lt;'Get Started  2'!$F77,0,OFFSET(BA257,0,-1*'Get Started  2'!$F77))</f>
        <v>0</v>
      </c>
      <c r="BB262" s="52">
        <f ca="1">IF(BB4&lt;'Get Started  2'!$F77,0,OFFSET(BB257,0,-1*'Get Started  2'!$F77))</f>
        <v>0</v>
      </c>
      <c r="BC262" s="52">
        <f ca="1">IF(BC4&lt;'Get Started  2'!$F77,0,OFFSET(BC257,0,-1*'Get Started  2'!$F77))</f>
        <v>0</v>
      </c>
      <c r="BD262" s="52">
        <f ca="1">IF(BD4&lt;'Get Started  2'!$F77,0,OFFSET(BD257,0,-1*'Get Started  2'!$F77))</f>
        <v>0</v>
      </c>
      <c r="BE262" s="52">
        <f ca="1">IF(BE4&lt;'Get Started  2'!$F77,0,OFFSET(BE257,0,-1*'Get Started  2'!$F77))</f>
        <v>0</v>
      </c>
      <c r="BF262" s="52">
        <f ca="1">IF(BF4&lt;'Get Started  2'!$F77,0,OFFSET(BF257,0,-1*'Get Started  2'!$F77))</f>
        <v>0</v>
      </c>
      <c r="BG262" s="52">
        <f ca="1">IF(BG4&lt;'Get Started  2'!$F77,0,OFFSET(BG257,0,-1*'Get Started  2'!$F77))</f>
        <v>0</v>
      </c>
      <c r="BH262" s="52">
        <f ca="1">IF(BH4&lt;'Get Started  2'!$F77,0,OFFSET(BH257,0,-1*'Get Started  2'!$F77))</f>
        <v>0</v>
      </c>
      <c r="BI262" s="52">
        <f ca="1">IF(BI4&lt;'Get Started  2'!$F77,0,OFFSET(BI257,0,-1*'Get Started  2'!$F77))</f>
        <v>0</v>
      </c>
      <c r="BJ262" s="52">
        <f ca="1">IF(BJ4&lt;'Get Started  2'!$F77,0,OFFSET(BJ257,0,-1*'Get Started  2'!$F77))</f>
        <v>0</v>
      </c>
      <c r="BK262" s="52">
        <f ca="1">IF(BK4&lt;'Get Started  2'!$F77,0,OFFSET(BK257,0,-1*'Get Started  2'!$F77))</f>
        <v>0</v>
      </c>
      <c r="BL262" s="52">
        <f ca="1">IF(BL4&lt;'Get Started  2'!$F77,0,OFFSET(BL257,0,-1*'Get Started  2'!$F77))</f>
        <v>0</v>
      </c>
      <c r="BM262" s="52">
        <f ca="1">IF(BM4&lt;'Get Started  2'!$F77,0,OFFSET(BM257,0,-1*'Get Started  2'!$F77))</f>
        <v>0</v>
      </c>
      <c r="BN262" s="52">
        <f ca="1">IF(BN4&lt;'Get Started  2'!$F77,0,OFFSET(BN257,0,-1*'Get Started  2'!$F77))</f>
        <v>0</v>
      </c>
      <c r="BO262" s="52">
        <f ca="1">IF(BO4&lt;'Get Started  2'!$F77,0,OFFSET(BO257,0,-1*'Get Started  2'!$F77))</f>
        <v>0</v>
      </c>
      <c r="BP262" s="52">
        <f ca="1">IF(BP4&lt;'Get Started  2'!$F77,0,OFFSET(BP257,0,-1*'Get Started  2'!$F77))</f>
        <v>0</v>
      </c>
      <c r="BQ262" s="52">
        <f ca="1">IF(BQ4&lt;'Get Started  2'!$F77,0,OFFSET(BQ257,0,-1*'Get Started  2'!$F77))</f>
        <v>0</v>
      </c>
      <c r="BR262" s="52">
        <f ca="1">IF(BR4&lt;'Get Started  2'!$F77,0,OFFSET(BR257,0,-1*'Get Started  2'!$F77))</f>
        <v>0</v>
      </c>
      <c r="BS262" s="52">
        <f ca="1">IF(BS4&lt;'Get Started  2'!$F77,0,OFFSET(BS257,0,-1*'Get Started  2'!$F77))</f>
        <v>0</v>
      </c>
      <c r="BT262" s="52">
        <f ca="1">IF(BT4&lt;'Get Started  2'!$F77,0,OFFSET(BT257,0,-1*'Get Started  2'!$F77))</f>
        <v>0</v>
      </c>
      <c r="BU262" s="52">
        <f ca="1">IF(BU4&lt;'Get Started  2'!$F77,0,OFFSET(BU257,0,-1*'Get Started  2'!$F77))</f>
        <v>0</v>
      </c>
      <c r="BV262" s="52">
        <f ca="1">IF(BV4&lt;'Get Started  2'!$F77,0,OFFSET(BV257,0,-1*'Get Started  2'!$F77))</f>
        <v>0</v>
      </c>
      <c r="BW262" s="52">
        <f ca="1">IF(BW4&lt;'Get Started  2'!$F77,0,OFFSET(BW257,0,-1*'Get Started  2'!$F77))</f>
        <v>0</v>
      </c>
      <c r="BX262" s="52">
        <f ca="1">IF(BX4&lt;'Get Started  2'!$F77,0,OFFSET(BX257,0,-1*'Get Started  2'!$F77))</f>
        <v>0</v>
      </c>
      <c r="BY262" s="52">
        <f ca="1">IF(BY4&lt;'Get Started  2'!$F77,0,OFFSET(BY257,0,-1*'Get Started  2'!$F77))</f>
        <v>0</v>
      </c>
      <c r="BZ262" s="52">
        <f ca="1">IF(BZ4&lt;'Get Started  2'!$F77,0,OFFSET(BZ257,0,-1*'Get Started  2'!$F77))</f>
        <v>0</v>
      </c>
      <c r="CA262" s="52">
        <f ca="1">IF(CA4&lt;'Get Started  2'!$F77,0,OFFSET(CA257,0,-1*'Get Started  2'!$F77))</f>
        <v>0</v>
      </c>
      <c r="CB262" s="52">
        <f ca="1">IF(CB4&lt;'Get Started  2'!$F77,0,OFFSET(CB257,0,-1*'Get Started  2'!$F77))</f>
        <v>0</v>
      </c>
      <c r="CC262" s="52">
        <f ca="1">IF(CC4&lt;'Get Started  2'!$F77,0,OFFSET(CC257,0,-1*'Get Started  2'!$F77))</f>
        <v>0</v>
      </c>
      <c r="CD262" s="52">
        <f ca="1">IF(CD4&lt;'Get Started  2'!$F77,0,OFFSET(CD257,0,-1*'Get Started  2'!$F77))</f>
        <v>0</v>
      </c>
      <c r="CE262" s="52">
        <f ca="1">IF(CE4&lt;'Get Started  2'!$F77,0,OFFSET(CE257,0,-1*'Get Started  2'!$F77))</f>
        <v>0</v>
      </c>
      <c r="CF262" s="52">
        <f ca="1">IF(CF4&lt;'Get Started  2'!$F77,0,OFFSET(CF257,0,-1*'Get Started  2'!$F77))</f>
        <v>0</v>
      </c>
      <c r="CG262" s="52">
        <f ca="1">IF(CG4&lt;'Get Started  2'!$F77,0,OFFSET(CG257,0,-1*'Get Started  2'!$F77))</f>
        <v>0</v>
      </c>
      <c r="CH262" s="52">
        <f ca="1">IF(CH4&lt;'Get Started  2'!$F77,0,OFFSET(CH257,0,-1*'Get Started  2'!$F77))</f>
        <v>0</v>
      </c>
    </row>
    <row r="263" spans="1:86" ht="13" outlineLevel="1">
      <c r="A263" s="13"/>
      <c r="B263" s="13" t="s">
        <v>338</v>
      </c>
      <c r="C263" s="13"/>
      <c r="D263" s="13" t="s">
        <v>238</v>
      </c>
      <c r="E263" s="88">
        <f t="shared" ca="1" si="183"/>
        <v>0.11666666666666668</v>
      </c>
      <c r="F263" s="48"/>
      <c r="G263" s="52">
        <f ca="1">IF(G4&lt;'Get Started  2'!$G77,0,OFFSET(G258,0,-1*'Get Started  2'!$G77))</f>
        <v>0</v>
      </c>
      <c r="H263" s="52">
        <f ca="1">IF(H4&lt;'Get Started  2'!$G77,0,OFFSET(H258,0,-1*'Get Started  2'!$G77))</f>
        <v>0</v>
      </c>
      <c r="I263" s="52">
        <f ca="1">IF(I4&lt;'Get Started  2'!$G77,0,OFFSET(I258,0,-1*'Get Started  2'!$G77))</f>
        <v>0</v>
      </c>
      <c r="J263" s="52">
        <f ca="1">IF(J4&lt;'Get Started  2'!$G77,0,OFFSET(J258,0,-1*'Get Started  2'!$G77))</f>
        <v>0</v>
      </c>
      <c r="K263" s="52">
        <f ca="1">IF(K4&lt;'Get Started  2'!$G77,0,OFFSET(K258,0,-1*'Get Started  2'!$G77))</f>
        <v>0</v>
      </c>
      <c r="L263" s="52">
        <f ca="1">IF(L4&lt;'Get Started  2'!$G77,0,OFFSET(L258,0,-1*'Get Started  2'!$G77))</f>
        <v>0</v>
      </c>
      <c r="M263" s="52">
        <f ca="1">IF(M4&lt;'Get Started  2'!$G77,0,OFFSET(M258,0,-1*'Get Started  2'!$G77))</f>
        <v>0</v>
      </c>
      <c r="N263" s="52">
        <f ca="1">IF(N4&lt;'Get Started  2'!$G77,0,OFFSET(N258,0,-1*'Get Started  2'!$G77))</f>
        <v>0</v>
      </c>
      <c r="O263" s="52">
        <f ca="1">IF(O4&lt;'Get Started  2'!$G77,0,OFFSET(O258,0,-1*'Get Started  2'!$G77))</f>
        <v>0</v>
      </c>
      <c r="P263" s="52">
        <f ca="1">IF(P4&lt;'Get Started  2'!$G77,0,OFFSET(P258,0,-1*'Get Started  2'!$G77))</f>
        <v>0</v>
      </c>
      <c r="Q263" s="52">
        <f ca="1">IF(Q4&lt;'Get Started  2'!$G77,0,OFFSET(Q258,0,-1*'Get Started  2'!$G77))</f>
        <v>0</v>
      </c>
      <c r="R263" s="52">
        <f ca="1">IF(R4&lt;'Get Started  2'!$G77,0,OFFSET(R258,0,-1*'Get Started  2'!$G77))</f>
        <v>0</v>
      </c>
      <c r="S263" s="52">
        <f ca="1">IF(S4&lt;'Get Started  2'!$G77,0,OFFSET(S258,0,-1*'Get Started  2'!$G77))</f>
        <v>0</v>
      </c>
      <c r="T263" s="52">
        <f ca="1">IF(T4&lt;'Get Started  2'!$G77,0,OFFSET(T258,0,-1*'Get Started  2'!$G77))</f>
        <v>0</v>
      </c>
      <c r="U263" s="52">
        <f ca="1">IF(U4&lt;'Get Started  2'!$G77,0,OFFSET(U258,0,-1*'Get Started  2'!$G77))</f>
        <v>0</v>
      </c>
      <c r="V263" s="52">
        <f ca="1">IF(V4&lt;'Get Started  2'!$G77,0,OFFSET(V258,0,-1*'Get Started  2'!$G77))</f>
        <v>0</v>
      </c>
      <c r="W263" s="52">
        <f ca="1">IF(W4&lt;'Get Started  2'!$G77,0,OFFSET(W258,0,-1*'Get Started  2'!$G77))</f>
        <v>7.2916666666666659E-3</v>
      </c>
      <c r="X263" s="52">
        <f ca="1">IF(X4&lt;'Get Started  2'!$G77,0,OFFSET(X258,0,-1*'Get Started  2'!$G77))</f>
        <v>7.2916666666666659E-3</v>
      </c>
      <c r="Y263" s="52">
        <f ca="1">IF(Y4&lt;'Get Started  2'!$G77,0,OFFSET(Y258,0,-1*'Get Started  2'!$G77))</f>
        <v>7.2916666666666659E-3</v>
      </c>
      <c r="Z263" s="52">
        <f ca="1">IF(Z4&lt;'Get Started  2'!$G77,0,OFFSET(Z258,0,-1*'Get Started  2'!$G77))</f>
        <v>7.2916666666666659E-3</v>
      </c>
      <c r="AA263" s="52">
        <f ca="1">IF(AA4&lt;'Get Started  2'!$G77,0,OFFSET(AA258,0,-1*'Get Started  2'!$G77))</f>
        <v>7.2916666666666659E-3</v>
      </c>
      <c r="AB263" s="52">
        <f ca="1">IF(AB4&lt;'Get Started  2'!$G77,0,OFFSET(AB258,0,-1*'Get Started  2'!$G77))</f>
        <v>7.2916666666666659E-3</v>
      </c>
      <c r="AC263" s="52">
        <f ca="1">IF(AC4&lt;'Get Started  2'!$G77,0,OFFSET(AC258,0,-1*'Get Started  2'!$G77))</f>
        <v>7.2916666666666659E-3</v>
      </c>
      <c r="AD263" s="52">
        <f ca="1">IF(AD4&lt;'Get Started  2'!$G77,0,OFFSET(AD258,0,-1*'Get Started  2'!$G77))</f>
        <v>7.2916666666666659E-3</v>
      </c>
      <c r="AE263" s="52">
        <f ca="1">IF(AE4&lt;'Get Started  2'!$G77,0,OFFSET(AE258,0,-1*'Get Started  2'!$G77))</f>
        <v>7.2916666666666659E-3</v>
      </c>
      <c r="AF263" s="52">
        <f ca="1">IF(AF4&lt;'Get Started  2'!$G77,0,OFFSET(AF258,0,-1*'Get Started  2'!$G77))</f>
        <v>7.2916666666666659E-3</v>
      </c>
      <c r="AG263" s="52">
        <f ca="1">IF(AG4&lt;'Get Started  2'!$G77,0,OFFSET(AG258,0,-1*'Get Started  2'!$G77))</f>
        <v>7.2916666666666659E-3</v>
      </c>
      <c r="AH263" s="52">
        <f ca="1">IF(AH4&lt;'Get Started  2'!$G77,0,OFFSET(AH258,0,-1*'Get Started  2'!$G77))</f>
        <v>7.2916666666666659E-3</v>
      </c>
      <c r="AI263" s="52">
        <f ca="1">IF(AI4&lt;'Get Started  2'!$G77,0,OFFSET(AI258,0,-1*'Get Started  2'!$G77))</f>
        <v>7.2916666666666659E-3</v>
      </c>
      <c r="AJ263" s="52">
        <f ca="1">IF(AJ4&lt;'Get Started  2'!$G77,0,OFFSET(AJ258,0,-1*'Get Started  2'!$G77))</f>
        <v>7.2916666666666659E-3</v>
      </c>
      <c r="AK263" s="52">
        <f ca="1">IF(AK4&lt;'Get Started  2'!$G77,0,OFFSET(AK258,0,-1*'Get Started  2'!$G77))</f>
        <v>7.2916666666666659E-3</v>
      </c>
      <c r="AL263" s="52">
        <f ca="1">IF(AL4&lt;'Get Started  2'!$G77,0,OFFSET(AL258,0,-1*'Get Started  2'!$G77))</f>
        <v>7.2916666666666659E-3</v>
      </c>
      <c r="AM263" s="52">
        <f ca="1">IF(AM4&lt;'Get Started  2'!$G77,0,OFFSET(AM258,0,-1*'Get Started  2'!$G77))</f>
        <v>0</v>
      </c>
      <c r="AN263" s="52">
        <f ca="1">IF(AN4&lt;'Get Started  2'!$G77,0,OFFSET(AN258,0,-1*'Get Started  2'!$G77))</f>
        <v>0</v>
      </c>
      <c r="AO263" s="52">
        <f ca="1">IF(AO4&lt;'Get Started  2'!$G77,0,OFFSET(AO258,0,-1*'Get Started  2'!$G77))</f>
        <v>0</v>
      </c>
      <c r="AP263" s="52">
        <f ca="1">IF(AP4&lt;'Get Started  2'!$G77,0,OFFSET(AP258,0,-1*'Get Started  2'!$G77))</f>
        <v>0</v>
      </c>
      <c r="AQ263" s="52">
        <f ca="1">IF(AQ4&lt;'Get Started  2'!$G77,0,OFFSET(AQ258,0,-1*'Get Started  2'!$G77))</f>
        <v>0</v>
      </c>
      <c r="AR263" s="52">
        <f ca="1">IF(AR4&lt;'Get Started  2'!$G77,0,OFFSET(AR258,0,-1*'Get Started  2'!$G77))</f>
        <v>0</v>
      </c>
      <c r="AS263" s="52">
        <f ca="1">IF(AS4&lt;'Get Started  2'!$G77,0,OFFSET(AS258,0,-1*'Get Started  2'!$G77))</f>
        <v>0</v>
      </c>
      <c r="AT263" s="52">
        <f ca="1">IF(AT4&lt;'Get Started  2'!$G77,0,OFFSET(AT258,0,-1*'Get Started  2'!$G77))</f>
        <v>0</v>
      </c>
      <c r="AU263" s="52">
        <f ca="1">IF(AU4&lt;'Get Started  2'!$G77,0,OFFSET(AU258,0,-1*'Get Started  2'!$G77))</f>
        <v>0</v>
      </c>
      <c r="AV263" s="52">
        <f ca="1">IF(AV4&lt;'Get Started  2'!$G77,0,OFFSET(AV258,0,-1*'Get Started  2'!$G77))</f>
        <v>0</v>
      </c>
      <c r="AW263" s="52">
        <f ca="1">IF(AW4&lt;'Get Started  2'!$G77,0,OFFSET(AW258,0,-1*'Get Started  2'!$G77))</f>
        <v>0</v>
      </c>
      <c r="AX263" s="52">
        <f ca="1">IF(AX4&lt;'Get Started  2'!$G77,0,OFFSET(AX258,0,-1*'Get Started  2'!$G77))</f>
        <v>0</v>
      </c>
      <c r="AY263" s="52">
        <f ca="1">IF(AY4&lt;'Get Started  2'!$G77,0,OFFSET(AY258,0,-1*'Get Started  2'!$G77))</f>
        <v>0</v>
      </c>
      <c r="AZ263" s="52">
        <f ca="1">IF(AZ4&lt;'Get Started  2'!$G77,0,OFFSET(AZ258,0,-1*'Get Started  2'!$G77))</f>
        <v>0</v>
      </c>
      <c r="BA263" s="52">
        <f ca="1">IF(BA4&lt;'Get Started  2'!$G77,0,OFFSET(BA258,0,-1*'Get Started  2'!$G77))</f>
        <v>0</v>
      </c>
      <c r="BB263" s="52">
        <f ca="1">IF(BB4&lt;'Get Started  2'!$G77,0,OFFSET(BB258,0,-1*'Get Started  2'!$G77))</f>
        <v>0</v>
      </c>
      <c r="BC263" s="52">
        <f ca="1">IF(BC4&lt;'Get Started  2'!$G77,0,OFFSET(BC258,0,-1*'Get Started  2'!$G77))</f>
        <v>0</v>
      </c>
      <c r="BD263" s="52">
        <f ca="1">IF(BD4&lt;'Get Started  2'!$G77,0,OFFSET(BD258,0,-1*'Get Started  2'!$G77))</f>
        <v>0</v>
      </c>
      <c r="BE263" s="52">
        <f ca="1">IF(BE4&lt;'Get Started  2'!$G77,0,OFFSET(BE258,0,-1*'Get Started  2'!$G77))</f>
        <v>0</v>
      </c>
      <c r="BF263" s="52">
        <f ca="1">IF(BF4&lt;'Get Started  2'!$G77,0,OFFSET(BF258,0,-1*'Get Started  2'!$G77))</f>
        <v>0</v>
      </c>
      <c r="BG263" s="52">
        <f ca="1">IF(BG4&lt;'Get Started  2'!$G77,0,OFFSET(BG258,0,-1*'Get Started  2'!$G77))</f>
        <v>0</v>
      </c>
      <c r="BH263" s="52">
        <f ca="1">IF(BH4&lt;'Get Started  2'!$G77,0,OFFSET(BH258,0,-1*'Get Started  2'!$G77))</f>
        <v>0</v>
      </c>
      <c r="BI263" s="52">
        <f ca="1">IF(BI4&lt;'Get Started  2'!$G77,0,OFFSET(BI258,0,-1*'Get Started  2'!$G77))</f>
        <v>0</v>
      </c>
      <c r="BJ263" s="52">
        <f ca="1">IF(BJ4&lt;'Get Started  2'!$G77,0,OFFSET(BJ258,0,-1*'Get Started  2'!$G77))</f>
        <v>0</v>
      </c>
      <c r="BK263" s="52">
        <f ca="1">IF(BK4&lt;'Get Started  2'!$G77,0,OFFSET(BK258,0,-1*'Get Started  2'!$G77))</f>
        <v>0</v>
      </c>
      <c r="BL263" s="52">
        <f ca="1">IF(BL4&lt;'Get Started  2'!$G77,0,OFFSET(BL258,0,-1*'Get Started  2'!$G77))</f>
        <v>0</v>
      </c>
      <c r="BM263" s="52">
        <f ca="1">IF(BM4&lt;'Get Started  2'!$G77,0,OFFSET(BM258,0,-1*'Get Started  2'!$G77))</f>
        <v>0</v>
      </c>
      <c r="BN263" s="52">
        <f ca="1">IF(BN4&lt;'Get Started  2'!$G77,0,OFFSET(BN258,0,-1*'Get Started  2'!$G77))</f>
        <v>0</v>
      </c>
      <c r="BO263" s="52">
        <f ca="1">IF(BO4&lt;'Get Started  2'!$G77,0,OFFSET(BO258,0,-1*'Get Started  2'!$G77))</f>
        <v>0</v>
      </c>
      <c r="BP263" s="52">
        <f ca="1">IF(BP4&lt;'Get Started  2'!$G77,0,OFFSET(BP258,0,-1*'Get Started  2'!$G77))</f>
        <v>0</v>
      </c>
      <c r="BQ263" s="52">
        <f ca="1">IF(BQ4&lt;'Get Started  2'!$G77,0,OFFSET(BQ258,0,-1*'Get Started  2'!$G77))</f>
        <v>0</v>
      </c>
      <c r="BR263" s="52">
        <f ca="1">IF(BR4&lt;'Get Started  2'!$G77,0,OFFSET(BR258,0,-1*'Get Started  2'!$G77))</f>
        <v>0</v>
      </c>
      <c r="BS263" s="52">
        <f ca="1">IF(BS4&lt;'Get Started  2'!$G77,0,OFFSET(BS258,0,-1*'Get Started  2'!$G77))</f>
        <v>0</v>
      </c>
      <c r="BT263" s="52">
        <f ca="1">IF(BT4&lt;'Get Started  2'!$G77,0,OFFSET(BT258,0,-1*'Get Started  2'!$G77))</f>
        <v>0</v>
      </c>
      <c r="BU263" s="52">
        <f ca="1">IF(BU4&lt;'Get Started  2'!$G77,0,OFFSET(BU258,0,-1*'Get Started  2'!$G77))</f>
        <v>0</v>
      </c>
      <c r="BV263" s="52">
        <f ca="1">IF(BV4&lt;'Get Started  2'!$G77,0,OFFSET(BV258,0,-1*'Get Started  2'!$G77))</f>
        <v>0</v>
      </c>
      <c r="BW263" s="52">
        <f ca="1">IF(BW4&lt;'Get Started  2'!$G77,0,OFFSET(BW258,0,-1*'Get Started  2'!$G77))</f>
        <v>0</v>
      </c>
      <c r="BX263" s="52">
        <f ca="1">IF(BX4&lt;'Get Started  2'!$G77,0,OFFSET(BX258,0,-1*'Get Started  2'!$G77))</f>
        <v>0</v>
      </c>
      <c r="BY263" s="52">
        <f ca="1">IF(BY4&lt;'Get Started  2'!$G77,0,OFFSET(BY258,0,-1*'Get Started  2'!$G77))</f>
        <v>0</v>
      </c>
      <c r="BZ263" s="52">
        <f ca="1">IF(BZ4&lt;'Get Started  2'!$G77,0,OFFSET(BZ258,0,-1*'Get Started  2'!$G77))</f>
        <v>0</v>
      </c>
      <c r="CA263" s="52">
        <f ca="1">IF(CA4&lt;'Get Started  2'!$G77,0,OFFSET(CA258,0,-1*'Get Started  2'!$G77))</f>
        <v>0</v>
      </c>
      <c r="CB263" s="52">
        <f ca="1">IF(CB4&lt;'Get Started  2'!$G77,0,OFFSET(CB258,0,-1*'Get Started  2'!$G77))</f>
        <v>0</v>
      </c>
      <c r="CC263" s="52">
        <f ca="1">IF(CC4&lt;'Get Started  2'!$G77,0,OFFSET(CC258,0,-1*'Get Started  2'!$G77))</f>
        <v>0</v>
      </c>
      <c r="CD263" s="52">
        <f ca="1">IF(CD4&lt;'Get Started  2'!$G77,0,OFFSET(CD258,0,-1*'Get Started  2'!$G77))</f>
        <v>0</v>
      </c>
      <c r="CE263" s="52">
        <f ca="1">IF(CE4&lt;'Get Started  2'!$G77,0,OFFSET(CE258,0,-1*'Get Started  2'!$G77))</f>
        <v>0</v>
      </c>
      <c r="CF263" s="52">
        <f ca="1">IF(CF4&lt;'Get Started  2'!$G77,0,OFFSET(CF258,0,-1*'Get Started  2'!$G77))</f>
        <v>0</v>
      </c>
      <c r="CG263" s="52">
        <f ca="1">IF(CG4&lt;'Get Started  2'!$G77,0,OFFSET(CG258,0,-1*'Get Started  2'!$G77))</f>
        <v>0</v>
      </c>
      <c r="CH263" s="52">
        <f ca="1">IF(CH4&lt;'Get Started  2'!$G77,0,OFFSET(CH258,0,-1*'Get Started  2'!$G77))</f>
        <v>0</v>
      </c>
    </row>
    <row r="264" spans="1:86" ht="13" outlineLevel="1">
      <c r="A264" s="13"/>
      <c r="B264" s="13" t="s">
        <v>338</v>
      </c>
      <c r="C264" s="13"/>
      <c r="D264" s="13" t="s">
        <v>238</v>
      </c>
      <c r="E264" s="88">
        <f t="shared" ca="1" si="183"/>
        <v>4.9999999999999968E-2</v>
      </c>
      <c r="F264" s="48"/>
      <c r="G264" s="52">
        <f ca="1">IF(G4&lt;'Get Started  2'!$H77,0,OFFSET(G259,0,-1*'Get Started  2'!$H77))</f>
        <v>0</v>
      </c>
      <c r="H264" s="52">
        <f ca="1">IF(H4&lt;'Get Started  2'!$H77,0,OFFSET(H259,0,-1*'Get Started  2'!$H77))</f>
        <v>0</v>
      </c>
      <c r="I264" s="52">
        <f ca="1">IF(I4&lt;'Get Started  2'!$H77,0,OFFSET(I259,0,-1*'Get Started  2'!$H77))</f>
        <v>0</v>
      </c>
      <c r="J264" s="52">
        <f ca="1">IF(J4&lt;'Get Started  2'!$H77,0,OFFSET(J259,0,-1*'Get Started  2'!$H77))</f>
        <v>0</v>
      </c>
      <c r="K264" s="52">
        <f ca="1">IF(K4&lt;'Get Started  2'!$H77,0,OFFSET(K259,0,-1*'Get Started  2'!$H77))</f>
        <v>0</v>
      </c>
      <c r="L264" s="52">
        <f ca="1">IF(L4&lt;'Get Started  2'!$H77,0,OFFSET(L259,0,-1*'Get Started  2'!$H77))</f>
        <v>0</v>
      </c>
      <c r="M264" s="52">
        <f ca="1">IF(M4&lt;'Get Started  2'!$H77,0,OFFSET(M259,0,-1*'Get Started  2'!$H77))</f>
        <v>0</v>
      </c>
      <c r="N264" s="52">
        <f ca="1">IF(N4&lt;'Get Started  2'!$H77,0,OFFSET(N259,0,-1*'Get Started  2'!$H77))</f>
        <v>0</v>
      </c>
      <c r="O264" s="52">
        <f ca="1">IF(O4&lt;'Get Started  2'!$H77,0,OFFSET(O259,0,-1*'Get Started  2'!$H77))</f>
        <v>0</v>
      </c>
      <c r="P264" s="52">
        <f ca="1">IF(P4&lt;'Get Started  2'!$H77,0,OFFSET(P259,0,-1*'Get Started  2'!$H77))</f>
        <v>0</v>
      </c>
      <c r="Q264" s="52">
        <f ca="1">IF(Q4&lt;'Get Started  2'!$H77,0,OFFSET(Q259,0,-1*'Get Started  2'!$H77))</f>
        <v>0</v>
      </c>
      <c r="R264" s="52">
        <f ca="1">IF(R4&lt;'Get Started  2'!$H77,0,OFFSET(R259,0,-1*'Get Started  2'!$H77))</f>
        <v>0</v>
      </c>
      <c r="S264" s="52">
        <f ca="1">IF(S4&lt;'Get Started  2'!$H77,0,OFFSET(S259,0,-1*'Get Started  2'!$H77))</f>
        <v>0</v>
      </c>
      <c r="T264" s="52">
        <f ca="1">IF(T4&lt;'Get Started  2'!$H77,0,OFFSET(T259,0,-1*'Get Started  2'!$H77))</f>
        <v>0</v>
      </c>
      <c r="U264" s="52">
        <f ca="1">IF(U4&lt;'Get Started  2'!$H77,0,OFFSET(U259,0,-1*'Get Started  2'!$H77))</f>
        <v>0</v>
      </c>
      <c r="V264" s="52">
        <f ca="1">IF(V4&lt;'Get Started  2'!$H77,0,OFFSET(V259,0,-1*'Get Started  2'!$H77))</f>
        <v>0</v>
      </c>
      <c r="W264" s="52">
        <f ca="1">IF(W4&lt;'Get Started  2'!$H77,0,OFFSET(W259,0,-1*'Get Started  2'!$H77))</f>
        <v>0</v>
      </c>
      <c r="X264" s="52">
        <f ca="1">IF(X4&lt;'Get Started  2'!$H77,0,OFFSET(X259,0,-1*'Get Started  2'!$H77))</f>
        <v>0</v>
      </c>
      <c r="Y264" s="52">
        <f ca="1">IF(Y4&lt;'Get Started  2'!$H77,0,OFFSET(Y259,0,-1*'Get Started  2'!$H77))</f>
        <v>0</v>
      </c>
      <c r="Z264" s="52">
        <f ca="1">IF(Z4&lt;'Get Started  2'!$H77,0,OFFSET(Z259,0,-1*'Get Started  2'!$H77))</f>
        <v>0</v>
      </c>
      <c r="AA264" s="52">
        <f ca="1">IF(AA4&lt;'Get Started  2'!$H77,0,OFFSET(AA259,0,-1*'Get Started  2'!$H77))</f>
        <v>0</v>
      </c>
      <c r="AB264" s="52">
        <f ca="1">IF(AB4&lt;'Get Started  2'!$H77,0,OFFSET(AB259,0,-1*'Get Started  2'!$H77))</f>
        <v>0</v>
      </c>
      <c r="AC264" s="52">
        <f ca="1">IF(AC4&lt;'Get Started  2'!$H77,0,OFFSET(AC259,0,-1*'Get Started  2'!$H77))</f>
        <v>0</v>
      </c>
      <c r="AD264" s="52">
        <f ca="1">IF(AD4&lt;'Get Started  2'!$H77,0,OFFSET(AD259,0,-1*'Get Started  2'!$H77))</f>
        <v>0</v>
      </c>
      <c r="AE264" s="52">
        <f ca="1">IF(AE4&lt;'Get Started  2'!$H77,0,OFFSET(AE259,0,-1*'Get Started  2'!$H77))</f>
        <v>3.1249999999999989E-3</v>
      </c>
      <c r="AF264" s="52">
        <f ca="1">IF(AF4&lt;'Get Started  2'!$H77,0,OFFSET(AF259,0,-1*'Get Started  2'!$H77))</f>
        <v>3.1249999999999989E-3</v>
      </c>
      <c r="AG264" s="52">
        <f ca="1">IF(AG4&lt;'Get Started  2'!$H77,0,OFFSET(AG259,0,-1*'Get Started  2'!$H77))</f>
        <v>3.1249999999999989E-3</v>
      </c>
      <c r="AH264" s="52">
        <f ca="1">IF(AH4&lt;'Get Started  2'!$H77,0,OFFSET(AH259,0,-1*'Get Started  2'!$H77))</f>
        <v>3.1249999999999989E-3</v>
      </c>
      <c r="AI264" s="52">
        <f ca="1">IF(AI4&lt;'Get Started  2'!$H77,0,OFFSET(AI259,0,-1*'Get Started  2'!$H77))</f>
        <v>3.1249999999999989E-3</v>
      </c>
      <c r="AJ264" s="52">
        <f ca="1">IF(AJ4&lt;'Get Started  2'!$H77,0,OFFSET(AJ259,0,-1*'Get Started  2'!$H77))</f>
        <v>3.1249999999999989E-3</v>
      </c>
      <c r="AK264" s="52">
        <f ca="1">IF(AK4&lt;'Get Started  2'!$H77,0,OFFSET(AK259,0,-1*'Get Started  2'!$H77))</f>
        <v>3.1249999999999989E-3</v>
      </c>
      <c r="AL264" s="52">
        <f ca="1">IF(AL4&lt;'Get Started  2'!$H77,0,OFFSET(AL259,0,-1*'Get Started  2'!$H77))</f>
        <v>3.1249999999999989E-3</v>
      </c>
      <c r="AM264" s="52">
        <f ca="1">IF(AM4&lt;'Get Started  2'!$H77,0,OFFSET(AM259,0,-1*'Get Started  2'!$H77))</f>
        <v>3.1249999999999989E-3</v>
      </c>
      <c r="AN264" s="52">
        <f ca="1">IF(AN4&lt;'Get Started  2'!$H77,0,OFFSET(AN259,0,-1*'Get Started  2'!$H77))</f>
        <v>3.1249999999999989E-3</v>
      </c>
      <c r="AO264" s="52">
        <f ca="1">IF(AO4&lt;'Get Started  2'!$H77,0,OFFSET(AO259,0,-1*'Get Started  2'!$H77))</f>
        <v>3.1249999999999989E-3</v>
      </c>
      <c r="AP264" s="52">
        <f ca="1">IF(AP4&lt;'Get Started  2'!$H77,0,OFFSET(AP259,0,-1*'Get Started  2'!$H77))</f>
        <v>3.1249999999999989E-3</v>
      </c>
      <c r="AQ264" s="52">
        <f ca="1">IF(AQ4&lt;'Get Started  2'!$H77,0,OFFSET(AQ259,0,-1*'Get Started  2'!$H77))</f>
        <v>3.1249999999999989E-3</v>
      </c>
      <c r="AR264" s="52">
        <f ca="1">IF(AR4&lt;'Get Started  2'!$H77,0,OFFSET(AR259,0,-1*'Get Started  2'!$H77))</f>
        <v>3.1249999999999989E-3</v>
      </c>
      <c r="AS264" s="52">
        <f ca="1">IF(AS4&lt;'Get Started  2'!$H77,0,OFFSET(AS259,0,-1*'Get Started  2'!$H77))</f>
        <v>3.1249999999999989E-3</v>
      </c>
      <c r="AT264" s="52">
        <f ca="1">IF(AT4&lt;'Get Started  2'!$H77,0,OFFSET(AT259,0,-1*'Get Started  2'!$H77))</f>
        <v>3.1249999999999989E-3</v>
      </c>
      <c r="AU264" s="52">
        <f ca="1">IF(AU4&lt;'Get Started  2'!$H77,0,OFFSET(AU259,0,-1*'Get Started  2'!$H77))</f>
        <v>0</v>
      </c>
      <c r="AV264" s="52">
        <f ca="1">IF(AV4&lt;'Get Started  2'!$H77,0,OFFSET(AV259,0,-1*'Get Started  2'!$H77))</f>
        <v>0</v>
      </c>
      <c r="AW264" s="52">
        <f ca="1">IF(AW4&lt;'Get Started  2'!$H77,0,OFFSET(AW259,0,-1*'Get Started  2'!$H77))</f>
        <v>0</v>
      </c>
      <c r="AX264" s="52">
        <f ca="1">IF(AX4&lt;'Get Started  2'!$H77,0,OFFSET(AX259,0,-1*'Get Started  2'!$H77))</f>
        <v>0</v>
      </c>
      <c r="AY264" s="52">
        <f ca="1">IF(AY4&lt;'Get Started  2'!$H77,0,OFFSET(AY259,0,-1*'Get Started  2'!$H77))</f>
        <v>0</v>
      </c>
      <c r="AZ264" s="52">
        <f ca="1">IF(AZ4&lt;'Get Started  2'!$H77,0,OFFSET(AZ259,0,-1*'Get Started  2'!$H77))</f>
        <v>0</v>
      </c>
      <c r="BA264" s="52">
        <f ca="1">IF(BA4&lt;'Get Started  2'!$H77,0,OFFSET(BA259,0,-1*'Get Started  2'!$H77))</f>
        <v>0</v>
      </c>
      <c r="BB264" s="52">
        <f ca="1">IF(BB4&lt;'Get Started  2'!$H77,0,OFFSET(BB259,0,-1*'Get Started  2'!$H77))</f>
        <v>0</v>
      </c>
      <c r="BC264" s="52">
        <f ca="1">IF(BC4&lt;'Get Started  2'!$H77,0,OFFSET(BC259,0,-1*'Get Started  2'!$H77))</f>
        <v>0</v>
      </c>
      <c r="BD264" s="52">
        <f ca="1">IF(BD4&lt;'Get Started  2'!$H77,0,OFFSET(BD259,0,-1*'Get Started  2'!$H77))</f>
        <v>0</v>
      </c>
      <c r="BE264" s="52">
        <f ca="1">IF(BE4&lt;'Get Started  2'!$H77,0,OFFSET(BE259,0,-1*'Get Started  2'!$H77))</f>
        <v>0</v>
      </c>
      <c r="BF264" s="52">
        <f ca="1">IF(BF4&lt;'Get Started  2'!$H77,0,OFFSET(BF259,0,-1*'Get Started  2'!$H77))</f>
        <v>0</v>
      </c>
      <c r="BG264" s="52">
        <f ca="1">IF(BG4&lt;'Get Started  2'!$H77,0,OFFSET(BG259,0,-1*'Get Started  2'!$H77))</f>
        <v>0</v>
      </c>
      <c r="BH264" s="52">
        <f ca="1">IF(BH4&lt;'Get Started  2'!$H77,0,OFFSET(BH259,0,-1*'Get Started  2'!$H77))</f>
        <v>0</v>
      </c>
      <c r="BI264" s="52">
        <f ca="1">IF(BI4&lt;'Get Started  2'!$H77,0,OFFSET(BI259,0,-1*'Get Started  2'!$H77))</f>
        <v>0</v>
      </c>
      <c r="BJ264" s="52">
        <f ca="1">IF(BJ4&lt;'Get Started  2'!$H77,0,OFFSET(BJ259,0,-1*'Get Started  2'!$H77))</f>
        <v>0</v>
      </c>
      <c r="BK264" s="52">
        <f ca="1">IF(BK4&lt;'Get Started  2'!$H77,0,OFFSET(BK259,0,-1*'Get Started  2'!$H77))</f>
        <v>0</v>
      </c>
      <c r="BL264" s="52">
        <f ca="1">IF(BL4&lt;'Get Started  2'!$H77,0,OFFSET(BL259,0,-1*'Get Started  2'!$H77))</f>
        <v>0</v>
      </c>
      <c r="BM264" s="52">
        <f ca="1">IF(BM4&lt;'Get Started  2'!$H77,0,OFFSET(BM259,0,-1*'Get Started  2'!$H77))</f>
        <v>0</v>
      </c>
      <c r="BN264" s="52">
        <f ca="1">IF(BN4&lt;'Get Started  2'!$H77,0,OFFSET(BN259,0,-1*'Get Started  2'!$H77))</f>
        <v>0</v>
      </c>
      <c r="BO264" s="52">
        <f ca="1">IF(BO4&lt;'Get Started  2'!$H77,0,OFFSET(BO259,0,-1*'Get Started  2'!$H77))</f>
        <v>0</v>
      </c>
      <c r="BP264" s="52">
        <f ca="1">IF(BP4&lt;'Get Started  2'!$H77,0,OFFSET(BP259,0,-1*'Get Started  2'!$H77))</f>
        <v>0</v>
      </c>
      <c r="BQ264" s="52">
        <f ca="1">IF(BQ4&lt;'Get Started  2'!$H77,0,OFFSET(BQ259,0,-1*'Get Started  2'!$H77))</f>
        <v>0</v>
      </c>
      <c r="BR264" s="52">
        <f ca="1">IF(BR4&lt;'Get Started  2'!$H77,0,OFFSET(BR259,0,-1*'Get Started  2'!$H77))</f>
        <v>0</v>
      </c>
      <c r="BS264" s="52">
        <f ca="1">IF(BS4&lt;'Get Started  2'!$H77,0,OFFSET(BS259,0,-1*'Get Started  2'!$H77))</f>
        <v>0</v>
      </c>
      <c r="BT264" s="52">
        <f ca="1">IF(BT4&lt;'Get Started  2'!$H77,0,OFFSET(BT259,0,-1*'Get Started  2'!$H77))</f>
        <v>0</v>
      </c>
      <c r="BU264" s="52">
        <f ca="1">IF(BU4&lt;'Get Started  2'!$H77,0,OFFSET(BU259,0,-1*'Get Started  2'!$H77))</f>
        <v>0</v>
      </c>
      <c r="BV264" s="52">
        <f ca="1">IF(BV4&lt;'Get Started  2'!$H77,0,OFFSET(BV259,0,-1*'Get Started  2'!$H77))</f>
        <v>0</v>
      </c>
      <c r="BW264" s="52">
        <f ca="1">IF(BW4&lt;'Get Started  2'!$H77,0,OFFSET(BW259,0,-1*'Get Started  2'!$H77))</f>
        <v>0</v>
      </c>
      <c r="BX264" s="52">
        <f ca="1">IF(BX4&lt;'Get Started  2'!$H77,0,OFFSET(BX259,0,-1*'Get Started  2'!$H77))</f>
        <v>0</v>
      </c>
      <c r="BY264" s="52">
        <f ca="1">IF(BY4&lt;'Get Started  2'!$H77,0,OFFSET(BY259,0,-1*'Get Started  2'!$H77))</f>
        <v>0</v>
      </c>
      <c r="BZ264" s="52">
        <f ca="1">IF(BZ4&lt;'Get Started  2'!$H77,0,OFFSET(BZ259,0,-1*'Get Started  2'!$H77))</f>
        <v>0</v>
      </c>
      <c r="CA264" s="52">
        <f ca="1">IF(CA4&lt;'Get Started  2'!$H77,0,OFFSET(CA259,0,-1*'Get Started  2'!$H77))</f>
        <v>0</v>
      </c>
      <c r="CB264" s="52">
        <f ca="1">IF(CB4&lt;'Get Started  2'!$H77,0,OFFSET(CB259,0,-1*'Get Started  2'!$H77))</f>
        <v>0</v>
      </c>
      <c r="CC264" s="52">
        <f ca="1">IF(CC4&lt;'Get Started  2'!$H77,0,OFFSET(CC259,0,-1*'Get Started  2'!$H77))</f>
        <v>0</v>
      </c>
      <c r="CD264" s="52">
        <f ca="1">IF(CD4&lt;'Get Started  2'!$H77,0,OFFSET(CD259,0,-1*'Get Started  2'!$H77))</f>
        <v>0</v>
      </c>
      <c r="CE264" s="52">
        <f ca="1">IF(CE4&lt;'Get Started  2'!$H77,0,OFFSET(CE259,0,-1*'Get Started  2'!$H77))</f>
        <v>0</v>
      </c>
      <c r="CF264" s="52">
        <f ca="1">IF(CF4&lt;'Get Started  2'!$H77,0,OFFSET(CF259,0,-1*'Get Started  2'!$H77))</f>
        <v>0</v>
      </c>
      <c r="CG264" s="52">
        <f ca="1">IF(CG4&lt;'Get Started  2'!$H77,0,OFFSET(CG259,0,-1*'Get Started  2'!$H77))</f>
        <v>0</v>
      </c>
      <c r="CH264" s="52">
        <f ca="1">IF(CH4&lt;'Get Started  2'!$H77,0,OFFSET(CH259,0,-1*'Get Started  2'!$H77))</f>
        <v>0</v>
      </c>
    </row>
    <row r="265" spans="1:86" ht="13" outlineLevel="1">
      <c r="A265" s="13"/>
      <c r="B265" s="13" t="str">
        <f>B263&amp;" total"</f>
        <v>exited invested capital total</v>
      </c>
      <c r="C265" s="13"/>
      <c r="D265" s="13" t="s">
        <v>238</v>
      </c>
      <c r="E265" s="88">
        <f t="shared" ca="1" si="183"/>
        <v>0.99999999999999989</v>
      </c>
      <c r="F265" s="48"/>
      <c r="G265" s="52">
        <f t="shared" ref="G265:CH265" ca="1" si="191">SUM(G261:G264)</f>
        <v>0</v>
      </c>
      <c r="H265" s="52">
        <f t="shared" ca="1" si="191"/>
        <v>0</v>
      </c>
      <c r="I265" s="52">
        <f t="shared" ca="1" si="191"/>
        <v>0</v>
      </c>
      <c r="J265" s="52">
        <f t="shared" ca="1" si="191"/>
        <v>0</v>
      </c>
      <c r="K265" s="52">
        <f t="shared" ca="1" si="191"/>
        <v>0</v>
      </c>
      <c r="L265" s="52">
        <f t="shared" ca="1" si="191"/>
        <v>0</v>
      </c>
      <c r="M265" s="52">
        <f t="shared" ca="1" si="191"/>
        <v>0</v>
      </c>
      <c r="N265" s="52">
        <f t="shared" ca="1" si="191"/>
        <v>0</v>
      </c>
      <c r="O265" s="52">
        <f t="shared" ca="1" si="191"/>
        <v>3.8541666666666669E-2</v>
      </c>
      <c r="P265" s="52">
        <f t="shared" ca="1" si="191"/>
        <v>3.8541666666666669E-2</v>
      </c>
      <c r="Q265" s="52">
        <f t="shared" ca="1" si="191"/>
        <v>3.8541666666666669E-2</v>
      </c>
      <c r="R265" s="52">
        <f t="shared" ca="1" si="191"/>
        <v>3.8541666666666669E-2</v>
      </c>
      <c r="S265" s="52">
        <f t="shared" ca="1" si="191"/>
        <v>5.2083333333333336E-2</v>
      </c>
      <c r="T265" s="52">
        <f t="shared" ca="1" si="191"/>
        <v>5.2083333333333336E-2</v>
      </c>
      <c r="U265" s="52">
        <f t="shared" ca="1" si="191"/>
        <v>5.2083333333333336E-2</v>
      </c>
      <c r="V265" s="52">
        <f t="shared" ca="1" si="191"/>
        <v>5.2083333333333336E-2</v>
      </c>
      <c r="W265" s="52">
        <f t="shared" ca="1" si="191"/>
        <v>5.9375000000000004E-2</v>
      </c>
      <c r="X265" s="52">
        <f t="shared" ca="1" si="191"/>
        <v>5.9375000000000004E-2</v>
      </c>
      <c r="Y265" s="52">
        <f t="shared" ca="1" si="191"/>
        <v>5.9375000000000004E-2</v>
      </c>
      <c r="Z265" s="52">
        <f t="shared" ca="1" si="191"/>
        <v>5.9375000000000004E-2</v>
      </c>
      <c r="AA265" s="52">
        <f t="shared" ca="1" si="191"/>
        <v>5.9375000000000004E-2</v>
      </c>
      <c r="AB265" s="52">
        <f t="shared" ca="1" si="191"/>
        <v>5.9375000000000004E-2</v>
      </c>
      <c r="AC265" s="52">
        <f t="shared" ca="1" si="191"/>
        <v>5.9375000000000004E-2</v>
      </c>
      <c r="AD265" s="52">
        <f t="shared" ca="1" si="191"/>
        <v>5.9375000000000004E-2</v>
      </c>
      <c r="AE265" s="52">
        <f t="shared" ca="1" si="191"/>
        <v>2.3958333333333331E-2</v>
      </c>
      <c r="AF265" s="52">
        <f t="shared" ca="1" si="191"/>
        <v>2.3958333333333331E-2</v>
      </c>
      <c r="AG265" s="52">
        <f t="shared" ca="1" si="191"/>
        <v>2.3958333333333331E-2</v>
      </c>
      <c r="AH265" s="52">
        <f t="shared" ca="1" si="191"/>
        <v>2.3958333333333331E-2</v>
      </c>
      <c r="AI265" s="52">
        <f t="shared" ca="1" si="191"/>
        <v>1.0416666666666664E-2</v>
      </c>
      <c r="AJ265" s="52">
        <f t="shared" ca="1" si="191"/>
        <v>1.0416666666666664E-2</v>
      </c>
      <c r="AK265" s="52">
        <f t="shared" ca="1" si="191"/>
        <v>1.0416666666666664E-2</v>
      </c>
      <c r="AL265" s="52">
        <f t="shared" ca="1" si="191"/>
        <v>1.0416666666666664E-2</v>
      </c>
      <c r="AM265" s="52">
        <f t="shared" ca="1" si="191"/>
        <v>3.1249999999999989E-3</v>
      </c>
      <c r="AN265" s="52">
        <f t="shared" ca="1" si="191"/>
        <v>3.1249999999999989E-3</v>
      </c>
      <c r="AO265" s="52">
        <f t="shared" ca="1" si="191"/>
        <v>3.1249999999999989E-3</v>
      </c>
      <c r="AP265" s="52">
        <f t="shared" ca="1" si="191"/>
        <v>3.1249999999999989E-3</v>
      </c>
      <c r="AQ265" s="52">
        <f t="shared" ca="1" si="191"/>
        <v>3.1249999999999989E-3</v>
      </c>
      <c r="AR265" s="52">
        <f t="shared" ca="1" si="191"/>
        <v>3.1249999999999989E-3</v>
      </c>
      <c r="AS265" s="52">
        <f t="shared" ca="1" si="191"/>
        <v>3.1249999999999989E-3</v>
      </c>
      <c r="AT265" s="52">
        <f t="shared" ca="1" si="191"/>
        <v>3.1249999999999989E-3</v>
      </c>
      <c r="AU265" s="52">
        <f t="shared" ca="1" si="191"/>
        <v>0</v>
      </c>
      <c r="AV265" s="52">
        <f t="shared" ca="1" si="191"/>
        <v>0</v>
      </c>
      <c r="AW265" s="52">
        <f t="shared" ca="1" si="191"/>
        <v>0</v>
      </c>
      <c r="AX265" s="52">
        <f t="shared" ca="1" si="191"/>
        <v>0</v>
      </c>
      <c r="AY265" s="52">
        <f t="shared" ca="1" si="191"/>
        <v>0</v>
      </c>
      <c r="AZ265" s="52">
        <f t="shared" ca="1" si="191"/>
        <v>0</v>
      </c>
      <c r="BA265" s="52">
        <f t="shared" ca="1" si="191"/>
        <v>0</v>
      </c>
      <c r="BB265" s="52">
        <f t="shared" ca="1" si="191"/>
        <v>0</v>
      </c>
      <c r="BC265" s="52">
        <f t="shared" ca="1" si="191"/>
        <v>0</v>
      </c>
      <c r="BD265" s="52">
        <f t="shared" ca="1" si="191"/>
        <v>0</v>
      </c>
      <c r="BE265" s="52">
        <f t="shared" ca="1" si="191"/>
        <v>0</v>
      </c>
      <c r="BF265" s="52">
        <f t="shared" ca="1" si="191"/>
        <v>0</v>
      </c>
      <c r="BG265" s="52">
        <f t="shared" ca="1" si="191"/>
        <v>0</v>
      </c>
      <c r="BH265" s="52">
        <f t="shared" ca="1" si="191"/>
        <v>0</v>
      </c>
      <c r="BI265" s="52">
        <f t="shared" ca="1" si="191"/>
        <v>0</v>
      </c>
      <c r="BJ265" s="52">
        <f t="shared" ca="1" si="191"/>
        <v>0</v>
      </c>
      <c r="BK265" s="52">
        <f t="shared" ca="1" si="191"/>
        <v>0</v>
      </c>
      <c r="BL265" s="52">
        <f t="shared" ca="1" si="191"/>
        <v>0</v>
      </c>
      <c r="BM265" s="52">
        <f t="shared" ca="1" si="191"/>
        <v>0</v>
      </c>
      <c r="BN265" s="52">
        <f t="shared" ca="1" si="191"/>
        <v>0</v>
      </c>
      <c r="BO265" s="52">
        <f t="shared" ca="1" si="191"/>
        <v>0</v>
      </c>
      <c r="BP265" s="52">
        <f t="shared" ca="1" si="191"/>
        <v>0</v>
      </c>
      <c r="BQ265" s="52">
        <f t="shared" ca="1" si="191"/>
        <v>0</v>
      </c>
      <c r="BR265" s="52">
        <f t="shared" ca="1" si="191"/>
        <v>0</v>
      </c>
      <c r="BS265" s="52">
        <f t="shared" ca="1" si="191"/>
        <v>0</v>
      </c>
      <c r="BT265" s="52">
        <f t="shared" ca="1" si="191"/>
        <v>0</v>
      </c>
      <c r="BU265" s="52">
        <f t="shared" ca="1" si="191"/>
        <v>0</v>
      </c>
      <c r="BV265" s="52">
        <f t="shared" ca="1" si="191"/>
        <v>0</v>
      </c>
      <c r="BW265" s="52">
        <f t="shared" ca="1" si="191"/>
        <v>0</v>
      </c>
      <c r="BX265" s="52">
        <f t="shared" ca="1" si="191"/>
        <v>0</v>
      </c>
      <c r="BY265" s="52">
        <f t="shared" ca="1" si="191"/>
        <v>0</v>
      </c>
      <c r="BZ265" s="52">
        <f t="shared" ca="1" si="191"/>
        <v>0</v>
      </c>
      <c r="CA265" s="52">
        <f t="shared" ca="1" si="191"/>
        <v>0</v>
      </c>
      <c r="CB265" s="52">
        <f t="shared" ca="1" si="191"/>
        <v>0</v>
      </c>
      <c r="CC265" s="52">
        <f t="shared" ca="1" si="191"/>
        <v>0</v>
      </c>
      <c r="CD265" s="52">
        <f t="shared" ca="1" si="191"/>
        <v>0</v>
      </c>
      <c r="CE265" s="52">
        <f t="shared" ca="1" si="191"/>
        <v>0</v>
      </c>
      <c r="CF265" s="52">
        <f t="shared" ca="1" si="191"/>
        <v>0</v>
      </c>
      <c r="CG265" s="52">
        <f t="shared" ca="1" si="191"/>
        <v>0</v>
      </c>
      <c r="CH265" s="52">
        <f t="shared" ca="1" si="191"/>
        <v>0</v>
      </c>
    </row>
    <row r="266" spans="1:86" ht="13" outlineLevel="1">
      <c r="A266" s="13"/>
      <c r="B266" s="13" t="s">
        <v>339</v>
      </c>
      <c r="C266" s="13"/>
      <c r="D266" s="13" t="s">
        <v>247</v>
      </c>
      <c r="E266" s="88">
        <f t="shared" ca="1" si="183"/>
        <v>0</v>
      </c>
      <c r="F266" s="48"/>
      <c r="G266" s="52">
        <f t="shared" ref="G266:CH266" ca="1" si="192">ROUND(G250+G265*-1+G255+F266,10)</f>
        <v>6.25E-2</v>
      </c>
      <c r="H266" s="52">
        <f t="shared" ca="1" si="192"/>
        <v>0.125</v>
      </c>
      <c r="I266" s="52">
        <f t="shared" ca="1" si="192"/>
        <v>0.1875</v>
      </c>
      <c r="J266" s="52">
        <f t="shared" ca="1" si="192"/>
        <v>0.25</v>
      </c>
      <c r="K266" s="52">
        <f t="shared" ca="1" si="192"/>
        <v>0.3125</v>
      </c>
      <c r="L266" s="52">
        <f t="shared" ca="1" si="192"/>
        <v>0.375</v>
      </c>
      <c r="M266" s="52">
        <f t="shared" ca="1" si="192"/>
        <v>0.4375</v>
      </c>
      <c r="N266" s="52">
        <f t="shared" ca="1" si="192"/>
        <v>0.5</v>
      </c>
      <c r="O266" s="52">
        <f t="shared" ca="1" si="192"/>
        <v>0.52395833329999997</v>
      </c>
      <c r="P266" s="52">
        <f t="shared" ca="1" si="192"/>
        <v>0.54791666660000005</v>
      </c>
      <c r="Q266" s="52">
        <f t="shared" ca="1" si="192"/>
        <v>0.57187499990000001</v>
      </c>
      <c r="R266" s="52">
        <f t="shared" ca="1" si="192"/>
        <v>0.59583333319999998</v>
      </c>
      <c r="S266" s="52">
        <f t="shared" ca="1" si="192"/>
        <v>0.60624999989999995</v>
      </c>
      <c r="T266" s="52">
        <f t="shared" ca="1" si="192"/>
        <v>0.61666666660000002</v>
      </c>
      <c r="U266" s="52">
        <f t="shared" ca="1" si="192"/>
        <v>0.62708333329999999</v>
      </c>
      <c r="V266" s="52">
        <f t="shared" ca="1" si="192"/>
        <v>0.63749999999999996</v>
      </c>
      <c r="W266" s="52">
        <f t="shared" ca="1" si="192"/>
        <v>0.578125</v>
      </c>
      <c r="X266" s="52">
        <f t="shared" ca="1" si="192"/>
        <v>0.51875000000000004</v>
      </c>
      <c r="Y266" s="52">
        <f t="shared" ca="1" si="192"/>
        <v>0.45937499999999998</v>
      </c>
      <c r="Z266" s="52">
        <f t="shared" ca="1" si="192"/>
        <v>0.4</v>
      </c>
      <c r="AA266" s="52">
        <f t="shared" ca="1" si="192"/>
        <v>0.34062500000000001</v>
      </c>
      <c r="AB266" s="52">
        <f t="shared" ca="1" si="192"/>
        <v>0.28125</v>
      </c>
      <c r="AC266" s="52">
        <f t="shared" ca="1" si="192"/>
        <v>0.22187499999999999</v>
      </c>
      <c r="AD266" s="52">
        <f t="shared" ca="1" si="192"/>
        <v>0.16250000000000001</v>
      </c>
      <c r="AE266" s="52">
        <f t="shared" ca="1" si="192"/>
        <v>0.13854166670000001</v>
      </c>
      <c r="AF266" s="52">
        <f t="shared" ca="1" si="192"/>
        <v>0.1145833334</v>
      </c>
      <c r="AG266" s="52">
        <f t="shared" ca="1" si="192"/>
        <v>9.0625000100000005E-2</v>
      </c>
      <c r="AH266" s="52">
        <f t="shared" ca="1" si="192"/>
        <v>6.6666666799999996E-2</v>
      </c>
      <c r="AI266" s="52">
        <f t="shared" ca="1" si="192"/>
        <v>5.6250000100000003E-2</v>
      </c>
      <c r="AJ266" s="52">
        <f t="shared" ca="1" si="192"/>
        <v>4.5833333400000002E-2</v>
      </c>
      <c r="AK266" s="52">
        <f t="shared" ca="1" si="192"/>
        <v>3.5416666700000002E-2</v>
      </c>
      <c r="AL266" s="52">
        <f t="shared" ca="1" si="192"/>
        <v>2.5000000000000001E-2</v>
      </c>
      <c r="AM266" s="52">
        <f t="shared" ca="1" si="192"/>
        <v>2.1874999999999999E-2</v>
      </c>
      <c r="AN266" s="52">
        <f t="shared" ca="1" si="192"/>
        <v>1.8749999999999999E-2</v>
      </c>
      <c r="AO266" s="52">
        <f t="shared" ca="1" si="192"/>
        <v>1.5625E-2</v>
      </c>
      <c r="AP266" s="52">
        <f t="shared" ca="1" si="192"/>
        <v>1.2500000000000001E-2</v>
      </c>
      <c r="AQ266" s="52">
        <f t="shared" ca="1" si="192"/>
        <v>9.3749999999999997E-3</v>
      </c>
      <c r="AR266" s="52">
        <f t="shared" ca="1" si="192"/>
        <v>6.2500000000000003E-3</v>
      </c>
      <c r="AS266" s="52">
        <f t="shared" ca="1" si="192"/>
        <v>3.1250000000000002E-3</v>
      </c>
      <c r="AT266" s="52">
        <f t="shared" ca="1" si="192"/>
        <v>0</v>
      </c>
      <c r="AU266" s="52">
        <f t="shared" ca="1" si="192"/>
        <v>0</v>
      </c>
      <c r="AV266" s="52">
        <f t="shared" ca="1" si="192"/>
        <v>0</v>
      </c>
      <c r="AW266" s="52">
        <f t="shared" ca="1" si="192"/>
        <v>0</v>
      </c>
      <c r="AX266" s="52">
        <f t="shared" ca="1" si="192"/>
        <v>0</v>
      </c>
      <c r="AY266" s="52">
        <f t="shared" ca="1" si="192"/>
        <v>0</v>
      </c>
      <c r="AZ266" s="52">
        <f t="shared" ca="1" si="192"/>
        <v>0</v>
      </c>
      <c r="BA266" s="52">
        <f t="shared" ca="1" si="192"/>
        <v>0</v>
      </c>
      <c r="BB266" s="52">
        <f t="shared" ca="1" si="192"/>
        <v>0</v>
      </c>
      <c r="BC266" s="52">
        <f t="shared" ca="1" si="192"/>
        <v>0</v>
      </c>
      <c r="BD266" s="52">
        <f t="shared" ca="1" si="192"/>
        <v>0</v>
      </c>
      <c r="BE266" s="52">
        <f t="shared" ca="1" si="192"/>
        <v>0</v>
      </c>
      <c r="BF266" s="52">
        <f t="shared" ca="1" si="192"/>
        <v>0</v>
      </c>
      <c r="BG266" s="52">
        <f t="shared" ca="1" si="192"/>
        <v>0</v>
      </c>
      <c r="BH266" s="52">
        <f t="shared" ca="1" si="192"/>
        <v>0</v>
      </c>
      <c r="BI266" s="52">
        <f t="shared" ca="1" si="192"/>
        <v>0</v>
      </c>
      <c r="BJ266" s="52">
        <f t="shared" ca="1" si="192"/>
        <v>0</v>
      </c>
      <c r="BK266" s="52">
        <f t="shared" ca="1" si="192"/>
        <v>0</v>
      </c>
      <c r="BL266" s="52">
        <f t="shared" ca="1" si="192"/>
        <v>0</v>
      </c>
      <c r="BM266" s="52">
        <f t="shared" ca="1" si="192"/>
        <v>0</v>
      </c>
      <c r="BN266" s="52">
        <f t="shared" ca="1" si="192"/>
        <v>0</v>
      </c>
      <c r="BO266" s="52">
        <f t="shared" ca="1" si="192"/>
        <v>0</v>
      </c>
      <c r="BP266" s="52">
        <f t="shared" ca="1" si="192"/>
        <v>0</v>
      </c>
      <c r="BQ266" s="52">
        <f t="shared" ca="1" si="192"/>
        <v>0</v>
      </c>
      <c r="BR266" s="52">
        <f t="shared" ca="1" si="192"/>
        <v>0</v>
      </c>
      <c r="BS266" s="52">
        <f t="shared" ca="1" si="192"/>
        <v>0</v>
      </c>
      <c r="BT266" s="52">
        <f t="shared" ca="1" si="192"/>
        <v>0</v>
      </c>
      <c r="BU266" s="52">
        <f t="shared" ca="1" si="192"/>
        <v>0</v>
      </c>
      <c r="BV266" s="52">
        <f t="shared" ca="1" si="192"/>
        <v>0</v>
      </c>
      <c r="BW266" s="52">
        <f t="shared" ca="1" si="192"/>
        <v>0</v>
      </c>
      <c r="BX266" s="52">
        <f t="shared" ca="1" si="192"/>
        <v>0</v>
      </c>
      <c r="BY266" s="52">
        <f t="shared" ca="1" si="192"/>
        <v>0</v>
      </c>
      <c r="BZ266" s="52">
        <f t="shared" ca="1" si="192"/>
        <v>0</v>
      </c>
      <c r="CA266" s="52">
        <f t="shared" ca="1" si="192"/>
        <v>0</v>
      </c>
      <c r="CB266" s="52">
        <f t="shared" ca="1" si="192"/>
        <v>0</v>
      </c>
      <c r="CC266" s="52">
        <f t="shared" ca="1" si="192"/>
        <v>0</v>
      </c>
      <c r="CD266" s="52">
        <f t="shared" ca="1" si="192"/>
        <v>0</v>
      </c>
      <c r="CE266" s="52">
        <f t="shared" ca="1" si="192"/>
        <v>0</v>
      </c>
      <c r="CF266" s="52">
        <f t="shared" ca="1" si="192"/>
        <v>0</v>
      </c>
      <c r="CG266" s="52">
        <f t="shared" ca="1" si="192"/>
        <v>0</v>
      </c>
      <c r="CH266" s="52">
        <f t="shared" ca="1" si="192"/>
        <v>0</v>
      </c>
    </row>
    <row r="267" spans="1:86" ht="13" outlineLevel="1">
      <c r="A267" s="13"/>
      <c r="B267" s="13" t="s">
        <v>340</v>
      </c>
      <c r="C267" s="13"/>
      <c r="D267" s="13" t="s">
        <v>238</v>
      </c>
      <c r="E267" s="88">
        <f t="shared" si="183"/>
        <v>0</v>
      </c>
      <c r="F267" s="48"/>
      <c r="G267" s="88">
        <f>IF(G15&lt;&gt;"committed",(G266+F266)/2*IF($C17=TRUE,(1-'Get Started  2'!$E10),1)*G14,0)</f>
        <v>0</v>
      </c>
      <c r="H267" s="88">
        <f>IF(H15&lt;&gt;"committed",(H266+G266)/2*IF($C17=TRUE,(1-'Get Started  2'!$E10),1)*H14,0)</f>
        <v>0</v>
      </c>
      <c r="I267" s="88">
        <f>IF(I15&lt;&gt;"committed",(I266+H266)/2*IF($C17=TRUE,(1-'Get Started  2'!$E10),1)*I14,0)</f>
        <v>0</v>
      </c>
      <c r="J267" s="88">
        <f>IF(J15&lt;&gt;"committed",(J266+I266)/2*IF($C17=TRUE,(1-'Get Started  2'!$E10),1)*J14,0)</f>
        <v>0</v>
      </c>
      <c r="K267" s="88">
        <f>IF(K15&lt;&gt;"committed",(K266+J266)/2*IF($C17=TRUE,(1-'Get Started  2'!$E10),1)*K14,0)</f>
        <v>0</v>
      </c>
      <c r="L267" s="88">
        <f>IF(L15&lt;&gt;"committed",(L266+K266)/2*IF($C17=TRUE,(1-'Get Started  2'!$E10),1)*L14,0)</f>
        <v>0</v>
      </c>
      <c r="M267" s="88">
        <f>IF(M15&lt;&gt;"committed",(M266+L266)/2*IF($C17=TRUE,(1-'Get Started  2'!$E10),1)*M14,0)</f>
        <v>0</v>
      </c>
      <c r="N267" s="88">
        <f>IF(N15&lt;&gt;"committed",(N266+M266)/2*IF($C17=TRUE,(1-'Get Started  2'!$E10),1)*N14,0)</f>
        <v>0</v>
      </c>
      <c r="O267" s="88">
        <f>IF(O15&lt;&gt;"committed",(O266+N266)/2*IF($C17=TRUE,(1-'Get Started  2'!$E10),1)*O14,0)</f>
        <v>0</v>
      </c>
      <c r="P267" s="88">
        <f>IF(P15&lt;&gt;"committed",(P266+O266)/2*IF($C17=TRUE,(1-'Get Started  2'!$E10),1)*P14,0)</f>
        <v>0</v>
      </c>
      <c r="Q267" s="88">
        <f>IF(Q15&lt;&gt;"committed",(Q266+P266)/2*IF($C17=TRUE,(1-'Get Started  2'!$E10),1)*Q14,0)</f>
        <v>0</v>
      </c>
      <c r="R267" s="88">
        <f>IF(R15&lt;&gt;"committed",(R266+Q266)/2*IF($C17=TRUE,(1-'Get Started  2'!$E10),1)*R14,0)</f>
        <v>0</v>
      </c>
      <c r="S267" s="88">
        <f>IF(S15&lt;&gt;"committed",(S266+R266)/2*IF($C17=TRUE,(1-'Get Started  2'!$E10),1)*S14,0)</f>
        <v>0</v>
      </c>
      <c r="T267" s="88">
        <f>IF(T15&lt;&gt;"committed",(T266+S266)/2*IF($C17=TRUE,(1-'Get Started  2'!$E10),1)*T14,0)</f>
        <v>0</v>
      </c>
      <c r="U267" s="88">
        <f>IF(U15&lt;&gt;"committed",(U266+T266)/2*IF($C17=TRUE,(1-'Get Started  2'!$E10),1)*U14,0)</f>
        <v>0</v>
      </c>
      <c r="V267" s="88">
        <f>IF(V15&lt;&gt;"committed",(V266+U266)/2*IF($C17=TRUE,(1-'Get Started  2'!$E10),1)*V14,0)</f>
        <v>0</v>
      </c>
      <c r="W267" s="88">
        <f>IF(W15&lt;&gt;"committed",(W266+V266)/2*IF($C17=TRUE,(1-'Get Started  2'!$E10),1)*W14,0)</f>
        <v>0</v>
      </c>
      <c r="X267" s="88">
        <f>IF(X15&lt;&gt;"committed",(X266+W266)/2*IF($C17=TRUE,(1-'Get Started  2'!$E10),1)*X14,0)</f>
        <v>0</v>
      </c>
      <c r="Y267" s="88">
        <f>IF(Y15&lt;&gt;"committed",(Y266+X266)/2*IF($C17=TRUE,(1-'Get Started  2'!$E10),1)*Y14,0)</f>
        <v>0</v>
      </c>
      <c r="Z267" s="88">
        <f>IF(Z15&lt;&gt;"committed",(Z266+Y266)/2*IF($C17=TRUE,(1-'Get Started  2'!$E10),1)*Z14,0)</f>
        <v>0</v>
      </c>
      <c r="AA267" s="88">
        <f>IF(AA15&lt;&gt;"committed",(AA266+Z266)/2*IF($C17=TRUE,(1-'Get Started  2'!$E10),1)*AA14,0)</f>
        <v>0</v>
      </c>
      <c r="AB267" s="88">
        <f>IF(AB15&lt;&gt;"committed",(AB266+AA266)/2*IF($C17=TRUE,(1-'Get Started  2'!$E10),1)*AB14,0)</f>
        <v>0</v>
      </c>
      <c r="AC267" s="88">
        <f>IF(AC15&lt;&gt;"committed",(AC266+AB266)/2*IF($C17=TRUE,(1-'Get Started  2'!$E10),1)*AC14,0)</f>
        <v>0</v>
      </c>
      <c r="AD267" s="88">
        <f>IF(AD15&lt;&gt;"committed",(AD266+AC266)/2*IF($C17=TRUE,(1-'Get Started  2'!$E10),1)*AD14,0)</f>
        <v>0</v>
      </c>
      <c r="AE267" s="88">
        <f>IF(AE15&lt;&gt;"committed",(AE266+AD266)/2*IF($C17=TRUE,(1-'Get Started  2'!$E10),1)*AE14,0)</f>
        <v>0</v>
      </c>
      <c r="AF267" s="88">
        <f>IF(AF15&lt;&gt;"committed",(AF266+AE266)/2*IF($C17=TRUE,(1-'Get Started  2'!$E10),1)*AF14,0)</f>
        <v>0</v>
      </c>
      <c r="AG267" s="88">
        <f>IF(AG15&lt;&gt;"committed",(AG266+AF266)/2*IF($C17=TRUE,(1-'Get Started  2'!$E10),1)*AG14,0)</f>
        <v>0</v>
      </c>
      <c r="AH267" s="88">
        <f>IF(AH15&lt;&gt;"committed",(AH266+AG266)/2*IF($C17=TRUE,(1-'Get Started  2'!$E10),1)*AH14,0)</f>
        <v>0</v>
      </c>
      <c r="AI267" s="88">
        <f>IF(AI15&lt;&gt;"committed",(AI266+AH266)/2*IF($C17=TRUE,(1-'Get Started  2'!$E10),1)*AI14,0)</f>
        <v>0</v>
      </c>
      <c r="AJ267" s="88">
        <f>IF(AJ15&lt;&gt;"committed",(AJ266+AI266)/2*IF($C17=TRUE,(1-'Get Started  2'!$E10),1)*AJ14,0)</f>
        <v>0</v>
      </c>
      <c r="AK267" s="88">
        <f>IF(AK15&lt;&gt;"committed",(AK266+AJ266)/2*IF($C17=TRUE,(1-'Get Started  2'!$E10),1)*AK14,0)</f>
        <v>0</v>
      </c>
      <c r="AL267" s="88">
        <f>IF(AL15&lt;&gt;"committed",(AL266+AK266)/2*IF($C17=TRUE,(1-'Get Started  2'!$E10),1)*AL14,0)</f>
        <v>0</v>
      </c>
      <c r="AM267" s="88">
        <f>IF(AM15&lt;&gt;"committed",(AM266+AL266)/2*IF($C17=TRUE,(1-'Get Started  2'!$E10),1)*AM14,0)</f>
        <v>0</v>
      </c>
      <c r="AN267" s="88">
        <f>IF(AN15&lt;&gt;"committed",(AN266+AM266)/2*IF($C17=TRUE,(1-'Get Started  2'!$E10),1)*AN14,0)</f>
        <v>0</v>
      </c>
      <c r="AO267" s="88">
        <f>IF(AO15&lt;&gt;"committed",(AO266+AN266)/2*IF($C17=TRUE,(1-'Get Started  2'!$E10),1)*AO14,0)</f>
        <v>0</v>
      </c>
      <c r="AP267" s="88">
        <f>IF(AP15&lt;&gt;"committed",(AP266+AO266)/2*IF($C17=TRUE,(1-'Get Started  2'!$E10),1)*AP14,0)</f>
        <v>0</v>
      </c>
      <c r="AQ267" s="88">
        <f>IF(AQ15&lt;&gt;"committed",(AQ266+AP266)/2*IF($C17=TRUE,(1-'Get Started  2'!$E10),1)*AQ14,0)</f>
        <v>0</v>
      </c>
      <c r="AR267" s="88">
        <f>IF(AR15&lt;&gt;"committed",(AR266+AQ266)/2*IF($C17=TRUE,(1-'Get Started  2'!$E10),1)*AR14,0)</f>
        <v>0</v>
      </c>
      <c r="AS267" s="88">
        <f>IF(AS15&lt;&gt;"committed",(AS266+AR266)/2*IF($C17=TRUE,(1-'Get Started  2'!$E10),1)*AS14,0)</f>
        <v>0</v>
      </c>
      <c r="AT267" s="88">
        <f>IF(AT15&lt;&gt;"committed",(AT266+AS266)/2*IF($C17=TRUE,(1-'Get Started  2'!$E10),1)*AT14,0)</f>
        <v>0</v>
      </c>
      <c r="AU267" s="88">
        <f>IF(AU15&lt;&gt;"committed",(AU266+AT266)/2*IF($C17=TRUE,(1-'Get Started  2'!$E10),1)*AU14,0)</f>
        <v>0</v>
      </c>
      <c r="AV267" s="88">
        <f>IF(AV15&lt;&gt;"committed",(AV266+AU266)/2*IF($C17=TRUE,(1-'Get Started  2'!$E10),1)*AV14,0)</f>
        <v>0</v>
      </c>
      <c r="AW267" s="88">
        <f>IF(AW15&lt;&gt;"committed",(AW266+AV266)/2*IF($C17=TRUE,(1-'Get Started  2'!$E10),1)*AW14,0)</f>
        <v>0</v>
      </c>
      <c r="AX267" s="88">
        <f>IF(AX15&lt;&gt;"committed",(AX266+AW266)/2*IF($C17=TRUE,(1-'Get Started  2'!$E10),1)*AX14,0)</f>
        <v>0</v>
      </c>
      <c r="AY267" s="88">
        <f>IF(AY15&lt;&gt;"committed",(AY266+AX266)/2*IF($C17=TRUE,(1-'Get Started  2'!$E10),1)*AY14,0)</f>
        <v>0</v>
      </c>
      <c r="AZ267" s="88">
        <f>IF(AZ15&lt;&gt;"committed",(AZ266+AY266)/2*IF($C17=TRUE,(1-'Get Started  2'!$E10),1)*AZ14,0)</f>
        <v>0</v>
      </c>
      <c r="BA267" s="88">
        <f>IF(BA15&lt;&gt;"committed",(BA266+AZ266)/2*IF($C17=TRUE,(1-'Get Started  2'!$E10),1)*BA14,0)</f>
        <v>0</v>
      </c>
      <c r="BB267" s="88">
        <f>IF(BB15&lt;&gt;"committed",(BB266+BA266)/2*IF($C17=TRUE,(1-'Get Started  2'!$E10),1)*BB14,0)</f>
        <v>0</v>
      </c>
      <c r="BC267" s="88">
        <f>IF(BC15&lt;&gt;"committed",(BC266+BB266)/2*IF($C17=TRUE,(1-'Get Started  2'!$E10),1)*BC14,0)</f>
        <v>0</v>
      </c>
      <c r="BD267" s="88">
        <f>IF(BD15&lt;&gt;"committed",(BD266+BC266)/2*IF($C17=TRUE,(1-'Get Started  2'!$E10),1)*BD14,0)</f>
        <v>0</v>
      </c>
      <c r="BE267" s="88">
        <f>IF(BE15&lt;&gt;"committed",(BE266+BD266)/2*IF($C17=TRUE,(1-'Get Started  2'!$E10),1)*BE14,0)</f>
        <v>0</v>
      </c>
      <c r="BF267" s="88">
        <f>IF(BF15&lt;&gt;"committed",(BF266+BE266)/2*IF($C17=TRUE,(1-'Get Started  2'!$E10),1)*BF14,0)</f>
        <v>0</v>
      </c>
      <c r="BG267" s="88">
        <f>IF(BG15&lt;&gt;"committed",(BG266+BF266)/2*IF($C17=TRUE,(1-'Get Started  2'!$E10),1)*BG14,0)</f>
        <v>0</v>
      </c>
      <c r="BH267" s="88">
        <f>IF(BH15&lt;&gt;"committed",(BH266+BG266)/2*IF($C17=TRUE,(1-'Get Started  2'!$E10),1)*BH14,0)</f>
        <v>0</v>
      </c>
      <c r="BI267" s="88">
        <f>IF(BI15&lt;&gt;"committed",(BI266+BH266)/2*IF($C17=TRUE,(1-'Get Started  2'!$E10),1)*BI14,0)</f>
        <v>0</v>
      </c>
      <c r="BJ267" s="88">
        <f>IF(BJ15&lt;&gt;"committed",(BJ266+BI266)/2*IF($C17=TRUE,(1-'Get Started  2'!$E10),1)*BJ14,0)</f>
        <v>0</v>
      </c>
      <c r="BK267" s="88">
        <f>IF(BK15&lt;&gt;"committed",(BK266+BJ266)/2*IF($C17=TRUE,(1-'Get Started  2'!$E10),1)*BK14,0)</f>
        <v>0</v>
      </c>
      <c r="BL267" s="88">
        <f>IF(BL15&lt;&gt;"committed",(BL266+BK266)/2*IF($C17=TRUE,(1-'Get Started  2'!$E10),1)*BL14,0)</f>
        <v>0</v>
      </c>
      <c r="BM267" s="88">
        <f>IF(BM15&lt;&gt;"committed",(BM266+BL266)/2*IF($C17=TRUE,(1-'Get Started  2'!$E10),1)*BM14,0)</f>
        <v>0</v>
      </c>
      <c r="BN267" s="88">
        <f>IF(BN15&lt;&gt;"committed",(BN266+BM266)/2*IF($C17=TRUE,(1-'Get Started  2'!$E10),1)*BN14,0)</f>
        <v>0</v>
      </c>
      <c r="BO267" s="88">
        <f>IF(BO15&lt;&gt;"committed",(BO266+BN266)/2*IF($C17=TRUE,(1-'Get Started  2'!$E10),1)*BO14,0)</f>
        <v>0</v>
      </c>
      <c r="BP267" s="88">
        <f>IF(BP15&lt;&gt;"committed",(BP266+BO266)/2*IF($C17=TRUE,(1-'Get Started  2'!$E10),1)*BP14,0)</f>
        <v>0</v>
      </c>
      <c r="BQ267" s="88">
        <f>IF(BQ15&lt;&gt;"committed",(BQ266+BP266)/2*IF($C17=TRUE,(1-'Get Started  2'!$E10),1)*BQ14,0)</f>
        <v>0</v>
      </c>
      <c r="BR267" s="88">
        <f>IF(BR15&lt;&gt;"committed",(BR266+BQ266)/2*IF($C17=TRUE,(1-'Get Started  2'!$E10),1)*BR14,0)</f>
        <v>0</v>
      </c>
      <c r="BS267" s="88">
        <f>IF(BS15&lt;&gt;"committed",(BS266+BR266)/2*IF($C17=TRUE,(1-'Get Started  2'!$E10),1)*BS14,0)</f>
        <v>0</v>
      </c>
      <c r="BT267" s="88">
        <f>IF(BT15&lt;&gt;"committed",(BT266+BS266)/2*IF($C17=TRUE,(1-'Get Started  2'!$E10),1)*BT14,0)</f>
        <v>0</v>
      </c>
      <c r="BU267" s="88">
        <f>IF(BU15&lt;&gt;"committed",(BU266+BT266)/2*IF($C17=TRUE,(1-'Get Started  2'!$E10),1)*BU14,0)</f>
        <v>0</v>
      </c>
      <c r="BV267" s="88">
        <f>IF(BV15&lt;&gt;"committed",(BV266+BU266)/2*IF($C17=TRUE,(1-'Get Started  2'!$E10),1)*BV14,0)</f>
        <v>0</v>
      </c>
      <c r="BW267" s="88">
        <f>IF(BW15&lt;&gt;"committed",(BW266+BV266)/2*IF($C17=TRUE,(1-'Get Started  2'!$E10),1)*BW14,0)</f>
        <v>0</v>
      </c>
      <c r="BX267" s="88">
        <f>IF(BX15&lt;&gt;"committed",(BX266+BW266)/2*IF($C17=TRUE,(1-'Get Started  2'!$E10),1)*BX14,0)</f>
        <v>0</v>
      </c>
      <c r="BY267" s="88">
        <f>IF(BY15&lt;&gt;"committed",(BY266+BX266)/2*IF($C17=TRUE,(1-'Get Started  2'!$E10),1)*BY14,0)</f>
        <v>0</v>
      </c>
      <c r="BZ267" s="88">
        <f>IF(BZ15&lt;&gt;"committed",(BZ266+BY266)/2*IF($C17=TRUE,(1-'Get Started  2'!$E10),1)*BZ14,0)</f>
        <v>0</v>
      </c>
      <c r="CA267" s="88">
        <f>IF(CA15&lt;&gt;"committed",(CA266+BZ266)/2*IF($C17=TRUE,(1-'Get Started  2'!$E10),1)*CA14,0)</f>
        <v>0</v>
      </c>
      <c r="CB267" s="88">
        <f>IF(CB15&lt;&gt;"committed",(CB266+CA266)/2*IF($C17=TRUE,(1-'Get Started  2'!$E10),1)*CB14,0)</f>
        <v>0</v>
      </c>
      <c r="CC267" s="88">
        <f>IF(CC15&lt;&gt;"committed",(CC266+CB266)/2*IF($C17=TRUE,(1-'Get Started  2'!$E10),1)*CC14,0)</f>
        <v>0</v>
      </c>
      <c r="CD267" s="88">
        <f>IF(CD15&lt;&gt;"committed",(CD266+CC266)/2*IF($C17=TRUE,(1-'Get Started  2'!$E10),1)*CD14,0)</f>
        <v>0</v>
      </c>
      <c r="CE267" s="88">
        <f>IF(CE15&lt;&gt;"committed",(CE266+CD266)/2*IF($C17=TRUE,(1-'Get Started  2'!$E10),1)*CE14,0)</f>
        <v>0</v>
      </c>
      <c r="CF267" s="88">
        <f>IF(CF15&lt;&gt;"committed",(CF266+CE266)/2*IF($C17=TRUE,(1-'Get Started  2'!$E10),1)*CF14,0)</f>
        <v>0</v>
      </c>
      <c r="CG267" s="88">
        <f>IF(CG15&lt;&gt;"committed",(CG266+CF266)/2*IF($C17=TRUE,(1-'Get Started  2'!$E10),1)*CG14,0)</f>
        <v>0</v>
      </c>
      <c r="CH267" s="88">
        <f>IF(CH15&lt;&gt;"committed",(CH266+CG266)/2*IF($C17=TRUE,(1-'Get Started  2'!$E10),1)*CH14,0)</f>
        <v>0</v>
      </c>
    </row>
    <row r="268" spans="1:86" ht="13" outlineLevel="1">
      <c r="B268" s="15"/>
      <c r="C268" s="15"/>
      <c r="D268" s="15"/>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c r="CF268" s="29"/>
      <c r="CG268" s="29"/>
      <c r="CH268" s="29"/>
    </row>
    <row r="269" spans="1:86" ht="13">
      <c r="B269" s="15"/>
      <c r="C269" s="15"/>
      <c r="D269" s="15"/>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row>
  </sheetData>
  <dataValidations count="4">
    <dataValidation type="list" allowBlank="1" sqref="D93" xr:uid="{00000000-0002-0000-0400-000000000000}">
      <formula1>"sum,final,initial,average,max"</formula1>
    </dataValidation>
    <dataValidation type="list" allowBlank="1" sqref="D8:D11 D14:D20 D22:D28 D30:D87 D89:D92 D95:D185 D188:D194 D197:D201 D204:D210 D215:D243 D246:D267" xr:uid="{00000000-0002-0000-0400-000001000000}">
      <formula1>"sum,final,initial,average"</formula1>
    </dataValidation>
    <dataValidation type="list" allowBlank="1" showInputMessage="1" showErrorMessage="1" prompt="You can change the method used to calculate management fees per year. Note, if you choose &quot;called&quot; or &quot;assets under management&quot; (specifically, current invested capital), that creates a circular reference given the nature of how those fees are calculated (" sqref="G15:CH15" xr:uid="{00000000-0002-0000-0400-000002000000}">
      <formula1>"committed,called,assets under management"</formula1>
    </dataValidation>
    <dataValidation type="list" allowBlank="1" sqref="C187" xr:uid="{00000000-0002-0000-0400-000003000000}">
      <formula1>"Total Fund (European),Deal-by-deal with clawback (American),Deal-by-deal no clawback (SPVs)"</formula1>
    </dataValidation>
  </dataValidations>
  <hyperlinks>
    <hyperlink ref="C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32"/>
  <sheetViews>
    <sheetView showGridLines="0" workbookViewId="0"/>
  </sheetViews>
  <sheetFormatPr baseColWidth="10" defaultColWidth="12.6640625" defaultRowHeight="15.75" customHeight="1" outlineLevelRow="1"/>
  <cols>
    <col min="1" max="1" width="4.33203125" customWidth="1"/>
    <col min="2" max="2" width="41.6640625" customWidth="1"/>
    <col min="3" max="4" width="3.1640625" customWidth="1"/>
    <col min="7" max="9" width="11.1640625" customWidth="1"/>
    <col min="10" max="10" width="8.33203125" customWidth="1"/>
    <col min="11" max="11" width="79.1640625" customWidth="1"/>
  </cols>
  <sheetData>
    <row r="1" spans="2:11" ht="13">
      <c r="C1" s="19"/>
    </row>
    <row r="2" spans="2:11" ht="18">
      <c r="B2" s="2" t="s">
        <v>21</v>
      </c>
      <c r="C2" s="19"/>
    </row>
    <row r="3" spans="2:11" ht="13">
      <c r="B3" s="20" t="s">
        <v>68</v>
      </c>
      <c r="C3" s="19"/>
    </row>
    <row r="4" spans="2:11" ht="16">
      <c r="B4" s="21"/>
    </row>
    <row r="5" spans="2:11" ht="16">
      <c r="B5" s="21" t="s">
        <v>69</v>
      </c>
    </row>
    <row r="6" spans="2:11" ht="13">
      <c r="B6" s="20" t="s">
        <v>70</v>
      </c>
      <c r="C6" s="19"/>
      <c r="D6" s="1"/>
      <c r="E6" s="1"/>
      <c r="F6" s="1"/>
    </row>
    <row r="7" spans="2:11" ht="13">
      <c r="B7" s="15"/>
      <c r="C7" s="19"/>
      <c r="D7" s="1"/>
      <c r="E7" s="1"/>
      <c r="F7" s="1"/>
    </row>
    <row r="8" spans="2:11" ht="13">
      <c r="B8" s="22" t="s">
        <v>71</v>
      </c>
      <c r="C8" s="23" t="s">
        <v>72</v>
      </c>
      <c r="D8" s="24"/>
      <c r="E8" s="24" t="s">
        <v>73</v>
      </c>
      <c r="F8" s="24" t="s">
        <v>37</v>
      </c>
      <c r="K8" s="25" t="s">
        <v>74</v>
      </c>
    </row>
    <row r="9" spans="2:11" ht="13">
      <c r="B9" s="15" t="s">
        <v>75</v>
      </c>
      <c r="C9" s="26" t="str">
        <f>'Get Started'!C9</f>
        <v>$</v>
      </c>
      <c r="D9" s="27"/>
      <c r="E9" s="28">
        <f>'Get Started'!E9</f>
        <v>25000000</v>
      </c>
      <c r="F9" s="29">
        <f>E9</f>
        <v>25000000</v>
      </c>
      <c r="K9" s="15" t="s">
        <v>77</v>
      </c>
    </row>
    <row r="10" spans="2:11" ht="13">
      <c r="B10" s="15" t="s">
        <v>78</v>
      </c>
      <c r="C10" s="19" t="s">
        <v>79</v>
      </c>
      <c r="D10" s="30"/>
      <c r="E10" s="31">
        <f>'Get Started'!E10</f>
        <v>0.02</v>
      </c>
      <c r="F10" s="29">
        <f>E10*F$9</f>
        <v>500000</v>
      </c>
      <c r="K10" s="15" t="s">
        <v>80</v>
      </c>
    </row>
    <row r="11" spans="2:11" ht="13">
      <c r="B11" s="15" t="s">
        <v>81</v>
      </c>
      <c r="C11" s="32" t="str">
        <f t="shared" ref="C11:C12" si="0">C$9</f>
        <v>$</v>
      </c>
      <c r="D11" s="27"/>
      <c r="E11" s="28">
        <f>'Get Started'!E11</f>
        <v>100000</v>
      </c>
      <c r="F11" s="29">
        <f>'Forecast  3'!E39</f>
        <v>100000</v>
      </c>
      <c r="K11" s="15" t="s">
        <v>82</v>
      </c>
    </row>
    <row r="12" spans="2:11" ht="13">
      <c r="B12" s="15" t="s">
        <v>83</v>
      </c>
      <c r="C12" s="32" t="str">
        <f t="shared" si="0"/>
        <v>$</v>
      </c>
      <c r="D12" s="27"/>
      <c r="E12" s="28">
        <f>'Get Started'!E12</f>
        <v>75000</v>
      </c>
      <c r="F12" s="29">
        <f>'Forecast  3'!E40</f>
        <v>750000</v>
      </c>
      <c r="I12" s="15"/>
      <c r="J12" s="15"/>
      <c r="K12" s="15" t="s">
        <v>84</v>
      </c>
    </row>
    <row r="13" spans="2:11" ht="13">
      <c r="B13" s="15" t="s">
        <v>85</v>
      </c>
      <c r="C13" s="19" t="s">
        <v>79</v>
      </c>
      <c r="D13" s="30"/>
      <c r="E13" s="31">
        <f>'Get Started'!E13</f>
        <v>0.02</v>
      </c>
      <c r="F13" s="29">
        <f>'Forecast  3'!E41</f>
        <v>4900000</v>
      </c>
      <c r="I13" s="15"/>
      <c r="J13" s="15"/>
      <c r="K13" s="15" t="s">
        <v>86</v>
      </c>
    </row>
    <row r="14" spans="2:11" ht="13">
      <c r="B14" s="15" t="s">
        <v>87</v>
      </c>
      <c r="C14" s="19" t="s">
        <v>79</v>
      </c>
      <c r="D14" s="30"/>
      <c r="E14" s="31">
        <f>'Get Started'!E14</f>
        <v>0.2</v>
      </c>
      <c r="F14" s="29">
        <f ca="1">E124</f>
        <v>41159895.833333328</v>
      </c>
      <c r="K14" s="15" t="s">
        <v>88</v>
      </c>
    </row>
    <row r="15" spans="2:11" ht="13">
      <c r="B15" s="15" t="s">
        <v>89</v>
      </c>
      <c r="C15" s="19" t="s">
        <v>90</v>
      </c>
      <c r="D15" s="33"/>
      <c r="E15" s="28">
        <f>'Get Started'!E15</f>
        <v>16</v>
      </c>
      <c r="F15" s="34"/>
      <c r="I15" s="15"/>
      <c r="J15" s="15"/>
      <c r="K15" s="15" t="s">
        <v>91</v>
      </c>
    </row>
    <row r="16" spans="2:11" ht="13">
      <c r="B16" s="15" t="s">
        <v>92</v>
      </c>
      <c r="C16" s="19" t="s">
        <v>90</v>
      </c>
      <c r="D16" s="33"/>
      <c r="E16" s="28">
        <f>'Get Started'!E16</f>
        <v>40</v>
      </c>
      <c r="F16" s="34"/>
      <c r="I16" s="34"/>
      <c r="J16" s="34"/>
      <c r="K16" s="34" t="s">
        <v>93</v>
      </c>
    </row>
    <row r="17" spans="2:11" ht="13">
      <c r="B17" s="15" t="s">
        <v>94</v>
      </c>
      <c r="C17" s="19" t="s">
        <v>90</v>
      </c>
      <c r="D17" s="33"/>
      <c r="E17" s="28">
        <f>'Get Started'!E17</f>
        <v>40</v>
      </c>
      <c r="K17" s="34" t="s">
        <v>95</v>
      </c>
    </row>
    <row r="18" spans="2:11" ht="13">
      <c r="B18" s="15" t="s">
        <v>96</v>
      </c>
      <c r="C18" s="19" t="s">
        <v>90</v>
      </c>
      <c r="D18" s="34"/>
      <c r="E18" s="29">
        <f>MAX(0,E17-E16)</f>
        <v>0</v>
      </c>
      <c r="F18" s="34"/>
      <c r="I18" s="15"/>
      <c r="J18" s="15"/>
      <c r="K18" s="15" t="s">
        <v>97</v>
      </c>
    </row>
    <row r="19" spans="2:11" ht="13">
      <c r="B19" s="15"/>
      <c r="C19" s="34"/>
      <c r="D19" s="34"/>
      <c r="E19" s="34"/>
      <c r="F19" s="34"/>
      <c r="I19" s="15"/>
      <c r="J19" s="15"/>
    </row>
    <row r="20" spans="2:11" ht="13">
      <c r="B20" s="15"/>
      <c r="C20" s="34"/>
      <c r="D20" s="34"/>
      <c r="E20" s="34"/>
      <c r="F20" s="34"/>
      <c r="I20" s="15"/>
      <c r="J20" s="15"/>
    </row>
    <row r="21" spans="2:11" ht="16">
      <c r="B21" s="21" t="s">
        <v>98</v>
      </c>
      <c r="C21" s="34"/>
      <c r="D21" s="34"/>
      <c r="E21" s="34"/>
      <c r="F21" s="34"/>
      <c r="I21" s="15"/>
      <c r="J21" s="15"/>
    </row>
    <row r="22" spans="2:11" ht="13">
      <c r="B22" s="20" t="s">
        <v>99</v>
      </c>
      <c r="C22" s="34"/>
      <c r="D22" s="34"/>
      <c r="E22" s="34"/>
      <c r="F22" s="34"/>
      <c r="I22" s="15"/>
      <c r="J22" s="15"/>
      <c r="K22" s="15" t="s">
        <v>100</v>
      </c>
    </row>
    <row r="23" spans="2:11" ht="13">
      <c r="B23" s="15"/>
      <c r="C23" s="34"/>
      <c r="D23" s="34"/>
      <c r="F23" s="34"/>
      <c r="I23" s="15"/>
      <c r="J23" s="15"/>
    </row>
    <row r="24" spans="2:11" ht="13">
      <c r="B24" s="22" t="s">
        <v>71</v>
      </c>
      <c r="C24" s="23" t="s">
        <v>72</v>
      </c>
      <c r="D24" s="24"/>
      <c r="E24" s="24" t="s">
        <v>73</v>
      </c>
      <c r="F24" s="24" t="s">
        <v>37</v>
      </c>
      <c r="K24" s="25" t="s">
        <v>74</v>
      </c>
    </row>
    <row r="25" spans="2:11" ht="13">
      <c r="B25" s="15" t="str">
        <f>"Target recycling %, and max achievable"</f>
        <v>Target recycling %, and max achievable</v>
      </c>
      <c r="C25" s="19" t="s">
        <v>79</v>
      </c>
      <c r="D25" s="30"/>
      <c r="E25" s="31">
        <f>'Get Started'!E25</f>
        <v>0.25</v>
      </c>
      <c r="F25" s="35">
        <f ca="1">IFERROR(F29/F26,0)</f>
        <v>3.2083333333333332E-2</v>
      </c>
      <c r="I25" s="15"/>
      <c r="J25" s="15"/>
      <c r="K25" s="15" t="s">
        <v>101</v>
      </c>
    </row>
    <row r="26" spans="2:11" ht="13">
      <c r="B26" s="15" t="str">
        <f>"... based on "&amp;E26</f>
        <v>... based on committed capital</v>
      </c>
      <c r="C26" s="32" t="s">
        <v>102</v>
      </c>
      <c r="D26" s="34"/>
      <c r="E26" s="36" t="str">
        <f>'Get Started'!E26</f>
        <v>committed capital</v>
      </c>
      <c r="F26" s="37">
        <f>IF(E26="management fees",F13,F9)</f>
        <v>25000000</v>
      </c>
      <c r="I26" s="15"/>
      <c r="J26" s="15"/>
      <c r="K26" s="15" t="s">
        <v>104</v>
      </c>
    </row>
    <row r="27" spans="2:11" ht="13">
      <c r="B27" s="15" t="str">
        <f>"... from exits "&amp;E27&amp;" quarters or less post-investment"</f>
        <v>... from exits 24 quarters or less post-investment</v>
      </c>
      <c r="C27" s="19" t="s">
        <v>90</v>
      </c>
      <c r="D27" s="34"/>
      <c r="E27" s="28">
        <f>'Get Started'!E27</f>
        <v>24</v>
      </c>
      <c r="F27" s="37">
        <f ca="1">'Forecast  3'!E204</f>
        <v>231601562.5</v>
      </c>
      <c r="I27" s="15"/>
      <c r="J27" s="15"/>
      <c r="K27" s="15" t="s">
        <v>105</v>
      </c>
    </row>
    <row r="28" spans="2:11" ht="13">
      <c r="B28" s="15" t="str">
        <f>"... up to the amount of "&amp;E28&amp;" per investment exited"</f>
        <v>... up to the amount of invested capital per investment exited</v>
      </c>
      <c r="C28" s="32" t="s">
        <v>102</v>
      </c>
      <c r="D28" s="34"/>
      <c r="E28" s="38" t="str">
        <f>'Get Started'!E28</f>
        <v>invested capital</v>
      </c>
      <c r="F28" s="29">
        <f ca="1">IF(E28="invested capital",'Forecast  3'!E206,IF(E28="invested capital plus cost basis",'Forecast  3'!E205,'Forecast  3'!E204))</f>
        <v>8689236.1111111101</v>
      </c>
      <c r="I28" s="15"/>
      <c r="J28" s="15"/>
      <c r="K28" s="15" t="s">
        <v>107</v>
      </c>
    </row>
    <row r="29" spans="2:11" ht="13">
      <c r="B29" s="15" t="str">
        <f>"... able to invest in "&amp;E29</f>
        <v>... able to invest in new investments</v>
      </c>
      <c r="C29" s="32" t="s">
        <v>102</v>
      </c>
      <c r="D29" s="34"/>
      <c r="E29" s="38" t="str">
        <f>'Get Started'!E29</f>
        <v>new investments</v>
      </c>
      <c r="F29" s="37">
        <f ca="1">'Forecast  3'!E42</f>
        <v>802083.33333333337</v>
      </c>
      <c r="I29" s="15"/>
      <c r="J29" s="15"/>
      <c r="K29" s="15" t="s">
        <v>108</v>
      </c>
    </row>
    <row r="30" spans="2:11" ht="13">
      <c r="F30" s="34"/>
      <c r="I30" s="15"/>
      <c r="J30" s="15"/>
    </row>
    <row r="31" spans="2:11" ht="13">
      <c r="B31" s="15"/>
      <c r="C31" s="34"/>
      <c r="D31" s="34"/>
      <c r="E31" s="34"/>
      <c r="F31" s="34"/>
      <c r="I31" s="15"/>
      <c r="J31" s="15"/>
    </row>
    <row r="32" spans="2:11" ht="16">
      <c r="B32" s="39" t="s">
        <v>109</v>
      </c>
    </row>
    <row r="33" spans="1:11" ht="13">
      <c r="B33" s="40" t="s">
        <v>110</v>
      </c>
      <c r="C33" s="34"/>
      <c r="D33" s="34"/>
      <c r="E33" s="34"/>
      <c r="F33" s="34"/>
      <c r="I33" s="15"/>
      <c r="J33" s="15"/>
    </row>
    <row r="34" spans="1:11" ht="16">
      <c r="B34" s="21"/>
      <c r="C34" s="34"/>
      <c r="D34" s="34"/>
      <c r="E34" s="34"/>
      <c r="F34" s="34"/>
      <c r="I34" s="15"/>
      <c r="J34" s="15"/>
    </row>
    <row r="35" spans="1:11" ht="13">
      <c r="B35" s="41" t="s">
        <v>111</v>
      </c>
      <c r="C35" s="42"/>
      <c r="D35" s="42"/>
      <c r="E35" s="66" t="str">
        <f>'Get Started'!E35</f>
        <v>Fail</v>
      </c>
      <c r="F35" s="66" t="str">
        <f>'Get Started'!F35</f>
        <v>Low</v>
      </c>
      <c r="G35" s="66" t="str">
        <f>'Get Started'!G35</f>
        <v>Medium</v>
      </c>
      <c r="H35" s="66" t="str">
        <f>'Get Started'!H35</f>
        <v>High</v>
      </c>
      <c r="I35" s="13"/>
      <c r="J35" s="13" t="s">
        <v>116</v>
      </c>
    </row>
    <row r="36" spans="1:11" ht="13">
      <c r="B36" s="13"/>
      <c r="C36" s="13"/>
      <c r="D36" s="13"/>
      <c r="E36" s="13"/>
      <c r="F36" s="13"/>
      <c r="G36" s="13"/>
      <c r="H36" s="37"/>
      <c r="I36" s="15"/>
      <c r="J36" s="15"/>
    </row>
    <row r="37" spans="1:11" ht="13">
      <c r="B37" s="44" t="s">
        <v>117</v>
      </c>
      <c r="C37" s="45"/>
      <c r="D37" s="45"/>
      <c r="E37" s="45"/>
      <c r="F37" s="45"/>
      <c r="G37" s="45"/>
      <c r="H37" s="45"/>
      <c r="I37" s="15"/>
      <c r="J37" s="15"/>
    </row>
    <row r="38" spans="1:11" ht="13">
      <c r="B38" s="13" t="s">
        <v>118</v>
      </c>
      <c r="C38" s="45" t="s">
        <v>79</v>
      </c>
      <c r="D38" s="34"/>
      <c r="E38" s="35">
        <f>1-SUM(F38:H38)</f>
        <v>0.56666666666666665</v>
      </c>
      <c r="F38" s="67">
        <f>MAX(0,'Get Started'!F38-($H38-'Get Started'!$H38)/3)</f>
        <v>0.16666666666666669</v>
      </c>
      <c r="G38" s="67">
        <f>MAX(0,'Get Started'!G38-($H38-'Get Started'!$H38)/3)</f>
        <v>6.666666666666668E-2</v>
      </c>
      <c r="H38" s="67">
        <f>'Get Started'!H38*(1+Scenarios!N28)</f>
        <v>0.19999999999999996</v>
      </c>
      <c r="I38" s="13"/>
      <c r="J38" s="15" t="s">
        <v>119</v>
      </c>
    </row>
    <row r="39" spans="1:11" ht="13">
      <c r="B39" s="13" t="s">
        <v>120</v>
      </c>
      <c r="C39" s="45" t="s">
        <v>90</v>
      </c>
      <c r="D39" s="34"/>
      <c r="E39" s="37">
        <f t="shared" ref="E39:H39" ca="1" si="1">E42*$E122/E78</f>
        <v>22.725694444444443</v>
      </c>
      <c r="F39" s="37">
        <f t="shared" ca="1" si="1"/>
        <v>6.6840277777777777</v>
      </c>
      <c r="G39" s="37">
        <f t="shared" ca="1" si="1"/>
        <v>2.6736111111111116</v>
      </c>
      <c r="H39" s="37">
        <f t="shared" ca="1" si="1"/>
        <v>8.0208333333333304</v>
      </c>
      <c r="I39" s="13"/>
      <c r="J39" s="15" t="s">
        <v>121</v>
      </c>
    </row>
    <row r="40" spans="1:11" ht="13" outlineLevel="1">
      <c r="B40" s="13" t="s">
        <v>122</v>
      </c>
      <c r="C40" s="45" t="s">
        <v>79</v>
      </c>
      <c r="D40" s="34"/>
      <c r="E40" s="35">
        <f t="shared" ref="E40:H40" si="2">$E101/E78</f>
        <v>1</v>
      </c>
      <c r="F40" s="35">
        <f t="shared" si="2"/>
        <v>1</v>
      </c>
      <c r="G40" s="35">
        <f t="shared" si="2"/>
        <v>1</v>
      </c>
      <c r="H40" s="35">
        <f t="shared" si="2"/>
        <v>1</v>
      </c>
      <c r="I40" s="13"/>
      <c r="J40" s="15" t="s">
        <v>123</v>
      </c>
    </row>
    <row r="41" spans="1:11" ht="13" outlineLevel="1">
      <c r="B41" s="13" t="s">
        <v>124</v>
      </c>
      <c r="C41" s="45" t="s">
        <v>79</v>
      </c>
      <c r="E41" s="47">
        <f t="shared" ref="E41:H41" si="3">E38/E40</f>
        <v>0.56666666666666665</v>
      </c>
      <c r="F41" s="47">
        <f t="shared" si="3"/>
        <v>0.16666666666666669</v>
      </c>
      <c r="G41" s="47">
        <f t="shared" si="3"/>
        <v>6.666666666666668E-2</v>
      </c>
      <c r="H41" s="47">
        <f t="shared" si="3"/>
        <v>0.19999999999999996</v>
      </c>
      <c r="J41" s="15" t="s">
        <v>123</v>
      </c>
    </row>
    <row r="42" spans="1:11" ht="13">
      <c r="A42" s="13"/>
      <c r="B42" s="13" t="s">
        <v>125</v>
      </c>
      <c r="C42" s="45" t="s">
        <v>79</v>
      </c>
      <c r="D42" s="48"/>
      <c r="E42" s="35">
        <f t="shared" ref="E42:H42" si="4">E41/SUM($E41:$H41)</f>
        <v>0.56666666666666665</v>
      </c>
      <c r="F42" s="35">
        <f t="shared" si="4"/>
        <v>0.16666666666666669</v>
      </c>
      <c r="G42" s="35">
        <f t="shared" si="4"/>
        <v>6.666666666666668E-2</v>
      </c>
      <c r="H42" s="35">
        <f t="shared" si="4"/>
        <v>0.19999999999999996</v>
      </c>
      <c r="I42" s="13"/>
      <c r="J42" s="13" t="s">
        <v>126</v>
      </c>
      <c r="K42" s="13"/>
    </row>
    <row r="43" spans="1:11" ht="13">
      <c r="B43" s="13" t="s">
        <v>127</v>
      </c>
      <c r="C43" s="45" t="s">
        <v>79</v>
      </c>
      <c r="D43" s="45"/>
      <c r="E43" s="47">
        <f t="shared" ref="E43:H43" si="5">1/(1+E53*E54/E48+E63*E64/E48)*E42</f>
        <v>0.56666666666666665</v>
      </c>
      <c r="F43" s="47">
        <f t="shared" si="5"/>
        <v>0.16666666666666669</v>
      </c>
      <c r="G43" s="47">
        <f t="shared" si="5"/>
        <v>6.666666666666668E-2</v>
      </c>
      <c r="H43" s="47">
        <f t="shared" si="5"/>
        <v>0.19999999999999996</v>
      </c>
      <c r="I43" s="15"/>
      <c r="J43" s="15"/>
    </row>
    <row r="44" spans="1:11" ht="13">
      <c r="B44" s="13" t="s">
        <v>128</v>
      </c>
      <c r="C44" s="45" t="s">
        <v>79</v>
      </c>
      <c r="D44" s="45"/>
      <c r="E44" s="47">
        <f t="shared" ref="E44:H44" si="6">IFERROR(E53*E54/E48*E43,0)</f>
        <v>0</v>
      </c>
      <c r="F44" s="47">
        <f t="shared" si="6"/>
        <v>0</v>
      </c>
      <c r="G44" s="47">
        <f t="shared" si="6"/>
        <v>0</v>
      </c>
      <c r="H44" s="47">
        <f t="shared" si="6"/>
        <v>0</v>
      </c>
      <c r="I44" s="15"/>
      <c r="J44" s="15"/>
    </row>
    <row r="45" spans="1:11" ht="13">
      <c r="B45" s="13" t="s">
        <v>129</v>
      </c>
      <c r="C45" s="45" t="s">
        <v>79</v>
      </c>
      <c r="D45" s="45"/>
      <c r="E45" s="47">
        <f t="shared" ref="E45:H45" si="7">IFERROR(E63*E64/E48*E43,0)</f>
        <v>0</v>
      </c>
      <c r="F45" s="47">
        <f t="shared" si="7"/>
        <v>0</v>
      </c>
      <c r="G45" s="47">
        <f t="shared" si="7"/>
        <v>0</v>
      </c>
      <c r="H45" s="47">
        <f t="shared" si="7"/>
        <v>0</v>
      </c>
      <c r="I45" s="15"/>
      <c r="J45" s="15"/>
    </row>
    <row r="46" spans="1:11" ht="13">
      <c r="B46" s="44"/>
      <c r="C46" s="45"/>
      <c r="D46" s="45"/>
      <c r="E46" s="45"/>
      <c r="F46" s="45"/>
      <c r="G46" s="45"/>
      <c r="H46" s="45"/>
      <c r="I46" s="15"/>
      <c r="J46" s="15"/>
    </row>
    <row r="47" spans="1:11" ht="13">
      <c r="B47" s="44" t="s">
        <v>130</v>
      </c>
      <c r="C47" s="45"/>
      <c r="D47" s="45"/>
      <c r="E47" s="45"/>
      <c r="F47" s="45"/>
      <c r="G47" s="45"/>
      <c r="H47" s="45"/>
      <c r="I47" s="15"/>
      <c r="J47" s="15"/>
    </row>
    <row r="48" spans="1:11" ht="13">
      <c r="B48" s="13" t="s">
        <v>131</v>
      </c>
      <c r="C48" s="45" t="str">
        <f t="shared" ref="C48:C50" si="8">C$9</f>
        <v>$</v>
      </c>
      <c r="D48" s="48"/>
      <c r="E48" s="29">
        <f t="shared" ref="E48:H48" si="9">E49*E50</f>
        <v>500000</v>
      </c>
      <c r="F48" s="29">
        <f t="shared" si="9"/>
        <v>500000</v>
      </c>
      <c r="G48" s="29">
        <f t="shared" si="9"/>
        <v>500000</v>
      </c>
      <c r="H48" s="29">
        <f t="shared" si="9"/>
        <v>500000</v>
      </c>
      <c r="I48" s="15"/>
      <c r="J48" s="15" t="s">
        <v>132</v>
      </c>
    </row>
    <row r="49" spans="1:11" ht="13">
      <c r="B49" s="13" t="s">
        <v>133</v>
      </c>
      <c r="C49" s="45" t="str">
        <f t="shared" si="8"/>
        <v>$</v>
      </c>
      <c r="D49" s="48"/>
      <c r="E49" s="28">
        <f>'Get Started'!E49</f>
        <v>5000000</v>
      </c>
      <c r="F49" s="28">
        <f>'Get Started'!F49</f>
        <v>5000000</v>
      </c>
      <c r="G49" s="28">
        <f>'Get Started'!G49</f>
        <v>5000000</v>
      </c>
      <c r="H49" s="28">
        <f>'Get Started'!H49</f>
        <v>5000000</v>
      </c>
      <c r="I49" s="15"/>
      <c r="J49" s="15" t="s">
        <v>134</v>
      </c>
    </row>
    <row r="50" spans="1:11" ht="13">
      <c r="B50" s="13" t="s">
        <v>135</v>
      </c>
      <c r="C50" s="45" t="str">
        <f t="shared" si="8"/>
        <v>$</v>
      </c>
      <c r="D50" s="34"/>
      <c r="E50" s="67">
        <f>'Get Started'!E50</f>
        <v>0.1</v>
      </c>
      <c r="F50" s="67">
        <f>'Get Started'!F50</f>
        <v>0.1</v>
      </c>
      <c r="G50" s="67">
        <f>'Get Started'!G50</f>
        <v>0.1</v>
      </c>
      <c r="H50" s="67">
        <f>'Get Started'!H50</f>
        <v>0.1</v>
      </c>
      <c r="I50" s="15"/>
      <c r="J50" s="15" t="s">
        <v>136</v>
      </c>
    </row>
    <row r="51" spans="1:11" ht="13">
      <c r="B51" s="13"/>
      <c r="C51" s="34"/>
      <c r="D51" s="34"/>
      <c r="E51" s="34"/>
      <c r="F51" s="34"/>
      <c r="I51" s="15"/>
      <c r="J51" s="15"/>
    </row>
    <row r="52" spans="1:11" ht="13">
      <c r="A52" s="13"/>
      <c r="B52" s="44" t="s">
        <v>137</v>
      </c>
      <c r="C52" s="45"/>
      <c r="D52" s="48"/>
      <c r="E52" s="34"/>
      <c r="F52" s="34"/>
      <c r="H52" s="47"/>
      <c r="I52" s="13"/>
      <c r="J52" s="13"/>
      <c r="K52" s="13"/>
    </row>
    <row r="53" spans="1:11" ht="13" outlineLevel="1">
      <c r="A53" s="13"/>
      <c r="B53" s="13" t="s">
        <v>138</v>
      </c>
      <c r="C53" s="45" t="s">
        <v>79</v>
      </c>
      <c r="D53" s="48"/>
      <c r="E53" s="67">
        <f>'Get Started'!E53</f>
        <v>0</v>
      </c>
      <c r="F53" s="67">
        <f>'Get Started'!F53</f>
        <v>0</v>
      </c>
      <c r="G53" s="67">
        <f>'Get Started'!G53</f>
        <v>0</v>
      </c>
      <c r="H53" s="67">
        <f>'Get Started'!H53</f>
        <v>0</v>
      </c>
      <c r="I53" s="13"/>
      <c r="J53" s="13" t="s">
        <v>139</v>
      </c>
      <c r="K53" s="13"/>
    </row>
    <row r="54" spans="1:11" ht="13" outlineLevel="1">
      <c r="A54" s="13"/>
      <c r="B54" s="13" t="s">
        <v>140</v>
      </c>
      <c r="C54" s="45" t="str">
        <f>C$9</f>
        <v>$</v>
      </c>
      <c r="E54" s="28">
        <f>'Get Started'!E54</f>
        <v>400000</v>
      </c>
      <c r="F54" s="28">
        <f>'Get Started'!F54</f>
        <v>400000</v>
      </c>
      <c r="G54" s="28">
        <f>'Get Started'!G54</f>
        <v>400000</v>
      </c>
      <c r="H54" s="28">
        <f>'Get Started'!H54</f>
        <v>400000</v>
      </c>
      <c r="I54" s="13"/>
      <c r="J54" s="13" t="s">
        <v>141</v>
      </c>
      <c r="K54" s="13"/>
    </row>
    <row r="55" spans="1:11" ht="13" outlineLevel="1">
      <c r="A55" s="13"/>
      <c r="B55" s="15" t="s">
        <v>142</v>
      </c>
      <c r="C55" s="45" t="s">
        <v>90</v>
      </c>
      <c r="D55" s="48"/>
      <c r="E55" s="28">
        <f>'Get Started'!E55</f>
        <v>0</v>
      </c>
      <c r="F55" s="28">
        <f>'Get Started'!F55</f>
        <v>0</v>
      </c>
      <c r="G55" s="28">
        <f>'Get Started'!G55</f>
        <v>0</v>
      </c>
      <c r="H55" s="28">
        <f>'Get Started'!H55</f>
        <v>0</v>
      </c>
      <c r="I55" s="13"/>
      <c r="J55" s="13" t="s">
        <v>143</v>
      </c>
      <c r="K55" s="13"/>
    </row>
    <row r="56" spans="1:11" ht="13" outlineLevel="1">
      <c r="A56" s="13"/>
      <c r="B56" s="13" t="s">
        <v>133</v>
      </c>
      <c r="C56" s="45" t="str">
        <f>C$9</f>
        <v>$</v>
      </c>
      <c r="D56" s="48"/>
      <c r="E56" s="28">
        <f>'Get Started'!E56</f>
        <v>20000000</v>
      </c>
      <c r="F56" s="28">
        <f>'Get Started'!F56</f>
        <v>20000000</v>
      </c>
      <c r="G56" s="28">
        <f>'Get Started'!G56</f>
        <v>20000000</v>
      </c>
      <c r="H56" s="28">
        <f>'Get Started'!H56</f>
        <v>20000000</v>
      </c>
      <c r="I56" s="13"/>
      <c r="J56" s="13" t="s">
        <v>144</v>
      </c>
      <c r="K56" s="13"/>
    </row>
    <row r="57" spans="1:11" ht="13" outlineLevel="1">
      <c r="A57" s="13"/>
      <c r="B57" s="15" t="s">
        <v>145</v>
      </c>
      <c r="C57" s="45" t="s">
        <v>79</v>
      </c>
      <c r="D57" s="48"/>
      <c r="E57" s="67">
        <f>'Get Started'!E57</f>
        <v>0.2</v>
      </c>
      <c r="F57" s="67">
        <f>'Get Started'!F57</f>
        <v>0.2</v>
      </c>
      <c r="G57" s="67">
        <f>'Get Started'!G57</f>
        <v>0.2</v>
      </c>
      <c r="H57" s="67">
        <f>'Get Started'!H57</f>
        <v>0.2</v>
      </c>
      <c r="I57" s="13"/>
      <c r="J57" s="13" t="s">
        <v>146</v>
      </c>
      <c r="K57" s="13"/>
    </row>
    <row r="58" spans="1:11" ht="13" outlineLevel="1">
      <c r="A58" s="13"/>
      <c r="B58" s="15" t="s">
        <v>147</v>
      </c>
      <c r="C58" s="45" t="s">
        <v>79</v>
      </c>
      <c r="D58" s="48"/>
      <c r="E58" s="67">
        <f>'Get Started'!E58</f>
        <v>0.1</v>
      </c>
      <c r="F58" s="67">
        <f>'Get Started'!F58</f>
        <v>0.1</v>
      </c>
      <c r="G58" s="67">
        <f>'Get Started'!G58</f>
        <v>0.1</v>
      </c>
      <c r="H58" s="67">
        <f>'Get Started'!H58</f>
        <v>0.1</v>
      </c>
      <c r="I58" s="13"/>
      <c r="J58" s="13" t="s">
        <v>148</v>
      </c>
      <c r="K58" s="13"/>
    </row>
    <row r="59" spans="1:11" ht="13" outlineLevel="1">
      <c r="A59" s="13"/>
      <c r="B59" s="13" t="s">
        <v>149</v>
      </c>
      <c r="C59" s="45" t="s">
        <v>79</v>
      </c>
      <c r="D59" s="48"/>
      <c r="E59" s="50">
        <f t="shared" ref="E59:H59" si="10">E50*(1-E57-E58)+E54/E56</f>
        <v>9.0000000000000011E-2</v>
      </c>
      <c r="F59" s="50">
        <f t="shared" si="10"/>
        <v>9.0000000000000011E-2</v>
      </c>
      <c r="G59" s="50">
        <f t="shared" si="10"/>
        <v>9.0000000000000011E-2</v>
      </c>
      <c r="H59" s="50">
        <f t="shared" si="10"/>
        <v>9.0000000000000011E-2</v>
      </c>
      <c r="I59" s="13"/>
      <c r="J59" s="13"/>
      <c r="K59" s="13"/>
    </row>
    <row r="60" spans="1:11" ht="13" outlineLevel="1">
      <c r="A60" s="13"/>
      <c r="B60" s="13" t="s">
        <v>150</v>
      </c>
      <c r="C60" s="45" t="s">
        <v>79</v>
      </c>
      <c r="D60" s="48"/>
      <c r="E60" s="50">
        <f t="shared" ref="E60:H60" si="11">E50*(1-E57-E58)+E54/E56*E53</f>
        <v>7.0000000000000007E-2</v>
      </c>
      <c r="F60" s="50">
        <f t="shared" si="11"/>
        <v>7.0000000000000007E-2</v>
      </c>
      <c r="G60" s="50">
        <f t="shared" si="11"/>
        <v>7.0000000000000007E-2</v>
      </c>
      <c r="H60" s="50">
        <f t="shared" si="11"/>
        <v>7.0000000000000007E-2</v>
      </c>
      <c r="I60" s="13"/>
      <c r="J60" s="13" t="s">
        <v>151</v>
      </c>
      <c r="K60" s="13"/>
    </row>
    <row r="61" spans="1:11" ht="13" outlineLevel="1">
      <c r="A61" s="13"/>
      <c r="B61" s="13"/>
      <c r="C61" s="45"/>
      <c r="D61" s="48"/>
      <c r="E61" s="34"/>
      <c r="F61" s="34"/>
      <c r="H61" s="47"/>
      <c r="I61" s="13"/>
      <c r="J61" s="13"/>
      <c r="K61" s="13"/>
    </row>
    <row r="62" spans="1:11" ht="13">
      <c r="A62" s="13"/>
      <c r="B62" s="44" t="s">
        <v>152</v>
      </c>
      <c r="C62" s="45"/>
      <c r="D62" s="48"/>
      <c r="E62" s="34"/>
      <c r="F62" s="34"/>
      <c r="H62" s="47"/>
      <c r="I62" s="13"/>
      <c r="J62" s="13"/>
      <c r="K62" s="13"/>
    </row>
    <row r="63" spans="1:11" ht="13" outlineLevel="1">
      <c r="A63" s="13"/>
      <c r="B63" s="13" t="s">
        <v>138</v>
      </c>
      <c r="C63" s="45" t="s">
        <v>79</v>
      </c>
      <c r="D63" s="48"/>
      <c r="E63" s="67">
        <f>'Get Started'!E63</f>
        <v>0</v>
      </c>
      <c r="F63" s="67">
        <f>'Get Started'!F63</f>
        <v>0</v>
      </c>
      <c r="G63" s="67">
        <f>'Get Started'!G63</f>
        <v>0</v>
      </c>
      <c r="H63" s="67">
        <f>'Get Started'!H63</f>
        <v>0</v>
      </c>
      <c r="I63" s="13"/>
      <c r="J63" s="13" t="s">
        <v>139</v>
      </c>
      <c r="K63" s="13"/>
    </row>
    <row r="64" spans="1:11" ht="13" outlineLevel="1">
      <c r="A64" s="13"/>
      <c r="B64" s="13" t="s">
        <v>153</v>
      </c>
      <c r="C64" s="45" t="str">
        <f>C$9</f>
        <v>$</v>
      </c>
      <c r="E64" s="28">
        <f>'Get Started'!E64</f>
        <v>1080000.0000000002</v>
      </c>
      <c r="F64" s="28">
        <f>'Get Started'!F64</f>
        <v>1080000.0000000002</v>
      </c>
      <c r="G64" s="28">
        <f>'Get Started'!G64</f>
        <v>1080000.0000000002</v>
      </c>
      <c r="H64" s="28">
        <f>'Get Started'!H64</f>
        <v>1080000.0000000002</v>
      </c>
      <c r="I64" s="13"/>
      <c r="J64" s="13" t="s">
        <v>141</v>
      </c>
      <c r="K64" s="13"/>
    </row>
    <row r="65" spans="1:11" ht="13" outlineLevel="1">
      <c r="A65" s="13"/>
      <c r="B65" s="15" t="s">
        <v>142</v>
      </c>
      <c r="C65" s="45" t="s">
        <v>90</v>
      </c>
      <c r="D65" s="48"/>
      <c r="E65" s="28">
        <f>'Get Started'!E65</f>
        <v>0</v>
      </c>
      <c r="F65" s="28">
        <f>'Get Started'!F65</f>
        <v>0</v>
      </c>
      <c r="G65" s="28">
        <f>'Get Started'!G65</f>
        <v>0</v>
      </c>
      <c r="H65" s="28">
        <f>'Get Started'!H65</f>
        <v>0</v>
      </c>
      <c r="I65" s="13"/>
      <c r="J65" s="13" t="s">
        <v>154</v>
      </c>
      <c r="K65" s="13"/>
    </row>
    <row r="66" spans="1:11" ht="13" outlineLevel="1">
      <c r="A66" s="13"/>
      <c r="B66" s="13" t="s">
        <v>133</v>
      </c>
      <c r="C66" s="45" t="str">
        <f>C$9</f>
        <v>$</v>
      </c>
      <c r="D66" s="48"/>
      <c r="E66" s="28">
        <f>'Get Started'!E66</f>
        <v>60000000</v>
      </c>
      <c r="F66" s="28">
        <f>'Get Started'!F66</f>
        <v>60000000</v>
      </c>
      <c r="G66" s="28">
        <f>'Get Started'!G66</f>
        <v>60000000</v>
      </c>
      <c r="H66" s="28">
        <f>'Get Started'!H66</f>
        <v>60000000</v>
      </c>
      <c r="I66" s="13"/>
      <c r="J66" s="13" t="s">
        <v>144</v>
      </c>
      <c r="K66" s="13"/>
    </row>
    <row r="67" spans="1:11" ht="13" outlineLevel="1">
      <c r="A67" s="13"/>
      <c r="B67" s="15" t="s">
        <v>145</v>
      </c>
      <c r="C67" s="45" t="s">
        <v>79</v>
      </c>
      <c r="D67" s="48"/>
      <c r="E67" s="67">
        <f>'Get Started'!E67</f>
        <v>0.2</v>
      </c>
      <c r="F67" s="67">
        <f>'Get Started'!F67</f>
        <v>0.2</v>
      </c>
      <c r="G67" s="67">
        <f>'Get Started'!G67</f>
        <v>0.2</v>
      </c>
      <c r="H67" s="67">
        <f>'Get Started'!H67</f>
        <v>0.2</v>
      </c>
      <c r="I67" s="13"/>
      <c r="J67" s="13" t="s">
        <v>146</v>
      </c>
      <c r="K67" s="13"/>
    </row>
    <row r="68" spans="1:11" ht="13" outlineLevel="1">
      <c r="A68" s="13"/>
      <c r="B68" s="15" t="s">
        <v>147</v>
      </c>
      <c r="C68" s="45" t="s">
        <v>79</v>
      </c>
      <c r="D68" s="48"/>
      <c r="E68" s="67">
        <f>'Get Started'!E68</f>
        <v>0.1</v>
      </c>
      <c r="F68" s="67">
        <f>'Get Started'!F68</f>
        <v>0.1</v>
      </c>
      <c r="G68" s="67">
        <f>'Get Started'!G68</f>
        <v>0.1</v>
      </c>
      <c r="H68" s="67">
        <f>'Get Started'!H68</f>
        <v>0.1</v>
      </c>
      <c r="I68" s="13"/>
      <c r="J68" s="13" t="s">
        <v>148</v>
      </c>
      <c r="K68" s="13"/>
    </row>
    <row r="69" spans="1:11" ht="13" outlineLevel="1">
      <c r="A69" s="13"/>
      <c r="B69" s="13" t="s">
        <v>149</v>
      </c>
      <c r="C69" s="45" t="s">
        <v>79</v>
      </c>
      <c r="D69" s="48"/>
      <c r="E69" s="50">
        <f t="shared" ref="E69:H69" si="12">E59*(1-E67-E68)+E64/E66</f>
        <v>8.1000000000000016E-2</v>
      </c>
      <c r="F69" s="50">
        <f t="shared" si="12"/>
        <v>8.1000000000000016E-2</v>
      </c>
      <c r="G69" s="50">
        <f t="shared" si="12"/>
        <v>8.1000000000000016E-2</v>
      </c>
      <c r="H69" s="50">
        <f t="shared" si="12"/>
        <v>8.1000000000000016E-2</v>
      </c>
      <c r="I69" s="13"/>
      <c r="J69" s="13"/>
      <c r="K69" s="13"/>
    </row>
    <row r="70" spans="1:11" ht="13" outlineLevel="1">
      <c r="A70" s="13"/>
      <c r="B70" s="13" t="s">
        <v>150</v>
      </c>
      <c r="C70" s="45" t="s">
        <v>79</v>
      </c>
      <c r="D70" s="48"/>
      <c r="E70" s="50">
        <f t="shared" ref="E70:H70" si="13">E59*(1-E67-E68)+E64/E66*E63</f>
        <v>6.3000000000000014E-2</v>
      </c>
      <c r="F70" s="50">
        <f t="shared" si="13"/>
        <v>6.3000000000000014E-2</v>
      </c>
      <c r="G70" s="50">
        <f t="shared" si="13"/>
        <v>6.3000000000000014E-2</v>
      </c>
      <c r="H70" s="50">
        <f t="shared" si="13"/>
        <v>6.3000000000000014E-2</v>
      </c>
      <c r="I70" s="13"/>
      <c r="J70" s="13" t="s">
        <v>151</v>
      </c>
      <c r="K70" s="13"/>
    </row>
    <row r="71" spans="1:11" ht="13" outlineLevel="1">
      <c r="A71" s="13"/>
      <c r="B71" s="13"/>
      <c r="C71" s="45"/>
      <c r="D71" s="48"/>
      <c r="E71" s="34"/>
      <c r="F71" s="34"/>
      <c r="H71" s="47"/>
      <c r="I71" s="13"/>
      <c r="J71" s="13"/>
      <c r="K71" s="13"/>
    </row>
    <row r="72" spans="1:11" ht="13" collapsed="1">
      <c r="A72" s="13"/>
      <c r="B72" s="44" t="s">
        <v>155</v>
      </c>
      <c r="C72" s="45"/>
      <c r="D72" s="48"/>
      <c r="E72" s="34"/>
      <c r="F72" s="34"/>
      <c r="H72" s="47"/>
      <c r="I72" s="13"/>
      <c r="J72" s="13"/>
      <c r="K72" s="13"/>
    </row>
    <row r="73" spans="1:11" ht="13" hidden="1" outlineLevel="1">
      <c r="A73" s="13"/>
      <c r="B73" s="15" t="s">
        <v>156</v>
      </c>
      <c r="C73" s="45" t="s">
        <v>79</v>
      </c>
      <c r="D73" s="34"/>
      <c r="E73" s="46">
        <v>0</v>
      </c>
      <c r="F73" s="46">
        <v>0.2</v>
      </c>
      <c r="G73" s="46">
        <v>0.4</v>
      </c>
      <c r="H73" s="46">
        <f>G73*2</f>
        <v>0.8</v>
      </c>
      <c r="I73" s="13"/>
      <c r="J73" s="13" t="s">
        <v>157</v>
      </c>
      <c r="K73" s="13"/>
    </row>
    <row r="74" spans="1:11" ht="13">
      <c r="A74" s="13" t="s">
        <v>158</v>
      </c>
      <c r="B74" s="15"/>
      <c r="C74" s="45"/>
      <c r="D74" s="48"/>
      <c r="E74" s="34"/>
      <c r="F74" s="34"/>
      <c r="H74" s="47"/>
      <c r="I74" s="13"/>
      <c r="J74" s="13"/>
      <c r="K74" s="13"/>
    </row>
    <row r="75" spans="1:11" ht="13">
      <c r="A75" s="13"/>
      <c r="B75" s="44" t="s">
        <v>159</v>
      </c>
      <c r="C75" s="45"/>
      <c r="D75" s="48"/>
      <c r="E75" s="34"/>
      <c r="F75" s="34"/>
      <c r="H75" s="47"/>
      <c r="I75" s="13"/>
      <c r="J75" s="13"/>
      <c r="K75" s="13"/>
    </row>
    <row r="76" spans="1:11" ht="13">
      <c r="B76" s="13" t="s">
        <v>160</v>
      </c>
      <c r="C76" s="45" t="str">
        <f>C$9</f>
        <v>$</v>
      </c>
      <c r="D76" s="34"/>
      <c r="E76" s="28">
        <f>'Get Started'!E76</f>
        <v>0</v>
      </c>
      <c r="F76" s="28">
        <f>'Get Started'!F76</f>
        <v>50000000</v>
      </c>
      <c r="G76" s="28">
        <f>'Get Started'!G76</f>
        <v>250000000</v>
      </c>
      <c r="H76" s="28">
        <f>'Get Started'!H76*(1+Scenarios!N29)</f>
        <v>1875000000</v>
      </c>
      <c r="I76" s="13"/>
      <c r="J76" s="15" t="s">
        <v>161</v>
      </c>
    </row>
    <row r="77" spans="1:11" ht="13">
      <c r="B77" s="13" t="s">
        <v>162</v>
      </c>
      <c r="C77" s="45" t="s">
        <v>90</v>
      </c>
      <c r="D77" s="48"/>
      <c r="E77" s="28">
        <f>'Get Started'!E77</f>
        <v>8</v>
      </c>
      <c r="F77" s="28">
        <f>'Get Started'!F77</f>
        <v>12</v>
      </c>
      <c r="G77" s="28">
        <f>'Get Started'!G77</f>
        <v>16</v>
      </c>
      <c r="H77" s="28">
        <f>'Get Started'!H77</f>
        <v>24</v>
      </c>
      <c r="I77" s="13"/>
      <c r="J77" s="13" t="s">
        <v>163</v>
      </c>
    </row>
    <row r="78" spans="1:11" ht="13">
      <c r="B78" s="13" t="s">
        <v>164</v>
      </c>
      <c r="C78" s="45" t="str">
        <f>C$9</f>
        <v>$</v>
      </c>
      <c r="D78" s="48"/>
      <c r="E78" s="37">
        <f t="shared" ref="E78:H78" si="14">E48+E54*E53+E63*E64</f>
        <v>500000</v>
      </c>
      <c r="F78" s="37">
        <f t="shared" si="14"/>
        <v>500000</v>
      </c>
      <c r="G78" s="37">
        <f t="shared" si="14"/>
        <v>500000</v>
      </c>
      <c r="H78" s="37">
        <f t="shared" si="14"/>
        <v>500000</v>
      </c>
      <c r="I78" s="13"/>
      <c r="J78" s="13" t="s">
        <v>165</v>
      </c>
    </row>
    <row r="79" spans="1:11" ht="13">
      <c r="B79" s="13" t="s">
        <v>166</v>
      </c>
      <c r="C79" s="45" t="s">
        <v>79</v>
      </c>
      <c r="D79" s="48"/>
      <c r="E79" s="50">
        <f t="shared" ref="E79:H79" si="15">E70*(1-E73)</f>
        <v>6.3000000000000014E-2</v>
      </c>
      <c r="F79" s="50">
        <f t="shared" si="15"/>
        <v>5.0400000000000014E-2</v>
      </c>
      <c r="G79" s="50">
        <f t="shared" si="15"/>
        <v>3.7800000000000007E-2</v>
      </c>
      <c r="H79" s="50">
        <f t="shared" si="15"/>
        <v>1.26E-2</v>
      </c>
      <c r="I79" s="13"/>
      <c r="J79" s="13" t="s">
        <v>167</v>
      </c>
    </row>
    <row r="80" spans="1:11" ht="13">
      <c r="B80" s="13" t="s">
        <v>168</v>
      </c>
      <c r="C80" s="45" t="str">
        <f t="shared" ref="C80:C81" si="16">C$9</f>
        <v>$</v>
      </c>
      <c r="D80" s="34"/>
      <c r="E80" s="37">
        <f t="shared" ref="E80:H80" si="17">E79*E76</f>
        <v>0</v>
      </c>
      <c r="F80" s="37">
        <f t="shared" si="17"/>
        <v>2520000.0000000009</v>
      </c>
      <c r="G80" s="37">
        <f t="shared" si="17"/>
        <v>9450000.0000000019</v>
      </c>
      <c r="H80" s="37">
        <f t="shared" si="17"/>
        <v>23625000</v>
      </c>
      <c r="I80" s="13"/>
      <c r="J80" s="15" t="s">
        <v>169</v>
      </c>
    </row>
    <row r="81" spans="2:10" ht="13">
      <c r="B81" s="13" t="s">
        <v>170</v>
      </c>
      <c r="C81" s="45" t="str">
        <f t="shared" si="16"/>
        <v>$</v>
      </c>
      <c r="D81" s="34"/>
      <c r="E81" s="37">
        <f t="shared" ref="E81:H81" ca="1" si="18">E39*E48</f>
        <v>11362847.222222222</v>
      </c>
      <c r="F81" s="37">
        <f t="shared" ca="1" si="18"/>
        <v>3342013.888888889</v>
      </c>
      <c r="G81" s="37">
        <f t="shared" ca="1" si="18"/>
        <v>1336805.5555555557</v>
      </c>
      <c r="H81" s="37">
        <f t="shared" ca="1" si="18"/>
        <v>4010416.6666666651</v>
      </c>
      <c r="I81" s="13"/>
      <c r="J81" s="15" t="s">
        <v>171</v>
      </c>
    </row>
    <row r="82" spans="2:10" ht="13">
      <c r="B82" s="15" t="str">
        <f>"% of "&amp;B$89</f>
        <v>% of Total Invested Capital</v>
      </c>
      <c r="C82" s="45" t="s">
        <v>79</v>
      </c>
      <c r="D82" s="34"/>
      <c r="E82" s="47">
        <f t="shared" ref="E82:H82" si="19">E43</f>
        <v>0.56666666666666665</v>
      </c>
      <c r="F82" s="47">
        <f t="shared" si="19"/>
        <v>0.16666666666666669</v>
      </c>
      <c r="G82" s="47">
        <f t="shared" si="19"/>
        <v>6.666666666666668E-2</v>
      </c>
      <c r="H82" s="47">
        <f t="shared" si="19"/>
        <v>0.19999999999999996</v>
      </c>
      <c r="I82" s="13"/>
      <c r="J82" s="15" t="s">
        <v>172</v>
      </c>
    </row>
    <row r="83" spans="2:10" ht="13">
      <c r="B83" s="13" t="s">
        <v>173</v>
      </c>
      <c r="C83" s="45" t="str">
        <f>C$9</f>
        <v>$</v>
      </c>
      <c r="D83" s="34"/>
      <c r="E83" s="37">
        <f t="shared" ref="E83:H83" ca="1" si="20">E39*E53*E54</f>
        <v>0</v>
      </c>
      <c r="F83" s="37">
        <f t="shared" ca="1" si="20"/>
        <v>0</v>
      </c>
      <c r="G83" s="37">
        <f t="shared" ca="1" si="20"/>
        <v>0</v>
      </c>
      <c r="H83" s="37">
        <f t="shared" ca="1" si="20"/>
        <v>0</v>
      </c>
      <c r="I83" s="13"/>
      <c r="J83" s="15" t="s">
        <v>174</v>
      </c>
    </row>
    <row r="84" spans="2:10" ht="13">
      <c r="B84" s="15" t="str">
        <f>"% of "&amp;B$89</f>
        <v>% of Total Invested Capital</v>
      </c>
      <c r="C84" s="45" t="s">
        <v>79</v>
      </c>
      <c r="D84" s="34"/>
      <c r="E84" s="47">
        <f t="shared" ref="E84:H84" si="21">E44</f>
        <v>0</v>
      </c>
      <c r="F84" s="47">
        <f t="shared" si="21"/>
        <v>0</v>
      </c>
      <c r="G84" s="47">
        <f t="shared" si="21"/>
        <v>0</v>
      </c>
      <c r="H84" s="47">
        <f t="shared" si="21"/>
        <v>0</v>
      </c>
      <c r="I84" s="13"/>
      <c r="J84" s="15" t="s">
        <v>172</v>
      </c>
    </row>
    <row r="85" spans="2:10" ht="13">
      <c r="B85" s="13" t="s">
        <v>175</v>
      </c>
      <c r="C85" s="45" t="str">
        <f>C$9</f>
        <v>$</v>
      </c>
      <c r="D85" s="34"/>
      <c r="E85" s="37">
        <f t="shared" ref="E85:H85" ca="1" si="22">E39*E63*E64</f>
        <v>0</v>
      </c>
      <c r="F85" s="37">
        <f t="shared" ca="1" si="22"/>
        <v>0</v>
      </c>
      <c r="G85" s="37">
        <f t="shared" ca="1" si="22"/>
        <v>0</v>
      </c>
      <c r="H85" s="37">
        <f t="shared" ca="1" si="22"/>
        <v>0</v>
      </c>
      <c r="I85" s="13"/>
      <c r="J85" s="15" t="s">
        <v>176</v>
      </c>
    </row>
    <row r="86" spans="2:10" ht="13">
      <c r="B86" s="15" t="str">
        <f>"% of "&amp;B$89</f>
        <v>% of Total Invested Capital</v>
      </c>
      <c r="C86" s="45" t="s">
        <v>79</v>
      </c>
      <c r="D86" s="34"/>
      <c r="E86" s="47">
        <f t="shared" ref="E86:H86" si="23">E45</f>
        <v>0</v>
      </c>
      <c r="F86" s="47">
        <f t="shared" si="23"/>
        <v>0</v>
      </c>
      <c r="G86" s="47">
        <f t="shared" si="23"/>
        <v>0</v>
      </c>
      <c r="H86" s="47">
        <f t="shared" si="23"/>
        <v>0</v>
      </c>
      <c r="I86" s="13"/>
      <c r="J86" s="15" t="s">
        <v>172</v>
      </c>
    </row>
    <row r="87" spans="2:10" ht="13">
      <c r="B87" s="13" t="s">
        <v>177</v>
      </c>
      <c r="C87" s="45" t="str">
        <f>C$9</f>
        <v>$</v>
      </c>
      <c r="D87" s="34"/>
      <c r="E87" s="37">
        <f t="shared" ref="E87:H87" ca="1" si="24">E83+E85</f>
        <v>0</v>
      </c>
      <c r="F87" s="37">
        <f t="shared" ca="1" si="24"/>
        <v>0</v>
      </c>
      <c r="G87" s="37">
        <f t="shared" ca="1" si="24"/>
        <v>0</v>
      </c>
      <c r="H87" s="37">
        <f t="shared" ca="1" si="24"/>
        <v>0</v>
      </c>
      <c r="I87" s="13"/>
      <c r="J87" s="15" t="s">
        <v>178</v>
      </c>
    </row>
    <row r="88" spans="2:10" ht="13">
      <c r="B88" s="15" t="str">
        <f>"% of "&amp;B$89</f>
        <v>% of Total Invested Capital</v>
      </c>
      <c r="C88" s="45" t="s">
        <v>79</v>
      </c>
      <c r="D88" s="34"/>
      <c r="E88" s="47">
        <f t="shared" ref="E88:H88" ca="1" si="25">IFERROR(E87/SUM($E$89:$H$89),0)</f>
        <v>0</v>
      </c>
      <c r="F88" s="47">
        <f t="shared" ca="1" si="25"/>
        <v>0</v>
      </c>
      <c r="G88" s="47">
        <f t="shared" ca="1" si="25"/>
        <v>0</v>
      </c>
      <c r="H88" s="47">
        <f t="shared" ca="1" si="25"/>
        <v>0</v>
      </c>
      <c r="I88" s="13"/>
      <c r="J88" s="15" t="s">
        <v>172</v>
      </c>
    </row>
    <row r="89" spans="2:10" ht="13">
      <c r="B89" s="13" t="s">
        <v>179</v>
      </c>
      <c r="C89" s="45" t="str">
        <f>C$9</f>
        <v>$</v>
      </c>
      <c r="D89" s="34"/>
      <c r="E89" s="37">
        <f t="shared" ref="E89:H89" ca="1" si="26">E81+E87</f>
        <v>11362847.222222222</v>
      </c>
      <c r="F89" s="37">
        <f t="shared" ca="1" si="26"/>
        <v>3342013.888888889</v>
      </c>
      <c r="G89" s="37">
        <f t="shared" ca="1" si="26"/>
        <v>1336805.5555555557</v>
      </c>
      <c r="H89" s="37">
        <f t="shared" ca="1" si="26"/>
        <v>4010416.6666666651</v>
      </c>
      <c r="I89" s="13"/>
      <c r="J89" s="15" t="s">
        <v>180</v>
      </c>
    </row>
    <row r="90" spans="2:10" ht="13">
      <c r="B90" s="15" t="str">
        <f>"% of "&amp;B$89</f>
        <v>% of Total Invested Capital</v>
      </c>
      <c r="C90" s="45" t="s">
        <v>79</v>
      </c>
      <c r="D90" s="34"/>
      <c r="E90" s="47">
        <f t="shared" ref="E90:H90" ca="1" si="27">IFERROR(E89/SUM($E$89:$H$89),0)</f>
        <v>0.56666666666666665</v>
      </c>
      <c r="F90" s="47">
        <f t="shared" ca="1" si="27"/>
        <v>0.16666666666666669</v>
      </c>
      <c r="G90" s="47">
        <f t="shared" ca="1" si="27"/>
        <v>6.666666666666668E-2</v>
      </c>
      <c r="H90" s="47">
        <f t="shared" ca="1" si="27"/>
        <v>0.19999999999999993</v>
      </c>
      <c r="I90" s="13"/>
      <c r="J90" s="15" t="s">
        <v>181</v>
      </c>
    </row>
    <row r="91" spans="2:10" ht="13">
      <c r="B91" s="13" t="s">
        <v>182</v>
      </c>
      <c r="C91" s="45" t="str">
        <f>C$9</f>
        <v>$</v>
      </c>
      <c r="D91" s="34"/>
      <c r="E91" s="37">
        <f t="shared" ref="E91:H91" ca="1" si="28">E79*E76*E39</f>
        <v>0</v>
      </c>
      <c r="F91" s="37">
        <f t="shared" ca="1" si="28"/>
        <v>16843750.000000007</v>
      </c>
      <c r="G91" s="37">
        <f t="shared" ca="1" si="28"/>
        <v>25265625.000000011</v>
      </c>
      <c r="H91" s="37">
        <f t="shared" ca="1" si="28"/>
        <v>189492187.49999994</v>
      </c>
      <c r="I91" s="13"/>
      <c r="J91" s="15" t="s">
        <v>183</v>
      </c>
    </row>
    <row r="92" spans="2:10" ht="13">
      <c r="B92" s="15" t="str">
        <f>"% of "&amp;B91</f>
        <v>% of Total Proceeds</v>
      </c>
      <c r="C92" s="45" t="s">
        <v>79</v>
      </c>
      <c r="D92" s="34"/>
      <c r="E92" s="47">
        <f t="shared" ref="E92:H92" ca="1" si="29">IFERROR(E91/SUM($E91:$H91),0)</f>
        <v>0</v>
      </c>
      <c r="F92" s="47">
        <f t="shared" ca="1" si="29"/>
        <v>7.2727272727272779E-2</v>
      </c>
      <c r="G92" s="47">
        <f t="shared" ca="1" si="29"/>
        <v>0.10909090909090917</v>
      </c>
      <c r="H92" s="47">
        <f t="shared" ca="1" si="29"/>
        <v>0.81818181818181812</v>
      </c>
      <c r="I92" s="13"/>
      <c r="J92" s="15" t="s">
        <v>172</v>
      </c>
    </row>
    <row r="93" spans="2:10" ht="13">
      <c r="B93" s="13" t="s">
        <v>184</v>
      </c>
      <c r="C93" s="45" t="s">
        <v>90</v>
      </c>
      <c r="D93" s="34"/>
      <c r="E93" s="52">
        <f t="shared" ref="E93:H93" si="30">IFERROR(E80/E78,0)</f>
        <v>0</v>
      </c>
      <c r="F93" s="52">
        <f t="shared" si="30"/>
        <v>5.0400000000000018</v>
      </c>
      <c r="G93" s="52">
        <f t="shared" si="30"/>
        <v>18.900000000000002</v>
      </c>
      <c r="H93" s="52">
        <f t="shared" si="30"/>
        <v>47.25</v>
      </c>
      <c r="I93" s="15"/>
      <c r="J93" s="15" t="s">
        <v>185</v>
      </c>
    </row>
    <row r="94" spans="2:10" ht="13">
      <c r="B94" s="13"/>
      <c r="C94" s="34"/>
      <c r="D94" s="34"/>
      <c r="E94" s="34"/>
      <c r="F94" s="34"/>
      <c r="I94" s="15"/>
      <c r="J94" s="15"/>
    </row>
    <row r="95" spans="2:10" ht="13">
      <c r="B95" s="13"/>
      <c r="C95" s="34"/>
      <c r="D95" s="34"/>
      <c r="E95" s="15"/>
      <c r="F95" s="15"/>
      <c r="G95" s="15"/>
      <c r="H95" s="15"/>
      <c r="I95" s="15"/>
      <c r="J95" s="15"/>
    </row>
    <row r="96" spans="2:10" ht="16">
      <c r="B96" s="21" t="s">
        <v>186</v>
      </c>
      <c r="C96" s="34"/>
      <c r="D96" s="34"/>
      <c r="E96" s="15"/>
      <c r="F96" s="15"/>
      <c r="G96" s="15"/>
      <c r="H96" s="15"/>
      <c r="I96" s="15"/>
      <c r="J96" s="15"/>
    </row>
    <row r="97" spans="2:11" ht="13">
      <c r="B97" s="20" t="s">
        <v>187</v>
      </c>
      <c r="C97" s="34"/>
      <c r="D97" s="54"/>
      <c r="E97" s="15"/>
      <c r="F97" s="15"/>
      <c r="G97" s="15"/>
      <c r="H97" s="15"/>
      <c r="I97" s="15"/>
      <c r="J97" s="15"/>
      <c r="K97" s="15"/>
    </row>
    <row r="98" spans="2:11" ht="13">
      <c r="B98" s="15"/>
      <c r="C98" s="19"/>
      <c r="D98" s="54"/>
      <c r="E98" s="35"/>
      <c r="I98" s="15"/>
      <c r="J98" s="15"/>
      <c r="K98" s="15"/>
    </row>
    <row r="99" spans="2:11" ht="13">
      <c r="B99" s="22" t="s">
        <v>71</v>
      </c>
      <c r="C99" s="23" t="s">
        <v>72</v>
      </c>
      <c r="D99" s="55"/>
      <c r="E99" s="55" t="s">
        <v>188</v>
      </c>
      <c r="F99" s="55" t="s">
        <v>189</v>
      </c>
      <c r="I99" s="15"/>
      <c r="J99" s="15"/>
      <c r="K99" s="15"/>
    </row>
    <row r="100" spans="2:11" ht="13">
      <c r="B100" s="15" t="s">
        <v>190</v>
      </c>
      <c r="C100" s="19" t="s">
        <v>79</v>
      </c>
      <c r="D100" s="56"/>
      <c r="E100" s="35">
        <f>IFERROR(SUMPRODUCT(E38:H38,E48:H48)/SUMPRODUCT(E38:H38,E78:H78),0)</f>
        <v>1</v>
      </c>
      <c r="F100" s="35">
        <f>1-E100</f>
        <v>0</v>
      </c>
      <c r="I100" s="15"/>
      <c r="J100" s="15"/>
      <c r="K100" s="15" t="s">
        <v>191</v>
      </c>
    </row>
    <row r="101" spans="2:11" ht="13">
      <c r="B101" s="15" t="s">
        <v>192</v>
      </c>
      <c r="C101" s="32" t="str">
        <f>C$9</f>
        <v>$</v>
      </c>
      <c r="D101" s="33"/>
      <c r="E101" s="37">
        <f>SUMPRODUCT(E38:H38,E48:H48)</f>
        <v>500000</v>
      </c>
      <c r="F101" s="37">
        <f ca="1">IFERROR(F100*$E122/F102,0)</f>
        <v>0</v>
      </c>
      <c r="I101" s="15"/>
      <c r="J101" s="15"/>
      <c r="K101" s="57" t="s">
        <v>341</v>
      </c>
    </row>
    <row r="102" spans="2:11" ht="13">
      <c r="B102" s="15" t="s">
        <v>194</v>
      </c>
      <c r="C102" s="19" t="s">
        <v>90</v>
      </c>
      <c r="D102" s="58"/>
      <c r="E102" s="37">
        <f ca="1">F113</f>
        <v>40.104166666666664</v>
      </c>
      <c r="F102" s="37">
        <f ca="1">SUMPRODUCT(E39:H39,E63:H63)+SUMPRODUCT(E39:H39,E53:H53)</f>
        <v>0</v>
      </c>
      <c r="I102" s="15"/>
      <c r="J102" s="15"/>
      <c r="K102" s="15" t="s">
        <v>195</v>
      </c>
    </row>
    <row r="103" spans="2:11" ht="16">
      <c r="B103" s="21"/>
    </row>
    <row r="104" spans="2:11" ht="16">
      <c r="B104" s="21"/>
      <c r="C104" s="19"/>
    </row>
    <row r="105" spans="2:11" ht="16">
      <c r="B105" s="21" t="s">
        <v>196</v>
      </c>
      <c r="C105" s="19"/>
    </row>
    <row r="106" spans="2:11" ht="13">
      <c r="B106" s="20" t="s">
        <v>197</v>
      </c>
      <c r="C106" s="19"/>
      <c r="D106" s="15"/>
      <c r="E106" s="15"/>
      <c r="F106" s="15"/>
      <c r="G106" s="15"/>
    </row>
    <row r="107" spans="2:11" ht="13">
      <c r="B107" s="15"/>
      <c r="C107" s="19"/>
      <c r="D107" s="15"/>
      <c r="F107" s="15"/>
      <c r="G107" s="15"/>
    </row>
    <row r="108" spans="2:11" ht="13">
      <c r="B108" s="22" t="s">
        <v>198</v>
      </c>
      <c r="C108" s="23" t="s">
        <v>72</v>
      </c>
      <c r="D108" s="22"/>
      <c r="E108" s="22" t="s">
        <v>199</v>
      </c>
      <c r="F108" s="22" t="s">
        <v>200</v>
      </c>
      <c r="G108" s="22" t="s">
        <v>201</v>
      </c>
      <c r="H108" s="22" t="s">
        <v>162</v>
      </c>
      <c r="K108" s="15" t="s">
        <v>202</v>
      </c>
    </row>
    <row r="109" spans="2:11" ht="13">
      <c r="B109" s="29" t="str">
        <f>E35</f>
        <v>Fail</v>
      </c>
      <c r="C109" s="19" t="s">
        <v>203</v>
      </c>
      <c r="D109" s="56"/>
      <c r="E109" s="35">
        <f>E38</f>
        <v>0.56666666666666665</v>
      </c>
      <c r="F109" s="58">
        <f ca="1">E39</f>
        <v>22.725694444444443</v>
      </c>
      <c r="G109" s="53">
        <f>E93</f>
        <v>0</v>
      </c>
      <c r="H109" s="58">
        <f>E77</f>
        <v>8</v>
      </c>
      <c r="K109" s="15" t="s">
        <v>204</v>
      </c>
    </row>
    <row r="110" spans="2:11" ht="13">
      <c r="B110" s="29" t="str">
        <f>F35</f>
        <v>Low</v>
      </c>
      <c r="C110" s="19" t="s">
        <v>203</v>
      </c>
      <c r="D110" s="56"/>
      <c r="E110" s="35">
        <f>F38</f>
        <v>0.16666666666666669</v>
      </c>
      <c r="F110" s="58">
        <f ca="1">F39</f>
        <v>6.6840277777777777</v>
      </c>
      <c r="G110" s="53">
        <f>F93</f>
        <v>5.0400000000000018</v>
      </c>
      <c r="H110" s="58">
        <f>F77</f>
        <v>12</v>
      </c>
      <c r="K110" s="57" t="s">
        <v>342</v>
      </c>
    </row>
    <row r="111" spans="2:11" ht="13">
      <c r="B111" s="29" t="str">
        <f>G35</f>
        <v>Medium</v>
      </c>
      <c r="C111" s="19" t="s">
        <v>203</v>
      </c>
      <c r="D111" s="56"/>
      <c r="E111" s="35">
        <f>G38</f>
        <v>6.666666666666668E-2</v>
      </c>
      <c r="F111" s="58">
        <f ca="1">G39</f>
        <v>2.6736111111111116</v>
      </c>
      <c r="G111" s="53">
        <f>G93</f>
        <v>18.900000000000002</v>
      </c>
      <c r="H111" s="58">
        <f>G77</f>
        <v>16</v>
      </c>
    </row>
    <row r="112" spans="2:11" ht="13">
      <c r="B112" s="29" t="str">
        <f>H35</f>
        <v>High</v>
      </c>
      <c r="C112" s="19" t="s">
        <v>203</v>
      </c>
      <c r="D112" s="35"/>
      <c r="E112" s="35">
        <f>H38</f>
        <v>0.19999999999999996</v>
      </c>
      <c r="F112" s="58">
        <f ca="1">H39</f>
        <v>8.0208333333333304</v>
      </c>
      <c r="G112" s="53">
        <f>H93</f>
        <v>47.25</v>
      </c>
      <c r="H112" s="58">
        <f>H77</f>
        <v>24</v>
      </c>
      <c r="K112" s="15" t="s">
        <v>232</v>
      </c>
    </row>
    <row r="113" spans="2:11" ht="13">
      <c r="B113" s="15"/>
      <c r="C113" s="19"/>
      <c r="D113" s="35"/>
      <c r="E113" s="59">
        <f t="shared" ref="E113:F113" si="31">SUM(E109:E112)</f>
        <v>1</v>
      </c>
      <c r="F113" s="60">
        <f t="shared" ca="1" si="31"/>
        <v>40.104166666666664</v>
      </c>
      <c r="G113" s="61">
        <f>SUMPRODUCT(E93:H93,E42:H42)</f>
        <v>11.549999999999999</v>
      </c>
      <c r="H113" s="61">
        <f>SUMPRODUCT(E42:H42,E77:H77)</f>
        <v>12.399999999999999</v>
      </c>
      <c r="K113" s="15" t="s">
        <v>205</v>
      </c>
    </row>
    <row r="114" spans="2:11" ht="16">
      <c r="B114" s="21"/>
      <c r="C114" s="19"/>
    </row>
    <row r="115" spans="2:11" ht="16">
      <c r="B115" s="21" t="s">
        <v>207</v>
      </c>
      <c r="C115" s="19"/>
    </row>
    <row r="116" spans="2:11" ht="13">
      <c r="B116" s="20" t="s">
        <v>208</v>
      </c>
      <c r="C116" s="19"/>
      <c r="D116" s="29"/>
      <c r="E116" s="29"/>
    </row>
    <row r="117" spans="2:11" ht="13">
      <c r="B117" s="15"/>
      <c r="C117" s="19"/>
      <c r="D117" s="29"/>
      <c r="E117" s="29"/>
    </row>
    <row r="118" spans="2:11" ht="13">
      <c r="B118" s="15" t="s">
        <v>209</v>
      </c>
      <c r="C118" s="32" t="str">
        <f t="shared" ref="C118:C125" si="32">C$9</f>
        <v>$</v>
      </c>
      <c r="D118" s="37"/>
      <c r="E118" s="37">
        <f ca="1">'Forecast  3'!E31</f>
        <v>25000000</v>
      </c>
      <c r="K118" s="13" t="s">
        <v>210</v>
      </c>
    </row>
    <row r="119" spans="2:11" ht="13">
      <c r="B119" s="15" t="s">
        <v>211</v>
      </c>
      <c r="C119" s="32" t="str">
        <f t="shared" si="32"/>
        <v>$</v>
      </c>
      <c r="D119" s="37"/>
      <c r="E119" s="37">
        <f>'Forecast  3'!E41+'Forecast  3'!E40+'Forecast  3'!E39</f>
        <v>5750000</v>
      </c>
      <c r="G119" s="29"/>
      <c r="K119" s="13" t="s">
        <v>212</v>
      </c>
    </row>
    <row r="120" spans="2:11" ht="13">
      <c r="B120" s="15" t="str">
        <f>"Budgeted "&amp;B122</f>
        <v>Budgeted Invested Capital</v>
      </c>
      <c r="C120" s="32" t="str">
        <f t="shared" si="32"/>
        <v>$</v>
      </c>
      <c r="D120" s="37"/>
      <c r="E120" s="37">
        <f>IF(SUMPRODUCT(--('Forecast  3'!G15:CH15&lt;&gt;"committed"))=0,F9-F11-F12-F13,F9-F11-F12-F9*(IF('Forecast  3'!C17=TRUE,(1-E10),1)*SUMPRODUCT('Forecast  3'!G14:CH14,--('Forecast  3'!G15:CH15="committed"))))+IF(E29="new and follow investments",F9*'Forecast  3'!E219,0)</f>
        <v>19250000</v>
      </c>
      <c r="F120" s="62"/>
      <c r="K120" s="13" t="s">
        <v>213</v>
      </c>
    </row>
    <row r="121" spans="2:11" ht="13">
      <c r="B121" s="15" t="s">
        <v>214</v>
      </c>
      <c r="C121" s="32" t="str">
        <f t="shared" si="32"/>
        <v>$</v>
      </c>
      <c r="D121" s="37"/>
      <c r="E121" s="37">
        <f ca="1">'Forecast  3'!E42</f>
        <v>802083.33333333337</v>
      </c>
      <c r="K121" s="13" t="s">
        <v>215</v>
      </c>
    </row>
    <row r="122" spans="2:11" ht="13">
      <c r="B122" s="15" t="s">
        <v>216</v>
      </c>
      <c r="C122" s="32" t="str">
        <f t="shared" si="32"/>
        <v>$</v>
      </c>
      <c r="D122" s="37"/>
      <c r="E122" s="37">
        <f ca="1">E120+E121</f>
        <v>20052083.333333332</v>
      </c>
      <c r="K122" s="13" t="s">
        <v>217</v>
      </c>
    </row>
    <row r="123" spans="2:11" ht="13">
      <c r="B123" s="15" t="s">
        <v>218</v>
      </c>
      <c r="C123" s="32" t="str">
        <f t="shared" si="32"/>
        <v>$</v>
      </c>
      <c r="D123" s="37"/>
      <c r="E123" s="37">
        <f ca="1">'Forecast  3'!E43</f>
        <v>231601562.5</v>
      </c>
      <c r="K123" s="15" t="s">
        <v>219</v>
      </c>
    </row>
    <row r="124" spans="2:11" ht="13">
      <c r="B124" s="15" t="s">
        <v>220</v>
      </c>
      <c r="C124" s="32" t="str">
        <f t="shared" si="32"/>
        <v>$</v>
      </c>
      <c r="D124" s="37"/>
      <c r="E124" s="37">
        <f ca="1">'Forecast  3'!E194</f>
        <v>41159895.833333328</v>
      </c>
      <c r="K124" s="15" t="s">
        <v>219</v>
      </c>
    </row>
    <row r="125" spans="2:11" ht="13">
      <c r="B125" s="15" t="s">
        <v>221</v>
      </c>
      <c r="C125" s="32" t="str">
        <f t="shared" si="32"/>
        <v>$</v>
      </c>
      <c r="D125" s="37"/>
      <c r="E125" s="37">
        <f ca="1">'Forecast  3'!E47</f>
        <v>189639583.33333331</v>
      </c>
      <c r="K125" s="15" t="s">
        <v>219</v>
      </c>
    </row>
    <row r="126" spans="2:11" ht="13">
      <c r="B126" s="15"/>
      <c r="C126" s="19"/>
      <c r="D126" s="13"/>
      <c r="E126" s="13"/>
    </row>
    <row r="127" spans="2:11" ht="13">
      <c r="B127" s="15" t="s">
        <v>222</v>
      </c>
      <c r="C127" s="19" t="s">
        <v>90</v>
      </c>
      <c r="D127" s="63"/>
      <c r="E127" s="63">
        <f ca="1">'Forecast  3'!E97</f>
        <v>11.55</v>
      </c>
      <c r="G127" s="35"/>
      <c r="I127" s="15"/>
      <c r="J127" s="15"/>
      <c r="K127" s="15" t="s">
        <v>223</v>
      </c>
    </row>
    <row r="128" spans="2:11" ht="13">
      <c r="B128" s="15" t="s">
        <v>224</v>
      </c>
      <c r="C128" s="19" t="s">
        <v>90</v>
      </c>
      <c r="D128" s="63"/>
      <c r="E128" s="63">
        <f ca="1">'Forecast  3'!E101</f>
        <v>7.5855833333333322</v>
      </c>
      <c r="I128" s="15"/>
      <c r="J128" s="15"/>
      <c r="K128" s="15" t="s">
        <v>225</v>
      </c>
    </row>
    <row r="129" spans="2:11" ht="13">
      <c r="B129" s="15" t="s">
        <v>226</v>
      </c>
      <c r="C129" s="19" t="s">
        <v>79</v>
      </c>
      <c r="D129" s="64"/>
      <c r="E129" s="64">
        <f ca="1">'Forecast  3'!E98</f>
        <v>0.586562043428421</v>
      </c>
      <c r="I129" s="15"/>
      <c r="J129" s="15"/>
      <c r="K129" s="15" t="s">
        <v>227</v>
      </c>
    </row>
    <row r="130" spans="2:11" ht="13">
      <c r="B130" s="15" t="s">
        <v>228</v>
      </c>
      <c r="C130" s="19" t="s">
        <v>79</v>
      </c>
      <c r="D130" s="64"/>
      <c r="E130" s="64">
        <f ca="1">'Forecast  3'!E102</f>
        <v>0.49478165507316596</v>
      </c>
      <c r="I130" s="15"/>
      <c r="J130" s="15"/>
      <c r="K130" s="15" t="s">
        <v>227</v>
      </c>
    </row>
    <row r="131" spans="2:11" ht="13">
      <c r="B131" s="13" t="s">
        <v>229</v>
      </c>
      <c r="C131" s="65" t="s">
        <v>79</v>
      </c>
      <c r="D131" s="64"/>
      <c r="E131" s="64">
        <f ca="1">'Forecast  3'!E93</f>
        <v>0.73478333333333312</v>
      </c>
    </row>
    <row r="132" spans="2:11" ht="13">
      <c r="B132" s="15"/>
      <c r="C132" s="19"/>
    </row>
  </sheetData>
  <dataValidations count="3">
    <dataValidation type="list" allowBlank="1" showErrorMessage="1" sqref="E28" xr:uid="{00000000-0002-0000-0500-000000000000}">
      <formula1>"invested capital,invested capital plus cost basis,all proceeds"</formula1>
    </dataValidation>
    <dataValidation type="list" allowBlank="1" showErrorMessage="1" sqref="E29" xr:uid="{00000000-0002-0000-0500-000001000000}">
      <formula1>"new investments,new and follow investments"</formula1>
    </dataValidation>
    <dataValidation type="list" allowBlank="1" showErrorMessage="1" sqref="E26" xr:uid="{00000000-0002-0000-0500-000002000000}">
      <formula1>"management fees,committed capital"</formula1>
    </dataValidation>
  </dataValidations>
  <hyperlinks>
    <hyperlink ref="K101" location="null!A1" display="Follow ons are assumed to be on average 1-2 years after the new investment. If more detailed required, consider the Venture Investor Model (see Model Comparison sheet)" xr:uid="{00000000-0004-0000-0500-000000000000}"/>
    <hyperlink ref="K110" r:id="rId1"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H269"/>
  <sheetViews>
    <sheetView showGridLines="0" workbookViewId="0"/>
  </sheetViews>
  <sheetFormatPr baseColWidth="10" defaultColWidth="12.6640625" defaultRowHeight="15.75" customHeight="1" outlineLevelRow="1"/>
  <cols>
    <col min="1" max="1" width="4.33203125" customWidth="1"/>
    <col min="2" max="2" width="27" customWidth="1"/>
    <col min="3" max="3" width="12.5" customWidth="1"/>
    <col min="4" max="4" width="10.33203125" customWidth="1"/>
    <col min="5" max="5" width="11" customWidth="1"/>
    <col min="6" max="6" width="5.1640625" customWidth="1"/>
  </cols>
  <sheetData>
    <row r="1" spans="1:86" ht="13">
      <c r="A1" s="1"/>
      <c r="B1" s="68"/>
    </row>
    <row r="2" spans="1:86" ht="18">
      <c r="B2" s="2" t="s">
        <v>233</v>
      </c>
    </row>
    <row r="4" spans="1:86" ht="13">
      <c r="A4" s="15"/>
      <c r="B4" s="22" t="s">
        <v>234</v>
      </c>
      <c r="C4" s="69"/>
      <c r="D4" s="70"/>
      <c r="E4" s="70"/>
      <c r="F4" s="71"/>
      <c r="G4" s="72">
        <f>1</f>
        <v>1</v>
      </c>
      <c r="H4" s="72">
        <f t="shared" ref="H4:CH4" si="0">G4+1</f>
        <v>2</v>
      </c>
      <c r="I4" s="72">
        <f t="shared" si="0"/>
        <v>3</v>
      </c>
      <c r="J4" s="72">
        <f t="shared" si="0"/>
        <v>4</v>
      </c>
      <c r="K4" s="72">
        <f t="shared" si="0"/>
        <v>5</v>
      </c>
      <c r="L4" s="72">
        <f t="shared" si="0"/>
        <v>6</v>
      </c>
      <c r="M4" s="72">
        <f t="shared" si="0"/>
        <v>7</v>
      </c>
      <c r="N4" s="72">
        <f t="shared" si="0"/>
        <v>8</v>
      </c>
      <c r="O4" s="72">
        <f t="shared" si="0"/>
        <v>9</v>
      </c>
      <c r="P4" s="72">
        <f t="shared" si="0"/>
        <v>10</v>
      </c>
      <c r="Q4" s="72">
        <f t="shared" si="0"/>
        <v>11</v>
      </c>
      <c r="R4" s="72">
        <f t="shared" si="0"/>
        <v>12</v>
      </c>
      <c r="S4" s="72">
        <f t="shared" si="0"/>
        <v>13</v>
      </c>
      <c r="T4" s="72">
        <f t="shared" si="0"/>
        <v>14</v>
      </c>
      <c r="U4" s="72">
        <f t="shared" si="0"/>
        <v>15</v>
      </c>
      <c r="V4" s="72">
        <f t="shared" si="0"/>
        <v>16</v>
      </c>
      <c r="W4" s="72">
        <f t="shared" si="0"/>
        <v>17</v>
      </c>
      <c r="X4" s="72">
        <f t="shared" si="0"/>
        <v>18</v>
      </c>
      <c r="Y4" s="72">
        <f t="shared" si="0"/>
        <v>19</v>
      </c>
      <c r="Z4" s="72">
        <f t="shared" si="0"/>
        <v>20</v>
      </c>
      <c r="AA4" s="72">
        <f t="shared" si="0"/>
        <v>21</v>
      </c>
      <c r="AB4" s="72">
        <f t="shared" si="0"/>
        <v>22</v>
      </c>
      <c r="AC4" s="72">
        <f t="shared" si="0"/>
        <v>23</v>
      </c>
      <c r="AD4" s="72">
        <f t="shared" si="0"/>
        <v>24</v>
      </c>
      <c r="AE4" s="72">
        <f t="shared" si="0"/>
        <v>25</v>
      </c>
      <c r="AF4" s="72">
        <f t="shared" si="0"/>
        <v>26</v>
      </c>
      <c r="AG4" s="72">
        <f t="shared" si="0"/>
        <v>27</v>
      </c>
      <c r="AH4" s="72">
        <f t="shared" si="0"/>
        <v>28</v>
      </c>
      <c r="AI4" s="72">
        <f t="shared" si="0"/>
        <v>29</v>
      </c>
      <c r="AJ4" s="72">
        <f t="shared" si="0"/>
        <v>30</v>
      </c>
      <c r="AK4" s="72">
        <f t="shared" si="0"/>
        <v>31</v>
      </c>
      <c r="AL4" s="72">
        <f t="shared" si="0"/>
        <v>32</v>
      </c>
      <c r="AM4" s="72">
        <f t="shared" si="0"/>
        <v>33</v>
      </c>
      <c r="AN4" s="72">
        <f t="shared" si="0"/>
        <v>34</v>
      </c>
      <c r="AO4" s="72">
        <f t="shared" si="0"/>
        <v>35</v>
      </c>
      <c r="AP4" s="72">
        <f t="shared" si="0"/>
        <v>36</v>
      </c>
      <c r="AQ4" s="72">
        <f t="shared" si="0"/>
        <v>37</v>
      </c>
      <c r="AR4" s="72">
        <f t="shared" si="0"/>
        <v>38</v>
      </c>
      <c r="AS4" s="72">
        <f t="shared" si="0"/>
        <v>39</v>
      </c>
      <c r="AT4" s="72">
        <f t="shared" si="0"/>
        <v>40</v>
      </c>
      <c r="AU4" s="72">
        <f t="shared" si="0"/>
        <v>41</v>
      </c>
      <c r="AV4" s="72">
        <f t="shared" si="0"/>
        <v>42</v>
      </c>
      <c r="AW4" s="72">
        <f t="shared" si="0"/>
        <v>43</v>
      </c>
      <c r="AX4" s="72">
        <f t="shared" si="0"/>
        <v>44</v>
      </c>
      <c r="AY4" s="72">
        <f t="shared" si="0"/>
        <v>45</v>
      </c>
      <c r="AZ4" s="72">
        <f t="shared" si="0"/>
        <v>46</v>
      </c>
      <c r="BA4" s="72">
        <f t="shared" si="0"/>
        <v>47</v>
      </c>
      <c r="BB4" s="72">
        <f t="shared" si="0"/>
        <v>48</v>
      </c>
      <c r="BC4" s="72">
        <f t="shared" si="0"/>
        <v>49</v>
      </c>
      <c r="BD4" s="72">
        <f t="shared" si="0"/>
        <v>50</v>
      </c>
      <c r="BE4" s="72">
        <f t="shared" si="0"/>
        <v>51</v>
      </c>
      <c r="BF4" s="72">
        <f t="shared" si="0"/>
        <v>52</v>
      </c>
      <c r="BG4" s="72">
        <f t="shared" si="0"/>
        <v>53</v>
      </c>
      <c r="BH4" s="72">
        <f t="shared" si="0"/>
        <v>54</v>
      </c>
      <c r="BI4" s="72">
        <f t="shared" si="0"/>
        <v>55</v>
      </c>
      <c r="BJ4" s="72">
        <f t="shared" si="0"/>
        <v>56</v>
      </c>
      <c r="BK4" s="72">
        <f t="shared" si="0"/>
        <v>57</v>
      </c>
      <c r="BL4" s="72">
        <f t="shared" si="0"/>
        <v>58</v>
      </c>
      <c r="BM4" s="72">
        <f t="shared" si="0"/>
        <v>59</v>
      </c>
      <c r="BN4" s="72">
        <f t="shared" si="0"/>
        <v>60</v>
      </c>
      <c r="BO4" s="72">
        <f t="shared" si="0"/>
        <v>61</v>
      </c>
      <c r="BP4" s="72">
        <f t="shared" si="0"/>
        <v>62</v>
      </c>
      <c r="BQ4" s="72">
        <f t="shared" si="0"/>
        <v>63</v>
      </c>
      <c r="BR4" s="72">
        <f t="shared" si="0"/>
        <v>64</v>
      </c>
      <c r="BS4" s="72">
        <f t="shared" si="0"/>
        <v>65</v>
      </c>
      <c r="BT4" s="72">
        <f t="shared" si="0"/>
        <v>66</v>
      </c>
      <c r="BU4" s="72">
        <f t="shared" si="0"/>
        <v>67</v>
      </c>
      <c r="BV4" s="72">
        <f t="shared" si="0"/>
        <v>68</v>
      </c>
      <c r="BW4" s="72">
        <f t="shared" si="0"/>
        <v>69</v>
      </c>
      <c r="BX4" s="72">
        <f t="shared" si="0"/>
        <v>70</v>
      </c>
      <c r="BY4" s="72">
        <f t="shared" si="0"/>
        <v>71</v>
      </c>
      <c r="BZ4" s="72">
        <f t="shared" si="0"/>
        <v>72</v>
      </c>
      <c r="CA4" s="72">
        <f t="shared" si="0"/>
        <v>73</v>
      </c>
      <c r="CB4" s="72">
        <f t="shared" si="0"/>
        <v>74</v>
      </c>
      <c r="CC4" s="72">
        <f t="shared" si="0"/>
        <v>75</v>
      </c>
      <c r="CD4" s="72">
        <f t="shared" si="0"/>
        <v>76</v>
      </c>
      <c r="CE4" s="72">
        <f t="shared" si="0"/>
        <v>77</v>
      </c>
      <c r="CF4" s="72">
        <f t="shared" si="0"/>
        <v>78</v>
      </c>
      <c r="CG4" s="72">
        <f t="shared" si="0"/>
        <v>79</v>
      </c>
      <c r="CH4" s="72">
        <f t="shared" si="0"/>
        <v>80</v>
      </c>
    </row>
    <row r="5" spans="1:86" ht="13">
      <c r="B5" s="15" t="s">
        <v>235</v>
      </c>
      <c r="C5" s="15"/>
      <c r="F5" s="73"/>
      <c r="G5" s="74">
        <f ca="1">Forecast!G5</f>
        <v>46022</v>
      </c>
      <c r="H5" s="75">
        <f t="shared" ref="H5:CH5" ca="1" si="1">EOMONTH(EDATE(G5,3),0)</f>
        <v>46112</v>
      </c>
      <c r="I5" s="75">
        <f t="shared" ca="1" si="1"/>
        <v>46203</v>
      </c>
      <c r="J5" s="75">
        <f t="shared" ca="1" si="1"/>
        <v>46295</v>
      </c>
      <c r="K5" s="75">
        <f t="shared" ca="1" si="1"/>
        <v>46387</v>
      </c>
      <c r="L5" s="75">
        <f t="shared" ca="1" si="1"/>
        <v>46477</v>
      </c>
      <c r="M5" s="75">
        <f t="shared" ca="1" si="1"/>
        <v>46568</v>
      </c>
      <c r="N5" s="75">
        <f t="shared" ca="1" si="1"/>
        <v>46660</v>
      </c>
      <c r="O5" s="75">
        <f t="shared" ca="1" si="1"/>
        <v>46752</v>
      </c>
      <c r="P5" s="75">
        <f t="shared" ca="1" si="1"/>
        <v>46843</v>
      </c>
      <c r="Q5" s="75">
        <f t="shared" ca="1" si="1"/>
        <v>46934</v>
      </c>
      <c r="R5" s="75">
        <f t="shared" ca="1" si="1"/>
        <v>47026</v>
      </c>
      <c r="S5" s="75">
        <f t="shared" ca="1" si="1"/>
        <v>47118</v>
      </c>
      <c r="T5" s="75">
        <f t="shared" ca="1" si="1"/>
        <v>47208</v>
      </c>
      <c r="U5" s="75">
        <f t="shared" ca="1" si="1"/>
        <v>47299</v>
      </c>
      <c r="V5" s="75">
        <f t="shared" ca="1" si="1"/>
        <v>47391</v>
      </c>
      <c r="W5" s="75">
        <f t="shared" ca="1" si="1"/>
        <v>47483</v>
      </c>
      <c r="X5" s="75">
        <f t="shared" ca="1" si="1"/>
        <v>47573</v>
      </c>
      <c r="Y5" s="75">
        <f t="shared" ca="1" si="1"/>
        <v>47664</v>
      </c>
      <c r="Z5" s="75">
        <f t="shared" ca="1" si="1"/>
        <v>47756</v>
      </c>
      <c r="AA5" s="75">
        <f t="shared" ca="1" si="1"/>
        <v>47848</v>
      </c>
      <c r="AB5" s="75">
        <f t="shared" ca="1" si="1"/>
        <v>47938</v>
      </c>
      <c r="AC5" s="75">
        <f t="shared" ca="1" si="1"/>
        <v>48029</v>
      </c>
      <c r="AD5" s="75">
        <f t="shared" ca="1" si="1"/>
        <v>48121</v>
      </c>
      <c r="AE5" s="75">
        <f t="shared" ca="1" si="1"/>
        <v>48213</v>
      </c>
      <c r="AF5" s="75">
        <f t="shared" ca="1" si="1"/>
        <v>48304</v>
      </c>
      <c r="AG5" s="75">
        <f t="shared" ca="1" si="1"/>
        <v>48395</v>
      </c>
      <c r="AH5" s="75">
        <f t="shared" ca="1" si="1"/>
        <v>48487</v>
      </c>
      <c r="AI5" s="75">
        <f t="shared" ca="1" si="1"/>
        <v>48579</v>
      </c>
      <c r="AJ5" s="75">
        <f t="shared" ca="1" si="1"/>
        <v>48669</v>
      </c>
      <c r="AK5" s="75">
        <f t="shared" ca="1" si="1"/>
        <v>48760</v>
      </c>
      <c r="AL5" s="75">
        <f t="shared" ca="1" si="1"/>
        <v>48852</v>
      </c>
      <c r="AM5" s="75">
        <f t="shared" ca="1" si="1"/>
        <v>48944</v>
      </c>
      <c r="AN5" s="75">
        <f t="shared" ca="1" si="1"/>
        <v>49034</v>
      </c>
      <c r="AO5" s="75">
        <f t="shared" ca="1" si="1"/>
        <v>49125</v>
      </c>
      <c r="AP5" s="75">
        <f t="shared" ca="1" si="1"/>
        <v>49217</v>
      </c>
      <c r="AQ5" s="75">
        <f t="shared" ca="1" si="1"/>
        <v>49309</v>
      </c>
      <c r="AR5" s="75">
        <f t="shared" ca="1" si="1"/>
        <v>49399</v>
      </c>
      <c r="AS5" s="75">
        <f t="shared" ca="1" si="1"/>
        <v>49490</v>
      </c>
      <c r="AT5" s="75">
        <f t="shared" ca="1" si="1"/>
        <v>49582</v>
      </c>
      <c r="AU5" s="75">
        <f t="shared" ca="1" si="1"/>
        <v>49674</v>
      </c>
      <c r="AV5" s="75">
        <f t="shared" ca="1" si="1"/>
        <v>49765</v>
      </c>
      <c r="AW5" s="75">
        <f t="shared" ca="1" si="1"/>
        <v>49856</v>
      </c>
      <c r="AX5" s="75">
        <f t="shared" ca="1" si="1"/>
        <v>49948</v>
      </c>
      <c r="AY5" s="75">
        <f t="shared" ca="1" si="1"/>
        <v>50040</v>
      </c>
      <c r="AZ5" s="75">
        <f t="shared" ca="1" si="1"/>
        <v>50130</v>
      </c>
      <c r="BA5" s="75">
        <f t="shared" ca="1" si="1"/>
        <v>50221</v>
      </c>
      <c r="BB5" s="75">
        <f t="shared" ca="1" si="1"/>
        <v>50313</v>
      </c>
      <c r="BC5" s="75">
        <f t="shared" ca="1" si="1"/>
        <v>50405</v>
      </c>
      <c r="BD5" s="75">
        <f t="shared" ca="1" si="1"/>
        <v>50495</v>
      </c>
      <c r="BE5" s="75">
        <f t="shared" ca="1" si="1"/>
        <v>50586</v>
      </c>
      <c r="BF5" s="75">
        <f t="shared" ca="1" si="1"/>
        <v>50678</v>
      </c>
      <c r="BG5" s="75">
        <f t="shared" ca="1" si="1"/>
        <v>50770</v>
      </c>
      <c r="BH5" s="75">
        <f t="shared" ca="1" si="1"/>
        <v>50860</v>
      </c>
      <c r="BI5" s="75">
        <f t="shared" ca="1" si="1"/>
        <v>50951</v>
      </c>
      <c r="BJ5" s="75">
        <f t="shared" ca="1" si="1"/>
        <v>51043</v>
      </c>
      <c r="BK5" s="75">
        <f t="shared" ca="1" si="1"/>
        <v>51135</v>
      </c>
      <c r="BL5" s="75">
        <f t="shared" ca="1" si="1"/>
        <v>51226</v>
      </c>
      <c r="BM5" s="75">
        <f t="shared" ca="1" si="1"/>
        <v>51317</v>
      </c>
      <c r="BN5" s="75">
        <f t="shared" ca="1" si="1"/>
        <v>51409</v>
      </c>
      <c r="BO5" s="75">
        <f t="shared" ca="1" si="1"/>
        <v>51501</v>
      </c>
      <c r="BP5" s="75">
        <f t="shared" ca="1" si="1"/>
        <v>51591</v>
      </c>
      <c r="BQ5" s="75">
        <f t="shared" ca="1" si="1"/>
        <v>51682</v>
      </c>
      <c r="BR5" s="75">
        <f t="shared" ca="1" si="1"/>
        <v>51774</v>
      </c>
      <c r="BS5" s="75">
        <f t="shared" ca="1" si="1"/>
        <v>51866</v>
      </c>
      <c r="BT5" s="75">
        <f t="shared" ca="1" si="1"/>
        <v>51956</v>
      </c>
      <c r="BU5" s="75">
        <f t="shared" ca="1" si="1"/>
        <v>52047</v>
      </c>
      <c r="BV5" s="75">
        <f t="shared" ca="1" si="1"/>
        <v>52139</v>
      </c>
      <c r="BW5" s="75">
        <f t="shared" ca="1" si="1"/>
        <v>52231</v>
      </c>
      <c r="BX5" s="75">
        <f t="shared" ca="1" si="1"/>
        <v>52321</v>
      </c>
      <c r="BY5" s="75">
        <f t="shared" ca="1" si="1"/>
        <v>52412</v>
      </c>
      <c r="BZ5" s="75">
        <f t="shared" ca="1" si="1"/>
        <v>52504</v>
      </c>
      <c r="CA5" s="75">
        <f t="shared" ca="1" si="1"/>
        <v>52596</v>
      </c>
      <c r="CB5" s="75">
        <f t="shared" ca="1" si="1"/>
        <v>52687</v>
      </c>
      <c r="CC5" s="75">
        <f t="shared" ca="1" si="1"/>
        <v>52778</v>
      </c>
      <c r="CD5" s="75">
        <f t="shared" ca="1" si="1"/>
        <v>52870</v>
      </c>
      <c r="CE5" s="75">
        <f t="shared" ca="1" si="1"/>
        <v>52962</v>
      </c>
      <c r="CF5" s="75">
        <f t="shared" ca="1" si="1"/>
        <v>53052</v>
      </c>
      <c r="CG5" s="75">
        <f t="shared" ca="1" si="1"/>
        <v>53143</v>
      </c>
      <c r="CH5" s="75">
        <f t="shared" ca="1" si="1"/>
        <v>53235</v>
      </c>
    </row>
    <row r="6" spans="1:86" ht="13">
      <c r="B6" s="15"/>
      <c r="C6" s="15"/>
      <c r="D6" s="15"/>
      <c r="E6" s="15"/>
      <c r="F6" s="73"/>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row>
    <row r="7" spans="1:86" ht="13">
      <c r="B7" s="76" t="s">
        <v>236</v>
      </c>
      <c r="D7" s="15"/>
      <c r="E7" s="15"/>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row>
    <row r="8" spans="1:86" ht="13">
      <c r="B8" s="15" t="str">
        <f>'Get Started  3'!B15</f>
        <v>Active Investment time period (quarters)</v>
      </c>
      <c r="C8" s="15" t="s">
        <v>237</v>
      </c>
      <c r="D8" s="15" t="s">
        <v>238</v>
      </c>
      <c r="E8" s="29">
        <f t="shared" ref="E8:E10" si="2">IF(D8="sum",SUM(G8:CH8),IF(D8="final",CH8,IF(D8="initial",G8,IF(D8="average",AVERAGE(G8:CH8),0))))</f>
        <v>16</v>
      </c>
      <c r="F8" s="29"/>
      <c r="G8" s="29">
        <f>IF(G$4&lt;='Get Started  3'!$E15,1,0)</f>
        <v>1</v>
      </c>
      <c r="H8" s="29">
        <f>IF(H$4&lt;='Get Started  3'!$E15,1,0)</f>
        <v>1</v>
      </c>
      <c r="I8" s="29">
        <f>IF(I$4&lt;='Get Started  3'!$E15,1,0)</f>
        <v>1</v>
      </c>
      <c r="J8" s="29">
        <f>IF(J$4&lt;='Get Started  3'!$E15,1,0)</f>
        <v>1</v>
      </c>
      <c r="K8" s="29">
        <f>IF(K$4&lt;='Get Started  3'!$E15,1,0)</f>
        <v>1</v>
      </c>
      <c r="L8" s="29">
        <f>IF(L$4&lt;='Get Started  3'!$E15,1,0)</f>
        <v>1</v>
      </c>
      <c r="M8" s="29">
        <f>IF(M$4&lt;='Get Started  3'!$E15,1,0)</f>
        <v>1</v>
      </c>
      <c r="N8" s="29">
        <f>IF(N$4&lt;='Get Started  3'!$E15,1,0)</f>
        <v>1</v>
      </c>
      <c r="O8" s="29">
        <f>IF(O$4&lt;='Get Started  3'!$E15,1,0)</f>
        <v>1</v>
      </c>
      <c r="P8" s="29">
        <f>IF(P$4&lt;='Get Started  3'!$E15,1,0)</f>
        <v>1</v>
      </c>
      <c r="Q8" s="29">
        <f>IF(Q$4&lt;='Get Started  3'!$E15,1,0)</f>
        <v>1</v>
      </c>
      <c r="R8" s="29">
        <f>IF(R$4&lt;='Get Started  3'!$E15,1,0)</f>
        <v>1</v>
      </c>
      <c r="S8" s="29">
        <f>IF(S$4&lt;='Get Started  3'!$E15,1,0)</f>
        <v>1</v>
      </c>
      <c r="T8" s="29">
        <f>IF(T$4&lt;='Get Started  3'!$E15,1,0)</f>
        <v>1</v>
      </c>
      <c r="U8" s="29">
        <f>IF(U$4&lt;='Get Started  3'!$E15,1,0)</f>
        <v>1</v>
      </c>
      <c r="V8" s="29">
        <f>IF(V$4&lt;='Get Started  3'!$E15,1,0)</f>
        <v>1</v>
      </c>
      <c r="W8" s="29">
        <f>IF(W$4&lt;='Get Started  3'!$E15,1,0)</f>
        <v>0</v>
      </c>
      <c r="X8" s="29">
        <f>IF(X$4&lt;='Get Started  3'!$E15,1,0)</f>
        <v>0</v>
      </c>
      <c r="Y8" s="29">
        <f>IF(Y$4&lt;='Get Started  3'!$E15,1,0)</f>
        <v>0</v>
      </c>
      <c r="Z8" s="29">
        <f>IF(Z$4&lt;='Get Started  3'!$E15,1,0)</f>
        <v>0</v>
      </c>
      <c r="AA8" s="29">
        <f>IF(AA$4&lt;='Get Started  3'!$E15,1,0)</f>
        <v>0</v>
      </c>
      <c r="AB8" s="29">
        <f>IF(AB$4&lt;='Get Started  3'!$E15,1,0)</f>
        <v>0</v>
      </c>
      <c r="AC8" s="29">
        <f>IF(AC$4&lt;='Get Started  3'!$E15,1,0)</f>
        <v>0</v>
      </c>
      <c r="AD8" s="29">
        <f>IF(AD$4&lt;='Get Started  3'!$E15,1,0)</f>
        <v>0</v>
      </c>
      <c r="AE8" s="29">
        <f>IF(AE$4&lt;='Get Started  3'!$E15,1,0)</f>
        <v>0</v>
      </c>
      <c r="AF8" s="29">
        <f>IF(AF$4&lt;='Get Started  3'!$E15,1,0)</f>
        <v>0</v>
      </c>
      <c r="AG8" s="29">
        <f>IF(AG$4&lt;='Get Started  3'!$E15,1,0)</f>
        <v>0</v>
      </c>
      <c r="AH8" s="29">
        <f>IF(AH$4&lt;='Get Started  3'!$E15,1,0)</f>
        <v>0</v>
      </c>
      <c r="AI8" s="29">
        <f>IF(AI$4&lt;='Get Started  3'!$E15,1,0)</f>
        <v>0</v>
      </c>
      <c r="AJ8" s="29">
        <f>IF(AJ$4&lt;='Get Started  3'!$E15,1,0)</f>
        <v>0</v>
      </c>
      <c r="AK8" s="29">
        <f>IF(AK$4&lt;='Get Started  3'!$E15,1,0)</f>
        <v>0</v>
      </c>
      <c r="AL8" s="29">
        <f>IF(AL$4&lt;='Get Started  3'!$E15,1,0)</f>
        <v>0</v>
      </c>
      <c r="AM8" s="29">
        <f>IF(AM$4&lt;='Get Started  3'!$E15,1,0)</f>
        <v>0</v>
      </c>
      <c r="AN8" s="29">
        <f>IF(AN$4&lt;='Get Started  3'!$E15,1,0)</f>
        <v>0</v>
      </c>
      <c r="AO8" s="29">
        <f>IF(AO$4&lt;='Get Started  3'!$E15,1,0)</f>
        <v>0</v>
      </c>
      <c r="AP8" s="29">
        <f>IF(AP$4&lt;='Get Started  3'!$E15,1,0)</f>
        <v>0</v>
      </c>
      <c r="AQ8" s="29">
        <f>IF(AQ$4&lt;='Get Started  3'!$E15,1,0)</f>
        <v>0</v>
      </c>
      <c r="AR8" s="29">
        <f>IF(AR$4&lt;='Get Started  3'!$E15,1,0)</f>
        <v>0</v>
      </c>
      <c r="AS8" s="29">
        <f>IF(AS$4&lt;='Get Started  3'!$E15,1,0)</f>
        <v>0</v>
      </c>
      <c r="AT8" s="29">
        <f>IF(AT$4&lt;='Get Started  3'!$E15,1,0)</f>
        <v>0</v>
      </c>
      <c r="AU8" s="29">
        <f>IF(AU$4&lt;='Get Started  3'!$E15,1,0)</f>
        <v>0</v>
      </c>
      <c r="AV8" s="29">
        <f>IF(AV$4&lt;='Get Started  3'!$E15,1,0)</f>
        <v>0</v>
      </c>
      <c r="AW8" s="29">
        <f>IF(AW$4&lt;='Get Started  3'!$E15,1,0)</f>
        <v>0</v>
      </c>
      <c r="AX8" s="29">
        <f>IF(AX$4&lt;='Get Started  3'!$E15,1,0)</f>
        <v>0</v>
      </c>
      <c r="AY8" s="29">
        <f>IF(AY$4&lt;='Get Started  3'!$E15,1,0)</f>
        <v>0</v>
      </c>
      <c r="AZ8" s="29">
        <f>IF(AZ$4&lt;='Get Started  3'!$E15,1,0)</f>
        <v>0</v>
      </c>
      <c r="BA8" s="29">
        <f>IF(BA$4&lt;='Get Started  3'!$E15,1,0)</f>
        <v>0</v>
      </c>
      <c r="BB8" s="29">
        <f>IF(BB$4&lt;='Get Started  3'!$E15,1,0)</f>
        <v>0</v>
      </c>
      <c r="BC8" s="29">
        <f>IF(BC$4&lt;='Get Started  3'!$E15,1,0)</f>
        <v>0</v>
      </c>
      <c r="BD8" s="29">
        <f>IF(BD$4&lt;='Get Started  3'!$E15,1,0)</f>
        <v>0</v>
      </c>
      <c r="BE8" s="29">
        <f>IF(BE$4&lt;='Get Started  3'!$E15,1,0)</f>
        <v>0</v>
      </c>
      <c r="BF8" s="29">
        <f>IF(BF$4&lt;='Get Started  3'!$E15,1,0)</f>
        <v>0</v>
      </c>
      <c r="BG8" s="29">
        <f>IF(BG$4&lt;='Get Started  3'!$E15,1,0)</f>
        <v>0</v>
      </c>
      <c r="BH8" s="29">
        <f>IF(BH$4&lt;='Get Started  3'!$E15,1,0)</f>
        <v>0</v>
      </c>
      <c r="BI8" s="29">
        <f>IF(BI$4&lt;='Get Started  3'!$E15,1,0)</f>
        <v>0</v>
      </c>
      <c r="BJ8" s="29">
        <f>IF(BJ$4&lt;='Get Started  3'!$E15,1,0)</f>
        <v>0</v>
      </c>
      <c r="BK8" s="29">
        <f>IF(BK$4&lt;='Get Started  3'!$E15,1,0)</f>
        <v>0</v>
      </c>
      <c r="BL8" s="29">
        <f>IF(BL$4&lt;='Get Started  3'!$E15,1,0)</f>
        <v>0</v>
      </c>
      <c r="BM8" s="29">
        <f>IF(BM$4&lt;='Get Started  3'!$E15,1,0)</f>
        <v>0</v>
      </c>
      <c r="BN8" s="29">
        <f>IF(BN$4&lt;='Get Started  3'!$E15,1,0)</f>
        <v>0</v>
      </c>
      <c r="BO8" s="29">
        <f>IF(BO$4&lt;='Get Started  3'!$E15,1,0)</f>
        <v>0</v>
      </c>
      <c r="BP8" s="29">
        <f>IF(BP$4&lt;='Get Started  3'!$E15,1,0)</f>
        <v>0</v>
      </c>
      <c r="BQ8" s="29">
        <f>IF(BQ$4&lt;='Get Started  3'!$E15,1,0)</f>
        <v>0</v>
      </c>
      <c r="BR8" s="29">
        <f>IF(BR$4&lt;='Get Started  3'!$E15,1,0)</f>
        <v>0</v>
      </c>
      <c r="BS8" s="29">
        <f>IF(BS$4&lt;='Get Started  3'!$E15,1,0)</f>
        <v>0</v>
      </c>
      <c r="BT8" s="29">
        <f>IF(BT$4&lt;='Get Started  3'!$E15,1,0)</f>
        <v>0</v>
      </c>
      <c r="BU8" s="29">
        <f>IF(BU$4&lt;='Get Started  3'!$E15,1,0)</f>
        <v>0</v>
      </c>
      <c r="BV8" s="29">
        <f>IF(BV$4&lt;='Get Started  3'!$E15,1,0)</f>
        <v>0</v>
      </c>
      <c r="BW8" s="29">
        <f>IF(BW$4&lt;='Get Started  3'!$E15,1,0)</f>
        <v>0</v>
      </c>
      <c r="BX8" s="29">
        <f>IF(BX$4&lt;='Get Started  3'!$E15,1,0)</f>
        <v>0</v>
      </c>
      <c r="BY8" s="29">
        <f>IF(BY$4&lt;='Get Started  3'!$E15,1,0)</f>
        <v>0</v>
      </c>
      <c r="BZ8" s="29">
        <f>IF(BZ$4&lt;='Get Started  3'!$E15,1,0)</f>
        <v>0</v>
      </c>
      <c r="CA8" s="29">
        <f>IF(CA$4&lt;='Get Started  3'!$E15,1,0)</f>
        <v>0</v>
      </c>
      <c r="CB8" s="29">
        <f>IF(CB$4&lt;='Get Started  3'!$E15,1,0)</f>
        <v>0</v>
      </c>
      <c r="CC8" s="29">
        <f>IF(CC$4&lt;='Get Started  3'!$E15,1,0)</f>
        <v>0</v>
      </c>
      <c r="CD8" s="29">
        <f>IF(CD$4&lt;='Get Started  3'!$E15,1,0)</f>
        <v>0</v>
      </c>
      <c r="CE8" s="29">
        <f>IF(CE$4&lt;='Get Started  3'!$E15,1,0)</f>
        <v>0</v>
      </c>
      <c r="CF8" s="29">
        <f>IF(CF$4&lt;='Get Started  3'!$E15,1,0)</f>
        <v>0</v>
      </c>
      <c r="CG8" s="29">
        <f>IF(CG$4&lt;='Get Started  3'!$E15,1,0)</f>
        <v>0</v>
      </c>
      <c r="CH8" s="29">
        <f>IF(CH$4&lt;='Get Started  3'!$E15,1,0)</f>
        <v>0</v>
      </c>
    </row>
    <row r="9" spans="1:86" ht="13">
      <c r="B9" s="15" t="str">
        <f>'Get Started  3'!B16</f>
        <v>Fund Duration (Management Fees time period) (quarters)</v>
      </c>
      <c r="C9" s="57" t="s">
        <v>343</v>
      </c>
      <c r="D9" s="15" t="s">
        <v>238</v>
      </c>
      <c r="E9" s="29">
        <f t="shared" si="2"/>
        <v>40</v>
      </c>
      <c r="F9" s="29"/>
      <c r="G9" s="29">
        <f>IF(G$4&lt;='Get Started  3'!$E16,1,0)*G10</f>
        <v>1</v>
      </c>
      <c r="H9" s="29">
        <f>IF(H$4&lt;='Get Started  3'!$E16,1,0)*H10</f>
        <v>1</v>
      </c>
      <c r="I9" s="29">
        <f>IF(I$4&lt;='Get Started  3'!$E16,1,0)*I10</f>
        <v>1</v>
      </c>
      <c r="J9" s="29">
        <f>IF(J$4&lt;='Get Started  3'!$E16,1,0)*J10</f>
        <v>1</v>
      </c>
      <c r="K9" s="29">
        <f>IF(K$4&lt;='Get Started  3'!$E16,1,0)*K10</f>
        <v>1</v>
      </c>
      <c r="L9" s="29">
        <f>IF(L$4&lt;='Get Started  3'!$E16,1,0)*L10</f>
        <v>1</v>
      </c>
      <c r="M9" s="29">
        <f>IF(M$4&lt;='Get Started  3'!$E16,1,0)*M10</f>
        <v>1</v>
      </c>
      <c r="N9" s="29">
        <f>IF(N$4&lt;='Get Started  3'!$E16,1,0)*N10</f>
        <v>1</v>
      </c>
      <c r="O9" s="29">
        <f>IF(O$4&lt;='Get Started  3'!$E16,1,0)*O10</f>
        <v>1</v>
      </c>
      <c r="P9" s="29">
        <f>IF(P$4&lt;='Get Started  3'!$E16,1,0)*P10</f>
        <v>1</v>
      </c>
      <c r="Q9" s="29">
        <f>IF(Q$4&lt;='Get Started  3'!$E16,1,0)*Q10</f>
        <v>1</v>
      </c>
      <c r="R9" s="29">
        <f>IF(R$4&lt;='Get Started  3'!$E16,1,0)*R10</f>
        <v>1</v>
      </c>
      <c r="S9" s="29">
        <f>IF(S$4&lt;='Get Started  3'!$E16,1,0)*S10</f>
        <v>1</v>
      </c>
      <c r="T9" s="29">
        <f>IF(T$4&lt;='Get Started  3'!$E16,1,0)*T10</f>
        <v>1</v>
      </c>
      <c r="U9" s="29">
        <f>IF(U$4&lt;='Get Started  3'!$E16,1,0)*U10</f>
        <v>1</v>
      </c>
      <c r="V9" s="29">
        <f>IF(V$4&lt;='Get Started  3'!$E16,1,0)*V10</f>
        <v>1</v>
      </c>
      <c r="W9" s="29">
        <f>IF(W$4&lt;='Get Started  3'!$E16,1,0)*W10</f>
        <v>1</v>
      </c>
      <c r="X9" s="29">
        <f>IF(X$4&lt;='Get Started  3'!$E16,1,0)*X10</f>
        <v>1</v>
      </c>
      <c r="Y9" s="29">
        <f>IF(Y$4&lt;='Get Started  3'!$E16,1,0)*Y10</f>
        <v>1</v>
      </c>
      <c r="Z9" s="29">
        <f>IF(Z$4&lt;='Get Started  3'!$E16,1,0)*Z10</f>
        <v>1</v>
      </c>
      <c r="AA9" s="29">
        <f>IF(AA$4&lt;='Get Started  3'!$E16,1,0)*AA10</f>
        <v>1</v>
      </c>
      <c r="AB9" s="29">
        <f>IF(AB$4&lt;='Get Started  3'!$E16,1,0)*AB10</f>
        <v>1</v>
      </c>
      <c r="AC9" s="29">
        <f>IF(AC$4&lt;='Get Started  3'!$E16,1,0)*AC10</f>
        <v>1</v>
      </c>
      <c r="AD9" s="29">
        <f>IF(AD$4&lt;='Get Started  3'!$E16,1,0)*AD10</f>
        <v>1</v>
      </c>
      <c r="AE9" s="29">
        <f>IF(AE$4&lt;='Get Started  3'!$E16,1,0)*AE10</f>
        <v>1</v>
      </c>
      <c r="AF9" s="29">
        <f>IF(AF$4&lt;='Get Started  3'!$E16,1,0)*AF10</f>
        <v>1</v>
      </c>
      <c r="AG9" s="29">
        <f>IF(AG$4&lt;='Get Started  3'!$E16,1,0)*AG10</f>
        <v>1</v>
      </c>
      <c r="AH9" s="29">
        <f>IF(AH$4&lt;='Get Started  3'!$E16,1,0)*AH10</f>
        <v>1</v>
      </c>
      <c r="AI9" s="29">
        <f>IF(AI$4&lt;='Get Started  3'!$E16,1,0)*AI10</f>
        <v>1</v>
      </c>
      <c r="AJ9" s="29">
        <f>IF(AJ$4&lt;='Get Started  3'!$E16,1,0)*AJ10</f>
        <v>1</v>
      </c>
      <c r="AK9" s="29">
        <f>IF(AK$4&lt;='Get Started  3'!$E16,1,0)*AK10</f>
        <v>1</v>
      </c>
      <c r="AL9" s="29">
        <f>IF(AL$4&lt;='Get Started  3'!$E16,1,0)*AL10</f>
        <v>1</v>
      </c>
      <c r="AM9" s="29">
        <f>IF(AM$4&lt;='Get Started  3'!$E16,1,0)*AM10</f>
        <v>1</v>
      </c>
      <c r="AN9" s="29">
        <f>IF(AN$4&lt;='Get Started  3'!$E16,1,0)*AN10</f>
        <v>1</v>
      </c>
      <c r="AO9" s="29">
        <f>IF(AO$4&lt;='Get Started  3'!$E16,1,0)*AO10</f>
        <v>1</v>
      </c>
      <c r="AP9" s="29">
        <f>IF(AP$4&lt;='Get Started  3'!$E16,1,0)*AP10</f>
        <v>1</v>
      </c>
      <c r="AQ9" s="29">
        <f>IF(AQ$4&lt;='Get Started  3'!$E16,1,0)*AQ10</f>
        <v>1</v>
      </c>
      <c r="AR9" s="29">
        <f>IF(AR$4&lt;='Get Started  3'!$E16,1,0)*AR10</f>
        <v>1</v>
      </c>
      <c r="AS9" s="29">
        <f>IF(AS$4&lt;='Get Started  3'!$E16,1,0)*AS10</f>
        <v>1</v>
      </c>
      <c r="AT9" s="29">
        <f>IF(AT$4&lt;='Get Started  3'!$E16,1,0)*AT10</f>
        <v>1</v>
      </c>
      <c r="AU9" s="29">
        <f>IF(AU$4&lt;='Get Started  3'!$E16,1,0)*AU10</f>
        <v>0</v>
      </c>
      <c r="AV9" s="29">
        <f>IF(AV$4&lt;='Get Started  3'!$E16,1,0)*AV10</f>
        <v>0</v>
      </c>
      <c r="AW9" s="29">
        <f>IF(AW$4&lt;='Get Started  3'!$E16,1,0)*AW10</f>
        <v>0</v>
      </c>
      <c r="AX9" s="29">
        <f>IF(AX$4&lt;='Get Started  3'!$E16,1,0)*AX10</f>
        <v>0</v>
      </c>
      <c r="AY9" s="29">
        <f>IF(AY$4&lt;='Get Started  3'!$E16,1,0)*AY10</f>
        <v>0</v>
      </c>
      <c r="AZ9" s="29">
        <f>IF(AZ$4&lt;='Get Started  3'!$E16,1,0)*AZ10</f>
        <v>0</v>
      </c>
      <c r="BA9" s="29">
        <f>IF(BA$4&lt;='Get Started  3'!$E16,1,0)*BA10</f>
        <v>0</v>
      </c>
      <c r="BB9" s="29">
        <f>IF(BB$4&lt;='Get Started  3'!$E16,1,0)*BB10</f>
        <v>0</v>
      </c>
      <c r="BC9" s="29">
        <f>IF(BC$4&lt;='Get Started  3'!$E16,1,0)*BC10</f>
        <v>0</v>
      </c>
      <c r="BD9" s="29">
        <f>IF(BD$4&lt;='Get Started  3'!$E16,1,0)*BD10</f>
        <v>0</v>
      </c>
      <c r="BE9" s="29">
        <f>IF(BE$4&lt;='Get Started  3'!$E16,1,0)*BE10</f>
        <v>0</v>
      </c>
      <c r="BF9" s="29">
        <f>IF(BF$4&lt;='Get Started  3'!$E16,1,0)*BF10</f>
        <v>0</v>
      </c>
      <c r="BG9" s="29">
        <f>IF(BG$4&lt;='Get Started  3'!$E16,1,0)*BG10</f>
        <v>0</v>
      </c>
      <c r="BH9" s="29">
        <f>IF(BH$4&lt;='Get Started  3'!$E16,1,0)*BH10</f>
        <v>0</v>
      </c>
      <c r="BI9" s="29">
        <f>IF(BI$4&lt;='Get Started  3'!$E16,1,0)*BI10</f>
        <v>0</v>
      </c>
      <c r="BJ9" s="29">
        <f>IF(BJ$4&lt;='Get Started  3'!$E16,1,0)*BJ10</f>
        <v>0</v>
      </c>
      <c r="BK9" s="29">
        <f>IF(BK$4&lt;='Get Started  3'!$E16,1,0)*BK10</f>
        <v>0</v>
      </c>
      <c r="BL9" s="29">
        <f>IF(BL$4&lt;='Get Started  3'!$E16,1,0)*BL10</f>
        <v>0</v>
      </c>
      <c r="BM9" s="29">
        <f>IF(BM$4&lt;='Get Started  3'!$E16,1,0)*BM10</f>
        <v>0</v>
      </c>
      <c r="BN9" s="29">
        <f>IF(BN$4&lt;='Get Started  3'!$E16,1,0)*BN10</f>
        <v>0</v>
      </c>
      <c r="BO9" s="29">
        <f>IF(BO$4&lt;='Get Started  3'!$E16,1,0)*BO10</f>
        <v>0</v>
      </c>
      <c r="BP9" s="29">
        <f>IF(BP$4&lt;='Get Started  3'!$E16,1,0)*BP10</f>
        <v>0</v>
      </c>
      <c r="BQ9" s="29">
        <f>IF(BQ$4&lt;='Get Started  3'!$E16,1,0)*BQ10</f>
        <v>0</v>
      </c>
      <c r="BR9" s="29">
        <f>IF(BR$4&lt;='Get Started  3'!$E16,1,0)*BR10</f>
        <v>0</v>
      </c>
      <c r="BS9" s="29">
        <f>IF(BS$4&lt;='Get Started  3'!$E16,1,0)*BS10</f>
        <v>0</v>
      </c>
      <c r="BT9" s="29">
        <f>IF(BT$4&lt;='Get Started  3'!$E16,1,0)*BT10</f>
        <v>0</v>
      </c>
      <c r="BU9" s="29">
        <f>IF(BU$4&lt;='Get Started  3'!$E16,1,0)*BU10</f>
        <v>0</v>
      </c>
      <c r="BV9" s="29">
        <f>IF(BV$4&lt;='Get Started  3'!$E16,1,0)*BV10</f>
        <v>0</v>
      </c>
      <c r="BW9" s="29">
        <f>IF(BW$4&lt;='Get Started  3'!$E16,1,0)*BW10</f>
        <v>0</v>
      </c>
      <c r="BX9" s="29">
        <f>IF(BX$4&lt;='Get Started  3'!$E16,1,0)*BX10</f>
        <v>0</v>
      </c>
      <c r="BY9" s="29">
        <f>IF(BY$4&lt;='Get Started  3'!$E16,1,0)*BY10</f>
        <v>0</v>
      </c>
      <c r="BZ9" s="29">
        <f>IF(BZ$4&lt;='Get Started  3'!$E16,1,0)*BZ10</f>
        <v>0</v>
      </c>
      <c r="CA9" s="29">
        <f>IF(CA$4&lt;='Get Started  3'!$E16,1,0)*CA10</f>
        <v>0</v>
      </c>
      <c r="CB9" s="29">
        <f>IF(CB$4&lt;='Get Started  3'!$E16,1,0)*CB10</f>
        <v>0</v>
      </c>
      <c r="CC9" s="29">
        <f>IF(CC$4&lt;='Get Started  3'!$E16,1,0)*CC10</f>
        <v>0</v>
      </c>
      <c r="CD9" s="29">
        <f>IF(CD$4&lt;='Get Started  3'!$E16,1,0)*CD10</f>
        <v>0</v>
      </c>
      <c r="CE9" s="29">
        <f>IF(CE$4&lt;='Get Started  3'!$E16,1,0)*CE10</f>
        <v>0</v>
      </c>
      <c r="CF9" s="29">
        <f>IF(CF$4&lt;='Get Started  3'!$E16,1,0)*CF10</f>
        <v>0</v>
      </c>
      <c r="CG9" s="29">
        <f>IF(CG$4&lt;='Get Started  3'!$E16,1,0)*CG10</f>
        <v>0</v>
      </c>
      <c r="CH9" s="29">
        <f>IF(CH$4&lt;='Get Started  3'!$E16,1,0)*CH10</f>
        <v>0</v>
      </c>
    </row>
    <row r="10" spans="1:86" ht="13">
      <c r="B10" s="15" t="str">
        <f>'Get Started  3'!B17</f>
        <v>Fund Operations time period (quarters)</v>
      </c>
      <c r="C10" s="15"/>
      <c r="D10" s="15" t="s">
        <v>238</v>
      </c>
      <c r="E10" s="29">
        <f t="shared" si="2"/>
        <v>40</v>
      </c>
      <c r="F10" s="29"/>
      <c r="G10" s="29">
        <f>IF(G$4&lt;='Get Started  3'!$E17,1,0)</f>
        <v>1</v>
      </c>
      <c r="H10" s="29">
        <f>IF(H$4&lt;='Get Started  3'!$E17,1,0)</f>
        <v>1</v>
      </c>
      <c r="I10" s="29">
        <f>IF(I$4&lt;='Get Started  3'!$E17,1,0)</f>
        <v>1</v>
      </c>
      <c r="J10" s="29">
        <f>IF(J$4&lt;='Get Started  3'!$E17,1,0)</f>
        <v>1</v>
      </c>
      <c r="K10" s="29">
        <f>IF(K$4&lt;='Get Started  3'!$E17,1,0)</f>
        <v>1</v>
      </c>
      <c r="L10" s="29">
        <f>IF(L$4&lt;='Get Started  3'!$E17,1,0)</f>
        <v>1</v>
      </c>
      <c r="M10" s="29">
        <f>IF(M$4&lt;='Get Started  3'!$E17,1,0)</f>
        <v>1</v>
      </c>
      <c r="N10" s="29">
        <f>IF(N$4&lt;='Get Started  3'!$E17,1,0)</f>
        <v>1</v>
      </c>
      <c r="O10" s="29">
        <f>IF(O$4&lt;='Get Started  3'!$E17,1,0)</f>
        <v>1</v>
      </c>
      <c r="P10" s="29">
        <f>IF(P$4&lt;='Get Started  3'!$E17,1,0)</f>
        <v>1</v>
      </c>
      <c r="Q10" s="29">
        <f>IF(Q$4&lt;='Get Started  3'!$E17,1,0)</f>
        <v>1</v>
      </c>
      <c r="R10" s="29">
        <f>IF(R$4&lt;='Get Started  3'!$E17,1,0)</f>
        <v>1</v>
      </c>
      <c r="S10" s="29">
        <f>IF(S$4&lt;='Get Started  3'!$E17,1,0)</f>
        <v>1</v>
      </c>
      <c r="T10" s="29">
        <f>IF(T$4&lt;='Get Started  3'!$E17,1,0)</f>
        <v>1</v>
      </c>
      <c r="U10" s="29">
        <f>IF(U$4&lt;='Get Started  3'!$E17,1,0)</f>
        <v>1</v>
      </c>
      <c r="V10" s="29">
        <f>IF(V$4&lt;='Get Started  3'!$E17,1,0)</f>
        <v>1</v>
      </c>
      <c r="W10" s="29">
        <f>IF(W$4&lt;='Get Started  3'!$E17,1,0)</f>
        <v>1</v>
      </c>
      <c r="X10" s="29">
        <f>IF(X$4&lt;='Get Started  3'!$E17,1,0)</f>
        <v>1</v>
      </c>
      <c r="Y10" s="29">
        <f>IF(Y$4&lt;='Get Started  3'!$E17,1,0)</f>
        <v>1</v>
      </c>
      <c r="Z10" s="29">
        <f>IF(Z$4&lt;='Get Started  3'!$E17,1,0)</f>
        <v>1</v>
      </c>
      <c r="AA10" s="29">
        <f>IF(AA$4&lt;='Get Started  3'!$E17,1,0)</f>
        <v>1</v>
      </c>
      <c r="AB10" s="29">
        <f>IF(AB$4&lt;='Get Started  3'!$E17,1,0)</f>
        <v>1</v>
      </c>
      <c r="AC10" s="29">
        <f>IF(AC$4&lt;='Get Started  3'!$E17,1,0)</f>
        <v>1</v>
      </c>
      <c r="AD10" s="29">
        <f>IF(AD$4&lt;='Get Started  3'!$E17,1,0)</f>
        <v>1</v>
      </c>
      <c r="AE10" s="29">
        <f>IF(AE$4&lt;='Get Started  3'!$E17,1,0)</f>
        <v>1</v>
      </c>
      <c r="AF10" s="29">
        <f>IF(AF$4&lt;='Get Started  3'!$E17,1,0)</f>
        <v>1</v>
      </c>
      <c r="AG10" s="29">
        <f>IF(AG$4&lt;='Get Started  3'!$E17,1,0)</f>
        <v>1</v>
      </c>
      <c r="AH10" s="29">
        <f>IF(AH$4&lt;='Get Started  3'!$E17,1,0)</f>
        <v>1</v>
      </c>
      <c r="AI10" s="29">
        <f>IF(AI$4&lt;='Get Started  3'!$E17,1,0)</f>
        <v>1</v>
      </c>
      <c r="AJ10" s="29">
        <f>IF(AJ$4&lt;='Get Started  3'!$E17,1,0)</f>
        <v>1</v>
      </c>
      <c r="AK10" s="29">
        <f>IF(AK$4&lt;='Get Started  3'!$E17,1,0)</f>
        <v>1</v>
      </c>
      <c r="AL10" s="29">
        <f>IF(AL$4&lt;='Get Started  3'!$E17,1,0)</f>
        <v>1</v>
      </c>
      <c r="AM10" s="29">
        <f>IF(AM$4&lt;='Get Started  3'!$E17,1,0)</f>
        <v>1</v>
      </c>
      <c r="AN10" s="29">
        <f>IF(AN$4&lt;='Get Started  3'!$E17,1,0)</f>
        <v>1</v>
      </c>
      <c r="AO10" s="29">
        <f>IF(AO$4&lt;='Get Started  3'!$E17,1,0)</f>
        <v>1</v>
      </c>
      <c r="AP10" s="29">
        <f>IF(AP$4&lt;='Get Started  3'!$E17,1,0)</f>
        <v>1</v>
      </c>
      <c r="AQ10" s="29">
        <f>IF(AQ$4&lt;='Get Started  3'!$E17,1,0)</f>
        <v>1</v>
      </c>
      <c r="AR10" s="29">
        <f>IF(AR$4&lt;='Get Started  3'!$E17,1,0)</f>
        <v>1</v>
      </c>
      <c r="AS10" s="29">
        <f>IF(AS$4&lt;='Get Started  3'!$E17,1,0)</f>
        <v>1</v>
      </c>
      <c r="AT10" s="29">
        <f>IF(AT$4&lt;='Get Started  3'!$E17,1,0)</f>
        <v>1</v>
      </c>
      <c r="AU10" s="29">
        <f>IF(AU$4&lt;='Get Started  3'!$E17,1,0)</f>
        <v>0</v>
      </c>
      <c r="AV10" s="29">
        <f>IF(AV$4&lt;='Get Started  3'!$E17,1,0)</f>
        <v>0</v>
      </c>
      <c r="AW10" s="29">
        <f>IF(AW$4&lt;='Get Started  3'!$E17,1,0)</f>
        <v>0</v>
      </c>
      <c r="AX10" s="29">
        <f>IF(AX$4&lt;='Get Started  3'!$E17,1,0)</f>
        <v>0</v>
      </c>
      <c r="AY10" s="29">
        <f>IF(AY$4&lt;='Get Started  3'!$E17,1,0)</f>
        <v>0</v>
      </c>
      <c r="AZ10" s="29">
        <f>IF(AZ$4&lt;='Get Started  3'!$E17,1,0)</f>
        <v>0</v>
      </c>
      <c r="BA10" s="29">
        <f>IF(BA$4&lt;='Get Started  3'!$E17,1,0)</f>
        <v>0</v>
      </c>
      <c r="BB10" s="29">
        <f>IF(BB$4&lt;='Get Started  3'!$E17,1,0)</f>
        <v>0</v>
      </c>
      <c r="BC10" s="29">
        <f>IF(BC$4&lt;='Get Started  3'!$E17,1,0)</f>
        <v>0</v>
      </c>
      <c r="BD10" s="29">
        <f>IF(BD$4&lt;='Get Started  3'!$E17,1,0)</f>
        <v>0</v>
      </c>
      <c r="BE10" s="29">
        <f>IF(BE$4&lt;='Get Started  3'!$E17,1,0)</f>
        <v>0</v>
      </c>
      <c r="BF10" s="29">
        <f>IF(BF$4&lt;='Get Started  3'!$E17,1,0)</f>
        <v>0</v>
      </c>
      <c r="BG10" s="29">
        <f>IF(BG$4&lt;='Get Started  3'!$E17,1,0)</f>
        <v>0</v>
      </c>
      <c r="BH10" s="29">
        <f>IF(BH$4&lt;='Get Started  3'!$E17,1,0)</f>
        <v>0</v>
      </c>
      <c r="BI10" s="29">
        <f>IF(BI$4&lt;='Get Started  3'!$E17,1,0)</f>
        <v>0</v>
      </c>
      <c r="BJ10" s="29">
        <f>IF(BJ$4&lt;='Get Started  3'!$E17,1,0)</f>
        <v>0</v>
      </c>
      <c r="BK10" s="29">
        <f>IF(BK$4&lt;='Get Started  3'!$E17,1,0)</f>
        <v>0</v>
      </c>
      <c r="BL10" s="29">
        <f>IF(BL$4&lt;='Get Started  3'!$E17,1,0)</f>
        <v>0</v>
      </c>
      <c r="BM10" s="29">
        <f>IF(BM$4&lt;='Get Started  3'!$E17,1,0)</f>
        <v>0</v>
      </c>
      <c r="BN10" s="29">
        <f>IF(BN$4&lt;='Get Started  3'!$E17,1,0)</f>
        <v>0</v>
      </c>
      <c r="BO10" s="29">
        <f>IF(BO$4&lt;='Get Started  3'!$E17,1,0)</f>
        <v>0</v>
      </c>
      <c r="BP10" s="29">
        <f>IF(BP$4&lt;='Get Started  3'!$E17,1,0)</f>
        <v>0</v>
      </c>
      <c r="BQ10" s="29">
        <f>IF(BQ$4&lt;='Get Started  3'!$E17,1,0)</f>
        <v>0</v>
      </c>
      <c r="BR10" s="29">
        <f>IF(BR$4&lt;='Get Started  3'!$E17,1,0)</f>
        <v>0</v>
      </c>
      <c r="BS10" s="29">
        <f>IF(BS$4&lt;='Get Started  3'!$E17,1,0)</f>
        <v>0</v>
      </c>
      <c r="BT10" s="29">
        <f>IF(BT$4&lt;='Get Started  3'!$E17,1,0)</f>
        <v>0</v>
      </c>
      <c r="BU10" s="29">
        <f>IF(BU$4&lt;='Get Started  3'!$E17,1,0)</f>
        <v>0</v>
      </c>
      <c r="BV10" s="29">
        <f>IF(BV$4&lt;='Get Started  3'!$E17,1,0)</f>
        <v>0</v>
      </c>
      <c r="BW10" s="29">
        <f>IF(BW$4&lt;='Get Started  3'!$E17,1,0)</f>
        <v>0</v>
      </c>
      <c r="BX10" s="29">
        <f>IF(BX$4&lt;='Get Started  3'!$E17,1,0)</f>
        <v>0</v>
      </c>
      <c r="BY10" s="29">
        <f>IF(BY$4&lt;='Get Started  3'!$E17,1,0)</f>
        <v>0</v>
      </c>
      <c r="BZ10" s="29">
        <f>IF(BZ$4&lt;='Get Started  3'!$E17,1,0)</f>
        <v>0</v>
      </c>
      <c r="CA10" s="29">
        <f>IF(CA$4&lt;='Get Started  3'!$E17,1,0)</f>
        <v>0</v>
      </c>
      <c r="CB10" s="29">
        <f>IF(CB$4&lt;='Get Started  3'!$E17,1,0)</f>
        <v>0</v>
      </c>
      <c r="CC10" s="29">
        <f>IF(CC$4&lt;='Get Started  3'!$E17,1,0)</f>
        <v>0</v>
      </c>
      <c r="CD10" s="29">
        <f>IF(CD$4&lt;='Get Started  3'!$E17,1,0)</f>
        <v>0</v>
      </c>
      <c r="CE10" s="29">
        <f>IF(CE$4&lt;='Get Started  3'!$E17,1,0)</f>
        <v>0</v>
      </c>
      <c r="CF10" s="29">
        <f>IF(CF$4&lt;='Get Started  3'!$E17,1,0)</f>
        <v>0</v>
      </c>
      <c r="CG10" s="29">
        <f>IF(CG$4&lt;='Get Started  3'!$E17,1,0)</f>
        <v>0</v>
      </c>
      <c r="CH10" s="29">
        <f>IF(CH$4&lt;='Get Started  3'!$E17,1,0)</f>
        <v>0</v>
      </c>
    </row>
    <row r="11" spans="1:86" ht="13">
      <c r="B11" s="13" t="s">
        <v>240</v>
      </c>
      <c r="D11" s="13" t="s">
        <v>238</v>
      </c>
      <c r="E11" s="37">
        <f>IF(D11="sum",SUM(G11:EP11),IF(D11="final",EP11,IF(D11="initial",G11,IF(D11="average",AVERAGE(G11:EP11),0))))</f>
        <v>16</v>
      </c>
      <c r="F11" s="48"/>
      <c r="G11" s="37">
        <f>IF('Get Started  3'!$E29="new investments",G8,IF(G$4&lt;='Get Started  3'!$E15+MAX('Get Started  3'!$E55:$H55,'Get Started  3'!$E65:$H65),1,0))</f>
        <v>1</v>
      </c>
      <c r="H11" s="37">
        <f>IF('Get Started  3'!$E29="new investments",H8,IF(H$4&lt;='Get Started  3'!$E15+MAX('Get Started  3'!$E55:$H55,'Get Started  3'!$E65:$H65),1,0))</f>
        <v>1</v>
      </c>
      <c r="I11" s="37">
        <f>IF('Get Started  3'!$E29="new investments",I8,IF(I$4&lt;='Get Started  3'!$E15+MAX('Get Started  3'!$E55:$H55,'Get Started  3'!$E65:$H65),1,0))</f>
        <v>1</v>
      </c>
      <c r="J11" s="37">
        <f>IF('Get Started  3'!$E29="new investments",J8,IF(J$4&lt;='Get Started  3'!$E15+MAX('Get Started  3'!$E55:$H55,'Get Started  3'!$E65:$H65),1,0))</f>
        <v>1</v>
      </c>
      <c r="K11" s="37">
        <f>IF('Get Started  3'!$E29="new investments",K8,IF(K$4&lt;='Get Started  3'!$E15+MAX('Get Started  3'!$E55:$H55,'Get Started  3'!$E65:$H65),1,0))</f>
        <v>1</v>
      </c>
      <c r="L11" s="37">
        <f>IF('Get Started  3'!$E29="new investments",L8,IF(L$4&lt;='Get Started  3'!$E15+MAX('Get Started  3'!$E55:$H55,'Get Started  3'!$E65:$H65),1,0))</f>
        <v>1</v>
      </c>
      <c r="M11" s="37">
        <f>IF('Get Started  3'!$E29="new investments",M8,IF(M$4&lt;='Get Started  3'!$E15+MAX('Get Started  3'!$E55:$H55,'Get Started  3'!$E65:$H65),1,0))</f>
        <v>1</v>
      </c>
      <c r="N11" s="37">
        <f>IF('Get Started  3'!$E29="new investments",N8,IF(N$4&lt;='Get Started  3'!$E15+MAX('Get Started  3'!$E55:$H55,'Get Started  3'!$E65:$H65),1,0))</f>
        <v>1</v>
      </c>
      <c r="O11" s="37">
        <f>IF('Get Started  3'!$E29="new investments",O8,IF(O$4&lt;='Get Started  3'!$E15+MAX('Get Started  3'!$E55:$H55,'Get Started  3'!$E65:$H65),1,0))</f>
        <v>1</v>
      </c>
      <c r="P11" s="37">
        <f>IF('Get Started  3'!$E29="new investments",P8,IF(P$4&lt;='Get Started  3'!$E15+MAX('Get Started  3'!$E55:$H55,'Get Started  3'!$E65:$H65),1,0))</f>
        <v>1</v>
      </c>
      <c r="Q11" s="37">
        <f>IF('Get Started  3'!$E29="new investments",Q8,IF(Q$4&lt;='Get Started  3'!$E15+MAX('Get Started  3'!$E55:$H55,'Get Started  3'!$E65:$H65),1,0))</f>
        <v>1</v>
      </c>
      <c r="R11" s="37">
        <f>IF('Get Started  3'!$E29="new investments",R8,IF(R$4&lt;='Get Started  3'!$E15+MAX('Get Started  3'!$E55:$H55,'Get Started  3'!$E65:$H65),1,0))</f>
        <v>1</v>
      </c>
      <c r="S11" s="37">
        <f>IF('Get Started  3'!$E29="new investments",S8,IF(S$4&lt;='Get Started  3'!$E15+MAX('Get Started  3'!$E55:$H55,'Get Started  3'!$E65:$H65),1,0))</f>
        <v>1</v>
      </c>
      <c r="T11" s="37">
        <f>IF('Get Started  3'!$E29="new investments",T8,IF(T$4&lt;='Get Started  3'!$E15+MAX('Get Started  3'!$E55:$H55,'Get Started  3'!$E65:$H65),1,0))</f>
        <v>1</v>
      </c>
      <c r="U11" s="37">
        <f>IF('Get Started  3'!$E29="new investments",U8,IF(U$4&lt;='Get Started  3'!$E15+MAX('Get Started  3'!$E55:$H55,'Get Started  3'!$E65:$H65),1,0))</f>
        <v>1</v>
      </c>
      <c r="V11" s="37">
        <f>IF('Get Started  3'!$E29="new investments",V8,IF(V$4&lt;='Get Started  3'!$E15+MAX('Get Started  3'!$E55:$H55,'Get Started  3'!$E65:$H65),1,0))</f>
        <v>1</v>
      </c>
      <c r="W11" s="37">
        <f>IF('Get Started  3'!$E29="new investments",W8,IF(W$4&lt;='Get Started  3'!$E15+MAX('Get Started  3'!$E55:$H55,'Get Started  3'!$E65:$H65),1,0))</f>
        <v>0</v>
      </c>
      <c r="X11" s="37">
        <f>IF('Get Started  3'!$E29="new investments",X8,IF(X$4&lt;='Get Started  3'!$E15+MAX('Get Started  3'!$E55:$H55,'Get Started  3'!$E65:$H65),1,0))</f>
        <v>0</v>
      </c>
      <c r="Y11" s="37">
        <f>IF('Get Started  3'!$E29="new investments",Y8,IF(Y$4&lt;='Get Started  3'!$E15+MAX('Get Started  3'!$E55:$H55,'Get Started  3'!$E65:$H65),1,0))</f>
        <v>0</v>
      </c>
      <c r="Z11" s="37">
        <f>IF('Get Started  3'!$E29="new investments",Z8,IF(Z$4&lt;='Get Started  3'!$E15+MAX('Get Started  3'!$E55:$H55,'Get Started  3'!$E65:$H65),1,0))</f>
        <v>0</v>
      </c>
      <c r="AA11" s="37">
        <f>IF('Get Started  3'!$E29="new investments",AA8,IF(AA$4&lt;='Get Started  3'!$E15+MAX('Get Started  3'!$E55:$H55,'Get Started  3'!$E65:$H65),1,0))</f>
        <v>0</v>
      </c>
      <c r="AB11" s="37">
        <f>IF('Get Started  3'!$E29="new investments",AB8,IF(AB$4&lt;='Get Started  3'!$E15+MAX('Get Started  3'!$E55:$H55,'Get Started  3'!$E65:$H65),1,0))</f>
        <v>0</v>
      </c>
      <c r="AC11" s="37">
        <f>IF('Get Started  3'!$E29="new investments",AC8,IF(AC$4&lt;='Get Started  3'!$E15+MAX('Get Started  3'!$E55:$H55,'Get Started  3'!$E65:$H65),1,0))</f>
        <v>0</v>
      </c>
      <c r="AD11" s="37">
        <f>IF('Get Started  3'!$E29="new investments",AD8,IF(AD$4&lt;='Get Started  3'!$E15+MAX('Get Started  3'!$E55:$H55,'Get Started  3'!$E65:$H65),1,0))</f>
        <v>0</v>
      </c>
      <c r="AE11" s="37">
        <f>IF('Get Started  3'!$E29="new investments",AE8,IF(AE$4&lt;='Get Started  3'!$E15+MAX('Get Started  3'!$E55:$H55,'Get Started  3'!$E65:$H65),1,0))</f>
        <v>0</v>
      </c>
      <c r="AF11" s="37">
        <f>IF('Get Started  3'!$E29="new investments",AF8,IF(AF$4&lt;='Get Started  3'!$E15+MAX('Get Started  3'!$E55:$H55,'Get Started  3'!$E65:$H65),1,0))</f>
        <v>0</v>
      </c>
      <c r="AG11" s="37">
        <f>IF('Get Started  3'!$E29="new investments",AG8,IF(AG$4&lt;='Get Started  3'!$E15+MAX('Get Started  3'!$E55:$H55,'Get Started  3'!$E65:$H65),1,0))</f>
        <v>0</v>
      </c>
      <c r="AH11" s="37">
        <f>IF('Get Started  3'!$E29="new investments",AH8,IF(AH$4&lt;='Get Started  3'!$E15+MAX('Get Started  3'!$E55:$H55,'Get Started  3'!$E65:$H65),1,0))</f>
        <v>0</v>
      </c>
      <c r="AI11" s="37">
        <f>IF('Get Started  3'!$E29="new investments",AI8,IF(AI$4&lt;='Get Started  3'!$E15+MAX('Get Started  3'!$E55:$H55,'Get Started  3'!$E65:$H65),1,0))</f>
        <v>0</v>
      </c>
      <c r="AJ11" s="37">
        <f>IF('Get Started  3'!$E29="new investments",AJ8,IF(AJ$4&lt;='Get Started  3'!$E15+MAX('Get Started  3'!$E55:$H55,'Get Started  3'!$E65:$H65),1,0))</f>
        <v>0</v>
      </c>
      <c r="AK11" s="37">
        <f>IF('Get Started  3'!$E29="new investments",AK8,IF(AK$4&lt;='Get Started  3'!$E15+MAX('Get Started  3'!$E55:$H55,'Get Started  3'!$E65:$H65),1,0))</f>
        <v>0</v>
      </c>
      <c r="AL11" s="37">
        <f>IF('Get Started  3'!$E29="new investments",AL8,IF(AL$4&lt;='Get Started  3'!$E15+MAX('Get Started  3'!$E55:$H55,'Get Started  3'!$E65:$H65),1,0))</f>
        <v>0</v>
      </c>
      <c r="AM11" s="37">
        <f>IF('Get Started  3'!$E29="new investments",AM8,IF(AM$4&lt;='Get Started  3'!$E15+MAX('Get Started  3'!$E55:$H55,'Get Started  3'!$E65:$H65),1,0))</f>
        <v>0</v>
      </c>
      <c r="AN11" s="37">
        <f>IF('Get Started  3'!$E29="new investments",AN8,IF(AN$4&lt;='Get Started  3'!$E15+MAX('Get Started  3'!$E55:$H55,'Get Started  3'!$E65:$H65),1,0))</f>
        <v>0</v>
      </c>
      <c r="AO11" s="37">
        <f>IF('Get Started  3'!$E29="new investments",AO8,IF(AO$4&lt;='Get Started  3'!$E15+MAX('Get Started  3'!$E55:$H55,'Get Started  3'!$E65:$H65),1,0))</f>
        <v>0</v>
      </c>
      <c r="AP11" s="37">
        <f>IF('Get Started  3'!$E29="new investments",AP8,IF(AP$4&lt;='Get Started  3'!$E15+MAX('Get Started  3'!$E55:$H55,'Get Started  3'!$E65:$H65),1,0))</f>
        <v>0</v>
      </c>
      <c r="AQ11" s="37">
        <f>IF('Get Started  3'!$E29="new investments",AQ8,IF(AQ$4&lt;='Get Started  3'!$E15+MAX('Get Started  3'!$E55:$H55,'Get Started  3'!$E65:$H65),1,0))</f>
        <v>0</v>
      </c>
      <c r="AR11" s="37">
        <f>IF('Get Started  3'!$E29="new investments",AR8,IF(AR$4&lt;='Get Started  3'!$E15+MAX('Get Started  3'!$E55:$H55,'Get Started  3'!$E65:$H65),1,0))</f>
        <v>0</v>
      </c>
      <c r="AS11" s="37">
        <f>IF('Get Started  3'!$E29="new investments",AS8,IF(AS$4&lt;='Get Started  3'!$E15+MAX('Get Started  3'!$E55:$H55,'Get Started  3'!$E65:$H65),1,0))</f>
        <v>0</v>
      </c>
      <c r="AT11" s="37">
        <f>IF('Get Started  3'!$E29="new investments",AT8,IF(AT$4&lt;='Get Started  3'!$E15+MAX('Get Started  3'!$E55:$H55,'Get Started  3'!$E65:$H65),1,0))</f>
        <v>0</v>
      </c>
      <c r="AU11" s="37">
        <f>IF('Get Started  3'!$E29="new investments",AU8,IF(AU$4&lt;='Get Started  3'!$E15+MAX('Get Started  3'!$E55:$H55,'Get Started  3'!$E65:$H65),1,0))</f>
        <v>0</v>
      </c>
      <c r="AV11" s="37">
        <f>IF('Get Started  3'!$E29="new investments",AV8,IF(AV$4&lt;='Get Started  3'!$E15+MAX('Get Started  3'!$E55:$H55,'Get Started  3'!$E65:$H65),1,0))</f>
        <v>0</v>
      </c>
      <c r="AW11" s="37">
        <f>IF('Get Started  3'!$E29="new investments",AW8,IF(AW$4&lt;='Get Started  3'!$E15+MAX('Get Started  3'!$E55:$H55,'Get Started  3'!$E65:$H65),1,0))</f>
        <v>0</v>
      </c>
      <c r="AX11" s="37">
        <f>IF('Get Started  3'!$E29="new investments",AX8,IF(AX$4&lt;='Get Started  3'!$E15+MAX('Get Started  3'!$E55:$H55,'Get Started  3'!$E65:$H65),1,0))</f>
        <v>0</v>
      </c>
      <c r="AY11" s="37">
        <f>IF('Get Started  3'!$E29="new investments",AY8,IF(AY$4&lt;='Get Started  3'!$E15+MAX('Get Started  3'!$E55:$H55,'Get Started  3'!$E65:$H65),1,0))</f>
        <v>0</v>
      </c>
      <c r="AZ11" s="37">
        <f>IF('Get Started  3'!$E29="new investments",AZ8,IF(AZ$4&lt;='Get Started  3'!$E15+MAX('Get Started  3'!$E55:$H55,'Get Started  3'!$E65:$H65),1,0))</f>
        <v>0</v>
      </c>
      <c r="BA11" s="37">
        <f>IF('Get Started  3'!$E29="new investments",BA8,IF(BA$4&lt;='Get Started  3'!$E15+MAX('Get Started  3'!$E55:$H55,'Get Started  3'!$E65:$H65),1,0))</f>
        <v>0</v>
      </c>
      <c r="BB11" s="37">
        <f>IF('Get Started  3'!$E29="new investments",BB8,IF(BB$4&lt;='Get Started  3'!$E15+MAX('Get Started  3'!$E55:$H55,'Get Started  3'!$E65:$H65),1,0))</f>
        <v>0</v>
      </c>
      <c r="BC11" s="37">
        <f>IF('Get Started  3'!$E29="new investments",BC8,IF(BC$4&lt;='Get Started  3'!$E15+MAX('Get Started  3'!$E55:$H55,'Get Started  3'!$E65:$H65),1,0))</f>
        <v>0</v>
      </c>
      <c r="BD11" s="37">
        <f>IF('Get Started  3'!$E29="new investments",BD8,IF(BD$4&lt;='Get Started  3'!$E15+MAX('Get Started  3'!$E55:$H55,'Get Started  3'!$E65:$H65),1,0))</f>
        <v>0</v>
      </c>
      <c r="BE11" s="37">
        <f>IF('Get Started  3'!$E29="new investments",BE8,IF(BE$4&lt;='Get Started  3'!$E15+MAX('Get Started  3'!$E55:$H55,'Get Started  3'!$E65:$H65),1,0))</f>
        <v>0</v>
      </c>
      <c r="BF11" s="37">
        <f>IF('Get Started  3'!$E29="new investments",BF8,IF(BF$4&lt;='Get Started  3'!$E15+MAX('Get Started  3'!$E55:$H55,'Get Started  3'!$E65:$H65),1,0))</f>
        <v>0</v>
      </c>
      <c r="BG11" s="37">
        <f>IF('Get Started  3'!$E29="new investments",BG8,IF(BG$4&lt;='Get Started  3'!$E15+MAX('Get Started  3'!$E55:$H55,'Get Started  3'!$E65:$H65),1,0))</f>
        <v>0</v>
      </c>
      <c r="BH11" s="37">
        <f>IF('Get Started  3'!$E29="new investments",BH8,IF(BH$4&lt;='Get Started  3'!$E15+MAX('Get Started  3'!$E55:$H55,'Get Started  3'!$E65:$H65),1,0))</f>
        <v>0</v>
      </c>
      <c r="BI11" s="37">
        <f>IF('Get Started  3'!$E29="new investments",BI8,IF(BI$4&lt;='Get Started  3'!$E15+MAX('Get Started  3'!$E55:$H55,'Get Started  3'!$E65:$H65),1,0))</f>
        <v>0</v>
      </c>
      <c r="BJ11" s="37">
        <f>IF('Get Started  3'!$E29="new investments",BJ8,IF(BJ$4&lt;='Get Started  3'!$E15+MAX('Get Started  3'!$E55:$H55,'Get Started  3'!$E65:$H65),1,0))</f>
        <v>0</v>
      </c>
      <c r="BK11" s="37">
        <f>IF('Get Started  3'!$E29="new investments",BK8,IF(BK$4&lt;='Get Started  3'!$E15+MAX('Get Started  3'!$E55:$H55,'Get Started  3'!$E65:$H65),1,0))</f>
        <v>0</v>
      </c>
      <c r="BL11" s="37">
        <f>IF('Get Started  3'!$E29="new investments",BL8,IF(BL$4&lt;='Get Started  3'!$E15+MAX('Get Started  3'!$E55:$H55,'Get Started  3'!$E65:$H65),1,0))</f>
        <v>0</v>
      </c>
      <c r="BM11" s="37">
        <f>IF('Get Started  3'!$E29="new investments",BM8,IF(BM$4&lt;='Get Started  3'!$E15+MAX('Get Started  3'!$E55:$H55,'Get Started  3'!$E65:$H65),1,0))</f>
        <v>0</v>
      </c>
      <c r="BN11" s="37">
        <f>IF('Get Started  3'!$E29="new investments",BN8,IF(BN$4&lt;='Get Started  3'!$E15+MAX('Get Started  3'!$E55:$H55,'Get Started  3'!$E65:$H65),1,0))</f>
        <v>0</v>
      </c>
      <c r="BO11" s="37">
        <f>IF('Get Started  3'!$E29="new investments",BO8,IF(BO$4&lt;='Get Started  3'!$E15+MAX('Get Started  3'!$E55:$H55,'Get Started  3'!$E65:$H65),1,0))</f>
        <v>0</v>
      </c>
      <c r="BP11" s="37">
        <f>IF('Get Started  3'!$E29="new investments",BP8,IF(BP$4&lt;='Get Started  3'!$E15+MAX('Get Started  3'!$E55:$H55,'Get Started  3'!$E65:$H65),1,0))</f>
        <v>0</v>
      </c>
      <c r="BQ11" s="37">
        <f>IF('Get Started  3'!$E29="new investments",BQ8,IF(BQ$4&lt;='Get Started  3'!$E15+MAX('Get Started  3'!$E55:$H55,'Get Started  3'!$E65:$H65),1,0))</f>
        <v>0</v>
      </c>
      <c r="BR11" s="37">
        <f>IF('Get Started  3'!$E29="new investments",BR8,IF(BR$4&lt;='Get Started  3'!$E15+MAX('Get Started  3'!$E55:$H55,'Get Started  3'!$E65:$H65),1,0))</f>
        <v>0</v>
      </c>
      <c r="BS11" s="37">
        <f>IF('Get Started  3'!$E29="new investments",BS8,IF(BS$4&lt;='Get Started  3'!$E15+MAX('Get Started  3'!$E55:$H55,'Get Started  3'!$E65:$H65),1,0))</f>
        <v>0</v>
      </c>
      <c r="BT11" s="37">
        <f>IF('Get Started  3'!$E29="new investments",BT8,IF(BT$4&lt;='Get Started  3'!$E15+MAX('Get Started  3'!$E55:$H55,'Get Started  3'!$E65:$H65),1,0))</f>
        <v>0</v>
      </c>
      <c r="BU11" s="37">
        <f>IF('Get Started  3'!$E29="new investments",BU8,IF(BU$4&lt;='Get Started  3'!$E15+MAX('Get Started  3'!$E55:$H55,'Get Started  3'!$E65:$H65),1,0))</f>
        <v>0</v>
      </c>
      <c r="BV11" s="37">
        <f>IF('Get Started  3'!$E29="new investments",BV8,IF(BV$4&lt;='Get Started  3'!$E15+MAX('Get Started  3'!$E55:$H55,'Get Started  3'!$E65:$H65),1,0))</f>
        <v>0</v>
      </c>
      <c r="BW11" s="37">
        <f>IF('Get Started  3'!$E29="new investments",BW8,IF(BW$4&lt;='Get Started  3'!$E15+MAX('Get Started  3'!$E55:$H55,'Get Started  3'!$E65:$H65),1,0))</f>
        <v>0</v>
      </c>
      <c r="BX11" s="37">
        <f>IF('Get Started  3'!$E29="new investments",BX8,IF(BX$4&lt;='Get Started  3'!$E15+MAX('Get Started  3'!$E55:$H55,'Get Started  3'!$E65:$H65),1,0))</f>
        <v>0</v>
      </c>
      <c r="BY11" s="37">
        <f>IF('Get Started  3'!$E29="new investments",BY8,IF(BY$4&lt;='Get Started  3'!$E15+MAX('Get Started  3'!$E55:$H55,'Get Started  3'!$E65:$H65),1,0))</f>
        <v>0</v>
      </c>
      <c r="BZ11" s="37">
        <f>IF('Get Started  3'!$E29="new investments",BZ8,IF(BZ$4&lt;='Get Started  3'!$E15+MAX('Get Started  3'!$E55:$H55,'Get Started  3'!$E65:$H65),1,0))</f>
        <v>0</v>
      </c>
      <c r="CA11" s="37">
        <f>IF('Get Started  3'!$E29="new investments",CA8,IF(CA$4&lt;='Get Started  3'!$E15+MAX('Get Started  3'!$E55:$H55,'Get Started  3'!$E65:$H65),1,0))</f>
        <v>0</v>
      </c>
      <c r="CB11" s="37">
        <f>IF('Get Started  3'!$E29="new investments",CB8,IF(CB$4&lt;='Get Started  3'!$E15+MAX('Get Started  3'!$E55:$H55,'Get Started  3'!$E65:$H65),1,0))</f>
        <v>0</v>
      </c>
      <c r="CC11" s="37">
        <f>IF('Get Started  3'!$E29="new investments",CC8,IF(CC$4&lt;='Get Started  3'!$E15+MAX('Get Started  3'!$E55:$H55,'Get Started  3'!$E65:$H65),1,0))</f>
        <v>0</v>
      </c>
      <c r="CD11" s="37">
        <f>IF('Get Started  3'!$E29="new investments",CD8,IF(CD$4&lt;='Get Started  3'!$E15+MAX('Get Started  3'!$E55:$H55,'Get Started  3'!$E65:$H65),1,0))</f>
        <v>0</v>
      </c>
      <c r="CE11" s="37">
        <f>IF('Get Started  3'!$E29="new investments",CE8,IF(CE$4&lt;='Get Started  3'!$E15+MAX('Get Started  3'!$E55:$H55,'Get Started  3'!$E65:$H65),1,0))</f>
        <v>0</v>
      </c>
      <c r="CF11" s="37">
        <f>IF('Get Started  3'!$E29="new investments",CF8,IF(CF$4&lt;='Get Started  3'!$E15+MAX('Get Started  3'!$E55:$H55,'Get Started  3'!$E65:$H65),1,0))</f>
        <v>0</v>
      </c>
      <c r="CG11" s="37">
        <f>IF('Get Started  3'!$E29="new investments",CG8,IF(CG$4&lt;='Get Started  3'!$E15+MAX('Get Started  3'!$E55:$H55,'Get Started  3'!$E65:$H65),1,0))</f>
        <v>0</v>
      </c>
      <c r="CH11" s="37">
        <f>IF('Get Started  3'!$E29="new investments",CH8,IF(CH$4&lt;='Get Started  3'!$E15+MAX('Get Started  3'!$E55:$H55,'Get Started  3'!$E65:$H65),1,0))</f>
        <v>0</v>
      </c>
    </row>
    <row r="12" spans="1:86" ht="13">
      <c r="B12" s="15"/>
      <c r="C12" s="15"/>
      <c r="D12" s="15"/>
      <c r="E12" s="15"/>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row>
    <row r="13" spans="1:86" ht="13">
      <c r="B13" s="76" t="s">
        <v>241</v>
      </c>
      <c r="C13" s="15"/>
      <c r="D13" s="15"/>
      <c r="E13" s="15"/>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row>
    <row r="14" spans="1:86" ht="13">
      <c r="B14" s="15" t="s">
        <v>242</v>
      </c>
      <c r="D14" s="15" t="s">
        <v>238</v>
      </c>
      <c r="E14" s="77">
        <f t="shared" ref="E14:E17" si="3">IF(D14="sum",SUM(G14:CH14),IF(D14="final",CH14,IF(D14="initial",G14,IF(D14="average",AVERAGE(G14:CH14),0))))</f>
        <v>0.20000000000000009</v>
      </c>
      <c r="F14" s="29"/>
      <c r="G14" s="31">
        <f>Forecast!G14</f>
        <v>5.0000000000000001E-3</v>
      </c>
      <c r="H14" s="31">
        <f>IF(H9=1,'Get Started  3'!$E13/4,0)</f>
        <v>5.0000000000000001E-3</v>
      </c>
      <c r="I14" s="31">
        <f>IF(I9=1,'Get Started  3'!$E13/4,0)</f>
        <v>5.0000000000000001E-3</v>
      </c>
      <c r="J14" s="31">
        <f>IF(J9=1,'Get Started  3'!$E13/4,0)</f>
        <v>5.0000000000000001E-3</v>
      </c>
      <c r="K14" s="31">
        <f>IF(K9=1,'Get Started  3'!$E13/4,0)</f>
        <v>5.0000000000000001E-3</v>
      </c>
      <c r="L14" s="31">
        <f>IF(L9=1,'Get Started  3'!$E13/4,0)</f>
        <v>5.0000000000000001E-3</v>
      </c>
      <c r="M14" s="31">
        <f>IF(M9=1,'Get Started  3'!$E13/4,0)</f>
        <v>5.0000000000000001E-3</v>
      </c>
      <c r="N14" s="31">
        <f>IF(N9=1,'Get Started  3'!$E13/4,0)</f>
        <v>5.0000000000000001E-3</v>
      </c>
      <c r="O14" s="31">
        <f>IF(O9=1,'Get Started  3'!$E13/4,0)</f>
        <v>5.0000000000000001E-3</v>
      </c>
      <c r="P14" s="31">
        <f>IF(P9=1,'Get Started  3'!$E13/4,0)</f>
        <v>5.0000000000000001E-3</v>
      </c>
      <c r="Q14" s="31">
        <f>IF(Q9=1,'Get Started  3'!$E13/4,0)</f>
        <v>5.0000000000000001E-3</v>
      </c>
      <c r="R14" s="31">
        <f>IF(R9=1,'Get Started  3'!$E13/4,0)</f>
        <v>5.0000000000000001E-3</v>
      </c>
      <c r="S14" s="31">
        <f>IF(S9=1,'Get Started  3'!$E13/4,0)</f>
        <v>5.0000000000000001E-3</v>
      </c>
      <c r="T14" s="31">
        <f>IF(T9=1,'Get Started  3'!$E13/4,0)</f>
        <v>5.0000000000000001E-3</v>
      </c>
      <c r="U14" s="31">
        <f>IF(U9=1,'Get Started  3'!$E13/4,0)</f>
        <v>5.0000000000000001E-3</v>
      </c>
      <c r="V14" s="31">
        <f>IF(V9=1,'Get Started  3'!$E13/4,0)</f>
        <v>5.0000000000000001E-3</v>
      </c>
      <c r="W14" s="31">
        <f>IF(W9=1,'Get Started  3'!$E13/4,0)</f>
        <v>5.0000000000000001E-3</v>
      </c>
      <c r="X14" s="31">
        <f>IF(X9=1,'Get Started  3'!$E13/4,0)</f>
        <v>5.0000000000000001E-3</v>
      </c>
      <c r="Y14" s="31">
        <f>IF(Y9=1,'Get Started  3'!$E13/4,0)</f>
        <v>5.0000000000000001E-3</v>
      </c>
      <c r="Z14" s="31">
        <f>IF(Z9=1,'Get Started  3'!$E13/4,0)</f>
        <v>5.0000000000000001E-3</v>
      </c>
      <c r="AA14" s="31">
        <f>IF(AA9=1,'Get Started  3'!$E13/4,0)</f>
        <v>5.0000000000000001E-3</v>
      </c>
      <c r="AB14" s="31">
        <f>IF(AB9=1,'Get Started  3'!$E13/4,0)</f>
        <v>5.0000000000000001E-3</v>
      </c>
      <c r="AC14" s="31">
        <f>IF(AC9=1,'Get Started  3'!$E13/4,0)</f>
        <v>5.0000000000000001E-3</v>
      </c>
      <c r="AD14" s="31">
        <f>IF(AD9=1,'Get Started  3'!$E13/4,0)</f>
        <v>5.0000000000000001E-3</v>
      </c>
      <c r="AE14" s="31">
        <f>IF(AE9=1,'Get Started  3'!$E13/4,0)</f>
        <v>5.0000000000000001E-3</v>
      </c>
      <c r="AF14" s="31">
        <f>IF(AF9=1,'Get Started  3'!$E13/4,0)</f>
        <v>5.0000000000000001E-3</v>
      </c>
      <c r="AG14" s="31">
        <f>IF(AG9=1,'Get Started  3'!$E13/4,0)</f>
        <v>5.0000000000000001E-3</v>
      </c>
      <c r="AH14" s="31">
        <f>IF(AH9=1,'Get Started  3'!$E13/4,0)</f>
        <v>5.0000000000000001E-3</v>
      </c>
      <c r="AI14" s="31">
        <f>IF(AI9=1,'Get Started  3'!$E13/4,0)</f>
        <v>5.0000000000000001E-3</v>
      </c>
      <c r="AJ14" s="31">
        <f>IF(AJ9=1,'Get Started  3'!$E13/4,0)</f>
        <v>5.0000000000000001E-3</v>
      </c>
      <c r="AK14" s="31">
        <f>IF(AK9=1,'Get Started  3'!$E13/4,0)</f>
        <v>5.0000000000000001E-3</v>
      </c>
      <c r="AL14" s="31">
        <f>IF(AL9=1,'Get Started  3'!$E13/4,0)</f>
        <v>5.0000000000000001E-3</v>
      </c>
      <c r="AM14" s="31">
        <f>IF(AM9=1,'Get Started  3'!$E13/4,0)</f>
        <v>5.0000000000000001E-3</v>
      </c>
      <c r="AN14" s="31">
        <f>IF(AN9=1,'Get Started  3'!$E13/4,0)</f>
        <v>5.0000000000000001E-3</v>
      </c>
      <c r="AO14" s="31">
        <f>IF(AO9=1,'Get Started  3'!$E13/4,0)</f>
        <v>5.0000000000000001E-3</v>
      </c>
      <c r="AP14" s="31">
        <f>IF(AP9=1,'Get Started  3'!$E13/4,0)</f>
        <v>5.0000000000000001E-3</v>
      </c>
      <c r="AQ14" s="31">
        <f>IF(AQ9=1,'Get Started  3'!$E13/4,0)</f>
        <v>5.0000000000000001E-3</v>
      </c>
      <c r="AR14" s="31">
        <f>IF(AR9=1,'Get Started  3'!$E13/4,0)</f>
        <v>5.0000000000000001E-3</v>
      </c>
      <c r="AS14" s="31">
        <f>IF(AS9=1,'Get Started  3'!$E13/4,0)</f>
        <v>5.0000000000000001E-3</v>
      </c>
      <c r="AT14" s="31">
        <f>IF(AT9=1,'Get Started  3'!$E13/4,0)</f>
        <v>5.0000000000000001E-3</v>
      </c>
      <c r="AU14" s="31">
        <f>IF(AU9=1,'Get Started  3'!$E13/4,0)</f>
        <v>0</v>
      </c>
      <c r="AV14" s="31">
        <f>IF(AV9=1,'Get Started  3'!$E13/4,0)</f>
        <v>0</v>
      </c>
      <c r="AW14" s="31">
        <f>IF(AW9=1,'Get Started  3'!$E13/4,0)</f>
        <v>0</v>
      </c>
      <c r="AX14" s="31">
        <f>IF(AX9=1,'Get Started  3'!$E13/4,0)</f>
        <v>0</v>
      </c>
      <c r="AY14" s="31">
        <f>IF(AY9=1,'Get Started  3'!$E13/4,0)</f>
        <v>0</v>
      </c>
      <c r="AZ14" s="31">
        <f>IF(AZ9=1,'Get Started  3'!$E13/4,0)</f>
        <v>0</v>
      </c>
      <c r="BA14" s="31">
        <f>IF(BA9=1,'Get Started  3'!$E13/4,0)</f>
        <v>0</v>
      </c>
      <c r="BB14" s="31">
        <f>IF(BB9=1,'Get Started  3'!$E13/4,0)</f>
        <v>0</v>
      </c>
      <c r="BC14" s="31">
        <f>IF(BC9=1,'Get Started  3'!$E13/4,0)</f>
        <v>0</v>
      </c>
      <c r="BD14" s="31">
        <f>IF(BD9=1,'Get Started  3'!$E13/4,0)</f>
        <v>0</v>
      </c>
      <c r="BE14" s="31">
        <f>IF(BE9=1,'Get Started  3'!$E13/4,0)</f>
        <v>0</v>
      </c>
      <c r="BF14" s="31">
        <f>IF(BF9=1,'Get Started  3'!$E13/4,0)</f>
        <v>0</v>
      </c>
      <c r="BG14" s="31">
        <f>IF(BG9=1,'Get Started  3'!$E13/4,0)</f>
        <v>0</v>
      </c>
      <c r="BH14" s="31">
        <f>IF(BH9=1,'Get Started  3'!$E13/4,0)</f>
        <v>0</v>
      </c>
      <c r="BI14" s="31">
        <f>IF(BI9=1,'Get Started  3'!$E13/4,0)</f>
        <v>0</v>
      </c>
      <c r="BJ14" s="31">
        <f>IF(BJ9=1,'Get Started  3'!$E13/4,0)</f>
        <v>0</v>
      </c>
      <c r="BK14" s="31">
        <f>IF(BK9=1,'Get Started  3'!$E13/4,0)</f>
        <v>0</v>
      </c>
      <c r="BL14" s="31">
        <f>IF(BL9=1,'Get Started  3'!$E13/4,0)</f>
        <v>0</v>
      </c>
      <c r="BM14" s="31">
        <f>IF(BM9=1,'Get Started  3'!$E13/4,0)</f>
        <v>0</v>
      </c>
      <c r="BN14" s="31">
        <f>IF(BN9=1,'Get Started  3'!$E13/4,0)</f>
        <v>0</v>
      </c>
      <c r="BO14" s="31">
        <f>IF(BO9=1,'Get Started  3'!$E13/4,0)</f>
        <v>0</v>
      </c>
      <c r="BP14" s="31">
        <f>IF(BP9=1,'Get Started  3'!$E13/4,0)</f>
        <v>0</v>
      </c>
      <c r="BQ14" s="31">
        <f>IF(BQ9=1,'Get Started  3'!$E13/4,0)</f>
        <v>0</v>
      </c>
      <c r="BR14" s="31">
        <f>IF(BR9=1,'Get Started  3'!$E13/4,0)</f>
        <v>0</v>
      </c>
      <c r="BS14" s="31">
        <f>IF(BS9=1,'Get Started  3'!$E13/4,0)</f>
        <v>0</v>
      </c>
      <c r="BT14" s="31">
        <f>IF(BT9=1,'Get Started  3'!$E13/4,0)</f>
        <v>0</v>
      </c>
      <c r="BU14" s="31">
        <f>IF(BU9=1,'Get Started  3'!$E13/4,0)</f>
        <v>0</v>
      </c>
      <c r="BV14" s="31">
        <f>IF(BV9=1,'Get Started  3'!$E13/4,0)</f>
        <v>0</v>
      </c>
      <c r="BW14" s="31">
        <f>IF(BW9=1,'Get Started  3'!$E13/4,0)</f>
        <v>0</v>
      </c>
      <c r="BX14" s="31">
        <f>IF(BX9=1,'Get Started  3'!$E13/4,0)</f>
        <v>0</v>
      </c>
      <c r="BY14" s="31">
        <f>IF(BY9=1,'Get Started  3'!$E13/4,0)</f>
        <v>0</v>
      </c>
      <c r="BZ14" s="31">
        <f>IF(BZ9=1,'Get Started  3'!$E13/4,0)</f>
        <v>0</v>
      </c>
      <c r="CA14" s="31">
        <f>IF(CA9=1,'Get Started  3'!$E13/4,0)</f>
        <v>0</v>
      </c>
      <c r="CB14" s="31">
        <f>IF(CB9=1,'Get Started  3'!$E13/4,0)</f>
        <v>0</v>
      </c>
      <c r="CC14" s="31">
        <f>IF(CC9=1,'Get Started  3'!$E13/4,0)</f>
        <v>0</v>
      </c>
      <c r="CD14" s="31">
        <f>IF(CD9=1,'Get Started  3'!$E13/4,0)</f>
        <v>0</v>
      </c>
      <c r="CE14" s="31">
        <f>IF(CE9=1,'Get Started  3'!$E13/4,0)</f>
        <v>0</v>
      </c>
      <c r="CF14" s="31">
        <f>IF(CF9=1,'Get Started  3'!$E13/4,0)</f>
        <v>0</v>
      </c>
      <c r="CG14" s="31">
        <f>IF(CG9=1,'Get Started  3'!$E13/4,0)</f>
        <v>0</v>
      </c>
      <c r="CH14" s="31">
        <f>IF(CH9=1,'Get Started  3'!$E13/4,0)</f>
        <v>0</v>
      </c>
    </row>
    <row r="15" spans="1:86" ht="13">
      <c r="B15" s="15" t="str">
        <f>"Management Fees based on "&amp;G15&amp;" capital. Can change per period if method for calc changes."</f>
        <v>Management Fees based on committed capital. Can change per period if method for calc changes.</v>
      </c>
      <c r="D15" s="15" t="s">
        <v>238</v>
      </c>
      <c r="E15" s="29">
        <f t="shared" si="3"/>
        <v>0</v>
      </c>
      <c r="F15" s="29"/>
      <c r="G15" s="78" t="str">
        <f>Forecast!G15</f>
        <v>committed</v>
      </c>
      <c r="H15" s="78" t="str">
        <f>Forecast!H15</f>
        <v>committed</v>
      </c>
      <c r="I15" s="78" t="str">
        <f>Forecast!I15</f>
        <v>committed</v>
      </c>
      <c r="J15" s="78" t="str">
        <f>Forecast!J15</f>
        <v>committed</v>
      </c>
      <c r="K15" s="78" t="str">
        <f>Forecast!K15</f>
        <v>committed</v>
      </c>
      <c r="L15" s="78" t="str">
        <f>Forecast!L15</f>
        <v>committed</v>
      </c>
      <c r="M15" s="78" t="str">
        <f>Forecast!M15</f>
        <v>committed</v>
      </c>
      <c r="N15" s="78" t="str">
        <f>Forecast!N15</f>
        <v>committed</v>
      </c>
      <c r="O15" s="78" t="str">
        <f>Forecast!O15</f>
        <v>committed</v>
      </c>
      <c r="P15" s="78" t="str">
        <f>Forecast!P15</f>
        <v>committed</v>
      </c>
      <c r="Q15" s="78" t="str">
        <f>Forecast!Q15</f>
        <v>committed</v>
      </c>
      <c r="R15" s="78" t="str">
        <f>Forecast!R15</f>
        <v>committed</v>
      </c>
      <c r="S15" s="78" t="str">
        <f>Forecast!S15</f>
        <v>committed</v>
      </c>
      <c r="T15" s="78" t="str">
        <f>Forecast!T15</f>
        <v>committed</v>
      </c>
      <c r="U15" s="78" t="str">
        <f>Forecast!U15</f>
        <v>committed</v>
      </c>
      <c r="V15" s="78" t="str">
        <f>Forecast!V15</f>
        <v>committed</v>
      </c>
      <c r="W15" s="78" t="str">
        <f>Forecast!W15</f>
        <v>committed</v>
      </c>
      <c r="X15" s="78" t="str">
        <f>Forecast!X15</f>
        <v>committed</v>
      </c>
      <c r="Y15" s="78" t="str">
        <f>Forecast!Y15</f>
        <v>committed</v>
      </c>
      <c r="Z15" s="78" t="str">
        <f>Forecast!Z15</f>
        <v>committed</v>
      </c>
      <c r="AA15" s="78" t="str">
        <f>Forecast!AA15</f>
        <v>committed</v>
      </c>
      <c r="AB15" s="78" t="str">
        <f>Forecast!AB15</f>
        <v>committed</v>
      </c>
      <c r="AC15" s="78" t="str">
        <f>Forecast!AC15</f>
        <v>committed</v>
      </c>
      <c r="AD15" s="78" t="str">
        <f>Forecast!AD15</f>
        <v>committed</v>
      </c>
      <c r="AE15" s="78" t="str">
        <f>Forecast!AE15</f>
        <v>committed</v>
      </c>
      <c r="AF15" s="78" t="str">
        <f>Forecast!AF15</f>
        <v>committed</v>
      </c>
      <c r="AG15" s="78" t="str">
        <f>Forecast!AG15</f>
        <v>committed</v>
      </c>
      <c r="AH15" s="78" t="str">
        <f>Forecast!AH15</f>
        <v>committed</v>
      </c>
      <c r="AI15" s="78" t="str">
        <f>Forecast!AI15</f>
        <v>committed</v>
      </c>
      <c r="AJ15" s="78" t="str">
        <f>Forecast!AJ15</f>
        <v>committed</v>
      </c>
      <c r="AK15" s="78" t="str">
        <f>Forecast!AK15</f>
        <v>committed</v>
      </c>
      <c r="AL15" s="78" t="str">
        <f>Forecast!AL15</f>
        <v>committed</v>
      </c>
      <c r="AM15" s="78" t="str">
        <f>Forecast!AM15</f>
        <v>committed</v>
      </c>
      <c r="AN15" s="78" t="str">
        <f>Forecast!AN15</f>
        <v>committed</v>
      </c>
      <c r="AO15" s="78" t="str">
        <f>Forecast!AO15</f>
        <v>committed</v>
      </c>
      <c r="AP15" s="78" t="str">
        <f>Forecast!AP15</f>
        <v>committed</v>
      </c>
      <c r="AQ15" s="78" t="str">
        <f>Forecast!AQ15</f>
        <v>committed</v>
      </c>
      <c r="AR15" s="78" t="str">
        <f>Forecast!AR15</f>
        <v>committed</v>
      </c>
      <c r="AS15" s="78" t="str">
        <f>Forecast!AS15</f>
        <v>committed</v>
      </c>
      <c r="AT15" s="78" t="str">
        <f>Forecast!AT15</f>
        <v>committed</v>
      </c>
      <c r="AU15" s="78" t="str">
        <f>Forecast!AU15</f>
        <v>committed</v>
      </c>
      <c r="AV15" s="78" t="str">
        <f>Forecast!AV15</f>
        <v>committed</v>
      </c>
      <c r="AW15" s="78" t="str">
        <f>Forecast!AW15</f>
        <v>committed</v>
      </c>
      <c r="AX15" s="78" t="str">
        <f>Forecast!AX15</f>
        <v>committed</v>
      </c>
      <c r="AY15" s="78" t="str">
        <f>Forecast!AY15</f>
        <v>committed</v>
      </c>
      <c r="AZ15" s="78" t="str">
        <f>Forecast!AZ15</f>
        <v>committed</v>
      </c>
      <c r="BA15" s="78" t="str">
        <f>Forecast!BA15</f>
        <v>committed</v>
      </c>
      <c r="BB15" s="78" t="str">
        <f>Forecast!BB15</f>
        <v>committed</v>
      </c>
      <c r="BC15" s="78" t="str">
        <f>Forecast!BC15</f>
        <v>committed</v>
      </c>
      <c r="BD15" s="78" t="str">
        <f>Forecast!BD15</f>
        <v>committed</v>
      </c>
      <c r="BE15" s="78" t="str">
        <f>Forecast!BE15</f>
        <v>committed</v>
      </c>
      <c r="BF15" s="78" t="str">
        <f>Forecast!BF15</f>
        <v>committed</v>
      </c>
      <c r="BG15" s="78" t="str">
        <f>Forecast!BG15</f>
        <v>committed</v>
      </c>
      <c r="BH15" s="78" t="str">
        <f>Forecast!BH15</f>
        <v>committed</v>
      </c>
      <c r="BI15" s="78" t="str">
        <f>Forecast!BI15</f>
        <v>committed</v>
      </c>
      <c r="BJ15" s="78" t="str">
        <f>Forecast!BJ15</f>
        <v>committed</v>
      </c>
      <c r="BK15" s="78" t="str">
        <f>Forecast!BK15</f>
        <v>committed</v>
      </c>
      <c r="BL15" s="78" t="str">
        <f>Forecast!BL15</f>
        <v>committed</v>
      </c>
      <c r="BM15" s="78" t="str">
        <f>Forecast!BM15</f>
        <v>committed</v>
      </c>
      <c r="BN15" s="78" t="str">
        <f>Forecast!BN15</f>
        <v>committed</v>
      </c>
      <c r="BO15" s="78" t="str">
        <f>Forecast!BO15</f>
        <v>committed</v>
      </c>
      <c r="BP15" s="78" t="str">
        <f>Forecast!BP15</f>
        <v>committed</v>
      </c>
      <c r="BQ15" s="78" t="str">
        <f>Forecast!BQ15</f>
        <v>committed</v>
      </c>
      <c r="BR15" s="78" t="str">
        <f>Forecast!BR15</f>
        <v>committed</v>
      </c>
      <c r="BS15" s="78" t="str">
        <f>Forecast!BS15</f>
        <v>committed</v>
      </c>
      <c r="BT15" s="78" t="str">
        <f>Forecast!BT15</f>
        <v>committed</v>
      </c>
      <c r="BU15" s="78" t="str">
        <f>Forecast!BU15</f>
        <v>committed</v>
      </c>
      <c r="BV15" s="78" t="str">
        <f>Forecast!BV15</f>
        <v>committed</v>
      </c>
      <c r="BW15" s="78" t="str">
        <f>Forecast!BW15</f>
        <v>committed</v>
      </c>
      <c r="BX15" s="78" t="str">
        <f>Forecast!BX15</f>
        <v>committed</v>
      </c>
      <c r="BY15" s="78" t="str">
        <f>Forecast!BY15</f>
        <v>committed</v>
      </c>
      <c r="BZ15" s="78" t="str">
        <f>Forecast!BZ15</f>
        <v>committed</v>
      </c>
      <c r="CA15" s="78" t="str">
        <f>Forecast!CA15</f>
        <v>committed</v>
      </c>
      <c r="CB15" s="78" t="str">
        <f>Forecast!CB15</f>
        <v>committed</v>
      </c>
      <c r="CC15" s="78" t="str">
        <f>Forecast!CC15</f>
        <v>committed</v>
      </c>
      <c r="CD15" s="78" t="str">
        <f>Forecast!CD15</f>
        <v>committed</v>
      </c>
      <c r="CE15" s="78" t="str">
        <f>Forecast!CE15</f>
        <v>committed</v>
      </c>
      <c r="CF15" s="78" t="str">
        <f>Forecast!CF15</f>
        <v>committed</v>
      </c>
      <c r="CG15" s="78" t="str">
        <f>Forecast!CG15</f>
        <v>committed</v>
      </c>
      <c r="CH15" s="78" t="str">
        <f>Forecast!CH15</f>
        <v>committed</v>
      </c>
    </row>
    <row r="16" spans="1:86" ht="13">
      <c r="A16" s="13"/>
      <c r="B16" s="13" t="s">
        <v>243</v>
      </c>
      <c r="C16" s="48" t="b">
        <f>Forecast!C16</f>
        <v>0</v>
      </c>
      <c r="D16" s="15" t="s">
        <v>238</v>
      </c>
      <c r="E16" s="37">
        <f t="shared" si="3"/>
        <v>0</v>
      </c>
      <c r="F16" s="48"/>
      <c r="G16" s="37">
        <f>IF($C16=TRUE,G31*'Get Started  3'!$E10,0)</f>
        <v>0</v>
      </c>
      <c r="H16" s="37">
        <f>IF($C16=TRUE,H31*'Get Started  3'!$E10,0)</f>
        <v>0</v>
      </c>
      <c r="I16" s="37">
        <f>IF($C16=TRUE,I31*'Get Started  3'!$E10,0)</f>
        <v>0</v>
      </c>
      <c r="J16" s="37">
        <f>IF($C16=TRUE,J31*'Get Started  3'!$E10,0)</f>
        <v>0</v>
      </c>
      <c r="K16" s="37">
        <f>IF($C16=TRUE,K31*'Get Started  3'!$E10,0)</f>
        <v>0</v>
      </c>
      <c r="L16" s="37">
        <f>IF($C16=TRUE,L31*'Get Started  3'!$E10,0)</f>
        <v>0</v>
      </c>
      <c r="M16" s="37">
        <f>IF($C16=TRUE,M31*'Get Started  3'!$E10,0)</f>
        <v>0</v>
      </c>
      <c r="N16" s="37">
        <f>IF($C16=TRUE,N31*'Get Started  3'!$E10,0)</f>
        <v>0</v>
      </c>
      <c r="O16" s="37">
        <f>IF($C16=TRUE,O31*'Get Started  3'!$E10,0)</f>
        <v>0</v>
      </c>
      <c r="P16" s="37">
        <f>IF($C16=TRUE,P31*'Get Started  3'!$E10,0)</f>
        <v>0</v>
      </c>
      <c r="Q16" s="37">
        <f>IF($C16=TRUE,Q31*'Get Started  3'!$E10,0)</f>
        <v>0</v>
      </c>
      <c r="R16" s="37">
        <f>IF($C16=TRUE,R31*'Get Started  3'!$E10,0)</f>
        <v>0</v>
      </c>
      <c r="S16" s="37">
        <f>IF($C16=TRUE,S31*'Get Started  3'!$E10,0)</f>
        <v>0</v>
      </c>
      <c r="T16" s="37">
        <f>IF($C16=TRUE,T31*'Get Started  3'!$E10,0)</f>
        <v>0</v>
      </c>
      <c r="U16" s="37">
        <f>IF($C16=TRUE,U31*'Get Started  3'!$E10,0)</f>
        <v>0</v>
      </c>
      <c r="V16" s="37">
        <f>IF($C16=TRUE,V31*'Get Started  3'!$E10,0)</f>
        <v>0</v>
      </c>
      <c r="W16" s="37">
        <f>IF($C16=TRUE,W31*'Get Started  3'!$E10,0)</f>
        <v>0</v>
      </c>
      <c r="X16" s="37">
        <f>IF($C16=TRUE,X31*'Get Started  3'!$E10,0)</f>
        <v>0</v>
      </c>
      <c r="Y16" s="37">
        <f>IF($C16=TRUE,Y31*'Get Started  3'!$E10,0)</f>
        <v>0</v>
      </c>
      <c r="Z16" s="37">
        <f>IF($C16=TRUE,Z31*'Get Started  3'!$E10,0)</f>
        <v>0</v>
      </c>
      <c r="AA16" s="37">
        <f>IF($C16=TRUE,AA31*'Get Started  3'!$E10,0)</f>
        <v>0</v>
      </c>
      <c r="AB16" s="37">
        <f>IF($C16=TRUE,AB31*'Get Started  3'!$E10,0)</f>
        <v>0</v>
      </c>
      <c r="AC16" s="37">
        <f>IF($C16=TRUE,AC31*'Get Started  3'!$E10,0)</f>
        <v>0</v>
      </c>
      <c r="AD16" s="37">
        <f>IF($C16=TRUE,AD31*'Get Started  3'!$E10,0)</f>
        <v>0</v>
      </c>
      <c r="AE16" s="37">
        <f>IF($C16=TRUE,AE31*'Get Started  3'!$E10,0)</f>
        <v>0</v>
      </c>
      <c r="AF16" s="37">
        <f>IF($C16=TRUE,AF31*'Get Started  3'!$E10,0)</f>
        <v>0</v>
      </c>
      <c r="AG16" s="37">
        <f>IF($C16=TRUE,AG31*'Get Started  3'!$E10,0)</f>
        <v>0</v>
      </c>
      <c r="AH16" s="37">
        <f>IF($C16=TRUE,AH31*'Get Started  3'!$E10,0)</f>
        <v>0</v>
      </c>
      <c r="AI16" s="37">
        <f>IF($C16=TRUE,AI31*'Get Started  3'!$E10,0)</f>
        <v>0</v>
      </c>
      <c r="AJ16" s="37">
        <f>IF($C16=TRUE,AJ31*'Get Started  3'!$E10,0)</f>
        <v>0</v>
      </c>
      <c r="AK16" s="37">
        <f>IF($C16=TRUE,AK31*'Get Started  3'!$E10,0)</f>
        <v>0</v>
      </c>
      <c r="AL16" s="37">
        <f>IF($C16=TRUE,AL31*'Get Started  3'!$E10,0)</f>
        <v>0</v>
      </c>
      <c r="AM16" s="37">
        <f>IF($C16=TRUE,AM31*'Get Started  3'!$E10,0)</f>
        <v>0</v>
      </c>
      <c r="AN16" s="37">
        <f>IF($C16=TRUE,AN31*'Get Started  3'!$E10,0)</f>
        <v>0</v>
      </c>
      <c r="AO16" s="37">
        <f>IF($C16=TRUE,AO31*'Get Started  3'!$E10,0)</f>
        <v>0</v>
      </c>
      <c r="AP16" s="37">
        <f>IF($C16=TRUE,AP31*'Get Started  3'!$E10,0)</f>
        <v>0</v>
      </c>
      <c r="AQ16" s="37">
        <f>IF($C16=TRUE,AQ31*'Get Started  3'!$E10,0)</f>
        <v>0</v>
      </c>
      <c r="AR16" s="37">
        <f>IF($C16=TRUE,AR31*'Get Started  3'!$E10,0)</f>
        <v>0</v>
      </c>
      <c r="AS16" s="37">
        <f>IF($C16=TRUE,AS31*'Get Started  3'!$E10,0)</f>
        <v>0</v>
      </c>
      <c r="AT16" s="37">
        <f>IF($C16=TRUE,AT31*'Get Started  3'!$E10,0)</f>
        <v>0</v>
      </c>
      <c r="AU16" s="37">
        <f>IF($C16=TRUE,AU31*'Get Started  3'!$E10,0)</f>
        <v>0</v>
      </c>
      <c r="AV16" s="37">
        <f>IF($C16=TRUE,AV31*'Get Started  3'!$E10,0)</f>
        <v>0</v>
      </c>
      <c r="AW16" s="37">
        <f>IF($C16=TRUE,AW31*'Get Started  3'!$E10,0)</f>
        <v>0</v>
      </c>
      <c r="AX16" s="37">
        <f>IF($C16=TRUE,AX31*'Get Started  3'!$E10,0)</f>
        <v>0</v>
      </c>
      <c r="AY16" s="37">
        <f>IF($C16=TRUE,AY31*'Get Started  3'!$E10,0)</f>
        <v>0</v>
      </c>
      <c r="AZ16" s="37">
        <f>IF($C16=TRUE,AZ31*'Get Started  3'!$E10,0)</f>
        <v>0</v>
      </c>
      <c r="BA16" s="37">
        <f>IF($C16=TRUE,BA31*'Get Started  3'!$E10,0)</f>
        <v>0</v>
      </c>
      <c r="BB16" s="37">
        <f>IF($C16=TRUE,BB31*'Get Started  3'!$E10,0)</f>
        <v>0</v>
      </c>
      <c r="BC16" s="37">
        <f>IF($C16=TRUE,BC31*'Get Started  3'!$E10,0)</f>
        <v>0</v>
      </c>
      <c r="BD16" s="37">
        <f>IF($C16=TRUE,BD31*'Get Started  3'!$E10,0)</f>
        <v>0</v>
      </c>
      <c r="BE16" s="37">
        <f>IF($C16=TRUE,BE31*'Get Started  3'!$E10,0)</f>
        <v>0</v>
      </c>
      <c r="BF16" s="37">
        <f>IF($C16=TRUE,BF31*'Get Started  3'!$E10,0)</f>
        <v>0</v>
      </c>
      <c r="BG16" s="37">
        <f>IF($C16=TRUE,BG31*'Get Started  3'!$E10,0)</f>
        <v>0</v>
      </c>
      <c r="BH16" s="37">
        <f>IF($C16=TRUE,BH31*'Get Started  3'!$E10,0)</f>
        <v>0</v>
      </c>
      <c r="BI16" s="37">
        <f>IF($C16=TRUE,BI31*'Get Started  3'!$E10,0)</f>
        <v>0</v>
      </c>
      <c r="BJ16" s="37">
        <f>IF($C16=TRUE,BJ31*'Get Started  3'!$E10,0)</f>
        <v>0</v>
      </c>
      <c r="BK16" s="37">
        <f>IF($C16=TRUE,BK31*'Get Started  3'!$E10,0)</f>
        <v>0</v>
      </c>
      <c r="BL16" s="37">
        <f>IF($C16=TRUE,BL31*'Get Started  3'!$E10,0)</f>
        <v>0</v>
      </c>
      <c r="BM16" s="37">
        <f>IF($C16=TRUE,BM31*'Get Started  3'!$E10,0)</f>
        <v>0</v>
      </c>
      <c r="BN16" s="37">
        <f>IF($C16=TRUE,BN31*'Get Started  3'!$E10,0)</f>
        <v>0</v>
      </c>
      <c r="BO16" s="37">
        <f>IF($C16=TRUE,BO31*'Get Started  3'!$E10,0)</f>
        <v>0</v>
      </c>
      <c r="BP16" s="37">
        <f>IF($C16=TRUE,BP31*'Get Started  3'!$E10,0)</f>
        <v>0</v>
      </c>
      <c r="BQ16" s="37">
        <f>IF($C16=TRUE,BQ31*'Get Started  3'!$E10,0)</f>
        <v>0</v>
      </c>
      <c r="BR16" s="37">
        <f>IF($C16=TRUE,BR31*'Get Started  3'!$E10,0)</f>
        <v>0</v>
      </c>
      <c r="BS16" s="37">
        <f>IF($C16=TRUE,BS31*'Get Started  3'!$E10,0)</f>
        <v>0</v>
      </c>
      <c r="BT16" s="37">
        <f>IF($C16=TRUE,BT31*'Get Started  3'!$E10,0)</f>
        <v>0</v>
      </c>
      <c r="BU16" s="37">
        <f>IF($C16=TRUE,BU31*'Get Started  3'!$E10,0)</f>
        <v>0</v>
      </c>
      <c r="BV16" s="37">
        <f>IF($C16=TRUE,BV31*'Get Started  3'!$E10,0)</f>
        <v>0</v>
      </c>
      <c r="BW16" s="37">
        <f>IF($C16=TRUE,BW31*'Get Started  3'!$E10,0)</f>
        <v>0</v>
      </c>
      <c r="BX16" s="37">
        <f>IF($C16=TRUE,BX31*'Get Started  3'!$E10,0)</f>
        <v>0</v>
      </c>
      <c r="BY16" s="37">
        <f>IF($C16=TRUE,BY31*'Get Started  3'!$E10,0)</f>
        <v>0</v>
      </c>
      <c r="BZ16" s="37">
        <f>IF($C16=TRUE,BZ31*'Get Started  3'!$E10,0)</f>
        <v>0</v>
      </c>
      <c r="CA16" s="37">
        <f>IF($C16=TRUE,CA31*'Get Started  3'!$E10,0)</f>
        <v>0</v>
      </c>
      <c r="CB16" s="37">
        <f>IF($C16=TRUE,CB31*'Get Started  3'!$E10,0)</f>
        <v>0</v>
      </c>
      <c r="CC16" s="37">
        <f>IF($C16=TRUE,CC31*'Get Started  3'!$E10,0)</f>
        <v>0</v>
      </c>
      <c r="CD16" s="37">
        <f>IF($C16=TRUE,CD31*'Get Started  3'!$E10,0)</f>
        <v>0</v>
      </c>
      <c r="CE16" s="37">
        <f>IF($C16=TRUE,CE31*'Get Started  3'!$E10,0)</f>
        <v>0</v>
      </c>
      <c r="CF16" s="37">
        <f>IF($C16=TRUE,CF31*'Get Started  3'!$E10,0)</f>
        <v>0</v>
      </c>
      <c r="CG16" s="37">
        <f>IF($C16=TRUE,CG31*'Get Started  3'!$E10,0)</f>
        <v>0</v>
      </c>
      <c r="CH16" s="37">
        <f>IF($C16=TRUE,CH31*'Get Started  3'!$E10,0)</f>
        <v>0</v>
      </c>
    </row>
    <row r="17" spans="1:86" ht="13">
      <c r="B17" s="15" t="s">
        <v>244</v>
      </c>
      <c r="C17" s="48" t="b">
        <f>Forecast!C17</f>
        <v>1</v>
      </c>
      <c r="D17" s="15" t="s">
        <v>238</v>
      </c>
      <c r="E17" s="37">
        <f t="shared" ca="1" si="3"/>
        <v>500000</v>
      </c>
      <c r="F17" s="29"/>
      <c r="G17" s="37">
        <f ca="1">IF($C17=TRUE,G31*'Get Started  3'!$E10,0)</f>
        <v>28887.5</v>
      </c>
      <c r="H17" s="37">
        <f ca="1">IF($C17=TRUE,H31*'Get Started  3'!$E10,0)</f>
        <v>26887.5</v>
      </c>
      <c r="I17" s="37">
        <f ca="1">IF($C17=TRUE,I31*'Get Started  3'!$E10,0)</f>
        <v>26887.5</v>
      </c>
      <c r="J17" s="37">
        <f ca="1">IF($C17=TRUE,J31*'Get Started  3'!$E10,0)</f>
        <v>26887.5</v>
      </c>
      <c r="K17" s="37">
        <f ca="1">IF($C17=TRUE,K31*'Get Started  3'!$E10,0)</f>
        <v>26887.5</v>
      </c>
      <c r="L17" s="37">
        <f ca="1">IF($C17=TRUE,L31*'Get Started  3'!$E10,0)</f>
        <v>26887.5</v>
      </c>
      <c r="M17" s="37">
        <f ca="1">IF($C17=TRUE,M31*'Get Started  3'!$E10,0)</f>
        <v>26887.5</v>
      </c>
      <c r="N17" s="37">
        <f ca="1">IF($C17=TRUE,N31*'Get Started  3'!$E10,0)</f>
        <v>26887.5</v>
      </c>
      <c r="O17" s="37">
        <f ca="1">IF($C17=TRUE,O31*'Get Started  3'!$E10,0)</f>
        <v>26887.5</v>
      </c>
      <c r="P17" s="37">
        <f ca="1">IF($C17=TRUE,P31*'Get Started  3'!$E10,0)</f>
        <v>26887.5</v>
      </c>
      <c r="Q17" s="37">
        <f ca="1">IF($C17=TRUE,Q31*'Get Started  3'!$E10,0)</f>
        <v>26887.5</v>
      </c>
      <c r="R17" s="37">
        <f ca="1">IF($C17=TRUE,R31*'Get Started  3'!$E10,0)</f>
        <v>26887.5</v>
      </c>
      <c r="S17" s="37">
        <f ca="1">IF($C17=TRUE,S31*'Get Started  3'!$E10,0)</f>
        <v>26887.5</v>
      </c>
      <c r="T17" s="37">
        <f ca="1">IF($C17=TRUE,T31*'Get Started  3'!$E10,0)</f>
        <v>26887.5</v>
      </c>
      <c r="U17" s="37">
        <f ca="1">IF($C17=TRUE,U31*'Get Started  3'!$E10,0)</f>
        <v>26887.5</v>
      </c>
      <c r="V17" s="37">
        <f ca="1">IF($C17=TRUE,V31*'Get Started  3'!$E10,0)</f>
        <v>26887.5</v>
      </c>
      <c r="W17" s="37">
        <f ca="1">IF($C17=TRUE,W31*'Get Started  3'!$E10,0)</f>
        <v>2825</v>
      </c>
      <c r="X17" s="37">
        <f ca="1">IF($C17=TRUE,X31*'Get Started  3'!$E10,0)</f>
        <v>2825</v>
      </c>
      <c r="Y17" s="37">
        <f ca="1">IF($C17=TRUE,Y31*'Get Started  3'!$E10,0)</f>
        <v>2825</v>
      </c>
      <c r="Z17" s="37">
        <f ca="1">IF($C17=TRUE,Z31*'Get Started  3'!$E10,0)</f>
        <v>2825</v>
      </c>
      <c r="AA17" s="37">
        <f ca="1">IF($C17=TRUE,AA31*'Get Started  3'!$E10,0)</f>
        <v>2825</v>
      </c>
      <c r="AB17" s="37">
        <f ca="1">IF($C17=TRUE,AB31*'Get Started  3'!$E10,0)</f>
        <v>2825</v>
      </c>
      <c r="AC17" s="37">
        <f ca="1">IF($C17=TRUE,AC31*'Get Started  3'!$E10,0)</f>
        <v>2825</v>
      </c>
      <c r="AD17" s="37">
        <f ca="1">IF($C17=TRUE,AD31*'Get Started  3'!$E10,0)</f>
        <v>2825</v>
      </c>
      <c r="AE17" s="37">
        <f ca="1">IF($C17=TRUE,AE31*'Get Started  3'!$E10,0)</f>
        <v>2825</v>
      </c>
      <c r="AF17" s="37">
        <f ca="1">IF($C17=TRUE,AF31*'Get Started  3'!$E10,0)</f>
        <v>2825</v>
      </c>
      <c r="AG17" s="37">
        <f ca="1">IF($C17=TRUE,AG31*'Get Started  3'!$E10,0)</f>
        <v>2825</v>
      </c>
      <c r="AH17" s="37">
        <f ca="1">IF($C17=TRUE,AH31*'Get Started  3'!$E10,0)</f>
        <v>2825</v>
      </c>
      <c r="AI17" s="37">
        <f ca="1">IF($C17=TRUE,AI31*'Get Started  3'!$E10,0)</f>
        <v>2825</v>
      </c>
      <c r="AJ17" s="37">
        <f ca="1">IF($C17=TRUE,AJ31*'Get Started  3'!$E10,0)</f>
        <v>2825</v>
      </c>
      <c r="AK17" s="37">
        <f ca="1">IF($C17=TRUE,AK31*'Get Started  3'!$E10,0)</f>
        <v>2825</v>
      </c>
      <c r="AL17" s="37">
        <f ca="1">IF($C17=TRUE,AL31*'Get Started  3'!$E10,0)</f>
        <v>2825</v>
      </c>
      <c r="AM17" s="37">
        <f ca="1">IF($C17=TRUE,AM31*'Get Started  3'!$E10,0)</f>
        <v>2825</v>
      </c>
      <c r="AN17" s="37">
        <f ca="1">IF($C17=TRUE,AN31*'Get Started  3'!$E10,0)</f>
        <v>2825</v>
      </c>
      <c r="AO17" s="37">
        <f ca="1">IF($C17=TRUE,AO31*'Get Started  3'!$E10,0)</f>
        <v>2825</v>
      </c>
      <c r="AP17" s="37">
        <f ca="1">IF($C17=TRUE,AP31*'Get Started  3'!$E10,0)</f>
        <v>2825</v>
      </c>
      <c r="AQ17" s="37">
        <f ca="1">IF($C17=TRUE,AQ31*'Get Started  3'!$E10,0)</f>
        <v>2825</v>
      </c>
      <c r="AR17" s="37">
        <f ca="1">IF($C17=TRUE,AR31*'Get Started  3'!$E10,0)</f>
        <v>2825</v>
      </c>
      <c r="AS17" s="37">
        <f ca="1">IF($C17=TRUE,AS31*'Get Started  3'!$E10,0)</f>
        <v>2825</v>
      </c>
      <c r="AT17" s="37">
        <f ca="1">IF($C17=TRUE,AT31*'Get Started  3'!$E10,0)</f>
        <v>2825</v>
      </c>
      <c r="AU17" s="37">
        <f ca="1">IF($C17=TRUE,AU31*'Get Started  3'!$E10,0)</f>
        <v>0</v>
      </c>
      <c r="AV17" s="37">
        <f ca="1">IF($C17=TRUE,AV31*'Get Started  3'!$E10,0)</f>
        <v>0</v>
      </c>
      <c r="AW17" s="37">
        <f ca="1">IF($C17=TRUE,AW31*'Get Started  3'!$E10,0)</f>
        <v>0</v>
      </c>
      <c r="AX17" s="37">
        <f ca="1">IF($C17=TRUE,AX31*'Get Started  3'!$E10,0)</f>
        <v>0</v>
      </c>
      <c r="AY17" s="37">
        <f ca="1">IF($C17=TRUE,AY31*'Get Started  3'!$E10,0)</f>
        <v>0</v>
      </c>
      <c r="AZ17" s="37">
        <f ca="1">IF($C17=TRUE,AZ31*'Get Started  3'!$E10,0)</f>
        <v>0</v>
      </c>
      <c r="BA17" s="37">
        <f ca="1">IF($C17=TRUE,BA31*'Get Started  3'!$E10,0)</f>
        <v>0</v>
      </c>
      <c r="BB17" s="37">
        <f ca="1">IF($C17=TRUE,BB31*'Get Started  3'!$E10,0)</f>
        <v>0</v>
      </c>
      <c r="BC17" s="37">
        <f ca="1">IF($C17=TRUE,BC31*'Get Started  3'!$E10,0)</f>
        <v>0</v>
      </c>
      <c r="BD17" s="37">
        <f ca="1">IF($C17=TRUE,BD31*'Get Started  3'!$E10,0)</f>
        <v>0</v>
      </c>
      <c r="BE17" s="37">
        <f ca="1">IF($C17=TRUE,BE31*'Get Started  3'!$E10,0)</f>
        <v>0</v>
      </c>
      <c r="BF17" s="37">
        <f ca="1">IF($C17=TRUE,BF31*'Get Started  3'!$E10,0)</f>
        <v>0</v>
      </c>
      <c r="BG17" s="37">
        <f ca="1">IF($C17=TRUE,BG31*'Get Started  3'!$E10,0)</f>
        <v>0</v>
      </c>
      <c r="BH17" s="37">
        <f ca="1">IF($C17=TRUE,BH31*'Get Started  3'!$E10,0)</f>
        <v>0</v>
      </c>
      <c r="BI17" s="37">
        <f ca="1">IF($C17=TRUE,BI31*'Get Started  3'!$E10,0)</f>
        <v>0</v>
      </c>
      <c r="BJ17" s="37">
        <f ca="1">IF($C17=TRUE,BJ31*'Get Started  3'!$E10,0)</f>
        <v>0</v>
      </c>
      <c r="BK17" s="37">
        <f ca="1">IF($C17=TRUE,BK31*'Get Started  3'!$E10,0)</f>
        <v>0</v>
      </c>
      <c r="BL17" s="37">
        <f ca="1">IF($C17=TRUE,BL31*'Get Started  3'!$E10,0)</f>
        <v>0</v>
      </c>
      <c r="BM17" s="37">
        <f ca="1">IF($C17=TRUE,BM31*'Get Started  3'!$E10,0)</f>
        <v>0</v>
      </c>
      <c r="BN17" s="37">
        <f ca="1">IF($C17=TRUE,BN31*'Get Started  3'!$E10,0)</f>
        <v>0</v>
      </c>
      <c r="BO17" s="37">
        <f ca="1">IF($C17=TRUE,BO31*'Get Started  3'!$E10,0)</f>
        <v>0</v>
      </c>
      <c r="BP17" s="37">
        <f ca="1">IF($C17=TRUE,BP31*'Get Started  3'!$E10,0)</f>
        <v>0</v>
      </c>
      <c r="BQ17" s="37">
        <f ca="1">IF($C17=TRUE,BQ31*'Get Started  3'!$E10,0)</f>
        <v>0</v>
      </c>
      <c r="BR17" s="37">
        <f ca="1">IF($C17=TRUE,BR31*'Get Started  3'!$E10,0)</f>
        <v>0</v>
      </c>
      <c r="BS17" s="37">
        <f ca="1">IF($C17=TRUE,BS31*'Get Started  3'!$E10,0)</f>
        <v>0</v>
      </c>
      <c r="BT17" s="37">
        <f ca="1">IF($C17=TRUE,BT31*'Get Started  3'!$E10,0)</f>
        <v>0</v>
      </c>
      <c r="BU17" s="37">
        <f ca="1">IF($C17=TRUE,BU31*'Get Started  3'!$E10,0)</f>
        <v>0</v>
      </c>
      <c r="BV17" s="37">
        <f ca="1">IF($C17=TRUE,BV31*'Get Started  3'!$E10,0)</f>
        <v>0</v>
      </c>
      <c r="BW17" s="37">
        <f ca="1">IF($C17=TRUE,BW31*'Get Started  3'!$E10,0)</f>
        <v>0</v>
      </c>
      <c r="BX17" s="37">
        <f ca="1">IF($C17=TRUE,BX31*'Get Started  3'!$E10,0)</f>
        <v>0</v>
      </c>
      <c r="BY17" s="37">
        <f ca="1">IF($C17=TRUE,BY31*'Get Started  3'!$E10,0)</f>
        <v>0</v>
      </c>
      <c r="BZ17" s="37">
        <f ca="1">IF($C17=TRUE,BZ31*'Get Started  3'!$E10,0)</f>
        <v>0</v>
      </c>
      <c r="CA17" s="37">
        <f ca="1">IF($C17=TRUE,CA31*'Get Started  3'!$E10,0)</f>
        <v>0</v>
      </c>
      <c r="CB17" s="37">
        <f ca="1">IF($C17=TRUE,CB31*'Get Started  3'!$E10,0)</f>
        <v>0</v>
      </c>
      <c r="CC17" s="37">
        <f ca="1">IF($C17=TRUE,CC31*'Get Started  3'!$E10,0)</f>
        <v>0</v>
      </c>
      <c r="CD17" s="37">
        <f ca="1">IF($C17=TRUE,CD31*'Get Started  3'!$E10,0)</f>
        <v>0</v>
      </c>
      <c r="CE17" s="37">
        <f ca="1">IF($C17=TRUE,CE31*'Get Started  3'!$E10,0)</f>
        <v>0</v>
      </c>
      <c r="CF17" s="37">
        <f ca="1">IF($C17=TRUE,CF31*'Get Started  3'!$E10,0)</f>
        <v>0</v>
      </c>
      <c r="CG17" s="37">
        <f ca="1">IF($C17=TRUE,CG31*'Get Started  3'!$E10,0)</f>
        <v>0</v>
      </c>
      <c r="CH17" s="37">
        <f ca="1">IF($C17=TRUE,CH31*'Get Started  3'!$E10,0)</f>
        <v>0</v>
      </c>
    </row>
    <row r="18" spans="1:86" ht="13">
      <c r="A18" s="13"/>
      <c r="B18" s="13" t="s">
        <v>245</v>
      </c>
      <c r="C18" s="13" t="s">
        <v>246</v>
      </c>
      <c r="D18" s="48" t="s">
        <v>247</v>
      </c>
      <c r="E18" s="79">
        <f t="shared" ref="E18:E20" si="4">IF(D18="sum",SUM(G18:EP18),IF(D18="final",EP18,IF(D18="initial",G18,IF(D18="average",AVERAGE(G18:EP18),0))))</f>
        <v>0</v>
      </c>
      <c r="F18" s="48"/>
      <c r="G18" s="67">
        <f>Forecast!G18</f>
        <v>0</v>
      </c>
      <c r="H18" s="67">
        <f>Forecast!H18</f>
        <v>0</v>
      </c>
      <c r="I18" s="67">
        <f>Forecast!I18</f>
        <v>0</v>
      </c>
      <c r="J18" s="67">
        <f>Forecast!J18</f>
        <v>0</v>
      </c>
      <c r="K18" s="67">
        <f>Forecast!K18</f>
        <v>0</v>
      </c>
      <c r="L18" s="67">
        <f>Forecast!L18</f>
        <v>0</v>
      </c>
      <c r="M18" s="67">
        <f>Forecast!M18</f>
        <v>0</v>
      </c>
      <c r="N18" s="67">
        <f>Forecast!N18</f>
        <v>0</v>
      </c>
      <c r="O18" s="67">
        <f>Forecast!O18</f>
        <v>0</v>
      </c>
      <c r="P18" s="67">
        <f>Forecast!P18</f>
        <v>0</v>
      </c>
      <c r="Q18" s="67">
        <f>Forecast!Q18</f>
        <v>0</v>
      </c>
      <c r="R18" s="67">
        <f>Forecast!R18</f>
        <v>0</v>
      </c>
      <c r="S18" s="67">
        <f>Forecast!S18</f>
        <v>0</v>
      </c>
      <c r="T18" s="67">
        <f>Forecast!T18</f>
        <v>0</v>
      </c>
      <c r="U18" s="67">
        <f>Forecast!U18</f>
        <v>0</v>
      </c>
      <c r="V18" s="67">
        <f>Forecast!V18</f>
        <v>0</v>
      </c>
      <c r="W18" s="67">
        <f>Forecast!W18</f>
        <v>0</v>
      </c>
      <c r="X18" s="67">
        <f>Forecast!X18</f>
        <v>0</v>
      </c>
      <c r="Y18" s="67">
        <f>Forecast!Y18</f>
        <v>0</v>
      </c>
      <c r="Z18" s="67">
        <f>Forecast!Z18</f>
        <v>0</v>
      </c>
      <c r="AA18" s="67">
        <f>Forecast!AA18</f>
        <v>0</v>
      </c>
      <c r="AB18" s="67">
        <f>Forecast!AB18</f>
        <v>0</v>
      </c>
      <c r="AC18" s="67">
        <f>Forecast!AC18</f>
        <v>0</v>
      </c>
      <c r="AD18" s="67">
        <f>Forecast!AD18</f>
        <v>0</v>
      </c>
      <c r="AE18" s="67">
        <f>Forecast!AE18</f>
        <v>0</v>
      </c>
      <c r="AF18" s="67">
        <f>Forecast!AF18</f>
        <v>0</v>
      </c>
      <c r="AG18" s="67">
        <f>Forecast!AG18</f>
        <v>0</v>
      </c>
      <c r="AH18" s="67">
        <f>Forecast!AH18</f>
        <v>0</v>
      </c>
      <c r="AI18" s="67">
        <f>Forecast!AI18</f>
        <v>0</v>
      </c>
      <c r="AJ18" s="67">
        <f>Forecast!AJ18</f>
        <v>0</v>
      </c>
      <c r="AK18" s="67">
        <f>Forecast!AK18</f>
        <v>0</v>
      </c>
      <c r="AL18" s="67">
        <f>Forecast!AL18</f>
        <v>0</v>
      </c>
      <c r="AM18" s="67">
        <f>Forecast!AM18</f>
        <v>0</v>
      </c>
      <c r="AN18" s="67">
        <f>Forecast!AN18</f>
        <v>0</v>
      </c>
      <c r="AO18" s="67">
        <f>Forecast!AO18</f>
        <v>0</v>
      </c>
      <c r="AP18" s="67">
        <f>Forecast!AP18</f>
        <v>0</v>
      </c>
      <c r="AQ18" s="67">
        <f>Forecast!AQ18</f>
        <v>0</v>
      </c>
      <c r="AR18" s="67">
        <f>Forecast!AR18</f>
        <v>0</v>
      </c>
      <c r="AS18" s="67">
        <f>Forecast!AS18</f>
        <v>0</v>
      </c>
      <c r="AT18" s="67">
        <f>Forecast!AT18</f>
        <v>0</v>
      </c>
      <c r="AU18" s="67">
        <f>Forecast!AU18</f>
        <v>0</v>
      </c>
      <c r="AV18" s="67">
        <f>Forecast!AV18</f>
        <v>0</v>
      </c>
      <c r="AW18" s="67">
        <f>Forecast!AW18</f>
        <v>0</v>
      </c>
      <c r="AX18" s="67">
        <f>Forecast!AX18</f>
        <v>0</v>
      </c>
      <c r="AY18" s="67">
        <f>Forecast!AY18</f>
        <v>0</v>
      </c>
      <c r="AZ18" s="67">
        <f>Forecast!AZ18</f>
        <v>0</v>
      </c>
      <c r="BA18" s="67">
        <f>Forecast!BA18</f>
        <v>0</v>
      </c>
      <c r="BB18" s="67">
        <f>Forecast!BB18</f>
        <v>0</v>
      </c>
      <c r="BC18" s="67">
        <f>Forecast!BC18</f>
        <v>0</v>
      </c>
      <c r="BD18" s="67">
        <f>Forecast!BD18</f>
        <v>0</v>
      </c>
      <c r="BE18" s="67">
        <f>Forecast!BE18</f>
        <v>0</v>
      </c>
      <c r="BF18" s="67">
        <f>Forecast!BF18</f>
        <v>0</v>
      </c>
      <c r="BG18" s="67">
        <f>Forecast!BG18</f>
        <v>0</v>
      </c>
      <c r="BH18" s="67">
        <f>Forecast!BH18</f>
        <v>0</v>
      </c>
      <c r="BI18" s="67">
        <f>Forecast!BI18</f>
        <v>0</v>
      </c>
      <c r="BJ18" s="67">
        <f>Forecast!BJ18</f>
        <v>0</v>
      </c>
      <c r="BK18" s="67">
        <f>Forecast!BK18</f>
        <v>0</v>
      </c>
      <c r="BL18" s="67">
        <f>Forecast!BL18</f>
        <v>0</v>
      </c>
      <c r="BM18" s="67">
        <f>Forecast!BM18</f>
        <v>0</v>
      </c>
      <c r="BN18" s="67">
        <f>Forecast!BN18</f>
        <v>0</v>
      </c>
      <c r="BO18" s="67">
        <f>Forecast!BO18</f>
        <v>0</v>
      </c>
      <c r="BP18" s="67">
        <f>Forecast!BP18</f>
        <v>0</v>
      </c>
      <c r="BQ18" s="67">
        <f>Forecast!BQ18</f>
        <v>0</v>
      </c>
      <c r="BR18" s="67">
        <f>Forecast!BR18</f>
        <v>0</v>
      </c>
      <c r="BS18" s="67">
        <f>Forecast!BS18</f>
        <v>0</v>
      </c>
      <c r="BT18" s="67">
        <f>Forecast!BT18</f>
        <v>0</v>
      </c>
      <c r="BU18" s="67">
        <f>Forecast!BU18</f>
        <v>0</v>
      </c>
      <c r="BV18" s="67">
        <f>Forecast!BV18</f>
        <v>0</v>
      </c>
      <c r="BW18" s="67">
        <f>Forecast!BW18</f>
        <v>0</v>
      </c>
      <c r="BX18" s="67">
        <f>Forecast!BX18</f>
        <v>0</v>
      </c>
      <c r="BY18" s="67">
        <f>Forecast!BY18</f>
        <v>0</v>
      </c>
      <c r="BZ18" s="67">
        <f>Forecast!BZ18</f>
        <v>0</v>
      </c>
      <c r="CA18" s="67">
        <f>Forecast!CA18</f>
        <v>0</v>
      </c>
      <c r="CB18" s="67">
        <f>Forecast!CB18</f>
        <v>0</v>
      </c>
      <c r="CC18" s="67">
        <f>Forecast!CC18</f>
        <v>0</v>
      </c>
      <c r="CD18" s="67">
        <f>Forecast!CD18</f>
        <v>0</v>
      </c>
      <c r="CE18" s="67">
        <f>Forecast!CE18</f>
        <v>0</v>
      </c>
      <c r="CF18" s="67">
        <f>Forecast!CF18</f>
        <v>0</v>
      </c>
      <c r="CG18" s="67">
        <f>Forecast!CG18</f>
        <v>0</v>
      </c>
      <c r="CH18" s="67">
        <f>Forecast!CH18</f>
        <v>0</v>
      </c>
    </row>
    <row r="19" spans="1:86" ht="13">
      <c r="A19" s="13"/>
      <c r="B19" s="13" t="s">
        <v>248</v>
      </c>
      <c r="C19" s="13"/>
      <c r="D19" s="48" t="s">
        <v>238</v>
      </c>
      <c r="E19" s="64">
        <f t="shared" si="4"/>
        <v>1</v>
      </c>
      <c r="F19" s="48"/>
      <c r="G19" s="67">
        <f>Forecast!G19</f>
        <v>1</v>
      </c>
      <c r="H19" s="67">
        <f>Forecast!H19</f>
        <v>0</v>
      </c>
      <c r="I19" s="67">
        <f>Forecast!I19</f>
        <v>0</v>
      </c>
      <c r="J19" s="67">
        <f>Forecast!J19</f>
        <v>0</v>
      </c>
      <c r="K19" s="67">
        <f>Forecast!K19</f>
        <v>0</v>
      </c>
      <c r="L19" s="67">
        <f>Forecast!L19</f>
        <v>0</v>
      </c>
      <c r="M19" s="67">
        <f>Forecast!M19</f>
        <v>0</v>
      </c>
      <c r="N19" s="67">
        <f>Forecast!N19</f>
        <v>0</v>
      </c>
      <c r="O19" s="67">
        <f>Forecast!O19</f>
        <v>0</v>
      </c>
      <c r="P19" s="67">
        <f>Forecast!P19</f>
        <v>0</v>
      </c>
      <c r="Q19" s="67">
        <f>Forecast!Q19</f>
        <v>0</v>
      </c>
      <c r="R19" s="67">
        <f>Forecast!R19</f>
        <v>0</v>
      </c>
      <c r="S19" s="67">
        <f>Forecast!S19</f>
        <v>0</v>
      </c>
      <c r="T19" s="67">
        <f>Forecast!T19</f>
        <v>0</v>
      </c>
      <c r="U19" s="67">
        <f>Forecast!U19</f>
        <v>0</v>
      </c>
      <c r="V19" s="67">
        <f>Forecast!V19</f>
        <v>0</v>
      </c>
      <c r="W19" s="67">
        <f>Forecast!W19</f>
        <v>0</v>
      </c>
      <c r="X19" s="67">
        <f>Forecast!X19</f>
        <v>0</v>
      </c>
      <c r="Y19" s="67">
        <f>Forecast!Y19</f>
        <v>0</v>
      </c>
      <c r="Z19" s="67">
        <f>Forecast!Z19</f>
        <v>0</v>
      </c>
      <c r="AA19" s="67">
        <f>Forecast!AA19</f>
        <v>0</v>
      </c>
      <c r="AB19" s="67">
        <f>Forecast!AB19</f>
        <v>0</v>
      </c>
      <c r="AC19" s="67">
        <f>Forecast!AC19</f>
        <v>0</v>
      </c>
      <c r="AD19" s="67">
        <f>Forecast!AD19</f>
        <v>0</v>
      </c>
      <c r="AE19" s="67">
        <f>Forecast!AE19</f>
        <v>0</v>
      </c>
      <c r="AF19" s="67">
        <f>Forecast!AF19</f>
        <v>0</v>
      </c>
      <c r="AG19" s="67">
        <f>Forecast!AG19</f>
        <v>0</v>
      </c>
      <c r="AH19" s="67">
        <f>Forecast!AH19</f>
        <v>0</v>
      </c>
      <c r="AI19" s="67">
        <f>Forecast!AI19</f>
        <v>0</v>
      </c>
      <c r="AJ19" s="67">
        <f>Forecast!AJ19</f>
        <v>0</v>
      </c>
      <c r="AK19" s="67">
        <f>Forecast!AK19</f>
        <v>0</v>
      </c>
      <c r="AL19" s="67">
        <f>Forecast!AL19</f>
        <v>0</v>
      </c>
      <c r="AM19" s="67">
        <f>Forecast!AM19</f>
        <v>0</v>
      </c>
      <c r="AN19" s="67">
        <f>Forecast!AN19</f>
        <v>0</v>
      </c>
      <c r="AO19" s="67">
        <f>Forecast!AO19</f>
        <v>0</v>
      </c>
      <c r="AP19" s="67">
        <f>Forecast!AP19</f>
        <v>0</v>
      </c>
      <c r="AQ19" s="67">
        <f>Forecast!AQ19</f>
        <v>0</v>
      </c>
      <c r="AR19" s="67">
        <f>Forecast!AR19</f>
        <v>0</v>
      </c>
      <c r="AS19" s="67">
        <f>Forecast!AS19</f>
        <v>0</v>
      </c>
      <c r="AT19" s="67">
        <f>Forecast!AT19</f>
        <v>0</v>
      </c>
      <c r="AU19" s="67">
        <f>Forecast!AU19</f>
        <v>0</v>
      </c>
      <c r="AV19" s="67">
        <f>Forecast!AV19</f>
        <v>0</v>
      </c>
      <c r="AW19" s="67">
        <f>Forecast!AW19</f>
        <v>0</v>
      </c>
      <c r="AX19" s="67">
        <f>Forecast!AX19</f>
        <v>0</v>
      </c>
      <c r="AY19" s="67">
        <f>Forecast!AY19</f>
        <v>0</v>
      </c>
      <c r="AZ19" s="67">
        <f>Forecast!AZ19</f>
        <v>0</v>
      </c>
      <c r="BA19" s="67">
        <f>Forecast!BA19</f>
        <v>0</v>
      </c>
      <c r="BB19" s="67">
        <f>Forecast!BB19</f>
        <v>0</v>
      </c>
      <c r="BC19" s="67">
        <f>Forecast!BC19</f>
        <v>0</v>
      </c>
      <c r="BD19" s="67">
        <f>Forecast!BD19</f>
        <v>0</v>
      </c>
      <c r="BE19" s="67">
        <f>Forecast!BE19</f>
        <v>0</v>
      </c>
      <c r="BF19" s="67">
        <f>Forecast!BF19</f>
        <v>0</v>
      </c>
      <c r="BG19" s="67">
        <f>Forecast!BG19</f>
        <v>0</v>
      </c>
      <c r="BH19" s="67">
        <f>Forecast!BH19</f>
        <v>0</v>
      </c>
      <c r="BI19" s="67">
        <f>Forecast!BI19</f>
        <v>0</v>
      </c>
      <c r="BJ19" s="67">
        <f>Forecast!BJ19</f>
        <v>0</v>
      </c>
      <c r="BK19" s="67">
        <f>Forecast!BK19</f>
        <v>0</v>
      </c>
      <c r="BL19" s="67">
        <f>Forecast!BL19</f>
        <v>0</v>
      </c>
      <c r="BM19" s="67">
        <f>Forecast!BM19</f>
        <v>0</v>
      </c>
      <c r="BN19" s="67">
        <f>Forecast!BN19</f>
        <v>0</v>
      </c>
      <c r="BO19" s="67">
        <f>Forecast!BO19</f>
        <v>0</v>
      </c>
      <c r="BP19" s="67">
        <f>Forecast!BP19</f>
        <v>0</v>
      </c>
      <c r="BQ19" s="67">
        <f>Forecast!BQ19</f>
        <v>0</v>
      </c>
      <c r="BR19" s="67">
        <f>Forecast!BR19</f>
        <v>0</v>
      </c>
      <c r="BS19" s="67">
        <f>Forecast!BS19</f>
        <v>0</v>
      </c>
      <c r="BT19" s="67">
        <f>Forecast!BT19</f>
        <v>0</v>
      </c>
      <c r="BU19" s="67">
        <f>Forecast!BU19</f>
        <v>0</v>
      </c>
      <c r="BV19" s="67">
        <f>Forecast!BV19</f>
        <v>0</v>
      </c>
      <c r="BW19" s="67">
        <f>Forecast!BW19</f>
        <v>0</v>
      </c>
      <c r="BX19" s="67">
        <f>Forecast!BX19</f>
        <v>0</v>
      </c>
      <c r="BY19" s="67">
        <f>Forecast!BY19</f>
        <v>0</v>
      </c>
      <c r="BZ19" s="67">
        <f>Forecast!BZ19</f>
        <v>0</v>
      </c>
      <c r="CA19" s="67">
        <f>Forecast!CA19</f>
        <v>0</v>
      </c>
      <c r="CB19" s="67">
        <f>Forecast!CB19</f>
        <v>0</v>
      </c>
      <c r="CC19" s="67">
        <f>Forecast!CC19</f>
        <v>0</v>
      </c>
      <c r="CD19" s="67">
        <f>Forecast!CD19</f>
        <v>0</v>
      </c>
      <c r="CE19" s="67">
        <f>Forecast!CE19</f>
        <v>0</v>
      </c>
      <c r="CF19" s="67">
        <f>Forecast!CF19</f>
        <v>0</v>
      </c>
      <c r="CG19" s="67">
        <f>Forecast!CG19</f>
        <v>0</v>
      </c>
      <c r="CH19" s="67">
        <f>Forecast!CH19</f>
        <v>0</v>
      </c>
    </row>
    <row r="20" spans="1:86" ht="13">
      <c r="B20" s="15" t="s">
        <v>249</v>
      </c>
      <c r="C20" s="15" t="s">
        <v>250</v>
      </c>
      <c r="D20" s="48" t="s">
        <v>238</v>
      </c>
      <c r="E20" s="64">
        <f t="shared" si="4"/>
        <v>0</v>
      </c>
      <c r="F20" s="29"/>
      <c r="G20" s="67">
        <f>Forecast!G20</f>
        <v>0</v>
      </c>
      <c r="H20" s="67">
        <f>Forecast!H20</f>
        <v>0</v>
      </c>
      <c r="I20" s="67">
        <f>Forecast!I20</f>
        <v>0</v>
      </c>
      <c r="J20" s="67">
        <f>Forecast!J20</f>
        <v>0</v>
      </c>
      <c r="K20" s="67">
        <f>Forecast!K20</f>
        <v>0</v>
      </c>
      <c r="L20" s="67">
        <f>Forecast!L20</f>
        <v>0</v>
      </c>
      <c r="M20" s="67">
        <f>Forecast!M20</f>
        <v>0</v>
      </c>
      <c r="N20" s="67">
        <f>Forecast!N20</f>
        <v>0</v>
      </c>
      <c r="O20" s="67">
        <f>Forecast!O20</f>
        <v>0</v>
      </c>
      <c r="P20" s="67">
        <f>Forecast!P20</f>
        <v>0</v>
      </c>
      <c r="Q20" s="67">
        <f>Forecast!Q20</f>
        <v>0</v>
      </c>
      <c r="R20" s="67">
        <f>Forecast!R20</f>
        <v>0</v>
      </c>
      <c r="S20" s="67">
        <f>Forecast!S20</f>
        <v>0</v>
      </c>
      <c r="T20" s="67">
        <f>Forecast!T20</f>
        <v>0</v>
      </c>
      <c r="U20" s="67">
        <f>Forecast!U20</f>
        <v>0</v>
      </c>
      <c r="V20" s="67">
        <f>Forecast!V20</f>
        <v>0</v>
      </c>
      <c r="W20" s="67">
        <f>Forecast!W20</f>
        <v>0</v>
      </c>
      <c r="X20" s="67">
        <f>Forecast!X20</f>
        <v>0</v>
      </c>
      <c r="Y20" s="67">
        <f>Forecast!Y20</f>
        <v>0</v>
      </c>
      <c r="Z20" s="67">
        <f>Forecast!Z20</f>
        <v>0</v>
      </c>
      <c r="AA20" s="67">
        <f>Forecast!AA20</f>
        <v>0</v>
      </c>
      <c r="AB20" s="67">
        <f>Forecast!AB20</f>
        <v>0</v>
      </c>
      <c r="AC20" s="67">
        <f>Forecast!AC20</f>
        <v>0</v>
      </c>
      <c r="AD20" s="67">
        <f>Forecast!AD20</f>
        <v>0</v>
      </c>
      <c r="AE20" s="67">
        <f>Forecast!AE20</f>
        <v>0</v>
      </c>
      <c r="AF20" s="67">
        <f>Forecast!AF20</f>
        <v>0</v>
      </c>
      <c r="AG20" s="67">
        <f>Forecast!AG20</f>
        <v>0</v>
      </c>
      <c r="AH20" s="67">
        <f>Forecast!AH20</f>
        <v>0</v>
      </c>
      <c r="AI20" s="67">
        <f>Forecast!AI20</f>
        <v>0</v>
      </c>
      <c r="AJ20" s="67">
        <f>Forecast!AJ20</f>
        <v>0</v>
      </c>
      <c r="AK20" s="67">
        <f>Forecast!AK20</f>
        <v>0</v>
      </c>
      <c r="AL20" s="67">
        <f>Forecast!AL20</f>
        <v>0</v>
      </c>
      <c r="AM20" s="67">
        <f>Forecast!AM20</f>
        <v>0</v>
      </c>
      <c r="AN20" s="67">
        <f>Forecast!AN20</f>
        <v>0</v>
      </c>
      <c r="AO20" s="67">
        <f>Forecast!AO20</f>
        <v>0</v>
      </c>
      <c r="AP20" s="67">
        <f>Forecast!AP20</f>
        <v>0</v>
      </c>
      <c r="AQ20" s="67">
        <f>Forecast!AQ20</f>
        <v>0</v>
      </c>
      <c r="AR20" s="67">
        <f>Forecast!AR20</f>
        <v>0</v>
      </c>
      <c r="AS20" s="67">
        <f>Forecast!AS20</f>
        <v>0</v>
      </c>
      <c r="AT20" s="67">
        <f>Forecast!AT20</f>
        <v>0</v>
      </c>
      <c r="AU20" s="67">
        <f>Forecast!AU20</f>
        <v>0</v>
      </c>
      <c r="AV20" s="67">
        <f>Forecast!AV20</f>
        <v>0</v>
      </c>
      <c r="AW20" s="67">
        <f>Forecast!AW20</f>
        <v>0</v>
      </c>
      <c r="AX20" s="67">
        <f>Forecast!AX20</f>
        <v>0</v>
      </c>
      <c r="AY20" s="67">
        <f>Forecast!AY20</f>
        <v>0</v>
      </c>
      <c r="AZ20" s="67">
        <f>Forecast!AZ20</f>
        <v>0</v>
      </c>
      <c r="BA20" s="67">
        <f>Forecast!BA20</f>
        <v>0</v>
      </c>
      <c r="BB20" s="67">
        <f>Forecast!BB20</f>
        <v>0</v>
      </c>
      <c r="BC20" s="67">
        <f>Forecast!BC20</f>
        <v>0</v>
      </c>
      <c r="BD20" s="67">
        <f>Forecast!BD20</f>
        <v>0</v>
      </c>
      <c r="BE20" s="67">
        <f>Forecast!BE20</f>
        <v>0</v>
      </c>
      <c r="BF20" s="67">
        <f>Forecast!BF20</f>
        <v>0</v>
      </c>
      <c r="BG20" s="67">
        <f>Forecast!BG20</f>
        <v>0</v>
      </c>
      <c r="BH20" s="67">
        <f>Forecast!BH20</f>
        <v>0</v>
      </c>
      <c r="BI20" s="67">
        <f>Forecast!BI20</f>
        <v>0</v>
      </c>
      <c r="BJ20" s="67">
        <f>Forecast!BJ20</f>
        <v>0</v>
      </c>
      <c r="BK20" s="67">
        <f>Forecast!BK20</f>
        <v>0</v>
      </c>
      <c r="BL20" s="67">
        <f>Forecast!BL20</f>
        <v>0</v>
      </c>
      <c r="BM20" s="67">
        <f>Forecast!BM20</f>
        <v>0</v>
      </c>
      <c r="BN20" s="67">
        <f>Forecast!BN20</f>
        <v>0</v>
      </c>
      <c r="BO20" s="67">
        <f>Forecast!BO20</f>
        <v>0</v>
      </c>
      <c r="BP20" s="67">
        <f>Forecast!BP20</f>
        <v>0</v>
      </c>
      <c r="BQ20" s="67">
        <f>Forecast!BQ20</f>
        <v>0</v>
      </c>
      <c r="BR20" s="67">
        <f>Forecast!BR20</f>
        <v>0</v>
      </c>
      <c r="BS20" s="67">
        <f>Forecast!BS20</f>
        <v>0</v>
      </c>
      <c r="BT20" s="67">
        <f>Forecast!BT20</f>
        <v>0</v>
      </c>
      <c r="BU20" s="67">
        <f>Forecast!BU20</f>
        <v>0</v>
      </c>
      <c r="BV20" s="67">
        <f>Forecast!BV20</f>
        <v>0</v>
      </c>
      <c r="BW20" s="67">
        <f>Forecast!BW20</f>
        <v>0</v>
      </c>
      <c r="BX20" s="67">
        <f>Forecast!BX20</f>
        <v>0</v>
      </c>
      <c r="BY20" s="67">
        <f>Forecast!BY20</f>
        <v>0</v>
      </c>
      <c r="BZ20" s="67">
        <f>Forecast!BZ20</f>
        <v>0</v>
      </c>
      <c r="CA20" s="67">
        <f>Forecast!CA20</f>
        <v>0</v>
      </c>
      <c r="CB20" s="67">
        <f>Forecast!CB20</f>
        <v>0</v>
      </c>
      <c r="CC20" s="67">
        <f>Forecast!CC20</f>
        <v>0</v>
      </c>
      <c r="CD20" s="67">
        <f>Forecast!CD20</f>
        <v>0</v>
      </c>
      <c r="CE20" s="67">
        <f>Forecast!CE20</f>
        <v>0</v>
      </c>
      <c r="CF20" s="67">
        <f>Forecast!CF20</f>
        <v>0</v>
      </c>
      <c r="CG20" s="67">
        <f>Forecast!CG20</f>
        <v>0</v>
      </c>
      <c r="CH20" s="67">
        <f>Forecast!CH20</f>
        <v>0</v>
      </c>
    </row>
    <row r="21" spans="1:86" ht="13">
      <c r="B21" s="15"/>
      <c r="C21" s="15"/>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row>
    <row r="22" spans="1:86" ht="13">
      <c r="B22" s="15" t="s">
        <v>251</v>
      </c>
      <c r="C22" s="15"/>
      <c r="D22" s="15" t="s">
        <v>252</v>
      </c>
      <c r="E22" s="29">
        <f t="shared" ref="E22:E28" si="5">IF(D22="sum",SUM(G22:CH22),IF(D22="final",CH22,IF(D22="initial",G22,IF(D22="average",AVERAGE(G22:CH22),0))))</f>
        <v>0</v>
      </c>
      <c r="F22" s="29"/>
      <c r="G22" s="29">
        <f t="shared" ref="G22:CH22" si="6">F28</f>
        <v>0</v>
      </c>
      <c r="H22" s="29">
        <f t="shared" ca="1" si="6"/>
        <v>0</v>
      </c>
      <c r="I22" s="29">
        <f t="shared" ca="1" si="6"/>
        <v>0</v>
      </c>
      <c r="J22" s="29">
        <f t="shared" ca="1" si="6"/>
        <v>0</v>
      </c>
      <c r="K22" s="29">
        <f t="shared" ca="1" si="6"/>
        <v>0</v>
      </c>
      <c r="L22" s="29">
        <f t="shared" ca="1" si="6"/>
        <v>0</v>
      </c>
      <c r="M22" s="29">
        <f t="shared" ca="1" si="6"/>
        <v>0</v>
      </c>
      <c r="N22" s="29">
        <f t="shared" ca="1" si="6"/>
        <v>0</v>
      </c>
      <c r="O22" s="29">
        <f t="shared" ca="1" si="6"/>
        <v>0</v>
      </c>
      <c r="P22" s="29">
        <f t="shared" ca="1" si="6"/>
        <v>0</v>
      </c>
      <c r="Q22" s="29">
        <f t="shared" ca="1" si="6"/>
        <v>0</v>
      </c>
      <c r="R22" s="29">
        <f t="shared" ca="1" si="6"/>
        <v>0</v>
      </c>
      <c r="S22" s="29">
        <f t="shared" ca="1" si="6"/>
        <v>0</v>
      </c>
      <c r="T22" s="29">
        <f t="shared" ca="1" si="6"/>
        <v>0</v>
      </c>
      <c r="U22" s="29">
        <f t="shared" ca="1" si="6"/>
        <v>0</v>
      </c>
      <c r="V22" s="29">
        <f t="shared" ca="1" si="6"/>
        <v>0</v>
      </c>
      <c r="W22" s="29">
        <f t="shared" ca="1" si="6"/>
        <v>0</v>
      </c>
      <c r="X22" s="29">
        <f t="shared" ca="1" si="6"/>
        <v>0</v>
      </c>
      <c r="Y22" s="29">
        <f t="shared" ca="1" si="6"/>
        <v>0</v>
      </c>
      <c r="Z22" s="29">
        <f t="shared" ca="1" si="6"/>
        <v>0</v>
      </c>
      <c r="AA22" s="29">
        <f t="shared" ca="1" si="6"/>
        <v>0</v>
      </c>
      <c r="AB22" s="29">
        <f t="shared" ca="1" si="6"/>
        <v>0</v>
      </c>
      <c r="AC22" s="29">
        <f t="shared" ca="1" si="6"/>
        <v>0</v>
      </c>
      <c r="AD22" s="29">
        <f t="shared" ca="1" si="6"/>
        <v>0</v>
      </c>
      <c r="AE22" s="29">
        <f t="shared" ca="1" si="6"/>
        <v>0</v>
      </c>
      <c r="AF22" s="29">
        <f t="shared" ca="1" si="6"/>
        <v>0</v>
      </c>
      <c r="AG22" s="29">
        <f t="shared" ca="1" si="6"/>
        <v>0</v>
      </c>
      <c r="AH22" s="29">
        <f t="shared" ca="1" si="6"/>
        <v>0</v>
      </c>
      <c r="AI22" s="29">
        <f t="shared" ca="1" si="6"/>
        <v>0</v>
      </c>
      <c r="AJ22" s="29">
        <f t="shared" ca="1" si="6"/>
        <v>0</v>
      </c>
      <c r="AK22" s="29">
        <f t="shared" ca="1" si="6"/>
        <v>0</v>
      </c>
      <c r="AL22" s="29">
        <f t="shared" ca="1" si="6"/>
        <v>0</v>
      </c>
      <c r="AM22" s="29">
        <f t="shared" ca="1" si="6"/>
        <v>0</v>
      </c>
      <c r="AN22" s="29">
        <f t="shared" ca="1" si="6"/>
        <v>0</v>
      </c>
      <c r="AO22" s="29">
        <f t="shared" ca="1" si="6"/>
        <v>0</v>
      </c>
      <c r="AP22" s="29">
        <f t="shared" ca="1" si="6"/>
        <v>0</v>
      </c>
      <c r="AQ22" s="29">
        <f t="shared" ca="1" si="6"/>
        <v>0</v>
      </c>
      <c r="AR22" s="29">
        <f t="shared" ca="1" si="6"/>
        <v>0</v>
      </c>
      <c r="AS22" s="29">
        <f t="shared" ca="1" si="6"/>
        <v>0</v>
      </c>
      <c r="AT22" s="29">
        <f t="shared" ca="1" si="6"/>
        <v>0</v>
      </c>
      <c r="AU22" s="29">
        <f t="shared" ca="1" si="6"/>
        <v>0</v>
      </c>
      <c r="AV22" s="29">
        <f t="shared" ca="1" si="6"/>
        <v>0</v>
      </c>
      <c r="AW22" s="29">
        <f t="shared" ca="1" si="6"/>
        <v>0</v>
      </c>
      <c r="AX22" s="29">
        <f t="shared" ca="1" si="6"/>
        <v>0</v>
      </c>
      <c r="AY22" s="29">
        <f t="shared" ca="1" si="6"/>
        <v>0</v>
      </c>
      <c r="AZ22" s="29">
        <f t="shared" ca="1" si="6"/>
        <v>0</v>
      </c>
      <c r="BA22" s="29">
        <f t="shared" ca="1" si="6"/>
        <v>0</v>
      </c>
      <c r="BB22" s="29">
        <f t="shared" ca="1" si="6"/>
        <v>0</v>
      </c>
      <c r="BC22" s="29">
        <f t="shared" ca="1" si="6"/>
        <v>0</v>
      </c>
      <c r="BD22" s="29">
        <f t="shared" ca="1" si="6"/>
        <v>0</v>
      </c>
      <c r="BE22" s="29">
        <f t="shared" ca="1" si="6"/>
        <v>0</v>
      </c>
      <c r="BF22" s="29">
        <f t="shared" ca="1" si="6"/>
        <v>0</v>
      </c>
      <c r="BG22" s="29">
        <f t="shared" ca="1" si="6"/>
        <v>0</v>
      </c>
      <c r="BH22" s="29">
        <f t="shared" ca="1" si="6"/>
        <v>0</v>
      </c>
      <c r="BI22" s="29">
        <f t="shared" ca="1" si="6"/>
        <v>0</v>
      </c>
      <c r="BJ22" s="29">
        <f t="shared" ca="1" si="6"/>
        <v>0</v>
      </c>
      <c r="BK22" s="29">
        <f t="shared" ca="1" si="6"/>
        <v>0</v>
      </c>
      <c r="BL22" s="29">
        <f t="shared" ca="1" si="6"/>
        <v>0</v>
      </c>
      <c r="BM22" s="29">
        <f t="shared" ca="1" si="6"/>
        <v>0</v>
      </c>
      <c r="BN22" s="29">
        <f t="shared" ca="1" si="6"/>
        <v>0</v>
      </c>
      <c r="BO22" s="29">
        <f t="shared" ca="1" si="6"/>
        <v>0</v>
      </c>
      <c r="BP22" s="29">
        <f t="shared" ca="1" si="6"/>
        <v>0</v>
      </c>
      <c r="BQ22" s="29">
        <f t="shared" ca="1" si="6"/>
        <v>0</v>
      </c>
      <c r="BR22" s="29">
        <f t="shared" ca="1" si="6"/>
        <v>0</v>
      </c>
      <c r="BS22" s="29">
        <f t="shared" ca="1" si="6"/>
        <v>0</v>
      </c>
      <c r="BT22" s="29">
        <f t="shared" ca="1" si="6"/>
        <v>0</v>
      </c>
      <c r="BU22" s="29">
        <f t="shared" ca="1" si="6"/>
        <v>0</v>
      </c>
      <c r="BV22" s="29">
        <f t="shared" ca="1" si="6"/>
        <v>0</v>
      </c>
      <c r="BW22" s="29">
        <f t="shared" ca="1" si="6"/>
        <v>0</v>
      </c>
      <c r="BX22" s="29">
        <f t="shared" ca="1" si="6"/>
        <v>0</v>
      </c>
      <c r="BY22" s="29">
        <f t="shared" ca="1" si="6"/>
        <v>0</v>
      </c>
      <c r="BZ22" s="29">
        <f t="shared" ca="1" si="6"/>
        <v>0</v>
      </c>
      <c r="CA22" s="29">
        <f t="shared" ca="1" si="6"/>
        <v>0</v>
      </c>
      <c r="CB22" s="29">
        <f t="shared" ca="1" si="6"/>
        <v>0</v>
      </c>
      <c r="CC22" s="29">
        <f t="shared" ca="1" si="6"/>
        <v>0</v>
      </c>
      <c r="CD22" s="29">
        <f t="shared" ca="1" si="6"/>
        <v>0</v>
      </c>
      <c r="CE22" s="29">
        <f t="shared" ca="1" si="6"/>
        <v>0</v>
      </c>
      <c r="CF22" s="29">
        <f t="shared" ca="1" si="6"/>
        <v>0</v>
      </c>
      <c r="CG22" s="29">
        <f t="shared" ca="1" si="6"/>
        <v>0</v>
      </c>
      <c r="CH22" s="29">
        <f t="shared" ca="1" si="6"/>
        <v>0</v>
      </c>
    </row>
    <row r="23" spans="1:86" ht="13">
      <c r="B23" s="15" t="s">
        <v>253</v>
      </c>
      <c r="C23" s="15"/>
      <c r="D23" s="15" t="s">
        <v>238</v>
      </c>
      <c r="E23" s="29">
        <f t="shared" ca="1" si="5"/>
        <v>25000000</v>
      </c>
      <c r="F23" s="29"/>
      <c r="G23" s="29">
        <f t="shared" ref="G23:CH23" ca="1" si="7">G31</f>
        <v>1444375</v>
      </c>
      <c r="H23" s="29">
        <f t="shared" ca="1" si="7"/>
        <v>1344375</v>
      </c>
      <c r="I23" s="29">
        <f t="shared" ca="1" si="7"/>
        <v>1344375</v>
      </c>
      <c r="J23" s="29">
        <f t="shared" ca="1" si="7"/>
        <v>1344375</v>
      </c>
      <c r="K23" s="29">
        <f t="shared" ca="1" si="7"/>
        <v>1344375</v>
      </c>
      <c r="L23" s="29">
        <f t="shared" ca="1" si="7"/>
        <v>1344375</v>
      </c>
      <c r="M23" s="29">
        <f t="shared" ca="1" si="7"/>
        <v>1344375</v>
      </c>
      <c r="N23" s="29">
        <f t="shared" ca="1" si="7"/>
        <v>1344375</v>
      </c>
      <c r="O23" s="29">
        <f t="shared" ca="1" si="7"/>
        <v>1344375</v>
      </c>
      <c r="P23" s="29">
        <f t="shared" ca="1" si="7"/>
        <v>1344375</v>
      </c>
      <c r="Q23" s="29">
        <f t="shared" ca="1" si="7"/>
        <v>1344375</v>
      </c>
      <c r="R23" s="29">
        <f t="shared" ca="1" si="7"/>
        <v>1344375</v>
      </c>
      <c r="S23" s="29">
        <f t="shared" ca="1" si="7"/>
        <v>1344375</v>
      </c>
      <c r="T23" s="29">
        <f t="shared" ca="1" si="7"/>
        <v>1344375</v>
      </c>
      <c r="U23" s="29">
        <f t="shared" ca="1" si="7"/>
        <v>1344375</v>
      </c>
      <c r="V23" s="29">
        <f t="shared" ca="1" si="7"/>
        <v>1344375</v>
      </c>
      <c r="W23" s="29">
        <f t="shared" ca="1" si="7"/>
        <v>141250</v>
      </c>
      <c r="X23" s="29">
        <f t="shared" ca="1" si="7"/>
        <v>141250</v>
      </c>
      <c r="Y23" s="29">
        <f t="shared" ca="1" si="7"/>
        <v>141250</v>
      </c>
      <c r="Z23" s="29">
        <f t="shared" ca="1" si="7"/>
        <v>141250</v>
      </c>
      <c r="AA23" s="29">
        <f t="shared" ca="1" si="7"/>
        <v>141250</v>
      </c>
      <c r="AB23" s="29">
        <f t="shared" ca="1" si="7"/>
        <v>141250</v>
      </c>
      <c r="AC23" s="29">
        <f t="shared" ca="1" si="7"/>
        <v>141250</v>
      </c>
      <c r="AD23" s="29">
        <f t="shared" ca="1" si="7"/>
        <v>141250</v>
      </c>
      <c r="AE23" s="29">
        <f t="shared" ca="1" si="7"/>
        <v>141250</v>
      </c>
      <c r="AF23" s="29">
        <f t="shared" ca="1" si="7"/>
        <v>141250</v>
      </c>
      <c r="AG23" s="29">
        <f t="shared" ca="1" si="7"/>
        <v>141250</v>
      </c>
      <c r="AH23" s="29">
        <f t="shared" ca="1" si="7"/>
        <v>141250</v>
      </c>
      <c r="AI23" s="29">
        <f t="shared" ca="1" si="7"/>
        <v>141250</v>
      </c>
      <c r="AJ23" s="29">
        <f t="shared" ca="1" si="7"/>
        <v>141250</v>
      </c>
      <c r="AK23" s="29">
        <f t="shared" ca="1" si="7"/>
        <v>141250</v>
      </c>
      <c r="AL23" s="29">
        <f t="shared" ca="1" si="7"/>
        <v>141250</v>
      </c>
      <c r="AM23" s="29">
        <f t="shared" ca="1" si="7"/>
        <v>141250</v>
      </c>
      <c r="AN23" s="29">
        <f t="shared" ca="1" si="7"/>
        <v>141250</v>
      </c>
      <c r="AO23" s="29">
        <f t="shared" ca="1" si="7"/>
        <v>141250</v>
      </c>
      <c r="AP23" s="29">
        <f t="shared" ca="1" si="7"/>
        <v>141250</v>
      </c>
      <c r="AQ23" s="29">
        <f t="shared" ca="1" si="7"/>
        <v>141250</v>
      </c>
      <c r="AR23" s="29">
        <f t="shared" ca="1" si="7"/>
        <v>141250</v>
      </c>
      <c r="AS23" s="29">
        <f t="shared" ca="1" si="7"/>
        <v>141250</v>
      </c>
      <c r="AT23" s="29">
        <f t="shared" ca="1" si="7"/>
        <v>141250</v>
      </c>
      <c r="AU23" s="29">
        <f t="shared" ca="1" si="7"/>
        <v>0</v>
      </c>
      <c r="AV23" s="29">
        <f t="shared" ca="1" si="7"/>
        <v>0</v>
      </c>
      <c r="AW23" s="29">
        <f t="shared" ca="1" si="7"/>
        <v>0</v>
      </c>
      <c r="AX23" s="29">
        <f t="shared" ca="1" si="7"/>
        <v>0</v>
      </c>
      <c r="AY23" s="29">
        <f t="shared" ca="1" si="7"/>
        <v>0</v>
      </c>
      <c r="AZ23" s="29">
        <f t="shared" ca="1" si="7"/>
        <v>0</v>
      </c>
      <c r="BA23" s="29">
        <f t="shared" ca="1" si="7"/>
        <v>0</v>
      </c>
      <c r="BB23" s="29">
        <f t="shared" ca="1" si="7"/>
        <v>0</v>
      </c>
      <c r="BC23" s="29">
        <f t="shared" ca="1" si="7"/>
        <v>0</v>
      </c>
      <c r="BD23" s="29">
        <f t="shared" ca="1" si="7"/>
        <v>0</v>
      </c>
      <c r="BE23" s="29">
        <f t="shared" ca="1" si="7"/>
        <v>0</v>
      </c>
      <c r="BF23" s="29">
        <f t="shared" ca="1" si="7"/>
        <v>0</v>
      </c>
      <c r="BG23" s="29">
        <f t="shared" ca="1" si="7"/>
        <v>0</v>
      </c>
      <c r="BH23" s="29">
        <f t="shared" ca="1" si="7"/>
        <v>0</v>
      </c>
      <c r="BI23" s="29">
        <f t="shared" ca="1" si="7"/>
        <v>0</v>
      </c>
      <c r="BJ23" s="29">
        <f t="shared" ca="1" si="7"/>
        <v>0</v>
      </c>
      <c r="BK23" s="29">
        <f t="shared" ca="1" si="7"/>
        <v>0</v>
      </c>
      <c r="BL23" s="29">
        <f t="shared" ca="1" si="7"/>
        <v>0</v>
      </c>
      <c r="BM23" s="29">
        <f t="shared" ca="1" si="7"/>
        <v>0</v>
      </c>
      <c r="BN23" s="29">
        <f t="shared" ca="1" si="7"/>
        <v>0</v>
      </c>
      <c r="BO23" s="29">
        <f t="shared" ca="1" si="7"/>
        <v>0</v>
      </c>
      <c r="BP23" s="29">
        <f t="shared" ca="1" si="7"/>
        <v>0</v>
      </c>
      <c r="BQ23" s="29">
        <f t="shared" ca="1" si="7"/>
        <v>0</v>
      </c>
      <c r="BR23" s="29">
        <f t="shared" ca="1" si="7"/>
        <v>0</v>
      </c>
      <c r="BS23" s="29">
        <f t="shared" ca="1" si="7"/>
        <v>0</v>
      </c>
      <c r="BT23" s="29">
        <f t="shared" ca="1" si="7"/>
        <v>0</v>
      </c>
      <c r="BU23" s="29">
        <f t="shared" ca="1" si="7"/>
        <v>0</v>
      </c>
      <c r="BV23" s="29">
        <f t="shared" ca="1" si="7"/>
        <v>0</v>
      </c>
      <c r="BW23" s="29">
        <f t="shared" ca="1" si="7"/>
        <v>0</v>
      </c>
      <c r="BX23" s="29">
        <f t="shared" ca="1" si="7"/>
        <v>0</v>
      </c>
      <c r="BY23" s="29">
        <f t="shared" ca="1" si="7"/>
        <v>0</v>
      </c>
      <c r="BZ23" s="29">
        <f t="shared" ca="1" si="7"/>
        <v>0</v>
      </c>
      <c r="CA23" s="29">
        <f t="shared" ca="1" si="7"/>
        <v>0</v>
      </c>
      <c r="CB23" s="29">
        <f t="shared" ca="1" si="7"/>
        <v>0</v>
      </c>
      <c r="CC23" s="29">
        <f t="shared" ca="1" si="7"/>
        <v>0</v>
      </c>
      <c r="CD23" s="29">
        <f t="shared" ca="1" si="7"/>
        <v>0</v>
      </c>
      <c r="CE23" s="29">
        <f t="shared" ca="1" si="7"/>
        <v>0</v>
      </c>
      <c r="CF23" s="29">
        <f t="shared" ca="1" si="7"/>
        <v>0</v>
      </c>
      <c r="CG23" s="29">
        <f t="shared" ca="1" si="7"/>
        <v>0</v>
      </c>
      <c r="CH23" s="29">
        <f t="shared" ca="1" si="7"/>
        <v>0</v>
      </c>
    </row>
    <row r="24" spans="1:86" ht="13">
      <c r="B24" s="15" t="s">
        <v>218</v>
      </c>
      <c r="C24" s="15"/>
      <c r="D24" s="15" t="s">
        <v>238</v>
      </c>
      <c r="E24" s="29">
        <f t="shared" ca="1" si="5"/>
        <v>231601562.5</v>
      </c>
      <c r="F24" s="29"/>
      <c r="G24" s="29">
        <f t="shared" ref="G24:CH24" ca="1" si="8">G43</f>
        <v>0</v>
      </c>
      <c r="H24" s="29">
        <f t="shared" ca="1" si="8"/>
        <v>0</v>
      </c>
      <c r="I24" s="29">
        <f t="shared" ca="1" si="8"/>
        <v>0</v>
      </c>
      <c r="J24" s="29">
        <f t="shared" ca="1" si="8"/>
        <v>0</v>
      </c>
      <c r="K24" s="29">
        <f t="shared" ca="1" si="8"/>
        <v>0</v>
      </c>
      <c r="L24" s="29">
        <f t="shared" ca="1" si="8"/>
        <v>0</v>
      </c>
      <c r="M24" s="29">
        <f t="shared" ca="1" si="8"/>
        <v>0</v>
      </c>
      <c r="N24" s="29">
        <f t="shared" ca="1" si="8"/>
        <v>0</v>
      </c>
      <c r="O24" s="29">
        <f t="shared" ca="1" si="8"/>
        <v>0</v>
      </c>
      <c r="P24" s="29">
        <f t="shared" ca="1" si="8"/>
        <v>0</v>
      </c>
      <c r="Q24" s="29">
        <f t="shared" ca="1" si="8"/>
        <v>0</v>
      </c>
      <c r="R24" s="29">
        <f t="shared" ca="1" si="8"/>
        <v>0</v>
      </c>
      <c r="S24" s="29">
        <f t="shared" ca="1" si="8"/>
        <v>1010625.0000000005</v>
      </c>
      <c r="T24" s="29">
        <f t="shared" ca="1" si="8"/>
        <v>1010625.0000000005</v>
      </c>
      <c r="U24" s="29">
        <f t="shared" ca="1" si="8"/>
        <v>1010625.0000000005</v>
      </c>
      <c r="V24" s="29">
        <f t="shared" ca="1" si="8"/>
        <v>1010625.0000000005</v>
      </c>
      <c r="W24" s="29">
        <f t="shared" ca="1" si="8"/>
        <v>2526562.5000000009</v>
      </c>
      <c r="X24" s="29">
        <f t="shared" ca="1" si="8"/>
        <v>2526562.5000000009</v>
      </c>
      <c r="Y24" s="29">
        <f t="shared" ca="1" si="8"/>
        <v>2526562.5000000009</v>
      </c>
      <c r="Z24" s="29">
        <f t="shared" ca="1" si="8"/>
        <v>2526562.5000000009</v>
      </c>
      <c r="AA24" s="29">
        <f t="shared" ca="1" si="8"/>
        <v>2526562.5000000009</v>
      </c>
      <c r="AB24" s="29">
        <f t="shared" ca="1" si="8"/>
        <v>2526562.5000000009</v>
      </c>
      <c r="AC24" s="29">
        <f t="shared" ca="1" si="8"/>
        <v>2526562.5000000009</v>
      </c>
      <c r="AD24" s="29">
        <f t="shared" ca="1" si="8"/>
        <v>2526562.5000000009</v>
      </c>
      <c r="AE24" s="29">
        <f t="shared" ca="1" si="8"/>
        <v>14064531.249999998</v>
      </c>
      <c r="AF24" s="29">
        <f t="shared" ca="1" si="8"/>
        <v>14064531.249999998</v>
      </c>
      <c r="AG24" s="29">
        <f t="shared" ca="1" si="8"/>
        <v>14064531.249999998</v>
      </c>
      <c r="AH24" s="29">
        <f t="shared" ca="1" si="8"/>
        <v>14064531.249999998</v>
      </c>
      <c r="AI24" s="29">
        <f t="shared" ca="1" si="8"/>
        <v>13138124.999999998</v>
      </c>
      <c r="AJ24" s="29">
        <f t="shared" ca="1" si="8"/>
        <v>13138124.999999998</v>
      </c>
      <c r="AK24" s="29">
        <f t="shared" ca="1" si="8"/>
        <v>13138124.999999998</v>
      </c>
      <c r="AL24" s="29">
        <f t="shared" ca="1" si="8"/>
        <v>13138124.999999998</v>
      </c>
      <c r="AM24" s="29">
        <f t="shared" ca="1" si="8"/>
        <v>11369531.249999998</v>
      </c>
      <c r="AN24" s="29">
        <f t="shared" ca="1" si="8"/>
        <v>11369531.249999998</v>
      </c>
      <c r="AO24" s="29">
        <f t="shared" ca="1" si="8"/>
        <v>11369531.249999998</v>
      </c>
      <c r="AP24" s="29">
        <f t="shared" ca="1" si="8"/>
        <v>11369531.249999998</v>
      </c>
      <c r="AQ24" s="29">
        <f t="shared" ca="1" si="8"/>
        <v>13264453.124999996</v>
      </c>
      <c r="AR24" s="29">
        <f t="shared" ca="1" si="8"/>
        <v>13264453.124999996</v>
      </c>
      <c r="AS24" s="29">
        <f t="shared" ca="1" si="8"/>
        <v>13264453.124999996</v>
      </c>
      <c r="AT24" s="29">
        <f t="shared" ca="1" si="8"/>
        <v>13264453.124999996</v>
      </c>
      <c r="AU24" s="29">
        <f t="shared" ca="1" si="8"/>
        <v>0</v>
      </c>
      <c r="AV24" s="29">
        <f t="shared" ca="1" si="8"/>
        <v>0</v>
      </c>
      <c r="AW24" s="29">
        <f t="shared" ca="1" si="8"/>
        <v>0</v>
      </c>
      <c r="AX24" s="29">
        <f t="shared" ca="1" si="8"/>
        <v>0</v>
      </c>
      <c r="AY24" s="29">
        <f t="shared" ca="1" si="8"/>
        <v>0</v>
      </c>
      <c r="AZ24" s="29">
        <f t="shared" ca="1" si="8"/>
        <v>0</v>
      </c>
      <c r="BA24" s="29">
        <f t="shared" ca="1" si="8"/>
        <v>0</v>
      </c>
      <c r="BB24" s="29">
        <f t="shared" ca="1" si="8"/>
        <v>0</v>
      </c>
      <c r="BC24" s="29">
        <f t="shared" ca="1" si="8"/>
        <v>0</v>
      </c>
      <c r="BD24" s="29">
        <f t="shared" ca="1" si="8"/>
        <v>0</v>
      </c>
      <c r="BE24" s="29">
        <f t="shared" ca="1" si="8"/>
        <v>0</v>
      </c>
      <c r="BF24" s="29">
        <f t="shared" ca="1" si="8"/>
        <v>0</v>
      </c>
      <c r="BG24" s="29">
        <f t="shared" ca="1" si="8"/>
        <v>0</v>
      </c>
      <c r="BH24" s="29">
        <f t="shared" ca="1" si="8"/>
        <v>0</v>
      </c>
      <c r="BI24" s="29">
        <f t="shared" ca="1" si="8"/>
        <v>0</v>
      </c>
      <c r="BJ24" s="29">
        <f t="shared" ca="1" si="8"/>
        <v>0</v>
      </c>
      <c r="BK24" s="29">
        <f t="shared" ca="1" si="8"/>
        <v>0</v>
      </c>
      <c r="BL24" s="29">
        <f t="shared" ca="1" si="8"/>
        <v>0</v>
      </c>
      <c r="BM24" s="29">
        <f t="shared" ca="1" si="8"/>
        <v>0</v>
      </c>
      <c r="BN24" s="29">
        <f t="shared" ca="1" si="8"/>
        <v>0</v>
      </c>
      <c r="BO24" s="29">
        <f t="shared" ca="1" si="8"/>
        <v>0</v>
      </c>
      <c r="BP24" s="29">
        <f t="shared" ca="1" si="8"/>
        <v>0</v>
      </c>
      <c r="BQ24" s="29">
        <f t="shared" ca="1" si="8"/>
        <v>0</v>
      </c>
      <c r="BR24" s="29">
        <f t="shared" ca="1" si="8"/>
        <v>0</v>
      </c>
      <c r="BS24" s="29">
        <f t="shared" ca="1" si="8"/>
        <v>0</v>
      </c>
      <c r="BT24" s="29">
        <f t="shared" ca="1" si="8"/>
        <v>0</v>
      </c>
      <c r="BU24" s="29">
        <f t="shared" ca="1" si="8"/>
        <v>0</v>
      </c>
      <c r="BV24" s="29">
        <f t="shared" ca="1" si="8"/>
        <v>0</v>
      </c>
      <c r="BW24" s="29">
        <f t="shared" ca="1" si="8"/>
        <v>0</v>
      </c>
      <c r="BX24" s="29">
        <f t="shared" ca="1" si="8"/>
        <v>0</v>
      </c>
      <c r="BY24" s="29">
        <f t="shared" ca="1" si="8"/>
        <v>0</v>
      </c>
      <c r="BZ24" s="29">
        <f t="shared" ca="1" si="8"/>
        <v>0</v>
      </c>
      <c r="CA24" s="29">
        <f t="shared" ca="1" si="8"/>
        <v>0</v>
      </c>
      <c r="CB24" s="29">
        <f t="shared" ca="1" si="8"/>
        <v>0</v>
      </c>
      <c r="CC24" s="29">
        <f t="shared" ca="1" si="8"/>
        <v>0</v>
      </c>
      <c r="CD24" s="29">
        <f t="shared" ca="1" si="8"/>
        <v>0</v>
      </c>
      <c r="CE24" s="29">
        <f t="shared" ca="1" si="8"/>
        <v>0</v>
      </c>
      <c r="CF24" s="29">
        <f t="shared" ca="1" si="8"/>
        <v>0</v>
      </c>
      <c r="CG24" s="29">
        <f t="shared" ca="1" si="8"/>
        <v>0</v>
      </c>
      <c r="CH24" s="29">
        <f t="shared" ca="1" si="8"/>
        <v>0</v>
      </c>
    </row>
    <row r="25" spans="1:86" ht="13">
      <c r="B25" s="15" t="s">
        <v>254</v>
      </c>
      <c r="C25" s="15"/>
      <c r="D25" s="15" t="s">
        <v>238</v>
      </c>
      <c r="E25" s="29">
        <f t="shared" ca="1" si="5"/>
        <v>-230799479.16666666</v>
      </c>
      <c r="F25" s="29"/>
      <c r="G25" s="29">
        <f t="shared" ref="G25:CH25" ca="1" si="9">SUM(G47,G46,G45)*-1</f>
        <v>0</v>
      </c>
      <c r="H25" s="29">
        <f t="shared" ca="1" si="9"/>
        <v>0</v>
      </c>
      <c r="I25" s="29">
        <f t="shared" ca="1" si="9"/>
        <v>0</v>
      </c>
      <c r="J25" s="29">
        <f t="shared" ca="1" si="9"/>
        <v>0</v>
      </c>
      <c r="K25" s="29">
        <f t="shared" ca="1" si="9"/>
        <v>0</v>
      </c>
      <c r="L25" s="29">
        <f t="shared" ca="1" si="9"/>
        <v>0</v>
      </c>
      <c r="M25" s="29">
        <f t="shared" ca="1" si="9"/>
        <v>0</v>
      </c>
      <c r="N25" s="29">
        <f t="shared" ca="1" si="9"/>
        <v>0</v>
      </c>
      <c r="O25" s="29">
        <f t="shared" ca="1" si="9"/>
        <v>0</v>
      </c>
      <c r="P25" s="29">
        <f t="shared" ca="1" si="9"/>
        <v>0</v>
      </c>
      <c r="Q25" s="29">
        <f t="shared" ca="1" si="9"/>
        <v>0</v>
      </c>
      <c r="R25" s="29">
        <f t="shared" ca="1" si="9"/>
        <v>0</v>
      </c>
      <c r="S25" s="29">
        <f t="shared" ca="1" si="9"/>
        <v>-810104.16666666721</v>
      </c>
      <c r="T25" s="29">
        <f t="shared" ca="1" si="9"/>
        <v>-810104.16666666721</v>
      </c>
      <c r="U25" s="29">
        <f t="shared" ca="1" si="9"/>
        <v>-810104.16666666721</v>
      </c>
      <c r="V25" s="29">
        <f t="shared" ca="1" si="9"/>
        <v>-810104.16666666721</v>
      </c>
      <c r="W25" s="29">
        <f t="shared" ca="1" si="9"/>
        <v>-2526562.5000000009</v>
      </c>
      <c r="X25" s="29">
        <f t="shared" ca="1" si="9"/>
        <v>-2526562.5000000009</v>
      </c>
      <c r="Y25" s="29">
        <f t="shared" ca="1" si="9"/>
        <v>-2526562.5000000009</v>
      </c>
      <c r="Z25" s="29">
        <f t="shared" ca="1" si="9"/>
        <v>-2526562.5000000009</v>
      </c>
      <c r="AA25" s="29">
        <f t="shared" ca="1" si="9"/>
        <v>-2526562.5000000009</v>
      </c>
      <c r="AB25" s="29">
        <f t="shared" ca="1" si="9"/>
        <v>-2526562.5000000009</v>
      </c>
      <c r="AC25" s="29">
        <f t="shared" ca="1" si="9"/>
        <v>-2526562.5000000009</v>
      </c>
      <c r="AD25" s="29">
        <f t="shared" ca="1" si="9"/>
        <v>-2526562.5000000009</v>
      </c>
      <c r="AE25" s="29">
        <f t="shared" ca="1" si="9"/>
        <v>-14064531.249999998</v>
      </c>
      <c r="AF25" s="29">
        <f t="shared" ca="1" si="9"/>
        <v>-14064531.249999998</v>
      </c>
      <c r="AG25" s="29">
        <f t="shared" ca="1" si="9"/>
        <v>-14064531.249999998</v>
      </c>
      <c r="AH25" s="29">
        <f t="shared" ca="1" si="9"/>
        <v>-14064531.249999998</v>
      </c>
      <c r="AI25" s="29">
        <f t="shared" ca="1" si="9"/>
        <v>-13138124.999999998</v>
      </c>
      <c r="AJ25" s="29">
        <f t="shared" ca="1" si="9"/>
        <v>-13138124.999999998</v>
      </c>
      <c r="AK25" s="29">
        <f t="shared" ca="1" si="9"/>
        <v>-13138124.999999998</v>
      </c>
      <c r="AL25" s="29">
        <f t="shared" ca="1" si="9"/>
        <v>-13138124.999999998</v>
      </c>
      <c r="AM25" s="29">
        <f t="shared" ca="1" si="9"/>
        <v>-11369531.249999998</v>
      </c>
      <c r="AN25" s="29">
        <f t="shared" ca="1" si="9"/>
        <v>-11369531.249999998</v>
      </c>
      <c r="AO25" s="29">
        <f t="shared" ca="1" si="9"/>
        <v>-11369531.249999998</v>
      </c>
      <c r="AP25" s="29">
        <f t="shared" ca="1" si="9"/>
        <v>-11369531.249999998</v>
      </c>
      <c r="AQ25" s="29">
        <f t="shared" ca="1" si="9"/>
        <v>-13264453.124999996</v>
      </c>
      <c r="AR25" s="29">
        <f t="shared" ca="1" si="9"/>
        <v>-13264453.124999996</v>
      </c>
      <c r="AS25" s="29">
        <f t="shared" ca="1" si="9"/>
        <v>-13264453.124999996</v>
      </c>
      <c r="AT25" s="29">
        <f t="shared" ca="1" si="9"/>
        <v>-13264453.124999996</v>
      </c>
      <c r="AU25" s="29">
        <f t="shared" ca="1" si="9"/>
        <v>0</v>
      </c>
      <c r="AV25" s="29">
        <f t="shared" ca="1" si="9"/>
        <v>0</v>
      </c>
      <c r="AW25" s="29">
        <f t="shared" ca="1" si="9"/>
        <v>0</v>
      </c>
      <c r="AX25" s="29">
        <f t="shared" ca="1" si="9"/>
        <v>0</v>
      </c>
      <c r="AY25" s="29">
        <f t="shared" ca="1" si="9"/>
        <v>0</v>
      </c>
      <c r="AZ25" s="29">
        <f t="shared" ca="1" si="9"/>
        <v>0</v>
      </c>
      <c r="BA25" s="29">
        <f t="shared" ca="1" si="9"/>
        <v>0</v>
      </c>
      <c r="BB25" s="29">
        <f t="shared" ca="1" si="9"/>
        <v>0</v>
      </c>
      <c r="BC25" s="29">
        <f t="shared" ca="1" si="9"/>
        <v>0</v>
      </c>
      <c r="BD25" s="29">
        <f t="shared" ca="1" si="9"/>
        <v>0</v>
      </c>
      <c r="BE25" s="29">
        <f t="shared" ca="1" si="9"/>
        <v>0</v>
      </c>
      <c r="BF25" s="29">
        <f t="shared" ca="1" si="9"/>
        <v>0</v>
      </c>
      <c r="BG25" s="29">
        <f t="shared" ca="1" si="9"/>
        <v>0</v>
      </c>
      <c r="BH25" s="29">
        <f t="shared" ca="1" si="9"/>
        <v>0</v>
      </c>
      <c r="BI25" s="29">
        <f t="shared" ca="1" si="9"/>
        <v>0</v>
      </c>
      <c r="BJ25" s="29">
        <f t="shared" ca="1" si="9"/>
        <v>0</v>
      </c>
      <c r="BK25" s="29">
        <f t="shared" ca="1" si="9"/>
        <v>0</v>
      </c>
      <c r="BL25" s="29">
        <f t="shared" ca="1" si="9"/>
        <v>0</v>
      </c>
      <c r="BM25" s="29">
        <f t="shared" ca="1" si="9"/>
        <v>0</v>
      </c>
      <c r="BN25" s="29">
        <f t="shared" ca="1" si="9"/>
        <v>0</v>
      </c>
      <c r="BO25" s="29">
        <f t="shared" ca="1" si="9"/>
        <v>0</v>
      </c>
      <c r="BP25" s="29">
        <f t="shared" ca="1" si="9"/>
        <v>0</v>
      </c>
      <c r="BQ25" s="29">
        <f t="shared" ca="1" si="9"/>
        <v>0</v>
      </c>
      <c r="BR25" s="29">
        <f t="shared" ca="1" si="9"/>
        <v>0</v>
      </c>
      <c r="BS25" s="29">
        <f t="shared" ca="1" si="9"/>
        <v>0</v>
      </c>
      <c r="BT25" s="29">
        <f t="shared" ca="1" si="9"/>
        <v>0</v>
      </c>
      <c r="BU25" s="29">
        <f t="shared" ca="1" si="9"/>
        <v>0</v>
      </c>
      <c r="BV25" s="29">
        <f t="shared" ca="1" si="9"/>
        <v>0</v>
      </c>
      <c r="BW25" s="29">
        <f t="shared" ca="1" si="9"/>
        <v>0</v>
      </c>
      <c r="BX25" s="29">
        <f t="shared" ca="1" si="9"/>
        <v>0</v>
      </c>
      <c r="BY25" s="29">
        <f t="shared" ca="1" si="9"/>
        <v>0</v>
      </c>
      <c r="BZ25" s="29">
        <f t="shared" ca="1" si="9"/>
        <v>0</v>
      </c>
      <c r="CA25" s="29">
        <f t="shared" ca="1" si="9"/>
        <v>0</v>
      </c>
      <c r="CB25" s="29">
        <f t="shared" ca="1" si="9"/>
        <v>0</v>
      </c>
      <c r="CC25" s="29">
        <f t="shared" ca="1" si="9"/>
        <v>0</v>
      </c>
      <c r="CD25" s="29">
        <f t="shared" ca="1" si="9"/>
        <v>0</v>
      </c>
      <c r="CE25" s="29">
        <f t="shared" ca="1" si="9"/>
        <v>0</v>
      </c>
      <c r="CF25" s="29">
        <f t="shared" ca="1" si="9"/>
        <v>0</v>
      </c>
      <c r="CG25" s="29">
        <f t="shared" ca="1" si="9"/>
        <v>0</v>
      </c>
      <c r="CH25" s="29">
        <f t="shared" ca="1" si="9"/>
        <v>0</v>
      </c>
    </row>
    <row r="26" spans="1:86" ht="13">
      <c r="B26" s="15" t="s">
        <v>255</v>
      </c>
      <c r="C26" s="15"/>
      <c r="D26" s="15" t="s">
        <v>238</v>
      </c>
      <c r="E26" s="29">
        <f t="shared" si="5"/>
        <v>-5750000</v>
      </c>
      <c r="F26" s="29"/>
      <c r="G26" s="29">
        <f t="shared" ref="G26:CH26" si="10">SUM(G39,G40,G41)*-1</f>
        <v>-241250</v>
      </c>
      <c r="H26" s="29">
        <f t="shared" si="10"/>
        <v>-141250</v>
      </c>
      <c r="I26" s="29">
        <f t="shared" si="10"/>
        <v>-141250</v>
      </c>
      <c r="J26" s="29">
        <f t="shared" si="10"/>
        <v>-141250</v>
      </c>
      <c r="K26" s="29">
        <f t="shared" si="10"/>
        <v>-141250</v>
      </c>
      <c r="L26" s="29">
        <f t="shared" si="10"/>
        <v>-141250</v>
      </c>
      <c r="M26" s="29">
        <f t="shared" si="10"/>
        <v>-141250</v>
      </c>
      <c r="N26" s="29">
        <f t="shared" si="10"/>
        <v>-141250</v>
      </c>
      <c r="O26" s="29">
        <f t="shared" si="10"/>
        <v>-141250</v>
      </c>
      <c r="P26" s="29">
        <f t="shared" si="10"/>
        <v>-141250</v>
      </c>
      <c r="Q26" s="29">
        <f t="shared" si="10"/>
        <v>-141250</v>
      </c>
      <c r="R26" s="29">
        <f t="shared" si="10"/>
        <v>-141250</v>
      </c>
      <c r="S26" s="29">
        <f t="shared" si="10"/>
        <v>-141250</v>
      </c>
      <c r="T26" s="29">
        <f t="shared" si="10"/>
        <v>-141250</v>
      </c>
      <c r="U26" s="29">
        <f t="shared" si="10"/>
        <v>-141250</v>
      </c>
      <c r="V26" s="29">
        <f t="shared" si="10"/>
        <v>-141250</v>
      </c>
      <c r="W26" s="29">
        <f t="shared" si="10"/>
        <v>-141250</v>
      </c>
      <c r="X26" s="29">
        <f t="shared" si="10"/>
        <v>-141250</v>
      </c>
      <c r="Y26" s="29">
        <f t="shared" si="10"/>
        <v>-141250</v>
      </c>
      <c r="Z26" s="29">
        <f t="shared" si="10"/>
        <v>-141250</v>
      </c>
      <c r="AA26" s="29">
        <f t="shared" si="10"/>
        <v>-141250</v>
      </c>
      <c r="AB26" s="29">
        <f t="shared" si="10"/>
        <v>-141250</v>
      </c>
      <c r="AC26" s="29">
        <f t="shared" si="10"/>
        <v>-141250</v>
      </c>
      <c r="AD26" s="29">
        <f t="shared" si="10"/>
        <v>-141250</v>
      </c>
      <c r="AE26" s="29">
        <f t="shared" si="10"/>
        <v>-141250</v>
      </c>
      <c r="AF26" s="29">
        <f t="shared" si="10"/>
        <v>-141250</v>
      </c>
      <c r="AG26" s="29">
        <f t="shared" si="10"/>
        <v>-141250</v>
      </c>
      <c r="AH26" s="29">
        <f t="shared" si="10"/>
        <v>-141250</v>
      </c>
      <c r="AI26" s="29">
        <f t="shared" si="10"/>
        <v>-141250</v>
      </c>
      <c r="AJ26" s="29">
        <f t="shared" si="10"/>
        <v>-141250</v>
      </c>
      <c r="AK26" s="29">
        <f t="shared" si="10"/>
        <v>-141250</v>
      </c>
      <c r="AL26" s="29">
        <f t="shared" si="10"/>
        <v>-141250</v>
      </c>
      <c r="AM26" s="29">
        <f t="shared" si="10"/>
        <v>-141250</v>
      </c>
      <c r="AN26" s="29">
        <f t="shared" si="10"/>
        <v>-141250</v>
      </c>
      <c r="AO26" s="29">
        <f t="shared" si="10"/>
        <v>-141250</v>
      </c>
      <c r="AP26" s="29">
        <f t="shared" si="10"/>
        <v>-141250</v>
      </c>
      <c r="AQ26" s="29">
        <f t="shared" si="10"/>
        <v>-141250</v>
      </c>
      <c r="AR26" s="29">
        <f t="shared" si="10"/>
        <v>-141250</v>
      </c>
      <c r="AS26" s="29">
        <f t="shared" si="10"/>
        <v>-141250</v>
      </c>
      <c r="AT26" s="29">
        <f t="shared" si="10"/>
        <v>-141250</v>
      </c>
      <c r="AU26" s="29">
        <f t="shared" si="10"/>
        <v>0</v>
      </c>
      <c r="AV26" s="29">
        <f t="shared" si="10"/>
        <v>0</v>
      </c>
      <c r="AW26" s="29">
        <f t="shared" si="10"/>
        <v>0</v>
      </c>
      <c r="AX26" s="29">
        <f t="shared" si="10"/>
        <v>0</v>
      </c>
      <c r="AY26" s="29">
        <f t="shared" si="10"/>
        <v>0</v>
      </c>
      <c r="AZ26" s="29">
        <f t="shared" si="10"/>
        <v>0</v>
      </c>
      <c r="BA26" s="29">
        <f t="shared" si="10"/>
        <v>0</v>
      </c>
      <c r="BB26" s="29">
        <f t="shared" si="10"/>
        <v>0</v>
      </c>
      <c r="BC26" s="29">
        <f t="shared" si="10"/>
        <v>0</v>
      </c>
      <c r="BD26" s="29">
        <f t="shared" si="10"/>
        <v>0</v>
      </c>
      <c r="BE26" s="29">
        <f t="shared" si="10"/>
        <v>0</v>
      </c>
      <c r="BF26" s="29">
        <f t="shared" si="10"/>
        <v>0</v>
      </c>
      <c r="BG26" s="29">
        <f t="shared" si="10"/>
        <v>0</v>
      </c>
      <c r="BH26" s="29">
        <f t="shared" si="10"/>
        <v>0</v>
      </c>
      <c r="BI26" s="29">
        <f t="shared" si="10"/>
        <v>0</v>
      </c>
      <c r="BJ26" s="29">
        <f t="shared" si="10"/>
        <v>0</v>
      </c>
      <c r="BK26" s="29">
        <f t="shared" si="10"/>
        <v>0</v>
      </c>
      <c r="BL26" s="29">
        <f t="shared" si="10"/>
        <v>0</v>
      </c>
      <c r="BM26" s="29">
        <f t="shared" si="10"/>
        <v>0</v>
      </c>
      <c r="BN26" s="29">
        <f t="shared" si="10"/>
        <v>0</v>
      </c>
      <c r="BO26" s="29">
        <f t="shared" si="10"/>
        <v>0</v>
      </c>
      <c r="BP26" s="29">
        <f t="shared" si="10"/>
        <v>0</v>
      </c>
      <c r="BQ26" s="29">
        <f t="shared" si="10"/>
        <v>0</v>
      </c>
      <c r="BR26" s="29">
        <f t="shared" si="10"/>
        <v>0</v>
      </c>
      <c r="BS26" s="29">
        <f t="shared" si="10"/>
        <v>0</v>
      </c>
      <c r="BT26" s="29">
        <f t="shared" si="10"/>
        <v>0</v>
      </c>
      <c r="BU26" s="29">
        <f t="shared" si="10"/>
        <v>0</v>
      </c>
      <c r="BV26" s="29">
        <f t="shared" si="10"/>
        <v>0</v>
      </c>
      <c r="BW26" s="29">
        <f t="shared" si="10"/>
        <v>0</v>
      </c>
      <c r="BX26" s="29">
        <f t="shared" si="10"/>
        <v>0</v>
      </c>
      <c r="BY26" s="29">
        <f t="shared" si="10"/>
        <v>0</v>
      </c>
      <c r="BZ26" s="29">
        <f t="shared" si="10"/>
        <v>0</v>
      </c>
      <c r="CA26" s="29">
        <f t="shared" si="10"/>
        <v>0</v>
      </c>
      <c r="CB26" s="29">
        <f t="shared" si="10"/>
        <v>0</v>
      </c>
      <c r="CC26" s="29">
        <f t="shared" si="10"/>
        <v>0</v>
      </c>
      <c r="CD26" s="29">
        <f t="shared" si="10"/>
        <v>0</v>
      </c>
      <c r="CE26" s="29">
        <f t="shared" si="10"/>
        <v>0</v>
      </c>
      <c r="CF26" s="29">
        <f t="shared" si="10"/>
        <v>0</v>
      </c>
      <c r="CG26" s="29">
        <f t="shared" si="10"/>
        <v>0</v>
      </c>
      <c r="CH26" s="29">
        <f t="shared" si="10"/>
        <v>0</v>
      </c>
    </row>
    <row r="27" spans="1:86" ht="13">
      <c r="B27" s="15" t="s">
        <v>256</v>
      </c>
      <c r="C27" s="15"/>
      <c r="D27" s="15" t="s">
        <v>238</v>
      </c>
      <c r="E27" s="29">
        <f t="shared" ca="1" si="5"/>
        <v>-20052083.333333332</v>
      </c>
      <c r="F27" s="29"/>
      <c r="G27" s="29">
        <f t="shared" ref="G27:CH27" ca="1" si="11">G38*-1</f>
        <v>-1203125</v>
      </c>
      <c r="H27" s="29">
        <f t="shared" ca="1" si="11"/>
        <v>-1203125</v>
      </c>
      <c r="I27" s="29">
        <f t="shared" ca="1" si="11"/>
        <v>-1203125</v>
      </c>
      <c r="J27" s="29">
        <f t="shared" ca="1" si="11"/>
        <v>-1203125</v>
      </c>
      <c r="K27" s="29">
        <f t="shared" ca="1" si="11"/>
        <v>-1203125</v>
      </c>
      <c r="L27" s="29">
        <f t="shared" ca="1" si="11"/>
        <v>-1203125</v>
      </c>
      <c r="M27" s="29">
        <f t="shared" ca="1" si="11"/>
        <v>-1203125</v>
      </c>
      <c r="N27" s="29">
        <f t="shared" ca="1" si="11"/>
        <v>-1203125</v>
      </c>
      <c r="O27" s="29">
        <f t="shared" ca="1" si="11"/>
        <v>-1203125</v>
      </c>
      <c r="P27" s="29">
        <f t="shared" ca="1" si="11"/>
        <v>-1203125</v>
      </c>
      <c r="Q27" s="29">
        <f t="shared" ca="1" si="11"/>
        <v>-1203125</v>
      </c>
      <c r="R27" s="29">
        <f t="shared" ca="1" si="11"/>
        <v>-1203125</v>
      </c>
      <c r="S27" s="29">
        <f t="shared" ca="1" si="11"/>
        <v>-1403645.8333333333</v>
      </c>
      <c r="T27" s="29">
        <f t="shared" ca="1" si="11"/>
        <v>-1403645.8333333333</v>
      </c>
      <c r="U27" s="29">
        <f t="shared" ca="1" si="11"/>
        <v>-1403645.8333333333</v>
      </c>
      <c r="V27" s="29">
        <f t="shared" ca="1" si="11"/>
        <v>-1403645.8333333333</v>
      </c>
      <c r="W27" s="29">
        <f t="shared" ca="1" si="11"/>
        <v>0</v>
      </c>
      <c r="X27" s="29">
        <f t="shared" ca="1" si="11"/>
        <v>0</v>
      </c>
      <c r="Y27" s="29">
        <f t="shared" ca="1" si="11"/>
        <v>0</v>
      </c>
      <c r="Z27" s="29">
        <f t="shared" ca="1" si="11"/>
        <v>0</v>
      </c>
      <c r="AA27" s="29">
        <f t="shared" ca="1" si="11"/>
        <v>0</v>
      </c>
      <c r="AB27" s="29">
        <f t="shared" ca="1" si="11"/>
        <v>0</v>
      </c>
      <c r="AC27" s="29">
        <f t="shared" ca="1" si="11"/>
        <v>0</v>
      </c>
      <c r="AD27" s="29">
        <f t="shared" ca="1" si="11"/>
        <v>0</v>
      </c>
      <c r="AE27" s="29">
        <f t="shared" ca="1" si="11"/>
        <v>0</v>
      </c>
      <c r="AF27" s="29">
        <f t="shared" ca="1" si="11"/>
        <v>0</v>
      </c>
      <c r="AG27" s="29">
        <f t="shared" ca="1" si="11"/>
        <v>0</v>
      </c>
      <c r="AH27" s="29">
        <f t="shared" ca="1" si="11"/>
        <v>0</v>
      </c>
      <c r="AI27" s="29">
        <f t="shared" ca="1" si="11"/>
        <v>0</v>
      </c>
      <c r="AJ27" s="29">
        <f t="shared" ca="1" si="11"/>
        <v>0</v>
      </c>
      <c r="AK27" s="29">
        <f t="shared" ca="1" si="11"/>
        <v>0</v>
      </c>
      <c r="AL27" s="29">
        <f t="shared" ca="1" si="11"/>
        <v>0</v>
      </c>
      <c r="AM27" s="29">
        <f t="shared" ca="1" si="11"/>
        <v>0</v>
      </c>
      <c r="AN27" s="29">
        <f t="shared" ca="1" si="11"/>
        <v>0</v>
      </c>
      <c r="AO27" s="29">
        <f t="shared" ca="1" si="11"/>
        <v>0</v>
      </c>
      <c r="AP27" s="29">
        <f t="shared" ca="1" si="11"/>
        <v>0</v>
      </c>
      <c r="AQ27" s="29">
        <f t="shared" ca="1" si="11"/>
        <v>0</v>
      </c>
      <c r="AR27" s="29">
        <f t="shared" ca="1" si="11"/>
        <v>0</v>
      </c>
      <c r="AS27" s="29">
        <f t="shared" ca="1" si="11"/>
        <v>0</v>
      </c>
      <c r="AT27" s="29">
        <f t="shared" ca="1" si="11"/>
        <v>0</v>
      </c>
      <c r="AU27" s="29">
        <f t="shared" ca="1" si="11"/>
        <v>0</v>
      </c>
      <c r="AV27" s="29">
        <f t="shared" ca="1" si="11"/>
        <v>0</v>
      </c>
      <c r="AW27" s="29">
        <f t="shared" ca="1" si="11"/>
        <v>0</v>
      </c>
      <c r="AX27" s="29">
        <f t="shared" ca="1" si="11"/>
        <v>0</v>
      </c>
      <c r="AY27" s="29">
        <f t="shared" ca="1" si="11"/>
        <v>0</v>
      </c>
      <c r="AZ27" s="29">
        <f t="shared" ca="1" si="11"/>
        <v>0</v>
      </c>
      <c r="BA27" s="29">
        <f t="shared" ca="1" si="11"/>
        <v>0</v>
      </c>
      <c r="BB27" s="29">
        <f t="shared" ca="1" si="11"/>
        <v>0</v>
      </c>
      <c r="BC27" s="29">
        <f t="shared" ca="1" si="11"/>
        <v>0</v>
      </c>
      <c r="BD27" s="29">
        <f t="shared" ca="1" si="11"/>
        <v>0</v>
      </c>
      <c r="BE27" s="29">
        <f t="shared" ca="1" si="11"/>
        <v>0</v>
      </c>
      <c r="BF27" s="29">
        <f t="shared" ca="1" si="11"/>
        <v>0</v>
      </c>
      <c r="BG27" s="29">
        <f t="shared" ca="1" si="11"/>
        <v>0</v>
      </c>
      <c r="BH27" s="29">
        <f t="shared" ca="1" si="11"/>
        <v>0</v>
      </c>
      <c r="BI27" s="29">
        <f t="shared" ca="1" si="11"/>
        <v>0</v>
      </c>
      <c r="BJ27" s="29">
        <f t="shared" ca="1" si="11"/>
        <v>0</v>
      </c>
      <c r="BK27" s="29">
        <f t="shared" ca="1" si="11"/>
        <v>0</v>
      </c>
      <c r="BL27" s="29">
        <f t="shared" ca="1" si="11"/>
        <v>0</v>
      </c>
      <c r="BM27" s="29">
        <f t="shared" ca="1" si="11"/>
        <v>0</v>
      </c>
      <c r="BN27" s="29">
        <f t="shared" ca="1" si="11"/>
        <v>0</v>
      </c>
      <c r="BO27" s="29">
        <f t="shared" ca="1" si="11"/>
        <v>0</v>
      </c>
      <c r="BP27" s="29">
        <f t="shared" ca="1" si="11"/>
        <v>0</v>
      </c>
      <c r="BQ27" s="29">
        <f t="shared" ca="1" si="11"/>
        <v>0</v>
      </c>
      <c r="BR27" s="29">
        <f t="shared" ca="1" si="11"/>
        <v>0</v>
      </c>
      <c r="BS27" s="29">
        <f t="shared" ca="1" si="11"/>
        <v>0</v>
      </c>
      <c r="BT27" s="29">
        <f t="shared" ca="1" si="11"/>
        <v>0</v>
      </c>
      <c r="BU27" s="29">
        <f t="shared" ca="1" si="11"/>
        <v>0</v>
      </c>
      <c r="BV27" s="29">
        <f t="shared" ca="1" si="11"/>
        <v>0</v>
      </c>
      <c r="BW27" s="29">
        <f t="shared" ca="1" si="11"/>
        <v>0</v>
      </c>
      <c r="BX27" s="29">
        <f t="shared" ca="1" si="11"/>
        <v>0</v>
      </c>
      <c r="BY27" s="29">
        <f t="shared" ca="1" si="11"/>
        <v>0</v>
      </c>
      <c r="BZ27" s="29">
        <f t="shared" ca="1" si="11"/>
        <v>0</v>
      </c>
      <c r="CA27" s="29">
        <f t="shared" ca="1" si="11"/>
        <v>0</v>
      </c>
      <c r="CB27" s="29">
        <f t="shared" ca="1" si="11"/>
        <v>0</v>
      </c>
      <c r="CC27" s="29">
        <f t="shared" ca="1" si="11"/>
        <v>0</v>
      </c>
      <c r="CD27" s="29">
        <f t="shared" ca="1" si="11"/>
        <v>0</v>
      </c>
      <c r="CE27" s="29">
        <f t="shared" ca="1" si="11"/>
        <v>0</v>
      </c>
      <c r="CF27" s="29">
        <f t="shared" ca="1" si="11"/>
        <v>0</v>
      </c>
      <c r="CG27" s="29">
        <f t="shared" ca="1" si="11"/>
        <v>0</v>
      </c>
      <c r="CH27" s="29">
        <f t="shared" ca="1" si="11"/>
        <v>0</v>
      </c>
    </row>
    <row r="28" spans="1:86" ht="13">
      <c r="B28" s="15" t="s">
        <v>257</v>
      </c>
      <c r="C28" s="15"/>
      <c r="D28" s="15" t="s">
        <v>247</v>
      </c>
      <c r="E28" s="29">
        <f t="shared" ca="1" si="5"/>
        <v>0</v>
      </c>
      <c r="F28" s="29"/>
      <c r="G28" s="80">
        <f t="shared" ref="G28:CH28" ca="1" si="12">SUM(G22:G27)</f>
        <v>0</v>
      </c>
      <c r="H28" s="80">
        <f t="shared" ca="1" si="12"/>
        <v>0</v>
      </c>
      <c r="I28" s="80">
        <f t="shared" ca="1" si="12"/>
        <v>0</v>
      </c>
      <c r="J28" s="80">
        <f t="shared" ca="1" si="12"/>
        <v>0</v>
      </c>
      <c r="K28" s="80">
        <f t="shared" ca="1" si="12"/>
        <v>0</v>
      </c>
      <c r="L28" s="80">
        <f t="shared" ca="1" si="12"/>
        <v>0</v>
      </c>
      <c r="M28" s="80">
        <f t="shared" ca="1" si="12"/>
        <v>0</v>
      </c>
      <c r="N28" s="80">
        <f t="shared" ca="1" si="12"/>
        <v>0</v>
      </c>
      <c r="O28" s="80">
        <f t="shared" ca="1" si="12"/>
        <v>0</v>
      </c>
      <c r="P28" s="80">
        <f t="shared" ca="1" si="12"/>
        <v>0</v>
      </c>
      <c r="Q28" s="80">
        <f t="shared" ca="1" si="12"/>
        <v>0</v>
      </c>
      <c r="R28" s="80">
        <f t="shared" ca="1" si="12"/>
        <v>0</v>
      </c>
      <c r="S28" s="80">
        <f t="shared" ca="1" si="12"/>
        <v>0</v>
      </c>
      <c r="T28" s="80">
        <f t="shared" ca="1" si="12"/>
        <v>0</v>
      </c>
      <c r="U28" s="80">
        <f t="shared" ca="1" si="12"/>
        <v>0</v>
      </c>
      <c r="V28" s="80">
        <f t="shared" ca="1" si="12"/>
        <v>0</v>
      </c>
      <c r="W28" s="80">
        <f t="shared" ca="1" si="12"/>
        <v>0</v>
      </c>
      <c r="X28" s="80">
        <f t="shared" ca="1" si="12"/>
        <v>0</v>
      </c>
      <c r="Y28" s="80">
        <f t="shared" ca="1" si="12"/>
        <v>0</v>
      </c>
      <c r="Z28" s="80">
        <f t="shared" ca="1" si="12"/>
        <v>0</v>
      </c>
      <c r="AA28" s="80">
        <f t="shared" ca="1" si="12"/>
        <v>0</v>
      </c>
      <c r="AB28" s="80">
        <f t="shared" ca="1" si="12"/>
        <v>0</v>
      </c>
      <c r="AC28" s="80">
        <f t="shared" ca="1" si="12"/>
        <v>0</v>
      </c>
      <c r="AD28" s="80">
        <f t="shared" ca="1" si="12"/>
        <v>0</v>
      </c>
      <c r="AE28" s="80">
        <f t="shared" ca="1" si="12"/>
        <v>0</v>
      </c>
      <c r="AF28" s="80">
        <f t="shared" ca="1" si="12"/>
        <v>0</v>
      </c>
      <c r="AG28" s="80">
        <f t="shared" ca="1" si="12"/>
        <v>0</v>
      </c>
      <c r="AH28" s="80">
        <f t="shared" ca="1" si="12"/>
        <v>0</v>
      </c>
      <c r="AI28" s="80">
        <f t="shared" ca="1" si="12"/>
        <v>0</v>
      </c>
      <c r="AJ28" s="80">
        <f t="shared" ca="1" si="12"/>
        <v>0</v>
      </c>
      <c r="AK28" s="80">
        <f t="shared" ca="1" si="12"/>
        <v>0</v>
      </c>
      <c r="AL28" s="80">
        <f t="shared" ca="1" si="12"/>
        <v>0</v>
      </c>
      <c r="AM28" s="80">
        <f t="shared" ca="1" si="12"/>
        <v>0</v>
      </c>
      <c r="AN28" s="80">
        <f t="shared" ca="1" si="12"/>
        <v>0</v>
      </c>
      <c r="AO28" s="80">
        <f t="shared" ca="1" si="12"/>
        <v>0</v>
      </c>
      <c r="AP28" s="80">
        <f t="shared" ca="1" si="12"/>
        <v>0</v>
      </c>
      <c r="AQ28" s="80">
        <f t="shared" ca="1" si="12"/>
        <v>0</v>
      </c>
      <c r="AR28" s="80">
        <f t="shared" ca="1" si="12"/>
        <v>0</v>
      </c>
      <c r="AS28" s="80">
        <f t="shared" ca="1" si="12"/>
        <v>0</v>
      </c>
      <c r="AT28" s="80">
        <f t="shared" ca="1" si="12"/>
        <v>0</v>
      </c>
      <c r="AU28" s="80">
        <f t="shared" ca="1" si="12"/>
        <v>0</v>
      </c>
      <c r="AV28" s="80">
        <f t="shared" ca="1" si="12"/>
        <v>0</v>
      </c>
      <c r="AW28" s="80">
        <f t="shared" ca="1" si="12"/>
        <v>0</v>
      </c>
      <c r="AX28" s="80">
        <f t="shared" ca="1" si="12"/>
        <v>0</v>
      </c>
      <c r="AY28" s="80">
        <f t="shared" ca="1" si="12"/>
        <v>0</v>
      </c>
      <c r="AZ28" s="80">
        <f t="shared" ca="1" si="12"/>
        <v>0</v>
      </c>
      <c r="BA28" s="80">
        <f t="shared" ca="1" si="12"/>
        <v>0</v>
      </c>
      <c r="BB28" s="80">
        <f t="shared" ca="1" si="12"/>
        <v>0</v>
      </c>
      <c r="BC28" s="80">
        <f t="shared" ca="1" si="12"/>
        <v>0</v>
      </c>
      <c r="BD28" s="80">
        <f t="shared" ca="1" si="12"/>
        <v>0</v>
      </c>
      <c r="BE28" s="80">
        <f t="shared" ca="1" si="12"/>
        <v>0</v>
      </c>
      <c r="BF28" s="80">
        <f t="shared" ca="1" si="12"/>
        <v>0</v>
      </c>
      <c r="BG28" s="80">
        <f t="shared" ca="1" si="12"/>
        <v>0</v>
      </c>
      <c r="BH28" s="80">
        <f t="shared" ca="1" si="12"/>
        <v>0</v>
      </c>
      <c r="BI28" s="80">
        <f t="shared" ca="1" si="12"/>
        <v>0</v>
      </c>
      <c r="BJ28" s="80">
        <f t="shared" ca="1" si="12"/>
        <v>0</v>
      </c>
      <c r="BK28" s="80">
        <f t="shared" ca="1" si="12"/>
        <v>0</v>
      </c>
      <c r="BL28" s="80">
        <f t="shared" ca="1" si="12"/>
        <v>0</v>
      </c>
      <c r="BM28" s="80">
        <f t="shared" ca="1" si="12"/>
        <v>0</v>
      </c>
      <c r="BN28" s="80">
        <f t="shared" ca="1" si="12"/>
        <v>0</v>
      </c>
      <c r="BO28" s="80">
        <f t="shared" ca="1" si="12"/>
        <v>0</v>
      </c>
      <c r="BP28" s="80">
        <f t="shared" ca="1" si="12"/>
        <v>0</v>
      </c>
      <c r="BQ28" s="80">
        <f t="shared" ca="1" si="12"/>
        <v>0</v>
      </c>
      <c r="BR28" s="80">
        <f t="shared" ca="1" si="12"/>
        <v>0</v>
      </c>
      <c r="BS28" s="80">
        <f t="shared" ca="1" si="12"/>
        <v>0</v>
      </c>
      <c r="BT28" s="80">
        <f t="shared" ca="1" si="12"/>
        <v>0</v>
      </c>
      <c r="BU28" s="80">
        <f t="shared" ca="1" si="12"/>
        <v>0</v>
      </c>
      <c r="BV28" s="80">
        <f t="shared" ca="1" si="12"/>
        <v>0</v>
      </c>
      <c r="BW28" s="80">
        <f t="shared" ca="1" si="12"/>
        <v>0</v>
      </c>
      <c r="BX28" s="80">
        <f t="shared" ca="1" si="12"/>
        <v>0</v>
      </c>
      <c r="BY28" s="80">
        <f t="shared" ca="1" si="12"/>
        <v>0</v>
      </c>
      <c r="BZ28" s="80">
        <f t="shared" ca="1" si="12"/>
        <v>0</v>
      </c>
      <c r="CA28" s="80">
        <f t="shared" ca="1" si="12"/>
        <v>0</v>
      </c>
      <c r="CB28" s="80">
        <f t="shared" ca="1" si="12"/>
        <v>0</v>
      </c>
      <c r="CC28" s="80">
        <f t="shared" ca="1" si="12"/>
        <v>0</v>
      </c>
      <c r="CD28" s="80">
        <f t="shared" ca="1" si="12"/>
        <v>0</v>
      </c>
      <c r="CE28" s="80">
        <f t="shared" ca="1" si="12"/>
        <v>0</v>
      </c>
      <c r="CF28" s="80">
        <f t="shared" ca="1" si="12"/>
        <v>0</v>
      </c>
      <c r="CG28" s="80">
        <f t="shared" ca="1" si="12"/>
        <v>0</v>
      </c>
      <c r="CH28" s="80">
        <f t="shared" ca="1" si="12"/>
        <v>0</v>
      </c>
    </row>
    <row r="29" spans="1:86" ht="13">
      <c r="B29" s="15"/>
      <c r="C29" s="15"/>
      <c r="D29" s="15"/>
    </row>
    <row r="30" spans="1:86" ht="13">
      <c r="A30" s="13"/>
      <c r="B30" s="13" t="s">
        <v>258</v>
      </c>
      <c r="C30" s="13"/>
      <c r="D30" s="13" t="s">
        <v>238</v>
      </c>
      <c r="E30" s="37">
        <f t="shared" ref="E30:E87" si="13">IF(D30="sum",SUM(G30:CH30),IF(D30="final",CH30,IF(D30="initial",G30,IF(D30="average",AVERAGE(G30:CH30),0))))</f>
        <v>25000000</v>
      </c>
      <c r="F30" s="48"/>
      <c r="G30" s="37">
        <f>'Get Started  3'!$E9*G19</f>
        <v>25000000</v>
      </c>
      <c r="H30" s="37">
        <f>'Get Started  3'!$E9*H19</f>
        <v>0</v>
      </c>
      <c r="I30" s="37">
        <f>'Get Started  3'!$E9*I19</f>
        <v>0</v>
      </c>
      <c r="J30" s="37">
        <f>'Get Started  3'!$E9*J19</f>
        <v>0</v>
      </c>
      <c r="K30" s="37">
        <f>'Get Started  3'!$E9*K19</f>
        <v>0</v>
      </c>
      <c r="L30" s="37">
        <f>'Get Started  3'!$E9*L19</f>
        <v>0</v>
      </c>
      <c r="M30" s="37">
        <f>'Get Started  3'!$E9*M19</f>
        <v>0</v>
      </c>
      <c r="N30" s="37">
        <f>'Get Started  3'!$E9*N19</f>
        <v>0</v>
      </c>
      <c r="O30" s="37">
        <f>'Get Started  3'!$E9*O19</f>
        <v>0</v>
      </c>
      <c r="P30" s="37">
        <f>'Get Started  3'!$E9*P19</f>
        <v>0</v>
      </c>
      <c r="Q30" s="37">
        <f>'Get Started  3'!$E9*Q19</f>
        <v>0</v>
      </c>
      <c r="R30" s="37">
        <f>'Get Started  3'!$E9*R19</f>
        <v>0</v>
      </c>
      <c r="S30" s="37">
        <f>'Get Started  3'!$E9*S19</f>
        <v>0</v>
      </c>
      <c r="T30" s="37">
        <f>'Get Started  3'!$E9*T19</f>
        <v>0</v>
      </c>
      <c r="U30" s="37">
        <f>'Get Started  3'!$E9*U19</f>
        <v>0</v>
      </c>
      <c r="V30" s="37">
        <f>'Get Started  3'!$E9*V19</f>
        <v>0</v>
      </c>
      <c r="W30" s="37">
        <f>'Get Started  3'!$E9*W19</f>
        <v>0</v>
      </c>
      <c r="X30" s="37">
        <f>'Get Started  3'!$E9*X19</f>
        <v>0</v>
      </c>
      <c r="Y30" s="37">
        <f>'Get Started  3'!$E9*Y19</f>
        <v>0</v>
      </c>
      <c r="Z30" s="37">
        <f>'Get Started  3'!$E9*Z19</f>
        <v>0</v>
      </c>
      <c r="AA30" s="37">
        <f>'Get Started  3'!$E9*AA19</f>
        <v>0</v>
      </c>
      <c r="AB30" s="37">
        <f>'Get Started  3'!$E9*AB19</f>
        <v>0</v>
      </c>
      <c r="AC30" s="37">
        <f>'Get Started  3'!$E9*AC19</f>
        <v>0</v>
      </c>
      <c r="AD30" s="37">
        <f>'Get Started  3'!$E9*AD19</f>
        <v>0</v>
      </c>
      <c r="AE30" s="37">
        <f>'Get Started  3'!$E9*AE19</f>
        <v>0</v>
      </c>
      <c r="AF30" s="37">
        <f>'Get Started  3'!$E9*AF19</f>
        <v>0</v>
      </c>
      <c r="AG30" s="37">
        <f>'Get Started  3'!$E9*AG19</f>
        <v>0</v>
      </c>
      <c r="AH30" s="37">
        <f>'Get Started  3'!$E9*AH19</f>
        <v>0</v>
      </c>
      <c r="AI30" s="37">
        <f>'Get Started  3'!$E9*AI19</f>
        <v>0</v>
      </c>
      <c r="AJ30" s="37">
        <f>'Get Started  3'!$E9*AJ19</f>
        <v>0</v>
      </c>
      <c r="AK30" s="37">
        <f>'Get Started  3'!$E9*AK19</f>
        <v>0</v>
      </c>
      <c r="AL30" s="37">
        <f>'Get Started  3'!$E9*AL19</f>
        <v>0</v>
      </c>
      <c r="AM30" s="37">
        <f>'Get Started  3'!$E9*AM19</f>
        <v>0</v>
      </c>
      <c r="AN30" s="37">
        <f>'Get Started  3'!$E9*AN19</f>
        <v>0</v>
      </c>
      <c r="AO30" s="37">
        <f>'Get Started  3'!$E9*AO19</f>
        <v>0</v>
      </c>
      <c r="AP30" s="37">
        <f>'Get Started  3'!$E9*AP19</f>
        <v>0</v>
      </c>
      <c r="AQ30" s="37">
        <f>'Get Started  3'!$E9*AQ19</f>
        <v>0</v>
      </c>
      <c r="AR30" s="37">
        <f>'Get Started  3'!$E9*AR19</f>
        <v>0</v>
      </c>
      <c r="AS30" s="37">
        <f>'Get Started  3'!$E9*AS19</f>
        <v>0</v>
      </c>
      <c r="AT30" s="37">
        <f>'Get Started  3'!$E9*AT19</f>
        <v>0</v>
      </c>
      <c r="AU30" s="37">
        <f>'Get Started  3'!$E9*AU19</f>
        <v>0</v>
      </c>
      <c r="AV30" s="37">
        <f>'Get Started  3'!$E9*AV19</f>
        <v>0</v>
      </c>
      <c r="AW30" s="37">
        <f>'Get Started  3'!$E9*AW19</f>
        <v>0</v>
      </c>
      <c r="AX30" s="37">
        <f>'Get Started  3'!$E9*AX19</f>
        <v>0</v>
      </c>
      <c r="AY30" s="37">
        <f>'Get Started  3'!$E9*AY19</f>
        <v>0</v>
      </c>
      <c r="AZ30" s="37">
        <f>'Get Started  3'!$E9*AZ19</f>
        <v>0</v>
      </c>
      <c r="BA30" s="37">
        <f>'Get Started  3'!$E9*BA19</f>
        <v>0</v>
      </c>
      <c r="BB30" s="37">
        <f>'Get Started  3'!$E9*BB19</f>
        <v>0</v>
      </c>
      <c r="BC30" s="37">
        <f>'Get Started  3'!$E9*BC19</f>
        <v>0</v>
      </c>
      <c r="BD30" s="37">
        <f>'Get Started  3'!$E9*BD19</f>
        <v>0</v>
      </c>
      <c r="BE30" s="37">
        <f>'Get Started  3'!$E9*BE19</f>
        <v>0</v>
      </c>
      <c r="BF30" s="37">
        <f>'Get Started  3'!$E9*BF19</f>
        <v>0</v>
      </c>
      <c r="BG30" s="37">
        <f>'Get Started  3'!$E9*BG19</f>
        <v>0</v>
      </c>
      <c r="BH30" s="37">
        <f>'Get Started  3'!$E9*BH19</f>
        <v>0</v>
      </c>
      <c r="BI30" s="37">
        <f>'Get Started  3'!$E9*BI19</f>
        <v>0</v>
      </c>
      <c r="BJ30" s="37">
        <f>'Get Started  3'!$E9*BJ19</f>
        <v>0</v>
      </c>
      <c r="BK30" s="37">
        <f>'Get Started  3'!$E9*BK19</f>
        <v>0</v>
      </c>
      <c r="BL30" s="37">
        <f>'Get Started  3'!$E9*BL19</f>
        <v>0</v>
      </c>
      <c r="BM30" s="37">
        <f>'Get Started  3'!$E9*BM19</f>
        <v>0</v>
      </c>
      <c r="BN30" s="37">
        <f>'Get Started  3'!$E9*BN19</f>
        <v>0</v>
      </c>
      <c r="BO30" s="37">
        <f>'Get Started  3'!$E9*BO19</f>
        <v>0</v>
      </c>
      <c r="BP30" s="37">
        <f>'Get Started  3'!$E9*BP19</f>
        <v>0</v>
      </c>
      <c r="BQ30" s="37">
        <f>'Get Started  3'!$E9*BQ19</f>
        <v>0</v>
      </c>
      <c r="BR30" s="37">
        <f>'Get Started  3'!$E9*BR19</f>
        <v>0</v>
      </c>
      <c r="BS30" s="37">
        <f>'Get Started  3'!$E9*BS19</f>
        <v>0</v>
      </c>
      <c r="BT30" s="37">
        <f>'Get Started  3'!$E9*BT19</f>
        <v>0</v>
      </c>
      <c r="BU30" s="37">
        <f>'Get Started  3'!$E9*BU19</f>
        <v>0</v>
      </c>
      <c r="BV30" s="37">
        <f>'Get Started  3'!$E9*BV19</f>
        <v>0</v>
      </c>
      <c r="BW30" s="37">
        <f>'Get Started  3'!$E9*BW19</f>
        <v>0</v>
      </c>
      <c r="BX30" s="37">
        <f>'Get Started  3'!$E9*BX19</f>
        <v>0</v>
      </c>
      <c r="BY30" s="37">
        <f>'Get Started  3'!$E9*BY19</f>
        <v>0</v>
      </c>
      <c r="BZ30" s="37">
        <f>'Get Started  3'!$E9*BZ19</f>
        <v>0</v>
      </c>
      <c r="CA30" s="37">
        <f>'Get Started  3'!$E9*CA19</f>
        <v>0</v>
      </c>
      <c r="CB30" s="37">
        <f>'Get Started  3'!$E9*CB19</f>
        <v>0</v>
      </c>
      <c r="CC30" s="37">
        <f>'Get Started  3'!$E9*CC19</f>
        <v>0</v>
      </c>
      <c r="CD30" s="37">
        <f>'Get Started  3'!$E9*CD19</f>
        <v>0</v>
      </c>
      <c r="CE30" s="37">
        <f>'Get Started  3'!$E9*CE19</f>
        <v>0</v>
      </c>
      <c r="CF30" s="37">
        <f>'Get Started  3'!$E9*CF19</f>
        <v>0</v>
      </c>
      <c r="CG30" s="37">
        <f>'Get Started  3'!$E9*CG19</f>
        <v>0</v>
      </c>
      <c r="CH30" s="37">
        <f>'Get Started  3'!$E9*CH19</f>
        <v>0</v>
      </c>
    </row>
    <row r="31" spans="1:86" ht="13">
      <c r="B31" s="15" t="s">
        <v>253</v>
      </c>
      <c r="D31" s="15" t="s">
        <v>238</v>
      </c>
      <c r="E31" s="29">
        <f t="shared" ca="1" si="13"/>
        <v>25000000</v>
      </c>
      <c r="F31" s="29"/>
      <c r="G31" s="29">
        <f t="shared" ref="G31:CH31" ca="1" si="14">IF($E20&lt;&gt;0,G20*$E30, MIN($E30-F60, MAX(0,G38+G39+G40+G41-G42)))</f>
        <v>1444375</v>
      </c>
      <c r="H31" s="29">
        <f t="shared" ca="1" si="14"/>
        <v>1344375</v>
      </c>
      <c r="I31" s="29">
        <f t="shared" ca="1" si="14"/>
        <v>1344375</v>
      </c>
      <c r="J31" s="29">
        <f t="shared" ca="1" si="14"/>
        <v>1344375</v>
      </c>
      <c r="K31" s="29">
        <f t="shared" ca="1" si="14"/>
        <v>1344375</v>
      </c>
      <c r="L31" s="29">
        <f t="shared" ca="1" si="14"/>
        <v>1344375</v>
      </c>
      <c r="M31" s="29">
        <f t="shared" ca="1" si="14"/>
        <v>1344375</v>
      </c>
      <c r="N31" s="29">
        <f t="shared" ca="1" si="14"/>
        <v>1344375</v>
      </c>
      <c r="O31" s="29">
        <f t="shared" ca="1" si="14"/>
        <v>1344375</v>
      </c>
      <c r="P31" s="29">
        <f t="shared" ca="1" si="14"/>
        <v>1344375</v>
      </c>
      <c r="Q31" s="29">
        <f t="shared" ca="1" si="14"/>
        <v>1344375</v>
      </c>
      <c r="R31" s="29">
        <f t="shared" ca="1" si="14"/>
        <v>1344375</v>
      </c>
      <c r="S31" s="29">
        <f t="shared" ca="1" si="14"/>
        <v>1344375</v>
      </c>
      <c r="T31" s="29">
        <f t="shared" ca="1" si="14"/>
        <v>1344375</v>
      </c>
      <c r="U31" s="29">
        <f t="shared" ca="1" si="14"/>
        <v>1344375</v>
      </c>
      <c r="V31" s="29">
        <f t="shared" ca="1" si="14"/>
        <v>1344375</v>
      </c>
      <c r="W31" s="29">
        <f t="shared" ca="1" si="14"/>
        <v>141250</v>
      </c>
      <c r="X31" s="29">
        <f t="shared" ca="1" si="14"/>
        <v>141250</v>
      </c>
      <c r="Y31" s="29">
        <f t="shared" ca="1" si="14"/>
        <v>141250</v>
      </c>
      <c r="Z31" s="29">
        <f t="shared" ca="1" si="14"/>
        <v>141250</v>
      </c>
      <c r="AA31" s="29">
        <f t="shared" ca="1" si="14"/>
        <v>141250</v>
      </c>
      <c r="AB31" s="29">
        <f t="shared" ca="1" si="14"/>
        <v>141250</v>
      </c>
      <c r="AC31" s="29">
        <f t="shared" ca="1" si="14"/>
        <v>141250</v>
      </c>
      <c r="AD31" s="29">
        <f t="shared" ca="1" si="14"/>
        <v>141250</v>
      </c>
      <c r="AE31" s="29">
        <f t="shared" ca="1" si="14"/>
        <v>141250</v>
      </c>
      <c r="AF31" s="29">
        <f t="shared" ca="1" si="14"/>
        <v>141250</v>
      </c>
      <c r="AG31" s="29">
        <f t="shared" ca="1" si="14"/>
        <v>141250</v>
      </c>
      <c r="AH31" s="29">
        <f t="shared" ca="1" si="14"/>
        <v>141250</v>
      </c>
      <c r="AI31" s="29">
        <f t="shared" ca="1" si="14"/>
        <v>141250</v>
      </c>
      <c r="AJ31" s="29">
        <f t="shared" ca="1" si="14"/>
        <v>141250</v>
      </c>
      <c r="AK31" s="29">
        <f t="shared" ca="1" si="14"/>
        <v>141250</v>
      </c>
      <c r="AL31" s="29">
        <f t="shared" ca="1" si="14"/>
        <v>141250</v>
      </c>
      <c r="AM31" s="29">
        <f t="shared" ca="1" si="14"/>
        <v>141250</v>
      </c>
      <c r="AN31" s="29">
        <f t="shared" ca="1" si="14"/>
        <v>141250</v>
      </c>
      <c r="AO31" s="29">
        <f t="shared" ca="1" si="14"/>
        <v>141250</v>
      </c>
      <c r="AP31" s="29">
        <f t="shared" ca="1" si="14"/>
        <v>141250</v>
      </c>
      <c r="AQ31" s="29">
        <f t="shared" ca="1" si="14"/>
        <v>141250</v>
      </c>
      <c r="AR31" s="29">
        <f t="shared" ca="1" si="14"/>
        <v>141250</v>
      </c>
      <c r="AS31" s="29">
        <f t="shared" ca="1" si="14"/>
        <v>141250</v>
      </c>
      <c r="AT31" s="29">
        <f t="shared" ca="1" si="14"/>
        <v>141250</v>
      </c>
      <c r="AU31" s="29">
        <f t="shared" ca="1" si="14"/>
        <v>0</v>
      </c>
      <c r="AV31" s="29">
        <f t="shared" ca="1" si="14"/>
        <v>0</v>
      </c>
      <c r="AW31" s="29">
        <f t="shared" ca="1" si="14"/>
        <v>0</v>
      </c>
      <c r="AX31" s="29">
        <f t="shared" ca="1" si="14"/>
        <v>0</v>
      </c>
      <c r="AY31" s="29">
        <f t="shared" ca="1" si="14"/>
        <v>0</v>
      </c>
      <c r="AZ31" s="29">
        <f t="shared" ca="1" si="14"/>
        <v>0</v>
      </c>
      <c r="BA31" s="29">
        <f t="shared" ca="1" si="14"/>
        <v>0</v>
      </c>
      <c r="BB31" s="29">
        <f t="shared" ca="1" si="14"/>
        <v>0</v>
      </c>
      <c r="BC31" s="29">
        <f t="shared" ca="1" si="14"/>
        <v>0</v>
      </c>
      <c r="BD31" s="29">
        <f t="shared" ca="1" si="14"/>
        <v>0</v>
      </c>
      <c r="BE31" s="29">
        <f t="shared" ca="1" si="14"/>
        <v>0</v>
      </c>
      <c r="BF31" s="29">
        <f t="shared" ca="1" si="14"/>
        <v>0</v>
      </c>
      <c r="BG31" s="29">
        <f t="shared" ca="1" si="14"/>
        <v>0</v>
      </c>
      <c r="BH31" s="29">
        <f t="shared" ca="1" si="14"/>
        <v>0</v>
      </c>
      <c r="BI31" s="29">
        <f t="shared" ca="1" si="14"/>
        <v>0</v>
      </c>
      <c r="BJ31" s="29">
        <f t="shared" ca="1" si="14"/>
        <v>0</v>
      </c>
      <c r="BK31" s="29">
        <f t="shared" ca="1" si="14"/>
        <v>0</v>
      </c>
      <c r="BL31" s="29">
        <f t="shared" ca="1" si="14"/>
        <v>0</v>
      </c>
      <c r="BM31" s="29">
        <f t="shared" ca="1" si="14"/>
        <v>0</v>
      </c>
      <c r="BN31" s="29">
        <f t="shared" ca="1" si="14"/>
        <v>0</v>
      </c>
      <c r="BO31" s="29">
        <f t="shared" ca="1" si="14"/>
        <v>0</v>
      </c>
      <c r="BP31" s="29">
        <f t="shared" ca="1" si="14"/>
        <v>0</v>
      </c>
      <c r="BQ31" s="29">
        <f t="shared" ca="1" si="14"/>
        <v>0</v>
      </c>
      <c r="BR31" s="29">
        <f t="shared" ca="1" si="14"/>
        <v>0</v>
      </c>
      <c r="BS31" s="29">
        <f t="shared" ca="1" si="14"/>
        <v>0</v>
      </c>
      <c r="BT31" s="29">
        <f t="shared" ca="1" si="14"/>
        <v>0</v>
      </c>
      <c r="BU31" s="29">
        <f t="shared" ca="1" si="14"/>
        <v>0</v>
      </c>
      <c r="BV31" s="29">
        <f t="shared" ca="1" si="14"/>
        <v>0</v>
      </c>
      <c r="BW31" s="29">
        <f t="shared" ca="1" si="14"/>
        <v>0</v>
      </c>
      <c r="BX31" s="29">
        <f t="shared" ca="1" si="14"/>
        <v>0</v>
      </c>
      <c r="BY31" s="29">
        <f t="shared" ca="1" si="14"/>
        <v>0</v>
      </c>
      <c r="BZ31" s="29">
        <f t="shared" ca="1" si="14"/>
        <v>0</v>
      </c>
      <c r="CA31" s="29">
        <f t="shared" ca="1" si="14"/>
        <v>0</v>
      </c>
      <c r="CB31" s="29">
        <f t="shared" ca="1" si="14"/>
        <v>0</v>
      </c>
      <c r="CC31" s="29">
        <f t="shared" ca="1" si="14"/>
        <v>0</v>
      </c>
      <c r="CD31" s="29">
        <f t="shared" ca="1" si="14"/>
        <v>0</v>
      </c>
      <c r="CE31" s="29">
        <f t="shared" ca="1" si="14"/>
        <v>0</v>
      </c>
      <c r="CF31" s="29">
        <f t="shared" ca="1" si="14"/>
        <v>0</v>
      </c>
      <c r="CG31" s="29">
        <f t="shared" ca="1" si="14"/>
        <v>0</v>
      </c>
      <c r="CH31" s="29">
        <f t="shared" ca="1" si="14"/>
        <v>0</v>
      </c>
    </row>
    <row r="32" spans="1:86" ht="13">
      <c r="B32" s="15" t="s">
        <v>259</v>
      </c>
      <c r="C32" s="15"/>
      <c r="D32" s="15" t="s">
        <v>238</v>
      </c>
      <c r="E32" s="29">
        <f t="shared" si="13"/>
        <v>0</v>
      </c>
      <c r="F32" s="29"/>
      <c r="G32" s="29">
        <v>0</v>
      </c>
      <c r="H32" s="29">
        <v>0</v>
      </c>
      <c r="I32" s="29">
        <v>0</v>
      </c>
      <c r="J32" s="29">
        <v>0</v>
      </c>
      <c r="K32" s="29">
        <v>0</v>
      </c>
      <c r="L32" s="29">
        <v>0</v>
      </c>
      <c r="M32" s="29">
        <v>0</v>
      </c>
      <c r="N32" s="29">
        <v>0</v>
      </c>
      <c r="O32" s="29">
        <v>0</v>
      </c>
      <c r="P32" s="29">
        <v>0</v>
      </c>
      <c r="Q32" s="29">
        <v>0</v>
      </c>
      <c r="R32" s="29">
        <v>0</v>
      </c>
      <c r="S32" s="29">
        <v>0</v>
      </c>
      <c r="T32" s="29">
        <v>0</v>
      </c>
      <c r="U32" s="29">
        <v>0</v>
      </c>
      <c r="V32" s="29">
        <v>0</v>
      </c>
      <c r="W32" s="29">
        <v>0</v>
      </c>
      <c r="X32" s="29">
        <v>0</v>
      </c>
      <c r="Y32" s="29">
        <v>0</v>
      </c>
      <c r="Z32" s="29">
        <v>0</v>
      </c>
      <c r="AA32" s="29">
        <v>0</v>
      </c>
      <c r="AB32" s="29">
        <v>0</v>
      </c>
      <c r="AC32" s="29">
        <v>0</v>
      </c>
      <c r="AD32" s="29">
        <v>0</v>
      </c>
      <c r="AE32" s="29">
        <v>0</v>
      </c>
      <c r="AF32" s="29">
        <v>0</v>
      </c>
      <c r="AG32" s="29">
        <v>0</v>
      </c>
      <c r="AH32" s="29">
        <v>0</v>
      </c>
      <c r="AI32" s="29">
        <v>0</v>
      </c>
      <c r="AJ32" s="29">
        <v>0</v>
      </c>
      <c r="AK32" s="29">
        <v>0</v>
      </c>
      <c r="AL32" s="29">
        <v>0</v>
      </c>
      <c r="AM32" s="29">
        <v>0</v>
      </c>
      <c r="AN32" s="29">
        <v>0</v>
      </c>
      <c r="AO32" s="29">
        <v>0</v>
      </c>
      <c r="AP32" s="29">
        <v>0</v>
      </c>
      <c r="AQ32" s="29">
        <v>0</v>
      </c>
      <c r="AR32" s="29">
        <v>0</v>
      </c>
      <c r="AS32" s="29">
        <v>0</v>
      </c>
      <c r="AT32" s="29">
        <v>0</v>
      </c>
      <c r="AU32" s="29">
        <v>0</v>
      </c>
      <c r="AV32" s="29">
        <v>0</v>
      </c>
      <c r="AW32" s="29">
        <v>0</v>
      </c>
      <c r="AX32" s="29">
        <v>0</v>
      </c>
      <c r="AY32" s="29">
        <v>0</v>
      </c>
      <c r="AZ32" s="29">
        <v>0</v>
      </c>
      <c r="BA32" s="29">
        <v>0</v>
      </c>
      <c r="BB32" s="29">
        <v>0</v>
      </c>
      <c r="BC32" s="29">
        <v>0</v>
      </c>
      <c r="BD32" s="29">
        <v>0</v>
      </c>
      <c r="BE32" s="29">
        <v>0</v>
      </c>
      <c r="BF32" s="29">
        <v>0</v>
      </c>
      <c r="BG32" s="29">
        <v>0</v>
      </c>
      <c r="BH32" s="29">
        <v>0</v>
      </c>
      <c r="BI32" s="29">
        <v>0</v>
      </c>
      <c r="BJ32" s="29">
        <v>0</v>
      </c>
      <c r="BK32" s="29">
        <v>0</v>
      </c>
      <c r="BL32" s="29">
        <v>0</v>
      </c>
      <c r="BM32" s="29">
        <v>0</v>
      </c>
      <c r="BN32" s="29">
        <v>0</v>
      </c>
      <c r="BO32" s="29">
        <v>0</v>
      </c>
      <c r="BP32" s="29">
        <v>0</v>
      </c>
      <c r="BQ32" s="29">
        <v>0</v>
      </c>
      <c r="BR32" s="29">
        <v>0</v>
      </c>
      <c r="BS32" s="29">
        <v>0</v>
      </c>
      <c r="BT32" s="29">
        <v>0</v>
      </c>
      <c r="BU32" s="29">
        <v>0</v>
      </c>
      <c r="BV32" s="29">
        <v>0</v>
      </c>
      <c r="BW32" s="29">
        <v>0</v>
      </c>
      <c r="BX32" s="29">
        <v>0</v>
      </c>
      <c r="BY32" s="29">
        <v>0</v>
      </c>
      <c r="BZ32" s="29">
        <v>0</v>
      </c>
      <c r="CA32" s="29">
        <v>0</v>
      </c>
      <c r="CB32" s="29">
        <v>0</v>
      </c>
      <c r="CC32" s="29">
        <v>0</v>
      </c>
      <c r="CD32" s="29">
        <v>0</v>
      </c>
      <c r="CE32" s="29">
        <v>0</v>
      </c>
      <c r="CF32" s="29">
        <v>0</v>
      </c>
      <c r="CG32" s="29">
        <v>0</v>
      </c>
      <c r="CH32" s="29">
        <v>0</v>
      </c>
    </row>
    <row r="33" spans="1:86" ht="13">
      <c r="B33" s="15" t="s">
        <v>260</v>
      </c>
      <c r="C33" s="15"/>
      <c r="D33" s="15" t="s">
        <v>238</v>
      </c>
      <c r="E33" s="29">
        <f t="shared" ca="1" si="13"/>
        <v>20052083.333333332</v>
      </c>
      <c r="F33" s="29"/>
      <c r="G33" s="29">
        <f ca="1">IF(G8=1,'Get Started  3'!$E120/'Get Started  3'!$E15*'Get Started  3'!$E100+G208*'Get Started  3'!$E100,0)</f>
        <v>1203125</v>
      </c>
      <c r="H33" s="29">
        <f ca="1">IF(H8=1,'Get Started  3'!$E120/'Get Started  3'!$E15*'Get Started  3'!$E100+H208*'Get Started  3'!$E100,0)</f>
        <v>1203125</v>
      </c>
      <c r="I33" s="29">
        <f ca="1">IF(I8=1,'Get Started  3'!$E120/'Get Started  3'!$E15*'Get Started  3'!$E100+I208*'Get Started  3'!$E100,0)</f>
        <v>1203125</v>
      </c>
      <c r="J33" s="29">
        <f ca="1">IF(J8=1,'Get Started  3'!$E120/'Get Started  3'!$E15*'Get Started  3'!$E100+J208*'Get Started  3'!$E100,0)</f>
        <v>1203125</v>
      </c>
      <c r="K33" s="29">
        <f ca="1">IF(K8=1,'Get Started  3'!$E120/'Get Started  3'!$E15*'Get Started  3'!$E100+K208*'Get Started  3'!$E100,0)</f>
        <v>1203125</v>
      </c>
      <c r="L33" s="29">
        <f ca="1">IF(L8=1,'Get Started  3'!$E120/'Get Started  3'!$E15*'Get Started  3'!$E100+L208*'Get Started  3'!$E100,0)</f>
        <v>1203125</v>
      </c>
      <c r="M33" s="29">
        <f ca="1">IF(M8=1,'Get Started  3'!$E120/'Get Started  3'!$E15*'Get Started  3'!$E100+M208*'Get Started  3'!$E100,0)</f>
        <v>1203125</v>
      </c>
      <c r="N33" s="29">
        <f ca="1">IF(N8=1,'Get Started  3'!$E120/'Get Started  3'!$E15*'Get Started  3'!$E100+N208*'Get Started  3'!$E100,0)</f>
        <v>1203125</v>
      </c>
      <c r="O33" s="29">
        <f ca="1">IF(O8=1,'Get Started  3'!$E120/'Get Started  3'!$E15*'Get Started  3'!$E100+O208*'Get Started  3'!$E100,0)</f>
        <v>1203125</v>
      </c>
      <c r="P33" s="29">
        <f ca="1">IF(P8=1,'Get Started  3'!$E120/'Get Started  3'!$E15*'Get Started  3'!$E100+P208*'Get Started  3'!$E100,0)</f>
        <v>1203125</v>
      </c>
      <c r="Q33" s="29">
        <f ca="1">IF(Q8=1,'Get Started  3'!$E120/'Get Started  3'!$E15*'Get Started  3'!$E100+Q208*'Get Started  3'!$E100,0)</f>
        <v>1203125</v>
      </c>
      <c r="R33" s="29">
        <f ca="1">IF(R8=1,'Get Started  3'!$E120/'Get Started  3'!$E15*'Get Started  3'!$E100+R208*'Get Started  3'!$E100,0)</f>
        <v>1203125</v>
      </c>
      <c r="S33" s="29">
        <f ca="1">IF(S8=1,'Get Started  3'!$E120/'Get Started  3'!$E15*'Get Started  3'!$E100+S208*'Get Started  3'!$E100,0)</f>
        <v>1403645.8333333333</v>
      </c>
      <c r="T33" s="29">
        <f ca="1">IF(T8=1,'Get Started  3'!$E120/'Get Started  3'!$E15*'Get Started  3'!$E100+T208*'Get Started  3'!$E100,0)</f>
        <v>1403645.8333333333</v>
      </c>
      <c r="U33" s="29">
        <f ca="1">IF(U8=1,'Get Started  3'!$E120/'Get Started  3'!$E15*'Get Started  3'!$E100+U208*'Get Started  3'!$E100,0)</f>
        <v>1403645.8333333333</v>
      </c>
      <c r="V33" s="29">
        <f ca="1">IF(V8=1,'Get Started  3'!$E120/'Get Started  3'!$E15*'Get Started  3'!$E100+V208*'Get Started  3'!$E100,0)</f>
        <v>1403645.8333333333</v>
      </c>
      <c r="W33" s="29">
        <f>IF(W8=1,'Get Started  3'!$E120/'Get Started  3'!$E15*'Get Started  3'!$E100+W208*'Get Started  3'!$E100,0)</f>
        <v>0</v>
      </c>
      <c r="X33" s="29">
        <f>IF(X8=1,'Get Started  3'!$E120/'Get Started  3'!$E15*'Get Started  3'!$E100+X208*'Get Started  3'!$E100,0)</f>
        <v>0</v>
      </c>
      <c r="Y33" s="29">
        <f>IF(Y8=1,'Get Started  3'!$E120/'Get Started  3'!$E15*'Get Started  3'!$E100+Y208*'Get Started  3'!$E100,0)</f>
        <v>0</v>
      </c>
      <c r="Z33" s="29">
        <f>IF(Z8=1,'Get Started  3'!$E120/'Get Started  3'!$E15*'Get Started  3'!$E100+Z208*'Get Started  3'!$E100,0)</f>
        <v>0</v>
      </c>
      <c r="AA33" s="29">
        <f>IF(AA8=1,'Get Started  3'!$E120/'Get Started  3'!$E15*'Get Started  3'!$E100+AA208*'Get Started  3'!$E100,0)</f>
        <v>0</v>
      </c>
      <c r="AB33" s="29">
        <f>IF(AB8=1,'Get Started  3'!$E120/'Get Started  3'!$E15*'Get Started  3'!$E100+AB208*'Get Started  3'!$E100,0)</f>
        <v>0</v>
      </c>
      <c r="AC33" s="29">
        <f>IF(AC8=1,'Get Started  3'!$E120/'Get Started  3'!$E15*'Get Started  3'!$E100+AC208*'Get Started  3'!$E100,0)</f>
        <v>0</v>
      </c>
      <c r="AD33" s="29">
        <f>IF(AD8=1,'Get Started  3'!$E120/'Get Started  3'!$E15*'Get Started  3'!$E100+AD208*'Get Started  3'!$E100,0)</f>
        <v>0</v>
      </c>
      <c r="AE33" s="29">
        <f>IF(AE8=1,'Get Started  3'!$E120/'Get Started  3'!$E15*'Get Started  3'!$E100+AE208*'Get Started  3'!$E100,0)</f>
        <v>0</v>
      </c>
      <c r="AF33" s="29">
        <f>IF(AF8=1,'Get Started  3'!$E120/'Get Started  3'!$E15*'Get Started  3'!$E100+AF208*'Get Started  3'!$E100,0)</f>
        <v>0</v>
      </c>
      <c r="AG33" s="29">
        <f>IF(AG8=1,'Get Started  3'!$E120/'Get Started  3'!$E15*'Get Started  3'!$E100+AG208*'Get Started  3'!$E100,0)</f>
        <v>0</v>
      </c>
      <c r="AH33" s="29">
        <f>IF(AH8=1,'Get Started  3'!$E120/'Get Started  3'!$E15*'Get Started  3'!$E100+AH208*'Get Started  3'!$E100,0)</f>
        <v>0</v>
      </c>
      <c r="AI33" s="29">
        <f>IF(AI8=1,'Get Started  3'!$E120/'Get Started  3'!$E15*'Get Started  3'!$E100+AI208*'Get Started  3'!$E100,0)</f>
        <v>0</v>
      </c>
      <c r="AJ33" s="29">
        <f>IF(AJ8=1,'Get Started  3'!$E120/'Get Started  3'!$E15*'Get Started  3'!$E100+AJ208*'Get Started  3'!$E100,0)</f>
        <v>0</v>
      </c>
      <c r="AK33" s="29">
        <f>IF(AK8=1,'Get Started  3'!$E120/'Get Started  3'!$E15*'Get Started  3'!$E100+AK208*'Get Started  3'!$E100,0)</f>
        <v>0</v>
      </c>
      <c r="AL33" s="29">
        <f>IF(AL8=1,'Get Started  3'!$E120/'Get Started  3'!$E15*'Get Started  3'!$E100+AL208*'Get Started  3'!$E100,0)</f>
        <v>0</v>
      </c>
      <c r="AM33" s="29">
        <f>IF(AM8=1,'Get Started  3'!$E120/'Get Started  3'!$E15*'Get Started  3'!$E100+AM208*'Get Started  3'!$E100,0)</f>
        <v>0</v>
      </c>
      <c r="AN33" s="29">
        <f>IF(AN8=1,'Get Started  3'!$E120/'Get Started  3'!$E15*'Get Started  3'!$E100+AN208*'Get Started  3'!$E100,0)</f>
        <v>0</v>
      </c>
      <c r="AO33" s="29">
        <f>IF(AO8=1,'Get Started  3'!$E120/'Get Started  3'!$E15*'Get Started  3'!$E100+AO208*'Get Started  3'!$E100,0)</f>
        <v>0</v>
      </c>
      <c r="AP33" s="29">
        <f>IF(AP8=1,'Get Started  3'!$E120/'Get Started  3'!$E15*'Get Started  3'!$E100+AP208*'Get Started  3'!$E100,0)</f>
        <v>0</v>
      </c>
      <c r="AQ33" s="29">
        <f>IF(AQ8=1,'Get Started  3'!$E120/'Get Started  3'!$E15*'Get Started  3'!$E100+AQ208*'Get Started  3'!$E100,0)</f>
        <v>0</v>
      </c>
      <c r="AR33" s="29">
        <f>IF(AR8=1,'Get Started  3'!$E120/'Get Started  3'!$E15*'Get Started  3'!$E100+AR208*'Get Started  3'!$E100,0)</f>
        <v>0</v>
      </c>
      <c r="AS33" s="29">
        <f>IF(AS8=1,'Get Started  3'!$E120/'Get Started  3'!$E15*'Get Started  3'!$E100+AS208*'Get Started  3'!$E100,0)</f>
        <v>0</v>
      </c>
      <c r="AT33" s="29">
        <f>IF(AT8=1,'Get Started  3'!$E120/'Get Started  3'!$E15*'Get Started  3'!$E100+AT208*'Get Started  3'!$E100,0)</f>
        <v>0</v>
      </c>
      <c r="AU33" s="29">
        <f>IF(AU8=1,'Get Started  3'!$E120/'Get Started  3'!$E15*'Get Started  3'!$E100+AU208*'Get Started  3'!$E100,0)</f>
        <v>0</v>
      </c>
      <c r="AV33" s="29">
        <f>IF(AV8=1,'Get Started  3'!$E120/'Get Started  3'!$E15*'Get Started  3'!$E100+AV208*'Get Started  3'!$E100,0)</f>
        <v>0</v>
      </c>
      <c r="AW33" s="29">
        <f>IF(AW8=1,'Get Started  3'!$E120/'Get Started  3'!$E15*'Get Started  3'!$E100+AW208*'Get Started  3'!$E100,0)</f>
        <v>0</v>
      </c>
      <c r="AX33" s="29">
        <f>IF(AX8=1,'Get Started  3'!$E120/'Get Started  3'!$E15*'Get Started  3'!$E100+AX208*'Get Started  3'!$E100,0)</f>
        <v>0</v>
      </c>
      <c r="AY33" s="29">
        <f>IF(AY8=1,'Get Started  3'!$E120/'Get Started  3'!$E15*'Get Started  3'!$E100+AY208*'Get Started  3'!$E100,0)</f>
        <v>0</v>
      </c>
      <c r="AZ33" s="29">
        <f>IF(AZ8=1,'Get Started  3'!$E120/'Get Started  3'!$E15*'Get Started  3'!$E100+AZ208*'Get Started  3'!$E100,0)</f>
        <v>0</v>
      </c>
      <c r="BA33" s="29">
        <f>IF(BA8=1,'Get Started  3'!$E120/'Get Started  3'!$E15*'Get Started  3'!$E100+BA208*'Get Started  3'!$E100,0)</f>
        <v>0</v>
      </c>
      <c r="BB33" s="29">
        <f>IF(BB8=1,'Get Started  3'!$E120/'Get Started  3'!$E15*'Get Started  3'!$E100+BB208*'Get Started  3'!$E100,0)</f>
        <v>0</v>
      </c>
      <c r="BC33" s="29">
        <f>IF(BC8=1,'Get Started  3'!$E120/'Get Started  3'!$E15*'Get Started  3'!$E100+BC208*'Get Started  3'!$E100,0)</f>
        <v>0</v>
      </c>
      <c r="BD33" s="29">
        <f>IF(BD8=1,'Get Started  3'!$E120/'Get Started  3'!$E15*'Get Started  3'!$E100+BD208*'Get Started  3'!$E100,0)</f>
        <v>0</v>
      </c>
      <c r="BE33" s="29">
        <f>IF(BE8=1,'Get Started  3'!$E120/'Get Started  3'!$E15*'Get Started  3'!$E100+BE208*'Get Started  3'!$E100,0)</f>
        <v>0</v>
      </c>
      <c r="BF33" s="29">
        <f>IF(BF8=1,'Get Started  3'!$E120/'Get Started  3'!$E15*'Get Started  3'!$E100+BF208*'Get Started  3'!$E100,0)</f>
        <v>0</v>
      </c>
      <c r="BG33" s="29">
        <f>IF(BG8=1,'Get Started  3'!$E120/'Get Started  3'!$E15*'Get Started  3'!$E100+BG208*'Get Started  3'!$E100,0)</f>
        <v>0</v>
      </c>
      <c r="BH33" s="29">
        <f>IF(BH8=1,'Get Started  3'!$E120/'Get Started  3'!$E15*'Get Started  3'!$E100+BH208*'Get Started  3'!$E100,0)</f>
        <v>0</v>
      </c>
      <c r="BI33" s="29">
        <f>IF(BI8=1,'Get Started  3'!$E120/'Get Started  3'!$E15*'Get Started  3'!$E100+BI208*'Get Started  3'!$E100,0)</f>
        <v>0</v>
      </c>
      <c r="BJ33" s="29">
        <f>IF(BJ8=1,'Get Started  3'!$E120/'Get Started  3'!$E15*'Get Started  3'!$E100+BJ208*'Get Started  3'!$E100,0)</f>
        <v>0</v>
      </c>
      <c r="BK33" s="29">
        <f>IF(BK8=1,'Get Started  3'!$E120/'Get Started  3'!$E15*'Get Started  3'!$E100+BK208*'Get Started  3'!$E100,0)</f>
        <v>0</v>
      </c>
      <c r="BL33" s="29">
        <f>IF(BL8=1,'Get Started  3'!$E120/'Get Started  3'!$E15*'Get Started  3'!$E100+BL208*'Get Started  3'!$E100,0)</f>
        <v>0</v>
      </c>
      <c r="BM33" s="29">
        <f>IF(BM8=1,'Get Started  3'!$E120/'Get Started  3'!$E15*'Get Started  3'!$E100+BM208*'Get Started  3'!$E100,0)</f>
        <v>0</v>
      </c>
      <c r="BN33" s="29">
        <f>IF(BN8=1,'Get Started  3'!$E120/'Get Started  3'!$E15*'Get Started  3'!$E100+BN208*'Get Started  3'!$E100,0)</f>
        <v>0</v>
      </c>
      <c r="BO33" s="29">
        <f>IF(BO8=1,'Get Started  3'!$E120/'Get Started  3'!$E15*'Get Started  3'!$E100+BO208*'Get Started  3'!$E100,0)</f>
        <v>0</v>
      </c>
      <c r="BP33" s="29">
        <f>IF(BP8=1,'Get Started  3'!$E120/'Get Started  3'!$E15*'Get Started  3'!$E100+BP208*'Get Started  3'!$E100,0)</f>
        <v>0</v>
      </c>
      <c r="BQ33" s="29">
        <f>IF(BQ8=1,'Get Started  3'!$E120/'Get Started  3'!$E15*'Get Started  3'!$E100+BQ208*'Get Started  3'!$E100,0)</f>
        <v>0</v>
      </c>
      <c r="BR33" s="29">
        <f>IF(BR8=1,'Get Started  3'!$E120/'Get Started  3'!$E15*'Get Started  3'!$E100+BR208*'Get Started  3'!$E100,0)</f>
        <v>0</v>
      </c>
      <c r="BS33" s="29">
        <f>IF(BS8=1,'Get Started  3'!$E120/'Get Started  3'!$E15*'Get Started  3'!$E100+BS208*'Get Started  3'!$E100,0)</f>
        <v>0</v>
      </c>
      <c r="BT33" s="29">
        <f>IF(BT8=1,'Get Started  3'!$E120/'Get Started  3'!$E15*'Get Started  3'!$E100+BT208*'Get Started  3'!$E100,0)</f>
        <v>0</v>
      </c>
      <c r="BU33" s="29">
        <f>IF(BU8=1,'Get Started  3'!$E120/'Get Started  3'!$E15*'Get Started  3'!$E100+BU208*'Get Started  3'!$E100,0)</f>
        <v>0</v>
      </c>
      <c r="BV33" s="29">
        <f>IF(BV8=1,'Get Started  3'!$E120/'Get Started  3'!$E15*'Get Started  3'!$E100+BV208*'Get Started  3'!$E100,0)</f>
        <v>0</v>
      </c>
      <c r="BW33" s="29">
        <f>IF(BW8=1,'Get Started  3'!$E120/'Get Started  3'!$E15*'Get Started  3'!$E100+BW208*'Get Started  3'!$E100,0)</f>
        <v>0</v>
      </c>
      <c r="BX33" s="29">
        <f>IF(BX8=1,'Get Started  3'!$E120/'Get Started  3'!$E15*'Get Started  3'!$E100+BX208*'Get Started  3'!$E100,0)</f>
        <v>0</v>
      </c>
      <c r="BY33" s="29">
        <f>IF(BY8=1,'Get Started  3'!$E120/'Get Started  3'!$E15*'Get Started  3'!$E100+BY208*'Get Started  3'!$E100,0)</f>
        <v>0</v>
      </c>
      <c r="BZ33" s="29">
        <f>IF(BZ8=1,'Get Started  3'!$E120/'Get Started  3'!$E15*'Get Started  3'!$E100+BZ208*'Get Started  3'!$E100,0)</f>
        <v>0</v>
      </c>
      <c r="CA33" s="29">
        <f>IF(CA8=1,'Get Started  3'!$E120/'Get Started  3'!$E15*'Get Started  3'!$E100+CA208*'Get Started  3'!$E100,0)</f>
        <v>0</v>
      </c>
      <c r="CB33" s="29">
        <f>IF(CB8=1,'Get Started  3'!$E120/'Get Started  3'!$E15*'Get Started  3'!$E100+CB208*'Get Started  3'!$E100,0)</f>
        <v>0</v>
      </c>
      <c r="CC33" s="29">
        <f>IF(CC8=1,'Get Started  3'!$E120/'Get Started  3'!$E15*'Get Started  3'!$E100+CC208*'Get Started  3'!$E100,0)</f>
        <v>0</v>
      </c>
      <c r="CD33" s="29">
        <f>IF(CD8=1,'Get Started  3'!$E120/'Get Started  3'!$E15*'Get Started  3'!$E100+CD208*'Get Started  3'!$E100,0)</f>
        <v>0</v>
      </c>
      <c r="CE33" s="29">
        <f>IF(CE8=1,'Get Started  3'!$E120/'Get Started  3'!$E15*'Get Started  3'!$E100+CE208*'Get Started  3'!$E100,0)</f>
        <v>0</v>
      </c>
      <c r="CF33" s="29">
        <f>IF(CF8=1,'Get Started  3'!$E120/'Get Started  3'!$E15*'Get Started  3'!$E100+CF208*'Get Started  3'!$E100,0)</f>
        <v>0</v>
      </c>
      <c r="CG33" s="29">
        <f>IF(CG8=1,'Get Started  3'!$E120/'Get Started  3'!$E15*'Get Started  3'!$E100+CG208*'Get Started  3'!$E100,0)</f>
        <v>0</v>
      </c>
      <c r="CH33" s="29">
        <f>IF(CH8=1,'Get Started  3'!$E120/'Get Started  3'!$E15*'Get Started  3'!$E100+CH208*'Get Started  3'!$E100,0)</f>
        <v>0</v>
      </c>
    </row>
    <row r="34" spans="1:86" ht="13">
      <c r="B34" s="15" t="s">
        <v>261</v>
      </c>
      <c r="C34" s="15"/>
      <c r="D34" s="15" t="s">
        <v>238</v>
      </c>
      <c r="E34" s="29">
        <f t="shared" si="13"/>
        <v>0</v>
      </c>
      <c r="F34" s="29"/>
      <c r="G34" s="29">
        <v>0</v>
      </c>
      <c r="H34" s="29">
        <v>0</v>
      </c>
      <c r="I34" s="29">
        <v>0</v>
      </c>
      <c r="J34" s="29">
        <v>0</v>
      </c>
      <c r="K34" s="29">
        <v>0</v>
      </c>
      <c r="L34" s="29">
        <v>0</v>
      </c>
      <c r="M34" s="29">
        <v>0</v>
      </c>
      <c r="N34" s="29">
        <v>0</v>
      </c>
      <c r="O34" s="29">
        <v>0</v>
      </c>
      <c r="P34" s="29">
        <v>0</v>
      </c>
      <c r="Q34" s="29">
        <v>0</v>
      </c>
      <c r="R34" s="29">
        <v>0</v>
      </c>
      <c r="S34" s="29">
        <v>0</v>
      </c>
      <c r="T34" s="29">
        <v>0</v>
      </c>
      <c r="U34" s="29">
        <v>0</v>
      </c>
      <c r="V34" s="29">
        <v>0</v>
      </c>
      <c r="W34" s="29">
        <v>0</v>
      </c>
      <c r="X34" s="29">
        <v>0</v>
      </c>
      <c r="Y34" s="29">
        <v>0</v>
      </c>
      <c r="Z34" s="29">
        <v>0</v>
      </c>
      <c r="AA34" s="29">
        <v>0</v>
      </c>
      <c r="AB34" s="29">
        <v>0</v>
      </c>
      <c r="AC34" s="29">
        <v>0</v>
      </c>
      <c r="AD34" s="29">
        <v>0</v>
      </c>
      <c r="AE34" s="29">
        <v>0</v>
      </c>
      <c r="AF34" s="29">
        <v>0</v>
      </c>
      <c r="AG34" s="29">
        <v>0</v>
      </c>
      <c r="AH34" s="29">
        <v>0</v>
      </c>
      <c r="AI34" s="29">
        <v>0</v>
      </c>
      <c r="AJ34" s="29">
        <v>0</v>
      </c>
      <c r="AK34" s="29">
        <v>0</v>
      </c>
      <c r="AL34" s="29">
        <v>0</v>
      </c>
      <c r="AM34" s="29">
        <v>0</v>
      </c>
      <c r="AN34" s="29">
        <v>0</v>
      </c>
      <c r="AO34" s="29">
        <v>0</v>
      </c>
      <c r="AP34" s="29">
        <v>0</v>
      </c>
      <c r="AQ34" s="29">
        <v>0</v>
      </c>
      <c r="AR34" s="29">
        <v>0</v>
      </c>
      <c r="AS34" s="29">
        <v>0</v>
      </c>
      <c r="AT34" s="29">
        <v>0</v>
      </c>
      <c r="AU34" s="29">
        <v>0</v>
      </c>
      <c r="AV34" s="29">
        <v>0</v>
      </c>
      <c r="AW34" s="29">
        <v>0</v>
      </c>
      <c r="AX34" s="29">
        <v>0</v>
      </c>
      <c r="AY34" s="29">
        <v>0</v>
      </c>
      <c r="AZ34" s="29">
        <v>0</v>
      </c>
      <c r="BA34" s="29">
        <v>0</v>
      </c>
      <c r="BB34" s="29">
        <v>0</v>
      </c>
      <c r="BC34" s="29">
        <v>0</v>
      </c>
      <c r="BD34" s="29">
        <v>0</v>
      </c>
      <c r="BE34" s="29">
        <v>0</v>
      </c>
      <c r="BF34" s="29">
        <v>0</v>
      </c>
      <c r="BG34" s="29">
        <v>0</v>
      </c>
      <c r="BH34" s="29">
        <v>0</v>
      </c>
      <c r="BI34" s="29">
        <v>0</v>
      </c>
      <c r="BJ34" s="29">
        <v>0</v>
      </c>
      <c r="BK34" s="29">
        <v>0</v>
      </c>
      <c r="BL34" s="29">
        <v>0</v>
      </c>
      <c r="BM34" s="29">
        <v>0</v>
      </c>
      <c r="BN34" s="29">
        <v>0</v>
      </c>
      <c r="BO34" s="29">
        <v>0</v>
      </c>
      <c r="BP34" s="29">
        <v>0</v>
      </c>
      <c r="BQ34" s="29">
        <v>0</v>
      </c>
      <c r="BR34" s="29">
        <v>0</v>
      </c>
      <c r="BS34" s="29">
        <v>0</v>
      </c>
      <c r="BT34" s="29">
        <v>0</v>
      </c>
      <c r="BU34" s="29">
        <v>0</v>
      </c>
      <c r="BV34" s="29">
        <v>0</v>
      </c>
      <c r="BW34" s="29">
        <v>0</v>
      </c>
      <c r="BX34" s="29">
        <v>0</v>
      </c>
      <c r="BY34" s="29">
        <v>0</v>
      </c>
      <c r="BZ34" s="29">
        <v>0</v>
      </c>
      <c r="CA34" s="29">
        <v>0</v>
      </c>
      <c r="CB34" s="29">
        <v>0</v>
      </c>
      <c r="CC34" s="29">
        <v>0</v>
      </c>
      <c r="CD34" s="29">
        <v>0</v>
      </c>
      <c r="CE34" s="29">
        <v>0</v>
      </c>
      <c r="CF34" s="29">
        <v>0</v>
      </c>
      <c r="CG34" s="29">
        <v>0</v>
      </c>
      <c r="CH34" s="29">
        <v>0</v>
      </c>
    </row>
    <row r="35" spans="1:86" ht="13">
      <c r="B35" s="15" t="s">
        <v>262</v>
      </c>
      <c r="C35" s="15" t="s">
        <v>263</v>
      </c>
      <c r="D35" s="15" t="s">
        <v>238</v>
      </c>
      <c r="E35" s="29">
        <f t="shared" si="13"/>
        <v>0</v>
      </c>
      <c r="F35" s="29"/>
      <c r="G35" s="29">
        <v>0</v>
      </c>
      <c r="H35" s="29">
        <v>0</v>
      </c>
      <c r="I35" s="29">
        <v>0</v>
      </c>
      <c r="J35" s="29">
        <v>0</v>
      </c>
      <c r="K35" s="29">
        <v>0</v>
      </c>
      <c r="L35" s="29">
        <v>0</v>
      </c>
      <c r="M35" s="29">
        <v>0</v>
      </c>
      <c r="N35" s="29">
        <v>0</v>
      </c>
      <c r="O35" s="29">
        <v>0</v>
      </c>
      <c r="P35" s="29">
        <v>0</v>
      </c>
      <c r="Q35" s="29">
        <v>0</v>
      </c>
      <c r="R35" s="29">
        <v>0</v>
      </c>
      <c r="S35" s="29">
        <v>0</v>
      </c>
      <c r="T35" s="29">
        <v>0</v>
      </c>
      <c r="U35" s="29">
        <v>0</v>
      </c>
      <c r="V35" s="29">
        <v>0</v>
      </c>
      <c r="W35" s="29">
        <v>0</v>
      </c>
      <c r="X35" s="29">
        <v>0</v>
      </c>
      <c r="Y35" s="29">
        <v>0</v>
      </c>
      <c r="Z35" s="29">
        <v>0</v>
      </c>
      <c r="AA35" s="29">
        <v>0</v>
      </c>
      <c r="AB35" s="29">
        <v>0</v>
      </c>
      <c r="AC35" s="29">
        <v>0</v>
      </c>
      <c r="AD35" s="29">
        <v>0</v>
      </c>
      <c r="AE35" s="29">
        <v>0</v>
      </c>
      <c r="AF35" s="29">
        <v>0</v>
      </c>
      <c r="AG35" s="29">
        <v>0</v>
      </c>
      <c r="AH35" s="29">
        <v>0</v>
      </c>
      <c r="AI35" s="29">
        <v>0</v>
      </c>
      <c r="AJ35" s="29">
        <v>0</v>
      </c>
      <c r="AK35" s="29">
        <v>0</v>
      </c>
      <c r="AL35" s="29">
        <v>0</v>
      </c>
      <c r="AM35" s="29">
        <v>0</v>
      </c>
      <c r="AN35" s="29">
        <v>0</v>
      </c>
      <c r="AO35" s="29">
        <v>0</v>
      </c>
      <c r="AP35" s="29">
        <v>0</v>
      </c>
      <c r="AQ35" s="29">
        <v>0</v>
      </c>
      <c r="AR35" s="29">
        <v>0</v>
      </c>
      <c r="AS35" s="29">
        <v>0</v>
      </c>
      <c r="AT35" s="29">
        <v>0</v>
      </c>
      <c r="AU35" s="29">
        <v>0</v>
      </c>
      <c r="AV35" s="29">
        <v>0</v>
      </c>
      <c r="AW35" s="29">
        <v>0</v>
      </c>
      <c r="AX35" s="29">
        <v>0</v>
      </c>
      <c r="AY35" s="29">
        <v>0</v>
      </c>
      <c r="AZ35" s="29">
        <v>0</v>
      </c>
      <c r="BA35" s="29">
        <v>0</v>
      </c>
      <c r="BB35" s="29">
        <v>0</v>
      </c>
      <c r="BC35" s="29">
        <v>0</v>
      </c>
      <c r="BD35" s="29">
        <v>0</v>
      </c>
      <c r="BE35" s="29">
        <v>0</v>
      </c>
      <c r="BF35" s="29">
        <v>0</v>
      </c>
      <c r="BG35" s="29">
        <v>0</v>
      </c>
      <c r="BH35" s="29">
        <v>0</v>
      </c>
      <c r="BI35" s="29">
        <v>0</v>
      </c>
      <c r="BJ35" s="29">
        <v>0</v>
      </c>
      <c r="BK35" s="29">
        <v>0</v>
      </c>
      <c r="BL35" s="29">
        <v>0</v>
      </c>
      <c r="BM35" s="29">
        <v>0</v>
      </c>
      <c r="BN35" s="29">
        <v>0</v>
      </c>
      <c r="BO35" s="29">
        <v>0</v>
      </c>
      <c r="BP35" s="29">
        <v>0</v>
      </c>
      <c r="BQ35" s="29">
        <v>0</v>
      </c>
      <c r="BR35" s="29">
        <v>0</v>
      </c>
      <c r="BS35" s="29">
        <v>0</v>
      </c>
      <c r="BT35" s="29">
        <v>0</v>
      </c>
      <c r="BU35" s="29">
        <v>0</v>
      </c>
      <c r="BV35" s="29">
        <v>0</v>
      </c>
      <c r="BW35" s="29">
        <v>0</v>
      </c>
      <c r="BX35" s="29">
        <v>0</v>
      </c>
      <c r="BY35" s="29">
        <v>0</v>
      </c>
      <c r="BZ35" s="29">
        <v>0</v>
      </c>
      <c r="CA35" s="29">
        <v>0</v>
      </c>
      <c r="CB35" s="29">
        <v>0</v>
      </c>
      <c r="CC35" s="29">
        <v>0</v>
      </c>
      <c r="CD35" s="29">
        <v>0</v>
      </c>
      <c r="CE35" s="29">
        <v>0</v>
      </c>
      <c r="CF35" s="29">
        <v>0</v>
      </c>
      <c r="CG35" s="29">
        <v>0</v>
      </c>
      <c r="CH35" s="29">
        <v>0</v>
      </c>
    </row>
    <row r="36" spans="1:86" ht="13">
      <c r="B36" s="15" t="s">
        <v>264</v>
      </c>
      <c r="C36" s="15"/>
      <c r="D36" s="15" t="s">
        <v>238</v>
      </c>
      <c r="E36" s="29">
        <f t="shared" ca="1" si="13"/>
        <v>0</v>
      </c>
      <c r="F36" s="29"/>
      <c r="G36" s="29">
        <f ca="1">'Get Started  3'!$E122*G255</f>
        <v>0</v>
      </c>
      <c r="H36" s="29">
        <f ca="1">'Get Started  3'!$E122*H255</f>
        <v>0</v>
      </c>
      <c r="I36" s="29">
        <f ca="1">'Get Started  3'!$E122*I255</f>
        <v>0</v>
      </c>
      <c r="J36" s="29">
        <f ca="1">'Get Started  3'!$E122*J255</f>
        <v>0</v>
      </c>
      <c r="K36" s="29">
        <f ca="1">'Get Started  3'!$E122*K255</f>
        <v>0</v>
      </c>
      <c r="L36" s="29">
        <f ca="1">'Get Started  3'!$E122*L255</f>
        <v>0</v>
      </c>
      <c r="M36" s="29">
        <f ca="1">'Get Started  3'!$E122*M255</f>
        <v>0</v>
      </c>
      <c r="N36" s="29">
        <f ca="1">'Get Started  3'!$E122*N255</f>
        <v>0</v>
      </c>
      <c r="O36" s="29">
        <f ca="1">'Get Started  3'!$E122*O255</f>
        <v>0</v>
      </c>
      <c r="P36" s="29">
        <f ca="1">'Get Started  3'!$E122*P255</f>
        <v>0</v>
      </c>
      <c r="Q36" s="29">
        <f ca="1">'Get Started  3'!$E122*Q255</f>
        <v>0</v>
      </c>
      <c r="R36" s="29">
        <f ca="1">'Get Started  3'!$E122*R255</f>
        <v>0</v>
      </c>
      <c r="S36" s="29">
        <f ca="1">'Get Started  3'!$E122*S255</f>
        <v>0</v>
      </c>
      <c r="T36" s="29">
        <f ca="1">'Get Started  3'!$E122*T255</f>
        <v>0</v>
      </c>
      <c r="U36" s="29">
        <f ca="1">'Get Started  3'!$E122*U255</f>
        <v>0</v>
      </c>
      <c r="V36" s="29">
        <f ca="1">'Get Started  3'!$E122*V255</f>
        <v>0</v>
      </c>
      <c r="W36" s="29">
        <f ca="1">'Get Started  3'!$E122*W255</f>
        <v>0</v>
      </c>
      <c r="X36" s="29">
        <f ca="1">'Get Started  3'!$E122*X255</f>
        <v>0</v>
      </c>
      <c r="Y36" s="29">
        <f ca="1">'Get Started  3'!$E122*Y255</f>
        <v>0</v>
      </c>
      <c r="Z36" s="29">
        <f ca="1">'Get Started  3'!$E122*Z255</f>
        <v>0</v>
      </c>
      <c r="AA36" s="29">
        <f ca="1">'Get Started  3'!$E122*AA255</f>
        <v>0</v>
      </c>
      <c r="AB36" s="29">
        <f ca="1">'Get Started  3'!$E122*AB255</f>
        <v>0</v>
      </c>
      <c r="AC36" s="29">
        <f ca="1">'Get Started  3'!$E122*AC255</f>
        <v>0</v>
      </c>
      <c r="AD36" s="29">
        <f ca="1">'Get Started  3'!$E122*AD255</f>
        <v>0</v>
      </c>
      <c r="AE36" s="29">
        <f ca="1">'Get Started  3'!$E122*AE255</f>
        <v>0</v>
      </c>
      <c r="AF36" s="29">
        <f ca="1">'Get Started  3'!$E122*AF255</f>
        <v>0</v>
      </c>
      <c r="AG36" s="29">
        <f ca="1">'Get Started  3'!$E122*AG255</f>
        <v>0</v>
      </c>
      <c r="AH36" s="29">
        <f ca="1">'Get Started  3'!$E122*AH255</f>
        <v>0</v>
      </c>
      <c r="AI36" s="29">
        <f ca="1">'Get Started  3'!$E122*AI255</f>
        <v>0</v>
      </c>
      <c r="AJ36" s="29">
        <f ca="1">'Get Started  3'!$E122*AJ255</f>
        <v>0</v>
      </c>
      <c r="AK36" s="29">
        <f ca="1">'Get Started  3'!$E122*AK255</f>
        <v>0</v>
      </c>
      <c r="AL36" s="29">
        <f ca="1">'Get Started  3'!$E122*AL255</f>
        <v>0</v>
      </c>
      <c r="AM36" s="29">
        <f ca="1">'Get Started  3'!$E122*AM255</f>
        <v>0</v>
      </c>
      <c r="AN36" s="29">
        <f ca="1">'Get Started  3'!$E122*AN255</f>
        <v>0</v>
      </c>
      <c r="AO36" s="29">
        <f ca="1">'Get Started  3'!$E122*AO255</f>
        <v>0</v>
      </c>
      <c r="AP36" s="29">
        <f ca="1">'Get Started  3'!$E122*AP255</f>
        <v>0</v>
      </c>
      <c r="AQ36" s="29">
        <f ca="1">'Get Started  3'!$E122*AQ255</f>
        <v>0</v>
      </c>
      <c r="AR36" s="29">
        <f ca="1">'Get Started  3'!$E122*AR255</f>
        <v>0</v>
      </c>
      <c r="AS36" s="29">
        <f ca="1">'Get Started  3'!$E122*AS255</f>
        <v>0</v>
      </c>
      <c r="AT36" s="29">
        <f ca="1">'Get Started  3'!$E122*AT255</f>
        <v>0</v>
      </c>
      <c r="AU36" s="29">
        <f ca="1">'Get Started  3'!$E122*AU255</f>
        <v>0</v>
      </c>
      <c r="AV36" s="29">
        <f ca="1">'Get Started  3'!$E122*AV255</f>
        <v>0</v>
      </c>
      <c r="AW36" s="29">
        <f ca="1">'Get Started  3'!$E122*AW255</f>
        <v>0</v>
      </c>
      <c r="AX36" s="29">
        <f ca="1">'Get Started  3'!$E122*AX255</f>
        <v>0</v>
      </c>
      <c r="AY36" s="29">
        <f ca="1">'Get Started  3'!$E122*AY255</f>
        <v>0</v>
      </c>
      <c r="AZ36" s="29">
        <f ca="1">'Get Started  3'!$E122*AZ255</f>
        <v>0</v>
      </c>
      <c r="BA36" s="29">
        <f ca="1">'Get Started  3'!$E122*BA255</f>
        <v>0</v>
      </c>
      <c r="BB36" s="29">
        <f ca="1">'Get Started  3'!$E122*BB255</f>
        <v>0</v>
      </c>
      <c r="BC36" s="29">
        <f ca="1">'Get Started  3'!$E122*BC255</f>
        <v>0</v>
      </c>
      <c r="BD36" s="29">
        <f ca="1">'Get Started  3'!$E122*BD255</f>
        <v>0</v>
      </c>
      <c r="BE36" s="29">
        <f ca="1">'Get Started  3'!$E122*BE255</f>
        <v>0</v>
      </c>
      <c r="BF36" s="29">
        <f ca="1">'Get Started  3'!$E122*BF255</f>
        <v>0</v>
      </c>
      <c r="BG36" s="29">
        <f ca="1">'Get Started  3'!$E122*BG255</f>
        <v>0</v>
      </c>
      <c r="BH36" s="29">
        <f ca="1">'Get Started  3'!$E122*BH255</f>
        <v>0</v>
      </c>
      <c r="BI36" s="29">
        <f ca="1">'Get Started  3'!$E122*BI255</f>
        <v>0</v>
      </c>
      <c r="BJ36" s="29">
        <f ca="1">'Get Started  3'!$E122*BJ255</f>
        <v>0</v>
      </c>
      <c r="BK36" s="29">
        <f ca="1">'Get Started  3'!$E122*BK255</f>
        <v>0</v>
      </c>
      <c r="BL36" s="29">
        <f ca="1">'Get Started  3'!$E122*BL255</f>
        <v>0</v>
      </c>
      <c r="BM36" s="29">
        <f ca="1">'Get Started  3'!$E122*BM255</f>
        <v>0</v>
      </c>
      <c r="BN36" s="29">
        <f ca="1">'Get Started  3'!$E122*BN255</f>
        <v>0</v>
      </c>
      <c r="BO36" s="29">
        <f ca="1">'Get Started  3'!$E122*BO255</f>
        <v>0</v>
      </c>
      <c r="BP36" s="29">
        <f ca="1">'Get Started  3'!$E122*BP255</f>
        <v>0</v>
      </c>
      <c r="BQ36" s="29">
        <f ca="1">'Get Started  3'!$E122*BQ255</f>
        <v>0</v>
      </c>
      <c r="BR36" s="29">
        <f ca="1">'Get Started  3'!$E122*BR255</f>
        <v>0</v>
      </c>
      <c r="BS36" s="29">
        <f ca="1">'Get Started  3'!$E122*BS255</f>
        <v>0</v>
      </c>
      <c r="BT36" s="29">
        <f ca="1">'Get Started  3'!$E122*BT255</f>
        <v>0</v>
      </c>
      <c r="BU36" s="29">
        <f ca="1">'Get Started  3'!$E122*BU255</f>
        <v>0</v>
      </c>
      <c r="BV36" s="29">
        <f ca="1">'Get Started  3'!$E122*BV255</f>
        <v>0</v>
      </c>
      <c r="BW36" s="29">
        <f ca="1">'Get Started  3'!$E122*BW255</f>
        <v>0</v>
      </c>
      <c r="BX36" s="29">
        <f ca="1">'Get Started  3'!$E122*BX255</f>
        <v>0</v>
      </c>
      <c r="BY36" s="29">
        <f ca="1">'Get Started  3'!$E122*BY255</f>
        <v>0</v>
      </c>
      <c r="BZ36" s="29">
        <f ca="1">'Get Started  3'!$E122*BZ255</f>
        <v>0</v>
      </c>
      <c r="CA36" s="29">
        <f ca="1">'Get Started  3'!$E122*CA255</f>
        <v>0</v>
      </c>
      <c r="CB36" s="29">
        <f ca="1">'Get Started  3'!$E122*CB255</f>
        <v>0</v>
      </c>
      <c r="CC36" s="29">
        <f ca="1">'Get Started  3'!$E122*CC255</f>
        <v>0</v>
      </c>
      <c r="CD36" s="29">
        <f ca="1">'Get Started  3'!$E122*CD255</f>
        <v>0</v>
      </c>
      <c r="CE36" s="29">
        <f ca="1">'Get Started  3'!$E122*CE255</f>
        <v>0</v>
      </c>
      <c r="CF36" s="29">
        <f ca="1">'Get Started  3'!$E122*CF255</f>
        <v>0</v>
      </c>
      <c r="CG36" s="29">
        <f ca="1">'Get Started  3'!$E122*CG255</f>
        <v>0</v>
      </c>
      <c r="CH36" s="29">
        <f ca="1">'Get Started  3'!$E122*CH255</f>
        <v>0</v>
      </c>
    </row>
    <row r="37" spans="1:86" ht="13">
      <c r="B37" s="15" t="s">
        <v>265</v>
      </c>
      <c r="D37" s="15" t="s">
        <v>238</v>
      </c>
      <c r="E37" s="29">
        <f t="shared" ca="1" si="13"/>
        <v>20052083.333333332</v>
      </c>
      <c r="F37" s="29"/>
      <c r="G37" s="29">
        <f ca="1">G33*'Get Started  3'!$F100/'Get Started  3'!$E100+G33+G32</f>
        <v>1203125</v>
      </c>
      <c r="H37" s="29">
        <f ca="1">H33*'Get Started  3'!$F100/'Get Started  3'!$E100+H33+H32</f>
        <v>1203125</v>
      </c>
      <c r="I37" s="29">
        <f ca="1">I33*'Get Started  3'!$F100/'Get Started  3'!$E100+I33+I32</f>
        <v>1203125</v>
      </c>
      <c r="J37" s="29">
        <f ca="1">J33*'Get Started  3'!$F100/'Get Started  3'!$E100+J33+J32</f>
        <v>1203125</v>
      </c>
      <c r="K37" s="29">
        <f ca="1">K33*'Get Started  3'!$F100/'Get Started  3'!$E100+K33+K32</f>
        <v>1203125</v>
      </c>
      <c r="L37" s="29">
        <f ca="1">L33*'Get Started  3'!$F100/'Get Started  3'!$E100+L33+L32</f>
        <v>1203125</v>
      </c>
      <c r="M37" s="29">
        <f ca="1">M33*'Get Started  3'!$F100/'Get Started  3'!$E100+M33+M32</f>
        <v>1203125</v>
      </c>
      <c r="N37" s="29">
        <f ca="1">N33*'Get Started  3'!$F100/'Get Started  3'!$E100+N33+N32</f>
        <v>1203125</v>
      </c>
      <c r="O37" s="29">
        <f ca="1">O33*'Get Started  3'!$F100/'Get Started  3'!$E100+O33+O32</f>
        <v>1203125</v>
      </c>
      <c r="P37" s="29">
        <f ca="1">P33*'Get Started  3'!$F100/'Get Started  3'!$E100+P33+P32</f>
        <v>1203125</v>
      </c>
      <c r="Q37" s="29">
        <f ca="1">Q33*'Get Started  3'!$F100/'Get Started  3'!$E100+Q33+Q32</f>
        <v>1203125</v>
      </c>
      <c r="R37" s="29">
        <f ca="1">R33*'Get Started  3'!$F100/'Get Started  3'!$E100+R33+R32</f>
        <v>1203125</v>
      </c>
      <c r="S37" s="29">
        <f ca="1">S33*'Get Started  3'!$F100/'Get Started  3'!$E100+S33+S32</f>
        <v>1403645.8333333333</v>
      </c>
      <c r="T37" s="29">
        <f ca="1">T33*'Get Started  3'!$F100/'Get Started  3'!$E100+T33+T32</f>
        <v>1403645.8333333333</v>
      </c>
      <c r="U37" s="29">
        <f ca="1">U33*'Get Started  3'!$F100/'Get Started  3'!$E100+U33+U32</f>
        <v>1403645.8333333333</v>
      </c>
      <c r="V37" s="29">
        <f ca="1">V33*'Get Started  3'!$F100/'Get Started  3'!$E100+V33+V32</f>
        <v>1403645.8333333333</v>
      </c>
      <c r="W37" s="29">
        <f>W33*'Get Started  3'!$F100/'Get Started  3'!$E100+W33+W32</f>
        <v>0</v>
      </c>
      <c r="X37" s="29">
        <f>X33*'Get Started  3'!$F100/'Get Started  3'!$E100+X33+X32</f>
        <v>0</v>
      </c>
      <c r="Y37" s="29">
        <f>Y33*'Get Started  3'!$F100/'Get Started  3'!$E100+Y33+Y32</f>
        <v>0</v>
      </c>
      <c r="Z37" s="29">
        <f>Z33*'Get Started  3'!$F100/'Get Started  3'!$E100+Z33+Z32</f>
        <v>0</v>
      </c>
      <c r="AA37" s="29">
        <f>AA33*'Get Started  3'!$F100/'Get Started  3'!$E100+AA33+AA32</f>
        <v>0</v>
      </c>
      <c r="AB37" s="29">
        <f>AB33*'Get Started  3'!$F100/'Get Started  3'!$E100+AB33+AB32</f>
        <v>0</v>
      </c>
      <c r="AC37" s="29">
        <f>AC33*'Get Started  3'!$F100/'Get Started  3'!$E100+AC33+AC32</f>
        <v>0</v>
      </c>
      <c r="AD37" s="29">
        <f>AD33*'Get Started  3'!$F100/'Get Started  3'!$E100+AD33+AD32</f>
        <v>0</v>
      </c>
      <c r="AE37" s="29">
        <f>AE33*'Get Started  3'!$F100/'Get Started  3'!$E100+AE33+AE32</f>
        <v>0</v>
      </c>
      <c r="AF37" s="29">
        <f>AF33*'Get Started  3'!$F100/'Get Started  3'!$E100+AF33+AF32</f>
        <v>0</v>
      </c>
      <c r="AG37" s="29">
        <f>AG33*'Get Started  3'!$F100/'Get Started  3'!$E100+AG33+AG32</f>
        <v>0</v>
      </c>
      <c r="AH37" s="29">
        <f>AH33*'Get Started  3'!$F100/'Get Started  3'!$E100+AH33+AH32</f>
        <v>0</v>
      </c>
      <c r="AI37" s="29">
        <f>AI33*'Get Started  3'!$F100/'Get Started  3'!$E100+AI33+AI32</f>
        <v>0</v>
      </c>
      <c r="AJ37" s="29">
        <f>AJ33*'Get Started  3'!$F100/'Get Started  3'!$E100+AJ33+AJ32</f>
        <v>0</v>
      </c>
      <c r="AK37" s="29">
        <f>AK33*'Get Started  3'!$F100/'Get Started  3'!$E100+AK33+AK32</f>
        <v>0</v>
      </c>
      <c r="AL37" s="29">
        <f>AL33*'Get Started  3'!$F100/'Get Started  3'!$E100+AL33+AL32</f>
        <v>0</v>
      </c>
      <c r="AM37" s="29">
        <f>AM33*'Get Started  3'!$F100/'Get Started  3'!$E100+AM33+AM32</f>
        <v>0</v>
      </c>
      <c r="AN37" s="29">
        <f>AN33*'Get Started  3'!$F100/'Get Started  3'!$E100+AN33+AN32</f>
        <v>0</v>
      </c>
      <c r="AO37" s="29">
        <f>AO33*'Get Started  3'!$F100/'Get Started  3'!$E100+AO33+AO32</f>
        <v>0</v>
      </c>
      <c r="AP37" s="29">
        <f>AP33*'Get Started  3'!$F100/'Get Started  3'!$E100+AP33+AP32</f>
        <v>0</v>
      </c>
      <c r="AQ37" s="29">
        <f>AQ33*'Get Started  3'!$F100/'Get Started  3'!$E100+AQ33+AQ32</f>
        <v>0</v>
      </c>
      <c r="AR37" s="29">
        <f>AR33*'Get Started  3'!$F100/'Get Started  3'!$E100+AR33+AR32</f>
        <v>0</v>
      </c>
      <c r="AS37" s="29">
        <f>AS33*'Get Started  3'!$F100/'Get Started  3'!$E100+AS33+AS32</f>
        <v>0</v>
      </c>
      <c r="AT37" s="29">
        <f>AT33*'Get Started  3'!$F100/'Get Started  3'!$E100+AT33+AT32</f>
        <v>0</v>
      </c>
      <c r="AU37" s="29">
        <f>AU33*'Get Started  3'!$F100/'Get Started  3'!$E100+AU33+AU32</f>
        <v>0</v>
      </c>
      <c r="AV37" s="29">
        <f>AV33*'Get Started  3'!$F100/'Get Started  3'!$E100+AV33+AV32</f>
        <v>0</v>
      </c>
      <c r="AW37" s="29">
        <f>AW33*'Get Started  3'!$F100/'Get Started  3'!$E100+AW33+AW32</f>
        <v>0</v>
      </c>
      <c r="AX37" s="29">
        <f>AX33*'Get Started  3'!$F100/'Get Started  3'!$E100+AX33+AX32</f>
        <v>0</v>
      </c>
      <c r="AY37" s="29">
        <f>AY33*'Get Started  3'!$F100/'Get Started  3'!$E100+AY33+AY32</f>
        <v>0</v>
      </c>
      <c r="AZ37" s="29">
        <f>AZ33*'Get Started  3'!$F100/'Get Started  3'!$E100+AZ33+AZ32</f>
        <v>0</v>
      </c>
      <c r="BA37" s="29">
        <f>BA33*'Get Started  3'!$F100/'Get Started  3'!$E100+BA33+BA32</f>
        <v>0</v>
      </c>
      <c r="BB37" s="29">
        <f>BB33*'Get Started  3'!$F100/'Get Started  3'!$E100+BB33+BB32</f>
        <v>0</v>
      </c>
      <c r="BC37" s="29">
        <f>BC33*'Get Started  3'!$F100/'Get Started  3'!$E100+BC33+BC32</f>
        <v>0</v>
      </c>
      <c r="BD37" s="29">
        <f>BD33*'Get Started  3'!$F100/'Get Started  3'!$E100+BD33+BD32</f>
        <v>0</v>
      </c>
      <c r="BE37" s="29">
        <f>BE33*'Get Started  3'!$F100/'Get Started  3'!$E100+BE33+BE32</f>
        <v>0</v>
      </c>
      <c r="BF37" s="29">
        <f>BF33*'Get Started  3'!$F100/'Get Started  3'!$E100+BF33+BF32</f>
        <v>0</v>
      </c>
      <c r="BG37" s="29">
        <f>BG33*'Get Started  3'!$F100/'Get Started  3'!$E100+BG33+BG32</f>
        <v>0</v>
      </c>
      <c r="BH37" s="29">
        <f>BH33*'Get Started  3'!$F100/'Get Started  3'!$E100+BH33+BH32</f>
        <v>0</v>
      </c>
      <c r="BI37" s="29">
        <f>BI33*'Get Started  3'!$F100/'Get Started  3'!$E100+BI33+BI32</f>
        <v>0</v>
      </c>
      <c r="BJ37" s="29">
        <f>BJ33*'Get Started  3'!$F100/'Get Started  3'!$E100+BJ33+BJ32</f>
        <v>0</v>
      </c>
      <c r="BK37" s="29">
        <f>BK33*'Get Started  3'!$F100/'Get Started  3'!$E100+BK33+BK32</f>
        <v>0</v>
      </c>
      <c r="BL37" s="29">
        <f>BL33*'Get Started  3'!$F100/'Get Started  3'!$E100+BL33+BL32</f>
        <v>0</v>
      </c>
      <c r="BM37" s="29">
        <f>BM33*'Get Started  3'!$F100/'Get Started  3'!$E100+BM33+BM32</f>
        <v>0</v>
      </c>
      <c r="BN37" s="29">
        <f>BN33*'Get Started  3'!$F100/'Get Started  3'!$E100+BN33+BN32</f>
        <v>0</v>
      </c>
      <c r="BO37" s="29">
        <f>BO33*'Get Started  3'!$F100/'Get Started  3'!$E100+BO33+BO32</f>
        <v>0</v>
      </c>
      <c r="BP37" s="29">
        <f>BP33*'Get Started  3'!$F100/'Get Started  3'!$E100+BP33+BP32</f>
        <v>0</v>
      </c>
      <c r="BQ37" s="29">
        <f>BQ33*'Get Started  3'!$F100/'Get Started  3'!$E100+BQ33+BQ32</f>
        <v>0</v>
      </c>
      <c r="BR37" s="29">
        <f>BR33*'Get Started  3'!$F100/'Get Started  3'!$E100+BR33+BR32</f>
        <v>0</v>
      </c>
      <c r="BS37" s="29">
        <f>BS33*'Get Started  3'!$F100/'Get Started  3'!$E100+BS33+BS32</f>
        <v>0</v>
      </c>
      <c r="BT37" s="29">
        <f>BT33*'Get Started  3'!$F100/'Get Started  3'!$E100+BT33+BT32</f>
        <v>0</v>
      </c>
      <c r="BU37" s="29">
        <f>BU33*'Get Started  3'!$F100/'Get Started  3'!$E100+BU33+BU32</f>
        <v>0</v>
      </c>
      <c r="BV37" s="29">
        <f>BV33*'Get Started  3'!$F100/'Get Started  3'!$E100+BV33+BV32</f>
        <v>0</v>
      </c>
      <c r="BW37" s="29">
        <f>BW33*'Get Started  3'!$F100/'Get Started  3'!$E100+BW33+BW32</f>
        <v>0</v>
      </c>
      <c r="BX37" s="29">
        <f>BX33*'Get Started  3'!$F100/'Get Started  3'!$E100+BX33+BX32</f>
        <v>0</v>
      </c>
      <c r="BY37" s="29">
        <f>BY33*'Get Started  3'!$F100/'Get Started  3'!$E100+BY33+BY32</f>
        <v>0</v>
      </c>
      <c r="BZ37" s="29">
        <f>BZ33*'Get Started  3'!$F100/'Get Started  3'!$E100+BZ33+BZ32</f>
        <v>0</v>
      </c>
      <c r="CA37" s="29">
        <f>CA33*'Get Started  3'!$F100/'Get Started  3'!$E100+CA33+CA32</f>
        <v>0</v>
      </c>
      <c r="CB37" s="29">
        <f>CB33*'Get Started  3'!$F100/'Get Started  3'!$E100+CB33+CB32</f>
        <v>0</v>
      </c>
      <c r="CC37" s="29">
        <f>CC33*'Get Started  3'!$F100/'Get Started  3'!$E100+CC33+CC32</f>
        <v>0</v>
      </c>
      <c r="CD37" s="29">
        <f>CD33*'Get Started  3'!$F100/'Get Started  3'!$E100+CD33+CD32</f>
        <v>0</v>
      </c>
      <c r="CE37" s="29">
        <f>CE33*'Get Started  3'!$F100/'Get Started  3'!$E100+CE33+CE32</f>
        <v>0</v>
      </c>
      <c r="CF37" s="29">
        <f>CF33*'Get Started  3'!$F100/'Get Started  3'!$E100+CF33+CF32</f>
        <v>0</v>
      </c>
      <c r="CG37" s="29">
        <f>CG33*'Get Started  3'!$F100/'Get Started  3'!$E100+CG33+CG32</f>
        <v>0</v>
      </c>
      <c r="CH37" s="29">
        <f>CH33*'Get Started  3'!$F100/'Get Started  3'!$E100+CH33+CH32</f>
        <v>0</v>
      </c>
    </row>
    <row r="38" spans="1:86" ht="13">
      <c r="B38" s="15" t="s">
        <v>266</v>
      </c>
      <c r="D38" s="15" t="s">
        <v>238</v>
      </c>
      <c r="E38" s="29">
        <f t="shared" ca="1" si="13"/>
        <v>20052083.333333332</v>
      </c>
      <c r="F38" s="29"/>
      <c r="G38" s="29">
        <f t="shared" ref="G38:CH38" ca="1" si="15">SUM(G33,G36,G32)</f>
        <v>1203125</v>
      </c>
      <c r="H38" s="29">
        <f t="shared" ca="1" si="15"/>
        <v>1203125</v>
      </c>
      <c r="I38" s="29">
        <f t="shared" ca="1" si="15"/>
        <v>1203125</v>
      </c>
      <c r="J38" s="29">
        <f t="shared" ca="1" si="15"/>
        <v>1203125</v>
      </c>
      <c r="K38" s="29">
        <f t="shared" ca="1" si="15"/>
        <v>1203125</v>
      </c>
      <c r="L38" s="29">
        <f t="shared" ca="1" si="15"/>
        <v>1203125</v>
      </c>
      <c r="M38" s="29">
        <f t="shared" ca="1" si="15"/>
        <v>1203125</v>
      </c>
      <c r="N38" s="29">
        <f t="shared" ca="1" si="15"/>
        <v>1203125</v>
      </c>
      <c r="O38" s="29">
        <f t="shared" ca="1" si="15"/>
        <v>1203125</v>
      </c>
      <c r="P38" s="29">
        <f t="shared" ca="1" si="15"/>
        <v>1203125</v>
      </c>
      <c r="Q38" s="29">
        <f t="shared" ca="1" si="15"/>
        <v>1203125</v>
      </c>
      <c r="R38" s="29">
        <f t="shared" ca="1" si="15"/>
        <v>1203125</v>
      </c>
      <c r="S38" s="29">
        <f t="shared" ca="1" si="15"/>
        <v>1403645.8333333333</v>
      </c>
      <c r="T38" s="29">
        <f t="shared" ca="1" si="15"/>
        <v>1403645.8333333333</v>
      </c>
      <c r="U38" s="29">
        <f t="shared" ca="1" si="15"/>
        <v>1403645.8333333333</v>
      </c>
      <c r="V38" s="29">
        <f t="shared" ca="1" si="15"/>
        <v>1403645.8333333333</v>
      </c>
      <c r="W38" s="29">
        <f t="shared" ca="1" si="15"/>
        <v>0</v>
      </c>
      <c r="X38" s="29">
        <f t="shared" ca="1" si="15"/>
        <v>0</v>
      </c>
      <c r="Y38" s="29">
        <f t="shared" ca="1" si="15"/>
        <v>0</v>
      </c>
      <c r="Z38" s="29">
        <f t="shared" ca="1" si="15"/>
        <v>0</v>
      </c>
      <c r="AA38" s="29">
        <f t="shared" ca="1" si="15"/>
        <v>0</v>
      </c>
      <c r="AB38" s="29">
        <f t="shared" ca="1" si="15"/>
        <v>0</v>
      </c>
      <c r="AC38" s="29">
        <f t="shared" ca="1" si="15"/>
        <v>0</v>
      </c>
      <c r="AD38" s="29">
        <f t="shared" ca="1" si="15"/>
        <v>0</v>
      </c>
      <c r="AE38" s="29">
        <f t="shared" ca="1" si="15"/>
        <v>0</v>
      </c>
      <c r="AF38" s="29">
        <f t="shared" ca="1" si="15"/>
        <v>0</v>
      </c>
      <c r="AG38" s="29">
        <f t="shared" ca="1" si="15"/>
        <v>0</v>
      </c>
      <c r="AH38" s="29">
        <f t="shared" ca="1" si="15"/>
        <v>0</v>
      </c>
      <c r="AI38" s="29">
        <f t="shared" ca="1" si="15"/>
        <v>0</v>
      </c>
      <c r="AJ38" s="29">
        <f t="shared" ca="1" si="15"/>
        <v>0</v>
      </c>
      <c r="AK38" s="29">
        <f t="shared" ca="1" si="15"/>
        <v>0</v>
      </c>
      <c r="AL38" s="29">
        <f t="shared" ca="1" si="15"/>
        <v>0</v>
      </c>
      <c r="AM38" s="29">
        <f t="shared" ca="1" si="15"/>
        <v>0</v>
      </c>
      <c r="AN38" s="29">
        <f t="shared" ca="1" si="15"/>
        <v>0</v>
      </c>
      <c r="AO38" s="29">
        <f t="shared" ca="1" si="15"/>
        <v>0</v>
      </c>
      <c r="AP38" s="29">
        <f t="shared" ca="1" si="15"/>
        <v>0</v>
      </c>
      <c r="AQ38" s="29">
        <f t="shared" ca="1" si="15"/>
        <v>0</v>
      </c>
      <c r="AR38" s="29">
        <f t="shared" ca="1" si="15"/>
        <v>0</v>
      </c>
      <c r="AS38" s="29">
        <f t="shared" ca="1" si="15"/>
        <v>0</v>
      </c>
      <c r="AT38" s="29">
        <f t="shared" ca="1" si="15"/>
        <v>0</v>
      </c>
      <c r="AU38" s="29">
        <f t="shared" ca="1" si="15"/>
        <v>0</v>
      </c>
      <c r="AV38" s="29">
        <f t="shared" ca="1" si="15"/>
        <v>0</v>
      </c>
      <c r="AW38" s="29">
        <f t="shared" ca="1" si="15"/>
        <v>0</v>
      </c>
      <c r="AX38" s="29">
        <f t="shared" ca="1" si="15"/>
        <v>0</v>
      </c>
      <c r="AY38" s="29">
        <f t="shared" ca="1" si="15"/>
        <v>0</v>
      </c>
      <c r="AZ38" s="29">
        <f t="shared" ca="1" si="15"/>
        <v>0</v>
      </c>
      <c r="BA38" s="29">
        <f t="shared" ca="1" si="15"/>
        <v>0</v>
      </c>
      <c r="BB38" s="29">
        <f t="shared" ca="1" si="15"/>
        <v>0</v>
      </c>
      <c r="BC38" s="29">
        <f t="shared" ca="1" si="15"/>
        <v>0</v>
      </c>
      <c r="BD38" s="29">
        <f t="shared" ca="1" si="15"/>
        <v>0</v>
      </c>
      <c r="BE38" s="29">
        <f t="shared" ca="1" si="15"/>
        <v>0</v>
      </c>
      <c r="BF38" s="29">
        <f t="shared" ca="1" si="15"/>
        <v>0</v>
      </c>
      <c r="BG38" s="29">
        <f t="shared" ca="1" si="15"/>
        <v>0</v>
      </c>
      <c r="BH38" s="29">
        <f t="shared" ca="1" si="15"/>
        <v>0</v>
      </c>
      <c r="BI38" s="29">
        <f t="shared" ca="1" si="15"/>
        <v>0</v>
      </c>
      <c r="BJ38" s="29">
        <f t="shared" ca="1" si="15"/>
        <v>0</v>
      </c>
      <c r="BK38" s="29">
        <f t="shared" ca="1" si="15"/>
        <v>0</v>
      </c>
      <c r="BL38" s="29">
        <f t="shared" ca="1" si="15"/>
        <v>0</v>
      </c>
      <c r="BM38" s="29">
        <f t="shared" ca="1" si="15"/>
        <v>0</v>
      </c>
      <c r="BN38" s="29">
        <f t="shared" ca="1" si="15"/>
        <v>0</v>
      </c>
      <c r="BO38" s="29">
        <f t="shared" ca="1" si="15"/>
        <v>0</v>
      </c>
      <c r="BP38" s="29">
        <f t="shared" ca="1" si="15"/>
        <v>0</v>
      </c>
      <c r="BQ38" s="29">
        <f t="shared" ca="1" si="15"/>
        <v>0</v>
      </c>
      <c r="BR38" s="29">
        <f t="shared" ca="1" si="15"/>
        <v>0</v>
      </c>
      <c r="BS38" s="29">
        <f t="shared" ca="1" si="15"/>
        <v>0</v>
      </c>
      <c r="BT38" s="29">
        <f t="shared" ca="1" si="15"/>
        <v>0</v>
      </c>
      <c r="BU38" s="29">
        <f t="shared" ca="1" si="15"/>
        <v>0</v>
      </c>
      <c r="BV38" s="29">
        <f t="shared" ca="1" si="15"/>
        <v>0</v>
      </c>
      <c r="BW38" s="29">
        <f t="shared" ca="1" si="15"/>
        <v>0</v>
      </c>
      <c r="BX38" s="29">
        <f t="shared" ca="1" si="15"/>
        <v>0</v>
      </c>
      <c r="BY38" s="29">
        <f t="shared" ca="1" si="15"/>
        <v>0</v>
      </c>
      <c r="BZ38" s="29">
        <f t="shared" ca="1" si="15"/>
        <v>0</v>
      </c>
      <c r="CA38" s="29">
        <f t="shared" ca="1" si="15"/>
        <v>0</v>
      </c>
      <c r="CB38" s="29">
        <f t="shared" ca="1" si="15"/>
        <v>0</v>
      </c>
      <c r="CC38" s="29">
        <f t="shared" ca="1" si="15"/>
        <v>0</v>
      </c>
      <c r="CD38" s="29">
        <f t="shared" ca="1" si="15"/>
        <v>0</v>
      </c>
      <c r="CE38" s="29">
        <f t="shared" ca="1" si="15"/>
        <v>0</v>
      </c>
      <c r="CF38" s="29">
        <f t="shared" ca="1" si="15"/>
        <v>0</v>
      </c>
      <c r="CG38" s="29">
        <f t="shared" ca="1" si="15"/>
        <v>0</v>
      </c>
      <c r="CH38" s="29">
        <f t="shared" ca="1" si="15"/>
        <v>0</v>
      </c>
    </row>
    <row r="39" spans="1:86" ht="13">
      <c r="B39" s="15" t="s">
        <v>267</v>
      </c>
      <c r="D39" s="15" t="s">
        <v>238</v>
      </c>
      <c r="E39" s="29">
        <f t="shared" si="13"/>
        <v>100000</v>
      </c>
      <c r="F39" s="29"/>
      <c r="G39" s="29">
        <f>IF(G4=1,'Get Started  3'!$E11,0)</f>
        <v>100000</v>
      </c>
      <c r="H39" s="29">
        <f>IF(H4=1,'Get Started  3'!$E11,0)</f>
        <v>0</v>
      </c>
      <c r="I39" s="29">
        <f>IF(I4=1,'Get Started  3'!$E11,0)</f>
        <v>0</v>
      </c>
      <c r="J39" s="29">
        <f>IF(J4=1,'Get Started  3'!$E11,0)</f>
        <v>0</v>
      </c>
      <c r="K39" s="29">
        <f>IF(K4=1,'Get Started  3'!$E11,0)</f>
        <v>0</v>
      </c>
      <c r="L39" s="29">
        <f>IF(L4=1,'Get Started  3'!$E11,0)</f>
        <v>0</v>
      </c>
      <c r="M39" s="29">
        <f>IF(M4=1,'Get Started  3'!$E11,0)</f>
        <v>0</v>
      </c>
      <c r="N39" s="29">
        <f>IF(N4=1,'Get Started  3'!$E11,0)</f>
        <v>0</v>
      </c>
      <c r="O39" s="29">
        <f>IF(O4=1,'Get Started  3'!$E11,0)</f>
        <v>0</v>
      </c>
      <c r="P39" s="29">
        <f>IF(P4=1,'Get Started  3'!$E11,0)</f>
        <v>0</v>
      </c>
      <c r="Q39" s="29">
        <f>IF(Q4=1,'Get Started  3'!$E11,0)</f>
        <v>0</v>
      </c>
      <c r="R39" s="29">
        <f>IF(R4=1,'Get Started  3'!$E11,0)</f>
        <v>0</v>
      </c>
      <c r="S39" s="29">
        <f>IF(S4=1,'Get Started  3'!$E11,0)</f>
        <v>0</v>
      </c>
      <c r="T39" s="29">
        <f>IF(T4=1,'Get Started  3'!$E11,0)</f>
        <v>0</v>
      </c>
      <c r="U39" s="29">
        <f>IF(U4=1,'Get Started  3'!$E11,0)</f>
        <v>0</v>
      </c>
      <c r="V39" s="29">
        <f>IF(V4=1,'Get Started  3'!$E11,0)</f>
        <v>0</v>
      </c>
      <c r="W39" s="29">
        <f>IF(W4=1,'Get Started  3'!$E11,0)</f>
        <v>0</v>
      </c>
      <c r="X39" s="29">
        <f>IF(X4=1,'Get Started  3'!$E11,0)</f>
        <v>0</v>
      </c>
      <c r="Y39" s="29">
        <f>IF(Y4=1,'Get Started  3'!$E11,0)</f>
        <v>0</v>
      </c>
      <c r="Z39" s="29">
        <f>IF(Z4=1,'Get Started  3'!$E11,0)</f>
        <v>0</v>
      </c>
      <c r="AA39" s="29">
        <f>IF(AA4=1,'Get Started  3'!$E11,0)</f>
        <v>0</v>
      </c>
      <c r="AB39" s="29">
        <f>IF(AB4=1,'Get Started  3'!$E11,0)</f>
        <v>0</v>
      </c>
      <c r="AC39" s="29">
        <f>IF(AC4=1,'Get Started  3'!$E11,0)</f>
        <v>0</v>
      </c>
      <c r="AD39" s="29">
        <f>IF(AD4=1,'Get Started  3'!$E11,0)</f>
        <v>0</v>
      </c>
      <c r="AE39" s="29">
        <f>IF(AE4=1,'Get Started  3'!$E11,0)</f>
        <v>0</v>
      </c>
      <c r="AF39" s="29">
        <f>IF(AF4=1,'Get Started  3'!$E11,0)</f>
        <v>0</v>
      </c>
      <c r="AG39" s="29">
        <f>IF(AG4=1,'Get Started  3'!$E11,0)</f>
        <v>0</v>
      </c>
      <c r="AH39" s="29">
        <f>IF(AH4=1,'Get Started  3'!$E11,0)</f>
        <v>0</v>
      </c>
      <c r="AI39" s="29">
        <f>IF(AI4=1,'Get Started  3'!$E11,0)</f>
        <v>0</v>
      </c>
      <c r="AJ39" s="29">
        <f>IF(AJ4=1,'Get Started  3'!$E11,0)</f>
        <v>0</v>
      </c>
      <c r="AK39" s="29">
        <f>IF(AK4=1,'Get Started  3'!$E11,0)</f>
        <v>0</v>
      </c>
      <c r="AL39" s="29">
        <f>IF(AL4=1,'Get Started  3'!$E11,0)</f>
        <v>0</v>
      </c>
      <c r="AM39" s="29">
        <f>IF(AM4=1,'Get Started  3'!$E11,0)</f>
        <v>0</v>
      </c>
      <c r="AN39" s="29">
        <f>IF(AN4=1,'Get Started  3'!$E11,0)</f>
        <v>0</v>
      </c>
      <c r="AO39" s="29">
        <f>IF(AO4=1,'Get Started  3'!$E11,0)</f>
        <v>0</v>
      </c>
      <c r="AP39" s="29">
        <f>IF(AP4=1,'Get Started  3'!$E11,0)</f>
        <v>0</v>
      </c>
      <c r="AQ39" s="29">
        <f>IF(AQ4=1,'Get Started  3'!$E11,0)</f>
        <v>0</v>
      </c>
      <c r="AR39" s="29">
        <f>IF(AR4=1,'Get Started  3'!$E11,0)</f>
        <v>0</v>
      </c>
      <c r="AS39" s="29">
        <f>IF(AS4=1,'Get Started  3'!$E11,0)</f>
        <v>0</v>
      </c>
      <c r="AT39" s="29">
        <f>IF(AT4=1,'Get Started  3'!$E11,0)</f>
        <v>0</v>
      </c>
      <c r="AU39" s="29">
        <f>IF(AU4=1,'Get Started  3'!$E11,0)</f>
        <v>0</v>
      </c>
      <c r="AV39" s="29">
        <f>IF(AV4=1,'Get Started  3'!$E11,0)</f>
        <v>0</v>
      </c>
      <c r="AW39" s="29">
        <f>IF(AW4=1,'Get Started  3'!$E11,0)</f>
        <v>0</v>
      </c>
      <c r="AX39" s="29">
        <f>IF(AX4=1,'Get Started  3'!$E11,0)</f>
        <v>0</v>
      </c>
      <c r="AY39" s="29">
        <f>IF(AY4=1,'Get Started  3'!$E11,0)</f>
        <v>0</v>
      </c>
      <c r="AZ39" s="29">
        <f>IF(AZ4=1,'Get Started  3'!$E11,0)</f>
        <v>0</v>
      </c>
      <c r="BA39" s="29">
        <f>IF(BA4=1,'Get Started  3'!$E11,0)</f>
        <v>0</v>
      </c>
      <c r="BB39" s="29">
        <f>IF(BB4=1,'Get Started  3'!$E11,0)</f>
        <v>0</v>
      </c>
      <c r="BC39" s="29">
        <f>IF(BC4=1,'Get Started  3'!$E11,0)</f>
        <v>0</v>
      </c>
      <c r="BD39" s="29">
        <f>IF(BD4=1,'Get Started  3'!$E11,0)</f>
        <v>0</v>
      </c>
      <c r="BE39" s="29">
        <f>IF(BE4=1,'Get Started  3'!$E11,0)</f>
        <v>0</v>
      </c>
      <c r="BF39" s="29">
        <f>IF(BF4=1,'Get Started  3'!$E11,0)</f>
        <v>0</v>
      </c>
      <c r="BG39" s="29">
        <f>IF(BG4=1,'Get Started  3'!$E11,0)</f>
        <v>0</v>
      </c>
      <c r="BH39" s="29">
        <f>IF(BH4=1,'Get Started  3'!$E11,0)</f>
        <v>0</v>
      </c>
      <c r="BI39" s="29">
        <f>IF(BI4=1,'Get Started  3'!$E11,0)</f>
        <v>0</v>
      </c>
      <c r="BJ39" s="29">
        <f>IF(BJ4=1,'Get Started  3'!$E11,0)</f>
        <v>0</v>
      </c>
      <c r="BK39" s="29">
        <f>IF(BK4=1,'Get Started  3'!$E11,0)</f>
        <v>0</v>
      </c>
      <c r="BL39" s="29">
        <f>IF(BL4=1,'Get Started  3'!$E11,0)</f>
        <v>0</v>
      </c>
      <c r="BM39" s="29">
        <f>IF(BM4=1,'Get Started  3'!$E11,0)</f>
        <v>0</v>
      </c>
      <c r="BN39" s="29">
        <f>IF(BN4=1,'Get Started  3'!$E11,0)</f>
        <v>0</v>
      </c>
      <c r="BO39" s="29">
        <f>IF(BO4=1,'Get Started  3'!$E11,0)</f>
        <v>0</v>
      </c>
      <c r="BP39" s="29">
        <f>IF(BP4=1,'Get Started  3'!$E11,0)</f>
        <v>0</v>
      </c>
      <c r="BQ39" s="29">
        <f>IF(BQ4=1,'Get Started  3'!$E11,0)</f>
        <v>0</v>
      </c>
      <c r="BR39" s="29">
        <f>IF(BR4=1,'Get Started  3'!$E11,0)</f>
        <v>0</v>
      </c>
      <c r="BS39" s="29">
        <f>IF(BS4=1,'Get Started  3'!$E11,0)</f>
        <v>0</v>
      </c>
      <c r="BT39" s="29">
        <f>IF(BT4=1,'Get Started  3'!$E11,0)</f>
        <v>0</v>
      </c>
      <c r="BU39" s="29">
        <f>IF(BU4=1,'Get Started  3'!$E11,0)</f>
        <v>0</v>
      </c>
      <c r="BV39" s="29">
        <f>IF(BV4=1,'Get Started  3'!$E11,0)</f>
        <v>0</v>
      </c>
      <c r="BW39" s="29">
        <f>IF(BW4=1,'Get Started  3'!$E11,0)</f>
        <v>0</v>
      </c>
      <c r="BX39" s="29">
        <f>IF(BX4=1,'Get Started  3'!$E11,0)</f>
        <v>0</v>
      </c>
      <c r="BY39" s="29">
        <f>IF(BY4=1,'Get Started  3'!$E11,0)</f>
        <v>0</v>
      </c>
      <c r="BZ39" s="29">
        <f>IF(BZ4=1,'Get Started  3'!$E11,0)</f>
        <v>0</v>
      </c>
      <c r="CA39" s="29">
        <f>IF(CA4=1,'Get Started  3'!$E11,0)</f>
        <v>0</v>
      </c>
      <c r="CB39" s="29">
        <f>IF(CB4=1,'Get Started  3'!$E11,0)</f>
        <v>0</v>
      </c>
      <c r="CC39" s="29">
        <f>IF(CC4=1,'Get Started  3'!$E11,0)</f>
        <v>0</v>
      </c>
      <c r="CD39" s="29">
        <f>IF(CD4=1,'Get Started  3'!$E11,0)</f>
        <v>0</v>
      </c>
      <c r="CE39" s="29">
        <f>IF(CE4=1,'Get Started  3'!$E11,0)</f>
        <v>0</v>
      </c>
      <c r="CF39" s="29">
        <f>IF(CF4=1,'Get Started  3'!$E11,0)</f>
        <v>0</v>
      </c>
      <c r="CG39" s="29">
        <f>IF(CG4=1,'Get Started  3'!$E11,0)</f>
        <v>0</v>
      </c>
      <c r="CH39" s="29">
        <f>IF(CH4=1,'Get Started  3'!$E11,0)</f>
        <v>0</v>
      </c>
    </row>
    <row r="40" spans="1:86" ht="13">
      <c r="B40" s="15" t="s">
        <v>268</v>
      </c>
      <c r="C40" s="15"/>
      <c r="D40" s="15" t="s">
        <v>238</v>
      </c>
      <c r="E40" s="29">
        <f t="shared" si="13"/>
        <v>750000</v>
      </c>
      <c r="F40" s="29"/>
      <c r="G40" s="29">
        <f>'Get Started  3'!$E12*G10/4</f>
        <v>18750</v>
      </c>
      <c r="H40" s="29">
        <f>'Get Started  3'!$E12*H10/4</f>
        <v>18750</v>
      </c>
      <c r="I40" s="29">
        <f>'Get Started  3'!$E12*I10/4</f>
        <v>18750</v>
      </c>
      <c r="J40" s="29">
        <f>'Get Started  3'!$E12*J10/4</f>
        <v>18750</v>
      </c>
      <c r="K40" s="29">
        <f>'Get Started  3'!$E12*K10/4</f>
        <v>18750</v>
      </c>
      <c r="L40" s="29">
        <f>'Get Started  3'!$E12*L10/4</f>
        <v>18750</v>
      </c>
      <c r="M40" s="29">
        <f>'Get Started  3'!$E12*M10/4</f>
        <v>18750</v>
      </c>
      <c r="N40" s="29">
        <f>'Get Started  3'!$E12*N10/4</f>
        <v>18750</v>
      </c>
      <c r="O40" s="29">
        <f>'Get Started  3'!$E12*O10/4</f>
        <v>18750</v>
      </c>
      <c r="P40" s="29">
        <f>'Get Started  3'!$E12*P10/4</f>
        <v>18750</v>
      </c>
      <c r="Q40" s="29">
        <f>'Get Started  3'!$E12*Q10/4</f>
        <v>18750</v>
      </c>
      <c r="R40" s="29">
        <f>'Get Started  3'!$E12*R10/4</f>
        <v>18750</v>
      </c>
      <c r="S40" s="29">
        <f>'Get Started  3'!$E12*S10/4</f>
        <v>18750</v>
      </c>
      <c r="T40" s="29">
        <f>'Get Started  3'!$E12*T10/4</f>
        <v>18750</v>
      </c>
      <c r="U40" s="29">
        <f>'Get Started  3'!$E12*U10/4</f>
        <v>18750</v>
      </c>
      <c r="V40" s="29">
        <f>'Get Started  3'!$E12*V10/4</f>
        <v>18750</v>
      </c>
      <c r="W40" s="29">
        <f>'Get Started  3'!$E12*W10/4</f>
        <v>18750</v>
      </c>
      <c r="X40" s="29">
        <f>'Get Started  3'!$E12*X10/4</f>
        <v>18750</v>
      </c>
      <c r="Y40" s="29">
        <f>'Get Started  3'!$E12*Y10/4</f>
        <v>18750</v>
      </c>
      <c r="Z40" s="29">
        <f>'Get Started  3'!$E12*Z10/4</f>
        <v>18750</v>
      </c>
      <c r="AA40" s="29">
        <f>'Get Started  3'!$E12*AA10/4</f>
        <v>18750</v>
      </c>
      <c r="AB40" s="29">
        <f>'Get Started  3'!$E12*AB10/4</f>
        <v>18750</v>
      </c>
      <c r="AC40" s="29">
        <f>'Get Started  3'!$E12*AC10/4</f>
        <v>18750</v>
      </c>
      <c r="AD40" s="29">
        <f>'Get Started  3'!$E12*AD10/4</f>
        <v>18750</v>
      </c>
      <c r="AE40" s="29">
        <f>'Get Started  3'!$E12*AE10/4</f>
        <v>18750</v>
      </c>
      <c r="AF40" s="29">
        <f>'Get Started  3'!$E12*AF10/4</f>
        <v>18750</v>
      </c>
      <c r="AG40" s="29">
        <f>'Get Started  3'!$E12*AG10/4</f>
        <v>18750</v>
      </c>
      <c r="AH40" s="29">
        <f>'Get Started  3'!$E12*AH10/4</f>
        <v>18750</v>
      </c>
      <c r="AI40" s="29">
        <f>'Get Started  3'!$E12*AI10/4</f>
        <v>18750</v>
      </c>
      <c r="AJ40" s="29">
        <f>'Get Started  3'!$E12*AJ10/4</f>
        <v>18750</v>
      </c>
      <c r="AK40" s="29">
        <f>'Get Started  3'!$E12*AK10/4</f>
        <v>18750</v>
      </c>
      <c r="AL40" s="29">
        <f>'Get Started  3'!$E12*AL10/4</f>
        <v>18750</v>
      </c>
      <c r="AM40" s="29">
        <f>'Get Started  3'!$E12*AM10/4</f>
        <v>18750</v>
      </c>
      <c r="AN40" s="29">
        <f>'Get Started  3'!$E12*AN10/4</f>
        <v>18750</v>
      </c>
      <c r="AO40" s="29">
        <f>'Get Started  3'!$E12*AO10/4</f>
        <v>18750</v>
      </c>
      <c r="AP40" s="29">
        <f>'Get Started  3'!$E12*AP10/4</f>
        <v>18750</v>
      </c>
      <c r="AQ40" s="29">
        <f>'Get Started  3'!$E12*AQ10/4</f>
        <v>18750</v>
      </c>
      <c r="AR40" s="29">
        <f>'Get Started  3'!$E12*AR10/4</f>
        <v>18750</v>
      </c>
      <c r="AS40" s="29">
        <f>'Get Started  3'!$E12*AS10/4</f>
        <v>18750</v>
      </c>
      <c r="AT40" s="29">
        <f>'Get Started  3'!$E12*AT10/4</f>
        <v>18750</v>
      </c>
      <c r="AU40" s="29">
        <f>'Get Started  3'!$E12*AU10/4</f>
        <v>0</v>
      </c>
      <c r="AV40" s="29">
        <f>'Get Started  3'!$E12*AV10/4</f>
        <v>0</v>
      </c>
      <c r="AW40" s="29">
        <f>'Get Started  3'!$E12*AW10/4</f>
        <v>0</v>
      </c>
      <c r="AX40" s="29">
        <f>'Get Started  3'!$E12*AX10/4</f>
        <v>0</v>
      </c>
      <c r="AY40" s="29">
        <f>'Get Started  3'!$E12*AY10/4</f>
        <v>0</v>
      </c>
      <c r="AZ40" s="29">
        <f>'Get Started  3'!$E12*AZ10/4</f>
        <v>0</v>
      </c>
      <c r="BA40" s="29">
        <f>'Get Started  3'!$E12*BA10/4</f>
        <v>0</v>
      </c>
      <c r="BB40" s="29">
        <f>'Get Started  3'!$E12*BB10/4</f>
        <v>0</v>
      </c>
      <c r="BC40" s="29">
        <f>'Get Started  3'!$E12*BC10/4</f>
        <v>0</v>
      </c>
      <c r="BD40" s="29">
        <f>'Get Started  3'!$E12*BD10/4</f>
        <v>0</v>
      </c>
      <c r="BE40" s="29">
        <f>'Get Started  3'!$E12*BE10/4</f>
        <v>0</v>
      </c>
      <c r="BF40" s="29">
        <f>'Get Started  3'!$E12*BF10/4</f>
        <v>0</v>
      </c>
      <c r="BG40" s="29">
        <f>'Get Started  3'!$E12*BG10/4</f>
        <v>0</v>
      </c>
      <c r="BH40" s="29">
        <f>'Get Started  3'!$E12*BH10/4</f>
        <v>0</v>
      </c>
      <c r="BI40" s="29">
        <f>'Get Started  3'!$E12*BI10/4</f>
        <v>0</v>
      </c>
      <c r="BJ40" s="29">
        <f>'Get Started  3'!$E12*BJ10/4</f>
        <v>0</v>
      </c>
      <c r="BK40" s="29">
        <f>'Get Started  3'!$E12*BK10/4</f>
        <v>0</v>
      </c>
      <c r="BL40" s="29">
        <f>'Get Started  3'!$E12*BL10/4</f>
        <v>0</v>
      </c>
      <c r="BM40" s="29">
        <f>'Get Started  3'!$E12*BM10/4</f>
        <v>0</v>
      </c>
      <c r="BN40" s="29">
        <f>'Get Started  3'!$E12*BN10/4</f>
        <v>0</v>
      </c>
      <c r="BO40" s="29">
        <f>'Get Started  3'!$E12*BO10/4</f>
        <v>0</v>
      </c>
      <c r="BP40" s="29">
        <f>'Get Started  3'!$E12*BP10/4</f>
        <v>0</v>
      </c>
      <c r="BQ40" s="29">
        <f>'Get Started  3'!$E12*BQ10/4</f>
        <v>0</v>
      </c>
      <c r="BR40" s="29">
        <f>'Get Started  3'!$E12*BR10/4</f>
        <v>0</v>
      </c>
      <c r="BS40" s="29">
        <f>'Get Started  3'!$E12*BS10/4</f>
        <v>0</v>
      </c>
      <c r="BT40" s="29">
        <f>'Get Started  3'!$E12*BT10/4</f>
        <v>0</v>
      </c>
      <c r="BU40" s="29">
        <f>'Get Started  3'!$E12*BU10/4</f>
        <v>0</v>
      </c>
      <c r="BV40" s="29">
        <f>'Get Started  3'!$E12*BV10/4</f>
        <v>0</v>
      </c>
      <c r="BW40" s="29">
        <f>'Get Started  3'!$E12*BW10/4</f>
        <v>0</v>
      </c>
      <c r="BX40" s="29">
        <f>'Get Started  3'!$E12*BX10/4</f>
        <v>0</v>
      </c>
      <c r="BY40" s="29">
        <f>'Get Started  3'!$E12*BY10/4</f>
        <v>0</v>
      </c>
      <c r="BZ40" s="29">
        <f>'Get Started  3'!$E12*BZ10/4</f>
        <v>0</v>
      </c>
      <c r="CA40" s="29">
        <f>'Get Started  3'!$E12*CA10/4</f>
        <v>0</v>
      </c>
      <c r="CB40" s="29">
        <f>'Get Started  3'!$E12*CB10/4</f>
        <v>0</v>
      </c>
      <c r="CC40" s="29">
        <f>'Get Started  3'!$E12*CC10/4</f>
        <v>0</v>
      </c>
      <c r="CD40" s="29">
        <f>'Get Started  3'!$E12*CD10/4</f>
        <v>0</v>
      </c>
      <c r="CE40" s="29">
        <f>'Get Started  3'!$E12*CE10/4</f>
        <v>0</v>
      </c>
      <c r="CF40" s="29">
        <f>'Get Started  3'!$E12*CF10/4</f>
        <v>0</v>
      </c>
      <c r="CG40" s="29">
        <f>'Get Started  3'!$E12*CG10/4</f>
        <v>0</v>
      </c>
      <c r="CH40" s="29">
        <f>'Get Started  3'!$E12*CH10/4</f>
        <v>0</v>
      </c>
    </row>
    <row r="41" spans="1:86" ht="13">
      <c r="A41" s="13"/>
      <c r="B41" s="13" t="s">
        <v>242</v>
      </c>
      <c r="D41" s="13" t="s">
        <v>238</v>
      </c>
      <c r="E41" s="37">
        <f t="shared" si="13"/>
        <v>4900000</v>
      </c>
      <c r="F41" s="48"/>
      <c r="G41" s="37">
        <f>IFERROR(IF(G15="committed",G83*IF($C17=TRUE,1-'Get Started  3'!$E10,1)*G14+IF(AND(G4&lt;&gt;1,G54*IF($C17=TRUE,1-'Get Started  3'!$E10,1)&lt;&gt;0,SUM($G54:G54)*IF($C17=TRUE,1-'Get Started  3'!$E10,1)&lt;&gt;E54*IF($C17=TRUE,1-'Get Started  3'!$E10,1)),G54*IF($C17=TRUE,1-'Get Started  3'!$E10,1)*(G4-1)*G14,0),IF(G15="called",G14*(G60+F60)/2*IF($C17=TRUE,1-'Get Started  3'!$E10,1),G14*(G85+F85)/2*IF($C17=TRUE,1-'Get Started  3'!$E10,1))),0)</f>
        <v>122500</v>
      </c>
      <c r="H41" s="37">
        <f>IFERROR(IF(H15="committed",H83*IF($C17=TRUE,1-'Get Started  3'!$E10,1)*H14+IF(AND(H4&lt;&gt;1,H54*IF($C17=TRUE,1-'Get Started  3'!$E10,1)&lt;&gt;0,SUM($G54:H54)*IF($C17=TRUE,1-'Get Started  3'!$E10,1)&lt;&gt;F54*IF($C17=TRUE,1-'Get Started  3'!$E10,1)),H54*IF($C17=TRUE,1-'Get Started  3'!$E10,1)*(H4-1)*H14,0),IF(H15="called",H14*(H60+G60)/2*IF($C17=TRUE,1-'Get Started  3'!$E10,1),H14*(H85+G85)/2*IF($C17=TRUE,1-'Get Started  3'!$E10,1))),0)</f>
        <v>122500</v>
      </c>
      <c r="I41" s="37">
        <f>IFERROR(IF(I15="committed",I83*IF($C17=TRUE,1-'Get Started  3'!$E10,1)*I14+IF(AND(I4&lt;&gt;1,I54*IF($C17=TRUE,1-'Get Started  3'!$E10,1)&lt;&gt;0,SUM($G54:I54)*IF($C17=TRUE,1-'Get Started  3'!$E10,1)&lt;&gt;G54*IF($C17=TRUE,1-'Get Started  3'!$E10,1)),I54*IF($C17=TRUE,1-'Get Started  3'!$E10,1)*(I4-1)*I14,0),IF(I15="called",I14*(I60+H60)/2*IF($C17=TRUE,1-'Get Started  3'!$E10,1),I14*(I85+H85)/2*IF($C17=TRUE,1-'Get Started  3'!$E10,1))),0)</f>
        <v>122500</v>
      </c>
      <c r="J41" s="37">
        <f>IFERROR(IF(J15="committed",J83*IF($C17=TRUE,1-'Get Started  3'!$E10,1)*J14+IF(AND(J4&lt;&gt;1,J54*IF($C17=TRUE,1-'Get Started  3'!$E10,1)&lt;&gt;0,SUM($G54:J54)*IF($C17=TRUE,1-'Get Started  3'!$E10,1)&lt;&gt;H54*IF($C17=TRUE,1-'Get Started  3'!$E10,1)),J54*IF($C17=TRUE,1-'Get Started  3'!$E10,1)*(J4-1)*J14,0),IF(J15="called",J14*(J60+I60)/2*IF($C17=TRUE,1-'Get Started  3'!$E10,1),J14*(J85+I85)/2*IF($C17=TRUE,1-'Get Started  3'!$E10,1))),0)</f>
        <v>122500</v>
      </c>
      <c r="K41" s="37">
        <f>IFERROR(IF(K15="committed",K83*IF($C17=TRUE,1-'Get Started  3'!$E10,1)*K14+IF(AND(K4&lt;&gt;1,K54*IF($C17=TRUE,1-'Get Started  3'!$E10,1)&lt;&gt;0,SUM($G54:K54)*IF($C17=TRUE,1-'Get Started  3'!$E10,1)&lt;&gt;I54*IF($C17=TRUE,1-'Get Started  3'!$E10,1)),K54*IF($C17=TRUE,1-'Get Started  3'!$E10,1)*(K4-1)*K14,0),IF(K15="called",K14*(K60+J60)/2*IF($C17=TRUE,1-'Get Started  3'!$E10,1),K14*(K85+J85)/2*IF($C17=TRUE,1-'Get Started  3'!$E10,1))),0)</f>
        <v>122500</v>
      </c>
      <c r="L41" s="37">
        <f>IFERROR(IF(L15="committed",L83*IF($C17=TRUE,1-'Get Started  3'!$E10,1)*L14+IF(AND(L4&lt;&gt;1,L54*IF($C17=TRUE,1-'Get Started  3'!$E10,1)&lt;&gt;0,SUM($G54:L54)*IF($C17=TRUE,1-'Get Started  3'!$E10,1)&lt;&gt;J54*IF($C17=TRUE,1-'Get Started  3'!$E10,1)),L54*IF($C17=TRUE,1-'Get Started  3'!$E10,1)*(L4-1)*L14,0),IF(L15="called",L14*(L60+K60)/2*IF($C17=TRUE,1-'Get Started  3'!$E10,1),L14*(L85+K85)/2*IF($C17=TRUE,1-'Get Started  3'!$E10,1))),0)</f>
        <v>122500</v>
      </c>
      <c r="M41" s="37">
        <f>IFERROR(IF(M15="committed",M83*IF($C17=TRUE,1-'Get Started  3'!$E10,1)*M14+IF(AND(M4&lt;&gt;1,M54*IF($C17=TRUE,1-'Get Started  3'!$E10,1)&lt;&gt;0,SUM($G54:M54)*IF($C17=TRUE,1-'Get Started  3'!$E10,1)&lt;&gt;K54*IF($C17=TRUE,1-'Get Started  3'!$E10,1)),M54*IF($C17=TRUE,1-'Get Started  3'!$E10,1)*(M4-1)*M14,0),IF(M15="called",M14*(M60+L60)/2*IF($C17=TRUE,1-'Get Started  3'!$E10,1),M14*(M85+L85)/2*IF($C17=TRUE,1-'Get Started  3'!$E10,1))),0)</f>
        <v>122500</v>
      </c>
      <c r="N41" s="37">
        <f>IFERROR(IF(N15="committed",N83*IF($C17=TRUE,1-'Get Started  3'!$E10,1)*N14+IF(AND(N4&lt;&gt;1,N54*IF($C17=TRUE,1-'Get Started  3'!$E10,1)&lt;&gt;0,SUM($G54:N54)*IF($C17=TRUE,1-'Get Started  3'!$E10,1)&lt;&gt;L54*IF($C17=TRUE,1-'Get Started  3'!$E10,1)),N54*IF($C17=TRUE,1-'Get Started  3'!$E10,1)*(N4-1)*N14,0),IF(N15="called",N14*(N60+M60)/2*IF($C17=TRUE,1-'Get Started  3'!$E10,1),N14*(N85+M85)/2*IF($C17=TRUE,1-'Get Started  3'!$E10,1))),0)</f>
        <v>122500</v>
      </c>
      <c r="O41" s="37">
        <f>IFERROR(IF(O15="committed",O83*IF($C17=TRUE,1-'Get Started  3'!$E10,1)*O14+IF(AND(O4&lt;&gt;1,O54*IF($C17=TRUE,1-'Get Started  3'!$E10,1)&lt;&gt;0,SUM($G54:O54)*IF($C17=TRUE,1-'Get Started  3'!$E10,1)&lt;&gt;M54*IF($C17=TRUE,1-'Get Started  3'!$E10,1)),O54*IF($C17=TRUE,1-'Get Started  3'!$E10,1)*(O4-1)*O14,0),IF(O15="called",O14*(O60+N60)/2*IF($C17=TRUE,1-'Get Started  3'!$E10,1),O14*(O85+N85)/2*IF($C17=TRUE,1-'Get Started  3'!$E10,1))),0)</f>
        <v>122500</v>
      </c>
      <c r="P41" s="37">
        <f>IFERROR(IF(P15="committed",P83*IF($C17=TRUE,1-'Get Started  3'!$E10,1)*P14+IF(AND(P4&lt;&gt;1,P54*IF($C17=TRUE,1-'Get Started  3'!$E10,1)&lt;&gt;0,SUM($G54:P54)*IF($C17=TRUE,1-'Get Started  3'!$E10,1)&lt;&gt;N54*IF($C17=TRUE,1-'Get Started  3'!$E10,1)),P54*IF($C17=TRUE,1-'Get Started  3'!$E10,1)*(P4-1)*P14,0),IF(P15="called",P14*(P60+O60)/2*IF($C17=TRUE,1-'Get Started  3'!$E10,1),P14*(P85+O85)/2*IF($C17=TRUE,1-'Get Started  3'!$E10,1))),0)</f>
        <v>122500</v>
      </c>
      <c r="Q41" s="37">
        <f>IFERROR(IF(Q15="committed",Q83*IF($C17=TRUE,1-'Get Started  3'!$E10,1)*Q14+IF(AND(Q4&lt;&gt;1,Q54*IF($C17=TRUE,1-'Get Started  3'!$E10,1)&lt;&gt;0,SUM($G54:Q54)*IF($C17=TRUE,1-'Get Started  3'!$E10,1)&lt;&gt;O54*IF($C17=TRUE,1-'Get Started  3'!$E10,1)),Q54*IF($C17=TRUE,1-'Get Started  3'!$E10,1)*(Q4-1)*Q14,0),IF(Q15="called",Q14*(Q60+P60)/2*IF($C17=TRUE,1-'Get Started  3'!$E10,1),Q14*(Q85+P85)/2*IF($C17=TRUE,1-'Get Started  3'!$E10,1))),0)</f>
        <v>122500</v>
      </c>
      <c r="R41" s="37">
        <f>IFERROR(IF(R15="committed",R83*IF($C17=TRUE,1-'Get Started  3'!$E10,1)*R14+IF(AND(R4&lt;&gt;1,R54*IF($C17=TRUE,1-'Get Started  3'!$E10,1)&lt;&gt;0,SUM($G54:R54)*IF($C17=TRUE,1-'Get Started  3'!$E10,1)&lt;&gt;P54*IF($C17=TRUE,1-'Get Started  3'!$E10,1)),R54*IF($C17=TRUE,1-'Get Started  3'!$E10,1)*(R4-1)*R14,0),IF(R15="called",R14*(R60+Q60)/2*IF($C17=TRUE,1-'Get Started  3'!$E10,1),R14*(R85+Q85)/2*IF($C17=TRUE,1-'Get Started  3'!$E10,1))),0)</f>
        <v>122500</v>
      </c>
      <c r="S41" s="37">
        <f>IFERROR(IF(S15="committed",S83*IF($C17=TRUE,1-'Get Started  3'!$E10,1)*S14+IF(AND(S4&lt;&gt;1,S54*IF($C17=TRUE,1-'Get Started  3'!$E10,1)&lt;&gt;0,SUM($G54:S54)*IF($C17=TRUE,1-'Get Started  3'!$E10,1)&lt;&gt;Q54*IF($C17=TRUE,1-'Get Started  3'!$E10,1)),S54*IF($C17=TRUE,1-'Get Started  3'!$E10,1)*(S4-1)*S14,0),IF(S15="called",S14*(S60+R60)/2*IF($C17=TRUE,1-'Get Started  3'!$E10,1),S14*(S85+R85)/2*IF($C17=TRUE,1-'Get Started  3'!$E10,1))),0)</f>
        <v>122500</v>
      </c>
      <c r="T41" s="37">
        <f>IFERROR(IF(T15="committed",T83*IF($C17=TRUE,1-'Get Started  3'!$E10,1)*T14+IF(AND(T4&lt;&gt;1,T54*IF($C17=TRUE,1-'Get Started  3'!$E10,1)&lt;&gt;0,SUM($G54:T54)*IF($C17=TRUE,1-'Get Started  3'!$E10,1)&lt;&gt;R54*IF($C17=TRUE,1-'Get Started  3'!$E10,1)),T54*IF($C17=TRUE,1-'Get Started  3'!$E10,1)*(T4-1)*T14,0),IF(T15="called",T14*(T60+S60)/2*IF($C17=TRUE,1-'Get Started  3'!$E10,1),T14*(T85+S85)/2*IF($C17=TRUE,1-'Get Started  3'!$E10,1))),0)</f>
        <v>122500</v>
      </c>
      <c r="U41" s="37">
        <f>IFERROR(IF(U15="committed",U83*IF($C17=TRUE,1-'Get Started  3'!$E10,1)*U14+IF(AND(U4&lt;&gt;1,U54*IF($C17=TRUE,1-'Get Started  3'!$E10,1)&lt;&gt;0,SUM($G54:U54)*IF($C17=TRUE,1-'Get Started  3'!$E10,1)&lt;&gt;S54*IF($C17=TRUE,1-'Get Started  3'!$E10,1)),U54*IF($C17=TRUE,1-'Get Started  3'!$E10,1)*(U4-1)*U14,0),IF(U15="called",U14*(U60+T60)/2*IF($C17=TRUE,1-'Get Started  3'!$E10,1),U14*(U85+T85)/2*IF($C17=TRUE,1-'Get Started  3'!$E10,1))),0)</f>
        <v>122500</v>
      </c>
      <c r="V41" s="37">
        <f>IFERROR(IF(V15="committed",V83*IF($C17=TRUE,1-'Get Started  3'!$E10,1)*V14+IF(AND(V4&lt;&gt;1,V54*IF($C17=TRUE,1-'Get Started  3'!$E10,1)&lt;&gt;0,SUM($G54:V54)*IF($C17=TRUE,1-'Get Started  3'!$E10,1)&lt;&gt;T54*IF($C17=TRUE,1-'Get Started  3'!$E10,1)),V54*IF($C17=TRUE,1-'Get Started  3'!$E10,1)*(V4-1)*V14,0),IF(V15="called",V14*(V60+U60)/2*IF($C17=TRUE,1-'Get Started  3'!$E10,1),V14*(V85+U85)/2*IF($C17=TRUE,1-'Get Started  3'!$E10,1))),0)</f>
        <v>122500</v>
      </c>
      <c r="W41" s="37">
        <f>IFERROR(IF(W15="committed",W83*IF($C17=TRUE,1-'Get Started  3'!$E10,1)*W14+IF(AND(W4&lt;&gt;1,W54*IF($C17=TRUE,1-'Get Started  3'!$E10,1)&lt;&gt;0,SUM($G54:W54)*IF($C17=TRUE,1-'Get Started  3'!$E10,1)&lt;&gt;U54*IF($C17=TRUE,1-'Get Started  3'!$E10,1)),W54*IF($C17=TRUE,1-'Get Started  3'!$E10,1)*(W4-1)*W14,0),IF(W15="called",W14*(W60+V60)/2*IF($C17=TRUE,1-'Get Started  3'!$E10,1),W14*(W85+V85)/2*IF($C17=TRUE,1-'Get Started  3'!$E10,1))),0)</f>
        <v>122500</v>
      </c>
      <c r="X41" s="37">
        <f>IFERROR(IF(X15="committed",X83*IF($C17=TRUE,1-'Get Started  3'!$E10,1)*X14+IF(AND(X4&lt;&gt;1,X54*IF($C17=TRUE,1-'Get Started  3'!$E10,1)&lt;&gt;0,SUM($G54:X54)*IF($C17=TRUE,1-'Get Started  3'!$E10,1)&lt;&gt;V54*IF($C17=TRUE,1-'Get Started  3'!$E10,1)),X54*IF($C17=TRUE,1-'Get Started  3'!$E10,1)*(X4-1)*X14,0),IF(X15="called",X14*(X60+W60)/2*IF($C17=TRUE,1-'Get Started  3'!$E10,1),X14*(X85+W85)/2*IF($C17=TRUE,1-'Get Started  3'!$E10,1))),0)</f>
        <v>122500</v>
      </c>
      <c r="Y41" s="37">
        <f>IFERROR(IF(Y15="committed",Y83*IF($C17=TRUE,1-'Get Started  3'!$E10,1)*Y14+IF(AND(Y4&lt;&gt;1,Y54*IF($C17=TRUE,1-'Get Started  3'!$E10,1)&lt;&gt;0,SUM($G54:Y54)*IF($C17=TRUE,1-'Get Started  3'!$E10,1)&lt;&gt;W54*IF($C17=TRUE,1-'Get Started  3'!$E10,1)),Y54*IF($C17=TRUE,1-'Get Started  3'!$E10,1)*(Y4-1)*Y14,0),IF(Y15="called",Y14*(Y60+X60)/2*IF($C17=TRUE,1-'Get Started  3'!$E10,1),Y14*(Y85+X85)/2*IF($C17=TRUE,1-'Get Started  3'!$E10,1))),0)</f>
        <v>122500</v>
      </c>
      <c r="Z41" s="37">
        <f>IFERROR(IF(Z15="committed",Z83*IF($C17=TRUE,1-'Get Started  3'!$E10,1)*Z14+IF(AND(Z4&lt;&gt;1,Z54*IF($C17=TRUE,1-'Get Started  3'!$E10,1)&lt;&gt;0,SUM($G54:Z54)*IF($C17=TRUE,1-'Get Started  3'!$E10,1)&lt;&gt;X54*IF($C17=TRUE,1-'Get Started  3'!$E10,1)),Z54*IF($C17=TRUE,1-'Get Started  3'!$E10,1)*(Z4-1)*Z14,0),IF(Z15="called",Z14*(Z60+Y60)/2*IF($C17=TRUE,1-'Get Started  3'!$E10,1),Z14*(Z85+Y85)/2*IF($C17=TRUE,1-'Get Started  3'!$E10,1))),0)</f>
        <v>122500</v>
      </c>
      <c r="AA41" s="37">
        <f>IFERROR(IF(AA15="committed",AA83*IF($C17=TRUE,1-'Get Started  3'!$E10,1)*AA14+IF(AND(AA4&lt;&gt;1,AA54*IF($C17=TRUE,1-'Get Started  3'!$E10,1)&lt;&gt;0,SUM($G54:AA54)*IF($C17=TRUE,1-'Get Started  3'!$E10,1)&lt;&gt;Y54*IF($C17=TRUE,1-'Get Started  3'!$E10,1)),AA54*IF($C17=TRUE,1-'Get Started  3'!$E10,1)*(AA4-1)*AA14,0),IF(AA15="called",AA14*(AA60+Z60)/2*IF($C17=TRUE,1-'Get Started  3'!$E10,1),AA14*(AA85+Z85)/2*IF($C17=TRUE,1-'Get Started  3'!$E10,1))),0)</f>
        <v>122500</v>
      </c>
      <c r="AB41" s="37">
        <f>IFERROR(IF(AB15="committed",AB83*IF($C17=TRUE,1-'Get Started  3'!$E10,1)*AB14+IF(AND(AB4&lt;&gt;1,AB54*IF($C17=TRUE,1-'Get Started  3'!$E10,1)&lt;&gt;0,SUM($G54:AB54)*IF($C17=TRUE,1-'Get Started  3'!$E10,1)&lt;&gt;Z54*IF($C17=TRUE,1-'Get Started  3'!$E10,1)),AB54*IF($C17=TRUE,1-'Get Started  3'!$E10,1)*(AB4-1)*AB14,0),IF(AB15="called",AB14*(AB60+AA60)/2*IF($C17=TRUE,1-'Get Started  3'!$E10,1),AB14*(AB85+AA85)/2*IF($C17=TRUE,1-'Get Started  3'!$E10,1))),0)</f>
        <v>122500</v>
      </c>
      <c r="AC41" s="37">
        <f>IFERROR(IF(AC15="committed",AC83*IF($C17=TRUE,1-'Get Started  3'!$E10,1)*AC14+IF(AND(AC4&lt;&gt;1,AC54*IF($C17=TRUE,1-'Get Started  3'!$E10,1)&lt;&gt;0,SUM($G54:AC54)*IF($C17=TRUE,1-'Get Started  3'!$E10,1)&lt;&gt;AA54*IF($C17=TRUE,1-'Get Started  3'!$E10,1)),AC54*IF($C17=TRUE,1-'Get Started  3'!$E10,1)*(AC4-1)*AC14,0),IF(AC15="called",AC14*(AC60+AB60)/2*IF($C17=TRUE,1-'Get Started  3'!$E10,1),AC14*(AC85+AB85)/2*IF($C17=TRUE,1-'Get Started  3'!$E10,1))),0)</f>
        <v>122500</v>
      </c>
      <c r="AD41" s="37">
        <f>IFERROR(IF(AD15="committed",AD83*IF($C17=TRUE,1-'Get Started  3'!$E10,1)*AD14+IF(AND(AD4&lt;&gt;1,AD54*IF($C17=TRUE,1-'Get Started  3'!$E10,1)&lt;&gt;0,SUM($G54:AD54)*IF($C17=TRUE,1-'Get Started  3'!$E10,1)&lt;&gt;AB54*IF($C17=TRUE,1-'Get Started  3'!$E10,1)),AD54*IF($C17=TRUE,1-'Get Started  3'!$E10,1)*(AD4-1)*AD14,0),IF(AD15="called",AD14*(AD60+AC60)/2*IF($C17=TRUE,1-'Get Started  3'!$E10,1),AD14*(AD85+AC85)/2*IF($C17=TRUE,1-'Get Started  3'!$E10,1))),0)</f>
        <v>122500</v>
      </c>
      <c r="AE41" s="37">
        <f>IFERROR(IF(AE15="committed",AE83*IF($C17=TRUE,1-'Get Started  3'!$E10,1)*AE14+IF(AND(AE4&lt;&gt;1,AE54*IF($C17=TRUE,1-'Get Started  3'!$E10,1)&lt;&gt;0,SUM($G54:AE54)*IF($C17=TRUE,1-'Get Started  3'!$E10,1)&lt;&gt;AC54*IF($C17=TRUE,1-'Get Started  3'!$E10,1)),AE54*IF($C17=TRUE,1-'Get Started  3'!$E10,1)*(AE4-1)*AE14,0),IF(AE15="called",AE14*(AE60+AD60)/2*IF($C17=TRUE,1-'Get Started  3'!$E10,1),AE14*(AE85+AD85)/2*IF($C17=TRUE,1-'Get Started  3'!$E10,1))),0)</f>
        <v>122500</v>
      </c>
      <c r="AF41" s="37">
        <f>IFERROR(IF(AF15="committed",AF83*IF($C17=TRUE,1-'Get Started  3'!$E10,1)*AF14+IF(AND(AF4&lt;&gt;1,AF54*IF($C17=TRUE,1-'Get Started  3'!$E10,1)&lt;&gt;0,SUM($G54:AF54)*IF($C17=TRUE,1-'Get Started  3'!$E10,1)&lt;&gt;AD54*IF($C17=TRUE,1-'Get Started  3'!$E10,1)),AF54*IF($C17=TRUE,1-'Get Started  3'!$E10,1)*(AF4-1)*AF14,0),IF(AF15="called",AF14*(AF60+AE60)/2*IF($C17=TRUE,1-'Get Started  3'!$E10,1),AF14*(AF85+AE85)/2*IF($C17=TRUE,1-'Get Started  3'!$E10,1))),0)</f>
        <v>122500</v>
      </c>
      <c r="AG41" s="37">
        <f>IFERROR(IF(AG15="committed",AG83*IF($C17=TRUE,1-'Get Started  3'!$E10,1)*AG14+IF(AND(AG4&lt;&gt;1,AG54*IF($C17=TRUE,1-'Get Started  3'!$E10,1)&lt;&gt;0,SUM($G54:AG54)*IF($C17=TRUE,1-'Get Started  3'!$E10,1)&lt;&gt;AE54*IF($C17=TRUE,1-'Get Started  3'!$E10,1)),AG54*IF($C17=TRUE,1-'Get Started  3'!$E10,1)*(AG4-1)*AG14,0),IF(AG15="called",AG14*(AG60+AF60)/2*IF($C17=TRUE,1-'Get Started  3'!$E10,1),AG14*(AG85+AF85)/2*IF($C17=TRUE,1-'Get Started  3'!$E10,1))),0)</f>
        <v>122500</v>
      </c>
      <c r="AH41" s="37">
        <f>IFERROR(IF(AH15="committed",AH83*IF($C17=TRUE,1-'Get Started  3'!$E10,1)*AH14+IF(AND(AH4&lt;&gt;1,AH54*IF($C17=TRUE,1-'Get Started  3'!$E10,1)&lt;&gt;0,SUM($G54:AH54)*IF($C17=TRUE,1-'Get Started  3'!$E10,1)&lt;&gt;AF54*IF($C17=TRUE,1-'Get Started  3'!$E10,1)),AH54*IF($C17=TRUE,1-'Get Started  3'!$E10,1)*(AH4-1)*AH14,0),IF(AH15="called",AH14*(AH60+AG60)/2*IF($C17=TRUE,1-'Get Started  3'!$E10,1),AH14*(AH85+AG85)/2*IF($C17=TRUE,1-'Get Started  3'!$E10,1))),0)</f>
        <v>122500</v>
      </c>
      <c r="AI41" s="37">
        <f>IFERROR(IF(AI15="committed",AI83*IF($C17=TRUE,1-'Get Started  3'!$E10,1)*AI14+IF(AND(AI4&lt;&gt;1,AI54*IF($C17=TRUE,1-'Get Started  3'!$E10,1)&lt;&gt;0,SUM($G54:AI54)*IF($C17=TRUE,1-'Get Started  3'!$E10,1)&lt;&gt;AG54*IF($C17=TRUE,1-'Get Started  3'!$E10,1)),AI54*IF($C17=TRUE,1-'Get Started  3'!$E10,1)*(AI4-1)*AI14,0),IF(AI15="called",AI14*(AI60+AH60)/2*IF($C17=TRUE,1-'Get Started  3'!$E10,1),AI14*(AI85+AH85)/2*IF($C17=TRUE,1-'Get Started  3'!$E10,1))),0)</f>
        <v>122500</v>
      </c>
      <c r="AJ41" s="37">
        <f>IFERROR(IF(AJ15="committed",AJ83*IF($C17=TRUE,1-'Get Started  3'!$E10,1)*AJ14+IF(AND(AJ4&lt;&gt;1,AJ54*IF($C17=TRUE,1-'Get Started  3'!$E10,1)&lt;&gt;0,SUM($G54:AJ54)*IF($C17=TRUE,1-'Get Started  3'!$E10,1)&lt;&gt;AH54*IF($C17=TRUE,1-'Get Started  3'!$E10,1)),AJ54*IF($C17=TRUE,1-'Get Started  3'!$E10,1)*(AJ4-1)*AJ14,0),IF(AJ15="called",AJ14*(AJ60+AI60)/2*IF($C17=TRUE,1-'Get Started  3'!$E10,1),AJ14*(AJ85+AI85)/2*IF($C17=TRUE,1-'Get Started  3'!$E10,1))),0)</f>
        <v>122500</v>
      </c>
      <c r="AK41" s="37">
        <f>IFERROR(IF(AK15="committed",AK83*IF($C17=TRUE,1-'Get Started  3'!$E10,1)*AK14+IF(AND(AK4&lt;&gt;1,AK54*IF($C17=TRUE,1-'Get Started  3'!$E10,1)&lt;&gt;0,SUM($G54:AK54)*IF($C17=TRUE,1-'Get Started  3'!$E10,1)&lt;&gt;AI54*IF($C17=TRUE,1-'Get Started  3'!$E10,1)),AK54*IF($C17=TRUE,1-'Get Started  3'!$E10,1)*(AK4-1)*AK14,0),IF(AK15="called",AK14*(AK60+AJ60)/2*IF($C17=TRUE,1-'Get Started  3'!$E10,1),AK14*(AK85+AJ85)/2*IF($C17=TRUE,1-'Get Started  3'!$E10,1))),0)</f>
        <v>122500</v>
      </c>
      <c r="AL41" s="37">
        <f>IFERROR(IF(AL15="committed",AL83*IF($C17=TRUE,1-'Get Started  3'!$E10,1)*AL14+IF(AND(AL4&lt;&gt;1,AL54*IF($C17=TRUE,1-'Get Started  3'!$E10,1)&lt;&gt;0,SUM($G54:AL54)*IF($C17=TRUE,1-'Get Started  3'!$E10,1)&lt;&gt;AJ54*IF($C17=TRUE,1-'Get Started  3'!$E10,1)),AL54*IF($C17=TRUE,1-'Get Started  3'!$E10,1)*(AL4-1)*AL14,0),IF(AL15="called",AL14*(AL60+AK60)/2*IF($C17=TRUE,1-'Get Started  3'!$E10,1),AL14*(AL85+AK85)/2*IF($C17=TRUE,1-'Get Started  3'!$E10,1))),0)</f>
        <v>122500</v>
      </c>
      <c r="AM41" s="37">
        <f>IFERROR(IF(AM15="committed",AM83*IF($C17=TRUE,1-'Get Started  3'!$E10,1)*AM14+IF(AND(AM4&lt;&gt;1,AM54*IF($C17=TRUE,1-'Get Started  3'!$E10,1)&lt;&gt;0,SUM($G54:AM54)*IF($C17=TRUE,1-'Get Started  3'!$E10,1)&lt;&gt;AK54*IF($C17=TRUE,1-'Get Started  3'!$E10,1)),AM54*IF($C17=TRUE,1-'Get Started  3'!$E10,1)*(AM4-1)*AM14,0),IF(AM15="called",AM14*(AM60+AL60)/2*IF($C17=TRUE,1-'Get Started  3'!$E10,1),AM14*(AM85+AL85)/2*IF($C17=TRUE,1-'Get Started  3'!$E10,1))),0)</f>
        <v>122500</v>
      </c>
      <c r="AN41" s="37">
        <f>IFERROR(IF(AN15="committed",AN83*IF($C17=TRUE,1-'Get Started  3'!$E10,1)*AN14+IF(AND(AN4&lt;&gt;1,AN54*IF($C17=TRUE,1-'Get Started  3'!$E10,1)&lt;&gt;0,SUM($G54:AN54)*IF($C17=TRUE,1-'Get Started  3'!$E10,1)&lt;&gt;AL54*IF($C17=TRUE,1-'Get Started  3'!$E10,1)),AN54*IF($C17=TRUE,1-'Get Started  3'!$E10,1)*(AN4-1)*AN14,0),IF(AN15="called",AN14*(AN60+AM60)/2*IF($C17=TRUE,1-'Get Started  3'!$E10,1),AN14*(AN85+AM85)/2*IF($C17=TRUE,1-'Get Started  3'!$E10,1))),0)</f>
        <v>122500</v>
      </c>
      <c r="AO41" s="37">
        <f>IFERROR(IF(AO15="committed",AO83*IF($C17=TRUE,1-'Get Started  3'!$E10,1)*AO14+IF(AND(AO4&lt;&gt;1,AO54*IF($C17=TRUE,1-'Get Started  3'!$E10,1)&lt;&gt;0,SUM($G54:AO54)*IF($C17=TRUE,1-'Get Started  3'!$E10,1)&lt;&gt;AM54*IF($C17=TRUE,1-'Get Started  3'!$E10,1)),AO54*IF($C17=TRUE,1-'Get Started  3'!$E10,1)*(AO4-1)*AO14,0),IF(AO15="called",AO14*(AO60+AN60)/2*IF($C17=TRUE,1-'Get Started  3'!$E10,1),AO14*(AO85+AN85)/2*IF($C17=TRUE,1-'Get Started  3'!$E10,1))),0)</f>
        <v>122500</v>
      </c>
      <c r="AP41" s="37">
        <f>IFERROR(IF(AP15="committed",AP83*IF($C17=TRUE,1-'Get Started  3'!$E10,1)*AP14+IF(AND(AP4&lt;&gt;1,AP54*IF($C17=TRUE,1-'Get Started  3'!$E10,1)&lt;&gt;0,SUM($G54:AP54)*IF($C17=TRUE,1-'Get Started  3'!$E10,1)&lt;&gt;AN54*IF($C17=TRUE,1-'Get Started  3'!$E10,1)),AP54*IF($C17=TRUE,1-'Get Started  3'!$E10,1)*(AP4-1)*AP14,0),IF(AP15="called",AP14*(AP60+AO60)/2*IF($C17=TRUE,1-'Get Started  3'!$E10,1),AP14*(AP85+AO85)/2*IF($C17=TRUE,1-'Get Started  3'!$E10,1))),0)</f>
        <v>122500</v>
      </c>
      <c r="AQ41" s="37">
        <f>IFERROR(IF(AQ15="committed",AQ83*IF($C17=TRUE,1-'Get Started  3'!$E10,1)*AQ14+IF(AND(AQ4&lt;&gt;1,AQ54*IF($C17=TRUE,1-'Get Started  3'!$E10,1)&lt;&gt;0,SUM($G54:AQ54)*IF($C17=TRUE,1-'Get Started  3'!$E10,1)&lt;&gt;AO54*IF($C17=TRUE,1-'Get Started  3'!$E10,1)),AQ54*IF($C17=TRUE,1-'Get Started  3'!$E10,1)*(AQ4-1)*AQ14,0),IF(AQ15="called",AQ14*(AQ60+AP60)/2*IF($C17=TRUE,1-'Get Started  3'!$E10,1),AQ14*(AQ85+AP85)/2*IF($C17=TRUE,1-'Get Started  3'!$E10,1))),0)</f>
        <v>122500</v>
      </c>
      <c r="AR41" s="37">
        <f>IFERROR(IF(AR15="committed",AR83*IF($C17=TRUE,1-'Get Started  3'!$E10,1)*AR14+IF(AND(AR4&lt;&gt;1,AR54*IF($C17=TRUE,1-'Get Started  3'!$E10,1)&lt;&gt;0,SUM($G54:AR54)*IF($C17=TRUE,1-'Get Started  3'!$E10,1)&lt;&gt;AP54*IF($C17=TRUE,1-'Get Started  3'!$E10,1)),AR54*IF($C17=TRUE,1-'Get Started  3'!$E10,1)*(AR4-1)*AR14,0),IF(AR15="called",AR14*(AR60+AQ60)/2*IF($C17=TRUE,1-'Get Started  3'!$E10,1),AR14*(AR85+AQ85)/2*IF($C17=TRUE,1-'Get Started  3'!$E10,1))),0)</f>
        <v>122500</v>
      </c>
      <c r="AS41" s="37">
        <f>IFERROR(IF(AS15="committed",AS83*IF($C17=TRUE,1-'Get Started  3'!$E10,1)*AS14+IF(AND(AS4&lt;&gt;1,AS54*IF($C17=TRUE,1-'Get Started  3'!$E10,1)&lt;&gt;0,SUM($G54:AS54)*IF($C17=TRUE,1-'Get Started  3'!$E10,1)&lt;&gt;AQ54*IF($C17=TRUE,1-'Get Started  3'!$E10,1)),AS54*IF($C17=TRUE,1-'Get Started  3'!$E10,1)*(AS4-1)*AS14,0),IF(AS15="called",AS14*(AS60+AR60)/2*IF($C17=TRUE,1-'Get Started  3'!$E10,1),AS14*(AS85+AR85)/2*IF($C17=TRUE,1-'Get Started  3'!$E10,1))),0)</f>
        <v>122500</v>
      </c>
      <c r="AT41" s="37">
        <f>IFERROR(IF(AT15="committed",AT83*IF($C17=TRUE,1-'Get Started  3'!$E10,1)*AT14+IF(AND(AT4&lt;&gt;1,AT54*IF($C17=TRUE,1-'Get Started  3'!$E10,1)&lt;&gt;0,SUM($G54:AT54)*IF($C17=TRUE,1-'Get Started  3'!$E10,1)&lt;&gt;AR54*IF($C17=TRUE,1-'Get Started  3'!$E10,1)),AT54*IF($C17=TRUE,1-'Get Started  3'!$E10,1)*(AT4-1)*AT14,0),IF(AT15="called",AT14*(AT60+AS60)/2*IF($C17=TRUE,1-'Get Started  3'!$E10,1),AT14*(AT85+AS85)/2*IF($C17=TRUE,1-'Get Started  3'!$E10,1))),0)</f>
        <v>122500</v>
      </c>
      <c r="AU41" s="37">
        <f>IFERROR(IF(AU15="committed",AU83*IF($C17=TRUE,1-'Get Started  3'!$E10,1)*AU14+IF(AND(AU4&lt;&gt;1,AU54*IF($C17=TRUE,1-'Get Started  3'!$E10,1)&lt;&gt;0,SUM($G54:AU54)*IF($C17=TRUE,1-'Get Started  3'!$E10,1)&lt;&gt;AS54*IF($C17=TRUE,1-'Get Started  3'!$E10,1)),AU54*IF($C17=TRUE,1-'Get Started  3'!$E10,1)*(AU4-1)*AU14,0),IF(AU15="called",AU14*(AU60+AT60)/2*IF($C17=TRUE,1-'Get Started  3'!$E10,1),AU14*(AU85+AT85)/2*IF($C17=TRUE,1-'Get Started  3'!$E10,1))),0)</f>
        <v>0</v>
      </c>
      <c r="AV41" s="37">
        <f>IFERROR(IF(AV15="committed",AV83*IF($C17=TRUE,1-'Get Started  3'!$E10,1)*AV14+IF(AND(AV4&lt;&gt;1,AV54*IF($C17=TRUE,1-'Get Started  3'!$E10,1)&lt;&gt;0,SUM($G54:AV54)*IF($C17=TRUE,1-'Get Started  3'!$E10,1)&lt;&gt;AT54*IF($C17=TRUE,1-'Get Started  3'!$E10,1)),AV54*IF($C17=TRUE,1-'Get Started  3'!$E10,1)*(AV4-1)*AV14,0),IF(AV15="called",AV14*(AV60+AU60)/2*IF($C17=TRUE,1-'Get Started  3'!$E10,1),AV14*(AV85+AU85)/2*IF($C17=TRUE,1-'Get Started  3'!$E10,1))),0)</f>
        <v>0</v>
      </c>
      <c r="AW41" s="37">
        <f>IFERROR(IF(AW15="committed",AW83*IF($C17=TRUE,1-'Get Started  3'!$E10,1)*AW14+IF(AND(AW4&lt;&gt;1,AW54*IF($C17=TRUE,1-'Get Started  3'!$E10,1)&lt;&gt;0,SUM($G54:AW54)*IF($C17=TRUE,1-'Get Started  3'!$E10,1)&lt;&gt;AU54*IF($C17=TRUE,1-'Get Started  3'!$E10,1)),AW54*IF($C17=TRUE,1-'Get Started  3'!$E10,1)*(AW4-1)*AW14,0),IF(AW15="called",AW14*(AW60+AV60)/2*IF($C17=TRUE,1-'Get Started  3'!$E10,1),AW14*(AW85+AV85)/2*IF($C17=TRUE,1-'Get Started  3'!$E10,1))),0)</f>
        <v>0</v>
      </c>
      <c r="AX41" s="37">
        <f>IFERROR(IF(AX15="committed",AX83*IF($C17=TRUE,1-'Get Started  3'!$E10,1)*AX14+IF(AND(AX4&lt;&gt;1,AX54*IF($C17=TRUE,1-'Get Started  3'!$E10,1)&lt;&gt;0,SUM($G54:AX54)*IF($C17=TRUE,1-'Get Started  3'!$E10,1)&lt;&gt;AV54*IF($C17=TRUE,1-'Get Started  3'!$E10,1)),AX54*IF($C17=TRUE,1-'Get Started  3'!$E10,1)*(AX4-1)*AX14,0),IF(AX15="called",AX14*(AX60+AW60)/2*IF($C17=TRUE,1-'Get Started  3'!$E10,1),AX14*(AX85+AW85)/2*IF($C17=TRUE,1-'Get Started  3'!$E10,1))),0)</f>
        <v>0</v>
      </c>
      <c r="AY41" s="37">
        <f>IFERROR(IF(AY15="committed",AY83*IF($C17=TRUE,1-'Get Started  3'!$E10,1)*AY14+IF(AND(AY4&lt;&gt;1,AY54*IF($C17=TRUE,1-'Get Started  3'!$E10,1)&lt;&gt;0,SUM($G54:AY54)*IF($C17=TRUE,1-'Get Started  3'!$E10,1)&lt;&gt;AW54*IF($C17=TRUE,1-'Get Started  3'!$E10,1)),AY54*IF($C17=TRUE,1-'Get Started  3'!$E10,1)*(AY4-1)*AY14,0),IF(AY15="called",AY14*(AY60+AX60)/2*IF($C17=TRUE,1-'Get Started  3'!$E10,1),AY14*(AY85+AX85)/2*IF($C17=TRUE,1-'Get Started  3'!$E10,1))),0)</f>
        <v>0</v>
      </c>
      <c r="AZ41" s="37">
        <f>IFERROR(IF(AZ15="committed",AZ83*IF($C17=TRUE,1-'Get Started  3'!$E10,1)*AZ14+IF(AND(AZ4&lt;&gt;1,AZ54*IF($C17=TRUE,1-'Get Started  3'!$E10,1)&lt;&gt;0,SUM($G54:AZ54)*IF($C17=TRUE,1-'Get Started  3'!$E10,1)&lt;&gt;AX54*IF($C17=TRUE,1-'Get Started  3'!$E10,1)),AZ54*IF($C17=TRUE,1-'Get Started  3'!$E10,1)*(AZ4-1)*AZ14,0),IF(AZ15="called",AZ14*(AZ60+AY60)/2*IF($C17=TRUE,1-'Get Started  3'!$E10,1),AZ14*(AZ85+AY85)/2*IF($C17=TRUE,1-'Get Started  3'!$E10,1))),0)</f>
        <v>0</v>
      </c>
      <c r="BA41" s="37">
        <f>IFERROR(IF(BA15="committed",BA83*IF($C17=TRUE,1-'Get Started  3'!$E10,1)*BA14+IF(AND(BA4&lt;&gt;1,BA54*IF($C17=TRUE,1-'Get Started  3'!$E10,1)&lt;&gt;0,SUM($G54:BA54)*IF($C17=TRUE,1-'Get Started  3'!$E10,1)&lt;&gt;AY54*IF($C17=TRUE,1-'Get Started  3'!$E10,1)),BA54*IF($C17=TRUE,1-'Get Started  3'!$E10,1)*(BA4-1)*BA14,0),IF(BA15="called",BA14*(BA60+AZ60)/2*IF($C17=TRUE,1-'Get Started  3'!$E10,1),BA14*(BA85+AZ85)/2*IF($C17=TRUE,1-'Get Started  3'!$E10,1))),0)</f>
        <v>0</v>
      </c>
      <c r="BB41" s="37">
        <f>IFERROR(IF(BB15="committed",BB83*IF($C17=TRUE,1-'Get Started  3'!$E10,1)*BB14+IF(AND(BB4&lt;&gt;1,BB54*IF($C17=TRUE,1-'Get Started  3'!$E10,1)&lt;&gt;0,SUM($G54:BB54)*IF($C17=TRUE,1-'Get Started  3'!$E10,1)&lt;&gt;AZ54*IF($C17=TRUE,1-'Get Started  3'!$E10,1)),BB54*IF($C17=TRUE,1-'Get Started  3'!$E10,1)*(BB4-1)*BB14,0),IF(BB15="called",BB14*(BB60+BA60)/2*IF($C17=TRUE,1-'Get Started  3'!$E10,1),BB14*(BB85+BA85)/2*IF($C17=TRUE,1-'Get Started  3'!$E10,1))),0)</f>
        <v>0</v>
      </c>
      <c r="BC41" s="37">
        <f>IFERROR(IF(BC15="committed",BC83*IF($C17=TRUE,1-'Get Started  3'!$E10,1)*BC14+IF(AND(BC4&lt;&gt;1,BC54*IF($C17=TRUE,1-'Get Started  3'!$E10,1)&lt;&gt;0,SUM($G54:BC54)*IF($C17=TRUE,1-'Get Started  3'!$E10,1)&lt;&gt;BA54*IF($C17=TRUE,1-'Get Started  3'!$E10,1)),BC54*IF($C17=TRUE,1-'Get Started  3'!$E10,1)*(BC4-1)*BC14,0),IF(BC15="called",BC14*(BC60+BB60)/2*IF($C17=TRUE,1-'Get Started  3'!$E10,1),BC14*(BC85+BB85)/2*IF($C17=TRUE,1-'Get Started  3'!$E10,1))),0)</f>
        <v>0</v>
      </c>
      <c r="BD41" s="37">
        <f>IFERROR(IF(BD15="committed",BD83*IF($C17=TRUE,1-'Get Started  3'!$E10,1)*BD14+IF(AND(BD4&lt;&gt;1,BD54*IF($C17=TRUE,1-'Get Started  3'!$E10,1)&lt;&gt;0,SUM($G54:BD54)*IF($C17=TRUE,1-'Get Started  3'!$E10,1)&lt;&gt;BB54*IF($C17=TRUE,1-'Get Started  3'!$E10,1)),BD54*IF($C17=TRUE,1-'Get Started  3'!$E10,1)*(BD4-1)*BD14,0),IF(BD15="called",BD14*(BD60+BC60)/2*IF($C17=TRUE,1-'Get Started  3'!$E10,1),BD14*(BD85+BC85)/2*IF($C17=TRUE,1-'Get Started  3'!$E10,1))),0)</f>
        <v>0</v>
      </c>
      <c r="BE41" s="37">
        <f>IFERROR(IF(BE15="committed",BE83*IF($C17=TRUE,1-'Get Started  3'!$E10,1)*BE14+IF(AND(BE4&lt;&gt;1,BE54*IF($C17=TRUE,1-'Get Started  3'!$E10,1)&lt;&gt;0,SUM($G54:BE54)*IF($C17=TRUE,1-'Get Started  3'!$E10,1)&lt;&gt;BC54*IF($C17=TRUE,1-'Get Started  3'!$E10,1)),BE54*IF($C17=TRUE,1-'Get Started  3'!$E10,1)*(BE4-1)*BE14,0),IF(BE15="called",BE14*(BE60+BD60)/2*IF($C17=TRUE,1-'Get Started  3'!$E10,1),BE14*(BE85+BD85)/2*IF($C17=TRUE,1-'Get Started  3'!$E10,1))),0)</f>
        <v>0</v>
      </c>
      <c r="BF41" s="37">
        <f>IFERROR(IF(BF15="committed",BF83*IF($C17=TRUE,1-'Get Started  3'!$E10,1)*BF14+IF(AND(BF4&lt;&gt;1,BF54*IF($C17=TRUE,1-'Get Started  3'!$E10,1)&lt;&gt;0,SUM($G54:BF54)*IF($C17=TRUE,1-'Get Started  3'!$E10,1)&lt;&gt;BD54*IF($C17=TRUE,1-'Get Started  3'!$E10,1)),BF54*IF($C17=TRUE,1-'Get Started  3'!$E10,1)*(BF4-1)*BF14,0),IF(BF15="called",BF14*(BF60+BE60)/2*IF($C17=TRUE,1-'Get Started  3'!$E10,1),BF14*(BF85+BE85)/2*IF($C17=TRUE,1-'Get Started  3'!$E10,1))),0)</f>
        <v>0</v>
      </c>
      <c r="BG41" s="37">
        <f>IFERROR(IF(BG15="committed",BG83*IF($C17=TRUE,1-'Get Started  3'!$E10,1)*BG14+IF(AND(BG4&lt;&gt;1,BG54*IF($C17=TRUE,1-'Get Started  3'!$E10,1)&lt;&gt;0,SUM($G54:BG54)*IF($C17=TRUE,1-'Get Started  3'!$E10,1)&lt;&gt;BE54*IF($C17=TRUE,1-'Get Started  3'!$E10,1)),BG54*IF($C17=TRUE,1-'Get Started  3'!$E10,1)*(BG4-1)*BG14,0),IF(BG15="called",BG14*(BG60+BF60)/2*IF($C17=TRUE,1-'Get Started  3'!$E10,1),BG14*(BG85+BF85)/2*IF($C17=TRUE,1-'Get Started  3'!$E10,1))),0)</f>
        <v>0</v>
      </c>
      <c r="BH41" s="37">
        <f>IFERROR(IF(BH15="committed",BH83*IF($C17=TRUE,1-'Get Started  3'!$E10,1)*BH14+IF(AND(BH4&lt;&gt;1,BH54*IF($C17=TRUE,1-'Get Started  3'!$E10,1)&lt;&gt;0,SUM($G54:BH54)*IF($C17=TRUE,1-'Get Started  3'!$E10,1)&lt;&gt;BF54*IF($C17=TRUE,1-'Get Started  3'!$E10,1)),BH54*IF($C17=TRUE,1-'Get Started  3'!$E10,1)*(BH4-1)*BH14,0),IF(BH15="called",BH14*(BH60+BG60)/2*IF($C17=TRUE,1-'Get Started  3'!$E10,1),BH14*(BH85+BG85)/2*IF($C17=TRUE,1-'Get Started  3'!$E10,1))),0)</f>
        <v>0</v>
      </c>
      <c r="BI41" s="37">
        <f>IFERROR(IF(BI15="committed",BI83*IF($C17=TRUE,1-'Get Started  3'!$E10,1)*BI14+IF(AND(BI4&lt;&gt;1,BI54*IF($C17=TRUE,1-'Get Started  3'!$E10,1)&lt;&gt;0,SUM($G54:BI54)*IF($C17=TRUE,1-'Get Started  3'!$E10,1)&lt;&gt;BG54*IF($C17=TRUE,1-'Get Started  3'!$E10,1)),BI54*IF($C17=TRUE,1-'Get Started  3'!$E10,1)*(BI4-1)*BI14,0),IF(BI15="called",BI14*(BI60+BH60)/2*IF($C17=TRUE,1-'Get Started  3'!$E10,1),BI14*(BI85+BH85)/2*IF($C17=TRUE,1-'Get Started  3'!$E10,1))),0)</f>
        <v>0</v>
      </c>
      <c r="BJ41" s="37">
        <f>IFERROR(IF(BJ15="committed",BJ83*IF($C17=TRUE,1-'Get Started  3'!$E10,1)*BJ14+IF(AND(BJ4&lt;&gt;1,BJ54*IF($C17=TRUE,1-'Get Started  3'!$E10,1)&lt;&gt;0,SUM($G54:BJ54)*IF($C17=TRUE,1-'Get Started  3'!$E10,1)&lt;&gt;BH54*IF($C17=TRUE,1-'Get Started  3'!$E10,1)),BJ54*IF($C17=TRUE,1-'Get Started  3'!$E10,1)*(BJ4-1)*BJ14,0),IF(BJ15="called",BJ14*(BJ60+BI60)/2*IF($C17=TRUE,1-'Get Started  3'!$E10,1),BJ14*(BJ85+BI85)/2*IF($C17=TRUE,1-'Get Started  3'!$E10,1))),0)</f>
        <v>0</v>
      </c>
      <c r="BK41" s="37">
        <f>IFERROR(IF(BK15="committed",BK83*IF($C17=TRUE,1-'Get Started  3'!$E10,1)*BK14+IF(AND(BK4&lt;&gt;1,BK54*IF($C17=TRUE,1-'Get Started  3'!$E10,1)&lt;&gt;0,SUM($G54:BK54)*IF($C17=TRUE,1-'Get Started  3'!$E10,1)&lt;&gt;BI54*IF($C17=TRUE,1-'Get Started  3'!$E10,1)),BK54*IF($C17=TRUE,1-'Get Started  3'!$E10,1)*(BK4-1)*BK14,0),IF(BK15="called",BK14*(BK60+BJ60)/2*IF($C17=TRUE,1-'Get Started  3'!$E10,1),BK14*(BK85+BJ85)/2*IF($C17=TRUE,1-'Get Started  3'!$E10,1))),0)</f>
        <v>0</v>
      </c>
      <c r="BL41" s="37">
        <f>IFERROR(IF(BL15="committed",BL83*IF($C17=TRUE,1-'Get Started  3'!$E10,1)*BL14+IF(AND(BL4&lt;&gt;1,BL54*IF($C17=TRUE,1-'Get Started  3'!$E10,1)&lt;&gt;0,SUM($G54:BL54)*IF($C17=TRUE,1-'Get Started  3'!$E10,1)&lt;&gt;BJ54*IF($C17=TRUE,1-'Get Started  3'!$E10,1)),BL54*IF($C17=TRUE,1-'Get Started  3'!$E10,1)*(BL4-1)*BL14,0),IF(BL15="called",BL14*(BL60+BK60)/2*IF($C17=TRUE,1-'Get Started  3'!$E10,1),BL14*(BL85+BK85)/2*IF($C17=TRUE,1-'Get Started  3'!$E10,1))),0)</f>
        <v>0</v>
      </c>
      <c r="BM41" s="37">
        <f>IFERROR(IF(BM15="committed",BM83*IF($C17=TRUE,1-'Get Started  3'!$E10,1)*BM14+IF(AND(BM4&lt;&gt;1,BM54*IF($C17=TRUE,1-'Get Started  3'!$E10,1)&lt;&gt;0,SUM($G54:BM54)*IF($C17=TRUE,1-'Get Started  3'!$E10,1)&lt;&gt;BK54*IF($C17=TRUE,1-'Get Started  3'!$E10,1)),BM54*IF($C17=TRUE,1-'Get Started  3'!$E10,1)*(BM4-1)*BM14,0),IF(BM15="called",BM14*(BM60+BL60)/2*IF($C17=TRUE,1-'Get Started  3'!$E10,1),BM14*(BM85+BL85)/2*IF($C17=TRUE,1-'Get Started  3'!$E10,1))),0)</f>
        <v>0</v>
      </c>
      <c r="BN41" s="37">
        <f>IFERROR(IF(BN15="committed",BN83*IF($C17=TRUE,1-'Get Started  3'!$E10,1)*BN14+IF(AND(BN4&lt;&gt;1,BN54*IF($C17=TRUE,1-'Get Started  3'!$E10,1)&lt;&gt;0,SUM($G54:BN54)*IF($C17=TRUE,1-'Get Started  3'!$E10,1)&lt;&gt;BL54*IF($C17=TRUE,1-'Get Started  3'!$E10,1)),BN54*IF($C17=TRUE,1-'Get Started  3'!$E10,1)*(BN4-1)*BN14,0),IF(BN15="called",BN14*(BN60+BM60)/2*IF($C17=TRUE,1-'Get Started  3'!$E10,1),BN14*(BN85+BM85)/2*IF($C17=TRUE,1-'Get Started  3'!$E10,1))),0)</f>
        <v>0</v>
      </c>
      <c r="BO41" s="37">
        <f>IFERROR(IF(BO15="committed",BO83*IF($C17=TRUE,1-'Get Started  3'!$E10,1)*BO14+IF(AND(BO4&lt;&gt;1,BO54*IF($C17=TRUE,1-'Get Started  3'!$E10,1)&lt;&gt;0,SUM($G54:BO54)*IF($C17=TRUE,1-'Get Started  3'!$E10,1)&lt;&gt;BM54*IF($C17=TRUE,1-'Get Started  3'!$E10,1)),BO54*IF($C17=TRUE,1-'Get Started  3'!$E10,1)*(BO4-1)*BO14,0),IF(BO15="called",BO14*(BO60+BN60)/2*IF($C17=TRUE,1-'Get Started  3'!$E10,1),BO14*(BO85+BN85)/2*IF($C17=TRUE,1-'Get Started  3'!$E10,1))),0)</f>
        <v>0</v>
      </c>
      <c r="BP41" s="37">
        <f>IFERROR(IF(BP15="committed",BP83*IF($C17=TRUE,1-'Get Started  3'!$E10,1)*BP14+IF(AND(BP4&lt;&gt;1,BP54*IF($C17=TRUE,1-'Get Started  3'!$E10,1)&lt;&gt;0,SUM($G54:BP54)*IF($C17=TRUE,1-'Get Started  3'!$E10,1)&lt;&gt;BN54*IF($C17=TRUE,1-'Get Started  3'!$E10,1)),BP54*IF($C17=TRUE,1-'Get Started  3'!$E10,1)*(BP4-1)*BP14,0),IF(BP15="called",BP14*(BP60+BO60)/2*IF($C17=TRUE,1-'Get Started  3'!$E10,1),BP14*(BP85+BO85)/2*IF($C17=TRUE,1-'Get Started  3'!$E10,1))),0)</f>
        <v>0</v>
      </c>
      <c r="BQ41" s="37">
        <f>IFERROR(IF(BQ15="committed",BQ83*IF($C17=TRUE,1-'Get Started  3'!$E10,1)*BQ14+IF(AND(BQ4&lt;&gt;1,BQ54*IF($C17=TRUE,1-'Get Started  3'!$E10,1)&lt;&gt;0,SUM($G54:BQ54)*IF($C17=TRUE,1-'Get Started  3'!$E10,1)&lt;&gt;BO54*IF($C17=TRUE,1-'Get Started  3'!$E10,1)),BQ54*IF($C17=TRUE,1-'Get Started  3'!$E10,1)*(BQ4-1)*BQ14,0),IF(BQ15="called",BQ14*(BQ60+BP60)/2*IF($C17=TRUE,1-'Get Started  3'!$E10,1),BQ14*(BQ85+BP85)/2*IF($C17=TRUE,1-'Get Started  3'!$E10,1))),0)</f>
        <v>0</v>
      </c>
      <c r="BR41" s="37">
        <f>IFERROR(IF(BR15="committed",BR83*IF($C17=TRUE,1-'Get Started  3'!$E10,1)*BR14+IF(AND(BR4&lt;&gt;1,BR54*IF($C17=TRUE,1-'Get Started  3'!$E10,1)&lt;&gt;0,SUM($G54:BR54)*IF($C17=TRUE,1-'Get Started  3'!$E10,1)&lt;&gt;BP54*IF($C17=TRUE,1-'Get Started  3'!$E10,1)),BR54*IF($C17=TRUE,1-'Get Started  3'!$E10,1)*(BR4-1)*BR14,0),IF(BR15="called",BR14*(BR60+BQ60)/2*IF($C17=TRUE,1-'Get Started  3'!$E10,1),BR14*(BR85+BQ85)/2*IF($C17=TRUE,1-'Get Started  3'!$E10,1))),0)</f>
        <v>0</v>
      </c>
      <c r="BS41" s="37">
        <f>IFERROR(IF(BS15="committed",BS83*IF($C17=TRUE,1-'Get Started  3'!$E10,1)*BS14+IF(AND(BS4&lt;&gt;1,BS54*IF($C17=TRUE,1-'Get Started  3'!$E10,1)&lt;&gt;0,SUM($G54:BS54)*IF($C17=TRUE,1-'Get Started  3'!$E10,1)&lt;&gt;BQ54*IF($C17=TRUE,1-'Get Started  3'!$E10,1)),BS54*IF($C17=TRUE,1-'Get Started  3'!$E10,1)*(BS4-1)*BS14,0),IF(BS15="called",BS14*(BS60+BR60)/2*IF($C17=TRUE,1-'Get Started  3'!$E10,1),BS14*(BS85+BR85)/2*IF($C17=TRUE,1-'Get Started  3'!$E10,1))),0)</f>
        <v>0</v>
      </c>
      <c r="BT41" s="37">
        <f>IFERROR(IF(BT15="committed",BT83*IF($C17=TRUE,1-'Get Started  3'!$E10,1)*BT14+IF(AND(BT4&lt;&gt;1,BT54*IF($C17=TRUE,1-'Get Started  3'!$E10,1)&lt;&gt;0,SUM($G54:BT54)*IF($C17=TRUE,1-'Get Started  3'!$E10,1)&lt;&gt;BR54*IF($C17=TRUE,1-'Get Started  3'!$E10,1)),BT54*IF($C17=TRUE,1-'Get Started  3'!$E10,1)*(BT4-1)*BT14,0),IF(BT15="called",BT14*(BT60+BS60)/2*IF($C17=TRUE,1-'Get Started  3'!$E10,1),BT14*(BT85+BS85)/2*IF($C17=TRUE,1-'Get Started  3'!$E10,1))),0)</f>
        <v>0</v>
      </c>
      <c r="BU41" s="37">
        <f>IFERROR(IF(BU15="committed",BU83*IF($C17=TRUE,1-'Get Started  3'!$E10,1)*BU14+IF(AND(BU4&lt;&gt;1,BU54*IF($C17=TRUE,1-'Get Started  3'!$E10,1)&lt;&gt;0,SUM($G54:BU54)*IF($C17=TRUE,1-'Get Started  3'!$E10,1)&lt;&gt;BS54*IF($C17=TRUE,1-'Get Started  3'!$E10,1)),BU54*IF($C17=TRUE,1-'Get Started  3'!$E10,1)*(BU4-1)*BU14,0),IF(BU15="called",BU14*(BU60+BT60)/2*IF($C17=TRUE,1-'Get Started  3'!$E10,1),BU14*(BU85+BT85)/2*IF($C17=TRUE,1-'Get Started  3'!$E10,1))),0)</f>
        <v>0</v>
      </c>
      <c r="BV41" s="37">
        <f>IFERROR(IF(BV15="committed",BV83*IF($C17=TRUE,1-'Get Started  3'!$E10,1)*BV14+IF(AND(BV4&lt;&gt;1,BV54*IF($C17=TRUE,1-'Get Started  3'!$E10,1)&lt;&gt;0,SUM($G54:BV54)*IF($C17=TRUE,1-'Get Started  3'!$E10,1)&lt;&gt;BT54*IF($C17=TRUE,1-'Get Started  3'!$E10,1)),BV54*IF($C17=TRUE,1-'Get Started  3'!$E10,1)*(BV4-1)*BV14,0),IF(BV15="called",BV14*(BV60+BU60)/2*IF($C17=TRUE,1-'Get Started  3'!$E10,1),BV14*(BV85+BU85)/2*IF($C17=TRUE,1-'Get Started  3'!$E10,1))),0)</f>
        <v>0</v>
      </c>
      <c r="BW41" s="37">
        <f>IFERROR(IF(BW15="committed",BW83*IF($C17=TRUE,1-'Get Started  3'!$E10,1)*BW14+IF(AND(BW4&lt;&gt;1,BW54*IF($C17=TRUE,1-'Get Started  3'!$E10,1)&lt;&gt;0,SUM($G54:BW54)*IF($C17=TRUE,1-'Get Started  3'!$E10,1)&lt;&gt;BU54*IF($C17=TRUE,1-'Get Started  3'!$E10,1)),BW54*IF($C17=TRUE,1-'Get Started  3'!$E10,1)*(BW4-1)*BW14,0),IF(BW15="called",BW14*(BW60+BV60)/2*IF($C17=TRUE,1-'Get Started  3'!$E10,1),BW14*(BW85+BV85)/2*IF($C17=TRUE,1-'Get Started  3'!$E10,1))),0)</f>
        <v>0</v>
      </c>
      <c r="BX41" s="37">
        <f>IFERROR(IF(BX15="committed",BX83*IF($C17=TRUE,1-'Get Started  3'!$E10,1)*BX14+IF(AND(BX4&lt;&gt;1,BX54*IF($C17=TRUE,1-'Get Started  3'!$E10,1)&lt;&gt;0,SUM($G54:BX54)*IF($C17=TRUE,1-'Get Started  3'!$E10,1)&lt;&gt;BV54*IF($C17=TRUE,1-'Get Started  3'!$E10,1)),BX54*IF($C17=TRUE,1-'Get Started  3'!$E10,1)*(BX4-1)*BX14,0),IF(BX15="called",BX14*(BX60+BW60)/2*IF($C17=TRUE,1-'Get Started  3'!$E10,1),BX14*(BX85+BW85)/2*IF($C17=TRUE,1-'Get Started  3'!$E10,1))),0)</f>
        <v>0</v>
      </c>
      <c r="BY41" s="37">
        <f>IFERROR(IF(BY15="committed",BY83*IF($C17=TRUE,1-'Get Started  3'!$E10,1)*BY14+IF(AND(BY4&lt;&gt;1,BY54*IF($C17=TRUE,1-'Get Started  3'!$E10,1)&lt;&gt;0,SUM($G54:BY54)*IF($C17=TRUE,1-'Get Started  3'!$E10,1)&lt;&gt;BW54*IF($C17=TRUE,1-'Get Started  3'!$E10,1)),BY54*IF($C17=TRUE,1-'Get Started  3'!$E10,1)*(BY4-1)*BY14,0),IF(BY15="called",BY14*(BY60+BX60)/2*IF($C17=TRUE,1-'Get Started  3'!$E10,1),BY14*(BY85+BX85)/2*IF($C17=TRUE,1-'Get Started  3'!$E10,1))),0)</f>
        <v>0</v>
      </c>
      <c r="BZ41" s="37">
        <f>IFERROR(IF(BZ15="committed",BZ83*IF($C17=TRUE,1-'Get Started  3'!$E10,1)*BZ14+IF(AND(BZ4&lt;&gt;1,BZ54*IF($C17=TRUE,1-'Get Started  3'!$E10,1)&lt;&gt;0,SUM($G54:BZ54)*IF($C17=TRUE,1-'Get Started  3'!$E10,1)&lt;&gt;BX54*IF($C17=TRUE,1-'Get Started  3'!$E10,1)),BZ54*IF($C17=TRUE,1-'Get Started  3'!$E10,1)*(BZ4-1)*BZ14,0),IF(BZ15="called",BZ14*(BZ60+BY60)/2*IF($C17=TRUE,1-'Get Started  3'!$E10,1),BZ14*(BZ85+BY85)/2*IF($C17=TRUE,1-'Get Started  3'!$E10,1))),0)</f>
        <v>0</v>
      </c>
      <c r="CA41" s="37">
        <f>IFERROR(IF(CA15="committed",CA83*IF($C17=TRUE,1-'Get Started  3'!$E10,1)*CA14+IF(AND(CA4&lt;&gt;1,CA54*IF($C17=TRUE,1-'Get Started  3'!$E10,1)&lt;&gt;0,SUM($G54:CA54)*IF($C17=TRUE,1-'Get Started  3'!$E10,1)&lt;&gt;BY54*IF($C17=TRUE,1-'Get Started  3'!$E10,1)),CA54*IF($C17=TRUE,1-'Get Started  3'!$E10,1)*(CA4-1)*CA14,0),IF(CA15="called",CA14*(CA60+BZ60)/2*IF($C17=TRUE,1-'Get Started  3'!$E10,1),CA14*(CA85+BZ85)/2*IF($C17=TRUE,1-'Get Started  3'!$E10,1))),0)</f>
        <v>0</v>
      </c>
      <c r="CB41" s="37">
        <f>IFERROR(IF(CB15="committed",CB83*IF($C17=TRUE,1-'Get Started  3'!$E10,1)*CB14+IF(AND(CB4&lt;&gt;1,CB54*IF($C17=TRUE,1-'Get Started  3'!$E10,1)&lt;&gt;0,SUM($G54:CB54)*IF($C17=TRUE,1-'Get Started  3'!$E10,1)&lt;&gt;BZ54*IF($C17=TRUE,1-'Get Started  3'!$E10,1)),CB54*IF($C17=TRUE,1-'Get Started  3'!$E10,1)*(CB4-1)*CB14,0),IF(CB15="called",CB14*(CB60+CA60)/2*IF($C17=TRUE,1-'Get Started  3'!$E10,1),CB14*(CB85+CA85)/2*IF($C17=TRUE,1-'Get Started  3'!$E10,1))),0)</f>
        <v>0</v>
      </c>
      <c r="CC41" s="37">
        <f>IFERROR(IF(CC15="committed",CC83*IF($C17=TRUE,1-'Get Started  3'!$E10,1)*CC14+IF(AND(CC4&lt;&gt;1,CC54*IF($C17=TRUE,1-'Get Started  3'!$E10,1)&lt;&gt;0,SUM($G54:CC54)*IF($C17=TRUE,1-'Get Started  3'!$E10,1)&lt;&gt;CA54*IF($C17=TRUE,1-'Get Started  3'!$E10,1)),CC54*IF($C17=TRUE,1-'Get Started  3'!$E10,1)*(CC4-1)*CC14,0),IF(CC15="called",CC14*(CC60+CB60)/2*IF($C17=TRUE,1-'Get Started  3'!$E10,1),CC14*(CC85+CB85)/2*IF($C17=TRUE,1-'Get Started  3'!$E10,1))),0)</f>
        <v>0</v>
      </c>
      <c r="CD41" s="37">
        <f>IFERROR(IF(CD15="committed",CD83*IF($C17=TRUE,1-'Get Started  3'!$E10,1)*CD14+IF(AND(CD4&lt;&gt;1,CD54*IF($C17=TRUE,1-'Get Started  3'!$E10,1)&lt;&gt;0,SUM($G54:CD54)*IF($C17=TRUE,1-'Get Started  3'!$E10,1)&lt;&gt;CB54*IF($C17=TRUE,1-'Get Started  3'!$E10,1)),CD54*IF($C17=TRUE,1-'Get Started  3'!$E10,1)*(CD4-1)*CD14,0),IF(CD15="called",CD14*(CD60+CC60)/2*IF($C17=TRUE,1-'Get Started  3'!$E10,1),CD14*(CD85+CC85)/2*IF($C17=TRUE,1-'Get Started  3'!$E10,1))),0)</f>
        <v>0</v>
      </c>
      <c r="CE41" s="37">
        <f>IFERROR(IF(CE15="committed",CE83*IF($C17=TRUE,1-'Get Started  3'!$E10,1)*CE14+IF(AND(CE4&lt;&gt;1,CE54*IF($C17=TRUE,1-'Get Started  3'!$E10,1)&lt;&gt;0,SUM($G54:CE54)*IF($C17=TRUE,1-'Get Started  3'!$E10,1)&lt;&gt;CC54*IF($C17=TRUE,1-'Get Started  3'!$E10,1)),CE54*IF($C17=TRUE,1-'Get Started  3'!$E10,1)*(CE4-1)*CE14,0),IF(CE15="called",CE14*(CE60+CD60)/2*IF($C17=TRUE,1-'Get Started  3'!$E10,1),CE14*(CE85+CD85)/2*IF($C17=TRUE,1-'Get Started  3'!$E10,1))),0)</f>
        <v>0</v>
      </c>
      <c r="CF41" s="37">
        <f>IFERROR(IF(CF15="committed",CF83*IF($C17=TRUE,1-'Get Started  3'!$E10,1)*CF14+IF(AND(CF4&lt;&gt;1,CF54*IF($C17=TRUE,1-'Get Started  3'!$E10,1)&lt;&gt;0,SUM($G54:CF54)*IF($C17=TRUE,1-'Get Started  3'!$E10,1)&lt;&gt;CD54*IF($C17=TRUE,1-'Get Started  3'!$E10,1)),CF54*IF($C17=TRUE,1-'Get Started  3'!$E10,1)*(CF4-1)*CF14,0),IF(CF15="called",CF14*(CF60+CE60)/2*IF($C17=TRUE,1-'Get Started  3'!$E10,1),CF14*(CF85+CE85)/2*IF($C17=TRUE,1-'Get Started  3'!$E10,1))),0)</f>
        <v>0</v>
      </c>
      <c r="CG41" s="37">
        <f>IFERROR(IF(CG15="committed",CG83*IF($C17=TRUE,1-'Get Started  3'!$E10,1)*CG14+IF(AND(CG4&lt;&gt;1,CG54*IF($C17=TRUE,1-'Get Started  3'!$E10,1)&lt;&gt;0,SUM($G54:CG54)*IF($C17=TRUE,1-'Get Started  3'!$E10,1)&lt;&gt;CE54*IF($C17=TRUE,1-'Get Started  3'!$E10,1)),CG54*IF($C17=TRUE,1-'Get Started  3'!$E10,1)*(CG4-1)*CG14,0),IF(CG15="called",CG14*(CG60+CF60)/2*IF($C17=TRUE,1-'Get Started  3'!$E10,1),CG14*(CG85+CF85)/2*IF($C17=TRUE,1-'Get Started  3'!$E10,1))),0)</f>
        <v>0</v>
      </c>
      <c r="CH41" s="37">
        <f>IFERROR(IF(CH15="committed",CH83*IF($C17=TRUE,1-'Get Started  3'!$E10,1)*CH14+IF(AND(CH4&lt;&gt;1,CH54*IF($C17=TRUE,1-'Get Started  3'!$E10,1)&lt;&gt;0,SUM($G54:CH54)*IF($C17=TRUE,1-'Get Started  3'!$E10,1)&lt;&gt;CF54*IF($C17=TRUE,1-'Get Started  3'!$E10,1)),CH54*IF($C17=TRUE,1-'Get Started  3'!$E10,1)*(CH4-1)*CH14,0),IF(CH15="called",CH14*(CH60+CG60)/2*IF($C17=TRUE,1-'Get Started  3'!$E10,1),CH14*(CH85+CG85)/2*IF($C17=TRUE,1-'Get Started  3'!$E10,1))),0)</f>
        <v>0</v>
      </c>
    </row>
    <row r="42" spans="1:86" ht="13">
      <c r="B42" s="15" t="s">
        <v>214</v>
      </c>
      <c r="D42" s="15" t="s">
        <v>238</v>
      </c>
      <c r="E42" s="29">
        <f t="shared" ca="1" si="13"/>
        <v>802083.33333333337</v>
      </c>
      <c r="F42" s="29"/>
      <c r="G42" s="29">
        <f t="shared" ref="G42:CH42" ca="1" si="16">G208</f>
        <v>0</v>
      </c>
      <c r="H42" s="29">
        <f t="shared" ca="1" si="16"/>
        <v>0</v>
      </c>
      <c r="I42" s="29">
        <f t="shared" ca="1" si="16"/>
        <v>0</v>
      </c>
      <c r="J42" s="29">
        <f t="shared" ca="1" si="16"/>
        <v>0</v>
      </c>
      <c r="K42" s="29">
        <f t="shared" ca="1" si="16"/>
        <v>0</v>
      </c>
      <c r="L42" s="29">
        <f t="shared" ca="1" si="16"/>
        <v>0</v>
      </c>
      <c r="M42" s="29">
        <f t="shared" ca="1" si="16"/>
        <v>0</v>
      </c>
      <c r="N42" s="29">
        <f t="shared" ca="1" si="16"/>
        <v>0</v>
      </c>
      <c r="O42" s="29">
        <f t="shared" ca="1" si="16"/>
        <v>0</v>
      </c>
      <c r="P42" s="29">
        <f t="shared" ca="1" si="16"/>
        <v>0</v>
      </c>
      <c r="Q42" s="29">
        <f t="shared" ca="1" si="16"/>
        <v>0</v>
      </c>
      <c r="R42" s="29">
        <f t="shared" ca="1" si="16"/>
        <v>0</v>
      </c>
      <c r="S42" s="29">
        <f t="shared" ca="1" si="16"/>
        <v>200520.83333333334</v>
      </c>
      <c r="T42" s="29">
        <f t="shared" ca="1" si="16"/>
        <v>200520.83333333334</v>
      </c>
      <c r="U42" s="29">
        <f t="shared" ca="1" si="16"/>
        <v>200520.83333333334</v>
      </c>
      <c r="V42" s="29">
        <f t="shared" ca="1" si="16"/>
        <v>200520.83333333334</v>
      </c>
      <c r="W42" s="29">
        <f t="shared" ca="1" si="16"/>
        <v>0</v>
      </c>
      <c r="X42" s="29">
        <f t="shared" ca="1" si="16"/>
        <v>0</v>
      </c>
      <c r="Y42" s="29">
        <f t="shared" ca="1" si="16"/>
        <v>0</v>
      </c>
      <c r="Z42" s="29">
        <f t="shared" ca="1" si="16"/>
        <v>0</v>
      </c>
      <c r="AA42" s="29">
        <f t="shared" ca="1" si="16"/>
        <v>0</v>
      </c>
      <c r="AB42" s="29">
        <f t="shared" ca="1" si="16"/>
        <v>0</v>
      </c>
      <c r="AC42" s="29">
        <f t="shared" ca="1" si="16"/>
        <v>0</v>
      </c>
      <c r="AD42" s="29">
        <f t="shared" ca="1" si="16"/>
        <v>0</v>
      </c>
      <c r="AE42" s="29">
        <f t="shared" ca="1" si="16"/>
        <v>0</v>
      </c>
      <c r="AF42" s="29">
        <f t="shared" ca="1" si="16"/>
        <v>0</v>
      </c>
      <c r="AG42" s="29">
        <f t="shared" ca="1" si="16"/>
        <v>0</v>
      </c>
      <c r="AH42" s="29">
        <f t="shared" ca="1" si="16"/>
        <v>0</v>
      </c>
      <c r="AI42" s="29">
        <f t="shared" ca="1" si="16"/>
        <v>0</v>
      </c>
      <c r="AJ42" s="29">
        <f t="shared" ca="1" si="16"/>
        <v>0</v>
      </c>
      <c r="AK42" s="29">
        <f t="shared" ca="1" si="16"/>
        <v>0</v>
      </c>
      <c r="AL42" s="29">
        <f t="shared" ca="1" si="16"/>
        <v>0</v>
      </c>
      <c r="AM42" s="29">
        <f t="shared" ca="1" si="16"/>
        <v>0</v>
      </c>
      <c r="AN42" s="29">
        <f t="shared" ca="1" si="16"/>
        <v>0</v>
      </c>
      <c r="AO42" s="29">
        <f t="shared" ca="1" si="16"/>
        <v>0</v>
      </c>
      <c r="AP42" s="29">
        <f t="shared" ca="1" si="16"/>
        <v>0</v>
      </c>
      <c r="AQ42" s="29">
        <f t="shared" ca="1" si="16"/>
        <v>0</v>
      </c>
      <c r="AR42" s="29">
        <f t="shared" ca="1" si="16"/>
        <v>0</v>
      </c>
      <c r="AS42" s="29">
        <f t="shared" ca="1" si="16"/>
        <v>0</v>
      </c>
      <c r="AT42" s="29">
        <f t="shared" ca="1" si="16"/>
        <v>0</v>
      </c>
      <c r="AU42" s="29">
        <f t="shared" ca="1" si="16"/>
        <v>0</v>
      </c>
      <c r="AV42" s="29">
        <f t="shared" ca="1" si="16"/>
        <v>0</v>
      </c>
      <c r="AW42" s="29">
        <f t="shared" ca="1" si="16"/>
        <v>0</v>
      </c>
      <c r="AX42" s="29">
        <f t="shared" ca="1" si="16"/>
        <v>0</v>
      </c>
      <c r="AY42" s="29">
        <f t="shared" ca="1" si="16"/>
        <v>0</v>
      </c>
      <c r="AZ42" s="29">
        <f t="shared" ca="1" si="16"/>
        <v>0</v>
      </c>
      <c r="BA42" s="29">
        <f t="shared" ca="1" si="16"/>
        <v>0</v>
      </c>
      <c r="BB42" s="29">
        <f t="shared" ca="1" si="16"/>
        <v>0</v>
      </c>
      <c r="BC42" s="29">
        <f t="shared" ca="1" si="16"/>
        <v>0</v>
      </c>
      <c r="BD42" s="29">
        <f t="shared" ca="1" si="16"/>
        <v>0</v>
      </c>
      <c r="BE42" s="29">
        <f t="shared" ca="1" si="16"/>
        <v>0</v>
      </c>
      <c r="BF42" s="29">
        <f t="shared" ca="1" si="16"/>
        <v>0</v>
      </c>
      <c r="BG42" s="29">
        <f t="shared" ca="1" si="16"/>
        <v>0</v>
      </c>
      <c r="BH42" s="29">
        <f t="shared" ca="1" si="16"/>
        <v>0</v>
      </c>
      <c r="BI42" s="29">
        <f t="shared" ca="1" si="16"/>
        <v>0</v>
      </c>
      <c r="BJ42" s="29">
        <f t="shared" ca="1" si="16"/>
        <v>0</v>
      </c>
      <c r="BK42" s="29">
        <f t="shared" ca="1" si="16"/>
        <v>0</v>
      </c>
      <c r="BL42" s="29">
        <f t="shared" ca="1" si="16"/>
        <v>0</v>
      </c>
      <c r="BM42" s="29">
        <f t="shared" ca="1" si="16"/>
        <v>0</v>
      </c>
      <c r="BN42" s="29">
        <f t="shared" ca="1" si="16"/>
        <v>0</v>
      </c>
      <c r="BO42" s="29">
        <f t="shared" ca="1" si="16"/>
        <v>0</v>
      </c>
      <c r="BP42" s="29">
        <f t="shared" ca="1" si="16"/>
        <v>0</v>
      </c>
      <c r="BQ42" s="29">
        <f t="shared" ca="1" si="16"/>
        <v>0</v>
      </c>
      <c r="BR42" s="29">
        <f t="shared" ca="1" si="16"/>
        <v>0</v>
      </c>
      <c r="BS42" s="29">
        <f t="shared" ca="1" si="16"/>
        <v>0</v>
      </c>
      <c r="BT42" s="29">
        <f t="shared" ca="1" si="16"/>
        <v>0</v>
      </c>
      <c r="BU42" s="29">
        <f t="shared" ca="1" si="16"/>
        <v>0</v>
      </c>
      <c r="BV42" s="29">
        <f t="shared" ca="1" si="16"/>
        <v>0</v>
      </c>
      <c r="BW42" s="29">
        <f t="shared" ca="1" si="16"/>
        <v>0</v>
      </c>
      <c r="BX42" s="29">
        <f t="shared" ca="1" si="16"/>
        <v>0</v>
      </c>
      <c r="BY42" s="29">
        <f t="shared" ca="1" si="16"/>
        <v>0</v>
      </c>
      <c r="BZ42" s="29">
        <f t="shared" ca="1" si="16"/>
        <v>0</v>
      </c>
      <c r="CA42" s="29">
        <f t="shared" ca="1" si="16"/>
        <v>0</v>
      </c>
      <c r="CB42" s="29">
        <f t="shared" ca="1" si="16"/>
        <v>0</v>
      </c>
      <c r="CC42" s="29">
        <f t="shared" ca="1" si="16"/>
        <v>0</v>
      </c>
      <c r="CD42" s="29">
        <f t="shared" ca="1" si="16"/>
        <v>0</v>
      </c>
      <c r="CE42" s="29">
        <f t="shared" ca="1" si="16"/>
        <v>0</v>
      </c>
      <c r="CF42" s="29">
        <f t="shared" ca="1" si="16"/>
        <v>0</v>
      </c>
      <c r="CG42" s="29">
        <f t="shared" ca="1" si="16"/>
        <v>0</v>
      </c>
      <c r="CH42" s="29">
        <f t="shared" ca="1" si="16"/>
        <v>0</v>
      </c>
    </row>
    <row r="43" spans="1:86" ht="13">
      <c r="B43" s="15" t="s">
        <v>218</v>
      </c>
      <c r="D43" s="15" t="s">
        <v>238</v>
      </c>
      <c r="E43" s="29">
        <f t="shared" ca="1" si="13"/>
        <v>231601562.5</v>
      </c>
      <c r="F43" s="29"/>
      <c r="G43" s="29">
        <f ca="1">IF(G4&lt;'Get Started  3'!$H112,0,OFFSET(G37,0,-1*'Get Started  3'!$H112)*'Get Started  3'!$H42*'Get Started  3'!$G112)+IF(G4&lt;'Get Started  3'!$H111,0,OFFSET(G37,0,-1*'Get Started  3'!$H111)*'Get Started  3'!$G42*'Get Started  3'!$G111)+IF(G4&lt;'Get Started  3'!$H110,0,OFFSET(G37,0,-1*'Get Started  3'!$H110)*'Get Started  3'!$F42*'Get Started  3'!$G110)+IF(G4&lt;'Get Started  3'!$H109,0,OFFSET(G37,0,-1*'Get Started  3'!$H109)*'Get Started  3'!$E42*'Get Started  3'!$G109)</f>
        <v>0</v>
      </c>
      <c r="H43" s="29">
        <f ca="1">IF(H4&lt;'Get Started  3'!$H112,0,OFFSET(H37,0,-1*'Get Started  3'!$H112)*'Get Started  3'!$H42*'Get Started  3'!$G112)+IF(H4&lt;'Get Started  3'!$H111,0,OFFSET(H37,0,-1*'Get Started  3'!$H111)*'Get Started  3'!$G42*'Get Started  3'!$G111)+IF(H4&lt;'Get Started  3'!$H110,0,OFFSET(H37,0,-1*'Get Started  3'!$H110)*'Get Started  3'!$F42*'Get Started  3'!$G110)+IF(H4&lt;'Get Started  3'!$H109,0,OFFSET(H37,0,-1*'Get Started  3'!$H109)*'Get Started  3'!$E42*'Get Started  3'!$G109)</f>
        <v>0</v>
      </c>
      <c r="I43" s="29">
        <f ca="1">IF(I4&lt;'Get Started  3'!$H112,0,OFFSET(I37,0,-1*'Get Started  3'!$H112)*'Get Started  3'!$H42*'Get Started  3'!$G112)+IF(I4&lt;'Get Started  3'!$H111,0,OFFSET(I37,0,-1*'Get Started  3'!$H111)*'Get Started  3'!$G42*'Get Started  3'!$G111)+IF(I4&lt;'Get Started  3'!$H110,0,OFFSET(I37,0,-1*'Get Started  3'!$H110)*'Get Started  3'!$F42*'Get Started  3'!$G110)+IF(I4&lt;'Get Started  3'!$H109,0,OFFSET(I37,0,-1*'Get Started  3'!$H109)*'Get Started  3'!$E42*'Get Started  3'!$G109)</f>
        <v>0</v>
      </c>
      <c r="J43" s="29">
        <f ca="1">IF(J4&lt;'Get Started  3'!$H112,0,OFFSET(J37,0,-1*'Get Started  3'!$H112)*'Get Started  3'!$H42*'Get Started  3'!$G112)+IF(J4&lt;'Get Started  3'!$H111,0,OFFSET(J37,0,-1*'Get Started  3'!$H111)*'Get Started  3'!$G42*'Get Started  3'!$G111)+IF(J4&lt;'Get Started  3'!$H110,0,OFFSET(J37,0,-1*'Get Started  3'!$H110)*'Get Started  3'!$F42*'Get Started  3'!$G110)+IF(J4&lt;'Get Started  3'!$H109,0,OFFSET(J37,0,-1*'Get Started  3'!$H109)*'Get Started  3'!$E42*'Get Started  3'!$G109)</f>
        <v>0</v>
      </c>
      <c r="K43" s="29">
        <f ca="1">IF(K4&lt;'Get Started  3'!$H112,0,OFFSET(K37,0,-1*'Get Started  3'!$H112)*'Get Started  3'!$H42*'Get Started  3'!$G112)+IF(K4&lt;'Get Started  3'!$H111,0,OFFSET(K37,0,-1*'Get Started  3'!$H111)*'Get Started  3'!$G42*'Get Started  3'!$G111)+IF(K4&lt;'Get Started  3'!$H110,0,OFFSET(K37,0,-1*'Get Started  3'!$H110)*'Get Started  3'!$F42*'Get Started  3'!$G110)+IF(K4&lt;'Get Started  3'!$H109,0,OFFSET(K37,0,-1*'Get Started  3'!$H109)*'Get Started  3'!$E42*'Get Started  3'!$G109)</f>
        <v>0</v>
      </c>
      <c r="L43" s="29">
        <f ca="1">IF(L4&lt;'Get Started  3'!$H112,0,OFFSET(L37,0,-1*'Get Started  3'!$H112)*'Get Started  3'!$H42*'Get Started  3'!$G112)+IF(L4&lt;'Get Started  3'!$H111,0,OFFSET(L37,0,-1*'Get Started  3'!$H111)*'Get Started  3'!$G42*'Get Started  3'!$G111)+IF(L4&lt;'Get Started  3'!$H110,0,OFFSET(L37,0,-1*'Get Started  3'!$H110)*'Get Started  3'!$F42*'Get Started  3'!$G110)+IF(L4&lt;'Get Started  3'!$H109,0,OFFSET(L37,0,-1*'Get Started  3'!$H109)*'Get Started  3'!$E42*'Get Started  3'!$G109)</f>
        <v>0</v>
      </c>
      <c r="M43" s="29">
        <f ca="1">IF(M4&lt;'Get Started  3'!$H112,0,OFFSET(M37,0,-1*'Get Started  3'!$H112)*'Get Started  3'!$H42*'Get Started  3'!$G112)+IF(M4&lt;'Get Started  3'!$H111,0,OFFSET(M37,0,-1*'Get Started  3'!$H111)*'Get Started  3'!$G42*'Get Started  3'!$G111)+IF(M4&lt;'Get Started  3'!$H110,0,OFFSET(M37,0,-1*'Get Started  3'!$H110)*'Get Started  3'!$F42*'Get Started  3'!$G110)+IF(M4&lt;'Get Started  3'!$H109,0,OFFSET(M37,0,-1*'Get Started  3'!$H109)*'Get Started  3'!$E42*'Get Started  3'!$G109)</f>
        <v>0</v>
      </c>
      <c r="N43" s="29">
        <f ca="1">IF(N4&lt;'Get Started  3'!$H112,0,OFFSET(N37,0,-1*'Get Started  3'!$H112)*'Get Started  3'!$H42*'Get Started  3'!$G112)+IF(N4&lt;'Get Started  3'!$H111,0,OFFSET(N37,0,-1*'Get Started  3'!$H111)*'Get Started  3'!$G42*'Get Started  3'!$G111)+IF(N4&lt;'Get Started  3'!$H110,0,OFFSET(N37,0,-1*'Get Started  3'!$H110)*'Get Started  3'!$F42*'Get Started  3'!$G110)+IF(N4&lt;'Get Started  3'!$H109,0,OFFSET(N37,0,-1*'Get Started  3'!$H109)*'Get Started  3'!$E42*'Get Started  3'!$G109)</f>
        <v>0</v>
      </c>
      <c r="O43" s="29">
        <f ca="1">IF(O4&lt;'Get Started  3'!$H112,0,OFFSET(O37,0,-1*'Get Started  3'!$H112)*'Get Started  3'!$H42*'Get Started  3'!$G112)+IF(O4&lt;'Get Started  3'!$H111,0,OFFSET(O37,0,-1*'Get Started  3'!$H111)*'Get Started  3'!$G42*'Get Started  3'!$G111)+IF(O4&lt;'Get Started  3'!$H110,0,OFFSET(O37,0,-1*'Get Started  3'!$H110)*'Get Started  3'!$F42*'Get Started  3'!$G110)+IF(O4&lt;'Get Started  3'!$H109,0,OFFSET(O37,0,-1*'Get Started  3'!$H109)*'Get Started  3'!$E42*'Get Started  3'!$G109)</f>
        <v>0</v>
      </c>
      <c r="P43" s="29">
        <f ca="1">IF(P4&lt;'Get Started  3'!$H112,0,OFFSET(P37,0,-1*'Get Started  3'!$H112)*'Get Started  3'!$H42*'Get Started  3'!$G112)+IF(P4&lt;'Get Started  3'!$H111,0,OFFSET(P37,0,-1*'Get Started  3'!$H111)*'Get Started  3'!$G42*'Get Started  3'!$G111)+IF(P4&lt;'Get Started  3'!$H110,0,OFFSET(P37,0,-1*'Get Started  3'!$H110)*'Get Started  3'!$F42*'Get Started  3'!$G110)+IF(P4&lt;'Get Started  3'!$H109,0,OFFSET(P37,0,-1*'Get Started  3'!$H109)*'Get Started  3'!$E42*'Get Started  3'!$G109)</f>
        <v>0</v>
      </c>
      <c r="Q43" s="29">
        <f ca="1">IF(Q4&lt;'Get Started  3'!$H112,0,OFFSET(Q37,0,-1*'Get Started  3'!$H112)*'Get Started  3'!$H42*'Get Started  3'!$G112)+IF(Q4&lt;'Get Started  3'!$H111,0,OFFSET(Q37,0,-1*'Get Started  3'!$H111)*'Get Started  3'!$G42*'Get Started  3'!$G111)+IF(Q4&lt;'Get Started  3'!$H110,0,OFFSET(Q37,0,-1*'Get Started  3'!$H110)*'Get Started  3'!$F42*'Get Started  3'!$G110)+IF(Q4&lt;'Get Started  3'!$H109,0,OFFSET(Q37,0,-1*'Get Started  3'!$H109)*'Get Started  3'!$E42*'Get Started  3'!$G109)</f>
        <v>0</v>
      </c>
      <c r="R43" s="29">
        <f ca="1">IF(R4&lt;'Get Started  3'!$H112,0,OFFSET(R37,0,-1*'Get Started  3'!$H112)*'Get Started  3'!$H42*'Get Started  3'!$G112)+IF(R4&lt;'Get Started  3'!$H111,0,OFFSET(R37,0,-1*'Get Started  3'!$H111)*'Get Started  3'!$G42*'Get Started  3'!$G111)+IF(R4&lt;'Get Started  3'!$H110,0,OFFSET(R37,0,-1*'Get Started  3'!$H110)*'Get Started  3'!$F42*'Get Started  3'!$G110)+IF(R4&lt;'Get Started  3'!$H109,0,OFFSET(R37,0,-1*'Get Started  3'!$H109)*'Get Started  3'!$E42*'Get Started  3'!$G109)</f>
        <v>0</v>
      </c>
      <c r="S43" s="29">
        <f ca="1">IF(S4&lt;'Get Started  3'!$H112,0,OFFSET(S37,0,-1*'Get Started  3'!$H112)*'Get Started  3'!$H42*'Get Started  3'!$G112)+IF(S4&lt;'Get Started  3'!$H111,0,OFFSET(S37,0,-1*'Get Started  3'!$H111)*'Get Started  3'!$G42*'Get Started  3'!$G111)+IF(S4&lt;'Get Started  3'!$H110,0,OFFSET(S37,0,-1*'Get Started  3'!$H110)*'Get Started  3'!$F42*'Get Started  3'!$G110)+IF(S4&lt;'Get Started  3'!$H109,0,OFFSET(S37,0,-1*'Get Started  3'!$H109)*'Get Started  3'!$E42*'Get Started  3'!$G109)</f>
        <v>1010625.0000000005</v>
      </c>
      <c r="T43" s="29">
        <f ca="1">IF(T4&lt;'Get Started  3'!$H112,0,OFFSET(T37,0,-1*'Get Started  3'!$H112)*'Get Started  3'!$H42*'Get Started  3'!$G112)+IF(T4&lt;'Get Started  3'!$H111,0,OFFSET(T37,0,-1*'Get Started  3'!$H111)*'Get Started  3'!$G42*'Get Started  3'!$G111)+IF(T4&lt;'Get Started  3'!$H110,0,OFFSET(T37,0,-1*'Get Started  3'!$H110)*'Get Started  3'!$F42*'Get Started  3'!$G110)+IF(T4&lt;'Get Started  3'!$H109,0,OFFSET(T37,0,-1*'Get Started  3'!$H109)*'Get Started  3'!$E42*'Get Started  3'!$G109)</f>
        <v>1010625.0000000005</v>
      </c>
      <c r="U43" s="29">
        <f ca="1">IF(U4&lt;'Get Started  3'!$H112,0,OFFSET(U37,0,-1*'Get Started  3'!$H112)*'Get Started  3'!$H42*'Get Started  3'!$G112)+IF(U4&lt;'Get Started  3'!$H111,0,OFFSET(U37,0,-1*'Get Started  3'!$H111)*'Get Started  3'!$G42*'Get Started  3'!$G111)+IF(U4&lt;'Get Started  3'!$H110,0,OFFSET(U37,0,-1*'Get Started  3'!$H110)*'Get Started  3'!$F42*'Get Started  3'!$G110)+IF(U4&lt;'Get Started  3'!$H109,0,OFFSET(U37,0,-1*'Get Started  3'!$H109)*'Get Started  3'!$E42*'Get Started  3'!$G109)</f>
        <v>1010625.0000000005</v>
      </c>
      <c r="V43" s="29">
        <f ca="1">IF(V4&lt;'Get Started  3'!$H112,0,OFFSET(V37,0,-1*'Get Started  3'!$H112)*'Get Started  3'!$H42*'Get Started  3'!$G112)+IF(V4&lt;'Get Started  3'!$H111,0,OFFSET(V37,0,-1*'Get Started  3'!$H111)*'Get Started  3'!$G42*'Get Started  3'!$G111)+IF(V4&lt;'Get Started  3'!$H110,0,OFFSET(V37,0,-1*'Get Started  3'!$H110)*'Get Started  3'!$F42*'Get Started  3'!$G110)+IF(V4&lt;'Get Started  3'!$H109,0,OFFSET(V37,0,-1*'Get Started  3'!$H109)*'Get Started  3'!$E42*'Get Started  3'!$G109)</f>
        <v>1010625.0000000005</v>
      </c>
      <c r="W43" s="29">
        <f ca="1">IF(W4&lt;'Get Started  3'!$H112,0,OFFSET(W37,0,-1*'Get Started  3'!$H112)*'Get Started  3'!$H42*'Get Started  3'!$G112)+IF(W4&lt;'Get Started  3'!$H111,0,OFFSET(W37,0,-1*'Get Started  3'!$H111)*'Get Started  3'!$G42*'Get Started  3'!$G111)+IF(W4&lt;'Get Started  3'!$H110,0,OFFSET(W37,0,-1*'Get Started  3'!$H110)*'Get Started  3'!$F42*'Get Started  3'!$G110)+IF(W4&lt;'Get Started  3'!$H109,0,OFFSET(W37,0,-1*'Get Started  3'!$H109)*'Get Started  3'!$E42*'Get Started  3'!$G109)</f>
        <v>2526562.5000000009</v>
      </c>
      <c r="X43" s="29">
        <f ca="1">IF(X4&lt;'Get Started  3'!$H112,0,OFFSET(X37,0,-1*'Get Started  3'!$H112)*'Get Started  3'!$H42*'Get Started  3'!$G112)+IF(X4&lt;'Get Started  3'!$H111,0,OFFSET(X37,0,-1*'Get Started  3'!$H111)*'Get Started  3'!$G42*'Get Started  3'!$G111)+IF(X4&lt;'Get Started  3'!$H110,0,OFFSET(X37,0,-1*'Get Started  3'!$H110)*'Get Started  3'!$F42*'Get Started  3'!$G110)+IF(X4&lt;'Get Started  3'!$H109,0,OFFSET(X37,0,-1*'Get Started  3'!$H109)*'Get Started  3'!$E42*'Get Started  3'!$G109)</f>
        <v>2526562.5000000009</v>
      </c>
      <c r="Y43" s="29">
        <f ca="1">IF(Y4&lt;'Get Started  3'!$H112,0,OFFSET(Y37,0,-1*'Get Started  3'!$H112)*'Get Started  3'!$H42*'Get Started  3'!$G112)+IF(Y4&lt;'Get Started  3'!$H111,0,OFFSET(Y37,0,-1*'Get Started  3'!$H111)*'Get Started  3'!$G42*'Get Started  3'!$G111)+IF(Y4&lt;'Get Started  3'!$H110,0,OFFSET(Y37,0,-1*'Get Started  3'!$H110)*'Get Started  3'!$F42*'Get Started  3'!$G110)+IF(Y4&lt;'Get Started  3'!$H109,0,OFFSET(Y37,0,-1*'Get Started  3'!$H109)*'Get Started  3'!$E42*'Get Started  3'!$G109)</f>
        <v>2526562.5000000009</v>
      </c>
      <c r="Z43" s="29">
        <f ca="1">IF(Z4&lt;'Get Started  3'!$H112,0,OFFSET(Z37,0,-1*'Get Started  3'!$H112)*'Get Started  3'!$H42*'Get Started  3'!$G112)+IF(Z4&lt;'Get Started  3'!$H111,0,OFFSET(Z37,0,-1*'Get Started  3'!$H111)*'Get Started  3'!$G42*'Get Started  3'!$G111)+IF(Z4&lt;'Get Started  3'!$H110,0,OFFSET(Z37,0,-1*'Get Started  3'!$H110)*'Get Started  3'!$F42*'Get Started  3'!$G110)+IF(Z4&lt;'Get Started  3'!$H109,0,OFFSET(Z37,0,-1*'Get Started  3'!$H109)*'Get Started  3'!$E42*'Get Started  3'!$G109)</f>
        <v>2526562.5000000009</v>
      </c>
      <c r="AA43" s="29">
        <f ca="1">IF(AA4&lt;'Get Started  3'!$H112,0,OFFSET(AA37,0,-1*'Get Started  3'!$H112)*'Get Started  3'!$H42*'Get Started  3'!$G112)+IF(AA4&lt;'Get Started  3'!$H111,0,OFFSET(AA37,0,-1*'Get Started  3'!$H111)*'Get Started  3'!$G42*'Get Started  3'!$G111)+IF(AA4&lt;'Get Started  3'!$H110,0,OFFSET(AA37,0,-1*'Get Started  3'!$H110)*'Get Started  3'!$F42*'Get Started  3'!$G110)+IF(AA4&lt;'Get Started  3'!$H109,0,OFFSET(AA37,0,-1*'Get Started  3'!$H109)*'Get Started  3'!$E42*'Get Started  3'!$G109)</f>
        <v>2526562.5000000009</v>
      </c>
      <c r="AB43" s="29">
        <f ca="1">IF(AB4&lt;'Get Started  3'!$H112,0,OFFSET(AB37,0,-1*'Get Started  3'!$H112)*'Get Started  3'!$H42*'Get Started  3'!$G112)+IF(AB4&lt;'Get Started  3'!$H111,0,OFFSET(AB37,0,-1*'Get Started  3'!$H111)*'Get Started  3'!$G42*'Get Started  3'!$G111)+IF(AB4&lt;'Get Started  3'!$H110,0,OFFSET(AB37,0,-1*'Get Started  3'!$H110)*'Get Started  3'!$F42*'Get Started  3'!$G110)+IF(AB4&lt;'Get Started  3'!$H109,0,OFFSET(AB37,0,-1*'Get Started  3'!$H109)*'Get Started  3'!$E42*'Get Started  3'!$G109)</f>
        <v>2526562.5000000009</v>
      </c>
      <c r="AC43" s="29">
        <f ca="1">IF(AC4&lt;'Get Started  3'!$H112,0,OFFSET(AC37,0,-1*'Get Started  3'!$H112)*'Get Started  3'!$H42*'Get Started  3'!$G112)+IF(AC4&lt;'Get Started  3'!$H111,0,OFFSET(AC37,0,-1*'Get Started  3'!$H111)*'Get Started  3'!$G42*'Get Started  3'!$G111)+IF(AC4&lt;'Get Started  3'!$H110,0,OFFSET(AC37,0,-1*'Get Started  3'!$H110)*'Get Started  3'!$F42*'Get Started  3'!$G110)+IF(AC4&lt;'Get Started  3'!$H109,0,OFFSET(AC37,0,-1*'Get Started  3'!$H109)*'Get Started  3'!$E42*'Get Started  3'!$G109)</f>
        <v>2526562.5000000009</v>
      </c>
      <c r="AD43" s="29">
        <f ca="1">IF(AD4&lt;'Get Started  3'!$H112,0,OFFSET(AD37,0,-1*'Get Started  3'!$H112)*'Get Started  3'!$H42*'Get Started  3'!$G112)+IF(AD4&lt;'Get Started  3'!$H111,0,OFFSET(AD37,0,-1*'Get Started  3'!$H111)*'Get Started  3'!$G42*'Get Started  3'!$G111)+IF(AD4&lt;'Get Started  3'!$H110,0,OFFSET(AD37,0,-1*'Get Started  3'!$H110)*'Get Started  3'!$F42*'Get Started  3'!$G110)+IF(AD4&lt;'Get Started  3'!$H109,0,OFFSET(AD37,0,-1*'Get Started  3'!$H109)*'Get Started  3'!$E42*'Get Started  3'!$G109)</f>
        <v>2526562.5000000009</v>
      </c>
      <c r="AE43" s="29">
        <f ca="1">IF(AE4&lt;'Get Started  3'!$H112,0,OFFSET(AE37,0,-1*'Get Started  3'!$H112)*'Get Started  3'!$H42*'Get Started  3'!$G112)+IF(AE4&lt;'Get Started  3'!$H111,0,OFFSET(AE37,0,-1*'Get Started  3'!$H111)*'Get Started  3'!$G42*'Get Started  3'!$G111)+IF(AE4&lt;'Get Started  3'!$H110,0,OFFSET(AE37,0,-1*'Get Started  3'!$H110)*'Get Started  3'!$F42*'Get Started  3'!$G110)+IF(AE4&lt;'Get Started  3'!$H109,0,OFFSET(AE37,0,-1*'Get Started  3'!$H109)*'Get Started  3'!$E42*'Get Started  3'!$G109)</f>
        <v>14064531.249999998</v>
      </c>
      <c r="AF43" s="29">
        <f ca="1">IF(AF4&lt;'Get Started  3'!$H112,0,OFFSET(AF37,0,-1*'Get Started  3'!$H112)*'Get Started  3'!$H42*'Get Started  3'!$G112)+IF(AF4&lt;'Get Started  3'!$H111,0,OFFSET(AF37,0,-1*'Get Started  3'!$H111)*'Get Started  3'!$G42*'Get Started  3'!$G111)+IF(AF4&lt;'Get Started  3'!$H110,0,OFFSET(AF37,0,-1*'Get Started  3'!$H110)*'Get Started  3'!$F42*'Get Started  3'!$G110)+IF(AF4&lt;'Get Started  3'!$H109,0,OFFSET(AF37,0,-1*'Get Started  3'!$H109)*'Get Started  3'!$E42*'Get Started  3'!$G109)</f>
        <v>14064531.249999998</v>
      </c>
      <c r="AG43" s="29">
        <f ca="1">IF(AG4&lt;'Get Started  3'!$H112,0,OFFSET(AG37,0,-1*'Get Started  3'!$H112)*'Get Started  3'!$H42*'Get Started  3'!$G112)+IF(AG4&lt;'Get Started  3'!$H111,0,OFFSET(AG37,0,-1*'Get Started  3'!$H111)*'Get Started  3'!$G42*'Get Started  3'!$G111)+IF(AG4&lt;'Get Started  3'!$H110,0,OFFSET(AG37,0,-1*'Get Started  3'!$H110)*'Get Started  3'!$F42*'Get Started  3'!$G110)+IF(AG4&lt;'Get Started  3'!$H109,0,OFFSET(AG37,0,-1*'Get Started  3'!$H109)*'Get Started  3'!$E42*'Get Started  3'!$G109)</f>
        <v>14064531.249999998</v>
      </c>
      <c r="AH43" s="29">
        <f ca="1">IF(AH4&lt;'Get Started  3'!$H112,0,OFFSET(AH37,0,-1*'Get Started  3'!$H112)*'Get Started  3'!$H42*'Get Started  3'!$G112)+IF(AH4&lt;'Get Started  3'!$H111,0,OFFSET(AH37,0,-1*'Get Started  3'!$H111)*'Get Started  3'!$G42*'Get Started  3'!$G111)+IF(AH4&lt;'Get Started  3'!$H110,0,OFFSET(AH37,0,-1*'Get Started  3'!$H110)*'Get Started  3'!$F42*'Get Started  3'!$G110)+IF(AH4&lt;'Get Started  3'!$H109,0,OFFSET(AH37,0,-1*'Get Started  3'!$H109)*'Get Started  3'!$E42*'Get Started  3'!$G109)</f>
        <v>14064531.249999998</v>
      </c>
      <c r="AI43" s="29">
        <f ca="1">IF(AI4&lt;'Get Started  3'!$H112,0,OFFSET(AI37,0,-1*'Get Started  3'!$H112)*'Get Started  3'!$H42*'Get Started  3'!$G112)+IF(AI4&lt;'Get Started  3'!$H111,0,OFFSET(AI37,0,-1*'Get Started  3'!$H111)*'Get Started  3'!$G42*'Get Started  3'!$G111)+IF(AI4&lt;'Get Started  3'!$H110,0,OFFSET(AI37,0,-1*'Get Started  3'!$H110)*'Get Started  3'!$F42*'Get Started  3'!$G110)+IF(AI4&lt;'Get Started  3'!$H109,0,OFFSET(AI37,0,-1*'Get Started  3'!$H109)*'Get Started  3'!$E42*'Get Started  3'!$G109)</f>
        <v>13138124.999999998</v>
      </c>
      <c r="AJ43" s="29">
        <f ca="1">IF(AJ4&lt;'Get Started  3'!$H112,0,OFFSET(AJ37,0,-1*'Get Started  3'!$H112)*'Get Started  3'!$H42*'Get Started  3'!$G112)+IF(AJ4&lt;'Get Started  3'!$H111,0,OFFSET(AJ37,0,-1*'Get Started  3'!$H111)*'Get Started  3'!$G42*'Get Started  3'!$G111)+IF(AJ4&lt;'Get Started  3'!$H110,0,OFFSET(AJ37,0,-1*'Get Started  3'!$H110)*'Get Started  3'!$F42*'Get Started  3'!$G110)+IF(AJ4&lt;'Get Started  3'!$H109,0,OFFSET(AJ37,0,-1*'Get Started  3'!$H109)*'Get Started  3'!$E42*'Get Started  3'!$G109)</f>
        <v>13138124.999999998</v>
      </c>
      <c r="AK43" s="29">
        <f ca="1">IF(AK4&lt;'Get Started  3'!$H112,0,OFFSET(AK37,0,-1*'Get Started  3'!$H112)*'Get Started  3'!$H42*'Get Started  3'!$G112)+IF(AK4&lt;'Get Started  3'!$H111,0,OFFSET(AK37,0,-1*'Get Started  3'!$H111)*'Get Started  3'!$G42*'Get Started  3'!$G111)+IF(AK4&lt;'Get Started  3'!$H110,0,OFFSET(AK37,0,-1*'Get Started  3'!$H110)*'Get Started  3'!$F42*'Get Started  3'!$G110)+IF(AK4&lt;'Get Started  3'!$H109,0,OFFSET(AK37,0,-1*'Get Started  3'!$H109)*'Get Started  3'!$E42*'Get Started  3'!$G109)</f>
        <v>13138124.999999998</v>
      </c>
      <c r="AL43" s="29">
        <f ca="1">IF(AL4&lt;'Get Started  3'!$H112,0,OFFSET(AL37,0,-1*'Get Started  3'!$H112)*'Get Started  3'!$H42*'Get Started  3'!$G112)+IF(AL4&lt;'Get Started  3'!$H111,0,OFFSET(AL37,0,-1*'Get Started  3'!$H111)*'Get Started  3'!$G42*'Get Started  3'!$G111)+IF(AL4&lt;'Get Started  3'!$H110,0,OFFSET(AL37,0,-1*'Get Started  3'!$H110)*'Get Started  3'!$F42*'Get Started  3'!$G110)+IF(AL4&lt;'Get Started  3'!$H109,0,OFFSET(AL37,0,-1*'Get Started  3'!$H109)*'Get Started  3'!$E42*'Get Started  3'!$G109)</f>
        <v>13138124.999999998</v>
      </c>
      <c r="AM43" s="29">
        <f ca="1">IF(AM4&lt;'Get Started  3'!$H112,0,OFFSET(AM37,0,-1*'Get Started  3'!$H112)*'Get Started  3'!$H42*'Get Started  3'!$G112)+IF(AM4&lt;'Get Started  3'!$H111,0,OFFSET(AM37,0,-1*'Get Started  3'!$H111)*'Get Started  3'!$G42*'Get Started  3'!$G111)+IF(AM4&lt;'Get Started  3'!$H110,0,OFFSET(AM37,0,-1*'Get Started  3'!$H110)*'Get Started  3'!$F42*'Get Started  3'!$G110)+IF(AM4&lt;'Get Started  3'!$H109,0,OFFSET(AM37,0,-1*'Get Started  3'!$H109)*'Get Started  3'!$E42*'Get Started  3'!$G109)</f>
        <v>11369531.249999998</v>
      </c>
      <c r="AN43" s="29">
        <f ca="1">IF(AN4&lt;'Get Started  3'!$H112,0,OFFSET(AN37,0,-1*'Get Started  3'!$H112)*'Get Started  3'!$H42*'Get Started  3'!$G112)+IF(AN4&lt;'Get Started  3'!$H111,0,OFFSET(AN37,0,-1*'Get Started  3'!$H111)*'Get Started  3'!$G42*'Get Started  3'!$G111)+IF(AN4&lt;'Get Started  3'!$H110,0,OFFSET(AN37,0,-1*'Get Started  3'!$H110)*'Get Started  3'!$F42*'Get Started  3'!$G110)+IF(AN4&lt;'Get Started  3'!$H109,0,OFFSET(AN37,0,-1*'Get Started  3'!$H109)*'Get Started  3'!$E42*'Get Started  3'!$G109)</f>
        <v>11369531.249999998</v>
      </c>
      <c r="AO43" s="29">
        <f ca="1">IF(AO4&lt;'Get Started  3'!$H112,0,OFFSET(AO37,0,-1*'Get Started  3'!$H112)*'Get Started  3'!$H42*'Get Started  3'!$G112)+IF(AO4&lt;'Get Started  3'!$H111,0,OFFSET(AO37,0,-1*'Get Started  3'!$H111)*'Get Started  3'!$G42*'Get Started  3'!$G111)+IF(AO4&lt;'Get Started  3'!$H110,0,OFFSET(AO37,0,-1*'Get Started  3'!$H110)*'Get Started  3'!$F42*'Get Started  3'!$G110)+IF(AO4&lt;'Get Started  3'!$H109,0,OFFSET(AO37,0,-1*'Get Started  3'!$H109)*'Get Started  3'!$E42*'Get Started  3'!$G109)</f>
        <v>11369531.249999998</v>
      </c>
      <c r="AP43" s="29">
        <f ca="1">IF(AP4&lt;'Get Started  3'!$H112,0,OFFSET(AP37,0,-1*'Get Started  3'!$H112)*'Get Started  3'!$H42*'Get Started  3'!$G112)+IF(AP4&lt;'Get Started  3'!$H111,0,OFFSET(AP37,0,-1*'Get Started  3'!$H111)*'Get Started  3'!$G42*'Get Started  3'!$G111)+IF(AP4&lt;'Get Started  3'!$H110,0,OFFSET(AP37,0,-1*'Get Started  3'!$H110)*'Get Started  3'!$F42*'Get Started  3'!$G110)+IF(AP4&lt;'Get Started  3'!$H109,0,OFFSET(AP37,0,-1*'Get Started  3'!$H109)*'Get Started  3'!$E42*'Get Started  3'!$G109)</f>
        <v>11369531.249999998</v>
      </c>
      <c r="AQ43" s="29">
        <f ca="1">IF(AQ4&lt;'Get Started  3'!$H112,0,OFFSET(AQ37,0,-1*'Get Started  3'!$H112)*'Get Started  3'!$H42*'Get Started  3'!$G112)+IF(AQ4&lt;'Get Started  3'!$H111,0,OFFSET(AQ37,0,-1*'Get Started  3'!$H111)*'Get Started  3'!$G42*'Get Started  3'!$G111)+IF(AQ4&lt;'Get Started  3'!$H110,0,OFFSET(AQ37,0,-1*'Get Started  3'!$H110)*'Get Started  3'!$F42*'Get Started  3'!$G110)+IF(AQ4&lt;'Get Started  3'!$H109,0,OFFSET(AQ37,0,-1*'Get Started  3'!$H109)*'Get Started  3'!$E42*'Get Started  3'!$G109)</f>
        <v>13264453.124999996</v>
      </c>
      <c r="AR43" s="29">
        <f ca="1">IF(AR4&lt;'Get Started  3'!$H112,0,OFFSET(AR37,0,-1*'Get Started  3'!$H112)*'Get Started  3'!$H42*'Get Started  3'!$G112)+IF(AR4&lt;'Get Started  3'!$H111,0,OFFSET(AR37,0,-1*'Get Started  3'!$H111)*'Get Started  3'!$G42*'Get Started  3'!$G111)+IF(AR4&lt;'Get Started  3'!$H110,0,OFFSET(AR37,0,-1*'Get Started  3'!$H110)*'Get Started  3'!$F42*'Get Started  3'!$G110)+IF(AR4&lt;'Get Started  3'!$H109,0,OFFSET(AR37,0,-1*'Get Started  3'!$H109)*'Get Started  3'!$E42*'Get Started  3'!$G109)</f>
        <v>13264453.124999996</v>
      </c>
      <c r="AS43" s="29">
        <f ca="1">IF(AS4&lt;'Get Started  3'!$H112,0,OFFSET(AS37,0,-1*'Get Started  3'!$H112)*'Get Started  3'!$H42*'Get Started  3'!$G112)+IF(AS4&lt;'Get Started  3'!$H111,0,OFFSET(AS37,0,-1*'Get Started  3'!$H111)*'Get Started  3'!$G42*'Get Started  3'!$G111)+IF(AS4&lt;'Get Started  3'!$H110,0,OFFSET(AS37,0,-1*'Get Started  3'!$H110)*'Get Started  3'!$F42*'Get Started  3'!$G110)+IF(AS4&lt;'Get Started  3'!$H109,0,OFFSET(AS37,0,-1*'Get Started  3'!$H109)*'Get Started  3'!$E42*'Get Started  3'!$G109)</f>
        <v>13264453.124999996</v>
      </c>
      <c r="AT43" s="29">
        <f ca="1">IF(AT4&lt;'Get Started  3'!$H112,0,OFFSET(AT37,0,-1*'Get Started  3'!$H112)*'Get Started  3'!$H42*'Get Started  3'!$G112)+IF(AT4&lt;'Get Started  3'!$H111,0,OFFSET(AT37,0,-1*'Get Started  3'!$H111)*'Get Started  3'!$G42*'Get Started  3'!$G111)+IF(AT4&lt;'Get Started  3'!$H110,0,OFFSET(AT37,0,-1*'Get Started  3'!$H110)*'Get Started  3'!$F42*'Get Started  3'!$G110)+IF(AT4&lt;'Get Started  3'!$H109,0,OFFSET(AT37,0,-1*'Get Started  3'!$H109)*'Get Started  3'!$E42*'Get Started  3'!$G109)</f>
        <v>13264453.124999996</v>
      </c>
      <c r="AU43" s="29">
        <f ca="1">IF(AU4&lt;'Get Started  3'!$H112,0,OFFSET(AU37,0,-1*'Get Started  3'!$H112)*'Get Started  3'!$H42*'Get Started  3'!$G112)+IF(AU4&lt;'Get Started  3'!$H111,0,OFFSET(AU37,0,-1*'Get Started  3'!$H111)*'Get Started  3'!$G42*'Get Started  3'!$G111)+IF(AU4&lt;'Get Started  3'!$H110,0,OFFSET(AU37,0,-1*'Get Started  3'!$H110)*'Get Started  3'!$F42*'Get Started  3'!$G110)+IF(AU4&lt;'Get Started  3'!$H109,0,OFFSET(AU37,0,-1*'Get Started  3'!$H109)*'Get Started  3'!$E42*'Get Started  3'!$G109)</f>
        <v>0</v>
      </c>
      <c r="AV43" s="29">
        <f ca="1">IF(AV4&lt;'Get Started  3'!$H112,0,OFFSET(AV37,0,-1*'Get Started  3'!$H112)*'Get Started  3'!$H42*'Get Started  3'!$G112)+IF(AV4&lt;'Get Started  3'!$H111,0,OFFSET(AV37,0,-1*'Get Started  3'!$H111)*'Get Started  3'!$G42*'Get Started  3'!$G111)+IF(AV4&lt;'Get Started  3'!$H110,0,OFFSET(AV37,0,-1*'Get Started  3'!$H110)*'Get Started  3'!$F42*'Get Started  3'!$G110)+IF(AV4&lt;'Get Started  3'!$H109,0,OFFSET(AV37,0,-1*'Get Started  3'!$H109)*'Get Started  3'!$E42*'Get Started  3'!$G109)</f>
        <v>0</v>
      </c>
      <c r="AW43" s="29">
        <f ca="1">IF(AW4&lt;'Get Started  3'!$H112,0,OFFSET(AW37,0,-1*'Get Started  3'!$H112)*'Get Started  3'!$H42*'Get Started  3'!$G112)+IF(AW4&lt;'Get Started  3'!$H111,0,OFFSET(AW37,0,-1*'Get Started  3'!$H111)*'Get Started  3'!$G42*'Get Started  3'!$G111)+IF(AW4&lt;'Get Started  3'!$H110,0,OFFSET(AW37,0,-1*'Get Started  3'!$H110)*'Get Started  3'!$F42*'Get Started  3'!$G110)+IF(AW4&lt;'Get Started  3'!$H109,0,OFFSET(AW37,0,-1*'Get Started  3'!$H109)*'Get Started  3'!$E42*'Get Started  3'!$G109)</f>
        <v>0</v>
      </c>
      <c r="AX43" s="29">
        <f ca="1">IF(AX4&lt;'Get Started  3'!$H112,0,OFFSET(AX37,0,-1*'Get Started  3'!$H112)*'Get Started  3'!$H42*'Get Started  3'!$G112)+IF(AX4&lt;'Get Started  3'!$H111,0,OFFSET(AX37,0,-1*'Get Started  3'!$H111)*'Get Started  3'!$G42*'Get Started  3'!$G111)+IF(AX4&lt;'Get Started  3'!$H110,0,OFFSET(AX37,0,-1*'Get Started  3'!$H110)*'Get Started  3'!$F42*'Get Started  3'!$G110)+IF(AX4&lt;'Get Started  3'!$H109,0,OFFSET(AX37,0,-1*'Get Started  3'!$H109)*'Get Started  3'!$E42*'Get Started  3'!$G109)</f>
        <v>0</v>
      </c>
      <c r="AY43" s="29">
        <f ca="1">IF(AY4&lt;'Get Started  3'!$H112,0,OFFSET(AY37,0,-1*'Get Started  3'!$H112)*'Get Started  3'!$H42*'Get Started  3'!$G112)+IF(AY4&lt;'Get Started  3'!$H111,0,OFFSET(AY37,0,-1*'Get Started  3'!$H111)*'Get Started  3'!$G42*'Get Started  3'!$G111)+IF(AY4&lt;'Get Started  3'!$H110,0,OFFSET(AY37,0,-1*'Get Started  3'!$H110)*'Get Started  3'!$F42*'Get Started  3'!$G110)+IF(AY4&lt;'Get Started  3'!$H109,0,OFFSET(AY37,0,-1*'Get Started  3'!$H109)*'Get Started  3'!$E42*'Get Started  3'!$G109)</f>
        <v>0</v>
      </c>
      <c r="AZ43" s="29">
        <f ca="1">IF(AZ4&lt;'Get Started  3'!$H112,0,OFFSET(AZ37,0,-1*'Get Started  3'!$H112)*'Get Started  3'!$H42*'Get Started  3'!$G112)+IF(AZ4&lt;'Get Started  3'!$H111,0,OFFSET(AZ37,0,-1*'Get Started  3'!$H111)*'Get Started  3'!$G42*'Get Started  3'!$G111)+IF(AZ4&lt;'Get Started  3'!$H110,0,OFFSET(AZ37,0,-1*'Get Started  3'!$H110)*'Get Started  3'!$F42*'Get Started  3'!$G110)+IF(AZ4&lt;'Get Started  3'!$H109,0,OFFSET(AZ37,0,-1*'Get Started  3'!$H109)*'Get Started  3'!$E42*'Get Started  3'!$G109)</f>
        <v>0</v>
      </c>
      <c r="BA43" s="29">
        <f ca="1">IF(BA4&lt;'Get Started  3'!$H112,0,OFFSET(BA37,0,-1*'Get Started  3'!$H112)*'Get Started  3'!$H42*'Get Started  3'!$G112)+IF(BA4&lt;'Get Started  3'!$H111,0,OFFSET(BA37,0,-1*'Get Started  3'!$H111)*'Get Started  3'!$G42*'Get Started  3'!$G111)+IF(BA4&lt;'Get Started  3'!$H110,0,OFFSET(BA37,0,-1*'Get Started  3'!$H110)*'Get Started  3'!$F42*'Get Started  3'!$G110)+IF(BA4&lt;'Get Started  3'!$H109,0,OFFSET(BA37,0,-1*'Get Started  3'!$H109)*'Get Started  3'!$E42*'Get Started  3'!$G109)</f>
        <v>0</v>
      </c>
      <c r="BB43" s="29">
        <f ca="1">IF(BB4&lt;'Get Started  3'!$H112,0,OFFSET(BB37,0,-1*'Get Started  3'!$H112)*'Get Started  3'!$H42*'Get Started  3'!$G112)+IF(BB4&lt;'Get Started  3'!$H111,0,OFFSET(BB37,0,-1*'Get Started  3'!$H111)*'Get Started  3'!$G42*'Get Started  3'!$G111)+IF(BB4&lt;'Get Started  3'!$H110,0,OFFSET(BB37,0,-1*'Get Started  3'!$H110)*'Get Started  3'!$F42*'Get Started  3'!$G110)+IF(BB4&lt;'Get Started  3'!$H109,0,OFFSET(BB37,0,-1*'Get Started  3'!$H109)*'Get Started  3'!$E42*'Get Started  3'!$G109)</f>
        <v>0</v>
      </c>
      <c r="BC43" s="29">
        <f ca="1">IF(BC4&lt;'Get Started  3'!$H112,0,OFFSET(BC37,0,-1*'Get Started  3'!$H112)*'Get Started  3'!$H42*'Get Started  3'!$G112)+IF(BC4&lt;'Get Started  3'!$H111,0,OFFSET(BC37,0,-1*'Get Started  3'!$H111)*'Get Started  3'!$G42*'Get Started  3'!$G111)+IF(BC4&lt;'Get Started  3'!$H110,0,OFFSET(BC37,0,-1*'Get Started  3'!$H110)*'Get Started  3'!$F42*'Get Started  3'!$G110)+IF(BC4&lt;'Get Started  3'!$H109,0,OFFSET(BC37,0,-1*'Get Started  3'!$H109)*'Get Started  3'!$E42*'Get Started  3'!$G109)</f>
        <v>0</v>
      </c>
      <c r="BD43" s="29">
        <f ca="1">IF(BD4&lt;'Get Started  3'!$H112,0,OFFSET(BD37,0,-1*'Get Started  3'!$H112)*'Get Started  3'!$H42*'Get Started  3'!$G112)+IF(BD4&lt;'Get Started  3'!$H111,0,OFFSET(BD37,0,-1*'Get Started  3'!$H111)*'Get Started  3'!$G42*'Get Started  3'!$G111)+IF(BD4&lt;'Get Started  3'!$H110,0,OFFSET(BD37,0,-1*'Get Started  3'!$H110)*'Get Started  3'!$F42*'Get Started  3'!$G110)+IF(BD4&lt;'Get Started  3'!$H109,0,OFFSET(BD37,0,-1*'Get Started  3'!$H109)*'Get Started  3'!$E42*'Get Started  3'!$G109)</f>
        <v>0</v>
      </c>
      <c r="BE43" s="29">
        <f ca="1">IF(BE4&lt;'Get Started  3'!$H112,0,OFFSET(BE37,0,-1*'Get Started  3'!$H112)*'Get Started  3'!$H42*'Get Started  3'!$G112)+IF(BE4&lt;'Get Started  3'!$H111,0,OFFSET(BE37,0,-1*'Get Started  3'!$H111)*'Get Started  3'!$G42*'Get Started  3'!$G111)+IF(BE4&lt;'Get Started  3'!$H110,0,OFFSET(BE37,0,-1*'Get Started  3'!$H110)*'Get Started  3'!$F42*'Get Started  3'!$G110)+IF(BE4&lt;'Get Started  3'!$H109,0,OFFSET(BE37,0,-1*'Get Started  3'!$H109)*'Get Started  3'!$E42*'Get Started  3'!$G109)</f>
        <v>0</v>
      </c>
      <c r="BF43" s="29">
        <f ca="1">IF(BF4&lt;'Get Started  3'!$H112,0,OFFSET(BF37,0,-1*'Get Started  3'!$H112)*'Get Started  3'!$H42*'Get Started  3'!$G112)+IF(BF4&lt;'Get Started  3'!$H111,0,OFFSET(BF37,0,-1*'Get Started  3'!$H111)*'Get Started  3'!$G42*'Get Started  3'!$G111)+IF(BF4&lt;'Get Started  3'!$H110,0,OFFSET(BF37,0,-1*'Get Started  3'!$H110)*'Get Started  3'!$F42*'Get Started  3'!$G110)+IF(BF4&lt;'Get Started  3'!$H109,0,OFFSET(BF37,0,-1*'Get Started  3'!$H109)*'Get Started  3'!$E42*'Get Started  3'!$G109)</f>
        <v>0</v>
      </c>
      <c r="BG43" s="29">
        <f ca="1">IF(BG4&lt;'Get Started  3'!$H112,0,OFFSET(BG37,0,-1*'Get Started  3'!$H112)*'Get Started  3'!$H42*'Get Started  3'!$G112)+IF(BG4&lt;'Get Started  3'!$H111,0,OFFSET(BG37,0,-1*'Get Started  3'!$H111)*'Get Started  3'!$G42*'Get Started  3'!$G111)+IF(BG4&lt;'Get Started  3'!$H110,0,OFFSET(BG37,0,-1*'Get Started  3'!$H110)*'Get Started  3'!$F42*'Get Started  3'!$G110)+IF(BG4&lt;'Get Started  3'!$H109,0,OFFSET(BG37,0,-1*'Get Started  3'!$H109)*'Get Started  3'!$E42*'Get Started  3'!$G109)</f>
        <v>0</v>
      </c>
      <c r="BH43" s="29">
        <f ca="1">IF(BH4&lt;'Get Started  3'!$H112,0,OFFSET(BH37,0,-1*'Get Started  3'!$H112)*'Get Started  3'!$H42*'Get Started  3'!$G112)+IF(BH4&lt;'Get Started  3'!$H111,0,OFFSET(BH37,0,-1*'Get Started  3'!$H111)*'Get Started  3'!$G42*'Get Started  3'!$G111)+IF(BH4&lt;'Get Started  3'!$H110,0,OFFSET(BH37,0,-1*'Get Started  3'!$H110)*'Get Started  3'!$F42*'Get Started  3'!$G110)+IF(BH4&lt;'Get Started  3'!$H109,0,OFFSET(BH37,0,-1*'Get Started  3'!$H109)*'Get Started  3'!$E42*'Get Started  3'!$G109)</f>
        <v>0</v>
      </c>
      <c r="BI43" s="29">
        <f ca="1">IF(BI4&lt;'Get Started  3'!$H112,0,OFFSET(BI37,0,-1*'Get Started  3'!$H112)*'Get Started  3'!$H42*'Get Started  3'!$G112)+IF(BI4&lt;'Get Started  3'!$H111,0,OFFSET(BI37,0,-1*'Get Started  3'!$H111)*'Get Started  3'!$G42*'Get Started  3'!$G111)+IF(BI4&lt;'Get Started  3'!$H110,0,OFFSET(BI37,0,-1*'Get Started  3'!$H110)*'Get Started  3'!$F42*'Get Started  3'!$G110)+IF(BI4&lt;'Get Started  3'!$H109,0,OFFSET(BI37,0,-1*'Get Started  3'!$H109)*'Get Started  3'!$E42*'Get Started  3'!$G109)</f>
        <v>0</v>
      </c>
      <c r="BJ43" s="29">
        <f ca="1">IF(BJ4&lt;'Get Started  3'!$H112,0,OFFSET(BJ37,0,-1*'Get Started  3'!$H112)*'Get Started  3'!$H42*'Get Started  3'!$G112)+IF(BJ4&lt;'Get Started  3'!$H111,0,OFFSET(BJ37,0,-1*'Get Started  3'!$H111)*'Get Started  3'!$G42*'Get Started  3'!$G111)+IF(BJ4&lt;'Get Started  3'!$H110,0,OFFSET(BJ37,0,-1*'Get Started  3'!$H110)*'Get Started  3'!$F42*'Get Started  3'!$G110)+IF(BJ4&lt;'Get Started  3'!$H109,0,OFFSET(BJ37,0,-1*'Get Started  3'!$H109)*'Get Started  3'!$E42*'Get Started  3'!$G109)</f>
        <v>0</v>
      </c>
      <c r="BK43" s="29">
        <f ca="1">IF(BK4&lt;'Get Started  3'!$H112,0,OFFSET(BK37,0,-1*'Get Started  3'!$H112)*'Get Started  3'!$H42*'Get Started  3'!$G112)+IF(BK4&lt;'Get Started  3'!$H111,0,OFFSET(BK37,0,-1*'Get Started  3'!$H111)*'Get Started  3'!$G42*'Get Started  3'!$G111)+IF(BK4&lt;'Get Started  3'!$H110,0,OFFSET(BK37,0,-1*'Get Started  3'!$H110)*'Get Started  3'!$F42*'Get Started  3'!$G110)+IF(BK4&lt;'Get Started  3'!$H109,0,OFFSET(BK37,0,-1*'Get Started  3'!$H109)*'Get Started  3'!$E42*'Get Started  3'!$G109)</f>
        <v>0</v>
      </c>
      <c r="BL43" s="29">
        <f ca="1">IF(BL4&lt;'Get Started  3'!$H112,0,OFFSET(BL37,0,-1*'Get Started  3'!$H112)*'Get Started  3'!$H42*'Get Started  3'!$G112)+IF(BL4&lt;'Get Started  3'!$H111,0,OFFSET(BL37,0,-1*'Get Started  3'!$H111)*'Get Started  3'!$G42*'Get Started  3'!$G111)+IF(BL4&lt;'Get Started  3'!$H110,0,OFFSET(BL37,0,-1*'Get Started  3'!$H110)*'Get Started  3'!$F42*'Get Started  3'!$G110)+IF(BL4&lt;'Get Started  3'!$H109,0,OFFSET(BL37,0,-1*'Get Started  3'!$H109)*'Get Started  3'!$E42*'Get Started  3'!$G109)</f>
        <v>0</v>
      </c>
      <c r="BM43" s="29">
        <f ca="1">IF(BM4&lt;'Get Started  3'!$H112,0,OFFSET(BM37,0,-1*'Get Started  3'!$H112)*'Get Started  3'!$H42*'Get Started  3'!$G112)+IF(BM4&lt;'Get Started  3'!$H111,0,OFFSET(BM37,0,-1*'Get Started  3'!$H111)*'Get Started  3'!$G42*'Get Started  3'!$G111)+IF(BM4&lt;'Get Started  3'!$H110,0,OFFSET(BM37,0,-1*'Get Started  3'!$H110)*'Get Started  3'!$F42*'Get Started  3'!$G110)+IF(BM4&lt;'Get Started  3'!$H109,0,OFFSET(BM37,0,-1*'Get Started  3'!$H109)*'Get Started  3'!$E42*'Get Started  3'!$G109)</f>
        <v>0</v>
      </c>
      <c r="BN43" s="29">
        <f ca="1">IF(BN4&lt;'Get Started  3'!$H112,0,OFFSET(BN37,0,-1*'Get Started  3'!$H112)*'Get Started  3'!$H42*'Get Started  3'!$G112)+IF(BN4&lt;'Get Started  3'!$H111,0,OFFSET(BN37,0,-1*'Get Started  3'!$H111)*'Get Started  3'!$G42*'Get Started  3'!$G111)+IF(BN4&lt;'Get Started  3'!$H110,0,OFFSET(BN37,0,-1*'Get Started  3'!$H110)*'Get Started  3'!$F42*'Get Started  3'!$G110)+IF(BN4&lt;'Get Started  3'!$H109,0,OFFSET(BN37,0,-1*'Get Started  3'!$H109)*'Get Started  3'!$E42*'Get Started  3'!$G109)</f>
        <v>0</v>
      </c>
      <c r="BO43" s="29">
        <f ca="1">IF(BO4&lt;'Get Started  3'!$H112,0,OFFSET(BO37,0,-1*'Get Started  3'!$H112)*'Get Started  3'!$H42*'Get Started  3'!$G112)+IF(BO4&lt;'Get Started  3'!$H111,0,OFFSET(BO37,0,-1*'Get Started  3'!$H111)*'Get Started  3'!$G42*'Get Started  3'!$G111)+IF(BO4&lt;'Get Started  3'!$H110,0,OFFSET(BO37,0,-1*'Get Started  3'!$H110)*'Get Started  3'!$F42*'Get Started  3'!$G110)+IF(BO4&lt;'Get Started  3'!$H109,0,OFFSET(BO37,0,-1*'Get Started  3'!$H109)*'Get Started  3'!$E42*'Get Started  3'!$G109)</f>
        <v>0</v>
      </c>
      <c r="BP43" s="29">
        <f ca="1">IF(BP4&lt;'Get Started  3'!$H112,0,OFFSET(BP37,0,-1*'Get Started  3'!$H112)*'Get Started  3'!$H42*'Get Started  3'!$G112)+IF(BP4&lt;'Get Started  3'!$H111,0,OFFSET(BP37,0,-1*'Get Started  3'!$H111)*'Get Started  3'!$G42*'Get Started  3'!$G111)+IF(BP4&lt;'Get Started  3'!$H110,0,OFFSET(BP37,0,-1*'Get Started  3'!$H110)*'Get Started  3'!$F42*'Get Started  3'!$G110)+IF(BP4&lt;'Get Started  3'!$H109,0,OFFSET(BP37,0,-1*'Get Started  3'!$H109)*'Get Started  3'!$E42*'Get Started  3'!$G109)</f>
        <v>0</v>
      </c>
      <c r="BQ43" s="29">
        <f ca="1">IF(BQ4&lt;'Get Started  3'!$H112,0,OFFSET(BQ37,0,-1*'Get Started  3'!$H112)*'Get Started  3'!$H42*'Get Started  3'!$G112)+IF(BQ4&lt;'Get Started  3'!$H111,0,OFFSET(BQ37,0,-1*'Get Started  3'!$H111)*'Get Started  3'!$G42*'Get Started  3'!$G111)+IF(BQ4&lt;'Get Started  3'!$H110,0,OFFSET(BQ37,0,-1*'Get Started  3'!$H110)*'Get Started  3'!$F42*'Get Started  3'!$G110)+IF(BQ4&lt;'Get Started  3'!$H109,0,OFFSET(BQ37,0,-1*'Get Started  3'!$H109)*'Get Started  3'!$E42*'Get Started  3'!$G109)</f>
        <v>0</v>
      </c>
      <c r="BR43" s="29">
        <f ca="1">IF(BR4&lt;'Get Started  3'!$H112,0,OFFSET(BR37,0,-1*'Get Started  3'!$H112)*'Get Started  3'!$H42*'Get Started  3'!$G112)+IF(BR4&lt;'Get Started  3'!$H111,0,OFFSET(BR37,0,-1*'Get Started  3'!$H111)*'Get Started  3'!$G42*'Get Started  3'!$G111)+IF(BR4&lt;'Get Started  3'!$H110,0,OFFSET(BR37,0,-1*'Get Started  3'!$H110)*'Get Started  3'!$F42*'Get Started  3'!$G110)+IF(BR4&lt;'Get Started  3'!$H109,0,OFFSET(BR37,0,-1*'Get Started  3'!$H109)*'Get Started  3'!$E42*'Get Started  3'!$G109)</f>
        <v>0</v>
      </c>
      <c r="BS43" s="29">
        <f ca="1">IF(BS4&lt;'Get Started  3'!$H112,0,OFFSET(BS37,0,-1*'Get Started  3'!$H112)*'Get Started  3'!$H42*'Get Started  3'!$G112)+IF(BS4&lt;'Get Started  3'!$H111,0,OFFSET(BS37,0,-1*'Get Started  3'!$H111)*'Get Started  3'!$G42*'Get Started  3'!$G111)+IF(BS4&lt;'Get Started  3'!$H110,0,OFFSET(BS37,0,-1*'Get Started  3'!$H110)*'Get Started  3'!$F42*'Get Started  3'!$G110)+IF(BS4&lt;'Get Started  3'!$H109,0,OFFSET(BS37,0,-1*'Get Started  3'!$H109)*'Get Started  3'!$E42*'Get Started  3'!$G109)</f>
        <v>0</v>
      </c>
      <c r="BT43" s="29">
        <f ca="1">IF(BT4&lt;'Get Started  3'!$H112,0,OFFSET(BT37,0,-1*'Get Started  3'!$H112)*'Get Started  3'!$H42*'Get Started  3'!$G112)+IF(BT4&lt;'Get Started  3'!$H111,0,OFFSET(BT37,0,-1*'Get Started  3'!$H111)*'Get Started  3'!$G42*'Get Started  3'!$G111)+IF(BT4&lt;'Get Started  3'!$H110,0,OFFSET(BT37,0,-1*'Get Started  3'!$H110)*'Get Started  3'!$F42*'Get Started  3'!$G110)+IF(BT4&lt;'Get Started  3'!$H109,0,OFFSET(BT37,0,-1*'Get Started  3'!$H109)*'Get Started  3'!$E42*'Get Started  3'!$G109)</f>
        <v>0</v>
      </c>
      <c r="BU43" s="29">
        <f ca="1">IF(BU4&lt;'Get Started  3'!$H112,0,OFFSET(BU37,0,-1*'Get Started  3'!$H112)*'Get Started  3'!$H42*'Get Started  3'!$G112)+IF(BU4&lt;'Get Started  3'!$H111,0,OFFSET(BU37,0,-1*'Get Started  3'!$H111)*'Get Started  3'!$G42*'Get Started  3'!$G111)+IF(BU4&lt;'Get Started  3'!$H110,0,OFFSET(BU37,0,-1*'Get Started  3'!$H110)*'Get Started  3'!$F42*'Get Started  3'!$G110)+IF(BU4&lt;'Get Started  3'!$H109,0,OFFSET(BU37,0,-1*'Get Started  3'!$H109)*'Get Started  3'!$E42*'Get Started  3'!$G109)</f>
        <v>0</v>
      </c>
      <c r="BV43" s="29">
        <f ca="1">IF(BV4&lt;'Get Started  3'!$H112,0,OFFSET(BV37,0,-1*'Get Started  3'!$H112)*'Get Started  3'!$H42*'Get Started  3'!$G112)+IF(BV4&lt;'Get Started  3'!$H111,0,OFFSET(BV37,0,-1*'Get Started  3'!$H111)*'Get Started  3'!$G42*'Get Started  3'!$G111)+IF(BV4&lt;'Get Started  3'!$H110,0,OFFSET(BV37,0,-1*'Get Started  3'!$H110)*'Get Started  3'!$F42*'Get Started  3'!$G110)+IF(BV4&lt;'Get Started  3'!$H109,0,OFFSET(BV37,0,-1*'Get Started  3'!$H109)*'Get Started  3'!$E42*'Get Started  3'!$G109)</f>
        <v>0</v>
      </c>
      <c r="BW43" s="29">
        <f ca="1">IF(BW4&lt;'Get Started  3'!$H112,0,OFFSET(BW37,0,-1*'Get Started  3'!$H112)*'Get Started  3'!$H42*'Get Started  3'!$G112)+IF(BW4&lt;'Get Started  3'!$H111,0,OFFSET(BW37,0,-1*'Get Started  3'!$H111)*'Get Started  3'!$G42*'Get Started  3'!$G111)+IF(BW4&lt;'Get Started  3'!$H110,0,OFFSET(BW37,0,-1*'Get Started  3'!$H110)*'Get Started  3'!$F42*'Get Started  3'!$G110)+IF(BW4&lt;'Get Started  3'!$H109,0,OFFSET(BW37,0,-1*'Get Started  3'!$H109)*'Get Started  3'!$E42*'Get Started  3'!$G109)</f>
        <v>0</v>
      </c>
      <c r="BX43" s="29">
        <f ca="1">IF(BX4&lt;'Get Started  3'!$H112,0,OFFSET(BX37,0,-1*'Get Started  3'!$H112)*'Get Started  3'!$H42*'Get Started  3'!$G112)+IF(BX4&lt;'Get Started  3'!$H111,0,OFFSET(BX37,0,-1*'Get Started  3'!$H111)*'Get Started  3'!$G42*'Get Started  3'!$G111)+IF(BX4&lt;'Get Started  3'!$H110,0,OFFSET(BX37,0,-1*'Get Started  3'!$H110)*'Get Started  3'!$F42*'Get Started  3'!$G110)+IF(BX4&lt;'Get Started  3'!$H109,0,OFFSET(BX37,0,-1*'Get Started  3'!$H109)*'Get Started  3'!$E42*'Get Started  3'!$G109)</f>
        <v>0</v>
      </c>
      <c r="BY43" s="29">
        <f ca="1">IF(BY4&lt;'Get Started  3'!$H112,0,OFFSET(BY37,0,-1*'Get Started  3'!$H112)*'Get Started  3'!$H42*'Get Started  3'!$G112)+IF(BY4&lt;'Get Started  3'!$H111,0,OFFSET(BY37,0,-1*'Get Started  3'!$H111)*'Get Started  3'!$G42*'Get Started  3'!$G111)+IF(BY4&lt;'Get Started  3'!$H110,0,OFFSET(BY37,0,-1*'Get Started  3'!$H110)*'Get Started  3'!$F42*'Get Started  3'!$G110)+IF(BY4&lt;'Get Started  3'!$H109,0,OFFSET(BY37,0,-1*'Get Started  3'!$H109)*'Get Started  3'!$E42*'Get Started  3'!$G109)</f>
        <v>0</v>
      </c>
      <c r="BZ43" s="29">
        <f ca="1">IF(BZ4&lt;'Get Started  3'!$H112,0,OFFSET(BZ37,0,-1*'Get Started  3'!$H112)*'Get Started  3'!$H42*'Get Started  3'!$G112)+IF(BZ4&lt;'Get Started  3'!$H111,0,OFFSET(BZ37,0,-1*'Get Started  3'!$H111)*'Get Started  3'!$G42*'Get Started  3'!$G111)+IF(BZ4&lt;'Get Started  3'!$H110,0,OFFSET(BZ37,0,-1*'Get Started  3'!$H110)*'Get Started  3'!$F42*'Get Started  3'!$G110)+IF(BZ4&lt;'Get Started  3'!$H109,0,OFFSET(BZ37,0,-1*'Get Started  3'!$H109)*'Get Started  3'!$E42*'Get Started  3'!$G109)</f>
        <v>0</v>
      </c>
      <c r="CA43" s="29">
        <f ca="1">IF(CA4&lt;'Get Started  3'!$H112,0,OFFSET(CA37,0,-1*'Get Started  3'!$H112)*'Get Started  3'!$H42*'Get Started  3'!$G112)+IF(CA4&lt;'Get Started  3'!$H111,0,OFFSET(CA37,0,-1*'Get Started  3'!$H111)*'Get Started  3'!$G42*'Get Started  3'!$G111)+IF(CA4&lt;'Get Started  3'!$H110,0,OFFSET(CA37,0,-1*'Get Started  3'!$H110)*'Get Started  3'!$F42*'Get Started  3'!$G110)+IF(CA4&lt;'Get Started  3'!$H109,0,OFFSET(CA37,0,-1*'Get Started  3'!$H109)*'Get Started  3'!$E42*'Get Started  3'!$G109)</f>
        <v>0</v>
      </c>
      <c r="CB43" s="29">
        <f ca="1">IF(CB4&lt;'Get Started  3'!$H112,0,OFFSET(CB37,0,-1*'Get Started  3'!$H112)*'Get Started  3'!$H42*'Get Started  3'!$G112)+IF(CB4&lt;'Get Started  3'!$H111,0,OFFSET(CB37,0,-1*'Get Started  3'!$H111)*'Get Started  3'!$G42*'Get Started  3'!$G111)+IF(CB4&lt;'Get Started  3'!$H110,0,OFFSET(CB37,0,-1*'Get Started  3'!$H110)*'Get Started  3'!$F42*'Get Started  3'!$G110)+IF(CB4&lt;'Get Started  3'!$H109,0,OFFSET(CB37,0,-1*'Get Started  3'!$H109)*'Get Started  3'!$E42*'Get Started  3'!$G109)</f>
        <v>0</v>
      </c>
      <c r="CC43" s="29">
        <f ca="1">IF(CC4&lt;'Get Started  3'!$H112,0,OFFSET(CC37,0,-1*'Get Started  3'!$H112)*'Get Started  3'!$H42*'Get Started  3'!$G112)+IF(CC4&lt;'Get Started  3'!$H111,0,OFFSET(CC37,0,-1*'Get Started  3'!$H111)*'Get Started  3'!$G42*'Get Started  3'!$G111)+IF(CC4&lt;'Get Started  3'!$H110,0,OFFSET(CC37,0,-1*'Get Started  3'!$H110)*'Get Started  3'!$F42*'Get Started  3'!$G110)+IF(CC4&lt;'Get Started  3'!$H109,0,OFFSET(CC37,0,-1*'Get Started  3'!$H109)*'Get Started  3'!$E42*'Get Started  3'!$G109)</f>
        <v>0</v>
      </c>
      <c r="CD43" s="29">
        <f ca="1">IF(CD4&lt;'Get Started  3'!$H112,0,OFFSET(CD37,0,-1*'Get Started  3'!$H112)*'Get Started  3'!$H42*'Get Started  3'!$G112)+IF(CD4&lt;'Get Started  3'!$H111,0,OFFSET(CD37,0,-1*'Get Started  3'!$H111)*'Get Started  3'!$G42*'Get Started  3'!$G111)+IF(CD4&lt;'Get Started  3'!$H110,0,OFFSET(CD37,0,-1*'Get Started  3'!$H110)*'Get Started  3'!$F42*'Get Started  3'!$G110)+IF(CD4&lt;'Get Started  3'!$H109,0,OFFSET(CD37,0,-1*'Get Started  3'!$H109)*'Get Started  3'!$E42*'Get Started  3'!$G109)</f>
        <v>0</v>
      </c>
      <c r="CE43" s="29">
        <f ca="1">IF(CE4&lt;'Get Started  3'!$H112,0,OFFSET(CE37,0,-1*'Get Started  3'!$H112)*'Get Started  3'!$H42*'Get Started  3'!$G112)+IF(CE4&lt;'Get Started  3'!$H111,0,OFFSET(CE37,0,-1*'Get Started  3'!$H111)*'Get Started  3'!$G42*'Get Started  3'!$G111)+IF(CE4&lt;'Get Started  3'!$H110,0,OFFSET(CE37,0,-1*'Get Started  3'!$H110)*'Get Started  3'!$F42*'Get Started  3'!$G110)+IF(CE4&lt;'Get Started  3'!$H109,0,OFFSET(CE37,0,-1*'Get Started  3'!$H109)*'Get Started  3'!$E42*'Get Started  3'!$G109)</f>
        <v>0</v>
      </c>
      <c r="CF43" s="29">
        <f ca="1">IF(CF4&lt;'Get Started  3'!$H112,0,OFFSET(CF37,0,-1*'Get Started  3'!$H112)*'Get Started  3'!$H42*'Get Started  3'!$G112)+IF(CF4&lt;'Get Started  3'!$H111,0,OFFSET(CF37,0,-1*'Get Started  3'!$H111)*'Get Started  3'!$G42*'Get Started  3'!$G111)+IF(CF4&lt;'Get Started  3'!$H110,0,OFFSET(CF37,0,-1*'Get Started  3'!$H110)*'Get Started  3'!$F42*'Get Started  3'!$G110)+IF(CF4&lt;'Get Started  3'!$H109,0,OFFSET(CF37,0,-1*'Get Started  3'!$H109)*'Get Started  3'!$E42*'Get Started  3'!$G109)</f>
        <v>0</v>
      </c>
      <c r="CG43" s="29">
        <f ca="1">IF(CG4&lt;'Get Started  3'!$H112,0,OFFSET(CG37,0,-1*'Get Started  3'!$H112)*'Get Started  3'!$H42*'Get Started  3'!$G112)+IF(CG4&lt;'Get Started  3'!$H111,0,OFFSET(CG37,0,-1*'Get Started  3'!$H111)*'Get Started  3'!$G42*'Get Started  3'!$G111)+IF(CG4&lt;'Get Started  3'!$H110,0,OFFSET(CG37,0,-1*'Get Started  3'!$H110)*'Get Started  3'!$F42*'Get Started  3'!$G110)+IF(CG4&lt;'Get Started  3'!$H109,0,OFFSET(CG37,0,-1*'Get Started  3'!$H109)*'Get Started  3'!$E42*'Get Started  3'!$G109)</f>
        <v>0</v>
      </c>
      <c r="CH43" s="29">
        <f ca="1">IF(CH4&lt;'Get Started  3'!$H112,0,OFFSET(CH37,0,-1*'Get Started  3'!$H112)*'Get Started  3'!$H42*'Get Started  3'!$G112)+IF(CH4&lt;'Get Started  3'!$H111,0,OFFSET(CH37,0,-1*'Get Started  3'!$H111)*'Get Started  3'!$G42*'Get Started  3'!$G111)+IF(CH4&lt;'Get Started  3'!$H110,0,OFFSET(CH37,0,-1*'Get Started  3'!$H110)*'Get Started  3'!$F42*'Get Started  3'!$G110)+IF(CH4&lt;'Get Started  3'!$H109,0,OFFSET(CH37,0,-1*'Get Started  3'!$H109)*'Get Started  3'!$E42*'Get Started  3'!$G109)</f>
        <v>0</v>
      </c>
    </row>
    <row r="44" spans="1:86" ht="13">
      <c r="B44" s="15" t="s">
        <v>269</v>
      </c>
      <c r="D44" s="15" t="s">
        <v>238</v>
      </c>
      <c r="E44" s="29">
        <f t="shared" si="13"/>
        <v>0</v>
      </c>
      <c r="F44" s="29"/>
      <c r="G44" s="29">
        <v>0</v>
      </c>
      <c r="H44" s="29">
        <v>0</v>
      </c>
      <c r="I44" s="29">
        <v>0</v>
      </c>
      <c r="J44" s="29">
        <v>0</v>
      </c>
      <c r="K44" s="29">
        <v>0</v>
      </c>
      <c r="L44" s="29">
        <v>0</v>
      </c>
      <c r="M44" s="29">
        <v>0</v>
      </c>
      <c r="N44" s="29">
        <v>0</v>
      </c>
      <c r="O44" s="29">
        <v>0</v>
      </c>
      <c r="P44" s="29">
        <v>0</v>
      </c>
      <c r="Q44" s="29">
        <v>0</v>
      </c>
      <c r="R44" s="29">
        <v>0</v>
      </c>
      <c r="S44" s="29">
        <v>0</v>
      </c>
      <c r="T44" s="29">
        <v>0</v>
      </c>
      <c r="U44" s="29">
        <v>0</v>
      </c>
      <c r="V44" s="29">
        <v>0</v>
      </c>
      <c r="W44" s="29">
        <v>0</v>
      </c>
      <c r="X44" s="29">
        <v>0</v>
      </c>
      <c r="Y44" s="29">
        <v>0</v>
      </c>
      <c r="Z44" s="29">
        <v>0</v>
      </c>
      <c r="AA44" s="29">
        <v>0</v>
      </c>
      <c r="AB44" s="29">
        <v>0</v>
      </c>
      <c r="AC44" s="29">
        <v>0</v>
      </c>
      <c r="AD44" s="29">
        <v>0</v>
      </c>
      <c r="AE44" s="29">
        <v>0</v>
      </c>
      <c r="AF44" s="29">
        <v>0</v>
      </c>
      <c r="AG44" s="29">
        <v>0</v>
      </c>
      <c r="AH44" s="29">
        <v>0</v>
      </c>
      <c r="AI44" s="29">
        <v>0</v>
      </c>
      <c r="AJ44" s="29">
        <v>0</v>
      </c>
      <c r="AK44" s="29">
        <v>0</v>
      </c>
      <c r="AL44" s="29">
        <v>0</v>
      </c>
      <c r="AM44" s="29">
        <v>0</v>
      </c>
      <c r="AN44" s="29">
        <v>0</v>
      </c>
      <c r="AO44" s="29">
        <v>0</v>
      </c>
      <c r="AP44" s="29">
        <v>0</v>
      </c>
      <c r="AQ44" s="29">
        <v>0</v>
      </c>
      <c r="AR44" s="29">
        <v>0</v>
      </c>
      <c r="AS44" s="29">
        <v>0</v>
      </c>
      <c r="AT44" s="29">
        <v>0</v>
      </c>
      <c r="AU44" s="29">
        <v>0</v>
      </c>
      <c r="AV44" s="29">
        <v>0</v>
      </c>
      <c r="AW44" s="29">
        <v>0</v>
      </c>
      <c r="AX44" s="29">
        <v>0</v>
      </c>
      <c r="AY44" s="29">
        <v>0</v>
      </c>
      <c r="AZ44" s="29">
        <v>0</v>
      </c>
      <c r="BA44" s="29">
        <v>0</v>
      </c>
      <c r="BB44" s="29">
        <v>0</v>
      </c>
      <c r="BC44" s="29">
        <v>0</v>
      </c>
      <c r="BD44" s="29">
        <v>0</v>
      </c>
      <c r="BE44" s="29">
        <v>0</v>
      </c>
      <c r="BF44" s="29">
        <v>0</v>
      </c>
      <c r="BG44" s="29">
        <v>0</v>
      </c>
      <c r="BH44" s="29">
        <v>0</v>
      </c>
      <c r="BI44" s="29">
        <v>0</v>
      </c>
      <c r="BJ44" s="29">
        <v>0</v>
      </c>
      <c r="BK44" s="29">
        <v>0</v>
      </c>
      <c r="BL44" s="29">
        <v>0</v>
      </c>
      <c r="BM44" s="29">
        <v>0</v>
      </c>
      <c r="BN44" s="29">
        <v>0</v>
      </c>
      <c r="BO44" s="29">
        <v>0</v>
      </c>
      <c r="BP44" s="29">
        <v>0</v>
      </c>
      <c r="BQ44" s="29">
        <v>0</v>
      </c>
      <c r="BR44" s="29">
        <v>0</v>
      </c>
      <c r="BS44" s="29">
        <v>0</v>
      </c>
      <c r="BT44" s="29">
        <v>0</v>
      </c>
      <c r="BU44" s="29">
        <v>0</v>
      </c>
      <c r="BV44" s="29">
        <v>0</v>
      </c>
      <c r="BW44" s="29">
        <v>0</v>
      </c>
      <c r="BX44" s="29">
        <v>0</v>
      </c>
      <c r="BY44" s="29">
        <v>0</v>
      </c>
      <c r="BZ44" s="29">
        <v>0</v>
      </c>
      <c r="CA44" s="29">
        <v>0</v>
      </c>
      <c r="CB44" s="29">
        <v>0</v>
      </c>
      <c r="CC44" s="29">
        <v>0</v>
      </c>
      <c r="CD44" s="29">
        <v>0</v>
      </c>
      <c r="CE44" s="29">
        <v>0</v>
      </c>
      <c r="CF44" s="29">
        <v>0</v>
      </c>
      <c r="CG44" s="29">
        <v>0</v>
      </c>
      <c r="CH44" s="29">
        <v>0</v>
      </c>
    </row>
    <row r="45" spans="1:86" ht="13">
      <c r="B45" s="15" t="s">
        <v>270</v>
      </c>
      <c r="D45" s="15" t="s">
        <v>238</v>
      </c>
      <c r="E45" s="29">
        <f t="shared" si="13"/>
        <v>0</v>
      </c>
      <c r="F45" s="29"/>
      <c r="G45" s="29">
        <v>0</v>
      </c>
      <c r="H45" s="29">
        <v>0</v>
      </c>
      <c r="I45" s="29">
        <v>0</v>
      </c>
      <c r="J45" s="29">
        <v>0</v>
      </c>
      <c r="K45" s="29">
        <v>0</v>
      </c>
      <c r="L45" s="29">
        <v>0</v>
      </c>
      <c r="M45" s="29">
        <v>0</v>
      </c>
      <c r="N45" s="29">
        <v>0</v>
      </c>
      <c r="O45" s="29">
        <v>0</v>
      </c>
      <c r="P45" s="29">
        <v>0</v>
      </c>
      <c r="Q45" s="29">
        <v>0</v>
      </c>
      <c r="R45" s="29">
        <v>0</v>
      </c>
      <c r="S45" s="29">
        <v>0</v>
      </c>
      <c r="T45" s="29">
        <v>0</v>
      </c>
      <c r="U45" s="29">
        <v>0</v>
      </c>
      <c r="V45" s="29">
        <v>0</v>
      </c>
      <c r="W45" s="29">
        <v>0</v>
      </c>
      <c r="X45" s="29">
        <v>0</v>
      </c>
      <c r="Y45" s="29">
        <v>0</v>
      </c>
      <c r="Z45" s="29">
        <v>0</v>
      </c>
      <c r="AA45" s="29">
        <v>0</v>
      </c>
      <c r="AB45" s="29">
        <v>0</v>
      </c>
      <c r="AC45" s="29">
        <v>0</v>
      </c>
      <c r="AD45" s="29">
        <v>0</v>
      </c>
      <c r="AE45" s="29">
        <v>0</v>
      </c>
      <c r="AF45" s="29">
        <v>0</v>
      </c>
      <c r="AG45" s="29">
        <v>0</v>
      </c>
      <c r="AH45" s="29">
        <v>0</v>
      </c>
      <c r="AI45" s="29">
        <v>0</v>
      </c>
      <c r="AJ45" s="29">
        <v>0</v>
      </c>
      <c r="AK45" s="29">
        <v>0</v>
      </c>
      <c r="AL45" s="29">
        <v>0</v>
      </c>
      <c r="AM45" s="29">
        <v>0</v>
      </c>
      <c r="AN45" s="29">
        <v>0</v>
      </c>
      <c r="AO45" s="29">
        <v>0</v>
      </c>
      <c r="AP45" s="29">
        <v>0</v>
      </c>
      <c r="AQ45" s="29">
        <v>0</v>
      </c>
      <c r="AR45" s="29">
        <v>0</v>
      </c>
      <c r="AS45" s="29">
        <v>0</v>
      </c>
      <c r="AT45" s="29">
        <v>0</v>
      </c>
      <c r="AU45" s="29">
        <v>0</v>
      </c>
      <c r="AV45" s="29">
        <v>0</v>
      </c>
      <c r="AW45" s="29">
        <v>0</v>
      </c>
      <c r="AX45" s="29">
        <v>0</v>
      </c>
      <c r="AY45" s="29">
        <v>0</v>
      </c>
      <c r="AZ45" s="29">
        <v>0</v>
      </c>
      <c r="BA45" s="29">
        <v>0</v>
      </c>
      <c r="BB45" s="29">
        <v>0</v>
      </c>
      <c r="BC45" s="29">
        <v>0</v>
      </c>
      <c r="BD45" s="29">
        <v>0</v>
      </c>
      <c r="BE45" s="29">
        <v>0</v>
      </c>
      <c r="BF45" s="29">
        <v>0</v>
      </c>
      <c r="BG45" s="29">
        <v>0</v>
      </c>
      <c r="BH45" s="29">
        <v>0</v>
      </c>
      <c r="BI45" s="29">
        <v>0</v>
      </c>
      <c r="BJ45" s="29">
        <v>0</v>
      </c>
      <c r="BK45" s="29">
        <v>0</v>
      </c>
      <c r="BL45" s="29">
        <v>0</v>
      </c>
      <c r="BM45" s="29">
        <v>0</v>
      </c>
      <c r="BN45" s="29">
        <v>0</v>
      </c>
      <c r="BO45" s="29">
        <v>0</v>
      </c>
      <c r="BP45" s="29">
        <v>0</v>
      </c>
      <c r="BQ45" s="29">
        <v>0</v>
      </c>
      <c r="BR45" s="29">
        <v>0</v>
      </c>
      <c r="BS45" s="29">
        <v>0</v>
      </c>
      <c r="BT45" s="29">
        <v>0</v>
      </c>
      <c r="BU45" s="29">
        <v>0</v>
      </c>
      <c r="BV45" s="29">
        <v>0</v>
      </c>
      <c r="BW45" s="29">
        <v>0</v>
      </c>
      <c r="BX45" s="29">
        <v>0</v>
      </c>
      <c r="BY45" s="29">
        <v>0</v>
      </c>
      <c r="BZ45" s="29">
        <v>0</v>
      </c>
      <c r="CA45" s="29">
        <v>0</v>
      </c>
      <c r="CB45" s="29">
        <v>0</v>
      </c>
      <c r="CC45" s="29">
        <v>0</v>
      </c>
      <c r="CD45" s="29">
        <v>0</v>
      </c>
      <c r="CE45" s="29">
        <v>0</v>
      </c>
      <c r="CF45" s="29">
        <v>0</v>
      </c>
      <c r="CG45" s="29">
        <v>0</v>
      </c>
      <c r="CH45" s="29">
        <v>0</v>
      </c>
    </row>
    <row r="46" spans="1:86" ht="13">
      <c r="B46" s="15" t="s">
        <v>220</v>
      </c>
      <c r="D46" s="15" t="s">
        <v>238</v>
      </c>
      <c r="E46" s="29">
        <f t="shared" ca="1" si="13"/>
        <v>41159895.833333328</v>
      </c>
      <c r="F46" s="29"/>
      <c r="G46" s="29">
        <f t="shared" ref="G46:CH46" ca="1" si="17">G194</f>
        <v>0</v>
      </c>
      <c r="H46" s="29">
        <f t="shared" ca="1" si="17"/>
        <v>0</v>
      </c>
      <c r="I46" s="29">
        <f t="shared" ca="1" si="17"/>
        <v>0</v>
      </c>
      <c r="J46" s="29">
        <f t="shared" ca="1" si="17"/>
        <v>0</v>
      </c>
      <c r="K46" s="29">
        <f t="shared" ca="1" si="17"/>
        <v>0</v>
      </c>
      <c r="L46" s="29">
        <f t="shared" ca="1" si="17"/>
        <v>0</v>
      </c>
      <c r="M46" s="29">
        <f t="shared" ca="1" si="17"/>
        <v>0</v>
      </c>
      <c r="N46" s="29">
        <f t="shared" ca="1" si="17"/>
        <v>0</v>
      </c>
      <c r="O46" s="29">
        <f t="shared" ca="1" si="17"/>
        <v>0</v>
      </c>
      <c r="P46" s="29">
        <f t="shared" ca="1" si="17"/>
        <v>0</v>
      </c>
      <c r="Q46" s="29">
        <f t="shared" ca="1" si="17"/>
        <v>0</v>
      </c>
      <c r="R46" s="29">
        <f t="shared" ca="1" si="17"/>
        <v>0</v>
      </c>
      <c r="S46" s="29">
        <f t="shared" ca="1" si="17"/>
        <v>0</v>
      </c>
      <c r="T46" s="29">
        <f t="shared" ca="1" si="17"/>
        <v>0</v>
      </c>
      <c r="U46" s="29">
        <f t="shared" ca="1" si="17"/>
        <v>0</v>
      </c>
      <c r="V46" s="29">
        <f t="shared" ca="1" si="17"/>
        <v>0</v>
      </c>
      <c r="W46" s="29">
        <f t="shared" ca="1" si="17"/>
        <v>0</v>
      </c>
      <c r="X46" s="29">
        <f t="shared" ca="1" si="17"/>
        <v>0</v>
      </c>
      <c r="Y46" s="29">
        <f t="shared" ca="1" si="17"/>
        <v>0</v>
      </c>
      <c r="Z46" s="29">
        <f t="shared" ca="1" si="17"/>
        <v>149333.33333333416</v>
      </c>
      <c r="AA46" s="29">
        <f t="shared" ca="1" si="17"/>
        <v>236979.16666666698</v>
      </c>
      <c r="AB46" s="29">
        <f t="shared" ca="1" si="17"/>
        <v>236979.16666666698</v>
      </c>
      <c r="AC46" s="29">
        <f t="shared" ca="1" si="17"/>
        <v>236979.16666666698</v>
      </c>
      <c r="AD46" s="29">
        <f t="shared" ca="1" si="17"/>
        <v>236979.16666666663</v>
      </c>
      <c r="AE46" s="29">
        <f t="shared" ca="1" si="17"/>
        <v>2674572.916666666</v>
      </c>
      <c r="AF46" s="29">
        <f t="shared" ca="1" si="17"/>
        <v>2674572.916666666</v>
      </c>
      <c r="AG46" s="29">
        <f t="shared" ca="1" si="17"/>
        <v>2674572.916666666</v>
      </c>
      <c r="AH46" s="29">
        <f t="shared" ca="1" si="17"/>
        <v>2674572.916666666</v>
      </c>
      <c r="AI46" s="29">
        <f t="shared" ca="1" si="17"/>
        <v>2544291.666666666</v>
      </c>
      <c r="AJ46" s="29">
        <f t="shared" ca="1" si="17"/>
        <v>2544291.666666666</v>
      </c>
      <c r="AK46" s="29">
        <f t="shared" ca="1" si="17"/>
        <v>2544291.666666666</v>
      </c>
      <c r="AL46" s="29">
        <f t="shared" ca="1" si="17"/>
        <v>2544291.666666666</v>
      </c>
      <c r="AM46" s="29">
        <f t="shared" ca="1" si="17"/>
        <v>2213906.2499999995</v>
      </c>
      <c r="AN46" s="29">
        <f t="shared" ca="1" si="17"/>
        <v>2213906.2499999995</v>
      </c>
      <c r="AO46" s="29">
        <f t="shared" ca="1" si="17"/>
        <v>2213906.2499999995</v>
      </c>
      <c r="AP46" s="29">
        <f t="shared" ca="1" si="17"/>
        <v>2213906.2499999995</v>
      </c>
      <c r="AQ46" s="29">
        <f t="shared" ca="1" si="17"/>
        <v>2582890.6249999995</v>
      </c>
      <c r="AR46" s="29">
        <f t="shared" ca="1" si="17"/>
        <v>2582890.6249999995</v>
      </c>
      <c r="AS46" s="29">
        <f t="shared" ca="1" si="17"/>
        <v>2582890.6249999995</v>
      </c>
      <c r="AT46" s="29">
        <f t="shared" ca="1" si="17"/>
        <v>2582890.6249999995</v>
      </c>
      <c r="AU46" s="29">
        <f t="shared" ca="1" si="17"/>
        <v>0</v>
      </c>
      <c r="AV46" s="29">
        <f t="shared" ca="1" si="17"/>
        <v>0</v>
      </c>
      <c r="AW46" s="29">
        <f t="shared" ca="1" si="17"/>
        <v>0</v>
      </c>
      <c r="AX46" s="29">
        <f t="shared" ca="1" si="17"/>
        <v>0</v>
      </c>
      <c r="AY46" s="29">
        <f t="shared" ca="1" si="17"/>
        <v>0</v>
      </c>
      <c r="AZ46" s="29">
        <f t="shared" ca="1" si="17"/>
        <v>0</v>
      </c>
      <c r="BA46" s="29">
        <f t="shared" ca="1" si="17"/>
        <v>0</v>
      </c>
      <c r="BB46" s="29">
        <f t="shared" ca="1" si="17"/>
        <v>0</v>
      </c>
      <c r="BC46" s="29">
        <f t="shared" ca="1" si="17"/>
        <v>0</v>
      </c>
      <c r="BD46" s="29">
        <f t="shared" ca="1" si="17"/>
        <v>0</v>
      </c>
      <c r="BE46" s="29">
        <f t="shared" ca="1" si="17"/>
        <v>0</v>
      </c>
      <c r="BF46" s="29">
        <f t="shared" ca="1" si="17"/>
        <v>0</v>
      </c>
      <c r="BG46" s="29">
        <f t="shared" ca="1" si="17"/>
        <v>0</v>
      </c>
      <c r="BH46" s="29">
        <f t="shared" ca="1" si="17"/>
        <v>0</v>
      </c>
      <c r="BI46" s="29">
        <f t="shared" ca="1" si="17"/>
        <v>0</v>
      </c>
      <c r="BJ46" s="29">
        <f t="shared" ca="1" si="17"/>
        <v>0</v>
      </c>
      <c r="BK46" s="29">
        <f t="shared" ca="1" si="17"/>
        <v>0</v>
      </c>
      <c r="BL46" s="29">
        <f t="shared" ca="1" si="17"/>
        <v>0</v>
      </c>
      <c r="BM46" s="29">
        <f t="shared" ca="1" si="17"/>
        <v>0</v>
      </c>
      <c r="BN46" s="29">
        <f t="shared" ca="1" si="17"/>
        <v>0</v>
      </c>
      <c r="BO46" s="29">
        <f t="shared" ca="1" si="17"/>
        <v>0</v>
      </c>
      <c r="BP46" s="29">
        <f t="shared" ca="1" si="17"/>
        <v>0</v>
      </c>
      <c r="BQ46" s="29">
        <f t="shared" ca="1" si="17"/>
        <v>0</v>
      </c>
      <c r="BR46" s="29">
        <f t="shared" ca="1" si="17"/>
        <v>0</v>
      </c>
      <c r="BS46" s="29">
        <f t="shared" ca="1" si="17"/>
        <v>0</v>
      </c>
      <c r="BT46" s="29">
        <f t="shared" ca="1" si="17"/>
        <v>0</v>
      </c>
      <c r="BU46" s="29">
        <f t="shared" ca="1" si="17"/>
        <v>0</v>
      </c>
      <c r="BV46" s="29">
        <f t="shared" ca="1" si="17"/>
        <v>0</v>
      </c>
      <c r="BW46" s="29">
        <f t="shared" ca="1" si="17"/>
        <v>0</v>
      </c>
      <c r="BX46" s="29">
        <f t="shared" ca="1" si="17"/>
        <v>0</v>
      </c>
      <c r="BY46" s="29">
        <f t="shared" ca="1" si="17"/>
        <v>0</v>
      </c>
      <c r="BZ46" s="29">
        <f t="shared" ca="1" si="17"/>
        <v>0</v>
      </c>
      <c r="CA46" s="29">
        <f t="shared" ca="1" si="17"/>
        <v>0</v>
      </c>
      <c r="CB46" s="29">
        <f t="shared" ca="1" si="17"/>
        <v>0</v>
      </c>
      <c r="CC46" s="29">
        <f t="shared" ca="1" si="17"/>
        <v>0</v>
      </c>
      <c r="CD46" s="29">
        <f t="shared" ca="1" si="17"/>
        <v>0</v>
      </c>
      <c r="CE46" s="29">
        <f t="shared" ca="1" si="17"/>
        <v>0</v>
      </c>
      <c r="CF46" s="29">
        <f t="shared" ca="1" si="17"/>
        <v>0</v>
      </c>
      <c r="CG46" s="29">
        <f t="shared" ca="1" si="17"/>
        <v>0</v>
      </c>
      <c r="CH46" s="29">
        <f t="shared" ca="1" si="17"/>
        <v>0</v>
      </c>
    </row>
    <row r="47" spans="1:86" ht="13">
      <c r="B47" s="15" t="s">
        <v>221</v>
      </c>
      <c r="C47" s="15"/>
      <c r="D47" s="15" t="s">
        <v>238</v>
      </c>
      <c r="E47" s="29">
        <f t="shared" ca="1" si="13"/>
        <v>189639583.33333331</v>
      </c>
      <c r="F47" s="29"/>
      <c r="G47" s="29">
        <f t="shared" ref="G47:CH47" ca="1" si="18">G190+G193-G194</f>
        <v>0</v>
      </c>
      <c r="H47" s="29">
        <f t="shared" ca="1" si="18"/>
        <v>0</v>
      </c>
      <c r="I47" s="29">
        <f t="shared" ca="1" si="18"/>
        <v>0</v>
      </c>
      <c r="J47" s="29">
        <f t="shared" ca="1" si="18"/>
        <v>0</v>
      </c>
      <c r="K47" s="29">
        <f t="shared" ca="1" si="18"/>
        <v>0</v>
      </c>
      <c r="L47" s="29">
        <f t="shared" ca="1" si="18"/>
        <v>0</v>
      </c>
      <c r="M47" s="29">
        <f t="shared" ca="1" si="18"/>
        <v>0</v>
      </c>
      <c r="N47" s="29">
        <f t="shared" ca="1" si="18"/>
        <v>0</v>
      </c>
      <c r="O47" s="29">
        <f t="shared" ca="1" si="18"/>
        <v>0</v>
      </c>
      <c r="P47" s="29">
        <f t="shared" ca="1" si="18"/>
        <v>0</v>
      </c>
      <c r="Q47" s="29">
        <f t="shared" ca="1" si="18"/>
        <v>0</v>
      </c>
      <c r="R47" s="29">
        <f t="shared" ca="1" si="18"/>
        <v>0</v>
      </c>
      <c r="S47" s="29">
        <f t="shared" ca="1" si="18"/>
        <v>810104.16666666721</v>
      </c>
      <c r="T47" s="29">
        <f t="shared" ca="1" si="18"/>
        <v>810104.16666666721</v>
      </c>
      <c r="U47" s="29">
        <f t="shared" ca="1" si="18"/>
        <v>810104.16666666721</v>
      </c>
      <c r="V47" s="29">
        <f t="shared" ca="1" si="18"/>
        <v>810104.16666666721</v>
      </c>
      <c r="W47" s="29">
        <f t="shared" ca="1" si="18"/>
        <v>2526562.5000000009</v>
      </c>
      <c r="X47" s="29">
        <f t="shared" ca="1" si="18"/>
        <v>2526562.5000000009</v>
      </c>
      <c r="Y47" s="29">
        <f t="shared" ca="1" si="18"/>
        <v>2526562.5000000009</v>
      </c>
      <c r="Z47" s="29">
        <f t="shared" ca="1" si="18"/>
        <v>2377229.166666667</v>
      </c>
      <c r="AA47" s="29">
        <f t="shared" ca="1" si="18"/>
        <v>2289583.333333334</v>
      </c>
      <c r="AB47" s="29">
        <f t="shared" ca="1" si="18"/>
        <v>2289583.333333334</v>
      </c>
      <c r="AC47" s="29">
        <f t="shared" ca="1" si="18"/>
        <v>2289583.333333334</v>
      </c>
      <c r="AD47" s="29">
        <f t="shared" ca="1" si="18"/>
        <v>2289583.3333333344</v>
      </c>
      <c r="AE47" s="29">
        <f t="shared" ca="1" si="18"/>
        <v>11389958.333333332</v>
      </c>
      <c r="AF47" s="29">
        <f t="shared" ca="1" si="18"/>
        <v>11389958.333333332</v>
      </c>
      <c r="AG47" s="29">
        <f t="shared" ca="1" si="18"/>
        <v>11389958.333333332</v>
      </c>
      <c r="AH47" s="29">
        <f t="shared" ca="1" si="18"/>
        <v>11389958.333333332</v>
      </c>
      <c r="AI47" s="29">
        <f t="shared" ca="1" si="18"/>
        <v>10593833.333333332</v>
      </c>
      <c r="AJ47" s="29">
        <f t="shared" ca="1" si="18"/>
        <v>10593833.333333332</v>
      </c>
      <c r="AK47" s="29">
        <f t="shared" ca="1" si="18"/>
        <v>10593833.333333332</v>
      </c>
      <c r="AL47" s="29">
        <f t="shared" ca="1" si="18"/>
        <v>10593833.333333332</v>
      </c>
      <c r="AM47" s="29">
        <f t="shared" ca="1" si="18"/>
        <v>9155624.9999999981</v>
      </c>
      <c r="AN47" s="29">
        <f t="shared" ca="1" si="18"/>
        <v>9155624.9999999981</v>
      </c>
      <c r="AO47" s="29">
        <f t="shared" ca="1" si="18"/>
        <v>9155624.9999999981</v>
      </c>
      <c r="AP47" s="29">
        <f t="shared" ca="1" si="18"/>
        <v>9155624.9999999981</v>
      </c>
      <c r="AQ47" s="29">
        <f t="shared" ca="1" si="18"/>
        <v>10681562.499999996</v>
      </c>
      <c r="AR47" s="29">
        <f t="shared" ca="1" si="18"/>
        <v>10681562.499999996</v>
      </c>
      <c r="AS47" s="29">
        <f t="shared" ca="1" si="18"/>
        <v>10681562.499999996</v>
      </c>
      <c r="AT47" s="29">
        <f t="shared" ca="1" si="18"/>
        <v>10681562.499999996</v>
      </c>
      <c r="AU47" s="29">
        <f t="shared" ca="1" si="18"/>
        <v>0</v>
      </c>
      <c r="AV47" s="29">
        <f t="shared" ca="1" si="18"/>
        <v>0</v>
      </c>
      <c r="AW47" s="29">
        <f t="shared" ca="1" si="18"/>
        <v>0</v>
      </c>
      <c r="AX47" s="29">
        <f t="shared" ca="1" si="18"/>
        <v>0</v>
      </c>
      <c r="AY47" s="29">
        <f t="shared" ca="1" si="18"/>
        <v>0</v>
      </c>
      <c r="AZ47" s="29">
        <f t="shared" ca="1" si="18"/>
        <v>0</v>
      </c>
      <c r="BA47" s="29">
        <f t="shared" ca="1" si="18"/>
        <v>0</v>
      </c>
      <c r="BB47" s="29">
        <f t="shared" ca="1" si="18"/>
        <v>0</v>
      </c>
      <c r="BC47" s="29">
        <f t="shared" ca="1" si="18"/>
        <v>0</v>
      </c>
      <c r="BD47" s="29">
        <f t="shared" ca="1" si="18"/>
        <v>0</v>
      </c>
      <c r="BE47" s="29">
        <f t="shared" ca="1" si="18"/>
        <v>0</v>
      </c>
      <c r="BF47" s="29">
        <f t="shared" ca="1" si="18"/>
        <v>0</v>
      </c>
      <c r="BG47" s="29">
        <f t="shared" ca="1" si="18"/>
        <v>0</v>
      </c>
      <c r="BH47" s="29">
        <f t="shared" ca="1" si="18"/>
        <v>0</v>
      </c>
      <c r="BI47" s="29">
        <f t="shared" ca="1" si="18"/>
        <v>0</v>
      </c>
      <c r="BJ47" s="29">
        <f t="shared" ca="1" si="18"/>
        <v>0</v>
      </c>
      <c r="BK47" s="29">
        <f t="shared" ca="1" si="18"/>
        <v>0</v>
      </c>
      <c r="BL47" s="29">
        <f t="shared" ca="1" si="18"/>
        <v>0</v>
      </c>
      <c r="BM47" s="29">
        <f t="shared" ca="1" si="18"/>
        <v>0</v>
      </c>
      <c r="BN47" s="29">
        <f t="shared" ca="1" si="18"/>
        <v>0</v>
      </c>
      <c r="BO47" s="29">
        <f t="shared" ca="1" si="18"/>
        <v>0</v>
      </c>
      <c r="BP47" s="29">
        <f t="shared" ca="1" si="18"/>
        <v>0</v>
      </c>
      <c r="BQ47" s="29">
        <f t="shared" ca="1" si="18"/>
        <v>0</v>
      </c>
      <c r="BR47" s="29">
        <f t="shared" ca="1" si="18"/>
        <v>0</v>
      </c>
      <c r="BS47" s="29">
        <f t="shared" ca="1" si="18"/>
        <v>0</v>
      </c>
      <c r="BT47" s="29">
        <f t="shared" ca="1" si="18"/>
        <v>0</v>
      </c>
      <c r="BU47" s="29">
        <f t="shared" ca="1" si="18"/>
        <v>0</v>
      </c>
      <c r="BV47" s="29">
        <f t="shared" ca="1" si="18"/>
        <v>0</v>
      </c>
      <c r="BW47" s="29">
        <f t="shared" ca="1" si="18"/>
        <v>0</v>
      </c>
      <c r="BX47" s="29">
        <f t="shared" ca="1" si="18"/>
        <v>0</v>
      </c>
      <c r="BY47" s="29">
        <f t="shared" ca="1" si="18"/>
        <v>0</v>
      </c>
      <c r="BZ47" s="29">
        <f t="shared" ca="1" si="18"/>
        <v>0</v>
      </c>
      <c r="CA47" s="29">
        <f t="shared" ca="1" si="18"/>
        <v>0</v>
      </c>
      <c r="CB47" s="29">
        <f t="shared" ca="1" si="18"/>
        <v>0</v>
      </c>
      <c r="CC47" s="29">
        <f t="shared" ca="1" si="18"/>
        <v>0</v>
      </c>
      <c r="CD47" s="29">
        <f t="shared" ca="1" si="18"/>
        <v>0</v>
      </c>
      <c r="CE47" s="29">
        <f t="shared" ca="1" si="18"/>
        <v>0</v>
      </c>
      <c r="CF47" s="29">
        <f t="shared" ca="1" si="18"/>
        <v>0</v>
      </c>
      <c r="CG47" s="29">
        <f t="shared" ca="1" si="18"/>
        <v>0</v>
      </c>
      <c r="CH47" s="29">
        <f t="shared" ca="1" si="18"/>
        <v>0</v>
      </c>
    </row>
    <row r="48" spans="1:86" ht="13">
      <c r="B48" s="15" t="s">
        <v>271</v>
      </c>
      <c r="C48" s="15"/>
      <c r="D48" s="15" t="s">
        <v>238</v>
      </c>
      <c r="E48" s="29">
        <f t="shared" ca="1" si="13"/>
        <v>11362847.222222222</v>
      </c>
      <c r="F48" s="29"/>
      <c r="G48" s="29">
        <f ca="1">IF('Get Started  3'!$G112&lt;&gt;0,0,IF(G4&lt;'Get Started  3'!$H112,0,OFFSET(G37,0,-1*'Get Started  3'!$H112)*'Get Started  3'!$H42))+IF('Get Started  3'!$G111&lt;&gt;0,0,IF(G4&lt;'Get Started  3'!$H111,0,OFFSET(G37,0,-1*'Get Started  3'!$H111)*'Get Started  3'!$G42))+IF('Get Started  3'!$G110&lt;&gt;0,0,IF(G4&lt;'Get Started  3'!$H110,0,OFFSET(G37,0,-1*'Get Started  3'!$H110)*'Get Started  3'!$F42))+IF('Get Started  3'!$G109&lt;&gt;0,0,IF(G4&lt;'Get Started  3'!$H109,0,OFFSET(G37,0,-1*'Get Started  3'!$H109)*'Get Started  3'!$E42))</f>
        <v>0</v>
      </c>
      <c r="H48" s="29">
        <f ca="1">IF('Get Started  3'!$G112&lt;&gt;0,0,IF(H4&lt;'Get Started  3'!$H112,0,OFFSET(H37,0,-1*'Get Started  3'!$H112)*'Get Started  3'!$H42))+IF('Get Started  3'!$G111&lt;&gt;0,0,IF(H4&lt;'Get Started  3'!$H111,0,OFFSET(H37,0,-1*'Get Started  3'!$H111)*'Get Started  3'!$G42))+IF('Get Started  3'!$G110&lt;&gt;0,0,IF(H4&lt;'Get Started  3'!$H110,0,OFFSET(H37,0,-1*'Get Started  3'!$H110)*'Get Started  3'!$F42))+IF('Get Started  3'!$G109&lt;&gt;0,0,IF(H4&lt;'Get Started  3'!$H109,0,OFFSET(H37,0,-1*'Get Started  3'!$H109)*'Get Started  3'!$E42))</f>
        <v>0</v>
      </c>
      <c r="I48" s="29">
        <f ca="1">IF('Get Started  3'!$G112&lt;&gt;0,0,IF(I4&lt;'Get Started  3'!$H112,0,OFFSET(I37,0,-1*'Get Started  3'!$H112)*'Get Started  3'!$H42))+IF('Get Started  3'!$G111&lt;&gt;0,0,IF(I4&lt;'Get Started  3'!$H111,0,OFFSET(I37,0,-1*'Get Started  3'!$H111)*'Get Started  3'!$G42))+IF('Get Started  3'!$G110&lt;&gt;0,0,IF(I4&lt;'Get Started  3'!$H110,0,OFFSET(I37,0,-1*'Get Started  3'!$H110)*'Get Started  3'!$F42))+IF('Get Started  3'!$G109&lt;&gt;0,0,IF(I4&lt;'Get Started  3'!$H109,0,OFFSET(I37,0,-1*'Get Started  3'!$H109)*'Get Started  3'!$E42))</f>
        <v>0</v>
      </c>
      <c r="J48" s="29">
        <f ca="1">IF('Get Started  3'!$G112&lt;&gt;0,0,IF(J4&lt;'Get Started  3'!$H112,0,OFFSET(J37,0,-1*'Get Started  3'!$H112)*'Get Started  3'!$H42))+IF('Get Started  3'!$G111&lt;&gt;0,0,IF(J4&lt;'Get Started  3'!$H111,0,OFFSET(J37,0,-1*'Get Started  3'!$H111)*'Get Started  3'!$G42))+IF('Get Started  3'!$G110&lt;&gt;0,0,IF(J4&lt;'Get Started  3'!$H110,0,OFFSET(J37,0,-1*'Get Started  3'!$H110)*'Get Started  3'!$F42))+IF('Get Started  3'!$G109&lt;&gt;0,0,IF(J4&lt;'Get Started  3'!$H109,0,OFFSET(J37,0,-1*'Get Started  3'!$H109)*'Get Started  3'!$E42))</f>
        <v>0</v>
      </c>
      <c r="K48" s="29">
        <f ca="1">IF('Get Started  3'!$G112&lt;&gt;0,0,IF(K4&lt;'Get Started  3'!$H112,0,OFFSET(K37,0,-1*'Get Started  3'!$H112)*'Get Started  3'!$H42))+IF('Get Started  3'!$G111&lt;&gt;0,0,IF(K4&lt;'Get Started  3'!$H111,0,OFFSET(K37,0,-1*'Get Started  3'!$H111)*'Get Started  3'!$G42))+IF('Get Started  3'!$G110&lt;&gt;0,0,IF(K4&lt;'Get Started  3'!$H110,0,OFFSET(K37,0,-1*'Get Started  3'!$H110)*'Get Started  3'!$F42))+IF('Get Started  3'!$G109&lt;&gt;0,0,IF(K4&lt;'Get Started  3'!$H109,0,OFFSET(K37,0,-1*'Get Started  3'!$H109)*'Get Started  3'!$E42))</f>
        <v>0</v>
      </c>
      <c r="L48" s="29">
        <f ca="1">IF('Get Started  3'!$G112&lt;&gt;0,0,IF(L4&lt;'Get Started  3'!$H112,0,OFFSET(L37,0,-1*'Get Started  3'!$H112)*'Get Started  3'!$H42))+IF('Get Started  3'!$G111&lt;&gt;0,0,IF(L4&lt;'Get Started  3'!$H111,0,OFFSET(L37,0,-1*'Get Started  3'!$H111)*'Get Started  3'!$G42))+IF('Get Started  3'!$G110&lt;&gt;0,0,IF(L4&lt;'Get Started  3'!$H110,0,OFFSET(L37,0,-1*'Get Started  3'!$H110)*'Get Started  3'!$F42))+IF('Get Started  3'!$G109&lt;&gt;0,0,IF(L4&lt;'Get Started  3'!$H109,0,OFFSET(L37,0,-1*'Get Started  3'!$H109)*'Get Started  3'!$E42))</f>
        <v>0</v>
      </c>
      <c r="M48" s="29">
        <f ca="1">IF('Get Started  3'!$G112&lt;&gt;0,0,IF(M4&lt;'Get Started  3'!$H112,0,OFFSET(M37,0,-1*'Get Started  3'!$H112)*'Get Started  3'!$H42))+IF('Get Started  3'!$G111&lt;&gt;0,0,IF(M4&lt;'Get Started  3'!$H111,0,OFFSET(M37,0,-1*'Get Started  3'!$H111)*'Get Started  3'!$G42))+IF('Get Started  3'!$G110&lt;&gt;0,0,IF(M4&lt;'Get Started  3'!$H110,0,OFFSET(M37,0,-1*'Get Started  3'!$H110)*'Get Started  3'!$F42))+IF('Get Started  3'!$G109&lt;&gt;0,0,IF(M4&lt;'Get Started  3'!$H109,0,OFFSET(M37,0,-1*'Get Started  3'!$H109)*'Get Started  3'!$E42))</f>
        <v>0</v>
      </c>
      <c r="N48" s="29">
        <f ca="1">IF('Get Started  3'!$G112&lt;&gt;0,0,IF(N4&lt;'Get Started  3'!$H112,0,OFFSET(N37,0,-1*'Get Started  3'!$H112)*'Get Started  3'!$H42))+IF('Get Started  3'!$G111&lt;&gt;0,0,IF(N4&lt;'Get Started  3'!$H111,0,OFFSET(N37,0,-1*'Get Started  3'!$H111)*'Get Started  3'!$G42))+IF('Get Started  3'!$G110&lt;&gt;0,0,IF(N4&lt;'Get Started  3'!$H110,0,OFFSET(N37,0,-1*'Get Started  3'!$H110)*'Get Started  3'!$F42))+IF('Get Started  3'!$G109&lt;&gt;0,0,IF(N4&lt;'Get Started  3'!$H109,0,OFFSET(N37,0,-1*'Get Started  3'!$H109)*'Get Started  3'!$E42))</f>
        <v>0</v>
      </c>
      <c r="O48" s="29">
        <f ca="1">IF('Get Started  3'!$G112&lt;&gt;0,0,IF(O4&lt;'Get Started  3'!$H112,0,OFFSET(O37,0,-1*'Get Started  3'!$H112)*'Get Started  3'!$H42))+IF('Get Started  3'!$G111&lt;&gt;0,0,IF(O4&lt;'Get Started  3'!$H111,0,OFFSET(O37,0,-1*'Get Started  3'!$H111)*'Get Started  3'!$G42))+IF('Get Started  3'!$G110&lt;&gt;0,0,IF(O4&lt;'Get Started  3'!$H110,0,OFFSET(O37,0,-1*'Get Started  3'!$H110)*'Get Started  3'!$F42))+IF('Get Started  3'!$G109&lt;&gt;0,0,IF(O4&lt;'Get Started  3'!$H109,0,OFFSET(O37,0,-1*'Get Started  3'!$H109)*'Get Started  3'!$E42))</f>
        <v>681770.83333333337</v>
      </c>
      <c r="P48" s="29">
        <f ca="1">IF('Get Started  3'!$G112&lt;&gt;0,0,IF(P4&lt;'Get Started  3'!$H112,0,OFFSET(P37,0,-1*'Get Started  3'!$H112)*'Get Started  3'!$H42))+IF('Get Started  3'!$G111&lt;&gt;0,0,IF(P4&lt;'Get Started  3'!$H111,0,OFFSET(P37,0,-1*'Get Started  3'!$H111)*'Get Started  3'!$G42))+IF('Get Started  3'!$G110&lt;&gt;0,0,IF(P4&lt;'Get Started  3'!$H110,0,OFFSET(P37,0,-1*'Get Started  3'!$H110)*'Get Started  3'!$F42))+IF('Get Started  3'!$G109&lt;&gt;0,0,IF(P4&lt;'Get Started  3'!$H109,0,OFFSET(P37,0,-1*'Get Started  3'!$H109)*'Get Started  3'!$E42))</f>
        <v>681770.83333333337</v>
      </c>
      <c r="Q48" s="29">
        <f ca="1">IF('Get Started  3'!$G112&lt;&gt;0,0,IF(Q4&lt;'Get Started  3'!$H112,0,OFFSET(Q37,0,-1*'Get Started  3'!$H112)*'Get Started  3'!$H42))+IF('Get Started  3'!$G111&lt;&gt;0,0,IF(Q4&lt;'Get Started  3'!$H111,0,OFFSET(Q37,0,-1*'Get Started  3'!$H111)*'Get Started  3'!$G42))+IF('Get Started  3'!$G110&lt;&gt;0,0,IF(Q4&lt;'Get Started  3'!$H110,0,OFFSET(Q37,0,-1*'Get Started  3'!$H110)*'Get Started  3'!$F42))+IF('Get Started  3'!$G109&lt;&gt;0,0,IF(Q4&lt;'Get Started  3'!$H109,0,OFFSET(Q37,0,-1*'Get Started  3'!$H109)*'Get Started  3'!$E42))</f>
        <v>681770.83333333337</v>
      </c>
      <c r="R48" s="29">
        <f ca="1">IF('Get Started  3'!$G112&lt;&gt;0,0,IF(R4&lt;'Get Started  3'!$H112,0,OFFSET(R37,0,-1*'Get Started  3'!$H112)*'Get Started  3'!$H42))+IF('Get Started  3'!$G111&lt;&gt;0,0,IF(R4&lt;'Get Started  3'!$H111,0,OFFSET(R37,0,-1*'Get Started  3'!$H111)*'Get Started  3'!$G42))+IF('Get Started  3'!$G110&lt;&gt;0,0,IF(R4&lt;'Get Started  3'!$H110,0,OFFSET(R37,0,-1*'Get Started  3'!$H110)*'Get Started  3'!$F42))+IF('Get Started  3'!$G109&lt;&gt;0,0,IF(R4&lt;'Get Started  3'!$H109,0,OFFSET(R37,0,-1*'Get Started  3'!$H109)*'Get Started  3'!$E42))</f>
        <v>681770.83333333337</v>
      </c>
      <c r="S48" s="29">
        <f ca="1">IF('Get Started  3'!$G112&lt;&gt;0,0,IF(S4&lt;'Get Started  3'!$H112,0,OFFSET(S37,0,-1*'Get Started  3'!$H112)*'Get Started  3'!$H42))+IF('Get Started  3'!$G111&lt;&gt;0,0,IF(S4&lt;'Get Started  3'!$H111,0,OFFSET(S37,0,-1*'Get Started  3'!$H111)*'Get Started  3'!$G42))+IF('Get Started  3'!$G110&lt;&gt;0,0,IF(S4&lt;'Get Started  3'!$H110,0,OFFSET(S37,0,-1*'Get Started  3'!$H110)*'Get Started  3'!$F42))+IF('Get Started  3'!$G109&lt;&gt;0,0,IF(S4&lt;'Get Started  3'!$H109,0,OFFSET(S37,0,-1*'Get Started  3'!$H109)*'Get Started  3'!$E42))</f>
        <v>681770.83333333337</v>
      </c>
      <c r="T48" s="29">
        <f ca="1">IF('Get Started  3'!$G112&lt;&gt;0,0,IF(T4&lt;'Get Started  3'!$H112,0,OFFSET(T37,0,-1*'Get Started  3'!$H112)*'Get Started  3'!$H42))+IF('Get Started  3'!$G111&lt;&gt;0,0,IF(T4&lt;'Get Started  3'!$H111,0,OFFSET(T37,0,-1*'Get Started  3'!$H111)*'Get Started  3'!$G42))+IF('Get Started  3'!$G110&lt;&gt;0,0,IF(T4&lt;'Get Started  3'!$H110,0,OFFSET(T37,0,-1*'Get Started  3'!$H110)*'Get Started  3'!$F42))+IF('Get Started  3'!$G109&lt;&gt;0,0,IF(T4&lt;'Get Started  3'!$H109,0,OFFSET(T37,0,-1*'Get Started  3'!$H109)*'Get Started  3'!$E42))</f>
        <v>681770.83333333337</v>
      </c>
      <c r="U48" s="29">
        <f ca="1">IF('Get Started  3'!$G112&lt;&gt;0,0,IF(U4&lt;'Get Started  3'!$H112,0,OFFSET(U37,0,-1*'Get Started  3'!$H112)*'Get Started  3'!$H42))+IF('Get Started  3'!$G111&lt;&gt;0,0,IF(U4&lt;'Get Started  3'!$H111,0,OFFSET(U37,0,-1*'Get Started  3'!$H111)*'Get Started  3'!$G42))+IF('Get Started  3'!$G110&lt;&gt;0,0,IF(U4&lt;'Get Started  3'!$H110,0,OFFSET(U37,0,-1*'Get Started  3'!$H110)*'Get Started  3'!$F42))+IF('Get Started  3'!$G109&lt;&gt;0,0,IF(U4&lt;'Get Started  3'!$H109,0,OFFSET(U37,0,-1*'Get Started  3'!$H109)*'Get Started  3'!$E42))</f>
        <v>681770.83333333337</v>
      </c>
      <c r="V48" s="29">
        <f ca="1">IF('Get Started  3'!$G112&lt;&gt;0,0,IF(V4&lt;'Get Started  3'!$H112,0,OFFSET(V37,0,-1*'Get Started  3'!$H112)*'Get Started  3'!$H42))+IF('Get Started  3'!$G111&lt;&gt;0,0,IF(V4&lt;'Get Started  3'!$H111,0,OFFSET(V37,0,-1*'Get Started  3'!$H111)*'Get Started  3'!$G42))+IF('Get Started  3'!$G110&lt;&gt;0,0,IF(V4&lt;'Get Started  3'!$H110,0,OFFSET(V37,0,-1*'Get Started  3'!$H110)*'Get Started  3'!$F42))+IF('Get Started  3'!$G109&lt;&gt;0,0,IF(V4&lt;'Get Started  3'!$H109,0,OFFSET(V37,0,-1*'Get Started  3'!$H109)*'Get Started  3'!$E42))</f>
        <v>681770.83333333337</v>
      </c>
      <c r="W48" s="29">
        <f ca="1">IF('Get Started  3'!$G112&lt;&gt;0,0,IF(W4&lt;'Get Started  3'!$H112,0,OFFSET(W37,0,-1*'Get Started  3'!$H112)*'Get Started  3'!$H42))+IF('Get Started  3'!$G111&lt;&gt;0,0,IF(W4&lt;'Get Started  3'!$H111,0,OFFSET(W37,0,-1*'Get Started  3'!$H111)*'Get Started  3'!$G42))+IF('Get Started  3'!$G110&lt;&gt;0,0,IF(W4&lt;'Get Started  3'!$H110,0,OFFSET(W37,0,-1*'Get Started  3'!$H110)*'Get Started  3'!$F42))+IF('Get Started  3'!$G109&lt;&gt;0,0,IF(W4&lt;'Get Started  3'!$H109,0,OFFSET(W37,0,-1*'Get Started  3'!$H109)*'Get Started  3'!$E42))</f>
        <v>681770.83333333337</v>
      </c>
      <c r="X48" s="29">
        <f ca="1">IF('Get Started  3'!$G112&lt;&gt;0,0,IF(X4&lt;'Get Started  3'!$H112,0,OFFSET(X37,0,-1*'Get Started  3'!$H112)*'Get Started  3'!$H42))+IF('Get Started  3'!$G111&lt;&gt;0,0,IF(X4&lt;'Get Started  3'!$H111,0,OFFSET(X37,0,-1*'Get Started  3'!$H111)*'Get Started  3'!$G42))+IF('Get Started  3'!$G110&lt;&gt;0,0,IF(X4&lt;'Get Started  3'!$H110,0,OFFSET(X37,0,-1*'Get Started  3'!$H110)*'Get Started  3'!$F42))+IF('Get Started  3'!$G109&lt;&gt;0,0,IF(X4&lt;'Get Started  3'!$H109,0,OFFSET(X37,0,-1*'Get Started  3'!$H109)*'Get Started  3'!$E42))</f>
        <v>681770.83333333337</v>
      </c>
      <c r="Y48" s="29">
        <f ca="1">IF('Get Started  3'!$G112&lt;&gt;0,0,IF(Y4&lt;'Get Started  3'!$H112,0,OFFSET(Y37,0,-1*'Get Started  3'!$H112)*'Get Started  3'!$H42))+IF('Get Started  3'!$G111&lt;&gt;0,0,IF(Y4&lt;'Get Started  3'!$H111,0,OFFSET(Y37,0,-1*'Get Started  3'!$H111)*'Get Started  3'!$G42))+IF('Get Started  3'!$G110&lt;&gt;0,0,IF(Y4&lt;'Get Started  3'!$H110,0,OFFSET(Y37,0,-1*'Get Started  3'!$H110)*'Get Started  3'!$F42))+IF('Get Started  3'!$G109&lt;&gt;0,0,IF(Y4&lt;'Get Started  3'!$H109,0,OFFSET(Y37,0,-1*'Get Started  3'!$H109)*'Get Started  3'!$E42))</f>
        <v>681770.83333333337</v>
      </c>
      <c r="Z48" s="29">
        <f ca="1">IF('Get Started  3'!$G112&lt;&gt;0,0,IF(Z4&lt;'Get Started  3'!$H112,0,OFFSET(Z37,0,-1*'Get Started  3'!$H112)*'Get Started  3'!$H42))+IF('Get Started  3'!$G111&lt;&gt;0,0,IF(Z4&lt;'Get Started  3'!$H111,0,OFFSET(Z37,0,-1*'Get Started  3'!$H111)*'Get Started  3'!$G42))+IF('Get Started  3'!$G110&lt;&gt;0,0,IF(Z4&lt;'Get Started  3'!$H110,0,OFFSET(Z37,0,-1*'Get Started  3'!$H110)*'Get Started  3'!$F42))+IF('Get Started  3'!$G109&lt;&gt;0,0,IF(Z4&lt;'Get Started  3'!$H109,0,OFFSET(Z37,0,-1*'Get Started  3'!$H109)*'Get Started  3'!$E42))</f>
        <v>681770.83333333337</v>
      </c>
      <c r="AA48" s="29">
        <f ca="1">IF('Get Started  3'!$G112&lt;&gt;0,0,IF(AA4&lt;'Get Started  3'!$H112,0,OFFSET(AA37,0,-1*'Get Started  3'!$H112)*'Get Started  3'!$H42))+IF('Get Started  3'!$G111&lt;&gt;0,0,IF(AA4&lt;'Get Started  3'!$H111,0,OFFSET(AA37,0,-1*'Get Started  3'!$H111)*'Get Started  3'!$G42))+IF('Get Started  3'!$G110&lt;&gt;0,0,IF(AA4&lt;'Get Started  3'!$H110,0,OFFSET(AA37,0,-1*'Get Started  3'!$H110)*'Get Started  3'!$F42))+IF('Get Started  3'!$G109&lt;&gt;0,0,IF(AA4&lt;'Get Started  3'!$H109,0,OFFSET(AA37,0,-1*'Get Started  3'!$H109)*'Get Started  3'!$E42))</f>
        <v>795399.3055555555</v>
      </c>
      <c r="AB48" s="29">
        <f ca="1">IF('Get Started  3'!$G112&lt;&gt;0,0,IF(AB4&lt;'Get Started  3'!$H112,0,OFFSET(AB37,0,-1*'Get Started  3'!$H112)*'Get Started  3'!$H42))+IF('Get Started  3'!$G111&lt;&gt;0,0,IF(AB4&lt;'Get Started  3'!$H111,0,OFFSET(AB37,0,-1*'Get Started  3'!$H111)*'Get Started  3'!$G42))+IF('Get Started  3'!$G110&lt;&gt;0,0,IF(AB4&lt;'Get Started  3'!$H110,0,OFFSET(AB37,0,-1*'Get Started  3'!$H110)*'Get Started  3'!$F42))+IF('Get Started  3'!$G109&lt;&gt;0,0,IF(AB4&lt;'Get Started  3'!$H109,0,OFFSET(AB37,0,-1*'Get Started  3'!$H109)*'Get Started  3'!$E42))</f>
        <v>795399.3055555555</v>
      </c>
      <c r="AC48" s="29">
        <f ca="1">IF('Get Started  3'!$G112&lt;&gt;0,0,IF(AC4&lt;'Get Started  3'!$H112,0,OFFSET(AC37,0,-1*'Get Started  3'!$H112)*'Get Started  3'!$H42))+IF('Get Started  3'!$G111&lt;&gt;0,0,IF(AC4&lt;'Get Started  3'!$H111,0,OFFSET(AC37,0,-1*'Get Started  3'!$H111)*'Get Started  3'!$G42))+IF('Get Started  3'!$G110&lt;&gt;0,0,IF(AC4&lt;'Get Started  3'!$H110,0,OFFSET(AC37,0,-1*'Get Started  3'!$H110)*'Get Started  3'!$F42))+IF('Get Started  3'!$G109&lt;&gt;0,0,IF(AC4&lt;'Get Started  3'!$H109,0,OFFSET(AC37,0,-1*'Get Started  3'!$H109)*'Get Started  3'!$E42))</f>
        <v>795399.3055555555</v>
      </c>
      <c r="AD48" s="29">
        <f ca="1">IF('Get Started  3'!$G112&lt;&gt;0,0,IF(AD4&lt;'Get Started  3'!$H112,0,OFFSET(AD37,0,-1*'Get Started  3'!$H112)*'Get Started  3'!$H42))+IF('Get Started  3'!$G111&lt;&gt;0,0,IF(AD4&lt;'Get Started  3'!$H111,0,OFFSET(AD37,0,-1*'Get Started  3'!$H111)*'Get Started  3'!$G42))+IF('Get Started  3'!$G110&lt;&gt;0,0,IF(AD4&lt;'Get Started  3'!$H110,0,OFFSET(AD37,0,-1*'Get Started  3'!$H110)*'Get Started  3'!$F42))+IF('Get Started  3'!$G109&lt;&gt;0,0,IF(AD4&lt;'Get Started  3'!$H109,0,OFFSET(AD37,0,-1*'Get Started  3'!$H109)*'Get Started  3'!$E42))</f>
        <v>795399.3055555555</v>
      </c>
      <c r="AE48" s="29">
        <f ca="1">IF('Get Started  3'!$G112&lt;&gt;0,0,IF(AE4&lt;'Get Started  3'!$H112,0,OFFSET(AE37,0,-1*'Get Started  3'!$H112)*'Get Started  3'!$H42))+IF('Get Started  3'!$G111&lt;&gt;0,0,IF(AE4&lt;'Get Started  3'!$H111,0,OFFSET(AE37,0,-1*'Get Started  3'!$H111)*'Get Started  3'!$G42))+IF('Get Started  3'!$G110&lt;&gt;0,0,IF(AE4&lt;'Get Started  3'!$H110,0,OFFSET(AE37,0,-1*'Get Started  3'!$H110)*'Get Started  3'!$F42))+IF('Get Started  3'!$G109&lt;&gt;0,0,IF(AE4&lt;'Get Started  3'!$H109,0,OFFSET(AE37,0,-1*'Get Started  3'!$H109)*'Get Started  3'!$E42))</f>
        <v>0</v>
      </c>
      <c r="AF48" s="29">
        <f ca="1">IF('Get Started  3'!$G112&lt;&gt;0,0,IF(AF4&lt;'Get Started  3'!$H112,0,OFFSET(AF37,0,-1*'Get Started  3'!$H112)*'Get Started  3'!$H42))+IF('Get Started  3'!$G111&lt;&gt;0,0,IF(AF4&lt;'Get Started  3'!$H111,0,OFFSET(AF37,0,-1*'Get Started  3'!$H111)*'Get Started  3'!$G42))+IF('Get Started  3'!$G110&lt;&gt;0,0,IF(AF4&lt;'Get Started  3'!$H110,0,OFFSET(AF37,0,-1*'Get Started  3'!$H110)*'Get Started  3'!$F42))+IF('Get Started  3'!$G109&lt;&gt;0,0,IF(AF4&lt;'Get Started  3'!$H109,0,OFFSET(AF37,0,-1*'Get Started  3'!$H109)*'Get Started  3'!$E42))</f>
        <v>0</v>
      </c>
      <c r="AG48" s="29">
        <f ca="1">IF('Get Started  3'!$G112&lt;&gt;0,0,IF(AG4&lt;'Get Started  3'!$H112,0,OFFSET(AG37,0,-1*'Get Started  3'!$H112)*'Get Started  3'!$H42))+IF('Get Started  3'!$G111&lt;&gt;0,0,IF(AG4&lt;'Get Started  3'!$H111,0,OFFSET(AG37,0,-1*'Get Started  3'!$H111)*'Get Started  3'!$G42))+IF('Get Started  3'!$G110&lt;&gt;0,0,IF(AG4&lt;'Get Started  3'!$H110,0,OFFSET(AG37,0,-1*'Get Started  3'!$H110)*'Get Started  3'!$F42))+IF('Get Started  3'!$G109&lt;&gt;0,0,IF(AG4&lt;'Get Started  3'!$H109,0,OFFSET(AG37,0,-1*'Get Started  3'!$H109)*'Get Started  3'!$E42))</f>
        <v>0</v>
      </c>
      <c r="AH48" s="29">
        <f ca="1">IF('Get Started  3'!$G112&lt;&gt;0,0,IF(AH4&lt;'Get Started  3'!$H112,0,OFFSET(AH37,0,-1*'Get Started  3'!$H112)*'Get Started  3'!$H42))+IF('Get Started  3'!$G111&lt;&gt;0,0,IF(AH4&lt;'Get Started  3'!$H111,0,OFFSET(AH37,0,-1*'Get Started  3'!$H111)*'Get Started  3'!$G42))+IF('Get Started  3'!$G110&lt;&gt;0,0,IF(AH4&lt;'Get Started  3'!$H110,0,OFFSET(AH37,0,-1*'Get Started  3'!$H110)*'Get Started  3'!$F42))+IF('Get Started  3'!$G109&lt;&gt;0,0,IF(AH4&lt;'Get Started  3'!$H109,0,OFFSET(AH37,0,-1*'Get Started  3'!$H109)*'Get Started  3'!$E42))</f>
        <v>0</v>
      </c>
      <c r="AI48" s="29">
        <f ca="1">IF('Get Started  3'!$G112&lt;&gt;0,0,IF(AI4&lt;'Get Started  3'!$H112,0,OFFSET(AI37,0,-1*'Get Started  3'!$H112)*'Get Started  3'!$H42))+IF('Get Started  3'!$G111&lt;&gt;0,0,IF(AI4&lt;'Get Started  3'!$H111,0,OFFSET(AI37,0,-1*'Get Started  3'!$H111)*'Get Started  3'!$G42))+IF('Get Started  3'!$G110&lt;&gt;0,0,IF(AI4&lt;'Get Started  3'!$H110,0,OFFSET(AI37,0,-1*'Get Started  3'!$H110)*'Get Started  3'!$F42))+IF('Get Started  3'!$G109&lt;&gt;0,0,IF(AI4&lt;'Get Started  3'!$H109,0,OFFSET(AI37,0,-1*'Get Started  3'!$H109)*'Get Started  3'!$E42))</f>
        <v>0</v>
      </c>
      <c r="AJ48" s="29">
        <f ca="1">IF('Get Started  3'!$G112&lt;&gt;0,0,IF(AJ4&lt;'Get Started  3'!$H112,0,OFFSET(AJ37,0,-1*'Get Started  3'!$H112)*'Get Started  3'!$H42))+IF('Get Started  3'!$G111&lt;&gt;0,0,IF(AJ4&lt;'Get Started  3'!$H111,0,OFFSET(AJ37,0,-1*'Get Started  3'!$H111)*'Get Started  3'!$G42))+IF('Get Started  3'!$G110&lt;&gt;0,0,IF(AJ4&lt;'Get Started  3'!$H110,0,OFFSET(AJ37,0,-1*'Get Started  3'!$H110)*'Get Started  3'!$F42))+IF('Get Started  3'!$G109&lt;&gt;0,0,IF(AJ4&lt;'Get Started  3'!$H109,0,OFFSET(AJ37,0,-1*'Get Started  3'!$H109)*'Get Started  3'!$E42))</f>
        <v>0</v>
      </c>
      <c r="AK48" s="29">
        <f ca="1">IF('Get Started  3'!$G112&lt;&gt;0,0,IF(AK4&lt;'Get Started  3'!$H112,0,OFFSET(AK37,0,-1*'Get Started  3'!$H112)*'Get Started  3'!$H42))+IF('Get Started  3'!$G111&lt;&gt;0,0,IF(AK4&lt;'Get Started  3'!$H111,0,OFFSET(AK37,0,-1*'Get Started  3'!$H111)*'Get Started  3'!$G42))+IF('Get Started  3'!$G110&lt;&gt;0,0,IF(AK4&lt;'Get Started  3'!$H110,0,OFFSET(AK37,0,-1*'Get Started  3'!$H110)*'Get Started  3'!$F42))+IF('Get Started  3'!$G109&lt;&gt;0,0,IF(AK4&lt;'Get Started  3'!$H109,0,OFFSET(AK37,0,-1*'Get Started  3'!$H109)*'Get Started  3'!$E42))</f>
        <v>0</v>
      </c>
      <c r="AL48" s="29">
        <f ca="1">IF('Get Started  3'!$G112&lt;&gt;0,0,IF(AL4&lt;'Get Started  3'!$H112,0,OFFSET(AL37,0,-1*'Get Started  3'!$H112)*'Get Started  3'!$H42))+IF('Get Started  3'!$G111&lt;&gt;0,0,IF(AL4&lt;'Get Started  3'!$H111,0,OFFSET(AL37,0,-1*'Get Started  3'!$H111)*'Get Started  3'!$G42))+IF('Get Started  3'!$G110&lt;&gt;0,0,IF(AL4&lt;'Get Started  3'!$H110,0,OFFSET(AL37,0,-1*'Get Started  3'!$H110)*'Get Started  3'!$F42))+IF('Get Started  3'!$G109&lt;&gt;0,0,IF(AL4&lt;'Get Started  3'!$H109,0,OFFSET(AL37,0,-1*'Get Started  3'!$H109)*'Get Started  3'!$E42))</f>
        <v>0</v>
      </c>
      <c r="AM48" s="29">
        <f ca="1">IF('Get Started  3'!$G112&lt;&gt;0,0,IF(AM4&lt;'Get Started  3'!$H112,0,OFFSET(AM37,0,-1*'Get Started  3'!$H112)*'Get Started  3'!$H42))+IF('Get Started  3'!$G111&lt;&gt;0,0,IF(AM4&lt;'Get Started  3'!$H111,0,OFFSET(AM37,0,-1*'Get Started  3'!$H111)*'Get Started  3'!$G42))+IF('Get Started  3'!$G110&lt;&gt;0,0,IF(AM4&lt;'Get Started  3'!$H110,0,OFFSET(AM37,0,-1*'Get Started  3'!$H110)*'Get Started  3'!$F42))+IF('Get Started  3'!$G109&lt;&gt;0,0,IF(AM4&lt;'Get Started  3'!$H109,0,OFFSET(AM37,0,-1*'Get Started  3'!$H109)*'Get Started  3'!$E42))</f>
        <v>0</v>
      </c>
      <c r="AN48" s="29">
        <f ca="1">IF('Get Started  3'!$G112&lt;&gt;0,0,IF(AN4&lt;'Get Started  3'!$H112,0,OFFSET(AN37,0,-1*'Get Started  3'!$H112)*'Get Started  3'!$H42))+IF('Get Started  3'!$G111&lt;&gt;0,0,IF(AN4&lt;'Get Started  3'!$H111,0,OFFSET(AN37,0,-1*'Get Started  3'!$H111)*'Get Started  3'!$G42))+IF('Get Started  3'!$G110&lt;&gt;0,0,IF(AN4&lt;'Get Started  3'!$H110,0,OFFSET(AN37,0,-1*'Get Started  3'!$H110)*'Get Started  3'!$F42))+IF('Get Started  3'!$G109&lt;&gt;0,0,IF(AN4&lt;'Get Started  3'!$H109,0,OFFSET(AN37,0,-1*'Get Started  3'!$H109)*'Get Started  3'!$E42))</f>
        <v>0</v>
      </c>
      <c r="AO48" s="29">
        <f ca="1">IF('Get Started  3'!$G112&lt;&gt;0,0,IF(AO4&lt;'Get Started  3'!$H112,0,OFFSET(AO37,0,-1*'Get Started  3'!$H112)*'Get Started  3'!$H42))+IF('Get Started  3'!$G111&lt;&gt;0,0,IF(AO4&lt;'Get Started  3'!$H111,0,OFFSET(AO37,0,-1*'Get Started  3'!$H111)*'Get Started  3'!$G42))+IF('Get Started  3'!$G110&lt;&gt;0,0,IF(AO4&lt;'Get Started  3'!$H110,0,OFFSET(AO37,0,-1*'Get Started  3'!$H110)*'Get Started  3'!$F42))+IF('Get Started  3'!$G109&lt;&gt;0,0,IF(AO4&lt;'Get Started  3'!$H109,0,OFFSET(AO37,0,-1*'Get Started  3'!$H109)*'Get Started  3'!$E42))</f>
        <v>0</v>
      </c>
      <c r="AP48" s="29">
        <f ca="1">IF('Get Started  3'!$G112&lt;&gt;0,0,IF(AP4&lt;'Get Started  3'!$H112,0,OFFSET(AP37,0,-1*'Get Started  3'!$H112)*'Get Started  3'!$H42))+IF('Get Started  3'!$G111&lt;&gt;0,0,IF(AP4&lt;'Get Started  3'!$H111,0,OFFSET(AP37,0,-1*'Get Started  3'!$H111)*'Get Started  3'!$G42))+IF('Get Started  3'!$G110&lt;&gt;0,0,IF(AP4&lt;'Get Started  3'!$H110,0,OFFSET(AP37,0,-1*'Get Started  3'!$H110)*'Get Started  3'!$F42))+IF('Get Started  3'!$G109&lt;&gt;0,0,IF(AP4&lt;'Get Started  3'!$H109,0,OFFSET(AP37,0,-1*'Get Started  3'!$H109)*'Get Started  3'!$E42))</f>
        <v>0</v>
      </c>
      <c r="AQ48" s="29">
        <f ca="1">IF('Get Started  3'!$G112&lt;&gt;0,0,IF(AQ4&lt;'Get Started  3'!$H112,0,OFFSET(AQ37,0,-1*'Get Started  3'!$H112)*'Get Started  3'!$H42))+IF('Get Started  3'!$G111&lt;&gt;0,0,IF(AQ4&lt;'Get Started  3'!$H111,0,OFFSET(AQ37,0,-1*'Get Started  3'!$H111)*'Get Started  3'!$G42))+IF('Get Started  3'!$G110&lt;&gt;0,0,IF(AQ4&lt;'Get Started  3'!$H110,0,OFFSET(AQ37,0,-1*'Get Started  3'!$H110)*'Get Started  3'!$F42))+IF('Get Started  3'!$G109&lt;&gt;0,0,IF(AQ4&lt;'Get Started  3'!$H109,0,OFFSET(AQ37,0,-1*'Get Started  3'!$H109)*'Get Started  3'!$E42))</f>
        <v>0</v>
      </c>
      <c r="AR48" s="29">
        <f ca="1">IF('Get Started  3'!$G112&lt;&gt;0,0,IF(AR4&lt;'Get Started  3'!$H112,0,OFFSET(AR37,0,-1*'Get Started  3'!$H112)*'Get Started  3'!$H42))+IF('Get Started  3'!$G111&lt;&gt;0,0,IF(AR4&lt;'Get Started  3'!$H111,0,OFFSET(AR37,0,-1*'Get Started  3'!$H111)*'Get Started  3'!$G42))+IF('Get Started  3'!$G110&lt;&gt;0,0,IF(AR4&lt;'Get Started  3'!$H110,0,OFFSET(AR37,0,-1*'Get Started  3'!$H110)*'Get Started  3'!$F42))+IF('Get Started  3'!$G109&lt;&gt;0,0,IF(AR4&lt;'Get Started  3'!$H109,0,OFFSET(AR37,0,-1*'Get Started  3'!$H109)*'Get Started  3'!$E42))</f>
        <v>0</v>
      </c>
      <c r="AS48" s="29">
        <f ca="1">IF('Get Started  3'!$G112&lt;&gt;0,0,IF(AS4&lt;'Get Started  3'!$H112,0,OFFSET(AS37,0,-1*'Get Started  3'!$H112)*'Get Started  3'!$H42))+IF('Get Started  3'!$G111&lt;&gt;0,0,IF(AS4&lt;'Get Started  3'!$H111,0,OFFSET(AS37,0,-1*'Get Started  3'!$H111)*'Get Started  3'!$G42))+IF('Get Started  3'!$G110&lt;&gt;0,0,IF(AS4&lt;'Get Started  3'!$H110,0,OFFSET(AS37,0,-1*'Get Started  3'!$H110)*'Get Started  3'!$F42))+IF('Get Started  3'!$G109&lt;&gt;0,0,IF(AS4&lt;'Get Started  3'!$H109,0,OFFSET(AS37,0,-1*'Get Started  3'!$H109)*'Get Started  3'!$E42))</f>
        <v>0</v>
      </c>
      <c r="AT48" s="29">
        <f ca="1">IF('Get Started  3'!$G112&lt;&gt;0,0,IF(AT4&lt;'Get Started  3'!$H112,0,OFFSET(AT37,0,-1*'Get Started  3'!$H112)*'Get Started  3'!$H42))+IF('Get Started  3'!$G111&lt;&gt;0,0,IF(AT4&lt;'Get Started  3'!$H111,0,OFFSET(AT37,0,-1*'Get Started  3'!$H111)*'Get Started  3'!$G42))+IF('Get Started  3'!$G110&lt;&gt;0,0,IF(AT4&lt;'Get Started  3'!$H110,0,OFFSET(AT37,0,-1*'Get Started  3'!$H110)*'Get Started  3'!$F42))+IF('Get Started  3'!$G109&lt;&gt;0,0,IF(AT4&lt;'Get Started  3'!$H109,0,OFFSET(AT37,0,-1*'Get Started  3'!$H109)*'Get Started  3'!$E42))</f>
        <v>0</v>
      </c>
      <c r="AU48" s="29">
        <f ca="1">IF('Get Started  3'!$G112&lt;&gt;0,0,IF(AU4&lt;'Get Started  3'!$H112,0,OFFSET(AU37,0,-1*'Get Started  3'!$H112)*'Get Started  3'!$H42))+IF('Get Started  3'!$G111&lt;&gt;0,0,IF(AU4&lt;'Get Started  3'!$H111,0,OFFSET(AU37,0,-1*'Get Started  3'!$H111)*'Get Started  3'!$G42))+IF('Get Started  3'!$G110&lt;&gt;0,0,IF(AU4&lt;'Get Started  3'!$H110,0,OFFSET(AU37,0,-1*'Get Started  3'!$H110)*'Get Started  3'!$F42))+IF('Get Started  3'!$G109&lt;&gt;0,0,IF(AU4&lt;'Get Started  3'!$H109,0,OFFSET(AU37,0,-1*'Get Started  3'!$H109)*'Get Started  3'!$E42))</f>
        <v>0</v>
      </c>
      <c r="AV48" s="29">
        <f ca="1">IF('Get Started  3'!$G112&lt;&gt;0,0,IF(AV4&lt;'Get Started  3'!$H112,0,OFFSET(AV37,0,-1*'Get Started  3'!$H112)*'Get Started  3'!$H42))+IF('Get Started  3'!$G111&lt;&gt;0,0,IF(AV4&lt;'Get Started  3'!$H111,0,OFFSET(AV37,0,-1*'Get Started  3'!$H111)*'Get Started  3'!$G42))+IF('Get Started  3'!$G110&lt;&gt;0,0,IF(AV4&lt;'Get Started  3'!$H110,0,OFFSET(AV37,0,-1*'Get Started  3'!$H110)*'Get Started  3'!$F42))+IF('Get Started  3'!$G109&lt;&gt;0,0,IF(AV4&lt;'Get Started  3'!$H109,0,OFFSET(AV37,0,-1*'Get Started  3'!$H109)*'Get Started  3'!$E42))</f>
        <v>0</v>
      </c>
      <c r="AW48" s="29">
        <f ca="1">IF('Get Started  3'!$G112&lt;&gt;0,0,IF(AW4&lt;'Get Started  3'!$H112,0,OFFSET(AW37,0,-1*'Get Started  3'!$H112)*'Get Started  3'!$H42))+IF('Get Started  3'!$G111&lt;&gt;0,0,IF(AW4&lt;'Get Started  3'!$H111,0,OFFSET(AW37,0,-1*'Get Started  3'!$H111)*'Get Started  3'!$G42))+IF('Get Started  3'!$G110&lt;&gt;0,0,IF(AW4&lt;'Get Started  3'!$H110,0,OFFSET(AW37,0,-1*'Get Started  3'!$H110)*'Get Started  3'!$F42))+IF('Get Started  3'!$G109&lt;&gt;0,0,IF(AW4&lt;'Get Started  3'!$H109,0,OFFSET(AW37,0,-1*'Get Started  3'!$H109)*'Get Started  3'!$E42))</f>
        <v>0</v>
      </c>
      <c r="AX48" s="29">
        <f ca="1">IF('Get Started  3'!$G112&lt;&gt;0,0,IF(AX4&lt;'Get Started  3'!$H112,0,OFFSET(AX37,0,-1*'Get Started  3'!$H112)*'Get Started  3'!$H42))+IF('Get Started  3'!$G111&lt;&gt;0,0,IF(AX4&lt;'Get Started  3'!$H111,0,OFFSET(AX37,0,-1*'Get Started  3'!$H111)*'Get Started  3'!$G42))+IF('Get Started  3'!$G110&lt;&gt;0,0,IF(AX4&lt;'Get Started  3'!$H110,0,OFFSET(AX37,0,-1*'Get Started  3'!$H110)*'Get Started  3'!$F42))+IF('Get Started  3'!$G109&lt;&gt;0,0,IF(AX4&lt;'Get Started  3'!$H109,0,OFFSET(AX37,0,-1*'Get Started  3'!$H109)*'Get Started  3'!$E42))</f>
        <v>0</v>
      </c>
      <c r="AY48" s="29">
        <f ca="1">IF('Get Started  3'!$G112&lt;&gt;0,0,IF(AY4&lt;'Get Started  3'!$H112,0,OFFSET(AY37,0,-1*'Get Started  3'!$H112)*'Get Started  3'!$H42))+IF('Get Started  3'!$G111&lt;&gt;0,0,IF(AY4&lt;'Get Started  3'!$H111,0,OFFSET(AY37,0,-1*'Get Started  3'!$H111)*'Get Started  3'!$G42))+IF('Get Started  3'!$G110&lt;&gt;0,0,IF(AY4&lt;'Get Started  3'!$H110,0,OFFSET(AY37,0,-1*'Get Started  3'!$H110)*'Get Started  3'!$F42))+IF('Get Started  3'!$G109&lt;&gt;0,0,IF(AY4&lt;'Get Started  3'!$H109,0,OFFSET(AY37,0,-1*'Get Started  3'!$H109)*'Get Started  3'!$E42))</f>
        <v>0</v>
      </c>
      <c r="AZ48" s="29">
        <f ca="1">IF('Get Started  3'!$G112&lt;&gt;0,0,IF(AZ4&lt;'Get Started  3'!$H112,0,OFFSET(AZ37,0,-1*'Get Started  3'!$H112)*'Get Started  3'!$H42))+IF('Get Started  3'!$G111&lt;&gt;0,0,IF(AZ4&lt;'Get Started  3'!$H111,0,OFFSET(AZ37,0,-1*'Get Started  3'!$H111)*'Get Started  3'!$G42))+IF('Get Started  3'!$G110&lt;&gt;0,0,IF(AZ4&lt;'Get Started  3'!$H110,0,OFFSET(AZ37,0,-1*'Get Started  3'!$H110)*'Get Started  3'!$F42))+IF('Get Started  3'!$G109&lt;&gt;0,0,IF(AZ4&lt;'Get Started  3'!$H109,0,OFFSET(AZ37,0,-1*'Get Started  3'!$H109)*'Get Started  3'!$E42))</f>
        <v>0</v>
      </c>
      <c r="BA48" s="29">
        <f ca="1">IF('Get Started  3'!$G112&lt;&gt;0,0,IF(BA4&lt;'Get Started  3'!$H112,0,OFFSET(BA37,0,-1*'Get Started  3'!$H112)*'Get Started  3'!$H42))+IF('Get Started  3'!$G111&lt;&gt;0,0,IF(BA4&lt;'Get Started  3'!$H111,0,OFFSET(BA37,0,-1*'Get Started  3'!$H111)*'Get Started  3'!$G42))+IF('Get Started  3'!$G110&lt;&gt;0,0,IF(BA4&lt;'Get Started  3'!$H110,0,OFFSET(BA37,0,-1*'Get Started  3'!$H110)*'Get Started  3'!$F42))+IF('Get Started  3'!$G109&lt;&gt;0,0,IF(BA4&lt;'Get Started  3'!$H109,0,OFFSET(BA37,0,-1*'Get Started  3'!$H109)*'Get Started  3'!$E42))</f>
        <v>0</v>
      </c>
      <c r="BB48" s="29">
        <f ca="1">IF('Get Started  3'!$G112&lt;&gt;0,0,IF(BB4&lt;'Get Started  3'!$H112,0,OFFSET(BB37,0,-1*'Get Started  3'!$H112)*'Get Started  3'!$H42))+IF('Get Started  3'!$G111&lt;&gt;0,0,IF(BB4&lt;'Get Started  3'!$H111,0,OFFSET(BB37,0,-1*'Get Started  3'!$H111)*'Get Started  3'!$G42))+IF('Get Started  3'!$G110&lt;&gt;0,0,IF(BB4&lt;'Get Started  3'!$H110,0,OFFSET(BB37,0,-1*'Get Started  3'!$H110)*'Get Started  3'!$F42))+IF('Get Started  3'!$G109&lt;&gt;0,0,IF(BB4&lt;'Get Started  3'!$H109,0,OFFSET(BB37,0,-1*'Get Started  3'!$H109)*'Get Started  3'!$E42))</f>
        <v>0</v>
      </c>
      <c r="BC48" s="29">
        <f ca="1">IF('Get Started  3'!$G112&lt;&gt;0,0,IF(BC4&lt;'Get Started  3'!$H112,0,OFFSET(BC37,0,-1*'Get Started  3'!$H112)*'Get Started  3'!$H42))+IF('Get Started  3'!$G111&lt;&gt;0,0,IF(BC4&lt;'Get Started  3'!$H111,0,OFFSET(BC37,0,-1*'Get Started  3'!$H111)*'Get Started  3'!$G42))+IF('Get Started  3'!$G110&lt;&gt;0,0,IF(BC4&lt;'Get Started  3'!$H110,0,OFFSET(BC37,0,-1*'Get Started  3'!$H110)*'Get Started  3'!$F42))+IF('Get Started  3'!$G109&lt;&gt;0,0,IF(BC4&lt;'Get Started  3'!$H109,0,OFFSET(BC37,0,-1*'Get Started  3'!$H109)*'Get Started  3'!$E42))</f>
        <v>0</v>
      </c>
      <c r="BD48" s="29">
        <f ca="1">IF('Get Started  3'!$G112&lt;&gt;0,0,IF(BD4&lt;'Get Started  3'!$H112,0,OFFSET(BD37,0,-1*'Get Started  3'!$H112)*'Get Started  3'!$H42))+IF('Get Started  3'!$G111&lt;&gt;0,0,IF(BD4&lt;'Get Started  3'!$H111,0,OFFSET(BD37,0,-1*'Get Started  3'!$H111)*'Get Started  3'!$G42))+IF('Get Started  3'!$G110&lt;&gt;0,0,IF(BD4&lt;'Get Started  3'!$H110,0,OFFSET(BD37,0,-1*'Get Started  3'!$H110)*'Get Started  3'!$F42))+IF('Get Started  3'!$G109&lt;&gt;0,0,IF(BD4&lt;'Get Started  3'!$H109,0,OFFSET(BD37,0,-1*'Get Started  3'!$H109)*'Get Started  3'!$E42))</f>
        <v>0</v>
      </c>
      <c r="BE48" s="29">
        <f ca="1">IF('Get Started  3'!$G112&lt;&gt;0,0,IF(BE4&lt;'Get Started  3'!$H112,0,OFFSET(BE37,0,-1*'Get Started  3'!$H112)*'Get Started  3'!$H42))+IF('Get Started  3'!$G111&lt;&gt;0,0,IF(BE4&lt;'Get Started  3'!$H111,0,OFFSET(BE37,0,-1*'Get Started  3'!$H111)*'Get Started  3'!$G42))+IF('Get Started  3'!$G110&lt;&gt;0,0,IF(BE4&lt;'Get Started  3'!$H110,0,OFFSET(BE37,0,-1*'Get Started  3'!$H110)*'Get Started  3'!$F42))+IF('Get Started  3'!$G109&lt;&gt;0,0,IF(BE4&lt;'Get Started  3'!$H109,0,OFFSET(BE37,0,-1*'Get Started  3'!$H109)*'Get Started  3'!$E42))</f>
        <v>0</v>
      </c>
      <c r="BF48" s="29">
        <f ca="1">IF('Get Started  3'!$G112&lt;&gt;0,0,IF(BF4&lt;'Get Started  3'!$H112,0,OFFSET(BF37,0,-1*'Get Started  3'!$H112)*'Get Started  3'!$H42))+IF('Get Started  3'!$G111&lt;&gt;0,0,IF(BF4&lt;'Get Started  3'!$H111,0,OFFSET(BF37,0,-1*'Get Started  3'!$H111)*'Get Started  3'!$G42))+IF('Get Started  3'!$G110&lt;&gt;0,0,IF(BF4&lt;'Get Started  3'!$H110,0,OFFSET(BF37,0,-1*'Get Started  3'!$H110)*'Get Started  3'!$F42))+IF('Get Started  3'!$G109&lt;&gt;0,0,IF(BF4&lt;'Get Started  3'!$H109,0,OFFSET(BF37,0,-1*'Get Started  3'!$H109)*'Get Started  3'!$E42))</f>
        <v>0</v>
      </c>
      <c r="BG48" s="29">
        <f ca="1">IF('Get Started  3'!$G112&lt;&gt;0,0,IF(BG4&lt;'Get Started  3'!$H112,0,OFFSET(BG37,0,-1*'Get Started  3'!$H112)*'Get Started  3'!$H42))+IF('Get Started  3'!$G111&lt;&gt;0,0,IF(BG4&lt;'Get Started  3'!$H111,0,OFFSET(BG37,0,-1*'Get Started  3'!$H111)*'Get Started  3'!$G42))+IF('Get Started  3'!$G110&lt;&gt;0,0,IF(BG4&lt;'Get Started  3'!$H110,0,OFFSET(BG37,0,-1*'Get Started  3'!$H110)*'Get Started  3'!$F42))+IF('Get Started  3'!$G109&lt;&gt;0,0,IF(BG4&lt;'Get Started  3'!$H109,0,OFFSET(BG37,0,-1*'Get Started  3'!$H109)*'Get Started  3'!$E42))</f>
        <v>0</v>
      </c>
      <c r="BH48" s="29">
        <f ca="1">IF('Get Started  3'!$G112&lt;&gt;0,0,IF(BH4&lt;'Get Started  3'!$H112,0,OFFSET(BH37,0,-1*'Get Started  3'!$H112)*'Get Started  3'!$H42))+IF('Get Started  3'!$G111&lt;&gt;0,0,IF(BH4&lt;'Get Started  3'!$H111,0,OFFSET(BH37,0,-1*'Get Started  3'!$H111)*'Get Started  3'!$G42))+IF('Get Started  3'!$G110&lt;&gt;0,0,IF(BH4&lt;'Get Started  3'!$H110,0,OFFSET(BH37,0,-1*'Get Started  3'!$H110)*'Get Started  3'!$F42))+IF('Get Started  3'!$G109&lt;&gt;0,0,IF(BH4&lt;'Get Started  3'!$H109,0,OFFSET(BH37,0,-1*'Get Started  3'!$H109)*'Get Started  3'!$E42))</f>
        <v>0</v>
      </c>
      <c r="BI48" s="29">
        <f ca="1">IF('Get Started  3'!$G112&lt;&gt;0,0,IF(BI4&lt;'Get Started  3'!$H112,0,OFFSET(BI37,0,-1*'Get Started  3'!$H112)*'Get Started  3'!$H42))+IF('Get Started  3'!$G111&lt;&gt;0,0,IF(BI4&lt;'Get Started  3'!$H111,0,OFFSET(BI37,0,-1*'Get Started  3'!$H111)*'Get Started  3'!$G42))+IF('Get Started  3'!$G110&lt;&gt;0,0,IF(BI4&lt;'Get Started  3'!$H110,0,OFFSET(BI37,0,-1*'Get Started  3'!$H110)*'Get Started  3'!$F42))+IF('Get Started  3'!$G109&lt;&gt;0,0,IF(BI4&lt;'Get Started  3'!$H109,0,OFFSET(BI37,0,-1*'Get Started  3'!$H109)*'Get Started  3'!$E42))</f>
        <v>0</v>
      </c>
      <c r="BJ48" s="29">
        <f ca="1">IF('Get Started  3'!$G112&lt;&gt;0,0,IF(BJ4&lt;'Get Started  3'!$H112,0,OFFSET(BJ37,0,-1*'Get Started  3'!$H112)*'Get Started  3'!$H42))+IF('Get Started  3'!$G111&lt;&gt;0,0,IF(BJ4&lt;'Get Started  3'!$H111,0,OFFSET(BJ37,0,-1*'Get Started  3'!$H111)*'Get Started  3'!$G42))+IF('Get Started  3'!$G110&lt;&gt;0,0,IF(BJ4&lt;'Get Started  3'!$H110,0,OFFSET(BJ37,0,-1*'Get Started  3'!$H110)*'Get Started  3'!$F42))+IF('Get Started  3'!$G109&lt;&gt;0,0,IF(BJ4&lt;'Get Started  3'!$H109,0,OFFSET(BJ37,0,-1*'Get Started  3'!$H109)*'Get Started  3'!$E42))</f>
        <v>0</v>
      </c>
      <c r="BK48" s="29">
        <f ca="1">IF('Get Started  3'!$G112&lt;&gt;0,0,IF(BK4&lt;'Get Started  3'!$H112,0,OFFSET(BK37,0,-1*'Get Started  3'!$H112)*'Get Started  3'!$H42))+IF('Get Started  3'!$G111&lt;&gt;0,0,IF(BK4&lt;'Get Started  3'!$H111,0,OFFSET(BK37,0,-1*'Get Started  3'!$H111)*'Get Started  3'!$G42))+IF('Get Started  3'!$G110&lt;&gt;0,0,IF(BK4&lt;'Get Started  3'!$H110,0,OFFSET(BK37,0,-1*'Get Started  3'!$H110)*'Get Started  3'!$F42))+IF('Get Started  3'!$G109&lt;&gt;0,0,IF(BK4&lt;'Get Started  3'!$H109,0,OFFSET(BK37,0,-1*'Get Started  3'!$H109)*'Get Started  3'!$E42))</f>
        <v>0</v>
      </c>
      <c r="BL48" s="29">
        <f ca="1">IF('Get Started  3'!$G112&lt;&gt;0,0,IF(BL4&lt;'Get Started  3'!$H112,0,OFFSET(BL37,0,-1*'Get Started  3'!$H112)*'Get Started  3'!$H42))+IF('Get Started  3'!$G111&lt;&gt;0,0,IF(BL4&lt;'Get Started  3'!$H111,0,OFFSET(BL37,0,-1*'Get Started  3'!$H111)*'Get Started  3'!$G42))+IF('Get Started  3'!$G110&lt;&gt;0,0,IF(BL4&lt;'Get Started  3'!$H110,0,OFFSET(BL37,0,-1*'Get Started  3'!$H110)*'Get Started  3'!$F42))+IF('Get Started  3'!$G109&lt;&gt;0,0,IF(BL4&lt;'Get Started  3'!$H109,0,OFFSET(BL37,0,-1*'Get Started  3'!$H109)*'Get Started  3'!$E42))</f>
        <v>0</v>
      </c>
      <c r="BM48" s="29">
        <f ca="1">IF('Get Started  3'!$G112&lt;&gt;0,0,IF(BM4&lt;'Get Started  3'!$H112,0,OFFSET(BM37,0,-1*'Get Started  3'!$H112)*'Get Started  3'!$H42))+IF('Get Started  3'!$G111&lt;&gt;0,0,IF(BM4&lt;'Get Started  3'!$H111,0,OFFSET(BM37,0,-1*'Get Started  3'!$H111)*'Get Started  3'!$G42))+IF('Get Started  3'!$G110&lt;&gt;0,0,IF(BM4&lt;'Get Started  3'!$H110,0,OFFSET(BM37,0,-1*'Get Started  3'!$H110)*'Get Started  3'!$F42))+IF('Get Started  3'!$G109&lt;&gt;0,0,IF(BM4&lt;'Get Started  3'!$H109,0,OFFSET(BM37,0,-1*'Get Started  3'!$H109)*'Get Started  3'!$E42))</f>
        <v>0</v>
      </c>
      <c r="BN48" s="29">
        <f ca="1">IF('Get Started  3'!$G112&lt;&gt;0,0,IF(BN4&lt;'Get Started  3'!$H112,0,OFFSET(BN37,0,-1*'Get Started  3'!$H112)*'Get Started  3'!$H42))+IF('Get Started  3'!$G111&lt;&gt;0,0,IF(BN4&lt;'Get Started  3'!$H111,0,OFFSET(BN37,0,-1*'Get Started  3'!$H111)*'Get Started  3'!$G42))+IF('Get Started  3'!$G110&lt;&gt;0,0,IF(BN4&lt;'Get Started  3'!$H110,0,OFFSET(BN37,0,-1*'Get Started  3'!$H110)*'Get Started  3'!$F42))+IF('Get Started  3'!$G109&lt;&gt;0,0,IF(BN4&lt;'Get Started  3'!$H109,0,OFFSET(BN37,0,-1*'Get Started  3'!$H109)*'Get Started  3'!$E42))</f>
        <v>0</v>
      </c>
      <c r="BO48" s="29">
        <f ca="1">IF('Get Started  3'!$G112&lt;&gt;0,0,IF(BO4&lt;'Get Started  3'!$H112,0,OFFSET(BO37,0,-1*'Get Started  3'!$H112)*'Get Started  3'!$H42))+IF('Get Started  3'!$G111&lt;&gt;0,0,IF(BO4&lt;'Get Started  3'!$H111,0,OFFSET(BO37,0,-1*'Get Started  3'!$H111)*'Get Started  3'!$G42))+IF('Get Started  3'!$G110&lt;&gt;0,0,IF(BO4&lt;'Get Started  3'!$H110,0,OFFSET(BO37,0,-1*'Get Started  3'!$H110)*'Get Started  3'!$F42))+IF('Get Started  3'!$G109&lt;&gt;0,0,IF(BO4&lt;'Get Started  3'!$H109,0,OFFSET(BO37,0,-1*'Get Started  3'!$H109)*'Get Started  3'!$E42))</f>
        <v>0</v>
      </c>
      <c r="BP48" s="29">
        <f ca="1">IF('Get Started  3'!$G112&lt;&gt;0,0,IF(BP4&lt;'Get Started  3'!$H112,0,OFFSET(BP37,0,-1*'Get Started  3'!$H112)*'Get Started  3'!$H42))+IF('Get Started  3'!$G111&lt;&gt;0,0,IF(BP4&lt;'Get Started  3'!$H111,0,OFFSET(BP37,0,-1*'Get Started  3'!$H111)*'Get Started  3'!$G42))+IF('Get Started  3'!$G110&lt;&gt;0,0,IF(BP4&lt;'Get Started  3'!$H110,0,OFFSET(BP37,0,-1*'Get Started  3'!$H110)*'Get Started  3'!$F42))+IF('Get Started  3'!$G109&lt;&gt;0,0,IF(BP4&lt;'Get Started  3'!$H109,0,OFFSET(BP37,0,-1*'Get Started  3'!$H109)*'Get Started  3'!$E42))</f>
        <v>0</v>
      </c>
      <c r="BQ48" s="29">
        <f ca="1">IF('Get Started  3'!$G112&lt;&gt;0,0,IF(BQ4&lt;'Get Started  3'!$H112,0,OFFSET(BQ37,0,-1*'Get Started  3'!$H112)*'Get Started  3'!$H42))+IF('Get Started  3'!$G111&lt;&gt;0,0,IF(BQ4&lt;'Get Started  3'!$H111,0,OFFSET(BQ37,0,-1*'Get Started  3'!$H111)*'Get Started  3'!$G42))+IF('Get Started  3'!$G110&lt;&gt;0,0,IF(BQ4&lt;'Get Started  3'!$H110,0,OFFSET(BQ37,0,-1*'Get Started  3'!$H110)*'Get Started  3'!$F42))+IF('Get Started  3'!$G109&lt;&gt;0,0,IF(BQ4&lt;'Get Started  3'!$H109,0,OFFSET(BQ37,0,-1*'Get Started  3'!$H109)*'Get Started  3'!$E42))</f>
        <v>0</v>
      </c>
      <c r="BR48" s="29">
        <f ca="1">IF('Get Started  3'!$G112&lt;&gt;0,0,IF(BR4&lt;'Get Started  3'!$H112,0,OFFSET(BR37,0,-1*'Get Started  3'!$H112)*'Get Started  3'!$H42))+IF('Get Started  3'!$G111&lt;&gt;0,0,IF(BR4&lt;'Get Started  3'!$H111,0,OFFSET(BR37,0,-1*'Get Started  3'!$H111)*'Get Started  3'!$G42))+IF('Get Started  3'!$G110&lt;&gt;0,0,IF(BR4&lt;'Get Started  3'!$H110,0,OFFSET(BR37,0,-1*'Get Started  3'!$H110)*'Get Started  3'!$F42))+IF('Get Started  3'!$G109&lt;&gt;0,0,IF(BR4&lt;'Get Started  3'!$H109,0,OFFSET(BR37,0,-1*'Get Started  3'!$H109)*'Get Started  3'!$E42))</f>
        <v>0</v>
      </c>
      <c r="BS48" s="29">
        <f ca="1">IF('Get Started  3'!$G112&lt;&gt;0,0,IF(BS4&lt;'Get Started  3'!$H112,0,OFFSET(BS37,0,-1*'Get Started  3'!$H112)*'Get Started  3'!$H42))+IF('Get Started  3'!$G111&lt;&gt;0,0,IF(BS4&lt;'Get Started  3'!$H111,0,OFFSET(BS37,0,-1*'Get Started  3'!$H111)*'Get Started  3'!$G42))+IF('Get Started  3'!$G110&lt;&gt;0,0,IF(BS4&lt;'Get Started  3'!$H110,0,OFFSET(BS37,0,-1*'Get Started  3'!$H110)*'Get Started  3'!$F42))+IF('Get Started  3'!$G109&lt;&gt;0,0,IF(BS4&lt;'Get Started  3'!$H109,0,OFFSET(BS37,0,-1*'Get Started  3'!$H109)*'Get Started  3'!$E42))</f>
        <v>0</v>
      </c>
      <c r="BT48" s="29">
        <f ca="1">IF('Get Started  3'!$G112&lt;&gt;0,0,IF(BT4&lt;'Get Started  3'!$H112,0,OFFSET(BT37,0,-1*'Get Started  3'!$H112)*'Get Started  3'!$H42))+IF('Get Started  3'!$G111&lt;&gt;0,0,IF(BT4&lt;'Get Started  3'!$H111,0,OFFSET(BT37,0,-1*'Get Started  3'!$H111)*'Get Started  3'!$G42))+IF('Get Started  3'!$G110&lt;&gt;0,0,IF(BT4&lt;'Get Started  3'!$H110,0,OFFSET(BT37,0,-1*'Get Started  3'!$H110)*'Get Started  3'!$F42))+IF('Get Started  3'!$G109&lt;&gt;0,0,IF(BT4&lt;'Get Started  3'!$H109,0,OFFSET(BT37,0,-1*'Get Started  3'!$H109)*'Get Started  3'!$E42))</f>
        <v>0</v>
      </c>
      <c r="BU48" s="29">
        <f ca="1">IF('Get Started  3'!$G112&lt;&gt;0,0,IF(BU4&lt;'Get Started  3'!$H112,0,OFFSET(BU37,0,-1*'Get Started  3'!$H112)*'Get Started  3'!$H42))+IF('Get Started  3'!$G111&lt;&gt;0,0,IF(BU4&lt;'Get Started  3'!$H111,0,OFFSET(BU37,0,-1*'Get Started  3'!$H111)*'Get Started  3'!$G42))+IF('Get Started  3'!$G110&lt;&gt;0,0,IF(BU4&lt;'Get Started  3'!$H110,0,OFFSET(BU37,0,-1*'Get Started  3'!$H110)*'Get Started  3'!$F42))+IF('Get Started  3'!$G109&lt;&gt;0,0,IF(BU4&lt;'Get Started  3'!$H109,0,OFFSET(BU37,0,-1*'Get Started  3'!$H109)*'Get Started  3'!$E42))</f>
        <v>0</v>
      </c>
      <c r="BV48" s="29">
        <f ca="1">IF('Get Started  3'!$G112&lt;&gt;0,0,IF(BV4&lt;'Get Started  3'!$H112,0,OFFSET(BV37,0,-1*'Get Started  3'!$H112)*'Get Started  3'!$H42))+IF('Get Started  3'!$G111&lt;&gt;0,0,IF(BV4&lt;'Get Started  3'!$H111,0,OFFSET(BV37,0,-1*'Get Started  3'!$H111)*'Get Started  3'!$G42))+IF('Get Started  3'!$G110&lt;&gt;0,0,IF(BV4&lt;'Get Started  3'!$H110,0,OFFSET(BV37,0,-1*'Get Started  3'!$H110)*'Get Started  3'!$F42))+IF('Get Started  3'!$G109&lt;&gt;0,0,IF(BV4&lt;'Get Started  3'!$H109,0,OFFSET(BV37,0,-1*'Get Started  3'!$H109)*'Get Started  3'!$E42))</f>
        <v>0</v>
      </c>
      <c r="BW48" s="29">
        <f ca="1">IF('Get Started  3'!$G112&lt;&gt;0,0,IF(BW4&lt;'Get Started  3'!$H112,0,OFFSET(BW37,0,-1*'Get Started  3'!$H112)*'Get Started  3'!$H42))+IF('Get Started  3'!$G111&lt;&gt;0,0,IF(BW4&lt;'Get Started  3'!$H111,0,OFFSET(BW37,0,-1*'Get Started  3'!$H111)*'Get Started  3'!$G42))+IF('Get Started  3'!$G110&lt;&gt;0,0,IF(BW4&lt;'Get Started  3'!$H110,0,OFFSET(BW37,0,-1*'Get Started  3'!$H110)*'Get Started  3'!$F42))+IF('Get Started  3'!$G109&lt;&gt;0,0,IF(BW4&lt;'Get Started  3'!$H109,0,OFFSET(BW37,0,-1*'Get Started  3'!$H109)*'Get Started  3'!$E42))</f>
        <v>0</v>
      </c>
      <c r="BX48" s="29">
        <f ca="1">IF('Get Started  3'!$G112&lt;&gt;0,0,IF(BX4&lt;'Get Started  3'!$H112,0,OFFSET(BX37,0,-1*'Get Started  3'!$H112)*'Get Started  3'!$H42))+IF('Get Started  3'!$G111&lt;&gt;0,0,IF(BX4&lt;'Get Started  3'!$H111,0,OFFSET(BX37,0,-1*'Get Started  3'!$H111)*'Get Started  3'!$G42))+IF('Get Started  3'!$G110&lt;&gt;0,0,IF(BX4&lt;'Get Started  3'!$H110,0,OFFSET(BX37,0,-1*'Get Started  3'!$H110)*'Get Started  3'!$F42))+IF('Get Started  3'!$G109&lt;&gt;0,0,IF(BX4&lt;'Get Started  3'!$H109,0,OFFSET(BX37,0,-1*'Get Started  3'!$H109)*'Get Started  3'!$E42))</f>
        <v>0</v>
      </c>
      <c r="BY48" s="29">
        <f ca="1">IF('Get Started  3'!$G112&lt;&gt;0,0,IF(BY4&lt;'Get Started  3'!$H112,0,OFFSET(BY37,0,-1*'Get Started  3'!$H112)*'Get Started  3'!$H42))+IF('Get Started  3'!$G111&lt;&gt;0,0,IF(BY4&lt;'Get Started  3'!$H111,0,OFFSET(BY37,0,-1*'Get Started  3'!$H111)*'Get Started  3'!$G42))+IF('Get Started  3'!$G110&lt;&gt;0,0,IF(BY4&lt;'Get Started  3'!$H110,0,OFFSET(BY37,0,-1*'Get Started  3'!$H110)*'Get Started  3'!$F42))+IF('Get Started  3'!$G109&lt;&gt;0,0,IF(BY4&lt;'Get Started  3'!$H109,0,OFFSET(BY37,0,-1*'Get Started  3'!$H109)*'Get Started  3'!$E42))</f>
        <v>0</v>
      </c>
      <c r="BZ48" s="29">
        <f ca="1">IF('Get Started  3'!$G112&lt;&gt;0,0,IF(BZ4&lt;'Get Started  3'!$H112,0,OFFSET(BZ37,0,-1*'Get Started  3'!$H112)*'Get Started  3'!$H42))+IF('Get Started  3'!$G111&lt;&gt;0,0,IF(BZ4&lt;'Get Started  3'!$H111,0,OFFSET(BZ37,0,-1*'Get Started  3'!$H111)*'Get Started  3'!$G42))+IF('Get Started  3'!$G110&lt;&gt;0,0,IF(BZ4&lt;'Get Started  3'!$H110,0,OFFSET(BZ37,0,-1*'Get Started  3'!$H110)*'Get Started  3'!$F42))+IF('Get Started  3'!$G109&lt;&gt;0,0,IF(BZ4&lt;'Get Started  3'!$H109,0,OFFSET(BZ37,0,-1*'Get Started  3'!$H109)*'Get Started  3'!$E42))</f>
        <v>0</v>
      </c>
      <c r="CA48" s="29">
        <f ca="1">IF('Get Started  3'!$G112&lt;&gt;0,0,IF(CA4&lt;'Get Started  3'!$H112,0,OFFSET(CA37,0,-1*'Get Started  3'!$H112)*'Get Started  3'!$H42))+IF('Get Started  3'!$G111&lt;&gt;0,0,IF(CA4&lt;'Get Started  3'!$H111,0,OFFSET(CA37,0,-1*'Get Started  3'!$H111)*'Get Started  3'!$G42))+IF('Get Started  3'!$G110&lt;&gt;0,0,IF(CA4&lt;'Get Started  3'!$H110,0,OFFSET(CA37,0,-1*'Get Started  3'!$H110)*'Get Started  3'!$F42))+IF('Get Started  3'!$G109&lt;&gt;0,0,IF(CA4&lt;'Get Started  3'!$H109,0,OFFSET(CA37,0,-1*'Get Started  3'!$H109)*'Get Started  3'!$E42))</f>
        <v>0</v>
      </c>
      <c r="CB48" s="29">
        <f ca="1">IF('Get Started  3'!$G112&lt;&gt;0,0,IF(CB4&lt;'Get Started  3'!$H112,0,OFFSET(CB37,0,-1*'Get Started  3'!$H112)*'Get Started  3'!$H42))+IF('Get Started  3'!$G111&lt;&gt;0,0,IF(CB4&lt;'Get Started  3'!$H111,0,OFFSET(CB37,0,-1*'Get Started  3'!$H111)*'Get Started  3'!$G42))+IF('Get Started  3'!$G110&lt;&gt;0,0,IF(CB4&lt;'Get Started  3'!$H110,0,OFFSET(CB37,0,-1*'Get Started  3'!$H110)*'Get Started  3'!$F42))+IF('Get Started  3'!$G109&lt;&gt;0,0,IF(CB4&lt;'Get Started  3'!$H109,0,OFFSET(CB37,0,-1*'Get Started  3'!$H109)*'Get Started  3'!$E42))</f>
        <v>0</v>
      </c>
      <c r="CC48" s="29">
        <f ca="1">IF('Get Started  3'!$G112&lt;&gt;0,0,IF(CC4&lt;'Get Started  3'!$H112,0,OFFSET(CC37,0,-1*'Get Started  3'!$H112)*'Get Started  3'!$H42))+IF('Get Started  3'!$G111&lt;&gt;0,0,IF(CC4&lt;'Get Started  3'!$H111,0,OFFSET(CC37,0,-1*'Get Started  3'!$H111)*'Get Started  3'!$G42))+IF('Get Started  3'!$G110&lt;&gt;0,0,IF(CC4&lt;'Get Started  3'!$H110,0,OFFSET(CC37,0,-1*'Get Started  3'!$H110)*'Get Started  3'!$F42))+IF('Get Started  3'!$G109&lt;&gt;0,0,IF(CC4&lt;'Get Started  3'!$H109,0,OFFSET(CC37,0,-1*'Get Started  3'!$H109)*'Get Started  3'!$E42))</f>
        <v>0</v>
      </c>
      <c r="CD48" s="29">
        <f ca="1">IF('Get Started  3'!$G112&lt;&gt;0,0,IF(CD4&lt;'Get Started  3'!$H112,0,OFFSET(CD37,0,-1*'Get Started  3'!$H112)*'Get Started  3'!$H42))+IF('Get Started  3'!$G111&lt;&gt;0,0,IF(CD4&lt;'Get Started  3'!$H111,0,OFFSET(CD37,0,-1*'Get Started  3'!$H111)*'Get Started  3'!$G42))+IF('Get Started  3'!$G110&lt;&gt;0,0,IF(CD4&lt;'Get Started  3'!$H110,0,OFFSET(CD37,0,-1*'Get Started  3'!$H110)*'Get Started  3'!$F42))+IF('Get Started  3'!$G109&lt;&gt;0,0,IF(CD4&lt;'Get Started  3'!$H109,0,OFFSET(CD37,0,-1*'Get Started  3'!$H109)*'Get Started  3'!$E42))</f>
        <v>0</v>
      </c>
      <c r="CE48" s="29">
        <f ca="1">IF('Get Started  3'!$G112&lt;&gt;0,0,IF(CE4&lt;'Get Started  3'!$H112,0,OFFSET(CE37,0,-1*'Get Started  3'!$H112)*'Get Started  3'!$H42))+IF('Get Started  3'!$G111&lt;&gt;0,0,IF(CE4&lt;'Get Started  3'!$H111,0,OFFSET(CE37,0,-1*'Get Started  3'!$H111)*'Get Started  3'!$G42))+IF('Get Started  3'!$G110&lt;&gt;0,0,IF(CE4&lt;'Get Started  3'!$H110,0,OFFSET(CE37,0,-1*'Get Started  3'!$H110)*'Get Started  3'!$F42))+IF('Get Started  3'!$G109&lt;&gt;0,0,IF(CE4&lt;'Get Started  3'!$H109,0,OFFSET(CE37,0,-1*'Get Started  3'!$H109)*'Get Started  3'!$E42))</f>
        <v>0</v>
      </c>
      <c r="CF48" s="29">
        <f ca="1">IF('Get Started  3'!$G112&lt;&gt;0,0,IF(CF4&lt;'Get Started  3'!$H112,0,OFFSET(CF37,0,-1*'Get Started  3'!$H112)*'Get Started  3'!$H42))+IF('Get Started  3'!$G111&lt;&gt;0,0,IF(CF4&lt;'Get Started  3'!$H111,0,OFFSET(CF37,0,-1*'Get Started  3'!$H111)*'Get Started  3'!$G42))+IF('Get Started  3'!$G110&lt;&gt;0,0,IF(CF4&lt;'Get Started  3'!$H110,0,OFFSET(CF37,0,-1*'Get Started  3'!$H110)*'Get Started  3'!$F42))+IF('Get Started  3'!$G109&lt;&gt;0,0,IF(CF4&lt;'Get Started  3'!$H109,0,OFFSET(CF37,0,-1*'Get Started  3'!$H109)*'Get Started  3'!$E42))</f>
        <v>0</v>
      </c>
      <c r="CG48" s="29">
        <f ca="1">IF('Get Started  3'!$G112&lt;&gt;0,0,IF(CG4&lt;'Get Started  3'!$H112,0,OFFSET(CG37,0,-1*'Get Started  3'!$H112)*'Get Started  3'!$H42))+IF('Get Started  3'!$G111&lt;&gt;0,0,IF(CG4&lt;'Get Started  3'!$H111,0,OFFSET(CG37,0,-1*'Get Started  3'!$H111)*'Get Started  3'!$G42))+IF('Get Started  3'!$G110&lt;&gt;0,0,IF(CG4&lt;'Get Started  3'!$H110,0,OFFSET(CG37,0,-1*'Get Started  3'!$H110)*'Get Started  3'!$F42))+IF('Get Started  3'!$G109&lt;&gt;0,0,IF(CG4&lt;'Get Started  3'!$H109,0,OFFSET(CG37,0,-1*'Get Started  3'!$H109)*'Get Started  3'!$E42))</f>
        <v>0</v>
      </c>
      <c r="CH48" s="29">
        <f ca="1">IF('Get Started  3'!$G112&lt;&gt;0,0,IF(CH4&lt;'Get Started  3'!$H112,0,OFFSET(CH37,0,-1*'Get Started  3'!$H112)*'Get Started  3'!$H42))+IF('Get Started  3'!$G111&lt;&gt;0,0,IF(CH4&lt;'Get Started  3'!$H111,0,OFFSET(CH37,0,-1*'Get Started  3'!$H111)*'Get Started  3'!$G42))+IF('Get Started  3'!$G110&lt;&gt;0,0,IF(CH4&lt;'Get Started  3'!$H110,0,OFFSET(CH37,0,-1*'Get Started  3'!$H110)*'Get Started  3'!$F42))+IF('Get Started  3'!$G109&lt;&gt;0,0,IF(CH4&lt;'Get Started  3'!$H109,0,OFFSET(CH37,0,-1*'Get Started  3'!$H109)*'Get Started  3'!$E42))</f>
        <v>0</v>
      </c>
    </row>
    <row r="49" spans="1:86" ht="13">
      <c r="B49" s="13" t="s">
        <v>272</v>
      </c>
      <c r="C49" s="13" t="s">
        <v>273</v>
      </c>
      <c r="D49" s="15" t="s">
        <v>238</v>
      </c>
      <c r="E49" s="29">
        <f t="shared" ca="1" si="13"/>
        <v>8689236.1111111101</v>
      </c>
      <c r="F49" s="29"/>
      <c r="G49" s="29">
        <f ca="1">IF('Get Started  3'!$G112=0,0,IF(G4&lt;'Get Started  3'!$H112,0,OFFSET(G37,0,-1*'Get Started  3'!$H112)*'Get Started  3'!$H42))+IF('Get Started  3'!$G111=0,0,IF(G4&lt;'Get Started  3'!$H111,0,OFFSET(G37,0,-1*'Get Started  3'!$H111)*'Get Started  3'!$G42))+IF('Get Started  3'!$G110=0,0,IF(G4&lt;'Get Started  3'!$H110,0,OFFSET(G37,0,-1*'Get Started  3'!$H110)*'Get Started  3'!$F42))+IF('Get Started  3'!$G109=0,0,IF(G4&lt;'Get Started  3'!$H109,0,OFFSET(G37,0,-1*'Get Started  3'!$H109)*'Get Started  3'!$E42))</f>
        <v>0</v>
      </c>
      <c r="H49" s="29">
        <f ca="1">IF('Get Started  3'!$G112=0,0,IF(H4&lt;'Get Started  3'!$H112,0,OFFSET(H37,0,-1*'Get Started  3'!$H112)*'Get Started  3'!$H42))+IF('Get Started  3'!$G111=0,0,IF(H4&lt;'Get Started  3'!$H111,0,OFFSET(H37,0,-1*'Get Started  3'!$H111)*'Get Started  3'!$G42))+IF('Get Started  3'!$G110=0,0,IF(H4&lt;'Get Started  3'!$H110,0,OFFSET(H37,0,-1*'Get Started  3'!$H110)*'Get Started  3'!$F42))+IF('Get Started  3'!$G109=0,0,IF(H4&lt;'Get Started  3'!$H109,0,OFFSET(H37,0,-1*'Get Started  3'!$H109)*'Get Started  3'!$E42))</f>
        <v>0</v>
      </c>
      <c r="I49" s="29">
        <f ca="1">IF('Get Started  3'!$G112=0,0,IF(I4&lt;'Get Started  3'!$H112,0,OFFSET(I37,0,-1*'Get Started  3'!$H112)*'Get Started  3'!$H42))+IF('Get Started  3'!$G111=0,0,IF(I4&lt;'Get Started  3'!$H111,0,OFFSET(I37,0,-1*'Get Started  3'!$H111)*'Get Started  3'!$G42))+IF('Get Started  3'!$G110=0,0,IF(I4&lt;'Get Started  3'!$H110,0,OFFSET(I37,0,-1*'Get Started  3'!$H110)*'Get Started  3'!$F42))+IF('Get Started  3'!$G109=0,0,IF(I4&lt;'Get Started  3'!$H109,0,OFFSET(I37,0,-1*'Get Started  3'!$H109)*'Get Started  3'!$E42))</f>
        <v>0</v>
      </c>
      <c r="J49" s="29">
        <f ca="1">IF('Get Started  3'!$G112=0,0,IF(J4&lt;'Get Started  3'!$H112,0,OFFSET(J37,0,-1*'Get Started  3'!$H112)*'Get Started  3'!$H42))+IF('Get Started  3'!$G111=0,0,IF(J4&lt;'Get Started  3'!$H111,0,OFFSET(J37,0,-1*'Get Started  3'!$H111)*'Get Started  3'!$G42))+IF('Get Started  3'!$G110=0,0,IF(J4&lt;'Get Started  3'!$H110,0,OFFSET(J37,0,-1*'Get Started  3'!$H110)*'Get Started  3'!$F42))+IF('Get Started  3'!$G109=0,0,IF(J4&lt;'Get Started  3'!$H109,0,OFFSET(J37,0,-1*'Get Started  3'!$H109)*'Get Started  3'!$E42))</f>
        <v>0</v>
      </c>
      <c r="K49" s="29">
        <f ca="1">IF('Get Started  3'!$G112=0,0,IF(K4&lt;'Get Started  3'!$H112,0,OFFSET(K37,0,-1*'Get Started  3'!$H112)*'Get Started  3'!$H42))+IF('Get Started  3'!$G111=0,0,IF(K4&lt;'Get Started  3'!$H111,0,OFFSET(K37,0,-1*'Get Started  3'!$H111)*'Get Started  3'!$G42))+IF('Get Started  3'!$G110=0,0,IF(K4&lt;'Get Started  3'!$H110,0,OFFSET(K37,0,-1*'Get Started  3'!$H110)*'Get Started  3'!$F42))+IF('Get Started  3'!$G109=0,0,IF(K4&lt;'Get Started  3'!$H109,0,OFFSET(K37,0,-1*'Get Started  3'!$H109)*'Get Started  3'!$E42))</f>
        <v>0</v>
      </c>
      <c r="L49" s="29">
        <f ca="1">IF('Get Started  3'!$G112=0,0,IF(L4&lt;'Get Started  3'!$H112,0,OFFSET(L37,0,-1*'Get Started  3'!$H112)*'Get Started  3'!$H42))+IF('Get Started  3'!$G111=0,0,IF(L4&lt;'Get Started  3'!$H111,0,OFFSET(L37,0,-1*'Get Started  3'!$H111)*'Get Started  3'!$G42))+IF('Get Started  3'!$G110=0,0,IF(L4&lt;'Get Started  3'!$H110,0,OFFSET(L37,0,-1*'Get Started  3'!$H110)*'Get Started  3'!$F42))+IF('Get Started  3'!$G109=0,0,IF(L4&lt;'Get Started  3'!$H109,0,OFFSET(L37,0,-1*'Get Started  3'!$H109)*'Get Started  3'!$E42))</f>
        <v>0</v>
      </c>
      <c r="M49" s="29">
        <f ca="1">IF('Get Started  3'!$G112=0,0,IF(M4&lt;'Get Started  3'!$H112,0,OFFSET(M37,0,-1*'Get Started  3'!$H112)*'Get Started  3'!$H42))+IF('Get Started  3'!$G111=0,0,IF(M4&lt;'Get Started  3'!$H111,0,OFFSET(M37,0,-1*'Get Started  3'!$H111)*'Get Started  3'!$G42))+IF('Get Started  3'!$G110=0,0,IF(M4&lt;'Get Started  3'!$H110,0,OFFSET(M37,0,-1*'Get Started  3'!$H110)*'Get Started  3'!$F42))+IF('Get Started  3'!$G109=0,0,IF(M4&lt;'Get Started  3'!$H109,0,OFFSET(M37,0,-1*'Get Started  3'!$H109)*'Get Started  3'!$E42))</f>
        <v>0</v>
      </c>
      <c r="N49" s="29">
        <f ca="1">IF('Get Started  3'!$G112=0,0,IF(N4&lt;'Get Started  3'!$H112,0,OFFSET(N37,0,-1*'Get Started  3'!$H112)*'Get Started  3'!$H42))+IF('Get Started  3'!$G111=0,0,IF(N4&lt;'Get Started  3'!$H111,0,OFFSET(N37,0,-1*'Get Started  3'!$H111)*'Get Started  3'!$G42))+IF('Get Started  3'!$G110=0,0,IF(N4&lt;'Get Started  3'!$H110,0,OFFSET(N37,0,-1*'Get Started  3'!$H110)*'Get Started  3'!$F42))+IF('Get Started  3'!$G109=0,0,IF(N4&lt;'Get Started  3'!$H109,0,OFFSET(N37,0,-1*'Get Started  3'!$H109)*'Get Started  3'!$E42))</f>
        <v>0</v>
      </c>
      <c r="O49" s="29">
        <f ca="1">IF('Get Started  3'!$G112=0,0,IF(O4&lt;'Get Started  3'!$H112,0,OFFSET(O37,0,-1*'Get Started  3'!$H112)*'Get Started  3'!$H42))+IF('Get Started  3'!$G111=0,0,IF(O4&lt;'Get Started  3'!$H111,0,OFFSET(O37,0,-1*'Get Started  3'!$H111)*'Get Started  3'!$G42))+IF('Get Started  3'!$G110=0,0,IF(O4&lt;'Get Started  3'!$H110,0,OFFSET(O37,0,-1*'Get Started  3'!$H110)*'Get Started  3'!$F42))+IF('Get Started  3'!$G109=0,0,IF(O4&lt;'Get Started  3'!$H109,0,OFFSET(O37,0,-1*'Get Started  3'!$H109)*'Get Started  3'!$E42))</f>
        <v>0</v>
      </c>
      <c r="P49" s="29">
        <f ca="1">IF('Get Started  3'!$G112=0,0,IF(P4&lt;'Get Started  3'!$H112,0,OFFSET(P37,0,-1*'Get Started  3'!$H112)*'Get Started  3'!$H42))+IF('Get Started  3'!$G111=0,0,IF(P4&lt;'Get Started  3'!$H111,0,OFFSET(P37,0,-1*'Get Started  3'!$H111)*'Get Started  3'!$G42))+IF('Get Started  3'!$G110=0,0,IF(P4&lt;'Get Started  3'!$H110,0,OFFSET(P37,0,-1*'Get Started  3'!$H110)*'Get Started  3'!$F42))+IF('Get Started  3'!$G109=0,0,IF(P4&lt;'Get Started  3'!$H109,0,OFFSET(P37,0,-1*'Get Started  3'!$H109)*'Get Started  3'!$E42))</f>
        <v>0</v>
      </c>
      <c r="Q49" s="29">
        <f ca="1">IF('Get Started  3'!$G112=0,0,IF(Q4&lt;'Get Started  3'!$H112,0,OFFSET(Q37,0,-1*'Get Started  3'!$H112)*'Get Started  3'!$H42))+IF('Get Started  3'!$G111=0,0,IF(Q4&lt;'Get Started  3'!$H111,0,OFFSET(Q37,0,-1*'Get Started  3'!$H111)*'Get Started  3'!$G42))+IF('Get Started  3'!$G110=0,0,IF(Q4&lt;'Get Started  3'!$H110,0,OFFSET(Q37,0,-1*'Get Started  3'!$H110)*'Get Started  3'!$F42))+IF('Get Started  3'!$G109=0,0,IF(Q4&lt;'Get Started  3'!$H109,0,OFFSET(Q37,0,-1*'Get Started  3'!$H109)*'Get Started  3'!$E42))</f>
        <v>0</v>
      </c>
      <c r="R49" s="29">
        <f ca="1">IF('Get Started  3'!$G112=0,0,IF(R4&lt;'Get Started  3'!$H112,0,OFFSET(R37,0,-1*'Get Started  3'!$H112)*'Get Started  3'!$H42))+IF('Get Started  3'!$G111=0,0,IF(R4&lt;'Get Started  3'!$H111,0,OFFSET(R37,0,-1*'Get Started  3'!$H111)*'Get Started  3'!$G42))+IF('Get Started  3'!$G110=0,0,IF(R4&lt;'Get Started  3'!$H110,0,OFFSET(R37,0,-1*'Get Started  3'!$H110)*'Get Started  3'!$F42))+IF('Get Started  3'!$G109=0,0,IF(R4&lt;'Get Started  3'!$H109,0,OFFSET(R37,0,-1*'Get Started  3'!$H109)*'Get Started  3'!$E42))</f>
        <v>0</v>
      </c>
      <c r="S49" s="29">
        <f ca="1">IF('Get Started  3'!$G112=0,0,IF(S4&lt;'Get Started  3'!$H112,0,OFFSET(S37,0,-1*'Get Started  3'!$H112)*'Get Started  3'!$H42))+IF('Get Started  3'!$G111=0,0,IF(S4&lt;'Get Started  3'!$H111,0,OFFSET(S37,0,-1*'Get Started  3'!$H111)*'Get Started  3'!$G42))+IF('Get Started  3'!$G110=0,0,IF(S4&lt;'Get Started  3'!$H110,0,OFFSET(S37,0,-1*'Get Started  3'!$H110)*'Get Started  3'!$F42))+IF('Get Started  3'!$G109=0,0,IF(S4&lt;'Get Started  3'!$H109,0,OFFSET(S37,0,-1*'Get Started  3'!$H109)*'Get Started  3'!$E42))</f>
        <v>200520.83333333334</v>
      </c>
      <c r="T49" s="29">
        <f ca="1">IF('Get Started  3'!$G112=0,0,IF(T4&lt;'Get Started  3'!$H112,0,OFFSET(T37,0,-1*'Get Started  3'!$H112)*'Get Started  3'!$H42))+IF('Get Started  3'!$G111=0,0,IF(T4&lt;'Get Started  3'!$H111,0,OFFSET(T37,0,-1*'Get Started  3'!$H111)*'Get Started  3'!$G42))+IF('Get Started  3'!$G110=0,0,IF(T4&lt;'Get Started  3'!$H110,0,OFFSET(T37,0,-1*'Get Started  3'!$H110)*'Get Started  3'!$F42))+IF('Get Started  3'!$G109=0,0,IF(T4&lt;'Get Started  3'!$H109,0,OFFSET(T37,0,-1*'Get Started  3'!$H109)*'Get Started  3'!$E42))</f>
        <v>200520.83333333334</v>
      </c>
      <c r="U49" s="29">
        <f ca="1">IF('Get Started  3'!$G112=0,0,IF(U4&lt;'Get Started  3'!$H112,0,OFFSET(U37,0,-1*'Get Started  3'!$H112)*'Get Started  3'!$H42))+IF('Get Started  3'!$G111=0,0,IF(U4&lt;'Get Started  3'!$H111,0,OFFSET(U37,0,-1*'Get Started  3'!$H111)*'Get Started  3'!$G42))+IF('Get Started  3'!$G110=0,0,IF(U4&lt;'Get Started  3'!$H110,0,OFFSET(U37,0,-1*'Get Started  3'!$H110)*'Get Started  3'!$F42))+IF('Get Started  3'!$G109=0,0,IF(U4&lt;'Get Started  3'!$H109,0,OFFSET(U37,0,-1*'Get Started  3'!$H109)*'Get Started  3'!$E42))</f>
        <v>200520.83333333334</v>
      </c>
      <c r="V49" s="29">
        <f ca="1">IF('Get Started  3'!$G112=0,0,IF(V4&lt;'Get Started  3'!$H112,0,OFFSET(V37,0,-1*'Get Started  3'!$H112)*'Get Started  3'!$H42))+IF('Get Started  3'!$G111=0,0,IF(V4&lt;'Get Started  3'!$H111,0,OFFSET(V37,0,-1*'Get Started  3'!$H111)*'Get Started  3'!$G42))+IF('Get Started  3'!$G110=0,0,IF(V4&lt;'Get Started  3'!$H110,0,OFFSET(V37,0,-1*'Get Started  3'!$H110)*'Get Started  3'!$F42))+IF('Get Started  3'!$G109=0,0,IF(V4&lt;'Get Started  3'!$H109,0,OFFSET(V37,0,-1*'Get Started  3'!$H109)*'Get Started  3'!$E42))</f>
        <v>200520.83333333334</v>
      </c>
      <c r="W49" s="29">
        <f ca="1">IF('Get Started  3'!$G112=0,0,IF(W4&lt;'Get Started  3'!$H112,0,OFFSET(W37,0,-1*'Get Started  3'!$H112)*'Get Started  3'!$H42))+IF('Get Started  3'!$G111=0,0,IF(W4&lt;'Get Started  3'!$H111,0,OFFSET(W37,0,-1*'Get Started  3'!$H111)*'Get Started  3'!$G42))+IF('Get Started  3'!$G110=0,0,IF(W4&lt;'Get Started  3'!$H110,0,OFFSET(W37,0,-1*'Get Started  3'!$H110)*'Get Started  3'!$F42))+IF('Get Started  3'!$G109=0,0,IF(W4&lt;'Get Started  3'!$H109,0,OFFSET(W37,0,-1*'Get Started  3'!$H109)*'Get Started  3'!$E42))</f>
        <v>280729.16666666669</v>
      </c>
      <c r="X49" s="29">
        <f ca="1">IF('Get Started  3'!$G112=0,0,IF(X4&lt;'Get Started  3'!$H112,0,OFFSET(X37,0,-1*'Get Started  3'!$H112)*'Get Started  3'!$H42))+IF('Get Started  3'!$G111=0,0,IF(X4&lt;'Get Started  3'!$H111,0,OFFSET(X37,0,-1*'Get Started  3'!$H111)*'Get Started  3'!$G42))+IF('Get Started  3'!$G110=0,0,IF(X4&lt;'Get Started  3'!$H110,0,OFFSET(X37,0,-1*'Get Started  3'!$H110)*'Get Started  3'!$F42))+IF('Get Started  3'!$G109=0,0,IF(X4&lt;'Get Started  3'!$H109,0,OFFSET(X37,0,-1*'Get Started  3'!$H109)*'Get Started  3'!$E42))</f>
        <v>280729.16666666669</v>
      </c>
      <c r="Y49" s="29">
        <f ca="1">IF('Get Started  3'!$G112=0,0,IF(Y4&lt;'Get Started  3'!$H112,0,OFFSET(Y37,0,-1*'Get Started  3'!$H112)*'Get Started  3'!$H42))+IF('Get Started  3'!$G111=0,0,IF(Y4&lt;'Get Started  3'!$H111,0,OFFSET(Y37,0,-1*'Get Started  3'!$H111)*'Get Started  3'!$G42))+IF('Get Started  3'!$G110=0,0,IF(Y4&lt;'Get Started  3'!$H110,0,OFFSET(Y37,0,-1*'Get Started  3'!$H110)*'Get Started  3'!$F42))+IF('Get Started  3'!$G109=0,0,IF(Y4&lt;'Get Started  3'!$H109,0,OFFSET(Y37,0,-1*'Get Started  3'!$H109)*'Get Started  3'!$E42))</f>
        <v>280729.16666666669</v>
      </c>
      <c r="Z49" s="29">
        <f ca="1">IF('Get Started  3'!$G112=0,0,IF(Z4&lt;'Get Started  3'!$H112,0,OFFSET(Z37,0,-1*'Get Started  3'!$H112)*'Get Started  3'!$H42))+IF('Get Started  3'!$G111=0,0,IF(Z4&lt;'Get Started  3'!$H111,0,OFFSET(Z37,0,-1*'Get Started  3'!$H111)*'Get Started  3'!$G42))+IF('Get Started  3'!$G110=0,0,IF(Z4&lt;'Get Started  3'!$H110,0,OFFSET(Z37,0,-1*'Get Started  3'!$H110)*'Get Started  3'!$F42))+IF('Get Started  3'!$G109=0,0,IF(Z4&lt;'Get Started  3'!$H109,0,OFFSET(Z37,0,-1*'Get Started  3'!$H109)*'Get Started  3'!$E42))</f>
        <v>280729.16666666669</v>
      </c>
      <c r="AA49" s="29">
        <f ca="1">IF('Get Started  3'!$G112=0,0,IF(AA4&lt;'Get Started  3'!$H112,0,OFFSET(AA37,0,-1*'Get Started  3'!$H112)*'Get Started  3'!$H42))+IF('Get Started  3'!$G111=0,0,IF(AA4&lt;'Get Started  3'!$H111,0,OFFSET(AA37,0,-1*'Get Started  3'!$H111)*'Get Started  3'!$G42))+IF('Get Started  3'!$G110=0,0,IF(AA4&lt;'Get Started  3'!$H110,0,OFFSET(AA37,0,-1*'Get Started  3'!$H110)*'Get Started  3'!$F42))+IF('Get Started  3'!$G109=0,0,IF(AA4&lt;'Get Started  3'!$H109,0,OFFSET(AA37,0,-1*'Get Started  3'!$H109)*'Get Started  3'!$E42))</f>
        <v>280729.16666666669</v>
      </c>
      <c r="AB49" s="29">
        <f ca="1">IF('Get Started  3'!$G112=0,0,IF(AB4&lt;'Get Started  3'!$H112,0,OFFSET(AB37,0,-1*'Get Started  3'!$H112)*'Get Started  3'!$H42))+IF('Get Started  3'!$G111=0,0,IF(AB4&lt;'Get Started  3'!$H111,0,OFFSET(AB37,0,-1*'Get Started  3'!$H111)*'Get Started  3'!$G42))+IF('Get Started  3'!$G110=0,0,IF(AB4&lt;'Get Started  3'!$H110,0,OFFSET(AB37,0,-1*'Get Started  3'!$H110)*'Get Started  3'!$F42))+IF('Get Started  3'!$G109=0,0,IF(AB4&lt;'Get Started  3'!$H109,0,OFFSET(AB37,0,-1*'Get Started  3'!$H109)*'Get Started  3'!$E42))</f>
        <v>280729.16666666669</v>
      </c>
      <c r="AC49" s="29">
        <f ca="1">IF('Get Started  3'!$G112=0,0,IF(AC4&lt;'Get Started  3'!$H112,0,OFFSET(AC37,0,-1*'Get Started  3'!$H112)*'Get Started  3'!$H42))+IF('Get Started  3'!$G111=0,0,IF(AC4&lt;'Get Started  3'!$H111,0,OFFSET(AC37,0,-1*'Get Started  3'!$H111)*'Get Started  3'!$G42))+IF('Get Started  3'!$G110=0,0,IF(AC4&lt;'Get Started  3'!$H110,0,OFFSET(AC37,0,-1*'Get Started  3'!$H110)*'Get Started  3'!$F42))+IF('Get Started  3'!$G109=0,0,IF(AC4&lt;'Get Started  3'!$H109,0,OFFSET(AC37,0,-1*'Get Started  3'!$H109)*'Get Started  3'!$E42))</f>
        <v>280729.16666666669</v>
      </c>
      <c r="AD49" s="29">
        <f ca="1">IF('Get Started  3'!$G112=0,0,IF(AD4&lt;'Get Started  3'!$H112,0,OFFSET(AD37,0,-1*'Get Started  3'!$H112)*'Get Started  3'!$H42))+IF('Get Started  3'!$G111=0,0,IF(AD4&lt;'Get Started  3'!$H111,0,OFFSET(AD37,0,-1*'Get Started  3'!$H111)*'Get Started  3'!$G42))+IF('Get Started  3'!$G110=0,0,IF(AD4&lt;'Get Started  3'!$H110,0,OFFSET(AD37,0,-1*'Get Started  3'!$H110)*'Get Started  3'!$F42))+IF('Get Started  3'!$G109=0,0,IF(AD4&lt;'Get Started  3'!$H109,0,OFFSET(AD37,0,-1*'Get Started  3'!$H109)*'Get Started  3'!$E42))</f>
        <v>280729.16666666669</v>
      </c>
      <c r="AE49" s="29">
        <f ca="1">IF('Get Started  3'!$G112=0,0,IF(AE4&lt;'Get Started  3'!$H112,0,OFFSET(AE37,0,-1*'Get Started  3'!$H112)*'Get Started  3'!$H42))+IF('Get Started  3'!$G111=0,0,IF(AE4&lt;'Get Started  3'!$H111,0,OFFSET(AE37,0,-1*'Get Started  3'!$H111)*'Get Started  3'!$G42))+IF('Get Started  3'!$G110=0,0,IF(AE4&lt;'Get Started  3'!$H110,0,OFFSET(AE37,0,-1*'Get Started  3'!$H110)*'Get Started  3'!$F42))+IF('Get Started  3'!$G109=0,0,IF(AE4&lt;'Get Started  3'!$H109,0,OFFSET(AE37,0,-1*'Get Started  3'!$H109)*'Get Started  3'!$E42))</f>
        <v>554774.3055555555</v>
      </c>
      <c r="AF49" s="29">
        <f ca="1">IF('Get Started  3'!$G112=0,0,IF(AF4&lt;'Get Started  3'!$H112,0,OFFSET(AF37,0,-1*'Get Started  3'!$H112)*'Get Started  3'!$H42))+IF('Get Started  3'!$G111=0,0,IF(AF4&lt;'Get Started  3'!$H111,0,OFFSET(AF37,0,-1*'Get Started  3'!$H111)*'Get Started  3'!$G42))+IF('Get Started  3'!$G110=0,0,IF(AF4&lt;'Get Started  3'!$H110,0,OFFSET(AF37,0,-1*'Get Started  3'!$H110)*'Get Started  3'!$F42))+IF('Get Started  3'!$G109=0,0,IF(AF4&lt;'Get Started  3'!$H109,0,OFFSET(AF37,0,-1*'Get Started  3'!$H109)*'Get Started  3'!$E42))</f>
        <v>554774.3055555555</v>
      </c>
      <c r="AG49" s="29">
        <f ca="1">IF('Get Started  3'!$G112=0,0,IF(AG4&lt;'Get Started  3'!$H112,0,OFFSET(AG37,0,-1*'Get Started  3'!$H112)*'Get Started  3'!$H42))+IF('Get Started  3'!$G111=0,0,IF(AG4&lt;'Get Started  3'!$H111,0,OFFSET(AG37,0,-1*'Get Started  3'!$H111)*'Get Started  3'!$G42))+IF('Get Started  3'!$G110=0,0,IF(AG4&lt;'Get Started  3'!$H110,0,OFFSET(AG37,0,-1*'Get Started  3'!$H110)*'Get Started  3'!$F42))+IF('Get Started  3'!$G109=0,0,IF(AG4&lt;'Get Started  3'!$H109,0,OFFSET(AG37,0,-1*'Get Started  3'!$H109)*'Get Started  3'!$E42))</f>
        <v>554774.3055555555</v>
      </c>
      <c r="AH49" s="29">
        <f ca="1">IF('Get Started  3'!$G112=0,0,IF(AH4&lt;'Get Started  3'!$H112,0,OFFSET(AH37,0,-1*'Get Started  3'!$H112)*'Get Started  3'!$H42))+IF('Get Started  3'!$G111=0,0,IF(AH4&lt;'Get Started  3'!$H111,0,OFFSET(AH37,0,-1*'Get Started  3'!$H111)*'Get Started  3'!$G42))+IF('Get Started  3'!$G110=0,0,IF(AH4&lt;'Get Started  3'!$H110,0,OFFSET(AH37,0,-1*'Get Started  3'!$H110)*'Get Started  3'!$F42))+IF('Get Started  3'!$G109=0,0,IF(AH4&lt;'Get Started  3'!$H109,0,OFFSET(AH37,0,-1*'Get Started  3'!$H109)*'Get Started  3'!$E42))</f>
        <v>554774.3055555555</v>
      </c>
      <c r="AI49" s="29">
        <f ca="1">IF('Get Started  3'!$G112=0,0,IF(AI4&lt;'Get Started  3'!$H112,0,OFFSET(AI37,0,-1*'Get Started  3'!$H112)*'Get Started  3'!$H42))+IF('Get Started  3'!$G111=0,0,IF(AI4&lt;'Get Started  3'!$H111,0,OFFSET(AI37,0,-1*'Get Started  3'!$H111)*'Get Started  3'!$G42))+IF('Get Started  3'!$G110=0,0,IF(AI4&lt;'Get Started  3'!$H110,0,OFFSET(AI37,0,-1*'Get Started  3'!$H110)*'Get Started  3'!$F42))+IF('Get Started  3'!$G109=0,0,IF(AI4&lt;'Get Started  3'!$H109,0,OFFSET(AI37,0,-1*'Get Started  3'!$H109)*'Get Started  3'!$E42))</f>
        <v>334201.38888888888</v>
      </c>
      <c r="AJ49" s="29">
        <f ca="1">IF('Get Started  3'!$G112=0,0,IF(AJ4&lt;'Get Started  3'!$H112,0,OFFSET(AJ37,0,-1*'Get Started  3'!$H112)*'Get Started  3'!$H42))+IF('Get Started  3'!$G111=0,0,IF(AJ4&lt;'Get Started  3'!$H111,0,OFFSET(AJ37,0,-1*'Get Started  3'!$H111)*'Get Started  3'!$G42))+IF('Get Started  3'!$G110=0,0,IF(AJ4&lt;'Get Started  3'!$H110,0,OFFSET(AJ37,0,-1*'Get Started  3'!$H110)*'Get Started  3'!$F42))+IF('Get Started  3'!$G109=0,0,IF(AJ4&lt;'Get Started  3'!$H109,0,OFFSET(AJ37,0,-1*'Get Started  3'!$H109)*'Get Started  3'!$E42))</f>
        <v>334201.38888888888</v>
      </c>
      <c r="AK49" s="29">
        <f ca="1">IF('Get Started  3'!$G112=0,0,IF(AK4&lt;'Get Started  3'!$H112,0,OFFSET(AK37,0,-1*'Get Started  3'!$H112)*'Get Started  3'!$H42))+IF('Get Started  3'!$G111=0,0,IF(AK4&lt;'Get Started  3'!$H111,0,OFFSET(AK37,0,-1*'Get Started  3'!$H111)*'Get Started  3'!$G42))+IF('Get Started  3'!$G110=0,0,IF(AK4&lt;'Get Started  3'!$H110,0,OFFSET(AK37,0,-1*'Get Started  3'!$H110)*'Get Started  3'!$F42))+IF('Get Started  3'!$G109=0,0,IF(AK4&lt;'Get Started  3'!$H109,0,OFFSET(AK37,0,-1*'Get Started  3'!$H109)*'Get Started  3'!$E42))</f>
        <v>334201.38888888888</v>
      </c>
      <c r="AL49" s="29">
        <f ca="1">IF('Get Started  3'!$G112=0,0,IF(AL4&lt;'Get Started  3'!$H112,0,OFFSET(AL37,0,-1*'Get Started  3'!$H112)*'Get Started  3'!$H42))+IF('Get Started  3'!$G111=0,0,IF(AL4&lt;'Get Started  3'!$H111,0,OFFSET(AL37,0,-1*'Get Started  3'!$H111)*'Get Started  3'!$G42))+IF('Get Started  3'!$G110=0,0,IF(AL4&lt;'Get Started  3'!$H110,0,OFFSET(AL37,0,-1*'Get Started  3'!$H110)*'Get Started  3'!$F42))+IF('Get Started  3'!$G109=0,0,IF(AL4&lt;'Get Started  3'!$H109,0,OFFSET(AL37,0,-1*'Get Started  3'!$H109)*'Get Started  3'!$E42))</f>
        <v>334201.38888888888</v>
      </c>
      <c r="AM49" s="29">
        <f ca="1">IF('Get Started  3'!$G112=0,0,IF(AM4&lt;'Get Started  3'!$H112,0,OFFSET(AM37,0,-1*'Get Started  3'!$H112)*'Get Started  3'!$H42))+IF('Get Started  3'!$G111=0,0,IF(AM4&lt;'Get Started  3'!$H111,0,OFFSET(AM37,0,-1*'Get Started  3'!$H111)*'Get Started  3'!$G42))+IF('Get Started  3'!$G110=0,0,IF(AM4&lt;'Get Started  3'!$H110,0,OFFSET(AM37,0,-1*'Get Started  3'!$H110)*'Get Started  3'!$F42))+IF('Get Started  3'!$G109=0,0,IF(AM4&lt;'Get Started  3'!$H109,0,OFFSET(AM37,0,-1*'Get Started  3'!$H109)*'Get Started  3'!$E42))</f>
        <v>240624.99999999994</v>
      </c>
      <c r="AN49" s="29">
        <f ca="1">IF('Get Started  3'!$G112=0,0,IF(AN4&lt;'Get Started  3'!$H112,0,OFFSET(AN37,0,-1*'Get Started  3'!$H112)*'Get Started  3'!$H42))+IF('Get Started  3'!$G111=0,0,IF(AN4&lt;'Get Started  3'!$H111,0,OFFSET(AN37,0,-1*'Get Started  3'!$H111)*'Get Started  3'!$G42))+IF('Get Started  3'!$G110=0,0,IF(AN4&lt;'Get Started  3'!$H110,0,OFFSET(AN37,0,-1*'Get Started  3'!$H110)*'Get Started  3'!$F42))+IF('Get Started  3'!$G109=0,0,IF(AN4&lt;'Get Started  3'!$H109,0,OFFSET(AN37,0,-1*'Get Started  3'!$H109)*'Get Started  3'!$E42))</f>
        <v>240624.99999999994</v>
      </c>
      <c r="AO49" s="29">
        <f ca="1">IF('Get Started  3'!$G112=0,0,IF(AO4&lt;'Get Started  3'!$H112,0,OFFSET(AO37,0,-1*'Get Started  3'!$H112)*'Get Started  3'!$H42))+IF('Get Started  3'!$G111=0,0,IF(AO4&lt;'Get Started  3'!$H111,0,OFFSET(AO37,0,-1*'Get Started  3'!$H111)*'Get Started  3'!$G42))+IF('Get Started  3'!$G110=0,0,IF(AO4&lt;'Get Started  3'!$H110,0,OFFSET(AO37,0,-1*'Get Started  3'!$H110)*'Get Started  3'!$F42))+IF('Get Started  3'!$G109=0,0,IF(AO4&lt;'Get Started  3'!$H109,0,OFFSET(AO37,0,-1*'Get Started  3'!$H109)*'Get Started  3'!$E42))</f>
        <v>240624.99999999994</v>
      </c>
      <c r="AP49" s="29">
        <f ca="1">IF('Get Started  3'!$G112=0,0,IF(AP4&lt;'Get Started  3'!$H112,0,OFFSET(AP37,0,-1*'Get Started  3'!$H112)*'Get Started  3'!$H42))+IF('Get Started  3'!$G111=0,0,IF(AP4&lt;'Get Started  3'!$H111,0,OFFSET(AP37,0,-1*'Get Started  3'!$H111)*'Get Started  3'!$G42))+IF('Get Started  3'!$G110=0,0,IF(AP4&lt;'Get Started  3'!$H110,0,OFFSET(AP37,0,-1*'Get Started  3'!$H110)*'Get Started  3'!$F42))+IF('Get Started  3'!$G109=0,0,IF(AP4&lt;'Get Started  3'!$H109,0,OFFSET(AP37,0,-1*'Get Started  3'!$H109)*'Get Started  3'!$E42))</f>
        <v>240624.99999999994</v>
      </c>
      <c r="AQ49" s="29">
        <f ca="1">IF('Get Started  3'!$G112=0,0,IF(AQ4&lt;'Get Started  3'!$H112,0,OFFSET(AQ37,0,-1*'Get Started  3'!$H112)*'Get Started  3'!$H42))+IF('Get Started  3'!$G111=0,0,IF(AQ4&lt;'Get Started  3'!$H111,0,OFFSET(AQ37,0,-1*'Get Started  3'!$H111)*'Get Started  3'!$G42))+IF('Get Started  3'!$G110=0,0,IF(AQ4&lt;'Get Started  3'!$H110,0,OFFSET(AQ37,0,-1*'Get Started  3'!$H110)*'Get Started  3'!$F42))+IF('Get Started  3'!$G109=0,0,IF(AQ4&lt;'Get Started  3'!$H109,0,OFFSET(AQ37,0,-1*'Get Started  3'!$H109)*'Get Started  3'!$E42))</f>
        <v>280729.16666666657</v>
      </c>
      <c r="AR49" s="29">
        <f ca="1">IF('Get Started  3'!$G112=0,0,IF(AR4&lt;'Get Started  3'!$H112,0,OFFSET(AR37,0,-1*'Get Started  3'!$H112)*'Get Started  3'!$H42))+IF('Get Started  3'!$G111=0,0,IF(AR4&lt;'Get Started  3'!$H111,0,OFFSET(AR37,0,-1*'Get Started  3'!$H111)*'Get Started  3'!$G42))+IF('Get Started  3'!$G110=0,0,IF(AR4&lt;'Get Started  3'!$H110,0,OFFSET(AR37,0,-1*'Get Started  3'!$H110)*'Get Started  3'!$F42))+IF('Get Started  3'!$G109=0,0,IF(AR4&lt;'Get Started  3'!$H109,0,OFFSET(AR37,0,-1*'Get Started  3'!$H109)*'Get Started  3'!$E42))</f>
        <v>280729.16666666657</v>
      </c>
      <c r="AS49" s="29">
        <f ca="1">IF('Get Started  3'!$G112=0,0,IF(AS4&lt;'Get Started  3'!$H112,0,OFFSET(AS37,0,-1*'Get Started  3'!$H112)*'Get Started  3'!$H42))+IF('Get Started  3'!$G111=0,0,IF(AS4&lt;'Get Started  3'!$H111,0,OFFSET(AS37,0,-1*'Get Started  3'!$H111)*'Get Started  3'!$G42))+IF('Get Started  3'!$G110=0,0,IF(AS4&lt;'Get Started  3'!$H110,0,OFFSET(AS37,0,-1*'Get Started  3'!$H110)*'Get Started  3'!$F42))+IF('Get Started  3'!$G109=0,0,IF(AS4&lt;'Get Started  3'!$H109,0,OFFSET(AS37,0,-1*'Get Started  3'!$H109)*'Get Started  3'!$E42))</f>
        <v>280729.16666666657</v>
      </c>
      <c r="AT49" s="29">
        <f ca="1">IF('Get Started  3'!$G112=0,0,IF(AT4&lt;'Get Started  3'!$H112,0,OFFSET(AT37,0,-1*'Get Started  3'!$H112)*'Get Started  3'!$H42))+IF('Get Started  3'!$G111=0,0,IF(AT4&lt;'Get Started  3'!$H111,0,OFFSET(AT37,0,-1*'Get Started  3'!$H111)*'Get Started  3'!$G42))+IF('Get Started  3'!$G110=0,0,IF(AT4&lt;'Get Started  3'!$H110,0,OFFSET(AT37,0,-1*'Get Started  3'!$H110)*'Get Started  3'!$F42))+IF('Get Started  3'!$G109=0,0,IF(AT4&lt;'Get Started  3'!$H109,0,OFFSET(AT37,0,-1*'Get Started  3'!$H109)*'Get Started  3'!$E42))</f>
        <v>280729.16666666657</v>
      </c>
      <c r="AU49" s="29">
        <f ca="1">IF('Get Started  3'!$G112=0,0,IF(AU4&lt;'Get Started  3'!$H112,0,OFFSET(AU37,0,-1*'Get Started  3'!$H112)*'Get Started  3'!$H42))+IF('Get Started  3'!$G111=0,0,IF(AU4&lt;'Get Started  3'!$H111,0,OFFSET(AU37,0,-1*'Get Started  3'!$H111)*'Get Started  3'!$G42))+IF('Get Started  3'!$G110=0,0,IF(AU4&lt;'Get Started  3'!$H110,0,OFFSET(AU37,0,-1*'Get Started  3'!$H110)*'Get Started  3'!$F42))+IF('Get Started  3'!$G109=0,0,IF(AU4&lt;'Get Started  3'!$H109,0,OFFSET(AU37,0,-1*'Get Started  3'!$H109)*'Get Started  3'!$E42))</f>
        <v>0</v>
      </c>
      <c r="AV49" s="29">
        <f ca="1">IF('Get Started  3'!$G112=0,0,IF(AV4&lt;'Get Started  3'!$H112,0,OFFSET(AV37,0,-1*'Get Started  3'!$H112)*'Get Started  3'!$H42))+IF('Get Started  3'!$G111=0,0,IF(AV4&lt;'Get Started  3'!$H111,0,OFFSET(AV37,0,-1*'Get Started  3'!$H111)*'Get Started  3'!$G42))+IF('Get Started  3'!$G110=0,0,IF(AV4&lt;'Get Started  3'!$H110,0,OFFSET(AV37,0,-1*'Get Started  3'!$H110)*'Get Started  3'!$F42))+IF('Get Started  3'!$G109=0,0,IF(AV4&lt;'Get Started  3'!$H109,0,OFFSET(AV37,0,-1*'Get Started  3'!$H109)*'Get Started  3'!$E42))</f>
        <v>0</v>
      </c>
      <c r="AW49" s="29">
        <f ca="1">IF('Get Started  3'!$G112=0,0,IF(AW4&lt;'Get Started  3'!$H112,0,OFFSET(AW37,0,-1*'Get Started  3'!$H112)*'Get Started  3'!$H42))+IF('Get Started  3'!$G111=0,0,IF(AW4&lt;'Get Started  3'!$H111,0,OFFSET(AW37,0,-1*'Get Started  3'!$H111)*'Get Started  3'!$G42))+IF('Get Started  3'!$G110=0,0,IF(AW4&lt;'Get Started  3'!$H110,0,OFFSET(AW37,0,-1*'Get Started  3'!$H110)*'Get Started  3'!$F42))+IF('Get Started  3'!$G109=0,0,IF(AW4&lt;'Get Started  3'!$H109,0,OFFSET(AW37,0,-1*'Get Started  3'!$H109)*'Get Started  3'!$E42))</f>
        <v>0</v>
      </c>
      <c r="AX49" s="29">
        <f ca="1">IF('Get Started  3'!$G112=0,0,IF(AX4&lt;'Get Started  3'!$H112,0,OFFSET(AX37,0,-1*'Get Started  3'!$H112)*'Get Started  3'!$H42))+IF('Get Started  3'!$G111=0,0,IF(AX4&lt;'Get Started  3'!$H111,0,OFFSET(AX37,0,-1*'Get Started  3'!$H111)*'Get Started  3'!$G42))+IF('Get Started  3'!$G110=0,0,IF(AX4&lt;'Get Started  3'!$H110,0,OFFSET(AX37,0,-1*'Get Started  3'!$H110)*'Get Started  3'!$F42))+IF('Get Started  3'!$G109=0,0,IF(AX4&lt;'Get Started  3'!$H109,0,OFFSET(AX37,0,-1*'Get Started  3'!$H109)*'Get Started  3'!$E42))</f>
        <v>0</v>
      </c>
      <c r="AY49" s="29">
        <f ca="1">IF('Get Started  3'!$G112=0,0,IF(AY4&lt;'Get Started  3'!$H112,0,OFFSET(AY37,0,-1*'Get Started  3'!$H112)*'Get Started  3'!$H42))+IF('Get Started  3'!$G111=0,0,IF(AY4&lt;'Get Started  3'!$H111,0,OFFSET(AY37,0,-1*'Get Started  3'!$H111)*'Get Started  3'!$G42))+IF('Get Started  3'!$G110=0,0,IF(AY4&lt;'Get Started  3'!$H110,0,OFFSET(AY37,0,-1*'Get Started  3'!$H110)*'Get Started  3'!$F42))+IF('Get Started  3'!$G109=0,0,IF(AY4&lt;'Get Started  3'!$H109,0,OFFSET(AY37,0,-1*'Get Started  3'!$H109)*'Get Started  3'!$E42))</f>
        <v>0</v>
      </c>
      <c r="AZ49" s="29">
        <f ca="1">IF('Get Started  3'!$G112=0,0,IF(AZ4&lt;'Get Started  3'!$H112,0,OFFSET(AZ37,0,-1*'Get Started  3'!$H112)*'Get Started  3'!$H42))+IF('Get Started  3'!$G111=0,0,IF(AZ4&lt;'Get Started  3'!$H111,0,OFFSET(AZ37,0,-1*'Get Started  3'!$H111)*'Get Started  3'!$G42))+IF('Get Started  3'!$G110=0,0,IF(AZ4&lt;'Get Started  3'!$H110,0,OFFSET(AZ37,0,-1*'Get Started  3'!$H110)*'Get Started  3'!$F42))+IF('Get Started  3'!$G109=0,0,IF(AZ4&lt;'Get Started  3'!$H109,0,OFFSET(AZ37,0,-1*'Get Started  3'!$H109)*'Get Started  3'!$E42))</f>
        <v>0</v>
      </c>
      <c r="BA49" s="29">
        <f ca="1">IF('Get Started  3'!$G112=0,0,IF(BA4&lt;'Get Started  3'!$H112,0,OFFSET(BA37,0,-1*'Get Started  3'!$H112)*'Get Started  3'!$H42))+IF('Get Started  3'!$G111=0,0,IF(BA4&lt;'Get Started  3'!$H111,0,OFFSET(BA37,0,-1*'Get Started  3'!$H111)*'Get Started  3'!$G42))+IF('Get Started  3'!$G110=0,0,IF(BA4&lt;'Get Started  3'!$H110,0,OFFSET(BA37,0,-1*'Get Started  3'!$H110)*'Get Started  3'!$F42))+IF('Get Started  3'!$G109=0,0,IF(BA4&lt;'Get Started  3'!$H109,0,OFFSET(BA37,0,-1*'Get Started  3'!$H109)*'Get Started  3'!$E42))</f>
        <v>0</v>
      </c>
      <c r="BB49" s="29">
        <f ca="1">IF('Get Started  3'!$G112=0,0,IF(BB4&lt;'Get Started  3'!$H112,0,OFFSET(BB37,0,-1*'Get Started  3'!$H112)*'Get Started  3'!$H42))+IF('Get Started  3'!$G111=0,0,IF(BB4&lt;'Get Started  3'!$H111,0,OFFSET(BB37,0,-1*'Get Started  3'!$H111)*'Get Started  3'!$G42))+IF('Get Started  3'!$G110=0,0,IF(BB4&lt;'Get Started  3'!$H110,0,OFFSET(BB37,0,-1*'Get Started  3'!$H110)*'Get Started  3'!$F42))+IF('Get Started  3'!$G109=0,0,IF(BB4&lt;'Get Started  3'!$H109,0,OFFSET(BB37,0,-1*'Get Started  3'!$H109)*'Get Started  3'!$E42))</f>
        <v>0</v>
      </c>
      <c r="BC49" s="29">
        <f ca="1">IF('Get Started  3'!$G112=0,0,IF(BC4&lt;'Get Started  3'!$H112,0,OFFSET(BC37,0,-1*'Get Started  3'!$H112)*'Get Started  3'!$H42))+IF('Get Started  3'!$G111=0,0,IF(BC4&lt;'Get Started  3'!$H111,0,OFFSET(BC37,0,-1*'Get Started  3'!$H111)*'Get Started  3'!$G42))+IF('Get Started  3'!$G110=0,0,IF(BC4&lt;'Get Started  3'!$H110,0,OFFSET(BC37,0,-1*'Get Started  3'!$H110)*'Get Started  3'!$F42))+IF('Get Started  3'!$G109=0,0,IF(BC4&lt;'Get Started  3'!$H109,0,OFFSET(BC37,0,-1*'Get Started  3'!$H109)*'Get Started  3'!$E42))</f>
        <v>0</v>
      </c>
      <c r="BD49" s="29">
        <f ca="1">IF('Get Started  3'!$G112=0,0,IF(BD4&lt;'Get Started  3'!$H112,0,OFFSET(BD37,0,-1*'Get Started  3'!$H112)*'Get Started  3'!$H42))+IF('Get Started  3'!$G111=0,0,IF(BD4&lt;'Get Started  3'!$H111,0,OFFSET(BD37,0,-1*'Get Started  3'!$H111)*'Get Started  3'!$G42))+IF('Get Started  3'!$G110=0,0,IF(BD4&lt;'Get Started  3'!$H110,0,OFFSET(BD37,0,-1*'Get Started  3'!$H110)*'Get Started  3'!$F42))+IF('Get Started  3'!$G109=0,0,IF(BD4&lt;'Get Started  3'!$H109,0,OFFSET(BD37,0,-1*'Get Started  3'!$H109)*'Get Started  3'!$E42))</f>
        <v>0</v>
      </c>
      <c r="BE49" s="29">
        <f ca="1">IF('Get Started  3'!$G112=0,0,IF(BE4&lt;'Get Started  3'!$H112,0,OFFSET(BE37,0,-1*'Get Started  3'!$H112)*'Get Started  3'!$H42))+IF('Get Started  3'!$G111=0,0,IF(BE4&lt;'Get Started  3'!$H111,0,OFFSET(BE37,0,-1*'Get Started  3'!$H111)*'Get Started  3'!$G42))+IF('Get Started  3'!$G110=0,0,IF(BE4&lt;'Get Started  3'!$H110,0,OFFSET(BE37,0,-1*'Get Started  3'!$H110)*'Get Started  3'!$F42))+IF('Get Started  3'!$G109=0,0,IF(BE4&lt;'Get Started  3'!$H109,0,OFFSET(BE37,0,-1*'Get Started  3'!$H109)*'Get Started  3'!$E42))</f>
        <v>0</v>
      </c>
      <c r="BF49" s="29">
        <f ca="1">IF('Get Started  3'!$G112=0,0,IF(BF4&lt;'Get Started  3'!$H112,0,OFFSET(BF37,0,-1*'Get Started  3'!$H112)*'Get Started  3'!$H42))+IF('Get Started  3'!$G111=0,0,IF(BF4&lt;'Get Started  3'!$H111,0,OFFSET(BF37,0,-1*'Get Started  3'!$H111)*'Get Started  3'!$G42))+IF('Get Started  3'!$G110=0,0,IF(BF4&lt;'Get Started  3'!$H110,0,OFFSET(BF37,0,-1*'Get Started  3'!$H110)*'Get Started  3'!$F42))+IF('Get Started  3'!$G109=0,0,IF(BF4&lt;'Get Started  3'!$H109,0,OFFSET(BF37,0,-1*'Get Started  3'!$H109)*'Get Started  3'!$E42))</f>
        <v>0</v>
      </c>
      <c r="BG49" s="29">
        <f ca="1">IF('Get Started  3'!$G112=0,0,IF(BG4&lt;'Get Started  3'!$H112,0,OFFSET(BG37,0,-1*'Get Started  3'!$H112)*'Get Started  3'!$H42))+IF('Get Started  3'!$G111=0,0,IF(BG4&lt;'Get Started  3'!$H111,0,OFFSET(BG37,0,-1*'Get Started  3'!$H111)*'Get Started  3'!$G42))+IF('Get Started  3'!$G110=0,0,IF(BG4&lt;'Get Started  3'!$H110,0,OFFSET(BG37,0,-1*'Get Started  3'!$H110)*'Get Started  3'!$F42))+IF('Get Started  3'!$G109=0,0,IF(BG4&lt;'Get Started  3'!$H109,0,OFFSET(BG37,0,-1*'Get Started  3'!$H109)*'Get Started  3'!$E42))</f>
        <v>0</v>
      </c>
      <c r="BH49" s="29">
        <f ca="1">IF('Get Started  3'!$G112=0,0,IF(BH4&lt;'Get Started  3'!$H112,0,OFFSET(BH37,0,-1*'Get Started  3'!$H112)*'Get Started  3'!$H42))+IF('Get Started  3'!$G111=0,0,IF(BH4&lt;'Get Started  3'!$H111,0,OFFSET(BH37,0,-1*'Get Started  3'!$H111)*'Get Started  3'!$G42))+IF('Get Started  3'!$G110=0,0,IF(BH4&lt;'Get Started  3'!$H110,0,OFFSET(BH37,0,-1*'Get Started  3'!$H110)*'Get Started  3'!$F42))+IF('Get Started  3'!$G109=0,0,IF(BH4&lt;'Get Started  3'!$H109,0,OFFSET(BH37,0,-1*'Get Started  3'!$H109)*'Get Started  3'!$E42))</f>
        <v>0</v>
      </c>
      <c r="BI49" s="29">
        <f ca="1">IF('Get Started  3'!$G112=0,0,IF(BI4&lt;'Get Started  3'!$H112,0,OFFSET(BI37,0,-1*'Get Started  3'!$H112)*'Get Started  3'!$H42))+IF('Get Started  3'!$G111=0,0,IF(BI4&lt;'Get Started  3'!$H111,0,OFFSET(BI37,0,-1*'Get Started  3'!$H111)*'Get Started  3'!$G42))+IF('Get Started  3'!$G110=0,0,IF(BI4&lt;'Get Started  3'!$H110,0,OFFSET(BI37,0,-1*'Get Started  3'!$H110)*'Get Started  3'!$F42))+IF('Get Started  3'!$G109=0,0,IF(BI4&lt;'Get Started  3'!$H109,0,OFFSET(BI37,0,-1*'Get Started  3'!$H109)*'Get Started  3'!$E42))</f>
        <v>0</v>
      </c>
      <c r="BJ49" s="29">
        <f ca="1">IF('Get Started  3'!$G112=0,0,IF(BJ4&lt;'Get Started  3'!$H112,0,OFFSET(BJ37,0,-1*'Get Started  3'!$H112)*'Get Started  3'!$H42))+IF('Get Started  3'!$G111=0,0,IF(BJ4&lt;'Get Started  3'!$H111,0,OFFSET(BJ37,0,-1*'Get Started  3'!$H111)*'Get Started  3'!$G42))+IF('Get Started  3'!$G110=0,0,IF(BJ4&lt;'Get Started  3'!$H110,0,OFFSET(BJ37,0,-1*'Get Started  3'!$H110)*'Get Started  3'!$F42))+IF('Get Started  3'!$G109=0,0,IF(BJ4&lt;'Get Started  3'!$H109,0,OFFSET(BJ37,0,-1*'Get Started  3'!$H109)*'Get Started  3'!$E42))</f>
        <v>0</v>
      </c>
      <c r="BK49" s="29">
        <f ca="1">IF('Get Started  3'!$G112=0,0,IF(BK4&lt;'Get Started  3'!$H112,0,OFFSET(BK37,0,-1*'Get Started  3'!$H112)*'Get Started  3'!$H42))+IF('Get Started  3'!$G111=0,0,IF(BK4&lt;'Get Started  3'!$H111,0,OFFSET(BK37,0,-1*'Get Started  3'!$H111)*'Get Started  3'!$G42))+IF('Get Started  3'!$G110=0,0,IF(BK4&lt;'Get Started  3'!$H110,0,OFFSET(BK37,0,-1*'Get Started  3'!$H110)*'Get Started  3'!$F42))+IF('Get Started  3'!$G109=0,0,IF(BK4&lt;'Get Started  3'!$H109,0,OFFSET(BK37,0,-1*'Get Started  3'!$H109)*'Get Started  3'!$E42))</f>
        <v>0</v>
      </c>
      <c r="BL49" s="29">
        <f ca="1">IF('Get Started  3'!$G112=0,0,IF(BL4&lt;'Get Started  3'!$H112,0,OFFSET(BL37,0,-1*'Get Started  3'!$H112)*'Get Started  3'!$H42))+IF('Get Started  3'!$G111=0,0,IF(BL4&lt;'Get Started  3'!$H111,0,OFFSET(BL37,0,-1*'Get Started  3'!$H111)*'Get Started  3'!$G42))+IF('Get Started  3'!$G110=0,0,IF(BL4&lt;'Get Started  3'!$H110,0,OFFSET(BL37,0,-1*'Get Started  3'!$H110)*'Get Started  3'!$F42))+IF('Get Started  3'!$G109=0,0,IF(BL4&lt;'Get Started  3'!$H109,0,OFFSET(BL37,0,-1*'Get Started  3'!$H109)*'Get Started  3'!$E42))</f>
        <v>0</v>
      </c>
      <c r="BM49" s="29">
        <f ca="1">IF('Get Started  3'!$G112=0,0,IF(BM4&lt;'Get Started  3'!$H112,0,OFFSET(BM37,0,-1*'Get Started  3'!$H112)*'Get Started  3'!$H42))+IF('Get Started  3'!$G111=0,0,IF(BM4&lt;'Get Started  3'!$H111,0,OFFSET(BM37,0,-1*'Get Started  3'!$H111)*'Get Started  3'!$G42))+IF('Get Started  3'!$G110=0,0,IF(BM4&lt;'Get Started  3'!$H110,0,OFFSET(BM37,0,-1*'Get Started  3'!$H110)*'Get Started  3'!$F42))+IF('Get Started  3'!$G109=0,0,IF(BM4&lt;'Get Started  3'!$H109,0,OFFSET(BM37,0,-1*'Get Started  3'!$H109)*'Get Started  3'!$E42))</f>
        <v>0</v>
      </c>
      <c r="BN49" s="29">
        <f ca="1">IF('Get Started  3'!$G112=0,0,IF(BN4&lt;'Get Started  3'!$H112,0,OFFSET(BN37,0,-1*'Get Started  3'!$H112)*'Get Started  3'!$H42))+IF('Get Started  3'!$G111=0,0,IF(BN4&lt;'Get Started  3'!$H111,0,OFFSET(BN37,0,-1*'Get Started  3'!$H111)*'Get Started  3'!$G42))+IF('Get Started  3'!$G110=0,0,IF(BN4&lt;'Get Started  3'!$H110,0,OFFSET(BN37,0,-1*'Get Started  3'!$H110)*'Get Started  3'!$F42))+IF('Get Started  3'!$G109=0,0,IF(BN4&lt;'Get Started  3'!$H109,0,OFFSET(BN37,0,-1*'Get Started  3'!$H109)*'Get Started  3'!$E42))</f>
        <v>0</v>
      </c>
      <c r="BO49" s="29">
        <f ca="1">IF('Get Started  3'!$G112=0,0,IF(BO4&lt;'Get Started  3'!$H112,0,OFFSET(BO37,0,-1*'Get Started  3'!$H112)*'Get Started  3'!$H42))+IF('Get Started  3'!$G111=0,0,IF(BO4&lt;'Get Started  3'!$H111,0,OFFSET(BO37,0,-1*'Get Started  3'!$H111)*'Get Started  3'!$G42))+IF('Get Started  3'!$G110=0,0,IF(BO4&lt;'Get Started  3'!$H110,0,OFFSET(BO37,0,-1*'Get Started  3'!$H110)*'Get Started  3'!$F42))+IF('Get Started  3'!$G109=0,0,IF(BO4&lt;'Get Started  3'!$H109,0,OFFSET(BO37,0,-1*'Get Started  3'!$H109)*'Get Started  3'!$E42))</f>
        <v>0</v>
      </c>
      <c r="BP49" s="29">
        <f ca="1">IF('Get Started  3'!$G112=0,0,IF(BP4&lt;'Get Started  3'!$H112,0,OFFSET(BP37,0,-1*'Get Started  3'!$H112)*'Get Started  3'!$H42))+IF('Get Started  3'!$G111=0,0,IF(BP4&lt;'Get Started  3'!$H111,0,OFFSET(BP37,0,-1*'Get Started  3'!$H111)*'Get Started  3'!$G42))+IF('Get Started  3'!$G110=0,0,IF(BP4&lt;'Get Started  3'!$H110,0,OFFSET(BP37,0,-1*'Get Started  3'!$H110)*'Get Started  3'!$F42))+IF('Get Started  3'!$G109=0,0,IF(BP4&lt;'Get Started  3'!$H109,0,OFFSET(BP37,0,-1*'Get Started  3'!$H109)*'Get Started  3'!$E42))</f>
        <v>0</v>
      </c>
      <c r="BQ49" s="29">
        <f ca="1">IF('Get Started  3'!$G112=0,0,IF(BQ4&lt;'Get Started  3'!$H112,0,OFFSET(BQ37,0,-1*'Get Started  3'!$H112)*'Get Started  3'!$H42))+IF('Get Started  3'!$G111=0,0,IF(BQ4&lt;'Get Started  3'!$H111,0,OFFSET(BQ37,0,-1*'Get Started  3'!$H111)*'Get Started  3'!$G42))+IF('Get Started  3'!$G110=0,0,IF(BQ4&lt;'Get Started  3'!$H110,0,OFFSET(BQ37,0,-1*'Get Started  3'!$H110)*'Get Started  3'!$F42))+IF('Get Started  3'!$G109=0,0,IF(BQ4&lt;'Get Started  3'!$H109,0,OFFSET(BQ37,0,-1*'Get Started  3'!$H109)*'Get Started  3'!$E42))</f>
        <v>0</v>
      </c>
      <c r="BR49" s="29">
        <f ca="1">IF('Get Started  3'!$G112=0,0,IF(BR4&lt;'Get Started  3'!$H112,0,OFFSET(BR37,0,-1*'Get Started  3'!$H112)*'Get Started  3'!$H42))+IF('Get Started  3'!$G111=0,0,IF(BR4&lt;'Get Started  3'!$H111,0,OFFSET(BR37,0,-1*'Get Started  3'!$H111)*'Get Started  3'!$G42))+IF('Get Started  3'!$G110=0,0,IF(BR4&lt;'Get Started  3'!$H110,0,OFFSET(BR37,0,-1*'Get Started  3'!$H110)*'Get Started  3'!$F42))+IF('Get Started  3'!$G109=0,0,IF(BR4&lt;'Get Started  3'!$H109,0,OFFSET(BR37,0,-1*'Get Started  3'!$H109)*'Get Started  3'!$E42))</f>
        <v>0</v>
      </c>
      <c r="BS49" s="29">
        <f ca="1">IF('Get Started  3'!$G112=0,0,IF(BS4&lt;'Get Started  3'!$H112,0,OFFSET(BS37,0,-1*'Get Started  3'!$H112)*'Get Started  3'!$H42))+IF('Get Started  3'!$G111=0,0,IF(BS4&lt;'Get Started  3'!$H111,0,OFFSET(BS37,0,-1*'Get Started  3'!$H111)*'Get Started  3'!$G42))+IF('Get Started  3'!$G110=0,0,IF(BS4&lt;'Get Started  3'!$H110,0,OFFSET(BS37,0,-1*'Get Started  3'!$H110)*'Get Started  3'!$F42))+IF('Get Started  3'!$G109=0,0,IF(BS4&lt;'Get Started  3'!$H109,0,OFFSET(BS37,0,-1*'Get Started  3'!$H109)*'Get Started  3'!$E42))</f>
        <v>0</v>
      </c>
      <c r="BT49" s="29">
        <f ca="1">IF('Get Started  3'!$G112=0,0,IF(BT4&lt;'Get Started  3'!$H112,0,OFFSET(BT37,0,-1*'Get Started  3'!$H112)*'Get Started  3'!$H42))+IF('Get Started  3'!$G111=0,0,IF(BT4&lt;'Get Started  3'!$H111,0,OFFSET(BT37,0,-1*'Get Started  3'!$H111)*'Get Started  3'!$G42))+IF('Get Started  3'!$G110=0,0,IF(BT4&lt;'Get Started  3'!$H110,0,OFFSET(BT37,0,-1*'Get Started  3'!$H110)*'Get Started  3'!$F42))+IF('Get Started  3'!$G109=0,0,IF(BT4&lt;'Get Started  3'!$H109,0,OFFSET(BT37,0,-1*'Get Started  3'!$H109)*'Get Started  3'!$E42))</f>
        <v>0</v>
      </c>
      <c r="BU49" s="29">
        <f ca="1">IF('Get Started  3'!$G112=0,0,IF(BU4&lt;'Get Started  3'!$H112,0,OFFSET(BU37,0,-1*'Get Started  3'!$H112)*'Get Started  3'!$H42))+IF('Get Started  3'!$G111=0,0,IF(BU4&lt;'Get Started  3'!$H111,0,OFFSET(BU37,0,-1*'Get Started  3'!$H111)*'Get Started  3'!$G42))+IF('Get Started  3'!$G110=0,0,IF(BU4&lt;'Get Started  3'!$H110,0,OFFSET(BU37,0,-1*'Get Started  3'!$H110)*'Get Started  3'!$F42))+IF('Get Started  3'!$G109=0,0,IF(BU4&lt;'Get Started  3'!$H109,0,OFFSET(BU37,0,-1*'Get Started  3'!$H109)*'Get Started  3'!$E42))</f>
        <v>0</v>
      </c>
      <c r="BV49" s="29">
        <f ca="1">IF('Get Started  3'!$G112=0,0,IF(BV4&lt;'Get Started  3'!$H112,0,OFFSET(BV37,0,-1*'Get Started  3'!$H112)*'Get Started  3'!$H42))+IF('Get Started  3'!$G111=0,0,IF(BV4&lt;'Get Started  3'!$H111,0,OFFSET(BV37,0,-1*'Get Started  3'!$H111)*'Get Started  3'!$G42))+IF('Get Started  3'!$G110=0,0,IF(BV4&lt;'Get Started  3'!$H110,0,OFFSET(BV37,0,-1*'Get Started  3'!$H110)*'Get Started  3'!$F42))+IF('Get Started  3'!$G109=0,0,IF(BV4&lt;'Get Started  3'!$H109,0,OFFSET(BV37,0,-1*'Get Started  3'!$H109)*'Get Started  3'!$E42))</f>
        <v>0</v>
      </c>
      <c r="BW49" s="29">
        <f ca="1">IF('Get Started  3'!$G112=0,0,IF(BW4&lt;'Get Started  3'!$H112,0,OFFSET(BW37,0,-1*'Get Started  3'!$H112)*'Get Started  3'!$H42))+IF('Get Started  3'!$G111=0,0,IF(BW4&lt;'Get Started  3'!$H111,0,OFFSET(BW37,0,-1*'Get Started  3'!$H111)*'Get Started  3'!$G42))+IF('Get Started  3'!$G110=0,0,IF(BW4&lt;'Get Started  3'!$H110,0,OFFSET(BW37,0,-1*'Get Started  3'!$H110)*'Get Started  3'!$F42))+IF('Get Started  3'!$G109=0,0,IF(BW4&lt;'Get Started  3'!$H109,0,OFFSET(BW37,0,-1*'Get Started  3'!$H109)*'Get Started  3'!$E42))</f>
        <v>0</v>
      </c>
      <c r="BX49" s="29">
        <f ca="1">IF('Get Started  3'!$G112=0,0,IF(BX4&lt;'Get Started  3'!$H112,0,OFFSET(BX37,0,-1*'Get Started  3'!$H112)*'Get Started  3'!$H42))+IF('Get Started  3'!$G111=0,0,IF(BX4&lt;'Get Started  3'!$H111,0,OFFSET(BX37,0,-1*'Get Started  3'!$H111)*'Get Started  3'!$G42))+IF('Get Started  3'!$G110=0,0,IF(BX4&lt;'Get Started  3'!$H110,0,OFFSET(BX37,0,-1*'Get Started  3'!$H110)*'Get Started  3'!$F42))+IF('Get Started  3'!$G109=0,0,IF(BX4&lt;'Get Started  3'!$H109,0,OFFSET(BX37,0,-1*'Get Started  3'!$H109)*'Get Started  3'!$E42))</f>
        <v>0</v>
      </c>
      <c r="BY49" s="29">
        <f ca="1">IF('Get Started  3'!$G112=0,0,IF(BY4&lt;'Get Started  3'!$H112,0,OFFSET(BY37,0,-1*'Get Started  3'!$H112)*'Get Started  3'!$H42))+IF('Get Started  3'!$G111=0,0,IF(BY4&lt;'Get Started  3'!$H111,0,OFFSET(BY37,0,-1*'Get Started  3'!$H111)*'Get Started  3'!$G42))+IF('Get Started  3'!$G110=0,0,IF(BY4&lt;'Get Started  3'!$H110,0,OFFSET(BY37,0,-1*'Get Started  3'!$H110)*'Get Started  3'!$F42))+IF('Get Started  3'!$G109=0,0,IF(BY4&lt;'Get Started  3'!$H109,0,OFFSET(BY37,0,-1*'Get Started  3'!$H109)*'Get Started  3'!$E42))</f>
        <v>0</v>
      </c>
      <c r="BZ49" s="29">
        <f ca="1">IF('Get Started  3'!$G112=0,0,IF(BZ4&lt;'Get Started  3'!$H112,0,OFFSET(BZ37,0,-1*'Get Started  3'!$H112)*'Get Started  3'!$H42))+IF('Get Started  3'!$G111=0,0,IF(BZ4&lt;'Get Started  3'!$H111,0,OFFSET(BZ37,0,-1*'Get Started  3'!$H111)*'Get Started  3'!$G42))+IF('Get Started  3'!$G110=0,0,IF(BZ4&lt;'Get Started  3'!$H110,0,OFFSET(BZ37,0,-1*'Get Started  3'!$H110)*'Get Started  3'!$F42))+IF('Get Started  3'!$G109=0,0,IF(BZ4&lt;'Get Started  3'!$H109,0,OFFSET(BZ37,0,-1*'Get Started  3'!$H109)*'Get Started  3'!$E42))</f>
        <v>0</v>
      </c>
      <c r="CA49" s="29">
        <f ca="1">IF('Get Started  3'!$G112=0,0,IF(CA4&lt;'Get Started  3'!$H112,0,OFFSET(CA37,0,-1*'Get Started  3'!$H112)*'Get Started  3'!$H42))+IF('Get Started  3'!$G111=0,0,IF(CA4&lt;'Get Started  3'!$H111,0,OFFSET(CA37,0,-1*'Get Started  3'!$H111)*'Get Started  3'!$G42))+IF('Get Started  3'!$G110=0,0,IF(CA4&lt;'Get Started  3'!$H110,0,OFFSET(CA37,0,-1*'Get Started  3'!$H110)*'Get Started  3'!$F42))+IF('Get Started  3'!$G109=0,0,IF(CA4&lt;'Get Started  3'!$H109,0,OFFSET(CA37,0,-1*'Get Started  3'!$H109)*'Get Started  3'!$E42))</f>
        <v>0</v>
      </c>
      <c r="CB49" s="29">
        <f ca="1">IF('Get Started  3'!$G112=0,0,IF(CB4&lt;'Get Started  3'!$H112,0,OFFSET(CB37,0,-1*'Get Started  3'!$H112)*'Get Started  3'!$H42))+IF('Get Started  3'!$G111=0,0,IF(CB4&lt;'Get Started  3'!$H111,0,OFFSET(CB37,0,-1*'Get Started  3'!$H111)*'Get Started  3'!$G42))+IF('Get Started  3'!$G110=0,0,IF(CB4&lt;'Get Started  3'!$H110,0,OFFSET(CB37,0,-1*'Get Started  3'!$H110)*'Get Started  3'!$F42))+IF('Get Started  3'!$G109=0,0,IF(CB4&lt;'Get Started  3'!$H109,0,OFFSET(CB37,0,-1*'Get Started  3'!$H109)*'Get Started  3'!$E42))</f>
        <v>0</v>
      </c>
      <c r="CC49" s="29">
        <f ca="1">IF('Get Started  3'!$G112=0,0,IF(CC4&lt;'Get Started  3'!$H112,0,OFFSET(CC37,0,-1*'Get Started  3'!$H112)*'Get Started  3'!$H42))+IF('Get Started  3'!$G111=0,0,IF(CC4&lt;'Get Started  3'!$H111,0,OFFSET(CC37,0,-1*'Get Started  3'!$H111)*'Get Started  3'!$G42))+IF('Get Started  3'!$G110=0,0,IF(CC4&lt;'Get Started  3'!$H110,0,OFFSET(CC37,0,-1*'Get Started  3'!$H110)*'Get Started  3'!$F42))+IF('Get Started  3'!$G109=0,0,IF(CC4&lt;'Get Started  3'!$H109,0,OFFSET(CC37,0,-1*'Get Started  3'!$H109)*'Get Started  3'!$E42))</f>
        <v>0</v>
      </c>
      <c r="CD49" s="29">
        <f ca="1">IF('Get Started  3'!$G112=0,0,IF(CD4&lt;'Get Started  3'!$H112,0,OFFSET(CD37,0,-1*'Get Started  3'!$H112)*'Get Started  3'!$H42))+IF('Get Started  3'!$G111=0,0,IF(CD4&lt;'Get Started  3'!$H111,0,OFFSET(CD37,0,-1*'Get Started  3'!$H111)*'Get Started  3'!$G42))+IF('Get Started  3'!$G110=0,0,IF(CD4&lt;'Get Started  3'!$H110,0,OFFSET(CD37,0,-1*'Get Started  3'!$H110)*'Get Started  3'!$F42))+IF('Get Started  3'!$G109=0,0,IF(CD4&lt;'Get Started  3'!$H109,0,OFFSET(CD37,0,-1*'Get Started  3'!$H109)*'Get Started  3'!$E42))</f>
        <v>0</v>
      </c>
      <c r="CE49" s="29">
        <f ca="1">IF('Get Started  3'!$G112=0,0,IF(CE4&lt;'Get Started  3'!$H112,0,OFFSET(CE37,0,-1*'Get Started  3'!$H112)*'Get Started  3'!$H42))+IF('Get Started  3'!$G111=0,0,IF(CE4&lt;'Get Started  3'!$H111,0,OFFSET(CE37,0,-1*'Get Started  3'!$H111)*'Get Started  3'!$G42))+IF('Get Started  3'!$G110=0,0,IF(CE4&lt;'Get Started  3'!$H110,0,OFFSET(CE37,0,-1*'Get Started  3'!$H110)*'Get Started  3'!$F42))+IF('Get Started  3'!$G109=0,0,IF(CE4&lt;'Get Started  3'!$H109,0,OFFSET(CE37,0,-1*'Get Started  3'!$H109)*'Get Started  3'!$E42))</f>
        <v>0</v>
      </c>
      <c r="CF49" s="29">
        <f ca="1">IF('Get Started  3'!$G112=0,0,IF(CF4&lt;'Get Started  3'!$H112,0,OFFSET(CF37,0,-1*'Get Started  3'!$H112)*'Get Started  3'!$H42))+IF('Get Started  3'!$G111=0,0,IF(CF4&lt;'Get Started  3'!$H111,0,OFFSET(CF37,0,-1*'Get Started  3'!$H111)*'Get Started  3'!$G42))+IF('Get Started  3'!$G110=0,0,IF(CF4&lt;'Get Started  3'!$H110,0,OFFSET(CF37,0,-1*'Get Started  3'!$H110)*'Get Started  3'!$F42))+IF('Get Started  3'!$G109=0,0,IF(CF4&lt;'Get Started  3'!$H109,0,OFFSET(CF37,0,-1*'Get Started  3'!$H109)*'Get Started  3'!$E42))</f>
        <v>0</v>
      </c>
      <c r="CG49" s="29">
        <f ca="1">IF('Get Started  3'!$G112=0,0,IF(CG4&lt;'Get Started  3'!$H112,0,OFFSET(CG37,0,-1*'Get Started  3'!$H112)*'Get Started  3'!$H42))+IF('Get Started  3'!$G111=0,0,IF(CG4&lt;'Get Started  3'!$H111,0,OFFSET(CG37,0,-1*'Get Started  3'!$H111)*'Get Started  3'!$G42))+IF('Get Started  3'!$G110=0,0,IF(CG4&lt;'Get Started  3'!$H110,0,OFFSET(CG37,0,-1*'Get Started  3'!$H110)*'Get Started  3'!$F42))+IF('Get Started  3'!$G109=0,0,IF(CG4&lt;'Get Started  3'!$H109,0,OFFSET(CG37,0,-1*'Get Started  3'!$H109)*'Get Started  3'!$E42))</f>
        <v>0</v>
      </c>
      <c r="CH49" s="29">
        <f ca="1">IF('Get Started  3'!$G112=0,0,IF(CH4&lt;'Get Started  3'!$H112,0,OFFSET(CH37,0,-1*'Get Started  3'!$H112)*'Get Started  3'!$H42))+IF('Get Started  3'!$G111=0,0,IF(CH4&lt;'Get Started  3'!$H111,0,OFFSET(CH37,0,-1*'Get Started  3'!$H111)*'Get Started  3'!$G42))+IF('Get Started  3'!$G110=0,0,IF(CH4&lt;'Get Started  3'!$H110,0,OFFSET(CH37,0,-1*'Get Started  3'!$H110)*'Get Started  3'!$F42))+IF('Get Started  3'!$G109=0,0,IF(CH4&lt;'Get Started  3'!$H109,0,OFFSET(CH37,0,-1*'Get Started  3'!$H109)*'Get Started  3'!$E42))</f>
        <v>0</v>
      </c>
    </row>
    <row r="50" spans="1:86" ht="13">
      <c r="B50" s="15" t="s">
        <v>274</v>
      </c>
      <c r="C50" s="15" t="s">
        <v>275</v>
      </c>
      <c r="D50" s="15" t="s">
        <v>238</v>
      </c>
      <c r="E50" s="29">
        <f t="shared" ca="1" si="13"/>
        <v>-4.7730281949043274E-9</v>
      </c>
      <c r="F50" s="29"/>
      <c r="G50" s="29">
        <f t="shared" ref="G50:CH50" ca="1" si="19">G38+ABS(G48)*-1+ABS(G49)*-1</f>
        <v>1203125</v>
      </c>
      <c r="H50" s="29">
        <f t="shared" ca="1" si="19"/>
        <v>1203125</v>
      </c>
      <c r="I50" s="29">
        <f t="shared" ca="1" si="19"/>
        <v>1203125</v>
      </c>
      <c r="J50" s="29">
        <f t="shared" ca="1" si="19"/>
        <v>1203125</v>
      </c>
      <c r="K50" s="29">
        <f t="shared" ca="1" si="19"/>
        <v>1203125</v>
      </c>
      <c r="L50" s="29">
        <f t="shared" ca="1" si="19"/>
        <v>1203125</v>
      </c>
      <c r="M50" s="29">
        <f t="shared" ca="1" si="19"/>
        <v>1203125</v>
      </c>
      <c r="N50" s="29">
        <f t="shared" ca="1" si="19"/>
        <v>1203125</v>
      </c>
      <c r="O50" s="29">
        <f t="shared" ca="1" si="19"/>
        <v>521354.16666666663</v>
      </c>
      <c r="P50" s="29">
        <f t="shared" ca="1" si="19"/>
        <v>521354.16666666663</v>
      </c>
      <c r="Q50" s="29">
        <f t="shared" ca="1" si="19"/>
        <v>521354.16666666663</v>
      </c>
      <c r="R50" s="29">
        <f t="shared" ca="1" si="19"/>
        <v>521354.16666666663</v>
      </c>
      <c r="S50" s="29">
        <f t="shared" ca="1" si="19"/>
        <v>521354.16666666651</v>
      </c>
      <c r="T50" s="29">
        <f t="shared" ca="1" si="19"/>
        <v>521354.16666666651</v>
      </c>
      <c r="U50" s="29">
        <f t="shared" ca="1" si="19"/>
        <v>521354.16666666651</v>
      </c>
      <c r="V50" s="29">
        <f t="shared" ca="1" si="19"/>
        <v>521354.16666666651</v>
      </c>
      <c r="W50" s="29">
        <f t="shared" ca="1" si="19"/>
        <v>-962500</v>
      </c>
      <c r="X50" s="29">
        <f t="shared" ca="1" si="19"/>
        <v>-962500</v>
      </c>
      <c r="Y50" s="29">
        <f t="shared" ca="1" si="19"/>
        <v>-962500</v>
      </c>
      <c r="Z50" s="29">
        <f t="shared" ca="1" si="19"/>
        <v>-962500</v>
      </c>
      <c r="AA50" s="29">
        <f t="shared" ca="1" si="19"/>
        <v>-1076128.4722222222</v>
      </c>
      <c r="AB50" s="29">
        <f t="shared" ca="1" si="19"/>
        <v>-1076128.4722222222</v>
      </c>
      <c r="AC50" s="29">
        <f t="shared" ca="1" si="19"/>
        <v>-1076128.4722222222</v>
      </c>
      <c r="AD50" s="29">
        <f t="shared" ca="1" si="19"/>
        <v>-1076128.4722222222</v>
      </c>
      <c r="AE50" s="29">
        <f t="shared" ca="1" si="19"/>
        <v>-554774.3055555555</v>
      </c>
      <c r="AF50" s="29">
        <f t="shared" ca="1" si="19"/>
        <v>-554774.3055555555</v>
      </c>
      <c r="AG50" s="29">
        <f t="shared" ca="1" si="19"/>
        <v>-554774.3055555555</v>
      </c>
      <c r="AH50" s="29">
        <f t="shared" ca="1" si="19"/>
        <v>-554774.3055555555</v>
      </c>
      <c r="AI50" s="29">
        <f t="shared" ca="1" si="19"/>
        <v>-334201.38888888888</v>
      </c>
      <c r="AJ50" s="29">
        <f t="shared" ca="1" si="19"/>
        <v>-334201.38888888888</v>
      </c>
      <c r="AK50" s="29">
        <f t="shared" ca="1" si="19"/>
        <v>-334201.38888888888</v>
      </c>
      <c r="AL50" s="29">
        <f t="shared" ca="1" si="19"/>
        <v>-334201.38888888888</v>
      </c>
      <c r="AM50" s="29">
        <f t="shared" ca="1" si="19"/>
        <v>-240624.99999999994</v>
      </c>
      <c r="AN50" s="29">
        <f t="shared" ca="1" si="19"/>
        <v>-240624.99999999994</v>
      </c>
      <c r="AO50" s="29">
        <f t="shared" ca="1" si="19"/>
        <v>-240624.99999999994</v>
      </c>
      <c r="AP50" s="29">
        <f t="shared" ca="1" si="19"/>
        <v>-240624.99999999994</v>
      </c>
      <c r="AQ50" s="29">
        <f t="shared" ca="1" si="19"/>
        <v>-280729.16666666657</v>
      </c>
      <c r="AR50" s="29">
        <f t="shared" ca="1" si="19"/>
        <v>-280729.16666666657</v>
      </c>
      <c r="AS50" s="29">
        <f t="shared" ca="1" si="19"/>
        <v>-280729.16666666657</v>
      </c>
      <c r="AT50" s="29">
        <f t="shared" ca="1" si="19"/>
        <v>-280729.16666666657</v>
      </c>
      <c r="AU50" s="29">
        <f t="shared" ca="1" si="19"/>
        <v>0</v>
      </c>
      <c r="AV50" s="29">
        <f t="shared" ca="1" si="19"/>
        <v>0</v>
      </c>
      <c r="AW50" s="29">
        <f t="shared" ca="1" si="19"/>
        <v>0</v>
      </c>
      <c r="AX50" s="29">
        <f t="shared" ca="1" si="19"/>
        <v>0</v>
      </c>
      <c r="AY50" s="29">
        <f t="shared" ca="1" si="19"/>
        <v>0</v>
      </c>
      <c r="AZ50" s="29">
        <f t="shared" ca="1" si="19"/>
        <v>0</v>
      </c>
      <c r="BA50" s="29">
        <f t="shared" ca="1" si="19"/>
        <v>0</v>
      </c>
      <c r="BB50" s="29">
        <f t="shared" ca="1" si="19"/>
        <v>0</v>
      </c>
      <c r="BC50" s="29">
        <f t="shared" ca="1" si="19"/>
        <v>0</v>
      </c>
      <c r="BD50" s="29">
        <f t="shared" ca="1" si="19"/>
        <v>0</v>
      </c>
      <c r="BE50" s="29">
        <f t="shared" ca="1" si="19"/>
        <v>0</v>
      </c>
      <c r="BF50" s="29">
        <f t="shared" ca="1" si="19"/>
        <v>0</v>
      </c>
      <c r="BG50" s="29">
        <f t="shared" ca="1" si="19"/>
        <v>0</v>
      </c>
      <c r="BH50" s="29">
        <f t="shared" ca="1" si="19"/>
        <v>0</v>
      </c>
      <c r="BI50" s="29">
        <f t="shared" ca="1" si="19"/>
        <v>0</v>
      </c>
      <c r="BJ50" s="29">
        <f t="shared" ca="1" si="19"/>
        <v>0</v>
      </c>
      <c r="BK50" s="29">
        <f t="shared" ca="1" si="19"/>
        <v>0</v>
      </c>
      <c r="BL50" s="29">
        <f t="shared" ca="1" si="19"/>
        <v>0</v>
      </c>
      <c r="BM50" s="29">
        <f t="shared" ca="1" si="19"/>
        <v>0</v>
      </c>
      <c r="BN50" s="29">
        <f t="shared" ca="1" si="19"/>
        <v>0</v>
      </c>
      <c r="BO50" s="29">
        <f t="shared" ca="1" si="19"/>
        <v>0</v>
      </c>
      <c r="BP50" s="29">
        <f t="shared" ca="1" si="19"/>
        <v>0</v>
      </c>
      <c r="BQ50" s="29">
        <f t="shared" ca="1" si="19"/>
        <v>0</v>
      </c>
      <c r="BR50" s="29">
        <f t="shared" ca="1" si="19"/>
        <v>0</v>
      </c>
      <c r="BS50" s="29">
        <f t="shared" ca="1" si="19"/>
        <v>0</v>
      </c>
      <c r="BT50" s="29">
        <f t="shared" ca="1" si="19"/>
        <v>0</v>
      </c>
      <c r="BU50" s="29">
        <f t="shared" ca="1" si="19"/>
        <v>0</v>
      </c>
      <c r="BV50" s="29">
        <f t="shared" ca="1" si="19"/>
        <v>0</v>
      </c>
      <c r="BW50" s="29">
        <f t="shared" ca="1" si="19"/>
        <v>0</v>
      </c>
      <c r="BX50" s="29">
        <f t="shared" ca="1" si="19"/>
        <v>0</v>
      </c>
      <c r="BY50" s="29">
        <f t="shared" ca="1" si="19"/>
        <v>0</v>
      </c>
      <c r="BZ50" s="29">
        <f t="shared" ca="1" si="19"/>
        <v>0</v>
      </c>
      <c r="CA50" s="29">
        <f t="shared" ca="1" si="19"/>
        <v>0</v>
      </c>
      <c r="CB50" s="29">
        <f t="shared" ca="1" si="19"/>
        <v>0</v>
      </c>
      <c r="CC50" s="29">
        <f t="shared" ca="1" si="19"/>
        <v>0</v>
      </c>
      <c r="CD50" s="29">
        <f t="shared" ca="1" si="19"/>
        <v>0</v>
      </c>
      <c r="CE50" s="29">
        <f t="shared" ca="1" si="19"/>
        <v>0</v>
      </c>
      <c r="CF50" s="29">
        <f t="shared" ca="1" si="19"/>
        <v>0</v>
      </c>
      <c r="CG50" s="29">
        <f t="shared" ca="1" si="19"/>
        <v>0</v>
      </c>
      <c r="CH50" s="29">
        <f t="shared" ca="1" si="19"/>
        <v>0</v>
      </c>
    </row>
    <row r="51" spans="1:86" ht="13">
      <c r="B51" s="15" t="s">
        <v>276</v>
      </c>
      <c r="C51" s="15" t="s">
        <v>277</v>
      </c>
      <c r="D51" s="15" t="s">
        <v>238</v>
      </c>
      <c r="E51" s="29">
        <f t="shared" ca="1" si="13"/>
        <v>0</v>
      </c>
      <c r="F51" s="29"/>
      <c r="G51" s="29">
        <f ca="1">IF(G76=$E76,SUM(F51:$G51)*-1,IF(G77=0,0,IF(G4&lt;&gt;1,(F79+G50/2)*((1+'Get Started  3'!$E129)^(1/4)-1)-G49*(1+((1+'Get Started  3'!$E129)^(1/4)-1))^('Get Started  3'!$H113-1),0)))</f>
        <v>0</v>
      </c>
      <c r="H51" s="29">
        <f ca="1">IF(H76=$E76,SUM(G51:$G51)*-1,IF(H77=0,0,IF(H4&lt;&gt;1,(G79+H50/2)*((1+'Get Started  3'!$E129)^(1/4)-1)-H49*(1+((1+'Get Started  3'!$E129)^(1/4)-1))^('Get Started  3'!$H113-1),0)))</f>
        <v>0</v>
      </c>
      <c r="I51" s="29">
        <f ca="1">IF(I76=$E76,SUM($G51:H51)*-1,IF(I77=0,0,IF(I4&lt;&gt;1,(H79+I50/2)*((1+'Get Started  3'!$E129)^(1/4)-1)-I49*(1+((1+'Get Started  3'!$E129)^(1/4)-1))^('Get Started  3'!$H113-1),0)))</f>
        <v>0</v>
      </c>
      <c r="J51" s="29">
        <f ca="1">IF(J76=$E76,SUM($G51:I51)*-1,IF(J77=0,0,IF(J4&lt;&gt;1,(I79+J50/2)*((1+'Get Started  3'!$E129)^(1/4)-1)-J49*(1+((1+'Get Started  3'!$E129)^(1/4)-1))^('Get Started  3'!$H113-1),0)))</f>
        <v>0</v>
      </c>
      <c r="K51" s="29">
        <f ca="1">IF(K76=$E76,SUM($G51:J51)*-1,IF(K77=0,0,IF(K4&lt;&gt;1,(J79+K50/2)*((1+'Get Started  3'!$E129)^(1/4)-1)-K49*(1+((1+'Get Started  3'!$E129)^(1/4)-1))^('Get Started  3'!$H113-1),0)))</f>
        <v>0</v>
      </c>
      <c r="L51" s="29">
        <f ca="1">IF(L76=$E76,SUM($G51:K51)*-1,IF(L77=0,0,IF(L4&lt;&gt;1,(K79+L50/2)*((1+'Get Started  3'!$E129)^(1/4)-1)-L49*(1+((1+'Get Started  3'!$E129)^(1/4)-1))^('Get Started  3'!$H113-1),0)))</f>
        <v>0</v>
      </c>
      <c r="M51" s="29">
        <f ca="1">IF(M76=$E76,SUM($G51:L51)*-1,IF(M77=0,0,IF(M4&lt;&gt;1,(L79+M50/2)*((1+'Get Started  3'!$E129)^(1/4)-1)-M49*(1+((1+'Get Started  3'!$E129)^(1/4)-1))^('Get Started  3'!$H113-1),0)))</f>
        <v>0</v>
      </c>
      <c r="N51" s="29">
        <f ca="1">IF(N76=$E76,SUM($G51:M51)*-1,IF(N77=0,0,IF(N4&lt;&gt;1,(M79+N50/2)*((1+'Get Started  3'!$E129)^(1/4)-1)-N49*(1+((1+'Get Started  3'!$E129)^(1/4)-1))^('Get Started  3'!$H113-1),0)))</f>
        <v>0</v>
      </c>
      <c r="O51" s="29">
        <f ca="1">IF(O76=$E76,SUM($G51:N51)*-1,IF(O77=0,0,IF(O4&lt;&gt;1,(N79+O50/2)*((1+'Get Started  3'!$E129)^(1/4)-1)-O49*(1+((1+'Get Started  3'!$E129)^(1/4)-1))^('Get Started  3'!$H113-1),0)))</f>
        <v>1209153.7583316728</v>
      </c>
      <c r="P51" s="29">
        <f ca="1">IF(P76=$E76,SUM($G51:O51)*-1,IF(P77=0,0,IF(P4&lt;&gt;1,(O79+P50/2)*((1+'Get Started  3'!$E129)^(1/4)-1)-P49*(1+((1+'Get Started  3'!$E129)^(1/4)-1))^('Get Started  3'!$H113-1),0)))</f>
        <v>1272922.5163775622</v>
      </c>
      <c r="Q51" s="29">
        <f ca="1">IF(Q76=$E76,SUM($G51:P51)*-1,IF(Q77=0,0,IF(Q4&lt;&gt;1,(P79+Q50/2)*((1+'Get Started  3'!$E129)^(1/4)-1)-Q49*(1+((1+'Get Started  3'!$E129)^(1/4)-1))^('Get Started  3'!$H113-1),0)))</f>
        <v>1336691.2744234516</v>
      </c>
      <c r="R51" s="29">
        <f ca="1">IF(R76=$E76,SUM($G51:Q51)*-1,IF(R77=0,0,IF(R4&lt;&gt;1,(Q79+R50/2)*((1+'Get Started  3'!$E129)^(1/4)-1)-R49*(1+((1+'Get Started  3'!$E129)^(1/4)-1))^('Get Started  3'!$H113-1),0)))</f>
        <v>1400460.0324693411</v>
      </c>
      <c r="S51" s="29">
        <f ca="1">IF(S76=$E76,SUM($G51:R51)*-1,IF(S77=0,0,IF(S4&lt;&gt;1,(R79+S50/2)*((1+'Get Started  3'!$E129)^(1/4)-1)-S49*(1+((1+'Get Started  3'!$E129)^(1/4)-1))^('Get Started  3'!$H113-1),0)))</f>
        <v>716985.33155250456</v>
      </c>
      <c r="T51" s="29">
        <f ca="1">IF(T76=$E76,SUM($G51:S51)*-1,IF(T77=0,0,IF(T4&lt;&gt;1,(S79+T50/2)*((1+'Get Started  3'!$E129)^(1/4)-1)-T49*(1+((1+'Get Started  3'!$E129)^(1/4)-1))^('Get Started  3'!$H113-1),0)))</f>
        <v>780754.089598394</v>
      </c>
      <c r="U51" s="29">
        <f ca="1">IF(U76=$E76,SUM($G51:T51)*-1,IF(U77=0,0,IF(U4&lt;&gt;1,(T79+U50/2)*((1+'Get Started  3'!$E129)^(1/4)-1)-U49*(1+((1+'Get Started  3'!$E129)^(1/4)-1))^('Get Started  3'!$H113-1),0)))</f>
        <v>844522.84764428344</v>
      </c>
      <c r="V51" s="29">
        <f ca="1">IF(V76=$E76,SUM($G51:U51)*-1,IF(V77=0,0,IF(V4&lt;&gt;1,(U79+V50/2)*((1+'Get Started  3'!$E129)^(1/4)-1)-V49*(1+((1+'Get Started  3'!$E129)^(1/4)-1))^('Get Started  3'!$H113-1),0)))</f>
        <v>908291.60569017264</v>
      </c>
      <c r="W51" s="29">
        <f ca="1">IF(W76=$E76,SUM($G51:V51)*-1,IF(W77=0,0,IF(W4&lt;&gt;1,(V79+W50/2)*((1+'Get Started  3'!$E129)^(1/4)-1)-W49*(1+((1+'Get Started  3'!$E129)^(1/4)-1))^('Get Started  3'!$H113-1),0)))</f>
        <v>582415.13216259051</v>
      </c>
      <c r="X51" s="29">
        <f ca="1">IF(X76=$E76,SUM($G51:W51)*-1,IF(X77=0,0,IF(X4&lt;&gt;1,(W79+X50/2)*((1+'Get Started  3'!$E129)^(1/4)-1)-X49*(1+((1+'Get Started  3'!$E129)^(1/4)-1))^('Get Started  3'!$H113-1),0)))</f>
        <v>464688.19423171785</v>
      </c>
      <c r="Y51" s="29">
        <f ca="1">IF(Y76=$E76,SUM($G51:X51)*-1,IF(Y77=0,0,IF(Y4&lt;&gt;1,(X79+Y50/2)*((1+'Get Started  3'!$E129)^(1/4)-1)-Y49*(1+((1+'Get Started  3'!$E129)^(1/4)-1))^('Get Started  3'!$H113-1),0)))</f>
        <v>346961.25630084495</v>
      </c>
      <c r="Z51" s="29">
        <f ca="1">IF(Z76=$E76,SUM($G51:Y51)*-1,IF(Z77=0,0,IF(Z4&lt;&gt;1,(Y79+Z50/2)*((1+'Get Started  3'!$E129)^(1/4)-1)-Z49*(1+((1+'Get Started  3'!$E129)^(1/4)-1))^('Get Started  3'!$H113-1),0)))</f>
        <v>229234.31836997205</v>
      </c>
      <c r="AA51" s="29">
        <f ca="1">IF(AA76=$E76,SUM($G51:Z51)*-1,IF(AA77=0,0,IF(AA4&lt;&gt;1,(Z79+AA50/2)*((1+'Get Started  3'!$E129)^(1/4)-1)-AA49*(1+((1+'Get Started  3'!$E129)^(1/4)-1))^('Get Started  3'!$H113-1),0)))</f>
        <v>104558.22090845741</v>
      </c>
      <c r="AB51" s="29">
        <f ca="1">IF(AB76=$E76,SUM($G51:AA51)*-1,IF(AB77=0,0,IF(AB4&lt;&gt;1,(AA79+AB50/2)*((1+'Get Started  3'!$E129)^(1/4)-1)-AB49*(1+((1+'Get Started  3'!$E129)^(1/4)-1))^('Get Started  3'!$H113-1),0)))</f>
        <v>-27067.036083698855</v>
      </c>
      <c r="AC51" s="29">
        <f ca="1">IF(AC76=$E76,SUM($G51:AB51)*-1,IF(AC77=0,0,IF(AC4&lt;&gt;1,(AB79+AC50/2)*((1+'Get Started  3'!$E129)^(1/4)-1)-AC49*(1+((1+'Get Started  3'!$E129)^(1/4)-1))^('Get Started  3'!$H113-1),0)))</f>
        <v>-158692.29307585524</v>
      </c>
      <c r="AD51" s="29">
        <f ca="1">IF(AD76=$E76,SUM($G51:AC51)*-1,IF(AD77=0,0,IF(AD4&lt;&gt;1,(AC79+AD50/2)*((1+'Get Started  3'!$E129)^(1/4)-1)-AD49*(1+((1+'Get Started  3'!$E129)^(1/4)-1))^('Get Started  3'!$H113-1),0)))</f>
        <v>-290317.55006801162</v>
      </c>
      <c r="AE51" s="29">
        <f ca="1">IF(AE76=$E76,SUM($G51:AD51)*-1,IF(AE77=0,0,IF(AE4&lt;&gt;1,(AD79+AE50/2)*((1+'Get Started  3'!$E129)^(1/4)-1)-AE49*(1+((1+'Get Started  3'!$E129)^(1/4)-1))^('Get Started  3'!$H113-1),0)))</f>
        <v>-1411291.1552862814</v>
      </c>
      <c r="AF51" s="29">
        <f ca="1">IF(AF76=$E76,SUM($G51:AE51)*-1,IF(AF77=0,0,IF(AF4&lt;&gt;1,(AE79+AF50/2)*((1+'Get Started  3'!$E129)^(1/4)-1)-AF49*(1+((1+'Get Started  3'!$E129)^(1/4)-1))^('Get Started  3'!$H113-1),0)))</f>
        <v>-1479147.6542325485</v>
      </c>
      <c r="AG51" s="29">
        <f ca="1">IF(AG76=$E76,SUM($G51:AF51)*-1,IF(AG77=0,0,IF(AG4&lt;&gt;1,(AF79+AG50/2)*((1+'Get Started  3'!$E129)^(1/4)-1)-AG49*(1+((1+'Get Started  3'!$E129)^(1/4)-1))^('Get Started  3'!$H113-1),0)))</f>
        <v>-1547004.1531788155</v>
      </c>
      <c r="AH51" s="29">
        <f ca="1">IF(AH76=$E76,SUM($G51:AG51)*-1,IF(AH77=0,0,IF(AH4&lt;&gt;1,(AG79+AH50/2)*((1+'Get Started  3'!$E129)^(1/4)-1)-AH49*(1+((1+'Get Started  3'!$E129)^(1/4)-1))^('Get Started  3'!$H113-1),0)))</f>
        <v>-1614860.6521250824</v>
      </c>
      <c r="AI51" s="29">
        <f ca="1">IF(AI76=$E76,SUM($G51:AH51)*-1,IF(AI77=0,0,IF(AI4&lt;&gt;1,(AH79+AI50/2)*((1+'Get Started  3'!$E129)^(1/4)-1)-AI49*(1+((1+'Get Started  3'!$E129)^(1/4)-1))^('Get Started  3'!$H113-1),0)))</f>
        <v>-847259.80124110542</v>
      </c>
      <c r="AJ51" s="29">
        <f ca="1">IF(AJ76=$E76,SUM($G51:AI51)*-1,IF(AJ77=0,0,IF(AJ4&lt;&gt;1,(AI79+AJ50/2)*((1+'Get Started  3'!$E129)^(1/4)-1)-AJ49*(1+((1+'Get Started  3'!$E129)^(1/4)-1))^('Get Started  3'!$H113-1),0)))</f>
        <v>-888137.21024488076</v>
      </c>
      <c r="AK51" s="29">
        <f ca="1">IF(AK76=$E76,SUM($G51:AJ51)*-1,IF(AK77=0,0,IF(AK4&lt;&gt;1,(AJ79+AK50/2)*((1+'Get Started  3'!$E129)^(1/4)-1)-AK49*(1+((1+'Get Started  3'!$E129)^(1/4)-1))^('Get Started  3'!$H113-1),0)))</f>
        <v>-929014.61924865597</v>
      </c>
      <c r="AL51" s="29">
        <f ca="1">IF(AL76=$E76,SUM($G51:AK51)*-1,IF(AL77=0,0,IF(AL4&lt;&gt;1,(AK79+AL50/2)*((1+'Get Started  3'!$E129)^(1/4)-1)-AL49*(1+((1+'Get Started  3'!$E129)^(1/4)-1))^('Get Started  3'!$H113-1),0)))</f>
        <v>-969892.02825243119</v>
      </c>
      <c r="AM51" s="29">
        <f ca="1">IF(AM76=$E76,SUM($G51:AL51)*-1,IF(AM77=0,0,IF(AM4&lt;&gt;1,(AL79+AM50/2)*((1+'Get Started  3'!$E129)^(1/4)-1)-AM49*(1+((1+'Get Started  3'!$E129)^(1/4)-1))^('Get Started  3'!$H113-1),0)))</f>
        <v>-656332.98581307265</v>
      </c>
      <c r="AN51" s="29">
        <f ca="1">IF(AN76=$E76,SUM($G51:AM51)*-1,IF(AN77=0,0,IF(AN4&lt;&gt;1,(AM79+AN50/2)*((1+'Get Started  3'!$E129)^(1/4)-1)-AN49*(1+((1+'Get Started  3'!$E129)^(1/4)-1))^('Get Started  3'!$H113-1),0)))</f>
        <v>-685764.72029579082</v>
      </c>
      <c r="AO51" s="29">
        <f ca="1">IF(AO76=$E76,SUM($G51:AN51)*-1,IF(AO77=0,0,IF(AO4&lt;&gt;1,(AN79+AO50/2)*((1+'Get Started  3'!$E129)^(1/4)-1)-AO49*(1+((1+'Get Started  3'!$E129)^(1/4)-1))^('Get Started  3'!$H113-1),0)))</f>
        <v>-715196.45477850898</v>
      </c>
      <c r="AP51" s="29">
        <f ca="1">IF(AP76=$E76,SUM($G51:AO51)*-1,IF(AP77=0,0,IF(AP4&lt;&gt;1,(AO79+AP50/2)*((1+'Get Started  3'!$E129)^(1/4)-1)-AP49*(1+((1+'Get Started  3'!$E129)^(1/4)-1))^('Get Started  3'!$H113-1),0)))</f>
        <v>-744628.18926122715</v>
      </c>
      <c r="AQ51" s="29">
        <f ca="1">IF(AQ76=$E76,SUM($G51:AP51)*-1,IF(AQ77=0,0,IF(AQ4&lt;&gt;1,(AP79+AQ50/2)*((1+'Get Started  3'!$E129)^(1/4)-1)-AQ49*(1+((1+'Get Started  3'!$E129)^(1/4)-1))^('Get Started  3'!$H113-1),0)))</f>
        <v>-925961.26007671701</v>
      </c>
      <c r="AR51" s="29">
        <f ca="1">IF(AR76=$E76,SUM($G51:AQ51)*-1,IF(AR77=0,0,IF(AR4&lt;&gt;1,(AQ79+AR50/2)*((1+'Get Started  3'!$E129)^(1/4)-1)-AR49*(1+((1+'Get Started  3'!$E129)^(1/4)-1))^('Get Started  3'!$H113-1),0)))</f>
        <v>-960298.28363988816</v>
      </c>
      <c r="AS51" s="29">
        <f ca="1">IF(AS76=$E76,SUM($G51:AR51)*-1,IF(AS77=0,0,IF(AS4&lt;&gt;1,(AR79+AS50/2)*((1+'Get Started  3'!$E129)^(1/4)-1)-AS49*(1+((1+'Get Started  3'!$E129)^(1/4)-1))^('Get Started  3'!$H113-1),0)))</f>
        <v>-994635.30720305943</v>
      </c>
      <c r="AT51" s="29">
        <f ca="1">IF(AT76=$E76,SUM($G51:AS51)*-1,IF(AT77=0,0,IF(AT4&lt;&gt;1,(AS79+AT50/2)*((1+'Get Started  3'!$E129)^(1/4)-1)-AT49*(1+((1+'Get Started  3'!$E129)^(1/4)-1))^('Get Started  3'!$H113-1),0)))</f>
        <v>5647862.7760446649</v>
      </c>
      <c r="AU51" s="29">
        <f ca="1">IF(AU76=$E76,SUM($G51:AT51)*-1,IF(AU77=0,0,IF(AU4&lt;&gt;1,(AT79+AU50/2)*((1+'Get Started  3'!$E129)^(1/4)-1)-AU49*(1+((1+'Get Started  3'!$E129)^(1/4)-1))^('Get Started  3'!$H113-1),0)))</f>
        <v>0</v>
      </c>
      <c r="AV51" s="29">
        <f ca="1">IF(AV76=$E76,SUM($G51:AU51)*-1,IF(AV77=0,0,IF(AV4&lt;&gt;1,(AU79+AV50/2)*((1+'Get Started  3'!$E129)^(1/4)-1)-AV49*(1+((1+'Get Started  3'!$E129)^(1/4)-1))^('Get Started  3'!$H113-1),0)))</f>
        <v>0</v>
      </c>
      <c r="AW51" s="29">
        <f ca="1">IF(AW76=$E76,SUM($G51:AV51)*-1,IF(AW77=0,0,IF(AW4&lt;&gt;1,(AV79+AW50/2)*((1+'Get Started  3'!$E129)^(1/4)-1)-AW49*(1+((1+'Get Started  3'!$E129)^(1/4)-1))^('Get Started  3'!$H113-1),0)))</f>
        <v>0</v>
      </c>
      <c r="AX51" s="29">
        <f ca="1">IF(AX76=$E76,SUM($G51:AW51)*-1,IF(AX77=0,0,IF(AX4&lt;&gt;1,(AW79+AX50/2)*((1+'Get Started  3'!$E129)^(1/4)-1)-AX49*(1+((1+'Get Started  3'!$E129)^(1/4)-1))^('Get Started  3'!$H113-1),0)))</f>
        <v>0</v>
      </c>
      <c r="AY51" s="29">
        <f ca="1">IF(AY76=$E76,SUM($G51:AX51)*-1,IF(AY77=0,0,IF(AY4&lt;&gt;1,(AX79+AY50/2)*((1+'Get Started  3'!$E129)^(1/4)-1)-AY49*(1+((1+'Get Started  3'!$E129)^(1/4)-1))^('Get Started  3'!$H113-1),0)))</f>
        <v>0</v>
      </c>
      <c r="AZ51" s="29">
        <f ca="1">IF(AZ76=$E76,SUM($G51:AY51)*-1,IF(AZ77=0,0,IF(AZ4&lt;&gt;1,(AY79+AZ50/2)*((1+'Get Started  3'!$E129)^(1/4)-1)-AZ49*(1+((1+'Get Started  3'!$E129)^(1/4)-1))^('Get Started  3'!$H113-1),0)))</f>
        <v>0</v>
      </c>
      <c r="BA51" s="29">
        <f ca="1">IF(BA76=$E76,SUM($G51:AZ51)*-1,IF(BA77=0,0,IF(BA4&lt;&gt;1,(AZ79+BA50/2)*((1+'Get Started  3'!$E129)^(1/4)-1)-BA49*(1+((1+'Get Started  3'!$E129)^(1/4)-1))^('Get Started  3'!$H113-1),0)))</f>
        <v>0</v>
      </c>
      <c r="BB51" s="29">
        <f ca="1">IF(BB76=$E76,SUM($G51:BA51)*-1,IF(BB77=0,0,IF(BB4&lt;&gt;1,(BA79+BB50/2)*((1+'Get Started  3'!$E129)^(1/4)-1)-BB49*(1+((1+'Get Started  3'!$E129)^(1/4)-1))^('Get Started  3'!$H113-1),0)))</f>
        <v>0</v>
      </c>
      <c r="BC51" s="29">
        <f ca="1">IF(BC76=$E76,SUM($G51:BB51)*-1,IF(BC77=0,0,IF(BC4&lt;&gt;1,(BB79+BC50/2)*((1+'Get Started  3'!$E129)^(1/4)-1)-BC49*(1+((1+'Get Started  3'!$E129)^(1/4)-1))^('Get Started  3'!$H113-1),0)))</f>
        <v>0</v>
      </c>
      <c r="BD51" s="29">
        <f ca="1">IF(BD76=$E76,SUM($G51:BC51)*-1,IF(BD77=0,0,IF(BD4&lt;&gt;1,(BC79+BD50/2)*((1+'Get Started  3'!$E129)^(1/4)-1)-BD49*(1+((1+'Get Started  3'!$E129)^(1/4)-1))^('Get Started  3'!$H113-1),0)))</f>
        <v>0</v>
      </c>
      <c r="BE51" s="29">
        <f ca="1">IF(BE76=$E76,SUM($G51:BD51)*-1,IF(BE77=0,0,IF(BE4&lt;&gt;1,(BD79+BE50/2)*((1+'Get Started  3'!$E129)^(1/4)-1)-BE49*(1+((1+'Get Started  3'!$E129)^(1/4)-1))^('Get Started  3'!$H113-1),0)))</f>
        <v>0</v>
      </c>
      <c r="BF51" s="29">
        <f ca="1">IF(BF76=$E76,SUM($G51:BE51)*-1,IF(BF77=0,0,IF(BF4&lt;&gt;1,(BE79+BF50/2)*((1+'Get Started  3'!$E129)^(1/4)-1)-BF49*(1+((1+'Get Started  3'!$E129)^(1/4)-1))^('Get Started  3'!$H113-1),0)))</f>
        <v>0</v>
      </c>
      <c r="BG51" s="29">
        <f ca="1">IF(BG76=$E76,SUM($G51:BF51)*-1,IF(BG77=0,0,IF(BG4&lt;&gt;1,(BF79+BG50/2)*((1+'Get Started  3'!$E129)^(1/4)-1)-BG49*(1+((1+'Get Started  3'!$E129)^(1/4)-1))^('Get Started  3'!$H113-1),0)))</f>
        <v>0</v>
      </c>
      <c r="BH51" s="29">
        <f ca="1">IF(BH76=$E76,SUM($G51:BG51)*-1,IF(BH77=0,0,IF(BH4&lt;&gt;1,(BG79+BH50/2)*((1+'Get Started  3'!$E129)^(1/4)-1)-BH49*(1+((1+'Get Started  3'!$E129)^(1/4)-1))^('Get Started  3'!$H113-1),0)))</f>
        <v>0</v>
      </c>
      <c r="BI51" s="29">
        <f ca="1">IF(BI76=$E76,SUM($G51:BH51)*-1,IF(BI77=0,0,IF(BI4&lt;&gt;1,(BH79+BI50/2)*((1+'Get Started  3'!$E129)^(1/4)-1)-BI49*(1+((1+'Get Started  3'!$E129)^(1/4)-1))^('Get Started  3'!$H113-1),0)))</f>
        <v>0</v>
      </c>
      <c r="BJ51" s="29">
        <f ca="1">IF(BJ76=$E76,SUM($G51:BI51)*-1,IF(BJ77=0,0,IF(BJ4&lt;&gt;1,(BI79+BJ50/2)*((1+'Get Started  3'!$E129)^(1/4)-1)-BJ49*(1+((1+'Get Started  3'!$E129)^(1/4)-1))^('Get Started  3'!$H113-1),0)))</f>
        <v>0</v>
      </c>
      <c r="BK51" s="29">
        <f ca="1">IF(BK76=$E76,SUM($G51:BJ51)*-1,IF(BK77=0,0,IF(BK4&lt;&gt;1,(BJ79+BK50/2)*((1+'Get Started  3'!$E129)^(1/4)-1)-BK49*(1+((1+'Get Started  3'!$E129)^(1/4)-1))^('Get Started  3'!$H113-1),0)))</f>
        <v>0</v>
      </c>
      <c r="BL51" s="29">
        <f ca="1">IF(BL76=$E76,SUM($G51:BK51)*-1,IF(BL77=0,0,IF(BL4&lt;&gt;1,(BK79+BL50/2)*((1+'Get Started  3'!$E129)^(1/4)-1)-BL49*(1+((1+'Get Started  3'!$E129)^(1/4)-1))^('Get Started  3'!$H113-1),0)))</f>
        <v>0</v>
      </c>
      <c r="BM51" s="29">
        <f ca="1">IF(BM76=$E76,SUM($G51:BL51)*-1,IF(BM77=0,0,IF(BM4&lt;&gt;1,(BL79+BM50/2)*((1+'Get Started  3'!$E129)^(1/4)-1)-BM49*(1+((1+'Get Started  3'!$E129)^(1/4)-1))^('Get Started  3'!$H113-1),0)))</f>
        <v>0</v>
      </c>
      <c r="BN51" s="29">
        <f ca="1">IF(BN76=$E76,SUM($G51:BM51)*-1,IF(BN77=0,0,IF(BN4&lt;&gt;1,(BM79+BN50/2)*((1+'Get Started  3'!$E129)^(1/4)-1)-BN49*(1+((1+'Get Started  3'!$E129)^(1/4)-1))^('Get Started  3'!$H113-1),0)))</f>
        <v>0</v>
      </c>
      <c r="BO51" s="29">
        <f ca="1">IF(BO76=$E76,SUM($G51:BN51)*-1,IF(BO77=0,0,IF(BO4&lt;&gt;1,(BN79+BO50/2)*((1+'Get Started  3'!$E129)^(1/4)-1)-BO49*(1+((1+'Get Started  3'!$E129)^(1/4)-1))^('Get Started  3'!$H113-1),0)))</f>
        <v>0</v>
      </c>
      <c r="BP51" s="29">
        <f ca="1">IF(BP76=$E76,SUM($G51:BO51)*-1,IF(BP77=0,0,IF(BP4&lt;&gt;1,(BO79+BP50/2)*((1+'Get Started  3'!$E129)^(1/4)-1)-BP49*(1+((1+'Get Started  3'!$E129)^(1/4)-1))^('Get Started  3'!$H113-1),0)))</f>
        <v>0</v>
      </c>
      <c r="BQ51" s="29">
        <f ca="1">IF(BQ76=$E76,SUM($G51:BP51)*-1,IF(BQ77=0,0,IF(BQ4&lt;&gt;1,(BP79+BQ50/2)*((1+'Get Started  3'!$E129)^(1/4)-1)-BQ49*(1+((1+'Get Started  3'!$E129)^(1/4)-1))^('Get Started  3'!$H113-1),0)))</f>
        <v>0</v>
      </c>
      <c r="BR51" s="29">
        <f ca="1">IF(BR76=$E76,SUM($G51:BQ51)*-1,IF(BR77=0,0,IF(BR4&lt;&gt;1,(BQ79+BR50/2)*((1+'Get Started  3'!$E129)^(1/4)-1)-BR49*(1+((1+'Get Started  3'!$E129)^(1/4)-1))^('Get Started  3'!$H113-1),0)))</f>
        <v>0</v>
      </c>
      <c r="BS51" s="29">
        <f ca="1">IF(BS76=$E76,SUM($G51:BR51)*-1,IF(BS77=0,0,IF(BS4&lt;&gt;1,(BR79+BS50/2)*((1+'Get Started  3'!$E129)^(1/4)-1)-BS49*(1+((1+'Get Started  3'!$E129)^(1/4)-1))^('Get Started  3'!$H113-1),0)))</f>
        <v>0</v>
      </c>
      <c r="BT51" s="29">
        <f ca="1">IF(BT76=$E76,SUM($G51:BS51)*-1,IF(BT77=0,0,IF(BT4&lt;&gt;1,(BS79+BT50/2)*((1+'Get Started  3'!$E129)^(1/4)-1)-BT49*(1+((1+'Get Started  3'!$E129)^(1/4)-1))^('Get Started  3'!$H113-1),0)))</f>
        <v>0</v>
      </c>
      <c r="BU51" s="29">
        <f ca="1">IF(BU76=$E76,SUM($G51:BT51)*-1,IF(BU77=0,0,IF(BU4&lt;&gt;1,(BT79+BU50/2)*((1+'Get Started  3'!$E129)^(1/4)-1)-BU49*(1+((1+'Get Started  3'!$E129)^(1/4)-1))^('Get Started  3'!$H113-1),0)))</f>
        <v>0</v>
      </c>
      <c r="BV51" s="29">
        <f ca="1">IF(BV76=$E76,SUM($G51:BU51)*-1,IF(BV77=0,0,IF(BV4&lt;&gt;1,(BU79+BV50/2)*((1+'Get Started  3'!$E129)^(1/4)-1)-BV49*(1+((1+'Get Started  3'!$E129)^(1/4)-1))^('Get Started  3'!$H113-1),0)))</f>
        <v>0</v>
      </c>
      <c r="BW51" s="29">
        <f ca="1">IF(BW76=$E76,SUM($G51:BV51)*-1,IF(BW77=0,0,IF(BW4&lt;&gt;1,(BV79+BW50/2)*((1+'Get Started  3'!$E129)^(1/4)-1)-BW49*(1+((1+'Get Started  3'!$E129)^(1/4)-1))^('Get Started  3'!$H113-1),0)))</f>
        <v>0</v>
      </c>
      <c r="BX51" s="29">
        <f ca="1">IF(BX76=$E76,SUM($G51:BW51)*-1,IF(BX77=0,0,IF(BX4&lt;&gt;1,(BW79+BX50/2)*((1+'Get Started  3'!$E129)^(1/4)-1)-BX49*(1+((1+'Get Started  3'!$E129)^(1/4)-1))^('Get Started  3'!$H113-1),0)))</f>
        <v>0</v>
      </c>
      <c r="BY51" s="29">
        <f ca="1">IF(BY76=$E76,SUM($G51:BX51)*-1,IF(BY77=0,0,IF(BY4&lt;&gt;1,(BX79+BY50/2)*((1+'Get Started  3'!$E129)^(1/4)-1)-BY49*(1+((1+'Get Started  3'!$E129)^(1/4)-1))^('Get Started  3'!$H113-1),0)))</f>
        <v>0</v>
      </c>
      <c r="BZ51" s="29">
        <f ca="1">IF(BZ76=$E76,SUM($G51:BY51)*-1,IF(BZ77=0,0,IF(BZ4&lt;&gt;1,(BY79+BZ50/2)*((1+'Get Started  3'!$E129)^(1/4)-1)-BZ49*(1+((1+'Get Started  3'!$E129)^(1/4)-1))^('Get Started  3'!$H113-1),0)))</f>
        <v>0</v>
      </c>
      <c r="CA51" s="29">
        <f ca="1">IF(CA76=$E76,SUM($G51:BZ51)*-1,IF(CA77=0,0,IF(CA4&lt;&gt;1,(BZ79+CA50/2)*((1+'Get Started  3'!$E129)^(1/4)-1)-CA49*(1+((1+'Get Started  3'!$E129)^(1/4)-1))^('Get Started  3'!$H113-1),0)))</f>
        <v>0</v>
      </c>
      <c r="CB51" s="29">
        <f ca="1">IF(CB76=$E76,SUM($G51:CA51)*-1,IF(CB77=0,0,IF(CB4&lt;&gt;1,(CA79+CB50/2)*((1+'Get Started  3'!$E129)^(1/4)-1)-CB49*(1+((1+'Get Started  3'!$E129)^(1/4)-1))^('Get Started  3'!$H113-1),0)))</f>
        <v>0</v>
      </c>
      <c r="CC51" s="29">
        <f ca="1">IF(CC76=$E76,SUM($G51:CB51)*-1,IF(CC77=0,0,IF(CC4&lt;&gt;1,(CB79+CC50/2)*((1+'Get Started  3'!$E129)^(1/4)-1)-CC49*(1+((1+'Get Started  3'!$E129)^(1/4)-1))^('Get Started  3'!$H113-1),0)))</f>
        <v>0</v>
      </c>
      <c r="CD51" s="29">
        <f ca="1">IF(CD76=$E76,SUM($G51:CC51)*-1,IF(CD77=0,0,IF(CD4&lt;&gt;1,(CC79+CD50/2)*((1+'Get Started  3'!$E129)^(1/4)-1)-CD49*(1+((1+'Get Started  3'!$E129)^(1/4)-1))^('Get Started  3'!$H113-1),0)))</f>
        <v>0</v>
      </c>
      <c r="CE51" s="29">
        <f ca="1">IF(CE76=$E76,SUM($G51:CD51)*-1,IF(CE77=0,0,IF(CE4&lt;&gt;1,(CD79+CE50/2)*((1+'Get Started  3'!$E129)^(1/4)-1)-CE49*(1+((1+'Get Started  3'!$E129)^(1/4)-1))^('Get Started  3'!$H113-1),0)))</f>
        <v>0</v>
      </c>
      <c r="CF51" s="29">
        <f ca="1">IF(CF76=$E76,SUM($G51:CE51)*-1,IF(CF77=0,0,IF(CF4&lt;&gt;1,(CE79+CF50/2)*((1+'Get Started  3'!$E129)^(1/4)-1)-CF49*(1+((1+'Get Started  3'!$E129)^(1/4)-1))^('Get Started  3'!$H113-1),0)))</f>
        <v>0</v>
      </c>
      <c r="CG51" s="29">
        <f ca="1">IF(CG76=$E76,SUM($G51:CF51)*-1,IF(CG77=0,0,IF(CG4&lt;&gt;1,(CF79+CG50/2)*((1+'Get Started  3'!$E129)^(1/4)-1)-CG49*(1+((1+'Get Started  3'!$E129)^(1/4)-1))^('Get Started  3'!$H113-1),0)))</f>
        <v>0</v>
      </c>
      <c r="CH51" s="29">
        <f ca="1">IF(CH76=$E76,SUM($G51:CG51)*-1,IF(CH77=0,0,IF(CH4&lt;&gt;1,(CG79+CH50/2)*((1+'Get Started  3'!$E129)^(1/4)-1)-CH49*(1+((1+'Get Started  3'!$E129)^(1/4)-1))^('Get Started  3'!$H113-1),0)))</f>
        <v>0</v>
      </c>
    </row>
    <row r="52" spans="1:86" ht="13">
      <c r="B52" s="15" t="s">
        <v>278</v>
      </c>
      <c r="C52" s="15" t="s">
        <v>279</v>
      </c>
      <c r="D52" s="15" t="s">
        <v>238</v>
      </c>
      <c r="E52" s="29">
        <f t="shared" ca="1" si="13"/>
        <v>-6.5192580223083496E-9</v>
      </c>
      <c r="F52" s="29"/>
      <c r="G52" s="29">
        <f t="shared" ref="G52:CH52" ca="1" si="20">G51+G50</f>
        <v>1203125</v>
      </c>
      <c r="H52" s="29">
        <f t="shared" ca="1" si="20"/>
        <v>1203125</v>
      </c>
      <c r="I52" s="29">
        <f t="shared" ca="1" si="20"/>
        <v>1203125</v>
      </c>
      <c r="J52" s="29">
        <f t="shared" ca="1" si="20"/>
        <v>1203125</v>
      </c>
      <c r="K52" s="29">
        <f t="shared" ca="1" si="20"/>
        <v>1203125</v>
      </c>
      <c r="L52" s="29">
        <f t="shared" ca="1" si="20"/>
        <v>1203125</v>
      </c>
      <c r="M52" s="29">
        <f t="shared" ca="1" si="20"/>
        <v>1203125</v>
      </c>
      <c r="N52" s="29">
        <f t="shared" ca="1" si="20"/>
        <v>1203125</v>
      </c>
      <c r="O52" s="29">
        <f t="shared" ca="1" si="20"/>
        <v>1730507.9249983393</v>
      </c>
      <c r="P52" s="29">
        <f t="shared" ca="1" si="20"/>
        <v>1794276.6830442287</v>
      </c>
      <c r="Q52" s="29">
        <f t="shared" ca="1" si="20"/>
        <v>1858045.4410901181</v>
      </c>
      <c r="R52" s="29">
        <f t="shared" ca="1" si="20"/>
        <v>1921814.1991360076</v>
      </c>
      <c r="S52" s="29">
        <f t="shared" ca="1" si="20"/>
        <v>1238339.4982191711</v>
      </c>
      <c r="T52" s="29">
        <f t="shared" ca="1" si="20"/>
        <v>1302108.2562650605</v>
      </c>
      <c r="U52" s="29">
        <f t="shared" ca="1" si="20"/>
        <v>1365877.0143109499</v>
      </c>
      <c r="V52" s="29">
        <f t="shared" ca="1" si="20"/>
        <v>1429645.7723568392</v>
      </c>
      <c r="W52" s="29">
        <f t="shared" ca="1" si="20"/>
        <v>-380084.86783740949</v>
      </c>
      <c r="X52" s="29">
        <f t="shared" ca="1" si="20"/>
        <v>-497811.80576828215</v>
      </c>
      <c r="Y52" s="29">
        <f t="shared" ca="1" si="20"/>
        <v>-615538.74369915505</v>
      </c>
      <c r="Z52" s="29">
        <f t="shared" ca="1" si="20"/>
        <v>-733265.68163002795</v>
      </c>
      <c r="AA52" s="29">
        <f t="shared" ca="1" si="20"/>
        <v>-971570.25131376483</v>
      </c>
      <c r="AB52" s="29">
        <f t="shared" ca="1" si="20"/>
        <v>-1103195.5083059212</v>
      </c>
      <c r="AC52" s="29">
        <f t="shared" ca="1" si="20"/>
        <v>-1234820.7652980774</v>
      </c>
      <c r="AD52" s="29">
        <f t="shared" ca="1" si="20"/>
        <v>-1366446.022290234</v>
      </c>
      <c r="AE52" s="29">
        <f t="shared" ca="1" si="20"/>
        <v>-1966065.4608418369</v>
      </c>
      <c r="AF52" s="29">
        <f t="shared" ca="1" si="20"/>
        <v>-2033921.9597881041</v>
      </c>
      <c r="AG52" s="29">
        <f t="shared" ca="1" si="20"/>
        <v>-2101778.4587343708</v>
      </c>
      <c r="AH52" s="29">
        <f t="shared" ca="1" si="20"/>
        <v>-2169634.9576806379</v>
      </c>
      <c r="AI52" s="29">
        <f t="shared" ca="1" si="20"/>
        <v>-1181461.1901299944</v>
      </c>
      <c r="AJ52" s="29">
        <f t="shared" ca="1" si="20"/>
        <v>-1222338.5991337695</v>
      </c>
      <c r="AK52" s="29">
        <f t="shared" ca="1" si="20"/>
        <v>-1263216.0081375448</v>
      </c>
      <c r="AL52" s="29">
        <f t="shared" ca="1" si="20"/>
        <v>-1304093.4171413202</v>
      </c>
      <c r="AM52" s="29">
        <f t="shared" ca="1" si="20"/>
        <v>-896957.98581307265</v>
      </c>
      <c r="AN52" s="29">
        <f t="shared" ca="1" si="20"/>
        <v>-926389.72029579082</v>
      </c>
      <c r="AO52" s="29">
        <f t="shared" ca="1" si="20"/>
        <v>-955821.45477850898</v>
      </c>
      <c r="AP52" s="29">
        <f t="shared" ca="1" si="20"/>
        <v>-985253.18926122715</v>
      </c>
      <c r="AQ52" s="29">
        <f t="shared" ca="1" si="20"/>
        <v>-1206690.4267433835</v>
      </c>
      <c r="AR52" s="29">
        <f t="shared" ca="1" si="20"/>
        <v>-1241027.4503065548</v>
      </c>
      <c r="AS52" s="29">
        <f t="shared" ca="1" si="20"/>
        <v>-1275364.4738697261</v>
      </c>
      <c r="AT52" s="29">
        <f t="shared" ca="1" si="20"/>
        <v>5367133.6093779979</v>
      </c>
      <c r="AU52" s="29">
        <f t="shared" ca="1" si="20"/>
        <v>0</v>
      </c>
      <c r="AV52" s="29">
        <f t="shared" ca="1" si="20"/>
        <v>0</v>
      </c>
      <c r="AW52" s="29">
        <f t="shared" ca="1" si="20"/>
        <v>0</v>
      </c>
      <c r="AX52" s="29">
        <f t="shared" ca="1" si="20"/>
        <v>0</v>
      </c>
      <c r="AY52" s="29">
        <f t="shared" ca="1" si="20"/>
        <v>0</v>
      </c>
      <c r="AZ52" s="29">
        <f t="shared" ca="1" si="20"/>
        <v>0</v>
      </c>
      <c r="BA52" s="29">
        <f t="shared" ca="1" si="20"/>
        <v>0</v>
      </c>
      <c r="BB52" s="29">
        <f t="shared" ca="1" si="20"/>
        <v>0</v>
      </c>
      <c r="BC52" s="29">
        <f t="shared" ca="1" si="20"/>
        <v>0</v>
      </c>
      <c r="BD52" s="29">
        <f t="shared" ca="1" si="20"/>
        <v>0</v>
      </c>
      <c r="BE52" s="29">
        <f t="shared" ca="1" si="20"/>
        <v>0</v>
      </c>
      <c r="BF52" s="29">
        <f t="shared" ca="1" si="20"/>
        <v>0</v>
      </c>
      <c r="BG52" s="29">
        <f t="shared" ca="1" si="20"/>
        <v>0</v>
      </c>
      <c r="BH52" s="29">
        <f t="shared" ca="1" si="20"/>
        <v>0</v>
      </c>
      <c r="BI52" s="29">
        <f t="shared" ca="1" si="20"/>
        <v>0</v>
      </c>
      <c r="BJ52" s="29">
        <f t="shared" ca="1" si="20"/>
        <v>0</v>
      </c>
      <c r="BK52" s="29">
        <f t="shared" ca="1" si="20"/>
        <v>0</v>
      </c>
      <c r="BL52" s="29">
        <f t="shared" ca="1" si="20"/>
        <v>0</v>
      </c>
      <c r="BM52" s="29">
        <f t="shared" ca="1" si="20"/>
        <v>0</v>
      </c>
      <c r="BN52" s="29">
        <f t="shared" ca="1" si="20"/>
        <v>0</v>
      </c>
      <c r="BO52" s="29">
        <f t="shared" ca="1" si="20"/>
        <v>0</v>
      </c>
      <c r="BP52" s="29">
        <f t="shared" ca="1" si="20"/>
        <v>0</v>
      </c>
      <c r="BQ52" s="29">
        <f t="shared" ca="1" si="20"/>
        <v>0</v>
      </c>
      <c r="BR52" s="29">
        <f t="shared" ca="1" si="20"/>
        <v>0</v>
      </c>
      <c r="BS52" s="29">
        <f t="shared" ca="1" si="20"/>
        <v>0</v>
      </c>
      <c r="BT52" s="29">
        <f t="shared" ca="1" si="20"/>
        <v>0</v>
      </c>
      <c r="BU52" s="29">
        <f t="shared" ca="1" si="20"/>
        <v>0</v>
      </c>
      <c r="BV52" s="29">
        <f t="shared" ca="1" si="20"/>
        <v>0</v>
      </c>
      <c r="BW52" s="29">
        <f t="shared" ca="1" si="20"/>
        <v>0</v>
      </c>
      <c r="BX52" s="29">
        <f t="shared" ca="1" si="20"/>
        <v>0</v>
      </c>
      <c r="BY52" s="29">
        <f t="shared" ca="1" si="20"/>
        <v>0</v>
      </c>
      <c r="BZ52" s="29">
        <f t="shared" ca="1" si="20"/>
        <v>0</v>
      </c>
      <c r="CA52" s="29">
        <f t="shared" ca="1" si="20"/>
        <v>0</v>
      </c>
      <c r="CB52" s="29">
        <f t="shared" ca="1" si="20"/>
        <v>0</v>
      </c>
      <c r="CC52" s="29">
        <f t="shared" ca="1" si="20"/>
        <v>0</v>
      </c>
      <c r="CD52" s="29">
        <f t="shared" ca="1" si="20"/>
        <v>0</v>
      </c>
      <c r="CE52" s="29">
        <f t="shared" ca="1" si="20"/>
        <v>0</v>
      </c>
      <c r="CF52" s="29">
        <f t="shared" ca="1" si="20"/>
        <v>0</v>
      </c>
      <c r="CG52" s="29">
        <f t="shared" ca="1" si="20"/>
        <v>0</v>
      </c>
      <c r="CH52" s="29">
        <f t="shared" ca="1" si="20"/>
        <v>0</v>
      </c>
    </row>
    <row r="53" spans="1:86" ht="13">
      <c r="B53" s="15" t="s">
        <v>280</v>
      </c>
      <c r="C53" s="15"/>
      <c r="D53" s="15" t="s">
        <v>238</v>
      </c>
      <c r="E53" s="29">
        <f t="shared" ca="1" si="13"/>
        <v>0</v>
      </c>
      <c r="F53" s="29"/>
      <c r="G53" s="29">
        <f t="shared" ref="G53:CH53" ca="1" si="21">G30-G31</f>
        <v>23555625</v>
      </c>
      <c r="H53" s="29">
        <f t="shared" ca="1" si="21"/>
        <v>-1344375</v>
      </c>
      <c r="I53" s="29">
        <f t="shared" ca="1" si="21"/>
        <v>-1344375</v>
      </c>
      <c r="J53" s="29">
        <f t="shared" ca="1" si="21"/>
        <v>-1344375</v>
      </c>
      <c r="K53" s="29">
        <f t="shared" ca="1" si="21"/>
        <v>-1344375</v>
      </c>
      <c r="L53" s="29">
        <f t="shared" ca="1" si="21"/>
        <v>-1344375</v>
      </c>
      <c r="M53" s="29">
        <f t="shared" ca="1" si="21"/>
        <v>-1344375</v>
      </c>
      <c r="N53" s="29">
        <f t="shared" ca="1" si="21"/>
        <v>-1344375</v>
      </c>
      <c r="O53" s="29">
        <f t="shared" ca="1" si="21"/>
        <v>-1344375</v>
      </c>
      <c r="P53" s="29">
        <f t="shared" ca="1" si="21"/>
        <v>-1344375</v>
      </c>
      <c r="Q53" s="29">
        <f t="shared" ca="1" si="21"/>
        <v>-1344375</v>
      </c>
      <c r="R53" s="29">
        <f t="shared" ca="1" si="21"/>
        <v>-1344375</v>
      </c>
      <c r="S53" s="29">
        <f t="shared" ca="1" si="21"/>
        <v>-1344375</v>
      </c>
      <c r="T53" s="29">
        <f t="shared" ca="1" si="21"/>
        <v>-1344375</v>
      </c>
      <c r="U53" s="29">
        <f t="shared" ca="1" si="21"/>
        <v>-1344375</v>
      </c>
      <c r="V53" s="29">
        <f t="shared" ca="1" si="21"/>
        <v>-1344375</v>
      </c>
      <c r="W53" s="29">
        <f t="shared" ca="1" si="21"/>
        <v>-141250</v>
      </c>
      <c r="X53" s="29">
        <f t="shared" ca="1" si="21"/>
        <v>-141250</v>
      </c>
      <c r="Y53" s="29">
        <f t="shared" ca="1" si="21"/>
        <v>-141250</v>
      </c>
      <c r="Z53" s="29">
        <f t="shared" ca="1" si="21"/>
        <v>-141250</v>
      </c>
      <c r="AA53" s="29">
        <f t="shared" ca="1" si="21"/>
        <v>-141250</v>
      </c>
      <c r="AB53" s="29">
        <f t="shared" ca="1" si="21"/>
        <v>-141250</v>
      </c>
      <c r="AC53" s="29">
        <f t="shared" ca="1" si="21"/>
        <v>-141250</v>
      </c>
      <c r="AD53" s="29">
        <f t="shared" ca="1" si="21"/>
        <v>-141250</v>
      </c>
      <c r="AE53" s="29">
        <f t="shared" ca="1" si="21"/>
        <v>-141250</v>
      </c>
      <c r="AF53" s="29">
        <f t="shared" ca="1" si="21"/>
        <v>-141250</v>
      </c>
      <c r="AG53" s="29">
        <f t="shared" ca="1" si="21"/>
        <v>-141250</v>
      </c>
      <c r="AH53" s="29">
        <f t="shared" ca="1" si="21"/>
        <v>-141250</v>
      </c>
      <c r="AI53" s="29">
        <f t="shared" ca="1" si="21"/>
        <v>-141250</v>
      </c>
      <c r="AJ53" s="29">
        <f t="shared" ca="1" si="21"/>
        <v>-141250</v>
      </c>
      <c r="AK53" s="29">
        <f t="shared" ca="1" si="21"/>
        <v>-141250</v>
      </c>
      <c r="AL53" s="29">
        <f t="shared" ca="1" si="21"/>
        <v>-141250</v>
      </c>
      <c r="AM53" s="29">
        <f t="shared" ca="1" si="21"/>
        <v>-141250</v>
      </c>
      <c r="AN53" s="29">
        <f t="shared" ca="1" si="21"/>
        <v>-141250</v>
      </c>
      <c r="AO53" s="29">
        <f t="shared" ca="1" si="21"/>
        <v>-141250</v>
      </c>
      <c r="AP53" s="29">
        <f t="shared" ca="1" si="21"/>
        <v>-141250</v>
      </c>
      <c r="AQ53" s="29">
        <f t="shared" ca="1" si="21"/>
        <v>-141250</v>
      </c>
      <c r="AR53" s="29">
        <f t="shared" ca="1" si="21"/>
        <v>-141250</v>
      </c>
      <c r="AS53" s="29">
        <f t="shared" ca="1" si="21"/>
        <v>-141250</v>
      </c>
      <c r="AT53" s="29">
        <f t="shared" ca="1" si="21"/>
        <v>-141250</v>
      </c>
      <c r="AU53" s="29">
        <f t="shared" ca="1" si="21"/>
        <v>0</v>
      </c>
      <c r="AV53" s="29">
        <f t="shared" ca="1" si="21"/>
        <v>0</v>
      </c>
      <c r="AW53" s="29">
        <f t="shared" ca="1" si="21"/>
        <v>0</v>
      </c>
      <c r="AX53" s="29">
        <f t="shared" ca="1" si="21"/>
        <v>0</v>
      </c>
      <c r="AY53" s="29">
        <f t="shared" ca="1" si="21"/>
        <v>0</v>
      </c>
      <c r="AZ53" s="29">
        <f t="shared" ca="1" si="21"/>
        <v>0</v>
      </c>
      <c r="BA53" s="29">
        <f t="shared" ca="1" si="21"/>
        <v>0</v>
      </c>
      <c r="BB53" s="29">
        <f t="shared" ca="1" si="21"/>
        <v>0</v>
      </c>
      <c r="BC53" s="29">
        <f t="shared" ca="1" si="21"/>
        <v>0</v>
      </c>
      <c r="BD53" s="29">
        <f t="shared" ca="1" si="21"/>
        <v>0</v>
      </c>
      <c r="BE53" s="29">
        <f t="shared" ca="1" si="21"/>
        <v>0</v>
      </c>
      <c r="BF53" s="29">
        <f t="shared" ca="1" si="21"/>
        <v>0</v>
      </c>
      <c r="BG53" s="29">
        <f t="shared" ca="1" si="21"/>
        <v>0</v>
      </c>
      <c r="BH53" s="29">
        <f t="shared" ca="1" si="21"/>
        <v>0</v>
      </c>
      <c r="BI53" s="29">
        <f t="shared" ca="1" si="21"/>
        <v>0</v>
      </c>
      <c r="BJ53" s="29">
        <f t="shared" ca="1" si="21"/>
        <v>0</v>
      </c>
      <c r="BK53" s="29">
        <f t="shared" ca="1" si="21"/>
        <v>0</v>
      </c>
      <c r="BL53" s="29">
        <f t="shared" ca="1" si="21"/>
        <v>0</v>
      </c>
      <c r="BM53" s="29">
        <f t="shared" ca="1" si="21"/>
        <v>0</v>
      </c>
      <c r="BN53" s="29">
        <f t="shared" ca="1" si="21"/>
        <v>0</v>
      </c>
      <c r="BO53" s="29">
        <f t="shared" ca="1" si="21"/>
        <v>0</v>
      </c>
      <c r="BP53" s="29">
        <f t="shared" ca="1" si="21"/>
        <v>0</v>
      </c>
      <c r="BQ53" s="29">
        <f t="shared" ca="1" si="21"/>
        <v>0</v>
      </c>
      <c r="BR53" s="29">
        <f t="shared" ca="1" si="21"/>
        <v>0</v>
      </c>
      <c r="BS53" s="29">
        <f t="shared" ca="1" si="21"/>
        <v>0</v>
      </c>
      <c r="BT53" s="29">
        <f t="shared" ca="1" si="21"/>
        <v>0</v>
      </c>
      <c r="BU53" s="29">
        <f t="shared" ca="1" si="21"/>
        <v>0</v>
      </c>
      <c r="BV53" s="29">
        <f t="shared" ca="1" si="21"/>
        <v>0</v>
      </c>
      <c r="BW53" s="29">
        <f t="shared" ca="1" si="21"/>
        <v>0</v>
      </c>
      <c r="BX53" s="29">
        <f t="shared" ca="1" si="21"/>
        <v>0</v>
      </c>
      <c r="BY53" s="29">
        <f t="shared" ca="1" si="21"/>
        <v>0</v>
      </c>
      <c r="BZ53" s="29">
        <f t="shared" ca="1" si="21"/>
        <v>0</v>
      </c>
      <c r="CA53" s="29">
        <f t="shared" ca="1" si="21"/>
        <v>0</v>
      </c>
      <c r="CB53" s="29">
        <f t="shared" ca="1" si="21"/>
        <v>0</v>
      </c>
      <c r="CC53" s="29">
        <f t="shared" ca="1" si="21"/>
        <v>0</v>
      </c>
      <c r="CD53" s="29">
        <f t="shared" ca="1" si="21"/>
        <v>0</v>
      </c>
      <c r="CE53" s="29">
        <f t="shared" ca="1" si="21"/>
        <v>0</v>
      </c>
      <c r="CF53" s="29">
        <f t="shared" ca="1" si="21"/>
        <v>0</v>
      </c>
      <c r="CG53" s="29">
        <f t="shared" ca="1" si="21"/>
        <v>0</v>
      </c>
      <c r="CH53" s="29">
        <f t="shared" ca="1" si="21"/>
        <v>0</v>
      </c>
    </row>
    <row r="54" spans="1:86" ht="13">
      <c r="A54" s="13"/>
      <c r="B54" s="13" t="s">
        <v>281</v>
      </c>
      <c r="C54" s="13"/>
      <c r="D54" s="13" t="s">
        <v>238</v>
      </c>
      <c r="E54" s="37">
        <f t="shared" si="13"/>
        <v>25000000</v>
      </c>
      <c r="F54" s="48"/>
      <c r="G54" s="37">
        <f>IF($C16=TRUE,G30*(1-'Get Started  3'!$E10),G30)</f>
        <v>25000000</v>
      </c>
      <c r="H54" s="37">
        <f>IF($C16=TRUE,H30*(1-'Get Started  3'!$E10),H30)</f>
        <v>0</v>
      </c>
      <c r="I54" s="37">
        <f>IF($C16=TRUE,I30*(1-'Get Started  3'!$E10),I30)</f>
        <v>0</v>
      </c>
      <c r="J54" s="37">
        <f>IF($C16=TRUE,J30*(1-'Get Started  3'!$E10),J30)</f>
        <v>0</v>
      </c>
      <c r="K54" s="37">
        <f>IF($C16=TRUE,K30*(1-'Get Started  3'!$E10),K30)</f>
        <v>0</v>
      </c>
      <c r="L54" s="37">
        <f>IF($C16=TRUE,L30*(1-'Get Started  3'!$E10),L30)</f>
        <v>0</v>
      </c>
      <c r="M54" s="37">
        <f>IF($C16=TRUE,M30*(1-'Get Started  3'!$E10),M30)</f>
        <v>0</v>
      </c>
      <c r="N54" s="37">
        <f>IF($C16=TRUE,N30*(1-'Get Started  3'!$E10),N30)</f>
        <v>0</v>
      </c>
      <c r="O54" s="37">
        <f>IF($C16=TRUE,O30*(1-'Get Started  3'!$E10),O30)</f>
        <v>0</v>
      </c>
      <c r="P54" s="37">
        <f>IF($C16=TRUE,P30*(1-'Get Started  3'!$E10),P30)</f>
        <v>0</v>
      </c>
      <c r="Q54" s="37">
        <f>IF($C16=TRUE,Q30*(1-'Get Started  3'!$E10),Q30)</f>
        <v>0</v>
      </c>
      <c r="R54" s="37">
        <f>IF($C16=TRUE,R30*(1-'Get Started  3'!$E10),R30)</f>
        <v>0</v>
      </c>
      <c r="S54" s="37">
        <f>IF($C16=TRUE,S30*(1-'Get Started  3'!$E10),S30)</f>
        <v>0</v>
      </c>
      <c r="T54" s="37">
        <f>IF($C16=TRUE,T30*(1-'Get Started  3'!$E10),T30)</f>
        <v>0</v>
      </c>
      <c r="U54" s="37">
        <f>IF($C16=TRUE,U30*(1-'Get Started  3'!$E10),U30)</f>
        <v>0</v>
      </c>
      <c r="V54" s="37">
        <f>IF($C16=TRUE,V30*(1-'Get Started  3'!$E10),V30)</f>
        <v>0</v>
      </c>
      <c r="W54" s="37">
        <f>IF($C16=TRUE,W30*(1-'Get Started  3'!$E10),W30)</f>
        <v>0</v>
      </c>
      <c r="X54" s="37">
        <f>IF($C16=TRUE,X30*(1-'Get Started  3'!$E10),X30)</f>
        <v>0</v>
      </c>
      <c r="Y54" s="37">
        <f>IF($C16=TRUE,Y30*(1-'Get Started  3'!$E10),Y30)</f>
        <v>0</v>
      </c>
      <c r="Z54" s="37">
        <f>IF($C16=TRUE,Z30*(1-'Get Started  3'!$E10),Z30)</f>
        <v>0</v>
      </c>
      <c r="AA54" s="37">
        <f>IF($C16=TRUE,AA30*(1-'Get Started  3'!$E10),AA30)</f>
        <v>0</v>
      </c>
      <c r="AB54" s="37">
        <f>IF($C16=TRUE,AB30*(1-'Get Started  3'!$E10),AB30)</f>
        <v>0</v>
      </c>
      <c r="AC54" s="37">
        <f>IF($C16=TRUE,AC30*(1-'Get Started  3'!$E10),AC30)</f>
        <v>0</v>
      </c>
      <c r="AD54" s="37">
        <f>IF($C16=TRUE,AD30*(1-'Get Started  3'!$E10),AD30)</f>
        <v>0</v>
      </c>
      <c r="AE54" s="37">
        <f>IF($C16=TRUE,AE30*(1-'Get Started  3'!$E10),AE30)</f>
        <v>0</v>
      </c>
      <c r="AF54" s="37">
        <f>IF($C16=TRUE,AF30*(1-'Get Started  3'!$E10),AF30)</f>
        <v>0</v>
      </c>
      <c r="AG54" s="37">
        <f>IF($C16=TRUE,AG30*(1-'Get Started  3'!$E10),AG30)</f>
        <v>0</v>
      </c>
      <c r="AH54" s="37">
        <f>IF($C16=TRUE,AH30*(1-'Get Started  3'!$E10),AH30)</f>
        <v>0</v>
      </c>
      <c r="AI54" s="37">
        <f>IF($C16=TRUE,AI30*(1-'Get Started  3'!$E10),AI30)</f>
        <v>0</v>
      </c>
      <c r="AJ54" s="37">
        <f>IF($C16=TRUE,AJ30*(1-'Get Started  3'!$E10),AJ30)</f>
        <v>0</v>
      </c>
      <c r="AK54" s="37">
        <f>IF($C16=TRUE,AK30*(1-'Get Started  3'!$E10),AK30)</f>
        <v>0</v>
      </c>
      <c r="AL54" s="37">
        <f>IF($C16=TRUE,AL30*(1-'Get Started  3'!$E10),AL30)</f>
        <v>0</v>
      </c>
      <c r="AM54" s="37">
        <f>IF($C16=TRUE,AM30*(1-'Get Started  3'!$E10),AM30)</f>
        <v>0</v>
      </c>
      <c r="AN54" s="37">
        <f>IF($C16=TRUE,AN30*(1-'Get Started  3'!$E10),AN30)</f>
        <v>0</v>
      </c>
      <c r="AO54" s="37">
        <f>IF($C16=TRUE,AO30*(1-'Get Started  3'!$E10),AO30)</f>
        <v>0</v>
      </c>
      <c r="AP54" s="37">
        <f>IF($C16=TRUE,AP30*(1-'Get Started  3'!$E10),AP30)</f>
        <v>0</v>
      </c>
      <c r="AQ54" s="37">
        <f>IF($C16=TRUE,AQ30*(1-'Get Started  3'!$E10),AQ30)</f>
        <v>0</v>
      </c>
      <c r="AR54" s="37">
        <f>IF($C16=TRUE,AR30*(1-'Get Started  3'!$E10),AR30)</f>
        <v>0</v>
      </c>
      <c r="AS54" s="37">
        <f>IF($C16=TRUE,AS30*(1-'Get Started  3'!$E10),AS30)</f>
        <v>0</v>
      </c>
      <c r="AT54" s="37">
        <f>IF($C16=TRUE,AT30*(1-'Get Started  3'!$E10),AT30)</f>
        <v>0</v>
      </c>
      <c r="AU54" s="37">
        <f>IF($C16=TRUE,AU30*(1-'Get Started  3'!$E10),AU30)</f>
        <v>0</v>
      </c>
      <c r="AV54" s="37">
        <f>IF($C16=TRUE,AV30*(1-'Get Started  3'!$E10),AV30)</f>
        <v>0</v>
      </c>
      <c r="AW54" s="37">
        <f>IF($C16=TRUE,AW30*(1-'Get Started  3'!$E10),AW30)</f>
        <v>0</v>
      </c>
      <c r="AX54" s="37">
        <f>IF($C16=TRUE,AX30*(1-'Get Started  3'!$E10),AX30)</f>
        <v>0</v>
      </c>
      <c r="AY54" s="37">
        <f>IF($C16=TRUE,AY30*(1-'Get Started  3'!$E10),AY30)</f>
        <v>0</v>
      </c>
      <c r="AZ54" s="37">
        <f>IF($C16=TRUE,AZ30*(1-'Get Started  3'!$E10),AZ30)</f>
        <v>0</v>
      </c>
      <c r="BA54" s="37">
        <f>IF($C16=TRUE,BA30*(1-'Get Started  3'!$E10),BA30)</f>
        <v>0</v>
      </c>
      <c r="BB54" s="37">
        <f>IF($C16=TRUE,BB30*(1-'Get Started  3'!$E10),BB30)</f>
        <v>0</v>
      </c>
      <c r="BC54" s="37">
        <f>IF($C16=TRUE,BC30*(1-'Get Started  3'!$E10),BC30)</f>
        <v>0</v>
      </c>
      <c r="BD54" s="37">
        <f>IF($C16=TRUE,BD30*(1-'Get Started  3'!$E10),BD30)</f>
        <v>0</v>
      </c>
      <c r="BE54" s="37">
        <f>IF($C16=TRUE,BE30*(1-'Get Started  3'!$E10),BE30)</f>
        <v>0</v>
      </c>
      <c r="BF54" s="37">
        <f>IF($C16=TRUE,BF30*(1-'Get Started  3'!$E10),BF30)</f>
        <v>0</v>
      </c>
      <c r="BG54" s="37">
        <f>IF($C16=TRUE,BG30*(1-'Get Started  3'!$E10),BG30)</f>
        <v>0</v>
      </c>
      <c r="BH54" s="37">
        <f>IF($C16=TRUE,BH30*(1-'Get Started  3'!$E10),BH30)</f>
        <v>0</v>
      </c>
      <c r="BI54" s="37">
        <f>IF($C16=TRUE,BI30*(1-'Get Started  3'!$E10),BI30)</f>
        <v>0</v>
      </c>
      <c r="BJ54" s="37">
        <f>IF($C16=TRUE,BJ30*(1-'Get Started  3'!$E10),BJ30)</f>
        <v>0</v>
      </c>
      <c r="BK54" s="37">
        <f>IF($C16=TRUE,BK30*(1-'Get Started  3'!$E10),BK30)</f>
        <v>0</v>
      </c>
      <c r="BL54" s="37">
        <f>IF($C16=TRUE,BL30*(1-'Get Started  3'!$E10),BL30)</f>
        <v>0</v>
      </c>
      <c r="BM54" s="37">
        <f>IF($C16=TRUE,BM30*(1-'Get Started  3'!$E10),BM30)</f>
        <v>0</v>
      </c>
      <c r="BN54" s="37">
        <f>IF($C16=TRUE,BN30*(1-'Get Started  3'!$E10),BN30)</f>
        <v>0</v>
      </c>
      <c r="BO54" s="37">
        <f>IF($C16=TRUE,BO30*(1-'Get Started  3'!$E10),BO30)</f>
        <v>0</v>
      </c>
      <c r="BP54" s="37">
        <f>IF($C16=TRUE,BP30*(1-'Get Started  3'!$E10),BP30)</f>
        <v>0</v>
      </c>
      <c r="BQ54" s="37">
        <f>IF($C16=TRUE,BQ30*(1-'Get Started  3'!$E10),BQ30)</f>
        <v>0</v>
      </c>
      <c r="BR54" s="37">
        <f>IF($C16=TRUE,BR30*(1-'Get Started  3'!$E10),BR30)</f>
        <v>0</v>
      </c>
      <c r="BS54" s="37">
        <f>IF($C16=TRUE,BS30*(1-'Get Started  3'!$E10),BS30)</f>
        <v>0</v>
      </c>
      <c r="BT54" s="37">
        <f>IF($C16=TRUE,BT30*(1-'Get Started  3'!$E10),BT30)</f>
        <v>0</v>
      </c>
      <c r="BU54" s="37">
        <f>IF($C16=TRUE,BU30*(1-'Get Started  3'!$E10),BU30)</f>
        <v>0</v>
      </c>
      <c r="BV54" s="37">
        <f>IF($C16=TRUE,BV30*(1-'Get Started  3'!$E10),BV30)</f>
        <v>0</v>
      </c>
      <c r="BW54" s="37">
        <f>IF($C16=TRUE,BW30*(1-'Get Started  3'!$E10),BW30)</f>
        <v>0</v>
      </c>
      <c r="BX54" s="37">
        <f>IF($C16=TRUE,BX30*(1-'Get Started  3'!$E10),BX30)</f>
        <v>0</v>
      </c>
      <c r="BY54" s="37">
        <f>IF($C16=TRUE,BY30*(1-'Get Started  3'!$E10),BY30)</f>
        <v>0</v>
      </c>
      <c r="BZ54" s="37">
        <f>IF($C16=TRUE,BZ30*(1-'Get Started  3'!$E10),BZ30)</f>
        <v>0</v>
      </c>
      <c r="CA54" s="37">
        <f>IF($C16=TRUE,CA30*(1-'Get Started  3'!$E10),CA30)</f>
        <v>0</v>
      </c>
      <c r="CB54" s="37">
        <f>IF($C16=TRUE,CB30*(1-'Get Started  3'!$E10),CB30)</f>
        <v>0</v>
      </c>
      <c r="CC54" s="37">
        <f>IF($C16=TRUE,CC30*(1-'Get Started  3'!$E10),CC30)</f>
        <v>0</v>
      </c>
      <c r="CD54" s="37">
        <f>IF($C16=TRUE,CD30*(1-'Get Started  3'!$E10),CD30)</f>
        <v>0</v>
      </c>
      <c r="CE54" s="37">
        <f>IF($C16=TRUE,CE30*(1-'Get Started  3'!$E10),CE30)</f>
        <v>0</v>
      </c>
      <c r="CF54" s="37">
        <f>IF($C16=TRUE,CF30*(1-'Get Started  3'!$E10),CF30)</f>
        <v>0</v>
      </c>
      <c r="CG54" s="37">
        <f>IF($C16=TRUE,CG30*(1-'Get Started  3'!$E10),CG30)</f>
        <v>0</v>
      </c>
      <c r="CH54" s="37">
        <f>IF($C16=TRUE,CH30*(1-'Get Started  3'!$E10),CH30)</f>
        <v>0</v>
      </c>
    </row>
    <row r="55" spans="1:86" ht="13">
      <c r="A55" s="13"/>
      <c r="B55" s="13" t="s">
        <v>282</v>
      </c>
      <c r="C55" s="13"/>
      <c r="D55" s="13" t="s">
        <v>238</v>
      </c>
      <c r="E55" s="37">
        <f t="shared" ca="1" si="13"/>
        <v>25000000</v>
      </c>
      <c r="F55" s="48"/>
      <c r="G55" s="37">
        <f ca="1">IF($C16=TRUE,G31*(1-'Get Started  3'!$E10),G31)</f>
        <v>1444375</v>
      </c>
      <c r="H55" s="37">
        <f ca="1">IF($C16=TRUE,H31*(1-'Get Started  3'!$E10),H31)</f>
        <v>1344375</v>
      </c>
      <c r="I55" s="37">
        <f ca="1">IF($C16=TRUE,I31*(1-'Get Started  3'!$E10),I31)</f>
        <v>1344375</v>
      </c>
      <c r="J55" s="37">
        <f ca="1">IF($C16=TRUE,J31*(1-'Get Started  3'!$E10),J31)</f>
        <v>1344375</v>
      </c>
      <c r="K55" s="37">
        <f ca="1">IF($C16=TRUE,K31*(1-'Get Started  3'!$E10),K31)</f>
        <v>1344375</v>
      </c>
      <c r="L55" s="37">
        <f ca="1">IF($C16=TRUE,L31*(1-'Get Started  3'!$E10),L31)</f>
        <v>1344375</v>
      </c>
      <c r="M55" s="37">
        <f ca="1">IF($C16=TRUE,M31*(1-'Get Started  3'!$E10),M31)</f>
        <v>1344375</v>
      </c>
      <c r="N55" s="37">
        <f ca="1">IF($C16=TRUE,N31*(1-'Get Started  3'!$E10),N31)</f>
        <v>1344375</v>
      </c>
      <c r="O55" s="37">
        <f ca="1">IF($C16=TRUE,O31*(1-'Get Started  3'!$E10),O31)</f>
        <v>1344375</v>
      </c>
      <c r="P55" s="37">
        <f ca="1">IF($C16=TRUE,P31*(1-'Get Started  3'!$E10),P31)</f>
        <v>1344375</v>
      </c>
      <c r="Q55" s="37">
        <f ca="1">IF($C16=TRUE,Q31*(1-'Get Started  3'!$E10),Q31)</f>
        <v>1344375</v>
      </c>
      <c r="R55" s="37">
        <f ca="1">IF($C16=TRUE,R31*(1-'Get Started  3'!$E10),R31)</f>
        <v>1344375</v>
      </c>
      <c r="S55" s="37">
        <f ca="1">IF($C16=TRUE,S31*(1-'Get Started  3'!$E10),S31)</f>
        <v>1344375</v>
      </c>
      <c r="T55" s="37">
        <f ca="1">IF($C16=TRUE,T31*(1-'Get Started  3'!$E10),T31)</f>
        <v>1344375</v>
      </c>
      <c r="U55" s="37">
        <f ca="1">IF($C16=TRUE,U31*(1-'Get Started  3'!$E10),U31)</f>
        <v>1344375</v>
      </c>
      <c r="V55" s="37">
        <f ca="1">IF($C16=TRUE,V31*(1-'Get Started  3'!$E10),V31)</f>
        <v>1344375</v>
      </c>
      <c r="W55" s="37">
        <f ca="1">IF($C16=TRUE,W31*(1-'Get Started  3'!$E10),W31)</f>
        <v>141250</v>
      </c>
      <c r="X55" s="37">
        <f ca="1">IF($C16=TRUE,X31*(1-'Get Started  3'!$E10),X31)</f>
        <v>141250</v>
      </c>
      <c r="Y55" s="37">
        <f ca="1">IF($C16=TRUE,Y31*(1-'Get Started  3'!$E10),Y31)</f>
        <v>141250</v>
      </c>
      <c r="Z55" s="37">
        <f ca="1">IF($C16=TRUE,Z31*(1-'Get Started  3'!$E10),Z31)</f>
        <v>141250</v>
      </c>
      <c r="AA55" s="37">
        <f ca="1">IF($C16=TRUE,AA31*(1-'Get Started  3'!$E10),AA31)</f>
        <v>141250</v>
      </c>
      <c r="AB55" s="37">
        <f ca="1">IF($C16=TRUE,AB31*(1-'Get Started  3'!$E10),AB31)</f>
        <v>141250</v>
      </c>
      <c r="AC55" s="37">
        <f ca="1">IF($C16=TRUE,AC31*(1-'Get Started  3'!$E10),AC31)</f>
        <v>141250</v>
      </c>
      <c r="AD55" s="37">
        <f ca="1">IF($C16=TRUE,AD31*(1-'Get Started  3'!$E10),AD31)</f>
        <v>141250</v>
      </c>
      <c r="AE55" s="37">
        <f ca="1">IF($C16=TRUE,AE31*(1-'Get Started  3'!$E10),AE31)</f>
        <v>141250</v>
      </c>
      <c r="AF55" s="37">
        <f ca="1">IF($C16=TRUE,AF31*(1-'Get Started  3'!$E10),AF31)</f>
        <v>141250</v>
      </c>
      <c r="AG55" s="37">
        <f ca="1">IF($C16=TRUE,AG31*(1-'Get Started  3'!$E10),AG31)</f>
        <v>141250</v>
      </c>
      <c r="AH55" s="37">
        <f ca="1">IF($C16=TRUE,AH31*(1-'Get Started  3'!$E10),AH31)</f>
        <v>141250</v>
      </c>
      <c r="AI55" s="37">
        <f ca="1">IF($C16=TRUE,AI31*(1-'Get Started  3'!$E10),AI31)</f>
        <v>141250</v>
      </c>
      <c r="AJ55" s="37">
        <f ca="1">IF($C16=TRUE,AJ31*(1-'Get Started  3'!$E10),AJ31)</f>
        <v>141250</v>
      </c>
      <c r="AK55" s="37">
        <f ca="1">IF($C16=TRUE,AK31*(1-'Get Started  3'!$E10),AK31)</f>
        <v>141250</v>
      </c>
      <c r="AL55" s="37">
        <f ca="1">IF($C16=TRUE,AL31*(1-'Get Started  3'!$E10),AL31)</f>
        <v>141250</v>
      </c>
      <c r="AM55" s="37">
        <f ca="1">IF($C16=TRUE,AM31*(1-'Get Started  3'!$E10),AM31)</f>
        <v>141250</v>
      </c>
      <c r="AN55" s="37">
        <f ca="1">IF($C16=TRUE,AN31*(1-'Get Started  3'!$E10),AN31)</f>
        <v>141250</v>
      </c>
      <c r="AO55" s="37">
        <f ca="1">IF($C16=TRUE,AO31*(1-'Get Started  3'!$E10),AO31)</f>
        <v>141250</v>
      </c>
      <c r="AP55" s="37">
        <f ca="1">IF($C16=TRUE,AP31*(1-'Get Started  3'!$E10),AP31)</f>
        <v>141250</v>
      </c>
      <c r="AQ55" s="37">
        <f ca="1">IF($C16=TRUE,AQ31*(1-'Get Started  3'!$E10),AQ31)</f>
        <v>141250</v>
      </c>
      <c r="AR55" s="37">
        <f ca="1">IF($C16=TRUE,AR31*(1-'Get Started  3'!$E10),AR31)</f>
        <v>141250</v>
      </c>
      <c r="AS55" s="37">
        <f ca="1">IF($C16=TRUE,AS31*(1-'Get Started  3'!$E10),AS31)</f>
        <v>141250</v>
      </c>
      <c r="AT55" s="37">
        <f ca="1">IF($C16=TRUE,AT31*(1-'Get Started  3'!$E10),AT31)</f>
        <v>141250</v>
      </c>
      <c r="AU55" s="37">
        <f ca="1">IF($C16=TRUE,AU31*(1-'Get Started  3'!$E10),AU31)</f>
        <v>0</v>
      </c>
      <c r="AV55" s="37">
        <f ca="1">IF($C16=TRUE,AV31*(1-'Get Started  3'!$E10),AV31)</f>
        <v>0</v>
      </c>
      <c r="AW55" s="37">
        <f ca="1">IF($C16=TRUE,AW31*(1-'Get Started  3'!$E10),AW31)</f>
        <v>0</v>
      </c>
      <c r="AX55" s="37">
        <f ca="1">IF($C16=TRUE,AX31*(1-'Get Started  3'!$E10),AX31)</f>
        <v>0</v>
      </c>
      <c r="AY55" s="37">
        <f ca="1">IF($C16=TRUE,AY31*(1-'Get Started  3'!$E10),AY31)</f>
        <v>0</v>
      </c>
      <c r="AZ55" s="37">
        <f ca="1">IF($C16=TRUE,AZ31*(1-'Get Started  3'!$E10),AZ31)</f>
        <v>0</v>
      </c>
      <c r="BA55" s="37">
        <f ca="1">IF($C16=TRUE,BA31*(1-'Get Started  3'!$E10),BA31)</f>
        <v>0</v>
      </c>
      <c r="BB55" s="37">
        <f ca="1">IF($C16=TRUE,BB31*(1-'Get Started  3'!$E10),BB31)</f>
        <v>0</v>
      </c>
      <c r="BC55" s="37">
        <f ca="1">IF($C16=TRUE,BC31*(1-'Get Started  3'!$E10),BC31)</f>
        <v>0</v>
      </c>
      <c r="BD55" s="37">
        <f ca="1">IF($C16=TRUE,BD31*(1-'Get Started  3'!$E10),BD31)</f>
        <v>0</v>
      </c>
      <c r="BE55" s="37">
        <f ca="1">IF($C16=TRUE,BE31*(1-'Get Started  3'!$E10),BE31)</f>
        <v>0</v>
      </c>
      <c r="BF55" s="37">
        <f ca="1">IF($C16=TRUE,BF31*(1-'Get Started  3'!$E10),BF31)</f>
        <v>0</v>
      </c>
      <c r="BG55" s="37">
        <f ca="1">IF($C16=TRUE,BG31*(1-'Get Started  3'!$E10),BG31)</f>
        <v>0</v>
      </c>
      <c r="BH55" s="37">
        <f ca="1">IF($C16=TRUE,BH31*(1-'Get Started  3'!$E10),BH31)</f>
        <v>0</v>
      </c>
      <c r="BI55" s="37">
        <f ca="1">IF($C16=TRUE,BI31*(1-'Get Started  3'!$E10),BI31)</f>
        <v>0</v>
      </c>
      <c r="BJ55" s="37">
        <f ca="1">IF($C16=TRUE,BJ31*(1-'Get Started  3'!$E10),BJ31)</f>
        <v>0</v>
      </c>
      <c r="BK55" s="37">
        <f ca="1">IF($C16=TRUE,BK31*(1-'Get Started  3'!$E10),BK31)</f>
        <v>0</v>
      </c>
      <c r="BL55" s="37">
        <f ca="1">IF($C16=TRUE,BL31*(1-'Get Started  3'!$E10),BL31)</f>
        <v>0</v>
      </c>
      <c r="BM55" s="37">
        <f ca="1">IF($C16=TRUE,BM31*(1-'Get Started  3'!$E10),BM31)</f>
        <v>0</v>
      </c>
      <c r="BN55" s="37">
        <f ca="1">IF($C16=TRUE,BN31*(1-'Get Started  3'!$E10),BN31)</f>
        <v>0</v>
      </c>
      <c r="BO55" s="37">
        <f ca="1">IF($C16=TRUE,BO31*(1-'Get Started  3'!$E10),BO31)</f>
        <v>0</v>
      </c>
      <c r="BP55" s="37">
        <f ca="1">IF($C16=TRUE,BP31*(1-'Get Started  3'!$E10),BP31)</f>
        <v>0</v>
      </c>
      <c r="BQ55" s="37">
        <f ca="1">IF($C16=TRUE,BQ31*(1-'Get Started  3'!$E10),BQ31)</f>
        <v>0</v>
      </c>
      <c r="BR55" s="37">
        <f ca="1">IF($C16=TRUE,BR31*(1-'Get Started  3'!$E10),BR31)</f>
        <v>0</v>
      </c>
      <c r="BS55" s="37">
        <f ca="1">IF($C16=TRUE,BS31*(1-'Get Started  3'!$E10),BS31)</f>
        <v>0</v>
      </c>
      <c r="BT55" s="37">
        <f ca="1">IF($C16=TRUE,BT31*(1-'Get Started  3'!$E10),BT31)</f>
        <v>0</v>
      </c>
      <c r="BU55" s="37">
        <f ca="1">IF($C16=TRUE,BU31*(1-'Get Started  3'!$E10),BU31)</f>
        <v>0</v>
      </c>
      <c r="BV55" s="37">
        <f ca="1">IF($C16=TRUE,BV31*(1-'Get Started  3'!$E10),BV31)</f>
        <v>0</v>
      </c>
      <c r="BW55" s="37">
        <f ca="1">IF($C16=TRUE,BW31*(1-'Get Started  3'!$E10),BW31)</f>
        <v>0</v>
      </c>
      <c r="BX55" s="37">
        <f ca="1">IF($C16=TRUE,BX31*(1-'Get Started  3'!$E10),BX31)</f>
        <v>0</v>
      </c>
      <c r="BY55" s="37">
        <f ca="1">IF($C16=TRUE,BY31*(1-'Get Started  3'!$E10),BY31)</f>
        <v>0</v>
      </c>
      <c r="BZ55" s="37">
        <f ca="1">IF($C16=TRUE,BZ31*(1-'Get Started  3'!$E10),BZ31)</f>
        <v>0</v>
      </c>
      <c r="CA55" s="37">
        <f ca="1">IF($C16=TRUE,CA31*(1-'Get Started  3'!$E10),CA31)</f>
        <v>0</v>
      </c>
      <c r="CB55" s="37">
        <f ca="1">IF($C16=TRUE,CB31*(1-'Get Started  3'!$E10),CB31)</f>
        <v>0</v>
      </c>
      <c r="CC55" s="37">
        <f ca="1">IF($C16=TRUE,CC31*(1-'Get Started  3'!$E10),CC31)</f>
        <v>0</v>
      </c>
      <c r="CD55" s="37">
        <f ca="1">IF($C16=TRUE,CD31*(1-'Get Started  3'!$E10),CD31)</f>
        <v>0</v>
      </c>
      <c r="CE55" s="37">
        <f ca="1">IF($C16=TRUE,CE31*(1-'Get Started  3'!$E10),CE31)</f>
        <v>0</v>
      </c>
      <c r="CF55" s="37">
        <f ca="1">IF($C16=TRUE,CF31*(1-'Get Started  3'!$E10),CF31)</f>
        <v>0</v>
      </c>
      <c r="CG55" s="37">
        <f ca="1">IF($C16=TRUE,CG31*(1-'Get Started  3'!$E10),CG31)</f>
        <v>0</v>
      </c>
      <c r="CH55" s="37">
        <f ca="1">IF($C16=TRUE,CH31*(1-'Get Started  3'!$E10),CH31)</f>
        <v>0</v>
      </c>
    </row>
    <row r="56" spans="1:86" ht="13">
      <c r="A56" s="13"/>
      <c r="B56" s="13" t="str">
        <f>B50&amp;", from LPs"</f>
        <v>Change in Invested Capital, from LPs</v>
      </c>
      <c r="C56" s="13"/>
      <c r="D56" s="13" t="s">
        <v>238</v>
      </c>
      <c r="E56" s="37">
        <f t="shared" ca="1" si="13"/>
        <v>-4.7730281949043274E-9</v>
      </c>
      <c r="F56" s="48"/>
      <c r="G56" s="37">
        <f ca="1">IF($C16=TRUE,G50*(1-'Get Started  3'!$E10),G50)</f>
        <v>1203125</v>
      </c>
      <c r="H56" s="37">
        <f ca="1">IF($C16=TRUE,H50*(1-'Get Started  3'!$E10),H50)</f>
        <v>1203125</v>
      </c>
      <c r="I56" s="37">
        <f ca="1">IF($C16=TRUE,I50*(1-'Get Started  3'!$E10),I50)</f>
        <v>1203125</v>
      </c>
      <c r="J56" s="37">
        <f ca="1">IF($C16=TRUE,J50*(1-'Get Started  3'!$E10),J50)</f>
        <v>1203125</v>
      </c>
      <c r="K56" s="37">
        <f ca="1">IF($C16=TRUE,K50*(1-'Get Started  3'!$E10),K50)</f>
        <v>1203125</v>
      </c>
      <c r="L56" s="37">
        <f ca="1">IF($C16=TRUE,L50*(1-'Get Started  3'!$E10),L50)</f>
        <v>1203125</v>
      </c>
      <c r="M56" s="37">
        <f ca="1">IF($C16=TRUE,M50*(1-'Get Started  3'!$E10),M50)</f>
        <v>1203125</v>
      </c>
      <c r="N56" s="37">
        <f ca="1">IF($C16=TRUE,N50*(1-'Get Started  3'!$E10),N50)</f>
        <v>1203125</v>
      </c>
      <c r="O56" s="37">
        <f ca="1">IF($C16=TRUE,O50*(1-'Get Started  3'!$E10),O50)</f>
        <v>521354.16666666663</v>
      </c>
      <c r="P56" s="37">
        <f ca="1">IF($C16=TRUE,P50*(1-'Get Started  3'!$E10),P50)</f>
        <v>521354.16666666663</v>
      </c>
      <c r="Q56" s="37">
        <f ca="1">IF($C16=TRUE,Q50*(1-'Get Started  3'!$E10),Q50)</f>
        <v>521354.16666666663</v>
      </c>
      <c r="R56" s="37">
        <f ca="1">IF($C16=TRUE,R50*(1-'Get Started  3'!$E10),R50)</f>
        <v>521354.16666666663</v>
      </c>
      <c r="S56" s="37">
        <f ca="1">IF($C16=TRUE,S50*(1-'Get Started  3'!$E10),S50)</f>
        <v>521354.16666666651</v>
      </c>
      <c r="T56" s="37">
        <f ca="1">IF($C16=TRUE,T50*(1-'Get Started  3'!$E10),T50)</f>
        <v>521354.16666666651</v>
      </c>
      <c r="U56" s="37">
        <f ca="1">IF($C16=TRUE,U50*(1-'Get Started  3'!$E10),U50)</f>
        <v>521354.16666666651</v>
      </c>
      <c r="V56" s="37">
        <f ca="1">IF($C16=TRUE,V50*(1-'Get Started  3'!$E10),V50)</f>
        <v>521354.16666666651</v>
      </c>
      <c r="W56" s="37">
        <f ca="1">IF($C16=TRUE,W50*(1-'Get Started  3'!$E10),W50)</f>
        <v>-962500</v>
      </c>
      <c r="X56" s="37">
        <f ca="1">IF($C16=TRUE,X50*(1-'Get Started  3'!$E10),X50)</f>
        <v>-962500</v>
      </c>
      <c r="Y56" s="37">
        <f ca="1">IF($C16=TRUE,Y50*(1-'Get Started  3'!$E10),Y50)</f>
        <v>-962500</v>
      </c>
      <c r="Z56" s="37">
        <f ca="1">IF($C16=TRUE,Z50*(1-'Get Started  3'!$E10),Z50)</f>
        <v>-962500</v>
      </c>
      <c r="AA56" s="37">
        <f ca="1">IF($C16=TRUE,AA50*(1-'Get Started  3'!$E10),AA50)</f>
        <v>-1076128.4722222222</v>
      </c>
      <c r="AB56" s="37">
        <f ca="1">IF($C16=TRUE,AB50*(1-'Get Started  3'!$E10),AB50)</f>
        <v>-1076128.4722222222</v>
      </c>
      <c r="AC56" s="37">
        <f ca="1">IF($C16=TRUE,AC50*(1-'Get Started  3'!$E10),AC50)</f>
        <v>-1076128.4722222222</v>
      </c>
      <c r="AD56" s="37">
        <f ca="1">IF($C16=TRUE,AD50*(1-'Get Started  3'!$E10),AD50)</f>
        <v>-1076128.4722222222</v>
      </c>
      <c r="AE56" s="37">
        <f ca="1">IF($C16=TRUE,AE50*(1-'Get Started  3'!$E10),AE50)</f>
        <v>-554774.3055555555</v>
      </c>
      <c r="AF56" s="37">
        <f ca="1">IF($C16=TRUE,AF50*(1-'Get Started  3'!$E10),AF50)</f>
        <v>-554774.3055555555</v>
      </c>
      <c r="AG56" s="37">
        <f ca="1">IF($C16=TRUE,AG50*(1-'Get Started  3'!$E10),AG50)</f>
        <v>-554774.3055555555</v>
      </c>
      <c r="AH56" s="37">
        <f ca="1">IF($C16=TRUE,AH50*(1-'Get Started  3'!$E10),AH50)</f>
        <v>-554774.3055555555</v>
      </c>
      <c r="AI56" s="37">
        <f ca="1">IF($C16=TRUE,AI50*(1-'Get Started  3'!$E10),AI50)</f>
        <v>-334201.38888888888</v>
      </c>
      <c r="AJ56" s="37">
        <f ca="1">IF($C16=TRUE,AJ50*(1-'Get Started  3'!$E10),AJ50)</f>
        <v>-334201.38888888888</v>
      </c>
      <c r="AK56" s="37">
        <f ca="1">IF($C16=TRUE,AK50*(1-'Get Started  3'!$E10),AK50)</f>
        <v>-334201.38888888888</v>
      </c>
      <c r="AL56" s="37">
        <f ca="1">IF($C16=TRUE,AL50*(1-'Get Started  3'!$E10),AL50)</f>
        <v>-334201.38888888888</v>
      </c>
      <c r="AM56" s="37">
        <f ca="1">IF($C16=TRUE,AM50*(1-'Get Started  3'!$E10),AM50)</f>
        <v>-240624.99999999994</v>
      </c>
      <c r="AN56" s="37">
        <f ca="1">IF($C16=TRUE,AN50*(1-'Get Started  3'!$E10),AN50)</f>
        <v>-240624.99999999994</v>
      </c>
      <c r="AO56" s="37">
        <f ca="1">IF($C16=TRUE,AO50*(1-'Get Started  3'!$E10),AO50)</f>
        <v>-240624.99999999994</v>
      </c>
      <c r="AP56" s="37">
        <f ca="1">IF($C16=TRUE,AP50*(1-'Get Started  3'!$E10),AP50)</f>
        <v>-240624.99999999994</v>
      </c>
      <c r="AQ56" s="37">
        <f ca="1">IF($C16=TRUE,AQ50*(1-'Get Started  3'!$E10),AQ50)</f>
        <v>-280729.16666666657</v>
      </c>
      <c r="AR56" s="37">
        <f ca="1">IF($C16=TRUE,AR50*(1-'Get Started  3'!$E10),AR50)</f>
        <v>-280729.16666666657</v>
      </c>
      <c r="AS56" s="37">
        <f ca="1">IF($C16=TRUE,AS50*(1-'Get Started  3'!$E10),AS50)</f>
        <v>-280729.16666666657</v>
      </c>
      <c r="AT56" s="37">
        <f ca="1">IF($C16=TRUE,AT50*(1-'Get Started  3'!$E10),AT50)</f>
        <v>-280729.16666666657</v>
      </c>
      <c r="AU56" s="37">
        <f ca="1">IF($C16=TRUE,AU50*(1-'Get Started  3'!$E10),AU50)</f>
        <v>0</v>
      </c>
      <c r="AV56" s="37">
        <f ca="1">IF($C16=TRUE,AV50*(1-'Get Started  3'!$E10),AV50)</f>
        <v>0</v>
      </c>
      <c r="AW56" s="37">
        <f ca="1">IF($C16=TRUE,AW50*(1-'Get Started  3'!$E10),AW50)</f>
        <v>0</v>
      </c>
      <c r="AX56" s="37">
        <f ca="1">IF($C16=TRUE,AX50*(1-'Get Started  3'!$E10),AX50)</f>
        <v>0</v>
      </c>
      <c r="AY56" s="37">
        <f ca="1">IF($C16=TRUE,AY50*(1-'Get Started  3'!$E10),AY50)</f>
        <v>0</v>
      </c>
      <c r="AZ56" s="37">
        <f ca="1">IF($C16=TRUE,AZ50*(1-'Get Started  3'!$E10),AZ50)</f>
        <v>0</v>
      </c>
      <c r="BA56" s="37">
        <f ca="1">IF($C16=TRUE,BA50*(1-'Get Started  3'!$E10),BA50)</f>
        <v>0</v>
      </c>
      <c r="BB56" s="37">
        <f ca="1">IF($C16=TRUE,BB50*(1-'Get Started  3'!$E10),BB50)</f>
        <v>0</v>
      </c>
      <c r="BC56" s="37">
        <f ca="1">IF($C16=TRUE,BC50*(1-'Get Started  3'!$E10),BC50)</f>
        <v>0</v>
      </c>
      <c r="BD56" s="37">
        <f ca="1">IF($C16=TRUE,BD50*(1-'Get Started  3'!$E10),BD50)</f>
        <v>0</v>
      </c>
      <c r="BE56" s="37">
        <f ca="1">IF($C16=TRUE,BE50*(1-'Get Started  3'!$E10),BE50)</f>
        <v>0</v>
      </c>
      <c r="BF56" s="37">
        <f ca="1">IF($C16=TRUE,BF50*(1-'Get Started  3'!$E10),BF50)</f>
        <v>0</v>
      </c>
      <c r="BG56" s="37">
        <f ca="1">IF($C16=TRUE,BG50*(1-'Get Started  3'!$E10),BG50)</f>
        <v>0</v>
      </c>
      <c r="BH56" s="37">
        <f ca="1">IF($C16=TRUE,BH50*(1-'Get Started  3'!$E10),BH50)</f>
        <v>0</v>
      </c>
      <c r="BI56" s="37">
        <f ca="1">IF($C16=TRUE,BI50*(1-'Get Started  3'!$E10),BI50)</f>
        <v>0</v>
      </c>
      <c r="BJ56" s="37">
        <f ca="1">IF($C16=TRUE,BJ50*(1-'Get Started  3'!$E10),BJ50)</f>
        <v>0</v>
      </c>
      <c r="BK56" s="37">
        <f ca="1">IF($C16=TRUE,BK50*(1-'Get Started  3'!$E10),BK50)</f>
        <v>0</v>
      </c>
      <c r="BL56" s="37">
        <f ca="1">IF($C16=TRUE,BL50*(1-'Get Started  3'!$E10),BL50)</f>
        <v>0</v>
      </c>
      <c r="BM56" s="37">
        <f ca="1">IF($C16=TRUE,BM50*(1-'Get Started  3'!$E10),BM50)</f>
        <v>0</v>
      </c>
      <c r="BN56" s="37">
        <f ca="1">IF($C16=TRUE,BN50*(1-'Get Started  3'!$E10),BN50)</f>
        <v>0</v>
      </c>
      <c r="BO56" s="37">
        <f ca="1">IF($C16=TRUE,BO50*(1-'Get Started  3'!$E10),BO50)</f>
        <v>0</v>
      </c>
      <c r="BP56" s="37">
        <f ca="1">IF($C16=TRUE,BP50*(1-'Get Started  3'!$E10),BP50)</f>
        <v>0</v>
      </c>
      <c r="BQ56" s="37">
        <f ca="1">IF($C16=TRUE,BQ50*(1-'Get Started  3'!$E10),BQ50)</f>
        <v>0</v>
      </c>
      <c r="BR56" s="37">
        <f ca="1">IF($C16=TRUE,BR50*(1-'Get Started  3'!$E10),BR50)</f>
        <v>0</v>
      </c>
      <c r="BS56" s="37">
        <f ca="1">IF($C16=TRUE,BS50*(1-'Get Started  3'!$E10),BS50)</f>
        <v>0</v>
      </c>
      <c r="BT56" s="37">
        <f ca="1">IF($C16=TRUE,BT50*(1-'Get Started  3'!$E10),BT50)</f>
        <v>0</v>
      </c>
      <c r="BU56" s="37">
        <f ca="1">IF($C16=TRUE,BU50*(1-'Get Started  3'!$E10),BU50)</f>
        <v>0</v>
      </c>
      <c r="BV56" s="37">
        <f ca="1">IF($C16=TRUE,BV50*(1-'Get Started  3'!$E10),BV50)</f>
        <v>0</v>
      </c>
      <c r="BW56" s="37">
        <f ca="1">IF($C16=TRUE,BW50*(1-'Get Started  3'!$E10),BW50)</f>
        <v>0</v>
      </c>
      <c r="BX56" s="37">
        <f ca="1">IF($C16=TRUE,BX50*(1-'Get Started  3'!$E10),BX50)</f>
        <v>0</v>
      </c>
      <c r="BY56" s="37">
        <f ca="1">IF($C16=TRUE,BY50*(1-'Get Started  3'!$E10),BY50)</f>
        <v>0</v>
      </c>
      <c r="BZ56" s="37">
        <f ca="1">IF($C16=TRUE,BZ50*(1-'Get Started  3'!$E10),BZ50)</f>
        <v>0</v>
      </c>
      <c r="CA56" s="37">
        <f ca="1">IF($C16=TRUE,CA50*(1-'Get Started  3'!$E10),CA50)</f>
        <v>0</v>
      </c>
      <c r="CB56" s="37">
        <f ca="1">IF($C16=TRUE,CB50*(1-'Get Started  3'!$E10),CB50)</f>
        <v>0</v>
      </c>
      <c r="CC56" s="37">
        <f ca="1">IF($C16=TRUE,CC50*(1-'Get Started  3'!$E10),CC50)</f>
        <v>0</v>
      </c>
      <c r="CD56" s="37">
        <f ca="1">IF($C16=TRUE,CD50*(1-'Get Started  3'!$E10),CD50)</f>
        <v>0</v>
      </c>
      <c r="CE56" s="37">
        <f ca="1">IF($C16=TRUE,CE50*(1-'Get Started  3'!$E10),CE50)</f>
        <v>0</v>
      </c>
      <c r="CF56" s="37">
        <f ca="1">IF($C16=TRUE,CF50*(1-'Get Started  3'!$E10),CF50)</f>
        <v>0</v>
      </c>
      <c r="CG56" s="37">
        <f ca="1">IF($C16=TRUE,CG50*(1-'Get Started  3'!$E10),CG50)</f>
        <v>0</v>
      </c>
      <c r="CH56" s="37">
        <f ca="1">IF($C16=TRUE,CH50*(1-'Get Started  3'!$E10),CH50)</f>
        <v>0</v>
      </c>
    </row>
    <row r="57" spans="1:86" ht="13">
      <c r="A57" s="13"/>
      <c r="B57" s="13" t="s">
        <v>283</v>
      </c>
      <c r="C57" s="13"/>
      <c r="D57" s="13" t="s">
        <v>238</v>
      </c>
      <c r="E57" s="37">
        <f t="shared" ca="1" si="13"/>
        <v>185846791.66666669</v>
      </c>
      <c r="F57" s="48"/>
      <c r="G57" s="37">
        <f t="shared" ref="G57:CH57" ca="1" si="22">G47-G58+G46+G45</f>
        <v>0</v>
      </c>
      <c r="H57" s="37">
        <f t="shared" ca="1" si="22"/>
        <v>0</v>
      </c>
      <c r="I57" s="37">
        <f t="shared" ca="1" si="22"/>
        <v>0</v>
      </c>
      <c r="J57" s="37">
        <f t="shared" ca="1" si="22"/>
        <v>0</v>
      </c>
      <c r="K57" s="37">
        <f t="shared" ca="1" si="22"/>
        <v>0</v>
      </c>
      <c r="L57" s="37">
        <f t="shared" ca="1" si="22"/>
        <v>0</v>
      </c>
      <c r="M57" s="37">
        <f t="shared" ca="1" si="22"/>
        <v>0</v>
      </c>
      <c r="N57" s="37">
        <f t="shared" ca="1" si="22"/>
        <v>0</v>
      </c>
      <c r="O57" s="37">
        <f t="shared" ca="1" si="22"/>
        <v>0</v>
      </c>
      <c r="P57" s="37">
        <f t="shared" ca="1" si="22"/>
        <v>0</v>
      </c>
      <c r="Q57" s="37">
        <f t="shared" ca="1" si="22"/>
        <v>0</v>
      </c>
      <c r="R57" s="37">
        <f t="shared" ca="1" si="22"/>
        <v>0</v>
      </c>
      <c r="S57" s="37">
        <f t="shared" ca="1" si="22"/>
        <v>793902.08333333384</v>
      </c>
      <c r="T57" s="37">
        <f t="shared" ca="1" si="22"/>
        <v>793902.08333333384</v>
      </c>
      <c r="U57" s="37">
        <f t="shared" ca="1" si="22"/>
        <v>793902.08333333384</v>
      </c>
      <c r="V57" s="37">
        <f t="shared" ca="1" si="22"/>
        <v>793902.08333333384</v>
      </c>
      <c r="W57" s="37">
        <f t="shared" ca="1" si="22"/>
        <v>2476031.2500000009</v>
      </c>
      <c r="X57" s="37">
        <f t="shared" ca="1" si="22"/>
        <v>2476031.2500000009</v>
      </c>
      <c r="Y57" s="37">
        <f t="shared" ca="1" si="22"/>
        <v>2476031.2500000009</v>
      </c>
      <c r="Z57" s="37">
        <f t="shared" ca="1" si="22"/>
        <v>2329684.5833333335</v>
      </c>
      <c r="AA57" s="37">
        <f t="shared" ca="1" si="22"/>
        <v>2243791.666666667</v>
      </c>
      <c r="AB57" s="37">
        <f t="shared" ca="1" si="22"/>
        <v>2243791.666666667</v>
      </c>
      <c r="AC57" s="37">
        <f t="shared" ca="1" si="22"/>
        <v>2243791.666666667</v>
      </c>
      <c r="AD57" s="37">
        <f t="shared" ca="1" si="22"/>
        <v>2243791.6666666679</v>
      </c>
      <c r="AE57" s="37">
        <f t="shared" ca="1" si="22"/>
        <v>11162159.166666666</v>
      </c>
      <c r="AF57" s="37">
        <f t="shared" ca="1" si="22"/>
        <v>11162159.166666666</v>
      </c>
      <c r="AG57" s="37">
        <f t="shared" ca="1" si="22"/>
        <v>11162159.166666666</v>
      </c>
      <c r="AH57" s="37">
        <f t="shared" ca="1" si="22"/>
        <v>11162159.166666666</v>
      </c>
      <c r="AI57" s="37">
        <f t="shared" ca="1" si="22"/>
        <v>10381956.666666666</v>
      </c>
      <c r="AJ57" s="37">
        <f t="shared" ca="1" si="22"/>
        <v>10381956.666666666</v>
      </c>
      <c r="AK57" s="37">
        <f t="shared" ca="1" si="22"/>
        <v>10381956.666666666</v>
      </c>
      <c r="AL57" s="37">
        <f t="shared" ca="1" si="22"/>
        <v>10381956.666666666</v>
      </c>
      <c r="AM57" s="37">
        <f t="shared" ca="1" si="22"/>
        <v>8972512.4999999981</v>
      </c>
      <c r="AN57" s="37">
        <f t="shared" ca="1" si="22"/>
        <v>8972512.4999999981</v>
      </c>
      <c r="AO57" s="37">
        <f t="shared" ca="1" si="22"/>
        <v>8972512.4999999981</v>
      </c>
      <c r="AP57" s="37">
        <f t="shared" ca="1" si="22"/>
        <v>8972512.4999999981</v>
      </c>
      <c r="AQ57" s="37">
        <f t="shared" ca="1" si="22"/>
        <v>10467931.249999996</v>
      </c>
      <c r="AR57" s="37">
        <f t="shared" ca="1" si="22"/>
        <v>10467931.249999996</v>
      </c>
      <c r="AS57" s="37">
        <f t="shared" ca="1" si="22"/>
        <v>10467931.249999996</v>
      </c>
      <c r="AT57" s="37">
        <f t="shared" ca="1" si="22"/>
        <v>10467931.249999996</v>
      </c>
      <c r="AU57" s="37">
        <f t="shared" ca="1" si="22"/>
        <v>0</v>
      </c>
      <c r="AV57" s="37">
        <f t="shared" ca="1" si="22"/>
        <v>0</v>
      </c>
      <c r="AW57" s="37">
        <f t="shared" ca="1" si="22"/>
        <v>0</v>
      </c>
      <c r="AX57" s="37">
        <f t="shared" ca="1" si="22"/>
        <v>0</v>
      </c>
      <c r="AY57" s="37">
        <f t="shared" ca="1" si="22"/>
        <v>0</v>
      </c>
      <c r="AZ57" s="37">
        <f t="shared" ca="1" si="22"/>
        <v>0</v>
      </c>
      <c r="BA57" s="37">
        <f t="shared" ca="1" si="22"/>
        <v>0</v>
      </c>
      <c r="BB57" s="37">
        <f t="shared" ca="1" si="22"/>
        <v>0</v>
      </c>
      <c r="BC57" s="37">
        <f t="shared" ca="1" si="22"/>
        <v>0</v>
      </c>
      <c r="BD57" s="37">
        <f t="shared" ca="1" si="22"/>
        <v>0</v>
      </c>
      <c r="BE57" s="37">
        <f t="shared" ca="1" si="22"/>
        <v>0</v>
      </c>
      <c r="BF57" s="37">
        <f t="shared" ca="1" si="22"/>
        <v>0</v>
      </c>
      <c r="BG57" s="37">
        <f t="shared" ca="1" si="22"/>
        <v>0</v>
      </c>
      <c r="BH57" s="37">
        <f t="shared" ca="1" si="22"/>
        <v>0</v>
      </c>
      <c r="BI57" s="37">
        <f t="shared" ca="1" si="22"/>
        <v>0</v>
      </c>
      <c r="BJ57" s="37">
        <f t="shared" ca="1" si="22"/>
        <v>0</v>
      </c>
      <c r="BK57" s="37">
        <f t="shared" ca="1" si="22"/>
        <v>0</v>
      </c>
      <c r="BL57" s="37">
        <f t="shared" ca="1" si="22"/>
        <v>0</v>
      </c>
      <c r="BM57" s="37">
        <f t="shared" ca="1" si="22"/>
        <v>0</v>
      </c>
      <c r="BN57" s="37">
        <f t="shared" ca="1" si="22"/>
        <v>0</v>
      </c>
      <c r="BO57" s="37">
        <f t="shared" ca="1" si="22"/>
        <v>0</v>
      </c>
      <c r="BP57" s="37">
        <f t="shared" ca="1" si="22"/>
        <v>0</v>
      </c>
      <c r="BQ57" s="37">
        <f t="shared" ca="1" si="22"/>
        <v>0</v>
      </c>
      <c r="BR57" s="37">
        <f t="shared" ca="1" si="22"/>
        <v>0</v>
      </c>
      <c r="BS57" s="37">
        <f t="shared" ca="1" si="22"/>
        <v>0</v>
      </c>
      <c r="BT57" s="37">
        <f t="shared" ca="1" si="22"/>
        <v>0</v>
      </c>
      <c r="BU57" s="37">
        <f t="shared" ca="1" si="22"/>
        <v>0</v>
      </c>
      <c r="BV57" s="37">
        <f t="shared" ca="1" si="22"/>
        <v>0</v>
      </c>
      <c r="BW57" s="37">
        <f t="shared" ca="1" si="22"/>
        <v>0</v>
      </c>
      <c r="BX57" s="37">
        <f t="shared" ca="1" si="22"/>
        <v>0</v>
      </c>
      <c r="BY57" s="37">
        <f t="shared" ca="1" si="22"/>
        <v>0</v>
      </c>
      <c r="BZ57" s="37">
        <f t="shared" ca="1" si="22"/>
        <v>0</v>
      </c>
      <c r="CA57" s="37">
        <f t="shared" ca="1" si="22"/>
        <v>0</v>
      </c>
      <c r="CB57" s="37">
        <f t="shared" ca="1" si="22"/>
        <v>0</v>
      </c>
      <c r="CC57" s="37">
        <f t="shared" ca="1" si="22"/>
        <v>0</v>
      </c>
      <c r="CD57" s="37">
        <f t="shared" ca="1" si="22"/>
        <v>0</v>
      </c>
      <c r="CE57" s="37">
        <f t="shared" ca="1" si="22"/>
        <v>0</v>
      </c>
      <c r="CF57" s="37">
        <f t="shared" ca="1" si="22"/>
        <v>0</v>
      </c>
      <c r="CG57" s="37">
        <f t="shared" ca="1" si="22"/>
        <v>0</v>
      </c>
      <c r="CH57" s="37">
        <f t="shared" ca="1" si="22"/>
        <v>0</v>
      </c>
    </row>
    <row r="58" spans="1:86" ht="13">
      <c r="A58" s="13"/>
      <c r="B58" s="13" t="s">
        <v>284</v>
      </c>
      <c r="C58" s="13"/>
      <c r="D58" s="13" t="s">
        <v>238</v>
      </c>
      <c r="E58" s="37">
        <f t="shared" ca="1" si="13"/>
        <v>44952687.499999993</v>
      </c>
      <c r="F58" s="48"/>
      <c r="G58" s="37">
        <f ca="1">IF($C16=TRUE,G46+G45,G46+G45+G47*'Get Started  3'!$E10)</f>
        <v>0</v>
      </c>
      <c r="H58" s="37">
        <f ca="1">IF($C16=TRUE,H46+H45,H46+H45+H47*'Get Started  3'!$E10)</f>
        <v>0</v>
      </c>
      <c r="I58" s="37">
        <f ca="1">IF($C16=TRUE,I46+I45,I46+I45+I47*'Get Started  3'!$E10)</f>
        <v>0</v>
      </c>
      <c r="J58" s="37">
        <f ca="1">IF($C16=TRUE,J46+J45,J46+J45+J47*'Get Started  3'!$E10)</f>
        <v>0</v>
      </c>
      <c r="K58" s="37">
        <f ca="1">IF($C16=TRUE,K46+K45,K46+K45+K47*'Get Started  3'!$E10)</f>
        <v>0</v>
      </c>
      <c r="L58" s="37">
        <f ca="1">IF($C16=TRUE,L46+L45,L46+L45+L47*'Get Started  3'!$E10)</f>
        <v>0</v>
      </c>
      <c r="M58" s="37">
        <f ca="1">IF($C16=TRUE,M46+M45,M46+M45+M47*'Get Started  3'!$E10)</f>
        <v>0</v>
      </c>
      <c r="N58" s="37">
        <f ca="1">IF($C16=TRUE,N46+N45,N46+N45+N47*'Get Started  3'!$E10)</f>
        <v>0</v>
      </c>
      <c r="O58" s="37">
        <f ca="1">IF($C16=TRUE,O46+O45,O46+O45+O47*'Get Started  3'!$E10)</f>
        <v>0</v>
      </c>
      <c r="P58" s="37">
        <f ca="1">IF($C16=TRUE,P46+P45,P46+P45+P47*'Get Started  3'!$E10)</f>
        <v>0</v>
      </c>
      <c r="Q58" s="37">
        <f ca="1">IF($C16=TRUE,Q46+Q45,Q46+Q45+Q47*'Get Started  3'!$E10)</f>
        <v>0</v>
      </c>
      <c r="R58" s="37">
        <f ca="1">IF($C16=TRUE,R46+R45,R46+R45+R47*'Get Started  3'!$E10)</f>
        <v>0</v>
      </c>
      <c r="S58" s="37">
        <f ca="1">IF($C16=TRUE,S46+S45,S46+S45+S47*'Get Started  3'!$E10)</f>
        <v>16202.083333333345</v>
      </c>
      <c r="T58" s="37">
        <f ca="1">IF($C16=TRUE,T46+T45,T46+T45+T47*'Get Started  3'!$E10)</f>
        <v>16202.083333333345</v>
      </c>
      <c r="U58" s="37">
        <f ca="1">IF($C16=TRUE,U46+U45,U46+U45+U47*'Get Started  3'!$E10)</f>
        <v>16202.083333333345</v>
      </c>
      <c r="V58" s="37">
        <f ca="1">IF($C16=TRUE,V46+V45,V46+V45+V47*'Get Started  3'!$E10)</f>
        <v>16202.083333333345</v>
      </c>
      <c r="W58" s="37">
        <f ca="1">IF($C16=TRUE,W46+W45,W46+W45+W47*'Get Started  3'!$E10)</f>
        <v>50531.250000000022</v>
      </c>
      <c r="X58" s="37">
        <f ca="1">IF($C16=TRUE,X46+X45,X46+X45+X47*'Get Started  3'!$E10)</f>
        <v>50531.250000000022</v>
      </c>
      <c r="Y58" s="37">
        <f ca="1">IF($C16=TRUE,Y46+Y45,Y46+Y45+Y47*'Get Started  3'!$E10)</f>
        <v>50531.250000000022</v>
      </c>
      <c r="Z58" s="37">
        <f ca="1">IF($C16=TRUE,Z46+Z45,Z46+Z45+Z47*'Get Started  3'!$E10)</f>
        <v>196877.9166666675</v>
      </c>
      <c r="AA58" s="37">
        <f ca="1">IF($C16=TRUE,AA46+AA45,AA46+AA45+AA47*'Get Started  3'!$E10)</f>
        <v>282770.83333333366</v>
      </c>
      <c r="AB58" s="37">
        <f ca="1">IF($C16=TRUE,AB46+AB45,AB46+AB45+AB47*'Get Started  3'!$E10)</f>
        <v>282770.83333333366</v>
      </c>
      <c r="AC58" s="37">
        <f ca="1">IF($C16=TRUE,AC46+AC45,AC46+AC45+AC47*'Get Started  3'!$E10)</f>
        <v>282770.83333333366</v>
      </c>
      <c r="AD58" s="37">
        <f ca="1">IF($C16=TRUE,AD46+AD45,AD46+AD45+AD47*'Get Started  3'!$E10)</f>
        <v>282770.83333333331</v>
      </c>
      <c r="AE58" s="37">
        <f ca="1">IF($C16=TRUE,AE46+AE45,AE46+AE45+AE47*'Get Started  3'!$E10)</f>
        <v>2902372.0833333326</v>
      </c>
      <c r="AF58" s="37">
        <f ca="1">IF($C16=TRUE,AF46+AF45,AF46+AF45+AF47*'Get Started  3'!$E10)</f>
        <v>2902372.0833333326</v>
      </c>
      <c r="AG58" s="37">
        <f ca="1">IF($C16=TRUE,AG46+AG45,AG46+AG45+AG47*'Get Started  3'!$E10)</f>
        <v>2902372.0833333326</v>
      </c>
      <c r="AH58" s="37">
        <f ca="1">IF($C16=TRUE,AH46+AH45,AH46+AH45+AH47*'Get Started  3'!$E10)</f>
        <v>2902372.0833333326</v>
      </c>
      <c r="AI58" s="37">
        <f ca="1">IF($C16=TRUE,AI46+AI45,AI46+AI45+AI47*'Get Started  3'!$E10)</f>
        <v>2756168.3333333326</v>
      </c>
      <c r="AJ58" s="37">
        <f ca="1">IF($C16=TRUE,AJ46+AJ45,AJ46+AJ45+AJ47*'Get Started  3'!$E10)</f>
        <v>2756168.3333333326</v>
      </c>
      <c r="AK58" s="37">
        <f ca="1">IF($C16=TRUE,AK46+AK45,AK46+AK45+AK47*'Get Started  3'!$E10)</f>
        <v>2756168.3333333326</v>
      </c>
      <c r="AL58" s="37">
        <f ca="1">IF($C16=TRUE,AL46+AL45,AL46+AL45+AL47*'Get Started  3'!$E10)</f>
        <v>2756168.3333333326</v>
      </c>
      <c r="AM58" s="37">
        <f ca="1">IF($C16=TRUE,AM46+AM45,AM46+AM45+AM47*'Get Started  3'!$E10)</f>
        <v>2397018.7499999995</v>
      </c>
      <c r="AN58" s="37">
        <f ca="1">IF($C16=TRUE,AN46+AN45,AN46+AN45+AN47*'Get Started  3'!$E10)</f>
        <v>2397018.7499999995</v>
      </c>
      <c r="AO58" s="37">
        <f ca="1">IF($C16=TRUE,AO46+AO45,AO46+AO45+AO47*'Get Started  3'!$E10)</f>
        <v>2397018.7499999995</v>
      </c>
      <c r="AP58" s="37">
        <f ca="1">IF($C16=TRUE,AP46+AP45,AP46+AP45+AP47*'Get Started  3'!$E10)</f>
        <v>2397018.7499999995</v>
      </c>
      <c r="AQ58" s="37">
        <f ca="1">IF($C16=TRUE,AQ46+AQ45,AQ46+AQ45+AQ47*'Get Started  3'!$E10)</f>
        <v>2796521.8749999995</v>
      </c>
      <c r="AR58" s="37">
        <f ca="1">IF($C16=TRUE,AR46+AR45,AR46+AR45+AR47*'Get Started  3'!$E10)</f>
        <v>2796521.8749999995</v>
      </c>
      <c r="AS58" s="37">
        <f ca="1">IF($C16=TRUE,AS46+AS45,AS46+AS45+AS47*'Get Started  3'!$E10)</f>
        <v>2796521.8749999995</v>
      </c>
      <c r="AT58" s="37">
        <f ca="1">IF($C16=TRUE,AT46+AT45,AT46+AT45+AT47*'Get Started  3'!$E10)</f>
        <v>2796521.8749999995</v>
      </c>
      <c r="AU58" s="37">
        <f ca="1">IF($C16=TRUE,AU46+AU45,AU46+AU45+AU47*'Get Started  3'!$E10)</f>
        <v>0</v>
      </c>
      <c r="AV58" s="37">
        <f ca="1">IF($C16=TRUE,AV46+AV45,AV46+AV45+AV47*'Get Started  3'!$E10)</f>
        <v>0</v>
      </c>
      <c r="AW58" s="37">
        <f ca="1">IF($C16=TRUE,AW46+AW45,AW46+AW45+AW47*'Get Started  3'!$E10)</f>
        <v>0</v>
      </c>
      <c r="AX58" s="37">
        <f ca="1">IF($C16=TRUE,AX46+AX45,AX46+AX45+AX47*'Get Started  3'!$E10)</f>
        <v>0</v>
      </c>
      <c r="AY58" s="37">
        <f ca="1">IF($C16=TRUE,AY46+AY45,AY46+AY45+AY47*'Get Started  3'!$E10)</f>
        <v>0</v>
      </c>
      <c r="AZ58" s="37">
        <f ca="1">IF($C16=TRUE,AZ46+AZ45,AZ46+AZ45+AZ47*'Get Started  3'!$E10)</f>
        <v>0</v>
      </c>
      <c r="BA58" s="37">
        <f ca="1">IF($C16=TRUE,BA46+BA45,BA46+BA45+BA47*'Get Started  3'!$E10)</f>
        <v>0</v>
      </c>
      <c r="BB58" s="37">
        <f ca="1">IF($C16=TRUE,BB46+BB45,BB46+BB45+BB47*'Get Started  3'!$E10)</f>
        <v>0</v>
      </c>
      <c r="BC58" s="37">
        <f ca="1">IF($C16=TRUE,BC46+BC45,BC46+BC45+BC47*'Get Started  3'!$E10)</f>
        <v>0</v>
      </c>
      <c r="BD58" s="37">
        <f ca="1">IF($C16=TRUE,BD46+BD45,BD46+BD45+BD47*'Get Started  3'!$E10)</f>
        <v>0</v>
      </c>
      <c r="BE58" s="37">
        <f ca="1">IF($C16=TRUE,BE46+BE45,BE46+BE45+BE47*'Get Started  3'!$E10)</f>
        <v>0</v>
      </c>
      <c r="BF58" s="37">
        <f ca="1">IF($C16=TRUE,BF46+BF45,BF46+BF45+BF47*'Get Started  3'!$E10)</f>
        <v>0</v>
      </c>
      <c r="BG58" s="37">
        <f ca="1">IF($C16=TRUE,BG46+BG45,BG46+BG45+BG47*'Get Started  3'!$E10)</f>
        <v>0</v>
      </c>
      <c r="BH58" s="37">
        <f ca="1">IF($C16=TRUE,BH46+BH45,BH46+BH45+BH47*'Get Started  3'!$E10)</f>
        <v>0</v>
      </c>
      <c r="BI58" s="37">
        <f ca="1">IF($C16=TRUE,BI46+BI45,BI46+BI45+BI47*'Get Started  3'!$E10)</f>
        <v>0</v>
      </c>
      <c r="BJ58" s="37">
        <f ca="1">IF($C16=TRUE,BJ46+BJ45,BJ46+BJ45+BJ47*'Get Started  3'!$E10)</f>
        <v>0</v>
      </c>
      <c r="BK58" s="37">
        <f ca="1">IF($C16=TRUE,BK46+BK45,BK46+BK45+BK47*'Get Started  3'!$E10)</f>
        <v>0</v>
      </c>
      <c r="BL58" s="37">
        <f ca="1">IF($C16=TRUE,BL46+BL45,BL46+BL45+BL47*'Get Started  3'!$E10)</f>
        <v>0</v>
      </c>
      <c r="BM58" s="37">
        <f ca="1">IF($C16=TRUE,BM46+BM45,BM46+BM45+BM47*'Get Started  3'!$E10)</f>
        <v>0</v>
      </c>
      <c r="BN58" s="37">
        <f ca="1">IF($C16=TRUE,BN46+BN45,BN46+BN45+BN47*'Get Started  3'!$E10)</f>
        <v>0</v>
      </c>
      <c r="BO58" s="37">
        <f ca="1">IF($C16=TRUE,BO46+BO45,BO46+BO45+BO47*'Get Started  3'!$E10)</f>
        <v>0</v>
      </c>
      <c r="BP58" s="37">
        <f ca="1">IF($C16=TRUE,BP46+BP45,BP46+BP45+BP47*'Get Started  3'!$E10)</f>
        <v>0</v>
      </c>
      <c r="BQ58" s="37">
        <f ca="1">IF($C16=TRUE,BQ46+BQ45,BQ46+BQ45+BQ47*'Get Started  3'!$E10)</f>
        <v>0</v>
      </c>
      <c r="BR58" s="37">
        <f ca="1">IF($C16=TRUE,BR46+BR45,BR46+BR45+BR47*'Get Started  3'!$E10)</f>
        <v>0</v>
      </c>
      <c r="BS58" s="37">
        <f ca="1">IF($C16=TRUE,BS46+BS45,BS46+BS45+BS47*'Get Started  3'!$E10)</f>
        <v>0</v>
      </c>
      <c r="BT58" s="37">
        <f ca="1">IF($C16=TRUE,BT46+BT45,BT46+BT45+BT47*'Get Started  3'!$E10)</f>
        <v>0</v>
      </c>
      <c r="BU58" s="37">
        <f ca="1">IF($C16=TRUE,BU46+BU45,BU46+BU45+BU47*'Get Started  3'!$E10)</f>
        <v>0</v>
      </c>
      <c r="BV58" s="37">
        <f ca="1">IF($C16=TRUE,BV46+BV45,BV46+BV45+BV47*'Get Started  3'!$E10)</f>
        <v>0</v>
      </c>
      <c r="BW58" s="37">
        <f ca="1">IF($C16=TRUE,BW46+BW45,BW46+BW45+BW47*'Get Started  3'!$E10)</f>
        <v>0</v>
      </c>
      <c r="BX58" s="37">
        <f ca="1">IF($C16=TRUE,BX46+BX45,BX46+BX45+BX47*'Get Started  3'!$E10)</f>
        <v>0</v>
      </c>
      <c r="BY58" s="37">
        <f ca="1">IF($C16=TRUE,BY46+BY45,BY46+BY45+BY47*'Get Started  3'!$E10)</f>
        <v>0</v>
      </c>
      <c r="BZ58" s="37">
        <f ca="1">IF($C16=TRUE,BZ46+BZ45,BZ46+BZ45+BZ47*'Get Started  3'!$E10)</f>
        <v>0</v>
      </c>
      <c r="CA58" s="37">
        <f ca="1">IF($C16=TRUE,CA46+CA45,CA46+CA45+CA47*'Get Started  3'!$E10)</f>
        <v>0</v>
      </c>
      <c r="CB58" s="37">
        <f ca="1">IF($C16=TRUE,CB46+CB45,CB46+CB45+CB47*'Get Started  3'!$E10)</f>
        <v>0</v>
      </c>
      <c r="CC58" s="37">
        <f ca="1">IF($C16=TRUE,CC46+CC45,CC46+CC45+CC47*'Get Started  3'!$E10)</f>
        <v>0</v>
      </c>
      <c r="CD58" s="37">
        <f ca="1">IF($C16=TRUE,CD46+CD45,CD46+CD45+CD47*'Get Started  3'!$E10)</f>
        <v>0</v>
      </c>
      <c r="CE58" s="37">
        <f ca="1">IF($C16=TRUE,CE46+CE45,CE46+CE45+CE47*'Get Started  3'!$E10)</f>
        <v>0</v>
      </c>
      <c r="CF58" s="37">
        <f ca="1">IF($C16=TRUE,CF46+CF45,CF46+CF45+CF47*'Get Started  3'!$E10)</f>
        <v>0</v>
      </c>
      <c r="CG58" s="37">
        <f ca="1">IF($C16=TRUE,CG46+CG45,CG46+CG45+CG47*'Get Started  3'!$E10)</f>
        <v>0</v>
      </c>
      <c r="CH58" s="37">
        <f ca="1">IF($C16=TRUE,CH46+CH45,CH46+CH45+CH47*'Get Started  3'!$E10)</f>
        <v>0</v>
      </c>
    </row>
    <row r="59" spans="1:86" ht="13">
      <c r="B59" s="15" t="str">
        <f t="shared" ref="B59:B87" si="23">"Cumulative "&amp;B30</f>
        <v>Cumulative Committed Capital</v>
      </c>
      <c r="C59" s="15"/>
      <c r="D59" s="15" t="s">
        <v>247</v>
      </c>
      <c r="E59" s="29">
        <f t="shared" si="13"/>
        <v>25000000</v>
      </c>
      <c r="F59" s="29"/>
      <c r="G59" s="29">
        <f t="shared" ref="G59:CH59" si="24">F59+G30</f>
        <v>25000000</v>
      </c>
      <c r="H59" s="29">
        <f t="shared" si="24"/>
        <v>25000000</v>
      </c>
      <c r="I59" s="29">
        <f t="shared" si="24"/>
        <v>25000000</v>
      </c>
      <c r="J59" s="29">
        <f t="shared" si="24"/>
        <v>25000000</v>
      </c>
      <c r="K59" s="29">
        <f t="shared" si="24"/>
        <v>25000000</v>
      </c>
      <c r="L59" s="29">
        <f t="shared" si="24"/>
        <v>25000000</v>
      </c>
      <c r="M59" s="29">
        <f t="shared" si="24"/>
        <v>25000000</v>
      </c>
      <c r="N59" s="29">
        <f t="shared" si="24"/>
        <v>25000000</v>
      </c>
      <c r="O59" s="29">
        <f t="shared" si="24"/>
        <v>25000000</v>
      </c>
      <c r="P59" s="29">
        <f t="shared" si="24"/>
        <v>25000000</v>
      </c>
      <c r="Q59" s="29">
        <f t="shared" si="24"/>
        <v>25000000</v>
      </c>
      <c r="R59" s="29">
        <f t="shared" si="24"/>
        <v>25000000</v>
      </c>
      <c r="S59" s="29">
        <f t="shared" si="24"/>
        <v>25000000</v>
      </c>
      <c r="T59" s="29">
        <f t="shared" si="24"/>
        <v>25000000</v>
      </c>
      <c r="U59" s="29">
        <f t="shared" si="24"/>
        <v>25000000</v>
      </c>
      <c r="V59" s="29">
        <f t="shared" si="24"/>
        <v>25000000</v>
      </c>
      <c r="W59" s="29">
        <f t="shared" si="24"/>
        <v>25000000</v>
      </c>
      <c r="X59" s="29">
        <f t="shared" si="24"/>
        <v>25000000</v>
      </c>
      <c r="Y59" s="29">
        <f t="shared" si="24"/>
        <v>25000000</v>
      </c>
      <c r="Z59" s="29">
        <f t="shared" si="24"/>
        <v>25000000</v>
      </c>
      <c r="AA59" s="29">
        <f t="shared" si="24"/>
        <v>25000000</v>
      </c>
      <c r="AB59" s="29">
        <f t="shared" si="24"/>
        <v>25000000</v>
      </c>
      <c r="AC59" s="29">
        <f t="shared" si="24"/>
        <v>25000000</v>
      </c>
      <c r="AD59" s="29">
        <f t="shared" si="24"/>
        <v>25000000</v>
      </c>
      <c r="AE59" s="29">
        <f t="shared" si="24"/>
        <v>25000000</v>
      </c>
      <c r="AF59" s="29">
        <f t="shared" si="24"/>
        <v>25000000</v>
      </c>
      <c r="AG59" s="29">
        <f t="shared" si="24"/>
        <v>25000000</v>
      </c>
      <c r="AH59" s="29">
        <f t="shared" si="24"/>
        <v>25000000</v>
      </c>
      <c r="AI59" s="29">
        <f t="shared" si="24"/>
        <v>25000000</v>
      </c>
      <c r="AJ59" s="29">
        <f t="shared" si="24"/>
        <v>25000000</v>
      </c>
      <c r="AK59" s="29">
        <f t="shared" si="24"/>
        <v>25000000</v>
      </c>
      <c r="AL59" s="29">
        <f t="shared" si="24"/>
        <v>25000000</v>
      </c>
      <c r="AM59" s="29">
        <f t="shared" si="24"/>
        <v>25000000</v>
      </c>
      <c r="AN59" s="29">
        <f t="shared" si="24"/>
        <v>25000000</v>
      </c>
      <c r="AO59" s="29">
        <f t="shared" si="24"/>
        <v>25000000</v>
      </c>
      <c r="AP59" s="29">
        <f t="shared" si="24"/>
        <v>25000000</v>
      </c>
      <c r="AQ59" s="29">
        <f t="shared" si="24"/>
        <v>25000000</v>
      </c>
      <c r="AR59" s="29">
        <f t="shared" si="24"/>
        <v>25000000</v>
      </c>
      <c r="AS59" s="29">
        <f t="shared" si="24"/>
        <v>25000000</v>
      </c>
      <c r="AT59" s="29">
        <f t="shared" si="24"/>
        <v>25000000</v>
      </c>
      <c r="AU59" s="29">
        <f t="shared" si="24"/>
        <v>25000000</v>
      </c>
      <c r="AV59" s="29">
        <f t="shared" si="24"/>
        <v>25000000</v>
      </c>
      <c r="AW59" s="29">
        <f t="shared" si="24"/>
        <v>25000000</v>
      </c>
      <c r="AX59" s="29">
        <f t="shared" si="24"/>
        <v>25000000</v>
      </c>
      <c r="AY59" s="29">
        <f t="shared" si="24"/>
        <v>25000000</v>
      </c>
      <c r="AZ59" s="29">
        <f t="shared" si="24"/>
        <v>25000000</v>
      </c>
      <c r="BA59" s="29">
        <f t="shared" si="24"/>
        <v>25000000</v>
      </c>
      <c r="BB59" s="29">
        <f t="shared" si="24"/>
        <v>25000000</v>
      </c>
      <c r="BC59" s="29">
        <f t="shared" si="24"/>
        <v>25000000</v>
      </c>
      <c r="BD59" s="29">
        <f t="shared" si="24"/>
        <v>25000000</v>
      </c>
      <c r="BE59" s="29">
        <f t="shared" si="24"/>
        <v>25000000</v>
      </c>
      <c r="BF59" s="29">
        <f t="shared" si="24"/>
        <v>25000000</v>
      </c>
      <c r="BG59" s="29">
        <f t="shared" si="24"/>
        <v>25000000</v>
      </c>
      <c r="BH59" s="29">
        <f t="shared" si="24"/>
        <v>25000000</v>
      </c>
      <c r="BI59" s="29">
        <f t="shared" si="24"/>
        <v>25000000</v>
      </c>
      <c r="BJ59" s="29">
        <f t="shared" si="24"/>
        <v>25000000</v>
      </c>
      <c r="BK59" s="29">
        <f t="shared" si="24"/>
        <v>25000000</v>
      </c>
      <c r="BL59" s="29">
        <f t="shared" si="24"/>
        <v>25000000</v>
      </c>
      <c r="BM59" s="29">
        <f t="shared" si="24"/>
        <v>25000000</v>
      </c>
      <c r="BN59" s="29">
        <f t="shared" si="24"/>
        <v>25000000</v>
      </c>
      <c r="BO59" s="29">
        <f t="shared" si="24"/>
        <v>25000000</v>
      </c>
      <c r="BP59" s="29">
        <f t="shared" si="24"/>
        <v>25000000</v>
      </c>
      <c r="BQ59" s="29">
        <f t="shared" si="24"/>
        <v>25000000</v>
      </c>
      <c r="BR59" s="29">
        <f t="shared" si="24"/>
        <v>25000000</v>
      </c>
      <c r="BS59" s="29">
        <f t="shared" si="24"/>
        <v>25000000</v>
      </c>
      <c r="BT59" s="29">
        <f t="shared" si="24"/>
        <v>25000000</v>
      </c>
      <c r="BU59" s="29">
        <f t="shared" si="24"/>
        <v>25000000</v>
      </c>
      <c r="BV59" s="29">
        <f t="shared" si="24"/>
        <v>25000000</v>
      </c>
      <c r="BW59" s="29">
        <f t="shared" si="24"/>
        <v>25000000</v>
      </c>
      <c r="BX59" s="29">
        <f t="shared" si="24"/>
        <v>25000000</v>
      </c>
      <c r="BY59" s="29">
        <f t="shared" si="24"/>
        <v>25000000</v>
      </c>
      <c r="BZ59" s="29">
        <f t="shared" si="24"/>
        <v>25000000</v>
      </c>
      <c r="CA59" s="29">
        <f t="shared" si="24"/>
        <v>25000000</v>
      </c>
      <c r="CB59" s="29">
        <f t="shared" si="24"/>
        <v>25000000</v>
      </c>
      <c r="CC59" s="29">
        <f t="shared" si="24"/>
        <v>25000000</v>
      </c>
      <c r="CD59" s="29">
        <f t="shared" si="24"/>
        <v>25000000</v>
      </c>
      <c r="CE59" s="29">
        <f t="shared" si="24"/>
        <v>25000000</v>
      </c>
      <c r="CF59" s="29">
        <f t="shared" si="24"/>
        <v>25000000</v>
      </c>
      <c r="CG59" s="29">
        <f t="shared" si="24"/>
        <v>25000000</v>
      </c>
      <c r="CH59" s="29">
        <f t="shared" si="24"/>
        <v>25000000</v>
      </c>
    </row>
    <row r="60" spans="1:86" ht="13">
      <c r="B60" s="15" t="str">
        <f t="shared" si="23"/>
        <v>Cumulative Called Capital</v>
      </c>
      <c r="C60" s="15"/>
      <c r="D60" s="15" t="s">
        <v>247</v>
      </c>
      <c r="E60" s="29">
        <f t="shared" ca="1" si="13"/>
        <v>25000000</v>
      </c>
      <c r="F60" s="29"/>
      <c r="G60" s="29">
        <f t="shared" ref="G60:CH60" ca="1" si="25">F60+G31</f>
        <v>1444375</v>
      </c>
      <c r="H60" s="29">
        <f t="shared" ca="1" si="25"/>
        <v>2788750</v>
      </c>
      <c r="I60" s="29">
        <f t="shared" ca="1" si="25"/>
        <v>4133125</v>
      </c>
      <c r="J60" s="29">
        <f t="shared" ca="1" si="25"/>
        <v>5477500</v>
      </c>
      <c r="K60" s="29">
        <f t="shared" ca="1" si="25"/>
        <v>6821875</v>
      </c>
      <c r="L60" s="29">
        <f t="shared" ca="1" si="25"/>
        <v>8166250</v>
      </c>
      <c r="M60" s="29">
        <f t="shared" ca="1" si="25"/>
        <v>9510625</v>
      </c>
      <c r="N60" s="29">
        <f t="shared" ca="1" si="25"/>
        <v>10855000</v>
      </c>
      <c r="O60" s="29">
        <f t="shared" ca="1" si="25"/>
        <v>12199375</v>
      </c>
      <c r="P60" s="29">
        <f t="shared" ca="1" si="25"/>
        <v>13543750</v>
      </c>
      <c r="Q60" s="29">
        <f t="shared" ca="1" si="25"/>
        <v>14888125</v>
      </c>
      <c r="R60" s="29">
        <f t="shared" ca="1" si="25"/>
        <v>16232500</v>
      </c>
      <c r="S60" s="29">
        <f t="shared" ca="1" si="25"/>
        <v>17576875</v>
      </c>
      <c r="T60" s="29">
        <f t="shared" ca="1" si="25"/>
        <v>18921250</v>
      </c>
      <c r="U60" s="29">
        <f t="shared" ca="1" si="25"/>
        <v>20265625</v>
      </c>
      <c r="V60" s="29">
        <f t="shared" ca="1" si="25"/>
        <v>21610000</v>
      </c>
      <c r="W60" s="29">
        <f t="shared" ca="1" si="25"/>
        <v>21751250</v>
      </c>
      <c r="X60" s="29">
        <f t="shared" ca="1" si="25"/>
        <v>21892500</v>
      </c>
      <c r="Y60" s="29">
        <f t="shared" ca="1" si="25"/>
        <v>22033750</v>
      </c>
      <c r="Z60" s="29">
        <f t="shared" ca="1" si="25"/>
        <v>22175000</v>
      </c>
      <c r="AA60" s="29">
        <f t="shared" ca="1" si="25"/>
        <v>22316250</v>
      </c>
      <c r="AB60" s="29">
        <f t="shared" ca="1" si="25"/>
        <v>22457500</v>
      </c>
      <c r="AC60" s="29">
        <f t="shared" ca="1" si="25"/>
        <v>22598750</v>
      </c>
      <c r="AD60" s="29">
        <f t="shared" ca="1" si="25"/>
        <v>22740000</v>
      </c>
      <c r="AE60" s="29">
        <f t="shared" ca="1" si="25"/>
        <v>22881250</v>
      </c>
      <c r="AF60" s="29">
        <f t="shared" ca="1" si="25"/>
        <v>23022500</v>
      </c>
      <c r="AG60" s="29">
        <f t="shared" ca="1" si="25"/>
        <v>23163750</v>
      </c>
      <c r="AH60" s="29">
        <f t="shared" ca="1" si="25"/>
        <v>23305000</v>
      </c>
      <c r="AI60" s="29">
        <f t="shared" ca="1" si="25"/>
        <v>23446250</v>
      </c>
      <c r="AJ60" s="29">
        <f t="shared" ca="1" si="25"/>
        <v>23587500</v>
      </c>
      <c r="AK60" s="29">
        <f t="shared" ca="1" si="25"/>
        <v>23728750</v>
      </c>
      <c r="AL60" s="29">
        <f t="shared" ca="1" si="25"/>
        <v>23870000</v>
      </c>
      <c r="AM60" s="29">
        <f t="shared" ca="1" si="25"/>
        <v>24011250</v>
      </c>
      <c r="AN60" s="29">
        <f t="shared" ca="1" si="25"/>
        <v>24152500</v>
      </c>
      <c r="AO60" s="29">
        <f t="shared" ca="1" si="25"/>
        <v>24293750</v>
      </c>
      <c r="AP60" s="29">
        <f t="shared" ca="1" si="25"/>
        <v>24435000</v>
      </c>
      <c r="AQ60" s="29">
        <f t="shared" ca="1" si="25"/>
        <v>24576250</v>
      </c>
      <c r="AR60" s="29">
        <f t="shared" ca="1" si="25"/>
        <v>24717500</v>
      </c>
      <c r="AS60" s="29">
        <f t="shared" ca="1" si="25"/>
        <v>24858750</v>
      </c>
      <c r="AT60" s="29">
        <f t="shared" ca="1" si="25"/>
        <v>25000000</v>
      </c>
      <c r="AU60" s="29">
        <f t="shared" ca="1" si="25"/>
        <v>25000000</v>
      </c>
      <c r="AV60" s="29">
        <f t="shared" ca="1" si="25"/>
        <v>25000000</v>
      </c>
      <c r="AW60" s="29">
        <f t="shared" ca="1" si="25"/>
        <v>25000000</v>
      </c>
      <c r="AX60" s="29">
        <f t="shared" ca="1" si="25"/>
        <v>25000000</v>
      </c>
      <c r="AY60" s="29">
        <f t="shared" ca="1" si="25"/>
        <v>25000000</v>
      </c>
      <c r="AZ60" s="29">
        <f t="shared" ca="1" si="25"/>
        <v>25000000</v>
      </c>
      <c r="BA60" s="29">
        <f t="shared" ca="1" si="25"/>
        <v>25000000</v>
      </c>
      <c r="BB60" s="29">
        <f t="shared" ca="1" si="25"/>
        <v>25000000</v>
      </c>
      <c r="BC60" s="29">
        <f t="shared" ca="1" si="25"/>
        <v>25000000</v>
      </c>
      <c r="BD60" s="29">
        <f t="shared" ca="1" si="25"/>
        <v>25000000</v>
      </c>
      <c r="BE60" s="29">
        <f t="shared" ca="1" si="25"/>
        <v>25000000</v>
      </c>
      <c r="BF60" s="29">
        <f t="shared" ca="1" si="25"/>
        <v>25000000</v>
      </c>
      <c r="BG60" s="29">
        <f t="shared" ca="1" si="25"/>
        <v>25000000</v>
      </c>
      <c r="BH60" s="29">
        <f t="shared" ca="1" si="25"/>
        <v>25000000</v>
      </c>
      <c r="BI60" s="29">
        <f t="shared" ca="1" si="25"/>
        <v>25000000</v>
      </c>
      <c r="BJ60" s="29">
        <f t="shared" ca="1" si="25"/>
        <v>25000000</v>
      </c>
      <c r="BK60" s="29">
        <f t="shared" ca="1" si="25"/>
        <v>25000000</v>
      </c>
      <c r="BL60" s="29">
        <f t="shared" ca="1" si="25"/>
        <v>25000000</v>
      </c>
      <c r="BM60" s="29">
        <f t="shared" ca="1" si="25"/>
        <v>25000000</v>
      </c>
      <c r="BN60" s="29">
        <f t="shared" ca="1" si="25"/>
        <v>25000000</v>
      </c>
      <c r="BO60" s="29">
        <f t="shared" ca="1" si="25"/>
        <v>25000000</v>
      </c>
      <c r="BP60" s="29">
        <f t="shared" ca="1" si="25"/>
        <v>25000000</v>
      </c>
      <c r="BQ60" s="29">
        <f t="shared" ca="1" si="25"/>
        <v>25000000</v>
      </c>
      <c r="BR60" s="29">
        <f t="shared" ca="1" si="25"/>
        <v>25000000</v>
      </c>
      <c r="BS60" s="29">
        <f t="shared" ca="1" si="25"/>
        <v>25000000</v>
      </c>
      <c r="BT60" s="29">
        <f t="shared" ca="1" si="25"/>
        <v>25000000</v>
      </c>
      <c r="BU60" s="29">
        <f t="shared" ca="1" si="25"/>
        <v>25000000</v>
      </c>
      <c r="BV60" s="29">
        <f t="shared" ca="1" si="25"/>
        <v>25000000</v>
      </c>
      <c r="BW60" s="29">
        <f t="shared" ca="1" si="25"/>
        <v>25000000</v>
      </c>
      <c r="BX60" s="29">
        <f t="shared" ca="1" si="25"/>
        <v>25000000</v>
      </c>
      <c r="BY60" s="29">
        <f t="shared" ca="1" si="25"/>
        <v>25000000</v>
      </c>
      <c r="BZ60" s="29">
        <f t="shared" ca="1" si="25"/>
        <v>25000000</v>
      </c>
      <c r="CA60" s="29">
        <f t="shared" ca="1" si="25"/>
        <v>25000000</v>
      </c>
      <c r="CB60" s="29">
        <f t="shared" ca="1" si="25"/>
        <v>25000000</v>
      </c>
      <c r="CC60" s="29">
        <f t="shared" ca="1" si="25"/>
        <v>25000000</v>
      </c>
      <c r="CD60" s="29">
        <f t="shared" ca="1" si="25"/>
        <v>25000000</v>
      </c>
      <c r="CE60" s="29">
        <f t="shared" ca="1" si="25"/>
        <v>25000000</v>
      </c>
      <c r="CF60" s="29">
        <f t="shared" ca="1" si="25"/>
        <v>25000000</v>
      </c>
      <c r="CG60" s="29">
        <f t="shared" ca="1" si="25"/>
        <v>25000000</v>
      </c>
      <c r="CH60" s="29">
        <f t="shared" ca="1" si="25"/>
        <v>25000000</v>
      </c>
    </row>
    <row r="61" spans="1:86" ht="13">
      <c r="B61" s="15" t="str">
        <f t="shared" si="23"/>
        <v>Cumulative Manual Investments</v>
      </c>
      <c r="C61" s="15"/>
      <c r="D61" s="15" t="s">
        <v>247</v>
      </c>
      <c r="E61" s="29">
        <f t="shared" si="13"/>
        <v>0</v>
      </c>
      <c r="F61" s="29"/>
      <c r="G61" s="29">
        <f t="shared" ref="G61:CH61" si="26">F61+G32</f>
        <v>0</v>
      </c>
      <c r="H61" s="29">
        <f t="shared" si="26"/>
        <v>0</v>
      </c>
      <c r="I61" s="29">
        <f t="shared" si="26"/>
        <v>0</v>
      </c>
      <c r="J61" s="29">
        <f t="shared" si="26"/>
        <v>0</v>
      </c>
      <c r="K61" s="29">
        <f t="shared" si="26"/>
        <v>0</v>
      </c>
      <c r="L61" s="29">
        <f t="shared" si="26"/>
        <v>0</v>
      </c>
      <c r="M61" s="29">
        <f t="shared" si="26"/>
        <v>0</v>
      </c>
      <c r="N61" s="29">
        <f t="shared" si="26"/>
        <v>0</v>
      </c>
      <c r="O61" s="29">
        <f t="shared" si="26"/>
        <v>0</v>
      </c>
      <c r="P61" s="29">
        <f t="shared" si="26"/>
        <v>0</v>
      </c>
      <c r="Q61" s="29">
        <f t="shared" si="26"/>
        <v>0</v>
      </c>
      <c r="R61" s="29">
        <f t="shared" si="26"/>
        <v>0</v>
      </c>
      <c r="S61" s="29">
        <f t="shared" si="26"/>
        <v>0</v>
      </c>
      <c r="T61" s="29">
        <f t="shared" si="26"/>
        <v>0</v>
      </c>
      <c r="U61" s="29">
        <f t="shared" si="26"/>
        <v>0</v>
      </c>
      <c r="V61" s="29">
        <f t="shared" si="26"/>
        <v>0</v>
      </c>
      <c r="W61" s="29">
        <f t="shared" si="26"/>
        <v>0</v>
      </c>
      <c r="X61" s="29">
        <f t="shared" si="26"/>
        <v>0</v>
      </c>
      <c r="Y61" s="29">
        <f t="shared" si="26"/>
        <v>0</v>
      </c>
      <c r="Z61" s="29">
        <f t="shared" si="26"/>
        <v>0</v>
      </c>
      <c r="AA61" s="29">
        <f t="shared" si="26"/>
        <v>0</v>
      </c>
      <c r="AB61" s="29">
        <f t="shared" si="26"/>
        <v>0</v>
      </c>
      <c r="AC61" s="29">
        <f t="shared" si="26"/>
        <v>0</v>
      </c>
      <c r="AD61" s="29">
        <f t="shared" si="26"/>
        <v>0</v>
      </c>
      <c r="AE61" s="29">
        <f t="shared" si="26"/>
        <v>0</v>
      </c>
      <c r="AF61" s="29">
        <f t="shared" si="26"/>
        <v>0</v>
      </c>
      <c r="AG61" s="29">
        <f t="shared" si="26"/>
        <v>0</v>
      </c>
      <c r="AH61" s="29">
        <f t="shared" si="26"/>
        <v>0</v>
      </c>
      <c r="AI61" s="29">
        <f t="shared" si="26"/>
        <v>0</v>
      </c>
      <c r="AJ61" s="29">
        <f t="shared" si="26"/>
        <v>0</v>
      </c>
      <c r="AK61" s="29">
        <f t="shared" si="26"/>
        <v>0</v>
      </c>
      <c r="AL61" s="29">
        <f t="shared" si="26"/>
        <v>0</v>
      </c>
      <c r="AM61" s="29">
        <f t="shared" si="26"/>
        <v>0</v>
      </c>
      <c r="AN61" s="29">
        <f t="shared" si="26"/>
        <v>0</v>
      </c>
      <c r="AO61" s="29">
        <f t="shared" si="26"/>
        <v>0</v>
      </c>
      <c r="AP61" s="29">
        <f t="shared" si="26"/>
        <v>0</v>
      </c>
      <c r="AQ61" s="29">
        <f t="shared" si="26"/>
        <v>0</v>
      </c>
      <c r="AR61" s="29">
        <f t="shared" si="26"/>
        <v>0</v>
      </c>
      <c r="AS61" s="29">
        <f t="shared" si="26"/>
        <v>0</v>
      </c>
      <c r="AT61" s="29">
        <f t="shared" si="26"/>
        <v>0</v>
      </c>
      <c r="AU61" s="29">
        <f t="shared" si="26"/>
        <v>0</v>
      </c>
      <c r="AV61" s="29">
        <f t="shared" si="26"/>
        <v>0</v>
      </c>
      <c r="AW61" s="29">
        <f t="shared" si="26"/>
        <v>0</v>
      </c>
      <c r="AX61" s="29">
        <f t="shared" si="26"/>
        <v>0</v>
      </c>
      <c r="AY61" s="29">
        <f t="shared" si="26"/>
        <v>0</v>
      </c>
      <c r="AZ61" s="29">
        <f t="shared" si="26"/>
        <v>0</v>
      </c>
      <c r="BA61" s="29">
        <f t="shared" si="26"/>
        <v>0</v>
      </c>
      <c r="BB61" s="29">
        <f t="shared" si="26"/>
        <v>0</v>
      </c>
      <c r="BC61" s="29">
        <f t="shared" si="26"/>
        <v>0</v>
      </c>
      <c r="BD61" s="29">
        <f t="shared" si="26"/>
        <v>0</v>
      </c>
      <c r="BE61" s="29">
        <f t="shared" si="26"/>
        <v>0</v>
      </c>
      <c r="BF61" s="29">
        <f t="shared" si="26"/>
        <v>0</v>
      </c>
      <c r="BG61" s="29">
        <f t="shared" si="26"/>
        <v>0</v>
      </c>
      <c r="BH61" s="29">
        <f t="shared" si="26"/>
        <v>0</v>
      </c>
      <c r="BI61" s="29">
        <f t="shared" si="26"/>
        <v>0</v>
      </c>
      <c r="BJ61" s="29">
        <f t="shared" si="26"/>
        <v>0</v>
      </c>
      <c r="BK61" s="29">
        <f t="shared" si="26"/>
        <v>0</v>
      </c>
      <c r="BL61" s="29">
        <f t="shared" si="26"/>
        <v>0</v>
      </c>
      <c r="BM61" s="29">
        <f t="shared" si="26"/>
        <v>0</v>
      </c>
      <c r="BN61" s="29">
        <f t="shared" si="26"/>
        <v>0</v>
      </c>
      <c r="BO61" s="29">
        <f t="shared" si="26"/>
        <v>0</v>
      </c>
      <c r="BP61" s="29">
        <f t="shared" si="26"/>
        <v>0</v>
      </c>
      <c r="BQ61" s="29">
        <f t="shared" si="26"/>
        <v>0</v>
      </c>
      <c r="BR61" s="29">
        <f t="shared" si="26"/>
        <v>0</v>
      </c>
      <c r="BS61" s="29">
        <f t="shared" si="26"/>
        <v>0</v>
      </c>
      <c r="BT61" s="29">
        <f t="shared" si="26"/>
        <v>0</v>
      </c>
      <c r="BU61" s="29">
        <f t="shared" si="26"/>
        <v>0</v>
      </c>
      <c r="BV61" s="29">
        <f t="shared" si="26"/>
        <v>0</v>
      </c>
      <c r="BW61" s="29">
        <f t="shared" si="26"/>
        <v>0</v>
      </c>
      <c r="BX61" s="29">
        <f t="shared" si="26"/>
        <v>0</v>
      </c>
      <c r="BY61" s="29">
        <f t="shared" si="26"/>
        <v>0</v>
      </c>
      <c r="BZ61" s="29">
        <f t="shared" si="26"/>
        <v>0</v>
      </c>
      <c r="CA61" s="29">
        <f t="shared" si="26"/>
        <v>0</v>
      </c>
      <c r="CB61" s="29">
        <f t="shared" si="26"/>
        <v>0</v>
      </c>
      <c r="CC61" s="29">
        <f t="shared" si="26"/>
        <v>0</v>
      </c>
      <c r="CD61" s="29">
        <f t="shared" si="26"/>
        <v>0</v>
      </c>
      <c r="CE61" s="29">
        <f t="shared" si="26"/>
        <v>0</v>
      </c>
      <c r="CF61" s="29">
        <f t="shared" si="26"/>
        <v>0</v>
      </c>
      <c r="CG61" s="29">
        <f t="shared" si="26"/>
        <v>0</v>
      </c>
      <c r="CH61" s="29">
        <f t="shared" si="26"/>
        <v>0</v>
      </c>
    </row>
    <row r="62" spans="1:86" ht="13">
      <c r="B62" s="15" t="str">
        <f t="shared" si="23"/>
        <v>Cumulative New Investments</v>
      </c>
      <c r="C62" s="15"/>
      <c r="D62" s="15" t="s">
        <v>247</v>
      </c>
      <c r="E62" s="29">
        <f t="shared" ca="1" si="13"/>
        <v>20052083.333333332</v>
      </c>
      <c r="F62" s="29"/>
      <c r="G62" s="29">
        <f t="shared" ref="G62:CH62" ca="1" si="27">F62+G33</f>
        <v>1203125</v>
      </c>
      <c r="H62" s="29">
        <f t="shared" ca="1" si="27"/>
        <v>2406250</v>
      </c>
      <c r="I62" s="29">
        <f t="shared" ca="1" si="27"/>
        <v>3609375</v>
      </c>
      <c r="J62" s="29">
        <f t="shared" ca="1" si="27"/>
        <v>4812500</v>
      </c>
      <c r="K62" s="29">
        <f t="shared" ca="1" si="27"/>
        <v>6015625</v>
      </c>
      <c r="L62" s="29">
        <f t="shared" ca="1" si="27"/>
        <v>7218750</v>
      </c>
      <c r="M62" s="29">
        <f t="shared" ca="1" si="27"/>
        <v>8421875</v>
      </c>
      <c r="N62" s="29">
        <f t="shared" ca="1" si="27"/>
        <v>9625000</v>
      </c>
      <c r="O62" s="29">
        <f t="shared" ca="1" si="27"/>
        <v>10828125</v>
      </c>
      <c r="P62" s="29">
        <f t="shared" ca="1" si="27"/>
        <v>12031250</v>
      </c>
      <c r="Q62" s="29">
        <f t="shared" ca="1" si="27"/>
        <v>13234375</v>
      </c>
      <c r="R62" s="29">
        <f t="shared" ca="1" si="27"/>
        <v>14437500</v>
      </c>
      <c r="S62" s="29">
        <f t="shared" ca="1" si="27"/>
        <v>15841145.833333334</v>
      </c>
      <c r="T62" s="29">
        <f t="shared" ca="1" si="27"/>
        <v>17244791.666666668</v>
      </c>
      <c r="U62" s="29">
        <f t="shared" ca="1" si="27"/>
        <v>18648437.5</v>
      </c>
      <c r="V62" s="29">
        <f t="shared" ca="1" si="27"/>
        <v>20052083.333333332</v>
      </c>
      <c r="W62" s="29">
        <f t="shared" ca="1" si="27"/>
        <v>20052083.333333332</v>
      </c>
      <c r="X62" s="29">
        <f t="shared" ca="1" si="27"/>
        <v>20052083.333333332</v>
      </c>
      <c r="Y62" s="29">
        <f t="shared" ca="1" si="27"/>
        <v>20052083.333333332</v>
      </c>
      <c r="Z62" s="29">
        <f t="shared" ca="1" si="27"/>
        <v>20052083.333333332</v>
      </c>
      <c r="AA62" s="29">
        <f t="shared" ca="1" si="27"/>
        <v>20052083.333333332</v>
      </c>
      <c r="AB62" s="29">
        <f t="shared" ca="1" si="27"/>
        <v>20052083.333333332</v>
      </c>
      <c r="AC62" s="29">
        <f t="shared" ca="1" si="27"/>
        <v>20052083.333333332</v>
      </c>
      <c r="AD62" s="29">
        <f t="shared" ca="1" si="27"/>
        <v>20052083.333333332</v>
      </c>
      <c r="AE62" s="29">
        <f t="shared" ca="1" si="27"/>
        <v>20052083.333333332</v>
      </c>
      <c r="AF62" s="29">
        <f t="shared" ca="1" si="27"/>
        <v>20052083.333333332</v>
      </c>
      <c r="AG62" s="29">
        <f t="shared" ca="1" si="27"/>
        <v>20052083.333333332</v>
      </c>
      <c r="AH62" s="29">
        <f t="shared" ca="1" si="27"/>
        <v>20052083.333333332</v>
      </c>
      <c r="AI62" s="29">
        <f t="shared" ca="1" si="27"/>
        <v>20052083.333333332</v>
      </c>
      <c r="AJ62" s="29">
        <f t="shared" ca="1" si="27"/>
        <v>20052083.333333332</v>
      </c>
      <c r="AK62" s="29">
        <f t="shared" ca="1" si="27"/>
        <v>20052083.333333332</v>
      </c>
      <c r="AL62" s="29">
        <f t="shared" ca="1" si="27"/>
        <v>20052083.333333332</v>
      </c>
      <c r="AM62" s="29">
        <f t="shared" ca="1" si="27"/>
        <v>20052083.333333332</v>
      </c>
      <c r="AN62" s="29">
        <f t="shared" ca="1" si="27"/>
        <v>20052083.333333332</v>
      </c>
      <c r="AO62" s="29">
        <f t="shared" ca="1" si="27"/>
        <v>20052083.333333332</v>
      </c>
      <c r="AP62" s="29">
        <f t="shared" ca="1" si="27"/>
        <v>20052083.333333332</v>
      </c>
      <c r="AQ62" s="29">
        <f t="shared" ca="1" si="27"/>
        <v>20052083.333333332</v>
      </c>
      <c r="AR62" s="29">
        <f t="shared" ca="1" si="27"/>
        <v>20052083.333333332</v>
      </c>
      <c r="AS62" s="29">
        <f t="shared" ca="1" si="27"/>
        <v>20052083.333333332</v>
      </c>
      <c r="AT62" s="29">
        <f t="shared" ca="1" si="27"/>
        <v>20052083.333333332</v>
      </c>
      <c r="AU62" s="29">
        <f t="shared" ca="1" si="27"/>
        <v>20052083.333333332</v>
      </c>
      <c r="AV62" s="29">
        <f t="shared" ca="1" si="27"/>
        <v>20052083.333333332</v>
      </c>
      <c r="AW62" s="29">
        <f t="shared" ca="1" si="27"/>
        <v>20052083.333333332</v>
      </c>
      <c r="AX62" s="29">
        <f t="shared" ca="1" si="27"/>
        <v>20052083.333333332</v>
      </c>
      <c r="AY62" s="29">
        <f t="shared" ca="1" si="27"/>
        <v>20052083.333333332</v>
      </c>
      <c r="AZ62" s="29">
        <f t="shared" ca="1" si="27"/>
        <v>20052083.333333332</v>
      </c>
      <c r="BA62" s="29">
        <f t="shared" ca="1" si="27"/>
        <v>20052083.333333332</v>
      </c>
      <c r="BB62" s="29">
        <f t="shared" ca="1" si="27"/>
        <v>20052083.333333332</v>
      </c>
      <c r="BC62" s="29">
        <f t="shared" ca="1" si="27"/>
        <v>20052083.333333332</v>
      </c>
      <c r="BD62" s="29">
        <f t="shared" ca="1" si="27"/>
        <v>20052083.333333332</v>
      </c>
      <c r="BE62" s="29">
        <f t="shared" ca="1" si="27"/>
        <v>20052083.333333332</v>
      </c>
      <c r="BF62" s="29">
        <f t="shared" ca="1" si="27"/>
        <v>20052083.333333332</v>
      </c>
      <c r="BG62" s="29">
        <f t="shared" ca="1" si="27"/>
        <v>20052083.333333332</v>
      </c>
      <c r="BH62" s="29">
        <f t="shared" ca="1" si="27"/>
        <v>20052083.333333332</v>
      </c>
      <c r="BI62" s="29">
        <f t="shared" ca="1" si="27"/>
        <v>20052083.333333332</v>
      </c>
      <c r="BJ62" s="29">
        <f t="shared" ca="1" si="27"/>
        <v>20052083.333333332</v>
      </c>
      <c r="BK62" s="29">
        <f t="shared" ca="1" si="27"/>
        <v>20052083.333333332</v>
      </c>
      <c r="BL62" s="29">
        <f t="shared" ca="1" si="27"/>
        <v>20052083.333333332</v>
      </c>
      <c r="BM62" s="29">
        <f t="shared" ca="1" si="27"/>
        <v>20052083.333333332</v>
      </c>
      <c r="BN62" s="29">
        <f t="shared" ca="1" si="27"/>
        <v>20052083.333333332</v>
      </c>
      <c r="BO62" s="29">
        <f t="shared" ca="1" si="27"/>
        <v>20052083.333333332</v>
      </c>
      <c r="BP62" s="29">
        <f t="shared" ca="1" si="27"/>
        <v>20052083.333333332</v>
      </c>
      <c r="BQ62" s="29">
        <f t="shared" ca="1" si="27"/>
        <v>20052083.333333332</v>
      </c>
      <c r="BR62" s="29">
        <f t="shared" ca="1" si="27"/>
        <v>20052083.333333332</v>
      </c>
      <c r="BS62" s="29">
        <f t="shared" ca="1" si="27"/>
        <v>20052083.333333332</v>
      </c>
      <c r="BT62" s="29">
        <f t="shared" ca="1" si="27"/>
        <v>20052083.333333332</v>
      </c>
      <c r="BU62" s="29">
        <f t="shared" ca="1" si="27"/>
        <v>20052083.333333332</v>
      </c>
      <c r="BV62" s="29">
        <f t="shared" ca="1" si="27"/>
        <v>20052083.333333332</v>
      </c>
      <c r="BW62" s="29">
        <f t="shared" ca="1" si="27"/>
        <v>20052083.333333332</v>
      </c>
      <c r="BX62" s="29">
        <f t="shared" ca="1" si="27"/>
        <v>20052083.333333332</v>
      </c>
      <c r="BY62" s="29">
        <f t="shared" ca="1" si="27"/>
        <v>20052083.333333332</v>
      </c>
      <c r="BZ62" s="29">
        <f t="shared" ca="1" si="27"/>
        <v>20052083.333333332</v>
      </c>
      <c r="CA62" s="29">
        <f t="shared" ca="1" si="27"/>
        <v>20052083.333333332</v>
      </c>
      <c r="CB62" s="29">
        <f t="shared" ca="1" si="27"/>
        <v>20052083.333333332</v>
      </c>
      <c r="CC62" s="29">
        <f t="shared" ca="1" si="27"/>
        <v>20052083.333333332</v>
      </c>
      <c r="CD62" s="29">
        <f t="shared" ca="1" si="27"/>
        <v>20052083.333333332</v>
      </c>
      <c r="CE62" s="29">
        <f t="shared" ca="1" si="27"/>
        <v>20052083.333333332</v>
      </c>
      <c r="CF62" s="29">
        <f t="shared" ca="1" si="27"/>
        <v>20052083.333333332</v>
      </c>
      <c r="CG62" s="29">
        <f t="shared" ca="1" si="27"/>
        <v>20052083.333333332</v>
      </c>
      <c r="CH62" s="29">
        <f t="shared" ca="1" si="27"/>
        <v>20052083.333333332</v>
      </c>
    </row>
    <row r="63" spans="1:86" ht="13">
      <c r="B63" s="15" t="str">
        <f t="shared" si="23"/>
        <v>Cumulative Prorata Opportunities</v>
      </c>
      <c r="C63" s="15"/>
      <c r="D63" s="15" t="s">
        <v>247</v>
      </c>
      <c r="E63" s="29">
        <f t="shared" si="13"/>
        <v>0</v>
      </c>
      <c r="F63" s="29"/>
      <c r="G63" s="29">
        <f t="shared" ref="G63:CH63" si="28">F63+G34</f>
        <v>0</v>
      </c>
      <c r="H63" s="29">
        <f t="shared" si="28"/>
        <v>0</v>
      </c>
      <c r="I63" s="29">
        <f t="shared" si="28"/>
        <v>0</v>
      </c>
      <c r="J63" s="29">
        <f t="shared" si="28"/>
        <v>0</v>
      </c>
      <c r="K63" s="29">
        <f t="shared" si="28"/>
        <v>0</v>
      </c>
      <c r="L63" s="29">
        <f t="shared" si="28"/>
        <v>0</v>
      </c>
      <c r="M63" s="29">
        <f t="shared" si="28"/>
        <v>0</v>
      </c>
      <c r="N63" s="29">
        <f t="shared" si="28"/>
        <v>0</v>
      </c>
      <c r="O63" s="29">
        <f t="shared" si="28"/>
        <v>0</v>
      </c>
      <c r="P63" s="29">
        <f t="shared" si="28"/>
        <v>0</v>
      </c>
      <c r="Q63" s="29">
        <f t="shared" si="28"/>
        <v>0</v>
      </c>
      <c r="R63" s="29">
        <f t="shared" si="28"/>
        <v>0</v>
      </c>
      <c r="S63" s="29">
        <f t="shared" si="28"/>
        <v>0</v>
      </c>
      <c r="T63" s="29">
        <f t="shared" si="28"/>
        <v>0</v>
      </c>
      <c r="U63" s="29">
        <f t="shared" si="28"/>
        <v>0</v>
      </c>
      <c r="V63" s="29">
        <f t="shared" si="28"/>
        <v>0</v>
      </c>
      <c r="W63" s="29">
        <f t="shared" si="28"/>
        <v>0</v>
      </c>
      <c r="X63" s="29">
        <f t="shared" si="28"/>
        <v>0</v>
      </c>
      <c r="Y63" s="29">
        <f t="shared" si="28"/>
        <v>0</v>
      </c>
      <c r="Z63" s="29">
        <f t="shared" si="28"/>
        <v>0</v>
      </c>
      <c r="AA63" s="29">
        <f t="shared" si="28"/>
        <v>0</v>
      </c>
      <c r="AB63" s="29">
        <f t="shared" si="28"/>
        <v>0</v>
      </c>
      <c r="AC63" s="29">
        <f t="shared" si="28"/>
        <v>0</v>
      </c>
      <c r="AD63" s="29">
        <f t="shared" si="28"/>
        <v>0</v>
      </c>
      <c r="AE63" s="29">
        <f t="shared" si="28"/>
        <v>0</v>
      </c>
      <c r="AF63" s="29">
        <f t="shared" si="28"/>
        <v>0</v>
      </c>
      <c r="AG63" s="29">
        <f t="shared" si="28"/>
        <v>0</v>
      </c>
      <c r="AH63" s="29">
        <f t="shared" si="28"/>
        <v>0</v>
      </c>
      <c r="AI63" s="29">
        <f t="shared" si="28"/>
        <v>0</v>
      </c>
      <c r="AJ63" s="29">
        <f t="shared" si="28"/>
        <v>0</v>
      </c>
      <c r="AK63" s="29">
        <f t="shared" si="28"/>
        <v>0</v>
      </c>
      <c r="AL63" s="29">
        <f t="shared" si="28"/>
        <v>0</v>
      </c>
      <c r="AM63" s="29">
        <f t="shared" si="28"/>
        <v>0</v>
      </c>
      <c r="AN63" s="29">
        <f t="shared" si="28"/>
        <v>0</v>
      </c>
      <c r="AO63" s="29">
        <f t="shared" si="28"/>
        <v>0</v>
      </c>
      <c r="AP63" s="29">
        <f t="shared" si="28"/>
        <v>0</v>
      </c>
      <c r="AQ63" s="29">
        <f t="shared" si="28"/>
        <v>0</v>
      </c>
      <c r="AR63" s="29">
        <f t="shared" si="28"/>
        <v>0</v>
      </c>
      <c r="AS63" s="29">
        <f t="shared" si="28"/>
        <v>0</v>
      </c>
      <c r="AT63" s="29">
        <f t="shared" si="28"/>
        <v>0</v>
      </c>
      <c r="AU63" s="29">
        <f t="shared" si="28"/>
        <v>0</v>
      </c>
      <c r="AV63" s="29">
        <f t="shared" si="28"/>
        <v>0</v>
      </c>
      <c r="AW63" s="29">
        <f t="shared" si="28"/>
        <v>0</v>
      </c>
      <c r="AX63" s="29">
        <f t="shared" si="28"/>
        <v>0</v>
      </c>
      <c r="AY63" s="29">
        <f t="shared" si="28"/>
        <v>0</v>
      </c>
      <c r="AZ63" s="29">
        <f t="shared" si="28"/>
        <v>0</v>
      </c>
      <c r="BA63" s="29">
        <f t="shared" si="28"/>
        <v>0</v>
      </c>
      <c r="BB63" s="29">
        <f t="shared" si="28"/>
        <v>0</v>
      </c>
      <c r="BC63" s="29">
        <f t="shared" si="28"/>
        <v>0</v>
      </c>
      <c r="BD63" s="29">
        <f t="shared" si="28"/>
        <v>0</v>
      </c>
      <c r="BE63" s="29">
        <f t="shared" si="28"/>
        <v>0</v>
      </c>
      <c r="BF63" s="29">
        <f t="shared" si="28"/>
        <v>0</v>
      </c>
      <c r="BG63" s="29">
        <f t="shared" si="28"/>
        <v>0</v>
      </c>
      <c r="BH63" s="29">
        <f t="shared" si="28"/>
        <v>0</v>
      </c>
      <c r="BI63" s="29">
        <f t="shared" si="28"/>
        <v>0</v>
      </c>
      <c r="BJ63" s="29">
        <f t="shared" si="28"/>
        <v>0</v>
      </c>
      <c r="BK63" s="29">
        <f t="shared" si="28"/>
        <v>0</v>
      </c>
      <c r="BL63" s="29">
        <f t="shared" si="28"/>
        <v>0</v>
      </c>
      <c r="BM63" s="29">
        <f t="shared" si="28"/>
        <v>0</v>
      </c>
      <c r="BN63" s="29">
        <f t="shared" si="28"/>
        <v>0</v>
      </c>
      <c r="BO63" s="29">
        <f t="shared" si="28"/>
        <v>0</v>
      </c>
      <c r="BP63" s="29">
        <f t="shared" si="28"/>
        <v>0</v>
      </c>
      <c r="BQ63" s="29">
        <f t="shared" si="28"/>
        <v>0</v>
      </c>
      <c r="BR63" s="29">
        <f t="shared" si="28"/>
        <v>0</v>
      </c>
      <c r="BS63" s="29">
        <f t="shared" si="28"/>
        <v>0</v>
      </c>
      <c r="BT63" s="29">
        <f t="shared" si="28"/>
        <v>0</v>
      </c>
      <c r="BU63" s="29">
        <f t="shared" si="28"/>
        <v>0</v>
      </c>
      <c r="BV63" s="29">
        <f t="shared" si="28"/>
        <v>0</v>
      </c>
      <c r="BW63" s="29">
        <f t="shared" si="28"/>
        <v>0</v>
      </c>
      <c r="BX63" s="29">
        <f t="shared" si="28"/>
        <v>0</v>
      </c>
      <c r="BY63" s="29">
        <f t="shared" si="28"/>
        <v>0</v>
      </c>
      <c r="BZ63" s="29">
        <f t="shared" si="28"/>
        <v>0</v>
      </c>
      <c r="CA63" s="29">
        <f t="shared" si="28"/>
        <v>0</v>
      </c>
      <c r="CB63" s="29">
        <f t="shared" si="28"/>
        <v>0</v>
      </c>
      <c r="CC63" s="29">
        <f t="shared" si="28"/>
        <v>0</v>
      </c>
      <c r="CD63" s="29">
        <f t="shared" si="28"/>
        <v>0</v>
      </c>
      <c r="CE63" s="29">
        <f t="shared" si="28"/>
        <v>0</v>
      </c>
      <c r="CF63" s="29">
        <f t="shared" si="28"/>
        <v>0</v>
      </c>
      <c r="CG63" s="29">
        <f t="shared" si="28"/>
        <v>0</v>
      </c>
      <c r="CH63" s="29">
        <f t="shared" si="28"/>
        <v>0</v>
      </c>
    </row>
    <row r="64" spans="1:86" ht="13">
      <c r="B64" s="15" t="str">
        <f t="shared" si="23"/>
        <v>Cumulative Reserves for Follow on</v>
      </c>
      <c r="C64" s="15"/>
      <c r="D64" s="15" t="s">
        <v>247</v>
      </c>
      <c r="E64" s="29">
        <f t="shared" si="13"/>
        <v>0</v>
      </c>
      <c r="F64" s="29"/>
      <c r="G64" s="29">
        <f t="shared" ref="G64:CH64" si="29">F64+G35</f>
        <v>0</v>
      </c>
      <c r="H64" s="29">
        <f t="shared" si="29"/>
        <v>0</v>
      </c>
      <c r="I64" s="29">
        <f t="shared" si="29"/>
        <v>0</v>
      </c>
      <c r="J64" s="29">
        <f t="shared" si="29"/>
        <v>0</v>
      </c>
      <c r="K64" s="29">
        <f t="shared" si="29"/>
        <v>0</v>
      </c>
      <c r="L64" s="29">
        <f t="shared" si="29"/>
        <v>0</v>
      </c>
      <c r="M64" s="29">
        <f t="shared" si="29"/>
        <v>0</v>
      </c>
      <c r="N64" s="29">
        <f t="shared" si="29"/>
        <v>0</v>
      </c>
      <c r="O64" s="29">
        <f t="shared" si="29"/>
        <v>0</v>
      </c>
      <c r="P64" s="29">
        <f t="shared" si="29"/>
        <v>0</v>
      </c>
      <c r="Q64" s="29">
        <f t="shared" si="29"/>
        <v>0</v>
      </c>
      <c r="R64" s="29">
        <f t="shared" si="29"/>
        <v>0</v>
      </c>
      <c r="S64" s="29">
        <f t="shared" si="29"/>
        <v>0</v>
      </c>
      <c r="T64" s="29">
        <f t="shared" si="29"/>
        <v>0</v>
      </c>
      <c r="U64" s="29">
        <f t="shared" si="29"/>
        <v>0</v>
      </c>
      <c r="V64" s="29">
        <f t="shared" si="29"/>
        <v>0</v>
      </c>
      <c r="W64" s="29">
        <f t="shared" si="29"/>
        <v>0</v>
      </c>
      <c r="X64" s="29">
        <f t="shared" si="29"/>
        <v>0</v>
      </c>
      <c r="Y64" s="29">
        <f t="shared" si="29"/>
        <v>0</v>
      </c>
      <c r="Z64" s="29">
        <f t="shared" si="29"/>
        <v>0</v>
      </c>
      <c r="AA64" s="29">
        <f t="shared" si="29"/>
        <v>0</v>
      </c>
      <c r="AB64" s="29">
        <f t="shared" si="29"/>
        <v>0</v>
      </c>
      <c r="AC64" s="29">
        <f t="shared" si="29"/>
        <v>0</v>
      </c>
      <c r="AD64" s="29">
        <f t="shared" si="29"/>
        <v>0</v>
      </c>
      <c r="AE64" s="29">
        <f t="shared" si="29"/>
        <v>0</v>
      </c>
      <c r="AF64" s="29">
        <f t="shared" si="29"/>
        <v>0</v>
      </c>
      <c r="AG64" s="29">
        <f t="shared" si="29"/>
        <v>0</v>
      </c>
      <c r="AH64" s="29">
        <f t="shared" si="29"/>
        <v>0</v>
      </c>
      <c r="AI64" s="29">
        <f t="shared" si="29"/>
        <v>0</v>
      </c>
      <c r="AJ64" s="29">
        <f t="shared" si="29"/>
        <v>0</v>
      </c>
      <c r="AK64" s="29">
        <f t="shared" si="29"/>
        <v>0</v>
      </c>
      <c r="AL64" s="29">
        <f t="shared" si="29"/>
        <v>0</v>
      </c>
      <c r="AM64" s="29">
        <f t="shared" si="29"/>
        <v>0</v>
      </c>
      <c r="AN64" s="29">
        <f t="shared" si="29"/>
        <v>0</v>
      </c>
      <c r="AO64" s="29">
        <f t="shared" si="29"/>
        <v>0</v>
      </c>
      <c r="AP64" s="29">
        <f t="shared" si="29"/>
        <v>0</v>
      </c>
      <c r="AQ64" s="29">
        <f t="shared" si="29"/>
        <v>0</v>
      </c>
      <c r="AR64" s="29">
        <f t="shared" si="29"/>
        <v>0</v>
      </c>
      <c r="AS64" s="29">
        <f t="shared" si="29"/>
        <v>0</v>
      </c>
      <c r="AT64" s="29">
        <f t="shared" si="29"/>
        <v>0</v>
      </c>
      <c r="AU64" s="29">
        <f t="shared" si="29"/>
        <v>0</v>
      </c>
      <c r="AV64" s="29">
        <f t="shared" si="29"/>
        <v>0</v>
      </c>
      <c r="AW64" s="29">
        <f t="shared" si="29"/>
        <v>0</v>
      </c>
      <c r="AX64" s="29">
        <f t="shared" si="29"/>
        <v>0</v>
      </c>
      <c r="AY64" s="29">
        <f t="shared" si="29"/>
        <v>0</v>
      </c>
      <c r="AZ64" s="29">
        <f t="shared" si="29"/>
        <v>0</v>
      </c>
      <c r="BA64" s="29">
        <f t="shared" si="29"/>
        <v>0</v>
      </c>
      <c r="BB64" s="29">
        <f t="shared" si="29"/>
        <v>0</v>
      </c>
      <c r="BC64" s="29">
        <f t="shared" si="29"/>
        <v>0</v>
      </c>
      <c r="BD64" s="29">
        <f t="shared" si="29"/>
        <v>0</v>
      </c>
      <c r="BE64" s="29">
        <f t="shared" si="29"/>
        <v>0</v>
      </c>
      <c r="BF64" s="29">
        <f t="shared" si="29"/>
        <v>0</v>
      </c>
      <c r="BG64" s="29">
        <f t="shared" si="29"/>
        <v>0</v>
      </c>
      <c r="BH64" s="29">
        <f t="shared" si="29"/>
        <v>0</v>
      </c>
      <c r="BI64" s="29">
        <f t="shared" si="29"/>
        <v>0</v>
      </c>
      <c r="BJ64" s="29">
        <f t="shared" si="29"/>
        <v>0</v>
      </c>
      <c r="BK64" s="29">
        <f t="shared" si="29"/>
        <v>0</v>
      </c>
      <c r="BL64" s="29">
        <f t="shared" si="29"/>
        <v>0</v>
      </c>
      <c r="BM64" s="29">
        <f t="shared" si="29"/>
        <v>0</v>
      </c>
      <c r="BN64" s="29">
        <f t="shared" si="29"/>
        <v>0</v>
      </c>
      <c r="BO64" s="29">
        <f t="shared" si="29"/>
        <v>0</v>
      </c>
      <c r="BP64" s="29">
        <f t="shared" si="29"/>
        <v>0</v>
      </c>
      <c r="BQ64" s="29">
        <f t="shared" si="29"/>
        <v>0</v>
      </c>
      <c r="BR64" s="29">
        <f t="shared" si="29"/>
        <v>0</v>
      </c>
      <c r="BS64" s="29">
        <f t="shared" si="29"/>
        <v>0</v>
      </c>
      <c r="BT64" s="29">
        <f t="shared" si="29"/>
        <v>0</v>
      </c>
      <c r="BU64" s="29">
        <f t="shared" si="29"/>
        <v>0</v>
      </c>
      <c r="BV64" s="29">
        <f t="shared" si="29"/>
        <v>0</v>
      </c>
      <c r="BW64" s="29">
        <f t="shared" si="29"/>
        <v>0</v>
      </c>
      <c r="BX64" s="29">
        <f t="shared" si="29"/>
        <v>0</v>
      </c>
      <c r="BY64" s="29">
        <f t="shared" si="29"/>
        <v>0</v>
      </c>
      <c r="BZ64" s="29">
        <f t="shared" si="29"/>
        <v>0</v>
      </c>
      <c r="CA64" s="29">
        <f t="shared" si="29"/>
        <v>0</v>
      </c>
      <c r="CB64" s="29">
        <f t="shared" si="29"/>
        <v>0</v>
      </c>
      <c r="CC64" s="29">
        <f t="shared" si="29"/>
        <v>0</v>
      </c>
      <c r="CD64" s="29">
        <f t="shared" si="29"/>
        <v>0</v>
      </c>
      <c r="CE64" s="29">
        <f t="shared" si="29"/>
        <v>0</v>
      </c>
      <c r="CF64" s="29">
        <f t="shared" si="29"/>
        <v>0</v>
      </c>
      <c r="CG64" s="29">
        <f t="shared" si="29"/>
        <v>0</v>
      </c>
      <c r="CH64" s="29">
        <f t="shared" si="29"/>
        <v>0</v>
      </c>
    </row>
    <row r="65" spans="2:86" ht="13">
      <c r="B65" s="15" t="str">
        <f t="shared" si="23"/>
        <v>Cumulative Follow on Investments</v>
      </c>
      <c r="C65" s="15"/>
      <c r="D65" s="15" t="s">
        <v>247</v>
      </c>
      <c r="E65" s="29">
        <f t="shared" ca="1" si="13"/>
        <v>0</v>
      </c>
      <c r="F65" s="29"/>
      <c r="G65" s="29">
        <f t="shared" ref="G65:CH65" ca="1" si="30">F65+G36</f>
        <v>0</v>
      </c>
      <c r="H65" s="29">
        <f t="shared" ca="1" si="30"/>
        <v>0</v>
      </c>
      <c r="I65" s="29">
        <f t="shared" ca="1" si="30"/>
        <v>0</v>
      </c>
      <c r="J65" s="29">
        <f t="shared" ca="1" si="30"/>
        <v>0</v>
      </c>
      <c r="K65" s="29">
        <f t="shared" ca="1" si="30"/>
        <v>0</v>
      </c>
      <c r="L65" s="29">
        <f t="shared" ca="1" si="30"/>
        <v>0</v>
      </c>
      <c r="M65" s="29">
        <f t="shared" ca="1" si="30"/>
        <v>0</v>
      </c>
      <c r="N65" s="29">
        <f t="shared" ca="1" si="30"/>
        <v>0</v>
      </c>
      <c r="O65" s="29">
        <f t="shared" ca="1" si="30"/>
        <v>0</v>
      </c>
      <c r="P65" s="29">
        <f t="shared" ca="1" si="30"/>
        <v>0</v>
      </c>
      <c r="Q65" s="29">
        <f t="shared" ca="1" si="30"/>
        <v>0</v>
      </c>
      <c r="R65" s="29">
        <f t="shared" ca="1" si="30"/>
        <v>0</v>
      </c>
      <c r="S65" s="29">
        <f t="shared" ca="1" si="30"/>
        <v>0</v>
      </c>
      <c r="T65" s="29">
        <f t="shared" ca="1" si="30"/>
        <v>0</v>
      </c>
      <c r="U65" s="29">
        <f t="shared" ca="1" si="30"/>
        <v>0</v>
      </c>
      <c r="V65" s="29">
        <f t="shared" ca="1" si="30"/>
        <v>0</v>
      </c>
      <c r="W65" s="29">
        <f t="shared" ca="1" si="30"/>
        <v>0</v>
      </c>
      <c r="X65" s="29">
        <f t="shared" ca="1" si="30"/>
        <v>0</v>
      </c>
      <c r="Y65" s="29">
        <f t="shared" ca="1" si="30"/>
        <v>0</v>
      </c>
      <c r="Z65" s="29">
        <f t="shared" ca="1" si="30"/>
        <v>0</v>
      </c>
      <c r="AA65" s="29">
        <f t="shared" ca="1" si="30"/>
        <v>0</v>
      </c>
      <c r="AB65" s="29">
        <f t="shared" ca="1" si="30"/>
        <v>0</v>
      </c>
      <c r="AC65" s="29">
        <f t="shared" ca="1" si="30"/>
        <v>0</v>
      </c>
      <c r="AD65" s="29">
        <f t="shared" ca="1" si="30"/>
        <v>0</v>
      </c>
      <c r="AE65" s="29">
        <f t="shared" ca="1" si="30"/>
        <v>0</v>
      </c>
      <c r="AF65" s="29">
        <f t="shared" ca="1" si="30"/>
        <v>0</v>
      </c>
      <c r="AG65" s="29">
        <f t="shared" ca="1" si="30"/>
        <v>0</v>
      </c>
      <c r="AH65" s="29">
        <f t="shared" ca="1" si="30"/>
        <v>0</v>
      </c>
      <c r="AI65" s="29">
        <f t="shared" ca="1" si="30"/>
        <v>0</v>
      </c>
      <c r="AJ65" s="29">
        <f t="shared" ca="1" si="30"/>
        <v>0</v>
      </c>
      <c r="AK65" s="29">
        <f t="shared" ca="1" si="30"/>
        <v>0</v>
      </c>
      <c r="AL65" s="29">
        <f t="shared" ca="1" si="30"/>
        <v>0</v>
      </c>
      <c r="AM65" s="29">
        <f t="shared" ca="1" si="30"/>
        <v>0</v>
      </c>
      <c r="AN65" s="29">
        <f t="shared" ca="1" si="30"/>
        <v>0</v>
      </c>
      <c r="AO65" s="29">
        <f t="shared" ca="1" si="30"/>
        <v>0</v>
      </c>
      <c r="AP65" s="29">
        <f t="shared" ca="1" si="30"/>
        <v>0</v>
      </c>
      <c r="AQ65" s="29">
        <f t="shared" ca="1" si="30"/>
        <v>0</v>
      </c>
      <c r="AR65" s="29">
        <f t="shared" ca="1" si="30"/>
        <v>0</v>
      </c>
      <c r="AS65" s="29">
        <f t="shared" ca="1" si="30"/>
        <v>0</v>
      </c>
      <c r="AT65" s="29">
        <f t="shared" ca="1" si="30"/>
        <v>0</v>
      </c>
      <c r="AU65" s="29">
        <f t="shared" ca="1" si="30"/>
        <v>0</v>
      </c>
      <c r="AV65" s="29">
        <f t="shared" ca="1" si="30"/>
        <v>0</v>
      </c>
      <c r="AW65" s="29">
        <f t="shared" ca="1" si="30"/>
        <v>0</v>
      </c>
      <c r="AX65" s="29">
        <f t="shared" ca="1" si="30"/>
        <v>0</v>
      </c>
      <c r="AY65" s="29">
        <f t="shared" ca="1" si="30"/>
        <v>0</v>
      </c>
      <c r="AZ65" s="29">
        <f t="shared" ca="1" si="30"/>
        <v>0</v>
      </c>
      <c r="BA65" s="29">
        <f t="shared" ca="1" si="30"/>
        <v>0</v>
      </c>
      <c r="BB65" s="29">
        <f t="shared" ca="1" si="30"/>
        <v>0</v>
      </c>
      <c r="BC65" s="29">
        <f t="shared" ca="1" si="30"/>
        <v>0</v>
      </c>
      <c r="BD65" s="29">
        <f t="shared" ca="1" si="30"/>
        <v>0</v>
      </c>
      <c r="BE65" s="29">
        <f t="shared" ca="1" si="30"/>
        <v>0</v>
      </c>
      <c r="BF65" s="29">
        <f t="shared" ca="1" si="30"/>
        <v>0</v>
      </c>
      <c r="BG65" s="29">
        <f t="shared" ca="1" si="30"/>
        <v>0</v>
      </c>
      <c r="BH65" s="29">
        <f t="shared" ca="1" si="30"/>
        <v>0</v>
      </c>
      <c r="BI65" s="29">
        <f t="shared" ca="1" si="30"/>
        <v>0</v>
      </c>
      <c r="BJ65" s="29">
        <f t="shared" ca="1" si="30"/>
        <v>0</v>
      </c>
      <c r="BK65" s="29">
        <f t="shared" ca="1" si="30"/>
        <v>0</v>
      </c>
      <c r="BL65" s="29">
        <f t="shared" ca="1" si="30"/>
        <v>0</v>
      </c>
      <c r="BM65" s="29">
        <f t="shared" ca="1" si="30"/>
        <v>0</v>
      </c>
      <c r="BN65" s="29">
        <f t="shared" ca="1" si="30"/>
        <v>0</v>
      </c>
      <c r="BO65" s="29">
        <f t="shared" ca="1" si="30"/>
        <v>0</v>
      </c>
      <c r="BP65" s="29">
        <f t="shared" ca="1" si="30"/>
        <v>0</v>
      </c>
      <c r="BQ65" s="29">
        <f t="shared" ca="1" si="30"/>
        <v>0</v>
      </c>
      <c r="BR65" s="29">
        <f t="shared" ca="1" si="30"/>
        <v>0</v>
      </c>
      <c r="BS65" s="29">
        <f t="shared" ca="1" si="30"/>
        <v>0</v>
      </c>
      <c r="BT65" s="29">
        <f t="shared" ca="1" si="30"/>
        <v>0</v>
      </c>
      <c r="BU65" s="29">
        <f t="shared" ca="1" si="30"/>
        <v>0</v>
      </c>
      <c r="BV65" s="29">
        <f t="shared" ca="1" si="30"/>
        <v>0</v>
      </c>
      <c r="BW65" s="29">
        <f t="shared" ca="1" si="30"/>
        <v>0</v>
      </c>
      <c r="BX65" s="29">
        <f t="shared" ca="1" si="30"/>
        <v>0</v>
      </c>
      <c r="BY65" s="29">
        <f t="shared" ca="1" si="30"/>
        <v>0</v>
      </c>
      <c r="BZ65" s="29">
        <f t="shared" ca="1" si="30"/>
        <v>0</v>
      </c>
      <c r="CA65" s="29">
        <f t="shared" ca="1" si="30"/>
        <v>0</v>
      </c>
      <c r="CB65" s="29">
        <f t="shared" ca="1" si="30"/>
        <v>0</v>
      </c>
      <c r="CC65" s="29">
        <f t="shared" ca="1" si="30"/>
        <v>0</v>
      </c>
      <c r="CD65" s="29">
        <f t="shared" ca="1" si="30"/>
        <v>0</v>
      </c>
      <c r="CE65" s="29">
        <f t="shared" ca="1" si="30"/>
        <v>0</v>
      </c>
      <c r="CF65" s="29">
        <f t="shared" ca="1" si="30"/>
        <v>0</v>
      </c>
      <c r="CG65" s="29">
        <f t="shared" ca="1" si="30"/>
        <v>0</v>
      </c>
      <c r="CH65" s="29">
        <f t="shared" ca="1" si="30"/>
        <v>0</v>
      </c>
    </row>
    <row r="66" spans="2:86" ht="13">
      <c r="B66" s="15" t="str">
        <f t="shared" si="23"/>
        <v>Cumulative Total Investments, by cohort of New Investments</v>
      </c>
      <c r="C66" s="15"/>
      <c r="D66" s="15" t="s">
        <v>247</v>
      </c>
      <c r="E66" s="29">
        <f t="shared" ca="1" si="13"/>
        <v>20052083.333333332</v>
      </c>
      <c r="F66" s="29"/>
      <c r="G66" s="29">
        <f t="shared" ref="G66:CH66" ca="1" si="31">F66+G37</f>
        <v>1203125</v>
      </c>
      <c r="H66" s="29">
        <f t="shared" ca="1" si="31"/>
        <v>2406250</v>
      </c>
      <c r="I66" s="29">
        <f t="shared" ca="1" si="31"/>
        <v>3609375</v>
      </c>
      <c r="J66" s="29">
        <f t="shared" ca="1" si="31"/>
        <v>4812500</v>
      </c>
      <c r="K66" s="29">
        <f t="shared" ca="1" si="31"/>
        <v>6015625</v>
      </c>
      <c r="L66" s="29">
        <f t="shared" ca="1" si="31"/>
        <v>7218750</v>
      </c>
      <c r="M66" s="29">
        <f t="shared" ca="1" si="31"/>
        <v>8421875</v>
      </c>
      <c r="N66" s="29">
        <f t="shared" ca="1" si="31"/>
        <v>9625000</v>
      </c>
      <c r="O66" s="29">
        <f t="shared" ca="1" si="31"/>
        <v>10828125</v>
      </c>
      <c r="P66" s="29">
        <f t="shared" ca="1" si="31"/>
        <v>12031250</v>
      </c>
      <c r="Q66" s="29">
        <f t="shared" ca="1" si="31"/>
        <v>13234375</v>
      </c>
      <c r="R66" s="29">
        <f t="shared" ca="1" si="31"/>
        <v>14437500</v>
      </c>
      <c r="S66" s="29">
        <f t="shared" ca="1" si="31"/>
        <v>15841145.833333334</v>
      </c>
      <c r="T66" s="29">
        <f t="shared" ca="1" si="31"/>
        <v>17244791.666666668</v>
      </c>
      <c r="U66" s="29">
        <f t="shared" ca="1" si="31"/>
        <v>18648437.5</v>
      </c>
      <c r="V66" s="29">
        <f t="shared" ca="1" si="31"/>
        <v>20052083.333333332</v>
      </c>
      <c r="W66" s="29">
        <f t="shared" ca="1" si="31"/>
        <v>20052083.333333332</v>
      </c>
      <c r="X66" s="29">
        <f t="shared" ca="1" si="31"/>
        <v>20052083.333333332</v>
      </c>
      <c r="Y66" s="29">
        <f t="shared" ca="1" si="31"/>
        <v>20052083.333333332</v>
      </c>
      <c r="Z66" s="29">
        <f t="shared" ca="1" si="31"/>
        <v>20052083.333333332</v>
      </c>
      <c r="AA66" s="29">
        <f t="shared" ca="1" si="31"/>
        <v>20052083.333333332</v>
      </c>
      <c r="AB66" s="29">
        <f t="shared" ca="1" si="31"/>
        <v>20052083.333333332</v>
      </c>
      <c r="AC66" s="29">
        <f t="shared" ca="1" si="31"/>
        <v>20052083.333333332</v>
      </c>
      <c r="AD66" s="29">
        <f t="shared" ca="1" si="31"/>
        <v>20052083.333333332</v>
      </c>
      <c r="AE66" s="29">
        <f t="shared" ca="1" si="31"/>
        <v>20052083.333333332</v>
      </c>
      <c r="AF66" s="29">
        <f t="shared" ca="1" si="31"/>
        <v>20052083.333333332</v>
      </c>
      <c r="AG66" s="29">
        <f t="shared" ca="1" si="31"/>
        <v>20052083.333333332</v>
      </c>
      <c r="AH66" s="29">
        <f t="shared" ca="1" si="31"/>
        <v>20052083.333333332</v>
      </c>
      <c r="AI66" s="29">
        <f t="shared" ca="1" si="31"/>
        <v>20052083.333333332</v>
      </c>
      <c r="AJ66" s="29">
        <f t="shared" ca="1" si="31"/>
        <v>20052083.333333332</v>
      </c>
      <c r="AK66" s="29">
        <f t="shared" ca="1" si="31"/>
        <v>20052083.333333332</v>
      </c>
      <c r="AL66" s="29">
        <f t="shared" ca="1" si="31"/>
        <v>20052083.333333332</v>
      </c>
      <c r="AM66" s="29">
        <f t="shared" ca="1" si="31"/>
        <v>20052083.333333332</v>
      </c>
      <c r="AN66" s="29">
        <f t="shared" ca="1" si="31"/>
        <v>20052083.333333332</v>
      </c>
      <c r="AO66" s="29">
        <f t="shared" ca="1" si="31"/>
        <v>20052083.333333332</v>
      </c>
      <c r="AP66" s="29">
        <f t="shared" ca="1" si="31"/>
        <v>20052083.333333332</v>
      </c>
      <c r="AQ66" s="29">
        <f t="shared" ca="1" si="31"/>
        <v>20052083.333333332</v>
      </c>
      <c r="AR66" s="29">
        <f t="shared" ca="1" si="31"/>
        <v>20052083.333333332</v>
      </c>
      <c r="AS66" s="29">
        <f t="shared" ca="1" si="31"/>
        <v>20052083.333333332</v>
      </c>
      <c r="AT66" s="29">
        <f t="shared" ca="1" si="31"/>
        <v>20052083.333333332</v>
      </c>
      <c r="AU66" s="29">
        <f t="shared" ca="1" si="31"/>
        <v>20052083.333333332</v>
      </c>
      <c r="AV66" s="29">
        <f t="shared" ca="1" si="31"/>
        <v>20052083.333333332</v>
      </c>
      <c r="AW66" s="29">
        <f t="shared" ca="1" si="31"/>
        <v>20052083.333333332</v>
      </c>
      <c r="AX66" s="29">
        <f t="shared" ca="1" si="31"/>
        <v>20052083.333333332</v>
      </c>
      <c r="AY66" s="29">
        <f t="shared" ca="1" si="31"/>
        <v>20052083.333333332</v>
      </c>
      <c r="AZ66" s="29">
        <f t="shared" ca="1" si="31"/>
        <v>20052083.333333332</v>
      </c>
      <c r="BA66" s="29">
        <f t="shared" ca="1" si="31"/>
        <v>20052083.333333332</v>
      </c>
      <c r="BB66" s="29">
        <f t="shared" ca="1" si="31"/>
        <v>20052083.333333332</v>
      </c>
      <c r="BC66" s="29">
        <f t="shared" ca="1" si="31"/>
        <v>20052083.333333332</v>
      </c>
      <c r="BD66" s="29">
        <f t="shared" ca="1" si="31"/>
        <v>20052083.333333332</v>
      </c>
      <c r="BE66" s="29">
        <f t="shared" ca="1" si="31"/>
        <v>20052083.333333332</v>
      </c>
      <c r="BF66" s="29">
        <f t="shared" ca="1" si="31"/>
        <v>20052083.333333332</v>
      </c>
      <c r="BG66" s="29">
        <f t="shared" ca="1" si="31"/>
        <v>20052083.333333332</v>
      </c>
      <c r="BH66" s="29">
        <f t="shared" ca="1" si="31"/>
        <v>20052083.333333332</v>
      </c>
      <c r="BI66" s="29">
        <f t="shared" ca="1" si="31"/>
        <v>20052083.333333332</v>
      </c>
      <c r="BJ66" s="29">
        <f t="shared" ca="1" si="31"/>
        <v>20052083.333333332</v>
      </c>
      <c r="BK66" s="29">
        <f t="shared" ca="1" si="31"/>
        <v>20052083.333333332</v>
      </c>
      <c r="BL66" s="29">
        <f t="shared" ca="1" si="31"/>
        <v>20052083.333333332</v>
      </c>
      <c r="BM66" s="29">
        <f t="shared" ca="1" si="31"/>
        <v>20052083.333333332</v>
      </c>
      <c r="BN66" s="29">
        <f t="shared" ca="1" si="31"/>
        <v>20052083.333333332</v>
      </c>
      <c r="BO66" s="29">
        <f t="shared" ca="1" si="31"/>
        <v>20052083.333333332</v>
      </c>
      <c r="BP66" s="29">
        <f t="shared" ca="1" si="31"/>
        <v>20052083.333333332</v>
      </c>
      <c r="BQ66" s="29">
        <f t="shared" ca="1" si="31"/>
        <v>20052083.333333332</v>
      </c>
      <c r="BR66" s="29">
        <f t="shared" ca="1" si="31"/>
        <v>20052083.333333332</v>
      </c>
      <c r="BS66" s="29">
        <f t="shared" ca="1" si="31"/>
        <v>20052083.333333332</v>
      </c>
      <c r="BT66" s="29">
        <f t="shared" ca="1" si="31"/>
        <v>20052083.333333332</v>
      </c>
      <c r="BU66" s="29">
        <f t="shared" ca="1" si="31"/>
        <v>20052083.333333332</v>
      </c>
      <c r="BV66" s="29">
        <f t="shared" ca="1" si="31"/>
        <v>20052083.333333332</v>
      </c>
      <c r="BW66" s="29">
        <f t="shared" ca="1" si="31"/>
        <v>20052083.333333332</v>
      </c>
      <c r="BX66" s="29">
        <f t="shared" ca="1" si="31"/>
        <v>20052083.333333332</v>
      </c>
      <c r="BY66" s="29">
        <f t="shared" ca="1" si="31"/>
        <v>20052083.333333332</v>
      </c>
      <c r="BZ66" s="29">
        <f t="shared" ca="1" si="31"/>
        <v>20052083.333333332</v>
      </c>
      <c r="CA66" s="29">
        <f t="shared" ca="1" si="31"/>
        <v>20052083.333333332</v>
      </c>
      <c r="CB66" s="29">
        <f t="shared" ca="1" si="31"/>
        <v>20052083.333333332</v>
      </c>
      <c r="CC66" s="29">
        <f t="shared" ca="1" si="31"/>
        <v>20052083.333333332</v>
      </c>
      <c r="CD66" s="29">
        <f t="shared" ca="1" si="31"/>
        <v>20052083.333333332</v>
      </c>
      <c r="CE66" s="29">
        <f t="shared" ca="1" si="31"/>
        <v>20052083.333333332</v>
      </c>
      <c r="CF66" s="29">
        <f t="shared" ca="1" si="31"/>
        <v>20052083.333333332</v>
      </c>
      <c r="CG66" s="29">
        <f t="shared" ca="1" si="31"/>
        <v>20052083.333333332</v>
      </c>
      <c r="CH66" s="29">
        <f t="shared" ca="1" si="31"/>
        <v>20052083.333333332</v>
      </c>
    </row>
    <row r="67" spans="2:86" ht="13">
      <c r="B67" s="15" t="str">
        <f t="shared" si="23"/>
        <v>Cumulative Total Investments</v>
      </c>
      <c r="C67" s="15"/>
      <c r="D67" s="15" t="s">
        <v>247</v>
      </c>
      <c r="E67" s="29">
        <f t="shared" ca="1" si="13"/>
        <v>20052083.333333332</v>
      </c>
      <c r="F67" s="29"/>
      <c r="G67" s="29">
        <f t="shared" ref="G67:CH67" ca="1" si="32">F67+G38</f>
        <v>1203125</v>
      </c>
      <c r="H67" s="29">
        <f t="shared" ca="1" si="32"/>
        <v>2406250</v>
      </c>
      <c r="I67" s="29">
        <f t="shared" ca="1" si="32"/>
        <v>3609375</v>
      </c>
      <c r="J67" s="29">
        <f t="shared" ca="1" si="32"/>
        <v>4812500</v>
      </c>
      <c r="K67" s="29">
        <f t="shared" ca="1" si="32"/>
        <v>6015625</v>
      </c>
      <c r="L67" s="29">
        <f t="shared" ca="1" si="32"/>
        <v>7218750</v>
      </c>
      <c r="M67" s="29">
        <f t="shared" ca="1" si="32"/>
        <v>8421875</v>
      </c>
      <c r="N67" s="29">
        <f t="shared" ca="1" si="32"/>
        <v>9625000</v>
      </c>
      <c r="O67" s="29">
        <f t="shared" ca="1" si="32"/>
        <v>10828125</v>
      </c>
      <c r="P67" s="29">
        <f t="shared" ca="1" si="32"/>
        <v>12031250</v>
      </c>
      <c r="Q67" s="29">
        <f t="shared" ca="1" si="32"/>
        <v>13234375</v>
      </c>
      <c r="R67" s="29">
        <f t="shared" ca="1" si="32"/>
        <v>14437500</v>
      </c>
      <c r="S67" s="29">
        <f t="shared" ca="1" si="32"/>
        <v>15841145.833333334</v>
      </c>
      <c r="T67" s="29">
        <f t="shared" ca="1" si="32"/>
        <v>17244791.666666668</v>
      </c>
      <c r="U67" s="29">
        <f t="shared" ca="1" si="32"/>
        <v>18648437.5</v>
      </c>
      <c r="V67" s="29">
        <f t="shared" ca="1" si="32"/>
        <v>20052083.333333332</v>
      </c>
      <c r="W67" s="29">
        <f t="shared" ca="1" si="32"/>
        <v>20052083.333333332</v>
      </c>
      <c r="X67" s="29">
        <f t="shared" ca="1" si="32"/>
        <v>20052083.333333332</v>
      </c>
      <c r="Y67" s="29">
        <f t="shared" ca="1" si="32"/>
        <v>20052083.333333332</v>
      </c>
      <c r="Z67" s="29">
        <f t="shared" ca="1" si="32"/>
        <v>20052083.333333332</v>
      </c>
      <c r="AA67" s="29">
        <f t="shared" ca="1" si="32"/>
        <v>20052083.333333332</v>
      </c>
      <c r="AB67" s="29">
        <f t="shared" ca="1" si="32"/>
        <v>20052083.333333332</v>
      </c>
      <c r="AC67" s="29">
        <f t="shared" ca="1" si="32"/>
        <v>20052083.333333332</v>
      </c>
      <c r="AD67" s="29">
        <f t="shared" ca="1" si="32"/>
        <v>20052083.333333332</v>
      </c>
      <c r="AE67" s="29">
        <f t="shared" ca="1" si="32"/>
        <v>20052083.333333332</v>
      </c>
      <c r="AF67" s="29">
        <f t="shared" ca="1" si="32"/>
        <v>20052083.333333332</v>
      </c>
      <c r="AG67" s="29">
        <f t="shared" ca="1" si="32"/>
        <v>20052083.333333332</v>
      </c>
      <c r="AH67" s="29">
        <f t="shared" ca="1" si="32"/>
        <v>20052083.333333332</v>
      </c>
      <c r="AI67" s="29">
        <f t="shared" ca="1" si="32"/>
        <v>20052083.333333332</v>
      </c>
      <c r="AJ67" s="29">
        <f t="shared" ca="1" si="32"/>
        <v>20052083.333333332</v>
      </c>
      <c r="AK67" s="29">
        <f t="shared" ca="1" si="32"/>
        <v>20052083.333333332</v>
      </c>
      <c r="AL67" s="29">
        <f t="shared" ca="1" si="32"/>
        <v>20052083.333333332</v>
      </c>
      <c r="AM67" s="29">
        <f t="shared" ca="1" si="32"/>
        <v>20052083.333333332</v>
      </c>
      <c r="AN67" s="29">
        <f t="shared" ca="1" si="32"/>
        <v>20052083.333333332</v>
      </c>
      <c r="AO67" s="29">
        <f t="shared" ca="1" si="32"/>
        <v>20052083.333333332</v>
      </c>
      <c r="AP67" s="29">
        <f t="shared" ca="1" si="32"/>
        <v>20052083.333333332</v>
      </c>
      <c r="AQ67" s="29">
        <f t="shared" ca="1" si="32"/>
        <v>20052083.333333332</v>
      </c>
      <c r="AR67" s="29">
        <f t="shared" ca="1" si="32"/>
        <v>20052083.333333332</v>
      </c>
      <c r="AS67" s="29">
        <f t="shared" ca="1" si="32"/>
        <v>20052083.333333332</v>
      </c>
      <c r="AT67" s="29">
        <f t="shared" ca="1" si="32"/>
        <v>20052083.333333332</v>
      </c>
      <c r="AU67" s="29">
        <f t="shared" ca="1" si="32"/>
        <v>20052083.333333332</v>
      </c>
      <c r="AV67" s="29">
        <f t="shared" ca="1" si="32"/>
        <v>20052083.333333332</v>
      </c>
      <c r="AW67" s="29">
        <f t="shared" ca="1" si="32"/>
        <v>20052083.333333332</v>
      </c>
      <c r="AX67" s="29">
        <f t="shared" ca="1" si="32"/>
        <v>20052083.333333332</v>
      </c>
      <c r="AY67" s="29">
        <f t="shared" ca="1" si="32"/>
        <v>20052083.333333332</v>
      </c>
      <c r="AZ67" s="29">
        <f t="shared" ca="1" si="32"/>
        <v>20052083.333333332</v>
      </c>
      <c r="BA67" s="29">
        <f t="shared" ca="1" si="32"/>
        <v>20052083.333333332</v>
      </c>
      <c r="BB67" s="29">
        <f t="shared" ca="1" si="32"/>
        <v>20052083.333333332</v>
      </c>
      <c r="BC67" s="29">
        <f t="shared" ca="1" si="32"/>
        <v>20052083.333333332</v>
      </c>
      <c r="BD67" s="29">
        <f t="shared" ca="1" si="32"/>
        <v>20052083.333333332</v>
      </c>
      <c r="BE67" s="29">
        <f t="shared" ca="1" si="32"/>
        <v>20052083.333333332</v>
      </c>
      <c r="BF67" s="29">
        <f t="shared" ca="1" si="32"/>
        <v>20052083.333333332</v>
      </c>
      <c r="BG67" s="29">
        <f t="shared" ca="1" si="32"/>
        <v>20052083.333333332</v>
      </c>
      <c r="BH67" s="29">
        <f t="shared" ca="1" si="32"/>
        <v>20052083.333333332</v>
      </c>
      <c r="BI67" s="29">
        <f t="shared" ca="1" si="32"/>
        <v>20052083.333333332</v>
      </c>
      <c r="BJ67" s="29">
        <f t="shared" ca="1" si="32"/>
        <v>20052083.333333332</v>
      </c>
      <c r="BK67" s="29">
        <f t="shared" ca="1" si="32"/>
        <v>20052083.333333332</v>
      </c>
      <c r="BL67" s="29">
        <f t="shared" ca="1" si="32"/>
        <v>20052083.333333332</v>
      </c>
      <c r="BM67" s="29">
        <f t="shared" ca="1" si="32"/>
        <v>20052083.333333332</v>
      </c>
      <c r="BN67" s="29">
        <f t="shared" ca="1" si="32"/>
        <v>20052083.333333332</v>
      </c>
      <c r="BO67" s="29">
        <f t="shared" ca="1" si="32"/>
        <v>20052083.333333332</v>
      </c>
      <c r="BP67" s="29">
        <f t="shared" ca="1" si="32"/>
        <v>20052083.333333332</v>
      </c>
      <c r="BQ67" s="29">
        <f t="shared" ca="1" si="32"/>
        <v>20052083.333333332</v>
      </c>
      <c r="BR67" s="29">
        <f t="shared" ca="1" si="32"/>
        <v>20052083.333333332</v>
      </c>
      <c r="BS67" s="29">
        <f t="shared" ca="1" si="32"/>
        <v>20052083.333333332</v>
      </c>
      <c r="BT67" s="29">
        <f t="shared" ca="1" si="32"/>
        <v>20052083.333333332</v>
      </c>
      <c r="BU67" s="29">
        <f t="shared" ca="1" si="32"/>
        <v>20052083.333333332</v>
      </c>
      <c r="BV67" s="29">
        <f t="shared" ca="1" si="32"/>
        <v>20052083.333333332</v>
      </c>
      <c r="BW67" s="29">
        <f t="shared" ca="1" si="32"/>
        <v>20052083.333333332</v>
      </c>
      <c r="BX67" s="29">
        <f t="shared" ca="1" si="32"/>
        <v>20052083.333333332</v>
      </c>
      <c r="BY67" s="29">
        <f t="shared" ca="1" si="32"/>
        <v>20052083.333333332</v>
      </c>
      <c r="BZ67" s="29">
        <f t="shared" ca="1" si="32"/>
        <v>20052083.333333332</v>
      </c>
      <c r="CA67" s="29">
        <f t="shared" ca="1" si="32"/>
        <v>20052083.333333332</v>
      </c>
      <c r="CB67" s="29">
        <f t="shared" ca="1" si="32"/>
        <v>20052083.333333332</v>
      </c>
      <c r="CC67" s="29">
        <f t="shared" ca="1" si="32"/>
        <v>20052083.333333332</v>
      </c>
      <c r="CD67" s="29">
        <f t="shared" ca="1" si="32"/>
        <v>20052083.333333332</v>
      </c>
      <c r="CE67" s="29">
        <f t="shared" ca="1" si="32"/>
        <v>20052083.333333332</v>
      </c>
      <c r="CF67" s="29">
        <f t="shared" ca="1" si="32"/>
        <v>20052083.333333332</v>
      </c>
      <c r="CG67" s="29">
        <f t="shared" ca="1" si="32"/>
        <v>20052083.333333332</v>
      </c>
      <c r="CH67" s="29">
        <f t="shared" ca="1" si="32"/>
        <v>20052083.333333332</v>
      </c>
    </row>
    <row r="68" spans="2:86" ht="13">
      <c r="B68" s="15" t="str">
        <f t="shared" si="23"/>
        <v>Cumulative Organizational Expenses</v>
      </c>
      <c r="C68" s="15"/>
      <c r="D68" s="15" t="s">
        <v>247</v>
      </c>
      <c r="E68" s="29">
        <f t="shared" si="13"/>
        <v>100000</v>
      </c>
      <c r="F68" s="29"/>
      <c r="G68" s="29">
        <f t="shared" ref="G68:CH68" si="33">F68+G39</f>
        <v>100000</v>
      </c>
      <c r="H68" s="29">
        <f t="shared" si="33"/>
        <v>100000</v>
      </c>
      <c r="I68" s="29">
        <f t="shared" si="33"/>
        <v>100000</v>
      </c>
      <c r="J68" s="29">
        <f t="shared" si="33"/>
        <v>100000</v>
      </c>
      <c r="K68" s="29">
        <f t="shared" si="33"/>
        <v>100000</v>
      </c>
      <c r="L68" s="29">
        <f t="shared" si="33"/>
        <v>100000</v>
      </c>
      <c r="M68" s="29">
        <f t="shared" si="33"/>
        <v>100000</v>
      </c>
      <c r="N68" s="29">
        <f t="shared" si="33"/>
        <v>100000</v>
      </c>
      <c r="O68" s="29">
        <f t="shared" si="33"/>
        <v>100000</v>
      </c>
      <c r="P68" s="29">
        <f t="shared" si="33"/>
        <v>100000</v>
      </c>
      <c r="Q68" s="29">
        <f t="shared" si="33"/>
        <v>100000</v>
      </c>
      <c r="R68" s="29">
        <f t="shared" si="33"/>
        <v>100000</v>
      </c>
      <c r="S68" s="29">
        <f t="shared" si="33"/>
        <v>100000</v>
      </c>
      <c r="T68" s="29">
        <f t="shared" si="33"/>
        <v>100000</v>
      </c>
      <c r="U68" s="29">
        <f t="shared" si="33"/>
        <v>100000</v>
      </c>
      <c r="V68" s="29">
        <f t="shared" si="33"/>
        <v>100000</v>
      </c>
      <c r="W68" s="29">
        <f t="shared" si="33"/>
        <v>100000</v>
      </c>
      <c r="X68" s="29">
        <f t="shared" si="33"/>
        <v>100000</v>
      </c>
      <c r="Y68" s="29">
        <f t="shared" si="33"/>
        <v>100000</v>
      </c>
      <c r="Z68" s="29">
        <f t="shared" si="33"/>
        <v>100000</v>
      </c>
      <c r="AA68" s="29">
        <f t="shared" si="33"/>
        <v>100000</v>
      </c>
      <c r="AB68" s="29">
        <f t="shared" si="33"/>
        <v>100000</v>
      </c>
      <c r="AC68" s="29">
        <f t="shared" si="33"/>
        <v>100000</v>
      </c>
      <c r="AD68" s="29">
        <f t="shared" si="33"/>
        <v>100000</v>
      </c>
      <c r="AE68" s="29">
        <f t="shared" si="33"/>
        <v>100000</v>
      </c>
      <c r="AF68" s="29">
        <f t="shared" si="33"/>
        <v>100000</v>
      </c>
      <c r="AG68" s="29">
        <f t="shared" si="33"/>
        <v>100000</v>
      </c>
      <c r="AH68" s="29">
        <f t="shared" si="33"/>
        <v>100000</v>
      </c>
      <c r="AI68" s="29">
        <f t="shared" si="33"/>
        <v>100000</v>
      </c>
      <c r="AJ68" s="29">
        <f t="shared" si="33"/>
        <v>100000</v>
      </c>
      <c r="AK68" s="29">
        <f t="shared" si="33"/>
        <v>100000</v>
      </c>
      <c r="AL68" s="29">
        <f t="shared" si="33"/>
        <v>100000</v>
      </c>
      <c r="AM68" s="29">
        <f t="shared" si="33"/>
        <v>100000</v>
      </c>
      <c r="AN68" s="29">
        <f t="shared" si="33"/>
        <v>100000</v>
      </c>
      <c r="AO68" s="29">
        <f t="shared" si="33"/>
        <v>100000</v>
      </c>
      <c r="AP68" s="29">
        <f t="shared" si="33"/>
        <v>100000</v>
      </c>
      <c r="AQ68" s="29">
        <f t="shared" si="33"/>
        <v>100000</v>
      </c>
      <c r="AR68" s="29">
        <f t="shared" si="33"/>
        <v>100000</v>
      </c>
      <c r="AS68" s="29">
        <f t="shared" si="33"/>
        <v>100000</v>
      </c>
      <c r="AT68" s="29">
        <f t="shared" si="33"/>
        <v>100000</v>
      </c>
      <c r="AU68" s="29">
        <f t="shared" si="33"/>
        <v>100000</v>
      </c>
      <c r="AV68" s="29">
        <f t="shared" si="33"/>
        <v>100000</v>
      </c>
      <c r="AW68" s="29">
        <f t="shared" si="33"/>
        <v>100000</v>
      </c>
      <c r="AX68" s="29">
        <f t="shared" si="33"/>
        <v>100000</v>
      </c>
      <c r="AY68" s="29">
        <f t="shared" si="33"/>
        <v>100000</v>
      </c>
      <c r="AZ68" s="29">
        <f t="shared" si="33"/>
        <v>100000</v>
      </c>
      <c r="BA68" s="29">
        <f t="shared" si="33"/>
        <v>100000</v>
      </c>
      <c r="BB68" s="29">
        <f t="shared" si="33"/>
        <v>100000</v>
      </c>
      <c r="BC68" s="29">
        <f t="shared" si="33"/>
        <v>100000</v>
      </c>
      <c r="BD68" s="29">
        <f t="shared" si="33"/>
        <v>100000</v>
      </c>
      <c r="BE68" s="29">
        <f t="shared" si="33"/>
        <v>100000</v>
      </c>
      <c r="BF68" s="29">
        <f t="shared" si="33"/>
        <v>100000</v>
      </c>
      <c r="BG68" s="29">
        <f t="shared" si="33"/>
        <v>100000</v>
      </c>
      <c r="BH68" s="29">
        <f t="shared" si="33"/>
        <v>100000</v>
      </c>
      <c r="BI68" s="29">
        <f t="shared" si="33"/>
        <v>100000</v>
      </c>
      <c r="BJ68" s="29">
        <f t="shared" si="33"/>
        <v>100000</v>
      </c>
      <c r="BK68" s="29">
        <f t="shared" si="33"/>
        <v>100000</v>
      </c>
      <c r="BL68" s="29">
        <f t="shared" si="33"/>
        <v>100000</v>
      </c>
      <c r="BM68" s="29">
        <f t="shared" si="33"/>
        <v>100000</v>
      </c>
      <c r="BN68" s="29">
        <f t="shared" si="33"/>
        <v>100000</v>
      </c>
      <c r="BO68" s="29">
        <f t="shared" si="33"/>
        <v>100000</v>
      </c>
      <c r="BP68" s="29">
        <f t="shared" si="33"/>
        <v>100000</v>
      </c>
      <c r="BQ68" s="29">
        <f t="shared" si="33"/>
        <v>100000</v>
      </c>
      <c r="BR68" s="29">
        <f t="shared" si="33"/>
        <v>100000</v>
      </c>
      <c r="BS68" s="29">
        <f t="shared" si="33"/>
        <v>100000</v>
      </c>
      <c r="BT68" s="29">
        <f t="shared" si="33"/>
        <v>100000</v>
      </c>
      <c r="BU68" s="29">
        <f t="shared" si="33"/>
        <v>100000</v>
      </c>
      <c r="BV68" s="29">
        <f t="shared" si="33"/>
        <v>100000</v>
      </c>
      <c r="BW68" s="29">
        <f t="shared" si="33"/>
        <v>100000</v>
      </c>
      <c r="BX68" s="29">
        <f t="shared" si="33"/>
        <v>100000</v>
      </c>
      <c r="BY68" s="29">
        <f t="shared" si="33"/>
        <v>100000</v>
      </c>
      <c r="BZ68" s="29">
        <f t="shared" si="33"/>
        <v>100000</v>
      </c>
      <c r="CA68" s="29">
        <f t="shared" si="33"/>
        <v>100000</v>
      </c>
      <c r="CB68" s="29">
        <f t="shared" si="33"/>
        <v>100000</v>
      </c>
      <c r="CC68" s="29">
        <f t="shared" si="33"/>
        <v>100000</v>
      </c>
      <c r="CD68" s="29">
        <f t="shared" si="33"/>
        <v>100000</v>
      </c>
      <c r="CE68" s="29">
        <f t="shared" si="33"/>
        <v>100000</v>
      </c>
      <c r="CF68" s="29">
        <f t="shared" si="33"/>
        <v>100000</v>
      </c>
      <c r="CG68" s="29">
        <f t="shared" si="33"/>
        <v>100000</v>
      </c>
      <c r="CH68" s="29">
        <f t="shared" si="33"/>
        <v>100000</v>
      </c>
    </row>
    <row r="69" spans="2:86" ht="13">
      <c r="B69" s="15" t="str">
        <f t="shared" si="23"/>
        <v>Cumulative Operational Expenses</v>
      </c>
      <c r="C69" s="15"/>
      <c r="D69" s="15" t="s">
        <v>247</v>
      </c>
      <c r="E69" s="29">
        <f t="shared" si="13"/>
        <v>750000</v>
      </c>
      <c r="F69" s="29"/>
      <c r="G69" s="29">
        <f t="shared" ref="G69:CH69" si="34">F69+G40</f>
        <v>18750</v>
      </c>
      <c r="H69" s="29">
        <f t="shared" si="34"/>
        <v>37500</v>
      </c>
      <c r="I69" s="29">
        <f t="shared" si="34"/>
        <v>56250</v>
      </c>
      <c r="J69" s="29">
        <f t="shared" si="34"/>
        <v>75000</v>
      </c>
      <c r="K69" s="29">
        <f t="shared" si="34"/>
        <v>93750</v>
      </c>
      <c r="L69" s="29">
        <f t="shared" si="34"/>
        <v>112500</v>
      </c>
      <c r="M69" s="29">
        <f t="shared" si="34"/>
        <v>131250</v>
      </c>
      <c r="N69" s="29">
        <f t="shared" si="34"/>
        <v>150000</v>
      </c>
      <c r="O69" s="29">
        <f t="shared" si="34"/>
        <v>168750</v>
      </c>
      <c r="P69" s="29">
        <f t="shared" si="34"/>
        <v>187500</v>
      </c>
      <c r="Q69" s="29">
        <f t="shared" si="34"/>
        <v>206250</v>
      </c>
      <c r="R69" s="29">
        <f t="shared" si="34"/>
        <v>225000</v>
      </c>
      <c r="S69" s="29">
        <f t="shared" si="34"/>
        <v>243750</v>
      </c>
      <c r="T69" s="29">
        <f t="shared" si="34"/>
        <v>262500</v>
      </c>
      <c r="U69" s="29">
        <f t="shared" si="34"/>
        <v>281250</v>
      </c>
      <c r="V69" s="29">
        <f t="shared" si="34"/>
        <v>300000</v>
      </c>
      <c r="W69" s="29">
        <f t="shared" si="34"/>
        <v>318750</v>
      </c>
      <c r="X69" s="29">
        <f t="shared" si="34"/>
        <v>337500</v>
      </c>
      <c r="Y69" s="29">
        <f t="shared" si="34"/>
        <v>356250</v>
      </c>
      <c r="Z69" s="29">
        <f t="shared" si="34"/>
        <v>375000</v>
      </c>
      <c r="AA69" s="29">
        <f t="shared" si="34"/>
        <v>393750</v>
      </c>
      <c r="AB69" s="29">
        <f t="shared" si="34"/>
        <v>412500</v>
      </c>
      <c r="AC69" s="29">
        <f t="shared" si="34"/>
        <v>431250</v>
      </c>
      <c r="AD69" s="29">
        <f t="shared" si="34"/>
        <v>450000</v>
      </c>
      <c r="AE69" s="29">
        <f t="shared" si="34"/>
        <v>468750</v>
      </c>
      <c r="AF69" s="29">
        <f t="shared" si="34"/>
        <v>487500</v>
      </c>
      <c r="AG69" s="29">
        <f t="shared" si="34"/>
        <v>506250</v>
      </c>
      <c r="AH69" s="29">
        <f t="shared" si="34"/>
        <v>525000</v>
      </c>
      <c r="AI69" s="29">
        <f t="shared" si="34"/>
        <v>543750</v>
      </c>
      <c r="AJ69" s="29">
        <f t="shared" si="34"/>
        <v>562500</v>
      </c>
      <c r="AK69" s="29">
        <f t="shared" si="34"/>
        <v>581250</v>
      </c>
      <c r="AL69" s="29">
        <f t="shared" si="34"/>
        <v>600000</v>
      </c>
      <c r="AM69" s="29">
        <f t="shared" si="34"/>
        <v>618750</v>
      </c>
      <c r="AN69" s="29">
        <f t="shared" si="34"/>
        <v>637500</v>
      </c>
      <c r="AO69" s="29">
        <f t="shared" si="34"/>
        <v>656250</v>
      </c>
      <c r="AP69" s="29">
        <f t="shared" si="34"/>
        <v>675000</v>
      </c>
      <c r="AQ69" s="29">
        <f t="shared" si="34"/>
        <v>693750</v>
      </c>
      <c r="AR69" s="29">
        <f t="shared" si="34"/>
        <v>712500</v>
      </c>
      <c r="AS69" s="29">
        <f t="shared" si="34"/>
        <v>731250</v>
      </c>
      <c r="AT69" s="29">
        <f t="shared" si="34"/>
        <v>750000</v>
      </c>
      <c r="AU69" s="29">
        <f t="shared" si="34"/>
        <v>750000</v>
      </c>
      <c r="AV69" s="29">
        <f t="shared" si="34"/>
        <v>750000</v>
      </c>
      <c r="AW69" s="29">
        <f t="shared" si="34"/>
        <v>750000</v>
      </c>
      <c r="AX69" s="29">
        <f t="shared" si="34"/>
        <v>750000</v>
      </c>
      <c r="AY69" s="29">
        <f t="shared" si="34"/>
        <v>750000</v>
      </c>
      <c r="AZ69" s="29">
        <f t="shared" si="34"/>
        <v>750000</v>
      </c>
      <c r="BA69" s="29">
        <f t="shared" si="34"/>
        <v>750000</v>
      </c>
      <c r="BB69" s="29">
        <f t="shared" si="34"/>
        <v>750000</v>
      </c>
      <c r="BC69" s="29">
        <f t="shared" si="34"/>
        <v>750000</v>
      </c>
      <c r="BD69" s="29">
        <f t="shared" si="34"/>
        <v>750000</v>
      </c>
      <c r="BE69" s="29">
        <f t="shared" si="34"/>
        <v>750000</v>
      </c>
      <c r="BF69" s="29">
        <f t="shared" si="34"/>
        <v>750000</v>
      </c>
      <c r="BG69" s="29">
        <f t="shared" si="34"/>
        <v>750000</v>
      </c>
      <c r="BH69" s="29">
        <f t="shared" si="34"/>
        <v>750000</v>
      </c>
      <c r="BI69" s="29">
        <f t="shared" si="34"/>
        <v>750000</v>
      </c>
      <c r="BJ69" s="29">
        <f t="shared" si="34"/>
        <v>750000</v>
      </c>
      <c r="BK69" s="29">
        <f t="shared" si="34"/>
        <v>750000</v>
      </c>
      <c r="BL69" s="29">
        <f t="shared" si="34"/>
        <v>750000</v>
      </c>
      <c r="BM69" s="29">
        <f t="shared" si="34"/>
        <v>750000</v>
      </c>
      <c r="BN69" s="29">
        <f t="shared" si="34"/>
        <v>750000</v>
      </c>
      <c r="BO69" s="29">
        <f t="shared" si="34"/>
        <v>750000</v>
      </c>
      <c r="BP69" s="29">
        <f t="shared" si="34"/>
        <v>750000</v>
      </c>
      <c r="BQ69" s="29">
        <f t="shared" si="34"/>
        <v>750000</v>
      </c>
      <c r="BR69" s="29">
        <f t="shared" si="34"/>
        <v>750000</v>
      </c>
      <c r="BS69" s="29">
        <f t="shared" si="34"/>
        <v>750000</v>
      </c>
      <c r="BT69" s="29">
        <f t="shared" si="34"/>
        <v>750000</v>
      </c>
      <c r="BU69" s="29">
        <f t="shared" si="34"/>
        <v>750000</v>
      </c>
      <c r="BV69" s="29">
        <f t="shared" si="34"/>
        <v>750000</v>
      </c>
      <c r="BW69" s="29">
        <f t="shared" si="34"/>
        <v>750000</v>
      </c>
      <c r="BX69" s="29">
        <f t="shared" si="34"/>
        <v>750000</v>
      </c>
      <c r="BY69" s="29">
        <f t="shared" si="34"/>
        <v>750000</v>
      </c>
      <c r="BZ69" s="29">
        <f t="shared" si="34"/>
        <v>750000</v>
      </c>
      <c r="CA69" s="29">
        <f t="shared" si="34"/>
        <v>750000</v>
      </c>
      <c r="CB69" s="29">
        <f t="shared" si="34"/>
        <v>750000</v>
      </c>
      <c r="CC69" s="29">
        <f t="shared" si="34"/>
        <v>750000</v>
      </c>
      <c r="CD69" s="29">
        <f t="shared" si="34"/>
        <v>750000</v>
      </c>
      <c r="CE69" s="29">
        <f t="shared" si="34"/>
        <v>750000</v>
      </c>
      <c r="CF69" s="29">
        <f t="shared" si="34"/>
        <v>750000</v>
      </c>
      <c r="CG69" s="29">
        <f t="shared" si="34"/>
        <v>750000</v>
      </c>
      <c r="CH69" s="29">
        <f t="shared" si="34"/>
        <v>750000</v>
      </c>
    </row>
    <row r="70" spans="2:86" ht="13">
      <c r="B70" s="15" t="str">
        <f t="shared" si="23"/>
        <v>Cumulative Management Fees</v>
      </c>
      <c r="C70" s="15"/>
      <c r="D70" s="15" t="s">
        <v>247</v>
      </c>
      <c r="E70" s="29">
        <f t="shared" si="13"/>
        <v>4900000</v>
      </c>
      <c r="F70" s="29"/>
      <c r="G70" s="29">
        <f t="shared" ref="G70:CH70" si="35">F70+G41</f>
        <v>122500</v>
      </c>
      <c r="H70" s="29">
        <f t="shared" si="35"/>
        <v>245000</v>
      </c>
      <c r="I70" s="29">
        <f t="shared" si="35"/>
        <v>367500</v>
      </c>
      <c r="J70" s="29">
        <f t="shared" si="35"/>
        <v>490000</v>
      </c>
      <c r="K70" s="29">
        <f t="shared" si="35"/>
        <v>612500</v>
      </c>
      <c r="L70" s="29">
        <f t="shared" si="35"/>
        <v>735000</v>
      </c>
      <c r="M70" s="29">
        <f t="shared" si="35"/>
        <v>857500</v>
      </c>
      <c r="N70" s="29">
        <f t="shared" si="35"/>
        <v>980000</v>
      </c>
      <c r="O70" s="29">
        <f t="shared" si="35"/>
        <v>1102500</v>
      </c>
      <c r="P70" s="29">
        <f t="shared" si="35"/>
        <v>1225000</v>
      </c>
      <c r="Q70" s="29">
        <f t="shared" si="35"/>
        <v>1347500</v>
      </c>
      <c r="R70" s="29">
        <f t="shared" si="35"/>
        <v>1470000</v>
      </c>
      <c r="S70" s="29">
        <f t="shared" si="35"/>
        <v>1592500</v>
      </c>
      <c r="T70" s="29">
        <f t="shared" si="35"/>
        <v>1715000</v>
      </c>
      <c r="U70" s="29">
        <f t="shared" si="35"/>
        <v>1837500</v>
      </c>
      <c r="V70" s="29">
        <f t="shared" si="35"/>
        <v>1960000</v>
      </c>
      <c r="W70" s="29">
        <f t="shared" si="35"/>
        <v>2082500</v>
      </c>
      <c r="X70" s="29">
        <f t="shared" si="35"/>
        <v>2205000</v>
      </c>
      <c r="Y70" s="29">
        <f t="shared" si="35"/>
        <v>2327500</v>
      </c>
      <c r="Z70" s="29">
        <f t="shared" si="35"/>
        <v>2450000</v>
      </c>
      <c r="AA70" s="29">
        <f t="shared" si="35"/>
        <v>2572500</v>
      </c>
      <c r="AB70" s="29">
        <f t="shared" si="35"/>
        <v>2695000</v>
      </c>
      <c r="AC70" s="29">
        <f t="shared" si="35"/>
        <v>2817500</v>
      </c>
      <c r="AD70" s="29">
        <f t="shared" si="35"/>
        <v>2940000</v>
      </c>
      <c r="AE70" s="29">
        <f t="shared" si="35"/>
        <v>3062500</v>
      </c>
      <c r="AF70" s="29">
        <f t="shared" si="35"/>
        <v>3185000</v>
      </c>
      <c r="AG70" s="29">
        <f t="shared" si="35"/>
        <v>3307500</v>
      </c>
      <c r="AH70" s="29">
        <f t="shared" si="35"/>
        <v>3430000</v>
      </c>
      <c r="AI70" s="29">
        <f t="shared" si="35"/>
        <v>3552500</v>
      </c>
      <c r="AJ70" s="29">
        <f t="shared" si="35"/>
        <v>3675000</v>
      </c>
      <c r="AK70" s="29">
        <f t="shared" si="35"/>
        <v>3797500</v>
      </c>
      <c r="AL70" s="29">
        <f t="shared" si="35"/>
        <v>3920000</v>
      </c>
      <c r="AM70" s="29">
        <f t="shared" si="35"/>
        <v>4042500</v>
      </c>
      <c r="AN70" s="29">
        <f t="shared" si="35"/>
        <v>4165000</v>
      </c>
      <c r="AO70" s="29">
        <f t="shared" si="35"/>
        <v>4287500</v>
      </c>
      <c r="AP70" s="29">
        <f t="shared" si="35"/>
        <v>4410000</v>
      </c>
      <c r="AQ70" s="29">
        <f t="shared" si="35"/>
        <v>4532500</v>
      </c>
      <c r="AR70" s="29">
        <f t="shared" si="35"/>
        <v>4655000</v>
      </c>
      <c r="AS70" s="29">
        <f t="shared" si="35"/>
        <v>4777500</v>
      </c>
      <c r="AT70" s="29">
        <f t="shared" si="35"/>
        <v>4900000</v>
      </c>
      <c r="AU70" s="29">
        <f t="shared" si="35"/>
        <v>4900000</v>
      </c>
      <c r="AV70" s="29">
        <f t="shared" si="35"/>
        <v>4900000</v>
      </c>
      <c r="AW70" s="29">
        <f t="shared" si="35"/>
        <v>4900000</v>
      </c>
      <c r="AX70" s="29">
        <f t="shared" si="35"/>
        <v>4900000</v>
      </c>
      <c r="AY70" s="29">
        <f t="shared" si="35"/>
        <v>4900000</v>
      </c>
      <c r="AZ70" s="29">
        <f t="shared" si="35"/>
        <v>4900000</v>
      </c>
      <c r="BA70" s="29">
        <f t="shared" si="35"/>
        <v>4900000</v>
      </c>
      <c r="BB70" s="29">
        <f t="shared" si="35"/>
        <v>4900000</v>
      </c>
      <c r="BC70" s="29">
        <f t="shared" si="35"/>
        <v>4900000</v>
      </c>
      <c r="BD70" s="29">
        <f t="shared" si="35"/>
        <v>4900000</v>
      </c>
      <c r="BE70" s="29">
        <f t="shared" si="35"/>
        <v>4900000</v>
      </c>
      <c r="BF70" s="29">
        <f t="shared" si="35"/>
        <v>4900000</v>
      </c>
      <c r="BG70" s="29">
        <f t="shared" si="35"/>
        <v>4900000</v>
      </c>
      <c r="BH70" s="29">
        <f t="shared" si="35"/>
        <v>4900000</v>
      </c>
      <c r="BI70" s="29">
        <f t="shared" si="35"/>
        <v>4900000</v>
      </c>
      <c r="BJ70" s="29">
        <f t="shared" si="35"/>
        <v>4900000</v>
      </c>
      <c r="BK70" s="29">
        <f t="shared" si="35"/>
        <v>4900000</v>
      </c>
      <c r="BL70" s="29">
        <f t="shared" si="35"/>
        <v>4900000</v>
      </c>
      <c r="BM70" s="29">
        <f t="shared" si="35"/>
        <v>4900000</v>
      </c>
      <c r="BN70" s="29">
        <f t="shared" si="35"/>
        <v>4900000</v>
      </c>
      <c r="BO70" s="29">
        <f t="shared" si="35"/>
        <v>4900000</v>
      </c>
      <c r="BP70" s="29">
        <f t="shared" si="35"/>
        <v>4900000</v>
      </c>
      <c r="BQ70" s="29">
        <f t="shared" si="35"/>
        <v>4900000</v>
      </c>
      <c r="BR70" s="29">
        <f t="shared" si="35"/>
        <v>4900000</v>
      </c>
      <c r="BS70" s="29">
        <f t="shared" si="35"/>
        <v>4900000</v>
      </c>
      <c r="BT70" s="29">
        <f t="shared" si="35"/>
        <v>4900000</v>
      </c>
      <c r="BU70" s="29">
        <f t="shared" si="35"/>
        <v>4900000</v>
      </c>
      <c r="BV70" s="29">
        <f t="shared" si="35"/>
        <v>4900000</v>
      </c>
      <c r="BW70" s="29">
        <f t="shared" si="35"/>
        <v>4900000</v>
      </c>
      <c r="BX70" s="29">
        <f t="shared" si="35"/>
        <v>4900000</v>
      </c>
      <c r="BY70" s="29">
        <f t="shared" si="35"/>
        <v>4900000</v>
      </c>
      <c r="BZ70" s="29">
        <f t="shared" si="35"/>
        <v>4900000</v>
      </c>
      <c r="CA70" s="29">
        <f t="shared" si="35"/>
        <v>4900000</v>
      </c>
      <c r="CB70" s="29">
        <f t="shared" si="35"/>
        <v>4900000</v>
      </c>
      <c r="CC70" s="29">
        <f t="shared" si="35"/>
        <v>4900000</v>
      </c>
      <c r="CD70" s="29">
        <f t="shared" si="35"/>
        <v>4900000</v>
      </c>
      <c r="CE70" s="29">
        <f t="shared" si="35"/>
        <v>4900000</v>
      </c>
      <c r="CF70" s="29">
        <f t="shared" si="35"/>
        <v>4900000</v>
      </c>
      <c r="CG70" s="29">
        <f t="shared" si="35"/>
        <v>4900000</v>
      </c>
      <c r="CH70" s="29">
        <f t="shared" si="35"/>
        <v>4900000</v>
      </c>
    </row>
    <row r="71" spans="2:86" ht="13">
      <c r="B71" s="15" t="str">
        <f t="shared" si="23"/>
        <v>Cumulative Recycled Capital</v>
      </c>
      <c r="C71" s="15"/>
      <c r="D71" s="15" t="s">
        <v>247</v>
      </c>
      <c r="E71" s="29">
        <f t="shared" ca="1" si="13"/>
        <v>802083.33333333337</v>
      </c>
      <c r="F71" s="29"/>
      <c r="G71" s="29">
        <f t="shared" ref="G71:CH71" ca="1" si="36">F71+G42</f>
        <v>0</v>
      </c>
      <c r="H71" s="29">
        <f t="shared" ca="1" si="36"/>
        <v>0</v>
      </c>
      <c r="I71" s="29">
        <f t="shared" ca="1" si="36"/>
        <v>0</v>
      </c>
      <c r="J71" s="29">
        <f t="shared" ca="1" si="36"/>
        <v>0</v>
      </c>
      <c r="K71" s="29">
        <f t="shared" ca="1" si="36"/>
        <v>0</v>
      </c>
      <c r="L71" s="29">
        <f t="shared" ca="1" si="36"/>
        <v>0</v>
      </c>
      <c r="M71" s="29">
        <f t="shared" ca="1" si="36"/>
        <v>0</v>
      </c>
      <c r="N71" s="29">
        <f t="shared" ca="1" si="36"/>
        <v>0</v>
      </c>
      <c r="O71" s="29">
        <f t="shared" ca="1" si="36"/>
        <v>0</v>
      </c>
      <c r="P71" s="29">
        <f t="shared" ca="1" si="36"/>
        <v>0</v>
      </c>
      <c r="Q71" s="29">
        <f t="shared" ca="1" si="36"/>
        <v>0</v>
      </c>
      <c r="R71" s="29">
        <f t="shared" ca="1" si="36"/>
        <v>0</v>
      </c>
      <c r="S71" s="29">
        <f t="shared" ca="1" si="36"/>
        <v>200520.83333333334</v>
      </c>
      <c r="T71" s="29">
        <f t="shared" ca="1" si="36"/>
        <v>401041.66666666669</v>
      </c>
      <c r="U71" s="29">
        <f t="shared" ca="1" si="36"/>
        <v>601562.5</v>
      </c>
      <c r="V71" s="29">
        <f t="shared" ca="1" si="36"/>
        <v>802083.33333333337</v>
      </c>
      <c r="W71" s="29">
        <f t="shared" ca="1" si="36"/>
        <v>802083.33333333337</v>
      </c>
      <c r="X71" s="29">
        <f t="shared" ca="1" si="36"/>
        <v>802083.33333333337</v>
      </c>
      <c r="Y71" s="29">
        <f t="shared" ca="1" si="36"/>
        <v>802083.33333333337</v>
      </c>
      <c r="Z71" s="29">
        <f t="shared" ca="1" si="36"/>
        <v>802083.33333333337</v>
      </c>
      <c r="AA71" s="29">
        <f t="shared" ca="1" si="36"/>
        <v>802083.33333333337</v>
      </c>
      <c r="AB71" s="29">
        <f t="shared" ca="1" si="36"/>
        <v>802083.33333333337</v>
      </c>
      <c r="AC71" s="29">
        <f t="shared" ca="1" si="36"/>
        <v>802083.33333333337</v>
      </c>
      <c r="AD71" s="29">
        <f t="shared" ca="1" si="36"/>
        <v>802083.33333333337</v>
      </c>
      <c r="AE71" s="29">
        <f t="shared" ca="1" si="36"/>
        <v>802083.33333333337</v>
      </c>
      <c r="AF71" s="29">
        <f t="shared" ca="1" si="36"/>
        <v>802083.33333333337</v>
      </c>
      <c r="AG71" s="29">
        <f t="shared" ca="1" si="36"/>
        <v>802083.33333333337</v>
      </c>
      <c r="AH71" s="29">
        <f t="shared" ca="1" si="36"/>
        <v>802083.33333333337</v>
      </c>
      <c r="AI71" s="29">
        <f t="shared" ca="1" si="36"/>
        <v>802083.33333333337</v>
      </c>
      <c r="AJ71" s="29">
        <f t="shared" ca="1" si="36"/>
        <v>802083.33333333337</v>
      </c>
      <c r="AK71" s="29">
        <f t="shared" ca="1" si="36"/>
        <v>802083.33333333337</v>
      </c>
      <c r="AL71" s="29">
        <f t="shared" ca="1" si="36"/>
        <v>802083.33333333337</v>
      </c>
      <c r="AM71" s="29">
        <f t="shared" ca="1" si="36"/>
        <v>802083.33333333337</v>
      </c>
      <c r="AN71" s="29">
        <f t="shared" ca="1" si="36"/>
        <v>802083.33333333337</v>
      </c>
      <c r="AO71" s="29">
        <f t="shared" ca="1" si="36"/>
        <v>802083.33333333337</v>
      </c>
      <c r="AP71" s="29">
        <f t="shared" ca="1" si="36"/>
        <v>802083.33333333337</v>
      </c>
      <c r="AQ71" s="29">
        <f t="shared" ca="1" si="36"/>
        <v>802083.33333333337</v>
      </c>
      <c r="AR71" s="29">
        <f t="shared" ca="1" si="36"/>
        <v>802083.33333333337</v>
      </c>
      <c r="AS71" s="29">
        <f t="shared" ca="1" si="36"/>
        <v>802083.33333333337</v>
      </c>
      <c r="AT71" s="29">
        <f t="shared" ca="1" si="36"/>
        <v>802083.33333333337</v>
      </c>
      <c r="AU71" s="29">
        <f t="shared" ca="1" si="36"/>
        <v>802083.33333333337</v>
      </c>
      <c r="AV71" s="29">
        <f t="shared" ca="1" si="36"/>
        <v>802083.33333333337</v>
      </c>
      <c r="AW71" s="29">
        <f t="shared" ca="1" si="36"/>
        <v>802083.33333333337</v>
      </c>
      <c r="AX71" s="29">
        <f t="shared" ca="1" si="36"/>
        <v>802083.33333333337</v>
      </c>
      <c r="AY71" s="29">
        <f t="shared" ca="1" si="36"/>
        <v>802083.33333333337</v>
      </c>
      <c r="AZ71" s="29">
        <f t="shared" ca="1" si="36"/>
        <v>802083.33333333337</v>
      </c>
      <c r="BA71" s="29">
        <f t="shared" ca="1" si="36"/>
        <v>802083.33333333337</v>
      </c>
      <c r="BB71" s="29">
        <f t="shared" ca="1" si="36"/>
        <v>802083.33333333337</v>
      </c>
      <c r="BC71" s="29">
        <f t="shared" ca="1" si="36"/>
        <v>802083.33333333337</v>
      </c>
      <c r="BD71" s="29">
        <f t="shared" ca="1" si="36"/>
        <v>802083.33333333337</v>
      </c>
      <c r="BE71" s="29">
        <f t="shared" ca="1" si="36"/>
        <v>802083.33333333337</v>
      </c>
      <c r="BF71" s="29">
        <f t="shared" ca="1" si="36"/>
        <v>802083.33333333337</v>
      </c>
      <c r="BG71" s="29">
        <f t="shared" ca="1" si="36"/>
        <v>802083.33333333337</v>
      </c>
      <c r="BH71" s="29">
        <f t="shared" ca="1" si="36"/>
        <v>802083.33333333337</v>
      </c>
      <c r="BI71" s="29">
        <f t="shared" ca="1" si="36"/>
        <v>802083.33333333337</v>
      </c>
      <c r="BJ71" s="29">
        <f t="shared" ca="1" si="36"/>
        <v>802083.33333333337</v>
      </c>
      <c r="BK71" s="29">
        <f t="shared" ca="1" si="36"/>
        <v>802083.33333333337</v>
      </c>
      <c r="BL71" s="29">
        <f t="shared" ca="1" si="36"/>
        <v>802083.33333333337</v>
      </c>
      <c r="BM71" s="29">
        <f t="shared" ca="1" si="36"/>
        <v>802083.33333333337</v>
      </c>
      <c r="BN71" s="29">
        <f t="shared" ca="1" si="36"/>
        <v>802083.33333333337</v>
      </c>
      <c r="BO71" s="29">
        <f t="shared" ca="1" si="36"/>
        <v>802083.33333333337</v>
      </c>
      <c r="BP71" s="29">
        <f t="shared" ca="1" si="36"/>
        <v>802083.33333333337</v>
      </c>
      <c r="BQ71" s="29">
        <f t="shared" ca="1" si="36"/>
        <v>802083.33333333337</v>
      </c>
      <c r="BR71" s="29">
        <f t="shared" ca="1" si="36"/>
        <v>802083.33333333337</v>
      </c>
      <c r="BS71" s="29">
        <f t="shared" ca="1" si="36"/>
        <v>802083.33333333337</v>
      </c>
      <c r="BT71" s="29">
        <f t="shared" ca="1" si="36"/>
        <v>802083.33333333337</v>
      </c>
      <c r="BU71" s="29">
        <f t="shared" ca="1" si="36"/>
        <v>802083.33333333337</v>
      </c>
      <c r="BV71" s="29">
        <f t="shared" ca="1" si="36"/>
        <v>802083.33333333337</v>
      </c>
      <c r="BW71" s="29">
        <f t="shared" ca="1" si="36"/>
        <v>802083.33333333337</v>
      </c>
      <c r="BX71" s="29">
        <f t="shared" ca="1" si="36"/>
        <v>802083.33333333337</v>
      </c>
      <c r="BY71" s="29">
        <f t="shared" ca="1" si="36"/>
        <v>802083.33333333337</v>
      </c>
      <c r="BZ71" s="29">
        <f t="shared" ca="1" si="36"/>
        <v>802083.33333333337</v>
      </c>
      <c r="CA71" s="29">
        <f t="shared" ca="1" si="36"/>
        <v>802083.33333333337</v>
      </c>
      <c r="CB71" s="29">
        <f t="shared" ca="1" si="36"/>
        <v>802083.33333333337</v>
      </c>
      <c r="CC71" s="29">
        <f t="shared" ca="1" si="36"/>
        <v>802083.33333333337</v>
      </c>
      <c r="CD71" s="29">
        <f t="shared" ca="1" si="36"/>
        <v>802083.33333333337</v>
      </c>
      <c r="CE71" s="29">
        <f t="shared" ca="1" si="36"/>
        <v>802083.33333333337</v>
      </c>
      <c r="CF71" s="29">
        <f t="shared" ca="1" si="36"/>
        <v>802083.33333333337</v>
      </c>
      <c r="CG71" s="29">
        <f t="shared" ca="1" si="36"/>
        <v>802083.33333333337</v>
      </c>
      <c r="CH71" s="29">
        <f t="shared" ca="1" si="36"/>
        <v>802083.33333333337</v>
      </c>
    </row>
    <row r="72" spans="2:86" ht="13">
      <c r="B72" s="15" t="str">
        <f t="shared" si="23"/>
        <v>Cumulative Proceeds</v>
      </c>
      <c r="D72" s="15" t="s">
        <v>247</v>
      </c>
      <c r="E72" s="29">
        <f t="shared" ca="1" si="13"/>
        <v>231601562.5</v>
      </c>
      <c r="F72" s="29"/>
      <c r="G72" s="29">
        <f t="shared" ref="G72:CH72" ca="1" si="37">F72+G43</f>
        <v>0</v>
      </c>
      <c r="H72" s="29">
        <f t="shared" ca="1" si="37"/>
        <v>0</v>
      </c>
      <c r="I72" s="29">
        <f t="shared" ca="1" si="37"/>
        <v>0</v>
      </c>
      <c r="J72" s="29">
        <f t="shared" ca="1" si="37"/>
        <v>0</v>
      </c>
      <c r="K72" s="29">
        <f t="shared" ca="1" si="37"/>
        <v>0</v>
      </c>
      <c r="L72" s="29">
        <f t="shared" ca="1" si="37"/>
        <v>0</v>
      </c>
      <c r="M72" s="29">
        <f t="shared" ca="1" si="37"/>
        <v>0</v>
      </c>
      <c r="N72" s="29">
        <f t="shared" ca="1" si="37"/>
        <v>0</v>
      </c>
      <c r="O72" s="29">
        <f t="shared" ca="1" si="37"/>
        <v>0</v>
      </c>
      <c r="P72" s="29">
        <f t="shared" ca="1" si="37"/>
        <v>0</v>
      </c>
      <c r="Q72" s="29">
        <f t="shared" ca="1" si="37"/>
        <v>0</v>
      </c>
      <c r="R72" s="29">
        <f t="shared" ca="1" si="37"/>
        <v>0</v>
      </c>
      <c r="S72" s="29">
        <f t="shared" ca="1" si="37"/>
        <v>1010625.0000000005</v>
      </c>
      <c r="T72" s="29">
        <f t="shared" ca="1" si="37"/>
        <v>2021250.0000000009</v>
      </c>
      <c r="U72" s="29">
        <f t="shared" ca="1" si="37"/>
        <v>3031875.0000000014</v>
      </c>
      <c r="V72" s="29">
        <f t="shared" ca="1" si="37"/>
        <v>4042500.0000000019</v>
      </c>
      <c r="W72" s="29">
        <f t="shared" ca="1" si="37"/>
        <v>6569062.5000000028</v>
      </c>
      <c r="X72" s="29">
        <f t="shared" ca="1" si="37"/>
        <v>9095625.0000000037</v>
      </c>
      <c r="Y72" s="29">
        <f t="shared" ca="1" si="37"/>
        <v>11622187.500000004</v>
      </c>
      <c r="Z72" s="29">
        <f t="shared" ca="1" si="37"/>
        <v>14148750.000000004</v>
      </c>
      <c r="AA72" s="29">
        <f t="shared" ca="1" si="37"/>
        <v>16675312.500000004</v>
      </c>
      <c r="AB72" s="29">
        <f t="shared" ca="1" si="37"/>
        <v>19201875.000000004</v>
      </c>
      <c r="AC72" s="29">
        <f t="shared" ca="1" si="37"/>
        <v>21728437.500000004</v>
      </c>
      <c r="AD72" s="29">
        <f t="shared" ca="1" si="37"/>
        <v>24255000.000000004</v>
      </c>
      <c r="AE72" s="29">
        <f t="shared" ca="1" si="37"/>
        <v>38319531.25</v>
      </c>
      <c r="AF72" s="29">
        <f t="shared" ca="1" si="37"/>
        <v>52384062.5</v>
      </c>
      <c r="AG72" s="29">
        <f t="shared" ca="1" si="37"/>
        <v>66448593.75</v>
      </c>
      <c r="AH72" s="29">
        <f t="shared" ca="1" si="37"/>
        <v>80513125</v>
      </c>
      <c r="AI72" s="29">
        <f t="shared" ca="1" si="37"/>
        <v>93651250</v>
      </c>
      <c r="AJ72" s="29">
        <f t="shared" ca="1" si="37"/>
        <v>106789375</v>
      </c>
      <c r="AK72" s="29">
        <f t="shared" ca="1" si="37"/>
        <v>119927500</v>
      </c>
      <c r="AL72" s="29">
        <f t="shared" ca="1" si="37"/>
        <v>133065625</v>
      </c>
      <c r="AM72" s="29">
        <f t="shared" ca="1" si="37"/>
        <v>144435156.25</v>
      </c>
      <c r="AN72" s="29">
        <f t="shared" ca="1" si="37"/>
        <v>155804687.5</v>
      </c>
      <c r="AO72" s="29">
        <f t="shared" ca="1" si="37"/>
        <v>167174218.75</v>
      </c>
      <c r="AP72" s="29">
        <f t="shared" ca="1" si="37"/>
        <v>178543750</v>
      </c>
      <c r="AQ72" s="29">
        <f t="shared" ca="1" si="37"/>
        <v>191808203.125</v>
      </c>
      <c r="AR72" s="29">
        <f t="shared" ca="1" si="37"/>
        <v>205072656.25</v>
      </c>
      <c r="AS72" s="29">
        <f t="shared" ca="1" si="37"/>
        <v>218337109.375</v>
      </c>
      <c r="AT72" s="29">
        <f t="shared" ca="1" si="37"/>
        <v>231601562.5</v>
      </c>
      <c r="AU72" s="29">
        <f t="shared" ca="1" si="37"/>
        <v>231601562.5</v>
      </c>
      <c r="AV72" s="29">
        <f t="shared" ca="1" si="37"/>
        <v>231601562.5</v>
      </c>
      <c r="AW72" s="29">
        <f t="shared" ca="1" si="37"/>
        <v>231601562.5</v>
      </c>
      <c r="AX72" s="29">
        <f t="shared" ca="1" si="37"/>
        <v>231601562.5</v>
      </c>
      <c r="AY72" s="29">
        <f t="shared" ca="1" si="37"/>
        <v>231601562.5</v>
      </c>
      <c r="AZ72" s="29">
        <f t="shared" ca="1" si="37"/>
        <v>231601562.5</v>
      </c>
      <c r="BA72" s="29">
        <f t="shared" ca="1" si="37"/>
        <v>231601562.5</v>
      </c>
      <c r="BB72" s="29">
        <f t="shared" ca="1" si="37"/>
        <v>231601562.5</v>
      </c>
      <c r="BC72" s="29">
        <f t="shared" ca="1" si="37"/>
        <v>231601562.5</v>
      </c>
      <c r="BD72" s="29">
        <f t="shared" ca="1" si="37"/>
        <v>231601562.5</v>
      </c>
      <c r="BE72" s="29">
        <f t="shared" ca="1" si="37"/>
        <v>231601562.5</v>
      </c>
      <c r="BF72" s="29">
        <f t="shared" ca="1" si="37"/>
        <v>231601562.5</v>
      </c>
      <c r="BG72" s="29">
        <f t="shared" ca="1" si="37"/>
        <v>231601562.5</v>
      </c>
      <c r="BH72" s="29">
        <f t="shared" ca="1" si="37"/>
        <v>231601562.5</v>
      </c>
      <c r="BI72" s="29">
        <f t="shared" ca="1" si="37"/>
        <v>231601562.5</v>
      </c>
      <c r="BJ72" s="29">
        <f t="shared" ca="1" si="37"/>
        <v>231601562.5</v>
      </c>
      <c r="BK72" s="29">
        <f t="shared" ca="1" si="37"/>
        <v>231601562.5</v>
      </c>
      <c r="BL72" s="29">
        <f t="shared" ca="1" si="37"/>
        <v>231601562.5</v>
      </c>
      <c r="BM72" s="29">
        <f t="shared" ca="1" si="37"/>
        <v>231601562.5</v>
      </c>
      <c r="BN72" s="29">
        <f t="shared" ca="1" si="37"/>
        <v>231601562.5</v>
      </c>
      <c r="BO72" s="29">
        <f t="shared" ca="1" si="37"/>
        <v>231601562.5</v>
      </c>
      <c r="BP72" s="29">
        <f t="shared" ca="1" si="37"/>
        <v>231601562.5</v>
      </c>
      <c r="BQ72" s="29">
        <f t="shared" ca="1" si="37"/>
        <v>231601562.5</v>
      </c>
      <c r="BR72" s="29">
        <f t="shared" ca="1" si="37"/>
        <v>231601562.5</v>
      </c>
      <c r="BS72" s="29">
        <f t="shared" ca="1" si="37"/>
        <v>231601562.5</v>
      </c>
      <c r="BT72" s="29">
        <f t="shared" ca="1" si="37"/>
        <v>231601562.5</v>
      </c>
      <c r="BU72" s="29">
        <f t="shared" ca="1" si="37"/>
        <v>231601562.5</v>
      </c>
      <c r="BV72" s="29">
        <f t="shared" ca="1" si="37"/>
        <v>231601562.5</v>
      </c>
      <c r="BW72" s="29">
        <f t="shared" ca="1" si="37"/>
        <v>231601562.5</v>
      </c>
      <c r="BX72" s="29">
        <f t="shared" ca="1" si="37"/>
        <v>231601562.5</v>
      </c>
      <c r="BY72" s="29">
        <f t="shared" ca="1" si="37"/>
        <v>231601562.5</v>
      </c>
      <c r="BZ72" s="29">
        <f t="shared" ca="1" si="37"/>
        <v>231601562.5</v>
      </c>
      <c r="CA72" s="29">
        <f t="shared" ca="1" si="37"/>
        <v>231601562.5</v>
      </c>
      <c r="CB72" s="29">
        <f t="shared" ca="1" si="37"/>
        <v>231601562.5</v>
      </c>
      <c r="CC72" s="29">
        <f t="shared" ca="1" si="37"/>
        <v>231601562.5</v>
      </c>
      <c r="CD72" s="29">
        <f t="shared" ca="1" si="37"/>
        <v>231601562.5</v>
      </c>
      <c r="CE72" s="29">
        <f t="shared" ca="1" si="37"/>
        <v>231601562.5</v>
      </c>
      <c r="CF72" s="29">
        <f t="shared" ca="1" si="37"/>
        <v>231601562.5</v>
      </c>
      <c r="CG72" s="29">
        <f t="shared" ca="1" si="37"/>
        <v>231601562.5</v>
      </c>
      <c r="CH72" s="29">
        <f t="shared" ca="1" si="37"/>
        <v>231601562.5</v>
      </c>
    </row>
    <row r="73" spans="2:86" ht="13">
      <c r="B73" s="15" t="str">
        <f t="shared" si="23"/>
        <v>Cumulative Preferred Return</v>
      </c>
      <c r="C73" s="15"/>
      <c r="D73" s="15" t="s">
        <v>247</v>
      </c>
      <c r="E73" s="29">
        <f t="shared" si="13"/>
        <v>0</v>
      </c>
      <c r="F73" s="29"/>
      <c r="G73" s="29">
        <f t="shared" ref="G73:CH73" si="38">F73+G44</f>
        <v>0</v>
      </c>
      <c r="H73" s="29">
        <f t="shared" si="38"/>
        <v>0</v>
      </c>
      <c r="I73" s="29">
        <f t="shared" si="38"/>
        <v>0</v>
      </c>
      <c r="J73" s="29">
        <f t="shared" si="38"/>
        <v>0</v>
      </c>
      <c r="K73" s="29">
        <f t="shared" si="38"/>
        <v>0</v>
      </c>
      <c r="L73" s="29">
        <f t="shared" si="38"/>
        <v>0</v>
      </c>
      <c r="M73" s="29">
        <f t="shared" si="38"/>
        <v>0</v>
      </c>
      <c r="N73" s="29">
        <f t="shared" si="38"/>
        <v>0</v>
      </c>
      <c r="O73" s="29">
        <f t="shared" si="38"/>
        <v>0</v>
      </c>
      <c r="P73" s="29">
        <f t="shared" si="38"/>
        <v>0</v>
      </c>
      <c r="Q73" s="29">
        <f t="shared" si="38"/>
        <v>0</v>
      </c>
      <c r="R73" s="29">
        <f t="shared" si="38"/>
        <v>0</v>
      </c>
      <c r="S73" s="29">
        <f t="shared" si="38"/>
        <v>0</v>
      </c>
      <c r="T73" s="29">
        <f t="shared" si="38"/>
        <v>0</v>
      </c>
      <c r="U73" s="29">
        <f t="shared" si="38"/>
        <v>0</v>
      </c>
      <c r="V73" s="29">
        <f t="shared" si="38"/>
        <v>0</v>
      </c>
      <c r="W73" s="29">
        <f t="shared" si="38"/>
        <v>0</v>
      </c>
      <c r="X73" s="29">
        <f t="shared" si="38"/>
        <v>0</v>
      </c>
      <c r="Y73" s="29">
        <f t="shared" si="38"/>
        <v>0</v>
      </c>
      <c r="Z73" s="29">
        <f t="shared" si="38"/>
        <v>0</v>
      </c>
      <c r="AA73" s="29">
        <f t="shared" si="38"/>
        <v>0</v>
      </c>
      <c r="AB73" s="29">
        <f t="shared" si="38"/>
        <v>0</v>
      </c>
      <c r="AC73" s="29">
        <f t="shared" si="38"/>
        <v>0</v>
      </c>
      <c r="AD73" s="29">
        <f t="shared" si="38"/>
        <v>0</v>
      </c>
      <c r="AE73" s="29">
        <f t="shared" si="38"/>
        <v>0</v>
      </c>
      <c r="AF73" s="29">
        <f t="shared" si="38"/>
        <v>0</v>
      </c>
      <c r="AG73" s="29">
        <f t="shared" si="38"/>
        <v>0</v>
      </c>
      <c r="AH73" s="29">
        <f t="shared" si="38"/>
        <v>0</v>
      </c>
      <c r="AI73" s="29">
        <f t="shared" si="38"/>
        <v>0</v>
      </c>
      <c r="AJ73" s="29">
        <f t="shared" si="38"/>
        <v>0</v>
      </c>
      <c r="AK73" s="29">
        <f t="shared" si="38"/>
        <v>0</v>
      </c>
      <c r="AL73" s="29">
        <f t="shared" si="38"/>
        <v>0</v>
      </c>
      <c r="AM73" s="29">
        <f t="shared" si="38"/>
        <v>0</v>
      </c>
      <c r="AN73" s="29">
        <f t="shared" si="38"/>
        <v>0</v>
      </c>
      <c r="AO73" s="29">
        <f t="shared" si="38"/>
        <v>0</v>
      </c>
      <c r="AP73" s="29">
        <f t="shared" si="38"/>
        <v>0</v>
      </c>
      <c r="AQ73" s="29">
        <f t="shared" si="38"/>
        <v>0</v>
      </c>
      <c r="AR73" s="29">
        <f t="shared" si="38"/>
        <v>0</v>
      </c>
      <c r="AS73" s="29">
        <f t="shared" si="38"/>
        <v>0</v>
      </c>
      <c r="AT73" s="29">
        <f t="shared" si="38"/>
        <v>0</v>
      </c>
      <c r="AU73" s="29">
        <f t="shared" si="38"/>
        <v>0</v>
      </c>
      <c r="AV73" s="29">
        <f t="shared" si="38"/>
        <v>0</v>
      </c>
      <c r="AW73" s="29">
        <f t="shared" si="38"/>
        <v>0</v>
      </c>
      <c r="AX73" s="29">
        <f t="shared" si="38"/>
        <v>0</v>
      </c>
      <c r="AY73" s="29">
        <f t="shared" si="38"/>
        <v>0</v>
      </c>
      <c r="AZ73" s="29">
        <f t="shared" si="38"/>
        <v>0</v>
      </c>
      <c r="BA73" s="29">
        <f t="shared" si="38"/>
        <v>0</v>
      </c>
      <c r="BB73" s="29">
        <f t="shared" si="38"/>
        <v>0</v>
      </c>
      <c r="BC73" s="29">
        <f t="shared" si="38"/>
        <v>0</v>
      </c>
      <c r="BD73" s="29">
        <f t="shared" si="38"/>
        <v>0</v>
      </c>
      <c r="BE73" s="29">
        <f t="shared" si="38"/>
        <v>0</v>
      </c>
      <c r="BF73" s="29">
        <f t="shared" si="38"/>
        <v>0</v>
      </c>
      <c r="BG73" s="29">
        <f t="shared" si="38"/>
        <v>0</v>
      </c>
      <c r="BH73" s="29">
        <f t="shared" si="38"/>
        <v>0</v>
      </c>
      <c r="BI73" s="29">
        <f t="shared" si="38"/>
        <v>0</v>
      </c>
      <c r="BJ73" s="29">
        <f t="shared" si="38"/>
        <v>0</v>
      </c>
      <c r="BK73" s="29">
        <f t="shared" si="38"/>
        <v>0</v>
      </c>
      <c r="BL73" s="29">
        <f t="shared" si="38"/>
        <v>0</v>
      </c>
      <c r="BM73" s="29">
        <f t="shared" si="38"/>
        <v>0</v>
      </c>
      <c r="BN73" s="29">
        <f t="shared" si="38"/>
        <v>0</v>
      </c>
      <c r="BO73" s="29">
        <f t="shared" si="38"/>
        <v>0</v>
      </c>
      <c r="BP73" s="29">
        <f t="shared" si="38"/>
        <v>0</v>
      </c>
      <c r="BQ73" s="29">
        <f t="shared" si="38"/>
        <v>0</v>
      </c>
      <c r="BR73" s="29">
        <f t="shared" si="38"/>
        <v>0</v>
      </c>
      <c r="BS73" s="29">
        <f t="shared" si="38"/>
        <v>0</v>
      </c>
      <c r="BT73" s="29">
        <f t="shared" si="38"/>
        <v>0</v>
      </c>
      <c r="BU73" s="29">
        <f t="shared" si="38"/>
        <v>0</v>
      </c>
      <c r="BV73" s="29">
        <f t="shared" si="38"/>
        <v>0</v>
      </c>
      <c r="BW73" s="29">
        <f t="shared" si="38"/>
        <v>0</v>
      </c>
      <c r="BX73" s="29">
        <f t="shared" si="38"/>
        <v>0</v>
      </c>
      <c r="BY73" s="29">
        <f t="shared" si="38"/>
        <v>0</v>
      </c>
      <c r="BZ73" s="29">
        <f t="shared" si="38"/>
        <v>0</v>
      </c>
      <c r="CA73" s="29">
        <f t="shared" si="38"/>
        <v>0</v>
      </c>
      <c r="CB73" s="29">
        <f t="shared" si="38"/>
        <v>0</v>
      </c>
      <c r="CC73" s="29">
        <f t="shared" si="38"/>
        <v>0</v>
      </c>
      <c r="CD73" s="29">
        <f t="shared" si="38"/>
        <v>0</v>
      </c>
      <c r="CE73" s="29">
        <f t="shared" si="38"/>
        <v>0</v>
      </c>
      <c r="CF73" s="29">
        <f t="shared" si="38"/>
        <v>0</v>
      </c>
      <c r="CG73" s="29">
        <f t="shared" si="38"/>
        <v>0</v>
      </c>
      <c r="CH73" s="29">
        <f t="shared" si="38"/>
        <v>0</v>
      </c>
    </row>
    <row r="74" spans="2:86" ht="13">
      <c r="B74" s="15" t="str">
        <f t="shared" si="23"/>
        <v>Cumulative GP Catchup</v>
      </c>
      <c r="D74" s="15" t="s">
        <v>247</v>
      </c>
      <c r="E74" s="29">
        <f t="shared" si="13"/>
        <v>0</v>
      </c>
      <c r="F74" s="29"/>
      <c r="G74" s="29">
        <f t="shared" ref="G74:CH74" si="39">F74+G45</f>
        <v>0</v>
      </c>
      <c r="H74" s="29">
        <f t="shared" si="39"/>
        <v>0</v>
      </c>
      <c r="I74" s="29">
        <f t="shared" si="39"/>
        <v>0</v>
      </c>
      <c r="J74" s="29">
        <f t="shared" si="39"/>
        <v>0</v>
      </c>
      <c r="K74" s="29">
        <f t="shared" si="39"/>
        <v>0</v>
      </c>
      <c r="L74" s="29">
        <f t="shared" si="39"/>
        <v>0</v>
      </c>
      <c r="M74" s="29">
        <f t="shared" si="39"/>
        <v>0</v>
      </c>
      <c r="N74" s="29">
        <f t="shared" si="39"/>
        <v>0</v>
      </c>
      <c r="O74" s="29">
        <f t="shared" si="39"/>
        <v>0</v>
      </c>
      <c r="P74" s="29">
        <f t="shared" si="39"/>
        <v>0</v>
      </c>
      <c r="Q74" s="29">
        <f t="shared" si="39"/>
        <v>0</v>
      </c>
      <c r="R74" s="29">
        <f t="shared" si="39"/>
        <v>0</v>
      </c>
      <c r="S74" s="29">
        <f t="shared" si="39"/>
        <v>0</v>
      </c>
      <c r="T74" s="29">
        <f t="shared" si="39"/>
        <v>0</v>
      </c>
      <c r="U74" s="29">
        <f t="shared" si="39"/>
        <v>0</v>
      </c>
      <c r="V74" s="29">
        <f t="shared" si="39"/>
        <v>0</v>
      </c>
      <c r="W74" s="29">
        <f t="shared" si="39"/>
        <v>0</v>
      </c>
      <c r="X74" s="29">
        <f t="shared" si="39"/>
        <v>0</v>
      </c>
      <c r="Y74" s="29">
        <f t="shared" si="39"/>
        <v>0</v>
      </c>
      <c r="Z74" s="29">
        <f t="shared" si="39"/>
        <v>0</v>
      </c>
      <c r="AA74" s="29">
        <f t="shared" si="39"/>
        <v>0</v>
      </c>
      <c r="AB74" s="29">
        <f t="shared" si="39"/>
        <v>0</v>
      </c>
      <c r="AC74" s="29">
        <f t="shared" si="39"/>
        <v>0</v>
      </c>
      <c r="AD74" s="29">
        <f t="shared" si="39"/>
        <v>0</v>
      </c>
      <c r="AE74" s="29">
        <f t="shared" si="39"/>
        <v>0</v>
      </c>
      <c r="AF74" s="29">
        <f t="shared" si="39"/>
        <v>0</v>
      </c>
      <c r="AG74" s="29">
        <f t="shared" si="39"/>
        <v>0</v>
      </c>
      <c r="AH74" s="29">
        <f t="shared" si="39"/>
        <v>0</v>
      </c>
      <c r="AI74" s="29">
        <f t="shared" si="39"/>
        <v>0</v>
      </c>
      <c r="AJ74" s="29">
        <f t="shared" si="39"/>
        <v>0</v>
      </c>
      <c r="AK74" s="29">
        <f t="shared" si="39"/>
        <v>0</v>
      </c>
      <c r="AL74" s="29">
        <f t="shared" si="39"/>
        <v>0</v>
      </c>
      <c r="AM74" s="29">
        <f t="shared" si="39"/>
        <v>0</v>
      </c>
      <c r="AN74" s="29">
        <f t="shared" si="39"/>
        <v>0</v>
      </c>
      <c r="AO74" s="29">
        <f t="shared" si="39"/>
        <v>0</v>
      </c>
      <c r="AP74" s="29">
        <f t="shared" si="39"/>
        <v>0</v>
      </c>
      <c r="AQ74" s="29">
        <f t="shared" si="39"/>
        <v>0</v>
      </c>
      <c r="AR74" s="29">
        <f t="shared" si="39"/>
        <v>0</v>
      </c>
      <c r="AS74" s="29">
        <f t="shared" si="39"/>
        <v>0</v>
      </c>
      <c r="AT74" s="29">
        <f t="shared" si="39"/>
        <v>0</v>
      </c>
      <c r="AU74" s="29">
        <f t="shared" si="39"/>
        <v>0</v>
      </c>
      <c r="AV74" s="29">
        <f t="shared" si="39"/>
        <v>0</v>
      </c>
      <c r="AW74" s="29">
        <f t="shared" si="39"/>
        <v>0</v>
      </c>
      <c r="AX74" s="29">
        <f t="shared" si="39"/>
        <v>0</v>
      </c>
      <c r="AY74" s="29">
        <f t="shared" si="39"/>
        <v>0</v>
      </c>
      <c r="AZ74" s="29">
        <f t="shared" si="39"/>
        <v>0</v>
      </c>
      <c r="BA74" s="29">
        <f t="shared" si="39"/>
        <v>0</v>
      </c>
      <c r="BB74" s="29">
        <f t="shared" si="39"/>
        <v>0</v>
      </c>
      <c r="BC74" s="29">
        <f t="shared" si="39"/>
        <v>0</v>
      </c>
      <c r="BD74" s="29">
        <f t="shared" si="39"/>
        <v>0</v>
      </c>
      <c r="BE74" s="29">
        <f t="shared" si="39"/>
        <v>0</v>
      </c>
      <c r="BF74" s="29">
        <f t="shared" si="39"/>
        <v>0</v>
      </c>
      <c r="BG74" s="29">
        <f t="shared" si="39"/>
        <v>0</v>
      </c>
      <c r="BH74" s="29">
        <f t="shared" si="39"/>
        <v>0</v>
      </c>
      <c r="BI74" s="29">
        <f t="shared" si="39"/>
        <v>0</v>
      </c>
      <c r="BJ74" s="29">
        <f t="shared" si="39"/>
        <v>0</v>
      </c>
      <c r="BK74" s="29">
        <f t="shared" si="39"/>
        <v>0</v>
      </c>
      <c r="BL74" s="29">
        <f t="shared" si="39"/>
        <v>0</v>
      </c>
      <c r="BM74" s="29">
        <f t="shared" si="39"/>
        <v>0</v>
      </c>
      <c r="BN74" s="29">
        <f t="shared" si="39"/>
        <v>0</v>
      </c>
      <c r="BO74" s="29">
        <f t="shared" si="39"/>
        <v>0</v>
      </c>
      <c r="BP74" s="29">
        <f t="shared" si="39"/>
        <v>0</v>
      </c>
      <c r="BQ74" s="29">
        <f t="shared" si="39"/>
        <v>0</v>
      </c>
      <c r="BR74" s="29">
        <f t="shared" si="39"/>
        <v>0</v>
      </c>
      <c r="BS74" s="29">
        <f t="shared" si="39"/>
        <v>0</v>
      </c>
      <c r="BT74" s="29">
        <f t="shared" si="39"/>
        <v>0</v>
      </c>
      <c r="BU74" s="29">
        <f t="shared" si="39"/>
        <v>0</v>
      </c>
      <c r="BV74" s="29">
        <f t="shared" si="39"/>
        <v>0</v>
      </c>
      <c r="BW74" s="29">
        <f t="shared" si="39"/>
        <v>0</v>
      </c>
      <c r="BX74" s="29">
        <f t="shared" si="39"/>
        <v>0</v>
      </c>
      <c r="BY74" s="29">
        <f t="shared" si="39"/>
        <v>0</v>
      </c>
      <c r="BZ74" s="29">
        <f t="shared" si="39"/>
        <v>0</v>
      </c>
      <c r="CA74" s="29">
        <f t="shared" si="39"/>
        <v>0</v>
      </c>
      <c r="CB74" s="29">
        <f t="shared" si="39"/>
        <v>0</v>
      </c>
      <c r="CC74" s="29">
        <f t="shared" si="39"/>
        <v>0</v>
      </c>
      <c r="CD74" s="29">
        <f t="shared" si="39"/>
        <v>0</v>
      </c>
      <c r="CE74" s="29">
        <f t="shared" si="39"/>
        <v>0</v>
      </c>
      <c r="CF74" s="29">
        <f t="shared" si="39"/>
        <v>0</v>
      </c>
      <c r="CG74" s="29">
        <f t="shared" si="39"/>
        <v>0</v>
      </c>
      <c r="CH74" s="29">
        <f t="shared" si="39"/>
        <v>0</v>
      </c>
    </row>
    <row r="75" spans="2:86" ht="13">
      <c r="B75" s="15" t="str">
        <f t="shared" si="23"/>
        <v>Cumulative Carried Interest</v>
      </c>
      <c r="C75" s="15"/>
      <c r="D75" s="15" t="s">
        <v>247</v>
      </c>
      <c r="E75" s="29">
        <f t="shared" ca="1" si="13"/>
        <v>41159895.833333328</v>
      </c>
      <c r="F75" s="29"/>
      <c r="G75" s="29">
        <f t="shared" ref="G75:CH75" ca="1" si="40">F75+G46</f>
        <v>0</v>
      </c>
      <c r="H75" s="29">
        <f t="shared" ca="1" si="40"/>
        <v>0</v>
      </c>
      <c r="I75" s="29">
        <f t="shared" ca="1" si="40"/>
        <v>0</v>
      </c>
      <c r="J75" s="29">
        <f t="shared" ca="1" si="40"/>
        <v>0</v>
      </c>
      <c r="K75" s="29">
        <f t="shared" ca="1" si="40"/>
        <v>0</v>
      </c>
      <c r="L75" s="29">
        <f t="shared" ca="1" si="40"/>
        <v>0</v>
      </c>
      <c r="M75" s="29">
        <f t="shared" ca="1" si="40"/>
        <v>0</v>
      </c>
      <c r="N75" s="29">
        <f t="shared" ca="1" si="40"/>
        <v>0</v>
      </c>
      <c r="O75" s="29">
        <f t="shared" ca="1" si="40"/>
        <v>0</v>
      </c>
      <c r="P75" s="29">
        <f t="shared" ca="1" si="40"/>
        <v>0</v>
      </c>
      <c r="Q75" s="29">
        <f t="shared" ca="1" si="40"/>
        <v>0</v>
      </c>
      <c r="R75" s="29">
        <f t="shared" ca="1" si="40"/>
        <v>0</v>
      </c>
      <c r="S75" s="29">
        <f t="shared" ca="1" si="40"/>
        <v>0</v>
      </c>
      <c r="T75" s="29">
        <f t="shared" ca="1" si="40"/>
        <v>0</v>
      </c>
      <c r="U75" s="29">
        <f t="shared" ca="1" si="40"/>
        <v>0</v>
      </c>
      <c r="V75" s="29">
        <f t="shared" ca="1" si="40"/>
        <v>0</v>
      </c>
      <c r="W75" s="29">
        <f t="shared" ca="1" si="40"/>
        <v>0</v>
      </c>
      <c r="X75" s="29">
        <f t="shared" ca="1" si="40"/>
        <v>0</v>
      </c>
      <c r="Y75" s="29">
        <f t="shared" ca="1" si="40"/>
        <v>0</v>
      </c>
      <c r="Z75" s="29">
        <f t="shared" ca="1" si="40"/>
        <v>149333.33333333416</v>
      </c>
      <c r="AA75" s="29">
        <f t="shared" ca="1" si="40"/>
        <v>386312.50000000116</v>
      </c>
      <c r="AB75" s="29">
        <f t="shared" ca="1" si="40"/>
        <v>623291.66666666814</v>
      </c>
      <c r="AC75" s="29">
        <f t="shared" ca="1" si="40"/>
        <v>860270.83333333512</v>
      </c>
      <c r="AD75" s="29">
        <f t="shared" ca="1" si="40"/>
        <v>1097250.0000000019</v>
      </c>
      <c r="AE75" s="29">
        <f t="shared" ca="1" si="40"/>
        <v>3771822.9166666679</v>
      </c>
      <c r="AF75" s="29">
        <f t="shared" ca="1" si="40"/>
        <v>6446395.833333334</v>
      </c>
      <c r="AG75" s="29">
        <f t="shared" ca="1" si="40"/>
        <v>9120968.75</v>
      </c>
      <c r="AH75" s="29">
        <f t="shared" ca="1" si="40"/>
        <v>11795541.666666666</v>
      </c>
      <c r="AI75" s="29">
        <f t="shared" ca="1" si="40"/>
        <v>14339833.333333332</v>
      </c>
      <c r="AJ75" s="29">
        <f t="shared" ca="1" si="40"/>
        <v>16884125</v>
      </c>
      <c r="AK75" s="29">
        <f t="shared" ca="1" si="40"/>
        <v>19428416.666666664</v>
      </c>
      <c r="AL75" s="29">
        <f t="shared" ca="1" si="40"/>
        <v>21972708.333333328</v>
      </c>
      <c r="AM75" s="29">
        <f t="shared" ca="1" si="40"/>
        <v>24186614.583333328</v>
      </c>
      <c r="AN75" s="29">
        <f t="shared" ca="1" si="40"/>
        <v>26400520.833333328</v>
      </c>
      <c r="AO75" s="29">
        <f t="shared" ca="1" si="40"/>
        <v>28614427.083333328</v>
      </c>
      <c r="AP75" s="29">
        <f t="shared" ca="1" si="40"/>
        <v>30828333.333333328</v>
      </c>
      <c r="AQ75" s="29">
        <f t="shared" ca="1" si="40"/>
        <v>33411223.958333328</v>
      </c>
      <c r="AR75" s="29">
        <f t="shared" ca="1" si="40"/>
        <v>35994114.583333328</v>
      </c>
      <c r="AS75" s="29">
        <f t="shared" ca="1" si="40"/>
        <v>38577005.208333328</v>
      </c>
      <c r="AT75" s="29">
        <f t="shared" ca="1" si="40"/>
        <v>41159895.833333328</v>
      </c>
      <c r="AU75" s="29">
        <f t="shared" ca="1" si="40"/>
        <v>41159895.833333328</v>
      </c>
      <c r="AV75" s="29">
        <f t="shared" ca="1" si="40"/>
        <v>41159895.833333328</v>
      </c>
      <c r="AW75" s="29">
        <f t="shared" ca="1" si="40"/>
        <v>41159895.833333328</v>
      </c>
      <c r="AX75" s="29">
        <f t="shared" ca="1" si="40"/>
        <v>41159895.833333328</v>
      </c>
      <c r="AY75" s="29">
        <f t="shared" ca="1" si="40"/>
        <v>41159895.833333328</v>
      </c>
      <c r="AZ75" s="29">
        <f t="shared" ca="1" si="40"/>
        <v>41159895.833333328</v>
      </c>
      <c r="BA75" s="29">
        <f t="shared" ca="1" si="40"/>
        <v>41159895.833333328</v>
      </c>
      <c r="BB75" s="29">
        <f t="shared" ca="1" si="40"/>
        <v>41159895.833333328</v>
      </c>
      <c r="BC75" s="29">
        <f t="shared" ca="1" si="40"/>
        <v>41159895.833333328</v>
      </c>
      <c r="BD75" s="29">
        <f t="shared" ca="1" si="40"/>
        <v>41159895.833333328</v>
      </c>
      <c r="BE75" s="29">
        <f t="shared" ca="1" si="40"/>
        <v>41159895.833333328</v>
      </c>
      <c r="BF75" s="29">
        <f t="shared" ca="1" si="40"/>
        <v>41159895.833333328</v>
      </c>
      <c r="BG75" s="29">
        <f t="shared" ca="1" si="40"/>
        <v>41159895.833333328</v>
      </c>
      <c r="BH75" s="29">
        <f t="shared" ca="1" si="40"/>
        <v>41159895.833333328</v>
      </c>
      <c r="BI75" s="29">
        <f t="shared" ca="1" si="40"/>
        <v>41159895.833333328</v>
      </c>
      <c r="BJ75" s="29">
        <f t="shared" ca="1" si="40"/>
        <v>41159895.833333328</v>
      </c>
      <c r="BK75" s="29">
        <f t="shared" ca="1" si="40"/>
        <v>41159895.833333328</v>
      </c>
      <c r="BL75" s="29">
        <f t="shared" ca="1" si="40"/>
        <v>41159895.833333328</v>
      </c>
      <c r="BM75" s="29">
        <f t="shared" ca="1" si="40"/>
        <v>41159895.833333328</v>
      </c>
      <c r="BN75" s="29">
        <f t="shared" ca="1" si="40"/>
        <v>41159895.833333328</v>
      </c>
      <c r="BO75" s="29">
        <f t="shared" ca="1" si="40"/>
        <v>41159895.833333328</v>
      </c>
      <c r="BP75" s="29">
        <f t="shared" ca="1" si="40"/>
        <v>41159895.833333328</v>
      </c>
      <c r="BQ75" s="29">
        <f t="shared" ca="1" si="40"/>
        <v>41159895.833333328</v>
      </c>
      <c r="BR75" s="29">
        <f t="shared" ca="1" si="40"/>
        <v>41159895.833333328</v>
      </c>
      <c r="BS75" s="29">
        <f t="shared" ca="1" si="40"/>
        <v>41159895.833333328</v>
      </c>
      <c r="BT75" s="29">
        <f t="shared" ca="1" si="40"/>
        <v>41159895.833333328</v>
      </c>
      <c r="BU75" s="29">
        <f t="shared" ca="1" si="40"/>
        <v>41159895.833333328</v>
      </c>
      <c r="BV75" s="29">
        <f t="shared" ca="1" si="40"/>
        <v>41159895.833333328</v>
      </c>
      <c r="BW75" s="29">
        <f t="shared" ca="1" si="40"/>
        <v>41159895.833333328</v>
      </c>
      <c r="BX75" s="29">
        <f t="shared" ca="1" si="40"/>
        <v>41159895.833333328</v>
      </c>
      <c r="BY75" s="29">
        <f t="shared" ca="1" si="40"/>
        <v>41159895.833333328</v>
      </c>
      <c r="BZ75" s="29">
        <f t="shared" ca="1" si="40"/>
        <v>41159895.833333328</v>
      </c>
      <c r="CA75" s="29">
        <f t="shared" ca="1" si="40"/>
        <v>41159895.833333328</v>
      </c>
      <c r="CB75" s="29">
        <f t="shared" ca="1" si="40"/>
        <v>41159895.833333328</v>
      </c>
      <c r="CC75" s="29">
        <f t="shared" ca="1" si="40"/>
        <v>41159895.833333328</v>
      </c>
      <c r="CD75" s="29">
        <f t="shared" ca="1" si="40"/>
        <v>41159895.833333328</v>
      </c>
      <c r="CE75" s="29">
        <f t="shared" ca="1" si="40"/>
        <v>41159895.833333328</v>
      </c>
      <c r="CF75" s="29">
        <f t="shared" ca="1" si="40"/>
        <v>41159895.833333328</v>
      </c>
      <c r="CG75" s="29">
        <f t="shared" ca="1" si="40"/>
        <v>41159895.833333328</v>
      </c>
      <c r="CH75" s="29">
        <f t="shared" ca="1" si="40"/>
        <v>41159895.833333328</v>
      </c>
    </row>
    <row r="76" spans="2:86" ht="13">
      <c r="B76" s="15" t="str">
        <f t="shared" si="23"/>
        <v>Cumulative Distributions</v>
      </c>
      <c r="C76" s="15"/>
      <c r="D76" s="15" t="s">
        <v>247</v>
      </c>
      <c r="E76" s="29">
        <f t="shared" ca="1" si="13"/>
        <v>189639583.33333331</v>
      </c>
      <c r="F76" s="29"/>
      <c r="G76" s="29">
        <f t="shared" ref="G76:CH76" ca="1" si="41">F76+G47</f>
        <v>0</v>
      </c>
      <c r="H76" s="29">
        <f t="shared" ca="1" si="41"/>
        <v>0</v>
      </c>
      <c r="I76" s="29">
        <f t="shared" ca="1" si="41"/>
        <v>0</v>
      </c>
      <c r="J76" s="29">
        <f t="shared" ca="1" si="41"/>
        <v>0</v>
      </c>
      <c r="K76" s="29">
        <f t="shared" ca="1" si="41"/>
        <v>0</v>
      </c>
      <c r="L76" s="29">
        <f t="shared" ca="1" si="41"/>
        <v>0</v>
      </c>
      <c r="M76" s="29">
        <f t="shared" ca="1" si="41"/>
        <v>0</v>
      </c>
      <c r="N76" s="29">
        <f t="shared" ca="1" si="41"/>
        <v>0</v>
      </c>
      <c r="O76" s="29">
        <f t="shared" ca="1" si="41"/>
        <v>0</v>
      </c>
      <c r="P76" s="29">
        <f t="shared" ca="1" si="41"/>
        <v>0</v>
      </c>
      <c r="Q76" s="29">
        <f t="shared" ca="1" si="41"/>
        <v>0</v>
      </c>
      <c r="R76" s="29">
        <f t="shared" ca="1" si="41"/>
        <v>0</v>
      </c>
      <c r="S76" s="29">
        <f t="shared" ca="1" si="41"/>
        <v>810104.16666666721</v>
      </c>
      <c r="T76" s="29">
        <f t="shared" ca="1" si="41"/>
        <v>1620208.3333333344</v>
      </c>
      <c r="U76" s="29">
        <f t="shared" ca="1" si="41"/>
        <v>2430312.5000000019</v>
      </c>
      <c r="V76" s="29">
        <f t="shared" ca="1" si="41"/>
        <v>3240416.6666666688</v>
      </c>
      <c r="W76" s="29">
        <f t="shared" ca="1" si="41"/>
        <v>5766979.1666666698</v>
      </c>
      <c r="X76" s="29">
        <f t="shared" ca="1" si="41"/>
        <v>8293541.6666666707</v>
      </c>
      <c r="Y76" s="29">
        <f t="shared" ca="1" si="41"/>
        <v>10820104.166666672</v>
      </c>
      <c r="Z76" s="29">
        <f t="shared" ca="1" si="41"/>
        <v>13197333.33333334</v>
      </c>
      <c r="AA76" s="29">
        <f t="shared" ca="1" si="41"/>
        <v>15486916.666666673</v>
      </c>
      <c r="AB76" s="29">
        <f t="shared" ca="1" si="41"/>
        <v>17776500.000000007</v>
      </c>
      <c r="AC76" s="29">
        <f t="shared" ca="1" si="41"/>
        <v>20066083.333333343</v>
      </c>
      <c r="AD76" s="29">
        <f t="shared" ca="1" si="41"/>
        <v>22355666.666666679</v>
      </c>
      <c r="AE76" s="29">
        <f t="shared" ca="1" si="41"/>
        <v>33745625.000000015</v>
      </c>
      <c r="AF76" s="29">
        <f t="shared" ca="1" si="41"/>
        <v>45135583.333333343</v>
      </c>
      <c r="AG76" s="29">
        <f t="shared" ca="1" si="41"/>
        <v>56525541.666666672</v>
      </c>
      <c r="AH76" s="29">
        <f t="shared" ca="1" si="41"/>
        <v>67915500</v>
      </c>
      <c r="AI76" s="29">
        <f t="shared" ca="1" si="41"/>
        <v>78509333.333333328</v>
      </c>
      <c r="AJ76" s="29">
        <f t="shared" ca="1" si="41"/>
        <v>89103166.666666657</v>
      </c>
      <c r="AK76" s="29">
        <f t="shared" ca="1" si="41"/>
        <v>99696999.999999985</v>
      </c>
      <c r="AL76" s="29">
        <f t="shared" ca="1" si="41"/>
        <v>110290833.33333331</v>
      </c>
      <c r="AM76" s="29">
        <f t="shared" ca="1" si="41"/>
        <v>119446458.33333331</v>
      </c>
      <c r="AN76" s="29">
        <f t="shared" ca="1" si="41"/>
        <v>128602083.33333331</v>
      </c>
      <c r="AO76" s="29">
        <f t="shared" ca="1" si="41"/>
        <v>137757708.33333331</v>
      </c>
      <c r="AP76" s="29">
        <f t="shared" ca="1" si="41"/>
        <v>146913333.33333331</v>
      </c>
      <c r="AQ76" s="29">
        <f t="shared" ca="1" si="41"/>
        <v>157594895.83333331</v>
      </c>
      <c r="AR76" s="29">
        <f t="shared" ca="1" si="41"/>
        <v>168276458.33333331</v>
      </c>
      <c r="AS76" s="29">
        <f t="shared" ca="1" si="41"/>
        <v>178958020.83333331</v>
      </c>
      <c r="AT76" s="29">
        <f t="shared" ca="1" si="41"/>
        <v>189639583.33333331</v>
      </c>
      <c r="AU76" s="29">
        <f t="shared" ca="1" si="41"/>
        <v>189639583.33333331</v>
      </c>
      <c r="AV76" s="29">
        <f t="shared" ca="1" si="41"/>
        <v>189639583.33333331</v>
      </c>
      <c r="AW76" s="29">
        <f t="shared" ca="1" si="41"/>
        <v>189639583.33333331</v>
      </c>
      <c r="AX76" s="29">
        <f t="shared" ca="1" si="41"/>
        <v>189639583.33333331</v>
      </c>
      <c r="AY76" s="29">
        <f t="shared" ca="1" si="41"/>
        <v>189639583.33333331</v>
      </c>
      <c r="AZ76" s="29">
        <f t="shared" ca="1" si="41"/>
        <v>189639583.33333331</v>
      </c>
      <c r="BA76" s="29">
        <f t="shared" ca="1" si="41"/>
        <v>189639583.33333331</v>
      </c>
      <c r="BB76" s="29">
        <f t="shared" ca="1" si="41"/>
        <v>189639583.33333331</v>
      </c>
      <c r="BC76" s="29">
        <f t="shared" ca="1" si="41"/>
        <v>189639583.33333331</v>
      </c>
      <c r="BD76" s="29">
        <f t="shared" ca="1" si="41"/>
        <v>189639583.33333331</v>
      </c>
      <c r="BE76" s="29">
        <f t="shared" ca="1" si="41"/>
        <v>189639583.33333331</v>
      </c>
      <c r="BF76" s="29">
        <f t="shared" ca="1" si="41"/>
        <v>189639583.33333331</v>
      </c>
      <c r="BG76" s="29">
        <f t="shared" ca="1" si="41"/>
        <v>189639583.33333331</v>
      </c>
      <c r="BH76" s="29">
        <f t="shared" ca="1" si="41"/>
        <v>189639583.33333331</v>
      </c>
      <c r="BI76" s="29">
        <f t="shared" ca="1" si="41"/>
        <v>189639583.33333331</v>
      </c>
      <c r="BJ76" s="29">
        <f t="shared" ca="1" si="41"/>
        <v>189639583.33333331</v>
      </c>
      <c r="BK76" s="29">
        <f t="shared" ca="1" si="41"/>
        <v>189639583.33333331</v>
      </c>
      <c r="BL76" s="29">
        <f t="shared" ca="1" si="41"/>
        <v>189639583.33333331</v>
      </c>
      <c r="BM76" s="29">
        <f t="shared" ca="1" si="41"/>
        <v>189639583.33333331</v>
      </c>
      <c r="BN76" s="29">
        <f t="shared" ca="1" si="41"/>
        <v>189639583.33333331</v>
      </c>
      <c r="BO76" s="29">
        <f t="shared" ca="1" si="41"/>
        <v>189639583.33333331</v>
      </c>
      <c r="BP76" s="29">
        <f t="shared" ca="1" si="41"/>
        <v>189639583.33333331</v>
      </c>
      <c r="BQ76" s="29">
        <f t="shared" ca="1" si="41"/>
        <v>189639583.33333331</v>
      </c>
      <c r="BR76" s="29">
        <f t="shared" ca="1" si="41"/>
        <v>189639583.33333331</v>
      </c>
      <c r="BS76" s="29">
        <f t="shared" ca="1" si="41"/>
        <v>189639583.33333331</v>
      </c>
      <c r="BT76" s="29">
        <f t="shared" ca="1" si="41"/>
        <v>189639583.33333331</v>
      </c>
      <c r="BU76" s="29">
        <f t="shared" ca="1" si="41"/>
        <v>189639583.33333331</v>
      </c>
      <c r="BV76" s="29">
        <f t="shared" ca="1" si="41"/>
        <v>189639583.33333331</v>
      </c>
      <c r="BW76" s="29">
        <f t="shared" ca="1" si="41"/>
        <v>189639583.33333331</v>
      </c>
      <c r="BX76" s="29">
        <f t="shared" ca="1" si="41"/>
        <v>189639583.33333331</v>
      </c>
      <c r="BY76" s="29">
        <f t="shared" ca="1" si="41"/>
        <v>189639583.33333331</v>
      </c>
      <c r="BZ76" s="29">
        <f t="shared" ca="1" si="41"/>
        <v>189639583.33333331</v>
      </c>
      <c r="CA76" s="29">
        <f t="shared" ca="1" si="41"/>
        <v>189639583.33333331</v>
      </c>
      <c r="CB76" s="29">
        <f t="shared" ca="1" si="41"/>
        <v>189639583.33333331</v>
      </c>
      <c r="CC76" s="29">
        <f t="shared" ca="1" si="41"/>
        <v>189639583.33333331</v>
      </c>
      <c r="CD76" s="29">
        <f t="shared" ca="1" si="41"/>
        <v>189639583.33333331</v>
      </c>
      <c r="CE76" s="29">
        <f t="shared" ca="1" si="41"/>
        <v>189639583.33333331</v>
      </c>
      <c r="CF76" s="29">
        <f t="shared" ca="1" si="41"/>
        <v>189639583.33333331</v>
      </c>
      <c r="CG76" s="29">
        <f t="shared" ca="1" si="41"/>
        <v>189639583.33333331</v>
      </c>
      <c r="CH76" s="29">
        <f t="shared" ca="1" si="41"/>
        <v>189639583.33333331</v>
      </c>
    </row>
    <row r="77" spans="2:86" ht="13">
      <c r="B77" s="15" t="str">
        <f t="shared" si="23"/>
        <v>Cumulative Writeoffs</v>
      </c>
      <c r="C77" s="15"/>
      <c r="D77" s="15" t="s">
        <v>247</v>
      </c>
      <c r="E77" s="29">
        <f t="shared" ca="1" si="13"/>
        <v>11362847.222222222</v>
      </c>
      <c r="F77" s="29"/>
      <c r="G77" s="29">
        <f t="shared" ref="G77:CH77" ca="1" si="42">F77+G48</f>
        <v>0</v>
      </c>
      <c r="H77" s="29">
        <f t="shared" ca="1" si="42"/>
        <v>0</v>
      </c>
      <c r="I77" s="29">
        <f t="shared" ca="1" si="42"/>
        <v>0</v>
      </c>
      <c r="J77" s="29">
        <f t="shared" ca="1" si="42"/>
        <v>0</v>
      </c>
      <c r="K77" s="29">
        <f t="shared" ca="1" si="42"/>
        <v>0</v>
      </c>
      <c r="L77" s="29">
        <f t="shared" ca="1" si="42"/>
        <v>0</v>
      </c>
      <c r="M77" s="29">
        <f t="shared" ca="1" si="42"/>
        <v>0</v>
      </c>
      <c r="N77" s="29">
        <f t="shared" ca="1" si="42"/>
        <v>0</v>
      </c>
      <c r="O77" s="29">
        <f t="shared" ca="1" si="42"/>
        <v>681770.83333333337</v>
      </c>
      <c r="P77" s="29">
        <f t="shared" ca="1" si="42"/>
        <v>1363541.6666666667</v>
      </c>
      <c r="Q77" s="29">
        <f t="shared" ca="1" si="42"/>
        <v>2045312.5</v>
      </c>
      <c r="R77" s="29">
        <f t="shared" ca="1" si="42"/>
        <v>2727083.3333333335</v>
      </c>
      <c r="S77" s="29">
        <f t="shared" ca="1" si="42"/>
        <v>3408854.166666667</v>
      </c>
      <c r="T77" s="29">
        <f t="shared" ca="1" si="42"/>
        <v>4090625.0000000005</v>
      </c>
      <c r="U77" s="29">
        <f t="shared" ca="1" si="42"/>
        <v>4772395.833333334</v>
      </c>
      <c r="V77" s="29">
        <f t="shared" ca="1" si="42"/>
        <v>5454166.666666667</v>
      </c>
      <c r="W77" s="29">
        <f t="shared" ca="1" si="42"/>
        <v>6135937.5</v>
      </c>
      <c r="X77" s="29">
        <f t="shared" ca="1" si="42"/>
        <v>6817708.333333333</v>
      </c>
      <c r="Y77" s="29">
        <f t="shared" ca="1" si="42"/>
        <v>7499479.166666666</v>
      </c>
      <c r="Z77" s="29">
        <f t="shared" ca="1" si="42"/>
        <v>8181249.9999999991</v>
      </c>
      <c r="AA77" s="29">
        <f t="shared" ca="1" si="42"/>
        <v>8976649.3055555541</v>
      </c>
      <c r="AB77" s="29">
        <f t="shared" ca="1" si="42"/>
        <v>9772048.6111111101</v>
      </c>
      <c r="AC77" s="29">
        <f t="shared" ca="1" si="42"/>
        <v>10567447.916666666</v>
      </c>
      <c r="AD77" s="29">
        <f t="shared" ca="1" si="42"/>
        <v>11362847.222222222</v>
      </c>
      <c r="AE77" s="29">
        <f t="shared" ca="1" si="42"/>
        <v>11362847.222222222</v>
      </c>
      <c r="AF77" s="29">
        <f t="shared" ca="1" si="42"/>
        <v>11362847.222222222</v>
      </c>
      <c r="AG77" s="29">
        <f t="shared" ca="1" si="42"/>
        <v>11362847.222222222</v>
      </c>
      <c r="AH77" s="29">
        <f t="shared" ca="1" si="42"/>
        <v>11362847.222222222</v>
      </c>
      <c r="AI77" s="29">
        <f t="shared" ca="1" si="42"/>
        <v>11362847.222222222</v>
      </c>
      <c r="AJ77" s="29">
        <f t="shared" ca="1" si="42"/>
        <v>11362847.222222222</v>
      </c>
      <c r="AK77" s="29">
        <f t="shared" ca="1" si="42"/>
        <v>11362847.222222222</v>
      </c>
      <c r="AL77" s="29">
        <f t="shared" ca="1" si="42"/>
        <v>11362847.222222222</v>
      </c>
      <c r="AM77" s="29">
        <f t="shared" ca="1" si="42"/>
        <v>11362847.222222222</v>
      </c>
      <c r="AN77" s="29">
        <f t="shared" ca="1" si="42"/>
        <v>11362847.222222222</v>
      </c>
      <c r="AO77" s="29">
        <f t="shared" ca="1" si="42"/>
        <v>11362847.222222222</v>
      </c>
      <c r="AP77" s="29">
        <f t="shared" ca="1" si="42"/>
        <v>11362847.222222222</v>
      </c>
      <c r="AQ77" s="29">
        <f t="shared" ca="1" si="42"/>
        <v>11362847.222222222</v>
      </c>
      <c r="AR77" s="29">
        <f t="shared" ca="1" si="42"/>
        <v>11362847.222222222</v>
      </c>
      <c r="AS77" s="29">
        <f t="shared" ca="1" si="42"/>
        <v>11362847.222222222</v>
      </c>
      <c r="AT77" s="29">
        <f t="shared" ca="1" si="42"/>
        <v>11362847.222222222</v>
      </c>
      <c r="AU77" s="29">
        <f t="shared" ca="1" si="42"/>
        <v>11362847.222222222</v>
      </c>
      <c r="AV77" s="29">
        <f t="shared" ca="1" si="42"/>
        <v>11362847.222222222</v>
      </c>
      <c r="AW77" s="29">
        <f t="shared" ca="1" si="42"/>
        <v>11362847.222222222</v>
      </c>
      <c r="AX77" s="29">
        <f t="shared" ca="1" si="42"/>
        <v>11362847.222222222</v>
      </c>
      <c r="AY77" s="29">
        <f t="shared" ca="1" si="42"/>
        <v>11362847.222222222</v>
      </c>
      <c r="AZ77" s="29">
        <f t="shared" ca="1" si="42"/>
        <v>11362847.222222222</v>
      </c>
      <c r="BA77" s="29">
        <f t="shared" ca="1" si="42"/>
        <v>11362847.222222222</v>
      </c>
      <c r="BB77" s="29">
        <f t="shared" ca="1" si="42"/>
        <v>11362847.222222222</v>
      </c>
      <c r="BC77" s="29">
        <f t="shared" ca="1" si="42"/>
        <v>11362847.222222222</v>
      </c>
      <c r="BD77" s="29">
        <f t="shared" ca="1" si="42"/>
        <v>11362847.222222222</v>
      </c>
      <c r="BE77" s="29">
        <f t="shared" ca="1" si="42"/>
        <v>11362847.222222222</v>
      </c>
      <c r="BF77" s="29">
        <f t="shared" ca="1" si="42"/>
        <v>11362847.222222222</v>
      </c>
      <c r="BG77" s="29">
        <f t="shared" ca="1" si="42"/>
        <v>11362847.222222222</v>
      </c>
      <c r="BH77" s="29">
        <f t="shared" ca="1" si="42"/>
        <v>11362847.222222222</v>
      </c>
      <c r="BI77" s="29">
        <f t="shared" ca="1" si="42"/>
        <v>11362847.222222222</v>
      </c>
      <c r="BJ77" s="29">
        <f t="shared" ca="1" si="42"/>
        <v>11362847.222222222</v>
      </c>
      <c r="BK77" s="29">
        <f t="shared" ca="1" si="42"/>
        <v>11362847.222222222</v>
      </c>
      <c r="BL77" s="29">
        <f t="shared" ca="1" si="42"/>
        <v>11362847.222222222</v>
      </c>
      <c r="BM77" s="29">
        <f t="shared" ca="1" si="42"/>
        <v>11362847.222222222</v>
      </c>
      <c r="BN77" s="29">
        <f t="shared" ca="1" si="42"/>
        <v>11362847.222222222</v>
      </c>
      <c r="BO77" s="29">
        <f t="shared" ca="1" si="42"/>
        <v>11362847.222222222</v>
      </c>
      <c r="BP77" s="29">
        <f t="shared" ca="1" si="42"/>
        <v>11362847.222222222</v>
      </c>
      <c r="BQ77" s="29">
        <f t="shared" ca="1" si="42"/>
        <v>11362847.222222222</v>
      </c>
      <c r="BR77" s="29">
        <f t="shared" ca="1" si="42"/>
        <v>11362847.222222222</v>
      </c>
      <c r="BS77" s="29">
        <f t="shared" ca="1" si="42"/>
        <v>11362847.222222222</v>
      </c>
      <c r="BT77" s="29">
        <f t="shared" ca="1" si="42"/>
        <v>11362847.222222222</v>
      </c>
      <c r="BU77" s="29">
        <f t="shared" ca="1" si="42"/>
        <v>11362847.222222222</v>
      </c>
      <c r="BV77" s="29">
        <f t="shared" ca="1" si="42"/>
        <v>11362847.222222222</v>
      </c>
      <c r="BW77" s="29">
        <f t="shared" ca="1" si="42"/>
        <v>11362847.222222222</v>
      </c>
      <c r="BX77" s="29">
        <f t="shared" ca="1" si="42"/>
        <v>11362847.222222222</v>
      </c>
      <c r="BY77" s="29">
        <f t="shared" ca="1" si="42"/>
        <v>11362847.222222222</v>
      </c>
      <c r="BZ77" s="29">
        <f t="shared" ca="1" si="42"/>
        <v>11362847.222222222</v>
      </c>
      <c r="CA77" s="29">
        <f t="shared" ca="1" si="42"/>
        <v>11362847.222222222</v>
      </c>
      <c r="CB77" s="29">
        <f t="shared" ca="1" si="42"/>
        <v>11362847.222222222</v>
      </c>
      <c r="CC77" s="29">
        <f t="shared" ca="1" si="42"/>
        <v>11362847.222222222</v>
      </c>
      <c r="CD77" s="29">
        <f t="shared" ca="1" si="42"/>
        <v>11362847.222222222</v>
      </c>
      <c r="CE77" s="29">
        <f t="shared" ca="1" si="42"/>
        <v>11362847.222222222</v>
      </c>
      <c r="CF77" s="29">
        <f t="shared" ca="1" si="42"/>
        <v>11362847.222222222</v>
      </c>
      <c r="CG77" s="29">
        <f t="shared" ca="1" si="42"/>
        <v>11362847.222222222</v>
      </c>
      <c r="CH77" s="29">
        <f t="shared" ca="1" si="42"/>
        <v>11362847.222222222</v>
      </c>
    </row>
    <row r="78" spans="2:86" ht="13">
      <c r="B78" s="15" t="str">
        <f t="shared" si="23"/>
        <v>Cumulative Invested Capital Exited</v>
      </c>
      <c r="C78" s="15"/>
      <c r="D78" s="15" t="s">
        <v>247</v>
      </c>
      <c r="E78" s="29">
        <f t="shared" ca="1" si="13"/>
        <v>8689236.1111111101</v>
      </c>
      <c r="F78" s="29"/>
      <c r="G78" s="29">
        <f t="shared" ref="G78:CH78" ca="1" si="43">F78+G49</f>
        <v>0</v>
      </c>
      <c r="H78" s="29">
        <f t="shared" ca="1" si="43"/>
        <v>0</v>
      </c>
      <c r="I78" s="29">
        <f t="shared" ca="1" si="43"/>
        <v>0</v>
      </c>
      <c r="J78" s="29">
        <f t="shared" ca="1" si="43"/>
        <v>0</v>
      </c>
      <c r="K78" s="29">
        <f t="shared" ca="1" si="43"/>
        <v>0</v>
      </c>
      <c r="L78" s="29">
        <f t="shared" ca="1" si="43"/>
        <v>0</v>
      </c>
      <c r="M78" s="29">
        <f t="shared" ca="1" si="43"/>
        <v>0</v>
      </c>
      <c r="N78" s="29">
        <f t="shared" ca="1" si="43"/>
        <v>0</v>
      </c>
      <c r="O78" s="29">
        <f t="shared" ca="1" si="43"/>
        <v>0</v>
      </c>
      <c r="P78" s="29">
        <f t="shared" ca="1" si="43"/>
        <v>0</v>
      </c>
      <c r="Q78" s="29">
        <f t="shared" ca="1" si="43"/>
        <v>0</v>
      </c>
      <c r="R78" s="29">
        <f t="shared" ca="1" si="43"/>
        <v>0</v>
      </c>
      <c r="S78" s="29">
        <f t="shared" ca="1" si="43"/>
        <v>200520.83333333334</v>
      </c>
      <c r="T78" s="29">
        <f t="shared" ca="1" si="43"/>
        <v>401041.66666666669</v>
      </c>
      <c r="U78" s="29">
        <f t="shared" ca="1" si="43"/>
        <v>601562.5</v>
      </c>
      <c r="V78" s="29">
        <f t="shared" ca="1" si="43"/>
        <v>802083.33333333337</v>
      </c>
      <c r="W78" s="29">
        <f t="shared" ca="1" si="43"/>
        <v>1082812.5</v>
      </c>
      <c r="X78" s="29">
        <f t="shared" ca="1" si="43"/>
        <v>1363541.6666666667</v>
      </c>
      <c r="Y78" s="29">
        <f t="shared" ca="1" si="43"/>
        <v>1644270.8333333335</v>
      </c>
      <c r="Z78" s="29">
        <f t="shared" ca="1" si="43"/>
        <v>1925000.0000000002</v>
      </c>
      <c r="AA78" s="29">
        <f t="shared" ca="1" si="43"/>
        <v>2205729.166666667</v>
      </c>
      <c r="AB78" s="29">
        <f t="shared" ca="1" si="43"/>
        <v>2486458.3333333335</v>
      </c>
      <c r="AC78" s="29">
        <f t="shared" ca="1" si="43"/>
        <v>2767187.5</v>
      </c>
      <c r="AD78" s="29">
        <f t="shared" ca="1" si="43"/>
        <v>3047916.6666666665</v>
      </c>
      <c r="AE78" s="29">
        <f t="shared" ca="1" si="43"/>
        <v>3602690.972222222</v>
      </c>
      <c r="AF78" s="29">
        <f t="shared" ca="1" si="43"/>
        <v>4157465.2777777775</v>
      </c>
      <c r="AG78" s="29">
        <f t="shared" ca="1" si="43"/>
        <v>4712239.583333333</v>
      </c>
      <c r="AH78" s="29">
        <f t="shared" ca="1" si="43"/>
        <v>5267013.8888888881</v>
      </c>
      <c r="AI78" s="29">
        <f t="shared" ca="1" si="43"/>
        <v>5601215.2777777771</v>
      </c>
      <c r="AJ78" s="29">
        <f t="shared" ca="1" si="43"/>
        <v>5935416.666666666</v>
      </c>
      <c r="AK78" s="29">
        <f t="shared" ca="1" si="43"/>
        <v>6269618.055555555</v>
      </c>
      <c r="AL78" s="29">
        <f t="shared" ca="1" si="43"/>
        <v>6603819.444444444</v>
      </c>
      <c r="AM78" s="29">
        <f t="shared" ca="1" si="43"/>
        <v>6844444.444444444</v>
      </c>
      <c r="AN78" s="29">
        <f t="shared" ca="1" si="43"/>
        <v>7085069.444444444</v>
      </c>
      <c r="AO78" s="29">
        <f t="shared" ca="1" si="43"/>
        <v>7325694.444444444</v>
      </c>
      <c r="AP78" s="29">
        <f t="shared" ca="1" si="43"/>
        <v>7566319.444444444</v>
      </c>
      <c r="AQ78" s="29">
        <f t="shared" ca="1" si="43"/>
        <v>7847048.611111111</v>
      </c>
      <c r="AR78" s="29">
        <f t="shared" ca="1" si="43"/>
        <v>8127777.777777778</v>
      </c>
      <c r="AS78" s="29">
        <f t="shared" ca="1" si="43"/>
        <v>8408506.944444444</v>
      </c>
      <c r="AT78" s="29">
        <f t="shared" ca="1" si="43"/>
        <v>8689236.1111111101</v>
      </c>
      <c r="AU78" s="29">
        <f t="shared" ca="1" si="43"/>
        <v>8689236.1111111101</v>
      </c>
      <c r="AV78" s="29">
        <f t="shared" ca="1" si="43"/>
        <v>8689236.1111111101</v>
      </c>
      <c r="AW78" s="29">
        <f t="shared" ca="1" si="43"/>
        <v>8689236.1111111101</v>
      </c>
      <c r="AX78" s="29">
        <f t="shared" ca="1" si="43"/>
        <v>8689236.1111111101</v>
      </c>
      <c r="AY78" s="29">
        <f t="shared" ca="1" si="43"/>
        <v>8689236.1111111101</v>
      </c>
      <c r="AZ78" s="29">
        <f t="shared" ca="1" si="43"/>
        <v>8689236.1111111101</v>
      </c>
      <c r="BA78" s="29">
        <f t="shared" ca="1" si="43"/>
        <v>8689236.1111111101</v>
      </c>
      <c r="BB78" s="29">
        <f t="shared" ca="1" si="43"/>
        <v>8689236.1111111101</v>
      </c>
      <c r="BC78" s="29">
        <f t="shared" ca="1" si="43"/>
        <v>8689236.1111111101</v>
      </c>
      <c r="BD78" s="29">
        <f t="shared" ca="1" si="43"/>
        <v>8689236.1111111101</v>
      </c>
      <c r="BE78" s="29">
        <f t="shared" ca="1" si="43"/>
        <v>8689236.1111111101</v>
      </c>
      <c r="BF78" s="29">
        <f t="shared" ca="1" si="43"/>
        <v>8689236.1111111101</v>
      </c>
      <c r="BG78" s="29">
        <f t="shared" ca="1" si="43"/>
        <v>8689236.1111111101</v>
      </c>
      <c r="BH78" s="29">
        <f t="shared" ca="1" si="43"/>
        <v>8689236.1111111101</v>
      </c>
      <c r="BI78" s="29">
        <f t="shared" ca="1" si="43"/>
        <v>8689236.1111111101</v>
      </c>
      <c r="BJ78" s="29">
        <f t="shared" ca="1" si="43"/>
        <v>8689236.1111111101</v>
      </c>
      <c r="BK78" s="29">
        <f t="shared" ca="1" si="43"/>
        <v>8689236.1111111101</v>
      </c>
      <c r="BL78" s="29">
        <f t="shared" ca="1" si="43"/>
        <v>8689236.1111111101</v>
      </c>
      <c r="BM78" s="29">
        <f t="shared" ca="1" si="43"/>
        <v>8689236.1111111101</v>
      </c>
      <c r="BN78" s="29">
        <f t="shared" ca="1" si="43"/>
        <v>8689236.1111111101</v>
      </c>
      <c r="BO78" s="29">
        <f t="shared" ca="1" si="43"/>
        <v>8689236.1111111101</v>
      </c>
      <c r="BP78" s="29">
        <f t="shared" ca="1" si="43"/>
        <v>8689236.1111111101</v>
      </c>
      <c r="BQ78" s="29">
        <f t="shared" ca="1" si="43"/>
        <v>8689236.1111111101</v>
      </c>
      <c r="BR78" s="29">
        <f t="shared" ca="1" si="43"/>
        <v>8689236.1111111101</v>
      </c>
      <c r="BS78" s="29">
        <f t="shared" ca="1" si="43"/>
        <v>8689236.1111111101</v>
      </c>
      <c r="BT78" s="29">
        <f t="shared" ca="1" si="43"/>
        <v>8689236.1111111101</v>
      </c>
      <c r="BU78" s="29">
        <f t="shared" ca="1" si="43"/>
        <v>8689236.1111111101</v>
      </c>
      <c r="BV78" s="29">
        <f t="shared" ca="1" si="43"/>
        <v>8689236.1111111101</v>
      </c>
      <c r="BW78" s="29">
        <f t="shared" ca="1" si="43"/>
        <v>8689236.1111111101</v>
      </c>
      <c r="BX78" s="29">
        <f t="shared" ca="1" si="43"/>
        <v>8689236.1111111101</v>
      </c>
      <c r="BY78" s="29">
        <f t="shared" ca="1" si="43"/>
        <v>8689236.1111111101</v>
      </c>
      <c r="BZ78" s="29">
        <f t="shared" ca="1" si="43"/>
        <v>8689236.1111111101</v>
      </c>
      <c r="CA78" s="29">
        <f t="shared" ca="1" si="43"/>
        <v>8689236.1111111101</v>
      </c>
      <c r="CB78" s="29">
        <f t="shared" ca="1" si="43"/>
        <v>8689236.1111111101</v>
      </c>
      <c r="CC78" s="29">
        <f t="shared" ca="1" si="43"/>
        <v>8689236.1111111101</v>
      </c>
      <c r="CD78" s="29">
        <f t="shared" ca="1" si="43"/>
        <v>8689236.1111111101</v>
      </c>
      <c r="CE78" s="29">
        <f t="shared" ca="1" si="43"/>
        <v>8689236.1111111101</v>
      </c>
      <c r="CF78" s="29">
        <f t="shared" ca="1" si="43"/>
        <v>8689236.1111111101</v>
      </c>
      <c r="CG78" s="29">
        <f t="shared" ca="1" si="43"/>
        <v>8689236.1111111101</v>
      </c>
      <c r="CH78" s="29">
        <f t="shared" ca="1" si="43"/>
        <v>8689236.1111111101</v>
      </c>
    </row>
    <row r="79" spans="2:86" ht="13">
      <c r="B79" s="15" t="str">
        <f t="shared" si="23"/>
        <v>Cumulative Change in Invested Capital</v>
      </c>
      <c r="C79" s="15"/>
      <c r="D79" s="15" t="s">
        <v>247</v>
      </c>
      <c r="E79" s="29">
        <f t="shared" ca="1" si="13"/>
        <v>-4.7730281949043274E-9</v>
      </c>
      <c r="F79" s="29"/>
      <c r="G79" s="29">
        <f t="shared" ref="G79:CH79" ca="1" si="44">F79+G50</f>
        <v>1203125</v>
      </c>
      <c r="H79" s="29">
        <f t="shared" ca="1" si="44"/>
        <v>2406250</v>
      </c>
      <c r="I79" s="29">
        <f t="shared" ca="1" si="44"/>
        <v>3609375</v>
      </c>
      <c r="J79" s="29">
        <f t="shared" ca="1" si="44"/>
        <v>4812500</v>
      </c>
      <c r="K79" s="29">
        <f t="shared" ca="1" si="44"/>
        <v>6015625</v>
      </c>
      <c r="L79" s="29">
        <f t="shared" ca="1" si="44"/>
        <v>7218750</v>
      </c>
      <c r="M79" s="29">
        <f t="shared" ca="1" si="44"/>
        <v>8421875</v>
      </c>
      <c r="N79" s="29">
        <f t="shared" ca="1" si="44"/>
        <v>9625000</v>
      </c>
      <c r="O79" s="29">
        <f t="shared" ca="1" si="44"/>
        <v>10146354.166666666</v>
      </c>
      <c r="P79" s="29">
        <f t="shared" ca="1" si="44"/>
        <v>10667708.333333332</v>
      </c>
      <c r="Q79" s="29">
        <f t="shared" ca="1" si="44"/>
        <v>11189062.499999998</v>
      </c>
      <c r="R79" s="29">
        <f t="shared" ca="1" si="44"/>
        <v>11710416.666666664</v>
      </c>
      <c r="S79" s="29">
        <f t="shared" ca="1" si="44"/>
        <v>12231770.83333333</v>
      </c>
      <c r="T79" s="29">
        <f t="shared" ca="1" si="44"/>
        <v>12753124.999999996</v>
      </c>
      <c r="U79" s="29">
        <f t="shared" ca="1" si="44"/>
        <v>13274479.166666662</v>
      </c>
      <c r="V79" s="29">
        <f t="shared" ca="1" si="44"/>
        <v>13795833.333333328</v>
      </c>
      <c r="W79" s="29">
        <f t="shared" ca="1" si="44"/>
        <v>12833333.333333328</v>
      </c>
      <c r="X79" s="29">
        <f t="shared" ca="1" si="44"/>
        <v>11870833.333333328</v>
      </c>
      <c r="Y79" s="29">
        <f t="shared" ca="1" si="44"/>
        <v>10908333.333333328</v>
      </c>
      <c r="Z79" s="29">
        <f t="shared" ca="1" si="44"/>
        <v>9945833.3333333284</v>
      </c>
      <c r="AA79" s="29">
        <f t="shared" ca="1" si="44"/>
        <v>8869704.8611111064</v>
      </c>
      <c r="AB79" s="29">
        <f t="shared" ca="1" si="44"/>
        <v>7793576.3888888843</v>
      </c>
      <c r="AC79" s="29">
        <f t="shared" ca="1" si="44"/>
        <v>6717447.9166666623</v>
      </c>
      <c r="AD79" s="29">
        <f t="shared" ca="1" si="44"/>
        <v>5641319.4444444403</v>
      </c>
      <c r="AE79" s="29">
        <f t="shared" ca="1" si="44"/>
        <v>5086545.1388888843</v>
      </c>
      <c r="AF79" s="29">
        <f t="shared" ca="1" si="44"/>
        <v>4531770.8333333284</v>
      </c>
      <c r="AG79" s="29">
        <f t="shared" ca="1" si="44"/>
        <v>3976996.5277777729</v>
      </c>
      <c r="AH79" s="29">
        <f t="shared" ca="1" si="44"/>
        <v>3422222.2222222174</v>
      </c>
      <c r="AI79" s="29">
        <f t="shared" ca="1" si="44"/>
        <v>3088020.8333333284</v>
      </c>
      <c r="AJ79" s="29">
        <f t="shared" ca="1" si="44"/>
        <v>2753819.4444444394</v>
      </c>
      <c r="AK79" s="29">
        <f t="shared" ca="1" si="44"/>
        <v>2419618.0555555504</v>
      </c>
      <c r="AL79" s="29">
        <f t="shared" ca="1" si="44"/>
        <v>2085416.6666666614</v>
      </c>
      <c r="AM79" s="29">
        <f t="shared" ca="1" si="44"/>
        <v>1844791.6666666614</v>
      </c>
      <c r="AN79" s="29">
        <f t="shared" ca="1" si="44"/>
        <v>1604166.6666666614</v>
      </c>
      <c r="AO79" s="29">
        <f t="shared" ca="1" si="44"/>
        <v>1363541.6666666614</v>
      </c>
      <c r="AP79" s="29">
        <f t="shared" ca="1" si="44"/>
        <v>1122916.6666666614</v>
      </c>
      <c r="AQ79" s="29">
        <f t="shared" ca="1" si="44"/>
        <v>842187.49999999488</v>
      </c>
      <c r="AR79" s="29">
        <f t="shared" ca="1" si="44"/>
        <v>561458.33333332837</v>
      </c>
      <c r="AS79" s="29">
        <f t="shared" ca="1" si="44"/>
        <v>280729.1666666618</v>
      </c>
      <c r="AT79" s="29">
        <f t="shared" ca="1" si="44"/>
        <v>-4.7730281949043274E-9</v>
      </c>
      <c r="AU79" s="29">
        <f t="shared" ca="1" si="44"/>
        <v>-4.7730281949043274E-9</v>
      </c>
      <c r="AV79" s="29">
        <f t="shared" ca="1" si="44"/>
        <v>-4.7730281949043274E-9</v>
      </c>
      <c r="AW79" s="29">
        <f t="shared" ca="1" si="44"/>
        <v>-4.7730281949043274E-9</v>
      </c>
      <c r="AX79" s="29">
        <f t="shared" ca="1" si="44"/>
        <v>-4.7730281949043274E-9</v>
      </c>
      <c r="AY79" s="29">
        <f t="shared" ca="1" si="44"/>
        <v>-4.7730281949043274E-9</v>
      </c>
      <c r="AZ79" s="29">
        <f t="shared" ca="1" si="44"/>
        <v>-4.7730281949043274E-9</v>
      </c>
      <c r="BA79" s="29">
        <f t="shared" ca="1" si="44"/>
        <v>-4.7730281949043274E-9</v>
      </c>
      <c r="BB79" s="29">
        <f t="shared" ca="1" si="44"/>
        <v>-4.7730281949043274E-9</v>
      </c>
      <c r="BC79" s="29">
        <f t="shared" ca="1" si="44"/>
        <v>-4.7730281949043274E-9</v>
      </c>
      <c r="BD79" s="29">
        <f t="shared" ca="1" si="44"/>
        <v>-4.7730281949043274E-9</v>
      </c>
      <c r="BE79" s="29">
        <f t="shared" ca="1" si="44"/>
        <v>-4.7730281949043274E-9</v>
      </c>
      <c r="BF79" s="29">
        <f t="shared" ca="1" si="44"/>
        <v>-4.7730281949043274E-9</v>
      </c>
      <c r="BG79" s="29">
        <f t="shared" ca="1" si="44"/>
        <v>-4.7730281949043274E-9</v>
      </c>
      <c r="BH79" s="29">
        <f t="shared" ca="1" si="44"/>
        <v>-4.7730281949043274E-9</v>
      </c>
      <c r="BI79" s="29">
        <f t="shared" ca="1" si="44"/>
        <v>-4.7730281949043274E-9</v>
      </c>
      <c r="BJ79" s="29">
        <f t="shared" ca="1" si="44"/>
        <v>-4.7730281949043274E-9</v>
      </c>
      <c r="BK79" s="29">
        <f t="shared" ca="1" si="44"/>
        <v>-4.7730281949043274E-9</v>
      </c>
      <c r="BL79" s="29">
        <f t="shared" ca="1" si="44"/>
        <v>-4.7730281949043274E-9</v>
      </c>
      <c r="BM79" s="29">
        <f t="shared" ca="1" si="44"/>
        <v>-4.7730281949043274E-9</v>
      </c>
      <c r="BN79" s="29">
        <f t="shared" ca="1" si="44"/>
        <v>-4.7730281949043274E-9</v>
      </c>
      <c r="BO79" s="29">
        <f t="shared" ca="1" si="44"/>
        <v>-4.7730281949043274E-9</v>
      </c>
      <c r="BP79" s="29">
        <f t="shared" ca="1" si="44"/>
        <v>-4.7730281949043274E-9</v>
      </c>
      <c r="BQ79" s="29">
        <f t="shared" ca="1" si="44"/>
        <v>-4.7730281949043274E-9</v>
      </c>
      <c r="BR79" s="29">
        <f t="shared" ca="1" si="44"/>
        <v>-4.7730281949043274E-9</v>
      </c>
      <c r="BS79" s="29">
        <f t="shared" ca="1" si="44"/>
        <v>-4.7730281949043274E-9</v>
      </c>
      <c r="BT79" s="29">
        <f t="shared" ca="1" si="44"/>
        <v>-4.7730281949043274E-9</v>
      </c>
      <c r="BU79" s="29">
        <f t="shared" ca="1" si="44"/>
        <v>-4.7730281949043274E-9</v>
      </c>
      <c r="BV79" s="29">
        <f t="shared" ca="1" si="44"/>
        <v>-4.7730281949043274E-9</v>
      </c>
      <c r="BW79" s="29">
        <f t="shared" ca="1" si="44"/>
        <v>-4.7730281949043274E-9</v>
      </c>
      <c r="BX79" s="29">
        <f t="shared" ca="1" si="44"/>
        <v>-4.7730281949043274E-9</v>
      </c>
      <c r="BY79" s="29">
        <f t="shared" ca="1" si="44"/>
        <v>-4.7730281949043274E-9</v>
      </c>
      <c r="BZ79" s="29">
        <f t="shared" ca="1" si="44"/>
        <v>-4.7730281949043274E-9</v>
      </c>
      <c r="CA79" s="29">
        <f t="shared" ca="1" si="44"/>
        <v>-4.7730281949043274E-9</v>
      </c>
      <c r="CB79" s="29">
        <f t="shared" ca="1" si="44"/>
        <v>-4.7730281949043274E-9</v>
      </c>
      <c r="CC79" s="29">
        <f t="shared" ca="1" si="44"/>
        <v>-4.7730281949043274E-9</v>
      </c>
      <c r="CD79" s="29">
        <f t="shared" ca="1" si="44"/>
        <v>-4.7730281949043274E-9</v>
      </c>
      <c r="CE79" s="29">
        <f t="shared" ca="1" si="44"/>
        <v>-4.7730281949043274E-9</v>
      </c>
      <c r="CF79" s="29">
        <f t="shared" ca="1" si="44"/>
        <v>-4.7730281949043274E-9</v>
      </c>
      <c r="CG79" s="29">
        <f t="shared" ca="1" si="44"/>
        <v>-4.7730281949043274E-9</v>
      </c>
      <c r="CH79" s="29">
        <f t="shared" ca="1" si="44"/>
        <v>-4.7730281949043274E-9</v>
      </c>
    </row>
    <row r="80" spans="2:86" ht="13">
      <c r="B80" s="15" t="str">
        <f t="shared" si="23"/>
        <v>Cumulative Change in Unrealized Gain (Loss)</v>
      </c>
      <c r="C80" s="15"/>
      <c r="D80" s="15" t="s">
        <v>247</v>
      </c>
      <c r="E80" s="29">
        <f t="shared" ca="1" si="13"/>
        <v>0</v>
      </c>
      <c r="F80" s="29"/>
      <c r="G80" s="29">
        <f t="shared" ref="G80:CH80" ca="1" si="45">F80+G51</f>
        <v>0</v>
      </c>
      <c r="H80" s="29">
        <f t="shared" ca="1" si="45"/>
        <v>0</v>
      </c>
      <c r="I80" s="29">
        <f t="shared" ca="1" si="45"/>
        <v>0</v>
      </c>
      <c r="J80" s="29">
        <f t="shared" ca="1" si="45"/>
        <v>0</v>
      </c>
      <c r="K80" s="29">
        <f t="shared" ca="1" si="45"/>
        <v>0</v>
      </c>
      <c r="L80" s="29">
        <f t="shared" ca="1" si="45"/>
        <v>0</v>
      </c>
      <c r="M80" s="29">
        <f t="shared" ca="1" si="45"/>
        <v>0</v>
      </c>
      <c r="N80" s="29">
        <f t="shared" ca="1" si="45"/>
        <v>0</v>
      </c>
      <c r="O80" s="29">
        <f t="shared" ca="1" si="45"/>
        <v>1209153.7583316728</v>
      </c>
      <c r="P80" s="29">
        <f t="shared" ca="1" si="45"/>
        <v>2482076.2747092349</v>
      </c>
      <c r="Q80" s="29">
        <f t="shared" ca="1" si="45"/>
        <v>3818767.5491326866</v>
      </c>
      <c r="R80" s="29">
        <f t="shared" ca="1" si="45"/>
        <v>5219227.5816020276</v>
      </c>
      <c r="S80" s="29">
        <f t="shared" ca="1" si="45"/>
        <v>5936212.9131545322</v>
      </c>
      <c r="T80" s="29">
        <f t="shared" ca="1" si="45"/>
        <v>6716967.0027529262</v>
      </c>
      <c r="U80" s="29">
        <f t="shared" ca="1" si="45"/>
        <v>7561489.8503972096</v>
      </c>
      <c r="V80" s="29">
        <f t="shared" ca="1" si="45"/>
        <v>8469781.4560873825</v>
      </c>
      <c r="W80" s="29">
        <f t="shared" ca="1" si="45"/>
        <v>9052196.588249974</v>
      </c>
      <c r="X80" s="29">
        <f t="shared" ca="1" si="45"/>
        <v>9516884.7824816927</v>
      </c>
      <c r="Y80" s="29">
        <f t="shared" ca="1" si="45"/>
        <v>9863846.038782537</v>
      </c>
      <c r="Z80" s="29">
        <f t="shared" ca="1" si="45"/>
        <v>10093080.357152509</v>
      </c>
      <c r="AA80" s="29">
        <f t="shared" ca="1" si="45"/>
        <v>10197638.578060966</v>
      </c>
      <c r="AB80" s="29">
        <f t="shared" ca="1" si="45"/>
        <v>10170571.541977268</v>
      </c>
      <c r="AC80" s="29">
        <f t="shared" ca="1" si="45"/>
        <v>10011879.248901412</v>
      </c>
      <c r="AD80" s="29">
        <f t="shared" ca="1" si="45"/>
        <v>9721561.6988334004</v>
      </c>
      <c r="AE80" s="29">
        <f t="shared" ca="1" si="45"/>
        <v>8310270.543547119</v>
      </c>
      <c r="AF80" s="29">
        <f t="shared" ca="1" si="45"/>
        <v>6831122.8893145705</v>
      </c>
      <c r="AG80" s="29">
        <f t="shared" ca="1" si="45"/>
        <v>5284118.7361357547</v>
      </c>
      <c r="AH80" s="29">
        <f t="shared" ca="1" si="45"/>
        <v>3669258.0840106723</v>
      </c>
      <c r="AI80" s="29">
        <f t="shared" ca="1" si="45"/>
        <v>2821998.2827695669</v>
      </c>
      <c r="AJ80" s="29">
        <f t="shared" ca="1" si="45"/>
        <v>1933861.0725246861</v>
      </c>
      <c r="AK80" s="29">
        <f t="shared" ca="1" si="45"/>
        <v>1004846.4532760301</v>
      </c>
      <c r="AL80" s="29">
        <f t="shared" ca="1" si="45"/>
        <v>34954.425023598946</v>
      </c>
      <c r="AM80" s="29">
        <f t="shared" ca="1" si="45"/>
        <v>-621378.5607894737</v>
      </c>
      <c r="AN80" s="29">
        <f t="shared" ca="1" si="45"/>
        <v>-1307143.2810852644</v>
      </c>
      <c r="AO80" s="29">
        <f t="shared" ca="1" si="45"/>
        <v>-2022339.7358637734</v>
      </c>
      <c r="AP80" s="29">
        <f t="shared" ca="1" si="45"/>
        <v>-2766967.9251250005</v>
      </c>
      <c r="AQ80" s="29">
        <f t="shared" ca="1" si="45"/>
        <v>-3692929.1852017175</v>
      </c>
      <c r="AR80" s="29">
        <f t="shared" ca="1" si="45"/>
        <v>-4653227.4688416058</v>
      </c>
      <c r="AS80" s="29">
        <f t="shared" ca="1" si="45"/>
        <v>-5647862.7760446649</v>
      </c>
      <c r="AT80" s="29">
        <f t="shared" ca="1" si="45"/>
        <v>0</v>
      </c>
      <c r="AU80" s="29">
        <f t="shared" ca="1" si="45"/>
        <v>0</v>
      </c>
      <c r="AV80" s="29">
        <f t="shared" ca="1" si="45"/>
        <v>0</v>
      </c>
      <c r="AW80" s="29">
        <f t="shared" ca="1" si="45"/>
        <v>0</v>
      </c>
      <c r="AX80" s="29">
        <f t="shared" ca="1" si="45"/>
        <v>0</v>
      </c>
      <c r="AY80" s="29">
        <f t="shared" ca="1" si="45"/>
        <v>0</v>
      </c>
      <c r="AZ80" s="29">
        <f t="shared" ca="1" si="45"/>
        <v>0</v>
      </c>
      <c r="BA80" s="29">
        <f t="shared" ca="1" si="45"/>
        <v>0</v>
      </c>
      <c r="BB80" s="29">
        <f t="shared" ca="1" si="45"/>
        <v>0</v>
      </c>
      <c r="BC80" s="29">
        <f t="shared" ca="1" si="45"/>
        <v>0</v>
      </c>
      <c r="BD80" s="29">
        <f t="shared" ca="1" si="45"/>
        <v>0</v>
      </c>
      <c r="BE80" s="29">
        <f t="shared" ca="1" si="45"/>
        <v>0</v>
      </c>
      <c r="BF80" s="29">
        <f t="shared" ca="1" si="45"/>
        <v>0</v>
      </c>
      <c r="BG80" s="29">
        <f t="shared" ca="1" si="45"/>
        <v>0</v>
      </c>
      <c r="BH80" s="29">
        <f t="shared" ca="1" si="45"/>
        <v>0</v>
      </c>
      <c r="BI80" s="29">
        <f t="shared" ca="1" si="45"/>
        <v>0</v>
      </c>
      <c r="BJ80" s="29">
        <f t="shared" ca="1" si="45"/>
        <v>0</v>
      </c>
      <c r="BK80" s="29">
        <f t="shared" ca="1" si="45"/>
        <v>0</v>
      </c>
      <c r="BL80" s="29">
        <f t="shared" ca="1" si="45"/>
        <v>0</v>
      </c>
      <c r="BM80" s="29">
        <f t="shared" ca="1" si="45"/>
        <v>0</v>
      </c>
      <c r="BN80" s="29">
        <f t="shared" ca="1" si="45"/>
        <v>0</v>
      </c>
      <c r="BO80" s="29">
        <f t="shared" ca="1" si="45"/>
        <v>0</v>
      </c>
      <c r="BP80" s="29">
        <f t="shared" ca="1" si="45"/>
        <v>0</v>
      </c>
      <c r="BQ80" s="29">
        <f t="shared" ca="1" si="45"/>
        <v>0</v>
      </c>
      <c r="BR80" s="29">
        <f t="shared" ca="1" si="45"/>
        <v>0</v>
      </c>
      <c r="BS80" s="29">
        <f t="shared" ca="1" si="45"/>
        <v>0</v>
      </c>
      <c r="BT80" s="29">
        <f t="shared" ca="1" si="45"/>
        <v>0</v>
      </c>
      <c r="BU80" s="29">
        <f t="shared" ca="1" si="45"/>
        <v>0</v>
      </c>
      <c r="BV80" s="29">
        <f t="shared" ca="1" si="45"/>
        <v>0</v>
      </c>
      <c r="BW80" s="29">
        <f t="shared" ca="1" si="45"/>
        <v>0</v>
      </c>
      <c r="BX80" s="29">
        <f t="shared" ca="1" si="45"/>
        <v>0</v>
      </c>
      <c r="BY80" s="29">
        <f t="shared" ca="1" si="45"/>
        <v>0</v>
      </c>
      <c r="BZ80" s="29">
        <f t="shared" ca="1" si="45"/>
        <v>0</v>
      </c>
      <c r="CA80" s="29">
        <f t="shared" ca="1" si="45"/>
        <v>0</v>
      </c>
      <c r="CB80" s="29">
        <f t="shared" ca="1" si="45"/>
        <v>0</v>
      </c>
      <c r="CC80" s="29">
        <f t="shared" ca="1" si="45"/>
        <v>0</v>
      </c>
      <c r="CD80" s="29">
        <f t="shared" ca="1" si="45"/>
        <v>0</v>
      </c>
      <c r="CE80" s="29">
        <f t="shared" ca="1" si="45"/>
        <v>0</v>
      </c>
      <c r="CF80" s="29">
        <f t="shared" ca="1" si="45"/>
        <v>0</v>
      </c>
      <c r="CG80" s="29">
        <f t="shared" ca="1" si="45"/>
        <v>0</v>
      </c>
      <c r="CH80" s="29">
        <f t="shared" ca="1" si="45"/>
        <v>0</v>
      </c>
    </row>
    <row r="81" spans="2:86" ht="13">
      <c r="B81" s="15" t="str">
        <f t="shared" si="23"/>
        <v>Cumulative Change in Residual Value</v>
      </c>
      <c r="C81" s="15" t="s">
        <v>285</v>
      </c>
      <c r="D81" s="15" t="s">
        <v>247</v>
      </c>
      <c r="E81" s="29">
        <f t="shared" ca="1" si="13"/>
        <v>0</v>
      </c>
      <c r="F81" s="29"/>
      <c r="G81" s="29">
        <f t="shared" ref="G81:CH81" ca="1" si="46">F81+G52</f>
        <v>1203125</v>
      </c>
      <c r="H81" s="29">
        <f t="shared" ca="1" si="46"/>
        <v>2406250</v>
      </c>
      <c r="I81" s="29">
        <f t="shared" ca="1" si="46"/>
        <v>3609375</v>
      </c>
      <c r="J81" s="29">
        <f t="shared" ca="1" si="46"/>
        <v>4812500</v>
      </c>
      <c r="K81" s="29">
        <f t="shared" ca="1" si="46"/>
        <v>6015625</v>
      </c>
      <c r="L81" s="29">
        <f t="shared" ca="1" si="46"/>
        <v>7218750</v>
      </c>
      <c r="M81" s="29">
        <f t="shared" ca="1" si="46"/>
        <v>8421875</v>
      </c>
      <c r="N81" s="29">
        <f t="shared" ca="1" si="46"/>
        <v>9625000</v>
      </c>
      <c r="O81" s="29">
        <f t="shared" ca="1" si="46"/>
        <v>11355507.924998339</v>
      </c>
      <c r="P81" s="29">
        <f t="shared" ca="1" si="46"/>
        <v>13149784.608042568</v>
      </c>
      <c r="Q81" s="29">
        <f t="shared" ca="1" si="46"/>
        <v>15007830.049132686</v>
      </c>
      <c r="R81" s="29">
        <f t="shared" ca="1" si="46"/>
        <v>16929644.248268694</v>
      </c>
      <c r="S81" s="29">
        <f t="shared" ca="1" si="46"/>
        <v>18167983.746487863</v>
      </c>
      <c r="T81" s="29">
        <f t="shared" ca="1" si="46"/>
        <v>19470092.002752922</v>
      </c>
      <c r="U81" s="29">
        <f t="shared" ca="1" si="46"/>
        <v>20835969.017063871</v>
      </c>
      <c r="V81" s="29">
        <f t="shared" ca="1" si="46"/>
        <v>22265614.789420709</v>
      </c>
      <c r="W81" s="29">
        <f t="shared" ca="1" si="46"/>
        <v>21885529.921583299</v>
      </c>
      <c r="X81" s="29">
        <f t="shared" ca="1" si="46"/>
        <v>21387718.115815017</v>
      </c>
      <c r="Y81" s="29">
        <f t="shared" ca="1" si="46"/>
        <v>20772179.372115862</v>
      </c>
      <c r="Z81" s="29">
        <f t="shared" ca="1" si="46"/>
        <v>20038913.690485835</v>
      </c>
      <c r="AA81" s="29">
        <f t="shared" ca="1" si="46"/>
        <v>19067343.43917207</v>
      </c>
      <c r="AB81" s="29">
        <f t="shared" ca="1" si="46"/>
        <v>17964147.930866148</v>
      </c>
      <c r="AC81" s="29">
        <f t="shared" ca="1" si="46"/>
        <v>16729327.16556807</v>
      </c>
      <c r="AD81" s="29">
        <f t="shared" ca="1" si="46"/>
        <v>15362881.143277837</v>
      </c>
      <c r="AE81" s="29">
        <f t="shared" ca="1" si="46"/>
        <v>13396815.682436001</v>
      </c>
      <c r="AF81" s="29">
        <f t="shared" ca="1" si="46"/>
        <v>11362893.722647896</v>
      </c>
      <c r="AG81" s="29">
        <f t="shared" ca="1" si="46"/>
        <v>9261115.2639135253</v>
      </c>
      <c r="AH81" s="29">
        <f t="shared" ca="1" si="46"/>
        <v>7091480.3062328873</v>
      </c>
      <c r="AI81" s="29">
        <f t="shared" ca="1" si="46"/>
        <v>5910019.1161028929</v>
      </c>
      <c r="AJ81" s="29">
        <f t="shared" ca="1" si="46"/>
        <v>4687680.5169691239</v>
      </c>
      <c r="AK81" s="29">
        <f t="shared" ca="1" si="46"/>
        <v>3424464.5088315792</v>
      </c>
      <c r="AL81" s="29">
        <f t="shared" ca="1" si="46"/>
        <v>2120371.0916902591</v>
      </c>
      <c r="AM81" s="29">
        <f t="shared" ca="1" si="46"/>
        <v>1223413.1058771864</v>
      </c>
      <c r="AN81" s="29">
        <f t="shared" ca="1" si="46"/>
        <v>297023.38558139559</v>
      </c>
      <c r="AO81" s="29">
        <f t="shared" ca="1" si="46"/>
        <v>-658798.06919711339</v>
      </c>
      <c r="AP81" s="29">
        <f t="shared" ca="1" si="46"/>
        <v>-1644051.2584583405</v>
      </c>
      <c r="AQ81" s="29">
        <f t="shared" ca="1" si="46"/>
        <v>-2850741.6852017241</v>
      </c>
      <c r="AR81" s="29">
        <f t="shared" ca="1" si="46"/>
        <v>-4091769.1355082789</v>
      </c>
      <c r="AS81" s="29">
        <f t="shared" ca="1" si="46"/>
        <v>-5367133.6093780044</v>
      </c>
      <c r="AT81" s="29">
        <f t="shared" ca="1" si="46"/>
        <v>0</v>
      </c>
      <c r="AU81" s="29">
        <f t="shared" ca="1" si="46"/>
        <v>0</v>
      </c>
      <c r="AV81" s="29">
        <f t="shared" ca="1" si="46"/>
        <v>0</v>
      </c>
      <c r="AW81" s="29">
        <f t="shared" ca="1" si="46"/>
        <v>0</v>
      </c>
      <c r="AX81" s="29">
        <f t="shared" ca="1" si="46"/>
        <v>0</v>
      </c>
      <c r="AY81" s="29">
        <f t="shared" ca="1" si="46"/>
        <v>0</v>
      </c>
      <c r="AZ81" s="29">
        <f t="shared" ca="1" si="46"/>
        <v>0</v>
      </c>
      <c r="BA81" s="29">
        <f t="shared" ca="1" si="46"/>
        <v>0</v>
      </c>
      <c r="BB81" s="29">
        <f t="shared" ca="1" si="46"/>
        <v>0</v>
      </c>
      <c r="BC81" s="29">
        <f t="shared" ca="1" si="46"/>
        <v>0</v>
      </c>
      <c r="BD81" s="29">
        <f t="shared" ca="1" si="46"/>
        <v>0</v>
      </c>
      <c r="BE81" s="29">
        <f t="shared" ca="1" si="46"/>
        <v>0</v>
      </c>
      <c r="BF81" s="29">
        <f t="shared" ca="1" si="46"/>
        <v>0</v>
      </c>
      <c r="BG81" s="29">
        <f t="shared" ca="1" si="46"/>
        <v>0</v>
      </c>
      <c r="BH81" s="29">
        <f t="shared" ca="1" si="46"/>
        <v>0</v>
      </c>
      <c r="BI81" s="29">
        <f t="shared" ca="1" si="46"/>
        <v>0</v>
      </c>
      <c r="BJ81" s="29">
        <f t="shared" ca="1" si="46"/>
        <v>0</v>
      </c>
      <c r="BK81" s="29">
        <f t="shared" ca="1" si="46"/>
        <v>0</v>
      </c>
      <c r="BL81" s="29">
        <f t="shared" ca="1" si="46"/>
        <v>0</v>
      </c>
      <c r="BM81" s="29">
        <f t="shared" ca="1" si="46"/>
        <v>0</v>
      </c>
      <c r="BN81" s="29">
        <f t="shared" ca="1" si="46"/>
        <v>0</v>
      </c>
      <c r="BO81" s="29">
        <f t="shared" ca="1" si="46"/>
        <v>0</v>
      </c>
      <c r="BP81" s="29">
        <f t="shared" ca="1" si="46"/>
        <v>0</v>
      </c>
      <c r="BQ81" s="29">
        <f t="shared" ca="1" si="46"/>
        <v>0</v>
      </c>
      <c r="BR81" s="29">
        <f t="shared" ca="1" si="46"/>
        <v>0</v>
      </c>
      <c r="BS81" s="29">
        <f t="shared" ca="1" si="46"/>
        <v>0</v>
      </c>
      <c r="BT81" s="29">
        <f t="shared" ca="1" si="46"/>
        <v>0</v>
      </c>
      <c r="BU81" s="29">
        <f t="shared" ca="1" si="46"/>
        <v>0</v>
      </c>
      <c r="BV81" s="29">
        <f t="shared" ca="1" si="46"/>
        <v>0</v>
      </c>
      <c r="BW81" s="29">
        <f t="shared" ca="1" si="46"/>
        <v>0</v>
      </c>
      <c r="BX81" s="29">
        <f t="shared" ca="1" si="46"/>
        <v>0</v>
      </c>
      <c r="BY81" s="29">
        <f t="shared" ca="1" si="46"/>
        <v>0</v>
      </c>
      <c r="BZ81" s="29">
        <f t="shared" ca="1" si="46"/>
        <v>0</v>
      </c>
      <c r="CA81" s="29">
        <f t="shared" ca="1" si="46"/>
        <v>0</v>
      </c>
      <c r="CB81" s="29">
        <f t="shared" ca="1" si="46"/>
        <v>0</v>
      </c>
      <c r="CC81" s="29">
        <f t="shared" ca="1" si="46"/>
        <v>0</v>
      </c>
      <c r="CD81" s="29">
        <f t="shared" ca="1" si="46"/>
        <v>0</v>
      </c>
      <c r="CE81" s="29">
        <f t="shared" ca="1" si="46"/>
        <v>0</v>
      </c>
      <c r="CF81" s="29">
        <f t="shared" ca="1" si="46"/>
        <v>0</v>
      </c>
      <c r="CG81" s="29">
        <f t="shared" ca="1" si="46"/>
        <v>0</v>
      </c>
      <c r="CH81" s="29">
        <f t="shared" ca="1" si="46"/>
        <v>0</v>
      </c>
    </row>
    <row r="82" spans="2:86" ht="13">
      <c r="B82" s="15" t="str">
        <f t="shared" si="23"/>
        <v>Cumulative Change in Undrawn Capital Commitments</v>
      </c>
      <c r="C82" s="15"/>
      <c r="D82" s="15" t="s">
        <v>247</v>
      </c>
      <c r="E82" s="29">
        <f t="shared" ca="1" si="13"/>
        <v>0</v>
      </c>
      <c r="F82" s="29"/>
      <c r="G82" s="29">
        <f t="shared" ref="G82:CH82" ca="1" si="47">F82+G53</f>
        <v>23555625</v>
      </c>
      <c r="H82" s="29">
        <f t="shared" ca="1" si="47"/>
        <v>22211250</v>
      </c>
      <c r="I82" s="29">
        <f t="shared" ca="1" si="47"/>
        <v>20866875</v>
      </c>
      <c r="J82" s="29">
        <f t="shared" ca="1" si="47"/>
        <v>19522500</v>
      </c>
      <c r="K82" s="29">
        <f t="shared" ca="1" si="47"/>
        <v>18178125</v>
      </c>
      <c r="L82" s="29">
        <f t="shared" ca="1" si="47"/>
        <v>16833750</v>
      </c>
      <c r="M82" s="29">
        <f t="shared" ca="1" si="47"/>
        <v>15489375</v>
      </c>
      <c r="N82" s="29">
        <f t="shared" ca="1" si="47"/>
        <v>14145000</v>
      </c>
      <c r="O82" s="29">
        <f t="shared" ca="1" si="47"/>
        <v>12800625</v>
      </c>
      <c r="P82" s="29">
        <f t="shared" ca="1" si="47"/>
        <v>11456250</v>
      </c>
      <c r="Q82" s="29">
        <f t="shared" ca="1" si="47"/>
        <v>10111875</v>
      </c>
      <c r="R82" s="29">
        <f t="shared" ca="1" si="47"/>
        <v>8767500</v>
      </c>
      <c r="S82" s="29">
        <f t="shared" ca="1" si="47"/>
        <v>7423125</v>
      </c>
      <c r="T82" s="29">
        <f t="shared" ca="1" si="47"/>
        <v>6078750</v>
      </c>
      <c r="U82" s="29">
        <f t="shared" ca="1" si="47"/>
        <v>4734375</v>
      </c>
      <c r="V82" s="29">
        <f t="shared" ca="1" si="47"/>
        <v>3390000</v>
      </c>
      <c r="W82" s="29">
        <f t="shared" ca="1" si="47"/>
        <v>3248750</v>
      </c>
      <c r="X82" s="29">
        <f t="shared" ca="1" si="47"/>
        <v>3107500</v>
      </c>
      <c r="Y82" s="29">
        <f t="shared" ca="1" si="47"/>
        <v>2966250</v>
      </c>
      <c r="Z82" s="29">
        <f t="shared" ca="1" si="47"/>
        <v>2825000</v>
      </c>
      <c r="AA82" s="29">
        <f t="shared" ca="1" si="47"/>
        <v>2683750</v>
      </c>
      <c r="AB82" s="29">
        <f t="shared" ca="1" si="47"/>
        <v>2542500</v>
      </c>
      <c r="AC82" s="29">
        <f t="shared" ca="1" si="47"/>
        <v>2401250</v>
      </c>
      <c r="AD82" s="29">
        <f t="shared" ca="1" si="47"/>
        <v>2260000</v>
      </c>
      <c r="AE82" s="29">
        <f t="shared" ca="1" si="47"/>
        <v>2118750</v>
      </c>
      <c r="AF82" s="29">
        <f t="shared" ca="1" si="47"/>
        <v>1977500</v>
      </c>
      <c r="AG82" s="29">
        <f t="shared" ca="1" si="47"/>
        <v>1836250</v>
      </c>
      <c r="AH82" s="29">
        <f t="shared" ca="1" si="47"/>
        <v>1695000</v>
      </c>
      <c r="AI82" s="29">
        <f t="shared" ca="1" si="47"/>
        <v>1553750</v>
      </c>
      <c r="AJ82" s="29">
        <f t="shared" ca="1" si="47"/>
        <v>1412500</v>
      </c>
      <c r="AK82" s="29">
        <f t="shared" ca="1" si="47"/>
        <v>1271250</v>
      </c>
      <c r="AL82" s="29">
        <f t="shared" ca="1" si="47"/>
        <v>1130000</v>
      </c>
      <c r="AM82" s="29">
        <f t="shared" ca="1" si="47"/>
        <v>988750</v>
      </c>
      <c r="AN82" s="29">
        <f t="shared" ca="1" si="47"/>
        <v>847500</v>
      </c>
      <c r="AO82" s="29">
        <f t="shared" ca="1" si="47"/>
        <v>706250</v>
      </c>
      <c r="AP82" s="29">
        <f t="shared" ca="1" si="47"/>
        <v>565000</v>
      </c>
      <c r="AQ82" s="29">
        <f t="shared" ca="1" si="47"/>
        <v>423750</v>
      </c>
      <c r="AR82" s="29">
        <f t="shared" ca="1" si="47"/>
        <v>282500</v>
      </c>
      <c r="AS82" s="29">
        <f t="shared" ca="1" si="47"/>
        <v>141250</v>
      </c>
      <c r="AT82" s="29">
        <f t="shared" ca="1" si="47"/>
        <v>0</v>
      </c>
      <c r="AU82" s="29">
        <f t="shared" ca="1" si="47"/>
        <v>0</v>
      </c>
      <c r="AV82" s="29">
        <f t="shared" ca="1" si="47"/>
        <v>0</v>
      </c>
      <c r="AW82" s="29">
        <f t="shared" ca="1" si="47"/>
        <v>0</v>
      </c>
      <c r="AX82" s="29">
        <f t="shared" ca="1" si="47"/>
        <v>0</v>
      </c>
      <c r="AY82" s="29">
        <f t="shared" ca="1" si="47"/>
        <v>0</v>
      </c>
      <c r="AZ82" s="29">
        <f t="shared" ca="1" si="47"/>
        <v>0</v>
      </c>
      <c r="BA82" s="29">
        <f t="shared" ca="1" si="47"/>
        <v>0</v>
      </c>
      <c r="BB82" s="29">
        <f t="shared" ca="1" si="47"/>
        <v>0</v>
      </c>
      <c r="BC82" s="29">
        <f t="shared" ca="1" si="47"/>
        <v>0</v>
      </c>
      <c r="BD82" s="29">
        <f t="shared" ca="1" si="47"/>
        <v>0</v>
      </c>
      <c r="BE82" s="29">
        <f t="shared" ca="1" si="47"/>
        <v>0</v>
      </c>
      <c r="BF82" s="29">
        <f t="shared" ca="1" si="47"/>
        <v>0</v>
      </c>
      <c r="BG82" s="29">
        <f t="shared" ca="1" si="47"/>
        <v>0</v>
      </c>
      <c r="BH82" s="29">
        <f t="shared" ca="1" si="47"/>
        <v>0</v>
      </c>
      <c r="BI82" s="29">
        <f t="shared" ca="1" si="47"/>
        <v>0</v>
      </c>
      <c r="BJ82" s="29">
        <f t="shared" ca="1" si="47"/>
        <v>0</v>
      </c>
      <c r="BK82" s="29">
        <f t="shared" ca="1" si="47"/>
        <v>0</v>
      </c>
      <c r="BL82" s="29">
        <f t="shared" ca="1" si="47"/>
        <v>0</v>
      </c>
      <c r="BM82" s="29">
        <f t="shared" ca="1" si="47"/>
        <v>0</v>
      </c>
      <c r="BN82" s="29">
        <f t="shared" ca="1" si="47"/>
        <v>0</v>
      </c>
      <c r="BO82" s="29">
        <f t="shared" ca="1" si="47"/>
        <v>0</v>
      </c>
      <c r="BP82" s="29">
        <f t="shared" ca="1" si="47"/>
        <v>0</v>
      </c>
      <c r="BQ82" s="29">
        <f t="shared" ca="1" si="47"/>
        <v>0</v>
      </c>
      <c r="BR82" s="29">
        <f t="shared" ca="1" si="47"/>
        <v>0</v>
      </c>
      <c r="BS82" s="29">
        <f t="shared" ca="1" si="47"/>
        <v>0</v>
      </c>
      <c r="BT82" s="29">
        <f t="shared" ca="1" si="47"/>
        <v>0</v>
      </c>
      <c r="BU82" s="29">
        <f t="shared" ca="1" si="47"/>
        <v>0</v>
      </c>
      <c r="BV82" s="29">
        <f t="shared" ca="1" si="47"/>
        <v>0</v>
      </c>
      <c r="BW82" s="29">
        <f t="shared" ca="1" si="47"/>
        <v>0</v>
      </c>
      <c r="BX82" s="29">
        <f t="shared" ca="1" si="47"/>
        <v>0</v>
      </c>
      <c r="BY82" s="29">
        <f t="shared" ca="1" si="47"/>
        <v>0</v>
      </c>
      <c r="BZ82" s="29">
        <f t="shared" ca="1" si="47"/>
        <v>0</v>
      </c>
      <c r="CA82" s="29">
        <f t="shared" ca="1" si="47"/>
        <v>0</v>
      </c>
      <c r="CB82" s="29">
        <f t="shared" ca="1" si="47"/>
        <v>0</v>
      </c>
      <c r="CC82" s="29">
        <f t="shared" ca="1" si="47"/>
        <v>0</v>
      </c>
      <c r="CD82" s="29">
        <f t="shared" ca="1" si="47"/>
        <v>0</v>
      </c>
      <c r="CE82" s="29">
        <f t="shared" ca="1" si="47"/>
        <v>0</v>
      </c>
      <c r="CF82" s="29">
        <f t="shared" ca="1" si="47"/>
        <v>0</v>
      </c>
      <c r="CG82" s="29">
        <f t="shared" ca="1" si="47"/>
        <v>0</v>
      </c>
      <c r="CH82" s="29">
        <f t="shared" ca="1" si="47"/>
        <v>0</v>
      </c>
    </row>
    <row r="83" spans="2:86" ht="13">
      <c r="B83" s="15" t="str">
        <f t="shared" si="23"/>
        <v>Cumulative Committed Capital from LPs</v>
      </c>
      <c r="D83" s="15" t="s">
        <v>247</v>
      </c>
      <c r="E83" s="29">
        <f t="shared" si="13"/>
        <v>25000000</v>
      </c>
      <c r="F83" s="29"/>
      <c r="G83" s="29">
        <f t="shared" ref="G83:CH83" si="48">F83+G54</f>
        <v>25000000</v>
      </c>
      <c r="H83" s="29">
        <f t="shared" si="48"/>
        <v>25000000</v>
      </c>
      <c r="I83" s="29">
        <f t="shared" si="48"/>
        <v>25000000</v>
      </c>
      <c r="J83" s="29">
        <f t="shared" si="48"/>
        <v>25000000</v>
      </c>
      <c r="K83" s="29">
        <f t="shared" si="48"/>
        <v>25000000</v>
      </c>
      <c r="L83" s="29">
        <f t="shared" si="48"/>
        <v>25000000</v>
      </c>
      <c r="M83" s="29">
        <f t="shared" si="48"/>
        <v>25000000</v>
      </c>
      <c r="N83" s="29">
        <f t="shared" si="48"/>
        <v>25000000</v>
      </c>
      <c r="O83" s="29">
        <f t="shared" si="48"/>
        <v>25000000</v>
      </c>
      <c r="P83" s="29">
        <f t="shared" si="48"/>
        <v>25000000</v>
      </c>
      <c r="Q83" s="29">
        <f t="shared" si="48"/>
        <v>25000000</v>
      </c>
      <c r="R83" s="29">
        <f t="shared" si="48"/>
        <v>25000000</v>
      </c>
      <c r="S83" s="29">
        <f t="shared" si="48"/>
        <v>25000000</v>
      </c>
      <c r="T83" s="29">
        <f t="shared" si="48"/>
        <v>25000000</v>
      </c>
      <c r="U83" s="29">
        <f t="shared" si="48"/>
        <v>25000000</v>
      </c>
      <c r="V83" s="29">
        <f t="shared" si="48"/>
        <v>25000000</v>
      </c>
      <c r="W83" s="29">
        <f t="shared" si="48"/>
        <v>25000000</v>
      </c>
      <c r="X83" s="29">
        <f t="shared" si="48"/>
        <v>25000000</v>
      </c>
      <c r="Y83" s="29">
        <f t="shared" si="48"/>
        <v>25000000</v>
      </c>
      <c r="Z83" s="29">
        <f t="shared" si="48"/>
        <v>25000000</v>
      </c>
      <c r="AA83" s="29">
        <f t="shared" si="48"/>
        <v>25000000</v>
      </c>
      <c r="AB83" s="29">
        <f t="shared" si="48"/>
        <v>25000000</v>
      </c>
      <c r="AC83" s="29">
        <f t="shared" si="48"/>
        <v>25000000</v>
      </c>
      <c r="AD83" s="29">
        <f t="shared" si="48"/>
        <v>25000000</v>
      </c>
      <c r="AE83" s="29">
        <f t="shared" si="48"/>
        <v>25000000</v>
      </c>
      <c r="AF83" s="29">
        <f t="shared" si="48"/>
        <v>25000000</v>
      </c>
      <c r="AG83" s="29">
        <f t="shared" si="48"/>
        <v>25000000</v>
      </c>
      <c r="AH83" s="29">
        <f t="shared" si="48"/>
        <v>25000000</v>
      </c>
      <c r="AI83" s="29">
        <f t="shared" si="48"/>
        <v>25000000</v>
      </c>
      <c r="AJ83" s="29">
        <f t="shared" si="48"/>
        <v>25000000</v>
      </c>
      <c r="AK83" s="29">
        <f t="shared" si="48"/>
        <v>25000000</v>
      </c>
      <c r="AL83" s="29">
        <f t="shared" si="48"/>
        <v>25000000</v>
      </c>
      <c r="AM83" s="29">
        <f t="shared" si="48"/>
        <v>25000000</v>
      </c>
      <c r="AN83" s="29">
        <f t="shared" si="48"/>
        <v>25000000</v>
      </c>
      <c r="AO83" s="29">
        <f t="shared" si="48"/>
        <v>25000000</v>
      </c>
      <c r="AP83" s="29">
        <f t="shared" si="48"/>
        <v>25000000</v>
      </c>
      <c r="AQ83" s="29">
        <f t="shared" si="48"/>
        <v>25000000</v>
      </c>
      <c r="AR83" s="29">
        <f t="shared" si="48"/>
        <v>25000000</v>
      </c>
      <c r="AS83" s="29">
        <f t="shared" si="48"/>
        <v>25000000</v>
      </c>
      <c r="AT83" s="29">
        <f t="shared" si="48"/>
        <v>25000000</v>
      </c>
      <c r="AU83" s="29">
        <f t="shared" si="48"/>
        <v>25000000</v>
      </c>
      <c r="AV83" s="29">
        <f t="shared" si="48"/>
        <v>25000000</v>
      </c>
      <c r="AW83" s="29">
        <f t="shared" si="48"/>
        <v>25000000</v>
      </c>
      <c r="AX83" s="29">
        <f t="shared" si="48"/>
        <v>25000000</v>
      </c>
      <c r="AY83" s="29">
        <f t="shared" si="48"/>
        <v>25000000</v>
      </c>
      <c r="AZ83" s="29">
        <f t="shared" si="48"/>
        <v>25000000</v>
      </c>
      <c r="BA83" s="29">
        <f t="shared" si="48"/>
        <v>25000000</v>
      </c>
      <c r="BB83" s="29">
        <f t="shared" si="48"/>
        <v>25000000</v>
      </c>
      <c r="BC83" s="29">
        <f t="shared" si="48"/>
        <v>25000000</v>
      </c>
      <c r="BD83" s="29">
        <f t="shared" si="48"/>
        <v>25000000</v>
      </c>
      <c r="BE83" s="29">
        <f t="shared" si="48"/>
        <v>25000000</v>
      </c>
      <c r="BF83" s="29">
        <f t="shared" si="48"/>
        <v>25000000</v>
      </c>
      <c r="BG83" s="29">
        <f t="shared" si="48"/>
        <v>25000000</v>
      </c>
      <c r="BH83" s="29">
        <f t="shared" si="48"/>
        <v>25000000</v>
      </c>
      <c r="BI83" s="29">
        <f t="shared" si="48"/>
        <v>25000000</v>
      </c>
      <c r="BJ83" s="29">
        <f t="shared" si="48"/>
        <v>25000000</v>
      </c>
      <c r="BK83" s="29">
        <f t="shared" si="48"/>
        <v>25000000</v>
      </c>
      <c r="BL83" s="29">
        <f t="shared" si="48"/>
        <v>25000000</v>
      </c>
      <c r="BM83" s="29">
        <f t="shared" si="48"/>
        <v>25000000</v>
      </c>
      <c r="BN83" s="29">
        <f t="shared" si="48"/>
        <v>25000000</v>
      </c>
      <c r="BO83" s="29">
        <f t="shared" si="48"/>
        <v>25000000</v>
      </c>
      <c r="BP83" s="29">
        <f t="shared" si="48"/>
        <v>25000000</v>
      </c>
      <c r="BQ83" s="29">
        <f t="shared" si="48"/>
        <v>25000000</v>
      </c>
      <c r="BR83" s="29">
        <f t="shared" si="48"/>
        <v>25000000</v>
      </c>
      <c r="BS83" s="29">
        <f t="shared" si="48"/>
        <v>25000000</v>
      </c>
      <c r="BT83" s="29">
        <f t="shared" si="48"/>
        <v>25000000</v>
      </c>
      <c r="BU83" s="29">
        <f t="shared" si="48"/>
        <v>25000000</v>
      </c>
      <c r="BV83" s="29">
        <f t="shared" si="48"/>
        <v>25000000</v>
      </c>
      <c r="BW83" s="29">
        <f t="shared" si="48"/>
        <v>25000000</v>
      </c>
      <c r="BX83" s="29">
        <f t="shared" si="48"/>
        <v>25000000</v>
      </c>
      <c r="BY83" s="29">
        <f t="shared" si="48"/>
        <v>25000000</v>
      </c>
      <c r="BZ83" s="29">
        <f t="shared" si="48"/>
        <v>25000000</v>
      </c>
      <c r="CA83" s="29">
        <f t="shared" si="48"/>
        <v>25000000</v>
      </c>
      <c r="CB83" s="29">
        <f t="shared" si="48"/>
        <v>25000000</v>
      </c>
      <c r="CC83" s="29">
        <f t="shared" si="48"/>
        <v>25000000</v>
      </c>
      <c r="CD83" s="29">
        <f t="shared" si="48"/>
        <v>25000000</v>
      </c>
      <c r="CE83" s="29">
        <f t="shared" si="48"/>
        <v>25000000</v>
      </c>
      <c r="CF83" s="29">
        <f t="shared" si="48"/>
        <v>25000000</v>
      </c>
      <c r="CG83" s="29">
        <f t="shared" si="48"/>
        <v>25000000</v>
      </c>
      <c r="CH83" s="29">
        <f t="shared" si="48"/>
        <v>25000000</v>
      </c>
    </row>
    <row r="84" spans="2:86" ht="13">
      <c r="B84" s="15" t="str">
        <f t="shared" si="23"/>
        <v>Cumulative Called Capital from LPs</v>
      </c>
      <c r="D84" s="15" t="s">
        <v>247</v>
      </c>
      <c r="E84" s="29">
        <f t="shared" ca="1" si="13"/>
        <v>25000000</v>
      </c>
      <c r="F84" s="29"/>
      <c r="G84" s="29">
        <f t="shared" ref="G84:CH84" ca="1" si="49">F84+G55</f>
        <v>1444375</v>
      </c>
      <c r="H84" s="29">
        <f t="shared" ca="1" si="49"/>
        <v>2788750</v>
      </c>
      <c r="I84" s="29">
        <f t="shared" ca="1" si="49"/>
        <v>4133125</v>
      </c>
      <c r="J84" s="29">
        <f t="shared" ca="1" si="49"/>
        <v>5477500</v>
      </c>
      <c r="K84" s="29">
        <f t="shared" ca="1" si="49"/>
        <v>6821875</v>
      </c>
      <c r="L84" s="29">
        <f t="shared" ca="1" si="49"/>
        <v>8166250</v>
      </c>
      <c r="M84" s="29">
        <f t="shared" ca="1" si="49"/>
        <v>9510625</v>
      </c>
      <c r="N84" s="29">
        <f t="shared" ca="1" si="49"/>
        <v>10855000</v>
      </c>
      <c r="O84" s="29">
        <f t="shared" ca="1" si="49"/>
        <v>12199375</v>
      </c>
      <c r="P84" s="29">
        <f t="shared" ca="1" si="49"/>
        <v>13543750</v>
      </c>
      <c r="Q84" s="29">
        <f t="shared" ca="1" si="49"/>
        <v>14888125</v>
      </c>
      <c r="R84" s="29">
        <f t="shared" ca="1" si="49"/>
        <v>16232500</v>
      </c>
      <c r="S84" s="29">
        <f t="shared" ca="1" si="49"/>
        <v>17576875</v>
      </c>
      <c r="T84" s="29">
        <f t="shared" ca="1" si="49"/>
        <v>18921250</v>
      </c>
      <c r="U84" s="29">
        <f t="shared" ca="1" si="49"/>
        <v>20265625</v>
      </c>
      <c r="V84" s="29">
        <f t="shared" ca="1" si="49"/>
        <v>21610000</v>
      </c>
      <c r="W84" s="29">
        <f t="shared" ca="1" si="49"/>
        <v>21751250</v>
      </c>
      <c r="X84" s="29">
        <f t="shared" ca="1" si="49"/>
        <v>21892500</v>
      </c>
      <c r="Y84" s="29">
        <f t="shared" ca="1" si="49"/>
        <v>22033750</v>
      </c>
      <c r="Z84" s="29">
        <f t="shared" ca="1" si="49"/>
        <v>22175000</v>
      </c>
      <c r="AA84" s="29">
        <f t="shared" ca="1" si="49"/>
        <v>22316250</v>
      </c>
      <c r="AB84" s="29">
        <f t="shared" ca="1" si="49"/>
        <v>22457500</v>
      </c>
      <c r="AC84" s="29">
        <f t="shared" ca="1" si="49"/>
        <v>22598750</v>
      </c>
      <c r="AD84" s="29">
        <f t="shared" ca="1" si="49"/>
        <v>22740000</v>
      </c>
      <c r="AE84" s="29">
        <f t="shared" ca="1" si="49"/>
        <v>22881250</v>
      </c>
      <c r="AF84" s="29">
        <f t="shared" ca="1" si="49"/>
        <v>23022500</v>
      </c>
      <c r="AG84" s="29">
        <f t="shared" ca="1" si="49"/>
        <v>23163750</v>
      </c>
      <c r="AH84" s="29">
        <f t="shared" ca="1" si="49"/>
        <v>23305000</v>
      </c>
      <c r="AI84" s="29">
        <f t="shared" ca="1" si="49"/>
        <v>23446250</v>
      </c>
      <c r="AJ84" s="29">
        <f t="shared" ca="1" si="49"/>
        <v>23587500</v>
      </c>
      <c r="AK84" s="29">
        <f t="shared" ca="1" si="49"/>
        <v>23728750</v>
      </c>
      <c r="AL84" s="29">
        <f t="shared" ca="1" si="49"/>
        <v>23870000</v>
      </c>
      <c r="AM84" s="29">
        <f t="shared" ca="1" si="49"/>
        <v>24011250</v>
      </c>
      <c r="AN84" s="29">
        <f t="shared" ca="1" si="49"/>
        <v>24152500</v>
      </c>
      <c r="AO84" s="29">
        <f t="shared" ca="1" si="49"/>
        <v>24293750</v>
      </c>
      <c r="AP84" s="29">
        <f t="shared" ca="1" si="49"/>
        <v>24435000</v>
      </c>
      <c r="AQ84" s="29">
        <f t="shared" ca="1" si="49"/>
        <v>24576250</v>
      </c>
      <c r="AR84" s="29">
        <f t="shared" ca="1" si="49"/>
        <v>24717500</v>
      </c>
      <c r="AS84" s="29">
        <f t="shared" ca="1" si="49"/>
        <v>24858750</v>
      </c>
      <c r="AT84" s="29">
        <f t="shared" ca="1" si="49"/>
        <v>25000000</v>
      </c>
      <c r="AU84" s="29">
        <f t="shared" ca="1" si="49"/>
        <v>25000000</v>
      </c>
      <c r="AV84" s="29">
        <f t="shared" ca="1" si="49"/>
        <v>25000000</v>
      </c>
      <c r="AW84" s="29">
        <f t="shared" ca="1" si="49"/>
        <v>25000000</v>
      </c>
      <c r="AX84" s="29">
        <f t="shared" ca="1" si="49"/>
        <v>25000000</v>
      </c>
      <c r="AY84" s="29">
        <f t="shared" ca="1" si="49"/>
        <v>25000000</v>
      </c>
      <c r="AZ84" s="29">
        <f t="shared" ca="1" si="49"/>
        <v>25000000</v>
      </c>
      <c r="BA84" s="29">
        <f t="shared" ca="1" si="49"/>
        <v>25000000</v>
      </c>
      <c r="BB84" s="29">
        <f t="shared" ca="1" si="49"/>
        <v>25000000</v>
      </c>
      <c r="BC84" s="29">
        <f t="shared" ca="1" si="49"/>
        <v>25000000</v>
      </c>
      <c r="BD84" s="29">
        <f t="shared" ca="1" si="49"/>
        <v>25000000</v>
      </c>
      <c r="BE84" s="29">
        <f t="shared" ca="1" si="49"/>
        <v>25000000</v>
      </c>
      <c r="BF84" s="29">
        <f t="shared" ca="1" si="49"/>
        <v>25000000</v>
      </c>
      <c r="BG84" s="29">
        <f t="shared" ca="1" si="49"/>
        <v>25000000</v>
      </c>
      <c r="BH84" s="29">
        <f t="shared" ca="1" si="49"/>
        <v>25000000</v>
      </c>
      <c r="BI84" s="29">
        <f t="shared" ca="1" si="49"/>
        <v>25000000</v>
      </c>
      <c r="BJ84" s="29">
        <f t="shared" ca="1" si="49"/>
        <v>25000000</v>
      </c>
      <c r="BK84" s="29">
        <f t="shared" ca="1" si="49"/>
        <v>25000000</v>
      </c>
      <c r="BL84" s="29">
        <f t="shared" ca="1" si="49"/>
        <v>25000000</v>
      </c>
      <c r="BM84" s="29">
        <f t="shared" ca="1" si="49"/>
        <v>25000000</v>
      </c>
      <c r="BN84" s="29">
        <f t="shared" ca="1" si="49"/>
        <v>25000000</v>
      </c>
      <c r="BO84" s="29">
        <f t="shared" ca="1" si="49"/>
        <v>25000000</v>
      </c>
      <c r="BP84" s="29">
        <f t="shared" ca="1" si="49"/>
        <v>25000000</v>
      </c>
      <c r="BQ84" s="29">
        <f t="shared" ca="1" si="49"/>
        <v>25000000</v>
      </c>
      <c r="BR84" s="29">
        <f t="shared" ca="1" si="49"/>
        <v>25000000</v>
      </c>
      <c r="BS84" s="29">
        <f t="shared" ca="1" si="49"/>
        <v>25000000</v>
      </c>
      <c r="BT84" s="29">
        <f t="shared" ca="1" si="49"/>
        <v>25000000</v>
      </c>
      <c r="BU84" s="29">
        <f t="shared" ca="1" si="49"/>
        <v>25000000</v>
      </c>
      <c r="BV84" s="29">
        <f t="shared" ca="1" si="49"/>
        <v>25000000</v>
      </c>
      <c r="BW84" s="29">
        <f t="shared" ca="1" si="49"/>
        <v>25000000</v>
      </c>
      <c r="BX84" s="29">
        <f t="shared" ca="1" si="49"/>
        <v>25000000</v>
      </c>
      <c r="BY84" s="29">
        <f t="shared" ca="1" si="49"/>
        <v>25000000</v>
      </c>
      <c r="BZ84" s="29">
        <f t="shared" ca="1" si="49"/>
        <v>25000000</v>
      </c>
      <c r="CA84" s="29">
        <f t="shared" ca="1" si="49"/>
        <v>25000000</v>
      </c>
      <c r="CB84" s="29">
        <f t="shared" ca="1" si="49"/>
        <v>25000000</v>
      </c>
      <c r="CC84" s="29">
        <f t="shared" ca="1" si="49"/>
        <v>25000000</v>
      </c>
      <c r="CD84" s="29">
        <f t="shared" ca="1" si="49"/>
        <v>25000000</v>
      </c>
      <c r="CE84" s="29">
        <f t="shared" ca="1" si="49"/>
        <v>25000000</v>
      </c>
      <c r="CF84" s="29">
        <f t="shared" ca="1" si="49"/>
        <v>25000000</v>
      </c>
      <c r="CG84" s="29">
        <f t="shared" ca="1" si="49"/>
        <v>25000000</v>
      </c>
      <c r="CH84" s="29">
        <f t="shared" ca="1" si="49"/>
        <v>25000000</v>
      </c>
    </row>
    <row r="85" spans="2:86" ht="13">
      <c r="B85" s="15" t="str">
        <f t="shared" si="23"/>
        <v>Cumulative Change in Invested Capital, from LPs</v>
      </c>
      <c r="D85" s="15" t="s">
        <v>247</v>
      </c>
      <c r="E85" s="29">
        <f t="shared" ca="1" si="13"/>
        <v>-4.7730281949043274E-9</v>
      </c>
      <c r="F85" s="29"/>
      <c r="G85" s="29">
        <f t="shared" ref="G85:CH85" ca="1" si="50">F85+G56</f>
        <v>1203125</v>
      </c>
      <c r="H85" s="29">
        <f t="shared" ca="1" si="50"/>
        <v>2406250</v>
      </c>
      <c r="I85" s="29">
        <f t="shared" ca="1" si="50"/>
        <v>3609375</v>
      </c>
      <c r="J85" s="29">
        <f t="shared" ca="1" si="50"/>
        <v>4812500</v>
      </c>
      <c r="K85" s="29">
        <f t="shared" ca="1" si="50"/>
        <v>6015625</v>
      </c>
      <c r="L85" s="29">
        <f t="shared" ca="1" si="50"/>
        <v>7218750</v>
      </c>
      <c r="M85" s="29">
        <f t="shared" ca="1" si="50"/>
        <v>8421875</v>
      </c>
      <c r="N85" s="29">
        <f t="shared" ca="1" si="50"/>
        <v>9625000</v>
      </c>
      <c r="O85" s="29">
        <f t="shared" ca="1" si="50"/>
        <v>10146354.166666666</v>
      </c>
      <c r="P85" s="29">
        <f t="shared" ca="1" si="50"/>
        <v>10667708.333333332</v>
      </c>
      <c r="Q85" s="29">
        <f t="shared" ca="1" si="50"/>
        <v>11189062.499999998</v>
      </c>
      <c r="R85" s="29">
        <f t="shared" ca="1" si="50"/>
        <v>11710416.666666664</v>
      </c>
      <c r="S85" s="29">
        <f t="shared" ca="1" si="50"/>
        <v>12231770.83333333</v>
      </c>
      <c r="T85" s="29">
        <f t="shared" ca="1" si="50"/>
        <v>12753124.999999996</v>
      </c>
      <c r="U85" s="29">
        <f t="shared" ca="1" si="50"/>
        <v>13274479.166666662</v>
      </c>
      <c r="V85" s="29">
        <f t="shared" ca="1" si="50"/>
        <v>13795833.333333328</v>
      </c>
      <c r="W85" s="29">
        <f t="shared" ca="1" si="50"/>
        <v>12833333.333333328</v>
      </c>
      <c r="X85" s="29">
        <f t="shared" ca="1" si="50"/>
        <v>11870833.333333328</v>
      </c>
      <c r="Y85" s="29">
        <f t="shared" ca="1" si="50"/>
        <v>10908333.333333328</v>
      </c>
      <c r="Z85" s="29">
        <f t="shared" ca="1" si="50"/>
        <v>9945833.3333333284</v>
      </c>
      <c r="AA85" s="29">
        <f t="shared" ca="1" si="50"/>
        <v>8869704.8611111064</v>
      </c>
      <c r="AB85" s="29">
        <f t="shared" ca="1" si="50"/>
        <v>7793576.3888888843</v>
      </c>
      <c r="AC85" s="29">
        <f t="shared" ca="1" si="50"/>
        <v>6717447.9166666623</v>
      </c>
      <c r="AD85" s="29">
        <f t="shared" ca="1" si="50"/>
        <v>5641319.4444444403</v>
      </c>
      <c r="AE85" s="29">
        <f t="shared" ca="1" si="50"/>
        <v>5086545.1388888843</v>
      </c>
      <c r="AF85" s="29">
        <f t="shared" ca="1" si="50"/>
        <v>4531770.8333333284</v>
      </c>
      <c r="AG85" s="29">
        <f t="shared" ca="1" si="50"/>
        <v>3976996.5277777729</v>
      </c>
      <c r="AH85" s="29">
        <f t="shared" ca="1" si="50"/>
        <v>3422222.2222222174</v>
      </c>
      <c r="AI85" s="29">
        <f t="shared" ca="1" si="50"/>
        <v>3088020.8333333284</v>
      </c>
      <c r="AJ85" s="29">
        <f t="shared" ca="1" si="50"/>
        <v>2753819.4444444394</v>
      </c>
      <c r="AK85" s="29">
        <f t="shared" ca="1" si="50"/>
        <v>2419618.0555555504</v>
      </c>
      <c r="AL85" s="29">
        <f t="shared" ca="1" si="50"/>
        <v>2085416.6666666614</v>
      </c>
      <c r="AM85" s="29">
        <f t="shared" ca="1" si="50"/>
        <v>1844791.6666666614</v>
      </c>
      <c r="AN85" s="29">
        <f t="shared" ca="1" si="50"/>
        <v>1604166.6666666614</v>
      </c>
      <c r="AO85" s="29">
        <f t="shared" ca="1" si="50"/>
        <v>1363541.6666666614</v>
      </c>
      <c r="AP85" s="29">
        <f t="shared" ca="1" si="50"/>
        <v>1122916.6666666614</v>
      </c>
      <c r="AQ85" s="29">
        <f t="shared" ca="1" si="50"/>
        <v>842187.49999999488</v>
      </c>
      <c r="AR85" s="29">
        <f t="shared" ca="1" si="50"/>
        <v>561458.33333332837</v>
      </c>
      <c r="AS85" s="29">
        <f t="shared" ca="1" si="50"/>
        <v>280729.1666666618</v>
      </c>
      <c r="AT85" s="29">
        <f t="shared" ca="1" si="50"/>
        <v>-4.7730281949043274E-9</v>
      </c>
      <c r="AU85" s="29">
        <f t="shared" ca="1" si="50"/>
        <v>-4.7730281949043274E-9</v>
      </c>
      <c r="AV85" s="29">
        <f t="shared" ca="1" si="50"/>
        <v>-4.7730281949043274E-9</v>
      </c>
      <c r="AW85" s="29">
        <f t="shared" ca="1" si="50"/>
        <v>-4.7730281949043274E-9</v>
      </c>
      <c r="AX85" s="29">
        <f t="shared" ca="1" si="50"/>
        <v>-4.7730281949043274E-9</v>
      </c>
      <c r="AY85" s="29">
        <f t="shared" ca="1" si="50"/>
        <v>-4.7730281949043274E-9</v>
      </c>
      <c r="AZ85" s="29">
        <f t="shared" ca="1" si="50"/>
        <v>-4.7730281949043274E-9</v>
      </c>
      <c r="BA85" s="29">
        <f t="shared" ca="1" si="50"/>
        <v>-4.7730281949043274E-9</v>
      </c>
      <c r="BB85" s="29">
        <f t="shared" ca="1" si="50"/>
        <v>-4.7730281949043274E-9</v>
      </c>
      <c r="BC85" s="29">
        <f t="shared" ca="1" si="50"/>
        <v>-4.7730281949043274E-9</v>
      </c>
      <c r="BD85" s="29">
        <f t="shared" ca="1" si="50"/>
        <v>-4.7730281949043274E-9</v>
      </c>
      <c r="BE85" s="29">
        <f t="shared" ca="1" si="50"/>
        <v>-4.7730281949043274E-9</v>
      </c>
      <c r="BF85" s="29">
        <f t="shared" ca="1" si="50"/>
        <v>-4.7730281949043274E-9</v>
      </c>
      <c r="BG85" s="29">
        <f t="shared" ca="1" si="50"/>
        <v>-4.7730281949043274E-9</v>
      </c>
      <c r="BH85" s="29">
        <f t="shared" ca="1" si="50"/>
        <v>-4.7730281949043274E-9</v>
      </c>
      <c r="BI85" s="29">
        <f t="shared" ca="1" si="50"/>
        <v>-4.7730281949043274E-9</v>
      </c>
      <c r="BJ85" s="29">
        <f t="shared" ca="1" si="50"/>
        <v>-4.7730281949043274E-9</v>
      </c>
      <c r="BK85" s="29">
        <f t="shared" ca="1" si="50"/>
        <v>-4.7730281949043274E-9</v>
      </c>
      <c r="BL85" s="29">
        <f t="shared" ca="1" si="50"/>
        <v>-4.7730281949043274E-9</v>
      </c>
      <c r="BM85" s="29">
        <f t="shared" ca="1" si="50"/>
        <v>-4.7730281949043274E-9</v>
      </c>
      <c r="BN85" s="29">
        <f t="shared" ca="1" si="50"/>
        <v>-4.7730281949043274E-9</v>
      </c>
      <c r="BO85" s="29">
        <f t="shared" ca="1" si="50"/>
        <v>-4.7730281949043274E-9</v>
      </c>
      <c r="BP85" s="29">
        <f t="shared" ca="1" si="50"/>
        <v>-4.7730281949043274E-9</v>
      </c>
      <c r="BQ85" s="29">
        <f t="shared" ca="1" si="50"/>
        <v>-4.7730281949043274E-9</v>
      </c>
      <c r="BR85" s="29">
        <f t="shared" ca="1" si="50"/>
        <v>-4.7730281949043274E-9</v>
      </c>
      <c r="BS85" s="29">
        <f t="shared" ca="1" si="50"/>
        <v>-4.7730281949043274E-9</v>
      </c>
      <c r="BT85" s="29">
        <f t="shared" ca="1" si="50"/>
        <v>-4.7730281949043274E-9</v>
      </c>
      <c r="BU85" s="29">
        <f t="shared" ca="1" si="50"/>
        <v>-4.7730281949043274E-9</v>
      </c>
      <c r="BV85" s="29">
        <f t="shared" ca="1" si="50"/>
        <v>-4.7730281949043274E-9</v>
      </c>
      <c r="BW85" s="29">
        <f t="shared" ca="1" si="50"/>
        <v>-4.7730281949043274E-9</v>
      </c>
      <c r="BX85" s="29">
        <f t="shared" ca="1" si="50"/>
        <v>-4.7730281949043274E-9</v>
      </c>
      <c r="BY85" s="29">
        <f t="shared" ca="1" si="50"/>
        <v>-4.7730281949043274E-9</v>
      </c>
      <c r="BZ85" s="29">
        <f t="shared" ca="1" si="50"/>
        <v>-4.7730281949043274E-9</v>
      </c>
      <c r="CA85" s="29">
        <f t="shared" ca="1" si="50"/>
        <v>-4.7730281949043274E-9</v>
      </c>
      <c r="CB85" s="29">
        <f t="shared" ca="1" si="50"/>
        <v>-4.7730281949043274E-9</v>
      </c>
      <c r="CC85" s="29">
        <f t="shared" ca="1" si="50"/>
        <v>-4.7730281949043274E-9</v>
      </c>
      <c r="CD85" s="29">
        <f t="shared" ca="1" si="50"/>
        <v>-4.7730281949043274E-9</v>
      </c>
      <c r="CE85" s="29">
        <f t="shared" ca="1" si="50"/>
        <v>-4.7730281949043274E-9</v>
      </c>
      <c r="CF85" s="29">
        <f t="shared" ca="1" si="50"/>
        <v>-4.7730281949043274E-9</v>
      </c>
      <c r="CG85" s="29">
        <f t="shared" ca="1" si="50"/>
        <v>-4.7730281949043274E-9</v>
      </c>
      <c r="CH85" s="29">
        <f t="shared" ca="1" si="50"/>
        <v>-4.7730281949043274E-9</v>
      </c>
    </row>
    <row r="86" spans="2:86" ht="13">
      <c r="B86" s="15" t="str">
        <f t="shared" si="23"/>
        <v>Cumulative Distributions to LPs</v>
      </c>
      <c r="D86" s="15" t="s">
        <v>247</v>
      </c>
      <c r="E86" s="29">
        <f t="shared" ca="1" si="13"/>
        <v>185846791.66666669</v>
      </c>
      <c r="F86" s="29"/>
      <c r="G86" s="29">
        <f t="shared" ref="G86:CH86" ca="1" si="51">F86+G57</f>
        <v>0</v>
      </c>
      <c r="H86" s="29">
        <f t="shared" ca="1" si="51"/>
        <v>0</v>
      </c>
      <c r="I86" s="29">
        <f t="shared" ca="1" si="51"/>
        <v>0</v>
      </c>
      <c r="J86" s="29">
        <f t="shared" ca="1" si="51"/>
        <v>0</v>
      </c>
      <c r="K86" s="29">
        <f t="shared" ca="1" si="51"/>
        <v>0</v>
      </c>
      <c r="L86" s="29">
        <f t="shared" ca="1" si="51"/>
        <v>0</v>
      </c>
      <c r="M86" s="29">
        <f t="shared" ca="1" si="51"/>
        <v>0</v>
      </c>
      <c r="N86" s="29">
        <f t="shared" ca="1" si="51"/>
        <v>0</v>
      </c>
      <c r="O86" s="29">
        <f t="shared" ca="1" si="51"/>
        <v>0</v>
      </c>
      <c r="P86" s="29">
        <f t="shared" ca="1" si="51"/>
        <v>0</v>
      </c>
      <c r="Q86" s="29">
        <f t="shared" ca="1" si="51"/>
        <v>0</v>
      </c>
      <c r="R86" s="29">
        <f t="shared" ca="1" si="51"/>
        <v>0</v>
      </c>
      <c r="S86" s="29">
        <f t="shared" ca="1" si="51"/>
        <v>793902.08333333384</v>
      </c>
      <c r="T86" s="29">
        <f t="shared" ca="1" si="51"/>
        <v>1587804.1666666677</v>
      </c>
      <c r="U86" s="29">
        <f t="shared" ca="1" si="51"/>
        <v>2381706.2500000014</v>
      </c>
      <c r="V86" s="29">
        <f t="shared" ca="1" si="51"/>
        <v>3175608.3333333354</v>
      </c>
      <c r="W86" s="29">
        <f t="shared" ca="1" si="51"/>
        <v>5651639.5833333358</v>
      </c>
      <c r="X86" s="29">
        <f t="shared" ca="1" si="51"/>
        <v>8127670.8333333367</v>
      </c>
      <c r="Y86" s="29">
        <f t="shared" ca="1" si="51"/>
        <v>10603702.083333338</v>
      </c>
      <c r="Z86" s="29">
        <f t="shared" ca="1" si="51"/>
        <v>12933386.666666672</v>
      </c>
      <c r="AA86" s="29">
        <f t="shared" ca="1" si="51"/>
        <v>15177178.33333334</v>
      </c>
      <c r="AB86" s="29">
        <f t="shared" ca="1" si="51"/>
        <v>17420970.000000007</v>
      </c>
      <c r="AC86" s="29">
        <f t="shared" ca="1" si="51"/>
        <v>19664761.666666675</v>
      </c>
      <c r="AD86" s="29">
        <f t="shared" ca="1" si="51"/>
        <v>21908553.333333343</v>
      </c>
      <c r="AE86" s="29">
        <f t="shared" ca="1" si="51"/>
        <v>33070712.500000007</v>
      </c>
      <c r="AF86" s="29">
        <f t="shared" ca="1" si="51"/>
        <v>44232871.666666672</v>
      </c>
      <c r="AG86" s="29">
        <f t="shared" ca="1" si="51"/>
        <v>55395030.833333336</v>
      </c>
      <c r="AH86" s="29">
        <f t="shared" ca="1" si="51"/>
        <v>66557190</v>
      </c>
      <c r="AI86" s="29">
        <f t="shared" ca="1" si="51"/>
        <v>76939146.666666672</v>
      </c>
      <c r="AJ86" s="29">
        <f t="shared" ca="1" si="51"/>
        <v>87321103.333333343</v>
      </c>
      <c r="AK86" s="29">
        <f t="shared" ca="1" si="51"/>
        <v>97703060.000000015</v>
      </c>
      <c r="AL86" s="29">
        <f t="shared" ca="1" si="51"/>
        <v>108085016.66666669</v>
      </c>
      <c r="AM86" s="29">
        <f t="shared" ca="1" si="51"/>
        <v>117057529.16666669</v>
      </c>
      <c r="AN86" s="29">
        <f t="shared" ca="1" si="51"/>
        <v>126030041.66666669</v>
      </c>
      <c r="AO86" s="29">
        <f t="shared" ca="1" si="51"/>
        <v>135002554.16666669</v>
      </c>
      <c r="AP86" s="29">
        <f t="shared" ca="1" si="51"/>
        <v>143975066.66666669</v>
      </c>
      <c r="AQ86" s="29">
        <f t="shared" ca="1" si="51"/>
        <v>154442997.91666669</v>
      </c>
      <c r="AR86" s="29">
        <f t="shared" ca="1" si="51"/>
        <v>164910929.16666669</v>
      </c>
      <c r="AS86" s="29">
        <f t="shared" ca="1" si="51"/>
        <v>175378860.41666669</v>
      </c>
      <c r="AT86" s="29">
        <f t="shared" ca="1" si="51"/>
        <v>185846791.66666669</v>
      </c>
      <c r="AU86" s="29">
        <f t="shared" ca="1" si="51"/>
        <v>185846791.66666669</v>
      </c>
      <c r="AV86" s="29">
        <f t="shared" ca="1" si="51"/>
        <v>185846791.66666669</v>
      </c>
      <c r="AW86" s="29">
        <f t="shared" ca="1" si="51"/>
        <v>185846791.66666669</v>
      </c>
      <c r="AX86" s="29">
        <f t="shared" ca="1" si="51"/>
        <v>185846791.66666669</v>
      </c>
      <c r="AY86" s="29">
        <f t="shared" ca="1" si="51"/>
        <v>185846791.66666669</v>
      </c>
      <c r="AZ86" s="29">
        <f t="shared" ca="1" si="51"/>
        <v>185846791.66666669</v>
      </c>
      <c r="BA86" s="29">
        <f t="shared" ca="1" si="51"/>
        <v>185846791.66666669</v>
      </c>
      <c r="BB86" s="29">
        <f t="shared" ca="1" si="51"/>
        <v>185846791.66666669</v>
      </c>
      <c r="BC86" s="29">
        <f t="shared" ca="1" si="51"/>
        <v>185846791.66666669</v>
      </c>
      <c r="BD86" s="29">
        <f t="shared" ca="1" si="51"/>
        <v>185846791.66666669</v>
      </c>
      <c r="BE86" s="29">
        <f t="shared" ca="1" si="51"/>
        <v>185846791.66666669</v>
      </c>
      <c r="BF86" s="29">
        <f t="shared" ca="1" si="51"/>
        <v>185846791.66666669</v>
      </c>
      <c r="BG86" s="29">
        <f t="shared" ca="1" si="51"/>
        <v>185846791.66666669</v>
      </c>
      <c r="BH86" s="29">
        <f t="shared" ca="1" si="51"/>
        <v>185846791.66666669</v>
      </c>
      <c r="BI86" s="29">
        <f t="shared" ca="1" si="51"/>
        <v>185846791.66666669</v>
      </c>
      <c r="BJ86" s="29">
        <f t="shared" ca="1" si="51"/>
        <v>185846791.66666669</v>
      </c>
      <c r="BK86" s="29">
        <f t="shared" ca="1" si="51"/>
        <v>185846791.66666669</v>
      </c>
      <c r="BL86" s="29">
        <f t="shared" ca="1" si="51"/>
        <v>185846791.66666669</v>
      </c>
      <c r="BM86" s="29">
        <f t="shared" ca="1" si="51"/>
        <v>185846791.66666669</v>
      </c>
      <c r="BN86" s="29">
        <f t="shared" ca="1" si="51"/>
        <v>185846791.66666669</v>
      </c>
      <c r="BO86" s="29">
        <f t="shared" ca="1" si="51"/>
        <v>185846791.66666669</v>
      </c>
      <c r="BP86" s="29">
        <f t="shared" ca="1" si="51"/>
        <v>185846791.66666669</v>
      </c>
      <c r="BQ86" s="29">
        <f t="shared" ca="1" si="51"/>
        <v>185846791.66666669</v>
      </c>
      <c r="BR86" s="29">
        <f t="shared" ca="1" si="51"/>
        <v>185846791.66666669</v>
      </c>
      <c r="BS86" s="29">
        <f t="shared" ca="1" si="51"/>
        <v>185846791.66666669</v>
      </c>
      <c r="BT86" s="29">
        <f t="shared" ca="1" si="51"/>
        <v>185846791.66666669</v>
      </c>
      <c r="BU86" s="29">
        <f t="shared" ca="1" si="51"/>
        <v>185846791.66666669</v>
      </c>
      <c r="BV86" s="29">
        <f t="shared" ca="1" si="51"/>
        <v>185846791.66666669</v>
      </c>
      <c r="BW86" s="29">
        <f t="shared" ca="1" si="51"/>
        <v>185846791.66666669</v>
      </c>
      <c r="BX86" s="29">
        <f t="shared" ca="1" si="51"/>
        <v>185846791.66666669</v>
      </c>
      <c r="BY86" s="29">
        <f t="shared" ca="1" si="51"/>
        <v>185846791.66666669</v>
      </c>
      <c r="BZ86" s="29">
        <f t="shared" ca="1" si="51"/>
        <v>185846791.66666669</v>
      </c>
      <c r="CA86" s="29">
        <f t="shared" ca="1" si="51"/>
        <v>185846791.66666669</v>
      </c>
      <c r="CB86" s="29">
        <f t="shared" ca="1" si="51"/>
        <v>185846791.66666669</v>
      </c>
      <c r="CC86" s="29">
        <f t="shared" ca="1" si="51"/>
        <v>185846791.66666669</v>
      </c>
      <c r="CD86" s="29">
        <f t="shared" ca="1" si="51"/>
        <v>185846791.66666669</v>
      </c>
      <c r="CE86" s="29">
        <f t="shared" ca="1" si="51"/>
        <v>185846791.66666669</v>
      </c>
      <c r="CF86" s="29">
        <f t="shared" ca="1" si="51"/>
        <v>185846791.66666669</v>
      </c>
      <c r="CG86" s="29">
        <f t="shared" ca="1" si="51"/>
        <v>185846791.66666669</v>
      </c>
      <c r="CH86" s="29">
        <f t="shared" ca="1" si="51"/>
        <v>185846791.66666669</v>
      </c>
    </row>
    <row r="87" spans="2:86" ht="13">
      <c r="B87" s="15" t="str">
        <f t="shared" si="23"/>
        <v>Cumulative Distributions to GPs</v>
      </c>
      <c r="D87" s="15" t="s">
        <v>247</v>
      </c>
      <c r="E87" s="29">
        <f t="shared" ca="1" si="13"/>
        <v>44952687.499999993</v>
      </c>
      <c r="F87" s="29"/>
      <c r="G87" s="29">
        <f t="shared" ref="G87:CH87" ca="1" si="52">F87+G58</f>
        <v>0</v>
      </c>
      <c r="H87" s="29">
        <f t="shared" ca="1" si="52"/>
        <v>0</v>
      </c>
      <c r="I87" s="29">
        <f t="shared" ca="1" si="52"/>
        <v>0</v>
      </c>
      <c r="J87" s="29">
        <f t="shared" ca="1" si="52"/>
        <v>0</v>
      </c>
      <c r="K87" s="29">
        <f t="shared" ca="1" si="52"/>
        <v>0</v>
      </c>
      <c r="L87" s="29">
        <f t="shared" ca="1" si="52"/>
        <v>0</v>
      </c>
      <c r="M87" s="29">
        <f t="shared" ca="1" si="52"/>
        <v>0</v>
      </c>
      <c r="N87" s="29">
        <f t="shared" ca="1" si="52"/>
        <v>0</v>
      </c>
      <c r="O87" s="29">
        <f t="shared" ca="1" si="52"/>
        <v>0</v>
      </c>
      <c r="P87" s="29">
        <f t="shared" ca="1" si="52"/>
        <v>0</v>
      </c>
      <c r="Q87" s="29">
        <f t="shared" ca="1" si="52"/>
        <v>0</v>
      </c>
      <c r="R87" s="29">
        <f t="shared" ca="1" si="52"/>
        <v>0</v>
      </c>
      <c r="S87" s="29">
        <f t="shared" ca="1" si="52"/>
        <v>16202.083333333345</v>
      </c>
      <c r="T87" s="29">
        <f t="shared" ca="1" si="52"/>
        <v>32404.16666666669</v>
      </c>
      <c r="U87" s="29">
        <f t="shared" ca="1" si="52"/>
        <v>48606.250000000036</v>
      </c>
      <c r="V87" s="29">
        <f t="shared" ca="1" si="52"/>
        <v>64808.333333333379</v>
      </c>
      <c r="W87" s="29">
        <f t="shared" ca="1" si="52"/>
        <v>115339.5833333334</v>
      </c>
      <c r="X87" s="29">
        <f t="shared" ca="1" si="52"/>
        <v>165870.83333333343</v>
      </c>
      <c r="Y87" s="29">
        <f t="shared" ca="1" si="52"/>
        <v>216402.08333333346</v>
      </c>
      <c r="Z87" s="29">
        <f t="shared" ca="1" si="52"/>
        <v>413280.00000000093</v>
      </c>
      <c r="AA87" s="29">
        <f t="shared" ca="1" si="52"/>
        <v>696050.83333333465</v>
      </c>
      <c r="AB87" s="29">
        <f t="shared" ca="1" si="52"/>
        <v>978821.66666666837</v>
      </c>
      <c r="AC87" s="29">
        <f t="shared" ca="1" si="52"/>
        <v>1261592.5000000021</v>
      </c>
      <c r="AD87" s="29">
        <f t="shared" ca="1" si="52"/>
        <v>1544363.3333333354</v>
      </c>
      <c r="AE87" s="29">
        <f t="shared" ca="1" si="52"/>
        <v>4446735.4166666679</v>
      </c>
      <c r="AF87" s="29">
        <f t="shared" ca="1" si="52"/>
        <v>7349107.5</v>
      </c>
      <c r="AG87" s="29">
        <f t="shared" ca="1" si="52"/>
        <v>10251479.583333332</v>
      </c>
      <c r="AH87" s="29">
        <f t="shared" ca="1" si="52"/>
        <v>13153851.666666664</v>
      </c>
      <c r="AI87" s="29">
        <f t="shared" ca="1" si="52"/>
        <v>15910019.999999996</v>
      </c>
      <c r="AJ87" s="29">
        <f t="shared" ca="1" si="52"/>
        <v>18666188.333333328</v>
      </c>
      <c r="AK87" s="29">
        <f t="shared" ca="1" si="52"/>
        <v>21422356.66666666</v>
      </c>
      <c r="AL87" s="29">
        <f t="shared" ca="1" si="52"/>
        <v>24178524.999999993</v>
      </c>
      <c r="AM87" s="29">
        <f t="shared" ca="1" si="52"/>
        <v>26575543.749999993</v>
      </c>
      <c r="AN87" s="29">
        <f t="shared" ca="1" si="52"/>
        <v>28972562.499999993</v>
      </c>
      <c r="AO87" s="29">
        <f t="shared" ca="1" si="52"/>
        <v>31369581.249999993</v>
      </c>
      <c r="AP87" s="29">
        <f t="shared" ca="1" si="52"/>
        <v>33766599.999999993</v>
      </c>
      <c r="AQ87" s="29">
        <f t="shared" ca="1" si="52"/>
        <v>36563121.874999993</v>
      </c>
      <c r="AR87" s="29">
        <f t="shared" ca="1" si="52"/>
        <v>39359643.749999993</v>
      </c>
      <c r="AS87" s="29">
        <f t="shared" ca="1" si="52"/>
        <v>42156165.624999993</v>
      </c>
      <c r="AT87" s="29">
        <f t="shared" ca="1" si="52"/>
        <v>44952687.499999993</v>
      </c>
      <c r="AU87" s="29">
        <f t="shared" ca="1" si="52"/>
        <v>44952687.499999993</v>
      </c>
      <c r="AV87" s="29">
        <f t="shared" ca="1" si="52"/>
        <v>44952687.499999993</v>
      </c>
      <c r="AW87" s="29">
        <f t="shared" ca="1" si="52"/>
        <v>44952687.499999993</v>
      </c>
      <c r="AX87" s="29">
        <f t="shared" ca="1" si="52"/>
        <v>44952687.499999993</v>
      </c>
      <c r="AY87" s="29">
        <f t="shared" ca="1" si="52"/>
        <v>44952687.499999993</v>
      </c>
      <c r="AZ87" s="29">
        <f t="shared" ca="1" si="52"/>
        <v>44952687.499999993</v>
      </c>
      <c r="BA87" s="29">
        <f t="shared" ca="1" si="52"/>
        <v>44952687.499999993</v>
      </c>
      <c r="BB87" s="29">
        <f t="shared" ca="1" si="52"/>
        <v>44952687.499999993</v>
      </c>
      <c r="BC87" s="29">
        <f t="shared" ca="1" si="52"/>
        <v>44952687.499999993</v>
      </c>
      <c r="BD87" s="29">
        <f t="shared" ca="1" si="52"/>
        <v>44952687.499999993</v>
      </c>
      <c r="BE87" s="29">
        <f t="shared" ca="1" si="52"/>
        <v>44952687.499999993</v>
      </c>
      <c r="BF87" s="29">
        <f t="shared" ca="1" si="52"/>
        <v>44952687.499999993</v>
      </c>
      <c r="BG87" s="29">
        <f t="shared" ca="1" si="52"/>
        <v>44952687.499999993</v>
      </c>
      <c r="BH87" s="29">
        <f t="shared" ca="1" si="52"/>
        <v>44952687.499999993</v>
      </c>
      <c r="BI87" s="29">
        <f t="shared" ca="1" si="52"/>
        <v>44952687.499999993</v>
      </c>
      <c r="BJ87" s="29">
        <f t="shared" ca="1" si="52"/>
        <v>44952687.499999993</v>
      </c>
      <c r="BK87" s="29">
        <f t="shared" ca="1" si="52"/>
        <v>44952687.499999993</v>
      </c>
      <c r="BL87" s="29">
        <f t="shared" ca="1" si="52"/>
        <v>44952687.499999993</v>
      </c>
      <c r="BM87" s="29">
        <f t="shared" ca="1" si="52"/>
        <v>44952687.499999993</v>
      </c>
      <c r="BN87" s="29">
        <f t="shared" ca="1" si="52"/>
        <v>44952687.499999993</v>
      </c>
      <c r="BO87" s="29">
        <f t="shared" ca="1" si="52"/>
        <v>44952687.499999993</v>
      </c>
      <c r="BP87" s="29">
        <f t="shared" ca="1" si="52"/>
        <v>44952687.499999993</v>
      </c>
      <c r="BQ87" s="29">
        <f t="shared" ca="1" si="52"/>
        <v>44952687.499999993</v>
      </c>
      <c r="BR87" s="29">
        <f t="shared" ca="1" si="52"/>
        <v>44952687.499999993</v>
      </c>
      <c r="BS87" s="29">
        <f t="shared" ca="1" si="52"/>
        <v>44952687.499999993</v>
      </c>
      <c r="BT87" s="29">
        <f t="shared" ca="1" si="52"/>
        <v>44952687.499999993</v>
      </c>
      <c r="BU87" s="29">
        <f t="shared" ca="1" si="52"/>
        <v>44952687.499999993</v>
      </c>
      <c r="BV87" s="29">
        <f t="shared" ca="1" si="52"/>
        <v>44952687.499999993</v>
      </c>
      <c r="BW87" s="29">
        <f t="shared" ca="1" si="52"/>
        <v>44952687.499999993</v>
      </c>
      <c r="BX87" s="29">
        <f t="shared" ca="1" si="52"/>
        <v>44952687.499999993</v>
      </c>
      <c r="BY87" s="29">
        <f t="shared" ca="1" si="52"/>
        <v>44952687.499999993</v>
      </c>
      <c r="BZ87" s="29">
        <f t="shared" ca="1" si="52"/>
        <v>44952687.499999993</v>
      </c>
      <c r="CA87" s="29">
        <f t="shared" ca="1" si="52"/>
        <v>44952687.499999993</v>
      </c>
      <c r="CB87" s="29">
        <f t="shared" ca="1" si="52"/>
        <v>44952687.499999993</v>
      </c>
      <c r="CC87" s="29">
        <f t="shared" ca="1" si="52"/>
        <v>44952687.499999993</v>
      </c>
      <c r="CD87" s="29">
        <f t="shared" ca="1" si="52"/>
        <v>44952687.499999993</v>
      </c>
      <c r="CE87" s="29">
        <f t="shared" ca="1" si="52"/>
        <v>44952687.499999993</v>
      </c>
      <c r="CF87" s="29">
        <f t="shared" ca="1" si="52"/>
        <v>44952687.499999993</v>
      </c>
      <c r="CG87" s="29">
        <f t="shared" ca="1" si="52"/>
        <v>44952687.499999993</v>
      </c>
      <c r="CH87" s="29">
        <f t="shared" ca="1" si="52"/>
        <v>44952687.499999993</v>
      </c>
    </row>
    <row r="88" spans="2:86" ht="13">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row>
    <row r="89" spans="2:86" ht="13">
      <c r="B89" s="15" t="s">
        <v>286</v>
      </c>
      <c r="C89" s="15"/>
      <c r="D89" s="15" t="s">
        <v>247</v>
      </c>
      <c r="E89" s="81">
        <f t="shared" ref="E89:E92" ca="1" si="53">IF(D89="sum",SUM(G89:CH89),IF(D89="final",CH89,IF(D89="initial",G89,IF(D89="average",AVERAGE(G89:CH89),0))))</f>
        <v>1</v>
      </c>
      <c r="F89" s="82" t="str">
        <f t="shared" ref="F89:F92" si="54">B89</f>
        <v>Paid in Capital (PIC)</v>
      </c>
      <c r="G89" s="81">
        <f t="shared" ref="G89:CH89" ca="1" si="55">IFERROR(G60/$E60,0)</f>
        <v>5.7775E-2</v>
      </c>
      <c r="H89" s="81">
        <f t="shared" ca="1" si="55"/>
        <v>0.11155</v>
      </c>
      <c r="I89" s="81">
        <f t="shared" ca="1" si="55"/>
        <v>0.165325</v>
      </c>
      <c r="J89" s="81">
        <f t="shared" ca="1" si="55"/>
        <v>0.21909999999999999</v>
      </c>
      <c r="K89" s="81">
        <f t="shared" ca="1" si="55"/>
        <v>0.27287499999999998</v>
      </c>
      <c r="L89" s="81">
        <f t="shared" ca="1" si="55"/>
        <v>0.32665</v>
      </c>
      <c r="M89" s="81">
        <f t="shared" ca="1" si="55"/>
        <v>0.38042500000000001</v>
      </c>
      <c r="N89" s="81">
        <f t="shared" ca="1" si="55"/>
        <v>0.43419999999999997</v>
      </c>
      <c r="O89" s="81">
        <f t="shared" ca="1" si="55"/>
        <v>0.48797499999999999</v>
      </c>
      <c r="P89" s="81">
        <f t="shared" ca="1" si="55"/>
        <v>0.54174999999999995</v>
      </c>
      <c r="Q89" s="81">
        <f t="shared" ca="1" si="55"/>
        <v>0.59552499999999997</v>
      </c>
      <c r="R89" s="81">
        <f t="shared" ca="1" si="55"/>
        <v>0.64929999999999999</v>
      </c>
      <c r="S89" s="81">
        <f t="shared" ca="1" si="55"/>
        <v>0.70307500000000001</v>
      </c>
      <c r="T89" s="81">
        <f t="shared" ca="1" si="55"/>
        <v>0.75685000000000002</v>
      </c>
      <c r="U89" s="81">
        <f t="shared" ca="1" si="55"/>
        <v>0.81062500000000004</v>
      </c>
      <c r="V89" s="81">
        <f t="shared" ca="1" si="55"/>
        <v>0.86439999999999995</v>
      </c>
      <c r="W89" s="81">
        <f t="shared" ca="1" si="55"/>
        <v>0.87004999999999999</v>
      </c>
      <c r="X89" s="81">
        <f t="shared" ca="1" si="55"/>
        <v>0.87570000000000003</v>
      </c>
      <c r="Y89" s="81">
        <f t="shared" ca="1" si="55"/>
        <v>0.88134999999999997</v>
      </c>
      <c r="Z89" s="81">
        <f t="shared" ca="1" si="55"/>
        <v>0.88700000000000001</v>
      </c>
      <c r="AA89" s="81">
        <f t="shared" ca="1" si="55"/>
        <v>0.89265000000000005</v>
      </c>
      <c r="AB89" s="81">
        <f t="shared" ca="1" si="55"/>
        <v>0.89829999999999999</v>
      </c>
      <c r="AC89" s="81">
        <f t="shared" ca="1" si="55"/>
        <v>0.90395000000000003</v>
      </c>
      <c r="AD89" s="81">
        <f t="shared" ca="1" si="55"/>
        <v>0.90959999999999996</v>
      </c>
      <c r="AE89" s="81">
        <f t="shared" ca="1" si="55"/>
        <v>0.91525000000000001</v>
      </c>
      <c r="AF89" s="81">
        <f t="shared" ca="1" si="55"/>
        <v>0.92090000000000005</v>
      </c>
      <c r="AG89" s="81">
        <f t="shared" ca="1" si="55"/>
        <v>0.92654999999999998</v>
      </c>
      <c r="AH89" s="81">
        <f t="shared" ca="1" si="55"/>
        <v>0.93220000000000003</v>
      </c>
      <c r="AI89" s="81">
        <f t="shared" ca="1" si="55"/>
        <v>0.93784999999999996</v>
      </c>
      <c r="AJ89" s="81">
        <f t="shared" ca="1" si="55"/>
        <v>0.94350000000000001</v>
      </c>
      <c r="AK89" s="81">
        <f t="shared" ca="1" si="55"/>
        <v>0.94915000000000005</v>
      </c>
      <c r="AL89" s="81">
        <f t="shared" ca="1" si="55"/>
        <v>0.95479999999999998</v>
      </c>
      <c r="AM89" s="81">
        <f t="shared" ca="1" si="55"/>
        <v>0.96045000000000003</v>
      </c>
      <c r="AN89" s="81">
        <f t="shared" ca="1" si="55"/>
        <v>0.96609999999999996</v>
      </c>
      <c r="AO89" s="81">
        <f t="shared" ca="1" si="55"/>
        <v>0.97175</v>
      </c>
      <c r="AP89" s="81">
        <f t="shared" ca="1" si="55"/>
        <v>0.97740000000000005</v>
      </c>
      <c r="AQ89" s="81">
        <f t="shared" ca="1" si="55"/>
        <v>0.98304999999999998</v>
      </c>
      <c r="AR89" s="81">
        <f t="shared" ca="1" si="55"/>
        <v>0.98870000000000002</v>
      </c>
      <c r="AS89" s="81">
        <f t="shared" ca="1" si="55"/>
        <v>0.99434999999999996</v>
      </c>
      <c r="AT89" s="81">
        <f t="shared" ca="1" si="55"/>
        <v>1</v>
      </c>
      <c r="AU89" s="81">
        <f t="shared" ca="1" si="55"/>
        <v>1</v>
      </c>
      <c r="AV89" s="81">
        <f t="shared" ca="1" si="55"/>
        <v>1</v>
      </c>
      <c r="AW89" s="81">
        <f t="shared" ca="1" si="55"/>
        <v>1</v>
      </c>
      <c r="AX89" s="81">
        <f t="shared" ca="1" si="55"/>
        <v>1</v>
      </c>
      <c r="AY89" s="81">
        <f t="shared" ca="1" si="55"/>
        <v>1</v>
      </c>
      <c r="AZ89" s="81">
        <f t="shared" ca="1" si="55"/>
        <v>1</v>
      </c>
      <c r="BA89" s="81">
        <f t="shared" ca="1" si="55"/>
        <v>1</v>
      </c>
      <c r="BB89" s="81">
        <f t="shared" ca="1" si="55"/>
        <v>1</v>
      </c>
      <c r="BC89" s="81">
        <f t="shared" ca="1" si="55"/>
        <v>1</v>
      </c>
      <c r="BD89" s="81">
        <f t="shared" ca="1" si="55"/>
        <v>1</v>
      </c>
      <c r="BE89" s="81">
        <f t="shared" ca="1" si="55"/>
        <v>1</v>
      </c>
      <c r="BF89" s="81">
        <f t="shared" ca="1" si="55"/>
        <v>1</v>
      </c>
      <c r="BG89" s="81">
        <f t="shared" ca="1" si="55"/>
        <v>1</v>
      </c>
      <c r="BH89" s="81">
        <f t="shared" ca="1" si="55"/>
        <v>1</v>
      </c>
      <c r="BI89" s="81">
        <f t="shared" ca="1" si="55"/>
        <v>1</v>
      </c>
      <c r="BJ89" s="81">
        <f t="shared" ca="1" si="55"/>
        <v>1</v>
      </c>
      <c r="BK89" s="81">
        <f t="shared" ca="1" si="55"/>
        <v>1</v>
      </c>
      <c r="BL89" s="81">
        <f t="shared" ca="1" si="55"/>
        <v>1</v>
      </c>
      <c r="BM89" s="81">
        <f t="shared" ca="1" si="55"/>
        <v>1</v>
      </c>
      <c r="BN89" s="81">
        <f t="shared" ca="1" si="55"/>
        <v>1</v>
      </c>
      <c r="BO89" s="81">
        <f t="shared" ca="1" si="55"/>
        <v>1</v>
      </c>
      <c r="BP89" s="81">
        <f t="shared" ca="1" si="55"/>
        <v>1</v>
      </c>
      <c r="BQ89" s="81">
        <f t="shared" ca="1" si="55"/>
        <v>1</v>
      </c>
      <c r="BR89" s="81">
        <f t="shared" ca="1" si="55"/>
        <v>1</v>
      </c>
      <c r="BS89" s="81">
        <f t="shared" ca="1" si="55"/>
        <v>1</v>
      </c>
      <c r="BT89" s="81">
        <f t="shared" ca="1" si="55"/>
        <v>1</v>
      </c>
      <c r="BU89" s="81">
        <f t="shared" ca="1" si="55"/>
        <v>1</v>
      </c>
      <c r="BV89" s="81">
        <f t="shared" ca="1" si="55"/>
        <v>1</v>
      </c>
      <c r="BW89" s="81">
        <f t="shared" ca="1" si="55"/>
        <v>1</v>
      </c>
      <c r="BX89" s="81">
        <f t="shared" ca="1" si="55"/>
        <v>1</v>
      </c>
      <c r="BY89" s="81">
        <f t="shared" ca="1" si="55"/>
        <v>1</v>
      </c>
      <c r="BZ89" s="81">
        <f t="shared" ca="1" si="55"/>
        <v>1</v>
      </c>
      <c r="CA89" s="81">
        <f t="shared" ca="1" si="55"/>
        <v>1</v>
      </c>
      <c r="CB89" s="81">
        <f t="shared" ca="1" si="55"/>
        <v>1</v>
      </c>
      <c r="CC89" s="81">
        <f t="shared" ca="1" si="55"/>
        <v>1</v>
      </c>
      <c r="CD89" s="81">
        <f t="shared" ca="1" si="55"/>
        <v>1</v>
      </c>
      <c r="CE89" s="81">
        <f t="shared" ca="1" si="55"/>
        <v>1</v>
      </c>
      <c r="CF89" s="81">
        <f t="shared" ca="1" si="55"/>
        <v>1</v>
      </c>
      <c r="CG89" s="81">
        <f t="shared" ca="1" si="55"/>
        <v>1</v>
      </c>
      <c r="CH89" s="81">
        <f t="shared" ca="1" si="55"/>
        <v>1</v>
      </c>
    </row>
    <row r="90" spans="2:86" ht="13">
      <c r="B90" s="15" t="s">
        <v>287</v>
      </c>
      <c r="C90" s="15"/>
      <c r="D90" s="15" t="s">
        <v>247</v>
      </c>
      <c r="E90" s="81">
        <f t="shared" ca="1" si="53"/>
        <v>-2.9802322387695313E-16</v>
      </c>
      <c r="F90" s="82" t="str">
        <f t="shared" si="54"/>
        <v>Residual Value to Paid in Capital (RVPI)</v>
      </c>
      <c r="G90" s="81">
        <f ca="1">IFERROR((G81-(MAX(0,(F81+G51+G50+G72-G71-G60))*'Get Started  3'!$E14-G75))/G60,0)</f>
        <v>0.83297273907399394</v>
      </c>
      <c r="H90" s="81">
        <f ca="1">IFERROR((H81-(MAX(0,(G81+H51+H50+H72-H71-H60))*'Get Started  3'!$E14-H75))/H60,0)</f>
        <v>0.86284177498879422</v>
      </c>
      <c r="I90" s="81">
        <f ca="1">IFERROR((I81-(MAX(0,(H81+I51+I50+I72-I71-I60))*'Get Started  3'!$E14-I75))/I60,0)</f>
        <v>0.87327990322092852</v>
      </c>
      <c r="J90" s="81">
        <f ca="1">IFERROR((J81-(MAX(0,(I81+J51+J50+J72-J71-J60))*'Get Started  3'!$E14-J75))/J60,0)</f>
        <v>0.87859424920127793</v>
      </c>
      <c r="K90" s="81">
        <f ca="1">IFERROR((K81-(MAX(0,(J81+K51+K50+K72-K71-K60))*'Get Started  3'!$E14-K75))/K60,0)</f>
        <v>0.88181401740723775</v>
      </c>
      <c r="L90" s="81">
        <f ca="1">IFERROR((L81-(MAX(0,(K81+L51+L50+L72-L71-L60))*'Get Started  3'!$E14-L75))/L60,0)</f>
        <v>0.88397367212612887</v>
      </c>
      <c r="M90" s="81">
        <f ca="1">IFERROR((M81-(MAX(0,(L81+M51+M50+M72-M71-M60))*'Get Started  3'!$E14-M75))/M60,0)</f>
        <v>0.88552277058552931</v>
      </c>
      <c r="N90" s="81">
        <f ca="1">IFERROR((N81-(MAX(0,(M81+N51+N50+N72-N71-N60))*'Get Started  3'!$E14-N75))/N60,0)</f>
        <v>0.88668816213726398</v>
      </c>
      <c r="O90" s="81">
        <f ca="1">IFERROR((O81-(MAX(0,(N81+O51+O50+O72-O71-O60))*'Get Started  3'!$E14-O75))/O60,0)</f>
        <v>0.93082702392526984</v>
      </c>
      <c r="P90" s="81">
        <f ca="1">IFERROR((P81-(MAX(0,(O81+P51+P50+P72-P71-P60))*'Get Started  3'!$E14-P75))/P60,0)</f>
        <v>0.97091164618680703</v>
      </c>
      <c r="Q90" s="81">
        <f ca="1">IFERROR((Q81-(MAX(0,(P81+Q51+Q50+Q72-Q71-Q60))*'Get Started  3'!$E14-Q75))/Q60,0)</f>
        <v>1.0064322431001989</v>
      </c>
      <c r="R90" s="81">
        <f ca="1">IFERROR((R81-(MAX(0,(Q81+R51+R50+R72-R71-R60))*'Get Started  3'!$E14-R75))/R60,0)</f>
        <v>1.0343579484746621</v>
      </c>
      <c r="S90" s="81">
        <f ca="1">IFERROR((S81-(MAX(0,(R81+S51+S50+S72-S71-S60))*'Get Started  3'!$E14-S75))/S60,0)</f>
        <v>1.0176860883323662</v>
      </c>
      <c r="T90" s="81">
        <f ca="1">IFERROR((T81-(MAX(0,(S81+T51+T50+T72-T71-T60))*'Get Started  3'!$E14-T75))/T60,0)</f>
        <v>1.0060795103672151</v>
      </c>
      <c r="U90" s="81">
        <f ca="1">IFERROR((U81-(MAX(0,(T81+U51+U50+U72-U71-U60))*'Get Started  3'!$E14-U75))/U60,0)</f>
        <v>0.99853015703444103</v>
      </c>
      <c r="V90" s="81">
        <f ca="1">IFERROR((V81-(MAX(0,(U81+V51+V50+V72-V71-V60))*'Get Started  3'!$E14-V75))/V60,0)</f>
        <v>0.99428081898210241</v>
      </c>
      <c r="W90" s="81">
        <f ca="1">IFERROR((W81-(MAX(0,(V81+W51+W50+W72-W71-W60))*'Get Started  3'!$E14-W75))/W60,0)</f>
        <v>0.95191210178418728</v>
      </c>
      <c r="X90" s="81">
        <f ca="1">IFERROR((X81-(MAX(0,(W81+X51+X50+X72-X71-X60))*'Get Started  3'!$E14-X75))/X60,0)</f>
        <v>0.90578810822513089</v>
      </c>
      <c r="Y90" s="81">
        <f ca="1">IFERROR((Y81-(MAX(0,(X81+Y51+Y50+Y72-Y71-Y60))*'Get Started  3'!$E14-Y75))/Y60,0)</f>
        <v>0.85598105925497714</v>
      </c>
      <c r="Z90" s="81">
        <f ca="1">IFERROR((Z81-(MAX(0,(Y81+Z51+Z50+Z72-Z71-Z60))*'Get Started  3'!$E14-Z75))/Z60,0)</f>
        <v>0.80929564610546423</v>
      </c>
      <c r="AA90" s="81">
        <f ca="1">IFERROR((AA81-(MAX(0,(Z81+AA51+AA50+AA72-AA71-AA60))*'Get Started  3'!$E14-AA75))/AA60,0)</f>
        <v>0.75858584744320046</v>
      </c>
      <c r="AB90" s="81">
        <f ca="1">IFERROR((AB81-(MAX(0,(AA81+AB51+AB50+AB72-AB71-AB60))*'Get Started  3'!$E14-AB75))/AB60,0)</f>
        <v>0.70382507750311718</v>
      </c>
      <c r="AC90" s="81">
        <f ca="1">IFERROR((AC81-(MAX(0,(AB81+AC51+AC50+AC72-AC71-AC60))*'Get Started  3'!$E14-AC75))/AC60,0)</f>
        <v>0.64508929619799571</v>
      </c>
      <c r="AD90" s="81">
        <f ca="1">IFERROR((AD81-(MAX(0,(AC81+AD51+AD50+AD72-AD71-AD60))*'Get Started  3'!$E14-AD75))/AD60,0)</f>
        <v>0.58245257613407819</v>
      </c>
      <c r="AE90" s="81">
        <f ca="1">IFERROR((AE81-(MAX(0,(AD81+AE51+AE50+AE72-AE71-AE60))*'Get Started  3'!$E14-AE75))/AE60,0)</f>
        <v>0.50530612965996768</v>
      </c>
      <c r="AF90" s="81">
        <f ca="1">IFERROR((AF81-(MAX(0,(AE81+AF51+AF50+AF72-AF71-AF60))*'Get Started  3'!$E14-AF75))/AF60,0)</f>
        <v>0.42674839735555725</v>
      </c>
      <c r="AG90" s="81">
        <f ca="1">IFERROR((AG81-(MAX(0,(AF81+AG51+AG50+AG72-AG71-AG60))*'Get Started  3'!$E14-AG75))/AG60,0)</f>
        <v>0.34680519681819588</v>
      </c>
      <c r="AH90" s="81">
        <f ca="1">IFERROR((AH81-(MAX(0,(AG81+AH51+AH50+AH72-AH71-AH60))*'Get Started  3'!$E14-AH75))/AH60,0)</f>
        <v>0.26550171973051456</v>
      </c>
      <c r="AI90" s="81">
        <f ca="1">IFERROR((AI81-(MAX(0,(AH81+AI51+AI50+AI72-AI71-AI60))*'Get Started  3'!$E14-AI75))/AI60,0)</f>
        <v>0.22124072262653141</v>
      </c>
      <c r="AJ90" s="81">
        <f ca="1">IFERROR((AJ81-(MAX(0,(AI81+AJ51+AJ50+AJ72-AJ71-AJ60))*'Get Started  3'!$E14-AJ75))/AJ60,0)</f>
        <v>0.17612341622647426</v>
      </c>
      <c r="AK90" s="81">
        <f ca="1">IFERROR((AK81-(MAX(0,(AJ81+AK51+AK50+AK72-AK71-AK60))*'Get Started  3'!$E14-AK75))/AK60,0)</f>
        <v>0.13016509257329578</v>
      </c>
      <c r="AL90" s="81">
        <f ca="1">IFERROR((AL81-(MAX(0,(AK81+AL51+AL50+AL72-AL71-AL60))*'Get Started  3'!$E14-AL75))/AL60,0)</f>
        <v>8.3380681749149629E-2</v>
      </c>
      <c r="AM90" s="81">
        <f ca="1">IFERROR((AM81-(MAX(0,(AL81+AM51+AM50+AM72-AM71-AM60))*'Get Started  3'!$E14-AM75))/AM60,0)</f>
        <v>5.1683293652006641E-2</v>
      </c>
      <c r="AN90" s="81">
        <f ca="1">IFERROR((AN81-(MAX(0,(AM81+AN51+AN50+AN72-AN71-AN60))*'Get Started  3'!$E14-AN75))/AN60,0)</f>
        <v>1.9381791055381827E-2</v>
      </c>
      <c r="AO90" s="81">
        <f ca="1">IFERROR((AO81-(MAX(0,(AN81+AO51+AO50+AO72-AO71-AO60))*'Get Started  3'!$E14-AO75))/AO60,0)</f>
        <v>-1.3513288617759535E-2</v>
      </c>
      <c r="AP90" s="81">
        <f ca="1">IFERROR((AP81-(MAX(0,(AO81+AP51+AP50+AP72-AP71-AP60))*'Get Started  3'!$E14-AP75))/AP60,0)</f>
        <v>-4.6991651596753635E-2</v>
      </c>
      <c r="AQ90" s="81">
        <f ca="1">IFERROR((AQ81-(MAX(0,(AP81+AQ51+AQ50+AQ72-AQ71-AQ60))*'Get Started  3'!$E14-AQ75))/AQ60,0)</f>
        <v>-8.7700253218508994E-2</v>
      </c>
      <c r="AR90" s="81">
        <f ca="1">IFERROR((AR81-(MAX(0,(AQ81+AR51+AR50+AR72-AR71-AR60))*'Get Started  3'!$E14-AR75))/AR60,0)</f>
        <v>-0.12905493308007004</v>
      </c>
      <c r="AS90" s="81">
        <f ca="1">IFERROR((AS81-(MAX(0,(AR81+AS51+AS50+AS72-AS71-AS60))*'Get Started  3'!$E14-AS75))/AS60,0)</f>
        <v>-0.17104467793040293</v>
      </c>
      <c r="AT90" s="81">
        <f ca="1">IFERROR((AT81-(MAX(0,(AS81+AT51+AT50+AT72-AT71-AT60))*'Get Started  3'!$E14-AT75))/AT60,0)</f>
        <v>-2.9802322387695313E-16</v>
      </c>
      <c r="AU90" s="81">
        <f ca="1">IFERROR((AU81-(MAX(0,(AT81+AU51+AU50+AU72-AU71-AU60))*'Get Started  3'!$E14-AU75))/AU60,0)</f>
        <v>-2.9802322387695313E-16</v>
      </c>
      <c r="AV90" s="81">
        <f ca="1">IFERROR((AV81-(MAX(0,(AU81+AV51+AV50+AV72-AV71-AV60))*'Get Started  3'!$E14-AV75))/AV60,0)</f>
        <v>-2.9802322387695313E-16</v>
      </c>
      <c r="AW90" s="81">
        <f ca="1">IFERROR((AW81-(MAX(0,(AV81+AW51+AW50+AW72-AW71-AW60))*'Get Started  3'!$E14-AW75))/AW60,0)</f>
        <v>-2.9802322387695313E-16</v>
      </c>
      <c r="AX90" s="81">
        <f ca="1">IFERROR((AX81-(MAX(0,(AW81+AX51+AX50+AX72-AX71-AX60))*'Get Started  3'!$E14-AX75))/AX60,0)</f>
        <v>-2.9802322387695313E-16</v>
      </c>
      <c r="AY90" s="81">
        <f ca="1">IFERROR((AY81-(MAX(0,(AX81+AY51+AY50+AY72-AY71-AY60))*'Get Started  3'!$E14-AY75))/AY60,0)</f>
        <v>-2.9802322387695313E-16</v>
      </c>
      <c r="AZ90" s="81">
        <f ca="1">IFERROR((AZ81-(MAX(0,(AY81+AZ51+AZ50+AZ72-AZ71-AZ60))*'Get Started  3'!$E14-AZ75))/AZ60,0)</f>
        <v>-2.9802322387695313E-16</v>
      </c>
      <c r="BA90" s="81">
        <f ca="1">IFERROR((BA81-(MAX(0,(AZ81+BA51+BA50+BA72-BA71-BA60))*'Get Started  3'!$E14-BA75))/BA60,0)</f>
        <v>-2.9802322387695313E-16</v>
      </c>
      <c r="BB90" s="81">
        <f ca="1">IFERROR((BB81-(MAX(0,(BA81+BB51+BB50+BB72-BB71-BB60))*'Get Started  3'!$E14-BB75))/BB60,0)</f>
        <v>-2.9802322387695313E-16</v>
      </c>
      <c r="BC90" s="81">
        <f ca="1">IFERROR((BC81-(MAX(0,(BB81+BC51+BC50+BC72-BC71-BC60))*'Get Started  3'!$E14-BC75))/BC60,0)</f>
        <v>-2.9802322387695313E-16</v>
      </c>
      <c r="BD90" s="81">
        <f ca="1">IFERROR((BD81-(MAX(0,(BC81+BD51+BD50+BD72-BD71-BD60))*'Get Started  3'!$E14-BD75))/BD60,0)</f>
        <v>-2.9802322387695313E-16</v>
      </c>
      <c r="BE90" s="81">
        <f ca="1">IFERROR((BE81-(MAX(0,(BD81+BE51+BE50+BE72-BE71-BE60))*'Get Started  3'!$E14-BE75))/BE60,0)</f>
        <v>-2.9802322387695313E-16</v>
      </c>
      <c r="BF90" s="81">
        <f ca="1">IFERROR((BF81-(MAX(0,(BE81+BF51+BF50+BF72-BF71-BF60))*'Get Started  3'!$E14-BF75))/BF60,0)</f>
        <v>-2.9802322387695313E-16</v>
      </c>
      <c r="BG90" s="81">
        <f ca="1">IFERROR((BG81-(MAX(0,(BF81+BG51+BG50+BG72-BG71-BG60))*'Get Started  3'!$E14-BG75))/BG60,0)</f>
        <v>-2.9802322387695313E-16</v>
      </c>
      <c r="BH90" s="81">
        <f ca="1">IFERROR((BH81-(MAX(0,(BG81+BH51+BH50+BH72-BH71-BH60))*'Get Started  3'!$E14-BH75))/BH60,0)</f>
        <v>-2.9802322387695313E-16</v>
      </c>
      <c r="BI90" s="81">
        <f ca="1">IFERROR((BI81-(MAX(0,(BH81+BI51+BI50+BI72-BI71-BI60))*'Get Started  3'!$E14-BI75))/BI60,0)</f>
        <v>-2.9802322387695313E-16</v>
      </c>
      <c r="BJ90" s="81">
        <f ca="1">IFERROR((BJ81-(MAX(0,(BI81+BJ51+BJ50+BJ72-BJ71-BJ60))*'Get Started  3'!$E14-BJ75))/BJ60,0)</f>
        <v>-2.9802322387695313E-16</v>
      </c>
      <c r="BK90" s="81">
        <f ca="1">IFERROR((BK81-(MAX(0,(BJ81+BK51+BK50+BK72-BK71-BK60))*'Get Started  3'!$E14-BK75))/BK60,0)</f>
        <v>-2.9802322387695313E-16</v>
      </c>
      <c r="BL90" s="81">
        <f ca="1">IFERROR((BL81-(MAX(0,(BK81+BL51+BL50+BL72-BL71-BL60))*'Get Started  3'!$E14-BL75))/BL60,0)</f>
        <v>-2.9802322387695313E-16</v>
      </c>
      <c r="BM90" s="81">
        <f ca="1">IFERROR((BM81-(MAX(0,(BL81+BM51+BM50+BM72-BM71-BM60))*'Get Started  3'!$E14-BM75))/BM60,0)</f>
        <v>-2.9802322387695313E-16</v>
      </c>
      <c r="BN90" s="81">
        <f ca="1">IFERROR((BN81-(MAX(0,(BM81+BN51+BN50+BN72-BN71-BN60))*'Get Started  3'!$E14-BN75))/BN60,0)</f>
        <v>-2.9802322387695313E-16</v>
      </c>
      <c r="BO90" s="81">
        <f ca="1">IFERROR((BO81-(MAX(0,(BN81+BO51+BO50+BO72-BO71-BO60))*'Get Started  3'!$E14-BO75))/BO60,0)</f>
        <v>-2.9802322387695313E-16</v>
      </c>
      <c r="BP90" s="81">
        <f ca="1">IFERROR((BP81-(MAX(0,(BO81+BP51+BP50+BP72-BP71-BP60))*'Get Started  3'!$E14-BP75))/BP60,0)</f>
        <v>-2.9802322387695313E-16</v>
      </c>
      <c r="BQ90" s="81">
        <f ca="1">IFERROR((BQ81-(MAX(0,(BP81+BQ51+BQ50+BQ72-BQ71-BQ60))*'Get Started  3'!$E14-BQ75))/BQ60,0)</f>
        <v>-2.9802322387695313E-16</v>
      </c>
      <c r="BR90" s="81">
        <f ca="1">IFERROR((BR81-(MAX(0,(BQ81+BR51+BR50+BR72-BR71-BR60))*'Get Started  3'!$E14-BR75))/BR60,0)</f>
        <v>-2.9802322387695313E-16</v>
      </c>
      <c r="BS90" s="81">
        <f ca="1">IFERROR((BS81-(MAX(0,(BR81+BS51+BS50+BS72-BS71-BS60))*'Get Started  3'!$E14-BS75))/BS60,0)</f>
        <v>-2.9802322387695313E-16</v>
      </c>
      <c r="BT90" s="81">
        <f ca="1">IFERROR((BT81-(MAX(0,(BS81+BT51+BT50+BT72-BT71-BT60))*'Get Started  3'!$E14-BT75))/BT60,0)</f>
        <v>-2.9802322387695313E-16</v>
      </c>
      <c r="BU90" s="81">
        <f ca="1">IFERROR((BU81-(MAX(0,(BT81+BU51+BU50+BU72-BU71-BU60))*'Get Started  3'!$E14-BU75))/BU60,0)</f>
        <v>-2.9802322387695313E-16</v>
      </c>
      <c r="BV90" s="81">
        <f ca="1">IFERROR((BV81-(MAX(0,(BU81+BV51+BV50+BV72-BV71-BV60))*'Get Started  3'!$E14-BV75))/BV60,0)</f>
        <v>-2.9802322387695313E-16</v>
      </c>
      <c r="BW90" s="81">
        <f ca="1">IFERROR((BW81-(MAX(0,(BV81+BW51+BW50+BW72-BW71-BW60))*'Get Started  3'!$E14-BW75))/BW60,0)</f>
        <v>-2.9802322387695313E-16</v>
      </c>
      <c r="BX90" s="81">
        <f ca="1">IFERROR((BX81-(MAX(0,(BW81+BX51+BX50+BX72-BX71-BX60))*'Get Started  3'!$E14-BX75))/BX60,0)</f>
        <v>-2.9802322387695313E-16</v>
      </c>
      <c r="BY90" s="81">
        <f ca="1">IFERROR((BY81-(MAX(0,(BX81+BY51+BY50+BY72-BY71-BY60))*'Get Started  3'!$E14-BY75))/BY60,0)</f>
        <v>-2.9802322387695313E-16</v>
      </c>
      <c r="BZ90" s="81">
        <f ca="1">IFERROR((BZ81-(MAX(0,(BY81+BZ51+BZ50+BZ72-BZ71-BZ60))*'Get Started  3'!$E14-BZ75))/BZ60,0)</f>
        <v>-2.9802322387695313E-16</v>
      </c>
      <c r="CA90" s="81">
        <f ca="1">IFERROR((CA81-(MAX(0,(BZ81+CA51+CA50+CA72-CA71-CA60))*'Get Started  3'!$E14-CA75))/CA60,0)</f>
        <v>-2.9802322387695313E-16</v>
      </c>
      <c r="CB90" s="81">
        <f ca="1">IFERROR((CB81-(MAX(0,(CA81+CB51+CB50+CB72-CB71-CB60))*'Get Started  3'!$E14-CB75))/CB60,0)</f>
        <v>-2.9802322387695313E-16</v>
      </c>
      <c r="CC90" s="81">
        <f ca="1">IFERROR((CC81-(MAX(0,(CB81+CC51+CC50+CC72-CC71-CC60))*'Get Started  3'!$E14-CC75))/CC60,0)</f>
        <v>-2.9802322387695313E-16</v>
      </c>
      <c r="CD90" s="81">
        <f ca="1">IFERROR((CD81-(MAX(0,(CC81+CD51+CD50+CD72-CD71-CD60))*'Get Started  3'!$E14-CD75))/CD60,0)</f>
        <v>-2.9802322387695313E-16</v>
      </c>
      <c r="CE90" s="81">
        <f ca="1">IFERROR((CE81-(MAX(0,(CD81+CE51+CE50+CE72-CE71-CE60))*'Get Started  3'!$E14-CE75))/CE60,0)</f>
        <v>-2.9802322387695313E-16</v>
      </c>
      <c r="CF90" s="81">
        <f ca="1">IFERROR((CF81-(MAX(0,(CE81+CF51+CF50+CF72-CF71-CF60))*'Get Started  3'!$E14-CF75))/CF60,0)</f>
        <v>-2.9802322387695313E-16</v>
      </c>
      <c r="CG90" s="81">
        <f ca="1">IFERROR((CG81-(MAX(0,(CF81+CG51+CG50+CG72-CG71-CG60))*'Get Started  3'!$E14-CG75))/CG60,0)</f>
        <v>-2.9802322387695313E-16</v>
      </c>
      <c r="CH90" s="81">
        <f ca="1">IFERROR((CH81-(MAX(0,(CG81+CH51+CH50+CH72-CH71-CH60))*'Get Started  3'!$E14-CH75))/CH60,0)</f>
        <v>-2.9802322387695313E-16</v>
      </c>
    </row>
    <row r="91" spans="2:86" ht="13">
      <c r="B91" s="15" t="s">
        <v>288</v>
      </c>
      <c r="C91" s="15"/>
      <c r="D91" s="15" t="s">
        <v>247</v>
      </c>
      <c r="E91" s="81">
        <f t="shared" ca="1" si="53"/>
        <v>7.5855833333333322</v>
      </c>
      <c r="F91" s="82" t="str">
        <f t="shared" si="54"/>
        <v>Distributed Value to Paid in Capital (DVPI)</v>
      </c>
      <c r="G91" s="81">
        <f t="shared" ref="G91:CH91" ca="1" si="56">IFERROR(G76/G60,0)</f>
        <v>0</v>
      </c>
      <c r="H91" s="81">
        <f t="shared" ca="1" si="56"/>
        <v>0</v>
      </c>
      <c r="I91" s="81">
        <f t="shared" ca="1" si="56"/>
        <v>0</v>
      </c>
      <c r="J91" s="81">
        <f t="shared" ca="1" si="56"/>
        <v>0</v>
      </c>
      <c r="K91" s="81">
        <f t="shared" ca="1" si="56"/>
        <v>0</v>
      </c>
      <c r="L91" s="81">
        <f t="shared" ca="1" si="56"/>
        <v>0</v>
      </c>
      <c r="M91" s="81">
        <f t="shared" ca="1" si="56"/>
        <v>0</v>
      </c>
      <c r="N91" s="81">
        <f t="shared" ca="1" si="56"/>
        <v>0</v>
      </c>
      <c r="O91" s="81">
        <f t="shared" ca="1" si="56"/>
        <v>0</v>
      </c>
      <c r="P91" s="81">
        <f t="shared" ca="1" si="56"/>
        <v>0</v>
      </c>
      <c r="Q91" s="81">
        <f t="shared" ca="1" si="56"/>
        <v>0</v>
      </c>
      <c r="R91" s="81">
        <f t="shared" ca="1" si="56"/>
        <v>0</v>
      </c>
      <c r="S91" s="81">
        <f t="shared" ca="1" si="56"/>
        <v>4.6089203380388563E-2</v>
      </c>
      <c r="T91" s="81">
        <f t="shared" ca="1" si="56"/>
        <v>8.5629032613243547E-2</v>
      </c>
      <c r="U91" s="81">
        <f t="shared" ca="1" si="56"/>
        <v>0.11992289899768706</v>
      </c>
      <c r="V91" s="81">
        <f t="shared" ca="1" si="56"/>
        <v>0.14994986888786066</v>
      </c>
      <c r="W91" s="81">
        <f t="shared" ca="1" si="56"/>
        <v>0.26513322989100258</v>
      </c>
      <c r="X91" s="81">
        <f t="shared" ca="1" si="56"/>
        <v>0.37883026911803908</v>
      </c>
      <c r="Y91" s="81">
        <f t="shared" ca="1" si="56"/>
        <v>0.49106957130160195</v>
      </c>
      <c r="Z91" s="81">
        <f t="shared" ca="1" si="56"/>
        <v>0.59514468245020702</v>
      </c>
      <c r="AA91" s="81">
        <f t="shared" ca="1" si="56"/>
        <v>0.69397486883623694</v>
      </c>
      <c r="AB91" s="81">
        <f t="shared" ca="1" si="56"/>
        <v>0.7915618390292779</v>
      </c>
      <c r="AC91" s="81">
        <f t="shared" ca="1" si="56"/>
        <v>0.88792890462230623</v>
      </c>
      <c r="AD91" s="81">
        <f t="shared" ca="1" si="56"/>
        <v>0.98309879800645028</v>
      </c>
      <c r="AE91" s="81">
        <f t="shared" ca="1" si="56"/>
        <v>1.4748156241464088</v>
      </c>
      <c r="AF91" s="81">
        <f t="shared" ca="1" si="56"/>
        <v>1.9604987874181059</v>
      </c>
      <c r="AG91" s="81">
        <f t="shared" ca="1" si="56"/>
        <v>2.4402586656593459</v>
      </c>
      <c r="AH91" s="81">
        <f t="shared" ca="1" si="56"/>
        <v>2.9142029607380389</v>
      </c>
      <c r="AI91" s="81">
        <f t="shared" ca="1" si="56"/>
        <v>3.3484814558120521</v>
      </c>
      <c r="AJ91" s="81">
        <f t="shared" ca="1" si="56"/>
        <v>3.7775587352057935</v>
      </c>
      <c r="AK91" s="81">
        <f t="shared" ca="1" si="56"/>
        <v>4.2015276826634347</v>
      </c>
      <c r="AL91" s="81">
        <f t="shared" ca="1" si="56"/>
        <v>4.620478983382208</v>
      </c>
      <c r="AM91" s="81">
        <f t="shared" ca="1" si="56"/>
        <v>4.9746039183021837</v>
      </c>
      <c r="AN91" s="81">
        <f t="shared" ca="1" si="56"/>
        <v>5.3245868267605143</v>
      </c>
      <c r="AO91" s="81">
        <f t="shared" ca="1" si="56"/>
        <v>5.67049995712203</v>
      </c>
      <c r="AP91" s="81">
        <f t="shared" ca="1" si="56"/>
        <v>6.0124138871836834</v>
      </c>
      <c r="AQ91" s="81">
        <f t="shared" ca="1" si="56"/>
        <v>6.412487496397266</v>
      </c>
      <c r="AR91" s="81">
        <f t="shared" ca="1" si="56"/>
        <v>6.8079886045649163</v>
      </c>
      <c r="AS91" s="81">
        <f t="shared" ca="1" si="56"/>
        <v>7.198995155964532</v>
      </c>
      <c r="AT91" s="81">
        <f t="shared" ca="1" si="56"/>
        <v>7.5855833333333322</v>
      </c>
      <c r="AU91" s="81">
        <f t="shared" ca="1" si="56"/>
        <v>7.5855833333333322</v>
      </c>
      <c r="AV91" s="81">
        <f t="shared" ca="1" si="56"/>
        <v>7.5855833333333322</v>
      </c>
      <c r="AW91" s="81">
        <f t="shared" ca="1" si="56"/>
        <v>7.5855833333333322</v>
      </c>
      <c r="AX91" s="81">
        <f t="shared" ca="1" si="56"/>
        <v>7.5855833333333322</v>
      </c>
      <c r="AY91" s="81">
        <f t="shared" ca="1" si="56"/>
        <v>7.5855833333333322</v>
      </c>
      <c r="AZ91" s="81">
        <f t="shared" ca="1" si="56"/>
        <v>7.5855833333333322</v>
      </c>
      <c r="BA91" s="81">
        <f t="shared" ca="1" si="56"/>
        <v>7.5855833333333322</v>
      </c>
      <c r="BB91" s="81">
        <f t="shared" ca="1" si="56"/>
        <v>7.5855833333333322</v>
      </c>
      <c r="BC91" s="81">
        <f t="shared" ca="1" si="56"/>
        <v>7.5855833333333322</v>
      </c>
      <c r="BD91" s="81">
        <f t="shared" ca="1" si="56"/>
        <v>7.5855833333333322</v>
      </c>
      <c r="BE91" s="81">
        <f t="shared" ca="1" si="56"/>
        <v>7.5855833333333322</v>
      </c>
      <c r="BF91" s="81">
        <f t="shared" ca="1" si="56"/>
        <v>7.5855833333333322</v>
      </c>
      <c r="BG91" s="81">
        <f t="shared" ca="1" si="56"/>
        <v>7.5855833333333322</v>
      </c>
      <c r="BH91" s="81">
        <f t="shared" ca="1" si="56"/>
        <v>7.5855833333333322</v>
      </c>
      <c r="BI91" s="81">
        <f t="shared" ca="1" si="56"/>
        <v>7.5855833333333322</v>
      </c>
      <c r="BJ91" s="81">
        <f t="shared" ca="1" si="56"/>
        <v>7.5855833333333322</v>
      </c>
      <c r="BK91" s="81">
        <f t="shared" ca="1" si="56"/>
        <v>7.5855833333333322</v>
      </c>
      <c r="BL91" s="81">
        <f t="shared" ca="1" si="56"/>
        <v>7.5855833333333322</v>
      </c>
      <c r="BM91" s="81">
        <f t="shared" ca="1" si="56"/>
        <v>7.5855833333333322</v>
      </c>
      <c r="BN91" s="81">
        <f t="shared" ca="1" si="56"/>
        <v>7.5855833333333322</v>
      </c>
      <c r="BO91" s="81">
        <f t="shared" ca="1" si="56"/>
        <v>7.5855833333333322</v>
      </c>
      <c r="BP91" s="81">
        <f t="shared" ca="1" si="56"/>
        <v>7.5855833333333322</v>
      </c>
      <c r="BQ91" s="81">
        <f t="shared" ca="1" si="56"/>
        <v>7.5855833333333322</v>
      </c>
      <c r="BR91" s="81">
        <f t="shared" ca="1" si="56"/>
        <v>7.5855833333333322</v>
      </c>
      <c r="BS91" s="81">
        <f t="shared" ca="1" si="56"/>
        <v>7.5855833333333322</v>
      </c>
      <c r="BT91" s="81">
        <f t="shared" ca="1" si="56"/>
        <v>7.5855833333333322</v>
      </c>
      <c r="BU91" s="81">
        <f t="shared" ca="1" si="56"/>
        <v>7.5855833333333322</v>
      </c>
      <c r="BV91" s="81">
        <f t="shared" ca="1" si="56"/>
        <v>7.5855833333333322</v>
      </c>
      <c r="BW91" s="81">
        <f t="shared" ca="1" si="56"/>
        <v>7.5855833333333322</v>
      </c>
      <c r="BX91" s="81">
        <f t="shared" ca="1" si="56"/>
        <v>7.5855833333333322</v>
      </c>
      <c r="BY91" s="81">
        <f t="shared" ca="1" si="56"/>
        <v>7.5855833333333322</v>
      </c>
      <c r="BZ91" s="81">
        <f t="shared" ca="1" si="56"/>
        <v>7.5855833333333322</v>
      </c>
      <c r="CA91" s="81">
        <f t="shared" ca="1" si="56"/>
        <v>7.5855833333333322</v>
      </c>
      <c r="CB91" s="81">
        <f t="shared" ca="1" si="56"/>
        <v>7.5855833333333322</v>
      </c>
      <c r="CC91" s="81">
        <f t="shared" ca="1" si="56"/>
        <v>7.5855833333333322</v>
      </c>
      <c r="CD91" s="81">
        <f t="shared" ca="1" si="56"/>
        <v>7.5855833333333322</v>
      </c>
      <c r="CE91" s="81">
        <f t="shared" ca="1" si="56"/>
        <v>7.5855833333333322</v>
      </c>
      <c r="CF91" s="81">
        <f t="shared" ca="1" si="56"/>
        <v>7.5855833333333322</v>
      </c>
      <c r="CG91" s="81">
        <f t="shared" ca="1" si="56"/>
        <v>7.5855833333333322</v>
      </c>
      <c r="CH91" s="81">
        <f t="shared" ca="1" si="56"/>
        <v>7.5855833333333322</v>
      </c>
    </row>
    <row r="92" spans="2:86" ht="13">
      <c r="B92" s="15" t="s">
        <v>289</v>
      </c>
      <c r="C92" s="15"/>
      <c r="D92" s="15" t="s">
        <v>247</v>
      </c>
      <c r="E92" s="81">
        <f t="shared" ca="1" si="53"/>
        <v>7.5855833333333322</v>
      </c>
      <c r="F92" s="82" t="str">
        <f t="shared" si="54"/>
        <v>Total Value to Paid in Capital (TVPI)</v>
      </c>
      <c r="G92" s="81">
        <f t="shared" ref="G92:CH92" ca="1" si="57">G91+G90</f>
        <v>0.83297273907399394</v>
      </c>
      <c r="H92" s="81">
        <f t="shared" ca="1" si="57"/>
        <v>0.86284177498879422</v>
      </c>
      <c r="I92" s="81">
        <f t="shared" ca="1" si="57"/>
        <v>0.87327990322092852</v>
      </c>
      <c r="J92" s="81">
        <f t="shared" ca="1" si="57"/>
        <v>0.87859424920127793</v>
      </c>
      <c r="K92" s="81">
        <f t="shared" ca="1" si="57"/>
        <v>0.88181401740723775</v>
      </c>
      <c r="L92" s="81">
        <f t="shared" ca="1" si="57"/>
        <v>0.88397367212612887</v>
      </c>
      <c r="M92" s="81">
        <f t="shared" ca="1" si="57"/>
        <v>0.88552277058552931</v>
      </c>
      <c r="N92" s="81">
        <f t="shared" ca="1" si="57"/>
        <v>0.88668816213726398</v>
      </c>
      <c r="O92" s="81">
        <f t="shared" ca="1" si="57"/>
        <v>0.93082702392526984</v>
      </c>
      <c r="P92" s="81">
        <f t="shared" ca="1" si="57"/>
        <v>0.97091164618680703</v>
      </c>
      <c r="Q92" s="81">
        <f t="shared" ca="1" si="57"/>
        <v>1.0064322431001989</v>
      </c>
      <c r="R92" s="81">
        <f t="shared" ca="1" si="57"/>
        <v>1.0343579484746621</v>
      </c>
      <c r="S92" s="81">
        <f t="shared" ca="1" si="57"/>
        <v>1.0637752917127548</v>
      </c>
      <c r="T92" s="81">
        <f t="shared" ca="1" si="57"/>
        <v>1.0917085429804587</v>
      </c>
      <c r="U92" s="81">
        <f t="shared" ca="1" si="57"/>
        <v>1.1184530560321282</v>
      </c>
      <c r="V92" s="81">
        <f t="shared" ca="1" si="57"/>
        <v>1.1442306878699631</v>
      </c>
      <c r="W92" s="81">
        <f t="shared" ca="1" si="57"/>
        <v>1.2170453316751899</v>
      </c>
      <c r="X92" s="81">
        <f t="shared" ca="1" si="57"/>
        <v>1.2846183773431701</v>
      </c>
      <c r="Y92" s="81">
        <f t="shared" ca="1" si="57"/>
        <v>1.347050630556579</v>
      </c>
      <c r="Z92" s="81">
        <f t="shared" ca="1" si="57"/>
        <v>1.4044403285556712</v>
      </c>
      <c r="AA92" s="81">
        <f t="shared" ca="1" si="57"/>
        <v>1.4525607162794374</v>
      </c>
      <c r="AB92" s="81">
        <f t="shared" ca="1" si="57"/>
        <v>1.4953869165323952</v>
      </c>
      <c r="AC92" s="81">
        <f t="shared" ca="1" si="57"/>
        <v>1.5330182008203019</v>
      </c>
      <c r="AD92" s="81">
        <f t="shared" ca="1" si="57"/>
        <v>1.5655513741405285</v>
      </c>
      <c r="AE92" s="81">
        <f t="shared" ca="1" si="57"/>
        <v>1.9801217538063765</v>
      </c>
      <c r="AF92" s="81">
        <f t="shared" ca="1" si="57"/>
        <v>2.3872471847736634</v>
      </c>
      <c r="AG92" s="81">
        <f t="shared" ca="1" si="57"/>
        <v>2.7870638624775417</v>
      </c>
      <c r="AH92" s="81">
        <f t="shared" ca="1" si="57"/>
        <v>3.1797046804685536</v>
      </c>
      <c r="AI92" s="81">
        <f t="shared" ca="1" si="57"/>
        <v>3.5697221784385835</v>
      </c>
      <c r="AJ92" s="81">
        <f t="shared" ca="1" si="57"/>
        <v>3.9536821514322678</v>
      </c>
      <c r="AK92" s="81">
        <f t="shared" ca="1" si="57"/>
        <v>4.3316927752367302</v>
      </c>
      <c r="AL92" s="81">
        <f t="shared" ca="1" si="57"/>
        <v>4.7038596651313576</v>
      </c>
      <c r="AM92" s="81">
        <f t="shared" ca="1" si="57"/>
        <v>5.0262872119541901</v>
      </c>
      <c r="AN92" s="81">
        <f t="shared" ca="1" si="57"/>
        <v>5.3439686178158965</v>
      </c>
      <c r="AO92" s="81">
        <f t="shared" ca="1" si="57"/>
        <v>5.6569866685042705</v>
      </c>
      <c r="AP92" s="81">
        <f t="shared" ca="1" si="57"/>
        <v>5.9654222355869297</v>
      </c>
      <c r="AQ92" s="81">
        <f t="shared" ca="1" si="57"/>
        <v>6.3247872431787568</v>
      </c>
      <c r="AR92" s="81">
        <f t="shared" ca="1" si="57"/>
        <v>6.6789336714848462</v>
      </c>
      <c r="AS92" s="81">
        <f t="shared" ca="1" si="57"/>
        <v>7.0279504780341293</v>
      </c>
      <c r="AT92" s="81">
        <f t="shared" ca="1" si="57"/>
        <v>7.5855833333333322</v>
      </c>
      <c r="AU92" s="81">
        <f t="shared" ca="1" si="57"/>
        <v>7.5855833333333322</v>
      </c>
      <c r="AV92" s="81">
        <f t="shared" ca="1" si="57"/>
        <v>7.5855833333333322</v>
      </c>
      <c r="AW92" s="81">
        <f t="shared" ca="1" si="57"/>
        <v>7.5855833333333322</v>
      </c>
      <c r="AX92" s="81">
        <f t="shared" ca="1" si="57"/>
        <v>7.5855833333333322</v>
      </c>
      <c r="AY92" s="81">
        <f t="shared" ca="1" si="57"/>
        <v>7.5855833333333322</v>
      </c>
      <c r="AZ92" s="81">
        <f t="shared" ca="1" si="57"/>
        <v>7.5855833333333322</v>
      </c>
      <c r="BA92" s="81">
        <f t="shared" ca="1" si="57"/>
        <v>7.5855833333333322</v>
      </c>
      <c r="BB92" s="81">
        <f t="shared" ca="1" si="57"/>
        <v>7.5855833333333322</v>
      </c>
      <c r="BC92" s="81">
        <f t="shared" ca="1" si="57"/>
        <v>7.5855833333333322</v>
      </c>
      <c r="BD92" s="81">
        <f t="shared" ca="1" si="57"/>
        <v>7.5855833333333322</v>
      </c>
      <c r="BE92" s="81">
        <f t="shared" ca="1" si="57"/>
        <v>7.5855833333333322</v>
      </c>
      <c r="BF92" s="81">
        <f t="shared" ca="1" si="57"/>
        <v>7.5855833333333322</v>
      </c>
      <c r="BG92" s="81">
        <f t="shared" ca="1" si="57"/>
        <v>7.5855833333333322</v>
      </c>
      <c r="BH92" s="81">
        <f t="shared" ca="1" si="57"/>
        <v>7.5855833333333322</v>
      </c>
      <c r="BI92" s="81">
        <f t="shared" ca="1" si="57"/>
        <v>7.5855833333333322</v>
      </c>
      <c r="BJ92" s="81">
        <f t="shared" ca="1" si="57"/>
        <v>7.5855833333333322</v>
      </c>
      <c r="BK92" s="81">
        <f t="shared" ca="1" si="57"/>
        <v>7.5855833333333322</v>
      </c>
      <c r="BL92" s="81">
        <f t="shared" ca="1" si="57"/>
        <v>7.5855833333333322</v>
      </c>
      <c r="BM92" s="81">
        <f t="shared" ca="1" si="57"/>
        <v>7.5855833333333322</v>
      </c>
      <c r="BN92" s="81">
        <f t="shared" ca="1" si="57"/>
        <v>7.5855833333333322</v>
      </c>
      <c r="BO92" s="81">
        <f t="shared" ca="1" si="57"/>
        <v>7.5855833333333322</v>
      </c>
      <c r="BP92" s="81">
        <f t="shared" ca="1" si="57"/>
        <v>7.5855833333333322</v>
      </c>
      <c r="BQ92" s="81">
        <f t="shared" ca="1" si="57"/>
        <v>7.5855833333333322</v>
      </c>
      <c r="BR92" s="81">
        <f t="shared" ca="1" si="57"/>
        <v>7.5855833333333322</v>
      </c>
      <c r="BS92" s="81">
        <f t="shared" ca="1" si="57"/>
        <v>7.5855833333333322</v>
      </c>
      <c r="BT92" s="81">
        <f t="shared" ca="1" si="57"/>
        <v>7.5855833333333322</v>
      </c>
      <c r="BU92" s="81">
        <f t="shared" ca="1" si="57"/>
        <v>7.5855833333333322</v>
      </c>
      <c r="BV92" s="81">
        <f t="shared" ca="1" si="57"/>
        <v>7.5855833333333322</v>
      </c>
      <c r="BW92" s="81">
        <f t="shared" ca="1" si="57"/>
        <v>7.5855833333333322</v>
      </c>
      <c r="BX92" s="81">
        <f t="shared" ca="1" si="57"/>
        <v>7.5855833333333322</v>
      </c>
      <c r="BY92" s="81">
        <f t="shared" ca="1" si="57"/>
        <v>7.5855833333333322</v>
      </c>
      <c r="BZ92" s="81">
        <f t="shared" ca="1" si="57"/>
        <v>7.5855833333333322</v>
      </c>
      <c r="CA92" s="81">
        <f t="shared" ca="1" si="57"/>
        <v>7.5855833333333322</v>
      </c>
      <c r="CB92" s="81">
        <f t="shared" ca="1" si="57"/>
        <v>7.5855833333333322</v>
      </c>
      <c r="CC92" s="81">
        <f t="shared" ca="1" si="57"/>
        <v>7.5855833333333322</v>
      </c>
      <c r="CD92" s="81">
        <f t="shared" ca="1" si="57"/>
        <v>7.5855833333333322</v>
      </c>
      <c r="CE92" s="81">
        <f t="shared" ca="1" si="57"/>
        <v>7.5855833333333322</v>
      </c>
      <c r="CF92" s="81">
        <f t="shared" ca="1" si="57"/>
        <v>7.5855833333333322</v>
      </c>
      <c r="CG92" s="81">
        <f t="shared" ca="1" si="57"/>
        <v>7.5855833333333322</v>
      </c>
      <c r="CH92" s="81">
        <f t="shared" ca="1" si="57"/>
        <v>7.5855833333333322</v>
      </c>
    </row>
    <row r="93" spans="2:86" ht="13">
      <c r="B93" s="15" t="s">
        <v>290</v>
      </c>
      <c r="C93" s="15" t="s">
        <v>291</v>
      </c>
      <c r="D93" s="15" t="s">
        <v>292</v>
      </c>
      <c r="E93" s="77">
        <f ca="1">IF(D93="max",MAX(G93:CH93),IF(D93="sum",SUM(G93:CH93),IF(D93="final",CH93,IF(D93="initial",G93,IF(D93="average",AVERAGE(G93:CH93),0)))))</f>
        <v>0.73478333333333312</v>
      </c>
      <c r="F93" s="29"/>
      <c r="G93" s="77">
        <f t="shared" ref="G93:CH93" ca="1" si="58">IF(G100&lt;=0,ABS(G100)/G59,0)</f>
        <v>5.7775E-2</v>
      </c>
      <c r="H93" s="77">
        <f t="shared" ca="1" si="58"/>
        <v>0.11155</v>
      </c>
      <c r="I93" s="77">
        <f t="shared" ca="1" si="58"/>
        <v>0.165325</v>
      </c>
      <c r="J93" s="77">
        <f t="shared" ca="1" si="58"/>
        <v>0.21909999999999999</v>
      </c>
      <c r="K93" s="77">
        <f t="shared" ca="1" si="58"/>
        <v>0.27287499999999998</v>
      </c>
      <c r="L93" s="77">
        <f t="shared" ca="1" si="58"/>
        <v>0.32665</v>
      </c>
      <c r="M93" s="77">
        <f t="shared" ca="1" si="58"/>
        <v>0.38042500000000001</v>
      </c>
      <c r="N93" s="77">
        <f t="shared" ca="1" si="58"/>
        <v>0.43419999999999997</v>
      </c>
      <c r="O93" s="77">
        <f t="shared" ca="1" si="58"/>
        <v>0.48797499999999999</v>
      </c>
      <c r="P93" s="77">
        <f t="shared" ca="1" si="58"/>
        <v>0.54174999999999995</v>
      </c>
      <c r="Q93" s="77">
        <f t="shared" ca="1" si="58"/>
        <v>0.59552499999999997</v>
      </c>
      <c r="R93" s="77">
        <f t="shared" ca="1" si="58"/>
        <v>0.64929999999999999</v>
      </c>
      <c r="S93" s="77">
        <f t="shared" ca="1" si="58"/>
        <v>0.67067083333333333</v>
      </c>
      <c r="T93" s="77">
        <f t="shared" ca="1" si="58"/>
        <v>0.69204166666666656</v>
      </c>
      <c r="U93" s="77">
        <f t="shared" ca="1" si="58"/>
        <v>0.71341249999999989</v>
      </c>
      <c r="V93" s="77">
        <f t="shared" ca="1" si="58"/>
        <v>0.73478333333333312</v>
      </c>
      <c r="W93" s="77">
        <f t="shared" ca="1" si="58"/>
        <v>0.63937083333333311</v>
      </c>
      <c r="X93" s="77">
        <f t="shared" ca="1" si="58"/>
        <v>0.5439583333333331</v>
      </c>
      <c r="Y93" s="77">
        <f t="shared" ca="1" si="58"/>
        <v>0.44854583333333314</v>
      </c>
      <c r="Z93" s="77">
        <f t="shared" ca="1" si="58"/>
        <v>0.35910666666666641</v>
      </c>
      <c r="AA93" s="77">
        <f t="shared" ca="1" si="58"/>
        <v>0.27317333333333305</v>
      </c>
      <c r="AB93" s="77">
        <f t="shared" ca="1" si="58"/>
        <v>0.18723999999999971</v>
      </c>
      <c r="AC93" s="77">
        <f t="shared" ca="1" si="58"/>
        <v>0.10130666666666635</v>
      </c>
      <c r="AD93" s="77">
        <f t="shared" ca="1" si="58"/>
        <v>1.5373333333332967E-2</v>
      </c>
      <c r="AE93" s="77">
        <f t="shared" ca="1" si="58"/>
        <v>0</v>
      </c>
      <c r="AF93" s="77">
        <f t="shared" ca="1" si="58"/>
        <v>0</v>
      </c>
      <c r="AG93" s="77">
        <f t="shared" ca="1" si="58"/>
        <v>0</v>
      </c>
      <c r="AH93" s="77">
        <f t="shared" ca="1" si="58"/>
        <v>0</v>
      </c>
      <c r="AI93" s="77">
        <f t="shared" ca="1" si="58"/>
        <v>0</v>
      </c>
      <c r="AJ93" s="77">
        <f t="shared" ca="1" si="58"/>
        <v>0</v>
      </c>
      <c r="AK93" s="77">
        <f t="shared" ca="1" si="58"/>
        <v>0</v>
      </c>
      <c r="AL93" s="77">
        <f t="shared" ca="1" si="58"/>
        <v>0</v>
      </c>
      <c r="AM93" s="77">
        <f t="shared" ca="1" si="58"/>
        <v>0</v>
      </c>
      <c r="AN93" s="77">
        <f t="shared" ca="1" si="58"/>
        <v>0</v>
      </c>
      <c r="AO93" s="77">
        <f t="shared" ca="1" si="58"/>
        <v>0</v>
      </c>
      <c r="AP93" s="77">
        <f t="shared" ca="1" si="58"/>
        <v>0</v>
      </c>
      <c r="AQ93" s="77">
        <f t="shared" ca="1" si="58"/>
        <v>0</v>
      </c>
      <c r="AR93" s="77">
        <f t="shared" ca="1" si="58"/>
        <v>0</v>
      </c>
      <c r="AS93" s="77">
        <f t="shared" ca="1" si="58"/>
        <v>0</v>
      </c>
      <c r="AT93" s="77">
        <f t="shared" ca="1" si="58"/>
        <v>0</v>
      </c>
      <c r="AU93" s="77">
        <f t="shared" ca="1" si="58"/>
        <v>0</v>
      </c>
      <c r="AV93" s="77">
        <f t="shared" ca="1" si="58"/>
        <v>0</v>
      </c>
      <c r="AW93" s="77">
        <f t="shared" ca="1" si="58"/>
        <v>0</v>
      </c>
      <c r="AX93" s="77">
        <f t="shared" ca="1" si="58"/>
        <v>0</v>
      </c>
      <c r="AY93" s="77">
        <f t="shared" ca="1" si="58"/>
        <v>0</v>
      </c>
      <c r="AZ93" s="77">
        <f t="shared" ca="1" si="58"/>
        <v>0</v>
      </c>
      <c r="BA93" s="77">
        <f t="shared" ca="1" si="58"/>
        <v>0</v>
      </c>
      <c r="BB93" s="77">
        <f t="shared" ca="1" si="58"/>
        <v>0</v>
      </c>
      <c r="BC93" s="77">
        <f t="shared" ca="1" si="58"/>
        <v>0</v>
      </c>
      <c r="BD93" s="77">
        <f t="shared" ca="1" si="58"/>
        <v>0</v>
      </c>
      <c r="BE93" s="77">
        <f t="shared" ca="1" si="58"/>
        <v>0</v>
      </c>
      <c r="BF93" s="77">
        <f t="shared" ca="1" si="58"/>
        <v>0</v>
      </c>
      <c r="BG93" s="77">
        <f t="shared" ca="1" si="58"/>
        <v>0</v>
      </c>
      <c r="BH93" s="77">
        <f t="shared" ca="1" si="58"/>
        <v>0</v>
      </c>
      <c r="BI93" s="77">
        <f t="shared" ca="1" si="58"/>
        <v>0</v>
      </c>
      <c r="BJ93" s="77">
        <f t="shared" ca="1" si="58"/>
        <v>0</v>
      </c>
      <c r="BK93" s="77">
        <f t="shared" ca="1" si="58"/>
        <v>0</v>
      </c>
      <c r="BL93" s="77">
        <f t="shared" ca="1" si="58"/>
        <v>0</v>
      </c>
      <c r="BM93" s="77">
        <f t="shared" ca="1" si="58"/>
        <v>0</v>
      </c>
      <c r="BN93" s="77">
        <f t="shared" ca="1" si="58"/>
        <v>0</v>
      </c>
      <c r="BO93" s="77">
        <f t="shared" ca="1" si="58"/>
        <v>0</v>
      </c>
      <c r="BP93" s="77">
        <f t="shared" ca="1" si="58"/>
        <v>0</v>
      </c>
      <c r="BQ93" s="77">
        <f t="shared" ca="1" si="58"/>
        <v>0</v>
      </c>
      <c r="BR93" s="77">
        <f t="shared" ca="1" si="58"/>
        <v>0</v>
      </c>
      <c r="BS93" s="77">
        <f t="shared" ca="1" si="58"/>
        <v>0</v>
      </c>
      <c r="BT93" s="77">
        <f t="shared" ca="1" si="58"/>
        <v>0</v>
      </c>
      <c r="BU93" s="77">
        <f t="shared" ca="1" si="58"/>
        <v>0</v>
      </c>
      <c r="BV93" s="77">
        <f t="shared" ca="1" si="58"/>
        <v>0</v>
      </c>
      <c r="BW93" s="77">
        <f t="shared" ca="1" si="58"/>
        <v>0</v>
      </c>
      <c r="BX93" s="77">
        <f t="shared" ca="1" si="58"/>
        <v>0</v>
      </c>
      <c r="BY93" s="77">
        <f t="shared" ca="1" si="58"/>
        <v>0</v>
      </c>
      <c r="BZ93" s="77">
        <f t="shared" ca="1" si="58"/>
        <v>0</v>
      </c>
      <c r="CA93" s="77">
        <f t="shared" ca="1" si="58"/>
        <v>0</v>
      </c>
      <c r="CB93" s="77">
        <f t="shared" ca="1" si="58"/>
        <v>0</v>
      </c>
      <c r="CC93" s="77">
        <f t="shared" ca="1" si="58"/>
        <v>0</v>
      </c>
      <c r="CD93" s="77">
        <f t="shared" ca="1" si="58"/>
        <v>0</v>
      </c>
      <c r="CE93" s="77">
        <f t="shared" ca="1" si="58"/>
        <v>0</v>
      </c>
      <c r="CF93" s="77">
        <f t="shared" ca="1" si="58"/>
        <v>0</v>
      </c>
      <c r="CG93" s="77">
        <f t="shared" ca="1" si="58"/>
        <v>0</v>
      </c>
      <c r="CH93" s="77">
        <f t="shared" ca="1" si="58"/>
        <v>0</v>
      </c>
    </row>
    <row r="94" spans="2:86" ht="13">
      <c r="B94" s="15"/>
      <c r="C94" s="15"/>
      <c r="D94" s="15"/>
      <c r="E94" s="15"/>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row>
    <row r="95" spans="2:86" ht="13">
      <c r="B95" s="15" t="s">
        <v>293</v>
      </c>
      <c r="C95" s="13" t="s">
        <v>294</v>
      </c>
      <c r="D95" s="15" t="s">
        <v>238</v>
      </c>
      <c r="E95" s="29">
        <f t="shared" ref="E95:E185" ca="1" si="59">IF(D95="sum",SUM(G95:CH95),IF(D95="final",CH95,IF(D95="initial",G95,IF(D95="average",AVERAGE(G95:CH95),0))))</f>
        <v>211549479.16666666</v>
      </c>
      <c r="F95" s="29"/>
      <c r="G95" s="29">
        <f t="shared" ref="G95:CH95" ca="1" si="60">-1*G38+G43</f>
        <v>-1203125</v>
      </c>
      <c r="H95" s="29">
        <f t="shared" ca="1" si="60"/>
        <v>-1203125</v>
      </c>
      <c r="I95" s="29">
        <f t="shared" ca="1" si="60"/>
        <v>-1203125</v>
      </c>
      <c r="J95" s="29">
        <f t="shared" ca="1" si="60"/>
        <v>-1203125</v>
      </c>
      <c r="K95" s="29">
        <f t="shared" ca="1" si="60"/>
        <v>-1203125</v>
      </c>
      <c r="L95" s="29">
        <f t="shared" ca="1" si="60"/>
        <v>-1203125</v>
      </c>
      <c r="M95" s="29">
        <f t="shared" ca="1" si="60"/>
        <v>-1203125</v>
      </c>
      <c r="N95" s="29">
        <f t="shared" ca="1" si="60"/>
        <v>-1203125</v>
      </c>
      <c r="O95" s="29">
        <f t="shared" ca="1" si="60"/>
        <v>-1203125</v>
      </c>
      <c r="P95" s="29">
        <f t="shared" ca="1" si="60"/>
        <v>-1203125</v>
      </c>
      <c r="Q95" s="29">
        <f t="shared" ca="1" si="60"/>
        <v>-1203125</v>
      </c>
      <c r="R95" s="29">
        <f t="shared" ca="1" si="60"/>
        <v>-1203125</v>
      </c>
      <c r="S95" s="29">
        <f t="shared" ca="1" si="60"/>
        <v>-393020.83333333279</v>
      </c>
      <c r="T95" s="29">
        <f t="shared" ca="1" si="60"/>
        <v>-393020.83333333279</v>
      </c>
      <c r="U95" s="29">
        <f t="shared" ca="1" si="60"/>
        <v>-393020.83333333279</v>
      </c>
      <c r="V95" s="29">
        <f t="shared" ca="1" si="60"/>
        <v>-393020.83333333279</v>
      </c>
      <c r="W95" s="29">
        <f t="shared" ca="1" si="60"/>
        <v>2526562.5000000009</v>
      </c>
      <c r="X95" s="29">
        <f t="shared" ca="1" si="60"/>
        <v>2526562.5000000009</v>
      </c>
      <c r="Y95" s="29">
        <f t="shared" ca="1" si="60"/>
        <v>2526562.5000000009</v>
      </c>
      <c r="Z95" s="29">
        <f t="shared" ca="1" si="60"/>
        <v>2526562.5000000009</v>
      </c>
      <c r="AA95" s="29">
        <f t="shared" ca="1" si="60"/>
        <v>2526562.5000000009</v>
      </c>
      <c r="AB95" s="29">
        <f t="shared" ca="1" si="60"/>
        <v>2526562.5000000009</v>
      </c>
      <c r="AC95" s="29">
        <f t="shared" ca="1" si="60"/>
        <v>2526562.5000000009</v>
      </c>
      <c r="AD95" s="29">
        <f t="shared" ca="1" si="60"/>
        <v>2526562.5000000009</v>
      </c>
      <c r="AE95" s="29">
        <f t="shared" ca="1" si="60"/>
        <v>14064531.249999998</v>
      </c>
      <c r="AF95" s="29">
        <f t="shared" ca="1" si="60"/>
        <v>14064531.249999998</v>
      </c>
      <c r="AG95" s="29">
        <f t="shared" ca="1" si="60"/>
        <v>14064531.249999998</v>
      </c>
      <c r="AH95" s="29">
        <f t="shared" ca="1" si="60"/>
        <v>14064531.249999998</v>
      </c>
      <c r="AI95" s="29">
        <f t="shared" ca="1" si="60"/>
        <v>13138124.999999998</v>
      </c>
      <c r="AJ95" s="29">
        <f t="shared" ca="1" si="60"/>
        <v>13138124.999999998</v>
      </c>
      <c r="AK95" s="29">
        <f t="shared" ca="1" si="60"/>
        <v>13138124.999999998</v>
      </c>
      <c r="AL95" s="29">
        <f t="shared" ca="1" si="60"/>
        <v>13138124.999999998</v>
      </c>
      <c r="AM95" s="29">
        <f t="shared" ca="1" si="60"/>
        <v>11369531.249999998</v>
      </c>
      <c r="AN95" s="29">
        <f t="shared" ca="1" si="60"/>
        <v>11369531.249999998</v>
      </c>
      <c r="AO95" s="29">
        <f t="shared" ca="1" si="60"/>
        <v>11369531.249999998</v>
      </c>
      <c r="AP95" s="29">
        <f t="shared" ca="1" si="60"/>
        <v>11369531.249999998</v>
      </c>
      <c r="AQ95" s="29">
        <f t="shared" ca="1" si="60"/>
        <v>13264453.124999996</v>
      </c>
      <c r="AR95" s="29">
        <f t="shared" ca="1" si="60"/>
        <v>13264453.124999996</v>
      </c>
      <c r="AS95" s="29">
        <f t="shared" ca="1" si="60"/>
        <v>13264453.124999996</v>
      </c>
      <c r="AT95" s="29">
        <f t="shared" ca="1" si="60"/>
        <v>13264453.124999996</v>
      </c>
      <c r="AU95" s="29">
        <f t="shared" ca="1" si="60"/>
        <v>0</v>
      </c>
      <c r="AV95" s="29">
        <f t="shared" ca="1" si="60"/>
        <v>0</v>
      </c>
      <c r="AW95" s="29">
        <f t="shared" ca="1" si="60"/>
        <v>0</v>
      </c>
      <c r="AX95" s="29">
        <f t="shared" ca="1" si="60"/>
        <v>0</v>
      </c>
      <c r="AY95" s="29">
        <f t="shared" ca="1" si="60"/>
        <v>0</v>
      </c>
      <c r="AZ95" s="29">
        <f t="shared" ca="1" si="60"/>
        <v>0</v>
      </c>
      <c r="BA95" s="29">
        <f t="shared" ca="1" si="60"/>
        <v>0</v>
      </c>
      <c r="BB95" s="29">
        <f t="shared" ca="1" si="60"/>
        <v>0</v>
      </c>
      <c r="BC95" s="29">
        <f t="shared" ca="1" si="60"/>
        <v>0</v>
      </c>
      <c r="BD95" s="29">
        <f t="shared" ca="1" si="60"/>
        <v>0</v>
      </c>
      <c r="BE95" s="29">
        <f t="shared" ca="1" si="60"/>
        <v>0</v>
      </c>
      <c r="BF95" s="29">
        <f t="shared" ca="1" si="60"/>
        <v>0</v>
      </c>
      <c r="BG95" s="29">
        <f t="shared" ca="1" si="60"/>
        <v>0</v>
      </c>
      <c r="BH95" s="29">
        <f t="shared" ca="1" si="60"/>
        <v>0</v>
      </c>
      <c r="BI95" s="29">
        <f t="shared" ca="1" si="60"/>
        <v>0</v>
      </c>
      <c r="BJ95" s="29">
        <f t="shared" ca="1" si="60"/>
        <v>0</v>
      </c>
      <c r="BK95" s="29">
        <f t="shared" ca="1" si="60"/>
        <v>0</v>
      </c>
      <c r="BL95" s="29">
        <f t="shared" ca="1" si="60"/>
        <v>0</v>
      </c>
      <c r="BM95" s="29">
        <f t="shared" ca="1" si="60"/>
        <v>0</v>
      </c>
      <c r="BN95" s="29">
        <f t="shared" ca="1" si="60"/>
        <v>0</v>
      </c>
      <c r="BO95" s="29">
        <f t="shared" ca="1" si="60"/>
        <v>0</v>
      </c>
      <c r="BP95" s="29">
        <f t="shared" ca="1" si="60"/>
        <v>0</v>
      </c>
      <c r="BQ95" s="29">
        <f t="shared" ca="1" si="60"/>
        <v>0</v>
      </c>
      <c r="BR95" s="29">
        <f t="shared" ca="1" si="60"/>
        <v>0</v>
      </c>
      <c r="BS95" s="29">
        <f t="shared" ca="1" si="60"/>
        <v>0</v>
      </c>
      <c r="BT95" s="29">
        <f t="shared" ca="1" si="60"/>
        <v>0</v>
      </c>
      <c r="BU95" s="29">
        <f t="shared" ca="1" si="60"/>
        <v>0</v>
      </c>
      <c r="BV95" s="29">
        <f t="shared" ca="1" si="60"/>
        <v>0</v>
      </c>
      <c r="BW95" s="29">
        <f t="shared" ca="1" si="60"/>
        <v>0</v>
      </c>
      <c r="BX95" s="29">
        <f t="shared" ca="1" si="60"/>
        <v>0</v>
      </c>
      <c r="BY95" s="29">
        <f t="shared" ca="1" si="60"/>
        <v>0</v>
      </c>
      <c r="BZ95" s="29">
        <f t="shared" ca="1" si="60"/>
        <v>0</v>
      </c>
      <c r="CA95" s="29">
        <f t="shared" ca="1" si="60"/>
        <v>0</v>
      </c>
      <c r="CB95" s="29">
        <f t="shared" ca="1" si="60"/>
        <v>0</v>
      </c>
      <c r="CC95" s="29">
        <f t="shared" ca="1" si="60"/>
        <v>0</v>
      </c>
      <c r="CD95" s="29">
        <f t="shared" ca="1" si="60"/>
        <v>0</v>
      </c>
      <c r="CE95" s="29">
        <f t="shared" ca="1" si="60"/>
        <v>0</v>
      </c>
      <c r="CF95" s="29">
        <f t="shared" ca="1" si="60"/>
        <v>0</v>
      </c>
      <c r="CG95" s="29">
        <f t="shared" ca="1" si="60"/>
        <v>0</v>
      </c>
      <c r="CH95" s="29">
        <f t="shared" ca="1" si="60"/>
        <v>0</v>
      </c>
    </row>
    <row r="96" spans="2:86" ht="13">
      <c r="B96" s="15" t="str">
        <f>"Cumulative "&amp;B95</f>
        <v>Cumulative Net (Investments) Proceeds</v>
      </c>
      <c r="C96" s="13" t="s">
        <v>294</v>
      </c>
      <c r="D96" s="15" t="s">
        <v>247</v>
      </c>
      <c r="E96" s="29">
        <f t="shared" ca="1" si="59"/>
        <v>211549479.16666666</v>
      </c>
      <c r="F96" s="29"/>
      <c r="G96" s="29">
        <f t="shared" ref="G96:CH96" ca="1" si="61">F96+G95</f>
        <v>-1203125</v>
      </c>
      <c r="H96" s="29">
        <f t="shared" ca="1" si="61"/>
        <v>-2406250</v>
      </c>
      <c r="I96" s="29">
        <f t="shared" ca="1" si="61"/>
        <v>-3609375</v>
      </c>
      <c r="J96" s="29">
        <f t="shared" ca="1" si="61"/>
        <v>-4812500</v>
      </c>
      <c r="K96" s="29">
        <f t="shared" ca="1" si="61"/>
        <v>-6015625</v>
      </c>
      <c r="L96" s="29">
        <f t="shared" ca="1" si="61"/>
        <v>-7218750</v>
      </c>
      <c r="M96" s="29">
        <f t="shared" ca="1" si="61"/>
        <v>-8421875</v>
      </c>
      <c r="N96" s="29">
        <f t="shared" ca="1" si="61"/>
        <v>-9625000</v>
      </c>
      <c r="O96" s="29">
        <f t="shared" ca="1" si="61"/>
        <v>-10828125</v>
      </c>
      <c r="P96" s="29">
        <f t="shared" ca="1" si="61"/>
        <v>-12031250</v>
      </c>
      <c r="Q96" s="29">
        <f t="shared" ca="1" si="61"/>
        <v>-13234375</v>
      </c>
      <c r="R96" s="29">
        <f t="shared" ca="1" si="61"/>
        <v>-14437500</v>
      </c>
      <c r="S96" s="29">
        <f t="shared" ca="1" si="61"/>
        <v>-14830520.833333332</v>
      </c>
      <c r="T96" s="29">
        <f t="shared" ca="1" si="61"/>
        <v>-15223541.666666664</v>
      </c>
      <c r="U96" s="29">
        <f t="shared" ca="1" si="61"/>
        <v>-15616562.499999996</v>
      </c>
      <c r="V96" s="29">
        <f t="shared" ca="1" si="61"/>
        <v>-16009583.333333328</v>
      </c>
      <c r="W96" s="29">
        <f t="shared" ca="1" si="61"/>
        <v>-13483020.833333328</v>
      </c>
      <c r="X96" s="29">
        <f t="shared" ca="1" si="61"/>
        <v>-10956458.333333328</v>
      </c>
      <c r="Y96" s="29">
        <f t="shared" ca="1" si="61"/>
        <v>-8429895.8333333284</v>
      </c>
      <c r="Z96" s="29">
        <f t="shared" ca="1" si="61"/>
        <v>-5903333.3333333274</v>
      </c>
      <c r="AA96" s="29">
        <f t="shared" ca="1" si="61"/>
        <v>-3376770.8333333265</v>
      </c>
      <c r="AB96" s="29">
        <f t="shared" ca="1" si="61"/>
        <v>-850208.33333332557</v>
      </c>
      <c r="AC96" s="29">
        <f t="shared" ca="1" si="61"/>
        <v>1676354.1666666754</v>
      </c>
      <c r="AD96" s="29">
        <f t="shared" ca="1" si="61"/>
        <v>4202916.6666666763</v>
      </c>
      <c r="AE96" s="29">
        <f t="shared" ca="1" si="61"/>
        <v>18267447.916666675</v>
      </c>
      <c r="AF96" s="29">
        <f t="shared" ca="1" si="61"/>
        <v>32331979.166666672</v>
      </c>
      <c r="AG96" s="29">
        <f t="shared" ca="1" si="61"/>
        <v>46396510.416666672</v>
      </c>
      <c r="AH96" s="29">
        <f t="shared" ca="1" si="61"/>
        <v>60461041.666666672</v>
      </c>
      <c r="AI96" s="29">
        <f t="shared" ca="1" si="61"/>
        <v>73599166.666666672</v>
      </c>
      <c r="AJ96" s="29">
        <f t="shared" ca="1" si="61"/>
        <v>86737291.666666672</v>
      </c>
      <c r="AK96" s="29">
        <f t="shared" ca="1" si="61"/>
        <v>99875416.666666672</v>
      </c>
      <c r="AL96" s="29">
        <f t="shared" ca="1" si="61"/>
        <v>113013541.66666667</v>
      </c>
      <c r="AM96" s="29">
        <f t="shared" ca="1" si="61"/>
        <v>124383072.91666667</v>
      </c>
      <c r="AN96" s="29">
        <f t="shared" ca="1" si="61"/>
        <v>135752604.16666666</v>
      </c>
      <c r="AO96" s="29">
        <f t="shared" ca="1" si="61"/>
        <v>147122135.41666666</v>
      </c>
      <c r="AP96" s="29">
        <f t="shared" ca="1" si="61"/>
        <v>158491666.66666666</v>
      </c>
      <c r="AQ96" s="29">
        <f t="shared" ca="1" si="61"/>
        <v>171756119.79166666</v>
      </c>
      <c r="AR96" s="29">
        <f t="shared" ca="1" si="61"/>
        <v>185020572.91666666</v>
      </c>
      <c r="AS96" s="29">
        <f t="shared" ca="1" si="61"/>
        <v>198285026.04166666</v>
      </c>
      <c r="AT96" s="29">
        <f t="shared" ca="1" si="61"/>
        <v>211549479.16666666</v>
      </c>
      <c r="AU96" s="29">
        <f t="shared" ca="1" si="61"/>
        <v>211549479.16666666</v>
      </c>
      <c r="AV96" s="29">
        <f t="shared" ca="1" si="61"/>
        <v>211549479.16666666</v>
      </c>
      <c r="AW96" s="29">
        <f t="shared" ca="1" si="61"/>
        <v>211549479.16666666</v>
      </c>
      <c r="AX96" s="29">
        <f t="shared" ca="1" si="61"/>
        <v>211549479.16666666</v>
      </c>
      <c r="AY96" s="29">
        <f t="shared" ca="1" si="61"/>
        <v>211549479.16666666</v>
      </c>
      <c r="AZ96" s="29">
        <f t="shared" ca="1" si="61"/>
        <v>211549479.16666666</v>
      </c>
      <c r="BA96" s="29">
        <f t="shared" ca="1" si="61"/>
        <v>211549479.16666666</v>
      </c>
      <c r="BB96" s="29">
        <f t="shared" ca="1" si="61"/>
        <v>211549479.16666666</v>
      </c>
      <c r="BC96" s="29">
        <f t="shared" ca="1" si="61"/>
        <v>211549479.16666666</v>
      </c>
      <c r="BD96" s="29">
        <f t="shared" ca="1" si="61"/>
        <v>211549479.16666666</v>
      </c>
      <c r="BE96" s="29">
        <f t="shared" ca="1" si="61"/>
        <v>211549479.16666666</v>
      </c>
      <c r="BF96" s="29">
        <f t="shared" ca="1" si="61"/>
        <v>211549479.16666666</v>
      </c>
      <c r="BG96" s="29">
        <f t="shared" ca="1" si="61"/>
        <v>211549479.16666666</v>
      </c>
      <c r="BH96" s="29">
        <f t="shared" ca="1" si="61"/>
        <v>211549479.16666666</v>
      </c>
      <c r="BI96" s="29">
        <f t="shared" ca="1" si="61"/>
        <v>211549479.16666666</v>
      </c>
      <c r="BJ96" s="29">
        <f t="shared" ca="1" si="61"/>
        <v>211549479.16666666</v>
      </c>
      <c r="BK96" s="29">
        <f t="shared" ca="1" si="61"/>
        <v>211549479.16666666</v>
      </c>
      <c r="BL96" s="29">
        <f t="shared" ca="1" si="61"/>
        <v>211549479.16666666</v>
      </c>
      <c r="BM96" s="29">
        <f t="shared" ca="1" si="61"/>
        <v>211549479.16666666</v>
      </c>
      <c r="BN96" s="29">
        <f t="shared" ca="1" si="61"/>
        <v>211549479.16666666</v>
      </c>
      <c r="BO96" s="29">
        <f t="shared" ca="1" si="61"/>
        <v>211549479.16666666</v>
      </c>
      <c r="BP96" s="29">
        <f t="shared" ca="1" si="61"/>
        <v>211549479.16666666</v>
      </c>
      <c r="BQ96" s="29">
        <f t="shared" ca="1" si="61"/>
        <v>211549479.16666666</v>
      </c>
      <c r="BR96" s="29">
        <f t="shared" ca="1" si="61"/>
        <v>211549479.16666666</v>
      </c>
      <c r="BS96" s="29">
        <f t="shared" ca="1" si="61"/>
        <v>211549479.16666666</v>
      </c>
      <c r="BT96" s="29">
        <f t="shared" ca="1" si="61"/>
        <v>211549479.16666666</v>
      </c>
      <c r="BU96" s="29">
        <f t="shared" ca="1" si="61"/>
        <v>211549479.16666666</v>
      </c>
      <c r="BV96" s="29">
        <f t="shared" ca="1" si="61"/>
        <v>211549479.16666666</v>
      </c>
      <c r="BW96" s="29">
        <f t="shared" ca="1" si="61"/>
        <v>211549479.16666666</v>
      </c>
      <c r="BX96" s="29">
        <f t="shared" ca="1" si="61"/>
        <v>211549479.16666666</v>
      </c>
      <c r="BY96" s="29">
        <f t="shared" ca="1" si="61"/>
        <v>211549479.16666666</v>
      </c>
      <c r="BZ96" s="29">
        <f t="shared" ca="1" si="61"/>
        <v>211549479.16666666</v>
      </c>
      <c r="CA96" s="29">
        <f t="shared" ca="1" si="61"/>
        <v>211549479.16666666</v>
      </c>
      <c r="CB96" s="29">
        <f t="shared" ca="1" si="61"/>
        <v>211549479.16666666</v>
      </c>
      <c r="CC96" s="29">
        <f t="shared" ca="1" si="61"/>
        <v>211549479.16666666</v>
      </c>
      <c r="CD96" s="29">
        <f t="shared" ca="1" si="61"/>
        <v>211549479.16666666</v>
      </c>
      <c r="CE96" s="29">
        <f t="shared" ca="1" si="61"/>
        <v>211549479.16666666</v>
      </c>
      <c r="CF96" s="29">
        <f t="shared" ca="1" si="61"/>
        <v>211549479.16666666</v>
      </c>
      <c r="CG96" s="29">
        <f t="shared" ca="1" si="61"/>
        <v>211549479.16666666</v>
      </c>
      <c r="CH96" s="29">
        <f t="shared" ca="1" si="61"/>
        <v>211549479.16666666</v>
      </c>
    </row>
    <row r="97" spans="2:86" ht="13">
      <c r="B97" s="15" t="s">
        <v>222</v>
      </c>
      <c r="C97" s="13" t="s">
        <v>294</v>
      </c>
      <c r="D97" s="15" t="s">
        <v>247</v>
      </c>
      <c r="E97" s="81">
        <f t="shared" ca="1" si="59"/>
        <v>11.55</v>
      </c>
      <c r="F97" s="29"/>
      <c r="G97" s="81">
        <f t="shared" ref="G97:CH97" ca="1" si="62">IFERROR(G72/G67,0)</f>
        <v>0</v>
      </c>
      <c r="H97" s="81">
        <f t="shared" ca="1" si="62"/>
        <v>0</v>
      </c>
      <c r="I97" s="81">
        <f t="shared" ca="1" si="62"/>
        <v>0</v>
      </c>
      <c r="J97" s="81">
        <f t="shared" ca="1" si="62"/>
        <v>0</v>
      </c>
      <c r="K97" s="81">
        <f t="shared" ca="1" si="62"/>
        <v>0</v>
      </c>
      <c r="L97" s="81">
        <f t="shared" ca="1" si="62"/>
        <v>0</v>
      </c>
      <c r="M97" s="81">
        <f t="shared" ca="1" si="62"/>
        <v>0</v>
      </c>
      <c r="N97" s="81">
        <f t="shared" ca="1" si="62"/>
        <v>0</v>
      </c>
      <c r="O97" s="81">
        <f t="shared" ca="1" si="62"/>
        <v>0</v>
      </c>
      <c r="P97" s="81">
        <f t="shared" ca="1" si="62"/>
        <v>0</v>
      </c>
      <c r="Q97" s="81">
        <f t="shared" ca="1" si="62"/>
        <v>0</v>
      </c>
      <c r="R97" s="81">
        <f t="shared" ca="1" si="62"/>
        <v>0</v>
      </c>
      <c r="S97" s="81">
        <f t="shared" ca="1" si="62"/>
        <v>6.3797468354430412E-2</v>
      </c>
      <c r="T97" s="81">
        <f t="shared" ca="1" si="62"/>
        <v>0.11720930232558144</v>
      </c>
      <c r="U97" s="81">
        <f t="shared" ca="1" si="62"/>
        <v>0.16258064516129039</v>
      </c>
      <c r="V97" s="81">
        <f t="shared" ca="1" si="62"/>
        <v>0.20160000000000011</v>
      </c>
      <c r="W97" s="81">
        <f t="shared" ca="1" si="62"/>
        <v>0.32760000000000017</v>
      </c>
      <c r="X97" s="81">
        <f t="shared" ca="1" si="62"/>
        <v>0.45360000000000023</v>
      </c>
      <c r="Y97" s="81">
        <f t="shared" ca="1" si="62"/>
        <v>0.57960000000000023</v>
      </c>
      <c r="Z97" s="81">
        <f t="shared" ca="1" si="62"/>
        <v>0.70560000000000023</v>
      </c>
      <c r="AA97" s="81">
        <f t="shared" ca="1" si="62"/>
        <v>0.83160000000000023</v>
      </c>
      <c r="AB97" s="81">
        <f t="shared" ca="1" si="62"/>
        <v>0.95760000000000023</v>
      </c>
      <c r="AC97" s="81">
        <f t="shared" ca="1" si="62"/>
        <v>1.0836000000000003</v>
      </c>
      <c r="AD97" s="81">
        <f t="shared" ca="1" si="62"/>
        <v>1.2096000000000002</v>
      </c>
      <c r="AE97" s="81">
        <f t="shared" ca="1" si="62"/>
        <v>1.911</v>
      </c>
      <c r="AF97" s="81">
        <f t="shared" ca="1" si="62"/>
        <v>2.6124000000000001</v>
      </c>
      <c r="AG97" s="81">
        <f t="shared" ca="1" si="62"/>
        <v>3.3138000000000001</v>
      </c>
      <c r="AH97" s="81">
        <f t="shared" ca="1" si="62"/>
        <v>4.0152000000000001</v>
      </c>
      <c r="AI97" s="81">
        <f t="shared" ca="1" si="62"/>
        <v>4.6703999999999999</v>
      </c>
      <c r="AJ97" s="81">
        <f t="shared" ca="1" si="62"/>
        <v>5.3256000000000006</v>
      </c>
      <c r="AK97" s="81">
        <f t="shared" ca="1" si="62"/>
        <v>5.9808000000000003</v>
      </c>
      <c r="AL97" s="81">
        <f t="shared" ca="1" si="62"/>
        <v>6.6360000000000001</v>
      </c>
      <c r="AM97" s="81">
        <f t="shared" ca="1" si="62"/>
        <v>7.2030000000000003</v>
      </c>
      <c r="AN97" s="81">
        <f t="shared" ca="1" si="62"/>
        <v>7.7700000000000005</v>
      </c>
      <c r="AO97" s="81">
        <f t="shared" ca="1" si="62"/>
        <v>8.3369999999999997</v>
      </c>
      <c r="AP97" s="81">
        <f t="shared" ca="1" si="62"/>
        <v>8.9039999999999999</v>
      </c>
      <c r="AQ97" s="81">
        <f t="shared" ca="1" si="62"/>
        <v>9.5655000000000001</v>
      </c>
      <c r="AR97" s="81">
        <f t="shared" ca="1" si="62"/>
        <v>10.227</v>
      </c>
      <c r="AS97" s="81">
        <f t="shared" ca="1" si="62"/>
        <v>10.888500000000001</v>
      </c>
      <c r="AT97" s="81">
        <f t="shared" ca="1" si="62"/>
        <v>11.55</v>
      </c>
      <c r="AU97" s="81">
        <f t="shared" ca="1" si="62"/>
        <v>11.55</v>
      </c>
      <c r="AV97" s="81">
        <f t="shared" ca="1" si="62"/>
        <v>11.55</v>
      </c>
      <c r="AW97" s="81">
        <f t="shared" ca="1" si="62"/>
        <v>11.55</v>
      </c>
      <c r="AX97" s="81">
        <f t="shared" ca="1" si="62"/>
        <v>11.55</v>
      </c>
      <c r="AY97" s="81">
        <f t="shared" ca="1" si="62"/>
        <v>11.55</v>
      </c>
      <c r="AZ97" s="81">
        <f t="shared" ca="1" si="62"/>
        <v>11.55</v>
      </c>
      <c r="BA97" s="81">
        <f t="shared" ca="1" si="62"/>
        <v>11.55</v>
      </c>
      <c r="BB97" s="81">
        <f t="shared" ca="1" si="62"/>
        <v>11.55</v>
      </c>
      <c r="BC97" s="81">
        <f t="shared" ca="1" si="62"/>
        <v>11.55</v>
      </c>
      <c r="BD97" s="81">
        <f t="shared" ca="1" si="62"/>
        <v>11.55</v>
      </c>
      <c r="BE97" s="81">
        <f t="shared" ca="1" si="62"/>
        <v>11.55</v>
      </c>
      <c r="BF97" s="81">
        <f t="shared" ca="1" si="62"/>
        <v>11.55</v>
      </c>
      <c r="BG97" s="81">
        <f t="shared" ca="1" si="62"/>
        <v>11.55</v>
      </c>
      <c r="BH97" s="81">
        <f t="shared" ca="1" si="62"/>
        <v>11.55</v>
      </c>
      <c r="BI97" s="81">
        <f t="shared" ca="1" si="62"/>
        <v>11.55</v>
      </c>
      <c r="BJ97" s="81">
        <f t="shared" ca="1" si="62"/>
        <v>11.55</v>
      </c>
      <c r="BK97" s="81">
        <f t="shared" ca="1" si="62"/>
        <v>11.55</v>
      </c>
      <c r="BL97" s="81">
        <f t="shared" ca="1" si="62"/>
        <v>11.55</v>
      </c>
      <c r="BM97" s="81">
        <f t="shared" ca="1" si="62"/>
        <v>11.55</v>
      </c>
      <c r="BN97" s="81">
        <f t="shared" ca="1" si="62"/>
        <v>11.55</v>
      </c>
      <c r="BO97" s="81">
        <f t="shared" ca="1" si="62"/>
        <v>11.55</v>
      </c>
      <c r="BP97" s="81">
        <f t="shared" ca="1" si="62"/>
        <v>11.55</v>
      </c>
      <c r="BQ97" s="81">
        <f t="shared" ca="1" si="62"/>
        <v>11.55</v>
      </c>
      <c r="BR97" s="81">
        <f t="shared" ca="1" si="62"/>
        <v>11.55</v>
      </c>
      <c r="BS97" s="81">
        <f t="shared" ca="1" si="62"/>
        <v>11.55</v>
      </c>
      <c r="BT97" s="81">
        <f t="shared" ca="1" si="62"/>
        <v>11.55</v>
      </c>
      <c r="BU97" s="81">
        <f t="shared" ca="1" si="62"/>
        <v>11.55</v>
      </c>
      <c r="BV97" s="81">
        <f t="shared" ca="1" si="62"/>
        <v>11.55</v>
      </c>
      <c r="BW97" s="81">
        <f t="shared" ca="1" si="62"/>
        <v>11.55</v>
      </c>
      <c r="BX97" s="81">
        <f t="shared" ca="1" si="62"/>
        <v>11.55</v>
      </c>
      <c r="BY97" s="81">
        <f t="shared" ca="1" si="62"/>
        <v>11.55</v>
      </c>
      <c r="BZ97" s="81">
        <f t="shared" ca="1" si="62"/>
        <v>11.55</v>
      </c>
      <c r="CA97" s="81">
        <f t="shared" ca="1" si="62"/>
        <v>11.55</v>
      </c>
      <c r="CB97" s="81">
        <f t="shared" ca="1" si="62"/>
        <v>11.55</v>
      </c>
      <c r="CC97" s="81">
        <f t="shared" ca="1" si="62"/>
        <v>11.55</v>
      </c>
      <c r="CD97" s="81">
        <f t="shared" ca="1" si="62"/>
        <v>11.55</v>
      </c>
      <c r="CE97" s="81">
        <f t="shared" ca="1" si="62"/>
        <v>11.55</v>
      </c>
      <c r="CF97" s="81">
        <f t="shared" ca="1" si="62"/>
        <v>11.55</v>
      </c>
      <c r="CG97" s="81">
        <f t="shared" ca="1" si="62"/>
        <v>11.55</v>
      </c>
      <c r="CH97" s="81">
        <f t="shared" ca="1" si="62"/>
        <v>11.55</v>
      </c>
    </row>
    <row r="98" spans="2:86" ht="13">
      <c r="B98" s="15" t="s">
        <v>226</v>
      </c>
      <c r="C98" s="13" t="s">
        <v>294</v>
      </c>
      <c r="D98" s="15" t="s">
        <v>247</v>
      </c>
      <c r="E98" s="77">
        <f t="shared" ca="1" si="59"/>
        <v>0.586562043428421</v>
      </c>
      <c r="F98" s="29"/>
      <c r="G98" s="83" t="str">
        <f t="shared" ref="G98:CH98" ca="1" si="63">IFERROR(XIRR(INDIRECT(""&amp;ADDRESS(ROW($D95),COLUMN($G95)+MATCH(INDEX($G95:$CH95,MATCH(TRUE,INDEX($G95:$CH95&lt;&gt;0,),0)),$G95:$CH95,0)-1,4)&amp;":"&amp;ADDRESS(ROW($G95),COLUMN($G95)+MATCH(F$5,$G$5:$CH$5,1),4)),INDIRECT(""&amp;ADDRESS(ROW(F$5),COLUMN($G95)+MATCH(INDEX($G95:$CH95,MATCH(TRUE,INDEX($G95:$CH95&lt;&gt;0,),0)),$G95:$CH95,0)-1,4) &amp; ":" &amp; ADDRESS(ROW($G$5),COLUMN($G95)+MATCH(F$5,$G$5:$CH$5,1),4))),"na")</f>
        <v>na</v>
      </c>
      <c r="H98" s="83" t="str">
        <f t="shared" ca="1" si="63"/>
        <v>na</v>
      </c>
      <c r="I98" s="83" t="str">
        <f t="shared" ca="1" si="63"/>
        <v>na</v>
      </c>
      <c r="J98" s="83" t="str">
        <f t="shared" ca="1" si="63"/>
        <v>na</v>
      </c>
      <c r="K98" s="83" t="str">
        <f t="shared" ca="1" si="63"/>
        <v>na</v>
      </c>
      <c r="L98" s="83" t="str">
        <f t="shared" ca="1" si="63"/>
        <v>na</v>
      </c>
      <c r="M98" s="83" t="str">
        <f t="shared" ca="1" si="63"/>
        <v>na</v>
      </c>
      <c r="N98" s="83" t="str">
        <f t="shared" ca="1" si="63"/>
        <v>na</v>
      </c>
      <c r="O98" s="83" t="str">
        <f t="shared" ca="1" si="63"/>
        <v>na</v>
      </c>
      <c r="P98" s="83" t="str">
        <f t="shared" ca="1" si="63"/>
        <v>na</v>
      </c>
      <c r="Q98" s="83" t="str">
        <f t="shared" ca="1" si="63"/>
        <v>na</v>
      </c>
      <c r="R98" s="83" t="str">
        <f t="shared" ca="1" si="63"/>
        <v>na</v>
      </c>
      <c r="S98" s="83" t="str">
        <f t="shared" ca="1" si="63"/>
        <v>na</v>
      </c>
      <c r="T98" s="83" t="str">
        <f t="shared" ca="1" si="63"/>
        <v>na</v>
      </c>
      <c r="U98" s="83" t="str">
        <f t="shared" ca="1" si="63"/>
        <v>na</v>
      </c>
      <c r="V98" s="83" t="str">
        <f t="shared" ca="1" si="63"/>
        <v>na</v>
      </c>
      <c r="W98" s="83">
        <f t="shared" ca="1" si="63"/>
        <v>2.9802322387695314E-9</v>
      </c>
      <c r="X98" s="83">
        <f t="shared" ca="1" si="63"/>
        <v>2.9802322387695314E-9</v>
      </c>
      <c r="Y98" s="83">
        <f t="shared" ca="1" si="63"/>
        <v>2.9802322387695314E-9</v>
      </c>
      <c r="Z98" s="83">
        <f t="shared" ca="1" si="63"/>
        <v>2.9802322387695314E-9</v>
      </c>
      <c r="AA98" s="83">
        <f t="shared" ca="1" si="63"/>
        <v>2.9802322387695314E-9</v>
      </c>
      <c r="AB98" s="83">
        <f t="shared" ca="1" si="63"/>
        <v>-1.7743461579084397E-2</v>
      </c>
      <c r="AC98" s="83">
        <f t="shared" ca="1" si="63"/>
        <v>3.1682857871055597E-2</v>
      </c>
      <c r="AD98" s="83">
        <f t="shared" ca="1" si="63"/>
        <v>7.2511783242225653E-2</v>
      </c>
      <c r="AE98" s="83">
        <f t="shared" ca="1" si="63"/>
        <v>0.22064252495765688</v>
      </c>
      <c r="AF98" s="83">
        <f t="shared" ca="1" si="63"/>
        <v>0.30979880690574657</v>
      </c>
      <c r="AG98" s="83">
        <f t="shared" ca="1" si="63"/>
        <v>0.37208841443061824</v>
      </c>
      <c r="AH98" s="83">
        <f t="shared" ca="1" si="63"/>
        <v>0.41851871609687807</v>
      </c>
      <c r="AI98" s="83">
        <f t="shared" ca="1" si="63"/>
        <v>0.45224872231483471</v>
      </c>
      <c r="AJ98" s="83">
        <f t="shared" ca="1" si="63"/>
        <v>0.47928282618522633</v>
      </c>
      <c r="AK98" s="83">
        <f t="shared" ca="1" si="63"/>
        <v>0.50127246975898754</v>
      </c>
      <c r="AL98" s="83">
        <f t="shared" ca="1" si="63"/>
        <v>0.51935724616050705</v>
      </c>
      <c r="AM98" s="83">
        <f t="shared" ca="1" si="63"/>
        <v>0.53241716027259833</v>
      </c>
      <c r="AN98" s="83">
        <f t="shared" ca="1" si="63"/>
        <v>0.54347226023674011</v>
      </c>
      <c r="AO98" s="83">
        <f t="shared" ca="1" si="63"/>
        <v>0.55286758542060854</v>
      </c>
      <c r="AP98" s="83">
        <f t="shared" ca="1" si="63"/>
        <v>0.56087858080863939</v>
      </c>
      <c r="AQ98" s="83">
        <f t="shared" ca="1" si="63"/>
        <v>0.56885235905647291</v>
      </c>
      <c r="AR98" s="83">
        <f t="shared" ca="1" si="63"/>
        <v>0.57567558884620673</v>
      </c>
      <c r="AS98" s="83">
        <f t="shared" ca="1" si="63"/>
        <v>0.58152937293052676</v>
      </c>
      <c r="AT98" s="83">
        <f t="shared" ca="1" si="63"/>
        <v>0.586562043428421</v>
      </c>
      <c r="AU98" s="83">
        <f t="shared" ca="1" si="63"/>
        <v>0.586562043428421</v>
      </c>
      <c r="AV98" s="83">
        <f t="shared" ca="1" si="63"/>
        <v>0.586562043428421</v>
      </c>
      <c r="AW98" s="83">
        <f t="shared" ca="1" si="63"/>
        <v>0.586562043428421</v>
      </c>
      <c r="AX98" s="83">
        <f t="shared" ca="1" si="63"/>
        <v>0.586562043428421</v>
      </c>
      <c r="AY98" s="83">
        <f t="shared" ca="1" si="63"/>
        <v>0.586562043428421</v>
      </c>
      <c r="AZ98" s="83">
        <f t="shared" ca="1" si="63"/>
        <v>0.586562043428421</v>
      </c>
      <c r="BA98" s="83">
        <f t="shared" ca="1" si="63"/>
        <v>0.586562043428421</v>
      </c>
      <c r="BB98" s="83">
        <f t="shared" ca="1" si="63"/>
        <v>0.586562043428421</v>
      </c>
      <c r="BC98" s="83">
        <f t="shared" ca="1" si="63"/>
        <v>0.586562043428421</v>
      </c>
      <c r="BD98" s="83">
        <f t="shared" ca="1" si="63"/>
        <v>0.586562043428421</v>
      </c>
      <c r="BE98" s="83">
        <f t="shared" ca="1" si="63"/>
        <v>0.586562043428421</v>
      </c>
      <c r="BF98" s="83">
        <f t="shared" ca="1" si="63"/>
        <v>0.586562043428421</v>
      </c>
      <c r="BG98" s="83">
        <f t="shared" ca="1" si="63"/>
        <v>0.586562043428421</v>
      </c>
      <c r="BH98" s="83">
        <f t="shared" ca="1" si="63"/>
        <v>0.586562043428421</v>
      </c>
      <c r="BI98" s="83">
        <f t="shared" ca="1" si="63"/>
        <v>0.586562043428421</v>
      </c>
      <c r="BJ98" s="83">
        <f t="shared" ca="1" si="63"/>
        <v>0.586562043428421</v>
      </c>
      <c r="BK98" s="83">
        <f t="shared" ca="1" si="63"/>
        <v>0.586562043428421</v>
      </c>
      <c r="BL98" s="83">
        <f t="shared" ca="1" si="63"/>
        <v>0.586562043428421</v>
      </c>
      <c r="BM98" s="83">
        <f t="shared" ca="1" si="63"/>
        <v>0.586562043428421</v>
      </c>
      <c r="BN98" s="83">
        <f t="shared" ca="1" si="63"/>
        <v>0.586562043428421</v>
      </c>
      <c r="BO98" s="83">
        <f t="shared" ca="1" si="63"/>
        <v>0.586562043428421</v>
      </c>
      <c r="BP98" s="83">
        <f t="shared" ca="1" si="63"/>
        <v>0.586562043428421</v>
      </c>
      <c r="BQ98" s="83">
        <f t="shared" ca="1" si="63"/>
        <v>0.586562043428421</v>
      </c>
      <c r="BR98" s="83">
        <f t="shared" ca="1" si="63"/>
        <v>0.586562043428421</v>
      </c>
      <c r="BS98" s="83">
        <f t="shared" ca="1" si="63"/>
        <v>0.586562043428421</v>
      </c>
      <c r="BT98" s="83">
        <f t="shared" ca="1" si="63"/>
        <v>0.586562043428421</v>
      </c>
      <c r="BU98" s="83">
        <f t="shared" ca="1" si="63"/>
        <v>0.586562043428421</v>
      </c>
      <c r="BV98" s="83">
        <f t="shared" ca="1" si="63"/>
        <v>0.586562043428421</v>
      </c>
      <c r="BW98" s="83">
        <f t="shared" ca="1" si="63"/>
        <v>0.586562043428421</v>
      </c>
      <c r="BX98" s="83">
        <f t="shared" ca="1" si="63"/>
        <v>0.586562043428421</v>
      </c>
      <c r="BY98" s="83">
        <f t="shared" ca="1" si="63"/>
        <v>0.586562043428421</v>
      </c>
      <c r="BZ98" s="83">
        <f t="shared" ca="1" si="63"/>
        <v>0.586562043428421</v>
      </c>
      <c r="CA98" s="83">
        <f t="shared" ca="1" si="63"/>
        <v>0.586562043428421</v>
      </c>
      <c r="CB98" s="83">
        <f t="shared" ca="1" si="63"/>
        <v>0.586562043428421</v>
      </c>
      <c r="CC98" s="83">
        <f t="shared" ca="1" si="63"/>
        <v>0.586562043428421</v>
      </c>
      <c r="CD98" s="83">
        <f t="shared" ca="1" si="63"/>
        <v>0.586562043428421</v>
      </c>
      <c r="CE98" s="83">
        <f t="shared" ca="1" si="63"/>
        <v>0.586562043428421</v>
      </c>
      <c r="CF98" s="83">
        <f t="shared" ca="1" si="63"/>
        <v>0.586562043428421</v>
      </c>
      <c r="CG98" s="83">
        <f t="shared" ca="1" si="63"/>
        <v>0.586562043428421</v>
      </c>
      <c r="CH98" s="83">
        <f t="shared" ca="1" si="63"/>
        <v>0.586562043428421</v>
      </c>
    </row>
    <row r="99" spans="2:86" ht="13">
      <c r="B99" s="15" t="s">
        <v>295</v>
      </c>
      <c r="C99" s="13" t="s">
        <v>294</v>
      </c>
      <c r="D99" s="15" t="s">
        <v>238</v>
      </c>
      <c r="E99" s="29">
        <f t="shared" ca="1" si="59"/>
        <v>164639583.33333331</v>
      </c>
      <c r="F99" s="29"/>
      <c r="G99" s="29">
        <f t="shared" ref="G99:CH99" ca="1" si="64">-1*G31+G47</f>
        <v>-1444375</v>
      </c>
      <c r="H99" s="29">
        <f t="shared" ca="1" si="64"/>
        <v>-1344375</v>
      </c>
      <c r="I99" s="29">
        <f t="shared" ca="1" si="64"/>
        <v>-1344375</v>
      </c>
      <c r="J99" s="29">
        <f t="shared" ca="1" si="64"/>
        <v>-1344375</v>
      </c>
      <c r="K99" s="29">
        <f t="shared" ca="1" si="64"/>
        <v>-1344375</v>
      </c>
      <c r="L99" s="29">
        <f t="shared" ca="1" si="64"/>
        <v>-1344375</v>
      </c>
      <c r="M99" s="29">
        <f t="shared" ca="1" si="64"/>
        <v>-1344375</v>
      </c>
      <c r="N99" s="29">
        <f t="shared" ca="1" si="64"/>
        <v>-1344375</v>
      </c>
      <c r="O99" s="29">
        <f t="shared" ca="1" si="64"/>
        <v>-1344375</v>
      </c>
      <c r="P99" s="29">
        <f t="shared" ca="1" si="64"/>
        <v>-1344375</v>
      </c>
      <c r="Q99" s="29">
        <f t="shared" ca="1" si="64"/>
        <v>-1344375</v>
      </c>
      <c r="R99" s="29">
        <f t="shared" ca="1" si="64"/>
        <v>-1344375</v>
      </c>
      <c r="S99" s="29">
        <f t="shared" ca="1" si="64"/>
        <v>-534270.83333333279</v>
      </c>
      <c r="T99" s="29">
        <f t="shared" ca="1" si="64"/>
        <v>-534270.83333333279</v>
      </c>
      <c r="U99" s="29">
        <f t="shared" ca="1" si="64"/>
        <v>-534270.83333333279</v>
      </c>
      <c r="V99" s="29">
        <f t="shared" ca="1" si="64"/>
        <v>-534270.83333333279</v>
      </c>
      <c r="W99" s="29">
        <f t="shared" ca="1" si="64"/>
        <v>2385312.5000000009</v>
      </c>
      <c r="X99" s="29">
        <f t="shared" ca="1" si="64"/>
        <v>2385312.5000000009</v>
      </c>
      <c r="Y99" s="29">
        <f t="shared" ca="1" si="64"/>
        <v>2385312.5000000009</v>
      </c>
      <c r="Z99" s="29">
        <f t="shared" ca="1" si="64"/>
        <v>2235979.166666667</v>
      </c>
      <c r="AA99" s="29">
        <f t="shared" ca="1" si="64"/>
        <v>2148333.333333334</v>
      </c>
      <c r="AB99" s="29">
        <f t="shared" ca="1" si="64"/>
        <v>2148333.333333334</v>
      </c>
      <c r="AC99" s="29">
        <f t="shared" ca="1" si="64"/>
        <v>2148333.333333334</v>
      </c>
      <c r="AD99" s="29">
        <f t="shared" ca="1" si="64"/>
        <v>2148333.3333333344</v>
      </c>
      <c r="AE99" s="29">
        <f t="shared" ca="1" si="64"/>
        <v>11248708.333333332</v>
      </c>
      <c r="AF99" s="29">
        <f t="shared" ca="1" si="64"/>
        <v>11248708.333333332</v>
      </c>
      <c r="AG99" s="29">
        <f t="shared" ca="1" si="64"/>
        <v>11248708.333333332</v>
      </c>
      <c r="AH99" s="29">
        <f t="shared" ca="1" si="64"/>
        <v>11248708.333333332</v>
      </c>
      <c r="AI99" s="29">
        <f t="shared" ca="1" si="64"/>
        <v>10452583.333333332</v>
      </c>
      <c r="AJ99" s="29">
        <f t="shared" ca="1" si="64"/>
        <v>10452583.333333332</v>
      </c>
      <c r="AK99" s="29">
        <f t="shared" ca="1" si="64"/>
        <v>10452583.333333332</v>
      </c>
      <c r="AL99" s="29">
        <f t="shared" ca="1" si="64"/>
        <v>10452583.333333332</v>
      </c>
      <c r="AM99" s="29">
        <f t="shared" ca="1" si="64"/>
        <v>9014374.9999999981</v>
      </c>
      <c r="AN99" s="29">
        <f t="shared" ca="1" si="64"/>
        <v>9014374.9999999981</v>
      </c>
      <c r="AO99" s="29">
        <f t="shared" ca="1" si="64"/>
        <v>9014374.9999999981</v>
      </c>
      <c r="AP99" s="29">
        <f t="shared" ca="1" si="64"/>
        <v>9014374.9999999981</v>
      </c>
      <c r="AQ99" s="29">
        <f t="shared" ca="1" si="64"/>
        <v>10540312.499999996</v>
      </c>
      <c r="AR99" s="29">
        <f t="shared" ca="1" si="64"/>
        <v>10540312.499999996</v>
      </c>
      <c r="AS99" s="29">
        <f t="shared" ca="1" si="64"/>
        <v>10540312.499999996</v>
      </c>
      <c r="AT99" s="29">
        <f t="shared" ca="1" si="64"/>
        <v>10540312.499999996</v>
      </c>
      <c r="AU99" s="29">
        <f t="shared" ca="1" si="64"/>
        <v>0</v>
      </c>
      <c r="AV99" s="29">
        <f t="shared" ca="1" si="64"/>
        <v>0</v>
      </c>
      <c r="AW99" s="29">
        <f t="shared" ca="1" si="64"/>
        <v>0</v>
      </c>
      <c r="AX99" s="29">
        <f t="shared" ca="1" si="64"/>
        <v>0</v>
      </c>
      <c r="AY99" s="29">
        <f t="shared" ca="1" si="64"/>
        <v>0</v>
      </c>
      <c r="AZ99" s="29">
        <f t="shared" ca="1" si="64"/>
        <v>0</v>
      </c>
      <c r="BA99" s="29">
        <f t="shared" ca="1" si="64"/>
        <v>0</v>
      </c>
      <c r="BB99" s="29">
        <f t="shared" ca="1" si="64"/>
        <v>0</v>
      </c>
      <c r="BC99" s="29">
        <f t="shared" ca="1" si="64"/>
        <v>0</v>
      </c>
      <c r="BD99" s="29">
        <f t="shared" ca="1" si="64"/>
        <v>0</v>
      </c>
      <c r="BE99" s="29">
        <f t="shared" ca="1" si="64"/>
        <v>0</v>
      </c>
      <c r="BF99" s="29">
        <f t="shared" ca="1" si="64"/>
        <v>0</v>
      </c>
      <c r="BG99" s="29">
        <f t="shared" ca="1" si="64"/>
        <v>0</v>
      </c>
      <c r="BH99" s="29">
        <f t="shared" ca="1" si="64"/>
        <v>0</v>
      </c>
      <c r="BI99" s="29">
        <f t="shared" ca="1" si="64"/>
        <v>0</v>
      </c>
      <c r="BJ99" s="29">
        <f t="shared" ca="1" si="64"/>
        <v>0</v>
      </c>
      <c r="BK99" s="29">
        <f t="shared" ca="1" si="64"/>
        <v>0</v>
      </c>
      <c r="BL99" s="29">
        <f t="shared" ca="1" si="64"/>
        <v>0</v>
      </c>
      <c r="BM99" s="29">
        <f t="shared" ca="1" si="64"/>
        <v>0</v>
      </c>
      <c r="BN99" s="29">
        <f t="shared" ca="1" si="64"/>
        <v>0</v>
      </c>
      <c r="BO99" s="29">
        <f t="shared" ca="1" si="64"/>
        <v>0</v>
      </c>
      <c r="BP99" s="29">
        <f t="shared" ca="1" si="64"/>
        <v>0</v>
      </c>
      <c r="BQ99" s="29">
        <f t="shared" ca="1" si="64"/>
        <v>0</v>
      </c>
      <c r="BR99" s="29">
        <f t="shared" ca="1" si="64"/>
        <v>0</v>
      </c>
      <c r="BS99" s="29">
        <f t="shared" ca="1" si="64"/>
        <v>0</v>
      </c>
      <c r="BT99" s="29">
        <f t="shared" ca="1" si="64"/>
        <v>0</v>
      </c>
      <c r="BU99" s="29">
        <f t="shared" ca="1" si="64"/>
        <v>0</v>
      </c>
      <c r="BV99" s="29">
        <f t="shared" ca="1" si="64"/>
        <v>0</v>
      </c>
      <c r="BW99" s="29">
        <f t="shared" ca="1" si="64"/>
        <v>0</v>
      </c>
      <c r="BX99" s="29">
        <f t="shared" ca="1" si="64"/>
        <v>0</v>
      </c>
      <c r="BY99" s="29">
        <f t="shared" ca="1" si="64"/>
        <v>0</v>
      </c>
      <c r="BZ99" s="29">
        <f t="shared" ca="1" si="64"/>
        <v>0</v>
      </c>
      <c r="CA99" s="29">
        <f t="shared" ca="1" si="64"/>
        <v>0</v>
      </c>
      <c r="CB99" s="29">
        <f t="shared" ca="1" si="64"/>
        <v>0</v>
      </c>
      <c r="CC99" s="29">
        <f t="shared" ca="1" si="64"/>
        <v>0</v>
      </c>
      <c r="CD99" s="29">
        <f t="shared" ca="1" si="64"/>
        <v>0</v>
      </c>
      <c r="CE99" s="29">
        <f t="shared" ca="1" si="64"/>
        <v>0</v>
      </c>
      <c r="CF99" s="29">
        <f t="shared" ca="1" si="64"/>
        <v>0</v>
      </c>
      <c r="CG99" s="29">
        <f t="shared" ca="1" si="64"/>
        <v>0</v>
      </c>
      <c r="CH99" s="29">
        <f t="shared" ca="1" si="64"/>
        <v>0</v>
      </c>
    </row>
    <row r="100" spans="2:86" ht="13">
      <c r="B100" s="15" t="str">
        <f>"Cumulative "&amp;B99</f>
        <v>Cumulative Net (Called Capital) Distributions</v>
      </c>
      <c r="C100" s="13" t="s">
        <v>294</v>
      </c>
      <c r="D100" s="15" t="s">
        <v>247</v>
      </c>
      <c r="E100" s="29">
        <f t="shared" ca="1" si="59"/>
        <v>164639583.33333331</v>
      </c>
      <c r="F100" s="29"/>
      <c r="G100" s="29">
        <f t="shared" ref="G100:CH100" ca="1" si="65">F100+G99</f>
        <v>-1444375</v>
      </c>
      <c r="H100" s="29">
        <f t="shared" ca="1" si="65"/>
        <v>-2788750</v>
      </c>
      <c r="I100" s="29">
        <f t="shared" ca="1" si="65"/>
        <v>-4133125</v>
      </c>
      <c r="J100" s="29">
        <f t="shared" ca="1" si="65"/>
        <v>-5477500</v>
      </c>
      <c r="K100" s="29">
        <f t="shared" ca="1" si="65"/>
        <v>-6821875</v>
      </c>
      <c r="L100" s="29">
        <f t="shared" ca="1" si="65"/>
        <v>-8166250</v>
      </c>
      <c r="M100" s="29">
        <f t="shared" ca="1" si="65"/>
        <v>-9510625</v>
      </c>
      <c r="N100" s="29">
        <f t="shared" ca="1" si="65"/>
        <v>-10855000</v>
      </c>
      <c r="O100" s="29">
        <f t="shared" ca="1" si="65"/>
        <v>-12199375</v>
      </c>
      <c r="P100" s="29">
        <f t="shared" ca="1" si="65"/>
        <v>-13543750</v>
      </c>
      <c r="Q100" s="29">
        <f t="shared" ca="1" si="65"/>
        <v>-14888125</v>
      </c>
      <c r="R100" s="29">
        <f t="shared" ca="1" si="65"/>
        <v>-16232500</v>
      </c>
      <c r="S100" s="29">
        <f t="shared" ca="1" si="65"/>
        <v>-16766770.833333332</v>
      </c>
      <c r="T100" s="29">
        <f t="shared" ca="1" si="65"/>
        <v>-17301041.666666664</v>
      </c>
      <c r="U100" s="29">
        <f t="shared" ca="1" si="65"/>
        <v>-17835312.499999996</v>
      </c>
      <c r="V100" s="29">
        <f t="shared" ca="1" si="65"/>
        <v>-18369583.333333328</v>
      </c>
      <c r="W100" s="29">
        <f t="shared" ca="1" si="65"/>
        <v>-15984270.833333328</v>
      </c>
      <c r="X100" s="29">
        <f t="shared" ca="1" si="65"/>
        <v>-13598958.333333328</v>
      </c>
      <c r="Y100" s="29">
        <f t="shared" ca="1" si="65"/>
        <v>-11213645.833333328</v>
      </c>
      <c r="Z100" s="29">
        <f t="shared" ca="1" si="65"/>
        <v>-8977666.6666666605</v>
      </c>
      <c r="AA100" s="29">
        <f t="shared" ca="1" si="65"/>
        <v>-6829333.3333333265</v>
      </c>
      <c r="AB100" s="29">
        <f t="shared" ca="1" si="65"/>
        <v>-4680999.9999999925</v>
      </c>
      <c r="AC100" s="29">
        <f t="shared" ca="1" si="65"/>
        <v>-2532666.6666666586</v>
      </c>
      <c r="AD100" s="29">
        <f t="shared" ca="1" si="65"/>
        <v>-384333.33333332418</v>
      </c>
      <c r="AE100" s="29">
        <f t="shared" ca="1" si="65"/>
        <v>10864375.000000007</v>
      </c>
      <c r="AF100" s="29">
        <f t="shared" ca="1" si="65"/>
        <v>22113083.33333334</v>
      </c>
      <c r="AG100" s="29">
        <f t="shared" ca="1" si="65"/>
        <v>33361791.666666672</v>
      </c>
      <c r="AH100" s="29">
        <f t="shared" ca="1" si="65"/>
        <v>44610500</v>
      </c>
      <c r="AI100" s="29">
        <f t="shared" ca="1" si="65"/>
        <v>55063083.333333328</v>
      </c>
      <c r="AJ100" s="29">
        <f t="shared" ca="1" si="65"/>
        <v>65515666.666666657</v>
      </c>
      <c r="AK100" s="29">
        <f t="shared" ca="1" si="65"/>
        <v>75968249.999999985</v>
      </c>
      <c r="AL100" s="29">
        <f t="shared" ca="1" si="65"/>
        <v>86420833.333333313</v>
      </c>
      <c r="AM100" s="29">
        <f t="shared" ca="1" si="65"/>
        <v>95435208.333333313</v>
      </c>
      <c r="AN100" s="29">
        <f t="shared" ca="1" si="65"/>
        <v>104449583.33333331</v>
      </c>
      <c r="AO100" s="29">
        <f t="shared" ca="1" si="65"/>
        <v>113463958.33333331</v>
      </c>
      <c r="AP100" s="29">
        <f t="shared" ca="1" si="65"/>
        <v>122478333.33333331</v>
      </c>
      <c r="AQ100" s="29">
        <f t="shared" ca="1" si="65"/>
        <v>133018645.83333331</v>
      </c>
      <c r="AR100" s="29">
        <f t="shared" ca="1" si="65"/>
        <v>143558958.33333331</v>
      </c>
      <c r="AS100" s="29">
        <f t="shared" ca="1" si="65"/>
        <v>154099270.83333331</v>
      </c>
      <c r="AT100" s="29">
        <f t="shared" ca="1" si="65"/>
        <v>164639583.33333331</v>
      </c>
      <c r="AU100" s="29">
        <f t="shared" ca="1" si="65"/>
        <v>164639583.33333331</v>
      </c>
      <c r="AV100" s="29">
        <f t="shared" ca="1" si="65"/>
        <v>164639583.33333331</v>
      </c>
      <c r="AW100" s="29">
        <f t="shared" ca="1" si="65"/>
        <v>164639583.33333331</v>
      </c>
      <c r="AX100" s="29">
        <f t="shared" ca="1" si="65"/>
        <v>164639583.33333331</v>
      </c>
      <c r="AY100" s="29">
        <f t="shared" ca="1" si="65"/>
        <v>164639583.33333331</v>
      </c>
      <c r="AZ100" s="29">
        <f t="shared" ca="1" si="65"/>
        <v>164639583.33333331</v>
      </c>
      <c r="BA100" s="29">
        <f t="shared" ca="1" si="65"/>
        <v>164639583.33333331</v>
      </c>
      <c r="BB100" s="29">
        <f t="shared" ca="1" si="65"/>
        <v>164639583.33333331</v>
      </c>
      <c r="BC100" s="29">
        <f t="shared" ca="1" si="65"/>
        <v>164639583.33333331</v>
      </c>
      <c r="BD100" s="29">
        <f t="shared" ca="1" si="65"/>
        <v>164639583.33333331</v>
      </c>
      <c r="BE100" s="29">
        <f t="shared" ca="1" si="65"/>
        <v>164639583.33333331</v>
      </c>
      <c r="BF100" s="29">
        <f t="shared" ca="1" si="65"/>
        <v>164639583.33333331</v>
      </c>
      <c r="BG100" s="29">
        <f t="shared" ca="1" si="65"/>
        <v>164639583.33333331</v>
      </c>
      <c r="BH100" s="29">
        <f t="shared" ca="1" si="65"/>
        <v>164639583.33333331</v>
      </c>
      <c r="BI100" s="29">
        <f t="shared" ca="1" si="65"/>
        <v>164639583.33333331</v>
      </c>
      <c r="BJ100" s="29">
        <f t="shared" ca="1" si="65"/>
        <v>164639583.33333331</v>
      </c>
      <c r="BK100" s="29">
        <f t="shared" ca="1" si="65"/>
        <v>164639583.33333331</v>
      </c>
      <c r="BL100" s="29">
        <f t="shared" ca="1" si="65"/>
        <v>164639583.33333331</v>
      </c>
      <c r="BM100" s="29">
        <f t="shared" ca="1" si="65"/>
        <v>164639583.33333331</v>
      </c>
      <c r="BN100" s="29">
        <f t="shared" ca="1" si="65"/>
        <v>164639583.33333331</v>
      </c>
      <c r="BO100" s="29">
        <f t="shared" ca="1" si="65"/>
        <v>164639583.33333331</v>
      </c>
      <c r="BP100" s="29">
        <f t="shared" ca="1" si="65"/>
        <v>164639583.33333331</v>
      </c>
      <c r="BQ100" s="29">
        <f t="shared" ca="1" si="65"/>
        <v>164639583.33333331</v>
      </c>
      <c r="BR100" s="29">
        <f t="shared" ca="1" si="65"/>
        <v>164639583.33333331</v>
      </c>
      <c r="BS100" s="29">
        <f t="shared" ca="1" si="65"/>
        <v>164639583.33333331</v>
      </c>
      <c r="BT100" s="29">
        <f t="shared" ca="1" si="65"/>
        <v>164639583.33333331</v>
      </c>
      <c r="BU100" s="29">
        <f t="shared" ca="1" si="65"/>
        <v>164639583.33333331</v>
      </c>
      <c r="BV100" s="29">
        <f t="shared" ca="1" si="65"/>
        <v>164639583.33333331</v>
      </c>
      <c r="BW100" s="29">
        <f t="shared" ca="1" si="65"/>
        <v>164639583.33333331</v>
      </c>
      <c r="BX100" s="29">
        <f t="shared" ca="1" si="65"/>
        <v>164639583.33333331</v>
      </c>
      <c r="BY100" s="29">
        <f t="shared" ca="1" si="65"/>
        <v>164639583.33333331</v>
      </c>
      <c r="BZ100" s="29">
        <f t="shared" ca="1" si="65"/>
        <v>164639583.33333331</v>
      </c>
      <c r="CA100" s="29">
        <f t="shared" ca="1" si="65"/>
        <v>164639583.33333331</v>
      </c>
      <c r="CB100" s="29">
        <f t="shared" ca="1" si="65"/>
        <v>164639583.33333331</v>
      </c>
      <c r="CC100" s="29">
        <f t="shared" ca="1" si="65"/>
        <v>164639583.33333331</v>
      </c>
      <c r="CD100" s="29">
        <f t="shared" ca="1" si="65"/>
        <v>164639583.33333331</v>
      </c>
      <c r="CE100" s="29">
        <f t="shared" ca="1" si="65"/>
        <v>164639583.33333331</v>
      </c>
      <c r="CF100" s="29">
        <f t="shared" ca="1" si="65"/>
        <v>164639583.33333331</v>
      </c>
      <c r="CG100" s="29">
        <f t="shared" ca="1" si="65"/>
        <v>164639583.33333331</v>
      </c>
      <c r="CH100" s="29">
        <f t="shared" ca="1" si="65"/>
        <v>164639583.33333331</v>
      </c>
    </row>
    <row r="101" spans="2:86" ht="13">
      <c r="B101" s="15" t="s">
        <v>224</v>
      </c>
      <c r="C101" s="13" t="s">
        <v>294</v>
      </c>
      <c r="D101" s="15" t="s">
        <v>247</v>
      </c>
      <c r="E101" s="81">
        <f t="shared" ca="1" si="59"/>
        <v>7.5855833333333322</v>
      </c>
      <c r="F101" s="29"/>
      <c r="G101" s="81">
        <f t="shared" ref="G101:CH101" ca="1" si="66">IFERROR(G76/G60,0)</f>
        <v>0</v>
      </c>
      <c r="H101" s="81">
        <f t="shared" ca="1" si="66"/>
        <v>0</v>
      </c>
      <c r="I101" s="81">
        <f t="shared" ca="1" si="66"/>
        <v>0</v>
      </c>
      <c r="J101" s="81">
        <f t="shared" ca="1" si="66"/>
        <v>0</v>
      </c>
      <c r="K101" s="81">
        <f t="shared" ca="1" si="66"/>
        <v>0</v>
      </c>
      <c r="L101" s="81">
        <f t="shared" ca="1" si="66"/>
        <v>0</v>
      </c>
      <c r="M101" s="81">
        <f t="shared" ca="1" si="66"/>
        <v>0</v>
      </c>
      <c r="N101" s="81">
        <f t="shared" ca="1" si="66"/>
        <v>0</v>
      </c>
      <c r="O101" s="81">
        <f t="shared" ca="1" si="66"/>
        <v>0</v>
      </c>
      <c r="P101" s="81">
        <f t="shared" ca="1" si="66"/>
        <v>0</v>
      </c>
      <c r="Q101" s="81">
        <f t="shared" ca="1" si="66"/>
        <v>0</v>
      </c>
      <c r="R101" s="81">
        <f t="shared" ca="1" si="66"/>
        <v>0</v>
      </c>
      <c r="S101" s="81">
        <f t="shared" ca="1" si="66"/>
        <v>4.6089203380388563E-2</v>
      </c>
      <c r="T101" s="81">
        <f t="shared" ca="1" si="66"/>
        <v>8.5629032613243547E-2</v>
      </c>
      <c r="U101" s="81">
        <f t="shared" ca="1" si="66"/>
        <v>0.11992289899768706</v>
      </c>
      <c r="V101" s="81">
        <f t="shared" ca="1" si="66"/>
        <v>0.14994986888786066</v>
      </c>
      <c r="W101" s="81">
        <f t="shared" ca="1" si="66"/>
        <v>0.26513322989100258</v>
      </c>
      <c r="X101" s="81">
        <f t="shared" ca="1" si="66"/>
        <v>0.37883026911803908</v>
      </c>
      <c r="Y101" s="81">
        <f t="shared" ca="1" si="66"/>
        <v>0.49106957130160195</v>
      </c>
      <c r="Z101" s="81">
        <f t="shared" ca="1" si="66"/>
        <v>0.59514468245020702</v>
      </c>
      <c r="AA101" s="81">
        <f t="shared" ca="1" si="66"/>
        <v>0.69397486883623694</v>
      </c>
      <c r="AB101" s="81">
        <f t="shared" ca="1" si="66"/>
        <v>0.7915618390292779</v>
      </c>
      <c r="AC101" s="81">
        <f t="shared" ca="1" si="66"/>
        <v>0.88792890462230623</v>
      </c>
      <c r="AD101" s="81">
        <f t="shared" ca="1" si="66"/>
        <v>0.98309879800645028</v>
      </c>
      <c r="AE101" s="81">
        <f t="shared" ca="1" si="66"/>
        <v>1.4748156241464088</v>
      </c>
      <c r="AF101" s="81">
        <f t="shared" ca="1" si="66"/>
        <v>1.9604987874181059</v>
      </c>
      <c r="AG101" s="81">
        <f t="shared" ca="1" si="66"/>
        <v>2.4402586656593459</v>
      </c>
      <c r="AH101" s="81">
        <f t="shared" ca="1" si="66"/>
        <v>2.9142029607380389</v>
      </c>
      <c r="AI101" s="81">
        <f t="shared" ca="1" si="66"/>
        <v>3.3484814558120521</v>
      </c>
      <c r="AJ101" s="81">
        <f t="shared" ca="1" si="66"/>
        <v>3.7775587352057935</v>
      </c>
      <c r="AK101" s="81">
        <f t="shared" ca="1" si="66"/>
        <v>4.2015276826634347</v>
      </c>
      <c r="AL101" s="81">
        <f t="shared" ca="1" si="66"/>
        <v>4.620478983382208</v>
      </c>
      <c r="AM101" s="81">
        <f t="shared" ca="1" si="66"/>
        <v>4.9746039183021837</v>
      </c>
      <c r="AN101" s="81">
        <f t="shared" ca="1" si="66"/>
        <v>5.3245868267605143</v>
      </c>
      <c r="AO101" s="81">
        <f t="shared" ca="1" si="66"/>
        <v>5.67049995712203</v>
      </c>
      <c r="AP101" s="81">
        <f t="shared" ca="1" si="66"/>
        <v>6.0124138871836834</v>
      </c>
      <c r="AQ101" s="81">
        <f t="shared" ca="1" si="66"/>
        <v>6.412487496397266</v>
      </c>
      <c r="AR101" s="81">
        <f t="shared" ca="1" si="66"/>
        <v>6.8079886045649163</v>
      </c>
      <c r="AS101" s="81">
        <f t="shared" ca="1" si="66"/>
        <v>7.198995155964532</v>
      </c>
      <c r="AT101" s="81">
        <f t="shared" ca="1" si="66"/>
        <v>7.5855833333333322</v>
      </c>
      <c r="AU101" s="81">
        <f t="shared" ca="1" si="66"/>
        <v>7.5855833333333322</v>
      </c>
      <c r="AV101" s="81">
        <f t="shared" ca="1" si="66"/>
        <v>7.5855833333333322</v>
      </c>
      <c r="AW101" s="81">
        <f t="shared" ca="1" si="66"/>
        <v>7.5855833333333322</v>
      </c>
      <c r="AX101" s="81">
        <f t="shared" ca="1" si="66"/>
        <v>7.5855833333333322</v>
      </c>
      <c r="AY101" s="81">
        <f t="shared" ca="1" si="66"/>
        <v>7.5855833333333322</v>
      </c>
      <c r="AZ101" s="81">
        <f t="shared" ca="1" si="66"/>
        <v>7.5855833333333322</v>
      </c>
      <c r="BA101" s="81">
        <f t="shared" ca="1" si="66"/>
        <v>7.5855833333333322</v>
      </c>
      <c r="BB101" s="81">
        <f t="shared" ca="1" si="66"/>
        <v>7.5855833333333322</v>
      </c>
      <c r="BC101" s="81">
        <f t="shared" ca="1" si="66"/>
        <v>7.5855833333333322</v>
      </c>
      <c r="BD101" s="81">
        <f t="shared" ca="1" si="66"/>
        <v>7.5855833333333322</v>
      </c>
      <c r="BE101" s="81">
        <f t="shared" ca="1" si="66"/>
        <v>7.5855833333333322</v>
      </c>
      <c r="BF101" s="81">
        <f t="shared" ca="1" si="66"/>
        <v>7.5855833333333322</v>
      </c>
      <c r="BG101" s="81">
        <f t="shared" ca="1" si="66"/>
        <v>7.5855833333333322</v>
      </c>
      <c r="BH101" s="81">
        <f t="shared" ca="1" si="66"/>
        <v>7.5855833333333322</v>
      </c>
      <c r="BI101" s="81">
        <f t="shared" ca="1" si="66"/>
        <v>7.5855833333333322</v>
      </c>
      <c r="BJ101" s="81">
        <f t="shared" ca="1" si="66"/>
        <v>7.5855833333333322</v>
      </c>
      <c r="BK101" s="81">
        <f t="shared" ca="1" si="66"/>
        <v>7.5855833333333322</v>
      </c>
      <c r="BL101" s="81">
        <f t="shared" ca="1" si="66"/>
        <v>7.5855833333333322</v>
      </c>
      <c r="BM101" s="81">
        <f t="shared" ca="1" si="66"/>
        <v>7.5855833333333322</v>
      </c>
      <c r="BN101" s="81">
        <f t="shared" ca="1" si="66"/>
        <v>7.5855833333333322</v>
      </c>
      <c r="BO101" s="81">
        <f t="shared" ca="1" si="66"/>
        <v>7.5855833333333322</v>
      </c>
      <c r="BP101" s="81">
        <f t="shared" ca="1" si="66"/>
        <v>7.5855833333333322</v>
      </c>
      <c r="BQ101" s="81">
        <f t="shared" ca="1" si="66"/>
        <v>7.5855833333333322</v>
      </c>
      <c r="BR101" s="81">
        <f t="shared" ca="1" si="66"/>
        <v>7.5855833333333322</v>
      </c>
      <c r="BS101" s="81">
        <f t="shared" ca="1" si="66"/>
        <v>7.5855833333333322</v>
      </c>
      <c r="BT101" s="81">
        <f t="shared" ca="1" si="66"/>
        <v>7.5855833333333322</v>
      </c>
      <c r="BU101" s="81">
        <f t="shared" ca="1" si="66"/>
        <v>7.5855833333333322</v>
      </c>
      <c r="BV101" s="81">
        <f t="shared" ca="1" si="66"/>
        <v>7.5855833333333322</v>
      </c>
      <c r="BW101" s="81">
        <f t="shared" ca="1" si="66"/>
        <v>7.5855833333333322</v>
      </c>
      <c r="BX101" s="81">
        <f t="shared" ca="1" si="66"/>
        <v>7.5855833333333322</v>
      </c>
      <c r="BY101" s="81">
        <f t="shared" ca="1" si="66"/>
        <v>7.5855833333333322</v>
      </c>
      <c r="BZ101" s="81">
        <f t="shared" ca="1" si="66"/>
        <v>7.5855833333333322</v>
      </c>
      <c r="CA101" s="81">
        <f t="shared" ca="1" si="66"/>
        <v>7.5855833333333322</v>
      </c>
      <c r="CB101" s="81">
        <f t="shared" ca="1" si="66"/>
        <v>7.5855833333333322</v>
      </c>
      <c r="CC101" s="81">
        <f t="shared" ca="1" si="66"/>
        <v>7.5855833333333322</v>
      </c>
      <c r="CD101" s="81">
        <f t="shared" ca="1" si="66"/>
        <v>7.5855833333333322</v>
      </c>
      <c r="CE101" s="81">
        <f t="shared" ca="1" si="66"/>
        <v>7.5855833333333322</v>
      </c>
      <c r="CF101" s="81">
        <f t="shared" ca="1" si="66"/>
        <v>7.5855833333333322</v>
      </c>
      <c r="CG101" s="81">
        <f t="shared" ca="1" si="66"/>
        <v>7.5855833333333322</v>
      </c>
      <c r="CH101" s="81">
        <f t="shared" ca="1" si="66"/>
        <v>7.5855833333333322</v>
      </c>
    </row>
    <row r="102" spans="2:86" ht="13">
      <c r="B102" s="15" t="s">
        <v>228</v>
      </c>
      <c r="C102" s="13" t="s">
        <v>294</v>
      </c>
      <c r="D102" s="15" t="s">
        <v>247</v>
      </c>
      <c r="E102" s="77">
        <f t="shared" ca="1" si="59"/>
        <v>0.49478165507316596</v>
      </c>
      <c r="F102" s="29"/>
      <c r="G102" s="83" t="str">
        <f t="shared" ref="G102:CH102" ca="1" si="67">IFERROR(XIRR(INDIRECT(""&amp;ADDRESS(ROW($D99),COLUMN($G99)+MATCH(INDEX($G99:$CH99,MATCH(TRUE,INDEX($G99:$CH99&lt;&gt;0,),0)),$G99:$CH99,0)-1,4)&amp;":"&amp;ADDRESS(ROW($G99),COLUMN($G99)+MATCH(F$5,$G$5:$CH$5,1),4)),INDIRECT(""&amp;ADDRESS(ROW(F$5),COLUMN($G99)+MATCH(INDEX($G99:$CH99,MATCH(TRUE,INDEX($G99:$CH99&lt;&gt;0,),0)),$G99:$CH99,0)-1,4) &amp; ":" &amp; ADDRESS(ROW($G$5),COLUMN($G99)+MATCH(F$5,$G$5:$CH$5,1),4))),"na")</f>
        <v>na</v>
      </c>
      <c r="H102" s="83" t="str">
        <f t="shared" ca="1" si="67"/>
        <v>na</v>
      </c>
      <c r="I102" s="83" t="str">
        <f t="shared" ca="1" si="67"/>
        <v>na</v>
      </c>
      <c r="J102" s="83" t="str">
        <f t="shared" ca="1" si="67"/>
        <v>na</v>
      </c>
      <c r="K102" s="83" t="str">
        <f t="shared" ca="1" si="67"/>
        <v>na</v>
      </c>
      <c r="L102" s="83" t="str">
        <f t="shared" ca="1" si="67"/>
        <v>na</v>
      </c>
      <c r="M102" s="83" t="str">
        <f t="shared" ca="1" si="67"/>
        <v>na</v>
      </c>
      <c r="N102" s="83" t="str">
        <f t="shared" ca="1" si="67"/>
        <v>na</v>
      </c>
      <c r="O102" s="83" t="str">
        <f t="shared" ca="1" si="67"/>
        <v>na</v>
      </c>
      <c r="P102" s="83" t="str">
        <f t="shared" ca="1" si="67"/>
        <v>na</v>
      </c>
      <c r="Q102" s="83" t="str">
        <f t="shared" ca="1" si="67"/>
        <v>na</v>
      </c>
      <c r="R102" s="83" t="str">
        <f t="shared" ca="1" si="67"/>
        <v>na</v>
      </c>
      <c r="S102" s="83" t="str">
        <f t="shared" ca="1" si="67"/>
        <v>na</v>
      </c>
      <c r="T102" s="83" t="str">
        <f t="shared" ca="1" si="67"/>
        <v>na</v>
      </c>
      <c r="U102" s="83" t="str">
        <f t="shared" ca="1" si="67"/>
        <v>na</v>
      </c>
      <c r="V102" s="83" t="str">
        <f t="shared" ca="1" si="67"/>
        <v>na</v>
      </c>
      <c r="W102" s="83">
        <f t="shared" ca="1" si="67"/>
        <v>2.9802322387695314E-9</v>
      </c>
      <c r="X102" s="83">
        <f t="shared" ca="1" si="67"/>
        <v>2.9802322387695314E-9</v>
      </c>
      <c r="Y102" s="83">
        <f t="shared" ca="1" si="67"/>
        <v>2.9802322387695314E-9</v>
      </c>
      <c r="Z102" s="83">
        <f t="shared" ca="1" si="67"/>
        <v>2.9802322387695314E-9</v>
      </c>
      <c r="AA102" s="83">
        <f t="shared" ca="1" si="67"/>
        <v>2.9802322387695314E-9</v>
      </c>
      <c r="AB102" s="83">
        <f t="shared" ca="1" si="67"/>
        <v>2.9802322387695314E-9</v>
      </c>
      <c r="AC102" s="83">
        <f t="shared" ca="1" si="67"/>
        <v>-4.6596694737672806E-2</v>
      </c>
      <c r="AD102" s="83">
        <f t="shared" ca="1" si="67"/>
        <v>-6.4871452748775493E-3</v>
      </c>
      <c r="AE102" s="83">
        <f t="shared" ca="1" si="67"/>
        <v>0.13268064856529241</v>
      </c>
      <c r="AF102" s="83">
        <f t="shared" ca="1" si="67"/>
        <v>0.2178307354450226</v>
      </c>
      <c r="AG102" s="83">
        <f t="shared" ca="1" si="67"/>
        <v>0.27806077599525447</v>
      </c>
      <c r="AH102" s="83">
        <f t="shared" ca="1" si="67"/>
        <v>0.32346050143241889</v>
      </c>
      <c r="AI102" s="83">
        <f t="shared" ca="1" si="67"/>
        <v>0.35663353800773623</v>
      </c>
      <c r="AJ102" s="83">
        <f t="shared" ca="1" si="67"/>
        <v>0.38350751996040344</v>
      </c>
      <c r="AK102" s="83">
        <f t="shared" ca="1" si="67"/>
        <v>0.40559666752815238</v>
      </c>
      <c r="AL102" s="83">
        <f t="shared" ca="1" si="67"/>
        <v>0.42395207285881042</v>
      </c>
      <c r="AM102" s="83">
        <f t="shared" ca="1" si="67"/>
        <v>0.43730331063270567</v>
      </c>
      <c r="AN102" s="83">
        <f t="shared" ca="1" si="67"/>
        <v>0.44872563481330863</v>
      </c>
      <c r="AO102" s="83">
        <f t="shared" ca="1" si="67"/>
        <v>0.45853661894798281</v>
      </c>
      <c r="AP102" s="83">
        <f t="shared" ca="1" si="67"/>
        <v>0.4669917166233063</v>
      </c>
      <c r="AQ102" s="83">
        <f t="shared" ca="1" si="67"/>
        <v>0.47551220059394828</v>
      </c>
      <c r="AR102" s="83">
        <f t="shared" ca="1" si="67"/>
        <v>0.48287176489830019</v>
      </c>
      <c r="AS102" s="83">
        <f t="shared" ca="1" si="67"/>
        <v>0.48924664855003352</v>
      </c>
      <c r="AT102" s="83">
        <f t="shared" ca="1" si="67"/>
        <v>0.49478165507316596</v>
      </c>
      <c r="AU102" s="83">
        <f t="shared" ca="1" si="67"/>
        <v>0.49478165507316596</v>
      </c>
      <c r="AV102" s="83">
        <f t="shared" ca="1" si="67"/>
        <v>0.49478165507316596</v>
      </c>
      <c r="AW102" s="83">
        <f t="shared" ca="1" si="67"/>
        <v>0.49478165507316596</v>
      </c>
      <c r="AX102" s="83">
        <f t="shared" ca="1" si="67"/>
        <v>0.49478165507316596</v>
      </c>
      <c r="AY102" s="83">
        <f t="shared" ca="1" si="67"/>
        <v>0.49478165507316596</v>
      </c>
      <c r="AZ102" s="83">
        <f t="shared" ca="1" si="67"/>
        <v>0.49478165507316596</v>
      </c>
      <c r="BA102" s="83">
        <f t="shared" ca="1" si="67"/>
        <v>0.49478165507316596</v>
      </c>
      <c r="BB102" s="83">
        <f t="shared" ca="1" si="67"/>
        <v>0.49478165507316596</v>
      </c>
      <c r="BC102" s="83">
        <f t="shared" ca="1" si="67"/>
        <v>0.49478165507316596</v>
      </c>
      <c r="BD102" s="83">
        <f t="shared" ca="1" si="67"/>
        <v>0.49478165507316596</v>
      </c>
      <c r="BE102" s="83">
        <f t="shared" ca="1" si="67"/>
        <v>0.49478165507316596</v>
      </c>
      <c r="BF102" s="83">
        <f t="shared" ca="1" si="67"/>
        <v>0.49478165507316596</v>
      </c>
      <c r="BG102" s="83">
        <f t="shared" ca="1" si="67"/>
        <v>0.49478165507316596</v>
      </c>
      <c r="BH102" s="83">
        <f t="shared" ca="1" si="67"/>
        <v>0.49478165507316596</v>
      </c>
      <c r="BI102" s="83">
        <f t="shared" ca="1" si="67"/>
        <v>0.49478165507316596</v>
      </c>
      <c r="BJ102" s="83">
        <f t="shared" ca="1" si="67"/>
        <v>0.49478165507316596</v>
      </c>
      <c r="BK102" s="83">
        <f t="shared" ca="1" si="67"/>
        <v>0.49478165507316596</v>
      </c>
      <c r="BL102" s="83">
        <f t="shared" ca="1" si="67"/>
        <v>0.49478165507316596</v>
      </c>
      <c r="BM102" s="83">
        <f t="shared" ca="1" si="67"/>
        <v>0.49478165507316596</v>
      </c>
      <c r="BN102" s="83">
        <f t="shared" ca="1" si="67"/>
        <v>0.49478165507316596</v>
      </c>
      <c r="BO102" s="83">
        <f t="shared" ca="1" si="67"/>
        <v>0.49478165507316596</v>
      </c>
      <c r="BP102" s="83">
        <f t="shared" ca="1" si="67"/>
        <v>0.49478165507316596</v>
      </c>
      <c r="BQ102" s="83">
        <f t="shared" ca="1" si="67"/>
        <v>0.49478165507316596</v>
      </c>
      <c r="BR102" s="83">
        <f t="shared" ca="1" si="67"/>
        <v>0.49478165507316596</v>
      </c>
      <c r="BS102" s="83">
        <f t="shared" ca="1" si="67"/>
        <v>0.49478165507316596</v>
      </c>
      <c r="BT102" s="83">
        <f t="shared" ca="1" si="67"/>
        <v>0.49478165507316596</v>
      </c>
      <c r="BU102" s="83">
        <f t="shared" ca="1" si="67"/>
        <v>0.49478165507316596</v>
      </c>
      <c r="BV102" s="83">
        <f t="shared" ca="1" si="67"/>
        <v>0.49478165507316596</v>
      </c>
      <c r="BW102" s="83">
        <f t="shared" ca="1" si="67"/>
        <v>0.49478165507316596</v>
      </c>
      <c r="BX102" s="83">
        <f t="shared" ca="1" si="67"/>
        <v>0.49478165507316596</v>
      </c>
      <c r="BY102" s="83">
        <f t="shared" ca="1" si="67"/>
        <v>0.49478165507316596</v>
      </c>
      <c r="BZ102" s="83">
        <f t="shared" ca="1" si="67"/>
        <v>0.49478165507316596</v>
      </c>
      <c r="CA102" s="83">
        <f t="shared" ca="1" si="67"/>
        <v>0.49478165507316596</v>
      </c>
      <c r="CB102" s="83">
        <f t="shared" ca="1" si="67"/>
        <v>0.49478165507316596</v>
      </c>
      <c r="CC102" s="83">
        <f t="shared" ca="1" si="67"/>
        <v>0.49478165507316596</v>
      </c>
      <c r="CD102" s="83">
        <f t="shared" ca="1" si="67"/>
        <v>0.49478165507316596</v>
      </c>
      <c r="CE102" s="83">
        <f t="shared" ca="1" si="67"/>
        <v>0.49478165507316596</v>
      </c>
      <c r="CF102" s="83">
        <f t="shared" ca="1" si="67"/>
        <v>0.49478165507316596</v>
      </c>
      <c r="CG102" s="83">
        <f t="shared" ca="1" si="67"/>
        <v>0.49478165507316596</v>
      </c>
      <c r="CH102" s="83">
        <f t="shared" ca="1" si="67"/>
        <v>0.49478165507316596</v>
      </c>
    </row>
    <row r="103" spans="2:86" ht="13" collapsed="1">
      <c r="B103" s="15" t="s">
        <v>296</v>
      </c>
      <c r="C103" s="13" t="s">
        <v>297</v>
      </c>
      <c r="D103" s="15" t="s">
        <v>247</v>
      </c>
      <c r="E103" s="77">
        <f t="shared" ca="1" si="59"/>
        <v>0.49521884822756768</v>
      </c>
      <c r="F103" s="29"/>
      <c r="G103" s="77">
        <f t="shared" ref="G103:CH103" ca="1" si="68">INDEX($C104:$C183,G4)</f>
        <v>0</v>
      </c>
      <c r="H103" s="77">
        <f t="shared" ca="1" si="68"/>
        <v>-0.70787163127882269</v>
      </c>
      <c r="I103" s="77">
        <f t="shared" ca="1" si="68"/>
        <v>-0.42563575860668124</v>
      </c>
      <c r="J103" s="77">
        <f t="shared" ca="1" si="68"/>
        <v>-0.29657944132958192</v>
      </c>
      <c r="K103" s="77">
        <f t="shared" ca="1" si="68"/>
        <v>-0.22594110408197832</v>
      </c>
      <c r="L103" s="77">
        <f t="shared" ca="1" si="68"/>
        <v>-0.18194488047271207</v>
      </c>
      <c r="M103" s="77">
        <f t="shared" ca="1" si="68"/>
        <v>-0.15207267750779541</v>
      </c>
      <c r="N103" s="77">
        <f t="shared" ca="1" si="68"/>
        <v>-0.13052386610076128</v>
      </c>
      <c r="O103" s="77">
        <f t="shared" ca="1" si="68"/>
        <v>-6.9643930510755347E-2</v>
      </c>
      <c r="P103" s="77">
        <f t="shared" ca="1" si="68"/>
        <v>-2.5865004214028708E-2</v>
      </c>
      <c r="Q103" s="77">
        <f t="shared" ca="1" si="68"/>
        <v>6.3738809240256877E-3</v>
      </c>
      <c r="R103" s="77">
        <f t="shared" ca="1" si="68"/>
        <v>3.0607268899943474E-2</v>
      </c>
      <c r="S103" s="77">
        <f t="shared" ca="1" si="68"/>
        <v>5.1386956050416766E-2</v>
      </c>
      <c r="T103" s="77">
        <f t="shared" ca="1" si="68"/>
        <v>6.7671130177919592E-2</v>
      </c>
      <c r="U103" s="77">
        <f t="shared" ca="1" si="68"/>
        <v>8.0766574626473853E-2</v>
      </c>
      <c r="V103" s="77">
        <f t="shared" ca="1" si="68"/>
        <v>9.1491577065662799E-2</v>
      </c>
      <c r="W103" s="77">
        <f t="shared" ca="1" si="68"/>
        <v>0.119860882683128</v>
      </c>
      <c r="X103" s="77">
        <f t="shared" ca="1" si="68"/>
        <v>0.14002514323309723</v>
      </c>
      <c r="Y103" s="77">
        <f t="shared" ca="1" si="68"/>
        <v>0.15475920212666217</v>
      </c>
      <c r="Z103" s="77">
        <f t="shared" ca="1" si="68"/>
        <v>0.16390504641702575</v>
      </c>
      <c r="AA103" s="77">
        <f t="shared" ca="1" si="68"/>
        <v>0.16836102871276792</v>
      </c>
      <c r="AB103" s="77">
        <f t="shared" ca="1" si="68"/>
        <v>0.17127973920415984</v>
      </c>
      <c r="AC103" s="77">
        <f t="shared" ca="1" si="68"/>
        <v>0.17303791379424061</v>
      </c>
      <c r="AD103" s="77">
        <f t="shared" ca="1" si="68"/>
        <v>0.17390605554869021</v>
      </c>
      <c r="AE103" s="77">
        <f t="shared" ca="1" si="68"/>
        <v>0.2358092368005551</v>
      </c>
      <c r="AF103" s="77">
        <f t="shared" ca="1" si="68"/>
        <v>0.28225137431924563</v>
      </c>
      <c r="AG103" s="77">
        <f t="shared" ca="1" si="68"/>
        <v>0.31881928806646509</v>
      </c>
      <c r="AH103" s="77">
        <f t="shared" ca="1" si="68"/>
        <v>0.34850141495710929</v>
      </c>
      <c r="AI103" s="77">
        <f t="shared" ca="1" si="68"/>
        <v>0.37382333910247056</v>
      </c>
      <c r="AJ103" s="77">
        <f t="shared" ca="1" si="68"/>
        <v>0.39492674900688995</v>
      </c>
      <c r="AK103" s="77">
        <f t="shared" ca="1" si="68"/>
        <v>0.41272081283721551</v>
      </c>
      <c r="AL103" s="77">
        <f t="shared" ca="1" si="68"/>
        <v>0.42786582816910279</v>
      </c>
      <c r="AM103" s="77">
        <f t="shared" ca="1" si="68"/>
        <v>0.4394552882232432</v>
      </c>
      <c r="AN103" s="77">
        <f t="shared" ca="1" si="68"/>
        <v>0.44950211958378339</v>
      </c>
      <c r="AO103" s="77">
        <f t="shared" ca="1" si="68"/>
        <v>0.45825105809080835</v>
      </c>
      <c r="AP103" s="77">
        <f t="shared" ca="1" si="68"/>
        <v>0.46590030743910038</v>
      </c>
      <c r="AQ103" s="77">
        <f t="shared" ca="1" si="68"/>
        <v>0.47368223832437706</v>
      </c>
      <c r="AR103" s="77">
        <f t="shared" ca="1" si="68"/>
        <v>0.4804907348124472</v>
      </c>
      <c r="AS103" s="77">
        <f t="shared" ca="1" si="68"/>
        <v>0.48646913836004457</v>
      </c>
      <c r="AT103" s="77">
        <f t="shared" ca="1" si="68"/>
        <v>0.49521884822756768</v>
      </c>
      <c r="AU103" s="77">
        <f t="shared" ca="1" si="68"/>
        <v>0.49521884822756768</v>
      </c>
      <c r="AV103" s="77">
        <f t="shared" ca="1" si="68"/>
        <v>0.49521884822756768</v>
      </c>
      <c r="AW103" s="77">
        <f t="shared" ca="1" si="68"/>
        <v>0.49521884822756768</v>
      </c>
      <c r="AX103" s="77">
        <f t="shared" ca="1" si="68"/>
        <v>0.49521884822756768</v>
      </c>
      <c r="AY103" s="77">
        <f t="shared" ca="1" si="68"/>
        <v>0.49521884822756768</v>
      </c>
      <c r="AZ103" s="77">
        <f t="shared" ca="1" si="68"/>
        <v>0.49521884822756768</v>
      </c>
      <c r="BA103" s="77">
        <f t="shared" ca="1" si="68"/>
        <v>0.49521884822756768</v>
      </c>
      <c r="BB103" s="77">
        <f t="shared" ca="1" si="68"/>
        <v>0.49521884822756768</v>
      </c>
      <c r="BC103" s="77">
        <f t="shared" ca="1" si="68"/>
        <v>0.49521884822756768</v>
      </c>
      <c r="BD103" s="77">
        <f t="shared" ca="1" si="68"/>
        <v>0.49521884822756768</v>
      </c>
      <c r="BE103" s="77">
        <f t="shared" ca="1" si="68"/>
        <v>0.49521884822756768</v>
      </c>
      <c r="BF103" s="77">
        <f t="shared" ca="1" si="68"/>
        <v>0.49521884822756768</v>
      </c>
      <c r="BG103" s="77">
        <f t="shared" ca="1" si="68"/>
        <v>0.49521884822756768</v>
      </c>
      <c r="BH103" s="77">
        <f t="shared" ca="1" si="68"/>
        <v>0.49521884822756768</v>
      </c>
      <c r="BI103" s="77">
        <f t="shared" ca="1" si="68"/>
        <v>0.49521884822756768</v>
      </c>
      <c r="BJ103" s="77">
        <f t="shared" ca="1" si="68"/>
        <v>0.49521884822756768</v>
      </c>
      <c r="BK103" s="77">
        <f t="shared" ca="1" si="68"/>
        <v>0.49521884822756768</v>
      </c>
      <c r="BL103" s="77">
        <f t="shared" ca="1" si="68"/>
        <v>0.49521884822756768</v>
      </c>
      <c r="BM103" s="77">
        <f t="shared" ca="1" si="68"/>
        <v>0.49521884822756768</v>
      </c>
      <c r="BN103" s="77">
        <f t="shared" ca="1" si="68"/>
        <v>0.49521884822756768</v>
      </c>
      <c r="BO103" s="77">
        <f t="shared" ca="1" si="68"/>
        <v>0.49521884822756768</v>
      </c>
      <c r="BP103" s="77">
        <f t="shared" ca="1" si="68"/>
        <v>0.49521884822756768</v>
      </c>
      <c r="BQ103" s="77">
        <f t="shared" ca="1" si="68"/>
        <v>0.49521884822756768</v>
      </c>
      <c r="BR103" s="77">
        <f t="shared" ca="1" si="68"/>
        <v>0.49521884822756768</v>
      </c>
      <c r="BS103" s="77">
        <f t="shared" ca="1" si="68"/>
        <v>0.49521884822756768</v>
      </c>
      <c r="BT103" s="77">
        <f t="shared" ca="1" si="68"/>
        <v>0.49521884822756768</v>
      </c>
      <c r="BU103" s="77">
        <f t="shared" ca="1" si="68"/>
        <v>0.49521884822756768</v>
      </c>
      <c r="BV103" s="77">
        <f t="shared" ca="1" si="68"/>
        <v>0.49521884822756768</v>
      </c>
      <c r="BW103" s="77">
        <f t="shared" ca="1" si="68"/>
        <v>0.49521884822756768</v>
      </c>
      <c r="BX103" s="77">
        <f t="shared" ca="1" si="68"/>
        <v>0.49521884822756768</v>
      </c>
      <c r="BY103" s="77">
        <f t="shared" ca="1" si="68"/>
        <v>0.49521884822756768</v>
      </c>
      <c r="BZ103" s="77">
        <f t="shared" ca="1" si="68"/>
        <v>0.49521884822756768</v>
      </c>
      <c r="CA103" s="77">
        <f t="shared" ca="1" si="68"/>
        <v>0.49521884822756768</v>
      </c>
      <c r="CB103" s="77">
        <f t="shared" ca="1" si="68"/>
        <v>0.49521884822756768</v>
      </c>
      <c r="CC103" s="77">
        <f t="shared" ca="1" si="68"/>
        <v>0.49521884822756768</v>
      </c>
      <c r="CD103" s="77">
        <f t="shared" ca="1" si="68"/>
        <v>0.49521884822756768</v>
      </c>
      <c r="CE103" s="77">
        <f t="shared" ca="1" si="68"/>
        <v>0.49521884822756768</v>
      </c>
      <c r="CF103" s="77">
        <f t="shared" ca="1" si="68"/>
        <v>0.49521884822756768</v>
      </c>
      <c r="CG103" s="77">
        <f t="shared" ca="1" si="68"/>
        <v>0.49521884822756768</v>
      </c>
      <c r="CH103" s="77">
        <f t="shared" ca="1" si="68"/>
        <v>0.49521884822756768</v>
      </c>
    </row>
    <row r="104" spans="2:86" ht="13" hidden="1" outlineLevel="1">
      <c r="B104" s="84">
        <v>1</v>
      </c>
      <c r="C104" s="64">
        <f t="shared" ref="C104:C183" ca="1" si="69">IFERROR((1+IRR(F104:CH104))^4-1,0)</f>
        <v>0</v>
      </c>
      <c r="D104" s="13" t="s">
        <v>238</v>
      </c>
      <c r="E104" s="37">
        <f t="shared" ca="1" si="59"/>
        <v>1203125</v>
      </c>
      <c r="F104" s="29"/>
      <c r="G104" s="37">
        <f ca="1">IF($B104=G$4,G$81,0)</f>
        <v>1203125</v>
      </c>
      <c r="H104" s="29">
        <f t="shared" ref="H104:CH104" si="70">IF(H$4&lt;=$B104,ABS(H$31)*-1+H$47,0)+IF($B104=H$4,H$81,0)</f>
        <v>0</v>
      </c>
      <c r="I104" s="29">
        <f t="shared" si="70"/>
        <v>0</v>
      </c>
      <c r="J104" s="29">
        <f t="shared" si="70"/>
        <v>0</v>
      </c>
      <c r="K104" s="29">
        <f t="shared" si="70"/>
        <v>0</v>
      </c>
      <c r="L104" s="29">
        <f t="shared" si="70"/>
        <v>0</v>
      </c>
      <c r="M104" s="29">
        <f t="shared" si="70"/>
        <v>0</v>
      </c>
      <c r="N104" s="29">
        <f t="shared" si="70"/>
        <v>0</v>
      </c>
      <c r="O104" s="29">
        <f t="shared" si="70"/>
        <v>0</v>
      </c>
      <c r="P104" s="29">
        <f t="shared" si="70"/>
        <v>0</v>
      </c>
      <c r="Q104" s="29">
        <f t="shared" si="70"/>
        <v>0</v>
      </c>
      <c r="R104" s="29">
        <f t="shared" si="70"/>
        <v>0</v>
      </c>
      <c r="S104" s="29">
        <f t="shared" si="70"/>
        <v>0</v>
      </c>
      <c r="T104" s="29">
        <f t="shared" si="70"/>
        <v>0</v>
      </c>
      <c r="U104" s="29">
        <f t="shared" si="70"/>
        <v>0</v>
      </c>
      <c r="V104" s="29">
        <f t="shared" si="70"/>
        <v>0</v>
      </c>
      <c r="W104" s="29">
        <f t="shared" si="70"/>
        <v>0</v>
      </c>
      <c r="X104" s="29">
        <f t="shared" si="70"/>
        <v>0</v>
      </c>
      <c r="Y104" s="29">
        <f t="shared" si="70"/>
        <v>0</v>
      </c>
      <c r="Z104" s="29">
        <f t="shared" si="70"/>
        <v>0</v>
      </c>
      <c r="AA104" s="29">
        <f t="shared" si="70"/>
        <v>0</v>
      </c>
      <c r="AB104" s="29">
        <f t="shared" si="70"/>
        <v>0</v>
      </c>
      <c r="AC104" s="29">
        <f t="shared" si="70"/>
        <v>0</v>
      </c>
      <c r="AD104" s="29">
        <f t="shared" si="70"/>
        <v>0</v>
      </c>
      <c r="AE104" s="29">
        <f t="shared" si="70"/>
        <v>0</v>
      </c>
      <c r="AF104" s="29">
        <f t="shared" si="70"/>
        <v>0</v>
      </c>
      <c r="AG104" s="29">
        <f t="shared" si="70"/>
        <v>0</v>
      </c>
      <c r="AH104" s="29">
        <f t="shared" si="70"/>
        <v>0</v>
      </c>
      <c r="AI104" s="29">
        <f t="shared" si="70"/>
        <v>0</v>
      </c>
      <c r="AJ104" s="29">
        <f t="shared" si="70"/>
        <v>0</v>
      </c>
      <c r="AK104" s="29">
        <f t="shared" si="70"/>
        <v>0</v>
      </c>
      <c r="AL104" s="29">
        <f t="shared" si="70"/>
        <v>0</v>
      </c>
      <c r="AM104" s="29">
        <f t="shared" si="70"/>
        <v>0</v>
      </c>
      <c r="AN104" s="29">
        <f t="shared" si="70"/>
        <v>0</v>
      </c>
      <c r="AO104" s="29">
        <f t="shared" si="70"/>
        <v>0</v>
      </c>
      <c r="AP104" s="29">
        <f t="shared" si="70"/>
        <v>0</v>
      </c>
      <c r="AQ104" s="29">
        <f t="shared" si="70"/>
        <v>0</v>
      </c>
      <c r="AR104" s="29">
        <f t="shared" si="70"/>
        <v>0</v>
      </c>
      <c r="AS104" s="29">
        <f t="shared" si="70"/>
        <v>0</v>
      </c>
      <c r="AT104" s="29">
        <f t="shared" si="70"/>
        <v>0</v>
      </c>
      <c r="AU104" s="29">
        <f t="shared" si="70"/>
        <v>0</v>
      </c>
      <c r="AV104" s="29">
        <f t="shared" si="70"/>
        <v>0</v>
      </c>
      <c r="AW104" s="29">
        <f t="shared" si="70"/>
        <v>0</v>
      </c>
      <c r="AX104" s="29">
        <f t="shared" si="70"/>
        <v>0</v>
      </c>
      <c r="AY104" s="29">
        <f t="shared" si="70"/>
        <v>0</v>
      </c>
      <c r="AZ104" s="29">
        <f t="shared" si="70"/>
        <v>0</v>
      </c>
      <c r="BA104" s="29">
        <f t="shared" si="70"/>
        <v>0</v>
      </c>
      <c r="BB104" s="29">
        <f t="shared" si="70"/>
        <v>0</v>
      </c>
      <c r="BC104" s="29">
        <f t="shared" si="70"/>
        <v>0</v>
      </c>
      <c r="BD104" s="29">
        <f t="shared" si="70"/>
        <v>0</v>
      </c>
      <c r="BE104" s="29">
        <f t="shared" si="70"/>
        <v>0</v>
      </c>
      <c r="BF104" s="29">
        <f t="shared" si="70"/>
        <v>0</v>
      </c>
      <c r="BG104" s="29">
        <f t="shared" si="70"/>
        <v>0</v>
      </c>
      <c r="BH104" s="29">
        <f t="shared" si="70"/>
        <v>0</v>
      </c>
      <c r="BI104" s="29">
        <f t="shared" si="70"/>
        <v>0</v>
      </c>
      <c r="BJ104" s="29">
        <f t="shared" si="70"/>
        <v>0</v>
      </c>
      <c r="BK104" s="29">
        <f t="shared" si="70"/>
        <v>0</v>
      </c>
      <c r="BL104" s="29">
        <f t="shared" si="70"/>
        <v>0</v>
      </c>
      <c r="BM104" s="29">
        <f t="shared" si="70"/>
        <v>0</v>
      </c>
      <c r="BN104" s="29">
        <f t="shared" si="70"/>
        <v>0</v>
      </c>
      <c r="BO104" s="29">
        <f t="shared" si="70"/>
        <v>0</v>
      </c>
      <c r="BP104" s="29">
        <f t="shared" si="70"/>
        <v>0</v>
      </c>
      <c r="BQ104" s="29">
        <f t="shared" si="70"/>
        <v>0</v>
      </c>
      <c r="BR104" s="29">
        <f t="shared" si="70"/>
        <v>0</v>
      </c>
      <c r="BS104" s="29">
        <f t="shared" si="70"/>
        <v>0</v>
      </c>
      <c r="BT104" s="29">
        <f t="shared" si="70"/>
        <v>0</v>
      </c>
      <c r="BU104" s="29">
        <f t="shared" si="70"/>
        <v>0</v>
      </c>
      <c r="BV104" s="29">
        <f t="shared" si="70"/>
        <v>0</v>
      </c>
      <c r="BW104" s="29">
        <f t="shared" si="70"/>
        <v>0</v>
      </c>
      <c r="BX104" s="29">
        <f t="shared" si="70"/>
        <v>0</v>
      </c>
      <c r="BY104" s="29">
        <f t="shared" si="70"/>
        <v>0</v>
      </c>
      <c r="BZ104" s="29">
        <f t="shared" si="70"/>
        <v>0</v>
      </c>
      <c r="CA104" s="29">
        <f t="shared" si="70"/>
        <v>0</v>
      </c>
      <c r="CB104" s="29">
        <f t="shared" si="70"/>
        <v>0</v>
      </c>
      <c r="CC104" s="29">
        <f t="shared" si="70"/>
        <v>0</v>
      </c>
      <c r="CD104" s="29">
        <f t="shared" si="70"/>
        <v>0</v>
      </c>
      <c r="CE104" s="29">
        <f t="shared" si="70"/>
        <v>0</v>
      </c>
      <c r="CF104" s="29">
        <f t="shared" si="70"/>
        <v>0</v>
      </c>
      <c r="CG104" s="29">
        <f t="shared" si="70"/>
        <v>0</v>
      </c>
      <c r="CH104" s="29">
        <f t="shared" si="70"/>
        <v>0</v>
      </c>
    </row>
    <row r="105" spans="2:86" ht="13" hidden="1" outlineLevel="1">
      <c r="B105" s="84">
        <f t="shared" ref="B105:B183" si="71">B104+1</f>
        <v>2</v>
      </c>
      <c r="C105" s="64">
        <f t="shared" ca="1" si="69"/>
        <v>-0.70787163127882269</v>
      </c>
      <c r="D105" s="15" t="s">
        <v>238</v>
      </c>
      <c r="E105" s="29">
        <f t="shared" ca="1" si="59"/>
        <v>-382500</v>
      </c>
      <c r="F105" s="29"/>
      <c r="G105" s="29">
        <f t="shared" ref="G105:CH105" ca="1" si="72">IF(G$4&lt;=$B105,ABS(G$31)*-1+G$47,0)+IF($B105=G$4,G$81,0)</f>
        <v>-1444375</v>
      </c>
      <c r="H105" s="29">
        <f t="shared" ca="1" si="72"/>
        <v>1061875</v>
      </c>
      <c r="I105" s="29">
        <f t="shared" si="72"/>
        <v>0</v>
      </c>
      <c r="J105" s="29">
        <f t="shared" si="72"/>
        <v>0</v>
      </c>
      <c r="K105" s="29">
        <f t="shared" si="72"/>
        <v>0</v>
      </c>
      <c r="L105" s="29">
        <f t="shared" si="72"/>
        <v>0</v>
      </c>
      <c r="M105" s="29">
        <f t="shared" si="72"/>
        <v>0</v>
      </c>
      <c r="N105" s="29">
        <f t="shared" si="72"/>
        <v>0</v>
      </c>
      <c r="O105" s="29">
        <f t="shared" si="72"/>
        <v>0</v>
      </c>
      <c r="P105" s="29">
        <f t="shared" si="72"/>
        <v>0</v>
      </c>
      <c r="Q105" s="29">
        <f t="shared" si="72"/>
        <v>0</v>
      </c>
      <c r="R105" s="29">
        <f t="shared" si="72"/>
        <v>0</v>
      </c>
      <c r="S105" s="29">
        <f t="shared" si="72"/>
        <v>0</v>
      </c>
      <c r="T105" s="29">
        <f t="shared" si="72"/>
        <v>0</v>
      </c>
      <c r="U105" s="29">
        <f t="shared" si="72"/>
        <v>0</v>
      </c>
      <c r="V105" s="29">
        <f t="shared" si="72"/>
        <v>0</v>
      </c>
      <c r="W105" s="29">
        <f t="shared" si="72"/>
        <v>0</v>
      </c>
      <c r="X105" s="29">
        <f t="shared" si="72"/>
        <v>0</v>
      </c>
      <c r="Y105" s="29">
        <f t="shared" si="72"/>
        <v>0</v>
      </c>
      <c r="Z105" s="29">
        <f t="shared" si="72"/>
        <v>0</v>
      </c>
      <c r="AA105" s="29">
        <f t="shared" si="72"/>
        <v>0</v>
      </c>
      <c r="AB105" s="29">
        <f t="shared" si="72"/>
        <v>0</v>
      </c>
      <c r="AC105" s="29">
        <f t="shared" si="72"/>
        <v>0</v>
      </c>
      <c r="AD105" s="29">
        <f t="shared" si="72"/>
        <v>0</v>
      </c>
      <c r="AE105" s="29">
        <f t="shared" si="72"/>
        <v>0</v>
      </c>
      <c r="AF105" s="29">
        <f t="shared" si="72"/>
        <v>0</v>
      </c>
      <c r="AG105" s="29">
        <f t="shared" si="72"/>
        <v>0</v>
      </c>
      <c r="AH105" s="29">
        <f t="shared" si="72"/>
        <v>0</v>
      </c>
      <c r="AI105" s="29">
        <f t="shared" si="72"/>
        <v>0</v>
      </c>
      <c r="AJ105" s="29">
        <f t="shared" si="72"/>
        <v>0</v>
      </c>
      <c r="AK105" s="29">
        <f t="shared" si="72"/>
        <v>0</v>
      </c>
      <c r="AL105" s="29">
        <f t="shared" si="72"/>
        <v>0</v>
      </c>
      <c r="AM105" s="29">
        <f t="shared" si="72"/>
        <v>0</v>
      </c>
      <c r="AN105" s="29">
        <f t="shared" si="72"/>
        <v>0</v>
      </c>
      <c r="AO105" s="29">
        <f t="shared" si="72"/>
        <v>0</v>
      </c>
      <c r="AP105" s="29">
        <f t="shared" si="72"/>
        <v>0</v>
      </c>
      <c r="AQ105" s="29">
        <f t="shared" si="72"/>
        <v>0</v>
      </c>
      <c r="AR105" s="29">
        <f t="shared" si="72"/>
        <v>0</v>
      </c>
      <c r="AS105" s="29">
        <f t="shared" si="72"/>
        <v>0</v>
      </c>
      <c r="AT105" s="29">
        <f t="shared" si="72"/>
        <v>0</v>
      </c>
      <c r="AU105" s="29">
        <f t="shared" si="72"/>
        <v>0</v>
      </c>
      <c r="AV105" s="29">
        <f t="shared" si="72"/>
        <v>0</v>
      </c>
      <c r="AW105" s="29">
        <f t="shared" si="72"/>
        <v>0</v>
      </c>
      <c r="AX105" s="29">
        <f t="shared" si="72"/>
        <v>0</v>
      </c>
      <c r="AY105" s="29">
        <f t="shared" si="72"/>
        <v>0</v>
      </c>
      <c r="AZ105" s="29">
        <f t="shared" si="72"/>
        <v>0</v>
      </c>
      <c r="BA105" s="29">
        <f t="shared" si="72"/>
        <v>0</v>
      </c>
      <c r="BB105" s="29">
        <f t="shared" si="72"/>
        <v>0</v>
      </c>
      <c r="BC105" s="29">
        <f t="shared" si="72"/>
        <v>0</v>
      </c>
      <c r="BD105" s="29">
        <f t="shared" si="72"/>
        <v>0</v>
      </c>
      <c r="BE105" s="29">
        <f t="shared" si="72"/>
        <v>0</v>
      </c>
      <c r="BF105" s="29">
        <f t="shared" si="72"/>
        <v>0</v>
      </c>
      <c r="BG105" s="29">
        <f t="shared" si="72"/>
        <v>0</v>
      </c>
      <c r="BH105" s="29">
        <f t="shared" si="72"/>
        <v>0</v>
      </c>
      <c r="BI105" s="29">
        <f t="shared" si="72"/>
        <v>0</v>
      </c>
      <c r="BJ105" s="29">
        <f t="shared" si="72"/>
        <v>0</v>
      </c>
      <c r="BK105" s="29">
        <f t="shared" si="72"/>
        <v>0</v>
      </c>
      <c r="BL105" s="29">
        <f t="shared" si="72"/>
        <v>0</v>
      </c>
      <c r="BM105" s="29">
        <f t="shared" si="72"/>
        <v>0</v>
      </c>
      <c r="BN105" s="29">
        <f t="shared" si="72"/>
        <v>0</v>
      </c>
      <c r="BO105" s="29">
        <f t="shared" si="72"/>
        <v>0</v>
      </c>
      <c r="BP105" s="29">
        <f t="shared" si="72"/>
        <v>0</v>
      </c>
      <c r="BQ105" s="29">
        <f t="shared" si="72"/>
        <v>0</v>
      </c>
      <c r="BR105" s="29">
        <f t="shared" si="72"/>
        <v>0</v>
      </c>
      <c r="BS105" s="29">
        <f t="shared" si="72"/>
        <v>0</v>
      </c>
      <c r="BT105" s="29">
        <f t="shared" si="72"/>
        <v>0</v>
      </c>
      <c r="BU105" s="29">
        <f t="shared" si="72"/>
        <v>0</v>
      </c>
      <c r="BV105" s="29">
        <f t="shared" si="72"/>
        <v>0</v>
      </c>
      <c r="BW105" s="29">
        <f t="shared" si="72"/>
        <v>0</v>
      </c>
      <c r="BX105" s="29">
        <f t="shared" si="72"/>
        <v>0</v>
      </c>
      <c r="BY105" s="29">
        <f t="shared" si="72"/>
        <v>0</v>
      </c>
      <c r="BZ105" s="29">
        <f t="shared" si="72"/>
        <v>0</v>
      </c>
      <c r="CA105" s="29">
        <f t="shared" si="72"/>
        <v>0</v>
      </c>
      <c r="CB105" s="29">
        <f t="shared" si="72"/>
        <v>0</v>
      </c>
      <c r="CC105" s="29">
        <f t="shared" si="72"/>
        <v>0</v>
      </c>
      <c r="CD105" s="29">
        <f t="shared" si="72"/>
        <v>0</v>
      </c>
      <c r="CE105" s="29">
        <f t="shared" si="72"/>
        <v>0</v>
      </c>
      <c r="CF105" s="29">
        <f t="shared" si="72"/>
        <v>0</v>
      </c>
      <c r="CG105" s="29">
        <f t="shared" si="72"/>
        <v>0</v>
      </c>
      <c r="CH105" s="29">
        <f t="shared" si="72"/>
        <v>0</v>
      </c>
    </row>
    <row r="106" spans="2:86" ht="13" hidden="1" outlineLevel="1">
      <c r="B106" s="84">
        <f t="shared" si="71"/>
        <v>3</v>
      </c>
      <c r="C106" s="64">
        <f t="shared" ca="1" si="69"/>
        <v>-0.42563575860668124</v>
      </c>
      <c r="D106" s="15" t="s">
        <v>238</v>
      </c>
      <c r="E106" s="29">
        <f t="shared" ca="1" si="59"/>
        <v>-523750</v>
      </c>
      <c r="F106" s="29"/>
      <c r="G106" s="29">
        <f t="shared" ref="G106:CH106" ca="1" si="73">IF(G$4&lt;=$B106,ABS(G$31)*-1+G$47,0)+IF($B106=G$4,G$81,0)</f>
        <v>-1444375</v>
      </c>
      <c r="H106" s="29">
        <f t="shared" ca="1" si="73"/>
        <v>-1344375</v>
      </c>
      <c r="I106" s="29">
        <f t="shared" ca="1" si="73"/>
        <v>2265000</v>
      </c>
      <c r="J106" s="29">
        <f t="shared" si="73"/>
        <v>0</v>
      </c>
      <c r="K106" s="29">
        <f t="shared" si="73"/>
        <v>0</v>
      </c>
      <c r="L106" s="29">
        <f t="shared" si="73"/>
        <v>0</v>
      </c>
      <c r="M106" s="29">
        <f t="shared" si="73"/>
        <v>0</v>
      </c>
      <c r="N106" s="29">
        <f t="shared" si="73"/>
        <v>0</v>
      </c>
      <c r="O106" s="29">
        <f t="shared" si="73"/>
        <v>0</v>
      </c>
      <c r="P106" s="29">
        <f t="shared" si="73"/>
        <v>0</v>
      </c>
      <c r="Q106" s="29">
        <f t="shared" si="73"/>
        <v>0</v>
      </c>
      <c r="R106" s="29">
        <f t="shared" si="73"/>
        <v>0</v>
      </c>
      <c r="S106" s="29">
        <f t="shared" si="73"/>
        <v>0</v>
      </c>
      <c r="T106" s="29">
        <f t="shared" si="73"/>
        <v>0</v>
      </c>
      <c r="U106" s="29">
        <f t="shared" si="73"/>
        <v>0</v>
      </c>
      <c r="V106" s="29">
        <f t="shared" si="73"/>
        <v>0</v>
      </c>
      <c r="W106" s="29">
        <f t="shared" si="73"/>
        <v>0</v>
      </c>
      <c r="X106" s="29">
        <f t="shared" si="73"/>
        <v>0</v>
      </c>
      <c r="Y106" s="29">
        <f t="shared" si="73"/>
        <v>0</v>
      </c>
      <c r="Z106" s="29">
        <f t="shared" si="73"/>
        <v>0</v>
      </c>
      <c r="AA106" s="29">
        <f t="shared" si="73"/>
        <v>0</v>
      </c>
      <c r="AB106" s="29">
        <f t="shared" si="73"/>
        <v>0</v>
      </c>
      <c r="AC106" s="29">
        <f t="shared" si="73"/>
        <v>0</v>
      </c>
      <c r="AD106" s="29">
        <f t="shared" si="73"/>
        <v>0</v>
      </c>
      <c r="AE106" s="29">
        <f t="shared" si="73"/>
        <v>0</v>
      </c>
      <c r="AF106" s="29">
        <f t="shared" si="73"/>
        <v>0</v>
      </c>
      <c r="AG106" s="29">
        <f t="shared" si="73"/>
        <v>0</v>
      </c>
      <c r="AH106" s="29">
        <f t="shared" si="73"/>
        <v>0</v>
      </c>
      <c r="AI106" s="29">
        <f t="shared" si="73"/>
        <v>0</v>
      </c>
      <c r="AJ106" s="29">
        <f t="shared" si="73"/>
        <v>0</v>
      </c>
      <c r="AK106" s="29">
        <f t="shared" si="73"/>
        <v>0</v>
      </c>
      <c r="AL106" s="29">
        <f t="shared" si="73"/>
        <v>0</v>
      </c>
      <c r="AM106" s="29">
        <f t="shared" si="73"/>
        <v>0</v>
      </c>
      <c r="AN106" s="29">
        <f t="shared" si="73"/>
        <v>0</v>
      </c>
      <c r="AO106" s="29">
        <f t="shared" si="73"/>
        <v>0</v>
      </c>
      <c r="AP106" s="29">
        <f t="shared" si="73"/>
        <v>0</v>
      </c>
      <c r="AQ106" s="29">
        <f t="shared" si="73"/>
        <v>0</v>
      </c>
      <c r="AR106" s="29">
        <f t="shared" si="73"/>
        <v>0</v>
      </c>
      <c r="AS106" s="29">
        <f t="shared" si="73"/>
        <v>0</v>
      </c>
      <c r="AT106" s="29">
        <f t="shared" si="73"/>
        <v>0</v>
      </c>
      <c r="AU106" s="29">
        <f t="shared" si="73"/>
        <v>0</v>
      </c>
      <c r="AV106" s="29">
        <f t="shared" si="73"/>
        <v>0</v>
      </c>
      <c r="AW106" s="29">
        <f t="shared" si="73"/>
        <v>0</v>
      </c>
      <c r="AX106" s="29">
        <f t="shared" si="73"/>
        <v>0</v>
      </c>
      <c r="AY106" s="29">
        <f t="shared" si="73"/>
        <v>0</v>
      </c>
      <c r="AZ106" s="29">
        <f t="shared" si="73"/>
        <v>0</v>
      </c>
      <c r="BA106" s="29">
        <f t="shared" si="73"/>
        <v>0</v>
      </c>
      <c r="BB106" s="29">
        <f t="shared" si="73"/>
        <v>0</v>
      </c>
      <c r="BC106" s="29">
        <f t="shared" si="73"/>
        <v>0</v>
      </c>
      <c r="BD106" s="29">
        <f t="shared" si="73"/>
        <v>0</v>
      </c>
      <c r="BE106" s="29">
        <f t="shared" si="73"/>
        <v>0</v>
      </c>
      <c r="BF106" s="29">
        <f t="shared" si="73"/>
        <v>0</v>
      </c>
      <c r="BG106" s="29">
        <f t="shared" si="73"/>
        <v>0</v>
      </c>
      <c r="BH106" s="29">
        <f t="shared" si="73"/>
        <v>0</v>
      </c>
      <c r="BI106" s="29">
        <f t="shared" si="73"/>
        <v>0</v>
      </c>
      <c r="BJ106" s="29">
        <f t="shared" si="73"/>
        <v>0</v>
      </c>
      <c r="BK106" s="29">
        <f t="shared" si="73"/>
        <v>0</v>
      </c>
      <c r="BL106" s="29">
        <f t="shared" si="73"/>
        <v>0</v>
      </c>
      <c r="BM106" s="29">
        <f t="shared" si="73"/>
        <v>0</v>
      </c>
      <c r="BN106" s="29">
        <f t="shared" si="73"/>
        <v>0</v>
      </c>
      <c r="BO106" s="29">
        <f t="shared" si="73"/>
        <v>0</v>
      </c>
      <c r="BP106" s="29">
        <f t="shared" si="73"/>
        <v>0</v>
      </c>
      <c r="BQ106" s="29">
        <f t="shared" si="73"/>
        <v>0</v>
      </c>
      <c r="BR106" s="29">
        <f t="shared" si="73"/>
        <v>0</v>
      </c>
      <c r="BS106" s="29">
        <f t="shared" si="73"/>
        <v>0</v>
      </c>
      <c r="BT106" s="29">
        <f t="shared" si="73"/>
        <v>0</v>
      </c>
      <c r="BU106" s="29">
        <f t="shared" si="73"/>
        <v>0</v>
      </c>
      <c r="BV106" s="29">
        <f t="shared" si="73"/>
        <v>0</v>
      </c>
      <c r="BW106" s="29">
        <f t="shared" si="73"/>
        <v>0</v>
      </c>
      <c r="BX106" s="29">
        <f t="shared" si="73"/>
        <v>0</v>
      </c>
      <c r="BY106" s="29">
        <f t="shared" si="73"/>
        <v>0</v>
      </c>
      <c r="BZ106" s="29">
        <f t="shared" si="73"/>
        <v>0</v>
      </c>
      <c r="CA106" s="29">
        <f t="shared" si="73"/>
        <v>0</v>
      </c>
      <c r="CB106" s="29">
        <f t="shared" si="73"/>
        <v>0</v>
      </c>
      <c r="CC106" s="29">
        <f t="shared" si="73"/>
        <v>0</v>
      </c>
      <c r="CD106" s="29">
        <f t="shared" si="73"/>
        <v>0</v>
      </c>
      <c r="CE106" s="29">
        <f t="shared" si="73"/>
        <v>0</v>
      </c>
      <c r="CF106" s="29">
        <f t="shared" si="73"/>
        <v>0</v>
      </c>
      <c r="CG106" s="29">
        <f t="shared" si="73"/>
        <v>0</v>
      </c>
      <c r="CH106" s="29">
        <f t="shared" si="73"/>
        <v>0</v>
      </c>
    </row>
    <row r="107" spans="2:86" ht="13" hidden="1" outlineLevel="1">
      <c r="B107" s="84">
        <f t="shared" si="71"/>
        <v>4</v>
      </c>
      <c r="C107" s="64">
        <f t="shared" ca="1" si="69"/>
        <v>-0.29657944132958192</v>
      </c>
      <c r="D107" s="15" t="s">
        <v>238</v>
      </c>
      <c r="E107" s="29">
        <f t="shared" ca="1" si="59"/>
        <v>-665000</v>
      </c>
      <c r="F107" s="29"/>
      <c r="G107" s="29">
        <f t="shared" ref="G107:CH107" ca="1" si="74">IF(G$4&lt;=$B107,ABS(G$31)*-1+G$47,0)+IF($B107=G$4,G$81,0)</f>
        <v>-1444375</v>
      </c>
      <c r="H107" s="29">
        <f t="shared" ca="1" si="74"/>
        <v>-1344375</v>
      </c>
      <c r="I107" s="29">
        <f t="shared" ca="1" si="74"/>
        <v>-1344375</v>
      </c>
      <c r="J107" s="29">
        <f t="shared" ca="1" si="74"/>
        <v>3468125</v>
      </c>
      <c r="K107" s="29">
        <f t="shared" si="74"/>
        <v>0</v>
      </c>
      <c r="L107" s="29">
        <f t="shared" si="74"/>
        <v>0</v>
      </c>
      <c r="M107" s="29">
        <f t="shared" si="74"/>
        <v>0</v>
      </c>
      <c r="N107" s="29">
        <f t="shared" si="74"/>
        <v>0</v>
      </c>
      <c r="O107" s="29">
        <f t="shared" si="74"/>
        <v>0</v>
      </c>
      <c r="P107" s="29">
        <f t="shared" si="74"/>
        <v>0</v>
      </c>
      <c r="Q107" s="29">
        <f t="shared" si="74"/>
        <v>0</v>
      </c>
      <c r="R107" s="29">
        <f t="shared" si="74"/>
        <v>0</v>
      </c>
      <c r="S107" s="29">
        <f t="shared" si="74"/>
        <v>0</v>
      </c>
      <c r="T107" s="29">
        <f t="shared" si="74"/>
        <v>0</v>
      </c>
      <c r="U107" s="29">
        <f t="shared" si="74"/>
        <v>0</v>
      </c>
      <c r="V107" s="29">
        <f t="shared" si="74"/>
        <v>0</v>
      </c>
      <c r="W107" s="29">
        <f t="shared" si="74"/>
        <v>0</v>
      </c>
      <c r="X107" s="29">
        <f t="shared" si="74"/>
        <v>0</v>
      </c>
      <c r="Y107" s="29">
        <f t="shared" si="74"/>
        <v>0</v>
      </c>
      <c r="Z107" s="29">
        <f t="shared" si="74"/>
        <v>0</v>
      </c>
      <c r="AA107" s="29">
        <f t="shared" si="74"/>
        <v>0</v>
      </c>
      <c r="AB107" s="29">
        <f t="shared" si="74"/>
        <v>0</v>
      </c>
      <c r="AC107" s="29">
        <f t="shared" si="74"/>
        <v>0</v>
      </c>
      <c r="AD107" s="29">
        <f t="shared" si="74"/>
        <v>0</v>
      </c>
      <c r="AE107" s="29">
        <f t="shared" si="74"/>
        <v>0</v>
      </c>
      <c r="AF107" s="29">
        <f t="shared" si="74"/>
        <v>0</v>
      </c>
      <c r="AG107" s="29">
        <f t="shared" si="74"/>
        <v>0</v>
      </c>
      <c r="AH107" s="29">
        <f t="shared" si="74"/>
        <v>0</v>
      </c>
      <c r="AI107" s="29">
        <f t="shared" si="74"/>
        <v>0</v>
      </c>
      <c r="AJ107" s="29">
        <f t="shared" si="74"/>
        <v>0</v>
      </c>
      <c r="AK107" s="29">
        <f t="shared" si="74"/>
        <v>0</v>
      </c>
      <c r="AL107" s="29">
        <f t="shared" si="74"/>
        <v>0</v>
      </c>
      <c r="AM107" s="29">
        <f t="shared" si="74"/>
        <v>0</v>
      </c>
      <c r="AN107" s="29">
        <f t="shared" si="74"/>
        <v>0</v>
      </c>
      <c r="AO107" s="29">
        <f t="shared" si="74"/>
        <v>0</v>
      </c>
      <c r="AP107" s="29">
        <f t="shared" si="74"/>
        <v>0</v>
      </c>
      <c r="AQ107" s="29">
        <f t="shared" si="74"/>
        <v>0</v>
      </c>
      <c r="AR107" s="29">
        <f t="shared" si="74"/>
        <v>0</v>
      </c>
      <c r="AS107" s="29">
        <f t="shared" si="74"/>
        <v>0</v>
      </c>
      <c r="AT107" s="29">
        <f t="shared" si="74"/>
        <v>0</v>
      </c>
      <c r="AU107" s="29">
        <f t="shared" si="74"/>
        <v>0</v>
      </c>
      <c r="AV107" s="29">
        <f t="shared" si="74"/>
        <v>0</v>
      </c>
      <c r="AW107" s="29">
        <f t="shared" si="74"/>
        <v>0</v>
      </c>
      <c r="AX107" s="29">
        <f t="shared" si="74"/>
        <v>0</v>
      </c>
      <c r="AY107" s="29">
        <f t="shared" si="74"/>
        <v>0</v>
      </c>
      <c r="AZ107" s="29">
        <f t="shared" si="74"/>
        <v>0</v>
      </c>
      <c r="BA107" s="29">
        <f t="shared" si="74"/>
        <v>0</v>
      </c>
      <c r="BB107" s="29">
        <f t="shared" si="74"/>
        <v>0</v>
      </c>
      <c r="BC107" s="29">
        <f t="shared" si="74"/>
        <v>0</v>
      </c>
      <c r="BD107" s="29">
        <f t="shared" si="74"/>
        <v>0</v>
      </c>
      <c r="BE107" s="29">
        <f t="shared" si="74"/>
        <v>0</v>
      </c>
      <c r="BF107" s="29">
        <f t="shared" si="74"/>
        <v>0</v>
      </c>
      <c r="BG107" s="29">
        <f t="shared" si="74"/>
        <v>0</v>
      </c>
      <c r="BH107" s="29">
        <f t="shared" si="74"/>
        <v>0</v>
      </c>
      <c r="BI107" s="29">
        <f t="shared" si="74"/>
        <v>0</v>
      </c>
      <c r="BJ107" s="29">
        <f t="shared" si="74"/>
        <v>0</v>
      </c>
      <c r="BK107" s="29">
        <f t="shared" si="74"/>
        <v>0</v>
      </c>
      <c r="BL107" s="29">
        <f t="shared" si="74"/>
        <v>0</v>
      </c>
      <c r="BM107" s="29">
        <f t="shared" si="74"/>
        <v>0</v>
      </c>
      <c r="BN107" s="29">
        <f t="shared" si="74"/>
        <v>0</v>
      </c>
      <c r="BO107" s="29">
        <f t="shared" si="74"/>
        <v>0</v>
      </c>
      <c r="BP107" s="29">
        <f t="shared" si="74"/>
        <v>0</v>
      </c>
      <c r="BQ107" s="29">
        <f t="shared" si="74"/>
        <v>0</v>
      </c>
      <c r="BR107" s="29">
        <f t="shared" si="74"/>
        <v>0</v>
      </c>
      <c r="BS107" s="29">
        <f t="shared" si="74"/>
        <v>0</v>
      </c>
      <c r="BT107" s="29">
        <f t="shared" si="74"/>
        <v>0</v>
      </c>
      <c r="BU107" s="29">
        <f t="shared" si="74"/>
        <v>0</v>
      </c>
      <c r="BV107" s="29">
        <f t="shared" si="74"/>
        <v>0</v>
      </c>
      <c r="BW107" s="29">
        <f t="shared" si="74"/>
        <v>0</v>
      </c>
      <c r="BX107" s="29">
        <f t="shared" si="74"/>
        <v>0</v>
      </c>
      <c r="BY107" s="29">
        <f t="shared" si="74"/>
        <v>0</v>
      </c>
      <c r="BZ107" s="29">
        <f t="shared" si="74"/>
        <v>0</v>
      </c>
      <c r="CA107" s="29">
        <f t="shared" si="74"/>
        <v>0</v>
      </c>
      <c r="CB107" s="29">
        <f t="shared" si="74"/>
        <v>0</v>
      </c>
      <c r="CC107" s="29">
        <f t="shared" si="74"/>
        <v>0</v>
      </c>
      <c r="CD107" s="29">
        <f t="shared" si="74"/>
        <v>0</v>
      </c>
      <c r="CE107" s="29">
        <f t="shared" si="74"/>
        <v>0</v>
      </c>
      <c r="CF107" s="29">
        <f t="shared" si="74"/>
        <v>0</v>
      </c>
      <c r="CG107" s="29">
        <f t="shared" si="74"/>
        <v>0</v>
      </c>
      <c r="CH107" s="29">
        <f t="shared" si="74"/>
        <v>0</v>
      </c>
    </row>
    <row r="108" spans="2:86" ht="13" hidden="1" outlineLevel="1">
      <c r="B108" s="84">
        <f t="shared" si="71"/>
        <v>5</v>
      </c>
      <c r="C108" s="64">
        <f t="shared" ca="1" si="69"/>
        <v>-0.22594110408197832</v>
      </c>
      <c r="D108" s="15" t="s">
        <v>238</v>
      </c>
      <c r="E108" s="29">
        <f t="shared" ca="1" si="59"/>
        <v>-806250</v>
      </c>
      <c r="F108" s="29"/>
      <c r="G108" s="29">
        <f t="shared" ref="G108:CH108" ca="1" si="75">IF(G$4&lt;=$B108,ABS(G$31)*-1+G$47,0)+IF($B108=G$4,G$81,0)</f>
        <v>-1444375</v>
      </c>
      <c r="H108" s="29">
        <f t="shared" ca="1" si="75"/>
        <v>-1344375</v>
      </c>
      <c r="I108" s="29">
        <f t="shared" ca="1" si="75"/>
        <v>-1344375</v>
      </c>
      <c r="J108" s="29">
        <f t="shared" ca="1" si="75"/>
        <v>-1344375</v>
      </c>
      <c r="K108" s="29">
        <f t="shared" ca="1" si="75"/>
        <v>4671250</v>
      </c>
      <c r="L108" s="29">
        <f t="shared" si="75"/>
        <v>0</v>
      </c>
      <c r="M108" s="29">
        <f t="shared" si="75"/>
        <v>0</v>
      </c>
      <c r="N108" s="29">
        <f t="shared" si="75"/>
        <v>0</v>
      </c>
      <c r="O108" s="29">
        <f t="shared" si="75"/>
        <v>0</v>
      </c>
      <c r="P108" s="29">
        <f t="shared" si="75"/>
        <v>0</v>
      </c>
      <c r="Q108" s="29">
        <f t="shared" si="75"/>
        <v>0</v>
      </c>
      <c r="R108" s="29">
        <f t="shared" si="75"/>
        <v>0</v>
      </c>
      <c r="S108" s="29">
        <f t="shared" si="75"/>
        <v>0</v>
      </c>
      <c r="T108" s="29">
        <f t="shared" si="75"/>
        <v>0</v>
      </c>
      <c r="U108" s="29">
        <f t="shared" si="75"/>
        <v>0</v>
      </c>
      <c r="V108" s="29">
        <f t="shared" si="75"/>
        <v>0</v>
      </c>
      <c r="W108" s="29">
        <f t="shared" si="75"/>
        <v>0</v>
      </c>
      <c r="X108" s="29">
        <f t="shared" si="75"/>
        <v>0</v>
      </c>
      <c r="Y108" s="29">
        <f t="shared" si="75"/>
        <v>0</v>
      </c>
      <c r="Z108" s="29">
        <f t="shared" si="75"/>
        <v>0</v>
      </c>
      <c r="AA108" s="29">
        <f t="shared" si="75"/>
        <v>0</v>
      </c>
      <c r="AB108" s="29">
        <f t="shared" si="75"/>
        <v>0</v>
      </c>
      <c r="AC108" s="29">
        <f t="shared" si="75"/>
        <v>0</v>
      </c>
      <c r="AD108" s="29">
        <f t="shared" si="75"/>
        <v>0</v>
      </c>
      <c r="AE108" s="29">
        <f t="shared" si="75"/>
        <v>0</v>
      </c>
      <c r="AF108" s="29">
        <f t="shared" si="75"/>
        <v>0</v>
      </c>
      <c r="AG108" s="29">
        <f t="shared" si="75"/>
        <v>0</v>
      </c>
      <c r="AH108" s="29">
        <f t="shared" si="75"/>
        <v>0</v>
      </c>
      <c r="AI108" s="29">
        <f t="shared" si="75"/>
        <v>0</v>
      </c>
      <c r="AJ108" s="29">
        <f t="shared" si="75"/>
        <v>0</v>
      </c>
      <c r="AK108" s="29">
        <f t="shared" si="75"/>
        <v>0</v>
      </c>
      <c r="AL108" s="29">
        <f t="shared" si="75"/>
        <v>0</v>
      </c>
      <c r="AM108" s="29">
        <f t="shared" si="75"/>
        <v>0</v>
      </c>
      <c r="AN108" s="29">
        <f t="shared" si="75"/>
        <v>0</v>
      </c>
      <c r="AO108" s="29">
        <f t="shared" si="75"/>
        <v>0</v>
      </c>
      <c r="AP108" s="29">
        <f t="shared" si="75"/>
        <v>0</v>
      </c>
      <c r="AQ108" s="29">
        <f t="shared" si="75"/>
        <v>0</v>
      </c>
      <c r="AR108" s="29">
        <f t="shared" si="75"/>
        <v>0</v>
      </c>
      <c r="AS108" s="29">
        <f t="shared" si="75"/>
        <v>0</v>
      </c>
      <c r="AT108" s="29">
        <f t="shared" si="75"/>
        <v>0</v>
      </c>
      <c r="AU108" s="29">
        <f t="shared" si="75"/>
        <v>0</v>
      </c>
      <c r="AV108" s="29">
        <f t="shared" si="75"/>
        <v>0</v>
      </c>
      <c r="AW108" s="29">
        <f t="shared" si="75"/>
        <v>0</v>
      </c>
      <c r="AX108" s="29">
        <f t="shared" si="75"/>
        <v>0</v>
      </c>
      <c r="AY108" s="29">
        <f t="shared" si="75"/>
        <v>0</v>
      </c>
      <c r="AZ108" s="29">
        <f t="shared" si="75"/>
        <v>0</v>
      </c>
      <c r="BA108" s="29">
        <f t="shared" si="75"/>
        <v>0</v>
      </c>
      <c r="BB108" s="29">
        <f t="shared" si="75"/>
        <v>0</v>
      </c>
      <c r="BC108" s="29">
        <f t="shared" si="75"/>
        <v>0</v>
      </c>
      <c r="BD108" s="29">
        <f t="shared" si="75"/>
        <v>0</v>
      </c>
      <c r="BE108" s="29">
        <f t="shared" si="75"/>
        <v>0</v>
      </c>
      <c r="BF108" s="29">
        <f t="shared" si="75"/>
        <v>0</v>
      </c>
      <c r="BG108" s="29">
        <f t="shared" si="75"/>
        <v>0</v>
      </c>
      <c r="BH108" s="29">
        <f t="shared" si="75"/>
        <v>0</v>
      </c>
      <c r="BI108" s="29">
        <f t="shared" si="75"/>
        <v>0</v>
      </c>
      <c r="BJ108" s="29">
        <f t="shared" si="75"/>
        <v>0</v>
      </c>
      <c r="BK108" s="29">
        <f t="shared" si="75"/>
        <v>0</v>
      </c>
      <c r="BL108" s="29">
        <f t="shared" si="75"/>
        <v>0</v>
      </c>
      <c r="BM108" s="29">
        <f t="shared" si="75"/>
        <v>0</v>
      </c>
      <c r="BN108" s="29">
        <f t="shared" si="75"/>
        <v>0</v>
      </c>
      <c r="BO108" s="29">
        <f t="shared" si="75"/>
        <v>0</v>
      </c>
      <c r="BP108" s="29">
        <f t="shared" si="75"/>
        <v>0</v>
      </c>
      <c r="BQ108" s="29">
        <f t="shared" si="75"/>
        <v>0</v>
      </c>
      <c r="BR108" s="29">
        <f t="shared" si="75"/>
        <v>0</v>
      </c>
      <c r="BS108" s="29">
        <f t="shared" si="75"/>
        <v>0</v>
      </c>
      <c r="BT108" s="29">
        <f t="shared" si="75"/>
        <v>0</v>
      </c>
      <c r="BU108" s="29">
        <f t="shared" si="75"/>
        <v>0</v>
      </c>
      <c r="BV108" s="29">
        <f t="shared" si="75"/>
        <v>0</v>
      </c>
      <c r="BW108" s="29">
        <f t="shared" si="75"/>
        <v>0</v>
      </c>
      <c r="BX108" s="29">
        <f t="shared" si="75"/>
        <v>0</v>
      </c>
      <c r="BY108" s="29">
        <f t="shared" si="75"/>
        <v>0</v>
      </c>
      <c r="BZ108" s="29">
        <f t="shared" si="75"/>
        <v>0</v>
      </c>
      <c r="CA108" s="29">
        <f t="shared" si="75"/>
        <v>0</v>
      </c>
      <c r="CB108" s="29">
        <f t="shared" si="75"/>
        <v>0</v>
      </c>
      <c r="CC108" s="29">
        <f t="shared" si="75"/>
        <v>0</v>
      </c>
      <c r="CD108" s="29">
        <f t="shared" si="75"/>
        <v>0</v>
      </c>
      <c r="CE108" s="29">
        <f t="shared" si="75"/>
        <v>0</v>
      </c>
      <c r="CF108" s="29">
        <f t="shared" si="75"/>
        <v>0</v>
      </c>
      <c r="CG108" s="29">
        <f t="shared" si="75"/>
        <v>0</v>
      </c>
      <c r="CH108" s="29">
        <f t="shared" si="75"/>
        <v>0</v>
      </c>
    </row>
    <row r="109" spans="2:86" ht="13" hidden="1" outlineLevel="1">
      <c r="B109" s="84">
        <f t="shared" si="71"/>
        <v>6</v>
      </c>
      <c r="C109" s="64">
        <f t="shared" ca="1" si="69"/>
        <v>-0.18194488047271207</v>
      </c>
      <c r="D109" s="15" t="s">
        <v>238</v>
      </c>
      <c r="E109" s="29">
        <f t="shared" ca="1" si="59"/>
        <v>-947500</v>
      </c>
      <c r="F109" s="29"/>
      <c r="G109" s="29">
        <f t="shared" ref="G109:CH109" ca="1" si="76">IF(G$4&lt;=$B109,ABS(G$31)*-1+G$47,0)+IF($B109=G$4,G$81,0)</f>
        <v>-1444375</v>
      </c>
      <c r="H109" s="29">
        <f t="shared" ca="1" si="76"/>
        <v>-1344375</v>
      </c>
      <c r="I109" s="29">
        <f t="shared" ca="1" si="76"/>
        <v>-1344375</v>
      </c>
      <c r="J109" s="29">
        <f t="shared" ca="1" si="76"/>
        <v>-1344375</v>
      </c>
      <c r="K109" s="29">
        <f t="shared" ca="1" si="76"/>
        <v>-1344375</v>
      </c>
      <c r="L109" s="29">
        <f t="shared" ca="1" si="76"/>
        <v>5874375</v>
      </c>
      <c r="M109" s="29">
        <f t="shared" si="76"/>
        <v>0</v>
      </c>
      <c r="N109" s="29">
        <f t="shared" si="76"/>
        <v>0</v>
      </c>
      <c r="O109" s="29">
        <f t="shared" si="76"/>
        <v>0</v>
      </c>
      <c r="P109" s="29">
        <f t="shared" si="76"/>
        <v>0</v>
      </c>
      <c r="Q109" s="29">
        <f t="shared" si="76"/>
        <v>0</v>
      </c>
      <c r="R109" s="29">
        <f t="shared" si="76"/>
        <v>0</v>
      </c>
      <c r="S109" s="29">
        <f t="shared" si="76"/>
        <v>0</v>
      </c>
      <c r="T109" s="29">
        <f t="shared" si="76"/>
        <v>0</v>
      </c>
      <c r="U109" s="29">
        <f t="shared" si="76"/>
        <v>0</v>
      </c>
      <c r="V109" s="29">
        <f t="shared" si="76"/>
        <v>0</v>
      </c>
      <c r="W109" s="29">
        <f t="shared" si="76"/>
        <v>0</v>
      </c>
      <c r="X109" s="29">
        <f t="shared" si="76"/>
        <v>0</v>
      </c>
      <c r="Y109" s="29">
        <f t="shared" si="76"/>
        <v>0</v>
      </c>
      <c r="Z109" s="29">
        <f t="shared" si="76"/>
        <v>0</v>
      </c>
      <c r="AA109" s="29">
        <f t="shared" si="76"/>
        <v>0</v>
      </c>
      <c r="AB109" s="29">
        <f t="shared" si="76"/>
        <v>0</v>
      </c>
      <c r="AC109" s="29">
        <f t="shared" si="76"/>
        <v>0</v>
      </c>
      <c r="AD109" s="29">
        <f t="shared" si="76"/>
        <v>0</v>
      </c>
      <c r="AE109" s="29">
        <f t="shared" si="76"/>
        <v>0</v>
      </c>
      <c r="AF109" s="29">
        <f t="shared" si="76"/>
        <v>0</v>
      </c>
      <c r="AG109" s="29">
        <f t="shared" si="76"/>
        <v>0</v>
      </c>
      <c r="AH109" s="29">
        <f t="shared" si="76"/>
        <v>0</v>
      </c>
      <c r="AI109" s="29">
        <f t="shared" si="76"/>
        <v>0</v>
      </c>
      <c r="AJ109" s="29">
        <f t="shared" si="76"/>
        <v>0</v>
      </c>
      <c r="AK109" s="29">
        <f t="shared" si="76"/>
        <v>0</v>
      </c>
      <c r="AL109" s="29">
        <f t="shared" si="76"/>
        <v>0</v>
      </c>
      <c r="AM109" s="29">
        <f t="shared" si="76"/>
        <v>0</v>
      </c>
      <c r="AN109" s="29">
        <f t="shared" si="76"/>
        <v>0</v>
      </c>
      <c r="AO109" s="29">
        <f t="shared" si="76"/>
        <v>0</v>
      </c>
      <c r="AP109" s="29">
        <f t="shared" si="76"/>
        <v>0</v>
      </c>
      <c r="AQ109" s="29">
        <f t="shared" si="76"/>
        <v>0</v>
      </c>
      <c r="AR109" s="29">
        <f t="shared" si="76"/>
        <v>0</v>
      </c>
      <c r="AS109" s="29">
        <f t="shared" si="76"/>
        <v>0</v>
      </c>
      <c r="AT109" s="29">
        <f t="shared" si="76"/>
        <v>0</v>
      </c>
      <c r="AU109" s="29">
        <f t="shared" si="76"/>
        <v>0</v>
      </c>
      <c r="AV109" s="29">
        <f t="shared" si="76"/>
        <v>0</v>
      </c>
      <c r="AW109" s="29">
        <f t="shared" si="76"/>
        <v>0</v>
      </c>
      <c r="AX109" s="29">
        <f t="shared" si="76"/>
        <v>0</v>
      </c>
      <c r="AY109" s="29">
        <f t="shared" si="76"/>
        <v>0</v>
      </c>
      <c r="AZ109" s="29">
        <f t="shared" si="76"/>
        <v>0</v>
      </c>
      <c r="BA109" s="29">
        <f t="shared" si="76"/>
        <v>0</v>
      </c>
      <c r="BB109" s="29">
        <f t="shared" si="76"/>
        <v>0</v>
      </c>
      <c r="BC109" s="29">
        <f t="shared" si="76"/>
        <v>0</v>
      </c>
      <c r="BD109" s="29">
        <f t="shared" si="76"/>
        <v>0</v>
      </c>
      <c r="BE109" s="29">
        <f t="shared" si="76"/>
        <v>0</v>
      </c>
      <c r="BF109" s="29">
        <f t="shared" si="76"/>
        <v>0</v>
      </c>
      <c r="BG109" s="29">
        <f t="shared" si="76"/>
        <v>0</v>
      </c>
      <c r="BH109" s="29">
        <f t="shared" si="76"/>
        <v>0</v>
      </c>
      <c r="BI109" s="29">
        <f t="shared" si="76"/>
        <v>0</v>
      </c>
      <c r="BJ109" s="29">
        <f t="shared" si="76"/>
        <v>0</v>
      </c>
      <c r="BK109" s="29">
        <f t="shared" si="76"/>
        <v>0</v>
      </c>
      <c r="BL109" s="29">
        <f t="shared" si="76"/>
        <v>0</v>
      </c>
      <c r="BM109" s="29">
        <f t="shared" si="76"/>
        <v>0</v>
      </c>
      <c r="BN109" s="29">
        <f t="shared" si="76"/>
        <v>0</v>
      </c>
      <c r="BO109" s="29">
        <f t="shared" si="76"/>
        <v>0</v>
      </c>
      <c r="BP109" s="29">
        <f t="shared" si="76"/>
        <v>0</v>
      </c>
      <c r="BQ109" s="29">
        <f t="shared" si="76"/>
        <v>0</v>
      </c>
      <c r="BR109" s="29">
        <f t="shared" si="76"/>
        <v>0</v>
      </c>
      <c r="BS109" s="29">
        <f t="shared" si="76"/>
        <v>0</v>
      </c>
      <c r="BT109" s="29">
        <f t="shared" si="76"/>
        <v>0</v>
      </c>
      <c r="BU109" s="29">
        <f t="shared" si="76"/>
        <v>0</v>
      </c>
      <c r="BV109" s="29">
        <f t="shared" si="76"/>
        <v>0</v>
      </c>
      <c r="BW109" s="29">
        <f t="shared" si="76"/>
        <v>0</v>
      </c>
      <c r="BX109" s="29">
        <f t="shared" si="76"/>
        <v>0</v>
      </c>
      <c r="BY109" s="29">
        <f t="shared" si="76"/>
        <v>0</v>
      </c>
      <c r="BZ109" s="29">
        <f t="shared" si="76"/>
        <v>0</v>
      </c>
      <c r="CA109" s="29">
        <f t="shared" si="76"/>
        <v>0</v>
      </c>
      <c r="CB109" s="29">
        <f t="shared" si="76"/>
        <v>0</v>
      </c>
      <c r="CC109" s="29">
        <f t="shared" si="76"/>
        <v>0</v>
      </c>
      <c r="CD109" s="29">
        <f t="shared" si="76"/>
        <v>0</v>
      </c>
      <c r="CE109" s="29">
        <f t="shared" si="76"/>
        <v>0</v>
      </c>
      <c r="CF109" s="29">
        <f t="shared" si="76"/>
        <v>0</v>
      </c>
      <c r="CG109" s="29">
        <f t="shared" si="76"/>
        <v>0</v>
      </c>
      <c r="CH109" s="29">
        <f t="shared" si="76"/>
        <v>0</v>
      </c>
    </row>
    <row r="110" spans="2:86" ht="13" hidden="1" outlineLevel="1">
      <c r="B110" s="84">
        <f t="shared" si="71"/>
        <v>7</v>
      </c>
      <c r="C110" s="64">
        <f t="shared" ca="1" si="69"/>
        <v>-0.15207267750779541</v>
      </c>
      <c r="D110" s="15" t="s">
        <v>238</v>
      </c>
      <c r="E110" s="29">
        <f t="shared" ca="1" si="59"/>
        <v>-1088750</v>
      </c>
      <c r="F110" s="29"/>
      <c r="G110" s="29">
        <f t="shared" ref="G110:CH110" ca="1" si="77">IF(G$4&lt;=$B110,ABS(G$31)*-1+G$47,0)+IF($B110=G$4,G$81,0)</f>
        <v>-1444375</v>
      </c>
      <c r="H110" s="29">
        <f t="shared" ca="1" si="77"/>
        <v>-1344375</v>
      </c>
      <c r="I110" s="29">
        <f t="shared" ca="1" si="77"/>
        <v>-1344375</v>
      </c>
      <c r="J110" s="29">
        <f t="shared" ca="1" si="77"/>
        <v>-1344375</v>
      </c>
      <c r="K110" s="29">
        <f t="shared" ca="1" si="77"/>
        <v>-1344375</v>
      </c>
      <c r="L110" s="29">
        <f t="shared" ca="1" si="77"/>
        <v>-1344375</v>
      </c>
      <c r="M110" s="29">
        <f t="shared" ca="1" si="77"/>
        <v>7077500</v>
      </c>
      <c r="N110" s="29">
        <f t="shared" si="77"/>
        <v>0</v>
      </c>
      <c r="O110" s="29">
        <f t="shared" si="77"/>
        <v>0</v>
      </c>
      <c r="P110" s="29">
        <f t="shared" si="77"/>
        <v>0</v>
      </c>
      <c r="Q110" s="29">
        <f t="shared" si="77"/>
        <v>0</v>
      </c>
      <c r="R110" s="29">
        <f t="shared" si="77"/>
        <v>0</v>
      </c>
      <c r="S110" s="29">
        <f t="shared" si="77"/>
        <v>0</v>
      </c>
      <c r="T110" s="29">
        <f t="shared" si="77"/>
        <v>0</v>
      </c>
      <c r="U110" s="29">
        <f t="shared" si="77"/>
        <v>0</v>
      </c>
      <c r="V110" s="29">
        <f t="shared" si="77"/>
        <v>0</v>
      </c>
      <c r="W110" s="29">
        <f t="shared" si="77"/>
        <v>0</v>
      </c>
      <c r="X110" s="29">
        <f t="shared" si="77"/>
        <v>0</v>
      </c>
      <c r="Y110" s="29">
        <f t="shared" si="77"/>
        <v>0</v>
      </c>
      <c r="Z110" s="29">
        <f t="shared" si="77"/>
        <v>0</v>
      </c>
      <c r="AA110" s="29">
        <f t="shared" si="77"/>
        <v>0</v>
      </c>
      <c r="AB110" s="29">
        <f t="shared" si="77"/>
        <v>0</v>
      </c>
      <c r="AC110" s="29">
        <f t="shared" si="77"/>
        <v>0</v>
      </c>
      <c r="AD110" s="29">
        <f t="shared" si="77"/>
        <v>0</v>
      </c>
      <c r="AE110" s="29">
        <f t="shared" si="77"/>
        <v>0</v>
      </c>
      <c r="AF110" s="29">
        <f t="shared" si="77"/>
        <v>0</v>
      </c>
      <c r="AG110" s="29">
        <f t="shared" si="77"/>
        <v>0</v>
      </c>
      <c r="AH110" s="29">
        <f t="shared" si="77"/>
        <v>0</v>
      </c>
      <c r="AI110" s="29">
        <f t="shared" si="77"/>
        <v>0</v>
      </c>
      <c r="AJ110" s="29">
        <f t="shared" si="77"/>
        <v>0</v>
      </c>
      <c r="AK110" s="29">
        <f t="shared" si="77"/>
        <v>0</v>
      </c>
      <c r="AL110" s="29">
        <f t="shared" si="77"/>
        <v>0</v>
      </c>
      <c r="AM110" s="29">
        <f t="shared" si="77"/>
        <v>0</v>
      </c>
      <c r="AN110" s="29">
        <f t="shared" si="77"/>
        <v>0</v>
      </c>
      <c r="AO110" s="29">
        <f t="shared" si="77"/>
        <v>0</v>
      </c>
      <c r="AP110" s="29">
        <f t="shared" si="77"/>
        <v>0</v>
      </c>
      <c r="AQ110" s="29">
        <f t="shared" si="77"/>
        <v>0</v>
      </c>
      <c r="AR110" s="29">
        <f t="shared" si="77"/>
        <v>0</v>
      </c>
      <c r="AS110" s="29">
        <f t="shared" si="77"/>
        <v>0</v>
      </c>
      <c r="AT110" s="29">
        <f t="shared" si="77"/>
        <v>0</v>
      </c>
      <c r="AU110" s="29">
        <f t="shared" si="77"/>
        <v>0</v>
      </c>
      <c r="AV110" s="29">
        <f t="shared" si="77"/>
        <v>0</v>
      </c>
      <c r="AW110" s="29">
        <f t="shared" si="77"/>
        <v>0</v>
      </c>
      <c r="AX110" s="29">
        <f t="shared" si="77"/>
        <v>0</v>
      </c>
      <c r="AY110" s="29">
        <f t="shared" si="77"/>
        <v>0</v>
      </c>
      <c r="AZ110" s="29">
        <f t="shared" si="77"/>
        <v>0</v>
      </c>
      <c r="BA110" s="29">
        <f t="shared" si="77"/>
        <v>0</v>
      </c>
      <c r="BB110" s="29">
        <f t="shared" si="77"/>
        <v>0</v>
      </c>
      <c r="BC110" s="29">
        <f t="shared" si="77"/>
        <v>0</v>
      </c>
      <c r="BD110" s="29">
        <f t="shared" si="77"/>
        <v>0</v>
      </c>
      <c r="BE110" s="29">
        <f t="shared" si="77"/>
        <v>0</v>
      </c>
      <c r="BF110" s="29">
        <f t="shared" si="77"/>
        <v>0</v>
      </c>
      <c r="BG110" s="29">
        <f t="shared" si="77"/>
        <v>0</v>
      </c>
      <c r="BH110" s="29">
        <f t="shared" si="77"/>
        <v>0</v>
      </c>
      <c r="BI110" s="29">
        <f t="shared" si="77"/>
        <v>0</v>
      </c>
      <c r="BJ110" s="29">
        <f t="shared" si="77"/>
        <v>0</v>
      </c>
      <c r="BK110" s="29">
        <f t="shared" si="77"/>
        <v>0</v>
      </c>
      <c r="BL110" s="29">
        <f t="shared" si="77"/>
        <v>0</v>
      </c>
      <c r="BM110" s="29">
        <f t="shared" si="77"/>
        <v>0</v>
      </c>
      <c r="BN110" s="29">
        <f t="shared" si="77"/>
        <v>0</v>
      </c>
      <c r="BO110" s="29">
        <f t="shared" si="77"/>
        <v>0</v>
      </c>
      <c r="BP110" s="29">
        <f t="shared" si="77"/>
        <v>0</v>
      </c>
      <c r="BQ110" s="29">
        <f t="shared" si="77"/>
        <v>0</v>
      </c>
      <c r="BR110" s="29">
        <f t="shared" si="77"/>
        <v>0</v>
      </c>
      <c r="BS110" s="29">
        <f t="shared" si="77"/>
        <v>0</v>
      </c>
      <c r="BT110" s="29">
        <f t="shared" si="77"/>
        <v>0</v>
      </c>
      <c r="BU110" s="29">
        <f t="shared" si="77"/>
        <v>0</v>
      </c>
      <c r="BV110" s="29">
        <f t="shared" si="77"/>
        <v>0</v>
      </c>
      <c r="BW110" s="29">
        <f t="shared" si="77"/>
        <v>0</v>
      </c>
      <c r="BX110" s="29">
        <f t="shared" si="77"/>
        <v>0</v>
      </c>
      <c r="BY110" s="29">
        <f t="shared" si="77"/>
        <v>0</v>
      </c>
      <c r="BZ110" s="29">
        <f t="shared" si="77"/>
        <v>0</v>
      </c>
      <c r="CA110" s="29">
        <f t="shared" si="77"/>
        <v>0</v>
      </c>
      <c r="CB110" s="29">
        <f t="shared" si="77"/>
        <v>0</v>
      </c>
      <c r="CC110" s="29">
        <f t="shared" si="77"/>
        <v>0</v>
      </c>
      <c r="CD110" s="29">
        <f t="shared" si="77"/>
        <v>0</v>
      </c>
      <c r="CE110" s="29">
        <f t="shared" si="77"/>
        <v>0</v>
      </c>
      <c r="CF110" s="29">
        <f t="shared" si="77"/>
        <v>0</v>
      </c>
      <c r="CG110" s="29">
        <f t="shared" si="77"/>
        <v>0</v>
      </c>
      <c r="CH110" s="29">
        <f t="shared" si="77"/>
        <v>0</v>
      </c>
    </row>
    <row r="111" spans="2:86" ht="13" hidden="1" outlineLevel="1">
      <c r="B111" s="84">
        <f t="shared" si="71"/>
        <v>8</v>
      </c>
      <c r="C111" s="64">
        <f t="shared" ca="1" si="69"/>
        <v>-0.13052386610076128</v>
      </c>
      <c r="D111" s="15" t="s">
        <v>238</v>
      </c>
      <c r="E111" s="29">
        <f t="shared" ca="1" si="59"/>
        <v>-1230000</v>
      </c>
      <c r="F111" s="29"/>
      <c r="G111" s="29">
        <f t="shared" ref="G111:CH111" ca="1" si="78">IF(G$4&lt;=$B111,ABS(G$31)*-1+G$47,0)+IF($B111=G$4,G$81,0)</f>
        <v>-1444375</v>
      </c>
      <c r="H111" s="29">
        <f t="shared" ca="1" si="78"/>
        <v>-1344375</v>
      </c>
      <c r="I111" s="29">
        <f t="shared" ca="1" si="78"/>
        <v>-1344375</v>
      </c>
      <c r="J111" s="29">
        <f t="shared" ca="1" si="78"/>
        <v>-1344375</v>
      </c>
      <c r="K111" s="29">
        <f t="shared" ca="1" si="78"/>
        <v>-1344375</v>
      </c>
      <c r="L111" s="29">
        <f t="shared" ca="1" si="78"/>
        <v>-1344375</v>
      </c>
      <c r="M111" s="29">
        <f t="shared" ca="1" si="78"/>
        <v>-1344375</v>
      </c>
      <c r="N111" s="29">
        <f t="shared" ca="1" si="78"/>
        <v>8280625</v>
      </c>
      <c r="O111" s="29">
        <f t="shared" si="78"/>
        <v>0</v>
      </c>
      <c r="P111" s="29">
        <f t="shared" si="78"/>
        <v>0</v>
      </c>
      <c r="Q111" s="29">
        <f t="shared" si="78"/>
        <v>0</v>
      </c>
      <c r="R111" s="29">
        <f t="shared" si="78"/>
        <v>0</v>
      </c>
      <c r="S111" s="29">
        <f t="shared" si="78"/>
        <v>0</v>
      </c>
      <c r="T111" s="29">
        <f t="shared" si="78"/>
        <v>0</v>
      </c>
      <c r="U111" s="29">
        <f t="shared" si="78"/>
        <v>0</v>
      </c>
      <c r="V111" s="29">
        <f t="shared" si="78"/>
        <v>0</v>
      </c>
      <c r="W111" s="29">
        <f t="shared" si="78"/>
        <v>0</v>
      </c>
      <c r="X111" s="29">
        <f t="shared" si="78"/>
        <v>0</v>
      </c>
      <c r="Y111" s="29">
        <f t="shared" si="78"/>
        <v>0</v>
      </c>
      <c r="Z111" s="29">
        <f t="shared" si="78"/>
        <v>0</v>
      </c>
      <c r="AA111" s="29">
        <f t="shared" si="78"/>
        <v>0</v>
      </c>
      <c r="AB111" s="29">
        <f t="shared" si="78"/>
        <v>0</v>
      </c>
      <c r="AC111" s="29">
        <f t="shared" si="78"/>
        <v>0</v>
      </c>
      <c r="AD111" s="29">
        <f t="shared" si="78"/>
        <v>0</v>
      </c>
      <c r="AE111" s="29">
        <f t="shared" si="78"/>
        <v>0</v>
      </c>
      <c r="AF111" s="29">
        <f t="shared" si="78"/>
        <v>0</v>
      </c>
      <c r="AG111" s="29">
        <f t="shared" si="78"/>
        <v>0</v>
      </c>
      <c r="AH111" s="29">
        <f t="shared" si="78"/>
        <v>0</v>
      </c>
      <c r="AI111" s="29">
        <f t="shared" si="78"/>
        <v>0</v>
      </c>
      <c r="AJ111" s="29">
        <f t="shared" si="78"/>
        <v>0</v>
      </c>
      <c r="AK111" s="29">
        <f t="shared" si="78"/>
        <v>0</v>
      </c>
      <c r="AL111" s="29">
        <f t="shared" si="78"/>
        <v>0</v>
      </c>
      <c r="AM111" s="29">
        <f t="shared" si="78"/>
        <v>0</v>
      </c>
      <c r="AN111" s="29">
        <f t="shared" si="78"/>
        <v>0</v>
      </c>
      <c r="AO111" s="29">
        <f t="shared" si="78"/>
        <v>0</v>
      </c>
      <c r="AP111" s="29">
        <f t="shared" si="78"/>
        <v>0</v>
      </c>
      <c r="AQ111" s="29">
        <f t="shared" si="78"/>
        <v>0</v>
      </c>
      <c r="AR111" s="29">
        <f t="shared" si="78"/>
        <v>0</v>
      </c>
      <c r="AS111" s="29">
        <f t="shared" si="78"/>
        <v>0</v>
      </c>
      <c r="AT111" s="29">
        <f t="shared" si="78"/>
        <v>0</v>
      </c>
      <c r="AU111" s="29">
        <f t="shared" si="78"/>
        <v>0</v>
      </c>
      <c r="AV111" s="29">
        <f t="shared" si="78"/>
        <v>0</v>
      </c>
      <c r="AW111" s="29">
        <f t="shared" si="78"/>
        <v>0</v>
      </c>
      <c r="AX111" s="29">
        <f t="shared" si="78"/>
        <v>0</v>
      </c>
      <c r="AY111" s="29">
        <f t="shared" si="78"/>
        <v>0</v>
      </c>
      <c r="AZ111" s="29">
        <f t="shared" si="78"/>
        <v>0</v>
      </c>
      <c r="BA111" s="29">
        <f t="shared" si="78"/>
        <v>0</v>
      </c>
      <c r="BB111" s="29">
        <f t="shared" si="78"/>
        <v>0</v>
      </c>
      <c r="BC111" s="29">
        <f t="shared" si="78"/>
        <v>0</v>
      </c>
      <c r="BD111" s="29">
        <f t="shared" si="78"/>
        <v>0</v>
      </c>
      <c r="BE111" s="29">
        <f t="shared" si="78"/>
        <v>0</v>
      </c>
      <c r="BF111" s="29">
        <f t="shared" si="78"/>
        <v>0</v>
      </c>
      <c r="BG111" s="29">
        <f t="shared" si="78"/>
        <v>0</v>
      </c>
      <c r="BH111" s="29">
        <f t="shared" si="78"/>
        <v>0</v>
      </c>
      <c r="BI111" s="29">
        <f t="shared" si="78"/>
        <v>0</v>
      </c>
      <c r="BJ111" s="29">
        <f t="shared" si="78"/>
        <v>0</v>
      </c>
      <c r="BK111" s="29">
        <f t="shared" si="78"/>
        <v>0</v>
      </c>
      <c r="BL111" s="29">
        <f t="shared" si="78"/>
        <v>0</v>
      </c>
      <c r="BM111" s="29">
        <f t="shared" si="78"/>
        <v>0</v>
      </c>
      <c r="BN111" s="29">
        <f t="shared" si="78"/>
        <v>0</v>
      </c>
      <c r="BO111" s="29">
        <f t="shared" si="78"/>
        <v>0</v>
      </c>
      <c r="BP111" s="29">
        <f t="shared" si="78"/>
        <v>0</v>
      </c>
      <c r="BQ111" s="29">
        <f t="shared" si="78"/>
        <v>0</v>
      </c>
      <c r="BR111" s="29">
        <f t="shared" si="78"/>
        <v>0</v>
      </c>
      <c r="BS111" s="29">
        <f t="shared" si="78"/>
        <v>0</v>
      </c>
      <c r="BT111" s="29">
        <f t="shared" si="78"/>
        <v>0</v>
      </c>
      <c r="BU111" s="29">
        <f t="shared" si="78"/>
        <v>0</v>
      </c>
      <c r="BV111" s="29">
        <f t="shared" si="78"/>
        <v>0</v>
      </c>
      <c r="BW111" s="29">
        <f t="shared" si="78"/>
        <v>0</v>
      </c>
      <c r="BX111" s="29">
        <f t="shared" si="78"/>
        <v>0</v>
      </c>
      <c r="BY111" s="29">
        <f t="shared" si="78"/>
        <v>0</v>
      </c>
      <c r="BZ111" s="29">
        <f t="shared" si="78"/>
        <v>0</v>
      </c>
      <c r="CA111" s="29">
        <f t="shared" si="78"/>
        <v>0</v>
      </c>
      <c r="CB111" s="29">
        <f t="shared" si="78"/>
        <v>0</v>
      </c>
      <c r="CC111" s="29">
        <f t="shared" si="78"/>
        <v>0</v>
      </c>
      <c r="CD111" s="29">
        <f t="shared" si="78"/>
        <v>0</v>
      </c>
      <c r="CE111" s="29">
        <f t="shared" si="78"/>
        <v>0</v>
      </c>
      <c r="CF111" s="29">
        <f t="shared" si="78"/>
        <v>0</v>
      </c>
      <c r="CG111" s="29">
        <f t="shared" si="78"/>
        <v>0</v>
      </c>
      <c r="CH111" s="29">
        <f t="shared" si="78"/>
        <v>0</v>
      </c>
    </row>
    <row r="112" spans="2:86" ht="13" hidden="1" outlineLevel="1">
      <c r="B112" s="84">
        <f t="shared" si="71"/>
        <v>9</v>
      </c>
      <c r="C112" s="64">
        <f t="shared" ca="1" si="69"/>
        <v>-6.9643930510755347E-2</v>
      </c>
      <c r="D112" s="15" t="s">
        <v>238</v>
      </c>
      <c r="E112" s="29">
        <f t="shared" ca="1" si="59"/>
        <v>-843867.07500166073</v>
      </c>
      <c r="F112" s="29"/>
      <c r="G112" s="29">
        <f t="shared" ref="G112:CH112" ca="1" si="79">IF(G$4&lt;=$B112,ABS(G$31)*-1+G$47,0)+IF($B112=G$4,G$81,0)</f>
        <v>-1444375</v>
      </c>
      <c r="H112" s="29">
        <f t="shared" ca="1" si="79"/>
        <v>-1344375</v>
      </c>
      <c r="I112" s="29">
        <f t="shared" ca="1" si="79"/>
        <v>-1344375</v>
      </c>
      <c r="J112" s="29">
        <f t="shared" ca="1" si="79"/>
        <v>-1344375</v>
      </c>
      <c r="K112" s="29">
        <f t="shared" ca="1" si="79"/>
        <v>-1344375</v>
      </c>
      <c r="L112" s="29">
        <f t="shared" ca="1" si="79"/>
        <v>-1344375</v>
      </c>
      <c r="M112" s="29">
        <f t="shared" ca="1" si="79"/>
        <v>-1344375</v>
      </c>
      <c r="N112" s="29">
        <f t="shared" ca="1" si="79"/>
        <v>-1344375</v>
      </c>
      <c r="O112" s="29">
        <f t="shared" ca="1" si="79"/>
        <v>10011132.924998339</v>
      </c>
      <c r="P112" s="29">
        <f t="shared" si="79"/>
        <v>0</v>
      </c>
      <c r="Q112" s="29">
        <f t="shared" si="79"/>
        <v>0</v>
      </c>
      <c r="R112" s="29">
        <f t="shared" si="79"/>
        <v>0</v>
      </c>
      <c r="S112" s="29">
        <f t="shared" si="79"/>
        <v>0</v>
      </c>
      <c r="T112" s="29">
        <f t="shared" si="79"/>
        <v>0</v>
      </c>
      <c r="U112" s="29">
        <f t="shared" si="79"/>
        <v>0</v>
      </c>
      <c r="V112" s="29">
        <f t="shared" si="79"/>
        <v>0</v>
      </c>
      <c r="W112" s="29">
        <f t="shared" si="79"/>
        <v>0</v>
      </c>
      <c r="X112" s="29">
        <f t="shared" si="79"/>
        <v>0</v>
      </c>
      <c r="Y112" s="29">
        <f t="shared" si="79"/>
        <v>0</v>
      </c>
      <c r="Z112" s="29">
        <f t="shared" si="79"/>
        <v>0</v>
      </c>
      <c r="AA112" s="29">
        <f t="shared" si="79"/>
        <v>0</v>
      </c>
      <c r="AB112" s="29">
        <f t="shared" si="79"/>
        <v>0</v>
      </c>
      <c r="AC112" s="29">
        <f t="shared" si="79"/>
        <v>0</v>
      </c>
      <c r="AD112" s="29">
        <f t="shared" si="79"/>
        <v>0</v>
      </c>
      <c r="AE112" s="29">
        <f t="shared" si="79"/>
        <v>0</v>
      </c>
      <c r="AF112" s="29">
        <f t="shared" si="79"/>
        <v>0</v>
      </c>
      <c r="AG112" s="29">
        <f t="shared" si="79"/>
        <v>0</v>
      </c>
      <c r="AH112" s="29">
        <f t="shared" si="79"/>
        <v>0</v>
      </c>
      <c r="AI112" s="29">
        <f t="shared" si="79"/>
        <v>0</v>
      </c>
      <c r="AJ112" s="29">
        <f t="shared" si="79"/>
        <v>0</v>
      </c>
      <c r="AK112" s="29">
        <f t="shared" si="79"/>
        <v>0</v>
      </c>
      <c r="AL112" s="29">
        <f t="shared" si="79"/>
        <v>0</v>
      </c>
      <c r="AM112" s="29">
        <f t="shared" si="79"/>
        <v>0</v>
      </c>
      <c r="AN112" s="29">
        <f t="shared" si="79"/>
        <v>0</v>
      </c>
      <c r="AO112" s="29">
        <f t="shared" si="79"/>
        <v>0</v>
      </c>
      <c r="AP112" s="29">
        <f t="shared" si="79"/>
        <v>0</v>
      </c>
      <c r="AQ112" s="29">
        <f t="shared" si="79"/>
        <v>0</v>
      </c>
      <c r="AR112" s="29">
        <f t="shared" si="79"/>
        <v>0</v>
      </c>
      <c r="AS112" s="29">
        <f t="shared" si="79"/>
        <v>0</v>
      </c>
      <c r="AT112" s="29">
        <f t="shared" si="79"/>
        <v>0</v>
      </c>
      <c r="AU112" s="29">
        <f t="shared" si="79"/>
        <v>0</v>
      </c>
      <c r="AV112" s="29">
        <f t="shared" si="79"/>
        <v>0</v>
      </c>
      <c r="AW112" s="29">
        <f t="shared" si="79"/>
        <v>0</v>
      </c>
      <c r="AX112" s="29">
        <f t="shared" si="79"/>
        <v>0</v>
      </c>
      <c r="AY112" s="29">
        <f t="shared" si="79"/>
        <v>0</v>
      </c>
      <c r="AZ112" s="29">
        <f t="shared" si="79"/>
        <v>0</v>
      </c>
      <c r="BA112" s="29">
        <f t="shared" si="79"/>
        <v>0</v>
      </c>
      <c r="BB112" s="29">
        <f t="shared" si="79"/>
        <v>0</v>
      </c>
      <c r="BC112" s="29">
        <f t="shared" si="79"/>
        <v>0</v>
      </c>
      <c r="BD112" s="29">
        <f t="shared" si="79"/>
        <v>0</v>
      </c>
      <c r="BE112" s="29">
        <f t="shared" si="79"/>
        <v>0</v>
      </c>
      <c r="BF112" s="29">
        <f t="shared" si="79"/>
        <v>0</v>
      </c>
      <c r="BG112" s="29">
        <f t="shared" si="79"/>
        <v>0</v>
      </c>
      <c r="BH112" s="29">
        <f t="shared" si="79"/>
        <v>0</v>
      </c>
      <c r="BI112" s="29">
        <f t="shared" si="79"/>
        <v>0</v>
      </c>
      <c r="BJ112" s="29">
        <f t="shared" si="79"/>
        <v>0</v>
      </c>
      <c r="BK112" s="29">
        <f t="shared" si="79"/>
        <v>0</v>
      </c>
      <c r="BL112" s="29">
        <f t="shared" si="79"/>
        <v>0</v>
      </c>
      <c r="BM112" s="29">
        <f t="shared" si="79"/>
        <v>0</v>
      </c>
      <c r="BN112" s="29">
        <f t="shared" si="79"/>
        <v>0</v>
      </c>
      <c r="BO112" s="29">
        <f t="shared" si="79"/>
        <v>0</v>
      </c>
      <c r="BP112" s="29">
        <f t="shared" si="79"/>
        <v>0</v>
      </c>
      <c r="BQ112" s="29">
        <f t="shared" si="79"/>
        <v>0</v>
      </c>
      <c r="BR112" s="29">
        <f t="shared" si="79"/>
        <v>0</v>
      </c>
      <c r="BS112" s="29">
        <f t="shared" si="79"/>
        <v>0</v>
      </c>
      <c r="BT112" s="29">
        <f t="shared" si="79"/>
        <v>0</v>
      </c>
      <c r="BU112" s="29">
        <f t="shared" si="79"/>
        <v>0</v>
      </c>
      <c r="BV112" s="29">
        <f t="shared" si="79"/>
        <v>0</v>
      </c>
      <c r="BW112" s="29">
        <f t="shared" si="79"/>
        <v>0</v>
      </c>
      <c r="BX112" s="29">
        <f t="shared" si="79"/>
        <v>0</v>
      </c>
      <c r="BY112" s="29">
        <f t="shared" si="79"/>
        <v>0</v>
      </c>
      <c r="BZ112" s="29">
        <f t="shared" si="79"/>
        <v>0</v>
      </c>
      <c r="CA112" s="29">
        <f t="shared" si="79"/>
        <v>0</v>
      </c>
      <c r="CB112" s="29">
        <f t="shared" si="79"/>
        <v>0</v>
      </c>
      <c r="CC112" s="29">
        <f t="shared" si="79"/>
        <v>0</v>
      </c>
      <c r="CD112" s="29">
        <f t="shared" si="79"/>
        <v>0</v>
      </c>
      <c r="CE112" s="29">
        <f t="shared" si="79"/>
        <v>0</v>
      </c>
      <c r="CF112" s="29">
        <f t="shared" si="79"/>
        <v>0</v>
      </c>
      <c r="CG112" s="29">
        <f t="shared" si="79"/>
        <v>0</v>
      </c>
      <c r="CH112" s="29">
        <f t="shared" si="79"/>
        <v>0</v>
      </c>
    </row>
    <row r="113" spans="2:86" ht="13" hidden="1" outlineLevel="1">
      <c r="B113" s="84">
        <f t="shared" si="71"/>
        <v>10</v>
      </c>
      <c r="C113" s="64">
        <f t="shared" ca="1" si="69"/>
        <v>-2.5865004214028708E-2</v>
      </c>
      <c r="D113" s="15" t="s">
        <v>238</v>
      </c>
      <c r="E113" s="29">
        <f t="shared" ca="1" si="59"/>
        <v>-393965.39195743203</v>
      </c>
      <c r="F113" s="29"/>
      <c r="G113" s="29">
        <f t="shared" ref="G113:CH113" ca="1" si="80">IF(G$4&lt;=$B113,ABS(G$31)*-1+G$47,0)+IF($B113=G$4,G$81,0)</f>
        <v>-1444375</v>
      </c>
      <c r="H113" s="29">
        <f t="shared" ca="1" si="80"/>
        <v>-1344375</v>
      </c>
      <c r="I113" s="29">
        <f t="shared" ca="1" si="80"/>
        <v>-1344375</v>
      </c>
      <c r="J113" s="29">
        <f t="shared" ca="1" si="80"/>
        <v>-1344375</v>
      </c>
      <c r="K113" s="29">
        <f t="shared" ca="1" si="80"/>
        <v>-1344375</v>
      </c>
      <c r="L113" s="29">
        <f t="shared" ca="1" si="80"/>
        <v>-1344375</v>
      </c>
      <c r="M113" s="29">
        <f t="shared" ca="1" si="80"/>
        <v>-1344375</v>
      </c>
      <c r="N113" s="29">
        <f t="shared" ca="1" si="80"/>
        <v>-1344375</v>
      </c>
      <c r="O113" s="29">
        <f t="shared" ca="1" si="80"/>
        <v>-1344375</v>
      </c>
      <c r="P113" s="29">
        <f t="shared" ca="1" si="80"/>
        <v>11805409.608042568</v>
      </c>
      <c r="Q113" s="29">
        <f t="shared" si="80"/>
        <v>0</v>
      </c>
      <c r="R113" s="29">
        <f t="shared" si="80"/>
        <v>0</v>
      </c>
      <c r="S113" s="29">
        <f t="shared" si="80"/>
        <v>0</v>
      </c>
      <c r="T113" s="29">
        <f t="shared" si="80"/>
        <v>0</v>
      </c>
      <c r="U113" s="29">
        <f t="shared" si="80"/>
        <v>0</v>
      </c>
      <c r="V113" s="29">
        <f t="shared" si="80"/>
        <v>0</v>
      </c>
      <c r="W113" s="29">
        <f t="shared" si="80"/>
        <v>0</v>
      </c>
      <c r="X113" s="29">
        <f t="shared" si="80"/>
        <v>0</v>
      </c>
      <c r="Y113" s="29">
        <f t="shared" si="80"/>
        <v>0</v>
      </c>
      <c r="Z113" s="29">
        <f t="shared" si="80"/>
        <v>0</v>
      </c>
      <c r="AA113" s="29">
        <f t="shared" si="80"/>
        <v>0</v>
      </c>
      <c r="AB113" s="29">
        <f t="shared" si="80"/>
        <v>0</v>
      </c>
      <c r="AC113" s="29">
        <f t="shared" si="80"/>
        <v>0</v>
      </c>
      <c r="AD113" s="29">
        <f t="shared" si="80"/>
        <v>0</v>
      </c>
      <c r="AE113" s="29">
        <f t="shared" si="80"/>
        <v>0</v>
      </c>
      <c r="AF113" s="29">
        <f t="shared" si="80"/>
        <v>0</v>
      </c>
      <c r="AG113" s="29">
        <f t="shared" si="80"/>
        <v>0</v>
      </c>
      <c r="AH113" s="29">
        <f t="shared" si="80"/>
        <v>0</v>
      </c>
      <c r="AI113" s="29">
        <f t="shared" si="80"/>
        <v>0</v>
      </c>
      <c r="AJ113" s="29">
        <f t="shared" si="80"/>
        <v>0</v>
      </c>
      <c r="AK113" s="29">
        <f t="shared" si="80"/>
        <v>0</v>
      </c>
      <c r="AL113" s="29">
        <f t="shared" si="80"/>
        <v>0</v>
      </c>
      <c r="AM113" s="29">
        <f t="shared" si="80"/>
        <v>0</v>
      </c>
      <c r="AN113" s="29">
        <f t="shared" si="80"/>
        <v>0</v>
      </c>
      <c r="AO113" s="29">
        <f t="shared" si="80"/>
        <v>0</v>
      </c>
      <c r="AP113" s="29">
        <f t="shared" si="80"/>
        <v>0</v>
      </c>
      <c r="AQ113" s="29">
        <f t="shared" si="80"/>
        <v>0</v>
      </c>
      <c r="AR113" s="29">
        <f t="shared" si="80"/>
        <v>0</v>
      </c>
      <c r="AS113" s="29">
        <f t="shared" si="80"/>
        <v>0</v>
      </c>
      <c r="AT113" s="29">
        <f t="shared" si="80"/>
        <v>0</v>
      </c>
      <c r="AU113" s="29">
        <f t="shared" si="80"/>
        <v>0</v>
      </c>
      <c r="AV113" s="29">
        <f t="shared" si="80"/>
        <v>0</v>
      </c>
      <c r="AW113" s="29">
        <f t="shared" si="80"/>
        <v>0</v>
      </c>
      <c r="AX113" s="29">
        <f t="shared" si="80"/>
        <v>0</v>
      </c>
      <c r="AY113" s="29">
        <f t="shared" si="80"/>
        <v>0</v>
      </c>
      <c r="AZ113" s="29">
        <f t="shared" si="80"/>
        <v>0</v>
      </c>
      <c r="BA113" s="29">
        <f t="shared" si="80"/>
        <v>0</v>
      </c>
      <c r="BB113" s="29">
        <f t="shared" si="80"/>
        <v>0</v>
      </c>
      <c r="BC113" s="29">
        <f t="shared" si="80"/>
        <v>0</v>
      </c>
      <c r="BD113" s="29">
        <f t="shared" si="80"/>
        <v>0</v>
      </c>
      <c r="BE113" s="29">
        <f t="shared" si="80"/>
        <v>0</v>
      </c>
      <c r="BF113" s="29">
        <f t="shared" si="80"/>
        <v>0</v>
      </c>
      <c r="BG113" s="29">
        <f t="shared" si="80"/>
        <v>0</v>
      </c>
      <c r="BH113" s="29">
        <f t="shared" si="80"/>
        <v>0</v>
      </c>
      <c r="BI113" s="29">
        <f t="shared" si="80"/>
        <v>0</v>
      </c>
      <c r="BJ113" s="29">
        <f t="shared" si="80"/>
        <v>0</v>
      </c>
      <c r="BK113" s="29">
        <f t="shared" si="80"/>
        <v>0</v>
      </c>
      <c r="BL113" s="29">
        <f t="shared" si="80"/>
        <v>0</v>
      </c>
      <c r="BM113" s="29">
        <f t="shared" si="80"/>
        <v>0</v>
      </c>
      <c r="BN113" s="29">
        <f t="shared" si="80"/>
        <v>0</v>
      </c>
      <c r="BO113" s="29">
        <f t="shared" si="80"/>
        <v>0</v>
      </c>
      <c r="BP113" s="29">
        <f t="shared" si="80"/>
        <v>0</v>
      </c>
      <c r="BQ113" s="29">
        <f t="shared" si="80"/>
        <v>0</v>
      </c>
      <c r="BR113" s="29">
        <f t="shared" si="80"/>
        <v>0</v>
      </c>
      <c r="BS113" s="29">
        <f t="shared" si="80"/>
        <v>0</v>
      </c>
      <c r="BT113" s="29">
        <f t="shared" si="80"/>
        <v>0</v>
      </c>
      <c r="BU113" s="29">
        <f t="shared" si="80"/>
        <v>0</v>
      </c>
      <c r="BV113" s="29">
        <f t="shared" si="80"/>
        <v>0</v>
      </c>
      <c r="BW113" s="29">
        <f t="shared" si="80"/>
        <v>0</v>
      </c>
      <c r="BX113" s="29">
        <f t="shared" si="80"/>
        <v>0</v>
      </c>
      <c r="BY113" s="29">
        <f t="shared" si="80"/>
        <v>0</v>
      </c>
      <c r="BZ113" s="29">
        <f t="shared" si="80"/>
        <v>0</v>
      </c>
      <c r="CA113" s="29">
        <f t="shared" si="80"/>
        <v>0</v>
      </c>
      <c r="CB113" s="29">
        <f t="shared" si="80"/>
        <v>0</v>
      </c>
      <c r="CC113" s="29">
        <f t="shared" si="80"/>
        <v>0</v>
      </c>
      <c r="CD113" s="29">
        <f t="shared" si="80"/>
        <v>0</v>
      </c>
      <c r="CE113" s="29">
        <f t="shared" si="80"/>
        <v>0</v>
      </c>
      <c r="CF113" s="29">
        <f t="shared" si="80"/>
        <v>0</v>
      </c>
      <c r="CG113" s="29">
        <f t="shared" si="80"/>
        <v>0</v>
      </c>
      <c r="CH113" s="29">
        <f t="shared" si="80"/>
        <v>0</v>
      </c>
    </row>
    <row r="114" spans="2:86" ht="13" hidden="1" outlineLevel="1">
      <c r="B114" s="84">
        <f t="shared" si="71"/>
        <v>11</v>
      </c>
      <c r="C114" s="64">
        <f t="shared" ca="1" si="69"/>
        <v>6.3738809240256877E-3</v>
      </c>
      <c r="D114" s="15" t="s">
        <v>238</v>
      </c>
      <c r="E114" s="29">
        <f t="shared" ca="1" si="59"/>
        <v>119705.04913268611</v>
      </c>
      <c r="F114" s="29"/>
      <c r="G114" s="29">
        <f t="shared" ref="G114:CH114" ca="1" si="81">IF(G$4&lt;=$B114,ABS(G$31)*-1+G$47,0)+IF($B114=G$4,G$81,0)</f>
        <v>-1444375</v>
      </c>
      <c r="H114" s="29">
        <f t="shared" ca="1" si="81"/>
        <v>-1344375</v>
      </c>
      <c r="I114" s="29">
        <f t="shared" ca="1" si="81"/>
        <v>-1344375</v>
      </c>
      <c r="J114" s="29">
        <f t="shared" ca="1" si="81"/>
        <v>-1344375</v>
      </c>
      <c r="K114" s="29">
        <f t="shared" ca="1" si="81"/>
        <v>-1344375</v>
      </c>
      <c r="L114" s="29">
        <f t="shared" ca="1" si="81"/>
        <v>-1344375</v>
      </c>
      <c r="M114" s="29">
        <f t="shared" ca="1" si="81"/>
        <v>-1344375</v>
      </c>
      <c r="N114" s="29">
        <f t="shared" ca="1" si="81"/>
        <v>-1344375</v>
      </c>
      <c r="O114" s="29">
        <f t="shared" ca="1" si="81"/>
        <v>-1344375</v>
      </c>
      <c r="P114" s="29">
        <f t="shared" ca="1" si="81"/>
        <v>-1344375</v>
      </c>
      <c r="Q114" s="29">
        <f t="shared" ca="1" si="81"/>
        <v>13663455.049132686</v>
      </c>
      <c r="R114" s="29">
        <f t="shared" si="81"/>
        <v>0</v>
      </c>
      <c r="S114" s="29">
        <f t="shared" si="81"/>
        <v>0</v>
      </c>
      <c r="T114" s="29">
        <f t="shared" si="81"/>
        <v>0</v>
      </c>
      <c r="U114" s="29">
        <f t="shared" si="81"/>
        <v>0</v>
      </c>
      <c r="V114" s="29">
        <f t="shared" si="81"/>
        <v>0</v>
      </c>
      <c r="W114" s="29">
        <f t="shared" si="81"/>
        <v>0</v>
      </c>
      <c r="X114" s="29">
        <f t="shared" si="81"/>
        <v>0</v>
      </c>
      <c r="Y114" s="29">
        <f t="shared" si="81"/>
        <v>0</v>
      </c>
      <c r="Z114" s="29">
        <f t="shared" si="81"/>
        <v>0</v>
      </c>
      <c r="AA114" s="29">
        <f t="shared" si="81"/>
        <v>0</v>
      </c>
      <c r="AB114" s="29">
        <f t="shared" si="81"/>
        <v>0</v>
      </c>
      <c r="AC114" s="29">
        <f t="shared" si="81"/>
        <v>0</v>
      </c>
      <c r="AD114" s="29">
        <f t="shared" si="81"/>
        <v>0</v>
      </c>
      <c r="AE114" s="29">
        <f t="shared" si="81"/>
        <v>0</v>
      </c>
      <c r="AF114" s="29">
        <f t="shared" si="81"/>
        <v>0</v>
      </c>
      <c r="AG114" s="29">
        <f t="shared" si="81"/>
        <v>0</v>
      </c>
      <c r="AH114" s="29">
        <f t="shared" si="81"/>
        <v>0</v>
      </c>
      <c r="AI114" s="29">
        <f t="shared" si="81"/>
        <v>0</v>
      </c>
      <c r="AJ114" s="29">
        <f t="shared" si="81"/>
        <v>0</v>
      </c>
      <c r="AK114" s="29">
        <f t="shared" si="81"/>
        <v>0</v>
      </c>
      <c r="AL114" s="29">
        <f t="shared" si="81"/>
        <v>0</v>
      </c>
      <c r="AM114" s="29">
        <f t="shared" si="81"/>
        <v>0</v>
      </c>
      <c r="AN114" s="29">
        <f t="shared" si="81"/>
        <v>0</v>
      </c>
      <c r="AO114" s="29">
        <f t="shared" si="81"/>
        <v>0</v>
      </c>
      <c r="AP114" s="29">
        <f t="shared" si="81"/>
        <v>0</v>
      </c>
      <c r="AQ114" s="29">
        <f t="shared" si="81"/>
        <v>0</v>
      </c>
      <c r="AR114" s="29">
        <f t="shared" si="81"/>
        <v>0</v>
      </c>
      <c r="AS114" s="29">
        <f t="shared" si="81"/>
        <v>0</v>
      </c>
      <c r="AT114" s="29">
        <f t="shared" si="81"/>
        <v>0</v>
      </c>
      <c r="AU114" s="29">
        <f t="shared" si="81"/>
        <v>0</v>
      </c>
      <c r="AV114" s="29">
        <f t="shared" si="81"/>
        <v>0</v>
      </c>
      <c r="AW114" s="29">
        <f t="shared" si="81"/>
        <v>0</v>
      </c>
      <c r="AX114" s="29">
        <f t="shared" si="81"/>
        <v>0</v>
      </c>
      <c r="AY114" s="29">
        <f t="shared" si="81"/>
        <v>0</v>
      </c>
      <c r="AZ114" s="29">
        <f t="shared" si="81"/>
        <v>0</v>
      </c>
      <c r="BA114" s="29">
        <f t="shared" si="81"/>
        <v>0</v>
      </c>
      <c r="BB114" s="29">
        <f t="shared" si="81"/>
        <v>0</v>
      </c>
      <c r="BC114" s="29">
        <f t="shared" si="81"/>
        <v>0</v>
      </c>
      <c r="BD114" s="29">
        <f t="shared" si="81"/>
        <v>0</v>
      </c>
      <c r="BE114" s="29">
        <f t="shared" si="81"/>
        <v>0</v>
      </c>
      <c r="BF114" s="29">
        <f t="shared" si="81"/>
        <v>0</v>
      </c>
      <c r="BG114" s="29">
        <f t="shared" si="81"/>
        <v>0</v>
      </c>
      <c r="BH114" s="29">
        <f t="shared" si="81"/>
        <v>0</v>
      </c>
      <c r="BI114" s="29">
        <f t="shared" si="81"/>
        <v>0</v>
      </c>
      <c r="BJ114" s="29">
        <f t="shared" si="81"/>
        <v>0</v>
      </c>
      <c r="BK114" s="29">
        <f t="shared" si="81"/>
        <v>0</v>
      </c>
      <c r="BL114" s="29">
        <f t="shared" si="81"/>
        <v>0</v>
      </c>
      <c r="BM114" s="29">
        <f t="shared" si="81"/>
        <v>0</v>
      </c>
      <c r="BN114" s="29">
        <f t="shared" si="81"/>
        <v>0</v>
      </c>
      <c r="BO114" s="29">
        <f t="shared" si="81"/>
        <v>0</v>
      </c>
      <c r="BP114" s="29">
        <f t="shared" si="81"/>
        <v>0</v>
      </c>
      <c r="BQ114" s="29">
        <f t="shared" si="81"/>
        <v>0</v>
      </c>
      <c r="BR114" s="29">
        <f t="shared" si="81"/>
        <v>0</v>
      </c>
      <c r="BS114" s="29">
        <f t="shared" si="81"/>
        <v>0</v>
      </c>
      <c r="BT114" s="29">
        <f t="shared" si="81"/>
        <v>0</v>
      </c>
      <c r="BU114" s="29">
        <f t="shared" si="81"/>
        <v>0</v>
      </c>
      <c r="BV114" s="29">
        <f t="shared" si="81"/>
        <v>0</v>
      </c>
      <c r="BW114" s="29">
        <f t="shared" si="81"/>
        <v>0</v>
      </c>
      <c r="BX114" s="29">
        <f t="shared" si="81"/>
        <v>0</v>
      </c>
      <c r="BY114" s="29">
        <f t="shared" si="81"/>
        <v>0</v>
      </c>
      <c r="BZ114" s="29">
        <f t="shared" si="81"/>
        <v>0</v>
      </c>
      <c r="CA114" s="29">
        <f t="shared" si="81"/>
        <v>0</v>
      </c>
      <c r="CB114" s="29">
        <f t="shared" si="81"/>
        <v>0</v>
      </c>
      <c r="CC114" s="29">
        <f t="shared" si="81"/>
        <v>0</v>
      </c>
      <c r="CD114" s="29">
        <f t="shared" si="81"/>
        <v>0</v>
      </c>
      <c r="CE114" s="29">
        <f t="shared" si="81"/>
        <v>0</v>
      </c>
      <c r="CF114" s="29">
        <f t="shared" si="81"/>
        <v>0</v>
      </c>
      <c r="CG114" s="29">
        <f t="shared" si="81"/>
        <v>0</v>
      </c>
      <c r="CH114" s="29">
        <f t="shared" si="81"/>
        <v>0</v>
      </c>
    </row>
    <row r="115" spans="2:86" ht="13" hidden="1" outlineLevel="1">
      <c r="B115" s="84">
        <f t="shared" si="71"/>
        <v>12</v>
      </c>
      <c r="C115" s="64">
        <f t="shared" ca="1" si="69"/>
        <v>3.0607268899943474E-2</v>
      </c>
      <c r="D115" s="15" t="s">
        <v>238</v>
      </c>
      <c r="E115" s="29">
        <f t="shared" ca="1" si="59"/>
        <v>697144.24826869369</v>
      </c>
      <c r="F115" s="29"/>
      <c r="G115" s="29">
        <f t="shared" ref="G115:CH115" ca="1" si="82">IF(G$4&lt;=$B115,ABS(G$31)*-1+G$47,0)+IF($B115=G$4,G$81,0)</f>
        <v>-1444375</v>
      </c>
      <c r="H115" s="29">
        <f t="shared" ca="1" si="82"/>
        <v>-1344375</v>
      </c>
      <c r="I115" s="29">
        <f t="shared" ca="1" si="82"/>
        <v>-1344375</v>
      </c>
      <c r="J115" s="29">
        <f t="shared" ca="1" si="82"/>
        <v>-1344375</v>
      </c>
      <c r="K115" s="29">
        <f t="shared" ca="1" si="82"/>
        <v>-1344375</v>
      </c>
      <c r="L115" s="29">
        <f t="shared" ca="1" si="82"/>
        <v>-1344375</v>
      </c>
      <c r="M115" s="29">
        <f t="shared" ca="1" si="82"/>
        <v>-1344375</v>
      </c>
      <c r="N115" s="29">
        <f t="shared" ca="1" si="82"/>
        <v>-1344375</v>
      </c>
      <c r="O115" s="29">
        <f t="shared" ca="1" si="82"/>
        <v>-1344375</v>
      </c>
      <c r="P115" s="29">
        <f t="shared" ca="1" si="82"/>
        <v>-1344375</v>
      </c>
      <c r="Q115" s="29">
        <f t="shared" ca="1" si="82"/>
        <v>-1344375</v>
      </c>
      <c r="R115" s="29">
        <f t="shared" ca="1" si="82"/>
        <v>15585269.248268694</v>
      </c>
      <c r="S115" s="29">
        <f t="shared" si="82"/>
        <v>0</v>
      </c>
      <c r="T115" s="29">
        <f t="shared" si="82"/>
        <v>0</v>
      </c>
      <c r="U115" s="29">
        <f t="shared" si="82"/>
        <v>0</v>
      </c>
      <c r="V115" s="29">
        <f t="shared" si="82"/>
        <v>0</v>
      </c>
      <c r="W115" s="29">
        <f t="shared" si="82"/>
        <v>0</v>
      </c>
      <c r="X115" s="29">
        <f t="shared" si="82"/>
        <v>0</v>
      </c>
      <c r="Y115" s="29">
        <f t="shared" si="82"/>
        <v>0</v>
      </c>
      <c r="Z115" s="29">
        <f t="shared" si="82"/>
        <v>0</v>
      </c>
      <c r="AA115" s="29">
        <f t="shared" si="82"/>
        <v>0</v>
      </c>
      <c r="AB115" s="29">
        <f t="shared" si="82"/>
        <v>0</v>
      </c>
      <c r="AC115" s="29">
        <f t="shared" si="82"/>
        <v>0</v>
      </c>
      <c r="AD115" s="29">
        <f t="shared" si="82"/>
        <v>0</v>
      </c>
      <c r="AE115" s="29">
        <f t="shared" si="82"/>
        <v>0</v>
      </c>
      <c r="AF115" s="29">
        <f t="shared" si="82"/>
        <v>0</v>
      </c>
      <c r="AG115" s="29">
        <f t="shared" si="82"/>
        <v>0</v>
      </c>
      <c r="AH115" s="29">
        <f t="shared" si="82"/>
        <v>0</v>
      </c>
      <c r="AI115" s="29">
        <f t="shared" si="82"/>
        <v>0</v>
      </c>
      <c r="AJ115" s="29">
        <f t="shared" si="82"/>
        <v>0</v>
      </c>
      <c r="AK115" s="29">
        <f t="shared" si="82"/>
        <v>0</v>
      </c>
      <c r="AL115" s="29">
        <f t="shared" si="82"/>
        <v>0</v>
      </c>
      <c r="AM115" s="29">
        <f t="shared" si="82"/>
        <v>0</v>
      </c>
      <c r="AN115" s="29">
        <f t="shared" si="82"/>
        <v>0</v>
      </c>
      <c r="AO115" s="29">
        <f t="shared" si="82"/>
        <v>0</v>
      </c>
      <c r="AP115" s="29">
        <f t="shared" si="82"/>
        <v>0</v>
      </c>
      <c r="AQ115" s="29">
        <f t="shared" si="82"/>
        <v>0</v>
      </c>
      <c r="AR115" s="29">
        <f t="shared" si="82"/>
        <v>0</v>
      </c>
      <c r="AS115" s="29">
        <f t="shared" si="82"/>
        <v>0</v>
      </c>
      <c r="AT115" s="29">
        <f t="shared" si="82"/>
        <v>0</v>
      </c>
      <c r="AU115" s="29">
        <f t="shared" si="82"/>
        <v>0</v>
      </c>
      <c r="AV115" s="29">
        <f t="shared" si="82"/>
        <v>0</v>
      </c>
      <c r="AW115" s="29">
        <f t="shared" si="82"/>
        <v>0</v>
      </c>
      <c r="AX115" s="29">
        <f t="shared" si="82"/>
        <v>0</v>
      </c>
      <c r="AY115" s="29">
        <f t="shared" si="82"/>
        <v>0</v>
      </c>
      <c r="AZ115" s="29">
        <f t="shared" si="82"/>
        <v>0</v>
      </c>
      <c r="BA115" s="29">
        <f t="shared" si="82"/>
        <v>0</v>
      </c>
      <c r="BB115" s="29">
        <f t="shared" si="82"/>
        <v>0</v>
      </c>
      <c r="BC115" s="29">
        <f t="shared" si="82"/>
        <v>0</v>
      </c>
      <c r="BD115" s="29">
        <f t="shared" si="82"/>
        <v>0</v>
      </c>
      <c r="BE115" s="29">
        <f t="shared" si="82"/>
        <v>0</v>
      </c>
      <c r="BF115" s="29">
        <f t="shared" si="82"/>
        <v>0</v>
      </c>
      <c r="BG115" s="29">
        <f t="shared" si="82"/>
        <v>0</v>
      </c>
      <c r="BH115" s="29">
        <f t="shared" si="82"/>
        <v>0</v>
      </c>
      <c r="BI115" s="29">
        <f t="shared" si="82"/>
        <v>0</v>
      </c>
      <c r="BJ115" s="29">
        <f t="shared" si="82"/>
        <v>0</v>
      </c>
      <c r="BK115" s="29">
        <f t="shared" si="82"/>
        <v>0</v>
      </c>
      <c r="BL115" s="29">
        <f t="shared" si="82"/>
        <v>0</v>
      </c>
      <c r="BM115" s="29">
        <f t="shared" si="82"/>
        <v>0</v>
      </c>
      <c r="BN115" s="29">
        <f t="shared" si="82"/>
        <v>0</v>
      </c>
      <c r="BO115" s="29">
        <f t="shared" si="82"/>
        <v>0</v>
      </c>
      <c r="BP115" s="29">
        <f t="shared" si="82"/>
        <v>0</v>
      </c>
      <c r="BQ115" s="29">
        <f t="shared" si="82"/>
        <v>0</v>
      </c>
      <c r="BR115" s="29">
        <f t="shared" si="82"/>
        <v>0</v>
      </c>
      <c r="BS115" s="29">
        <f t="shared" si="82"/>
        <v>0</v>
      </c>
      <c r="BT115" s="29">
        <f t="shared" si="82"/>
        <v>0</v>
      </c>
      <c r="BU115" s="29">
        <f t="shared" si="82"/>
        <v>0</v>
      </c>
      <c r="BV115" s="29">
        <f t="shared" si="82"/>
        <v>0</v>
      </c>
      <c r="BW115" s="29">
        <f t="shared" si="82"/>
        <v>0</v>
      </c>
      <c r="BX115" s="29">
        <f t="shared" si="82"/>
        <v>0</v>
      </c>
      <c r="BY115" s="29">
        <f t="shared" si="82"/>
        <v>0</v>
      </c>
      <c r="BZ115" s="29">
        <f t="shared" si="82"/>
        <v>0</v>
      </c>
      <c r="CA115" s="29">
        <f t="shared" si="82"/>
        <v>0</v>
      </c>
      <c r="CB115" s="29">
        <f t="shared" si="82"/>
        <v>0</v>
      </c>
      <c r="CC115" s="29">
        <f t="shared" si="82"/>
        <v>0</v>
      </c>
      <c r="CD115" s="29">
        <f t="shared" si="82"/>
        <v>0</v>
      </c>
      <c r="CE115" s="29">
        <f t="shared" si="82"/>
        <v>0</v>
      </c>
      <c r="CF115" s="29">
        <f t="shared" si="82"/>
        <v>0</v>
      </c>
      <c r="CG115" s="29">
        <f t="shared" si="82"/>
        <v>0</v>
      </c>
      <c r="CH115" s="29">
        <f t="shared" si="82"/>
        <v>0</v>
      </c>
    </row>
    <row r="116" spans="2:86" ht="13" hidden="1" outlineLevel="1">
      <c r="B116" s="84">
        <f t="shared" si="71"/>
        <v>13</v>
      </c>
      <c r="C116" s="64">
        <f t="shared" ca="1" si="69"/>
        <v>5.1386956050416766E-2</v>
      </c>
      <c r="D116" s="15" t="s">
        <v>238</v>
      </c>
      <c r="E116" s="29">
        <f t="shared" ca="1" si="59"/>
        <v>1401212.9131545313</v>
      </c>
      <c r="F116" s="29"/>
      <c r="G116" s="29">
        <f t="shared" ref="G116:CH116" ca="1" si="83">IF(G$4&lt;=$B116,ABS(G$31)*-1+G$47,0)+IF($B116=G$4,G$81,0)</f>
        <v>-1444375</v>
      </c>
      <c r="H116" s="29">
        <f t="shared" ca="1" si="83"/>
        <v>-1344375</v>
      </c>
      <c r="I116" s="29">
        <f t="shared" ca="1" si="83"/>
        <v>-1344375</v>
      </c>
      <c r="J116" s="29">
        <f t="shared" ca="1" si="83"/>
        <v>-1344375</v>
      </c>
      <c r="K116" s="29">
        <f t="shared" ca="1" si="83"/>
        <v>-1344375</v>
      </c>
      <c r="L116" s="29">
        <f t="shared" ca="1" si="83"/>
        <v>-1344375</v>
      </c>
      <c r="M116" s="29">
        <f t="shared" ca="1" si="83"/>
        <v>-1344375</v>
      </c>
      <c r="N116" s="29">
        <f t="shared" ca="1" si="83"/>
        <v>-1344375</v>
      </c>
      <c r="O116" s="29">
        <f t="shared" ca="1" si="83"/>
        <v>-1344375</v>
      </c>
      <c r="P116" s="29">
        <f t="shared" ca="1" si="83"/>
        <v>-1344375</v>
      </c>
      <c r="Q116" s="29">
        <f t="shared" ca="1" si="83"/>
        <v>-1344375</v>
      </c>
      <c r="R116" s="29">
        <f t="shared" ca="1" si="83"/>
        <v>-1344375</v>
      </c>
      <c r="S116" s="29">
        <f t="shared" ca="1" si="83"/>
        <v>17633712.913154531</v>
      </c>
      <c r="T116" s="29">
        <f t="shared" si="83"/>
        <v>0</v>
      </c>
      <c r="U116" s="29">
        <f t="shared" si="83"/>
        <v>0</v>
      </c>
      <c r="V116" s="29">
        <f t="shared" si="83"/>
        <v>0</v>
      </c>
      <c r="W116" s="29">
        <f t="shared" si="83"/>
        <v>0</v>
      </c>
      <c r="X116" s="29">
        <f t="shared" si="83"/>
        <v>0</v>
      </c>
      <c r="Y116" s="29">
        <f t="shared" si="83"/>
        <v>0</v>
      </c>
      <c r="Z116" s="29">
        <f t="shared" si="83"/>
        <v>0</v>
      </c>
      <c r="AA116" s="29">
        <f t="shared" si="83"/>
        <v>0</v>
      </c>
      <c r="AB116" s="29">
        <f t="shared" si="83"/>
        <v>0</v>
      </c>
      <c r="AC116" s="29">
        <f t="shared" si="83"/>
        <v>0</v>
      </c>
      <c r="AD116" s="29">
        <f t="shared" si="83"/>
        <v>0</v>
      </c>
      <c r="AE116" s="29">
        <f t="shared" si="83"/>
        <v>0</v>
      </c>
      <c r="AF116" s="29">
        <f t="shared" si="83"/>
        <v>0</v>
      </c>
      <c r="AG116" s="29">
        <f t="shared" si="83"/>
        <v>0</v>
      </c>
      <c r="AH116" s="29">
        <f t="shared" si="83"/>
        <v>0</v>
      </c>
      <c r="AI116" s="29">
        <f t="shared" si="83"/>
        <v>0</v>
      </c>
      <c r="AJ116" s="29">
        <f t="shared" si="83"/>
        <v>0</v>
      </c>
      <c r="AK116" s="29">
        <f t="shared" si="83"/>
        <v>0</v>
      </c>
      <c r="AL116" s="29">
        <f t="shared" si="83"/>
        <v>0</v>
      </c>
      <c r="AM116" s="29">
        <f t="shared" si="83"/>
        <v>0</v>
      </c>
      <c r="AN116" s="29">
        <f t="shared" si="83"/>
        <v>0</v>
      </c>
      <c r="AO116" s="29">
        <f t="shared" si="83"/>
        <v>0</v>
      </c>
      <c r="AP116" s="29">
        <f t="shared" si="83"/>
        <v>0</v>
      </c>
      <c r="AQ116" s="29">
        <f t="shared" si="83"/>
        <v>0</v>
      </c>
      <c r="AR116" s="29">
        <f t="shared" si="83"/>
        <v>0</v>
      </c>
      <c r="AS116" s="29">
        <f t="shared" si="83"/>
        <v>0</v>
      </c>
      <c r="AT116" s="29">
        <f t="shared" si="83"/>
        <v>0</v>
      </c>
      <c r="AU116" s="29">
        <f t="shared" si="83"/>
        <v>0</v>
      </c>
      <c r="AV116" s="29">
        <f t="shared" si="83"/>
        <v>0</v>
      </c>
      <c r="AW116" s="29">
        <f t="shared" si="83"/>
        <v>0</v>
      </c>
      <c r="AX116" s="29">
        <f t="shared" si="83"/>
        <v>0</v>
      </c>
      <c r="AY116" s="29">
        <f t="shared" si="83"/>
        <v>0</v>
      </c>
      <c r="AZ116" s="29">
        <f t="shared" si="83"/>
        <v>0</v>
      </c>
      <c r="BA116" s="29">
        <f t="shared" si="83"/>
        <v>0</v>
      </c>
      <c r="BB116" s="29">
        <f t="shared" si="83"/>
        <v>0</v>
      </c>
      <c r="BC116" s="29">
        <f t="shared" si="83"/>
        <v>0</v>
      </c>
      <c r="BD116" s="29">
        <f t="shared" si="83"/>
        <v>0</v>
      </c>
      <c r="BE116" s="29">
        <f t="shared" si="83"/>
        <v>0</v>
      </c>
      <c r="BF116" s="29">
        <f t="shared" si="83"/>
        <v>0</v>
      </c>
      <c r="BG116" s="29">
        <f t="shared" si="83"/>
        <v>0</v>
      </c>
      <c r="BH116" s="29">
        <f t="shared" si="83"/>
        <v>0</v>
      </c>
      <c r="BI116" s="29">
        <f t="shared" si="83"/>
        <v>0</v>
      </c>
      <c r="BJ116" s="29">
        <f t="shared" si="83"/>
        <v>0</v>
      </c>
      <c r="BK116" s="29">
        <f t="shared" si="83"/>
        <v>0</v>
      </c>
      <c r="BL116" s="29">
        <f t="shared" si="83"/>
        <v>0</v>
      </c>
      <c r="BM116" s="29">
        <f t="shared" si="83"/>
        <v>0</v>
      </c>
      <c r="BN116" s="29">
        <f t="shared" si="83"/>
        <v>0</v>
      </c>
      <c r="BO116" s="29">
        <f t="shared" si="83"/>
        <v>0</v>
      </c>
      <c r="BP116" s="29">
        <f t="shared" si="83"/>
        <v>0</v>
      </c>
      <c r="BQ116" s="29">
        <f t="shared" si="83"/>
        <v>0</v>
      </c>
      <c r="BR116" s="29">
        <f t="shared" si="83"/>
        <v>0</v>
      </c>
      <c r="BS116" s="29">
        <f t="shared" si="83"/>
        <v>0</v>
      </c>
      <c r="BT116" s="29">
        <f t="shared" si="83"/>
        <v>0</v>
      </c>
      <c r="BU116" s="29">
        <f t="shared" si="83"/>
        <v>0</v>
      </c>
      <c r="BV116" s="29">
        <f t="shared" si="83"/>
        <v>0</v>
      </c>
      <c r="BW116" s="29">
        <f t="shared" si="83"/>
        <v>0</v>
      </c>
      <c r="BX116" s="29">
        <f t="shared" si="83"/>
        <v>0</v>
      </c>
      <c r="BY116" s="29">
        <f t="shared" si="83"/>
        <v>0</v>
      </c>
      <c r="BZ116" s="29">
        <f t="shared" si="83"/>
        <v>0</v>
      </c>
      <c r="CA116" s="29">
        <f t="shared" si="83"/>
        <v>0</v>
      </c>
      <c r="CB116" s="29">
        <f t="shared" si="83"/>
        <v>0</v>
      </c>
      <c r="CC116" s="29">
        <f t="shared" si="83"/>
        <v>0</v>
      </c>
      <c r="CD116" s="29">
        <f t="shared" si="83"/>
        <v>0</v>
      </c>
      <c r="CE116" s="29">
        <f t="shared" si="83"/>
        <v>0</v>
      </c>
      <c r="CF116" s="29">
        <f t="shared" si="83"/>
        <v>0</v>
      </c>
      <c r="CG116" s="29">
        <f t="shared" si="83"/>
        <v>0</v>
      </c>
      <c r="CH116" s="29">
        <f t="shared" si="83"/>
        <v>0</v>
      </c>
    </row>
    <row r="117" spans="2:86" ht="13" hidden="1" outlineLevel="1">
      <c r="B117" s="84">
        <f t="shared" si="71"/>
        <v>14</v>
      </c>
      <c r="C117" s="64">
        <f t="shared" ca="1" si="69"/>
        <v>6.7671130177919592E-2</v>
      </c>
      <c r="D117" s="15" t="s">
        <v>238</v>
      </c>
      <c r="E117" s="29">
        <f t="shared" ca="1" si="59"/>
        <v>2169050.3360862583</v>
      </c>
      <c r="F117" s="29"/>
      <c r="G117" s="29">
        <f t="shared" ref="G117:CH117" ca="1" si="84">IF(G$4&lt;=$B117,ABS(G$31)*-1+G$47,0)+IF($B117=G$4,G$81,0)</f>
        <v>-1444375</v>
      </c>
      <c r="H117" s="29">
        <f t="shared" ca="1" si="84"/>
        <v>-1344375</v>
      </c>
      <c r="I117" s="29">
        <f t="shared" ca="1" si="84"/>
        <v>-1344375</v>
      </c>
      <c r="J117" s="29">
        <f t="shared" ca="1" si="84"/>
        <v>-1344375</v>
      </c>
      <c r="K117" s="29">
        <f t="shared" ca="1" si="84"/>
        <v>-1344375</v>
      </c>
      <c r="L117" s="29">
        <f t="shared" ca="1" si="84"/>
        <v>-1344375</v>
      </c>
      <c r="M117" s="29">
        <f t="shared" ca="1" si="84"/>
        <v>-1344375</v>
      </c>
      <c r="N117" s="29">
        <f t="shared" ca="1" si="84"/>
        <v>-1344375</v>
      </c>
      <c r="O117" s="29">
        <f t="shared" ca="1" si="84"/>
        <v>-1344375</v>
      </c>
      <c r="P117" s="29">
        <f t="shared" ca="1" si="84"/>
        <v>-1344375</v>
      </c>
      <c r="Q117" s="29">
        <f t="shared" ca="1" si="84"/>
        <v>-1344375</v>
      </c>
      <c r="R117" s="29">
        <f t="shared" ca="1" si="84"/>
        <v>-1344375</v>
      </c>
      <c r="S117" s="29">
        <f t="shared" ca="1" si="84"/>
        <v>-534270.83333333279</v>
      </c>
      <c r="T117" s="29">
        <f t="shared" ca="1" si="84"/>
        <v>18935821.16941959</v>
      </c>
      <c r="U117" s="29">
        <f t="shared" si="84"/>
        <v>0</v>
      </c>
      <c r="V117" s="29">
        <f t="shared" si="84"/>
        <v>0</v>
      </c>
      <c r="W117" s="29">
        <f t="shared" si="84"/>
        <v>0</v>
      </c>
      <c r="X117" s="29">
        <f t="shared" si="84"/>
        <v>0</v>
      </c>
      <c r="Y117" s="29">
        <f t="shared" si="84"/>
        <v>0</v>
      </c>
      <c r="Z117" s="29">
        <f t="shared" si="84"/>
        <v>0</v>
      </c>
      <c r="AA117" s="29">
        <f t="shared" si="84"/>
        <v>0</v>
      </c>
      <c r="AB117" s="29">
        <f t="shared" si="84"/>
        <v>0</v>
      </c>
      <c r="AC117" s="29">
        <f t="shared" si="84"/>
        <v>0</v>
      </c>
      <c r="AD117" s="29">
        <f t="shared" si="84"/>
        <v>0</v>
      </c>
      <c r="AE117" s="29">
        <f t="shared" si="84"/>
        <v>0</v>
      </c>
      <c r="AF117" s="29">
        <f t="shared" si="84"/>
        <v>0</v>
      </c>
      <c r="AG117" s="29">
        <f t="shared" si="84"/>
        <v>0</v>
      </c>
      <c r="AH117" s="29">
        <f t="shared" si="84"/>
        <v>0</v>
      </c>
      <c r="AI117" s="29">
        <f t="shared" si="84"/>
        <v>0</v>
      </c>
      <c r="AJ117" s="29">
        <f t="shared" si="84"/>
        <v>0</v>
      </c>
      <c r="AK117" s="29">
        <f t="shared" si="84"/>
        <v>0</v>
      </c>
      <c r="AL117" s="29">
        <f t="shared" si="84"/>
        <v>0</v>
      </c>
      <c r="AM117" s="29">
        <f t="shared" si="84"/>
        <v>0</v>
      </c>
      <c r="AN117" s="29">
        <f t="shared" si="84"/>
        <v>0</v>
      </c>
      <c r="AO117" s="29">
        <f t="shared" si="84"/>
        <v>0</v>
      </c>
      <c r="AP117" s="29">
        <f t="shared" si="84"/>
        <v>0</v>
      </c>
      <c r="AQ117" s="29">
        <f t="shared" si="84"/>
        <v>0</v>
      </c>
      <c r="AR117" s="29">
        <f t="shared" si="84"/>
        <v>0</v>
      </c>
      <c r="AS117" s="29">
        <f t="shared" si="84"/>
        <v>0</v>
      </c>
      <c r="AT117" s="29">
        <f t="shared" si="84"/>
        <v>0</v>
      </c>
      <c r="AU117" s="29">
        <f t="shared" si="84"/>
        <v>0</v>
      </c>
      <c r="AV117" s="29">
        <f t="shared" si="84"/>
        <v>0</v>
      </c>
      <c r="AW117" s="29">
        <f t="shared" si="84"/>
        <v>0</v>
      </c>
      <c r="AX117" s="29">
        <f t="shared" si="84"/>
        <v>0</v>
      </c>
      <c r="AY117" s="29">
        <f t="shared" si="84"/>
        <v>0</v>
      </c>
      <c r="AZ117" s="29">
        <f t="shared" si="84"/>
        <v>0</v>
      </c>
      <c r="BA117" s="29">
        <f t="shared" si="84"/>
        <v>0</v>
      </c>
      <c r="BB117" s="29">
        <f t="shared" si="84"/>
        <v>0</v>
      </c>
      <c r="BC117" s="29">
        <f t="shared" si="84"/>
        <v>0</v>
      </c>
      <c r="BD117" s="29">
        <f t="shared" si="84"/>
        <v>0</v>
      </c>
      <c r="BE117" s="29">
        <f t="shared" si="84"/>
        <v>0</v>
      </c>
      <c r="BF117" s="29">
        <f t="shared" si="84"/>
        <v>0</v>
      </c>
      <c r="BG117" s="29">
        <f t="shared" si="84"/>
        <v>0</v>
      </c>
      <c r="BH117" s="29">
        <f t="shared" si="84"/>
        <v>0</v>
      </c>
      <c r="BI117" s="29">
        <f t="shared" si="84"/>
        <v>0</v>
      </c>
      <c r="BJ117" s="29">
        <f t="shared" si="84"/>
        <v>0</v>
      </c>
      <c r="BK117" s="29">
        <f t="shared" si="84"/>
        <v>0</v>
      </c>
      <c r="BL117" s="29">
        <f t="shared" si="84"/>
        <v>0</v>
      </c>
      <c r="BM117" s="29">
        <f t="shared" si="84"/>
        <v>0</v>
      </c>
      <c r="BN117" s="29">
        <f t="shared" si="84"/>
        <v>0</v>
      </c>
      <c r="BO117" s="29">
        <f t="shared" si="84"/>
        <v>0</v>
      </c>
      <c r="BP117" s="29">
        <f t="shared" si="84"/>
        <v>0</v>
      </c>
      <c r="BQ117" s="29">
        <f t="shared" si="84"/>
        <v>0</v>
      </c>
      <c r="BR117" s="29">
        <f t="shared" si="84"/>
        <v>0</v>
      </c>
      <c r="BS117" s="29">
        <f t="shared" si="84"/>
        <v>0</v>
      </c>
      <c r="BT117" s="29">
        <f t="shared" si="84"/>
        <v>0</v>
      </c>
      <c r="BU117" s="29">
        <f t="shared" si="84"/>
        <v>0</v>
      </c>
      <c r="BV117" s="29">
        <f t="shared" si="84"/>
        <v>0</v>
      </c>
      <c r="BW117" s="29">
        <f t="shared" si="84"/>
        <v>0</v>
      </c>
      <c r="BX117" s="29">
        <f t="shared" si="84"/>
        <v>0</v>
      </c>
      <c r="BY117" s="29">
        <f t="shared" si="84"/>
        <v>0</v>
      </c>
      <c r="BZ117" s="29">
        <f t="shared" si="84"/>
        <v>0</v>
      </c>
      <c r="CA117" s="29">
        <f t="shared" si="84"/>
        <v>0</v>
      </c>
      <c r="CB117" s="29">
        <f t="shared" si="84"/>
        <v>0</v>
      </c>
      <c r="CC117" s="29">
        <f t="shared" si="84"/>
        <v>0</v>
      </c>
      <c r="CD117" s="29">
        <f t="shared" si="84"/>
        <v>0</v>
      </c>
      <c r="CE117" s="29">
        <f t="shared" si="84"/>
        <v>0</v>
      </c>
      <c r="CF117" s="29">
        <f t="shared" si="84"/>
        <v>0</v>
      </c>
      <c r="CG117" s="29">
        <f t="shared" si="84"/>
        <v>0</v>
      </c>
      <c r="CH117" s="29">
        <f t="shared" si="84"/>
        <v>0</v>
      </c>
    </row>
    <row r="118" spans="2:86" ht="13" hidden="1" outlineLevel="1">
      <c r="B118" s="84">
        <f t="shared" si="71"/>
        <v>15</v>
      </c>
      <c r="C118" s="64">
        <f t="shared" ca="1" si="69"/>
        <v>8.0766574626473853E-2</v>
      </c>
      <c r="D118" s="15" t="s">
        <v>238</v>
      </c>
      <c r="E118" s="29">
        <f t="shared" ca="1" si="59"/>
        <v>3000656.5170638748</v>
      </c>
      <c r="F118" s="29"/>
      <c r="G118" s="29">
        <f t="shared" ref="G118:CH118" ca="1" si="85">IF(G$4&lt;=$B118,ABS(G$31)*-1+G$47,0)+IF($B118=G$4,G$81,0)</f>
        <v>-1444375</v>
      </c>
      <c r="H118" s="29">
        <f t="shared" ca="1" si="85"/>
        <v>-1344375</v>
      </c>
      <c r="I118" s="29">
        <f t="shared" ca="1" si="85"/>
        <v>-1344375</v>
      </c>
      <c r="J118" s="29">
        <f t="shared" ca="1" si="85"/>
        <v>-1344375</v>
      </c>
      <c r="K118" s="29">
        <f t="shared" ca="1" si="85"/>
        <v>-1344375</v>
      </c>
      <c r="L118" s="29">
        <f t="shared" ca="1" si="85"/>
        <v>-1344375</v>
      </c>
      <c r="M118" s="29">
        <f t="shared" ca="1" si="85"/>
        <v>-1344375</v>
      </c>
      <c r="N118" s="29">
        <f t="shared" ca="1" si="85"/>
        <v>-1344375</v>
      </c>
      <c r="O118" s="29">
        <f t="shared" ca="1" si="85"/>
        <v>-1344375</v>
      </c>
      <c r="P118" s="29">
        <f t="shared" ca="1" si="85"/>
        <v>-1344375</v>
      </c>
      <c r="Q118" s="29">
        <f t="shared" ca="1" si="85"/>
        <v>-1344375</v>
      </c>
      <c r="R118" s="29">
        <f t="shared" ca="1" si="85"/>
        <v>-1344375</v>
      </c>
      <c r="S118" s="29">
        <f t="shared" ca="1" si="85"/>
        <v>-534270.83333333279</v>
      </c>
      <c r="T118" s="29">
        <f t="shared" ca="1" si="85"/>
        <v>-534270.83333333279</v>
      </c>
      <c r="U118" s="29">
        <f t="shared" ca="1" si="85"/>
        <v>20301698.183730539</v>
      </c>
      <c r="V118" s="29">
        <f t="shared" si="85"/>
        <v>0</v>
      </c>
      <c r="W118" s="29">
        <f t="shared" si="85"/>
        <v>0</v>
      </c>
      <c r="X118" s="29">
        <f t="shared" si="85"/>
        <v>0</v>
      </c>
      <c r="Y118" s="29">
        <f t="shared" si="85"/>
        <v>0</v>
      </c>
      <c r="Z118" s="29">
        <f t="shared" si="85"/>
        <v>0</v>
      </c>
      <c r="AA118" s="29">
        <f t="shared" si="85"/>
        <v>0</v>
      </c>
      <c r="AB118" s="29">
        <f t="shared" si="85"/>
        <v>0</v>
      </c>
      <c r="AC118" s="29">
        <f t="shared" si="85"/>
        <v>0</v>
      </c>
      <c r="AD118" s="29">
        <f t="shared" si="85"/>
        <v>0</v>
      </c>
      <c r="AE118" s="29">
        <f t="shared" si="85"/>
        <v>0</v>
      </c>
      <c r="AF118" s="29">
        <f t="shared" si="85"/>
        <v>0</v>
      </c>
      <c r="AG118" s="29">
        <f t="shared" si="85"/>
        <v>0</v>
      </c>
      <c r="AH118" s="29">
        <f t="shared" si="85"/>
        <v>0</v>
      </c>
      <c r="AI118" s="29">
        <f t="shared" si="85"/>
        <v>0</v>
      </c>
      <c r="AJ118" s="29">
        <f t="shared" si="85"/>
        <v>0</v>
      </c>
      <c r="AK118" s="29">
        <f t="shared" si="85"/>
        <v>0</v>
      </c>
      <c r="AL118" s="29">
        <f t="shared" si="85"/>
        <v>0</v>
      </c>
      <c r="AM118" s="29">
        <f t="shared" si="85"/>
        <v>0</v>
      </c>
      <c r="AN118" s="29">
        <f t="shared" si="85"/>
        <v>0</v>
      </c>
      <c r="AO118" s="29">
        <f t="shared" si="85"/>
        <v>0</v>
      </c>
      <c r="AP118" s="29">
        <f t="shared" si="85"/>
        <v>0</v>
      </c>
      <c r="AQ118" s="29">
        <f t="shared" si="85"/>
        <v>0</v>
      </c>
      <c r="AR118" s="29">
        <f t="shared" si="85"/>
        <v>0</v>
      </c>
      <c r="AS118" s="29">
        <f t="shared" si="85"/>
        <v>0</v>
      </c>
      <c r="AT118" s="29">
        <f t="shared" si="85"/>
        <v>0</v>
      </c>
      <c r="AU118" s="29">
        <f t="shared" si="85"/>
        <v>0</v>
      </c>
      <c r="AV118" s="29">
        <f t="shared" si="85"/>
        <v>0</v>
      </c>
      <c r="AW118" s="29">
        <f t="shared" si="85"/>
        <v>0</v>
      </c>
      <c r="AX118" s="29">
        <f t="shared" si="85"/>
        <v>0</v>
      </c>
      <c r="AY118" s="29">
        <f t="shared" si="85"/>
        <v>0</v>
      </c>
      <c r="AZ118" s="29">
        <f t="shared" si="85"/>
        <v>0</v>
      </c>
      <c r="BA118" s="29">
        <f t="shared" si="85"/>
        <v>0</v>
      </c>
      <c r="BB118" s="29">
        <f t="shared" si="85"/>
        <v>0</v>
      </c>
      <c r="BC118" s="29">
        <f t="shared" si="85"/>
        <v>0</v>
      </c>
      <c r="BD118" s="29">
        <f t="shared" si="85"/>
        <v>0</v>
      </c>
      <c r="BE118" s="29">
        <f t="shared" si="85"/>
        <v>0</v>
      </c>
      <c r="BF118" s="29">
        <f t="shared" si="85"/>
        <v>0</v>
      </c>
      <c r="BG118" s="29">
        <f t="shared" si="85"/>
        <v>0</v>
      </c>
      <c r="BH118" s="29">
        <f t="shared" si="85"/>
        <v>0</v>
      </c>
      <c r="BI118" s="29">
        <f t="shared" si="85"/>
        <v>0</v>
      </c>
      <c r="BJ118" s="29">
        <f t="shared" si="85"/>
        <v>0</v>
      </c>
      <c r="BK118" s="29">
        <f t="shared" si="85"/>
        <v>0</v>
      </c>
      <c r="BL118" s="29">
        <f t="shared" si="85"/>
        <v>0</v>
      </c>
      <c r="BM118" s="29">
        <f t="shared" si="85"/>
        <v>0</v>
      </c>
      <c r="BN118" s="29">
        <f t="shared" si="85"/>
        <v>0</v>
      </c>
      <c r="BO118" s="29">
        <f t="shared" si="85"/>
        <v>0</v>
      </c>
      <c r="BP118" s="29">
        <f t="shared" si="85"/>
        <v>0</v>
      </c>
      <c r="BQ118" s="29">
        <f t="shared" si="85"/>
        <v>0</v>
      </c>
      <c r="BR118" s="29">
        <f t="shared" si="85"/>
        <v>0</v>
      </c>
      <c r="BS118" s="29">
        <f t="shared" si="85"/>
        <v>0</v>
      </c>
      <c r="BT118" s="29">
        <f t="shared" si="85"/>
        <v>0</v>
      </c>
      <c r="BU118" s="29">
        <f t="shared" si="85"/>
        <v>0</v>
      </c>
      <c r="BV118" s="29">
        <f t="shared" si="85"/>
        <v>0</v>
      </c>
      <c r="BW118" s="29">
        <f t="shared" si="85"/>
        <v>0</v>
      </c>
      <c r="BX118" s="29">
        <f t="shared" si="85"/>
        <v>0</v>
      </c>
      <c r="BY118" s="29">
        <f t="shared" si="85"/>
        <v>0</v>
      </c>
      <c r="BZ118" s="29">
        <f t="shared" si="85"/>
        <v>0</v>
      </c>
      <c r="CA118" s="29">
        <f t="shared" si="85"/>
        <v>0</v>
      </c>
      <c r="CB118" s="29">
        <f t="shared" si="85"/>
        <v>0</v>
      </c>
      <c r="CC118" s="29">
        <f t="shared" si="85"/>
        <v>0</v>
      </c>
      <c r="CD118" s="29">
        <f t="shared" si="85"/>
        <v>0</v>
      </c>
      <c r="CE118" s="29">
        <f t="shared" si="85"/>
        <v>0</v>
      </c>
      <c r="CF118" s="29">
        <f t="shared" si="85"/>
        <v>0</v>
      </c>
      <c r="CG118" s="29">
        <f t="shared" si="85"/>
        <v>0</v>
      </c>
      <c r="CH118" s="29">
        <f t="shared" si="85"/>
        <v>0</v>
      </c>
    </row>
    <row r="119" spans="2:86" ht="13" hidden="1" outlineLevel="1">
      <c r="B119" s="84">
        <f t="shared" si="71"/>
        <v>16</v>
      </c>
      <c r="C119" s="64">
        <f t="shared" ca="1" si="69"/>
        <v>9.1491577065662799E-2</v>
      </c>
      <c r="D119" s="15" t="s">
        <v>238</v>
      </c>
      <c r="E119" s="29">
        <f t="shared" ca="1" si="59"/>
        <v>3896031.4560873806</v>
      </c>
      <c r="F119" s="29"/>
      <c r="G119" s="29">
        <f t="shared" ref="G119:CH119" ca="1" si="86">IF(G$4&lt;=$B119,ABS(G$31)*-1+G$47,0)+IF($B119=G$4,G$81,0)</f>
        <v>-1444375</v>
      </c>
      <c r="H119" s="29">
        <f t="shared" ca="1" si="86"/>
        <v>-1344375</v>
      </c>
      <c r="I119" s="29">
        <f t="shared" ca="1" si="86"/>
        <v>-1344375</v>
      </c>
      <c r="J119" s="29">
        <f t="shared" ca="1" si="86"/>
        <v>-1344375</v>
      </c>
      <c r="K119" s="29">
        <f t="shared" ca="1" si="86"/>
        <v>-1344375</v>
      </c>
      <c r="L119" s="29">
        <f t="shared" ca="1" si="86"/>
        <v>-1344375</v>
      </c>
      <c r="M119" s="29">
        <f t="shared" ca="1" si="86"/>
        <v>-1344375</v>
      </c>
      <c r="N119" s="29">
        <f t="shared" ca="1" si="86"/>
        <v>-1344375</v>
      </c>
      <c r="O119" s="29">
        <f t="shared" ca="1" si="86"/>
        <v>-1344375</v>
      </c>
      <c r="P119" s="29">
        <f t="shared" ca="1" si="86"/>
        <v>-1344375</v>
      </c>
      <c r="Q119" s="29">
        <f t="shared" ca="1" si="86"/>
        <v>-1344375</v>
      </c>
      <c r="R119" s="29">
        <f t="shared" ca="1" si="86"/>
        <v>-1344375</v>
      </c>
      <c r="S119" s="29">
        <f t="shared" ca="1" si="86"/>
        <v>-534270.83333333279</v>
      </c>
      <c r="T119" s="29">
        <f t="shared" ca="1" si="86"/>
        <v>-534270.83333333279</v>
      </c>
      <c r="U119" s="29">
        <f t="shared" ca="1" si="86"/>
        <v>-534270.83333333279</v>
      </c>
      <c r="V119" s="29">
        <f t="shared" ca="1" si="86"/>
        <v>21731343.956087377</v>
      </c>
      <c r="W119" s="29">
        <f t="shared" si="86"/>
        <v>0</v>
      </c>
      <c r="X119" s="29">
        <f t="shared" si="86"/>
        <v>0</v>
      </c>
      <c r="Y119" s="29">
        <f t="shared" si="86"/>
        <v>0</v>
      </c>
      <c r="Z119" s="29">
        <f t="shared" si="86"/>
        <v>0</v>
      </c>
      <c r="AA119" s="29">
        <f t="shared" si="86"/>
        <v>0</v>
      </c>
      <c r="AB119" s="29">
        <f t="shared" si="86"/>
        <v>0</v>
      </c>
      <c r="AC119" s="29">
        <f t="shared" si="86"/>
        <v>0</v>
      </c>
      <c r="AD119" s="29">
        <f t="shared" si="86"/>
        <v>0</v>
      </c>
      <c r="AE119" s="29">
        <f t="shared" si="86"/>
        <v>0</v>
      </c>
      <c r="AF119" s="29">
        <f t="shared" si="86"/>
        <v>0</v>
      </c>
      <c r="AG119" s="29">
        <f t="shared" si="86"/>
        <v>0</v>
      </c>
      <c r="AH119" s="29">
        <f t="shared" si="86"/>
        <v>0</v>
      </c>
      <c r="AI119" s="29">
        <f t="shared" si="86"/>
        <v>0</v>
      </c>
      <c r="AJ119" s="29">
        <f t="shared" si="86"/>
        <v>0</v>
      </c>
      <c r="AK119" s="29">
        <f t="shared" si="86"/>
        <v>0</v>
      </c>
      <c r="AL119" s="29">
        <f t="shared" si="86"/>
        <v>0</v>
      </c>
      <c r="AM119" s="29">
        <f t="shared" si="86"/>
        <v>0</v>
      </c>
      <c r="AN119" s="29">
        <f t="shared" si="86"/>
        <v>0</v>
      </c>
      <c r="AO119" s="29">
        <f t="shared" si="86"/>
        <v>0</v>
      </c>
      <c r="AP119" s="29">
        <f t="shared" si="86"/>
        <v>0</v>
      </c>
      <c r="AQ119" s="29">
        <f t="shared" si="86"/>
        <v>0</v>
      </c>
      <c r="AR119" s="29">
        <f t="shared" si="86"/>
        <v>0</v>
      </c>
      <c r="AS119" s="29">
        <f t="shared" si="86"/>
        <v>0</v>
      </c>
      <c r="AT119" s="29">
        <f t="shared" si="86"/>
        <v>0</v>
      </c>
      <c r="AU119" s="29">
        <f t="shared" si="86"/>
        <v>0</v>
      </c>
      <c r="AV119" s="29">
        <f t="shared" si="86"/>
        <v>0</v>
      </c>
      <c r="AW119" s="29">
        <f t="shared" si="86"/>
        <v>0</v>
      </c>
      <c r="AX119" s="29">
        <f t="shared" si="86"/>
        <v>0</v>
      </c>
      <c r="AY119" s="29">
        <f t="shared" si="86"/>
        <v>0</v>
      </c>
      <c r="AZ119" s="29">
        <f t="shared" si="86"/>
        <v>0</v>
      </c>
      <c r="BA119" s="29">
        <f t="shared" si="86"/>
        <v>0</v>
      </c>
      <c r="BB119" s="29">
        <f t="shared" si="86"/>
        <v>0</v>
      </c>
      <c r="BC119" s="29">
        <f t="shared" si="86"/>
        <v>0</v>
      </c>
      <c r="BD119" s="29">
        <f t="shared" si="86"/>
        <v>0</v>
      </c>
      <c r="BE119" s="29">
        <f t="shared" si="86"/>
        <v>0</v>
      </c>
      <c r="BF119" s="29">
        <f t="shared" si="86"/>
        <v>0</v>
      </c>
      <c r="BG119" s="29">
        <f t="shared" si="86"/>
        <v>0</v>
      </c>
      <c r="BH119" s="29">
        <f t="shared" si="86"/>
        <v>0</v>
      </c>
      <c r="BI119" s="29">
        <f t="shared" si="86"/>
        <v>0</v>
      </c>
      <c r="BJ119" s="29">
        <f t="shared" si="86"/>
        <v>0</v>
      </c>
      <c r="BK119" s="29">
        <f t="shared" si="86"/>
        <v>0</v>
      </c>
      <c r="BL119" s="29">
        <f t="shared" si="86"/>
        <v>0</v>
      </c>
      <c r="BM119" s="29">
        <f t="shared" si="86"/>
        <v>0</v>
      </c>
      <c r="BN119" s="29">
        <f t="shared" si="86"/>
        <v>0</v>
      </c>
      <c r="BO119" s="29">
        <f t="shared" si="86"/>
        <v>0</v>
      </c>
      <c r="BP119" s="29">
        <f t="shared" si="86"/>
        <v>0</v>
      </c>
      <c r="BQ119" s="29">
        <f t="shared" si="86"/>
        <v>0</v>
      </c>
      <c r="BR119" s="29">
        <f t="shared" si="86"/>
        <v>0</v>
      </c>
      <c r="BS119" s="29">
        <f t="shared" si="86"/>
        <v>0</v>
      </c>
      <c r="BT119" s="29">
        <f t="shared" si="86"/>
        <v>0</v>
      </c>
      <c r="BU119" s="29">
        <f t="shared" si="86"/>
        <v>0</v>
      </c>
      <c r="BV119" s="29">
        <f t="shared" si="86"/>
        <v>0</v>
      </c>
      <c r="BW119" s="29">
        <f t="shared" si="86"/>
        <v>0</v>
      </c>
      <c r="BX119" s="29">
        <f t="shared" si="86"/>
        <v>0</v>
      </c>
      <c r="BY119" s="29">
        <f t="shared" si="86"/>
        <v>0</v>
      </c>
      <c r="BZ119" s="29">
        <f t="shared" si="86"/>
        <v>0</v>
      </c>
      <c r="CA119" s="29">
        <f t="shared" si="86"/>
        <v>0</v>
      </c>
      <c r="CB119" s="29">
        <f t="shared" si="86"/>
        <v>0</v>
      </c>
      <c r="CC119" s="29">
        <f t="shared" si="86"/>
        <v>0</v>
      </c>
      <c r="CD119" s="29">
        <f t="shared" si="86"/>
        <v>0</v>
      </c>
      <c r="CE119" s="29">
        <f t="shared" si="86"/>
        <v>0</v>
      </c>
      <c r="CF119" s="29">
        <f t="shared" si="86"/>
        <v>0</v>
      </c>
      <c r="CG119" s="29">
        <f t="shared" si="86"/>
        <v>0</v>
      </c>
      <c r="CH119" s="29">
        <f t="shared" si="86"/>
        <v>0</v>
      </c>
    </row>
    <row r="120" spans="2:86" ht="13" hidden="1" outlineLevel="1">
      <c r="B120" s="84">
        <f t="shared" si="71"/>
        <v>17</v>
      </c>
      <c r="C120" s="64">
        <f t="shared" ca="1" si="69"/>
        <v>0.119860882683128</v>
      </c>
      <c r="D120" s="15" t="s">
        <v>238</v>
      </c>
      <c r="E120" s="29">
        <f t="shared" ca="1" si="59"/>
        <v>5901259.0882499702</v>
      </c>
      <c r="F120" s="29"/>
      <c r="G120" s="29">
        <f t="shared" ref="G120:CH120" ca="1" si="87">IF(G$4&lt;=$B120,ABS(G$31)*-1+G$47,0)+IF($B120=G$4,G$81,0)</f>
        <v>-1444375</v>
      </c>
      <c r="H120" s="29">
        <f t="shared" ca="1" si="87"/>
        <v>-1344375</v>
      </c>
      <c r="I120" s="29">
        <f t="shared" ca="1" si="87"/>
        <v>-1344375</v>
      </c>
      <c r="J120" s="29">
        <f t="shared" ca="1" si="87"/>
        <v>-1344375</v>
      </c>
      <c r="K120" s="29">
        <f t="shared" ca="1" si="87"/>
        <v>-1344375</v>
      </c>
      <c r="L120" s="29">
        <f t="shared" ca="1" si="87"/>
        <v>-1344375</v>
      </c>
      <c r="M120" s="29">
        <f t="shared" ca="1" si="87"/>
        <v>-1344375</v>
      </c>
      <c r="N120" s="29">
        <f t="shared" ca="1" si="87"/>
        <v>-1344375</v>
      </c>
      <c r="O120" s="29">
        <f t="shared" ca="1" si="87"/>
        <v>-1344375</v>
      </c>
      <c r="P120" s="29">
        <f t="shared" ca="1" si="87"/>
        <v>-1344375</v>
      </c>
      <c r="Q120" s="29">
        <f t="shared" ca="1" si="87"/>
        <v>-1344375</v>
      </c>
      <c r="R120" s="29">
        <f t="shared" ca="1" si="87"/>
        <v>-1344375</v>
      </c>
      <c r="S120" s="29">
        <f t="shared" ca="1" si="87"/>
        <v>-534270.83333333279</v>
      </c>
      <c r="T120" s="29">
        <f t="shared" ca="1" si="87"/>
        <v>-534270.83333333279</v>
      </c>
      <c r="U120" s="29">
        <f t="shared" ca="1" si="87"/>
        <v>-534270.83333333279</v>
      </c>
      <c r="V120" s="29">
        <f t="shared" ca="1" si="87"/>
        <v>-534270.83333333279</v>
      </c>
      <c r="W120" s="29">
        <f t="shared" ca="1" si="87"/>
        <v>24270842.421583299</v>
      </c>
      <c r="X120" s="29">
        <f t="shared" si="87"/>
        <v>0</v>
      </c>
      <c r="Y120" s="29">
        <f t="shared" si="87"/>
        <v>0</v>
      </c>
      <c r="Z120" s="29">
        <f t="shared" si="87"/>
        <v>0</v>
      </c>
      <c r="AA120" s="29">
        <f t="shared" si="87"/>
        <v>0</v>
      </c>
      <c r="AB120" s="29">
        <f t="shared" si="87"/>
        <v>0</v>
      </c>
      <c r="AC120" s="29">
        <f t="shared" si="87"/>
        <v>0</v>
      </c>
      <c r="AD120" s="29">
        <f t="shared" si="87"/>
        <v>0</v>
      </c>
      <c r="AE120" s="29">
        <f t="shared" si="87"/>
        <v>0</v>
      </c>
      <c r="AF120" s="29">
        <f t="shared" si="87"/>
        <v>0</v>
      </c>
      <c r="AG120" s="29">
        <f t="shared" si="87"/>
        <v>0</v>
      </c>
      <c r="AH120" s="29">
        <f t="shared" si="87"/>
        <v>0</v>
      </c>
      <c r="AI120" s="29">
        <f t="shared" si="87"/>
        <v>0</v>
      </c>
      <c r="AJ120" s="29">
        <f t="shared" si="87"/>
        <v>0</v>
      </c>
      <c r="AK120" s="29">
        <f t="shared" si="87"/>
        <v>0</v>
      </c>
      <c r="AL120" s="29">
        <f t="shared" si="87"/>
        <v>0</v>
      </c>
      <c r="AM120" s="29">
        <f t="shared" si="87"/>
        <v>0</v>
      </c>
      <c r="AN120" s="29">
        <f t="shared" si="87"/>
        <v>0</v>
      </c>
      <c r="AO120" s="29">
        <f t="shared" si="87"/>
        <v>0</v>
      </c>
      <c r="AP120" s="29">
        <f t="shared" si="87"/>
        <v>0</v>
      </c>
      <c r="AQ120" s="29">
        <f t="shared" si="87"/>
        <v>0</v>
      </c>
      <c r="AR120" s="29">
        <f t="shared" si="87"/>
        <v>0</v>
      </c>
      <c r="AS120" s="29">
        <f t="shared" si="87"/>
        <v>0</v>
      </c>
      <c r="AT120" s="29">
        <f t="shared" si="87"/>
        <v>0</v>
      </c>
      <c r="AU120" s="29">
        <f t="shared" si="87"/>
        <v>0</v>
      </c>
      <c r="AV120" s="29">
        <f t="shared" si="87"/>
        <v>0</v>
      </c>
      <c r="AW120" s="29">
        <f t="shared" si="87"/>
        <v>0</v>
      </c>
      <c r="AX120" s="29">
        <f t="shared" si="87"/>
        <v>0</v>
      </c>
      <c r="AY120" s="29">
        <f t="shared" si="87"/>
        <v>0</v>
      </c>
      <c r="AZ120" s="29">
        <f t="shared" si="87"/>
        <v>0</v>
      </c>
      <c r="BA120" s="29">
        <f t="shared" si="87"/>
        <v>0</v>
      </c>
      <c r="BB120" s="29">
        <f t="shared" si="87"/>
        <v>0</v>
      </c>
      <c r="BC120" s="29">
        <f t="shared" si="87"/>
        <v>0</v>
      </c>
      <c r="BD120" s="29">
        <f t="shared" si="87"/>
        <v>0</v>
      </c>
      <c r="BE120" s="29">
        <f t="shared" si="87"/>
        <v>0</v>
      </c>
      <c r="BF120" s="29">
        <f t="shared" si="87"/>
        <v>0</v>
      </c>
      <c r="BG120" s="29">
        <f t="shared" si="87"/>
        <v>0</v>
      </c>
      <c r="BH120" s="29">
        <f t="shared" si="87"/>
        <v>0</v>
      </c>
      <c r="BI120" s="29">
        <f t="shared" si="87"/>
        <v>0</v>
      </c>
      <c r="BJ120" s="29">
        <f t="shared" si="87"/>
        <v>0</v>
      </c>
      <c r="BK120" s="29">
        <f t="shared" si="87"/>
        <v>0</v>
      </c>
      <c r="BL120" s="29">
        <f t="shared" si="87"/>
        <v>0</v>
      </c>
      <c r="BM120" s="29">
        <f t="shared" si="87"/>
        <v>0</v>
      </c>
      <c r="BN120" s="29">
        <f t="shared" si="87"/>
        <v>0</v>
      </c>
      <c r="BO120" s="29">
        <f t="shared" si="87"/>
        <v>0</v>
      </c>
      <c r="BP120" s="29">
        <f t="shared" si="87"/>
        <v>0</v>
      </c>
      <c r="BQ120" s="29">
        <f t="shared" si="87"/>
        <v>0</v>
      </c>
      <c r="BR120" s="29">
        <f t="shared" si="87"/>
        <v>0</v>
      </c>
      <c r="BS120" s="29">
        <f t="shared" si="87"/>
        <v>0</v>
      </c>
      <c r="BT120" s="29">
        <f t="shared" si="87"/>
        <v>0</v>
      </c>
      <c r="BU120" s="29">
        <f t="shared" si="87"/>
        <v>0</v>
      </c>
      <c r="BV120" s="29">
        <f t="shared" si="87"/>
        <v>0</v>
      </c>
      <c r="BW120" s="29">
        <f t="shared" si="87"/>
        <v>0</v>
      </c>
      <c r="BX120" s="29">
        <f t="shared" si="87"/>
        <v>0</v>
      </c>
      <c r="BY120" s="29">
        <f t="shared" si="87"/>
        <v>0</v>
      </c>
      <c r="BZ120" s="29">
        <f t="shared" si="87"/>
        <v>0</v>
      </c>
      <c r="CA120" s="29">
        <f t="shared" si="87"/>
        <v>0</v>
      </c>
      <c r="CB120" s="29">
        <f t="shared" si="87"/>
        <v>0</v>
      </c>
      <c r="CC120" s="29">
        <f t="shared" si="87"/>
        <v>0</v>
      </c>
      <c r="CD120" s="29">
        <f t="shared" si="87"/>
        <v>0</v>
      </c>
      <c r="CE120" s="29">
        <f t="shared" si="87"/>
        <v>0</v>
      </c>
      <c r="CF120" s="29">
        <f t="shared" si="87"/>
        <v>0</v>
      </c>
      <c r="CG120" s="29">
        <f t="shared" si="87"/>
        <v>0</v>
      </c>
      <c r="CH120" s="29">
        <f t="shared" si="87"/>
        <v>0</v>
      </c>
    </row>
    <row r="121" spans="2:86" ht="13" hidden="1" outlineLevel="1">
      <c r="B121" s="84">
        <f t="shared" si="71"/>
        <v>18</v>
      </c>
      <c r="C121" s="64">
        <f t="shared" ca="1" si="69"/>
        <v>0.14002514323309723</v>
      </c>
      <c r="D121" s="15" t="s">
        <v>238</v>
      </c>
      <c r="E121" s="29">
        <f t="shared" ca="1" si="59"/>
        <v>7788759.782481689</v>
      </c>
      <c r="F121" s="29"/>
      <c r="G121" s="29">
        <f t="shared" ref="G121:CH121" ca="1" si="88">IF(G$4&lt;=$B121,ABS(G$31)*-1+G$47,0)+IF($B121=G$4,G$81,0)</f>
        <v>-1444375</v>
      </c>
      <c r="H121" s="29">
        <f t="shared" ca="1" si="88"/>
        <v>-1344375</v>
      </c>
      <c r="I121" s="29">
        <f t="shared" ca="1" si="88"/>
        <v>-1344375</v>
      </c>
      <c r="J121" s="29">
        <f t="shared" ca="1" si="88"/>
        <v>-1344375</v>
      </c>
      <c r="K121" s="29">
        <f t="shared" ca="1" si="88"/>
        <v>-1344375</v>
      </c>
      <c r="L121" s="29">
        <f t="shared" ca="1" si="88"/>
        <v>-1344375</v>
      </c>
      <c r="M121" s="29">
        <f t="shared" ca="1" si="88"/>
        <v>-1344375</v>
      </c>
      <c r="N121" s="29">
        <f t="shared" ca="1" si="88"/>
        <v>-1344375</v>
      </c>
      <c r="O121" s="29">
        <f t="shared" ca="1" si="88"/>
        <v>-1344375</v>
      </c>
      <c r="P121" s="29">
        <f t="shared" ca="1" si="88"/>
        <v>-1344375</v>
      </c>
      <c r="Q121" s="29">
        <f t="shared" ca="1" si="88"/>
        <v>-1344375</v>
      </c>
      <c r="R121" s="29">
        <f t="shared" ca="1" si="88"/>
        <v>-1344375</v>
      </c>
      <c r="S121" s="29">
        <f t="shared" ca="1" si="88"/>
        <v>-534270.83333333279</v>
      </c>
      <c r="T121" s="29">
        <f t="shared" ca="1" si="88"/>
        <v>-534270.83333333279</v>
      </c>
      <c r="U121" s="29">
        <f t="shared" ca="1" si="88"/>
        <v>-534270.83333333279</v>
      </c>
      <c r="V121" s="29">
        <f t="shared" ca="1" si="88"/>
        <v>-534270.83333333279</v>
      </c>
      <c r="W121" s="29">
        <f t="shared" ca="1" si="88"/>
        <v>2385312.5000000009</v>
      </c>
      <c r="X121" s="29">
        <f t="shared" ca="1" si="88"/>
        <v>23773030.615815017</v>
      </c>
      <c r="Y121" s="29">
        <f t="shared" si="88"/>
        <v>0</v>
      </c>
      <c r="Z121" s="29">
        <f t="shared" si="88"/>
        <v>0</v>
      </c>
      <c r="AA121" s="29">
        <f t="shared" si="88"/>
        <v>0</v>
      </c>
      <c r="AB121" s="29">
        <f t="shared" si="88"/>
        <v>0</v>
      </c>
      <c r="AC121" s="29">
        <f t="shared" si="88"/>
        <v>0</v>
      </c>
      <c r="AD121" s="29">
        <f t="shared" si="88"/>
        <v>0</v>
      </c>
      <c r="AE121" s="29">
        <f t="shared" si="88"/>
        <v>0</v>
      </c>
      <c r="AF121" s="29">
        <f t="shared" si="88"/>
        <v>0</v>
      </c>
      <c r="AG121" s="29">
        <f t="shared" si="88"/>
        <v>0</v>
      </c>
      <c r="AH121" s="29">
        <f t="shared" si="88"/>
        <v>0</v>
      </c>
      <c r="AI121" s="29">
        <f t="shared" si="88"/>
        <v>0</v>
      </c>
      <c r="AJ121" s="29">
        <f t="shared" si="88"/>
        <v>0</v>
      </c>
      <c r="AK121" s="29">
        <f t="shared" si="88"/>
        <v>0</v>
      </c>
      <c r="AL121" s="29">
        <f t="shared" si="88"/>
        <v>0</v>
      </c>
      <c r="AM121" s="29">
        <f t="shared" si="88"/>
        <v>0</v>
      </c>
      <c r="AN121" s="29">
        <f t="shared" si="88"/>
        <v>0</v>
      </c>
      <c r="AO121" s="29">
        <f t="shared" si="88"/>
        <v>0</v>
      </c>
      <c r="AP121" s="29">
        <f t="shared" si="88"/>
        <v>0</v>
      </c>
      <c r="AQ121" s="29">
        <f t="shared" si="88"/>
        <v>0</v>
      </c>
      <c r="AR121" s="29">
        <f t="shared" si="88"/>
        <v>0</v>
      </c>
      <c r="AS121" s="29">
        <f t="shared" si="88"/>
        <v>0</v>
      </c>
      <c r="AT121" s="29">
        <f t="shared" si="88"/>
        <v>0</v>
      </c>
      <c r="AU121" s="29">
        <f t="shared" si="88"/>
        <v>0</v>
      </c>
      <c r="AV121" s="29">
        <f t="shared" si="88"/>
        <v>0</v>
      </c>
      <c r="AW121" s="29">
        <f t="shared" si="88"/>
        <v>0</v>
      </c>
      <c r="AX121" s="29">
        <f t="shared" si="88"/>
        <v>0</v>
      </c>
      <c r="AY121" s="29">
        <f t="shared" si="88"/>
        <v>0</v>
      </c>
      <c r="AZ121" s="29">
        <f t="shared" si="88"/>
        <v>0</v>
      </c>
      <c r="BA121" s="29">
        <f t="shared" si="88"/>
        <v>0</v>
      </c>
      <c r="BB121" s="29">
        <f t="shared" si="88"/>
        <v>0</v>
      </c>
      <c r="BC121" s="29">
        <f t="shared" si="88"/>
        <v>0</v>
      </c>
      <c r="BD121" s="29">
        <f t="shared" si="88"/>
        <v>0</v>
      </c>
      <c r="BE121" s="29">
        <f t="shared" si="88"/>
        <v>0</v>
      </c>
      <c r="BF121" s="29">
        <f t="shared" si="88"/>
        <v>0</v>
      </c>
      <c r="BG121" s="29">
        <f t="shared" si="88"/>
        <v>0</v>
      </c>
      <c r="BH121" s="29">
        <f t="shared" si="88"/>
        <v>0</v>
      </c>
      <c r="BI121" s="29">
        <f t="shared" si="88"/>
        <v>0</v>
      </c>
      <c r="BJ121" s="29">
        <f t="shared" si="88"/>
        <v>0</v>
      </c>
      <c r="BK121" s="29">
        <f t="shared" si="88"/>
        <v>0</v>
      </c>
      <c r="BL121" s="29">
        <f t="shared" si="88"/>
        <v>0</v>
      </c>
      <c r="BM121" s="29">
        <f t="shared" si="88"/>
        <v>0</v>
      </c>
      <c r="BN121" s="29">
        <f t="shared" si="88"/>
        <v>0</v>
      </c>
      <c r="BO121" s="29">
        <f t="shared" si="88"/>
        <v>0</v>
      </c>
      <c r="BP121" s="29">
        <f t="shared" si="88"/>
        <v>0</v>
      </c>
      <c r="BQ121" s="29">
        <f t="shared" si="88"/>
        <v>0</v>
      </c>
      <c r="BR121" s="29">
        <f t="shared" si="88"/>
        <v>0</v>
      </c>
      <c r="BS121" s="29">
        <f t="shared" si="88"/>
        <v>0</v>
      </c>
      <c r="BT121" s="29">
        <f t="shared" si="88"/>
        <v>0</v>
      </c>
      <c r="BU121" s="29">
        <f t="shared" si="88"/>
        <v>0</v>
      </c>
      <c r="BV121" s="29">
        <f t="shared" si="88"/>
        <v>0</v>
      </c>
      <c r="BW121" s="29">
        <f t="shared" si="88"/>
        <v>0</v>
      </c>
      <c r="BX121" s="29">
        <f t="shared" si="88"/>
        <v>0</v>
      </c>
      <c r="BY121" s="29">
        <f t="shared" si="88"/>
        <v>0</v>
      </c>
      <c r="BZ121" s="29">
        <f t="shared" si="88"/>
        <v>0</v>
      </c>
      <c r="CA121" s="29">
        <f t="shared" si="88"/>
        <v>0</v>
      </c>
      <c r="CB121" s="29">
        <f t="shared" si="88"/>
        <v>0</v>
      </c>
      <c r="CC121" s="29">
        <f t="shared" si="88"/>
        <v>0</v>
      </c>
      <c r="CD121" s="29">
        <f t="shared" si="88"/>
        <v>0</v>
      </c>
      <c r="CE121" s="29">
        <f t="shared" si="88"/>
        <v>0</v>
      </c>
      <c r="CF121" s="29">
        <f t="shared" si="88"/>
        <v>0</v>
      </c>
      <c r="CG121" s="29">
        <f t="shared" si="88"/>
        <v>0</v>
      </c>
      <c r="CH121" s="29">
        <f t="shared" si="88"/>
        <v>0</v>
      </c>
    </row>
    <row r="122" spans="2:86" ht="13" hidden="1" outlineLevel="1">
      <c r="B122" s="84">
        <f t="shared" si="71"/>
        <v>19</v>
      </c>
      <c r="C122" s="64">
        <f t="shared" ca="1" si="69"/>
        <v>0.15475920212666217</v>
      </c>
      <c r="D122" s="15" t="s">
        <v>238</v>
      </c>
      <c r="E122" s="29">
        <f t="shared" ca="1" si="59"/>
        <v>9558533.5387825333</v>
      </c>
      <c r="F122" s="29"/>
      <c r="G122" s="29">
        <f t="shared" ref="G122:CH122" ca="1" si="89">IF(G$4&lt;=$B122,ABS(G$31)*-1+G$47,0)+IF($B122=G$4,G$81,0)</f>
        <v>-1444375</v>
      </c>
      <c r="H122" s="29">
        <f t="shared" ca="1" si="89"/>
        <v>-1344375</v>
      </c>
      <c r="I122" s="29">
        <f t="shared" ca="1" si="89"/>
        <v>-1344375</v>
      </c>
      <c r="J122" s="29">
        <f t="shared" ca="1" si="89"/>
        <v>-1344375</v>
      </c>
      <c r="K122" s="29">
        <f t="shared" ca="1" si="89"/>
        <v>-1344375</v>
      </c>
      <c r="L122" s="29">
        <f t="shared" ca="1" si="89"/>
        <v>-1344375</v>
      </c>
      <c r="M122" s="29">
        <f t="shared" ca="1" si="89"/>
        <v>-1344375</v>
      </c>
      <c r="N122" s="29">
        <f t="shared" ca="1" si="89"/>
        <v>-1344375</v>
      </c>
      <c r="O122" s="29">
        <f t="shared" ca="1" si="89"/>
        <v>-1344375</v>
      </c>
      <c r="P122" s="29">
        <f t="shared" ca="1" si="89"/>
        <v>-1344375</v>
      </c>
      <c r="Q122" s="29">
        <f t="shared" ca="1" si="89"/>
        <v>-1344375</v>
      </c>
      <c r="R122" s="29">
        <f t="shared" ca="1" si="89"/>
        <v>-1344375</v>
      </c>
      <c r="S122" s="29">
        <f t="shared" ca="1" si="89"/>
        <v>-534270.83333333279</v>
      </c>
      <c r="T122" s="29">
        <f t="shared" ca="1" si="89"/>
        <v>-534270.83333333279</v>
      </c>
      <c r="U122" s="29">
        <f t="shared" ca="1" si="89"/>
        <v>-534270.83333333279</v>
      </c>
      <c r="V122" s="29">
        <f t="shared" ca="1" si="89"/>
        <v>-534270.83333333279</v>
      </c>
      <c r="W122" s="29">
        <f t="shared" ca="1" si="89"/>
        <v>2385312.5000000009</v>
      </c>
      <c r="X122" s="29">
        <f t="shared" ca="1" si="89"/>
        <v>2385312.5000000009</v>
      </c>
      <c r="Y122" s="29">
        <f t="shared" ca="1" si="89"/>
        <v>23157491.872115862</v>
      </c>
      <c r="Z122" s="29">
        <f t="shared" si="89"/>
        <v>0</v>
      </c>
      <c r="AA122" s="29">
        <f t="shared" si="89"/>
        <v>0</v>
      </c>
      <c r="AB122" s="29">
        <f t="shared" si="89"/>
        <v>0</v>
      </c>
      <c r="AC122" s="29">
        <f t="shared" si="89"/>
        <v>0</v>
      </c>
      <c r="AD122" s="29">
        <f t="shared" si="89"/>
        <v>0</v>
      </c>
      <c r="AE122" s="29">
        <f t="shared" si="89"/>
        <v>0</v>
      </c>
      <c r="AF122" s="29">
        <f t="shared" si="89"/>
        <v>0</v>
      </c>
      <c r="AG122" s="29">
        <f t="shared" si="89"/>
        <v>0</v>
      </c>
      <c r="AH122" s="29">
        <f t="shared" si="89"/>
        <v>0</v>
      </c>
      <c r="AI122" s="29">
        <f t="shared" si="89"/>
        <v>0</v>
      </c>
      <c r="AJ122" s="29">
        <f t="shared" si="89"/>
        <v>0</v>
      </c>
      <c r="AK122" s="29">
        <f t="shared" si="89"/>
        <v>0</v>
      </c>
      <c r="AL122" s="29">
        <f t="shared" si="89"/>
        <v>0</v>
      </c>
      <c r="AM122" s="29">
        <f t="shared" si="89"/>
        <v>0</v>
      </c>
      <c r="AN122" s="29">
        <f t="shared" si="89"/>
        <v>0</v>
      </c>
      <c r="AO122" s="29">
        <f t="shared" si="89"/>
        <v>0</v>
      </c>
      <c r="AP122" s="29">
        <f t="shared" si="89"/>
        <v>0</v>
      </c>
      <c r="AQ122" s="29">
        <f t="shared" si="89"/>
        <v>0</v>
      </c>
      <c r="AR122" s="29">
        <f t="shared" si="89"/>
        <v>0</v>
      </c>
      <c r="AS122" s="29">
        <f t="shared" si="89"/>
        <v>0</v>
      </c>
      <c r="AT122" s="29">
        <f t="shared" si="89"/>
        <v>0</v>
      </c>
      <c r="AU122" s="29">
        <f t="shared" si="89"/>
        <v>0</v>
      </c>
      <c r="AV122" s="29">
        <f t="shared" si="89"/>
        <v>0</v>
      </c>
      <c r="AW122" s="29">
        <f t="shared" si="89"/>
        <v>0</v>
      </c>
      <c r="AX122" s="29">
        <f t="shared" si="89"/>
        <v>0</v>
      </c>
      <c r="AY122" s="29">
        <f t="shared" si="89"/>
        <v>0</v>
      </c>
      <c r="AZ122" s="29">
        <f t="shared" si="89"/>
        <v>0</v>
      </c>
      <c r="BA122" s="29">
        <f t="shared" si="89"/>
        <v>0</v>
      </c>
      <c r="BB122" s="29">
        <f t="shared" si="89"/>
        <v>0</v>
      </c>
      <c r="BC122" s="29">
        <f t="shared" si="89"/>
        <v>0</v>
      </c>
      <c r="BD122" s="29">
        <f t="shared" si="89"/>
        <v>0</v>
      </c>
      <c r="BE122" s="29">
        <f t="shared" si="89"/>
        <v>0</v>
      </c>
      <c r="BF122" s="29">
        <f t="shared" si="89"/>
        <v>0</v>
      </c>
      <c r="BG122" s="29">
        <f t="shared" si="89"/>
        <v>0</v>
      </c>
      <c r="BH122" s="29">
        <f t="shared" si="89"/>
        <v>0</v>
      </c>
      <c r="BI122" s="29">
        <f t="shared" si="89"/>
        <v>0</v>
      </c>
      <c r="BJ122" s="29">
        <f t="shared" si="89"/>
        <v>0</v>
      </c>
      <c r="BK122" s="29">
        <f t="shared" si="89"/>
        <v>0</v>
      </c>
      <c r="BL122" s="29">
        <f t="shared" si="89"/>
        <v>0</v>
      </c>
      <c r="BM122" s="29">
        <f t="shared" si="89"/>
        <v>0</v>
      </c>
      <c r="BN122" s="29">
        <f t="shared" si="89"/>
        <v>0</v>
      </c>
      <c r="BO122" s="29">
        <f t="shared" si="89"/>
        <v>0</v>
      </c>
      <c r="BP122" s="29">
        <f t="shared" si="89"/>
        <v>0</v>
      </c>
      <c r="BQ122" s="29">
        <f t="shared" si="89"/>
        <v>0</v>
      </c>
      <c r="BR122" s="29">
        <f t="shared" si="89"/>
        <v>0</v>
      </c>
      <c r="BS122" s="29">
        <f t="shared" si="89"/>
        <v>0</v>
      </c>
      <c r="BT122" s="29">
        <f t="shared" si="89"/>
        <v>0</v>
      </c>
      <c r="BU122" s="29">
        <f t="shared" si="89"/>
        <v>0</v>
      </c>
      <c r="BV122" s="29">
        <f t="shared" si="89"/>
        <v>0</v>
      </c>
      <c r="BW122" s="29">
        <f t="shared" si="89"/>
        <v>0</v>
      </c>
      <c r="BX122" s="29">
        <f t="shared" si="89"/>
        <v>0</v>
      </c>
      <c r="BY122" s="29">
        <f t="shared" si="89"/>
        <v>0</v>
      </c>
      <c r="BZ122" s="29">
        <f t="shared" si="89"/>
        <v>0</v>
      </c>
      <c r="CA122" s="29">
        <f t="shared" si="89"/>
        <v>0</v>
      </c>
      <c r="CB122" s="29">
        <f t="shared" si="89"/>
        <v>0</v>
      </c>
      <c r="CC122" s="29">
        <f t="shared" si="89"/>
        <v>0</v>
      </c>
      <c r="CD122" s="29">
        <f t="shared" si="89"/>
        <v>0</v>
      </c>
      <c r="CE122" s="29">
        <f t="shared" si="89"/>
        <v>0</v>
      </c>
      <c r="CF122" s="29">
        <f t="shared" si="89"/>
        <v>0</v>
      </c>
      <c r="CG122" s="29">
        <f t="shared" si="89"/>
        <v>0</v>
      </c>
      <c r="CH122" s="29">
        <f t="shared" si="89"/>
        <v>0</v>
      </c>
    </row>
    <row r="123" spans="2:86" ht="13" hidden="1" outlineLevel="1">
      <c r="B123" s="84">
        <f t="shared" si="71"/>
        <v>20</v>
      </c>
      <c r="C123" s="64">
        <f t="shared" ca="1" si="69"/>
        <v>0.16390504641702575</v>
      </c>
      <c r="D123" s="15" t="s">
        <v>238</v>
      </c>
      <c r="E123" s="29">
        <f t="shared" ca="1" si="59"/>
        <v>11061247.023819175</v>
      </c>
      <c r="F123" s="29"/>
      <c r="G123" s="29">
        <f t="shared" ref="G123:CH123" ca="1" si="90">IF(G$4&lt;=$B123,ABS(G$31)*-1+G$47,0)+IF($B123=G$4,G$81,0)</f>
        <v>-1444375</v>
      </c>
      <c r="H123" s="29">
        <f t="shared" ca="1" si="90"/>
        <v>-1344375</v>
      </c>
      <c r="I123" s="29">
        <f t="shared" ca="1" si="90"/>
        <v>-1344375</v>
      </c>
      <c r="J123" s="29">
        <f t="shared" ca="1" si="90"/>
        <v>-1344375</v>
      </c>
      <c r="K123" s="29">
        <f t="shared" ca="1" si="90"/>
        <v>-1344375</v>
      </c>
      <c r="L123" s="29">
        <f t="shared" ca="1" si="90"/>
        <v>-1344375</v>
      </c>
      <c r="M123" s="29">
        <f t="shared" ca="1" si="90"/>
        <v>-1344375</v>
      </c>
      <c r="N123" s="29">
        <f t="shared" ca="1" si="90"/>
        <v>-1344375</v>
      </c>
      <c r="O123" s="29">
        <f t="shared" ca="1" si="90"/>
        <v>-1344375</v>
      </c>
      <c r="P123" s="29">
        <f t="shared" ca="1" si="90"/>
        <v>-1344375</v>
      </c>
      <c r="Q123" s="29">
        <f t="shared" ca="1" si="90"/>
        <v>-1344375</v>
      </c>
      <c r="R123" s="29">
        <f t="shared" ca="1" si="90"/>
        <v>-1344375</v>
      </c>
      <c r="S123" s="29">
        <f t="shared" ca="1" si="90"/>
        <v>-534270.83333333279</v>
      </c>
      <c r="T123" s="29">
        <f t="shared" ca="1" si="90"/>
        <v>-534270.83333333279</v>
      </c>
      <c r="U123" s="29">
        <f t="shared" ca="1" si="90"/>
        <v>-534270.83333333279</v>
      </c>
      <c r="V123" s="29">
        <f t="shared" ca="1" si="90"/>
        <v>-534270.83333333279</v>
      </c>
      <c r="W123" s="29">
        <f t="shared" ca="1" si="90"/>
        <v>2385312.5000000009</v>
      </c>
      <c r="X123" s="29">
        <f t="shared" ca="1" si="90"/>
        <v>2385312.5000000009</v>
      </c>
      <c r="Y123" s="29">
        <f t="shared" ca="1" si="90"/>
        <v>2385312.5000000009</v>
      </c>
      <c r="Z123" s="29">
        <f t="shared" ca="1" si="90"/>
        <v>22274892.857152503</v>
      </c>
      <c r="AA123" s="29">
        <f t="shared" si="90"/>
        <v>0</v>
      </c>
      <c r="AB123" s="29">
        <f t="shared" si="90"/>
        <v>0</v>
      </c>
      <c r="AC123" s="29">
        <f t="shared" si="90"/>
        <v>0</v>
      </c>
      <c r="AD123" s="29">
        <f t="shared" si="90"/>
        <v>0</v>
      </c>
      <c r="AE123" s="29">
        <f t="shared" si="90"/>
        <v>0</v>
      </c>
      <c r="AF123" s="29">
        <f t="shared" si="90"/>
        <v>0</v>
      </c>
      <c r="AG123" s="29">
        <f t="shared" si="90"/>
        <v>0</v>
      </c>
      <c r="AH123" s="29">
        <f t="shared" si="90"/>
        <v>0</v>
      </c>
      <c r="AI123" s="29">
        <f t="shared" si="90"/>
        <v>0</v>
      </c>
      <c r="AJ123" s="29">
        <f t="shared" si="90"/>
        <v>0</v>
      </c>
      <c r="AK123" s="29">
        <f t="shared" si="90"/>
        <v>0</v>
      </c>
      <c r="AL123" s="29">
        <f t="shared" si="90"/>
        <v>0</v>
      </c>
      <c r="AM123" s="29">
        <f t="shared" si="90"/>
        <v>0</v>
      </c>
      <c r="AN123" s="29">
        <f t="shared" si="90"/>
        <v>0</v>
      </c>
      <c r="AO123" s="29">
        <f t="shared" si="90"/>
        <v>0</v>
      </c>
      <c r="AP123" s="29">
        <f t="shared" si="90"/>
        <v>0</v>
      </c>
      <c r="AQ123" s="29">
        <f t="shared" si="90"/>
        <v>0</v>
      </c>
      <c r="AR123" s="29">
        <f t="shared" si="90"/>
        <v>0</v>
      </c>
      <c r="AS123" s="29">
        <f t="shared" si="90"/>
        <v>0</v>
      </c>
      <c r="AT123" s="29">
        <f t="shared" si="90"/>
        <v>0</v>
      </c>
      <c r="AU123" s="29">
        <f t="shared" si="90"/>
        <v>0</v>
      </c>
      <c r="AV123" s="29">
        <f t="shared" si="90"/>
        <v>0</v>
      </c>
      <c r="AW123" s="29">
        <f t="shared" si="90"/>
        <v>0</v>
      </c>
      <c r="AX123" s="29">
        <f t="shared" si="90"/>
        <v>0</v>
      </c>
      <c r="AY123" s="29">
        <f t="shared" si="90"/>
        <v>0</v>
      </c>
      <c r="AZ123" s="29">
        <f t="shared" si="90"/>
        <v>0</v>
      </c>
      <c r="BA123" s="29">
        <f t="shared" si="90"/>
        <v>0</v>
      </c>
      <c r="BB123" s="29">
        <f t="shared" si="90"/>
        <v>0</v>
      </c>
      <c r="BC123" s="29">
        <f t="shared" si="90"/>
        <v>0</v>
      </c>
      <c r="BD123" s="29">
        <f t="shared" si="90"/>
        <v>0</v>
      </c>
      <c r="BE123" s="29">
        <f t="shared" si="90"/>
        <v>0</v>
      </c>
      <c r="BF123" s="29">
        <f t="shared" si="90"/>
        <v>0</v>
      </c>
      <c r="BG123" s="29">
        <f t="shared" si="90"/>
        <v>0</v>
      </c>
      <c r="BH123" s="29">
        <f t="shared" si="90"/>
        <v>0</v>
      </c>
      <c r="BI123" s="29">
        <f t="shared" si="90"/>
        <v>0</v>
      </c>
      <c r="BJ123" s="29">
        <f t="shared" si="90"/>
        <v>0</v>
      </c>
      <c r="BK123" s="29">
        <f t="shared" si="90"/>
        <v>0</v>
      </c>
      <c r="BL123" s="29">
        <f t="shared" si="90"/>
        <v>0</v>
      </c>
      <c r="BM123" s="29">
        <f t="shared" si="90"/>
        <v>0</v>
      </c>
      <c r="BN123" s="29">
        <f t="shared" si="90"/>
        <v>0</v>
      </c>
      <c r="BO123" s="29">
        <f t="shared" si="90"/>
        <v>0</v>
      </c>
      <c r="BP123" s="29">
        <f t="shared" si="90"/>
        <v>0</v>
      </c>
      <c r="BQ123" s="29">
        <f t="shared" si="90"/>
        <v>0</v>
      </c>
      <c r="BR123" s="29">
        <f t="shared" si="90"/>
        <v>0</v>
      </c>
      <c r="BS123" s="29">
        <f t="shared" si="90"/>
        <v>0</v>
      </c>
      <c r="BT123" s="29">
        <f t="shared" si="90"/>
        <v>0</v>
      </c>
      <c r="BU123" s="29">
        <f t="shared" si="90"/>
        <v>0</v>
      </c>
      <c r="BV123" s="29">
        <f t="shared" si="90"/>
        <v>0</v>
      </c>
      <c r="BW123" s="29">
        <f t="shared" si="90"/>
        <v>0</v>
      </c>
      <c r="BX123" s="29">
        <f t="shared" si="90"/>
        <v>0</v>
      </c>
      <c r="BY123" s="29">
        <f t="shared" si="90"/>
        <v>0</v>
      </c>
      <c r="BZ123" s="29">
        <f t="shared" si="90"/>
        <v>0</v>
      </c>
      <c r="CA123" s="29">
        <f t="shared" si="90"/>
        <v>0</v>
      </c>
      <c r="CB123" s="29">
        <f t="shared" si="90"/>
        <v>0</v>
      </c>
      <c r="CC123" s="29">
        <f t="shared" si="90"/>
        <v>0</v>
      </c>
      <c r="CD123" s="29">
        <f t="shared" si="90"/>
        <v>0</v>
      </c>
      <c r="CE123" s="29">
        <f t="shared" si="90"/>
        <v>0</v>
      </c>
      <c r="CF123" s="29">
        <f t="shared" si="90"/>
        <v>0</v>
      </c>
      <c r="CG123" s="29">
        <f t="shared" si="90"/>
        <v>0</v>
      </c>
      <c r="CH123" s="29">
        <f t="shared" si="90"/>
        <v>0</v>
      </c>
    </row>
    <row r="124" spans="2:86" ht="13" hidden="1" outlineLevel="1">
      <c r="B124" s="84">
        <f t="shared" si="71"/>
        <v>21</v>
      </c>
      <c r="C124" s="64">
        <f t="shared" ca="1" si="69"/>
        <v>0.16836102871276792</v>
      </c>
      <c r="D124" s="15" t="s">
        <v>238</v>
      </c>
      <c r="E124" s="29">
        <f t="shared" ca="1" si="59"/>
        <v>12238010.105838742</v>
      </c>
      <c r="F124" s="29"/>
      <c r="G124" s="29">
        <f t="shared" ref="G124:CH124" ca="1" si="91">IF(G$4&lt;=$B124,ABS(G$31)*-1+G$47,0)+IF($B124=G$4,G$81,0)</f>
        <v>-1444375</v>
      </c>
      <c r="H124" s="29">
        <f t="shared" ca="1" si="91"/>
        <v>-1344375</v>
      </c>
      <c r="I124" s="29">
        <f t="shared" ca="1" si="91"/>
        <v>-1344375</v>
      </c>
      <c r="J124" s="29">
        <f t="shared" ca="1" si="91"/>
        <v>-1344375</v>
      </c>
      <c r="K124" s="29">
        <f t="shared" ca="1" si="91"/>
        <v>-1344375</v>
      </c>
      <c r="L124" s="29">
        <f t="shared" ca="1" si="91"/>
        <v>-1344375</v>
      </c>
      <c r="M124" s="29">
        <f t="shared" ca="1" si="91"/>
        <v>-1344375</v>
      </c>
      <c r="N124" s="29">
        <f t="shared" ca="1" si="91"/>
        <v>-1344375</v>
      </c>
      <c r="O124" s="29">
        <f t="shared" ca="1" si="91"/>
        <v>-1344375</v>
      </c>
      <c r="P124" s="29">
        <f t="shared" ca="1" si="91"/>
        <v>-1344375</v>
      </c>
      <c r="Q124" s="29">
        <f t="shared" ca="1" si="91"/>
        <v>-1344375</v>
      </c>
      <c r="R124" s="29">
        <f t="shared" ca="1" si="91"/>
        <v>-1344375</v>
      </c>
      <c r="S124" s="29">
        <f t="shared" ca="1" si="91"/>
        <v>-534270.83333333279</v>
      </c>
      <c r="T124" s="29">
        <f t="shared" ca="1" si="91"/>
        <v>-534270.83333333279</v>
      </c>
      <c r="U124" s="29">
        <f t="shared" ca="1" si="91"/>
        <v>-534270.83333333279</v>
      </c>
      <c r="V124" s="29">
        <f t="shared" ca="1" si="91"/>
        <v>-534270.83333333279</v>
      </c>
      <c r="W124" s="29">
        <f t="shared" ca="1" si="91"/>
        <v>2385312.5000000009</v>
      </c>
      <c r="X124" s="29">
        <f t="shared" ca="1" si="91"/>
        <v>2385312.5000000009</v>
      </c>
      <c r="Y124" s="29">
        <f t="shared" ca="1" si="91"/>
        <v>2385312.5000000009</v>
      </c>
      <c r="Z124" s="29">
        <f t="shared" ca="1" si="91"/>
        <v>2235979.166666667</v>
      </c>
      <c r="AA124" s="29">
        <f t="shared" ca="1" si="91"/>
        <v>21215676.772505403</v>
      </c>
      <c r="AB124" s="29">
        <f t="shared" si="91"/>
        <v>0</v>
      </c>
      <c r="AC124" s="29">
        <f t="shared" si="91"/>
        <v>0</v>
      </c>
      <c r="AD124" s="29">
        <f t="shared" si="91"/>
        <v>0</v>
      </c>
      <c r="AE124" s="29">
        <f t="shared" si="91"/>
        <v>0</v>
      </c>
      <c r="AF124" s="29">
        <f t="shared" si="91"/>
        <v>0</v>
      </c>
      <c r="AG124" s="29">
        <f t="shared" si="91"/>
        <v>0</v>
      </c>
      <c r="AH124" s="29">
        <f t="shared" si="91"/>
        <v>0</v>
      </c>
      <c r="AI124" s="29">
        <f t="shared" si="91"/>
        <v>0</v>
      </c>
      <c r="AJ124" s="29">
        <f t="shared" si="91"/>
        <v>0</v>
      </c>
      <c r="AK124" s="29">
        <f t="shared" si="91"/>
        <v>0</v>
      </c>
      <c r="AL124" s="29">
        <f t="shared" si="91"/>
        <v>0</v>
      </c>
      <c r="AM124" s="29">
        <f t="shared" si="91"/>
        <v>0</v>
      </c>
      <c r="AN124" s="29">
        <f t="shared" si="91"/>
        <v>0</v>
      </c>
      <c r="AO124" s="29">
        <f t="shared" si="91"/>
        <v>0</v>
      </c>
      <c r="AP124" s="29">
        <f t="shared" si="91"/>
        <v>0</v>
      </c>
      <c r="AQ124" s="29">
        <f t="shared" si="91"/>
        <v>0</v>
      </c>
      <c r="AR124" s="29">
        <f t="shared" si="91"/>
        <v>0</v>
      </c>
      <c r="AS124" s="29">
        <f t="shared" si="91"/>
        <v>0</v>
      </c>
      <c r="AT124" s="29">
        <f t="shared" si="91"/>
        <v>0</v>
      </c>
      <c r="AU124" s="29">
        <f t="shared" si="91"/>
        <v>0</v>
      </c>
      <c r="AV124" s="29">
        <f t="shared" si="91"/>
        <v>0</v>
      </c>
      <c r="AW124" s="29">
        <f t="shared" si="91"/>
        <v>0</v>
      </c>
      <c r="AX124" s="29">
        <f t="shared" si="91"/>
        <v>0</v>
      </c>
      <c r="AY124" s="29">
        <f t="shared" si="91"/>
        <v>0</v>
      </c>
      <c r="AZ124" s="29">
        <f t="shared" si="91"/>
        <v>0</v>
      </c>
      <c r="BA124" s="29">
        <f t="shared" si="91"/>
        <v>0</v>
      </c>
      <c r="BB124" s="29">
        <f t="shared" si="91"/>
        <v>0</v>
      </c>
      <c r="BC124" s="29">
        <f t="shared" si="91"/>
        <v>0</v>
      </c>
      <c r="BD124" s="29">
        <f t="shared" si="91"/>
        <v>0</v>
      </c>
      <c r="BE124" s="29">
        <f t="shared" si="91"/>
        <v>0</v>
      </c>
      <c r="BF124" s="29">
        <f t="shared" si="91"/>
        <v>0</v>
      </c>
      <c r="BG124" s="29">
        <f t="shared" si="91"/>
        <v>0</v>
      </c>
      <c r="BH124" s="29">
        <f t="shared" si="91"/>
        <v>0</v>
      </c>
      <c r="BI124" s="29">
        <f t="shared" si="91"/>
        <v>0</v>
      </c>
      <c r="BJ124" s="29">
        <f t="shared" si="91"/>
        <v>0</v>
      </c>
      <c r="BK124" s="29">
        <f t="shared" si="91"/>
        <v>0</v>
      </c>
      <c r="BL124" s="29">
        <f t="shared" si="91"/>
        <v>0</v>
      </c>
      <c r="BM124" s="29">
        <f t="shared" si="91"/>
        <v>0</v>
      </c>
      <c r="BN124" s="29">
        <f t="shared" si="91"/>
        <v>0</v>
      </c>
      <c r="BO124" s="29">
        <f t="shared" si="91"/>
        <v>0</v>
      </c>
      <c r="BP124" s="29">
        <f t="shared" si="91"/>
        <v>0</v>
      </c>
      <c r="BQ124" s="29">
        <f t="shared" si="91"/>
        <v>0</v>
      </c>
      <c r="BR124" s="29">
        <f t="shared" si="91"/>
        <v>0</v>
      </c>
      <c r="BS124" s="29">
        <f t="shared" si="91"/>
        <v>0</v>
      </c>
      <c r="BT124" s="29">
        <f t="shared" si="91"/>
        <v>0</v>
      </c>
      <c r="BU124" s="29">
        <f t="shared" si="91"/>
        <v>0</v>
      </c>
      <c r="BV124" s="29">
        <f t="shared" si="91"/>
        <v>0</v>
      </c>
      <c r="BW124" s="29">
        <f t="shared" si="91"/>
        <v>0</v>
      </c>
      <c r="BX124" s="29">
        <f t="shared" si="91"/>
        <v>0</v>
      </c>
      <c r="BY124" s="29">
        <f t="shared" si="91"/>
        <v>0</v>
      </c>
      <c r="BZ124" s="29">
        <f t="shared" si="91"/>
        <v>0</v>
      </c>
      <c r="CA124" s="29">
        <f t="shared" si="91"/>
        <v>0</v>
      </c>
      <c r="CB124" s="29">
        <f t="shared" si="91"/>
        <v>0</v>
      </c>
      <c r="CC124" s="29">
        <f t="shared" si="91"/>
        <v>0</v>
      </c>
      <c r="CD124" s="29">
        <f t="shared" si="91"/>
        <v>0</v>
      </c>
      <c r="CE124" s="29">
        <f t="shared" si="91"/>
        <v>0</v>
      </c>
      <c r="CF124" s="29">
        <f t="shared" si="91"/>
        <v>0</v>
      </c>
      <c r="CG124" s="29">
        <f t="shared" si="91"/>
        <v>0</v>
      </c>
      <c r="CH124" s="29">
        <f t="shared" si="91"/>
        <v>0</v>
      </c>
    </row>
    <row r="125" spans="2:86" ht="13" hidden="1" outlineLevel="1">
      <c r="B125" s="84">
        <f t="shared" si="71"/>
        <v>22</v>
      </c>
      <c r="C125" s="64">
        <f t="shared" ca="1" si="69"/>
        <v>0.17127973920415984</v>
      </c>
      <c r="D125" s="15" t="s">
        <v>238</v>
      </c>
      <c r="E125" s="29">
        <f t="shared" ca="1" si="59"/>
        <v>13283147.930866154</v>
      </c>
      <c r="F125" s="29"/>
      <c r="G125" s="29">
        <f t="shared" ref="G125:CH125" ca="1" si="92">IF(G$4&lt;=$B125,ABS(G$31)*-1+G$47,0)+IF($B125=G$4,G$81,0)</f>
        <v>-1444375</v>
      </c>
      <c r="H125" s="29">
        <f t="shared" ca="1" si="92"/>
        <v>-1344375</v>
      </c>
      <c r="I125" s="29">
        <f t="shared" ca="1" si="92"/>
        <v>-1344375</v>
      </c>
      <c r="J125" s="29">
        <f t="shared" ca="1" si="92"/>
        <v>-1344375</v>
      </c>
      <c r="K125" s="29">
        <f t="shared" ca="1" si="92"/>
        <v>-1344375</v>
      </c>
      <c r="L125" s="29">
        <f t="shared" ca="1" si="92"/>
        <v>-1344375</v>
      </c>
      <c r="M125" s="29">
        <f t="shared" ca="1" si="92"/>
        <v>-1344375</v>
      </c>
      <c r="N125" s="29">
        <f t="shared" ca="1" si="92"/>
        <v>-1344375</v>
      </c>
      <c r="O125" s="29">
        <f t="shared" ca="1" si="92"/>
        <v>-1344375</v>
      </c>
      <c r="P125" s="29">
        <f t="shared" ca="1" si="92"/>
        <v>-1344375</v>
      </c>
      <c r="Q125" s="29">
        <f t="shared" ca="1" si="92"/>
        <v>-1344375</v>
      </c>
      <c r="R125" s="29">
        <f t="shared" ca="1" si="92"/>
        <v>-1344375</v>
      </c>
      <c r="S125" s="29">
        <f t="shared" ca="1" si="92"/>
        <v>-534270.83333333279</v>
      </c>
      <c r="T125" s="29">
        <f t="shared" ca="1" si="92"/>
        <v>-534270.83333333279</v>
      </c>
      <c r="U125" s="29">
        <f t="shared" ca="1" si="92"/>
        <v>-534270.83333333279</v>
      </c>
      <c r="V125" s="29">
        <f t="shared" ca="1" si="92"/>
        <v>-534270.83333333279</v>
      </c>
      <c r="W125" s="29">
        <f t="shared" ca="1" si="92"/>
        <v>2385312.5000000009</v>
      </c>
      <c r="X125" s="29">
        <f t="shared" ca="1" si="92"/>
        <v>2385312.5000000009</v>
      </c>
      <c r="Y125" s="29">
        <f t="shared" ca="1" si="92"/>
        <v>2385312.5000000009</v>
      </c>
      <c r="Z125" s="29">
        <f t="shared" ca="1" si="92"/>
        <v>2235979.166666667</v>
      </c>
      <c r="AA125" s="29">
        <f t="shared" ca="1" si="92"/>
        <v>2148333.333333334</v>
      </c>
      <c r="AB125" s="29">
        <f t="shared" ca="1" si="92"/>
        <v>20112481.26419948</v>
      </c>
      <c r="AC125" s="29">
        <f t="shared" si="92"/>
        <v>0</v>
      </c>
      <c r="AD125" s="29">
        <f t="shared" si="92"/>
        <v>0</v>
      </c>
      <c r="AE125" s="29">
        <f t="shared" si="92"/>
        <v>0</v>
      </c>
      <c r="AF125" s="29">
        <f t="shared" si="92"/>
        <v>0</v>
      </c>
      <c r="AG125" s="29">
        <f t="shared" si="92"/>
        <v>0</v>
      </c>
      <c r="AH125" s="29">
        <f t="shared" si="92"/>
        <v>0</v>
      </c>
      <c r="AI125" s="29">
        <f t="shared" si="92"/>
        <v>0</v>
      </c>
      <c r="AJ125" s="29">
        <f t="shared" si="92"/>
        <v>0</v>
      </c>
      <c r="AK125" s="29">
        <f t="shared" si="92"/>
        <v>0</v>
      </c>
      <c r="AL125" s="29">
        <f t="shared" si="92"/>
        <v>0</v>
      </c>
      <c r="AM125" s="29">
        <f t="shared" si="92"/>
        <v>0</v>
      </c>
      <c r="AN125" s="29">
        <f t="shared" si="92"/>
        <v>0</v>
      </c>
      <c r="AO125" s="29">
        <f t="shared" si="92"/>
        <v>0</v>
      </c>
      <c r="AP125" s="29">
        <f t="shared" si="92"/>
        <v>0</v>
      </c>
      <c r="AQ125" s="29">
        <f t="shared" si="92"/>
        <v>0</v>
      </c>
      <c r="AR125" s="29">
        <f t="shared" si="92"/>
        <v>0</v>
      </c>
      <c r="AS125" s="29">
        <f t="shared" si="92"/>
        <v>0</v>
      </c>
      <c r="AT125" s="29">
        <f t="shared" si="92"/>
        <v>0</v>
      </c>
      <c r="AU125" s="29">
        <f t="shared" si="92"/>
        <v>0</v>
      </c>
      <c r="AV125" s="29">
        <f t="shared" si="92"/>
        <v>0</v>
      </c>
      <c r="AW125" s="29">
        <f t="shared" si="92"/>
        <v>0</v>
      </c>
      <c r="AX125" s="29">
        <f t="shared" si="92"/>
        <v>0</v>
      </c>
      <c r="AY125" s="29">
        <f t="shared" si="92"/>
        <v>0</v>
      </c>
      <c r="AZ125" s="29">
        <f t="shared" si="92"/>
        <v>0</v>
      </c>
      <c r="BA125" s="29">
        <f t="shared" si="92"/>
        <v>0</v>
      </c>
      <c r="BB125" s="29">
        <f t="shared" si="92"/>
        <v>0</v>
      </c>
      <c r="BC125" s="29">
        <f t="shared" si="92"/>
        <v>0</v>
      </c>
      <c r="BD125" s="29">
        <f t="shared" si="92"/>
        <v>0</v>
      </c>
      <c r="BE125" s="29">
        <f t="shared" si="92"/>
        <v>0</v>
      </c>
      <c r="BF125" s="29">
        <f t="shared" si="92"/>
        <v>0</v>
      </c>
      <c r="BG125" s="29">
        <f t="shared" si="92"/>
        <v>0</v>
      </c>
      <c r="BH125" s="29">
        <f t="shared" si="92"/>
        <v>0</v>
      </c>
      <c r="BI125" s="29">
        <f t="shared" si="92"/>
        <v>0</v>
      </c>
      <c r="BJ125" s="29">
        <f t="shared" si="92"/>
        <v>0</v>
      </c>
      <c r="BK125" s="29">
        <f t="shared" si="92"/>
        <v>0</v>
      </c>
      <c r="BL125" s="29">
        <f t="shared" si="92"/>
        <v>0</v>
      </c>
      <c r="BM125" s="29">
        <f t="shared" si="92"/>
        <v>0</v>
      </c>
      <c r="BN125" s="29">
        <f t="shared" si="92"/>
        <v>0</v>
      </c>
      <c r="BO125" s="29">
        <f t="shared" si="92"/>
        <v>0</v>
      </c>
      <c r="BP125" s="29">
        <f t="shared" si="92"/>
        <v>0</v>
      </c>
      <c r="BQ125" s="29">
        <f t="shared" si="92"/>
        <v>0</v>
      </c>
      <c r="BR125" s="29">
        <f t="shared" si="92"/>
        <v>0</v>
      </c>
      <c r="BS125" s="29">
        <f t="shared" si="92"/>
        <v>0</v>
      </c>
      <c r="BT125" s="29">
        <f t="shared" si="92"/>
        <v>0</v>
      </c>
      <c r="BU125" s="29">
        <f t="shared" si="92"/>
        <v>0</v>
      </c>
      <c r="BV125" s="29">
        <f t="shared" si="92"/>
        <v>0</v>
      </c>
      <c r="BW125" s="29">
        <f t="shared" si="92"/>
        <v>0</v>
      </c>
      <c r="BX125" s="29">
        <f t="shared" si="92"/>
        <v>0</v>
      </c>
      <c r="BY125" s="29">
        <f t="shared" si="92"/>
        <v>0</v>
      </c>
      <c r="BZ125" s="29">
        <f t="shared" si="92"/>
        <v>0</v>
      </c>
      <c r="CA125" s="29">
        <f t="shared" si="92"/>
        <v>0</v>
      </c>
      <c r="CB125" s="29">
        <f t="shared" si="92"/>
        <v>0</v>
      </c>
      <c r="CC125" s="29">
        <f t="shared" si="92"/>
        <v>0</v>
      </c>
      <c r="CD125" s="29">
        <f t="shared" si="92"/>
        <v>0</v>
      </c>
      <c r="CE125" s="29">
        <f t="shared" si="92"/>
        <v>0</v>
      </c>
      <c r="CF125" s="29">
        <f t="shared" si="92"/>
        <v>0</v>
      </c>
      <c r="CG125" s="29">
        <f t="shared" si="92"/>
        <v>0</v>
      </c>
      <c r="CH125" s="29">
        <f t="shared" si="92"/>
        <v>0</v>
      </c>
    </row>
    <row r="126" spans="2:86" ht="13" hidden="1" outlineLevel="1">
      <c r="B126" s="84">
        <f t="shared" si="71"/>
        <v>23</v>
      </c>
      <c r="C126" s="64">
        <f t="shared" ca="1" si="69"/>
        <v>0.17303791379424061</v>
      </c>
      <c r="D126" s="15" t="s">
        <v>238</v>
      </c>
      <c r="E126" s="29">
        <f t="shared" ca="1" si="59"/>
        <v>14196660.498901412</v>
      </c>
      <c r="F126" s="29"/>
      <c r="G126" s="29">
        <f t="shared" ref="G126:CH126" ca="1" si="93">IF(G$4&lt;=$B126,ABS(G$31)*-1+G$47,0)+IF($B126=G$4,G$81,0)</f>
        <v>-1444375</v>
      </c>
      <c r="H126" s="29">
        <f t="shared" ca="1" si="93"/>
        <v>-1344375</v>
      </c>
      <c r="I126" s="29">
        <f t="shared" ca="1" si="93"/>
        <v>-1344375</v>
      </c>
      <c r="J126" s="29">
        <f t="shared" ca="1" si="93"/>
        <v>-1344375</v>
      </c>
      <c r="K126" s="29">
        <f t="shared" ca="1" si="93"/>
        <v>-1344375</v>
      </c>
      <c r="L126" s="29">
        <f t="shared" ca="1" si="93"/>
        <v>-1344375</v>
      </c>
      <c r="M126" s="29">
        <f t="shared" ca="1" si="93"/>
        <v>-1344375</v>
      </c>
      <c r="N126" s="29">
        <f t="shared" ca="1" si="93"/>
        <v>-1344375</v>
      </c>
      <c r="O126" s="29">
        <f t="shared" ca="1" si="93"/>
        <v>-1344375</v>
      </c>
      <c r="P126" s="29">
        <f t="shared" ca="1" si="93"/>
        <v>-1344375</v>
      </c>
      <c r="Q126" s="29">
        <f t="shared" ca="1" si="93"/>
        <v>-1344375</v>
      </c>
      <c r="R126" s="29">
        <f t="shared" ca="1" si="93"/>
        <v>-1344375</v>
      </c>
      <c r="S126" s="29">
        <f t="shared" ca="1" si="93"/>
        <v>-534270.83333333279</v>
      </c>
      <c r="T126" s="29">
        <f t="shared" ca="1" si="93"/>
        <v>-534270.83333333279</v>
      </c>
      <c r="U126" s="29">
        <f t="shared" ca="1" si="93"/>
        <v>-534270.83333333279</v>
      </c>
      <c r="V126" s="29">
        <f t="shared" ca="1" si="93"/>
        <v>-534270.83333333279</v>
      </c>
      <c r="W126" s="29">
        <f t="shared" ca="1" si="93"/>
        <v>2385312.5000000009</v>
      </c>
      <c r="X126" s="29">
        <f t="shared" ca="1" si="93"/>
        <v>2385312.5000000009</v>
      </c>
      <c r="Y126" s="29">
        <f t="shared" ca="1" si="93"/>
        <v>2385312.5000000009</v>
      </c>
      <c r="Z126" s="29">
        <f t="shared" ca="1" si="93"/>
        <v>2235979.166666667</v>
      </c>
      <c r="AA126" s="29">
        <f t="shared" ca="1" si="93"/>
        <v>2148333.333333334</v>
      </c>
      <c r="AB126" s="29">
        <f t="shared" ca="1" si="93"/>
        <v>2148333.333333334</v>
      </c>
      <c r="AC126" s="29">
        <f t="shared" ca="1" si="93"/>
        <v>18877660.498901404</v>
      </c>
      <c r="AD126" s="29">
        <f t="shared" si="93"/>
        <v>0</v>
      </c>
      <c r="AE126" s="29">
        <f t="shared" si="93"/>
        <v>0</v>
      </c>
      <c r="AF126" s="29">
        <f t="shared" si="93"/>
        <v>0</v>
      </c>
      <c r="AG126" s="29">
        <f t="shared" si="93"/>
        <v>0</v>
      </c>
      <c r="AH126" s="29">
        <f t="shared" si="93"/>
        <v>0</v>
      </c>
      <c r="AI126" s="29">
        <f t="shared" si="93"/>
        <v>0</v>
      </c>
      <c r="AJ126" s="29">
        <f t="shared" si="93"/>
        <v>0</v>
      </c>
      <c r="AK126" s="29">
        <f t="shared" si="93"/>
        <v>0</v>
      </c>
      <c r="AL126" s="29">
        <f t="shared" si="93"/>
        <v>0</v>
      </c>
      <c r="AM126" s="29">
        <f t="shared" si="93"/>
        <v>0</v>
      </c>
      <c r="AN126" s="29">
        <f t="shared" si="93"/>
        <v>0</v>
      </c>
      <c r="AO126" s="29">
        <f t="shared" si="93"/>
        <v>0</v>
      </c>
      <c r="AP126" s="29">
        <f t="shared" si="93"/>
        <v>0</v>
      </c>
      <c r="AQ126" s="29">
        <f t="shared" si="93"/>
        <v>0</v>
      </c>
      <c r="AR126" s="29">
        <f t="shared" si="93"/>
        <v>0</v>
      </c>
      <c r="AS126" s="29">
        <f t="shared" si="93"/>
        <v>0</v>
      </c>
      <c r="AT126" s="29">
        <f t="shared" si="93"/>
        <v>0</v>
      </c>
      <c r="AU126" s="29">
        <f t="shared" si="93"/>
        <v>0</v>
      </c>
      <c r="AV126" s="29">
        <f t="shared" si="93"/>
        <v>0</v>
      </c>
      <c r="AW126" s="29">
        <f t="shared" si="93"/>
        <v>0</v>
      </c>
      <c r="AX126" s="29">
        <f t="shared" si="93"/>
        <v>0</v>
      </c>
      <c r="AY126" s="29">
        <f t="shared" si="93"/>
        <v>0</v>
      </c>
      <c r="AZ126" s="29">
        <f t="shared" si="93"/>
        <v>0</v>
      </c>
      <c r="BA126" s="29">
        <f t="shared" si="93"/>
        <v>0</v>
      </c>
      <c r="BB126" s="29">
        <f t="shared" si="93"/>
        <v>0</v>
      </c>
      <c r="BC126" s="29">
        <f t="shared" si="93"/>
        <v>0</v>
      </c>
      <c r="BD126" s="29">
        <f t="shared" si="93"/>
        <v>0</v>
      </c>
      <c r="BE126" s="29">
        <f t="shared" si="93"/>
        <v>0</v>
      </c>
      <c r="BF126" s="29">
        <f t="shared" si="93"/>
        <v>0</v>
      </c>
      <c r="BG126" s="29">
        <f t="shared" si="93"/>
        <v>0</v>
      </c>
      <c r="BH126" s="29">
        <f t="shared" si="93"/>
        <v>0</v>
      </c>
      <c r="BI126" s="29">
        <f t="shared" si="93"/>
        <v>0</v>
      </c>
      <c r="BJ126" s="29">
        <f t="shared" si="93"/>
        <v>0</v>
      </c>
      <c r="BK126" s="29">
        <f t="shared" si="93"/>
        <v>0</v>
      </c>
      <c r="BL126" s="29">
        <f t="shared" si="93"/>
        <v>0</v>
      </c>
      <c r="BM126" s="29">
        <f t="shared" si="93"/>
        <v>0</v>
      </c>
      <c r="BN126" s="29">
        <f t="shared" si="93"/>
        <v>0</v>
      </c>
      <c r="BO126" s="29">
        <f t="shared" si="93"/>
        <v>0</v>
      </c>
      <c r="BP126" s="29">
        <f t="shared" si="93"/>
        <v>0</v>
      </c>
      <c r="BQ126" s="29">
        <f t="shared" si="93"/>
        <v>0</v>
      </c>
      <c r="BR126" s="29">
        <f t="shared" si="93"/>
        <v>0</v>
      </c>
      <c r="BS126" s="29">
        <f t="shared" si="93"/>
        <v>0</v>
      </c>
      <c r="BT126" s="29">
        <f t="shared" si="93"/>
        <v>0</v>
      </c>
      <c r="BU126" s="29">
        <f t="shared" si="93"/>
        <v>0</v>
      </c>
      <c r="BV126" s="29">
        <f t="shared" si="93"/>
        <v>0</v>
      </c>
      <c r="BW126" s="29">
        <f t="shared" si="93"/>
        <v>0</v>
      </c>
      <c r="BX126" s="29">
        <f t="shared" si="93"/>
        <v>0</v>
      </c>
      <c r="BY126" s="29">
        <f t="shared" si="93"/>
        <v>0</v>
      </c>
      <c r="BZ126" s="29">
        <f t="shared" si="93"/>
        <v>0</v>
      </c>
      <c r="CA126" s="29">
        <f t="shared" si="93"/>
        <v>0</v>
      </c>
      <c r="CB126" s="29">
        <f t="shared" si="93"/>
        <v>0</v>
      </c>
      <c r="CC126" s="29">
        <f t="shared" si="93"/>
        <v>0</v>
      </c>
      <c r="CD126" s="29">
        <f t="shared" si="93"/>
        <v>0</v>
      </c>
      <c r="CE126" s="29">
        <f t="shared" si="93"/>
        <v>0</v>
      </c>
      <c r="CF126" s="29">
        <f t="shared" si="93"/>
        <v>0</v>
      </c>
      <c r="CG126" s="29">
        <f t="shared" si="93"/>
        <v>0</v>
      </c>
      <c r="CH126" s="29">
        <f t="shared" si="93"/>
        <v>0</v>
      </c>
    </row>
    <row r="127" spans="2:86" ht="13" hidden="1" outlineLevel="1">
      <c r="B127" s="84">
        <f t="shared" si="71"/>
        <v>24</v>
      </c>
      <c r="C127" s="64">
        <f t="shared" ca="1" si="69"/>
        <v>0.17390605554869021</v>
      </c>
      <c r="D127" s="15" t="s">
        <v>238</v>
      </c>
      <c r="E127" s="29">
        <f t="shared" ca="1" si="59"/>
        <v>14978547.809944512</v>
      </c>
      <c r="F127" s="29"/>
      <c r="G127" s="29">
        <f t="shared" ref="G127:CH127" ca="1" si="94">IF(G$4&lt;=$B127,ABS(G$31)*-1+G$47,0)+IF($B127=G$4,G$81,0)</f>
        <v>-1444375</v>
      </c>
      <c r="H127" s="29">
        <f t="shared" ca="1" si="94"/>
        <v>-1344375</v>
      </c>
      <c r="I127" s="29">
        <f t="shared" ca="1" si="94"/>
        <v>-1344375</v>
      </c>
      <c r="J127" s="29">
        <f t="shared" ca="1" si="94"/>
        <v>-1344375</v>
      </c>
      <c r="K127" s="29">
        <f t="shared" ca="1" si="94"/>
        <v>-1344375</v>
      </c>
      <c r="L127" s="29">
        <f t="shared" ca="1" si="94"/>
        <v>-1344375</v>
      </c>
      <c r="M127" s="29">
        <f t="shared" ca="1" si="94"/>
        <v>-1344375</v>
      </c>
      <c r="N127" s="29">
        <f t="shared" ca="1" si="94"/>
        <v>-1344375</v>
      </c>
      <c r="O127" s="29">
        <f t="shared" ca="1" si="94"/>
        <v>-1344375</v>
      </c>
      <c r="P127" s="29">
        <f t="shared" ca="1" si="94"/>
        <v>-1344375</v>
      </c>
      <c r="Q127" s="29">
        <f t="shared" ca="1" si="94"/>
        <v>-1344375</v>
      </c>
      <c r="R127" s="29">
        <f t="shared" ca="1" si="94"/>
        <v>-1344375</v>
      </c>
      <c r="S127" s="29">
        <f t="shared" ca="1" si="94"/>
        <v>-534270.83333333279</v>
      </c>
      <c r="T127" s="29">
        <f t="shared" ca="1" si="94"/>
        <v>-534270.83333333279</v>
      </c>
      <c r="U127" s="29">
        <f t="shared" ca="1" si="94"/>
        <v>-534270.83333333279</v>
      </c>
      <c r="V127" s="29">
        <f t="shared" ca="1" si="94"/>
        <v>-534270.83333333279</v>
      </c>
      <c r="W127" s="29">
        <f t="shared" ca="1" si="94"/>
        <v>2385312.5000000009</v>
      </c>
      <c r="X127" s="29">
        <f t="shared" ca="1" si="94"/>
        <v>2385312.5000000009</v>
      </c>
      <c r="Y127" s="29">
        <f t="shared" ca="1" si="94"/>
        <v>2385312.5000000009</v>
      </c>
      <c r="Z127" s="29">
        <f t="shared" ca="1" si="94"/>
        <v>2235979.166666667</v>
      </c>
      <c r="AA127" s="29">
        <f t="shared" ca="1" si="94"/>
        <v>2148333.333333334</v>
      </c>
      <c r="AB127" s="29">
        <f t="shared" ca="1" si="94"/>
        <v>2148333.333333334</v>
      </c>
      <c r="AC127" s="29">
        <f t="shared" ca="1" si="94"/>
        <v>2148333.333333334</v>
      </c>
      <c r="AD127" s="29">
        <f t="shared" ca="1" si="94"/>
        <v>17511214.476611171</v>
      </c>
      <c r="AE127" s="29">
        <f t="shared" si="94"/>
        <v>0</v>
      </c>
      <c r="AF127" s="29">
        <f t="shared" si="94"/>
        <v>0</v>
      </c>
      <c r="AG127" s="29">
        <f t="shared" si="94"/>
        <v>0</v>
      </c>
      <c r="AH127" s="29">
        <f t="shared" si="94"/>
        <v>0</v>
      </c>
      <c r="AI127" s="29">
        <f t="shared" si="94"/>
        <v>0</v>
      </c>
      <c r="AJ127" s="29">
        <f t="shared" si="94"/>
        <v>0</v>
      </c>
      <c r="AK127" s="29">
        <f t="shared" si="94"/>
        <v>0</v>
      </c>
      <c r="AL127" s="29">
        <f t="shared" si="94"/>
        <v>0</v>
      </c>
      <c r="AM127" s="29">
        <f t="shared" si="94"/>
        <v>0</v>
      </c>
      <c r="AN127" s="29">
        <f t="shared" si="94"/>
        <v>0</v>
      </c>
      <c r="AO127" s="29">
        <f t="shared" si="94"/>
        <v>0</v>
      </c>
      <c r="AP127" s="29">
        <f t="shared" si="94"/>
        <v>0</v>
      </c>
      <c r="AQ127" s="29">
        <f t="shared" si="94"/>
        <v>0</v>
      </c>
      <c r="AR127" s="29">
        <f t="shared" si="94"/>
        <v>0</v>
      </c>
      <c r="AS127" s="29">
        <f t="shared" si="94"/>
        <v>0</v>
      </c>
      <c r="AT127" s="29">
        <f t="shared" si="94"/>
        <v>0</v>
      </c>
      <c r="AU127" s="29">
        <f t="shared" si="94"/>
        <v>0</v>
      </c>
      <c r="AV127" s="29">
        <f t="shared" si="94"/>
        <v>0</v>
      </c>
      <c r="AW127" s="29">
        <f t="shared" si="94"/>
        <v>0</v>
      </c>
      <c r="AX127" s="29">
        <f t="shared" si="94"/>
        <v>0</v>
      </c>
      <c r="AY127" s="29">
        <f t="shared" si="94"/>
        <v>0</v>
      </c>
      <c r="AZ127" s="29">
        <f t="shared" si="94"/>
        <v>0</v>
      </c>
      <c r="BA127" s="29">
        <f t="shared" si="94"/>
        <v>0</v>
      </c>
      <c r="BB127" s="29">
        <f t="shared" si="94"/>
        <v>0</v>
      </c>
      <c r="BC127" s="29">
        <f t="shared" si="94"/>
        <v>0</v>
      </c>
      <c r="BD127" s="29">
        <f t="shared" si="94"/>
        <v>0</v>
      </c>
      <c r="BE127" s="29">
        <f t="shared" si="94"/>
        <v>0</v>
      </c>
      <c r="BF127" s="29">
        <f t="shared" si="94"/>
        <v>0</v>
      </c>
      <c r="BG127" s="29">
        <f t="shared" si="94"/>
        <v>0</v>
      </c>
      <c r="BH127" s="29">
        <f t="shared" si="94"/>
        <v>0</v>
      </c>
      <c r="BI127" s="29">
        <f t="shared" si="94"/>
        <v>0</v>
      </c>
      <c r="BJ127" s="29">
        <f t="shared" si="94"/>
        <v>0</v>
      </c>
      <c r="BK127" s="29">
        <f t="shared" si="94"/>
        <v>0</v>
      </c>
      <c r="BL127" s="29">
        <f t="shared" si="94"/>
        <v>0</v>
      </c>
      <c r="BM127" s="29">
        <f t="shared" si="94"/>
        <v>0</v>
      </c>
      <c r="BN127" s="29">
        <f t="shared" si="94"/>
        <v>0</v>
      </c>
      <c r="BO127" s="29">
        <f t="shared" si="94"/>
        <v>0</v>
      </c>
      <c r="BP127" s="29">
        <f t="shared" si="94"/>
        <v>0</v>
      </c>
      <c r="BQ127" s="29">
        <f t="shared" si="94"/>
        <v>0</v>
      </c>
      <c r="BR127" s="29">
        <f t="shared" si="94"/>
        <v>0</v>
      </c>
      <c r="BS127" s="29">
        <f t="shared" si="94"/>
        <v>0</v>
      </c>
      <c r="BT127" s="29">
        <f t="shared" si="94"/>
        <v>0</v>
      </c>
      <c r="BU127" s="29">
        <f t="shared" si="94"/>
        <v>0</v>
      </c>
      <c r="BV127" s="29">
        <f t="shared" si="94"/>
        <v>0</v>
      </c>
      <c r="BW127" s="29">
        <f t="shared" si="94"/>
        <v>0</v>
      </c>
      <c r="BX127" s="29">
        <f t="shared" si="94"/>
        <v>0</v>
      </c>
      <c r="BY127" s="29">
        <f t="shared" si="94"/>
        <v>0</v>
      </c>
      <c r="BZ127" s="29">
        <f t="shared" si="94"/>
        <v>0</v>
      </c>
      <c r="CA127" s="29">
        <f t="shared" si="94"/>
        <v>0</v>
      </c>
      <c r="CB127" s="29">
        <f t="shared" si="94"/>
        <v>0</v>
      </c>
      <c r="CC127" s="29">
        <f t="shared" si="94"/>
        <v>0</v>
      </c>
      <c r="CD127" s="29">
        <f t="shared" si="94"/>
        <v>0</v>
      </c>
      <c r="CE127" s="29">
        <f t="shared" si="94"/>
        <v>0</v>
      </c>
      <c r="CF127" s="29">
        <f t="shared" si="94"/>
        <v>0</v>
      </c>
      <c r="CG127" s="29">
        <f t="shared" si="94"/>
        <v>0</v>
      </c>
      <c r="CH127" s="29">
        <f t="shared" si="94"/>
        <v>0</v>
      </c>
    </row>
    <row r="128" spans="2:86" ht="13" hidden="1" outlineLevel="1">
      <c r="B128" s="84">
        <f t="shared" si="71"/>
        <v>25</v>
      </c>
      <c r="C128" s="64">
        <f t="shared" ca="1" si="69"/>
        <v>0.2358092368005551</v>
      </c>
      <c r="D128" s="15" t="s">
        <v>238</v>
      </c>
      <c r="E128" s="29">
        <f t="shared" ca="1" si="59"/>
        <v>24261190.682436008</v>
      </c>
      <c r="F128" s="29"/>
      <c r="G128" s="29">
        <f t="shared" ref="G128:CH128" ca="1" si="95">IF(G$4&lt;=$B128,ABS(G$31)*-1+G$47,0)+IF($B128=G$4,G$81,0)</f>
        <v>-1444375</v>
      </c>
      <c r="H128" s="29">
        <f t="shared" ca="1" si="95"/>
        <v>-1344375</v>
      </c>
      <c r="I128" s="29">
        <f t="shared" ca="1" si="95"/>
        <v>-1344375</v>
      </c>
      <c r="J128" s="29">
        <f t="shared" ca="1" si="95"/>
        <v>-1344375</v>
      </c>
      <c r="K128" s="29">
        <f t="shared" ca="1" si="95"/>
        <v>-1344375</v>
      </c>
      <c r="L128" s="29">
        <f t="shared" ca="1" si="95"/>
        <v>-1344375</v>
      </c>
      <c r="M128" s="29">
        <f t="shared" ca="1" si="95"/>
        <v>-1344375</v>
      </c>
      <c r="N128" s="29">
        <f t="shared" ca="1" si="95"/>
        <v>-1344375</v>
      </c>
      <c r="O128" s="29">
        <f t="shared" ca="1" si="95"/>
        <v>-1344375</v>
      </c>
      <c r="P128" s="29">
        <f t="shared" ca="1" si="95"/>
        <v>-1344375</v>
      </c>
      <c r="Q128" s="29">
        <f t="shared" ca="1" si="95"/>
        <v>-1344375</v>
      </c>
      <c r="R128" s="29">
        <f t="shared" ca="1" si="95"/>
        <v>-1344375</v>
      </c>
      <c r="S128" s="29">
        <f t="shared" ca="1" si="95"/>
        <v>-534270.83333333279</v>
      </c>
      <c r="T128" s="29">
        <f t="shared" ca="1" si="95"/>
        <v>-534270.83333333279</v>
      </c>
      <c r="U128" s="29">
        <f t="shared" ca="1" si="95"/>
        <v>-534270.83333333279</v>
      </c>
      <c r="V128" s="29">
        <f t="shared" ca="1" si="95"/>
        <v>-534270.83333333279</v>
      </c>
      <c r="W128" s="29">
        <f t="shared" ca="1" si="95"/>
        <v>2385312.5000000009</v>
      </c>
      <c r="X128" s="29">
        <f t="shared" ca="1" si="95"/>
        <v>2385312.5000000009</v>
      </c>
      <c r="Y128" s="29">
        <f t="shared" ca="1" si="95"/>
        <v>2385312.5000000009</v>
      </c>
      <c r="Z128" s="29">
        <f t="shared" ca="1" si="95"/>
        <v>2235979.166666667</v>
      </c>
      <c r="AA128" s="29">
        <f t="shared" ca="1" si="95"/>
        <v>2148333.333333334</v>
      </c>
      <c r="AB128" s="29">
        <f t="shared" ca="1" si="95"/>
        <v>2148333.333333334</v>
      </c>
      <c r="AC128" s="29">
        <f t="shared" ca="1" si="95"/>
        <v>2148333.333333334</v>
      </c>
      <c r="AD128" s="29">
        <f t="shared" ca="1" si="95"/>
        <v>2148333.3333333344</v>
      </c>
      <c r="AE128" s="29">
        <f t="shared" ca="1" si="95"/>
        <v>24645524.015769333</v>
      </c>
      <c r="AF128" s="29">
        <f t="shared" si="95"/>
        <v>0</v>
      </c>
      <c r="AG128" s="29">
        <f t="shared" si="95"/>
        <v>0</v>
      </c>
      <c r="AH128" s="29">
        <f t="shared" si="95"/>
        <v>0</v>
      </c>
      <c r="AI128" s="29">
        <f t="shared" si="95"/>
        <v>0</v>
      </c>
      <c r="AJ128" s="29">
        <f t="shared" si="95"/>
        <v>0</v>
      </c>
      <c r="AK128" s="29">
        <f t="shared" si="95"/>
        <v>0</v>
      </c>
      <c r="AL128" s="29">
        <f t="shared" si="95"/>
        <v>0</v>
      </c>
      <c r="AM128" s="29">
        <f t="shared" si="95"/>
        <v>0</v>
      </c>
      <c r="AN128" s="29">
        <f t="shared" si="95"/>
        <v>0</v>
      </c>
      <c r="AO128" s="29">
        <f t="shared" si="95"/>
        <v>0</v>
      </c>
      <c r="AP128" s="29">
        <f t="shared" si="95"/>
        <v>0</v>
      </c>
      <c r="AQ128" s="29">
        <f t="shared" si="95"/>
        <v>0</v>
      </c>
      <c r="AR128" s="29">
        <f t="shared" si="95"/>
        <v>0</v>
      </c>
      <c r="AS128" s="29">
        <f t="shared" si="95"/>
        <v>0</v>
      </c>
      <c r="AT128" s="29">
        <f t="shared" si="95"/>
        <v>0</v>
      </c>
      <c r="AU128" s="29">
        <f t="shared" si="95"/>
        <v>0</v>
      </c>
      <c r="AV128" s="29">
        <f t="shared" si="95"/>
        <v>0</v>
      </c>
      <c r="AW128" s="29">
        <f t="shared" si="95"/>
        <v>0</v>
      </c>
      <c r="AX128" s="29">
        <f t="shared" si="95"/>
        <v>0</v>
      </c>
      <c r="AY128" s="29">
        <f t="shared" si="95"/>
        <v>0</v>
      </c>
      <c r="AZ128" s="29">
        <f t="shared" si="95"/>
        <v>0</v>
      </c>
      <c r="BA128" s="29">
        <f t="shared" si="95"/>
        <v>0</v>
      </c>
      <c r="BB128" s="29">
        <f t="shared" si="95"/>
        <v>0</v>
      </c>
      <c r="BC128" s="29">
        <f t="shared" si="95"/>
        <v>0</v>
      </c>
      <c r="BD128" s="29">
        <f t="shared" si="95"/>
        <v>0</v>
      </c>
      <c r="BE128" s="29">
        <f t="shared" si="95"/>
        <v>0</v>
      </c>
      <c r="BF128" s="29">
        <f t="shared" si="95"/>
        <v>0</v>
      </c>
      <c r="BG128" s="29">
        <f t="shared" si="95"/>
        <v>0</v>
      </c>
      <c r="BH128" s="29">
        <f t="shared" si="95"/>
        <v>0</v>
      </c>
      <c r="BI128" s="29">
        <f t="shared" si="95"/>
        <v>0</v>
      </c>
      <c r="BJ128" s="29">
        <f t="shared" si="95"/>
        <v>0</v>
      </c>
      <c r="BK128" s="29">
        <f t="shared" si="95"/>
        <v>0</v>
      </c>
      <c r="BL128" s="29">
        <f t="shared" si="95"/>
        <v>0</v>
      </c>
      <c r="BM128" s="29">
        <f t="shared" si="95"/>
        <v>0</v>
      </c>
      <c r="BN128" s="29">
        <f t="shared" si="95"/>
        <v>0</v>
      </c>
      <c r="BO128" s="29">
        <f t="shared" si="95"/>
        <v>0</v>
      </c>
      <c r="BP128" s="29">
        <f t="shared" si="95"/>
        <v>0</v>
      </c>
      <c r="BQ128" s="29">
        <f t="shared" si="95"/>
        <v>0</v>
      </c>
      <c r="BR128" s="29">
        <f t="shared" si="95"/>
        <v>0</v>
      </c>
      <c r="BS128" s="29">
        <f t="shared" si="95"/>
        <v>0</v>
      </c>
      <c r="BT128" s="29">
        <f t="shared" si="95"/>
        <v>0</v>
      </c>
      <c r="BU128" s="29">
        <f t="shared" si="95"/>
        <v>0</v>
      </c>
      <c r="BV128" s="29">
        <f t="shared" si="95"/>
        <v>0</v>
      </c>
      <c r="BW128" s="29">
        <f t="shared" si="95"/>
        <v>0</v>
      </c>
      <c r="BX128" s="29">
        <f t="shared" si="95"/>
        <v>0</v>
      </c>
      <c r="BY128" s="29">
        <f t="shared" si="95"/>
        <v>0</v>
      </c>
      <c r="BZ128" s="29">
        <f t="shared" si="95"/>
        <v>0</v>
      </c>
      <c r="CA128" s="29">
        <f t="shared" si="95"/>
        <v>0</v>
      </c>
      <c r="CB128" s="29">
        <f t="shared" si="95"/>
        <v>0</v>
      </c>
      <c r="CC128" s="29">
        <f t="shared" si="95"/>
        <v>0</v>
      </c>
      <c r="CD128" s="29">
        <f t="shared" si="95"/>
        <v>0</v>
      </c>
      <c r="CE128" s="29">
        <f t="shared" si="95"/>
        <v>0</v>
      </c>
      <c r="CF128" s="29">
        <f t="shared" si="95"/>
        <v>0</v>
      </c>
      <c r="CG128" s="29">
        <f t="shared" si="95"/>
        <v>0</v>
      </c>
      <c r="CH128" s="29">
        <f t="shared" si="95"/>
        <v>0</v>
      </c>
    </row>
    <row r="129" spans="2:86" ht="13" hidden="1" outlineLevel="1">
      <c r="B129" s="84">
        <f t="shared" si="71"/>
        <v>26</v>
      </c>
      <c r="C129" s="64">
        <f t="shared" ca="1" si="69"/>
        <v>0.28225137431924563</v>
      </c>
      <c r="D129" s="15" t="s">
        <v>238</v>
      </c>
      <c r="E129" s="29">
        <f t="shared" ca="1" si="59"/>
        <v>33475977.055981234</v>
      </c>
      <c r="F129" s="29"/>
      <c r="G129" s="29">
        <f t="shared" ref="G129:CH129" ca="1" si="96">IF(G$4&lt;=$B129,ABS(G$31)*-1+G$47,0)+IF($B129=G$4,G$81,0)</f>
        <v>-1444375</v>
      </c>
      <c r="H129" s="29">
        <f t="shared" ca="1" si="96"/>
        <v>-1344375</v>
      </c>
      <c r="I129" s="29">
        <f t="shared" ca="1" si="96"/>
        <v>-1344375</v>
      </c>
      <c r="J129" s="29">
        <f t="shared" ca="1" si="96"/>
        <v>-1344375</v>
      </c>
      <c r="K129" s="29">
        <f t="shared" ca="1" si="96"/>
        <v>-1344375</v>
      </c>
      <c r="L129" s="29">
        <f t="shared" ca="1" si="96"/>
        <v>-1344375</v>
      </c>
      <c r="M129" s="29">
        <f t="shared" ca="1" si="96"/>
        <v>-1344375</v>
      </c>
      <c r="N129" s="29">
        <f t="shared" ca="1" si="96"/>
        <v>-1344375</v>
      </c>
      <c r="O129" s="29">
        <f t="shared" ca="1" si="96"/>
        <v>-1344375</v>
      </c>
      <c r="P129" s="29">
        <f t="shared" ca="1" si="96"/>
        <v>-1344375</v>
      </c>
      <c r="Q129" s="29">
        <f t="shared" ca="1" si="96"/>
        <v>-1344375</v>
      </c>
      <c r="R129" s="29">
        <f t="shared" ca="1" si="96"/>
        <v>-1344375</v>
      </c>
      <c r="S129" s="29">
        <f t="shared" ca="1" si="96"/>
        <v>-534270.83333333279</v>
      </c>
      <c r="T129" s="29">
        <f t="shared" ca="1" si="96"/>
        <v>-534270.83333333279</v>
      </c>
      <c r="U129" s="29">
        <f t="shared" ca="1" si="96"/>
        <v>-534270.83333333279</v>
      </c>
      <c r="V129" s="29">
        <f t="shared" ca="1" si="96"/>
        <v>-534270.83333333279</v>
      </c>
      <c r="W129" s="29">
        <f t="shared" ca="1" si="96"/>
        <v>2385312.5000000009</v>
      </c>
      <c r="X129" s="29">
        <f t="shared" ca="1" si="96"/>
        <v>2385312.5000000009</v>
      </c>
      <c r="Y129" s="29">
        <f t="shared" ca="1" si="96"/>
        <v>2385312.5000000009</v>
      </c>
      <c r="Z129" s="29">
        <f t="shared" ca="1" si="96"/>
        <v>2235979.166666667</v>
      </c>
      <c r="AA129" s="29">
        <f t="shared" ca="1" si="96"/>
        <v>2148333.333333334</v>
      </c>
      <c r="AB129" s="29">
        <f t="shared" ca="1" si="96"/>
        <v>2148333.333333334</v>
      </c>
      <c r="AC129" s="29">
        <f t="shared" ca="1" si="96"/>
        <v>2148333.333333334</v>
      </c>
      <c r="AD129" s="29">
        <f t="shared" ca="1" si="96"/>
        <v>2148333.3333333344</v>
      </c>
      <c r="AE129" s="29">
        <f t="shared" ca="1" si="96"/>
        <v>11248708.333333332</v>
      </c>
      <c r="AF129" s="29">
        <f t="shared" ca="1" si="96"/>
        <v>22611602.055981226</v>
      </c>
      <c r="AG129" s="29">
        <f t="shared" si="96"/>
        <v>0</v>
      </c>
      <c r="AH129" s="29">
        <f t="shared" si="96"/>
        <v>0</v>
      </c>
      <c r="AI129" s="29">
        <f t="shared" si="96"/>
        <v>0</v>
      </c>
      <c r="AJ129" s="29">
        <f t="shared" si="96"/>
        <v>0</v>
      </c>
      <c r="AK129" s="29">
        <f t="shared" si="96"/>
        <v>0</v>
      </c>
      <c r="AL129" s="29">
        <f t="shared" si="96"/>
        <v>0</v>
      </c>
      <c r="AM129" s="29">
        <f t="shared" si="96"/>
        <v>0</v>
      </c>
      <c r="AN129" s="29">
        <f t="shared" si="96"/>
        <v>0</v>
      </c>
      <c r="AO129" s="29">
        <f t="shared" si="96"/>
        <v>0</v>
      </c>
      <c r="AP129" s="29">
        <f t="shared" si="96"/>
        <v>0</v>
      </c>
      <c r="AQ129" s="29">
        <f t="shared" si="96"/>
        <v>0</v>
      </c>
      <c r="AR129" s="29">
        <f t="shared" si="96"/>
        <v>0</v>
      </c>
      <c r="AS129" s="29">
        <f t="shared" si="96"/>
        <v>0</v>
      </c>
      <c r="AT129" s="29">
        <f t="shared" si="96"/>
        <v>0</v>
      </c>
      <c r="AU129" s="29">
        <f t="shared" si="96"/>
        <v>0</v>
      </c>
      <c r="AV129" s="29">
        <f t="shared" si="96"/>
        <v>0</v>
      </c>
      <c r="AW129" s="29">
        <f t="shared" si="96"/>
        <v>0</v>
      </c>
      <c r="AX129" s="29">
        <f t="shared" si="96"/>
        <v>0</v>
      </c>
      <c r="AY129" s="29">
        <f t="shared" si="96"/>
        <v>0</v>
      </c>
      <c r="AZ129" s="29">
        <f t="shared" si="96"/>
        <v>0</v>
      </c>
      <c r="BA129" s="29">
        <f t="shared" si="96"/>
        <v>0</v>
      </c>
      <c r="BB129" s="29">
        <f t="shared" si="96"/>
        <v>0</v>
      </c>
      <c r="BC129" s="29">
        <f t="shared" si="96"/>
        <v>0</v>
      </c>
      <c r="BD129" s="29">
        <f t="shared" si="96"/>
        <v>0</v>
      </c>
      <c r="BE129" s="29">
        <f t="shared" si="96"/>
        <v>0</v>
      </c>
      <c r="BF129" s="29">
        <f t="shared" si="96"/>
        <v>0</v>
      </c>
      <c r="BG129" s="29">
        <f t="shared" si="96"/>
        <v>0</v>
      </c>
      <c r="BH129" s="29">
        <f t="shared" si="96"/>
        <v>0</v>
      </c>
      <c r="BI129" s="29">
        <f t="shared" si="96"/>
        <v>0</v>
      </c>
      <c r="BJ129" s="29">
        <f t="shared" si="96"/>
        <v>0</v>
      </c>
      <c r="BK129" s="29">
        <f t="shared" si="96"/>
        <v>0</v>
      </c>
      <c r="BL129" s="29">
        <f t="shared" si="96"/>
        <v>0</v>
      </c>
      <c r="BM129" s="29">
        <f t="shared" si="96"/>
        <v>0</v>
      </c>
      <c r="BN129" s="29">
        <f t="shared" si="96"/>
        <v>0</v>
      </c>
      <c r="BO129" s="29">
        <f t="shared" si="96"/>
        <v>0</v>
      </c>
      <c r="BP129" s="29">
        <f t="shared" si="96"/>
        <v>0</v>
      </c>
      <c r="BQ129" s="29">
        <f t="shared" si="96"/>
        <v>0</v>
      </c>
      <c r="BR129" s="29">
        <f t="shared" si="96"/>
        <v>0</v>
      </c>
      <c r="BS129" s="29">
        <f t="shared" si="96"/>
        <v>0</v>
      </c>
      <c r="BT129" s="29">
        <f t="shared" si="96"/>
        <v>0</v>
      </c>
      <c r="BU129" s="29">
        <f t="shared" si="96"/>
        <v>0</v>
      </c>
      <c r="BV129" s="29">
        <f t="shared" si="96"/>
        <v>0</v>
      </c>
      <c r="BW129" s="29">
        <f t="shared" si="96"/>
        <v>0</v>
      </c>
      <c r="BX129" s="29">
        <f t="shared" si="96"/>
        <v>0</v>
      </c>
      <c r="BY129" s="29">
        <f t="shared" si="96"/>
        <v>0</v>
      </c>
      <c r="BZ129" s="29">
        <f t="shared" si="96"/>
        <v>0</v>
      </c>
      <c r="CA129" s="29">
        <f t="shared" si="96"/>
        <v>0</v>
      </c>
      <c r="CB129" s="29">
        <f t="shared" si="96"/>
        <v>0</v>
      </c>
      <c r="CC129" s="29">
        <f t="shared" si="96"/>
        <v>0</v>
      </c>
      <c r="CD129" s="29">
        <f t="shared" si="96"/>
        <v>0</v>
      </c>
      <c r="CE129" s="29">
        <f t="shared" si="96"/>
        <v>0</v>
      </c>
      <c r="CF129" s="29">
        <f t="shared" si="96"/>
        <v>0</v>
      </c>
      <c r="CG129" s="29">
        <f t="shared" si="96"/>
        <v>0</v>
      </c>
      <c r="CH129" s="29">
        <f t="shared" si="96"/>
        <v>0</v>
      </c>
    </row>
    <row r="130" spans="2:86" ht="13" hidden="1" outlineLevel="1">
      <c r="B130" s="84">
        <f t="shared" si="71"/>
        <v>27</v>
      </c>
      <c r="C130" s="64">
        <f t="shared" ca="1" si="69"/>
        <v>0.31881928806646509</v>
      </c>
      <c r="D130" s="15" t="s">
        <v>238</v>
      </c>
      <c r="E130" s="29">
        <f t="shared" ca="1" si="59"/>
        <v>42622906.930580199</v>
      </c>
      <c r="F130" s="29"/>
      <c r="G130" s="29">
        <f t="shared" ref="G130:CH130" ca="1" si="97">IF(G$4&lt;=$B130,ABS(G$31)*-1+G$47,0)+IF($B130=G$4,G$81,0)</f>
        <v>-1444375</v>
      </c>
      <c r="H130" s="29">
        <f t="shared" ca="1" si="97"/>
        <v>-1344375</v>
      </c>
      <c r="I130" s="29">
        <f t="shared" ca="1" si="97"/>
        <v>-1344375</v>
      </c>
      <c r="J130" s="29">
        <f t="shared" ca="1" si="97"/>
        <v>-1344375</v>
      </c>
      <c r="K130" s="29">
        <f t="shared" ca="1" si="97"/>
        <v>-1344375</v>
      </c>
      <c r="L130" s="29">
        <f t="shared" ca="1" si="97"/>
        <v>-1344375</v>
      </c>
      <c r="M130" s="29">
        <f t="shared" ca="1" si="97"/>
        <v>-1344375</v>
      </c>
      <c r="N130" s="29">
        <f t="shared" ca="1" si="97"/>
        <v>-1344375</v>
      </c>
      <c r="O130" s="29">
        <f t="shared" ca="1" si="97"/>
        <v>-1344375</v>
      </c>
      <c r="P130" s="29">
        <f t="shared" ca="1" si="97"/>
        <v>-1344375</v>
      </c>
      <c r="Q130" s="29">
        <f t="shared" ca="1" si="97"/>
        <v>-1344375</v>
      </c>
      <c r="R130" s="29">
        <f t="shared" ca="1" si="97"/>
        <v>-1344375</v>
      </c>
      <c r="S130" s="29">
        <f t="shared" ca="1" si="97"/>
        <v>-534270.83333333279</v>
      </c>
      <c r="T130" s="29">
        <f t="shared" ca="1" si="97"/>
        <v>-534270.83333333279</v>
      </c>
      <c r="U130" s="29">
        <f t="shared" ca="1" si="97"/>
        <v>-534270.83333333279</v>
      </c>
      <c r="V130" s="29">
        <f t="shared" ca="1" si="97"/>
        <v>-534270.83333333279</v>
      </c>
      <c r="W130" s="29">
        <f t="shared" ca="1" si="97"/>
        <v>2385312.5000000009</v>
      </c>
      <c r="X130" s="29">
        <f t="shared" ca="1" si="97"/>
        <v>2385312.5000000009</v>
      </c>
      <c r="Y130" s="29">
        <f t="shared" ca="1" si="97"/>
        <v>2385312.5000000009</v>
      </c>
      <c r="Z130" s="29">
        <f t="shared" ca="1" si="97"/>
        <v>2235979.166666667</v>
      </c>
      <c r="AA130" s="29">
        <f t="shared" ca="1" si="97"/>
        <v>2148333.333333334</v>
      </c>
      <c r="AB130" s="29">
        <f t="shared" ca="1" si="97"/>
        <v>2148333.333333334</v>
      </c>
      <c r="AC130" s="29">
        <f t="shared" ca="1" si="97"/>
        <v>2148333.333333334</v>
      </c>
      <c r="AD130" s="29">
        <f t="shared" ca="1" si="97"/>
        <v>2148333.3333333344</v>
      </c>
      <c r="AE130" s="29">
        <f t="shared" ca="1" si="97"/>
        <v>11248708.333333332</v>
      </c>
      <c r="AF130" s="29">
        <f t="shared" ca="1" si="97"/>
        <v>11248708.333333332</v>
      </c>
      <c r="AG130" s="29">
        <f t="shared" ca="1" si="97"/>
        <v>20509823.597246855</v>
      </c>
      <c r="AH130" s="29">
        <f t="shared" si="97"/>
        <v>0</v>
      </c>
      <c r="AI130" s="29">
        <f t="shared" si="97"/>
        <v>0</v>
      </c>
      <c r="AJ130" s="29">
        <f t="shared" si="97"/>
        <v>0</v>
      </c>
      <c r="AK130" s="29">
        <f t="shared" si="97"/>
        <v>0</v>
      </c>
      <c r="AL130" s="29">
        <f t="shared" si="97"/>
        <v>0</v>
      </c>
      <c r="AM130" s="29">
        <f t="shared" si="97"/>
        <v>0</v>
      </c>
      <c r="AN130" s="29">
        <f t="shared" si="97"/>
        <v>0</v>
      </c>
      <c r="AO130" s="29">
        <f t="shared" si="97"/>
        <v>0</v>
      </c>
      <c r="AP130" s="29">
        <f t="shared" si="97"/>
        <v>0</v>
      </c>
      <c r="AQ130" s="29">
        <f t="shared" si="97"/>
        <v>0</v>
      </c>
      <c r="AR130" s="29">
        <f t="shared" si="97"/>
        <v>0</v>
      </c>
      <c r="AS130" s="29">
        <f t="shared" si="97"/>
        <v>0</v>
      </c>
      <c r="AT130" s="29">
        <f t="shared" si="97"/>
        <v>0</v>
      </c>
      <c r="AU130" s="29">
        <f t="shared" si="97"/>
        <v>0</v>
      </c>
      <c r="AV130" s="29">
        <f t="shared" si="97"/>
        <v>0</v>
      </c>
      <c r="AW130" s="29">
        <f t="shared" si="97"/>
        <v>0</v>
      </c>
      <c r="AX130" s="29">
        <f t="shared" si="97"/>
        <v>0</v>
      </c>
      <c r="AY130" s="29">
        <f t="shared" si="97"/>
        <v>0</v>
      </c>
      <c r="AZ130" s="29">
        <f t="shared" si="97"/>
        <v>0</v>
      </c>
      <c r="BA130" s="29">
        <f t="shared" si="97"/>
        <v>0</v>
      </c>
      <c r="BB130" s="29">
        <f t="shared" si="97"/>
        <v>0</v>
      </c>
      <c r="BC130" s="29">
        <f t="shared" si="97"/>
        <v>0</v>
      </c>
      <c r="BD130" s="29">
        <f t="shared" si="97"/>
        <v>0</v>
      </c>
      <c r="BE130" s="29">
        <f t="shared" si="97"/>
        <v>0</v>
      </c>
      <c r="BF130" s="29">
        <f t="shared" si="97"/>
        <v>0</v>
      </c>
      <c r="BG130" s="29">
        <f t="shared" si="97"/>
        <v>0</v>
      </c>
      <c r="BH130" s="29">
        <f t="shared" si="97"/>
        <v>0</v>
      </c>
      <c r="BI130" s="29">
        <f t="shared" si="97"/>
        <v>0</v>
      </c>
      <c r="BJ130" s="29">
        <f t="shared" si="97"/>
        <v>0</v>
      </c>
      <c r="BK130" s="29">
        <f t="shared" si="97"/>
        <v>0</v>
      </c>
      <c r="BL130" s="29">
        <f t="shared" si="97"/>
        <v>0</v>
      </c>
      <c r="BM130" s="29">
        <f t="shared" si="97"/>
        <v>0</v>
      </c>
      <c r="BN130" s="29">
        <f t="shared" si="97"/>
        <v>0</v>
      </c>
      <c r="BO130" s="29">
        <f t="shared" si="97"/>
        <v>0</v>
      </c>
      <c r="BP130" s="29">
        <f t="shared" si="97"/>
        <v>0</v>
      </c>
      <c r="BQ130" s="29">
        <f t="shared" si="97"/>
        <v>0</v>
      </c>
      <c r="BR130" s="29">
        <f t="shared" si="97"/>
        <v>0</v>
      </c>
      <c r="BS130" s="29">
        <f t="shared" si="97"/>
        <v>0</v>
      </c>
      <c r="BT130" s="29">
        <f t="shared" si="97"/>
        <v>0</v>
      </c>
      <c r="BU130" s="29">
        <f t="shared" si="97"/>
        <v>0</v>
      </c>
      <c r="BV130" s="29">
        <f t="shared" si="97"/>
        <v>0</v>
      </c>
      <c r="BW130" s="29">
        <f t="shared" si="97"/>
        <v>0</v>
      </c>
      <c r="BX130" s="29">
        <f t="shared" si="97"/>
        <v>0</v>
      </c>
      <c r="BY130" s="29">
        <f t="shared" si="97"/>
        <v>0</v>
      </c>
      <c r="BZ130" s="29">
        <f t="shared" si="97"/>
        <v>0</v>
      </c>
      <c r="CA130" s="29">
        <f t="shared" si="97"/>
        <v>0</v>
      </c>
      <c r="CB130" s="29">
        <f t="shared" si="97"/>
        <v>0</v>
      </c>
      <c r="CC130" s="29">
        <f t="shared" si="97"/>
        <v>0</v>
      </c>
      <c r="CD130" s="29">
        <f t="shared" si="97"/>
        <v>0</v>
      </c>
      <c r="CE130" s="29">
        <f t="shared" si="97"/>
        <v>0</v>
      </c>
      <c r="CF130" s="29">
        <f t="shared" si="97"/>
        <v>0</v>
      </c>
      <c r="CG130" s="29">
        <f t="shared" si="97"/>
        <v>0</v>
      </c>
      <c r="CH130" s="29">
        <f t="shared" si="97"/>
        <v>0</v>
      </c>
    </row>
    <row r="131" spans="2:86" ht="13" hidden="1" outlineLevel="1">
      <c r="B131" s="84">
        <f t="shared" si="71"/>
        <v>28</v>
      </c>
      <c r="C131" s="64">
        <f t="shared" ca="1" si="69"/>
        <v>0.34850141495710929</v>
      </c>
      <c r="D131" s="15" t="s">
        <v>238</v>
      </c>
      <c r="E131" s="29">
        <f t="shared" ca="1" si="59"/>
        <v>51701980.306232892</v>
      </c>
      <c r="F131" s="29"/>
      <c r="G131" s="29">
        <f t="shared" ref="G131:CH131" ca="1" si="98">IF(G$4&lt;=$B131,ABS(G$31)*-1+G$47,0)+IF($B131=G$4,G$81,0)</f>
        <v>-1444375</v>
      </c>
      <c r="H131" s="29">
        <f t="shared" ca="1" si="98"/>
        <v>-1344375</v>
      </c>
      <c r="I131" s="29">
        <f t="shared" ca="1" si="98"/>
        <v>-1344375</v>
      </c>
      <c r="J131" s="29">
        <f t="shared" ca="1" si="98"/>
        <v>-1344375</v>
      </c>
      <c r="K131" s="29">
        <f t="shared" ca="1" si="98"/>
        <v>-1344375</v>
      </c>
      <c r="L131" s="29">
        <f t="shared" ca="1" si="98"/>
        <v>-1344375</v>
      </c>
      <c r="M131" s="29">
        <f t="shared" ca="1" si="98"/>
        <v>-1344375</v>
      </c>
      <c r="N131" s="29">
        <f t="shared" ca="1" si="98"/>
        <v>-1344375</v>
      </c>
      <c r="O131" s="29">
        <f t="shared" ca="1" si="98"/>
        <v>-1344375</v>
      </c>
      <c r="P131" s="29">
        <f t="shared" ca="1" si="98"/>
        <v>-1344375</v>
      </c>
      <c r="Q131" s="29">
        <f t="shared" ca="1" si="98"/>
        <v>-1344375</v>
      </c>
      <c r="R131" s="29">
        <f t="shared" ca="1" si="98"/>
        <v>-1344375</v>
      </c>
      <c r="S131" s="29">
        <f t="shared" ca="1" si="98"/>
        <v>-534270.83333333279</v>
      </c>
      <c r="T131" s="29">
        <f t="shared" ca="1" si="98"/>
        <v>-534270.83333333279</v>
      </c>
      <c r="U131" s="29">
        <f t="shared" ca="1" si="98"/>
        <v>-534270.83333333279</v>
      </c>
      <c r="V131" s="29">
        <f t="shared" ca="1" si="98"/>
        <v>-534270.83333333279</v>
      </c>
      <c r="W131" s="29">
        <f t="shared" ca="1" si="98"/>
        <v>2385312.5000000009</v>
      </c>
      <c r="X131" s="29">
        <f t="shared" ca="1" si="98"/>
        <v>2385312.5000000009</v>
      </c>
      <c r="Y131" s="29">
        <f t="shared" ca="1" si="98"/>
        <v>2385312.5000000009</v>
      </c>
      <c r="Z131" s="29">
        <f t="shared" ca="1" si="98"/>
        <v>2235979.166666667</v>
      </c>
      <c r="AA131" s="29">
        <f t="shared" ca="1" si="98"/>
        <v>2148333.333333334</v>
      </c>
      <c r="AB131" s="29">
        <f t="shared" ca="1" si="98"/>
        <v>2148333.333333334</v>
      </c>
      <c r="AC131" s="29">
        <f t="shared" ca="1" si="98"/>
        <v>2148333.333333334</v>
      </c>
      <c r="AD131" s="29">
        <f t="shared" ca="1" si="98"/>
        <v>2148333.3333333344</v>
      </c>
      <c r="AE131" s="29">
        <f t="shared" ca="1" si="98"/>
        <v>11248708.333333332</v>
      </c>
      <c r="AF131" s="29">
        <f t="shared" ca="1" si="98"/>
        <v>11248708.333333332</v>
      </c>
      <c r="AG131" s="29">
        <f t="shared" ca="1" si="98"/>
        <v>11248708.333333332</v>
      </c>
      <c r="AH131" s="29">
        <f t="shared" ca="1" si="98"/>
        <v>18340188.63956622</v>
      </c>
      <c r="AI131" s="29">
        <f t="shared" si="98"/>
        <v>0</v>
      </c>
      <c r="AJ131" s="29">
        <f t="shared" si="98"/>
        <v>0</v>
      </c>
      <c r="AK131" s="29">
        <f t="shared" si="98"/>
        <v>0</v>
      </c>
      <c r="AL131" s="29">
        <f t="shared" si="98"/>
        <v>0</v>
      </c>
      <c r="AM131" s="29">
        <f t="shared" si="98"/>
        <v>0</v>
      </c>
      <c r="AN131" s="29">
        <f t="shared" si="98"/>
        <v>0</v>
      </c>
      <c r="AO131" s="29">
        <f t="shared" si="98"/>
        <v>0</v>
      </c>
      <c r="AP131" s="29">
        <f t="shared" si="98"/>
        <v>0</v>
      </c>
      <c r="AQ131" s="29">
        <f t="shared" si="98"/>
        <v>0</v>
      </c>
      <c r="AR131" s="29">
        <f t="shared" si="98"/>
        <v>0</v>
      </c>
      <c r="AS131" s="29">
        <f t="shared" si="98"/>
        <v>0</v>
      </c>
      <c r="AT131" s="29">
        <f t="shared" si="98"/>
        <v>0</v>
      </c>
      <c r="AU131" s="29">
        <f t="shared" si="98"/>
        <v>0</v>
      </c>
      <c r="AV131" s="29">
        <f t="shared" si="98"/>
        <v>0</v>
      </c>
      <c r="AW131" s="29">
        <f t="shared" si="98"/>
        <v>0</v>
      </c>
      <c r="AX131" s="29">
        <f t="shared" si="98"/>
        <v>0</v>
      </c>
      <c r="AY131" s="29">
        <f t="shared" si="98"/>
        <v>0</v>
      </c>
      <c r="AZ131" s="29">
        <f t="shared" si="98"/>
        <v>0</v>
      </c>
      <c r="BA131" s="29">
        <f t="shared" si="98"/>
        <v>0</v>
      </c>
      <c r="BB131" s="29">
        <f t="shared" si="98"/>
        <v>0</v>
      </c>
      <c r="BC131" s="29">
        <f t="shared" si="98"/>
        <v>0</v>
      </c>
      <c r="BD131" s="29">
        <f t="shared" si="98"/>
        <v>0</v>
      </c>
      <c r="BE131" s="29">
        <f t="shared" si="98"/>
        <v>0</v>
      </c>
      <c r="BF131" s="29">
        <f t="shared" si="98"/>
        <v>0</v>
      </c>
      <c r="BG131" s="29">
        <f t="shared" si="98"/>
        <v>0</v>
      </c>
      <c r="BH131" s="29">
        <f t="shared" si="98"/>
        <v>0</v>
      </c>
      <c r="BI131" s="29">
        <f t="shared" si="98"/>
        <v>0</v>
      </c>
      <c r="BJ131" s="29">
        <f t="shared" si="98"/>
        <v>0</v>
      </c>
      <c r="BK131" s="29">
        <f t="shared" si="98"/>
        <v>0</v>
      </c>
      <c r="BL131" s="29">
        <f t="shared" si="98"/>
        <v>0</v>
      </c>
      <c r="BM131" s="29">
        <f t="shared" si="98"/>
        <v>0</v>
      </c>
      <c r="BN131" s="29">
        <f t="shared" si="98"/>
        <v>0</v>
      </c>
      <c r="BO131" s="29">
        <f t="shared" si="98"/>
        <v>0</v>
      </c>
      <c r="BP131" s="29">
        <f t="shared" si="98"/>
        <v>0</v>
      </c>
      <c r="BQ131" s="29">
        <f t="shared" si="98"/>
        <v>0</v>
      </c>
      <c r="BR131" s="29">
        <f t="shared" si="98"/>
        <v>0</v>
      </c>
      <c r="BS131" s="29">
        <f t="shared" si="98"/>
        <v>0</v>
      </c>
      <c r="BT131" s="29">
        <f t="shared" si="98"/>
        <v>0</v>
      </c>
      <c r="BU131" s="29">
        <f t="shared" si="98"/>
        <v>0</v>
      </c>
      <c r="BV131" s="29">
        <f t="shared" si="98"/>
        <v>0</v>
      </c>
      <c r="BW131" s="29">
        <f t="shared" si="98"/>
        <v>0</v>
      </c>
      <c r="BX131" s="29">
        <f t="shared" si="98"/>
        <v>0</v>
      </c>
      <c r="BY131" s="29">
        <f t="shared" si="98"/>
        <v>0</v>
      </c>
      <c r="BZ131" s="29">
        <f t="shared" si="98"/>
        <v>0</v>
      </c>
      <c r="CA131" s="29">
        <f t="shared" si="98"/>
        <v>0</v>
      </c>
      <c r="CB131" s="29">
        <f t="shared" si="98"/>
        <v>0</v>
      </c>
      <c r="CC131" s="29">
        <f t="shared" si="98"/>
        <v>0</v>
      </c>
      <c r="CD131" s="29">
        <f t="shared" si="98"/>
        <v>0</v>
      </c>
      <c r="CE131" s="29">
        <f t="shared" si="98"/>
        <v>0</v>
      </c>
      <c r="CF131" s="29">
        <f t="shared" si="98"/>
        <v>0</v>
      </c>
      <c r="CG131" s="29">
        <f t="shared" si="98"/>
        <v>0</v>
      </c>
      <c r="CH131" s="29">
        <f t="shared" si="98"/>
        <v>0</v>
      </c>
    </row>
    <row r="132" spans="2:86" ht="13" hidden="1" outlineLevel="1">
      <c r="B132" s="84">
        <f t="shared" si="71"/>
        <v>29</v>
      </c>
      <c r="C132" s="64">
        <f t="shared" ca="1" si="69"/>
        <v>0.37382333910247056</v>
      </c>
      <c r="D132" s="15" t="s">
        <v>238</v>
      </c>
      <c r="E132" s="29">
        <f t="shared" ca="1" si="59"/>
        <v>60973102.449436225</v>
      </c>
      <c r="F132" s="29"/>
      <c r="G132" s="29">
        <f t="shared" ref="G132:CH132" ca="1" si="99">IF(G$4&lt;=$B132,ABS(G$31)*-1+G$47,0)+IF($B132=G$4,G$81,0)</f>
        <v>-1444375</v>
      </c>
      <c r="H132" s="29">
        <f t="shared" ca="1" si="99"/>
        <v>-1344375</v>
      </c>
      <c r="I132" s="29">
        <f t="shared" ca="1" si="99"/>
        <v>-1344375</v>
      </c>
      <c r="J132" s="29">
        <f t="shared" ca="1" si="99"/>
        <v>-1344375</v>
      </c>
      <c r="K132" s="29">
        <f t="shared" ca="1" si="99"/>
        <v>-1344375</v>
      </c>
      <c r="L132" s="29">
        <f t="shared" ca="1" si="99"/>
        <v>-1344375</v>
      </c>
      <c r="M132" s="29">
        <f t="shared" ca="1" si="99"/>
        <v>-1344375</v>
      </c>
      <c r="N132" s="29">
        <f t="shared" ca="1" si="99"/>
        <v>-1344375</v>
      </c>
      <c r="O132" s="29">
        <f t="shared" ca="1" si="99"/>
        <v>-1344375</v>
      </c>
      <c r="P132" s="29">
        <f t="shared" ca="1" si="99"/>
        <v>-1344375</v>
      </c>
      <c r="Q132" s="29">
        <f t="shared" ca="1" si="99"/>
        <v>-1344375</v>
      </c>
      <c r="R132" s="29">
        <f t="shared" ca="1" si="99"/>
        <v>-1344375</v>
      </c>
      <c r="S132" s="29">
        <f t="shared" ca="1" si="99"/>
        <v>-534270.83333333279</v>
      </c>
      <c r="T132" s="29">
        <f t="shared" ca="1" si="99"/>
        <v>-534270.83333333279</v>
      </c>
      <c r="U132" s="29">
        <f t="shared" ca="1" si="99"/>
        <v>-534270.83333333279</v>
      </c>
      <c r="V132" s="29">
        <f t="shared" ca="1" si="99"/>
        <v>-534270.83333333279</v>
      </c>
      <c r="W132" s="29">
        <f t="shared" ca="1" si="99"/>
        <v>2385312.5000000009</v>
      </c>
      <c r="X132" s="29">
        <f t="shared" ca="1" si="99"/>
        <v>2385312.5000000009</v>
      </c>
      <c r="Y132" s="29">
        <f t="shared" ca="1" si="99"/>
        <v>2385312.5000000009</v>
      </c>
      <c r="Z132" s="29">
        <f t="shared" ca="1" si="99"/>
        <v>2235979.166666667</v>
      </c>
      <c r="AA132" s="29">
        <f t="shared" ca="1" si="99"/>
        <v>2148333.333333334</v>
      </c>
      <c r="AB132" s="29">
        <f t="shared" ca="1" si="99"/>
        <v>2148333.333333334</v>
      </c>
      <c r="AC132" s="29">
        <f t="shared" ca="1" si="99"/>
        <v>2148333.333333334</v>
      </c>
      <c r="AD132" s="29">
        <f t="shared" ca="1" si="99"/>
        <v>2148333.3333333344</v>
      </c>
      <c r="AE132" s="29">
        <f t="shared" ca="1" si="99"/>
        <v>11248708.333333332</v>
      </c>
      <c r="AF132" s="29">
        <f t="shared" ca="1" si="99"/>
        <v>11248708.333333332</v>
      </c>
      <c r="AG132" s="29">
        <f t="shared" ca="1" si="99"/>
        <v>11248708.333333332</v>
      </c>
      <c r="AH132" s="29">
        <f t="shared" ca="1" si="99"/>
        <v>11248708.333333332</v>
      </c>
      <c r="AI132" s="29">
        <f t="shared" ca="1" si="99"/>
        <v>16362602.449436225</v>
      </c>
      <c r="AJ132" s="29">
        <f t="shared" si="99"/>
        <v>0</v>
      </c>
      <c r="AK132" s="29">
        <f t="shared" si="99"/>
        <v>0</v>
      </c>
      <c r="AL132" s="29">
        <f t="shared" si="99"/>
        <v>0</v>
      </c>
      <c r="AM132" s="29">
        <f t="shared" si="99"/>
        <v>0</v>
      </c>
      <c r="AN132" s="29">
        <f t="shared" si="99"/>
        <v>0</v>
      </c>
      <c r="AO132" s="29">
        <f t="shared" si="99"/>
        <v>0</v>
      </c>
      <c r="AP132" s="29">
        <f t="shared" si="99"/>
        <v>0</v>
      </c>
      <c r="AQ132" s="29">
        <f t="shared" si="99"/>
        <v>0</v>
      </c>
      <c r="AR132" s="29">
        <f t="shared" si="99"/>
        <v>0</v>
      </c>
      <c r="AS132" s="29">
        <f t="shared" si="99"/>
        <v>0</v>
      </c>
      <c r="AT132" s="29">
        <f t="shared" si="99"/>
        <v>0</v>
      </c>
      <c r="AU132" s="29">
        <f t="shared" si="99"/>
        <v>0</v>
      </c>
      <c r="AV132" s="29">
        <f t="shared" si="99"/>
        <v>0</v>
      </c>
      <c r="AW132" s="29">
        <f t="shared" si="99"/>
        <v>0</v>
      </c>
      <c r="AX132" s="29">
        <f t="shared" si="99"/>
        <v>0</v>
      </c>
      <c r="AY132" s="29">
        <f t="shared" si="99"/>
        <v>0</v>
      </c>
      <c r="AZ132" s="29">
        <f t="shared" si="99"/>
        <v>0</v>
      </c>
      <c r="BA132" s="29">
        <f t="shared" si="99"/>
        <v>0</v>
      </c>
      <c r="BB132" s="29">
        <f t="shared" si="99"/>
        <v>0</v>
      </c>
      <c r="BC132" s="29">
        <f t="shared" si="99"/>
        <v>0</v>
      </c>
      <c r="BD132" s="29">
        <f t="shared" si="99"/>
        <v>0</v>
      </c>
      <c r="BE132" s="29">
        <f t="shared" si="99"/>
        <v>0</v>
      </c>
      <c r="BF132" s="29">
        <f t="shared" si="99"/>
        <v>0</v>
      </c>
      <c r="BG132" s="29">
        <f t="shared" si="99"/>
        <v>0</v>
      </c>
      <c r="BH132" s="29">
        <f t="shared" si="99"/>
        <v>0</v>
      </c>
      <c r="BI132" s="29">
        <f t="shared" si="99"/>
        <v>0</v>
      </c>
      <c r="BJ132" s="29">
        <f t="shared" si="99"/>
        <v>0</v>
      </c>
      <c r="BK132" s="29">
        <f t="shared" si="99"/>
        <v>0</v>
      </c>
      <c r="BL132" s="29">
        <f t="shared" si="99"/>
        <v>0</v>
      </c>
      <c r="BM132" s="29">
        <f t="shared" si="99"/>
        <v>0</v>
      </c>
      <c r="BN132" s="29">
        <f t="shared" si="99"/>
        <v>0</v>
      </c>
      <c r="BO132" s="29">
        <f t="shared" si="99"/>
        <v>0</v>
      </c>
      <c r="BP132" s="29">
        <f t="shared" si="99"/>
        <v>0</v>
      </c>
      <c r="BQ132" s="29">
        <f t="shared" si="99"/>
        <v>0</v>
      </c>
      <c r="BR132" s="29">
        <f t="shared" si="99"/>
        <v>0</v>
      </c>
      <c r="BS132" s="29">
        <f t="shared" si="99"/>
        <v>0</v>
      </c>
      <c r="BT132" s="29">
        <f t="shared" si="99"/>
        <v>0</v>
      </c>
      <c r="BU132" s="29">
        <f t="shared" si="99"/>
        <v>0</v>
      </c>
      <c r="BV132" s="29">
        <f t="shared" si="99"/>
        <v>0</v>
      </c>
      <c r="BW132" s="29">
        <f t="shared" si="99"/>
        <v>0</v>
      </c>
      <c r="BX132" s="29">
        <f t="shared" si="99"/>
        <v>0</v>
      </c>
      <c r="BY132" s="29">
        <f t="shared" si="99"/>
        <v>0</v>
      </c>
      <c r="BZ132" s="29">
        <f t="shared" si="99"/>
        <v>0</v>
      </c>
      <c r="CA132" s="29">
        <f t="shared" si="99"/>
        <v>0</v>
      </c>
      <c r="CB132" s="29">
        <f t="shared" si="99"/>
        <v>0</v>
      </c>
      <c r="CC132" s="29">
        <f t="shared" si="99"/>
        <v>0</v>
      </c>
      <c r="CD132" s="29">
        <f t="shared" si="99"/>
        <v>0</v>
      </c>
      <c r="CE132" s="29">
        <f t="shared" si="99"/>
        <v>0</v>
      </c>
      <c r="CF132" s="29">
        <f t="shared" si="99"/>
        <v>0</v>
      </c>
      <c r="CG132" s="29">
        <f t="shared" si="99"/>
        <v>0</v>
      </c>
      <c r="CH132" s="29">
        <f t="shared" si="99"/>
        <v>0</v>
      </c>
    </row>
    <row r="133" spans="2:86" ht="13" hidden="1" outlineLevel="1">
      <c r="B133" s="84">
        <f t="shared" si="71"/>
        <v>30</v>
      </c>
      <c r="C133" s="64">
        <f t="shared" ca="1" si="69"/>
        <v>0.39492674900688995</v>
      </c>
      <c r="D133" s="15" t="s">
        <v>238</v>
      </c>
      <c r="E133" s="29">
        <f t="shared" ca="1" si="59"/>
        <v>70203347.183635786</v>
      </c>
      <c r="F133" s="29"/>
      <c r="G133" s="29">
        <f t="shared" ref="G133:CH133" ca="1" si="100">IF(G$4&lt;=$B133,ABS(G$31)*-1+G$47,0)+IF($B133=G$4,G$81,0)</f>
        <v>-1444375</v>
      </c>
      <c r="H133" s="29">
        <f t="shared" ca="1" si="100"/>
        <v>-1344375</v>
      </c>
      <c r="I133" s="29">
        <f t="shared" ca="1" si="100"/>
        <v>-1344375</v>
      </c>
      <c r="J133" s="29">
        <f t="shared" ca="1" si="100"/>
        <v>-1344375</v>
      </c>
      <c r="K133" s="29">
        <f t="shared" ca="1" si="100"/>
        <v>-1344375</v>
      </c>
      <c r="L133" s="29">
        <f t="shared" ca="1" si="100"/>
        <v>-1344375</v>
      </c>
      <c r="M133" s="29">
        <f t="shared" ca="1" si="100"/>
        <v>-1344375</v>
      </c>
      <c r="N133" s="29">
        <f t="shared" ca="1" si="100"/>
        <v>-1344375</v>
      </c>
      <c r="O133" s="29">
        <f t="shared" ca="1" si="100"/>
        <v>-1344375</v>
      </c>
      <c r="P133" s="29">
        <f t="shared" ca="1" si="100"/>
        <v>-1344375</v>
      </c>
      <c r="Q133" s="29">
        <f t="shared" ca="1" si="100"/>
        <v>-1344375</v>
      </c>
      <c r="R133" s="29">
        <f t="shared" ca="1" si="100"/>
        <v>-1344375</v>
      </c>
      <c r="S133" s="29">
        <f t="shared" ca="1" si="100"/>
        <v>-534270.83333333279</v>
      </c>
      <c r="T133" s="29">
        <f t="shared" ca="1" si="100"/>
        <v>-534270.83333333279</v>
      </c>
      <c r="U133" s="29">
        <f t="shared" ca="1" si="100"/>
        <v>-534270.83333333279</v>
      </c>
      <c r="V133" s="29">
        <f t="shared" ca="1" si="100"/>
        <v>-534270.83333333279</v>
      </c>
      <c r="W133" s="29">
        <f t="shared" ca="1" si="100"/>
        <v>2385312.5000000009</v>
      </c>
      <c r="X133" s="29">
        <f t="shared" ca="1" si="100"/>
        <v>2385312.5000000009</v>
      </c>
      <c r="Y133" s="29">
        <f t="shared" ca="1" si="100"/>
        <v>2385312.5000000009</v>
      </c>
      <c r="Z133" s="29">
        <f t="shared" ca="1" si="100"/>
        <v>2235979.166666667</v>
      </c>
      <c r="AA133" s="29">
        <f t="shared" ca="1" si="100"/>
        <v>2148333.333333334</v>
      </c>
      <c r="AB133" s="29">
        <f t="shared" ca="1" si="100"/>
        <v>2148333.333333334</v>
      </c>
      <c r="AC133" s="29">
        <f t="shared" ca="1" si="100"/>
        <v>2148333.333333334</v>
      </c>
      <c r="AD133" s="29">
        <f t="shared" ca="1" si="100"/>
        <v>2148333.3333333344</v>
      </c>
      <c r="AE133" s="29">
        <f t="shared" ca="1" si="100"/>
        <v>11248708.333333332</v>
      </c>
      <c r="AF133" s="29">
        <f t="shared" ca="1" si="100"/>
        <v>11248708.333333332</v>
      </c>
      <c r="AG133" s="29">
        <f t="shared" ca="1" si="100"/>
        <v>11248708.333333332</v>
      </c>
      <c r="AH133" s="29">
        <f t="shared" ca="1" si="100"/>
        <v>11248708.333333332</v>
      </c>
      <c r="AI133" s="29">
        <f t="shared" ca="1" si="100"/>
        <v>10452583.333333332</v>
      </c>
      <c r="AJ133" s="29">
        <f t="shared" ca="1" si="100"/>
        <v>15140263.850302456</v>
      </c>
      <c r="AK133" s="29">
        <f t="shared" si="100"/>
        <v>0</v>
      </c>
      <c r="AL133" s="29">
        <f t="shared" si="100"/>
        <v>0</v>
      </c>
      <c r="AM133" s="29">
        <f t="shared" si="100"/>
        <v>0</v>
      </c>
      <c r="AN133" s="29">
        <f t="shared" si="100"/>
        <v>0</v>
      </c>
      <c r="AO133" s="29">
        <f t="shared" si="100"/>
        <v>0</v>
      </c>
      <c r="AP133" s="29">
        <f t="shared" si="100"/>
        <v>0</v>
      </c>
      <c r="AQ133" s="29">
        <f t="shared" si="100"/>
        <v>0</v>
      </c>
      <c r="AR133" s="29">
        <f t="shared" si="100"/>
        <v>0</v>
      </c>
      <c r="AS133" s="29">
        <f t="shared" si="100"/>
        <v>0</v>
      </c>
      <c r="AT133" s="29">
        <f t="shared" si="100"/>
        <v>0</v>
      </c>
      <c r="AU133" s="29">
        <f t="shared" si="100"/>
        <v>0</v>
      </c>
      <c r="AV133" s="29">
        <f t="shared" si="100"/>
        <v>0</v>
      </c>
      <c r="AW133" s="29">
        <f t="shared" si="100"/>
        <v>0</v>
      </c>
      <c r="AX133" s="29">
        <f t="shared" si="100"/>
        <v>0</v>
      </c>
      <c r="AY133" s="29">
        <f t="shared" si="100"/>
        <v>0</v>
      </c>
      <c r="AZ133" s="29">
        <f t="shared" si="100"/>
        <v>0</v>
      </c>
      <c r="BA133" s="29">
        <f t="shared" si="100"/>
        <v>0</v>
      </c>
      <c r="BB133" s="29">
        <f t="shared" si="100"/>
        <v>0</v>
      </c>
      <c r="BC133" s="29">
        <f t="shared" si="100"/>
        <v>0</v>
      </c>
      <c r="BD133" s="29">
        <f t="shared" si="100"/>
        <v>0</v>
      </c>
      <c r="BE133" s="29">
        <f t="shared" si="100"/>
        <v>0</v>
      </c>
      <c r="BF133" s="29">
        <f t="shared" si="100"/>
        <v>0</v>
      </c>
      <c r="BG133" s="29">
        <f t="shared" si="100"/>
        <v>0</v>
      </c>
      <c r="BH133" s="29">
        <f t="shared" si="100"/>
        <v>0</v>
      </c>
      <c r="BI133" s="29">
        <f t="shared" si="100"/>
        <v>0</v>
      </c>
      <c r="BJ133" s="29">
        <f t="shared" si="100"/>
        <v>0</v>
      </c>
      <c r="BK133" s="29">
        <f t="shared" si="100"/>
        <v>0</v>
      </c>
      <c r="BL133" s="29">
        <f t="shared" si="100"/>
        <v>0</v>
      </c>
      <c r="BM133" s="29">
        <f t="shared" si="100"/>
        <v>0</v>
      </c>
      <c r="BN133" s="29">
        <f t="shared" si="100"/>
        <v>0</v>
      </c>
      <c r="BO133" s="29">
        <f t="shared" si="100"/>
        <v>0</v>
      </c>
      <c r="BP133" s="29">
        <f t="shared" si="100"/>
        <v>0</v>
      </c>
      <c r="BQ133" s="29">
        <f t="shared" si="100"/>
        <v>0</v>
      </c>
      <c r="BR133" s="29">
        <f t="shared" si="100"/>
        <v>0</v>
      </c>
      <c r="BS133" s="29">
        <f t="shared" si="100"/>
        <v>0</v>
      </c>
      <c r="BT133" s="29">
        <f t="shared" si="100"/>
        <v>0</v>
      </c>
      <c r="BU133" s="29">
        <f t="shared" si="100"/>
        <v>0</v>
      </c>
      <c r="BV133" s="29">
        <f t="shared" si="100"/>
        <v>0</v>
      </c>
      <c r="BW133" s="29">
        <f t="shared" si="100"/>
        <v>0</v>
      </c>
      <c r="BX133" s="29">
        <f t="shared" si="100"/>
        <v>0</v>
      </c>
      <c r="BY133" s="29">
        <f t="shared" si="100"/>
        <v>0</v>
      </c>
      <c r="BZ133" s="29">
        <f t="shared" si="100"/>
        <v>0</v>
      </c>
      <c r="CA133" s="29">
        <f t="shared" si="100"/>
        <v>0</v>
      </c>
      <c r="CB133" s="29">
        <f t="shared" si="100"/>
        <v>0</v>
      </c>
      <c r="CC133" s="29">
        <f t="shared" si="100"/>
        <v>0</v>
      </c>
      <c r="CD133" s="29">
        <f t="shared" si="100"/>
        <v>0</v>
      </c>
      <c r="CE133" s="29">
        <f t="shared" si="100"/>
        <v>0</v>
      </c>
      <c r="CF133" s="29">
        <f t="shared" si="100"/>
        <v>0</v>
      </c>
      <c r="CG133" s="29">
        <f t="shared" si="100"/>
        <v>0</v>
      </c>
      <c r="CH133" s="29">
        <f t="shared" si="100"/>
        <v>0</v>
      </c>
    </row>
    <row r="134" spans="2:86" ht="13" hidden="1" outlineLevel="1">
      <c r="B134" s="84">
        <f t="shared" si="71"/>
        <v>31</v>
      </c>
      <c r="C134" s="64">
        <f t="shared" ca="1" si="69"/>
        <v>0.41272081283721551</v>
      </c>
      <c r="D134" s="15" t="s">
        <v>238</v>
      </c>
      <c r="E134" s="29">
        <f t="shared" ca="1" si="59"/>
        <v>79392714.508831561</v>
      </c>
      <c r="F134" s="29"/>
      <c r="G134" s="29">
        <f t="shared" ref="G134:CH134" ca="1" si="101">IF(G$4&lt;=$B134,ABS(G$31)*-1+G$47,0)+IF($B134=G$4,G$81,0)</f>
        <v>-1444375</v>
      </c>
      <c r="H134" s="29">
        <f t="shared" ca="1" si="101"/>
        <v>-1344375</v>
      </c>
      <c r="I134" s="29">
        <f t="shared" ca="1" si="101"/>
        <v>-1344375</v>
      </c>
      <c r="J134" s="29">
        <f t="shared" ca="1" si="101"/>
        <v>-1344375</v>
      </c>
      <c r="K134" s="29">
        <f t="shared" ca="1" si="101"/>
        <v>-1344375</v>
      </c>
      <c r="L134" s="29">
        <f t="shared" ca="1" si="101"/>
        <v>-1344375</v>
      </c>
      <c r="M134" s="29">
        <f t="shared" ca="1" si="101"/>
        <v>-1344375</v>
      </c>
      <c r="N134" s="29">
        <f t="shared" ca="1" si="101"/>
        <v>-1344375</v>
      </c>
      <c r="O134" s="29">
        <f t="shared" ca="1" si="101"/>
        <v>-1344375</v>
      </c>
      <c r="P134" s="29">
        <f t="shared" ca="1" si="101"/>
        <v>-1344375</v>
      </c>
      <c r="Q134" s="29">
        <f t="shared" ca="1" si="101"/>
        <v>-1344375</v>
      </c>
      <c r="R134" s="29">
        <f t="shared" ca="1" si="101"/>
        <v>-1344375</v>
      </c>
      <c r="S134" s="29">
        <f t="shared" ca="1" si="101"/>
        <v>-534270.83333333279</v>
      </c>
      <c r="T134" s="29">
        <f t="shared" ca="1" si="101"/>
        <v>-534270.83333333279</v>
      </c>
      <c r="U134" s="29">
        <f t="shared" ca="1" si="101"/>
        <v>-534270.83333333279</v>
      </c>
      <c r="V134" s="29">
        <f t="shared" ca="1" si="101"/>
        <v>-534270.83333333279</v>
      </c>
      <c r="W134" s="29">
        <f t="shared" ca="1" si="101"/>
        <v>2385312.5000000009</v>
      </c>
      <c r="X134" s="29">
        <f t="shared" ca="1" si="101"/>
        <v>2385312.5000000009</v>
      </c>
      <c r="Y134" s="29">
        <f t="shared" ca="1" si="101"/>
        <v>2385312.5000000009</v>
      </c>
      <c r="Z134" s="29">
        <f t="shared" ca="1" si="101"/>
        <v>2235979.166666667</v>
      </c>
      <c r="AA134" s="29">
        <f t="shared" ca="1" si="101"/>
        <v>2148333.333333334</v>
      </c>
      <c r="AB134" s="29">
        <f t="shared" ca="1" si="101"/>
        <v>2148333.333333334</v>
      </c>
      <c r="AC134" s="29">
        <f t="shared" ca="1" si="101"/>
        <v>2148333.333333334</v>
      </c>
      <c r="AD134" s="29">
        <f t="shared" ca="1" si="101"/>
        <v>2148333.3333333344</v>
      </c>
      <c r="AE134" s="29">
        <f t="shared" ca="1" si="101"/>
        <v>11248708.333333332</v>
      </c>
      <c r="AF134" s="29">
        <f t="shared" ca="1" si="101"/>
        <v>11248708.333333332</v>
      </c>
      <c r="AG134" s="29">
        <f t="shared" ca="1" si="101"/>
        <v>11248708.333333332</v>
      </c>
      <c r="AH134" s="29">
        <f t="shared" ca="1" si="101"/>
        <v>11248708.333333332</v>
      </c>
      <c r="AI134" s="29">
        <f t="shared" ca="1" si="101"/>
        <v>10452583.333333332</v>
      </c>
      <c r="AJ134" s="29">
        <f t="shared" ca="1" si="101"/>
        <v>10452583.333333332</v>
      </c>
      <c r="AK134" s="29">
        <f t="shared" ca="1" si="101"/>
        <v>13877047.842164911</v>
      </c>
      <c r="AL134" s="29">
        <f t="shared" si="101"/>
        <v>0</v>
      </c>
      <c r="AM134" s="29">
        <f t="shared" si="101"/>
        <v>0</v>
      </c>
      <c r="AN134" s="29">
        <f t="shared" si="101"/>
        <v>0</v>
      </c>
      <c r="AO134" s="29">
        <f t="shared" si="101"/>
        <v>0</v>
      </c>
      <c r="AP134" s="29">
        <f t="shared" si="101"/>
        <v>0</v>
      </c>
      <c r="AQ134" s="29">
        <f t="shared" si="101"/>
        <v>0</v>
      </c>
      <c r="AR134" s="29">
        <f t="shared" si="101"/>
        <v>0</v>
      </c>
      <c r="AS134" s="29">
        <f t="shared" si="101"/>
        <v>0</v>
      </c>
      <c r="AT134" s="29">
        <f t="shared" si="101"/>
        <v>0</v>
      </c>
      <c r="AU134" s="29">
        <f t="shared" si="101"/>
        <v>0</v>
      </c>
      <c r="AV134" s="29">
        <f t="shared" si="101"/>
        <v>0</v>
      </c>
      <c r="AW134" s="29">
        <f t="shared" si="101"/>
        <v>0</v>
      </c>
      <c r="AX134" s="29">
        <f t="shared" si="101"/>
        <v>0</v>
      </c>
      <c r="AY134" s="29">
        <f t="shared" si="101"/>
        <v>0</v>
      </c>
      <c r="AZ134" s="29">
        <f t="shared" si="101"/>
        <v>0</v>
      </c>
      <c r="BA134" s="29">
        <f t="shared" si="101"/>
        <v>0</v>
      </c>
      <c r="BB134" s="29">
        <f t="shared" si="101"/>
        <v>0</v>
      </c>
      <c r="BC134" s="29">
        <f t="shared" si="101"/>
        <v>0</v>
      </c>
      <c r="BD134" s="29">
        <f t="shared" si="101"/>
        <v>0</v>
      </c>
      <c r="BE134" s="29">
        <f t="shared" si="101"/>
        <v>0</v>
      </c>
      <c r="BF134" s="29">
        <f t="shared" si="101"/>
        <v>0</v>
      </c>
      <c r="BG134" s="29">
        <f t="shared" si="101"/>
        <v>0</v>
      </c>
      <c r="BH134" s="29">
        <f t="shared" si="101"/>
        <v>0</v>
      </c>
      <c r="BI134" s="29">
        <f t="shared" si="101"/>
        <v>0</v>
      </c>
      <c r="BJ134" s="29">
        <f t="shared" si="101"/>
        <v>0</v>
      </c>
      <c r="BK134" s="29">
        <f t="shared" si="101"/>
        <v>0</v>
      </c>
      <c r="BL134" s="29">
        <f t="shared" si="101"/>
        <v>0</v>
      </c>
      <c r="BM134" s="29">
        <f t="shared" si="101"/>
        <v>0</v>
      </c>
      <c r="BN134" s="29">
        <f t="shared" si="101"/>
        <v>0</v>
      </c>
      <c r="BO134" s="29">
        <f t="shared" si="101"/>
        <v>0</v>
      </c>
      <c r="BP134" s="29">
        <f t="shared" si="101"/>
        <v>0</v>
      </c>
      <c r="BQ134" s="29">
        <f t="shared" si="101"/>
        <v>0</v>
      </c>
      <c r="BR134" s="29">
        <f t="shared" si="101"/>
        <v>0</v>
      </c>
      <c r="BS134" s="29">
        <f t="shared" si="101"/>
        <v>0</v>
      </c>
      <c r="BT134" s="29">
        <f t="shared" si="101"/>
        <v>0</v>
      </c>
      <c r="BU134" s="29">
        <f t="shared" si="101"/>
        <v>0</v>
      </c>
      <c r="BV134" s="29">
        <f t="shared" si="101"/>
        <v>0</v>
      </c>
      <c r="BW134" s="29">
        <f t="shared" si="101"/>
        <v>0</v>
      </c>
      <c r="BX134" s="29">
        <f t="shared" si="101"/>
        <v>0</v>
      </c>
      <c r="BY134" s="29">
        <f t="shared" si="101"/>
        <v>0</v>
      </c>
      <c r="BZ134" s="29">
        <f t="shared" si="101"/>
        <v>0</v>
      </c>
      <c r="CA134" s="29">
        <f t="shared" si="101"/>
        <v>0</v>
      </c>
      <c r="CB134" s="29">
        <f t="shared" si="101"/>
        <v>0</v>
      </c>
      <c r="CC134" s="29">
        <f t="shared" si="101"/>
        <v>0</v>
      </c>
      <c r="CD134" s="29">
        <f t="shared" si="101"/>
        <v>0</v>
      </c>
      <c r="CE134" s="29">
        <f t="shared" si="101"/>
        <v>0</v>
      </c>
      <c r="CF134" s="29">
        <f t="shared" si="101"/>
        <v>0</v>
      </c>
      <c r="CG134" s="29">
        <f t="shared" si="101"/>
        <v>0</v>
      </c>
      <c r="CH134" s="29">
        <f t="shared" si="101"/>
        <v>0</v>
      </c>
    </row>
    <row r="135" spans="2:86" ht="13" hidden="1" outlineLevel="1">
      <c r="B135" s="84">
        <f t="shared" si="71"/>
        <v>32</v>
      </c>
      <c r="C135" s="64">
        <f t="shared" ca="1" si="69"/>
        <v>0.42786582816910279</v>
      </c>
      <c r="D135" s="15" t="s">
        <v>238</v>
      </c>
      <c r="E135" s="29">
        <f t="shared" ca="1" si="59"/>
        <v>88541204.425023571</v>
      </c>
      <c r="F135" s="29"/>
      <c r="G135" s="29">
        <f t="shared" ref="G135:CH135" ca="1" si="102">IF(G$4&lt;=$B135,ABS(G$31)*-1+G$47,0)+IF($B135=G$4,G$81,0)</f>
        <v>-1444375</v>
      </c>
      <c r="H135" s="29">
        <f t="shared" ca="1" si="102"/>
        <v>-1344375</v>
      </c>
      <c r="I135" s="29">
        <f t="shared" ca="1" si="102"/>
        <v>-1344375</v>
      </c>
      <c r="J135" s="29">
        <f t="shared" ca="1" si="102"/>
        <v>-1344375</v>
      </c>
      <c r="K135" s="29">
        <f t="shared" ca="1" si="102"/>
        <v>-1344375</v>
      </c>
      <c r="L135" s="29">
        <f t="shared" ca="1" si="102"/>
        <v>-1344375</v>
      </c>
      <c r="M135" s="29">
        <f t="shared" ca="1" si="102"/>
        <v>-1344375</v>
      </c>
      <c r="N135" s="29">
        <f t="shared" ca="1" si="102"/>
        <v>-1344375</v>
      </c>
      <c r="O135" s="29">
        <f t="shared" ca="1" si="102"/>
        <v>-1344375</v>
      </c>
      <c r="P135" s="29">
        <f t="shared" ca="1" si="102"/>
        <v>-1344375</v>
      </c>
      <c r="Q135" s="29">
        <f t="shared" ca="1" si="102"/>
        <v>-1344375</v>
      </c>
      <c r="R135" s="29">
        <f t="shared" ca="1" si="102"/>
        <v>-1344375</v>
      </c>
      <c r="S135" s="29">
        <f t="shared" ca="1" si="102"/>
        <v>-534270.83333333279</v>
      </c>
      <c r="T135" s="29">
        <f t="shared" ca="1" si="102"/>
        <v>-534270.83333333279</v>
      </c>
      <c r="U135" s="29">
        <f t="shared" ca="1" si="102"/>
        <v>-534270.83333333279</v>
      </c>
      <c r="V135" s="29">
        <f t="shared" ca="1" si="102"/>
        <v>-534270.83333333279</v>
      </c>
      <c r="W135" s="29">
        <f t="shared" ca="1" si="102"/>
        <v>2385312.5000000009</v>
      </c>
      <c r="X135" s="29">
        <f t="shared" ca="1" si="102"/>
        <v>2385312.5000000009</v>
      </c>
      <c r="Y135" s="29">
        <f t="shared" ca="1" si="102"/>
        <v>2385312.5000000009</v>
      </c>
      <c r="Z135" s="29">
        <f t="shared" ca="1" si="102"/>
        <v>2235979.166666667</v>
      </c>
      <c r="AA135" s="29">
        <f t="shared" ca="1" si="102"/>
        <v>2148333.333333334</v>
      </c>
      <c r="AB135" s="29">
        <f t="shared" ca="1" si="102"/>
        <v>2148333.333333334</v>
      </c>
      <c r="AC135" s="29">
        <f t="shared" ca="1" si="102"/>
        <v>2148333.333333334</v>
      </c>
      <c r="AD135" s="29">
        <f t="shared" ca="1" si="102"/>
        <v>2148333.3333333344</v>
      </c>
      <c r="AE135" s="29">
        <f t="shared" ca="1" si="102"/>
        <v>11248708.333333332</v>
      </c>
      <c r="AF135" s="29">
        <f t="shared" ca="1" si="102"/>
        <v>11248708.333333332</v>
      </c>
      <c r="AG135" s="29">
        <f t="shared" ca="1" si="102"/>
        <v>11248708.333333332</v>
      </c>
      <c r="AH135" s="29">
        <f t="shared" ca="1" si="102"/>
        <v>11248708.333333332</v>
      </c>
      <c r="AI135" s="29">
        <f t="shared" ca="1" si="102"/>
        <v>10452583.333333332</v>
      </c>
      <c r="AJ135" s="29">
        <f t="shared" ca="1" si="102"/>
        <v>10452583.333333332</v>
      </c>
      <c r="AK135" s="29">
        <f t="shared" ca="1" si="102"/>
        <v>10452583.333333332</v>
      </c>
      <c r="AL135" s="29">
        <f t="shared" ca="1" si="102"/>
        <v>12572954.425023591</v>
      </c>
      <c r="AM135" s="29">
        <f t="shared" si="102"/>
        <v>0</v>
      </c>
      <c r="AN135" s="29">
        <f t="shared" si="102"/>
        <v>0</v>
      </c>
      <c r="AO135" s="29">
        <f t="shared" si="102"/>
        <v>0</v>
      </c>
      <c r="AP135" s="29">
        <f t="shared" si="102"/>
        <v>0</v>
      </c>
      <c r="AQ135" s="29">
        <f t="shared" si="102"/>
        <v>0</v>
      </c>
      <c r="AR135" s="29">
        <f t="shared" si="102"/>
        <v>0</v>
      </c>
      <c r="AS135" s="29">
        <f t="shared" si="102"/>
        <v>0</v>
      </c>
      <c r="AT135" s="29">
        <f t="shared" si="102"/>
        <v>0</v>
      </c>
      <c r="AU135" s="29">
        <f t="shared" si="102"/>
        <v>0</v>
      </c>
      <c r="AV135" s="29">
        <f t="shared" si="102"/>
        <v>0</v>
      </c>
      <c r="AW135" s="29">
        <f t="shared" si="102"/>
        <v>0</v>
      </c>
      <c r="AX135" s="29">
        <f t="shared" si="102"/>
        <v>0</v>
      </c>
      <c r="AY135" s="29">
        <f t="shared" si="102"/>
        <v>0</v>
      </c>
      <c r="AZ135" s="29">
        <f t="shared" si="102"/>
        <v>0</v>
      </c>
      <c r="BA135" s="29">
        <f t="shared" si="102"/>
        <v>0</v>
      </c>
      <c r="BB135" s="29">
        <f t="shared" si="102"/>
        <v>0</v>
      </c>
      <c r="BC135" s="29">
        <f t="shared" si="102"/>
        <v>0</v>
      </c>
      <c r="BD135" s="29">
        <f t="shared" si="102"/>
        <v>0</v>
      </c>
      <c r="BE135" s="29">
        <f t="shared" si="102"/>
        <v>0</v>
      </c>
      <c r="BF135" s="29">
        <f t="shared" si="102"/>
        <v>0</v>
      </c>
      <c r="BG135" s="29">
        <f t="shared" si="102"/>
        <v>0</v>
      </c>
      <c r="BH135" s="29">
        <f t="shared" si="102"/>
        <v>0</v>
      </c>
      <c r="BI135" s="29">
        <f t="shared" si="102"/>
        <v>0</v>
      </c>
      <c r="BJ135" s="29">
        <f t="shared" si="102"/>
        <v>0</v>
      </c>
      <c r="BK135" s="29">
        <f t="shared" si="102"/>
        <v>0</v>
      </c>
      <c r="BL135" s="29">
        <f t="shared" si="102"/>
        <v>0</v>
      </c>
      <c r="BM135" s="29">
        <f t="shared" si="102"/>
        <v>0</v>
      </c>
      <c r="BN135" s="29">
        <f t="shared" si="102"/>
        <v>0</v>
      </c>
      <c r="BO135" s="29">
        <f t="shared" si="102"/>
        <v>0</v>
      </c>
      <c r="BP135" s="29">
        <f t="shared" si="102"/>
        <v>0</v>
      </c>
      <c r="BQ135" s="29">
        <f t="shared" si="102"/>
        <v>0</v>
      </c>
      <c r="BR135" s="29">
        <f t="shared" si="102"/>
        <v>0</v>
      </c>
      <c r="BS135" s="29">
        <f t="shared" si="102"/>
        <v>0</v>
      </c>
      <c r="BT135" s="29">
        <f t="shared" si="102"/>
        <v>0</v>
      </c>
      <c r="BU135" s="29">
        <f t="shared" si="102"/>
        <v>0</v>
      </c>
      <c r="BV135" s="29">
        <f t="shared" si="102"/>
        <v>0</v>
      </c>
      <c r="BW135" s="29">
        <f t="shared" si="102"/>
        <v>0</v>
      </c>
      <c r="BX135" s="29">
        <f t="shared" si="102"/>
        <v>0</v>
      </c>
      <c r="BY135" s="29">
        <f t="shared" si="102"/>
        <v>0</v>
      </c>
      <c r="BZ135" s="29">
        <f t="shared" si="102"/>
        <v>0</v>
      </c>
      <c r="CA135" s="29">
        <f t="shared" si="102"/>
        <v>0</v>
      </c>
      <c r="CB135" s="29">
        <f t="shared" si="102"/>
        <v>0</v>
      </c>
      <c r="CC135" s="29">
        <f t="shared" si="102"/>
        <v>0</v>
      </c>
      <c r="CD135" s="29">
        <f t="shared" si="102"/>
        <v>0</v>
      </c>
      <c r="CE135" s="29">
        <f t="shared" si="102"/>
        <v>0</v>
      </c>
      <c r="CF135" s="29">
        <f t="shared" si="102"/>
        <v>0</v>
      </c>
      <c r="CG135" s="29">
        <f t="shared" si="102"/>
        <v>0</v>
      </c>
      <c r="CH135" s="29">
        <f t="shared" si="102"/>
        <v>0</v>
      </c>
    </row>
    <row r="136" spans="2:86" ht="13" hidden="1" outlineLevel="1">
      <c r="B136" s="84">
        <f t="shared" si="71"/>
        <v>33</v>
      </c>
      <c r="C136" s="64">
        <f t="shared" ca="1" si="69"/>
        <v>0.4394552882232432</v>
      </c>
      <c r="D136" s="15" t="s">
        <v>238</v>
      </c>
      <c r="E136" s="29">
        <f t="shared" ca="1" si="59"/>
        <v>96658621.439210504</v>
      </c>
      <c r="F136" s="29"/>
      <c r="G136" s="29">
        <f t="shared" ref="G136:CH136" ca="1" si="103">IF(G$4&lt;=$B136,ABS(G$31)*-1+G$47,0)+IF($B136=G$4,G$81,0)</f>
        <v>-1444375</v>
      </c>
      <c r="H136" s="29">
        <f t="shared" ca="1" si="103"/>
        <v>-1344375</v>
      </c>
      <c r="I136" s="29">
        <f t="shared" ca="1" si="103"/>
        <v>-1344375</v>
      </c>
      <c r="J136" s="29">
        <f t="shared" ca="1" si="103"/>
        <v>-1344375</v>
      </c>
      <c r="K136" s="29">
        <f t="shared" ca="1" si="103"/>
        <v>-1344375</v>
      </c>
      <c r="L136" s="29">
        <f t="shared" ca="1" si="103"/>
        <v>-1344375</v>
      </c>
      <c r="M136" s="29">
        <f t="shared" ca="1" si="103"/>
        <v>-1344375</v>
      </c>
      <c r="N136" s="29">
        <f t="shared" ca="1" si="103"/>
        <v>-1344375</v>
      </c>
      <c r="O136" s="29">
        <f t="shared" ca="1" si="103"/>
        <v>-1344375</v>
      </c>
      <c r="P136" s="29">
        <f t="shared" ca="1" si="103"/>
        <v>-1344375</v>
      </c>
      <c r="Q136" s="29">
        <f t="shared" ca="1" si="103"/>
        <v>-1344375</v>
      </c>
      <c r="R136" s="29">
        <f t="shared" ca="1" si="103"/>
        <v>-1344375</v>
      </c>
      <c r="S136" s="29">
        <f t="shared" ca="1" si="103"/>
        <v>-534270.83333333279</v>
      </c>
      <c r="T136" s="29">
        <f t="shared" ca="1" si="103"/>
        <v>-534270.83333333279</v>
      </c>
      <c r="U136" s="29">
        <f t="shared" ca="1" si="103"/>
        <v>-534270.83333333279</v>
      </c>
      <c r="V136" s="29">
        <f t="shared" ca="1" si="103"/>
        <v>-534270.83333333279</v>
      </c>
      <c r="W136" s="29">
        <f t="shared" ca="1" si="103"/>
        <v>2385312.5000000009</v>
      </c>
      <c r="X136" s="29">
        <f t="shared" ca="1" si="103"/>
        <v>2385312.5000000009</v>
      </c>
      <c r="Y136" s="29">
        <f t="shared" ca="1" si="103"/>
        <v>2385312.5000000009</v>
      </c>
      <c r="Z136" s="29">
        <f t="shared" ca="1" si="103"/>
        <v>2235979.166666667</v>
      </c>
      <c r="AA136" s="29">
        <f t="shared" ca="1" si="103"/>
        <v>2148333.333333334</v>
      </c>
      <c r="AB136" s="29">
        <f t="shared" ca="1" si="103"/>
        <v>2148333.333333334</v>
      </c>
      <c r="AC136" s="29">
        <f t="shared" ca="1" si="103"/>
        <v>2148333.333333334</v>
      </c>
      <c r="AD136" s="29">
        <f t="shared" ca="1" si="103"/>
        <v>2148333.3333333344</v>
      </c>
      <c r="AE136" s="29">
        <f t="shared" ca="1" si="103"/>
        <v>11248708.333333332</v>
      </c>
      <c r="AF136" s="29">
        <f t="shared" ca="1" si="103"/>
        <v>11248708.333333332</v>
      </c>
      <c r="AG136" s="29">
        <f t="shared" ca="1" si="103"/>
        <v>11248708.333333332</v>
      </c>
      <c r="AH136" s="29">
        <f t="shared" ca="1" si="103"/>
        <v>11248708.333333332</v>
      </c>
      <c r="AI136" s="29">
        <f t="shared" ca="1" si="103"/>
        <v>10452583.333333332</v>
      </c>
      <c r="AJ136" s="29">
        <f t="shared" ca="1" si="103"/>
        <v>10452583.333333332</v>
      </c>
      <c r="AK136" s="29">
        <f t="shared" ca="1" si="103"/>
        <v>10452583.333333332</v>
      </c>
      <c r="AL136" s="29">
        <f t="shared" ca="1" si="103"/>
        <v>10452583.333333332</v>
      </c>
      <c r="AM136" s="29">
        <f t="shared" ca="1" si="103"/>
        <v>10237788.105877185</v>
      </c>
      <c r="AN136" s="29">
        <f t="shared" si="103"/>
        <v>0</v>
      </c>
      <c r="AO136" s="29">
        <f t="shared" si="103"/>
        <v>0</v>
      </c>
      <c r="AP136" s="29">
        <f t="shared" si="103"/>
        <v>0</v>
      </c>
      <c r="AQ136" s="29">
        <f t="shared" si="103"/>
        <v>0</v>
      </c>
      <c r="AR136" s="29">
        <f t="shared" si="103"/>
        <v>0</v>
      </c>
      <c r="AS136" s="29">
        <f t="shared" si="103"/>
        <v>0</v>
      </c>
      <c r="AT136" s="29">
        <f t="shared" si="103"/>
        <v>0</v>
      </c>
      <c r="AU136" s="29">
        <f t="shared" si="103"/>
        <v>0</v>
      </c>
      <c r="AV136" s="29">
        <f t="shared" si="103"/>
        <v>0</v>
      </c>
      <c r="AW136" s="29">
        <f t="shared" si="103"/>
        <v>0</v>
      </c>
      <c r="AX136" s="29">
        <f t="shared" si="103"/>
        <v>0</v>
      </c>
      <c r="AY136" s="29">
        <f t="shared" si="103"/>
        <v>0</v>
      </c>
      <c r="AZ136" s="29">
        <f t="shared" si="103"/>
        <v>0</v>
      </c>
      <c r="BA136" s="29">
        <f t="shared" si="103"/>
        <v>0</v>
      </c>
      <c r="BB136" s="29">
        <f t="shared" si="103"/>
        <v>0</v>
      </c>
      <c r="BC136" s="29">
        <f t="shared" si="103"/>
        <v>0</v>
      </c>
      <c r="BD136" s="29">
        <f t="shared" si="103"/>
        <v>0</v>
      </c>
      <c r="BE136" s="29">
        <f t="shared" si="103"/>
        <v>0</v>
      </c>
      <c r="BF136" s="29">
        <f t="shared" si="103"/>
        <v>0</v>
      </c>
      <c r="BG136" s="29">
        <f t="shared" si="103"/>
        <v>0</v>
      </c>
      <c r="BH136" s="29">
        <f t="shared" si="103"/>
        <v>0</v>
      </c>
      <c r="BI136" s="29">
        <f t="shared" si="103"/>
        <v>0</v>
      </c>
      <c r="BJ136" s="29">
        <f t="shared" si="103"/>
        <v>0</v>
      </c>
      <c r="BK136" s="29">
        <f t="shared" si="103"/>
        <v>0</v>
      </c>
      <c r="BL136" s="29">
        <f t="shared" si="103"/>
        <v>0</v>
      </c>
      <c r="BM136" s="29">
        <f t="shared" si="103"/>
        <v>0</v>
      </c>
      <c r="BN136" s="29">
        <f t="shared" si="103"/>
        <v>0</v>
      </c>
      <c r="BO136" s="29">
        <f t="shared" si="103"/>
        <v>0</v>
      </c>
      <c r="BP136" s="29">
        <f t="shared" si="103"/>
        <v>0</v>
      </c>
      <c r="BQ136" s="29">
        <f t="shared" si="103"/>
        <v>0</v>
      </c>
      <c r="BR136" s="29">
        <f t="shared" si="103"/>
        <v>0</v>
      </c>
      <c r="BS136" s="29">
        <f t="shared" si="103"/>
        <v>0</v>
      </c>
      <c r="BT136" s="29">
        <f t="shared" si="103"/>
        <v>0</v>
      </c>
      <c r="BU136" s="29">
        <f t="shared" si="103"/>
        <v>0</v>
      </c>
      <c r="BV136" s="29">
        <f t="shared" si="103"/>
        <v>0</v>
      </c>
      <c r="BW136" s="29">
        <f t="shared" si="103"/>
        <v>0</v>
      </c>
      <c r="BX136" s="29">
        <f t="shared" si="103"/>
        <v>0</v>
      </c>
      <c r="BY136" s="29">
        <f t="shared" si="103"/>
        <v>0</v>
      </c>
      <c r="BZ136" s="29">
        <f t="shared" si="103"/>
        <v>0</v>
      </c>
      <c r="CA136" s="29">
        <f t="shared" si="103"/>
        <v>0</v>
      </c>
      <c r="CB136" s="29">
        <f t="shared" si="103"/>
        <v>0</v>
      </c>
      <c r="CC136" s="29">
        <f t="shared" si="103"/>
        <v>0</v>
      </c>
      <c r="CD136" s="29">
        <f t="shared" si="103"/>
        <v>0</v>
      </c>
      <c r="CE136" s="29">
        <f t="shared" si="103"/>
        <v>0</v>
      </c>
      <c r="CF136" s="29">
        <f t="shared" si="103"/>
        <v>0</v>
      </c>
      <c r="CG136" s="29">
        <f t="shared" si="103"/>
        <v>0</v>
      </c>
      <c r="CH136" s="29">
        <f t="shared" si="103"/>
        <v>0</v>
      </c>
    </row>
    <row r="137" spans="2:86" ht="13" hidden="1" outlineLevel="1">
      <c r="B137" s="84">
        <f t="shared" si="71"/>
        <v>34</v>
      </c>
      <c r="C137" s="64">
        <f t="shared" ca="1" si="69"/>
        <v>0.44950211958378339</v>
      </c>
      <c r="D137" s="15" t="s">
        <v>238</v>
      </c>
      <c r="E137" s="29">
        <f t="shared" ca="1" si="59"/>
        <v>104746606.7189147</v>
      </c>
      <c r="F137" s="29"/>
      <c r="G137" s="29">
        <f t="shared" ref="G137:CH137" ca="1" si="104">IF(G$4&lt;=$B137,ABS(G$31)*-1+G$47,0)+IF($B137=G$4,G$81,0)</f>
        <v>-1444375</v>
      </c>
      <c r="H137" s="29">
        <f t="shared" ca="1" si="104"/>
        <v>-1344375</v>
      </c>
      <c r="I137" s="29">
        <f t="shared" ca="1" si="104"/>
        <v>-1344375</v>
      </c>
      <c r="J137" s="29">
        <f t="shared" ca="1" si="104"/>
        <v>-1344375</v>
      </c>
      <c r="K137" s="29">
        <f t="shared" ca="1" si="104"/>
        <v>-1344375</v>
      </c>
      <c r="L137" s="29">
        <f t="shared" ca="1" si="104"/>
        <v>-1344375</v>
      </c>
      <c r="M137" s="29">
        <f t="shared" ca="1" si="104"/>
        <v>-1344375</v>
      </c>
      <c r="N137" s="29">
        <f t="shared" ca="1" si="104"/>
        <v>-1344375</v>
      </c>
      <c r="O137" s="29">
        <f t="shared" ca="1" si="104"/>
        <v>-1344375</v>
      </c>
      <c r="P137" s="29">
        <f t="shared" ca="1" si="104"/>
        <v>-1344375</v>
      </c>
      <c r="Q137" s="29">
        <f t="shared" ca="1" si="104"/>
        <v>-1344375</v>
      </c>
      <c r="R137" s="29">
        <f t="shared" ca="1" si="104"/>
        <v>-1344375</v>
      </c>
      <c r="S137" s="29">
        <f t="shared" ca="1" si="104"/>
        <v>-534270.83333333279</v>
      </c>
      <c r="T137" s="29">
        <f t="shared" ca="1" si="104"/>
        <v>-534270.83333333279</v>
      </c>
      <c r="U137" s="29">
        <f t="shared" ca="1" si="104"/>
        <v>-534270.83333333279</v>
      </c>
      <c r="V137" s="29">
        <f t="shared" ca="1" si="104"/>
        <v>-534270.83333333279</v>
      </c>
      <c r="W137" s="29">
        <f t="shared" ca="1" si="104"/>
        <v>2385312.5000000009</v>
      </c>
      <c r="X137" s="29">
        <f t="shared" ca="1" si="104"/>
        <v>2385312.5000000009</v>
      </c>
      <c r="Y137" s="29">
        <f t="shared" ca="1" si="104"/>
        <v>2385312.5000000009</v>
      </c>
      <c r="Z137" s="29">
        <f t="shared" ca="1" si="104"/>
        <v>2235979.166666667</v>
      </c>
      <c r="AA137" s="29">
        <f t="shared" ca="1" si="104"/>
        <v>2148333.333333334</v>
      </c>
      <c r="AB137" s="29">
        <f t="shared" ca="1" si="104"/>
        <v>2148333.333333334</v>
      </c>
      <c r="AC137" s="29">
        <f t="shared" ca="1" si="104"/>
        <v>2148333.333333334</v>
      </c>
      <c r="AD137" s="29">
        <f t="shared" ca="1" si="104"/>
        <v>2148333.3333333344</v>
      </c>
      <c r="AE137" s="29">
        <f t="shared" ca="1" si="104"/>
        <v>11248708.333333332</v>
      </c>
      <c r="AF137" s="29">
        <f t="shared" ca="1" si="104"/>
        <v>11248708.333333332</v>
      </c>
      <c r="AG137" s="29">
        <f t="shared" ca="1" si="104"/>
        <v>11248708.333333332</v>
      </c>
      <c r="AH137" s="29">
        <f t="shared" ca="1" si="104"/>
        <v>11248708.333333332</v>
      </c>
      <c r="AI137" s="29">
        <f t="shared" ca="1" si="104"/>
        <v>10452583.333333332</v>
      </c>
      <c r="AJ137" s="29">
        <f t="shared" ca="1" si="104"/>
        <v>10452583.333333332</v>
      </c>
      <c r="AK137" s="29">
        <f t="shared" ca="1" si="104"/>
        <v>10452583.333333332</v>
      </c>
      <c r="AL137" s="29">
        <f t="shared" ca="1" si="104"/>
        <v>10452583.333333332</v>
      </c>
      <c r="AM137" s="29">
        <f t="shared" ca="1" si="104"/>
        <v>9014374.9999999981</v>
      </c>
      <c r="AN137" s="29">
        <f t="shared" ca="1" si="104"/>
        <v>9311398.3855813928</v>
      </c>
      <c r="AO137" s="29">
        <f t="shared" si="104"/>
        <v>0</v>
      </c>
      <c r="AP137" s="29">
        <f t="shared" si="104"/>
        <v>0</v>
      </c>
      <c r="AQ137" s="29">
        <f t="shared" si="104"/>
        <v>0</v>
      </c>
      <c r="AR137" s="29">
        <f t="shared" si="104"/>
        <v>0</v>
      </c>
      <c r="AS137" s="29">
        <f t="shared" si="104"/>
        <v>0</v>
      </c>
      <c r="AT137" s="29">
        <f t="shared" si="104"/>
        <v>0</v>
      </c>
      <c r="AU137" s="29">
        <f t="shared" si="104"/>
        <v>0</v>
      </c>
      <c r="AV137" s="29">
        <f t="shared" si="104"/>
        <v>0</v>
      </c>
      <c r="AW137" s="29">
        <f t="shared" si="104"/>
        <v>0</v>
      </c>
      <c r="AX137" s="29">
        <f t="shared" si="104"/>
        <v>0</v>
      </c>
      <c r="AY137" s="29">
        <f t="shared" si="104"/>
        <v>0</v>
      </c>
      <c r="AZ137" s="29">
        <f t="shared" si="104"/>
        <v>0</v>
      </c>
      <c r="BA137" s="29">
        <f t="shared" si="104"/>
        <v>0</v>
      </c>
      <c r="BB137" s="29">
        <f t="shared" si="104"/>
        <v>0</v>
      </c>
      <c r="BC137" s="29">
        <f t="shared" si="104"/>
        <v>0</v>
      </c>
      <c r="BD137" s="29">
        <f t="shared" si="104"/>
        <v>0</v>
      </c>
      <c r="BE137" s="29">
        <f t="shared" si="104"/>
        <v>0</v>
      </c>
      <c r="BF137" s="29">
        <f t="shared" si="104"/>
        <v>0</v>
      </c>
      <c r="BG137" s="29">
        <f t="shared" si="104"/>
        <v>0</v>
      </c>
      <c r="BH137" s="29">
        <f t="shared" si="104"/>
        <v>0</v>
      </c>
      <c r="BI137" s="29">
        <f t="shared" si="104"/>
        <v>0</v>
      </c>
      <c r="BJ137" s="29">
        <f t="shared" si="104"/>
        <v>0</v>
      </c>
      <c r="BK137" s="29">
        <f t="shared" si="104"/>
        <v>0</v>
      </c>
      <c r="BL137" s="29">
        <f t="shared" si="104"/>
        <v>0</v>
      </c>
      <c r="BM137" s="29">
        <f t="shared" si="104"/>
        <v>0</v>
      </c>
      <c r="BN137" s="29">
        <f t="shared" si="104"/>
        <v>0</v>
      </c>
      <c r="BO137" s="29">
        <f t="shared" si="104"/>
        <v>0</v>
      </c>
      <c r="BP137" s="29">
        <f t="shared" si="104"/>
        <v>0</v>
      </c>
      <c r="BQ137" s="29">
        <f t="shared" si="104"/>
        <v>0</v>
      </c>
      <c r="BR137" s="29">
        <f t="shared" si="104"/>
        <v>0</v>
      </c>
      <c r="BS137" s="29">
        <f t="shared" si="104"/>
        <v>0</v>
      </c>
      <c r="BT137" s="29">
        <f t="shared" si="104"/>
        <v>0</v>
      </c>
      <c r="BU137" s="29">
        <f t="shared" si="104"/>
        <v>0</v>
      </c>
      <c r="BV137" s="29">
        <f t="shared" si="104"/>
        <v>0</v>
      </c>
      <c r="BW137" s="29">
        <f t="shared" si="104"/>
        <v>0</v>
      </c>
      <c r="BX137" s="29">
        <f t="shared" si="104"/>
        <v>0</v>
      </c>
      <c r="BY137" s="29">
        <f t="shared" si="104"/>
        <v>0</v>
      </c>
      <c r="BZ137" s="29">
        <f t="shared" si="104"/>
        <v>0</v>
      </c>
      <c r="CA137" s="29">
        <f t="shared" si="104"/>
        <v>0</v>
      </c>
      <c r="CB137" s="29">
        <f t="shared" si="104"/>
        <v>0</v>
      </c>
      <c r="CC137" s="29">
        <f t="shared" si="104"/>
        <v>0</v>
      </c>
      <c r="CD137" s="29">
        <f t="shared" si="104"/>
        <v>0</v>
      </c>
      <c r="CE137" s="29">
        <f t="shared" si="104"/>
        <v>0</v>
      </c>
      <c r="CF137" s="29">
        <f t="shared" si="104"/>
        <v>0</v>
      </c>
      <c r="CG137" s="29">
        <f t="shared" si="104"/>
        <v>0</v>
      </c>
      <c r="CH137" s="29">
        <f t="shared" si="104"/>
        <v>0</v>
      </c>
    </row>
    <row r="138" spans="2:86" ht="13" hidden="1" outlineLevel="1">
      <c r="B138" s="84">
        <f t="shared" si="71"/>
        <v>35</v>
      </c>
      <c r="C138" s="64">
        <f t="shared" ca="1" si="69"/>
        <v>0.45825105809080835</v>
      </c>
      <c r="D138" s="15" t="s">
        <v>238</v>
      </c>
      <c r="E138" s="29">
        <f t="shared" ca="1" si="59"/>
        <v>112805160.2641362</v>
      </c>
      <c r="F138" s="29"/>
      <c r="G138" s="29">
        <f t="shared" ref="G138:CH138" ca="1" si="105">IF(G$4&lt;=$B138,ABS(G$31)*-1+G$47,0)+IF($B138=G$4,G$81,0)</f>
        <v>-1444375</v>
      </c>
      <c r="H138" s="29">
        <f t="shared" ca="1" si="105"/>
        <v>-1344375</v>
      </c>
      <c r="I138" s="29">
        <f t="shared" ca="1" si="105"/>
        <v>-1344375</v>
      </c>
      <c r="J138" s="29">
        <f t="shared" ca="1" si="105"/>
        <v>-1344375</v>
      </c>
      <c r="K138" s="29">
        <f t="shared" ca="1" si="105"/>
        <v>-1344375</v>
      </c>
      <c r="L138" s="29">
        <f t="shared" ca="1" si="105"/>
        <v>-1344375</v>
      </c>
      <c r="M138" s="29">
        <f t="shared" ca="1" si="105"/>
        <v>-1344375</v>
      </c>
      <c r="N138" s="29">
        <f t="shared" ca="1" si="105"/>
        <v>-1344375</v>
      </c>
      <c r="O138" s="29">
        <f t="shared" ca="1" si="105"/>
        <v>-1344375</v>
      </c>
      <c r="P138" s="29">
        <f t="shared" ca="1" si="105"/>
        <v>-1344375</v>
      </c>
      <c r="Q138" s="29">
        <f t="shared" ca="1" si="105"/>
        <v>-1344375</v>
      </c>
      <c r="R138" s="29">
        <f t="shared" ca="1" si="105"/>
        <v>-1344375</v>
      </c>
      <c r="S138" s="29">
        <f t="shared" ca="1" si="105"/>
        <v>-534270.83333333279</v>
      </c>
      <c r="T138" s="29">
        <f t="shared" ca="1" si="105"/>
        <v>-534270.83333333279</v>
      </c>
      <c r="U138" s="29">
        <f t="shared" ca="1" si="105"/>
        <v>-534270.83333333279</v>
      </c>
      <c r="V138" s="29">
        <f t="shared" ca="1" si="105"/>
        <v>-534270.83333333279</v>
      </c>
      <c r="W138" s="29">
        <f t="shared" ca="1" si="105"/>
        <v>2385312.5000000009</v>
      </c>
      <c r="X138" s="29">
        <f t="shared" ca="1" si="105"/>
        <v>2385312.5000000009</v>
      </c>
      <c r="Y138" s="29">
        <f t="shared" ca="1" si="105"/>
        <v>2385312.5000000009</v>
      </c>
      <c r="Z138" s="29">
        <f t="shared" ca="1" si="105"/>
        <v>2235979.166666667</v>
      </c>
      <c r="AA138" s="29">
        <f t="shared" ca="1" si="105"/>
        <v>2148333.333333334</v>
      </c>
      <c r="AB138" s="29">
        <f t="shared" ca="1" si="105"/>
        <v>2148333.333333334</v>
      </c>
      <c r="AC138" s="29">
        <f t="shared" ca="1" si="105"/>
        <v>2148333.333333334</v>
      </c>
      <c r="AD138" s="29">
        <f t="shared" ca="1" si="105"/>
        <v>2148333.3333333344</v>
      </c>
      <c r="AE138" s="29">
        <f t="shared" ca="1" si="105"/>
        <v>11248708.333333332</v>
      </c>
      <c r="AF138" s="29">
        <f t="shared" ca="1" si="105"/>
        <v>11248708.333333332</v>
      </c>
      <c r="AG138" s="29">
        <f t="shared" ca="1" si="105"/>
        <v>11248708.333333332</v>
      </c>
      <c r="AH138" s="29">
        <f t="shared" ca="1" si="105"/>
        <v>11248708.333333332</v>
      </c>
      <c r="AI138" s="29">
        <f t="shared" ca="1" si="105"/>
        <v>10452583.333333332</v>
      </c>
      <c r="AJ138" s="29">
        <f t="shared" ca="1" si="105"/>
        <v>10452583.333333332</v>
      </c>
      <c r="AK138" s="29">
        <f t="shared" ca="1" si="105"/>
        <v>10452583.333333332</v>
      </c>
      <c r="AL138" s="29">
        <f t="shared" ca="1" si="105"/>
        <v>10452583.333333332</v>
      </c>
      <c r="AM138" s="29">
        <f t="shared" ca="1" si="105"/>
        <v>9014374.9999999981</v>
      </c>
      <c r="AN138" s="29">
        <f t="shared" ca="1" si="105"/>
        <v>9014374.9999999981</v>
      </c>
      <c r="AO138" s="29">
        <f t="shared" ca="1" si="105"/>
        <v>8355576.9308028845</v>
      </c>
      <c r="AP138" s="29">
        <f t="shared" si="105"/>
        <v>0</v>
      </c>
      <c r="AQ138" s="29">
        <f t="shared" si="105"/>
        <v>0</v>
      </c>
      <c r="AR138" s="29">
        <f t="shared" si="105"/>
        <v>0</v>
      </c>
      <c r="AS138" s="29">
        <f t="shared" si="105"/>
        <v>0</v>
      </c>
      <c r="AT138" s="29">
        <f t="shared" si="105"/>
        <v>0</v>
      </c>
      <c r="AU138" s="29">
        <f t="shared" si="105"/>
        <v>0</v>
      </c>
      <c r="AV138" s="29">
        <f t="shared" si="105"/>
        <v>0</v>
      </c>
      <c r="AW138" s="29">
        <f t="shared" si="105"/>
        <v>0</v>
      </c>
      <c r="AX138" s="29">
        <f t="shared" si="105"/>
        <v>0</v>
      </c>
      <c r="AY138" s="29">
        <f t="shared" si="105"/>
        <v>0</v>
      </c>
      <c r="AZ138" s="29">
        <f t="shared" si="105"/>
        <v>0</v>
      </c>
      <c r="BA138" s="29">
        <f t="shared" si="105"/>
        <v>0</v>
      </c>
      <c r="BB138" s="29">
        <f t="shared" si="105"/>
        <v>0</v>
      </c>
      <c r="BC138" s="29">
        <f t="shared" si="105"/>
        <v>0</v>
      </c>
      <c r="BD138" s="29">
        <f t="shared" si="105"/>
        <v>0</v>
      </c>
      <c r="BE138" s="29">
        <f t="shared" si="105"/>
        <v>0</v>
      </c>
      <c r="BF138" s="29">
        <f t="shared" si="105"/>
        <v>0</v>
      </c>
      <c r="BG138" s="29">
        <f t="shared" si="105"/>
        <v>0</v>
      </c>
      <c r="BH138" s="29">
        <f t="shared" si="105"/>
        <v>0</v>
      </c>
      <c r="BI138" s="29">
        <f t="shared" si="105"/>
        <v>0</v>
      </c>
      <c r="BJ138" s="29">
        <f t="shared" si="105"/>
        <v>0</v>
      </c>
      <c r="BK138" s="29">
        <f t="shared" si="105"/>
        <v>0</v>
      </c>
      <c r="BL138" s="29">
        <f t="shared" si="105"/>
        <v>0</v>
      </c>
      <c r="BM138" s="29">
        <f t="shared" si="105"/>
        <v>0</v>
      </c>
      <c r="BN138" s="29">
        <f t="shared" si="105"/>
        <v>0</v>
      </c>
      <c r="BO138" s="29">
        <f t="shared" si="105"/>
        <v>0</v>
      </c>
      <c r="BP138" s="29">
        <f t="shared" si="105"/>
        <v>0</v>
      </c>
      <c r="BQ138" s="29">
        <f t="shared" si="105"/>
        <v>0</v>
      </c>
      <c r="BR138" s="29">
        <f t="shared" si="105"/>
        <v>0</v>
      </c>
      <c r="BS138" s="29">
        <f t="shared" si="105"/>
        <v>0</v>
      </c>
      <c r="BT138" s="29">
        <f t="shared" si="105"/>
        <v>0</v>
      </c>
      <c r="BU138" s="29">
        <f t="shared" si="105"/>
        <v>0</v>
      </c>
      <c r="BV138" s="29">
        <f t="shared" si="105"/>
        <v>0</v>
      </c>
      <c r="BW138" s="29">
        <f t="shared" si="105"/>
        <v>0</v>
      </c>
      <c r="BX138" s="29">
        <f t="shared" si="105"/>
        <v>0</v>
      </c>
      <c r="BY138" s="29">
        <f t="shared" si="105"/>
        <v>0</v>
      </c>
      <c r="BZ138" s="29">
        <f t="shared" si="105"/>
        <v>0</v>
      </c>
      <c r="CA138" s="29">
        <f t="shared" si="105"/>
        <v>0</v>
      </c>
      <c r="CB138" s="29">
        <f t="shared" si="105"/>
        <v>0</v>
      </c>
      <c r="CC138" s="29">
        <f t="shared" si="105"/>
        <v>0</v>
      </c>
      <c r="CD138" s="29">
        <f t="shared" si="105"/>
        <v>0</v>
      </c>
      <c r="CE138" s="29">
        <f t="shared" si="105"/>
        <v>0</v>
      </c>
      <c r="CF138" s="29">
        <f t="shared" si="105"/>
        <v>0</v>
      </c>
      <c r="CG138" s="29">
        <f t="shared" si="105"/>
        <v>0</v>
      </c>
      <c r="CH138" s="29">
        <f t="shared" si="105"/>
        <v>0</v>
      </c>
    </row>
    <row r="139" spans="2:86" ht="13" hidden="1" outlineLevel="1">
      <c r="B139" s="84">
        <f t="shared" si="71"/>
        <v>36</v>
      </c>
      <c r="C139" s="64">
        <f t="shared" ca="1" si="69"/>
        <v>0.46590030743910038</v>
      </c>
      <c r="D139" s="15" t="s">
        <v>238</v>
      </c>
      <c r="E139" s="29">
        <f t="shared" ca="1" si="59"/>
        <v>120834282.07487497</v>
      </c>
      <c r="F139" s="29"/>
      <c r="G139" s="29">
        <f t="shared" ref="G139:CH139" ca="1" si="106">IF(G$4&lt;=$B139,ABS(G$31)*-1+G$47,0)+IF($B139=G$4,G$81,0)</f>
        <v>-1444375</v>
      </c>
      <c r="H139" s="29">
        <f t="shared" ca="1" si="106"/>
        <v>-1344375</v>
      </c>
      <c r="I139" s="29">
        <f t="shared" ca="1" si="106"/>
        <v>-1344375</v>
      </c>
      <c r="J139" s="29">
        <f t="shared" ca="1" si="106"/>
        <v>-1344375</v>
      </c>
      <c r="K139" s="29">
        <f t="shared" ca="1" si="106"/>
        <v>-1344375</v>
      </c>
      <c r="L139" s="29">
        <f t="shared" ca="1" si="106"/>
        <v>-1344375</v>
      </c>
      <c r="M139" s="29">
        <f t="shared" ca="1" si="106"/>
        <v>-1344375</v>
      </c>
      <c r="N139" s="29">
        <f t="shared" ca="1" si="106"/>
        <v>-1344375</v>
      </c>
      <c r="O139" s="29">
        <f t="shared" ca="1" si="106"/>
        <v>-1344375</v>
      </c>
      <c r="P139" s="29">
        <f t="shared" ca="1" si="106"/>
        <v>-1344375</v>
      </c>
      <c r="Q139" s="29">
        <f t="shared" ca="1" si="106"/>
        <v>-1344375</v>
      </c>
      <c r="R139" s="29">
        <f t="shared" ca="1" si="106"/>
        <v>-1344375</v>
      </c>
      <c r="S139" s="29">
        <f t="shared" ca="1" si="106"/>
        <v>-534270.83333333279</v>
      </c>
      <c r="T139" s="29">
        <f t="shared" ca="1" si="106"/>
        <v>-534270.83333333279</v>
      </c>
      <c r="U139" s="29">
        <f t="shared" ca="1" si="106"/>
        <v>-534270.83333333279</v>
      </c>
      <c r="V139" s="29">
        <f t="shared" ca="1" si="106"/>
        <v>-534270.83333333279</v>
      </c>
      <c r="W139" s="29">
        <f t="shared" ca="1" si="106"/>
        <v>2385312.5000000009</v>
      </c>
      <c r="X139" s="29">
        <f t="shared" ca="1" si="106"/>
        <v>2385312.5000000009</v>
      </c>
      <c r="Y139" s="29">
        <f t="shared" ca="1" si="106"/>
        <v>2385312.5000000009</v>
      </c>
      <c r="Z139" s="29">
        <f t="shared" ca="1" si="106"/>
        <v>2235979.166666667</v>
      </c>
      <c r="AA139" s="29">
        <f t="shared" ca="1" si="106"/>
        <v>2148333.333333334</v>
      </c>
      <c r="AB139" s="29">
        <f t="shared" ca="1" si="106"/>
        <v>2148333.333333334</v>
      </c>
      <c r="AC139" s="29">
        <f t="shared" ca="1" si="106"/>
        <v>2148333.333333334</v>
      </c>
      <c r="AD139" s="29">
        <f t="shared" ca="1" si="106"/>
        <v>2148333.3333333344</v>
      </c>
      <c r="AE139" s="29">
        <f t="shared" ca="1" si="106"/>
        <v>11248708.333333332</v>
      </c>
      <c r="AF139" s="29">
        <f t="shared" ca="1" si="106"/>
        <v>11248708.333333332</v>
      </c>
      <c r="AG139" s="29">
        <f t="shared" ca="1" si="106"/>
        <v>11248708.333333332</v>
      </c>
      <c r="AH139" s="29">
        <f t="shared" ca="1" si="106"/>
        <v>11248708.333333332</v>
      </c>
      <c r="AI139" s="29">
        <f t="shared" ca="1" si="106"/>
        <v>10452583.333333332</v>
      </c>
      <c r="AJ139" s="29">
        <f t="shared" ca="1" si="106"/>
        <v>10452583.333333332</v>
      </c>
      <c r="AK139" s="29">
        <f t="shared" ca="1" si="106"/>
        <v>10452583.333333332</v>
      </c>
      <c r="AL139" s="29">
        <f t="shared" ca="1" si="106"/>
        <v>10452583.333333332</v>
      </c>
      <c r="AM139" s="29">
        <f t="shared" ca="1" si="106"/>
        <v>9014374.9999999981</v>
      </c>
      <c r="AN139" s="29">
        <f t="shared" ca="1" si="106"/>
        <v>9014374.9999999981</v>
      </c>
      <c r="AO139" s="29">
        <f t="shared" ca="1" si="106"/>
        <v>9014374.9999999981</v>
      </c>
      <c r="AP139" s="29">
        <f t="shared" ca="1" si="106"/>
        <v>7370323.7415416576</v>
      </c>
      <c r="AQ139" s="29">
        <f t="shared" si="106"/>
        <v>0</v>
      </c>
      <c r="AR139" s="29">
        <f t="shared" si="106"/>
        <v>0</v>
      </c>
      <c r="AS139" s="29">
        <f t="shared" si="106"/>
        <v>0</v>
      </c>
      <c r="AT139" s="29">
        <f t="shared" si="106"/>
        <v>0</v>
      </c>
      <c r="AU139" s="29">
        <f t="shared" si="106"/>
        <v>0</v>
      </c>
      <c r="AV139" s="29">
        <f t="shared" si="106"/>
        <v>0</v>
      </c>
      <c r="AW139" s="29">
        <f t="shared" si="106"/>
        <v>0</v>
      </c>
      <c r="AX139" s="29">
        <f t="shared" si="106"/>
        <v>0</v>
      </c>
      <c r="AY139" s="29">
        <f t="shared" si="106"/>
        <v>0</v>
      </c>
      <c r="AZ139" s="29">
        <f t="shared" si="106"/>
        <v>0</v>
      </c>
      <c r="BA139" s="29">
        <f t="shared" si="106"/>
        <v>0</v>
      </c>
      <c r="BB139" s="29">
        <f t="shared" si="106"/>
        <v>0</v>
      </c>
      <c r="BC139" s="29">
        <f t="shared" si="106"/>
        <v>0</v>
      </c>
      <c r="BD139" s="29">
        <f t="shared" si="106"/>
        <v>0</v>
      </c>
      <c r="BE139" s="29">
        <f t="shared" si="106"/>
        <v>0</v>
      </c>
      <c r="BF139" s="29">
        <f t="shared" si="106"/>
        <v>0</v>
      </c>
      <c r="BG139" s="29">
        <f t="shared" si="106"/>
        <v>0</v>
      </c>
      <c r="BH139" s="29">
        <f t="shared" si="106"/>
        <v>0</v>
      </c>
      <c r="BI139" s="29">
        <f t="shared" si="106"/>
        <v>0</v>
      </c>
      <c r="BJ139" s="29">
        <f t="shared" si="106"/>
        <v>0</v>
      </c>
      <c r="BK139" s="29">
        <f t="shared" si="106"/>
        <v>0</v>
      </c>
      <c r="BL139" s="29">
        <f t="shared" si="106"/>
        <v>0</v>
      </c>
      <c r="BM139" s="29">
        <f t="shared" si="106"/>
        <v>0</v>
      </c>
      <c r="BN139" s="29">
        <f t="shared" si="106"/>
        <v>0</v>
      </c>
      <c r="BO139" s="29">
        <f t="shared" si="106"/>
        <v>0</v>
      </c>
      <c r="BP139" s="29">
        <f t="shared" si="106"/>
        <v>0</v>
      </c>
      <c r="BQ139" s="29">
        <f t="shared" si="106"/>
        <v>0</v>
      </c>
      <c r="BR139" s="29">
        <f t="shared" si="106"/>
        <v>0</v>
      </c>
      <c r="BS139" s="29">
        <f t="shared" si="106"/>
        <v>0</v>
      </c>
      <c r="BT139" s="29">
        <f t="shared" si="106"/>
        <v>0</v>
      </c>
      <c r="BU139" s="29">
        <f t="shared" si="106"/>
        <v>0</v>
      </c>
      <c r="BV139" s="29">
        <f t="shared" si="106"/>
        <v>0</v>
      </c>
      <c r="BW139" s="29">
        <f t="shared" si="106"/>
        <v>0</v>
      </c>
      <c r="BX139" s="29">
        <f t="shared" si="106"/>
        <v>0</v>
      </c>
      <c r="BY139" s="29">
        <f t="shared" si="106"/>
        <v>0</v>
      </c>
      <c r="BZ139" s="29">
        <f t="shared" si="106"/>
        <v>0</v>
      </c>
      <c r="CA139" s="29">
        <f t="shared" si="106"/>
        <v>0</v>
      </c>
      <c r="CB139" s="29">
        <f t="shared" si="106"/>
        <v>0</v>
      </c>
      <c r="CC139" s="29">
        <f t="shared" si="106"/>
        <v>0</v>
      </c>
      <c r="CD139" s="29">
        <f t="shared" si="106"/>
        <v>0</v>
      </c>
      <c r="CE139" s="29">
        <f t="shared" si="106"/>
        <v>0</v>
      </c>
      <c r="CF139" s="29">
        <f t="shared" si="106"/>
        <v>0</v>
      </c>
      <c r="CG139" s="29">
        <f t="shared" si="106"/>
        <v>0</v>
      </c>
      <c r="CH139" s="29">
        <f t="shared" si="106"/>
        <v>0</v>
      </c>
    </row>
    <row r="140" spans="2:86" ht="13" hidden="1" outlineLevel="1">
      <c r="B140" s="84">
        <f t="shared" si="71"/>
        <v>37</v>
      </c>
      <c r="C140" s="64">
        <f t="shared" ca="1" si="69"/>
        <v>0.47368223832437706</v>
      </c>
      <c r="D140" s="15" t="s">
        <v>238</v>
      </c>
      <c r="E140" s="29">
        <f t="shared" ca="1" si="59"/>
        <v>130167904.14813158</v>
      </c>
      <c r="F140" s="29"/>
      <c r="G140" s="29">
        <f t="shared" ref="G140:CH140" ca="1" si="107">IF(G$4&lt;=$B140,ABS(G$31)*-1+G$47,0)+IF($B140=G$4,G$81,0)</f>
        <v>-1444375</v>
      </c>
      <c r="H140" s="29">
        <f t="shared" ca="1" si="107"/>
        <v>-1344375</v>
      </c>
      <c r="I140" s="29">
        <f t="shared" ca="1" si="107"/>
        <v>-1344375</v>
      </c>
      <c r="J140" s="29">
        <f t="shared" ca="1" si="107"/>
        <v>-1344375</v>
      </c>
      <c r="K140" s="29">
        <f t="shared" ca="1" si="107"/>
        <v>-1344375</v>
      </c>
      <c r="L140" s="29">
        <f t="shared" ca="1" si="107"/>
        <v>-1344375</v>
      </c>
      <c r="M140" s="29">
        <f t="shared" ca="1" si="107"/>
        <v>-1344375</v>
      </c>
      <c r="N140" s="29">
        <f t="shared" ca="1" si="107"/>
        <v>-1344375</v>
      </c>
      <c r="O140" s="29">
        <f t="shared" ca="1" si="107"/>
        <v>-1344375</v>
      </c>
      <c r="P140" s="29">
        <f t="shared" ca="1" si="107"/>
        <v>-1344375</v>
      </c>
      <c r="Q140" s="29">
        <f t="shared" ca="1" si="107"/>
        <v>-1344375</v>
      </c>
      <c r="R140" s="29">
        <f t="shared" ca="1" si="107"/>
        <v>-1344375</v>
      </c>
      <c r="S140" s="29">
        <f t="shared" ca="1" si="107"/>
        <v>-534270.83333333279</v>
      </c>
      <c r="T140" s="29">
        <f t="shared" ca="1" si="107"/>
        <v>-534270.83333333279</v>
      </c>
      <c r="U140" s="29">
        <f t="shared" ca="1" si="107"/>
        <v>-534270.83333333279</v>
      </c>
      <c r="V140" s="29">
        <f t="shared" ca="1" si="107"/>
        <v>-534270.83333333279</v>
      </c>
      <c r="W140" s="29">
        <f t="shared" ca="1" si="107"/>
        <v>2385312.5000000009</v>
      </c>
      <c r="X140" s="29">
        <f t="shared" ca="1" si="107"/>
        <v>2385312.5000000009</v>
      </c>
      <c r="Y140" s="29">
        <f t="shared" ca="1" si="107"/>
        <v>2385312.5000000009</v>
      </c>
      <c r="Z140" s="29">
        <f t="shared" ca="1" si="107"/>
        <v>2235979.166666667</v>
      </c>
      <c r="AA140" s="29">
        <f t="shared" ca="1" si="107"/>
        <v>2148333.333333334</v>
      </c>
      <c r="AB140" s="29">
        <f t="shared" ca="1" si="107"/>
        <v>2148333.333333334</v>
      </c>
      <c r="AC140" s="29">
        <f t="shared" ca="1" si="107"/>
        <v>2148333.333333334</v>
      </c>
      <c r="AD140" s="29">
        <f t="shared" ca="1" si="107"/>
        <v>2148333.3333333344</v>
      </c>
      <c r="AE140" s="29">
        <f t="shared" ca="1" si="107"/>
        <v>11248708.333333332</v>
      </c>
      <c r="AF140" s="29">
        <f t="shared" ca="1" si="107"/>
        <v>11248708.333333332</v>
      </c>
      <c r="AG140" s="29">
        <f t="shared" ca="1" si="107"/>
        <v>11248708.333333332</v>
      </c>
      <c r="AH140" s="29">
        <f t="shared" ca="1" si="107"/>
        <v>11248708.333333332</v>
      </c>
      <c r="AI140" s="29">
        <f t="shared" ca="1" si="107"/>
        <v>10452583.333333332</v>
      </c>
      <c r="AJ140" s="29">
        <f t="shared" ca="1" si="107"/>
        <v>10452583.333333332</v>
      </c>
      <c r="AK140" s="29">
        <f t="shared" ca="1" si="107"/>
        <v>10452583.333333332</v>
      </c>
      <c r="AL140" s="29">
        <f t="shared" ca="1" si="107"/>
        <v>10452583.333333332</v>
      </c>
      <c r="AM140" s="29">
        <f t="shared" ca="1" si="107"/>
        <v>9014374.9999999981</v>
      </c>
      <c r="AN140" s="29">
        <f t="shared" ca="1" si="107"/>
        <v>9014374.9999999981</v>
      </c>
      <c r="AO140" s="29">
        <f t="shared" ca="1" si="107"/>
        <v>9014374.9999999981</v>
      </c>
      <c r="AP140" s="29">
        <f t="shared" ca="1" si="107"/>
        <v>9014374.9999999981</v>
      </c>
      <c r="AQ140" s="29">
        <f t="shared" ca="1" si="107"/>
        <v>7689570.8147982722</v>
      </c>
      <c r="AR140" s="29">
        <f t="shared" si="107"/>
        <v>0</v>
      </c>
      <c r="AS140" s="29">
        <f t="shared" si="107"/>
        <v>0</v>
      </c>
      <c r="AT140" s="29">
        <f t="shared" si="107"/>
        <v>0</v>
      </c>
      <c r="AU140" s="29">
        <f t="shared" si="107"/>
        <v>0</v>
      </c>
      <c r="AV140" s="29">
        <f t="shared" si="107"/>
        <v>0</v>
      </c>
      <c r="AW140" s="29">
        <f t="shared" si="107"/>
        <v>0</v>
      </c>
      <c r="AX140" s="29">
        <f t="shared" si="107"/>
        <v>0</v>
      </c>
      <c r="AY140" s="29">
        <f t="shared" si="107"/>
        <v>0</v>
      </c>
      <c r="AZ140" s="29">
        <f t="shared" si="107"/>
        <v>0</v>
      </c>
      <c r="BA140" s="29">
        <f t="shared" si="107"/>
        <v>0</v>
      </c>
      <c r="BB140" s="29">
        <f t="shared" si="107"/>
        <v>0</v>
      </c>
      <c r="BC140" s="29">
        <f t="shared" si="107"/>
        <v>0</v>
      </c>
      <c r="BD140" s="29">
        <f t="shared" si="107"/>
        <v>0</v>
      </c>
      <c r="BE140" s="29">
        <f t="shared" si="107"/>
        <v>0</v>
      </c>
      <c r="BF140" s="29">
        <f t="shared" si="107"/>
        <v>0</v>
      </c>
      <c r="BG140" s="29">
        <f t="shared" si="107"/>
        <v>0</v>
      </c>
      <c r="BH140" s="29">
        <f t="shared" si="107"/>
        <v>0</v>
      </c>
      <c r="BI140" s="29">
        <f t="shared" si="107"/>
        <v>0</v>
      </c>
      <c r="BJ140" s="29">
        <f t="shared" si="107"/>
        <v>0</v>
      </c>
      <c r="BK140" s="29">
        <f t="shared" si="107"/>
        <v>0</v>
      </c>
      <c r="BL140" s="29">
        <f t="shared" si="107"/>
        <v>0</v>
      </c>
      <c r="BM140" s="29">
        <f t="shared" si="107"/>
        <v>0</v>
      </c>
      <c r="BN140" s="29">
        <f t="shared" si="107"/>
        <v>0</v>
      </c>
      <c r="BO140" s="29">
        <f t="shared" si="107"/>
        <v>0</v>
      </c>
      <c r="BP140" s="29">
        <f t="shared" si="107"/>
        <v>0</v>
      </c>
      <c r="BQ140" s="29">
        <f t="shared" si="107"/>
        <v>0</v>
      </c>
      <c r="BR140" s="29">
        <f t="shared" si="107"/>
        <v>0</v>
      </c>
      <c r="BS140" s="29">
        <f t="shared" si="107"/>
        <v>0</v>
      </c>
      <c r="BT140" s="29">
        <f t="shared" si="107"/>
        <v>0</v>
      </c>
      <c r="BU140" s="29">
        <f t="shared" si="107"/>
        <v>0</v>
      </c>
      <c r="BV140" s="29">
        <f t="shared" si="107"/>
        <v>0</v>
      </c>
      <c r="BW140" s="29">
        <f t="shared" si="107"/>
        <v>0</v>
      </c>
      <c r="BX140" s="29">
        <f t="shared" si="107"/>
        <v>0</v>
      </c>
      <c r="BY140" s="29">
        <f t="shared" si="107"/>
        <v>0</v>
      </c>
      <c r="BZ140" s="29">
        <f t="shared" si="107"/>
        <v>0</v>
      </c>
      <c r="CA140" s="29">
        <f t="shared" si="107"/>
        <v>0</v>
      </c>
      <c r="CB140" s="29">
        <f t="shared" si="107"/>
        <v>0</v>
      </c>
      <c r="CC140" s="29">
        <f t="shared" si="107"/>
        <v>0</v>
      </c>
      <c r="CD140" s="29">
        <f t="shared" si="107"/>
        <v>0</v>
      </c>
      <c r="CE140" s="29">
        <f t="shared" si="107"/>
        <v>0</v>
      </c>
      <c r="CF140" s="29">
        <f t="shared" si="107"/>
        <v>0</v>
      </c>
      <c r="CG140" s="29">
        <f t="shared" si="107"/>
        <v>0</v>
      </c>
      <c r="CH140" s="29">
        <f t="shared" si="107"/>
        <v>0</v>
      </c>
    </row>
    <row r="141" spans="2:86" ht="13" hidden="1" outlineLevel="1">
      <c r="B141" s="84">
        <f t="shared" si="71"/>
        <v>38</v>
      </c>
      <c r="C141" s="64">
        <f t="shared" ca="1" si="69"/>
        <v>0.4804907348124472</v>
      </c>
      <c r="D141" s="15" t="s">
        <v>238</v>
      </c>
      <c r="E141" s="29">
        <f t="shared" ca="1" si="59"/>
        <v>139467189.19782504</v>
      </c>
      <c r="F141" s="29"/>
      <c r="G141" s="29">
        <f t="shared" ref="G141:CH141" ca="1" si="108">IF(G$4&lt;=$B141,ABS(G$31)*-1+G$47,0)+IF($B141=G$4,G$81,0)</f>
        <v>-1444375</v>
      </c>
      <c r="H141" s="29">
        <f t="shared" ca="1" si="108"/>
        <v>-1344375</v>
      </c>
      <c r="I141" s="29">
        <f t="shared" ca="1" si="108"/>
        <v>-1344375</v>
      </c>
      <c r="J141" s="29">
        <f t="shared" ca="1" si="108"/>
        <v>-1344375</v>
      </c>
      <c r="K141" s="29">
        <f t="shared" ca="1" si="108"/>
        <v>-1344375</v>
      </c>
      <c r="L141" s="29">
        <f t="shared" ca="1" si="108"/>
        <v>-1344375</v>
      </c>
      <c r="M141" s="29">
        <f t="shared" ca="1" si="108"/>
        <v>-1344375</v>
      </c>
      <c r="N141" s="29">
        <f t="shared" ca="1" si="108"/>
        <v>-1344375</v>
      </c>
      <c r="O141" s="29">
        <f t="shared" ca="1" si="108"/>
        <v>-1344375</v>
      </c>
      <c r="P141" s="29">
        <f t="shared" ca="1" si="108"/>
        <v>-1344375</v>
      </c>
      <c r="Q141" s="29">
        <f t="shared" ca="1" si="108"/>
        <v>-1344375</v>
      </c>
      <c r="R141" s="29">
        <f t="shared" ca="1" si="108"/>
        <v>-1344375</v>
      </c>
      <c r="S141" s="29">
        <f t="shared" ca="1" si="108"/>
        <v>-534270.83333333279</v>
      </c>
      <c r="T141" s="29">
        <f t="shared" ca="1" si="108"/>
        <v>-534270.83333333279</v>
      </c>
      <c r="U141" s="29">
        <f t="shared" ca="1" si="108"/>
        <v>-534270.83333333279</v>
      </c>
      <c r="V141" s="29">
        <f t="shared" ca="1" si="108"/>
        <v>-534270.83333333279</v>
      </c>
      <c r="W141" s="29">
        <f t="shared" ca="1" si="108"/>
        <v>2385312.5000000009</v>
      </c>
      <c r="X141" s="29">
        <f t="shared" ca="1" si="108"/>
        <v>2385312.5000000009</v>
      </c>
      <c r="Y141" s="29">
        <f t="shared" ca="1" si="108"/>
        <v>2385312.5000000009</v>
      </c>
      <c r="Z141" s="29">
        <f t="shared" ca="1" si="108"/>
        <v>2235979.166666667</v>
      </c>
      <c r="AA141" s="29">
        <f t="shared" ca="1" si="108"/>
        <v>2148333.333333334</v>
      </c>
      <c r="AB141" s="29">
        <f t="shared" ca="1" si="108"/>
        <v>2148333.333333334</v>
      </c>
      <c r="AC141" s="29">
        <f t="shared" ca="1" si="108"/>
        <v>2148333.333333334</v>
      </c>
      <c r="AD141" s="29">
        <f t="shared" ca="1" si="108"/>
        <v>2148333.3333333344</v>
      </c>
      <c r="AE141" s="29">
        <f t="shared" ca="1" si="108"/>
        <v>11248708.333333332</v>
      </c>
      <c r="AF141" s="29">
        <f t="shared" ca="1" si="108"/>
        <v>11248708.333333332</v>
      </c>
      <c r="AG141" s="29">
        <f t="shared" ca="1" si="108"/>
        <v>11248708.333333332</v>
      </c>
      <c r="AH141" s="29">
        <f t="shared" ca="1" si="108"/>
        <v>11248708.333333332</v>
      </c>
      <c r="AI141" s="29">
        <f t="shared" ca="1" si="108"/>
        <v>10452583.333333332</v>
      </c>
      <c r="AJ141" s="29">
        <f t="shared" ca="1" si="108"/>
        <v>10452583.333333332</v>
      </c>
      <c r="AK141" s="29">
        <f t="shared" ca="1" si="108"/>
        <v>10452583.333333332</v>
      </c>
      <c r="AL141" s="29">
        <f t="shared" ca="1" si="108"/>
        <v>10452583.333333332</v>
      </c>
      <c r="AM141" s="29">
        <f t="shared" ca="1" si="108"/>
        <v>9014374.9999999981</v>
      </c>
      <c r="AN141" s="29">
        <f t="shared" ca="1" si="108"/>
        <v>9014374.9999999981</v>
      </c>
      <c r="AO141" s="29">
        <f t="shared" ca="1" si="108"/>
        <v>9014374.9999999981</v>
      </c>
      <c r="AP141" s="29">
        <f t="shared" ca="1" si="108"/>
        <v>9014374.9999999981</v>
      </c>
      <c r="AQ141" s="29">
        <f t="shared" ca="1" si="108"/>
        <v>10540312.499999996</v>
      </c>
      <c r="AR141" s="29">
        <f t="shared" ca="1" si="108"/>
        <v>6448543.3644917179</v>
      </c>
      <c r="AS141" s="29">
        <f t="shared" si="108"/>
        <v>0</v>
      </c>
      <c r="AT141" s="29">
        <f t="shared" si="108"/>
        <v>0</v>
      </c>
      <c r="AU141" s="29">
        <f t="shared" si="108"/>
        <v>0</v>
      </c>
      <c r="AV141" s="29">
        <f t="shared" si="108"/>
        <v>0</v>
      </c>
      <c r="AW141" s="29">
        <f t="shared" si="108"/>
        <v>0</v>
      </c>
      <c r="AX141" s="29">
        <f t="shared" si="108"/>
        <v>0</v>
      </c>
      <c r="AY141" s="29">
        <f t="shared" si="108"/>
        <v>0</v>
      </c>
      <c r="AZ141" s="29">
        <f t="shared" si="108"/>
        <v>0</v>
      </c>
      <c r="BA141" s="29">
        <f t="shared" si="108"/>
        <v>0</v>
      </c>
      <c r="BB141" s="29">
        <f t="shared" si="108"/>
        <v>0</v>
      </c>
      <c r="BC141" s="29">
        <f t="shared" si="108"/>
        <v>0</v>
      </c>
      <c r="BD141" s="29">
        <f t="shared" si="108"/>
        <v>0</v>
      </c>
      <c r="BE141" s="29">
        <f t="shared" si="108"/>
        <v>0</v>
      </c>
      <c r="BF141" s="29">
        <f t="shared" si="108"/>
        <v>0</v>
      </c>
      <c r="BG141" s="29">
        <f t="shared" si="108"/>
        <v>0</v>
      </c>
      <c r="BH141" s="29">
        <f t="shared" si="108"/>
        <v>0</v>
      </c>
      <c r="BI141" s="29">
        <f t="shared" si="108"/>
        <v>0</v>
      </c>
      <c r="BJ141" s="29">
        <f t="shared" si="108"/>
        <v>0</v>
      </c>
      <c r="BK141" s="29">
        <f t="shared" si="108"/>
        <v>0</v>
      </c>
      <c r="BL141" s="29">
        <f t="shared" si="108"/>
        <v>0</v>
      </c>
      <c r="BM141" s="29">
        <f t="shared" si="108"/>
        <v>0</v>
      </c>
      <c r="BN141" s="29">
        <f t="shared" si="108"/>
        <v>0</v>
      </c>
      <c r="BO141" s="29">
        <f t="shared" si="108"/>
        <v>0</v>
      </c>
      <c r="BP141" s="29">
        <f t="shared" si="108"/>
        <v>0</v>
      </c>
      <c r="BQ141" s="29">
        <f t="shared" si="108"/>
        <v>0</v>
      </c>
      <c r="BR141" s="29">
        <f t="shared" si="108"/>
        <v>0</v>
      </c>
      <c r="BS141" s="29">
        <f t="shared" si="108"/>
        <v>0</v>
      </c>
      <c r="BT141" s="29">
        <f t="shared" si="108"/>
        <v>0</v>
      </c>
      <c r="BU141" s="29">
        <f t="shared" si="108"/>
        <v>0</v>
      </c>
      <c r="BV141" s="29">
        <f t="shared" si="108"/>
        <v>0</v>
      </c>
      <c r="BW141" s="29">
        <f t="shared" si="108"/>
        <v>0</v>
      </c>
      <c r="BX141" s="29">
        <f t="shared" si="108"/>
        <v>0</v>
      </c>
      <c r="BY141" s="29">
        <f t="shared" si="108"/>
        <v>0</v>
      </c>
      <c r="BZ141" s="29">
        <f t="shared" si="108"/>
        <v>0</v>
      </c>
      <c r="CA141" s="29">
        <f t="shared" si="108"/>
        <v>0</v>
      </c>
      <c r="CB141" s="29">
        <f t="shared" si="108"/>
        <v>0</v>
      </c>
      <c r="CC141" s="29">
        <f t="shared" si="108"/>
        <v>0</v>
      </c>
      <c r="CD141" s="29">
        <f t="shared" si="108"/>
        <v>0</v>
      </c>
      <c r="CE141" s="29">
        <f t="shared" si="108"/>
        <v>0</v>
      </c>
      <c r="CF141" s="29">
        <f t="shared" si="108"/>
        <v>0</v>
      </c>
      <c r="CG141" s="29">
        <f t="shared" si="108"/>
        <v>0</v>
      </c>
      <c r="CH141" s="29">
        <f t="shared" si="108"/>
        <v>0</v>
      </c>
    </row>
    <row r="142" spans="2:86" ht="13" hidden="1" outlineLevel="1">
      <c r="B142" s="84">
        <f t="shared" si="71"/>
        <v>39</v>
      </c>
      <c r="C142" s="64">
        <f t="shared" ca="1" si="69"/>
        <v>0.48646913836004457</v>
      </c>
      <c r="D142" s="15" t="s">
        <v>238</v>
      </c>
      <c r="E142" s="29">
        <f t="shared" ca="1" si="59"/>
        <v>148732137.2239553</v>
      </c>
      <c r="F142" s="29"/>
      <c r="G142" s="29">
        <f t="shared" ref="G142:CH142" ca="1" si="109">IF(G$4&lt;=$B142,ABS(G$31)*-1+G$47,0)+IF($B142=G$4,G$81,0)</f>
        <v>-1444375</v>
      </c>
      <c r="H142" s="29">
        <f t="shared" ca="1" si="109"/>
        <v>-1344375</v>
      </c>
      <c r="I142" s="29">
        <f t="shared" ca="1" si="109"/>
        <v>-1344375</v>
      </c>
      <c r="J142" s="29">
        <f t="shared" ca="1" si="109"/>
        <v>-1344375</v>
      </c>
      <c r="K142" s="29">
        <f t="shared" ca="1" si="109"/>
        <v>-1344375</v>
      </c>
      <c r="L142" s="29">
        <f t="shared" ca="1" si="109"/>
        <v>-1344375</v>
      </c>
      <c r="M142" s="29">
        <f t="shared" ca="1" si="109"/>
        <v>-1344375</v>
      </c>
      <c r="N142" s="29">
        <f t="shared" ca="1" si="109"/>
        <v>-1344375</v>
      </c>
      <c r="O142" s="29">
        <f t="shared" ca="1" si="109"/>
        <v>-1344375</v>
      </c>
      <c r="P142" s="29">
        <f t="shared" ca="1" si="109"/>
        <v>-1344375</v>
      </c>
      <c r="Q142" s="29">
        <f t="shared" ca="1" si="109"/>
        <v>-1344375</v>
      </c>
      <c r="R142" s="29">
        <f t="shared" ca="1" si="109"/>
        <v>-1344375</v>
      </c>
      <c r="S142" s="29">
        <f t="shared" ca="1" si="109"/>
        <v>-534270.83333333279</v>
      </c>
      <c r="T142" s="29">
        <f t="shared" ca="1" si="109"/>
        <v>-534270.83333333279</v>
      </c>
      <c r="U142" s="29">
        <f t="shared" ca="1" si="109"/>
        <v>-534270.83333333279</v>
      </c>
      <c r="V142" s="29">
        <f t="shared" ca="1" si="109"/>
        <v>-534270.83333333279</v>
      </c>
      <c r="W142" s="29">
        <f t="shared" ca="1" si="109"/>
        <v>2385312.5000000009</v>
      </c>
      <c r="X142" s="29">
        <f t="shared" ca="1" si="109"/>
        <v>2385312.5000000009</v>
      </c>
      <c r="Y142" s="29">
        <f t="shared" ca="1" si="109"/>
        <v>2385312.5000000009</v>
      </c>
      <c r="Z142" s="29">
        <f t="shared" ca="1" si="109"/>
        <v>2235979.166666667</v>
      </c>
      <c r="AA142" s="29">
        <f t="shared" ca="1" si="109"/>
        <v>2148333.333333334</v>
      </c>
      <c r="AB142" s="29">
        <f t="shared" ca="1" si="109"/>
        <v>2148333.333333334</v>
      </c>
      <c r="AC142" s="29">
        <f t="shared" ca="1" si="109"/>
        <v>2148333.333333334</v>
      </c>
      <c r="AD142" s="29">
        <f t="shared" ca="1" si="109"/>
        <v>2148333.3333333344</v>
      </c>
      <c r="AE142" s="29">
        <f t="shared" ca="1" si="109"/>
        <v>11248708.333333332</v>
      </c>
      <c r="AF142" s="29">
        <f t="shared" ca="1" si="109"/>
        <v>11248708.333333332</v>
      </c>
      <c r="AG142" s="29">
        <f t="shared" ca="1" si="109"/>
        <v>11248708.333333332</v>
      </c>
      <c r="AH142" s="29">
        <f t="shared" ca="1" si="109"/>
        <v>11248708.333333332</v>
      </c>
      <c r="AI142" s="29">
        <f t="shared" ca="1" si="109"/>
        <v>10452583.333333332</v>
      </c>
      <c r="AJ142" s="29">
        <f t="shared" ca="1" si="109"/>
        <v>10452583.333333332</v>
      </c>
      <c r="AK142" s="29">
        <f t="shared" ca="1" si="109"/>
        <v>10452583.333333332</v>
      </c>
      <c r="AL142" s="29">
        <f t="shared" ca="1" si="109"/>
        <v>10452583.333333332</v>
      </c>
      <c r="AM142" s="29">
        <f t="shared" ca="1" si="109"/>
        <v>9014374.9999999981</v>
      </c>
      <c r="AN142" s="29">
        <f t="shared" ca="1" si="109"/>
        <v>9014374.9999999981</v>
      </c>
      <c r="AO142" s="29">
        <f t="shared" ca="1" si="109"/>
        <v>9014374.9999999981</v>
      </c>
      <c r="AP142" s="29">
        <f t="shared" ca="1" si="109"/>
        <v>9014374.9999999981</v>
      </c>
      <c r="AQ142" s="29">
        <f t="shared" ca="1" si="109"/>
        <v>10540312.499999996</v>
      </c>
      <c r="AR142" s="29">
        <f t="shared" ca="1" si="109"/>
        <v>10540312.499999996</v>
      </c>
      <c r="AS142" s="29">
        <f t="shared" ca="1" si="109"/>
        <v>5173178.8906219918</v>
      </c>
      <c r="AT142" s="29">
        <f t="shared" si="109"/>
        <v>0</v>
      </c>
      <c r="AU142" s="29">
        <f t="shared" si="109"/>
        <v>0</v>
      </c>
      <c r="AV142" s="29">
        <f t="shared" si="109"/>
        <v>0</v>
      </c>
      <c r="AW142" s="29">
        <f t="shared" si="109"/>
        <v>0</v>
      </c>
      <c r="AX142" s="29">
        <f t="shared" si="109"/>
        <v>0</v>
      </c>
      <c r="AY142" s="29">
        <f t="shared" si="109"/>
        <v>0</v>
      </c>
      <c r="AZ142" s="29">
        <f t="shared" si="109"/>
        <v>0</v>
      </c>
      <c r="BA142" s="29">
        <f t="shared" si="109"/>
        <v>0</v>
      </c>
      <c r="BB142" s="29">
        <f t="shared" si="109"/>
        <v>0</v>
      </c>
      <c r="BC142" s="29">
        <f t="shared" si="109"/>
        <v>0</v>
      </c>
      <c r="BD142" s="29">
        <f t="shared" si="109"/>
        <v>0</v>
      </c>
      <c r="BE142" s="29">
        <f t="shared" si="109"/>
        <v>0</v>
      </c>
      <c r="BF142" s="29">
        <f t="shared" si="109"/>
        <v>0</v>
      </c>
      <c r="BG142" s="29">
        <f t="shared" si="109"/>
        <v>0</v>
      </c>
      <c r="BH142" s="29">
        <f t="shared" si="109"/>
        <v>0</v>
      </c>
      <c r="BI142" s="29">
        <f t="shared" si="109"/>
        <v>0</v>
      </c>
      <c r="BJ142" s="29">
        <f t="shared" si="109"/>
        <v>0</v>
      </c>
      <c r="BK142" s="29">
        <f t="shared" si="109"/>
        <v>0</v>
      </c>
      <c r="BL142" s="29">
        <f t="shared" si="109"/>
        <v>0</v>
      </c>
      <c r="BM142" s="29">
        <f t="shared" si="109"/>
        <v>0</v>
      </c>
      <c r="BN142" s="29">
        <f t="shared" si="109"/>
        <v>0</v>
      </c>
      <c r="BO142" s="29">
        <f t="shared" si="109"/>
        <v>0</v>
      </c>
      <c r="BP142" s="29">
        <f t="shared" si="109"/>
        <v>0</v>
      </c>
      <c r="BQ142" s="29">
        <f t="shared" si="109"/>
        <v>0</v>
      </c>
      <c r="BR142" s="29">
        <f t="shared" si="109"/>
        <v>0</v>
      </c>
      <c r="BS142" s="29">
        <f t="shared" si="109"/>
        <v>0</v>
      </c>
      <c r="BT142" s="29">
        <f t="shared" si="109"/>
        <v>0</v>
      </c>
      <c r="BU142" s="29">
        <f t="shared" si="109"/>
        <v>0</v>
      </c>
      <c r="BV142" s="29">
        <f t="shared" si="109"/>
        <v>0</v>
      </c>
      <c r="BW142" s="29">
        <f t="shared" si="109"/>
        <v>0</v>
      </c>
      <c r="BX142" s="29">
        <f t="shared" si="109"/>
        <v>0</v>
      </c>
      <c r="BY142" s="29">
        <f t="shared" si="109"/>
        <v>0</v>
      </c>
      <c r="BZ142" s="29">
        <f t="shared" si="109"/>
        <v>0</v>
      </c>
      <c r="CA142" s="29">
        <f t="shared" si="109"/>
        <v>0</v>
      </c>
      <c r="CB142" s="29">
        <f t="shared" si="109"/>
        <v>0</v>
      </c>
      <c r="CC142" s="29">
        <f t="shared" si="109"/>
        <v>0</v>
      </c>
      <c r="CD142" s="29">
        <f t="shared" si="109"/>
        <v>0</v>
      </c>
      <c r="CE142" s="29">
        <f t="shared" si="109"/>
        <v>0</v>
      </c>
      <c r="CF142" s="29">
        <f t="shared" si="109"/>
        <v>0</v>
      </c>
      <c r="CG142" s="29">
        <f t="shared" si="109"/>
        <v>0</v>
      </c>
      <c r="CH142" s="29">
        <f t="shared" si="109"/>
        <v>0</v>
      </c>
    </row>
    <row r="143" spans="2:86" ht="13" hidden="1" outlineLevel="1">
      <c r="B143" s="84">
        <f t="shared" si="71"/>
        <v>40</v>
      </c>
      <c r="C143" s="64">
        <f t="shared" ca="1" si="69"/>
        <v>0.49521884822756768</v>
      </c>
      <c r="D143" s="15" t="s">
        <v>238</v>
      </c>
      <c r="E143" s="29">
        <f t="shared" ca="1" si="59"/>
        <v>164639583.33333331</v>
      </c>
      <c r="F143" s="29"/>
      <c r="G143" s="29">
        <f t="shared" ref="G143:CH143" ca="1" si="110">IF(G$4&lt;=$B143,ABS(G$31)*-1+G$47,0)+IF($B143=G$4,G$81,0)</f>
        <v>-1444375</v>
      </c>
      <c r="H143" s="29">
        <f t="shared" ca="1" si="110"/>
        <v>-1344375</v>
      </c>
      <c r="I143" s="29">
        <f t="shared" ca="1" si="110"/>
        <v>-1344375</v>
      </c>
      <c r="J143" s="29">
        <f t="shared" ca="1" si="110"/>
        <v>-1344375</v>
      </c>
      <c r="K143" s="29">
        <f t="shared" ca="1" si="110"/>
        <v>-1344375</v>
      </c>
      <c r="L143" s="29">
        <f t="shared" ca="1" si="110"/>
        <v>-1344375</v>
      </c>
      <c r="M143" s="29">
        <f t="shared" ca="1" si="110"/>
        <v>-1344375</v>
      </c>
      <c r="N143" s="29">
        <f t="shared" ca="1" si="110"/>
        <v>-1344375</v>
      </c>
      <c r="O143" s="29">
        <f t="shared" ca="1" si="110"/>
        <v>-1344375</v>
      </c>
      <c r="P143" s="29">
        <f t="shared" ca="1" si="110"/>
        <v>-1344375</v>
      </c>
      <c r="Q143" s="29">
        <f t="shared" ca="1" si="110"/>
        <v>-1344375</v>
      </c>
      <c r="R143" s="29">
        <f t="shared" ca="1" si="110"/>
        <v>-1344375</v>
      </c>
      <c r="S143" s="29">
        <f t="shared" ca="1" si="110"/>
        <v>-534270.83333333279</v>
      </c>
      <c r="T143" s="29">
        <f t="shared" ca="1" si="110"/>
        <v>-534270.83333333279</v>
      </c>
      <c r="U143" s="29">
        <f t="shared" ca="1" si="110"/>
        <v>-534270.83333333279</v>
      </c>
      <c r="V143" s="29">
        <f t="shared" ca="1" si="110"/>
        <v>-534270.83333333279</v>
      </c>
      <c r="W143" s="29">
        <f t="shared" ca="1" si="110"/>
        <v>2385312.5000000009</v>
      </c>
      <c r="X143" s="29">
        <f t="shared" ca="1" si="110"/>
        <v>2385312.5000000009</v>
      </c>
      <c r="Y143" s="29">
        <f t="shared" ca="1" si="110"/>
        <v>2385312.5000000009</v>
      </c>
      <c r="Z143" s="29">
        <f t="shared" ca="1" si="110"/>
        <v>2235979.166666667</v>
      </c>
      <c r="AA143" s="29">
        <f t="shared" ca="1" si="110"/>
        <v>2148333.333333334</v>
      </c>
      <c r="AB143" s="29">
        <f t="shared" ca="1" si="110"/>
        <v>2148333.333333334</v>
      </c>
      <c r="AC143" s="29">
        <f t="shared" ca="1" si="110"/>
        <v>2148333.333333334</v>
      </c>
      <c r="AD143" s="29">
        <f t="shared" ca="1" si="110"/>
        <v>2148333.3333333344</v>
      </c>
      <c r="AE143" s="29">
        <f t="shared" ca="1" si="110"/>
        <v>11248708.333333332</v>
      </c>
      <c r="AF143" s="29">
        <f t="shared" ca="1" si="110"/>
        <v>11248708.333333332</v>
      </c>
      <c r="AG143" s="29">
        <f t="shared" ca="1" si="110"/>
        <v>11248708.333333332</v>
      </c>
      <c r="AH143" s="29">
        <f t="shared" ca="1" si="110"/>
        <v>11248708.333333332</v>
      </c>
      <c r="AI143" s="29">
        <f t="shared" ca="1" si="110"/>
        <v>10452583.333333332</v>
      </c>
      <c r="AJ143" s="29">
        <f t="shared" ca="1" si="110"/>
        <v>10452583.333333332</v>
      </c>
      <c r="AK143" s="29">
        <f t="shared" ca="1" si="110"/>
        <v>10452583.333333332</v>
      </c>
      <c r="AL143" s="29">
        <f t="shared" ca="1" si="110"/>
        <v>10452583.333333332</v>
      </c>
      <c r="AM143" s="29">
        <f t="shared" ca="1" si="110"/>
        <v>9014374.9999999981</v>
      </c>
      <c r="AN143" s="29">
        <f t="shared" ca="1" si="110"/>
        <v>9014374.9999999981</v>
      </c>
      <c r="AO143" s="29">
        <f t="shared" ca="1" si="110"/>
        <v>9014374.9999999981</v>
      </c>
      <c r="AP143" s="29">
        <f t="shared" ca="1" si="110"/>
        <v>9014374.9999999981</v>
      </c>
      <c r="AQ143" s="29">
        <f t="shared" ca="1" si="110"/>
        <v>10540312.499999996</v>
      </c>
      <c r="AR143" s="29">
        <f t="shared" ca="1" si="110"/>
        <v>10540312.499999996</v>
      </c>
      <c r="AS143" s="29">
        <f t="shared" ca="1" si="110"/>
        <v>10540312.499999996</v>
      </c>
      <c r="AT143" s="29">
        <f t="shared" ca="1" si="110"/>
        <v>10540312.499999996</v>
      </c>
      <c r="AU143" s="29">
        <f t="shared" si="110"/>
        <v>0</v>
      </c>
      <c r="AV143" s="29">
        <f t="shared" si="110"/>
        <v>0</v>
      </c>
      <c r="AW143" s="29">
        <f t="shared" si="110"/>
        <v>0</v>
      </c>
      <c r="AX143" s="29">
        <f t="shared" si="110"/>
        <v>0</v>
      </c>
      <c r="AY143" s="29">
        <f t="shared" si="110"/>
        <v>0</v>
      </c>
      <c r="AZ143" s="29">
        <f t="shared" si="110"/>
        <v>0</v>
      </c>
      <c r="BA143" s="29">
        <f t="shared" si="110"/>
        <v>0</v>
      </c>
      <c r="BB143" s="29">
        <f t="shared" si="110"/>
        <v>0</v>
      </c>
      <c r="BC143" s="29">
        <f t="shared" si="110"/>
        <v>0</v>
      </c>
      <c r="BD143" s="29">
        <f t="shared" si="110"/>
        <v>0</v>
      </c>
      <c r="BE143" s="29">
        <f t="shared" si="110"/>
        <v>0</v>
      </c>
      <c r="BF143" s="29">
        <f t="shared" si="110"/>
        <v>0</v>
      </c>
      <c r="BG143" s="29">
        <f t="shared" si="110"/>
        <v>0</v>
      </c>
      <c r="BH143" s="29">
        <f t="shared" si="110"/>
        <v>0</v>
      </c>
      <c r="BI143" s="29">
        <f t="shared" si="110"/>
        <v>0</v>
      </c>
      <c r="BJ143" s="29">
        <f t="shared" si="110"/>
        <v>0</v>
      </c>
      <c r="BK143" s="29">
        <f t="shared" si="110"/>
        <v>0</v>
      </c>
      <c r="BL143" s="29">
        <f t="shared" si="110"/>
        <v>0</v>
      </c>
      <c r="BM143" s="29">
        <f t="shared" si="110"/>
        <v>0</v>
      </c>
      <c r="BN143" s="29">
        <f t="shared" si="110"/>
        <v>0</v>
      </c>
      <c r="BO143" s="29">
        <f t="shared" si="110"/>
        <v>0</v>
      </c>
      <c r="BP143" s="29">
        <f t="shared" si="110"/>
        <v>0</v>
      </c>
      <c r="BQ143" s="29">
        <f t="shared" si="110"/>
        <v>0</v>
      </c>
      <c r="BR143" s="29">
        <f t="shared" si="110"/>
        <v>0</v>
      </c>
      <c r="BS143" s="29">
        <f t="shared" si="110"/>
        <v>0</v>
      </c>
      <c r="BT143" s="29">
        <f t="shared" si="110"/>
        <v>0</v>
      </c>
      <c r="BU143" s="29">
        <f t="shared" si="110"/>
        <v>0</v>
      </c>
      <c r="BV143" s="29">
        <f t="shared" si="110"/>
        <v>0</v>
      </c>
      <c r="BW143" s="29">
        <f t="shared" si="110"/>
        <v>0</v>
      </c>
      <c r="BX143" s="29">
        <f t="shared" si="110"/>
        <v>0</v>
      </c>
      <c r="BY143" s="29">
        <f t="shared" si="110"/>
        <v>0</v>
      </c>
      <c r="BZ143" s="29">
        <f t="shared" si="110"/>
        <v>0</v>
      </c>
      <c r="CA143" s="29">
        <f t="shared" si="110"/>
        <v>0</v>
      </c>
      <c r="CB143" s="29">
        <f t="shared" si="110"/>
        <v>0</v>
      </c>
      <c r="CC143" s="29">
        <f t="shared" si="110"/>
        <v>0</v>
      </c>
      <c r="CD143" s="29">
        <f t="shared" si="110"/>
        <v>0</v>
      </c>
      <c r="CE143" s="29">
        <f t="shared" si="110"/>
        <v>0</v>
      </c>
      <c r="CF143" s="29">
        <f t="shared" si="110"/>
        <v>0</v>
      </c>
      <c r="CG143" s="29">
        <f t="shared" si="110"/>
        <v>0</v>
      </c>
      <c r="CH143" s="29">
        <f t="shared" si="110"/>
        <v>0</v>
      </c>
    </row>
    <row r="144" spans="2:86" ht="13" hidden="1" outlineLevel="1">
      <c r="B144" s="84">
        <f t="shared" si="71"/>
        <v>41</v>
      </c>
      <c r="C144" s="64">
        <f t="shared" ca="1" si="69"/>
        <v>0.49521884822756768</v>
      </c>
      <c r="D144" s="15" t="s">
        <v>238</v>
      </c>
      <c r="E144" s="29">
        <f t="shared" ca="1" si="59"/>
        <v>164639583.33333331</v>
      </c>
      <c r="F144" s="29"/>
      <c r="G144" s="29">
        <f t="shared" ref="G144:CH144" ca="1" si="111">IF(G$4&lt;=$B144,ABS(G$31)*-1+G$47,0)+IF($B144=G$4,G$81,0)</f>
        <v>-1444375</v>
      </c>
      <c r="H144" s="29">
        <f t="shared" ca="1" si="111"/>
        <v>-1344375</v>
      </c>
      <c r="I144" s="29">
        <f t="shared" ca="1" si="111"/>
        <v>-1344375</v>
      </c>
      <c r="J144" s="29">
        <f t="shared" ca="1" si="111"/>
        <v>-1344375</v>
      </c>
      <c r="K144" s="29">
        <f t="shared" ca="1" si="111"/>
        <v>-1344375</v>
      </c>
      <c r="L144" s="29">
        <f t="shared" ca="1" si="111"/>
        <v>-1344375</v>
      </c>
      <c r="M144" s="29">
        <f t="shared" ca="1" si="111"/>
        <v>-1344375</v>
      </c>
      <c r="N144" s="29">
        <f t="shared" ca="1" si="111"/>
        <v>-1344375</v>
      </c>
      <c r="O144" s="29">
        <f t="shared" ca="1" si="111"/>
        <v>-1344375</v>
      </c>
      <c r="P144" s="29">
        <f t="shared" ca="1" si="111"/>
        <v>-1344375</v>
      </c>
      <c r="Q144" s="29">
        <f t="shared" ca="1" si="111"/>
        <v>-1344375</v>
      </c>
      <c r="R144" s="29">
        <f t="shared" ca="1" si="111"/>
        <v>-1344375</v>
      </c>
      <c r="S144" s="29">
        <f t="shared" ca="1" si="111"/>
        <v>-534270.83333333279</v>
      </c>
      <c r="T144" s="29">
        <f t="shared" ca="1" si="111"/>
        <v>-534270.83333333279</v>
      </c>
      <c r="U144" s="29">
        <f t="shared" ca="1" si="111"/>
        <v>-534270.83333333279</v>
      </c>
      <c r="V144" s="29">
        <f t="shared" ca="1" si="111"/>
        <v>-534270.83333333279</v>
      </c>
      <c r="W144" s="29">
        <f t="shared" ca="1" si="111"/>
        <v>2385312.5000000009</v>
      </c>
      <c r="X144" s="29">
        <f t="shared" ca="1" si="111"/>
        <v>2385312.5000000009</v>
      </c>
      <c r="Y144" s="29">
        <f t="shared" ca="1" si="111"/>
        <v>2385312.5000000009</v>
      </c>
      <c r="Z144" s="29">
        <f t="shared" ca="1" si="111"/>
        <v>2235979.166666667</v>
      </c>
      <c r="AA144" s="29">
        <f t="shared" ca="1" si="111"/>
        <v>2148333.333333334</v>
      </c>
      <c r="AB144" s="29">
        <f t="shared" ca="1" si="111"/>
        <v>2148333.333333334</v>
      </c>
      <c r="AC144" s="29">
        <f t="shared" ca="1" si="111"/>
        <v>2148333.333333334</v>
      </c>
      <c r="AD144" s="29">
        <f t="shared" ca="1" si="111"/>
        <v>2148333.3333333344</v>
      </c>
      <c r="AE144" s="29">
        <f t="shared" ca="1" si="111"/>
        <v>11248708.333333332</v>
      </c>
      <c r="AF144" s="29">
        <f t="shared" ca="1" si="111"/>
        <v>11248708.333333332</v>
      </c>
      <c r="AG144" s="29">
        <f t="shared" ca="1" si="111"/>
        <v>11248708.333333332</v>
      </c>
      <c r="AH144" s="29">
        <f t="shared" ca="1" si="111"/>
        <v>11248708.333333332</v>
      </c>
      <c r="AI144" s="29">
        <f t="shared" ca="1" si="111"/>
        <v>10452583.333333332</v>
      </c>
      <c r="AJ144" s="29">
        <f t="shared" ca="1" si="111"/>
        <v>10452583.333333332</v>
      </c>
      <c r="AK144" s="29">
        <f t="shared" ca="1" si="111"/>
        <v>10452583.333333332</v>
      </c>
      <c r="AL144" s="29">
        <f t="shared" ca="1" si="111"/>
        <v>10452583.333333332</v>
      </c>
      <c r="AM144" s="29">
        <f t="shared" ca="1" si="111"/>
        <v>9014374.9999999981</v>
      </c>
      <c r="AN144" s="29">
        <f t="shared" ca="1" si="111"/>
        <v>9014374.9999999981</v>
      </c>
      <c r="AO144" s="29">
        <f t="shared" ca="1" si="111"/>
        <v>9014374.9999999981</v>
      </c>
      <c r="AP144" s="29">
        <f t="shared" ca="1" si="111"/>
        <v>9014374.9999999981</v>
      </c>
      <c r="AQ144" s="29">
        <f t="shared" ca="1" si="111"/>
        <v>10540312.499999996</v>
      </c>
      <c r="AR144" s="29">
        <f t="shared" ca="1" si="111"/>
        <v>10540312.499999996</v>
      </c>
      <c r="AS144" s="29">
        <f t="shared" ca="1" si="111"/>
        <v>10540312.499999996</v>
      </c>
      <c r="AT144" s="29">
        <f t="shared" ca="1" si="111"/>
        <v>10540312.499999996</v>
      </c>
      <c r="AU144" s="29">
        <f t="shared" ca="1" si="111"/>
        <v>0</v>
      </c>
      <c r="AV144" s="29">
        <f t="shared" si="111"/>
        <v>0</v>
      </c>
      <c r="AW144" s="29">
        <f t="shared" si="111"/>
        <v>0</v>
      </c>
      <c r="AX144" s="29">
        <f t="shared" si="111"/>
        <v>0</v>
      </c>
      <c r="AY144" s="29">
        <f t="shared" si="111"/>
        <v>0</v>
      </c>
      <c r="AZ144" s="29">
        <f t="shared" si="111"/>
        <v>0</v>
      </c>
      <c r="BA144" s="29">
        <f t="shared" si="111"/>
        <v>0</v>
      </c>
      <c r="BB144" s="29">
        <f t="shared" si="111"/>
        <v>0</v>
      </c>
      <c r="BC144" s="29">
        <f t="shared" si="111"/>
        <v>0</v>
      </c>
      <c r="BD144" s="29">
        <f t="shared" si="111"/>
        <v>0</v>
      </c>
      <c r="BE144" s="29">
        <f t="shared" si="111"/>
        <v>0</v>
      </c>
      <c r="BF144" s="29">
        <f t="shared" si="111"/>
        <v>0</v>
      </c>
      <c r="BG144" s="29">
        <f t="shared" si="111"/>
        <v>0</v>
      </c>
      <c r="BH144" s="29">
        <f t="shared" si="111"/>
        <v>0</v>
      </c>
      <c r="BI144" s="29">
        <f t="shared" si="111"/>
        <v>0</v>
      </c>
      <c r="BJ144" s="29">
        <f t="shared" si="111"/>
        <v>0</v>
      </c>
      <c r="BK144" s="29">
        <f t="shared" si="111"/>
        <v>0</v>
      </c>
      <c r="BL144" s="29">
        <f t="shared" si="111"/>
        <v>0</v>
      </c>
      <c r="BM144" s="29">
        <f t="shared" si="111"/>
        <v>0</v>
      </c>
      <c r="BN144" s="29">
        <f t="shared" si="111"/>
        <v>0</v>
      </c>
      <c r="BO144" s="29">
        <f t="shared" si="111"/>
        <v>0</v>
      </c>
      <c r="BP144" s="29">
        <f t="shared" si="111"/>
        <v>0</v>
      </c>
      <c r="BQ144" s="29">
        <f t="shared" si="111"/>
        <v>0</v>
      </c>
      <c r="BR144" s="29">
        <f t="shared" si="111"/>
        <v>0</v>
      </c>
      <c r="BS144" s="29">
        <f t="shared" si="111"/>
        <v>0</v>
      </c>
      <c r="BT144" s="29">
        <f t="shared" si="111"/>
        <v>0</v>
      </c>
      <c r="BU144" s="29">
        <f t="shared" si="111"/>
        <v>0</v>
      </c>
      <c r="BV144" s="29">
        <f t="shared" si="111"/>
        <v>0</v>
      </c>
      <c r="BW144" s="29">
        <f t="shared" si="111"/>
        <v>0</v>
      </c>
      <c r="BX144" s="29">
        <f t="shared" si="111"/>
        <v>0</v>
      </c>
      <c r="BY144" s="29">
        <f t="shared" si="111"/>
        <v>0</v>
      </c>
      <c r="BZ144" s="29">
        <f t="shared" si="111"/>
        <v>0</v>
      </c>
      <c r="CA144" s="29">
        <f t="shared" si="111"/>
        <v>0</v>
      </c>
      <c r="CB144" s="29">
        <f t="shared" si="111"/>
        <v>0</v>
      </c>
      <c r="CC144" s="29">
        <f t="shared" si="111"/>
        <v>0</v>
      </c>
      <c r="CD144" s="29">
        <f t="shared" si="111"/>
        <v>0</v>
      </c>
      <c r="CE144" s="29">
        <f t="shared" si="111"/>
        <v>0</v>
      </c>
      <c r="CF144" s="29">
        <f t="shared" si="111"/>
        <v>0</v>
      </c>
      <c r="CG144" s="29">
        <f t="shared" si="111"/>
        <v>0</v>
      </c>
      <c r="CH144" s="29">
        <f t="shared" si="111"/>
        <v>0</v>
      </c>
    </row>
    <row r="145" spans="2:86" ht="13" hidden="1" outlineLevel="1">
      <c r="B145" s="84">
        <f t="shared" si="71"/>
        <v>42</v>
      </c>
      <c r="C145" s="64">
        <f t="shared" ca="1" si="69"/>
        <v>0.49521884822756768</v>
      </c>
      <c r="D145" s="15" t="s">
        <v>238</v>
      </c>
      <c r="E145" s="29">
        <f t="shared" ca="1" si="59"/>
        <v>164639583.33333331</v>
      </c>
      <c r="F145" s="29"/>
      <c r="G145" s="29">
        <f t="shared" ref="G145:CH145" ca="1" si="112">IF(G$4&lt;=$B145,ABS(G$31)*-1+G$47,0)+IF($B145=G$4,G$81,0)</f>
        <v>-1444375</v>
      </c>
      <c r="H145" s="29">
        <f t="shared" ca="1" si="112"/>
        <v>-1344375</v>
      </c>
      <c r="I145" s="29">
        <f t="shared" ca="1" si="112"/>
        <v>-1344375</v>
      </c>
      <c r="J145" s="29">
        <f t="shared" ca="1" si="112"/>
        <v>-1344375</v>
      </c>
      <c r="K145" s="29">
        <f t="shared" ca="1" si="112"/>
        <v>-1344375</v>
      </c>
      <c r="L145" s="29">
        <f t="shared" ca="1" si="112"/>
        <v>-1344375</v>
      </c>
      <c r="M145" s="29">
        <f t="shared" ca="1" si="112"/>
        <v>-1344375</v>
      </c>
      <c r="N145" s="29">
        <f t="shared" ca="1" si="112"/>
        <v>-1344375</v>
      </c>
      <c r="O145" s="29">
        <f t="shared" ca="1" si="112"/>
        <v>-1344375</v>
      </c>
      <c r="P145" s="29">
        <f t="shared" ca="1" si="112"/>
        <v>-1344375</v>
      </c>
      <c r="Q145" s="29">
        <f t="shared" ca="1" si="112"/>
        <v>-1344375</v>
      </c>
      <c r="R145" s="29">
        <f t="shared" ca="1" si="112"/>
        <v>-1344375</v>
      </c>
      <c r="S145" s="29">
        <f t="shared" ca="1" si="112"/>
        <v>-534270.83333333279</v>
      </c>
      <c r="T145" s="29">
        <f t="shared" ca="1" si="112"/>
        <v>-534270.83333333279</v>
      </c>
      <c r="U145" s="29">
        <f t="shared" ca="1" si="112"/>
        <v>-534270.83333333279</v>
      </c>
      <c r="V145" s="29">
        <f t="shared" ca="1" si="112"/>
        <v>-534270.83333333279</v>
      </c>
      <c r="W145" s="29">
        <f t="shared" ca="1" si="112"/>
        <v>2385312.5000000009</v>
      </c>
      <c r="X145" s="29">
        <f t="shared" ca="1" si="112"/>
        <v>2385312.5000000009</v>
      </c>
      <c r="Y145" s="29">
        <f t="shared" ca="1" si="112"/>
        <v>2385312.5000000009</v>
      </c>
      <c r="Z145" s="29">
        <f t="shared" ca="1" si="112"/>
        <v>2235979.166666667</v>
      </c>
      <c r="AA145" s="29">
        <f t="shared" ca="1" si="112"/>
        <v>2148333.333333334</v>
      </c>
      <c r="AB145" s="29">
        <f t="shared" ca="1" si="112"/>
        <v>2148333.333333334</v>
      </c>
      <c r="AC145" s="29">
        <f t="shared" ca="1" si="112"/>
        <v>2148333.333333334</v>
      </c>
      <c r="AD145" s="29">
        <f t="shared" ca="1" si="112"/>
        <v>2148333.3333333344</v>
      </c>
      <c r="AE145" s="29">
        <f t="shared" ca="1" si="112"/>
        <v>11248708.333333332</v>
      </c>
      <c r="AF145" s="29">
        <f t="shared" ca="1" si="112"/>
        <v>11248708.333333332</v>
      </c>
      <c r="AG145" s="29">
        <f t="shared" ca="1" si="112"/>
        <v>11248708.333333332</v>
      </c>
      <c r="AH145" s="29">
        <f t="shared" ca="1" si="112"/>
        <v>11248708.333333332</v>
      </c>
      <c r="AI145" s="29">
        <f t="shared" ca="1" si="112"/>
        <v>10452583.333333332</v>
      </c>
      <c r="AJ145" s="29">
        <f t="shared" ca="1" si="112"/>
        <v>10452583.333333332</v>
      </c>
      <c r="AK145" s="29">
        <f t="shared" ca="1" si="112"/>
        <v>10452583.333333332</v>
      </c>
      <c r="AL145" s="29">
        <f t="shared" ca="1" si="112"/>
        <v>10452583.333333332</v>
      </c>
      <c r="AM145" s="29">
        <f t="shared" ca="1" si="112"/>
        <v>9014374.9999999981</v>
      </c>
      <c r="AN145" s="29">
        <f t="shared" ca="1" si="112"/>
        <v>9014374.9999999981</v>
      </c>
      <c r="AO145" s="29">
        <f t="shared" ca="1" si="112"/>
        <v>9014374.9999999981</v>
      </c>
      <c r="AP145" s="29">
        <f t="shared" ca="1" si="112"/>
        <v>9014374.9999999981</v>
      </c>
      <c r="AQ145" s="29">
        <f t="shared" ca="1" si="112"/>
        <v>10540312.499999996</v>
      </c>
      <c r="AR145" s="29">
        <f t="shared" ca="1" si="112"/>
        <v>10540312.499999996</v>
      </c>
      <c r="AS145" s="29">
        <f t="shared" ca="1" si="112"/>
        <v>10540312.499999996</v>
      </c>
      <c r="AT145" s="29">
        <f t="shared" ca="1" si="112"/>
        <v>10540312.499999996</v>
      </c>
      <c r="AU145" s="29">
        <f t="shared" ca="1" si="112"/>
        <v>0</v>
      </c>
      <c r="AV145" s="29">
        <f t="shared" ca="1" si="112"/>
        <v>0</v>
      </c>
      <c r="AW145" s="29">
        <f t="shared" si="112"/>
        <v>0</v>
      </c>
      <c r="AX145" s="29">
        <f t="shared" si="112"/>
        <v>0</v>
      </c>
      <c r="AY145" s="29">
        <f t="shared" si="112"/>
        <v>0</v>
      </c>
      <c r="AZ145" s="29">
        <f t="shared" si="112"/>
        <v>0</v>
      </c>
      <c r="BA145" s="29">
        <f t="shared" si="112"/>
        <v>0</v>
      </c>
      <c r="BB145" s="29">
        <f t="shared" si="112"/>
        <v>0</v>
      </c>
      <c r="BC145" s="29">
        <f t="shared" si="112"/>
        <v>0</v>
      </c>
      <c r="BD145" s="29">
        <f t="shared" si="112"/>
        <v>0</v>
      </c>
      <c r="BE145" s="29">
        <f t="shared" si="112"/>
        <v>0</v>
      </c>
      <c r="BF145" s="29">
        <f t="shared" si="112"/>
        <v>0</v>
      </c>
      <c r="BG145" s="29">
        <f t="shared" si="112"/>
        <v>0</v>
      </c>
      <c r="BH145" s="29">
        <f t="shared" si="112"/>
        <v>0</v>
      </c>
      <c r="BI145" s="29">
        <f t="shared" si="112"/>
        <v>0</v>
      </c>
      <c r="BJ145" s="29">
        <f t="shared" si="112"/>
        <v>0</v>
      </c>
      <c r="BK145" s="29">
        <f t="shared" si="112"/>
        <v>0</v>
      </c>
      <c r="BL145" s="29">
        <f t="shared" si="112"/>
        <v>0</v>
      </c>
      <c r="BM145" s="29">
        <f t="shared" si="112"/>
        <v>0</v>
      </c>
      <c r="BN145" s="29">
        <f t="shared" si="112"/>
        <v>0</v>
      </c>
      <c r="BO145" s="29">
        <f t="shared" si="112"/>
        <v>0</v>
      </c>
      <c r="BP145" s="29">
        <f t="shared" si="112"/>
        <v>0</v>
      </c>
      <c r="BQ145" s="29">
        <f t="shared" si="112"/>
        <v>0</v>
      </c>
      <c r="BR145" s="29">
        <f t="shared" si="112"/>
        <v>0</v>
      </c>
      <c r="BS145" s="29">
        <f t="shared" si="112"/>
        <v>0</v>
      </c>
      <c r="BT145" s="29">
        <f t="shared" si="112"/>
        <v>0</v>
      </c>
      <c r="BU145" s="29">
        <f t="shared" si="112"/>
        <v>0</v>
      </c>
      <c r="BV145" s="29">
        <f t="shared" si="112"/>
        <v>0</v>
      </c>
      <c r="BW145" s="29">
        <f t="shared" si="112"/>
        <v>0</v>
      </c>
      <c r="BX145" s="29">
        <f t="shared" si="112"/>
        <v>0</v>
      </c>
      <c r="BY145" s="29">
        <f t="shared" si="112"/>
        <v>0</v>
      </c>
      <c r="BZ145" s="29">
        <f t="shared" si="112"/>
        <v>0</v>
      </c>
      <c r="CA145" s="29">
        <f t="shared" si="112"/>
        <v>0</v>
      </c>
      <c r="CB145" s="29">
        <f t="shared" si="112"/>
        <v>0</v>
      </c>
      <c r="CC145" s="29">
        <f t="shared" si="112"/>
        <v>0</v>
      </c>
      <c r="CD145" s="29">
        <f t="shared" si="112"/>
        <v>0</v>
      </c>
      <c r="CE145" s="29">
        <f t="shared" si="112"/>
        <v>0</v>
      </c>
      <c r="CF145" s="29">
        <f t="shared" si="112"/>
        <v>0</v>
      </c>
      <c r="CG145" s="29">
        <f t="shared" si="112"/>
        <v>0</v>
      </c>
      <c r="CH145" s="29">
        <f t="shared" si="112"/>
        <v>0</v>
      </c>
    </row>
    <row r="146" spans="2:86" ht="13" hidden="1" outlineLevel="1">
      <c r="B146" s="84">
        <f t="shared" si="71"/>
        <v>43</v>
      </c>
      <c r="C146" s="64">
        <f t="shared" ca="1" si="69"/>
        <v>0.49521884822756768</v>
      </c>
      <c r="D146" s="15" t="s">
        <v>238</v>
      </c>
      <c r="E146" s="29">
        <f t="shared" ca="1" si="59"/>
        <v>164639583.33333331</v>
      </c>
      <c r="F146" s="29"/>
      <c r="G146" s="29">
        <f t="shared" ref="G146:CH146" ca="1" si="113">IF(G$4&lt;=$B146,ABS(G$31)*-1+G$47,0)+IF($B146=G$4,G$81,0)</f>
        <v>-1444375</v>
      </c>
      <c r="H146" s="29">
        <f t="shared" ca="1" si="113"/>
        <v>-1344375</v>
      </c>
      <c r="I146" s="29">
        <f t="shared" ca="1" si="113"/>
        <v>-1344375</v>
      </c>
      <c r="J146" s="29">
        <f t="shared" ca="1" si="113"/>
        <v>-1344375</v>
      </c>
      <c r="K146" s="29">
        <f t="shared" ca="1" si="113"/>
        <v>-1344375</v>
      </c>
      <c r="L146" s="29">
        <f t="shared" ca="1" si="113"/>
        <v>-1344375</v>
      </c>
      <c r="M146" s="29">
        <f t="shared" ca="1" si="113"/>
        <v>-1344375</v>
      </c>
      <c r="N146" s="29">
        <f t="shared" ca="1" si="113"/>
        <v>-1344375</v>
      </c>
      <c r="O146" s="29">
        <f t="shared" ca="1" si="113"/>
        <v>-1344375</v>
      </c>
      <c r="P146" s="29">
        <f t="shared" ca="1" si="113"/>
        <v>-1344375</v>
      </c>
      <c r="Q146" s="29">
        <f t="shared" ca="1" si="113"/>
        <v>-1344375</v>
      </c>
      <c r="R146" s="29">
        <f t="shared" ca="1" si="113"/>
        <v>-1344375</v>
      </c>
      <c r="S146" s="29">
        <f t="shared" ca="1" si="113"/>
        <v>-534270.83333333279</v>
      </c>
      <c r="T146" s="29">
        <f t="shared" ca="1" si="113"/>
        <v>-534270.83333333279</v>
      </c>
      <c r="U146" s="29">
        <f t="shared" ca="1" si="113"/>
        <v>-534270.83333333279</v>
      </c>
      <c r="V146" s="29">
        <f t="shared" ca="1" si="113"/>
        <v>-534270.83333333279</v>
      </c>
      <c r="W146" s="29">
        <f t="shared" ca="1" si="113"/>
        <v>2385312.5000000009</v>
      </c>
      <c r="X146" s="29">
        <f t="shared" ca="1" si="113"/>
        <v>2385312.5000000009</v>
      </c>
      <c r="Y146" s="29">
        <f t="shared" ca="1" si="113"/>
        <v>2385312.5000000009</v>
      </c>
      <c r="Z146" s="29">
        <f t="shared" ca="1" si="113"/>
        <v>2235979.166666667</v>
      </c>
      <c r="AA146" s="29">
        <f t="shared" ca="1" si="113"/>
        <v>2148333.333333334</v>
      </c>
      <c r="AB146" s="29">
        <f t="shared" ca="1" si="113"/>
        <v>2148333.333333334</v>
      </c>
      <c r="AC146" s="29">
        <f t="shared" ca="1" si="113"/>
        <v>2148333.333333334</v>
      </c>
      <c r="AD146" s="29">
        <f t="shared" ca="1" si="113"/>
        <v>2148333.3333333344</v>
      </c>
      <c r="AE146" s="29">
        <f t="shared" ca="1" si="113"/>
        <v>11248708.333333332</v>
      </c>
      <c r="AF146" s="29">
        <f t="shared" ca="1" si="113"/>
        <v>11248708.333333332</v>
      </c>
      <c r="AG146" s="29">
        <f t="shared" ca="1" si="113"/>
        <v>11248708.333333332</v>
      </c>
      <c r="AH146" s="29">
        <f t="shared" ca="1" si="113"/>
        <v>11248708.333333332</v>
      </c>
      <c r="AI146" s="29">
        <f t="shared" ca="1" si="113"/>
        <v>10452583.333333332</v>
      </c>
      <c r="AJ146" s="29">
        <f t="shared" ca="1" si="113"/>
        <v>10452583.333333332</v>
      </c>
      <c r="AK146" s="29">
        <f t="shared" ca="1" si="113"/>
        <v>10452583.333333332</v>
      </c>
      <c r="AL146" s="29">
        <f t="shared" ca="1" si="113"/>
        <v>10452583.333333332</v>
      </c>
      <c r="AM146" s="29">
        <f t="shared" ca="1" si="113"/>
        <v>9014374.9999999981</v>
      </c>
      <c r="AN146" s="29">
        <f t="shared" ca="1" si="113"/>
        <v>9014374.9999999981</v>
      </c>
      <c r="AO146" s="29">
        <f t="shared" ca="1" si="113"/>
        <v>9014374.9999999981</v>
      </c>
      <c r="AP146" s="29">
        <f t="shared" ca="1" si="113"/>
        <v>9014374.9999999981</v>
      </c>
      <c r="AQ146" s="29">
        <f t="shared" ca="1" si="113"/>
        <v>10540312.499999996</v>
      </c>
      <c r="AR146" s="29">
        <f t="shared" ca="1" si="113"/>
        <v>10540312.499999996</v>
      </c>
      <c r="AS146" s="29">
        <f t="shared" ca="1" si="113"/>
        <v>10540312.499999996</v>
      </c>
      <c r="AT146" s="29">
        <f t="shared" ca="1" si="113"/>
        <v>10540312.499999996</v>
      </c>
      <c r="AU146" s="29">
        <f t="shared" ca="1" si="113"/>
        <v>0</v>
      </c>
      <c r="AV146" s="29">
        <f t="shared" ca="1" si="113"/>
        <v>0</v>
      </c>
      <c r="AW146" s="29">
        <f t="shared" ca="1" si="113"/>
        <v>0</v>
      </c>
      <c r="AX146" s="29">
        <f t="shared" si="113"/>
        <v>0</v>
      </c>
      <c r="AY146" s="29">
        <f t="shared" si="113"/>
        <v>0</v>
      </c>
      <c r="AZ146" s="29">
        <f t="shared" si="113"/>
        <v>0</v>
      </c>
      <c r="BA146" s="29">
        <f t="shared" si="113"/>
        <v>0</v>
      </c>
      <c r="BB146" s="29">
        <f t="shared" si="113"/>
        <v>0</v>
      </c>
      <c r="BC146" s="29">
        <f t="shared" si="113"/>
        <v>0</v>
      </c>
      <c r="BD146" s="29">
        <f t="shared" si="113"/>
        <v>0</v>
      </c>
      <c r="BE146" s="29">
        <f t="shared" si="113"/>
        <v>0</v>
      </c>
      <c r="BF146" s="29">
        <f t="shared" si="113"/>
        <v>0</v>
      </c>
      <c r="BG146" s="29">
        <f t="shared" si="113"/>
        <v>0</v>
      </c>
      <c r="BH146" s="29">
        <f t="shared" si="113"/>
        <v>0</v>
      </c>
      <c r="BI146" s="29">
        <f t="shared" si="113"/>
        <v>0</v>
      </c>
      <c r="BJ146" s="29">
        <f t="shared" si="113"/>
        <v>0</v>
      </c>
      <c r="BK146" s="29">
        <f t="shared" si="113"/>
        <v>0</v>
      </c>
      <c r="BL146" s="29">
        <f t="shared" si="113"/>
        <v>0</v>
      </c>
      <c r="BM146" s="29">
        <f t="shared" si="113"/>
        <v>0</v>
      </c>
      <c r="BN146" s="29">
        <f t="shared" si="113"/>
        <v>0</v>
      </c>
      <c r="BO146" s="29">
        <f t="shared" si="113"/>
        <v>0</v>
      </c>
      <c r="BP146" s="29">
        <f t="shared" si="113"/>
        <v>0</v>
      </c>
      <c r="BQ146" s="29">
        <f t="shared" si="113"/>
        <v>0</v>
      </c>
      <c r="BR146" s="29">
        <f t="shared" si="113"/>
        <v>0</v>
      </c>
      <c r="BS146" s="29">
        <f t="shared" si="113"/>
        <v>0</v>
      </c>
      <c r="BT146" s="29">
        <f t="shared" si="113"/>
        <v>0</v>
      </c>
      <c r="BU146" s="29">
        <f t="shared" si="113"/>
        <v>0</v>
      </c>
      <c r="BV146" s="29">
        <f t="shared" si="113"/>
        <v>0</v>
      </c>
      <c r="BW146" s="29">
        <f t="shared" si="113"/>
        <v>0</v>
      </c>
      <c r="BX146" s="29">
        <f t="shared" si="113"/>
        <v>0</v>
      </c>
      <c r="BY146" s="29">
        <f t="shared" si="113"/>
        <v>0</v>
      </c>
      <c r="BZ146" s="29">
        <f t="shared" si="113"/>
        <v>0</v>
      </c>
      <c r="CA146" s="29">
        <f t="shared" si="113"/>
        <v>0</v>
      </c>
      <c r="CB146" s="29">
        <f t="shared" si="113"/>
        <v>0</v>
      </c>
      <c r="CC146" s="29">
        <f t="shared" si="113"/>
        <v>0</v>
      </c>
      <c r="CD146" s="29">
        <f t="shared" si="113"/>
        <v>0</v>
      </c>
      <c r="CE146" s="29">
        <f t="shared" si="113"/>
        <v>0</v>
      </c>
      <c r="CF146" s="29">
        <f t="shared" si="113"/>
        <v>0</v>
      </c>
      <c r="CG146" s="29">
        <f t="shared" si="113"/>
        <v>0</v>
      </c>
      <c r="CH146" s="29">
        <f t="shared" si="113"/>
        <v>0</v>
      </c>
    </row>
    <row r="147" spans="2:86" ht="13" hidden="1" outlineLevel="1">
      <c r="B147" s="84">
        <f t="shared" si="71"/>
        <v>44</v>
      </c>
      <c r="C147" s="64">
        <f t="shared" ca="1" si="69"/>
        <v>0.49521884822756768</v>
      </c>
      <c r="D147" s="15" t="s">
        <v>238</v>
      </c>
      <c r="E147" s="29">
        <f t="shared" ca="1" si="59"/>
        <v>164639583.33333331</v>
      </c>
      <c r="F147" s="29"/>
      <c r="G147" s="29">
        <f t="shared" ref="G147:CH147" ca="1" si="114">IF(G$4&lt;=$B147,ABS(G$31)*-1+G$47,0)+IF($B147=G$4,G$81,0)</f>
        <v>-1444375</v>
      </c>
      <c r="H147" s="29">
        <f t="shared" ca="1" si="114"/>
        <v>-1344375</v>
      </c>
      <c r="I147" s="29">
        <f t="shared" ca="1" si="114"/>
        <v>-1344375</v>
      </c>
      <c r="J147" s="29">
        <f t="shared" ca="1" si="114"/>
        <v>-1344375</v>
      </c>
      <c r="K147" s="29">
        <f t="shared" ca="1" si="114"/>
        <v>-1344375</v>
      </c>
      <c r="L147" s="29">
        <f t="shared" ca="1" si="114"/>
        <v>-1344375</v>
      </c>
      <c r="M147" s="29">
        <f t="shared" ca="1" si="114"/>
        <v>-1344375</v>
      </c>
      <c r="N147" s="29">
        <f t="shared" ca="1" si="114"/>
        <v>-1344375</v>
      </c>
      <c r="O147" s="29">
        <f t="shared" ca="1" si="114"/>
        <v>-1344375</v>
      </c>
      <c r="P147" s="29">
        <f t="shared" ca="1" si="114"/>
        <v>-1344375</v>
      </c>
      <c r="Q147" s="29">
        <f t="shared" ca="1" si="114"/>
        <v>-1344375</v>
      </c>
      <c r="R147" s="29">
        <f t="shared" ca="1" si="114"/>
        <v>-1344375</v>
      </c>
      <c r="S147" s="29">
        <f t="shared" ca="1" si="114"/>
        <v>-534270.83333333279</v>
      </c>
      <c r="T147" s="29">
        <f t="shared" ca="1" si="114"/>
        <v>-534270.83333333279</v>
      </c>
      <c r="U147" s="29">
        <f t="shared" ca="1" si="114"/>
        <v>-534270.83333333279</v>
      </c>
      <c r="V147" s="29">
        <f t="shared" ca="1" si="114"/>
        <v>-534270.83333333279</v>
      </c>
      <c r="W147" s="29">
        <f t="shared" ca="1" si="114"/>
        <v>2385312.5000000009</v>
      </c>
      <c r="X147" s="29">
        <f t="shared" ca="1" si="114"/>
        <v>2385312.5000000009</v>
      </c>
      <c r="Y147" s="29">
        <f t="shared" ca="1" si="114"/>
        <v>2385312.5000000009</v>
      </c>
      <c r="Z147" s="29">
        <f t="shared" ca="1" si="114"/>
        <v>2235979.166666667</v>
      </c>
      <c r="AA147" s="29">
        <f t="shared" ca="1" si="114"/>
        <v>2148333.333333334</v>
      </c>
      <c r="AB147" s="29">
        <f t="shared" ca="1" si="114"/>
        <v>2148333.333333334</v>
      </c>
      <c r="AC147" s="29">
        <f t="shared" ca="1" si="114"/>
        <v>2148333.333333334</v>
      </c>
      <c r="AD147" s="29">
        <f t="shared" ca="1" si="114"/>
        <v>2148333.3333333344</v>
      </c>
      <c r="AE147" s="29">
        <f t="shared" ca="1" si="114"/>
        <v>11248708.333333332</v>
      </c>
      <c r="AF147" s="29">
        <f t="shared" ca="1" si="114"/>
        <v>11248708.333333332</v>
      </c>
      <c r="AG147" s="29">
        <f t="shared" ca="1" si="114"/>
        <v>11248708.333333332</v>
      </c>
      <c r="AH147" s="29">
        <f t="shared" ca="1" si="114"/>
        <v>11248708.333333332</v>
      </c>
      <c r="AI147" s="29">
        <f t="shared" ca="1" si="114"/>
        <v>10452583.333333332</v>
      </c>
      <c r="AJ147" s="29">
        <f t="shared" ca="1" si="114"/>
        <v>10452583.333333332</v>
      </c>
      <c r="AK147" s="29">
        <f t="shared" ca="1" si="114"/>
        <v>10452583.333333332</v>
      </c>
      <c r="AL147" s="29">
        <f t="shared" ca="1" si="114"/>
        <v>10452583.333333332</v>
      </c>
      <c r="AM147" s="29">
        <f t="shared" ca="1" si="114"/>
        <v>9014374.9999999981</v>
      </c>
      <c r="AN147" s="29">
        <f t="shared" ca="1" si="114"/>
        <v>9014374.9999999981</v>
      </c>
      <c r="AO147" s="29">
        <f t="shared" ca="1" si="114"/>
        <v>9014374.9999999981</v>
      </c>
      <c r="AP147" s="29">
        <f t="shared" ca="1" si="114"/>
        <v>9014374.9999999981</v>
      </c>
      <c r="AQ147" s="29">
        <f t="shared" ca="1" si="114"/>
        <v>10540312.499999996</v>
      </c>
      <c r="AR147" s="29">
        <f t="shared" ca="1" si="114"/>
        <v>10540312.499999996</v>
      </c>
      <c r="AS147" s="29">
        <f t="shared" ca="1" si="114"/>
        <v>10540312.499999996</v>
      </c>
      <c r="AT147" s="29">
        <f t="shared" ca="1" si="114"/>
        <v>10540312.499999996</v>
      </c>
      <c r="AU147" s="29">
        <f t="shared" ca="1" si="114"/>
        <v>0</v>
      </c>
      <c r="AV147" s="29">
        <f t="shared" ca="1" si="114"/>
        <v>0</v>
      </c>
      <c r="AW147" s="29">
        <f t="shared" ca="1" si="114"/>
        <v>0</v>
      </c>
      <c r="AX147" s="29">
        <f t="shared" ca="1" si="114"/>
        <v>0</v>
      </c>
      <c r="AY147" s="29">
        <f t="shared" si="114"/>
        <v>0</v>
      </c>
      <c r="AZ147" s="29">
        <f t="shared" si="114"/>
        <v>0</v>
      </c>
      <c r="BA147" s="29">
        <f t="shared" si="114"/>
        <v>0</v>
      </c>
      <c r="BB147" s="29">
        <f t="shared" si="114"/>
        <v>0</v>
      </c>
      <c r="BC147" s="29">
        <f t="shared" si="114"/>
        <v>0</v>
      </c>
      <c r="BD147" s="29">
        <f t="shared" si="114"/>
        <v>0</v>
      </c>
      <c r="BE147" s="29">
        <f t="shared" si="114"/>
        <v>0</v>
      </c>
      <c r="BF147" s="29">
        <f t="shared" si="114"/>
        <v>0</v>
      </c>
      <c r="BG147" s="29">
        <f t="shared" si="114"/>
        <v>0</v>
      </c>
      <c r="BH147" s="29">
        <f t="shared" si="114"/>
        <v>0</v>
      </c>
      <c r="BI147" s="29">
        <f t="shared" si="114"/>
        <v>0</v>
      </c>
      <c r="BJ147" s="29">
        <f t="shared" si="114"/>
        <v>0</v>
      </c>
      <c r="BK147" s="29">
        <f t="shared" si="114"/>
        <v>0</v>
      </c>
      <c r="BL147" s="29">
        <f t="shared" si="114"/>
        <v>0</v>
      </c>
      <c r="BM147" s="29">
        <f t="shared" si="114"/>
        <v>0</v>
      </c>
      <c r="BN147" s="29">
        <f t="shared" si="114"/>
        <v>0</v>
      </c>
      <c r="BO147" s="29">
        <f t="shared" si="114"/>
        <v>0</v>
      </c>
      <c r="BP147" s="29">
        <f t="shared" si="114"/>
        <v>0</v>
      </c>
      <c r="BQ147" s="29">
        <f t="shared" si="114"/>
        <v>0</v>
      </c>
      <c r="BR147" s="29">
        <f t="shared" si="114"/>
        <v>0</v>
      </c>
      <c r="BS147" s="29">
        <f t="shared" si="114"/>
        <v>0</v>
      </c>
      <c r="BT147" s="29">
        <f t="shared" si="114"/>
        <v>0</v>
      </c>
      <c r="BU147" s="29">
        <f t="shared" si="114"/>
        <v>0</v>
      </c>
      <c r="BV147" s="29">
        <f t="shared" si="114"/>
        <v>0</v>
      </c>
      <c r="BW147" s="29">
        <f t="shared" si="114"/>
        <v>0</v>
      </c>
      <c r="BX147" s="29">
        <f t="shared" si="114"/>
        <v>0</v>
      </c>
      <c r="BY147" s="29">
        <f t="shared" si="114"/>
        <v>0</v>
      </c>
      <c r="BZ147" s="29">
        <f t="shared" si="114"/>
        <v>0</v>
      </c>
      <c r="CA147" s="29">
        <f t="shared" si="114"/>
        <v>0</v>
      </c>
      <c r="CB147" s="29">
        <f t="shared" si="114"/>
        <v>0</v>
      </c>
      <c r="CC147" s="29">
        <f t="shared" si="114"/>
        <v>0</v>
      </c>
      <c r="CD147" s="29">
        <f t="shared" si="114"/>
        <v>0</v>
      </c>
      <c r="CE147" s="29">
        <f t="shared" si="114"/>
        <v>0</v>
      </c>
      <c r="CF147" s="29">
        <f t="shared" si="114"/>
        <v>0</v>
      </c>
      <c r="CG147" s="29">
        <f t="shared" si="114"/>
        <v>0</v>
      </c>
      <c r="CH147" s="29">
        <f t="shared" si="114"/>
        <v>0</v>
      </c>
    </row>
    <row r="148" spans="2:86" ht="13" hidden="1" outlineLevel="1">
      <c r="B148" s="84">
        <f t="shared" si="71"/>
        <v>45</v>
      </c>
      <c r="C148" s="64">
        <f t="shared" ca="1" si="69"/>
        <v>0.49521884822756768</v>
      </c>
      <c r="D148" s="15" t="s">
        <v>238</v>
      </c>
      <c r="E148" s="29">
        <f t="shared" ca="1" si="59"/>
        <v>164639583.33333331</v>
      </c>
      <c r="F148" s="29"/>
      <c r="G148" s="29">
        <f t="shared" ref="G148:CH148" ca="1" si="115">IF(G$4&lt;=$B148,ABS(G$31)*-1+G$47,0)+IF($B148=G$4,G$81,0)</f>
        <v>-1444375</v>
      </c>
      <c r="H148" s="29">
        <f t="shared" ca="1" si="115"/>
        <v>-1344375</v>
      </c>
      <c r="I148" s="29">
        <f t="shared" ca="1" si="115"/>
        <v>-1344375</v>
      </c>
      <c r="J148" s="29">
        <f t="shared" ca="1" si="115"/>
        <v>-1344375</v>
      </c>
      <c r="K148" s="29">
        <f t="shared" ca="1" si="115"/>
        <v>-1344375</v>
      </c>
      <c r="L148" s="29">
        <f t="shared" ca="1" si="115"/>
        <v>-1344375</v>
      </c>
      <c r="M148" s="29">
        <f t="shared" ca="1" si="115"/>
        <v>-1344375</v>
      </c>
      <c r="N148" s="29">
        <f t="shared" ca="1" si="115"/>
        <v>-1344375</v>
      </c>
      <c r="O148" s="29">
        <f t="shared" ca="1" si="115"/>
        <v>-1344375</v>
      </c>
      <c r="P148" s="29">
        <f t="shared" ca="1" si="115"/>
        <v>-1344375</v>
      </c>
      <c r="Q148" s="29">
        <f t="shared" ca="1" si="115"/>
        <v>-1344375</v>
      </c>
      <c r="R148" s="29">
        <f t="shared" ca="1" si="115"/>
        <v>-1344375</v>
      </c>
      <c r="S148" s="29">
        <f t="shared" ca="1" si="115"/>
        <v>-534270.83333333279</v>
      </c>
      <c r="T148" s="29">
        <f t="shared" ca="1" si="115"/>
        <v>-534270.83333333279</v>
      </c>
      <c r="U148" s="29">
        <f t="shared" ca="1" si="115"/>
        <v>-534270.83333333279</v>
      </c>
      <c r="V148" s="29">
        <f t="shared" ca="1" si="115"/>
        <v>-534270.83333333279</v>
      </c>
      <c r="W148" s="29">
        <f t="shared" ca="1" si="115"/>
        <v>2385312.5000000009</v>
      </c>
      <c r="X148" s="29">
        <f t="shared" ca="1" si="115"/>
        <v>2385312.5000000009</v>
      </c>
      <c r="Y148" s="29">
        <f t="shared" ca="1" si="115"/>
        <v>2385312.5000000009</v>
      </c>
      <c r="Z148" s="29">
        <f t="shared" ca="1" si="115"/>
        <v>2235979.166666667</v>
      </c>
      <c r="AA148" s="29">
        <f t="shared" ca="1" si="115"/>
        <v>2148333.333333334</v>
      </c>
      <c r="AB148" s="29">
        <f t="shared" ca="1" si="115"/>
        <v>2148333.333333334</v>
      </c>
      <c r="AC148" s="29">
        <f t="shared" ca="1" si="115"/>
        <v>2148333.333333334</v>
      </c>
      <c r="AD148" s="29">
        <f t="shared" ca="1" si="115"/>
        <v>2148333.3333333344</v>
      </c>
      <c r="AE148" s="29">
        <f t="shared" ca="1" si="115"/>
        <v>11248708.333333332</v>
      </c>
      <c r="AF148" s="29">
        <f t="shared" ca="1" si="115"/>
        <v>11248708.333333332</v>
      </c>
      <c r="AG148" s="29">
        <f t="shared" ca="1" si="115"/>
        <v>11248708.333333332</v>
      </c>
      <c r="AH148" s="29">
        <f t="shared" ca="1" si="115"/>
        <v>11248708.333333332</v>
      </c>
      <c r="AI148" s="29">
        <f t="shared" ca="1" si="115"/>
        <v>10452583.333333332</v>
      </c>
      <c r="AJ148" s="29">
        <f t="shared" ca="1" si="115"/>
        <v>10452583.333333332</v>
      </c>
      <c r="AK148" s="29">
        <f t="shared" ca="1" si="115"/>
        <v>10452583.333333332</v>
      </c>
      <c r="AL148" s="29">
        <f t="shared" ca="1" si="115"/>
        <v>10452583.333333332</v>
      </c>
      <c r="AM148" s="29">
        <f t="shared" ca="1" si="115"/>
        <v>9014374.9999999981</v>
      </c>
      <c r="AN148" s="29">
        <f t="shared" ca="1" si="115"/>
        <v>9014374.9999999981</v>
      </c>
      <c r="AO148" s="29">
        <f t="shared" ca="1" si="115"/>
        <v>9014374.9999999981</v>
      </c>
      <c r="AP148" s="29">
        <f t="shared" ca="1" si="115"/>
        <v>9014374.9999999981</v>
      </c>
      <c r="AQ148" s="29">
        <f t="shared" ca="1" si="115"/>
        <v>10540312.499999996</v>
      </c>
      <c r="AR148" s="29">
        <f t="shared" ca="1" si="115"/>
        <v>10540312.499999996</v>
      </c>
      <c r="AS148" s="29">
        <f t="shared" ca="1" si="115"/>
        <v>10540312.499999996</v>
      </c>
      <c r="AT148" s="29">
        <f t="shared" ca="1" si="115"/>
        <v>10540312.499999996</v>
      </c>
      <c r="AU148" s="29">
        <f t="shared" ca="1" si="115"/>
        <v>0</v>
      </c>
      <c r="AV148" s="29">
        <f t="shared" ca="1" si="115"/>
        <v>0</v>
      </c>
      <c r="AW148" s="29">
        <f t="shared" ca="1" si="115"/>
        <v>0</v>
      </c>
      <c r="AX148" s="29">
        <f t="shared" ca="1" si="115"/>
        <v>0</v>
      </c>
      <c r="AY148" s="29">
        <f t="shared" ca="1" si="115"/>
        <v>0</v>
      </c>
      <c r="AZ148" s="29">
        <f t="shared" si="115"/>
        <v>0</v>
      </c>
      <c r="BA148" s="29">
        <f t="shared" si="115"/>
        <v>0</v>
      </c>
      <c r="BB148" s="29">
        <f t="shared" si="115"/>
        <v>0</v>
      </c>
      <c r="BC148" s="29">
        <f t="shared" si="115"/>
        <v>0</v>
      </c>
      <c r="BD148" s="29">
        <f t="shared" si="115"/>
        <v>0</v>
      </c>
      <c r="BE148" s="29">
        <f t="shared" si="115"/>
        <v>0</v>
      </c>
      <c r="BF148" s="29">
        <f t="shared" si="115"/>
        <v>0</v>
      </c>
      <c r="BG148" s="29">
        <f t="shared" si="115"/>
        <v>0</v>
      </c>
      <c r="BH148" s="29">
        <f t="shared" si="115"/>
        <v>0</v>
      </c>
      <c r="BI148" s="29">
        <f t="shared" si="115"/>
        <v>0</v>
      </c>
      <c r="BJ148" s="29">
        <f t="shared" si="115"/>
        <v>0</v>
      </c>
      <c r="BK148" s="29">
        <f t="shared" si="115"/>
        <v>0</v>
      </c>
      <c r="BL148" s="29">
        <f t="shared" si="115"/>
        <v>0</v>
      </c>
      <c r="BM148" s="29">
        <f t="shared" si="115"/>
        <v>0</v>
      </c>
      <c r="BN148" s="29">
        <f t="shared" si="115"/>
        <v>0</v>
      </c>
      <c r="BO148" s="29">
        <f t="shared" si="115"/>
        <v>0</v>
      </c>
      <c r="BP148" s="29">
        <f t="shared" si="115"/>
        <v>0</v>
      </c>
      <c r="BQ148" s="29">
        <f t="shared" si="115"/>
        <v>0</v>
      </c>
      <c r="BR148" s="29">
        <f t="shared" si="115"/>
        <v>0</v>
      </c>
      <c r="BS148" s="29">
        <f t="shared" si="115"/>
        <v>0</v>
      </c>
      <c r="BT148" s="29">
        <f t="shared" si="115"/>
        <v>0</v>
      </c>
      <c r="BU148" s="29">
        <f t="shared" si="115"/>
        <v>0</v>
      </c>
      <c r="BV148" s="29">
        <f t="shared" si="115"/>
        <v>0</v>
      </c>
      <c r="BW148" s="29">
        <f t="shared" si="115"/>
        <v>0</v>
      </c>
      <c r="BX148" s="29">
        <f t="shared" si="115"/>
        <v>0</v>
      </c>
      <c r="BY148" s="29">
        <f t="shared" si="115"/>
        <v>0</v>
      </c>
      <c r="BZ148" s="29">
        <f t="shared" si="115"/>
        <v>0</v>
      </c>
      <c r="CA148" s="29">
        <f t="shared" si="115"/>
        <v>0</v>
      </c>
      <c r="CB148" s="29">
        <f t="shared" si="115"/>
        <v>0</v>
      </c>
      <c r="CC148" s="29">
        <f t="shared" si="115"/>
        <v>0</v>
      </c>
      <c r="CD148" s="29">
        <f t="shared" si="115"/>
        <v>0</v>
      </c>
      <c r="CE148" s="29">
        <f t="shared" si="115"/>
        <v>0</v>
      </c>
      <c r="CF148" s="29">
        <f t="shared" si="115"/>
        <v>0</v>
      </c>
      <c r="CG148" s="29">
        <f t="shared" si="115"/>
        <v>0</v>
      </c>
      <c r="CH148" s="29">
        <f t="shared" si="115"/>
        <v>0</v>
      </c>
    </row>
    <row r="149" spans="2:86" ht="13" hidden="1" outlineLevel="1">
      <c r="B149" s="84">
        <f t="shared" si="71"/>
        <v>46</v>
      </c>
      <c r="C149" s="64">
        <f t="shared" ca="1" si="69"/>
        <v>0.49521884822756768</v>
      </c>
      <c r="D149" s="15" t="s">
        <v>238</v>
      </c>
      <c r="E149" s="29">
        <f t="shared" ca="1" si="59"/>
        <v>164639583.33333331</v>
      </c>
      <c r="F149" s="29"/>
      <c r="G149" s="29">
        <f t="shared" ref="G149:CH149" ca="1" si="116">IF(G$4&lt;=$B149,ABS(G$31)*-1+G$47,0)+IF($B149=G$4,G$81,0)</f>
        <v>-1444375</v>
      </c>
      <c r="H149" s="29">
        <f t="shared" ca="1" si="116"/>
        <v>-1344375</v>
      </c>
      <c r="I149" s="29">
        <f t="shared" ca="1" si="116"/>
        <v>-1344375</v>
      </c>
      <c r="J149" s="29">
        <f t="shared" ca="1" si="116"/>
        <v>-1344375</v>
      </c>
      <c r="K149" s="29">
        <f t="shared" ca="1" si="116"/>
        <v>-1344375</v>
      </c>
      <c r="L149" s="29">
        <f t="shared" ca="1" si="116"/>
        <v>-1344375</v>
      </c>
      <c r="M149" s="29">
        <f t="shared" ca="1" si="116"/>
        <v>-1344375</v>
      </c>
      <c r="N149" s="29">
        <f t="shared" ca="1" si="116"/>
        <v>-1344375</v>
      </c>
      <c r="O149" s="29">
        <f t="shared" ca="1" si="116"/>
        <v>-1344375</v>
      </c>
      <c r="P149" s="29">
        <f t="shared" ca="1" si="116"/>
        <v>-1344375</v>
      </c>
      <c r="Q149" s="29">
        <f t="shared" ca="1" si="116"/>
        <v>-1344375</v>
      </c>
      <c r="R149" s="29">
        <f t="shared" ca="1" si="116"/>
        <v>-1344375</v>
      </c>
      <c r="S149" s="29">
        <f t="shared" ca="1" si="116"/>
        <v>-534270.83333333279</v>
      </c>
      <c r="T149" s="29">
        <f t="shared" ca="1" si="116"/>
        <v>-534270.83333333279</v>
      </c>
      <c r="U149" s="29">
        <f t="shared" ca="1" si="116"/>
        <v>-534270.83333333279</v>
      </c>
      <c r="V149" s="29">
        <f t="shared" ca="1" si="116"/>
        <v>-534270.83333333279</v>
      </c>
      <c r="W149" s="29">
        <f t="shared" ca="1" si="116"/>
        <v>2385312.5000000009</v>
      </c>
      <c r="X149" s="29">
        <f t="shared" ca="1" si="116"/>
        <v>2385312.5000000009</v>
      </c>
      <c r="Y149" s="29">
        <f t="shared" ca="1" si="116"/>
        <v>2385312.5000000009</v>
      </c>
      <c r="Z149" s="29">
        <f t="shared" ca="1" si="116"/>
        <v>2235979.166666667</v>
      </c>
      <c r="AA149" s="29">
        <f t="shared" ca="1" si="116"/>
        <v>2148333.333333334</v>
      </c>
      <c r="AB149" s="29">
        <f t="shared" ca="1" si="116"/>
        <v>2148333.333333334</v>
      </c>
      <c r="AC149" s="29">
        <f t="shared" ca="1" si="116"/>
        <v>2148333.333333334</v>
      </c>
      <c r="AD149" s="29">
        <f t="shared" ca="1" si="116"/>
        <v>2148333.3333333344</v>
      </c>
      <c r="AE149" s="29">
        <f t="shared" ca="1" si="116"/>
        <v>11248708.333333332</v>
      </c>
      <c r="AF149" s="29">
        <f t="shared" ca="1" si="116"/>
        <v>11248708.333333332</v>
      </c>
      <c r="AG149" s="29">
        <f t="shared" ca="1" si="116"/>
        <v>11248708.333333332</v>
      </c>
      <c r="AH149" s="29">
        <f t="shared" ca="1" si="116"/>
        <v>11248708.333333332</v>
      </c>
      <c r="AI149" s="29">
        <f t="shared" ca="1" si="116"/>
        <v>10452583.333333332</v>
      </c>
      <c r="AJ149" s="29">
        <f t="shared" ca="1" si="116"/>
        <v>10452583.333333332</v>
      </c>
      <c r="AK149" s="29">
        <f t="shared" ca="1" si="116"/>
        <v>10452583.333333332</v>
      </c>
      <c r="AL149" s="29">
        <f t="shared" ca="1" si="116"/>
        <v>10452583.333333332</v>
      </c>
      <c r="AM149" s="29">
        <f t="shared" ca="1" si="116"/>
        <v>9014374.9999999981</v>
      </c>
      <c r="AN149" s="29">
        <f t="shared" ca="1" si="116"/>
        <v>9014374.9999999981</v>
      </c>
      <c r="AO149" s="29">
        <f t="shared" ca="1" si="116"/>
        <v>9014374.9999999981</v>
      </c>
      <c r="AP149" s="29">
        <f t="shared" ca="1" si="116"/>
        <v>9014374.9999999981</v>
      </c>
      <c r="AQ149" s="29">
        <f t="shared" ca="1" si="116"/>
        <v>10540312.499999996</v>
      </c>
      <c r="AR149" s="29">
        <f t="shared" ca="1" si="116"/>
        <v>10540312.499999996</v>
      </c>
      <c r="AS149" s="29">
        <f t="shared" ca="1" si="116"/>
        <v>10540312.499999996</v>
      </c>
      <c r="AT149" s="29">
        <f t="shared" ca="1" si="116"/>
        <v>10540312.499999996</v>
      </c>
      <c r="AU149" s="29">
        <f t="shared" ca="1" si="116"/>
        <v>0</v>
      </c>
      <c r="AV149" s="29">
        <f t="shared" ca="1" si="116"/>
        <v>0</v>
      </c>
      <c r="AW149" s="29">
        <f t="shared" ca="1" si="116"/>
        <v>0</v>
      </c>
      <c r="AX149" s="29">
        <f t="shared" ca="1" si="116"/>
        <v>0</v>
      </c>
      <c r="AY149" s="29">
        <f t="shared" ca="1" si="116"/>
        <v>0</v>
      </c>
      <c r="AZ149" s="29">
        <f t="shared" ca="1" si="116"/>
        <v>0</v>
      </c>
      <c r="BA149" s="29">
        <f t="shared" si="116"/>
        <v>0</v>
      </c>
      <c r="BB149" s="29">
        <f t="shared" si="116"/>
        <v>0</v>
      </c>
      <c r="BC149" s="29">
        <f t="shared" si="116"/>
        <v>0</v>
      </c>
      <c r="BD149" s="29">
        <f t="shared" si="116"/>
        <v>0</v>
      </c>
      <c r="BE149" s="29">
        <f t="shared" si="116"/>
        <v>0</v>
      </c>
      <c r="BF149" s="29">
        <f t="shared" si="116"/>
        <v>0</v>
      </c>
      <c r="BG149" s="29">
        <f t="shared" si="116"/>
        <v>0</v>
      </c>
      <c r="BH149" s="29">
        <f t="shared" si="116"/>
        <v>0</v>
      </c>
      <c r="BI149" s="29">
        <f t="shared" si="116"/>
        <v>0</v>
      </c>
      <c r="BJ149" s="29">
        <f t="shared" si="116"/>
        <v>0</v>
      </c>
      <c r="BK149" s="29">
        <f t="shared" si="116"/>
        <v>0</v>
      </c>
      <c r="BL149" s="29">
        <f t="shared" si="116"/>
        <v>0</v>
      </c>
      <c r="BM149" s="29">
        <f t="shared" si="116"/>
        <v>0</v>
      </c>
      <c r="BN149" s="29">
        <f t="shared" si="116"/>
        <v>0</v>
      </c>
      <c r="BO149" s="29">
        <f t="shared" si="116"/>
        <v>0</v>
      </c>
      <c r="BP149" s="29">
        <f t="shared" si="116"/>
        <v>0</v>
      </c>
      <c r="BQ149" s="29">
        <f t="shared" si="116"/>
        <v>0</v>
      </c>
      <c r="BR149" s="29">
        <f t="shared" si="116"/>
        <v>0</v>
      </c>
      <c r="BS149" s="29">
        <f t="shared" si="116"/>
        <v>0</v>
      </c>
      <c r="BT149" s="29">
        <f t="shared" si="116"/>
        <v>0</v>
      </c>
      <c r="BU149" s="29">
        <f t="shared" si="116"/>
        <v>0</v>
      </c>
      <c r="BV149" s="29">
        <f t="shared" si="116"/>
        <v>0</v>
      </c>
      <c r="BW149" s="29">
        <f t="shared" si="116"/>
        <v>0</v>
      </c>
      <c r="BX149" s="29">
        <f t="shared" si="116"/>
        <v>0</v>
      </c>
      <c r="BY149" s="29">
        <f t="shared" si="116"/>
        <v>0</v>
      </c>
      <c r="BZ149" s="29">
        <f t="shared" si="116"/>
        <v>0</v>
      </c>
      <c r="CA149" s="29">
        <f t="shared" si="116"/>
        <v>0</v>
      </c>
      <c r="CB149" s="29">
        <f t="shared" si="116"/>
        <v>0</v>
      </c>
      <c r="CC149" s="29">
        <f t="shared" si="116"/>
        <v>0</v>
      </c>
      <c r="CD149" s="29">
        <f t="shared" si="116"/>
        <v>0</v>
      </c>
      <c r="CE149" s="29">
        <f t="shared" si="116"/>
        <v>0</v>
      </c>
      <c r="CF149" s="29">
        <f t="shared" si="116"/>
        <v>0</v>
      </c>
      <c r="CG149" s="29">
        <f t="shared" si="116"/>
        <v>0</v>
      </c>
      <c r="CH149" s="29">
        <f t="shared" si="116"/>
        <v>0</v>
      </c>
    </row>
    <row r="150" spans="2:86" ht="13" hidden="1" outlineLevel="1">
      <c r="B150" s="84">
        <f t="shared" si="71"/>
        <v>47</v>
      </c>
      <c r="C150" s="64">
        <f t="shared" ca="1" si="69"/>
        <v>0.49521884822756768</v>
      </c>
      <c r="D150" s="15" t="s">
        <v>238</v>
      </c>
      <c r="E150" s="29">
        <f t="shared" ca="1" si="59"/>
        <v>164639583.33333331</v>
      </c>
      <c r="F150" s="29"/>
      <c r="G150" s="29">
        <f t="shared" ref="G150:CH150" ca="1" si="117">IF(G$4&lt;=$B150,ABS(G$31)*-1+G$47,0)+IF($B150=G$4,G$81,0)</f>
        <v>-1444375</v>
      </c>
      <c r="H150" s="29">
        <f t="shared" ca="1" si="117"/>
        <v>-1344375</v>
      </c>
      <c r="I150" s="29">
        <f t="shared" ca="1" si="117"/>
        <v>-1344375</v>
      </c>
      <c r="J150" s="29">
        <f t="shared" ca="1" si="117"/>
        <v>-1344375</v>
      </c>
      <c r="K150" s="29">
        <f t="shared" ca="1" si="117"/>
        <v>-1344375</v>
      </c>
      <c r="L150" s="29">
        <f t="shared" ca="1" si="117"/>
        <v>-1344375</v>
      </c>
      <c r="M150" s="29">
        <f t="shared" ca="1" si="117"/>
        <v>-1344375</v>
      </c>
      <c r="N150" s="29">
        <f t="shared" ca="1" si="117"/>
        <v>-1344375</v>
      </c>
      <c r="O150" s="29">
        <f t="shared" ca="1" si="117"/>
        <v>-1344375</v>
      </c>
      <c r="P150" s="29">
        <f t="shared" ca="1" si="117"/>
        <v>-1344375</v>
      </c>
      <c r="Q150" s="29">
        <f t="shared" ca="1" si="117"/>
        <v>-1344375</v>
      </c>
      <c r="R150" s="29">
        <f t="shared" ca="1" si="117"/>
        <v>-1344375</v>
      </c>
      <c r="S150" s="29">
        <f t="shared" ca="1" si="117"/>
        <v>-534270.83333333279</v>
      </c>
      <c r="T150" s="29">
        <f t="shared" ca="1" si="117"/>
        <v>-534270.83333333279</v>
      </c>
      <c r="U150" s="29">
        <f t="shared" ca="1" si="117"/>
        <v>-534270.83333333279</v>
      </c>
      <c r="V150" s="29">
        <f t="shared" ca="1" si="117"/>
        <v>-534270.83333333279</v>
      </c>
      <c r="W150" s="29">
        <f t="shared" ca="1" si="117"/>
        <v>2385312.5000000009</v>
      </c>
      <c r="X150" s="29">
        <f t="shared" ca="1" si="117"/>
        <v>2385312.5000000009</v>
      </c>
      <c r="Y150" s="29">
        <f t="shared" ca="1" si="117"/>
        <v>2385312.5000000009</v>
      </c>
      <c r="Z150" s="29">
        <f t="shared" ca="1" si="117"/>
        <v>2235979.166666667</v>
      </c>
      <c r="AA150" s="29">
        <f t="shared" ca="1" si="117"/>
        <v>2148333.333333334</v>
      </c>
      <c r="AB150" s="29">
        <f t="shared" ca="1" si="117"/>
        <v>2148333.333333334</v>
      </c>
      <c r="AC150" s="29">
        <f t="shared" ca="1" si="117"/>
        <v>2148333.333333334</v>
      </c>
      <c r="AD150" s="29">
        <f t="shared" ca="1" si="117"/>
        <v>2148333.3333333344</v>
      </c>
      <c r="AE150" s="29">
        <f t="shared" ca="1" si="117"/>
        <v>11248708.333333332</v>
      </c>
      <c r="AF150" s="29">
        <f t="shared" ca="1" si="117"/>
        <v>11248708.333333332</v>
      </c>
      <c r="AG150" s="29">
        <f t="shared" ca="1" si="117"/>
        <v>11248708.333333332</v>
      </c>
      <c r="AH150" s="29">
        <f t="shared" ca="1" si="117"/>
        <v>11248708.333333332</v>
      </c>
      <c r="AI150" s="29">
        <f t="shared" ca="1" si="117"/>
        <v>10452583.333333332</v>
      </c>
      <c r="AJ150" s="29">
        <f t="shared" ca="1" si="117"/>
        <v>10452583.333333332</v>
      </c>
      <c r="AK150" s="29">
        <f t="shared" ca="1" si="117"/>
        <v>10452583.333333332</v>
      </c>
      <c r="AL150" s="29">
        <f t="shared" ca="1" si="117"/>
        <v>10452583.333333332</v>
      </c>
      <c r="AM150" s="29">
        <f t="shared" ca="1" si="117"/>
        <v>9014374.9999999981</v>
      </c>
      <c r="AN150" s="29">
        <f t="shared" ca="1" si="117"/>
        <v>9014374.9999999981</v>
      </c>
      <c r="AO150" s="29">
        <f t="shared" ca="1" si="117"/>
        <v>9014374.9999999981</v>
      </c>
      <c r="AP150" s="29">
        <f t="shared" ca="1" si="117"/>
        <v>9014374.9999999981</v>
      </c>
      <c r="AQ150" s="29">
        <f t="shared" ca="1" si="117"/>
        <v>10540312.499999996</v>
      </c>
      <c r="AR150" s="29">
        <f t="shared" ca="1" si="117"/>
        <v>10540312.499999996</v>
      </c>
      <c r="AS150" s="29">
        <f t="shared" ca="1" si="117"/>
        <v>10540312.499999996</v>
      </c>
      <c r="AT150" s="29">
        <f t="shared" ca="1" si="117"/>
        <v>10540312.499999996</v>
      </c>
      <c r="AU150" s="29">
        <f t="shared" ca="1" si="117"/>
        <v>0</v>
      </c>
      <c r="AV150" s="29">
        <f t="shared" ca="1" si="117"/>
        <v>0</v>
      </c>
      <c r="AW150" s="29">
        <f t="shared" ca="1" si="117"/>
        <v>0</v>
      </c>
      <c r="AX150" s="29">
        <f t="shared" ca="1" si="117"/>
        <v>0</v>
      </c>
      <c r="AY150" s="29">
        <f t="shared" ca="1" si="117"/>
        <v>0</v>
      </c>
      <c r="AZ150" s="29">
        <f t="shared" ca="1" si="117"/>
        <v>0</v>
      </c>
      <c r="BA150" s="29">
        <f t="shared" ca="1" si="117"/>
        <v>0</v>
      </c>
      <c r="BB150" s="29">
        <f t="shared" si="117"/>
        <v>0</v>
      </c>
      <c r="BC150" s="29">
        <f t="shared" si="117"/>
        <v>0</v>
      </c>
      <c r="BD150" s="29">
        <f t="shared" si="117"/>
        <v>0</v>
      </c>
      <c r="BE150" s="29">
        <f t="shared" si="117"/>
        <v>0</v>
      </c>
      <c r="BF150" s="29">
        <f t="shared" si="117"/>
        <v>0</v>
      </c>
      <c r="BG150" s="29">
        <f t="shared" si="117"/>
        <v>0</v>
      </c>
      <c r="BH150" s="29">
        <f t="shared" si="117"/>
        <v>0</v>
      </c>
      <c r="BI150" s="29">
        <f t="shared" si="117"/>
        <v>0</v>
      </c>
      <c r="BJ150" s="29">
        <f t="shared" si="117"/>
        <v>0</v>
      </c>
      <c r="BK150" s="29">
        <f t="shared" si="117"/>
        <v>0</v>
      </c>
      <c r="BL150" s="29">
        <f t="shared" si="117"/>
        <v>0</v>
      </c>
      <c r="BM150" s="29">
        <f t="shared" si="117"/>
        <v>0</v>
      </c>
      <c r="BN150" s="29">
        <f t="shared" si="117"/>
        <v>0</v>
      </c>
      <c r="BO150" s="29">
        <f t="shared" si="117"/>
        <v>0</v>
      </c>
      <c r="BP150" s="29">
        <f t="shared" si="117"/>
        <v>0</v>
      </c>
      <c r="BQ150" s="29">
        <f t="shared" si="117"/>
        <v>0</v>
      </c>
      <c r="BR150" s="29">
        <f t="shared" si="117"/>
        <v>0</v>
      </c>
      <c r="BS150" s="29">
        <f t="shared" si="117"/>
        <v>0</v>
      </c>
      <c r="BT150" s="29">
        <f t="shared" si="117"/>
        <v>0</v>
      </c>
      <c r="BU150" s="29">
        <f t="shared" si="117"/>
        <v>0</v>
      </c>
      <c r="BV150" s="29">
        <f t="shared" si="117"/>
        <v>0</v>
      </c>
      <c r="BW150" s="29">
        <f t="shared" si="117"/>
        <v>0</v>
      </c>
      <c r="BX150" s="29">
        <f t="shared" si="117"/>
        <v>0</v>
      </c>
      <c r="BY150" s="29">
        <f t="shared" si="117"/>
        <v>0</v>
      </c>
      <c r="BZ150" s="29">
        <f t="shared" si="117"/>
        <v>0</v>
      </c>
      <c r="CA150" s="29">
        <f t="shared" si="117"/>
        <v>0</v>
      </c>
      <c r="CB150" s="29">
        <f t="shared" si="117"/>
        <v>0</v>
      </c>
      <c r="CC150" s="29">
        <f t="shared" si="117"/>
        <v>0</v>
      </c>
      <c r="CD150" s="29">
        <f t="shared" si="117"/>
        <v>0</v>
      </c>
      <c r="CE150" s="29">
        <f t="shared" si="117"/>
        <v>0</v>
      </c>
      <c r="CF150" s="29">
        <f t="shared" si="117"/>
        <v>0</v>
      </c>
      <c r="CG150" s="29">
        <f t="shared" si="117"/>
        <v>0</v>
      </c>
      <c r="CH150" s="29">
        <f t="shared" si="117"/>
        <v>0</v>
      </c>
    </row>
    <row r="151" spans="2:86" ht="13" hidden="1" outlineLevel="1">
      <c r="B151" s="84">
        <f t="shared" si="71"/>
        <v>48</v>
      </c>
      <c r="C151" s="64">
        <f t="shared" ca="1" si="69"/>
        <v>0.49521884822756768</v>
      </c>
      <c r="D151" s="15" t="s">
        <v>238</v>
      </c>
      <c r="E151" s="29">
        <f t="shared" ca="1" si="59"/>
        <v>164639583.33333331</v>
      </c>
      <c r="F151" s="29"/>
      <c r="G151" s="29">
        <f t="shared" ref="G151:CH151" ca="1" si="118">IF(G$4&lt;=$B151,ABS(G$31)*-1+G$47,0)+IF($B151=G$4,G$81,0)</f>
        <v>-1444375</v>
      </c>
      <c r="H151" s="29">
        <f t="shared" ca="1" si="118"/>
        <v>-1344375</v>
      </c>
      <c r="I151" s="29">
        <f t="shared" ca="1" si="118"/>
        <v>-1344375</v>
      </c>
      <c r="J151" s="29">
        <f t="shared" ca="1" si="118"/>
        <v>-1344375</v>
      </c>
      <c r="K151" s="29">
        <f t="shared" ca="1" si="118"/>
        <v>-1344375</v>
      </c>
      <c r="L151" s="29">
        <f t="shared" ca="1" si="118"/>
        <v>-1344375</v>
      </c>
      <c r="M151" s="29">
        <f t="shared" ca="1" si="118"/>
        <v>-1344375</v>
      </c>
      <c r="N151" s="29">
        <f t="shared" ca="1" si="118"/>
        <v>-1344375</v>
      </c>
      <c r="O151" s="29">
        <f t="shared" ca="1" si="118"/>
        <v>-1344375</v>
      </c>
      <c r="P151" s="29">
        <f t="shared" ca="1" si="118"/>
        <v>-1344375</v>
      </c>
      <c r="Q151" s="29">
        <f t="shared" ca="1" si="118"/>
        <v>-1344375</v>
      </c>
      <c r="R151" s="29">
        <f t="shared" ca="1" si="118"/>
        <v>-1344375</v>
      </c>
      <c r="S151" s="29">
        <f t="shared" ca="1" si="118"/>
        <v>-534270.83333333279</v>
      </c>
      <c r="T151" s="29">
        <f t="shared" ca="1" si="118"/>
        <v>-534270.83333333279</v>
      </c>
      <c r="U151" s="29">
        <f t="shared" ca="1" si="118"/>
        <v>-534270.83333333279</v>
      </c>
      <c r="V151" s="29">
        <f t="shared" ca="1" si="118"/>
        <v>-534270.83333333279</v>
      </c>
      <c r="W151" s="29">
        <f t="shared" ca="1" si="118"/>
        <v>2385312.5000000009</v>
      </c>
      <c r="X151" s="29">
        <f t="shared" ca="1" si="118"/>
        <v>2385312.5000000009</v>
      </c>
      <c r="Y151" s="29">
        <f t="shared" ca="1" si="118"/>
        <v>2385312.5000000009</v>
      </c>
      <c r="Z151" s="29">
        <f t="shared" ca="1" si="118"/>
        <v>2235979.166666667</v>
      </c>
      <c r="AA151" s="29">
        <f t="shared" ca="1" si="118"/>
        <v>2148333.333333334</v>
      </c>
      <c r="AB151" s="29">
        <f t="shared" ca="1" si="118"/>
        <v>2148333.333333334</v>
      </c>
      <c r="AC151" s="29">
        <f t="shared" ca="1" si="118"/>
        <v>2148333.333333334</v>
      </c>
      <c r="AD151" s="29">
        <f t="shared" ca="1" si="118"/>
        <v>2148333.3333333344</v>
      </c>
      <c r="AE151" s="29">
        <f t="shared" ca="1" si="118"/>
        <v>11248708.333333332</v>
      </c>
      <c r="AF151" s="29">
        <f t="shared" ca="1" si="118"/>
        <v>11248708.333333332</v>
      </c>
      <c r="AG151" s="29">
        <f t="shared" ca="1" si="118"/>
        <v>11248708.333333332</v>
      </c>
      <c r="AH151" s="29">
        <f t="shared" ca="1" si="118"/>
        <v>11248708.333333332</v>
      </c>
      <c r="AI151" s="29">
        <f t="shared" ca="1" si="118"/>
        <v>10452583.333333332</v>
      </c>
      <c r="AJ151" s="29">
        <f t="shared" ca="1" si="118"/>
        <v>10452583.333333332</v>
      </c>
      <c r="AK151" s="29">
        <f t="shared" ca="1" si="118"/>
        <v>10452583.333333332</v>
      </c>
      <c r="AL151" s="29">
        <f t="shared" ca="1" si="118"/>
        <v>10452583.333333332</v>
      </c>
      <c r="AM151" s="29">
        <f t="shared" ca="1" si="118"/>
        <v>9014374.9999999981</v>
      </c>
      <c r="AN151" s="29">
        <f t="shared" ca="1" si="118"/>
        <v>9014374.9999999981</v>
      </c>
      <c r="AO151" s="29">
        <f t="shared" ca="1" si="118"/>
        <v>9014374.9999999981</v>
      </c>
      <c r="AP151" s="29">
        <f t="shared" ca="1" si="118"/>
        <v>9014374.9999999981</v>
      </c>
      <c r="AQ151" s="29">
        <f t="shared" ca="1" si="118"/>
        <v>10540312.499999996</v>
      </c>
      <c r="AR151" s="29">
        <f t="shared" ca="1" si="118"/>
        <v>10540312.499999996</v>
      </c>
      <c r="AS151" s="29">
        <f t="shared" ca="1" si="118"/>
        <v>10540312.499999996</v>
      </c>
      <c r="AT151" s="29">
        <f t="shared" ca="1" si="118"/>
        <v>10540312.499999996</v>
      </c>
      <c r="AU151" s="29">
        <f t="shared" ca="1" si="118"/>
        <v>0</v>
      </c>
      <c r="AV151" s="29">
        <f t="shared" ca="1" si="118"/>
        <v>0</v>
      </c>
      <c r="AW151" s="29">
        <f t="shared" ca="1" si="118"/>
        <v>0</v>
      </c>
      <c r="AX151" s="29">
        <f t="shared" ca="1" si="118"/>
        <v>0</v>
      </c>
      <c r="AY151" s="29">
        <f t="shared" ca="1" si="118"/>
        <v>0</v>
      </c>
      <c r="AZ151" s="29">
        <f t="shared" ca="1" si="118"/>
        <v>0</v>
      </c>
      <c r="BA151" s="29">
        <f t="shared" ca="1" si="118"/>
        <v>0</v>
      </c>
      <c r="BB151" s="29">
        <f t="shared" ca="1" si="118"/>
        <v>0</v>
      </c>
      <c r="BC151" s="29">
        <f t="shared" si="118"/>
        <v>0</v>
      </c>
      <c r="BD151" s="29">
        <f t="shared" si="118"/>
        <v>0</v>
      </c>
      <c r="BE151" s="29">
        <f t="shared" si="118"/>
        <v>0</v>
      </c>
      <c r="BF151" s="29">
        <f t="shared" si="118"/>
        <v>0</v>
      </c>
      <c r="BG151" s="29">
        <f t="shared" si="118"/>
        <v>0</v>
      </c>
      <c r="BH151" s="29">
        <f t="shared" si="118"/>
        <v>0</v>
      </c>
      <c r="BI151" s="29">
        <f t="shared" si="118"/>
        <v>0</v>
      </c>
      <c r="BJ151" s="29">
        <f t="shared" si="118"/>
        <v>0</v>
      </c>
      <c r="BK151" s="29">
        <f t="shared" si="118"/>
        <v>0</v>
      </c>
      <c r="BL151" s="29">
        <f t="shared" si="118"/>
        <v>0</v>
      </c>
      <c r="BM151" s="29">
        <f t="shared" si="118"/>
        <v>0</v>
      </c>
      <c r="BN151" s="29">
        <f t="shared" si="118"/>
        <v>0</v>
      </c>
      <c r="BO151" s="29">
        <f t="shared" si="118"/>
        <v>0</v>
      </c>
      <c r="BP151" s="29">
        <f t="shared" si="118"/>
        <v>0</v>
      </c>
      <c r="BQ151" s="29">
        <f t="shared" si="118"/>
        <v>0</v>
      </c>
      <c r="BR151" s="29">
        <f t="shared" si="118"/>
        <v>0</v>
      </c>
      <c r="BS151" s="29">
        <f t="shared" si="118"/>
        <v>0</v>
      </c>
      <c r="BT151" s="29">
        <f t="shared" si="118"/>
        <v>0</v>
      </c>
      <c r="BU151" s="29">
        <f t="shared" si="118"/>
        <v>0</v>
      </c>
      <c r="BV151" s="29">
        <f t="shared" si="118"/>
        <v>0</v>
      </c>
      <c r="BW151" s="29">
        <f t="shared" si="118"/>
        <v>0</v>
      </c>
      <c r="BX151" s="29">
        <f t="shared" si="118"/>
        <v>0</v>
      </c>
      <c r="BY151" s="29">
        <f t="shared" si="118"/>
        <v>0</v>
      </c>
      <c r="BZ151" s="29">
        <f t="shared" si="118"/>
        <v>0</v>
      </c>
      <c r="CA151" s="29">
        <f t="shared" si="118"/>
        <v>0</v>
      </c>
      <c r="CB151" s="29">
        <f t="shared" si="118"/>
        <v>0</v>
      </c>
      <c r="CC151" s="29">
        <f t="shared" si="118"/>
        <v>0</v>
      </c>
      <c r="CD151" s="29">
        <f t="shared" si="118"/>
        <v>0</v>
      </c>
      <c r="CE151" s="29">
        <f t="shared" si="118"/>
        <v>0</v>
      </c>
      <c r="CF151" s="29">
        <f t="shared" si="118"/>
        <v>0</v>
      </c>
      <c r="CG151" s="29">
        <f t="shared" si="118"/>
        <v>0</v>
      </c>
      <c r="CH151" s="29">
        <f t="shared" si="118"/>
        <v>0</v>
      </c>
    </row>
    <row r="152" spans="2:86" ht="13" hidden="1" outlineLevel="1">
      <c r="B152" s="84">
        <f t="shared" si="71"/>
        <v>49</v>
      </c>
      <c r="C152" s="64">
        <f t="shared" ca="1" si="69"/>
        <v>0.49521884822756768</v>
      </c>
      <c r="D152" s="15" t="s">
        <v>238</v>
      </c>
      <c r="E152" s="29">
        <f t="shared" ca="1" si="59"/>
        <v>164639583.33333331</v>
      </c>
      <c r="F152" s="29"/>
      <c r="G152" s="29">
        <f t="shared" ref="G152:CH152" ca="1" si="119">IF(G$4&lt;=$B152,ABS(G$31)*-1+G$47,0)+IF($B152=G$4,G$81,0)</f>
        <v>-1444375</v>
      </c>
      <c r="H152" s="29">
        <f t="shared" ca="1" si="119"/>
        <v>-1344375</v>
      </c>
      <c r="I152" s="29">
        <f t="shared" ca="1" si="119"/>
        <v>-1344375</v>
      </c>
      <c r="J152" s="29">
        <f t="shared" ca="1" si="119"/>
        <v>-1344375</v>
      </c>
      <c r="K152" s="29">
        <f t="shared" ca="1" si="119"/>
        <v>-1344375</v>
      </c>
      <c r="L152" s="29">
        <f t="shared" ca="1" si="119"/>
        <v>-1344375</v>
      </c>
      <c r="M152" s="29">
        <f t="shared" ca="1" si="119"/>
        <v>-1344375</v>
      </c>
      <c r="N152" s="29">
        <f t="shared" ca="1" si="119"/>
        <v>-1344375</v>
      </c>
      <c r="O152" s="29">
        <f t="shared" ca="1" si="119"/>
        <v>-1344375</v>
      </c>
      <c r="P152" s="29">
        <f t="shared" ca="1" si="119"/>
        <v>-1344375</v>
      </c>
      <c r="Q152" s="29">
        <f t="shared" ca="1" si="119"/>
        <v>-1344375</v>
      </c>
      <c r="R152" s="29">
        <f t="shared" ca="1" si="119"/>
        <v>-1344375</v>
      </c>
      <c r="S152" s="29">
        <f t="shared" ca="1" si="119"/>
        <v>-534270.83333333279</v>
      </c>
      <c r="T152" s="29">
        <f t="shared" ca="1" si="119"/>
        <v>-534270.83333333279</v>
      </c>
      <c r="U152" s="29">
        <f t="shared" ca="1" si="119"/>
        <v>-534270.83333333279</v>
      </c>
      <c r="V152" s="29">
        <f t="shared" ca="1" si="119"/>
        <v>-534270.83333333279</v>
      </c>
      <c r="W152" s="29">
        <f t="shared" ca="1" si="119"/>
        <v>2385312.5000000009</v>
      </c>
      <c r="X152" s="29">
        <f t="shared" ca="1" si="119"/>
        <v>2385312.5000000009</v>
      </c>
      <c r="Y152" s="29">
        <f t="shared" ca="1" si="119"/>
        <v>2385312.5000000009</v>
      </c>
      <c r="Z152" s="29">
        <f t="shared" ca="1" si="119"/>
        <v>2235979.166666667</v>
      </c>
      <c r="AA152" s="29">
        <f t="shared" ca="1" si="119"/>
        <v>2148333.333333334</v>
      </c>
      <c r="AB152" s="29">
        <f t="shared" ca="1" si="119"/>
        <v>2148333.333333334</v>
      </c>
      <c r="AC152" s="29">
        <f t="shared" ca="1" si="119"/>
        <v>2148333.333333334</v>
      </c>
      <c r="AD152" s="29">
        <f t="shared" ca="1" si="119"/>
        <v>2148333.3333333344</v>
      </c>
      <c r="AE152" s="29">
        <f t="shared" ca="1" si="119"/>
        <v>11248708.333333332</v>
      </c>
      <c r="AF152" s="29">
        <f t="shared" ca="1" si="119"/>
        <v>11248708.333333332</v>
      </c>
      <c r="AG152" s="29">
        <f t="shared" ca="1" si="119"/>
        <v>11248708.333333332</v>
      </c>
      <c r="AH152" s="29">
        <f t="shared" ca="1" si="119"/>
        <v>11248708.333333332</v>
      </c>
      <c r="AI152" s="29">
        <f t="shared" ca="1" si="119"/>
        <v>10452583.333333332</v>
      </c>
      <c r="AJ152" s="29">
        <f t="shared" ca="1" si="119"/>
        <v>10452583.333333332</v>
      </c>
      <c r="AK152" s="29">
        <f t="shared" ca="1" si="119"/>
        <v>10452583.333333332</v>
      </c>
      <c r="AL152" s="29">
        <f t="shared" ca="1" si="119"/>
        <v>10452583.333333332</v>
      </c>
      <c r="AM152" s="29">
        <f t="shared" ca="1" si="119"/>
        <v>9014374.9999999981</v>
      </c>
      <c r="AN152" s="29">
        <f t="shared" ca="1" si="119"/>
        <v>9014374.9999999981</v>
      </c>
      <c r="AO152" s="29">
        <f t="shared" ca="1" si="119"/>
        <v>9014374.9999999981</v>
      </c>
      <c r="AP152" s="29">
        <f t="shared" ca="1" si="119"/>
        <v>9014374.9999999981</v>
      </c>
      <c r="AQ152" s="29">
        <f t="shared" ca="1" si="119"/>
        <v>10540312.499999996</v>
      </c>
      <c r="AR152" s="29">
        <f t="shared" ca="1" si="119"/>
        <v>10540312.499999996</v>
      </c>
      <c r="AS152" s="29">
        <f t="shared" ca="1" si="119"/>
        <v>10540312.499999996</v>
      </c>
      <c r="AT152" s="29">
        <f t="shared" ca="1" si="119"/>
        <v>10540312.499999996</v>
      </c>
      <c r="AU152" s="29">
        <f t="shared" ca="1" si="119"/>
        <v>0</v>
      </c>
      <c r="AV152" s="29">
        <f t="shared" ca="1" si="119"/>
        <v>0</v>
      </c>
      <c r="AW152" s="29">
        <f t="shared" ca="1" si="119"/>
        <v>0</v>
      </c>
      <c r="AX152" s="29">
        <f t="shared" ca="1" si="119"/>
        <v>0</v>
      </c>
      <c r="AY152" s="29">
        <f t="shared" ca="1" si="119"/>
        <v>0</v>
      </c>
      <c r="AZ152" s="29">
        <f t="shared" ca="1" si="119"/>
        <v>0</v>
      </c>
      <c r="BA152" s="29">
        <f t="shared" ca="1" si="119"/>
        <v>0</v>
      </c>
      <c r="BB152" s="29">
        <f t="shared" ca="1" si="119"/>
        <v>0</v>
      </c>
      <c r="BC152" s="29">
        <f t="shared" ca="1" si="119"/>
        <v>0</v>
      </c>
      <c r="BD152" s="29">
        <f t="shared" si="119"/>
        <v>0</v>
      </c>
      <c r="BE152" s="29">
        <f t="shared" si="119"/>
        <v>0</v>
      </c>
      <c r="BF152" s="29">
        <f t="shared" si="119"/>
        <v>0</v>
      </c>
      <c r="BG152" s="29">
        <f t="shared" si="119"/>
        <v>0</v>
      </c>
      <c r="BH152" s="29">
        <f t="shared" si="119"/>
        <v>0</v>
      </c>
      <c r="BI152" s="29">
        <f t="shared" si="119"/>
        <v>0</v>
      </c>
      <c r="BJ152" s="29">
        <f t="shared" si="119"/>
        <v>0</v>
      </c>
      <c r="BK152" s="29">
        <f t="shared" si="119"/>
        <v>0</v>
      </c>
      <c r="BL152" s="29">
        <f t="shared" si="119"/>
        <v>0</v>
      </c>
      <c r="BM152" s="29">
        <f t="shared" si="119"/>
        <v>0</v>
      </c>
      <c r="BN152" s="29">
        <f t="shared" si="119"/>
        <v>0</v>
      </c>
      <c r="BO152" s="29">
        <f t="shared" si="119"/>
        <v>0</v>
      </c>
      <c r="BP152" s="29">
        <f t="shared" si="119"/>
        <v>0</v>
      </c>
      <c r="BQ152" s="29">
        <f t="shared" si="119"/>
        <v>0</v>
      </c>
      <c r="BR152" s="29">
        <f t="shared" si="119"/>
        <v>0</v>
      </c>
      <c r="BS152" s="29">
        <f t="shared" si="119"/>
        <v>0</v>
      </c>
      <c r="BT152" s="29">
        <f t="shared" si="119"/>
        <v>0</v>
      </c>
      <c r="BU152" s="29">
        <f t="shared" si="119"/>
        <v>0</v>
      </c>
      <c r="BV152" s="29">
        <f t="shared" si="119"/>
        <v>0</v>
      </c>
      <c r="BW152" s="29">
        <f t="shared" si="119"/>
        <v>0</v>
      </c>
      <c r="BX152" s="29">
        <f t="shared" si="119"/>
        <v>0</v>
      </c>
      <c r="BY152" s="29">
        <f t="shared" si="119"/>
        <v>0</v>
      </c>
      <c r="BZ152" s="29">
        <f t="shared" si="119"/>
        <v>0</v>
      </c>
      <c r="CA152" s="29">
        <f t="shared" si="119"/>
        <v>0</v>
      </c>
      <c r="CB152" s="29">
        <f t="shared" si="119"/>
        <v>0</v>
      </c>
      <c r="CC152" s="29">
        <f t="shared" si="119"/>
        <v>0</v>
      </c>
      <c r="CD152" s="29">
        <f t="shared" si="119"/>
        <v>0</v>
      </c>
      <c r="CE152" s="29">
        <f t="shared" si="119"/>
        <v>0</v>
      </c>
      <c r="CF152" s="29">
        <f t="shared" si="119"/>
        <v>0</v>
      </c>
      <c r="CG152" s="29">
        <f t="shared" si="119"/>
        <v>0</v>
      </c>
      <c r="CH152" s="29">
        <f t="shared" si="119"/>
        <v>0</v>
      </c>
    </row>
    <row r="153" spans="2:86" ht="13" hidden="1" outlineLevel="1">
      <c r="B153" s="84">
        <f t="shared" si="71"/>
        <v>50</v>
      </c>
      <c r="C153" s="64">
        <f t="shared" ca="1" si="69"/>
        <v>0.49521884822756768</v>
      </c>
      <c r="D153" s="15" t="s">
        <v>238</v>
      </c>
      <c r="E153" s="29">
        <f t="shared" ca="1" si="59"/>
        <v>164639583.33333331</v>
      </c>
      <c r="F153" s="29"/>
      <c r="G153" s="29">
        <f t="shared" ref="G153:CH153" ca="1" si="120">IF(G$4&lt;=$B153,ABS(G$31)*-1+G$47,0)+IF($B153=G$4,G$81,0)</f>
        <v>-1444375</v>
      </c>
      <c r="H153" s="29">
        <f t="shared" ca="1" si="120"/>
        <v>-1344375</v>
      </c>
      <c r="I153" s="29">
        <f t="shared" ca="1" si="120"/>
        <v>-1344375</v>
      </c>
      <c r="J153" s="29">
        <f t="shared" ca="1" si="120"/>
        <v>-1344375</v>
      </c>
      <c r="K153" s="29">
        <f t="shared" ca="1" si="120"/>
        <v>-1344375</v>
      </c>
      <c r="L153" s="29">
        <f t="shared" ca="1" si="120"/>
        <v>-1344375</v>
      </c>
      <c r="M153" s="29">
        <f t="shared" ca="1" si="120"/>
        <v>-1344375</v>
      </c>
      <c r="N153" s="29">
        <f t="shared" ca="1" si="120"/>
        <v>-1344375</v>
      </c>
      <c r="O153" s="29">
        <f t="shared" ca="1" si="120"/>
        <v>-1344375</v>
      </c>
      <c r="P153" s="29">
        <f t="shared" ca="1" si="120"/>
        <v>-1344375</v>
      </c>
      <c r="Q153" s="29">
        <f t="shared" ca="1" si="120"/>
        <v>-1344375</v>
      </c>
      <c r="R153" s="29">
        <f t="shared" ca="1" si="120"/>
        <v>-1344375</v>
      </c>
      <c r="S153" s="29">
        <f t="shared" ca="1" si="120"/>
        <v>-534270.83333333279</v>
      </c>
      <c r="T153" s="29">
        <f t="shared" ca="1" si="120"/>
        <v>-534270.83333333279</v>
      </c>
      <c r="U153" s="29">
        <f t="shared" ca="1" si="120"/>
        <v>-534270.83333333279</v>
      </c>
      <c r="V153" s="29">
        <f t="shared" ca="1" si="120"/>
        <v>-534270.83333333279</v>
      </c>
      <c r="W153" s="29">
        <f t="shared" ca="1" si="120"/>
        <v>2385312.5000000009</v>
      </c>
      <c r="X153" s="29">
        <f t="shared" ca="1" si="120"/>
        <v>2385312.5000000009</v>
      </c>
      <c r="Y153" s="29">
        <f t="shared" ca="1" si="120"/>
        <v>2385312.5000000009</v>
      </c>
      <c r="Z153" s="29">
        <f t="shared" ca="1" si="120"/>
        <v>2235979.166666667</v>
      </c>
      <c r="AA153" s="29">
        <f t="shared" ca="1" si="120"/>
        <v>2148333.333333334</v>
      </c>
      <c r="AB153" s="29">
        <f t="shared" ca="1" si="120"/>
        <v>2148333.333333334</v>
      </c>
      <c r="AC153" s="29">
        <f t="shared" ca="1" si="120"/>
        <v>2148333.333333334</v>
      </c>
      <c r="AD153" s="29">
        <f t="shared" ca="1" si="120"/>
        <v>2148333.3333333344</v>
      </c>
      <c r="AE153" s="29">
        <f t="shared" ca="1" si="120"/>
        <v>11248708.333333332</v>
      </c>
      <c r="AF153" s="29">
        <f t="shared" ca="1" si="120"/>
        <v>11248708.333333332</v>
      </c>
      <c r="AG153" s="29">
        <f t="shared" ca="1" si="120"/>
        <v>11248708.333333332</v>
      </c>
      <c r="AH153" s="29">
        <f t="shared" ca="1" si="120"/>
        <v>11248708.333333332</v>
      </c>
      <c r="AI153" s="29">
        <f t="shared" ca="1" si="120"/>
        <v>10452583.333333332</v>
      </c>
      <c r="AJ153" s="29">
        <f t="shared" ca="1" si="120"/>
        <v>10452583.333333332</v>
      </c>
      <c r="AK153" s="29">
        <f t="shared" ca="1" si="120"/>
        <v>10452583.333333332</v>
      </c>
      <c r="AL153" s="29">
        <f t="shared" ca="1" si="120"/>
        <v>10452583.333333332</v>
      </c>
      <c r="AM153" s="29">
        <f t="shared" ca="1" si="120"/>
        <v>9014374.9999999981</v>
      </c>
      <c r="AN153" s="29">
        <f t="shared" ca="1" si="120"/>
        <v>9014374.9999999981</v>
      </c>
      <c r="AO153" s="29">
        <f t="shared" ca="1" si="120"/>
        <v>9014374.9999999981</v>
      </c>
      <c r="AP153" s="29">
        <f t="shared" ca="1" si="120"/>
        <v>9014374.9999999981</v>
      </c>
      <c r="AQ153" s="29">
        <f t="shared" ca="1" si="120"/>
        <v>10540312.499999996</v>
      </c>
      <c r="AR153" s="29">
        <f t="shared" ca="1" si="120"/>
        <v>10540312.499999996</v>
      </c>
      <c r="AS153" s="29">
        <f t="shared" ca="1" si="120"/>
        <v>10540312.499999996</v>
      </c>
      <c r="AT153" s="29">
        <f t="shared" ca="1" si="120"/>
        <v>10540312.499999996</v>
      </c>
      <c r="AU153" s="29">
        <f t="shared" ca="1" si="120"/>
        <v>0</v>
      </c>
      <c r="AV153" s="29">
        <f t="shared" ca="1" si="120"/>
        <v>0</v>
      </c>
      <c r="AW153" s="29">
        <f t="shared" ca="1" si="120"/>
        <v>0</v>
      </c>
      <c r="AX153" s="29">
        <f t="shared" ca="1" si="120"/>
        <v>0</v>
      </c>
      <c r="AY153" s="29">
        <f t="shared" ca="1" si="120"/>
        <v>0</v>
      </c>
      <c r="AZ153" s="29">
        <f t="shared" ca="1" si="120"/>
        <v>0</v>
      </c>
      <c r="BA153" s="29">
        <f t="shared" ca="1" si="120"/>
        <v>0</v>
      </c>
      <c r="BB153" s="29">
        <f t="shared" ca="1" si="120"/>
        <v>0</v>
      </c>
      <c r="BC153" s="29">
        <f t="shared" ca="1" si="120"/>
        <v>0</v>
      </c>
      <c r="BD153" s="29">
        <f t="shared" ca="1" si="120"/>
        <v>0</v>
      </c>
      <c r="BE153" s="29">
        <f t="shared" si="120"/>
        <v>0</v>
      </c>
      <c r="BF153" s="29">
        <f t="shared" si="120"/>
        <v>0</v>
      </c>
      <c r="BG153" s="29">
        <f t="shared" si="120"/>
        <v>0</v>
      </c>
      <c r="BH153" s="29">
        <f t="shared" si="120"/>
        <v>0</v>
      </c>
      <c r="BI153" s="29">
        <f t="shared" si="120"/>
        <v>0</v>
      </c>
      <c r="BJ153" s="29">
        <f t="shared" si="120"/>
        <v>0</v>
      </c>
      <c r="BK153" s="29">
        <f t="shared" si="120"/>
        <v>0</v>
      </c>
      <c r="BL153" s="29">
        <f t="shared" si="120"/>
        <v>0</v>
      </c>
      <c r="BM153" s="29">
        <f t="shared" si="120"/>
        <v>0</v>
      </c>
      <c r="BN153" s="29">
        <f t="shared" si="120"/>
        <v>0</v>
      </c>
      <c r="BO153" s="29">
        <f t="shared" si="120"/>
        <v>0</v>
      </c>
      <c r="BP153" s="29">
        <f t="shared" si="120"/>
        <v>0</v>
      </c>
      <c r="BQ153" s="29">
        <f t="shared" si="120"/>
        <v>0</v>
      </c>
      <c r="BR153" s="29">
        <f t="shared" si="120"/>
        <v>0</v>
      </c>
      <c r="BS153" s="29">
        <f t="shared" si="120"/>
        <v>0</v>
      </c>
      <c r="BT153" s="29">
        <f t="shared" si="120"/>
        <v>0</v>
      </c>
      <c r="BU153" s="29">
        <f t="shared" si="120"/>
        <v>0</v>
      </c>
      <c r="BV153" s="29">
        <f t="shared" si="120"/>
        <v>0</v>
      </c>
      <c r="BW153" s="29">
        <f t="shared" si="120"/>
        <v>0</v>
      </c>
      <c r="BX153" s="29">
        <f t="shared" si="120"/>
        <v>0</v>
      </c>
      <c r="BY153" s="29">
        <f t="shared" si="120"/>
        <v>0</v>
      </c>
      <c r="BZ153" s="29">
        <f t="shared" si="120"/>
        <v>0</v>
      </c>
      <c r="CA153" s="29">
        <f t="shared" si="120"/>
        <v>0</v>
      </c>
      <c r="CB153" s="29">
        <f t="shared" si="120"/>
        <v>0</v>
      </c>
      <c r="CC153" s="29">
        <f t="shared" si="120"/>
        <v>0</v>
      </c>
      <c r="CD153" s="29">
        <f t="shared" si="120"/>
        <v>0</v>
      </c>
      <c r="CE153" s="29">
        <f t="shared" si="120"/>
        <v>0</v>
      </c>
      <c r="CF153" s="29">
        <f t="shared" si="120"/>
        <v>0</v>
      </c>
      <c r="CG153" s="29">
        <f t="shared" si="120"/>
        <v>0</v>
      </c>
      <c r="CH153" s="29">
        <f t="shared" si="120"/>
        <v>0</v>
      </c>
    </row>
    <row r="154" spans="2:86" ht="13" hidden="1" outlineLevel="1">
      <c r="B154" s="84">
        <f t="shared" si="71"/>
        <v>51</v>
      </c>
      <c r="C154" s="64">
        <f t="shared" ca="1" si="69"/>
        <v>0.49521884822756768</v>
      </c>
      <c r="D154" s="15" t="s">
        <v>238</v>
      </c>
      <c r="E154" s="29">
        <f t="shared" ca="1" si="59"/>
        <v>164639583.33333331</v>
      </c>
      <c r="F154" s="29"/>
      <c r="G154" s="29">
        <f t="shared" ref="G154:CH154" ca="1" si="121">IF(G$4&lt;=$B154,ABS(G$31)*-1+G$47,0)+IF($B154=G$4,G$81,0)</f>
        <v>-1444375</v>
      </c>
      <c r="H154" s="29">
        <f t="shared" ca="1" si="121"/>
        <v>-1344375</v>
      </c>
      <c r="I154" s="29">
        <f t="shared" ca="1" si="121"/>
        <v>-1344375</v>
      </c>
      <c r="J154" s="29">
        <f t="shared" ca="1" si="121"/>
        <v>-1344375</v>
      </c>
      <c r="K154" s="29">
        <f t="shared" ca="1" si="121"/>
        <v>-1344375</v>
      </c>
      <c r="L154" s="29">
        <f t="shared" ca="1" si="121"/>
        <v>-1344375</v>
      </c>
      <c r="M154" s="29">
        <f t="shared" ca="1" si="121"/>
        <v>-1344375</v>
      </c>
      <c r="N154" s="29">
        <f t="shared" ca="1" si="121"/>
        <v>-1344375</v>
      </c>
      <c r="O154" s="29">
        <f t="shared" ca="1" si="121"/>
        <v>-1344375</v>
      </c>
      <c r="P154" s="29">
        <f t="shared" ca="1" si="121"/>
        <v>-1344375</v>
      </c>
      <c r="Q154" s="29">
        <f t="shared" ca="1" si="121"/>
        <v>-1344375</v>
      </c>
      <c r="R154" s="29">
        <f t="shared" ca="1" si="121"/>
        <v>-1344375</v>
      </c>
      <c r="S154" s="29">
        <f t="shared" ca="1" si="121"/>
        <v>-534270.83333333279</v>
      </c>
      <c r="T154" s="29">
        <f t="shared" ca="1" si="121"/>
        <v>-534270.83333333279</v>
      </c>
      <c r="U154" s="29">
        <f t="shared" ca="1" si="121"/>
        <v>-534270.83333333279</v>
      </c>
      <c r="V154" s="29">
        <f t="shared" ca="1" si="121"/>
        <v>-534270.83333333279</v>
      </c>
      <c r="W154" s="29">
        <f t="shared" ca="1" si="121"/>
        <v>2385312.5000000009</v>
      </c>
      <c r="X154" s="29">
        <f t="shared" ca="1" si="121"/>
        <v>2385312.5000000009</v>
      </c>
      <c r="Y154" s="29">
        <f t="shared" ca="1" si="121"/>
        <v>2385312.5000000009</v>
      </c>
      <c r="Z154" s="29">
        <f t="shared" ca="1" si="121"/>
        <v>2235979.166666667</v>
      </c>
      <c r="AA154" s="29">
        <f t="shared" ca="1" si="121"/>
        <v>2148333.333333334</v>
      </c>
      <c r="AB154" s="29">
        <f t="shared" ca="1" si="121"/>
        <v>2148333.333333334</v>
      </c>
      <c r="AC154" s="29">
        <f t="shared" ca="1" si="121"/>
        <v>2148333.333333334</v>
      </c>
      <c r="AD154" s="29">
        <f t="shared" ca="1" si="121"/>
        <v>2148333.3333333344</v>
      </c>
      <c r="AE154" s="29">
        <f t="shared" ca="1" si="121"/>
        <v>11248708.333333332</v>
      </c>
      <c r="AF154" s="29">
        <f t="shared" ca="1" si="121"/>
        <v>11248708.333333332</v>
      </c>
      <c r="AG154" s="29">
        <f t="shared" ca="1" si="121"/>
        <v>11248708.333333332</v>
      </c>
      <c r="AH154" s="29">
        <f t="shared" ca="1" si="121"/>
        <v>11248708.333333332</v>
      </c>
      <c r="AI154" s="29">
        <f t="shared" ca="1" si="121"/>
        <v>10452583.333333332</v>
      </c>
      <c r="AJ154" s="29">
        <f t="shared" ca="1" si="121"/>
        <v>10452583.333333332</v>
      </c>
      <c r="AK154" s="29">
        <f t="shared" ca="1" si="121"/>
        <v>10452583.333333332</v>
      </c>
      <c r="AL154" s="29">
        <f t="shared" ca="1" si="121"/>
        <v>10452583.333333332</v>
      </c>
      <c r="AM154" s="29">
        <f t="shared" ca="1" si="121"/>
        <v>9014374.9999999981</v>
      </c>
      <c r="AN154" s="29">
        <f t="shared" ca="1" si="121"/>
        <v>9014374.9999999981</v>
      </c>
      <c r="AO154" s="29">
        <f t="shared" ca="1" si="121"/>
        <v>9014374.9999999981</v>
      </c>
      <c r="AP154" s="29">
        <f t="shared" ca="1" si="121"/>
        <v>9014374.9999999981</v>
      </c>
      <c r="AQ154" s="29">
        <f t="shared" ca="1" si="121"/>
        <v>10540312.499999996</v>
      </c>
      <c r="AR154" s="29">
        <f t="shared" ca="1" si="121"/>
        <v>10540312.499999996</v>
      </c>
      <c r="AS154" s="29">
        <f t="shared" ca="1" si="121"/>
        <v>10540312.499999996</v>
      </c>
      <c r="AT154" s="29">
        <f t="shared" ca="1" si="121"/>
        <v>10540312.499999996</v>
      </c>
      <c r="AU154" s="29">
        <f t="shared" ca="1" si="121"/>
        <v>0</v>
      </c>
      <c r="AV154" s="29">
        <f t="shared" ca="1" si="121"/>
        <v>0</v>
      </c>
      <c r="AW154" s="29">
        <f t="shared" ca="1" si="121"/>
        <v>0</v>
      </c>
      <c r="AX154" s="29">
        <f t="shared" ca="1" si="121"/>
        <v>0</v>
      </c>
      <c r="AY154" s="29">
        <f t="shared" ca="1" si="121"/>
        <v>0</v>
      </c>
      <c r="AZ154" s="29">
        <f t="shared" ca="1" si="121"/>
        <v>0</v>
      </c>
      <c r="BA154" s="29">
        <f t="shared" ca="1" si="121"/>
        <v>0</v>
      </c>
      <c r="BB154" s="29">
        <f t="shared" ca="1" si="121"/>
        <v>0</v>
      </c>
      <c r="BC154" s="29">
        <f t="shared" ca="1" si="121"/>
        <v>0</v>
      </c>
      <c r="BD154" s="29">
        <f t="shared" ca="1" si="121"/>
        <v>0</v>
      </c>
      <c r="BE154" s="29">
        <f t="shared" ca="1" si="121"/>
        <v>0</v>
      </c>
      <c r="BF154" s="29">
        <f t="shared" si="121"/>
        <v>0</v>
      </c>
      <c r="BG154" s="29">
        <f t="shared" si="121"/>
        <v>0</v>
      </c>
      <c r="BH154" s="29">
        <f t="shared" si="121"/>
        <v>0</v>
      </c>
      <c r="BI154" s="29">
        <f t="shared" si="121"/>
        <v>0</v>
      </c>
      <c r="BJ154" s="29">
        <f t="shared" si="121"/>
        <v>0</v>
      </c>
      <c r="BK154" s="29">
        <f t="shared" si="121"/>
        <v>0</v>
      </c>
      <c r="BL154" s="29">
        <f t="shared" si="121"/>
        <v>0</v>
      </c>
      <c r="BM154" s="29">
        <f t="shared" si="121"/>
        <v>0</v>
      </c>
      <c r="BN154" s="29">
        <f t="shared" si="121"/>
        <v>0</v>
      </c>
      <c r="BO154" s="29">
        <f t="shared" si="121"/>
        <v>0</v>
      </c>
      <c r="BP154" s="29">
        <f t="shared" si="121"/>
        <v>0</v>
      </c>
      <c r="BQ154" s="29">
        <f t="shared" si="121"/>
        <v>0</v>
      </c>
      <c r="BR154" s="29">
        <f t="shared" si="121"/>
        <v>0</v>
      </c>
      <c r="BS154" s="29">
        <f t="shared" si="121"/>
        <v>0</v>
      </c>
      <c r="BT154" s="29">
        <f t="shared" si="121"/>
        <v>0</v>
      </c>
      <c r="BU154" s="29">
        <f t="shared" si="121"/>
        <v>0</v>
      </c>
      <c r="BV154" s="29">
        <f t="shared" si="121"/>
        <v>0</v>
      </c>
      <c r="BW154" s="29">
        <f t="shared" si="121"/>
        <v>0</v>
      </c>
      <c r="BX154" s="29">
        <f t="shared" si="121"/>
        <v>0</v>
      </c>
      <c r="BY154" s="29">
        <f t="shared" si="121"/>
        <v>0</v>
      </c>
      <c r="BZ154" s="29">
        <f t="shared" si="121"/>
        <v>0</v>
      </c>
      <c r="CA154" s="29">
        <f t="shared" si="121"/>
        <v>0</v>
      </c>
      <c r="CB154" s="29">
        <f t="shared" si="121"/>
        <v>0</v>
      </c>
      <c r="CC154" s="29">
        <f t="shared" si="121"/>
        <v>0</v>
      </c>
      <c r="CD154" s="29">
        <f t="shared" si="121"/>
        <v>0</v>
      </c>
      <c r="CE154" s="29">
        <f t="shared" si="121"/>
        <v>0</v>
      </c>
      <c r="CF154" s="29">
        <f t="shared" si="121"/>
        <v>0</v>
      </c>
      <c r="CG154" s="29">
        <f t="shared" si="121"/>
        <v>0</v>
      </c>
      <c r="CH154" s="29">
        <f t="shared" si="121"/>
        <v>0</v>
      </c>
    </row>
    <row r="155" spans="2:86" ht="13" hidden="1" outlineLevel="1">
      <c r="B155" s="84">
        <f t="shared" si="71"/>
        <v>52</v>
      </c>
      <c r="C155" s="64">
        <f t="shared" ca="1" si="69"/>
        <v>0.49521884822756768</v>
      </c>
      <c r="D155" s="15" t="s">
        <v>238</v>
      </c>
      <c r="E155" s="29">
        <f t="shared" ca="1" si="59"/>
        <v>164639583.33333331</v>
      </c>
      <c r="F155" s="29"/>
      <c r="G155" s="29">
        <f t="shared" ref="G155:CH155" ca="1" si="122">IF(G$4&lt;=$B155,ABS(G$31)*-1+G$47,0)+IF($B155=G$4,G$81,0)</f>
        <v>-1444375</v>
      </c>
      <c r="H155" s="29">
        <f t="shared" ca="1" si="122"/>
        <v>-1344375</v>
      </c>
      <c r="I155" s="29">
        <f t="shared" ca="1" si="122"/>
        <v>-1344375</v>
      </c>
      <c r="J155" s="29">
        <f t="shared" ca="1" si="122"/>
        <v>-1344375</v>
      </c>
      <c r="K155" s="29">
        <f t="shared" ca="1" si="122"/>
        <v>-1344375</v>
      </c>
      <c r="L155" s="29">
        <f t="shared" ca="1" si="122"/>
        <v>-1344375</v>
      </c>
      <c r="M155" s="29">
        <f t="shared" ca="1" si="122"/>
        <v>-1344375</v>
      </c>
      <c r="N155" s="29">
        <f t="shared" ca="1" si="122"/>
        <v>-1344375</v>
      </c>
      <c r="O155" s="29">
        <f t="shared" ca="1" si="122"/>
        <v>-1344375</v>
      </c>
      <c r="P155" s="29">
        <f t="shared" ca="1" si="122"/>
        <v>-1344375</v>
      </c>
      <c r="Q155" s="29">
        <f t="shared" ca="1" si="122"/>
        <v>-1344375</v>
      </c>
      <c r="R155" s="29">
        <f t="shared" ca="1" si="122"/>
        <v>-1344375</v>
      </c>
      <c r="S155" s="29">
        <f t="shared" ca="1" si="122"/>
        <v>-534270.83333333279</v>
      </c>
      <c r="T155" s="29">
        <f t="shared" ca="1" si="122"/>
        <v>-534270.83333333279</v>
      </c>
      <c r="U155" s="29">
        <f t="shared" ca="1" si="122"/>
        <v>-534270.83333333279</v>
      </c>
      <c r="V155" s="29">
        <f t="shared" ca="1" si="122"/>
        <v>-534270.83333333279</v>
      </c>
      <c r="W155" s="29">
        <f t="shared" ca="1" si="122"/>
        <v>2385312.5000000009</v>
      </c>
      <c r="X155" s="29">
        <f t="shared" ca="1" si="122"/>
        <v>2385312.5000000009</v>
      </c>
      <c r="Y155" s="29">
        <f t="shared" ca="1" si="122"/>
        <v>2385312.5000000009</v>
      </c>
      <c r="Z155" s="29">
        <f t="shared" ca="1" si="122"/>
        <v>2235979.166666667</v>
      </c>
      <c r="AA155" s="29">
        <f t="shared" ca="1" si="122"/>
        <v>2148333.333333334</v>
      </c>
      <c r="AB155" s="29">
        <f t="shared" ca="1" si="122"/>
        <v>2148333.333333334</v>
      </c>
      <c r="AC155" s="29">
        <f t="shared" ca="1" si="122"/>
        <v>2148333.333333334</v>
      </c>
      <c r="AD155" s="29">
        <f t="shared" ca="1" si="122"/>
        <v>2148333.3333333344</v>
      </c>
      <c r="AE155" s="29">
        <f t="shared" ca="1" si="122"/>
        <v>11248708.333333332</v>
      </c>
      <c r="AF155" s="29">
        <f t="shared" ca="1" si="122"/>
        <v>11248708.333333332</v>
      </c>
      <c r="AG155" s="29">
        <f t="shared" ca="1" si="122"/>
        <v>11248708.333333332</v>
      </c>
      <c r="AH155" s="29">
        <f t="shared" ca="1" si="122"/>
        <v>11248708.333333332</v>
      </c>
      <c r="AI155" s="29">
        <f t="shared" ca="1" si="122"/>
        <v>10452583.333333332</v>
      </c>
      <c r="AJ155" s="29">
        <f t="shared" ca="1" si="122"/>
        <v>10452583.333333332</v>
      </c>
      <c r="AK155" s="29">
        <f t="shared" ca="1" si="122"/>
        <v>10452583.333333332</v>
      </c>
      <c r="AL155" s="29">
        <f t="shared" ca="1" si="122"/>
        <v>10452583.333333332</v>
      </c>
      <c r="AM155" s="29">
        <f t="shared" ca="1" si="122"/>
        <v>9014374.9999999981</v>
      </c>
      <c r="AN155" s="29">
        <f t="shared" ca="1" si="122"/>
        <v>9014374.9999999981</v>
      </c>
      <c r="AO155" s="29">
        <f t="shared" ca="1" si="122"/>
        <v>9014374.9999999981</v>
      </c>
      <c r="AP155" s="29">
        <f t="shared" ca="1" si="122"/>
        <v>9014374.9999999981</v>
      </c>
      <c r="AQ155" s="29">
        <f t="shared" ca="1" si="122"/>
        <v>10540312.499999996</v>
      </c>
      <c r="AR155" s="29">
        <f t="shared" ca="1" si="122"/>
        <v>10540312.499999996</v>
      </c>
      <c r="AS155" s="29">
        <f t="shared" ca="1" si="122"/>
        <v>10540312.499999996</v>
      </c>
      <c r="AT155" s="29">
        <f t="shared" ca="1" si="122"/>
        <v>10540312.499999996</v>
      </c>
      <c r="AU155" s="29">
        <f t="shared" ca="1" si="122"/>
        <v>0</v>
      </c>
      <c r="AV155" s="29">
        <f t="shared" ca="1" si="122"/>
        <v>0</v>
      </c>
      <c r="AW155" s="29">
        <f t="shared" ca="1" si="122"/>
        <v>0</v>
      </c>
      <c r="AX155" s="29">
        <f t="shared" ca="1" si="122"/>
        <v>0</v>
      </c>
      <c r="AY155" s="29">
        <f t="shared" ca="1" si="122"/>
        <v>0</v>
      </c>
      <c r="AZ155" s="29">
        <f t="shared" ca="1" si="122"/>
        <v>0</v>
      </c>
      <c r="BA155" s="29">
        <f t="shared" ca="1" si="122"/>
        <v>0</v>
      </c>
      <c r="BB155" s="29">
        <f t="shared" ca="1" si="122"/>
        <v>0</v>
      </c>
      <c r="BC155" s="29">
        <f t="shared" ca="1" si="122"/>
        <v>0</v>
      </c>
      <c r="BD155" s="29">
        <f t="shared" ca="1" si="122"/>
        <v>0</v>
      </c>
      <c r="BE155" s="29">
        <f t="shared" ca="1" si="122"/>
        <v>0</v>
      </c>
      <c r="BF155" s="29">
        <f t="shared" ca="1" si="122"/>
        <v>0</v>
      </c>
      <c r="BG155" s="29">
        <f t="shared" si="122"/>
        <v>0</v>
      </c>
      <c r="BH155" s="29">
        <f t="shared" si="122"/>
        <v>0</v>
      </c>
      <c r="BI155" s="29">
        <f t="shared" si="122"/>
        <v>0</v>
      </c>
      <c r="BJ155" s="29">
        <f t="shared" si="122"/>
        <v>0</v>
      </c>
      <c r="BK155" s="29">
        <f t="shared" si="122"/>
        <v>0</v>
      </c>
      <c r="BL155" s="29">
        <f t="shared" si="122"/>
        <v>0</v>
      </c>
      <c r="BM155" s="29">
        <f t="shared" si="122"/>
        <v>0</v>
      </c>
      <c r="BN155" s="29">
        <f t="shared" si="122"/>
        <v>0</v>
      </c>
      <c r="BO155" s="29">
        <f t="shared" si="122"/>
        <v>0</v>
      </c>
      <c r="BP155" s="29">
        <f t="shared" si="122"/>
        <v>0</v>
      </c>
      <c r="BQ155" s="29">
        <f t="shared" si="122"/>
        <v>0</v>
      </c>
      <c r="BR155" s="29">
        <f t="shared" si="122"/>
        <v>0</v>
      </c>
      <c r="BS155" s="29">
        <f t="shared" si="122"/>
        <v>0</v>
      </c>
      <c r="BT155" s="29">
        <f t="shared" si="122"/>
        <v>0</v>
      </c>
      <c r="BU155" s="29">
        <f t="shared" si="122"/>
        <v>0</v>
      </c>
      <c r="BV155" s="29">
        <f t="shared" si="122"/>
        <v>0</v>
      </c>
      <c r="BW155" s="29">
        <f t="shared" si="122"/>
        <v>0</v>
      </c>
      <c r="BX155" s="29">
        <f t="shared" si="122"/>
        <v>0</v>
      </c>
      <c r="BY155" s="29">
        <f t="shared" si="122"/>
        <v>0</v>
      </c>
      <c r="BZ155" s="29">
        <f t="shared" si="122"/>
        <v>0</v>
      </c>
      <c r="CA155" s="29">
        <f t="shared" si="122"/>
        <v>0</v>
      </c>
      <c r="CB155" s="29">
        <f t="shared" si="122"/>
        <v>0</v>
      </c>
      <c r="CC155" s="29">
        <f t="shared" si="122"/>
        <v>0</v>
      </c>
      <c r="CD155" s="29">
        <f t="shared" si="122"/>
        <v>0</v>
      </c>
      <c r="CE155" s="29">
        <f t="shared" si="122"/>
        <v>0</v>
      </c>
      <c r="CF155" s="29">
        <f t="shared" si="122"/>
        <v>0</v>
      </c>
      <c r="CG155" s="29">
        <f t="shared" si="122"/>
        <v>0</v>
      </c>
      <c r="CH155" s="29">
        <f t="shared" si="122"/>
        <v>0</v>
      </c>
    </row>
    <row r="156" spans="2:86" ht="13" hidden="1" outlineLevel="1">
      <c r="B156" s="84">
        <f t="shared" si="71"/>
        <v>53</v>
      </c>
      <c r="C156" s="64">
        <f t="shared" ca="1" si="69"/>
        <v>0.49521884822756768</v>
      </c>
      <c r="D156" s="15" t="s">
        <v>238</v>
      </c>
      <c r="E156" s="29">
        <f t="shared" ca="1" si="59"/>
        <v>164639583.33333331</v>
      </c>
      <c r="F156" s="29"/>
      <c r="G156" s="29">
        <f t="shared" ref="G156:CH156" ca="1" si="123">IF(G$4&lt;=$B156,ABS(G$31)*-1+G$47,0)+IF($B156=G$4,G$81,0)</f>
        <v>-1444375</v>
      </c>
      <c r="H156" s="29">
        <f t="shared" ca="1" si="123"/>
        <v>-1344375</v>
      </c>
      <c r="I156" s="29">
        <f t="shared" ca="1" si="123"/>
        <v>-1344375</v>
      </c>
      <c r="J156" s="29">
        <f t="shared" ca="1" si="123"/>
        <v>-1344375</v>
      </c>
      <c r="K156" s="29">
        <f t="shared" ca="1" si="123"/>
        <v>-1344375</v>
      </c>
      <c r="L156" s="29">
        <f t="shared" ca="1" si="123"/>
        <v>-1344375</v>
      </c>
      <c r="M156" s="29">
        <f t="shared" ca="1" si="123"/>
        <v>-1344375</v>
      </c>
      <c r="N156" s="29">
        <f t="shared" ca="1" si="123"/>
        <v>-1344375</v>
      </c>
      <c r="O156" s="29">
        <f t="shared" ca="1" si="123"/>
        <v>-1344375</v>
      </c>
      <c r="P156" s="29">
        <f t="shared" ca="1" si="123"/>
        <v>-1344375</v>
      </c>
      <c r="Q156" s="29">
        <f t="shared" ca="1" si="123"/>
        <v>-1344375</v>
      </c>
      <c r="R156" s="29">
        <f t="shared" ca="1" si="123"/>
        <v>-1344375</v>
      </c>
      <c r="S156" s="29">
        <f t="shared" ca="1" si="123"/>
        <v>-534270.83333333279</v>
      </c>
      <c r="T156" s="29">
        <f t="shared" ca="1" si="123"/>
        <v>-534270.83333333279</v>
      </c>
      <c r="U156" s="29">
        <f t="shared" ca="1" si="123"/>
        <v>-534270.83333333279</v>
      </c>
      <c r="V156" s="29">
        <f t="shared" ca="1" si="123"/>
        <v>-534270.83333333279</v>
      </c>
      <c r="W156" s="29">
        <f t="shared" ca="1" si="123"/>
        <v>2385312.5000000009</v>
      </c>
      <c r="X156" s="29">
        <f t="shared" ca="1" si="123"/>
        <v>2385312.5000000009</v>
      </c>
      <c r="Y156" s="29">
        <f t="shared" ca="1" si="123"/>
        <v>2385312.5000000009</v>
      </c>
      <c r="Z156" s="29">
        <f t="shared" ca="1" si="123"/>
        <v>2235979.166666667</v>
      </c>
      <c r="AA156" s="29">
        <f t="shared" ca="1" si="123"/>
        <v>2148333.333333334</v>
      </c>
      <c r="AB156" s="29">
        <f t="shared" ca="1" si="123"/>
        <v>2148333.333333334</v>
      </c>
      <c r="AC156" s="29">
        <f t="shared" ca="1" si="123"/>
        <v>2148333.333333334</v>
      </c>
      <c r="AD156" s="29">
        <f t="shared" ca="1" si="123"/>
        <v>2148333.3333333344</v>
      </c>
      <c r="AE156" s="29">
        <f t="shared" ca="1" si="123"/>
        <v>11248708.333333332</v>
      </c>
      <c r="AF156" s="29">
        <f t="shared" ca="1" si="123"/>
        <v>11248708.333333332</v>
      </c>
      <c r="AG156" s="29">
        <f t="shared" ca="1" si="123"/>
        <v>11248708.333333332</v>
      </c>
      <c r="AH156" s="29">
        <f t="shared" ca="1" si="123"/>
        <v>11248708.333333332</v>
      </c>
      <c r="AI156" s="29">
        <f t="shared" ca="1" si="123"/>
        <v>10452583.333333332</v>
      </c>
      <c r="AJ156" s="29">
        <f t="shared" ca="1" si="123"/>
        <v>10452583.333333332</v>
      </c>
      <c r="AK156" s="29">
        <f t="shared" ca="1" si="123"/>
        <v>10452583.333333332</v>
      </c>
      <c r="AL156" s="29">
        <f t="shared" ca="1" si="123"/>
        <v>10452583.333333332</v>
      </c>
      <c r="AM156" s="29">
        <f t="shared" ca="1" si="123"/>
        <v>9014374.9999999981</v>
      </c>
      <c r="AN156" s="29">
        <f t="shared" ca="1" si="123"/>
        <v>9014374.9999999981</v>
      </c>
      <c r="AO156" s="29">
        <f t="shared" ca="1" si="123"/>
        <v>9014374.9999999981</v>
      </c>
      <c r="AP156" s="29">
        <f t="shared" ca="1" si="123"/>
        <v>9014374.9999999981</v>
      </c>
      <c r="AQ156" s="29">
        <f t="shared" ca="1" si="123"/>
        <v>10540312.499999996</v>
      </c>
      <c r="AR156" s="29">
        <f t="shared" ca="1" si="123"/>
        <v>10540312.499999996</v>
      </c>
      <c r="AS156" s="29">
        <f t="shared" ca="1" si="123"/>
        <v>10540312.499999996</v>
      </c>
      <c r="AT156" s="29">
        <f t="shared" ca="1" si="123"/>
        <v>10540312.499999996</v>
      </c>
      <c r="AU156" s="29">
        <f t="shared" ca="1" si="123"/>
        <v>0</v>
      </c>
      <c r="AV156" s="29">
        <f t="shared" ca="1" si="123"/>
        <v>0</v>
      </c>
      <c r="AW156" s="29">
        <f t="shared" ca="1" si="123"/>
        <v>0</v>
      </c>
      <c r="AX156" s="29">
        <f t="shared" ca="1" si="123"/>
        <v>0</v>
      </c>
      <c r="AY156" s="29">
        <f t="shared" ca="1" si="123"/>
        <v>0</v>
      </c>
      <c r="AZ156" s="29">
        <f t="shared" ca="1" si="123"/>
        <v>0</v>
      </c>
      <c r="BA156" s="29">
        <f t="shared" ca="1" si="123"/>
        <v>0</v>
      </c>
      <c r="BB156" s="29">
        <f t="shared" ca="1" si="123"/>
        <v>0</v>
      </c>
      <c r="BC156" s="29">
        <f t="shared" ca="1" si="123"/>
        <v>0</v>
      </c>
      <c r="BD156" s="29">
        <f t="shared" ca="1" si="123"/>
        <v>0</v>
      </c>
      <c r="BE156" s="29">
        <f t="shared" ca="1" si="123"/>
        <v>0</v>
      </c>
      <c r="BF156" s="29">
        <f t="shared" ca="1" si="123"/>
        <v>0</v>
      </c>
      <c r="BG156" s="29">
        <f t="shared" ca="1" si="123"/>
        <v>0</v>
      </c>
      <c r="BH156" s="29">
        <f t="shared" si="123"/>
        <v>0</v>
      </c>
      <c r="BI156" s="29">
        <f t="shared" si="123"/>
        <v>0</v>
      </c>
      <c r="BJ156" s="29">
        <f t="shared" si="123"/>
        <v>0</v>
      </c>
      <c r="BK156" s="29">
        <f t="shared" si="123"/>
        <v>0</v>
      </c>
      <c r="BL156" s="29">
        <f t="shared" si="123"/>
        <v>0</v>
      </c>
      <c r="BM156" s="29">
        <f t="shared" si="123"/>
        <v>0</v>
      </c>
      <c r="BN156" s="29">
        <f t="shared" si="123"/>
        <v>0</v>
      </c>
      <c r="BO156" s="29">
        <f t="shared" si="123"/>
        <v>0</v>
      </c>
      <c r="BP156" s="29">
        <f t="shared" si="123"/>
        <v>0</v>
      </c>
      <c r="BQ156" s="29">
        <f t="shared" si="123"/>
        <v>0</v>
      </c>
      <c r="BR156" s="29">
        <f t="shared" si="123"/>
        <v>0</v>
      </c>
      <c r="BS156" s="29">
        <f t="shared" si="123"/>
        <v>0</v>
      </c>
      <c r="BT156" s="29">
        <f t="shared" si="123"/>
        <v>0</v>
      </c>
      <c r="BU156" s="29">
        <f t="shared" si="123"/>
        <v>0</v>
      </c>
      <c r="BV156" s="29">
        <f t="shared" si="123"/>
        <v>0</v>
      </c>
      <c r="BW156" s="29">
        <f t="shared" si="123"/>
        <v>0</v>
      </c>
      <c r="BX156" s="29">
        <f t="shared" si="123"/>
        <v>0</v>
      </c>
      <c r="BY156" s="29">
        <f t="shared" si="123"/>
        <v>0</v>
      </c>
      <c r="BZ156" s="29">
        <f t="shared" si="123"/>
        <v>0</v>
      </c>
      <c r="CA156" s="29">
        <f t="shared" si="123"/>
        <v>0</v>
      </c>
      <c r="CB156" s="29">
        <f t="shared" si="123"/>
        <v>0</v>
      </c>
      <c r="CC156" s="29">
        <f t="shared" si="123"/>
        <v>0</v>
      </c>
      <c r="CD156" s="29">
        <f t="shared" si="123"/>
        <v>0</v>
      </c>
      <c r="CE156" s="29">
        <f t="shared" si="123"/>
        <v>0</v>
      </c>
      <c r="CF156" s="29">
        <f t="shared" si="123"/>
        <v>0</v>
      </c>
      <c r="CG156" s="29">
        <f t="shared" si="123"/>
        <v>0</v>
      </c>
      <c r="CH156" s="29">
        <f t="shared" si="123"/>
        <v>0</v>
      </c>
    </row>
    <row r="157" spans="2:86" ht="13" hidden="1" outlineLevel="1">
      <c r="B157" s="84">
        <f t="shared" si="71"/>
        <v>54</v>
      </c>
      <c r="C157" s="64">
        <f t="shared" ca="1" si="69"/>
        <v>0.49521884822756768</v>
      </c>
      <c r="D157" s="15" t="s">
        <v>238</v>
      </c>
      <c r="E157" s="29">
        <f t="shared" ca="1" si="59"/>
        <v>164639583.33333331</v>
      </c>
      <c r="F157" s="29"/>
      <c r="G157" s="29">
        <f t="shared" ref="G157:CH157" ca="1" si="124">IF(G$4&lt;=$B157,ABS(G$31)*-1+G$47,0)+IF($B157=G$4,G$81,0)</f>
        <v>-1444375</v>
      </c>
      <c r="H157" s="29">
        <f t="shared" ca="1" si="124"/>
        <v>-1344375</v>
      </c>
      <c r="I157" s="29">
        <f t="shared" ca="1" si="124"/>
        <v>-1344375</v>
      </c>
      <c r="J157" s="29">
        <f t="shared" ca="1" si="124"/>
        <v>-1344375</v>
      </c>
      <c r="K157" s="29">
        <f t="shared" ca="1" si="124"/>
        <v>-1344375</v>
      </c>
      <c r="L157" s="29">
        <f t="shared" ca="1" si="124"/>
        <v>-1344375</v>
      </c>
      <c r="M157" s="29">
        <f t="shared" ca="1" si="124"/>
        <v>-1344375</v>
      </c>
      <c r="N157" s="29">
        <f t="shared" ca="1" si="124"/>
        <v>-1344375</v>
      </c>
      <c r="O157" s="29">
        <f t="shared" ca="1" si="124"/>
        <v>-1344375</v>
      </c>
      <c r="P157" s="29">
        <f t="shared" ca="1" si="124"/>
        <v>-1344375</v>
      </c>
      <c r="Q157" s="29">
        <f t="shared" ca="1" si="124"/>
        <v>-1344375</v>
      </c>
      <c r="R157" s="29">
        <f t="shared" ca="1" si="124"/>
        <v>-1344375</v>
      </c>
      <c r="S157" s="29">
        <f t="shared" ca="1" si="124"/>
        <v>-534270.83333333279</v>
      </c>
      <c r="T157" s="29">
        <f t="shared" ca="1" si="124"/>
        <v>-534270.83333333279</v>
      </c>
      <c r="U157" s="29">
        <f t="shared" ca="1" si="124"/>
        <v>-534270.83333333279</v>
      </c>
      <c r="V157" s="29">
        <f t="shared" ca="1" si="124"/>
        <v>-534270.83333333279</v>
      </c>
      <c r="W157" s="29">
        <f t="shared" ca="1" si="124"/>
        <v>2385312.5000000009</v>
      </c>
      <c r="X157" s="29">
        <f t="shared" ca="1" si="124"/>
        <v>2385312.5000000009</v>
      </c>
      <c r="Y157" s="29">
        <f t="shared" ca="1" si="124"/>
        <v>2385312.5000000009</v>
      </c>
      <c r="Z157" s="29">
        <f t="shared" ca="1" si="124"/>
        <v>2235979.166666667</v>
      </c>
      <c r="AA157" s="29">
        <f t="shared" ca="1" si="124"/>
        <v>2148333.333333334</v>
      </c>
      <c r="AB157" s="29">
        <f t="shared" ca="1" si="124"/>
        <v>2148333.333333334</v>
      </c>
      <c r="AC157" s="29">
        <f t="shared" ca="1" si="124"/>
        <v>2148333.333333334</v>
      </c>
      <c r="AD157" s="29">
        <f t="shared" ca="1" si="124"/>
        <v>2148333.3333333344</v>
      </c>
      <c r="AE157" s="29">
        <f t="shared" ca="1" si="124"/>
        <v>11248708.333333332</v>
      </c>
      <c r="AF157" s="29">
        <f t="shared" ca="1" si="124"/>
        <v>11248708.333333332</v>
      </c>
      <c r="AG157" s="29">
        <f t="shared" ca="1" si="124"/>
        <v>11248708.333333332</v>
      </c>
      <c r="AH157" s="29">
        <f t="shared" ca="1" si="124"/>
        <v>11248708.333333332</v>
      </c>
      <c r="AI157" s="29">
        <f t="shared" ca="1" si="124"/>
        <v>10452583.333333332</v>
      </c>
      <c r="AJ157" s="29">
        <f t="shared" ca="1" si="124"/>
        <v>10452583.333333332</v>
      </c>
      <c r="AK157" s="29">
        <f t="shared" ca="1" si="124"/>
        <v>10452583.333333332</v>
      </c>
      <c r="AL157" s="29">
        <f t="shared" ca="1" si="124"/>
        <v>10452583.333333332</v>
      </c>
      <c r="AM157" s="29">
        <f t="shared" ca="1" si="124"/>
        <v>9014374.9999999981</v>
      </c>
      <c r="AN157" s="29">
        <f t="shared" ca="1" si="124"/>
        <v>9014374.9999999981</v>
      </c>
      <c r="AO157" s="29">
        <f t="shared" ca="1" si="124"/>
        <v>9014374.9999999981</v>
      </c>
      <c r="AP157" s="29">
        <f t="shared" ca="1" si="124"/>
        <v>9014374.9999999981</v>
      </c>
      <c r="AQ157" s="29">
        <f t="shared" ca="1" si="124"/>
        <v>10540312.499999996</v>
      </c>
      <c r="AR157" s="29">
        <f t="shared" ca="1" si="124"/>
        <v>10540312.499999996</v>
      </c>
      <c r="AS157" s="29">
        <f t="shared" ca="1" si="124"/>
        <v>10540312.499999996</v>
      </c>
      <c r="AT157" s="29">
        <f t="shared" ca="1" si="124"/>
        <v>10540312.499999996</v>
      </c>
      <c r="AU157" s="29">
        <f t="shared" ca="1" si="124"/>
        <v>0</v>
      </c>
      <c r="AV157" s="29">
        <f t="shared" ca="1" si="124"/>
        <v>0</v>
      </c>
      <c r="AW157" s="29">
        <f t="shared" ca="1" si="124"/>
        <v>0</v>
      </c>
      <c r="AX157" s="29">
        <f t="shared" ca="1" si="124"/>
        <v>0</v>
      </c>
      <c r="AY157" s="29">
        <f t="shared" ca="1" si="124"/>
        <v>0</v>
      </c>
      <c r="AZ157" s="29">
        <f t="shared" ca="1" si="124"/>
        <v>0</v>
      </c>
      <c r="BA157" s="29">
        <f t="shared" ca="1" si="124"/>
        <v>0</v>
      </c>
      <c r="BB157" s="29">
        <f t="shared" ca="1" si="124"/>
        <v>0</v>
      </c>
      <c r="BC157" s="29">
        <f t="shared" ca="1" si="124"/>
        <v>0</v>
      </c>
      <c r="BD157" s="29">
        <f t="shared" ca="1" si="124"/>
        <v>0</v>
      </c>
      <c r="BE157" s="29">
        <f t="shared" ca="1" si="124"/>
        <v>0</v>
      </c>
      <c r="BF157" s="29">
        <f t="shared" ca="1" si="124"/>
        <v>0</v>
      </c>
      <c r="BG157" s="29">
        <f t="shared" ca="1" si="124"/>
        <v>0</v>
      </c>
      <c r="BH157" s="29">
        <f t="shared" ca="1" si="124"/>
        <v>0</v>
      </c>
      <c r="BI157" s="29">
        <f t="shared" si="124"/>
        <v>0</v>
      </c>
      <c r="BJ157" s="29">
        <f t="shared" si="124"/>
        <v>0</v>
      </c>
      <c r="BK157" s="29">
        <f t="shared" si="124"/>
        <v>0</v>
      </c>
      <c r="BL157" s="29">
        <f t="shared" si="124"/>
        <v>0</v>
      </c>
      <c r="BM157" s="29">
        <f t="shared" si="124"/>
        <v>0</v>
      </c>
      <c r="BN157" s="29">
        <f t="shared" si="124"/>
        <v>0</v>
      </c>
      <c r="BO157" s="29">
        <f t="shared" si="124"/>
        <v>0</v>
      </c>
      <c r="BP157" s="29">
        <f t="shared" si="124"/>
        <v>0</v>
      </c>
      <c r="BQ157" s="29">
        <f t="shared" si="124"/>
        <v>0</v>
      </c>
      <c r="BR157" s="29">
        <f t="shared" si="124"/>
        <v>0</v>
      </c>
      <c r="BS157" s="29">
        <f t="shared" si="124"/>
        <v>0</v>
      </c>
      <c r="BT157" s="29">
        <f t="shared" si="124"/>
        <v>0</v>
      </c>
      <c r="BU157" s="29">
        <f t="shared" si="124"/>
        <v>0</v>
      </c>
      <c r="BV157" s="29">
        <f t="shared" si="124"/>
        <v>0</v>
      </c>
      <c r="BW157" s="29">
        <f t="shared" si="124"/>
        <v>0</v>
      </c>
      <c r="BX157" s="29">
        <f t="shared" si="124"/>
        <v>0</v>
      </c>
      <c r="BY157" s="29">
        <f t="shared" si="124"/>
        <v>0</v>
      </c>
      <c r="BZ157" s="29">
        <f t="shared" si="124"/>
        <v>0</v>
      </c>
      <c r="CA157" s="29">
        <f t="shared" si="124"/>
        <v>0</v>
      </c>
      <c r="CB157" s="29">
        <f t="shared" si="124"/>
        <v>0</v>
      </c>
      <c r="CC157" s="29">
        <f t="shared" si="124"/>
        <v>0</v>
      </c>
      <c r="CD157" s="29">
        <f t="shared" si="124"/>
        <v>0</v>
      </c>
      <c r="CE157" s="29">
        <f t="shared" si="124"/>
        <v>0</v>
      </c>
      <c r="CF157" s="29">
        <f t="shared" si="124"/>
        <v>0</v>
      </c>
      <c r="CG157" s="29">
        <f t="shared" si="124"/>
        <v>0</v>
      </c>
      <c r="CH157" s="29">
        <f t="shared" si="124"/>
        <v>0</v>
      </c>
    </row>
    <row r="158" spans="2:86" ht="13" hidden="1" outlineLevel="1">
      <c r="B158" s="84">
        <f t="shared" si="71"/>
        <v>55</v>
      </c>
      <c r="C158" s="64">
        <f t="shared" ca="1" si="69"/>
        <v>0.49521884822756768</v>
      </c>
      <c r="D158" s="15" t="s">
        <v>238</v>
      </c>
      <c r="E158" s="29">
        <f t="shared" ca="1" si="59"/>
        <v>164639583.33333331</v>
      </c>
      <c r="F158" s="29"/>
      <c r="G158" s="29">
        <f t="shared" ref="G158:CH158" ca="1" si="125">IF(G$4&lt;=$B158,ABS(G$31)*-1+G$47,0)+IF($B158=G$4,G$81,0)</f>
        <v>-1444375</v>
      </c>
      <c r="H158" s="29">
        <f t="shared" ca="1" si="125"/>
        <v>-1344375</v>
      </c>
      <c r="I158" s="29">
        <f t="shared" ca="1" si="125"/>
        <v>-1344375</v>
      </c>
      <c r="J158" s="29">
        <f t="shared" ca="1" si="125"/>
        <v>-1344375</v>
      </c>
      <c r="K158" s="29">
        <f t="shared" ca="1" si="125"/>
        <v>-1344375</v>
      </c>
      <c r="L158" s="29">
        <f t="shared" ca="1" si="125"/>
        <v>-1344375</v>
      </c>
      <c r="M158" s="29">
        <f t="shared" ca="1" si="125"/>
        <v>-1344375</v>
      </c>
      <c r="N158" s="29">
        <f t="shared" ca="1" si="125"/>
        <v>-1344375</v>
      </c>
      <c r="O158" s="29">
        <f t="shared" ca="1" si="125"/>
        <v>-1344375</v>
      </c>
      <c r="P158" s="29">
        <f t="shared" ca="1" si="125"/>
        <v>-1344375</v>
      </c>
      <c r="Q158" s="29">
        <f t="shared" ca="1" si="125"/>
        <v>-1344375</v>
      </c>
      <c r="R158" s="29">
        <f t="shared" ca="1" si="125"/>
        <v>-1344375</v>
      </c>
      <c r="S158" s="29">
        <f t="shared" ca="1" si="125"/>
        <v>-534270.83333333279</v>
      </c>
      <c r="T158" s="29">
        <f t="shared" ca="1" si="125"/>
        <v>-534270.83333333279</v>
      </c>
      <c r="U158" s="29">
        <f t="shared" ca="1" si="125"/>
        <v>-534270.83333333279</v>
      </c>
      <c r="V158" s="29">
        <f t="shared" ca="1" si="125"/>
        <v>-534270.83333333279</v>
      </c>
      <c r="W158" s="29">
        <f t="shared" ca="1" si="125"/>
        <v>2385312.5000000009</v>
      </c>
      <c r="X158" s="29">
        <f t="shared" ca="1" si="125"/>
        <v>2385312.5000000009</v>
      </c>
      <c r="Y158" s="29">
        <f t="shared" ca="1" si="125"/>
        <v>2385312.5000000009</v>
      </c>
      <c r="Z158" s="29">
        <f t="shared" ca="1" si="125"/>
        <v>2235979.166666667</v>
      </c>
      <c r="AA158" s="29">
        <f t="shared" ca="1" si="125"/>
        <v>2148333.333333334</v>
      </c>
      <c r="AB158" s="29">
        <f t="shared" ca="1" si="125"/>
        <v>2148333.333333334</v>
      </c>
      <c r="AC158" s="29">
        <f t="shared" ca="1" si="125"/>
        <v>2148333.333333334</v>
      </c>
      <c r="AD158" s="29">
        <f t="shared" ca="1" si="125"/>
        <v>2148333.3333333344</v>
      </c>
      <c r="AE158" s="29">
        <f t="shared" ca="1" si="125"/>
        <v>11248708.333333332</v>
      </c>
      <c r="AF158" s="29">
        <f t="shared" ca="1" si="125"/>
        <v>11248708.333333332</v>
      </c>
      <c r="AG158" s="29">
        <f t="shared" ca="1" si="125"/>
        <v>11248708.333333332</v>
      </c>
      <c r="AH158" s="29">
        <f t="shared" ca="1" si="125"/>
        <v>11248708.333333332</v>
      </c>
      <c r="AI158" s="29">
        <f t="shared" ca="1" si="125"/>
        <v>10452583.333333332</v>
      </c>
      <c r="AJ158" s="29">
        <f t="shared" ca="1" si="125"/>
        <v>10452583.333333332</v>
      </c>
      <c r="AK158" s="29">
        <f t="shared" ca="1" si="125"/>
        <v>10452583.333333332</v>
      </c>
      <c r="AL158" s="29">
        <f t="shared" ca="1" si="125"/>
        <v>10452583.333333332</v>
      </c>
      <c r="AM158" s="29">
        <f t="shared" ca="1" si="125"/>
        <v>9014374.9999999981</v>
      </c>
      <c r="AN158" s="29">
        <f t="shared" ca="1" si="125"/>
        <v>9014374.9999999981</v>
      </c>
      <c r="AO158" s="29">
        <f t="shared" ca="1" si="125"/>
        <v>9014374.9999999981</v>
      </c>
      <c r="AP158" s="29">
        <f t="shared" ca="1" si="125"/>
        <v>9014374.9999999981</v>
      </c>
      <c r="AQ158" s="29">
        <f t="shared" ca="1" si="125"/>
        <v>10540312.499999996</v>
      </c>
      <c r="AR158" s="29">
        <f t="shared" ca="1" si="125"/>
        <v>10540312.499999996</v>
      </c>
      <c r="AS158" s="29">
        <f t="shared" ca="1" si="125"/>
        <v>10540312.499999996</v>
      </c>
      <c r="AT158" s="29">
        <f t="shared" ca="1" si="125"/>
        <v>10540312.499999996</v>
      </c>
      <c r="AU158" s="29">
        <f t="shared" ca="1" si="125"/>
        <v>0</v>
      </c>
      <c r="AV158" s="29">
        <f t="shared" ca="1" si="125"/>
        <v>0</v>
      </c>
      <c r="AW158" s="29">
        <f t="shared" ca="1" si="125"/>
        <v>0</v>
      </c>
      <c r="AX158" s="29">
        <f t="shared" ca="1" si="125"/>
        <v>0</v>
      </c>
      <c r="AY158" s="29">
        <f t="shared" ca="1" si="125"/>
        <v>0</v>
      </c>
      <c r="AZ158" s="29">
        <f t="shared" ca="1" si="125"/>
        <v>0</v>
      </c>
      <c r="BA158" s="29">
        <f t="shared" ca="1" si="125"/>
        <v>0</v>
      </c>
      <c r="BB158" s="29">
        <f t="shared" ca="1" si="125"/>
        <v>0</v>
      </c>
      <c r="BC158" s="29">
        <f t="shared" ca="1" si="125"/>
        <v>0</v>
      </c>
      <c r="BD158" s="29">
        <f t="shared" ca="1" si="125"/>
        <v>0</v>
      </c>
      <c r="BE158" s="29">
        <f t="shared" ca="1" si="125"/>
        <v>0</v>
      </c>
      <c r="BF158" s="29">
        <f t="shared" ca="1" si="125"/>
        <v>0</v>
      </c>
      <c r="BG158" s="29">
        <f t="shared" ca="1" si="125"/>
        <v>0</v>
      </c>
      <c r="BH158" s="29">
        <f t="shared" ca="1" si="125"/>
        <v>0</v>
      </c>
      <c r="BI158" s="29">
        <f t="shared" ca="1" si="125"/>
        <v>0</v>
      </c>
      <c r="BJ158" s="29">
        <f t="shared" si="125"/>
        <v>0</v>
      </c>
      <c r="BK158" s="29">
        <f t="shared" si="125"/>
        <v>0</v>
      </c>
      <c r="BL158" s="29">
        <f t="shared" si="125"/>
        <v>0</v>
      </c>
      <c r="BM158" s="29">
        <f t="shared" si="125"/>
        <v>0</v>
      </c>
      <c r="BN158" s="29">
        <f t="shared" si="125"/>
        <v>0</v>
      </c>
      <c r="BO158" s="29">
        <f t="shared" si="125"/>
        <v>0</v>
      </c>
      <c r="BP158" s="29">
        <f t="shared" si="125"/>
        <v>0</v>
      </c>
      <c r="BQ158" s="29">
        <f t="shared" si="125"/>
        <v>0</v>
      </c>
      <c r="BR158" s="29">
        <f t="shared" si="125"/>
        <v>0</v>
      </c>
      <c r="BS158" s="29">
        <f t="shared" si="125"/>
        <v>0</v>
      </c>
      <c r="BT158" s="29">
        <f t="shared" si="125"/>
        <v>0</v>
      </c>
      <c r="BU158" s="29">
        <f t="shared" si="125"/>
        <v>0</v>
      </c>
      <c r="BV158" s="29">
        <f t="shared" si="125"/>
        <v>0</v>
      </c>
      <c r="BW158" s="29">
        <f t="shared" si="125"/>
        <v>0</v>
      </c>
      <c r="BX158" s="29">
        <f t="shared" si="125"/>
        <v>0</v>
      </c>
      <c r="BY158" s="29">
        <f t="shared" si="125"/>
        <v>0</v>
      </c>
      <c r="BZ158" s="29">
        <f t="shared" si="125"/>
        <v>0</v>
      </c>
      <c r="CA158" s="29">
        <f t="shared" si="125"/>
        <v>0</v>
      </c>
      <c r="CB158" s="29">
        <f t="shared" si="125"/>
        <v>0</v>
      </c>
      <c r="CC158" s="29">
        <f t="shared" si="125"/>
        <v>0</v>
      </c>
      <c r="CD158" s="29">
        <f t="shared" si="125"/>
        <v>0</v>
      </c>
      <c r="CE158" s="29">
        <f t="shared" si="125"/>
        <v>0</v>
      </c>
      <c r="CF158" s="29">
        <f t="shared" si="125"/>
        <v>0</v>
      </c>
      <c r="CG158" s="29">
        <f t="shared" si="125"/>
        <v>0</v>
      </c>
      <c r="CH158" s="29">
        <f t="shared" si="125"/>
        <v>0</v>
      </c>
    </row>
    <row r="159" spans="2:86" ht="13" hidden="1" outlineLevel="1">
      <c r="B159" s="84">
        <f t="shared" si="71"/>
        <v>56</v>
      </c>
      <c r="C159" s="64">
        <f t="shared" ca="1" si="69"/>
        <v>0.49521884822756768</v>
      </c>
      <c r="D159" s="15" t="s">
        <v>238</v>
      </c>
      <c r="E159" s="29">
        <f t="shared" ca="1" si="59"/>
        <v>164639583.33333331</v>
      </c>
      <c r="F159" s="29"/>
      <c r="G159" s="29">
        <f t="shared" ref="G159:CH159" ca="1" si="126">IF(G$4&lt;=$B159,ABS(G$31)*-1+G$47,0)+IF($B159=G$4,G$81,0)</f>
        <v>-1444375</v>
      </c>
      <c r="H159" s="29">
        <f t="shared" ca="1" si="126"/>
        <v>-1344375</v>
      </c>
      <c r="I159" s="29">
        <f t="shared" ca="1" si="126"/>
        <v>-1344375</v>
      </c>
      <c r="J159" s="29">
        <f t="shared" ca="1" si="126"/>
        <v>-1344375</v>
      </c>
      <c r="K159" s="29">
        <f t="shared" ca="1" si="126"/>
        <v>-1344375</v>
      </c>
      <c r="L159" s="29">
        <f t="shared" ca="1" si="126"/>
        <v>-1344375</v>
      </c>
      <c r="M159" s="29">
        <f t="shared" ca="1" si="126"/>
        <v>-1344375</v>
      </c>
      <c r="N159" s="29">
        <f t="shared" ca="1" si="126"/>
        <v>-1344375</v>
      </c>
      <c r="O159" s="29">
        <f t="shared" ca="1" si="126"/>
        <v>-1344375</v>
      </c>
      <c r="P159" s="29">
        <f t="shared" ca="1" si="126"/>
        <v>-1344375</v>
      </c>
      <c r="Q159" s="29">
        <f t="shared" ca="1" si="126"/>
        <v>-1344375</v>
      </c>
      <c r="R159" s="29">
        <f t="shared" ca="1" si="126"/>
        <v>-1344375</v>
      </c>
      <c r="S159" s="29">
        <f t="shared" ca="1" si="126"/>
        <v>-534270.83333333279</v>
      </c>
      <c r="T159" s="29">
        <f t="shared" ca="1" si="126"/>
        <v>-534270.83333333279</v>
      </c>
      <c r="U159" s="29">
        <f t="shared" ca="1" si="126"/>
        <v>-534270.83333333279</v>
      </c>
      <c r="V159" s="29">
        <f t="shared" ca="1" si="126"/>
        <v>-534270.83333333279</v>
      </c>
      <c r="W159" s="29">
        <f t="shared" ca="1" si="126"/>
        <v>2385312.5000000009</v>
      </c>
      <c r="X159" s="29">
        <f t="shared" ca="1" si="126"/>
        <v>2385312.5000000009</v>
      </c>
      <c r="Y159" s="29">
        <f t="shared" ca="1" si="126"/>
        <v>2385312.5000000009</v>
      </c>
      <c r="Z159" s="29">
        <f t="shared" ca="1" si="126"/>
        <v>2235979.166666667</v>
      </c>
      <c r="AA159" s="29">
        <f t="shared" ca="1" si="126"/>
        <v>2148333.333333334</v>
      </c>
      <c r="AB159" s="29">
        <f t="shared" ca="1" si="126"/>
        <v>2148333.333333334</v>
      </c>
      <c r="AC159" s="29">
        <f t="shared" ca="1" si="126"/>
        <v>2148333.333333334</v>
      </c>
      <c r="AD159" s="29">
        <f t="shared" ca="1" si="126"/>
        <v>2148333.3333333344</v>
      </c>
      <c r="AE159" s="29">
        <f t="shared" ca="1" si="126"/>
        <v>11248708.333333332</v>
      </c>
      <c r="AF159" s="29">
        <f t="shared" ca="1" si="126"/>
        <v>11248708.333333332</v>
      </c>
      <c r="AG159" s="29">
        <f t="shared" ca="1" si="126"/>
        <v>11248708.333333332</v>
      </c>
      <c r="AH159" s="29">
        <f t="shared" ca="1" si="126"/>
        <v>11248708.333333332</v>
      </c>
      <c r="AI159" s="29">
        <f t="shared" ca="1" si="126"/>
        <v>10452583.333333332</v>
      </c>
      <c r="AJ159" s="29">
        <f t="shared" ca="1" si="126"/>
        <v>10452583.333333332</v>
      </c>
      <c r="AK159" s="29">
        <f t="shared" ca="1" si="126"/>
        <v>10452583.333333332</v>
      </c>
      <c r="AL159" s="29">
        <f t="shared" ca="1" si="126"/>
        <v>10452583.333333332</v>
      </c>
      <c r="AM159" s="29">
        <f t="shared" ca="1" si="126"/>
        <v>9014374.9999999981</v>
      </c>
      <c r="AN159" s="29">
        <f t="shared" ca="1" si="126"/>
        <v>9014374.9999999981</v>
      </c>
      <c r="AO159" s="29">
        <f t="shared" ca="1" si="126"/>
        <v>9014374.9999999981</v>
      </c>
      <c r="AP159" s="29">
        <f t="shared" ca="1" si="126"/>
        <v>9014374.9999999981</v>
      </c>
      <c r="AQ159" s="29">
        <f t="shared" ca="1" si="126"/>
        <v>10540312.499999996</v>
      </c>
      <c r="AR159" s="29">
        <f t="shared" ca="1" si="126"/>
        <v>10540312.499999996</v>
      </c>
      <c r="AS159" s="29">
        <f t="shared" ca="1" si="126"/>
        <v>10540312.499999996</v>
      </c>
      <c r="AT159" s="29">
        <f t="shared" ca="1" si="126"/>
        <v>10540312.499999996</v>
      </c>
      <c r="AU159" s="29">
        <f t="shared" ca="1" si="126"/>
        <v>0</v>
      </c>
      <c r="AV159" s="29">
        <f t="shared" ca="1" si="126"/>
        <v>0</v>
      </c>
      <c r="AW159" s="29">
        <f t="shared" ca="1" si="126"/>
        <v>0</v>
      </c>
      <c r="AX159" s="29">
        <f t="shared" ca="1" si="126"/>
        <v>0</v>
      </c>
      <c r="AY159" s="29">
        <f t="shared" ca="1" si="126"/>
        <v>0</v>
      </c>
      <c r="AZ159" s="29">
        <f t="shared" ca="1" si="126"/>
        <v>0</v>
      </c>
      <c r="BA159" s="29">
        <f t="shared" ca="1" si="126"/>
        <v>0</v>
      </c>
      <c r="BB159" s="29">
        <f t="shared" ca="1" si="126"/>
        <v>0</v>
      </c>
      <c r="BC159" s="29">
        <f t="shared" ca="1" si="126"/>
        <v>0</v>
      </c>
      <c r="BD159" s="29">
        <f t="shared" ca="1" si="126"/>
        <v>0</v>
      </c>
      <c r="BE159" s="29">
        <f t="shared" ca="1" si="126"/>
        <v>0</v>
      </c>
      <c r="BF159" s="29">
        <f t="shared" ca="1" si="126"/>
        <v>0</v>
      </c>
      <c r="BG159" s="29">
        <f t="shared" ca="1" si="126"/>
        <v>0</v>
      </c>
      <c r="BH159" s="29">
        <f t="shared" ca="1" si="126"/>
        <v>0</v>
      </c>
      <c r="BI159" s="29">
        <f t="shared" ca="1" si="126"/>
        <v>0</v>
      </c>
      <c r="BJ159" s="29">
        <f t="shared" ca="1" si="126"/>
        <v>0</v>
      </c>
      <c r="BK159" s="29">
        <f t="shared" si="126"/>
        <v>0</v>
      </c>
      <c r="BL159" s="29">
        <f t="shared" si="126"/>
        <v>0</v>
      </c>
      <c r="BM159" s="29">
        <f t="shared" si="126"/>
        <v>0</v>
      </c>
      <c r="BN159" s="29">
        <f t="shared" si="126"/>
        <v>0</v>
      </c>
      <c r="BO159" s="29">
        <f t="shared" si="126"/>
        <v>0</v>
      </c>
      <c r="BP159" s="29">
        <f t="shared" si="126"/>
        <v>0</v>
      </c>
      <c r="BQ159" s="29">
        <f t="shared" si="126"/>
        <v>0</v>
      </c>
      <c r="BR159" s="29">
        <f t="shared" si="126"/>
        <v>0</v>
      </c>
      <c r="BS159" s="29">
        <f t="shared" si="126"/>
        <v>0</v>
      </c>
      <c r="BT159" s="29">
        <f t="shared" si="126"/>
        <v>0</v>
      </c>
      <c r="BU159" s="29">
        <f t="shared" si="126"/>
        <v>0</v>
      </c>
      <c r="BV159" s="29">
        <f t="shared" si="126"/>
        <v>0</v>
      </c>
      <c r="BW159" s="29">
        <f t="shared" si="126"/>
        <v>0</v>
      </c>
      <c r="BX159" s="29">
        <f t="shared" si="126"/>
        <v>0</v>
      </c>
      <c r="BY159" s="29">
        <f t="shared" si="126"/>
        <v>0</v>
      </c>
      <c r="BZ159" s="29">
        <f t="shared" si="126"/>
        <v>0</v>
      </c>
      <c r="CA159" s="29">
        <f t="shared" si="126"/>
        <v>0</v>
      </c>
      <c r="CB159" s="29">
        <f t="shared" si="126"/>
        <v>0</v>
      </c>
      <c r="CC159" s="29">
        <f t="shared" si="126"/>
        <v>0</v>
      </c>
      <c r="CD159" s="29">
        <f t="shared" si="126"/>
        <v>0</v>
      </c>
      <c r="CE159" s="29">
        <f t="shared" si="126"/>
        <v>0</v>
      </c>
      <c r="CF159" s="29">
        <f t="shared" si="126"/>
        <v>0</v>
      </c>
      <c r="CG159" s="29">
        <f t="shared" si="126"/>
        <v>0</v>
      </c>
      <c r="CH159" s="29">
        <f t="shared" si="126"/>
        <v>0</v>
      </c>
    </row>
    <row r="160" spans="2:86" ht="13" hidden="1" outlineLevel="1">
      <c r="B160" s="84">
        <f t="shared" si="71"/>
        <v>57</v>
      </c>
      <c r="C160" s="64">
        <f t="shared" ca="1" si="69"/>
        <v>0.49521884822756768</v>
      </c>
      <c r="D160" s="15" t="s">
        <v>238</v>
      </c>
      <c r="E160" s="29">
        <f t="shared" ca="1" si="59"/>
        <v>164639583.33333331</v>
      </c>
      <c r="F160" s="29"/>
      <c r="G160" s="29">
        <f t="shared" ref="G160:CH160" ca="1" si="127">IF(G$4&lt;=$B160,ABS(G$31)*-1+G$47,0)+IF($B160=G$4,G$81,0)</f>
        <v>-1444375</v>
      </c>
      <c r="H160" s="29">
        <f t="shared" ca="1" si="127"/>
        <v>-1344375</v>
      </c>
      <c r="I160" s="29">
        <f t="shared" ca="1" si="127"/>
        <v>-1344375</v>
      </c>
      <c r="J160" s="29">
        <f t="shared" ca="1" si="127"/>
        <v>-1344375</v>
      </c>
      <c r="K160" s="29">
        <f t="shared" ca="1" si="127"/>
        <v>-1344375</v>
      </c>
      <c r="L160" s="29">
        <f t="shared" ca="1" si="127"/>
        <v>-1344375</v>
      </c>
      <c r="M160" s="29">
        <f t="shared" ca="1" si="127"/>
        <v>-1344375</v>
      </c>
      <c r="N160" s="29">
        <f t="shared" ca="1" si="127"/>
        <v>-1344375</v>
      </c>
      <c r="O160" s="29">
        <f t="shared" ca="1" si="127"/>
        <v>-1344375</v>
      </c>
      <c r="P160" s="29">
        <f t="shared" ca="1" si="127"/>
        <v>-1344375</v>
      </c>
      <c r="Q160" s="29">
        <f t="shared" ca="1" si="127"/>
        <v>-1344375</v>
      </c>
      <c r="R160" s="29">
        <f t="shared" ca="1" si="127"/>
        <v>-1344375</v>
      </c>
      <c r="S160" s="29">
        <f t="shared" ca="1" si="127"/>
        <v>-534270.83333333279</v>
      </c>
      <c r="T160" s="29">
        <f t="shared" ca="1" si="127"/>
        <v>-534270.83333333279</v>
      </c>
      <c r="U160" s="29">
        <f t="shared" ca="1" si="127"/>
        <v>-534270.83333333279</v>
      </c>
      <c r="V160" s="29">
        <f t="shared" ca="1" si="127"/>
        <v>-534270.83333333279</v>
      </c>
      <c r="W160" s="29">
        <f t="shared" ca="1" si="127"/>
        <v>2385312.5000000009</v>
      </c>
      <c r="X160" s="29">
        <f t="shared" ca="1" si="127"/>
        <v>2385312.5000000009</v>
      </c>
      <c r="Y160" s="29">
        <f t="shared" ca="1" si="127"/>
        <v>2385312.5000000009</v>
      </c>
      <c r="Z160" s="29">
        <f t="shared" ca="1" si="127"/>
        <v>2235979.166666667</v>
      </c>
      <c r="AA160" s="29">
        <f t="shared" ca="1" si="127"/>
        <v>2148333.333333334</v>
      </c>
      <c r="AB160" s="29">
        <f t="shared" ca="1" si="127"/>
        <v>2148333.333333334</v>
      </c>
      <c r="AC160" s="29">
        <f t="shared" ca="1" si="127"/>
        <v>2148333.333333334</v>
      </c>
      <c r="AD160" s="29">
        <f t="shared" ca="1" si="127"/>
        <v>2148333.3333333344</v>
      </c>
      <c r="AE160" s="29">
        <f t="shared" ca="1" si="127"/>
        <v>11248708.333333332</v>
      </c>
      <c r="AF160" s="29">
        <f t="shared" ca="1" si="127"/>
        <v>11248708.333333332</v>
      </c>
      <c r="AG160" s="29">
        <f t="shared" ca="1" si="127"/>
        <v>11248708.333333332</v>
      </c>
      <c r="AH160" s="29">
        <f t="shared" ca="1" si="127"/>
        <v>11248708.333333332</v>
      </c>
      <c r="AI160" s="29">
        <f t="shared" ca="1" si="127"/>
        <v>10452583.333333332</v>
      </c>
      <c r="AJ160" s="29">
        <f t="shared" ca="1" si="127"/>
        <v>10452583.333333332</v>
      </c>
      <c r="AK160" s="29">
        <f t="shared" ca="1" si="127"/>
        <v>10452583.333333332</v>
      </c>
      <c r="AL160" s="29">
        <f t="shared" ca="1" si="127"/>
        <v>10452583.333333332</v>
      </c>
      <c r="AM160" s="29">
        <f t="shared" ca="1" si="127"/>
        <v>9014374.9999999981</v>
      </c>
      <c r="AN160" s="29">
        <f t="shared" ca="1" si="127"/>
        <v>9014374.9999999981</v>
      </c>
      <c r="AO160" s="29">
        <f t="shared" ca="1" si="127"/>
        <v>9014374.9999999981</v>
      </c>
      <c r="AP160" s="29">
        <f t="shared" ca="1" si="127"/>
        <v>9014374.9999999981</v>
      </c>
      <c r="AQ160" s="29">
        <f t="shared" ca="1" si="127"/>
        <v>10540312.499999996</v>
      </c>
      <c r="AR160" s="29">
        <f t="shared" ca="1" si="127"/>
        <v>10540312.499999996</v>
      </c>
      <c r="AS160" s="29">
        <f t="shared" ca="1" si="127"/>
        <v>10540312.499999996</v>
      </c>
      <c r="AT160" s="29">
        <f t="shared" ca="1" si="127"/>
        <v>10540312.499999996</v>
      </c>
      <c r="AU160" s="29">
        <f t="shared" ca="1" si="127"/>
        <v>0</v>
      </c>
      <c r="AV160" s="29">
        <f t="shared" ca="1" si="127"/>
        <v>0</v>
      </c>
      <c r="AW160" s="29">
        <f t="shared" ca="1" si="127"/>
        <v>0</v>
      </c>
      <c r="AX160" s="29">
        <f t="shared" ca="1" si="127"/>
        <v>0</v>
      </c>
      <c r="AY160" s="29">
        <f t="shared" ca="1" si="127"/>
        <v>0</v>
      </c>
      <c r="AZ160" s="29">
        <f t="shared" ca="1" si="127"/>
        <v>0</v>
      </c>
      <c r="BA160" s="29">
        <f t="shared" ca="1" si="127"/>
        <v>0</v>
      </c>
      <c r="BB160" s="29">
        <f t="shared" ca="1" si="127"/>
        <v>0</v>
      </c>
      <c r="BC160" s="29">
        <f t="shared" ca="1" si="127"/>
        <v>0</v>
      </c>
      <c r="BD160" s="29">
        <f t="shared" ca="1" si="127"/>
        <v>0</v>
      </c>
      <c r="BE160" s="29">
        <f t="shared" ca="1" si="127"/>
        <v>0</v>
      </c>
      <c r="BF160" s="29">
        <f t="shared" ca="1" si="127"/>
        <v>0</v>
      </c>
      <c r="BG160" s="29">
        <f t="shared" ca="1" si="127"/>
        <v>0</v>
      </c>
      <c r="BH160" s="29">
        <f t="shared" ca="1" si="127"/>
        <v>0</v>
      </c>
      <c r="BI160" s="29">
        <f t="shared" ca="1" si="127"/>
        <v>0</v>
      </c>
      <c r="BJ160" s="29">
        <f t="shared" ca="1" si="127"/>
        <v>0</v>
      </c>
      <c r="BK160" s="29">
        <f t="shared" ca="1" si="127"/>
        <v>0</v>
      </c>
      <c r="BL160" s="29">
        <f t="shared" si="127"/>
        <v>0</v>
      </c>
      <c r="BM160" s="29">
        <f t="shared" si="127"/>
        <v>0</v>
      </c>
      <c r="BN160" s="29">
        <f t="shared" si="127"/>
        <v>0</v>
      </c>
      <c r="BO160" s="29">
        <f t="shared" si="127"/>
        <v>0</v>
      </c>
      <c r="BP160" s="29">
        <f t="shared" si="127"/>
        <v>0</v>
      </c>
      <c r="BQ160" s="29">
        <f t="shared" si="127"/>
        <v>0</v>
      </c>
      <c r="BR160" s="29">
        <f t="shared" si="127"/>
        <v>0</v>
      </c>
      <c r="BS160" s="29">
        <f t="shared" si="127"/>
        <v>0</v>
      </c>
      <c r="BT160" s="29">
        <f t="shared" si="127"/>
        <v>0</v>
      </c>
      <c r="BU160" s="29">
        <f t="shared" si="127"/>
        <v>0</v>
      </c>
      <c r="BV160" s="29">
        <f t="shared" si="127"/>
        <v>0</v>
      </c>
      <c r="BW160" s="29">
        <f t="shared" si="127"/>
        <v>0</v>
      </c>
      <c r="BX160" s="29">
        <f t="shared" si="127"/>
        <v>0</v>
      </c>
      <c r="BY160" s="29">
        <f t="shared" si="127"/>
        <v>0</v>
      </c>
      <c r="BZ160" s="29">
        <f t="shared" si="127"/>
        <v>0</v>
      </c>
      <c r="CA160" s="29">
        <f t="shared" si="127"/>
        <v>0</v>
      </c>
      <c r="CB160" s="29">
        <f t="shared" si="127"/>
        <v>0</v>
      </c>
      <c r="CC160" s="29">
        <f t="shared" si="127"/>
        <v>0</v>
      </c>
      <c r="CD160" s="29">
        <f t="shared" si="127"/>
        <v>0</v>
      </c>
      <c r="CE160" s="29">
        <f t="shared" si="127"/>
        <v>0</v>
      </c>
      <c r="CF160" s="29">
        <f t="shared" si="127"/>
        <v>0</v>
      </c>
      <c r="CG160" s="29">
        <f t="shared" si="127"/>
        <v>0</v>
      </c>
      <c r="CH160" s="29">
        <f t="shared" si="127"/>
        <v>0</v>
      </c>
    </row>
    <row r="161" spans="2:86" ht="13" hidden="1" outlineLevel="1">
      <c r="B161" s="84">
        <f t="shared" si="71"/>
        <v>58</v>
      </c>
      <c r="C161" s="64">
        <f t="shared" ca="1" si="69"/>
        <v>0.49521884822756768</v>
      </c>
      <c r="D161" s="15" t="s">
        <v>238</v>
      </c>
      <c r="E161" s="29">
        <f t="shared" ca="1" si="59"/>
        <v>164639583.33333331</v>
      </c>
      <c r="F161" s="29"/>
      <c r="G161" s="29">
        <f t="shared" ref="G161:CH161" ca="1" si="128">IF(G$4&lt;=$B161,ABS(G$31)*-1+G$47,0)+IF($B161=G$4,G$81,0)</f>
        <v>-1444375</v>
      </c>
      <c r="H161" s="29">
        <f t="shared" ca="1" si="128"/>
        <v>-1344375</v>
      </c>
      <c r="I161" s="29">
        <f t="shared" ca="1" si="128"/>
        <v>-1344375</v>
      </c>
      <c r="J161" s="29">
        <f t="shared" ca="1" si="128"/>
        <v>-1344375</v>
      </c>
      <c r="K161" s="29">
        <f t="shared" ca="1" si="128"/>
        <v>-1344375</v>
      </c>
      <c r="L161" s="29">
        <f t="shared" ca="1" si="128"/>
        <v>-1344375</v>
      </c>
      <c r="M161" s="29">
        <f t="shared" ca="1" si="128"/>
        <v>-1344375</v>
      </c>
      <c r="N161" s="29">
        <f t="shared" ca="1" si="128"/>
        <v>-1344375</v>
      </c>
      <c r="O161" s="29">
        <f t="shared" ca="1" si="128"/>
        <v>-1344375</v>
      </c>
      <c r="P161" s="29">
        <f t="shared" ca="1" si="128"/>
        <v>-1344375</v>
      </c>
      <c r="Q161" s="29">
        <f t="shared" ca="1" si="128"/>
        <v>-1344375</v>
      </c>
      <c r="R161" s="29">
        <f t="shared" ca="1" si="128"/>
        <v>-1344375</v>
      </c>
      <c r="S161" s="29">
        <f t="shared" ca="1" si="128"/>
        <v>-534270.83333333279</v>
      </c>
      <c r="T161" s="29">
        <f t="shared" ca="1" si="128"/>
        <v>-534270.83333333279</v>
      </c>
      <c r="U161" s="29">
        <f t="shared" ca="1" si="128"/>
        <v>-534270.83333333279</v>
      </c>
      <c r="V161" s="29">
        <f t="shared" ca="1" si="128"/>
        <v>-534270.83333333279</v>
      </c>
      <c r="W161" s="29">
        <f t="shared" ca="1" si="128"/>
        <v>2385312.5000000009</v>
      </c>
      <c r="X161" s="29">
        <f t="shared" ca="1" si="128"/>
        <v>2385312.5000000009</v>
      </c>
      <c r="Y161" s="29">
        <f t="shared" ca="1" si="128"/>
        <v>2385312.5000000009</v>
      </c>
      <c r="Z161" s="29">
        <f t="shared" ca="1" si="128"/>
        <v>2235979.166666667</v>
      </c>
      <c r="AA161" s="29">
        <f t="shared" ca="1" si="128"/>
        <v>2148333.333333334</v>
      </c>
      <c r="AB161" s="29">
        <f t="shared" ca="1" si="128"/>
        <v>2148333.333333334</v>
      </c>
      <c r="AC161" s="29">
        <f t="shared" ca="1" si="128"/>
        <v>2148333.333333334</v>
      </c>
      <c r="AD161" s="29">
        <f t="shared" ca="1" si="128"/>
        <v>2148333.3333333344</v>
      </c>
      <c r="AE161" s="29">
        <f t="shared" ca="1" si="128"/>
        <v>11248708.333333332</v>
      </c>
      <c r="AF161" s="29">
        <f t="shared" ca="1" si="128"/>
        <v>11248708.333333332</v>
      </c>
      <c r="AG161" s="29">
        <f t="shared" ca="1" si="128"/>
        <v>11248708.333333332</v>
      </c>
      <c r="AH161" s="29">
        <f t="shared" ca="1" si="128"/>
        <v>11248708.333333332</v>
      </c>
      <c r="AI161" s="29">
        <f t="shared" ca="1" si="128"/>
        <v>10452583.333333332</v>
      </c>
      <c r="AJ161" s="29">
        <f t="shared" ca="1" si="128"/>
        <v>10452583.333333332</v>
      </c>
      <c r="AK161" s="29">
        <f t="shared" ca="1" si="128"/>
        <v>10452583.333333332</v>
      </c>
      <c r="AL161" s="29">
        <f t="shared" ca="1" si="128"/>
        <v>10452583.333333332</v>
      </c>
      <c r="AM161" s="29">
        <f t="shared" ca="1" si="128"/>
        <v>9014374.9999999981</v>
      </c>
      <c r="AN161" s="29">
        <f t="shared" ca="1" si="128"/>
        <v>9014374.9999999981</v>
      </c>
      <c r="AO161" s="29">
        <f t="shared" ca="1" si="128"/>
        <v>9014374.9999999981</v>
      </c>
      <c r="AP161" s="29">
        <f t="shared" ca="1" si="128"/>
        <v>9014374.9999999981</v>
      </c>
      <c r="AQ161" s="29">
        <f t="shared" ca="1" si="128"/>
        <v>10540312.499999996</v>
      </c>
      <c r="AR161" s="29">
        <f t="shared" ca="1" si="128"/>
        <v>10540312.499999996</v>
      </c>
      <c r="AS161" s="29">
        <f t="shared" ca="1" si="128"/>
        <v>10540312.499999996</v>
      </c>
      <c r="AT161" s="29">
        <f t="shared" ca="1" si="128"/>
        <v>10540312.499999996</v>
      </c>
      <c r="AU161" s="29">
        <f t="shared" ca="1" si="128"/>
        <v>0</v>
      </c>
      <c r="AV161" s="29">
        <f t="shared" ca="1" si="128"/>
        <v>0</v>
      </c>
      <c r="AW161" s="29">
        <f t="shared" ca="1" si="128"/>
        <v>0</v>
      </c>
      <c r="AX161" s="29">
        <f t="shared" ca="1" si="128"/>
        <v>0</v>
      </c>
      <c r="AY161" s="29">
        <f t="shared" ca="1" si="128"/>
        <v>0</v>
      </c>
      <c r="AZ161" s="29">
        <f t="shared" ca="1" si="128"/>
        <v>0</v>
      </c>
      <c r="BA161" s="29">
        <f t="shared" ca="1" si="128"/>
        <v>0</v>
      </c>
      <c r="BB161" s="29">
        <f t="shared" ca="1" si="128"/>
        <v>0</v>
      </c>
      <c r="BC161" s="29">
        <f t="shared" ca="1" si="128"/>
        <v>0</v>
      </c>
      <c r="BD161" s="29">
        <f t="shared" ca="1" si="128"/>
        <v>0</v>
      </c>
      <c r="BE161" s="29">
        <f t="shared" ca="1" si="128"/>
        <v>0</v>
      </c>
      <c r="BF161" s="29">
        <f t="shared" ca="1" si="128"/>
        <v>0</v>
      </c>
      <c r="BG161" s="29">
        <f t="shared" ca="1" si="128"/>
        <v>0</v>
      </c>
      <c r="BH161" s="29">
        <f t="shared" ca="1" si="128"/>
        <v>0</v>
      </c>
      <c r="BI161" s="29">
        <f t="shared" ca="1" si="128"/>
        <v>0</v>
      </c>
      <c r="BJ161" s="29">
        <f t="shared" ca="1" si="128"/>
        <v>0</v>
      </c>
      <c r="BK161" s="29">
        <f t="shared" ca="1" si="128"/>
        <v>0</v>
      </c>
      <c r="BL161" s="29">
        <f t="shared" ca="1" si="128"/>
        <v>0</v>
      </c>
      <c r="BM161" s="29">
        <f t="shared" si="128"/>
        <v>0</v>
      </c>
      <c r="BN161" s="29">
        <f t="shared" si="128"/>
        <v>0</v>
      </c>
      <c r="BO161" s="29">
        <f t="shared" si="128"/>
        <v>0</v>
      </c>
      <c r="BP161" s="29">
        <f t="shared" si="128"/>
        <v>0</v>
      </c>
      <c r="BQ161" s="29">
        <f t="shared" si="128"/>
        <v>0</v>
      </c>
      <c r="BR161" s="29">
        <f t="shared" si="128"/>
        <v>0</v>
      </c>
      <c r="BS161" s="29">
        <f t="shared" si="128"/>
        <v>0</v>
      </c>
      <c r="BT161" s="29">
        <f t="shared" si="128"/>
        <v>0</v>
      </c>
      <c r="BU161" s="29">
        <f t="shared" si="128"/>
        <v>0</v>
      </c>
      <c r="BV161" s="29">
        <f t="shared" si="128"/>
        <v>0</v>
      </c>
      <c r="BW161" s="29">
        <f t="shared" si="128"/>
        <v>0</v>
      </c>
      <c r="BX161" s="29">
        <f t="shared" si="128"/>
        <v>0</v>
      </c>
      <c r="BY161" s="29">
        <f t="shared" si="128"/>
        <v>0</v>
      </c>
      <c r="BZ161" s="29">
        <f t="shared" si="128"/>
        <v>0</v>
      </c>
      <c r="CA161" s="29">
        <f t="shared" si="128"/>
        <v>0</v>
      </c>
      <c r="CB161" s="29">
        <f t="shared" si="128"/>
        <v>0</v>
      </c>
      <c r="CC161" s="29">
        <f t="shared" si="128"/>
        <v>0</v>
      </c>
      <c r="CD161" s="29">
        <f t="shared" si="128"/>
        <v>0</v>
      </c>
      <c r="CE161" s="29">
        <f t="shared" si="128"/>
        <v>0</v>
      </c>
      <c r="CF161" s="29">
        <f t="shared" si="128"/>
        <v>0</v>
      </c>
      <c r="CG161" s="29">
        <f t="shared" si="128"/>
        <v>0</v>
      </c>
      <c r="CH161" s="29">
        <f t="shared" si="128"/>
        <v>0</v>
      </c>
    </row>
    <row r="162" spans="2:86" ht="13" hidden="1" outlineLevel="1">
      <c r="B162" s="84">
        <f t="shared" si="71"/>
        <v>59</v>
      </c>
      <c r="C162" s="64">
        <f t="shared" ca="1" si="69"/>
        <v>0.49521884822756768</v>
      </c>
      <c r="D162" s="15" t="s">
        <v>238</v>
      </c>
      <c r="E162" s="29">
        <f t="shared" ca="1" si="59"/>
        <v>164639583.33333331</v>
      </c>
      <c r="F162" s="29"/>
      <c r="G162" s="29">
        <f t="shared" ref="G162:CH162" ca="1" si="129">IF(G$4&lt;=$B162,ABS(G$31)*-1+G$47,0)+IF($B162=G$4,G$81,0)</f>
        <v>-1444375</v>
      </c>
      <c r="H162" s="29">
        <f t="shared" ca="1" si="129"/>
        <v>-1344375</v>
      </c>
      <c r="I162" s="29">
        <f t="shared" ca="1" si="129"/>
        <v>-1344375</v>
      </c>
      <c r="J162" s="29">
        <f t="shared" ca="1" si="129"/>
        <v>-1344375</v>
      </c>
      <c r="K162" s="29">
        <f t="shared" ca="1" si="129"/>
        <v>-1344375</v>
      </c>
      <c r="L162" s="29">
        <f t="shared" ca="1" si="129"/>
        <v>-1344375</v>
      </c>
      <c r="M162" s="29">
        <f t="shared" ca="1" si="129"/>
        <v>-1344375</v>
      </c>
      <c r="N162" s="29">
        <f t="shared" ca="1" si="129"/>
        <v>-1344375</v>
      </c>
      <c r="O162" s="29">
        <f t="shared" ca="1" si="129"/>
        <v>-1344375</v>
      </c>
      <c r="P162" s="29">
        <f t="shared" ca="1" si="129"/>
        <v>-1344375</v>
      </c>
      <c r="Q162" s="29">
        <f t="shared" ca="1" si="129"/>
        <v>-1344375</v>
      </c>
      <c r="R162" s="29">
        <f t="shared" ca="1" si="129"/>
        <v>-1344375</v>
      </c>
      <c r="S162" s="29">
        <f t="shared" ca="1" si="129"/>
        <v>-534270.83333333279</v>
      </c>
      <c r="T162" s="29">
        <f t="shared" ca="1" si="129"/>
        <v>-534270.83333333279</v>
      </c>
      <c r="U162" s="29">
        <f t="shared" ca="1" si="129"/>
        <v>-534270.83333333279</v>
      </c>
      <c r="V162" s="29">
        <f t="shared" ca="1" si="129"/>
        <v>-534270.83333333279</v>
      </c>
      <c r="W162" s="29">
        <f t="shared" ca="1" si="129"/>
        <v>2385312.5000000009</v>
      </c>
      <c r="X162" s="29">
        <f t="shared" ca="1" si="129"/>
        <v>2385312.5000000009</v>
      </c>
      <c r="Y162" s="29">
        <f t="shared" ca="1" si="129"/>
        <v>2385312.5000000009</v>
      </c>
      <c r="Z162" s="29">
        <f t="shared" ca="1" si="129"/>
        <v>2235979.166666667</v>
      </c>
      <c r="AA162" s="29">
        <f t="shared" ca="1" si="129"/>
        <v>2148333.333333334</v>
      </c>
      <c r="AB162" s="29">
        <f t="shared" ca="1" si="129"/>
        <v>2148333.333333334</v>
      </c>
      <c r="AC162" s="29">
        <f t="shared" ca="1" si="129"/>
        <v>2148333.333333334</v>
      </c>
      <c r="AD162" s="29">
        <f t="shared" ca="1" si="129"/>
        <v>2148333.3333333344</v>
      </c>
      <c r="AE162" s="29">
        <f t="shared" ca="1" si="129"/>
        <v>11248708.333333332</v>
      </c>
      <c r="AF162" s="29">
        <f t="shared" ca="1" si="129"/>
        <v>11248708.333333332</v>
      </c>
      <c r="AG162" s="29">
        <f t="shared" ca="1" si="129"/>
        <v>11248708.333333332</v>
      </c>
      <c r="AH162" s="29">
        <f t="shared" ca="1" si="129"/>
        <v>11248708.333333332</v>
      </c>
      <c r="AI162" s="29">
        <f t="shared" ca="1" si="129"/>
        <v>10452583.333333332</v>
      </c>
      <c r="AJ162" s="29">
        <f t="shared" ca="1" si="129"/>
        <v>10452583.333333332</v>
      </c>
      <c r="AK162" s="29">
        <f t="shared" ca="1" si="129"/>
        <v>10452583.333333332</v>
      </c>
      <c r="AL162" s="29">
        <f t="shared" ca="1" si="129"/>
        <v>10452583.333333332</v>
      </c>
      <c r="AM162" s="29">
        <f t="shared" ca="1" si="129"/>
        <v>9014374.9999999981</v>
      </c>
      <c r="AN162" s="29">
        <f t="shared" ca="1" si="129"/>
        <v>9014374.9999999981</v>
      </c>
      <c r="AO162" s="29">
        <f t="shared" ca="1" si="129"/>
        <v>9014374.9999999981</v>
      </c>
      <c r="AP162" s="29">
        <f t="shared" ca="1" si="129"/>
        <v>9014374.9999999981</v>
      </c>
      <c r="AQ162" s="29">
        <f t="shared" ca="1" si="129"/>
        <v>10540312.499999996</v>
      </c>
      <c r="AR162" s="29">
        <f t="shared" ca="1" si="129"/>
        <v>10540312.499999996</v>
      </c>
      <c r="AS162" s="29">
        <f t="shared" ca="1" si="129"/>
        <v>10540312.499999996</v>
      </c>
      <c r="AT162" s="29">
        <f t="shared" ca="1" si="129"/>
        <v>10540312.499999996</v>
      </c>
      <c r="AU162" s="29">
        <f t="shared" ca="1" si="129"/>
        <v>0</v>
      </c>
      <c r="AV162" s="29">
        <f t="shared" ca="1" si="129"/>
        <v>0</v>
      </c>
      <c r="AW162" s="29">
        <f t="shared" ca="1" si="129"/>
        <v>0</v>
      </c>
      <c r="AX162" s="29">
        <f t="shared" ca="1" si="129"/>
        <v>0</v>
      </c>
      <c r="AY162" s="29">
        <f t="shared" ca="1" si="129"/>
        <v>0</v>
      </c>
      <c r="AZ162" s="29">
        <f t="shared" ca="1" si="129"/>
        <v>0</v>
      </c>
      <c r="BA162" s="29">
        <f t="shared" ca="1" si="129"/>
        <v>0</v>
      </c>
      <c r="BB162" s="29">
        <f t="shared" ca="1" si="129"/>
        <v>0</v>
      </c>
      <c r="BC162" s="29">
        <f t="shared" ca="1" si="129"/>
        <v>0</v>
      </c>
      <c r="BD162" s="29">
        <f t="shared" ca="1" si="129"/>
        <v>0</v>
      </c>
      <c r="BE162" s="29">
        <f t="shared" ca="1" si="129"/>
        <v>0</v>
      </c>
      <c r="BF162" s="29">
        <f t="shared" ca="1" si="129"/>
        <v>0</v>
      </c>
      <c r="BG162" s="29">
        <f t="shared" ca="1" si="129"/>
        <v>0</v>
      </c>
      <c r="BH162" s="29">
        <f t="shared" ca="1" si="129"/>
        <v>0</v>
      </c>
      <c r="BI162" s="29">
        <f t="shared" ca="1" si="129"/>
        <v>0</v>
      </c>
      <c r="BJ162" s="29">
        <f t="shared" ca="1" si="129"/>
        <v>0</v>
      </c>
      <c r="BK162" s="29">
        <f t="shared" ca="1" si="129"/>
        <v>0</v>
      </c>
      <c r="BL162" s="29">
        <f t="shared" ca="1" si="129"/>
        <v>0</v>
      </c>
      <c r="BM162" s="29">
        <f t="shared" ca="1" si="129"/>
        <v>0</v>
      </c>
      <c r="BN162" s="29">
        <f t="shared" si="129"/>
        <v>0</v>
      </c>
      <c r="BO162" s="29">
        <f t="shared" si="129"/>
        <v>0</v>
      </c>
      <c r="BP162" s="29">
        <f t="shared" si="129"/>
        <v>0</v>
      </c>
      <c r="BQ162" s="29">
        <f t="shared" si="129"/>
        <v>0</v>
      </c>
      <c r="BR162" s="29">
        <f t="shared" si="129"/>
        <v>0</v>
      </c>
      <c r="BS162" s="29">
        <f t="shared" si="129"/>
        <v>0</v>
      </c>
      <c r="BT162" s="29">
        <f t="shared" si="129"/>
        <v>0</v>
      </c>
      <c r="BU162" s="29">
        <f t="shared" si="129"/>
        <v>0</v>
      </c>
      <c r="BV162" s="29">
        <f t="shared" si="129"/>
        <v>0</v>
      </c>
      <c r="BW162" s="29">
        <f t="shared" si="129"/>
        <v>0</v>
      </c>
      <c r="BX162" s="29">
        <f t="shared" si="129"/>
        <v>0</v>
      </c>
      <c r="BY162" s="29">
        <f t="shared" si="129"/>
        <v>0</v>
      </c>
      <c r="BZ162" s="29">
        <f t="shared" si="129"/>
        <v>0</v>
      </c>
      <c r="CA162" s="29">
        <f t="shared" si="129"/>
        <v>0</v>
      </c>
      <c r="CB162" s="29">
        <f t="shared" si="129"/>
        <v>0</v>
      </c>
      <c r="CC162" s="29">
        <f t="shared" si="129"/>
        <v>0</v>
      </c>
      <c r="CD162" s="29">
        <f t="shared" si="129"/>
        <v>0</v>
      </c>
      <c r="CE162" s="29">
        <f t="shared" si="129"/>
        <v>0</v>
      </c>
      <c r="CF162" s="29">
        <f t="shared" si="129"/>
        <v>0</v>
      </c>
      <c r="CG162" s="29">
        <f t="shared" si="129"/>
        <v>0</v>
      </c>
      <c r="CH162" s="29">
        <f t="shared" si="129"/>
        <v>0</v>
      </c>
    </row>
    <row r="163" spans="2:86" ht="13" hidden="1" outlineLevel="1">
      <c r="B163" s="84">
        <f t="shared" si="71"/>
        <v>60</v>
      </c>
      <c r="C163" s="64">
        <f t="shared" ca="1" si="69"/>
        <v>0.49521884822756768</v>
      </c>
      <c r="D163" s="15" t="s">
        <v>238</v>
      </c>
      <c r="E163" s="29">
        <f t="shared" ca="1" si="59"/>
        <v>164639583.33333331</v>
      </c>
      <c r="F163" s="29"/>
      <c r="G163" s="29">
        <f t="shared" ref="G163:CH163" ca="1" si="130">IF(G$4&lt;=$B163,ABS(G$31)*-1+G$47,0)+IF($B163=G$4,G$81,0)</f>
        <v>-1444375</v>
      </c>
      <c r="H163" s="29">
        <f t="shared" ca="1" si="130"/>
        <v>-1344375</v>
      </c>
      <c r="I163" s="29">
        <f t="shared" ca="1" si="130"/>
        <v>-1344375</v>
      </c>
      <c r="J163" s="29">
        <f t="shared" ca="1" si="130"/>
        <v>-1344375</v>
      </c>
      <c r="K163" s="29">
        <f t="shared" ca="1" si="130"/>
        <v>-1344375</v>
      </c>
      <c r="L163" s="29">
        <f t="shared" ca="1" si="130"/>
        <v>-1344375</v>
      </c>
      <c r="M163" s="29">
        <f t="shared" ca="1" si="130"/>
        <v>-1344375</v>
      </c>
      <c r="N163" s="29">
        <f t="shared" ca="1" si="130"/>
        <v>-1344375</v>
      </c>
      <c r="O163" s="29">
        <f t="shared" ca="1" si="130"/>
        <v>-1344375</v>
      </c>
      <c r="P163" s="29">
        <f t="shared" ca="1" si="130"/>
        <v>-1344375</v>
      </c>
      <c r="Q163" s="29">
        <f t="shared" ca="1" si="130"/>
        <v>-1344375</v>
      </c>
      <c r="R163" s="29">
        <f t="shared" ca="1" si="130"/>
        <v>-1344375</v>
      </c>
      <c r="S163" s="29">
        <f t="shared" ca="1" si="130"/>
        <v>-534270.83333333279</v>
      </c>
      <c r="T163" s="29">
        <f t="shared" ca="1" si="130"/>
        <v>-534270.83333333279</v>
      </c>
      <c r="U163" s="29">
        <f t="shared" ca="1" si="130"/>
        <v>-534270.83333333279</v>
      </c>
      <c r="V163" s="29">
        <f t="shared" ca="1" si="130"/>
        <v>-534270.83333333279</v>
      </c>
      <c r="W163" s="29">
        <f t="shared" ca="1" si="130"/>
        <v>2385312.5000000009</v>
      </c>
      <c r="X163" s="29">
        <f t="shared" ca="1" si="130"/>
        <v>2385312.5000000009</v>
      </c>
      <c r="Y163" s="29">
        <f t="shared" ca="1" si="130"/>
        <v>2385312.5000000009</v>
      </c>
      <c r="Z163" s="29">
        <f t="shared" ca="1" si="130"/>
        <v>2235979.166666667</v>
      </c>
      <c r="AA163" s="29">
        <f t="shared" ca="1" si="130"/>
        <v>2148333.333333334</v>
      </c>
      <c r="AB163" s="29">
        <f t="shared" ca="1" si="130"/>
        <v>2148333.333333334</v>
      </c>
      <c r="AC163" s="29">
        <f t="shared" ca="1" si="130"/>
        <v>2148333.333333334</v>
      </c>
      <c r="AD163" s="29">
        <f t="shared" ca="1" si="130"/>
        <v>2148333.3333333344</v>
      </c>
      <c r="AE163" s="29">
        <f t="shared" ca="1" si="130"/>
        <v>11248708.333333332</v>
      </c>
      <c r="AF163" s="29">
        <f t="shared" ca="1" si="130"/>
        <v>11248708.333333332</v>
      </c>
      <c r="AG163" s="29">
        <f t="shared" ca="1" si="130"/>
        <v>11248708.333333332</v>
      </c>
      <c r="AH163" s="29">
        <f t="shared" ca="1" si="130"/>
        <v>11248708.333333332</v>
      </c>
      <c r="AI163" s="29">
        <f t="shared" ca="1" si="130"/>
        <v>10452583.333333332</v>
      </c>
      <c r="AJ163" s="29">
        <f t="shared" ca="1" si="130"/>
        <v>10452583.333333332</v>
      </c>
      <c r="AK163" s="29">
        <f t="shared" ca="1" si="130"/>
        <v>10452583.333333332</v>
      </c>
      <c r="AL163" s="29">
        <f t="shared" ca="1" si="130"/>
        <v>10452583.333333332</v>
      </c>
      <c r="AM163" s="29">
        <f t="shared" ca="1" si="130"/>
        <v>9014374.9999999981</v>
      </c>
      <c r="AN163" s="29">
        <f t="shared" ca="1" si="130"/>
        <v>9014374.9999999981</v>
      </c>
      <c r="AO163" s="29">
        <f t="shared" ca="1" si="130"/>
        <v>9014374.9999999981</v>
      </c>
      <c r="AP163" s="29">
        <f t="shared" ca="1" si="130"/>
        <v>9014374.9999999981</v>
      </c>
      <c r="AQ163" s="29">
        <f t="shared" ca="1" si="130"/>
        <v>10540312.499999996</v>
      </c>
      <c r="AR163" s="29">
        <f t="shared" ca="1" si="130"/>
        <v>10540312.499999996</v>
      </c>
      <c r="AS163" s="29">
        <f t="shared" ca="1" si="130"/>
        <v>10540312.499999996</v>
      </c>
      <c r="AT163" s="29">
        <f t="shared" ca="1" si="130"/>
        <v>10540312.499999996</v>
      </c>
      <c r="AU163" s="29">
        <f t="shared" ca="1" si="130"/>
        <v>0</v>
      </c>
      <c r="AV163" s="29">
        <f t="shared" ca="1" si="130"/>
        <v>0</v>
      </c>
      <c r="AW163" s="29">
        <f t="shared" ca="1" si="130"/>
        <v>0</v>
      </c>
      <c r="AX163" s="29">
        <f t="shared" ca="1" si="130"/>
        <v>0</v>
      </c>
      <c r="AY163" s="29">
        <f t="shared" ca="1" si="130"/>
        <v>0</v>
      </c>
      <c r="AZ163" s="29">
        <f t="shared" ca="1" si="130"/>
        <v>0</v>
      </c>
      <c r="BA163" s="29">
        <f t="shared" ca="1" si="130"/>
        <v>0</v>
      </c>
      <c r="BB163" s="29">
        <f t="shared" ca="1" si="130"/>
        <v>0</v>
      </c>
      <c r="BC163" s="29">
        <f t="shared" ca="1" si="130"/>
        <v>0</v>
      </c>
      <c r="BD163" s="29">
        <f t="shared" ca="1" si="130"/>
        <v>0</v>
      </c>
      <c r="BE163" s="29">
        <f t="shared" ca="1" si="130"/>
        <v>0</v>
      </c>
      <c r="BF163" s="29">
        <f t="shared" ca="1" si="130"/>
        <v>0</v>
      </c>
      <c r="BG163" s="29">
        <f t="shared" ca="1" si="130"/>
        <v>0</v>
      </c>
      <c r="BH163" s="29">
        <f t="shared" ca="1" si="130"/>
        <v>0</v>
      </c>
      <c r="BI163" s="29">
        <f t="shared" ca="1" si="130"/>
        <v>0</v>
      </c>
      <c r="BJ163" s="29">
        <f t="shared" ca="1" si="130"/>
        <v>0</v>
      </c>
      <c r="BK163" s="29">
        <f t="shared" ca="1" si="130"/>
        <v>0</v>
      </c>
      <c r="BL163" s="29">
        <f t="shared" ca="1" si="130"/>
        <v>0</v>
      </c>
      <c r="BM163" s="29">
        <f t="shared" ca="1" si="130"/>
        <v>0</v>
      </c>
      <c r="BN163" s="29">
        <f t="shared" ca="1" si="130"/>
        <v>0</v>
      </c>
      <c r="BO163" s="29">
        <f t="shared" si="130"/>
        <v>0</v>
      </c>
      <c r="BP163" s="29">
        <f t="shared" si="130"/>
        <v>0</v>
      </c>
      <c r="BQ163" s="29">
        <f t="shared" si="130"/>
        <v>0</v>
      </c>
      <c r="BR163" s="29">
        <f t="shared" si="130"/>
        <v>0</v>
      </c>
      <c r="BS163" s="29">
        <f t="shared" si="130"/>
        <v>0</v>
      </c>
      <c r="BT163" s="29">
        <f t="shared" si="130"/>
        <v>0</v>
      </c>
      <c r="BU163" s="29">
        <f t="shared" si="130"/>
        <v>0</v>
      </c>
      <c r="BV163" s="29">
        <f t="shared" si="130"/>
        <v>0</v>
      </c>
      <c r="BW163" s="29">
        <f t="shared" si="130"/>
        <v>0</v>
      </c>
      <c r="BX163" s="29">
        <f t="shared" si="130"/>
        <v>0</v>
      </c>
      <c r="BY163" s="29">
        <f t="shared" si="130"/>
        <v>0</v>
      </c>
      <c r="BZ163" s="29">
        <f t="shared" si="130"/>
        <v>0</v>
      </c>
      <c r="CA163" s="29">
        <f t="shared" si="130"/>
        <v>0</v>
      </c>
      <c r="CB163" s="29">
        <f t="shared" si="130"/>
        <v>0</v>
      </c>
      <c r="CC163" s="29">
        <f t="shared" si="130"/>
        <v>0</v>
      </c>
      <c r="CD163" s="29">
        <f t="shared" si="130"/>
        <v>0</v>
      </c>
      <c r="CE163" s="29">
        <f t="shared" si="130"/>
        <v>0</v>
      </c>
      <c r="CF163" s="29">
        <f t="shared" si="130"/>
        <v>0</v>
      </c>
      <c r="CG163" s="29">
        <f t="shared" si="130"/>
        <v>0</v>
      </c>
      <c r="CH163" s="29">
        <f t="shared" si="130"/>
        <v>0</v>
      </c>
    </row>
    <row r="164" spans="2:86" ht="13" hidden="1" outlineLevel="1">
      <c r="B164" s="84">
        <f t="shared" si="71"/>
        <v>61</v>
      </c>
      <c r="C164" s="64">
        <f t="shared" ca="1" si="69"/>
        <v>0.49521884822756768</v>
      </c>
      <c r="D164" s="15" t="s">
        <v>238</v>
      </c>
      <c r="E164" s="29">
        <f t="shared" ca="1" si="59"/>
        <v>164639583.33333331</v>
      </c>
      <c r="F164" s="29"/>
      <c r="G164" s="29">
        <f t="shared" ref="G164:CH164" ca="1" si="131">IF(G$4&lt;=$B164,ABS(G$31)*-1+G$47,0)+IF($B164=G$4,G$81,0)</f>
        <v>-1444375</v>
      </c>
      <c r="H164" s="29">
        <f t="shared" ca="1" si="131"/>
        <v>-1344375</v>
      </c>
      <c r="I164" s="29">
        <f t="shared" ca="1" si="131"/>
        <v>-1344375</v>
      </c>
      <c r="J164" s="29">
        <f t="shared" ca="1" si="131"/>
        <v>-1344375</v>
      </c>
      <c r="K164" s="29">
        <f t="shared" ca="1" si="131"/>
        <v>-1344375</v>
      </c>
      <c r="L164" s="29">
        <f t="shared" ca="1" si="131"/>
        <v>-1344375</v>
      </c>
      <c r="M164" s="29">
        <f t="shared" ca="1" si="131"/>
        <v>-1344375</v>
      </c>
      <c r="N164" s="29">
        <f t="shared" ca="1" si="131"/>
        <v>-1344375</v>
      </c>
      <c r="O164" s="29">
        <f t="shared" ca="1" si="131"/>
        <v>-1344375</v>
      </c>
      <c r="P164" s="29">
        <f t="shared" ca="1" si="131"/>
        <v>-1344375</v>
      </c>
      <c r="Q164" s="29">
        <f t="shared" ca="1" si="131"/>
        <v>-1344375</v>
      </c>
      <c r="R164" s="29">
        <f t="shared" ca="1" si="131"/>
        <v>-1344375</v>
      </c>
      <c r="S164" s="29">
        <f t="shared" ca="1" si="131"/>
        <v>-534270.83333333279</v>
      </c>
      <c r="T164" s="29">
        <f t="shared" ca="1" si="131"/>
        <v>-534270.83333333279</v>
      </c>
      <c r="U164" s="29">
        <f t="shared" ca="1" si="131"/>
        <v>-534270.83333333279</v>
      </c>
      <c r="V164" s="29">
        <f t="shared" ca="1" si="131"/>
        <v>-534270.83333333279</v>
      </c>
      <c r="W164" s="29">
        <f t="shared" ca="1" si="131"/>
        <v>2385312.5000000009</v>
      </c>
      <c r="X164" s="29">
        <f t="shared" ca="1" si="131"/>
        <v>2385312.5000000009</v>
      </c>
      <c r="Y164" s="29">
        <f t="shared" ca="1" si="131"/>
        <v>2385312.5000000009</v>
      </c>
      <c r="Z164" s="29">
        <f t="shared" ca="1" si="131"/>
        <v>2235979.166666667</v>
      </c>
      <c r="AA164" s="29">
        <f t="shared" ca="1" si="131"/>
        <v>2148333.333333334</v>
      </c>
      <c r="AB164" s="29">
        <f t="shared" ca="1" si="131"/>
        <v>2148333.333333334</v>
      </c>
      <c r="AC164" s="29">
        <f t="shared" ca="1" si="131"/>
        <v>2148333.333333334</v>
      </c>
      <c r="AD164" s="29">
        <f t="shared" ca="1" si="131"/>
        <v>2148333.3333333344</v>
      </c>
      <c r="AE164" s="29">
        <f t="shared" ca="1" si="131"/>
        <v>11248708.333333332</v>
      </c>
      <c r="AF164" s="29">
        <f t="shared" ca="1" si="131"/>
        <v>11248708.333333332</v>
      </c>
      <c r="AG164" s="29">
        <f t="shared" ca="1" si="131"/>
        <v>11248708.333333332</v>
      </c>
      <c r="AH164" s="29">
        <f t="shared" ca="1" si="131"/>
        <v>11248708.333333332</v>
      </c>
      <c r="AI164" s="29">
        <f t="shared" ca="1" si="131"/>
        <v>10452583.333333332</v>
      </c>
      <c r="AJ164" s="29">
        <f t="shared" ca="1" si="131"/>
        <v>10452583.333333332</v>
      </c>
      <c r="AK164" s="29">
        <f t="shared" ca="1" si="131"/>
        <v>10452583.333333332</v>
      </c>
      <c r="AL164" s="29">
        <f t="shared" ca="1" si="131"/>
        <v>10452583.333333332</v>
      </c>
      <c r="AM164" s="29">
        <f t="shared" ca="1" si="131"/>
        <v>9014374.9999999981</v>
      </c>
      <c r="AN164" s="29">
        <f t="shared" ca="1" si="131"/>
        <v>9014374.9999999981</v>
      </c>
      <c r="AO164" s="29">
        <f t="shared" ca="1" si="131"/>
        <v>9014374.9999999981</v>
      </c>
      <c r="AP164" s="29">
        <f t="shared" ca="1" si="131"/>
        <v>9014374.9999999981</v>
      </c>
      <c r="AQ164" s="29">
        <f t="shared" ca="1" si="131"/>
        <v>10540312.499999996</v>
      </c>
      <c r="AR164" s="29">
        <f t="shared" ca="1" si="131"/>
        <v>10540312.499999996</v>
      </c>
      <c r="AS164" s="29">
        <f t="shared" ca="1" si="131"/>
        <v>10540312.499999996</v>
      </c>
      <c r="AT164" s="29">
        <f t="shared" ca="1" si="131"/>
        <v>10540312.499999996</v>
      </c>
      <c r="AU164" s="29">
        <f t="shared" ca="1" si="131"/>
        <v>0</v>
      </c>
      <c r="AV164" s="29">
        <f t="shared" ca="1" si="131"/>
        <v>0</v>
      </c>
      <c r="AW164" s="29">
        <f t="shared" ca="1" si="131"/>
        <v>0</v>
      </c>
      <c r="AX164" s="29">
        <f t="shared" ca="1" si="131"/>
        <v>0</v>
      </c>
      <c r="AY164" s="29">
        <f t="shared" ca="1" si="131"/>
        <v>0</v>
      </c>
      <c r="AZ164" s="29">
        <f t="shared" ca="1" si="131"/>
        <v>0</v>
      </c>
      <c r="BA164" s="29">
        <f t="shared" ca="1" si="131"/>
        <v>0</v>
      </c>
      <c r="BB164" s="29">
        <f t="shared" ca="1" si="131"/>
        <v>0</v>
      </c>
      <c r="BC164" s="29">
        <f t="shared" ca="1" si="131"/>
        <v>0</v>
      </c>
      <c r="BD164" s="29">
        <f t="shared" ca="1" si="131"/>
        <v>0</v>
      </c>
      <c r="BE164" s="29">
        <f t="shared" ca="1" si="131"/>
        <v>0</v>
      </c>
      <c r="BF164" s="29">
        <f t="shared" ca="1" si="131"/>
        <v>0</v>
      </c>
      <c r="BG164" s="29">
        <f t="shared" ca="1" si="131"/>
        <v>0</v>
      </c>
      <c r="BH164" s="29">
        <f t="shared" ca="1" si="131"/>
        <v>0</v>
      </c>
      <c r="BI164" s="29">
        <f t="shared" ca="1" si="131"/>
        <v>0</v>
      </c>
      <c r="BJ164" s="29">
        <f t="shared" ca="1" si="131"/>
        <v>0</v>
      </c>
      <c r="BK164" s="29">
        <f t="shared" ca="1" si="131"/>
        <v>0</v>
      </c>
      <c r="BL164" s="29">
        <f t="shared" ca="1" si="131"/>
        <v>0</v>
      </c>
      <c r="BM164" s="29">
        <f t="shared" ca="1" si="131"/>
        <v>0</v>
      </c>
      <c r="BN164" s="29">
        <f t="shared" ca="1" si="131"/>
        <v>0</v>
      </c>
      <c r="BO164" s="29">
        <f t="shared" ca="1" si="131"/>
        <v>0</v>
      </c>
      <c r="BP164" s="29">
        <f t="shared" si="131"/>
        <v>0</v>
      </c>
      <c r="BQ164" s="29">
        <f t="shared" si="131"/>
        <v>0</v>
      </c>
      <c r="BR164" s="29">
        <f t="shared" si="131"/>
        <v>0</v>
      </c>
      <c r="BS164" s="29">
        <f t="shared" si="131"/>
        <v>0</v>
      </c>
      <c r="BT164" s="29">
        <f t="shared" si="131"/>
        <v>0</v>
      </c>
      <c r="BU164" s="29">
        <f t="shared" si="131"/>
        <v>0</v>
      </c>
      <c r="BV164" s="29">
        <f t="shared" si="131"/>
        <v>0</v>
      </c>
      <c r="BW164" s="29">
        <f t="shared" si="131"/>
        <v>0</v>
      </c>
      <c r="BX164" s="29">
        <f t="shared" si="131"/>
        <v>0</v>
      </c>
      <c r="BY164" s="29">
        <f t="shared" si="131"/>
        <v>0</v>
      </c>
      <c r="BZ164" s="29">
        <f t="shared" si="131"/>
        <v>0</v>
      </c>
      <c r="CA164" s="29">
        <f t="shared" si="131"/>
        <v>0</v>
      </c>
      <c r="CB164" s="29">
        <f t="shared" si="131"/>
        <v>0</v>
      </c>
      <c r="CC164" s="29">
        <f t="shared" si="131"/>
        <v>0</v>
      </c>
      <c r="CD164" s="29">
        <f t="shared" si="131"/>
        <v>0</v>
      </c>
      <c r="CE164" s="29">
        <f t="shared" si="131"/>
        <v>0</v>
      </c>
      <c r="CF164" s="29">
        <f t="shared" si="131"/>
        <v>0</v>
      </c>
      <c r="CG164" s="29">
        <f t="shared" si="131"/>
        <v>0</v>
      </c>
      <c r="CH164" s="29">
        <f t="shared" si="131"/>
        <v>0</v>
      </c>
    </row>
    <row r="165" spans="2:86" ht="13" hidden="1" outlineLevel="1">
      <c r="B165" s="84">
        <f t="shared" si="71"/>
        <v>62</v>
      </c>
      <c r="C165" s="64">
        <f t="shared" ca="1" si="69"/>
        <v>0.49521884822756768</v>
      </c>
      <c r="D165" s="15" t="s">
        <v>238</v>
      </c>
      <c r="E165" s="29">
        <f t="shared" ca="1" si="59"/>
        <v>164639583.33333331</v>
      </c>
      <c r="F165" s="29"/>
      <c r="G165" s="29">
        <f t="shared" ref="G165:CH165" ca="1" si="132">IF(G$4&lt;=$B165,ABS(G$31)*-1+G$47,0)+IF($B165=G$4,G$81,0)</f>
        <v>-1444375</v>
      </c>
      <c r="H165" s="29">
        <f t="shared" ca="1" si="132"/>
        <v>-1344375</v>
      </c>
      <c r="I165" s="29">
        <f t="shared" ca="1" si="132"/>
        <v>-1344375</v>
      </c>
      <c r="J165" s="29">
        <f t="shared" ca="1" si="132"/>
        <v>-1344375</v>
      </c>
      <c r="K165" s="29">
        <f t="shared" ca="1" si="132"/>
        <v>-1344375</v>
      </c>
      <c r="L165" s="29">
        <f t="shared" ca="1" si="132"/>
        <v>-1344375</v>
      </c>
      <c r="M165" s="29">
        <f t="shared" ca="1" si="132"/>
        <v>-1344375</v>
      </c>
      <c r="N165" s="29">
        <f t="shared" ca="1" si="132"/>
        <v>-1344375</v>
      </c>
      <c r="O165" s="29">
        <f t="shared" ca="1" si="132"/>
        <v>-1344375</v>
      </c>
      <c r="P165" s="29">
        <f t="shared" ca="1" si="132"/>
        <v>-1344375</v>
      </c>
      <c r="Q165" s="29">
        <f t="shared" ca="1" si="132"/>
        <v>-1344375</v>
      </c>
      <c r="R165" s="29">
        <f t="shared" ca="1" si="132"/>
        <v>-1344375</v>
      </c>
      <c r="S165" s="29">
        <f t="shared" ca="1" si="132"/>
        <v>-534270.83333333279</v>
      </c>
      <c r="T165" s="29">
        <f t="shared" ca="1" si="132"/>
        <v>-534270.83333333279</v>
      </c>
      <c r="U165" s="29">
        <f t="shared" ca="1" si="132"/>
        <v>-534270.83333333279</v>
      </c>
      <c r="V165" s="29">
        <f t="shared" ca="1" si="132"/>
        <v>-534270.83333333279</v>
      </c>
      <c r="W165" s="29">
        <f t="shared" ca="1" si="132"/>
        <v>2385312.5000000009</v>
      </c>
      <c r="X165" s="29">
        <f t="shared" ca="1" si="132"/>
        <v>2385312.5000000009</v>
      </c>
      <c r="Y165" s="29">
        <f t="shared" ca="1" si="132"/>
        <v>2385312.5000000009</v>
      </c>
      <c r="Z165" s="29">
        <f t="shared" ca="1" si="132"/>
        <v>2235979.166666667</v>
      </c>
      <c r="AA165" s="29">
        <f t="shared" ca="1" si="132"/>
        <v>2148333.333333334</v>
      </c>
      <c r="AB165" s="29">
        <f t="shared" ca="1" si="132"/>
        <v>2148333.333333334</v>
      </c>
      <c r="AC165" s="29">
        <f t="shared" ca="1" si="132"/>
        <v>2148333.333333334</v>
      </c>
      <c r="AD165" s="29">
        <f t="shared" ca="1" si="132"/>
        <v>2148333.3333333344</v>
      </c>
      <c r="AE165" s="29">
        <f t="shared" ca="1" si="132"/>
        <v>11248708.333333332</v>
      </c>
      <c r="AF165" s="29">
        <f t="shared" ca="1" si="132"/>
        <v>11248708.333333332</v>
      </c>
      <c r="AG165" s="29">
        <f t="shared" ca="1" si="132"/>
        <v>11248708.333333332</v>
      </c>
      <c r="AH165" s="29">
        <f t="shared" ca="1" si="132"/>
        <v>11248708.333333332</v>
      </c>
      <c r="AI165" s="29">
        <f t="shared" ca="1" si="132"/>
        <v>10452583.333333332</v>
      </c>
      <c r="AJ165" s="29">
        <f t="shared" ca="1" si="132"/>
        <v>10452583.333333332</v>
      </c>
      <c r="AK165" s="29">
        <f t="shared" ca="1" si="132"/>
        <v>10452583.333333332</v>
      </c>
      <c r="AL165" s="29">
        <f t="shared" ca="1" si="132"/>
        <v>10452583.333333332</v>
      </c>
      <c r="AM165" s="29">
        <f t="shared" ca="1" si="132"/>
        <v>9014374.9999999981</v>
      </c>
      <c r="AN165" s="29">
        <f t="shared" ca="1" si="132"/>
        <v>9014374.9999999981</v>
      </c>
      <c r="AO165" s="29">
        <f t="shared" ca="1" si="132"/>
        <v>9014374.9999999981</v>
      </c>
      <c r="AP165" s="29">
        <f t="shared" ca="1" si="132"/>
        <v>9014374.9999999981</v>
      </c>
      <c r="AQ165" s="29">
        <f t="shared" ca="1" si="132"/>
        <v>10540312.499999996</v>
      </c>
      <c r="AR165" s="29">
        <f t="shared" ca="1" si="132"/>
        <v>10540312.499999996</v>
      </c>
      <c r="AS165" s="29">
        <f t="shared" ca="1" si="132"/>
        <v>10540312.499999996</v>
      </c>
      <c r="AT165" s="29">
        <f t="shared" ca="1" si="132"/>
        <v>10540312.499999996</v>
      </c>
      <c r="AU165" s="29">
        <f t="shared" ca="1" si="132"/>
        <v>0</v>
      </c>
      <c r="AV165" s="29">
        <f t="shared" ca="1" si="132"/>
        <v>0</v>
      </c>
      <c r="AW165" s="29">
        <f t="shared" ca="1" si="132"/>
        <v>0</v>
      </c>
      <c r="AX165" s="29">
        <f t="shared" ca="1" si="132"/>
        <v>0</v>
      </c>
      <c r="AY165" s="29">
        <f t="shared" ca="1" si="132"/>
        <v>0</v>
      </c>
      <c r="AZ165" s="29">
        <f t="shared" ca="1" si="132"/>
        <v>0</v>
      </c>
      <c r="BA165" s="29">
        <f t="shared" ca="1" si="132"/>
        <v>0</v>
      </c>
      <c r="BB165" s="29">
        <f t="shared" ca="1" si="132"/>
        <v>0</v>
      </c>
      <c r="BC165" s="29">
        <f t="shared" ca="1" si="132"/>
        <v>0</v>
      </c>
      <c r="BD165" s="29">
        <f t="shared" ca="1" si="132"/>
        <v>0</v>
      </c>
      <c r="BE165" s="29">
        <f t="shared" ca="1" si="132"/>
        <v>0</v>
      </c>
      <c r="BF165" s="29">
        <f t="shared" ca="1" si="132"/>
        <v>0</v>
      </c>
      <c r="BG165" s="29">
        <f t="shared" ca="1" si="132"/>
        <v>0</v>
      </c>
      <c r="BH165" s="29">
        <f t="shared" ca="1" si="132"/>
        <v>0</v>
      </c>
      <c r="BI165" s="29">
        <f t="shared" ca="1" si="132"/>
        <v>0</v>
      </c>
      <c r="BJ165" s="29">
        <f t="shared" ca="1" si="132"/>
        <v>0</v>
      </c>
      <c r="BK165" s="29">
        <f t="shared" ca="1" si="132"/>
        <v>0</v>
      </c>
      <c r="BL165" s="29">
        <f t="shared" ca="1" si="132"/>
        <v>0</v>
      </c>
      <c r="BM165" s="29">
        <f t="shared" ca="1" si="132"/>
        <v>0</v>
      </c>
      <c r="BN165" s="29">
        <f t="shared" ca="1" si="132"/>
        <v>0</v>
      </c>
      <c r="BO165" s="29">
        <f t="shared" ca="1" si="132"/>
        <v>0</v>
      </c>
      <c r="BP165" s="29">
        <f t="shared" ca="1" si="132"/>
        <v>0</v>
      </c>
      <c r="BQ165" s="29">
        <f t="shared" si="132"/>
        <v>0</v>
      </c>
      <c r="BR165" s="29">
        <f t="shared" si="132"/>
        <v>0</v>
      </c>
      <c r="BS165" s="29">
        <f t="shared" si="132"/>
        <v>0</v>
      </c>
      <c r="BT165" s="29">
        <f t="shared" si="132"/>
        <v>0</v>
      </c>
      <c r="BU165" s="29">
        <f t="shared" si="132"/>
        <v>0</v>
      </c>
      <c r="BV165" s="29">
        <f t="shared" si="132"/>
        <v>0</v>
      </c>
      <c r="BW165" s="29">
        <f t="shared" si="132"/>
        <v>0</v>
      </c>
      <c r="BX165" s="29">
        <f t="shared" si="132"/>
        <v>0</v>
      </c>
      <c r="BY165" s="29">
        <f t="shared" si="132"/>
        <v>0</v>
      </c>
      <c r="BZ165" s="29">
        <f t="shared" si="132"/>
        <v>0</v>
      </c>
      <c r="CA165" s="29">
        <f t="shared" si="132"/>
        <v>0</v>
      </c>
      <c r="CB165" s="29">
        <f t="shared" si="132"/>
        <v>0</v>
      </c>
      <c r="CC165" s="29">
        <f t="shared" si="132"/>
        <v>0</v>
      </c>
      <c r="CD165" s="29">
        <f t="shared" si="132"/>
        <v>0</v>
      </c>
      <c r="CE165" s="29">
        <f t="shared" si="132"/>
        <v>0</v>
      </c>
      <c r="CF165" s="29">
        <f t="shared" si="132"/>
        <v>0</v>
      </c>
      <c r="CG165" s="29">
        <f t="shared" si="132"/>
        <v>0</v>
      </c>
      <c r="CH165" s="29">
        <f t="shared" si="132"/>
        <v>0</v>
      </c>
    </row>
    <row r="166" spans="2:86" ht="13" hidden="1" outlineLevel="1">
      <c r="B166" s="84">
        <f t="shared" si="71"/>
        <v>63</v>
      </c>
      <c r="C166" s="64">
        <f t="shared" ca="1" si="69"/>
        <v>0.49521884822756768</v>
      </c>
      <c r="D166" s="15" t="s">
        <v>238</v>
      </c>
      <c r="E166" s="29">
        <f t="shared" ca="1" si="59"/>
        <v>164639583.33333331</v>
      </c>
      <c r="F166" s="29"/>
      <c r="G166" s="29">
        <f t="shared" ref="G166:CH166" ca="1" si="133">IF(G$4&lt;=$B166,ABS(G$31)*-1+G$47,0)+IF($B166=G$4,G$81,0)</f>
        <v>-1444375</v>
      </c>
      <c r="H166" s="29">
        <f t="shared" ca="1" si="133"/>
        <v>-1344375</v>
      </c>
      <c r="I166" s="29">
        <f t="shared" ca="1" si="133"/>
        <v>-1344375</v>
      </c>
      <c r="J166" s="29">
        <f t="shared" ca="1" si="133"/>
        <v>-1344375</v>
      </c>
      <c r="K166" s="29">
        <f t="shared" ca="1" si="133"/>
        <v>-1344375</v>
      </c>
      <c r="L166" s="29">
        <f t="shared" ca="1" si="133"/>
        <v>-1344375</v>
      </c>
      <c r="M166" s="29">
        <f t="shared" ca="1" si="133"/>
        <v>-1344375</v>
      </c>
      <c r="N166" s="29">
        <f t="shared" ca="1" si="133"/>
        <v>-1344375</v>
      </c>
      <c r="O166" s="29">
        <f t="shared" ca="1" si="133"/>
        <v>-1344375</v>
      </c>
      <c r="P166" s="29">
        <f t="shared" ca="1" si="133"/>
        <v>-1344375</v>
      </c>
      <c r="Q166" s="29">
        <f t="shared" ca="1" si="133"/>
        <v>-1344375</v>
      </c>
      <c r="R166" s="29">
        <f t="shared" ca="1" si="133"/>
        <v>-1344375</v>
      </c>
      <c r="S166" s="29">
        <f t="shared" ca="1" si="133"/>
        <v>-534270.83333333279</v>
      </c>
      <c r="T166" s="29">
        <f t="shared" ca="1" si="133"/>
        <v>-534270.83333333279</v>
      </c>
      <c r="U166" s="29">
        <f t="shared" ca="1" si="133"/>
        <v>-534270.83333333279</v>
      </c>
      <c r="V166" s="29">
        <f t="shared" ca="1" si="133"/>
        <v>-534270.83333333279</v>
      </c>
      <c r="W166" s="29">
        <f t="shared" ca="1" si="133"/>
        <v>2385312.5000000009</v>
      </c>
      <c r="X166" s="29">
        <f t="shared" ca="1" si="133"/>
        <v>2385312.5000000009</v>
      </c>
      <c r="Y166" s="29">
        <f t="shared" ca="1" si="133"/>
        <v>2385312.5000000009</v>
      </c>
      <c r="Z166" s="29">
        <f t="shared" ca="1" si="133"/>
        <v>2235979.166666667</v>
      </c>
      <c r="AA166" s="29">
        <f t="shared" ca="1" si="133"/>
        <v>2148333.333333334</v>
      </c>
      <c r="AB166" s="29">
        <f t="shared" ca="1" si="133"/>
        <v>2148333.333333334</v>
      </c>
      <c r="AC166" s="29">
        <f t="shared" ca="1" si="133"/>
        <v>2148333.333333334</v>
      </c>
      <c r="AD166" s="29">
        <f t="shared" ca="1" si="133"/>
        <v>2148333.3333333344</v>
      </c>
      <c r="AE166" s="29">
        <f t="shared" ca="1" si="133"/>
        <v>11248708.333333332</v>
      </c>
      <c r="AF166" s="29">
        <f t="shared" ca="1" si="133"/>
        <v>11248708.333333332</v>
      </c>
      <c r="AG166" s="29">
        <f t="shared" ca="1" si="133"/>
        <v>11248708.333333332</v>
      </c>
      <c r="AH166" s="29">
        <f t="shared" ca="1" si="133"/>
        <v>11248708.333333332</v>
      </c>
      <c r="AI166" s="29">
        <f t="shared" ca="1" si="133"/>
        <v>10452583.333333332</v>
      </c>
      <c r="AJ166" s="29">
        <f t="shared" ca="1" si="133"/>
        <v>10452583.333333332</v>
      </c>
      <c r="AK166" s="29">
        <f t="shared" ca="1" si="133"/>
        <v>10452583.333333332</v>
      </c>
      <c r="AL166" s="29">
        <f t="shared" ca="1" si="133"/>
        <v>10452583.333333332</v>
      </c>
      <c r="AM166" s="29">
        <f t="shared" ca="1" si="133"/>
        <v>9014374.9999999981</v>
      </c>
      <c r="AN166" s="29">
        <f t="shared" ca="1" si="133"/>
        <v>9014374.9999999981</v>
      </c>
      <c r="AO166" s="29">
        <f t="shared" ca="1" si="133"/>
        <v>9014374.9999999981</v>
      </c>
      <c r="AP166" s="29">
        <f t="shared" ca="1" si="133"/>
        <v>9014374.9999999981</v>
      </c>
      <c r="AQ166" s="29">
        <f t="shared" ca="1" si="133"/>
        <v>10540312.499999996</v>
      </c>
      <c r="AR166" s="29">
        <f t="shared" ca="1" si="133"/>
        <v>10540312.499999996</v>
      </c>
      <c r="AS166" s="29">
        <f t="shared" ca="1" si="133"/>
        <v>10540312.499999996</v>
      </c>
      <c r="AT166" s="29">
        <f t="shared" ca="1" si="133"/>
        <v>10540312.499999996</v>
      </c>
      <c r="AU166" s="29">
        <f t="shared" ca="1" si="133"/>
        <v>0</v>
      </c>
      <c r="AV166" s="29">
        <f t="shared" ca="1" si="133"/>
        <v>0</v>
      </c>
      <c r="AW166" s="29">
        <f t="shared" ca="1" si="133"/>
        <v>0</v>
      </c>
      <c r="AX166" s="29">
        <f t="shared" ca="1" si="133"/>
        <v>0</v>
      </c>
      <c r="AY166" s="29">
        <f t="shared" ca="1" si="133"/>
        <v>0</v>
      </c>
      <c r="AZ166" s="29">
        <f t="shared" ca="1" si="133"/>
        <v>0</v>
      </c>
      <c r="BA166" s="29">
        <f t="shared" ca="1" si="133"/>
        <v>0</v>
      </c>
      <c r="BB166" s="29">
        <f t="shared" ca="1" si="133"/>
        <v>0</v>
      </c>
      <c r="BC166" s="29">
        <f t="shared" ca="1" si="133"/>
        <v>0</v>
      </c>
      <c r="BD166" s="29">
        <f t="shared" ca="1" si="133"/>
        <v>0</v>
      </c>
      <c r="BE166" s="29">
        <f t="shared" ca="1" si="133"/>
        <v>0</v>
      </c>
      <c r="BF166" s="29">
        <f t="shared" ca="1" si="133"/>
        <v>0</v>
      </c>
      <c r="BG166" s="29">
        <f t="shared" ca="1" si="133"/>
        <v>0</v>
      </c>
      <c r="BH166" s="29">
        <f t="shared" ca="1" si="133"/>
        <v>0</v>
      </c>
      <c r="BI166" s="29">
        <f t="shared" ca="1" si="133"/>
        <v>0</v>
      </c>
      <c r="BJ166" s="29">
        <f t="shared" ca="1" si="133"/>
        <v>0</v>
      </c>
      <c r="BK166" s="29">
        <f t="shared" ca="1" si="133"/>
        <v>0</v>
      </c>
      <c r="BL166" s="29">
        <f t="shared" ca="1" si="133"/>
        <v>0</v>
      </c>
      <c r="BM166" s="29">
        <f t="shared" ca="1" si="133"/>
        <v>0</v>
      </c>
      <c r="BN166" s="29">
        <f t="shared" ca="1" si="133"/>
        <v>0</v>
      </c>
      <c r="BO166" s="29">
        <f t="shared" ca="1" si="133"/>
        <v>0</v>
      </c>
      <c r="BP166" s="29">
        <f t="shared" ca="1" si="133"/>
        <v>0</v>
      </c>
      <c r="BQ166" s="29">
        <f t="shared" ca="1" si="133"/>
        <v>0</v>
      </c>
      <c r="BR166" s="29">
        <f t="shared" si="133"/>
        <v>0</v>
      </c>
      <c r="BS166" s="29">
        <f t="shared" si="133"/>
        <v>0</v>
      </c>
      <c r="BT166" s="29">
        <f t="shared" si="133"/>
        <v>0</v>
      </c>
      <c r="BU166" s="29">
        <f t="shared" si="133"/>
        <v>0</v>
      </c>
      <c r="BV166" s="29">
        <f t="shared" si="133"/>
        <v>0</v>
      </c>
      <c r="BW166" s="29">
        <f t="shared" si="133"/>
        <v>0</v>
      </c>
      <c r="BX166" s="29">
        <f t="shared" si="133"/>
        <v>0</v>
      </c>
      <c r="BY166" s="29">
        <f t="shared" si="133"/>
        <v>0</v>
      </c>
      <c r="BZ166" s="29">
        <f t="shared" si="133"/>
        <v>0</v>
      </c>
      <c r="CA166" s="29">
        <f t="shared" si="133"/>
        <v>0</v>
      </c>
      <c r="CB166" s="29">
        <f t="shared" si="133"/>
        <v>0</v>
      </c>
      <c r="CC166" s="29">
        <f t="shared" si="133"/>
        <v>0</v>
      </c>
      <c r="CD166" s="29">
        <f t="shared" si="133"/>
        <v>0</v>
      </c>
      <c r="CE166" s="29">
        <f t="shared" si="133"/>
        <v>0</v>
      </c>
      <c r="CF166" s="29">
        <f t="shared" si="133"/>
        <v>0</v>
      </c>
      <c r="CG166" s="29">
        <f t="shared" si="133"/>
        <v>0</v>
      </c>
      <c r="CH166" s="29">
        <f t="shared" si="133"/>
        <v>0</v>
      </c>
    </row>
    <row r="167" spans="2:86" ht="13" hidden="1" outlineLevel="1">
      <c r="B167" s="84">
        <f t="shared" si="71"/>
        <v>64</v>
      </c>
      <c r="C167" s="64">
        <f t="shared" ca="1" si="69"/>
        <v>0.49521884822756768</v>
      </c>
      <c r="D167" s="15" t="s">
        <v>238</v>
      </c>
      <c r="E167" s="29">
        <f t="shared" ca="1" si="59"/>
        <v>164639583.33333331</v>
      </c>
      <c r="F167" s="29"/>
      <c r="G167" s="29">
        <f t="shared" ref="G167:CH167" ca="1" si="134">IF(G$4&lt;=$B167,ABS(G$31)*-1+G$47,0)+IF($B167=G$4,G$81,0)</f>
        <v>-1444375</v>
      </c>
      <c r="H167" s="29">
        <f t="shared" ca="1" si="134"/>
        <v>-1344375</v>
      </c>
      <c r="I167" s="29">
        <f t="shared" ca="1" si="134"/>
        <v>-1344375</v>
      </c>
      <c r="J167" s="29">
        <f t="shared" ca="1" si="134"/>
        <v>-1344375</v>
      </c>
      <c r="K167" s="29">
        <f t="shared" ca="1" si="134"/>
        <v>-1344375</v>
      </c>
      <c r="L167" s="29">
        <f t="shared" ca="1" si="134"/>
        <v>-1344375</v>
      </c>
      <c r="M167" s="29">
        <f t="shared" ca="1" si="134"/>
        <v>-1344375</v>
      </c>
      <c r="N167" s="29">
        <f t="shared" ca="1" si="134"/>
        <v>-1344375</v>
      </c>
      <c r="O167" s="29">
        <f t="shared" ca="1" si="134"/>
        <v>-1344375</v>
      </c>
      <c r="P167" s="29">
        <f t="shared" ca="1" si="134"/>
        <v>-1344375</v>
      </c>
      <c r="Q167" s="29">
        <f t="shared" ca="1" si="134"/>
        <v>-1344375</v>
      </c>
      <c r="R167" s="29">
        <f t="shared" ca="1" si="134"/>
        <v>-1344375</v>
      </c>
      <c r="S167" s="29">
        <f t="shared" ca="1" si="134"/>
        <v>-534270.83333333279</v>
      </c>
      <c r="T167" s="29">
        <f t="shared" ca="1" si="134"/>
        <v>-534270.83333333279</v>
      </c>
      <c r="U167" s="29">
        <f t="shared" ca="1" si="134"/>
        <v>-534270.83333333279</v>
      </c>
      <c r="V167" s="29">
        <f t="shared" ca="1" si="134"/>
        <v>-534270.83333333279</v>
      </c>
      <c r="W167" s="29">
        <f t="shared" ca="1" si="134"/>
        <v>2385312.5000000009</v>
      </c>
      <c r="X167" s="29">
        <f t="shared" ca="1" si="134"/>
        <v>2385312.5000000009</v>
      </c>
      <c r="Y167" s="29">
        <f t="shared" ca="1" si="134"/>
        <v>2385312.5000000009</v>
      </c>
      <c r="Z167" s="29">
        <f t="shared" ca="1" si="134"/>
        <v>2235979.166666667</v>
      </c>
      <c r="AA167" s="29">
        <f t="shared" ca="1" si="134"/>
        <v>2148333.333333334</v>
      </c>
      <c r="AB167" s="29">
        <f t="shared" ca="1" si="134"/>
        <v>2148333.333333334</v>
      </c>
      <c r="AC167" s="29">
        <f t="shared" ca="1" si="134"/>
        <v>2148333.333333334</v>
      </c>
      <c r="AD167" s="29">
        <f t="shared" ca="1" si="134"/>
        <v>2148333.3333333344</v>
      </c>
      <c r="AE167" s="29">
        <f t="shared" ca="1" si="134"/>
        <v>11248708.333333332</v>
      </c>
      <c r="AF167" s="29">
        <f t="shared" ca="1" si="134"/>
        <v>11248708.333333332</v>
      </c>
      <c r="AG167" s="29">
        <f t="shared" ca="1" si="134"/>
        <v>11248708.333333332</v>
      </c>
      <c r="AH167" s="29">
        <f t="shared" ca="1" si="134"/>
        <v>11248708.333333332</v>
      </c>
      <c r="AI167" s="29">
        <f t="shared" ca="1" si="134"/>
        <v>10452583.333333332</v>
      </c>
      <c r="AJ167" s="29">
        <f t="shared" ca="1" si="134"/>
        <v>10452583.333333332</v>
      </c>
      <c r="AK167" s="29">
        <f t="shared" ca="1" si="134"/>
        <v>10452583.333333332</v>
      </c>
      <c r="AL167" s="29">
        <f t="shared" ca="1" si="134"/>
        <v>10452583.333333332</v>
      </c>
      <c r="AM167" s="29">
        <f t="shared" ca="1" si="134"/>
        <v>9014374.9999999981</v>
      </c>
      <c r="AN167" s="29">
        <f t="shared" ca="1" si="134"/>
        <v>9014374.9999999981</v>
      </c>
      <c r="AO167" s="29">
        <f t="shared" ca="1" si="134"/>
        <v>9014374.9999999981</v>
      </c>
      <c r="AP167" s="29">
        <f t="shared" ca="1" si="134"/>
        <v>9014374.9999999981</v>
      </c>
      <c r="AQ167" s="29">
        <f t="shared" ca="1" si="134"/>
        <v>10540312.499999996</v>
      </c>
      <c r="AR167" s="29">
        <f t="shared" ca="1" si="134"/>
        <v>10540312.499999996</v>
      </c>
      <c r="AS167" s="29">
        <f t="shared" ca="1" si="134"/>
        <v>10540312.499999996</v>
      </c>
      <c r="AT167" s="29">
        <f t="shared" ca="1" si="134"/>
        <v>10540312.499999996</v>
      </c>
      <c r="AU167" s="29">
        <f t="shared" ca="1" si="134"/>
        <v>0</v>
      </c>
      <c r="AV167" s="29">
        <f t="shared" ca="1" si="134"/>
        <v>0</v>
      </c>
      <c r="AW167" s="29">
        <f t="shared" ca="1" si="134"/>
        <v>0</v>
      </c>
      <c r="AX167" s="29">
        <f t="shared" ca="1" si="134"/>
        <v>0</v>
      </c>
      <c r="AY167" s="29">
        <f t="shared" ca="1" si="134"/>
        <v>0</v>
      </c>
      <c r="AZ167" s="29">
        <f t="shared" ca="1" si="134"/>
        <v>0</v>
      </c>
      <c r="BA167" s="29">
        <f t="shared" ca="1" si="134"/>
        <v>0</v>
      </c>
      <c r="BB167" s="29">
        <f t="shared" ca="1" si="134"/>
        <v>0</v>
      </c>
      <c r="BC167" s="29">
        <f t="shared" ca="1" si="134"/>
        <v>0</v>
      </c>
      <c r="BD167" s="29">
        <f t="shared" ca="1" si="134"/>
        <v>0</v>
      </c>
      <c r="BE167" s="29">
        <f t="shared" ca="1" si="134"/>
        <v>0</v>
      </c>
      <c r="BF167" s="29">
        <f t="shared" ca="1" si="134"/>
        <v>0</v>
      </c>
      <c r="BG167" s="29">
        <f t="shared" ca="1" si="134"/>
        <v>0</v>
      </c>
      <c r="BH167" s="29">
        <f t="shared" ca="1" si="134"/>
        <v>0</v>
      </c>
      <c r="BI167" s="29">
        <f t="shared" ca="1" si="134"/>
        <v>0</v>
      </c>
      <c r="BJ167" s="29">
        <f t="shared" ca="1" si="134"/>
        <v>0</v>
      </c>
      <c r="BK167" s="29">
        <f t="shared" ca="1" si="134"/>
        <v>0</v>
      </c>
      <c r="BL167" s="29">
        <f t="shared" ca="1" si="134"/>
        <v>0</v>
      </c>
      <c r="BM167" s="29">
        <f t="shared" ca="1" si="134"/>
        <v>0</v>
      </c>
      <c r="BN167" s="29">
        <f t="shared" ca="1" si="134"/>
        <v>0</v>
      </c>
      <c r="BO167" s="29">
        <f t="shared" ca="1" si="134"/>
        <v>0</v>
      </c>
      <c r="BP167" s="29">
        <f t="shared" ca="1" si="134"/>
        <v>0</v>
      </c>
      <c r="BQ167" s="29">
        <f t="shared" ca="1" si="134"/>
        <v>0</v>
      </c>
      <c r="BR167" s="29">
        <f t="shared" ca="1" si="134"/>
        <v>0</v>
      </c>
      <c r="BS167" s="29">
        <f t="shared" si="134"/>
        <v>0</v>
      </c>
      <c r="BT167" s="29">
        <f t="shared" si="134"/>
        <v>0</v>
      </c>
      <c r="BU167" s="29">
        <f t="shared" si="134"/>
        <v>0</v>
      </c>
      <c r="BV167" s="29">
        <f t="shared" si="134"/>
        <v>0</v>
      </c>
      <c r="BW167" s="29">
        <f t="shared" si="134"/>
        <v>0</v>
      </c>
      <c r="BX167" s="29">
        <f t="shared" si="134"/>
        <v>0</v>
      </c>
      <c r="BY167" s="29">
        <f t="shared" si="134"/>
        <v>0</v>
      </c>
      <c r="BZ167" s="29">
        <f t="shared" si="134"/>
        <v>0</v>
      </c>
      <c r="CA167" s="29">
        <f t="shared" si="134"/>
        <v>0</v>
      </c>
      <c r="CB167" s="29">
        <f t="shared" si="134"/>
        <v>0</v>
      </c>
      <c r="CC167" s="29">
        <f t="shared" si="134"/>
        <v>0</v>
      </c>
      <c r="CD167" s="29">
        <f t="shared" si="134"/>
        <v>0</v>
      </c>
      <c r="CE167" s="29">
        <f t="shared" si="134"/>
        <v>0</v>
      </c>
      <c r="CF167" s="29">
        <f t="shared" si="134"/>
        <v>0</v>
      </c>
      <c r="CG167" s="29">
        <f t="shared" si="134"/>
        <v>0</v>
      </c>
      <c r="CH167" s="29">
        <f t="shared" si="134"/>
        <v>0</v>
      </c>
    </row>
    <row r="168" spans="2:86" ht="13" hidden="1" outlineLevel="1">
      <c r="B168" s="84">
        <f t="shared" si="71"/>
        <v>65</v>
      </c>
      <c r="C168" s="64">
        <f t="shared" ca="1" si="69"/>
        <v>0.49521884822756768</v>
      </c>
      <c r="D168" s="15" t="s">
        <v>238</v>
      </c>
      <c r="E168" s="29">
        <f t="shared" ca="1" si="59"/>
        <v>164639583.33333331</v>
      </c>
      <c r="F168" s="29"/>
      <c r="G168" s="29">
        <f t="shared" ref="G168:CH168" ca="1" si="135">IF(G$4&lt;=$B168,ABS(G$31)*-1+G$47,0)+IF($B168=G$4,G$81,0)</f>
        <v>-1444375</v>
      </c>
      <c r="H168" s="29">
        <f t="shared" ca="1" si="135"/>
        <v>-1344375</v>
      </c>
      <c r="I168" s="29">
        <f t="shared" ca="1" si="135"/>
        <v>-1344375</v>
      </c>
      <c r="J168" s="29">
        <f t="shared" ca="1" si="135"/>
        <v>-1344375</v>
      </c>
      <c r="K168" s="29">
        <f t="shared" ca="1" si="135"/>
        <v>-1344375</v>
      </c>
      <c r="L168" s="29">
        <f t="shared" ca="1" si="135"/>
        <v>-1344375</v>
      </c>
      <c r="M168" s="29">
        <f t="shared" ca="1" si="135"/>
        <v>-1344375</v>
      </c>
      <c r="N168" s="29">
        <f t="shared" ca="1" si="135"/>
        <v>-1344375</v>
      </c>
      <c r="O168" s="29">
        <f t="shared" ca="1" si="135"/>
        <v>-1344375</v>
      </c>
      <c r="P168" s="29">
        <f t="shared" ca="1" si="135"/>
        <v>-1344375</v>
      </c>
      <c r="Q168" s="29">
        <f t="shared" ca="1" si="135"/>
        <v>-1344375</v>
      </c>
      <c r="R168" s="29">
        <f t="shared" ca="1" si="135"/>
        <v>-1344375</v>
      </c>
      <c r="S168" s="29">
        <f t="shared" ca="1" si="135"/>
        <v>-534270.83333333279</v>
      </c>
      <c r="T168" s="29">
        <f t="shared" ca="1" si="135"/>
        <v>-534270.83333333279</v>
      </c>
      <c r="U168" s="29">
        <f t="shared" ca="1" si="135"/>
        <v>-534270.83333333279</v>
      </c>
      <c r="V168" s="29">
        <f t="shared" ca="1" si="135"/>
        <v>-534270.83333333279</v>
      </c>
      <c r="W168" s="29">
        <f t="shared" ca="1" si="135"/>
        <v>2385312.5000000009</v>
      </c>
      <c r="X168" s="29">
        <f t="shared" ca="1" si="135"/>
        <v>2385312.5000000009</v>
      </c>
      <c r="Y168" s="29">
        <f t="shared" ca="1" si="135"/>
        <v>2385312.5000000009</v>
      </c>
      <c r="Z168" s="29">
        <f t="shared" ca="1" si="135"/>
        <v>2235979.166666667</v>
      </c>
      <c r="AA168" s="29">
        <f t="shared" ca="1" si="135"/>
        <v>2148333.333333334</v>
      </c>
      <c r="AB168" s="29">
        <f t="shared" ca="1" si="135"/>
        <v>2148333.333333334</v>
      </c>
      <c r="AC168" s="29">
        <f t="shared" ca="1" si="135"/>
        <v>2148333.333333334</v>
      </c>
      <c r="AD168" s="29">
        <f t="shared" ca="1" si="135"/>
        <v>2148333.3333333344</v>
      </c>
      <c r="AE168" s="29">
        <f t="shared" ca="1" si="135"/>
        <v>11248708.333333332</v>
      </c>
      <c r="AF168" s="29">
        <f t="shared" ca="1" si="135"/>
        <v>11248708.333333332</v>
      </c>
      <c r="AG168" s="29">
        <f t="shared" ca="1" si="135"/>
        <v>11248708.333333332</v>
      </c>
      <c r="AH168" s="29">
        <f t="shared" ca="1" si="135"/>
        <v>11248708.333333332</v>
      </c>
      <c r="AI168" s="29">
        <f t="shared" ca="1" si="135"/>
        <v>10452583.333333332</v>
      </c>
      <c r="AJ168" s="29">
        <f t="shared" ca="1" si="135"/>
        <v>10452583.333333332</v>
      </c>
      <c r="AK168" s="29">
        <f t="shared" ca="1" si="135"/>
        <v>10452583.333333332</v>
      </c>
      <c r="AL168" s="29">
        <f t="shared" ca="1" si="135"/>
        <v>10452583.333333332</v>
      </c>
      <c r="AM168" s="29">
        <f t="shared" ca="1" si="135"/>
        <v>9014374.9999999981</v>
      </c>
      <c r="AN168" s="29">
        <f t="shared" ca="1" si="135"/>
        <v>9014374.9999999981</v>
      </c>
      <c r="AO168" s="29">
        <f t="shared" ca="1" si="135"/>
        <v>9014374.9999999981</v>
      </c>
      <c r="AP168" s="29">
        <f t="shared" ca="1" si="135"/>
        <v>9014374.9999999981</v>
      </c>
      <c r="AQ168" s="29">
        <f t="shared" ca="1" si="135"/>
        <v>10540312.499999996</v>
      </c>
      <c r="AR168" s="29">
        <f t="shared" ca="1" si="135"/>
        <v>10540312.499999996</v>
      </c>
      <c r="AS168" s="29">
        <f t="shared" ca="1" si="135"/>
        <v>10540312.499999996</v>
      </c>
      <c r="AT168" s="29">
        <f t="shared" ca="1" si="135"/>
        <v>10540312.499999996</v>
      </c>
      <c r="AU168" s="29">
        <f t="shared" ca="1" si="135"/>
        <v>0</v>
      </c>
      <c r="AV168" s="29">
        <f t="shared" ca="1" si="135"/>
        <v>0</v>
      </c>
      <c r="AW168" s="29">
        <f t="shared" ca="1" si="135"/>
        <v>0</v>
      </c>
      <c r="AX168" s="29">
        <f t="shared" ca="1" si="135"/>
        <v>0</v>
      </c>
      <c r="AY168" s="29">
        <f t="shared" ca="1" si="135"/>
        <v>0</v>
      </c>
      <c r="AZ168" s="29">
        <f t="shared" ca="1" si="135"/>
        <v>0</v>
      </c>
      <c r="BA168" s="29">
        <f t="shared" ca="1" si="135"/>
        <v>0</v>
      </c>
      <c r="BB168" s="29">
        <f t="shared" ca="1" si="135"/>
        <v>0</v>
      </c>
      <c r="BC168" s="29">
        <f t="shared" ca="1" si="135"/>
        <v>0</v>
      </c>
      <c r="BD168" s="29">
        <f t="shared" ca="1" si="135"/>
        <v>0</v>
      </c>
      <c r="BE168" s="29">
        <f t="shared" ca="1" si="135"/>
        <v>0</v>
      </c>
      <c r="BF168" s="29">
        <f t="shared" ca="1" si="135"/>
        <v>0</v>
      </c>
      <c r="BG168" s="29">
        <f t="shared" ca="1" si="135"/>
        <v>0</v>
      </c>
      <c r="BH168" s="29">
        <f t="shared" ca="1" si="135"/>
        <v>0</v>
      </c>
      <c r="BI168" s="29">
        <f t="shared" ca="1" si="135"/>
        <v>0</v>
      </c>
      <c r="BJ168" s="29">
        <f t="shared" ca="1" si="135"/>
        <v>0</v>
      </c>
      <c r="BK168" s="29">
        <f t="shared" ca="1" si="135"/>
        <v>0</v>
      </c>
      <c r="BL168" s="29">
        <f t="shared" ca="1" si="135"/>
        <v>0</v>
      </c>
      <c r="BM168" s="29">
        <f t="shared" ca="1" si="135"/>
        <v>0</v>
      </c>
      <c r="BN168" s="29">
        <f t="shared" ca="1" si="135"/>
        <v>0</v>
      </c>
      <c r="BO168" s="29">
        <f t="shared" ca="1" si="135"/>
        <v>0</v>
      </c>
      <c r="BP168" s="29">
        <f t="shared" ca="1" si="135"/>
        <v>0</v>
      </c>
      <c r="BQ168" s="29">
        <f t="shared" ca="1" si="135"/>
        <v>0</v>
      </c>
      <c r="BR168" s="29">
        <f t="shared" ca="1" si="135"/>
        <v>0</v>
      </c>
      <c r="BS168" s="29">
        <f t="shared" ca="1" si="135"/>
        <v>0</v>
      </c>
      <c r="BT168" s="29">
        <f t="shared" si="135"/>
        <v>0</v>
      </c>
      <c r="BU168" s="29">
        <f t="shared" si="135"/>
        <v>0</v>
      </c>
      <c r="BV168" s="29">
        <f t="shared" si="135"/>
        <v>0</v>
      </c>
      <c r="BW168" s="29">
        <f t="shared" si="135"/>
        <v>0</v>
      </c>
      <c r="BX168" s="29">
        <f t="shared" si="135"/>
        <v>0</v>
      </c>
      <c r="BY168" s="29">
        <f t="shared" si="135"/>
        <v>0</v>
      </c>
      <c r="BZ168" s="29">
        <f t="shared" si="135"/>
        <v>0</v>
      </c>
      <c r="CA168" s="29">
        <f t="shared" si="135"/>
        <v>0</v>
      </c>
      <c r="CB168" s="29">
        <f t="shared" si="135"/>
        <v>0</v>
      </c>
      <c r="CC168" s="29">
        <f t="shared" si="135"/>
        <v>0</v>
      </c>
      <c r="CD168" s="29">
        <f t="shared" si="135"/>
        <v>0</v>
      </c>
      <c r="CE168" s="29">
        <f t="shared" si="135"/>
        <v>0</v>
      </c>
      <c r="CF168" s="29">
        <f t="shared" si="135"/>
        <v>0</v>
      </c>
      <c r="CG168" s="29">
        <f t="shared" si="135"/>
        <v>0</v>
      </c>
      <c r="CH168" s="29">
        <f t="shared" si="135"/>
        <v>0</v>
      </c>
    </row>
    <row r="169" spans="2:86" ht="13" hidden="1" outlineLevel="1">
      <c r="B169" s="84">
        <f t="shared" si="71"/>
        <v>66</v>
      </c>
      <c r="C169" s="64">
        <f t="shared" ca="1" si="69"/>
        <v>0.49521884822756768</v>
      </c>
      <c r="D169" s="15" t="s">
        <v>238</v>
      </c>
      <c r="E169" s="29">
        <f t="shared" ca="1" si="59"/>
        <v>164639583.33333331</v>
      </c>
      <c r="F169" s="29"/>
      <c r="G169" s="29">
        <f t="shared" ref="G169:CH169" ca="1" si="136">IF(G$4&lt;=$B169,ABS(G$31)*-1+G$47,0)+IF($B169=G$4,G$81,0)</f>
        <v>-1444375</v>
      </c>
      <c r="H169" s="29">
        <f t="shared" ca="1" si="136"/>
        <v>-1344375</v>
      </c>
      <c r="I169" s="29">
        <f t="shared" ca="1" si="136"/>
        <v>-1344375</v>
      </c>
      <c r="J169" s="29">
        <f t="shared" ca="1" si="136"/>
        <v>-1344375</v>
      </c>
      <c r="K169" s="29">
        <f t="shared" ca="1" si="136"/>
        <v>-1344375</v>
      </c>
      <c r="L169" s="29">
        <f t="shared" ca="1" si="136"/>
        <v>-1344375</v>
      </c>
      <c r="M169" s="29">
        <f t="shared" ca="1" si="136"/>
        <v>-1344375</v>
      </c>
      <c r="N169" s="29">
        <f t="shared" ca="1" si="136"/>
        <v>-1344375</v>
      </c>
      <c r="O169" s="29">
        <f t="shared" ca="1" si="136"/>
        <v>-1344375</v>
      </c>
      <c r="P169" s="29">
        <f t="shared" ca="1" si="136"/>
        <v>-1344375</v>
      </c>
      <c r="Q169" s="29">
        <f t="shared" ca="1" si="136"/>
        <v>-1344375</v>
      </c>
      <c r="R169" s="29">
        <f t="shared" ca="1" si="136"/>
        <v>-1344375</v>
      </c>
      <c r="S169" s="29">
        <f t="shared" ca="1" si="136"/>
        <v>-534270.83333333279</v>
      </c>
      <c r="T169" s="29">
        <f t="shared" ca="1" si="136"/>
        <v>-534270.83333333279</v>
      </c>
      <c r="U169" s="29">
        <f t="shared" ca="1" si="136"/>
        <v>-534270.83333333279</v>
      </c>
      <c r="V169" s="29">
        <f t="shared" ca="1" si="136"/>
        <v>-534270.83333333279</v>
      </c>
      <c r="W169" s="29">
        <f t="shared" ca="1" si="136"/>
        <v>2385312.5000000009</v>
      </c>
      <c r="X169" s="29">
        <f t="shared" ca="1" si="136"/>
        <v>2385312.5000000009</v>
      </c>
      <c r="Y169" s="29">
        <f t="shared" ca="1" si="136"/>
        <v>2385312.5000000009</v>
      </c>
      <c r="Z169" s="29">
        <f t="shared" ca="1" si="136"/>
        <v>2235979.166666667</v>
      </c>
      <c r="AA169" s="29">
        <f t="shared" ca="1" si="136"/>
        <v>2148333.333333334</v>
      </c>
      <c r="AB169" s="29">
        <f t="shared" ca="1" si="136"/>
        <v>2148333.333333334</v>
      </c>
      <c r="AC169" s="29">
        <f t="shared" ca="1" si="136"/>
        <v>2148333.333333334</v>
      </c>
      <c r="AD169" s="29">
        <f t="shared" ca="1" si="136"/>
        <v>2148333.3333333344</v>
      </c>
      <c r="AE169" s="29">
        <f t="shared" ca="1" si="136"/>
        <v>11248708.333333332</v>
      </c>
      <c r="AF169" s="29">
        <f t="shared" ca="1" si="136"/>
        <v>11248708.333333332</v>
      </c>
      <c r="AG169" s="29">
        <f t="shared" ca="1" si="136"/>
        <v>11248708.333333332</v>
      </c>
      <c r="AH169" s="29">
        <f t="shared" ca="1" si="136"/>
        <v>11248708.333333332</v>
      </c>
      <c r="AI169" s="29">
        <f t="shared" ca="1" si="136"/>
        <v>10452583.333333332</v>
      </c>
      <c r="AJ169" s="29">
        <f t="shared" ca="1" si="136"/>
        <v>10452583.333333332</v>
      </c>
      <c r="AK169" s="29">
        <f t="shared" ca="1" si="136"/>
        <v>10452583.333333332</v>
      </c>
      <c r="AL169" s="29">
        <f t="shared" ca="1" si="136"/>
        <v>10452583.333333332</v>
      </c>
      <c r="AM169" s="29">
        <f t="shared" ca="1" si="136"/>
        <v>9014374.9999999981</v>
      </c>
      <c r="AN169" s="29">
        <f t="shared" ca="1" si="136"/>
        <v>9014374.9999999981</v>
      </c>
      <c r="AO169" s="29">
        <f t="shared" ca="1" si="136"/>
        <v>9014374.9999999981</v>
      </c>
      <c r="AP169" s="29">
        <f t="shared" ca="1" si="136"/>
        <v>9014374.9999999981</v>
      </c>
      <c r="AQ169" s="29">
        <f t="shared" ca="1" si="136"/>
        <v>10540312.499999996</v>
      </c>
      <c r="AR169" s="29">
        <f t="shared" ca="1" si="136"/>
        <v>10540312.499999996</v>
      </c>
      <c r="AS169" s="29">
        <f t="shared" ca="1" si="136"/>
        <v>10540312.499999996</v>
      </c>
      <c r="AT169" s="29">
        <f t="shared" ca="1" si="136"/>
        <v>10540312.499999996</v>
      </c>
      <c r="AU169" s="29">
        <f t="shared" ca="1" si="136"/>
        <v>0</v>
      </c>
      <c r="AV169" s="29">
        <f t="shared" ca="1" si="136"/>
        <v>0</v>
      </c>
      <c r="AW169" s="29">
        <f t="shared" ca="1" si="136"/>
        <v>0</v>
      </c>
      <c r="AX169" s="29">
        <f t="shared" ca="1" si="136"/>
        <v>0</v>
      </c>
      <c r="AY169" s="29">
        <f t="shared" ca="1" si="136"/>
        <v>0</v>
      </c>
      <c r="AZ169" s="29">
        <f t="shared" ca="1" si="136"/>
        <v>0</v>
      </c>
      <c r="BA169" s="29">
        <f t="shared" ca="1" si="136"/>
        <v>0</v>
      </c>
      <c r="BB169" s="29">
        <f t="shared" ca="1" si="136"/>
        <v>0</v>
      </c>
      <c r="BC169" s="29">
        <f t="shared" ca="1" si="136"/>
        <v>0</v>
      </c>
      <c r="BD169" s="29">
        <f t="shared" ca="1" si="136"/>
        <v>0</v>
      </c>
      <c r="BE169" s="29">
        <f t="shared" ca="1" si="136"/>
        <v>0</v>
      </c>
      <c r="BF169" s="29">
        <f t="shared" ca="1" si="136"/>
        <v>0</v>
      </c>
      <c r="BG169" s="29">
        <f t="shared" ca="1" si="136"/>
        <v>0</v>
      </c>
      <c r="BH169" s="29">
        <f t="shared" ca="1" si="136"/>
        <v>0</v>
      </c>
      <c r="BI169" s="29">
        <f t="shared" ca="1" si="136"/>
        <v>0</v>
      </c>
      <c r="BJ169" s="29">
        <f t="shared" ca="1" si="136"/>
        <v>0</v>
      </c>
      <c r="BK169" s="29">
        <f t="shared" ca="1" si="136"/>
        <v>0</v>
      </c>
      <c r="BL169" s="29">
        <f t="shared" ca="1" si="136"/>
        <v>0</v>
      </c>
      <c r="BM169" s="29">
        <f t="shared" ca="1" si="136"/>
        <v>0</v>
      </c>
      <c r="BN169" s="29">
        <f t="shared" ca="1" si="136"/>
        <v>0</v>
      </c>
      <c r="BO169" s="29">
        <f t="shared" ca="1" si="136"/>
        <v>0</v>
      </c>
      <c r="BP169" s="29">
        <f t="shared" ca="1" si="136"/>
        <v>0</v>
      </c>
      <c r="BQ169" s="29">
        <f t="shared" ca="1" si="136"/>
        <v>0</v>
      </c>
      <c r="BR169" s="29">
        <f t="shared" ca="1" si="136"/>
        <v>0</v>
      </c>
      <c r="BS169" s="29">
        <f t="shared" ca="1" si="136"/>
        <v>0</v>
      </c>
      <c r="BT169" s="29">
        <f t="shared" ca="1" si="136"/>
        <v>0</v>
      </c>
      <c r="BU169" s="29">
        <f t="shared" si="136"/>
        <v>0</v>
      </c>
      <c r="BV169" s="29">
        <f t="shared" si="136"/>
        <v>0</v>
      </c>
      <c r="BW169" s="29">
        <f t="shared" si="136"/>
        <v>0</v>
      </c>
      <c r="BX169" s="29">
        <f t="shared" si="136"/>
        <v>0</v>
      </c>
      <c r="BY169" s="29">
        <f t="shared" si="136"/>
        <v>0</v>
      </c>
      <c r="BZ169" s="29">
        <f t="shared" si="136"/>
        <v>0</v>
      </c>
      <c r="CA169" s="29">
        <f t="shared" si="136"/>
        <v>0</v>
      </c>
      <c r="CB169" s="29">
        <f t="shared" si="136"/>
        <v>0</v>
      </c>
      <c r="CC169" s="29">
        <f t="shared" si="136"/>
        <v>0</v>
      </c>
      <c r="CD169" s="29">
        <f t="shared" si="136"/>
        <v>0</v>
      </c>
      <c r="CE169" s="29">
        <f t="shared" si="136"/>
        <v>0</v>
      </c>
      <c r="CF169" s="29">
        <f t="shared" si="136"/>
        <v>0</v>
      </c>
      <c r="CG169" s="29">
        <f t="shared" si="136"/>
        <v>0</v>
      </c>
      <c r="CH169" s="29">
        <f t="shared" si="136"/>
        <v>0</v>
      </c>
    </row>
    <row r="170" spans="2:86" ht="13" hidden="1" outlineLevel="1">
      <c r="B170" s="84">
        <f t="shared" si="71"/>
        <v>67</v>
      </c>
      <c r="C170" s="64">
        <f t="shared" ca="1" si="69"/>
        <v>0.49521884822756768</v>
      </c>
      <c r="D170" s="15" t="s">
        <v>238</v>
      </c>
      <c r="E170" s="29">
        <f t="shared" ca="1" si="59"/>
        <v>164639583.33333331</v>
      </c>
      <c r="F170" s="29"/>
      <c r="G170" s="29">
        <f t="shared" ref="G170:CH170" ca="1" si="137">IF(G$4&lt;=$B170,ABS(G$31)*-1+G$47,0)+IF($B170=G$4,G$81,0)</f>
        <v>-1444375</v>
      </c>
      <c r="H170" s="29">
        <f t="shared" ca="1" si="137"/>
        <v>-1344375</v>
      </c>
      <c r="I170" s="29">
        <f t="shared" ca="1" si="137"/>
        <v>-1344375</v>
      </c>
      <c r="J170" s="29">
        <f t="shared" ca="1" si="137"/>
        <v>-1344375</v>
      </c>
      <c r="K170" s="29">
        <f t="shared" ca="1" si="137"/>
        <v>-1344375</v>
      </c>
      <c r="L170" s="29">
        <f t="shared" ca="1" si="137"/>
        <v>-1344375</v>
      </c>
      <c r="M170" s="29">
        <f t="shared" ca="1" si="137"/>
        <v>-1344375</v>
      </c>
      <c r="N170" s="29">
        <f t="shared" ca="1" si="137"/>
        <v>-1344375</v>
      </c>
      <c r="O170" s="29">
        <f t="shared" ca="1" si="137"/>
        <v>-1344375</v>
      </c>
      <c r="P170" s="29">
        <f t="shared" ca="1" si="137"/>
        <v>-1344375</v>
      </c>
      <c r="Q170" s="29">
        <f t="shared" ca="1" si="137"/>
        <v>-1344375</v>
      </c>
      <c r="R170" s="29">
        <f t="shared" ca="1" si="137"/>
        <v>-1344375</v>
      </c>
      <c r="S170" s="29">
        <f t="shared" ca="1" si="137"/>
        <v>-534270.83333333279</v>
      </c>
      <c r="T170" s="29">
        <f t="shared" ca="1" si="137"/>
        <v>-534270.83333333279</v>
      </c>
      <c r="U170" s="29">
        <f t="shared" ca="1" si="137"/>
        <v>-534270.83333333279</v>
      </c>
      <c r="V170" s="29">
        <f t="shared" ca="1" si="137"/>
        <v>-534270.83333333279</v>
      </c>
      <c r="W170" s="29">
        <f t="shared" ca="1" si="137"/>
        <v>2385312.5000000009</v>
      </c>
      <c r="X170" s="29">
        <f t="shared" ca="1" si="137"/>
        <v>2385312.5000000009</v>
      </c>
      <c r="Y170" s="29">
        <f t="shared" ca="1" si="137"/>
        <v>2385312.5000000009</v>
      </c>
      <c r="Z170" s="29">
        <f t="shared" ca="1" si="137"/>
        <v>2235979.166666667</v>
      </c>
      <c r="AA170" s="29">
        <f t="shared" ca="1" si="137"/>
        <v>2148333.333333334</v>
      </c>
      <c r="AB170" s="29">
        <f t="shared" ca="1" si="137"/>
        <v>2148333.333333334</v>
      </c>
      <c r="AC170" s="29">
        <f t="shared" ca="1" si="137"/>
        <v>2148333.333333334</v>
      </c>
      <c r="AD170" s="29">
        <f t="shared" ca="1" si="137"/>
        <v>2148333.3333333344</v>
      </c>
      <c r="AE170" s="29">
        <f t="shared" ca="1" si="137"/>
        <v>11248708.333333332</v>
      </c>
      <c r="AF170" s="29">
        <f t="shared" ca="1" si="137"/>
        <v>11248708.333333332</v>
      </c>
      <c r="AG170" s="29">
        <f t="shared" ca="1" si="137"/>
        <v>11248708.333333332</v>
      </c>
      <c r="AH170" s="29">
        <f t="shared" ca="1" si="137"/>
        <v>11248708.333333332</v>
      </c>
      <c r="AI170" s="29">
        <f t="shared" ca="1" si="137"/>
        <v>10452583.333333332</v>
      </c>
      <c r="AJ170" s="29">
        <f t="shared" ca="1" si="137"/>
        <v>10452583.333333332</v>
      </c>
      <c r="AK170" s="29">
        <f t="shared" ca="1" si="137"/>
        <v>10452583.333333332</v>
      </c>
      <c r="AL170" s="29">
        <f t="shared" ca="1" si="137"/>
        <v>10452583.333333332</v>
      </c>
      <c r="AM170" s="29">
        <f t="shared" ca="1" si="137"/>
        <v>9014374.9999999981</v>
      </c>
      <c r="AN170" s="29">
        <f t="shared" ca="1" si="137"/>
        <v>9014374.9999999981</v>
      </c>
      <c r="AO170" s="29">
        <f t="shared" ca="1" si="137"/>
        <v>9014374.9999999981</v>
      </c>
      <c r="AP170" s="29">
        <f t="shared" ca="1" si="137"/>
        <v>9014374.9999999981</v>
      </c>
      <c r="AQ170" s="29">
        <f t="shared" ca="1" si="137"/>
        <v>10540312.499999996</v>
      </c>
      <c r="AR170" s="29">
        <f t="shared" ca="1" si="137"/>
        <v>10540312.499999996</v>
      </c>
      <c r="AS170" s="29">
        <f t="shared" ca="1" si="137"/>
        <v>10540312.499999996</v>
      </c>
      <c r="AT170" s="29">
        <f t="shared" ca="1" si="137"/>
        <v>10540312.499999996</v>
      </c>
      <c r="AU170" s="29">
        <f t="shared" ca="1" si="137"/>
        <v>0</v>
      </c>
      <c r="AV170" s="29">
        <f t="shared" ca="1" si="137"/>
        <v>0</v>
      </c>
      <c r="AW170" s="29">
        <f t="shared" ca="1" si="137"/>
        <v>0</v>
      </c>
      <c r="AX170" s="29">
        <f t="shared" ca="1" si="137"/>
        <v>0</v>
      </c>
      <c r="AY170" s="29">
        <f t="shared" ca="1" si="137"/>
        <v>0</v>
      </c>
      <c r="AZ170" s="29">
        <f t="shared" ca="1" si="137"/>
        <v>0</v>
      </c>
      <c r="BA170" s="29">
        <f t="shared" ca="1" si="137"/>
        <v>0</v>
      </c>
      <c r="BB170" s="29">
        <f t="shared" ca="1" si="137"/>
        <v>0</v>
      </c>
      <c r="BC170" s="29">
        <f t="shared" ca="1" si="137"/>
        <v>0</v>
      </c>
      <c r="BD170" s="29">
        <f t="shared" ca="1" si="137"/>
        <v>0</v>
      </c>
      <c r="BE170" s="29">
        <f t="shared" ca="1" si="137"/>
        <v>0</v>
      </c>
      <c r="BF170" s="29">
        <f t="shared" ca="1" si="137"/>
        <v>0</v>
      </c>
      <c r="BG170" s="29">
        <f t="shared" ca="1" si="137"/>
        <v>0</v>
      </c>
      <c r="BH170" s="29">
        <f t="shared" ca="1" si="137"/>
        <v>0</v>
      </c>
      <c r="BI170" s="29">
        <f t="shared" ca="1" si="137"/>
        <v>0</v>
      </c>
      <c r="BJ170" s="29">
        <f t="shared" ca="1" si="137"/>
        <v>0</v>
      </c>
      <c r="BK170" s="29">
        <f t="shared" ca="1" si="137"/>
        <v>0</v>
      </c>
      <c r="BL170" s="29">
        <f t="shared" ca="1" si="137"/>
        <v>0</v>
      </c>
      <c r="BM170" s="29">
        <f t="shared" ca="1" si="137"/>
        <v>0</v>
      </c>
      <c r="BN170" s="29">
        <f t="shared" ca="1" si="137"/>
        <v>0</v>
      </c>
      <c r="BO170" s="29">
        <f t="shared" ca="1" si="137"/>
        <v>0</v>
      </c>
      <c r="BP170" s="29">
        <f t="shared" ca="1" si="137"/>
        <v>0</v>
      </c>
      <c r="BQ170" s="29">
        <f t="shared" ca="1" si="137"/>
        <v>0</v>
      </c>
      <c r="BR170" s="29">
        <f t="shared" ca="1" si="137"/>
        <v>0</v>
      </c>
      <c r="BS170" s="29">
        <f t="shared" ca="1" si="137"/>
        <v>0</v>
      </c>
      <c r="BT170" s="29">
        <f t="shared" ca="1" si="137"/>
        <v>0</v>
      </c>
      <c r="BU170" s="29">
        <f t="shared" ca="1" si="137"/>
        <v>0</v>
      </c>
      <c r="BV170" s="29">
        <f t="shared" si="137"/>
        <v>0</v>
      </c>
      <c r="BW170" s="29">
        <f t="shared" si="137"/>
        <v>0</v>
      </c>
      <c r="BX170" s="29">
        <f t="shared" si="137"/>
        <v>0</v>
      </c>
      <c r="BY170" s="29">
        <f t="shared" si="137"/>
        <v>0</v>
      </c>
      <c r="BZ170" s="29">
        <f t="shared" si="137"/>
        <v>0</v>
      </c>
      <c r="CA170" s="29">
        <f t="shared" si="137"/>
        <v>0</v>
      </c>
      <c r="CB170" s="29">
        <f t="shared" si="137"/>
        <v>0</v>
      </c>
      <c r="CC170" s="29">
        <f t="shared" si="137"/>
        <v>0</v>
      </c>
      <c r="CD170" s="29">
        <f t="shared" si="137"/>
        <v>0</v>
      </c>
      <c r="CE170" s="29">
        <f t="shared" si="137"/>
        <v>0</v>
      </c>
      <c r="CF170" s="29">
        <f t="shared" si="137"/>
        <v>0</v>
      </c>
      <c r="CG170" s="29">
        <f t="shared" si="137"/>
        <v>0</v>
      </c>
      <c r="CH170" s="29">
        <f t="shared" si="137"/>
        <v>0</v>
      </c>
    </row>
    <row r="171" spans="2:86" ht="13" hidden="1" outlineLevel="1">
      <c r="B171" s="84">
        <f t="shared" si="71"/>
        <v>68</v>
      </c>
      <c r="C171" s="64">
        <f t="shared" ca="1" si="69"/>
        <v>0.49521884822756768</v>
      </c>
      <c r="D171" s="15" t="s">
        <v>238</v>
      </c>
      <c r="E171" s="29">
        <f t="shared" ca="1" si="59"/>
        <v>164639583.33333331</v>
      </c>
      <c r="F171" s="29"/>
      <c r="G171" s="29">
        <f t="shared" ref="G171:CH171" ca="1" si="138">IF(G$4&lt;=$B171,ABS(G$31)*-1+G$47,0)+IF($B171=G$4,G$81,0)</f>
        <v>-1444375</v>
      </c>
      <c r="H171" s="29">
        <f t="shared" ca="1" si="138"/>
        <v>-1344375</v>
      </c>
      <c r="I171" s="29">
        <f t="shared" ca="1" si="138"/>
        <v>-1344375</v>
      </c>
      <c r="J171" s="29">
        <f t="shared" ca="1" si="138"/>
        <v>-1344375</v>
      </c>
      <c r="K171" s="29">
        <f t="shared" ca="1" si="138"/>
        <v>-1344375</v>
      </c>
      <c r="L171" s="29">
        <f t="shared" ca="1" si="138"/>
        <v>-1344375</v>
      </c>
      <c r="M171" s="29">
        <f t="shared" ca="1" si="138"/>
        <v>-1344375</v>
      </c>
      <c r="N171" s="29">
        <f t="shared" ca="1" si="138"/>
        <v>-1344375</v>
      </c>
      <c r="O171" s="29">
        <f t="shared" ca="1" si="138"/>
        <v>-1344375</v>
      </c>
      <c r="P171" s="29">
        <f t="shared" ca="1" si="138"/>
        <v>-1344375</v>
      </c>
      <c r="Q171" s="29">
        <f t="shared" ca="1" si="138"/>
        <v>-1344375</v>
      </c>
      <c r="R171" s="29">
        <f t="shared" ca="1" si="138"/>
        <v>-1344375</v>
      </c>
      <c r="S171" s="29">
        <f t="shared" ca="1" si="138"/>
        <v>-534270.83333333279</v>
      </c>
      <c r="T171" s="29">
        <f t="shared" ca="1" si="138"/>
        <v>-534270.83333333279</v>
      </c>
      <c r="U171" s="29">
        <f t="shared" ca="1" si="138"/>
        <v>-534270.83333333279</v>
      </c>
      <c r="V171" s="29">
        <f t="shared" ca="1" si="138"/>
        <v>-534270.83333333279</v>
      </c>
      <c r="W171" s="29">
        <f t="shared" ca="1" si="138"/>
        <v>2385312.5000000009</v>
      </c>
      <c r="X171" s="29">
        <f t="shared" ca="1" si="138"/>
        <v>2385312.5000000009</v>
      </c>
      <c r="Y171" s="29">
        <f t="shared" ca="1" si="138"/>
        <v>2385312.5000000009</v>
      </c>
      <c r="Z171" s="29">
        <f t="shared" ca="1" si="138"/>
        <v>2235979.166666667</v>
      </c>
      <c r="AA171" s="29">
        <f t="shared" ca="1" si="138"/>
        <v>2148333.333333334</v>
      </c>
      <c r="AB171" s="29">
        <f t="shared" ca="1" si="138"/>
        <v>2148333.333333334</v>
      </c>
      <c r="AC171" s="29">
        <f t="shared" ca="1" si="138"/>
        <v>2148333.333333334</v>
      </c>
      <c r="AD171" s="29">
        <f t="shared" ca="1" si="138"/>
        <v>2148333.3333333344</v>
      </c>
      <c r="AE171" s="29">
        <f t="shared" ca="1" si="138"/>
        <v>11248708.333333332</v>
      </c>
      <c r="AF171" s="29">
        <f t="shared" ca="1" si="138"/>
        <v>11248708.333333332</v>
      </c>
      <c r="AG171" s="29">
        <f t="shared" ca="1" si="138"/>
        <v>11248708.333333332</v>
      </c>
      <c r="AH171" s="29">
        <f t="shared" ca="1" si="138"/>
        <v>11248708.333333332</v>
      </c>
      <c r="AI171" s="29">
        <f t="shared" ca="1" si="138"/>
        <v>10452583.333333332</v>
      </c>
      <c r="AJ171" s="29">
        <f t="shared" ca="1" si="138"/>
        <v>10452583.333333332</v>
      </c>
      <c r="AK171" s="29">
        <f t="shared" ca="1" si="138"/>
        <v>10452583.333333332</v>
      </c>
      <c r="AL171" s="29">
        <f t="shared" ca="1" si="138"/>
        <v>10452583.333333332</v>
      </c>
      <c r="AM171" s="29">
        <f t="shared" ca="1" si="138"/>
        <v>9014374.9999999981</v>
      </c>
      <c r="AN171" s="29">
        <f t="shared" ca="1" si="138"/>
        <v>9014374.9999999981</v>
      </c>
      <c r="AO171" s="29">
        <f t="shared" ca="1" si="138"/>
        <v>9014374.9999999981</v>
      </c>
      <c r="AP171" s="29">
        <f t="shared" ca="1" si="138"/>
        <v>9014374.9999999981</v>
      </c>
      <c r="AQ171" s="29">
        <f t="shared" ca="1" si="138"/>
        <v>10540312.499999996</v>
      </c>
      <c r="AR171" s="29">
        <f t="shared" ca="1" si="138"/>
        <v>10540312.499999996</v>
      </c>
      <c r="AS171" s="29">
        <f t="shared" ca="1" si="138"/>
        <v>10540312.499999996</v>
      </c>
      <c r="AT171" s="29">
        <f t="shared" ca="1" si="138"/>
        <v>10540312.499999996</v>
      </c>
      <c r="AU171" s="29">
        <f t="shared" ca="1" si="138"/>
        <v>0</v>
      </c>
      <c r="AV171" s="29">
        <f t="shared" ca="1" si="138"/>
        <v>0</v>
      </c>
      <c r="AW171" s="29">
        <f t="shared" ca="1" si="138"/>
        <v>0</v>
      </c>
      <c r="AX171" s="29">
        <f t="shared" ca="1" si="138"/>
        <v>0</v>
      </c>
      <c r="AY171" s="29">
        <f t="shared" ca="1" si="138"/>
        <v>0</v>
      </c>
      <c r="AZ171" s="29">
        <f t="shared" ca="1" si="138"/>
        <v>0</v>
      </c>
      <c r="BA171" s="29">
        <f t="shared" ca="1" si="138"/>
        <v>0</v>
      </c>
      <c r="BB171" s="29">
        <f t="shared" ca="1" si="138"/>
        <v>0</v>
      </c>
      <c r="BC171" s="29">
        <f t="shared" ca="1" si="138"/>
        <v>0</v>
      </c>
      <c r="BD171" s="29">
        <f t="shared" ca="1" si="138"/>
        <v>0</v>
      </c>
      <c r="BE171" s="29">
        <f t="shared" ca="1" si="138"/>
        <v>0</v>
      </c>
      <c r="BF171" s="29">
        <f t="shared" ca="1" si="138"/>
        <v>0</v>
      </c>
      <c r="BG171" s="29">
        <f t="shared" ca="1" si="138"/>
        <v>0</v>
      </c>
      <c r="BH171" s="29">
        <f t="shared" ca="1" si="138"/>
        <v>0</v>
      </c>
      <c r="BI171" s="29">
        <f t="shared" ca="1" si="138"/>
        <v>0</v>
      </c>
      <c r="BJ171" s="29">
        <f t="shared" ca="1" si="138"/>
        <v>0</v>
      </c>
      <c r="BK171" s="29">
        <f t="shared" ca="1" si="138"/>
        <v>0</v>
      </c>
      <c r="BL171" s="29">
        <f t="shared" ca="1" si="138"/>
        <v>0</v>
      </c>
      <c r="BM171" s="29">
        <f t="shared" ca="1" si="138"/>
        <v>0</v>
      </c>
      <c r="BN171" s="29">
        <f t="shared" ca="1" si="138"/>
        <v>0</v>
      </c>
      <c r="BO171" s="29">
        <f t="shared" ca="1" si="138"/>
        <v>0</v>
      </c>
      <c r="BP171" s="29">
        <f t="shared" ca="1" si="138"/>
        <v>0</v>
      </c>
      <c r="BQ171" s="29">
        <f t="shared" ca="1" si="138"/>
        <v>0</v>
      </c>
      <c r="BR171" s="29">
        <f t="shared" ca="1" si="138"/>
        <v>0</v>
      </c>
      <c r="BS171" s="29">
        <f t="shared" ca="1" si="138"/>
        <v>0</v>
      </c>
      <c r="BT171" s="29">
        <f t="shared" ca="1" si="138"/>
        <v>0</v>
      </c>
      <c r="BU171" s="29">
        <f t="shared" ca="1" si="138"/>
        <v>0</v>
      </c>
      <c r="BV171" s="29">
        <f t="shared" ca="1" si="138"/>
        <v>0</v>
      </c>
      <c r="BW171" s="29">
        <f t="shared" si="138"/>
        <v>0</v>
      </c>
      <c r="BX171" s="29">
        <f t="shared" si="138"/>
        <v>0</v>
      </c>
      <c r="BY171" s="29">
        <f t="shared" si="138"/>
        <v>0</v>
      </c>
      <c r="BZ171" s="29">
        <f t="shared" si="138"/>
        <v>0</v>
      </c>
      <c r="CA171" s="29">
        <f t="shared" si="138"/>
        <v>0</v>
      </c>
      <c r="CB171" s="29">
        <f t="shared" si="138"/>
        <v>0</v>
      </c>
      <c r="CC171" s="29">
        <f t="shared" si="138"/>
        <v>0</v>
      </c>
      <c r="CD171" s="29">
        <f t="shared" si="138"/>
        <v>0</v>
      </c>
      <c r="CE171" s="29">
        <f t="shared" si="138"/>
        <v>0</v>
      </c>
      <c r="CF171" s="29">
        <f t="shared" si="138"/>
        <v>0</v>
      </c>
      <c r="CG171" s="29">
        <f t="shared" si="138"/>
        <v>0</v>
      </c>
      <c r="CH171" s="29">
        <f t="shared" si="138"/>
        <v>0</v>
      </c>
    </row>
    <row r="172" spans="2:86" ht="13" hidden="1" outlineLevel="1">
      <c r="B172" s="84">
        <f t="shared" si="71"/>
        <v>69</v>
      </c>
      <c r="C172" s="64">
        <f t="shared" ca="1" si="69"/>
        <v>0.49521884822756768</v>
      </c>
      <c r="D172" s="15" t="s">
        <v>238</v>
      </c>
      <c r="E172" s="29">
        <f t="shared" ca="1" si="59"/>
        <v>164639583.33333331</v>
      </c>
      <c r="F172" s="29"/>
      <c r="G172" s="29">
        <f t="shared" ref="G172:CH172" ca="1" si="139">IF(G$4&lt;=$B172,ABS(G$31)*-1+G$47,0)+IF($B172=G$4,G$81,0)</f>
        <v>-1444375</v>
      </c>
      <c r="H172" s="29">
        <f t="shared" ca="1" si="139"/>
        <v>-1344375</v>
      </c>
      <c r="I172" s="29">
        <f t="shared" ca="1" si="139"/>
        <v>-1344375</v>
      </c>
      <c r="J172" s="29">
        <f t="shared" ca="1" si="139"/>
        <v>-1344375</v>
      </c>
      <c r="K172" s="29">
        <f t="shared" ca="1" si="139"/>
        <v>-1344375</v>
      </c>
      <c r="L172" s="29">
        <f t="shared" ca="1" si="139"/>
        <v>-1344375</v>
      </c>
      <c r="M172" s="29">
        <f t="shared" ca="1" si="139"/>
        <v>-1344375</v>
      </c>
      <c r="N172" s="29">
        <f t="shared" ca="1" si="139"/>
        <v>-1344375</v>
      </c>
      <c r="O172" s="29">
        <f t="shared" ca="1" si="139"/>
        <v>-1344375</v>
      </c>
      <c r="P172" s="29">
        <f t="shared" ca="1" si="139"/>
        <v>-1344375</v>
      </c>
      <c r="Q172" s="29">
        <f t="shared" ca="1" si="139"/>
        <v>-1344375</v>
      </c>
      <c r="R172" s="29">
        <f t="shared" ca="1" si="139"/>
        <v>-1344375</v>
      </c>
      <c r="S172" s="29">
        <f t="shared" ca="1" si="139"/>
        <v>-534270.83333333279</v>
      </c>
      <c r="T172" s="29">
        <f t="shared" ca="1" si="139"/>
        <v>-534270.83333333279</v>
      </c>
      <c r="U172" s="29">
        <f t="shared" ca="1" si="139"/>
        <v>-534270.83333333279</v>
      </c>
      <c r="V172" s="29">
        <f t="shared" ca="1" si="139"/>
        <v>-534270.83333333279</v>
      </c>
      <c r="W172" s="29">
        <f t="shared" ca="1" si="139"/>
        <v>2385312.5000000009</v>
      </c>
      <c r="X172" s="29">
        <f t="shared" ca="1" si="139"/>
        <v>2385312.5000000009</v>
      </c>
      <c r="Y172" s="29">
        <f t="shared" ca="1" si="139"/>
        <v>2385312.5000000009</v>
      </c>
      <c r="Z172" s="29">
        <f t="shared" ca="1" si="139"/>
        <v>2235979.166666667</v>
      </c>
      <c r="AA172" s="29">
        <f t="shared" ca="1" si="139"/>
        <v>2148333.333333334</v>
      </c>
      <c r="AB172" s="29">
        <f t="shared" ca="1" si="139"/>
        <v>2148333.333333334</v>
      </c>
      <c r="AC172" s="29">
        <f t="shared" ca="1" si="139"/>
        <v>2148333.333333334</v>
      </c>
      <c r="AD172" s="29">
        <f t="shared" ca="1" si="139"/>
        <v>2148333.3333333344</v>
      </c>
      <c r="AE172" s="29">
        <f t="shared" ca="1" si="139"/>
        <v>11248708.333333332</v>
      </c>
      <c r="AF172" s="29">
        <f t="shared" ca="1" si="139"/>
        <v>11248708.333333332</v>
      </c>
      <c r="AG172" s="29">
        <f t="shared" ca="1" si="139"/>
        <v>11248708.333333332</v>
      </c>
      <c r="AH172" s="29">
        <f t="shared" ca="1" si="139"/>
        <v>11248708.333333332</v>
      </c>
      <c r="AI172" s="29">
        <f t="shared" ca="1" si="139"/>
        <v>10452583.333333332</v>
      </c>
      <c r="AJ172" s="29">
        <f t="shared" ca="1" si="139"/>
        <v>10452583.333333332</v>
      </c>
      <c r="AK172" s="29">
        <f t="shared" ca="1" si="139"/>
        <v>10452583.333333332</v>
      </c>
      <c r="AL172" s="29">
        <f t="shared" ca="1" si="139"/>
        <v>10452583.333333332</v>
      </c>
      <c r="AM172" s="29">
        <f t="shared" ca="1" si="139"/>
        <v>9014374.9999999981</v>
      </c>
      <c r="AN172" s="29">
        <f t="shared" ca="1" si="139"/>
        <v>9014374.9999999981</v>
      </c>
      <c r="AO172" s="29">
        <f t="shared" ca="1" si="139"/>
        <v>9014374.9999999981</v>
      </c>
      <c r="AP172" s="29">
        <f t="shared" ca="1" si="139"/>
        <v>9014374.9999999981</v>
      </c>
      <c r="AQ172" s="29">
        <f t="shared" ca="1" si="139"/>
        <v>10540312.499999996</v>
      </c>
      <c r="AR172" s="29">
        <f t="shared" ca="1" si="139"/>
        <v>10540312.499999996</v>
      </c>
      <c r="AS172" s="29">
        <f t="shared" ca="1" si="139"/>
        <v>10540312.499999996</v>
      </c>
      <c r="AT172" s="29">
        <f t="shared" ca="1" si="139"/>
        <v>10540312.499999996</v>
      </c>
      <c r="AU172" s="29">
        <f t="shared" ca="1" si="139"/>
        <v>0</v>
      </c>
      <c r="AV172" s="29">
        <f t="shared" ca="1" si="139"/>
        <v>0</v>
      </c>
      <c r="AW172" s="29">
        <f t="shared" ca="1" si="139"/>
        <v>0</v>
      </c>
      <c r="AX172" s="29">
        <f t="shared" ca="1" si="139"/>
        <v>0</v>
      </c>
      <c r="AY172" s="29">
        <f t="shared" ca="1" si="139"/>
        <v>0</v>
      </c>
      <c r="AZ172" s="29">
        <f t="shared" ca="1" si="139"/>
        <v>0</v>
      </c>
      <c r="BA172" s="29">
        <f t="shared" ca="1" si="139"/>
        <v>0</v>
      </c>
      <c r="BB172" s="29">
        <f t="shared" ca="1" si="139"/>
        <v>0</v>
      </c>
      <c r="BC172" s="29">
        <f t="shared" ca="1" si="139"/>
        <v>0</v>
      </c>
      <c r="BD172" s="29">
        <f t="shared" ca="1" si="139"/>
        <v>0</v>
      </c>
      <c r="BE172" s="29">
        <f t="shared" ca="1" si="139"/>
        <v>0</v>
      </c>
      <c r="BF172" s="29">
        <f t="shared" ca="1" si="139"/>
        <v>0</v>
      </c>
      <c r="BG172" s="29">
        <f t="shared" ca="1" si="139"/>
        <v>0</v>
      </c>
      <c r="BH172" s="29">
        <f t="shared" ca="1" si="139"/>
        <v>0</v>
      </c>
      <c r="BI172" s="29">
        <f t="shared" ca="1" si="139"/>
        <v>0</v>
      </c>
      <c r="BJ172" s="29">
        <f t="shared" ca="1" si="139"/>
        <v>0</v>
      </c>
      <c r="BK172" s="29">
        <f t="shared" ca="1" si="139"/>
        <v>0</v>
      </c>
      <c r="BL172" s="29">
        <f t="shared" ca="1" si="139"/>
        <v>0</v>
      </c>
      <c r="BM172" s="29">
        <f t="shared" ca="1" si="139"/>
        <v>0</v>
      </c>
      <c r="BN172" s="29">
        <f t="shared" ca="1" si="139"/>
        <v>0</v>
      </c>
      <c r="BO172" s="29">
        <f t="shared" ca="1" si="139"/>
        <v>0</v>
      </c>
      <c r="BP172" s="29">
        <f t="shared" ca="1" si="139"/>
        <v>0</v>
      </c>
      <c r="BQ172" s="29">
        <f t="shared" ca="1" si="139"/>
        <v>0</v>
      </c>
      <c r="BR172" s="29">
        <f t="shared" ca="1" si="139"/>
        <v>0</v>
      </c>
      <c r="BS172" s="29">
        <f t="shared" ca="1" si="139"/>
        <v>0</v>
      </c>
      <c r="BT172" s="29">
        <f t="shared" ca="1" si="139"/>
        <v>0</v>
      </c>
      <c r="BU172" s="29">
        <f t="shared" ca="1" si="139"/>
        <v>0</v>
      </c>
      <c r="BV172" s="29">
        <f t="shared" ca="1" si="139"/>
        <v>0</v>
      </c>
      <c r="BW172" s="29">
        <f t="shared" ca="1" si="139"/>
        <v>0</v>
      </c>
      <c r="BX172" s="29">
        <f t="shared" si="139"/>
        <v>0</v>
      </c>
      <c r="BY172" s="29">
        <f t="shared" si="139"/>
        <v>0</v>
      </c>
      <c r="BZ172" s="29">
        <f t="shared" si="139"/>
        <v>0</v>
      </c>
      <c r="CA172" s="29">
        <f t="shared" si="139"/>
        <v>0</v>
      </c>
      <c r="CB172" s="29">
        <f t="shared" si="139"/>
        <v>0</v>
      </c>
      <c r="CC172" s="29">
        <f t="shared" si="139"/>
        <v>0</v>
      </c>
      <c r="CD172" s="29">
        <f t="shared" si="139"/>
        <v>0</v>
      </c>
      <c r="CE172" s="29">
        <f t="shared" si="139"/>
        <v>0</v>
      </c>
      <c r="CF172" s="29">
        <f t="shared" si="139"/>
        <v>0</v>
      </c>
      <c r="CG172" s="29">
        <f t="shared" si="139"/>
        <v>0</v>
      </c>
      <c r="CH172" s="29">
        <f t="shared" si="139"/>
        <v>0</v>
      </c>
    </row>
    <row r="173" spans="2:86" ht="13" hidden="1" outlineLevel="1">
      <c r="B173" s="84">
        <f t="shared" si="71"/>
        <v>70</v>
      </c>
      <c r="C173" s="64">
        <f t="shared" ca="1" si="69"/>
        <v>0.49521884822756768</v>
      </c>
      <c r="D173" s="15" t="s">
        <v>238</v>
      </c>
      <c r="E173" s="29">
        <f t="shared" ca="1" si="59"/>
        <v>164639583.33333331</v>
      </c>
      <c r="F173" s="29"/>
      <c r="G173" s="29">
        <f t="shared" ref="G173:CH173" ca="1" si="140">IF(G$4&lt;=$B173,ABS(G$31)*-1+G$47,0)+IF($B173=G$4,G$81,0)</f>
        <v>-1444375</v>
      </c>
      <c r="H173" s="29">
        <f t="shared" ca="1" si="140"/>
        <v>-1344375</v>
      </c>
      <c r="I173" s="29">
        <f t="shared" ca="1" si="140"/>
        <v>-1344375</v>
      </c>
      <c r="J173" s="29">
        <f t="shared" ca="1" si="140"/>
        <v>-1344375</v>
      </c>
      <c r="K173" s="29">
        <f t="shared" ca="1" si="140"/>
        <v>-1344375</v>
      </c>
      <c r="L173" s="29">
        <f t="shared" ca="1" si="140"/>
        <v>-1344375</v>
      </c>
      <c r="M173" s="29">
        <f t="shared" ca="1" si="140"/>
        <v>-1344375</v>
      </c>
      <c r="N173" s="29">
        <f t="shared" ca="1" si="140"/>
        <v>-1344375</v>
      </c>
      <c r="O173" s="29">
        <f t="shared" ca="1" si="140"/>
        <v>-1344375</v>
      </c>
      <c r="P173" s="29">
        <f t="shared" ca="1" si="140"/>
        <v>-1344375</v>
      </c>
      <c r="Q173" s="29">
        <f t="shared" ca="1" si="140"/>
        <v>-1344375</v>
      </c>
      <c r="R173" s="29">
        <f t="shared" ca="1" si="140"/>
        <v>-1344375</v>
      </c>
      <c r="S173" s="29">
        <f t="shared" ca="1" si="140"/>
        <v>-534270.83333333279</v>
      </c>
      <c r="T173" s="29">
        <f t="shared" ca="1" si="140"/>
        <v>-534270.83333333279</v>
      </c>
      <c r="U173" s="29">
        <f t="shared" ca="1" si="140"/>
        <v>-534270.83333333279</v>
      </c>
      <c r="V173" s="29">
        <f t="shared" ca="1" si="140"/>
        <v>-534270.83333333279</v>
      </c>
      <c r="W173" s="29">
        <f t="shared" ca="1" si="140"/>
        <v>2385312.5000000009</v>
      </c>
      <c r="X173" s="29">
        <f t="shared" ca="1" si="140"/>
        <v>2385312.5000000009</v>
      </c>
      <c r="Y173" s="29">
        <f t="shared" ca="1" si="140"/>
        <v>2385312.5000000009</v>
      </c>
      <c r="Z173" s="29">
        <f t="shared" ca="1" si="140"/>
        <v>2235979.166666667</v>
      </c>
      <c r="AA173" s="29">
        <f t="shared" ca="1" si="140"/>
        <v>2148333.333333334</v>
      </c>
      <c r="AB173" s="29">
        <f t="shared" ca="1" si="140"/>
        <v>2148333.333333334</v>
      </c>
      <c r="AC173" s="29">
        <f t="shared" ca="1" si="140"/>
        <v>2148333.333333334</v>
      </c>
      <c r="AD173" s="29">
        <f t="shared" ca="1" si="140"/>
        <v>2148333.3333333344</v>
      </c>
      <c r="AE173" s="29">
        <f t="shared" ca="1" si="140"/>
        <v>11248708.333333332</v>
      </c>
      <c r="AF173" s="29">
        <f t="shared" ca="1" si="140"/>
        <v>11248708.333333332</v>
      </c>
      <c r="AG173" s="29">
        <f t="shared" ca="1" si="140"/>
        <v>11248708.333333332</v>
      </c>
      <c r="AH173" s="29">
        <f t="shared" ca="1" si="140"/>
        <v>11248708.333333332</v>
      </c>
      <c r="AI173" s="29">
        <f t="shared" ca="1" si="140"/>
        <v>10452583.333333332</v>
      </c>
      <c r="AJ173" s="29">
        <f t="shared" ca="1" si="140"/>
        <v>10452583.333333332</v>
      </c>
      <c r="AK173" s="29">
        <f t="shared" ca="1" si="140"/>
        <v>10452583.333333332</v>
      </c>
      <c r="AL173" s="29">
        <f t="shared" ca="1" si="140"/>
        <v>10452583.333333332</v>
      </c>
      <c r="AM173" s="29">
        <f t="shared" ca="1" si="140"/>
        <v>9014374.9999999981</v>
      </c>
      <c r="AN173" s="29">
        <f t="shared" ca="1" si="140"/>
        <v>9014374.9999999981</v>
      </c>
      <c r="AO173" s="29">
        <f t="shared" ca="1" si="140"/>
        <v>9014374.9999999981</v>
      </c>
      <c r="AP173" s="29">
        <f t="shared" ca="1" si="140"/>
        <v>9014374.9999999981</v>
      </c>
      <c r="AQ173" s="29">
        <f t="shared" ca="1" si="140"/>
        <v>10540312.499999996</v>
      </c>
      <c r="AR173" s="29">
        <f t="shared" ca="1" si="140"/>
        <v>10540312.499999996</v>
      </c>
      <c r="AS173" s="29">
        <f t="shared" ca="1" si="140"/>
        <v>10540312.499999996</v>
      </c>
      <c r="AT173" s="29">
        <f t="shared" ca="1" si="140"/>
        <v>10540312.499999996</v>
      </c>
      <c r="AU173" s="29">
        <f t="shared" ca="1" si="140"/>
        <v>0</v>
      </c>
      <c r="AV173" s="29">
        <f t="shared" ca="1" si="140"/>
        <v>0</v>
      </c>
      <c r="AW173" s="29">
        <f t="shared" ca="1" si="140"/>
        <v>0</v>
      </c>
      <c r="AX173" s="29">
        <f t="shared" ca="1" si="140"/>
        <v>0</v>
      </c>
      <c r="AY173" s="29">
        <f t="shared" ca="1" si="140"/>
        <v>0</v>
      </c>
      <c r="AZ173" s="29">
        <f t="shared" ca="1" si="140"/>
        <v>0</v>
      </c>
      <c r="BA173" s="29">
        <f t="shared" ca="1" si="140"/>
        <v>0</v>
      </c>
      <c r="BB173" s="29">
        <f t="shared" ca="1" si="140"/>
        <v>0</v>
      </c>
      <c r="BC173" s="29">
        <f t="shared" ca="1" si="140"/>
        <v>0</v>
      </c>
      <c r="BD173" s="29">
        <f t="shared" ca="1" si="140"/>
        <v>0</v>
      </c>
      <c r="BE173" s="29">
        <f t="shared" ca="1" si="140"/>
        <v>0</v>
      </c>
      <c r="BF173" s="29">
        <f t="shared" ca="1" si="140"/>
        <v>0</v>
      </c>
      <c r="BG173" s="29">
        <f t="shared" ca="1" si="140"/>
        <v>0</v>
      </c>
      <c r="BH173" s="29">
        <f t="shared" ca="1" si="140"/>
        <v>0</v>
      </c>
      <c r="BI173" s="29">
        <f t="shared" ca="1" si="140"/>
        <v>0</v>
      </c>
      <c r="BJ173" s="29">
        <f t="shared" ca="1" si="140"/>
        <v>0</v>
      </c>
      <c r="BK173" s="29">
        <f t="shared" ca="1" si="140"/>
        <v>0</v>
      </c>
      <c r="BL173" s="29">
        <f t="shared" ca="1" si="140"/>
        <v>0</v>
      </c>
      <c r="BM173" s="29">
        <f t="shared" ca="1" si="140"/>
        <v>0</v>
      </c>
      <c r="BN173" s="29">
        <f t="shared" ca="1" si="140"/>
        <v>0</v>
      </c>
      <c r="BO173" s="29">
        <f t="shared" ca="1" si="140"/>
        <v>0</v>
      </c>
      <c r="BP173" s="29">
        <f t="shared" ca="1" si="140"/>
        <v>0</v>
      </c>
      <c r="BQ173" s="29">
        <f t="shared" ca="1" si="140"/>
        <v>0</v>
      </c>
      <c r="BR173" s="29">
        <f t="shared" ca="1" si="140"/>
        <v>0</v>
      </c>
      <c r="BS173" s="29">
        <f t="shared" ca="1" si="140"/>
        <v>0</v>
      </c>
      <c r="BT173" s="29">
        <f t="shared" ca="1" si="140"/>
        <v>0</v>
      </c>
      <c r="BU173" s="29">
        <f t="shared" ca="1" si="140"/>
        <v>0</v>
      </c>
      <c r="BV173" s="29">
        <f t="shared" ca="1" si="140"/>
        <v>0</v>
      </c>
      <c r="BW173" s="29">
        <f t="shared" ca="1" si="140"/>
        <v>0</v>
      </c>
      <c r="BX173" s="29">
        <f t="shared" ca="1" si="140"/>
        <v>0</v>
      </c>
      <c r="BY173" s="29">
        <f t="shared" si="140"/>
        <v>0</v>
      </c>
      <c r="BZ173" s="29">
        <f t="shared" si="140"/>
        <v>0</v>
      </c>
      <c r="CA173" s="29">
        <f t="shared" si="140"/>
        <v>0</v>
      </c>
      <c r="CB173" s="29">
        <f t="shared" si="140"/>
        <v>0</v>
      </c>
      <c r="CC173" s="29">
        <f t="shared" si="140"/>
        <v>0</v>
      </c>
      <c r="CD173" s="29">
        <f t="shared" si="140"/>
        <v>0</v>
      </c>
      <c r="CE173" s="29">
        <f t="shared" si="140"/>
        <v>0</v>
      </c>
      <c r="CF173" s="29">
        <f t="shared" si="140"/>
        <v>0</v>
      </c>
      <c r="CG173" s="29">
        <f t="shared" si="140"/>
        <v>0</v>
      </c>
      <c r="CH173" s="29">
        <f t="shared" si="140"/>
        <v>0</v>
      </c>
    </row>
    <row r="174" spans="2:86" ht="13" hidden="1" outlineLevel="1">
      <c r="B174" s="84">
        <f t="shared" si="71"/>
        <v>71</v>
      </c>
      <c r="C174" s="64">
        <f t="shared" ca="1" si="69"/>
        <v>0.49521884822756768</v>
      </c>
      <c r="D174" s="15" t="s">
        <v>238</v>
      </c>
      <c r="E174" s="29">
        <f t="shared" ca="1" si="59"/>
        <v>164639583.33333331</v>
      </c>
      <c r="F174" s="29"/>
      <c r="G174" s="29">
        <f t="shared" ref="G174:CH174" ca="1" si="141">IF(G$4&lt;=$B174,ABS(G$31)*-1+G$47,0)+IF($B174=G$4,G$81,0)</f>
        <v>-1444375</v>
      </c>
      <c r="H174" s="29">
        <f t="shared" ca="1" si="141"/>
        <v>-1344375</v>
      </c>
      <c r="I174" s="29">
        <f t="shared" ca="1" si="141"/>
        <v>-1344375</v>
      </c>
      <c r="J174" s="29">
        <f t="shared" ca="1" si="141"/>
        <v>-1344375</v>
      </c>
      <c r="K174" s="29">
        <f t="shared" ca="1" si="141"/>
        <v>-1344375</v>
      </c>
      <c r="L174" s="29">
        <f t="shared" ca="1" si="141"/>
        <v>-1344375</v>
      </c>
      <c r="M174" s="29">
        <f t="shared" ca="1" si="141"/>
        <v>-1344375</v>
      </c>
      <c r="N174" s="29">
        <f t="shared" ca="1" si="141"/>
        <v>-1344375</v>
      </c>
      <c r="O174" s="29">
        <f t="shared" ca="1" si="141"/>
        <v>-1344375</v>
      </c>
      <c r="P174" s="29">
        <f t="shared" ca="1" si="141"/>
        <v>-1344375</v>
      </c>
      <c r="Q174" s="29">
        <f t="shared" ca="1" si="141"/>
        <v>-1344375</v>
      </c>
      <c r="R174" s="29">
        <f t="shared" ca="1" si="141"/>
        <v>-1344375</v>
      </c>
      <c r="S174" s="29">
        <f t="shared" ca="1" si="141"/>
        <v>-534270.83333333279</v>
      </c>
      <c r="T174" s="29">
        <f t="shared" ca="1" si="141"/>
        <v>-534270.83333333279</v>
      </c>
      <c r="U174" s="29">
        <f t="shared" ca="1" si="141"/>
        <v>-534270.83333333279</v>
      </c>
      <c r="V174" s="29">
        <f t="shared" ca="1" si="141"/>
        <v>-534270.83333333279</v>
      </c>
      <c r="W174" s="29">
        <f t="shared" ca="1" si="141"/>
        <v>2385312.5000000009</v>
      </c>
      <c r="X174" s="29">
        <f t="shared" ca="1" si="141"/>
        <v>2385312.5000000009</v>
      </c>
      <c r="Y174" s="29">
        <f t="shared" ca="1" si="141"/>
        <v>2385312.5000000009</v>
      </c>
      <c r="Z174" s="29">
        <f t="shared" ca="1" si="141"/>
        <v>2235979.166666667</v>
      </c>
      <c r="AA174" s="29">
        <f t="shared" ca="1" si="141"/>
        <v>2148333.333333334</v>
      </c>
      <c r="AB174" s="29">
        <f t="shared" ca="1" si="141"/>
        <v>2148333.333333334</v>
      </c>
      <c r="AC174" s="29">
        <f t="shared" ca="1" si="141"/>
        <v>2148333.333333334</v>
      </c>
      <c r="AD174" s="29">
        <f t="shared" ca="1" si="141"/>
        <v>2148333.3333333344</v>
      </c>
      <c r="AE174" s="29">
        <f t="shared" ca="1" si="141"/>
        <v>11248708.333333332</v>
      </c>
      <c r="AF174" s="29">
        <f t="shared" ca="1" si="141"/>
        <v>11248708.333333332</v>
      </c>
      <c r="AG174" s="29">
        <f t="shared" ca="1" si="141"/>
        <v>11248708.333333332</v>
      </c>
      <c r="AH174" s="29">
        <f t="shared" ca="1" si="141"/>
        <v>11248708.333333332</v>
      </c>
      <c r="AI174" s="29">
        <f t="shared" ca="1" si="141"/>
        <v>10452583.333333332</v>
      </c>
      <c r="AJ174" s="29">
        <f t="shared" ca="1" si="141"/>
        <v>10452583.333333332</v>
      </c>
      <c r="AK174" s="29">
        <f t="shared" ca="1" si="141"/>
        <v>10452583.333333332</v>
      </c>
      <c r="AL174" s="29">
        <f t="shared" ca="1" si="141"/>
        <v>10452583.333333332</v>
      </c>
      <c r="AM174" s="29">
        <f t="shared" ca="1" si="141"/>
        <v>9014374.9999999981</v>
      </c>
      <c r="AN174" s="29">
        <f t="shared" ca="1" si="141"/>
        <v>9014374.9999999981</v>
      </c>
      <c r="AO174" s="29">
        <f t="shared" ca="1" si="141"/>
        <v>9014374.9999999981</v>
      </c>
      <c r="AP174" s="29">
        <f t="shared" ca="1" si="141"/>
        <v>9014374.9999999981</v>
      </c>
      <c r="AQ174" s="29">
        <f t="shared" ca="1" si="141"/>
        <v>10540312.499999996</v>
      </c>
      <c r="AR174" s="29">
        <f t="shared" ca="1" si="141"/>
        <v>10540312.499999996</v>
      </c>
      <c r="AS174" s="29">
        <f t="shared" ca="1" si="141"/>
        <v>10540312.499999996</v>
      </c>
      <c r="AT174" s="29">
        <f t="shared" ca="1" si="141"/>
        <v>10540312.499999996</v>
      </c>
      <c r="AU174" s="29">
        <f t="shared" ca="1" si="141"/>
        <v>0</v>
      </c>
      <c r="AV174" s="29">
        <f t="shared" ca="1" si="141"/>
        <v>0</v>
      </c>
      <c r="AW174" s="29">
        <f t="shared" ca="1" si="141"/>
        <v>0</v>
      </c>
      <c r="AX174" s="29">
        <f t="shared" ca="1" si="141"/>
        <v>0</v>
      </c>
      <c r="AY174" s="29">
        <f t="shared" ca="1" si="141"/>
        <v>0</v>
      </c>
      <c r="AZ174" s="29">
        <f t="shared" ca="1" si="141"/>
        <v>0</v>
      </c>
      <c r="BA174" s="29">
        <f t="shared" ca="1" si="141"/>
        <v>0</v>
      </c>
      <c r="BB174" s="29">
        <f t="shared" ca="1" si="141"/>
        <v>0</v>
      </c>
      <c r="BC174" s="29">
        <f t="shared" ca="1" si="141"/>
        <v>0</v>
      </c>
      <c r="BD174" s="29">
        <f t="shared" ca="1" si="141"/>
        <v>0</v>
      </c>
      <c r="BE174" s="29">
        <f t="shared" ca="1" si="141"/>
        <v>0</v>
      </c>
      <c r="BF174" s="29">
        <f t="shared" ca="1" si="141"/>
        <v>0</v>
      </c>
      <c r="BG174" s="29">
        <f t="shared" ca="1" si="141"/>
        <v>0</v>
      </c>
      <c r="BH174" s="29">
        <f t="shared" ca="1" si="141"/>
        <v>0</v>
      </c>
      <c r="BI174" s="29">
        <f t="shared" ca="1" si="141"/>
        <v>0</v>
      </c>
      <c r="BJ174" s="29">
        <f t="shared" ca="1" si="141"/>
        <v>0</v>
      </c>
      <c r="BK174" s="29">
        <f t="shared" ca="1" si="141"/>
        <v>0</v>
      </c>
      <c r="BL174" s="29">
        <f t="shared" ca="1" si="141"/>
        <v>0</v>
      </c>
      <c r="BM174" s="29">
        <f t="shared" ca="1" si="141"/>
        <v>0</v>
      </c>
      <c r="BN174" s="29">
        <f t="shared" ca="1" si="141"/>
        <v>0</v>
      </c>
      <c r="BO174" s="29">
        <f t="shared" ca="1" si="141"/>
        <v>0</v>
      </c>
      <c r="BP174" s="29">
        <f t="shared" ca="1" si="141"/>
        <v>0</v>
      </c>
      <c r="BQ174" s="29">
        <f t="shared" ca="1" si="141"/>
        <v>0</v>
      </c>
      <c r="BR174" s="29">
        <f t="shared" ca="1" si="141"/>
        <v>0</v>
      </c>
      <c r="BS174" s="29">
        <f t="shared" ca="1" si="141"/>
        <v>0</v>
      </c>
      <c r="BT174" s="29">
        <f t="shared" ca="1" si="141"/>
        <v>0</v>
      </c>
      <c r="BU174" s="29">
        <f t="shared" ca="1" si="141"/>
        <v>0</v>
      </c>
      <c r="BV174" s="29">
        <f t="shared" ca="1" si="141"/>
        <v>0</v>
      </c>
      <c r="BW174" s="29">
        <f t="shared" ca="1" si="141"/>
        <v>0</v>
      </c>
      <c r="BX174" s="29">
        <f t="shared" ca="1" si="141"/>
        <v>0</v>
      </c>
      <c r="BY174" s="29">
        <f t="shared" ca="1" si="141"/>
        <v>0</v>
      </c>
      <c r="BZ174" s="29">
        <f t="shared" si="141"/>
        <v>0</v>
      </c>
      <c r="CA174" s="29">
        <f t="shared" si="141"/>
        <v>0</v>
      </c>
      <c r="CB174" s="29">
        <f t="shared" si="141"/>
        <v>0</v>
      </c>
      <c r="CC174" s="29">
        <f t="shared" si="141"/>
        <v>0</v>
      </c>
      <c r="CD174" s="29">
        <f t="shared" si="141"/>
        <v>0</v>
      </c>
      <c r="CE174" s="29">
        <f t="shared" si="141"/>
        <v>0</v>
      </c>
      <c r="CF174" s="29">
        <f t="shared" si="141"/>
        <v>0</v>
      </c>
      <c r="CG174" s="29">
        <f t="shared" si="141"/>
        <v>0</v>
      </c>
      <c r="CH174" s="29">
        <f t="shared" si="141"/>
        <v>0</v>
      </c>
    </row>
    <row r="175" spans="2:86" ht="13" hidden="1" outlineLevel="1">
      <c r="B175" s="84">
        <f t="shared" si="71"/>
        <v>72</v>
      </c>
      <c r="C175" s="64">
        <f t="shared" ca="1" si="69"/>
        <v>0.49521884822756768</v>
      </c>
      <c r="D175" s="15" t="s">
        <v>238</v>
      </c>
      <c r="E175" s="29">
        <f t="shared" ca="1" si="59"/>
        <v>164639583.33333331</v>
      </c>
      <c r="F175" s="29"/>
      <c r="G175" s="29">
        <f t="shared" ref="G175:CH175" ca="1" si="142">IF(G$4&lt;=$B175,ABS(G$31)*-1+G$47,0)+IF($B175=G$4,G$81,0)</f>
        <v>-1444375</v>
      </c>
      <c r="H175" s="29">
        <f t="shared" ca="1" si="142"/>
        <v>-1344375</v>
      </c>
      <c r="I175" s="29">
        <f t="shared" ca="1" si="142"/>
        <v>-1344375</v>
      </c>
      <c r="J175" s="29">
        <f t="shared" ca="1" si="142"/>
        <v>-1344375</v>
      </c>
      <c r="K175" s="29">
        <f t="shared" ca="1" si="142"/>
        <v>-1344375</v>
      </c>
      <c r="L175" s="29">
        <f t="shared" ca="1" si="142"/>
        <v>-1344375</v>
      </c>
      <c r="M175" s="29">
        <f t="shared" ca="1" si="142"/>
        <v>-1344375</v>
      </c>
      <c r="N175" s="29">
        <f t="shared" ca="1" si="142"/>
        <v>-1344375</v>
      </c>
      <c r="O175" s="29">
        <f t="shared" ca="1" si="142"/>
        <v>-1344375</v>
      </c>
      <c r="P175" s="29">
        <f t="shared" ca="1" si="142"/>
        <v>-1344375</v>
      </c>
      <c r="Q175" s="29">
        <f t="shared" ca="1" si="142"/>
        <v>-1344375</v>
      </c>
      <c r="R175" s="29">
        <f t="shared" ca="1" si="142"/>
        <v>-1344375</v>
      </c>
      <c r="S175" s="29">
        <f t="shared" ca="1" si="142"/>
        <v>-534270.83333333279</v>
      </c>
      <c r="T175" s="29">
        <f t="shared" ca="1" si="142"/>
        <v>-534270.83333333279</v>
      </c>
      <c r="U175" s="29">
        <f t="shared" ca="1" si="142"/>
        <v>-534270.83333333279</v>
      </c>
      <c r="V175" s="29">
        <f t="shared" ca="1" si="142"/>
        <v>-534270.83333333279</v>
      </c>
      <c r="W175" s="29">
        <f t="shared" ca="1" si="142"/>
        <v>2385312.5000000009</v>
      </c>
      <c r="X175" s="29">
        <f t="shared" ca="1" si="142"/>
        <v>2385312.5000000009</v>
      </c>
      <c r="Y175" s="29">
        <f t="shared" ca="1" si="142"/>
        <v>2385312.5000000009</v>
      </c>
      <c r="Z175" s="29">
        <f t="shared" ca="1" si="142"/>
        <v>2235979.166666667</v>
      </c>
      <c r="AA175" s="29">
        <f t="shared" ca="1" si="142"/>
        <v>2148333.333333334</v>
      </c>
      <c r="AB175" s="29">
        <f t="shared" ca="1" si="142"/>
        <v>2148333.333333334</v>
      </c>
      <c r="AC175" s="29">
        <f t="shared" ca="1" si="142"/>
        <v>2148333.333333334</v>
      </c>
      <c r="AD175" s="29">
        <f t="shared" ca="1" si="142"/>
        <v>2148333.3333333344</v>
      </c>
      <c r="AE175" s="29">
        <f t="shared" ca="1" si="142"/>
        <v>11248708.333333332</v>
      </c>
      <c r="AF175" s="29">
        <f t="shared" ca="1" si="142"/>
        <v>11248708.333333332</v>
      </c>
      <c r="AG175" s="29">
        <f t="shared" ca="1" si="142"/>
        <v>11248708.333333332</v>
      </c>
      <c r="AH175" s="29">
        <f t="shared" ca="1" si="142"/>
        <v>11248708.333333332</v>
      </c>
      <c r="AI175" s="29">
        <f t="shared" ca="1" si="142"/>
        <v>10452583.333333332</v>
      </c>
      <c r="AJ175" s="29">
        <f t="shared" ca="1" si="142"/>
        <v>10452583.333333332</v>
      </c>
      <c r="AK175" s="29">
        <f t="shared" ca="1" si="142"/>
        <v>10452583.333333332</v>
      </c>
      <c r="AL175" s="29">
        <f t="shared" ca="1" si="142"/>
        <v>10452583.333333332</v>
      </c>
      <c r="AM175" s="29">
        <f t="shared" ca="1" si="142"/>
        <v>9014374.9999999981</v>
      </c>
      <c r="AN175" s="29">
        <f t="shared" ca="1" si="142"/>
        <v>9014374.9999999981</v>
      </c>
      <c r="AO175" s="29">
        <f t="shared" ca="1" si="142"/>
        <v>9014374.9999999981</v>
      </c>
      <c r="AP175" s="29">
        <f t="shared" ca="1" si="142"/>
        <v>9014374.9999999981</v>
      </c>
      <c r="AQ175" s="29">
        <f t="shared" ca="1" si="142"/>
        <v>10540312.499999996</v>
      </c>
      <c r="AR175" s="29">
        <f t="shared" ca="1" si="142"/>
        <v>10540312.499999996</v>
      </c>
      <c r="AS175" s="29">
        <f t="shared" ca="1" si="142"/>
        <v>10540312.499999996</v>
      </c>
      <c r="AT175" s="29">
        <f t="shared" ca="1" si="142"/>
        <v>10540312.499999996</v>
      </c>
      <c r="AU175" s="29">
        <f t="shared" ca="1" si="142"/>
        <v>0</v>
      </c>
      <c r="AV175" s="29">
        <f t="shared" ca="1" si="142"/>
        <v>0</v>
      </c>
      <c r="AW175" s="29">
        <f t="shared" ca="1" si="142"/>
        <v>0</v>
      </c>
      <c r="AX175" s="29">
        <f t="shared" ca="1" si="142"/>
        <v>0</v>
      </c>
      <c r="AY175" s="29">
        <f t="shared" ca="1" si="142"/>
        <v>0</v>
      </c>
      <c r="AZ175" s="29">
        <f t="shared" ca="1" si="142"/>
        <v>0</v>
      </c>
      <c r="BA175" s="29">
        <f t="shared" ca="1" si="142"/>
        <v>0</v>
      </c>
      <c r="BB175" s="29">
        <f t="shared" ca="1" si="142"/>
        <v>0</v>
      </c>
      <c r="BC175" s="29">
        <f t="shared" ca="1" si="142"/>
        <v>0</v>
      </c>
      <c r="BD175" s="29">
        <f t="shared" ca="1" si="142"/>
        <v>0</v>
      </c>
      <c r="BE175" s="29">
        <f t="shared" ca="1" si="142"/>
        <v>0</v>
      </c>
      <c r="BF175" s="29">
        <f t="shared" ca="1" si="142"/>
        <v>0</v>
      </c>
      <c r="BG175" s="29">
        <f t="shared" ca="1" si="142"/>
        <v>0</v>
      </c>
      <c r="BH175" s="29">
        <f t="shared" ca="1" si="142"/>
        <v>0</v>
      </c>
      <c r="BI175" s="29">
        <f t="shared" ca="1" si="142"/>
        <v>0</v>
      </c>
      <c r="BJ175" s="29">
        <f t="shared" ca="1" si="142"/>
        <v>0</v>
      </c>
      <c r="BK175" s="29">
        <f t="shared" ca="1" si="142"/>
        <v>0</v>
      </c>
      <c r="BL175" s="29">
        <f t="shared" ca="1" si="142"/>
        <v>0</v>
      </c>
      <c r="BM175" s="29">
        <f t="shared" ca="1" si="142"/>
        <v>0</v>
      </c>
      <c r="BN175" s="29">
        <f t="shared" ca="1" si="142"/>
        <v>0</v>
      </c>
      <c r="BO175" s="29">
        <f t="shared" ca="1" si="142"/>
        <v>0</v>
      </c>
      <c r="BP175" s="29">
        <f t="shared" ca="1" si="142"/>
        <v>0</v>
      </c>
      <c r="BQ175" s="29">
        <f t="shared" ca="1" si="142"/>
        <v>0</v>
      </c>
      <c r="BR175" s="29">
        <f t="shared" ca="1" si="142"/>
        <v>0</v>
      </c>
      <c r="BS175" s="29">
        <f t="shared" ca="1" si="142"/>
        <v>0</v>
      </c>
      <c r="BT175" s="29">
        <f t="shared" ca="1" si="142"/>
        <v>0</v>
      </c>
      <c r="BU175" s="29">
        <f t="shared" ca="1" si="142"/>
        <v>0</v>
      </c>
      <c r="BV175" s="29">
        <f t="shared" ca="1" si="142"/>
        <v>0</v>
      </c>
      <c r="BW175" s="29">
        <f t="shared" ca="1" si="142"/>
        <v>0</v>
      </c>
      <c r="BX175" s="29">
        <f t="shared" ca="1" si="142"/>
        <v>0</v>
      </c>
      <c r="BY175" s="29">
        <f t="shared" ca="1" si="142"/>
        <v>0</v>
      </c>
      <c r="BZ175" s="29">
        <f t="shared" ca="1" si="142"/>
        <v>0</v>
      </c>
      <c r="CA175" s="29">
        <f t="shared" si="142"/>
        <v>0</v>
      </c>
      <c r="CB175" s="29">
        <f t="shared" si="142"/>
        <v>0</v>
      </c>
      <c r="CC175" s="29">
        <f t="shared" si="142"/>
        <v>0</v>
      </c>
      <c r="CD175" s="29">
        <f t="shared" si="142"/>
        <v>0</v>
      </c>
      <c r="CE175" s="29">
        <f t="shared" si="142"/>
        <v>0</v>
      </c>
      <c r="CF175" s="29">
        <f t="shared" si="142"/>
        <v>0</v>
      </c>
      <c r="CG175" s="29">
        <f t="shared" si="142"/>
        <v>0</v>
      </c>
      <c r="CH175" s="29">
        <f t="shared" si="142"/>
        <v>0</v>
      </c>
    </row>
    <row r="176" spans="2:86" ht="13" hidden="1" outlineLevel="1">
      <c r="B176" s="84">
        <f t="shared" si="71"/>
        <v>73</v>
      </c>
      <c r="C176" s="64">
        <f t="shared" ca="1" si="69"/>
        <v>0.49521884822756768</v>
      </c>
      <c r="D176" s="15" t="s">
        <v>238</v>
      </c>
      <c r="E176" s="29">
        <f t="shared" ca="1" si="59"/>
        <v>164639583.33333331</v>
      </c>
      <c r="F176" s="29"/>
      <c r="G176" s="29">
        <f t="shared" ref="G176:CH176" ca="1" si="143">IF(G$4&lt;=$B176,ABS(G$31)*-1+G$47,0)+IF($B176=G$4,G$81,0)</f>
        <v>-1444375</v>
      </c>
      <c r="H176" s="29">
        <f t="shared" ca="1" si="143"/>
        <v>-1344375</v>
      </c>
      <c r="I176" s="29">
        <f t="shared" ca="1" si="143"/>
        <v>-1344375</v>
      </c>
      <c r="J176" s="29">
        <f t="shared" ca="1" si="143"/>
        <v>-1344375</v>
      </c>
      <c r="K176" s="29">
        <f t="shared" ca="1" si="143"/>
        <v>-1344375</v>
      </c>
      <c r="L176" s="29">
        <f t="shared" ca="1" si="143"/>
        <v>-1344375</v>
      </c>
      <c r="M176" s="29">
        <f t="shared" ca="1" si="143"/>
        <v>-1344375</v>
      </c>
      <c r="N176" s="29">
        <f t="shared" ca="1" si="143"/>
        <v>-1344375</v>
      </c>
      <c r="O176" s="29">
        <f t="shared" ca="1" si="143"/>
        <v>-1344375</v>
      </c>
      <c r="P176" s="29">
        <f t="shared" ca="1" si="143"/>
        <v>-1344375</v>
      </c>
      <c r="Q176" s="29">
        <f t="shared" ca="1" si="143"/>
        <v>-1344375</v>
      </c>
      <c r="R176" s="29">
        <f t="shared" ca="1" si="143"/>
        <v>-1344375</v>
      </c>
      <c r="S176" s="29">
        <f t="shared" ca="1" si="143"/>
        <v>-534270.83333333279</v>
      </c>
      <c r="T176" s="29">
        <f t="shared" ca="1" si="143"/>
        <v>-534270.83333333279</v>
      </c>
      <c r="U176" s="29">
        <f t="shared" ca="1" si="143"/>
        <v>-534270.83333333279</v>
      </c>
      <c r="V176" s="29">
        <f t="shared" ca="1" si="143"/>
        <v>-534270.83333333279</v>
      </c>
      <c r="W176" s="29">
        <f t="shared" ca="1" si="143"/>
        <v>2385312.5000000009</v>
      </c>
      <c r="X176" s="29">
        <f t="shared" ca="1" si="143"/>
        <v>2385312.5000000009</v>
      </c>
      <c r="Y176" s="29">
        <f t="shared" ca="1" si="143"/>
        <v>2385312.5000000009</v>
      </c>
      <c r="Z176" s="29">
        <f t="shared" ca="1" si="143"/>
        <v>2235979.166666667</v>
      </c>
      <c r="AA176" s="29">
        <f t="shared" ca="1" si="143"/>
        <v>2148333.333333334</v>
      </c>
      <c r="AB176" s="29">
        <f t="shared" ca="1" si="143"/>
        <v>2148333.333333334</v>
      </c>
      <c r="AC176" s="29">
        <f t="shared" ca="1" si="143"/>
        <v>2148333.333333334</v>
      </c>
      <c r="AD176" s="29">
        <f t="shared" ca="1" si="143"/>
        <v>2148333.3333333344</v>
      </c>
      <c r="AE176" s="29">
        <f t="shared" ca="1" si="143"/>
        <v>11248708.333333332</v>
      </c>
      <c r="AF176" s="29">
        <f t="shared" ca="1" si="143"/>
        <v>11248708.333333332</v>
      </c>
      <c r="AG176" s="29">
        <f t="shared" ca="1" si="143"/>
        <v>11248708.333333332</v>
      </c>
      <c r="AH176" s="29">
        <f t="shared" ca="1" si="143"/>
        <v>11248708.333333332</v>
      </c>
      <c r="AI176" s="29">
        <f t="shared" ca="1" si="143"/>
        <v>10452583.333333332</v>
      </c>
      <c r="AJ176" s="29">
        <f t="shared" ca="1" si="143"/>
        <v>10452583.333333332</v>
      </c>
      <c r="AK176" s="29">
        <f t="shared" ca="1" si="143"/>
        <v>10452583.333333332</v>
      </c>
      <c r="AL176" s="29">
        <f t="shared" ca="1" si="143"/>
        <v>10452583.333333332</v>
      </c>
      <c r="AM176" s="29">
        <f t="shared" ca="1" si="143"/>
        <v>9014374.9999999981</v>
      </c>
      <c r="AN176" s="29">
        <f t="shared" ca="1" si="143"/>
        <v>9014374.9999999981</v>
      </c>
      <c r="AO176" s="29">
        <f t="shared" ca="1" si="143"/>
        <v>9014374.9999999981</v>
      </c>
      <c r="AP176" s="29">
        <f t="shared" ca="1" si="143"/>
        <v>9014374.9999999981</v>
      </c>
      <c r="AQ176" s="29">
        <f t="shared" ca="1" si="143"/>
        <v>10540312.499999996</v>
      </c>
      <c r="AR176" s="29">
        <f t="shared" ca="1" si="143"/>
        <v>10540312.499999996</v>
      </c>
      <c r="AS176" s="29">
        <f t="shared" ca="1" si="143"/>
        <v>10540312.499999996</v>
      </c>
      <c r="AT176" s="29">
        <f t="shared" ca="1" si="143"/>
        <v>10540312.499999996</v>
      </c>
      <c r="AU176" s="29">
        <f t="shared" ca="1" si="143"/>
        <v>0</v>
      </c>
      <c r="AV176" s="29">
        <f t="shared" ca="1" si="143"/>
        <v>0</v>
      </c>
      <c r="AW176" s="29">
        <f t="shared" ca="1" si="143"/>
        <v>0</v>
      </c>
      <c r="AX176" s="29">
        <f t="shared" ca="1" si="143"/>
        <v>0</v>
      </c>
      <c r="AY176" s="29">
        <f t="shared" ca="1" si="143"/>
        <v>0</v>
      </c>
      <c r="AZ176" s="29">
        <f t="shared" ca="1" si="143"/>
        <v>0</v>
      </c>
      <c r="BA176" s="29">
        <f t="shared" ca="1" si="143"/>
        <v>0</v>
      </c>
      <c r="BB176" s="29">
        <f t="shared" ca="1" si="143"/>
        <v>0</v>
      </c>
      <c r="BC176" s="29">
        <f t="shared" ca="1" si="143"/>
        <v>0</v>
      </c>
      <c r="BD176" s="29">
        <f t="shared" ca="1" si="143"/>
        <v>0</v>
      </c>
      <c r="BE176" s="29">
        <f t="shared" ca="1" si="143"/>
        <v>0</v>
      </c>
      <c r="BF176" s="29">
        <f t="shared" ca="1" si="143"/>
        <v>0</v>
      </c>
      <c r="BG176" s="29">
        <f t="shared" ca="1" si="143"/>
        <v>0</v>
      </c>
      <c r="BH176" s="29">
        <f t="shared" ca="1" si="143"/>
        <v>0</v>
      </c>
      <c r="BI176" s="29">
        <f t="shared" ca="1" si="143"/>
        <v>0</v>
      </c>
      <c r="BJ176" s="29">
        <f t="shared" ca="1" si="143"/>
        <v>0</v>
      </c>
      <c r="BK176" s="29">
        <f t="shared" ca="1" si="143"/>
        <v>0</v>
      </c>
      <c r="BL176" s="29">
        <f t="shared" ca="1" si="143"/>
        <v>0</v>
      </c>
      <c r="BM176" s="29">
        <f t="shared" ca="1" si="143"/>
        <v>0</v>
      </c>
      <c r="BN176" s="29">
        <f t="shared" ca="1" si="143"/>
        <v>0</v>
      </c>
      <c r="BO176" s="29">
        <f t="shared" ca="1" si="143"/>
        <v>0</v>
      </c>
      <c r="BP176" s="29">
        <f t="shared" ca="1" si="143"/>
        <v>0</v>
      </c>
      <c r="BQ176" s="29">
        <f t="shared" ca="1" si="143"/>
        <v>0</v>
      </c>
      <c r="BR176" s="29">
        <f t="shared" ca="1" si="143"/>
        <v>0</v>
      </c>
      <c r="BS176" s="29">
        <f t="shared" ca="1" si="143"/>
        <v>0</v>
      </c>
      <c r="BT176" s="29">
        <f t="shared" ca="1" si="143"/>
        <v>0</v>
      </c>
      <c r="BU176" s="29">
        <f t="shared" ca="1" si="143"/>
        <v>0</v>
      </c>
      <c r="BV176" s="29">
        <f t="shared" ca="1" si="143"/>
        <v>0</v>
      </c>
      <c r="BW176" s="29">
        <f t="shared" ca="1" si="143"/>
        <v>0</v>
      </c>
      <c r="BX176" s="29">
        <f t="shared" ca="1" si="143"/>
        <v>0</v>
      </c>
      <c r="BY176" s="29">
        <f t="shared" ca="1" si="143"/>
        <v>0</v>
      </c>
      <c r="BZ176" s="29">
        <f t="shared" ca="1" si="143"/>
        <v>0</v>
      </c>
      <c r="CA176" s="29">
        <f t="shared" ca="1" si="143"/>
        <v>0</v>
      </c>
      <c r="CB176" s="29">
        <f t="shared" si="143"/>
        <v>0</v>
      </c>
      <c r="CC176" s="29">
        <f t="shared" si="143"/>
        <v>0</v>
      </c>
      <c r="CD176" s="29">
        <f t="shared" si="143"/>
        <v>0</v>
      </c>
      <c r="CE176" s="29">
        <f t="shared" si="143"/>
        <v>0</v>
      </c>
      <c r="CF176" s="29">
        <f t="shared" si="143"/>
        <v>0</v>
      </c>
      <c r="CG176" s="29">
        <f t="shared" si="143"/>
        <v>0</v>
      </c>
      <c r="CH176" s="29">
        <f t="shared" si="143"/>
        <v>0</v>
      </c>
    </row>
    <row r="177" spans="1:86" ht="13" hidden="1" outlineLevel="1">
      <c r="B177" s="84">
        <f t="shared" si="71"/>
        <v>74</v>
      </c>
      <c r="C177" s="64">
        <f t="shared" ca="1" si="69"/>
        <v>0.49521884822756768</v>
      </c>
      <c r="D177" s="15" t="s">
        <v>238</v>
      </c>
      <c r="E177" s="29">
        <f t="shared" ca="1" si="59"/>
        <v>164639583.33333331</v>
      </c>
      <c r="F177" s="29"/>
      <c r="G177" s="29">
        <f t="shared" ref="G177:CH177" ca="1" si="144">IF(G$4&lt;=$B177,ABS(G$31)*-1+G$47,0)+IF($B177=G$4,G$81,0)</f>
        <v>-1444375</v>
      </c>
      <c r="H177" s="29">
        <f t="shared" ca="1" si="144"/>
        <v>-1344375</v>
      </c>
      <c r="I177" s="29">
        <f t="shared" ca="1" si="144"/>
        <v>-1344375</v>
      </c>
      <c r="J177" s="29">
        <f t="shared" ca="1" si="144"/>
        <v>-1344375</v>
      </c>
      <c r="K177" s="29">
        <f t="shared" ca="1" si="144"/>
        <v>-1344375</v>
      </c>
      <c r="L177" s="29">
        <f t="shared" ca="1" si="144"/>
        <v>-1344375</v>
      </c>
      <c r="M177" s="29">
        <f t="shared" ca="1" si="144"/>
        <v>-1344375</v>
      </c>
      <c r="N177" s="29">
        <f t="shared" ca="1" si="144"/>
        <v>-1344375</v>
      </c>
      <c r="O177" s="29">
        <f t="shared" ca="1" si="144"/>
        <v>-1344375</v>
      </c>
      <c r="P177" s="29">
        <f t="shared" ca="1" si="144"/>
        <v>-1344375</v>
      </c>
      <c r="Q177" s="29">
        <f t="shared" ca="1" si="144"/>
        <v>-1344375</v>
      </c>
      <c r="R177" s="29">
        <f t="shared" ca="1" si="144"/>
        <v>-1344375</v>
      </c>
      <c r="S177" s="29">
        <f t="shared" ca="1" si="144"/>
        <v>-534270.83333333279</v>
      </c>
      <c r="T177" s="29">
        <f t="shared" ca="1" si="144"/>
        <v>-534270.83333333279</v>
      </c>
      <c r="U177" s="29">
        <f t="shared" ca="1" si="144"/>
        <v>-534270.83333333279</v>
      </c>
      <c r="V177" s="29">
        <f t="shared" ca="1" si="144"/>
        <v>-534270.83333333279</v>
      </c>
      <c r="W177" s="29">
        <f t="shared" ca="1" si="144"/>
        <v>2385312.5000000009</v>
      </c>
      <c r="X177" s="29">
        <f t="shared" ca="1" si="144"/>
        <v>2385312.5000000009</v>
      </c>
      <c r="Y177" s="29">
        <f t="shared" ca="1" si="144"/>
        <v>2385312.5000000009</v>
      </c>
      <c r="Z177" s="29">
        <f t="shared" ca="1" si="144"/>
        <v>2235979.166666667</v>
      </c>
      <c r="AA177" s="29">
        <f t="shared" ca="1" si="144"/>
        <v>2148333.333333334</v>
      </c>
      <c r="AB177" s="29">
        <f t="shared" ca="1" si="144"/>
        <v>2148333.333333334</v>
      </c>
      <c r="AC177" s="29">
        <f t="shared" ca="1" si="144"/>
        <v>2148333.333333334</v>
      </c>
      <c r="AD177" s="29">
        <f t="shared" ca="1" si="144"/>
        <v>2148333.3333333344</v>
      </c>
      <c r="AE177" s="29">
        <f t="shared" ca="1" si="144"/>
        <v>11248708.333333332</v>
      </c>
      <c r="AF177" s="29">
        <f t="shared" ca="1" si="144"/>
        <v>11248708.333333332</v>
      </c>
      <c r="AG177" s="29">
        <f t="shared" ca="1" si="144"/>
        <v>11248708.333333332</v>
      </c>
      <c r="AH177" s="29">
        <f t="shared" ca="1" si="144"/>
        <v>11248708.333333332</v>
      </c>
      <c r="AI177" s="29">
        <f t="shared" ca="1" si="144"/>
        <v>10452583.333333332</v>
      </c>
      <c r="AJ177" s="29">
        <f t="shared" ca="1" si="144"/>
        <v>10452583.333333332</v>
      </c>
      <c r="AK177" s="29">
        <f t="shared" ca="1" si="144"/>
        <v>10452583.333333332</v>
      </c>
      <c r="AL177" s="29">
        <f t="shared" ca="1" si="144"/>
        <v>10452583.333333332</v>
      </c>
      <c r="AM177" s="29">
        <f t="shared" ca="1" si="144"/>
        <v>9014374.9999999981</v>
      </c>
      <c r="AN177" s="29">
        <f t="shared" ca="1" si="144"/>
        <v>9014374.9999999981</v>
      </c>
      <c r="AO177" s="29">
        <f t="shared" ca="1" si="144"/>
        <v>9014374.9999999981</v>
      </c>
      <c r="AP177" s="29">
        <f t="shared" ca="1" si="144"/>
        <v>9014374.9999999981</v>
      </c>
      <c r="AQ177" s="29">
        <f t="shared" ca="1" si="144"/>
        <v>10540312.499999996</v>
      </c>
      <c r="AR177" s="29">
        <f t="shared" ca="1" si="144"/>
        <v>10540312.499999996</v>
      </c>
      <c r="AS177" s="29">
        <f t="shared" ca="1" si="144"/>
        <v>10540312.499999996</v>
      </c>
      <c r="AT177" s="29">
        <f t="shared" ca="1" si="144"/>
        <v>10540312.499999996</v>
      </c>
      <c r="AU177" s="29">
        <f t="shared" ca="1" si="144"/>
        <v>0</v>
      </c>
      <c r="AV177" s="29">
        <f t="shared" ca="1" si="144"/>
        <v>0</v>
      </c>
      <c r="AW177" s="29">
        <f t="shared" ca="1" si="144"/>
        <v>0</v>
      </c>
      <c r="AX177" s="29">
        <f t="shared" ca="1" si="144"/>
        <v>0</v>
      </c>
      <c r="AY177" s="29">
        <f t="shared" ca="1" si="144"/>
        <v>0</v>
      </c>
      <c r="AZ177" s="29">
        <f t="shared" ca="1" si="144"/>
        <v>0</v>
      </c>
      <c r="BA177" s="29">
        <f t="shared" ca="1" si="144"/>
        <v>0</v>
      </c>
      <c r="BB177" s="29">
        <f t="shared" ca="1" si="144"/>
        <v>0</v>
      </c>
      <c r="BC177" s="29">
        <f t="shared" ca="1" si="144"/>
        <v>0</v>
      </c>
      <c r="BD177" s="29">
        <f t="shared" ca="1" si="144"/>
        <v>0</v>
      </c>
      <c r="BE177" s="29">
        <f t="shared" ca="1" si="144"/>
        <v>0</v>
      </c>
      <c r="BF177" s="29">
        <f t="shared" ca="1" si="144"/>
        <v>0</v>
      </c>
      <c r="BG177" s="29">
        <f t="shared" ca="1" si="144"/>
        <v>0</v>
      </c>
      <c r="BH177" s="29">
        <f t="shared" ca="1" si="144"/>
        <v>0</v>
      </c>
      <c r="BI177" s="29">
        <f t="shared" ca="1" si="144"/>
        <v>0</v>
      </c>
      <c r="BJ177" s="29">
        <f t="shared" ca="1" si="144"/>
        <v>0</v>
      </c>
      <c r="BK177" s="29">
        <f t="shared" ca="1" si="144"/>
        <v>0</v>
      </c>
      <c r="BL177" s="29">
        <f t="shared" ca="1" si="144"/>
        <v>0</v>
      </c>
      <c r="BM177" s="29">
        <f t="shared" ca="1" si="144"/>
        <v>0</v>
      </c>
      <c r="BN177" s="29">
        <f t="shared" ca="1" si="144"/>
        <v>0</v>
      </c>
      <c r="BO177" s="29">
        <f t="shared" ca="1" si="144"/>
        <v>0</v>
      </c>
      <c r="BP177" s="29">
        <f t="shared" ca="1" si="144"/>
        <v>0</v>
      </c>
      <c r="BQ177" s="29">
        <f t="shared" ca="1" si="144"/>
        <v>0</v>
      </c>
      <c r="BR177" s="29">
        <f t="shared" ca="1" si="144"/>
        <v>0</v>
      </c>
      <c r="BS177" s="29">
        <f t="shared" ca="1" si="144"/>
        <v>0</v>
      </c>
      <c r="BT177" s="29">
        <f t="shared" ca="1" si="144"/>
        <v>0</v>
      </c>
      <c r="BU177" s="29">
        <f t="shared" ca="1" si="144"/>
        <v>0</v>
      </c>
      <c r="BV177" s="29">
        <f t="shared" ca="1" si="144"/>
        <v>0</v>
      </c>
      <c r="BW177" s="29">
        <f t="shared" ca="1" si="144"/>
        <v>0</v>
      </c>
      <c r="BX177" s="29">
        <f t="shared" ca="1" si="144"/>
        <v>0</v>
      </c>
      <c r="BY177" s="29">
        <f t="shared" ca="1" si="144"/>
        <v>0</v>
      </c>
      <c r="BZ177" s="29">
        <f t="shared" ca="1" si="144"/>
        <v>0</v>
      </c>
      <c r="CA177" s="29">
        <f t="shared" ca="1" si="144"/>
        <v>0</v>
      </c>
      <c r="CB177" s="29">
        <f t="shared" ca="1" si="144"/>
        <v>0</v>
      </c>
      <c r="CC177" s="29">
        <f t="shared" si="144"/>
        <v>0</v>
      </c>
      <c r="CD177" s="29">
        <f t="shared" si="144"/>
        <v>0</v>
      </c>
      <c r="CE177" s="29">
        <f t="shared" si="144"/>
        <v>0</v>
      </c>
      <c r="CF177" s="29">
        <f t="shared" si="144"/>
        <v>0</v>
      </c>
      <c r="CG177" s="29">
        <f t="shared" si="144"/>
        <v>0</v>
      </c>
      <c r="CH177" s="29">
        <f t="shared" si="144"/>
        <v>0</v>
      </c>
    </row>
    <row r="178" spans="1:86" ht="13" hidden="1" outlineLevel="1">
      <c r="B178" s="84">
        <f t="shared" si="71"/>
        <v>75</v>
      </c>
      <c r="C178" s="64">
        <f t="shared" ca="1" si="69"/>
        <v>0.49521884822756768</v>
      </c>
      <c r="D178" s="15" t="s">
        <v>238</v>
      </c>
      <c r="E178" s="29">
        <f t="shared" ca="1" si="59"/>
        <v>164639583.33333331</v>
      </c>
      <c r="F178" s="29"/>
      <c r="G178" s="29">
        <f t="shared" ref="G178:CH178" ca="1" si="145">IF(G$4&lt;=$B178,ABS(G$31)*-1+G$47,0)+IF($B178=G$4,G$81,0)</f>
        <v>-1444375</v>
      </c>
      <c r="H178" s="29">
        <f t="shared" ca="1" si="145"/>
        <v>-1344375</v>
      </c>
      <c r="I178" s="29">
        <f t="shared" ca="1" si="145"/>
        <v>-1344375</v>
      </c>
      <c r="J178" s="29">
        <f t="shared" ca="1" si="145"/>
        <v>-1344375</v>
      </c>
      <c r="K178" s="29">
        <f t="shared" ca="1" si="145"/>
        <v>-1344375</v>
      </c>
      <c r="L178" s="29">
        <f t="shared" ca="1" si="145"/>
        <v>-1344375</v>
      </c>
      <c r="M178" s="29">
        <f t="shared" ca="1" si="145"/>
        <v>-1344375</v>
      </c>
      <c r="N178" s="29">
        <f t="shared" ca="1" si="145"/>
        <v>-1344375</v>
      </c>
      <c r="O178" s="29">
        <f t="shared" ca="1" si="145"/>
        <v>-1344375</v>
      </c>
      <c r="P178" s="29">
        <f t="shared" ca="1" si="145"/>
        <v>-1344375</v>
      </c>
      <c r="Q178" s="29">
        <f t="shared" ca="1" si="145"/>
        <v>-1344375</v>
      </c>
      <c r="R178" s="29">
        <f t="shared" ca="1" si="145"/>
        <v>-1344375</v>
      </c>
      <c r="S178" s="29">
        <f t="shared" ca="1" si="145"/>
        <v>-534270.83333333279</v>
      </c>
      <c r="T178" s="29">
        <f t="shared" ca="1" si="145"/>
        <v>-534270.83333333279</v>
      </c>
      <c r="U178" s="29">
        <f t="shared" ca="1" si="145"/>
        <v>-534270.83333333279</v>
      </c>
      <c r="V178" s="29">
        <f t="shared" ca="1" si="145"/>
        <v>-534270.83333333279</v>
      </c>
      <c r="W178" s="29">
        <f t="shared" ca="1" si="145"/>
        <v>2385312.5000000009</v>
      </c>
      <c r="X178" s="29">
        <f t="shared" ca="1" si="145"/>
        <v>2385312.5000000009</v>
      </c>
      <c r="Y178" s="29">
        <f t="shared" ca="1" si="145"/>
        <v>2385312.5000000009</v>
      </c>
      <c r="Z178" s="29">
        <f t="shared" ca="1" si="145"/>
        <v>2235979.166666667</v>
      </c>
      <c r="AA178" s="29">
        <f t="shared" ca="1" si="145"/>
        <v>2148333.333333334</v>
      </c>
      <c r="AB178" s="29">
        <f t="shared" ca="1" si="145"/>
        <v>2148333.333333334</v>
      </c>
      <c r="AC178" s="29">
        <f t="shared" ca="1" si="145"/>
        <v>2148333.333333334</v>
      </c>
      <c r="AD178" s="29">
        <f t="shared" ca="1" si="145"/>
        <v>2148333.3333333344</v>
      </c>
      <c r="AE178" s="29">
        <f t="shared" ca="1" si="145"/>
        <v>11248708.333333332</v>
      </c>
      <c r="AF178" s="29">
        <f t="shared" ca="1" si="145"/>
        <v>11248708.333333332</v>
      </c>
      <c r="AG178" s="29">
        <f t="shared" ca="1" si="145"/>
        <v>11248708.333333332</v>
      </c>
      <c r="AH178" s="29">
        <f t="shared" ca="1" si="145"/>
        <v>11248708.333333332</v>
      </c>
      <c r="AI178" s="29">
        <f t="shared" ca="1" si="145"/>
        <v>10452583.333333332</v>
      </c>
      <c r="AJ178" s="29">
        <f t="shared" ca="1" si="145"/>
        <v>10452583.333333332</v>
      </c>
      <c r="AK178" s="29">
        <f t="shared" ca="1" si="145"/>
        <v>10452583.333333332</v>
      </c>
      <c r="AL178" s="29">
        <f t="shared" ca="1" si="145"/>
        <v>10452583.333333332</v>
      </c>
      <c r="AM178" s="29">
        <f t="shared" ca="1" si="145"/>
        <v>9014374.9999999981</v>
      </c>
      <c r="AN178" s="29">
        <f t="shared" ca="1" si="145"/>
        <v>9014374.9999999981</v>
      </c>
      <c r="AO178" s="29">
        <f t="shared" ca="1" si="145"/>
        <v>9014374.9999999981</v>
      </c>
      <c r="AP178" s="29">
        <f t="shared" ca="1" si="145"/>
        <v>9014374.9999999981</v>
      </c>
      <c r="AQ178" s="29">
        <f t="shared" ca="1" si="145"/>
        <v>10540312.499999996</v>
      </c>
      <c r="AR178" s="29">
        <f t="shared" ca="1" si="145"/>
        <v>10540312.499999996</v>
      </c>
      <c r="AS178" s="29">
        <f t="shared" ca="1" si="145"/>
        <v>10540312.499999996</v>
      </c>
      <c r="AT178" s="29">
        <f t="shared" ca="1" si="145"/>
        <v>10540312.499999996</v>
      </c>
      <c r="AU178" s="29">
        <f t="shared" ca="1" si="145"/>
        <v>0</v>
      </c>
      <c r="AV178" s="29">
        <f t="shared" ca="1" si="145"/>
        <v>0</v>
      </c>
      <c r="AW178" s="29">
        <f t="shared" ca="1" si="145"/>
        <v>0</v>
      </c>
      <c r="AX178" s="29">
        <f t="shared" ca="1" si="145"/>
        <v>0</v>
      </c>
      <c r="AY178" s="29">
        <f t="shared" ca="1" si="145"/>
        <v>0</v>
      </c>
      <c r="AZ178" s="29">
        <f t="shared" ca="1" si="145"/>
        <v>0</v>
      </c>
      <c r="BA178" s="29">
        <f t="shared" ca="1" si="145"/>
        <v>0</v>
      </c>
      <c r="BB178" s="29">
        <f t="shared" ca="1" si="145"/>
        <v>0</v>
      </c>
      <c r="BC178" s="29">
        <f t="shared" ca="1" si="145"/>
        <v>0</v>
      </c>
      <c r="BD178" s="29">
        <f t="shared" ca="1" si="145"/>
        <v>0</v>
      </c>
      <c r="BE178" s="29">
        <f t="shared" ca="1" si="145"/>
        <v>0</v>
      </c>
      <c r="BF178" s="29">
        <f t="shared" ca="1" si="145"/>
        <v>0</v>
      </c>
      <c r="BG178" s="29">
        <f t="shared" ca="1" si="145"/>
        <v>0</v>
      </c>
      <c r="BH178" s="29">
        <f t="shared" ca="1" si="145"/>
        <v>0</v>
      </c>
      <c r="BI178" s="29">
        <f t="shared" ca="1" si="145"/>
        <v>0</v>
      </c>
      <c r="BJ178" s="29">
        <f t="shared" ca="1" si="145"/>
        <v>0</v>
      </c>
      <c r="BK178" s="29">
        <f t="shared" ca="1" si="145"/>
        <v>0</v>
      </c>
      <c r="BL178" s="29">
        <f t="shared" ca="1" si="145"/>
        <v>0</v>
      </c>
      <c r="BM178" s="29">
        <f t="shared" ca="1" si="145"/>
        <v>0</v>
      </c>
      <c r="BN178" s="29">
        <f t="shared" ca="1" si="145"/>
        <v>0</v>
      </c>
      <c r="BO178" s="29">
        <f t="shared" ca="1" si="145"/>
        <v>0</v>
      </c>
      <c r="BP178" s="29">
        <f t="shared" ca="1" si="145"/>
        <v>0</v>
      </c>
      <c r="BQ178" s="29">
        <f t="shared" ca="1" si="145"/>
        <v>0</v>
      </c>
      <c r="BR178" s="29">
        <f t="shared" ca="1" si="145"/>
        <v>0</v>
      </c>
      <c r="BS178" s="29">
        <f t="shared" ca="1" si="145"/>
        <v>0</v>
      </c>
      <c r="BT178" s="29">
        <f t="shared" ca="1" si="145"/>
        <v>0</v>
      </c>
      <c r="BU178" s="29">
        <f t="shared" ca="1" si="145"/>
        <v>0</v>
      </c>
      <c r="BV178" s="29">
        <f t="shared" ca="1" si="145"/>
        <v>0</v>
      </c>
      <c r="BW178" s="29">
        <f t="shared" ca="1" si="145"/>
        <v>0</v>
      </c>
      <c r="BX178" s="29">
        <f t="shared" ca="1" si="145"/>
        <v>0</v>
      </c>
      <c r="BY178" s="29">
        <f t="shared" ca="1" si="145"/>
        <v>0</v>
      </c>
      <c r="BZ178" s="29">
        <f t="shared" ca="1" si="145"/>
        <v>0</v>
      </c>
      <c r="CA178" s="29">
        <f t="shared" ca="1" si="145"/>
        <v>0</v>
      </c>
      <c r="CB178" s="29">
        <f t="shared" ca="1" si="145"/>
        <v>0</v>
      </c>
      <c r="CC178" s="29">
        <f t="shared" ca="1" si="145"/>
        <v>0</v>
      </c>
      <c r="CD178" s="29">
        <f t="shared" si="145"/>
        <v>0</v>
      </c>
      <c r="CE178" s="29">
        <f t="shared" si="145"/>
        <v>0</v>
      </c>
      <c r="CF178" s="29">
        <f t="shared" si="145"/>
        <v>0</v>
      </c>
      <c r="CG178" s="29">
        <f t="shared" si="145"/>
        <v>0</v>
      </c>
      <c r="CH178" s="29">
        <f t="shared" si="145"/>
        <v>0</v>
      </c>
    </row>
    <row r="179" spans="1:86" ht="13" hidden="1" outlineLevel="1">
      <c r="B179" s="84">
        <f t="shared" si="71"/>
        <v>76</v>
      </c>
      <c r="C179" s="64">
        <f t="shared" ca="1" si="69"/>
        <v>0.49521884822756768</v>
      </c>
      <c r="D179" s="15" t="s">
        <v>238</v>
      </c>
      <c r="E179" s="29">
        <f t="shared" ca="1" si="59"/>
        <v>164639583.33333331</v>
      </c>
      <c r="F179" s="29"/>
      <c r="G179" s="29">
        <f t="shared" ref="G179:CH179" ca="1" si="146">IF(G$4&lt;=$B179,ABS(G$31)*-1+G$47,0)+IF($B179=G$4,G$81,0)</f>
        <v>-1444375</v>
      </c>
      <c r="H179" s="29">
        <f t="shared" ca="1" si="146"/>
        <v>-1344375</v>
      </c>
      <c r="I179" s="29">
        <f t="shared" ca="1" si="146"/>
        <v>-1344375</v>
      </c>
      <c r="J179" s="29">
        <f t="shared" ca="1" si="146"/>
        <v>-1344375</v>
      </c>
      <c r="K179" s="29">
        <f t="shared" ca="1" si="146"/>
        <v>-1344375</v>
      </c>
      <c r="L179" s="29">
        <f t="shared" ca="1" si="146"/>
        <v>-1344375</v>
      </c>
      <c r="M179" s="29">
        <f t="shared" ca="1" si="146"/>
        <v>-1344375</v>
      </c>
      <c r="N179" s="29">
        <f t="shared" ca="1" si="146"/>
        <v>-1344375</v>
      </c>
      <c r="O179" s="29">
        <f t="shared" ca="1" si="146"/>
        <v>-1344375</v>
      </c>
      <c r="P179" s="29">
        <f t="shared" ca="1" si="146"/>
        <v>-1344375</v>
      </c>
      <c r="Q179" s="29">
        <f t="shared" ca="1" si="146"/>
        <v>-1344375</v>
      </c>
      <c r="R179" s="29">
        <f t="shared" ca="1" si="146"/>
        <v>-1344375</v>
      </c>
      <c r="S179" s="29">
        <f t="shared" ca="1" si="146"/>
        <v>-534270.83333333279</v>
      </c>
      <c r="T179" s="29">
        <f t="shared" ca="1" si="146"/>
        <v>-534270.83333333279</v>
      </c>
      <c r="U179" s="29">
        <f t="shared" ca="1" si="146"/>
        <v>-534270.83333333279</v>
      </c>
      <c r="V179" s="29">
        <f t="shared" ca="1" si="146"/>
        <v>-534270.83333333279</v>
      </c>
      <c r="W179" s="29">
        <f t="shared" ca="1" si="146"/>
        <v>2385312.5000000009</v>
      </c>
      <c r="X179" s="29">
        <f t="shared" ca="1" si="146"/>
        <v>2385312.5000000009</v>
      </c>
      <c r="Y179" s="29">
        <f t="shared" ca="1" si="146"/>
        <v>2385312.5000000009</v>
      </c>
      <c r="Z179" s="29">
        <f t="shared" ca="1" si="146"/>
        <v>2235979.166666667</v>
      </c>
      <c r="AA179" s="29">
        <f t="shared" ca="1" si="146"/>
        <v>2148333.333333334</v>
      </c>
      <c r="AB179" s="29">
        <f t="shared" ca="1" si="146"/>
        <v>2148333.333333334</v>
      </c>
      <c r="AC179" s="29">
        <f t="shared" ca="1" si="146"/>
        <v>2148333.333333334</v>
      </c>
      <c r="AD179" s="29">
        <f t="shared" ca="1" si="146"/>
        <v>2148333.3333333344</v>
      </c>
      <c r="AE179" s="29">
        <f t="shared" ca="1" si="146"/>
        <v>11248708.333333332</v>
      </c>
      <c r="AF179" s="29">
        <f t="shared" ca="1" si="146"/>
        <v>11248708.333333332</v>
      </c>
      <c r="AG179" s="29">
        <f t="shared" ca="1" si="146"/>
        <v>11248708.333333332</v>
      </c>
      <c r="AH179" s="29">
        <f t="shared" ca="1" si="146"/>
        <v>11248708.333333332</v>
      </c>
      <c r="AI179" s="29">
        <f t="shared" ca="1" si="146"/>
        <v>10452583.333333332</v>
      </c>
      <c r="AJ179" s="29">
        <f t="shared" ca="1" si="146"/>
        <v>10452583.333333332</v>
      </c>
      <c r="AK179" s="29">
        <f t="shared" ca="1" si="146"/>
        <v>10452583.333333332</v>
      </c>
      <c r="AL179" s="29">
        <f t="shared" ca="1" si="146"/>
        <v>10452583.333333332</v>
      </c>
      <c r="AM179" s="29">
        <f t="shared" ca="1" si="146"/>
        <v>9014374.9999999981</v>
      </c>
      <c r="AN179" s="29">
        <f t="shared" ca="1" si="146"/>
        <v>9014374.9999999981</v>
      </c>
      <c r="AO179" s="29">
        <f t="shared" ca="1" si="146"/>
        <v>9014374.9999999981</v>
      </c>
      <c r="AP179" s="29">
        <f t="shared" ca="1" si="146"/>
        <v>9014374.9999999981</v>
      </c>
      <c r="AQ179" s="29">
        <f t="shared" ca="1" si="146"/>
        <v>10540312.499999996</v>
      </c>
      <c r="AR179" s="29">
        <f t="shared" ca="1" si="146"/>
        <v>10540312.499999996</v>
      </c>
      <c r="AS179" s="29">
        <f t="shared" ca="1" si="146"/>
        <v>10540312.499999996</v>
      </c>
      <c r="AT179" s="29">
        <f t="shared" ca="1" si="146"/>
        <v>10540312.499999996</v>
      </c>
      <c r="AU179" s="29">
        <f t="shared" ca="1" si="146"/>
        <v>0</v>
      </c>
      <c r="AV179" s="29">
        <f t="shared" ca="1" si="146"/>
        <v>0</v>
      </c>
      <c r="AW179" s="29">
        <f t="shared" ca="1" si="146"/>
        <v>0</v>
      </c>
      <c r="AX179" s="29">
        <f t="shared" ca="1" si="146"/>
        <v>0</v>
      </c>
      <c r="AY179" s="29">
        <f t="shared" ca="1" si="146"/>
        <v>0</v>
      </c>
      <c r="AZ179" s="29">
        <f t="shared" ca="1" si="146"/>
        <v>0</v>
      </c>
      <c r="BA179" s="29">
        <f t="shared" ca="1" si="146"/>
        <v>0</v>
      </c>
      <c r="BB179" s="29">
        <f t="shared" ca="1" si="146"/>
        <v>0</v>
      </c>
      <c r="BC179" s="29">
        <f t="shared" ca="1" si="146"/>
        <v>0</v>
      </c>
      <c r="BD179" s="29">
        <f t="shared" ca="1" si="146"/>
        <v>0</v>
      </c>
      <c r="BE179" s="29">
        <f t="shared" ca="1" si="146"/>
        <v>0</v>
      </c>
      <c r="BF179" s="29">
        <f t="shared" ca="1" si="146"/>
        <v>0</v>
      </c>
      <c r="BG179" s="29">
        <f t="shared" ca="1" si="146"/>
        <v>0</v>
      </c>
      <c r="BH179" s="29">
        <f t="shared" ca="1" si="146"/>
        <v>0</v>
      </c>
      <c r="BI179" s="29">
        <f t="shared" ca="1" si="146"/>
        <v>0</v>
      </c>
      <c r="BJ179" s="29">
        <f t="shared" ca="1" si="146"/>
        <v>0</v>
      </c>
      <c r="BK179" s="29">
        <f t="shared" ca="1" si="146"/>
        <v>0</v>
      </c>
      <c r="BL179" s="29">
        <f t="shared" ca="1" si="146"/>
        <v>0</v>
      </c>
      <c r="BM179" s="29">
        <f t="shared" ca="1" si="146"/>
        <v>0</v>
      </c>
      <c r="BN179" s="29">
        <f t="shared" ca="1" si="146"/>
        <v>0</v>
      </c>
      <c r="BO179" s="29">
        <f t="shared" ca="1" si="146"/>
        <v>0</v>
      </c>
      <c r="BP179" s="29">
        <f t="shared" ca="1" si="146"/>
        <v>0</v>
      </c>
      <c r="BQ179" s="29">
        <f t="shared" ca="1" si="146"/>
        <v>0</v>
      </c>
      <c r="BR179" s="29">
        <f t="shared" ca="1" si="146"/>
        <v>0</v>
      </c>
      <c r="BS179" s="29">
        <f t="shared" ca="1" si="146"/>
        <v>0</v>
      </c>
      <c r="BT179" s="29">
        <f t="shared" ca="1" si="146"/>
        <v>0</v>
      </c>
      <c r="BU179" s="29">
        <f t="shared" ca="1" si="146"/>
        <v>0</v>
      </c>
      <c r="BV179" s="29">
        <f t="shared" ca="1" si="146"/>
        <v>0</v>
      </c>
      <c r="BW179" s="29">
        <f t="shared" ca="1" si="146"/>
        <v>0</v>
      </c>
      <c r="BX179" s="29">
        <f t="shared" ca="1" si="146"/>
        <v>0</v>
      </c>
      <c r="BY179" s="29">
        <f t="shared" ca="1" si="146"/>
        <v>0</v>
      </c>
      <c r="BZ179" s="29">
        <f t="shared" ca="1" si="146"/>
        <v>0</v>
      </c>
      <c r="CA179" s="29">
        <f t="shared" ca="1" si="146"/>
        <v>0</v>
      </c>
      <c r="CB179" s="29">
        <f t="shared" ca="1" si="146"/>
        <v>0</v>
      </c>
      <c r="CC179" s="29">
        <f t="shared" ca="1" si="146"/>
        <v>0</v>
      </c>
      <c r="CD179" s="29">
        <f t="shared" ca="1" si="146"/>
        <v>0</v>
      </c>
      <c r="CE179" s="29">
        <f t="shared" si="146"/>
        <v>0</v>
      </c>
      <c r="CF179" s="29">
        <f t="shared" si="146"/>
        <v>0</v>
      </c>
      <c r="CG179" s="29">
        <f t="shared" si="146"/>
        <v>0</v>
      </c>
      <c r="CH179" s="29">
        <f t="shared" si="146"/>
        <v>0</v>
      </c>
    </row>
    <row r="180" spans="1:86" ht="13" hidden="1" outlineLevel="1">
      <c r="B180" s="84">
        <f t="shared" si="71"/>
        <v>77</v>
      </c>
      <c r="C180" s="64">
        <f t="shared" ca="1" si="69"/>
        <v>0.49521884822756768</v>
      </c>
      <c r="D180" s="15" t="s">
        <v>238</v>
      </c>
      <c r="E180" s="29">
        <f t="shared" ca="1" si="59"/>
        <v>164639583.33333331</v>
      </c>
      <c r="F180" s="29"/>
      <c r="G180" s="29">
        <f t="shared" ref="G180:CH180" ca="1" si="147">IF(G$4&lt;=$B180,ABS(G$31)*-1+G$47,0)+IF($B180=G$4,G$81,0)</f>
        <v>-1444375</v>
      </c>
      <c r="H180" s="29">
        <f t="shared" ca="1" si="147"/>
        <v>-1344375</v>
      </c>
      <c r="I180" s="29">
        <f t="shared" ca="1" si="147"/>
        <v>-1344375</v>
      </c>
      <c r="J180" s="29">
        <f t="shared" ca="1" si="147"/>
        <v>-1344375</v>
      </c>
      <c r="K180" s="29">
        <f t="shared" ca="1" si="147"/>
        <v>-1344375</v>
      </c>
      <c r="L180" s="29">
        <f t="shared" ca="1" si="147"/>
        <v>-1344375</v>
      </c>
      <c r="M180" s="29">
        <f t="shared" ca="1" si="147"/>
        <v>-1344375</v>
      </c>
      <c r="N180" s="29">
        <f t="shared" ca="1" si="147"/>
        <v>-1344375</v>
      </c>
      <c r="O180" s="29">
        <f t="shared" ca="1" si="147"/>
        <v>-1344375</v>
      </c>
      <c r="P180" s="29">
        <f t="shared" ca="1" si="147"/>
        <v>-1344375</v>
      </c>
      <c r="Q180" s="29">
        <f t="shared" ca="1" si="147"/>
        <v>-1344375</v>
      </c>
      <c r="R180" s="29">
        <f t="shared" ca="1" si="147"/>
        <v>-1344375</v>
      </c>
      <c r="S180" s="29">
        <f t="shared" ca="1" si="147"/>
        <v>-534270.83333333279</v>
      </c>
      <c r="T180" s="29">
        <f t="shared" ca="1" si="147"/>
        <v>-534270.83333333279</v>
      </c>
      <c r="U180" s="29">
        <f t="shared" ca="1" si="147"/>
        <v>-534270.83333333279</v>
      </c>
      <c r="V180" s="29">
        <f t="shared" ca="1" si="147"/>
        <v>-534270.83333333279</v>
      </c>
      <c r="W180" s="29">
        <f t="shared" ca="1" si="147"/>
        <v>2385312.5000000009</v>
      </c>
      <c r="X180" s="29">
        <f t="shared" ca="1" si="147"/>
        <v>2385312.5000000009</v>
      </c>
      <c r="Y180" s="29">
        <f t="shared" ca="1" si="147"/>
        <v>2385312.5000000009</v>
      </c>
      <c r="Z180" s="29">
        <f t="shared" ca="1" si="147"/>
        <v>2235979.166666667</v>
      </c>
      <c r="AA180" s="29">
        <f t="shared" ca="1" si="147"/>
        <v>2148333.333333334</v>
      </c>
      <c r="AB180" s="29">
        <f t="shared" ca="1" si="147"/>
        <v>2148333.333333334</v>
      </c>
      <c r="AC180" s="29">
        <f t="shared" ca="1" si="147"/>
        <v>2148333.333333334</v>
      </c>
      <c r="AD180" s="29">
        <f t="shared" ca="1" si="147"/>
        <v>2148333.3333333344</v>
      </c>
      <c r="AE180" s="29">
        <f t="shared" ca="1" si="147"/>
        <v>11248708.333333332</v>
      </c>
      <c r="AF180" s="29">
        <f t="shared" ca="1" si="147"/>
        <v>11248708.333333332</v>
      </c>
      <c r="AG180" s="29">
        <f t="shared" ca="1" si="147"/>
        <v>11248708.333333332</v>
      </c>
      <c r="AH180" s="29">
        <f t="shared" ca="1" si="147"/>
        <v>11248708.333333332</v>
      </c>
      <c r="AI180" s="29">
        <f t="shared" ca="1" si="147"/>
        <v>10452583.333333332</v>
      </c>
      <c r="AJ180" s="29">
        <f t="shared" ca="1" si="147"/>
        <v>10452583.333333332</v>
      </c>
      <c r="AK180" s="29">
        <f t="shared" ca="1" si="147"/>
        <v>10452583.333333332</v>
      </c>
      <c r="AL180" s="29">
        <f t="shared" ca="1" si="147"/>
        <v>10452583.333333332</v>
      </c>
      <c r="AM180" s="29">
        <f t="shared" ca="1" si="147"/>
        <v>9014374.9999999981</v>
      </c>
      <c r="AN180" s="29">
        <f t="shared" ca="1" si="147"/>
        <v>9014374.9999999981</v>
      </c>
      <c r="AO180" s="29">
        <f t="shared" ca="1" si="147"/>
        <v>9014374.9999999981</v>
      </c>
      <c r="AP180" s="29">
        <f t="shared" ca="1" si="147"/>
        <v>9014374.9999999981</v>
      </c>
      <c r="AQ180" s="29">
        <f t="shared" ca="1" si="147"/>
        <v>10540312.499999996</v>
      </c>
      <c r="AR180" s="29">
        <f t="shared" ca="1" si="147"/>
        <v>10540312.499999996</v>
      </c>
      <c r="AS180" s="29">
        <f t="shared" ca="1" si="147"/>
        <v>10540312.499999996</v>
      </c>
      <c r="AT180" s="29">
        <f t="shared" ca="1" si="147"/>
        <v>10540312.499999996</v>
      </c>
      <c r="AU180" s="29">
        <f t="shared" ca="1" si="147"/>
        <v>0</v>
      </c>
      <c r="AV180" s="29">
        <f t="shared" ca="1" si="147"/>
        <v>0</v>
      </c>
      <c r="AW180" s="29">
        <f t="shared" ca="1" si="147"/>
        <v>0</v>
      </c>
      <c r="AX180" s="29">
        <f t="shared" ca="1" si="147"/>
        <v>0</v>
      </c>
      <c r="AY180" s="29">
        <f t="shared" ca="1" si="147"/>
        <v>0</v>
      </c>
      <c r="AZ180" s="29">
        <f t="shared" ca="1" si="147"/>
        <v>0</v>
      </c>
      <c r="BA180" s="29">
        <f t="shared" ca="1" si="147"/>
        <v>0</v>
      </c>
      <c r="BB180" s="29">
        <f t="shared" ca="1" si="147"/>
        <v>0</v>
      </c>
      <c r="BC180" s="29">
        <f t="shared" ca="1" si="147"/>
        <v>0</v>
      </c>
      <c r="BD180" s="29">
        <f t="shared" ca="1" si="147"/>
        <v>0</v>
      </c>
      <c r="BE180" s="29">
        <f t="shared" ca="1" si="147"/>
        <v>0</v>
      </c>
      <c r="BF180" s="29">
        <f t="shared" ca="1" si="147"/>
        <v>0</v>
      </c>
      <c r="BG180" s="29">
        <f t="shared" ca="1" si="147"/>
        <v>0</v>
      </c>
      <c r="BH180" s="29">
        <f t="shared" ca="1" si="147"/>
        <v>0</v>
      </c>
      <c r="BI180" s="29">
        <f t="shared" ca="1" si="147"/>
        <v>0</v>
      </c>
      <c r="BJ180" s="29">
        <f t="shared" ca="1" si="147"/>
        <v>0</v>
      </c>
      <c r="BK180" s="29">
        <f t="shared" ca="1" si="147"/>
        <v>0</v>
      </c>
      <c r="BL180" s="29">
        <f t="shared" ca="1" si="147"/>
        <v>0</v>
      </c>
      <c r="BM180" s="29">
        <f t="shared" ca="1" si="147"/>
        <v>0</v>
      </c>
      <c r="BN180" s="29">
        <f t="shared" ca="1" si="147"/>
        <v>0</v>
      </c>
      <c r="BO180" s="29">
        <f t="shared" ca="1" si="147"/>
        <v>0</v>
      </c>
      <c r="BP180" s="29">
        <f t="shared" ca="1" si="147"/>
        <v>0</v>
      </c>
      <c r="BQ180" s="29">
        <f t="shared" ca="1" si="147"/>
        <v>0</v>
      </c>
      <c r="BR180" s="29">
        <f t="shared" ca="1" si="147"/>
        <v>0</v>
      </c>
      <c r="BS180" s="29">
        <f t="shared" ca="1" si="147"/>
        <v>0</v>
      </c>
      <c r="BT180" s="29">
        <f t="shared" ca="1" si="147"/>
        <v>0</v>
      </c>
      <c r="BU180" s="29">
        <f t="shared" ca="1" si="147"/>
        <v>0</v>
      </c>
      <c r="BV180" s="29">
        <f t="shared" ca="1" si="147"/>
        <v>0</v>
      </c>
      <c r="BW180" s="29">
        <f t="shared" ca="1" si="147"/>
        <v>0</v>
      </c>
      <c r="BX180" s="29">
        <f t="shared" ca="1" si="147"/>
        <v>0</v>
      </c>
      <c r="BY180" s="29">
        <f t="shared" ca="1" si="147"/>
        <v>0</v>
      </c>
      <c r="BZ180" s="29">
        <f t="shared" ca="1" si="147"/>
        <v>0</v>
      </c>
      <c r="CA180" s="29">
        <f t="shared" ca="1" si="147"/>
        <v>0</v>
      </c>
      <c r="CB180" s="29">
        <f t="shared" ca="1" si="147"/>
        <v>0</v>
      </c>
      <c r="CC180" s="29">
        <f t="shared" ca="1" si="147"/>
        <v>0</v>
      </c>
      <c r="CD180" s="29">
        <f t="shared" ca="1" si="147"/>
        <v>0</v>
      </c>
      <c r="CE180" s="29">
        <f t="shared" ca="1" si="147"/>
        <v>0</v>
      </c>
      <c r="CF180" s="29">
        <f t="shared" si="147"/>
        <v>0</v>
      </c>
      <c r="CG180" s="29">
        <f t="shared" si="147"/>
        <v>0</v>
      </c>
      <c r="CH180" s="29">
        <f t="shared" si="147"/>
        <v>0</v>
      </c>
    </row>
    <row r="181" spans="1:86" ht="13" hidden="1" outlineLevel="1">
      <c r="B181" s="84">
        <f t="shared" si="71"/>
        <v>78</v>
      </c>
      <c r="C181" s="64">
        <f t="shared" ca="1" si="69"/>
        <v>0.49521884822756768</v>
      </c>
      <c r="D181" s="15" t="s">
        <v>238</v>
      </c>
      <c r="E181" s="29">
        <f t="shared" ca="1" si="59"/>
        <v>164639583.33333331</v>
      </c>
      <c r="F181" s="29"/>
      <c r="G181" s="29">
        <f t="shared" ref="G181:CH181" ca="1" si="148">IF(G$4&lt;=$B181,ABS(G$31)*-1+G$47,0)+IF($B181=G$4,G$81,0)</f>
        <v>-1444375</v>
      </c>
      <c r="H181" s="29">
        <f t="shared" ca="1" si="148"/>
        <v>-1344375</v>
      </c>
      <c r="I181" s="29">
        <f t="shared" ca="1" si="148"/>
        <v>-1344375</v>
      </c>
      <c r="J181" s="29">
        <f t="shared" ca="1" si="148"/>
        <v>-1344375</v>
      </c>
      <c r="K181" s="29">
        <f t="shared" ca="1" si="148"/>
        <v>-1344375</v>
      </c>
      <c r="L181" s="29">
        <f t="shared" ca="1" si="148"/>
        <v>-1344375</v>
      </c>
      <c r="M181" s="29">
        <f t="shared" ca="1" si="148"/>
        <v>-1344375</v>
      </c>
      <c r="N181" s="29">
        <f t="shared" ca="1" si="148"/>
        <v>-1344375</v>
      </c>
      <c r="O181" s="29">
        <f t="shared" ca="1" si="148"/>
        <v>-1344375</v>
      </c>
      <c r="P181" s="29">
        <f t="shared" ca="1" si="148"/>
        <v>-1344375</v>
      </c>
      <c r="Q181" s="29">
        <f t="shared" ca="1" si="148"/>
        <v>-1344375</v>
      </c>
      <c r="R181" s="29">
        <f t="shared" ca="1" si="148"/>
        <v>-1344375</v>
      </c>
      <c r="S181" s="29">
        <f t="shared" ca="1" si="148"/>
        <v>-534270.83333333279</v>
      </c>
      <c r="T181" s="29">
        <f t="shared" ca="1" si="148"/>
        <v>-534270.83333333279</v>
      </c>
      <c r="U181" s="29">
        <f t="shared" ca="1" si="148"/>
        <v>-534270.83333333279</v>
      </c>
      <c r="V181" s="29">
        <f t="shared" ca="1" si="148"/>
        <v>-534270.83333333279</v>
      </c>
      <c r="W181" s="29">
        <f t="shared" ca="1" si="148"/>
        <v>2385312.5000000009</v>
      </c>
      <c r="X181" s="29">
        <f t="shared" ca="1" si="148"/>
        <v>2385312.5000000009</v>
      </c>
      <c r="Y181" s="29">
        <f t="shared" ca="1" si="148"/>
        <v>2385312.5000000009</v>
      </c>
      <c r="Z181" s="29">
        <f t="shared" ca="1" si="148"/>
        <v>2235979.166666667</v>
      </c>
      <c r="AA181" s="29">
        <f t="shared" ca="1" si="148"/>
        <v>2148333.333333334</v>
      </c>
      <c r="AB181" s="29">
        <f t="shared" ca="1" si="148"/>
        <v>2148333.333333334</v>
      </c>
      <c r="AC181" s="29">
        <f t="shared" ca="1" si="148"/>
        <v>2148333.333333334</v>
      </c>
      <c r="AD181" s="29">
        <f t="shared" ca="1" si="148"/>
        <v>2148333.3333333344</v>
      </c>
      <c r="AE181" s="29">
        <f t="shared" ca="1" si="148"/>
        <v>11248708.333333332</v>
      </c>
      <c r="AF181" s="29">
        <f t="shared" ca="1" si="148"/>
        <v>11248708.333333332</v>
      </c>
      <c r="AG181" s="29">
        <f t="shared" ca="1" si="148"/>
        <v>11248708.333333332</v>
      </c>
      <c r="AH181" s="29">
        <f t="shared" ca="1" si="148"/>
        <v>11248708.333333332</v>
      </c>
      <c r="AI181" s="29">
        <f t="shared" ca="1" si="148"/>
        <v>10452583.333333332</v>
      </c>
      <c r="AJ181" s="29">
        <f t="shared" ca="1" si="148"/>
        <v>10452583.333333332</v>
      </c>
      <c r="AK181" s="29">
        <f t="shared" ca="1" si="148"/>
        <v>10452583.333333332</v>
      </c>
      <c r="AL181" s="29">
        <f t="shared" ca="1" si="148"/>
        <v>10452583.333333332</v>
      </c>
      <c r="AM181" s="29">
        <f t="shared" ca="1" si="148"/>
        <v>9014374.9999999981</v>
      </c>
      <c r="AN181" s="29">
        <f t="shared" ca="1" si="148"/>
        <v>9014374.9999999981</v>
      </c>
      <c r="AO181" s="29">
        <f t="shared" ca="1" si="148"/>
        <v>9014374.9999999981</v>
      </c>
      <c r="AP181" s="29">
        <f t="shared" ca="1" si="148"/>
        <v>9014374.9999999981</v>
      </c>
      <c r="AQ181" s="29">
        <f t="shared" ca="1" si="148"/>
        <v>10540312.499999996</v>
      </c>
      <c r="AR181" s="29">
        <f t="shared" ca="1" si="148"/>
        <v>10540312.499999996</v>
      </c>
      <c r="AS181" s="29">
        <f t="shared" ca="1" si="148"/>
        <v>10540312.499999996</v>
      </c>
      <c r="AT181" s="29">
        <f t="shared" ca="1" si="148"/>
        <v>10540312.499999996</v>
      </c>
      <c r="AU181" s="29">
        <f t="shared" ca="1" si="148"/>
        <v>0</v>
      </c>
      <c r="AV181" s="29">
        <f t="shared" ca="1" si="148"/>
        <v>0</v>
      </c>
      <c r="AW181" s="29">
        <f t="shared" ca="1" si="148"/>
        <v>0</v>
      </c>
      <c r="AX181" s="29">
        <f t="shared" ca="1" si="148"/>
        <v>0</v>
      </c>
      <c r="AY181" s="29">
        <f t="shared" ca="1" si="148"/>
        <v>0</v>
      </c>
      <c r="AZ181" s="29">
        <f t="shared" ca="1" si="148"/>
        <v>0</v>
      </c>
      <c r="BA181" s="29">
        <f t="shared" ca="1" si="148"/>
        <v>0</v>
      </c>
      <c r="BB181" s="29">
        <f t="shared" ca="1" si="148"/>
        <v>0</v>
      </c>
      <c r="BC181" s="29">
        <f t="shared" ca="1" si="148"/>
        <v>0</v>
      </c>
      <c r="BD181" s="29">
        <f t="shared" ca="1" si="148"/>
        <v>0</v>
      </c>
      <c r="BE181" s="29">
        <f t="shared" ca="1" si="148"/>
        <v>0</v>
      </c>
      <c r="BF181" s="29">
        <f t="shared" ca="1" si="148"/>
        <v>0</v>
      </c>
      <c r="BG181" s="29">
        <f t="shared" ca="1" si="148"/>
        <v>0</v>
      </c>
      <c r="BH181" s="29">
        <f t="shared" ca="1" si="148"/>
        <v>0</v>
      </c>
      <c r="BI181" s="29">
        <f t="shared" ca="1" si="148"/>
        <v>0</v>
      </c>
      <c r="BJ181" s="29">
        <f t="shared" ca="1" si="148"/>
        <v>0</v>
      </c>
      <c r="BK181" s="29">
        <f t="shared" ca="1" si="148"/>
        <v>0</v>
      </c>
      <c r="BL181" s="29">
        <f t="shared" ca="1" si="148"/>
        <v>0</v>
      </c>
      <c r="BM181" s="29">
        <f t="shared" ca="1" si="148"/>
        <v>0</v>
      </c>
      <c r="BN181" s="29">
        <f t="shared" ca="1" si="148"/>
        <v>0</v>
      </c>
      <c r="BO181" s="29">
        <f t="shared" ca="1" si="148"/>
        <v>0</v>
      </c>
      <c r="BP181" s="29">
        <f t="shared" ca="1" si="148"/>
        <v>0</v>
      </c>
      <c r="BQ181" s="29">
        <f t="shared" ca="1" si="148"/>
        <v>0</v>
      </c>
      <c r="BR181" s="29">
        <f t="shared" ca="1" si="148"/>
        <v>0</v>
      </c>
      <c r="BS181" s="29">
        <f t="shared" ca="1" si="148"/>
        <v>0</v>
      </c>
      <c r="BT181" s="29">
        <f t="shared" ca="1" si="148"/>
        <v>0</v>
      </c>
      <c r="BU181" s="29">
        <f t="shared" ca="1" si="148"/>
        <v>0</v>
      </c>
      <c r="BV181" s="29">
        <f t="shared" ca="1" si="148"/>
        <v>0</v>
      </c>
      <c r="BW181" s="29">
        <f t="shared" ca="1" si="148"/>
        <v>0</v>
      </c>
      <c r="BX181" s="29">
        <f t="shared" ca="1" si="148"/>
        <v>0</v>
      </c>
      <c r="BY181" s="29">
        <f t="shared" ca="1" si="148"/>
        <v>0</v>
      </c>
      <c r="BZ181" s="29">
        <f t="shared" ca="1" si="148"/>
        <v>0</v>
      </c>
      <c r="CA181" s="29">
        <f t="shared" ca="1" si="148"/>
        <v>0</v>
      </c>
      <c r="CB181" s="29">
        <f t="shared" ca="1" si="148"/>
        <v>0</v>
      </c>
      <c r="CC181" s="29">
        <f t="shared" ca="1" si="148"/>
        <v>0</v>
      </c>
      <c r="CD181" s="29">
        <f t="shared" ca="1" si="148"/>
        <v>0</v>
      </c>
      <c r="CE181" s="29">
        <f t="shared" ca="1" si="148"/>
        <v>0</v>
      </c>
      <c r="CF181" s="29">
        <f t="shared" ca="1" si="148"/>
        <v>0</v>
      </c>
      <c r="CG181" s="29">
        <f t="shared" si="148"/>
        <v>0</v>
      </c>
      <c r="CH181" s="29">
        <f t="shared" si="148"/>
        <v>0</v>
      </c>
    </row>
    <row r="182" spans="1:86" ht="13" hidden="1" outlineLevel="1">
      <c r="B182" s="84">
        <f t="shared" si="71"/>
        <v>79</v>
      </c>
      <c r="C182" s="64">
        <f t="shared" ca="1" si="69"/>
        <v>0.49521884822756768</v>
      </c>
      <c r="D182" s="15" t="s">
        <v>238</v>
      </c>
      <c r="E182" s="29">
        <f t="shared" ca="1" si="59"/>
        <v>164639583.33333331</v>
      </c>
      <c r="F182" s="29"/>
      <c r="G182" s="29">
        <f t="shared" ref="G182:CH182" ca="1" si="149">IF(G$4&lt;=$B182,ABS(G$31)*-1+G$47,0)+IF($B182=G$4,G$81,0)</f>
        <v>-1444375</v>
      </c>
      <c r="H182" s="29">
        <f t="shared" ca="1" si="149"/>
        <v>-1344375</v>
      </c>
      <c r="I182" s="29">
        <f t="shared" ca="1" si="149"/>
        <v>-1344375</v>
      </c>
      <c r="J182" s="29">
        <f t="shared" ca="1" si="149"/>
        <v>-1344375</v>
      </c>
      <c r="K182" s="29">
        <f t="shared" ca="1" si="149"/>
        <v>-1344375</v>
      </c>
      <c r="L182" s="29">
        <f t="shared" ca="1" si="149"/>
        <v>-1344375</v>
      </c>
      <c r="M182" s="29">
        <f t="shared" ca="1" si="149"/>
        <v>-1344375</v>
      </c>
      <c r="N182" s="29">
        <f t="shared" ca="1" si="149"/>
        <v>-1344375</v>
      </c>
      <c r="O182" s="29">
        <f t="shared" ca="1" si="149"/>
        <v>-1344375</v>
      </c>
      <c r="P182" s="29">
        <f t="shared" ca="1" si="149"/>
        <v>-1344375</v>
      </c>
      <c r="Q182" s="29">
        <f t="shared" ca="1" si="149"/>
        <v>-1344375</v>
      </c>
      <c r="R182" s="29">
        <f t="shared" ca="1" si="149"/>
        <v>-1344375</v>
      </c>
      <c r="S182" s="29">
        <f t="shared" ca="1" si="149"/>
        <v>-534270.83333333279</v>
      </c>
      <c r="T182" s="29">
        <f t="shared" ca="1" si="149"/>
        <v>-534270.83333333279</v>
      </c>
      <c r="U182" s="29">
        <f t="shared" ca="1" si="149"/>
        <v>-534270.83333333279</v>
      </c>
      <c r="V182" s="29">
        <f t="shared" ca="1" si="149"/>
        <v>-534270.83333333279</v>
      </c>
      <c r="W182" s="29">
        <f t="shared" ca="1" si="149"/>
        <v>2385312.5000000009</v>
      </c>
      <c r="X182" s="29">
        <f t="shared" ca="1" si="149"/>
        <v>2385312.5000000009</v>
      </c>
      <c r="Y182" s="29">
        <f t="shared" ca="1" si="149"/>
        <v>2385312.5000000009</v>
      </c>
      <c r="Z182" s="29">
        <f t="shared" ca="1" si="149"/>
        <v>2235979.166666667</v>
      </c>
      <c r="AA182" s="29">
        <f t="shared" ca="1" si="149"/>
        <v>2148333.333333334</v>
      </c>
      <c r="AB182" s="29">
        <f t="shared" ca="1" si="149"/>
        <v>2148333.333333334</v>
      </c>
      <c r="AC182" s="29">
        <f t="shared" ca="1" si="149"/>
        <v>2148333.333333334</v>
      </c>
      <c r="AD182" s="29">
        <f t="shared" ca="1" si="149"/>
        <v>2148333.3333333344</v>
      </c>
      <c r="AE182" s="29">
        <f t="shared" ca="1" si="149"/>
        <v>11248708.333333332</v>
      </c>
      <c r="AF182" s="29">
        <f t="shared" ca="1" si="149"/>
        <v>11248708.333333332</v>
      </c>
      <c r="AG182" s="29">
        <f t="shared" ca="1" si="149"/>
        <v>11248708.333333332</v>
      </c>
      <c r="AH182" s="29">
        <f t="shared" ca="1" si="149"/>
        <v>11248708.333333332</v>
      </c>
      <c r="AI182" s="29">
        <f t="shared" ca="1" si="149"/>
        <v>10452583.333333332</v>
      </c>
      <c r="AJ182" s="29">
        <f t="shared" ca="1" si="149"/>
        <v>10452583.333333332</v>
      </c>
      <c r="AK182" s="29">
        <f t="shared" ca="1" si="149"/>
        <v>10452583.333333332</v>
      </c>
      <c r="AL182" s="29">
        <f t="shared" ca="1" si="149"/>
        <v>10452583.333333332</v>
      </c>
      <c r="AM182" s="29">
        <f t="shared" ca="1" si="149"/>
        <v>9014374.9999999981</v>
      </c>
      <c r="AN182" s="29">
        <f t="shared" ca="1" si="149"/>
        <v>9014374.9999999981</v>
      </c>
      <c r="AO182" s="29">
        <f t="shared" ca="1" si="149"/>
        <v>9014374.9999999981</v>
      </c>
      <c r="AP182" s="29">
        <f t="shared" ca="1" si="149"/>
        <v>9014374.9999999981</v>
      </c>
      <c r="AQ182" s="29">
        <f t="shared" ca="1" si="149"/>
        <v>10540312.499999996</v>
      </c>
      <c r="AR182" s="29">
        <f t="shared" ca="1" si="149"/>
        <v>10540312.499999996</v>
      </c>
      <c r="AS182" s="29">
        <f t="shared" ca="1" si="149"/>
        <v>10540312.499999996</v>
      </c>
      <c r="AT182" s="29">
        <f t="shared" ca="1" si="149"/>
        <v>10540312.499999996</v>
      </c>
      <c r="AU182" s="29">
        <f t="shared" ca="1" si="149"/>
        <v>0</v>
      </c>
      <c r="AV182" s="29">
        <f t="shared" ca="1" si="149"/>
        <v>0</v>
      </c>
      <c r="AW182" s="29">
        <f t="shared" ca="1" si="149"/>
        <v>0</v>
      </c>
      <c r="AX182" s="29">
        <f t="shared" ca="1" si="149"/>
        <v>0</v>
      </c>
      <c r="AY182" s="29">
        <f t="shared" ca="1" si="149"/>
        <v>0</v>
      </c>
      <c r="AZ182" s="29">
        <f t="shared" ca="1" si="149"/>
        <v>0</v>
      </c>
      <c r="BA182" s="29">
        <f t="shared" ca="1" si="149"/>
        <v>0</v>
      </c>
      <c r="BB182" s="29">
        <f t="shared" ca="1" si="149"/>
        <v>0</v>
      </c>
      <c r="BC182" s="29">
        <f t="shared" ca="1" si="149"/>
        <v>0</v>
      </c>
      <c r="BD182" s="29">
        <f t="shared" ca="1" si="149"/>
        <v>0</v>
      </c>
      <c r="BE182" s="29">
        <f t="shared" ca="1" si="149"/>
        <v>0</v>
      </c>
      <c r="BF182" s="29">
        <f t="shared" ca="1" si="149"/>
        <v>0</v>
      </c>
      <c r="BG182" s="29">
        <f t="shared" ca="1" si="149"/>
        <v>0</v>
      </c>
      <c r="BH182" s="29">
        <f t="shared" ca="1" si="149"/>
        <v>0</v>
      </c>
      <c r="BI182" s="29">
        <f t="shared" ca="1" si="149"/>
        <v>0</v>
      </c>
      <c r="BJ182" s="29">
        <f t="shared" ca="1" si="149"/>
        <v>0</v>
      </c>
      <c r="BK182" s="29">
        <f t="shared" ca="1" si="149"/>
        <v>0</v>
      </c>
      <c r="BL182" s="29">
        <f t="shared" ca="1" si="149"/>
        <v>0</v>
      </c>
      <c r="BM182" s="29">
        <f t="shared" ca="1" si="149"/>
        <v>0</v>
      </c>
      <c r="BN182" s="29">
        <f t="shared" ca="1" si="149"/>
        <v>0</v>
      </c>
      <c r="BO182" s="29">
        <f t="shared" ca="1" si="149"/>
        <v>0</v>
      </c>
      <c r="BP182" s="29">
        <f t="shared" ca="1" si="149"/>
        <v>0</v>
      </c>
      <c r="BQ182" s="29">
        <f t="shared" ca="1" si="149"/>
        <v>0</v>
      </c>
      <c r="BR182" s="29">
        <f t="shared" ca="1" si="149"/>
        <v>0</v>
      </c>
      <c r="BS182" s="29">
        <f t="shared" ca="1" si="149"/>
        <v>0</v>
      </c>
      <c r="BT182" s="29">
        <f t="shared" ca="1" si="149"/>
        <v>0</v>
      </c>
      <c r="BU182" s="29">
        <f t="shared" ca="1" si="149"/>
        <v>0</v>
      </c>
      <c r="BV182" s="29">
        <f t="shared" ca="1" si="149"/>
        <v>0</v>
      </c>
      <c r="BW182" s="29">
        <f t="shared" ca="1" si="149"/>
        <v>0</v>
      </c>
      <c r="BX182" s="29">
        <f t="shared" ca="1" si="149"/>
        <v>0</v>
      </c>
      <c r="BY182" s="29">
        <f t="shared" ca="1" si="149"/>
        <v>0</v>
      </c>
      <c r="BZ182" s="29">
        <f t="shared" ca="1" si="149"/>
        <v>0</v>
      </c>
      <c r="CA182" s="29">
        <f t="shared" ca="1" si="149"/>
        <v>0</v>
      </c>
      <c r="CB182" s="29">
        <f t="shared" ca="1" si="149"/>
        <v>0</v>
      </c>
      <c r="CC182" s="29">
        <f t="shared" ca="1" si="149"/>
        <v>0</v>
      </c>
      <c r="CD182" s="29">
        <f t="shared" ca="1" si="149"/>
        <v>0</v>
      </c>
      <c r="CE182" s="29">
        <f t="shared" ca="1" si="149"/>
        <v>0</v>
      </c>
      <c r="CF182" s="29">
        <f t="shared" ca="1" si="149"/>
        <v>0</v>
      </c>
      <c r="CG182" s="29">
        <f t="shared" ca="1" si="149"/>
        <v>0</v>
      </c>
      <c r="CH182" s="29">
        <f t="shared" si="149"/>
        <v>0</v>
      </c>
    </row>
    <row r="183" spans="1:86" ht="13" hidden="1" outlineLevel="1">
      <c r="B183" s="84">
        <f t="shared" si="71"/>
        <v>80</v>
      </c>
      <c r="C183" s="64">
        <f t="shared" ca="1" si="69"/>
        <v>0.49521884822756768</v>
      </c>
      <c r="D183" s="15" t="s">
        <v>238</v>
      </c>
      <c r="E183" s="29">
        <f t="shared" ca="1" si="59"/>
        <v>164639583.33333331</v>
      </c>
      <c r="F183" s="29"/>
      <c r="G183" s="29">
        <f t="shared" ref="G183:CH183" ca="1" si="150">IF(G$4&lt;=$B183,ABS(G$31)*-1+G$47,0)+IF($B183=G$4,G$81,0)</f>
        <v>-1444375</v>
      </c>
      <c r="H183" s="29">
        <f t="shared" ca="1" si="150"/>
        <v>-1344375</v>
      </c>
      <c r="I183" s="29">
        <f t="shared" ca="1" si="150"/>
        <v>-1344375</v>
      </c>
      <c r="J183" s="29">
        <f t="shared" ca="1" si="150"/>
        <v>-1344375</v>
      </c>
      <c r="K183" s="29">
        <f t="shared" ca="1" si="150"/>
        <v>-1344375</v>
      </c>
      <c r="L183" s="29">
        <f t="shared" ca="1" si="150"/>
        <v>-1344375</v>
      </c>
      <c r="M183" s="29">
        <f t="shared" ca="1" si="150"/>
        <v>-1344375</v>
      </c>
      <c r="N183" s="29">
        <f t="shared" ca="1" si="150"/>
        <v>-1344375</v>
      </c>
      <c r="O183" s="29">
        <f t="shared" ca="1" si="150"/>
        <v>-1344375</v>
      </c>
      <c r="P183" s="29">
        <f t="shared" ca="1" si="150"/>
        <v>-1344375</v>
      </c>
      <c r="Q183" s="29">
        <f t="shared" ca="1" si="150"/>
        <v>-1344375</v>
      </c>
      <c r="R183" s="29">
        <f t="shared" ca="1" si="150"/>
        <v>-1344375</v>
      </c>
      <c r="S183" s="29">
        <f t="shared" ca="1" si="150"/>
        <v>-534270.83333333279</v>
      </c>
      <c r="T183" s="29">
        <f t="shared" ca="1" si="150"/>
        <v>-534270.83333333279</v>
      </c>
      <c r="U183" s="29">
        <f t="shared" ca="1" si="150"/>
        <v>-534270.83333333279</v>
      </c>
      <c r="V183" s="29">
        <f t="shared" ca="1" si="150"/>
        <v>-534270.83333333279</v>
      </c>
      <c r="W183" s="29">
        <f t="shared" ca="1" si="150"/>
        <v>2385312.5000000009</v>
      </c>
      <c r="X183" s="29">
        <f t="shared" ca="1" si="150"/>
        <v>2385312.5000000009</v>
      </c>
      <c r="Y183" s="29">
        <f t="shared" ca="1" si="150"/>
        <v>2385312.5000000009</v>
      </c>
      <c r="Z183" s="29">
        <f t="shared" ca="1" si="150"/>
        <v>2235979.166666667</v>
      </c>
      <c r="AA183" s="29">
        <f t="shared" ca="1" si="150"/>
        <v>2148333.333333334</v>
      </c>
      <c r="AB183" s="29">
        <f t="shared" ca="1" si="150"/>
        <v>2148333.333333334</v>
      </c>
      <c r="AC183" s="29">
        <f t="shared" ca="1" si="150"/>
        <v>2148333.333333334</v>
      </c>
      <c r="AD183" s="29">
        <f t="shared" ca="1" si="150"/>
        <v>2148333.3333333344</v>
      </c>
      <c r="AE183" s="29">
        <f t="shared" ca="1" si="150"/>
        <v>11248708.333333332</v>
      </c>
      <c r="AF183" s="29">
        <f t="shared" ca="1" si="150"/>
        <v>11248708.333333332</v>
      </c>
      <c r="AG183" s="29">
        <f t="shared" ca="1" si="150"/>
        <v>11248708.333333332</v>
      </c>
      <c r="AH183" s="29">
        <f t="shared" ca="1" si="150"/>
        <v>11248708.333333332</v>
      </c>
      <c r="AI183" s="29">
        <f t="shared" ca="1" si="150"/>
        <v>10452583.333333332</v>
      </c>
      <c r="AJ183" s="29">
        <f t="shared" ca="1" si="150"/>
        <v>10452583.333333332</v>
      </c>
      <c r="AK183" s="29">
        <f t="shared" ca="1" si="150"/>
        <v>10452583.333333332</v>
      </c>
      <c r="AL183" s="29">
        <f t="shared" ca="1" si="150"/>
        <v>10452583.333333332</v>
      </c>
      <c r="AM183" s="29">
        <f t="shared" ca="1" si="150"/>
        <v>9014374.9999999981</v>
      </c>
      <c r="AN183" s="29">
        <f t="shared" ca="1" si="150"/>
        <v>9014374.9999999981</v>
      </c>
      <c r="AO183" s="29">
        <f t="shared" ca="1" si="150"/>
        <v>9014374.9999999981</v>
      </c>
      <c r="AP183" s="29">
        <f t="shared" ca="1" si="150"/>
        <v>9014374.9999999981</v>
      </c>
      <c r="AQ183" s="29">
        <f t="shared" ca="1" si="150"/>
        <v>10540312.499999996</v>
      </c>
      <c r="AR183" s="29">
        <f t="shared" ca="1" si="150"/>
        <v>10540312.499999996</v>
      </c>
      <c r="AS183" s="29">
        <f t="shared" ca="1" si="150"/>
        <v>10540312.499999996</v>
      </c>
      <c r="AT183" s="29">
        <f t="shared" ca="1" si="150"/>
        <v>10540312.499999996</v>
      </c>
      <c r="AU183" s="29">
        <f t="shared" ca="1" si="150"/>
        <v>0</v>
      </c>
      <c r="AV183" s="29">
        <f t="shared" ca="1" si="150"/>
        <v>0</v>
      </c>
      <c r="AW183" s="29">
        <f t="shared" ca="1" si="150"/>
        <v>0</v>
      </c>
      <c r="AX183" s="29">
        <f t="shared" ca="1" si="150"/>
        <v>0</v>
      </c>
      <c r="AY183" s="29">
        <f t="shared" ca="1" si="150"/>
        <v>0</v>
      </c>
      <c r="AZ183" s="29">
        <f t="shared" ca="1" si="150"/>
        <v>0</v>
      </c>
      <c r="BA183" s="29">
        <f t="shared" ca="1" si="150"/>
        <v>0</v>
      </c>
      <c r="BB183" s="29">
        <f t="shared" ca="1" si="150"/>
        <v>0</v>
      </c>
      <c r="BC183" s="29">
        <f t="shared" ca="1" si="150"/>
        <v>0</v>
      </c>
      <c r="BD183" s="29">
        <f t="shared" ca="1" si="150"/>
        <v>0</v>
      </c>
      <c r="BE183" s="29">
        <f t="shared" ca="1" si="150"/>
        <v>0</v>
      </c>
      <c r="BF183" s="29">
        <f t="shared" ca="1" si="150"/>
        <v>0</v>
      </c>
      <c r="BG183" s="29">
        <f t="shared" ca="1" si="150"/>
        <v>0</v>
      </c>
      <c r="BH183" s="29">
        <f t="shared" ca="1" si="150"/>
        <v>0</v>
      </c>
      <c r="BI183" s="29">
        <f t="shared" ca="1" si="150"/>
        <v>0</v>
      </c>
      <c r="BJ183" s="29">
        <f t="shared" ca="1" si="150"/>
        <v>0</v>
      </c>
      <c r="BK183" s="29">
        <f t="shared" ca="1" si="150"/>
        <v>0</v>
      </c>
      <c r="BL183" s="29">
        <f t="shared" ca="1" si="150"/>
        <v>0</v>
      </c>
      <c r="BM183" s="29">
        <f t="shared" ca="1" si="150"/>
        <v>0</v>
      </c>
      <c r="BN183" s="29">
        <f t="shared" ca="1" si="150"/>
        <v>0</v>
      </c>
      <c r="BO183" s="29">
        <f t="shared" ca="1" si="150"/>
        <v>0</v>
      </c>
      <c r="BP183" s="29">
        <f t="shared" ca="1" si="150"/>
        <v>0</v>
      </c>
      <c r="BQ183" s="29">
        <f t="shared" ca="1" si="150"/>
        <v>0</v>
      </c>
      <c r="BR183" s="29">
        <f t="shared" ca="1" si="150"/>
        <v>0</v>
      </c>
      <c r="BS183" s="29">
        <f t="shared" ca="1" si="150"/>
        <v>0</v>
      </c>
      <c r="BT183" s="29">
        <f t="shared" ca="1" si="150"/>
        <v>0</v>
      </c>
      <c r="BU183" s="29">
        <f t="shared" ca="1" si="150"/>
        <v>0</v>
      </c>
      <c r="BV183" s="29">
        <f t="shared" ca="1" si="150"/>
        <v>0</v>
      </c>
      <c r="BW183" s="29">
        <f t="shared" ca="1" si="150"/>
        <v>0</v>
      </c>
      <c r="BX183" s="29">
        <f t="shared" ca="1" si="150"/>
        <v>0</v>
      </c>
      <c r="BY183" s="29">
        <f t="shared" ca="1" si="150"/>
        <v>0</v>
      </c>
      <c r="BZ183" s="29">
        <f t="shared" ca="1" si="150"/>
        <v>0</v>
      </c>
      <c r="CA183" s="29">
        <f t="shared" ca="1" si="150"/>
        <v>0</v>
      </c>
      <c r="CB183" s="29">
        <f t="shared" ca="1" si="150"/>
        <v>0</v>
      </c>
      <c r="CC183" s="29">
        <f t="shared" ca="1" si="150"/>
        <v>0</v>
      </c>
      <c r="CD183" s="29">
        <f t="shared" ca="1" si="150"/>
        <v>0</v>
      </c>
      <c r="CE183" s="29">
        <f t="shared" ca="1" si="150"/>
        <v>0</v>
      </c>
      <c r="CF183" s="29">
        <f t="shared" ca="1" si="150"/>
        <v>0</v>
      </c>
      <c r="CG183" s="29">
        <f t="shared" ca="1" si="150"/>
        <v>0</v>
      </c>
      <c r="CH183" s="29">
        <f t="shared" ca="1" si="150"/>
        <v>0</v>
      </c>
    </row>
    <row r="184" spans="1:86" ht="13">
      <c r="A184" s="13"/>
      <c r="B184" s="13" t="s">
        <v>298</v>
      </c>
      <c r="C184" s="13" t="s">
        <v>299</v>
      </c>
      <c r="D184" s="13" t="s">
        <v>247</v>
      </c>
      <c r="E184" s="52">
        <f t="shared" ca="1" si="59"/>
        <v>11.55</v>
      </c>
      <c r="F184" s="48"/>
      <c r="G184" s="52">
        <f t="shared" ref="G184:CH184" ca="1" si="151">IFERROR((G81+G72)/G67,0)</f>
        <v>1</v>
      </c>
      <c r="H184" s="52">
        <f t="shared" ca="1" si="151"/>
        <v>1</v>
      </c>
      <c r="I184" s="52">
        <f t="shared" ca="1" si="151"/>
        <v>1</v>
      </c>
      <c r="J184" s="52">
        <f t="shared" ca="1" si="151"/>
        <v>1</v>
      </c>
      <c r="K184" s="52">
        <f t="shared" ca="1" si="151"/>
        <v>1</v>
      </c>
      <c r="L184" s="52">
        <f t="shared" ca="1" si="151"/>
        <v>1</v>
      </c>
      <c r="M184" s="52">
        <f t="shared" ca="1" si="151"/>
        <v>1</v>
      </c>
      <c r="N184" s="52">
        <f t="shared" ca="1" si="151"/>
        <v>1</v>
      </c>
      <c r="O184" s="52">
        <f t="shared" ca="1" si="151"/>
        <v>1.0487049165943632</v>
      </c>
      <c r="P184" s="52">
        <f t="shared" ca="1" si="151"/>
        <v>1.0929691102788628</v>
      </c>
      <c r="Q184" s="52">
        <f t="shared" ca="1" si="151"/>
        <v>1.1340036873016432</v>
      </c>
      <c r="R184" s="52">
        <f t="shared" ca="1" si="151"/>
        <v>1.1726160518281346</v>
      </c>
      <c r="S184" s="52">
        <f t="shared" ca="1" si="151"/>
        <v>1.2106831758427321</v>
      </c>
      <c r="T184" s="52">
        <f t="shared" ca="1" si="151"/>
        <v>1.2462511822798432</v>
      </c>
      <c r="U184" s="52">
        <f t="shared" ca="1" si="151"/>
        <v>1.2798843880118038</v>
      </c>
      <c r="V184" s="52">
        <f t="shared" ca="1" si="151"/>
        <v>1.3119891011866951</v>
      </c>
      <c r="W184" s="52">
        <f t="shared" ca="1" si="151"/>
        <v>1.4190342194659726</v>
      </c>
      <c r="X184" s="52">
        <f t="shared" ca="1" si="151"/>
        <v>1.5202082800614245</v>
      </c>
      <c r="Y184" s="52">
        <f t="shared" ca="1" si="151"/>
        <v>1.6155112829730511</v>
      </c>
      <c r="Z184" s="52">
        <f t="shared" ca="1" si="151"/>
        <v>1.7049432282008521</v>
      </c>
      <c r="AA184" s="52">
        <f t="shared" ca="1" si="151"/>
        <v>1.7824908935898802</v>
      </c>
      <c r="AB184" s="52">
        <f t="shared" ca="1" si="151"/>
        <v>1.85347439031852</v>
      </c>
      <c r="AC184" s="52">
        <f t="shared" ca="1" si="151"/>
        <v>1.9178937183867717</v>
      </c>
      <c r="AD184" s="52">
        <f t="shared" ca="1" si="151"/>
        <v>1.9757488777946353</v>
      </c>
      <c r="AE184" s="52">
        <f t="shared" ca="1" si="151"/>
        <v>2.5791009379292764</v>
      </c>
      <c r="AF184" s="52">
        <f t="shared" ca="1" si="151"/>
        <v>3.1790689856489345</v>
      </c>
      <c r="AG184" s="52">
        <f t="shared" ca="1" si="151"/>
        <v>3.7756530209536101</v>
      </c>
      <c r="AH184" s="52">
        <f t="shared" ca="1" si="151"/>
        <v>4.3688530438433029</v>
      </c>
      <c r="AI184" s="52">
        <f t="shared" ca="1" si="151"/>
        <v>4.9651334208550013</v>
      </c>
      <c r="AJ184" s="52">
        <f t="shared" ca="1" si="151"/>
        <v>5.5593752361709283</v>
      </c>
      <c r="AK184" s="52">
        <f t="shared" ca="1" si="151"/>
        <v>6.1515784897910812</v>
      </c>
      <c r="AL184" s="52">
        <f t="shared" ca="1" si="151"/>
        <v>6.7417431817154636</v>
      </c>
      <c r="AM184" s="52">
        <f t="shared" ca="1" si="151"/>
        <v>7.264011770474915</v>
      </c>
      <c r="AN184" s="52">
        <f t="shared" ca="1" si="151"/>
        <v>7.7848125948134106</v>
      </c>
      <c r="AO184" s="52">
        <f t="shared" ca="1" si="151"/>
        <v>8.3041456547309487</v>
      </c>
      <c r="AP184" s="52">
        <f t="shared" ca="1" si="151"/>
        <v>8.8220109502275328</v>
      </c>
      <c r="AQ184" s="52">
        <f t="shared" ca="1" si="151"/>
        <v>9.4233331419327975</v>
      </c>
      <c r="AR184" s="52">
        <f t="shared" ca="1" si="151"/>
        <v>10.022942941813614</v>
      </c>
      <c r="AS184" s="52">
        <f t="shared" ca="1" si="151"/>
        <v>10.620840349869981</v>
      </c>
      <c r="AT184" s="52">
        <f t="shared" ca="1" si="151"/>
        <v>11.55</v>
      </c>
      <c r="AU184" s="52">
        <f t="shared" ca="1" si="151"/>
        <v>11.55</v>
      </c>
      <c r="AV184" s="52">
        <f t="shared" ca="1" si="151"/>
        <v>11.55</v>
      </c>
      <c r="AW184" s="52">
        <f t="shared" ca="1" si="151"/>
        <v>11.55</v>
      </c>
      <c r="AX184" s="52">
        <f t="shared" ca="1" si="151"/>
        <v>11.55</v>
      </c>
      <c r="AY184" s="52">
        <f t="shared" ca="1" si="151"/>
        <v>11.55</v>
      </c>
      <c r="AZ184" s="52">
        <f t="shared" ca="1" si="151"/>
        <v>11.55</v>
      </c>
      <c r="BA184" s="52">
        <f t="shared" ca="1" si="151"/>
        <v>11.55</v>
      </c>
      <c r="BB184" s="52">
        <f t="shared" ca="1" si="151"/>
        <v>11.55</v>
      </c>
      <c r="BC184" s="52">
        <f t="shared" ca="1" si="151"/>
        <v>11.55</v>
      </c>
      <c r="BD184" s="52">
        <f t="shared" ca="1" si="151"/>
        <v>11.55</v>
      </c>
      <c r="BE184" s="52">
        <f t="shared" ca="1" si="151"/>
        <v>11.55</v>
      </c>
      <c r="BF184" s="52">
        <f t="shared" ca="1" si="151"/>
        <v>11.55</v>
      </c>
      <c r="BG184" s="52">
        <f t="shared" ca="1" si="151"/>
        <v>11.55</v>
      </c>
      <c r="BH184" s="52">
        <f t="shared" ca="1" si="151"/>
        <v>11.55</v>
      </c>
      <c r="BI184" s="52">
        <f t="shared" ca="1" si="151"/>
        <v>11.55</v>
      </c>
      <c r="BJ184" s="52">
        <f t="shared" ca="1" si="151"/>
        <v>11.55</v>
      </c>
      <c r="BK184" s="52">
        <f t="shared" ca="1" si="151"/>
        <v>11.55</v>
      </c>
      <c r="BL184" s="52">
        <f t="shared" ca="1" si="151"/>
        <v>11.55</v>
      </c>
      <c r="BM184" s="52">
        <f t="shared" ca="1" si="151"/>
        <v>11.55</v>
      </c>
      <c r="BN184" s="52">
        <f t="shared" ca="1" si="151"/>
        <v>11.55</v>
      </c>
      <c r="BO184" s="52">
        <f t="shared" ca="1" si="151"/>
        <v>11.55</v>
      </c>
      <c r="BP184" s="52">
        <f t="shared" ca="1" si="151"/>
        <v>11.55</v>
      </c>
      <c r="BQ184" s="52">
        <f t="shared" ca="1" si="151"/>
        <v>11.55</v>
      </c>
      <c r="BR184" s="52">
        <f t="shared" ca="1" si="151"/>
        <v>11.55</v>
      </c>
      <c r="BS184" s="52">
        <f t="shared" ca="1" si="151"/>
        <v>11.55</v>
      </c>
      <c r="BT184" s="52">
        <f t="shared" ca="1" si="151"/>
        <v>11.55</v>
      </c>
      <c r="BU184" s="52">
        <f t="shared" ca="1" si="151"/>
        <v>11.55</v>
      </c>
      <c r="BV184" s="52">
        <f t="shared" ca="1" si="151"/>
        <v>11.55</v>
      </c>
      <c r="BW184" s="52">
        <f t="shared" ca="1" si="151"/>
        <v>11.55</v>
      </c>
      <c r="BX184" s="52">
        <f t="shared" ca="1" si="151"/>
        <v>11.55</v>
      </c>
      <c r="BY184" s="52">
        <f t="shared" ca="1" si="151"/>
        <v>11.55</v>
      </c>
      <c r="BZ184" s="52">
        <f t="shared" ca="1" si="151"/>
        <v>11.55</v>
      </c>
      <c r="CA184" s="52">
        <f t="shared" ca="1" si="151"/>
        <v>11.55</v>
      </c>
      <c r="CB184" s="52">
        <f t="shared" ca="1" si="151"/>
        <v>11.55</v>
      </c>
      <c r="CC184" s="52">
        <f t="shared" ca="1" si="151"/>
        <v>11.55</v>
      </c>
      <c r="CD184" s="52">
        <f t="shared" ca="1" si="151"/>
        <v>11.55</v>
      </c>
      <c r="CE184" s="52">
        <f t="shared" ca="1" si="151"/>
        <v>11.55</v>
      </c>
      <c r="CF184" s="52">
        <f t="shared" ca="1" si="151"/>
        <v>11.55</v>
      </c>
      <c r="CG184" s="52">
        <f t="shared" ca="1" si="151"/>
        <v>11.55</v>
      </c>
      <c r="CH184" s="52">
        <f t="shared" ca="1" si="151"/>
        <v>11.55</v>
      </c>
    </row>
    <row r="185" spans="1:86" ht="13">
      <c r="A185" s="13"/>
      <c r="B185" s="13" t="s">
        <v>300</v>
      </c>
      <c r="C185" s="13" t="s">
        <v>301</v>
      </c>
      <c r="D185" s="13" t="s">
        <v>247</v>
      </c>
      <c r="E185" s="52">
        <f t="shared" ca="1" si="59"/>
        <v>7.5855833333333322</v>
      </c>
      <c r="F185" s="48"/>
      <c r="G185" s="52">
        <f ca="1">IFERROR((IFERROR((G81-(MAX(0,(F81+G51+G50+G72-G71-G60))*'Get Started  3'!$E14-G75)),0)+G76)/G60,0)</f>
        <v>0.83297273907399394</v>
      </c>
      <c r="H185" s="52">
        <f ca="1">IFERROR((IFERROR((H81-(MAX(0,(G81+H51+H50+H72-H71-H60))*'Get Started  3'!$E14-H75)),0)+H76)/H60,0)</f>
        <v>0.86284177498879422</v>
      </c>
      <c r="I185" s="52">
        <f ca="1">IFERROR((IFERROR((I81-(MAX(0,(H81+I51+I50+I72-I71-I60))*'Get Started  3'!$E14-I75)),0)+I76)/I60,0)</f>
        <v>0.87327990322092852</v>
      </c>
      <c r="J185" s="52">
        <f ca="1">IFERROR((IFERROR((J81-(MAX(0,(I81+J51+J50+J72-J71-J60))*'Get Started  3'!$E14-J75)),0)+J76)/J60,0)</f>
        <v>0.87859424920127793</v>
      </c>
      <c r="K185" s="52">
        <f ca="1">IFERROR((IFERROR((K81-(MAX(0,(J81+K51+K50+K72-K71-K60))*'Get Started  3'!$E14-K75)),0)+K76)/K60,0)</f>
        <v>0.88181401740723775</v>
      </c>
      <c r="L185" s="52">
        <f ca="1">IFERROR((IFERROR((L81-(MAX(0,(K81+L51+L50+L72-L71-L60))*'Get Started  3'!$E14-L75)),0)+L76)/L60,0)</f>
        <v>0.88397367212612887</v>
      </c>
      <c r="M185" s="52">
        <f ca="1">IFERROR((IFERROR((M81-(MAX(0,(L81+M51+M50+M72-M71-M60))*'Get Started  3'!$E14-M75)),0)+M76)/M60,0)</f>
        <v>0.88552277058552931</v>
      </c>
      <c r="N185" s="52">
        <f ca="1">IFERROR((IFERROR((N81-(MAX(0,(M81+N51+N50+N72-N71-N60))*'Get Started  3'!$E14-N75)),0)+N76)/N60,0)</f>
        <v>0.88668816213726398</v>
      </c>
      <c r="O185" s="52">
        <f ca="1">IFERROR((IFERROR((O81-(MAX(0,(N81+O51+O50+O72-O71-O60))*'Get Started  3'!$E14-O75)),0)+O76)/O60,0)</f>
        <v>0.93082702392526984</v>
      </c>
      <c r="P185" s="52">
        <f ca="1">IFERROR((IFERROR((P81-(MAX(0,(O81+P51+P50+P72-P71-P60))*'Get Started  3'!$E14-P75)),0)+P76)/P60,0)</f>
        <v>0.97091164618680703</v>
      </c>
      <c r="Q185" s="52">
        <f ca="1">IFERROR((IFERROR((Q81-(MAX(0,(P81+Q51+Q50+Q72-Q71-Q60))*'Get Started  3'!$E14-Q75)),0)+Q76)/Q60,0)</f>
        <v>1.0064322431001989</v>
      </c>
      <c r="R185" s="52">
        <f ca="1">IFERROR((IFERROR((R81-(MAX(0,(Q81+R51+R50+R72-R71-R60))*'Get Started  3'!$E14-R75)),0)+R76)/R60,0)</f>
        <v>1.0343579484746621</v>
      </c>
      <c r="S185" s="52">
        <f ca="1">IFERROR((IFERROR((S81-(MAX(0,(R81+S51+S50+S72-S71-S60))*'Get Started  3'!$E14-S75)),0)+S76)/S60,0)</f>
        <v>1.0637752917127548</v>
      </c>
      <c r="T185" s="52">
        <f ca="1">IFERROR((IFERROR((T81-(MAX(0,(S81+T51+T50+T72-T71-T60))*'Get Started  3'!$E14-T75)),0)+T76)/T60,0)</f>
        <v>1.0917085429804587</v>
      </c>
      <c r="U185" s="52">
        <f ca="1">IFERROR((IFERROR((U81-(MAX(0,(T81+U51+U50+U72-U71-U60))*'Get Started  3'!$E14-U75)),0)+U76)/U60,0)</f>
        <v>1.1184530560321282</v>
      </c>
      <c r="V185" s="52">
        <f ca="1">IFERROR((IFERROR((V81-(MAX(0,(U81+V51+V50+V72-V71-V60))*'Get Started  3'!$E14-V75)),0)+V76)/V60,0)</f>
        <v>1.1442306878699631</v>
      </c>
      <c r="W185" s="52">
        <f ca="1">IFERROR((IFERROR((W81-(MAX(0,(V81+W51+W50+W72-W71-W60))*'Get Started  3'!$E14-W75)),0)+W76)/W60,0)</f>
        <v>1.2170453316751899</v>
      </c>
      <c r="X185" s="52">
        <f ca="1">IFERROR((IFERROR((X81-(MAX(0,(W81+X51+X50+X72-X71-X60))*'Get Started  3'!$E14-X75)),0)+X76)/X60,0)</f>
        <v>1.2846183773431701</v>
      </c>
      <c r="Y185" s="52">
        <f ca="1">IFERROR((IFERROR((Y81-(MAX(0,(X81+Y51+Y50+Y72-Y71-Y60))*'Get Started  3'!$E14-Y75)),0)+Y76)/Y60,0)</f>
        <v>1.347050630556579</v>
      </c>
      <c r="Z185" s="52">
        <f ca="1">IFERROR((IFERROR((Z81-(MAX(0,(Y81+Z51+Z50+Z72-Z71-Z60))*'Get Started  3'!$E14-Z75)),0)+Z76)/Z60,0)</f>
        <v>1.4044403285556712</v>
      </c>
      <c r="AA185" s="52">
        <f ca="1">IFERROR((IFERROR((AA81-(MAX(0,(Z81+AA51+AA50+AA72-AA71-AA60))*'Get Started  3'!$E14-AA75)),0)+AA76)/AA60,0)</f>
        <v>1.4525607162794376</v>
      </c>
      <c r="AB185" s="52">
        <f ca="1">IFERROR((IFERROR((AB81-(MAX(0,(AA81+AB51+AB50+AB72-AB71-AB60))*'Get Started  3'!$E14-AB75)),0)+AB76)/AB60,0)</f>
        <v>1.495386916532395</v>
      </c>
      <c r="AC185" s="52">
        <f ca="1">IFERROR((IFERROR((AC81-(MAX(0,(AB81+AC51+AC50+AC72-AC71-AC60))*'Get Started  3'!$E14-AC75)),0)+AC76)/AC60,0)</f>
        <v>1.5330182008203019</v>
      </c>
      <c r="AD185" s="52">
        <f ca="1">IFERROR((IFERROR((AD81-(MAX(0,(AC81+AD51+AD50+AD72-AD71-AD60))*'Get Started  3'!$E14-AD75)),0)+AD76)/AD60,0)</f>
        <v>1.5655513741405287</v>
      </c>
      <c r="AE185" s="52">
        <f ca="1">IFERROR((IFERROR((AE81-(MAX(0,(AD81+AE51+AE50+AE72-AE71-AE60))*'Get Started  3'!$E14-AE75)),0)+AE76)/AE60,0)</f>
        <v>1.9801217538063762</v>
      </c>
      <c r="AF185" s="52">
        <f ca="1">IFERROR((IFERROR((AF81-(MAX(0,(AE81+AF51+AF50+AF72-AF71-AF60))*'Get Started  3'!$E14-AF75)),0)+AF76)/AF60,0)</f>
        <v>2.3872471847736629</v>
      </c>
      <c r="AG185" s="52">
        <f ca="1">IFERROR((IFERROR((AG81-(MAX(0,(AF81+AG51+AG50+AG72-AG71-AG60))*'Get Started  3'!$E14-AG75)),0)+AG76)/AG60,0)</f>
        <v>2.7870638624775417</v>
      </c>
      <c r="AH185" s="52">
        <f ca="1">IFERROR((IFERROR((AH81-(MAX(0,(AG81+AH51+AH50+AH72-AH71-AH60))*'Get Started  3'!$E14-AH75)),0)+AH76)/AH60,0)</f>
        <v>3.1797046804685536</v>
      </c>
      <c r="AI185" s="52">
        <f ca="1">IFERROR((IFERROR((AI81-(MAX(0,(AH81+AI51+AI50+AI72-AI71-AI60))*'Get Started  3'!$E14-AI75)),0)+AI76)/AI60,0)</f>
        <v>3.5697221784385835</v>
      </c>
      <c r="AJ185" s="52">
        <f ca="1">IFERROR((IFERROR((AJ81-(MAX(0,(AI81+AJ51+AJ50+AJ72-AJ71-AJ60))*'Get Started  3'!$E14-AJ75)),0)+AJ76)/AJ60,0)</f>
        <v>3.9536821514322678</v>
      </c>
      <c r="AK185" s="52">
        <f ca="1">IFERROR((IFERROR((AK81-(MAX(0,(AJ81+AK51+AK50+AK72-AK71-AK60))*'Get Started  3'!$E14-AK75)),0)+AK76)/AK60,0)</f>
        <v>4.3316927752367311</v>
      </c>
      <c r="AL185" s="52">
        <f ca="1">IFERROR((IFERROR((AL81-(MAX(0,(AK81+AL51+AL50+AL72-AL71-AL60))*'Get Started  3'!$E14-AL75)),0)+AL76)/AL60,0)</f>
        <v>4.7038596651313576</v>
      </c>
      <c r="AM185" s="52">
        <f ca="1">IFERROR((IFERROR((AM81-(MAX(0,(AL81+AM51+AM50+AM72-AM71-AM60))*'Get Started  3'!$E14-AM75)),0)+AM76)/AM60,0)</f>
        <v>5.0262872119541901</v>
      </c>
      <c r="AN185" s="52">
        <f ca="1">IFERROR((IFERROR((AN81-(MAX(0,(AM81+AN51+AN50+AN72-AN71-AN60))*'Get Started  3'!$E14-AN75)),0)+AN76)/AN60,0)</f>
        <v>5.3439686178158956</v>
      </c>
      <c r="AO185" s="52">
        <f ca="1">IFERROR((IFERROR((AO81-(MAX(0,(AN81+AO51+AO50+AO72-AO71-AO60))*'Get Started  3'!$E14-AO75)),0)+AO76)/AO60,0)</f>
        <v>5.6569866685042705</v>
      </c>
      <c r="AP185" s="52">
        <f ca="1">IFERROR((IFERROR((AP81-(MAX(0,(AO81+AP51+AP50+AP72-AP71-AP60))*'Get Started  3'!$E14-AP75)),0)+AP76)/AP60,0)</f>
        <v>5.9654222355869297</v>
      </c>
      <c r="AQ185" s="52">
        <f ca="1">IFERROR((IFERROR((AQ81-(MAX(0,(AP81+AQ51+AQ50+AQ72-AQ71-AQ60))*'Get Started  3'!$E14-AQ75)),0)+AQ76)/AQ60,0)</f>
        <v>6.3247872431787577</v>
      </c>
      <c r="AR185" s="52">
        <f ca="1">IFERROR((IFERROR((AR81-(MAX(0,(AQ81+AR51+AR50+AR72-AR71-AR60))*'Get Started  3'!$E14-AR75)),0)+AR76)/AR60,0)</f>
        <v>6.6789336714848462</v>
      </c>
      <c r="AS185" s="52">
        <f ca="1">IFERROR((IFERROR((AS81-(MAX(0,(AR81+AS51+AS50+AS72-AS71-AS60))*'Get Started  3'!$E14-AS75)),0)+AS76)/AS60,0)</f>
        <v>7.0279504780341293</v>
      </c>
      <c r="AT185" s="52">
        <f ca="1">IFERROR((IFERROR((AT81-(MAX(0,(AS81+AT51+AT50+AT72-AT71-AT60))*'Get Started  3'!$E14-AT75)),0)+AT76)/AT60,0)</f>
        <v>7.5855833333333322</v>
      </c>
      <c r="AU185" s="52">
        <f ca="1">IFERROR((IFERROR((AU81-(MAX(0,(AT81+AU51+AU50+AU72-AU71-AU60))*'Get Started  3'!$E14-AU75)),0)+AU76)/AU60,0)</f>
        <v>7.5855833333333322</v>
      </c>
      <c r="AV185" s="52">
        <f ca="1">IFERROR((IFERROR((AV81-(MAX(0,(AU81+AV51+AV50+AV72-AV71-AV60))*'Get Started  3'!$E14-AV75)),0)+AV76)/AV60,0)</f>
        <v>7.5855833333333322</v>
      </c>
      <c r="AW185" s="52">
        <f ca="1">IFERROR((IFERROR((AW81-(MAX(0,(AV81+AW51+AW50+AW72-AW71-AW60))*'Get Started  3'!$E14-AW75)),0)+AW76)/AW60,0)</f>
        <v>7.5855833333333322</v>
      </c>
      <c r="AX185" s="52">
        <f ca="1">IFERROR((IFERROR((AX81-(MAX(0,(AW81+AX51+AX50+AX72-AX71-AX60))*'Get Started  3'!$E14-AX75)),0)+AX76)/AX60,0)</f>
        <v>7.5855833333333322</v>
      </c>
      <c r="AY185" s="52">
        <f ca="1">IFERROR((IFERROR((AY81-(MAX(0,(AX81+AY51+AY50+AY72-AY71-AY60))*'Get Started  3'!$E14-AY75)),0)+AY76)/AY60,0)</f>
        <v>7.5855833333333322</v>
      </c>
      <c r="AZ185" s="52">
        <f ca="1">IFERROR((IFERROR((AZ81-(MAX(0,(AY81+AZ51+AZ50+AZ72-AZ71-AZ60))*'Get Started  3'!$E14-AZ75)),0)+AZ76)/AZ60,0)</f>
        <v>7.5855833333333322</v>
      </c>
      <c r="BA185" s="52">
        <f ca="1">IFERROR((IFERROR((BA81-(MAX(0,(AZ81+BA51+BA50+BA72-BA71-BA60))*'Get Started  3'!$E14-BA75)),0)+BA76)/BA60,0)</f>
        <v>7.5855833333333322</v>
      </c>
      <c r="BB185" s="52">
        <f ca="1">IFERROR((IFERROR((BB81-(MAX(0,(BA81+BB51+BB50+BB72-BB71-BB60))*'Get Started  3'!$E14-BB75)),0)+BB76)/BB60,0)</f>
        <v>7.5855833333333322</v>
      </c>
      <c r="BC185" s="52">
        <f ca="1">IFERROR((IFERROR((BC81-(MAX(0,(BB81+BC51+BC50+BC72-BC71-BC60))*'Get Started  3'!$E14-BC75)),0)+BC76)/BC60,0)</f>
        <v>7.5855833333333322</v>
      </c>
      <c r="BD185" s="52">
        <f ca="1">IFERROR((IFERROR((BD81-(MAX(0,(BC81+BD51+BD50+BD72-BD71-BD60))*'Get Started  3'!$E14-BD75)),0)+BD76)/BD60,0)</f>
        <v>7.5855833333333322</v>
      </c>
      <c r="BE185" s="52">
        <f ca="1">IFERROR((IFERROR((BE81-(MAX(0,(BD81+BE51+BE50+BE72-BE71-BE60))*'Get Started  3'!$E14-BE75)),0)+BE76)/BE60,0)</f>
        <v>7.5855833333333322</v>
      </c>
      <c r="BF185" s="52">
        <f ca="1">IFERROR((IFERROR((BF81-(MAX(0,(BE81+BF51+BF50+BF72-BF71-BF60))*'Get Started  3'!$E14-BF75)),0)+BF76)/BF60,0)</f>
        <v>7.5855833333333322</v>
      </c>
      <c r="BG185" s="52">
        <f ca="1">IFERROR((IFERROR((BG81-(MAX(0,(BF81+BG51+BG50+BG72-BG71-BG60))*'Get Started  3'!$E14-BG75)),0)+BG76)/BG60,0)</f>
        <v>7.5855833333333322</v>
      </c>
      <c r="BH185" s="52">
        <f ca="1">IFERROR((IFERROR((BH81-(MAX(0,(BG81+BH51+BH50+BH72-BH71-BH60))*'Get Started  3'!$E14-BH75)),0)+BH76)/BH60,0)</f>
        <v>7.5855833333333322</v>
      </c>
      <c r="BI185" s="52">
        <f ca="1">IFERROR((IFERROR((BI81-(MAX(0,(BH81+BI51+BI50+BI72-BI71-BI60))*'Get Started  3'!$E14-BI75)),0)+BI76)/BI60,0)</f>
        <v>7.5855833333333322</v>
      </c>
      <c r="BJ185" s="52">
        <f ca="1">IFERROR((IFERROR((BJ81-(MAX(0,(BI81+BJ51+BJ50+BJ72-BJ71-BJ60))*'Get Started  3'!$E14-BJ75)),0)+BJ76)/BJ60,0)</f>
        <v>7.5855833333333322</v>
      </c>
      <c r="BK185" s="52">
        <f ca="1">IFERROR((IFERROR((BK81-(MAX(0,(BJ81+BK51+BK50+BK72-BK71-BK60))*'Get Started  3'!$E14-BK75)),0)+BK76)/BK60,0)</f>
        <v>7.5855833333333322</v>
      </c>
      <c r="BL185" s="52">
        <f ca="1">IFERROR((IFERROR((BL81-(MAX(0,(BK81+BL51+BL50+BL72-BL71-BL60))*'Get Started  3'!$E14-BL75)),0)+BL76)/BL60,0)</f>
        <v>7.5855833333333322</v>
      </c>
      <c r="BM185" s="52">
        <f ca="1">IFERROR((IFERROR((BM81-(MAX(0,(BL81+BM51+BM50+BM72-BM71-BM60))*'Get Started  3'!$E14-BM75)),0)+BM76)/BM60,0)</f>
        <v>7.5855833333333322</v>
      </c>
      <c r="BN185" s="52">
        <f ca="1">IFERROR((IFERROR((BN81-(MAX(0,(BM81+BN51+BN50+BN72-BN71-BN60))*'Get Started  3'!$E14-BN75)),0)+BN76)/BN60,0)</f>
        <v>7.5855833333333322</v>
      </c>
      <c r="BO185" s="52">
        <f ca="1">IFERROR((IFERROR((BO81-(MAX(0,(BN81+BO51+BO50+BO72-BO71-BO60))*'Get Started  3'!$E14-BO75)),0)+BO76)/BO60,0)</f>
        <v>7.5855833333333322</v>
      </c>
      <c r="BP185" s="52">
        <f ca="1">IFERROR((IFERROR((BP81-(MAX(0,(BO81+BP51+BP50+BP72-BP71-BP60))*'Get Started  3'!$E14-BP75)),0)+BP76)/BP60,0)</f>
        <v>7.5855833333333322</v>
      </c>
      <c r="BQ185" s="52">
        <f ca="1">IFERROR((IFERROR((BQ81-(MAX(0,(BP81+BQ51+BQ50+BQ72-BQ71-BQ60))*'Get Started  3'!$E14-BQ75)),0)+BQ76)/BQ60,0)</f>
        <v>7.5855833333333322</v>
      </c>
      <c r="BR185" s="52">
        <f ca="1">IFERROR((IFERROR((BR81-(MAX(0,(BQ81+BR51+BR50+BR72-BR71-BR60))*'Get Started  3'!$E14-BR75)),0)+BR76)/BR60,0)</f>
        <v>7.5855833333333322</v>
      </c>
      <c r="BS185" s="52">
        <f ca="1">IFERROR((IFERROR((BS81-(MAX(0,(BR81+BS51+BS50+BS72-BS71-BS60))*'Get Started  3'!$E14-BS75)),0)+BS76)/BS60,0)</f>
        <v>7.5855833333333322</v>
      </c>
      <c r="BT185" s="52">
        <f ca="1">IFERROR((IFERROR((BT81-(MAX(0,(BS81+BT51+BT50+BT72-BT71-BT60))*'Get Started  3'!$E14-BT75)),0)+BT76)/BT60,0)</f>
        <v>7.5855833333333322</v>
      </c>
      <c r="BU185" s="52">
        <f ca="1">IFERROR((IFERROR((BU81-(MAX(0,(BT81+BU51+BU50+BU72-BU71-BU60))*'Get Started  3'!$E14-BU75)),0)+BU76)/BU60,0)</f>
        <v>7.5855833333333322</v>
      </c>
      <c r="BV185" s="52">
        <f ca="1">IFERROR((IFERROR((BV81-(MAX(0,(BU81+BV51+BV50+BV72-BV71-BV60))*'Get Started  3'!$E14-BV75)),0)+BV76)/BV60,0)</f>
        <v>7.5855833333333322</v>
      </c>
      <c r="BW185" s="52">
        <f ca="1">IFERROR((IFERROR((BW81-(MAX(0,(BV81+BW51+BW50+BW72-BW71-BW60))*'Get Started  3'!$E14-BW75)),0)+BW76)/BW60,0)</f>
        <v>7.5855833333333322</v>
      </c>
      <c r="BX185" s="52">
        <f ca="1">IFERROR((IFERROR((BX81-(MAX(0,(BW81+BX51+BX50+BX72-BX71-BX60))*'Get Started  3'!$E14-BX75)),0)+BX76)/BX60,0)</f>
        <v>7.5855833333333322</v>
      </c>
      <c r="BY185" s="52">
        <f ca="1">IFERROR((IFERROR((BY81-(MAX(0,(BX81+BY51+BY50+BY72-BY71-BY60))*'Get Started  3'!$E14-BY75)),0)+BY76)/BY60,0)</f>
        <v>7.5855833333333322</v>
      </c>
      <c r="BZ185" s="52">
        <f ca="1">IFERROR((IFERROR((BZ81-(MAX(0,(BY81+BZ51+BZ50+BZ72-BZ71-BZ60))*'Get Started  3'!$E14-BZ75)),0)+BZ76)/BZ60,0)</f>
        <v>7.5855833333333322</v>
      </c>
      <c r="CA185" s="52">
        <f ca="1">IFERROR((IFERROR((CA81-(MAX(0,(BZ81+CA51+CA50+CA72-CA71-CA60))*'Get Started  3'!$E14-CA75)),0)+CA76)/CA60,0)</f>
        <v>7.5855833333333322</v>
      </c>
      <c r="CB185" s="52">
        <f ca="1">IFERROR((IFERROR((CB81-(MAX(0,(CA81+CB51+CB50+CB72-CB71-CB60))*'Get Started  3'!$E14-CB75)),0)+CB76)/CB60,0)</f>
        <v>7.5855833333333322</v>
      </c>
      <c r="CC185" s="52">
        <f ca="1">IFERROR((IFERROR((CC81-(MAX(0,(CB81+CC51+CC50+CC72-CC71-CC60))*'Get Started  3'!$E14-CC75)),0)+CC76)/CC60,0)</f>
        <v>7.5855833333333322</v>
      </c>
      <c r="CD185" s="52">
        <f ca="1">IFERROR((IFERROR((CD81-(MAX(0,(CC81+CD51+CD50+CD72-CD71-CD60))*'Get Started  3'!$E14-CD75)),0)+CD76)/CD60,0)</f>
        <v>7.5855833333333322</v>
      </c>
      <c r="CE185" s="52">
        <f ca="1">IFERROR((IFERROR((CE81-(MAX(0,(CD81+CE51+CE50+CE72-CE71-CE60))*'Get Started  3'!$E14-CE75)),0)+CE76)/CE60,0)</f>
        <v>7.5855833333333322</v>
      </c>
      <c r="CF185" s="52">
        <f ca="1">IFERROR((IFERROR((CF81-(MAX(0,(CE81+CF51+CF50+CF72-CF71-CF60))*'Get Started  3'!$E14-CF75)),0)+CF76)/CF60,0)</f>
        <v>7.5855833333333322</v>
      </c>
      <c r="CG185" s="52">
        <f ca="1">IFERROR((IFERROR((CG81-(MAX(0,(CF81+CG51+CG50+CG72-CG71-CG60))*'Get Started  3'!$E14-CG75)),0)+CG76)/CG60,0)</f>
        <v>7.5855833333333322</v>
      </c>
      <c r="CH185" s="52">
        <f ca="1">IFERROR((IFERROR((CH81-(MAX(0,(CG81+CH51+CH50+CH72-CH71-CH60))*'Get Started  3'!$E14-CH75)),0)+CH76)/CH60,0)</f>
        <v>7.5855833333333322</v>
      </c>
    </row>
    <row r="186" spans="1:86" ht="13">
      <c r="C186" s="15"/>
      <c r="D186" s="15"/>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29"/>
      <c r="CG186" s="29"/>
      <c r="CH186" s="29"/>
    </row>
    <row r="187" spans="1:86" ht="13">
      <c r="B187" s="85" t="str">
        <f>"Waterfall, "&amp;C187&amp;""</f>
        <v>Waterfall, Deal-by-deal with clawback (American)</v>
      </c>
      <c r="C187" s="36" t="str">
        <f>Forecast!C187</f>
        <v>Deal-by-deal with clawback (American)</v>
      </c>
      <c r="D187" s="15"/>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29"/>
      <c r="CG187" s="29"/>
      <c r="CH187" s="29"/>
    </row>
    <row r="188" spans="1:86" ht="13">
      <c r="B188" s="15" t="s">
        <v>302</v>
      </c>
      <c r="C188" s="15" t="s">
        <v>303</v>
      </c>
      <c r="D188" s="15" t="s">
        <v>238</v>
      </c>
      <c r="E188" s="29">
        <f t="shared" ref="E188:E194" ca="1" si="152">IF(D188="sum",SUM(G188:CH188),IF(D188="final",CH188,IF(D188="initial",G188,IF(D188="average",AVERAGE(G188:CH188),0))))</f>
        <v>230799479.16666666</v>
      </c>
      <c r="F188" s="77"/>
      <c r="G188" s="37">
        <f t="shared" ref="G188:CH188" ca="1" si="153">IF($E20&gt;0,  MAX(0, MIN(G24, SUM(G22,G24,G26,G27) )), MAX(0,SUM(G22,G23,G24,G26,G27)) )</f>
        <v>0</v>
      </c>
      <c r="H188" s="37">
        <f t="shared" ca="1" si="153"/>
        <v>0</v>
      </c>
      <c r="I188" s="37">
        <f t="shared" ca="1" si="153"/>
        <v>0</v>
      </c>
      <c r="J188" s="37">
        <f t="shared" ca="1" si="153"/>
        <v>0</v>
      </c>
      <c r="K188" s="37">
        <f t="shared" ca="1" si="153"/>
        <v>0</v>
      </c>
      <c r="L188" s="37">
        <f t="shared" ca="1" si="153"/>
        <v>0</v>
      </c>
      <c r="M188" s="37">
        <f t="shared" ca="1" si="153"/>
        <v>0</v>
      </c>
      <c r="N188" s="37">
        <f t="shared" ca="1" si="153"/>
        <v>0</v>
      </c>
      <c r="O188" s="37">
        <f t="shared" ca="1" si="153"/>
        <v>0</v>
      </c>
      <c r="P188" s="37">
        <f t="shared" ca="1" si="153"/>
        <v>0</v>
      </c>
      <c r="Q188" s="37">
        <f t="shared" ca="1" si="153"/>
        <v>0</v>
      </c>
      <c r="R188" s="37">
        <f t="shared" ca="1" si="153"/>
        <v>0</v>
      </c>
      <c r="S188" s="37">
        <f t="shared" ca="1" si="153"/>
        <v>810104.16666666721</v>
      </c>
      <c r="T188" s="37">
        <f t="shared" ca="1" si="153"/>
        <v>810104.16666666721</v>
      </c>
      <c r="U188" s="37">
        <f t="shared" ca="1" si="153"/>
        <v>810104.16666666721</v>
      </c>
      <c r="V188" s="37">
        <f t="shared" ca="1" si="153"/>
        <v>810104.16666666721</v>
      </c>
      <c r="W188" s="37">
        <f t="shared" ca="1" si="153"/>
        <v>2526562.5000000009</v>
      </c>
      <c r="X188" s="37">
        <f t="shared" ca="1" si="153"/>
        <v>2526562.5000000009</v>
      </c>
      <c r="Y188" s="37">
        <f t="shared" ca="1" si="153"/>
        <v>2526562.5000000009</v>
      </c>
      <c r="Z188" s="37">
        <f t="shared" ca="1" si="153"/>
        <v>2526562.5000000009</v>
      </c>
      <c r="AA188" s="37">
        <f t="shared" ca="1" si="153"/>
        <v>2526562.5000000009</v>
      </c>
      <c r="AB188" s="37">
        <f t="shared" ca="1" si="153"/>
        <v>2526562.5000000009</v>
      </c>
      <c r="AC188" s="37">
        <f t="shared" ca="1" si="153"/>
        <v>2526562.5000000009</v>
      </c>
      <c r="AD188" s="37">
        <f t="shared" ca="1" si="153"/>
        <v>2526562.5000000009</v>
      </c>
      <c r="AE188" s="37">
        <f t="shared" ca="1" si="153"/>
        <v>14064531.249999998</v>
      </c>
      <c r="AF188" s="37">
        <f t="shared" ca="1" si="153"/>
        <v>14064531.249999998</v>
      </c>
      <c r="AG188" s="37">
        <f t="shared" ca="1" si="153"/>
        <v>14064531.249999998</v>
      </c>
      <c r="AH188" s="37">
        <f t="shared" ca="1" si="153"/>
        <v>14064531.249999998</v>
      </c>
      <c r="AI188" s="37">
        <f t="shared" ca="1" si="153"/>
        <v>13138124.999999998</v>
      </c>
      <c r="AJ188" s="37">
        <f t="shared" ca="1" si="153"/>
        <v>13138124.999999998</v>
      </c>
      <c r="AK188" s="37">
        <f t="shared" ca="1" si="153"/>
        <v>13138124.999999998</v>
      </c>
      <c r="AL188" s="37">
        <f t="shared" ca="1" si="153"/>
        <v>13138124.999999998</v>
      </c>
      <c r="AM188" s="37">
        <f t="shared" ca="1" si="153"/>
        <v>11369531.249999998</v>
      </c>
      <c r="AN188" s="37">
        <f t="shared" ca="1" si="153"/>
        <v>11369531.249999998</v>
      </c>
      <c r="AO188" s="37">
        <f t="shared" ca="1" si="153"/>
        <v>11369531.249999998</v>
      </c>
      <c r="AP188" s="37">
        <f t="shared" ca="1" si="153"/>
        <v>11369531.249999998</v>
      </c>
      <c r="AQ188" s="37">
        <f t="shared" ca="1" si="153"/>
        <v>13264453.124999996</v>
      </c>
      <c r="AR188" s="37">
        <f t="shared" ca="1" si="153"/>
        <v>13264453.124999996</v>
      </c>
      <c r="AS188" s="37">
        <f t="shared" ca="1" si="153"/>
        <v>13264453.124999996</v>
      </c>
      <c r="AT188" s="37">
        <f t="shared" ca="1" si="153"/>
        <v>13264453.124999996</v>
      </c>
      <c r="AU188" s="37">
        <f t="shared" ca="1" si="153"/>
        <v>0</v>
      </c>
      <c r="AV188" s="37">
        <f t="shared" ca="1" si="153"/>
        <v>0</v>
      </c>
      <c r="AW188" s="37">
        <f t="shared" ca="1" si="153"/>
        <v>0</v>
      </c>
      <c r="AX188" s="37">
        <f t="shared" ca="1" si="153"/>
        <v>0</v>
      </c>
      <c r="AY188" s="37">
        <f t="shared" ca="1" si="153"/>
        <v>0</v>
      </c>
      <c r="AZ188" s="37">
        <f t="shared" ca="1" si="153"/>
        <v>0</v>
      </c>
      <c r="BA188" s="37">
        <f t="shared" ca="1" si="153"/>
        <v>0</v>
      </c>
      <c r="BB188" s="37">
        <f t="shared" ca="1" si="153"/>
        <v>0</v>
      </c>
      <c r="BC188" s="37">
        <f t="shared" ca="1" si="153"/>
        <v>0</v>
      </c>
      <c r="BD188" s="37">
        <f t="shared" ca="1" si="153"/>
        <v>0</v>
      </c>
      <c r="BE188" s="37">
        <f t="shared" ca="1" si="153"/>
        <v>0</v>
      </c>
      <c r="BF188" s="37">
        <f t="shared" ca="1" si="153"/>
        <v>0</v>
      </c>
      <c r="BG188" s="37">
        <f t="shared" ca="1" si="153"/>
        <v>0</v>
      </c>
      <c r="BH188" s="37">
        <f t="shared" ca="1" si="153"/>
        <v>0</v>
      </c>
      <c r="BI188" s="37">
        <f t="shared" ca="1" si="153"/>
        <v>0</v>
      </c>
      <c r="BJ188" s="37">
        <f t="shared" ca="1" si="153"/>
        <v>0</v>
      </c>
      <c r="BK188" s="37">
        <f t="shared" ca="1" si="153"/>
        <v>0</v>
      </c>
      <c r="BL188" s="37">
        <f t="shared" ca="1" si="153"/>
        <v>0</v>
      </c>
      <c r="BM188" s="37">
        <f t="shared" ca="1" si="153"/>
        <v>0</v>
      </c>
      <c r="BN188" s="37">
        <f t="shared" ca="1" si="153"/>
        <v>0</v>
      </c>
      <c r="BO188" s="37">
        <f t="shared" ca="1" si="153"/>
        <v>0</v>
      </c>
      <c r="BP188" s="37">
        <f t="shared" ca="1" si="153"/>
        <v>0</v>
      </c>
      <c r="BQ188" s="37">
        <f t="shared" ca="1" si="153"/>
        <v>0</v>
      </c>
      <c r="BR188" s="37">
        <f t="shared" ca="1" si="153"/>
        <v>0</v>
      </c>
      <c r="BS188" s="37">
        <f t="shared" ca="1" si="153"/>
        <v>0</v>
      </c>
      <c r="BT188" s="37">
        <f t="shared" ca="1" si="153"/>
        <v>0</v>
      </c>
      <c r="BU188" s="37">
        <f t="shared" ca="1" si="153"/>
        <v>0</v>
      </c>
      <c r="BV188" s="37">
        <f t="shared" ca="1" si="153"/>
        <v>0</v>
      </c>
      <c r="BW188" s="37">
        <f t="shared" ca="1" si="153"/>
        <v>0</v>
      </c>
      <c r="BX188" s="37">
        <f t="shared" ca="1" si="153"/>
        <v>0</v>
      </c>
      <c r="BY188" s="37">
        <f t="shared" ca="1" si="153"/>
        <v>0</v>
      </c>
      <c r="BZ188" s="37">
        <f t="shared" ca="1" si="153"/>
        <v>0</v>
      </c>
      <c r="CA188" s="37">
        <f t="shared" ca="1" si="153"/>
        <v>0</v>
      </c>
      <c r="CB188" s="37">
        <f t="shared" ca="1" si="153"/>
        <v>0</v>
      </c>
      <c r="CC188" s="37">
        <f t="shared" ca="1" si="153"/>
        <v>0</v>
      </c>
      <c r="CD188" s="37">
        <f t="shared" ca="1" si="153"/>
        <v>0</v>
      </c>
      <c r="CE188" s="37">
        <f t="shared" ca="1" si="153"/>
        <v>0</v>
      </c>
      <c r="CF188" s="37">
        <f t="shared" ca="1" si="153"/>
        <v>0</v>
      </c>
      <c r="CG188" s="37">
        <f t="shared" ca="1" si="153"/>
        <v>0</v>
      </c>
      <c r="CH188" s="37">
        <f t="shared" ca="1" si="153"/>
        <v>0</v>
      </c>
    </row>
    <row r="189" spans="1:86" ht="13">
      <c r="A189" s="13"/>
      <c r="B189" s="13" t="s">
        <v>304</v>
      </c>
      <c r="C189" s="13" t="s">
        <v>305</v>
      </c>
      <c r="D189" s="15" t="s">
        <v>238</v>
      </c>
      <c r="E189" s="29">
        <f t="shared" ca="1" si="152"/>
        <v>25000000.000000011</v>
      </c>
      <c r="F189" s="48"/>
      <c r="G189" s="37">
        <f t="shared" ref="G189:CH189" ca="1" si="154">IF(OR($C187="total fund (european)",$C187="Deal-by-deal with clawback (American)"),G48/($E38/$E31)+G49/($E38/$E31),G49/($E38/$E31))</f>
        <v>0</v>
      </c>
      <c r="H189" s="37">
        <f t="shared" ca="1" si="154"/>
        <v>0</v>
      </c>
      <c r="I189" s="37">
        <f t="shared" ca="1" si="154"/>
        <v>0</v>
      </c>
      <c r="J189" s="37">
        <f t="shared" ca="1" si="154"/>
        <v>0</v>
      </c>
      <c r="K189" s="37">
        <f t="shared" ca="1" si="154"/>
        <v>0</v>
      </c>
      <c r="L189" s="37">
        <f t="shared" ca="1" si="154"/>
        <v>0</v>
      </c>
      <c r="M189" s="37">
        <f t="shared" ca="1" si="154"/>
        <v>0</v>
      </c>
      <c r="N189" s="37">
        <f t="shared" ca="1" si="154"/>
        <v>0</v>
      </c>
      <c r="O189" s="37">
        <f t="shared" ca="1" si="154"/>
        <v>850000.00000000012</v>
      </c>
      <c r="P189" s="37">
        <f t="shared" ca="1" si="154"/>
        <v>850000.00000000012</v>
      </c>
      <c r="Q189" s="37">
        <f t="shared" ca="1" si="154"/>
        <v>850000.00000000012</v>
      </c>
      <c r="R189" s="37">
        <f t="shared" ca="1" si="154"/>
        <v>850000.00000000012</v>
      </c>
      <c r="S189" s="37">
        <f t="shared" ca="1" si="154"/>
        <v>1100000.0000000002</v>
      </c>
      <c r="T189" s="37">
        <f t="shared" ca="1" si="154"/>
        <v>1100000.0000000002</v>
      </c>
      <c r="U189" s="37">
        <f t="shared" ca="1" si="154"/>
        <v>1100000.0000000002</v>
      </c>
      <c r="V189" s="37">
        <f t="shared" ca="1" si="154"/>
        <v>1100000.0000000002</v>
      </c>
      <c r="W189" s="37">
        <f t="shared" ca="1" si="154"/>
        <v>1200000.0000000002</v>
      </c>
      <c r="X189" s="37">
        <f t="shared" ca="1" si="154"/>
        <v>1200000.0000000002</v>
      </c>
      <c r="Y189" s="37">
        <f t="shared" ca="1" si="154"/>
        <v>1200000.0000000002</v>
      </c>
      <c r="Z189" s="37">
        <f t="shared" ca="1" si="154"/>
        <v>1200000.0000000002</v>
      </c>
      <c r="AA189" s="37">
        <f t="shared" ca="1" si="154"/>
        <v>1341666.6666666667</v>
      </c>
      <c r="AB189" s="37">
        <f t="shared" ca="1" si="154"/>
        <v>1341666.6666666667</v>
      </c>
      <c r="AC189" s="37">
        <f t="shared" ca="1" si="154"/>
        <v>1341666.6666666667</v>
      </c>
      <c r="AD189" s="37">
        <f t="shared" ca="1" si="154"/>
        <v>1341666.6666666667</v>
      </c>
      <c r="AE189" s="37">
        <f t="shared" ca="1" si="154"/>
        <v>691666.66666666663</v>
      </c>
      <c r="AF189" s="37">
        <f t="shared" ca="1" si="154"/>
        <v>691666.66666666663</v>
      </c>
      <c r="AG189" s="37">
        <f t="shared" ca="1" si="154"/>
        <v>691666.66666666663</v>
      </c>
      <c r="AH189" s="37">
        <f t="shared" ca="1" si="154"/>
        <v>691666.66666666663</v>
      </c>
      <c r="AI189" s="37">
        <f t="shared" ca="1" si="154"/>
        <v>416666.66666666669</v>
      </c>
      <c r="AJ189" s="37">
        <f t="shared" ca="1" si="154"/>
        <v>416666.66666666669</v>
      </c>
      <c r="AK189" s="37">
        <f t="shared" ca="1" si="154"/>
        <v>416666.66666666669</v>
      </c>
      <c r="AL189" s="37">
        <f t="shared" ca="1" si="154"/>
        <v>416666.66666666669</v>
      </c>
      <c r="AM189" s="37">
        <f t="shared" ca="1" si="154"/>
        <v>299999.99999999994</v>
      </c>
      <c r="AN189" s="37">
        <f t="shared" ca="1" si="154"/>
        <v>299999.99999999994</v>
      </c>
      <c r="AO189" s="37">
        <f t="shared" ca="1" si="154"/>
        <v>299999.99999999994</v>
      </c>
      <c r="AP189" s="37">
        <f t="shared" ca="1" si="154"/>
        <v>299999.99999999994</v>
      </c>
      <c r="AQ189" s="37">
        <f t="shared" ca="1" si="154"/>
        <v>349999.99999999988</v>
      </c>
      <c r="AR189" s="37">
        <f t="shared" ca="1" si="154"/>
        <v>349999.99999999988</v>
      </c>
      <c r="AS189" s="37">
        <f t="shared" ca="1" si="154"/>
        <v>349999.99999999988</v>
      </c>
      <c r="AT189" s="37">
        <f t="shared" ca="1" si="154"/>
        <v>349999.99999999988</v>
      </c>
      <c r="AU189" s="37">
        <f t="shared" ca="1" si="154"/>
        <v>0</v>
      </c>
      <c r="AV189" s="37">
        <f t="shared" ca="1" si="154"/>
        <v>0</v>
      </c>
      <c r="AW189" s="37">
        <f t="shared" ca="1" si="154"/>
        <v>0</v>
      </c>
      <c r="AX189" s="37">
        <f t="shared" ca="1" si="154"/>
        <v>0</v>
      </c>
      <c r="AY189" s="37">
        <f t="shared" ca="1" si="154"/>
        <v>0</v>
      </c>
      <c r="AZ189" s="37">
        <f t="shared" ca="1" si="154"/>
        <v>0</v>
      </c>
      <c r="BA189" s="37">
        <f t="shared" ca="1" si="154"/>
        <v>0</v>
      </c>
      <c r="BB189" s="37">
        <f t="shared" ca="1" si="154"/>
        <v>0</v>
      </c>
      <c r="BC189" s="37">
        <f t="shared" ca="1" si="154"/>
        <v>0</v>
      </c>
      <c r="BD189" s="37">
        <f t="shared" ca="1" si="154"/>
        <v>0</v>
      </c>
      <c r="BE189" s="37">
        <f t="shared" ca="1" si="154"/>
        <v>0</v>
      </c>
      <c r="BF189" s="37">
        <f t="shared" ca="1" si="154"/>
        <v>0</v>
      </c>
      <c r="BG189" s="37">
        <f t="shared" ca="1" si="154"/>
        <v>0</v>
      </c>
      <c r="BH189" s="37">
        <f t="shared" ca="1" si="154"/>
        <v>0</v>
      </c>
      <c r="BI189" s="37">
        <f t="shared" ca="1" si="154"/>
        <v>0</v>
      </c>
      <c r="BJ189" s="37">
        <f t="shared" ca="1" si="154"/>
        <v>0</v>
      </c>
      <c r="BK189" s="37">
        <f t="shared" ca="1" si="154"/>
        <v>0</v>
      </c>
      <c r="BL189" s="37">
        <f t="shared" ca="1" si="154"/>
        <v>0</v>
      </c>
      <c r="BM189" s="37">
        <f t="shared" ca="1" si="154"/>
        <v>0</v>
      </c>
      <c r="BN189" s="37">
        <f t="shared" ca="1" si="154"/>
        <v>0</v>
      </c>
      <c r="BO189" s="37">
        <f t="shared" ca="1" si="154"/>
        <v>0</v>
      </c>
      <c r="BP189" s="37">
        <f t="shared" ca="1" si="154"/>
        <v>0</v>
      </c>
      <c r="BQ189" s="37">
        <f t="shared" ca="1" si="154"/>
        <v>0</v>
      </c>
      <c r="BR189" s="37">
        <f t="shared" ca="1" si="154"/>
        <v>0</v>
      </c>
      <c r="BS189" s="37">
        <f t="shared" ca="1" si="154"/>
        <v>0</v>
      </c>
      <c r="BT189" s="37">
        <f t="shared" ca="1" si="154"/>
        <v>0</v>
      </c>
      <c r="BU189" s="37">
        <f t="shared" ca="1" si="154"/>
        <v>0</v>
      </c>
      <c r="BV189" s="37">
        <f t="shared" ca="1" si="154"/>
        <v>0</v>
      </c>
      <c r="BW189" s="37">
        <f t="shared" ca="1" si="154"/>
        <v>0</v>
      </c>
      <c r="BX189" s="37">
        <f t="shared" ca="1" si="154"/>
        <v>0</v>
      </c>
      <c r="BY189" s="37">
        <f t="shared" ca="1" si="154"/>
        <v>0</v>
      </c>
      <c r="BZ189" s="37">
        <f t="shared" ca="1" si="154"/>
        <v>0</v>
      </c>
      <c r="CA189" s="37">
        <f t="shared" ca="1" si="154"/>
        <v>0</v>
      </c>
      <c r="CB189" s="37">
        <f t="shared" ca="1" si="154"/>
        <v>0</v>
      </c>
      <c r="CC189" s="37">
        <f t="shared" ca="1" si="154"/>
        <v>0</v>
      </c>
      <c r="CD189" s="37">
        <f t="shared" ca="1" si="154"/>
        <v>0</v>
      </c>
      <c r="CE189" s="37">
        <f t="shared" ca="1" si="154"/>
        <v>0</v>
      </c>
      <c r="CF189" s="37">
        <f t="shared" ca="1" si="154"/>
        <v>0</v>
      </c>
      <c r="CG189" s="37">
        <f t="shared" ca="1" si="154"/>
        <v>0</v>
      </c>
      <c r="CH189" s="37">
        <f t="shared" ca="1" si="154"/>
        <v>0</v>
      </c>
    </row>
    <row r="190" spans="1:86" ht="13">
      <c r="A190" s="13"/>
      <c r="B190" s="13" t="s">
        <v>306</v>
      </c>
      <c r="C190" s="13" t="s">
        <v>307</v>
      </c>
      <c r="D190" s="13" t="s">
        <v>238</v>
      </c>
      <c r="E190" s="37">
        <f t="shared" ca="1" si="152"/>
        <v>25000000.000000011</v>
      </c>
      <c r="F190" s="48"/>
      <c r="G190" s="37">
        <f t="shared" ref="G190:CH190" ca="1" si="155">IF($C187="total fund (european)",MIN(G84-F191,G188),IF($C187="Deal-by-deal with clawback (American)",MIN(SUM($G189:G189)-F191,G188),G189))</f>
        <v>0</v>
      </c>
      <c r="H190" s="37">
        <f t="shared" ca="1" si="155"/>
        <v>0</v>
      </c>
      <c r="I190" s="37">
        <f t="shared" ca="1" si="155"/>
        <v>0</v>
      </c>
      <c r="J190" s="37">
        <f t="shared" ca="1" si="155"/>
        <v>0</v>
      </c>
      <c r="K190" s="37">
        <f t="shared" ca="1" si="155"/>
        <v>0</v>
      </c>
      <c r="L190" s="37">
        <f t="shared" ca="1" si="155"/>
        <v>0</v>
      </c>
      <c r="M190" s="37">
        <f t="shared" ca="1" si="155"/>
        <v>0</v>
      </c>
      <c r="N190" s="37">
        <f t="shared" ca="1" si="155"/>
        <v>0</v>
      </c>
      <c r="O190" s="37">
        <f t="shared" ca="1" si="155"/>
        <v>0</v>
      </c>
      <c r="P190" s="37">
        <f t="shared" ca="1" si="155"/>
        <v>0</v>
      </c>
      <c r="Q190" s="37">
        <f t="shared" ca="1" si="155"/>
        <v>0</v>
      </c>
      <c r="R190" s="37">
        <f t="shared" ca="1" si="155"/>
        <v>0</v>
      </c>
      <c r="S190" s="37">
        <f t="shared" ca="1" si="155"/>
        <v>810104.16666666721</v>
      </c>
      <c r="T190" s="37">
        <f t="shared" ca="1" si="155"/>
        <v>810104.16666666721</v>
      </c>
      <c r="U190" s="37">
        <f t="shared" ca="1" si="155"/>
        <v>810104.16666666721</v>
      </c>
      <c r="V190" s="37">
        <f t="shared" ca="1" si="155"/>
        <v>810104.16666666721</v>
      </c>
      <c r="W190" s="37">
        <f t="shared" ca="1" si="155"/>
        <v>2526562.5000000009</v>
      </c>
      <c r="X190" s="37">
        <f t="shared" ca="1" si="155"/>
        <v>2526562.5000000009</v>
      </c>
      <c r="Y190" s="37">
        <f t="shared" ca="1" si="155"/>
        <v>2526562.5000000009</v>
      </c>
      <c r="Z190" s="37">
        <f t="shared" ca="1" si="155"/>
        <v>1779895.8333333302</v>
      </c>
      <c r="AA190" s="37">
        <f t="shared" ca="1" si="155"/>
        <v>1341666.666666666</v>
      </c>
      <c r="AB190" s="37">
        <f t="shared" ca="1" si="155"/>
        <v>1341666.666666666</v>
      </c>
      <c r="AC190" s="37">
        <f t="shared" ca="1" si="155"/>
        <v>1341666.666666666</v>
      </c>
      <c r="AD190" s="37">
        <f t="shared" ca="1" si="155"/>
        <v>1341666.6666666679</v>
      </c>
      <c r="AE190" s="37">
        <f t="shared" ca="1" si="155"/>
        <v>691666.66666666791</v>
      </c>
      <c r="AF190" s="37">
        <f t="shared" ca="1" si="155"/>
        <v>691666.66666666791</v>
      </c>
      <c r="AG190" s="37">
        <f t="shared" ca="1" si="155"/>
        <v>691666.66666666791</v>
      </c>
      <c r="AH190" s="37">
        <f t="shared" ca="1" si="155"/>
        <v>691666.66666666791</v>
      </c>
      <c r="AI190" s="37">
        <f t="shared" ca="1" si="155"/>
        <v>416666.66666666791</v>
      </c>
      <c r="AJ190" s="37">
        <f t="shared" ca="1" si="155"/>
        <v>416666.66666666791</v>
      </c>
      <c r="AK190" s="37">
        <f t="shared" ca="1" si="155"/>
        <v>416666.66666666791</v>
      </c>
      <c r="AL190" s="37">
        <f t="shared" ca="1" si="155"/>
        <v>416666.66666666791</v>
      </c>
      <c r="AM190" s="37">
        <f t="shared" ca="1" si="155"/>
        <v>300000</v>
      </c>
      <c r="AN190" s="37">
        <f t="shared" ca="1" si="155"/>
        <v>300000</v>
      </c>
      <c r="AO190" s="37">
        <f t="shared" ca="1" si="155"/>
        <v>300000</v>
      </c>
      <c r="AP190" s="37">
        <f t="shared" ca="1" si="155"/>
        <v>300000</v>
      </c>
      <c r="AQ190" s="37">
        <f t="shared" ca="1" si="155"/>
        <v>350000</v>
      </c>
      <c r="AR190" s="37">
        <f t="shared" ca="1" si="155"/>
        <v>350000</v>
      </c>
      <c r="AS190" s="37">
        <f t="shared" ca="1" si="155"/>
        <v>350000</v>
      </c>
      <c r="AT190" s="37">
        <f t="shared" ca="1" si="155"/>
        <v>350000</v>
      </c>
      <c r="AU190" s="37">
        <f t="shared" ca="1" si="155"/>
        <v>0</v>
      </c>
      <c r="AV190" s="37">
        <f t="shared" ca="1" si="155"/>
        <v>0</v>
      </c>
      <c r="AW190" s="37">
        <f t="shared" ca="1" si="155"/>
        <v>0</v>
      </c>
      <c r="AX190" s="37">
        <f t="shared" ca="1" si="155"/>
        <v>0</v>
      </c>
      <c r="AY190" s="37">
        <f t="shared" ca="1" si="155"/>
        <v>0</v>
      </c>
      <c r="AZ190" s="37">
        <f t="shared" ca="1" si="155"/>
        <v>0</v>
      </c>
      <c r="BA190" s="37">
        <f t="shared" ca="1" si="155"/>
        <v>0</v>
      </c>
      <c r="BB190" s="37">
        <f t="shared" ca="1" si="155"/>
        <v>0</v>
      </c>
      <c r="BC190" s="37">
        <f t="shared" ca="1" si="155"/>
        <v>0</v>
      </c>
      <c r="BD190" s="37">
        <f t="shared" ca="1" si="155"/>
        <v>0</v>
      </c>
      <c r="BE190" s="37">
        <f t="shared" ca="1" si="155"/>
        <v>0</v>
      </c>
      <c r="BF190" s="37">
        <f t="shared" ca="1" si="155"/>
        <v>0</v>
      </c>
      <c r="BG190" s="37">
        <f t="shared" ca="1" si="155"/>
        <v>0</v>
      </c>
      <c r="BH190" s="37">
        <f t="shared" ca="1" si="155"/>
        <v>0</v>
      </c>
      <c r="BI190" s="37">
        <f t="shared" ca="1" si="155"/>
        <v>0</v>
      </c>
      <c r="BJ190" s="37">
        <f t="shared" ca="1" si="155"/>
        <v>0</v>
      </c>
      <c r="BK190" s="37">
        <f t="shared" ca="1" si="155"/>
        <v>0</v>
      </c>
      <c r="BL190" s="37">
        <f t="shared" ca="1" si="155"/>
        <v>0</v>
      </c>
      <c r="BM190" s="37">
        <f t="shared" ca="1" si="155"/>
        <v>0</v>
      </c>
      <c r="BN190" s="37">
        <f t="shared" ca="1" si="155"/>
        <v>0</v>
      </c>
      <c r="BO190" s="37">
        <f t="shared" ca="1" si="155"/>
        <v>0</v>
      </c>
      <c r="BP190" s="37">
        <f t="shared" ca="1" si="155"/>
        <v>0</v>
      </c>
      <c r="BQ190" s="37">
        <f t="shared" ca="1" si="155"/>
        <v>0</v>
      </c>
      <c r="BR190" s="37">
        <f t="shared" ca="1" si="155"/>
        <v>0</v>
      </c>
      <c r="BS190" s="37">
        <f t="shared" ca="1" si="155"/>
        <v>0</v>
      </c>
      <c r="BT190" s="37">
        <f t="shared" ca="1" si="155"/>
        <v>0</v>
      </c>
      <c r="BU190" s="37">
        <f t="shared" ca="1" si="155"/>
        <v>0</v>
      </c>
      <c r="BV190" s="37">
        <f t="shared" ca="1" si="155"/>
        <v>0</v>
      </c>
      <c r="BW190" s="37">
        <f t="shared" ca="1" si="155"/>
        <v>0</v>
      </c>
      <c r="BX190" s="37">
        <f t="shared" ca="1" si="155"/>
        <v>0</v>
      </c>
      <c r="BY190" s="37">
        <f t="shared" ca="1" si="155"/>
        <v>0</v>
      </c>
      <c r="BZ190" s="37">
        <f t="shared" ca="1" si="155"/>
        <v>0</v>
      </c>
      <c r="CA190" s="37">
        <f t="shared" ca="1" si="155"/>
        <v>0</v>
      </c>
      <c r="CB190" s="37">
        <f t="shared" ca="1" si="155"/>
        <v>0</v>
      </c>
      <c r="CC190" s="37">
        <f t="shared" ca="1" si="155"/>
        <v>0</v>
      </c>
      <c r="CD190" s="37">
        <f t="shared" ca="1" si="155"/>
        <v>0</v>
      </c>
      <c r="CE190" s="37">
        <f t="shared" ca="1" si="155"/>
        <v>0</v>
      </c>
      <c r="CF190" s="37">
        <f t="shared" ca="1" si="155"/>
        <v>0</v>
      </c>
      <c r="CG190" s="37">
        <f t="shared" ca="1" si="155"/>
        <v>0</v>
      </c>
      <c r="CH190" s="37">
        <f t="shared" ca="1" si="155"/>
        <v>0</v>
      </c>
    </row>
    <row r="191" spans="1:86" ht="13">
      <c r="A191" s="13"/>
      <c r="B191" s="13" t="s">
        <v>308</v>
      </c>
      <c r="C191" s="13" t="s">
        <v>309</v>
      </c>
      <c r="D191" s="13" t="s">
        <v>247</v>
      </c>
      <c r="E191" s="37">
        <f t="shared" ca="1" si="152"/>
        <v>25000000.000000011</v>
      </c>
      <c r="F191" s="48"/>
      <c r="G191" s="37">
        <f t="shared" ref="G191:CH191" ca="1" si="156">F191+G190</f>
        <v>0</v>
      </c>
      <c r="H191" s="37">
        <f t="shared" ca="1" si="156"/>
        <v>0</v>
      </c>
      <c r="I191" s="37">
        <f t="shared" ca="1" si="156"/>
        <v>0</v>
      </c>
      <c r="J191" s="37">
        <f t="shared" ca="1" si="156"/>
        <v>0</v>
      </c>
      <c r="K191" s="37">
        <f t="shared" ca="1" si="156"/>
        <v>0</v>
      </c>
      <c r="L191" s="37">
        <f t="shared" ca="1" si="156"/>
        <v>0</v>
      </c>
      <c r="M191" s="37">
        <f t="shared" ca="1" si="156"/>
        <v>0</v>
      </c>
      <c r="N191" s="37">
        <f t="shared" ca="1" si="156"/>
        <v>0</v>
      </c>
      <c r="O191" s="37">
        <f t="shared" ca="1" si="156"/>
        <v>0</v>
      </c>
      <c r="P191" s="37">
        <f t="shared" ca="1" si="156"/>
        <v>0</v>
      </c>
      <c r="Q191" s="37">
        <f t="shared" ca="1" si="156"/>
        <v>0</v>
      </c>
      <c r="R191" s="37">
        <f t="shared" ca="1" si="156"/>
        <v>0</v>
      </c>
      <c r="S191" s="37">
        <f t="shared" ca="1" si="156"/>
        <v>810104.16666666721</v>
      </c>
      <c r="T191" s="37">
        <f t="shared" ca="1" si="156"/>
        <v>1620208.3333333344</v>
      </c>
      <c r="U191" s="37">
        <f t="shared" ca="1" si="156"/>
        <v>2430312.5000000019</v>
      </c>
      <c r="V191" s="37">
        <f t="shared" ca="1" si="156"/>
        <v>3240416.6666666688</v>
      </c>
      <c r="W191" s="37">
        <f t="shared" ca="1" si="156"/>
        <v>5766979.1666666698</v>
      </c>
      <c r="X191" s="37">
        <f t="shared" ca="1" si="156"/>
        <v>8293541.6666666707</v>
      </c>
      <c r="Y191" s="37">
        <f t="shared" ca="1" si="156"/>
        <v>10820104.166666672</v>
      </c>
      <c r="Z191" s="37">
        <f t="shared" ca="1" si="156"/>
        <v>12600000.000000002</v>
      </c>
      <c r="AA191" s="37">
        <f t="shared" ca="1" si="156"/>
        <v>13941666.666666668</v>
      </c>
      <c r="AB191" s="37">
        <f t="shared" ca="1" si="156"/>
        <v>15283333.333333334</v>
      </c>
      <c r="AC191" s="37">
        <f t="shared" ca="1" si="156"/>
        <v>16625000</v>
      </c>
      <c r="AD191" s="37">
        <f t="shared" ca="1" si="156"/>
        <v>17966666.666666668</v>
      </c>
      <c r="AE191" s="37">
        <f t="shared" ca="1" si="156"/>
        <v>18658333.333333336</v>
      </c>
      <c r="AF191" s="37">
        <f t="shared" ca="1" si="156"/>
        <v>19350000.000000004</v>
      </c>
      <c r="AG191" s="37">
        <f t="shared" ca="1" si="156"/>
        <v>20041666.666666672</v>
      </c>
      <c r="AH191" s="37">
        <f t="shared" ca="1" si="156"/>
        <v>20733333.33333334</v>
      </c>
      <c r="AI191" s="37">
        <f t="shared" ca="1" si="156"/>
        <v>21150000.000000007</v>
      </c>
      <c r="AJ191" s="37">
        <f t="shared" ca="1" si="156"/>
        <v>21566666.666666675</v>
      </c>
      <c r="AK191" s="37">
        <f t="shared" ca="1" si="156"/>
        <v>21983333.333333343</v>
      </c>
      <c r="AL191" s="37">
        <f t="shared" ca="1" si="156"/>
        <v>22400000.000000011</v>
      </c>
      <c r="AM191" s="37">
        <f t="shared" ca="1" si="156"/>
        <v>22700000.000000011</v>
      </c>
      <c r="AN191" s="37">
        <f t="shared" ca="1" si="156"/>
        <v>23000000.000000011</v>
      </c>
      <c r="AO191" s="37">
        <f t="shared" ca="1" si="156"/>
        <v>23300000.000000011</v>
      </c>
      <c r="AP191" s="37">
        <f t="shared" ca="1" si="156"/>
        <v>23600000.000000011</v>
      </c>
      <c r="AQ191" s="37">
        <f t="shared" ca="1" si="156"/>
        <v>23950000.000000011</v>
      </c>
      <c r="AR191" s="37">
        <f t="shared" ca="1" si="156"/>
        <v>24300000.000000011</v>
      </c>
      <c r="AS191" s="37">
        <f t="shared" ca="1" si="156"/>
        <v>24650000.000000011</v>
      </c>
      <c r="AT191" s="37">
        <f t="shared" ca="1" si="156"/>
        <v>25000000.000000011</v>
      </c>
      <c r="AU191" s="37">
        <f t="shared" ca="1" si="156"/>
        <v>25000000.000000011</v>
      </c>
      <c r="AV191" s="37">
        <f t="shared" ca="1" si="156"/>
        <v>25000000.000000011</v>
      </c>
      <c r="AW191" s="37">
        <f t="shared" ca="1" si="156"/>
        <v>25000000.000000011</v>
      </c>
      <c r="AX191" s="37">
        <f t="shared" ca="1" si="156"/>
        <v>25000000.000000011</v>
      </c>
      <c r="AY191" s="37">
        <f t="shared" ca="1" si="156"/>
        <v>25000000.000000011</v>
      </c>
      <c r="AZ191" s="37">
        <f t="shared" ca="1" si="156"/>
        <v>25000000.000000011</v>
      </c>
      <c r="BA191" s="37">
        <f t="shared" ca="1" si="156"/>
        <v>25000000.000000011</v>
      </c>
      <c r="BB191" s="37">
        <f t="shared" ca="1" si="156"/>
        <v>25000000.000000011</v>
      </c>
      <c r="BC191" s="37">
        <f t="shared" ca="1" si="156"/>
        <v>25000000.000000011</v>
      </c>
      <c r="BD191" s="37">
        <f t="shared" ca="1" si="156"/>
        <v>25000000.000000011</v>
      </c>
      <c r="BE191" s="37">
        <f t="shared" ca="1" si="156"/>
        <v>25000000.000000011</v>
      </c>
      <c r="BF191" s="37">
        <f t="shared" ca="1" si="156"/>
        <v>25000000.000000011</v>
      </c>
      <c r="BG191" s="37">
        <f t="shared" ca="1" si="156"/>
        <v>25000000.000000011</v>
      </c>
      <c r="BH191" s="37">
        <f t="shared" ca="1" si="156"/>
        <v>25000000.000000011</v>
      </c>
      <c r="BI191" s="37">
        <f t="shared" ca="1" si="156"/>
        <v>25000000.000000011</v>
      </c>
      <c r="BJ191" s="37">
        <f t="shared" ca="1" si="156"/>
        <v>25000000.000000011</v>
      </c>
      <c r="BK191" s="37">
        <f t="shared" ca="1" si="156"/>
        <v>25000000.000000011</v>
      </c>
      <c r="BL191" s="37">
        <f t="shared" ca="1" si="156"/>
        <v>25000000.000000011</v>
      </c>
      <c r="BM191" s="37">
        <f t="shared" ca="1" si="156"/>
        <v>25000000.000000011</v>
      </c>
      <c r="BN191" s="37">
        <f t="shared" ca="1" si="156"/>
        <v>25000000.000000011</v>
      </c>
      <c r="BO191" s="37">
        <f t="shared" ca="1" si="156"/>
        <v>25000000.000000011</v>
      </c>
      <c r="BP191" s="37">
        <f t="shared" ca="1" si="156"/>
        <v>25000000.000000011</v>
      </c>
      <c r="BQ191" s="37">
        <f t="shared" ca="1" si="156"/>
        <v>25000000.000000011</v>
      </c>
      <c r="BR191" s="37">
        <f t="shared" ca="1" si="156"/>
        <v>25000000.000000011</v>
      </c>
      <c r="BS191" s="37">
        <f t="shared" ca="1" si="156"/>
        <v>25000000.000000011</v>
      </c>
      <c r="BT191" s="37">
        <f t="shared" ca="1" si="156"/>
        <v>25000000.000000011</v>
      </c>
      <c r="BU191" s="37">
        <f t="shared" ca="1" si="156"/>
        <v>25000000.000000011</v>
      </c>
      <c r="BV191" s="37">
        <f t="shared" ca="1" si="156"/>
        <v>25000000.000000011</v>
      </c>
      <c r="BW191" s="37">
        <f t="shared" ca="1" si="156"/>
        <v>25000000.000000011</v>
      </c>
      <c r="BX191" s="37">
        <f t="shared" ca="1" si="156"/>
        <v>25000000.000000011</v>
      </c>
      <c r="BY191" s="37">
        <f t="shared" ca="1" si="156"/>
        <v>25000000.000000011</v>
      </c>
      <c r="BZ191" s="37">
        <f t="shared" ca="1" si="156"/>
        <v>25000000.000000011</v>
      </c>
      <c r="CA191" s="37">
        <f t="shared" ca="1" si="156"/>
        <v>25000000.000000011</v>
      </c>
      <c r="CB191" s="37">
        <f t="shared" ca="1" si="156"/>
        <v>25000000.000000011</v>
      </c>
      <c r="CC191" s="37">
        <f t="shared" ca="1" si="156"/>
        <v>25000000.000000011</v>
      </c>
      <c r="CD191" s="37">
        <f t="shared" ca="1" si="156"/>
        <v>25000000.000000011</v>
      </c>
      <c r="CE191" s="37">
        <f t="shared" ca="1" si="156"/>
        <v>25000000.000000011</v>
      </c>
      <c r="CF191" s="37">
        <f t="shared" ca="1" si="156"/>
        <v>25000000.000000011</v>
      </c>
      <c r="CG191" s="37">
        <f t="shared" ca="1" si="156"/>
        <v>25000000.000000011</v>
      </c>
      <c r="CH191" s="37">
        <f t="shared" ca="1" si="156"/>
        <v>25000000.000000011</v>
      </c>
    </row>
    <row r="192" spans="1:86" ht="13">
      <c r="A192" s="13"/>
      <c r="B192" s="13" t="s">
        <v>310</v>
      </c>
      <c r="C192" s="13" t="s">
        <v>311</v>
      </c>
      <c r="D192" s="13" t="s">
        <v>247</v>
      </c>
      <c r="E192" s="37">
        <f t="shared" ca="1" si="152"/>
        <v>0</v>
      </c>
      <c r="F192" s="48"/>
      <c r="G192" s="37">
        <f t="shared" ref="G192:CH192" ca="1" si="157">G84-G191</f>
        <v>1444375</v>
      </c>
      <c r="H192" s="37">
        <f t="shared" ca="1" si="157"/>
        <v>2788750</v>
      </c>
      <c r="I192" s="37">
        <f t="shared" ca="1" si="157"/>
        <v>4133125</v>
      </c>
      <c r="J192" s="37">
        <f t="shared" ca="1" si="157"/>
        <v>5477500</v>
      </c>
      <c r="K192" s="37">
        <f t="shared" ca="1" si="157"/>
        <v>6821875</v>
      </c>
      <c r="L192" s="37">
        <f t="shared" ca="1" si="157"/>
        <v>8166250</v>
      </c>
      <c r="M192" s="37">
        <f t="shared" ca="1" si="157"/>
        <v>9510625</v>
      </c>
      <c r="N192" s="37">
        <f t="shared" ca="1" si="157"/>
        <v>10855000</v>
      </c>
      <c r="O192" s="37">
        <f t="shared" ca="1" si="157"/>
        <v>12199375</v>
      </c>
      <c r="P192" s="37">
        <f t="shared" ca="1" si="157"/>
        <v>13543750</v>
      </c>
      <c r="Q192" s="37">
        <f t="shared" ca="1" si="157"/>
        <v>14888125</v>
      </c>
      <c r="R192" s="37">
        <f t="shared" ca="1" si="157"/>
        <v>16232500</v>
      </c>
      <c r="S192" s="37">
        <f t="shared" ca="1" si="157"/>
        <v>16766770.833333332</v>
      </c>
      <c r="T192" s="37">
        <f t="shared" ca="1" si="157"/>
        <v>17301041.666666664</v>
      </c>
      <c r="U192" s="37">
        <f t="shared" ca="1" si="157"/>
        <v>17835312.5</v>
      </c>
      <c r="V192" s="37">
        <f t="shared" ca="1" si="157"/>
        <v>18369583.333333332</v>
      </c>
      <c r="W192" s="37">
        <f t="shared" ca="1" si="157"/>
        <v>15984270.83333333</v>
      </c>
      <c r="X192" s="37">
        <f t="shared" ca="1" si="157"/>
        <v>13598958.333333328</v>
      </c>
      <c r="Y192" s="37">
        <f t="shared" ca="1" si="157"/>
        <v>11213645.833333328</v>
      </c>
      <c r="Z192" s="37">
        <f t="shared" ca="1" si="157"/>
        <v>9574999.9999999981</v>
      </c>
      <c r="AA192" s="37">
        <f t="shared" ca="1" si="157"/>
        <v>8374583.3333333321</v>
      </c>
      <c r="AB192" s="37">
        <f t="shared" ca="1" si="157"/>
        <v>7174166.666666666</v>
      </c>
      <c r="AC192" s="37">
        <f t="shared" ca="1" si="157"/>
        <v>5973750</v>
      </c>
      <c r="AD192" s="37">
        <f t="shared" ca="1" si="157"/>
        <v>4773333.3333333321</v>
      </c>
      <c r="AE192" s="37">
        <f t="shared" ca="1" si="157"/>
        <v>4222916.6666666642</v>
      </c>
      <c r="AF192" s="37">
        <f t="shared" ca="1" si="157"/>
        <v>3672499.9999999963</v>
      </c>
      <c r="AG192" s="37">
        <f t="shared" ca="1" si="157"/>
        <v>3122083.3333333284</v>
      </c>
      <c r="AH192" s="37">
        <f t="shared" ca="1" si="157"/>
        <v>2571666.6666666605</v>
      </c>
      <c r="AI192" s="37">
        <f t="shared" ca="1" si="157"/>
        <v>2296249.9999999925</v>
      </c>
      <c r="AJ192" s="37">
        <f t="shared" ca="1" si="157"/>
        <v>2020833.3333333246</v>
      </c>
      <c r="AK192" s="37">
        <f t="shared" ca="1" si="157"/>
        <v>1745416.6666666567</v>
      </c>
      <c r="AL192" s="37">
        <f t="shared" ca="1" si="157"/>
        <v>1469999.9999999888</v>
      </c>
      <c r="AM192" s="37">
        <f t="shared" ca="1" si="157"/>
        <v>1311249.9999999888</v>
      </c>
      <c r="AN192" s="37">
        <f t="shared" ca="1" si="157"/>
        <v>1152499.9999999888</v>
      </c>
      <c r="AO192" s="37">
        <f t="shared" ca="1" si="157"/>
        <v>993749.99999998882</v>
      </c>
      <c r="AP192" s="37">
        <f t="shared" ca="1" si="157"/>
        <v>834999.99999998882</v>
      </c>
      <c r="AQ192" s="37">
        <f t="shared" ca="1" si="157"/>
        <v>626249.99999998882</v>
      </c>
      <c r="AR192" s="37">
        <f t="shared" ca="1" si="157"/>
        <v>417499.99999998882</v>
      </c>
      <c r="AS192" s="37">
        <f t="shared" ca="1" si="157"/>
        <v>208749.99999998882</v>
      </c>
      <c r="AT192" s="37">
        <f t="shared" ca="1" si="157"/>
        <v>0</v>
      </c>
      <c r="AU192" s="37">
        <f t="shared" ca="1" si="157"/>
        <v>0</v>
      </c>
      <c r="AV192" s="37">
        <f t="shared" ca="1" si="157"/>
        <v>0</v>
      </c>
      <c r="AW192" s="37">
        <f t="shared" ca="1" si="157"/>
        <v>0</v>
      </c>
      <c r="AX192" s="37">
        <f t="shared" ca="1" si="157"/>
        <v>0</v>
      </c>
      <c r="AY192" s="37">
        <f t="shared" ca="1" si="157"/>
        <v>0</v>
      </c>
      <c r="AZ192" s="37">
        <f t="shared" ca="1" si="157"/>
        <v>0</v>
      </c>
      <c r="BA192" s="37">
        <f t="shared" ca="1" si="157"/>
        <v>0</v>
      </c>
      <c r="BB192" s="37">
        <f t="shared" ca="1" si="157"/>
        <v>0</v>
      </c>
      <c r="BC192" s="37">
        <f t="shared" ca="1" si="157"/>
        <v>0</v>
      </c>
      <c r="BD192" s="37">
        <f t="shared" ca="1" si="157"/>
        <v>0</v>
      </c>
      <c r="BE192" s="37">
        <f t="shared" ca="1" si="157"/>
        <v>0</v>
      </c>
      <c r="BF192" s="37">
        <f t="shared" ca="1" si="157"/>
        <v>0</v>
      </c>
      <c r="BG192" s="37">
        <f t="shared" ca="1" si="157"/>
        <v>0</v>
      </c>
      <c r="BH192" s="37">
        <f t="shared" ca="1" si="157"/>
        <v>0</v>
      </c>
      <c r="BI192" s="37">
        <f t="shared" ca="1" si="157"/>
        <v>0</v>
      </c>
      <c r="BJ192" s="37">
        <f t="shared" ca="1" si="157"/>
        <v>0</v>
      </c>
      <c r="BK192" s="37">
        <f t="shared" ca="1" si="157"/>
        <v>0</v>
      </c>
      <c r="BL192" s="37">
        <f t="shared" ca="1" si="157"/>
        <v>0</v>
      </c>
      <c r="BM192" s="37">
        <f t="shared" ca="1" si="157"/>
        <v>0</v>
      </c>
      <c r="BN192" s="37">
        <f t="shared" ca="1" si="157"/>
        <v>0</v>
      </c>
      <c r="BO192" s="37">
        <f t="shared" ca="1" si="157"/>
        <v>0</v>
      </c>
      <c r="BP192" s="37">
        <f t="shared" ca="1" si="157"/>
        <v>0</v>
      </c>
      <c r="BQ192" s="37">
        <f t="shared" ca="1" si="157"/>
        <v>0</v>
      </c>
      <c r="BR192" s="37">
        <f t="shared" ca="1" si="157"/>
        <v>0</v>
      </c>
      <c r="BS192" s="37">
        <f t="shared" ca="1" si="157"/>
        <v>0</v>
      </c>
      <c r="BT192" s="37">
        <f t="shared" ca="1" si="157"/>
        <v>0</v>
      </c>
      <c r="BU192" s="37">
        <f t="shared" ca="1" si="157"/>
        <v>0</v>
      </c>
      <c r="BV192" s="37">
        <f t="shared" ca="1" si="157"/>
        <v>0</v>
      </c>
      <c r="BW192" s="37">
        <f t="shared" ca="1" si="157"/>
        <v>0</v>
      </c>
      <c r="BX192" s="37">
        <f t="shared" ca="1" si="157"/>
        <v>0</v>
      </c>
      <c r="BY192" s="37">
        <f t="shared" ca="1" si="157"/>
        <v>0</v>
      </c>
      <c r="BZ192" s="37">
        <f t="shared" ca="1" si="157"/>
        <v>0</v>
      </c>
      <c r="CA192" s="37">
        <f t="shared" ca="1" si="157"/>
        <v>0</v>
      </c>
      <c r="CB192" s="37">
        <f t="shared" ca="1" si="157"/>
        <v>0</v>
      </c>
      <c r="CC192" s="37">
        <f t="shared" ca="1" si="157"/>
        <v>0</v>
      </c>
      <c r="CD192" s="37">
        <f t="shared" ca="1" si="157"/>
        <v>0</v>
      </c>
      <c r="CE192" s="37">
        <f t="shared" ca="1" si="157"/>
        <v>0</v>
      </c>
      <c r="CF192" s="37">
        <f t="shared" ca="1" si="157"/>
        <v>0</v>
      </c>
      <c r="CG192" s="37">
        <f t="shared" ca="1" si="157"/>
        <v>0</v>
      </c>
      <c r="CH192" s="37">
        <f t="shared" ca="1" si="157"/>
        <v>0</v>
      </c>
    </row>
    <row r="193" spans="2:86" ht="13">
      <c r="B193" s="15" t="s">
        <v>312</v>
      </c>
      <c r="C193" s="15" t="s">
        <v>313</v>
      </c>
      <c r="D193" s="15" t="s">
        <v>238</v>
      </c>
      <c r="E193" s="29">
        <f t="shared" ca="1" si="152"/>
        <v>205799479.16666663</v>
      </c>
      <c r="F193" s="29"/>
      <c r="G193" s="37">
        <f t="shared" ref="G193:CH193" ca="1" si="158">G188-G190</f>
        <v>0</v>
      </c>
      <c r="H193" s="37">
        <f t="shared" ca="1" si="158"/>
        <v>0</v>
      </c>
      <c r="I193" s="37">
        <f t="shared" ca="1" si="158"/>
        <v>0</v>
      </c>
      <c r="J193" s="37">
        <f t="shared" ca="1" si="158"/>
        <v>0</v>
      </c>
      <c r="K193" s="37">
        <f t="shared" ca="1" si="158"/>
        <v>0</v>
      </c>
      <c r="L193" s="37">
        <f t="shared" ca="1" si="158"/>
        <v>0</v>
      </c>
      <c r="M193" s="37">
        <f t="shared" ca="1" si="158"/>
        <v>0</v>
      </c>
      <c r="N193" s="37">
        <f t="shared" ca="1" si="158"/>
        <v>0</v>
      </c>
      <c r="O193" s="37">
        <f t="shared" ca="1" si="158"/>
        <v>0</v>
      </c>
      <c r="P193" s="37">
        <f t="shared" ca="1" si="158"/>
        <v>0</v>
      </c>
      <c r="Q193" s="37">
        <f t="shared" ca="1" si="158"/>
        <v>0</v>
      </c>
      <c r="R193" s="37">
        <f t="shared" ca="1" si="158"/>
        <v>0</v>
      </c>
      <c r="S193" s="37">
        <f t="shared" ca="1" si="158"/>
        <v>0</v>
      </c>
      <c r="T193" s="37">
        <f t="shared" ca="1" si="158"/>
        <v>0</v>
      </c>
      <c r="U193" s="37">
        <f t="shared" ca="1" si="158"/>
        <v>0</v>
      </c>
      <c r="V193" s="37">
        <f t="shared" ca="1" si="158"/>
        <v>0</v>
      </c>
      <c r="W193" s="37">
        <f t="shared" ca="1" si="158"/>
        <v>0</v>
      </c>
      <c r="X193" s="37">
        <f t="shared" ca="1" si="158"/>
        <v>0</v>
      </c>
      <c r="Y193" s="37">
        <f t="shared" ca="1" si="158"/>
        <v>0</v>
      </c>
      <c r="Z193" s="37">
        <f t="shared" ca="1" si="158"/>
        <v>746666.6666666707</v>
      </c>
      <c r="AA193" s="37">
        <f t="shared" ca="1" si="158"/>
        <v>1184895.8333333349</v>
      </c>
      <c r="AB193" s="37">
        <f t="shared" ca="1" si="158"/>
        <v>1184895.8333333349</v>
      </c>
      <c r="AC193" s="37">
        <f t="shared" ca="1" si="158"/>
        <v>1184895.8333333349</v>
      </c>
      <c r="AD193" s="37">
        <f t="shared" ca="1" si="158"/>
        <v>1184895.833333333</v>
      </c>
      <c r="AE193" s="37">
        <f t="shared" ca="1" si="158"/>
        <v>13372864.58333333</v>
      </c>
      <c r="AF193" s="37">
        <f t="shared" ca="1" si="158"/>
        <v>13372864.58333333</v>
      </c>
      <c r="AG193" s="37">
        <f t="shared" ca="1" si="158"/>
        <v>13372864.58333333</v>
      </c>
      <c r="AH193" s="37">
        <f t="shared" ca="1" si="158"/>
        <v>13372864.58333333</v>
      </c>
      <c r="AI193" s="37">
        <f t="shared" ca="1" si="158"/>
        <v>12721458.33333333</v>
      </c>
      <c r="AJ193" s="37">
        <f t="shared" ca="1" si="158"/>
        <v>12721458.33333333</v>
      </c>
      <c r="AK193" s="37">
        <f t="shared" ca="1" si="158"/>
        <v>12721458.33333333</v>
      </c>
      <c r="AL193" s="37">
        <f t="shared" ca="1" si="158"/>
        <v>12721458.33333333</v>
      </c>
      <c r="AM193" s="37">
        <f t="shared" ca="1" si="158"/>
        <v>11069531.249999998</v>
      </c>
      <c r="AN193" s="37">
        <f t="shared" ca="1" si="158"/>
        <v>11069531.249999998</v>
      </c>
      <c r="AO193" s="37">
        <f t="shared" ca="1" si="158"/>
        <v>11069531.249999998</v>
      </c>
      <c r="AP193" s="37">
        <f t="shared" ca="1" si="158"/>
        <v>11069531.249999998</v>
      </c>
      <c r="AQ193" s="37">
        <f t="shared" ca="1" si="158"/>
        <v>12914453.124999996</v>
      </c>
      <c r="AR193" s="37">
        <f t="shared" ca="1" si="158"/>
        <v>12914453.124999996</v>
      </c>
      <c r="AS193" s="37">
        <f t="shared" ca="1" si="158"/>
        <v>12914453.124999996</v>
      </c>
      <c r="AT193" s="37">
        <f t="shared" ca="1" si="158"/>
        <v>12914453.124999996</v>
      </c>
      <c r="AU193" s="37">
        <f t="shared" ca="1" si="158"/>
        <v>0</v>
      </c>
      <c r="AV193" s="37">
        <f t="shared" ca="1" si="158"/>
        <v>0</v>
      </c>
      <c r="AW193" s="37">
        <f t="shared" ca="1" si="158"/>
        <v>0</v>
      </c>
      <c r="AX193" s="37">
        <f t="shared" ca="1" si="158"/>
        <v>0</v>
      </c>
      <c r="AY193" s="37">
        <f t="shared" ca="1" si="158"/>
        <v>0</v>
      </c>
      <c r="AZ193" s="37">
        <f t="shared" ca="1" si="158"/>
        <v>0</v>
      </c>
      <c r="BA193" s="37">
        <f t="shared" ca="1" si="158"/>
        <v>0</v>
      </c>
      <c r="BB193" s="37">
        <f t="shared" ca="1" si="158"/>
        <v>0</v>
      </c>
      <c r="BC193" s="37">
        <f t="shared" ca="1" si="158"/>
        <v>0</v>
      </c>
      <c r="BD193" s="37">
        <f t="shared" ca="1" si="158"/>
        <v>0</v>
      </c>
      <c r="BE193" s="37">
        <f t="shared" ca="1" si="158"/>
        <v>0</v>
      </c>
      <c r="BF193" s="37">
        <f t="shared" ca="1" si="158"/>
        <v>0</v>
      </c>
      <c r="BG193" s="37">
        <f t="shared" ca="1" si="158"/>
        <v>0</v>
      </c>
      <c r="BH193" s="37">
        <f t="shared" ca="1" si="158"/>
        <v>0</v>
      </c>
      <c r="BI193" s="37">
        <f t="shared" ca="1" si="158"/>
        <v>0</v>
      </c>
      <c r="BJ193" s="37">
        <f t="shared" ca="1" si="158"/>
        <v>0</v>
      </c>
      <c r="BK193" s="37">
        <f t="shared" ca="1" si="158"/>
        <v>0</v>
      </c>
      <c r="BL193" s="37">
        <f t="shared" ca="1" si="158"/>
        <v>0</v>
      </c>
      <c r="BM193" s="37">
        <f t="shared" ca="1" si="158"/>
        <v>0</v>
      </c>
      <c r="BN193" s="37">
        <f t="shared" ca="1" si="158"/>
        <v>0</v>
      </c>
      <c r="BO193" s="37">
        <f t="shared" ca="1" si="158"/>
        <v>0</v>
      </c>
      <c r="BP193" s="37">
        <f t="shared" ca="1" si="158"/>
        <v>0</v>
      </c>
      <c r="BQ193" s="37">
        <f t="shared" ca="1" si="158"/>
        <v>0</v>
      </c>
      <c r="BR193" s="37">
        <f t="shared" ca="1" si="158"/>
        <v>0</v>
      </c>
      <c r="BS193" s="37">
        <f t="shared" ca="1" si="158"/>
        <v>0</v>
      </c>
      <c r="BT193" s="37">
        <f t="shared" ca="1" si="158"/>
        <v>0</v>
      </c>
      <c r="BU193" s="37">
        <f t="shared" ca="1" si="158"/>
        <v>0</v>
      </c>
      <c r="BV193" s="37">
        <f t="shared" ca="1" si="158"/>
        <v>0</v>
      </c>
      <c r="BW193" s="37">
        <f t="shared" ca="1" si="158"/>
        <v>0</v>
      </c>
      <c r="BX193" s="37">
        <f t="shared" ca="1" si="158"/>
        <v>0</v>
      </c>
      <c r="BY193" s="37">
        <f t="shared" ca="1" si="158"/>
        <v>0</v>
      </c>
      <c r="BZ193" s="37">
        <f t="shared" ca="1" si="158"/>
        <v>0</v>
      </c>
      <c r="CA193" s="37">
        <f t="shared" ca="1" si="158"/>
        <v>0</v>
      </c>
      <c r="CB193" s="37">
        <f t="shared" ca="1" si="158"/>
        <v>0</v>
      </c>
      <c r="CC193" s="37">
        <f t="shared" ca="1" si="158"/>
        <v>0</v>
      </c>
      <c r="CD193" s="37">
        <f t="shared" ca="1" si="158"/>
        <v>0</v>
      </c>
      <c r="CE193" s="37">
        <f t="shared" ca="1" si="158"/>
        <v>0</v>
      </c>
      <c r="CF193" s="37">
        <f t="shared" ca="1" si="158"/>
        <v>0</v>
      </c>
      <c r="CG193" s="37">
        <f t="shared" ca="1" si="158"/>
        <v>0</v>
      </c>
      <c r="CH193" s="37">
        <f t="shared" ca="1" si="158"/>
        <v>0</v>
      </c>
    </row>
    <row r="194" spans="2:86" ht="13">
      <c r="B194" s="15" t="s">
        <v>220</v>
      </c>
      <c r="C194" s="15" t="s">
        <v>314</v>
      </c>
      <c r="D194" s="15" t="s">
        <v>238</v>
      </c>
      <c r="E194" s="29">
        <f t="shared" ca="1" si="152"/>
        <v>41159895.833333328</v>
      </c>
      <c r="F194" s="29"/>
      <c r="G194" s="37">
        <f ca="1">G193*'Get Started  3'!$E14</f>
        <v>0</v>
      </c>
      <c r="H194" s="37">
        <f ca="1">H193*'Get Started  3'!$E14</f>
        <v>0</v>
      </c>
      <c r="I194" s="37">
        <f ca="1">I193*'Get Started  3'!$E14</f>
        <v>0</v>
      </c>
      <c r="J194" s="37">
        <f ca="1">J193*'Get Started  3'!$E14</f>
        <v>0</v>
      </c>
      <c r="K194" s="37">
        <f ca="1">K193*'Get Started  3'!$E14</f>
        <v>0</v>
      </c>
      <c r="L194" s="37">
        <f ca="1">L193*'Get Started  3'!$E14</f>
        <v>0</v>
      </c>
      <c r="M194" s="37">
        <f ca="1">M193*'Get Started  3'!$E14</f>
        <v>0</v>
      </c>
      <c r="N194" s="37">
        <f ca="1">N193*'Get Started  3'!$E14</f>
        <v>0</v>
      </c>
      <c r="O194" s="37">
        <f ca="1">O193*'Get Started  3'!$E14</f>
        <v>0</v>
      </c>
      <c r="P194" s="37">
        <f ca="1">P193*'Get Started  3'!$E14</f>
        <v>0</v>
      </c>
      <c r="Q194" s="37">
        <f ca="1">Q193*'Get Started  3'!$E14</f>
        <v>0</v>
      </c>
      <c r="R194" s="37">
        <f ca="1">R193*'Get Started  3'!$E14</f>
        <v>0</v>
      </c>
      <c r="S194" s="37">
        <f ca="1">S193*'Get Started  3'!$E14</f>
        <v>0</v>
      </c>
      <c r="T194" s="37">
        <f ca="1">T193*'Get Started  3'!$E14</f>
        <v>0</v>
      </c>
      <c r="U194" s="37">
        <f ca="1">U193*'Get Started  3'!$E14</f>
        <v>0</v>
      </c>
      <c r="V194" s="37">
        <f ca="1">V193*'Get Started  3'!$E14</f>
        <v>0</v>
      </c>
      <c r="W194" s="37">
        <f ca="1">W193*'Get Started  3'!$E14</f>
        <v>0</v>
      </c>
      <c r="X194" s="37">
        <f ca="1">X193*'Get Started  3'!$E14</f>
        <v>0</v>
      </c>
      <c r="Y194" s="37">
        <f ca="1">Y193*'Get Started  3'!$E14</f>
        <v>0</v>
      </c>
      <c r="Z194" s="37">
        <f ca="1">Z193*'Get Started  3'!$E14</f>
        <v>149333.33333333416</v>
      </c>
      <c r="AA194" s="37">
        <f ca="1">AA193*'Get Started  3'!$E14</f>
        <v>236979.16666666698</v>
      </c>
      <c r="AB194" s="37">
        <f ca="1">AB193*'Get Started  3'!$E14</f>
        <v>236979.16666666698</v>
      </c>
      <c r="AC194" s="37">
        <f ca="1">AC193*'Get Started  3'!$E14</f>
        <v>236979.16666666698</v>
      </c>
      <c r="AD194" s="37">
        <f ca="1">AD193*'Get Started  3'!$E14</f>
        <v>236979.16666666663</v>
      </c>
      <c r="AE194" s="37">
        <f ca="1">AE193*'Get Started  3'!$E14</f>
        <v>2674572.916666666</v>
      </c>
      <c r="AF194" s="37">
        <f ca="1">AF193*'Get Started  3'!$E14</f>
        <v>2674572.916666666</v>
      </c>
      <c r="AG194" s="37">
        <f ca="1">AG193*'Get Started  3'!$E14</f>
        <v>2674572.916666666</v>
      </c>
      <c r="AH194" s="37">
        <f ca="1">AH193*'Get Started  3'!$E14</f>
        <v>2674572.916666666</v>
      </c>
      <c r="AI194" s="37">
        <f ca="1">AI193*'Get Started  3'!$E14</f>
        <v>2544291.666666666</v>
      </c>
      <c r="AJ194" s="37">
        <f ca="1">AJ193*'Get Started  3'!$E14</f>
        <v>2544291.666666666</v>
      </c>
      <c r="AK194" s="37">
        <f ca="1">AK193*'Get Started  3'!$E14</f>
        <v>2544291.666666666</v>
      </c>
      <c r="AL194" s="37">
        <f ca="1">AL193*'Get Started  3'!$E14</f>
        <v>2544291.666666666</v>
      </c>
      <c r="AM194" s="37">
        <f ca="1">AM193*'Get Started  3'!$E14</f>
        <v>2213906.2499999995</v>
      </c>
      <c r="AN194" s="37">
        <f ca="1">AN193*'Get Started  3'!$E14</f>
        <v>2213906.2499999995</v>
      </c>
      <c r="AO194" s="37">
        <f ca="1">AO193*'Get Started  3'!$E14</f>
        <v>2213906.2499999995</v>
      </c>
      <c r="AP194" s="37">
        <f ca="1">AP193*'Get Started  3'!$E14</f>
        <v>2213906.2499999995</v>
      </c>
      <c r="AQ194" s="37">
        <f ca="1">AQ193*'Get Started  3'!$E14</f>
        <v>2582890.6249999995</v>
      </c>
      <c r="AR194" s="37">
        <f ca="1">AR193*'Get Started  3'!$E14</f>
        <v>2582890.6249999995</v>
      </c>
      <c r="AS194" s="37">
        <f ca="1">AS193*'Get Started  3'!$E14</f>
        <v>2582890.6249999995</v>
      </c>
      <c r="AT194" s="37">
        <f ca="1">AT193*'Get Started  3'!$E14</f>
        <v>2582890.6249999995</v>
      </c>
      <c r="AU194" s="37">
        <f ca="1">AU193*'Get Started  3'!$E14</f>
        <v>0</v>
      </c>
      <c r="AV194" s="37">
        <f ca="1">AV193*'Get Started  3'!$E14</f>
        <v>0</v>
      </c>
      <c r="AW194" s="37">
        <f ca="1">AW193*'Get Started  3'!$E14</f>
        <v>0</v>
      </c>
      <c r="AX194" s="37">
        <f ca="1">AX193*'Get Started  3'!$E14</f>
        <v>0</v>
      </c>
      <c r="AY194" s="37">
        <f ca="1">AY193*'Get Started  3'!$E14</f>
        <v>0</v>
      </c>
      <c r="AZ194" s="37">
        <f ca="1">AZ193*'Get Started  3'!$E14</f>
        <v>0</v>
      </c>
      <c r="BA194" s="37">
        <f ca="1">BA193*'Get Started  3'!$E14</f>
        <v>0</v>
      </c>
      <c r="BB194" s="37">
        <f ca="1">BB193*'Get Started  3'!$E14</f>
        <v>0</v>
      </c>
      <c r="BC194" s="37">
        <f ca="1">BC193*'Get Started  3'!$E14</f>
        <v>0</v>
      </c>
      <c r="BD194" s="37">
        <f ca="1">BD193*'Get Started  3'!$E14</f>
        <v>0</v>
      </c>
      <c r="BE194" s="37">
        <f ca="1">BE193*'Get Started  3'!$E14</f>
        <v>0</v>
      </c>
      <c r="BF194" s="37">
        <f ca="1">BF193*'Get Started  3'!$E14</f>
        <v>0</v>
      </c>
      <c r="BG194" s="37">
        <f ca="1">BG193*'Get Started  3'!$E14</f>
        <v>0</v>
      </c>
      <c r="BH194" s="37">
        <f ca="1">BH193*'Get Started  3'!$E14</f>
        <v>0</v>
      </c>
      <c r="BI194" s="37">
        <f ca="1">BI193*'Get Started  3'!$E14</f>
        <v>0</v>
      </c>
      <c r="BJ194" s="37">
        <f ca="1">BJ193*'Get Started  3'!$E14</f>
        <v>0</v>
      </c>
      <c r="BK194" s="37">
        <f ca="1">BK193*'Get Started  3'!$E14</f>
        <v>0</v>
      </c>
      <c r="BL194" s="37">
        <f ca="1">BL193*'Get Started  3'!$E14</f>
        <v>0</v>
      </c>
      <c r="BM194" s="37">
        <f ca="1">BM193*'Get Started  3'!$E14</f>
        <v>0</v>
      </c>
      <c r="BN194" s="37">
        <f ca="1">BN193*'Get Started  3'!$E14</f>
        <v>0</v>
      </c>
      <c r="BO194" s="37">
        <f ca="1">BO193*'Get Started  3'!$E14</f>
        <v>0</v>
      </c>
      <c r="BP194" s="37">
        <f ca="1">BP193*'Get Started  3'!$E14</f>
        <v>0</v>
      </c>
      <c r="BQ194" s="37">
        <f ca="1">BQ193*'Get Started  3'!$E14</f>
        <v>0</v>
      </c>
      <c r="BR194" s="37">
        <f ca="1">BR193*'Get Started  3'!$E14</f>
        <v>0</v>
      </c>
      <c r="BS194" s="37">
        <f ca="1">BS193*'Get Started  3'!$E14</f>
        <v>0</v>
      </c>
      <c r="BT194" s="37">
        <f ca="1">BT193*'Get Started  3'!$E14</f>
        <v>0</v>
      </c>
      <c r="BU194" s="37">
        <f ca="1">BU193*'Get Started  3'!$E14</f>
        <v>0</v>
      </c>
      <c r="BV194" s="37">
        <f ca="1">BV193*'Get Started  3'!$E14</f>
        <v>0</v>
      </c>
      <c r="BW194" s="37">
        <f ca="1">BW193*'Get Started  3'!$E14</f>
        <v>0</v>
      </c>
      <c r="BX194" s="37">
        <f ca="1">BX193*'Get Started  3'!$E14</f>
        <v>0</v>
      </c>
      <c r="BY194" s="37">
        <f ca="1">BY193*'Get Started  3'!$E14</f>
        <v>0</v>
      </c>
      <c r="BZ194" s="37">
        <f ca="1">BZ193*'Get Started  3'!$E14</f>
        <v>0</v>
      </c>
      <c r="CA194" s="37">
        <f ca="1">CA193*'Get Started  3'!$E14</f>
        <v>0</v>
      </c>
      <c r="CB194" s="37">
        <f ca="1">CB193*'Get Started  3'!$E14</f>
        <v>0</v>
      </c>
      <c r="CC194" s="37">
        <f ca="1">CC193*'Get Started  3'!$E14</f>
        <v>0</v>
      </c>
      <c r="CD194" s="37">
        <f ca="1">CD193*'Get Started  3'!$E14</f>
        <v>0</v>
      </c>
      <c r="CE194" s="37">
        <f ca="1">CE193*'Get Started  3'!$E14</f>
        <v>0</v>
      </c>
      <c r="CF194" s="37">
        <f ca="1">CF193*'Get Started  3'!$E14</f>
        <v>0</v>
      </c>
      <c r="CG194" s="37">
        <f ca="1">CG193*'Get Started  3'!$E14</f>
        <v>0</v>
      </c>
      <c r="CH194" s="37">
        <f ca="1">CH193*'Get Started  3'!$E14</f>
        <v>0</v>
      </c>
    </row>
    <row r="195" spans="2:86" ht="13">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29"/>
      <c r="CG195" s="29"/>
      <c r="CH195" s="29"/>
    </row>
    <row r="196" spans="2:86" ht="13">
      <c r="B196" s="76" t="s">
        <v>315</v>
      </c>
      <c r="C196" s="15"/>
      <c r="D196" s="15"/>
      <c r="E196" s="77"/>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29"/>
      <c r="CG196" s="29"/>
      <c r="CH196" s="29"/>
    </row>
    <row r="197" spans="2:86" ht="13">
      <c r="B197" s="15" t="s">
        <v>260</v>
      </c>
      <c r="C197" s="15"/>
      <c r="D197" s="15" t="s">
        <v>238</v>
      </c>
      <c r="E197" s="29">
        <f t="shared" ref="E197:E201" ca="1" si="159">IF(D197="sum",SUM(G197:CH197),IF(D197="final",CH197,IF(D197="initial",G197,IF(D197="average",AVERAGE(G197:CH197),0))))</f>
        <v>-20052083.333333332</v>
      </c>
      <c r="F197" s="82" t="str">
        <f t="shared" ref="F197:F201" si="160">B197</f>
        <v>New Investments</v>
      </c>
      <c r="G197" s="29">
        <f t="shared" ref="G197:CH197" ca="1" si="161">-1*G33</f>
        <v>-1203125</v>
      </c>
      <c r="H197" s="29">
        <f t="shared" ca="1" si="161"/>
        <v>-1203125</v>
      </c>
      <c r="I197" s="29">
        <f t="shared" ca="1" si="161"/>
        <v>-1203125</v>
      </c>
      <c r="J197" s="29">
        <f t="shared" ca="1" si="161"/>
        <v>-1203125</v>
      </c>
      <c r="K197" s="29">
        <f t="shared" ca="1" si="161"/>
        <v>-1203125</v>
      </c>
      <c r="L197" s="29">
        <f t="shared" ca="1" si="161"/>
        <v>-1203125</v>
      </c>
      <c r="M197" s="29">
        <f t="shared" ca="1" si="161"/>
        <v>-1203125</v>
      </c>
      <c r="N197" s="29">
        <f t="shared" ca="1" si="161"/>
        <v>-1203125</v>
      </c>
      <c r="O197" s="29">
        <f t="shared" ca="1" si="161"/>
        <v>-1203125</v>
      </c>
      <c r="P197" s="29">
        <f t="shared" ca="1" si="161"/>
        <v>-1203125</v>
      </c>
      <c r="Q197" s="29">
        <f t="shared" ca="1" si="161"/>
        <v>-1203125</v>
      </c>
      <c r="R197" s="29">
        <f t="shared" ca="1" si="161"/>
        <v>-1203125</v>
      </c>
      <c r="S197" s="29">
        <f t="shared" ca="1" si="161"/>
        <v>-1403645.8333333333</v>
      </c>
      <c r="T197" s="29">
        <f t="shared" ca="1" si="161"/>
        <v>-1403645.8333333333</v>
      </c>
      <c r="U197" s="29">
        <f t="shared" ca="1" si="161"/>
        <v>-1403645.8333333333</v>
      </c>
      <c r="V197" s="29">
        <f t="shared" ca="1" si="161"/>
        <v>-1403645.8333333333</v>
      </c>
      <c r="W197" s="29">
        <f t="shared" si="161"/>
        <v>0</v>
      </c>
      <c r="X197" s="29">
        <f t="shared" si="161"/>
        <v>0</v>
      </c>
      <c r="Y197" s="29">
        <f t="shared" si="161"/>
        <v>0</v>
      </c>
      <c r="Z197" s="29">
        <f t="shared" si="161"/>
        <v>0</v>
      </c>
      <c r="AA197" s="29">
        <f t="shared" si="161"/>
        <v>0</v>
      </c>
      <c r="AB197" s="29">
        <f t="shared" si="161"/>
        <v>0</v>
      </c>
      <c r="AC197" s="29">
        <f t="shared" si="161"/>
        <v>0</v>
      </c>
      <c r="AD197" s="29">
        <f t="shared" si="161"/>
        <v>0</v>
      </c>
      <c r="AE197" s="29">
        <f t="shared" si="161"/>
        <v>0</v>
      </c>
      <c r="AF197" s="29">
        <f t="shared" si="161"/>
        <v>0</v>
      </c>
      <c r="AG197" s="29">
        <f t="shared" si="161"/>
        <v>0</v>
      </c>
      <c r="AH197" s="29">
        <f t="shared" si="161"/>
        <v>0</v>
      </c>
      <c r="AI197" s="29">
        <f t="shared" si="161"/>
        <v>0</v>
      </c>
      <c r="AJ197" s="29">
        <f t="shared" si="161"/>
        <v>0</v>
      </c>
      <c r="AK197" s="29">
        <f t="shared" si="161"/>
        <v>0</v>
      </c>
      <c r="AL197" s="29">
        <f t="shared" si="161"/>
        <v>0</v>
      </c>
      <c r="AM197" s="29">
        <f t="shared" si="161"/>
        <v>0</v>
      </c>
      <c r="AN197" s="29">
        <f t="shared" si="161"/>
        <v>0</v>
      </c>
      <c r="AO197" s="29">
        <f t="shared" si="161"/>
        <v>0</v>
      </c>
      <c r="AP197" s="29">
        <f t="shared" si="161"/>
        <v>0</v>
      </c>
      <c r="AQ197" s="29">
        <f t="shared" si="161"/>
        <v>0</v>
      </c>
      <c r="AR197" s="29">
        <f t="shared" si="161"/>
        <v>0</v>
      </c>
      <c r="AS197" s="29">
        <f t="shared" si="161"/>
        <v>0</v>
      </c>
      <c r="AT197" s="29">
        <f t="shared" si="161"/>
        <v>0</v>
      </c>
      <c r="AU197" s="29">
        <f t="shared" si="161"/>
        <v>0</v>
      </c>
      <c r="AV197" s="29">
        <f t="shared" si="161"/>
        <v>0</v>
      </c>
      <c r="AW197" s="29">
        <f t="shared" si="161"/>
        <v>0</v>
      </c>
      <c r="AX197" s="29">
        <f t="shared" si="161"/>
        <v>0</v>
      </c>
      <c r="AY197" s="29">
        <f t="shared" si="161"/>
        <v>0</v>
      </c>
      <c r="AZ197" s="29">
        <f t="shared" si="161"/>
        <v>0</v>
      </c>
      <c r="BA197" s="29">
        <f t="shared" si="161"/>
        <v>0</v>
      </c>
      <c r="BB197" s="29">
        <f t="shared" si="161"/>
        <v>0</v>
      </c>
      <c r="BC197" s="29">
        <f t="shared" si="161"/>
        <v>0</v>
      </c>
      <c r="BD197" s="29">
        <f t="shared" si="161"/>
        <v>0</v>
      </c>
      <c r="BE197" s="29">
        <f t="shared" si="161"/>
        <v>0</v>
      </c>
      <c r="BF197" s="29">
        <f t="shared" si="161"/>
        <v>0</v>
      </c>
      <c r="BG197" s="29">
        <f t="shared" si="161"/>
        <v>0</v>
      </c>
      <c r="BH197" s="29">
        <f t="shared" si="161"/>
        <v>0</v>
      </c>
      <c r="BI197" s="29">
        <f t="shared" si="161"/>
        <v>0</v>
      </c>
      <c r="BJ197" s="29">
        <f t="shared" si="161"/>
        <v>0</v>
      </c>
      <c r="BK197" s="29">
        <f t="shared" si="161"/>
        <v>0</v>
      </c>
      <c r="BL197" s="29">
        <f t="shared" si="161"/>
        <v>0</v>
      </c>
      <c r="BM197" s="29">
        <f t="shared" si="161"/>
        <v>0</v>
      </c>
      <c r="BN197" s="29">
        <f t="shared" si="161"/>
        <v>0</v>
      </c>
      <c r="BO197" s="29">
        <f t="shared" si="161"/>
        <v>0</v>
      </c>
      <c r="BP197" s="29">
        <f t="shared" si="161"/>
        <v>0</v>
      </c>
      <c r="BQ197" s="29">
        <f t="shared" si="161"/>
        <v>0</v>
      </c>
      <c r="BR197" s="29">
        <f t="shared" si="161"/>
        <v>0</v>
      </c>
      <c r="BS197" s="29">
        <f t="shared" si="161"/>
        <v>0</v>
      </c>
      <c r="BT197" s="29">
        <f t="shared" si="161"/>
        <v>0</v>
      </c>
      <c r="BU197" s="29">
        <f t="shared" si="161"/>
        <v>0</v>
      </c>
      <c r="BV197" s="29">
        <f t="shared" si="161"/>
        <v>0</v>
      </c>
      <c r="BW197" s="29">
        <f t="shared" si="161"/>
        <v>0</v>
      </c>
      <c r="BX197" s="29">
        <f t="shared" si="161"/>
        <v>0</v>
      </c>
      <c r="BY197" s="29">
        <f t="shared" si="161"/>
        <v>0</v>
      </c>
      <c r="BZ197" s="29">
        <f t="shared" si="161"/>
        <v>0</v>
      </c>
      <c r="CA197" s="29">
        <f t="shared" si="161"/>
        <v>0</v>
      </c>
      <c r="CB197" s="29">
        <f t="shared" si="161"/>
        <v>0</v>
      </c>
      <c r="CC197" s="29">
        <f t="shared" si="161"/>
        <v>0</v>
      </c>
      <c r="CD197" s="29">
        <f t="shared" si="161"/>
        <v>0</v>
      </c>
      <c r="CE197" s="29">
        <f t="shared" si="161"/>
        <v>0</v>
      </c>
      <c r="CF197" s="29">
        <f t="shared" si="161"/>
        <v>0</v>
      </c>
      <c r="CG197" s="29">
        <f t="shared" si="161"/>
        <v>0</v>
      </c>
      <c r="CH197" s="29">
        <f t="shared" si="161"/>
        <v>0</v>
      </c>
    </row>
    <row r="198" spans="2:86" ht="13">
      <c r="B198" s="15" t="s">
        <v>264</v>
      </c>
      <c r="C198" s="15"/>
      <c r="D198" s="15" t="s">
        <v>238</v>
      </c>
      <c r="E198" s="29">
        <f t="shared" ca="1" si="159"/>
        <v>0</v>
      </c>
      <c r="F198" s="82" t="str">
        <f t="shared" si="160"/>
        <v>Follow on Investments</v>
      </c>
      <c r="G198" s="29">
        <f t="shared" ref="G198:CH198" ca="1" si="162">-1*G36</f>
        <v>0</v>
      </c>
      <c r="H198" s="29">
        <f t="shared" ca="1" si="162"/>
        <v>0</v>
      </c>
      <c r="I198" s="29">
        <f t="shared" ca="1" si="162"/>
        <v>0</v>
      </c>
      <c r="J198" s="29">
        <f t="shared" ca="1" si="162"/>
        <v>0</v>
      </c>
      <c r="K198" s="29">
        <f t="shared" ca="1" si="162"/>
        <v>0</v>
      </c>
      <c r="L198" s="29">
        <f t="shared" ca="1" si="162"/>
        <v>0</v>
      </c>
      <c r="M198" s="29">
        <f t="shared" ca="1" si="162"/>
        <v>0</v>
      </c>
      <c r="N198" s="29">
        <f t="shared" ca="1" si="162"/>
        <v>0</v>
      </c>
      <c r="O198" s="29">
        <f t="shared" ca="1" si="162"/>
        <v>0</v>
      </c>
      <c r="P198" s="29">
        <f t="shared" ca="1" si="162"/>
        <v>0</v>
      </c>
      <c r="Q198" s="29">
        <f t="shared" ca="1" si="162"/>
        <v>0</v>
      </c>
      <c r="R198" s="29">
        <f t="shared" ca="1" si="162"/>
        <v>0</v>
      </c>
      <c r="S198" s="29">
        <f t="shared" ca="1" si="162"/>
        <v>0</v>
      </c>
      <c r="T198" s="29">
        <f t="shared" ca="1" si="162"/>
        <v>0</v>
      </c>
      <c r="U198" s="29">
        <f t="shared" ca="1" si="162"/>
        <v>0</v>
      </c>
      <c r="V198" s="29">
        <f t="shared" ca="1" si="162"/>
        <v>0</v>
      </c>
      <c r="W198" s="29">
        <f t="shared" ca="1" si="162"/>
        <v>0</v>
      </c>
      <c r="X198" s="29">
        <f t="shared" ca="1" si="162"/>
        <v>0</v>
      </c>
      <c r="Y198" s="29">
        <f t="shared" ca="1" si="162"/>
        <v>0</v>
      </c>
      <c r="Z198" s="29">
        <f t="shared" ca="1" si="162"/>
        <v>0</v>
      </c>
      <c r="AA198" s="29">
        <f t="shared" ca="1" si="162"/>
        <v>0</v>
      </c>
      <c r="AB198" s="29">
        <f t="shared" ca="1" si="162"/>
        <v>0</v>
      </c>
      <c r="AC198" s="29">
        <f t="shared" ca="1" si="162"/>
        <v>0</v>
      </c>
      <c r="AD198" s="29">
        <f t="shared" ca="1" si="162"/>
        <v>0</v>
      </c>
      <c r="AE198" s="29">
        <f t="shared" ca="1" si="162"/>
        <v>0</v>
      </c>
      <c r="AF198" s="29">
        <f t="shared" ca="1" si="162"/>
        <v>0</v>
      </c>
      <c r="AG198" s="29">
        <f t="shared" ca="1" si="162"/>
        <v>0</v>
      </c>
      <c r="AH198" s="29">
        <f t="shared" ca="1" si="162"/>
        <v>0</v>
      </c>
      <c r="AI198" s="29">
        <f t="shared" ca="1" si="162"/>
        <v>0</v>
      </c>
      <c r="AJ198" s="29">
        <f t="shared" ca="1" si="162"/>
        <v>0</v>
      </c>
      <c r="AK198" s="29">
        <f t="shared" ca="1" si="162"/>
        <v>0</v>
      </c>
      <c r="AL198" s="29">
        <f t="shared" ca="1" si="162"/>
        <v>0</v>
      </c>
      <c r="AM198" s="29">
        <f t="shared" ca="1" si="162"/>
        <v>0</v>
      </c>
      <c r="AN198" s="29">
        <f t="shared" ca="1" si="162"/>
        <v>0</v>
      </c>
      <c r="AO198" s="29">
        <f t="shared" ca="1" si="162"/>
        <v>0</v>
      </c>
      <c r="AP198" s="29">
        <f t="shared" ca="1" si="162"/>
        <v>0</v>
      </c>
      <c r="AQ198" s="29">
        <f t="shared" ca="1" si="162"/>
        <v>0</v>
      </c>
      <c r="AR198" s="29">
        <f t="shared" ca="1" si="162"/>
        <v>0</v>
      </c>
      <c r="AS198" s="29">
        <f t="shared" ca="1" si="162"/>
        <v>0</v>
      </c>
      <c r="AT198" s="29">
        <f t="shared" ca="1" si="162"/>
        <v>0</v>
      </c>
      <c r="AU198" s="29">
        <f t="shared" ca="1" si="162"/>
        <v>0</v>
      </c>
      <c r="AV198" s="29">
        <f t="shared" ca="1" si="162"/>
        <v>0</v>
      </c>
      <c r="AW198" s="29">
        <f t="shared" ca="1" si="162"/>
        <v>0</v>
      </c>
      <c r="AX198" s="29">
        <f t="shared" ca="1" si="162"/>
        <v>0</v>
      </c>
      <c r="AY198" s="29">
        <f t="shared" ca="1" si="162"/>
        <v>0</v>
      </c>
      <c r="AZ198" s="29">
        <f t="shared" ca="1" si="162"/>
        <v>0</v>
      </c>
      <c r="BA198" s="29">
        <f t="shared" ca="1" si="162"/>
        <v>0</v>
      </c>
      <c r="BB198" s="29">
        <f t="shared" ca="1" si="162"/>
        <v>0</v>
      </c>
      <c r="BC198" s="29">
        <f t="shared" ca="1" si="162"/>
        <v>0</v>
      </c>
      <c r="BD198" s="29">
        <f t="shared" ca="1" si="162"/>
        <v>0</v>
      </c>
      <c r="BE198" s="29">
        <f t="shared" ca="1" si="162"/>
        <v>0</v>
      </c>
      <c r="BF198" s="29">
        <f t="shared" ca="1" si="162"/>
        <v>0</v>
      </c>
      <c r="BG198" s="29">
        <f t="shared" ca="1" si="162"/>
        <v>0</v>
      </c>
      <c r="BH198" s="29">
        <f t="shared" ca="1" si="162"/>
        <v>0</v>
      </c>
      <c r="BI198" s="29">
        <f t="shared" ca="1" si="162"/>
        <v>0</v>
      </c>
      <c r="BJ198" s="29">
        <f t="shared" ca="1" si="162"/>
        <v>0</v>
      </c>
      <c r="BK198" s="29">
        <f t="shared" ca="1" si="162"/>
        <v>0</v>
      </c>
      <c r="BL198" s="29">
        <f t="shared" ca="1" si="162"/>
        <v>0</v>
      </c>
      <c r="BM198" s="29">
        <f t="shared" ca="1" si="162"/>
        <v>0</v>
      </c>
      <c r="BN198" s="29">
        <f t="shared" ca="1" si="162"/>
        <v>0</v>
      </c>
      <c r="BO198" s="29">
        <f t="shared" ca="1" si="162"/>
        <v>0</v>
      </c>
      <c r="BP198" s="29">
        <f t="shared" ca="1" si="162"/>
        <v>0</v>
      </c>
      <c r="BQ198" s="29">
        <f t="shared" ca="1" si="162"/>
        <v>0</v>
      </c>
      <c r="BR198" s="29">
        <f t="shared" ca="1" si="162"/>
        <v>0</v>
      </c>
      <c r="BS198" s="29">
        <f t="shared" ca="1" si="162"/>
        <v>0</v>
      </c>
      <c r="BT198" s="29">
        <f t="shared" ca="1" si="162"/>
        <v>0</v>
      </c>
      <c r="BU198" s="29">
        <f t="shared" ca="1" si="162"/>
        <v>0</v>
      </c>
      <c r="BV198" s="29">
        <f t="shared" ca="1" si="162"/>
        <v>0</v>
      </c>
      <c r="BW198" s="29">
        <f t="shared" ca="1" si="162"/>
        <v>0</v>
      </c>
      <c r="BX198" s="29">
        <f t="shared" ca="1" si="162"/>
        <v>0</v>
      </c>
      <c r="BY198" s="29">
        <f t="shared" ca="1" si="162"/>
        <v>0</v>
      </c>
      <c r="BZ198" s="29">
        <f t="shared" ca="1" si="162"/>
        <v>0</v>
      </c>
      <c r="CA198" s="29">
        <f t="shared" ca="1" si="162"/>
        <v>0</v>
      </c>
      <c r="CB198" s="29">
        <f t="shared" ca="1" si="162"/>
        <v>0</v>
      </c>
      <c r="CC198" s="29">
        <f t="shared" ca="1" si="162"/>
        <v>0</v>
      </c>
      <c r="CD198" s="29">
        <f t="shared" ca="1" si="162"/>
        <v>0</v>
      </c>
      <c r="CE198" s="29">
        <f t="shared" ca="1" si="162"/>
        <v>0</v>
      </c>
      <c r="CF198" s="29">
        <f t="shared" ca="1" si="162"/>
        <v>0</v>
      </c>
      <c r="CG198" s="29">
        <f t="shared" ca="1" si="162"/>
        <v>0</v>
      </c>
      <c r="CH198" s="29">
        <f t="shared" ca="1" si="162"/>
        <v>0</v>
      </c>
    </row>
    <row r="199" spans="2:86" ht="13">
      <c r="B199" s="15" t="s">
        <v>255</v>
      </c>
      <c r="C199" s="15"/>
      <c r="D199" s="15" t="s">
        <v>238</v>
      </c>
      <c r="E199" s="29">
        <f t="shared" si="159"/>
        <v>-5750000</v>
      </c>
      <c r="F199" s="82" t="str">
        <f t="shared" si="160"/>
        <v>Fees</v>
      </c>
      <c r="G199" s="29">
        <f t="shared" ref="G199:CH199" si="163">SUM(G39,G40,G41)*-1</f>
        <v>-241250</v>
      </c>
      <c r="H199" s="29">
        <f t="shared" si="163"/>
        <v>-141250</v>
      </c>
      <c r="I199" s="29">
        <f t="shared" si="163"/>
        <v>-141250</v>
      </c>
      <c r="J199" s="29">
        <f t="shared" si="163"/>
        <v>-141250</v>
      </c>
      <c r="K199" s="29">
        <f t="shared" si="163"/>
        <v>-141250</v>
      </c>
      <c r="L199" s="29">
        <f t="shared" si="163"/>
        <v>-141250</v>
      </c>
      <c r="M199" s="29">
        <f t="shared" si="163"/>
        <v>-141250</v>
      </c>
      <c r="N199" s="29">
        <f t="shared" si="163"/>
        <v>-141250</v>
      </c>
      <c r="O199" s="29">
        <f t="shared" si="163"/>
        <v>-141250</v>
      </c>
      <c r="P199" s="29">
        <f t="shared" si="163"/>
        <v>-141250</v>
      </c>
      <c r="Q199" s="29">
        <f t="shared" si="163"/>
        <v>-141250</v>
      </c>
      <c r="R199" s="29">
        <f t="shared" si="163"/>
        <v>-141250</v>
      </c>
      <c r="S199" s="29">
        <f t="shared" si="163"/>
        <v>-141250</v>
      </c>
      <c r="T199" s="29">
        <f t="shared" si="163"/>
        <v>-141250</v>
      </c>
      <c r="U199" s="29">
        <f t="shared" si="163"/>
        <v>-141250</v>
      </c>
      <c r="V199" s="29">
        <f t="shared" si="163"/>
        <v>-141250</v>
      </c>
      <c r="W199" s="29">
        <f t="shared" si="163"/>
        <v>-141250</v>
      </c>
      <c r="X199" s="29">
        <f t="shared" si="163"/>
        <v>-141250</v>
      </c>
      <c r="Y199" s="29">
        <f t="shared" si="163"/>
        <v>-141250</v>
      </c>
      <c r="Z199" s="29">
        <f t="shared" si="163"/>
        <v>-141250</v>
      </c>
      <c r="AA199" s="29">
        <f t="shared" si="163"/>
        <v>-141250</v>
      </c>
      <c r="AB199" s="29">
        <f t="shared" si="163"/>
        <v>-141250</v>
      </c>
      <c r="AC199" s="29">
        <f t="shared" si="163"/>
        <v>-141250</v>
      </c>
      <c r="AD199" s="29">
        <f t="shared" si="163"/>
        <v>-141250</v>
      </c>
      <c r="AE199" s="29">
        <f t="shared" si="163"/>
        <v>-141250</v>
      </c>
      <c r="AF199" s="29">
        <f t="shared" si="163"/>
        <v>-141250</v>
      </c>
      <c r="AG199" s="29">
        <f t="shared" si="163"/>
        <v>-141250</v>
      </c>
      <c r="AH199" s="29">
        <f t="shared" si="163"/>
        <v>-141250</v>
      </c>
      <c r="AI199" s="29">
        <f t="shared" si="163"/>
        <v>-141250</v>
      </c>
      <c r="AJ199" s="29">
        <f t="shared" si="163"/>
        <v>-141250</v>
      </c>
      <c r="AK199" s="29">
        <f t="shared" si="163"/>
        <v>-141250</v>
      </c>
      <c r="AL199" s="29">
        <f t="shared" si="163"/>
        <v>-141250</v>
      </c>
      <c r="AM199" s="29">
        <f t="shared" si="163"/>
        <v>-141250</v>
      </c>
      <c r="AN199" s="29">
        <f t="shared" si="163"/>
        <v>-141250</v>
      </c>
      <c r="AO199" s="29">
        <f t="shared" si="163"/>
        <v>-141250</v>
      </c>
      <c r="AP199" s="29">
        <f t="shared" si="163"/>
        <v>-141250</v>
      </c>
      <c r="AQ199" s="29">
        <f t="shared" si="163"/>
        <v>-141250</v>
      </c>
      <c r="AR199" s="29">
        <f t="shared" si="163"/>
        <v>-141250</v>
      </c>
      <c r="AS199" s="29">
        <f t="shared" si="163"/>
        <v>-141250</v>
      </c>
      <c r="AT199" s="29">
        <f t="shared" si="163"/>
        <v>-141250</v>
      </c>
      <c r="AU199" s="29">
        <f t="shared" si="163"/>
        <v>0</v>
      </c>
      <c r="AV199" s="29">
        <f t="shared" si="163"/>
        <v>0</v>
      </c>
      <c r="AW199" s="29">
        <f t="shared" si="163"/>
        <v>0</v>
      </c>
      <c r="AX199" s="29">
        <f t="shared" si="163"/>
        <v>0</v>
      </c>
      <c r="AY199" s="29">
        <f t="shared" si="163"/>
        <v>0</v>
      </c>
      <c r="AZ199" s="29">
        <f t="shared" si="163"/>
        <v>0</v>
      </c>
      <c r="BA199" s="29">
        <f t="shared" si="163"/>
        <v>0</v>
      </c>
      <c r="BB199" s="29">
        <f t="shared" si="163"/>
        <v>0</v>
      </c>
      <c r="BC199" s="29">
        <f t="shared" si="163"/>
        <v>0</v>
      </c>
      <c r="BD199" s="29">
        <f t="shared" si="163"/>
        <v>0</v>
      </c>
      <c r="BE199" s="29">
        <f t="shared" si="163"/>
        <v>0</v>
      </c>
      <c r="BF199" s="29">
        <f t="shared" si="163"/>
        <v>0</v>
      </c>
      <c r="BG199" s="29">
        <f t="shared" si="163"/>
        <v>0</v>
      </c>
      <c r="BH199" s="29">
        <f t="shared" si="163"/>
        <v>0</v>
      </c>
      <c r="BI199" s="29">
        <f t="shared" si="163"/>
        <v>0</v>
      </c>
      <c r="BJ199" s="29">
        <f t="shared" si="163"/>
        <v>0</v>
      </c>
      <c r="BK199" s="29">
        <f t="shared" si="163"/>
        <v>0</v>
      </c>
      <c r="BL199" s="29">
        <f t="shared" si="163"/>
        <v>0</v>
      </c>
      <c r="BM199" s="29">
        <f t="shared" si="163"/>
        <v>0</v>
      </c>
      <c r="BN199" s="29">
        <f t="shared" si="163"/>
        <v>0</v>
      </c>
      <c r="BO199" s="29">
        <f t="shared" si="163"/>
        <v>0</v>
      </c>
      <c r="BP199" s="29">
        <f t="shared" si="163"/>
        <v>0</v>
      </c>
      <c r="BQ199" s="29">
        <f t="shared" si="163"/>
        <v>0</v>
      </c>
      <c r="BR199" s="29">
        <f t="shared" si="163"/>
        <v>0</v>
      </c>
      <c r="BS199" s="29">
        <f t="shared" si="163"/>
        <v>0</v>
      </c>
      <c r="BT199" s="29">
        <f t="shared" si="163"/>
        <v>0</v>
      </c>
      <c r="BU199" s="29">
        <f t="shared" si="163"/>
        <v>0</v>
      </c>
      <c r="BV199" s="29">
        <f t="shared" si="163"/>
        <v>0</v>
      </c>
      <c r="BW199" s="29">
        <f t="shared" si="163"/>
        <v>0</v>
      </c>
      <c r="BX199" s="29">
        <f t="shared" si="163"/>
        <v>0</v>
      </c>
      <c r="BY199" s="29">
        <f t="shared" si="163"/>
        <v>0</v>
      </c>
      <c r="BZ199" s="29">
        <f t="shared" si="163"/>
        <v>0</v>
      </c>
      <c r="CA199" s="29">
        <f t="shared" si="163"/>
        <v>0</v>
      </c>
      <c r="CB199" s="29">
        <f t="shared" si="163"/>
        <v>0</v>
      </c>
      <c r="CC199" s="29">
        <f t="shared" si="163"/>
        <v>0</v>
      </c>
      <c r="CD199" s="29">
        <f t="shared" si="163"/>
        <v>0</v>
      </c>
      <c r="CE199" s="29">
        <f t="shared" si="163"/>
        <v>0</v>
      </c>
      <c r="CF199" s="29">
        <f t="shared" si="163"/>
        <v>0</v>
      </c>
      <c r="CG199" s="29">
        <f t="shared" si="163"/>
        <v>0</v>
      </c>
      <c r="CH199" s="29">
        <f t="shared" si="163"/>
        <v>0</v>
      </c>
    </row>
    <row r="200" spans="2:86" ht="13">
      <c r="B200" s="15" t="s">
        <v>221</v>
      </c>
      <c r="C200" s="15"/>
      <c r="D200" s="15" t="s">
        <v>238</v>
      </c>
      <c r="E200" s="29">
        <f t="shared" ca="1" si="159"/>
        <v>189639583.33333331</v>
      </c>
      <c r="F200" s="82" t="str">
        <f t="shared" si="160"/>
        <v>Distributions</v>
      </c>
      <c r="G200" s="29">
        <f t="shared" ref="G200:CH200" ca="1" si="164">G47</f>
        <v>0</v>
      </c>
      <c r="H200" s="29">
        <f t="shared" ca="1" si="164"/>
        <v>0</v>
      </c>
      <c r="I200" s="29">
        <f t="shared" ca="1" si="164"/>
        <v>0</v>
      </c>
      <c r="J200" s="29">
        <f t="shared" ca="1" si="164"/>
        <v>0</v>
      </c>
      <c r="K200" s="29">
        <f t="shared" ca="1" si="164"/>
        <v>0</v>
      </c>
      <c r="L200" s="29">
        <f t="shared" ca="1" si="164"/>
        <v>0</v>
      </c>
      <c r="M200" s="29">
        <f t="shared" ca="1" si="164"/>
        <v>0</v>
      </c>
      <c r="N200" s="29">
        <f t="shared" ca="1" si="164"/>
        <v>0</v>
      </c>
      <c r="O200" s="29">
        <f t="shared" ca="1" si="164"/>
        <v>0</v>
      </c>
      <c r="P200" s="29">
        <f t="shared" ca="1" si="164"/>
        <v>0</v>
      </c>
      <c r="Q200" s="29">
        <f t="shared" ca="1" si="164"/>
        <v>0</v>
      </c>
      <c r="R200" s="29">
        <f t="shared" ca="1" si="164"/>
        <v>0</v>
      </c>
      <c r="S200" s="29">
        <f t="shared" ca="1" si="164"/>
        <v>810104.16666666721</v>
      </c>
      <c r="T200" s="29">
        <f t="shared" ca="1" si="164"/>
        <v>810104.16666666721</v>
      </c>
      <c r="U200" s="29">
        <f t="shared" ca="1" si="164"/>
        <v>810104.16666666721</v>
      </c>
      <c r="V200" s="29">
        <f t="shared" ca="1" si="164"/>
        <v>810104.16666666721</v>
      </c>
      <c r="W200" s="29">
        <f t="shared" ca="1" si="164"/>
        <v>2526562.5000000009</v>
      </c>
      <c r="X200" s="29">
        <f t="shared" ca="1" si="164"/>
        <v>2526562.5000000009</v>
      </c>
      <c r="Y200" s="29">
        <f t="shared" ca="1" si="164"/>
        <v>2526562.5000000009</v>
      </c>
      <c r="Z200" s="29">
        <f t="shared" ca="1" si="164"/>
        <v>2377229.166666667</v>
      </c>
      <c r="AA200" s="29">
        <f t="shared" ca="1" si="164"/>
        <v>2289583.333333334</v>
      </c>
      <c r="AB200" s="29">
        <f t="shared" ca="1" si="164"/>
        <v>2289583.333333334</v>
      </c>
      <c r="AC200" s="29">
        <f t="shared" ca="1" si="164"/>
        <v>2289583.333333334</v>
      </c>
      <c r="AD200" s="29">
        <f t="shared" ca="1" si="164"/>
        <v>2289583.3333333344</v>
      </c>
      <c r="AE200" s="29">
        <f t="shared" ca="1" si="164"/>
        <v>11389958.333333332</v>
      </c>
      <c r="AF200" s="29">
        <f t="shared" ca="1" si="164"/>
        <v>11389958.333333332</v>
      </c>
      <c r="AG200" s="29">
        <f t="shared" ca="1" si="164"/>
        <v>11389958.333333332</v>
      </c>
      <c r="AH200" s="29">
        <f t="shared" ca="1" si="164"/>
        <v>11389958.333333332</v>
      </c>
      <c r="AI200" s="29">
        <f t="shared" ca="1" si="164"/>
        <v>10593833.333333332</v>
      </c>
      <c r="AJ200" s="29">
        <f t="shared" ca="1" si="164"/>
        <v>10593833.333333332</v>
      </c>
      <c r="AK200" s="29">
        <f t="shared" ca="1" si="164"/>
        <v>10593833.333333332</v>
      </c>
      <c r="AL200" s="29">
        <f t="shared" ca="1" si="164"/>
        <v>10593833.333333332</v>
      </c>
      <c r="AM200" s="29">
        <f t="shared" ca="1" si="164"/>
        <v>9155624.9999999981</v>
      </c>
      <c r="AN200" s="29">
        <f t="shared" ca="1" si="164"/>
        <v>9155624.9999999981</v>
      </c>
      <c r="AO200" s="29">
        <f t="shared" ca="1" si="164"/>
        <v>9155624.9999999981</v>
      </c>
      <c r="AP200" s="29">
        <f t="shared" ca="1" si="164"/>
        <v>9155624.9999999981</v>
      </c>
      <c r="AQ200" s="29">
        <f t="shared" ca="1" si="164"/>
        <v>10681562.499999996</v>
      </c>
      <c r="AR200" s="29">
        <f t="shared" ca="1" si="164"/>
        <v>10681562.499999996</v>
      </c>
      <c r="AS200" s="29">
        <f t="shared" ca="1" si="164"/>
        <v>10681562.499999996</v>
      </c>
      <c r="AT200" s="29">
        <f t="shared" ca="1" si="164"/>
        <v>10681562.499999996</v>
      </c>
      <c r="AU200" s="29">
        <f t="shared" ca="1" si="164"/>
        <v>0</v>
      </c>
      <c r="AV200" s="29">
        <f t="shared" ca="1" si="164"/>
        <v>0</v>
      </c>
      <c r="AW200" s="29">
        <f t="shared" ca="1" si="164"/>
        <v>0</v>
      </c>
      <c r="AX200" s="29">
        <f t="shared" ca="1" si="164"/>
        <v>0</v>
      </c>
      <c r="AY200" s="29">
        <f t="shared" ca="1" si="164"/>
        <v>0</v>
      </c>
      <c r="AZ200" s="29">
        <f t="shared" ca="1" si="164"/>
        <v>0</v>
      </c>
      <c r="BA200" s="29">
        <f t="shared" ca="1" si="164"/>
        <v>0</v>
      </c>
      <c r="BB200" s="29">
        <f t="shared" ca="1" si="164"/>
        <v>0</v>
      </c>
      <c r="BC200" s="29">
        <f t="shared" ca="1" si="164"/>
        <v>0</v>
      </c>
      <c r="BD200" s="29">
        <f t="shared" ca="1" si="164"/>
        <v>0</v>
      </c>
      <c r="BE200" s="29">
        <f t="shared" ca="1" si="164"/>
        <v>0</v>
      </c>
      <c r="BF200" s="29">
        <f t="shared" ca="1" si="164"/>
        <v>0</v>
      </c>
      <c r="BG200" s="29">
        <f t="shared" ca="1" si="164"/>
        <v>0</v>
      </c>
      <c r="BH200" s="29">
        <f t="shared" ca="1" si="164"/>
        <v>0</v>
      </c>
      <c r="BI200" s="29">
        <f t="shared" ca="1" si="164"/>
        <v>0</v>
      </c>
      <c r="BJ200" s="29">
        <f t="shared" ca="1" si="164"/>
        <v>0</v>
      </c>
      <c r="BK200" s="29">
        <f t="shared" ca="1" si="164"/>
        <v>0</v>
      </c>
      <c r="BL200" s="29">
        <f t="shared" ca="1" si="164"/>
        <v>0</v>
      </c>
      <c r="BM200" s="29">
        <f t="shared" ca="1" si="164"/>
        <v>0</v>
      </c>
      <c r="BN200" s="29">
        <f t="shared" ca="1" si="164"/>
        <v>0</v>
      </c>
      <c r="BO200" s="29">
        <f t="shared" ca="1" si="164"/>
        <v>0</v>
      </c>
      <c r="BP200" s="29">
        <f t="shared" ca="1" si="164"/>
        <v>0</v>
      </c>
      <c r="BQ200" s="29">
        <f t="shared" ca="1" si="164"/>
        <v>0</v>
      </c>
      <c r="BR200" s="29">
        <f t="shared" ca="1" si="164"/>
        <v>0</v>
      </c>
      <c r="BS200" s="29">
        <f t="shared" ca="1" si="164"/>
        <v>0</v>
      </c>
      <c r="BT200" s="29">
        <f t="shared" ca="1" si="164"/>
        <v>0</v>
      </c>
      <c r="BU200" s="29">
        <f t="shared" ca="1" si="164"/>
        <v>0</v>
      </c>
      <c r="BV200" s="29">
        <f t="shared" ca="1" si="164"/>
        <v>0</v>
      </c>
      <c r="BW200" s="29">
        <f t="shared" ca="1" si="164"/>
        <v>0</v>
      </c>
      <c r="BX200" s="29">
        <f t="shared" ca="1" si="164"/>
        <v>0</v>
      </c>
      <c r="BY200" s="29">
        <f t="shared" ca="1" si="164"/>
        <v>0</v>
      </c>
      <c r="BZ200" s="29">
        <f t="shared" ca="1" si="164"/>
        <v>0</v>
      </c>
      <c r="CA200" s="29">
        <f t="shared" ca="1" si="164"/>
        <v>0</v>
      </c>
      <c r="CB200" s="29">
        <f t="shared" ca="1" si="164"/>
        <v>0</v>
      </c>
      <c r="CC200" s="29">
        <f t="shared" ca="1" si="164"/>
        <v>0</v>
      </c>
      <c r="CD200" s="29">
        <f t="shared" ca="1" si="164"/>
        <v>0</v>
      </c>
      <c r="CE200" s="29">
        <f t="shared" ca="1" si="164"/>
        <v>0</v>
      </c>
      <c r="CF200" s="29">
        <f t="shared" ca="1" si="164"/>
        <v>0</v>
      </c>
      <c r="CG200" s="29">
        <f t="shared" ca="1" si="164"/>
        <v>0</v>
      </c>
      <c r="CH200" s="29">
        <f t="shared" ca="1" si="164"/>
        <v>0</v>
      </c>
    </row>
    <row r="201" spans="2:86" ht="13">
      <c r="B201" s="15" t="s">
        <v>220</v>
      </c>
      <c r="C201" s="15"/>
      <c r="D201" s="15" t="s">
        <v>238</v>
      </c>
      <c r="E201" s="29">
        <f t="shared" ca="1" si="159"/>
        <v>41159895.833333328</v>
      </c>
      <c r="F201" s="82" t="str">
        <f t="shared" si="160"/>
        <v>Carried Interest</v>
      </c>
      <c r="G201" s="29">
        <f t="shared" ref="G201:CH201" ca="1" si="165">G46+G45</f>
        <v>0</v>
      </c>
      <c r="H201" s="29">
        <f t="shared" ca="1" si="165"/>
        <v>0</v>
      </c>
      <c r="I201" s="29">
        <f t="shared" ca="1" si="165"/>
        <v>0</v>
      </c>
      <c r="J201" s="29">
        <f t="shared" ca="1" si="165"/>
        <v>0</v>
      </c>
      <c r="K201" s="29">
        <f t="shared" ca="1" si="165"/>
        <v>0</v>
      </c>
      <c r="L201" s="29">
        <f t="shared" ca="1" si="165"/>
        <v>0</v>
      </c>
      <c r="M201" s="29">
        <f t="shared" ca="1" si="165"/>
        <v>0</v>
      </c>
      <c r="N201" s="29">
        <f t="shared" ca="1" si="165"/>
        <v>0</v>
      </c>
      <c r="O201" s="29">
        <f t="shared" ca="1" si="165"/>
        <v>0</v>
      </c>
      <c r="P201" s="29">
        <f t="shared" ca="1" si="165"/>
        <v>0</v>
      </c>
      <c r="Q201" s="29">
        <f t="shared" ca="1" si="165"/>
        <v>0</v>
      </c>
      <c r="R201" s="29">
        <f t="shared" ca="1" si="165"/>
        <v>0</v>
      </c>
      <c r="S201" s="29">
        <f t="shared" ca="1" si="165"/>
        <v>0</v>
      </c>
      <c r="T201" s="29">
        <f t="shared" ca="1" si="165"/>
        <v>0</v>
      </c>
      <c r="U201" s="29">
        <f t="shared" ca="1" si="165"/>
        <v>0</v>
      </c>
      <c r="V201" s="29">
        <f t="shared" ca="1" si="165"/>
        <v>0</v>
      </c>
      <c r="W201" s="29">
        <f t="shared" ca="1" si="165"/>
        <v>0</v>
      </c>
      <c r="X201" s="29">
        <f t="shared" ca="1" si="165"/>
        <v>0</v>
      </c>
      <c r="Y201" s="29">
        <f t="shared" ca="1" si="165"/>
        <v>0</v>
      </c>
      <c r="Z201" s="29">
        <f t="shared" ca="1" si="165"/>
        <v>149333.33333333416</v>
      </c>
      <c r="AA201" s="29">
        <f t="shared" ca="1" si="165"/>
        <v>236979.16666666698</v>
      </c>
      <c r="AB201" s="29">
        <f t="shared" ca="1" si="165"/>
        <v>236979.16666666698</v>
      </c>
      <c r="AC201" s="29">
        <f t="shared" ca="1" si="165"/>
        <v>236979.16666666698</v>
      </c>
      <c r="AD201" s="29">
        <f t="shared" ca="1" si="165"/>
        <v>236979.16666666663</v>
      </c>
      <c r="AE201" s="29">
        <f t="shared" ca="1" si="165"/>
        <v>2674572.916666666</v>
      </c>
      <c r="AF201" s="29">
        <f t="shared" ca="1" si="165"/>
        <v>2674572.916666666</v>
      </c>
      <c r="AG201" s="29">
        <f t="shared" ca="1" si="165"/>
        <v>2674572.916666666</v>
      </c>
      <c r="AH201" s="29">
        <f t="shared" ca="1" si="165"/>
        <v>2674572.916666666</v>
      </c>
      <c r="AI201" s="29">
        <f t="shared" ca="1" si="165"/>
        <v>2544291.666666666</v>
      </c>
      <c r="AJ201" s="29">
        <f t="shared" ca="1" si="165"/>
        <v>2544291.666666666</v>
      </c>
      <c r="AK201" s="29">
        <f t="shared" ca="1" si="165"/>
        <v>2544291.666666666</v>
      </c>
      <c r="AL201" s="29">
        <f t="shared" ca="1" si="165"/>
        <v>2544291.666666666</v>
      </c>
      <c r="AM201" s="29">
        <f t="shared" ca="1" si="165"/>
        <v>2213906.2499999995</v>
      </c>
      <c r="AN201" s="29">
        <f t="shared" ca="1" si="165"/>
        <v>2213906.2499999995</v>
      </c>
      <c r="AO201" s="29">
        <f t="shared" ca="1" si="165"/>
        <v>2213906.2499999995</v>
      </c>
      <c r="AP201" s="29">
        <f t="shared" ca="1" si="165"/>
        <v>2213906.2499999995</v>
      </c>
      <c r="AQ201" s="29">
        <f t="shared" ca="1" si="165"/>
        <v>2582890.6249999995</v>
      </c>
      <c r="AR201" s="29">
        <f t="shared" ca="1" si="165"/>
        <v>2582890.6249999995</v>
      </c>
      <c r="AS201" s="29">
        <f t="shared" ca="1" si="165"/>
        <v>2582890.6249999995</v>
      </c>
      <c r="AT201" s="29">
        <f t="shared" ca="1" si="165"/>
        <v>2582890.6249999995</v>
      </c>
      <c r="AU201" s="29">
        <f t="shared" ca="1" si="165"/>
        <v>0</v>
      </c>
      <c r="AV201" s="29">
        <f t="shared" ca="1" si="165"/>
        <v>0</v>
      </c>
      <c r="AW201" s="29">
        <f t="shared" ca="1" si="165"/>
        <v>0</v>
      </c>
      <c r="AX201" s="29">
        <f t="shared" ca="1" si="165"/>
        <v>0</v>
      </c>
      <c r="AY201" s="29">
        <f t="shared" ca="1" si="165"/>
        <v>0</v>
      </c>
      <c r="AZ201" s="29">
        <f t="shared" ca="1" si="165"/>
        <v>0</v>
      </c>
      <c r="BA201" s="29">
        <f t="shared" ca="1" si="165"/>
        <v>0</v>
      </c>
      <c r="BB201" s="29">
        <f t="shared" ca="1" si="165"/>
        <v>0</v>
      </c>
      <c r="BC201" s="29">
        <f t="shared" ca="1" si="165"/>
        <v>0</v>
      </c>
      <c r="BD201" s="29">
        <f t="shared" ca="1" si="165"/>
        <v>0</v>
      </c>
      <c r="BE201" s="29">
        <f t="shared" ca="1" si="165"/>
        <v>0</v>
      </c>
      <c r="BF201" s="29">
        <f t="shared" ca="1" si="165"/>
        <v>0</v>
      </c>
      <c r="BG201" s="29">
        <f t="shared" ca="1" si="165"/>
        <v>0</v>
      </c>
      <c r="BH201" s="29">
        <f t="shared" ca="1" si="165"/>
        <v>0</v>
      </c>
      <c r="BI201" s="29">
        <f t="shared" ca="1" si="165"/>
        <v>0</v>
      </c>
      <c r="BJ201" s="29">
        <f t="shared" ca="1" si="165"/>
        <v>0</v>
      </c>
      <c r="BK201" s="29">
        <f t="shared" ca="1" si="165"/>
        <v>0</v>
      </c>
      <c r="BL201" s="29">
        <f t="shared" ca="1" si="165"/>
        <v>0</v>
      </c>
      <c r="BM201" s="29">
        <f t="shared" ca="1" si="165"/>
        <v>0</v>
      </c>
      <c r="BN201" s="29">
        <f t="shared" ca="1" si="165"/>
        <v>0</v>
      </c>
      <c r="BO201" s="29">
        <f t="shared" ca="1" si="165"/>
        <v>0</v>
      </c>
      <c r="BP201" s="29">
        <f t="shared" ca="1" si="165"/>
        <v>0</v>
      </c>
      <c r="BQ201" s="29">
        <f t="shared" ca="1" si="165"/>
        <v>0</v>
      </c>
      <c r="BR201" s="29">
        <f t="shared" ca="1" si="165"/>
        <v>0</v>
      </c>
      <c r="BS201" s="29">
        <f t="shared" ca="1" si="165"/>
        <v>0</v>
      </c>
      <c r="BT201" s="29">
        <f t="shared" ca="1" si="165"/>
        <v>0</v>
      </c>
      <c r="BU201" s="29">
        <f t="shared" ca="1" si="165"/>
        <v>0</v>
      </c>
      <c r="BV201" s="29">
        <f t="shared" ca="1" si="165"/>
        <v>0</v>
      </c>
      <c r="BW201" s="29">
        <f t="shared" ca="1" si="165"/>
        <v>0</v>
      </c>
      <c r="BX201" s="29">
        <f t="shared" ca="1" si="165"/>
        <v>0</v>
      </c>
      <c r="BY201" s="29">
        <f t="shared" ca="1" si="165"/>
        <v>0</v>
      </c>
      <c r="BZ201" s="29">
        <f t="shared" ca="1" si="165"/>
        <v>0</v>
      </c>
      <c r="CA201" s="29">
        <f t="shared" ca="1" si="165"/>
        <v>0</v>
      </c>
      <c r="CB201" s="29">
        <f t="shared" ca="1" si="165"/>
        <v>0</v>
      </c>
      <c r="CC201" s="29">
        <f t="shared" ca="1" si="165"/>
        <v>0</v>
      </c>
      <c r="CD201" s="29">
        <f t="shared" ca="1" si="165"/>
        <v>0</v>
      </c>
      <c r="CE201" s="29">
        <f t="shared" ca="1" si="165"/>
        <v>0</v>
      </c>
      <c r="CF201" s="29">
        <f t="shared" ca="1" si="165"/>
        <v>0</v>
      </c>
      <c r="CG201" s="29">
        <f t="shared" ca="1" si="165"/>
        <v>0</v>
      </c>
      <c r="CH201" s="29">
        <f t="shared" ca="1" si="165"/>
        <v>0</v>
      </c>
    </row>
    <row r="203" spans="2:86" ht="13" outlineLevel="1">
      <c r="B203" s="76" t="s">
        <v>316</v>
      </c>
      <c r="C203" s="15"/>
      <c r="D203" s="29"/>
      <c r="E203" s="29"/>
      <c r="F203" s="29"/>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row>
    <row r="204" spans="2:86" ht="13" outlineLevel="1">
      <c r="B204" s="13" t="str">
        <f>"Proceeds from investments exited within "&amp;'Get Started  3'!E$27&amp;" years"</f>
        <v>Proceeds from investments exited within 24 years</v>
      </c>
      <c r="C204" s="15"/>
      <c r="D204" s="15" t="s">
        <v>238</v>
      </c>
      <c r="E204" s="29">
        <f t="shared" ref="E204:E210" ca="1" si="166">IF(D204="sum",SUM(G204:CH204),IF(D204="final",CH204,IF(D204="initial",G204,IF(D204="average",AVERAGE(G204:CH204),0))))</f>
        <v>231601562.5</v>
      </c>
      <c r="F204" s="29"/>
      <c r="G204" s="29">
        <f ca="1">IF('Get Started  3'!$H112&lt;='Get Started  3'!$E27,IF(AND(G4&lt;'Get Started  3'!$H112,'Get Started  3'!$H112&lt;='Get Started  3'!$E27),0,OFFSET(G37,0,-1*'Get Started  3'!$H112)*'Get Started  3'!$H42*'Get Started  3'!$G112),0)+IF('Get Started  3'!$H111&lt;='Get Started  3'!$E27,IF(G4&lt;'Get Started  3'!$H111,0,OFFSET(G37,0,-1*'Get Started  3'!$H111)*'Get Started  3'!$G42*'Get Started  3'!$G111),0)+IF('Get Started  3'!$H110&lt;='Get Started  3'!$E27,IF(G4&lt;'Get Started  3'!$H110,0,OFFSET(G37,0,-1*'Get Started  3'!$H110)*'Get Started  3'!$F42*'Get Started  3'!$G110),0)+IF('Get Started  3'!$H109&lt;='Get Started  3'!$E27,IF(G4&lt;'Get Started  3'!$H109,0,OFFSET(G37,0,-1*'Get Started  3'!$H109)*'Get Started  3'!$E42*'Get Started  3'!$G109),0)</f>
        <v>0</v>
      </c>
      <c r="H204" s="29">
        <f ca="1">IF('Get Started  3'!$H112&lt;='Get Started  3'!$E27,IF(AND(H4&lt;'Get Started  3'!$H112,'Get Started  3'!$H112&lt;='Get Started  3'!$E27),0,OFFSET(H37,0,-1*'Get Started  3'!$H112)*'Get Started  3'!$H42*'Get Started  3'!$G112),0)+IF('Get Started  3'!$H111&lt;='Get Started  3'!$E27,IF(H4&lt;'Get Started  3'!$H111,0,OFFSET(H37,0,-1*'Get Started  3'!$H111)*'Get Started  3'!$G42*'Get Started  3'!$G111),0)+IF('Get Started  3'!$H110&lt;='Get Started  3'!$E27,IF(H4&lt;'Get Started  3'!$H110,0,OFFSET(H37,0,-1*'Get Started  3'!$H110)*'Get Started  3'!$F42*'Get Started  3'!$G110),0)+IF('Get Started  3'!$H109&lt;='Get Started  3'!$E27,IF(H4&lt;'Get Started  3'!$H109,0,OFFSET(H37,0,-1*'Get Started  3'!$H109)*'Get Started  3'!$E42*'Get Started  3'!$G109),0)</f>
        <v>0</v>
      </c>
      <c r="I204" s="29">
        <f ca="1">IF('Get Started  3'!$H112&lt;='Get Started  3'!$E27,IF(AND(I4&lt;'Get Started  3'!$H112,'Get Started  3'!$H112&lt;='Get Started  3'!$E27),0,OFFSET(I37,0,-1*'Get Started  3'!$H112)*'Get Started  3'!$H42*'Get Started  3'!$G112),0)+IF('Get Started  3'!$H111&lt;='Get Started  3'!$E27,IF(I4&lt;'Get Started  3'!$H111,0,OFFSET(I37,0,-1*'Get Started  3'!$H111)*'Get Started  3'!$G42*'Get Started  3'!$G111),0)+IF('Get Started  3'!$H110&lt;='Get Started  3'!$E27,IF(I4&lt;'Get Started  3'!$H110,0,OFFSET(I37,0,-1*'Get Started  3'!$H110)*'Get Started  3'!$F42*'Get Started  3'!$G110),0)+IF('Get Started  3'!$H109&lt;='Get Started  3'!$E27,IF(I4&lt;'Get Started  3'!$H109,0,OFFSET(I37,0,-1*'Get Started  3'!$H109)*'Get Started  3'!$E42*'Get Started  3'!$G109),0)</f>
        <v>0</v>
      </c>
      <c r="J204" s="29">
        <f ca="1">IF('Get Started  3'!$H112&lt;='Get Started  3'!$E27,IF(AND(J4&lt;'Get Started  3'!$H112,'Get Started  3'!$H112&lt;='Get Started  3'!$E27),0,OFFSET(J37,0,-1*'Get Started  3'!$H112)*'Get Started  3'!$H42*'Get Started  3'!$G112),0)+IF('Get Started  3'!$H111&lt;='Get Started  3'!$E27,IF(J4&lt;'Get Started  3'!$H111,0,OFFSET(J37,0,-1*'Get Started  3'!$H111)*'Get Started  3'!$G42*'Get Started  3'!$G111),0)+IF('Get Started  3'!$H110&lt;='Get Started  3'!$E27,IF(J4&lt;'Get Started  3'!$H110,0,OFFSET(J37,0,-1*'Get Started  3'!$H110)*'Get Started  3'!$F42*'Get Started  3'!$G110),0)+IF('Get Started  3'!$H109&lt;='Get Started  3'!$E27,IF(J4&lt;'Get Started  3'!$H109,0,OFFSET(J37,0,-1*'Get Started  3'!$H109)*'Get Started  3'!$E42*'Get Started  3'!$G109),0)</f>
        <v>0</v>
      </c>
      <c r="K204" s="29">
        <f ca="1">IF('Get Started  3'!$H112&lt;='Get Started  3'!$E27,IF(AND(K4&lt;'Get Started  3'!$H112,'Get Started  3'!$H112&lt;='Get Started  3'!$E27),0,OFFSET(K37,0,-1*'Get Started  3'!$H112)*'Get Started  3'!$H42*'Get Started  3'!$G112),0)+IF('Get Started  3'!$H111&lt;='Get Started  3'!$E27,IF(K4&lt;'Get Started  3'!$H111,0,OFFSET(K37,0,-1*'Get Started  3'!$H111)*'Get Started  3'!$G42*'Get Started  3'!$G111),0)+IF('Get Started  3'!$H110&lt;='Get Started  3'!$E27,IF(K4&lt;'Get Started  3'!$H110,0,OFFSET(K37,0,-1*'Get Started  3'!$H110)*'Get Started  3'!$F42*'Get Started  3'!$G110),0)+IF('Get Started  3'!$H109&lt;='Get Started  3'!$E27,IF(K4&lt;'Get Started  3'!$H109,0,OFFSET(K37,0,-1*'Get Started  3'!$H109)*'Get Started  3'!$E42*'Get Started  3'!$G109),0)</f>
        <v>0</v>
      </c>
      <c r="L204" s="29">
        <f ca="1">IF('Get Started  3'!$H112&lt;='Get Started  3'!$E27,IF(AND(L4&lt;'Get Started  3'!$H112,'Get Started  3'!$H112&lt;='Get Started  3'!$E27),0,OFFSET(L37,0,-1*'Get Started  3'!$H112)*'Get Started  3'!$H42*'Get Started  3'!$G112),0)+IF('Get Started  3'!$H111&lt;='Get Started  3'!$E27,IF(L4&lt;'Get Started  3'!$H111,0,OFFSET(L37,0,-1*'Get Started  3'!$H111)*'Get Started  3'!$G42*'Get Started  3'!$G111),0)+IF('Get Started  3'!$H110&lt;='Get Started  3'!$E27,IF(L4&lt;'Get Started  3'!$H110,0,OFFSET(L37,0,-1*'Get Started  3'!$H110)*'Get Started  3'!$F42*'Get Started  3'!$G110),0)+IF('Get Started  3'!$H109&lt;='Get Started  3'!$E27,IF(L4&lt;'Get Started  3'!$H109,0,OFFSET(L37,0,-1*'Get Started  3'!$H109)*'Get Started  3'!$E42*'Get Started  3'!$G109),0)</f>
        <v>0</v>
      </c>
      <c r="M204" s="29">
        <f ca="1">IF('Get Started  3'!$H112&lt;='Get Started  3'!$E27,IF(AND(M4&lt;'Get Started  3'!$H112,'Get Started  3'!$H112&lt;='Get Started  3'!$E27),0,OFFSET(M37,0,-1*'Get Started  3'!$H112)*'Get Started  3'!$H42*'Get Started  3'!$G112),0)+IF('Get Started  3'!$H111&lt;='Get Started  3'!$E27,IF(M4&lt;'Get Started  3'!$H111,0,OFFSET(M37,0,-1*'Get Started  3'!$H111)*'Get Started  3'!$G42*'Get Started  3'!$G111),0)+IF('Get Started  3'!$H110&lt;='Get Started  3'!$E27,IF(M4&lt;'Get Started  3'!$H110,0,OFFSET(M37,0,-1*'Get Started  3'!$H110)*'Get Started  3'!$F42*'Get Started  3'!$G110),0)+IF('Get Started  3'!$H109&lt;='Get Started  3'!$E27,IF(M4&lt;'Get Started  3'!$H109,0,OFFSET(M37,0,-1*'Get Started  3'!$H109)*'Get Started  3'!$E42*'Get Started  3'!$G109),0)</f>
        <v>0</v>
      </c>
      <c r="N204" s="29">
        <f ca="1">IF('Get Started  3'!$H112&lt;='Get Started  3'!$E27,IF(AND(N4&lt;'Get Started  3'!$H112,'Get Started  3'!$H112&lt;='Get Started  3'!$E27),0,OFFSET(N37,0,-1*'Get Started  3'!$H112)*'Get Started  3'!$H42*'Get Started  3'!$G112),0)+IF('Get Started  3'!$H111&lt;='Get Started  3'!$E27,IF(N4&lt;'Get Started  3'!$H111,0,OFFSET(N37,0,-1*'Get Started  3'!$H111)*'Get Started  3'!$G42*'Get Started  3'!$G111),0)+IF('Get Started  3'!$H110&lt;='Get Started  3'!$E27,IF(N4&lt;'Get Started  3'!$H110,0,OFFSET(N37,0,-1*'Get Started  3'!$H110)*'Get Started  3'!$F42*'Get Started  3'!$G110),0)+IF('Get Started  3'!$H109&lt;='Get Started  3'!$E27,IF(N4&lt;'Get Started  3'!$H109,0,OFFSET(N37,0,-1*'Get Started  3'!$H109)*'Get Started  3'!$E42*'Get Started  3'!$G109),0)</f>
        <v>0</v>
      </c>
      <c r="O204" s="29">
        <f ca="1">IF('Get Started  3'!$H112&lt;='Get Started  3'!$E27,IF(AND(O4&lt;'Get Started  3'!$H112,'Get Started  3'!$H112&lt;='Get Started  3'!$E27),0,OFFSET(O37,0,-1*'Get Started  3'!$H112)*'Get Started  3'!$H42*'Get Started  3'!$G112),0)+IF('Get Started  3'!$H111&lt;='Get Started  3'!$E27,IF(O4&lt;'Get Started  3'!$H111,0,OFFSET(O37,0,-1*'Get Started  3'!$H111)*'Get Started  3'!$G42*'Get Started  3'!$G111),0)+IF('Get Started  3'!$H110&lt;='Get Started  3'!$E27,IF(O4&lt;'Get Started  3'!$H110,0,OFFSET(O37,0,-1*'Get Started  3'!$H110)*'Get Started  3'!$F42*'Get Started  3'!$G110),0)+IF('Get Started  3'!$H109&lt;='Get Started  3'!$E27,IF(O4&lt;'Get Started  3'!$H109,0,OFFSET(O37,0,-1*'Get Started  3'!$H109)*'Get Started  3'!$E42*'Get Started  3'!$G109),0)</f>
        <v>0</v>
      </c>
      <c r="P204" s="29">
        <f ca="1">IF('Get Started  3'!$H112&lt;='Get Started  3'!$E27,IF(AND(P4&lt;'Get Started  3'!$H112,'Get Started  3'!$H112&lt;='Get Started  3'!$E27),0,OFFSET(P37,0,-1*'Get Started  3'!$H112)*'Get Started  3'!$H42*'Get Started  3'!$G112),0)+IF('Get Started  3'!$H111&lt;='Get Started  3'!$E27,IF(P4&lt;'Get Started  3'!$H111,0,OFFSET(P37,0,-1*'Get Started  3'!$H111)*'Get Started  3'!$G42*'Get Started  3'!$G111),0)+IF('Get Started  3'!$H110&lt;='Get Started  3'!$E27,IF(P4&lt;'Get Started  3'!$H110,0,OFFSET(P37,0,-1*'Get Started  3'!$H110)*'Get Started  3'!$F42*'Get Started  3'!$G110),0)+IF('Get Started  3'!$H109&lt;='Get Started  3'!$E27,IF(P4&lt;'Get Started  3'!$H109,0,OFFSET(P37,0,-1*'Get Started  3'!$H109)*'Get Started  3'!$E42*'Get Started  3'!$G109),0)</f>
        <v>0</v>
      </c>
      <c r="Q204" s="29">
        <f ca="1">IF('Get Started  3'!$H112&lt;='Get Started  3'!$E27,IF(AND(Q4&lt;'Get Started  3'!$H112,'Get Started  3'!$H112&lt;='Get Started  3'!$E27),0,OFFSET(Q37,0,-1*'Get Started  3'!$H112)*'Get Started  3'!$H42*'Get Started  3'!$G112),0)+IF('Get Started  3'!$H111&lt;='Get Started  3'!$E27,IF(Q4&lt;'Get Started  3'!$H111,0,OFFSET(Q37,0,-1*'Get Started  3'!$H111)*'Get Started  3'!$G42*'Get Started  3'!$G111),0)+IF('Get Started  3'!$H110&lt;='Get Started  3'!$E27,IF(Q4&lt;'Get Started  3'!$H110,0,OFFSET(Q37,0,-1*'Get Started  3'!$H110)*'Get Started  3'!$F42*'Get Started  3'!$G110),0)+IF('Get Started  3'!$H109&lt;='Get Started  3'!$E27,IF(Q4&lt;'Get Started  3'!$H109,0,OFFSET(Q37,0,-1*'Get Started  3'!$H109)*'Get Started  3'!$E42*'Get Started  3'!$G109),0)</f>
        <v>0</v>
      </c>
      <c r="R204" s="29">
        <f ca="1">IF('Get Started  3'!$H112&lt;='Get Started  3'!$E27,IF(AND(R4&lt;'Get Started  3'!$H112,'Get Started  3'!$H112&lt;='Get Started  3'!$E27),0,OFFSET(R37,0,-1*'Get Started  3'!$H112)*'Get Started  3'!$H42*'Get Started  3'!$G112),0)+IF('Get Started  3'!$H111&lt;='Get Started  3'!$E27,IF(R4&lt;'Get Started  3'!$H111,0,OFFSET(R37,0,-1*'Get Started  3'!$H111)*'Get Started  3'!$G42*'Get Started  3'!$G111),0)+IF('Get Started  3'!$H110&lt;='Get Started  3'!$E27,IF(R4&lt;'Get Started  3'!$H110,0,OFFSET(R37,0,-1*'Get Started  3'!$H110)*'Get Started  3'!$F42*'Get Started  3'!$G110),0)+IF('Get Started  3'!$H109&lt;='Get Started  3'!$E27,IF(R4&lt;'Get Started  3'!$H109,0,OFFSET(R37,0,-1*'Get Started  3'!$H109)*'Get Started  3'!$E42*'Get Started  3'!$G109),0)</f>
        <v>0</v>
      </c>
      <c r="S204" s="29">
        <f ca="1">IF('Get Started  3'!$H112&lt;='Get Started  3'!$E27,IF(AND(S4&lt;'Get Started  3'!$H112,'Get Started  3'!$H112&lt;='Get Started  3'!$E27),0,OFFSET(S37,0,-1*'Get Started  3'!$H112)*'Get Started  3'!$H42*'Get Started  3'!$G112),0)+IF('Get Started  3'!$H111&lt;='Get Started  3'!$E27,IF(S4&lt;'Get Started  3'!$H111,0,OFFSET(S37,0,-1*'Get Started  3'!$H111)*'Get Started  3'!$G42*'Get Started  3'!$G111),0)+IF('Get Started  3'!$H110&lt;='Get Started  3'!$E27,IF(S4&lt;'Get Started  3'!$H110,0,OFFSET(S37,0,-1*'Get Started  3'!$H110)*'Get Started  3'!$F42*'Get Started  3'!$G110),0)+IF('Get Started  3'!$H109&lt;='Get Started  3'!$E27,IF(S4&lt;'Get Started  3'!$H109,0,OFFSET(S37,0,-1*'Get Started  3'!$H109)*'Get Started  3'!$E42*'Get Started  3'!$G109),0)</f>
        <v>1010625.0000000005</v>
      </c>
      <c r="T204" s="29">
        <f ca="1">IF('Get Started  3'!$H112&lt;='Get Started  3'!$E27,IF(AND(T4&lt;'Get Started  3'!$H112,'Get Started  3'!$H112&lt;='Get Started  3'!$E27),0,OFFSET(T37,0,-1*'Get Started  3'!$H112)*'Get Started  3'!$H42*'Get Started  3'!$G112),0)+IF('Get Started  3'!$H111&lt;='Get Started  3'!$E27,IF(T4&lt;'Get Started  3'!$H111,0,OFFSET(T37,0,-1*'Get Started  3'!$H111)*'Get Started  3'!$G42*'Get Started  3'!$G111),0)+IF('Get Started  3'!$H110&lt;='Get Started  3'!$E27,IF(T4&lt;'Get Started  3'!$H110,0,OFFSET(T37,0,-1*'Get Started  3'!$H110)*'Get Started  3'!$F42*'Get Started  3'!$G110),0)+IF('Get Started  3'!$H109&lt;='Get Started  3'!$E27,IF(T4&lt;'Get Started  3'!$H109,0,OFFSET(T37,0,-1*'Get Started  3'!$H109)*'Get Started  3'!$E42*'Get Started  3'!$G109),0)</f>
        <v>1010625.0000000005</v>
      </c>
      <c r="U204" s="29">
        <f ca="1">IF('Get Started  3'!$H112&lt;='Get Started  3'!$E27,IF(AND(U4&lt;'Get Started  3'!$H112,'Get Started  3'!$H112&lt;='Get Started  3'!$E27),0,OFFSET(U37,0,-1*'Get Started  3'!$H112)*'Get Started  3'!$H42*'Get Started  3'!$G112),0)+IF('Get Started  3'!$H111&lt;='Get Started  3'!$E27,IF(U4&lt;'Get Started  3'!$H111,0,OFFSET(U37,0,-1*'Get Started  3'!$H111)*'Get Started  3'!$G42*'Get Started  3'!$G111),0)+IF('Get Started  3'!$H110&lt;='Get Started  3'!$E27,IF(U4&lt;'Get Started  3'!$H110,0,OFFSET(U37,0,-1*'Get Started  3'!$H110)*'Get Started  3'!$F42*'Get Started  3'!$G110),0)+IF('Get Started  3'!$H109&lt;='Get Started  3'!$E27,IF(U4&lt;'Get Started  3'!$H109,0,OFFSET(U37,0,-1*'Get Started  3'!$H109)*'Get Started  3'!$E42*'Get Started  3'!$G109),0)</f>
        <v>1010625.0000000005</v>
      </c>
      <c r="V204" s="29">
        <f ca="1">IF('Get Started  3'!$H112&lt;='Get Started  3'!$E27,IF(AND(V4&lt;'Get Started  3'!$H112,'Get Started  3'!$H112&lt;='Get Started  3'!$E27),0,OFFSET(V37,0,-1*'Get Started  3'!$H112)*'Get Started  3'!$H42*'Get Started  3'!$G112),0)+IF('Get Started  3'!$H111&lt;='Get Started  3'!$E27,IF(V4&lt;'Get Started  3'!$H111,0,OFFSET(V37,0,-1*'Get Started  3'!$H111)*'Get Started  3'!$G42*'Get Started  3'!$G111),0)+IF('Get Started  3'!$H110&lt;='Get Started  3'!$E27,IF(V4&lt;'Get Started  3'!$H110,0,OFFSET(V37,0,-1*'Get Started  3'!$H110)*'Get Started  3'!$F42*'Get Started  3'!$G110),0)+IF('Get Started  3'!$H109&lt;='Get Started  3'!$E27,IF(V4&lt;'Get Started  3'!$H109,0,OFFSET(V37,0,-1*'Get Started  3'!$H109)*'Get Started  3'!$E42*'Get Started  3'!$G109),0)</f>
        <v>1010625.0000000005</v>
      </c>
      <c r="W204" s="29">
        <f ca="1">IF('Get Started  3'!$H112&lt;='Get Started  3'!$E27,IF(AND(W4&lt;'Get Started  3'!$H112,'Get Started  3'!$H112&lt;='Get Started  3'!$E27),0,OFFSET(W37,0,-1*'Get Started  3'!$H112)*'Get Started  3'!$H42*'Get Started  3'!$G112),0)+IF('Get Started  3'!$H111&lt;='Get Started  3'!$E27,IF(W4&lt;'Get Started  3'!$H111,0,OFFSET(W37,0,-1*'Get Started  3'!$H111)*'Get Started  3'!$G42*'Get Started  3'!$G111),0)+IF('Get Started  3'!$H110&lt;='Get Started  3'!$E27,IF(W4&lt;'Get Started  3'!$H110,0,OFFSET(W37,0,-1*'Get Started  3'!$H110)*'Get Started  3'!$F42*'Get Started  3'!$G110),0)+IF('Get Started  3'!$H109&lt;='Get Started  3'!$E27,IF(W4&lt;'Get Started  3'!$H109,0,OFFSET(W37,0,-1*'Get Started  3'!$H109)*'Get Started  3'!$E42*'Get Started  3'!$G109),0)</f>
        <v>2526562.5000000009</v>
      </c>
      <c r="X204" s="29">
        <f ca="1">IF('Get Started  3'!$H112&lt;='Get Started  3'!$E27,IF(AND(X4&lt;'Get Started  3'!$H112,'Get Started  3'!$H112&lt;='Get Started  3'!$E27),0,OFFSET(X37,0,-1*'Get Started  3'!$H112)*'Get Started  3'!$H42*'Get Started  3'!$G112),0)+IF('Get Started  3'!$H111&lt;='Get Started  3'!$E27,IF(X4&lt;'Get Started  3'!$H111,0,OFFSET(X37,0,-1*'Get Started  3'!$H111)*'Get Started  3'!$G42*'Get Started  3'!$G111),0)+IF('Get Started  3'!$H110&lt;='Get Started  3'!$E27,IF(X4&lt;'Get Started  3'!$H110,0,OFFSET(X37,0,-1*'Get Started  3'!$H110)*'Get Started  3'!$F42*'Get Started  3'!$G110),0)+IF('Get Started  3'!$H109&lt;='Get Started  3'!$E27,IF(X4&lt;'Get Started  3'!$H109,0,OFFSET(X37,0,-1*'Get Started  3'!$H109)*'Get Started  3'!$E42*'Get Started  3'!$G109),0)</f>
        <v>2526562.5000000009</v>
      </c>
      <c r="Y204" s="29">
        <f ca="1">IF('Get Started  3'!$H112&lt;='Get Started  3'!$E27,IF(AND(Y4&lt;'Get Started  3'!$H112,'Get Started  3'!$H112&lt;='Get Started  3'!$E27),0,OFFSET(Y37,0,-1*'Get Started  3'!$H112)*'Get Started  3'!$H42*'Get Started  3'!$G112),0)+IF('Get Started  3'!$H111&lt;='Get Started  3'!$E27,IF(Y4&lt;'Get Started  3'!$H111,0,OFFSET(Y37,0,-1*'Get Started  3'!$H111)*'Get Started  3'!$G42*'Get Started  3'!$G111),0)+IF('Get Started  3'!$H110&lt;='Get Started  3'!$E27,IF(Y4&lt;'Get Started  3'!$H110,0,OFFSET(Y37,0,-1*'Get Started  3'!$H110)*'Get Started  3'!$F42*'Get Started  3'!$G110),0)+IF('Get Started  3'!$H109&lt;='Get Started  3'!$E27,IF(Y4&lt;'Get Started  3'!$H109,0,OFFSET(Y37,0,-1*'Get Started  3'!$H109)*'Get Started  3'!$E42*'Get Started  3'!$G109),0)</f>
        <v>2526562.5000000009</v>
      </c>
      <c r="Z204" s="29">
        <f ca="1">IF('Get Started  3'!$H112&lt;='Get Started  3'!$E27,IF(AND(Z4&lt;'Get Started  3'!$H112,'Get Started  3'!$H112&lt;='Get Started  3'!$E27),0,OFFSET(Z37,0,-1*'Get Started  3'!$H112)*'Get Started  3'!$H42*'Get Started  3'!$G112),0)+IF('Get Started  3'!$H111&lt;='Get Started  3'!$E27,IF(Z4&lt;'Get Started  3'!$H111,0,OFFSET(Z37,0,-1*'Get Started  3'!$H111)*'Get Started  3'!$G42*'Get Started  3'!$G111),0)+IF('Get Started  3'!$H110&lt;='Get Started  3'!$E27,IF(Z4&lt;'Get Started  3'!$H110,0,OFFSET(Z37,0,-1*'Get Started  3'!$H110)*'Get Started  3'!$F42*'Get Started  3'!$G110),0)+IF('Get Started  3'!$H109&lt;='Get Started  3'!$E27,IF(Z4&lt;'Get Started  3'!$H109,0,OFFSET(Z37,0,-1*'Get Started  3'!$H109)*'Get Started  3'!$E42*'Get Started  3'!$G109),0)</f>
        <v>2526562.5000000009</v>
      </c>
      <c r="AA204" s="29">
        <f ca="1">IF('Get Started  3'!$H112&lt;='Get Started  3'!$E27,IF(AND(AA4&lt;'Get Started  3'!$H112,'Get Started  3'!$H112&lt;='Get Started  3'!$E27),0,OFFSET(AA37,0,-1*'Get Started  3'!$H112)*'Get Started  3'!$H42*'Get Started  3'!$G112),0)+IF('Get Started  3'!$H111&lt;='Get Started  3'!$E27,IF(AA4&lt;'Get Started  3'!$H111,0,OFFSET(AA37,0,-1*'Get Started  3'!$H111)*'Get Started  3'!$G42*'Get Started  3'!$G111),0)+IF('Get Started  3'!$H110&lt;='Get Started  3'!$E27,IF(AA4&lt;'Get Started  3'!$H110,0,OFFSET(AA37,0,-1*'Get Started  3'!$H110)*'Get Started  3'!$F42*'Get Started  3'!$G110),0)+IF('Get Started  3'!$H109&lt;='Get Started  3'!$E27,IF(AA4&lt;'Get Started  3'!$H109,0,OFFSET(AA37,0,-1*'Get Started  3'!$H109)*'Get Started  3'!$E42*'Get Started  3'!$G109),0)</f>
        <v>2526562.5000000009</v>
      </c>
      <c r="AB204" s="29">
        <f ca="1">IF('Get Started  3'!$H112&lt;='Get Started  3'!$E27,IF(AND(AB4&lt;'Get Started  3'!$H112,'Get Started  3'!$H112&lt;='Get Started  3'!$E27),0,OFFSET(AB37,0,-1*'Get Started  3'!$H112)*'Get Started  3'!$H42*'Get Started  3'!$G112),0)+IF('Get Started  3'!$H111&lt;='Get Started  3'!$E27,IF(AB4&lt;'Get Started  3'!$H111,0,OFFSET(AB37,0,-1*'Get Started  3'!$H111)*'Get Started  3'!$G42*'Get Started  3'!$G111),0)+IF('Get Started  3'!$H110&lt;='Get Started  3'!$E27,IF(AB4&lt;'Get Started  3'!$H110,0,OFFSET(AB37,0,-1*'Get Started  3'!$H110)*'Get Started  3'!$F42*'Get Started  3'!$G110),0)+IF('Get Started  3'!$H109&lt;='Get Started  3'!$E27,IF(AB4&lt;'Get Started  3'!$H109,0,OFFSET(AB37,0,-1*'Get Started  3'!$H109)*'Get Started  3'!$E42*'Get Started  3'!$G109),0)</f>
        <v>2526562.5000000009</v>
      </c>
      <c r="AC204" s="29">
        <f ca="1">IF('Get Started  3'!$H112&lt;='Get Started  3'!$E27,IF(AND(AC4&lt;'Get Started  3'!$H112,'Get Started  3'!$H112&lt;='Get Started  3'!$E27),0,OFFSET(AC37,0,-1*'Get Started  3'!$H112)*'Get Started  3'!$H42*'Get Started  3'!$G112),0)+IF('Get Started  3'!$H111&lt;='Get Started  3'!$E27,IF(AC4&lt;'Get Started  3'!$H111,0,OFFSET(AC37,0,-1*'Get Started  3'!$H111)*'Get Started  3'!$G42*'Get Started  3'!$G111),0)+IF('Get Started  3'!$H110&lt;='Get Started  3'!$E27,IF(AC4&lt;'Get Started  3'!$H110,0,OFFSET(AC37,0,-1*'Get Started  3'!$H110)*'Get Started  3'!$F42*'Get Started  3'!$G110),0)+IF('Get Started  3'!$H109&lt;='Get Started  3'!$E27,IF(AC4&lt;'Get Started  3'!$H109,0,OFFSET(AC37,0,-1*'Get Started  3'!$H109)*'Get Started  3'!$E42*'Get Started  3'!$G109),0)</f>
        <v>2526562.5000000009</v>
      </c>
      <c r="AD204" s="29">
        <f ca="1">IF('Get Started  3'!$H112&lt;='Get Started  3'!$E27,IF(AND(AD4&lt;'Get Started  3'!$H112,'Get Started  3'!$H112&lt;='Get Started  3'!$E27),0,OFFSET(AD37,0,-1*'Get Started  3'!$H112)*'Get Started  3'!$H42*'Get Started  3'!$G112),0)+IF('Get Started  3'!$H111&lt;='Get Started  3'!$E27,IF(AD4&lt;'Get Started  3'!$H111,0,OFFSET(AD37,0,-1*'Get Started  3'!$H111)*'Get Started  3'!$G42*'Get Started  3'!$G111),0)+IF('Get Started  3'!$H110&lt;='Get Started  3'!$E27,IF(AD4&lt;'Get Started  3'!$H110,0,OFFSET(AD37,0,-1*'Get Started  3'!$H110)*'Get Started  3'!$F42*'Get Started  3'!$G110),0)+IF('Get Started  3'!$H109&lt;='Get Started  3'!$E27,IF(AD4&lt;'Get Started  3'!$H109,0,OFFSET(AD37,0,-1*'Get Started  3'!$H109)*'Get Started  3'!$E42*'Get Started  3'!$G109),0)</f>
        <v>2526562.5000000009</v>
      </c>
      <c r="AE204" s="29">
        <f ca="1">IF('Get Started  3'!$H112&lt;='Get Started  3'!$E27,IF(AND(AE4&lt;'Get Started  3'!$H112,'Get Started  3'!$H112&lt;='Get Started  3'!$E27),0,OFFSET(AE37,0,-1*'Get Started  3'!$H112)*'Get Started  3'!$H42*'Get Started  3'!$G112),0)+IF('Get Started  3'!$H111&lt;='Get Started  3'!$E27,IF(AE4&lt;'Get Started  3'!$H111,0,OFFSET(AE37,0,-1*'Get Started  3'!$H111)*'Get Started  3'!$G42*'Get Started  3'!$G111),0)+IF('Get Started  3'!$H110&lt;='Get Started  3'!$E27,IF(AE4&lt;'Get Started  3'!$H110,0,OFFSET(AE37,0,-1*'Get Started  3'!$H110)*'Get Started  3'!$F42*'Get Started  3'!$G110),0)+IF('Get Started  3'!$H109&lt;='Get Started  3'!$E27,IF(AE4&lt;'Get Started  3'!$H109,0,OFFSET(AE37,0,-1*'Get Started  3'!$H109)*'Get Started  3'!$E42*'Get Started  3'!$G109),0)</f>
        <v>14064531.249999998</v>
      </c>
      <c r="AF204" s="29">
        <f ca="1">IF('Get Started  3'!$H112&lt;='Get Started  3'!$E27,IF(AND(AF4&lt;'Get Started  3'!$H112,'Get Started  3'!$H112&lt;='Get Started  3'!$E27),0,OFFSET(AF37,0,-1*'Get Started  3'!$H112)*'Get Started  3'!$H42*'Get Started  3'!$G112),0)+IF('Get Started  3'!$H111&lt;='Get Started  3'!$E27,IF(AF4&lt;'Get Started  3'!$H111,0,OFFSET(AF37,0,-1*'Get Started  3'!$H111)*'Get Started  3'!$G42*'Get Started  3'!$G111),0)+IF('Get Started  3'!$H110&lt;='Get Started  3'!$E27,IF(AF4&lt;'Get Started  3'!$H110,0,OFFSET(AF37,0,-1*'Get Started  3'!$H110)*'Get Started  3'!$F42*'Get Started  3'!$G110),0)+IF('Get Started  3'!$H109&lt;='Get Started  3'!$E27,IF(AF4&lt;'Get Started  3'!$H109,0,OFFSET(AF37,0,-1*'Get Started  3'!$H109)*'Get Started  3'!$E42*'Get Started  3'!$G109),0)</f>
        <v>14064531.249999998</v>
      </c>
      <c r="AG204" s="29">
        <f ca="1">IF('Get Started  3'!$H112&lt;='Get Started  3'!$E27,IF(AND(AG4&lt;'Get Started  3'!$H112,'Get Started  3'!$H112&lt;='Get Started  3'!$E27),0,OFFSET(AG37,0,-1*'Get Started  3'!$H112)*'Get Started  3'!$H42*'Get Started  3'!$G112),0)+IF('Get Started  3'!$H111&lt;='Get Started  3'!$E27,IF(AG4&lt;'Get Started  3'!$H111,0,OFFSET(AG37,0,-1*'Get Started  3'!$H111)*'Get Started  3'!$G42*'Get Started  3'!$G111),0)+IF('Get Started  3'!$H110&lt;='Get Started  3'!$E27,IF(AG4&lt;'Get Started  3'!$H110,0,OFFSET(AG37,0,-1*'Get Started  3'!$H110)*'Get Started  3'!$F42*'Get Started  3'!$G110),0)+IF('Get Started  3'!$H109&lt;='Get Started  3'!$E27,IF(AG4&lt;'Get Started  3'!$H109,0,OFFSET(AG37,0,-1*'Get Started  3'!$H109)*'Get Started  3'!$E42*'Get Started  3'!$G109),0)</f>
        <v>14064531.249999998</v>
      </c>
      <c r="AH204" s="29">
        <f ca="1">IF('Get Started  3'!$H112&lt;='Get Started  3'!$E27,IF(AND(AH4&lt;'Get Started  3'!$H112,'Get Started  3'!$H112&lt;='Get Started  3'!$E27),0,OFFSET(AH37,0,-1*'Get Started  3'!$H112)*'Get Started  3'!$H42*'Get Started  3'!$G112),0)+IF('Get Started  3'!$H111&lt;='Get Started  3'!$E27,IF(AH4&lt;'Get Started  3'!$H111,0,OFFSET(AH37,0,-1*'Get Started  3'!$H111)*'Get Started  3'!$G42*'Get Started  3'!$G111),0)+IF('Get Started  3'!$H110&lt;='Get Started  3'!$E27,IF(AH4&lt;'Get Started  3'!$H110,0,OFFSET(AH37,0,-1*'Get Started  3'!$H110)*'Get Started  3'!$F42*'Get Started  3'!$G110),0)+IF('Get Started  3'!$H109&lt;='Get Started  3'!$E27,IF(AH4&lt;'Get Started  3'!$H109,0,OFFSET(AH37,0,-1*'Get Started  3'!$H109)*'Get Started  3'!$E42*'Get Started  3'!$G109),0)</f>
        <v>14064531.249999998</v>
      </c>
      <c r="AI204" s="29">
        <f ca="1">IF('Get Started  3'!$H112&lt;='Get Started  3'!$E27,IF(AND(AI4&lt;'Get Started  3'!$H112,'Get Started  3'!$H112&lt;='Get Started  3'!$E27),0,OFFSET(AI37,0,-1*'Get Started  3'!$H112)*'Get Started  3'!$H42*'Get Started  3'!$G112),0)+IF('Get Started  3'!$H111&lt;='Get Started  3'!$E27,IF(AI4&lt;'Get Started  3'!$H111,0,OFFSET(AI37,0,-1*'Get Started  3'!$H111)*'Get Started  3'!$G42*'Get Started  3'!$G111),0)+IF('Get Started  3'!$H110&lt;='Get Started  3'!$E27,IF(AI4&lt;'Get Started  3'!$H110,0,OFFSET(AI37,0,-1*'Get Started  3'!$H110)*'Get Started  3'!$F42*'Get Started  3'!$G110),0)+IF('Get Started  3'!$H109&lt;='Get Started  3'!$E27,IF(AI4&lt;'Get Started  3'!$H109,0,OFFSET(AI37,0,-1*'Get Started  3'!$H109)*'Get Started  3'!$E42*'Get Started  3'!$G109),0)</f>
        <v>13138124.999999998</v>
      </c>
      <c r="AJ204" s="29">
        <f ca="1">IF('Get Started  3'!$H112&lt;='Get Started  3'!$E27,IF(AND(AJ4&lt;'Get Started  3'!$H112,'Get Started  3'!$H112&lt;='Get Started  3'!$E27),0,OFFSET(AJ37,0,-1*'Get Started  3'!$H112)*'Get Started  3'!$H42*'Get Started  3'!$G112),0)+IF('Get Started  3'!$H111&lt;='Get Started  3'!$E27,IF(AJ4&lt;'Get Started  3'!$H111,0,OFFSET(AJ37,0,-1*'Get Started  3'!$H111)*'Get Started  3'!$G42*'Get Started  3'!$G111),0)+IF('Get Started  3'!$H110&lt;='Get Started  3'!$E27,IF(AJ4&lt;'Get Started  3'!$H110,0,OFFSET(AJ37,0,-1*'Get Started  3'!$H110)*'Get Started  3'!$F42*'Get Started  3'!$G110),0)+IF('Get Started  3'!$H109&lt;='Get Started  3'!$E27,IF(AJ4&lt;'Get Started  3'!$H109,0,OFFSET(AJ37,0,-1*'Get Started  3'!$H109)*'Get Started  3'!$E42*'Get Started  3'!$G109),0)</f>
        <v>13138124.999999998</v>
      </c>
      <c r="AK204" s="29">
        <f ca="1">IF('Get Started  3'!$H112&lt;='Get Started  3'!$E27,IF(AND(AK4&lt;'Get Started  3'!$H112,'Get Started  3'!$H112&lt;='Get Started  3'!$E27),0,OFFSET(AK37,0,-1*'Get Started  3'!$H112)*'Get Started  3'!$H42*'Get Started  3'!$G112),0)+IF('Get Started  3'!$H111&lt;='Get Started  3'!$E27,IF(AK4&lt;'Get Started  3'!$H111,0,OFFSET(AK37,0,-1*'Get Started  3'!$H111)*'Get Started  3'!$G42*'Get Started  3'!$G111),0)+IF('Get Started  3'!$H110&lt;='Get Started  3'!$E27,IF(AK4&lt;'Get Started  3'!$H110,0,OFFSET(AK37,0,-1*'Get Started  3'!$H110)*'Get Started  3'!$F42*'Get Started  3'!$G110),0)+IF('Get Started  3'!$H109&lt;='Get Started  3'!$E27,IF(AK4&lt;'Get Started  3'!$H109,0,OFFSET(AK37,0,-1*'Get Started  3'!$H109)*'Get Started  3'!$E42*'Get Started  3'!$G109),0)</f>
        <v>13138124.999999998</v>
      </c>
      <c r="AL204" s="29">
        <f ca="1">IF('Get Started  3'!$H112&lt;='Get Started  3'!$E27,IF(AND(AL4&lt;'Get Started  3'!$H112,'Get Started  3'!$H112&lt;='Get Started  3'!$E27),0,OFFSET(AL37,0,-1*'Get Started  3'!$H112)*'Get Started  3'!$H42*'Get Started  3'!$G112),0)+IF('Get Started  3'!$H111&lt;='Get Started  3'!$E27,IF(AL4&lt;'Get Started  3'!$H111,0,OFFSET(AL37,0,-1*'Get Started  3'!$H111)*'Get Started  3'!$G42*'Get Started  3'!$G111),0)+IF('Get Started  3'!$H110&lt;='Get Started  3'!$E27,IF(AL4&lt;'Get Started  3'!$H110,0,OFFSET(AL37,0,-1*'Get Started  3'!$H110)*'Get Started  3'!$F42*'Get Started  3'!$G110),0)+IF('Get Started  3'!$H109&lt;='Get Started  3'!$E27,IF(AL4&lt;'Get Started  3'!$H109,0,OFFSET(AL37,0,-1*'Get Started  3'!$H109)*'Get Started  3'!$E42*'Get Started  3'!$G109),0)</f>
        <v>13138124.999999998</v>
      </c>
      <c r="AM204" s="29">
        <f ca="1">IF('Get Started  3'!$H112&lt;='Get Started  3'!$E27,IF(AND(AM4&lt;'Get Started  3'!$H112,'Get Started  3'!$H112&lt;='Get Started  3'!$E27),0,OFFSET(AM37,0,-1*'Get Started  3'!$H112)*'Get Started  3'!$H42*'Get Started  3'!$G112),0)+IF('Get Started  3'!$H111&lt;='Get Started  3'!$E27,IF(AM4&lt;'Get Started  3'!$H111,0,OFFSET(AM37,0,-1*'Get Started  3'!$H111)*'Get Started  3'!$G42*'Get Started  3'!$G111),0)+IF('Get Started  3'!$H110&lt;='Get Started  3'!$E27,IF(AM4&lt;'Get Started  3'!$H110,0,OFFSET(AM37,0,-1*'Get Started  3'!$H110)*'Get Started  3'!$F42*'Get Started  3'!$G110),0)+IF('Get Started  3'!$H109&lt;='Get Started  3'!$E27,IF(AM4&lt;'Get Started  3'!$H109,0,OFFSET(AM37,0,-1*'Get Started  3'!$H109)*'Get Started  3'!$E42*'Get Started  3'!$G109),0)</f>
        <v>11369531.249999998</v>
      </c>
      <c r="AN204" s="29">
        <f ca="1">IF('Get Started  3'!$H112&lt;='Get Started  3'!$E27,IF(AND(AN4&lt;'Get Started  3'!$H112,'Get Started  3'!$H112&lt;='Get Started  3'!$E27),0,OFFSET(AN37,0,-1*'Get Started  3'!$H112)*'Get Started  3'!$H42*'Get Started  3'!$G112),0)+IF('Get Started  3'!$H111&lt;='Get Started  3'!$E27,IF(AN4&lt;'Get Started  3'!$H111,0,OFFSET(AN37,0,-1*'Get Started  3'!$H111)*'Get Started  3'!$G42*'Get Started  3'!$G111),0)+IF('Get Started  3'!$H110&lt;='Get Started  3'!$E27,IF(AN4&lt;'Get Started  3'!$H110,0,OFFSET(AN37,0,-1*'Get Started  3'!$H110)*'Get Started  3'!$F42*'Get Started  3'!$G110),0)+IF('Get Started  3'!$H109&lt;='Get Started  3'!$E27,IF(AN4&lt;'Get Started  3'!$H109,0,OFFSET(AN37,0,-1*'Get Started  3'!$H109)*'Get Started  3'!$E42*'Get Started  3'!$G109),0)</f>
        <v>11369531.249999998</v>
      </c>
      <c r="AO204" s="29">
        <f ca="1">IF('Get Started  3'!$H112&lt;='Get Started  3'!$E27,IF(AND(AO4&lt;'Get Started  3'!$H112,'Get Started  3'!$H112&lt;='Get Started  3'!$E27),0,OFFSET(AO37,0,-1*'Get Started  3'!$H112)*'Get Started  3'!$H42*'Get Started  3'!$G112),0)+IF('Get Started  3'!$H111&lt;='Get Started  3'!$E27,IF(AO4&lt;'Get Started  3'!$H111,0,OFFSET(AO37,0,-1*'Get Started  3'!$H111)*'Get Started  3'!$G42*'Get Started  3'!$G111),0)+IF('Get Started  3'!$H110&lt;='Get Started  3'!$E27,IF(AO4&lt;'Get Started  3'!$H110,0,OFFSET(AO37,0,-1*'Get Started  3'!$H110)*'Get Started  3'!$F42*'Get Started  3'!$G110),0)+IF('Get Started  3'!$H109&lt;='Get Started  3'!$E27,IF(AO4&lt;'Get Started  3'!$H109,0,OFFSET(AO37,0,-1*'Get Started  3'!$H109)*'Get Started  3'!$E42*'Get Started  3'!$G109),0)</f>
        <v>11369531.249999998</v>
      </c>
      <c r="AP204" s="29">
        <f ca="1">IF('Get Started  3'!$H112&lt;='Get Started  3'!$E27,IF(AND(AP4&lt;'Get Started  3'!$H112,'Get Started  3'!$H112&lt;='Get Started  3'!$E27),0,OFFSET(AP37,0,-1*'Get Started  3'!$H112)*'Get Started  3'!$H42*'Get Started  3'!$G112),0)+IF('Get Started  3'!$H111&lt;='Get Started  3'!$E27,IF(AP4&lt;'Get Started  3'!$H111,0,OFFSET(AP37,0,-1*'Get Started  3'!$H111)*'Get Started  3'!$G42*'Get Started  3'!$G111),0)+IF('Get Started  3'!$H110&lt;='Get Started  3'!$E27,IF(AP4&lt;'Get Started  3'!$H110,0,OFFSET(AP37,0,-1*'Get Started  3'!$H110)*'Get Started  3'!$F42*'Get Started  3'!$G110),0)+IF('Get Started  3'!$H109&lt;='Get Started  3'!$E27,IF(AP4&lt;'Get Started  3'!$H109,0,OFFSET(AP37,0,-1*'Get Started  3'!$H109)*'Get Started  3'!$E42*'Get Started  3'!$G109),0)</f>
        <v>11369531.249999998</v>
      </c>
      <c r="AQ204" s="29">
        <f ca="1">IF('Get Started  3'!$H112&lt;='Get Started  3'!$E27,IF(AND(AQ4&lt;'Get Started  3'!$H112,'Get Started  3'!$H112&lt;='Get Started  3'!$E27),0,OFFSET(AQ37,0,-1*'Get Started  3'!$H112)*'Get Started  3'!$H42*'Get Started  3'!$G112),0)+IF('Get Started  3'!$H111&lt;='Get Started  3'!$E27,IF(AQ4&lt;'Get Started  3'!$H111,0,OFFSET(AQ37,0,-1*'Get Started  3'!$H111)*'Get Started  3'!$G42*'Get Started  3'!$G111),0)+IF('Get Started  3'!$H110&lt;='Get Started  3'!$E27,IF(AQ4&lt;'Get Started  3'!$H110,0,OFFSET(AQ37,0,-1*'Get Started  3'!$H110)*'Get Started  3'!$F42*'Get Started  3'!$G110),0)+IF('Get Started  3'!$H109&lt;='Get Started  3'!$E27,IF(AQ4&lt;'Get Started  3'!$H109,0,OFFSET(AQ37,0,-1*'Get Started  3'!$H109)*'Get Started  3'!$E42*'Get Started  3'!$G109),0)</f>
        <v>13264453.124999996</v>
      </c>
      <c r="AR204" s="29">
        <f ca="1">IF('Get Started  3'!$H112&lt;='Get Started  3'!$E27,IF(AND(AR4&lt;'Get Started  3'!$H112,'Get Started  3'!$H112&lt;='Get Started  3'!$E27),0,OFFSET(AR37,0,-1*'Get Started  3'!$H112)*'Get Started  3'!$H42*'Get Started  3'!$G112),0)+IF('Get Started  3'!$H111&lt;='Get Started  3'!$E27,IF(AR4&lt;'Get Started  3'!$H111,0,OFFSET(AR37,0,-1*'Get Started  3'!$H111)*'Get Started  3'!$G42*'Get Started  3'!$G111),0)+IF('Get Started  3'!$H110&lt;='Get Started  3'!$E27,IF(AR4&lt;'Get Started  3'!$H110,0,OFFSET(AR37,0,-1*'Get Started  3'!$H110)*'Get Started  3'!$F42*'Get Started  3'!$G110),0)+IF('Get Started  3'!$H109&lt;='Get Started  3'!$E27,IF(AR4&lt;'Get Started  3'!$H109,0,OFFSET(AR37,0,-1*'Get Started  3'!$H109)*'Get Started  3'!$E42*'Get Started  3'!$G109),0)</f>
        <v>13264453.124999996</v>
      </c>
      <c r="AS204" s="29">
        <f ca="1">IF('Get Started  3'!$H112&lt;='Get Started  3'!$E27,IF(AND(AS4&lt;'Get Started  3'!$H112,'Get Started  3'!$H112&lt;='Get Started  3'!$E27),0,OFFSET(AS37,0,-1*'Get Started  3'!$H112)*'Get Started  3'!$H42*'Get Started  3'!$G112),0)+IF('Get Started  3'!$H111&lt;='Get Started  3'!$E27,IF(AS4&lt;'Get Started  3'!$H111,0,OFFSET(AS37,0,-1*'Get Started  3'!$H111)*'Get Started  3'!$G42*'Get Started  3'!$G111),0)+IF('Get Started  3'!$H110&lt;='Get Started  3'!$E27,IF(AS4&lt;'Get Started  3'!$H110,0,OFFSET(AS37,0,-1*'Get Started  3'!$H110)*'Get Started  3'!$F42*'Get Started  3'!$G110),0)+IF('Get Started  3'!$H109&lt;='Get Started  3'!$E27,IF(AS4&lt;'Get Started  3'!$H109,0,OFFSET(AS37,0,-1*'Get Started  3'!$H109)*'Get Started  3'!$E42*'Get Started  3'!$G109),0)</f>
        <v>13264453.124999996</v>
      </c>
      <c r="AT204" s="29">
        <f ca="1">IF('Get Started  3'!$H112&lt;='Get Started  3'!$E27,IF(AND(AT4&lt;'Get Started  3'!$H112,'Get Started  3'!$H112&lt;='Get Started  3'!$E27),0,OFFSET(AT37,0,-1*'Get Started  3'!$H112)*'Get Started  3'!$H42*'Get Started  3'!$G112),0)+IF('Get Started  3'!$H111&lt;='Get Started  3'!$E27,IF(AT4&lt;'Get Started  3'!$H111,0,OFFSET(AT37,0,-1*'Get Started  3'!$H111)*'Get Started  3'!$G42*'Get Started  3'!$G111),0)+IF('Get Started  3'!$H110&lt;='Get Started  3'!$E27,IF(AT4&lt;'Get Started  3'!$H110,0,OFFSET(AT37,0,-1*'Get Started  3'!$H110)*'Get Started  3'!$F42*'Get Started  3'!$G110),0)+IF('Get Started  3'!$H109&lt;='Get Started  3'!$E27,IF(AT4&lt;'Get Started  3'!$H109,0,OFFSET(AT37,0,-1*'Get Started  3'!$H109)*'Get Started  3'!$E42*'Get Started  3'!$G109),0)</f>
        <v>13264453.124999996</v>
      </c>
      <c r="AU204" s="29">
        <f ca="1">IF('Get Started  3'!$H112&lt;='Get Started  3'!$E27,IF(AND(AU4&lt;'Get Started  3'!$H112,'Get Started  3'!$H112&lt;='Get Started  3'!$E27),0,OFFSET(AU37,0,-1*'Get Started  3'!$H112)*'Get Started  3'!$H42*'Get Started  3'!$G112),0)+IF('Get Started  3'!$H111&lt;='Get Started  3'!$E27,IF(AU4&lt;'Get Started  3'!$H111,0,OFFSET(AU37,0,-1*'Get Started  3'!$H111)*'Get Started  3'!$G42*'Get Started  3'!$G111),0)+IF('Get Started  3'!$H110&lt;='Get Started  3'!$E27,IF(AU4&lt;'Get Started  3'!$H110,0,OFFSET(AU37,0,-1*'Get Started  3'!$H110)*'Get Started  3'!$F42*'Get Started  3'!$G110),0)+IF('Get Started  3'!$H109&lt;='Get Started  3'!$E27,IF(AU4&lt;'Get Started  3'!$H109,0,OFFSET(AU37,0,-1*'Get Started  3'!$H109)*'Get Started  3'!$E42*'Get Started  3'!$G109),0)</f>
        <v>0</v>
      </c>
      <c r="AV204" s="29">
        <f ca="1">IF('Get Started  3'!$H112&lt;='Get Started  3'!$E27,IF(AND(AV4&lt;'Get Started  3'!$H112,'Get Started  3'!$H112&lt;='Get Started  3'!$E27),0,OFFSET(AV37,0,-1*'Get Started  3'!$H112)*'Get Started  3'!$H42*'Get Started  3'!$G112),0)+IF('Get Started  3'!$H111&lt;='Get Started  3'!$E27,IF(AV4&lt;'Get Started  3'!$H111,0,OFFSET(AV37,0,-1*'Get Started  3'!$H111)*'Get Started  3'!$G42*'Get Started  3'!$G111),0)+IF('Get Started  3'!$H110&lt;='Get Started  3'!$E27,IF(AV4&lt;'Get Started  3'!$H110,0,OFFSET(AV37,0,-1*'Get Started  3'!$H110)*'Get Started  3'!$F42*'Get Started  3'!$G110),0)+IF('Get Started  3'!$H109&lt;='Get Started  3'!$E27,IF(AV4&lt;'Get Started  3'!$H109,0,OFFSET(AV37,0,-1*'Get Started  3'!$H109)*'Get Started  3'!$E42*'Get Started  3'!$G109),0)</f>
        <v>0</v>
      </c>
      <c r="AW204" s="29">
        <f ca="1">IF('Get Started  3'!$H112&lt;='Get Started  3'!$E27,IF(AND(AW4&lt;'Get Started  3'!$H112,'Get Started  3'!$H112&lt;='Get Started  3'!$E27),0,OFFSET(AW37,0,-1*'Get Started  3'!$H112)*'Get Started  3'!$H42*'Get Started  3'!$G112),0)+IF('Get Started  3'!$H111&lt;='Get Started  3'!$E27,IF(AW4&lt;'Get Started  3'!$H111,0,OFFSET(AW37,0,-1*'Get Started  3'!$H111)*'Get Started  3'!$G42*'Get Started  3'!$G111),0)+IF('Get Started  3'!$H110&lt;='Get Started  3'!$E27,IF(AW4&lt;'Get Started  3'!$H110,0,OFFSET(AW37,0,-1*'Get Started  3'!$H110)*'Get Started  3'!$F42*'Get Started  3'!$G110),0)+IF('Get Started  3'!$H109&lt;='Get Started  3'!$E27,IF(AW4&lt;'Get Started  3'!$H109,0,OFFSET(AW37,0,-1*'Get Started  3'!$H109)*'Get Started  3'!$E42*'Get Started  3'!$G109),0)</f>
        <v>0</v>
      </c>
      <c r="AX204" s="29">
        <f ca="1">IF('Get Started  3'!$H112&lt;='Get Started  3'!$E27,IF(AND(AX4&lt;'Get Started  3'!$H112,'Get Started  3'!$H112&lt;='Get Started  3'!$E27),0,OFFSET(AX37,0,-1*'Get Started  3'!$H112)*'Get Started  3'!$H42*'Get Started  3'!$G112),0)+IF('Get Started  3'!$H111&lt;='Get Started  3'!$E27,IF(AX4&lt;'Get Started  3'!$H111,0,OFFSET(AX37,0,-1*'Get Started  3'!$H111)*'Get Started  3'!$G42*'Get Started  3'!$G111),0)+IF('Get Started  3'!$H110&lt;='Get Started  3'!$E27,IF(AX4&lt;'Get Started  3'!$H110,0,OFFSET(AX37,0,-1*'Get Started  3'!$H110)*'Get Started  3'!$F42*'Get Started  3'!$G110),0)+IF('Get Started  3'!$H109&lt;='Get Started  3'!$E27,IF(AX4&lt;'Get Started  3'!$H109,0,OFFSET(AX37,0,-1*'Get Started  3'!$H109)*'Get Started  3'!$E42*'Get Started  3'!$G109),0)</f>
        <v>0</v>
      </c>
      <c r="AY204" s="29">
        <f ca="1">IF('Get Started  3'!$H112&lt;='Get Started  3'!$E27,IF(AND(AY4&lt;'Get Started  3'!$H112,'Get Started  3'!$H112&lt;='Get Started  3'!$E27),0,OFFSET(AY37,0,-1*'Get Started  3'!$H112)*'Get Started  3'!$H42*'Get Started  3'!$G112),0)+IF('Get Started  3'!$H111&lt;='Get Started  3'!$E27,IF(AY4&lt;'Get Started  3'!$H111,0,OFFSET(AY37,0,-1*'Get Started  3'!$H111)*'Get Started  3'!$G42*'Get Started  3'!$G111),0)+IF('Get Started  3'!$H110&lt;='Get Started  3'!$E27,IF(AY4&lt;'Get Started  3'!$H110,0,OFFSET(AY37,0,-1*'Get Started  3'!$H110)*'Get Started  3'!$F42*'Get Started  3'!$G110),0)+IF('Get Started  3'!$H109&lt;='Get Started  3'!$E27,IF(AY4&lt;'Get Started  3'!$H109,0,OFFSET(AY37,0,-1*'Get Started  3'!$H109)*'Get Started  3'!$E42*'Get Started  3'!$G109),0)</f>
        <v>0</v>
      </c>
      <c r="AZ204" s="29">
        <f ca="1">IF('Get Started  3'!$H112&lt;='Get Started  3'!$E27,IF(AND(AZ4&lt;'Get Started  3'!$H112,'Get Started  3'!$H112&lt;='Get Started  3'!$E27),0,OFFSET(AZ37,0,-1*'Get Started  3'!$H112)*'Get Started  3'!$H42*'Get Started  3'!$G112),0)+IF('Get Started  3'!$H111&lt;='Get Started  3'!$E27,IF(AZ4&lt;'Get Started  3'!$H111,0,OFFSET(AZ37,0,-1*'Get Started  3'!$H111)*'Get Started  3'!$G42*'Get Started  3'!$G111),0)+IF('Get Started  3'!$H110&lt;='Get Started  3'!$E27,IF(AZ4&lt;'Get Started  3'!$H110,0,OFFSET(AZ37,0,-1*'Get Started  3'!$H110)*'Get Started  3'!$F42*'Get Started  3'!$G110),0)+IF('Get Started  3'!$H109&lt;='Get Started  3'!$E27,IF(AZ4&lt;'Get Started  3'!$H109,0,OFFSET(AZ37,0,-1*'Get Started  3'!$H109)*'Get Started  3'!$E42*'Get Started  3'!$G109),0)</f>
        <v>0</v>
      </c>
      <c r="BA204" s="29">
        <f ca="1">IF('Get Started  3'!$H112&lt;='Get Started  3'!$E27,IF(AND(BA4&lt;'Get Started  3'!$H112,'Get Started  3'!$H112&lt;='Get Started  3'!$E27),0,OFFSET(BA37,0,-1*'Get Started  3'!$H112)*'Get Started  3'!$H42*'Get Started  3'!$G112),0)+IF('Get Started  3'!$H111&lt;='Get Started  3'!$E27,IF(BA4&lt;'Get Started  3'!$H111,0,OFFSET(BA37,0,-1*'Get Started  3'!$H111)*'Get Started  3'!$G42*'Get Started  3'!$G111),0)+IF('Get Started  3'!$H110&lt;='Get Started  3'!$E27,IF(BA4&lt;'Get Started  3'!$H110,0,OFFSET(BA37,0,-1*'Get Started  3'!$H110)*'Get Started  3'!$F42*'Get Started  3'!$G110),0)+IF('Get Started  3'!$H109&lt;='Get Started  3'!$E27,IF(BA4&lt;'Get Started  3'!$H109,0,OFFSET(BA37,0,-1*'Get Started  3'!$H109)*'Get Started  3'!$E42*'Get Started  3'!$G109),0)</f>
        <v>0</v>
      </c>
      <c r="BB204" s="29">
        <f ca="1">IF('Get Started  3'!$H112&lt;='Get Started  3'!$E27,IF(AND(BB4&lt;'Get Started  3'!$H112,'Get Started  3'!$H112&lt;='Get Started  3'!$E27),0,OFFSET(BB37,0,-1*'Get Started  3'!$H112)*'Get Started  3'!$H42*'Get Started  3'!$G112),0)+IF('Get Started  3'!$H111&lt;='Get Started  3'!$E27,IF(BB4&lt;'Get Started  3'!$H111,0,OFFSET(BB37,0,-1*'Get Started  3'!$H111)*'Get Started  3'!$G42*'Get Started  3'!$G111),0)+IF('Get Started  3'!$H110&lt;='Get Started  3'!$E27,IF(BB4&lt;'Get Started  3'!$H110,0,OFFSET(BB37,0,-1*'Get Started  3'!$H110)*'Get Started  3'!$F42*'Get Started  3'!$G110),0)+IF('Get Started  3'!$H109&lt;='Get Started  3'!$E27,IF(BB4&lt;'Get Started  3'!$H109,0,OFFSET(BB37,0,-1*'Get Started  3'!$H109)*'Get Started  3'!$E42*'Get Started  3'!$G109),0)</f>
        <v>0</v>
      </c>
      <c r="BC204" s="29">
        <f ca="1">IF('Get Started  3'!$H112&lt;='Get Started  3'!$E27,IF(AND(BC4&lt;'Get Started  3'!$H112,'Get Started  3'!$H112&lt;='Get Started  3'!$E27),0,OFFSET(BC37,0,-1*'Get Started  3'!$H112)*'Get Started  3'!$H42*'Get Started  3'!$G112),0)+IF('Get Started  3'!$H111&lt;='Get Started  3'!$E27,IF(BC4&lt;'Get Started  3'!$H111,0,OFFSET(BC37,0,-1*'Get Started  3'!$H111)*'Get Started  3'!$G42*'Get Started  3'!$G111),0)+IF('Get Started  3'!$H110&lt;='Get Started  3'!$E27,IF(BC4&lt;'Get Started  3'!$H110,0,OFFSET(BC37,0,-1*'Get Started  3'!$H110)*'Get Started  3'!$F42*'Get Started  3'!$G110),0)+IF('Get Started  3'!$H109&lt;='Get Started  3'!$E27,IF(BC4&lt;'Get Started  3'!$H109,0,OFFSET(BC37,0,-1*'Get Started  3'!$H109)*'Get Started  3'!$E42*'Get Started  3'!$G109),0)</f>
        <v>0</v>
      </c>
      <c r="BD204" s="29">
        <f ca="1">IF('Get Started  3'!$H112&lt;='Get Started  3'!$E27,IF(AND(BD4&lt;'Get Started  3'!$H112,'Get Started  3'!$H112&lt;='Get Started  3'!$E27),0,OFFSET(BD37,0,-1*'Get Started  3'!$H112)*'Get Started  3'!$H42*'Get Started  3'!$G112),0)+IF('Get Started  3'!$H111&lt;='Get Started  3'!$E27,IF(BD4&lt;'Get Started  3'!$H111,0,OFFSET(BD37,0,-1*'Get Started  3'!$H111)*'Get Started  3'!$G42*'Get Started  3'!$G111),0)+IF('Get Started  3'!$H110&lt;='Get Started  3'!$E27,IF(BD4&lt;'Get Started  3'!$H110,0,OFFSET(BD37,0,-1*'Get Started  3'!$H110)*'Get Started  3'!$F42*'Get Started  3'!$G110),0)+IF('Get Started  3'!$H109&lt;='Get Started  3'!$E27,IF(BD4&lt;'Get Started  3'!$H109,0,OFFSET(BD37,0,-1*'Get Started  3'!$H109)*'Get Started  3'!$E42*'Get Started  3'!$G109),0)</f>
        <v>0</v>
      </c>
      <c r="BE204" s="29">
        <f ca="1">IF('Get Started  3'!$H112&lt;='Get Started  3'!$E27,IF(AND(BE4&lt;'Get Started  3'!$H112,'Get Started  3'!$H112&lt;='Get Started  3'!$E27),0,OFFSET(BE37,0,-1*'Get Started  3'!$H112)*'Get Started  3'!$H42*'Get Started  3'!$G112),0)+IF('Get Started  3'!$H111&lt;='Get Started  3'!$E27,IF(BE4&lt;'Get Started  3'!$H111,0,OFFSET(BE37,0,-1*'Get Started  3'!$H111)*'Get Started  3'!$G42*'Get Started  3'!$G111),0)+IF('Get Started  3'!$H110&lt;='Get Started  3'!$E27,IF(BE4&lt;'Get Started  3'!$H110,0,OFFSET(BE37,0,-1*'Get Started  3'!$H110)*'Get Started  3'!$F42*'Get Started  3'!$G110),0)+IF('Get Started  3'!$H109&lt;='Get Started  3'!$E27,IF(BE4&lt;'Get Started  3'!$H109,0,OFFSET(BE37,0,-1*'Get Started  3'!$H109)*'Get Started  3'!$E42*'Get Started  3'!$G109),0)</f>
        <v>0</v>
      </c>
      <c r="BF204" s="29">
        <f ca="1">IF('Get Started  3'!$H112&lt;='Get Started  3'!$E27,IF(AND(BF4&lt;'Get Started  3'!$H112,'Get Started  3'!$H112&lt;='Get Started  3'!$E27),0,OFFSET(BF37,0,-1*'Get Started  3'!$H112)*'Get Started  3'!$H42*'Get Started  3'!$G112),0)+IF('Get Started  3'!$H111&lt;='Get Started  3'!$E27,IF(BF4&lt;'Get Started  3'!$H111,0,OFFSET(BF37,0,-1*'Get Started  3'!$H111)*'Get Started  3'!$G42*'Get Started  3'!$G111),0)+IF('Get Started  3'!$H110&lt;='Get Started  3'!$E27,IF(BF4&lt;'Get Started  3'!$H110,0,OFFSET(BF37,0,-1*'Get Started  3'!$H110)*'Get Started  3'!$F42*'Get Started  3'!$G110),0)+IF('Get Started  3'!$H109&lt;='Get Started  3'!$E27,IF(BF4&lt;'Get Started  3'!$H109,0,OFFSET(BF37,0,-1*'Get Started  3'!$H109)*'Get Started  3'!$E42*'Get Started  3'!$G109),0)</f>
        <v>0</v>
      </c>
      <c r="BG204" s="29">
        <f ca="1">IF('Get Started  3'!$H112&lt;='Get Started  3'!$E27,IF(AND(BG4&lt;'Get Started  3'!$H112,'Get Started  3'!$H112&lt;='Get Started  3'!$E27),0,OFFSET(BG37,0,-1*'Get Started  3'!$H112)*'Get Started  3'!$H42*'Get Started  3'!$G112),0)+IF('Get Started  3'!$H111&lt;='Get Started  3'!$E27,IF(BG4&lt;'Get Started  3'!$H111,0,OFFSET(BG37,0,-1*'Get Started  3'!$H111)*'Get Started  3'!$G42*'Get Started  3'!$G111),0)+IF('Get Started  3'!$H110&lt;='Get Started  3'!$E27,IF(BG4&lt;'Get Started  3'!$H110,0,OFFSET(BG37,0,-1*'Get Started  3'!$H110)*'Get Started  3'!$F42*'Get Started  3'!$G110),0)+IF('Get Started  3'!$H109&lt;='Get Started  3'!$E27,IF(BG4&lt;'Get Started  3'!$H109,0,OFFSET(BG37,0,-1*'Get Started  3'!$H109)*'Get Started  3'!$E42*'Get Started  3'!$G109),0)</f>
        <v>0</v>
      </c>
      <c r="BH204" s="29">
        <f ca="1">IF('Get Started  3'!$H112&lt;='Get Started  3'!$E27,IF(AND(BH4&lt;'Get Started  3'!$H112,'Get Started  3'!$H112&lt;='Get Started  3'!$E27),0,OFFSET(BH37,0,-1*'Get Started  3'!$H112)*'Get Started  3'!$H42*'Get Started  3'!$G112),0)+IF('Get Started  3'!$H111&lt;='Get Started  3'!$E27,IF(BH4&lt;'Get Started  3'!$H111,0,OFFSET(BH37,0,-1*'Get Started  3'!$H111)*'Get Started  3'!$G42*'Get Started  3'!$G111),0)+IF('Get Started  3'!$H110&lt;='Get Started  3'!$E27,IF(BH4&lt;'Get Started  3'!$H110,0,OFFSET(BH37,0,-1*'Get Started  3'!$H110)*'Get Started  3'!$F42*'Get Started  3'!$G110),0)+IF('Get Started  3'!$H109&lt;='Get Started  3'!$E27,IF(BH4&lt;'Get Started  3'!$H109,0,OFFSET(BH37,0,-1*'Get Started  3'!$H109)*'Get Started  3'!$E42*'Get Started  3'!$G109),0)</f>
        <v>0</v>
      </c>
      <c r="BI204" s="29">
        <f ca="1">IF('Get Started  3'!$H112&lt;='Get Started  3'!$E27,IF(AND(BI4&lt;'Get Started  3'!$H112,'Get Started  3'!$H112&lt;='Get Started  3'!$E27),0,OFFSET(BI37,0,-1*'Get Started  3'!$H112)*'Get Started  3'!$H42*'Get Started  3'!$G112),0)+IF('Get Started  3'!$H111&lt;='Get Started  3'!$E27,IF(BI4&lt;'Get Started  3'!$H111,0,OFFSET(BI37,0,-1*'Get Started  3'!$H111)*'Get Started  3'!$G42*'Get Started  3'!$G111),0)+IF('Get Started  3'!$H110&lt;='Get Started  3'!$E27,IF(BI4&lt;'Get Started  3'!$H110,0,OFFSET(BI37,0,-1*'Get Started  3'!$H110)*'Get Started  3'!$F42*'Get Started  3'!$G110),0)+IF('Get Started  3'!$H109&lt;='Get Started  3'!$E27,IF(BI4&lt;'Get Started  3'!$H109,0,OFFSET(BI37,0,-1*'Get Started  3'!$H109)*'Get Started  3'!$E42*'Get Started  3'!$G109),0)</f>
        <v>0</v>
      </c>
      <c r="BJ204" s="29">
        <f ca="1">IF('Get Started  3'!$H112&lt;='Get Started  3'!$E27,IF(AND(BJ4&lt;'Get Started  3'!$H112,'Get Started  3'!$H112&lt;='Get Started  3'!$E27),0,OFFSET(BJ37,0,-1*'Get Started  3'!$H112)*'Get Started  3'!$H42*'Get Started  3'!$G112),0)+IF('Get Started  3'!$H111&lt;='Get Started  3'!$E27,IF(BJ4&lt;'Get Started  3'!$H111,0,OFFSET(BJ37,0,-1*'Get Started  3'!$H111)*'Get Started  3'!$G42*'Get Started  3'!$G111),0)+IF('Get Started  3'!$H110&lt;='Get Started  3'!$E27,IF(BJ4&lt;'Get Started  3'!$H110,0,OFFSET(BJ37,0,-1*'Get Started  3'!$H110)*'Get Started  3'!$F42*'Get Started  3'!$G110),0)+IF('Get Started  3'!$H109&lt;='Get Started  3'!$E27,IF(BJ4&lt;'Get Started  3'!$H109,0,OFFSET(BJ37,0,-1*'Get Started  3'!$H109)*'Get Started  3'!$E42*'Get Started  3'!$G109),0)</f>
        <v>0</v>
      </c>
      <c r="BK204" s="29">
        <f ca="1">IF('Get Started  3'!$H112&lt;='Get Started  3'!$E27,IF(AND(BK4&lt;'Get Started  3'!$H112,'Get Started  3'!$H112&lt;='Get Started  3'!$E27),0,OFFSET(BK37,0,-1*'Get Started  3'!$H112)*'Get Started  3'!$H42*'Get Started  3'!$G112),0)+IF('Get Started  3'!$H111&lt;='Get Started  3'!$E27,IF(BK4&lt;'Get Started  3'!$H111,0,OFFSET(BK37,0,-1*'Get Started  3'!$H111)*'Get Started  3'!$G42*'Get Started  3'!$G111),0)+IF('Get Started  3'!$H110&lt;='Get Started  3'!$E27,IF(BK4&lt;'Get Started  3'!$H110,0,OFFSET(BK37,0,-1*'Get Started  3'!$H110)*'Get Started  3'!$F42*'Get Started  3'!$G110),0)+IF('Get Started  3'!$H109&lt;='Get Started  3'!$E27,IF(BK4&lt;'Get Started  3'!$H109,0,OFFSET(BK37,0,-1*'Get Started  3'!$H109)*'Get Started  3'!$E42*'Get Started  3'!$G109),0)</f>
        <v>0</v>
      </c>
      <c r="BL204" s="29">
        <f ca="1">IF('Get Started  3'!$H112&lt;='Get Started  3'!$E27,IF(AND(BL4&lt;'Get Started  3'!$H112,'Get Started  3'!$H112&lt;='Get Started  3'!$E27),0,OFFSET(BL37,0,-1*'Get Started  3'!$H112)*'Get Started  3'!$H42*'Get Started  3'!$G112),0)+IF('Get Started  3'!$H111&lt;='Get Started  3'!$E27,IF(BL4&lt;'Get Started  3'!$H111,0,OFFSET(BL37,0,-1*'Get Started  3'!$H111)*'Get Started  3'!$G42*'Get Started  3'!$G111),0)+IF('Get Started  3'!$H110&lt;='Get Started  3'!$E27,IF(BL4&lt;'Get Started  3'!$H110,0,OFFSET(BL37,0,-1*'Get Started  3'!$H110)*'Get Started  3'!$F42*'Get Started  3'!$G110),0)+IF('Get Started  3'!$H109&lt;='Get Started  3'!$E27,IF(BL4&lt;'Get Started  3'!$H109,0,OFFSET(BL37,0,-1*'Get Started  3'!$H109)*'Get Started  3'!$E42*'Get Started  3'!$G109),0)</f>
        <v>0</v>
      </c>
      <c r="BM204" s="29">
        <f ca="1">IF('Get Started  3'!$H112&lt;='Get Started  3'!$E27,IF(AND(BM4&lt;'Get Started  3'!$H112,'Get Started  3'!$H112&lt;='Get Started  3'!$E27),0,OFFSET(BM37,0,-1*'Get Started  3'!$H112)*'Get Started  3'!$H42*'Get Started  3'!$G112),0)+IF('Get Started  3'!$H111&lt;='Get Started  3'!$E27,IF(BM4&lt;'Get Started  3'!$H111,0,OFFSET(BM37,0,-1*'Get Started  3'!$H111)*'Get Started  3'!$G42*'Get Started  3'!$G111),0)+IF('Get Started  3'!$H110&lt;='Get Started  3'!$E27,IF(BM4&lt;'Get Started  3'!$H110,0,OFFSET(BM37,0,-1*'Get Started  3'!$H110)*'Get Started  3'!$F42*'Get Started  3'!$G110),0)+IF('Get Started  3'!$H109&lt;='Get Started  3'!$E27,IF(BM4&lt;'Get Started  3'!$H109,0,OFFSET(BM37,0,-1*'Get Started  3'!$H109)*'Get Started  3'!$E42*'Get Started  3'!$G109),0)</f>
        <v>0</v>
      </c>
      <c r="BN204" s="29">
        <f ca="1">IF('Get Started  3'!$H112&lt;='Get Started  3'!$E27,IF(AND(BN4&lt;'Get Started  3'!$H112,'Get Started  3'!$H112&lt;='Get Started  3'!$E27),0,OFFSET(BN37,0,-1*'Get Started  3'!$H112)*'Get Started  3'!$H42*'Get Started  3'!$G112),0)+IF('Get Started  3'!$H111&lt;='Get Started  3'!$E27,IF(BN4&lt;'Get Started  3'!$H111,0,OFFSET(BN37,0,-1*'Get Started  3'!$H111)*'Get Started  3'!$G42*'Get Started  3'!$G111),0)+IF('Get Started  3'!$H110&lt;='Get Started  3'!$E27,IF(BN4&lt;'Get Started  3'!$H110,0,OFFSET(BN37,0,-1*'Get Started  3'!$H110)*'Get Started  3'!$F42*'Get Started  3'!$G110),0)+IF('Get Started  3'!$H109&lt;='Get Started  3'!$E27,IF(BN4&lt;'Get Started  3'!$H109,0,OFFSET(BN37,0,-1*'Get Started  3'!$H109)*'Get Started  3'!$E42*'Get Started  3'!$G109),0)</f>
        <v>0</v>
      </c>
      <c r="BO204" s="29">
        <f ca="1">IF('Get Started  3'!$H112&lt;='Get Started  3'!$E27,IF(AND(BO4&lt;'Get Started  3'!$H112,'Get Started  3'!$H112&lt;='Get Started  3'!$E27),0,OFFSET(BO37,0,-1*'Get Started  3'!$H112)*'Get Started  3'!$H42*'Get Started  3'!$G112),0)+IF('Get Started  3'!$H111&lt;='Get Started  3'!$E27,IF(BO4&lt;'Get Started  3'!$H111,0,OFFSET(BO37,0,-1*'Get Started  3'!$H111)*'Get Started  3'!$G42*'Get Started  3'!$G111),0)+IF('Get Started  3'!$H110&lt;='Get Started  3'!$E27,IF(BO4&lt;'Get Started  3'!$H110,0,OFFSET(BO37,0,-1*'Get Started  3'!$H110)*'Get Started  3'!$F42*'Get Started  3'!$G110),0)+IF('Get Started  3'!$H109&lt;='Get Started  3'!$E27,IF(BO4&lt;'Get Started  3'!$H109,0,OFFSET(BO37,0,-1*'Get Started  3'!$H109)*'Get Started  3'!$E42*'Get Started  3'!$G109),0)</f>
        <v>0</v>
      </c>
      <c r="BP204" s="29">
        <f ca="1">IF('Get Started  3'!$H112&lt;='Get Started  3'!$E27,IF(AND(BP4&lt;'Get Started  3'!$H112,'Get Started  3'!$H112&lt;='Get Started  3'!$E27),0,OFFSET(BP37,0,-1*'Get Started  3'!$H112)*'Get Started  3'!$H42*'Get Started  3'!$G112),0)+IF('Get Started  3'!$H111&lt;='Get Started  3'!$E27,IF(BP4&lt;'Get Started  3'!$H111,0,OFFSET(BP37,0,-1*'Get Started  3'!$H111)*'Get Started  3'!$G42*'Get Started  3'!$G111),0)+IF('Get Started  3'!$H110&lt;='Get Started  3'!$E27,IF(BP4&lt;'Get Started  3'!$H110,0,OFFSET(BP37,0,-1*'Get Started  3'!$H110)*'Get Started  3'!$F42*'Get Started  3'!$G110),0)+IF('Get Started  3'!$H109&lt;='Get Started  3'!$E27,IF(BP4&lt;'Get Started  3'!$H109,0,OFFSET(BP37,0,-1*'Get Started  3'!$H109)*'Get Started  3'!$E42*'Get Started  3'!$G109),0)</f>
        <v>0</v>
      </c>
      <c r="BQ204" s="29">
        <f ca="1">IF('Get Started  3'!$H112&lt;='Get Started  3'!$E27,IF(AND(BQ4&lt;'Get Started  3'!$H112,'Get Started  3'!$H112&lt;='Get Started  3'!$E27),0,OFFSET(BQ37,0,-1*'Get Started  3'!$H112)*'Get Started  3'!$H42*'Get Started  3'!$G112),0)+IF('Get Started  3'!$H111&lt;='Get Started  3'!$E27,IF(BQ4&lt;'Get Started  3'!$H111,0,OFFSET(BQ37,0,-1*'Get Started  3'!$H111)*'Get Started  3'!$G42*'Get Started  3'!$G111),0)+IF('Get Started  3'!$H110&lt;='Get Started  3'!$E27,IF(BQ4&lt;'Get Started  3'!$H110,0,OFFSET(BQ37,0,-1*'Get Started  3'!$H110)*'Get Started  3'!$F42*'Get Started  3'!$G110),0)+IF('Get Started  3'!$H109&lt;='Get Started  3'!$E27,IF(BQ4&lt;'Get Started  3'!$H109,0,OFFSET(BQ37,0,-1*'Get Started  3'!$H109)*'Get Started  3'!$E42*'Get Started  3'!$G109),0)</f>
        <v>0</v>
      </c>
      <c r="BR204" s="29">
        <f ca="1">IF('Get Started  3'!$H112&lt;='Get Started  3'!$E27,IF(AND(BR4&lt;'Get Started  3'!$H112,'Get Started  3'!$H112&lt;='Get Started  3'!$E27),0,OFFSET(BR37,0,-1*'Get Started  3'!$H112)*'Get Started  3'!$H42*'Get Started  3'!$G112),0)+IF('Get Started  3'!$H111&lt;='Get Started  3'!$E27,IF(BR4&lt;'Get Started  3'!$H111,0,OFFSET(BR37,0,-1*'Get Started  3'!$H111)*'Get Started  3'!$G42*'Get Started  3'!$G111),0)+IF('Get Started  3'!$H110&lt;='Get Started  3'!$E27,IF(BR4&lt;'Get Started  3'!$H110,0,OFFSET(BR37,0,-1*'Get Started  3'!$H110)*'Get Started  3'!$F42*'Get Started  3'!$G110),0)+IF('Get Started  3'!$H109&lt;='Get Started  3'!$E27,IF(BR4&lt;'Get Started  3'!$H109,0,OFFSET(BR37,0,-1*'Get Started  3'!$H109)*'Get Started  3'!$E42*'Get Started  3'!$G109),0)</f>
        <v>0</v>
      </c>
      <c r="BS204" s="29">
        <f ca="1">IF('Get Started  3'!$H112&lt;='Get Started  3'!$E27,IF(AND(BS4&lt;'Get Started  3'!$H112,'Get Started  3'!$H112&lt;='Get Started  3'!$E27),0,OFFSET(BS37,0,-1*'Get Started  3'!$H112)*'Get Started  3'!$H42*'Get Started  3'!$G112),0)+IF('Get Started  3'!$H111&lt;='Get Started  3'!$E27,IF(BS4&lt;'Get Started  3'!$H111,0,OFFSET(BS37,0,-1*'Get Started  3'!$H111)*'Get Started  3'!$G42*'Get Started  3'!$G111),0)+IF('Get Started  3'!$H110&lt;='Get Started  3'!$E27,IF(BS4&lt;'Get Started  3'!$H110,0,OFFSET(BS37,0,-1*'Get Started  3'!$H110)*'Get Started  3'!$F42*'Get Started  3'!$G110),0)+IF('Get Started  3'!$H109&lt;='Get Started  3'!$E27,IF(BS4&lt;'Get Started  3'!$H109,0,OFFSET(BS37,0,-1*'Get Started  3'!$H109)*'Get Started  3'!$E42*'Get Started  3'!$G109),0)</f>
        <v>0</v>
      </c>
      <c r="BT204" s="29">
        <f ca="1">IF('Get Started  3'!$H112&lt;='Get Started  3'!$E27,IF(AND(BT4&lt;'Get Started  3'!$H112,'Get Started  3'!$H112&lt;='Get Started  3'!$E27),0,OFFSET(BT37,0,-1*'Get Started  3'!$H112)*'Get Started  3'!$H42*'Get Started  3'!$G112),0)+IF('Get Started  3'!$H111&lt;='Get Started  3'!$E27,IF(BT4&lt;'Get Started  3'!$H111,0,OFFSET(BT37,0,-1*'Get Started  3'!$H111)*'Get Started  3'!$G42*'Get Started  3'!$G111),0)+IF('Get Started  3'!$H110&lt;='Get Started  3'!$E27,IF(BT4&lt;'Get Started  3'!$H110,0,OFFSET(BT37,0,-1*'Get Started  3'!$H110)*'Get Started  3'!$F42*'Get Started  3'!$G110),0)+IF('Get Started  3'!$H109&lt;='Get Started  3'!$E27,IF(BT4&lt;'Get Started  3'!$H109,0,OFFSET(BT37,0,-1*'Get Started  3'!$H109)*'Get Started  3'!$E42*'Get Started  3'!$G109),0)</f>
        <v>0</v>
      </c>
      <c r="BU204" s="29">
        <f ca="1">IF('Get Started  3'!$H112&lt;='Get Started  3'!$E27,IF(AND(BU4&lt;'Get Started  3'!$H112,'Get Started  3'!$H112&lt;='Get Started  3'!$E27),0,OFFSET(BU37,0,-1*'Get Started  3'!$H112)*'Get Started  3'!$H42*'Get Started  3'!$G112),0)+IF('Get Started  3'!$H111&lt;='Get Started  3'!$E27,IF(BU4&lt;'Get Started  3'!$H111,0,OFFSET(BU37,0,-1*'Get Started  3'!$H111)*'Get Started  3'!$G42*'Get Started  3'!$G111),0)+IF('Get Started  3'!$H110&lt;='Get Started  3'!$E27,IF(BU4&lt;'Get Started  3'!$H110,0,OFFSET(BU37,0,-1*'Get Started  3'!$H110)*'Get Started  3'!$F42*'Get Started  3'!$G110),0)+IF('Get Started  3'!$H109&lt;='Get Started  3'!$E27,IF(BU4&lt;'Get Started  3'!$H109,0,OFFSET(BU37,0,-1*'Get Started  3'!$H109)*'Get Started  3'!$E42*'Get Started  3'!$G109),0)</f>
        <v>0</v>
      </c>
      <c r="BV204" s="29">
        <f ca="1">IF('Get Started  3'!$H112&lt;='Get Started  3'!$E27,IF(AND(BV4&lt;'Get Started  3'!$H112,'Get Started  3'!$H112&lt;='Get Started  3'!$E27),0,OFFSET(BV37,0,-1*'Get Started  3'!$H112)*'Get Started  3'!$H42*'Get Started  3'!$G112),0)+IF('Get Started  3'!$H111&lt;='Get Started  3'!$E27,IF(BV4&lt;'Get Started  3'!$H111,0,OFFSET(BV37,0,-1*'Get Started  3'!$H111)*'Get Started  3'!$G42*'Get Started  3'!$G111),0)+IF('Get Started  3'!$H110&lt;='Get Started  3'!$E27,IF(BV4&lt;'Get Started  3'!$H110,0,OFFSET(BV37,0,-1*'Get Started  3'!$H110)*'Get Started  3'!$F42*'Get Started  3'!$G110),0)+IF('Get Started  3'!$H109&lt;='Get Started  3'!$E27,IF(BV4&lt;'Get Started  3'!$H109,0,OFFSET(BV37,0,-1*'Get Started  3'!$H109)*'Get Started  3'!$E42*'Get Started  3'!$G109),0)</f>
        <v>0</v>
      </c>
      <c r="BW204" s="29">
        <f ca="1">IF('Get Started  3'!$H112&lt;='Get Started  3'!$E27,IF(AND(BW4&lt;'Get Started  3'!$H112,'Get Started  3'!$H112&lt;='Get Started  3'!$E27),0,OFFSET(BW37,0,-1*'Get Started  3'!$H112)*'Get Started  3'!$H42*'Get Started  3'!$G112),0)+IF('Get Started  3'!$H111&lt;='Get Started  3'!$E27,IF(BW4&lt;'Get Started  3'!$H111,0,OFFSET(BW37,0,-1*'Get Started  3'!$H111)*'Get Started  3'!$G42*'Get Started  3'!$G111),0)+IF('Get Started  3'!$H110&lt;='Get Started  3'!$E27,IF(BW4&lt;'Get Started  3'!$H110,0,OFFSET(BW37,0,-1*'Get Started  3'!$H110)*'Get Started  3'!$F42*'Get Started  3'!$G110),0)+IF('Get Started  3'!$H109&lt;='Get Started  3'!$E27,IF(BW4&lt;'Get Started  3'!$H109,0,OFFSET(BW37,0,-1*'Get Started  3'!$H109)*'Get Started  3'!$E42*'Get Started  3'!$G109),0)</f>
        <v>0</v>
      </c>
      <c r="BX204" s="29">
        <f ca="1">IF('Get Started  3'!$H112&lt;='Get Started  3'!$E27,IF(AND(BX4&lt;'Get Started  3'!$H112,'Get Started  3'!$H112&lt;='Get Started  3'!$E27),0,OFFSET(BX37,0,-1*'Get Started  3'!$H112)*'Get Started  3'!$H42*'Get Started  3'!$G112),0)+IF('Get Started  3'!$H111&lt;='Get Started  3'!$E27,IF(BX4&lt;'Get Started  3'!$H111,0,OFFSET(BX37,0,-1*'Get Started  3'!$H111)*'Get Started  3'!$G42*'Get Started  3'!$G111),0)+IF('Get Started  3'!$H110&lt;='Get Started  3'!$E27,IF(BX4&lt;'Get Started  3'!$H110,0,OFFSET(BX37,0,-1*'Get Started  3'!$H110)*'Get Started  3'!$F42*'Get Started  3'!$G110),0)+IF('Get Started  3'!$H109&lt;='Get Started  3'!$E27,IF(BX4&lt;'Get Started  3'!$H109,0,OFFSET(BX37,0,-1*'Get Started  3'!$H109)*'Get Started  3'!$E42*'Get Started  3'!$G109),0)</f>
        <v>0</v>
      </c>
      <c r="BY204" s="29">
        <f ca="1">IF('Get Started  3'!$H112&lt;='Get Started  3'!$E27,IF(AND(BY4&lt;'Get Started  3'!$H112,'Get Started  3'!$H112&lt;='Get Started  3'!$E27),0,OFFSET(BY37,0,-1*'Get Started  3'!$H112)*'Get Started  3'!$H42*'Get Started  3'!$G112),0)+IF('Get Started  3'!$H111&lt;='Get Started  3'!$E27,IF(BY4&lt;'Get Started  3'!$H111,0,OFFSET(BY37,0,-1*'Get Started  3'!$H111)*'Get Started  3'!$G42*'Get Started  3'!$G111),0)+IF('Get Started  3'!$H110&lt;='Get Started  3'!$E27,IF(BY4&lt;'Get Started  3'!$H110,0,OFFSET(BY37,0,-1*'Get Started  3'!$H110)*'Get Started  3'!$F42*'Get Started  3'!$G110),0)+IF('Get Started  3'!$H109&lt;='Get Started  3'!$E27,IF(BY4&lt;'Get Started  3'!$H109,0,OFFSET(BY37,0,-1*'Get Started  3'!$H109)*'Get Started  3'!$E42*'Get Started  3'!$G109),0)</f>
        <v>0</v>
      </c>
      <c r="BZ204" s="29">
        <f ca="1">IF('Get Started  3'!$H112&lt;='Get Started  3'!$E27,IF(AND(BZ4&lt;'Get Started  3'!$H112,'Get Started  3'!$H112&lt;='Get Started  3'!$E27),0,OFFSET(BZ37,0,-1*'Get Started  3'!$H112)*'Get Started  3'!$H42*'Get Started  3'!$G112),0)+IF('Get Started  3'!$H111&lt;='Get Started  3'!$E27,IF(BZ4&lt;'Get Started  3'!$H111,0,OFFSET(BZ37,0,-1*'Get Started  3'!$H111)*'Get Started  3'!$G42*'Get Started  3'!$G111),0)+IF('Get Started  3'!$H110&lt;='Get Started  3'!$E27,IF(BZ4&lt;'Get Started  3'!$H110,0,OFFSET(BZ37,0,-1*'Get Started  3'!$H110)*'Get Started  3'!$F42*'Get Started  3'!$G110),0)+IF('Get Started  3'!$H109&lt;='Get Started  3'!$E27,IF(BZ4&lt;'Get Started  3'!$H109,0,OFFSET(BZ37,0,-1*'Get Started  3'!$H109)*'Get Started  3'!$E42*'Get Started  3'!$G109),0)</f>
        <v>0</v>
      </c>
      <c r="CA204" s="29">
        <f ca="1">IF('Get Started  3'!$H112&lt;='Get Started  3'!$E27,IF(AND(CA4&lt;'Get Started  3'!$H112,'Get Started  3'!$H112&lt;='Get Started  3'!$E27),0,OFFSET(CA37,0,-1*'Get Started  3'!$H112)*'Get Started  3'!$H42*'Get Started  3'!$G112),0)+IF('Get Started  3'!$H111&lt;='Get Started  3'!$E27,IF(CA4&lt;'Get Started  3'!$H111,0,OFFSET(CA37,0,-1*'Get Started  3'!$H111)*'Get Started  3'!$G42*'Get Started  3'!$G111),0)+IF('Get Started  3'!$H110&lt;='Get Started  3'!$E27,IF(CA4&lt;'Get Started  3'!$H110,0,OFFSET(CA37,0,-1*'Get Started  3'!$H110)*'Get Started  3'!$F42*'Get Started  3'!$G110),0)+IF('Get Started  3'!$H109&lt;='Get Started  3'!$E27,IF(CA4&lt;'Get Started  3'!$H109,0,OFFSET(CA37,0,-1*'Get Started  3'!$H109)*'Get Started  3'!$E42*'Get Started  3'!$G109),0)</f>
        <v>0</v>
      </c>
      <c r="CB204" s="29">
        <f ca="1">IF('Get Started  3'!$H112&lt;='Get Started  3'!$E27,IF(AND(CB4&lt;'Get Started  3'!$H112,'Get Started  3'!$H112&lt;='Get Started  3'!$E27),0,OFFSET(CB37,0,-1*'Get Started  3'!$H112)*'Get Started  3'!$H42*'Get Started  3'!$G112),0)+IF('Get Started  3'!$H111&lt;='Get Started  3'!$E27,IF(CB4&lt;'Get Started  3'!$H111,0,OFFSET(CB37,0,-1*'Get Started  3'!$H111)*'Get Started  3'!$G42*'Get Started  3'!$G111),0)+IF('Get Started  3'!$H110&lt;='Get Started  3'!$E27,IF(CB4&lt;'Get Started  3'!$H110,0,OFFSET(CB37,0,-1*'Get Started  3'!$H110)*'Get Started  3'!$F42*'Get Started  3'!$G110),0)+IF('Get Started  3'!$H109&lt;='Get Started  3'!$E27,IF(CB4&lt;'Get Started  3'!$H109,0,OFFSET(CB37,0,-1*'Get Started  3'!$H109)*'Get Started  3'!$E42*'Get Started  3'!$G109),0)</f>
        <v>0</v>
      </c>
      <c r="CC204" s="29">
        <f ca="1">IF('Get Started  3'!$H112&lt;='Get Started  3'!$E27,IF(AND(CC4&lt;'Get Started  3'!$H112,'Get Started  3'!$H112&lt;='Get Started  3'!$E27),0,OFFSET(CC37,0,-1*'Get Started  3'!$H112)*'Get Started  3'!$H42*'Get Started  3'!$G112),0)+IF('Get Started  3'!$H111&lt;='Get Started  3'!$E27,IF(CC4&lt;'Get Started  3'!$H111,0,OFFSET(CC37,0,-1*'Get Started  3'!$H111)*'Get Started  3'!$G42*'Get Started  3'!$G111),0)+IF('Get Started  3'!$H110&lt;='Get Started  3'!$E27,IF(CC4&lt;'Get Started  3'!$H110,0,OFFSET(CC37,0,-1*'Get Started  3'!$H110)*'Get Started  3'!$F42*'Get Started  3'!$G110),0)+IF('Get Started  3'!$H109&lt;='Get Started  3'!$E27,IF(CC4&lt;'Get Started  3'!$H109,0,OFFSET(CC37,0,-1*'Get Started  3'!$H109)*'Get Started  3'!$E42*'Get Started  3'!$G109),0)</f>
        <v>0</v>
      </c>
      <c r="CD204" s="29">
        <f ca="1">IF('Get Started  3'!$H112&lt;='Get Started  3'!$E27,IF(AND(CD4&lt;'Get Started  3'!$H112,'Get Started  3'!$H112&lt;='Get Started  3'!$E27),0,OFFSET(CD37,0,-1*'Get Started  3'!$H112)*'Get Started  3'!$H42*'Get Started  3'!$G112),0)+IF('Get Started  3'!$H111&lt;='Get Started  3'!$E27,IF(CD4&lt;'Get Started  3'!$H111,0,OFFSET(CD37,0,-1*'Get Started  3'!$H111)*'Get Started  3'!$G42*'Get Started  3'!$G111),0)+IF('Get Started  3'!$H110&lt;='Get Started  3'!$E27,IF(CD4&lt;'Get Started  3'!$H110,0,OFFSET(CD37,0,-1*'Get Started  3'!$H110)*'Get Started  3'!$F42*'Get Started  3'!$G110),0)+IF('Get Started  3'!$H109&lt;='Get Started  3'!$E27,IF(CD4&lt;'Get Started  3'!$H109,0,OFFSET(CD37,0,-1*'Get Started  3'!$H109)*'Get Started  3'!$E42*'Get Started  3'!$G109),0)</f>
        <v>0</v>
      </c>
      <c r="CE204" s="29">
        <f ca="1">IF('Get Started  3'!$H112&lt;='Get Started  3'!$E27,IF(AND(CE4&lt;'Get Started  3'!$H112,'Get Started  3'!$H112&lt;='Get Started  3'!$E27),0,OFFSET(CE37,0,-1*'Get Started  3'!$H112)*'Get Started  3'!$H42*'Get Started  3'!$G112),0)+IF('Get Started  3'!$H111&lt;='Get Started  3'!$E27,IF(CE4&lt;'Get Started  3'!$H111,0,OFFSET(CE37,0,-1*'Get Started  3'!$H111)*'Get Started  3'!$G42*'Get Started  3'!$G111),0)+IF('Get Started  3'!$H110&lt;='Get Started  3'!$E27,IF(CE4&lt;'Get Started  3'!$H110,0,OFFSET(CE37,0,-1*'Get Started  3'!$H110)*'Get Started  3'!$F42*'Get Started  3'!$G110),0)+IF('Get Started  3'!$H109&lt;='Get Started  3'!$E27,IF(CE4&lt;'Get Started  3'!$H109,0,OFFSET(CE37,0,-1*'Get Started  3'!$H109)*'Get Started  3'!$E42*'Get Started  3'!$G109),0)</f>
        <v>0</v>
      </c>
      <c r="CF204" s="29">
        <f ca="1">IF('Get Started  3'!$H112&lt;='Get Started  3'!$E27,IF(AND(CF4&lt;'Get Started  3'!$H112,'Get Started  3'!$H112&lt;='Get Started  3'!$E27),0,OFFSET(CF37,0,-1*'Get Started  3'!$H112)*'Get Started  3'!$H42*'Get Started  3'!$G112),0)+IF('Get Started  3'!$H111&lt;='Get Started  3'!$E27,IF(CF4&lt;'Get Started  3'!$H111,0,OFFSET(CF37,0,-1*'Get Started  3'!$H111)*'Get Started  3'!$G42*'Get Started  3'!$G111),0)+IF('Get Started  3'!$H110&lt;='Get Started  3'!$E27,IF(CF4&lt;'Get Started  3'!$H110,0,OFFSET(CF37,0,-1*'Get Started  3'!$H110)*'Get Started  3'!$F42*'Get Started  3'!$G110),0)+IF('Get Started  3'!$H109&lt;='Get Started  3'!$E27,IF(CF4&lt;'Get Started  3'!$H109,0,OFFSET(CF37,0,-1*'Get Started  3'!$H109)*'Get Started  3'!$E42*'Get Started  3'!$G109),0)</f>
        <v>0</v>
      </c>
      <c r="CG204" s="29">
        <f ca="1">IF('Get Started  3'!$H112&lt;='Get Started  3'!$E27,IF(AND(CG4&lt;'Get Started  3'!$H112,'Get Started  3'!$H112&lt;='Get Started  3'!$E27),0,OFFSET(CG37,0,-1*'Get Started  3'!$H112)*'Get Started  3'!$H42*'Get Started  3'!$G112),0)+IF('Get Started  3'!$H111&lt;='Get Started  3'!$E27,IF(CG4&lt;'Get Started  3'!$H111,0,OFFSET(CG37,0,-1*'Get Started  3'!$H111)*'Get Started  3'!$G42*'Get Started  3'!$G111),0)+IF('Get Started  3'!$H110&lt;='Get Started  3'!$E27,IF(CG4&lt;'Get Started  3'!$H110,0,OFFSET(CG37,0,-1*'Get Started  3'!$H110)*'Get Started  3'!$F42*'Get Started  3'!$G110),0)+IF('Get Started  3'!$H109&lt;='Get Started  3'!$E27,IF(CG4&lt;'Get Started  3'!$H109,0,OFFSET(CG37,0,-1*'Get Started  3'!$H109)*'Get Started  3'!$E42*'Get Started  3'!$G109),0)</f>
        <v>0</v>
      </c>
      <c r="CH204" s="29">
        <f ca="1">IF('Get Started  3'!$H112&lt;='Get Started  3'!$E27,IF(AND(CH4&lt;'Get Started  3'!$H112,'Get Started  3'!$H112&lt;='Get Started  3'!$E27),0,OFFSET(CH37,0,-1*'Get Started  3'!$H112)*'Get Started  3'!$H42*'Get Started  3'!$G112),0)+IF('Get Started  3'!$H111&lt;='Get Started  3'!$E27,IF(CH4&lt;'Get Started  3'!$H111,0,OFFSET(CH37,0,-1*'Get Started  3'!$H111)*'Get Started  3'!$G42*'Get Started  3'!$G111),0)+IF('Get Started  3'!$H110&lt;='Get Started  3'!$E27,IF(CH4&lt;'Get Started  3'!$H110,0,OFFSET(CH37,0,-1*'Get Started  3'!$H110)*'Get Started  3'!$F42*'Get Started  3'!$G110),0)+IF('Get Started  3'!$H109&lt;='Get Started  3'!$E27,IF(CH4&lt;'Get Started  3'!$H109,0,OFFSET(CH37,0,-1*'Get Started  3'!$H109)*'Get Started  3'!$E42*'Get Started  3'!$G109),0)</f>
        <v>0</v>
      </c>
    </row>
    <row r="205" spans="2:86" ht="13" outlineLevel="1">
      <c r="B205" s="13" t="str">
        <f>"Cost basis of investments exited within "&amp;'Get Started  3'!E$27&amp;" years"</f>
        <v>Cost basis of investments exited within 24 years</v>
      </c>
      <c r="C205" s="15"/>
      <c r="D205" s="15" t="s">
        <v>238</v>
      </c>
      <c r="E205" s="29">
        <f t="shared" ca="1" si="166"/>
        <v>11284722.222222226</v>
      </c>
      <c r="F205" s="77"/>
      <c r="G205" s="29">
        <f t="shared" ref="G205:CH205" ca="1" si="167">IFERROR(G206/(($E30-$E39-$E40-$E41)/$E30),0)</f>
        <v>0</v>
      </c>
      <c r="H205" s="29">
        <f t="shared" ca="1" si="167"/>
        <v>0</v>
      </c>
      <c r="I205" s="29">
        <f t="shared" ca="1" si="167"/>
        <v>0</v>
      </c>
      <c r="J205" s="29">
        <f t="shared" ca="1" si="167"/>
        <v>0</v>
      </c>
      <c r="K205" s="29">
        <f t="shared" ca="1" si="167"/>
        <v>0</v>
      </c>
      <c r="L205" s="29">
        <f t="shared" ca="1" si="167"/>
        <v>0</v>
      </c>
      <c r="M205" s="29">
        <f t="shared" ca="1" si="167"/>
        <v>0</v>
      </c>
      <c r="N205" s="29">
        <f t="shared" ca="1" si="167"/>
        <v>0</v>
      </c>
      <c r="O205" s="29">
        <f t="shared" ca="1" si="167"/>
        <v>0</v>
      </c>
      <c r="P205" s="29">
        <f t="shared" ca="1" si="167"/>
        <v>0</v>
      </c>
      <c r="Q205" s="29">
        <f t="shared" ca="1" si="167"/>
        <v>0</v>
      </c>
      <c r="R205" s="29">
        <f t="shared" ca="1" si="167"/>
        <v>0</v>
      </c>
      <c r="S205" s="29">
        <f t="shared" ca="1" si="167"/>
        <v>260416.66666666669</v>
      </c>
      <c r="T205" s="29">
        <f t="shared" ca="1" si="167"/>
        <v>260416.66666666669</v>
      </c>
      <c r="U205" s="29">
        <f t="shared" ca="1" si="167"/>
        <v>260416.66666666669</v>
      </c>
      <c r="V205" s="29">
        <f t="shared" ca="1" si="167"/>
        <v>260416.66666666669</v>
      </c>
      <c r="W205" s="29">
        <f t="shared" ca="1" si="167"/>
        <v>364583.33333333337</v>
      </c>
      <c r="X205" s="29">
        <f t="shared" ca="1" si="167"/>
        <v>364583.33333333337</v>
      </c>
      <c r="Y205" s="29">
        <f t="shared" ca="1" si="167"/>
        <v>364583.33333333337</v>
      </c>
      <c r="Z205" s="29">
        <f t="shared" ca="1" si="167"/>
        <v>364583.33333333337</v>
      </c>
      <c r="AA205" s="29">
        <f t="shared" ca="1" si="167"/>
        <v>364583.33333333337</v>
      </c>
      <c r="AB205" s="29">
        <f t="shared" ca="1" si="167"/>
        <v>364583.33333333337</v>
      </c>
      <c r="AC205" s="29">
        <f t="shared" ca="1" si="167"/>
        <v>364583.33333333337</v>
      </c>
      <c r="AD205" s="29">
        <f t="shared" ca="1" si="167"/>
        <v>364583.33333333337</v>
      </c>
      <c r="AE205" s="29">
        <f t="shared" ca="1" si="167"/>
        <v>720486.11111111101</v>
      </c>
      <c r="AF205" s="29">
        <f t="shared" ca="1" si="167"/>
        <v>720486.11111111101</v>
      </c>
      <c r="AG205" s="29">
        <f t="shared" ca="1" si="167"/>
        <v>720486.11111111101</v>
      </c>
      <c r="AH205" s="29">
        <f t="shared" ca="1" si="167"/>
        <v>720486.11111111101</v>
      </c>
      <c r="AI205" s="29">
        <f t="shared" ca="1" si="167"/>
        <v>434027.77777777775</v>
      </c>
      <c r="AJ205" s="29">
        <f t="shared" ca="1" si="167"/>
        <v>434027.77777777775</v>
      </c>
      <c r="AK205" s="29">
        <f t="shared" ca="1" si="167"/>
        <v>434027.77777777775</v>
      </c>
      <c r="AL205" s="29">
        <f t="shared" ca="1" si="167"/>
        <v>434027.77777777775</v>
      </c>
      <c r="AM205" s="29">
        <f t="shared" ca="1" si="167"/>
        <v>312499.99999999994</v>
      </c>
      <c r="AN205" s="29">
        <f t="shared" ca="1" si="167"/>
        <v>312499.99999999994</v>
      </c>
      <c r="AO205" s="29">
        <f t="shared" ca="1" si="167"/>
        <v>312499.99999999994</v>
      </c>
      <c r="AP205" s="29">
        <f t="shared" ca="1" si="167"/>
        <v>312499.99999999994</v>
      </c>
      <c r="AQ205" s="29">
        <f t="shared" ca="1" si="167"/>
        <v>364583.3333333332</v>
      </c>
      <c r="AR205" s="29">
        <f t="shared" ca="1" si="167"/>
        <v>364583.3333333332</v>
      </c>
      <c r="AS205" s="29">
        <f t="shared" ca="1" si="167"/>
        <v>364583.3333333332</v>
      </c>
      <c r="AT205" s="29">
        <f t="shared" ca="1" si="167"/>
        <v>364583.3333333332</v>
      </c>
      <c r="AU205" s="29">
        <f t="shared" ca="1" si="167"/>
        <v>0</v>
      </c>
      <c r="AV205" s="29">
        <f t="shared" ca="1" si="167"/>
        <v>0</v>
      </c>
      <c r="AW205" s="29">
        <f t="shared" ca="1" si="167"/>
        <v>0</v>
      </c>
      <c r="AX205" s="29">
        <f t="shared" ca="1" si="167"/>
        <v>0</v>
      </c>
      <c r="AY205" s="29">
        <f t="shared" ca="1" si="167"/>
        <v>0</v>
      </c>
      <c r="AZ205" s="29">
        <f t="shared" ca="1" si="167"/>
        <v>0</v>
      </c>
      <c r="BA205" s="29">
        <f t="shared" ca="1" si="167"/>
        <v>0</v>
      </c>
      <c r="BB205" s="29">
        <f t="shared" ca="1" si="167"/>
        <v>0</v>
      </c>
      <c r="BC205" s="29">
        <f t="shared" ca="1" si="167"/>
        <v>0</v>
      </c>
      <c r="BD205" s="29">
        <f t="shared" ca="1" si="167"/>
        <v>0</v>
      </c>
      <c r="BE205" s="29">
        <f t="shared" ca="1" si="167"/>
        <v>0</v>
      </c>
      <c r="BF205" s="29">
        <f t="shared" ca="1" si="167"/>
        <v>0</v>
      </c>
      <c r="BG205" s="29">
        <f t="shared" ca="1" si="167"/>
        <v>0</v>
      </c>
      <c r="BH205" s="29">
        <f t="shared" ca="1" si="167"/>
        <v>0</v>
      </c>
      <c r="BI205" s="29">
        <f t="shared" ca="1" si="167"/>
        <v>0</v>
      </c>
      <c r="BJ205" s="29">
        <f t="shared" ca="1" si="167"/>
        <v>0</v>
      </c>
      <c r="BK205" s="29">
        <f t="shared" ca="1" si="167"/>
        <v>0</v>
      </c>
      <c r="BL205" s="29">
        <f t="shared" ca="1" si="167"/>
        <v>0</v>
      </c>
      <c r="BM205" s="29">
        <f t="shared" ca="1" si="167"/>
        <v>0</v>
      </c>
      <c r="BN205" s="29">
        <f t="shared" ca="1" si="167"/>
        <v>0</v>
      </c>
      <c r="BO205" s="29">
        <f t="shared" ca="1" si="167"/>
        <v>0</v>
      </c>
      <c r="BP205" s="29">
        <f t="shared" ca="1" si="167"/>
        <v>0</v>
      </c>
      <c r="BQ205" s="29">
        <f t="shared" ca="1" si="167"/>
        <v>0</v>
      </c>
      <c r="BR205" s="29">
        <f t="shared" ca="1" si="167"/>
        <v>0</v>
      </c>
      <c r="BS205" s="29">
        <f t="shared" ca="1" si="167"/>
        <v>0</v>
      </c>
      <c r="BT205" s="29">
        <f t="shared" ca="1" si="167"/>
        <v>0</v>
      </c>
      <c r="BU205" s="29">
        <f t="shared" ca="1" si="167"/>
        <v>0</v>
      </c>
      <c r="BV205" s="29">
        <f t="shared" ca="1" si="167"/>
        <v>0</v>
      </c>
      <c r="BW205" s="29">
        <f t="shared" ca="1" si="167"/>
        <v>0</v>
      </c>
      <c r="BX205" s="29">
        <f t="shared" ca="1" si="167"/>
        <v>0</v>
      </c>
      <c r="BY205" s="29">
        <f t="shared" ca="1" si="167"/>
        <v>0</v>
      </c>
      <c r="BZ205" s="29">
        <f t="shared" ca="1" si="167"/>
        <v>0</v>
      </c>
      <c r="CA205" s="29">
        <f t="shared" ca="1" si="167"/>
        <v>0</v>
      </c>
      <c r="CB205" s="29">
        <f t="shared" ca="1" si="167"/>
        <v>0</v>
      </c>
      <c r="CC205" s="29">
        <f t="shared" ca="1" si="167"/>
        <v>0</v>
      </c>
      <c r="CD205" s="29">
        <f t="shared" ca="1" si="167"/>
        <v>0</v>
      </c>
      <c r="CE205" s="29">
        <f t="shared" ca="1" si="167"/>
        <v>0</v>
      </c>
      <c r="CF205" s="29">
        <f t="shared" ca="1" si="167"/>
        <v>0</v>
      </c>
      <c r="CG205" s="29">
        <f t="shared" ca="1" si="167"/>
        <v>0</v>
      </c>
      <c r="CH205" s="29">
        <f t="shared" ca="1" si="167"/>
        <v>0</v>
      </c>
    </row>
    <row r="206" spans="2:86" ht="13" outlineLevel="1">
      <c r="B206" s="13" t="str">
        <f>"Invested capital from investments exited within "&amp;'Get Started  3'!E$27&amp;" years"</f>
        <v>Invested capital from investments exited within 24 years</v>
      </c>
      <c r="C206" s="15"/>
      <c r="D206" s="15" t="s">
        <v>238</v>
      </c>
      <c r="E206" s="29">
        <f t="shared" ca="1" si="166"/>
        <v>8689236.1111111101</v>
      </c>
      <c r="F206" s="77"/>
      <c r="G206" s="29">
        <f ca="1">IF(AND('Get Started  3'!$H112&lt;='Get Started  3'!$E27,'Get Started  3'!$G112&lt;&gt;0),IF(AND(G4&lt;'Get Started  3'!$H112,'Get Started  3'!$H112&lt;='Get Started  3'!$E27),0,OFFSET(G37,0,-1*'Get Started  3'!$H112)*'Get Started  3'!$H42),0)+IF(AND('Get Started  3'!$H111&lt;='Get Started  3'!$E27,'Get Started  3'!$G111&lt;&gt;0),IF(G4&lt;'Get Started  3'!$H111,0,OFFSET(G37,0,-1*'Get Started  3'!$H111)*'Get Started  3'!$G42),0)+IF(AND('Get Started  3'!$H110&lt;='Get Started  3'!$E27,'Get Started  3'!$G110&lt;&gt;0),IF(G4&lt;'Get Started  3'!$H110,0,OFFSET(G37,0,-1*'Get Started  3'!$H110)*'Get Started  3'!$F42),0)+IF(AND('Get Started  3'!$H109&lt;='Get Started  3'!$E27,'Get Started  3'!$G109&lt;&gt;0),IF(G4&lt;'Get Started  3'!$H109,0,OFFSET(G37,0,-1*'Get Started  3'!$H109)*'Get Started  3'!$E42*'Get Started  3'!$G109),0)</f>
        <v>0</v>
      </c>
      <c r="H206" s="29">
        <f ca="1">IF(AND('Get Started  3'!$H112&lt;='Get Started  3'!$E27,'Get Started  3'!$G112&lt;&gt;0),IF(AND(H4&lt;'Get Started  3'!$H112,'Get Started  3'!$H112&lt;='Get Started  3'!$E27),0,OFFSET(H37,0,-1*'Get Started  3'!$H112)*'Get Started  3'!$H42),0)+IF(AND('Get Started  3'!$H111&lt;='Get Started  3'!$E27,'Get Started  3'!$G111&lt;&gt;0),IF(H4&lt;'Get Started  3'!$H111,0,OFFSET(H37,0,-1*'Get Started  3'!$H111)*'Get Started  3'!$G42),0)+IF(AND('Get Started  3'!$H110&lt;='Get Started  3'!$E27,'Get Started  3'!$G110&lt;&gt;0),IF(H4&lt;'Get Started  3'!$H110,0,OFFSET(H37,0,-1*'Get Started  3'!$H110)*'Get Started  3'!$F42),0)+IF(AND('Get Started  3'!$H109&lt;='Get Started  3'!$E27,'Get Started  3'!$G109&lt;&gt;0),IF(H4&lt;'Get Started  3'!$H109,0,OFFSET(H37,0,-1*'Get Started  3'!$H109)*'Get Started  3'!$E42*'Get Started  3'!$G109),0)</f>
        <v>0</v>
      </c>
      <c r="I206" s="29">
        <f ca="1">IF(AND('Get Started  3'!$H112&lt;='Get Started  3'!$E27,'Get Started  3'!$G112&lt;&gt;0),IF(AND(I4&lt;'Get Started  3'!$H112,'Get Started  3'!$H112&lt;='Get Started  3'!$E27),0,OFFSET(I37,0,-1*'Get Started  3'!$H112)*'Get Started  3'!$H42),0)+IF(AND('Get Started  3'!$H111&lt;='Get Started  3'!$E27,'Get Started  3'!$G111&lt;&gt;0),IF(I4&lt;'Get Started  3'!$H111,0,OFFSET(I37,0,-1*'Get Started  3'!$H111)*'Get Started  3'!$G42),0)+IF(AND('Get Started  3'!$H110&lt;='Get Started  3'!$E27,'Get Started  3'!$G110&lt;&gt;0),IF(I4&lt;'Get Started  3'!$H110,0,OFFSET(I37,0,-1*'Get Started  3'!$H110)*'Get Started  3'!$F42),0)+IF(AND('Get Started  3'!$H109&lt;='Get Started  3'!$E27,'Get Started  3'!$G109&lt;&gt;0),IF(I4&lt;'Get Started  3'!$H109,0,OFFSET(I37,0,-1*'Get Started  3'!$H109)*'Get Started  3'!$E42*'Get Started  3'!$G109),0)</f>
        <v>0</v>
      </c>
      <c r="J206" s="29">
        <f ca="1">IF(AND('Get Started  3'!$H112&lt;='Get Started  3'!$E27,'Get Started  3'!$G112&lt;&gt;0),IF(AND(J4&lt;'Get Started  3'!$H112,'Get Started  3'!$H112&lt;='Get Started  3'!$E27),0,OFFSET(J37,0,-1*'Get Started  3'!$H112)*'Get Started  3'!$H42),0)+IF(AND('Get Started  3'!$H111&lt;='Get Started  3'!$E27,'Get Started  3'!$G111&lt;&gt;0),IF(J4&lt;'Get Started  3'!$H111,0,OFFSET(J37,0,-1*'Get Started  3'!$H111)*'Get Started  3'!$G42),0)+IF(AND('Get Started  3'!$H110&lt;='Get Started  3'!$E27,'Get Started  3'!$G110&lt;&gt;0),IF(J4&lt;'Get Started  3'!$H110,0,OFFSET(J37,0,-1*'Get Started  3'!$H110)*'Get Started  3'!$F42),0)+IF(AND('Get Started  3'!$H109&lt;='Get Started  3'!$E27,'Get Started  3'!$G109&lt;&gt;0),IF(J4&lt;'Get Started  3'!$H109,0,OFFSET(J37,0,-1*'Get Started  3'!$H109)*'Get Started  3'!$E42*'Get Started  3'!$G109),0)</f>
        <v>0</v>
      </c>
      <c r="K206" s="29">
        <f ca="1">IF(AND('Get Started  3'!$H112&lt;='Get Started  3'!$E27,'Get Started  3'!$G112&lt;&gt;0),IF(AND(K4&lt;'Get Started  3'!$H112,'Get Started  3'!$H112&lt;='Get Started  3'!$E27),0,OFFSET(K37,0,-1*'Get Started  3'!$H112)*'Get Started  3'!$H42),0)+IF(AND('Get Started  3'!$H111&lt;='Get Started  3'!$E27,'Get Started  3'!$G111&lt;&gt;0),IF(K4&lt;'Get Started  3'!$H111,0,OFFSET(K37,0,-1*'Get Started  3'!$H111)*'Get Started  3'!$G42),0)+IF(AND('Get Started  3'!$H110&lt;='Get Started  3'!$E27,'Get Started  3'!$G110&lt;&gt;0),IF(K4&lt;'Get Started  3'!$H110,0,OFFSET(K37,0,-1*'Get Started  3'!$H110)*'Get Started  3'!$F42),0)+IF(AND('Get Started  3'!$H109&lt;='Get Started  3'!$E27,'Get Started  3'!$G109&lt;&gt;0),IF(K4&lt;'Get Started  3'!$H109,0,OFFSET(K37,0,-1*'Get Started  3'!$H109)*'Get Started  3'!$E42*'Get Started  3'!$G109),0)</f>
        <v>0</v>
      </c>
      <c r="L206" s="29">
        <f ca="1">IF(AND('Get Started  3'!$H112&lt;='Get Started  3'!$E27,'Get Started  3'!$G112&lt;&gt;0),IF(AND(L4&lt;'Get Started  3'!$H112,'Get Started  3'!$H112&lt;='Get Started  3'!$E27),0,OFFSET(L37,0,-1*'Get Started  3'!$H112)*'Get Started  3'!$H42),0)+IF(AND('Get Started  3'!$H111&lt;='Get Started  3'!$E27,'Get Started  3'!$G111&lt;&gt;0),IF(L4&lt;'Get Started  3'!$H111,0,OFFSET(L37,0,-1*'Get Started  3'!$H111)*'Get Started  3'!$G42),0)+IF(AND('Get Started  3'!$H110&lt;='Get Started  3'!$E27,'Get Started  3'!$G110&lt;&gt;0),IF(L4&lt;'Get Started  3'!$H110,0,OFFSET(L37,0,-1*'Get Started  3'!$H110)*'Get Started  3'!$F42),0)+IF(AND('Get Started  3'!$H109&lt;='Get Started  3'!$E27,'Get Started  3'!$G109&lt;&gt;0),IF(L4&lt;'Get Started  3'!$H109,0,OFFSET(L37,0,-1*'Get Started  3'!$H109)*'Get Started  3'!$E42*'Get Started  3'!$G109),0)</f>
        <v>0</v>
      </c>
      <c r="M206" s="29">
        <f ca="1">IF(AND('Get Started  3'!$H112&lt;='Get Started  3'!$E27,'Get Started  3'!$G112&lt;&gt;0),IF(AND(M4&lt;'Get Started  3'!$H112,'Get Started  3'!$H112&lt;='Get Started  3'!$E27),0,OFFSET(M37,0,-1*'Get Started  3'!$H112)*'Get Started  3'!$H42),0)+IF(AND('Get Started  3'!$H111&lt;='Get Started  3'!$E27,'Get Started  3'!$G111&lt;&gt;0),IF(M4&lt;'Get Started  3'!$H111,0,OFFSET(M37,0,-1*'Get Started  3'!$H111)*'Get Started  3'!$G42),0)+IF(AND('Get Started  3'!$H110&lt;='Get Started  3'!$E27,'Get Started  3'!$G110&lt;&gt;0),IF(M4&lt;'Get Started  3'!$H110,0,OFFSET(M37,0,-1*'Get Started  3'!$H110)*'Get Started  3'!$F42),0)+IF(AND('Get Started  3'!$H109&lt;='Get Started  3'!$E27,'Get Started  3'!$G109&lt;&gt;0),IF(M4&lt;'Get Started  3'!$H109,0,OFFSET(M37,0,-1*'Get Started  3'!$H109)*'Get Started  3'!$E42*'Get Started  3'!$G109),0)</f>
        <v>0</v>
      </c>
      <c r="N206" s="29">
        <f ca="1">IF(AND('Get Started  3'!$H112&lt;='Get Started  3'!$E27,'Get Started  3'!$G112&lt;&gt;0),IF(AND(N4&lt;'Get Started  3'!$H112,'Get Started  3'!$H112&lt;='Get Started  3'!$E27),0,OFFSET(N37,0,-1*'Get Started  3'!$H112)*'Get Started  3'!$H42),0)+IF(AND('Get Started  3'!$H111&lt;='Get Started  3'!$E27,'Get Started  3'!$G111&lt;&gt;0),IF(N4&lt;'Get Started  3'!$H111,0,OFFSET(N37,0,-1*'Get Started  3'!$H111)*'Get Started  3'!$G42),0)+IF(AND('Get Started  3'!$H110&lt;='Get Started  3'!$E27,'Get Started  3'!$G110&lt;&gt;0),IF(N4&lt;'Get Started  3'!$H110,0,OFFSET(N37,0,-1*'Get Started  3'!$H110)*'Get Started  3'!$F42),0)+IF(AND('Get Started  3'!$H109&lt;='Get Started  3'!$E27,'Get Started  3'!$G109&lt;&gt;0),IF(N4&lt;'Get Started  3'!$H109,0,OFFSET(N37,0,-1*'Get Started  3'!$H109)*'Get Started  3'!$E42*'Get Started  3'!$G109),0)</f>
        <v>0</v>
      </c>
      <c r="O206" s="29">
        <f ca="1">IF(AND('Get Started  3'!$H112&lt;='Get Started  3'!$E27,'Get Started  3'!$G112&lt;&gt;0),IF(AND(O4&lt;'Get Started  3'!$H112,'Get Started  3'!$H112&lt;='Get Started  3'!$E27),0,OFFSET(O37,0,-1*'Get Started  3'!$H112)*'Get Started  3'!$H42),0)+IF(AND('Get Started  3'!$H111&lt;='Get Started  3'!$E27,'Get Started  3'!$G111&lt;&gt;0),IF(O4&lt;'Get Started  3'!$H111,0,OFFSET(O37,0,-1*'Get Started  3'!$H111)*'Get Started  3'!$G42),0)+IF(AND('Get Started  3'!$H110&lt;='Get Started  3'!$E27,'Get Started  3'!$G110&lt;&gt;0),IF(O4&lt;'Get Started  3'!$H110,0,OFFSET(O37,0,-1*'Get Started  3'!$H110)*'Get Started  3'!$F42),0)+IF(AND('Get Started  3'!$H109&lt;='Get Started  3'!$E27,'Get Started  3'!$G109&lt;&gt;0),IF(O4&lt;'Get Started  3'!$H109,0,OFFSET(O37,0,-1*'Get Started  3'!$H109)*'Get Started  3'!$E42*'Get Started  3'!$G109),0)</f>
        <v>0</v>
      </c>
      <c r="P206" s="29">
        <f ca="1">IF(AND('Get Started  3'!$H112&lt;='Get Started  3'!$E27,'Get Started  3'!$G112&lt;&gt;0),IF(AND(P4&lt;'Get Started  3'!$H112,'Get Started  3'!$H112&lt;='Get Started  3'!$E27),0,OFFSET(P37,0,-1*'Get Started  3'!$H112)*'Get Started  3'!$H42),0)+IF(AND('Get Started  3'!$H111&lt;='Get Started  3'!$E27,'Get Started  3'!$G111&lt;&gt;0),IF(P4&lt;'Get Started  3'!$H111,0,OFFSET(P37,0,-1*'Get Started  3'!$H111)*'Get Started  3'!$G42),0)+IF(AND('Get Started  3'!$H110&lt;='Get Started  3'!$E27,'Get Started  3'!$G110&lt;&gt;0),IF(P4&lt;'Get Started  3'!$H110,0,OFFSET(P37,0,-1*'Get Started  3'!$H110)*'Get Started  3'!$F42),0)+IF(AND('Get Started  3'!$H109&lt;='Get Started  3'!$E27,'Get Started  3'!$G109&lt;&gt;0),IF(P4&lt;'Get Started  3'!$H109,0,OFFSET(P37,0,-1*'Get Started  3'!$H109)*'Get Started  3'!$E42*'Get Started  3'!$G109),0)</f>
        <v>0</v>
      </c>
      <c r="Q206" s="29">
        <f ca="1">IF(AND('Get Started  3'!$H112&lt;='Get Started  3'!$E27,'Get Started  3'!$G112&lt;&gt;0),IF(AND(Q4&lt;'Get Started  3'!$H112,'Get Started  3'!$H112&lt;='Get Started  3'!$E27),0,OFFSET(Q37,0,-1*'Get Started  3'!$H112)*'Get Started  3'!$H42),0)+IF(AND('Get Started  3'!$H111&lt;='Get Started  3'!$E27,'Get Started  3'!$G111&lt;&gt;0),IF(Q4&lt;'Get Started  3'!$H111,0,OFFSET(Q37,0,-1*'Get Started  3'!$H111)*'Get Started  3'!$G42),0)+IF(AND('Get Started  3'!$H110&lt;='Get Started  3'!$E27,'Get Started  3'!$G110&lt;&gt;0),IF(Q4&lt;'Get Started  3'!$H110,0,OFFSET(Q37,0,-1*'Get Started  3'!$H110)*'Get Started  3'!$F42),0)+IF(AND('Get Started  3'!$H109&lt;='Get Started  3'!$E27,'Get Started  3'!$G109&lt;&gt;0),IF(Q4&lt;'Get Started  3'!$H109,0,OFFSET(Q37,0,-1*'Get Started  3'!$H109)*'Get Started  3'!$E42*'Get Started  3'!$G109),0)</f>
        <v>0</v>
      </c>
      <c r="R206" s="29">
        <f ca="1">IF(AND('Get Started  3'!$H112&lt;='Get Started  3'!$E27,'Get Started  3'!$G112&lt;&gt;0),IF(AND(R4&lt;'Get Started  3'!$H112,'Get Started  3'!$H112&lt;='Get Started  3'!$E27),0,OFFSET(R37,0,-1*'Get Started  3'!$H112)*'Get Started  3'!$H42),0)+IF(AND('Get Started  3'!$H111&lt;='Get Started  3'!$E27,'Get Started  3'!$G111&lt;&gt;0),IF(R4&lt;'Get Started  3'!$H111,0,OFFSET(R37,0,-1*'Get Started  3'!$H111)*'Get Started  3'!$G42),0)+IF(AND('Get Started  3'!$H110&lt;='Get Started  3'!$E27,'Get Started  3'!$G110&lt;&gt;0),IF(R4&lt;'Get Started  3'!$H110,0,OFFSET(R37,0,-1*'Get Started  3'!$H110)*'Get Started  3'!$F42),0)+IF(AND('Get Started  3'!$H109&lt;='Get Started  3'!$E27,'Get Started  3'!$G109&lt;&gt;0),IF(R4&lt;'Get Started  3'!$H109,0,OFFSET(R37,0,-1*'Get Started  3'!$H109)*'Get Started  3'!$E42*'Get Started  3'!$G109),0)</f>
        <v>0</v>
      </c>
      <c r="S206" s="29">
        <f ca="1">IF(AND('Get Started  3'!$H112&lt;='Get Started  3'!$E27,'Get Started  3'!$G112&lt;&gt;0),IF(AND(S4&lt;'Get Started  3'!$H112,'Get Started  3'!$H112&lt;='Get Started  3'!$E27),0,OFFSET(S37,0,-1*'Get Started  3'!$H112)*'Get Started  3'!$H42),0)+IF(AND('Get Started  3'!$H111&lt;='Get Started  3'!$E27,'Get Started  3'!$G111&lt;&gt;0),IF(S4&lt;'Get Started  3'!$H111,0,OFFSET(S37,0,-1*'Get Started  3'!$H111)*'Get Started  3'!$G42),0)+IF(AND('Get Started  3'!$H110&lt;='Get Started  3'!$E27,'Get Started  3'!$G110&lt;&gt;0),IF(S4&lt;'Get Started  3'!$H110,0,OFFSET(S37,0,-1*'Get Started  3'!$H110)*'Get Started  3'!$F42),0)+IF(AND('Get Started  3'!$H109&lt;='Get Started  3'!$E27,'Get Started  3'!$G109&lt;&gt;0),IF(S4&lt;'Get Started  3'!$H109,0,OFFSET(S37,0,-1*'Get Started  3'!$H109)*'Get Started  3'!$E42*'Get Started  3'!$G109),0)</f>
        <v>200520.83333333334</v>
      </c>
      <c r="T206" s="29">
        <f ca="1">IF(AND('Get Started  3'!$H112&lt;='Get Started  3'!$E27,'Get Started  3'!$G112&lt;&gt;0),IF(AND(T4&lt;'Get Started  3'!$H112,'Get Started  3'!$H112&lt;='Get Started  3'!$E27),0,OFFSET(T37,0,-1*'Get Started  3'!$H112)*'Get Started  3'!$H42),0)+IF(AND('Get Started  3'!$H111&lt;='Get Started  3'!$E27,'Get Started  3'!$G111&lt;&gt;0),IF(T4&lt;'Get Started  3'!$H111,0,OFFSET(T37,0,-1*'Get Started  3'!$H111)*'Get Started  3'!$G42),0)+IF(AND('Get Started  3'!$H110&lt;='Get Started  3'!$E27,'Get Started  3'!$G110&lt;&gt;0),IF(T4&lt;'Get Started  3'!$H110,0,OFFSET(T37,0,-1*'Get Started  3'!$H110)*'Get Started  3'!$F42),0)+IF(AND('Get Started  3'!$H109&lt;='Get Started  3'!$E27,'Get Started  3'!$G109&lt;&gt;0),IF(T4&lt;'Get Started  3'!$H109,0,OFFSET(T37,0,-1*'Get Started  3'!$H109)*'Get Started  3'!$E42*'Get Started  3'!$G109),0)</f>
        <v>200520.83333333334</v>
      </c>
      <c r="U206" s="29">
        <f ca="1">IF(AND('Get Started  3'!$H112&lt;='Get Started  3'!$E27,'Get Started  3'!$G112&lt;&gt;0),IF(AND(U4&lt;'Get Started  3'!$H112,'Get Started  3'!$H112&lt;='Get Started  3'!$E27),0,OFFSET(U37,0,-1*'Get Started  3'!$H112)*'Get Started  3'!$H42),0)+IF(AND('Get Started  3'!$H111&lt;='Get Started  3'!$E27,'Get Started  3'!$G111&lt;&gt;0),IF(U4&lt;'Get Started  3'!$H111,0,OFFSET(U37,0,-1*'Get Started  3'!$H111)*'Get Started  3'!$G42),0)+IF(AND('Get Started  3'!$H110&lt;='Get Started  3'!$E27,'Get Started  3'!$G110&lt;&gt;0),IF(U4&lt;'Get Started  3'!$H110,0,OFFSET(U37,0,-1*'Get Started  3'!$H110)*'Get Started  3'!$F42),0)+IF(AND('Get Started  3'!$H109&lt;='Get Started  3'!$E27,'Get Started  3'!$G109&lt;&gt;0),IF(U4&lt;'Get Started  3'!$H109,0,OFFSET(U37,0,-1*'Get Started  3'!$H109)*'Get Started  3'!$E42*'Get Started  3'!$G109),0)</f>
        <v>200520.83333333334</v>
      </c>
      <c r="V206" s="29">
        <f ca="1">IF(AND('Get Started  3'!$H112&lt;='Get Started  3'!$E27,'Get Started  3'!$G112&lt;&gt;0),IF(AND(V4&lt;'Get Started  3'!$H112,'Get Started  3'!$H112&lt;='Get Started  3'!$E27),0,OFFSET(V37,0,-1*'Get Started  3'!$H112)*'Get Started  3'!$H42),0)+IF(AND('Get Started  3'!$H111&lt;='Get Started  3'!$E27,'Get Started  3'!$G111&lt;&gt;0),IF(V4&lt;'Get Started  3'!$H111,0,OFFSET(V37,0,-1*'Get Started  3'!$H111)*'Get Started  3'!$G42),0)+IF(AND('Get Started  3'!$H110&lt;='Get Started  3'!$E27,'Get Started  3'!$G110&lt;&gt;0),IF(V4&lt;'Get Started  3'!$H110,0,OFFSET(V37,0,-1*'Get Started  3'!$H110)*'Get Started  3'!$F42),0)+IF(AND('Get Started  3'!$H109&lt;='Get Started  3'!$E27,'Get Started  3'!$G109&lt;&gt;0),IF(V4&lt;'Get Started  3'!$H109,0,OFFSET(V37,0,-1*'Get Started  3'!$H109)*'Get Started  3'!$E42*'Get Started  3'!$G109),0)</f>
        <v>200520.83333333334</v>
      </c>
      <c r="W206" s="29">
        <f ca="1">IF(AND('Get Started  3'!$H112&lt;='Get Started  3'!$E27,'Get Started  3'!$G112&lt;&gt;0),IF(AND(W4&lt;'Get Started  3'!$H112,'Get Started  3'!$H112&lt;='Get Started  3'!$E27),0,OFFSET(W37,0,-1*'Get Started  3'!$H112)*'Get Started  3'!$H42),0)+IF(AND('Get Started  3'!$H111&lt;='Get Started  3'!$E27,'Get Started  3'!$G111&lt;&gt;0),IF(W4&lt;'Get Started  3'!$H111,0,OFFSET(W37,0,-1*'Get Started  3'!$H111)*'Get Started  3'!$G42),0)+IF(AND('Get Started  3'!$H110&lt;='Get Started  3'!$E27,'Get Started  3'!$G110&lt;&gt;0),IF(W4&lt;'Get Started  3'!$H110,0,OFFSET(W37,0,-1*'Get Started  3'!$H110)*'Get Started  3'!$F42),0)+IF(AND('Get Started  3'!$H109&lt;='Get Started  3'!$E27,'Get Started  3'!$G109&lt;&gt;0),IF(W4&lt;'Get Started  3'!$H109,0,OFFSET(W37,0,-1*'Get Started  3'!$H109)*'Get Started  3'!$E42*'Get Started  3'!$G109),0)</f>
        <v>280729.16666666669</v>
      </c>
      <c r="X206" s="29">
        <f ca="1">IF(AND('Get Started  3'!$H112&lt;='Get Started  3'!$E27,'Get Started  3'!$G112&lt;&gt;0),IF(AND(X4&lt;'Get Started  3'!$H112,'Get Started  3'!$H112&lt;='Get Started  3'!$E27),0,OFFSET(X37,0,-1*'Get Started  3'!$H112)*'Get Started  3'!$H42),0)+IF(AND('Get Started  3'!$H111&lt;='Get Started  3'!$E27,'Get Started  3'!$G111&lt;&gt;0),IF(X4&lt;'Get Started  3'!$H111,0,OFFSET(X37,0,-1*'Get Started  3'!$H111)*'Get Started  3'!$G42),0)+IF(AND('Get Started  3'!$H110&lt;='Get Started  3'!$E27,'Get Started  3'!$G110&lt;&gt;0),IF(X4&lt;'Get Started  3'!$H110,0,OFFSET(X37,0,-1*'Get Started  3'!$H110)*'Get Started  3'!$F42),0)+IF(AND('Get Started  3'!$H109&lt;='Get Started  3'!$E27,'Get Started  3'!$G109&lt;&gt;0),IF(X4&lt;'Get Started  3'!$H109,0,OFFSET(X37,0,-1*'Get Started  3'!$H109)*'Get Started  3'!$E42*'Get Started  3'!$G109),0)</f>
        <v>280729.16666666669</v>
      </c>
      <c r="Y206" s="29">
        <f ca="1">IF(AND('Get Started  3'!$H112&lt;='Get Started  3'!$E27,'Get Started  3'!$G112&lt;&gt;0),IF(AND(Y4&lt;'Get Started  3'!$H112,'Get Started  3'!$H112&lt;='Get Started  3'!$E27),0,OFFSET(Y37,0,-1*'Get Started  3'!$H112)*'Get Started  3'!$H42),0)+IF(AND('Get Started  3'!$H111&lt;='Get Started  3'!$E27,'Get Started  3'!$G111&lt;&gt;0),IF(Y4&lt;'Get Started  3'!$H111,0,OFFSET(Y37,0,-1*'Get Started  3'!$H111)*'Get Started  3'!$G42),0)+IF(AND('Get Started  3'!$H110&lt;='Get Started  3'!$E27,'Get Started  3'!$G110&lt;&gt;0),IF(Y4&lt;'Get Started  3'!$H110,0,OFFSET(Y37,0,-1*'Get Started  3'!$H110)*'Get Started  3'!$F42),0)+IF(AND('Get Started  3'!$H109&lt;='Get Started  3'!$E27,'Get Started  3'!$G109&lt;&gt;0),IF(Y4&lt;'Get Started  3'!$H109,0,OFFSET(Y37,0,-1*'Get Started  3'!$H109)*'Get Started  3'!$E42*'Get Started  3'!$G109),0)</f>
        <v>280729.16666666669</v>
      </c>
      <c r="Z206" s="29">
        <f ca="1">IF(AND('Get Started  3'!$H112&lt;='Get Started  3'!$E27,'Get Started  3'!$G112&lt;&gt;0),IF(AND(Z4&lt;'Get Started  3'!$H112,'Get Started  3'!$H112&lt;='Get Started  3'!$E27),0,OFFSET(Z37,0,-1*'Get Started  3'!$H112)*'Get Started  3'!$H42),0)+IF(AND('Get Started  3'!$H111&lt;='Get Started  3'!$E27,'Get Started  3'!$G111&lt;&gt;0),IF(Z4&lt;'Get Started  3'!$H111,0,OFFSET(Z37,0,-1*'Get Started  3'!$H111)*'Get Started  3'!$G42),0)+IF(AND('Get Started  3'!$H110&lt;='Get Started  3'!$E27,'Get Started  3'!$G110&lt;&gt;0),IF(Z4&lt;'Get Started  3'!$H110,0,OFFSET(Z37,0,-1*'Get Started  3'!$H110)*'Get Started  3'!$F42),0)+IF(AND('Get Started  3'!$H109&lt;='Get Started  3'!$E27,'Get Started  3'!$G109&lt;&gt;0),IF(Z4&lt;'Get Started  3'!$H109,0,OFFSET(Z37,0,-1*'Get Started  3'!$H109)*'Get Started  3'!$E42*'Get Started  3'!$G109),0)</f>
        <v>280729.16666666669</v>
      </c>
      <c r="AA206" s="29">
        <f ca="1">IF(AND('Get Started  3'!$H112&lt;='Get Started  3'!$E27,'Get Started  3'!$G112&lt;&gt;0),IF(AND(AA4&lt;'Get Started  3'!$H112,'Get Started  3'!$H112&lt;='Get Started  3'!$E27),0,OFFSET(AA37,0,-1*'Get Started  3'!$H112)*'Get Started  3'!$H42),0)+IF(AND('Get Started  3'!$H111&lt;='Get Started  3'!$E27,'Get Started  3'!$G111&lt;&gt;0),IF(AA4&lt;'Get Started  3'!$H111,0,OFFSET(AA37,0,-1*'Get Started  3'!$H111)*'Get Started  3'!$G42),0)+IF(AND('Get Started  3'!$H110&lt;='Get Started  3'!$E27,'Get Started  3'!$G110&lt;&gt;0),IF(AA4&lt;'Get Started  3'!$H110,0,OFFSET(AA37,0,-1*'Get Started  3'!$H110)*'Get Started  3'!$F42),0)+IF(AND('Get Started  3'!$H109&lt;='Get Started  3'!$E27,'Get Started  3'!$G109&lt;&gt;0),IF(AA4&lt;'Get Started  3'!$H109,0,OFFSET(AA37,0,-1*'Get Started  3'!$H109)*'Get Started  3'!$E42*'Get Started  3'!$G109),0)</f>
        <v>280729.16666666669</v>
      </c>
      <c r="AB206" s="29">
        <f ca="1">IF(AND('Get Started  3'!$H112&lt;='Get Started  3'!$E27,'Get Started  3'!$G112&lt;&gt;0),IF(AND(AB4&lt;'Get Started  3'!$H112,'Get Started  3'!$H112&lt;='Get Started  3'!$E27),0,OFFSET(AB37,0,-1*'Get Started  3'!$H112)*'Get Started  3'!$H42),0)+IF(AND('Get Started  3'!$H111&lt;='Get Started  3'!$E27,'Get Started  3'!$G111&lt;&gt;0),IF(AB4&lt;'Get Started  3'!$H111,0,OFFSET(AB37,0,-1*'Get Started  3'!$H111)*'Get Started  3'!$G42),0)+IF(AND('Get Started  3'!$H110&lt;='Get Started  3'!$E27,'Get Started  3'!$G110&lt;&gt;0),IF(AB4&lt;'Get Started  3'!$H110,0,OFFSET(AB37,0,-1*'Get Started  3'!$H110)*'Get Started  3'!$F42),0)+IF(AND('Get Started  3'!$H109&lt;='Get Started  3'!$E27,'Get Started  3'!$G109&lt;&gt;0),IF(AB4&lt;'Get Started  3'!$H109,0,OFFSET(AB37,0,-1*'Get Started  3'!$H109)*'Get Started  3'!$E42*'Get Started  3'!$G109),0)</f>
        <v>280729.16666666669</v>
      </c>
      <c r="AC206" s="29">
        <f ca="1">IF(AND('Get Started  3'!$H112&lt;='Get Started  3'!$E27,'Get Started  3'!$G112&lt;&gt;0),IF(AND(AC4&lt;'Get Started  3'!$H112,'Get Started  3'!$H112&lt;='Get Started  3'!$E27),0,OFFSET(AC37,0,-1*'Get Started  3'!$H112)*'Get Started  3'!$H42),0)+IF(AND('Get Started  3'!$H111&lt;='Get Started  3'!$E27,'Get Started  3'!$G111&lt;&gt;0),IF(AC4&lt;'Get Started  3'!$H111,0,OFFSET(AC37,0,-1*'Get Started  3'!$H111)*'Get Started  3'!$G42),0)+IF(AND('Get Started  3'!$H110&lt;='Get Started  3'!$E27,'Get Started  3'!$G110&lt;&gt;0),IF(AC4&lt;'Get Started  3'!$H110,0,OFFSET(AC37,0,-1*'Get Started  3'!$H110)*'Get Started  3'!$F42),0)+IF(AND('Get Started  3'!$H109&lt;='Get Started  3'!$E27,'Get Started  3'!$G109&lt;&gt;0),IF(AC4&lt;'Get Started  3'!$H109,0,OFFSET(AC37,0,-1*'Get Started  3'!$H109)*'Get Started  3'!$E42*'Get Started  3'!$G109),0)</f>
        <v>280729.16666666669</v>
      </c>
      <c r="AD206" s="29">
        <f ca="1">IF(AND('Get Started  3'!$H112&lt;='Get Started  3'!$E27,'Get Started  3'!$G112&lt;&gt;0),IF(AND(AD4&lt;'Get Started  3'!$H112,'Get Started  3'!$H112&lt;='Get Started  3'!$E27),0,OFFSET(AD37,0,-1*'Get Started  3'!$H112)*'Get Started  3'!$H42),0)+IF(AND('Get Started  3'!$H111&lt;='Get Started  3'!$E27,'Get Started  3'!$G111&lt;&gt;0),IF(AD4&lt;'Get Started  3'!$H111,0,OFFSET(AD37,0,-1*'Get Started  3'!$H111)*'Get Started  3'!$G42),0)+IF(AND('Get Started  3'!$H110&lt;='Get Started  3'!$E27,'Get Started  3'!$G110&lt;&gt;0),IF(AD4&lt;'Get Started  3'!$H110,0,OFFSET(AD37,0,-1*'Get Started  3'!$H110)*'Get Started  3'!$F42),0)+IF(AND('Get Started  3'!$H109&lt;='Get Started  3'!$E27,'Get Started  3'!$G109&lt;&gt;0),IF(AD4&lt;'Get Started  3'!$H109,0,OFFSET(AD37,0,-1*'Get Started  3'!$H109)*'Get Started  3'!$E42*'Get Started  3'!$G109),0)</f>
        <v>280729.16666666669</v>
      </c>
      <c r="AE206" s="29">
        <f ca="1">IF(AND('Get Started  3'!$H112&lt;='Get Started  3'!$E27,'Get Started  3'!$G112&lt;&gt;0),IF(AND(AE4&lt;'Get Started  3'!$H112,'Get Started  3'!$H112&lt;='Get Started  3'!$E27),0,OFFSET(AE37,0,-1*'Get Started  3'!$H112)*'Get Started  3'!$H42),0)+IF(AND('Get Started  3'!$H111&lt;='Get Started  3'!$E27,'Get Started  3'!$G111&lt;&gt;0),IF(AE4&lt;'Get Started  3'!$H111,0,OFFSET(AE37,0,-1*'Get Started  3'!$H111)*'Get Started  3'!$G42),0)+IF(AND('Get Started  3'!$H110&lt;='Get Started  3'!$E27,'Get Started  3'!$G110&lt;&gt;0),IF(AE4&lt;'Get Started  3'!$H110,0,OFFSET(AE37,0,-1*'Get Started  3'!$H110)*'Get Started  3'!$F42),0)+IF(AND('Get Started  3'!$H109&lt;='Get Started  3'!$E27,'Get Started  3'!$G109&lt;&gt;0),IF(AE4&lt;'Get Started  3'!$H109,0,OFFSET(AE37,0,-1*'Get Started  3'!$H109)*'Get Started  3'!$E42*'Get Started  3'!$G109),0)</f>
        <v>554774.3055555555</v>
      </c>
      <c r="AF206" s="29">
        <f ca="1">IF(AND('Get Started  3'!$H112&lt;='Get Started  3'!$E27,'Get Started  3'!$G112&lt;&gt;0),IF(AND(AF4&lt;'Get Started  3'!$H112,'Get Started  3'!$H112&lt;='Get Started  3'!$E27),0,OFFSET(AF37,0,-1*'Get Started  3'!$H112)*'Get Started  3'!$H42),0)+IF(AND('Get Started  3'!$H111&lt;='Get Started  3'!$E27,'Get Started  3'!$G111&lt;&gt;0),IF(AF4&lt;'Get Started  3'!$H111,0,OFFSET(AF37,0,-1*'Get Started  3'!$H111)*'Get Started  3'!$G42),0)+IF(AND('Get Started  3'!$H110&lt;='Get Started  3'!$E27,'Get Started  3'!$G110&lt;&gt;0),IF(AF4&lt;'Get Started  3'!$H110,0,OFFSET(AF37,0,-1*'Get Started  3'!$H110)*'Get Started  3'!$F42),0)+IF(AND('Get Started  3'!$H109&lt;='Get Started  3'!$E27,'Get Started  3'!$G109&lt;&gt;0),IF(AF4&lt;'Get Started  3'!$H109,0,OFFSET(AF37,0,-1*'Get Started  3'!$H109)*'Get Started  3'!$E42*'Get Started  3'!$G109),0)</f>
        <v>554774.3055555555</v>
      </c>
      <c r="AG206" s="29">
        <f ca="1">IF(AND('Get Started  3'!$H112&lt;='Get Started  3'!$E27,'Get Started  3'!$G112&lt;&gt;0),IF(AND(AG4&lt;'Get Started  3'!$H112,'Get Started  3'!$H112&lt;='Get Started  3'!$E27),0,OFFSET(AG37,0,-1*'Get Started  3'!$H112)*'Get Started  3'!$H42),0)+IF(AND('Get Started  3'!$H111&lt;='Get Started  3'!$E27,'Get Started  3'!$G111&lt;&gt;0),IF(AG4&lt;'Get Started  3'!$H111,0,OFFSET(AG37,0,-1*'Get Started  3'!$H111)*'Get Started  3'!$G42),0)+IF(AND('Get Started  3'!$H110&lt;='Get Started  3'!$E27,'Get Started  3'!$G110&lt;&gt;0),IF(AG4&lt;'Get Started  3'!$H110,0,OFFSET(AG37,0,-1*'Get Started  3'!$H110)*'Get Started  3'!$F42),0)+IF(AND('Get Started  3'!$H109&lt;='Get Started  3'!$E27,'Get Started  3'!$G109&lt;&gt;0),IF(AG4&lt;'Get Started  3'!$H109,0,OFFSET(AG37,0,-1*'Get Started  3'!$H109)*'Get Started  3'!$E42*'Get Started  3'!$G109),0)</f>
        <v>554774.3055555555</v>
      </c>
      <c r="AH206" s="29">
        <f ca="1">IF(AND('Get Started  3'!$H112&lt;='Get Started  3'!$E27,'Get Started  3'!$G112&lt;&gt;0),IF(AND(AH4&lt;'Get Started  3'!$H112,'Get Started  3'!$H112&lt;='Get Started  3'!$E27),0,OFFSET(AH37,0,-1*'Get Started  3'!$H112)*'Get Started  3'!$H42),0)+IF(AND('Get Started  3'!$H111&lt;='Get Started  3'!$E27,'Get Started  3'!$G111&lt;&gt;0),IF(AH4&lt;'Get Started  3'!$H111,0,OFFSET(AH37,0,-1*'Get Started  3'!$H111)*'Get Started  3'!$G42),0)+IF(AND('Get Started  3'!$H110&lt;='Get Started  3'!$E27,'Get Started  3'!$G110&lt;&gt;0),IF(AH4&lt;'Get Started  3'!$H110,0,OFFSET(AH37,0,-1*'Get Started  3'!$H110)*'Get Started  3'!$F42),0)+IF(AND('Get Started  3'!$H109&lt;='Get Started  3'!$E27,'Get Started  3'!$G109&lt;&gt;0),IF(AH4&lt;'Get Started  3'!$H109,0,OFFSET(AH37,0,-1*'Get Started  3'!$H109)*'Get Started  3'!$E42*'Get Started  3'!$G109),0)</f>
        <v>554774.3055555555</v>
      </c>
      <c r="AI206" s="29">
        <f ca="1">IF(AND('Get Started  3'!$H112&lt;='Get Started  3'!$E27,'Get Started  3'!$G112&lt;&gt;0),IF(AND(AI4&lt;'Get Started  3'!$H112,'Get Started  3'!$H112&lt;='Get Started  3'!$E27),0,OFFSET(AI37,0,-1*'Get Started  3'!$H112)*'Get Started  3'!$H42),0)+IF(AND('Get Started  3'!$H111&lt;='Get Started  3'!$E27,'Get Started  3'!$G111&lt;&gt;0),IF(AI4&lt;'Get Started  3'!$H111,0,OFFSET(AI37,0,-1*'Get Started  3'!$H111)*'Get Started  3'!$G42),0)+IF(AND('Get Started  3'!$H110&lt;='Get Started  3'!$E27,'Get Started  3'!$G110&lt;&gt;0),IF(AI4&lt;'Get Started  3'!$H110,0,OFFSET(AI37,0,-1*'Get Started  3'!$H110)*'Get Started  3'!$F42),0)+IF(AND('Get Started  3'!$H109&lt;='Get Started  3'!$E27,'Get Started  3'!$G109&lt;&gt;0),IF(AI4&lt;'Get Started  3'!$H109,0,OFFSET(AI37,0,-1*'Get Started  3'!$H109)*'Get Started  3'!$E42*'Get Started  3'!$G109),0)</f>
        <v>334201.38888888888</v>
      </c>
      <c r="AJ206" s="29">
        <f ca="1">IF(AND('Get Started  3'!$H112&lt;='Get Started  3'!$E27,'Get Started  3'!$G112&lt;&gt;0),IF(AND(AJ4&lt;'Get Started  3'!$H112,'Get Started  3'!$H112&lt;='Get Started  3'!$E27),0,OFFSET(AJ37,0,-1*'Get Started  3'!$H112)*'Get Started  3'!$H42),0)+IF(AND('Get Started  3'!$H111&lt;='Get Started  3'!$E27,'Get Started  3'!$G111&lt;&gt;0),IF(AJ4&lt;'Get Started  3'!$H111,0,OFFSET(AJ37,0,-1*'Get Started  3'!$H111)*'Get Started  3'!$G42),0)+IF(AND('Get Started  3'!$H110&lt;='Get Started  3'!$E27,'Get Started  3'!$G110&lt;&gt;0),IF(AJ4&lt;'Get Started  3'!$H110,0,OFFSET(AJ37,0,-1*'Get Started  3'!$H110)*'Get Started  3'!$F42),0)+IF(AND('Get Started  3'!$H109&lt;='Get Started  3'!$E27,'Get Started  3'!$G109&lt;&gt;0),IF(AJ4&lt;'Get Started  3'!$H109,0,OFFSET(AJ37,0,-1*'Get Started  3'!$H109)*'Get Started  3'!$E42*'Get Started  3'!$G109),0)</f>
        <v>334201.38888888888</v>
      </c>
      <c r="AK206" s="29">
        <f ca="1">IF(AND('Get Started  3'!$H112&lt;='Get Started  3'!$E27,'Get Started  3'!$G112&lt;&gt;0),IF(AND(AK4&lt;'Get Started  3'!$H112,'Get Started  3'!$H112&lt;='Get Started  3'!$E27),0,OFFSET(AK37,0,-1*'Get Started  3'!$H112)*'Get Started  3'!$H42),0)+IF(AND('Get Started  3'!$H111&lt;='Get Started  3'!$E27,'Get Started  3'!$G111&lt;&gt;0),IF(AK4&lt;'Get Started  3'!$H111,0,OFFSET(AK37,0,-1*'Get Started  3'!$H111)*'Get Started  3'!$G42),0)+IF(AND('Get Started  3'!$H110&lt;='Get Started  3'!$E27,'Get Started  3'!$G110&lt;&gt;0),IF(AK4&lt;'Get Started  3'!$H110,0,OFFSET(AK37,0,-1*'Get Started  3'!$H110)*'Get Started  3'!$F42),0)+IF(AND('Get Started  3'!$H109&lt;='Get Started  3'!$E27,'Get Started  3'!$G109&lt;&gt;0),IF(AK4&lt;'Get Started  3'!$H109,0,OFFSET(AK37,0,-1*'Get Started  3'!$H109)*'Get Started  3'!$E42*'Get Started  3'!$G109),0)</f>
        <v>334201.38888888888</v>
      </c>
      <c r="AL206" s="29">
        <f ca="1">IF(AND('Get Started  3'!$H112&lt;='Get Started  3'!$E27,'Get Started  3'!$G112&lt;&gt;0),IF(AND(AL4&lt;'Get Started  3'!$H112,'Get Started  3'!$H112&lt;='Get Started  3'!$E27),0,OFFSET(AL37,0,-1*'Get Started  3'!$H112)*'Get Started  3'!$H42),0)+IF(AND('Get Started  3'!$H111&lt;='Get Started  3'!$E27,'Get Started  3'!$G111&lt;&gt;0),IF(AL4&lt;'Get Started  3'!$H111,0,OFFSET(AL37,0,-1*'Get Started  3'!$H111)*'Get Started  3'!$G42),0)+IF(AND('Get Started  3'!$H110&lt;='Get Started  3'!$E27,'Get Started  3'!$G110&lt;&gt;0),IF(AL4&lt;'Get Started  3'!$H110,0,OFFSET(AL37,0,-1*'Get Started  3'!$H110)*'Get Started  3'!$F42),0)+IF(AND('Get Started  3'!$H109&lt;='Get Started  3'!$E27,'Get Started  3'!$G109&lt;&gt;0),IF(AL4&lt;'Get Started  3'!$H109,0,OFFSET(AL37,0,-1*'Get Started  3'!$H109)*'Get Started  3'!$E42*'Get Started  3'!$G109),0)</f>
        <v>334201.38888888888</v>
      </c>
      <c r="AM206" s="29">
        <f ca="1">IF(AND('Get Started  3'!$H112&lt;='Get Started  3'!$E27,'Get Started  3'!$G112&lt;&gt;0),IF(AND(AM4&lt;'Get Started  3'!$H112,'Get Started  3'!$H112&lt;='Get Started  3'!$E27),0,OFFSET(AM37,0,-1*'Get Started  3'!$H112)*'Get Started  3'!$H42),0)+IF(AND('Get Started  3'!$H111&lt;='Get Started  3'!$E27,'Get Started  3'!$G111&lt;&gt;0),IF(AM4&lt;'Get Started  3'!$H111,0,OFFSET(AM37,0,-1*'Get Started  3'!$H111)*'Get Started  3'!$G42),0)+IF(AND('Get Started  3'!$H110&lt;='Get Started  3'!$E27,'Get Started  3'!$G110&lt;&gt;0),IF(AM4&lt;'Get Started  3'!$H110,0,OFFSET(AM37,0,-1*'Get Started  3'!$H110)*'Get Started  3'!$F42),0)+IF(AND('Get Started  3'!$H109&lt;='Get Started  3'!$E27,'Get Started  3'!$G109&lt;&gt;0),IF(AM4&lt;'Get Started  3'!$H109,0,OFFSET(AM37,0,-1*'Get Started  3'!$H109)*'Get Started  3'!$E42*'Get Started  3'!$G109),0)</f>
        <v>240624.99999999994</v>
      </c>
      <c r="AN206" s="29">
        <f ca="1">IF(AND('Get Started  3'!$H112&lt;='Get Started  3'!$E27,'Get Started  3'!$G112&lt;&gt;0),IF(AND(AN4&lt;'Get Started  3'!$H112,'Get Started  3'!$H112&lt;='Get Started  3'!$E27),0,OFFSET(AN37,0,-1*'Get Started  3'!$H112)*'Get Started  3'!$H42),0)+IF(AND('Get Started  3'!$H111&lt;='Get Started  3'!$E27,'Get Started  3'!$G111&lt;&gt;0),IF(AN4&lt;'Get Started  3'!$H111,0,OFFSET(AN37,0,-1*'Get Started  3'!$H111)*'Get Started  3'!$G42),0)+IF(AND('Get Started  3'!$H110&lt;='Get Started  3'!$E27,'Get Started  3'!$G110&lt;&gt;0),IF(AN4&lt;'Get Started  3'!$H110,0,OFFSET(AN37,0,-1*'Get Started  3'!$H110)*'Get Started  3'!$F42),0)+IF(AND('Get Started  3'!$H109&lt;='Get Started  3'!$E27,'Get Started  3'!$G109&lt;&gt;0),IF(AN4&lt;'Get Started  3'!$H109,0,OFFSET(AN37,0,-1*'Get Started  3'!$H109)*'Get Started  3'!$E42*'Get Started  3'!$G109),0)</f>
        <v>240624.99999999994</v>
      </c>
      <c r="AO206" s="29">
        <f ca="1">IF(AND('Get Started  3'!$H112&lt;='Get Started  3'!$E27,'Get Started  3'!$G112&lt;&gt;0),IF(AND(AO4&lt;'Get Started  3'!$H112,'Get Started  3'!$H112&lt;='Get Started  3'!$E27),0,OFFSET(AO37,0,-1*'Get Started  3'!$H112)*'Get Started  3'!$H42),0)+IF(AND('Get Started  3'!$H111&lt;='Get Started  3'!$E27,'Get Started  3'!$G111&lt;&gt;0),IF(AO4&lt;'Get Started  3'!$H111,0,OFFSET(AO37,0,-1*'Get Started  3'!$H111)*'Get Started  3'!$G42),0)+IF(AND('Get Started  3'!$H110&lt;='Get Started  3'!$E27,'Get Started  3'!$G110&lt;&gt;0),IF(AO4&lt;'Get Started  3'!$H110,0,OFFSET(AO37,0,-1*'Get Started  3'!$H110)*'Get Started  3'!$F42),0)+IF(AND('Get Started  3'!$H109&lt;='Get Started  3'!$E27,'Get Started  3'!$G109&lt;&gt;0),IF(AO4&lt;'Get Started  3'!$H109,0,OFFSET(AO37,0,-1*'Get Started  3'!$H109)*'Get Started  3'!$E42*'Get Started  3'!$G109),0)</f>
        <v>240624.99999999994</v>
      </c>
      <c r="AP206" s="29">
        <f ca="1">IF(AND('Get Started  3'!$H112&lt;='Get Started  3'!$E27,'Get Started  3'!$G112&lt;&gt;0),IF(AND(AP4&lt;'Get Started  3'!$H112,'Get Started  3'!$H112&lt;='Get Started  3'!$E27),0,OFFSET(AP37,0,-1*'Get Started  3'!$H112)*'Get Started  3'!$H42),0)+IF(AND('Get Started  3'!$H111&lt;='Get Started  3'!$E27,'Get Started  3'!$G111&lt;&gt;0),IF(AP4&lt;'Get Started  3'!$H111,0,OFFSET(AP37,0,-1*'Get Started  3'!$H111)*'Get Started  3'!$G42),0)+IF(AND('Get Started  3'!$H110&lt;='Get Started  3'!$E27,'Get Started  3'!$G110&lt;&gt;0),IF(AP4&lt;'Get Started  3'!$H110,0,OFFSET(AP37,0,-1*'Get Started  3'!$H110)*'Get Started  3'!$F42),0)+IF(AND('Get Started  3'!$H109&lt;='Get Started  3'!$E27,'Get Started  3'!$G109&lt;&gt;0),IF(AP4&lt;'Get Started  3'!$H109,0,OFFSET(AP37,0,-1*'Get Started  3'!$H109)*'Get Started  3'!$E42*'Get Started  3'!$G109),0)</f>
        <v>240624.99999999994</v>
      </c>
      <c r="AQ206" s="29">
        <f ca="1">IF(AND('Get Started  3'!$H112&lt;='Get Started  3'!$E27,'Get Started  3'!$G112&lt;&gt;0),IF(AND(AQ4&lt;'Get Started  3'!$H112,'Get Started  3'!$H112&lt;='Get Started  3'!$E27),0,OFFSET(AQ37,0,-1*'Get Started  3'!$H112)*'Get Started  3'!$H42),0)+IF(AND('Get Started  3'!$H111&lt;='Get Started  3'!$E27,'Get Started  3'!$G111&lt;&gt;0),IF(AQ4&lt;'Get Started  3'!$H111,0,OFFSET(AQ37,0,-1*'Get Started  3'!$H111)*'Get Started  3'!$G42),0)+IF(AND('Get Started  3'!$H110&lt;='Get Started  3'!$E27,'Get Started  3'!$G110&lt;&gt;0),IF(AQ4&lt;'Get Started  3'!$H110,0,OFFSET(AQ37,0,-1*'Get Started  3'!$H110)*'Get Started  3'!$F42),0)+IF(AND('Get Started  3'!$H109&lt;='Get Started  3'!$E27,'Get Started  3'!$G109&lt;&gt;0),IF(AQ4&lt;'Get Started  3'!$H109,0,OFFSET(AQ37,0,-1*'Get Started  3'!$H109)*'Get Started  3'!$E42*'Get Started  3'!$G109),0)</f>
        <v>280729.16666666657</v>
      </c>
      <c r="AR206" s="29">
        <f ca="1">IF(AND('Get Started  3'!$H112&lt;='Get Started  3'!$E27,'Get Started  3'!$G112&lt;&gt;0),IF(AND(AR4&lt;'Get Started  3'!$H112,'Get Started  3'!$H112&lt;='Get Started  3'!$E27),0,OFFSET(AR37,0,-1*'Get Started  3'!$H112)*'Get Started  3'!$H42),0)+IF(AND('Get Started  3'!$H111&lt;='Get Started  3'!$E27,'Get Started  3'!$G111&lt;&gt;0),IF(AR4&lt;'Get Started  3'!$H111,0,OFFSET(AR37,0,-1*'Get Started  3'!$H111)*'Get Started  3'!$G42),0)+IF(AND('Get Started  3'!$H110&lt;='Get Started  3'!$E27,'Get Started  3'!$G110&lt;&gt;0),IF(AR4&lt;'Get Started  3'!$H110,0,OFFSET(AR37,0,-1*'Get Started  3'!$H110)*'Get Started  3'!$F42),0)+IF(AND('Get Started  3'!$H109&lt;='Get Started  3'!$E27,'Get Started  3'!$G109&lt;&gt;0),IF(AR4&lt;'Get Started  3'!$H109,0,OFFSET(AR37,0,-1*'Get Started  3'!$H109)*'Get Started  3'!$E42*'Get Started  3'!$G109),0)</f>
        <v>280729.16666666657</v>
      </c>
      <c r="AS206" s="29">
        <f ca="1">IF(AND('Get Started  3'!$H112&lt;='Get Started  3'!$E27,'Get Started  3'!$G112&lt;&gt;0),IF(AND(AS4&lt;'Get Started  3'!$H112,'Get Started  3'!$H112&lt;='Get Started  3'!$E27),0,OFFSET(AS37,0,-1*'Get Started  3'!$H112)*'Get Started  3'!$H42),0)+IF(AND('Get Started  3'!$H111&lt;='Get Started  3'!$E27,'Get Started  3'!$G111&lt;&gt;0),IF(AS4&lt;'Get Started  3'!$H111,0,OFFSET(AS37,0,-1*'Get Started  3'!$H111)*'Get Started  3'!$G42),0)+IF(AND('Get Started  3'!$H110&lt;='Get Started  3'!$E27,'Get Started  3'!$G110&lt;&gt;0),IF(AS4&lt;'Get Started  3'!$H110,0,OFFSET(AS37,0,-1*'Get Started  3'!$H110)*'Get Started  3'!$F42),0)+IF(AND('Get Started  3'!$H109&lt;='Get Started  3'!$E27,'Get Started  3'!$G109&lt;&gt;0),IF(AS4&lt;'Get Started  3'!$H109,0,OFFSET(AS37,0,-1*'Get Started  3'!$H109)*'Get Started  3'!$E42*'Get Started  3'!$G109),0)</f>
        <v>280729.16666666657</v>
      </c>
      <c r="AT206" s="29">
        <f ca="1">IF(AND('Get Started  3'!$H112&lt;='Get Started  3'!$E27,'Get Started  3'!$G112&lt;&gt;0),IF(AND(AT4&lt;'Get Started  3'!$H112,'Get Started  3'!$H112&lt;='Get Started  3'!$E27),0,OFFSET(AT37,0,-1*'Get Started  3'!$H112)*'Get Started  3'!$H42),0)+IF(AND('Get Started  3'!$H111&lt;='Get Started  3'!$E27,'Get Started  3'!$G111&lt;&gt;0),IF(AT4&lt;'Get Started  3'!$H111,0,OFFSET(AT37,0,-1*'Get Started  3'!$H111)*'Get Started  3'!$G42),0)+IF(AND('Get Started  3'!$H110&lt;='Get Started  3'!$E27,'Get Started  3'!$G110&lt;&gt;0),IF(AT4&lt;'Get Started  3'!$H110,0,OFFSET(AT37,0,-1*'Get Started  3'!$H110)*'Get Started  3'!$F42),0)+IF(AND('Get Started  3'!$H109&lt;='Get Started  3'!$E27,'Get Started  3'!$G109&lt;&gt;0),IF(AT4&lt;'Get Started  3'!$H109,0,OFFSET(AT37,0,-1*'Get Started  3'!$H109)*'Get Started  3'!$E42*'Get Started  3'!$G109),0)</f>
        <v>280729.16666666657</v>
      </c>
      <c r="AU206" s="29">
        <f ca="1">IF(AND('Get Started  3'!$H112&lt;='Get Started  3'!$E27,'Get Started  3'!$G112&lt;&gt;0),IF(AND(AU4&lt;'Get Started  3'!$H112,'Get Started  3'!$H112&lt;='Get Started  3'!$E27),0,OFFSET(AU37,0,-1*'Get Started  3'!$H112)*'Get Started  3'!$H42),0)+IF(AND('Get Started  3'!$H111&lt;='Get Started  3'!$E27,'Get Started  3'!$G111&lt;&gt;0),IF(AU4&lt;'Get Started  3'!$H111,0,OFFSET(AU37,0,-1*'Get Started  3'!$H111)*'Get Started  3'!$G42),0)+IF(AND('Get Started  3'!$H110&lt;='Get Started  3'!$E27,'Get Started  3'!$G110&lt;&gt;0),IF(AU4&lt;'Get Started  3'!$H110,0,OFFSET(AU37,0,-1*'Get Started  3'!$H110)*'Get Started  3'!$F42),0)+IF(AND('Get Started  3'!$H109&lt;='Get Started  3'!$E27,'Get Started  3'!$G109&lt;&gt;0),IF(AU4&lt;'Get Started  3'!$H109,0,OFFSET(AU37,0,-1*'Get Started  3'!$H109)*'Get Started  3'!$E42*'Get Started  3'!$G109),0)</f>
        <v>0</v>
      </c>
      <c r="AV206" s="29">
        <f ca="1">IF(AND('Get Started  3'!$H112&lt;='Get Started  3'!$E27,'Get Started  3'!$G112&lt;&gt;0),IF(AND(AV4&lt;'Get Started  3'!$H112,'Get Started  3'!$H112&lt;='Get Started  3'!$E27),0,OFFSET(AV37,0,-1*'Get Started  3'!$H112)*'Get Started  3'!$H42),0)+IF(AND('Get Started  3'!$H111&lt;='Get Started  3'!$E27,'Get Started  3'!$G111&lt;&gt;0),IF(AV4&lt;'Get Started  3'!$H111,0,OFFSET(AV37,0,-1*'Get Started  3'!$H111)*'Get Started  3'!$G42),0)+IF(AND('Get Started  3'!$H110&lt;='Get Started  3'!$E27,'Get Started  3'!$G110&lt;&gt;0),IF(AV4&lt;'Get Started  3'!$H110,0,OFFSET(AV37,0,-1*'Get Started  3'!$H110)*'Get Started  3'!$F42),0)+IF(AND('Get Started  3'!$H109&lt;='Get Started  3'!$E27,'Get Started  3'!$G109&lt;&gt;0),IF(AV4&lt;'Get Started  3'!$H109,0,OFFSET(AV37,0,-1*'Get Started  3'!$H109)*'Get Started  3'!$E42*'Get Started  3'!$G109),0)</f>
        <v>0</v>
      </c>
      <c r="AW206" s="29">
        <f ca="1">IF(AND('Get Started  3'!$H112&lt;='Get Started  3'!$E27,'Get Started  3'!$G112&lt;&gt;0),IF(AND(AW4&lt;'Get Started  3'!$H112,'Get Started  3'!$H112&lt;='Get Started  3'!$E27),0,OFFSET(AW37,0,-1*'Get Started  3'!$H112)*'Get Started  3'!$H42),0)+IF(AND('Get Started  3'!$H111&lt;='Get Started  3'!$E27,'Get Started  3'!$G111&lt;&gt;0),IF(AW4&lt;'Get Started  3'!$H111,0,OFFSET(AW37,0,-1*'Get Started  3'!$H111)*'Get Started  3'!$G42),0)+IF(AND('Get Started  3'!$H110&lt;='Get Started  3'!$E27,'Get Started  3'!$G110&lt;&gt;0),IF(AW4&lt;'Get Started  3'!$H110,0,OFFSET(AW37,0,-1*'Get Started  3'!$H110)*'Get Started  3'!$F42),0)+IF(AND('Get Started  3'!$H109&lt;='Get Started  3'!$E27,'Get Started  3'!$G109&lt;&gt;0),IF(AW4&lt;'Get Started  3'!$H109,0,OFFSET(AW37,0,-1*'Get Started  3'!$H109)*'Get Started  3'!$E42*'Get Started  3'!$G109),0)</f>
        <v>0</v>
      </c>
      <c r="AX206" s="29">
        <f ca="1">IF(AND('Get Started  3'!$H112&lt;='Get Started  3'!$E27,'Get Started  3'!$G112&lt;&gt;0),IF(AND(AX4&lt;'Get Started  3'!$H112,'Get Started  3'!$H112&lt;='Get Started  3'!$E27),0,OFFSET(AX37,0,-1*'Get Started  3'!$H112)*'Get Started  3'!$H42),0)+IF(AND('Get Started  3'!$H111&lt;='Get Started  3'!$E27,'Get Started  3'!$G111&lt;&gt;0),IF(AX4&lt;'Get Started  3'!$H111,0,OFFSET(AX37,0,-1*'Get Started  3'!$H111)*'Get Started  3'!$G42),0)+IF(AND('Get Started  3'!$H110&lt;='Get Started  3'!$E27,'Get Started  3'!$G110&lt;&gt;0),IF(AX4&lt;'Get Started  3'!$H110,0,OFFSET(AX37,0,-1*'Get Started  3'!$H110)*'Get Started  3'!$F42),0)+IF(AND('Get Started  3'!$H109&lt;='Get Started  3'!$E27,'Get Started  3'!$G109&lt;&gt;0),IF(AX4&lt;'Get Started  3'!$H109,0,OFFSET(AX37,0,-1*'Get Started  3'!$H109)*'Get Started  3'!$E42*'Get Started  3'!$G109),0)</f>
        <v>0</v>
      </c>
      <c r="AY206" s="29">
        <f ca="1">IF(AND('Get Started  3'!$H112&lt;='Get Started  3'!$E27,'Get Started  3'!$G112&lt;&gt;0),IF(AND(AY4&lt;'Get Started  3'!$H112,'Get Started  3'!$H112&lt;='Get Started  3'!$E27),0,OFFSET(AY37,0,-1*'Get Started  3'!$H112)*'Get Started  3'!$H42),0)+IF(AND('Get Started  3'!$H111&lt;='Get Started  3'!$E27,'Get Started  3'!$G111&lt;&gt;0),IF(AY4&lt;'Get Started  3'!$H111,0,OFFSET(AY37,0,-1*'Get Started  3'!$H111)*'Get Started  3'!$G42),0)+IF(AND('Get Started  3'!$H110&lt;='Get Started  3'!$E27,'Get Started  3'!$G110&lt;&gt;0),IF(AY4&lt;'Get Started  3'!$H110,0,OFFSET(AY37,0,-1*'Get Started  3'!$H110)*'Get Started  3'!$F42),0)+IF(AND('Get Started  3'!$H109&lt;='Get Started  3'!$E27,'Get Started  3'!$G109&lt;&gt;0),IF(AY4&lt;'Get Started  3'!$H109,0,OFFSET(AY37,0,-1*'Get Started  3'!$H109)*'Get Started  3'!$E42*'Get Started  3'!$G109),0)</f>
        <v>0</v>
      </c>
      <c r="AZ206" s="29">
        <f ca="1">IF(AND('Get Started  3'!$H112&lt;='Get Started  3'!$E27,'Get Started  3'!$G112&lt;&gt;0),IF(AND(AZ4&lt;'Get Started  3'!$H112,'Get Started  3'!$H112&lt;='Get Started  3'!$E27),0,OFFSET(AZ37,0,-1*'Get Started  3'!$H112)*'Get Started  3'!$H42),0)+IF(AND('Get Started  3'!$H111&lt;='Get Started  3'!$E27,'Get Started  3'!$G111&lt;&gt;0),IF(AZ4&lt;'Get Started  3'!$H111,0,OFFSET(AZ37,0,-1*'Get Started  3'!$H111)*'Get Started  3'!$G42),0)+IF(AND('Get Started  3'!$H110&lt;='Get Started  3'!$E27,'Get Started  3'!$G110&lt;&gt;0),IF(AZ4&lt;'Get Started  3'!$H110,0,OFFSET(AZ37,0,-1*'Get Started  3'!$H110)*'Get Started  3'!$F42),0)+IF(AND('Get Started  3'!$H109&lt;='Get Started  3'!$E27,'Get Started  3'!$G109&lt;&gt;0),IF(AZ4&lt;'Get Started  3'!$H109,0,OFFSET(AZ37,0,-1*'Get Started  3'!$H109)*'Get Started  3'!$E42*'Get Started  3'!$G109),0)</f>
        <v>0</v>
      </c>
      <c r="BA206" s="29">
        <f ca="1">IF(AND('Get Started  3'!$H112&lt;='Get Started  3'!$E27,'Get Started  3'!$G112&lt;&gt;0),IF(AND(BA4&lt;'Get Started  3'!$H112,'Get Started  3'!$H112&lt;='Get Started  3'!$E27),0,OFFSET(BA37,0,-1*'Get Started  3'!$H112)*'Get Started  3'!$H42),0)+IF(AND('Get Started  3'!$H111&lt;='Get Started  3'!$E27,'Get Started  3'!$G111&lt;&gt;0),IF(BA4&lt;'Get Started  3'!$H111,0,OFFSET(BA37,0,-1*'Get Started  3'!$H111)*'Get Started  3'!$G42),0)+IF(AND('Get Started  3'!$H110&lt;='Get Started  3'!$E27,'Get Started  3'!$G110&lt;&gt;0),IF(BA4&lt;'Get Started  3'!$H110,0,OFFSET(BA37,0,-1*'Get Started  3'!$H110)*'Get Started  3'!$F42),0)+IF(AND('Get Started  3'!$H109&lt;='Get Started  3'!$E27,'Get Started  3'!$G109&lt;&gt;0),IF(BA4&lt;'Get Started  3'!$H109,0,OFFSET(BA37,0,-1*'Get Started  3'!$H109)*'Get Started  3'!$E42*'Get Started  3'!$G109),0)</f>
        <v>0</v>
      </c>
      <c r="BB206" s="29">
        <f ca="1">IF(AND('Get Started  3'!$H112&lt;='Get Started  3'!$E27,'Get Started  3'!$G112&lt;&gt;0),IF(AND(BB4&lt;'Get Started  3'!$H112,'Get Started  3'!$H112&lt;='Get Started  3'!$E27),0,OFFSET(BB37,0,-1*'Get Started  3'!$H112)*'Get Started  3'!$H42),0)+IF(AND('Get Started  3'!$H111&lt;='Get Started  3'!$E27,'Get Started  3'!$G111&lt;&gt;0),IF(BB4&lt;'Get Started  3'!$H111,0,OFFSET(BB37,0,-1*'Get Started  3'!$H111)*'Get Started  3'!$G42),0)+IF(AND('Get Started  3'!$H110&lt;='Get Started  3'!$E27,'Get Started  3'!$G110&lt;&gt;0),IF(BB4&lt;'Get Started  3'!$H110,0,OFFSET(BB37,0,-1*'Get Started  3'!$H110)*'Get Started  3'!$F42),0)+IF(AND('Get Started  3'!$H109&lt;='Get Started  3'!$E27,'Get Started  3'!$G109&lt;&gt;0),IF(BB4&lt;'Get Started  3'!$H109,0,OFFSET(BB37,0,-1*'Get Started  3'!$H109)*'Get Started  3'!$E42*'Get Started  3'!$G109),0)</f>
        <v>0</v>
      </c>
      <c r="BC206" s="29">
        <f ca="1">IF(AND('Get Started  3'!$H112&lt;='Get Started  3'!$E27,'Get Started  3'!$G112&lt;&gt;0),IF(AND(BC4&lt;'Get Started  3'!$H112,'Get Started  3'!$H112&lt;='Get Started  3'!$E27),0,OFFSET(BC37,0,-1*'Get Started  3'!$H112)*'Get Started  3'!$H42),0)+IF(AND('Get Started  3'!$H111&lt;='Get Started  3'!$E27,'Get Started  3'!$G111&lt;&gt;0),IF(BC4&lt;'Get Started  3'!$H111,0,OFFSET(BC37,0,-1*'Get Started  3'!$H111)*'Get Started  3'!$G42),0)+IF(AND('Get Started  3'!$H110&lt;='Get Started  3'!$E27,'Get Started  3'!$G110&lt;&gt;0),IF(BC4&lt;'Get Started  3'!$H110,0,OFFSET(BC37,0,-1*'Get Started  3'!$H110)*'Get Started  3'!$F42),0)+IF(AND('Get Started  3'!$H109&lt;='Get Started  3'!$E27,'Get Started  3'!$G109&lt;&gt;0),IF(BC4&lt;'Get Started  3'!$H109,0,OFFSET(BC37,0,-1*'Get Started  3'!$H109)*'Get Started  3'!$E42*'Get Started  3'!$G109),0)</f>
        <v>0</v>
      </c>
      <c r="BD206" s="29">
        <f ca="1">IF(AND('Get Started  3'!$H112&lt;='Get Started  3'!$E27,'Get Started  3'!$G112&lt;&gt;0),IF(AND(BD4&lt;'Get Started  3'!$H112,'Get Started  3'!$H112&lt;='Get Started  3'!$E27),0,OFFSET(BD37,0,-1*'Get Started  3'!$H112)*'Get Started  3'!$H42),0)+IF(AND('Get Started  3'!$H111&lt;='Get Started  3'!$E27,'Get Started  3'!$G111&lt;&gt;0),IF(BD4&lt;'Get Started  3'!$H111,0,OFFSET(BD37,0,-1*'Get Started  3'!$H111)*'Get Started  3'!$G42),0)+IF(AND('Get Started  3'!$H110&lt;='Get Started  3'!$E27,'Get Started  3'!$G110&lt;&gt;0),IF(BD4&lt;'Get Started  3'!$H110,0,OFFSET(BD37,0,-1*'Get Started  3'!$H110)*'Get Started  3'!$F42),0)+IF(AND('Get Started  3'!$H109&lt;='Get Started  3'!$E27,'Get Started  3'!$G109&lt;&gt;0),IF(BD4&lt;'Get Started  3'!$H109,0,OFFSET(BD37,0,-1*'Get Started  3'!$H109)*'Get Started  3'!$E42*'Get Started  3'!$G109),0)</f>
        <v>0</v>
      </c>
      <c r="BE206" s="29">
        <f ca="1">IF(AND('Get Started  3'!$H112&lt;='Get Started  3'!$E27,'Get Started  3'!$G112&lt;&gt;0),IF(AND(BE4&lt;'Get Started  3'!$H112,'Get Started  3'!$H112&lt;='Get Started  3'!$E27),0,OFFSET(BE37,0,-1*'Get Started  3'!$H112)*'Get Started  3'!$H42),0)+IF(AND('Get Started  3'!$H111&lt;='Get Started  3'!$E27,'Get Started  3'!$G111&lt;&gt;0),IF(BE4&lt;'Get Started  3'!$H111,0,OFFSET(BE37,0,-1*'Get Started  3'!$H111)*'Get Started  3'!$G42),0)+IF(AND('Get Started  3'!$H110&lt;='Get Started  3'!$E27,'Get Started  3'!$G110&lt;&gt;0),IF(BE4&lt;'Get Started  3'!$H110,0,OFFSET(BE37,0,-1*'Get Started  3'!$H110)*'Get Started  3'!$F42),0)+IF(AND('Get Started  3'!$H109&lt;='Get Started  3'!$E27,'Get Started  3'!$G109&lt;&gt;0),IF(BE4&lt;'Get Started  3'!$H109,0,OFFSET(BE37,0,-1*'Get Started  3'!$H109)*'Get Started  3'!$E42*'Get Started  3'!$G109),0)</f>
        <v>0</v>
      </c>
      <c r="BF206" s="29">
        <f ca="1">IF(AND('Get Started  3'!$H112&lt;='Get Started  3'!$E27,'Get Started  3'!$G112&lt;&gt;0),IF(AND(BF4&lt;'Get Started  3'!$H112,'Get Started  3'!$H112&lt;='Get Started  3'!$E27),0,OFFSET(BF37,0,-1*'Get Started  3'!$H112)*'Get Started  3'!$H42),0)+IF(AND('Get Started  3'!$H111&lt;='Get Started  3'!$E27,'Get Started  3'!$G111&lt;&gt;0),IF(BF4&lt;'Get Started  3'!$H111,0,OFFSET(BF37,0,-1*'Get Started  3'!$H111)*'Get Started  3'!$G42),0)+IF(AND('Get Started  3'!$H110&lt;='Get Started  3'!$E27,'Get Started  3'!$G110&lt;&gt;0),IF(BF4&lt;'Get Started  3'!$H110,0,OFFSET(BF37,0,-1*'Get Started  3'!$H110)*'Get Started  3'!$F42),0)+IF(AND('Get Started  3'!$H109&lt;='Get Started  3'!$E27,'Get Started  3'!$G109&lt;&gt;0),IF(BF4&lt;'Get Started  3'!$H109,0,OFFSET(BF37,0,-1*'Get Started  3'!$H109)*'Get Started  3'!$E42*'Get Started  3'!$G109),0)</f>
        <v>0</v>
      </c>
      <c r="BG206" s="29">
        <f ca="1">IF(AND('Get Started  3'!$H112&lt;='Get Started  3'!$E27,'Get Started  3'!$G112&lt;&gt;0),IF(AND(BG4&lt;'Get Started  3'!$H112,'Get Started  3'!$H112&lt;='Get Started  3'!$E27),0,OFFSET(BG37,0,-1*'Get Started  3'!$H112)*'Get Started  3'!$H42),0)+IF(AND('Get Started  3'!$H111&lt;='Get Started  3'!$E27,'Get Started  3'!$G111&lt;&gt;0),IF(BG4&lt;'Get Started  3'!$H111,0,OFFSET(BG37,0,-1*'Get Started  3'!$H111)*'Get Started  3'!$G42),0)+IF(AND('Get Started  3'!$H110&lt;='Get Started  3'!$E27,'Get Started  3'!$G110&lt;&gt;0),IF(BG4&lt;'Get Started  3'!$H110,0,OFFSET(BG37,0,-1*'Get Started  3'!$H110)*'Get Started  3'!$F42),0)+IF(AND('Get Started  3'!$H109&lt;='Get Started  3'!$E27,'Get Started  3'!$G109&lt;&gt;0),IF(BG4&lt;'Get Started  3'!$H109,0,OFFSET(BG37,0,-1*'Get Started  3'!$H109)*'Get Started  3'!$E42*'Get Started  3'!$G109),0)</f>
        <v>0</v>
      </c>
      <c r="BH206" s="29">
        <f ca="1">IF(AND('Get Started  3'!$H112&lt;='Get Started  3'!$E27,'Get Started  3'!$G112&lt;&gt;0),IF(AND(BH4&lt;'Get Started  3'!$H112,'Get Started  3'!$H112&lt;='Get Started  3'!$E27),0,OFFSET(BH37,0,-1*'Get Started  3'!$H112)*'Get Started  3'!$H42),0)+IF(AND('Get Started  3'!$H111&lt;='Get Started  3'!$E27,'Get Started  3'!$G111&lt;&gt;0),IF(BH4&lt;'Get Started  3'!$H111,0,OFFSET(BH37,0,-1*'Get Started  3'!$H111)*'Get Started  3'!$G42),0)+IF(AND('Get Started  3'!$H110&lt;='Get Started  3'!$E27,'Get Started  3'!$G110&lt;&gt;0),IF(BH4&lt;'Get Started  3'!$H110,0,OFFSET(BH37,0,-1*'Get Started  3'!$H110)*'Get Started  3'!$F42),0)+IF(AND('Get Started  3'!$H109&lt;='Get Started  3'!$E27,'Get Started  3'!$G109&lt;&gt;0),IF(BH4&lt;'Get Started  3'!$H109,0,OFFSET(BH37,0,-1*'Get Started  3'!$H109)*'Get Started  3'!$E42*'Get Started  3'!$G109),0)</f>
        <v>0</v>
      </c>
      <c r="BI206" s="29">
        <f ca="1">IF(AND('Get Started  3'!$H112&lt;='Get Started  3'!$E27,'Get Started  3'!$G112&lt;&gt;0),IF(AND(BI4&lt;'Get Started  3'!$H112,'Get Started  3'!$H112&lt;='Get Started  3'!$E27),0,OFFSET(BI37,0,-1*'Get Started  3'!$H112)*'Get Started  3'!$H42),0)+IF(AND('Get Started  3'!$H111&lt;='Get Started  3'!$E27,'Get Started  3'!$G111&lt;&gt;0),IF(BI4&lt;'Get Started  3'!$H111,0,OFFSET(BI37,0,-1*'Get Started  3'!$H111)*'Get Started  3'!$G42),0)+IF(AND('Get Started  3'!$H110&lt;='Get Started  3'!$E27,'Get Started  3'!$G110&lt;&gt;0),IF(BI4&lt;'Get Started  3'!$H110,0,OFFSET(BI37,0,-1*'Get Started  3'!$H110)*'Get Started  3'!$F42),0)+IF(AND('Get Started  3'!$H109&lt;='Get Started  3'!$E27,'Get Started  3'!$G109&lt;&gt;0),IF(BI4&lt;'Get Started  3'!$H109,0,OFFSET(BI37,0,-1*'Get Started  3'!$H109)*'Get Started  3'!$E42*'Get Started  3'!$G109),0)</f>
        <v>0</v>
      </c>
      <c r="BJ206" s="29">
        <f ca="1">IF(AND('Get Started  3'!$H112&lt;='Get Started  3'!$E27,'Get Started  3'!$G112&lt;&gt;0),IF(AND(BJ4&lt;'Get Started  3'!$H112,'Get Started  3'!$H112&lt;='Get Started  3'!$E27),0,OFFSET(BJ37,0,-1*'Get Started  3'!$H112)*'Get Started  3'!$H42),0)+IF(AND('Get Started  3'!$H111&lt;='Get Started  3'!$E27,'Get Started  3'!$G111&lt;&gt;0),IF(BJ4&lt;'Get Started  3'!$H111,0,OFFSET(BJ37,0,-1*'Get Started  3'!$H111)*'Get Started  3'!$G42),0)+IF(AND('Get Started  3'!$H110&lt;='Get Started  3'!$E27,'Get Started  3'!$G110&lt;&gt;0),IF(BJ4&lt;'Get Started  3'!$H110,0,OFFSET(BJ37,0,-1*'Get Started  3'!$H110)*'Get Started  3'!$F42),0)+IF(AND('Get Started  3'!$H109&lt;='Get Started  3'!$E27,'Get Started  3'!$G109&lt;&gt;0),IF(BJ4&lt;'Get Started  3'!$H109,0,OFFSET(BJ37,0,-1*'Get Started  3'!$H109)*'Get Started  3'!$E42*'Get Started  3'!$G109),0)</f>
        <v>0</v>
      </c>
      <c r="BK206" s="29">
        <f ca="1">IF(AND('Get Started  3'!$H112&lt;='Get Started  3'!$E27,'Get Started  3'!$G112&lt;&gt;0),IF(AND(BK4&lt;'Get Started  3'!$H112,'Get Started  3'!$H112&lt;='Get Started  3'!$E27),0,OFFSET(BK37,0,-1*'Get Started  3'!$H112)*'Get Started  3'!$H42),0)+IF(AND('Get Started  3'!$H111&lt;='Get Started  3'!$E27,'Get Started  3'!$G111&lt;&gt;0),IF(BK4&lt;'Get Started  3'!$H111,0,OFFSET(BK37,0,-1*'Get Started  3'!$H111)*'Get Started  3'!$G42),0)+IF(AND('Get Started  3'!$H110&lt;='Get Started  3'!$E27,'Get Started  3'!$G110&lt;&gt;0),IF(BK4&lt;'Get Started  3'!$H110,0,OFFSET(BK37,0,-1*'Get Started  3'!$H110)*'Get Started  3'!$F42),0)+IF(AND('Get Started  3'!$H109&lt;='Get Started  3'!$E27,'Get Started  3'!$G109&lt;&gt;0),IF(BK4&lt;'Get Started  3'!$H109,0,OFFSET(BK37,0,-1*'Get Started  3'!$H109)*'Get Started  3'!$E42*'Get Started  3'!$G109),0)</f>
        <v>0</v>
      </c>
      <c r="BL206" s="29">
        <f ca="1">IF(AND('Get Started  3'!$H112&lt;='Get Started  3'!$E27,'Get Started  3'!$G112&lt;&gt;0),IF(AND(BL4&lt;'Get Started  3'!$H112,'Get Started  3'!$H112&lt;='Get Started  3'!$E27),0,OFFSET(BL37,0,-1*'Get Started  3'!$H112)*'Get Started  3'!$H42),0)+IF(AND('Get Started  3'!$H111&lt;='Get Started  3'!$E27,'Get Started  3'!$G111&lt;&gt;0),IF(BL4&lt;'Get Started  3'!$H111,0,OFFSET(BL37,0,-1*'Get Started  3'!$H111)*'Get Started  3'!$G42),0)+IF(AND('Get Started  3'!$H110&lt;='Get Started  3'!$E27,'Get Started  3'!$G110&lt;&gt;0),IF(BL4&lt;'Get Started  3'!$H110,0,OFFSET(BL37,0,-1*'Get Started  3'!$H110)*'Get Started  3'!$F42),0)+IF(AND('Get Started  3'!$H109&lt;='Get Started  3'!$E27,'Get Started  3'!$G109&lt;&gt;0),IF(BL4&lt;'Get Started  3'!$H109,0,OFFSET(BL37,0,-1*'Get Started  3'!$H109)*'Get Started  3'!$E42*'Get Started  3'!$G109),0)</f>
        <v>0</v>
      </c>
      <c r="BM206" s="29">
        <f ca="1">IF(AND('Get Started  3'!$H112&lt;='Get Started  3'!$E27,'Get Started  3'!$G112&lt;&gt;0),IF(AND(BM4&lt;'Get Started  3'!$H112,'Get Started  3'!$H112&lt;='Get Started  3'!$E27),0,OFFSET(BM37,0,-1*'Get Started  3'!$H112)*'Get Started  3'!$H42),0)+IF(AND('Get Started  3'!$H111&lt;='Get Started  3'!$E27,'Get Started  3'!$G111&lt;&gt;0),IF(BM4&lt;'Get Started  3'!$H111,0,OFFSET(BM37,0,-1*'Get Started  3'!$H111)*'Get Started  3'!$G42),0)+IF(AND('Get Started  3'!$H110&lt;='Get Started  3'!$E27,'Get Started  3'!$G110&lt;&gt;0),IF(BM4&lt;'Get Started  3'!$H110,0,OFFSET(BM37,0,-1*'Get Started  3'!$H110)*'Get Started  3'!$F42),0)+IF(AND('Get Started  3'!$H109&lt;='Get Started  3'!$E27,'Get Started  3'!$G109&lt;&gt;0),IF(BM4&lt;'Get Started  3'!$H109,0,OFFSET(BM37,0,-1*'Get Started  3'!$H109)*'Get Started  3'!$E42*'Get Started  3'!$G109),0)</f>
        <v>0</v>
      </c>
      <c r="BN206" s="29">
        <f ca="1">IF(AND('Get Started  3'!$H112&lt;='Get Started  3'!$E27,'Get Started  3'!$G112&lt;&gt;0),IF(AND(BN4&lt;'Get Started  3'!$H112,'Get Started  3'!$H112&lt;='Get Started  3'!$E27),0,OFFSET(BN37,0,-1*'Get Started  3'!$H112)*'Get Started  3'!$H42),0)+IF(AND('Get Started  3'!$H111&lt;='Get Started  3'!$E27,'Get Started  3'!$G111&lt;&gt;0),IF(BN4&lt;'Get Started  3'!$H111,0,OFFSET(BN37,0,-1*'Get Started  3'!$H111)*'Get Started  3'!$G42),0)+IF(AND('Get Started  3'!$H110&lt;='Get Started  3'!$E27,'Get Started  3'!$G110&lt;&gt;0),IF(BN4&lt;'Get Started  3'!$H110,0,OFFSET(BN37,0,-1*'Get Started  3'!$H110)*'Get Started  3'!$F42),0)+IF(AND('Get Started  3'!$H109&lt;='Get Started  3'!$E27,'Get Started  3'!$G109&lt;&gt;0),IF(BN4&lt;'Get Started  3'!$H109,0,OFFSET(BN37,0,-1*'Get Started  3'!$H109)*'Get Started  3'!$E42*'Get Started  3'!$G109),0)</f>
        <v>0</v>
      </c>
      <c r="BO206" s="29">
        <f ca="1">IF(AND('Get Started  3'!$H112&lt;='Get Started  3'!$E27,'Get Started  3'!$G112&lt;&gt;0),IF(AND(BO4&lt;'Get Started  3'!$H112,'Get Started  3'!$H112&lt;='Get Started  3'!$E27),0,OFFSET(BO37,0,-1*'Get Started  3'!$H112)*'Get Started  3'!$H42),0)+IF(AND('Get Started  3'!$H111&lt;='Get Started  3'!$E27,'Get Started  3'!$G111&lt;&gt;0),IF(BO4&lt;'Get Started  3'!$H111,0,OFFSET(BO37,0,-1*'Get Started  3'!$H111)*'Get Started  3'!$G42),0)+IF(AND('Get Started  3'!$H110&lt;='Get Started  3'!$E27,'Get Started  3'!$G110&lt;&gt;0),IF(BO4&lt;'Get Started  3'!$H110,0,OFFSET(BO37,0,-1*'Get Started  3'!$H110)*'Get Started  3'!$F42),0)+IF(AND('Get Started  3'!$H109&lt;='Get Started  3'!$E27,'Get Started  3'!$G109&lt;&gt;0),IF(BO4&lt;'Get Started  3'!$H109,0,OFFSET(BO37,0,-1*'Get Started  3'!$H109)*'Get Started  3'!$E42*'Get Started  3'!$G109),0)</f>
        <v>0</v>
      </c>
      <c r="BP206" s="29">
        <f ca="1">IF(AND('Get Started  3'!$H112&lt;='Get Started  3'!$E27,'Get Started  3'!$G112&lt;&gt;0),IF(AND(BP4&lt;'Get Started  3'!$H112,'Get Started  3'!$H112&lt;='Get Started  3'!$E27),0,OFFSET(BP37,0,-1*'Get Started  3'!$H112)*'Get Started  3'!$H42),0)+IF(AND('Get Started  3'!$H111&lt;='Get Started  3'!$E27,'Get Started  3'!$G111&lt;&gt;0),IF(BP4&lt;'Get Started  3'!$H111,0,OFFSET(BP37,0,-1*'Get Started  3'!$H111)*'Get Started  3'!$G42),0)+IF(AND('Get Started  3'!$H110&lt;='Get Started  3'!$E27,'Get Started  3'!$G110&lt;&gt;0),IF(BP4&lt;'Get Started  3'!$H110,0,OFFSET(BP37,0,-1*'Get Started  3'!$H110)*'Get Started  3'!$F42),0)+IF(AND('Get Started  3'!$H109&lt;='Get Started  3'!$E27,'Get Started  3'!$G109&lt;&gt;0),IF(BP4&lt;'Get Started  3'!$H109,0,OFFSET(BP37,0,-1*'Get Started  3'!$H109)*'Get Started  3'!$E42*'Get Started  3'!$G109),0)</f>
        <v>0</v>
      </c>
      <c r="BQ206" s="29">
        <f ca="1">IF(AND('Get Started  3'!$H112&lt;='Get Started  3'!$E27,'Get Started  3'!$G112&lt;&gt;0),IF(AND(BQ4&lt;'Get Started  3'!$H112,'Get Started  3'!$H112&lt;='Get Started  3'!$E27),0,OFFSET(BQ37,0,-1*'Get Started  3'!$H112)*'Get Started  3'!$H42),0)+IF(AND('Get Started  3'!$H111&lt;='Get Started  3'!$E27,'Get Started  3'!$G111&lt;&gt;0),IF(BQ4&lt;'Get Started  3'!$H111,0,OFFSET(BQ37,0,-1*'Get Started  3'!$H111)*'Get Started  3'!$G42),0)+IF(AND('Get Started  3'!$H110&lt;='Get Started  3'!$E27,'Get Started  3'!$G110&lt;&gt;0),IF(BQ4&lt;'Get Started  3'!$H110,0,OFFSET(BQ37,0,-1*'Get Started  3'!$H110)*'Get Started  3'!$F42),0)+IF(AND('Get Started  3'!$H109&lt;='Get Started  3'!$E27,'Get Started  3'!$G109&lt;&gt;0),IF(BQ4&lt;'Get Started  3'!$H109,0,OFFSET(BQ37,0,-1*'Get Started  3'!$H109)*'Get Started  3'!$E42*'Get Started  3'!$G109),0)</f>
        <v>0</v>
      </c>
      <c r="BR206" s="29">
        <f ca="1">IF(AND('Get Started  3'!$H112&lt;='Get Started  3'!$E27,'Get Started  3'!$G112&lt;&gt;0),IF(AND(BR4&lt;'Get Started  3'!$H112,'Get Started  3'!$H112&lt;='Get Started  3'!$E27),0,OFFSET(BR37,0,-1*'Get Started  3'!$H112)*'Get Started  3'!$H42),0)+IF(AND('Get Started  3'!$H111&lt;='Get Started  3'!$E27,'Get Started  3'!$G111&lt;&gt;0),IF(BR4&lt;'Get Started  3'!$H111,0,OFFSET(BR37,0,-1*'Get Started  3'!$H111)*'Get Started  3'!$G42),0)+IF(AND('Get Started  3'!$H110&lt;='Get Started  3'!$E27,'Get Started  3'!$G110&lt;&gt;0),IF(BR4&lt;'Get Started  3'!$H110,0,OFFSET(BR37,0,-1*'Get Started  3'!$H110)*'Get Started  3'!$F42),0)+IF(AND('Get Started  3'!$H109&lt;='Get Started  3'!$E27,'Get Started  3'!$G109&lt;&gt;0),IF(BR4&lt;'Get Started  3'!$H109,0,OFFSET(BR37,0,-1*'Get Started  3'!$H109)*'Get Started  3'!$E42*'Get Started  3'!$G109),0)</f>
        <v>0</v>
      </c>
      <c r="BS206" s="29">
        <f ca="1">IF(AND('Get Started  3'!$H112&lt;='Get Started  3'!$E27,'Get Started  3'!$G112&lt;&gt;0),IF(AND(BS4&lt;'Get Started  3'!$H112,'Get Started  3'!$H112&lt;='Get Started  3'!$E27),0,OFFSET(BS37,0,-1*'Get Started  3'!$H112)*'Get Started  3'!$H42),0)+IF(AND('Get Started  3'!$H111&lt;='Get Started  3'!$E27,'Get Started  3'!$G111&lt;&gt;0),IF(BS4&lt;'Get Started  3'!$H111,0,OFFSET(BS37,0,-1*'Get Started  3'!$H111)*'Get Started  3'!$G42),0)+IF(AND('Get Started  3'!$H110&lt;='Get Started  3'!$E27,'Get Started  3'!$G110&lt;&gt;0),IF(BS4&lt;'Get Started  3'!$H110,0,OFFSET(BS37,0,-1*'Get Started  3'!$H110)*'Get Started  3'!$F42),0)+IF(AND('Get Started  3'!$H109&lt;='Get Started  3'!$E27,'Get Started  3'!$G109&lt;&gt;0),IF(BS4&lt;'Get Started  3'!$H109,0,OFFSET(BS37,0,-1*'Get Started  3'!$H109)*'Get Started  3'!$E42*'Get Started  3'!$G109),0)</f>
        <v>0</v>
      </c>
      <c r="BT206" s="29">
        <f ca="1">IF(AND('Get Started  3'!$H112&lt;='Get Started  3'!$E27,'Get Started  3'!$G112&lt;&gt;0),IF(AND(BT4&lt;'Get Started  3'!$H112,'Get Started  3'!$H112&lt;='Get Started  3'!$E27),0,OFFSET(BT37,0,-1*'Get Started  3'!$H112)*'Get Started  3'!$H42),0)+IF(AND('Get Started  3'!$H111&lt;='Get Started  3'!$E27,'Get Started  3'!$G111&lt;&gt;0),IF(BT4&lt;'Get Started  3'!$H111,0,OFFSET(BT37,0,-1*'Get Started  3'!$H111)*'Get Started  3'!$G42),0)+IF(AND('Get Started  3'!$H110&lt;='Get Started  3'!$E27,'Get Started  3'!$G110&lt;&gt;0),IF(BT4&lt;'Get Started  3'!$H110,0,OFFSET(BT37,0,-1*'Get Started  3'!$H110)*'Get Started  3'!$F42),0)+IF(AND('Get Started  3'!$H109&lt;='Get Started  3'!$E27,'Get Started  3'!$G109&lt;&gt;0),IF(BT4&lt;'Get Started  3'!$H109,0,OFFSET(BT37,0,-1*'Get Started  3'!$H109)*'Get Started  3'!$E42*'Get Started  3'!$G109),0)</f>
        <v>0</v>
      </c>
      <c r="BU206" s="29">
        <f ca="1">IF(AND('Get Started  3'!$H112&lt;='Get Started  3'!$E27,'Get Started  3'!$G112&lt;&gt;0),IF(AND(BU4&lt;'Get Started  3'!$H112,'Get Started  3'!$H112&lt;='Get Started  3'!$E27),0,OFFSET(BU37,0,-1*'Get Started  3'!$H112)*'Get Started  3'!$H42),0)+IF(AND('Get Started  3'!$H111&lt;='Get Started  3'!$E27,'Get Started  3'!$G111&lt;&gt;0),IF(BU4&lt;'Get Started  3'!$H111,0,OFFSET(BU37,0,-1*'Get Started  3'!$H111)*'Get Started  3'!$G42),0)+IF(AND('Get Started  3'!$H110&lt;='Get Started  3'!$E27,'Get Started  3'!$G110&lt;&gt;0),IF(BU4&lt;'Get Started  3'!$H110,0,OFFSET(BU37,0,-1*'Get Started  3'!$H110)*'Get Started  3'!$F42),0)+IF(AND('Get Started  3'!$H109&lt;='Get Started  3'!$E27,'Get Started  3'!$G109&lt;&gt;0),IF(BU4&lt;'Get Started  3'!$H109,0,OFFSET(BU37,0,-1*'Get Started  3'!$H109)*'Get Started  3'!$E42*'Get Started  3'!$G109),0)</f>
        <v>0</v>
      </c>
      <c r="BV206" s="29">
        <f ca="1">IF(AND('Get Started  3'!$H112&lt;='Get Started  3'!$E27,'Get Started  3'!$G112&lt;&gt;0),IF(AND(BV4&lt;'Get Started  3'!$H112,'Get Started  3'!$H112&lt;='Get Started  3'!$E27),0,OFFSET(BV37,0,-1*'Get Started  3'!$H112)*'Get Started  3'!$H42),0)+IF(AND('Get Started  3'!$H111&lt;='Get Started  3'!$E27,'Get Started  3'!$G111&lt;&gt;0),IF(BV4&lt;'Get Started  3'!$H111,0,OFFSET(BV37,0,-1*'Get Started  3'!$H111)*'Get Started  3'!$G42),0)+IF(AND('Get Started  3'!$H110&lt;='Get Started  3'!$E27,'Get Started  3'!$G110&lt;&gt;0),IF(BV4&lt;'Get Started  3'!$H110,0,OFFSET(BV37,0,-1*'Get Started  3'!$H110)*'Get Started  3'!$F42),0)+IF(AND('Get Started  3'!$H109&lt;='Get Started  3'!$E27,'Get Started  3'!$G109&lt;&gt;0),IF(BV4&lt;'Get Started  3'!$H109,0,OFFSET(BV37,0,-1*'Get Started  3'!$H109)*'Get Started  3'!$E42*'Get Started  3'!$G109),0)</f>
        <v>0</v>
      </c>
      <c r="BW206" s="29">
        <f ca="1">IF(AND('Get Started  3'!$H112&lt;='Get Started  3'!$E27,'Get Started  3'!$G112&lt;&gt;0),IF(AND(BW4&lt;'Get Started  3'!$H112,'Get Started  3'!$H112&lt;='Get Started  3'!$E27),0,OFFSET(BW37,0,-1*'Get Started  3'!$H112)*'Get Started  3'!$H42),0)+IF(AND('Get Started  3'!$H111&lt;='Get Started  3'!$E27,'Get Started  3'!$G111&lt;&gt;0),IF(BW4&lt;'Get Started  3'!$H111,0,OFFSET(BW37,0,-1*'Get Started  3'!$H111)*'Get Started  3'!$G42),0)+IF(AND('Get Started  3'!$H110&lt;='Get Started  3'!$E27,'Get Started  3'!$G110&lt;&gt;0),IF(BW4&lt;'Get Started  3'!$H110,0,OFFSET(BW37,0,-1*'Get Started  3'!$H110)*'Get Started  3'!$F42),0)+IF(AND('Get Started  3'!$H109&lt;='Get Started  3'!$E27,'Get Started  3'!$G109&lt;&gt;0),IF(BW4&lt;'Get Started  3'!$H109,0,OFFSET(BW37,0,-1*'Get Started  3'!$H109)*'Get Started  3'!$E42*'Get Started  3'!$G109),0)</f>
        <v>0</v>
      </c>
      <c r="BX206" s="29">
        <f ca="1">IF(AND('Get Started  3'!$H112&lt;='Get Started  3'!$E27,'Get Started  3'!$G112&lt;&gt;0),IF(AND(BX4&lt;'Get Started  3'!$H112,'Get Started  3'!$H112&lt;='Get Started  3'!$E27),0,OFFSET(BX37,0,-1*'Get Started  3'!$H112)*'Get Started  3'!$H42),0)+IF(AND('Get Started  3'!$H111&lt;='Get Started  3'!$E27,'Get Started  3'!$G111&lt;&gt;0),IF(BX4&lt;'Get Started  3'!$H111,0,OFFSET(BX37,0,-1*'Get Started  3'!$H111)*'Get Started  3'!$G42),0)+IF(AND('Get Started  3'!$H110&lt;='Get Started  3'!$E27,'Get Started  3'!$G110&lt;&gt;0),IF(BX4&lt;'Get Started  3'!$H110,0,OFFSET(BX37,0,-1*'Get Started  3'!$H110)*'Get Started  3'!$F42),0)+IF(AND('Get Started  3'!$H109&lt;='Get Started  3'!$E27,'Get Started  3'!$G109&lt;&gt;0),IF(BX4&lt;'Get Started  3'!$H109,0,OFFSET(BX37,0,-1*'Get Started  3'!$H109)*'Get Started  3'!$E42*'Get Started  3'!$G109),0)</f>
        <v>0</v>
      </c>
      <c r="BY206" s="29">
        <f ca="1">IF(AND('Get Started  3'!$H112&lt;='Get Started  3'!$E27,'Get Started  3'!$G112&lt;&gt;0),IF(AND(BY4&lt;'Get Started  3'!$H112,'Get Started  3'!$H112&lt;='Get Started  3'!$E27),0,OFFSET(BY37,0,-1*'Get Started  3'!$H112)*'Get Started  3'!$H42),0)+IF(AND('Get Started  3'!$H111&lt;='Get Started  3'!$E27,'Get Started  3'!$G111&lt;&gt;0),IF(BY4&lt;'Get Started  3'!$H111,0,OFFSET(BY37,0,-1*'Get Started  3'!$H111)*'Get Started  3'!$G42),0)+IF(AND('Get Started  3'!$H110&lt;='Get Started  3'!$E27,'Get Started  3'!$G110&lt;&gt;0),IF(BY4&lt;'Get Started  3'!$H110,0,OFFSET(BY37,0,-1*'Get Started  3'!$H110)*'Get Started  3'!$F42),0)+IF(AND('Get Started  3'!$H109&lt;='Get Started  3'!$E27,'Get Started  3'!$G109&lt;&gt;0),IF(BY4&lt;'Get Started  3'!$H109,0,OFFSET(BY37,0,-1*'Get Started  3'!$H109)*'Get Started  3'!$E42*'Get Started  3'!$G109),0)</f>
        <v>0</v>
      </c>
      <c r="BZ206" s="29">
        <f ca="1">IF(AND('Get Started  3'!$H112&lt;='Get Started  3'!$E27,'Get Started  3'!$G112&lt;&gt;0),IF(AND(BZ4&lt;'Get Started  3'!$H112,'Get Started  3'!$H112&lt;='Get Started  3'!$E27),0,OFFSET(BZ37,0,-1*'Get Started  3'!$H112)*'Get Started  3'!$H42),0)+IF(AND('Get Started  3'!$H111&lt;='Get Started  3'!$E27,'Get Started  3'!$G111&lt;&gt;0),IF(BZ4&lt;'Get Started  3'!$H111,0,OFFSET(BZ37,0,-1*'Get Started  3'!$H111)*'Get Started  3'!$G42),0)+IF(AND('Get Started  3'!$H110&lt;='Get Started  3'!$E27,'Get Started  3'!$G110&lt;&gt;0),IF(BZ4&lt;'Get Started  3'!$H110,0,OFFSET(BZ37,0,-1*'Get Started  3'!$H110)*'Get Started  3'!$F42),0)+IF(AND('Get Started  3'!$H109&lt;='Get Started  3'!$E27,'Get Started  3'!$G109&lt;&gt;0),IF(BZ4&lt;'Get Started  3'!$H109,0,OFFSET(BZ37,0,-1*'Get Started  3'!$H109)*'Get Started  3'!$E42*'Get Started  3'!$G109),0)</f>
        <v>0</v>
      </c>
      <c r="CA206" s="29">
        <f ca="1">IF(AND('Get Started  3'!$H112&lt;='Get Started  3'!$E27,'Get Started  3'!$G112&lt;&gt;0),IF(AND(CA4&lt;'Get Started  3'!$H112,'Get Started  3'!$H112&lt;='Get Started  3'!$E27),0,OFFSET(CA37,0,-1*'Get Started  3'!$H112)*'Get Started  3'!$H42),0)+IF(AND('Get Started  3'!$H111&lt;='Get Started  3'!$E27,'Get Started  3'!$G111&lt;&gt;0),IF(CA4&lt;'Get Started  3'!$H111,0,OFFSET(CA37,0,-1*'Get Started  3'!$H111)*'Get Started  3'!$G42),0)+IF(AND('Get Started  3'!$H110&lt;='Get Started  3'!$E27,'Get Started  3'!$G110&lt;&gt;0),IF(CA4&lt;'Get Started  3'!$H110,0,OFFSET(CA37,0,-1*'Get Started  3'!$H110)*'Get Started  3'!$F42),0)+IF(AND('Get Started  3'!$H109&lt;='Get Started  3'!$E27,'Get Started  3'!$G109&lt;&gt;0),IF(CA4&lt;'Get Started  3'!$H109,0,OFFSET(CA37,0,-1*'Get Started  3'!$H109)*'Get Started  3'!$E42*'Get Started  3'!$G109),0)</f>
        <v>0</v>
      </c>
      <c r="CB206" s="29">
        <f ca="1">IF(AND('Get Started  3'!$H112&lt;='Get Started  3'!$E27,'Get Started  3'!$G112&lt;&gt;0),IF(AND(CB4&lt;'Get Started  3'!$H112,'Get Started  3'!$H112&lt;='Get Started  3'!$E27),0,OFFSET(CB37,0,-1*'Get Started  3'!$H112)*'Get Started  3'!$H42),0)+IF(AND('Get Started  3'!$H111&lt;='Get Started  3'!$E27,'Get Started  3'!$G111&lt;&gt;0),IF(CB4&lt;'Get Started  3'!$H111,0,OFFSET(CB37,0,-1*'Get Started  3'!$H111)*'Get Started  3'!$G42),0)+IF(AND('Get Started  3'!$H110&lt;='Get Started  3'!$E27,'Get Started  3'!$G110&lt;&gt;0),IF(CB4&lt;'Get Started  3'!$H110,0,OFFSET(CB37,0,-1*'Get Started  3'!$H110)*'Get Started  3'!$F42),0)+IF(AND('Get Started  3'!$H109&lt;='Get Started  3'!$E27,'Get Started  3'!$G109&lt;&gt;0),IF(CB4&lt;'Get Started  3'!$H109,0,OFFSET(CB37,0,-1*'Get Started  3'!$H109)*'Get Started  3'!$E42*'Get Started  3'!$G109),0)</f>
        <v>0</v>
      </c>
      <c r="CC206" s="29">
        <f ca="1">IF(AND('Get Started  3'!$H112&lt;='Get Started  3'!$E27,'Get Started  3'!$G112&lt;&gt;0),IF(AND(CC4&lt;'Get Started  3'!$H112,'Get Started  3'!$H112&lt;='Get Started  3'!$E27),0,OFFSET(CC37,0,-1*'Get Started  3'!$H112)*'Get Started  3'!$H42),0)+IF(AND('Get Started  3'!$H111&lt;='Get Started  3'!$E27,'Get Started  3'!$G111&lt;&gt;0),IF(CC4&lt;'Get Started  3'!$H111,0,OFFSET(CC37,0,-1*'Get Started  3'!$H111)*'Get Started  3'!$G42),0)+IF(AND('Get Started  3'!$H110&lt;='Get Started  3'!$E27,'Get Started  3'!$G110&lt;&gt;0),IF(CC4&lt;'Get Started  3'!$H110,0,OFFSET(CC37,0,-1*'Get Started  3'!$H110)*'Get Started  3'!$F42),0)+IF(AND('Get Started  3'!$H109&lt;='Get Started  3'!$E27,'Get Started  3'!$G109&lt;&gt;0),IF(CC4&lt;'Get Started  3'!$H109,0,OFFSET(CC37,0,-1*'Get Started  3'!$H109)*'Get Started  3'!$E42*'Get Started  3'!$G109),0)</f>
        <v>0</v>
      </c>
      <c r="CD206" s="29">
        <f ca="1">IF(AND('Get Started  3'!$H112&lt;='Get Started  3'!$E27,'Get Started  3'!$G112&lt;&gt;0),IF(AND(CD4&lt;'Get Started  3'!$H112,'Get Started  3'!$H112&lt;='Get Started  3'!$E27),0,OFFSET(CD37,0,-1*'Get Started  3'!$H112)*'Get Started  3'!$H42),0)+IF(AND('Get Started  3'!$H111&lt;='Get Started  3'!$E27,'Get Started  3'!$G111&lt;&gt;0),IF(CD4&lt;'Get Started  3'!$H111,0,OFFSET(CD37,0,-1*'Get Started  3'!$H111)*'Get Started  3'!$G42),0)+IF(AND('Get Started  3'!$H110&lt;='Get Started  3'!$E27,'Get Started  3'!$G110&lt;&gt;0),IF(CD4&lt;'Get Started  3'!$H110,0,OFFSET(CD37,0,-1*'Get Started  3'!$H110)*'Get Started  3'!$F42),0)+IF(AND('Get Started  3'!$H109&lt;='Get Started  3'!$E27,'Get Started  3'!$G109&lt;&gt;0),IF(CD4&lt;'Get Started  3'!$H109,0,OFFSET(CD37,0,-1*'Get Started  3'!$H109)*'Get Started  3'!$E42*'Get Started  3'!$G109),0)</f>
        <v>0</v>
      </c>
      <c r="CE206" s="29">
        <f ca="1">IF(AND('Get Started  3'!$H112&lt;='Get Started  3'!$E27,'Get Started  3'!$G112&lt;&gt;0),IF(AND(CE4&lt;'Get Started  3'!$H112,'Get Started  3'!$H112&lt;='Get Started  3'!$E27),0,OFFSET(CE37,0,-1*'Get Started  3'!$H112)*'Get Started  3'!$H42),0)+IF(AND('Get Started  3'!$H111&lt;='Get Started  3'!$E27,'Get Started  3'!$G111&lt;&gt;0),IF(CE4&lt;'Get Started  3'!$H111,0,OFFSET(CE37,0,-1*'Get Started  3'!$H111)*'Get Started  3'!$G42),0)+IF(AND('Get Started  3'!$H110&lt;='Get Started  3'!$E27,'Get Started  3'!$G110&lt;&gt;0),IF(CE4&lt;'Get Started  3'!$H110,0,OFFSET(CE37,0,-1*'Get Started  3'!$H110)*'Get Started  3'!$F42),0)+IF(AND('Get Started  3'!$H109&lt;='Get Started  3'!$E27,'Get Started  3'!$G109&lt;&gt;0),IF(CE4&lt;'Get Started  3'!$H109,0,OFFSET(CE37,0,-1*'Get Started  3'!$H109)*'Get Started  3'!$E42*'Get Started  3'!$G109),0)</f>
        <v>0</v>
      </c>
      <c r="CF206" s="29">
        <f ca="1">IF(AND('Get Started  3'!$H112&lt;='Get Started  3'!$E27,'Get Started  3'!$G112&lt;&gt;0),IF(AND(CF4&lt;'Get Started  3'!$H112,'Get Started  3'!$H112&lt;='Get Started  3'!$E27),0,OFFSET(CF37,0,-1*'Get Started  3'!$H112)*'Get Started  3'!$H42),0)+IF(AND('Get Started  3'!$H111&lt;='Get Started  3'!$E27,'Get Started  3'!$G111&lt;&gt;0),IF(CF4&lt;'Get Started  3'!$H111,0,OFFSET(CF37,0,-1*'Get Started  3'!$H111)*'Get Started  3'!$G42),0)+IF(AND('Get Started  3'!$H110&lt;='Get Started  3'!$E27,'Get Started  3'!$G110&lt;&gt;0),IF(CF4&lt;'Get Started  3'!$H110,0,OFFSET(CF37,0,-1*'Get Started  3'!$H110)*'Get Started  3'!$F42),0)+IF(AND('Get Started  3'!$H109&lt;='Get Started  3'!$E27,'Get Started  3'!$G109&lt;&gt;0),IF(CF4&lt;'Get Started  3'!$H109,0,OFFSET(CF37,0,-1*'Get Started  3'!$H109)*'Get Started  3'!$E42*'Get Started  3'!$G109),0)</f>
        <v>0</v>
      </c>
      <c r="CG206" s="29">
        <f ca="1">IF(AND('Get Started  3'!$H112&lt;='Get Started  3'!$E27,'Get Started  3'!$G112&lt;&gt;0),IF(AND(CG4&lt;'Get Started  3'!$H112,'Get Started  3'!$H112&lt;='Get Started  3'!$E27),0,OFFSET(CG37,0,-1*'Get Started  3'!$H112)*'Get Started  3'!$H42),0)+IF(AND('Get Started  3'!$H111&lt;='Get Started  3'!$E27,'Get Started  3'!$G111&lt;&gt;0),IF(CG4&lt;'Get Started  3'!$H111,0,OFFSET(CG37,0,-1*'Get Started  3'!$H111)*'Get Started  3'!$G42),0)+IF(AND('Get Started  3'!$H110&lt;='Get Started  3'!$E27,'Get Started  3'!$G110&lt;&gt;0),IF(CG4&lt;'Get Started  3'!$H110,0,OFFSET(CG37,0,-1*'Get Started  3'!$H110)*'Get Started  3'!$F42),0)+IF(AND('Get Started  3'!$H109&lt;='Get Started  3'!$E27,'Get Started  3'!$G109&lt;&gt;0),IF(CG4&lt;'Get Started  3'!$H109,0,OFFSET(CG37,0,-1*'Get Started  3'!$H109)*'Get Started  3'!$E42*'Get Started  3'!$G109),0)</f>
        <v>0</v>
      </c>
      <c r="CH206" s="29">
        <f ca="1">IF(AND('Get Started  3'!$H112&lt;='Get Started  3'!$E27,'Get Started  3'!$G112&lt;&gt;0),IF(AND(CH4&lt;'Get Started  3'!$H112,'Get Started  3'!$H112&lt;='Get Started  3'!$E27),0,OFFSET(CH37,0,-1*'Get Started  3'!$H112)*'Get Started  3'!$H42),0)+IF(AND('Get Started  3'!$H111&lt;='Get Started  3'!$E27,'Get Started  3'!$G111&lt;&gt;0),IF(CH4&lt;'Get Started  3'!$H111,0,OFFSET(CH37,0,-1*'Get Started  3'!$H111)*'Get Started  3'!$G42),0)+IF(AND('Get Started  3'!$H110&lt;='Get Started  3'!$E27,'Get Started  3'!$G110&lt;&gt;0),IF(CH4&lt;'Get Started  3'!$H110,0,OFFSET(CH37,0,-1*'Get Started  3'!$H110)*'Get Started  3'!$F42),0)+IF(AND('Get Started  3'!$H109&lt;='Get Started  3'!$E27,'Get Started  3'!$G109&lt;&gt;0),IF(CH4&lt;'Get Started  3'!$H109,0,OFFSET(CH37,0,-1*'Get Started  3'!$H109)*'Get Started  3'!$E42*'Get Started  3'!$G109),0)</f>
        <v>0</v>
      </c>
    </row>
    <row r="207" spans="2:86" ht="13" outlineLevel="1">
      <c r="B207" s="13" t="s">
        <v>317</v>
      </c>
      <c r="C207" s="15"/>
      <c r="D207" s="15" t="s">
        <v>238</v>
      </c>
      <c r="E207" s="29">
        <f t="shared" ca="1" si="166"/>
        <v>802083.33333333337</v>
      </c>
      <c r="F207" s="86"/>
      <c r="G207" s="29">
        <f ca="1">IF('Get Started  3'!$E28="invested capital",G206,IF('Get Started  3'!$E28="invested capital plus cost basis",G205,G204))*G11</f>
        <v>0</v>
      </c>
      <c r="H207" s="29">
        <f ca="1">IF('Get Started  3'!$E28="invested capital",H206,IF('Get Started  3'!$E28="invested capital plus cost basis",H205,H204))*H11</f>
        <v>0</v>
      </c>
      <c r="I207" s="29">
        <f ca="1">IF('Get Started  3'!$E28="invested capital",I206,IF('Get Started  3'!$E28="invested capital plus cost basis",I205,I204))*I11</f>
        <v>0</v>
      </c>
      <c r="J207" s="29">
        <f ca="1">IF('Get Started  3'!$E28="invested capital",J206,IF('Get Started  3'!$E28="invested capital plus cost basis",J205,J204))*J11</f>
        <v>0</v>
      </c>
      <c r="K207" s="29">
        <f ca="1">IF('Get Started  3'!$E28="invested capital",K206,IF('Get Started  3'!$E28="invested capital plus cost basis",K205,K204))*K11</f>
        <v>0</v>
      </c>
      <c r="L207" s="29">
        <f ca="1">IF('Get Started  3'!$E28="invested capital",L206,IF('Get Started  3'!$E28="invested capital plus cost basis",L205,L204))*L11</f>
        <v>0</v>
      </c>
      <c r="M207" s="29">
        <f ca="1">IF('Get Started  3'!$E28="invested capital",M206,IF('Get Started  3'!$E28="invested capital plus cost basis",M205,M204))*M11</f>
        <v>0</v>
      </c>
      <c r="N207" s="29">
        <f ca="1">IF('Get Started  3'!$E28="invested capital",N206,IF('Get Started  3'!$E28="invested capital plus cost basis",N205,N204))*N11</f>
        <v>0</v>
      </c>
      <c r="O207" s="29">
        <f ca="1">IF('Get Started  3'!$E28="invested capital",O206,IF('Get Started  3'!$E28="invested capital plus cost basis",O205,O204))*O11</f>
        <v>0</v>
      </c>
      <c r="P207" s="29">
        <f ca="1">IF('Get Started  3'!$E28="invested capital",P206,IF('Get Started  3'!$E28="invested capital plus cost basis",P205,P204))*P11</f>
        <v>0</v>
      </c>
      <c r="Q207" s="29">
        <f ca="1">IF('Get Started  3'!$E28="invested capital",Q206,IF('Get Started  3'!$E28="invested capital plus cost basis",Q205,Q204))*Q11</f>
        <v>0</v>
      </c>
      <c r="R207" s="29">
        <f ca="1">IF('Get Started  3'!$E28="invested capital",R206,IF('Get Started  3'!$E28="invested capital plus cost basis",R205,R204))*R11</f>
        <v>0</v>
      </c>
      <c r="S207" s="29">
        <f ca="1">IF('Get Started  3'!$E28="invested capital",S206,IF('Get Started  3'!$E28="invested capital plus cost basis",S205,S204))*S11</f>
        <v>200520.83333333334</v>
      </c>
      <c r="T207" s="29">
        <f ca="1">IF('Get Started  3'!$E28="invested capital",T206,IF('Get Started  3'!$E28="invested capital plus cost basis",T205,T204))*T11</f>
        <v>200520.83333333334</v>
      </c>
      <c r="U207" s="29">
        <f ca="1">IF('Get Started  3'!$E28="invested capital",U206,IF('Get Started  3'!$E28="invested capital plus cost basis",U205,U204))*U11</f>
        <v>200520.83333333334</v>
      </c>
      <c r="V207" s="29">
        <f ca="1">IF('Get Started  3'!$E28="invested capital",V206,IF('Get Started  3'!$E28="invested capital plus cost basis",V205,V204))*V11</f>
        <v>200520.83333333334</v>
      </c>
      <c r="W207" s="29">
        <f ca="1">IF('Get Started  3'!$E28="invested capital",W206,IF('Get Started  3'!$E28="invested capital plus cost basis",W205,W204))*W11</f>
        <v>0</v>
      </c>
      <c r="X207" s="29">
        <f ca="1">IF('Get Started  3'!$E28="invested capital",X206,IF('Get Started  3'!$E28="invested capital plus cost basis",X205,X204))*X11</f>
        <v>0</v>
      </c>
      <c r="Y207" s="29">
        <f ca="1">IF('Get Started  3'!$E28="invested capital",Y206,IF('Get Started  3'!$E28="invested capital plus cost basis",Y205,Y204))*Y11</f>
        <v>0</v>
      </c>
      <c r="Z207" s="29">
        <f ca="1">IF('Get Started  3'!$E28="invested capital",Z206,IF('Get Started  3'!$E28="invested capital plus cost basis",Z205,Z204))*Z11</f>
        <v>0</v>
      </c>
      <c r="AA207" s="29">
        <f ca="1">IF('Get Started  3'!$E28="invested capital",AA206,IF('Get Started  3'!$E28="invested capital plus cost basis",AA205,AA204))*AA11</f>
        <v>0</v>
      </c>
      <c r="AB207" s="29">
        <f ca="1">IF('Get Started  3'!$E28="invested capital",AB206,IF('Get Started  3'!$E28="invested capital plus cost basis",AB205,AB204))*AB11</f>
        <v>0</v>
      </c>
      <c r="AC207" s="29">
        <f ca="1">IF('Get Started  3'!$E28="invested capital",AC206,IF('Get Started  3'!$E28="invested capital plus cost basis",AC205,AC204))*AC11</f>
        <v>0</v>
      </c>
      <c r="AD207" s="29">
        <f ca="1">IF('Get Started  3'!$E28="invested capital",AD206,IF('Get Started  3'!$E28="invested capital plus cost basis",AD205,AD204))*AD11</f>
        <v>0</v>
      </c>
      <c r="AE207" s="29">
        <f ca="1">IF('Get Started  3'!$E28="invested capital",AE206,IF('Get Started  3'!$E28="invested capital plus cost basis",AE205,AE204))*AE11</f>
        <v>0</v>
      </c>
      <c r="AF207" s="29">
        <f ca="1">IF('Get Started  3'!$E28="invested capital",AF206,IF('Get Started  3'!$E28="invested capital plus cost basis",AF205,AF204))*AF11</f>
        <v>0</v>
      </c>
      <c r="AG207" s="29">
        <f ca="1">IF('Get Started  3'!$E28="invested capital",AG206,IF('Get Started  3'!$E28="invested capital plus cost basis",AG205,AG204))*AG11</f>
        <v>0</v>
      </c>
      <c r="AH207" s="29">
        <f ca="1">IF('Get Started  3'!$E28="invested capital",AH206,IF('Get Started  3'!$E28="invested capital plus cost basis",AH205,AH204))*AH11</f>
        <v>0</v>
      </c>
      <c r="AI207" s="29">
        <f ca="1">IF('Get Started  3'!$E28="invested capital",AI206,IF('Get Started  3'!$E28="invested capital plus cost basis",AI205,AI204))*AI11</f>
        <v>0</v>
      </c>
      <c r="AJ207" s="29">
        <f ca="1">IF('Get Started  3'!$E28="invested capital",AJ206,IF('Get Started  3'!$E28="invested capital plus cost basis",AJ205,AJ204))*AJ11</f>
        <v>0</v>
      </c>
      <c r="AK207" s="29">
        <f ca="1">IF('Get Started  3'!$E28="invested capital",AK206,IF('Get Started  3'!$E28="invested capital plus cost basis",AK205,AK204))*AK11</f>
        <v>0</v>
      </c>
      <c r="AL207" s="29">
        <f ca="1">IF('Get Started  3'!$E28="invested capital",AL206,IF('Get Started  3'!$E28="invested capital plus cost basis",AL205,AL204))*AL11</f>
        <v>0</v>
      </c>
      <c r="AM207" s="29">
        <f ca="1">IF('Get Started  3'!$E28="invested capital",AM206,IF('Get Started  3'!$E28="invested capital plus cost basis",AM205,AM204))*AM11</f>
        <v>0</v>
      </c>
      <c r="AN207" s="29">
        <f ca="1">IF('Get Started  3'!$E28="invested capital",AN206,IF('Get Started  3'!$E28="invested capital plus cost basis",AN205,AN204))*AN11</f>
        <v>0</v>
      </c>
      <c r="AO207" s="29">
        <f ca="1">IF('Get Started  3'!$E28="invested capital",AO206,IF('Get Started  3'!$E28="invested capital plus cost basis",AO205,AO204))*AO11</f>
        <v>0</v>
      </c>
      <c r="AP207" s="29">
        <f ca="1">IF('Get Started  3'!$E28="invested capital",AP206,IF('Get Started  3'!$E28="invested capital plus cost basis",AP205,AP204))*AP11</f>
        <v>0</v>
      </c>
      <c r="AQ207" s="29">
        <f ca="1">IF('Get Started  3'!$E28="invested capital",AQ206,IF('Get Started  3'!$E28="invested capital plus cost basis",AQ205,AQ204))*AQ11</f>
        <v>0</v>
      </c>
      <c r="AR207" s="29">
        <f ca="1">IF('Get Started  3'!$E28="invested capital",AR206,IF('Get Started  3'!$E28="invested capital plus cost basis",AR205,AR204))*AR11</f>
        <v>0</v>
      </c>
      <c r="AS207" s="29">
        <f ca="1">IF('Get Started  3'!$E28="invested capital",AS206,IF('Get Started  3'!$E28="invested capital plus cost basis",AS205,AS204))*AS11</f>
        <v>0</v>
      </c>
      <c r="AT207" s="29">
        <f ca="1">IF('Get Started  3'!$E28="invested capital",AT206,IF('Get Started  3'!$E28="invested capital plus cost basis",AT205,AT204))*AT11</f>
        <v>0</v>
      </c>
      <c r="AU207" s="29">
        <f ca="1">IF('Get Started  3'!$E28="invested capital",AU206,IF('Get Started  3'!$E28="invested capital plus cost basis",AU205,AU204))*AU11</f>
        <v>0</v>
      </c>
      <c r="AV207" s="29">
        <f ca="1">IF('Get Started  3'!$E28="invested capital",AV206,IF('Get Started  3'!$E28="invested capital plus cost basis",AV205,AV204))*AV11</f>
        <v>0</v>
      </c>
      <c r="AW207" s="29">
        <f ca="1">IF('Get Started  3'!$E28="invested capital",AW206,IF('Get Started  3'!$E28="invested capital plus cost basis",AW205,AW204))*AW11</f>
        <v>0</v>
      </c>
      <c r="AX207" s="29">
        <f ca="1">IF('Get Started  3'!$E28="invested capital",AX206,IF('Get Started  3'!$E28="invested capital plus cost basis",AX205,AX204))*AX11</f>
        <v>0</v>
      </c>
      <c r="AY207" s="29">
        <f ca="1">IF('Get Started  3'!$E28="invested capital",AY206,IF('Get Started  3'!$E28="invested capital plus cost basis",AY205,AY204))*AY11</f>
        <v>0</v>
      </c>
      <c r="AZ207" s="29">
        <f ca="1">IF('Get Started  3'!$E28="invested capital",AZ206,IF('Get Started  3'!$E28="invested capital plus cost basis",AZ205,AZ204))*AZ11</f>
        <v>0</v>
      </c>
      <c r="BA207" s="29">
        <f ca="1">IF('Get Started  3'!$E28="invested capital",BA206,IF('Get Started  3'!$E28="invested capital plus cost basis",BA205,BA204))*BA11</f>
        <v>0</v>
      </c>
      <c r="BB207" s="29">
        <f ca="1">IF('Get Started  3'!$E28="invested capital",BB206,IF('Get Started  3'!$E28="invested capital plus cost basis",BB205,BB204))*BB11</f>
        <v>0</v>
      </c>
      <c r="BC207" s="29">
        <f ca="1">IF('Get Started  3'!$E28="invested capital",BC206,IF('Get Started  3'!$E28="invested capital plus cost basis",BC205,BC204))*BC11</f>
        <v>0</v>
      </c>
      <c r="BD207" s="29">
        <f ca="1">IF('Get Started  3'!$E28="invested capital",BD206,IF('Get Started  3'!$E28="invested capital plus cost basis",BD205,BD204))*BD11</f>
        <v>0</v>
      </c>
      <c r="BE207" s="29">
        <f ca="1">IF('Get Started  3'!$E28="invested capital",BE206,IF('Get Started  3'!$E28="invested capital plus cost basis",BE205,BE204))*BE11</f>
        <v>0</v>
      </c>
      <c r="BF207" s="29">
        <f ca="1">IF('Get Started  3'!$E28="invested capital",BF206,IF('Get Started  3'!$E28="invested capital plus cost basis",BF205,BF204))*BF11</f>
        <v>0</v>
      </c>
      <c r="BG207" s="29">
        <f ca="1">IF('Get Started  3'!$E28="invested capital",BG206,IF('Get Started  3'!$E28="invested capital plus cost basis",BG205,BG204))*BG11</f>
        <v>0</v>
      </c>
      <c r="BH207" s="29">
        <f ca="1">IF('Get Started  3'!$E28="invested capital",BH206,IF('Get Started  3'!$E28="invested capital plus cost basis",BH205,BH204))*BH11</f>
        <v>0</v>
      </c>
      <c r="BI207" s="29">
        <f ca="1">IF('Get Started  3'!$E28="invested capital",BI206,IF('Get Started  3'!$E28="invested capital plus cost basis",BI205,BI204))*BI11</f>
        <v>0</v>
      </c>
      <c r="BJ207" s="29">
        <f ca="1">IF('Get Started  3'!$E28="invested capital",BJ206,IF('Get Started  3'!$E28="invested capital plus cost basis",BJ205,BJ204))*BJ11</f>
        <v>0</v>
      </c>
      <c r="BK207" s="29">
        <f ca="1">IF('Get Started  3'!$E28="invested capital",BK206,IF('Get Started  3'!$E28="invested capital plus cost basis",BK205,BK204))*BK11</f>
        <v>0</v>
      </c>
      <c r="BL207" s="29">
        <f ca="1">IF('Get Started  3'!$E28="invested capital",BL206,IF('Get Started  3'!$E28="invested capital plus cost basis",BL205,BL204))*BL11</f>
        <v>0</v>
      </c>
      <c r="BM207" s="29">
        <f ca="1">IF('Get Started  3'!$E28="invested capital",BM206,IF('Get Started  3'!$E28="invested capital plus cost basis",BM205,BM204))*BM11</f>
        <v>0</v>
      </c>
      <c r="BN207" s="29">
        <f ca="1">IF('Get Started  3'!$E28="invested capital",BN206,IF('Get Started  3'!$E28="invested capital plus cost basis",BN205,BN204))*BN11</f>
        <v>0</v>
      </c>
      <c r="BO207" s="29">
        <f ca="1">IF('Get Started  3'!$E28="invested capital",BO206,IF('Get Started  3'!$E28="invested capital plus cost basis",BO205,BO204))*BO11</f>
        <v>0</v>
      </c>
      <c r="BP207" s="29">
        <f ca="1">IF('Get Started  3'!$E28="invested capital",BP206,IF('Get Started  3'!$E28="invested capital plus cost basis",BP205,BP204))*BP11</f>
        <v>0</v>
      </c>
      <c r="BQ207" s="29">
        <f ca="1">IF('Get Started  3'!$E28="invested capital",BQ206,IF('Get Started  3'!$E28="invested capital plus cost basis",BQ205,BQ204))*BQ11</f>
        <v>0</v>
      </c>
      <c r="BR207" s="29">
        <f ca="1">IF('Get Started  3'!$E28="invested capital",BR206,IF('Get Started  3'!$E28="invested capital plus cost basis",BR205,BR204))*BR11</f>
        <v>0</v>
      </c>
      <c r="BS207" s="29">
        <f ca="1">IF('Get Started  3'!$E28="invested capital",BS206,IF('Get Started  3'!$E28="invested capital plus cost basis",BS205,BS204))*BS11</f>
        <v>0</v>
      </c>
      <c r="BT207" s="29">
        <f ca="1">IF('Get Started  3'!$E28="invested capital",BT206,IF('Get Started  3'!$E28="invested capital plus cost basis",BT205,BT204))*BT11</f>
        <v>0</v>
      </c>
      <c r="BU207" s="29">
        <f ca="1">IF('Get Started  3'!$E28="invested capital",BU206,IF('Get Started  3'!$E28="invested capital plus cost basis",BU205,BU204))*BU11</f>
        <v>0</v>
      </c>
      <c r="BV207" s="29">
        <f ca="1">IF('Get Started  3'!$E28="invested capital",BV206,IF('Get Started  3'!$E28="invested capital plus cost basis",BV205,BV204))*BV11</f>
        <v>0</v>
      </c>
      <c r="BW207" s="29">
        <f ca="1">IF('Get Started  3'!$E28="invested capital",BW206,IF('Get Started  3'!$E28="invested capital plus cost basis",BW205,BW204))*BW11</f>
        <v>0</v>
      </c>
      <c r="BX207" s="29">
        <f ca="1">IF('Get Started  3'!$E28="invested capital",BX206,IF('Get Started  3'!$E28="invested capital plus cost basis",BX205,BX204))*BX11</f>
        <v>0</v>
      </c>
      <c r="BY207" s="29">
        <f ca="1">IF('Get Started  3'!$E28="invested capital",BY206,IF('Get Started  3'!$E28="invested capital plus cost basis",BY205,BY204))*BY11</f>
        <v>0</v>
      </c>
      <c r="BZ207" s="29">
        <f ca="1">IF('Get Started  3'!$E28="invested capital",BZ206,IF('Get Started  3'!$E28="invested capital plus cost basis",BZ205,BZ204))*BZ11</f>
        <v>0</v>
      </c>
      <c r="CA207" s="29">
        <f ca="1">IF('Get Started  3'!$E28="invested capital",CA206,IF('Get Started  3'!$E28="invested capital plus cost basis",CA205,CA204))*CA11</f>
        <v>0</v>
      </c>
      <c r="CB207" s="29">
        <f ca="1">IF('Get Started  3'!$E28="invested capital",CB206,IF('Get Started  3'!$E28="invested capital plus cost basis",CB205,CB204))*CB11</f>
        <v>0</v>
      </c>
      <c r="CC207" s="29">
        <f ca="1">IF('Get Started  3'!$E28="invested capital",CC206,IF('Get Started  3'!$E28="invested capital plus cost basis",CC205,CC204))*CC11</f>
        <v>0</v>
      </c>
      <c r="CD207" s="29">
        <f ca="1">IF('Get Started  3'!$E28="invested capital",CD206,IF('Get Started  3'!$E28="invested capital plus cost basis",CD205,CD204))*CD11</f>
        <v>0</v>
      </c>
      <c r="CE207" s="29">
        <f ca="1">IF('Get Started  3'!$E28="invested capital",CE206,IF('Get Started  3'!$E28="invested capital plus cost basis",CE205,CE204))*CE11</f>
        <v>0</v>
      </c>
      <c r="CF207" s="29">
        <f ca="1">IF('Get Started  3'!$E28="invested capital",CF206,IF('Get Started  3'!$E28="invested capital plus cost basis",CF205,CF204))*CF11</f>
        <v>0</v>
      </c>
      <c r="CG207" s="29">
        <f ca="1">IF('Get Started  3'!$E28="invested capital",CG206,IF('Get Started  3'!$E28="invested capital plus cost basis",CG205,CG204))*CG11</f>
        <v>0</v>
      </c>
      <c r="CH207" s="29">
        <f ca="1">IF('Get Started  3'!$E28="invested capital",CH206,IF('Get Started  3'!$E28="invested capital plus cost basis",CH205,CH204))*CH11</f>
        <v>0</v>
      </c>
    </row>
    <row r="208" spans="2:86" ht="13" outlineLevel="1">
      <c r="B208" s="15" t="s">
        <v>318</v>
      </c>
      <c r="C208" s="15"/>
      <c r="D208" s="15" t="s">
        <v>238</v>
      </c>
      <c r="E208" s="29">
        <f t="shared" ca="1" si="166"/>
        <v>802083.33333333337</v>
      </c>
      <c r="F208" s="29"/>
      <c r="G208" s="29">
        <f ca="1">MIN(G207,'Get Started  3'!$E25*IF('Get Started  3'!$E26="committed capital",G59,IF(SUMPRODUCT(--('Forecast  3'!$G15:$CH15&lt;&gt;"committed"))=0,G70,F70))-F210)</f>
        <v>0</v>
      </c>
      <c r="H208" s="29">
        <f ca="1">MIN(H207,'Get Started  3'!$E25*IF('Get Started  3'!$E26="committed capital",H59,IF(SUMPRODUCT(--('Forecast  3'!$G15:$CH15&lt;&gt;"committed"))=0,H70,G70))-G210)</f>
        <v>0</v>
      </c>
      <c r="I208" s="29">
        <f ca="1">MIN(I207,'Get Started  3'!$E25*IF('Get Started  3'!$E26="committed capital",I59,IF(SUMPRODUCT(--('Forecast  3'!$G15:$CH15&lt;&gt;"committed"))=0,I70,H70))-H210)</f>
        <v>0</v>
      </c>
      <c r="J208" s="29">
        <f ca="1">MIN(J207,'Get Started  3'!$E25*IF('Get Started  3'!$E26="committed capital",J59,IF(SUMPRODUCT(--('Forecast  3'!$G15:$CH15&lt;&gt;"committed"))=0,J70,I70))-I210)</f>
        <v>0</v>
      </c>
      <c r="K208" s="29">
        <f ca="1">MIN(K207,'Get Started  3'!$E25*IF('Get Started  3'!$E26="committed capital",K59,IF(SUMPRODUCT(--('Forecast  3'!$G15:$CH15&lt;&gt;"committed"))=0,K70,J70))-J210)</f>
        <v>0</v>
      </c>
      <c r="L208" s="29">
        <f ca="1">MIN(L207,'Get Started  3'!$E25*IF('Get Started  3'!$E26="committed capital",L59,IF(SUMPRODUCT(--('Forecast  3'!$G15:$CH15&lt;&gt;"committed"))=0,L70,K70))-K210)</f>
        <v>0</v>
      </c>
      <c r="M208" s="29">
        <f ca="1">MIN(M207,'Get Started  3'!$E25*IF('Get Started  3'!$E26="committed capital",M59,IF(SUMPRODUCT(--('Forecast  3'!$G15:$CH15&lt;&gt;"committed"))=0,M70,L70))-L210)</f>
        <v>0</v>
      </c>
      <c r="N208" s="29">
        <f ca="1">MIN(N207,'Get Started  3'!$E25*IF('Get Started  3'!$E26="committed capital",N59,IF(SUMPRODUCT(--('Forecast  3'!$G15:$CH15&lt;&gt;"committed"))=0,N70,M70))-M210)</f>
        <v>0</v>
      </c>
      <c r="O208" s="29">
        <f ca="1">MIN(O207,'Get Started  3'!$E25*IF('Get Started  3'!$E26="committed capital",O59,IF(SUMPRODUCT(--('Forecast  3'!$G15:$CH15&lt;&gt;"committed"))=0,O70,N70))-N210)</f>
        <v>0</v>
      </c>
      <c r="P208" s="29">
        <f ca="1">MIN(P207,'Get Started  3'!$E25*IF('Get Started  3'!$E26="committed capital",P59,IF(SUMPRODUCT(--('Forecast  3'!$G15:$CH15&lt;&gt;"committed"))=0,P70,O70))-O210)</f>
        <v>0</v>
      </c>
      <c r="Q208" s="29">
        <f ca="1">MIN(Q207,'Get Started  3'!$E25*IF('Get Started  3'!$E26="committed capital",Q59,IF(SUMPRODUCT(--('Forecast  3'!$G15:$CH15&lt;&gt;"committed"))=0,Q70,P70))-P210)</f>
        <v>0</v>
      </c>
      <c r="R208" s="29">
        <f ca="1">MIN(R207,'Get Started  3'!$E25*IF('Get Started  3'!$E26="committed capital",R59,IF(SUMPRODUCT(--('Forecast  3'!$G15:$CH15&lt;&gt;"committed"))=0,R70,Q70))-Q210)</f>
        <v>0</v>
      </c>
      <c r="S208" s="29">
        <f ca="1">MIN(S207,'Get Started  3'!$E25*IF('Get Started  3'!$E26="committed capital",S59,IF(SUMPRODUCT(--('Forecast  3'!$G15:$CH15&lt;&gt;"committed"))=0,S70,R70))-R210)</f>
        <v>200520.83333333334</v>
      </c>
      <c r="T208" s="29">
        <f ca="1">MIN(T207,'Get Started  3'!$E25*IF('Get Started  3'!$E26="committed capital",T59,IF(SUMPRODUCT(--('Forecast  3'!$G15:$CH15&lt;&gt;"committed"))=0,T70,S70))-S210)</f>
        <v>200520.83333333334</v>
      </c>
      <c r="U208" s="29">
        <f ca="1">MIN(U207,'Get Started  3'!$E25*IF('Get Started  3'!$E26="committed capital",U59,IF(SUMPRODUCT(--('Forecast  3'!$G15:$CH15&lt;&gt;"committed"))=0,U70,T70))-T210)</f>
        <v>200520.83333333334</v>
      </c>
      <c r="V208" s="29">
        <f ca="1">MIN(V207,'Get Started  3'!$E25*IF('Get Started  3'!$E26="committed capital",V59,IF(SUMPRODUCT(--('Forecast  3'!$G15:$CH15&lt;&gt;"committed"))=0,V70,U70))-U210)</f>
        <v>200520.83333333334</v>
      </c>
      <c r="W208" s="29">
        <f ca="1">MIN(W207,'Get Started  3'!$E25*IF('Get Started  3'!$E26="committed capital",W59,IF(SUMPRODUCT(--('Forecast  3'!$G15:$CH15&lt;&gt;"committed"))=0,W70,V70))-V210)</f>
        <v>0</v>
      </c>
      <c r="X208" s="29">
        <f ca="1">MIN(X207,'Get Started  3'!$E25*IF('Get Started  3'!$E26="committed capital",X59,IF(SUMPRODUCT(--('Forecast  3'!$G15:$CH15&lt;&gt;"committed"))=0,X70,W70))-W210)</f>
        <v>0</v>
      </c>
      <c r="Y208" s="29">
        <f ca="1">MIN(Y207,'Get Started  3'!$E25*IF('Get Started  3'!$E26="committed capital",Y59,IF(SUMPRODUCT(--('Forecast  3'!$G15:$CH15&lt;&gt;"committed"))=0,Y70,X70))-X210)</f>
        <v>0</v>
      </c>
      <c r="Z208" s="29">
        <f ca="1">MIN(Z207,'Get Started  3'!$E25*IF('Get Started  3'!$E26="committed capital",Z59,IF(SUMPRODUCT(--('Forecast  3'!$G15:$CH15&lt;&gt;"committed"))=0,Z70,Y70))-Y210)</f>
        <v>0</v>
      </c>
      <c r="AA208" s="29">
        <f ca="1">MIN(AA207,'Get Started  3'!$E25*IF('Get Started  3'!$E26="committed capital",AA59,IF(SUMPRODUCT(--('Forecast  3'!$G15:$CH15&lt;&gt;"committed"))=0,AA70,Z70))-Z210)</f>
        <v>0</v>
      </c>
      <c r="AB208" s="29">
        <f ca="1">MIN(AB207,'Get Started  3'!$E25*IF('Get Started  3'!$E26="committed capital",AB59,IF(SUMPRODUCT(--('Forecast  3'!$G15:$CH15&lt;&gt;"committed"))=0,AB70,AA70))-AA210)</f>
        <v>0</v>
      </c>
      <c r="AC208" s="29">
        <f ca="1">MIN(AC207,'Get Started  3'!$E25*IF('Get Started  3'!$E26="committed capital",AC59,IF(SUMPRODUCT(--('Forecast  3'!$G15:$CH15&lt;&gt;"committed"))=0,AC70,AB70))-AB210)</f>
        <v>0</v>
      </c>
      <c r="AD208" s="29">
        <f ca="1">MIN(AD207,'Get Started  3'!$E25*IF('Get Started  3'!$E26="committed capital",AD59,IF(SUMPRODUCT(--('Forecast  3'!$G15:$CH15&lt;&gt;"committed"))=0,AD70,AC70))-AC210)</f>
        <v>0</v>
      </c>
      <c r="AE208" s="29">
        <f ca="1">MIN(AE207,'Get Started  3'!$E25*IF('Get Started  3'!$E26="committed capital",AE59,IF(SUMPRODUCT(--('Forecast  3'!$G15:$CH15&lt;&gt;"committed"))=0,AE70,AD70))-AD210)</f>
        <v>0</v>
      </c>
      <c r="AF208" s="29">
        <f ca="1">MIN(AF207,'Get Started  3'!$E25*IF('Get Started  3'!$E26="committed capital",AF59,IF(SUMPRODUCT(--('Forecast  3'!$G15:$CH15&lt;&gt;"committed"))=0,AF70,AE70))-AE210)</f>
        <v>0</v>
      </c>
      <c r="AG208" s="29">
        <f ca="1">MIN(AG207,'Get Started  3'!$E25*IF('Get Started  3'!$E26="committed capital",AG59,IF(SUMPRODUCT(--('Forecast  3'!$G15:$CH15&lt;&gt;"committed"))=0,AG70,AF70))-AF210)</f>
        <v>0</v>
      </c>
      <c r="AH208" s="29">
        <f ca="1">MIN(AH207,'Get Started  3'!$E25*IF('Get Started  3'!$E26="committed capital",AH59,IF(SUMPRODUCT(--('Forecast  3'!$G15:$CH15&lt;&gt;"committed"))=0,AH70,AG70))-AG210)</f>
        <v>0</v>
      </c>
      <c r="AI208" s="29">
        <f ca="1">MIN(AI207,'Get Started  3'!$E25*IF('Get Started  3'!$E26="committed capital",AI59,IF(SUMPRODUCT(--('Forecast  3'!$G15:$CH15&lt;&gt;"committed"))=0,AI70,AH70))-AH210)</f>
        <v>0</v>
      </c>
      <c r="AJ208" s="29">
        <f ca="1">MIN(AJ207,'Get Started  3'!$E25*IF('Get Started  3'!$E26="committed capital",AJ59,IF(SUMPRODUCT(--('Forecast  3'!$G15:$CH15&lt;&gt;"committed"))=0,AJ70,AI70))-AI210)</f>
        <v>0</v>
      </c>
      <c r="AK208" s="29">
        <f ca="1">MIN(AK207,'Get Started  3'!$E25*IF('Get Started  3'!$E26="committed capital",AK59,IF(SUMPRODUCT(--('Forecast  3'!$G15:$CH15&lt;&gt;"committed"))=0,AK70,AJ70))-AJ210)</f>
        <v>0</v>
      </c>
      <c r="AL208" s="29">
        <f ca="1">MIN(AL207,'Get Started  3'!$E25*IF('Get Started  3'!$E26="committed capital",AL59,IF(SUMPRODUCT(--('Forecast  3'!$G15:$CH15&lt;&gt;"committed"))=0,AL70,AK70))-AK210)</f>
        <v>0</v>
      </c>
      <c r="AM208" s="29">
        <f ca="1">MIN(AM207,'Get Started  3'!$E25*IF('Get Started  3'!$E26="committed capital",AM59,IF(SUMPRODUCT(--('Forecast  3'!$G15:$CH15&lt;&gt;"committed"))=0,AM70,AL70))-AL210)</f>
        <v>0</v>
      </c>
      <c r="AN208" s="29">
        <f ca="1">MIN(AN207,'Get Started  3'!$E25*IF('Get Started  3'!$E26="committed capital",AN59,IF(SUMPRODUCT(--('Forecast  3'!$G15:$CH15&lt;&gt;"committed"))=0,AN70,AM70))-AM210)</f>
        <v>0</v>
      </c>
      <c r="AO208" s="29">
        <f ca="1">MIN(AO207,'Get Started  3'!$E25*IF('Get Started  3'!$E26="committed capital",AO59,IF(SUMPRODUCT(--('Forecast  3'!$G15:$CH15&lt;&gt;"committed"))=0,AO70,AN70))-AN210)</f>
        <v>0</v>
      </c>
      <c r="AP208" s="29">
        <f ca="1">MIN(AP207,'Get Started  3'!$E25*IF('Get Started  3'!$E26="committed capital",AP59,IF(SUMPRODUCT(--('Forecast  3'!$G15:$CH15&lt;&gt;"committed"))=0,AP70,AO70))-AO210)</f>
        <v>0</v>
      </c>
      <c r="AQ208" s="29">
        <f ca="1">MIN(AQ207,'Get Started  3'!$E25*IF('Get Started  3'!$E26="committed capital",AQ59,IF(SUMPRODUCT(--('Forecast  3'!$G15:$CH15&lt;&gt;"committed"))=0,AQ70,AP70))-AP210)</f>
        <v>0</v>
      </c>
      <c r="AR208" s="29">
        <f ca="1">MIN(AR207,'Get Started  3'!$E25*IF('Get Started  3'!$E26="committed capital",AR59,IF(SUMPRODUCT(--('Forecast  3'!$G15:$CH15&lt;&gt;"committed"))=0,AR70,AQ70))-AQ210)</f>
        <v>0</v>
      </c>
      <c r="AS208" s="29">
        <f ca="1">MIN(AS207,'Get Started  3'!$E25*IF('Get Started  3'!$E26="committed capital",AS59,IF(SUMPRODUCT(--('Forecast  3'!$G15:$CH15&lt;&gt;"committed"))=0,AS70,AR70))-AR210)</f>
        <v>0</v>
      </c>
      <c r="AT208" s="29">
        <f ca="1">MIN(AT207,'Get Started  3'!$E25*IF('Get Started  3'!$E26="committed capital",AT59,IF(SUMPRODUCT(--('Forecast  3'!$G15:$CH15&lt;&gt;"committed"))=0,AT70,AS70))-AS210)</f>
        <v>0</v>
      </c>
      <c r="AU208" s="29">
        <f ca="1">MIN(AU207,'Get Started  3'!$E25*IF('Get Started  3'!$E26="committed capital",AU59,IF(SUMPRODUCT(--('Forecast  3'!$G15:$CH15&lt;&gt;"committed"))=0,AU70,AT70))-AT210)</f>
        <v>0</v>
      </c>
      <c r="AV208" s="29">
        <f ca="1">MIN(AV207,'Get Started  3'!$E25*IF('Get Started  3'!$E26="committed capital",AV59,IF(SUMPRODUCT(--('Forecast  3'!$G15:$CH15&lt;&gt;"committed"))=0,AV70,AU70))-AU210)</f>
        <v>0</v>
      </c>
      <c r="AW208" s="29">
        <f ca="1">MIN(AW207,'Get Started  3'!$E25*IF('Get Started  3'!$E26="committed capital",AW59,IF(SUMPRODUCT(--('Forecast  3'!$G15:$CH15&lt;&gt;"committed"))=0,AW70,AV70))-AV210)</f>
        <v>0</v>
      </c>
      <c r="AX208" s="29">
        <f ca="1">MIN(AX207,'Get Started  3'!$E25*IF('Get Started  3'!$E26="committed capital",AX59,IF(SUMPRODUCT(--('Forecast  3'!$G15:$CH15&lt;&gt;"committed"))=0,AX70,AW70))-AW210)</f>
        <v>0</v>
      </c>
      <c r="AY208" s="29">
        <f ca="1">MIN(AY207,'Get Started  3'!$E25*IF('Get Started  3'!$E26="committed capital",AY59,IF(SUMPRODUCT(--('Forecast  3'!$G15:$CH15&lt;&gt;"committed"))=0,AY70,AX70))-AX210)</f>
        <v>0</v>
      </c>
      <c r="AZ208" s="29">
        <f ca="1">MIN(AZ207,'Get Started  3'!$E25*IF('Get Started  3'!$E26="committed capital",AZ59,IF(SUMPRODUCT(--('Forecast  3'!$G15:$CH15&lt;&gt;"committed"))=0,AZ70,AY70))-AY210)</f>
        <v>0</v>
      </c>
      <c r="BA208" s="29">
        <f ca="1">MIN(BA207,'Get Started  3'!$E25*IF('Get Started  3'!$E26="committed capital",BA59,IF(SUMPRODUCT(--('Forecast  3'!$G15:$CH15&lt;&gt;"committed"))=0,BA70,AZ70))-AZ210)</f>
        <v>0</v>
      </c>
      <c r="BB208" s="29">
        <f ca="1">MIN(BB207,'Get Started  3'!$E25*IF('Get Started  3'!$E26="committed capital",BB59,IF(SUMPRODUCT(--('Forecast  3'!$G15:$CH15&lt;&gt;"committed"))=0,BB70,BA70))-BA210)</f>
        <v>0</v>
      </c>
      <c r="BC208" s="29">
        <f ca="1">MIN(BC207,'Get Started  3'!$E25*IF('Get Started  3'!$E26="committed capital",BC59,IF(SUMPRODUCT(--('Forecast  3'!$G15:$CH15&lt;&gt;"committed"))=0,BC70,BB70))-BB210)</f>
        <v>0</v>
      </c>
      <c r="BD208" s="29">
        <f ca="1">MIN(BD207,'Get Started  3'!$E25*IF('Get Started  3'!$E26="committed capital",BD59,IF(SUMPRODUCT(--('Forecast  3'!$G15:$CH15&lt;&gt;"committed"))=0,BD70,BC70))-BC210)</f>
        <v>0</v>
      </c>
      <c r="BE208" s="29">
        <f ca="1">MIN(BE207,'Get Started  3'!$E25*IF('Get Started  3'!$E26="committed capital",BE59,IF(SUMPRODUCT(--('Forecast  3'!$G15:$CH15&lt;&gt;"committed"))=0,BE70,BD70))-BD210)</f>
        <v>0</v>
      </c>
      <c r="BF208" s="29">
        <f ca="1">MIN(BF207,'Get Started  3'!$E25*IF('Get Started  3'!$E26="committed capital",BF59,IF(SUMPRODUCT(--('Forecast  3'!$G15:$CH15&lt;&gt;"committed"))=0,BF70,BE70))-BE210)</f>
        <v>0</v>
      </c>
      <c r="BG208" s="29">
        <f ca="1">MIN(BG207,'Get Started  3'!$E25*IF('Get Started  3'!$E26="committed capital",BG59,IF(SUMPRODUCT(--('Forecast  3'!$G15:$CH15&lt;&gt;"committed"))=0,BG70,BF70))-BF210)</f>
        <v>0</v>
      </c>
      <c r="BH208" s="29">
        <f ca="1">MIN(BH207,'Get Started  3'!$E25*IF('Get Started  3'!$E26="committed capital",BH59,IF(SUMPRODUCT(--('Forecast  3'!$G15:$CH15&lt;&gt;"committed"))=0,BH70,BG70))-BG210)</f>
        <v>0</v>
      </c>
      <c r="BI208" s="29">
        <f ca="1">MIN(BI207,'Get Started  3'!$E25*IF('Get Started  3'!$E26="committed capital",BI59,IF(SUMPRODUCT(--('Forecast  3'!$G15:$CH15&lt;&gt;"committed"))=0,BI70,BH70))-BH210)</f>
        <v>0</v>
      </c>
      <c r="BJ208" s="29">
        <f ca="1">MIN(BJ207,'Get Started  3'!$E25*IF('Get Started  3'!$E26="committed capital",BJ59,IF(SUMPRODUCT(--('Forecast  3'!$G15:$CH15&lt;&gt;"committed"))=0,BJ70,BI70))-BI210)</f>
        <v>0</v>
      </c>
      <c r="BK208" s="29">
        <f ca="1">MIN(BK207,'Get Started  3'!$E25*IF('Get Started  3'!$E26="committed capital",BK59,IF(SUMPRODUCT(--('Forecast  3'!$G15:$CH15&lt;&gt;"committed"))=0,BK70,BJ70))-BJ210)</f>
        <v>0</v>
      </c>
      <c r="BL208" s="29">
        <f ca="1">MIN(BL207,'Get Started  3'!$E25*IF('Get Started  3'!$E26="committed capital",BL59,IF(SUMPRODUCT(--('Forecast  3'!$G15:$CH15&lt;&gt;"committed"))=0,BL70,BK70))-BK210)</f>
        <v>0</v>
      </c>
      <c r="BM208" s="29">
        <f ca="1">MIN(BM207,'Get Started  3'!$E25*IF('Get Started  3'!$E26="committed capital",BM59,IF(SUMPRODUCT(--('Forecast  3'!$G15:$CH15&lt;&gt;"committed"))=0,BM70,BL70))-BL210)</f>
        <v>0</v>
      </c>
      <c r="BN208" s="29">
        <f ca="1">MIN(BN207,'Get Started  3'!$E25*IF('Get Started  3'!$E26="committed capital",BN59,IF(SUMPRODUCT(--('Forecast  3'!$G15:$CH15&lt;&gt;"committed"))=0,BN70,BM70))-BM210)</f>
        <v>0</v>
      </c>
      <c r="BO208" s="29">
        <f ca="1">MIN(BO207,'Get Started  3'!$E25*IF('Get Started  3'!$E26="committed capital",BO59,IF(SUMPRODUCT(--('Forecast  3'!$G15:$CH15&lt;&gt;"committed"))=0,BO70,BN70))-BN210)</f>
        <v>0</v>
      </c>
      <c r="BP208" s="29">
        <f ca="1">MIN(BP207,'Get Started  3'!$E25*IF('Get Started  3'!$E26="committed capital",BP59,IF(SUMPRODUCT(--('Forecast  3'!$G15:$CH15&lt;&gt;"committed"))=0,BP70,BO70))-BO210)</f>
        <v>0</v>
      </c>
      <c r="BQ208" s="29">
        <f ca="1">MIN(BQ207,'Get Started  3'!$E25*IF('Get Started  3'!$E26="committed capital",BQ59,IF(SUMPRODUCT(--('Forecast  3'!$G15:$CH15&lt;&gt;"committed"))=0,BQ70,BP70))-BP210)</f>
        <v>0</v>
      </c>
      <c r="BR208" s="29">
        <f ca="1">MIN(BR207,'Get Started  3'!$E25*IF('Get Started  3'!$E26="committed capital",BR59,IF(SUMPRODUCT(--('Forecast  3'!$G15:$CH15&lt;&gt;"committed"))=0,BR70,BQ70))-BQ210)</f>
        <v>0</v>
      </c>
      <c r="BS208" s="29">
        <f ca="1">MIN(BS207,'Get Started  3'!$E25*IF('Get Started  3'!$E26="committed capital",BS59,IF(SUMPRODUCT(--('Forecast  3'!$G15:$CH15&lt;&gt;"committed"))=0,BS70,BR70))-BR210)</f>
        <v>0</v>
      </c>
      <c r="BT208" s="29">
        <f ca="1">MIN(BT207,'Get Started  3'!$E25*IF('Get Started  3'!$E26="committed capital",BT59,IF(SUMPRODUCT(--('Forecast  3'!$G15:$CH15&lt;&gt;"committed"))=0,BT70,BS70))-BS210)</f>
        <v>0</v>
      </c>
      <c r="BU208" s="29">
        <f ca="1">MIN(BU207,'Get Started  3'!$E25*IF('Get Started  3'!$E26="committed capital",BU59,IF(SUMPRODUCT(--('Forecast  3'!$G15:$CH15&lt;&gt;"committed"))=0,BU70,BT70))-BT210)</f>
        <v>0</v>
      </c>
      <c r="BV208" s="29">
        <f ca="1">MIN(BV207,'Get Started  3'!$E25*IF('Get Started  3'!$E26="committed capital",BV59,IF(SUMPRODUCT(--('Forecast  3'!$G15:$CH15&lt;&gt;"committed"))=0,BV70,BU70))-BU210)</f>
        <v>0</v>
      </c>
      <c r="BW208" s="29">
        <f ca="1">MIN(BW207,'Get Started  3'!$E25*IF('Get Started  3'!$E26="committed capital",BW59,IF(SUMPRODUCT(--('Forecast  3'!$G15:$CH15&lt;&gt;"committed"))=0,BW70,BV70))-BV210)</f>
        <v>0</v>
      </c>
      <c r="BX208" s="29">
        <f ca="1">MIN(BX207,'Get Started  3'!$E25*IF('Get Started  3'!$E26="committed capital",BX59,IF(SUMPRODUCT(--('Forecast  3'!$G15:$CH15&lt;&gt;"committed"))=0,BX70,BW70))-BW210)</f>
        <v>0</v>
      </c>
      <c r="BY208" s="29">
        <f ca="1">MIN(BY207,'Get Started  3'!$E25*IF('Get Started  3'!$E26="committed capital",BY59,IF(SUMPRODUCT(--('Forecast  3'!$G15:$CH15&lt;&gt;"committed"))=0,BY70,BX70))-BX210)</f>
        <v>0</v>
      </c>
      <c r="BZ208" s="29">
        <f ca="1">MIN(BZ207,'Get Started  3'!$E25*IF('Get Started  3'!$E26="committed capital",BZ59,IF(SUMPRODUCT(--('Forecast  3'!$G15:$CH15&lt;&gt;"committed"))=0,BZ70,BY70))-BY210)</f>
        <v>0</v>
      </c>
      <c r="CA208" s="29">
        <f ca="1">MIN(CA207,'Get Started  3'!$E25*IF('Get Started  3'!$E26="committed capital",CA59,IF(SUMPRODUCT(--('Forecast  3'!$G15:$CH15&lt;&gt;"committed"))=0,CA70,BZ70))-BZ210)</f>
        <v>0</v>
      </c>
      <c r="CB208" s="29">
        <f ca="1">MIN(CB207,'Get Started  3'!$E25*IF('Get Started  3'!$E26="committed capital",CB59,IF(SUMPRODUCT(--('Forecast  3'!$G15:$CH15&lt;&gt;"committed"))=0,CB70,CA70))-CA210)</f>
        <v>0</v>
      </c>
      <c r="CC208" s="29">
        <f ca="1">MIN(CC207,'Get Started  3'!$E25*IF('Get Started  3'!$E26="committed capital",CC59,IF(SUMPRODUCT(--('Forecast  3'!$G15:$CH15&lt;&gt;"committed"))=0,CC70,CB70))-CB210)</f>
        <v>0</v>
      </c>
      <c r="CD208" s="29">
        <f ca="1">MIN(CD207,'Get Started  3'!$E25*IF('Get Started  3'!$E26="committed capital",CD59,IF(SUMPRODUCT(--('Forecast  3'!$G15:$CH15&lt;&gt;"committed"))=0,CD70,CC70))-CC210)</f>
        <v>0</v>
      </c>
      <c r="CE208" s="29">
        <f ca="1">MIN(CE207,'Get Started  3'!$E25*IF('Get Started  3'!$E26="committed capital",CE59,IF(SUMPRODUCT(--('Forecast  3'!$G15:$CH15&lt;&gt;"committed"))=0,CE70,CD70))-CD210)</f>
        <v>0</v>
      </c>
      <c r="CF208" s="29">
        <f ca="1">MIN(CF207,'Get Started  3'!$E25*IF('Get Started  3'!$E26="committed capital",CF59,IF(SUMPRODUCT(--('Forecast  3'!$G15:$CH15&lt;&gt;"committed"))=0,CF70,CE70))-CE210)</f>
        <v>0</v>
      </c>
      <c r="CG208" s="29">
        <f ca="1">MIN(CG207,'Get Started  3'!$E25*IF('Get Started  3'!$E26="committed capital",CG59,IF(SUMPRODUCT(--('Forecast  3'!$G15:$CH15&lt;&gt;"committed"))=0,CG70,CF70))-CF210)</f>
        <v>0</v>
      </c>
      <c r="CH208" s="29">
        <f ca="1">MIN(CH207,'Get Started  3'!$E25*IF('Get Started  3'!$E26="committed capital",CH59,IF(SUMPRODUCT(--('Forecast  3'!$G15:$CH15&lt;&gt;"committed"))=0,CH70,CG70))-CG210)</f>
        <v>0</v>
      </c>
    </row>
    <row r="209" spans="1:86" ht="13" outlineLevel="1">
      <c r="B209" s="15" t="s">
        <v>280</v>
      </c>
      <c r="C209" s="15"/>
      <c r="D209" s="15" t="s">
        <v>238</v>
      </c>
      <c r="E209" s="29">
        <f t="shared" ca="1" si="166"/>
        <v>802083.33333333337</v>
      </c>
      <c r="F209" s="29"/>
      <c r="G209" s="29">
        <f t="shared" ref="G209:CH209" ca="1" si="168">G208</f>
        <v>0</v>
      </c>
      <c r="H209" s="29">
        <f t="shared" ca="1" si="168"/>
        <v>0</v>
      </c>
      <c r="I209" s="29">
        <f t="shared" ca="1" si="168"/>
        <v>0</v>
      </c>
      <c r="J209" s="29">
        <f t="shared" ca="1" si="168"/>
        <v>0</v>
      </c>
      <c r="K209" s="29">
        <f t="shared" ca="1" si="168"/>
        <v>0</v>
      </c>
      <c r="L209" s="29">
        <f t="shared" ca="1" si="168"/>
        <v>0</v>
      </c>
      <c r="M209" s="29">
        <f t="shared" ca="1" si="168"/>
        <v>0</v>
      </c>
      <c r="N209" s="29">
        <f t="shared" ca="1" si="168"/>
        <v>0</v>
      </c>
      <c r="O209" s="29">
        <f t="shared" ca="1" si="168"/>
        <v>0</v>
      </c>
      <c r="P209" s="29">
        <f t="shared" ca="1" si="168"/>
        <v>0</v>
      </c>
      <c r="Q209" s="29">
        <f t="shared" ca="1" si="168"/>
        <v>0</v>
      </c>
      <c r="R209" s="29">
        <f t="shared" ca="1" si="168"/>
        <v>0</v>
      </c>
      <c r="S209" s="29">
        <f t="shared" ca="1" si="168"/>
        <v>200520.83333333334</v>
      </c>
      <c r="T209" s="29">
        <f t="shared" ca="1" si="168"/>
        <v>200520.83333333334</v>
      </c>
      <c r="U209" s="29">
        <f t="shared" ca="1" si="168"/>
        <v>200520.83333333334</v>
      </c>
      <c r="V209" s="29">
        <f t="shared" ca="1" si="168"/>
        <v>200520.83333333334</v>
      </c>
      <c r="W209" s="29">
        <f t="shared" ca="1" si="168"/>
        <v>0</v>
      </c>
      <c r="X209" s="29">
        <f t="shared" ca="1" si="168"/>
        <v>0</v>
      </c>
      <c r="Y209" s="29">
        <f t="shared" ca="1" si="168"/>
        <v>0</v>
      </c>
      <c r="Z209" s="29">
        <f t="shared" ca="1" si="168"/>
        <v>0</v>
      </c>
      <c r="AA209" s="29">
        <f t="shared" ca="1" si="168"/>
        <v>0</v>
      </c>
      <c r="AB209" s="29">
        <f t="shared" ca="1" si="168"/>
        <v>0</v>
      </c>
      <c r="AC209" s="29">
        <f t="shared" ca="1" si="168"/>
        <v>0</v>
      </c>
      <c r="AD209" s="29">
        <f t="shared" ca="1" si="168"/>
        <v>0</v>
      </c>
      <c r="AE209" s="29">
        <f t="shared" ca="1" si="168"/>
        <v>0</v>
      </c>
      <c r="AF209" s="29">
        <f t="shared" ca="1" si="168"/>
        <v>0</v>
      </c>
      <c r="AG209" s="29">
        <f t="shared" ca="1" si="168"/>
        <v>0</v>
      </c>
      <c r="AH209" s="29">
        <f t="shared" ca="1" si="168"/>
        <v>0</v>
      </c>
      <c r="AI209" s="29">
        <f t="shared" ca="1" si="168"/>
        <v>0</v>
      </c>
      <c r="AJ209" s="29">
        <f t="shared" ca="1" si="168"/>
        <v>0</v>
      </c>
      <c r="AK209" s="29">
        <f t="shared" ca="1" si="168"/>
        <v>0</v>
      </c>
      <c r="AL209" s="29">
        <f t="shared" ca="1" si="168"/>
        <v>0</v>
      </c>
      <c r="AM209" s="29">
        <f t="shared" ca="1" si="168"/>
        <v>0</v>
      </c>
      <c r="AN209" s="29">
        <f t="shared" ca="1" si="168"/>
        <v>0</v>
      </c>
      <c r="AO209" s="29">
        <f t="shared" ca="1" si="168"/>
        <v>0</v>
      </c>
      <c r="AP209" s="29">
        <f t="shared" ca="1" si="168"/>
        <v>0</v>
      </c>
      <c r="AQ209" s="29">
        <f t="shared" ca="1" si="168"/>
        <v>0</v>
      </c>
      <c r="AR209" s="29">
        <f t="shared" ca="1" si="168"/>
        <v>0</v>
      </c>
      <c r="AS209" s="29">
        <f t="shared" ca="1" si="168"/>
        <v>0</v>
      </c>
      <c r="AT209" s="29">
        <f t="shared" ca="1" si="168"/>
        <v>0</v>
      </c>
      <c r="AU209" s="29">
        <f t="shared" ca="1" si="168"/>
        <v>0</v>
      </c>
      <c r="AV209" s="29">
        <f t="shared" ca="1" si="168"/>
        <v>0</v>
      </c>
      <c r="AW209" s="29">
        <f t="shared" ca="1" si="168"/>
        <v>0</v>
      </c>
      <c r="AX209" s="29">
        <f t="shared" ca="1" si="168"/>
        <v>0</v>
      </c>
      <c r="AY209" s="29">
        <f t="shared" ca="1" si="168"/>
        <v>0</v>
      </c>
      <c r="AZ209" s="29">
        <f t="shared" ca="1" si="168"/>
        <v>0</v>
      </c>
      <c r="BA209" s="29">
        <f t="shared" ca="1" si="168"/>
        <v>0</v>
      </c>
      <c r="BB209" s="29">
        <f t="shared" ca="1" si="168"/>
        <v>0</v>
      </c>
      <c r="BC209" s="29">
        <f t="shared" ca="1" si="168"/>
        <v>0</v>
      </c>
      <c r="BD209" s="29">
        <f t="shared" ca="1" si="168"/>
        <v>0</v>
      </c>
      <c r="BE209" s="29">
        <f t="shared" ca="1" si="168"/>
        <v>0</v>
      </c>
      <c r="BF209" s="29">
        <f t="shared" ca="1" si="168"/>
        <v>0</v>
      </c>
      <c r="BG209" s="29">
        <f t="shared" ca="1" si="168"/>
        <v>0</v>
      </c>
      <c r="BH209" s="29">
        <f t="shared" ca="1" si="168"/>
        <v>0</v>
      </c>
      <c r="BI209" s="29">
        <f t="shared" ca="1" si="168"/>
        <v>0</v>
      </c>
      <c r="BJ209" s="29">
        <f t="shared" ca="1" si="168"/>
        <v>0</v>
      </c>
      <c r="BK209" s="29">
        <f t="shared" ca="1" si="168"/>
        <v>0</v>
      </c>
      <c r="BL209" s="29">
        <f t="shared" ca="1" si="168"/>
        <v>0</v>
      </c>
      <c r="BM209" s="29">
        <f t="shared" ca="1" si="168"/>
        <v>0</v>
      </c>
      <c r="BN209" s="29">
        <f t="shared" ca="1" si="168"/>
        <v>0</v>
      </c>
      <c r="BO209" s="29">
        <f t="shared" ca="1" si="168"/>
        <v>0</v>
      </c>
      <c r="BP209" s="29">
        <f t="shared" ca="1" si="168"/>
        <v>0</v>
      </c>
      <c r="BQ209" s="29">
        <f t="shared" ca="1" si="168"/>
        <v>0</v>
      </c>
      <c r="BR209" s="29">
        <f t="shared" ca="1" si="168"/>
        <v>0</v>
      </c>
      <c r="BS209" s="29">
        <f t="shared" ca="1" si="168"/>
        <v>0</v>
      </c>
      <c r="BT209" s="29">
        <f t="shared" ca="1" si="168"/>
        <v>0</v>
      </c>
      <c r="BU209" s="29">
        <f t="shared" ca="1" si="168"/>
        <v>0</v>
      </c>
      <c r="BV209" s="29">
        <f t="shared" ca="1" si="168"/>
        <v>0</v>
      </c>
      <c r="BW209" s="29">
        <f t="shared" ca="1" si="168"/>
        <v>0</v>
      </c>
      <c r="BX209" s="29">
        <f t="shared" ca="1" si="168"/>
        <v>0</v>
      </c>
      <c r="BY209" s="29">
        <f t="shared" ca="1" si="168"/>
        <v>0</v>
      </c>
      <c r="BZ209" s="29">
        <f t="shared" ca="1" si="168"/>
        <v>0</v>
      </c>
      <c r="CA209" s="29">
        <f t="shared" ca="1" si="168"/>
        <v>0</v>
      </c>
      <c r="CB209" s="29">
        <f t="shared" ca="1" si="168"/>
        <v>0</v>
      </c>
      <c r="CC209" s="29">
        <f t="shared" ca="1" si="168"/>
        <v>0</v>
      </c>
      <c r="CD209" s="29">
        <f t="shared" ca="1" si="168"/>
        <v>0</v>
      </c>
      <c r="CE209" s="29">
        <f t="shared" ca="1" si="168"/>
        <v>0</v>
      </c>
      <c r="CF209" s="29">
        <f t="shared" ca="1" si="168"/>
        <v>0</v>
      </c>
      <c r="CG209" s="29">
        <f t="shared" ca="1" si="168"/>
        <v>0</v>
      </c>
      <c r="CH209" s="29">
        <f t="shared" ca="1" si="168"/>
        <v>0</v>
      </c>
    </row>
    <row r="210" spans="1:86" ht="13" outlineLevel="1">
      <c r="B210" s="13" t="str">
        <f>"Cumulative "&amp;B208</f>
        <v>Cumulative Proceeds Recycled</v>
      </c>
      <c r="C210" s="15"/>
      <c r="D210" s="15" t="s">
        <v>247</v>
      </c>
      <c r="E210" s="29">
        <f t="shared" ca="1" si="166"/>
        <v>802083.33333333337</v>
      </c>
      <c r="F210" s="29"/>
      <c r="G210" s="29">
        <f t="shared" ref="G210:CH210" ca="1" si="169">F210+G208</f>
        <v>0</v>
      </c>
      <c r="H210" s="29">
        <f t="shared" ca="1" si="169"/>
        <v>0</v>
      </c>
      <c r="I210" s="29">
        <f t="shared" ca="1" si="169"/>
        <v>0</v>
      </c>
      <c r="J210" s="29">
        <f t="shared" ca="1" si="169"/>
        <v>0</v>
      </c>
      <c r="K210" s="29">
        <f t="shared" ca="1" si="169"/>
        <v>0</v>
      </c>
      <c r="L210" s="29">
        <f t="shared" ca="1" si="169"/>
        <v>0</v>
      </c>
      <c r="M210" s="29">
        <f t="shared" ca="1" si="169"/>
        <v>0</v>
      </c>
      <c r="N210" s="29">
        <f t="shared" ca="1" si="169"/>
        <v>0</v>
      </c>
      <c r="O210" s="29">
        <f t="shared" ca="1" si="169"/>
        <v>0</v>
      </c>
      <c r="P210" s="29">
        <f t="shared" ca="1" si="169"/>
        <v>0</v>
      </c>
      <c r="Q210" s="29">
        <f t="shared" ca="1" si="169"/>
        <v>0</v>
      </c>
      <c r="R210" s="29">
        <f t="shared" ca="1" si="169"/>
        <v>0</v>
      </c>
      <c r="S210" s="29">
        <f t="shared" ca="1" si="169"/>
        <v>200520.83333333334</v>
      </c>
      <c r="T210" s="29">
        <f t="shared" ca="1" si="169"/>
        <v>401041.66666666669</v>
      </c>
      <c r="U210" s="29">
        <f t="shared" ca="1" si="169"/>
        <v>601562.5</v>
      </c>
      <c r="V210" s="29">
        <f t="shared" ca="1" si="169"/>
        <v>802083.33333333337</v>
      </c>
      <c r="W210" s="29">
        <f t="shared" ca="1" si="169"/>
        <v>802083.33333333337</v>
      </c>
      <c r="X210" s="29">
        <f t="shared" ca="1" si="169"/>
        <v>802083.33333333337</v>
      </c>
      <c r="Y210" s="29">
        <f t="shared" ca="1" si="169"/>
        <v>802083.33333333337</v>
      </c>
      <c r="Z210" s="29">
        <f t="shared" ca="1" si="169"/>
        <v>802083.33333333337</v>
      </c>
      <c r="AA210" s="29">
        <f t="shared" ca="1" si="169"/>
        <v>802083.33333333337</v>
      </c>
      <c r="AB210" s="29">
        <f t="shared" ca="1" si="169"/>
        <v>802083.33333333337</v>
      </c>
      <c r="AC210" s="29">
        <f t="shared" ca="1" si="169"/>
        <v>802083.33333333337</v>
      </c>
      <c r="AD210" s="29">
        <f t="shared" ca="1" si="169"/>
        <v>802083.33333333337</v>
      </c>
      <c r="AE210" s="29">
        <f t="shared" ca="1" si="169"/>
        <v>802083.33333333337</v>
      </c>
      <c r="AF210" s="29">
        <f t="shared" ca="1" si="169"/>
        <v>802083.33333333337</v>
      </c>
      <c r="AG210" s="29">
        <f t="shared" ca="1" si="169"/>
        <v>802083.33333333337</v>
      </c>
      <c r="AH210" s="29">
        <f t="shared" ca="1" si="169"/>
        <v>802083.33333333337</v>
      </c>
      <c r="AI210" s="29">
        <f t="shared" ca="1" si="169"/>
        <v>802083.33333333337</v>
      </c>
      <c r="AJ210" s="29">
        <f t="shared" ca="1" si="169"/>
        <v>802083.33333333337</v>
      </c>
      <c r="AK210" s="29">
        <f t="shared" ca="1" si="169"/>
        <v>802083.33333333337</v>
      </c>
      <c r="AL210" s="29">
        <f t="shared" ca="1" si="169"/>
        <v>802083.33333333337</v>
      </c>
      <c r="AM210" s="29">
        <f t="shared" ca="1" si="169"/>
        <v>802083.33333333337</v>
      </c>
      <c r="AN210" s="29">
        <f t="shared" ca="1" si="169"/>
        <v>802083.33333333337</v>
      </c>
      <c r="AO210" s="29">
        <f t="shared" ca="1" si="169"/>
        <v>802083.33333333337</v>
      </c>
      <c r="AP210" s="29">
        <f t="shared" ca="1" si="169"/>
        <v>802083.33333333337</v>
      </c>
      <c r="AQ210" s="29">
        <f t="shared" ca="1" si="169"/>
        <v>802083.33333333337</v>
      </c>
      <c r="AR210" s="29">
        <f t="shared" ca="1" si="169"/>
        <v>802083.33333333337</v>
      </c>
      <c r="AS210" s="29">
        <f t="shared" ca="1" si="169"/>
        <v>802083.33333333337</v>
      </c>
      <c r="AT210" s="29">
        <f t="shared" ca="1" si="169"/>
        <v>802083.33333333337</v>
      </c>
      <c r="AU210" s="29">
        <f t="shared" ca="1" si="169"/>
        <v>802083.33333333337</v>
      </c>
      <c r="AV210" s="29">
        <f t="shared" ca="1" si="169"/>
        <v>802083.33333333337</v>
      </c>
      <c r="AW210" s="29">
        <f t="shared" ca="1" si="169"/>
        <v>802083.33333333337</v>
      </c>
      <c r="AX210" s="29">
        <f t="shared" ca="1" si="169"/>
        <v>802083.33333333337</v>
      </c>
      <c r="AY210" s="29">
        <f t="shared" ca="1" si="169"/>
        <v>802083.33333333337</v>
      </c>
      <c r="AZ210" s="29">
        <f t="shared" ca="1" si="169"/>
        <v>802083.33333333337</v>
      </c>
      <c r="BA210" s="29">
        <f t="shared" ca="1" si="169"/>
        <v>802083.33333333337</v>
      </c>
      <c r="BB210" s="29">
        <f t="shared" ca="1" si="169"/>
        <v>802083.33333333337</v>
      </c>
      <c r="BC210" s="29">
        <f t="shared" ca="1" si="169"/>
        <v>802083.33333333337</v>
      </c>
      <c r="BD210" s="29">
        <f t="shared" ca="1" si="169"/>
        <v>802083.33333333337</v>
      </c>
      <c r="BE210" s="29">
        <f t="shared" ca="1" si="169"/>
        <v>802083.33333333337</v>
      </c>
      <c r="BF210" s="29">
        <f t="shared" ca="1" si="169"/>
        <v>802083.33333333337</v>
      </c>
      <c r="BG210" s="29">
        <f t="shared" ca="1" si="169"/>
        <v>802083.33333333337</v>
      </c>
      <c r="BH210" s="29">
        <f t="shared" ca="1" si="169"/>
        <v>802083.33333333337</v>
      </c>
      <c r="BI210" s="29">
        <f t="shared" ca="1" si="169"/>
        <v>802083.33333333337</v>
      </c>
      <c r="BJ210" s="29">
        <f t="shared" ca="1" si="169"/>
        <v>802083.33333333337</v>
      </c>
      <c r="BK210" s="29">
        <f t="shared" ca="1" si="169"/>
        <v>802083.33333333337</v>
      </c>
      <c r="BL210" s="29">
        <f t="shared" ca="1" si="169"/>
        <v>802083.33333333337</v>
      </c>
      <c r="BM210" s="29">
        <f t="shared" ca="1" si="169"/>
        <v>802083.33333333337</v>
      </c>
      <c r="BN210" s="29">
        <f t="shared" ca="1" si="169"/>
        <v>802083.33333333337</v>
      </c>
      <c r="BO210" s="29">
        <f t="shared" ca="1" si="169"/>
        <v>802083.33333333337</v>
      </c>
      <c r="BP210" s="29">
        <f t="shared" ca="1" si="169"/>
        <v>802083.33333333337</v>
      </c>
      <c r="BQ210" s="29">
        <f t="shared" ca="1" si="169"/>
        <v>802083.33333333337</v>
      </c>
      <c r="BR210" s="29">
        <f t="shared" ca="1" si="169"/>
        <v>802083.33333333337</v>
      </c>
      <c r="BS210" s="29">
        <f t="shared" ca="1" si="169"/>
        <v>802083.33333333337</v>
      </c>
      <c r="BT210" s="29">
        <f t="shared" ca="1" si="169"/>
        <v>802083.33333333337</v>
      </c>
      <c r="BU210" s="29">
        <f t="shared" ca="1" si="169"/>
        <v>802083.33333333337</v>
      </c>
      <c r="BV210" s="29">
        <f t="shared" ca="1" si="169"/>
        <v>802083.33333333337</v>
      </c>
      <c r="BW210" s="29">
        <f t="shared" ca="1" si="169"/>
        <v>802083.33333333337</v>
      </c>
      <c r="BX210" s="29">
        <f t="shared" ca="1" si="169"/>
        <v>802083.33333333337</v>
      </c>
      <c r="BY210" s="29">
        <f t="shared" ca="1" si="169"/>
        <v>802083.33333333337</v>
      </c>
      <c r="BZ210" s="29">
        <f t="shared" ca="1" si="169"/>
        <v>802083.33333333337</v>
      </c>
      <c r="CA210" s="29">
        <f t="shared" ca="1" si="169"/>
        <v>802083.33333333337</v>
      </c>
      <c r="CB210" s="29">
        <f t="shared" ca="1" si="169"/>
        <v>802083.33333333337</v>
      </c>
      <c r="CC210" s="29">
        <f t="shared" ca="1" si="169"/>
        <v>802083.33333333337</v>
      </c>
      <c r="CD210" s="29">
        <f t="shared" ca="1" si="169"/>
        <v>802083.33333333337</v>
      </c>
      <c r="CE210" s="29">
        <f t="shared" ca="1" si="169"/>
        <v>802083.33333333337</v>
      </c>
      <c r="CF210" s="29">
        <f t="shared" ca="1" si="169"/>
        <v>802083.33333333337</v>
      </c>
      <c r="CG210" s="29">
        <f t="shared" ca="1" si="169"/>
        <v>802083.33333333337</v>
      </c>
      <c r="CH210" s="29">
        <f t="shared" ca="1" si="169"/>
        <v>802083.33333333337</v>
      </c>
    </row>
    <row r="211" spans="1:86" ht="13" outlineLevel="1">
      <c r="B211" s="13" t="s">
        <v>319</v>
      </c>
      <c r="D211" s="15" t="s">
        <v>320</v>
      </c>
      <c r="E211" s="64">
        <f ca="1">E210/E30</f>
        <v>3.2083333333333332E-2</v>
      </c>
      <c r="F211" s="29"/>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row>
    <row r="212" spans="1:86" ht="13" outlineLevel="1">
      <c r="B212" s="13" t="s">
        <v>321</v>
      </c>
      <c r="C212" s="15"/>
      <c r="D212" s="15" t="s">
        <v>320</v>
      </c>
      <c r="E212" s="64">
        <f ca="1">E208/E41</f>
        <v>0.16369047619047619</v>
      </c>
      <c r="F212" s="29"/>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row>
    <row r="213" spans="1:86" ht="13" outlineLevel="1">
      <c r="B213" s="13"/>
      <c r="C213" s="15"/>
      <c r="D213" s="15"/>
      <c r="E213" s="15"/>
      <c r="F213" s="29"/>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row>
    <row r="214" spans="1:86" ht="13" outlineLevel="1">
      <c r="A214" s="13"/>
      <c r="B214" s="44" t="s">
        <v>322</v>
      </c>
      <c r="C214" s="13"/>
      <c r="D214" s="87"/>
      <c r="E214" s="88"/>
      <c r="F214" s="48"/>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89"/>
      <c r="BY214" s="89"/>
      <c r="BZ214" s="89"/>
      <c r="CA214" s="89"/>
      <c r="CB214" s="89"/>
      <c r="CC214" s="89"/>
      <c r="CD214" s="89"/>
      <c r="CE214" s="89"/>
      <c r="CF214" s="89"/>
      <c r="CG214" s="89"/>
      <c r="CH214" s="89"/>
    </row>
    <row r="215" spans="1:86" ht="13" outlineLevel="1">
      <c r="A215" s="13"/>
      <c r="B215" s="13" t="s">
        <v>323</v>
      </c>
      <c r="C215" s="13"/>
      <c r="D215" s="13" t="s">
        <v>238</v>
      </c>
      <c r="E215" s="88">
        <f t="shared" ref="E215:E243" ca="1" si="170">IF(D215="sum",SUM(G215:CH215),IF(D215="final",CH215,IF(D215="initial",G215,IF(D215="average",AVERAGE(G215:CH215),0))))</f>
        <v>0.99786111111111209</v>
      </c>
      <c r="F215" s="48"/>
      <c r="G215" s="90">
        <f t="shared" ref="G215:CH215" ca="1" si="171">MIN(1-F241,MAX(0,G216+G217+G218+G235-G219))</f>
        <v>5.7775000000000007E-2</v>
      </c>
      <c r="H215" s="90">
        <f t="shared" ca="1" si="171"/>
        <v>5.377500000000001E-2</v>
      </c>
      <c r="I215" s="90">
        <f t="shared" ca="1" si="171"/>
        <v>5.377500000000001E-2</v>
      </c>
      <c r="J215" s="90">
        <f t="shared" ca="1" si="171"/>
        <v>5.377500000000001E-2</v>
      </c>
      <c r="K215" s="90">
        <f t="shared" ca="1" si="171"/>
        <v>5.377500000000001E-2</v>
      </c>
      <c r="L215" s="90">
        <f t="shared" ca="1" si="171"/>
        <v>5.377500000000001E-2</v>
      </c>
      <c r="M215" s="90">
        <f t="shared" ca="1" si="171"/>
        <v>5.377500000000001E-2</v>
      </c>
      <c r="N215" s="90">
        <f t="shared" ca="1" si="171"/>
        <v>5.377500000000001E-2</v>
      </c>
      <c r="O215" s="90">
        <f t="shared" ca="1" si="171"/>
        <v>5.377500000000001E-2</v>
      </c>
      <c r="P215" s="90">
        <f t="shared" ca="1" si="171"/>
        <v>5.377500000000001E-2</v>
      </c>
      <c r="Q215" s="90">
        <f t="shared" ca="1" si="171"/>
        <v>5.377500000000001E-2</v>
      </c>
      <c r="R215" s="90">
        <f t="shared" ca="1" si="171"/>
        <v>5.377500000000001E-2</v>
      </c>
      <c r="S215" s="90">
        <f t="shared" ca="1" si="171"/>
        <v>5.3240277777777782E-2</v>
      </c>
      <c r="T215" s="90">
        <f t="shared" ca="1" si="171"/>
        <v>5.3240277777777782E-2</v>
      </c>
      <c r="U215" s="90">
        <f t="shared" ca="1" si="171"/>
        <v>5.3240277777777782E-2</v>
      </c>
      <c r="V215" s="90">
        <f t="shared" ca="1" si="171"/>
        <v>5.3240277777777782E-2</v>
      </c>
      <c r="W215" s="90">
        <f t="shared" ca="1" si="171"/>
        <v>5.6499999999999996E-3</v>
      </c>
      <c r="X215" s="90">
        <f t="shared" ca="1" si="171"/>
        <v>5.6499999999999996E-3</v>
      </c>
      <c r="Y215" s="90">
        <f t="shared" ca="1" si="171"/>
        <v>5.6499999999999996E-3</v>
      </c>
      <c r="Z215" s="90">
        <f t="shared" ca="1" si="171"/>
        <v>5.6499999999999996E-3</v>
      </c>
      <c r="AA215" s="90">
        <f t="shared" ca="1" si="171"/>
        <v>5.6499999999999996E-3</v>
      </c>
      <c r="AB215" s="90">
        <f t="shared" ca="1" si="171"/>
        <v>5.6499999999999996E-3</v>
      </c>
      <c r="AC215" s="90">
        <f t="shared" ca="1" si="171"/>
        <v>5.6499999999999996E-3</v>
      </c>
      <c r="AD215" s="90">
        <f t="shared" ca="1" si="171"/>
        <v>5.6499999999999996E-3</v>
      </c>
      <c r="AE215" s="90">
        <f t="shared" ca="1" si="171"/>
        <v>5.6499999999999996E-3</v>
      </c>
      <c r="AF215" s="90">
        <f t="shared" ca="1" si="171"/>
        <v>5.6499999999999996E-3</v>
      </c>
      <c r="AG215" s="90">
        <f t="shared" ca="1" si="171"/>
        <v>5.6499999999999996E-3</v>
      </c>
      <c r="AH215" s="90">
        <f t="shared" ca="1" si="171"/>
        <v>5.6499999999999996E-3</v>
      </c>
      <c r="AI215" s="90">
        <f t="shared" ca="1" si="171"/>
        <v>5.6499999999999996E-3</v>
      </c>
      <c r="AJ215" s="90">
        <f t="shared" ca="1" si="171"/>
        <v>5.6499999999999996E-3</v>
      </c>
      <c r="AK215" s="90">
        <f t="shared" ca="1" si="171"/>
        <v>5.6499999999999996E-3</v>
      </c>
      <c r="AL215" s="90">
        <f t="shared" ca="1" si="171"/>
        <v>5.6499999999999996E-3</v>
      </c>
      <c r="AM215" s="90">
        <f t="shared" ca="1" si="171"/>
        <v>5.6499999999999996E-3</v>
      </c>
      <c r="AN215" s="90">
        <f t="shared" ca="1" si="171"/>
        <v>5.6499999999999996E-3</v>
      </c>
      <c r="AO215" s="90">
        <f t="shared" ca="1" si="171"/>
        <v>5.6499999999999996E-3</v>
      </c>
      <c r="AP215" s="90">
        <f t="shared" ca="1" si="171"/>
        <v>5.6499999999999996E-3</v>
      </c>
      <c r="AQ215" s="90">
        <f t="shared" ca="1" si="171"/>
        <v>5.6499999999999996E-3</v>
      </c>
      <c r="AR215" s="90">
        <f t="shared" ca="1" si="171"/>
        <v>5.6499999999999996E-3</v>
      </c>
      <c r="AS215" s="90">
        <f t="shared" ca="1" si="171"/>
        <v>5.6499999999999996E-3</v>
      </c>
      <c r="AT215" s="90">
        <f t="shared" ca="1" si="171"/>
        <v>5.6499999999999996E-3</v>
      </c>
      <c r="AU215" s="90">
        <f t="shared" ca="1" si="171"/>
        <v>0</v>
      </c>
      <c r="AV215" s="90">
        <f t="shared" ca="1" si="171"/>
        <v>0</v>
      </c>
      <c r="AW215" s="90">
        <f t="shared" ca="1" si="171"/>
        <v>0</v>
      </c>
      <c r="AX215" s="90">
        <f t="shared" ca="1" si="171"/>
        <v>0</v>
      </c>
      <c r="AY215" s="90">
        <f t="shared" ca="1" si="171"/>
        <v>0</v>
      </c>
      <c r="AZ215" s="90">
        <f t="shared" ca="1" si="171"/>
        <v>0</v>
      </c>
      <c r="BA215" s="90">
        <f t="shared" ca="1" si="171"/>
        <v>0</v>
      </c>
      <c r="BB215" s="90">
        <f t="shared" ca="1" si="171"/>
        <v>0</v>
      </c>
      <c r="BC215" s="90">
        <f t="shared" ca="1" si="171"/>
        <v>0</v>
      </c>
      <c r="BD215" s="90">
        <f t="shared" ca="1" si="171"/>
        <v>0</v>
      </c>
      <c r="BE215" s="90">
        <f t="shared" ca="1" si="171"/>
        <v>0</v>
      </c>
      <c r="BF215" s="90">
        <f t="shared" ca="1" si="171"/>
        <v>0</v>
      </c>
      <c r="BG215" s="90">
        <f t="shared" ca="1" si="171"/>
        <v>0</v>
      </c>
      <c r="BH215" s="90">
        <f t="shared" ca="1" si="171"/>
        <v>0</v>
      </c>
      <c r="BI215" s="90">
        <f t="shared" ca="1" si="171"/>
        <v>0</v>
      </c>
      <c r="BJ215" s="90">
        <f t="shared" ca="1" si="171"/>
        <v>0</v>
      </c>
      <c r="BK215" s="90">
        <f t="shared" ca="1" si="171"/>
        <v>0</v>
      </c>
      <c r="BL215" s="90">
        <f t="shared" ca="1" si="171"/>
        <v>0</v>
      </c>
      <c r="BM215" s="90">
        <f t="shared" ca="1" si="171"/>
        <v>0</v>
      </c>
      <c r="BN215" s="90">
        <f t="shared" ca="1" si="171"/>
        <v>0</v>
      </c>
      <c r="BO215" s="90">
        <f t="shared" ca="1" si="171"/>
        <v>0</v>
      </c>
      <c r="BP215" s="90">
        <f t="shared" ca="1" si="171"/>
        <v>0</v>
      </c>
      <c r="BQ215" s="90">
        <f t="shared" ca="1" si="171"/>
        <v>0</v>
      </c>
      <c r="BR215" s="90">
        <f t="shared" ca="1" si="171"/>
        <v>0</v>
      </c>
      <c r="BS215" s="90">
        <f t="shared" ca="1" si="171"/>
        <v>0</v>
      </c>
      <c r="BT215" s="90">
        <f t="shared" ca="1" si="171"/>
        <v>0</v>
      </c>
      <c r="BU215" s="90">
        <f t="shared" ca="1" si="171"/>
        <v>0</v>
      </c>
      <c r="BV215" s="90">
        <f t="shared" ca="1" si="171"/>
        <v>0</v>
      </c>
      <c r="BW215" s="90">
        <f t="shared" ca="1" si="171"/>
        <v>0</v>
      </c>
      <c r="BX215" s="90">
        <f t="shared" ca="1" si="171"/>
        <v>0</v>
      </c>
      <c r="BY215" s="90">
        <f t="shared" ca="1" si="171"/>
        <v>0</v>
      </c>
      <c r="BZ215" s="90">
        <f t="shared" ca="1" si="171"/>
        <v>0</v>
      </c>
      <c r="CA215" s="90">
        <f t="shared" ca="1" si="171"/>
        <v>0</v>
      </c>
      <c r="CB215" s="90">
        <f t="shared" ca="1" si="171"/>
        <v>0</v>
      </c>
      <c r="CC215" s="90">
        <f t="shared" ca="1" si="171"/>
        <v>0</v>
      </c>
      <c r="CD215" s="90">
        <f t="shared" ca="1" si="171"/>
        <v>0</v>
      </c>
      <c r="CE215" s="90">
        <f t="shared" ca="1" si="171"/>
        <v>0</v>
      </c>
      <c r="CF215" s="90">
        <f t="shared" ca="1" si="171"/>
        <v>0</v>
      </c>
      <c r="CG215" s="90">
        <f t="shared" ca="1" si="171"/>
        <v>0</v>
      </c>
      <c r="CH215" s="90">
        <f t="shared" ca="1" si="171"/>
        <v>0</v>
      </c>
    </row>
    <row r="216" spans="1:86" ht="13" outlineLevel="1">
      <c r="A216" s="13"/>
      <c r="B216" s="13" t="s">
        <v>324</v>
      </c>
      <c r="C216" s="13"/>
      <c r="D216" s="13" t="s">
        <v>238</v>
      </c>
      <c r="E216" s="88">
        <f t="shared" si="170"/>
        <v>4.0000000000000001E-3</v>
      </c>
      <c r="F216" s="48"/>
      <c r="G216" s="90">
        <f t="shared" ref="G216:CH216" si="172">IFERROR(G39/$E30,0)</f>
        <v>4.0000000000000001E-3</v>
      </c>
      <c r="H216" s="90">
        <f t="shared" si="172"/>
        <v>0</v>
      </c>
      <c r="I216" s="90">
        <f t="shared" si="172"/>
        <v>0</v>
      </c>
      <c r="J216" s="90">
        <f t="shared" si="172"/>
        <v>0</v>
      </c>
      <c r="K216" s="90">
        <f t="shared" si="172"/>
        <v>0</v>
      </c>
      <c r="L216" s="90">
        <f t="shared" si="172"/>
        <v>0</v>
      </c>
      <c r="M216" s="90">
        <f t="shared" si="172"/>
        <v>0</v>
      </c>
      <c r="N216" s="90">
        <f t="shared" si="172"/>
        <v>0</v>
      </c>
      <c r="O216" s="90">
        <f t="shared" si="172"/>
        <v>0</v>
      </c>
      <c r="P216" s="90">
        <f t="shared" si="172"/>
        <v>0</v>
      </c>
      <c r="Q216" s="90">
        <f t="shared" si="172"/>
        <v>0</v>
      </c>
      <c r="R216" s="90">
        <f t="shared" si="172"/>
        <v>0</v>
      </c>
      <c r="S216" s="90">
        <f t="shared" si="172"/>
        <v>0</v>
      </c>
      <c r="T216" s="90">
        <f t="shared" si="172"/>
        <v>0</v>
      </c>
      <c r="U216" s="90">
        <f t="shared" si="172"/>
        <v>0</v>
      </c>
      <c r="V216" s="90">
        <f t="shared" si="172"/>
        <v>0</v>
      </c>
      <c r="W216" s="90">
        <f t="shared" si="172"/>
        <v>0</v>
      </c>
      <c r="X216" s="90">
        <f t="shared" si="172"/>
        <v>0</v>
      </c>
      <c r="Y216" s="90">
        <f t="shared" si="172"/>
        <v>0</v>
      </c>
      <c r="Z216" s="90">
        <f t="shared" si="172"/>
        <v>0</v>
      </c>
      <c r="AA216" s="90">
        <f t="shared" si="172"/>
        <v>0</v>
      </c>
      <c r="AB216" s="90">
        <f t="shared" si="172"/>
        <v>0</v>
      </c>
      <c r="AC216" s="90">
        <f t="shared" si="172"/>
        <v>0</v>
      </c>
      <c r="AD216" s="90">
        <f t="shared" si="172"/>
        <v>0</v>
      </c>
      <c r="AE216" s="90">
        <f t="shared" si="172"/>
        <v>0</v>
      </c>
      <c r="AF216" s="90">
        <f t="shared" si="172"/>
        <v>0</v>
      </c>
      <c r="AG216" s="90">
        <f t="shared" si="172"/>
        <v>0</v>
      </c>
      <c r="AH216" s="90">
        <f t="shared" si="172"/>
        <v>0</v>
      </c>
      <c r="AI216" s="90">
        <f t="shared" si="172"/>
        <v>0</v>
      </c>
      <c r="AJ216" s="90">
        <f t="shared" si="172"/>
        <v>0</v>
      </c>
      <c r="AK216" s="90">
        <f t="shared" si="172"/>
        <v>0</v>
      </c>
      <c r="AL216" s="90">
        <f t="shared" si="172"/>
        <v>0</v>
      </c>
      <c r="AM216" s="90">
        <f t="shared" si="172"/>
        <v>0</v>
      </c>
      <c r="AN216" s="90">
        <f t="shared" si="172"/>
        <v>0</v>
      </c>
      <c r="AO216" s="90">
        <f t="shared" si="172"/>
        <v>0</v>
      </c>
      <c r="AP216" s="90">
        <f t="shared" si="172"/>
        <v>0</v>
      </c>
      <c r="AQ216" s="90">
        <f t="shared" si="172"/>
        <v>0</v>
      </c>
      <c r="AR216" s="90">
        <f t="shared" si="172"/>
        <v>0</v>
      </c>
      <c r="AS216" s="90">
        <f t="shared" si="172"/>
        <v>0</v>
      </c>
      <c r="AT216" s="90">
        <f t="shared" si="172"/>
        <v>0</v>
      </c>
      <c r="AU216" s="90">
        <f t="shared" si="172"/>
        <v>0</v>
      </c>
      <c r="AV216" s="90">
        <f t="shared" si="172"/>
        <v>0</v>
      </c>
      <c r="AW216" s="90">
        <f t="shared" si="172"/>
        <v>0</v>
      </c>
      <c r="AX216" s="90">
        <f t="shared" si="172"/>
        <v>0</v>
      </c>
      <c r="AY216" s="90">
        <f t="shared" si="172"/>
        <v>0</v>
      </c>
      <c r="AZ216" s="90">
        <f t="shared" si="172"/>
        <v>0</v>
      </c>
      <c r="BA216" s="90">
        <f t="shared" si="172"/>
        <v>0</v>
      </c>
      <c r="BB216" s="90">
        <f t="shared" si="172"/>
        <v>0</v>
      </c>
      <c r="BC216" s="90">
        <f t="shared" si="172"/>
        <v>0</v>
      </c>
      <c r="BD216" s="90">
        <f t="shared" si="172"/>
        <v>0</v>
      </c>
      <c r="BE216" s="90">
        <f t="shared" si="172"/>
        <v>0</v>
      </c>
      <c r="BF216" s="90">
        <f t="shared" si="172"/>
        <v>0</v>
      </c>
      <c r="BG216" s="90">
        <f t="shared" si="172"/>
        <v>0</v>
      </c>
      <c r="BH216" s="90">
        <f t="shared" si="172"/>
        <v>0</v>
      </c>
      <c r="BI216" s="90">
        <f t="shared" si="172"/>
        <v>0</v>
      </c>
      <c r="BJ216" s="90">
        <f t="shared" si="172"/>
        <v>0</v>
      </c>
      <c r="BK216" s="90">
        <f t="shared" si="172"/>
        <v>0</v>
      </c>
      <c r="BL216" s="90">
        <f t="shared" si="172"/>
        <v>0</v>
      </c>
      <c r="BM216" s="90">
        <f t="shared" si="172"/>
        <v>0</v>
      </c>
      <c r="BN216" s="90">
        <f t="shared" si="172"/>
        <v>0</v>
      </c>
      <c r="BO216" s="90">
        <f t="shared" si="172"/>
        <v>0</v>
      </c>
      <c r="BP216" s="90">
        <f t="shared" si="172"/>
        <v>0</v>
      </c>
      <c r="BQ216" s="90">
        <f t="shared" si="172"/>
        <v>0</v>
      </c>
      <c r="BR216" s="90">
        <f t="shared" si="172"/>
        <v>0</v>
      </c>
      <c r="BS216" s="90">
        <f t="shared" si="172"/>
        <v>0</v>
      </c>
      <c r="BT216" s="90">
        <f t="shared" si="172"/>
        <v>0</v>
      </c>
      <c r="BU216" s="90">
        <f t="shared" si="172"/>
        <v>0</v>
      </c>
      <c r="BV216" s="90">
        <f t="shared" si="172"/>
        <v>0</v>
      </c>
      <c r="BW216" s="90">
        <f t="shared" si="172"/>
        <v>0</v>
      </c>
      <c r="BX216" s="90">
        <f t="shared" si="172"/>
        <v>0</v>
      </c>
      <c r="BY216" s="90">
        <f t="shared" si="172"/>
        <v>0</v>
      </c>
      <c r="BZ216" s="90">
        <f t="shared" si="172"/>
        <v>0</v>
      </c>
      <c r="CA216" s="90">
        <f t="shared" si="172"/>
        <v>0</v>
      </c>
      <c r="CB216" s="90">
        <f t="shared" si="172"/>
        <v>0</v>
      </c>
      <c r="CC216" s="90">
        <f t="shared" si="172"/>
        <v>0</v>
      </c>
      <c r="CD216" s="90">
        <f t="shared" si="172"/>
        <v>0</v>
      </c>
      <c r="CE216" s="90">
        <f t="shared" si="172"/>
        <v>0</v>
      </c>
      <c r="CF216" s="90">
        <f t="shared" si="172"/>
        <v>0</v>
      </c>
      <c r="CG216" s="90">
        <f t="shared" si="172"/>
        <v>0</v>
      </c>
      <c r="CH216" s="90">
        <f t="shared" si="172"/>
        <v>0</v>
      </c>
    </row>
    <row r="217" spans="1:86" ht="13" outlineLevel="1">
      <c r="A217" s="13"/>
      <c r="B217" s="13" t="s">
        <v>325</v>
      </c>
      <c r="C217" s="13"/>
      <c r="D217" s="13" t="s">
        <v>238</v>
      </c>
      <c r="E217" s="88">
        <f t="shared" si="170"/>
        <v>3.0000000000000016E-2</v>
      </c>
      <c r="F217" s="48"/>
      <c r="G217" s="90">
        <f t="shared" ref="G217:CH217" si="173">IFERROR(G40/$E30,0)</f>
        <v>7.5000000000000002E-4</v>
      </c>
      <c r="H217" s="90">
        <f t="shared" si="173"/>
        <v>7.5000000000000002E-4</v>
      </c>
      <c r="I217" s="90">
        <f t="shared" si="173"/>
        <v>7.5000000000000002E-4</v>
      </c>
      <c r="J217" s="90">
        <f t="shared" si="173"/>
        <v>7.5000000000000002E-4</v>
      </c>
      <c r="K217" s="90">
        <f t="shared" si="173"/>
        <v>7.5000000000000002E-4</v>
      </c>
      <c r="L217" s="90">
        <f t="shared" si="173"/>
        <v>7.5000000000000002E-4</v>
      </c>
      <c r="M217" s="90">
        <f t="shared" si="173"/>
        <v>7.5000000000000002E-4</v>
      </c>
      <c r="N217" s="90">
        <f t="shared" si="173"/>
        <v>7.5000000000000002E-4</v>
      </c>
      <c r="O217" s="90">
        <f t="shared" si="173"/>
        <v>7.5000000000000002E-4</v>
      </c>
      <c r="P217" s="90">
        <f t="shared" si="173"/>
        <v>7.5000000000000002E-4</v>
      </c>
      <c r="Q217" s="90">
        <f t="shared" si="173"/>
        <v>7.5000000000000002E-4</v>
      </c>
      <c r="R217" s="90">
        <f t="shared" si="173"/>
        <v>7.5000000000000002E-4</v>
      </c>
      <c r="S217" s="90">
        <f t="shared" si="173"/>
        <v>7.5000000000000002E-4</v>
      </c>
      <c r="T217" s="90">
        <f t="shared" si="173"/>
        <v>7.5000000000000002E-4</v>
      </c>
      <c r="U217" s="90">
        <f t="shared" si="173"/>
        <v>7.5000000000000002E-4</v>
      </c>
      <c r="V217" s="90">
        <f t="shared" si="173"/>
        <v>7.5000000000000002E-4</v>
      </c>
      <c r="W217" s="90">
        <f t="shared" si="173"/>
        <v>7.5000000000000002E-4</v>
      </c>
      <c r="X217" s="90">
        <f t="shared" si="173"/>
        <v>7.5000000000000002E-4</v>
      </c>
      <c r="Y217" s="90">
        <f t="shared" si="173"/>
        <v>7.5000000000000002E-4</v>
      </c>
      <c r="Z217" s="90">
        <f t="shared" si="173"/>
        <v>7.5000000000000002E-4</v>
      </c>
      <c r="AA217" s="90">
        <f t="shared" si="173"/>
        <v>7.5000000000000002E-4</v>
      </c>
      <c r="AB217" s="90">
        <f t="shared" si="173"/>
        <v>7.5000000000000002E-4</v>
      </c>
      <c r="AC217" s="90">
        <f t="shared" si="173"/>
        <v>7.5000000000000002E-4</v>
      </c>
      <c r="AD217" s="90">
        <f t="shared" si="173"/>
        <v>7.5000000000000002E-4</v>
      </c>
      <c r="AE217" s="90">
        <f t="shared" si="173"/>
        <v>7.5000000000000002E-4</v>
      </c>
      <c r="AF217" s="90">
        <f t="shared" si="173"/>
        <v>7.5000000000000002E-4</v>
      </c>
      <c r="AG217" s="90">
        <f t="shared" si="173"/>
        <v>7.5000000000000002E-4</v>
      </c>
      <c r="AH217" s="90">
        <f t="shared" si="173"/>
        <v>7.5000000000000002E-4</v>
      </c>
      <c r="AI217" s="90">
        <f t="shared" si="173"/>
        <v>7.5000000000000002E-4</v>
      </c>
      <c r="AJ217" s="90">
        <f t="shared" si="173"/>
        <v>7.5000000000000002E-4</v>
      </c>
      <c r="AK217" s="90">
        <f t="shared" si="173"/>
        <v>7.5000000000000002E-4</v>
      </c>
      <c r="AL217" s="90">
        <f t="shared" si="173"/>
        <v>7.5000000000000002E-4</v>
      </c>
      <c r="AM217" s="90">
        <f t="shared" si="173"/>
        <v>7.5000000000000002E-4</v>
      </c>
      <c r="AN217" s="90">
        <f t="shared" si="173"/>
        <v>7.5000000000000002E-4</v>
      </c>
      <c r="AO217" s="90">
        <f t="shared" si="173"/>
        <v>7.5000000000000002E-4</v>
      </c>
      <c r="AP217" s="90">
        <f t="shared" si="173"/>
        <v>7.5000000000000002E-4</v>
      </c>
      <c r="AQ217" s="90">
        <f t="shared" si="173"/>
        <v>7.5000000000000002E-4</v>
      </c>
      <c r="AR217" s="90">
        <f t="shared" si="173"/>
        <v>7.5000000000000002E-4</v>
      </c>
      <c r="AS217" s="90">
        <f t="shared" si="173"/>
        <v>7.5000000000000002E-4</v>
      </c>
      <c r="AT217" s="90">
        <f t="shared" si="173"/>
        <v>7.5000000000000002E-4</v>
      </c>
      <c r="AU217" s="90">
        <f t="shared" si="173"/>
        <v>0</v>
      </c>
      <c r="AV217" s="90">
        <f t="shared" si="173"/>
        <v>0</v>
      </c>
      <c r="AW217" s="90">
        <f t="shared" si="173"/>
        <v>0</v>
      </c>
      <c r="AX217" s="90">
        <f t="shared" si="173"/>
        <v>0</v>
      </c>
      <c r="AY217" s="90">
        <f t="shared" si="173"/>
        <v>0</v>
      </c>
      <c r="AZ217" s="90">
        <f t="shared" si="173"/>
        <v>0</v>
      </c>
      <c r="BA217" s="90">
        <f t="shared" si="173"/>
        <v>0</v>
      </c>
      <c r="BB217" s="90">
        <f t="shared" si="173"/>
        <v>0</v>
      </c>
      <c r="BC217" s="90">
        <f t="shared" si="173"/>
        <v>0</v>
      </c>
      <c r="BD217" s="90">
        <f t="shared" si="173"/>
        <v>0</v>
      </c>
      <c r="BE217" s="90">
        <f t="shared" si="173"/>
        <v>0</v>
      </c>
      <c r="BF217" s="90">
        <f t="shared" si="173"/>
        <v>0</v>
      </c>
      <c r="BG217" s="90">
        <f t="shared" si="173"/>
        <v>0</v>
      </c>
      <c r="BH217" s="90">
        <f t="shared" si="173"/>
        <v>0</v>
      </c>
      <c r="BI217" s="90">
        <f t="shared" si="173"/>
        <v>0</v>
      </c>
      <c r="BJ217" s="90">
        <f t="shared" si="173"/>
        <v>0</v>
      </c>
      <c r="BK217" s="90">
        <f t="shared" si="173"/>
        <v>0</v>
      </c>
      <c r="BL217" s="90">
        <f t="shared" si="173"/>
        <v>0</v>
      </c>
      <c r="BM217" s="90">
        <f t="shared" si="173"/>
        <v>0</v>
      </c>
      <c r="BN217" s="90">
        <f t="shared" si="173"/>
        <v>0</v>
      </c>
      <c r="BO217" s="90">
        <f t="shared" si="173"/>
        <v>0</v>
      </c>
      <c r="BP217" s="90">
        <f t="shared" si="173"/>
        <v>0</v>
      </c>
      <c r="BQ217" s="90">
        <f t="shared" si="173"/>
        <v>0</v>
      </c>
      <c r="BR217" s="90">
        <f t="shared" si="173"/>
        <v>0</v>
      </c>
      <c r="BS217" s="90">
        <f t="shared" si="173"/>
        <v>0</v>
      </c>
      <c r="BT217" s="90">
        <f t="shared" si="173"/>
        <v>0</v>
      </c>
      <c r="BU217" s="90">
        <f t="shared" si="173"/>
        <v>0</v>
      </c>
      <c r="BV217" s="90">
        <f t="shared" si="173"/>
        <v>0</v>
      </c>
      <c r="BW217" s="90">
        <f t="shared" si="173"/>
        <v>0</v>
      </c>
      <c r="BX217" s="90">
        <f t="shared" si="173"/>
        <v>0</v>
      </c>
      <c r="BY217" s="90">
        <f t="shared" si="173"/>
        <v>0</v>
      </c>
      <c r="BZ217" s="90">
        <f t="shared" si="173"/>
        <v>0</v>
      </c>
      <c r="CA217" s="90">
        <f t="shared" si="173"/>
        <v>0</v>
      </c>
      <c r="CB217" s="90">
        <f t="shared" si="173"/>
        <v>0</v>
      </c>
      <c r="CC217" s="90">
        <f t="shared" si="173"/>
        <v>0</v>
      </c>
      <c r="CD217" s="90">
        <f t="shared" si="173"/>
        <v>0</v>
      </c>
      <c r="CE217" s="90">
        <f t="shared" si="173"/>
        <v>0</v>
      </c>
      <c r="CF217" s="90">
        <f t="shared" si="173"/>
        <v>0</v>
      </c>
      <c r="CG217" s="90">
        <f t="shared" si="173"/>
        <v>0</v>
      </c>
      <c r="CH217" s="90">
        <f t="shared" si="173"/>
        <v>0</v>
      </c>
    </row>
    <row r="218" spans="1:86" ht="13" outlineLevel="1">
      <c r="A218" s="13"/>
      <c r="B218" s="13" t="s">
        <v>326</v>
      </c>
      <c r="C218" s="13"/>
      <c r="D218" s="13" t="s">
        <v>238</v>
      </c>
      <c r="E218" s="88">
        <f t="shared" si="170"/>
        <v>0.19599999999999984</v>
      </c>
      <c r="F218" s="48"/>
      <c r="G218" s="90">
        <f>IF(G15="committed", 1*G14*G9*IF($C17=TRUE,(1-'Get Started  3'!$E10),1), G267*G14*G9*IF($C17=TRUE,(1-'Get Started  3'!$E10),1) )</f>
        <v>4.8999999999999998E-3</v>
      </c>
      <c r="H218" s="90">
        <f>IF(H15="committed", 1*H14*H9*IF($C17=TRUE,(1-'Get Started  3'!$E10),1), H267*H14*H9*IF($C17=TRUE,(1-'Get Started  3'!$E10),1) )</f>
        <v>4.8999999999999998E-3</v>
      </c>
      <c r="I218" s="90">
        <f>IF(I15="committed", 1*I14*I9*IF($C17=TRUE,(1-'Get Started  3'!$E10),1), I267*I14*I9*IF($C17=TRUE,(1-'Get Started  3'!$E10),1) )</f>
        <v>4.8999999999999998E-3</v>
      </c>
      <c r="J218" s="90">
        <f>IF(J15="committed", 1*J14*J9*IF($C17=TRUE,(1-'Get Started  3'!$E10),1), J267*J14*J9*IF($C17=TRUE,(1-'Get Started  3'!$E10),1) )</f>
        <v>4.8999999999999998E-3</v>
      </c>
      <c r="K218" s="90">
        <f>IF(K15="committed", 1*K14*K9*IF($C17=TRUE,(1-'Get Started  3'!$E10),1), K267*K14*K9*IF($C17=TRUE,(1-'Get Started  3'!$E10),1) )</f>
        <v>4.8999999999999998E-3</v>
      </c>
      <c r="L218" s="90">
        <f>IF(L15="committed", 1*L14*L9*IF($C17=TRUE,(1-'Get Started  3'!$E10),1), L267*L14*L9*IF($C17=TRUE,(1-'Get Started  3'!$E10),1) )</f>
        <v>4.8999999999999998E-3</v>
      </c>
      <c r="M218" s="90">
        <f>IF(M15="committed", 1*M14*M9*IF($C17=TRUE,(1-'Get Started  3'!$E10),1), M267*M14*M9*IF($C17=TRUE,(1-'Get Started  3'!$E10),1) )</f>
        <v>4.8999999999999998E-3</v>
      </c>
      <c r="N218" s="90">
        <f>IF(N15="committed", 1*N14*N9*IF($C17=TRUE,(1-'Get Started  3'!$E10),1), N267*N14*N9*IF($C17=TRUE,(1-'Get Started  3'!$E10),1) )</f>
        <v>4.8999999999999998E-3</v>
      </c>
      <c r="O218" s="90">
        <f>IF(O15="committed", 1*O14*O9*IF($C17=TRUE,(1-'Get Started  3'!$E10),1), O267*O14*O9*IF($C17=TRUE,(1-'Get Started  3'!$E10),1) )</f>
        <v>4.8999999999999998E-3</v>
      </c>
      <c r="P218" s="90">
        <f>IF(P15="committed", 1*P14*P9*IF($C17=TRUE,(1-'Get Started  3'!$E10),1), P267*P14*P9*IF($C17=TRUE,(1-'Get Started  3'!$E10),1) )</f>
        <v>4.8999999999999998E-3</v>
      </c>
      <c r="Q218" s="90">
        <f>IF(Q15="committed", 1*Q14*Q9*IF($C17=TRUE,(1-'Get Started  3'!$E10),1), Q267*Q14*Q9*IF($C17=TRUE,(1-'Get Started  3'!$E10),1) )</f>
        <v>4.8999999999999998E-3</v>
      </c>
      <c r="R218" s="90">
        <f>IF(R15="committed", 1*R14*R9*IF($C17=TRUE,(1-'Get Started  3'!$E10),1), R267*R14*R9*IF($C17=TRUE,(1-'Get Started  3'!$E10),1) )</f>
        <v>4.8999999999999998E-3</v>
      </c>
      <c r="S218" s="90">
        <f>IF(S15="committed", 1*S14*S9*IF($C17=TRUE,(1-'Get Started  3'!$E10),1), S267*S14*S9*IF($C17=TRUE,(1-'Get Started  3'!$E10),1) )</f>
        <v>4.8999999999999998E-3</v>
      </c>
      <c r="T218" s="90">
        <f>IF(T15="committed", 1*T14*T9*IF($C17=TRUE,(1-'Get Started  3'!$E10),1), T267*T14*T9*IF($C17=TRUE,(1-'Get Started  3'!$E10),1) )</f>
        <v>4.8999999999999998E-3</v>
      </c>
      <c r="U218" s="90">
        <f>IF(U15="committed", 1*U14*U9*IF($C17=TRUE,(1-'Get Started  3'!$E10),1), U267*U14*U9*IF($C17=TRUE,(1-'Get Started  3'!$E10),1) )</f>
        <v>4.8999999999999998E-3</v>
      </c>
      <c r="V218" s="90">
        <f>IF(V15="committed", 1*V14*V9*IF($C17=TRUE,(1-'Get Started  3'!$E10),1), V267*V14*V9*IF($C17=TRUE,(1-'Get Started  3'!$E10),1) )</f>
        <v>4.8999999999999998E-3</v>
      </c>
      <c r="W218" s="90">
        <f>IF(W15="committed", 1*W14*W9*IF($C17=TRUE,(1-'Get Started  3'!$E10),1), W267*W14*W9*IF($C17=TRUE,(1-'Get Started  3'!$E10),1) )</f>
        <v>4.8999999999999998E-3</v>
      </c>
      <c r="X218" s="90">
        <f>IF(X15="committed", 1*X14*X9*IF($C17=TRUE,(1-'Get Started  3'!$E10),1), X267*X14*X9*IF($C17=TRUE,(1-'Get Started  3'!$E10),1) )</f>
        <v>4.8999999999999998E-3</v>
      </c>
      <c r="Y218" s="90">
        <f>IF(Y15="committed", 1*Y14*Y9*IF($C17=TRUE,(1-'Get Started  3'!$E10),1), Y267*Y14*Y9*IF($C17=TRUE,(1-'Get Started  3'!$E10),1) )</f>
        <v>4.8999999999999998E-3</v>
      </c>
      <c r="Z218" s="90">
        <f>IF(Z15="committed", 1*Z14*Z9*IF($C17=TRUE,(1-'Get Started  3'!$E10),1), Z267*Z14*Z9*IF($C17=TRUE,(1-'Get Started  3'!$E10),1) )</f>
        <v>4.8999999999999998E-3</v>
      </c>
      <c r="AA218" s="90">
        <f>IF(AA15="committed", 1*AA14*AA9*IF($C17=TRUE,(1-'Get Started  3'!$E10),1), AA267*AA14*AA9*IF($C17=TRUE,(1-'Get Started  3'!$E10),1) )</f>
        <v>4.8999999999999998E-3</v>
      </c>
      <c r="AB218" s="90">
        <f>IF(AB15="committed", 1*AB14*AB9*IF($C17=TRUE,(1-'Get Started  3'!$E10),1), AB267*AB14*AB9*IF($C17=TRUE,(1-'Get Started  3'!$E10),1) )</f>
        <v>4.8999999999999998E-3</v>
      </c>
      <c r="AC218" s="90">
        <f>IF(AC15="committed", 1*AC14*AC9*IF($C17=TRUE,(1-'Get Started  3'!$E10),1), AC267*AC14*AC9*IF($C17=TRUE,(1-'Get Started  3'!$E10),1) )</f>
        <v>4.8999999999999998E-3</v>
      </c>
      <c r="AD218" s="90">
        <f>IF(AD15="committed", 1*AD14*AD9*IF($C17=TRUE,(1-'Get Started  3'!$E10),1), AD267*AD14*AD9*IF($C17=TRUE,(1-'Get Started  3'!$E10),1) )</f>
        <v>4.8999999999999998E-3</v>
      </c>
      <c r="AE218" s="90">
        <f>IF(AE15="committed", 1*AE14*AE9*IF($C17=TRUE,(1-'Get Started  3'!$E10),1), AE267*AE14*AE9*IF($C17=TRUE,(1-'Get Started  3'!$E10),1) )</f>
        <v>4.8999999999999998E-3</v>
      </c>
      <c r="AF218" s="90">
        <f>IF(AF15="committed", 1*AF14*AF9*IF($C17=TRUE,(1-'Get Started  3'!$E10),1), AF267*AF14*AF9*IF($C17=TRUE,(1-'Get Started  3'!$E10),1) )</f>
        <v>4.8999999999999998E-3</v>
      </c>
      <c r="AG218" s="90">
        <f>IF(AG15="committed", 1*AG14*AG9*IF($C17=TRUE,(1-'Get Started  3'!$E10),1), AG267*AG14*AG9*IF($C17=TRUE,(1-'Get Started  3'!$E10),1) )</f>
        <v>4.8999999999999998E-3</v>
      </c>
      <c r="AH218" s="90">
        <f>IF(AH15="committed", 1*AH14*AH9*IF($C17=TRUE,(1-'Get Started  3'!$E10),1), AH267*AH14*AH9*IF($C17=TRUE,(1-'Get Started  3'!$E10),1) )</f>
        <v>4.8999999999999998E-3</v>
      </c>
      <c r="AI218" s="90">
        <f>IF(AI15="committed", 1*AI14*AI9*IF($C17=TRUE,(1-'Get Started  3'!$E10),1), AI267*AI14*AI9*IF($C17=TRUE,(1-'Get Started  3'!$E10),1) )</f>
        <v>4.8999999999999998E-3</v>
      </c>
      <c r="AJ218" s="90">
        <f>IF(AJ15="committed", 1*AJ14*AJ9*IF($C17=TRUE,(1-'Get Started  3'!$E10),1), AJ267*AJ14*AJ9*IF($C17=TRUE,(1-'Get Started  3'!$E10),1) )</f>
        <v>4.8999999999999998E-3</v>
      </c>
      <c r="AK218" s="90">
        <f>IF(AK15="committed", 1*AK14*AK9*IF($C17=TRUE,(1-'Get Started  3'!$E10),1), AK267*AK14*AK9*IF($C17=TRUE,(1-'Get Started  3'!$E10),1) )</f>
        <v>4.8999999999999998E-3</v>
      </c>
      <c r="AL218" s="90">
        <f>IF(AL15="committed", 1*AL14*AL9*IF($C17=TRUE,(1-'Get Started  3'!$E10),1), AL267*AL14*AL9*IF($C17=TRUE,(1-'Get Started  3'!$E10),1) )</f>
        <v>4.8999999999999998E-3</v>
      </c>
      <c r="AM218" s="90">
        <f>IF(AM15="committed", 1*AM14*AM9*IF($C17=TRUE,(1-'Get Started  3'!$E10),1), AM267*AM14*AM9*IF($C17=TRUE,(1-'Get Started  3'!$E10),1) )</f>
        <v>4.8999999999999998E-3</v>
      </c>
      <c r="AN218" s="90">
        <f>IF(AN15="committed", 1*AN14*AN9*IF($C17=TRUE,(1-'Get Started  3'!$E10),1), AN267*AN14*AN9*IF($C17=TRUE,(1-'Get Started  3'!$E10),1) )</f>
        <v>4.8999999999999998E-3</v>
      </c>
      <c r="AO218" s="90">
        <f>IF(AO15="committed", 1*AO14*AO9*IF($C17=TRUE,(1-'Get Started  3'!$E10),1), AO267*AO14*AO9*IF($C17=TRUE,(1-'Get Started  3'!$E10),1) )</f>
        <v>4.8999999999999998E-3</v>
      </c>
      <c r="AP218" s="90">
        <f>IF(AP15="committed", 1*AP14*AP9*IF($C17=TRUE,(1-'Get Started  3'!$E10),1), AP267*AP14*AP9*IF($C17=TRUE,(1-'Get Started  3'!$E10),1) )</f>
        <v>4.8999999999999998E-3</v>
      </c>
      <c r="AQ218" s="90">
        <f>IF(AQ15="committed", 1*AQ14*AQ9*IF($C17=TRUE,(1-'Get Started  3'!$E10),1), AQ267*AQ14*AQ9*IF($C17=TRUE,(1-'Get Started  3'!$E10),1) )</f>
        <v>4.8999999999999998E-3</v>
      </c>
      <c r="AR218" s="90">
        <f>IF(AR15="committed", 1*AR14*AR9*IF($C17=TRUE,(1-'Get Started  3'!$E10),1), AR267*AR14*AR9*IF($C17=TRUE,(1-'Get Started  3'!$E10),1) )</f>
        <v>4.8999999999999998E-3</v>
      </c>
      <c r="AS218" s="90">
        <f>IF(AS15="committed", 1*AS14*AS9*IF($C17=TRUE,(1-'Get Started  3'!$E10),1), AS267*AS14*AS9*IF($C17=TRUE,(1-'Get Started  3'!$E10),1) )</f>
        <v>4.8999999999999998E-3</v>
      </c>
      <c r="AT218" s="90">
        <f>IF(AT15="committed", 1*AT14*AT9*IF($C17=TRUE,(1-'Get Started  3'!$E10),1), AT267*AT14*AT9*IF($C17=TRUE,(1-'Get Started  3'!$E10),1) )</f>
        <v>4.8999999999999998E-3</v>
      </c>
      <c r="AU218" s="90">
        <f>IF(AU15="committed", 1*AU14*AU9*IF($C17=TRUE,(1-'Get Started  3'!$E10),1), AU267*AU14*AU9*IF($C17=TRUE,(1-'Get Started  3'!$E10),1) )</f>
        <v>0</v>
      </c>
      <c r="AV218" s="90">
        <f>IF(AV15="committed", 1*AV14*AV9*IF($C17=TRUE,(1-'Get Started  3'!$E10),1), AV267*AV14*AV9*IF($C17=TRUE,(1-'Get Started  3'!$E10),1) )</f>
        <v>0</v>
      </c>
      <c r="AW218" s="90">
        <f>IF(AW15="committed", 1*AW14*AW9*IF($C17=TRUE,(1-'Get Started  3'!$E10),1), AW267*AW14*AW9*IF($C17=TRUE,(1-'Get Started  3'!$E10),1) )</f>
        <v>0</v>
      </c>
      <c r="AX218" s="90">
        <f>IF(AX15="committed", 1*AX14*AX9*IF($C17=TRUE,(1-'Get Started  3'!$E10),1), AX267*AX14*AX9*IF($C17=TRUE,(1-'Get Started  3'!$E10),1) )</f>
        <v>0</v>
      </c>
      <c r="AY218" s="90">
        <f>IF(AY15="committed", 1*AY14*AY9*IF($C17=TRUE,(1-'Get Started  3'!$E10),1), AY267*AY14*AY9*IF($C17=TRUE,(1-'Get Started  3'!$E10),1) )</f>
        <v>0</v>
      </c>
      <c r="AZ218" s="90">
        <f>IF(AZ15="committed", 1*AZ14*AZ9*IF($C17=TRUE,(1-'Get Started  3'!$E10),1), AZ267*AZ14*AZ9*IF($C17=TRUE,(1-'Get Started  3'!$E10),1) )</f>
        <v>0</v>
      </c>
      <c r="BA218" s="90">
        <f>IF(BA15="committed", 1*BA14*BA9*IF($C17=TRUE,(1-'Get Started  3'!$E10),1), BA267*BA14*BA9*IF($C17=TRUE,(1-'Get Started  3'!$E10),1) )</f>
        <v>0</v>
      </c>
      <c r="BB218" s="90">
        <f>IF(BB15="committed", 1*BB14*BB9*IF($C17=TRUE,(1-'Get Started  3'!$E10),1), BB267*BB14*BB9*IF($C17=TRUE,(1-'Get Started  3'!$E10),1) )</f>
        <v>0</v>
      </c>
      <c r="BC218" s="90">
        <f>IF(BC15="committed", 1*BC14*BC9*IF($C17=TRUE,(1-'Get Started  3'!$E10),1), BC267*BC14*BC9*IF($C17=TRUE,(1-'Get Started  3'!$E10),1) )</f>
        <v>0</v>
      </c>
      <c r="BD218" s="90">
        <f>IF(BD15="committed", 1*BD14*BD9*IF($C17=TRUE,(1-'Get Started  3'!$E10),1), BD267*BD14*BD9*IF($C17=TRUE,(1-'Get Started  3'!$E10),1) )</f>
        <v>0</v>
      </c>
      <c r="BE218" s="90">
        <f>IF(BE15="committed", 1*BE14*BE9*IF($C17=TRUE,(1-'Get Started  3'!$E10),1), BE267*BE14*BE9*IF($C17=TRUE,(1-'Get Started  3'!$E10),1) )</f>
        <v>0</v>
      </c>
      <c r="BF218" s="90">
        <f>IF(BF15="committed", 1*BF14*BF9*IF($C17=TRUE,(1-'Get Started  3'!$E10),1), BF267*BF14*BF9*IF($C17=TRUE,(1-'Get Started  3'!$E10),1) )</f>
        <v>0</v>
      </c>
      <c r="BG218" s="90">
        <f>IF(BG15="committed", 1*BG14*BG9*IF($C17=TRUE,(1-'Get Started  3'!$E10),1), BG267*BG14*BG9*IF($C17=TRUE,(1-'Get Started  3'!$E10),1) )</f>
        <v>0</v>
      </c>
      <c r="BH218" s="90">
        <f>IF(BH15="committed", 1*BH14*BH9*IF($C17=TRUE,(1-'Get Started  3'!$E10),1), BH267*BH14*BH9*IF($C17=TRUE,(1-'Get Started  3'!$E10),1) )</f>
        <v>0</v>
      </c>
      <c r="BI218" s="90">
        <f>IF(BI15="committed", 1*BI14*BI9*IF($C17=TRUE,(1-'Get Started  3'!$E10),1), BI267*BI14*BI9*IF($C17=TRUE,(1-'Get Started  3'!$E10),1) )</f>
        <v>0</v>
      </c>
      <c r="BJ218" s="90">
        <f>IF(BJ15="committed", 1*BJ14*BJ9*IF($C17=TRUE,(1-'Get Started  3'!$E10),1), BJ267*BJ14*BJ9*IF($C17=TRUE,(1-'Get Started  3'!$E10),1) )</f>
        <v>0</v>
      </c>
      <c r="BK218" s="90">
        <f>IF(BK15="committed", 1*BK14*BK9*IF($C17=TRUE,(1-'Get Started  3'!$E10),1), BK267*BK14*BK9*IF($C17=TRUE,(1-'Get Started  3'!$E10),1) )</f>
        <v>0</v>
      </c>
      <c r="BL218" s="90">
        <f>IF(BL15="committed", 1*BL14*BL9*IF($C17=TRUE,(1-'Get Started  3'!$E10),1), BL267*BL14*BL9*IF($C17=TRUE,(1-'Get Started  3'!$E10),1) )</f>
        <v>0</v>
      </c>
      <c r="BM218" s="90">
        <f>IF(BM15="committed", 1*BM14*BM9*IF($C17=TRUE,(1-'Get Started  3'!$E10),1), BM267*BM14*BM9*IF($C17=TRUE,(1-'Get Started  3'!$E10),1) )</f>
        <v>0</v>
      </c>
      <c r="BN218" s="90">
        <f>IF(BN15="committed", 1*BN14*BN9*IF($C17=TRUE,(1-'Get Started  3'!$E10),1), BN267*BN14*BN9*IF($C17=TRUE,(1-'Get Started  3'!$E10),1) )</f>
        <v>0</v>
      </c>
      <c r="BO218" s="90">
        <f>IF(BO15="committed", 1*BO14*BO9*IF($C17=TRUE,(1-'Get Started  3'!$E10),1), BO267*BO14*BO9*IF($C17=TRUE,(1-'Get Started  3'!$E10),1) )</f>
        <v>0</v>
      </c>
      <c r="BP218" s="90">
        <f>IF(BP15="committed", 1*BP14*BP9*IF($C17=TRUE,(1-'Get Started  3'!$E10),1), BP267*BP14*BP9*IF($C17=TRUE,(1-'Get Started  3'!$E10),1) )</f>
        <v>0</v>
      </c>
      <c r="BQ218" s="90">
        <f>IF(BQ15="committed", 1*BQ14*BQ9*IF($C17=TRUE,(1-'Get Started  3'!$E10),1), BQ267*BQ14*BQ9*IF($C17=TRUE,(1-'Get Started  3'!$E10),1) )</f>
        <v>0</v>
      </c>
      <c r="BR218" s="90">
        <f>IF(BR15="committed", 1*BR14*BR9*IF($C17=TRUE,(1-'Get Started  3'!$E10),1), BR267*BR14*BR9*IF($C17=TRUE,(1-'Get Started  3'!$E10),1) )</f>
        <v>0</v>
      </c>
      <c r="BS218" s="90">
        <f>IF(BS15="committed", 1*BS14*BS9*IF($C17=TRUE,(1-'Get Started  3'!$E10),1), BS267*BS14*BS9*IF($C17=TRUE,(1-'Get Started  3'!$E10),1) )</f>
        <v>0</v>
      </c>
      <c r="BT218" s="90">
        <f>IF(BT15="committed", 1*BT14*BT9*IF($C17=TRUE,(1-'Get Started  3'!$E10),1), BT267*BT14*BT9*IF($C17=TRUE,(1-'Get Started  3'!$E10),1) )</f>
        <v>0</v>
      </c>
      <c r="BU218" s="90">
        <f>IF(BU15="committed", 1*BU14*BU9*IF($C17=TRUE,(1-'Get Started  3'!$E10),1), BU267*BU14*BU9*IF($C17=TRUE,(1-'Get Started  3'!$E10),1) )</f>
        <v>0</v>
      </c>
      <c r="BV218" s="90">
        <f>IF(BV15="committed", 1*BV14*BV9*IF($C17=TRUE,(1-'Get Started  3'!$E10),1), BV267*BV14*BV9*IF($C17=TRUE,(1-'Get Started  3'!$E10),1) )</f>
        <v>0</v>
      </c>
      <c r="BW218" s="90">
        <f>IF(BW15="committed", 1*BW14*BW9*IF($C17=TRUE,(1-'Get Started  3'!$E10),1), BW267*BW14*BW9*IF($C17=TRUE,(1-'Get Started  3'!$E10),1) )</f>
        <v>0</v>
      </c>
      <c r="BX218" s="90">
        <f>IF(BX15="committed", 1*BX14*BX9*IF($C17=TRUE,(1-'Get Started  3'!$E10),1), BX267*BX14*BX9*IF($C17=TRUE,(1-'Get Started  3'!$E10),1) )</f>
        <v>0</v>
      </c>
      <c r="BY218" s="90">
        <f>IF(BY15="committed", 1*BY14*BY9*IF($C17=TRUE,(1-'Get Started  3'!$E10),1), BY267*BY14*BY9*IF($C17=TRUE,(1-'Get Started  3'!$E10),1) )</f>
        <v>0</v>
      </c>
      <c r="BZ218" s="90">
        <f>IF(BZ15="committed", 1*BZ14*BZ9*IF($C17=TRUE,(1-'Get Started  3'!$E10),1), BZ267*BZ14*BZ9*IF($C17=TRUE,(1-'Get Started  3'!$E10),1) )</f>
        <v>0</v>
      </c>
      <c r="CA218" s="90">
        <f>IF(CA15="committed", 1*CA14*CA9*IF($C17=TRUE,(1-'Get Started  3'!$E10),1), CA267*CA14*CA9*IF($C17=TRUE,(1-'Get Started  3'!$E10),1) )</f>
        <v>0</v>
      </c>
      <c r="CB218" s="90">
        <f>IF(CB15="committed", 1*CB14*CB9*IF($C17=TRUE,(1-'Get Started  3'!$E10),1), CB267*CB14*CB9*IF($C17=TRUE,(1-'Get Started  3'!$E10),1) )</f>
        <v>0</v>
      </c>
      <c r="CC218" s="90">
        <f>IF(CC15="committed", 1*CC14*CC9*IF($C17=TRUE,(1-'Get Started  3'!$E10),1), CC267*CC14*CC9*IF($C17=TRUE,(1-'Get Started  3'!$E10),1) )</f>
        <v>0</v>
      </c>
      <c r="CD218" s="90">
        <f>IF(CD15="committed", 1*CD14*CD9*IF($C17=TRUE,(1-'Get Started  3'!$E10),1), CD267*CD14*CD9*IF($C17=TRUE,(1-'Get Started  3'!$E10),1) )</f>
        <v>0</v>
      </c>
      <c r="CE218" s="90">
        <f>IF(CE15="committed", 1*CE14*CE9*IF($C17=TRUE,(1-'Get Started  3'!$E10),1), CE267*CE14*CE9*IF($C17=TRUE,(1-'Get Started  3'!$E10),1) )</f>
        <v>0</v>
      </c>
      <c r="CF218" s="90">
        <f>IF(CF15="committed", 1*CF14*CF9*IF($C17=TRUE,(1-'Get Started  3'!$E10),1), CF267*CF14*CF9*IF($C17=TRUE,(1-'Get Started  3'!$E10),1) )</f>
        <v>0</v>
      </c>
      <c r="CG218" s="90">
        <f>IF(CG15="committed", 1*CG14*CG9*IF($C17=TRUE,(1-'Get Started  3'!$E10),1), CG267*CG14*CG9*IF($C17=TRUE,(1-'Get Started  3'!$E10),1) )</f>
        <v>0</v>
      </c>
      <c r="CH218" s="90">
        <f>IF(CH15="committed", 1*CH14*CH9*IF($C17=TRUE,(1-'Get Started  3'!$E10),1), CH267*CH14*CH9*IF($C17=TRUE,(1-'Get Started  3'!$E10),1) )</f>
        <v>0</v>
      </c>
    </row>
    <row r="219" spans="1:86" ht="13" outlineLevel="1">
      <c r="A219" s="13"/>
      <c r="B219" s="13" t="s">
        <v>327</v>
      </c>
      <c r="C219" s="13"/>
      <c r="D219" s="13" t="s">
        <v>238</v>
      </c>
      <c r="E219" s="88">
        <f t="shared" ca="1" si="170"/>
        <v>3.2083333333333346E-2</v>
      </c>
      <c r="F219" s="48"/>
      <c r="G219" s="90">
        <f ca="1">MIN(G240,'Get Started  3'!$E25*IF('Get Started  3'!$E26="committed capital",1,IF(SUMPRODUCT(--('Forecast  3'!$G15:$CH15&lt;&gt;"committed"))=0,G242,F242))-F243)</f>
        <v>0</v>
      </c>
      <c r="H219" s="90">
        <f ca="1">MIN(H240,'Get Started  3'!$E25*IF('Get Started  3'!$E26="committed capital",1,IF(SUMPRODUCT(--('Forecast  3'!$G15:$CH15&lt;&gt;"committed"))=0,H242,G242))-G243)</f>
        <v>0</v>
      </c>
      <c r="I219" s="90">
        <f ca="1">MIN(I240,'Get Started  3'!$E25*IF('Get Started  3'!$E26="committed capital",1,IF(SUMPRODUCT(--('Forecast  3'!$G15:$CH15&lt;&gt;"committed"))=0,I242,H242))-H243)</f>
        <v>0</v>
      </c>
      <c r="J219" s="90">
        <f ca="1">MIN(J240,'Get Started  3'!$E25*IF('Get Started  3'!$E26="committed capital",1,IF(SUMPRODUCT(--('Forecast  3'!$G15:$CH15&lt;&gt;"committed"))=0,J242,I242))-I243)</f>
        <v>0</v>
      </c>
      <c r="K219" s="90">
        <f ca="1">MIN(K240,'Get Started  3'!$E25*IF('Get Started  3'!$E26="committed capital",1,IF(SUMPRODUCT(--('Forecast  3'!$G15:$CH15&lt;&gt;"committed"))=0,K242,J242))-J243)</f>
        <v>0</v>
      </c>
      <c r="L219" s="90">
        <f ca="1">MIN(L240,'Get Started  3'!$E25*IF('Get Started  3'!$E26="committed capital",1,IF(SUMPRODUCT(--('Forecast  3'!$G15:$CH15&lt;&gt;"committed"))=0,L242,K242))-K243)</f>
        <v>0</v>
      </c>
      <c r="M219" s="90">
        <f ca="1">MIN(M240,'Get Started  3'!$E25*IF('Get Started  3'!$E26="committed capital",1,IF(SUMPRODUCT(--('Forecast  3'!$G15:$CH15&lt;&gt;"committed"))=0,M242,L242))-L243)</f>
        <v>0</v>
      </c>
      <c r="N219" s="90">
        <f ca="1">MIN(N240,'Get Started  3'!$E25*IF('Get Started  3'!$E26="committed capital",1,IF(SUMPRODUCT(--('Forecast  3'!$G15:$CH15&lt;&gt;"committed"))=0,N242,M242))-M243)</f>
        <v>0</v>
      </c>
      <c r="O219" s="90">
        <f ca="1">MIN(O240,'Get Started  3'!$E25*IF('Get Started  3'!$E26="committed capital",1,IF(SUMPRODUCT(--('Forecast  3'!$G15:$CH15&lt;&gt;"committed"))=0,O242,N242))-N243)</f>
        <v>0</v>
      </c>
      <c r="P219" s="90">
        <f ca="1">MIN(P240,'Get Started  3'!$E25*IF('Get Started  3'!$E26="committed capital",1,IF(SUMPRODUCT(--('Forecast  3'!$G15:$CH15&lt;&gt;"committed"))=0,P242,O242))-O243)</f>
        <v>0</v>
      </c>
      <c r="Q219" s="90">
        <f ca="1">MIN(Q240,'Get Started  3'!$E25*IF('Get Started  3'!$E26="committed capital",1,IF(SUMPRODUCT(--('Forecast  3'!$G15:$CH15&lt;&gt;"committed"))=0,Q242,P242))-P243)</f>
        <v>0</v>
      </c>
      <c r="R219" s="90">
        <f ca="1">MIN(R240,'Get Started  3'!$E25*IF('Get Started  3'!$E26="committed capital",1,IF(SUMPRODUCT(--('Forecast  3'!$G15:$CH15&lt;&gt;"committed"))=0,R242,Q242))-Q243)</f>
        <v>0</v>
      </c>
      <c r="S219" s="90">
        <f ca="1">MIN(S240,'Get Started  3'!$E25*IF('Get Started  3'!$E26="committed capital",1,IF(SUMPRODUCT(--('Forecast  3'!$G15:$CH15&lt;&gt;"committed"))=0,S242,R242))-R243)</f>
        <v>8.0208333333333364E-3</v>
      </c>
      <c r="T219" s="90">
        <f ca="1">MIN(T240,'Get Started  3'!$E25*IF('Get Started  3'!$E26="committed capital",1,IF(SUMPRODUCT(--('Forecast  3'!$G15:$CH15&lt;&gt;"committed"))=0,T242,S242))-S243)</f>
        <v>8.0208333333333364E-3</v>
      </c>
      <c r="U219" s="90">
        <f ca="1">MIN(U240,'Get Started  3'!$E25*IF('Get Started  3'!$E26="committed capital",1,IF(SUMPRODUCT(--('Forecast  3'!$G15:$CH15&lt;&gt;"committed"))=0,U242,T242))-T243)</f>
        <v>8.0208333333333364E-3</v>
      </c>
      <c r="V219" s="90">
        <f ca="1">MIN(V240,'Get Started  3'!$E25*IF('Get Started  3'!$E26="committed capital",1,IF(SUMPRODUCT(--('Forecast  3'!$G15:$CH15&lt;&gt;"committed"))=0,V242,U242))-U243)</f>
        <v>8.0208333333333364E-3</v>
      </c>
      <c r="W219" s="90">
        <f ca="1">MIN(W240,'Get Started  3'!$E25*IF('Get Started  3'!$E26="committed capital",1,IF(SUMPRODUCT(--('Forecast  3'!$G15:$CH15&lt;&gt;"committed"))=0,W242,V242))-V243)</f>
        <v>0</v>
      </c>
      <c r="X219" s="90">
        <f ca="1">MIN(X240,'Get Started  3'!$E25*IF('Get Started  3'!$E26="committed capital",1,IF(SUMPRODUCT(--('Forecast  3'!$G15:$CH15&lt;&gt;"committed"))=0,X242,W242))-W243)</f>
        <v>0</v>
      </c>
      <c r="Y219" s="90">
        <f ca="1">MIN(Y240,'Get Started  3'!$E25*IF('Get Started  3'!$E26="committed capital",1,IF(SUMPRODUCT(--('Forecast  3'!$G15:$CH15&lt;&gt;"committed"))=0,Y242,X242))-X243)</f>
        <v>0</v>
      </c>
      <c r="Z219" s="90">
        <f ca="1">MIN(Z240,'Get Started  3'!$E25*IF('Get Started  3'!$E26="committed capital",1,IF(SUMPRODUCT(--('Forecast  3'!$G15:$CH15&lt;&gt;"committed"))=0,Z242,Y242))-Y243)</f>
        <v>0</v>
      </c>
      <c r="AA219" s="90">
        <f ca="1">MIN(AA240,'Get Started  3'!$E25*IF('Get Started  3'!$E26="committed capital",1,IF(SUMPRODUCT(--('Forecast  3'!$G15:$CH15&lt;&gt;"committed"))=0,AA242,Z242))-Z243)</f>
        <v>0</v>
      </c>
      <c r="AB219" s="90">
        <f ca="1">MIN(AB240,'Get Started  3'!$E25*IF('Get Started  3'!$E26="committed capital",1,IF(SUMPRODUCT(--('Forecast  3'!$G15:$CH15&lt;&gt;"committed"))=0,AB242,AA242))-AA243)</f>
        <v>0</v>
      </c>
      <c r="AC219" s="90">
        <f ca="1">MIN(AC240,'Get Started  3'!$E25*IF('Get Started  3'!$E26="committed capital",1,IF(SUMPRODUCT(--('Forecast  3'!$G15:$CH15&lt;&gt;"committed"))=0,AC242,AB242))-AB243)</f>
        <v>0</v>
      </c>
      <c r="AD219" s="90">
        <f ca="1">MIN(AD240,'Get Started  3'!$E25*IF('Get Started  3'!$E26="committed capital",1,IF(SUMPRODUCT(--('Forecast  3'!$G15:$CH15&lt;&gt;"committed"))=0,AD242,AC242))-AC243)</f>
        <v>0</v>
      </c>
      <c r="AE219" s="90">
        <f ca="1">MIN(AE240,'Get Started  3'!$E25*IF('Get Started  3'!$E26="committed capital",1,IF(SUMPRODUCT(--('Forecast  3'!$G15:$CH15&lt;&gt;"committed"))=0,AE242,AD242))-AD243)</f>
        <v>0</v>
      </c>
      <c r="AF219" s="90">
        <f ca="1">MIN(AF240,'Get Started  3'!$E25*IF('Get Started  3'!$E26="committed capital",1,IF(SUMPRODUCT(--('Forecast  3'!$G15:$CH15&lt;&gt;"committed"))=0,AF242,AE242))-AE243)</f>
        <v>0</v>
      </c>
      <c r="AG219" s="90">
        <f ca="1">MIN(AG240,'Get Started  3'!$E25*IF('Get Started  3'!$E26="committed capital",1,IF(SUMPRODUCT(--('Forecast  3'!$G15:$CH15&lt;&gt;"committed"))=0,AG242,AF242))-AF243)</f>
        <v>0</v>
      </c>
      <c r="AH219" s="90">
        <f ca="1">MIN(AH240,'Get Started  3'!$E25*IF('Get Started  3'!$E26="committed capital",1,IF(SUMPRODUCT(--('Forecast  3'!$G15:$CH15&lt;&gt;"committed"))=0,AH242,AG242))-AG243)</f>
        <v>0</v>
      </c>
      <c r="AI219" s="90">
        <f ca="1">MIN(AI240,'Get Started  3'!$E25*IF('Get Started  3'!$E26="committed capital",1,IF(SUMPRODUCT(--('Forecast  3'!$G15:$CH15&lt;&gt;"committed"))=0,AI242,AH242))-AH243)</f>
        <v>0</v>
      </c>
      <c r="AJ219" s="90">
        <f ca="1">MIN(AJ240,'Get Started  3'!$E25*IF('Get Started  3'!$E26="committed capital",1,IF(SUMPRODUCT(--('Forecast  3'!$G15:$CH15&lt;&gt;"committed"))=0,AJ242,AI242))-AI243)</f>
        <v>0</v>
      </c>
      <c r="AK219" s="90">
        <f ca="1">MIN(AK240,'Get Started  3'!$E25*IF('Get Started  3'!$E26="committed capital",1,IF(SUMPRODUCT(--('Forecast  3'!$G15:$CH15&lt;&gt;"committed"))=0,AK242,AJ242))-AJ243)</f>
        <v>0</v>
      </c>
      <c r="AL219" s="90">
        <f ca="1">MIN(AL240,'Get Started  3'!$E25*IF('Get Started  3'!$E26="committed capital",1,IF(SUMPRODUCT(--('Forecast  3'!$G15:$CH15&lt;&gt;"committed"))=0,AL242,AK242))-AK243)</f>
        <v>0</v>
      </c>
      <c r="AM219" s="90">
        <f ca="1">MIN(AM240,'Get Started  3'!$E25*IF('Get Started  3'!$E26="committed capital",1,IF(SUMPRODUCT(--('Forecast  3'!$G15:$CH15&lt;&gt;"committed"))=0,AM242,AL242))-AL243)</f>
        <v>0</v>
      </c>
      <c r="AN219" s="90">
        <f ca="1">MIN(AN240,'Get Started  3'!$E25*IF('Get Started  3'!$E26="committed capital",1,IF(SUMPRODUCT(--('Forecast  3'!$G15:$CH15&lt;&gt;"committed"))=0,AN242,AM242))-AM243)</f>
        <v>0</v>
      </c>
      <c r="AO219" s="90">
        <f ca="1">MIN(AO240,'Get Started  3'!$E25*IF('Get Started  3'!$E26="committed capital",1,IF(SUMPRODUCT(--('Forecast  3'!$G15:$CH15&lt;&gt;"committed"))=0,AO242,AN242))-AN243)</f>
        <v>0</v>
      </c>
      <c r="AP219" s="90">
        <f ca="1">MIN(AP240,'Get Started  3'!$E25*IF('Get Started  3'!$E26="committed capital",1,IF(SUMPRODUCT(--('Forecast  3'!$G15:$CH15&lt;&gt;"committed"))=0,AP242,AO242))-AO243)</f>
        <v>0</v>
      </c>
      <c r="AQ219" s="90">
        <f ca="1">MIN(AQ240,'Get Started  3'!$E25*IF('Get Started  3'!$E26="committed capital",1,IF(SUMPRODUCT(--('Forecast  3'!$G15:$CH15&lt;&gt;"committed"))=0,AQ242,AP242))-AP243)</f>
        <v>0</v>
      </c>
      <c r="AR219" s="90">
        <f ca="1">MIN(AR240,'Get Started  3'!$E25*IF('Get Started  3'!$E26="committed capital",1,IF(SUMPRODUCT(--('Forecast  3'!$G15:$CH15&lt;&gt;"committed"))=0,AR242,AQ242))-AQ243)</f>
        <v>0</v>
      </c>
      <c r="AS219" s="90">
        <f ca="1">MIN(AS240,'Get Started  3'!$E25*IF('Get Started  3'!$E26="committed capital",1,IF(SUMPRODUCT(--('Forecast  3'!$G15:$CH15&lt;&gt;"committed"))=0,AS242,AR242))-AR243)</f>
        <v>0</v>
      </c>
      <c r="AT219" s="90">
        <f ca="1">MIN(AT240,'Get Started  3'!$E25*IF('Get Started  3'!$E26="committed capital",1,IF(SUMPRODUCT(--('Forecast  3'!$G15:$CH15&lt;&gt;"committed"))=0,AT242,AS242))-AS243)</f>
        <v>0</v>
      </c>
      <c r="AU219" s="90">
        <f ca="1">MIN(AU240,'Get Started  3'!$E25*IF('Get Started  3'!$E26="committed capital",1,IF(SUMPRODUCT(--('Forecast  3'!$G15:$CH15&lt;&gt;"committed"))=0,AU242,AT242))-AT243)</f>
        <v>0</v>
      </c>
      <c r="AV219" s="90">
        <f ca="1">MIN(AV240,'Get Started  3'!$E25*IF('Get Started  3'!$E26="committed capital",1,IF(SUMPRODUCT(--('Forecast  3'!$G15:$CH15&lt;&gt;"committed"))=0,AV242,AU242))-AU243)</f>
        <v>0</v>
      </c>
      <c r="AW219" s="90">
        <f ca="1">MIN(AW240,'Get Started  3'!$E25*IF('Get Started  3'!$E26="committed capital",1,IF(SUMPRODUCT(--('Forecast  3'!$G15:$CH15&lt;&gt;"committed"))=0,AW242,AV242))-AV243)</f>
        <v>0</v>
      </c>
      <c r="AX219" s="90">
        <f ca="1">MIN(AX240,'Get Started  3'!$E25*IF('Get Started  3'!$E26="committed capital",1,IF(SUMPRODUCT(--('Forecast  3'!$G15:$CH15&lt;&gt;"committed"))=0,AX242,AW242))-AW243)</f>
        <v>0</v>
      </c>
      <c r="AY219" s="90">
        <f ca="1">MIN(AY240,'Get Started  3'!$E25*IF('Get Started  3'!$E26="committed capital",1,IF(SUMPRODUCT(--('Forecast  3'!$G15:$CH15&lt;&gt;"committed"))=0,AY242,AX242))-AX243)</f>
        <v>0</v>
      </c>
      <c r="AZ219" s="90">
        <f ca="1">MIN(AZ240,'Get Started  3'!$E25*IF('Get Started  3'!$E26="committed capital",1,IF(SUMPRODUCT(--('Forecast  3'!$G15:$CH15&lt;&gt;"committed"))=0,AZ242,AY242))-AY243)</f>
        <v>0</v>
      </c>
      <c r="BA219" s="90">
        <f ca="1">MIN(BA240,'Get Started  3'!$E25*IF('Get Started  3'!$E26="committed capital",1,IF(SUMPRODUCT(--('Forecast  3'!$G15:$CH15&lt;&gt;"committed"))=0,BA242,AZ242))-AZ243)</f>
        <v>0</v>
      </c>
      <c r="BB219" s="90">
        <f ca="1">MIN(BB240,'Get Started  3'!$E25*IF('Get Started  3'!$E26="committed capital",1,IF(SUMPRODUCT(--('Forecast  3'!$G15:$CH15&lt;&gt;"committed"))=0,BB242,BA242))-BA243)</f>
        <v>0</v>
      </c>
      <c r="BC219" s="90">
        <f ca="1">MIN(BC240,'Get Started  3'!$E25*IF('Get Started  3'!$E26="committed capital",1,IF(SUMPRODUCT(--('Forecast  3'!$G15:$CH15&lt;&gt;"committed"))=0,BC242,BB242))-BB243)</f>
        <v>0</v>
      </c>
      <c r="BD219" s="90">
        <f ca="1">MIN(BD240,'Get Started  3'!$E25*IF('Get Started  3'!$E26="committed capital",1,IF(SUMPRODUCT(--('Forecast  3'!$G15:$CH15&lt;&gt;"committed"))=0,BD242,BC242))-BC243)</f>
        <v>0</v>
      </c>
      <c r="BE219" s="90">
        <f ca="1">MIN(BE240,'Get Started  3'!$E25*IF('Get Started  3'!$E26="committed capital",1,IF(SUMPRODUCT(--('Forecast  3'!$G15:$CH15&lt;&gt;"committed"))=0,BE242,BD242))-BD243)</f>
        <v>0</v>
      </c>
      <c r="BF219" s="90">
        <f ca="1">MIN(BF240,'Get Started  3'!$E25*IF('Get Started  3'!$E26="committed capital",1,IF(SUMPRODUCT(--('Forecast  3'!$G15:$CH15&lt;&gt;"committed"))=0,BF242,BE242))-BE243)</f>
        <v>0</v>
      </c>
      <c r="BG219" s="90">
        <f ca="1">MIN(BG240,'Get Started  3'!$E25*IF('Get Started  3'!$E26="committed capital",1,IF(SUMPRODUCT(--('Forecast  3'!$G15:$CH15&lt;&gt;"committed"))=0,BG242,BF242))-BF243)</f>
        <v>0</v>
      </c>
      <c r="BH219" s="90">
        <f ca="1">MIN(BH240,'Get Started  3'!$E25*IF('Get Started  3'!$E26="committed capital",1,IF(SUMPRODUCT(--('Forecast  3'!$G15:$CH15&lt;&gt;"committed"))=0,BH242,BG242))-BG243)</f>
        <v>0</v>
      </c>
      <c r="BI219" s="90">
        <f ca="1">MIN(BI240,'Get Started  3'!$E25*IF('Get Started  3'!$E26="committed capital",1,IF(SUMPRODUCT(--('Forecast  3'!$G15:$CH15&lt;&gt;"committed"))=0,BI242,BH242))-BH243)</f>
        <v>0</v>
      </c>
      <c r="BJ219" s="90">
        <f ca="1">MIN(BJ240,'Get Started  3'!$E25*IF('Get Started  3'!$E26="committed capital",1,IF(SUMPRODUCT(--('Forecast  3'!$G15:$CH15&lt;&gt;"committed"))=0,BJ242,BI242))-BI243)</f>
        <v>0</v>
      </c>
      <c r="BK219" s="90">
        <f ca="1">MIN(BK240,'Get Started  3'!$E25*IF('Get Started  3'!$E26="committed capital",1,IF(SUMPRODUCT(--('Forecast  3'!$G15:$CH15&lt;&gt;"committed"))=0,BK242,BJ242))-BJ243)</f>
        <v>0</v>
      </c>
      <c r="BL219" s="90">
        <f ca="1">MIN(BL240,'Get Started  3'!$E25*IF('Get Started  3'!$E26="committed capital",1,IF(SUMPRODUCT(--('Forecast  3'!$G15:$CH15&lt;&gt;"committed"))=0,BL242,BK242))-BK243)</f>
        <v>0</v>
      </c>
      <c r="BM219" s="90">
        <f ca="1">MIN(BM240,'Get Started  3'!$E25*IF('Get Started  3'!$E26="committed capital",1,IF(SUMPRODUCT(--('Forecast  3'!$G15:$CH15&lt;&gt;"committed"))=0,BM242,BL242))-BL243)</f>
        <v>0</v>
      </c>
      <c r="BN219" s="90">
        <f ca="1">MIN(BN240,'Get Started  3'!$E25*IF('Get Started  3'!$E26="committed capital",1,IF(SUMPRODUCT(--('Forecast  3'!$G15:$CH15&lt;&gt;"committed"))=0,BN242,BM242))-BM243)</f>
        <v>0</v>
      </c>
      <c r="BO219" s="90">
        <f ca="1">MIN(BO240,'Get Started  3'!$E25*IF('Get Started  3'!$E26="committed capital",1,IF(SUMPRODUCT(--('Forecast  3'!$G15:$CH15&lt;&gt;"committed"))=0,BO242,BN242))-BN243)</f>
        <v>0</v>
      </c>
      <c r="BP219" s="90">
        <f ca="1">MIN(BP240,'Get Started  3'!$E25*IF('Get Started  3'!$E26="committed capital",1,IF(SUMPRODUCT(--('Forecast  3'!$G15:$CH15&lt;&gt;"committed"))=0,BP242,BO242))-BO243)</f>
        <v>0</v>
      </c>
      <c r="BQ219" s="90">
        <f ca="1">MIN(BQ240,'Get Started  3'!$E25*IF('Get Started  3'!$E26="committed capital",1,IF(SUMPRODUCT(--('Forecast  3'!$G15:$CH15&lt;&gt;"committed"))=0,BQ242,BP242))-BP243)</f>
        <v>0</v>
      </c>
      <c r="BR219" s="90">
        <f ca="1">MIN(BR240,'Get Started  3'!$E25*IF('Get Started  3'!$E26="committed capital",1,IF(SUMPRODUCT(--('Forecast  3'!$G15:$CH15&lt;&gt;"committed"))=0,BR242,BQ242))-BQ243)</f>
        <v>0</v>
      </c>
      <c r="BS219" s="90">
        <f ca="1">MIN(BS240,'Get Started  3'!$E25*IF('Get Started  3'!$E26="committed capital",1,IF(SUMPRODUCT(--('Forecast  3'!$G15:$CH15&lt;&gt;"committed"))=0,BS242,BR242))-BR243)</f>
        <v>0</v>
      </c>
      <c r="BT219" s="90">
        <f ca="1">MIN(BT240,'Get Started  3'!$E25*IF('Get Started  3'!$E26="committed capital",1,IF(SUMPRODUCT(--('Forecast  3'!$G15:$CH15&lt;&gt;"committed"))=0,BT242,BS242))-BS243)</f>
        <v>0</v>
      </c>
      <c r="BU219" s="90">
        <f ca="1">MIN(BU240,'Get Started  3'!$E25*IF('Get Started  3'!$E26="committed capital",1,IF(SUMPRODUCT(--('Forecast  3'!$G15:$CH15&lt;&gt;"committed"))=0,BU242,BT242))-BT243)</f>
        <v>0</v>
      </c>
      <c r="BV219" s="90">
        <f ca="1">MIN(BV240,'Get Started  3'!$E25*IF('Get Started  3'!$E26="committed capital",1,IF(SUMPRODUCT(--('Forecast  3'!$G15:$CH15&lt;&gt;"committed"))=0,BV242,BU242))-BU243)</f>
        <v>0</v>
      </c>
      <c r="BW219" s="90">
        <f ca="1">MIN(BW240,'Get Started  3'!$E25*IF('Get Started  3'!$E26="committed capital",1,IF(SUMPRODUCT(--('Forecast  3'!$G15:$CH15&lt;&gt;"committed"))=0,BW242,BV242))-BV243)</f>
        <v>0</v>
      </c>
      <c r="BX219" s="90">
        <f ca="1">MIN(BX240,'Get Started  3'!$E25*IF('Get Started  3'!$E26="committed capital",1,IF(SUMPRODUCT(--('Forecast  3'!$G15:$CH15&lt;&gt;"committed"))=0,BX242,BW242))-BW243)</f>
        <v>0</v>
      </c>
      <c r="BY219" s="90">
        <f ca="1">MIN(BY240,'Get Started  3'!$E25*IF('Get Started  3'!$E26="committed capital",1,IF(SUMPRODUCT(--('Forecast  3'!$G15:$CH15&lt;&gt;"committed"))=0,BY242,BX242))-BX243)</f>
        <v>0</v>
      </c>
      <c r="BZ219" s="90">
        <f ca="1">MIN(BZ240,'Get Started  3'!$E25*IF('Get Started  3'!$E26="committed capital",1,IF(SUMPRODUCT(--('Forecast  3'!$G15:$CH15&lt;&gt;"committed"))=0,BZ242,BY242))-BY243)</f>
        <v>0</v>
      </c>
      <c r="CA219" s="90">
        <f ca="1">MIN(CA240,'Get Started  3'!$E25*IF('Get Started  3'!$E26="committed capital",1,IF(SUMPRODUCT(--('Forecast  3'!$G15:$CH15&lt;&gt;"committed"))=0,CA242,BZ242))-BZ243)</f>
        <v>0</v>
      </c>
      <c r="CB219" s="90">
        <f ca="1">MIN(CB240,'Get Started  3'!$E25*IF('Get Started  3'!$E26="committed capital",1,IF(SUMPRODUCT(--('Forecast  3'!$G15:$CH15&lt;&gt;"committed"))=0,CB242,CA242))-CA243)</f>
        <v>0</v>
      </c>
      <c r="CC219" s="90">
        <f ca="1">MIN(CC240,'Get Started  3'!$E25*IF('Get Started  3'!$E26="committed capital",1,IF(SUMPRODUCT(--('Forecast  3'!$G15:$CH15&lt;&gt;"committed"))=0,CC242,CB242))-CB243)</f>
        <v>0</v>
      </c>
      <c r="CD219" s="90">
        <f ca="1">MIN(CD240,'Get Started  3'!$E25*IF('Get Started  3'!$E26="committed capital",1,IF(SUMPRODUCT(--('Forecast  3'!$G15:$CH15&lt;&gt;"committed"))=0,CD242,CC242))-CC243)</f>
        <v>0</v>
      </c>
      <c r="CE219" s="90">
        <f ca="1">MIN(CE240,'Get Started  3'!$E25*IF('Get Started  3'!$E26="committed capital",1,IF(SUMPRODUCT(--('Forecast  3'!$G15:$CH15&lt;&gt;"committed"))=0,CE242,CD242))-CD243)</f>
        <v>0</v>
      </c>
      <c r="CF219" s="90">
        <f ca="1">MIN(CF240,'Get Started  3'!$E25*IF('Get Started  3'!$E26="committed capital",1,IF(SUMPRODUCT(--('Forecast  3'!$G15:$CH15&lt;&gt;"committed"))=0,CF242,CE242))-CE243)</f>
        <v>0</v>
      </c>
      <c r="CG219" s="90">
        <f ca="1">MIN(CG240,'Get Started  3'!$E25*IF('Get Started  3'!$E26="committed capital",1,IF(SUMPRODUCT(--('Forecast  3'!$G15:$CH15&lt;&gt;"committed"))=0,CG242,CF242))-CF243)</f>
        <v>0</v>
      </c>
      <c r="CH219" s="90">
        <f ca="1">MIN(CH240,'Get Started  3'!$E25*IF('Get Started  3'!$E26="committed capital",1,IF(SUMPRODUCT(--('Forecast  3'!$G15:$CH15&lt;&gt;"committed"))=0,CH242,CG242))-CG243)</f>
        <v>0</v>
      </c>
    </row>
    <row r="220" spans="1:86" ht="13" outlineLevel="1">
      <c r="A220" s="13"/>
      <c r="B220" s="13" t="s">
        <v>328</v>
      </c>
      <c r="C220" s="91"/>
      <c r="D220" s="13" t="s">
        <v>238</v>
      </c>
      <c r="E220" s="88">
        <f t="shared" ca="1" si="170"/>
        <v>0.45451388888888888</v>
      </c>
      <c r="F220" s="48"/>
      <c r="G220" s="90">
        <f ca="1">G8/$E8*'Get Started  3'!$E82*(1-$E216-$E217-$E218)+G219*'Get Started  3'!$E82*G8</f>
        <v>2.7270833333333338E-2</v>
      </c>
      <c r="H220" s="90">
        <f ca="1">H8/$E8*'Get Started  3'!$E82*(1-$E216-$E217-$E218)+H219*'Get Started  3'!$E82*H8</f>
        <v>2.7270833333333338E-2</v>
      </c>
      <c r="I220" s="90">
        <f ca="1">I8/$E8*'Get Started  3'!$E82*(1-$E216-$E217-$E218)+I219*'Get Started  3'!$E82*I8</f>
        <v>2.7270833333333338E-2</v>
      </c>
      <c r="J220" s="90">
        <f ca="1">J8/$E8*'Get Started  3'!$E82*(1-$E216-$E217-$E218)+J219*'Get Started  3'!$E82*J8</f>
        <v>2.7270833333333338E-2</v>
      </c>
      <c r="K220" s="90">
        <f ca="1">K8/$E8*'Get Started  3'!$E82*(1-$E216-$E217-$E218)+K219*'Get Started  3'!$E82*K8</f>
        <v>2.7270833333333338E-2</v>
      </c>
      <c r="L220" s="90">
        <f ca="1">L8/$E8*'Get Started  3'!$E82*(1-$E216-$E217-$E218)+L219*'Get Started  3'!$E82*L8</f>
        <v>2.7270833333333338E-2</v>
      </c>
      <c r="M220" s="90">
        <f ca="1">M8/$E8*'Get Started  3'!$E82*(1-$E216-$E217-$E218)+M219*'Get Started  3'!$E82*M8</f>
        <v>2.7270833333333338E-2</v>
      </c>
      <c r="N220" s="90">
        <f ca="1">N8/$E8*'Get Started  3'!$E82*(1-$E216-$E217-$E218)+N219*'Get Started  3'!$E82*N8</f>
        <v>2.7270833333333338E-2</v>
      </c>
      <c r="O220" s="90">
        <f ca="1">O8/$E8*'Get Started  3'!$E82*(1-$E216-$E217-$E218)+O219*'Get Started  3'!$E82*O8</f>
        <v>2.7270833333333338E-2</v>
      </c>
      <c r="P220" s="90">
        <f ca="1">P8/$E8*'Get Started  3'!$E82*(1-$E216-$E217-$E218)+P219*'Get Started  3'!$E82*P8</f>
        <v>2.7270833333333338E-2</v>
      </c>
      <c r="Q220" s="90">
        <f ca="1">Q8/$E8*'Get Started  3'!$E82*(1-$E216-$E217-$E218)+Q219*'Get Started  3'!$E82*Q8</f>
        <v>2.7270833333333338E-2</v>
      </c>
      <c r="R220" s="90">
        <f ca="1">R8/$E8*'Get Started  3'!$E82*(1-$E216-$E217-$E218)+R219*'Get Started  3'!$E82*R8</f>
        <v>2.7270833333333338E-2</v>
      </c>
      <c r="S220" s="90">
        <f ca="1">S8/$E8*'Get Started  3'!$E82*(1-$E216-$E217-$E218)+S219*'Get Started  3'!$E82*S8</f>
        <v>3.1815972222222225E-2</v>
      </c>
      <c r="T220" s="90">
        <f ca="1">T8/$E8*'Get Started  3'!$E82*(1-$E216-$E217-$E218)+T219*'Get Started  3'!$E82*T8</f>
        <v>3.1815972222222225E-2</v>
      </c>
      <c r="U220" s="90">
        <f ca="1">U8/$E8*'Get Started  3'!$E82*(1-$E216-$E217-$E218)+U219*'Get Started  3'!$E82*U8</f>
        <v>3.1815972222222225E-2</v>
      </c>
      <c r="V220" s="90">
        <f ca="1">V8/$E8*'Get Started  3'!$E82*(1-$E216-$E217-$E218)+V219*'Get Started  3'!$E82*V8</f>
        <v>3.1815972222222225E-2</v>
      </c>
      <c r="W220" s="90">
        <f ca="1">W8/$E8*'Get Started  3'!$E82*(1-$E216-$E217-$E218)+W219*'Get Started  3'!$E82*W8</f>
        <v>0</v>
      </c>
      <c r="X220" s="90">
        <f ca="1">X8/$E8*'Get Started  3'!$E82*(1-$E216-$E217-$E218)+X219*'Get Started  3'!$E82*X8</f>
        <v>0</v>
      </c>
      <c r="Y220" s="90">
        <f ca="1">Y8/$E8*'Get Started  3'!$E82*(1-$E216-$E217-$E218)+Y219*'Get Started  3'!$E82*Y8</f>
        <v>0</v>
      </c>
      <c r="Z220" s="90">
        <f ca="1">Z8/$E8*'Get Started  3'!$E82*(1-$E216-$E217-$E218)+Z219*'Get Started  3'!$E82*Z8</f>
        <v>0</v>
      </c>
      <c r="AA220" s="90">
        <f ca="1">AA8/$E8*'Get Started  3'!$E82*(1-$E216-$E217-$E218)+AA219*'Get Started  3'!$E82*AA8</f>
        <v>0</v>
      </c>
      <c r="AB220" s="90">
        <f ca="1">AB8/$E8*'Get Started  3'!$E82*(1-$E216-$E217-$E218)+AB219*'Get Started  3'!$E82*AB8</f>
        <v>0</v>
      </c>
      <c r="AC220" s="90">
        <f ca="1">AC8/$E8*'Get Started  3'!$E82*(1-$E216-$E217-$E218)+AC219*'Get Started  3'!$E82*AC8</f>
        <v>0</v>
      </c>
      <c r="AD220" s="90">
        <f ca="1">AD8/$E8*'Get Started  3'!$E82*(1-$E216-$E217-$E218)+AD219*'Get Started  3'!$E82*AD8</f>
        <v>0</v>
      </c>
      <c r="AE220" s="90">
        <f ca="1">AE8/$E8*'Get Started  3'!$E82*(1-$E216-$E217-$E218)+AE219*'Get Started  3'!$E82*AE8</f>
        <v>0</v>
      </c>
      <c r="AF220" s="90">
        <f ca="1">AF8/$E8*'Get Started  3'!$E82*(1-$E216-$E217-$E218)+AF219*'Get Started  3'!$E82*AF8</f>
        <v>0</v>
      </c>
      <c r="AG220" s="90">
        <f ca="1">AG8/$E8*'Get Started  3'!$E82*(1-$E216-$E217-$E218)+AG219*'Get Started  3'!$E82*AG8</f>
        <v>0</v>
      </c>
      <c r="AH220" s="90">
        <f ca="1">AH8/$E8*'Get Started  3'!$E82*(1-$E216-$E217-$E218)+AH219*'Get Started  3'!$E82*AH8</f>
        <v>0</v>
      </c>
      <c r="AI220" s="90">
        <f ca="1">AI8/$E8*'Get Started  3'!$E82*(1-$E216-$E217-$E218)+AI219*'Get Started  3'!$E82*AI8</f>
        <v>0</v>
      </c>
      <c r="AJ220" s="90">
        <f ca="1">AJ8/$E8*'Get Started  3'!$E82*(1-$E216-$E217-$E218)+AJ219*'Get Started  3'!$E82*AJ8</f>
        <v>0</v>
      </c>
      <c r="AK220" s="90">
        <f ca="1">AK8/$E8*'Get Started  3'!$E82*(1-$E216-$E217-$E218)+AK219*'Get Started  3'!$E82*AK8</f>
        <v>0</v>
      </c>
      <c r="AL220" s="90">
        <f ca="1">AL8/$E8*'Get Started  3'!$E82*(1-$E216-$E217-$E218)+AL219*'Get Started  3'!$E82*AL8</f>
        <v>0</v>
      </c>
      <c r="AM220" s="90">
        <f ca="1">AM8/$E8*'Get Started  3'!$E82*(1-$E216-$E217-$E218)+AM219*'Get Started  3'!$E82*AM8</f>
        <v>0</v>
      </c>
      <c r="AN220" s="90">
        <f ca="1">AN8/$E8*'Get Started  3'!$E82*(1-$E216-$E217-$E218)+AN219*'Get Started  3'!$E82*AN8</f>
        <v>0</v>
      </c>
      <c r="AO220" s="90">
        <f ca="1">AO8/$E8*'Get Started  3'!$E82*(1-$E216-$E217-$E218)+AO219*'Get Started  3'!$E82*AO8</f>
        <v>0</v>
      </c>
      <c r="AP220" s="90">
        <f ca="1">AP8/$E8*'Get Started  3'!$E82*(1-$E216-$E217-$E218)+AP219*'Get Started  3'!$E82*AP8</f>
        <v>0</v>
      </c>
      <c r="AQ220" s="90">
        <f ca="1">AQ8/$E8*'Get Started  3'!$E82*(1-$E216-$E217-$E218)+AQ219*'Get Started  3'!$E82*AQ8</f>
        <v>0</v>
      </c>
      <c r="AR220" s="90">
        <f ca="1">AR8/$E8*'Get Started  3'!$E82*(1-$E216-$E217-$E218)+AR219*'Get Started  3'!$E82*AR8</f>
        <v>0</v>
      </c>
      <c r="AS220" s="90">
        <f ca="1">AS8/$E8*'Get Started  3'!$E82*(1-$E216-$E217-$E218)+AS219*'Get Started  3'!$E82*AS8</f>
        <v>0</v>
      </c>
      <c r="AT220" s="90">
        <f ca="1">AT8/$E8*'Get Started  3'!$E82*(1-$E216-$E217-$E218)+AT219*'Get Started  3'!$E82*AT8</f>
        <v>0</v>
      </c>
      <c r="AU220" s="90">
        <f ca="1">AU8/$E8*'Get Started  3'!$E82*(1-$E216-$E217-$E218)+AU219*'Get Started  3'!$E82*AU8</f>
        <v>0</v>
      </c>
      <c r="AV220" s="90">
        <f ca="1">AV8/$E8*'Get Started  3'!$E82*(1-$E216-$E217-$E218)+AV219*'Get Started  3'!$E82*AV8</f>
        <v>0</v>
      </c>
      <c r="AW220" s="90">
        <f ca="1">AW8/$E8*'Get Started  3'!$E82*(1-$E216-$E217-$E218)+AW219*'Get Started  3'!$E82*AW8</f>
        <v>0</v>
      </c>
      <c r="AX220" s="90">
        <f ca="1">AX8/$E8*'Get Started  3'!$E82*(1-$E216-$E217-$E218)+AX219*'Get Started  3'!$E82*AX8</f>
        <v>0</v>
      </c>
      <c r="AY220" s="90">
        <f ca="1">AY8/$E8*'Get Started  3'!$E82*(1-$E216-$E217-$E218)+AY219*'Get Started  3'!$E82*AY8</f>
        <v>0</v>
      </c>
      <c r="AZ220" s="90">
        <f ca="1">AZ8/$E8*'Get Started  3'!$E82*(1-$E216-$E217-$E218)+AZ219*'Get Started  3'!$E82*AZ8</f>
        <v>0</v>
      </c>
      <c r="BA220" s="90">
        <f ca="1">BA8/$E8*'Get Started  3'!$E82*(1-$E216-$E217-$E218)+BA219*'Get Started  3'!$E82*BA8</f>
        <v>0</v>
      </c>
      <c r="BB220" s="90">
        <f ca="1">BB8/$E8*'Get Started  3'!$E82*(1-$E216-$E217-$E218)+BB219*'Get Started  3'!$E82*BB8</f>
        <v>0</v>
      </c>
      <c r="BC220" s="90">
        <f ca="1">BC8/$E8*'Get Started  3'!$E82*(1-$E216-$E217-$E218)+BC219*'Get Started  3'!$E82*BC8</f>
        <v>0</v>
      </c>
      <c r="BD220" s="90">
        <f ca="1">BD8/$E8*'Get Started  3'!$E82*(1-$E216-$E217-$E218)+BD219*'Get Started  3'!$E82*BD8</f>
        <v>0</v>
      </c>
      <c r="BE220" s="90">
        <f ca="1">BE8/$E8*'Get Started  3'!$E82*(1-$E216-$E217-$E218)+BE219*'Get Started  3'!$E82*BE8</f>
        <v>0</v>
      </c>
      <c r="BF220" s="90">
        <f ca="1">BF8/$E8*'Get Started  3'!$E82*(1-$E216-$E217-$E218)+BF219*'Get Started  3'!$E82*BF8</f>
        <v>0</v>
      </c>
      <c r="BG220" s="90">
        <f ca="1">BG8/$E8*'Get Started  3'!$E82*(1-$E216-$E217-$E218)+BG219*'Get Started  3'!$E82*BG8</f>
        <v>0</v>
      </c>
      <c r="BH220" s="90">
        <f ca="1">BH8/$E8*'Get Started  3'!$E82*(1-$E216-$E217-$E218)+BH219*'Get Started  3'!$E82*BH8</f>
        <v>0</v>
      </c>
      <c r="BI220" s="90">
        <f ca="1">BI8/$E8*'Get Started  3'!$E82*(1-$E216-$E217-$E218)+BI219*'Get Started  3'!$E82*BI8</f>
        <v>0</v>
      </c>
      <c r="BJ220" s="90">
        <f ca="1">BJ8/$E8*'Get Started  3'!$E82*(1-$E216-$E217-$E218)+BJ219*'Get Started  3'!$E82*BJ8</f>
        <v>0</v>
      </c>
      <c r="BK220" s="90">
        <f ca="1">BK8/$E8*'Get Started  3'!$E82*(1-$E216-$E217-$E218)+BK219*'Get Started  3'!$E82*BK8</f>
        <v>0</v>
      </c>
      <c r="BL220" s="90">
        <f ca="1">BL8/$E8*'Get Started  3'!$E82*(1-$E216-$E217-$E218)+BL219*'Get Started  3'!$E82*BL8</f>
        <v>0</v>
      </c>
      <c r="BM220" s="90">
        <f ca="1">BM8/$E8*'Get Started  3'!$E82*(1-$E216-$E217-$E218)+BM219*'Get Started  3'!$E82*BM8</f>
        <v>0</v>
      </c>
      <c r="BN220" s="90">
        <f ca="1">BN8/$E8*'Get Started  3'!$E82*(1-$E216-$E217-$E218)+BN219*'Get Started  3'!$E82*BN8</f>
        <v>0</v>
      </c>
      <c r="BO220" s="90">
        <f ca="1">BO8/$E8*'Get Started  3'!$E82*(1-$E216-$E217-$E218)+BO219*'Get Started  3'!$E82*BO8</f>
        <v>0</v>
      </c>
      <c r="BP220" s="90">
        <f ca="1">BP8/$E8*'Get Started  3'!$E82*(1-$E216-$E217-$E218)+BP219*'Get Started  3'!$E82*BP8</f>
        <v>0</v>
      </c>
      <c r="BQ220" s="90">
        <f ca="1">BQ8/$E8*'Get Started  3'!$E82*(1-$E216-$E217-$E218)+BQ219*'Get Started  3'!$E82*BQ8</f>
        <v>0</v>
      </c>
      <c r="BR220" s="90">
        <f ca="1">BR8/$E8*'Get Started  3'!$E82*(1-$E216-$E217-$E218)+BR219*'Get Started  3'!$E82*BR8</f>
        <v>0</v>
      </c>
      <c r="BS220" s="90">
        <f ca="1">BS8/$E8*'Get Started  3'!$E82*(1-$E216-$E217-$E218)+BS219*'Get Started  3'!$E82*BS8</f>
        <v>0</v>
      </c>
      <c r="BT220" s="90">
        <f ca="1">BT8/$E8*'Get Started  3'!$E82*(1-$E216-$E217-$E218)+BT219*'Get Started  3'!$E82*BT8</f>
        <v>0</v>
      </c>
      <c r="BU220" s="90">
        <f ca="1">BU8/$E8*'Get Started  3'!$E82*(1-$E216-$E217-$E218)+BU219*'Get Started  3'!$E82*BU8</f>
        <v>0</v>
      </c>
      <c r="BV220" s="90">
        <f ca="1">BV8/$E8*'Get Started  3'!$E82*(1-$E216-$E217-$E218)+BV219*'Get Started  3'!$E82*BV8</f>
        <v>0</v>
      </c>
      <c r="BW220" s="90">
        <f ca="1">BW8/$E8*'Get Started  3'!$E82*(1-$E216-$E217-$E218)+BW219*'Get Started  3'!$E82*BW8</f>
        <v>0</v>
      </c>
      <c r="BX220" s="90">
        <f ca="1">BX8/$E8*'Get Started  3'!$E82*(1-$E216-$E217-$E218)+BX219*'Get Started  3'!$E82*BX8</f>
        <v>0</v>
      </c>
      <c r="BY220" s="90">
        <f ca="1">BY8/$E8*'Get Started  3'!$E82*(1-$E216-$E217-$E218)+BY219*'Get Started  3'!$E82*BY8</f>
        <v>0</v>
      </c>
      <c r="BZ220" s="90">
        <f ca="1">BZ8/$E8*'Get Started  3'!$E82*(1-$E216-$E217-$E218)+BZ219*'Get Started  3'!$E82*BZ8</f>
        <v>0</v>
      </c>
      <c r="CA220" s="90">
        <f ca="1">CA8/$E8*'Get Started  3'!$E82*(1-$E216-$E217-$E218)+CA219*'Get Started  3'!$E82*CA8</f>
        <v>0</v>
      </c>
      <c r="CB220" s="90">
        <f ca="1">CB8/$E8*'Get Started  3'!$E82*(1-$E216-$E217-$E218)+CB219*'Get Started  3'!$E82*CB8</f>
        <v>0</v>
      </c>
      <c r="CC220" s="90">
        <f ca="1">CC8/$E8*'Get Started  3'!$E82*(1-$E216-$E217-$E218)+CC219*'Get Started  3'!$E82*CC8</f>
        <v>0</v>
      </c>
      <c r="CD220" s="90">
        <f ca="1">CD8/$E8*'Get Started  3'!$E82*(1-$E216-$E217-$E218)+CD219*'Get Started  3'!$E82*CD8</f>
        <v>0</v>
      </c>
      <c r="CE220" s="90">
        <f ca="1">CE8/$E8*'Get Started  3'!$E82*(1-$E216-$E217-$E218)+CE219*'Get Started  3'!$E82*CE8</f>
        <v>0</v>
      </c>
      <c r="CF220" s="90">
        <f ca="1">CF8/$E8*'Get Started  3'!$E82*(1-$E216-$E217-$E218)+CF219*'Get Started  3'!$E82*CF8</f>
        <v>0</v>
      </c>
      <c r="CG220" s="90">
        <f ca="1">CG8/$E8*'Get Started  3'!$E82*(1-$E216-$E217-$E218)+CG219*'Get Started  3'!$E82*CG8</f>
        <v>0</v>
      </c>
      <c r="CH220" s="90">
        <f ca="1">CH8/$E8*'Get Started  3'!$E82*(1-$E216-$E217-$E218)+CH219*'Get Started  3'!$E82*CH8</f>
        <v>0</v>
      </c>
    </row>
    <row r="221" spans="1:86" ht="13" outlineLevel="1">
      <c r="A221" s="13"/>
      <c r="B221" s="13" t="s">
        <v>328</v>
      </c>
      <c r="C221" s="91"/>
      <c r="D221" s="13" t="s">
        <v>238</v>
      </c>
      <c r="E221" s="88">
        <f t="shared" ca="1" si="170"/>
        <v>0.13368055555555561</v>
      </c>
      <c r="F221" s="48"/>
      <c r="G221" s="90">
        <f ca="1">G8/$E8*'Get Started  3'!$F82*(1-$E216-$E217-$E218)+G219*'Get Started  3'!$F82*G8</f>
        <v>8.0208333333333364E-3</v>
      </c>
      <c r="H221" s="90">
        <f ca="1">H8/$E8*'Get Started  3'!$F82*(1-$E216-$E217-$E218)+H219*'Get Started  3'!$F82*H8</f>
        <v>8.0208333333333364E-3</v>
      </c>
      <c r="I221" s="90">
        <f ca="1">I8/$E8*'Get Started  3'!$F82*(1-$E216-$E217-$E218)+I219*'Get Started  3'!$F82*I8</f>
        <v>8.0208333333333364E-3</v>
      </c>
      <c r="J221" s="90">
        <f ca="1">J8/$E8*'Get Started  3'!$F82*(1-$E216-$E217-$E218)+J219*'Get Started  3'!$F82*J8</f>
        <v>8.0208333333333364E-3</v>
      </c>
      <c r="K221" s="90">
        <f ca="1">K8/$E8*'Get Started  3'!$F82*(1-$E216-$E217-$E218)+K219*'Get Started  3'!$F82*K8</f>
        <v>8.0208333333333364E-3</v>
      </c>
      <c r="L221" s="90">
        <f ca="1">L8/$E8*'Get Started  3'!$F82*(1-$E216-$E217-$E218)+L219*'Get Started  3'!$F82*L8</f>
        <v>8.0208333333333364E-3</v>
      </c>
      <c r="M221" s="90">
        <f ca="1">M8/$E8*'Get Started  3'!$F82*(1-$E216-$E217-$E218)+M219*'Get Started  3'!$F82*M8</f>
        <v>8.0208333333333364E-3</v>
      </c>
      <c r="N221" s="90">
        <f ca="1">N8/$E8*'Get Started  3'!$F82*(1-$E216-$E217-$E218)+N219*'Get Started  3'!$F82*N8</f>
        <v>8.0208333333333364E-3</v>
      </c>
      <c r="O221" s="90">
        <f ca="1">O8/$E8*'Get Started  3'!$F82*(1-$E216-$E217-$E218)+O219*'Get Started  3'!$F82*O8</f>
        <v>8.0208333333333364E-3</v>
      </c>
      <c r="P221" s="90">
        <f ca="1">P8/$E8*'Get Started  3'!$F82*(1-$E216-$E217-$E218)+P219*'Get Started  3'!$F82*P8</f>
        <v>8.0208333333333364E-3</v>
      </c>
      <c r="Q221" s="90">
        <f ca="1">Q8/$E8*'Get Started  3'!$F82*(1-$E216-$E217-$E218)+Q219*'Get Started  3'!$F82*Q8</f>
        <v>8.0208333333333364E-3</v>
      </c>
      <c r="R221" s="90">
        <f ca="1">R8/$E8*'Get Started  3'!$F82*(1-$E216-$E217-$E218)+R219*'Get Started  3'!$F82*R8</f>
        <v>8.0208333333333364E-3</v>
      </c>
      <c r="S221" s="90">
        <f ca="1">S8/$E8*'Get Started  3'!$F82*(1-$E216-$E217-$E218)+S219*'Get Started  3'!$F82*S8</f>
        <v>9.3576388888888928E-3</v>
      </c>
      <c r="T221" s="90">
        <f ca="1">T8/$E8*'Get Started  3'!$F82*(1-$E216-$E217-$E218)+T219*'Get Started  3'!$F82*T8</f>
        <v>9.3576388888888928E-3</v>
      </c>
      <c r="U221" s="90">
        <f ca="1">U8/$E8*'Get Started  3'!$F82*(1-$E216-$E217-$E218)+U219*'Get Started  3'!$F82*U8</f>
        <v>9.3576388888888928E-3</v>
      </c>
      <c r="V221" s="90">
        <f ca="1">V8/$E8*'Get Started  3'!$F82*(1-$E216-$E217-$E218)+V219*'Get Started  3'!$F82*V8</f>
        <v>9.3576388888888928E-3</v>
      </c>
      <c r="W221" s="90">
        <f ca="1">W8/$E8*'Get Started  3'!$F82*(1-$E216-$E217-$E218)+W219*'Get Started  3'!$F82*W8</f>
        <v>0</v>
      </c>
      <c r="X221" s="90">
        <f ca="1">X8/$E8*'Get Started  3'!$F82*(1-$E216-$E217-$E218)+X219*'Get Started  3'!$F82*X8</f>
        <v>0</v>
      </c>
      <c r="Y221" s="90">
        <f ca="1">Y8/$E8*'Get Started  3'!$F82*(1-$E216-$E217-$E218)+Y219*'Get Started  3'!$F82*Y8</f>
        <v>0</v>
      </c>
      <c r="Z221" s="90">
        <f ca="1">Z8/$E8*'Get Started  3'!$F82*(1-$E216-$E217-$E218)+Z219*'Get Started  3'!$F82*Z8</f>
        <v>0</v>
      </c>
      <c r="AA221" s="90">
        <f ca="1">AA8/$E8*'Get Started  3'!$F82*(1-$E216-$E217-$E218)+AA219*'Get Started  3'!$F82*AA8</f>
        <v>0</v>
      </c>
      <c r="AB221" s="90">
        <f ca="1">AB8/$E8*'Get Started  3'!$F82*(1-$E216-$E217-$E218)+AB219*'Get Started  3'!$F82*AB8</f>
        <v>0</v>
      </c>
      <c r="AC221" s="90">
        <f ca="1">AC8/$E8*'Get Started  3'!$F82*(1-$E216-$E217-$E218)+AC219*'Get Started  3'!$F82*AC8</f>
        <v>0</v>
      </c>
      <c r="AD221" s="90">
        <f ca="1">AD8/$E8*'Get Started  3'!$F82*(1-$E216-$E217-$E218)+AD219*'Get Started  3'!$F82*AD8</f>
        <v>0</v>
      </c>
      <c r="AE221" s="90">
        <f ca="1">AE8/$E8*'Get Started  3'!$F82*(1-$E216-$E217-$E218)+AE219*'Get Started  3'!$F82*AE8</f>
        <v>0</v>
      </c>
      <c r="AF221" s="90">
        <f ca="1">AF8/$E8*'Get Started  3'!$F82*(1-$E216-$E217-$E218)+AF219*'Get Started  3'!$F82*AF8</f>
        <v>0</v>
      </c>
      <c r="AG221" s="90">
        <f ca="1">AG8/$E8*'Get Started  3'!$F82*(1-$E216-$E217-$E218)+AG219*'Get Started  3'!$F82*AG8</f>
        <v>0</v>
      </c>
      <c r="AH221" s="90">
        <f ca="1">AH8/$E8*'Get Started  3'!$F82*(1-$E216-$E217-$E218)+AH219*'Get Started  3'!$F82*AH8</f>
        <v>0</v>
      </c>
      <c r="AI221" s="90">
        <f ca="1">AI8/$E8*'Get Started  3'!$F82*(1-$E216-$E217-$E218)+AI219*'Get Started  3'!$F82*AI8</f>
        <v>0</v>
      </c>
      <c r="AJ221" s="90">
        <f ca="1">AJ8/$E8*'Get Started  3'!$F82*(1-$E216-$E217-$E218)+AJ219*'Get Started  3'!$F82*AJ8</f>
        <v>0</v>
      </c>
      <c r="AK221" s="90">
        <f ca="1">AK8/$E8*'Get Started  3'!$F82*(1-$E216-$E217-$E218)+AK219*'Get Started  3'!$F82*AK8</f>
        <v>0</v>
      </c>
      <c r="AL221" s="90">
        <f ca="1">AL8/$E8*'Get Started  3'!$F82*(1-$E216-$E217-$E218)+AL219*'Get Started  3'!$F82*AL8</f>
        <v>0</v>
      </c>
      <c r="AM221" s="90">
        <f ca="1">AM8/$E8*'Get Started  3'!$F82*(1-$E216-$E217-$E218)+AM219*'Get Started  3'!$F82*AM8</f>
        <v>0</v>
      </c>
      <c r="AN221" s="90">
        <f ca="1">AN8/$E8*'Get Started  3'!$F82*(1-$E216-$E217-$E218)+AN219*'Get Started  3'!$F82*AN8</f>
        <v>0</v>
      </c>
      <c r="AO221" s="90">
        <f ca="1">AO8/$E8*'Get Started  3'!$F82*(1-$E216-$E217-$E218)+AO219*'Get Started  3'!$F82*AO8</f>
        <v>0</v>
      </c>
      <c r="AP221" s="90">
        <f ca="1">AP8/$E8*'Get Started  3'!$F82*(1-$E216-$E217-$E218)+AP219*'Get Started  3'!$F82*AP8</f>
        <v>0</v>
      </c>
      <c r="AQ221" s="90">
        <f ca="1">AQ8/$E8*'Get Started  3'!$F82*(1-$E216-$E217-$E218)+AQ219*'Get Started  3'!$F82*AQ8</f>
        <v>0</v>
      </c>
      <c r="AR221" s="90">
        <f ca="1">AR8/$E8*'Get Started  3'!$F82*(1-$E216-$E217-$E218)+AR219*'Get Started  3'!$F82*AR8</f>
        <v>0</v>
      </c>
      <c r="AS221" s="90">
        <f ca="1">AS8/$E8*'Get Started  3'!$F82*(1-$E216-$E217-$E218)+AS219*'Get Started  3'!$F82*AS8</f>
        <v>0</v>
      </c>
      <c r="AT221" s="90">
        <f ca="1">AT8/$E8*'Get Started  3'!$F82*(1-$E216-$E217-$E218)+AT219*'Get Started  3'!$F82*AT8</f>
        <v>0</v>
      </c>
      <c r="AU221" s="90">
        <f ca="1">AU8/$E8*'Get Started  3'!$F82*(1-$E216-$E217-$E218)+AU219*'Get Started  3'!$F82*AU8</f>
        <v>0</v>
      </c>
      <c r="AV221" s="90">
        <f ca="1">AV8/$E8*'Get Started  3'!$F82*(1-$E216-$E217-$E218)+AV219*'Get Started  3'!$F82*AV8</f>
        <v>0</v>
      </c>
      <c r="AW221" s="90">
        <f ca="1">AW8/$E8*'Get Started  3'!$F82*(1-$E216-$E217-$E218)+AW219*'Get Started  3'!$F82*AW8</f>
        <v>0</v>
      </c>
      <c r="AX221" s="90">
        <f ca="1">AX8/$E8*'Get Started  3'!$F82*(1-$E216-$E217-$E218)+AX219*'Get Started  3'!$F82*AX8</f>
        <v>0</v>
      </c>
      <c r="AY221" s="90">
        <f ca="1">AY8/$E8*'Get Started  3'!$F82*(1-$E216-$E217-$E218)+AY219*'Get Started  3'!$F82*AY8</f>
        <v>0</v>
      </c>
      <c r="AZ221" s="90">
        <f ca="1">AZ8/$E8*'Get Started  3'!$F82*(1-$E216-$E217-$E218)+AZ219*'Get Started  3'!$F82*AZ8</f>
        <v>0</v>
      </c>
      <c r="BA221" s="90">
        <f ca="1">BA8/$E8*'Get Started  3'!$F82*(1-$E216-$E217-$E218)+BA219*'Get Started  3'!$F82*BA8</f>
        <v>0</v>
      </c>
      <c r="BB221" s="90">
        <f ca="1">BB8/$E8*'Get Started  3'!$F82*(1-$E216-$E217-$E218)+BB219*'Get Started  3'!$F82*BB8</f>
        <v>0</v>
      </c>
      <c r="BC221" s="90">
        <f ca="1">BC8/$E8*'Get Started  3'!$F82*(1-$E216-$E217-$E218)+BC219*'Get Started  3'!$F82*BC8</f>
        <v>0</v>
      </c>
      <c r="BD221" s="90">
        <f ca="1">BD8/$E8*'Get Started  3'!$F82*(1-$E216-$E217-$E218)+BD219*'Get Started  3'!$F82*BD8</f>
        <v>0</v>
      </c>
      <c r="BE221" s="90">
        <f ca="1">BE8/$E8*'Get Started  3'!$F82*(1-$E216-$E217-$E218)+BE219*'Get Started  3'!$F82*BE8</f>
        <v>0</v>
      </c>
      <c r="BF221" s="90">
        <f ca="1">BF8/$E8*'Get Started  3'!$F82*(1-$E216-$E217-$E218)+BF219*'Get Started  3'!$F82*BF8</f>
        <v>0</v>
      </c>
      <c r="BG221" s="90">
        <f ca="1">BG8/$E8*'Get Started  3'!$F82*(1-$E216-$E217-$E218)+BG219*'Get Started  3'!$F82*BG8</f>
        <v>0</v>
      </c>
      <c r="BH221" s="90">
        <f ca="1">BH8/$E8*'Get Started  3'!$F82*(1-$E216-$E217-$E218)+BH219*'Get Started  3'!$F82*BH8</f>
        <v>0</v>
      </c>
      <c r="BI221" s="90">
        <f ca="1">BI8/$E8*'Get Started  3'!$F82*(1-$E216-$E217-$E218)+BI219*'Get Started  3'!$F82*BI8</f>
        <v>0</v>
      </c>
      <c r="BJ221" s="90">
        <f ca="1">BJ8/$E8*'Get Started  3'!$F82*(1-$E216-$E217-$E218)+BJ219*'Get Started  3'!$F82*BJ8</f>
        <v>0</v>
      </c>
      <c r="BK221" s="90">
        <f ca="1">BK8/$E8*'Get Started  3'!$F82*(1-$E216-$E217-$E218)+BK219*'Get Started  3'!$F82*BK8</f>
        <v>0</v>
      </c>
      <c r="BL221" s="90">
        <f ca="1">BL8/$E8*'Get Started  3'!$F82*(1-$E216-$E217-$E218)+BL219*'Get Started  3'!$F82*BL8</f>
        <v>0</v>
      </c>
      <c r="BM221" s="90">
        <f ca="1">BM8/$E8*'Get Started  3'!$F82*(1-$E216-$E217-$E218)+BM219*'Get Started  3'!$F82*BM8</f>
        <v>0</v>
      </c>
      <c r="BN221" s="90">
        <f ca="1">BN8/$E8*'Get Started  3'!$F82*(1-$E216-$E217-$E218)+BN219*'Get Started  3'!$F82*BN8</f>
        <v>0</v>
      </c>
      <c r="BO221" s="90">
        <f ca="1">BO8/$E8*'Get Started  3'!$F82*(1-$E216-$E217-$E218)+BO219*'Get Started  3'!$F82*BO8</f>
        <v>0</v>
      </c>
      <c r="BP221" s="90">
        <f ca="1">BP8/$E8*'Get Started  3'!$F82*(1-$E216-$E217-$E218)+BP219*'Get Started  3'!$F82*BP8</f>
        <v>0</v>
      </c>
      <c r="BQ221" s="90">
        <f ca="1">BQ8/$E8*'Get Started  3'!$F82*(1-$E216-$E217-$E218)+BQ219*'Get Started  3'!$F82*BQ8</f>
        <v>0</v>
      </c>
      <c r="BR221" s="90">
        <f ca="1">BR8/$E8*'Get Started  3'!$F82*(1-$E216-$E217-$E218)+BR219*'Get Started  3'!$F82*BR8</f>
        <v>0</v>
      </c>
      <c r="BS221" s="90">
        <f ca="1">BS8/$E8*'Get Started  3'!$F82*(1-$E216-$E217-$E218)+BS219*'Get Started  3'!$F82*BS8</f>
        <v>0</v>
      </c>
      <c r="BT221" s="90">
        <f ca="1">BT8/$E8*'Get Started  3'!$F82*(1-$E216-$E217-$E218)+BT219*'Get Started  3'!$F82*BT8</f>
        <v>0</v>
      </c>
      <c r="BU221" s="90">
        <f ca="1">BU8/$E8*'Get Started  3'!$F82*(1-$E216-$E217-$E218)+BU219*'Get Started  3'!$F82*BU8</f>
        <v>0</v>
      </c>
      <c r="BV221" s="90">
        <f ca="1">BV8/$E8*'Get Started  3'!$F82*(1-$E216-$E217-$E218)+BV219*'Get Started  3'!$F82*BV8</f>
        <v>0</v>
      </c>
      <c r="BW221" s="90">
        <f ca="1">BW8/$E8*'Get Started  3'!$F82*(1-$E216-$E217-$E218)+BW219*'Get Started  3'!$F82*BW8</f>
        <v>0</v>
      </c>
      <c r="BX221" s="90">
        <f ca="1">BX8/$E8*'Get Started  3'!$F82*(1-$E216-$E217-$E218)+BX219*'Get Started  3'!$F82*BX8</f>
        <v>0</v>
      </c>
      <c r="BY221" s="90">
        <f ca="1">BY8/$E8*'Get Started  3'!$F82*(1-$E216-$E217-$E218)+BY219*'Get Started  3'!$F82*BY8</f>
        <v>0</v>
      </c>
      <c r="BZ221" s="90">
        <f ca="1">BZ8/$E8*'Get Started  3'!$F82*(1-$E216-$E217-$E218)+BZ219*'Get Started  3'!$F82*BZ8</f>
        <v>0</v>
      </c>
      <c r="CA221" s="90">
        <f ca="1">CA8/$E8*'Get Started  3'!$F82*(1-$E216-$E217-$E218)+CA219*'Get Started  3'!$F82*CA8</f>
        <v>0</v>
      </c>
      <c r="CB221" s="90">
        <f ca="1">CB8/$E8*'Get Started  3'!$F82*(1-$E216-$E217-$E218)+CB219*'Get Started  3'!$F82*CB8</f>
        <v>0</v>
      </c>
      <c r="CC221" s="90">
        <f ca="1">CC8/$E8*'Get Started  3'!$F82*(1-$E216-$E217-$E218)+CC219*'Get Started  3'!$F82*CC8</f>
        <v>0</v>
      </c>
      <c r="CD221" s="90">
        <f ca="1">CD8/$E8*'Get Started  3'!$F82*(1-$E216-$E217-$E218)+CD219*'Get Started  3'!$F82*CD8</f>
        <v>0</v>
      </c>
      <c r="CE221" s="90">
        <f ca="1">CE8/$E8*'Get Started  3'!$F82*(1-$E216-$E217-$E218)+CE219*'Get Started  3'!$F82*CE8</f>
        <v>0</v>
      </c>
      <c r="CF221" s="90">
        <f ca="1">CF8/$E8*'Get Started  3'!$F82*(1-$E216-$E217-$E218)+CF219*'Get Started  3'!$F82*CF8</f>
        <v>0</v>
      </c>
      <c r="CG221" s="90">
        <f ca="1">CG8/$E8*'Get Started  3'!$F82*(1-$E216-$E217-$E218)+CG219*'Get Started  3'!$F82*CG8</f>
        <v>0</v>
      </c>
      <c r="CH221" s="90">
        <f ca="1">CH8/$E8*'Get Started  3'!$F82*(1-$E216-$E217-$E218)+CH219*'Get Started  3'!$F82*CH8</f>
        <v>0</v>
      </c>
    </row>
    <row r="222" spans="1:86" ht="13" outlineLevel="1">
      <c r="A222" s="13"/>
      <c r="B222" s="13" t="s">
        <v>328</v>
      </c>
      <c r="C222" s="91"/>
      <c r="D222" s="13" t="s">
        <v>238</v>
      </c>
      <c r="E222" s="88">
        <f t="shared" ca="1" si="170"/>
        <v>5.1333333333333349E-2</v>
      </c>
      <c r="F222" s="48"/>
      <c r="G222" s="90">
        <f ca="1">G8/$E8*'Get Started  3'!$G82*(1-$E216-$E217-$E218)+G219*'Get Started  3'!$EG9*G8</f>
        <v>3.2083333333333343E-3</v>
      </c>
      <c r="H222" s="90">
        <f ca="1">H8/$E8*'Get Started  3'!$G82*(1-$E216-$E217-$E218)+H219*'Get Started  3'!$EG9*H8</f>
        <v>3.2083333333333343E-3</v>
      </c>
      <c r="I222" s="90">
        <f ca="1">I8/$E8*'Get Started  3'!$G82*(1-$E216-$E217-$E218)+I219*'Get Started  3'!$EG9*I8</f>
        <v>3.2083333333333343E-3</v>
      </c>
      <c r="J222" s="90">
        <f ca="1">J8/$E8*'Get Started  3'!$G82*(1-$E216-$E217-$E218)+J219*'Get Started  3'!$EG9*J8</f>
        <v>3.2083333333333343E-3</v>
      </c>
      <c r="K222" s="90">
        <f ca="1">K8/$E8*'Get Started  3'!$G82*(1-$E216-$E217-$E218)+K219*'Get Started  3'!$EG9*K8</f>
        <v>3.2083333333333343E-3</v>
      </c>
      <c r="L222" s="90">
        <f ca="1">L8/$E8*'Get Started  3'!$G82*(1-$E216-$E217-$E218)+L219*'Get Started  3'!$EG9*L8</f>
        <v>3.2083333333333343E-3</v>
      </c>
      <c r="M222" s="90">
        <f ca="1">M8/$E8*'Get Started  3'!$G82*(1-$E216-$E217-$E218)+M219*'Get Started  3'!$EG9*M8</f>
        <v>3.2083333333333343E-3</v>
      </c>
      <c r="N222" s="90">
        <f ca="1">N8/$E8*'Get Started  3'!$G82*(1-$E216-$E217-$E218)+N219*'Get Started  3'!$EG9*N8</f>
        <v>3.2083333333333343E-3</v>
      </c>
      <c r="O222" s="90">
        <f ca="1">O8/$E8*'Get Started  3'!$G82*(1-$E216-$E217-$E218)+O219*'Get Started  3'!$EG9*O8</f>
        <v>3.2083333333333343E-3</v>
      </c>
      <c r="P222" s="90">
        <f ca="1">P8/$E8*'Get Started  3'!$G82*(1-$E216-$E217-$E218)+P219*'Get Started  3'!$EG9*P8</f>
        <v>3.2083333333333343E-3</v>
      </c>
      <c r="Q222" s="90">
        <f ca="1">Q8/$E8*'Get Started  3'!$G82*(1-$E216-$E217-$E218)+Q219*'Get Started  3'!$EG9*Q8</f>
        <v>3.2083333333333343E-3</v>
      </c>
      <c r="R222" s="90">
        <f ca="1">R8/$E8*'Get Started  3'!$G82*(1-$E216-$E217-$E218)+R219*'Get Started  3'!$EG9*R8</f>
        <v>3.2083333333333343E-3</v>
      </c>
      <c r="S222" s="90">
        <f ca="1">S8/$E8*'Get Started  3'!$G82*(1-$E216-$E217-$E218)+S219*'Get Started  3'!$EG9*S8</f>
        <v>3.2083333333333343E-3</v>
      </c>
      <c r="T222" s="90">
        <f ca="1">T8/$E8*'Get Started  3'!$G82*(1-$E216-$E217-$E218)+T219*'Get Started  3'!$EG9*T8</f>
        <v>3.2083333333333343E-3</v>
      </c>
      <c r="U222" s="90">
        <f ca="1">U8/$E8*'Get Started  3'!$G82*(1-$E216-$E217-$E218)+U219*'Get Started  3'!$EG9*U8</f>
        <v>3.2083333333333343E-3</v>
      </c>
      <c r="V222" s="90">
        <f ca="1">V8/$E8*'Get Started  3'!$G82*(1-$E216-$E217-$E218)+V219*'Get Started  3'!$EG9*V8</f>
        <v>3.2083333333333343E-3</v>
      </c>
      <c r="W222" s="90">
        <f ca="1">W8/$E8*'Get Started  3'!$G82*(1-$E216-$E217-$E218)+W219*'Get Started  3'!$EG9*W8</f>
        <v>0</v>
      </c>
      <c r="X222" s="90">
        <f ca="1">X8/$E8*'Get Started  3'!$G82*(1-$E216-$E217-$E218)+X219*'Get Started  3'!$EG9*X8</f>
        <v>0</v>
      </c>
      <c r="Y222" s="90">
        <f ca="1">Y8/$E8*'Get Started  3'!$G82*(1-$E216-$E217-$E218)+Y219*'Get Started  3'!$EG9*Y8</f>
        <v>0</v>
      </c>
      <c r="Z222" s="90">
        <f ca="1">Z8/$E8*'Get Started  3'!$G82*(1-$E216-$E217-$E218)+Z219*'Get Started  3'!$EG9*Z8</f>
        <v>0</v>
      </c>
      <c r="AA222" s="90">
        <f ca="1">AA8/$E8*'Get Started  3'!$G82*(1-$E216-$E217-$E218)+AA219*'Get Started  3'!$EG9*AA8</f>
        <v>0</v>
      </c>
      <c r="AB222" s="90">
        <f ca="1">AB8/$E8*'Get Started  3'!$G82*(1-$E216-$E217-$E218)+AB219*'Get Started  3'!$EG9*AB8</f>
        <v>0</v>
      </c>
      <c r="AC222" s="90">
        <f ca="1">AC8/$E8*'Get Started  3'!$G82*(1-$E216-$E217-$E218)+AC219*'Get Started  3'!$EG9*AC8</f>
        <v>0</v>
      </c>
      <c r="AD222" s="90">
        <f ca="1">AD8/$E8*'Get Started  3'!$G82*(1-$E216-$E217-$E218)+AD219*'Get Started  3'!$EG9*AD8</f>
        <v>0</v>
      </c>
      <c r="AE222" s="90">
        <f ca="1">AE8/$E8*'Get Started  3'!$G82*(1-$E216-$E217-$E218)+AE219*'Get Started  3'!$EG9*AE8</f>
        <v>0</v>
      </c>
      <c r="AF222" s="90">
        <f ca="1">AF8/$E8*'Get Started  3'!$G82*(1-$E216-$E217-$E218)+AF219*'Get Started  3'!$EG9*AF8</f>
        <v>0</v>
      </c>
      <c r="AG222" s="90">
        <f ca="1">AG8/$E8*'Get Started  3'!$G82*(1-$E216-$E217-$E218)+AG219*'Get Started  3'!$EG9*AG8</f>
        <v>0</v>
      </c>
      <c r="AH222" s="90">
        <f ca="1">AH8/$E8*'Get Started  3'!$G82*(1-$E216-$E217-$E218)+AH219*'Get Started  3'!$EG9*AH8</f>
        <v>0</v>
      </c>
      <c r="AI222" s="90">
        <f ca="1">AI8/$E8*'Get Started  3'!$G82*(1-$E216-$E217-$E218)+AI219*'Get Started  3'!$EG9*AI8</f>
        <v>0</v>
      </c>
      <c r="AJ222" s="90">
        <f ca="1">AJ8/$E8*'Get Started  3'!$G82*(1-$E216-$E217-$E218)+AJ219*'Get Started  3'!$EG9*AJ8</f>
        <v>0</v>
      </c>
      <c r="AK222" s="90">
        <f ca="1">AK8/$E8*'Get Started  3'!$G82*(1-$E216-$E217-$E218)+AK219*'Get Started  3'!$EG9*AK8</f>
        <v>0</v>
      </c>
      <c r="AL222" s="90">
        <f ca="1">AL8/$E8*'Get Started  3'!$G82*(1-$E216-$E217-$E218)+AL219*'Get Started  3'!$EG9*AL8</f>
        <v>0</v>
      </c>
      <c r="AM222" s="90">
        <f ca="1">AM8/$E8*'Get Started  3'!$G82*(1-$E216-$E217-$E218)+AM219*'Get Started  3'!$EG9*AM8</f>
        <v>0</v>
      </c>
      <c r="AN222" s="90">
        <f ca="1">AN8/$E8*'Get Started  3'!$G82*(1-$E216-$E217-$E218)+AN219*'Get Started  3'!$EG9*AN8</f>
        <v>0</v>
      </c>
      <c r="AO222" s="90">
        <f ca="1">AO8/$E8*'Get Started  3'!$G82*(1-$E216-$E217-$E218)+AO219*'Get Started  3'!$EG9*AO8</f>
        <v>0</v>
      </c>
      <c r="AP222" s="90">
        <f ca="1">AP8/$E8*'Get Started  3'!$G82*(1-$E216-$E217-$E218)+AP219*'Get Started  3'!$EG9*AP8</f>
        <v>0</v>
      </c>
      <c r="AQ222" s="90">
        <f ca="1">AQ8/$E8*'Get Started  3'!$G82*(1-$E216-$E217-$E218)+AQ219*'Get Started  3'!$EG9*AQ8</f>
        <v>0</v>
      </c>
      <c r="AR222" s="90">
        <f ca="1">AR8/$E8*'Get Started  3'!$G82*(1-$E216-$E217-$E218)+AR219*'Get Started  3'!$EG9*AR8</f>
        <v>0</v>
      </c>
      <c r="AS222" s="90">
        <f ca="1">AS8/$E8*'Get Started  3'!$G82*(1-$E216-$E217-$E218)+AS219*'Get Started  3'!$EG9*AS8</f>
        <v>0</v>
      </c>
      <c r="AT222" s="90">
        <f ca="1">AT8/$E8*'Get Started  3'!$G82*(1-$E216-$E217-$E218)+AT219*'Get Started  3'!$EG9*AT8</f>
        <v>0</v>
      </c>
      <c r="AU222" s="90">
        <f ca="1">AU8/$E8*'Get Started  3'!$G82*(1-$E216-$E217-$E218)+AU219*'Get Started  3'!$EG9*AU8</f>
        <v>0</v>
      </c>
      <c r="AV222" s="90">
        <f ca="1">AV8/$E8*'Get Started  3'!$G82*(1-$E216-$E217-$E218)+AV219*'Get Started  3'!$EG9*AV8</f>
        <v>0</v>
      </c>
      <c r="AW222" s="90">
        <f ca="1">AW8/$E8*'Get Started  3'!$G82*(1-$E216-$E217-$E218)+AW219*'Get Started  3'!$EG9*AW8</f>
        <v>0</v>
      </c>
      <c r="AX222" s="90">
        <f ca="1">AX8/$E8*'Get Started  3'!$G82*(1-$E216-$E217-$E218)+AX219*'Get Started  3'!$EG9*AX8</f>
        <v>0</v>
      </c>
      <c r="AY222" s="90">
        <f ca="1">AY8/$E8*'Get Started  3'!$G82*(1-$E216-$E217-$E218)+AY219*'Get Started  3'!$EG9*AY8</f>
        <v>0</v>
      </c>
      <c r="AZ222" s="90">
        <f ca="1">AZ8/$E8*'Get Started  3'!$G82*(1-$E216-$E217-$E218)+AZ219*'Get Started  3'!$EG9*AZ8</f>
        <v>0</v>
      </c>
      <c r="BA222" s="90">
        <f ca="1">BA8/$E8*'Get Started  3'!$G82*(1-$E216-$E217-$E218)+BA219*'Get Started  3'!$EG9*BA8</f>
        <v>0</v>
      </c>
      <c r="BB222" s="90">
        <f ca="1">BB8/$E8*'Get Started  3'!$G82*(1-$E216-$E217-$E218)+BB219*'Get Started  3'!$EG9*BB8</f>
        <v>0</v>
      </c>
      <c r="BC222" s="90">
        <f ca="1">BC8/$E8*'Get Started  3'!$G82*(1-$E216-$E217-$E218)+BC219*'Get Started  3'!$EG9*BC8</f>
        <v>0</v>
      </c>
      <c r="BD222" s="90">
        <f ca="1">BD8/$E8*'Get Started  3'!$G82*(1-$E216-$E217-$E218)+BD219*'Get Started  3'!$EG9*BD8</f>
        <v>0</v>
      </c>
      <c r="BE222" s="90">
        <f ca="1">BE8/$E8*'Get Started  3'!$G82*(1-$E216-$E217-$E218)+BE219*'Get Started  3'!$EG9*BE8</f>
        <v>0</v>
      </c>
      <c r="BF222" s="90">
        <f ca="1">BF8/$E8*'Get Started  3'!$G82*(1-$E216-$E217-$E218)+BF219*'Get Started  3'!$EG9*BF8</f>
        <v>0</v>
      </c>
      <c r="BG222" s="90">
        <f ca="1">BG8/$E8*'Get Started  3'!$G82*(1-$E216-$E217-$E218)+BG219*'Get Started  3'!$EG9*BG8</f>
        <v>0</v>
      </c>
      <c r="BH222" s="90">
        <f ca="1">BH8/$E8*'Get Started  3'!$G82*(1-$E216-$E217-$E218)+BH219*'Get Started  3'!$EG9*BH8</f>
        <v>0</v>
      </c>
      <c r="BI222" s="90">
        <f ca="1">BI8/$E8*'Get Started  3'!$G82*(1-$E216-$E217-$E218)+BI219*'Get Started  3'!$EG9*BI8</f>
        <v>0</v>
      </c>
      <c r="BJ222" s="90">
        <f ca="1">BJ8/$E8*'Get Started  3'!$G82*(1-$E216-$E217-$E218)+BJ219*'Get Started  3'!$EG9*BJ8</f>
        <v>0</v>
      </c>
      <c r="BK222" s="90">
        <f ca="1">BK8/$E8*'Get Started  3'!$G82*(1-$E216-$E217-$E218)+BK219*'Get Started  3'!$EG9*BK8</f>
        <v>0</v>
      </c>
      <c r="BL222" s="90">
        <f ca="1">BL8/$E8*'Get Started  3'!$G82*(1-$E216-$E217-$E218)+BL219*'Get Started  3'!$EG9*BL8</f>
        <v>0</v>
      </c>
      <c r="BM222" s="90">
        <f ca="1">BM8/$E8*'Get Started  3'!$G82*(1-$E216-$E217-$E218)+BM219*'Get Started  3'!$EG9*BM8</f>
        <v>0</v>
      </c>
      <c r="BN222" s="90">
        <f ca="1">BN8/$E8*'Get Started  3'!$G82*(1-$E216-$E217-$E218)+BN219*'Get Started  3'!$EG9*BN8</f>
        <v>0</v>
      </c>
      <c r="BO222" s="90">
        <f ca="1">BO8/$E8*'Get Started  3'!$G82*(1-$E216-$E217-$E218)+BO219*'Get Started  3'!$EG9*BO8</f>
        <v>0</v>
      </c>
      <c r="BP222" s="90">
        <f ca="1">BP8/$E8*'Get Started  3'!$G82*(1-$E216-$E217-$E218)+BP219*'Get Started  3'!$EG9*BP8</f>
        <v>0</v>
      </c>
      <c r="BQ222" s="90">
        <f ca="1">BQ8/$E8*'Get Started  3'!$G82*(1-$E216-$E217-$E218)+BQ219*'Get Started  3'!$EG9*BQ8</f>
        <v>0</v>
      </c>
      <c r="BR222" s="90">
        <f ca="1">BR8/$E8*'Get Started  3'!$G82*(1-$E216-$E217-$E218)+BR219*'Get Started  3'!$EG9*BR8</f>
        <v>0</v>
      </c>
      <c r="BS222" s="90">
        <f ca="1">BS8/$E8*'Get Started  3'!$G82*(1-$E216-$E217-$E218)+BS219*'Get Started  3'!$EG9*BS8</f>
        <v>0</v>
      </c>
      <c r="BT222" s="90">
        <f ca="1">BT8/$E8*'Get Started  3'!$G82*(1-$E216-$E217-$E218)+BT219*'Get Started  3'!$EG9*BT8</f>
        <v>0</v>
      </c>
      <c r="BU222" s="90">
        <f ca="1">BU8/$E8*'Get Started  3'!$G82*(1-$E216-$E217-$E218)+BU219*'Get Started  3'!$EG9*BU8</f>
        <v>0</v>
      </c>
      <c r="BV222" s="90">
        <f ca="1">BV8/$E8*'Get Started  3'!$G82*(1-$E216-$E217-$E218)+BV219*'Get Started  3'!$EG9*BV8</f>
        <v>0</v>
      </c>
      <c r="BW222" s="90">
        <f ca="1">BW8/$E8*'Get Started  3'!$G82*(1-$E216-$E217-$E218)+BW219*'Get Started  3'!$EG9*BW8</f>
        <v>0</v>
      </c>
      <c r="BX222" s="90">
        <f ca="1">BX8/$E8*'Get Started  3'!$G82*(1-$E216-$E217-$E218)+BX219*'Get Started  3'!$EG9*BX8</f>
        <v>0</v>
      </c>
      <c r="BY222" s="90">
        <f ca="1">BY8/$E8*'Get Started  3'!$G82*(1-$E216-$E217-$E218)+BY219*'Get Started  3'!$EG9*BY8</f>
        <v>0</v>
      </c>
      <c r="BZ222" s="90">
        <f ca="1">BZ8/$E8*'Get Started  3'!$G82*(1-$E216-$E217-$E218)+BZ219*'Get Started  3'!$EG9*BZ8</f>
        <v>0</v>
      </c>
      <c r="CA222" s="90">
        <f ca="1">CA8/$E8*'Get Started  3'!$G82*(1-$E216-$E217-$E218)+CA219*'Get Started  3'!$EG9*CA8</f>
        <v>0</v>
      </c>
      <c r="CB222" s="90">
        <f ca="1">CB8/$E8*'Get Started  3'!$G82*(1-$E216-$E217-$E218)+CB219*'Get Started  3'!$EG9*CB8</f>
        <v>0</v>
      </c>
      <c r="CC222" s="90">
        <f ca="1">CC8/$E8*'Get Started  3'!$G82*(1-$E216-$E217-$E218)+CC219*'Get Started  3'!$EG9*CC8</f>
        <v>0</v>
      </c>
      <c r="CD222" s="90">
        <f ca="1">CD8/$E8*'Get Started  3'!$G82*(1-$E216-$E217-$E218)+CD219*'Get Started  3'!$EG9*CD8</f>
        <v>0</v>
      </c>
      <c r="CE222" s="90">
        <f ca="1">CE8/$E8*'Get Started  3'!$G82*(1-$E216-$E217-$E218)+CE219*'Get Started  3'!$EG9*CE8</f>
        <v>0</v>
      </c>
      <c r="CF222" s="90">
        <f ca="1">CF8/$E8*'Get Started  3'!$G82*(1-$E216-$E217-$E218)+CF219*'Get Started  3'!$EG9*CF8</f>
        <v>0</v>
      </c>
      <c r="CG222" s="90">
        <f ca="1">CG8/$E8*'Get Started  3'!$G82*(1-$E216-$E217-$E218)+CG219*'Get Started  3'!$EG9*CG8</f>
        <v>0</v>
      </c>
      <c r="CH222" s="90">
        <f ca="1">CH8/$E8*'Get Started  3'!$G82*(1-$E216-$E217-$E218)+CH219*'Get Started  3'!$EG9*CH8</f>
        <v>0</v>
      </c>
    </row>
    <row r="223" spans="1:86" ht="13" outlineLevel="1">
      <c r="A223" s="13"/>
      <c r="B223" s="13" t="s">
        <v>328</v>
      </c>
      <c r="C223" s="91"/>
      <c r="D223" s="13" t="s">
        <v>238</v>
      </c>
      <c r="E223" s="88">
        <f t="shared" ca="1" si="170"/>
        <v>0.16041666666666668</v>
      </c>
      <c r="F223" s="48"/>
      <c r="G223" s="90">
        <f ca="1">G8/$E8*'Get Started  3'!$H82*(1-$E216-$E217-$E218)+G219*'Get Started  3'!$H82*G8</f>
        <v>9.6249999999999999E-3</v>
      </c>
      <c r="H223" s="90">
        <f ca="1">H8/$E8*'Get Started  3'!$H82*(1-$E216-$E217-$E218)+H219*'Get Started  3'!$H82*H8</f>
        <v>9.6249999999999999E-3</v>
      </c>
      <c r="I223" s="90">
        <f ca="1">I8/$E8*'Get Started  3'!$H82*(1-$E216-$E217-$E218)+I219*'Get Started  3'!$H82*I8</f>
        <v>9.6249999999999999E-3</v>
      </c>
      <c r="J223" s="90">
        <f ca="1">J8/$E8*'Get Started  3'!$H82*(1-$E216-$E217-$E218)+J219*'Get Started  3'!$H82*J8</f>
        <v>9.6249999999999999E-3</v>
      </c>
      <c r="K223" s="90">
        <f ca="1">K8/$E8*'Get Started  3'!$H82*(1-$E216-$E217-$E218)+K219*'Get Started  3'!$H82*K8</f>
        <v>9.6249999999999999E-3</v>
      </c>
      <c r="L223" s="90">
        <f ca="1">L8/$E8*'Get Started  3'!$H82*(1-$E216-$E217-$E218)+L219*'Get Started  3'!$H82*L8</f>
        <v>9.6249999999999999E-3</v>
      </c>
      <c r="M223" s="90">
        <f ca="1">M8/$E8*'Get Started  3'!$H82*(1-$E216-$E217-$E218)+M219*'Get Started  3'!$H82*M8</f>
        <v>9.6249999999999999E-3</v>
      </c>
      <c r="N223" s="90">
        <f ca="1">N8/$E8*'Get Started  3'!$H82*(1-$E216-$E217-$E218)+N219*'Get Started  3'!$H82*N8</f>
        <v>9.6249999999999999E-3</v>
      </c>
      <c r="O223" s="90">
        <f ca="1">O8/$E8*'Get Started  3'!$H82*(1-$E216-$E217-$E218)+O219*'Get Started  3'!$H82*O8</f>
        <v>9.6249999999999999E-3</v>
      </c>
      <c r="P223" s="90">
        <f ca="1">P8/$E8*'Get Started  3'!$H82*(1-$E216-$E217-$E218)+P219*'Get Started  3'!$H82*P8</f>
        <v>9.6249999999999999E-3</v>
      </c>
      <c r="Q223" s="90">
        <f ca="1">Q8/$E8*'Get Started  3'!$H82*(1-$E216-$E217-$E218)+Q219*'Get Started  3'!$H82*Q8</f>
        <v>9.6249999999999999E-3</v>
      </c>
      <c r="R223" s="90">
        <f ca="1">R8/$E8*'Get Started  3'!$H82*(1-$E216-$E217-$E218)+R219*'Get Started  3'!$H82*R8</f>
        <v>9.6249999999999999E-3</v>
      </c>
      <c r="S223" s="90">
        <f ca="1">S8/$E8*'Get Started  3'!$H82*(1-$E216-$E217-$E218)+S219*'Get Started  3'!$H82*S8</f>
        <v>1.1229166666666667E-2</v>
      </c>
      <c r="T223" s="90">
        <f ca="1">T8/$E8*'Get Started  3'!$H82*(1-$E216-$E217-$E218)+T219*'Get Started  3'!$H82*T8</f>
        <v>1.1229166666666667E-2</v>
      </c>
      <c r="U223" s="90">
        <f ca="1">U8/$E8*'Get Started  3'!$H82*(1-$E216-$E217-$E218)+U219*'Get Started  3'!$H82*U8</f>
        <v>1.1229166666666667E-2</v>
      </c>
      <c r="V223" s="90">
        <f ca="1">V8/$E8*'Get Started  3'!$H82*(1-$E216-$E217-$E218)+V219*'Get Started  3'!$H82*V8</f>
        <v>1.1229166666666667E-2</v>
      </c>
      <c r="W223" s="90">
        <f ca="1">W8/$E8*'Get Started  3'!$H82*(1-$E216-$E217-$E218)+W219*'Get Started  3'!$H82*W8</f>
        <v>0</v>
      </c>
      <c r="X223" s="90">
        <f ca="1">X8/$E8*'Get Started  3'!$H82*(1-$E216-$E217-$E218)+X219*'Get Started  3'!$H82*X8</f>
        <v>0</v>
      </c>
      <c r="Y223" s="90">
        <f ca="1">Y8/$E8*'Get Started  3'!$H82*(1-$E216-$E217-$E218)+Y219*'Get Started  3'!$H82*Y8</f>
        <v>0</v>
      </c>
      <c r="Z223" s="90">
        <f ca="1">Z8/$E8*'Get Started  3'!$H82*(1-$E216-$E217-$E218)+Z219*'Get Started  3'!$H82*Z8</f>
        <v>0</v>
      </c>
      <c r="AA223" s="90">
        <f ca="1">AA8/$E8*'Get Started  3'!$H82*(1-$E216-$E217-$E218)+AA219*'Get Started  3'!$H82*AA8</f>
        <v>0</v>
      </c>
      <c r="AB223" s="90">
        <f ca="1">AB8/$E8*'Get Started  3'!$H82*(1-$E216-$E217-$E218)+AB219*'Get Started  3'!$H82*AB8</f>
        <v>0</v>
      </c>
      <c r="AC223" s="90">
        <f ca="1">AC8/$E8*'Get Started  3'!$H82*(1-$E216-$E217-$E218)+AC219*'Get Started  3'!$H82*AC8</f>
        <v>0</v>
      </c>
      <c r="AD223" s="90">
        <f ca="1">AD8/$E8*'Get Started  3'!$H82*(1-$E216-$E217-$E218)+AD219*'Get Started  3'!$H82*AD8</f>
        <v>0</v>
      </c>
      <c r="AE223" s="90">
        <f ca="1">AE8/$E8*'Get Started  3'!$H82*(1-$E216-$E217-$E218)+AE219*'Get Started  3'!$H82*AE8</f>
        <v>0</v>
      </c>
      <c r="AF223" s="90">
        <f ca="1">AF8/$E8*'Get Started  3'!$H82*(1-$E216-$E217-$E218)+AF219*'Get Started  3'!$H82*AF8</f>
        <v>0</v>
      </c>
      <c r="AG223" s="90">
        <f ca="1">AG8/$E8*'Get Started  3'!$H82*(1-$E216-$E217-$E218)+AG219*'Get Started  3'!$H82*AG8</f>
        <v>0</v>
      </c>
      <c r="AH223" s="90">
        <f ca="1">AH8/$E8*'Get Started  3'!$H82*(1-$E216-$E217-$E218)+AH219*'Get Started  3'!$H82*AH8</f>
        <v>0</v>
      </c>
      <c r="AI223" s="90">
        <f ca="1">AI8/$E8*'Get Started  3'!$H82*(1-$E216-$E217-$E218)+AI219*'Get Started  3'!$H82*AI8</f>
        <v>0</v>
      </c>
      <c r="AJ223" s="90">
        <f ca="1">AJ8/$E8*'Get Started  3'!$H82*(1-$E216-$E217-$E218)+AJ219*'Get Started  3'!$H82*AJ8</f>
        <v>0</v>
      </c>
      <c r="AK223" s="90">
        <f ca="1">AK8/$E8*'Get Started  3'!$H82*(1-$E216-$E217-$E218)+AK219*'Get Started  3'!$H82*AK8</f>
        <v>0</v>
      </c>
      <c r="AL223" s="90">
        <f ca="1">AL8/$E8*'Get Started  3'!$H82*(1-$E216-$E217-$E218)+AL219*'Get Started  3'!$H82*AL8</f>
        <v>0</v>
      </c>
      <c r="AM223" s="90">
        <f ca="1">AM8/$E8*'Get Started  3'!$H82*(1-$E216-$E217-$E218)+AM219*'Get Started  3'!$H82*AM8</f>
        <v>0</v>
      </c>
      <c r="AN223" s="90">
        <f ca="1">AN8/$E8*'Get Started  3'!$H82*(1-$E216-$E217-$E218)+AN219*'Get Started  3'!$H82*AN8</f>
        <v>0</v>
      </c>
      <c r="AO223" s="90">
        <f ca="1">AO8/$E8*'Get Started  3'!$H82*(1-$E216-$E217-$E218)+AO219*'Get Started  3'!$H82*AO8</f>
        <v>0</v>
      </c>
      <c r="AP223" s="90">
        <f ca="1">AP8/$E8*'Get Started  3'!$H82*(1-$E216-$E217-$E218)+AP219*'Get Started  3'!$H82*AP8</f>
        <v>0</v>
      </c>
      <c r="AQ223" s="90">
        <f ca="1">AQ8/$E8*'Get Started  3'!$H82*(1-$E216-$E217-$E218)+AQ219*'Get Started  3'!$H82*AQ8</f>
        <v>0</v>
      </c>
      <c r="AR223" s="90">
        <f ca="1">AR8/$E8*'Get Started  3'!$H82*(1-$E216-$E217-$E218)+AR219*'Get Started  3'!$H82*AR8</f>
        <v>0</v>
      </c>
      <c r="AS223" s="90">
        <f ca="1">AS8/$E8*'Get Started  3'!$H82*(1-$E216-$E217-$E218)+AS219*'Get Started  3'!$H82*AS8</f>
        <v>0</v>
      </c>
      <c r="AT223" s="90">
        <f ca="1">AT8/$E8*'Get Started  3'!$H82*(1-$E216-$E217-$E218)+AT219*'Get Started  3'!$H82*AT8</f>
        <v>0</v>
      </c>
      <c r="AU223" s="90">
        <f ca="1">AU8/$E8*'Get Started  3'!$H82*(1-$E216-$E217-$E218)+AU219*'Get Started  3'!$H82*AU8</f>
        <v>0</v>
      </c>
      <c r="AV223" s="90">
        <f ca="1">AV8/$E8*'Get Started  3'!$H82*(1-$E216-$E217-$E218)+AV219*'Get Started  3'!$H82*AV8</f>
        <v>0</v>
      </c>
      <c r="AW223" s="90">
        <f ca="1">AW8/$E8*'Get Started  3'!$H82*(1-$E216-$E217-$E218)+AW219*'Get Started  3'!$H82*AW8</f>
        <v>0</v>
      </c>
      <c r="AX223" s="90">
        <f ca="1">AX8/$E8*'Get Started  3'!$H82*(1-$E216-$E217-$E218)+AX219*'Get Started  3'!$H82*AX8</f>
        <v>0</v>
      </c>
      <c r="AY223" s="90">
        <f ca="1">AY8/$E8*'Get Started  3'!$H82*(1-$E216-$E217-$E218)+AY219*'Get Started  3'!$H82*AY8</f>
        <v>0</v>
      </c>
      <c r="AZ223" s="90">
        <f ca="1">AZ8/$E8*'Get Started  3'!$H82*(1-$E216-$E217-$E218)+AZ219*'Get Started  3'!$H82*AZ8</f>
        <v>0</v>
      </c>
      <c r="BA223" s="90">
        <f ca="1">BA8/$E8*'Get Started  3'!$H82*(1-$E216-$E217-$E218)+BA219*'Get Started  3'!$H82*BA8</f>
        <v>0</v>
      </c>
      <c r="BB223" s="90">
        <f ca="1">BB8/$E8*'Get Started  3'!$H82*(1-$E216-$E217-$E218)+BB219*'Get Started  3'!$H82*BB8</f>
        <v>0</v>
      </c>
      <c r="BC223" s="90">
        <f ca="1">BC8/$E8*'Get Started  3'!$H82*(1-$E216-$E217-$E218)+BC219*'Get Started  3'!$H82*BC8</f>
        <v>0</v>
      </c>
      <c r="BD223" s="90">
        <f ca="1">BD8/$E8*'Get Started  3'!$H82*(1-$E216-$E217-$E218)+BD219*'Get Started  3'!$H82*BD8</f>
        <v>0</v>
      </c>
      <c r="BE223" s="90">
        <f ca="1">BE8/$E8*'Get Started  3'!$H82*(1-$E216-$E217-$E218)+BE219*'Get Started  3'!$H82*BE8</f>
        <v>0</v>
      </c>
      <c r="BF223" s="90">
        <f ca="1">BF8/$E8*'Get Started  3'!$H82*(1-$E216-$E217-$E218)+BF219*'Get Started  3'!$H82*BF8</f>
        <v>0</v>
      </c>
      <c r="BG223" s="90">
        <f ca="1">BG8/$E8*'Get Started  3'!$H82*(1-$E216-$E217-$E218)+BG219*'Get Started  3'!$H82*BG8</f>
        <v>0</v>
      </c>
      <c r="BH223" s="90">
        <f ca="1">BH8/$E8*'Get Started  3'!$H82*(1-$E216-$E217-$E218)+BH219*'Get Started  3'!$H82*BH8</f>
        <v>0</v>
      </c>
      <c r="BI223" s="90">
        <f ca="1">BI8/$E8*'Get Started  3'!$H82*(1-$E216-$E217-$E218)+BI219*'Get Started  3'!$H82*BI8</f>
        <v>0</v>
      </c>
      <c r="BJ223" s="90">
        <f ca="1">BJ8/$E8*'Get Started  3'!$H82*(1-$E216-$E217-$E218)+BJ219*'Get Started  3'!$H82*BJ8</f>
        <v>0</v>
      </c>
      <c r="BK223" s="90">
        <f ca="1">BK8/$E8*'Get Started  3'!$H82*(1-$E216-$E217-$E218)+BK219*'Get Started  3'!$H82*BK8</f>
        <v>0</v>
      </c>
      <c r="BL223" s="90">
        <f ca="1">BL8/$E8*'Get Started  3'!$H82*(1-$E216-$E217-$E218)+BL219*'Get Started  3'!$H82*BL8</f>
        <v>0</v>
      </c>
      <c r="BM223" s="90">
        <f ca="1">BM8/$E8*'Get Started  3'!$H82*(1-$E216-$E217-$E218)+BM219*'Get Started  3'!$H82*BM8</f>
        <v>0</v>
      </c>
      <c r="BN223" s="90">
        <f ca="1">BN8/$E8*'Get Started  3'!$H82*(1-$E216-$E217-$E218)+BN219*'Get Started  3'!$H82*BN8</f>
        <v>0</v>
      </c>
      <c r="BO223" s="90">
        <f ca="1">BO8/$E8*'Get Started  3'!$H82*(1-$E216-$E217-$E218)+BO219*'Get Started  3'!$H82*BO8</f>
        <v>0</v>
      </c>
      <c r="BP223" s="90">
        <f ca="1">BP8/$E8*'Get Started  3'!$H82*(1-$E216-$E217-$E218)+BP219*'Get Started  3'!$H82*BP8</f>
        <v>0</v>
      </c>
      <c r="BQ223" s="90">
        <f ca="1">BQ8/$E8*'Get Started  3'!$H82*(1-$E216-$E217-$E218)+BQ219*'Get Started  3'!$H82*BQ8</f>
        <v>0</v>
      </c>
      <c r="BR223" s="90">
        <f ca="1">BR8/$E8*'Get Started  3'!$H82*(1-$E216-$E217-$E218)+BR219*'Get Started  3'!$H82*BR8</f>
        <v>0</v>
      </c>
      <c r="BS223" s="90">
        <f ca="1">BS8/$E8*'Get Started  3'!$H82*(1-$E216-$E217-$E218)+BS219*'Get Started  3'!$H82*BS8</f>
        <v>0</v>
      </c>
      <c r="BT223" s="90">
        <f ca="1">BT8/$E8*'Get Started  3'!$H82*(1-$E216-$E217-$E218)+BT219*'Get Started  3'!$H82*BT8</f>
        <v>0</v>
      </c>
      <c r="BU223" s="90">
        <f ca="1">BU8/$E8*'Get Started  3'!$H82*(1-$E216-$E217-$E218)+BU219*'Get Started  3'!$H82*BU8</f>
        <v>0</v>
      </c>
      <c r="BV223" s="90">
        <f ca="1">BV8/$E8*'Get Started  3'!$H82*(1-$E216-$E217-$E218)+BV219*'Get Started  3'!$H82*BV8</f>
        <v>0</v>
      </c>
      <c r="BW223" s="90">
        <f ca="1">BW8/$E8*'Get Started  3'!$H82*(1-$E216-$E217-$E218)+BW219*'Get Started  3'!$H82*BW8</f>
        <v>0</v>
      </c>
      <c r="BX223" s="90">
        <f ca="1">BX8/$E8*'Get Started  3'!$H82*(1-$E216-$E217-$E218)+BX219*'Get Started  3'!$H82*BX8</f>
        <v>0</v>
      </c>
      <c r="BY223" s="90">
        <f ca="1">BY8/$E8*'Get Started  3'!$H82*(1-$E216-$E217-$E218)+BY219*'Get Started  3'!$H82*BY8</f>
        <v>0</v>
      </c>
      <c r="BZ223" s="90">
        <f ca="1">BZ8/$E8*'Get Started  3'!$H82*(1-$E216-$E217-$E218)+BZ219*'Get Started  3'!$H82*BZ8</f>
        <v>0</v>
      </c>
      <c r="CA223" s="90">
        <f ca="1">CA8/$E8*'Get Started  3'!$H82*(1-$E216-$E217-$E218)+CA219*'Get Started  3'!$H82*CA8</f>
        <v>0</v>
      </c>
      <c r="CB223" s="90">
        <f ca="1">CB8/$E8*'Get Started  3'!$H82*(1-$E216-$E217-$E218)+CB219*'Get Started  3'!$H82*CB8</f>
        <v>0</v>
      </c>
      <c r="CC223" s="90">
        <f ca="1">CC8/$E8*'Get Started  3'!$H82*(1-$E216-$E217-$E218)+CC219*'Get Started  3'!$H82*CC8</f>
        <v>0</v>
      </c>
      <c r="CD223" s="90">
        <f ca="1">CD8/$E8*'Get Started  3'!$H82*(1-$E216-$E217-$E218)+CD219*'Get Started  3'!$H82*CD8</f>
        <v>0</v>
      </c>
      <c r="CE223" s="90">
        <f ca="1">CE8/$E8*'Get Started  3'!$H82*(1-$E216-$E217-$E218)+CE219*'Get Started  3'!$H82*CE8</f>
        <v>0</v>
      </c>
      <c r="CF223" s="90">
        <f ca="1">CF8/$E8*'Get Started  3'!$H82*(1-$E216-$E217-$E218)+CF219*'Get Started  3'!$H82*CF8</f>
        <v>0</v>
      </c>
      <c r="CG223" s="90">
        <f ca="1">CG8/$E8*'Get Started  3'!$H82*(1-$E216-$E217-$E218)+CG219*'Get Started  3'!$H82*CG8</f>
        <v>0</v>
      </c>
      <c r="CH223" s="90">
        <f ca="1">CH8/$E8*'Get Started  3'!$H82*(1-$E216-$E217-$E218)+CH219*'Get Started  3'!$H82*CH8</f>
        <v>0</v>
      </c>
    </row>
    <row r="224" spans="1:86" ht="13" outlineLevel="1">
      <c r="A224" s="13"/>
      <c r="B224" s="13" t="s">
        <v>328</v>
      </c>
      <c r="C224" s="91"/>
      <c r="D224" s="13" t="s">
        <v>238</v>
      </c>
      <c r="E224" s="88">
        <f t="shared" ca="1" si="170"/>
        <v>0.79994444444444479</v>
      </c>
      <c r="F224" s="48"/>
      <c r="G224" s="90">
        <f t="shared" ref="G224:CH224" ca="1" si="174">SUM(G220:G223)</f>
        <v>4.8125000000000008E-2</v>
      </c>
      <c r="H224" s="90">
        <f t="shared" ca="1" si="174"/>
        <v>4.8125000000000008E-2</v>
      </c>
      <c r="I224" s="90">
        <f t="shared" ca="1" si="174"/>
        <v>4.8125000000000008E-2</v>
      </c>
      <c r="J224" s="90">
        <f t="shared" ca="1" si="174"/>
        <v>4.8125000000000008E-2</v>
      </c>
      <c r="K224" s="90">
        <f t="shared" ca="1" si="174"/>
        <v>4.8125000000000008E-2</v>
      </c>
      <c r="L224" s="90">
        <f t="shared" ca="1" si="174"/>
        <v>4.8125000000000008E-2</v>
      </c>
      <c r="M224" s="90">
        <f t="shared" ca="1" si="174"/>
        <v>4.8125000000000008E-2</v>
      </c>
      <c r="N224" s="90">
        <f t="shared" ca="1" si="174"/>
        <v>4.8125000000000008E-2</v>
      </c>
      <c r="O224" s="90">
        <f t="shared" ca="1" si="174"/>
        <v>4.8125000000000008E-2</v>
      </c>
      <c r="P224" s="90">
        <f t="shared" ca="1" si="174"/>
        <v>4.8125000000000008E-2</v>
      </c>
      <c r="Q224" s="90">
        <f t="shared" ca="1" si="174"/>
        <v>4.8125000000000008E-2</v>
      </c>
      <c r="R224" s="90">
        <f t="shared" ca="1" si="174"/>
        <v>4.8125000000000008E-2</v>
      </c>
      <c r="S224" s="90">
        <f t="shared" ca="1" si="174"/>
        <v>5.5611111111111118E-2</v>
      </c>
      <c r="T224" s="90">
        <f t="shared" ca="1" si="174"/>
        <v>5.5611111111111118E-2</v>
      </c>
      <c r="U224" s="90">
        <f t="shared" ca="1" si="174"/>
        <v>5.5611111111111118E-2</v>
      </c>
      <c r="V224" s="90">
        <f t="shared" ca="1" si="174"/>
        <v>5.5611111111111118E-2</v>
      </c>
      <c r="W224" s="90">
        <f t="shared" ca="1" si="174"/>
        <v>0</v>
      </c>
      <c r="X224" s="90">
        <f t="shared" ca="1" si="174"/>
        <v>0</v>
      </c>
      <c r="Y224" s="90">
        <f t="shared" ca="1" si="174"/>
        <v>0</v>
      </c>
      <c r="Z224" s="90">
        <f t="shared" ca="1" si="174"/>
        <v>0</v>
      </c>
      <c r="AA224" s="90">
        <f t="shared" ca="1" si="174"/>
        <v>0</v>
      </c>
      <c r="AB224" s="90">
        <f t="shared" ca="1" si="174"/>
        <v>0</v>
      </c>
      <c r="AC224" s="90">
        <f t="shared" ca="1" si="174"/>
        <v>0</v>
      </c>
      <c r="AD224" s="90">
        <f t="shared" ca="1" si="174"/>
        <v>0</v>
      </c>
      <c r="AE224" s="90">
        <f t="shared" ca="1" si="174"/>
        <v>0</v>
      </c>
      <c r="AF224" s="90">
        <f t="shared" ca="1" si="174"/>
        <v>0</v>
      </c>
      <c r="AG224" s="90">
        <f t="shared" ca="1" si="174"/>
        <v>0</v>
      </c>
      <c r="AH224" s="90">
        <f t="shared" ca="1" si="174"/>
        <v>0</v>
      </c>
      <c r="AI224" s="90">
        <f t="shared" ca="1" si="174"/>
        <v>0</v>
      </c>
      <c r="AJ224" s="90">
        <f t="shared" ca="1" si="174"/>
        <v>0</v>
      </c>
      <c r="AK224" s="90">
        <f t="shared" ca="1" si="174"/>
        <v>0</v>
      </c>
      <c r="AL224" s="90">
        <f t="shared" ca="1" si="174"/>
        <v>0</v>
      </c>
      <c r="AM224" s="90">
        <f t="shared" ca="1" si="174"/>
        <v>0</v>
      </c>
      <c r="AN224" s="90">
        <f t="shared" ca="1" si="174"/>
        <v>0</v>
      </c>
      <c r="AO224" s="90">
        <f t="shared" ca="1" si="174"/>
        <v>0</v>
      </c>
      <c r="AP224" s="90">
        <f t="shared" ca="1" si="174"/>
        <v>0</v>
      </c>
      <c r="AQ224" s="90">
        <f t="shared" ca="1" si="174"/>
        <v>0</v>
      </c>
      <c r="AR224" s="90">
        <f t="shared" ca="1" si="174"/>
        <v>0</v>
      </c>
      <c r="AS224" s="90">
        <f t="shared" ca="1" si="174"/>
        <v>0</v>
      </c>
      <c r="AT224" s="90">
        <f t="shared" ca="1" si="174"/>
        <v>0</v>
      </c>
      <c r="AU224" s="90">
        <f t="shared" ca="1" si="174"/>
        <v>0</v>
      </c>
      <c r="AV224" s="90">
        <f t="shared" ca="1" si="174"/>
        <v>0</v>
      </c>
      <c r="AW224" s="90">
        <f t="shared" ca="1" si="174"/>
        <v>0</v>
      </c>
      <c r="AX224" s="90">
        <f t="shared" ca="1" si="174"/>
        <v>0</v>
      </c>
      <c r="AY224" s="90">
        <f t="shared" ca="1" si="174"/>
        <v>0</v>
      </c>
      <c r="AZ224" s="90">
        <f t="shared" ca="1" si="174"/>
        <v>0</v>
      </c>
      <c r="BA224" s="90">
        <f t="shared" ca="1" si="174"/>
        <v>0</v>
      </c>
      <c r="BB224" s="90">
        <f t="shared" ca="1" si="174"/>
        <v>0</v>
      </c>
      <c r="BC224" s="90">
        <f t="shared" ca="1" si="174"/>
        <v>0</v>
      </c>
      <c r="BD224" s="90">
        <f t="shared" ca="1" si="174"/>
        <v>0</v>
      </c>
      <c r="BE224" s="90">
        <f t="shared" ca="1" si="174"/>
        <v>0</v>
      </c>
      <c r="BF224" s="90">
        <f t="shared" ca="1" si="174"/>
        <v>0</v>
      </c>
      <c r="BG224" s="90">
        <f t="shared" ca="1" si="174"/>
        <v>0</v>
      </c>
      <c r="BH224" s="90">
        <f t="shared" ca="1" si="174"/>
        <v>0</v>
      </c>
      <c r="BI224" s="90">
        <f t="shared" ca="1" si="174"/>
        <v>0</v>
      </c>
      <c r="BJ224" s="90">
        <f t="shared" ca="1" si="174"/>
        <v>0</v>
      </c>
      <c r="BK224" s="90">
        <f t="shared" ca="1" si="174"/>
        <v>0</v>
      </c>
      <c r="BL224" s="90">
        <f t="shared" ca="1" si="174"/>
        <v>0</v>
      </c>
      <c r="BM224" s="90">
        <f t="shared" ca="1" si="174"/>
        <v>0</v>
      </c>
      <c r="BN224" s="90">
        <f t="shared" ca="1" si="174"/>
        <v>0</v>
      </c>
      <c r="BO224" s="90">
        <f t="shared" ca="1" si="174"/>
        <v>0</v>
      </c>
      <c r="BP224" s="90">
        <f t="shared" ca="1" si="174"/>
        <v>0</v>
      </c>
      <c r="BQ224" s="90">
        <f t="shared" ca="1" si="174"/>
        <v>0</v>
      </c>
      <c r="BR224" s="90">
        <f t="shared" ca="1" si="174"/>
        <v>0</v>
      </c>
      <c r="BS224" s="90">
        <f t="shared" ca="1" si="174"/>
        <v>0</v>
      </c>
      <c r="BT224" s="90">
        <f t="shared" ca="1" si="174"/>
        <v>0</v>
      </c>
      <c r="BU224" s="90">
        <f t="shared" ca="1" si="174"/>
        <v>0</v>
      </c>
      <c r="BV224" s="90">
        <f t="shared" ca="1" si="174"/>
        <v>0</v>
      </c>
      <c r="BW224" s="90">
        <f t="shared" ca="1" si="174"/>
        <v>0</v>
      </c>
      <c r="BX224" s="90">
        <f t="shared" ca="1" si="174"/>
        <v>0</v>
      </c>
      <c r="BY224" s="90">
        <f t="shared" ca="1" si="174"/>
        <v>0</v>
      </c>
      <c r="BZ224" s="90">
        <f t="shared" ca="1" si="174"/>
        <v>0</v>
      </c>
      <c r="CA224" s="90">
        <f t="shared" ca="1" si="174"/>
        <v>0</v>
      </c>
      <c r="CB224" s="90">
        <f t="shared" ca="1" si="174"/>
        <v>0</v>
      </c>
      <c r="CC224" s="90">
        <f t="shared" ca="1" si="174"/>
        <v>0</v>
      </c>
      <c r="CD224" s="90">
        <f t="shared" ca="1" si="174"/>
        <v>0</v>
      </c>
      <c r="CE224" s="90">
        <f t="shared" ca="1" si="174"/>
        <v>0</v>
      </c>
      <c r="CF224" s="90">
        <f t="shared" ca="1" si="174"/>
        <v>0</v>
      </c>
      <c r="CG224" s="90">
        <f t="shared" ca="1" si="174"/>
        <v>0</v>
      </c>
      <c r="CH224" s="90">
        <f t="shared" ca="1" si="174"/>
        <v>0</v>
      </c>
    </row>
    <row r="225" spans="1:86" ht="13" outlineLevel="1">
      <c r="A225" s="13"/>
      <c r="B225" s="13" t="s">
        <v>329</v>
      </c>
      <c r="C225" s="13"/>
      <c r="D225" s="13" t="s">
        <v>238</v>
      </c>
      <c r="E225" s="88">
        <f t="shared" ca="1" si="170"/>
        <v>0</v>
      </c>
      <c r="F225" s="48"/>
      <c r="G225" s="90">
        <f ca="1">IFERROR(IF(G4&lt;'Get Started  3'!$E55,0,OFFSET(G220,0,-1*'Get Started  3'!$E55)*'Get Started  3'!$E84/'Get Started  3'!$E82),0)+IFERROR(IF(G4&lt;'Get Started  3'!$E65,0,OFFSET(G220,0,-1*'Get Started  3'!$E65)*'Get Started  3'!$E86/'Get Started  3'!$E82),0)</f>
        <v>0</v>
      </c>
      <c r="H225" s="90">
        <f ca="1">IFERROR(IF(H4&lt;'Get Started  3'!$E55,0,OFFSET(H220,0,-1*'Get Started  3'!$E55)*'Get Started  3'!$E84/'Get Started  3'!$E82),0)+IFERROR(IF(H4&lt;'Get Started  3'!$E65,0,OFFSET(H220,0,-1*'Get Started  3'!$E65)*'Get Started  3'!$E86/'Get Started  3'!$E82),0)</f>
        <v>0</v>
      </c>
      <c r="I225" s="90">
        <f ca="1">IFERROR(IF(I4&lt;'Get Started  3'!$E55,0,OFFSET(I220,0,-1*'Get Started  3'!$E55)*'Get Started  3'!$E84/'Get Started  3'!$E82),0)+IFERROR(IF(I4&lt;'Get Started  3'!$E65,0,OFFSET(I220,0,-1*'Get Started  3'!$E65)*'Get Started  3'!$E86/'Get Started  3'!$E82),0)</f>
        <v>0</v>
      </c>
      <c r="J225" s="90">
        <f ca="1">IFERROR(IF(J4&lt;'Get Started  3'!$E55,0,OFFSET(J220,0,-1*'Get Started  3'!$E55)*'Get Started  3'!$E84/'Get Started  3'!$E82),0)+IFERROR(IF(J4&lt;'Get Started  3'!$E65,0,OFFSET(J220,0,-1*'Get Started  3'!$E65)*'Get Started  3'!$E86/'Get Started  3'!$E82),0)</f>
        <v>0</v>
      </c>
      <c r="K225" s="90">
        <f ca="1">IFERROR(IF(K4&lt;'Get Started  3'!$E55,0,OFFSET(K220,0,-1*'Get Started  3'!$E55)*'Get Started  3'!$E84/'Get Started  3'!$E82),0)+IFERROR(IF(K4&lt;'Get Started  3'!$E65,0,OFFSET(K220,0,-1*'Get Started  3'!$E65)*'Get Started  3'!$E86/'Get Started  3'!$E82),0)</f>
        <v>0</v>
      </c>
      <c r="L225" s="90">
        <f ca="1">IFERROR(IF(L4&lt;'Get Started  3'!$E55,0,OFFSET(L220,0,-1*'Get Started  3'!$E55)*'Get Started  3'!$E84/'Get Started  3'!$E82),0)+IFERROR(IF(L4&lt;'Get Started  3'!$E65,0,OFFSET(L220,0,-1*'Get Started  3'!$E65)*'Get Started  3'!$E86/'Get Started  3'!$E82),0)</f>
        <v>0</v>
      </c>
      <c r="M225" s="90">
        <f ca="1">IFERROR(IF(M4&lt;'Get Started  3'!$E55,0,OFFSET(M220,0,-1*'Get Started  3'!$E55)*'Get Started  3'!$E84/'Get Started  3'!$E82),0)+IFERROR(IF(M4&lt;'Get Started  3'!$E65,0,OFFSET(M220,0,-1*'Get Started  3'!$E65)*'Get Started  3'!$E86/'Get Started  3'!$E82),0)</f>
        <v>0</v>
      </c>
      <c r="N225" s="90">
        <f ca="1">IFERROR(IF(N4&lt;'Get Started  3'!$E55,0,OFFSET(N220,0,-1*'Get Started  3'!$E55)*'Get Started  3'!$E84/'Get Started  3'!$E82),0)+IFERROR(IF(N4&lt;'Get Started  3'!$E65,0,OFFSET(N220,0,-1*'Get Started  3'!$E65)*'Get Started  3'!$E86/'Get Started  3'!$E82),0)</f>
        <v>0</v>
      </c>
      <c r="O225" s="90">
        <f ca="1">IFERROR(IF(O4&lt;'Get Started  3'!$E55,0,OFFSET(O220,0,-1*'Get Started  3'!$E55)*'Get Started  3'!$E84/'Get Started  3'!$E82),0)+IFERROR(IF(O4&lt;'Get Started  3'!$E65,0,OFFSET(O220,0,-1*'Get Started  3'!$E65)*'Get Started  3'!$E86/'Get Started  3'!$E82),0)</f>
        <v>0</v>
      </c>
      <c r="P225" s="90">
        <f ca="1">IFERROR(IF(P4&lt;'Get Started  3'!$E55,0,OFFSET(P220,0,-1*'Get Started  3'!$E55)*'Get Started  3'!$E84/'Get Started  3'!$E82),0)+IFERROR(IF(P4&lt;'Get Started  3'!$E65,0,OFFSET(P220,0,-1*'Get Started  3'!$E65)*'Get Started  3'!$E86/'Get Started  3'!$E82),0)</f>
        <v>0</v>
      </c>
      <c r="Q225" s="90">
        <f ca="1">IFERROR(IF(Q4&lt;'Get Started  3'!$E55,0,OFFSET(Q220,0,-1*'Get Started  3'!$E55)*'Get Started  3'!$E84/'Get Started  3'!$E82),0)+IFERROR(IF(Q4&lt;'Get Started  3'!$E65,0,OFFSET(Q220,0,-1*'Get Started  3'!$E65)*'Get Started  3'!$E86/'Get Started  3'!$E82),0)</f>
        <v>0</v>
      </c>
      <c r="R225" s="90">
        <f ca="1">IFERROR(IF(R4&lt;'Get Started  3'!$E55,0,OFFSET(R220,0,-1*'Get Started  3'!$E55)*'Get Started  3'!$E84/'Get Started  3'!$E82),0)+IFERROR(IF(R4&lt;'Get Started  3'!$E65,0,OFFSET(R220,0,-1*'Get Started  3'!$E65)*'Get Started  3'!$E86/'Get Started  3'!$E82),0)</f>
        <v>0</v>
      </c>
      <c r="S225" s="90">
        <f ca="1">IFERROR(IF(S4&lt;'Get Started  3'!$E55,0,OFFSET(S220,0,-1*'Get Started  3'!$E55)*'Get Started  3'!$E84/'Get Started  3'!$E82),0)+IFERROR(IF(S4&lt;'Get Started  3'!$E65,0,OFFSET(S220,0,-1*'Get Started  3'!$E65)*'Get Started  3'!$E86/'Get Started  3'!$E82),0)</f>
        <v>0</v>
      </c>
      <c r="T225" s="90">
        <f ca="1">IFERROR(IF(T4&lt;'Get Started  3'!$E55,0,OFFSET(T220,0,-1*'Get Started  3'!$E55)*'Get Started  3'!$E84/'Get Started  3'!$E82),0)+IFERROR(IF(T4&lt;'Get Started  3'!$E65,0,OFFSET(T220,0,-1*'Get Started  3'!$E65)*'Get Started  3'!$E86/'Get Started  3'!$E82),0)</f>
        <v>0</v>
      </c>
      <c r="U225" s="90">
        <f ca="1">IFERROR(IF(U4&lt;'Get Started  3'!$E55,0,OFFSET(U220,0,-1*'Get Started  3'!$E55)*'Get Started  3'!$E84/'Get Started  3'!$E82),0)+IFERROR(IF(U4&lt;'Get Started  3'!$E65,0,OFFSET(U220,0,-1*'Get Started  3'!$E65)*'Get Started  3'!$E86/'Get Started  3'!$E82),0)</f>
        <v>0</v>
      </c>
      <c r="V225" s="90">
        <f ca="1">IFERROR(IF(V4&lt;'Get Started  3'!$E55,0,OFFSET(V220,0,-1*'Get Started  3'!$E55)*'Get Started  3'!$E84/'Get Started  3'!$E82),0)+IFERROR(IF(V4&lt;'Get Started  3'!$E65,0,OFFSET(V220,0,-1*'Get Started  3'!$E65)*'Get Started  3'!$E86/'Get Started  3'!$E82),0)</f>
        <v>0</v>
      </c>
      <c r="W225" s="90">
        <f ca="1">IFERROR(IF(W4&lt;'Get Started  3'!$E55,0,OFFSET(W220,0,-1*'Get Started  3'!$E55)*'Get Started  3'!$E84/'Get Started  3'!$E82),0)+IFERROR(IF(W4&lt;'Get Started  3'!$E65,0,OFFSET(W220,0,-1*'Get Started  3'!$E65)*'Get Started  3'!$E86/'Get Started  3'!$E82),0)</f>
        <v>0</v>
      </c>
      <c r="X225" s="90">
        <f ca="1">IFERROR(IF(X4&lt;'Get Started  3'!$E55,0,OFFSET(X220,0,-1*'Get Started  3'!$E55)*'Get Started  3'!$E84/'Get Started  3'!$E82),0)+IFERROR(IF(X4&lt;'Get Started  3'!$E65,0,OFFSET(X220,0,-1*'Get Started  3'!$E65)*'Get Started  3'!$E86/'Get Started  3'!$E82),0)</f>
        <v>0</v>
      </c>
      <c r="Y225" s="90">
        <f ca="1">IFERROR(IF(Y4&lt;'Get Started  3'!$E55,0,OFFSET(Y220,0,-1*'Get Started  3'!$E55)*'Get Started  3'!$E84/'Get Started  3'!$E82),0)+IFERROR(IF(Y4&lt;'Get Started  3'!$E65,0,OFFSET(Y220,0,-1*'Get Started  3'!$E65)*'Get Started  3'!$E86/'Get Started  3'!$E82),0)</f>
        <v>0</v>
      </c>
      <c r="Z225" s="90">
        <f ca="1">IFERROR(IF(Z4&lt;'Get Started  3'!$E55,0,OFFSET(Z220,0,-1*'Get Started  3'!$E55)*'Get Started  3'!$E84/'Get Started  3'!$E82),0)+IFERROR(IF(Z4&lt;'Get Started  3'!$E65,0,OFFSET(Z220,0,-1*'Get Started  3'!$E65)*'Get Started  3'!$E86/'Get Started  3'!$E82),0)</f>
        <v>0</v>
      </c>
      <c r="AA225" s="90">
        <f ca="1">IFERROR(IF(AA4&lt;'Get Started  3'!$E55,0,OFFSET(AA220,0,-1*'Get Started  3'!$E55)*'Get Started  3'!$E84/'Get Started  3'!$E82),0)+IFERROR(IF(AA4&lt;'Get Started  3'!$E65,0,OFFSET(AA220,0,-1*'Get Started  3'!$E65)*'Get Started  3'!$E86/'Get Started  3'!$E82),0)</f>
        <v>0</v>
      </c>
      <c r="AB225" s="90">
        <f ca="1">IFERROR(IF(AB4&lt;'Get Started  3'!$E55,0,OFFSET(AB220,0,-1*'Get Started  3'!$E55)*'Get Started  3'!$E84/'Get Started  3'!$E82),0)+IFERROR(IF(AB4&lt;'Get Started  3'!$E65,0,OFFSET(AB220,0,-1*'Get Started  3'!$E65)*'Get Started  3'!$E86/'Get Started  3'!$E82),0)</f>
        <v>0</v>
      </c>
      <c r="AC225" s="90">
        <f ca="1">IFERROR(IF(AC4&lt;'Get Started  3'!$E55,0,OFFSET(AC220,0,-1*'Get Started  3'!$E55)*'Get Started  3'!$E84/'Get Started  3'!$E82),0)+IFERROR(IF(AC4&lt;'Get Started  3'!$E65,0,OFFSET(AC220,0,-1*'Get Started  3'!$E65)*'Get Started  3'!$E86/'Get Started  3'!$E82),0)</f>
        <v>0</v>
      </c>
      <c r="AD225" s="90">
        <f ca="1">IFERROR(IF(AD4&lt;'Get Started  3'!$E55,0,OFFSET(AD220,0,-1*'Get Started  3'!$E55)*'Get Started  3'!$E84/'Get Started  3'!$E82),0)+IFERROR(IF(AD4&lt;'Get Started  3'!$E65,0,OFFSET(AD220,0,-1*'Get Started  3'!$E65)*'Get Started  3'!$E86/'Get Started  3'!$E82),0)</f>
        <v>0</v>
      </c>
      <c r="AE225" s="90">
        <f ca="1">IFERROR(IF(AE4&lt;'Get Started  3'!$E55,0,OFFSET(AE220,0,-1*'Get Started  3'!$E55)*'Get Started  3'!$E84/'Get Started  3'!$E82),0)+IFERROR(IF(AE4&lt;'Get Started  3'!$E65,0,OFFSET(AE220,0,-1*'Get Started  3'!$E65)*'Get Started  3'!$E86/'Get Started  3'!$E82),0)</f>
        <v>0</v>
      </c>
      <c r="AF225" s="90">
        <f ca="1">IFERROR(IF(AF4&lt;'Get Started  3'!$E55,0,OFFSET(AF220,0,-1*'Get Started  3'!$E55)*'Get Started  3'!$E84/'Get Started  3'!$E82),0)+IFERROR(IF(AF4&lt;'Get Started  3'!$E65,0,OFFSET(AF220,0,-1*'Get Started  3'!$E65)*'Get Started  3'!$E86/'Get Started  3'!$E82),0)</f>
        <v>0</v>
      </c>
      <c r="AG225" s="90">
        <f ca="1">IFERROR(IF(AG4&lt;'Get Started  3'!$E55,0,OFFSET(AG220,0,-1*'Get Started  3'!$E55)*'Get Started  3'!$E84/'Get Started  3'!$E82),0)+IFERROR(IF(AG4&lt;'Get Started  3'!$E65,0,OFFSET(AG220,0,-1*'Get Started  3'!$E65)*'Get Started  3'!$E86/'Get Started  3'!$E82),0)</f>
        <v>0</v>
      </c>
      <c r="AH225" s="90">
        <f ca="1">IFERROR(IF(AH4&lt;'Get Started  3'!$E55,0,OFFSET(AH220,0,-1*'Get Started  3'!$E55)*'Get Started  3'!$E84/'Get Started  3'!$E82),0)+IFERROR(IF(AH4&lt;'Get Started  3'!$E65,0,OFFSET(AH220,0,-1*'Get Started  3'!$E65)*'Get Started  3'!$E86/'Get Started  3'!$E82),0)</f>
        <v>0</v>
      </c>
      <c r="AI225" s="90">
        <f ca="1">IFERROR(IF(AI4&lt;'Get Started  3'!$E55,0,OFFSET(AI220,0,-1*'Get Started  3'!$E55)*'Get Started  3'!$E84/'Get Started  3'!$E82),0)+IFERROR(IF(AI4&lt;'Get Started  3'!$E65,0,OFFSET(AI220,0,-1*'Get Started  3'!$E65)*'Get Started  3'!$E86/'Get Started  3'!$E82),0)</f>
        <v>0</v>
      </c>
      <c r="AJ225" s="90">
        <f ca="1">IFERROR(IF(AJ4&lt;'Get Started  3'!$E55,0,OFFSET(AJ220,0,-1*'Get Started  3'!$E55)*'Get Started  3'!$E84/'Get Started  3'!$E82),0)+IFERROR(IF(AJ4&lt;'Get Started  3'!$E65,0,OFFSET(AJ220,0,-1*'Get Started  3'!$E65)*'Get Started  3'!$E86/'Get Started  3'!$E82),0)</f>
        <v>0</v>
      </c>
      <c r="AK225" s="90">
        <f ca="1">IFERROR(IF(AK4&lt;'Get Started  3'!$E55,0,OFFSET(AK220,0,-1*'Get Started  3'!$E55)*'Get Started  3'!$E84/'Get Started  3'!$E82),0)+IFERROR(IF(AK4&lt;'Get Started  3'!$E65,0,OFFSET(AK220,0,-1*'Get Started  3'!$E65)*'Get Started  3'!$E86/'Get Started  3'!$E82),0)</f>
        <v>0</v>
      </c>
      <c r="AL225" s="90">
        <f ca="1">IFERROR(IF(AL4&lt;'Get Started  3'!$E55,0,OFFSET(AL220,0,-1*'Get Started  3'!$E55)*'Get Started  3'!$E84/'Get Started  3'!$E82),0)+IFERROR(IF(AL4&lt;'Get Started  3'!$E65,0,OFFSET(AL220,0,-1*'Get Started  3'!$E65)*'Get Started  3'!$E86/'Get Started  3'!$E82),0)</f>
        <v>0</v>
      </c>
      <c r="AM225" s="90">
        <f ca="1">IFERROR(IF(AM4&lt;'Get Started  3'!$E55,0,OFFSET(AM220,0,-1*'Get Started  3'!$E55)*'Get Started  3'!$E84/'Get Started  3'!$E82),0)+IFERROR(IF(AM4&lt;'Get Started  3'!$E65,0,OFFSET(AM220,0,-1*'Get Started  3'!$E65)*'Get Started  3'!$E86/'Get Started  3'!$E82),0)</f>
        <v>0</v>
      </c>
      <c r="AN225" s="90">
        <f ca="1">IFERROR(IF(AN4&lt;'Get Started  3'!$E55,0,OFFSET(AN220,0,-1*'Get Started  3'!$E55)*'Get Started  3'!$E84/'Get Started  3'!$E82),0)+IFERROR(IF(AN4&lt;'Get Started  3'!$E65,0,OFFSET(AN220,0,-1*'Get Started  3'!$E65)*'Get Started  3'!$E86/'Get Started  3'!$E82),0)</f>
        <v>0</v>
      </c>
      <c r="AO225" s="90">
        <f ca="1">IFERROR(IF(AO4&lt;'Get Started  3'!$E55,0,OFFSET(AO220,0,-1*'Get Started  3'!$E55)*'Get Started  3'!$E84/'Get Started  3'!$E82),0)+IFERROR(IF(AO4&lt;'Get Started  3'!$E65,0,OFFSET(AO220,0,-1*'Get Started  3'!$E65)*'Get Started  3'!$E86/'Get Started  3'!$E82),0)</f>
        <v>0</v>
      </c>
      <c r="AP225" s="90">
        <f ca="1">IFERROR(IF(AP4&lt;'Get Started  3'!$E55,0,OFFSET(AP220,0,-1*'Get Started  3'!$E55)*'Get Started  3'!$E84/'Get Started  3'!$E82),0)+IFERROR(IF(AP4&lt;'Get Started  3'!$E65,0,OFFSET(AP220,0,-1*'Get Started  3'!$E65)*'Get Started  3'!$E86/'Get Started  3'!$E82),0)</f>
        <v>0</v>
      </c>
      <c r="AQ225" s="90">
        <f ca="1">IFERROR(IF(AQ4&lt;'Get Started  3'!$E55,0,OFFSET(AQ220,0,-1*'Get Started  3'!$E55)*'Get Started  3'!$E84/'Get Started  3'!$E82),0)+IFERROR(IF(AQ4&lt;'Get Started  3'!$E65,0,OFFSET(AQ220,0,-1*'Get Started  3'!$E65)*'Get Started  3'!$E86/'Get Started  3'!$E82),0)</f>
        <v>0</v>
      </c>
      <c r="AR225" s="90">
        <f ca="1">IFERROR(IF(AR4&lt;'Get Started  3'!$E55,0,OFFSET(AR220,0,-1*'Get Started  3'!$E55)*'Get Started  3'!$E84/'Get Started  3'!$E82),0)+IFERROR(IF(AR4&lt;'Get Started  3'!$E65,0,OFFSET(AR220,0,-1*'Get Started  3'!$E65)*'Get Started  3'!$E86/'Get Started  3'!$E82),0)</f>
        <v>0</v>
      </c>
      <c r="AS225" s="90">
        <f ca="1">IFERROR(IF(AS4&lt;'Get Started  3'!$E55,0,OFFSET(AS220,0,-1*'Get Started  3'!$E55)*'Get Started  3'!$E84/'Get Started  3'!$E82),0)+IFERROR(IF(AS4&lt;'Get Started  3'!$E65,0,OFFSET(AS220,0,-1*'Get Started  3'!$E65)*'Get Started  3'!$E86/'Get Started  3'!$E82),0)</f>
        <v>0</v>
      </c>
      <c r="AT225" s="90">
        <f ca="1">IFERROR(IF(AT4&lt;'Get Started  3'!$E55,0,OFFSET(AT220,0,-1*'Get Started  3'!$E55)*'Get Started  3'!$E84/'Get Started  3'!$E82),0)+IFERROR(IF(AT4&lt;'Get Started  3'!$E65,0,OFFSET(AT220,0,-1*'Get Started  3'!$E65)*'Get Started  3'!$E86/'Get Started  3'!$E82),0)</f>
        <v>0</v>
      </c>
      <c r="AU225" s="90">
        <f ca="1">IFERROR(IF(AU4&lt;'Get Started  3'!$E55,0,OFFSET(AU220,0,-1*'Get Started  3'!$E55)*'Get Started  3'!$E84/'Get Started  3'!$E82),0)+IFERROR(IF(AU4&lt;'Get Started  3'!$E65,0,OFFSET(AU220,0,-1*'Get Started  3'!$E65)*'Get Started  3'!$E86/'Get Started  3'!$E82),0)</f>
        <v>0</v>
      </c>
      <c r="AV225" s="90">
        <f ca="1">IFERROR(IF(AV4&lt;'Get Started  3'!$E55,0,OFFSET(AV220,0,-1*'Get Started  3'!$E55)*'Get Started  3'!$E84/'Get Started  3'!$E82),0)+IFERROR(IF(AV4&lt;'Get Started  3'!$E65,0,OFFSET(AV220,0,-1*'Get Started  3'!$E65)*'Get Started  3'!$E86/'Get Started  3'!$E82),0)</f>
        <v>0</v>
      </c>
      <c r="AW225" s="90">
        <f ca="1">IFERROR(IF(AW4&lt;'Get Started  3'!$E55,0,OFFSET(AW220,0,-1*'Get Started  3'!$E55)*'Get Started  3'!$E84/'Get Started  3'!$E82),0)+IFERROR(IF(AW4&lt;'Get Started  3'!$E65,0,OFFSET(AW220,0,-1*'Get Started  3'!$E65)*'Get Started  3'!$E86/'Get Started  3'!$E82),0)</f>
        <v>0</v>
      </c>
      <c r="AX225" s="90">
        <f ca="1">IFERROR(IF(AX4&lt;'Get Started  3'!$E55,0,OFFSET(AX220,0,-1*'Get Started  3'!$E55)*'Get Started  3'!$E84/'Get Started  3'!$E82),0)+IFERROR(IF(AX4&lt;'Get Started  3'!$E65,0,OFFSET(AX220,0,-1*'Get Started  3'!$E65)*'Get Started  3'!$E86/'Get Started  3'!$E82),0)</f>
        <v>0</v>
      </c>
      <c r="AY225" s="90">
        <f ca="1">IFERROR(IF(AY4&lt;'Get Started  3'!$E55,0,OFFSET(AY220,0,-1*'Get Started  3'!$E55)*'Get Started  3'!$E84/'Get Started  3'!$E82),0)+IFERROR(IF(AY4&lt;'Get Started  3'!$E65,0,OFFSET(AY220,0,-1*'Get Started  3'!$E65)*'Get Started  3'!$E86/'Get Started  3'!$E82),0)</f>
        <v>0</v>
      </c>
      <c r="AZ225" s="90">
        <f ca="1">IFERROR(IF(AZ4&lt;'Get Started  3'!$E55,0,OFFSET(AZ220,0,-1*'Get Started  3'!$E55)*'Get Started  3'!$E84/'Get Started  3'!$E82),0)+IFERROR(IF(AZ4&lt;'Get Started  3'!$E65,0,OFFSET(AZ220,0,-1*'Get Started  3'!$E65)*'Get Started  3'!$E86/'Get Started  3'!$E82),0)</f>
        <v>0</v>
      </c>
      <c r="BA225" s="90">
        <f ca="1">IFERROR(IF(BA4&lt;'Get Started  3'!$E55,0,OFFSET(BA220,0,-1*'Get Started  3'!$E55)*'Get Started  3'!$E84/'Get Started  3'!$E82),0)+IFERROR(IF(BA4&lt;'Get Started  3'!$E65,0,OFFSET(BA220,0,-1*'Get Started  3'!$E65)*'Get Started  3'!$E86/'Get Started  3'!$E82),0)</f>
        <v>0</v>
      </c>
      <c r="BB225" s="90">
        <f ca="1">IFERROR(IF(BB4&lt;'Get Started  3'!$E55,0,OFFSET(BB220,0,-1*'Get Started  3'!$E55)*'Get Started  3'!$E84/'Get Started  3'!$E82),0)+IFERROR(IF(BB4&lt;'Get Started  3'!$E65,0,OFFSET(BB220,0,-1*'Get Started  3'!$E65)*'Get Started  3'!$E86/'Get Started  3'!$E82),0)</f>
        <v>0</v>
      </c>
      <c r="BC225" s="90">
        <f ca="1">IFERROR(IF(BC4&lt;'Get Started  3'!$E55,0,OFFSET(BC220,0,-1*'Get Started  3'!$E55)*'Get Started  3'!$E84/'Get Started  3'!$E82),0)+IFERROR(IF(BC4&lt;'Get Started  3'!$E65,0,OFFSET(BC220,0,-1*'Get Started  3'!$E65)*'Get Started  3'!$E86/'Get Started  3'!$E82),0)</f>
        <v>0</v>
      </c>
      <c r="BD225" s="90">
        <f ca="1">IFERROR(IF(BD4&lt;'Get Started  3'!$E55,0,OFFSET(BD220,0,-1*'Get Started  3'!$E55)*'Get Started  3'!$E84/'Get Started  3'!$E82),0)+IFERROR(IF(BD4&lt;'Get Started  3'!$E65,0,OFFSET(BD220,0,-1*'Get Started  3'!$E65)*'Get Started  3'!$E86/'Get Started  3'!$E82),0)</f>
        <v>0</v>
      </c>
      <c r="BE225" s="90">
        <f ca="1">IFERROR(IF(BE4&lt;'Get Started  3'!$E55,0,OFFSET(BE220,0,-1*'Get Started  3'!$E55)*'Get Started  3'!$E84/'Get Started  3'!$E82),0)+IFERROR(IF(BE4&lt;'Get Started  3'!$E65,0,OFFSET(BE220,0,-1*'Get Started  3'!$E65)*'Get Started  3'!$E86/'Get Started  3'!$E82),0)</f>
        <v>0</v>
      </c>
      <c r="BF225" s="90">
        <f ca="1">IFERROR(IF(BF4&lt;'Get Started  3'!$E55,0,OFFSET(BF220,0,-1*'Get Started  3'!$E55)*'Get Started  3'!$E84/'Get Started  3'!$E82),0)+IFERROR(IF(BF4&lt;'Get Started  3'!$E65,0,OFFSET(BF220,0,-1*'Get Started  3'!$E65)*'Get Started  3'!$E86/'Get Started  3'!$E82),0)</f>
        <v>0</v>
      </c>
      <c r="BG225" s="90">
        <f ca="1">IFERROR(IF(BG4&lt;'Get Started  3'!$E55,0,OFFSET(BG220,0,-1*'Get Started  3'!$E55)*'Get Started  3'!$E84/'Get Started  3'!$E82),0)+IFERROR(IF(BG4&lt;'Get Started  3'!$E65,0,OFFSET(BG220,0,-1*'Get Started  3'!$E65)*'Get Started  3'!$E86/'Get Started  3'!$E82),0)</f>
        <v>0</v>
      </c>
      <c r="BH225" s="90">
        <f ca="1">IFERROR(IF(BH4&lt;'Get Started  3'!$E55,0,OFFSET(BH220,0,-1*'Get Started  3'!$E55)*'Get Started  3'!$E84/'Get Started  3'!$E82),0)+IFERROR(IF(BH4&lt;'Get Started  3'!$E65,0,OFFSET(BH220,0,-1*'Get Started  3'!$E65)*'Get Started  3'!$E86/'Get Started  3'!$E82),0)</f>
        <v>0</v>
      </c>
      <c r="BI225" s="90">
        <f ca="1">IFERROR(IF(BI4&lt;'Get Started  3'!$E55,0,OFFSET(BI220,0,-1*'Get Started  3'!$E55)*'Get Started  3'!$E84/'Get Started  3'!$E82),0)+IFERROR(IF(BI4&lt;'Get Started  3'!$E65,0,OFFSET(BI220,0,-1*'Get Started  3'!$E65)*'Get Started  3'!$E86/'Get Started  3'!$E82),0)</f>
        <v>0</v>
      </c>
      <c r="BJ225" s="90">
        <f ca="1">IFERROR(IF(BJ4&lt;'Get Started  3'!$E55,0,OFFSET(BJ220,0,-1*'Get Started  3'!$E55)*'Get Started  3'!$E84/'Get Started  3'!$E82),0)+IFERROR(IF(BJ4&lt;'Get Started  3'!$E65,0,OFFSET(BJ220,0,-1*'Get Started  3'!$E65)*'Get Started  3'!$E86/'Get Started  3'!$E82),0)</f>
        <v>0</v>
      </c>
      <c r="BK225" s="90">
        <f ca="1">IFERROR(IF(BK4&lt;'Get Started  3'!$E55,0,OFFSET(BK220,0,-1*'Get Started  3'!$E55)*'Get Started  3'!$E84/'Get Started  3'!$E82),0)+IFERROR(IF(BK4&lt;'Get Started  3'!$E65,0,OFFSET(BK220,0,-1*'Get Started  3'!$E65)*'Get Started  3'!$E86/'Get Started  3'!$E82),0)</f>
        <v>0</v>
      </c>
      <c r="BL225" s="90">
        <f ca="1">IFERROR(IF(BL4&lt;'Get Started  3'!$E55,0,OFFSET(BL220,0,-1*'Get Started  3'!$E55)*'Get Started  3'!$E84/'Get Started  3'!$E82),0)+IFERROR(IF(BL4&lt;'Get Started  3'!$E65,0,OFFSET(BL220,0,-1*'Get Started  3'!$E65)*'Get Started  3'!$E86/'Get Started  3'!$E82),0)</f>
        <v>0</v>
      </c>
      <c r="BM225" s="90">
        <f ca="1">IFERROR(IF(BM4&lt;'Get Started  3'!$E55,0,OFFSET(BM220,0,-1*'Get Started  3'!$E55)*'Get Started  3'!$E84/'Get Started  3'!$E82),0)+IFERROR(IF(BM4&lt;'Get Started  3'!$E65,0,OFFSET(BM220,0,-1*'Get Started  3'!$E65)*'Get Started  3'!$E86/'Get Started  3'!$E82),0)</f>
        <v>0</v>
      </c>
      <c r="BN225" s="90">
        <f ca="1">IFERROR(IF(BN4&lt;'Get Started  3'!$E55,0,OFFSET(BN220,0,-1*'Get Started  3'!$E55)*'Get Started  3'!$E84/'Get Started  3'!$E82),0)+IFERROR(IF(BN4&lt;'Get Started  3'!$E65,0,OFFSET(BN220,0,-1*'Get Started  3'!$E65)*'Get Started  3'!$E86/'Get Started  3'!$E82),0)</f>
        <v>0</v>
      </c>
      <c r="BO225" s="90">
        <f ca="1">IFERROR(IF(BO4&lt;'Get Started  3'!$E55,0,OFFSET(BO220,0,-1*'Get Started  3'!$E55)*'Get Started  3'!$E84/'Get Started  3'!$E82),0)+IFERROR(IF(BO4&lt;'Get Started  3'!$E65,0,OFFSET(BO220,0,-1*'Get Started  3'!$E65)*'Get Started  3'!$E86/'Get Started  3'!$E82),0)</f>
        <v>0</v>
      </c>
      <c r="BP225" s="90">
        <f ca="1">IFERROR(IF(BP4&lt;'Get Started  3'!$E55,0,OFFSET(BP220,0,-1*'Get Started  3'!$E55)*'Get Started  3'!$E84/'Get Started  3'!$E82),0)+IFERROR(IF(BP4&lt;'Get Started  3'!$E65,0,OFFSET(BP220,0,-1*'Get Started  3'!$E65)*'Get Started  3'!$E86/'Get Started  3'!$E82),0)</f>
        <v>0</v>
      </c>
      <c r="BQ225" s="90">
        <f ca="1">IFERROR(IF(BQ4&lt;'Get Started  3'!$E55,0,OFFSET(BQ220,0,-1*'Get Started  3'!$E55)*'Get Started  3'!$E84/'Get Started  3'!$E82),0)+IFERROR(IF(BQ4&lt;'Get Started  3'!$E65,0,OFFSET(BQ220,0,-1*'Get Started  3'!$E65)*'Get Started  3'!$E86/'Get Started  3'!$E82),0)</f>
        <v>0</v>
      </c>
      <c r="BR225" s="90">
        <f ca="1">IFERROR(IF(BR4&lt;'Get Started  3'!$E55,0,OFFSET(BR220,0,-1*'Get Started  3'!$E55)*'Get Started  3'!$E84/'Get Started  3'!$E82),0)+IFERROR(IF(BR4&lt;'Get Started  3'!$E65,0,OFFSET(BR220,0,-1*'Get Started  3'!$E65)*'Get Started  3'!$E86/'Get Started  3'!$E82),0)</f>
        <v>0</v>
      </c>
      <c r="BS225" s="90">
        <f ca="1">IFERROR(IF(BS4&lt;'Get Started  3'!$E55,0,OFFSET(BS220,0,-1*'Get Started  3'!$E55)*'Get Started  3'!$E84/'Get Started  3'!$E82),0)+IFERROR(IF(BS4&lt;'Get Started  3'!$E65,0,OFFSET(BS220,0,-1*'Get Started  3'!$E65)*'Get Started  3'!$E86/'Get Started  3'!$E82),0)</f>
        <v>0</v>
      </c>
      <c r="BT225" s="90">
        <f ca="1">IFERROR(IF(BT4&lt;'Get Started  3'!$E55,0,OFFSET(BT220,0,-1*'Get Started  3'!$E55)*'Get Started  3'!$E84/'Get Started  3'!$E82),0)+IFERROR(IF(BT4&lt;'Get Started  3'!$E65,0,OFFSET(BT220,0,-1*'Get Started  3'!$E65)*'Get Started  3'!$E86/'Get Started  3'!$E82),0)</f>
        <v>0</v>
      </c>
      <c r="BU225" s="90">
        <f ca="1">IFERROR(IF(BU4&lt;'Get Started  3'!$E55,0,OFFSET(BU220,0,-1*'Get Started  3'!$E55)*'Get Started  3'!$E84/'Get Started  3'!$E82),0)+IFERROR(IF(BU4&lt;'Get Started  3'!$E65,0,OFFSET(BU220,0,-1*'Get Started  3'!$E65)*'Get Started  3'!$E86/'Get Started  3'!$E82),0)</f>
        <v>0</v>
      </c>
      <c r="BV225" s="90">
        <f ca="1">IFERROR(IF(BV4&lt;'Get Started  3'!$E55,0,OFFSET(BV220,0,-1*'Get Started  3'!$E55)*'Get Started  3'!$E84/'Get Started  3'!$E82),0)+IFERROR(IF(BV4&lt;'Get Started  3'!$E65,0,OFFSET(BV220,0,-1*'Get Started  3'!$E65)*'Get Started  3'!$E86/'Get Started  3'!$E82),0)</f>
        <v>0</v>
      </c>
      <c r="BW225" s="90">
        <f ca="1">IFERROR(IF(BW4&lt;'Get Started  3'!$E55,0,OFFSET(BW220,0,-1*'Get Started  3'!$E55)*'Get Started  3'!$E84/'Get Started  3'!$E82),0)+IFERROR(IF(BW4&lt;'Get Started  3'!$E65,0,OFFSET(BW220,0,-1*'Get Started  3'!$E65)*'Get Started  3'!$E86/'Get Started  3'!$E82),0)</f>
        <v>0</v>
      </c>
      <c r="BX225" s="90">
        <f ca="1">IFERROR(IF(BX4&lt;'Get Started  3'!$E55,0,OFFSET(BX220,0,-1*'Get Started  3'!$E55)*'Get Started  3'!$E84/'Get Started  3'!$E82),0)+IFERROR(IF(BX4&lt;'Get Started  3'!$E65,0,OFFSET(BX220,0,-1*'Get Started  3'!$E65)*'Get Started  3'!$E86/'Get Started  3'!$E82),0)</f>
        <v>0</v>
      </c>
      <c r="BY225" s="90">
        <f ca="1">IFERROR(IF(BY4&lt;'Get Started  3'!$E55,0,OFFSET(BY220,0,-1*'Get Started  3'!$E55)*'Get Started  3'!$E84/'Get Started  3'!$E82),0)+IFERROR(IF(BY4&lt;'Get Started  3'!$E65,0,OFFSET(BY220,0,-1*'Get Started  3'!$E65)*'Get Started  3'!$E86/'Get Started  3'!$E82),0)</f>
        <v>0</v>
      </c>
      <c r="BZ225" s="90">
        <f ca="1">IFERROR(IF(BZ4&lt;'Get Started  3'!$E55,0,OFFSET(BZ220,0,-1*'Get Started  3'!$E55)*'Get Started  3'!$E84/'Get Started  3'!$E82),0)+IFERROR(IF(BZ4&lt;'Get Started  3'!$E65,0,OFFSET(BZ220,0,-1*'Get Started  3'!$E65)*'Get Started  3'!$E86/'Get Started  3'!$E82),0)</f>
        <v>0</v>
      </c>
      <c r="CA225" s="90">
        <f ca="1">IFERROR(IF(CA4&lt;'Get Started  3'!$E55,0,OFFSET(CA220,0,-1*'Get Started  3'!$E55)*'Get Started  3'!$E84/'Get Started  3'!$E82),0)+IFERROR(IF(CA4&lt;'Get Started  3'!$E65,0,OFFSET(CA220,0,-1*'Get Started  3'!$E65)*'Get Started  3'!$E86/'Get Started  3'!$E82),0)</f>
        <v>0</v>
      </c>
      <c r="CB225" s="90">
        <f ca="1">IFERROR(IF(CB4&lt;'Get Started  3'!$E55,0,OFFSET(CB220,0,-1*'Get Started  3'!$E55)*'Get Started  3'!$E84/'Get Started  3'!$E82),0)+IFERROR(IF(CB4&lt;'Get Started  3'!$E65,0,OFFSET(CB220,0,-1*'Get Started  3'!$E65)*'Get Started  3'!$E86/'Get Started  3'!$E82),0)</f>
        <v>0</v>
      </c>
      <c r="CC225" s="90">
        <f ca="1">IFERROR(IF(CC4&lt;'Get Started  3'!$E55,0,OFFSET(CC220,0,-1*'Get Started  3'!$E55)*'Get Started  3'!$E84/'Get Started  3'!$E82),0)+IFERROR(IF(CC4&lt;'Get Started  3'!$E65,0,OFFSET(CC220,0,-1*'Get Started  3'!$E65)*'Get Started  3'!$E86/'Get Started  3'!$E82),0)</f>
        <v>0</v>
      </c>
      <c r="CD225" s="90">
        <f ca="1">IFERROR(IF(CD4&lt;'Get Started  3'!$E55,0,OFFSET(CD220,0,-1*'Get Started  3'!$E55)*'Get Started  3'!$E84/'Get Started  3'!$E82),0)+IFERROR(IF(CD4&lt;'Get Started  3'!$E65,0,OFFSET(CD220,0,-1*'Get Started  3'!$E65)*'Get Started  3'!$E86/'Get Started  3'!$E82),0)</f>
        <v>0</v>
      </c>
      <c r="CE225" s="90">
        <f ca="1">IFERROR(IF(CE4&lt;'Get Started  3'!$E55,0,OFFSET(CE220,0,-1*'Get Started  3'!$E55)*'Get Started  3'!$E84/'Get Started  3'!$E82),0)+IFERROR(IF(CE4&lt;'Get Started  3'!$E65,0,OFFSET(CE220,0,-1*'Get Started  3'!$E65)*'Get Started  3'!$E86/'Get Started  3'!$E82),0)</f>
        <v>0</v>
      </c>
      <c r="CF225" s="90">
        <f ca="1">IFERROR(IF(CF4&lt;'Get Started  3'!$E55,0,OFFSET(CF220,0,-1*'Get Started  3'!$E55)*'Get Started  3'!$E84/'Get Started  3'!$E82),0)+IFERROR(IF(CF4&lt;'Get Started  3'!$E65,0,OFFSET(CF220,0,-1*'Get Started  3'!$E65)*'Get Started  3'!$E86/'Get Started  3'!$E82),0)</f>
        <v>0</v>
      </c>
      <c r="CG225" s="90">
        <f ca="1">IFERROR(IF(CG4&lt;'Get Started  3'!$E55,0,OFFSET(CG220,0,-1*'Get Started  3'!$E55)*'Get Started  3'!$E84/'Get Started  3'!$E82),0)+IFERROR(IF(CG4&lt;'Get Started  3'!$E65,0,OFFSET(CG220,0,-1*'Get Started  3'!$E65)*'Get Started  3'!$E86/'Get Started  3'!$E82),0)</f>
        <v>0</v>
      </c>
      <c r="CH225" s="90">
        <f ca="1">IFERROR(IF(CH4&lt;'Get Started  3'!$E55,0,OFFSET(CH220,0,-1*'Get Started  3'!$E55)*'Get Started  3'!$E84/'Get Started  3'!$E82),0)+IFERROR(IF(CH4&lt;'Get Started  3'!$E65,0,OFFSET(CH220,0,-1*'Get Started  3'!$E65)*'Get Started  3'!$E86/'Get Started  3'!$E82),0)</f>
        <v>0</v>
      </c>
    </row>
    <row r="226" spans="1:86" ht="13" outlineLevel="1">
      <c r="A226" s="13"/>
      <c r="B226" s="13" t="s">
        <v>329</v>
      </c>
      <c r="C226" s="13"/>
      <c r="D226" s="13" t="s">
        <v>238</v>
      </c>
      <c r="E226" s="88">
        <f t="shared" ca="1" si="170"/>
        <v>0</v>
      </c>
      <c r="F226" s="48"/>
      <c r="G226" s="90">
        <f ca="1">IFERROR(IF(G4&lt;'Get Started  3'!$F55,0,OFFSET(G221,0,-1*'Get Started  3'!$F55)*'Get Started  3'!$F84/'Get Started  3'!$F82),0)+IFERROR(IF(G4&lt;'Get Started  3'!$F65,0,OFFSET(G221,0,-1*'Get Started  3'!$F65)*'Get Started  3'!$F86/'Get Started  3'!$F82),0)</f>
        <v>0</v>
      </c>
      <c r="H226" s="90">
        <f ca="1">IFERROR(IF(H4&lt;'Get Started  3'!$F55,0,OFFSET(H221,0,-1*'Get Started  3'!$F55)*'Get Started  3'!$F84/'Get Started  3'!$F82),0)+IFERROR(IF(H4&lt;'Get Started  3'!$F65,0,OFFSET(H221,0,-1*'Get Started  3'!$F65)*'Get Started  3'!$F86/'Get Started  3'!$F82),0)</f>
        <v>0</v>
      </c>
      <c r="I226" s="90">
        <f ca="1">IFERROR(IF(I4&lt;'Get Started  3'!$F55,0,OFFSET(I221,0,-1*'Get Started  3'!$F55)*'Get Started  3'!$F84/'Get Started  3'!$F82),0)+IFERROR(IF(I4&lt;'Get Started  3'!$F65,0,OFFSET(I221,0,-1*'Get Started  3'!$F65)*'Get Started  3'!$F86/'Get Started  3'!$F82),0)</f>
        <v>0</v>
      </c>
      <c r="J226" s="90">
        <f ca="1">IFERROR(IF(J4&lt;'Get Started  3'!$F55,0,OFFSET(J221,0,-1*'Get Started  3'!$F55)*'Get Started  3'!$F84/'Get Started  3'!$F82),0)+IFERROR(IF(J4&lt;'Get Started  3'!$F65,0,OFFSET(J221,0,-1*'Get Started  3'!$F65)*'Get Started  3'!$F86/'Get Started  3'!$F82),0)</f>
        <v>0</v>
      </c>
      <c r="K226" s="90">
        <f ca="1">IFERROR(IF(K4&lt;'Get Started  3'!$F55,0,OFFSET(K221,0,-1*'Get Started  3'!$F55)*'Get Started  3'!$F84/'Get Started  3'!$F82),0)+IFERROR(IF(K4&lt;'Get Started  3'!$F65,0,OFFSET(K221,0,-1*'Get Started  3'!$F65)*'Get Started  3'!$F86/'Get Started  3'!$F82),0)</f>
        <v>0</v>
      </c>
      <c r="L226" s="90">
        <f ca="1">IFERROR(IF(L4&lt;'Get Started  3'!$F55,0,OFFSET(L221,0,-1*'Get Started  3'!$F55)*'Get Started  3'!$F84/'Get Started  3'!$F82),0)+IFERROR(IF(L4&lt;'Get Started  3'!$F65,0,OFFSET(L221,0,-1*'Get Started  3'!$F65)*'Get Started  3'!$F86/'Get Started  3'!$F82),0)</f>
        <v>0</v>
      </c>
      <c r="M226" s="90">
        <f ca="1">IFERROR(IF(M4&lt;'Get Started  3'!$F55,0,OFFSET(M221,0,-1*'Get Started  3'!$F55)*'Get Started  3'!$F84/'Get Started  3'!$F82),0)+IFERROR(IF(M4&lt;'Get Started  3'!$F65,0,OFFSET(M221,0,-1*'Get Started  3'!$F65)*'Get Started  3'!$F86/'Get Started  3'!$F82),0)</f>
        <v>0</v>
      </c>
      <c r="N226" s="90">
        <f ca="1">IFERROR(IF(N4&lt;'Get Started  3'!$F55,0,OFFSET(N221,0,-1*'Get Started  3'!$F55)*'Get Started  3'!$F84/'Get Started  3'!$F82),0)+IFERROR(IF(N4&lt;'Get Started  3'!$F65,0,OFFSET(N221,0,-1*'Get Started  3'!$F65)*'Get Started  3'!$F86/'Get Started  3'!$F82),0)</f>
        <v>0</v>
      </c>
      <c r="O226" s="90">
        <f ca="1">IFERROR(IF(O4&lt;'Get Started  3'!$F55,0,OFFSET(O221,0,-1*'Get Started  3'!$F55)*'Get Started  3'!$F84/'Get Started  3'!$F82),0)+IFERROR(IF(O4&lt;'Get Started  3'!$F65,0,OFFSET(O221,0,-1*'Get Started  3'!$F65)*'Get Started  3'!$F86/'Get Started  3'!$F82),0)</f>
        <v>0</v>
      </c>
      <c r="P226" s="90">
        <f ca="1">IFERROR(IF(P4&lt;'Get Started  3'!$F55,0,OFFSET(P221,0,-1*'Get Started  3'!$F55)*'Get Started  3'!$F84/'Get Started  3'!$F82),0)+IFERROR(IF(P4&lt;'Get Started  3'!$F65,0,OFFSET(P221,0,-1*'Get Started  3'!$F65)*'Get Started  3'!$F86/'Get Started  3'!$F82),0)</f>
        <v>0</v>
      </c>
      <c r="Q226" s="90">
        <f ca="1">IFERROR(IF(Q4&lt;'Get Started  3'!$F55,0,OFFSET(Q221,0,-1*'Get Started  3'!$F55)*'Get Started  3'!$F84/'Get Started  3'!$F82),0)+IFERROR(IF(Q4&lt;'Get Started  3'!$F65,0,OFFSET(Q221,0,-1*'Get Started  3'!$F65)*'Get Started  3'!$F86/'Get Started  3'!$F82),0)</f>
        <v>0</v>
      </c>
      <c r="R226" s="90">
        <f ca="1">IFERROR(IF(R4&lt;'Get Started  3'!$F55,0,OFFSET(R221,0,-1*'Get Started  3'!$F55)*'Get Started  3'!$F84/'Get Started  3'!$F82),0)+IFERROR(IF(R4&lt;'Get Started  3'!$F65,0,OFFSET(R221,0,-1*'Get Started  3'!$F65)*'Get Started  3'!$F86/'Get Started  3'!$F82),0)</f>
        <v>0</v>
      </c>
      <c r="S226" s="90">
        <f ca="1">IFERROR(IF(S4&lt;'Get Started  3'!$F55,0,OFFSET(S221,0,-1*'Get Started  3'!$F55)*'Get Started  3'!$F84/'Get Started  3'!$F82),0)+IFERROR(IF(S4&lt;'Get Started  3'!$F65,0,OFFSET(S221,0,-1*'Get Started  3'!$F65)*'Get Started  3'!$F86/'Get Started  3'!$F82),0)</f>
        <v>0</v>
      </c>
      <c r="T226" s="90">
        <f ca="1">IFERROR(IF(T4&lt;'Get Started  3'!$F55,0,OFFSET(T221,0,-1*'Get Started  3'!$F55)*'Get Started  3'!$F84/'Get Started  3'!$F82),0)+IFERROR(IF(T4&lt;'Get Started  3'!$F65,0,OFFSET(T221,0,-1*'Get Started  3'!$F65)*'Get Started  3'!$F86/'Get Started  3'!$F82),0)</f>
        <v>0</v>
      </c>
      <c r="U226" s="90">
        <f ca="1">IFERROR(IF(U4&lt;'Get Started  3'!$F55,0,OFFSET(U221,0,-1*'Get Started  3'!$F55)*'Get Started  3'!$F84/'Get Started  3'!$F82),0)+IFERROR(IF(U4&lt;'Get Started  3'!$F65,0,OFFSET(U221,0,-1*'Get Started  3'!$F65)*'Get Started  3'!$F86/'Get Started  3'!$F82),0)</f>
        <v>0</v>
      </c>
      <c r="V226" s="90">
        <f ca="1">IFERROR(IF(V4&lt;'Get Started  3'!$F55,0,OFFSET(V221,0,-1*'Get Started  3'!$F55)*'Get Started  3'!$F84/'Get Started  3'!$F82),0)+IFERROR(IF(V4&lt;'Get Started  3'!$F65,0,OFFSET(V221,0,-1*'Get Started  3'!$F65)*'Get Started  3'!$F86/'Get Started  3'!$F82),0)</f>
        <v>0</v>
      </c>
      <c r="W226" s="90">
        <f ca="1">IFERROR(IF(W4&lt;'Get Started  3'!$F55,0,OFFSET(W221,0,-1*'Get Started  3'!$F55)*'Get Started  3'!$F84/'Get Started  3'!$F82),0)+IFERROR(IF(W4&lt;'Get Started  3'!$F65,0,OFFSET(W221,0,-1*'Get Started  3'!$F65)*'Get Started  3'!$F86/'Get Started  3'!$F82),0)</f>
        <v>0</v>
      </c>
      <c r="X226" s="90">
        <f ca="1">IFERROR(IF(X4&lt;'Get Started  3'!$F55,0,OFFSET(X221,0,-1*'Get Started  3'!$F55)*'Get Started  3'!$F84/'Get Started  3'!$F82),0)+IFERROR(IF(X4&lt;'Get Started  3'!$F65,0,OFFSET(X221,0,-1*'Get Started  3'!$F65)*'Get Started  3'!$F86/'Get Started  3'!$F82),0)</f>
        <v>0</v>
      </c>
      <c r="Y226" s="90">
        <f ca="1">IFERROR(IF(Y4&lt;'Get Started  3'!$F55,0,OFFSET(Y221,0,-1*'Get Started  3'!$F55)*'Get Started  3'!$F84/'Get Started  3'!$F82),0)+IFERROR(IF(Y4&lt;'Get Started  3'!$F65,0,OFFSET(Y221,0,-1*'Get Started  3'!$F65)*'Get Started  3'!$F86/'Get Started  3'!$F82),0)</f>
        <v>0</v>
      </c>
      <c r="Z226" s="90">
        <f ca="1">IFERROR(IF(Z4&lt;'Get Started  3'!$F55,0,OFFSET(Z221,0,-1*'Get Started  3'!$F55)*'Get Started  3'!$F84/'Get Started  3'!$F82),0)+IFERROR(IF(Z4&lt;'Get Started  3'!$F65,0,OFFSET(Z221,0,-1*'Get Started  3'!$F65)*'Get Started  3'!$F86/'Get Started  3'!$F82),0)</f>
        <v>0</v>
      </c>
      <c r="AA226" s="90">
        <f ca="1">IFERROR(IF(AA4&lt;'Get Started  3'!$F55,0,OFFSET(AA221,0,-1*'Get Started  3'!$F55)*'Get Started  3'!$F84/'Get Started  3'!$F82),0)+IFERROR(IF(AA4&lt;'Get Started  3'!$F65,0,OFFSET(AA221,0,-1*'Get Started  3'!$F65)*'Get Started  3'!$F86/'Get Started  3'!$F82),0)</f>
        <v>0</v>
      </c>
      <c r="AB226" s="90">
        <f ca="1">IFERROR(IF(AB4&lt;'Get Started  3'!$F55,0,OFFSET(AB221,0,-1*'Get Started  3'!$F55)*'Get Started  3'!$F84/'Get Started  3'!$F82),0)+IFERROR(IF(AB4&lt;'Get Started  3'!$F65,0,OFFSET(AB221,0,-1*'Get Started  3'!$F65)*'Get Started  3'!$F86/'Get Started  3'!$F82),0)</f>
        <v>0</v>
      </c>
      <c r="AC226" s="90">
        <f ca="1">IFERROR(IF(AC4&lt;'Get Started  3'!$F55,0,OFFSET(AC221,0,-1*'Get Started  3'!$F55)*'Get Started  3'!$F84/'Get Started  3'!$F82),0)+IFERROR(IF(AC4&lt;'Get Started  3'!$F65,0,OFFSET(AC221,0,-1*'Get Started  3'!$F65)*'Get Started  3'!$F86/'Get Started  3'!$F82),0)</f>
        <v>0</v>
      </c>
      <c r="AD226" s="90">
        <f ca="1">IFERROR(IF(AD4&lt;'Get Started  3'!$F55,0,OFFSET(AD221,0,-1*'Get Started  3'!$F55)*'Get Started  3'!$F84/'Get Started  3'!$F82),0)+IFERROR(IF(AD4&lt;'Get Started  3'!$F65,0,OFFSET(AD221,0,-1*'Get Started  3'!$F65)*'Get Started  3'!$F86/'Get Started  3'!$F82),0)</f>
        <v>0</v>
      </c>
      <c r="AE226" s="90">
        <f ca="1">IFERROR(IF(AE4&lt;'Get Started  3'!$F55,0,OFFSET(AE221,0,-1*'Get Started  3'!$F55)*'Get Started  3'!$F84/'Get Started  3'!$F82),0)+IFERROR(IF(AE4&lt;'Get Started  3'!$F65,0,OFFSET(AE221,0,-1*'Get Started  3'!$F65)*'Get Started  3'!$F86/'Get Started  3'!$F82),0)</f>
        <v>0</v>
      </c>
      <c r="AF226" s="90">
        <f ca="1">IFERROR(IF(AF4&lt;'Get Started  3'!$F55,0,OFFSET(AF221,0,-1*'Get Started  3'!$F55)*'Get Started  3'!$F84/'Get Started  3'!$F82),0)+IFERROR(IF(AF4&lt;'Get Started  3'!$F65,0,OFFSET(AF221,0,-1*'Get Started  3'!$F65)*'Get Started  3'!$F86/'Get Started  3'!$F82),0)</f>
        <v>0</v>
      </c>
      <c r="AG226" s="90">
        <f ca="1">IFERROR(IF(AG4&lt;'Get Started  3'!$F55,0,OFFSET(AG221,0,-1*'Get Started  3'!$F55)*'Get Started  3'!$F84/'Get Started  3'!$F82),0)+IFERROR(IF(AG4&lt;'Get Started  3'!$F65,0,OFFSET(AG221,0,-1*'Get Started  3'!$F65)*'Get Started  3'!$F86/'Get Started  3'!$F82),0)</f>
        <v>0</v>
      </c>
      <c r="AH226" s="90">
        <f ca="1">IFERROR(IF(AH4&lt;'Get Started  3'!$F55,0,OFFSET(AH221,0,-1*'Get Started  3'!$F55)*'Get Started  3'!$F84/'Get Started  3'!$F82),0)+IFERROR(IF(AH4&lt;'Get Started  3'!$F65,0,OFFSET(AH221,0,-1*'Get Started  3'!$F65)*'Get Started  3'!$F86/'Get Started  3'!$F82),0)</f>
        <v>0</v>
      </c>
      <c r="AI226" s="90">
        <f ca="1">IFERROR(IF(AI4&lt;'Get Started  3'!$F55,0,OFFSET(AI221,0,-1*'Get Started  3'!$F55)*'Get Started  3'!$F84/'Get Started  3'!$F82),0)+IFERROR(IF(AI4&lt;'Get Started  3'!$F65,0,OFFSET(AI221,0,-1*'Get Started  3'!$F65)*'Get Started  3'!$F86/'Get Started  3'!$F82),0)</f>
        <v>0</v>
      </c>
      <c r="AJ226" s="90">
        <f ca="1">IFERROR(IF(AJ4&lt;'Get Started  3'!$F55,0,OFFSET(AJ221,0,-1*'Get Started  3'!$F55)*'Get Started  3'!$F84/'Get Started  3'!$F82),0)+IFERROR(IF(AJ4&lt;'Get Started  3'!$F65,0,OFFSET(AJ221,0,-1*'Get Started  3'!$F65)*'Get Started  3'!$F86/'Get Started  3'!$F82),0)</f>
        <v>0</v>
      </c>
      <c r="AK226" s="90">
        <f ca="1">IFERROR(IF(AK4&lt;'Get Started  3'!$F55,0,OFFSET(AK221,0,-1*'Get Started  3'!$F55)*'Get Started  3'!$F84/'Get Started  3'!$F82),0)+IFERROR(IF(AK4&lt;'Get Started  3'!$F65,0,OFFSET(AK221,0,-1*'Get Started  3'!$F65)*'Get Started  3'!$F86/'Get Started  3'!$F82),0)</f>
        <v>0</v>
      </c>
      <c r="AL226" s="90">
        <f ca="1">IFERROR(IF(AL4&lt;'Get Started  3'!$F55,0,OFFSET(AL221,0,-1*'Get Started  3'!$F55)*'Get Started  3'!$F84/'Get Started  3'!$F82),0)+IFERROR(IF(AL4&lt;'Get Started  3'!$F65,0,OFFSET(AL221,0,-1*'Get Started  3'!$F65)*'Get Started  3'!$F86/'Get Started  3'!$F82),0)</f>
        <v>0</v>
      </c>
      <c r="AM226" s="90">
        <f ca="1">IFERROR(IF(AM4&lt;'Get Started  3'!$F55,0,OFFSET(AM221,0,-1*'Get Started  3'!$F55)*'Get Started  3'!$F84/'Get Started  3'!$F82),0)+IFERROR(IF(AM4&lt;'Get Started  3'!$F65,0,OFFSET(AM221,0,-1*'Get Started  3'!$F65)*'Get Started  3'!$F86/'Get Started  3'!$F82),0)</f>
        <v>0</v>
      </c>
      <c r="AN226" s="90">
        <f ca="1">IFERROR(IF(AN4&lt;'Get Started  3'!$F55,0,OFFSET(AN221,0,-1*'Get Started  3'!$F55)*'Get Started  3'!$F84/'Get Started  3'!$F82),0)+IFERROR(IF(AN4&lt;'Get Started  3'!$F65,0,OFFSET(AN221,0,-1*'Get Started  3'!$F65)*'Get Started  3'!$F86/'Get Started  3'!$F82),0)</f>
        <v>0</v>
      </c>
      <c r="AO226" s="90">
        <f ca="1">IFERROR(IF(AO4&lt;'Get Started  3'!$F55,0,OFFSET(AO221,0,-1*'Get Started  3'!$F55)*'Get Started  3'!$F84/'Get Started  3'!$F82),0)+IFERROR(IF(AO4&lt;'Get Started  3'!$F65,0,OFFSET(AO221,0,-1*'Get Started  3'!$F65)*'Get Started  3'!$F86/'Get Started  3'!$F82),0)</f>
        <v>0</v>
      </c>
      <c r="AP226" s="90">
        <f ca="1">IFERROR(IF(AP4&lt;'Get Started  3'!$F55,0,OFFSET(AP221,0,-1*'Get Started  3'!$F55)*'Get Started  3'!$F84/'Get Started  3'!$F82),0)+IFERROR(IF(AP4&lt;'Get Started  3'!$F65,0,OFFSET(AP221,0,-1*'Get Started  3'!$F65)*'Get Started  3'!$F86/'Get Started  3'!$F82),0)</f>
        <v>0</v>
      </c>
      <c r="AQ226" s="90">
        <f ca="1">IFERROR(IF(AQ4&lt;'Get Started  3'!$F55,0,OFFSET(AQ221,0,-1*'Get Started  3'!$F55)*'Get Started  3'!$F84/'Get Started  3'!$F82),0)+IFERROR(IF(AQ4&lt;'Get Started  3'!$F65,0,OFFSET(AQ221,0,-1*'Get Started  3'!$F65)*'Get Started  3'!$F86/'Get Started  3'!$F82),0)</f>
        <v>0</v>
      </c>
      <c r="AR226" s="90">
        <f ca="1">IFERROR(IF(AR4&lt;'Get Started  3'!$F55,0,OFFSET(AR221,0,-1*'Get Started  3'!$F55)*'Get Started  3'!$F84/'Get Started  3'!$F82),0)+IFERROR(IF(AR4&lt;'Get Started  3'!$F65,0,OFFSET(AR221,0,-1*'Get Started  3'!$F65)*'Get Started  3'!$F86/'Get Started  3'!$F82),0)</f>
        <v>0</v>
      </c>
      <c r="AS226" s="90">
        <f ca="1">IFERROR(IF(AS4&lt;'Get Started  3'!$F55,0,OFFSET(AS221,0,-1*'Get Started  3'!$F55)*'Get Started  3'!$F84/'Get Started  3'!$F82),0)+IFERROR(IF(AS4&lt;'Get Started  3'!$F65,0,OFFSET(AS221,0,-1*'Get Started  3'!$F65)*'Get Started  3'!$F86/'Get Started  3'!$F82),0)</f>
        <v>0</v>
      </c>
      <c r="AT226" s="90">
        <f ca="1">IFERROR(IF(AT4&lt;'Get Started  3'!$F55,0,OFFSET(AT221,0,-1*'Get Started  3'!$F55)*'Get Started  3'!$F84/'Get Started  3'!$F82),0)+IFERROR(IF(AT4&lt;'Get Started  3'!$F65,0,OFFSET(AT221,0,-1*'Get Started  3'!$F65)*'Get Started  3'!$F86/'Get Started  3'!$F82),0)</f>
        <v>0</v>
      </c>
      <c r="AU226" s="90">
        <f ca="1">IFERROR(IF(AU4&lt;'Get Started  3'!$F55,0,OFFSET(AU221,0,-1*'Get Started  3'!$F55)*'Get Started  3'!$F84/'Get Started  3'!$F82),0)+IFERROR(IF(AU4&lt;'Get Started  3'!$F65,0,OFFSET(AU221,0,-1*'Get Started  3'!$F65)*'Get Started  3'!$F86/'Get Started  3'!$F82),0)</f>
        <v>0</v>
      </c>
      <c r="AV226" s="90">
        <f ca="1">IFERROR(IF(AV4&lt;'Get Started  3'!$F55,0,OFFSET(AV221,0,-1*'Get Started  3'!$F55)*'Get Started  3'!$F84/'Get Started  3'!$F82),0)+IFERROR(IF(AV4&lt;'Get Started  3'!$F65,0,OFFSET(AV221,0,-1*'Get Started  3'!$F65)*'Get Started  3'!$F86/'Get Started  3'!$F82),0)</f>
        <v>0</v>
      </c>
      <c r="AW226" s="90">
        <f ca="1">IFERROR(IF(AW4&lt;'Get Started  3'!$F55,0,OFFSET(AW221,0,-1*'Get Started  3'!$F55)*'Get Started  3'!$F84/'Get Started  3'!$F82),0)+IFERROR(IF(AW4&lt;'Get Started  3'!$F65,0,OFFSET(AW221,0,-1*'Get Started  3'!$F65)*'Get Started  3'!$F86/'Get Started  3'!$F82),0)</f>
        <v>0</v>
      </c>
      <c r="AX226" s="90">
        <f ca="1">IFERROR(IF(AX4&lt;'Get Started  3'!$F55,0,OFFSET(AX221,0,-1*'Get Started  3'!$F55)*'Get Started  3'!$F84/'Get Started  3'!$F82),0)+IFERROR(IF(AX4&lt;'Get Started  3'!$F65,0,OFFSET(AX221,0,-1*'Get Started  3'!$F65)*'Get Started  3'!$F86/'Get Started  3'!$F82),0)</f>
        <v>0</v>
      </c>
      <c r="AY226" s="90">
        <f ca="1">IFERROR(IF(AY4&lt;'Get Started  3'!$F55,0,OFFSET(AY221,0,-1*'Get Started  3'!$F55)*'Get Started  3'!$F84/'Get Started  3'!$F82),0)+IFERROR(IF(AY4&lt;'Get Started  3'!$F65,0,OFFSET(AY221,0,-1*'Get Started  3'!$F65)*'Get Started  3'!$F86/'Get Started  3'!$F82),0)</f>
        <v>0</v>
      </c>
      <c r="AZ226" s="90">
        <f ca="1">IFERROR(IF(AZ4&lt;'Get Started  3'!$F55,0,OFFSET(AZ221,0,-1*'Get Started  3'!$F55)*'Get Started  3'!$F84/'Get Started  3'!$F82),0)+IFERROR(IF(AZ4&lt;'Get Started  3'!$F65,0,OFFSET(AZ221,0,-1*'Get Started  3'!$F65)*'Get Started  3'!$F86/'Get Started  3'!$F82),0)</f>
        <v>0</v>
      </c>
      <c r="BA226" s="90">
        <f ca="1">IFERROR(IF(BA4&lt;'Get Started  3'!$F55,0,OFFSET(BA221,0,-1*'Get Started  3'!$F55)*'Get Started  3'!$F84/'Get Started  3'!$F82),0)+IFERROR(IF(BA4&lt;'Get Started  3'!$F65,0,OFFSET(BA221,0,-1*'Get Started  3'!$F65)*'Get Started  3'!$F86/'Get Started  3'!$F82),0)</f>
        <v>0</v>
      </c>
      <c r="BB226" s="90">
        <f ca="1">IFERROR(IF(BB4&lt;'Get Started  3'!$F55,0,OFFSET(BB221,0,-1*'Get Started  3'!$F55)*'Get Started  3'!$F84/'Get Started  3'!$F82),0)+IFERROR(IF(BB4&lt;'Get Started  3'!$F65,0,OFFSET(BB221,0,-1*'Get Started  3'!$F65)*'Get Started  3'!$F86/'Get Started  3'!$F82),0)</f>
        <v>0</v>
      </c>
      <c r="BC226" s="90">
        <f ca="1">IFERROR(IF(BC4&lt;'Get Started  3'!$F55,0,OFFSET(BC221,0,-1*'Get Started  3'!$F55)*'Get Started  3'!$F84/'Get Started  3'!$F82),0)+IFERROR(IF(BC4&lt;'Get Started  3'!$F65,0,OFFSET(BC221,0,-1*'Get Started  3'!$F65)*'Get Started  3'!$F86/'Get Started  3'!$F82),0)</f>
        <v>0</v>
      </c>
      <c r="BD226" s="90">
        <f ca="1">IFERROR(IF(BD4&lt;'Get Started  3'!$F55,0,OFFSET(BD221,0,-1*'Get Started  3'!$F55)*'Get Started  3'!$F84/'Get Started  3'!$F82),0)+IFERROR(IF(BD4&lt;'Get Started  3'!$F65,0,OFFSET(BD221,0,-1*'Get Started  3'!$F65)*'Get Started  3'!$F86/'Get Started  3'!$F82),0)</f>
        <v>0</v>
      </c>
      <c r="BE226" s="90">
        <f ca="1">IFERROR(IF(BE4&lt;'Get Started  3'!$F55,0,OFFSET(BE221,0,-1*'Get Started  3'!$F55)*'Get Started  3'!$F84/'Get Started  3'!$F82),0)+IFERROR(IF(BE4&lt;'Get Started  3'!$F65,0,OFFSET(BE221,0,-1*'Get Started  3'!$F65)*'Get Started  3'!$F86/'Get Started  3'!$F82),0)</f>
        <v>0</v>
      </c>
      <c r="BF226" s="90">
        <f ca="1">IFERROR(IF(BF4&lt;'Get Started  3'!$F55,0,OFFSET(BF221,0,-1*'Get Started  3'!$F55)*'Get Started  3'!$F84/'Get Started  3'!$F82),0)+IFERROR(IF(BF4&lt;'Get Started  3'!$F65,0,OFFSET(BF221,0,-1*'Get Started  3'!$F65)*'Get Started  3'!$F86/'Get Started  3'!$F82),0)</f>
        <v>0</v>
      </c>
      <c r="BG226" s="90">
        <f ca="1">IFERROR(IF(BG4&lt;'Get Started  3'!$F55,0,OFFSET(BG221,0,-1*'Get Started  3'!$F55)*'Get Started  3'!$F84/'Get Started  3'!$F82),0)+IFERROR(IF(BG4&lt;'Get Started  3'!$F65,0,OFFSET(BG221,0,-1*'Get Started  3'!$F65)*'Get Started  3'!$F86/'Get Started  3'!$F82),0)</f>
        <v>0</v>
      </c>
      <c r="BH226" s="90">
        <f ca="1">IFERROR(IF(BH4&lt;'Get Started  3'!$F55,0,OFFSET(BH221,0,-1*'Get Started  3'!$F55)*'Get Started  3'!$F84/'Get Started  3'!$F82),0)+IFERROR(IF(BH4&lt;'Get Started  3'!$F65,0,OFFSET(BH221,0,-1*'Get Started  3'!$F65)*'Get Started  3'!$F86/'Get Started  3'!$F82),0)</f>
        <v>0</v>
      </c>
      <c r="BI226" s="90">
        <f ca="1">IFERROR(IF(BI4&lt;'Get Started  3'!$F55,0,OFFSET(BI221,0,-1*'Get Started  3'!$F55)*'Get Started  3'!$F84/'Get Started  3'!$F82),0)+IFERROR(IF(BI4&lt;'Get Started  3'!$F65,0,OFFSET(BI221,0,-1*'Get Started  3'!$F65)*'Get Started  3'!$F86/'Get Started  3'!$F82),0)</f>
        <v>0</v>
      </c>
      <c r="BJ226" s="90">
        <f ca="1">IFERROR(IF(BJ4&lt;'Get Started  3'!$F55,0,OFFSET(BJ221,0,-1*'Get Started  3'!$F55)*'Get Started  3'!$F84/'Get Started  3'!$F82),0)+IFERROR(IF(BJ4&lt;'Get Started  3'!$F65,0,OFFSET(BJ221,0,-1*'Get Started  3'!$F65)*'Get Started  3'!$F86/'Get Started  3'!$F82),0)</f>
        <v>0</v>
      </c>
      <c r="BK226" s="90">
        <f ca="1">IFERROR(IF(BK4&lt;'Get Started  3'!$F55,0,OFFSET(BK221,0,-1*'Get Started  3'!$F55)*'Get Started  3'!$F84/'Get Started  3'!$F82),0)+IFERROR(IF(BK4&lt;'Get Started  3'!$F65,0,OFFSET(BK221,0,-1*'Get Started  3'!$F65)*'Get Started  3'!$F86/'Get Started  3'!$F82),0)</f>
        <v>0</v>
      </c>
      <c r="BL226" s="90">
        <f ca="1">IFERROR(IF(BL4&lt;'Get Started  3'!$F55,0,OFFSET(BL221,0,-1*'Get Started  3'!$F55)*'Get Started  3'!$F84/'Get Started  3'!$F82),0)+IFERROR(IF(BL4&lt;'Get Started  3'!$F65,0,OFFSET(BL221,0,-1*'Get Started  3'!$F65)*'Get Started  3'!$F86/'Get Started  3'!$F82),0)</f>
        <v>0</v>
      </c>
      <c r="BM226" s="90">
        <f ca="1">IFERROR(IF(BM4&lt;'Get Started  3'!$F55,0,OFFSET(BM221,0,-1*'Get Started  3'!$F55)*'Get Started  3'!$F84/'Get Started  3'!$F82),0)+IFERROR(IF(BM4&lt;'Get Started  3'!$F65,0,OFFSET(BM221,0,-1*'Get Started  3'!$F65)*'Get Started  3'!$F86/'Get Started  3'!$F82),0)</f>
        <v>0</v>
      </c>
      <c r="BN226" s="90">
        <f ca="1">IFERROR(IF(BN4&lt;'Get Started  3'!$F55,0,OFFSET(BN221,0,-1*'Get Started  3'!$F55)*'Get Started  3'!$F84/'Get Started  3'!$F82),0)+IFERROR(IF(BN4&lt;'Get Started  3'!$F65,0,OFFSET(BN221,0,-1*'Get Started  3'!$F65)*'Get Started  3'!$F86/'Get Started  3'!$F82),0)</f>
        <v>0</v>
      </c>
      <c r="BO226" s="90">
        <f ca="1">IFERROR(IF(BO4&lt;'Get Started  3'!$F55,0,OFFSET(BO221,0,-1*'Get Started  3'!$F55)*'Get Started  3'!$F84/'Get Started  3'!$F82),0)+IFERROR(IF(BO4&lt;'Get Started  3'!$F65,0,OFFSET(BO221,0,-1*'Get Started  3'!$F65)*'Get Started  3'!$F86/'Get Started  3'!$F82),0)</f>
        <v>0</v>
      </c>
      <c r="BP226" s="90">
        <f ca="1">IFERROR(IF(BP4&lt;'Get Started  3'!$F55,0,OFFSET(BP221,0,-1*'Get Started  3'!$F55)*'Get Started  3'!$F84/'Get Started  3'!$F82),0)+IFERROR(IF(BP4&lt;'Get Started  3'!$F65,0,OFFSET(BP221,0,-1*'Get Started  3'!$F65)*'Get Started  3'!$F86/'Get Started  3'!$F82),0)</f>
        <v>0</v>
      </c>
      <c r="BQ226" s="90">
        <f ca="1">IFERROR(IF(BQ4&lt;'Get Started  3'!$F55,0,OFFSET(BQ221,0,-1*'Get Started  3'!$F55)*'Get Started  3'!$F84/'Get Started  3'!$F82),0)+IFERROR(IF(BQ4&lt;'Get Started  3'!$F65,0,OFFSET(BQ221,0,-1*'Get Started  3'!$F65)*'Get Started  3'!$F86/'Get Started  3'!$F82),0)</f>
        <v>0</v>
      </c>
      <c r="BR226" s="90">
        <f ca="1">IFERROR(IF(BR4&lt;'Get Started  3'!$F55,0,OFFSET(BR221,0,-1*'Get Started  3'!$F55)*'Get Started  3'!$F84/'Get Started  3'!$F82),0)+IFERROR(IF(BR4&lt;'Get Started  3'!$F65,0,OFFSET(BR221,0,-1*'Get Started  3'!$F65)*'Get Started  3'!$F86/'Get Started  3'!$F82),0)</f>
        <v>0</v>
      </c>
      <c r="BS226" s="90">
        <f ca="1">IFERROR(IF(BS4&lt;'Get Started  3'!$F55,0,OFFSET(BS221,0,-1*'Get Started  3'!$F55)*'Get Started  3'!$F84/'Get Started  3'!$F82),0)+IFERROR(IF(BS4&lt;'Get Started  3'!$F65,0,OFFSET(BS221,0,-1*'Get Started  3'!$F65)*'Get Started  3'!$F86/'Get Started  3'!$F82),0)</f>
        <v>0</v>
      </c>
      <c r="BT226" s="90">
        <f ca="1">IFERROR(IF(BT4&lt;'Get Started  3'!$F55,0,OFFSET(BT221,0,-1*'Get Started  3'!$F55)*'Get Started  3'!$F84/'Get Started  3'!$F82),0)+IFERROR(IF(BT4&lt;'Get Started  3'!$F65,0,OFFSET(BT221,0,-1*'Get Started  3'!$F65)*'Get Started  3'!$F86/'Get Started  3'!$F82),0)</f>
        <v>0</v>
      </c>
      <c r="BU226" s="90">
        <f ca="1">IFERROR(IF(BU4&lt;'Get Started  3'!$F55,0,OFFSET(BU221,0,-1*'Get Started  3'!$F55)*'Get Started  3'!$F84/'Get Started  3'!$F82),0)+IFERROR(IF(BU4&lt;'Get Started  3'!$F65,0,OFFSET(BU221,0,-1*'Get Started  3'!$F65)*'Get Started  3'!$F86/'Get Started  3'!$F82),0)</f>
        <v>0</v>
      </c>
      <c r="BV226" s="90">
        <f ca="1">IFERROR(IF(BV4&lt;'Get Started  3'!$F55,0,OFFSET(BV221,0,-1*'Get Started  3'!$F55)*'Get Started  3'!$F84/'Get Started  3'!$F82),0)+IFERROR(IF(BV4&lt;'Get Started  3'!$F65,0,OFFSET(BV221,0,-1*'Get Started  3'!$F65)*'Get Started  3'!$F86/'Get Started  3'!$F82),0)</f>
        <v>0</v>
      </c>
      <c r="BW226" s="90">
        <f ca="1">IFERROR(IF(BW4&lt;'Get Started  3'!$F55,0,OFFSET(BW221,0,-1*'Get Started  3'!$F55)*'Get Started  3'!$F84/'Get Started  3'!$F82),0)+IFERROR(IF(BW4&lt;'Get Started  3'!$F65,0,OFFSET(BW221,0,-1*'Get Started  3'!$F65)*'Get Started  3'!$F86/'Get Started  3'!$F82),0)</f>
        <v>0</v>
      </c>
      <c r="BX226" s="90">
        <f ca="1">IFERROR(IF(BX4&lt;'Get Started  3'!$F55,0,OFFSET(BX221,0,-1*'Get Started  3'!$F55)*'Get Started  3'!$F84/'Get Started  3'!$F82),0)+IFERROR(IF(BX4&lt;'Get Started  3'!$F65,0,OFFSET(BX221,0,-1*'Get Started  3'!$F65)*'Get Started  3'!$F86/'Get Started  3'!$F82),0)</f>
        <v>0</v>
      </c>
      <c r="BY226" s="90">
        <f ca="1">IFERROR(IF(BY4&lt;'Get Started  3'!$F55,0,OFFSET(BY221,0,-1*'Get Started  3'!$F55)*'Get Started  3'!$F84/'Get Started  3'!$F82),0)+IFERROR(IF(BY4&lt;'Get Started  3'!$F65,0,OFFSET(BY221,0,-1*'Get Started  3'!$F65)*'Get Started  3'!$F86/'Get Started  3'!$F82),0)</f>
        <v>0</v>
      </c>
      <c r="BZ226" s="90">
        <f ca="1">IFERROR(IF(BZ4&lt;'Get Started  3'!$F55,0,OFFSET(BZ221,0,-1*'Get Started  3'!$F55)*'Get Started  3'!$F84/'Get Started  3'!$F82),0)+IFERROR(IF(BZ4&lt;'Get Started  3'!$F65,0,OFFSET(BZ221,0,-1*'Get Started  3'!$F65)*'Get Started  3'!$F86/'Get Started  3'!$F82),0)</f>
        <v>0</v>
      </c>
      <c r="CA226" s="90">
        <f ca="1">IFERROR(IF(CA4&lt;'Get Started  3'!$F55,0,OFFSET(CA221,0,-1*'Get Started  3'!$F55)*'Get Started  3'!$F84/'Get Started  3'!$F82),0)+IFERROR(IF(CA4&lt;'Get Started  3'!$F65,0,OFFSET(CA221,0,-1*'Get Started  3'!$F65)*'Get Started  3'!$F86/'Get Started  3'!$F82),0)</f>
        <v>0</v>
      </c>
      <c r="CB226" s="90">
        <f ca="1">IFERROR(IF(CB4&lt;'Get Started  3'!$F55,0,OFFSET(CB221,0,-1*'Get Started  3'!$F55)*'Get Started  3'!$F84/'Get Started  3'!$F82),0)+IFERROR(IF(CB4&lt;'Get Started  3'!$F65,0,OFFSET(CB221,0,-1*'Get Started  3'!$F65)*'Get Started  3'!$F86/'Get Started  3'!$F82),0)</f>
        <v>0</v>
      </c>
      <c r="CC226" s="90">
        <f ca="1">IFERROR(IF(CC4&lt;'Get Started  3'!$F55,0,OFFSET(CC221,0,-1*'Get Started  3'!$F55)*'Get Started  3'!$F84/'Get Started  3'!$F82),0)+IFERROR(IF(CC4&lt;'Get Started  3'!$F65,0,OFFSET(CC221,0,-1*'Get Started  3'!$F65)*'Get Started  3'!$F86/'Get Started  3'!$F82),0)</f>
        <v>0</v>
      </c>
      <c r="CD226" s="90">
        <f ca="1">IFERROR(IF(CD4&lt;'Get Started  3'!$F55,0,OFFSET(CD221,0,-1*'Get Started  3'!$F55)*'Get Started  3'!$F84/'Get Started  3'!$F82),0)+IFERROR(IF(CD4&lt;'Get Started  3'!$F65,0,OFFSET(CD221,0,-1*'Get Started  3'!$F65)*'Get Started  3'!$F86/'Get Started  3'!$F82),0)</f>
        <v>0</v>
      </c>
      <c r="CE226" s="90">
        <f ca="1">IFERROR(IF(CE4&lt;'Get Started  3'!$F55,0,OFFSET(CE221,0,-1*'Get Started  3'!$F55)*'Get Started  3'!$F84/'Get Started  3'!$F82),0)+IFERROR(IF(CE4&lt;'Get Started  3'!$F65,0,OFFSET(CE221,0,-1*'Get Started  3'!$F65)*'Get Started  3'!$F86/'Get Started  3'!$F82),0)</f>
        <v>0</v>
      </c>
      <c r="CF226" s="90">
        <f ca="1">IFERROR(IF(CF4&lt;'Get Started  3'!$F55,0,OFFSET(CF221,0,-1*'Get Started  3'!$F55)*'Get Started  3'!$F84/'Get Started  3'!$F82),0)+IFERROR(IF(CF4&lt;'Get Started  3'!$F65,0,OFFSET(CF221,0,-1*'Get Started  3'!$F65)*'Get Started  3'!$F86/'Get Started  3'!$F82),0)</f>
        <v>0</v>
      </c>
      <c r="CG226" s="90">
        <f ca="1">IFERROR(IF(CG4&lt;'Get Started  3'!$F55,0,OFFSET(CG221,0,-1*'Get Started  3'!$F55)*'Get Started  3'!$F84/'Get Started  3'!$F82),0)+IFERROR(IF(CG4&lt;'Get Started  3'!$F65,0,OFFSET(CG221,0,-1*'Get Started  3'!$F65)*'Get Started  3'!$F86/'Get Started  3'!$F82),0)</f>
        <v>0</v>
      </c>
      <c r="CH226" s="90">
        <f ca="1">IFERROR(IF(CH4&lt;'Get Started  3'!$F55,0,OFFSET(CH221,0,-1*'Get Started  3'!$F55)*'Get Started  3'!$F84/'Get Started  3'!$F82),0)+IFERROR(IF(CH4&lt;'Get Started  3'!$F65,0,OFFSET(CH221,0,-1*'Get Started  3'!$F65)*'Get Started  3'!$F86/'Get Started  3'!$F82),0)</f>
        <v>0</v>
      </c>
    </row>
    <row r="227" spans="1:86" ht="13" outlineLevel="1">
      <c r="A227" s="13"/>
      <c r="B227" s="13" t="s">
        <v>329</v>
      </c>
      <c r="C227" s="13"/>
      <c r="D227" s="13" t="s">
        <v>238</v>
      </c>
      <c r="E227" s="88">
        <f t="shared" ca="1" si="170"/>
        <v>0</v>
      </c>
      <c r="F227" s="48"/>
      <c r="G227" s="90">
        <f ca="1">IFERROR(IF(G4&lt;'Get Started  3'!$G55,0,OFFSET(G222,0,-1*'Get Started  3'!$G55)*'Get Started  3'!$G84/'Get Started  3'!$G82),0)+IFERROR(IF(G4&lt;'Get Started  3'!$G65,0,OFFSET(G222,0,-1*'Get Started  3'!$G65)*'Get Started  3'!$G86/'Get Started  3'!$G82),0)</f>
        <v>0</v>
      </c>
      <c r="H227" s="90">
        <f ca="1">IFERROR(IF(H4&lt;'Get Started  3'!$G55,0,OFFSET(H222,0,-1*'Get Started  3'!$G55)*'Get Started  3'!$G84/'Get Started  3'!$G82),0)+IFERROR(IF(H4&lt;'Get Started  3'!$G65,0,OFFSET(H222,0,-1*'Get Started  3'!$G65)*'Get Started  3'!$G86/'Get Started  3'!$G82),0)</f>
        <v>0</v>
      </c>
      <c r="I227" s="90">
        <f ca="1">IFERROR(IF(I4&lt;'Get Started  3'!$G55,0,OFFSET(I222,0,-1*'Get Started  3'!$G55)*'Get Started  3'!$G84/'Get Started  3'!$G82),0)+IFERROR(IF(I4&lt;'Get Started  3'!$G65,0,OFFSET(I222,0,-1*'Get Started  3'!$G65)*'Get Started  3'!$G86/'Get Started  3'!$G82),0)</f>
        <v>0</v>
      </c>
      <c r="J227" s="90">
        <f ca="1">IFERROR(IF(J4&lt;'Get Started  3'!$G55,0,OFFSET(J222,0,-1*'Get Started  3'!$G55)*'Get Started  3'!$G84/'Get Started  3'!$G82),0)+IFERROR(IF(J4&lt;'Get Started  3'!$G65,0,OFFSET(J222,0,-1*'Get Started  3'!$G65)*'Get Started  3'!$G86/'Get Started  3'!$G82),0)</f>
        <v>0</v>
      </c>
      <c r="K227" s="90">
        <f ca="1">IFERROR(IF(K4&lt;'Get Started  3'!$G55,0,OFFSET(K222,0,-1*'Get Started  3'!$G55)*'Get Started  3'!$G84/'Get Started  3'!$G82),0)+IFERROR(IF(K4&lt;'Get Started  3'!$G65,0,OFFSET(K222,0,-1*'Get Started  3'!$G65)*'Get Started  3'!$G86/'Get Started  3'!$G82),0)</f>
        <v>0</v>
      </c>
      <c r="L227" s="90">
        <f ca="1">IFERROR(IF(L4&lt;'Get Started  3'!$G55,0,OFFSET(L222,0,-1*'Get Started  3'!$G55)*'Get Started  3'!$G84/'Get Started  3'!$G82),0)+IFERROR(IF(L4&lt;'Get Started  3'!$G65,0,OFFSET(L222,0,-1*'Get Started  3'!$G65)*'Get Started  3'!$G86/'Get Started  3'!$G82),0)</f>
        <v>0</v>
      </c>
      <c r="M227" s="90">
        <f ca="1">IFERROR(IF(M4&lt;'Get Started  3'!$G55,0,OFFSET(M222,0,-1*'Get Started  3'!$G55)*'Get Started  3'!$G84/'Get Started  3'!$G82),0)+IFERROR(IF(M4&lt;'Get Started  3'!$G65,0,OFFSET(M222,0,-1*'Get Started  3'!$G65)*'Get Started  3'!$G86/'Get Started  3'!$G82),0)</f>
        <v>0</v>
      </c>
      <c r="N227" s="90">
        <f ca="1">IFERROR(IF(N4&lt;'Get Started  3'!$G55,0,OFFSET(N222,0,-1*'Get Started  3'!$G55)*'Get Started  3'!$G84/'Get Started  3'!$G82),0)+IFERROR(IF(N4&lt;'Get Started  3'!$G65,0,OFFSET(N222,0,-1*'Get Started  3'!$G65)*'Get Started  3'!$G86/'Get Started  3'!$G82),0)</f>
        <v>0</v>
      </c>
      <c r="O227" s="90">
        <f ca="1">IFERROR(IF(O4&lt;'Get Started  3'!$G55,0,OFFSET(O222,0,-1*'Get Started  3'!$G55)*'Get Started  3'!$G84/'Get Started  3'!$G82),0)+IFERROR(IF(O4&lt;'Get Started  3'!$G65,0,OFFSET(O222,0,-1*'Get Started  3'!$G65)*'Get Started  3'!$G86/'Get Started  3'!$G82),0)</f>
        <v>0</v>
      </c>
      <c r="P227" s="90">
        <f ca="1">IFERROR(IF(P4&lt;'Get Started  3'!$G55,0,OFFSET(P222,0,-1*'Get Started  3'!$G55)*'Get Started  3'!$G84/'Get Started  3'!$G82),0)+IFERROR(IF(P4&lt;'Get Started  3'!$G65,0,OFFSET(P222,0,-1*'Get Started  3'!$G65)*'Get Started  3'!$G86/'Get Started  3'!$G82),0)</f>
        <v>0</v>
      </c>
      <c r="Q227" s="90">
        <f ca="1">IFERROR(IF(Q4&lt;'Get Started  3'!$G55,0,OFFSET(Q222,0,-1*'Get Started  3'!$G55)*'Get Started  3'!$G84/'Get Started  3'!$G82),0)+IFERROR(IF(Q4&lt;'Get Started  3'!$G65,0,OFFSET(Q222,0,-1*'Get Started  3'!$G65)*'Get Started  3'!$G86/'Get Started  3'!$G82),0)</f>
        <v>0</v>
      </c>
      <c r="R227" s="90">
        <f ca="1">IFERROR(IF(R4&lt;'Get Started  3'!$G55,0,OFFSET(R222,0,-1*'Get Started  3'!$G55)*'Get Started  3'!$G84/'Get Started  3'!$G82),0)+IFERROR(IF(R4&lt;'Get Started  3'!$G65,0,OFFSET(R222,0,-1*'Get Started  3'!$G65)*'Get Started  3'!$G86/'Get Started  3'!$G82),0)</f>
        <v>0</v>
      </c>
      <c r="S227" s="90">
        <f ca="1">IFERROR(IF(S4&lt;'Get Started  3'!$G55,0,OFFSET(S222,0,-1*'Get Started  3'!$G55)*'Get Started  3'!$G84/'Get Started  3'!$G82),0)+IFERROR(IF(S4&lt;'Get Started  3'!$G65,0,OFFSET(S222,0,-1*'Get Started  3'!$G65)*'Get Started  3'!$G86/'Get Started  3'!$G82),0)</f>
        <v>0</v>
      </c>
      <c r="T227" s="90">
        <f ca="1">IFERROR(IF(T4&lt;'Get Started  3'!$G55,0,OFFSET(T222,0,-1*'Get Started  3'!$G55)*'Get Started  3'!$G84/'Get Started  3'!$G82),0)+IFERROR(IF(T4&lt;'Get Started  3'!$G65,0,OFFSET(T222,0,-1*'Get Started  3'!$G65)*'Get Started  3'!$G86/'Get Started  3'!$G82),0)</f>
        <v>0</v>
      </c>
      <c r="U227" s="90">
        <f ca="1">IFERROR(IF(U4&lt;'Get Started  3'!$G55,0,OFFSET(U222,0,-1*'Get Started  3'!$G55)*'Get Started  3'!$G84/'Get Started  3'!$G82),0)+IFERROR(IF(U4&lt;'Get Started  3'!$G65,0,OFFSET(U222,0,-1*'Get Started  3'!$G65)*'Get Started  3'!$G86/'Get Started  3'!$G82),0)</f>
        <v>0</v>
      </c>
      <c r="V227" s="90">
        <f ca="1">IFERROR(IF(V4&lt;'Get Started  3'!$G55,0,OFFSET(V222,0,-1*'Get Started  3'!$G55)*'Get Started  3'!$G84/'Get Started  3'!$G82),0)+IFERROR(IF(V4&lt;'Get Started  3'!$G65,0,OFFSET(V222,0,-1*'Get Started  3'!$G65)*'Get Started  3'!$G86/'Get Started  3'!$G82),0)</f>
        <v>0</v>
      </c>
      <c r="W227" s="90">
        <f ca="1">IFERROR(IF(W4&lt;'Get Started  3'!$G55,0,OFFSET(W222,0,-1*'Get Started  3'!$G55)*'Get Started  3'!$G84/'Get Started  3'!$G82),0)+IFERROR(IF(W4&lt;'Get Started  3'!$G65,0,OFFSET(W222,0,-1*'Get Started  3'!$G65)*'Get Started  3'!$G86/'Get Started  3'!$G82),0)</f>
        <v>0</v>
      </c>
      <c r="X227" s="90">
        <f ca="1">IFERROR(IF(X4&lt;'Get Started  3'!$G55,0,OFFSET(X222,0,-1*'Get Started  3'!$G55)*'Get Started  3'!$G84/'Get Started  3'!$G82),0)+IFERROR(IF(X4&lt;'Get Started  3'!$G65,0,OFFSET(X222,0,-1*'Get Started  3'!$G65)*'Get Started  3'!$G86/'Get Started  3'!$G82),0)</f>
        <v>0</v>
      </c>
      <c r="Y227" s="90">
        <f ca="1">IFERROR(IF(Y4&lt;'Get Started  3'!$G55,0,OFFSET(Y222,0,-1*'Get Started  3'!$G55)*'Get Started  3'!$G84/'Get Started  3'!$G82),0)+IFERROR(IF(Y4&lt;'Get Started  3'!$G65,0,OFFSET(Y222,0,-1*'Get Started  3'!$G65)*'Get Started  3'!$G86/'Get Started  3'!$G82),0)</f>
        <v>0</v>
      </c>
      <c r="Z227" s="90">
        <f ca="1">IFERROR(IF(Z4&lt;'Get Started  3'!$G55,0,OFFSET(Z222,0,-1*'Get Started  3'!$G55)*'Get Started  3'!$G84/'Get Started  3'!$G82),0)+IFERROR(IF(Z4&lt;'Get Started  3'!$G65,0,OFFSET(Z222,0,-1*'Get Started  3'!$G65)*'Get Started  3'!$G86/'Get Started  3'!$G82),0)</f>
        <v>0</v>
      </c>
      <c r="AA227" s="90">
        <f ca="1">IFERROR(IF(AA4&lt;'Get Started  3'!$G55,0,OFFSET(AA222,0,-1*'Get Started  3'!$G55)*'Get Started  3'!$G84/'Get Started  3'!$G82),0)+IFERROR(IF(AA4&lt;'Get Started  3'!$G65,0,OFFSET(AA222,0,-1*'Get Started  3'!$G65)*'Get Started  3'!$G86/'Get Started  3'!$G82),0)</f>
        <v>0</v>
      </c>
      <c r="AB227" s="90">
        <f ca="1">IFERROR(IF(AB4&lt;'Get Started  3'!$G55,0,OFFSET(AB222,0,-1*'Get Started  3'!$G55)*'Get Started  3'!$G84/'Get Started  3'!$G82),0)+IFERROR(IF(AB4&lt;'Get Started  3'!$G65,0,OFFSET(AB222,0,-1*'Get Started  3'!$G65)*'Get Started  3'!$G86/'Get Started  3'!$G82),0)</f>
        <v>0</v>
      </c>
      <c r="AC227" s="90">
        <f ca="1">IFERROR(IF(AC4&lt;'Get Started  3'!$G55,0,OFFSET(AC222,0,-1*'Get Started  3'!$G55)*'Get Started  3'!$G84/'Get Started  3'!$G82),0)+IFERROR(IF(AC4&lt;'Get Started  3'!$G65,0,OFFSET(AC222,0,-1*'Get Started  3'!$G65)*'Get Started  3'!$G86/'Get Started  3'!$G82),0)</f>
        <v>0</v>
      </c>
      <c r="AD227" s="90">
        <f ca="1">IFERROR(IF(AD4&lt;'Get Started  3'!$G55,0,OFFSET(AD222,0,-1*'Get Started  3'!$G55)*'Get Started  3'!$G84/'Get Started  3'!$G82),0)+IFERROR(IF(AD4&lt;'Get Started  3'!$G65,0,OFFSET(AD222,0,-1*'Get Started  3'!$G65)*'Get Started  3'!$G86/'Get Started  3'!$G82),0)</f>
        <v>0</v>
      </c>
      <c r="AE227" s="90">
        <f ca="1">IFERROR(IF(AE4&lt;'Get Started  3'!$G55,0,OFFSET(AE222,0,-1*'Get Started  3'!$G55)*'Get Started  3'!$G84/'Get Started  3'!$G82),0)+IFERROR(IF(AE4&lt;'Get Started  3'!$G65,0,OFFSET(AE222,0,-1*'Get Started  3'!$G65)*'Get Started  3'!$G86/'Get Started  3'!$G82),0)</f>
        <v>0</v>
      </c>
      <c r="AF227" s="90">
        <f ca="1">IFERROR(IF(AF4&lt;'Get Started  3'!$G55,0,OFFSET(AF222,0,-1*'Get Started  3'!$G55)*'Get Started  3'!$G84/'Get Started  3'!$G82),0)+IFERROR(IF(AF4&lt;'Get Started  3'!$G65,0,OFFSET(AF222,0,-1*'Get Started  3'!$G65)*'Get Started  3'!$G86/'Get Started  3'!$G82),0)</f>
        <v>0</v>
      </c>
      <c r="AG227" s="90">
        <f ca="1">IFERROR(IF(AG4&lt;'Get Started  3'!$G55,0,OFFSET(AG222,0,-1*'Get Started  3'!$G55)*'Get Started  3'!$G84/'Get Started  3'!$G82),0)+IFERROR(IF(AG4&lt;'Get Started  3'!$G65,0,OFFSET(AG222,0,-1*'Get Started  3'!$G65)*'Get Started  3'!$G86/'Get Started  3'!$G82),0)</f>
        <v>0</v>
      </c>
      <c r="AH227" s="90">
        <f ca="1">IFERROR(IF(AH4&lt;'Get Started  3'!$G55,0,OFFSET(AH222,0,-1*'Get Started  3'!$G55)*'Get Started  3'!$G84/'Get Started  3'!$G82),0)+IFERROR(IF(AH4&lt;'Get Started  3'!$G65,0,OFFSET(AH222,0,-1*'Get Started  3'!$G65)*'Get Started  3'!$G86/'Get Started  3'!$G82),0)</f>
        <v>0</v>
      </c>
      <c r="AI227" s="90">
        <f ca="1">IFERROR(IF(AI4&lt;'Get Started  3'!$G55,0,OFFSET(AI222,0,-1*'Get Started  3'!$G55)*'Get Started  3'!$G84/'Get Started  3'!$G82),0)+IFERROR(IF(AI4&lt;'Get Started  3'!$G65,0,OFFSET(AI222,0,-1*'Get Started  3'!$G65)*'Get Started  3'!$G86/'Get Started  3'!$G82),0)</f>
        <v>0</v>
      </c>
      <c r="AJ227" s="90">
        <f ca="1">IFERROR(IF(AJ4&lt;'Get Started  3'!$G55,0,OFFSET(AJ222,0,-1*'Get Started  3'!$G55)*'Get Started  3'!$G84/'Get Started  3'!$G82),0)+IFERROR(IF(AJ4&lt;'Get Started  3'!$G65,0,OFFSET(AJ222,0,-1*'Get Started  3'!$G65)*'Get Started  3'!$G86/'Get Started  3'!$G82),0)</f>
        <v>0</v>
      </c>
      <c r="AK227" s="90">
        <f ca="1">IFERROR(IF(AK4&lt;'Get Started  3'!$G55,0,OFFSET(AK222,0,-1*'Get Started  3'!$G55)*'Get Started  3'!$G84/'Get Started  3'!$G82),0)+IFERROR(IF(AK4&lt;'Get Started  3'!$G65,0,OFFSET(AK222,0,-1*'Get Started  3'!$G65)*'Get Started  3'!$G86/'Get Started  3'!$G82),0)</f>
        <v>0</v>
      </c>
      <c r="AL227" s="90">
        <f ca="1">IFERROR(IF(AL4&lt;'Get Started  3'!$G55,0,OFFSET(AL222,0,-1*'Get Started  3'!$G55)*'Get Started  3'!$G84/'Get Started  3'!$G82),0)+IFERROR(IF(AL4&lt;'Get Started  3'!$G65,0,OFFSET(AL222,0,-1*'Get Started  3'!$G65)*'Get Started  3'!$G86/'Get Started  3'!$G82),0)</f>
        <v>0</v>
      </c>
      <c r="AM227" s="90">
        <f ca="1">IFERROR(IF(AM4&lt;'Get Started  3'!$G55,0,OFFSET(AM222,0,-1*'Get Started  3'!$G55)*'Get Started  3'!$G84/'Get Started  3'!$G82),0)+IFERROR(IF(AM4&lt;'Get Started  3'!$G65,0,OFFSET(AM222,0,-1*'Get Started  3'!$G65)*'Get Started  3'!$G86/'Get Started  3'!$G82),0)</f>
        <v>0</v>
      </c>
      <c r="AN227" s="90">
        <f ca="1">IFERROR(IF(AN4&lt;'Get Started  3'!$G55,0,OFFSET(AN222,0,-1*'Get Started  3'!$G55)*'Get Started  3'!$G84/'Get Started  3'!$G82),0)+IFERROR(IF(AN4&lt;'Get Started  3'!$G65,0,OFFSET(AN222,0,-1*'Get Started  3'!$G65)*'Get Started  3'!$G86/'Get Started  3'!$G82),0)</f>
        <v>0</v>
      </c>
      <c r="AO227" s="90">
        <f ca="1">IFERROR(IF(AO4&lt;'Get Started  3'!$G55,0,OFFSET(AO222,0,-1*'Get Started  3'!$G55)*'Get Started  3'!$G84/'Get Started  3'!$G82),0)+IFERROR(IF(AO4&lt;'Get Started  3'!$G65,0,OFFSET(AO222,0,-1*'Get Started  3'!$G65)*'Get Started  3'!$G86/'Get Started  3'!$G82),0)</f>
        <v>0</v>
      </c>
      <c r="AP227" s="90">
        <f ca="1">IFERROR(IF(AP4&lt;'Get Started  3'!$G55,0,OFFSET(AP222,0,-1*'Get Started  3'!$G55)*'Get Started  3'!$G84/'Get Started  3'!$G82),0)+IFERROR(IF(AP4&lt;'Get Started  3'!$G65,0,OFFSET(AP222,0,-1*'Get Started  3'!$G65)*'Get Started  3'!$G86/'Get Started  3'!$G82),0)</f>
        <v>0</v>
      </c>
      <c r="AQ227" s="90">
        <f ca="1">IFERROR(IF(AQ4&lt;'Get Started  3'!$G55,0,OFFSET(AQ222,0,-1*'Get Started  3'!$G55)*'Get Started  3'!$G84/'Get Started  3'!$G82),0)+IFERROR(IF(AQ4&lt;'Get Started  3'!$G65,0,OFFSET(AQ222,0,-1*'Get Started  3'!$G65)*'Get Started  3'!$G86/'Get Started  3'!$G82),0)</f>
        <v>0</v>
      </c>
      <c r="AR227" s="90">
        <f ca="1">IFERROR(IF(AR4&lt;'Get Started  3'!$G55,0,OFFSET(AR222,0,-1*'Get Started  3'!$G55)*'Get Started  3'!$G84/'Get Started  3'!$G82),0)+IFERROR(IF(AR4&lt;'Get Started  3'!$G65,0,OFFSET(AR222,0,-1*'Get Started  3'!$G65)*'Get Started  3'!$G86/'Get Started  3'!$G82),0)</f>
        <v>0</v>
      </c>
      <c r="AS227" s="90">
        <f ca="1">IFERROR(IF(AS4&lt;'Get Started  3'!$G55,0,OFFSET(AS222,0,-1*'Get Started  3'!$G55)*'Get Started  3'!$G84/'Get Started  3'!$G82),0)+IFERROR(IF(AS4&lt;'Get Started  3'!$G65,0,OFFSET(AS222,0,-1*'Get Started  3'!$G65)*'Get Started  3'!$G86/'Get Started  3'!$G82),0)</f>
        <v>0</v>
      </c>
      <c r="AT227" s="90">
        <f ca="1">IFERROR(IF(AT4&lt;'Get Started  3'!$G55,0,OFFSET(AT222,0,-1*'Get Started  3'!$G55)*'Get Started  3'!$G84/'Get Started  3'!$G82),0)+IFERROR(IF(AT4&lt;'Get Started  3'!$G65,0,OFFSET(AT222,0,-1*'Get Started  3'!$G65)*'Get Started  3'!$G86/'Get Started  3'!$G82),0)</f>
        <v>0</v>
      </c>
      <c r="AU227" s="90">
        <f ca="1">IFERROR(IF(AU4&lt;'Get Started  3'!$G55,0,OFFSET(AU222,0,-1*'Get Started  3'!$G55)*'Get Started  3'!$G84/'Get Started  3'!$G82),0)+IFERROR(IF(AU4&lt;'Get Started  3'!$G65,0,OFFSET(AU222,0,-1*'Get Started  3'!$G65)*'Get Started  3'!$G86/'Get Started  3'!$G82),0)</f>
        <v>0</v>
      </c>
      <c r="AV227" s="90">
        <f ca="1">IFERROR(IF(AV4&lt;'Get Started  3'!$G55,0,OFFSET(AV222,0,-1*'Get Started  3'!$G55)*'Get Started  3'!$G84/'Get Started  3'!$G82),0)+IFERROR(IF(AV4&lt;'Get Started  3'!$G65,0,OFFSET(AV222,0,-1*'Get Started  3'!$G65)*'Get Started  3'!$G86/'Get Started  3'!$G82),0)</f>
        <v>0</v>
      </c>
      <c r="AW227" s="90">
        <f ca="1">IFERROR(IF(AW4&lt;'Get Started  3'!$G55,0,OFFSET(AW222,0,-1*'Get Started  3'!$G55)*'Get Started  3'!$G84/'Get Started  3'!$G82),0)+IFERROR(IF(AW4&lt;'Get Started  3'!$G65,0,OFFSET(AW222,0,-1*'Get Started  3'!$G65)*'Get Started  3'!$G86/'Get Started  3'!$G82),0)</f>
        <v>0</v>
      </c>
      <c r="AX227" s="90">
        <f ca="1">IFERROR(IF(AX4&lt;'Get Started  3'!$G55,0,OFFSET(AX222,0,-1*'Get Started  3'!$G55)*'Get Started  3'!$G84/'Get Started  3'!$G82),0)+IFERROR(IF(AX4&lt;'Get Started  3'!$G65,0,OFFSET(AX222,0,-1*'Get Started  3'!$G65)*'Get Started  3'!$G86/'Get Started  3'!$G82),0)</f>
        <v>0</v>
      </c>
      <c r="AY227" s="90">
        <f ca="1">IFERROR(IF(AY4&lt;'Get Started  3'!$G55,0,OFFSET(AY222,0,-1*'Get Started  3'!$G55)*'Get Started  3'!$G84/'Get Started  3'!$G82),0)+IFERROR(IF(AY4&lt;'Get Started  3'!$G65,0,OFFSET(AY222,0,-1*'Get Started  3'!$G65)*'Get Started  3'!$G86/'Get Started  3'!$G82),0)</f>
        <v>0</v>
      </c>
      <c r="AZ227" s="90">
        <f ca="1">IFERROR(IF(AZ4&lt;'Get Started  3'!$G55,0,OFFSET(AZ222,0,-1*'Get Started  3'!$G55)*'Get Started  3'!$G84/'Get Started  3'!$G82),0)+IFERROR(IF(AZ4&lt;'Get Started  3'!$G65,0,OFFSET(AZ222,0,-1*'Get Started  3'!$G65)*'Get Started  3'!$G86/'Get Started  3'!$G82),0)</f>
        <v>0</v>
      </c>
      <c r="BA227" s="90">
        <f ca="1">IFERROR(IF(BA4&lt;'Get Started  3'!$G55,0,OFFSET(BA222,0,-1*'Get Started  3'!$G55)*'Get Started  3'!$G84/'Get Started  3'!$G82),0)+IFERROR(IF(BA4&lt;'Get Started  3'!$G65,0,OFFSET(BA222,0,-1*'Get Started  3'!$G65)*'Get Started  3'!$G86/'Get Started  3'!$G82),0)</f>
        <v>0</v>
      </c>
      <c r="BB227" s="90">
        <f ca="1">IFERROR(IF(BB4&lt;'Get Started  3'!$G55,0,OFFSET(BB222,0,-1*'Get Started  3'!$G55)*'Get Started  3'!$G84/'Get Started  3'!$G82),0)+IFERROR(IF(BB4&lt;'Get Started  3'!$G65,0,OFFSET(BB222,0,-1*'Get Started  3'!$G65)*'Get Started  3'!$G86/'Get Started  3'!$G82),0)</f>
        <v>0</v>
      </c>
      <c r="BC227" s="90">
        <f ca="1">IFERROR(IF(BC4&lt;'Get Started  3'!$G55,0,OFFSET(BC222,0,-1*'Get Started  3'!$G55)*'Get Started  3'!$G84/'Get Started  3'!$G82),0)+IFERROR(IF(BC4&lt;'Get Started  3'!$G65,0,OFFSET(BC222,0,-1*'Get Started  3'!$G65)*'Get Started  3'!$G86/'Get Started  3'!$G82),0)</f>
        <v>0</v>
      </c>
      <c r="BD227" s="90">
        <f ca="1">IFERROR(IF(BD4&lt;'Get Started  3'!$G55,0,OFFSET(BD222,0,-1*'Get Started  3'!$G55)*'Get Started  3'!$G84/'Get Started  3'!$G82),0)+IFERROR(IF(BD4&lt;'Get Started  3'!$G65,0,OFFSET(BD222,0,-1*'Get Started  3'!$G65)*'Get Started  3'!$G86/'Get Started  3'!$G82),0)</f>
        <v>0</v>
      </c>
      <c r="BE227" s="90">
        <f ca="1">IFERROR(IF(BE4&lt;'Get Started  3'!$G55,0,OFFSET(BE222,0,-1*'Get Started  3'!$G55)*'Get Started  3'!$G84/'Get Started  3'!$G82),0)+IFERROR(IF(BE4&lt;'Get Started  3'!$G65,0,OFFSET(BE222,0,-1*'Get Started  3'!$G65)*'Get Started  3'!$G86/'Get Started  3'!$G82),0)</f>
        <v>0</v>
      </c>
      <c r="BF227" s="90">
        <f ca="1">IFERROR(IF(BF4&lt;'Get Started  3'!$G55,0,OFFSET(BF222,0,-1*'Get Started  3'!$G55)*'Get Started  3'!$G84/'Get Started  3'!$G82),0)+IFERROR(IF(BF4&lt;'Get Started  3'!$G65,0,OFFSET(BF222,0,-1*'Get Started  3'!$G65)*'Get Started  3'!$G86/'Get Started  3'!$G82),0)</f>
        <v>0</v>
      </c>
      <c r="BG227" s="90">
        <f ca="1">IFERROR(IF(BG4&lt;'Get Started  3'!$G55,0,OFFSET(BG222,0,-1*'Get Started  3'!$G55)*'Get Started  3'!$G84/'Get Started  3'!$G82),0)+IFERROR(IF(BG4&lt;'Get Started  3'!$G65,0,OFFSET(BG222,0,-1*'Get Started  3'!$G65)*'Get Started  3'!$G86/'Get Started  3'!$G82),0)</f>
        <v>0</v>
      </c>
      <c r="BH227" s="90">
        <f ca="1">IFERROR(IF(BH4&lt;'Get Started  3'!$G55,0,OFFSET(BH222,0,-1*'Get Started  3'!$G55)*'Get Started  3'!$G84/'Get Started  3'!$G82),0)+IFERROR(IF(BH4&lt;'Get Started  3'!$G65,0,OFFSET(BH222,0,-1*'Get Started  3'!$G65)*'Get Started  3'!$G86/'Get Started  3'!$G82),0)</f>
        <v>0</v>
      </c>
      <c r="BI227" s="90">
        <f ca="1">IFERROR(IF(BI4&lt;'Get Started  3'!$G55,0,OFFSET(BI222,0,-1*'Get Started  3'!$G55)*'Get Started  3'!$G84/'Get Started  3'!$G82),0)+IFERROR(IF(BI4&lt;'Get Started  3'!$G65,0,OFFSET(BI222,0,-1*'Get Started  3'!$G65)*'Get Started  3'!$G86/'Get Started  3'!$G82),0)</f>
        <v>0</v>
      </c>
      <c r="BJ227" s="90">
        <f ca="1">IFERROR(IF(BJ4&lt;'Get Started  3'!$G55,0,OFFSET(BJ222,0,-1*'Get Started  3'!$G55)*'Get Started  3'!$G84/'Get Started  3'!$G82),0)+IFERROR(IF(BJ4&lt;'Get Started  3'!$G65,0,OFFSET(BJ222,0,-1*'Get Started  3'!$G65)*'Get Started  3'!$G86/'Get Started  3'!$G82),0)</f>
        <v>0</v>
      </c>
      <c r="BK227" s="90">
        <f ca="1">IFERROR(IF(BK4&lt;'Get Started  3'!$G55,0,OFFSET(BK222,0,-1*'Get Started  3'!$G55)*'Get Started  3'!$G84/'Get Started  3'!$G82),0)+IFERROR(IF(BK4&lt;'Get Started  3'!$G65,0,OFFSET(BK222,0,-1*'Get Started  3'!$G65)*'Get Started  3'!$G86/'Get Started  3'!$G82),0)</f>
        <v>0</v>
      </c>
      <c r="BL227" s="90">
        <f ca="1">IFERROR(IF(BL4&lt;'Get Started  3'!$G55,0,OFFSET(BL222,0,-1*'Get Started  3'!$G55)*'Get Started  3'!$G84/'Get Started  3'!$G82),0)+IFERROR(IF(BL4&lt;'Get Started  3'!$G65,0,OFFSET(BL222,0,-1*'Get Started  3'!$G65)*'Get Started  3'!$G86/'Get Started  3'!$G82),0)</f>
        <v>0</v>
      </c>
      <c r="BM227" s="90">
        <f ca="1">IFERROR(IF(BM4&lt;'Get Started  3'!$G55,0,OFFSET(BM222,0,-1*'Get Started  3'!$G55)*'Get Started  3'!$G84/'Get Started  3'!$G82),0)+IFERROR(IF(BM4&lt;'Get Started  3'!$G65,0,OFFSET(BM222,0,-1*'Get Started  3'!$G65)*'Get Started  3'!$G86/'Get Started  3'!$G82),0)</f>
        <v>0</v>
      </c>
      <c r="BN227" s="90">
        <f ca="1">IFERROR(IF(BN4&lt;'Get Started  3'!$G55,0,OFFSET(BN222,0,-1*'Get Started  3'!$G55)*'Get Started  3'!$G84/'Get Started  3'!$G82),0)+IFERROR(IF(BN4&lt;'Get Started  3'!$G65,0,OFFSET(BN222,0,-1*'Get Started  3'!$G65)*'Get Started  3'!$G86/'Get Started  3'!$G82),0)</f>
        <v>0</v>
      </c>
      <c r="BO227" s="90">
        <f ca="1">IFERROR(IF(BO4&lt;'Get Started  3'!$G55,0,OFFSET(BO222,0,-1*'Get Started  3'!$G55)*'Get Started  3'!$G84/'Get Started  3'!$G82),0)+IFERROR(IF(BO4&lt;'Get Started  3'!$G65,0,OFFSET(BO222,0,-1*'Get Started  3'!$G65)*'Get Started  3'!$G86/'Get Started  3'!$G82),0)</f>
        <v>0</v>
      </c>
      <c r="BP227" s="90">
        <f ca="1">IFERROR(IF(BP4&lt;'Get Started  3'!$G55,0,OFFSET(BP222,0,-1*'Get Started  3'!$G55)*'Get Started  3'!$G84/'Get Started  3'!$G82),0)+IFERROR(IF(BP4&lt;'Get Started  3'!$G65,0,OFFSET(BP222,0,-1*'Get Started  3'!$G65)*'Get Started  3'!$G86/'Get Started  3'!$G82),0)</f>
        <v>0</v>
      </c>
      <c r="BQ227" s="90">
        <f ca="1">IFERROR(IF(BQ4&lt;'Get Started  3'!$G55,0,OFFSET(BQ222,0,-1*'Get Started  3'!$G55)*'Get Started  3'!$G84/'Get Started  3'!$G82),0)+IFERROR(IF(BQ4&lt;'Get Started  3'!$G65,0,OFFSET(BQ222,0,-1*'Get Started  3'!$G65)*'Get Started  3'!$G86/'Get Started  3'!$G82),0)</f>
        <v>0</v>
      </c>
      <c r="BR227" s="90">
        <f ca="1">IFERROR(IF(BR4&lt;'Get Started  3'!$G55,0,OFFSET(BR222,0,-1*'Get Started  3'!$G55)*'Get Started  3'!$G84/'Get Started  3'!$G82),0)+IFERROR(IF(BR4&lt;'Get Started  3'!$G65,0,OFFSET(BR222,0,-1*'Get Started  3'!$G65)*'Get Started  3'!$G86/'Get Started  3'!$G82),0)</f>
        <v>0</v>
      </c>
      <c r="BS227" s="90">
        <f ca="1">IFERROR(IF(BS4&lt;'Get Started  3'!$G55,0,OFFSET(BS222,0,-1*'Get Started  3'!$G55)*'Get Started  3'!$G84/'Get Started  3'!$G82),0)+IFERROR(IF(BS4&lt;'Get Started  3'!$G65,0,OFFSET(BS222,0,-1*'Get Started  3'!$G65)*'Get Started  3'!$G86/'Get Started  3'!$G82),0)</f>
        <v>0</v>
      </c>
      <c r="BT227" s="90">
        <f ca="1">IFERROR(IF(BT4&lt;'Get Started  3'!$G55,0,OFFSET(BT222,0,-1*'Get Started  3'!$G55)*'Get Started  3'!$G84/'Get Started  3'!$G82),0)+IFERROR(IF(BT4&lt;'Get Started  3'!$G65,0,OFFSET(BT222,0,-1*'Get Started  3'!$G65)*'Get Started  3'!$G86/'Get Started  3'!$G82),0)</f>
        <v>0</v>
      </c>
      <c r="BU227" s="90">
        <f ca="1">IFERROR(IF(BU4&lt;'Get Started  3'!$G55,0,OFFSET(BU222,0,-1*'Get Started  3'!$G55)*'Get Started  3'!$G84/'Get Started  3'!$G82),0)+IFERROR(IF(BU4&lt;'Get Started  3'!$G65,0,OFFSET(BU222,0,-1*'Get Started  3'!$G65)*'Get Started  3'!$G86/'Get Started  3'!$G82),0)</f>
        <v>0</v>
      </c>
      <c r="BV227" s="90">
        <f ca="1">IFERROR(IF(BV4&lt;'Get Started  3'!$G55,0,OFFSET(BV222,0,-1*'Get Started  3'!$G55)*'Get Started  3'!$G84/'Get Started  3'!$G82),0)+IFERROR(IF(BV4&lt;'Get Started  3'!$G65,0,OFFSET(BV222,0,-1*'Get Started  3'!$G65)*'Get Started  3'!$G86/'Get Started  3'!$G82),0)</f>
        <v>0</v>
      </c>
      <c r="BW227" s="90">
        <f ca="1">IFERROR(IF(BW4&lt;'Get Started  3'!$G55,0,OFFSET(BW222,0,-1*'Get Started  3'!$G55)*'Get Started  3'!$G84/'Get Started  3'!$G82),0)+IFERROR(IF(BW4&lt;'Get Started  3'!$G65,0,OFFSET(BW222,0,-1*'Get Started  3'!$G65)*'Get Started  3'!$G86/'Get Started  3'!$G82),0)</f>
        <v>0</v>
      </c>
      <c r="BX227" s="90">
        <f ca="1">IFERROR(IF(BX4&lt;'Get Started  3'!$G55,0,OFFSET(BX222,0,-1*'Get Started  3'!$G55)*'Get Started  3'!$G84/'Get Started  3'!$G82),0)+IFERROR(IF(BX4&lt;'Get Started  3'!$G65,0,OFFSET(BX222,0,-1*'Get Started  3'!$G65)*'Get Started  3'!$G86/'Get Started  3'!$G82),0)</f>
        <v>0</v>
      </c>
      <c r="BY227" s="90">
        <f ca="1">IFERROR(IF(BY4&lt;'Get Started  3'!$G55,0,OFFSET(BY222,0,-1*'Get Started  3'!$G55)*'Get Started  3'!$G84/'Get Started  3'!$G82),0)+IFERROR(IF(BY4&lt;'Get Started  3'!$G65,0,OFFSET(BY222,0,-1*'Get Started  3'!$G65)*'Get Started  3'!$G86/'Get Started  3'!$G82),0)</f>
        <v>0</v>
      </c>
      <c r="BZ227" s="90">
        <f ca="1">IFERROR(IF(BZ4&lt;'Get Started  3'!$G55,0,OFFSET(BZ222,0,-1*'Get Started  3'!$G55)*'Get Started  3'!$G84/'Get Started  3'!$G82),0)+IFERROR(IF(BZ4&lt;'Get Started  3'!$G65,0,OFFSET(BZ222,0,-1*'Get Started  3'!$G65)*'Get Started  3'!$G86/'Get Started  3'!$G82),0)</f>
        <v>0</v>
      </c>
      <c r="CA227" s="90">
        <f ca="1">IFERROR(IF(CA4&lt;'Get Started  3'!$G55,0,OFFSET(CA222,0,-1*'Get Started  3'!$G55)*'Get Started  3'!$G84/'Get Started  3'!$G82),0)+IFERROR(IF(CA4&lt;'Get Started  3'!$G65,0,OFFSET(CA222,0,-1*'Get Started  3'!$G65)*'Get Started  3'!$G86/'Get Started  3'!$G82),0)</f>
        <v>0</v>
      </c>
      <c r="CB227" s="90">
        <f ca="1">IFERROR(IF(CB4&lt;'Get Started  3'!$G55,0,OFFSET(CB222,0,-1*'Get Started  3'!$G55)*'Get Started  3'!$G84/'Get Started  3'!$G82),0)+IFERROR(IF(CB4&lt;'Get Started  3'!$G65,0,OFFSET(CB222,0,-1*'Get Started  3'!$G65)*'Get Started  3'!$G86/'Get Started  3'!$G82),0)</f>
        <v>0</v>
      </c>
      <c r="CC227" s="90">
        <f ca="1">IFERROR(IF(CC4&lt;'Get Started  3'!$G55,0,OFFSET(CC222,0,-1*'Get Started  3'!$G55)*'Get Started  3'!$G84/'Get Started  3'!$G82),0)+IFERROR(IF(CC4&lt;'Get Started  3'!$G65,0,OFFSET(CC222,0,-1*'Get Started  3'!$G65)*'Get Started  3'!$G86/'Get Started  3'!$G82),0)</f>
        <v>0</v>
      </c>
      <c r="CD227" s="90">
        <f ca="1">IFERROR(IF(CD4&lt;'Get Started  3'!$G55,0,OFFSET(CD222,0,-1*'Get Started  3'!$G55)*'Get Started  3'!$G84/'Get Started  3'!$G82),0)+IFERROR(IF(CD4&lt;'Get Started  3'!$G65,0,OFFSET(CD222,0,-1*'Get Started  3'!$G65)*'Get Started  3'!$G86/'Get Started  3'!$G82),0)</f>
        <v>0</v>
      </c>
      <c r="CE227" s="90">
        <f ca="1">IFERROR(IF(CE4&lt;'Get Started  3'!$G55,0,OFFSET(CE222,0,-1*'Get Started  3'!$G55)*'Get Started  3'!$G84/'Get Started  3'!$G82),0)+IFERROR(IF(CE4&lt;'Get Started  3'!$G65,0,OFFSET(CE222,0,-1*'Get Started  3'!$G65)*'Get Started  3'!$G86/'Get Started  3'!$G82),0)</f>
        <v>0</v>
      </c>
      <c r="CF227" s="90">
        <f ca="1">IFERROR(IF(CF4&lt;'Get Started  3'!$G55,0,OFFSET(CF222,0,-1*'Get Started  3'!$G55)*'Get Started  3'!$G84/'Get Started  3'!$G82),0)+IFERROR(IF(CF4&lt;'Get Started  3'!$G65,0,OFFSET(CF222,0,-1*'Get Started  3'!$G65)*'Get Started  3'!$G86/'Get Started  3'!$G82),0)</f>
        <v>0</v>
      </c>
      <c r="CG227" s="90">
        <f ca="1">IFERROR(IF(CG4&lt;'Get Started  3'!$G55,0,OFFSET(CG222,0,-1*'Get Started  3'!$G55)*'Get Started  3'!$G84/'Get Started  3'!$G82),0)+IFERROR(IF(CG4&lt;'Get Started  3'!$G65,0,OFFSET(CG222,0,-1*'Get Started  3'!$G65)*'Get Started  3'!$G86/'Get Started  3'!$G82),0)</f>
        <v>0</v>
      </c>
      <c r="CH227" s="90">
        <f ca="1">IFERROR(IF(CH4&lt;'Get Started  3'!$G55,0,OFFSET(CH222,0,-1*'Get Started  3'!$G55)*'Get Started  3'!$G84/'Get Started  3'!$G82),0)+IFERROR(IF(CH4&lt;'Get Started  3'!$G65,0,OFFSET(CH222,0,-1*'Get Started  3'!$G65)*'Get Started  3'!$G86/'Get Started  3'!$G82),0)</f>
        <v>0</v>
      </c>
    </row>
    <row r="228" spans="1:86" ht="13" outlineLevel="1">
      <c r="A228" s="13"/>
      <c r="B228" s="13" t="s">
        <v>329</v>
      </c>
      <c r="C228" s="13"/>
      <c r="D228" s="13" t="s">
        <v>238</v>
      </c>
      <c r="E228" s="88">
        <f t="shared" ca="1" si="170"/>
        <v>0</v>
      </c>
      <c r="F228" s="48"/>
      <c r="G228" s="90">
        <f ca="1">IFERROR(IF(G4&lt;'Get Started  3'!$H55,0,OFFSET(G223,0,-1*'Get Started  3'!$H55)*'Get Started  3'!$H84/'Get Started  3'!$H82),0)+IFERROR(IF(G4&lt;'Get Started  3'!$H65,0,OFFSET(G223,0,-1*'Get Started  3'!$H65)*'Get Started  3'!$H86/'Get Started  3'!$H82),0)</f>
        <v>0</v>
      </c>
      <c r="H228" s="90">
        <f ca="1">IFERROR(IF(H4&lt;'Get Started  3'!$H55,0,OFFSET(H223,0,-1*'Get Started  3'!$H55)*'Get Started  3'!$H84/'Get Started  3'!$H82),0)+IFERROR(IF(H4&lt;'Get Started  3'!$H65,0,OFFSET(H223,0,-1*'Get Started  3'!$H65)*'Get Started  3'!$H86/'Get Started  3'!$H82),0)</f>
        <v>0</v>
      </c>
      <c r="I228" s="90">
        <f ca="1">IFERROR(IF(I4&lt;'Get Started  3'!$H55,0,OFFSET(I223,0,-1*'Get Started  3'!$H55)*'Get Started  3'!$H84/'Get Started  3'!$H82),0)+IFERROR(IF(I4&lt;'Get Started  3'!$H65,0,OFFSET(I223,0,-1*'Get Started  3'!$H65)*'Get Started  3'!$H86/'Get Started  3'!$H82),0)</f>
        <v>0</v>
      </c>
      <c r="J228" s="90">
        <f ca="1">IFERROR(IF(J4&lt;'Get Started  3'!$H55,0,OFFSET(J223,0,-1*'Get Started  3'!$H55)*'Get Started  3'!$H84/'Get Started  3'!$H82),0)+IFERROR(IF(J4&lt;'Get Started  3'!$H65,0,OFFSET(J223,0,-1*'Get Started  3'!$H65)*'Get Started  3'!$H86/'Get Started  3'!$H82),0)</f>
        <v>0</v>
      </c>
      <c r="K228" s="90">
        <f ca="1">IFERROR(IF(K4&lt;'Get Started  3'!$H55,0,OFFSET(K223,0,-1*'Get Started  3'!$H55)*'Get Started  3'!$H84/'Get Started  3'!$H82),0)+IFERROR(IF(K4&lt;'Get Started  3'!$H65,0,OFFSET(K223,0,-1*'Get Started  3'!$H65)*'Get Started  3'!$H86/'Get Started  3'!$H82),0)</f>
        <v>0</v>
      </c>
      <c r="L228" s="90">
        <f ca="1">IFERROR(IF(L4&lt;'Get Started  3'!$H55,0,OFFSET(L223,0,-1*'Get Started  3'!$H55)*'Get Started  3'!$H84/'Get Started  3'!$H82),0)+IFERROR(IF(L4&lt;'Get Started  3'!$H65,0,OFFSET(L223,0,-1*'Get Started  3'!$H65)*'Get Started  3'!$H86/'Get Started  3'!$H82),0)</f>
        <v>0</v>
      </c>
      <c r="M228" s="90">
        <f ca="1">IFERROR(IF(M4&lt;'Get Started  3'!$H55,0,OFFSET(M223,0,-1*'Get Started  3'!$H55)*'Get Started  3'!$H84/'Get Started  3'!$H82),0)+IFERROR(IF(M4&lt;'Get Started  3'!$H65,0,OFFSET(M223,0,-1*'Get Started  3'!$H65)*'Get Started  3'!$H86/'Get Started  3'!$H82),0)</f>
        <v>0</v>
      </c>
      <c r="N228" s="90">
        <f ca="1">IFERROR(IF(N4&lt;'Get Started  3'!$H55,0,OFFSET(N223,0,-1*'Get Started  3'!$H55)*'Get Started  3'!$H84/'Get Started  3'!$H82),0)+IFERROR(IF(N4&lt;'Get Started  3'!$H65,0,OFFSET(N223,0,-1*'Get Started  3'!$H65)*'Get Started  3'!$H86/'Get Started  3'!$H82),0)</f>
        <v>0</v>
      </c>
      <c r="O228" s="90">
        <f ca="1">IFERROR(IF(O4&lt;'Get Started  3'!$H55,0,OFFSET(O223,0,-1*'Get Started  3'!$H55)*'Get Started  3'!$H84/'Get Started  3'!$H82),0)+IFERROR(IF(O4&lt;'Get Started  3'!$H65,0,OFFSET(O223,0,-1*'Get Started  3'!$H65)*'Get Started  3'!$H86/'Get Started  3'!$H82),0)</f>
        <v>0</v>
      </c>
      <c r="P228" s="90">
        <f ca="1">IFERROR(IF(P4&lt;'Get Started  3'!$H55,0,OFFSET(P223,0,-1*'Get Started  3'!$H55)*'Get Started  3'!$H84/'Get Started  3'!$H82),0)+IFERROR(IF(P4&lt;'Get Started  3'!$H65,0,OFFSET(P223,0,-1*'Get Started  3'!$H65)*'Get Started  3'!$H86/'Get Started  3'!$H82),0)</f>
        <v>0</v>
      </c>
      <c r="Q228" s="90">
        <f ca="1">IFERROR(IF(Q4&lt;'Get Started  3'!$H55,0,OFFSET(Q223,0,-1*'Get Started  3'!$H55)*'Get Started  3'!$H84/'Get Started  3'!$H82),0)+IFERROR(IF(Q4&lt;'Get Started  3'!$H65,0,OFFSET(Q223,0,-1*'Get Started  3'!$H65)*'Get Started  3'!$H86/'Get Started  3'!$H82),0)</f>
        <v>0</v>
      </c>
      <c r="R228" s="90">
        <f ca="1">IFERROR(IF(R4&lt;'Get Started  3'!$H55,0,OFFSET(R223,0,-1*'Get Started  3'!$H55)*'Get Started  3'!$H84/'Get Started  3'!$H82),0)+IFERROR(IF(R4&lt;'Get Started  3'!$H65,0,OFFSET(R223,0,-1*'Get Started  3'!$H65)*'Get Started  3'!$H86/'Get Started  3'!$H82),0)</f>
        <v>0</v>
      </c>
      <c r="S228" s="90">
        <f ca="1">IFERROR(IF(S4&lt;'Get Started  3'!$H55,0,OFFSET(S223,0,-1*'Get Started  3'!$H55)*'Get Started  3'!$H84/'Get Started  3'!$H82),0)+IFERROR(IF(S4&lt;'Get Started  3'!$H65,0,OFFSET(S223,0,-1*'Get Started  3'!$H65)*'Get Started  3'!$H86/'Get Started  3'!$H82),0)</f>
        <v>0</v>
      </c>
      <c r="T228" s="90">
        <f ca="1">IFERROR(IF(T4&lt;'Get Started  3'!$H55,0,OFFSET(T223,0,-1*'Get Started  3'!$H55)*'Get Started  3'!$H84/'Get Started  3'!$H82),0)+IFERROR(IF(T4&lt;'Get Started  3'!$H65,0,OFFSET(T223,0,-1*'Get Started  3'!$H65)*'Get Started  3'!$H86/'Get Started  3'!$H82),0)</f>
        <v>0</v>
      </c>
      <c r="U228" s="90">
        <f ca="1">IFERROR(IF(U4&lt;'Get Started  3'!$H55,0,OFFSET(U223,0,-1*'Get Started  3'!$H55)*'Get Started  3'!$H84/'Get Started  3'!$H82),0)+IFERROR(IF(U4&lt;'Get Started  3'!$H65,0,OFFSET(U223,0,-1*'Get Started  3'!$H65)*'Get Started  3'!$H86/'Get Started  3'!$H82),0)</f>
        <v>0</v>
      </c>
      <c r="V228" s="90">
        <f ca="1">IFERROR(IF(V4&lt;'Get Started  3'!$H55,0,OFFSET(V223,0,-1*'Get Started  3'!$H55)*'Get Started  3'!$H84/'Get Started  3'!$H82),0)+IFERROR(IF(V4&lt;'Get Started  3'!$H65,0,OFFSET(V223,0,-1*'Get Started  3'!$H65)*'Get Started  3'!$H86/'Get Started  3'!$H82),0)</f>
        <v>0</v>
      </c>
      <c r="W228" s="90">
        <f ca="1">IFERROR(IF(W4&lt;'Get Started  3'!$H55,0,OFFSET(W223,0,-1*'Get Started  3'!$H55)*'Get Started  3'!$H84/'Get Started  3'!$H82),0)+IFERROR(IF(W4&lt;'Get Started  3'!$H65,0,OFFSET(W223,0,-1*'Get Started  3'!$H65)*'Get Started  3'!$H86/'Get Started  3'!$H82),0)</f>
        <v>0</v>
      </c>
      <c r="X228" s="90">
        <f ca="1">IFERROR(IF(X4&lt;'Get Started  3'!$H55,0,OFFSET(X223,0,-1*'Get Started  3'!$H55)*'Get Started  3'!$H84/'Get Started  3'!$H82),0)+IFERROR(IF(X4&lt;'Get Started  3'!$H65,0,OFFSET(X223,0,-1*'Get Started  3'!$H65)*'Get Started  3'!$H86/'Get Started  3'!$H82),0)</f>
        <v>0</v>
      </c>
      <c r="Y228" s="90">
        <f ca="1">IFERROR(IF(Y4&lt;'Get Started  3'!$H55,0,OFFSET(Y223,0,-1*'Get Started  3'!$H55)*'Get Started  3'!$H84/'Get Started  3'!$H82),0)+IFERROR(IF(Y4&lt;'Get Started  3'!$H65,0,OFFSET(Y223,0,-1*'Get Started  3'!$H65)*'Get Started  3'!$H86/'Get Started  3'!$H82),0)</f>
        <v>0</v>
      </c>
      <c r="Z228" s="90">
        <f ca="1">IFERROR(IF(Z4&lt;'Get Started  3'!$H55,0,OFFSET(Z223,0,-1*'Get Started  3'!$H55)*'Get Started  3'!$H84/'Get Started  3'!$H82),0)+IFERROR(IF(Z4&lt;'Get Started  3'!$H65,0,OFFSET(Z223,0,-1*'Get Started  3'!$H65)*'Get Started  3'!$H86/'Get Started  3'!$H82),0)</f>
        <v>0</v>
      </c>
      <c r="AA228" s="90">
        <f ca="1">IFERROR(IF(AA4&lt;'Get Started  3'!$H55,0,OFFSET(AA223,0,-1*'Get Started  3'!$H55)*'Get Started  3'!$H84/'Get Started  3'!$H82),0)+IFERROR(IF(AA4&lt;'Get Started  3'!$H65,0,OFFSET(AA223,0,-1*'Get Started  3'!$H65)*'Get Started  3'!$H86/'Get Started  3'!$H82),0)</f>
        <v>0</v>
      </c>
      <c r="AB228" s="90">
        <f ca="1">IFERROR(IF(AB4&lt;'Get Started  3'!$H55,0,OFFSET(AB223,0,-1*'Get Started  3'!$H55)*'Get Started  3'!$H84/'Get Started  3'!$H82),0)+IFERROR(IF(AB4&lt;'Get Started  3'!$H65,0,OFFSET(AB223,0,-1*'Get Started  3'!$H65)*'Get Started  3'!$H86/'Get Started  3'!$H82),0)</f>
        <v>0</v>
      </c>
      <c r="AC228" s="90">
        <f ca="1">IFERROR(IF(AC4&lt;'Get Started  3'!$H55,0,OFFSET(AC223,0,-1*'Get Started  3'!$H55)*'Get Started  3'!$H84/'Get Started  3'!$H82),0)+IFERROR(IF(AC4&lt;'Get Started  3'!$H65,0,OFFSET(AC223,0,-1*'Get Started  3'!$H65)*'Get Started  3'!$H86/'Get Started  3'!$H82),0)</f>
        <v>0</v>
      </c>
      <c r="AD228" s="90">
        <f ca="1">IFERROR(IF(AD4&lt;'Get Started  3'!$H55,0,OFFSET(AD223,0,-1*'Get Started  3'!$H55)*'Get Started  3'!$H84/'Get Started  3'!$H82),0)+IFERROR(IF(AD4&lt;'Get Started  3'!$H65,0,OFFSET(AD223,0,-1*'Get Started  3'!$H65)*'Get Started  3'!$H86/'Get Started  3'!$H82),0)</f>
        <v>0</v>
      </c>
      <c r="AE228" s="90">
        <f ca="1">IFERROR(IF(AE4&lt;'Get Started  3'!$H55,0,OFFSET(AE223,0,-1*'Get Started  3'!$H55)*'Get Started  3'!$H84/'Get Started  3'!$H82),0)+IFERROR(IF(AE4&lt;'Get Started  3'!$H65,0,OFFSET(AE223,0,-1*'Get Started  3'!$H65)*'Get Started  3'!$H86/'Get Started  3'!$H82),0)</f>
        <v>0</v>
      </c>
      <c r="AF228" s="90">
        <f ca="1">IFERROR(IF(AF4&lt;'Get Started  3'!$H55,0,OFFSET(AF223,0,-1*'Get Started  3'!$H55)*'Get Started  3'!$H84/'Get Started  3'!$H82),0)+IFERROR(IF(AF4&lt;'Get Started  3'!$H65,0,OFFSET(AF223,0,-1*'Get Started  3'!$H65)*'Get Started  3'!$H86/'Get Started  3'!$H82),0)</f>
        <v>0</v>
      </c>
      <c r="AG228" s="90">
        <f ca="1">IFERROR(IF(AG4&lt;'Get Started  3'!$H55,0,OFFSET(AG223,0,-1*'Get Started  3'!$H55)*'Get Started  3'!$H84/'Get Started  3'!$H82),0)+IFERROR(IF(AG4&lt;'Get Started  3'!$H65,0,OFFSET(AG223,0,-1*'Get Started  3'!$H65)*'Get Started  3'!$H86/'Get Started  3'!$H82),0)</f>
        <v>0</v>
      </c>
      <c r="AH228" s="90">
        <f ca="1">IFERROR(IF(AH4&lt;'Get Started  3'!$H55,0,OFFSET(AH223,0,-1*'Get Started  3'!$H55)*'Get Started  3'!$H84/'Get Started  3'!$H82),0)+IFERROR(IF(AH4&lt;'Get Started  3'!$H65,0,OFFSET(AH223,0,-1*'Get Started  3'!$H65)*'Get Started  3'!$H86/'Get Started  3'!$H82),0)</f>
        <v>0</v>
      </c>
      <c r="AI228" s="90">
        <f ca="1">IFERROR(IF(AI4&lt;'Get Started  3'!$H55,0,OFFSET(AI223,0,-1*'Get Started  3'!$H55)*'Get Started  3'!$H84/'Get Started  3'!$H82),0)+IFERROR(IF(AI4&lt;'Get Started  3'!$H65,0,OFFSET(AI223,0,-1*'Get Started  3'!$H65)*'Get Started  3'!$H86/'Get Started  3'!$H82),0)</f>
        <v>0</v>
      </c>
      <c r="AJ228" s="90">
        <f ca="1">IFERROR(IF(AJ4&lt;'Get Started  3'!$H55,0,OFFSET(AJ223,0,-1*'Get Started  3'!$H55)*'Get Started  3'!$H84/'Get Started  3'!$H82),0)+IFERROR(IF(AJ4&lt;'Get Started  3'!$H65,0,OFFSET(AJ223,0,-1*'Get Started  3'!$H65)*'Get Started  3'!$H86/'Get Started  3'!$H82),0)</f>
        <v>0</v>
      </c>
      <c r="AK228" s="90">
        <f ca="1">IFERROR(IF(AK4&lt;'Get Started  3'!$H55,0,OFFSET(AK223,0,-1*'Get Started  3'!$H55)*'Get Started  3'!$H84/'Get Started  3'!$H82),0)+IFERROR(IF(AK4&lt;'Get Started  3'!$H65,0,OFFSET(AK223,0,-1*'Get Started  3'!$H65)*'Get Started  3'!$H86/'Get Started  3'!$H82),0)</f>
        <v>0</v>
      </c>
      <c r="AL228" s="90">
        <f ca="1">IFERROR(IF(AL4&lt;'Get Started  3'!$H55,0,OFFSET(AL223,0,-1*'Get Started  3'!$H55)*'Get Started  3'!$H84/'Get Started  3'!$H82),0)+IFERROR(IF(AL4&lt;'Get Started  3'!$H65,0,OFFSET(AL223,0,-1*'Get Started  3'!$H65)*'Get Started  3'!$H86/'Get Started  3'!$H82),0)</f>
        <v>0</v>
      </c>
      <c r="AM228" s="90">
        <f ca="1">IFERROR(IF(AM4&lt;'Get Started  3'!$H55,0,OFFSET(AM223,0,-1*'Get Started  3'!$H55)*'Get Started  3'!$H84/'Get Started  3'!$H82),0)+IFERROR(IF(AM4&lt;'Get Started  3'!$H65,0,OFFSET(AM223,0,-1*'Get Started  3'!$H65)*'Get Started  3'!$H86/'Get Started  3'!$H82),0)</f>
        <v>0</v>
      </c>
      <c r="AN228" s="90">
        <f ca="1">IFERROR(IF(AN4&lt;'Get Started  3'!$H55,0,OFFSET(AN223,0,-1*'Get Started  3'!$H55)*'Get Started  3'!$H84/'Get Started  3'!$H82),0)+IFERROR(IF(AN4&lt;'Get Started  3'!$H65,0,OFFSET(AN223,0,-1*'Get Started  3'!$H65)*'Get Started  3'!$H86/'Get Started  3'!$H82),0)</f>
        <v>0</v>
      </c>
      <c r="AO228" s="90">
        <f ca="1">IFERROR(IF(AO4&lt;'Get Started  3'!$H55,0,OFFSET(AO223,0,-1*'Get Started  3'!$H55)*'Get Started  3'!$H84/'Get Started  3'!$H82),0)+IFERROR(IF(AO4&lt;'Get Started  3'!$H65,0,OFFSET(AO223,0,-1*'Get Started  3'!$H65)*'Get Started  3'!$H86/'Get Started  3'!$H82),0)</f>
        <v>0</v>
      </c>
      <c r="AP228" s="90">
        <f ca="1">IFERROR(IF(AP4&lt;'Get Started  3'!$H55,0,OFFSET(AP223,0,-1*'Get Started  3'!$H55)*'Get Started  3'!$H84/'Get Started  3'!$H82),0)+IFERROR(IF(AP4&lt;'Get Started  3'!$H65,0,OFFSET(AP223,0,-1*'Get Started  3'!$H65)*'Get Started  3'!$H86/'Get Started  3'!$H82),0)</f>
        <v>0</v>
      </c>
      <c r="AQ228" s="90">
        <f ca="1">IFERROR(IF(AQ4&lt;'Get Started  3'!$H55,0,OFFSET(AQ223,0,-1*'Get Started  3'!$H55)*'Get Started  3'!$H84/'Get Started  3'!$H82),0)+IFERROR(IF(AQ4&lt;'Get Started  3'!$H65,0,OFFSET(AQ223,0,-1*'Get Started  3'!$H65)*'Get Started  3'!$H86/'Get Started  3'!$H82),0)</f>
        <v>0</v>
      </c>
      <c r="AR228" s="90">
        <f ca="1">IFERROR(IF(AR4&lt;'Get Started  3'!$H55,0,OFFSET(AR223,0,-1*'Get Started  3'!$H55)*'Get Started  3'!$H84/'Get Started  3'!$H82),0)+IFERROR(IF(AR4&lt;'Get Started  3'!$H65,0,OFFSET(AR223,0,-1*'Get Started  3'!$H65)*'Get Started  3'!$H86/'Get Started  3'!$H82),0)</f>
        <v>0</v>
      </c>
      <c r="AS228" s="90">
        <f ca="1">IFERROR(IF(AS4&lt;'Get Started  3'!$H55,0,OFFSET(AS223,0,-1*'Get Started  3'!$H55)*'Get Started  3'!$H84/'Get Started  3'!$H82),0)+IFERROR(IF(AS4&lt;'Get Started  3'!$H65,0,OFFSET(AS223,0,-1*'Get Started  3'!$H65)*'Get Started  3'!$H86/'Get Started  3'!$H82),0)</f>
        <v>0</v>
      </c>
      <c r="AT228" s="90">
        <f ca="1">IFERROR(IF(AT4&lt;'Get Started  3'!$H55,0,OFFSET(AT223,0,-1*'Get Started  3'!$H55)*'Get Started  3'!$H84/'Get Started  3'!$H82),0)+IFERROR(IF(AT4&lt;'Get Started  3'!$H65,0,OFFSET(AT223,0,-1*'Get Started  3'!$H65)*'Get Started  3'!$H86/'Get Started  3'!$H82),0)</f>
        <v>0</v>
      </c>
      <c r="AU228" s="90">
        <f ca="1">IFERROR(IF(AU4&lt;'Get Started  3'!$H55,0,OFFSET(AU223,0,-1*'Get Started  3'!$H55)*'Get Started  3'!$H84/'Get Started  3'!$H82),0)+IFERROR(IF(AU4&lt;'Get Started  3'!$H65,0,OFFSET(AU223,0,-1*'Get Started  3'!$H65)*'Get Started  3'!$H86/'Get Started  3'!$H82),0)</f>
        <v>0</v>
      </c>
      <c r="AV228" s="90">
        <f ca="1">IFERROR(IF(AV4&lt;'Get Started  3'!$H55,0,OFFSET(AV223,0,-1*'Get Started  3'!$H55)*'Get Started  3'!$H84/'Get Started  3'!$H82),0)+IFERROR(IF(AV4&lt;'Get Started  3'!$H65,0,OFFSET(AV223,0,-1*'Get Started  3'!$H65)*'Get Started  3'!$H86/'Get Started  3'!$H82),0)</f>
        <v>0</v>
      </c>
      <c r="AW228" s="90">
        <f ca="1">IFERROR(IF(AW4&lt;'Get Started  3'!$H55,0,OFFSET(AW223,0,-1*'Get Started  3'!$H55)*'Get Started  3'!$H84/'Get Started  3'!$H82),0)+IFERROR(IF(AW4&lt;'Get Started  3'!$H65,0,OFFSET(AW223,0,-1*'Get Started  3'!$H65)*'Get Started  3'!$H86/'Get Started  3'!$H82),0)</f>
        <v>0</v>
      </c>
      <c r="AX228" s="90">
        <f ca="1">IFERROR(IF(AX4&lt;'Get Started  3'!$H55,0,OFFSET(AX223,0,-1*'Get Started  3'!$H55)*'Get Started  3'!$H84/'Get Started  3'!$H82),0)+IFERROR(IF(AX4&lt;'Get Started  3'!$H65,0,OFFSET(AX223,0,-1*'Get Started  3'!$H65)*'Get Started  3'!$H86/'Get Started  3'!$H82),0)</f>
        <v>0</v>
      </c>
      <c r="AY228" s="90">
        <f ca="1">IFERROR(IF(AY4&lt;'Get Started  3'!$H55,0,OFFSET(AY223,0,-1*'Get Started  3'!$H55)*'Get Started  3'!$H84/'Get Started  3'!$H82),0)+IFERROR(IF(AY4&lt;'Get Started  3'!$H65,0,OFFSET(AY223,0,-1*'Get Started  3'!$H65)*'Get Started  3'!$H86/'Get Started  3'!$H82),0)</f>
        <v>0</v>
      </c>
      <c r="AZ228" s="90">
        <f ca="1">IFERROR(IF(AZ4&lt;'Get Started  3'!$H55,0,OFFSET(AZ223,0,-1*'Get Started  3'!$H55)*'Get Started  3'!$H84/'Get Started  3'!$H82),0)+IFERROR(IF(AZ4&lt;'Get Started  3'!$H65,0,OFFSET(AZ223,0,-1*'Get Started  3'!$H65)*'Get Started  3'!$H86/'Get Started  3'!$H82),0)</f>
        <v>0</v>
      </c>
      <c r="BA228" s="90">
        <f ca="1">IFERROR(IF(BA4&lt;'Get Started  3'!$H55,0,OFFSET(BA223,0,-1*'Get Started  3'!$H55)*'Get Started  3'!$H84/'Get Started  3'!$H82),0)+IFERROR(IF(BA4&lt;'Get Started  3'!$H65,0,OFFSET(BA223,0,-1*'Get Started  3'!$H65)*'Get Started  3'!$H86/'Get Started  3'!$H82),0)</f>
        <v>0</v>
      </c>
      <c r="BB228" s="90">
        <f ca="1">IFERROR(IF(BB4&lt;'Get Started  3'!$H55,0,OFFSET(BB223,0,-1*'Get Started  3'!$H55)*'Get Started  3'!$H84/'Get Started  3'!$H82),0)+IFERROR(IF(BB4&lt;'Get Started  3'!$H65,0,OFFSET(BB223,0,-1*'Get Started  3'!$H65)*'Get Started  3'!$H86/'Get Started  3'!$H82),0)</f>
        <v>0</v>
      </c>
      <c r="BC228" s="90">
        <f ca="1">IFERROR(IF(BC4&lt;'Get Started  3'!$H55,0,OFFSET(BC223,0,-1*'Get Started  3'!$H55)*'Get Started  3'!$H84/'Get Started  3'!$H82),0)+IFERROR(IF(BC4&lt;'Get Started  3'!$H65,0,OFFSET(BC223,0,-1*'Get Started  3'!$H65)*'Get Started  3'!$H86/'Get Started  3'!$H82),0)</f>
        <v>0</v>
      </c>
      <c r="BD228" s="90">
        <f ca="1">IFERROR(IF(BD4&lt;'Get Started  3'!$H55,0,OFFSET(BD223,0,-1*'Get Started  3'!$H55)*'Get Started  3'!$H84/'Get Started  3'!$H82),0)+IFERROR(IF(BD4&lt;'Get Started  3'!$H65,0,OFFSET(BD223,0,-1*'Get Started  3'!$H65)*'Get Started  3'!$H86/'Get Started  3'!$H82),0)</f>
        <v>0</v>
      </c>
      <c r="BE228" s="90">
        <f ca="1">IFERROR(IF(BE4&lt;'Get Started  3'!$H55,0,OFFSET(BE223,0,-1*'Get Started  3'!$H55)*'Get Started  3'!$H84/'Get Started  3'!$H82),0)+IFERROR(IF(BE4&lt;'Get Started  3'!$H65,0,OFFSET(BE223,0,-1*'Get Started  3'!$H65)*'Get Started  3'!$H86/'Get Started  3'!$H82),0)</f>
        <v>0</v>
      </c>
      <c r="BF228" s="90">
        <f ca="1">IFERROR(IF(BF4&lt;'Get Started  3'!$H55,0,OFFSET(BF223,0,-1*'Get Started  3'!$H55)*'Get Started  3'!$H84/'Get Started  3'!$H82),0)+IFERROR(IF(BF4&lt;'Get Started  3'!$H65,0,OFFSET(BF223,0,-1*'Get Started  3'!$H65)*'Get Started  3'!$H86/'Get Started  3'!$H82),0)</f>
        <v>0</v>
      </c>
      <c r="BG228" s="90">
        <f ca="1">IFERROR(IF(BG4&lt;'Get Started  3'!$H55,0,OFFSET(BG223,0,-1*'Get Started  3'!$H55)*'Get Started  3'!$H84/'Get Started  3'!$H82),0)+IFERROR(IF(BG4&lt;'Get Started  3'!$H65,0,OFFSET(BG223,0,-1*'Get Started  3'!$H65)*'Get Started  3'!$H86/'Get Started  3'!$H82),0)</f>
        <v>0</v>
      </c>
      <c r="BH228" s="90">
        <f ca="1">IFERROR(IF(BH4&lt;'Get Started  3'!$H55,0,OFFSET(BH223,0,-1*'Get Started  3'!$H55)*'Get Started  3'!$H84/'Get Started  3'!$H82),0)+IFERROR(IF(BH4&lt;'Get Started  3'!$H65,0,OFFSET(BH223,0,-1*'Get Started  3'!$H65)*'Get Started  3'!$H86/'Get Started  3'!$H82),0)</f>
        <v>0</v>
      </c>
      <c r="BI228" s="90">
        <f ca="1">IFERROR(IF(BI4&lt;'Get Started  3'!$H55,0,OFFSET(BI223,0,-1*'Get Started  3'!$H55)*'Get Started  3'!$H84/'Get Started  3'!$H82),0)+IFERROR(IF(BI4&lt;'Get Started  3'!$H65,0,OFFSET(BI223,0,-1*'Get Started  3'!$H65)*'Get Started  3'!$H86/'Get Started  3'!$H82),0)</f>
        <v>0</v>
      </c>
      <c r="BJ228" s="90">
        <f ca="1">IFERROR(IF(BJ4&lt;'Get Started  3'!$H55,0,OFFSET(BJ223,0,-1*'Get Started  3'!$H55)*'Get Started  3'!$H84/'Get Started  3'!$H82),0)+IFERROR(IF(BJ4&lt;'Get Started  3'!$H65,0,OFFSET(BJ223,0,-1*'Get Started  3'!$H65)*'Get Started  3'!$H86/'Get Started  3'!$H82),0)</f>
        <v>0</v>
      </c>
      <c r="BK228" s="90">
        <f ca="1">IFERROR(IF(BK4&lt;'Get Started  3'!$H55,0,OFFSET(BK223,0,-1*'Get Started  3'!$H55)*'Get Started  3'!$H84/'Get Started  3'!$H82),0)+IFERROR(IF(BK4&lt;'Get Started  3'!$H65,0,OFFSET(BK223,0,-1*'Get Started  3'!$H65)*'Get Started  3'!$H86/'Get Started  3'!$H82),0)</f>
        <v>0</v>
      </c>
      <c r="BL228" s="90">
        <f ca="1">IFERROR(IF(BL4&lt;'Get Started  3'!$H55,0,OFFSET(BL223,0,-1*'Get Started  3'!$H55)*'Get Started  3'!$H84/'Get Started  3'!$H82),0)+IFERROR(IF(BL4&lt;'Get Started  3'!$H65,0,OFFSET(BL223,0,-1*'Get Started  3'!$H65)*'Get Started  3'!$H86/'Get Started  3'!$H82),0)</f>
        <v>0</v>
      </c>
      <c r="BM228" s="90">
        <f ca="1">IFERROR(IF(BM4&lt;'Get Started  3'!$H55,0,OFFSET(BM223,0,-1*'Get Started  3'!$H55)*'Get Started  3'!$H84/'Get Started  3'!$H82),0)+IFERROR(IF(BM4&lt;'Get Started  3'!$H65,0,OFFSET(BM223,0,-1*'Get Started  3'!$H65)*'Get Started  3'!$H86/'Get Started  3'!$H82),0)</f>
        <v>0</v>
      </c>
      <c r="BN228" s="90">
        <f ca="1">IFERROR(IF(BN4&lt;'Get Started  3'!$H55,0,OFFSET(BN223,0,-1*'Get Started  3'!$H55)*'Get Started  3'!$H84/'Get Started  3'!$H82),0)+IFERROR(IF(BN4&lt;'Get Started  3'!$H65,0,OFFSET(BN223,0,-1*'Get Started  3'!$H65)*'Get Started  3'!$H86/'Get Started  3'!$H82),0)</f>
        <v>0</v>
      </c>
      <c r="BO228" s="90">
        <f ca="1">IFERROR(IF(BO4&lt;'Get Started  3'!$H55,0,OFFSET(BO223,0,-1*'Get Started  3'!$H55)*'Get Started  3'!$H84/'Get Started  3'!$H82),0)+IFERROR(IF(BO4&lt;'Get Started  3'!$H65,0,OFFSET(BO223,0,-1*'Get Started  3'!$H65)*'Get Started  3'!$H86/'Get Started  3'!$H82),0)</f>
        <v>0</v>
      </c>
      <c r="BP228" s="90">
        <f ca="1">IFERROR(IF(BP4&lt;'Get Started  3'!$H55,0,OFFSET(BP223,0,-1*'Get Started  3'!$H55)*'Get Started  3'!$H84/'Get Started  3'!$H82),0)+IFERROR(IF(BP4&lt;'Get Started  3'!$H65,0,OFFSET(BP223,0,-1*'Get Started  3'!$H65)*'Get Started  3'!$H86/'Get Started  3'!$H82),0)</f>
        <v>0</v>
      </c>
      <c r="BQ228" s="90">
        <f ca="1">IFERROR(IF(BQ4&lt;'Get Started  3'!$H55,0,OFFSET(BQ223,0,-1*'Get Started  3'!$H55)*'Get Started  3'!$H84/'Get Started  3'!$H82),0)+IFERROR(IF(BQ4&lt;'Get Started  3'!$H65,0,OFFSET(BQ223,0,-1*'Get Started  3'!$H65)*'Get Started  3'!$H86/'Get Started  3'!$H82),0)</f>
        <v>0</v>
      </c>
      <c r="BR228" s="90">
        <f ca="1">IFERROR(IF(BR4&lt;'Get Started  3'!$H55,0,OFFSET(BR223,0,-1*'Get Started  3'!$H55)*'Get Started  3'!$H84/'Get Started  3'!$H82),0)+IFERROR(IF(BR4&lt;'Get Started  3'!$H65,0,OFFSET(BR223,0,-1*'Get Started  3'!$H65)*'Get Started  3'!$H86/'Get Started  3'!$H82),0)</f>
        <v>0</v>
      </c>
      <c r="BS228" s="90">
        <f ca="1">IFERROR(IF(BS4&lt;'Get Started  3'!$H55,0,OFFSET(BS223,0,-1*'Get Started  3'!$H55)*'Get Started  3'!$H84/'Get Started  3'!$H82),0)+IFERROR(IF(BS4&lt;'Get Started  3'!$H65,0,OFFSET(BS223,0,-1*'Get Started  3'!$H65)*'Get Started  3'!$H86/'Get Started  3'!$H82),0)</f>
        <v>0</v>
      </c>
      <c r="BT228" s="90">
        <f ca="1">IFERROR(IF(BT4&lt;'Get Started  3'!$H55,0,OFFSET(BT223,0,-1*'Get Started  3'!$H55)*'Get Started  3'!$H84/'Get Started  3'!$H82),0)+IFERROR(IF(BT4&lt;'Get Started  3'!$H65,0,OFFSET(BT223,0,-1*'Get Started  3'!$H65)*'Get Started  3'!$H86/'Get Started  3'!$H82),0)</f>
        <v>0</v>
      </c>
      <c r="BU228" s="90">
        <f ca="1">IFERROR(IF(BU4&lt;'Get Started  3'!$H55,0,OFFSET(BU223,0,-1*'Get Started  3'!$H55)*'Get Started  3'!$H84/'Get Started  3'!$H82),0)+IFERROR(IF(BU4&lt;'Get Started  3'!$H65,0,OFFSET(BU223,0,-1*'Get Started  3'!$H65)*'Get Started  3'!$H86/'Get Started  3'!$H82),0)</f>
        <v>0</v>
      </c>
      <c r="BV228" s="90">
        <f ca="1">IFERROR(IF(BV4&lt;'Get Started  3'!$H55,0,OFFSET(BV223,0,-1*'Get Started  3'!$H55)*'Get Started  3'!$H84/'Get Started  3'!$H82),0)+IFERROR(IF(BV4&lt;'Get Started  3'!$H65,0,OFFSET(BV223,0,-1*'Get Started  3'!$H65)*'Get Started  3'!$H86/'Get Started  3'!$H82),0)</f>
        <v>0</v>
      </c>
      <c r="BW228" s="90">
        <f ca="1">IFERROR(IF(BW4&lt;'Get Started  3'!$H55,0,OFFSET(BW223,0,-1*'Get Started  3'!$H55)*'Get Started  3'!$H84/'Get Started  3'!$H82),0)+IFERROR(IF(BW4&lt;'Get Started  3'!$H65,0,OFFSET(BW223,0,-1*'Get Started  3'!$H65)*'Get Started  3'!$H86/'Get Started  3'!$H82),0)</f>
        <v>0</v>
      </c>
      <c r="BX228" s="90">
        <f ca="1">IFERROR(IF(BX4&lt;'Get Started  3'!$H55,0,OFFSET(BX223,0,-1*'Get Started  3'!$H55)*'Get Started  3'!$H84/'Get Started  3'!$H82),0)+IFERROR(IF(BX4&lt;'Get Started  3'!$H65,0,OFFSET(BX223,0,-1*'Get Started  3'!$H65)*'Get Started  3'!$H86/'Get Started  3'!$H82),0)</f>
        <v>0</v>
      </c>
      <c r="BY228" s="90">
        <f ca="1">IFERROR(IF(BY4&lt;'Get Started  3'!$H55,0,OFFSET(BY223,0,-1*'Get Started  3'!$H55)*'Get Started  3'!$H84/'Get Started  3'!$H82),0)+IFERROR(IF(BY4&lt;'Get Started  3'!$H65,0,OFFSET(BY223,0,-1*'Get Started  3'!$H65)*'Get Started  3'!$H86/'Get Started  3'!$H82),0)</f>
        <v>0</v>
      </c>
      <c r="BZ228" s="90">
        <f ca="1">IFERROR(IF(BZ4&lt;'Get Started  3'!$H55,0,OFFSET(BZ223,0,-1*'Get Started  3'!$H55)*'Get Started  3'!$H84/'Get Started  3'!$H82),0)+IFERROR(IF(BZ4&lt;'Get Started  3'!$H65,0,OFFSET(BZ223,0,-1*'Get Started  3'!$H65)*'Get Started  3'!$H86/'Get Started  3'!$H82),0)</f>
        <v>0</v>
      </c>
      <c r="CA228" s="90">
        <f ca="1">IFERROR(IF(CA4&lt;'Get Started  3'!$H55,0,OFFSET(CA223,0,-1*'Get Started  3'!$H55)*'Get Started  3'!$H84/'Get Started  3'!$H82),0)+IFERROR(IF(CA4&lt;'Get Started  3'!$H65,0,OFFSET(CA223,0,-1*'Get Started  3'!$H65)*'Get Started  3'!$H86/'Get Started  3'!$H82),0)</f>
        <v>0</v>
      </c>
      <c r="CB228" s="90">
        <f ca="1">IFERROR(IF(CB4&lt;'Get Started  3'!$H55,0,OFFSET(CB223,0,-1*'Get Started  3'!$H55)*'Get Started  3'!$H84/'Get Started  3'!$H82),0)+IFERROR(IF(CB4&lt;'Get Started  3'!$H65,0,OFFSET(CB223,0,-1*'Get Started  3'!$H65)*'Get Started  3'!$H86/'Get Started  3'!$H82),0)</f>
        <v>0</v>
      </c>
      <c r="CC228" s="90">
        <f ca="1">IFERROR(IF(CC4&lt;'Get Started  3'!$H55,0,OFFSET(CC223,0,-1*'Get Started  3'!$H55)*'Get Started  3'!$H84/'Get Started  3'!$H82),0)+IFERROR(IF(CC4&lt;'Get Started  3'!$H65,0,OFFSET(CC223,0,-1*'Get Started  3'!$H65)*'Get Started  3'!$H86/'Get Started  3'!$H82),0)</f>
        <v>0</v>
      </c>
      <c r="CD228" s="90">
        <f ca="1">IFERROR(IF(CD4&lt;'Get Started  3'!$H55,0,OFFSET(CD223,0,-1*'Get Started  3'!$H55)*'Get Started  3'!$H84/'Get Started  3'!$H82),0)+IFERROR(IF(CD4&lt;'Get Started  3'!$H65,0,OFFSET(CD223,0,-1*'Get Started  3'!$H65)*'Get Started  3'!$H86/'Get Started  3'!$H82),0)</f>
        <v>0</v>
      </c>
      <c r="CE228" s="90">
        <f ca="1">IFERROR(IF(CE4&lt;'Get Started  3'!$H55,0,OFFSET(CE223,0,-1*'Get Started  3'!$H55)*'Get Started  3'!$H84/'Get Started  3'!$H82),0)+IFERROR(IF(CE4&lt;'Get Started  3'!$H65,0,OFFSET(CE223,0,-1*'Get Started  3'!$H65)*'Get Started  3'!$H86/'Get Started  3'!$H82),0)</f>
        <v>0</v>
      </c>
      <c r="CF228" s="90">
        <f ca="1">IFERROR(IF(CF4&lt;'Get Started  3'!$H55,0,OFFSET(CF223,0,-1*'Get Started  3'!$H55)*'Get Started  3'!$H84/'Get Started  3'!$H82),0)+IFERROR(IF(CF4&lt;'Get Started  3'!$H65,0,OFFSET(CF223,0,-1*'Get Started  3'!$H65)*'Get Started  3'!$H86/'Get Started  3'!$H82),0)</f>
        <v>0</v>
      </c>
      <c r="CG228" s="90">
        <f ca="1">IFERROR(IF(CG4&lt;'Get Started  3'!$H55,0,OFFSET(CG223,0,-1*'Get Started  3'!$H55)*'Get Started  3'!$H84/'Get Started  3'!$H82),0)+IFERROR(IF(CG4&lt;'Get Started  3'!$H65,0,OFFSET(CG223,0,-1*'Get Started  3'!$H65)*'Get Started  3'!$H86/'Get Started  3'!$H82),0)</f>
        <v>0</v>
      </c>
      <c r="CH228" s="90">
        <f ca="1">IFERROR(IF(CH4&lt;'Get Started  3'!$H55,0,OFFSET(CH223,0,-1*'Get Started  3'!$H55)*'Get Started  3'!$H84/'Get Started  3'!$H82),0)+IFERROR(IF(CH4&lt;'Get Started  3'!$H65,0,OFFSET(CH223,0,-1*'Get Started  3'!$H65)*'Get Started  3'!$H86/'Get Started  3'!$H82),0)</f>
        <v>0</v>
      </c>
    </row>
    <row r="229" spans="1:86" ht="13" outlineLevel="1">
      <c r="A229" s="13"/>
      <c r="B229" s="13" t="s">
        <v>329</v>
      </c>
      <c r="C229" s="13"/>
      <c r="D229" s="13" t="s">
        <v>238</v>
      </c>
      <c r="E229" s="88">
        <f t="shared" ca="1" si="170"/>
        <v>0</v>
      </c>
      <c r="F229" s="48"/>
      <c r="G229" s="90">
        <f t="shared" ref="G229:CH229" ca="1" si="175">SUM(G225:G228)</f>
        <v>0</v>
      </c>
      <c r="H229" s="90">
        <f t="shared" ca="1" si="175"/>
        <v>0</v>
      </c>
      <c r="I229" s="90">
        <f t="shared" ca="1" si="175"/>
        <v>0</v>
      </c>
      <c r="J229" s="90">
        <f t="shared" ca="1" si="175"/>
        <v>0</v>
      </c>
      <c r="K229" s="90">
        <f t="shared" ca="1" si="175"/>
        <v>0</v>
      </c>
      <c r="L229" s="90">
        <f t="shared" ca="1" si="175"/>
        <v>0</v>
      </c>
      <c r="M229" s="90">
        <f t="shared" ca="1" si="175"/>
        <v>0</v>
      </c>
      <c r="N229" s="90">
        <f t="shared" ca="1" si="175"/>
        <v>0</v>
      </c>
      <c r="O229" s="90">
        <f t="shared" ca="1" si="175"/>
        <v>0</v>
      </c>
      <c r="P229" s="90">
        <f t="shared" ca="1" si="175"/>
        <v>0</v>
      </c>
      <c r="Q229" s="90">
        <f t="shared" ca="1" si="175"/>
        <v>0</v>
      </c>
      <c r="R229" s="90">
        <f t="shared" ca="1" si="175"/>
        <v>0</v>
      </c>
      <c r="S229" s="90">
        <f t="shared" ca="1" si="175"/>
        <v>0</v>
      </c>
      <c r="T229" s="90">
        <f t="shared" ca="1" si="175"/>
        <v>0</v>
      </c>
      <c r="U229" s="90">
        <f t="shared" ca="1" si="175"/>
        <v>0</v>
      </c>
      <c r="V229" s="90">
        <f t="shared" ca="1" si="175"/>
        <v>0</v>
      </c>
      <c r="W229" s="90">
        <f t="shared" ca="1" si="175"/>
        <v>0</v>
      </c>
      <c r="X229" s="90">
        <f t="shared" ca="1" si="175"/>
        <v>0</v>
      </c>
      <c r="Y229" s="90">
        <f t="shared" ca="1" si="175"/>
        <v>0</v>
      </c>
      <c r="Z229" s="90">
        <f t="shared" ca="1" si="175"/>
        <v>0</v>
      </c>
      <c r="AA229" s="90">
        <f t="shared" ca="1" si="175"/>
        <v>0</v>
      </c>
      <c r="AB229" s="90">
        <f t="shared" ca="1" si="175"/>
        <v>0</v>
      </c>
      <c r="AC229" s="90">
        <f t="shared" ca="1" si="175"/>
        <v>0</v>
      </c>
      <c r="AD229" s="90">
        <f t="shared" ca="1" si="175"/>
        <v>0</v>
      </c>
      <c r="AE229" s="90">
        <f t="shared" ca="1" si="175"/>
        <v>0</v>
      </c>
      <c r="AF229" s="90">
        <f t="shared" ca="1" si="175"/>
        <v>0</v>
      </c>
      <c r="AG229" s="90">
        <f t="shared" ca="1" si="175"/>
        <v>0</v>
      </c>
      <c r="AH229" s="90">
        <f t="shared" ca="1" si="175"/>
        <v>0</v>
      </c>
      <c r="AI229" s="90">
        <f t="shared" ca="1" si="175"/>
        <v>0</v>
      </c>
      <c r="AJ229" s="90">
        <f t="shared" ca="1" si="175"/>
        <v>0</v>
      </c>
      <c r="AK229" s="90">
        <f t="shared" ca="1" si="175"/>
        <v>0</v>
      </c>
      <c r="AL229" s="90">
        <f t="shared" ca="1" si="175"/>
        <v>0</v>
      </c>
      <c r="AM229" s="90">
        <f t="shared" ca="1" si="175"/>
        <v>0</v>
      </c>
      <c r="AN229" s="90">
        <f t="shared" ca="1" si="175"/>
        <v>0</v>
      </c>
      <c r="AO229" s="90">
        <f t="shared" ca="1" si="175"/>
        <v>0</v>
      </c>
      <c r="AP229" s="90">
        <f t="shared" ca="1" si="175"/>
        <v>0</v>
      </c>
      <c r="AQ229" s="90">
        <f t="shared" ca="1" si="175"/>
        <v>0</v>
      </c>
      <c r="AR229" s="90">
        <f t="shared" ca="1" si="175"/>
        <v>0</v>
      </c>
      <c r="AS229" s="90">
        <f t="shared" ca="1" si="175"/>
        <v>0</v>
      </c>
      <c r="AT229" s="90">
        <f t="shared" ca="1" si="175"/>
        <v>0</v>
      </c>
      <c r="AU229" s="90">
        <f t="shared" ca="1" si="175"/>
        <v>0</v>
      </c>
      <c r="AV229" s="90">
        <f t="shared" ca="1" si="175"/>
        <v>0</v>
      </c>
      <c r="AW229" s="90">
        <f t="shared" ca="1" si="175"/>
        <v>0</v>
      </c>
      <c r="AX229" s="90">
        <f t="shared" ca="1" si="175"/>
        <v>0</v>
      </c>
      <c r="AY229" s="90">
        <f t="shared" ca="1" si="175"/>
        <v>0</v>
      </c>
      <c r="AZ229" s="90">
        <f t="shared" ca="1" si="175"/>
        <v>0</v>
      </c>
      <c r="BA229" s="90">
        <f t="shared" ca="1" si="175"/>
        <v>0</v>
      </c>
      <c r="BB229" s="90">
        <f t="shared" ca="1" si="175"/>
        <v>0</v>
      </c>
      <c r="BC229" s="90">
        <f t="shared" ca="1" si="175"/>
        <v>0</v>
      </c>
      <c r="BD229" s="90">
        <f t="shared" ca="1" si="175"/>
        <v>0</v>
      </c>
      <c r="BE229" s="90">
        <f t="shared" ca="1" si="175"/>
        <v>0</v>
      </c>
      <c r="BF229" s="90">
        <f t="shared" ca="1" si="175"/>
        <v>0</v>
      </c>
      <c r="BG229" s="90">
        <f t="shared" ca="1" si="175"/>
        <v>0</v>
      </c>
      <c r="BH229" s="90">
        <f t="shared" ca="1" si="175"/>
        <v>0</v>
      </c>
      <c r="BI229" s="90">
        <f t="shared" ca="1" si="175"/>
        <v>0</v>
      </c>
      <c r="BJ229" s="90">
        <f t="shared" ca="1" si="175"/>
        <v>0</v>
      </c>
      <c r="BK229" s="90">
        <f t="shared" ca="1" si="175"/>
        <v>0</v>
      </c>
      <c r="BL229" s="90">
        <f t="shared" ca="1" si="175"/>
        <v>0</v>
      </c>
      <c r="BM229" s="90">
        <f t="shared" ca="1" si="175"/>
        <v>0</v>
      </c>
      <c r="BN229" s="90">
        <f t="shared" ca="1" si="175"/>
        <v>0</v>
      </c>
      <c r="BO229" s="90">
        <f t="shared" ca="1" si="175"/>
        <v>0</v>
      </c>
      <c r="BP229" s="90">
        <f t="shared" ca="1" si="175"/>
        <v>0</v>
      </c>
      <c r="BQ229" s="90">
        <f t="shared" ca="1" si="175"/>
        <v>0</v>
      </c>
      <c r="BR229" s="90">
        <f t="shared" ca="1" si="175"/>
        <v>0</v>
      </c>
      <c r="BS229" s="90">
        <f t="shared" ca="1" si="175"/>
        <v>0</v>
      </c>
      <c r="BT229" s="90">
        <f t="shared" ca="1" si="175"/>
        <v>0</v>
      </c>
      <c r="BU229" s="90">
        <f t="shared" ca="1" si="175"/>
        <v>0</v>
      </c>
      <c r="BV229" s="90">
        <f t="shared" ca="1" si="175"/>
        <v>0</v>
      </c>
      <c r="BW229" s="90">
        <f t="shared" ca="1" si="175"/>
        <v>0</v>
      </c>
      <c r="BX229" s="90">
        <f t="shared" ca="1" si="175"/>
        <v>0</v>
      </c>
      <c r="BY229" s="90">
        <f t="shared" ca="1" si="175"/>
        <v>0</v>
      </c>
      <c r="BZ229" s="90">
        <f t="shared" ca="1" si="175"/>
        <v>0</v>
      </c>
      <c r="CA229" s="90">
        <f t="shared" ca="1" si="175"/>
        <v>0</v>
      </c>
      <c r="CB229" s="90">
        <f t="shared" ca="1" si="175"/>
        <v>0</v>
      </c>
      <c r="CC229" s="90">
        <f t="shared" ca="1" si="175"/>
        <v>0</v>
      </c>
      <c r="CD229" s="90">
        <f t="shared" ca="1" si="175"/>
        <v>0</v>
      </c>
      <c r="CE229" s="90">
        <f t="shared" ca="1" si="175"/>
        <v>0</v>
      </c>
      <c r="CF229" s="90">
        <f t="shared" ca="1" si="175"/>
        <v>0</v>
      </c>
      <c r="CG229" s="90">
        <f t="shared" ca="1" si="175"/>
        <v>0</v>
      </c>
      <c r="CH229" s="90">
        <f t="shared" ca="1" si="175"/>
        <v>0</v>
      </c>
    </row>
    <row r="230" spans="1:86" ht="13" outlineLevel="1">
      <c r="A230" s="13"/>
      <c r="B230" s="13" t="s">
        <v>330</v>
      </c>
      <c r="C230" s="13"/>
      <c r="D230" s="13" t="s">
        <v>238</v>
      </c>
      <c r="E230" s="88">
        <f t="shared" ca="1" si="170"/>
        <v>0.45451388888888888</v>
      </c>
      <c r="F230" s="48"/>
      <c r="G230" s="90">
        <f ca="1">G220*IFERROR('Get Started  3'!$E42/'Get Started  3'!$E43,0)</f>
        <v>2.7270833333333338E-2</v>
      </c>
      <c r="H230" s="90">
        <f ca="1">H220*IFERROR('Get Started  3'!$E42/'Get Started  3'!$E43,0)</f>
        <v>2.7270833333333338E-2</v>
      </c>
      <c r="I230" s="90">
        <f ca="1">I220*IFERROR('Get Started  3'!$E42/'Get Started  3'!$E43,0)</f>
        <v>2.7270833333333338E-2</v>
      </c>
      <c r="J230" s="90">
        <f ca="1">J220*IFERROR('Get Started  3'!$E42/'Get Started  3'!$E43,0)</f>
        <v>2.7270833333333338E-2</v>
      </c>
      <c r="K230" s="90">
        <f ca="1">K220*IFERROR('Get Started  3'!$E42/'Get Started  3'!$E43,0)</f>
        <v>2.7270833333333338E-2</v>
      </c>
      <c r="L230" s="90">
        <f ca="1">L220*IFERROR('Get Started  3'!$E42/'Get Started  3'!$E43,0)</f>
        <v>2.7270833333333338E-2</v>
      </c>
      <c r="M230" s="90">
        <f ca="1">M220*IFERROR('Get Started  3'!$E42/'Get Started  3'!$E43,0)</f>
        <v>2.7270833333333338E-2</v>
      </c>
      <c r="N230" s="90">
        <f ca="1">N220*IFERROR('Get Started  3'!$E42/'Get Started  3'!$E43,0)</f>
        <v>2.7270833333333338E-2</v>
      </c>
      <c r="O230" s="90">
        <f ca="1">O220*IFERROR('Get Started  3'!$E42/'Get Started  3'!$E43,0)</f>
        <v>2.7270833333333338E-2</v>
      </c>
      <c r="P230" s="90">
        <f ca="1">P220*IFERROR('Get Started  3'!$E42/'Get Started  3'!$E43,0)</f>
        <v>2.7270833333333338E-2</v>
      </c>
      <c r="Q230" s="90">
        <f ca="1">Q220*IFERROR('Get Started  3'!$E42/'Get Started  3'!$E43,0)</f>
        <v>2.7270833333333338E-2</v>
      </c>
      <c r="R230" s="90">
        <f ca="1">R220*IFERROR('Get Started  3'!$E42/'Get Started  3'!$E43,0)</f>
        <v>2.7270833333333338E-2</v>
      </c>
      <c r="S230" s="90">
        <f ca="1">S220*IFERROR('Get Started  3'!$E42/'Get Started  3'!$E43,0)</f>
        <v>3.1815972222222225E-2</v>
      </c>
      <c r="T230" s="90">
        <f ca="1">T220*IFERROR('Get Started  3'!$E42/'Get Started  3'!$E43,0)</f>
        <v>3.1815972222222225E-2</v>
      </c>
      <c r="U230" s="90">
        <f ca="1">U220*IFERROR('Get Started  3'!$E42/'Get Started  3'!$E43,0)</f>
        <v>3.1815972222222225E-2</v>
      </c>
      <c r="V230" s="90">
        <f ca="1">V220*IFERROR('Get Started  3'!$E42/'Get Started  3'!$E43,0)</f>
        <v>3.1815972222222225E-2</v>
      </c>
      <c r="W230" s="90">
        <f ca="1">W220*IFERROR('Get Started  3'!$E42/'Get Started  3'!$E43,0)</f>
        <v>0</v>
      </c>
      <c r="X230" s="90">
        <f ca="1">X220*IFERROR('Get Started  3'!$E42/'Get Started  3'!$E43,0)</f>
        <v>0</v>
      </c>
      <c r="Y230" s="90">
        <f ca="1">Y220*IFERROR('Get Started  3'!$E42/'Get Started  3'!$E43,0)</f>
        <v>0</v>
      </c>
      <c r="Z230" s="90">
        <f ca="1">Z220*IFERROR('Get Started  3'!$E42/'Get Started  3'!$E43,0)</f>
        <v>0</v>
      </c>
      <c r="AA230" s="90">
        <f ca="1">AA220*IFERROR('Get Started  3'!$E42/'Get Started  3'!$E43,0)</f>
        <v>0</v>
      </c>
      <c r="AB230" s="90">
        <f ca="1">AB220*IFERROR('Get Started  3'!$E42/'Get Started  3'!$E43,0)</f>
        <v>0</v>
      </c>
      <c r="AC230" s="90">
        <f ca="1">AC220*IFERROR('Get Started  3'!$E42/'Get Started  3'!$E43,0)</f>
        <v>0</v>
      </c>
      <c r="AD230" s="90">
        <f ca="1">AD220*IFERROR('Get Started  3'!$E42/'Get Started  3'!$E43,0)</f>
        <v>0</v>
      </c>
      <c r="AE230" s="90">
        <f ca="1">AE220*IFERROR('Get Started  3'!$E42/'Get Started  3'!$E43,0)</f>
        <v>0</v>
      </c>
      <c r="AF230" s="90">
        <f ca="1">AF220*IFERROR('Get Started  3'!$E42/'Get Started  3'!$E43,0)</f>
        <v>0</v>
      </c>
      <c r="AG230" s="90">
        <f ca="1">AG220*IFERROR('Get Started  3'!$E42/'Get Started  3'!$E43,0)</f>
        <v>0</v>
      </c>
      <c r="AH230" s="90">
        <f ca="1">AH220*IFERROR('Get Started  3'!$E42/'Get Started  3'!$E43,0)</f>
        <v>0</v>
      </c>
      <c r="AI230" s="90">
        <f ca="1">AI220*IFERROR('Get Started  3'!$E42/'Get Started  3'!$E43,0)</f>
        <v>0</v>
      </c>
      <c r="AJ230" s="90">
        <f ca="1">AJ220*IFERROR('Get Started  3'!$E42/'Get Started  3'!$E43,0)</f>
        <v>0</v>
      </c>
      <c r="AK230" s="90">
        <f ca="1">AK220*IFERROR('Get Started  3'!$E42/'Get Started  3'!$E43,0)</f>
        <v>0</v>
      </c>
      <c r="AL230" s="90">
        <f ca="1">AL220*IFERROR('Get Started  3'!$E42/'Get Started  3'!$E43,0)</f>
        <v>0</v>
      </c>
      <c r="AM230" s="90">
        <f ca="1">AM220*IFERROR('Get Started  3'!$E42/'Get Started  3'!$E43,0)</f>
        <v>0</v>
      </c>
      <c r="AN230" s="90">
        <f ca="1">AN220*IFERROR('Get Started  3'!$E42/'Get Started  3'!$E43,0)</f>
        <v>0</v>
      </c>
      <c r="AO230" s="90">
        <f ca="1">AO220*IFERROR('Get Started  3'!$E42/'Get Started  3'!$E43,0)</f>
        <v>0</v>
      </c>
      <c r="AP230" s="90">
        <f ca="1">AP220*IFERROR('Get Started  3'!$E42/'Get Started  3'!$E43,0)</f>
        <v>0</v>
      </c>
      <c r="AQ230" s="90">
        <f ca="1">AQ220*IFERROR('Get Started  3'!$E42/'Get Started  3'!$E43,0)</f>
        <v>0</v>
      </c>
      <c r="AR230" s="90">
        <f ca="1">AR220*IFERROR('Get Started  3'!$E42/'Get Started  3'!$E43,0)</f>
        <v>0</v>
      </c>
      <c r="AS230" s="90">
        <f ca="1">AS220*IFERROR('Get Started  3'!$E42/'Get Started  3'!$E43,0)</f>
        <v>0</v>
      </c>
      <c r="AT230" s="90">
        <f ca="1">AT220*IFERROR('Get Started  3'!$E42/'Get Started  3'!$E43,0)</f>
        <v>0</v>
      </c>
      <c r="AU230" s="90">
        <f ca="1">AU220*IFERROR('Get Started  3'!$E42/'Get Started  3'!$E43,0)</f>
        <v>0</v>
      </c>
      <c r="AV230" s="90">
        <f ca="1">AV220*IFERROR('Get Started  3'!$E42/'Get Started  3'!$E43,0)</f>
        <v>0</v>
      </c>
      <c r="AW230" s="90">
        <f ca="1">AW220*IFERROR('Get Started  3'!$E42/'Get Started  3'!$E43,0)</f>
        <v>0</v>
      </c>
      <c r="AX230" s="90">
        <f ca="1">AX220*IFERROR('Get Started  3'!$E42/'Get Started  3'!$E43,0)</f>
        <v>0</v>
      </c>
      <c r="AY230" s="90">
        <f ca="1">AY220*IFERROR('Get Started  3'!$E42/'Get Started  3'!$E43,0)</f>
        <v>0</v>
      </c>
      <c r="AZ230" s="90">
        <f ca="1">AZ220*IFERROR('Get Started  3'!$E42/'Get Started  3'!$E43,0)</f>
        <v>0</v>
      </c>
      <c r="BA230" s="90">
        <f ca="1">BA220*IFERROR('Get Started  3'!$E42/'Get Started  3'!$E43,0)</f>
        <v>0</v>
      </c>
      <c r="BB230" s="90">
        <f ca="1">BB220*IFERROR('Get Started  3'!$E42/'Get Started  3'!$E43,0)</f>
        <v>0</v>
      </c>
      <c r="BC230" s="90">
        <f ca="1">BC220*IFERROR('Get Started  3'!$E42/'Get Started  3'!$E43,0)</f>
        <v>0</v>
      </c>
      <c r="BD230" s="90">
        <f ca="1">BD220*IFERROR('Get Started  3'!$E42/'Get Started  3'!$E43,0)</f>
        <v>0</v>
      </c>
      <c r="BE230" s="90">
        <f ca="1">BE220*IFERROR('Get Started  3'!$E42/'Get Started  3'!$E43,0)</f>
        <v>0</v>
      </c>
      <c r="BF230" s="90">
        <f ca="1">BF220*IFERROR('Get Started  3'!$E42/'Get Started  3'!$E43,0)</f>
        <v>0</v>
      </c>
      <c r="BG230" s="90">
        <f ca="1">BG220*IFERROR('Get Started  3'!$E42/'Get Started  3'!$E43,0)</f>
        <v>0</v>
      </c>
      <c r="BH230" s="90">
        <f ca="1">BH220*IFERROR('Get Started  3'!$E42/'Get Started  3'!$E43,0)</f>
        <v>0</v>
      </c>
      <c r="BI230" s="90">
        <f ca="1">BI220*IFERROR('Get Started  3'!$E42/'Get Started  3'!$E43,0)</f>
        <v>0</v>
      </c>
      <c r="BJ230" s="90">
        <f ca="1">BJ220*IFERROR('Get Started  3'!$E42/'Get Started  3'!$E43,0)</f>
        <v>0</v>
      </c>
      <c r="BK230" s="90">
        <f ca="1">BK220*IFERROR('Get Started  3'!$E42/'Get Started  3'!$E43,0)</f>
        <v>0</v>
      </c>
      <c r="BL230" s="90">
        <f ca="1">BL220*IFERROR('Get Started  3'!$E42/'Get Started  3'!$E43,0)</f>
        <v>0</v>
      </c>
      <c r="BM230" s="90">
        <f ca="1">BM220*IFERROR('Get Started  3'!$E42/'Get Started  3'!$E43,0)</f>
        <v>0</v>
      </c>
      <c r="BN230" s="90">
        <f ca="1">BN220*IFERROR('Get Started  3'!$E42/'Get Started  3'!$E43,0)</f>
        <v>0</v>
      </c>
      <c r="BO230" s="90">
        <f ca="1">BO220*IFERROR('Get Started  3'!$E42/'Get Started  3'!$E43,0)</f>
        <v>0</v>
      </c>
      <c r="BP230" s="90">
        <f ca="1">BP220*IFERROR('Get Started  3'!$E42/'Get Started  3'!$E43,0)</f>
        <v>0</v>
      </c>
      <c r="BQ230" s="90">
        <f ca="1">BQ220*IFERROR('Get Started  3'!$E42/'Get Started  3'!$E43,0)</f>
        <v>0</v>
      </c>
      <c r="BR230" s="90">
        <f ca="1">BR220*IFERROR('Get Started  3'!$E42/'Get Started  3'!$E43,0)</f>
        <v>0</v>
      </c>
      <c r="BS230" s="90">
        <f ca="1">BS220*IFERROR('Get Started  3'!$E42/'Get Started  3'!$E43,0)</f>
        <v>0</v>
      </c>
      <c r="BT230" s="90">
        <f ca="1">BT220*IFERROR('Get Started  3'!$E42/'Get Started  3'!$E43,0)</f>
        <v>0</v>
      </c>
      <c r="BU230" s="90">
        <f ca="1">BU220*IFERROR('Get Started  3'!$E42/'Get Started  3'!$E43,0)</f>
        <v>0</v>
      </c>
      <c r="BV230" s="90">
        <f ca="1">BV220*IFERROR('Get Started  3'!$E42/'Get Started  3'!$E43,0)</f>
        <v>0</v>
      </c>
      <c r="BW230" s="90">
        <f ca="1">BW220*IFERROR('Get Started  3'!$E42/'Get Started  3'!$E43,0)</f>
        <v>0</v>
      </c>
      <c r="BX230" s="90">
        <f ca="1">BX220*IFERROR('Get Started  3'!$E42/'Get Started  3'!$E43,0)</f>
        <v>0</v>
      </c>
      <c r="BY230" s="90">
        <f ca="1">BY220*IFERROR('Get Started  3'!$E42/'Get Started  3'!$E43,0)</f>
        <v>0</v>
      </c>
      <c r="BZ230" s="90">
        <f ca="1">BZ220*IFERROR('Get Started  3'!$E42/'Get Started  3'!$E43,0)</f>
        <v>0</v>
      </c>
      <c r="CA230" s="90">
        <f ca="1">CA220*IFERROR('Get Started  3'!$E42/'Get Started  3'!$E43,0)</f>
        <v>0</v>
      </c>
      <c r="CB230" s="90">
        <f ca="1">CB220*IFERROR('Get Started  3'!$E42/'Get Started  3'!$E43,0)</f>
        <v>0</v>
      </c>
      <c r="CC230" s="90">
        <f ca="1">CC220*IFERROR('Get Started  3'!$E42/'Get Started  3'!$E43,0)</f>
        <v>0</v>
      </c>
      <c r="CD230" s="90">
        <f ca="1">CD220*IFERROR('Get Started  3'!$E42/'Get Started  3'!$E43,0)</f>
        <v>0</v>
      </c>
      <c r="CE230" s="90">
        <f ca="1">CE220*IFERROR('Get Started  3'!$E42/'Get Started  3'!$E43,0)</f>
        <v>0</v>
      </c>
      <c r="CF230" s="90">
        <f ca="1">CF220*IFERROR('Get Started  3'!$E42/'Get Started  3'!$E43,0)</f>
        <v>0</v>
      </c>
      <c r="CG230" s="90">
        <f ca="1">CG220*IFERROR('Get Started  3'!$E42/'Get Started  3'!$E43,0)</f>
        <v>0</v>
      </c>
      <c r="CH230" s="90">
        <f ca="1">CH220*IFERROR('Get Started  3'!$E42/'Get Started  3'!$E43,0)</f>
        <v>0</v>
      </c>
    </row>
    <row r="231" spans="1:86" ht="13" outlineLevel="1">
      <c r="A231" s="13"/>
      <c r="B231" s="13" t="s">
        <v>330</v>
      </c>
      <c r="C231" s="13"/>
      <c r="D231" s="13" t="s">
        <v>238</v>
      </c>
      <c r="E231" s="88">
        <f t="shared" ca="1" si="170"/>
        <v>0.13368055555555561</v>
      </c>
      <c r="F231" s="48"/>
      <c r="G231" s="90">
        <f ca="1">G221*IFERROR('Get Started  3'!$F42/'Get Started  3'!$F43,0)</f>
        <v>8.0208333333333364E-3</v>
      </c>
      <c r="H231" s="90">
        <f ca="1">H221*IFERROR('Get Started  3'!$F42/'Get Started  3'!$F43,0)</f>
        <v>8.0208333333333364E-3</v>
      </c>
      <c r="I231" s="90">
        <f ca="1">I221*IFERROR('Get Started  3'!$F42/'Get Started  3'!$F43,0)</f>
        <v>8.0208333333333364E-3</v>
      </c>
      <c r="J231" s="90">
        <f ca="1">J221*IFERROR('Get Started  3'!$F42/'Get Started  3'!$F43,0)</f>
        <v>8.0208333333333364E-3</v>
      </c>
      <c r="K231" s="90">
        <f ca="1">K221*IFERROR('Get Started  3'!$F42/'Get Started  3'!$F43,0)</f>
        <v>8.0208333333333364E-3</v>
      </c>
      <c r="L231" s="90">
        <f ca="1">L221*IFERROR('Get Started  3'!$F42/'Get Started  3'!$F43,0)</f>
        <v>8.0208333333333364E-3</v>
      </c>
      <c r="M231" s="90">
        <f ca="1">M221*IFERROR('Get Started  3'!$F42/'Get Started  3'!$F43,0)</f>
        <v>8.0208333333333364E-3</v>
      </c>
      <c r="N231" s="90">
        <f ca="1">N221*IFERROR('Get Started  3'!$F42/'Get Started  3'!$F43,0)</f>
        <v>8.0208333333333364E-3</v>
      </c>
      <c r="O231" s="90">
        <f ca="1">O221*IFERROR('Get Started  3'!$F42/'Get Started  3'!$F43,0)</f>
        <v>8.0208333333333364E-3</v>
      </c>
      <c r="P231" s="90">
        <f ca="1">P221*IFERROR('Get Started  3'!$F42/'Get Started  3'!$F43,0)</f>
        <v>8.0208333333333364E-3</v>
      </c>
      <c r="Q231" s="90">
        <f ca="1">Q221*IFERROR('Get Started  3'!$F42/'Get Started  3'!$F43,0)</f>
        <v>8.0208333333333364E-3</v>
      </c>
      <c r="R231" s="90">
        <f ca="1">R221*IFERROR('Get Started  3'!$F42/'Get Started  3'!$F43,0)</f>
        <v>8.0208333333333364E-3</v>
      </c>
      <c r="S231" s="90">
        <f ca="1">S221*IFERROR('Get Started  3'!$F42/'Get Started  3'!$F43,0)</f>
        <v>9.3576388888888928E-3</v>
      </c>
      <c r="T231" s="90">
        <f ca="1">T221*IFERROR('Get Started  3'!$F42/'Get Started  3'!$F43,0)</f>
        <v>9.3576388888888928E-3</v>
      </c>
      <c r="U231" s="90">
        <f ca="1">U221*IFERROR('Get Started  3'!$F42/'Get Started  3'!$F43,0)</f>
        <v>9.3576388888888928E-3</v>
      </c>
      <c r="V231" s="90">
        <f ca="1">V221*IFERROR('Get Started  3'!$F42/'Get Started  3'!$F43,0)</f>
        <v>9.3576388888888928E-3</v>
      </c>
      <c r="W231" s="90">
        <f ca="1">W221*IFERROR('Get Started  3'!$F42/'Get Started  3'!$F43,0)</f>
        <v>0</v>
      </c>
      <c r="X231" s="90">
        <f ca="1">X221*IFERROR('Get Started  3'!$F42/'Get Started  3'!$F43,0)</f>
        <v>0</v>
      </c>
      <c r="Y231" s="90">
        <f ca="1">Y221*IFERROR('Get Started  3'!$F42/'Get Started  3'!$F43,0)</f>
        <v>0</v>
      </c>
      <c r="Z231" s="90">
        <f ca="1">Z221*IFERROR('Get Started  3'!$F42/'Get Started  3'!$F43,0)</f>
        <v>0</v>
      </c>
      <c r="AA231" s="90">
        <f ca="1">AA221*IFERROR('Get Started  3'!$F42/'Get Started  3'!$F43,0)</f>
        <v>0</v>
      </c>
      <c r="AB231" s="90">
        <f ca="1">AB221*IFERROR('Get Started  3'!$F42/'Get Started  3'!$F43,0)</f>
        <v>0</v>
      </c>
      <c r="AC231" s="90">
        <f ca="1">AC221*IFERROR('Get Started  3'!$F42/'Get Started  3'!$F43,0)</f>
        <v>0</v>
      </c>
      <c r="AD231" s="90">
        <f ca="1">AD221*IFERROR('Get Started  3'!$F42/'Get Started  3'!$F43,0)</f>
        <v>0</v>
      </c>
      <c r="AE231" s="90">
        <f ca="1">AE221*IFERROR('Get Started  3'!$F42/'Get Started  3'!$F43,0)</f>
        <v>0</v>
      </c>
      <c r="AF231" s="90">
        <f ca="1">AF221*IFERROR('Get Started  3'!$F42/'Get Started  3'!$F43,0)</f>
        <v>0</v>
      </c>
      <c r="AG231" s="90">
        <f ca="1">AG221*IFERROR('Get Started  3'!$F42/'Get Started  3'!$F43,0)</f>
        <v>0</v>
      </c>
      <c r="AH231" s="90">
        <f ca="1">AH221*IFERROR('Get Started  3'!$F42/'Get Started  3'!$F43,0)</f>
        <v>0</v>
      </c>
      <c r="AI231" s="90">
        <f ca="1">AI221*IFERROR('Get Started  3'!$F42/'Get Started  3'!$F43,0)</f>
        <v>0</v>
      </c>
      <c r="AJ231" s="90">
        <f ca="1">AJ221*IFERROR('Get Started  3'!$F42/'Get Started  3'!$F43,0)</f>
        <v>0</v>
      </c>
      <c r="AK231" s="90">
        <f ca="1">AK221*IFERROR('Get Started  3'!$F42/'Get Started  3'!$F43,0)</f>
        <v>0</v>
      </c>
      <c r="AL231" s="90">
        <f ca="1">AL221*IFERROR('Get Started  3'!$F42/'Get Started  3'!$F43,0)</f>
        <v>0</v>
      </c>
      <c r="AM231" s="90">
        <f ca="1">AM221*IFERROR('Get Started  3'!$F42/'Get Started  3'!$F43,0)</f>
        <v>0</v>
      </c>
      <c r="AN231" s="90">
        <f ca="1">AN221*IFERROR('Get Started  3'!$F42/'Get Started  3'!$F43,0)</f>
        <v>0</v>
      </c>
      <c r="AO231" s="90">
        <f ca="1">AO221*IFERROR('Get Started  3'!$F42/'Get Started  3'!$F43,0)</f>
        <v>0</v>
      </c>
      <c r="AP231" s="90">
        <f ca="1">AP221*IFERROR('Get Started  3'!$F42/'Get Started  3'!$F43,0)</f>
        <v>0</v>
      </c>
      <c r="AQ231" s="90">
        <f ca="1">AQ221*IFERROR('Get Started  3'!$F42/'Get Started  3'!$F43,0)</f>
        <v>0</v>
      </c>
      <c r="AR231" s="90">
        <f ca="1">AR221*IFERROR('Get Started  3'!$F42/'Get Started  3'!$F43,0)</f>
        <v>0</v>
      </c>
      <c r="AS231" s="90">
        <f ca="1">AS221*IFERROR('Get Started  3'!$F42/'Get Started  3'!$F43,0)</f>
        <v>0</v>
      </c>
      <c r="AT231" s="90">
        <f ca="1">AT221*IFERROR('Get Started  3'!$F42/'Get Started  3'!$F43,0)</f>
        <v>0</v>
      </c>
      <c r="AU231" s="90">
        <f ca="1">AU221*IFERROR('Get Started  3'!$F42/'Get Started  3'!$F43,0)</f>
        <v>0</v>
      </c>
      <c r="AV231" s="90">
        <f ca="1">AV221*IFERROR('Get Started  3'!$F42/'Get Started  3'!$F43,0)</f>
        <v>0</v>
      </c>
      <c r="AW231" s="90">
        <f ca="1">AW221*IFERROR('Get Started  3'!$F42/'Get Started  3'!$F43,0)</f>
        <v>0</v>
      </c>
      <c r="AX231" s="90">
        <f ca="1">AX221*IFERROR('Get Started  3'!$F42/'Get Started  3'!$F43,0)</f>
        <v>0</v>
      </c>
      <c r="AY231" s="90">
        <f ca="1">AY221*IFERROR('Get Started  3'!$F42/'Get Started  3'!$F43,0)</f>
        <v>0</v>
      </c>
      <c r="AZ231" s="90">
        <f ca="1">AZ221*IFERROR('Get Started  3'!$F42/'Get Started  3'!$F43,0)</f>
        <v>0</v>
      </c>
      <c r="BA231" s="90">
        <f ca="1">BA221*IFERROR('Get Started  3'!$F42/'Get Started  3'!$F43,0)</f>
        <v>0</v>
      </c>
      <c r="BB231" s="90">
        <f ca="1">BB221*IFERROR('Get Started  3'!$F42/'Get Started  3'!$F43,0)</f>
        <v>0</v>
      </c>
      <c r="BC231" s="90">
        <f ca="1">BC221*IFERROR('Get Started  3'!$F42/'Get Started  3'!$F43,0)</f>
        <v>0</v>
      </c>
      <c r="BD231" s="90">
        <f ca="1">BD221*IFERROR('Get Started  3'!$F42/'Get Started  3'!$F43,0)</f>
        <v>0</v>
      </c>
      <c r="BE231" s="90">
        <f ca="1">BE221*IFERROR('Get Started  3'!$F42/'Get Started  3'!$F43,0)</f>
        <v>0</v>
      </c>
      <c r="BF231" s="90">
        <f ca="1">BF221*IFERROR('Get Started  3'!$F42/'Get Started  3'!$F43,0)</f>
        <v>0</v>
      </c>
      <c r="BG231" s="90">
        <f ca="1">BG221*IFERROR('Get Started  3'!$F42/'Get Started  3'!$F43,0)</f>
        <v>0</v>
      </c>
      <c r="BH231" s="90">
        <f ca="1">BH221*IFERROR('Get Started  3'!$F42/'Get Started  3'!$F43,0)</f>
        <v>0</v>
      </c>
      <c r="BI231" s="90">
        <f ca="1">BI221*IFERROR('Get Started  3'!$F42/'Get Started  3'!$F43,0)</f>
        <v>0</v>
      </c>
      <c r="BJ231" s="90">
        <f ca="1">BJ221*IFERROR('Get Started  3'!$F42/'Get Started  3'!$F43,0)</f>
        <v>0</v>
      </c>
      <c r="BK231" s="90">
        <f ca="1">BK221*IFERROR('Get Started  3'!$F42/'Get Started  3'!$F43,0)</f>
        <v>0</v>
      </c>
      <c r="BL231" s="90">
        <f ca="1">BL221*IFERROR('Get Started  3'!$F42/'Get Started  3'!$F43,0)</f>
        <v>0</v>
      </c>
      <c r="BM231" s="90">
        <f ca="1">BM221*IFERROR('Get Started  3'!$F42/'Get Started  3'!$F43,0)</f>
        <v>0</v>
      </c>
      <c r="BN231" s="90">
        <f ca="1">BN221*IFERROR('Get Started  3'!$F42/'Get Started  3'!$F43,0)</f>
        <v>0</v>
      </c>
      <c r="BO231" s="90">
        <f ca="1">BO221*IFERROR('Get Started  3'!$F42/'Get Started  3'!$F43,0)</f>
        <v>0</v>
      </c>
      <c r="BP231" s="90">
        <f ca="1">BP221*IFERROR('Get Started  3'!$F42/'Get Started  3'!$F43,0)</f>
        <v>0</v>
      </c>
      <c r="BQ231" s="90">
        <f ca="1">BQ221*IFERROR('Get Started  3'!$F42/'Get Started  3'!$F43,0)</f>
        <v>0</v>
      </c>
      <c r="BR231" s="90">
        <f ca="1">BR221*IFERROR('Get Started  3'!$F42/'Get Started  3'!$F43,0)</f>
        <v>0</v>
      </c>
      <c r="BS231" s="90">
        <f ca="1">BS221*IFERROR('Get Started  3'!$F42/'Get Started  3'!$F43,0)</f>
        <v>0</v>
      </c>
      <c r="BT231" s="90">
        <f ca="1">BT221*IFERROR('Get Started  3'!$F42/'Get Started  3'!$F43,0)</f>
        <v>0</v>
      </c>
      <c r="BU231" s="90">
        <f ca="1">BU221*IFERROR('Get Started  3'!$F42/'Get Started  3'!$F43,0)</f>
        <v>0</v>
      </c>
      <c r="BV231" s="90">
        <f ca="1">BV221*IFERROR('Get Started  3'!$F42/'Get Started  3'!$F43,0)</f>
        <v>0</v>
      </c>
      <c r="BW231" s="90">
        <f ca="1">BW221*IFERROR('Get Started  3'!$F42/'Get Started  3'!$F43,0)</f>
        <v>0</v>
      </c>
      <c r="BX231" s="90">
        <f ca="1">BX221*IFERROR('Get Started  3'!$F42/'Get Started  3'!$F43,0)</f>
        <v>0</v>
      </c>
      <c r="BY231" s="90">
        <f ca="1">BY221*IFERROR('Get Started  3'!$F42/'Get Started  3'!$F43,0)</f>
        <v>0</v>
      </c>
      <c r="BZ231" s="90">
        <f ca="1">BZ221*IFERROR('Get Started  3'!$F42/'Get Started  3'!$F43,0)</f>
        <v>0</v>
      </c>
      <c r="CA231" s="90">
        <f ca="1">CA221*IFERROR('Get Started  3'!$F42/'Get Started  3'!$F43,0)</f>
        <v>0</v>
      </c>
      <c r="CB231" s="90">
        <f ca="1">CB221*IFERROR('Get Started  3'!$F42/'Get Started  3'!$F43,0)</f>
        <v>0</v>
      </c>
      <c r="CC231" s="90">
        <f ca="1">CC221*IFERROR('Get Started  3'!$F42/'Get Started  3'!$F43,0)</f>
        <v>0</v>
      </c>
      <c r="CD231" s="90">
        <f ca="1">CD221*IFERROR('Get Started  3'!$F42/'Get Started  3'!$F43,0)</f>
        <v>0</v>
      </c>
      <c r="CE231" s="90">
        <f ca="1">CE221*IFERROR('Get Started  3'!$F42/'Get Started  3'!$F43,0)</f>
        <v>0</v>
      </c>
      <c r="CF231" s="90">
        <f ca="1">CF221*IFERROR('Get Started  3'!$F42/'Get Started  3'!$F43,0)</f>
        <v>0</v>
      </c>
      <c r="CG231" s="90">
        <f ca="1">CG221*IFERROR('Get Started  3'!$F42/'Get Started  3'!$F43,0)</f>
        <v>0</v>
      </c>
      <c r="CH231" s="90">
        <f ca="1">CH221*IFERROR('Get Started  3'!$F42/'Get Started  3'!$F43,0)</f>
        <v>0</v>
      </c>
    </row>
    <row r="232" spans="1:86" ht="13" outlineLevel="1">
      <c r="A232" s="13"/>
      <c r="B232" s="13" t="s">
        <v>330</v>
      </c>
      <c r="C232" s="13"/>
      <c r="D232" s="13" t="s">
        <v>238</v>
      </c>
      <c r="E232" s="88">
        <f t="shared" ca="1" si="170"/>
        <v>5.1333333333333349E-2</v>
      </c>
      <c r="F232" s="48"/>
      <c r="G232" s="90">
        <f ca="1">G222*IFERROR('Get Started  3'!$G42/'Get Started  3'!$G43,0)</f>
        <v>3.2083333333333343E-3</v>
      </c>
      <c r="H232" s="90">
        <f ca="1">H222*IFERROR('Get Started  3'!$G42/'Get Started  3'!$G43,0)</f>
        <v>3.2083333333333343E-3</v>
      </c>
      <c r="I232" s="90">
        <f ca="1">I222*IFERROR('Get Started  3'!$G42/'Get Started  3'!$G43,0)</f>
        <v>3.2083333333333343E-3</v>
      </c>
      <c r="J232" s="90">
        <f ca="1">J222*IFERROR('Get Started  3'!$G42/'Get Started  3'!$G43,0)</f>
        <v>3.2083333333333343E-3</v>
      </c>
      <c r="K232" s="90">
        <f ca="1">K222*IFERROR('Get Started  3'!$G42/'Get Started  3'!$G43,0)</f>
        <v>3.2083333333333343E-3</v>
      </c>
      <c r="L232" s="90">
        <f ca="1">L222*IFERROR('Get Started  3'!$G42/'Get Started  3'!$G43,0)</f>
        <v>3.2083333333333343E-3</v>
      </c>
      <c r="M232" s="90">
        <f ca="1">M222*IFERROR('Get Started  3'!$G42/'Get Started  3'!$G43,0)</f>
        <v>3.2083333333333343E-3</v>
      </c>
      <c r="N232" s="90">
        <f ca="1">N222*IFERROR('Get Started  3'!$G42/'Get Started  3'!$G43,0)</f>
        <v>3.2083333333333343E-3</v>
      </c>
      <c r="O232" s="90">
        <f ca="1">O222*IFERROR('Get Started  3'!$G42/'Get Started  3'!$G43,0)</f>
        <v>3.2083333333333343E-3</v>
      </c>
      <c r="P232" s="90">
        <f ca="1">P222*IFERROR('Get Started  3'!$G42/'Get Started  3'!$G43,0)</f>
        <v>3.2083333333333343E-3</v>
      </c>
      <c r="Q232" s="90">
        <f ca="1">Q222*IFERROR('Get Started  3'!$G42/'Get Started  3'!$G43,0)</f>
        <v>3.2083333333333343E-3</v>
      </c>
      <c r="R232" s="90">
        <f ca="1">R222*IFERROR('Get Started  3'!$G42/'Get Started  3'!$G43,0)</f>
        <v>3.2083333333333343E-3</v>
      </c>
      <c r="S232" s="90">
        <f ca="1">S222*IFERROR('Get Started  3'!$G42/'Get Started  3'!$G43,0)</f>
        <v>3.2083333333333343E-3</v>
      </c>
      <c r="T232" s="90">
        <f ca="1">T222*IFERROR('Get Started  3'!$G42/'Get Started  3'!$G43,0)</f>
        <v>3.2083333333333343E-3</v>
      </c>
      <c r="U232" s="90">
        <f ca="1">U222*IFERROR('Get Started  3'!$G42/'Get Started  3'!$G43,0)</f>
        <v>3.2083333333333343E-3</v>
      </c>
      <c r="V232" s="90">
        <f ca="1">V222*IFERROR('Get Started  3'!$G42/'Get Started  3'!$G43,0)</f>
        <v>3.2083333333333343E-3</v>
      </c>
      <c r="W232" s="90">
        <f ca="1">W222*IFERROR('Get Started  3'!$G42/'Get Started  3'!$G43,0)</f>
        <v>0</v>
      </c>
      <c r="X232" s="90">
        <f ca="1">X222*IFERROR('Get Started  3'!$G42/'Get Started  3'!$G43,0)</f>
        <v>0</v>
      </c>
      <c r="Y232" s="90">
        <f ca="1">Y222*IFERROR('Get Started  3'!$G42/'Get Started  3'!$G43,0)</f>
        <v>0</v>
      </c>
      <c r="Z232" s="90">
        <f ca="1">Z222*IFERROR('Get Started  3'!$G42/'Get Started  3'!$G43,0)</f>
        <v>0</v>
      </c>
      <c r="AA232" s="90">
        <f ca="1">AA222*IFERROR('Get Started  3'!$G42/'Get Started  3'!$G43,0)</f>
        <v>0</v>
      </c>
      <c r="AB232" s="90">
        <f ca="1">AB222*IFERROR('Get Started  3'!$G42/'Get Started  3'!$G43,0)</f>
        <v>0</v>
      </c>
      <c r="AC232" s="90">
        <f ca="1">AC222*IFERROR('Get Started  3'!$G42/'Get Started  3'!$G43,0)</f>
        <v>0</v>
      </c>
      <c r="AD232" s="90">
        <f ca="1">AD222*IFERROR('Get Started  3'!$G42/'Get Started  3'!$G43,0)</f>
        <v>0</v>
      </c>
      <c r="AE232" s="90">
        <f ca="1">AE222*IFERROR('Get Started  3'!$G42/'Get Started  3'!$G43,0)</f>
        <v>0</v>
      </c>
      <c r="AF232" s="90">
        <f ca="1">AF222*IFERROR('Get Started  3'!$G42/'Get Started  3'!$G43,0)</f>
        <v>0</v>
      </c>
      <c r="AG232" s="90">
        <f ca="1">AG222*IFERROR('Get Started  3'!$G42/'Get Started  3'!$G43,0)</f>
        <v>0</v>
      </c>
      <c r="AH232" s="90">
        <f ca="1">AH222*IFERROR('Get Started  3'!$G42/'Get Started  3'!$G43,0)</f>
        <v>0</v>
      </c>
      <c r="AI232" s="90">
        <f ca="1">AI222*IFERROR('Get Started  3'!$G42/'Get Started  3'!$G43,0)</f>
        <v>0</v>
      </c>
      <c r="AJ232" s="90">
        <f ca="1">AJ222*IFERROR('Get Started  3'!$G42/'Get Started  3'!$G43,0)</f>
        <v>0</v>
      </c>
      <c r="AK232" s="90">
        <f ca="1">AK222*IFERROR('Get Started  3'!$G42/'Get Started  3'!$G43,0)</f>
        <v>0</v>
      </c>
      <c r="AL232" s="90">
        <f ca="1">AL222*IFERROR('Get Started  3'!$G42/'Get Started  3'!$G43,0)</f>
        <v>0</v>
      </c>
      <c r="AM232" s="90">
        <f ca="1">AM222*IFERROR('Get Started  3'!$G42/'Get Started  3'!$G43,0)</f>
        <v>0</v>
      </c>
      <c r="AN232" s="90">
        <f ca="1">AN222*IFERROR('Get Started  3'!$G42/'Get Started  3'!$G43,0)</f>
        <v>0</v>
      </c>
      <c r="AO232" s="90">
        <f ca="1">AO222*IFERROR('Get Started  3'!$G42/'Get Started  3'!$G43,0)</f>
        <v>0</v>
      </c>
      <c r="AP232" s="90">
        <f ca="1">AP222*IFERROR('Get Started  3'!$G42/'Get Started  3'!$G43,0)</f>
        <v>0</v>
      </c>
      <c r="AQ232" s="90">
        <f ca="1">AQ222*IFERROR('Get Started  3'!$G42/'Get Started  3'!$G43,0)</f>
        <v>0</v>
      </c>
      <c r="AR232" s="90">
        <f ca="1">AR222*IFERROR('Get Started  3'!$G42/'Get Started  3'!$G43,0)</f>
        <v>0</v>
      </c>
      <c r="AS232" s="90">
        <f ca="1">AS222*IFERROR('Get Started  3'!$G42/'Get Started  3'!$G43,0)</f>
        <v>0</v>
      </c>
      <c r="AT232" s="90">
        <f ca="1">AT222*IFERROR('Get Started  3'!$G42/'Get Started  3'!$G43,0)</f>
        <v>0</v>
      </c>
      <c r="AU232" s="90">
        <f ca="1">AU222*IFERROR('Get Started  3'!$G42/'Get Started  3'!$G43,0)</f>
        <v>0</v>
      </c>
      <c r="AV232" s="90">
        <f ca="1">AV222*IFERROR('Get Started  3'!$G42/'Get Started  3'!$G43,0)</f>
        <v>0</v>
      </c>
      <c r="AW232" s="90">
        <f ca="1">AW222*IFERROR('Get Started  3'!$G42/'Get Started  3'!$G43,0)</f>
        <v>0</v>
      </c>
      <c r="AX232" s="90">
        <f ca="1">AX222*IFERROR('Get Started  3'!$G42/'Get Started  3'!$G43,0)</f>
        <v>0</v>
      </c>
      <c r="AY232" s="90">
        <f ca="1">AY222*IFERROR('Get Started  3'!$G42/'Get Started  3'!$G43,0)</f>
        <v>0</v>
      </c>
      <c r="AZ232" s="90">
        <f ca="1">AZ222*IFERROR('Get Started  3'!$G42/'Get Started  3'!$G43,0)</f>
        <v>0</v>
      </c>
      <c r="BA232" s="90">
        <f ca="1">BA222*IFERROR('Get Started  3'!$G42/'Get Started  3'!$G43,0)</f>
        <v>0</v>
      </c>
      <c r="BB232" s="90">
        <f ca="1">BB222*IFERROR('Get Started  3'!$G42/'Get Started  3'!$G43,0)</f>
        <v>0</v>
      </c>
      <c r="BC232" s="90">
        <f ca="1">BC222*IFERROR('Get Started  3'!$G42/'Get Started  3'!$G43,0)</f>
        <v>0</v>
      </c>
      <c r="BD232" s="90">
        <f ca="1">BD222*IFERROR('Get Started  3'!$G42/'Get Started  3'!$G43,0)</f>
        <v>0</v>
      </c>
      <c r="BE232" s="90">
        <f ca="1">BE222*IFERROR('Get Started  3'!$G42/'Get Started  3'!$G43,0)</f>
        <v>0</v>
      </c>
      <c r="BF232" s="90">
        <f ca="1">BF222*IFERROR('Get Started  3'!$G42/'Get Started  3'!$G43,0)</f>
        <v>0</v>
      </c>
      <c r="BG232" s="90">
        <f ca="1">BG222*IFERROR('Get Started  3'!$G42/'Get Started  3'!$G43,0)</f>
        <v>0</v>
      </c>
      <c r="BH232" s="90">
        <f ca="1">BH222*IFERROR('Get Started  3'!$G42/'Get Started  3'!$G43,0)</f>
        <v>0</v>
      </c>
      <c r="BI232" s="90">
        <f ca="1">BI222*IFERROR('Get Started  3'!$G42/'Get Started  3'!$G43,0)</f>
        <v>0</v>
      </c>
      <c r="BJ232" s="90">
        <f ca="1">BJ222*IFERROR('Get Started  3'!$G42/'Get Started  3'!$G43,0)</f>
        <v>0</v>
      </c>
      <c r="BK232" s="90">
        <f ca="1">BK222*IFERROR('Get Started  3'!$G42/'Get Started  3'!$G43,0)</f>
        <v>0</v>
      </c>
      <c r="BL232" s="90">
        <f ca="1">BL222*IFERROR('Get Started  3'!$G42/'Get Started  3'!$G43,0)</f>
        <v>0</v>
      </c>
      <c r="BM232" s="90">
        <f ca="1">BM222*IFERROR('Get Started  3'!$G42/'Get Started  3'!$G43,0)</f>
        <v>0</v>
      </c>
      <c r="BN232" s="90">
        <f ca="1">BN222*IFERROR('Get Started  3'!$G42/'Get Started  3'!$G43,0)</f>
        <v>0</v>
      </c>
      <c r="BO232" s="90">
        <f ca="1">BO222*IFERROR('Get Started  3'!$G42/'Get Started  3'!$G43,0)</f>
        <v>0</v>
      </c>
      <c r="BP232" s="90">
        <f ca="1">BP222*IFERROR('Get Started  3'!$G42/'Get Started  3'!$G43,0)</f>
        <v>0</v>
      </c>
      <c r="BQ232" s="90">
        <f ca="1">BQ222*IFERROR('Get Started  3'!$G42/'Get Started  3'!$G43,0)</f>
        <v>0</v>
      </c>
      <c r="BR232" s="90">
        <f ca="1">BR222*IFERROR('Get Started  3'!$G42/'Get Started  3'!$G43,0)</f>
        <v>0</v>
      </c>
      <c r="BS232" s="90">
        <f ca="1">BS222*IFERROR('Get Started  3'!$G42/'Get Started  3'!$G43,0)</f>
        <v>0</v>
      </c>
      <c r="BT232" s="90">
        <f ca="1">BT222*IFERROR('Get Started  3'!$G42/'Get Started  3'!$G43,0)</f>
        <v>0</v>
      </c>
      <c r="BU232" s="90">
        <f ca="1">BU222*IFERROR('Get Started  3'!$G42/'Get Started  3'!$G43,0)</f>
        <v>0</v>
      </c>
      <c r="BV232" s="90">
        <f ca="1">BV222*IFERROR('Get Started  3'!$G42/'Get Started  3'!$G43,0)</f>
        <v>0</v>
      </c>
      <c r="BW232" s="90">
        <f ca="1">BW222*IFERROR('Get Started  3'!$G42/'Get Started  3'!$G43,0)</f>
        <v>0</v>
      </c>
      <c r="BX232" s="90">
        <f ca="1">BX222*IFERROR('Get Started  3'!$G42/'Get Started  3'!$G43,0)</f>
        <v>0</v>
      </c>
      <c r="BY232" s="90">
        <f ca="1">BY222*IFERROR('Get Started  3'!$G42/'Get Started  3'!$G43,0)</f>
        <v>0</v>
      </c>
      <c r="BZ232" s="90">
        <f ca="1">BZ222*IFERROR('Get Started  3'!$G42/'Get Started  3'!$G43,0)</f>
        <v>0</v>
      </c>
      <c r="CA232" s="90">
        <f ca="1">CA222*IFERROR('Get Started  3'!$G42/'Get Started  3'!$G43,0)</f>
        <v>0</v>
      </c>
      <c r="CB232" s="90">
        <f ca="1">CB222*IFERROR('Get Started  3'!$G42/'Get Started  3'!$G43,0)</f>
        <v>0</v>
      </c>
      <c r="CC232" s="90">
        <f ca="1">CC222*IFERROR('Get Started  3'!$G42/'Get Started  3'!$G43,0)</f>
        <v>0</v>
      </c>
      <c r="CD232" s="90">
        <f ca="1">CD222*IFERROR('Get Started  3'!$G42/'Get Started  3'!$G43,0)</f>
        <v>0</v>
      </c>
      <c r="CE232" s="90">
        <f ca="1">CE222*IFERROR('Get Started  3'!$G42/'Get Started  3'!$G43,0)</f>
        <v>0</v>
      </c>
      <c r="CF232" s="90">
        <f ca="1">CF222*IFERROR('Get Started  3'!$G42/'Get Started  3'!$G43,0)</f>
        <v>0</v>
      </c>
      <c r="CG232" s="90">
        <f ca="1">CG222*IFERROR('Get Started  3'!$G42/'Get Started  3'!$G43,0)</f>
        <v>0</v>
      </c>
      <c r="CH232" s="90">
        <f ca="1">CH222*IFERROR('Get Started  3'!$G42/'Get Started  3'!$G43,0)</f>
        <v>0</v>
      </c>
    </row>
    <row r="233" spans="1:86" ht="13" outlineLevel="1">
      <c r="A233" s="13"/>
      <c r="B233" s="13" t="s">
        <v>330</v>
      </c>
      <c r="C233" s="13"/>
      <c r="D233" s="13" t="s">
        <v>238</v>
      </c>
      <c r="E233" s="88">
        <f t="shared" ca="1" si="170"/>
        <v>0.16041666666666668</v>
      </c>
      <c r="F233" s="48"/>
      <c r="G233" s="90">
        <f ca="1">G223*IFERROR('Get Started  3'!$H42/'Get Started  3'!$H43,0)</f>
        <v>9.6249999999999999E-3</v>
      </c>
      <c r="H233" s="90">
        <f ca="1">H223*IFERROR('Get Started  3'!$H42/'Get Started  3'!$H43,0)</f>
        <v>9.6249999999999999E-3</v>
      </c>
      <c r="I233" s="90">
        <f ca="1">I223*IFERROR('Get Started  3'!$H42/'Get Started  3'!$H43,0)</f>
        <v>9.6249999999999999E-3</v>
      </c>
      <c r="J233" s="90">
        <f ca="1">J223*IFERROR('Get Started  3'!$H42/'Get Started  3'!$H43,0)</f>
        <v>9.6249999999999999E-3</v>
      </c>
      <c r="K233" s="90">
        <f ca="1">K223*IFERROR('Get Started  3'!$H42/'Get Started  3'!$H43,0)</f>
        <v>9.6249999999999999E-3</v>
      </c>
      <c r="L233" s="90">
        <f ca="1">L223*IFERROR('Get Started  3'!$H42/'Get Started  3'!$H43,0)</f>
        <v>9.6249999999999999E-3</v>
      </c>
      <c r="M233" s="90">
        <f ca="1">M223*IFERROR('Get Started  3'!$H42/'Get Started  3'!$H43,0)</f>
        <v>9.6249999999999999E-3</v>
      </c>
      <c r="N233" s="90">
        <f ca="1">N223*IFERROR('Get Started  3'!$H42/'Get Started  3'!$H43,0)</f>
        <v>9.6249999999999999E-3</v>
      </c>
      <c r="O233" s="90">
        <f ca="1">O223*IFERROR('Get Started  3'!$H42/'Get Started  3'!$H43,0)</f>
        <v>9.6249999999999999E-3</v>
      </c>
      <c r="P233" s="90">
        <f ca="1">P223*IFERROR('Get Started  3'!$H42/'Get Started  3'!$H43,0)</f>
        <v>9.6249999999999999E-3</v>
      </c>
      <c r="Q233" s="90">
        <f ca="1">Q223*IFERROR('Get Started  3'!$H42/'Get Started  3'!$H43,0)</f>
        <v>9.6249999999999999E-3</v>
      </c>
      <c r="R233" s="90">
        <f ca="1">R223*IFERROR('Get Started  3'!$H42/'Get Started  3'!$H43,0)</f>
        <v>9.6249999999999999E-3</v>
      </c>
      <c r="S233" s="90">
        <f ca="1">S223*IFERROR('Get Started  3'!$H42/'Get Started  3'!$H43,0)</f>
        <v>1.1229166666666667E-2</v>
      </c>
      <c r="T233" s="90">
        <f ca="1">T223*IFERROR('Get Started  3'!$H42/'Get Started  3'!$H43,0)</f>
        <v>1.1229166666666667E-2</v>
      </c>
      <c r="U233" s="90">
        <f ca="1">U223*IFERROR('Get Started  3'!$H42/'Get Started  3'!$H43,0)</f>
        <v>1.1229166666666667E-2</v>
      </c>
      <c r="V233" s="90">
        <f ca="1">V223*IFERROR('Get Started  3'!$H42/'Get Started  3'!$H43,0)</f>
        <v>1.1229166666666667E-2</v>
      </c>
      <c r="W233" s="90">
        <f ca="1">W223*IFERROR('Get Started  3'!$H42/'Get Started  3'!$H43,0)</f>
        <v>0</v>
      </c>
      <c r="X233" s="90">
        <f ca="1">X223*IFERROR('Get Started  3'!$H42/'Get Started  3'!$H43,0)</f>
        <v>0</v>
      </c>
      <c r="Y233" s="90">
        <f ca="1">Y223*IFERROR('Get Started  3'!$H42/'Get Started  3'!$H43,0)</f>
        <v>0</v>
      </c>
      <c r="Z233" s="90">
        <f ca="1">Z223*IFERROR('Get Started  3'!$H42/'Get Started  3'!$H43,0)</f>
        <v>0</v>
      </c>
      <c r="AA233" s="90">
        <f ca="1">AA223*IFERROR('Get Started  3'!$H42/'Get Started  3'!$H43,0)</f>
        <v>0</v>
      </c>
      <c r="AB233" s="90">
        <f ca="1">AB223*IFERROR('Get Started  3'!$H42/'Get Started  3'!$H43,0)</f>
        <v>0</v>
      </c>
      <c r="AC233" s="90">
        <f ca="1">AC223*IFERROR('Get Started  3'!$H42/'Get Started  3'!$H43,0)</f>
        <v>0</v>
      </c>
      <c r="AD233" s="90">
        <f ca="1">AD223*IFERROR('Get Started  3'!$H42/'Get Started  3'!$H43,0)</f>
        <v>0</v>
      </c>
      <c r="AE233" s="90">
        <f ca="1">AE223*IFERROR('Get Started  3'!$H42/'Get Started  3'!$H43,0)</f>
        <v>0</v>
      </c>
      <c r="AF233" s="90">
        <f ca="1">AF223*IFERROR('Get Started  3'!$H42/'Get Started  3'!$H43,0)</f>
        <v>0</v>
      </c>
      <c r="AG233" s="90">
        <f ca="1">AG223*IFERROR('Get Started  3'!$H42/'Get Started  3'!$H43,0)</f>
        <v>0</v>
      </c>
      <c r="AH233" s="90">
        <f ca="1">AH223*IFERROR('Get Started  3'!$H42/'Get Started  3'!$H43,0)</f>
        <v>0</v>
      </c>
      <c r="AI233" s="90">
        <f ca="1">AI223*IFERROR('Get Started  3'!$H42/'Get Started  3'!$H43,0)</f>
        <v>0</v>
      </c>
      <c r="AJ233" s="90">
        <f ca="1">AJ223*IFERROR('Get Started  3'!$H42/'Get Started  3'!$H43,0)</f>
        <v>0</v>
      </c>
      <c r="AK233" s="90">
        <f ca="1">AK223*IFERROR('Get Started  3'!$H42/'Get Started  3'!$H43,0)</f>
        <v>0</v>
      </c>
      <c r="AL233" s="90">
        <f ca="1">AL223*IFERROR('Get Started  3'!$H42/'Get Started  3'!$H43,0)</f>
        <v>0</v>
      </c>
      <c r="AM233" s="90">
        <f ca="1">AM223*IFERROR('Get Started  3'!$H42/'Get Started  3'!$H43,0)</f>
        <v>0</v>
      </c>
      <c r="AN233" s="90">
        <f ca="1">AN223*IFERROR('Get Started  3'!$H42/'Get Started  3'!$H43,0)</f>
        <v>0</v>
      </c>
      <c r="AO233" s="90">
        <f ca="1">AO223*IFERROR('Get Started  3'!$H42/'Get Started  3'!$H43,0)</f>
        <v>0</v>
      </c>
      <c r="AP233" s="90">
        <f ca="1">AP223*IFERROR('Get Started  3'!$H42/'Get Started  3'!$H43,0)</f>
        <v>0</v>
      </c>
      <c r="AQ233" s="90">
        <f ca="1">AQ223*IFERROR('Get Started  3'!$H42/'Get Started  3'!$H43,0)</f>
        <v>0</v>
      </c>
      <c r="AR233" s="90">
        <f ca="1">AR223*IFERROR('Get Started  3'!$H42/'Get Started  3'!$H43,0)</f>
        <v>0</v>
      </c>
      <c r="AS233" s="90">
        <f ca="1">AS223*IFERROR('Get Started  3'!$H42/'Get Started  3'!$H43,0)</f>
        <v>0</v>
      </c>
      <c r="AT233" s="90">
        <f ca="1">AT223*IFERROR('Get Started  3'!$H42/'Get Started  3'!$H43,0)</f>
        <v>0</v>
      </c>
      <c r="AU233" s="90">
        <f ca="1">AU223*IFERROR('Get Started  3'!$H42/'Get Started  3'!$H43,0)</f>
        <v>0</v>
      </c>
      <c r="AV233" s="90">
        <f ca="1">AV223*IFERROR('Get Started  3'!$H42/'Get Started  3'!$H43,0)</f>
        <v>0</v>
      </c>
      <c r="AW233" s="90">
        <f ca="1">AW223*IFERROR('Get Started  3'!$H42/'Get Started  3'!$H43,0)</f>
        <v>0</v>
      </c>
      <c r="AX233" s="90">
        <f ca="1">AX223*IFERROR('Get Started  3'!$H42/'Get Started  3'!$H43,0)</f>
        <v>0</v>
      </c>
      <c r="AY233" s="90">
        <f ca="1">AY223*IFERROR('Get Started  3'!$H42/'Get Started  3'!$H43,0)</f>
        <v>0</v>
      </c>
      <c r="AZ233" s="90">
        <f ca="1">AZ223*IFERROR('Get Started  3'!$H42/'Get Started  3'!$H43,0)</f>
        <v>0</v>
      </c>
      <c r="BA233" s="90">
        <f ca="1">BA223*IFERROR('Get Started  3'!$H42/'Get Started  3'!$H43,0)</f>
        <v>0</v>
      </c>
      <c r="BB233" s="90">
        <f ca="1">BB223*IFERROR('Get Started  3'!$H42/'Get Started  3'!$H43,0)</f>
        <v>0</v>
      </c>
      <c r="BC233" s="90">
        <f ca="1">BC223*IFERROR('Get Started  3'!$H42/'Get Started  3'!$H43,0)</f>
        <v>0</v>
      </c>
      <c r="BD233" s="90">
        <f ca="1">BD223*IFERROR('Get Started  3'!$H42/'Get Started  3'!$H43,0)</f>
        <v>0</v>
      </c>
      <c r="BE233" s="90">
        <f ca="1">BE223*IFERROR('Get Started  3'!$H42/'Get Started  3'!$H43,0)</f>
        <v>0</v>
      </c>
      <c r="BF233" s="90">
        <f ca="1">BF223*IFERROR('Get Started  3'!$H42/'Get Started  3'!$H43,0)</f>
        <v>0</v>
      </c>
      <c r="BG233" s="90">
        <f ca="1">BG223*IFERROR('Get Started  3'!$H42/'Get Started  3'!$H43,0)</f>
        <v>0</v>
      </c>
      <c r="BH233" s="90">
        <f ca="1">BH223*IFERROR('Get Started  3'!$H42/'Get Started  3'!$H43,0)</f>
        <v>0</v>
      </c>
      <c r="BI233" s="90">
        <f ca="1">BI223*IFERROR('Get Started  3'!$H42/'Get Started  3'!$H43,0)</f>
        <v>0</v>
      </c>
      <c r="BJ233" s="90">
        <f ca="1">BJ223*IFERROR('Get Started  3'!$H42/'Get Started  3'!$H43,0)</f>
        <v>0</v>
      </c>
      <c r="BK233" s="90">
        <f ca="1">BK223*IFERROR('Get Started  3'!$H42/'Get Started  3'!$H43,0)</f>
        <v>0</v>
      </c>
      <c r="BL233" s="90">
        <f ca="1">BL223*IFERROR('Get Started  3'!$H42/'Get Started  3'!$H43,0)</f>
        <v>0</v>
      </c>
      <c r="BM233" s="90">
        <f ca="1">BM223*IFERROR('Get Started  3'!$H42/'Get Started  3'!$H43,0)</f>
        <v>0</v>
      </c>
      <c r="BN233" s="90">
        <f ca="1">BN223*IFERROR('Get Started  3'!$H42/'Get Started  3'!$H43,0)</f>
        <v>0</v>
      </c>
      <c r="BO233" s="90">
        <f ca="1">BO223*IFERROR('Get Started  3'!$H42/'Get Started  3'!$H43,0)</f>
        <v>0</v>
      </c>
      <c r="BP233" s="90">
        <f ca="1">BP223*IFERROR('Get Started  3'!$H42/'Get Started  3'!$H43,0)</f>
        <v>0</v>
      </c>
      <c r="BQ233" s="90">
        <f ca="1">BQ223*IFERROR('Get Started  3'!$H42/'Get Started  3'!$H43,0)</f>
        <v>0</v>
      </c>
      <c r="BR233" s="90">
        <f ca="1">BR223*IFERROR('Get Started  3'!$H42/'Get Started  3'!$H43,0)</f>
        <v>0</v>
      </c>
      <c r="BS233" s="90">
        <f ca="1">BS223*IFERROR('Get Started  3'!$H42/'Get Started  3'!$H43,0)</f>
        <v>0</v>
      </c>
      <c r="BT233" s="90">
        <f ca="1">BT223*IFERROR('Get Started  3'!$H42/'Get Started  3'!$H43,0)</f>
        <v>0</v>
      </c>
      <c r="BU233" s="90">
        <f ca="1">BU223*IFERROR('Get Started  3'!$H42/'Get Started  3'!$H43,0)</f>
        <v>0</v>
      </c>
      <c r="BV233" s="90">
        <f ca="1">BV223*IFERROR('Get Started  3'!$H42/'Get Started  3'!$H43,0)</f>
        <v>0</v>
      </c>
      <c r="BW233" s="90">
        <f ca="1">BW223*IFERROR('Get Started  3'!$H42/'Get Started  3'!$H43,0)</f>
        <v>0</v>
      </c>
      <c r="BX233" s="90">
        <f ca="1">BX223*IFERROR('Get Started  3'!$H42/'Get Started  3'!$H43,0)</f>
        <v>0</v>
      </c>
      <c r="BY233" s="90">
        <f ca="1">BY223*IFERROR('Get Started  3'!$H42/'Get Started  3'!$H43,0)</f>
        <v>0</v>
      </c>
      <c r="BZ233" s="90">
        <f ca="1">BZ223*IFERROR('Get Started  3'!$H42/'Get Started  3'!$H43,0)</f>
        <v>0</v>
      </c>
      <c r="CA233" s="90">
        <f ca="1">CA223*IFERROR('Get Started  3'!$H42/'Get Started  3'!$H43,0)</f>
        <v>0</v>
      </c>
      <c r="CB233" s="90">
        <f ca="1">CB223*IFERROR('Get Started  3'!$H42/'Get Started  3'!$H43,0)</f>
        <v>0</v>
      </c>
      <c r="CC233" s="90">
        <f ca="1">CC223*IFERROR('Get Started  3'!$H42/'Get Started  3'!$H43,0)</f>
        <v>0</v>
      </c>
      <c r="CD233" s="90">
        <f ca="1">CD223*IFERROR('Get Started  3'!$H42/'Get Started  3'!$H43,0)</f>
        <v>0</v>
      </c>
      <c r="CE233" s="90">
        <f ca="1">CE223*IFERROR('Get Started  3'!$H42/'Get Started  3'!$H43,0)</f>
        <v>0</v>
      </c>
      <c r="CF233" s="90">
        <f ca="1">CF223*IFERROR('Get Started  3'!$H42/'Get Started  3'!$H43,0)</f>
        <v>0</v>
      </c>
      <c r="CG233" s="90">
        <f ca="1">CG223*IFERROR('Get Started  3'!$H42/'Get Started  3'!$H43,0)</f>
        <v>0</v>
      </c>
      <c r="CH233" s="90">
        <f ca="1">CH223*IFERROR('Get Started  3'!$H42/'Get Started  3'!$H43,0)</f>
        <v>0</v>
      </c>
    </row>
    <row r="234" spans="1:86" ht="13" outlineLevel="1">
      <c r="A234" s="13"/>
      <c r="B234" s="13" t="s">
        <v>330</v>
      </c>
      <c r="C234" s="13"/>
      <c r="D234" s="13" t="s">
        <v>238</v>
      </c>
      <c r="E234" s="88">
        <f t="shared" ca="1" si="170"/>
        <v>0.79994444444444479</v>
      </c>
      <c r="F234" s="48"/>
      <c r="G234" s="90">
        <f t="shared" ref="G234:CH234" ca="1" si="176">SUM(G230:G233)</f>
        <v>4.8125000000000008E-2</v>
      </c>
      <c r="H234" s="90">
        <f t="shared" ca="1" si="176"/>
        <v>4.8125000000000008E-2</v>
      </c>
      <c r="I234" s="90">
        <f t="shared" ca="1" si="176"/>
        <v>4.8125000000000008E-2</v>
      </c>
      <c r="J234" s="90">
        <f t="shared" ca="1" si="176"/>
        <v>4.8125000000000008E-2</v>
      </c>
      <c r="K234" s="90">
        <f t="shared" ca="1" si="176"/>
        <v>4.8125000000000008E-2</v>
      </c>
      <c r="L234" s="90">
        <f t="shared" ca="1" si="176"/>
        <v>4.8125000000000008E-2</v>
      </c>
      <c r="M234" s="90">
        <f t="shared" ca="1" si="176"/>
        <v>4.8125000000000008E-2</v>
      </c>
      <c r="N234" s="90">
        <f t="shared" ca="1" si="176"/>
        <v>4.8125000000000008E-2</v>
      </c>
      <c r="O234" s="90">
        <f t="shared" ca="1" si="176"/>
        <v>4.8125000000000008E-2</v>
      </c>
      <c r="P234" s="90">
        <f t="shared" ca="1" si="176"/>
        <v>4.8125000000000008E-2</v>
      </c>
      <c r="Q234" s="90">
        <f t="shared" ca="1" si="176"/>
        <v>4.8125000000000008E-2</v>
      </c>
      <c r="R234" s="90">
        <f t="shared" ca="1" si="176"/>
        <v>4.8125000000000008E-2</v>
      </c>
      <c r="S234" s="90">
        <f t="shared" ca="1" si="176"/>
        <v>5.5611111111111118E-2</v>
      </c>
      <c r="T234" s="90">
        <f t="shared" ca="1" si="176"/>
        <v>5.5611111111111118E-2</v>
      </c>
      <c r="U234" s="90">
        <f t="shared" ca="1" si="176"/>
        <v>5.5611111111111118E-2</v>
      </c>
      <c r="V234" s="90">
        <f t="shared" ca="1" si="176"/>
        <v>5.5611111111111118E-2</v>
      </c>
      <c r="W234" s="90">
        <f t="shared" ca="1" si="176"/>
        <v>0</v>
      </c>
      <c r="X234" s="90">
        <f t="shared" ca="1" si="176"/>
        <v>0</v>
      </c>
      <c r="Y234" s="90">
        <f t="shared" ca="1" si="176"/>
        <v>0</v>
      </c>
      <c r="Z234" s="90">
        <f t="shared" ca="1" si="176"/>
        <v>0</v>
      </c>
      <c r="AA234" s="90">
        <f t="shared" ca="1" si="176"/>
        <v>0</v>
      </c>
      <c r="AB234" s="90">
        <f t="shared" ca="1" si="176"/>
        <v>0</v>
      </c>
      <c r="AC234" s="90">
        <f t="shared" ca="1" si="176"/>
        <v>0</v>
      </c>
      <c r="AD234" s="90">
        <f t="shared" ca="1" si="176"/>
        <v>0</v>
      </c>
      <c r="AE234" s="90">
        <f t="shared" ca="1" si="176"/>
        <v>0</v>
      </c>
      <c r="AF234" s="90">
        <f t="shared" ca="1" si="176"/>
        <v>0</v>
      </c>
      <c r="AG234" s="90">
        <f t="shared" ca="1" si="176"/>
        <v>0</v>
      </c>
      <c r="AH234" s="90">
        <f t="shared" ca="1" si="176"/>
        <v>0</v>
      </c>
      <c r="AI234" s="90">
        <f t="shared" ca="1" si="176"/>
        <v>0</v>
      </c>
      <c r="AJ234" s="90">
        <f t="shared" ca="1" si="176"/>
        <v>0</v>
      </c>
      <c r="AK234" s="90">
        <f t="shared" ca="1" si="176"/>
        <v>0</v>
      </c>
      <c r="AL234" s="90">
        <f t="shared" ca="1" si="176"/>
        <v>0</v>
      </c>
      <c r="AM234" s="90">
        <f t="shared" ca="1" si="176"/>
        <v>0</v>
      </c>
      <c r="AN234" s="90">
        <f t="shared" ca="1" si="176"/>
        <v>0</v>
      </c>
      <c r="AO234" s="90">
        <f t="shared" ca="1" si="176"/>
        <v>0</v>
      </c>
      <c r="AP234" s="90">
        <f t="shared" ca="1" si="176"/>
        <v>0</v>
      </c>
      <c r="AQ234" s="90">
        <f t="shared" ca="1" si="176"/>
        <v>0</v>
      </c>
      <c r="AR234" s="90">
        <f t="shared" ca="1" si="176"/>
        <v>0</v>
      </c>
      <c r="AS234" s="90">
        <f t="shared" ca="1" si="176"/>
        <v>0</v>
      </c>
      <c r="AT234" s="90">
        <f t="shared" ca="1" si="176"/>
        <v>0</v>
      </c>
      <c r="AU234" s="90">
        <f t="shared" ca="1" si="176"/>
        <v>0</v>
      </c>
      <c r="AV234" s="90">
        <f t="shared" ca="1" si="176"/>
        <v>0</v>
      </c>
      <c r="AW234" s="90">
        <f t="shared" ca="1" si="176"/>
        <v>0</v>
      </c>
      <c r="AX234" s="90">
        <f t="shared" ca="1" si="176"/>
        <v>0</v>
      </c>
      <c r="AY234" s="90">
        <f t="shared" ca="1" si="176"/>
        <v>0</v>
      </c>
      <c r="AZ234" s="90">
        <f t="shared" ca="1" si="176"/>
        <v>0</v>
      </c>
      <c r="BA234" s="90">
        <f t="shared" ca="1" si="176"/>
        <v>0</v>
      </c>
      <c r="BB234" s="90">
        <f t="shared" ca="1" si="176"/>
        <v>0</v>
      </c>
      <c r="BC234" s="90">
        <f t="shared" ca="1" si="176"/>
        <v>0</v>
      </c>
      <c r="BD234" s="90">
        <f t="shared" ca="1" si="176"/>
        <v>0</v>
      </c>
      <c r="BE234" s="90">
        <f t="shared" ca="1" si="176"/>
        <v>0</v>
      </c>
      <c r="BF234" s="90">
        <f t="shared" ca="1" si="176"/>
        <v>0</v>
      </c>
      <c r="BG234" s="90">
        <f t="shared" ca="1" si="176"/>
        <v>0</v>
      </c>
      <c r="BH234" s="90">
        <f t="shared" ca="1" si="176"/>
        <v>0</v>
      </c>
      <c r="BI234" s="90">
        <f t="shared" ca="1" si="176"/>
        <v>0</v>
      </c>
      <c r="BJ234" s="90">
        <f t="shared" ca="1" si="176"/>
        <v>0</v>
      </c>
      <c r="BK234" s="90">
        <f t="shared" ca="1" si="176"/>
        <v>0</v>
      </c>
      <c r="BL234" s="90">
        <f t="shared" ca="1" si="176"/>
        <v>0</v>
      </c>
      <c r="BM234" s="90">
        <f t="shared" ca="1" si="176"/>
        <v>0</v>
      </c>
      <c r="BN234" s="90">
        <f t="shared" ca="1" si="176"/>
        <v>0</v>
      </c>
      <c r="BO234" s="90">
        <f t="shared" ca="1" si="176"/>
        <v>0</v>
      </c>
      <c r="BP234" s="90">
        <f t="shared" ca="1" si="176"/>
        <v>0</v>
      </c>
      <c r="BQ234" s="90">
        <f t="shared" ca="1" si="176"/>
        <v>0</v>
      </c>
      <c r="BR234" s="90">
        <f t="shared" ca="1" si="176"/>
        <v>0</v>
      </c>
      <c r="BS234" s="90">
        <f t="shared" ca="1" si="176"/>
        <v>0</v>
      </c>
      <c r="BT234" s="90">
        <f t="shared" ca="1" si="176"/>
        <v>0</v>
      </c>
      <c r="BU234" s="90">
        <f t="shared" ca="1" si="176"/>
        <v>0</v>
      </c>
      <c r="BV234" s="90">
        <f t="shared" ca="1" si="176"/>
        <v>0</v>
      </c>
      <c r="BW234" s="90">
        <f t="shared" ca="1" si="176"/>
        <v>0</v>
      </c>
      <c r="BX234" s="90">
        <f t="shared" ca="1" si="176"/>
        <v>0</v>
      </c>
      <c r="BY234" s="90">
        <f t="shared" ca="1" si="176"/>
        <v>0</v>
      </c>
      <c r="BZ234" s="90">
        <f t="shared" ca="1" si="176"/>
        <v>0</v>
      </c>
      <c r="CA234" s="90">
        <f t="shared" ca="1" si="176"/>
        <v>0</v>
      </c>
      <c r="CB234" s="90">
        <f t="shared" ca="1" si="176"/>
        <v>0</v>
      </c>
      <c r="CC234" s="90">
        <f t="shared" ca="1" si="176"/>
        <v>0</v>
      </c>
      <c r="CD234" s="90">
        <f t="shared" ca="1" si="176"/>
        <v>0</v>
      </c>
      <c r="CE234" s="90">
        <f t="shared" ca="1" si="176"/>
        <v>0</v>
      </c>
      <c r="CF234" s="90">
        <f t="shared" ca="1" si="176"/>
        <v>0</v>
      </c>
      <c r="CG234" s="90">
        <f t="shared" ca="1" si="176"/>
        <v>0</v>
      </c>
      <c r="CH234" s="90">
        <f t="shared" ca="1" si="176"/>
        <v>0</v>
      </c>
    </row>
    <row r="235" spans="1:86" ht="13" outlineLevel="1">
      <c r="A235" s="13"/>
      <c r="B235" s="13" t="s">
        <v>106</v>
      </c>
      <c r="C235" s="13"/>
      <c r="D235" s="13" t="s">
        <v>238</v>
      </c>
      <c r="E235" s="88">
        <f t="shared" ca="1" si="170"/>
        <v>0.79994444444444479</v>
      </c>
      <c r="F235" s="48"/>
      <c r="G235" s="90">
        <f t="shared" ref="G235:CH235" ca="1" si="177">G224+G229</f>
        <v>4.8125000000000008E-2</v>
      </c>
      <c r="H235" s="90">
        <f t="shared" ca="1" si="177"/>
        <v>4.8125000000000008E-2</v>
      </c>
      <c r="I235" s="90">
        <f t="shared" ca="1" si="177"/>
        <v>4.8125000000000008E-2</v>
      </c>
      <c r="J235" s="90">
        <f t="shared" ca="1" si="177"/>
        <v>4.8125000000000008E-2</v>
      </c>
      <c r="K235" s="90">
        <f t="shared" ca="1" si="177"/>
        <v>4.8125000000000008E-2</v>
      </c>
      <c r="L235" s="90">
        <f t="shared" ca="1" si="177"/>
        <v>4.8125000000000008E-2</v>
      </c>
      <c r="M235" s="90">
        <f t="shared" ca="1" si="177"/>
        <v>4.8125000000000008E-2</v>
      </c>
      <c r="N235" s="90">
        <f t="shared" ca="1" si="177"/>
        <v>4.8125000000000008E-2</v>
      </c>
      <c r="O235" s="90">
        <f t="shared" ca="1" si="177"/>
        <v>4.8125000000000008E-2</v>
      </c>
      <c r="P235" s="90">
        <f t="shared" ca="1" si="177"/>
        <v>4.8125000000000008E-2</v>
      </c>
      <c r="Q235" s="90">
        <f t="shared" ca="1" si="177"/>
        <v>4.8125000000000008E-2</v>
      </c>
      <c r="R235" s="90">
        <f t="shared" ca="1" si="177"/>
        <v>4.8125000000000008E-2</v>
      </c>
      <c r="S235" s="90">
        <f t="shared" ca="1" si="177"/>
        <v>5.5611111111111118E-2</v>
      </c>
      <c r="T235" s="90">
        <f t="shared" ca="1" si="177"/>
        <v>5.5611111111111118E-2</v>
      </c>
      <c r="U235" s="90">
        <f t="shared" ca="1" si="177"/>
        <v>5.5611111111111118E-2</v>
      </c>
      <c r="V235" s="90">
        <f t="shared" ca="1" si="177"/>
        <v>5.5611111111111118E-2</v>
      </c>
      <c r="W235" s="90">
        <f t="shared" ca="1" si="177"/>
        <v>0</v>
      </c>
      <c r="X235" s="90">
        <f t="shared" ca="1" si="177"/>
        <v>0</v>
      </c>
      <c r="Y235" s="90">
        <f t="shared" ca="1" si="177"/>
        <v>0</v>
      </c>
      <c r="Z235" s="90">
        <f t="shared" ca="1" si="177"/>
        <v>0</v>
      </c>
      <c r="AA235" s="90">
        <f t="shared" ca="1" si="177"/>
        <v>0</v>
      </c>
      <c r="AB235" s="90">
        <f t="shared" ca="1" si="177"/>
        <v>0</v>
      </c>
      <c r="AC235" s="90">
        <f t="shared" ca="1" si="177"/>
        <v>0</v>
      </c>
      <c r="AD235" s="90">
        <f t="shared" ca="1" si="177"/>
        <v>0</v>
      </c>
      <c r="AE235" s="90">
        <f t="shared" ca="1" si="177"/>
        <v>0</v>
      </c>
      <c r="AF235" s="90">
        <f t="shared" ca="1" si="177"/>
        <v>0</v>
      </c>
      <c r="AG235" s="90">
        <f t="shared" ca="1" si="177"/>
        <v>0</v>
      </c>
      <c r="AH235" s="90">
        <f t="shared" ca="1" si="177"/>
        <v>0</v>
      </c>
      <c r="AI235" s="90">
        <f t="shared" ca="1" si="177"/>
        <v>0</v>
      </c>
      <c r="AJ235" s="90">
        <f t="shared" ca="1" si="177"/>
        <v>0</v>
      </c>
      <c r="AK235" s="90">
        <f t="shared" ca="1" si="177"/>
        <v>0</v>
      </c>
      <c r="AL235" s="90">
        <f t="shared" ca="1" si="177"/>
        <v>0</v>
      </c>
      <c r="AM235" s="90">
        <f t="shared" ca="1" si="177"/>
        <v>0</v>
      </c>
      <c r="AN235" s="90">
        <f t="shared" ca="1" si="177"/>
        <v>0</v>
      </c>
      <c r="AO235" s="90">
        <f t="shared" ca="1" si="177"/>
        <v>0</v>
      </c>
      <c r="AP235" s="90">
        <f t="shared" ca="1" si="177"/>
        <v>0</v>
      </c>
      <c r="AQ235" s="90">
        <f t="shared" ca="1" si="177"/>
        <v>0</v>
      </c>
      <c r="AR235" s="90">
        <f t="shared" ca="1" si="177"/>
        <v>0</v>
      </c>
      <c r="AS235" s="90">
        <f t="shared" ca="1" si="177"/>
        <v>0</v>
      </c>
      <c r="AT235" s="90">
        <f t="shared" ca="1" si="177"/>
        <v>0</v>
      </c>
      <c r="AU235" s="90">
        <f t="shared" ca="1" si="177"/>
        <v>0</v>
      </c>
      <c r="AV235" s="90">
        <f t="shared" ca="1" si="177"/>
        <v>0</v>
      </c>
      <c r="AW235" s="90">
        <f t="shared" ca="1" si="177"/>
        <v>0</v>
      </c>
      <c r="AX235" s="90">
        <f t="shared" ca="1" si="177"/>
        <v>0</v>
      </c>
      <c r="AY235" s="90">
        <f t="shared" ca="1" si="177"/>
        <v>0</v>
      </c>
      <c r="AZ235" s="90">
        <f t="shared" ca="1" si="177"/>
        <v>0</v>
      </c>
      <c r="BA235" s="90">
        <f t="shared" ca="1" si="177"/>
        <v>0</v>
      </c>
      <c r="BB235" s="90">
        <f t="shared" ca="1" si="177"/>
        <v>0</v>
      </c>
      <c r="BC235" s="90">
        <f t="shared" ca="1" si="177"/>
        <v>0</v>
      </c>
      <c r="BD235" s="90">
        <f t="shared" ca="1" si="177"/>
        <v>0</v>
      </c>
      <c r="BE235" s="90">
        <f t="shared" ca="1" si="177"/>
        <v>0</v>
      </c>
      <c r="BF235" s="90">
        <f t="shared" ca="1" si="177"/>
        <v>0</v>
      </c>
      <c r="BG235" s="90">
        <f t="shared" ca="1" si="177"/>
        <v>0</v>
      </c>
      <c r="BH235" s="90">
        <f t="shared" ca="1" si="177"/>
        <v>0</v>
      </c>
      <c r="BI235" s="90">
        <f t="shared" ca="1" si="177"/>
        <v>0</v>
      </c>
      <c r="BJ235" s="90">
        <f t="shared" ca="1" si="177"/>
        <v>0</v>
      </c>
      <c r="BK235" s="90">
        <f t="shared" ca="1" si="177"/>
        <v>0</v>
      </c>
      <c r="BL235" s="90">
        <f t="shared" ca="1" si="177"/>
        <v>0</v>
      </c>
      <c r="BM235" s="90">
        <f t="shared" ca="1" si="177"/>
        <v>0</v>
      </c>
      <c r="BN235" s="90">
        <f t="shared" ca="1" si="177"/>
        <v>0</v>
      </c>
      <c r="BO235" s="90">
        <f t="shared" ca="1" si="177"/>
        <v>0</v>
      </c>
      <c r="BP235" s="90">
        <f t="shared" ca="1" si="177"/>
        <v>0</v>
      </c>
      <c r="BQ235" s="90">
        <f t="shared" ca="1" si="177"/>
        <v>0</v>
      </c>
      <c r="BR235" s="90">
        <f t="shared" ca="1" si="177"/>
        <v>0</v>
      </c>
      <c r="BS235" s="90">
        <f t="shared" ca="1" si="177"/>
        <v>0</v>
      </c>
      <c r="BT235" s="90">
        <f t="shared" ca="1" si="177"/>
        <v>0</v>
      </c>
      <c r="BU235" s="90">
        <f t="shared" ca="1" si="177"/>
        <v>0</v>
      </c>
      <c r="BV235" s="90">
        <f t="shared" ca="1" si="177"/>
        <v>0</v>
      </c>
      <c r="BW235" s="90">
        <f t="shared" ca="1" si="177"/>
        <v>0</v>
      </c>
      <c r="BX235" s="90">
        <f t="shared" ca="1" si="177"/>
        <v>0</v>
      </c>
      <c r="BY235" s="90">
        <f t="shared" ca="1" si="177"/>
        <v>0</v>
      </c>
      <c r="BZ235" s="90">
        <f t="shared" ca="1" si="177"/>
        <v>0</v>
      </c>
      <c r="CA235" s="90">
        <f t="shared" ca="1" si="177"/>
        <v>0</v>
      </c>
      <c r="CB235" s="90">
        <f t="shared" ca="1" si="177"/>
        <v>0</v>
      </c>
      <c r="CC235" s="90">
        <f t="shared" ca="1" si="177"/>
        <v>0</v>
      </c>
      <c r="CD235" s="90">
        <f t="shared" ca="1" si="177"/>
        <v>0</v>
      </c>
      <c r="CE235" s="90">
        <f t="shared" ca="1" si="177"/>
        <v>0</v>
      </c>
      <c r="CF235" s="90">
        <f t="shared" ca="1" si="177"/>
        <v>0</v>
      </c>
      <c r="CG235" s="90">
        <f t="shared" ca="1" si="177"/>
        <v>0</v>
      </c>
      <c r="CH235" s="90">
        <f t="shared" ca="1" si="177"/>
        <v>0</v>
      </c>
    </row>
    <row r="236" spans="1:86" ht="13" outlineLevel="1">
      <c r="A236" s="13"/>
      <c r="B236" s="13" t="s">
        <v>331</v>
      </c>
      <c r="C236" s="13"/>
      <c r="D236" s="13" t="s">
        <v>238</v>
      </c>
      <c r="E236" s="88">
        <f t="shared" ca="1" si="170"/>
        <v>9.2393583333333336</v>
      </c>
      <c r="F236" s="48"/>
      <c r="G236" s="90">
        <f ca="1">(IF(G4&lt;'Get Started  3'!$H112,0,OFFSET(G234,0,-1*'Get Started  3'!$H112)*'Get Started  3'!$H42*'Get Started  3'!$G112)+IF(G4&lt;'Get Started  3'!$H111,0,OFFSET(G234,0,-1*'Get Started  3'!$H111)*'Get Started  3'!$G42*'Get Started  3'!$G111)+IF(G4&lt;'Get Started  3'!$H110,0,OFFSET(G234,0,-1*'Get Started  3'!$H110)*'Get Started  3'!$F42*'Get Started  3'!$G110)+IF(G4&lt;'Get Started  3'!$H109,0,OFFSET(G234,0,-1*'Get Started  3'!$H109)*'Get Started  3'!$E42*'Get Started  3'!$G109))</f>
        <v>0</v>
      </c>
      <c r="H236" s="90">
        <f ca="1">(IF(H4&lt;'Get Started  3'!$H112,0,OFFSET(H234,0,-1*'Get Started  3'!$H112)*'Get Started  3'!$H42*'Get Started  3'!$G112)+IF(H4&lt;'Get Started  3'!$H111,0,OFFSET(H234,0,-1*'Get Started  3'!$H111)*'Get Started  3'!$G42*'Get Started  3'!$G111)+IF(H4&lt;'Get Started  3'!$H110,0,OFFSET(H234,0,-1*'Get Started  3'!$H110)*'Get Started  3'!$F42*'Get Started  3'!$G110)+IF(H4&lt;'Get Started  3'!$H109,0,OFFSET(H234,0,-1*'Get Started  3'!$H109)*'Get Started  3'!$E42*'Get Started  3'!$G109))</f>
        <v>0</v>
      </c>
      <c r="I236" s="90">
        <f ca="1">(IF(I4&lt;'Get Started  3'!$H112,0,OFFSET(I234,0,-1*'Get Started  3'!$H112)*'Get Started  3'!$H42*'Get Started  3'!$G112)+IF(I4&lt;'Get Started  3'!$H111,0,OFFSET(I234,0,-1*'Get Started  3'!$H111)*'Get Started  3'!$G42*'Get Started  3'!$G111)+IF(I4&lt;'Get Started  3'!$H110,0,OFFSET(I234,0,-1*'Get Started  3'!$H110)*'Get Started  3'!$F42*'Get Started  3'!$G110)+IF(I4&lt;'Get Started  3'!$H109,0,OFFSET(I234,0,-1*'Get Started  3'!$H109)*'Get Started  3'!$E42*'Get Started  3'!$G109))</f>
        <v>0</v>
      </c>
      <c r="J236" s="90">
        <f ca="1">(IF(J4&lt;'Get Started  3'!$H112,0,OFFSET(J234,0,-1*'Get Started  3'!$H112)*'Get Started  3'!$H42*'Get Started  3'!$G112)+IF(J4&lt;'Get Started  3'!$H111,0,OFFSET(J234,0,-1*'Get Started  3'!$H111)*'Get Started  3'!$G42*'Get Started  3'!$G111)+IF(J4&lt;'Get Started  3'!$H110,0,OFFSET(J234,0,-1*'Get Started  3'!$H110)*'Get Started  3'!$F42*'Get Started  3'!$G110)+IF(J4&lt;'Get Started  3'!$H109,0,OFFSET(J234,0,-1*'Get Started  3'!$H109)*'Get Started  3'!$E42*'Get Started  3'!$G109))</f>
        <v>0</v>
      </c>
      <c r="K236" s="90">
        <f ca="1">(IF(K4&lt;'Get Started  3'!$H112,0,OFFSET(K234,0,-1*'Get Started  3'!$H112)*'Get Started  3'!$H42*'Get Started  3'!$G112)+IF(K4&lt;'Get Started  3'!$H111,0,OFFSET(K234,0,-1*'Get Started  3'!$H111)*'Get Started  3'!$G42*'Get Started  3'!$G111)+IF(K4&lt;'Get Started  3'!$H110,0,OFFSET(K234,0,-1*'Get Started  3'!$H110)*'Get Started  3'!$F42*'Get Started  3'!$G110)+IF(K4&lt;'Get Started  3'!$H109,0,OFFSET(K234,0,-1*'Get Started  3'!$H109)*'Get Started  3'!$E42*'Get Started  3'!$G109))</f>
        <v>0</v>
      </c>
      <c r="L236" s="90">
        <f ca="1">(IF(L4&lt;'Get Started  3'!$H112,0,OFFSET(L234,0,-1*'Get Started  3'!$H112)*'Get Started  3'!$H42*'Get Started  3'!$G112)+IF(L4&lt;'Get Started  3'!$H111,0,OFFSET(L234,0,-1*'Get Started  3'!$H111)*'Get Started  3'!$G42*'Get Started  3'!$G111)+IF(L4&lt;'Get Started  3'!$H110,0,OFFSET(L234,0,-1*'Get Started  3'!$H110)*'Get Started  3'!$F42*'Get Started  3'!$G110)+IF(L4&lt;'Get Started  3'!$H109,0,OFFSET(L234,0,-1*'Get Started  3'!$H109)*'Get Started  3'!$E42*'Get Started  3'!$G109))</f>
        <v>0</v>
      </c>
      <c r="M236" s="90">
        <f ca="1">(IF(M4&lt;'Get Started  3'!$H112,0,OFFSET(M234,0,-1*'Get Started  3'!$H112)*'Get Started  3'!$H42*'Get Started  3'!$G112)+IF(M4&lt;'Get Started  3'!$H111,0,OFFSET(M234,0,-1*'Get Started  3'!$H111)*'Get Started  3'!$G42*'Get Started  3'!$G111)+IF(M4&lt;'Get Started  3'!$H110,0,OFFSET(M234,0,-1*'Get Started  3'!$H110)*'Get Started  3'!$F42*'Get Started  3'!$G110)+IF(M4&lt;'Get Started  3'!$H109,0,OFFSET(M234,0,-1*'Get Started  3'!$H109)*'Get Started  3'!$E42*'Get Started  3'!$G109))</f>
        <v>0</v>
      </c>
      <c r="N236" s="90">
        <f ca="1">(IF(N4&lt;'Get Started  3'!$H112,0,OFFSET(N234,0,-1*'Get Started  3'!$H112)*'Get Started  3'!$H42*'Get Started  3'!$G112)+IF(N4&lt;'Get Started  3'!$H111,0,OFFSET(N234,0,-1*'Get Started  3'!$H111)*'Get Started  3'!$G42*'Get Started  3'!$G111)+IF(N4&lt;'Get Started  3'!$H110,0,OFFSET(N234,0,-1*'Get Started  3'!$H110)*'Get Started  3'!$F42*'Get Started  3'!$G110)+IF(N4&lt;'Get Started  3'!$H109,0,OFFSET(N234,0,-1*'Get Started  3'!$H109)*'Get Started  3'!$E42*'Get Started  3'!$G109))</f>
        <v>0</v>
      </c>
      <c r="O236" s="90">
        <f ca="1">(IF(O4&lt;'Get Started  3'!$H112,0,OFFSET(O234,0,-1*'Get Started  3'!$H112)*'Get Started  3'!$H42*'Get Started  3'!$G112)+IF(O4&lt;'Get Started  3'!$H111,0,OFFSET(O234,0,-1*'Get Started  3'!$H111)*'Get Started  3'!$G42*'Get Started  3'!$G111)+IF(O4&lt;'Get Started  3'!$H110,0,OFFSET(O234,0,-1*'Get Started  3'!$H110)*'Get Started  3'!$F42*'Get Started  3'!$G110)+IF(O4&lt;'Get Started  3'!$H109,0,OFFSET(O234,0,-1*'Get Started  3'!$H109)*'Get Started  3'!$E42*'Get Started  3'!$G109))</f>
        <v>0</v>
      </c>
      <c r="P236" s="90">
        <f ca="1">(IF(P4&lt;'Get Started  3'!$H112,0,OFFSET(P234,0,-1*'Get Started  3'!$H112)*'Get Started  3'!$H42*'Get Started  3'!$G112)+IF(P4&lt;'Get Started  3'!$H111,0,OFFSET(P234,0,-1*'Get Started  3'!$H111)*'Get Started  3'!$G42*'Get Started  3'!$G111)+IF(P4&lt;'Get Started  3'!$H110,0,OFFSET(P234,0,-1*'Get Started  3'!$H110)*'Get Started  3'!$F42*'Get Started  3'!$G110)+IF(P4&lt;'Get Started  3'!$H109,0,OFFSET(P234,0,-1*'Get Started  3'!$H109)*'Get Started  3'!$E42*'Get Started  3'!$G109))</f>
        <v>0</v>
      </c>
      <c r="Q236" s="90">
        <f ca="1">(IF(Q4&lt;'Get Started  3'!$H112,0,OFFSET(Q234,0,-1*'Get Started  3'!$H112)*'Get Started  3'!$H42*'Get Started  3'!$G112)+IF(Q4&lt;'Get Started  3'!$H111,0,OFFSET(Q234,0,-1*'Get Started  3'!$H111)*'Get Started  3'!$G42*'Get Started  3'!$G111)+IF(Q4&lt;'Get Started  3'!$H110,0,OFFSET(Q234,0,-1*'Get Started  3'!$H110)*'Get Started  3'!$F42*'Get Started  3'!$G110)+IF(Q4&lt;'Get Started  3'!$H109,0,OFFSET(Q234,0,-1*'Get Started  3'!$H109)*'Get Started  3'!$E42*'Get Started  3'!$G109))</f>
        <v>0</v>
      </c>
      <c r="R236" s="90">
        <f ca="1">(IF(R4&lt;'Get Started  3'!$H112,0,OFFSET(R234,0,-1*'Get Started  3'!$H112)*'Get Started  3'!$H42*'Get Started  3'!$G112)+IF(R4&lt;'Get Started  3'!$H111,0,OFFSET(R234,0,-1*'Get Started  3'!$H111)*'Get Started  3'!$G42*'Get Started  3'!$G111)+IF(R4&lt;'Get Started  3'!$H110,0,OFFSET(R234,0,-1*'Get Started  3'!$H110)*'Get Started  3'!$F42*'Get Started  3'!$G110)+IF(R4&lt;'Get Started  3'!$H109,0,OFFSET(R234,0,-1*'Get Started  3'!$H109)*'Get Started  3'!$E42*'Get Started  3'!$G109))</f>
        <v>0</v>
      </c>
      <c r="S236" s="90">
        <f ca="1">(IF(S4&lt;'Get Started  3'!$H112,0,OFFSET(S234,0,-1*'Get Started  3'!$H112)*'Get Started  3'!$H42*'Get Started  3'!$G112)+IF(S4&lt;'Get Started  3'!$H111,0,OFFSET(S234,0,-1*'Get Started  3'!$H111)*'Get Started  3'!$G42*'Get Started  3'!$G111)+IF(S4&lt;'Get Started  3'!$H110,0,OFFSET(S234,0,-1*'Get Started  3'!$H110)*'Get Started  3'!$F42*'Get Started  3'!$G110)+IF(S4&lt;'Get Started  3'!$H109,0,OFFSET(S234,0,-1*'Get Started  3'!$H109)*'Get Started  3'!$E42*'Get Started  3'!$G109))</f>
        <v>4.042500000000003E-2</v>
      </c>
      <c r="T236" s="90">
        <f ca="1">(IF(T4&lt;'Get Started  3'!$H112,0,OFFSET(T234,0,-1*'Get Started  3'!$H112)*'Get Started  3'!$H42*'Get Started  3'!$G112)+IF(T4&lt;'Get Started  3'!$H111,0,OFFSET(T234,0,-1*'Get Started  3'!$H111)*'Get Started  3'!$G42*'Get Started  3'!$G111)+IF(T4&lt;'Get Started  3'!$H110,0,OFFSET(T234,0,-1*'Get Started  3'!$H110)*'Get Started  3'!$F42*'Get Started  3'!$G110)+IF(T4&lt;'Get Started  3'!$H109,0,OFFSET(T234,0,-1*'Get Started  3'!$H109)*'Get Started  3'!$E42*'Get Started  3'!$G109))</f>
        <v>4.042500000000003E-2</v>
      </c>
      <c r="U236" s="90">
        <f ca="1">(IF(U4&lt;'Get Started  3'!$H112,0,OFFSET(U234,0,-1*'Get Started  3'!$H112)*'Get Started  3'!$H42*'Get Started  3'!$G112)+IF(U4&lt;'Get Started  3'!$H111,0,OFFSET(U234,0,-1*'Get Started  3'!$H111)*'Get Started  3'!$G42*'Get Started  3'!$G111)+IF(U4&lt;'Get Started  3'!$H110,0,OFFSET(U234,0,-1*'Get Started  3'!$H110)*'Get Started  3'!$F42*'Get Started  3'!$G110)+IF(U4&lt;'Get Started  3'!$H109,0,OFFSET(U234,0,-1*'Get Started  3'!$H109)*'Get Started  3'!$E42*'Get Started  3'!$G109))</f>
        <v>4.042500000000003E-2</v>
      </c>
      <c r="V236" s="90">
        <f ca="1">(IF(V4&lt;'Get Started  3'!$H112,0,OFFSET(V234,0,-1*'Get Started  3'!$H112)*'Get Started  3'!$H42*'Get Started  3'!$G112)+IF(V4&lt;'Get Started  3'!$H111,0,OFFSET(V234,0,-1*'Get Started  3'!$H111)*'Get Started  3'!$G42*'Get Started  3'!$G111)+IF(V4&lt;'Get Started  3'!$H110,0,OFFSET(V234,0,-1*'Get Started  3'!$H110)*'Get Started  3'!$F42*'Get Started  3'!$G110)+IF(V4&lt;'Get Started  3'!$H109,0,OFFSET(V234,0,-1*'Get Started  3'!$H109)*'Get Started  3'!$E42*'Get Started  3'!$G109))</f>
        <v>4.042500000000003E-2</v>
      </c>
      <c r="W236" s="90">
        <f ca="1">(IF(W4&lt;'Get Started  3'!$H112,0,OFFSET(W234,0,-1*'Get Started  3'!$H112)*'Get Started  3'!$H42*'Get Started  3'!$G112)+IF(W4&lt;'Get Started  3'!$H111,0,OFFSET(W234,0,-1*'Get Started  3'!$H111)*'Get Started  3'!$G42*'Get Started  3'!$G111)+IF(W4&lt;'Get Started  3'!$H110,0,OFFSET(W234,0,-1*'Get Started  3'!$H110)*'Get Started  3'!$F42*'Get Started  3'!$G110)+IF(W4&lt;'Get Started  3'!$H109,0,OFFSET(W234,0,-1*'Get Started  3'!$H109)*'Get Started  3'!$E42*'Get Started  3'!$G109))</f>
        <v>0.10106250000000006</v>
      </c>
      <c r="X236" s="90">
        <f ca="1">(IF(X4&lt;'Get Started  3'!$H112,0,OFFSET(X234,0,-1*'Get Started  3'!$H112)*'Get Started  3'!$H42*'Get Started  3'!$G112)+IF(X4&lt;'Get Started  3'!$H111,0,OFFSET(X234,0,-1*'Get Started  3'!$H111)*'Get Started  3'!$G42*'Get Started  3'!$G111)+IF(X4&lt;'Get Started  3'!$H110,0,OFFSET(X234,0,-1*'Get Started  3'!$H110)*'Get Started  3'!$F42*'Get Started  3'!$G110)+IF(X4&lt;'Get Started  3'!$H109,0,OFFSET(X234,0,-1*'Get Started  3'!$H109)*'Get Started  3'!$E42*'Get Started  3'!$G109))</f>
        <v>0.10106250000000006</v>
      </c>
      <c r="Y236" s="90">
        <f ca="1">(IF(Y4&lt;'Get Started  3'!$H112,0,OFFSET(Y234,0,-1*'Get Started  3'!$H112)*'Get Started  3'!$H42*'Get Started  3'!$G112)+IF(Y4&lt;'Get Started  3'!$H111,0,OFFSET(Y234,0,-1*'Get Started  3'!$H111)*'Get Started  3'!$G42*'Get Started  3'!$G111)+IF(Y4&lt;'Get Started  3'!$H110,0,OFFSET(Y234,0,-1*'Get Started  3'!$H110)*'Get Started  3'!$F42*'Get Started  3'!$G110)+IF(Y4&lt;'Get Started  3'!$H109,0,OFFSET(Y234,0,-1*'Get Started  3'!$H109)*'Get Started  3'!$E42*'Get Started  3'!$G109))</f>
        <v>0.10106250000000006</v>
      </c>
      <c r="Z236" s="90">
        <f ca="1">(IF(Z4&lt;'Get Started  3'!$H112,0,OFFSET(Z234,0,-1*'Get Started  3'!$H112)*'Get Started  3'!$H42*'Get Started  3'!$G112)+IF(Z4&lt;'Get Started  3'!$H111,0,OFFSET(Z234,0,-1*'Get Started  3'!$H111)*'Get Started  3'!$G42*'Get Started  3'!$G111)+IF(Z4&lt;'Get Started  3'!$H110,0,OFFSET(Z234,0,-1*'Get Started  3'!$H110)*'Get Started  3'!$F42*'Get Started  3'!$G110)+IF(Z4&lt;'Get Started  3'!$H109,0,OFFSET(Z234,0,-1*'Get Started  3'!$H109)*'Get Started  3'!$E42*'Get Started  3'!$G109))</f>
        <v>0.10106250000000006</v>
      </c>
      <c r="AA236" s="90">
        <f ca="1">(IF(AA4&lt;'Get Started  3'!$H112,0,OFFSET(AA234,0,-1*'Get Started  3'!$H112)*'Get Started  3'!$H42*'Get Started  3'!$G112)+IF(AA4&lt;'Get Started  3'!$H111,0,OFFSET(AA234,0,-1*'Get Started  3'!$H111)*'Get Started  3'!$G42*'Get Started  3'!$G111)+IF(AA4&lt;'Get Started  3'!$H110,0,OFFSET(AA234,0,-1*'Get Started  3'!$H110)*'Get Started  3'!$F42*'Get Started  3'!$G110)+IF(AA4&lt;'Get Started  3'!$H109,0,OFFSET(AA234,0,-1*'Get Started  3'!$H109)*'Get Started  3'!$E42*'Get Started  3'!$G109))</f>
        <v>0.10106250000000006</v>
      </c>
      <c r="AB236" s="90">
        <f ca="1">(IF(AB4&lt;'Get Started  3'!$H112,0,OFFSET(AB234,0,-1*'Get Started  3'!$H112)*'Get Started  3'!$H42*'Get Started  3'!$G112)+IF(AB4&lt;'Get Started  3'!$H111,0,OFFSET(AB234,0,-1*'Get Started  3'!$H111)*'Get Started  3'!$G42*'Get Started  3'!$G111)+IF(AB4&lt;'Get Started  3'!$H110,0,OFFSET(AB234,0,-1*'Get Started  3'!$H110)*'Get Started  3'!$F42*'Get Started  3'!$G110)+IF(AB4&lt;'Get Started  3'!$H109,0,OFFSET(AB234,0,-1*'Get Started  3'!$H109)*'Get Started  3'!$E42*'Get Started  3'!$G109))</f>
        <v>0.10106250000000006</v>
      </c>
      <c r="AC236" s="90">
        <f ca="1">(IF(AC4&lt;'Get Started  3'!$H112,0,OFFSET(AC234,0,-1*'Get Started  3'!$H112)*'Get Started  3'!$H42*'Get Started  3'!$G112)+IF(AC4&lt;'Get Started  3'!$H111,0,OFFSET(AC234,0,-1*'Get Started  3'!$H111)*'Get Started  3'!$G42*'Get Started  3'!$G111)+IF(AC4&lt;'Get Started  3'!$H110,0,OFFSET(AC234,0,-1*'Get Started  3'!$H110)*'Get Started  3'!$F42*'Get Started  3'!$G110)+IF(AC4&lt;'Get Started  3'!$H109,0,OFFSET(AC234,0,-1*'Get Started  3'!$H109)*'Get Started  3'!$E42*'Get Started  3'!$G109))</f>
        <v>0.10106250000000006</v>
      </c>
      <c r="AD236" s="90">
        <f ca="1">(IF(AD4&lt;'Get Started  3'!$H112,0,OFFSET(AD234,0,-1*'Get Started  3'!$H112)*'Get Started  3'!$H42*'Get Started  3'!$G112)+IF(AD4&lt;'Get Started  3'!$H111,0,OFFSET(AD234,0,-1*'Get Started  3'!$H111)*'Get Started  3'!$G42*'Get Started  3'!$G111)+IF(AD4&lt;'Get Started  3'!$H110,0,OFFSET(AD234,0,-1*'Get Started  3'!$H110)*'Get Started  3'!$F42*'Get Started  3'!$G110)+IF(AD4&lt;'Get Started  3'!$H109,0,OFFSET(AD234,0,-1*'Get Started  3'!$H109)*'Get Started  3'!$E42*'Get Started  3'!$G109))</f>
        <v>0.10106250000000006</v>
      </c>
      <c r="AE236" s="90">
        <f ca="1">(IF(AE4&lt;'Get Started  3'!$H112,0,OFFSET(AE234,0,-1*'Get Started  3'!$H112)*'Get Started  3'!$H42*'Get Started  3'!$G112)+IF(AE4&lt;'Get Started  3'!$H111,0,OFFSET(AE234,0,-1*'Get Started  3'!$H111)*'Get Started  3'!$G42*'Get Started  3'!$G111)+IF(AE4&lt;'Get Started  3'!$H110,0,OFFSET(AE234,0,-1*'Get Started  3'!$H110)*'Get Started  3'!$F42*'Get Started  3'!$G110)+IF(AE4&lt;'Get Started  3'!$H109,0,OFFSET(AE234,0,-1*'Get Started  3'!$H109)*'Get Started  3'!$E42*'Get Started  3'!$G109))</f>
        <v>0.56213208333333342</v>
      </c>
      <c r="AF236" s="90">
        <f ca="1">(IF(AF4&lt;'Get Started  3'!$H112,0,OFFSET(AF234,0,-1*'Get Started  3'!$H112)*'Get Started  3'!$H42*'Get Started  3'!$G112)+IF(AF4&lt;'Get Started  3'!$H111,0,OFFSET(AF234,0,-1*'Get Started  3'!$H111)*'Get Started  3'!$G42*'Get Started  3'!$G111)+IF(AF4&lt;'Get Started  3'!$H110,0,OFFSET(AF234,0,-1*'Get Started  3'!$H110)*'Get Started  3'!$F42*'Get Started  3'!$G110)+IF(AF4&lt;'Get Started  3'!$H109,0,OFFSET(AF234,0,-1*'Get Started  3'!$H109)*'Get Started  3'!$E42*'Get Started  3'!$G109))</f>
        <v>0.56213208333333342</v>
      </c>
      <c r="AG236" s="90">
        <f ca="1">(IF(AG4&lt;'Get Started  3'!$H112,0,OFFSET(AG234,0,-1*'Get Started  3'!$H112)*'Get Started  3'!$H42*'Get Started  3'!$G112)+IF(AG4&lt;'Get Started  3'!$H111,0,OFFSET(AG234,0,-1*'Get Started  3'!$H111)*'Get Started  3'!$G42*'Get Started  3'!$G111)+IF(AG4&lt;'Get Started  3'!$H110,0,OFFSET(AG234,0,-1*'Get Started  3'!$H110)*'Get Started  3'!$F42*'Get Started  3'!$G110)+IF(AG4&lt;'Get Started  3'!$H109,0,OFFSET(AG234,0,-1*'Get Started  3'!$H109)*'Get Started  3'!$E42*'Get Started  3'!$G109))</f>
        <v>0.56213208333333342</v>
      </c>
      <c r="AH236" s="90">
        <f ca="1">(IF(AH4&lt;'Get Started  3'!$H112,0,OFFSET(AH234,0,-1*'Get Started  3'!$H112)*'Get Started  3'!$H42*'Get Started  3'!$G112)+IF(AH4&lt;'Get Started  3'!$H111,0,OFFSET(AH234,0,-1*'Get Started  3'!$H111)*'Get Started  3'!$G42*'Get Started  3'!$G111)+IF(AH4&lt;'Get Started  3'!$H110,0,OFFSET(AH234,0,-1*'Get Started  3'!$H110)*'Get Started  3'!$F42*'Get Started  3'!$G110)+IF(AH4&lt;'Get Started  3'!$H109,0,OFFSET(AH234,0,-1*'Get Started  3'!$H109)*'Get Started  3'!$E42*'Get Started  3'!$G109))</f>
        <v>0.56213208333333342</v>
      </c>
      <c r="AI236" s="90">
        <f ca="1">(IF(AI4&lt;'Get Started  3'!$H112,0,OFFSET(AI234,0,-1*'Get Started  3'!$H112)*'Get Started  3'!$H42*'Get Started  3'!$G112)+IF(AI4&lt;'Get Started  3'!$H111,0,OFFSET(AI234,0,-1*'Get Started  3'!$H111)*'Get Started  3'!$G42*'Get Started  3'!$G111)+IF(AI4&lt;'Get Started  3'!$H110,0,OFFSET(AI234,0,-1*'Get Started  3'!$H110)*'Get Started  3'!$F42*'Get Started  3'!$G110)+IF(AI4&lt;'Get Started  3'!$H109,0,OFFSET(AI234,0,-1*'Get Started  3'!$H109)*'Get Started  3'!$E42*'Get Started  3'!$G109))</f>
        <v>0.52485124999999999</v>
      </c>
      <c r="AJ236" s="90">
        <f ca="1">(IF(AJ4&lt;'Get Started  3'!$H112,0,OFFSET(AJ234,0,-1*'Get Started  3'!$H112)*'Get Started  3'!$H42*'Get Started  3'!$G112)+IF(AJ4&lt;'Get Started  3'!$H111,0,OFFSET(AJ234,0,-1*'Get Started  3'!$H111)*'Get Started  3'!$G42*'Get Started  3'!$G111)+IF(AJ4&lt;'Get Started  3'!$H110,0,OFFSET(AJ234,0,-1*'Get Started  3'!$H110)*'Get Started  3'!$F42*'Get Started  3'!$G110)+IF(AJ4&lt;'Get Started  3'!$H109,0,OFFSET(AJ234,0,-1*'Get Started  3'!$H109)*'Get Started  3'!$E42*'Get Started  3'!$G109))</f>
        <v>0.52485124999999999</v>
      </c>
      <c r="AK236" s="90">
        <f ca="1">(IF(AK4&lt;'Get Started  3'!$H112,0,OFFSET(AK234,0,-1*'Get Started  3'!$H112)*'Get Started  3'!$H42*'Get Started  3'!$G112)+IF(AK4&lt;'Get Started  3'!$H111,0,OFFSET(AK234,0,-1*'Get Started  3'!$H111)*'Get Started  3'!$G42*'Get Started  3'!$G111)+IF(AK4&lt;'Get Started  3'!$H110,0,OFFSET(AK234,0,-1*'Get Started  3'!$H110)*'Get Started  3'!$F42*'Get Started  3'!$G110)+IF(AK4&lt;'Get Started  3'!$H109,0,OFFSET(AK234,0,-1*'Get Started  3'!$H109)*'Get Started  3'!$E42*'Get Started  3'!$G109))</f>
        <v>0.52485124999999999</v>
      </c>
      <c r="AL236" s="90">
        <f ca="1">(IF(AL4&lt;'Get Started  3'!$H112,0,OFFSET(AL234,0,-1*'Get Started  3'!$H112)*'Get Started  3'!$H42*'Get Started  3'!$G112)+IF(AL4&lt;'Get Started  3'!$H111,0,OFFSET(AL234,0,-1*'Get Started  3'!$H111)*'Get Started  3'!$G42*'Get Started  3'!$G111)+IF(AL4&lt;'Get Started  3'!$H110,0,OFFSET(AL234,0,-1*'Get Started  3'!$H110)*'Get Started  3'!$F42*'Get Started  3'!$G110)+IF(AL4&lt;'Get Started  3'!$H109,0,OFFSET(AL234,0,-1*'Get Started  3'!$H109)*'Get Started  3'!$E42*'Get Started  3'!$G109))</f>
        <v>0.52485124999999999</v>
      </c>
      <c r="AM236" s="90">
        <f ca="1">(IF(AM4&lt;'Get Started  3'!$H112,0,OFFSET(AM234,0,-1*'Get Started  3'!$H112)*'Get Started  3'!$H42*'Get Started  3'!$G112)+IF(AM4&lt;'Get Started  3'!$H111,0,OFFSET(AM234,0,-1*'Get Started  3'!$H111)*'Get Started  3'!$G42*'Get Started  3'!$G111)+IF(AM4&lt;'Get Started  3'!$H110,0,OFFSET(AM234,0,-1*'Get Started  3'!$H110)*'Get Started  3'!$F42*'Get Started  3'!$G110)+IF(AM4&lt;'Get Started  3'!$H109,0,OFFSET(AM234,0,-1*'Get Started  3'!$H109)*'Get Started  3'!$E42*'Get Started  3'!$G109))</f>
        <v>0.45478124999999997</v>
      </c>
      <c r="AN236" s="90">
        <f ca="1">(IF(AN4&lt;'Get Started  3'!$H112,0,OFFSET(AN234,0,-1*'Get Started  3'!$H112)*'Get Started  3'!$H42*'Get Started  3'!$G112)+IF(AN4&lt;'Get Started  3'!$H111,0,OFFSET(AN234,0,-1*'Get Started  3'!$H111)*'Get Started  3'!$G42*'Get Started  3'!$G111)+IF(AN4&lt;'Get Started  3'!$H110,0,OFFSET(AN234,0,-1*'Get Started  3'!$H110)*'Get Started  3'!$F42*'Get Started  3'!$G110)+IF(AN4&lt;'Get Started  3'!$H109,0,OFFSET(AN234,0,-1*'Get Started  3'!$H109)*'Get Started  3'!$E42*'Get Started  3'!$G109))</f>
        <v>0.45478124999999997</v>
      </c>
      <c r="AO236" s="90">
        <f ca="1">(IF(AO4&lt;'Get Started  3'!$H112,0,OFFSET(AO234,0,-1*'Get Started  3'!$H112)*'Get Started  3'!$H42*'Get Started  3'!$G112)+IF(AO4&lt;'Get Started  3'!$H111,0,OFFSET(AO234,0,-1*'Get Started  3'!$H111)*'Get Started  3'!$G42*'Get Started  3'!$G111)+IF(AO4&lt;'Get Started  3'!$H110,0,OFFSET(AO234,0,-1*'Get Started  3'!$H110)*'Get Started  3'!$F42*'Get Started  3'!$G110)+IF(AO4&lt;'Get Started  3'!$H109,0,OFFSET(AO234,0,-1*'Get Started  3'!$H109)*'Get Started  3'!$E42*'Get Started  3'!$G109))</f>
        <v>0.45478124999999997</v>
      </c>
      <c r="AP236" s="90">
        <f ca="1">(IF(AP4&lt;'Get Started  3'!$H112,0,OFFSET(AP234,0,-1*'Get Started  3'!$H112)*'Get Started  3'!$H42*'Get Started  3'!$G112)+IF(AP4&lt;'Get Started  3'!$H111,0,OFFSET(AP234,0,-1*'Get Started  3'!$H111)*'Get Started  3'!$G42*'Get Started  3'!$G111)+IF(AP4&lt;'Get Started  3'!$H110,0,OFFSET(AP234,0,-1*'Get Started  3'!$H110)*'Get Started  3'!$F42*'Get Started  3'!$G110)+IF(AP4&lt;'Get Started  3'!$H109,0,OFFSET(AP234,0,-1*'Get Started  3'!$H109)*'Get Started  3'!$E42*'Get Started  3'!$G109))</f>
        <v>0.45478124999999997</v>
      </c>
      <c r="AQ236" s="90">
        <f ca="1">(IF(AQ4&lt;'Get Started  3'!$H112,0,OFFSET(AQ234,0,-1*'Get Started  3'!$H112)*'Get Started  3'!$H42*'Get Started  3'!$G112)+IF(AQ4&lt;'Get Started  3'!$H111,0,OFFSET(AQ234,0,-1*'Get Started  3'!$H111)*'Get Started  3'!$G42*'Get Started  3'!$G111)+IF(AQ4&lt;'Get Started  3'!$H110,0,OFFSET(AQ234,0,-1*'Get Started  3'!$H110)*'Get Started  3'!$F42*'Get Started  3'!$G110)+IF(AQ4&lt;'Get Started  3'!$H109,0,OFFSET(AQ234,0,-1*'Get Started  3'!$H109)*'Get Started  3'!$E42*'Get Started  3'!$G109))</f>
        <v>0.52552499999999991</v>
      </c>
      <c r="AR236" s="90">
        <f ca="1">(IF(AR4&lt;'Get Started  3'!$H112,0,OFFSET(AR234,0,-1*'Get Started  3'!$H112)*'Get Started  3'!$H42*'Get Started  3'!$G112)+IF(AR4&lt;'Get Started  3'!$H111,0,OFFSET(AR234,0,-1*'Get Started  3'!$H111)*'Get Started  3'!$G42*'Get Started  3'!$G111)+IF(AR4&lt;'Get Started  3'!$H110,0,OFFSET(AR234,0,-1*'Get Started  3'!$H110)*'Get Started  3'!$F42*'Get Started  3'!$G110)+IF(AR4&lt;'Get Started  3'!$H109,0,OFFSET(AR234,0,-1*'Get Started  3'!$H109)*'Get Started  3'!$E42*'Get Started  3'!$G109))</f>
        <v>0.52552499999999991</v>
      </c>
      <c r="AS236" s="90">
        <f ca="1">(IF(AS4&lt;'Get Started  3'!$H112,0,OFFSET(AS234,0,-1*'Get Started  3'!$H112)*'Get Started  3'!$H42*'Get Started  3'!$G112)+IF(AS4&lt;'Get Started  3'!$H111,0,OFFSET(AS234,0,-1*'Get Started  3'!$H111)*'Get Started  3'!$G42*'Get Started  3'!$G111)+IF(AS4&lt;'Get Started  3'!$H110,0,OFFSET(AS234,0,-1*'Get Started  3'!$H110)*'Get Started  3'!$F42*'Get Started  3'!$G110)+IF(AS4&lt;'Get Started  3'!$H109,0,OFFSET(AS234,0,-1*'Get Started  3'!$H109)*'Get Started  3'!$E42*'Get Started  3'!$G109))</f>
        <v>0.52552499999999991</v>
      </c>
      <c r="AT236" s="90">
        <f ca="1">(IF(AT4&lt;'Get Started  3'!$H112,0,OFFSET(AT234,0,-1*'Get Started  3'!$H112)*'Get Started  3'!$H42*'Get Started  3'!$G112)+IF(AT4&lt;'Get Started  3'!$H111,0,OFFSET(AT234,0,-1*'Get Started  3'!$H111)*'Get Started  3'!$G42*'Get Started  3'!$G111)+IF(AT4&lt;'Get Started  3'!$H110,0,OFFSET(AT234,0,-1*'Get Started  3'!$H110)*'Get Started  3'!$F42*'Get Started  3'!$G110)+IF(AT4&lt;'Get Started  3'!$H109,0,OFFSET(AT234,0,-1*'Get Started  3'!$H109)*'Get Started  3'!$E42*'Get Started  3'!$G109))</f>
        <v>0.52552499999999991</v>
      </c>
      <c r="AU236" s="90">
        <f ca="1">(IF(AU4&lt;'Get Started  3'!$H112,0,OFFSET(AU234,0,-1*'Get Started  3'!$H112)*'Get Started  3'!$H42*'Get Started  3'!$G112)+IF(AU4&lt;'Get Started  3'!$H111,0,OFFSET(AU234,0,-1*'Get Started  3'!$H111)*'Get Started  3'!$G42*'Get Started  3'!$G111)+IF(AU4&lt;'Get Started  3'!$H110,0,OFFSET(AU234,0,-1*'Get Started  3'!$H110)*'Get Started  3'!$F42*'Get Started  3'!$G110)+IF(AU4&lt;'Get Started  3'!$H109,0,OFFSET(AU234,0,-1*'Get Started  3'!$H109)*'Get Started  3'!$E42*'Get Started  3'!$G109))</f>
        <v>0</v>
      </c>
      <c r="AV236" s="90">
        <f ca="1">(IF(AV4&lt;'Get Started  3'!$H112,0,OFFSET(AV234,0,-1*'Get Started  3'!$H112)*'Get Started  3'!$H42*'Get Started  3'!$G112)+IF(AV4&lt;'Get Started  3'!$H111,0,OFFSET(AV234,0,-1*'Get Started  3'!$H111)*'Get Started  3'!$G42*'Get Started  3'!$G111)+IF(AV4&lt;'Get Started  3'!$H110,0,OFFSET(AV234,0,-1*'Get Started  3'!$H110)*'Get Started  3'!$F42*'Get Started  3'!$G110)+IF(AV4&lt;'Get Started  3'!$H109,0,OFFSET(AV234,0,-1*'Get Started  3'!$H109)*'Get Started  3'!$E42*'Get Started  3'!$G109))</f>
        <v>0</v>
      </c>
      <c r="AW236" s="90">
        <f ca="1">(IF(AW4&lt;'Get Started  3'!$H112,0,OFFSET(AW234,0,-1*'Get Started  3'!$H112)*'Get Started  3'!$H42*'Get Started  3'!$G112)+IF(AW4&lt;'Get Started  3'!$H111,0,OFFSET(AW234,0,-1*'Get Started  3'!$H111)*'Get Started  3'!$G42*'Get Started  3'!$G111)+IF(AW4&lt;'Get Started  3'!$H110,0,OFFSET(AW234,0,-1*'Get Started  3'!$H110)*'Get Started  3'!$F42*'Get Started  3'!$G110)+IF(AW4&lt;'Get Started  3'!$H109,0,OFFSET(AW234,0,-1*'Get Started  3'!$H109)*'Get Started  3'!$E42*'Get Started  3'!$G109))</f>
        <v>0</v>
      </c>
      <c r="AX236" s="90">
        <f ca="1">(IF(AX4&lt;'Get Started  3'!$H112,0,OFFSET(AX234,0,-1*'Get Started  3'!$H112)*'Get Started  3'!$H42*'Get Started  3'!$G112)+IF(AX4&lt;'Get Started  3'!$H111,0,OFFSET(AX234,0,-1*'Get Started  3'!$H111)*'Get Started  3'!$G42*'Get Started  3'!$G111)+IF(AX4&lt;'Get Started  3'!$H110,0,OFFSET(AX234,0,-1*'Get Started  3'!$H110)*'Get Started  3'!$F42*'Get Started  3'!$G110)+IF(AX4&lt;'Get Started  3'!$H109,0,OFFSET(AX234,0,-1*'Get Started  3'!$H109)*'Get Started  3'!$E42*'Get Started  3'!$G109))</f>
        <v>0</v>
      </c>
      <c r="AY236" s="90">
        <f ca="1">(IF(AY4&lt;'Get Started  3'!$H112,0,OFFSET(AY234,0,-1*'Get Started  3'!$H112)*'Get Started  3'!$H42*'Get Started  3'!$G112)+IF(AY4&lt;'Get Started  3'!$H111,0,OFFSET(AY234,0,-1*'Get Started  3'!$H111)*'Get Started  3'!$G42*'Get Started  3'!$G111)+IF(AY4&lt;'Get Started  3'!$H110,0,OFFSET(AY234,0,-1*'Get Started  3'!$H110)*'Get Started  3'!$F42*'Get Started  3'!$G110)+IF(AY4&lt;'Get Started  3'!$H109,0,OFFSET(AY234,0,-1*'Get Started  3'!$H109)*'Get Started  3'!$E42*'Get Started  3'!$G109))</f>
        <v>0</v>
      </c>
      <c r="AZ236" s="90">
        <f ca="1">(IF(AZ4&lt;'Get Started  3'!$H112,0,OFFSET(AZ234,0,-1*'Get Started  3'!$H112)*'Get Started  3'!$H42*'Get Started  3'!$G112)+IF(AZ4&lt;'Get Started  3'!$H111,0,OFFSET(AZ234,0,-1*'Get Started  3'!$H111)*'Get Started  3'!$G42*'Get Started  3'!$G111)+IF(AZ4&lt;'Get Started  3'!$H110,0,OFFSET(AZ234,0,-1*'Get Started  3'!$H110)*'Get Started  3'!$F42*'Get Started  3'!$G110)+IF(AZ4&lt;'Get Started  3'!$H109,0,OFFSET(AZ234,0,-1*'Get Started  3'!$H109)*'Get Started  3'!$E42*'Get Started  3'!$G109))</f>
        <v>0</v>
      </c>
      <c r="BA236" s="90">
        <f ca="1">(IF(BA4&lt;'Get Started  3'!$H112,0,OFFSET(BA234,0,-1*'Get Started  3'!$H112)*'Get Started  3'!$H42*'Get Started  3'!$G112)+IF(BA4&lt;'Get Started  3'!$H111,0,OFFSET(BA234,0,-1*'Get Started  3'!$H111)*'Get Started  3'!$G42*'Get Started  3'!$G111)+IF(BA4&lt;'Get Started  3'!$H110,0,OFFSET(BA234,0,-1*'Get Started  3'!$H110)*'Get Started  3'!$F42*'Get Started  3'!$G110)+IF(BA4&lt;'Get Started  3'!$H109,0,OFFSET(BA234,0,-1*'Get Started  3'!$H109)*'Get Started  3'!$E42*'Get Started  3'!$G109))</f>
        <v>0</v>
      </c>
      <c r="BB236" s="90">
        <f ca="1">(IF(BB4&lt;'Get Started  3'!$H112,0,OFFSET(BB234,0,-1*'Get Started  3'!$H112)*'Get Started  3'!$H42*'Get Started  3'!$G112)+IF(BB4&lt;'Get Started  3'!$H111,0,OFFSET(BB234,0,-1*'Get Started  3'!$H111)*'Get Started  3'!$G42*'Get Started  3'!$G111)+IF(BB4&lt;'Get Started  3'!$H110,0,OFFSET(BB234,0,-1*'Get Started  3'!$H110)*'Get Started  3'!$F42*'Get Started  3'!$G110)+IF(BB4&lt;'Get Started  3'!$H109,0,OFFSET(BB234,0,-1*'Get Started  3'!$H109)*'Get Started  3'!$E42*'Get Started  3'!$G109))</f>
        <v>0</v>
      </c>
      <c r="BC236" s="90">
        <f ca="1">(IF(BC4&lt;'Get Started  3'!$H112,0,OFFSET(BC234,0,-1*'Get Started  3'!$H112)*'Get Started  3'!$H42*'Get Started  3'!$G112)+IF(BC4&lt;'Get Started  3'!$H111,0,OFFSET(BC234,0,-1*'Get Started  3'!$H111)*'Get Started  3'!$G42*'Get Started  3'!$G111)+IF(BC4&lt;'Get Started  3'!$H110,0,OFFSET(BC234,0,-1*'Get Started  3'!$H110)*'Get Started  3'!$F42*'Get Started  3'!$G110)+IF(BC4&lt;'Get Started  3'!$H109,0,OFFSET(BC234,0,-1*'Get Started  3'!$H109)*'Get Started  3'!$E42*'Get Started  3'!$G109))</f>
        <v>0</v>
      </c>
      <c r="BD236" s="90">
        <f ca="1">(IF(BD4&lt;'Get Started  3'!$H112,0,OFFSET(BD234,0,-1*'Get Started  3'!$H112)*'Get Started  3'!$H42*'Get Started  3'!$G112)+IF(BD4&lt;'Get Started  3'!$H111,0,OFFSET(BD234,0,-1*'Get Started  3'!$H111)*'Get Started  3'!$G42*'Get Started  3'!$G111)+IF(BD4&lt;'Get Started  3'!$H110,0,OFFSET(BD234,0,-1*'Get Started  3'!$H110)*'Get Started  3'!$F42*'Get Started  3'!$G110)+IF(BD4&lt;'Get Started  3'!$H109,0,OFFSET(BD234,0,-1*'Get Started  3'!$H109)*'Get Started  3'!$E42*'Get Started  3'!$G109))</f>
        <v>0</v>
      </c>
      <c r="BE236" s="90">
        <f ca="1">(IF(BE4&lt;'Get Started  3'!$H112,0,OFFSET(BE234,0,-1*'Get Started  3'!$H112)*'Get Started  3'!$H42*'Get Started  3'!$G112)+IF(BE4&lt;'Get Started  3'!$H111,0,OFFSET(BE234,0,-1*'Get Started  3'!$H111)*'Get Started  3'!$G42*'Get Started  3'!$G111)+IF(BE4&lt;'Get Started  3'!$H110,0,OFFSET(BE234,0,-1*'Get Started  3'!$H110)*'Get Started  3'!$F42*'Get Started  3'!$G110)+IF(BE4&lt;'Get Started  3'!$H109,0,OFFSET(BE234,0,-1*'Get Started  3'!$H109)*'Get Started  3'!$E42*'Get Started  3'!$G109))</f>
        <v>0</v>
      </c>
      <c r="BF236" s="90">
        <f ca="1">(IF(BF4&lt;'Get Started  3'!$H112,0,OFFSET(BF234,0,-1*'Get Started  3'!$H112)*'Get Started  3'!$H42*'Get Started  3'!$G112)+IF(BF4&lt;'Get Started  3'!$H111,0,OFFSET(BF234,0,-1*'Get Started  3'!$H111)*'Get Started  3'!$G42*'Get Started  3'!$G111)+IF(BF4&lt;'Get Started  3'!$H110,0,OFFSET(BF234,0,-1*'Get Started  3'!$H110)*'Get Started  3'!$F42*'Get Started  3'!$G110)+IF(BF4&lt;'Get Started  3'!$H109,0,OFFSET(BF234,0,-1*'Get Started  3'!$H109)*'Get Started  3'!$E42*'Get Started  3'!$G109))</f>
        <v>0</v>
      </c>
      <c r="BG236" s="90">
        <f ca="1">(IF(BG4&lt;'Get Started  3'!$H112,0,OFFSET(BG234,0,-1*'Get Started  3'!$H112)*'Get Started  3'!$H42*'Get Started  3'!$G112)+IF(BG4&lt;'Get Started  3'!$H111,0,OFFSET(BG234,0,-1*'Get Started  3'!$H111)*'Get Started  3'!$G42*'Get Started  3'!$G111)+IF(BG4&lt;'Get Started  3'!$H110,0,OFFSET(BG234,0,-1*'Get Started  3'!$H110)*'Get Started  3'!$F42*'Get Started  3'!$G110)+IF(BG4&lt;'Get Started  3'!$H109,0,OFFSET(BG234,0,-1*'Get Started  3'!$H109)*'Get Started  3'!$E42*'Get Started  3'!$G109))</f>
        <v>0</v>
      </c>
      <c r="BH236" s="90">
        <f ca="1">(IF(BH4&lt;'Get Started  3'!$H112,0,OFFSET(BH234,0,-1*'Get Started  3'!$H112)*'Get Started  3'!$H42*'Get Started  3'!$G112)+IF(BH4&lt;'Get Started  3'!$H111,0,OFFSET(BH234,0,-1*'Get Started  3'!$H111)*'Get Started  3'!$G42*'Get Started  3'!$G111)+IF(BH4&lt;'Get Started  3'!$H110,0,OFFSET(BH234,0,-1*'Get Started  3'!$H110)*'Get Started  3'!$F42*'Get Started  3'!$G110)+IF(BH4&lt;'Get Started  3'!$H109,0,OFFSET(BH234,0,-1*'Get Started  3'!$H109)*'Get Started  3'!$E42*'Get Started  3'!$G109))</f>
        <v>0</v>
      </c>
      <c r="BI236" s="90">
        <f ca="1">(IF(BI4&lt;'Get Started  3'!$H112,0,OFFSET(BI234,0,-1*'Get Started  3'!$H112)*'Get Started  3'!$H42*'Get Started  3'!$G112)+IF(BI4&lt;'Get Started  3'!$H111,0,OFFSET(BI234,0,-1*'Get Started  3'!$H111)*'Get Started  3'!$G42*'Get Started  3'!$G111)+IF(BI4&lt;'Get Started  3'!$H110,0,OFFSET(BI234,0,-1*'Get Started  3'!$H110)*'Get Started  3'!$F42*'Get Started  3'!$G110)+IF(BI4&lt;'Get Started  3'!$H109,0,OFFSET(BI234,0,-1*'Get Started  3'!$H109)*'Get Started  3'!$E42*'Get Started  3'!$G109))</f>
        <v>0</v>
      </c>
      <c r="BJ236" s="90">
        <f ca="1">(IF(BJ4&lt;'Get Started  3'!$H112,0,OFFSET(BJ234,0,-1*'Get Started  3'!$H112)*'Get Started  3'!$H42*'Get Started  3'!$G112)+IF(BJ4&lt;'Get Started  3'!$H111,0,OFFSET(BJ234,0,-1*'Get Started  3'!$H111)*'Get Started  3'!$G42*'Get Started  3'!$G111)+IF(BJ4&lt;'Get Started  3'!$H110,0,OFFSET(BJ234,0,-1*'Get Started  3'!$H110)*'Get Started  3'!$F42*'Get Started  3'!$G110)+IF(BJ4&lt;'Get Started  3'!$H109,0,OFFSET(BJ234,0,-1*'Get Started  3'!$H109)*'Get Started  3'!$E42*'Get Started  3'!$G109))</f>
        <v>0</v>
      </c>
      <c r="BK236" s="90">
        <f ca="1">(IF(BK4&lt;'Get Started  3'!$H112,0,OFFSET(BK234,0,-1*'Get Started  3'!$H112)*'Get Started  3'!$H42*'Get Started  3'!$G112)+IF(BK4&lt;'Get Started  3'!$H111,0,OFFSET(BK234,0,-1*'Get Started  3'!$H111)*'Get Started  3'!$G42*'Get Started  3'!$G111)+IF(BK4&lt;'Get Started  3'!$H110,0,OFFSET(BK234,0,-1*'Get Started  3'!$H110)*'Get Started  3'!$F42*'Get Started  3'!$G110)+IF(BK4&lt;'Get Started  3'!$H109,0,OFFSET(BK234,0,-1*'Get Started  3'!$H109)*'Get Started  3'!$E42*'Get Started  3'!$G109))</f>
        <v>0</v>
      </c>
      <c r="BL236" s="90">
        <f ca="1">(IF(BL4&lt;'Get Started  3'!$H112,0,OFFSET(BL234,0,-1*'Get Started  3'!$H112)*'Get Started  3'!$H42*'Get Started  3'!$G112)+IF(BL4&lt;'Get Started  3'!$H111,0,OFFSET(BL234,0,-1*'Get Started  3'!$H111)*'Get Started  3'!$G42*'Get Started  3'!$G111)+IF(BL4&lt;'Get Started  3'!$H110,0,OFFSET(BL234,0,-1*'Get Started  3'!$H110)*'Get Started  3'!$F42*'Get Started  3'!$G110)+IF(BL4&lt;'Get Started  3'!$H109,0,OFFSET(BL234,0,-1*'Get Started  3'!$H109)*'Get Started  3'!$E42*'Get Started  3'!$G109))</f>
        <v>0</v>
      </c>
      <c r="BM236" s="90">
        <f ca="1">(IF(BM4&lt;'Get Started  3'!$H112,0,OFFSET(BM234,0,-1*'Get Started  3'!$H112)*'Get Started  3'!$H42*'Get Started  3'!$G112)+IF(BM4&lt;'Get Started  3'!$H111,0,OFFSET(BM234,0,-1*'Get Started  3'!$H111)*'Get Started  3'!$G42*'Get Started  3'!$G111)+IF(BM4&lt;'Get Started  3'!$H110,0,OFFSET(BM234,0,-1*'Get Started  3'!$H110)*'Get Started  3'!$F42*'Get Started  3'!$G110)+IF(BM4&lt;'Get Started  3'!$H109,0,OFFSET(BM234,0,-1*'Get Started  3'!$H109)*'Get Started  3'!$E42*'Get Started  3'!$G109))</f>
        <v>0</v>
      </c>
      <c r="BN236" s="90">
        <f ca="1">(IF(BN4&lt;'Get Started  3'!$H112,0,OFFSET(BN234,0,-1*'Get Started  3'!$H112)*'Get Started  3'!$H42*'Get Started  3'!$G112)+IF(BN4&lt;'Get Started  3'!$H111,0,OFFSET(BN234,0,-1*'Get Started  3'!$H111)*'Get Started  3'!$G42*'Get Started  3'!$G111)+IF(BN4&lt;'Get Started  3'!$H110,0,OFFSET(BN234,0,-1*'Get Started  3'!$H110)*'Get Started  3'!$F42*'Get Started  3'!$G110)+IF(BN4&lt;'Get Started  3'!$H109,0,OFFSET(BN234,0,-1*'Get Started  3'!$H109)*'Get Started  3'!$E42*'Get Started  3'!$G109))</f>
        <v>0</v>
      </c>
      <c r="BO236" s="90">
        <f ca="1">(IF(BO4&lt;'Get Started  3'!$H112,0,OFFSET(BO234,0,-1*'Get Started  3'!$H112)*'Get Started  3'!$H42*'Get Started  3'!$G112)+IF(BO4&lt;'Get Started  3'!$H111,0,OFFSET(BO234,0,-1*'Get Started  3'!$H111)*'Get Started  3'!$G42*'Get Started  3'!$G111)+IF(BO4&lt;'Get Started  3'!$H110,0,OFFSET(BO234,0,-1*'Get Started  3'!$H110)*'Get Started  3'!$F42*'Get Started  3'!$G110)+IF(BO4&lt;'Get Started  3'!$H109,0,OFFSET(BO234,0,-1*'Get Started  3'!$H109)*'Get Started  3'!$E42*'Get Started  3'!$G109))</f>
        <v>0</v>
      </c>
      <c r="BP236" s="90">
        <f ca="1">(IF(BP4&lt;'Get Started  3'!$H112,0,OFFSET(BP234,0,-1*'Get Started  3'!$H112)*'Get Started  3'!$H42*'Get Started  3'!$G112)+IF(BP4&lt;'Get Started  3'!$H111,0,OFFSET(BP234,0,-1*'Get Started  3'!$H111)*'Get Started  3'!$G42*'Get Started  3'!$G111)+IF(BP4&lt;'Get Started  3'!$H110,0,OFFSET(BP234,0,-1*'Get Started  3'!$H110)*'Get Started  3'!$F42*'Get Started  3'!$G110)+IF(BP4&lt;'Get Started  3'!$H109,0,OFFSET(BP234,0,-1*'Get Started  3'!$H109)*'Get Started  3'!$E42*'Get Started  3'!$G109))</f>
        <v>0</v>
      </c>
      <c r="BQ236" s="90">
        <f ca="1">(IF(BQ4&lt;'Get Started  3'!$H112,0,OFFSET(BQ234,0,-1*'Get Started  3'!$H112)*'Get Started  3'!$H42*'Get Started  3'!$G112)+IF(BQ4&lt;'Get Started  3'!$H111,0,OFFSET(BQ234,0,-1*'Get Started  3'!$H111)*'Get Started  3'!$G42*'Get Started  3'!$G111)+IF(BQ4&lt;'Get Started  3'!$H110,0,OFFSET(BQ234,0,-1*'Get Started  3'!$H110)*'Get Started  3'!$F42*'Get Started  3'!$G110)+IF(BQ4&lt;'Get Started  3'!$H109,0,OFFSET(BQ234,0,-1*'Get Started  3'!$H109)*'Get Started  3'!$E42*'Get Started  3'!$G109))</f>
        <v>0</v>
      </c>
      <c r="BR236" s="90">
        <f ca="1">(IF(BR4&lt;'Get Started  3'!$H112,0,OFFSET(BR234,0,-1*'Get Started  3'!$H112)*'Get Started  3'!$H42*'Get Started  3'!$G112)+IF(BR4&lt;'Get Started  3'!$H111,0,OFFSET(BR234,0,-1*'Get Started  3'!$H111)*'Get Started  3'!$G42*'Get Started  3'!$G111)+IF(BR4&lt;'Get Started  3'!$H110,0,OFFSET(BR234,0,-1*'Get Started  3'!$H110)*'Get Started  3'!$F42*'Get Started  3'!$G110)+IF(BR4&lt;'Get Started  3'!$H109,0,OFFSET(BR234,0,-1*'Get Started  3'!$H109)*'Get Started  3'!$E42*'Get Started  3'!$G109))</f>
        <v>0</v>
      </c>
      <c r="BS236" s="90">
        <f ca="1">(IF(BS4&lt;'Get Started  3'!$H112,0,OFFSET(BS234,0,-1*'Get Started  3'!$H112)*'Get Started  3'!$H42*'Get Started  3'!$G112)+IF(BS4&lt;'Get Started  3'!$H111,0,OFFSET(BS234,0,-1*'Get Started  3'!$H111)*'Get Started  3'!$G42*'Get Started  3'!$G111)+IF(BS4&lt;'Get Started  3'!$H110,0,OFFSET(BS234,0,-1*'Get Started  3'!$H110)*'Get Started  3'!$F42*'Get Started  3'!$G110)+IF(BS4&lt;'Get Started  3'!$H109,0,OFFSET(BS234,0,-1*'Get Started  3'!$H109)*'Get Started  3'!$E42*'Get Started  3'!$G109))</f>
        <v>0</v>
      </c>
      <c r="BT236" s="90">
        <f ca="1">(IF(BT4&lt;'Get Started  3'!$H112,0,OFFSET(BT234,0,-1*'Get Started  3'!$H112)*'Get Started  3'!$H42*'Get Started  3'!$G112)+IF(BT4&lt;'Get Started  3'!$H111,0,OFFSET(BT234,0,-1*'Get Started  3'!$H111)*'Get Started  3'!$G42*'Get Started  3'!$G111)+IF(BT4&lt;'Get Started  3'!$H110,0,OFFSET(BT234,0,-1*'Get Started  3'!$H110)*'Get Started  3'!$F42*'Get Started  3'!$G110)+IF(BT4&lt;'Get Started  3'!$H109,0,OFFSET(BT234,0,-1*'Get Started  3'!$H109)*'Get Started  3'!$E42*'Get Started  3'!$G109))</f>
        <v>0</v>
      </c>
      <c r="BU236" s="90">
        <f ca="1">(IF(BU4&lt;'Get Started  3'!$H112,0,OFFSET(BU234,0,-1*'Get Started  3'!$H112)*'Get Started  3'!$H42*'Get Started  3'!$G112)+IF(BU4&lt;'Get Started  3'!$H111,0,OFFSET(BU234,0,-1*'Get Started  3'!$H111)*'Get Started  3'!$G42*'Get Started  3'!$G111)+IF(BU4&lt;'Get Started  3'!$H110,0,OFFSET(BU234,0,-1*'Get Started  3'!$H110)*'Get Started  3'!$F42*'Get Started  3'!$G110)+IF(BU4&lt;'Get Started  3'!$H109,0,OFFSET(BU234,0,-1*'Get Started  3'!$H109)*'Get Started  3'!$E42*'Get Started  3'!$G109))</f>
        <v>0</v>
      </c>
      <c r="BV236" s="90">
        <f ca="1">(IF(BV4&lt;'Get Started  3'!$H112,0,OFFSET(BV234,0,-1*'Get Started  3'!$H112)*'Get Started  3'!$H42*'Get Started  3'!$G112)+IF(BV4&lt;'Get Started  3'!$H111,0,OFFSET(BV234,0,-1*'Get Started  3'!$H111)*'Get Started  3'!$G42*'Get Started  3'!$G111)+IF(BV4&lt;'Get Started  3'!$H110,0,OFFSET(BV234,0,-1*'Get Started  3'!$H110)*'Get Started  3'!$F42*'Get Started  3'!$G110)+IF(BV4&lt;'Get Started  3'!$H109,0,OFFSET(BV234,0,-1*'Get Started  3'!$H109)*'Get Started  3'!$E42*'Get Started  3'!$G109))</f>
        <v>0</v>
      </c>
      <c r="BW236" s="90">
        <f ca="1">(IF(BW4&lt;'Get Started  3'!$H112,0,OFFSET(BW234,0,-1*'Get Started  3'!$H112)*'Get Started  3'!$H42*'Get Started  3'!$G112)+IF(BW4&lt;'Get Started  3'!$H111,0,OFFSET(BW234,0,-1*'Get Started  3'!$H111)*'Get Started  3'!$G42*'Get Started  3'!$G111)+IF(BW4&lt;'Get Started  3'!$H110,0,OFFSET(BW234,0,-1*'Get Started  3'!$H110)*'Get Started  3'!$F42*'Get Started  3'!$G110)+IF(BW4&lt;'Get Started  3'!$H109,0,OFFSET(BW234,0,-1*'Get Started  3'!$H109)*'Get Started  3'!$E42*'Get Started  3'!$G109))</f>
        <v>0</v>
      </c>
      <c r="BX236" s="90">
        <f ca="1">(IF(BX4&lt;'Get Started  3'!$H112,0,OFFSET(BX234,0,-1*'Get Started  3'!$H112)*'Get Started  3'!$H42*'Get Started  3'!$G112)+IF(BX4&lt;'Get Started  3'!$H111,0,OFFSET(BX234,0,-1*'Get Started  3'!$H111)*'Get Started  3'!$G42*'Get Started  3'!$G111)+IF(BX4&lt;'Get Started  3'!$H110,0,OFFSET(BX234,0,-1*'Get Started  3'!$H110)*'Get Started  3'!$F42*'Get Started  3'!$G110)+IF(BX4&lt;'Get Started  3'!$H109,0,OFFSET(BX234,0,-1*'Get Started  3'!$H109)*'Get Started  3'!$E42*'Get Started  3'!$G109))</f>
        <v>0</v>
      </c>
      <c r="BY236" s="90">
        <f ca="1">(IF(BY4&lt;'Get Started  3'!$H112,0,OFFSET(BY234,0,-1*'Get Started  3'!$H112)*'Get Started  3'!$H42*'Get Started  3'!$G112)+IF(BY4&lt;'Get Started  3'!$H111,0,OFFSET(BY234,0,-1*'Get Started  3'!$H111)*'Get Started  3'!$G42*'Get Started  3'!$G111)+IF(BY4&lt;'Get Started  3'!$H110,0,OFFSET(BY234,0,-1*'Get Started  3'!$H110)*'Get Started  3'!$F42*'Get Started  3'!$G110)+IF(BY4&lt;'Get Started  3'!$H109,0,OFFSET(BY234,0,-1*'Get Started  3'!$H109)*'Get Started  3'!$E42*'Get Started  3'!$G109))</f>
        <v>0</v>
      </c>
      <c r="BZ236" s="90">
        <f ca="1">(IF(BZ4&lt;'Get Started  3'!$H112,0,OFFSET(BZ234,0,-1*'Get Started  3'!$H112)*'Get Started  3'!$H42*'Get Started  3'!$G112)+IF(BZ4&lt;'Get Started  3'!$H111,0,OFFSET(BZ234,0,-1*'Get Started  3'!$H111)*'Get Started  3'!$G42*'Get Started  3'!$G111)+IF(BZ4&lt;'Get Started  3'!$H110,0,OFFSET(BZ234,0,-1*'Get Started  3'!$H110)*'Get Started  3'!$F42*'Get Started  3'!$G110)+IF(BZ4&lt;'Get Started  3'!$H109,0,OFFSET(BZ234,0,-1*'Get Started  3'!$H109)*'Get Started  3'!$E42*'Get Started  3'!$G109))</f>
        <v>0</v>
      </c>
      <c r="CA236" s="90">
        <f ca="1">(IF(CA4&lt;'Get Started  3'!$H112,0,OFFSET(CA234,0,-1*'Get Started  3'!$H112)*'Get Started  3'!$H42*'Get Started  3'!$G112)+IF(CA4&lt;'Get Started  3'!$H111,0,OFFSET(CA234,0,-1*'Get Started  3'!$H111)*'Get Started  3'!$G42*'Get Started  3'!$G111)+IF(CA4&lt;'Get Started  3'!$H110,0,OFFSET(CA234,0,-1*'Get Started  3'!$H110)*'Get Started  3'!$F42*'Get Started  3'!$G110)+IF(CA4&lt;'Get Started  3'!$H109,0,OFFSET(CA234,0,-1*'Get Started  3'!$H109)*'Get Started  3'!$E42*'Get Started  3'!$G109))</f>
        <v>0</v>
      </c>
      <c r="CB236" s="90">
        <f ca="1">(IF(CB4&lt;'Get Started  3'!$H112,0,OFFSET(CB234,0,-1*'Get Started  3'!$H112)*'Get Started  3'!$H42*'Get Started  3'!$G112)+IF(CB4&lt;'Get Started  3'!$H111,0,OFFSET(CB234,0,-1*'Get Started  3'!$H111)*'Get Started  3'!$G42*'Get Started  3'!$G111)+IF(CB4&lt;'Get Started  3'!$H110,0,OFFSET(CB234,0,-1*'Get Started  3'!$H110)*'Get Started  3'!$F42*'Get Started  3'!$G110)+IF(CB4&lt;'Get Started  3'!$H109,0,OFFSET(CB234,0,-1*'Get Started  3'!$H109)*'Get Started  3'!$E42*'Get Started  3'!$G109))</f>
        <v>0</v>
      </c>
      <c r="CC236" s="90">
        <f ca="1">(IF(CC4&lt;'Get Started  3'!$H112,0,OFFSET(CC234,0,-1*'Get Started  3'!$H112)*'Get Started  3'!$H42*'Get Started  3'!$G112)+IF(CC4&lt;'Get Started  3'!$H111,0,OFFSET(CC234,0,-1*'Get Started  3'!$H111)*'Get Started  3'!$G42*'Get Started  3'!$G111)+IF(CC4&lt;'Get Started  3'!$H110,0,OFFSET(CC234,0,-1*'Get Started  3'!$H110)*'Get Started  3'!$F42*'Get Started  3'!$G110)+IF(CC4&lt;'Get Started  3'!$H109,0,OFFSET(CC234,0,-1*'Get Started  3'!$H109)*'Get Started  3'!$E42*'Get Started  3'!$G109))</f>
        <v>0</v>
      </c>
      <c r="CD236" s="90">
        <f ca="1">(IF(CD4&lt;'Get Started  3'!$H112,0,OFFSET(CD234,0,-1*'Get Started  3'!$H112)*'Get Started  3'!$H42*'Get Started  3'!$G112)+IF(CD4&lt;'Get Started  3'!$H111,0,OFFSET(CD234,0,-1*'Get Started  3'!$H111)*'Get Started  3'!$G42*'Get Started  3'!$G111)+IF(CD4&lt;'Get Started  3'!$H110,0,OFFSET(CD234,0,-1*'Get Started  3'!$H110)*'Get Started  3'!$F42*'Get Started  3'!$G110)+IF(CD4&lt;'Get Started  3'!$H109,0,OFFSET(CD234,0,-1*'Get Started  3'!$H109)*'Get Started  3'!$E42*'Get Started  3'!$G109))</f>
        <v>0</v>
      </c>
      <c r="CE236" s="90">
        <f ca="1">(IF(CE4&lt;'Get Started  3'!$H112,0,OFFSET(CE234,0,-1*'Get Started  3'!$H112)*'Get Started  3'!$H42*'Get Started  3'!$G112)+IF(CE4&lt;'Get Started  3'!$H111,0,OFFSET(CE234,0,-1*'Get Started  3'!$H111)*'Get Started  3'!$G42*'Get Started  3'!$G111)+IF(CE4&lt;'Get Started  3'!$H110,0,OFFSET(CE234,0,-1*'Get Started  3'!$H110)*'Get Started  3'!$F42*'Get Started  3'!$G110)+IF(CE4&lt;'Get Started  3'!$H109,0,OFFSET(CE234,0,-1*'Get Started  3'!$H109)*'Get Started  3'!$E42*'Get Started  3'!$G109))</f>
        <v>0</v>
      </c>
      <c r="CF236" s="90">
        <f ca="1">(IF(CF4&lt;'Get Started  3'!$H112,0,OFFSET(CF234,0,-1*'Get Started  3'!$H112)*'Get Started  3'!$H42*'Get Started  3'!$G112)+IF(CF4&lt;'Get Started  3'!$H111,0,OFFSET(CF234,0,-1*'Get Started  3'!$H111)*'Get Started  3'!$G42*'Get Started  3'!$G111)+IF(CF4&lt;'Get Started  3'!$H110,0,OFFSET(CF234,0,-1*'Get Started  3'!$H110)*'Get Started  3'!$F42*'Get Started  3'!$G110)+IF(CF4&lt;'Get Started  3'!$H109,0,OFFSET(CF234,0,-1*'Get Started  3'!$H109)*'Get Started  3'!$E42*'Get Started  3'!$G109))</f>
        <v>0</v>
      </c>
      <c r="CG236" s="90">
        <f ca="1">(IF(CG4&lt;'Get Started  3'!$H112,0,OFFSET(CG234,0,-1*'Get Started  3'!$H112)*'Get Started  3'!$H42*'Get Started  3'!$G112)+IF(CG4&lt;'Get Started  3'!$H111,0,OFFSET(CG234,0,-1*'Get Started  3'!$H111)*'Get Started  3'!$G42*'Get Started  3'!$G111)+IF(CG4&lt;'Get Started  3'!$H110,0,OFFSET(CG234,0,-1*'Get Started  3'!$H110)*'Get Started  3'!$F42*'Get Started  3'!$G110)+IF(CG4&lt;'Get Started  3'!$H109,0,OFFSET(CG234,0,-1*'Get Started  3'!$H109)*'Get Started  3'!$E42*'Get Started  3'!$G109))</f>
        <v>0</v>
      </c>
      <c r="CH236" s="90">
        <f ca="1">(IF(CH4&lt;'Get Started  3'!$H112,0,OFFSET(CH234,0,-1*'Get Started  3'!$H112)*'Get Started  3'!$H42*'Get Started  3'!$G112)+IF(CH4&lt;'Get Started  3'!$H111,0,OFFSET(CH234,0,-1*'Get Started  3'!$H111)*'Get Started  3'!$G42*'Get Started  3'!$G111)+IF(CH4&lt;'Get Started  3'!$H110,0,OFFSET(CH234,0,-1*'Get Started  3'!$H110)*'Get Started  3'!$F42*'Get Started  3'!$G110)+IF(CH4&lt;'Get Started  3'!$H109,0,OFFSET(CH234,0,-1*'Get Started  3'!$H109)*'Get Started  3'!$E42*'Get Started  3'!$G109))</f>
        <v>0</v>
      </c>
    </row>
    <row r="237" spans="1:86" ht="13" outlineLevel="1">
      <c r="A237" s="13"/>
      <c r="B237" s="13" t="s">
        <v>332</v>
      </c>
      <c r="C237" s="13"/>
      <c r="D237" s="13" t="s">
        <v>238</v>
      </c>
      <c r="E237" s="88">
        <f t="shared" ca="1" si="170"/>
        <v>9.2393583333333336</v>
      </c>
      <c r="F237" s="79"/>
      <c r="G237" s="90">
        <f ca="1">IF('Get Started  3'!$H112&lt;='Get Started  3'!$E27,IF(AND(G4&lt;'Get Started  3'!$H112,'Get Started  3'!$H112&lt;='Get Started  3'!$E27),0,OFFSET(G234,0,-1*'Get Started  3'!$H112)*'Get Started  3'!$H42*'Get Started  3'!$G112),0)+IF('Get Started  3'!$H111&lt;='Get Started  3'!$E27,IF(G4&lt;'Get Started  3'!$H111,0,OFFSET(G234,0,-1*'Get Started  3'!$H111)*'Get Started  3'!$G42*'Get Started  3'!$G111),0)+IF('Get Started  3'!$H110&lt;='Get Started  3'!$E27,IF(G4&lt;'Get Started  3'!$H110,0,OFFSET(G234,0,-1*'Get Started  3'!$H110)*'Get Started  3'!$F42*'Get Started  3'!$G110),0)+IF('Get Started  3'!$H109&lt;='Get Started  3'!$E27,IF(G4&lt;'Get Started  3'!$H109,0,OFFSET(G234,0,-1*'Get Started  3'!$H109)*'Get Started  3'!$E42*'Get Started  3'!$G109),0)</f>
        <v>0</v>
      </c>
      <c r="H237" s="90">
        <f ca="1">IF('Get Started  3'!$H112&lt;='Get Started  3'!$E27,IF(AND(H4&lt;'Get Started  3'!$H112,'Get Started  3'!$H112&lt;='Get Started  3'!$E27),0,OFFSET(H234,0,-1*'Get Started  3'!$H112)*'Get Started  3'!$H42*'Get Started  3'!$G112),0)+IF('Get Started  3'!$H111&lt;='Get Started  3'!$E27,IF(H4&lt;'Get Started  3'!$H111,0,OFFSET(H234,0,-1*'Get Started  3'!$H111)*'Get Started  3'!$G42*'Get Started  3'!$G111),0)+IF('Get Started  3'!$H110&lt;='Get Started  3'!$E27,IF(H4&lt;'Get Started  3'!$H110,0,OFFSET(H234,0,-1*'Get Started  3'!$H110)*'Get Started  3'!$F42*'Get Started  3'!$G110),0)+IF('Get Started  3'!$H109&lt;='Get Started  3'!$E27,IF(H4&lt;'Get Started  3'!$H109,0,OFFSET(H234,0,-1*'Get Started  3'!$H109)*'Get Started  3'!$E42*'Get Started  3'!$G109),0)</f>
        <v>0</v>
      </c>
      <c r="I237" s="90">
        <f ca="1">IF('Get Started  3'!$H112&lt;='Get Started  3'!$E27,IF(AND(I4&lt;'Get Started  3'!$H112,'Get Started  3'!$H112&lt;='Get Started  3'!$E27),0,OFFSET(I234,0,-1*'Get Started  3'!$H112)*'Get Started  3'!$H42*'Get Started  3'!$G112),0)+IF('Get Started  3'!$H111&lt;='Get Started  3'!$E27,IF(I4&lt;'Get Started  3'!$H111,0,OFFSET(I234,0,-1*'Get Started  3'!$H111)*'Get Started  3'!$G42*'Get Started  3'!$G111),0)+IF('Get Started  3'!$H110&lt;='Get Started  3'!$E27,IF(I4&lt;'Get Started  3'!$H110,0,OFFSET(I234,0,-1*'Get Started  3'!$H110)*'Get Started  3'!$F42*'Get Started  3'!$G110),0)+IF('Get Started  3'!$H109&lt;='Get Started  3'!$E27,IF(I4&lt;'Get Started  3'!$H109,0,OFFSET(I234,0,-1*'Get Started  3'!$H109)*'Get Started  3'!$E42*'Get Started  3'!$G109),0)</f>
        <v>0</v>
      </c>
      <c r="J237" s="90">
        <f ca="1">IF('Get Started  3'!$H112&lt;='Get Started  3'!$E27,IF(AND(J4&lt;'Get Started  3'!$H112,'Get Started  3'!$H112&lt;='Get Started  3'!$E27),0,OFFSET(J234,0,-1*'Get Started  3'!$H112)*'Get Started  3'!$H42*'Get Started  3'!$G112),0)+IF('Get Started  3'!$H111&lt;='Get Started  3'!$E27,IF(J4&lt;'Get Started  3'!$H111,0,OFFSET(J234,0,-1*'Get Started  3'!$H111)*'Get Started  3'!$G42*'Get Started  3'!$G111),0)+IF('Get Started  3'!$H110&lt;='Get Started  3'!$E27,IF(J4&lt;'Get Started  3'!$H110,0,OFFSET(J234,0,-1*'Get Started  3'!$H110)*'Get Started  3'!$F42*'Get Started  3'!$G110),0)+IF('Get Started  3'!$H109&lt;='Get Started  3'!$E27,IF(J4&lt;'Get Started  3'!$H109,0,OFFSET(J234,0,-1*'Get Started  3'!$H109)*'Get Started  3'!$E42*'Get Started  3'!$G109),0)</f>
        <v>0</v>
      </c>
      <c r="K237" s="90">
        <f ca="1">IF('Get Started  3'!$H112&lt;='Get Started  3'!$E27,IF(AND(K4&lt;'Get Started  3'!$H112,'Get Started  3'!$H112&lt;='Get Started  3'!$E27),0,OFFSET(K234,0,-1*'Get Started  3'!$H112)*'Get Started  3'!$H42*'Get Started  3'!$G112),0)+IF('Get Started  3'!$H111&lt;='Get Started  3'!$E27,IF(K4&lt;'Get Started  3'!$H111,0,OFFSET(K234,0,-1*'Get Started  3'!$H111)*'Get Started  3'!$G42*'Get Started  3'!$G111),0)+IF('Get Started  3'!$H110&lt;='Get Started  3'!$E27,IF(K4&lt;'Get Started  3'!$H110,0,OFFSET(K234,0,-1*'Get Started  3'!$H110)*'Get Started  3'!$F42*'Get Started  3'!$G110),0)+IF('Get Started  3'!$H109&lt;='Get Started  3'!$E27,IF(K4&lt;'Get Started  3'!$H109,0,OFFSET(K234,0,-1*'Get Started  3'!$H109)*'Get Started  3'!$E42*'Get Started  3'!$G109),0)</f>
        <v>0</v>
      </c>
      <c r="L237" s="90">
        <f ca="1">IF('Get Started  3'!$H112&lt;='Get Started  3'!$E27,IF(AND(L4&lt;'Get Started  3'!$H112,'Get Started  3'!$H112&lt;='Get Started  3'!$E27),0,OFFSET(L234,0,-1*'Get Started  3'!$H112)*'Get Started  3'!$H42*'Get Started  3'!$G112),0)+IF('Get Started  3'!$H111&lt;='Get Started  3'!$E27,IF(L4&lt;'Get Started  3'!$H111,0,OFFSET(L234,0,-1*'Get Started  3'!$H111)*'Get Started  3'!$G42*'Get Started  3'!$G111),0)+IF('Get Started  3'!$H110&lt;='Get Started  3'!$E27,IF(L4&lt;'Get Started  3'!$H110,0,OFFSET(L234,0,-1*'Get Started  3'!$H110)*'Get Started  3'!$F42*'Get Started  3'!$G110),0)+IF('Get Started  3'!$H109&lt;='Get Started  3'!$E27,IF(L4&lt;'Get Started  3'!$H109,0,OFFSET(L234,0,-1*'Get Started  3'!$H109)*'Get Started  3'!$E42*'Get Started  3'!$G109),0)</f>
        <v>0</v>
      </c>
      <c r="M237" s="90">
        <f ca="1">IF('Get Started  3'!$H112&lt;='Get Started  3'!$E27,IF(AND(M4&lt;'Get Started  3'!$H112,'Get Started  3'!$H112&lt;='Get Started  3'!$E27),0,OFFSET(M234,0,-1*'Get Started  3'!$H112)*'Get Started  3'!$H42*'Get Started  3'!$G112),0)+IF('Get Started  3'!$H111&lt;='Get Started  3'!$E27,IF(M4&lt;'Get Started  3'!$H111,0,OFFSET(M234,0,-1*'Get Started  3'!$H111)*'Get Started  3'!$G42*'Get Started  3'!$G111),0)+IF('Get Started  3'!$H110&lt;='Get Started  3'!$E27,IF(M4&lt;'Get Started  3'!$H110,0,OFFSET(M234,0,-1*'Get Started  3'!$H110)*'Get Started  3'!$F42*'Get Started  3'!$G110),0)+IF('Get Started  3'!$H109&lt;='Get Started  3'!$E27,IF(M4&lt;'Get Started  3'!$H109,0,OFFSET(M234,0,-1*'Get Started  3'!$H109)*'Get Started  3'!$E42*'Get Started  3'!$G109),0)</f>
        <v>0</v>
      </c>
      <c r="N237" s="90">
        <f ca="1">IF('Get Started  3'!$H112&lt;='Get Started  3'!$E27,IF(AND(N4&lt;'Get Started  3'!$H112,'Get Started  3'!$H112&lt;='Get Started  3'!$E27),0,OFFSET(N234,0,-1*'Get Started  3'!$H112)*'Get Started  3'!$H42*'Get Started  3'!$G112),0)+IF('Get Started  3'!$H111&lt;='Get Started  3'!$E27,IF(N4&lt;'Get Started  3'!$H111,0,OFFSET(N234,0,-1*'Get Started  3'!$H111)*'Get Started  3'!$G42*'Get Started  3'!$G111),0)+IF('Get Started  3'!$H110&lt;='Get Started  3'!$E27,IF(N4&lt;'Get Started  3'!$H110,0,OFFSET(N234,0,-1*'Get Started  3'!$H110)*'Get Started  3'!$F42*'Get Started  3'!$G110),0)+IF('Get Started  3'!$H109&lt;='Get Started  3'!$E27,IF(N4&lt;'Get Started  3'!$H109,0,OFFSET(N234,0,-1*'Get Started  3'!$H109)*'Get Started  3'!$E42*'Get Started  3'!$G109),0)</f>
        <v>0</v>
      </c>
      <c r="O237" s="90">
        <f ca="1">IF('Get Started  3'!$H112&lt;='Get Started  3'!$E27,IF(AND(O4&lt;'Get Started  3'!$H112,'Get Started  3'!$H112&lt;='Get Started  3'!$E27),0,OFFSET(O234,0,-1*'Get Started  3'!$H112)*'Get Started  3'!$H42*'Get Started  3'!$G112),0)+IF('Get Started  3'!$H111&lt;='Get Started  3'!$E27,IF(O4&lt;'Get Started  3'!$H111,0,OFFSET(O234,0,-1*'Get Started  3'!$H111)*'Get Started  3'!$G42*'Get Started  3'!$G111),0)+IF('Get Started  3'!$H110&lt;='Get Started  3'!$E27,IF(O4&lt;'Get Started  3'!$H110,0,OFFSET(O234,0,-1*'Get Started  3'!$H110)*'Get Started  3'!$F42*'Get Started  3'!$G110),0)+IF('Get Started  3'!$H109&lt;='Get Started  3'!$E27,IF(O4&lt;'Get Started  3'!$H109,0,OFFSET(O234,0,-1*'Get Started  3'!$H109)*'Get Started  3'!$E42*'Get Started  3'!$G109),0)</f>
        <v>0</v>
      </c>
      <c r="P237" s="90">
        <f ca="1">IF('Get Started  3'!$H112&lt;='Get Started  3'!$E27,IF(AND(P4&lt;'Get Started  3'!$H112,'Get Started  3'!$H112&lt;='Get Started  3'!$E27),0,OFFSET(P234,0,-1*'Get Started  3'!$H112)*'Get Started  3'!$H42*'Get Started  3'!$G112),0)+IF('Get Started  3'!$H111&lt;='Get Started  3'!$E27,IF(P4&lt;'Get Started  3'!$H111,0,OFFSET(P234,0,-1*'Get Started  3'!$H111)*'Get Started  3'!$G42*'Get Started  3'!$G111),0)+IF('Get Started  3'!$H110&lt;='Get Started  3'!$E27,IF(P4&lt;'Get Started  3'!$H110,0,OFFSET(P234,0,-1*'Get Started  3'!$H110)*'Get Started  3'!$F42*'Get Started  3'!$G110),0)+IF('Get Started  3'!$H109&lt;='Get Started  3'!$E27,IF(P4&lt;'Get Started  3'!$H109,0,OFFSET(P234,0,-1*'Get Started  3'!$H109)*'Get Started  3'!$E42*'Get Started  3'!$G109),0)</f>
        <v>0</v>
      </c>
      <c r="Q237" s="90">
        <f ca="1">IF('Get Started  3'!$H112&lt;='Get Started  3'!$E27,IF(AND(Q4&lt;'Get Started  3'!$H112,'Get Started  3'!$H112&lt;='Get Started  3'!$E27),0,OFFSET(Q234,0,-1*'Get Started  3'!$H112)*'Get Started  3'!$H42*'Get Started  3'!$G112),0)+IF('Get Started  3'!$H111&lt;='Get Started  3'!$E27,IF(Q4&lt;'Get Started  3'!$H111,0,OFFSET(Q234,0,-1*'Get Started  3'!$H111)*'Get Started  3'!$G42*'Get Started  3'!$G111),0)+IF('Get Started  3'!$H110&lt;='Get Started  3'!$E27,IF(Q4&lt;'Get Started  3'!$H110,0,OFFSET(Q234,0,-1*'Get Started  3'!$H110)*'Get Started  3'!$F42*'Get Started  3'!$G110),0)+IF('Get Started  3'!$H109&lt;='Get Started  3'!$E27,IF(Q4&lt;'Get Started  3'!$H109,0,OFFSET(Q234,0,-1*'Get Started  3'!$H109)*'Get Started  3'!$E42*'Get Started  3'!$G109),0)</f>
        <v>0</v>
      </c>
      <c r="R237" s="90">
        <f ca="1">IF('Get Started  3'!$H112&lt;='Get Started  3'!$E27,IF(AND(R4&lt;'Get Started  3'!$H112,'Get Started  3'!$H112&lt;='Get Started  3'!$E27),0,OFFSET(R234,0,-1*'Get Started  3'!$H112)*'Get Started  3'!$H42*'Get Started  3'!$G112),0)+IF('Get Started  3'!$H111&lt;='Get Started  3'!$E27,IF(R4&lt;'Get Started  3'!$H111,0,OFFSET(R234,0,-1*'Get Started  3'!$H111)*'Get Started  3'!$G42*'Get Started  3'!$G111),0)+IF('Get Started  3'!$H110&lt;='Get Started  3'!$E27,IF(R4&lt;'Get Started  3'!$H110,0,OFFSET(R234,0,-1*'Get Started  3'!$H110)*'Get Started  3'!$F42*'Get Started  3'!$G110),0)+IF('Get Started  3'!$H109&lt;='Get Started  3'!$E27,IF(R4&lt;'Get Started  3'!$H109,0,OFFSET(R234,0,-1*'Get Started  3'!$H109)*'Get Started  3'!$E42*'Get Started  3'!$G109),0)</f>
        <v>0</v>
      </c>
      <c r="S237" s="90">
        <f ca="1">IF('Get Started  3'!$H112&lt;='Get Started  3'!$E27,IF(AND(S4&lt;'Get Started  3'!$H112,'Get Started  3'!$H112&lt;='Get Started  3'!$E27),0,OFFSET(S234,0,-1*'Get Started  3'!$H112)*'Get Started  3'!$H42*'Get Started  3'!$G112),0)+IF('Get Started  3'!$H111&lt;='Get Started  3'!$E27,IF(S4&lt;'Get Started  3'!$H111,0,OFFSET(S234,0,-1*'Get Started  3'!$H111)*'Get Started  3'!$G42*'Get Started  3'!$G111),0)+IF('Get Started  3'!$H110&lt;='Get Started  3'!$E27,IF(S4&lt;'Get Started  3'!$H110,0,OFFSET(S234,0,-1*'Get Started  3'!$H110)*'Get Started  3'!$F42*'Get Started  3'!$G110),0)+IF('Get Started  3'!$H109&lt;='Get Started  3'!$E27,IF(S4&lt;'Get Started  3'!$H109,0,OFFSET(S234,0,-1*'Get Started  3'!$H109)*'Get Started  3'!$E42*'Get Started  3'!$G109),0)</f>
        <v>4.042500000000003E-2</v>
      </c>
      <c r="T237" s="90">
        <f ca="1">IF('Get Started  3'!$H112&lt;='Get Started  3'!$E27,IF(AND(T4&lt;'Get Started  3'!$H112,'Get Started  3'!$H112&lt;='Get Started  3'!$E27),0,OFFSET(T234,0,-1*'Get Started  3'!$H112)*'Get Started  3'!$H42*'Get Started  3'!$G112),0)+IF('Get Started  3'!$H111&lt;='Get Started  3'!$E27,IF(T4&lt;'Get Started  3'!$H111,0,OFFSET(T234,0,-1*'Get Started  3'!$H111)*'Get Started  3'!$G42*'Get Started  3'!$G111),0)+IF('Get Started  3'!$H110&lt;='Get Started  3'!$E27,IF(T4&lt;'Get Started  3'!$H110,0,OFFSET(T234,0,-1*'Get Started  3'!$H110)*'Get Started  3'!$F42*'Get Started  3'!$G110),0)+IF('Get Started  3'!$H109&lt;='Get Started  3'!$E27,IF(T4&lt;'Get Started  3'!$H109,0,OFFSET(T234,0,-1*'Get Started  3'!$H109)*'Get Started  3'!$E42*'Get Started  3'!$G109),0)</f>
        <v>4.042500000000003E-2</v>
      </c>
      <c r="U237" s="90">
        <f ca="1">IF('Get Started  3'!$H112&lt;='Get Started  3'!$E27,IF(AND(U4&lt;'Get Started  3'!$H112,'Get Started  3'!$H112&lt;='Get Started  3'!$E27),0,OFFSET(U234,0,-1*'Get Started  3'!$H112)*'Get Started  3'!$H42*'Get Started  3'!$G112),0)+IF('Get Started  3'!$H111&lt;='Get Started  3'!$E27,IF(U4&lt;'Get Started  3'!$H111,0,OFFSET(U234,0,-1*'Get Started  3'!$H111)*'Get Started  3'!$G42*'Get Started  3'!$G111),0)+IF('Get Started  3'!$H110&lt;='Get Started  3'!$E27,IF(U4&lt;'Get Started  3'!$H110,0,OFFSET(U234,0,-1*'Get Started  3'!$H110)*'Get Started  3'!$F42*'Get Started  3'!$G110),0)+IF('Get Started  3'!$H109&lt;='Get Started  3'!$E27,IF(U4&lt;'Get Started  3'!$H109,0,OFFSET(U234,0,-1*'Get Started  3'!$H109)*'Get Started  3'!$E42*'Get Started  3'!$G109),0)</f>
        <v>4.042500000000003E-2</v>
      </c>
      <c r="V237" s="90">
        <f ca="1">IF('Get Started  3'!$H112&lt;='Get Started  3'!$E27,IF(AND(V4&lt;'Get Started  3'!$H112,'Get Started  3'!$H112&lt;='Get Started  3'!$E27),0,OFFSET(V234,0,-1*'Get Started  3'!$H112)*'Get Started  3'!$H42*'Get Started  3'!$G112),0)+IF('Get Started  3'!$H111&lt;='Get Started  3'!$E27,IF(V4&lt;'Get Started  3'!$H111,0,OFFSET(V234,0,-1*'Get Started  3'!$H111)*'Get Started  3'!$G42*'Get Started  3'!$G111),0)+IF('Get Started  3'!$H110&lt;='Get Started  3'!$E27,IF(V4&lt;'Get Started  3'!$H110,0,OFFSET(V234,0,-1*'Get Started  3'!$H110)*'Get Started  3'!$F42*'Get Started  3'!$G110),0)+IF('Get Started  3'!$H109&lt;='Get Started  3'!$E27,IF(V4&lt;'Get Started  3'!$H109,0,OFFSET(V234,0,-1*'Get Started  3'!$H109)*'Get Started  3'!$E42*'Get Started  3'!$G109),0)</f>
        <v>4.042500000000003E-2</v>
      </c>
      <c r="W237" s="90">
        <f ca="1">IF('Get Started  3'!$H112&lt;='Get Started  3'!$E27,IF(AND(W4&lt;'Get Started  3'!$H112,'Get Started  3'!$H112&lt;='Get Started  3'!$E27),0,OFFSET(W234,0,-1*'Get Started  3'!$H112)*'Get Started  3'!$H42*'Get Started  3'!$G112),0)+IF('Get Started  3'!$H111&lt;='Get Started  3'!$E27,IF(W4&lt;'Get Started  3'!$H111,0,OFFSET(W234,0,-1*'Get Started  3'!$H111)*'Get Started  3'!$G42*'Get Started  3'!$G111),0)+IF('Get Started  3'!$H110&lt;='Get Started  3'!$E27,IF(W4&lt;'Get Started  3'!$H110,0,OFFSET(W234,0,-1*'Get Started  3'!$H110)*'Get Started  3'!$F42*'Get Started  3'!$G110),0)+IF('Get Started  3'!$H109&lt;='Get Started  3'!$E27,IF(W4&lt;'Get Started  3'!$H109,0,OFFSET(W234,0,-1*'Get Started  3'!$H109)*'Get Started  3'!$E42*'Get Started  3'!$G109),0)</f>
        <v>0.10106250000000006</v>
      </c>
      <c r="X237" s="90">
        <f ca="1">IF('Get Started  3'!$H112&lt;='Get Started  3'!$E27,IF(AND(X4&lt;'Get Started  3'!$H112,'Get Started  3'!$H112&lt;='Get Started  3'!$E27),0,OFFSET(X234,0,-1*'Get Started  3'!$H112)*'Get Started  3'!$H42*'Get Started  3'!$G112),0)+IF('Get Started  3'!$H111&lt;='Get Started  3'!$E27,IF(X4&lt;'Get Started  3'!$H111,0,OFFSET(X234,0,-1*'Get Started  3'!$H111)*'Get Started  3'!$G42*'Get Started  3'!$G111),0)+IF('Get Started  3'!$H110&lt;='Get Started  3'!$E27,IF(X4&lt;'Get Started  3'!$H110,0,OFFSET(X234,0,-1*'Get Started  3'!$H110)*'Get Started  3'!$F42*'Get Started  3'!$G110),0)+IF('Get Started  3'!$H109&lt;='Get Started  3'!$E27,IF(X4&lt;'Get Started  3'!$H109,0,OFFSET(X234,0,-1*'Get Started  3'!$H109)*'Get Started  3'!$E42*'Get Started  3'!$G109),0)</f>
        <v>0.10106250000000006</v>
      </c>
      <c r="Y237" s="90">
        <f ca="1">IF('Get Started  3'!$H112&lt;='Get Started  3'!$E27,IF(AND(Y4&lt;'Get Started  3'!$H112,'Get Started  3'!$H112&lt;='Get Started  3'!$E27),0,OFFSET(Y234,0,-1*'Get Started  3'!$H112)*'Get Started  3'!$H42*'Get Started  3'!$G112),0)+IF('Get Started  3'!$H111&lt;='Get Started  3'!$E27,IF(Y4&lt;'Get Started  3'!$H111,0,OFFSET(Y234,0,-1*'Get Started  3'!$H111)*'Get Started  3'!$G42*'Get Started  3'!$G111),0)+IF('Get Started  3'!$H110&lt;='Get Started  3'!$E27,IF(Y4&lt;'Get Started  3'!$H110,0,OFFSET(Y234,0,-1*'Get Started  3'!$H110)*'Get Started  3'!$F42*'Get Started  3'!$G110),0)+IF('Get Started  3'!$H109&lt;='Get Started  3'!$E27,IF(Y4&lt;'Get Started  3'!$H109,0,OFFSET(Y234,0,-1*'Get Started  3'!$H109)*'Get Started  3'!$E42*'Get Started  3'!$G109),0)</f>
        <v>0.10106250000000006</v>
      </c>
      <c r="Z237" s="90">
        <f ca="1">IF('Get Started  3'!$H112&lt;='Get Started  3'!$E27,IF(AND(Z4&lt;'Get Started  3'!$H112,'Get Started  3'!$H112&lt;='Get Started  3'!$E27),0,OFFSET(Z234,0,-1*'Get Started  3'!$H112)*'Get Started  3'!$H42*'Get Started  3'!$G112),0)+IF('Get Started  3'!$H111&lt;='Get Started  3'!$E27,IF(Z4&lt;'Get Started  3'!$H111,0,OFFSET(Z234,0,-1*'Get Started  3'!$H111)*'Get Started  3'!$G42*'Get Started  3'!$G111),0)+IF('Get Started  3'!$H110&lt;='Get Started  3'!$E27,IF(Z4&lt;'Get Started  3'!$H110,0,OFFSET(Z234,0,-1*'Get Started  3'!$H110)*'Get Started  3'!$F42*'Get Started  3'!$G110),0)+IF('Get Started  3'!$H109&lt;='Get Started  3'!$E27,IF(Z4&lt;'Get Started  3'!$H109,0,OFFSET(Z234,0,-1*'Get Started  3'!$H109)*'Get Started  3'!$E42*'Get Started  3'!$G109),0)</f>
        <v>0.10106250000000006</v>
      </c>
      <c r="AA237" s="90">
        <f ca="1">IF('Get Started  3'!$H112&lt;='Get Started  3'!$E27,IF(AND(AA4&lt;'Get Started  3'!$H112,'Get Started  3'!$H112&lt;='Get Started  3'!$E27),0,OFFSET(AA234,0,-1*'Get Started  3'!$H112)*'Get Started  3'!$H42*'Get Started  3'!$G112),0)+IF('Get Started  3'!$H111&lt;='Get Started  3'!$E27,IF(AA4&lt;'Get Started  3'!$H111,0,OFFSET(AA234,0,-1*'Get Started  3'!$H111)*'Get Started  3'!$G42*'Get Started  3'!$G111),0)+IF('Get Started  3'!$H110&lt;='Get Started  3'!$E27,IF(AA4&lt;'Get Started  3'!$H110,0,OFFSET(AA234,0,-1*'Get Started  3'!$H110)*'Get Started  3'!$F42*'Get Started  3'!$G110),0)+IF('Get Started  3'!$H109&lt;='Get Started  3'!$E27,IF(AA4&lt;'Get Started  3'!$H109,0,OFFSET(AA234,0,-1*'Get Started  3'!$H109)*'Get Started  3'!$E42*'Get Started  3'!$G109),0)</f>
        <v>0.10106250000000006</v>
      </c>
      <c r="AB237" s="90">
        <f ca="1">IF('Get Started  3'!$H112&lt;='Get Started  3'!$E27,IF(AND(AB4&lt;'Get Started  3'!$H112,'Get Started  3'!$H112&lt;='Get Started  3'!$E27),0,OFFSET(AB234,0,-1*'Get Started  3'!$H112)*'Get Started  3'!$H42*'Get Started  3'!$G112),0)+IF('Get Started  3'!$H111&lt;='Get Started  3'!$E27,IF(AB4&lt;'Get Started  3'!$H111,0,OFFSET(AB234,0,-1*'Get Started  3'!$H111)*'Get Started  3'!$G42*'Get Started  3'!$G111),0)+IF('Get Started  3'!$H110&lt;='Get Started  3'!$E27,IF(AB4&lt;'Get Started  3'!$H110,0,OFFSET(AB234,0,-1*'Get Started  3'!$H110)*'Get Started  3'!$F42*'Get Started  3'!$G110),0)+IF('Get Started  3'!$H109&lt;='Get Started  3'!$E27,IF(AB4&lt;'Get Started  3'!$H109,0,OFFSET(AB234,0,-1*'Get Started  3'!$H109)*'Get Started  3'!$E42*'Get Started  3'!$G109),0)</f>
        <v>0.10106250000000006</v>
      </c>
      <c r="AC237" s="90">
        <f ca="1">IF('Get Started  3'!$H112&lt;='Get Started  3'!$E27,IF(AND(AC4&lt;'Get Started  3'!$H112,'Get Started  3'!$H112&lt;='Get Started  3'!$E27),0,OFFSET(AC234,0,-1*'Get Started  3'!$H112)*'Get Started  3'!$H42*'Get Started  3'!$G112),0)+IF('Get Started  3'!$H111&lt;='Get Started  3'!$E27,IF(AC4&lt;'Get Started  3'!$H111,0,OFFSET(AC234,0,-1*'Get Started  3'!$H111)*'Get Started  3'!$G42*'Get Started  3'!$G111),0)+IF('Get Started  3'!$H110&lt;='Get Started  3'!$E27,IF(AC4&lt;'Get Started  3'!$H110,0,OFFSET(AC234,0,-1*'Get Started  3'!$H110)*'Get Started  3'!$F42*'Get Started  3'!$G110),0)+IF('Get Started  3'!$H109&lt;='Get Started  3'!$E27,IF(AC4&lt;'Get Started  3'!$H109,0,OFFSET(AC234,0,-1*'Get Started  3'!$H109)*'Get Started  3'!$E42*'Get Started  3'!$G109),0)</f>
        <v>0.10106250000000006</v>
      </c>
      <c r="AD237" s="90">
        <f ca="1">IF('Get Started  3'!$H112&lt;='Get Started  3'!$E27,IF(AND(AD4&lt;'Get Started  3'!$H112,'Get Started  3'!$H112&lt;='Get Started  3'!$E27),0,OFFSET(AD234,0,-1*'Get Started  3'!$H112)*'Get Started  3'!$H42*'Get Started  3'!$G112),0)+IF('Get Started  3'!$H111&lt;='Get Started  3'!$E27,IF(AD4&lt;'Get Started  3'!$H111,0,OFFSET(AD234,0,-1*'Get Started  3'!$H111)*'Get Started  3'!$G42*'Get Started  3'!$G111),0)+IF('Get Started  3'!$H110&lt;='Get Started  3'!$E27,IF(AD4&lt;'Get Started  3'!$H110,0,OFFSET(AD234,0,-1*'Get Started  3'!$H110)*'Get Started  3'!$F42*'Get Started  3'!$G110),0)+IF('Get Started  3'!$H109&lt;='Get Started  3'!$E27,IF(AD4&lt;'Get Started  3'!$H109,0,OFFSET(AD234,0,-1*'Get Started  3'!$H109)*'Get Started  3'!$E42*'Get Started  3'!$G109),0)</f>
        <v>0.10106250000000006</v>
      </c>
      <c r="AE237" s="90">
        <f ca="1">IF('Get Started  3'!$H112&lt;='Get Started  3'!$E27,IF(AND(AE4&lt;'Get Started  3'!$H112,'Get Started  3'!$H112&lt;='Get Started  3'!$E27),0,OFFSET(AE234,0,-1*'Get Started  3'!$H112)*'Get Started  3'!$H42*'Get Started  3'!$G112),0)+IF('Get Started  3'!$H111&lt;='Get Started  3'!$E27,IF(AE4&lt;'Get Started  3'!$H111,0,OFFSET(AE234,0,-1*'Get Started  3'!$H111)*'Get Started  3'!$G42*'Get Started  3'!$G111),0)+IF('Get Started  3'!$H110&lt;='Get Started  3'!$E27,IF(AE4&lt;'Get Started  3'!$H110,0,OFFSET(AE234,0,-1*'Get Started  3'!$H110)*'Get Started  3'!$F42*'Get Started  3'!$G110),0)+IF('Get Started  3'!$H109&lt;='Get Started  3'!$E27,IF(AE4&lt;'Get Started  3'!$H109,0,OFFSET(AE234,0,-1*'Get Started  3'!$H109)*'Get Started  3'!$E42*'Get Started  3'!$G109),0)</f>
        <v>0.56213208333333342</v>
      </c>
      <c r="AF237" s="90">
        <f ca="1">IF('Get Started  3'!$H112&lt;='Get Started  3'!$E27,IF(AND(AF4&lt;'Get Started  3'!$H112,'Get Started  3'!$H112&lt;='Get Started  3'!$E27),0,OFFSET(AF234,0,-1*'Get Started  3'!$H112)*'Get Started  3'!$H42*'Get Started  3'!$G112),0)+IF('Get Started  3'!$H111&lt;='Get Started  3'!$E27,IF(AF4&lt;'Get Started  3'!$H111,0,OFFSET(AF234,0,-1*'Get Started  3'!$H111)*'Get Started  3'!$G42*'Get Started  3'!$G111),0)+IF('Get Started  3'!$H110&lt;='Get Started  3'!$E27,IF(AF4&lt;'Get Started  3'!$H110,0,OFFSET(AF234,0,-1*'Get Started  3'!$H110)*'Get Started  3'!$F42*'Get Started  3'!$G110),0)+IF('Get Started  3'!$H109&lt;='Get Started  3'!$E27,IF(AF4&lt;'Get Started  3'!$H109,0,OFFSET(AF234,0,-1*'Get Started  3'!$H109)*'Get Started  3'!$E42*'Get Started  3'!$G109),0)</f>
        <v>0.56213208333333342</v>
      </c>
      <c r="AG237" s="90">
        <f ca="1">IF('Get Started  3'!$H112&lt;='Get Started  3'!$E27,IF(AND(AG4&lt;'Get Started  3'!$H112,'Get Started  3'!$H112&lt;='Get Started  3'!$E27),0,OFFSET(AG234,0,-1*'Get Started  3'!$H112)*'Get Started  3'!$H42*'Get Started  3'!$G112),0)+IF('Get Started  3'!$H111&lt;='Get Started  3'!$E27,IF(AG4&lt;'Get Started  3'!$H111,0,OFFSET(AG234,0,-1*'Get Started  3'!$H111)*'Get Started  3'!$G42*'Get Started  3'!$G111),0)+IF('Get Started  3'!$H110&lt;='Get Started  3'!$E27,IF(AG4&lt;'Get Started  3'!$H110,0,OFFSET(AG234,0,-1*'Get Started  3'!$H110)*'Get Started  3'!$F42*'Get Started  3'!$G110),0)+IF('Get Started  3'!$H109&lt;='Get Started  3'!$E27,IF(AG4&lt;'Get Started  3'!$H109,0,OFFSET(AG234,0,-1*'Get Started  3'!$H109)*'Get Started  3'!$E42*'Get Started  3'!$G109),0)</f>
        <v>0.56213208333333342</v>
      </c>
      <c r="AH237" s="90">
        <f ca="1">IF('Get Started  3'!$H112&lt;='Get Started  3'!$E27,IF(AND(AH4&lt;'Get Started  3'!$H112,'Get Started  3'!$H112&lt;='Get Started  3'!$E27),0,OFFSET(AH234,0,-1*'Get Started  3'!$H112)*'Get Started  3'!$H42*'Get Started  3'!$G112),0)+IF('Get Started  3'!$H111&lt;='Get Started  3'!$E27,IF(AH4&lt;'Get Started  3'!$H111,0,OFFSET(AH234,0,-1*'Get Started  3'!$H111)*'Get Started  3'!$G42*'Get Started  3'!$G111),0)+IF('Get Started  3'!$H110&lt;='Get Started  3'!$E27,IF(AH4&lt;'Get Started  3'!$H110,0,OFFSET(AH234,0,-1*'Get Started  3'!$H110)*'Get Started  3'!$F42*'Get Started  3'!$G110),0)+IF('Get Started  3'!$H109&lt;='Get Started  3'!$E27,IF(AH4&lt;'Get Started  3'!$H109,0,OFFSET(AH234,0,-1*'Get Started  3'!$H109)*'Get Started  3'!$E42*'Get Started  3'!$G109),0)</f>
        <v>0.56213208333333342</v>
      </c>
      <c r="AI237" s="90">
        <f ca="1">IF('Get Started  3'!$H112&lt;='Get Started  3'!$E27,IF(AND(AI4&lt;'Get Started  3'!$H112,'Get Started  3'!$H112&lt;='Get Started  3'!$E27),0,OFFSET(AI234,0,-1*'Get Started  3'!$H112)*'Get Started  3'!$H42*'Get Started  3'!$G112),0)+IF('Get Started  3'!$H111&lt;='Get Started  3'!$E27,IF(AI4&lt;'Get Started  3'!$H111,0,OFFSET(AI234,0,-1*'Get Started  3'!$H111)*'Get Started  3'!$G42*'Get Started  3'!$G111),0)+IF('Get Started  3'!$H110&lt;='Get Started  3'!$E27,IF(AI4&lt;'Get Started  3'!$H110,0,OFFSET(AI234,0,-1*'Get Started  3'!$H110)*'Get Started  3'!$F42*'Get Started  3'!$G110),0)+IF('Get Started  3'!$H109&lt;='Get Started  3'!$E27,IF(AI4&lt;'Get Started  3'!$H109,0,OFFSET(AI234,0,-1*'Get Started  3'!$H109)*'Get Started  3'!$E42*'Get Started  3'!$G109),0)</f>
        <v>0.52485124999999999</v>
      </c>
      <c r="AJ237" s="90">
        <f ca="1">IF('Get Started  3'!$H112&lt;='Get Started  3'!$E27,IF(AND(AJ4&lt;'Get Started  3'!$H112,'Get Started  3'!$H112&lt;='Get Started  3'!$E27),0,OFFSET(AJ234,0,-1*'Get Started  3'!$H112)*'Get Started  3'!$H42*'Get Started  3'!$G112),0)+IF('Get Started  3'!$H111&lt;='Get Started  3'!$E27,IF(AJ4&lt;'Get Started  3'!$H111,0,OFFSET(AJ234,0,-1*'Get Started  3'!$H111)*'Get Started  3'!$G42*'Get Started  3'!$G111),0)+IF('Get Started  3'!$H110&lt;='Get Started  3'!$E27,IF(AJ4&lt;'Get Started  3'!$H110,0,OFFSET(AJ234,0,-1*'Get Started  3'!$H110)*'Get Started  3'!$F42*'Get Started  3'!$G110),0)+IF('Get Started  3'!$H109&lt;='Get Started  3'!$E27,IF(AJ4&lt;'Get Started  3'!$H109,0,OFFSET(AJ234,0,-1*'Get Started  3'!$H109)*'Get Started  3'!$E42*'Get Started  3'!$G109),0)</f>
        <v>0.52485124999999999</v>
      </c>
      <c r="AK237" s="90">
        <f ca="1">IF('Get Started  3'!$H112&lt;='Get Started  3'!$E27,IF(AND(AK4&lt;'Get Started  3'!$H112,'Get Started  3'!$H112&lt;='Get Started  3'!$E27),0,OFFSET(AK234,0,-1*'Get Started  3'!$H112)*'Get Started  3'!$H42*'Get Started  3'!$G112),0)+IF('Get Started  3'!$H111&lt;='Get Started  3'!$E27,IF(AK4&lt;'Get Started  3'!$H111,0,OFFSET(AK234,0,-1*'Get Started  3'!$H111)*'Get Started  3'!$G42*'Get Started  3'!$G111),0)+IF('Get Started  3'!$H110&lt;='Get Started  3'!$E27,IF(AK4&lt;'Get Started  3'!$H110,0,OFFSET(AK234,0,-1*'Get Started  3'!$H110)*'Get Started  3'!$F42*'Get Started  3'!$G110),0)+IF('Get Started  3'!$H109&lt;='Get Started  3'!$E27,IF(AK4&lt;'Get Started  3'!$H109,0,OFFSET(AK234,0,-1*'Get Started  3'!$H109)*'Get Started  3'!$E42*'Get Started  3'!$G109),0)</f>
        <v>0.52485124999999999</v>
      </c>
      <c r="AL237" s="90">
        <f ca="1">IF('Get Started  3'!$H112&lt;='Get Started  3'!$E27,IF(AND(AL4&lt;'Get Started  3'!$H112,'Get Started  3'!$H112&lt;='Get Started  3'!$E27),0,OFFSET(AL234,0,-1*'Get Started  3'!$H112)*'Get Started  3'!$H42*'Get Started  3'!$G112),0)+IF('Get Started  3'!$H111&lt;='Get Started  3'!$E27,IF(AL4&lt;'Get Started  3'!$H111,0,OFFSET(AL234,0,-1*'Get Started  3'!$H111)*'Get Started  3'!$G42*'Get Started  3'!$G111),0)+IF('Get Started  3'!$H110&lt;='Get Started  3'!$E27,IF(AL4&lt;'Get Started  3'!$H110,0,OFFSET(AL234,0,-1*'Get Started  3'!$H110)*'Get Started  3'!$F42*'Get Started  3'!$G110),0)+IF('Get Started  3'!$H109&lt;='Get Started  3'!$E27,IF(AL4&lt;'Get Started  3'!$H109,0,OFFSET(AL234,0,-1*'Get Started  3'!$H109)*'Get Started  3'!$E42*'Get Started  3'!$G109),0)</f>
        <v>0.52485124999999999</v>
      </c>
      <c r="AM237" s="90">
        <f ca="1">IF('Get Started  3'!$H112&lt;='Get Started  3'!$E27,IF(AND(AM4&lt;'Get Started  3'!$H112,'Get Started  3'!$H112&lt;='Get Started  3'!$E27),0,OFFSET(AM234,0,-1*'Get Started  3'!$H112)*'Get Started  3'!$H42*'Get Started  3'!$G112),0)+IF('Get Started  3'!$H111&lt;='Get Started  3'!$E27,IF(AM4&lt;'Get Started  3'!$H111,0,OFFSET(AM234,0,-1*'Get Started  3'!$H111)*'Get Started  3'!$G42*'Get Started  3'!$G111),0)+IF('Get Started  3'!$H110&lt;='Get Started  3'!$E27,IF(AM4&lt;'Get Started  3'!$H110,0,OFFSET(AM234,0,-1*'Get Started  3'!$H110)*'Get Started  3'!$F42*'Get Started  3'!$G110),0)+IF('Get Started  3'!$H109&lt;='Get Started  3'!$E27,IF(AM4&lt;'Get Started  3'!$H109,0,OFFSET(AM234,0,-1*'Get Started  3'!$H109)*'Get Started  3'!$E42*'Get Started  3'!$G109),0)</f>
        <v>0.45478124999999997</v>
      </c>
      <c r="AN237" s="90">
        <f ca="1">IF('Get Started  3'!$H112&lt;='Get Started  3'!$E27,IF(AND(AN4&lt;'Get Started  3'!$H112,'Get Started  3'!$H112&lt;='Get Started  3'!$E27),0,OFFSET(AN234,0,-1*'Get Started  3'!$H112)*'Get Started  3'!$H42*'Get Started  3'!$G112),0)+IF('Get Started  3'!$H111&lt;='Get Started  3'!$E27,IF(AN4&lt;'Get Started  3'!$H111,0,OFFSET(AN234,0,-1*'Get Started  3'!$H111)*'Get Started  3'!$G42*'Get Started  3'!$G111),0)+IF('Get Started  3'!$H110&lt;='Get Started  3'!$E27,IF(AN4&lt;'Get Started  3'!$H110,0,OFFSET(AN234,0,-1*'Get Started  3'!$H110)*'Get Started  3'!$F42*'Get Started  3'!$G110),0)+IF('Get Started  3'!$H109&lt;='Get Started  3'!$E27,IF(AN4&lt;'Get Started  3'!$H109,0,OFFSET(AN234,0,-1*'Get Started  3'!$H109)*'Get Started  3'!$E42*'Get Started  3'!$G109),0)</f>
        <v>0.45478124999999997</v>
      </c>
      <c r="AO237" s="90">
        <f ca="1">IF('Get Started  3'!$H112&lt;='Get Started  3'!$E27,IF(AND(AO4&lt;'Get Started  3'!$H112,'Get Started  3'!$H112&lt;='Get Started  3'!$E27),0,OFFSET(AO234,0,-1*'Get Started  3'!$H112)*'Get Started  3'!$H42*'Get Started  3'!$G112),0)+IF('Get Started  3'!$H111&lt;='Get Started  3'!$E27,IF(AO4&lt;'Get Started  3'!$H111,0,OFFSET(AO234,0,-1*'Get Started  3'!$H111)*'Get Started  3'!$G42*'Get Started  3'!$G111),0)+IF('Get Started  3'!$H110&lt;='Get Started  3'!$E27,IF(AO4&lt;'Get Started  3'!$H110,0,OFFSET(AO234,0,-1*'Get Started  3'!$H110)*'Get Started  3'!$F42*'Get Started  3'!$G110),0)+IF('Get Started  3'!$H109&lt;='Get Started  3'!$E27,IF(AO4&lt;'Get Started  3'!$H109,0,OFFSET(AO234,0,-1*'Get Started  3'!$H109)*'Get Started  3'!$E42*'Get Started  3'!$G109),0)</f>
        <v>0.45478124999999997</v>
      </c>
      <c r="AP237" s="90">
        <f ca="1">IF('Get Started  3'!$H112&lt;='Get Started  3'!$E27,IF(AND(AP4&lt;'Get Started  3'!$H112,'Get Started  3'!$H112&lt;='Get Started  3'!$E27),0,OFFSET(AP234,0,-1*'Get Started  3'!$H112)*'Get Started  3'!$H42*'Get Started  3'!$G112),0)+IF('Get Started  3'!$H111&lt;='Get Started  3'!$E27,IF(AP4&lt;'Get Started  3'!$H111,0,OFFSET(AP234,0,-1*'Get Started  3'!$H111)*'Get Started  3'!$G42*'Get Started  3'!$G111),0)+IF('Get Started  3'!$H110&lt;='Get Started  3'!$E27,IF(AP4&lt;'Get Started  3'!$H110,0,OFFSET(AP234,0,-1*'Get Started  3'!$H110)*'Get Started  3'!$F42*'Get Started  3'!$G110),0)+IF('Get Started  3'!$H109&lt;='Get Started  3'!$E27,IF(AP4&lt;'Get Started  3'!$H109,0,OFFSET(AP234,0,-1*'Get Started  3'!$H109)*'Get Started  3'!$E42*'Get Started  3'!$G109),0)</f>
        <v>0.45478124999999997</v>
      </c>
      <c r="AQ237" s="90">
        <f ca="1">IF('Get Started  3'!$H112&lt;='Get Started  3'!$E27,IF(AND(AQ4&lt;'Get Started  3'!$H112,'Get Started  3'!$H112&lt;='Get Started  3'!$E27),0,OFFSET(AQ234,0,-1*'Get Started  3'!$H112)*'Get Started  3'!$H42*'Get Started  3'!$G112),0)+IF('Get Started  3'!$H111&lt;='Get Started  3'!$E27,IF(AQ4&lt;'Get Started  3'!$H111,0,OFFSET(AQ234,0,-1*'Get Started  3'!$H111)*'Get Started  3'!$G42*'Get Started  3'!$G111),0)+IF('Get Started  3'!$H110&lt;='Get Started  3'!$E27,IF(AQ4&lt;'Get Started  3'!$H110,0,OFFSET(AQ234,0,-1*'Get Started  3'!$H110)*'Get Started  3'!$F42*'Get Started  3'!$G110),0)+IF('Get Started  3'!$H109&lt;='Get Started  3'!$E27,IF(AQ4&lt;'Get Started  3'!$H109,0,OFFSET(AQ234,0,-1*'Get Started  3'!$H109)*'Get Started  3'!$E42*'Get Started  3'!$G109),0)</f>
        <v>0.52552499999999991</v>
      </c>
      <c r="AR237" s="90">
        <f ca="1">IF('Get Started  3'!$H112&lt;='Get Started  3'!$E27,IF(AND(AR4&lt;'Get Started  3'!$H112,'Get Started  3'!$H112&lt;='Get Started  3'!$E27),0,OFFSET(AR234,0,-1*'Get Started  3'!$H112)*'Get Started  3'!$H42*'Get Started  3'!$G112),0)+IF('Get Started  3'!$H111&lt;='Get Started  3'!$E27,IF(AR4&lt;'Get Started  3'!$H111,0,OFFSET(AR234,0,-1*'Get Started  3'!$H111)*'Get Started  3'!$G42*'Get Started  3'!$G111),0)+IF('Get Started  3'!$H110&lt;='Get Started  3'!$E27,IF(AR4&lt;'Get Started  3'!$H110,0,OFFSET(AR234,0,-1*'Get Started  3'!$H110)*'Get Started  3'!$F42*'Get Started  3'!$G110),0)+IF('Get Started  3'!$H109&lt;='Get Started  3'!$E27,IF(AR4&lt;'Get Started  3'!$H109,0,OFFSET(AR234,0,-1*'Get Started  3'!$H109)*'Get Started  3'!$E42*'Get Started  3'!$G109),0)</f>
        <v>0.52552499999999991</v>
      </c>
      <c r="AS237" s="90">
        <f ca="1">IF('Get Started  3'!$H112&lt;='Get Started  3'!$E27,IF(AND(AS4&lt;'Get Started  3'!$H112,'Get Started  3'!$H112&lt;='Get Started  3'!$E27),0,OFFSET(AS234,0,-1*'Get Started  3'!$H112)*'Get Started  3'!$H42*'Get Started  3'!$G112),0)+IF('Get Started  3'!$H111&lt;='Get Started  3'!$E27,IF(AS4&lt;'Get Started  3'!$H111,0,OFFSET(AS234,0,-1*'Get Started  3'!$H111)*'Get Started  3'!$G42*'Get Started  3'!$G111),0)+IF('Get Started  3'!$H110&lt;='Get Started  3'!$E27,IF(AS4&lt;'Get Started  3'!$H110,0,OFFSET(AS234,0,-1*'Get Started  3'!$H110)*'Get Started  3'!$F42*'Get Started  3'!$G110),0)+IF('Get Started  3'!$H109&lt;='Get Started  3'!$E27,IF(AS4&lt;'Get Started  3'!$H109,0,OFFSET(AS234,0,-1*'Get Started  3'!$H109)*'Get Started  3'!$E42*'Get Started  3'!$G109),0)</f>
        <v>0.52552499999999991</v>
      </c>
      <c r="AT237" s="90">
        <f ca="1">IF('Get Started  3'!$H112&lt;='Get Started  3'!$E27,IF(AND(AT4&lt;'Get Started  3'!$H112,'Get Started  3'!$H112&lt;='Get Started  3'!$E27),0,OFFSET(AT234,0,-1*'Get Started  3'!$H112)*'Get Started  3'!$H42*'Get Started  3'!$G112),0)+IF('Get Started  3'!$H111&lt;='Get Started  3'!$E27,IF(AT4&lt;'Get Started  3'!$H111,0,OFFSET(AT234,0,-1*'Get Started  3'!$H111)*'Get Started  3'!$G42*'Get Started  3'!$G111),0)+IF('Get Started  3'!$H110&lt;='Get Started  3'!$E27,IF(AT4&lt;'Get Started  3'!$H110,0,OFFSET(AT234,0,-1*'Get Started  3'!$H110)*'Get Started  3'!$F42*'Get Started  3'!$G110),0)+IF('Get Started  3'!$H109&lt;='Get Started  3'!$E27,IF(AT4&lt;'Get Started  3'!$H109,0,OFFSET(AT234,0,-1*'Get Started  3'!$H109)*'Get Started  3'!$E42*'Get Started  3'!$G109),0)</f>
        <v>0.52552499999999991</v>
      </c>
      <c r="AU237" s="90">
        <f ca="1">IF('Get Started  3'!$H112&lt;='Get Started  3'!$E27,IF(AND(AU4&lt;'Get Started  3'!$H112,'Get Started  3'!$H112&lt;='Get Started  3'!$E27),0,OFFSET(AU234,0,-1*'Get Started  3'!$H112)*'Get Started  3'!$H42*'Get Started  3'!$G112),0)+IF('Get Started  3'!$H111&lt;='Get Started  3'!$E27,IF(AU4&lt;'Get Started  3'!$H111,0,OFFSET(AU234,0,-1*'Get Started  3'!$H111)*'Get Started  3'!$G42*'Get Started  3'!$G111),0)+IF('Get Started  3'!$H110&lt;='Get Started  3'!$E27,IF(AU4&lt;'Get Started  3'!$H110,0,OFFSET(AU234,0,-1*'Get Started  3'!$H110)*'Get Started  3'!$F42*'Get Started  3'!$G110),0)+IF('Get Started  3'!$H109&lt;='Get Started  3'!$E27,IF(AU4&lt;'Get Started  3'!$H109,0,OFFSET(AU234,0,-1*'Get Started  3'!$H109)*'Get Started  3'!$E42*'Get Started  3'!$G109),0)</f>
        <v>0</v>
      </c>
      <c r="AV237" s="90">
        <f ca="1">IF('Get Started  3'!$H112&lt;='Get Started  3'!$E27,IF(AND(AV4&lt;'Get Started  3'!$H112,'Get Started  3'!$H112&lt;='Get Started  3'!$E27),0,OFFSET(AV234,0,-1*'Get Started  3'!$H112)*'Get Started  3'!$H42*'Get Started  3'!$G112),0)+IF('Get Started  3'!$H111&lt;='Get Started  3'!$E27,IF(AV4&lt;'Get Started  3'!$H111,0,OFFSET(AV234,0,-1*'Get Started  3'!$H111)*'Get Started  3'!$G42*'Get Started  3'!$G111),0)+IF('Get Started  3'!$H110&lt;='Get Started  3'!$E27,IF(AV4&lt;'Get Started  3'!$H110,0,OFFSET(AV234,0,-1*'Get Started  3'!$H110)*'Get Started  3'!$F42*'Get Started  3'!$G110),0)+IF('Get Started  3'!$H109&lt;='Get Started  3'!$E27,IF(AV4&lt;'Get Started  3'!$H109,0,OFFSET(AV234,0,-1*'Get Started  3'!$H109)*'Get Started  3'!$E42*'Get Started  3'!$G109),0)</f>
        <v>0</v>
      </c>
      <c r="AW237" s="90">
        <f ca="1">IF('Get Started  3'!$H112&lt;='Get Started  3'!$E27,IF(AND(AW4&lt;'Get Started  3'!$H112,'Get Started  3'!$H112&lt;='Get Started  3'!$E27),0,OFFSET(AW234,0,-1*'Get Started  3'!$H112)*'Get Started  3'!$H42*'Get Started  3'!$G112),0)+IF('Get Started  3'!$H111&lt;='Get Started  3'!$E27,IF(AW4&lt;'Get Started  3'!$H111,0,OFFSET(AW234,0,-1*'Get Started  3'!$H111)*'Get Started  3'!$G42*'Get Started  3'!$G111),0)+IF('Get Started  3'!$H110&lt;='Get Started  3'!$E27,IF(AW4&lt;'Get Started  3'!$H110,0,OFFSET(AW234,0,-1*'Get Started  3'!$H110)*'Get Started  3'!$F42*'Get Started  3'!$G110),0)+IF('Get Started  3'!$H109&lt;='Get Started  3'!$E27,IF(AW4&lt;'Get Started  3'!$H109,0,OFFSET(AW234,0,-1*'Get Started  3'!$H109)*'Get Started  3'!$E42*'Get Started  3'!$G109),0)</f>
        <v>0</v>
      </c>
      <c r="AX237" s="90">
        <f ca="1">IF('Get Started  3'!$H112&lt;='Get Started  3'!$E27,IF(AND(AX4&lt;'Get Started  3'!$H112,'Get Started  3'!$H112&lt;='Get Started  3'!$E27),0,OFFSET(AX234,0,-1*'Get Started  3'!$H112)*'Get Started  3'!$H42*'Get Started  3'!$G112),0)+IF('Get Started  3'!$H111&lt;='Get Started  3'!$E27,IF(AX4&lt;'Get Started  3'!$H111,0,OFFSET(AX234,0,-1*'Get Started  3'!$H111)*'Get Started  3'!$G42*'Get Started  3'!$G111),0)+IF('Get Started  3'!$H110&lt;='Get Started  3'!$E27,IF(AX4&lt;'Get Started  3'!$H110,0,OFFSET(AX234,0,-1*'Get Started  3'!$H110)*'Get Started  3'!$F42*'Get Started  3'!$G110),0)+IF('Get Started  3'!$H109&lt;='Get Started  3'!$E27,IF(AX4&lt;'Get Started  3'!$H109,0,OFFSET(AX234,0,-1*'Get Started  3'!$H109)*'Get Started  3'!$E42*'Get Started  3'!$G109),0)</f>
        <v>0</v>
      </c>
      <c r="AY237" s="90">
        <f ca="1">IF('Get Started  3'!$H112&lt;='Get Started  3'!$E27,IF(AND(AY4&lt;'Get Started  3'!$H112,'Get Started  3'!$H112&lt;='Get Started  3'!$E27),0,OFFSET(AY234,0,-1*'Get Started  3'!$H112)*'Get Started  3'!$H42*'Get Started  3'!$G112),0)+IF('Get Started  3'!$H111&lt;='Get Started  3'!$E27,IF(AY4&lt;'Get Started  3'!$H111,0,OFFSET(AY234,0,-1*'Get Started  3'!$H111)*'Get Started  3'!$G42*'Get Started  3'!$G111),0)+IF('Get Started  3'!$H110&lt;='Get Started  3'!$E27,IF(AY4&lt;'Get Started  3'!$H110,0,OFFSET(AY234,0,-1*'Get Started  3'!$H110)*'Get Started  3'!$F42*'Get Started  3'!$G110),0)+IF('Get Started  3'!$H109&lt;='Get Started  3'!$E27,IF(AY4&lt;'Get Started  3'!$H109,0,OFFSET(AY234,0,-1*'Get Started  3'!$H109)*'Get Started  3'!$E42*'Get Started  3'!$G109),0)</f>
        <v>0</v>
      </c>
      <c r="AZ237" s="90">
        <f ca="1">IF('Get Started  3'!$H112&lt;='Get Started  3'!$E27,IF(AND(AZ4&lt;'Get Started  3'!$H112,'Get Started  3'!$H112&lt;='Get Started  3'!$E27),0,OFFSET(AZ234,0,-1*'Get Started  3'!$H112)*'Get Started  3'!$H42*'Get Started  3'!$G112),0)+IF('Get Started  3'!$H111&lt;='Get Started  3'!$E27,IF(AZ4&lt;'Get Started  3'!$H111,0,OFFSET(AZ234,0,-1*'Get Started  3'!$H111)*'Get Started  3'!$G42*'Get Started  3'!$G111),0)+IF('Get Started  3'!$H110&lt;='Get Started  3'!$E27,IF(AZ4&lt;'Get Started  3'!$H110,0,OFFSET(AZ234,0,-1*'Get Started  3'!$H110)*'Get Started  3'!$F42*'Get Started  3'!$G110),0)+IF('Get Started  3'!$H109&lt;='Get Started  3'!$E27,IF(AZ4&lt;'Get Started  3'!$H109,0,OFFSET(AZ234,0,-1*'Get Started  3'!$H109)*'Get Started  3'!$E42*'Get Started  3'!$G109),0)</f>
        <v>0</v>
      </c>
      <c r="BA237" s="90">
        <f ca="1">IF('Get Started  3'!$H112&lt;='Get Started  3'!$E27,IF(AND(BA4&lt;'Get Started  3'!$H112,'Get Started  3'!$H112&lt;='Get Started  3'!$E27),0,OFFSET(BA234,0,-1*'Get Started  3'!$H112)*'Get Started  3'!$H42*'Get Started  3'!$G112),0)+IF('Get Started  3'!$H111&lt;='Get Started  3'!$E27,IF(BA4&lt;'Get Started  3'!$H111,0,OFFSET(BA234,0,-1*'Get Started  3'!$H111)*'Get Started  3'!$G42*'Get Started  3'!$G111),0)+IF('Get Started  3'!$H110&lt;='Get Started  3'!$E27,IF(BA4&lt;'Get Started  3'!$H110,0,OFFSET(BA234,0,-1*'Get Started  3'!$H110)*'Get Started  3'!$F42*'Get Started  3'!$G110),0)+IF('Get Started  3'!$H109&lt;='Get Started  3'!$E27,IF(BA4&lt;'Get Started  3'!$H109,0,OFFSET(BA234,0,-1*'Get Started  3'!$H109)*'Get Started  3'!$E42*'Get Started  3'!$G109),0)</f>
        <v>0</v>
      </c>
      <c r="BB237" s="90">
        <f ca="1">IF('Get Started  3'!$H112&lt;='Get Started  3'!$E27,IF(AND(BB4&lt;'Get Started  3'!$H112,'Get Started  3'!$H112&lt;='Get Started  3'!$E27),0,OFFSET(BB234,0,-1*'Get Started  3'!$H112)*'Get Started  3'!$H42*'Get Started  3'!$G112),0)+IF('Get Started  3'!$H111&lt;='Get Started  3'!$E27,IF(BB4&lt;'Get Started  3'!$H111,0,OFFSET(BB234,0,-1*'Get Started  3'!$H111)*'Get Started  3'!$G42*'Get Started  3'!$G111),0)+IF('Get Started  3'!$H110&lt;='Get Started  3'!$E27,IF(BB4&lt;'Get Started  3'!$H110,0,OFFSET(BB234,0,-1*'Get Started  3'!$H110)*'Get Started  3'!$F42*'Get Started  3'!$G110),0)+IF('Get Started  3'!$H109&lt;='Get Started  3'!$E27,IF(BB4&lt;'Get Started  3'!$H109,0,OFFSET(BB234,0,-1*'Get Started  3'!$H109)*'Get Started  3'!$E42*'Get Started  3'!$G109),0)</f>
        <v>0</v>
      </c>
      <c r="BC237" s="90">
        <f ca="1">IF('Get Started  3'!$H112&lt;='Get Started  3'!$E27,IF(AND(BC4&lt;'Get Started  3'!$H112,'Get Started  3'!$H112&lt;='Get Started  3'!$E27),0,OFFSET(BC234,0,-1*'Get Started  3'!$H112)*'Get Started  3'!$H42*'Get Started  3'!$G112),0)+IF('Get Started  3'!$H111&lt;='Get Started  3'!$E27,IF(BC4&lt;'Get Started  3'!$H111,0,OFFSET(BC234,0,-1*'Get Started  3'!$H111)*'Get Started  3'!$G42*'Get Started  3'!$G111),0)+IF('Get Started  3'!$H110&lt;='Get Started  3'!$E27,IF(BC4&lt;'Get Started  3'!$H110,0,OFFSET(BC234,0,-1*'Get Started  3'!$H110)*'Get Started  3'!$F42*'Get Started  3'!$G110),0)+IF('Get Started  3'!$H109&lt;='Get Started  3'!$E27,IF(BC4&lt;'Get Started  3'!$H109,0,OFFSET(BC234,0,-1*'Get Started  3'!$H109)*'Get Started  3'!$E42*'Get Started  3'!$G109),0)</f>
        <v>0</v>
      </c>
      <c r="BD237" s="90">
        <f ca="1">IF('Get Started  3'!$H112&lt;='Get Started  3'!$E27,IF(AND(BD4&lt;'Get Started  3'!$H112,'Get Started  3'!$H112&lt;='Get Started  3'!$E27),0,OFFSET(BD234,0,-1*'Get Started  3'!$H112)*'Get Started  3'!$H42*'Get Started  3'!$G112),0)+IF('Get Started  3'!$H111&lt;='Get Started  3'!$E27,IF(BD4&lt;'Get Started  3'!$H111,0,OFFSET(BD234,0,-1*'Get Started  3'!$H111)*'Get Started  3'!$G42*'Get Started  3'!$G111),0)+IF('Get Started  3'!$H110&lt;='Get Started  3'!$E27,IF(BD4&lt;'Get Started  3'!$H110,0,OFFSET(BD234,0,-1*'Get Started  3'!$H110)*'Get Started  3'!$F42*'Get Started  3'!$G110),0)+IF('Get Started  3'!$H109&lt;='Get Started  3'!$E27,IF(BD4&lt;'Get Started  3'!$H109,0,OFFSET(BD234,0,-1*'Get Started  3'!$H109)*'Get Started  3'!$E42*'Get Started  3'!$G109),0)</f>
        <v>0</v>
      </c>
      <c r="BE237" s="90">
        <f ca="1">IF('Get Started  3'!$H112&lt;='Get Started  3'!$E27,IF(AND(BE4&lt;'Get Started  3'!$H112,'Get Started  3'!$H112&lt;='Get Started  3'!$E27),0,OFFSET(BE234,0,-1*'Get Started  3'!$H112)*'Get Started  3'!$H42*'Get Started  3'!$G112),0)+IF('Get Started  3'!$H111&lt;='Get Started  3'!$E27,IF(BE4&lt;'Get Started  3'!$H111,0,OFFSET(BE234,0,-1*'Get Started  3'!$H111)*'Get Started  3'!$G42*'Get Started  3'!$G111),0)+IF('Get Started  3'!$H110&lt;='Get Started  3'!$E27,IF(BE4&lt;'Get Started  3'!$H110,0,OFFSET(BE234,0,-1*'Get Started  3'!$H110)*'Get Started  3'!$F42*'Get Started  3'!$G110),0)+IF('Get Started  3'!$H109&lt;='Get Started  3'!$E27,IF(BE4&lt;'Get Started  3'!$H109,0,OFFSET(BE234,0,-1*'Get Started  3'!$H109)*'Get Started  3'!$E42*'Get Started  3'!$G109),0)</f>
        <v>0</v>
      </c>
      <c r="BF237" s="90">
        <f ca="1">IF('Get Started  3'!$H112&lt;='Get Started  3'!$E27,IF(AND(BF4&lt;'Get Started  3'!$H112,'Get Started  3'!$H112&lt;='Get Started  3'!$E27),0,OFFSET(BF234,0,-1*'Get Started  3'!$H112)*'Get Started  3'!$H42*'Get Started  3'!$G112),0)+IF('Get Started  3'!$H111&lt;='Get Started  3'!$E27,IF(BF4&lt;'Get Started  3'!$H111,0,OFFSET(BF234,0,-1*'Get Started  3'!$H111)*'Get Started  3'!$G42*'Get Started  3'!$G111),0)+IF('Get Started  3'!$H110&lt;='Get Started  3'!$E27,IF(BF4&lt;'Get Started  3'!$H110,0,OFFSET(BF234,0,-1*'Get Started  3'!$H110)*'Get Started  3'!$F42*'Get Started  3'!$G110),0)+IF('Get Started  3'!$H109&lt;='Get Started  3'!$E27,IF(BF4&lt;'Get Started  3'!$H109,0,OFFSET(BF234,0,-1*'Get Started  3'!$H109)*'Get Started  3'!$E42*'Get Started  3'!$G109),0)</f>
        <v>0</v>
      </c>
      <c r="BG237" s="90">
        <f ca="1">IF('Get Started  3'!$H112&lt;='Get Started  3'!$E27,IF(AND(BG4&lt;'Get Started  3'!$H112,'Get Started  3'!$H112&lt;='Get Started  3'!$E27),0,OFFSET(BG234,0,-1*'Get Started  3'!$H112)*'Get Started  3'!$H42*'Get Started  3'!$G112),0)+IF('Get Started  3'!$H111&lt;='Get Started  3'!$E27,IF(BG4&lt;'Get Started  3'!$H111,0,OFFSET(BG234,0,-1*'Get Started  3'!$H111)*'Get Started  3'!$G42*'Get Started  3'!$G111),0)+IF('Get Started  3'!$H110&lt;='Get Started  3'!$E27,IF(BG4&lt;'Get Started  3'!$H110,0,OFFSET(BG234,0,-1*'Get Started  3'!$H110)*'Get Started  3'!$F42*'Get Started  3'!$G110),0)+IF('Get Started  3'!$H109&lt;='Get Started  3'!$E27,IF(BG4&lt;'Get Started  3'!$H109,0,OFFSET(BG234,0,-1*'Get Started  3'!$H109)*'Get Started  3'!$E42*'Get Started  3'!$G109),0)</f>
        <v>0</v>
      </c>
      <c r="BH237" s="90">
        <f ca="1">IF('Get Started  3'!$H112&lt;='Get Started  3'!$E27,IF(AND(BH4&lt;'Get Started  3'!$H112,'Get Started  3'!$H112&lt;='Get Started  3'!$E27),0,OFFSET(BH234,0,-1*'Get Started  3'!$H112)*'Get Started  3'!$H42*'Get Started  3'!$G112),0)+IF('Get Started  3'!$H111&lt;='Get Started  3'!$E27,IF(BH4&lt;'Get Started  3'!$H111,0,OFFSET(BH234,0,-1*'Get Started  3'!$H111)*'Get Started  3'!$G42*'Get Started  3'!$G111),0)+IF('Get Started  3'!$H110&lt;='Get Started  3'!$E27,IF(BH4&lt;'Get Started  3'!$H110,0,OFFSET(BH234,0,-1*'Get Started  3'!$H110)*'Get Started  3'!$F42*'Get Started  3'!$G110),0)+IF('Get Started  3'!$H109&lt;='Get Started  3'!$E27,IF(BH4&lt;'Get Started  3'!$H109,0,OFFSET(BH234,0,-1*'Get Started  3'!$H109)*'Get Started  3'!$E42*'Get Started  3'!$G109),0)</f>
        <v>0</v>
      </c>
      <c r="BI237" s="90">
        <f ca="1">IF('Get Started  3'!$H112&lt;='Get Started  3'!$E27,IF(AND(BI4&lt;'Get Started  3'!$H112,'Get Started  3'!$H112&lt;='Get Started  3'!$E27),0,OFFSET(BI234,0,-1*'Get Started  3'!$H112)*'Get Started  3'!$H42*'Get Started  3'!$G112),0)+IF('Get Started  3'!$H111&lt;='Get Started  3'!$E27,IF(BI4&lt;'Get Started  3'!$H111,0,OFFSET(BI234,0,-1*'Get Started  3'!$H111)*'Get Started  3'!$G42*'Get Started  3'!$G111),0)+IF('Get Started  3'!$H110&lt;='Get Started  3'!$E27,IF(BI4&lt;'Get Started  3'!$H110,0,OFFSET(BI234,0,-1*'Get Started  3'!$H110)*'Get Started  3'!$F42*'Get Started  3'!$G110),0)+IF('Get Started  3'!$H109&lt;='Get Started  3'!$E27,IF(BI4&lt;'Get Started  3'!$H109,0,OFFSET(BI234,0,-1*'Get Started  3'!$H109)*'Get Started  3'!$E42*'Get Started  3'!$G109),0)</f>
        <v>0</v>
      </c>
      <c r="BJ237" s="90">
        <f ca="1">IF('Get Started  3'!$H112&lt;='Get Started  3'!$E27,IF(AND(BJ4&lt;'Get Started  3'!$H112,'Get Started  3'!$H112&lt;='Get Started  3'!$E27),0,OFFSET(BJ234,0,-1*'Get Started  3'!$H112)*'Get Started  3'!$H42*'Get Started  3'!$G112),0)+IF('Get Started  3'!$H111&lt;='Get Started  3'!$E27,IF(BJ4&lt;'Get Started  3'!$H111,0,OFFSET(BJ234,0,-1*'Get Started  3'!$H111)*'Get Started  3'!$G42*'Get Started  3'!$G111),0)+IF('Get Started  3'!$H110&lt;='Get Started  3'!$E27,IF(BJ4&lt;'Get Started  3'!$H110,0,OFFSET(BJ234,0,-1*'Get Started  3'!$H110)*'Get Started  3'!$F42*'Get Started  3'!$G110),0)+IF('Get Started  3'!$H109&lt;='Get Started  3'!$E27,IF(BJ4&lt;'Get Started  3'!$H109,0,OFFSET(BJ234,0,-1*'Get Started  3'!$H109)*'Get Started  3'!$E42*'Get Started  3'!$G109),0)</f>
        <v>0</v>
      </c>
      <c r="BK237" s="90">
        <f ca="1">IF('Get Started  3'!$H112&lt;='Get Started  3'!$E27,IF(AND(BK4&lt;'Get Started  3'!$H112,'Get Started  3'!$H112&lt;='Get Started  3'!$E27),0,OFFSET(BK234,0,-1*'Get Started  3'!$H112)*'Get Started  3'!$H42*'Get Started  3'!$G112),0)+IF('Get Started  3'!$H111&lt;='Get Started  3'!$E27,IF(BK4&lt;'Get Started  3'!$H111,0,OFFSET(BK234,0,-1*'Get Started  3'!$H111)*'Get Started  3'!$G42*'Get Started  3'!$G111),0)+IF('Get Started  3'!$H110&lt;='Get Started  3'!$E27,IF(BK4&lt;'Get Started  3'!$H110,0,OFFSET(BK234,0,-1*'Get Started  3'!$H110)*'Get Started  3'!$F42*'Get Started  3'!$G110),0)+IF('Get Started  3'!$H109&lt;='Get Started  3'!$E27,IF(BK4&lt;'Get Started  3'!$H109,0,OFFSET(BK234,0,-1*'Get Started  3'!$H109)*'Get Started  3'!$E42*'Get Started  3'!$G109),0)</f>
        <v>0</v>
      </c>
      <c r="BL237" s="90">
        <f ca="1">IF('Get Started  3'!$H112&lt;='Get Started  3'!$E27,IF(AND(BL4&lt;'Get Started  3'!$H112,'Get Started  3'!$H112&lt;='Get Started  3'!$E27),0,OFFSET(BL234,0,-1*'Get Started  3'!$H112)*'Get Started  3'!$H42*'Get Started  3'!$G112),0)+IF('Get Started  3'!$H111&lt;='Get Started  3'!$E27,IF(BL4&lt;'Get Started  3'!$H111,0,OFFSET(BL234,0,-1*'Get Started  3'!$H111)*'Get Started  3'!$G42*'Get Started  3'!$G111),0)+IF('Get Started  3'!$H110&lt;='Get Started  3'!$E27,IF(BL4&lt;'Get Started  3'!$H110,0,OFFSET(BL234,0,-1*'Get Started  3'!$H110)*'Get Started  3'!$F42*'Get Started  3'!$G110),0)+IF('Get Started  3'!$H109&lt;='Get Started  3'!$E27,IF(BL4&lt;'Get Started  3'!$H109,0,OFFSET(BL234,0,-1*'Get Started  3'!$H109)*'Get Started  3'!$E42*'Get Started  3'!$G109),0)</f>
        <v>0</v>
      </c>
      <c r="BM237" s="90">
        <f ca="1">IF('Get Started  3'!$H112&lt;='Get Started  3'!$E27,IF(AND(BM4&lt;'Get Started  3'!$H112,'Get Started  3'!$H112&lt;='Get Started  3'!$E27),0,OFFSET(BM234,0,-1*'Get Started  3'!$H112)*'Get Started  3'!$H42*'Get Started  3'!$G112),0)+IF('Get Started  3'!$H111&lt;='Get Started  3'!$E27,IF(BM4&lt;'Get Started  3'!$H111,0,OFFSET(BM234,0,-1*'Get Started  3'!$H111)*'Get Started  3'!$G42*'Get Started  3'!$G111),0)+IF('Get Started  3'!$H110&lt;='Get Started  3'!$E27,IF(BM4&lt;'Get Started  3'!$H110,0,OFFSET(BM234,0,-1*'Get Started  3'!$H110)*'Get Started  3'!$F42*'Get Started  3'!$G110),0)+IF('Get Started  3'!$H109&lt;='Get Started  3'!$E27,IF(BM4&lt;'Get Started  3'!$H109,0,OFFSET(BM234,0,-1*'Get Started  3'!$H109)*'Get Started  3'!$E42*'Get Started  3'!$G109),0)</f>
        <v>0</v>
      </c>
      <c r="BN237" s="90">
        <f ca="1">IF('Get Started  3'!$H112&lt;='Get Started  3'!$E27,IF(AND(BN4&lt;'Get Started  3'!$H112,'Get Started  3'!$H112&lt;='Get Started  3'!$E27),0,OFFSET(BN234,0,-1*'Get Started  3'!$H112)*'Get Started  3'!$H42*'Get Started  3'!$G112),0)+IF('Get Started  3'!$H111&lt;='Get Started  3'!$E27,IF(BN4&lt;'Get Started  3'!$H111,0,OFFSET(BN234,0,-1*'Get Started  3'!$H111)*'Get Started  3'!$G42*'Get Started  3'!$G111),0)+IF('Get Started  3'!$H110&lt;='Get Started  3'!$E27,IF(BN4&lt;'Get Started  3'!$H110,0,OFFSET(BN234,0,-1*'Get Started  3'!$H110)*'Get Started  3'!$F42*'Get Started  3'!$G110),0)+IF('Get Started  3'!$H109&lt;='Get Started  3'!$E27,IF(BN4&lt;'Get Started  3'!$H109,0,OFFSET(BN234,0,-1*'Get Started  3'!$H109)*'Get Started  3'!$E42*'Get Started  3'!$G109),0)</f>
        <v>0</v>
      </c>
      <c r="BO237" s="90">
        <f ca="1">IF('Get Started  3'!$H112&lt;='Get Started  3'!$E27,IF(AND(BO4&lt;'Get Started  3'!$H112,'Get Started  3'!$H112&lt;='Get Started  3'!$E27),0,OFFSET(BO234,0,-1*'Get Started  3'!$H112)*'Get Started  3'!$H42*'Get Started  3'!$G112),0)+IF('Get Started  3'!$H111&lt;='Get Started  3'!$E27,IF(BO4&lt;'Get Started  3'!$H111,0,OFFSET(BO234,0,-1*'Get Started  3'!$H111)*'Get Started  3'!$G42*'Get Started  3'!$G111),0)+IF('Get Started  3'!$H110&lt;='Get Started  3'!$E27,IF(BO4&lt;'Get Started  3'!$H110,0,OFFSET(BO234,0,-1*'Get Started  3'!$H110)*'Get Started  3'!$F42*'Get Started  3'!$G110),0)+IF('Get Started  3'!$H109&lt;='Get Started  3'!$E27,IF(BO4&lt;'Get Started  3'!$H109,0,OFFSET(BO234,0,-1*'Get Started  3'!$H109)*'Get Started  3'!$E42*'Get Started  3'!$G109),0)</f>
        <v>0</v>
      </c>
      <c r="BP237" s="90">
        <f ca="1">IF('Get Started  3'!$H112&lt;='Get Started  3'!$E27,IF(AND(BP4&lt;'Get Started  3'!$H112,'Get Started  3'!$H112&lt;='Get Started  3'!$E27),0,OFFSET(BP234,0,-1*'Get Started  3'!$H112)*'Get Started  3'!$H42*'Get Started  3'!$G112),0)+IF('Get Started  3'!$H111&lt;='Get Started  3'!$E27,IF(BP4&lt;'Get Started  3'!$H111,0,OFFSET(BP234,0,-1*'Get Started  3'!$H111)*'Get Started  3'!$G42*'Get Started  3'!$G111),0)+IF('Get Started  3'!$H110&lt;='Get Started  3'!$E27,IF(BP4&lt;'Get Started  3'!$H110,0,OFFSET(BP234,0,-1*'Get Started  3'!$H110)*'Get Started  3'!$F42*'Get Started  3'!$G110),0)+IF('Get Started  3'!$H109&lt;='Get Started  3'!$E27,IF(BP4&lt;'Get Started  3'!$H109,0,OFFSET(BP234,0,-1*'Get Started  3'!$H109)*'Get Started  3'!$E42*'Get Started  3'!$G109),0)</f>
        <v>0</v>
      </c>
      <c r="BQ237" s="90">
        <f ca="1">IF('Get Started  3'!$H112&lt;='Get Started  3'!$E27,IF(AND(BQ4&lt;'Get Started  3'!$H112,'Get Started  3'!$H112&lt;='Get Started  3'!$E27),0,OFFSET(BQ234,0,-1*'Get Started  3'!$H112)*'Get Started  3'!$H42*'Get Started  3'!$G112),0)+IF('Get Started  3'!$H111&lt;='Get Started  3'!$E27,IF(BQ4&lt;'Get Started  3'!$H111,0,OFFSET(BQ234,0,-1*'Get Started  3'!$H111)*'Get Started  3'!$G42*'Get Started  3'!$G111),0)+IF('Get Started  3'!$H110&lt;='Get Started  3'!$E27,IF(BQ4&lt;'Get Started  3'!$H110,0,OFFSET(BQ234,0,-1*'Get Started  3'!$H110)*'Get Started  3'!$F42*'Get Started  3'!$G110),0)+IF('Get Started  3'!$H109&lt;='Get Started  3'!$E27,IF(BQ4&lt;'Get Started  3'!$H109,0,OFFSET(BQ234,0,-1*'Get Started  3'!$H109)*'Get Started  3'!$E42*'Get Started  3'!$G109),0)</f>
        <v>0</v>
      </c>
      <c r="BR237" s="90">
        <f ca="1">IF('Get Started  3'!$H112&lt;='Get Started  3'!$E27,IF(AND(BR4&lt;'Get Started  3'!$H112,'Get Started  3'!$H112&lt;='Get Started  3'!$E27),0,OFFSET(BR234,0,-1*'Get Started  3'!$H112)*'Get Started  3'!$H42*'Get Started  3'!$G112),0)+IF('Get Started  3'!$H111&lt;='Get Started  3'!$E27,IF(BR4&lt;'Get Started  3'!$H111,0,OFFSET(BR234,0,-1*'Get Started  3'!$H111)*'Get Started  3'!$G42*'Get Started  3'!$G111),0)+IF('Get Started  3'!$H110&lt;='Get Started  3'!$E27,IF(BR4&lt;'Get Started  3'!$H110,0,OFFSET(BR234,0,-1*'Get Started  3'!$H110)*'Get Started  3'!$F42*'Get Started  3'!$G110),0)+IF('Get Started  3'!$H109&lt;='Get Started  3'!$E27,IF(BR4&lt;'Get Started  3'!$H109,0,OFFSET(BR234,0,-1*'Get Started  3'!$H109)*'Get Started  3'!$E42*'Get Started  3'!$G109),0)</f>
        <v>0</v>
      </c>
      <c r="BS237" s="90">
        <f ca="1">IF('Get Started  3'!$H112&lt;='Get Started  3'!$E27,IF(AND(BS4&lt;'Get Started  3'!$H112,'Get Started  3'!$H112&lt;='Get Started  3'!$E27),0,OFFSET(BS234,0,-1*'Get Started  3'!$H112)*'Get Started  3'!$H42*'Get Started  3'!$G112),0)+IF('Get Started  3'!$H111&lt;='Get Started  3'!$E27,IF(BS4&lt;'Get Started  3'!$H111,0,OFFSET(BS234,0,-1*'Get Started  3'!$H111)*'Get Started  3'!$G42*'Get Started  3'!$G111),0)+IF('Get Started  3'!$H110&lt;='Get Started  3'!$E27,IF(BS4&lt;'Get Started  3'!$H110,0,OFFSET(BS234,0,-1*'Get Started  3'!$H110)*'Get Started  3'!$F42*'Get Started  3'!$G110),0)+IF('Get Started  3'!$H109&lt;='Get Started  3'!$E27,IF(BS4&lt;'Get Started  3'!$H109,0,OFFSET(BS234,0,-1*'Get Started  3'!$H109)*'Get Started  3'!$E42*'Get Started  3'!$G109),0)</f>
        <v>0</v>
      </c>
      <c r="BT237" s="90">
        <f ca="1">IF('Get Started  3'!$H112&lt;='Get Started  3'!$E27,IF(AND(BT4&lt;'Get Started  3'!$H112,'Get Started  3'!$H112&lt;='Get Started  3'!$E27),0,OFFSET(BT234,0,-1*'Get Started  3'!$H112)*'Get Started  3'!$H42*'Get Started  3'!$G112),0)+IF('Get Started  3'!$H111&lt;='Get Started  3'!$E27,IF(BT4&lt;'Get Started  3'!$H111,0,OFFSET(BT234,0,-1*'Get Started  3'!$H111)*'Get Started  3'!$G42*'Get Started  3'!$G111),0)+IF('Get Started  3'!$H110&lt;='Get Started  3'!$E27,IF(BT4&lt;'Get Started  3'!$H110,0,OFFSET(BT234,0,-1*'Get Started  3'!$H110)*'Get Started  3'!$F42*'Get Started  3'!$G110),0)+IF('Get Started  3'!$H109&lt;='Get Started  3'!$E27,IF(BT4&lt;'Get Started  3'!$H109,0,OFFSET(BT234,0,-1*'Get Started  3'!$H109)*'Get Started  3'!$E42*'Get Started  3'!$G109),0)</f>
        <v>0</v>
      </c>
      <c r="BU237" s="90">
        <f ca="1">IF('Get Started  3'!$H112&lt;='Get Started  3'!$E27,IF(AND(BU4&lt;'Get Started  3'!$H112,'Get Started  3'!$H112&lt;='Get Started  3'!$E27),0,OFFSET(BU234,0,-1*'Get Started  3'!$H112)*'Get Started  3'!$H42*'Get Started  3'!$G112),0)+IF('Get Started  3'!$H111&lt;='Get Started  3'!$E27,IF(BU4&lt;'Get Started  3'!$H111,0,OFFSET(BU234,0,-1*'Get Started  3'!$H111)*'Get Started  3'!$G42*'Get Started  3'!$G111),0)+IF('Get Started  3'!$H110&lt;='Get Started  3'!$E27,IF(BU4&lt;'Get Started  3'!$H110,0,OFFSET(BU234,0,-1*'Get Started  3'!$H110)*'Get Started  3'!$F42*'Get Started  3'!$G110),0)+IF('Get Started  3'!$H109&lt;='Get Started  3'!$E27,IF(BU4&lt;'Get Started  3'!$H109,0,OFFSET(BU234,0,-1*'Get Started  3'!$H109)*'Get Started  3'!$E42*'Get Started  3'!$G109),0)</f>
        <v>0</v>
      </c>
      <c r="BV237" s="90">
        <f ca="1">IF('Get Started  3'!$H112&lt;='Get Started  3'!$E27,IF(AND(BV4&lt;'Get Started  3'!$H112,'Get Started  3'!$H112&lt;='Get Started  3'!$E27),0,OFFSET(BV234,0,-1*'Get Started  3'!$H112)*'Get Started  3'!$H42*'Get Started  3'!$G112),0)+IF('Get Started  3'!$H111&lt;='Get Started  3'!$E27,IF(BV4&lt;'Get Started  3'!$H111,0,OFFSET(BV234,0,-1*'Get Started  3'!$H111)*'Get Started  3'!$G42*'Get Started  3'!$G111),0)+IF('Get Started  3'!$H110&lt;='Get Started  3'!$E27,IF(BV4&lt;'Get Started  3'!$H110,0,OFFSET(BV234,0,-1*'Get Started  3'!$H110)*'Get Started  3'!$F42*'Get Started  3'!$G110),0)+IF('Get Started  3'!$H109&lt;='Get Started  3'!$E27,IF(BV4&lt;'Get Started  3'!$H109,0,OFFSET(BV234,0,-1*'Get Started  3'!$H109)*'Get Started  3'!$E42*'Get Started  3'!$G109),0)</f>
        <v>0</v>
      </c>
      <c r="BW237" s="90">
        <f ca="1">IF('Get Started  3'!$H112&lt;='Get Started  3'!$E27,IF(AND(BW4&lt;'Get Started  3'!$H112,'Get Started  3'!$H112&lt;='Get Started  3'!$E27),0,OFFSET(BW234,0,-1*'Get Started  3'!$H112)*'Get Started  3'!$H42*'Get Started  3'!$G112),0)+IF('Get Started  3'!$H111&lt;='Get Started  3'!$E27,IF(BW4&lt;'Get Started  3'!$H111,0,OFFSET(BW234,0,-1*'Get Started  3'!$H111)*'Get Started  3'!$G42*'Get Started  3'!$G111),0)+IF('Get Started  3'!$H110&lt;='Get Started  3'!$E27,IF(BW4&lt;'Get Started  3'!$H110,0,OFFSET(BW234,0,-1*'Get Started  3'!$H110)*'Get Started  3'!$F42*'Get Started  3'!$G110),0)+IF('Get Started  3'!$H109&lt;='Get Started  3'!$E27,IF(BW4&lt;'Get Started  3'!$H109,0,OFFSET(BW234,0,-1*'Get Started  3'!$H109)*'Get Started  3'!$E42*'Get Started  3'!$G109),0)</f>
        <v>0</v>
      </c>
      <c r="BX237" s="90">
        <f ca="1">IF('Get Started  3'!$H112&lt;='Get Started  3'!$E27,IF(AND(BX4&lt;'Get Started  3'!$H112,'Get Started  3'!$H112&lt;='Get Started  3'!$E27),0,OFFSET(BX234,0,-1*'Get Started  3'!$H112)*'Get Started  3'!$H42*'Get Started  3'!$G112),0)+IF('Get Started  3'!$H111&lt;='Get Started  3'!$E27,IF(BX4&lt;'Get Started  3'!$H111,0,OFFSET(BX234,0,-1*'Get Started  3'!$H111)*'Get Started  3'!$G42*'Get Started  3'!$G111),0)+IF('Get Started  3'!$H110&lt;='Get Started  3'!$E27,IF(BX4&lt;'Get Started  3'!$H110,0,OFFSET(BX234,0,-1*'Get Started  3'!$H110)*'Get Started  3'!$F42*'Get Started  3'!$G110),0)+IF('Get Started  3'!$H109&lt;='Get Started  3'!$E27,IF(BX4&lt;'Get Started  3'!$H109,0,OFFSET(BX234,0,-1*'Get Started  3'!$H109)*'Get Started  3'!$E42*'Get Started  3'!$G109),0)</f>
        <v>0</v>
      </c>
      <c r="BY237" s="90">
        <f ca="1">IF('Get Started  3'!$H112&lt;='Get Started  3'!$E27,IF(AND(BY4&lt;'Get Started  3'!$H112,'Get Started  3'!$H112&lt;='Get Started  3'!$E27),0,OFFSET(BY234,0,-1*'Get Started  3'!$H112)*'Get Started  3'!$H42*'Get Started  3'!$G112),0)+IF('Get Started  3'!$H111&lt;='Get Started  3'!$E27,IF(BY4&lt;'Get Started  3'!$H111,0,OFFSET(BY234,0,-1*'Get Started  3'!$H111)*'Get Started  3'!$G42*'Get Started  3'!$G111),0)+IF('Get Started  3'!$H110&lt;='Get Started  3'!$E27,IF(BY4&lt;'Get Started  3'!$H110,0,OFFSET(BY234,0,-1*'Get Started  3'!$H110)*'Get Started  3'!$F42*'Get Started  3'!$G110),0)+IF('Get Started  3'!$H109&lt;='Get Started  3'!$E27,IF(BY4&lt;'Get Started  3'!$H109,0,OFFSET(BY234,0,-1*'Get Started  3'!$H109)*'Get Started  3'!$E42*'Get Started  3'!$G109),0)</f>
        <v>0</v>
      </c>
      <c r="BZ237" s="90">
        <f ca="1">IF('Get Started  3'!$H112&lt;='Get Started  3'!$E27,IF(AND(BZ4&lt;'Get Started  3'!$H112,'Get Started  3'!$H112&lt;='Get Started  3'!$E27),0,OFFSET(BZ234,0,-1*'Get Started  3'!$H112)*'Get Started  3'!$H42*'Get Started  3'!$G112),0)+IF('Get Started  3'!$H111&lt;='Get Started  3'!$E27,IF(BZ4&lt;'Get Started  3'!$H111,0,OFFSET(BZ234,0,-1*'Get Started  3'!$H111)*'Get Started  3'!$G42*'Get Started  3'!$G111),0)+IF('Get Started  3'!$H110&lt;='Get Started  3'!$E27,IF(BZ4&lt;'Get Started  3'!$H110,0,OFFSET(BZ234,0,-1*'Get Started  3'!$H110)*'Get Started  3'!$F42*'Get Started  3'!$G110),0)+IF('Get Started  3'!$H109&lt;='Get Started  3'!$E27,IF(BZ4&lt;'Get Started  3'!$H109,0,OFFSET(BZ234,0,-1*'Get Started  3'!$H109)*'Get Started  3'!$E42*'Get Started  3'!$G109),0)</f>
        <v>0</v>
      </c>
      <c r="CA237" s="90">
        <f ca="1">IF('Get Started  3'!$H112&lt;='Get Started  3'!$E27,IF(AND(CA4&lt;'Get Started  3'!$H112,'Get Started  3'!$H112&lt;='Get Started  3'!$E27),0,OFFSET(CA234,0,-1*'Get Started  3'!$H112)*'Get Started  3'!$H42*'Get Started  3'!$G112),0)+IF('Get Started  3'!$H111&lt;='Get Started  3'!$E27,IF(CA4&lt;'Get Started  3'!$H111,0,OFFSET(CA234,0,-1*'Get Started  3'!$H111)*'Get Started  3'!$G42*'Get Started  3'!$G111),0)+IF('Get Started  3'!$H110&lt;='Get Started  3'!$E27,IF(CA4&lt;'Get Started  3'!$H110,0,OFFSET(CA234,0,-1*'Get Started  3'!$H110)*'Get Started  3'!$F42*'Get Started  3'!$G110),0)+IF('Get Started  3'!$H109&lt;='Get Started  3'!$E27,IF(CA4&lt;'Get Started  3'!$H109,0,OFFSET(CA234,0,-1*'Get Started  3'!$H109)*'Get Started  3'!$E42*'Get Started  3'!$G109),0)</f>
        <v>0</v>
      </c>
      <c r="CB237" s="90">
        <f ca="1">IF('Get Started  3'!$H112&lt;='Get Started  3'!$E27,IF(AND(CB4&lt;'Get Started  3'!$H112,'Get Started  3'!$H112&lt;='Get Started  3'!$E27),0,OFFSET(CB234,0,-1*'Get Started  3'!$H112)*'Get Started  3'!$H42*'Get Started  3'!$G112),0)+IF('Get Started  3'!$H111&lt;='Get Started  3'!$E27,IF(CB4&lt;'Get Started  3'!$H111,0,OFFSET(CB234,0,-1*'Get Started  3'!$H111)*'Get Started  3'!$G42*'Get Started  3'!$G111),0)+IF('Get Started  3'!$H110&lt;='Get Started  3'!$E27,IF(CB4&lt;'Get Started  3'!$H110,0,OFFSET(CB234,0,-1*'Get Started  3'!$H110)*'Get Started  3'!$F42*'Get Started  3'!$G110),0)+IF('Get Started  3'!$H109&lt;='Get Started  3'!$E27,IF(CB4&lt;'Get Started  3'!$H109,0,OFFSET(CB234,0,-1*'Get Started  3'!$H109)*'Get Started  3'!$E42*'Get Started  3'!$G109),0)</f>
        <v>0</v>
      </c>
      <c r="CC237" s="90">
        <f ca="1">IF('Get Started  3'!$H112&lt;='Get Started  3'!$E27,IF(AND(CC4&lt;'Get Started  3'!$H112,'Get Started  3'!$H112&lt;='Get Started  3'!$E27),0,OFFSET(CC234,0,-1*'Get Started  3'!$H112)*'Get Started  3'!$H42*'Get Started  3'!$G112),0)+IF('Get Started  3'!$H111&lt;='Get Started  3'!$E27,IF(CC4&lt;'Get Started  3'!$H111,0,OFFSET(CC234,0,-1*'Get Started  3'!$H111)*'Get Started  3'!$G42*'Get Started  3'!$G111),0)+IF('Get Started  3'!$H110&lt;='Get Started  3'!$E27,IF(CC4&lt;'Get Started  3'!$H110,0,OFFSET(CC234,0,-1*'Get Started  3'!$H110)*'Get Started  3'!$F42*'Get Started  3'!$G110),0)+IF('Get Started  3'!$H109&lt;='Get Started  3'!$E27,IF(CC4&lt;'Get Started  3'!$H109,0,OFFSET(CC234,0,-1*'Get Started  3'!$H109)*'Get Started  3'!$E42*'Get Started  3'!$G109),0)</f>
        <v>0</v>
      </c>
      <c r="CD237" s="90">
        <f ca="1">IF('Get Started  3'!$H112&lt;='Get Started  3'!$E27,IF(AND(CD4&lt;'Get Started  3'!$H112,'Get Started  3'!$H112&lt;='Get Started  3'!$E27),0,OFFSET(CD234,0,-1*'Get Started  3'!$H112)*'Get Started  3'!$H42*'Get Started  3'!$G112),0)+IF('Get Started  3'!$H111&lt;='Get Started  3'!$E27,IF(CD4&lt;'Get Started  3'!$H111,0,OFFSET(CD234,0,-1*'Get Started  3'!$H111)*'Get Started  3'!$G42*'Get Started  3'!$G111),0)+IF('Get Started  3'!$H110&lt;='Get Started  3'!$E27,IF(CD4&lt;'Get Started  3'!$H110,0,OFFSET(CD234,0,-1*'Get Started  3'!$H110)*'Get Started  3'!$F42*'Get Started  3'!$G110),0)+IF('Get Started  3'!$H109&lt;='Get Started  3'!$E27,IF(CD4&lt;'Get Started  3'!$H109,0,OFFSET(CD234,0,-1*'Get Started  3'!$H109)*'Get Started  3'!$E42*'Get Started  3'!$G109),0)</f>
        <v>0</v>
      </c>
      <c r="CE237" s="90">
        <f ca="1">IF('Get Started  3'!$H112&lt;='Get Started  3'!$E27,IF(AND(CE4&lt;'Get Started  3'!$H112,'Get Started  3'!$H112&lt;='Get Started  3'!$E27),0,OFFSET(CE234,0,-1*'Get Started  3'!$H112)*'Get Started  3'!$H42*'Get Started  3'!$G112),0)+IF('Get Started  3'!$H111&lt;='Get Started  3'!$E27,IF(CE4&lt;'Get Started  3'!$H111,0,OFFSET(CE234,0,-1*'Get Started  3'!$H111)*'Get Started  3'!$G42*'Get Started  3'!$G111),0)+IF('Get Started  3'!$H110&lt;='Get Started  3'!$E27,IF(CE4&lt;'Get Started  3'!$H110,0,OFFSET(CE234,0,-1*'Get Started  3'!$H110)*'Get Started  3'!$F42*'Get Started  3'!$G110),0)+IF('Get Started  3'!$H109&lt;='Get Started  3'!$E27,IF(CE4&lt;'Get Started  3'!$H109,0,OFFSET(CE234,0,-1*'Get Started  3'!$H109)*'Get Started  3'!$E42*'Get Started  3'!$G109),0)</f>
        <v>0</v>
      </c>
      <c r="CF237" s="90">
        <f ca="1">IF('Get Started  3'!$H112&lt;='Get Started  3'!$E27,IF(AND(CF4&lt;'Get Started  3'!$H112,'Get Started  3'!$H112&lt;='Get Started  3'!$E27),0,OFFSET(CF234,0,-1*'Get Started  3'!$H112)*'Get Started  3'!$H42*'Get Started  3'!$G112),0)+IF('Get Started  3'!$H111&lt;='Get Started  3'!$E27,IF(CF4&lt;'Get Started  3'!$H111,0,OFFSET(CF234,0,-1*'Get Started  3'!$H111)*'Get Started  3'!$G42*'Get Started  3'!$G111),0)+IF('Get Started  3'!$H110&lt;='Get Started  3'!$E27,IF(CF4&lt;'Get Started  3'!$H110,0,OFFSET(CF234,0,-1*'Get Started  3'!$H110)*'Get Started  3'!$F42*'Get Started  3'!$G110),0)+IF('Get Started  3'!$H109&lt;='Get Started  3'!$E27,IF(CF4&lt;'Get Started  3'!$H109,0,OFFSET(CF234,0,-1*'Get Started  3'!$H109)*'Get Started  3'!$E42*'Get Started  3'!$G109),0)</f>
        <v>0</v>
      </c>
      <c r="CG237" s="90">
        <f ca="1">IF('Get Started  3'!$H112&lt;='Get Started  3'!$E27,IF(AND(CG4&lt;'Get Started  3'!$H112,'Get Started  3'!$H112&lt;='Get Started  3'!$E27),0,OFFSET(CG234,0,-1*'Get Started  3'!$H112)*'Get Started  3'!$H42*'Get Started  3'!$G112),0)+IF('Get Started  3'!$H111&lt;='Get Started  3'!$E27,IF(CG4&lt;'Get Started  3'!$H111,0,OFFSET(CG234,0,-1*'Get Started  3'!$H111)*'Get Started  3'!$G42*'Get Started  3'!$G111),0)+IF('Get Started  3'!$H110&lt;='Get Started  3'!$E27,IF(CG4&lt;'Get Started  3'!$H110,0,OFFSET(CG234,0,-1*'Get Started  3'!$H110)*'Get Started  3'!$F42*'Get Started  3'!$G110),0)+IF('Get Started  3'!$H109&lt;='Get Started  3'!$E27,IF(CG4&lt;'Get Started  3'!$H109,0,OFFSET(CG234,0,-1*'Get Started  3'!$H109)*'Get Started  3'!$E42*'Get Started  3'!$G109),0)</f>
        <v>0</v>
      </c>
      <c r="CH237" s="90">
        <f ca="1">IF('Get Started  3'!$H112&lt;='Get Started  3'!$E27,IF(AND(CH4&lt;'Get Started  3'!$H112,'Get Started  3'!$H112&lt;='Get Started  3'!$E27),0,OFFSET(CH234,0,-1*'Get Started  3'!$H112)*'Get Started  3'!$H42*'Get Started  3'!$G112),0)+IF('Get Started  3'!$H111&lt;='Get Started  3'!$E27,IF(CH4&lt;'Get Started  3'!$H111,0,OFFSET(CH234,0,-1*'Get Started  3'!$H111)*'Get Started  3'!$G42*'Get Started  3'!$G111),0)+IF('Get Started  3'!$H110&lt;='Get Started  3'!$E27,IF(CH4&lt;'Get Started  3'!$H110,0,OFFSET(CH234,0,-1*'Get Started  3'!$H110)*'Get Started  3'!$F42*'Get Started  3'!$G110),0)+IF('Get Started  3'!$H109&lt;='Get Started  3'!$E27,IF(CH4&lt;'Get Started  3'!$H109,0,OFFSET(CH234,0,-1*'Get Started  3'!$H109)*'Get Started  3'!$E42*'Get Started  3'!$G109),0)</f>
        <v>0</v>
      </c>
    </row>
    <row r="238" spans="1:86" ht="13" outlineLevel="1">
      <c r="A238" s="13"/>
      <c r="B238" s="13" t="s">
        <v>333</v>
      </c>
      <c r="C238" s="13"/>
      <c r="D238" s="13" t="s">
        <v>238</v>
      </c>
      <c r="E238" s="88">
        <f t="shared" ca="1" si="170"/>
        <v>0.45018518518518502</v>
      </c>
      <c r="F238" s="79"/>
      <c r="G238" s="90">
        <f t="shared" ref="G238:CH238" ca="1" si="178">IFERROR(G239/((1-$E216-$E217-$E218)/1),0)</f>
        <v>0</v>
      </c>
      <c r="H238" s="90">
        <f t="shared" ca="1" si="178"/>
        <v>0</v>
      </c>
      <c r="I238" s="90">
        <f t="shared" ca="1" si="178"/>
        <v>0</v>
      </c>
      <c r="J238" s="90">
        <f t="shared" ca="1" si="178"/>
        <v>0</v>
      </c>
      <c r="K238" s="90">
        <f t="shared" ca="1" si="178"/>
        <v>0</v>
      </c>
      <c r="L238" s="90">
        <f t="shared" ca="1" si="178"/>
        <v>0</v>
      </c>
      <c r="M238" s="90">
        <f t="shared" ca="1" si="178"/>
        <v>0</v>
      </c>
      <c r="N238" s="90">
        <f t="shared" ca="1" si="178"/>
        <v>0</v>
      </c>
      <c r="O238" s="90">
        <f t="shared" ca="1" si="178"/>
        <v>0</v>
      </c>
      <c r="P238" s="90">
        <f t="shared" ca="1" si="178"/>
        <v>0</v>
      </c>
      <c r="Q238" s="90">
        <f t="shared" ca="1" si="178"/>
        <v>0</v>
      </c>
      <c r="R238" s="90">
        <f t="shared" ca="1" si="178"/>
        <v>0</v>
      </c>
      <c r="S238" s="90">
        <f t="shared" ca="1" si="178"/>
        <v>1.041666666666667E-2</v>
      </c>
      <c r="T238" s="90">
        <f t="shared" ca="1" si="178"/>
        <v>1.041666666666667E-2</v>
      </c>
      <c r="U238" s="90">
        <f t="shared" ca="1" si="178"/>
        <v>1.041666666666667E-2</v>
      </c>
      <c r="V238" s="90">
        <f t="shared" ca="1" si="178"/>
        <v>1.041666666666667E-2</v>
      </c>
      <c r="W238" s="90">
        <f t="shared" ca="1" si="178"/>
        <v>1.4583333333333335E-2</v>
      </c>
      <c r="X238" s="90">
        <f t="shared" ca="1" si="178"/>
        <v>1.4583333333333335E-2</v>
      </c>
      <c r="Y238" s="90">
        <f t="shared" ca="1" si="178"/>
        <v>1.4583333333333335E-2</v>
      </c>
      <c r="Z238" s="90">
        <f t="shared" ca="1" si="178"/>
        <v>1.4583333333333335E-2</v>
      </c>
      <c r="AA238" s="90">
        <f t="shared" ca="1" si="178"/>
        <v>1.4583333333333335E-2</v>
      </c>
      <c r="AB238" s="90">
        <f t="shared" ca="1" si="178"/>
        <v>1.4583333333333335E-2</v>
      </c>
      <c r="AC238" s="90">
        <f t="shared" ca="1" si="178"/>
        <v>1.4583333333333335E-2</v>
      </c>
      <c r="AD238" s="90">
        <f t="shared" ca="1" si="178"/>
        <v>1.4583333333333335E-2</v>
      </c>
      <c r="AE238" s="90">
        <f t="shared" ca="1" si="178"/>
        <v>2.8703703703703703E-2</v>
      </c>
      <c r="AF238" s="90">
        <f t="shared" ca="1" si="178"/>
        <v>2.8703703703703703E-2</v>
      </c>
      <c r="AG238" s="90">
        <f t="shared" ca="1" si="178"/>
        <v>2.8703703703703703E-2</v>
      </c>
      <c r="AH238" s="90">
        <f t="shared" ca="1" si="178"/>
        <v>2.8703703703703703E-2</v>
      </c>
      <c r="AI238" s="90">
        <f t="shared" ca="1" si="178"/>
        <v>1.7314814814814811E-2</v>
      </c>
      <c r="AJ238" s="90">
        <f t="shared" ca="1" si="178"/>
        <v>1.7314814814814811E-2</v>
      </c>
      <c r="AK238" s="90">
        <f t="shared" ca="1" si="178"/>
        <v>1.7314814814814811E-2</v>
      </c>
      <c r="AL238" s="90">
        <f t="shared" ca="1" si="178"/>
        <v>1.7314814814814811E-2</v>
      </c>
      <c r="AM238" s="90">
        <f t="shared" ca="1" si="178"/>
        <v>1.2499999999999997E-2</v>
      </c>
      <c r="AN238" s="90">
        <f t="shared" ca="1" si="178"/>
        <v>1.2499999999999997E-2</v>
      </c>
      <c r="AO238" s="90">
        <f t="shared" ca="1" si="178"/>
        <v>1.2499999999999997E-2</v>
      </c>
      <c r="AP238" s="90">
        <f t="shared" ca="1" si="178"/>
        <v>1.2499999999999997E-2</v>
      </c>
      <c r="AQ238" s="90">
        <f t="shared" ca="1" si="178"/>
        <v>1.444444444444444E-2</v>
      </c>
      <c r="AR238" s="90">
        <f t="shared" ca="1" si="178"/>
        <v>1.444444444444444E-2</v>
      </c>
      <c r="AS238" s="90">
        <f t="shared" ca="1" si="178"/>
        <v>1.444444444444444E-2</v>
      </c>
      <c r="AT238" s="90">
        <f t="shared" ca="1" si="178"/>
        <v>1.444444444444444E-2</v>
      </c>
      <c r="AU238" s="90">
        <f t="shared" ca="1" si="178"/>
        <v>0</v>
      </c>
      <c r="AV238" s="90">
        <f t="shared" ca="1" si="178"/>
        <v>0</v>
      </c>
      <c r="AW238" s="90">
        <f t="shared" ca="1" si="178"/>
        <v>0</v>
      </c>
      <c r="AX238" s="90">
        <f t="shared" ca="1" si="178"/>
        <v>0</v>
      </c>
      <c r="AY238" s="90">
        <f t="shared" ca="1" si="178"/>
        <v>0</v>
      </c>
      <c r="AZ238" s="90">
        <f t="shared" ca="1" si="178"/>
        <v>0</v>
      </c>
      <c r="BA238" s="90">
        <f t="shared" ca="1" si="178"/>
        <v>0</v>
      </c>
      <c r="BB238" s="90">
        <f t="shared" ca="1" si="178"/>
        <v>0</v>
      </c>
      <c r="BC238" s="90">
        <f t="shared" ca="1" si="178"/>
        <v>0</v>
      </c>
      <c r="BD238" s="90">
        <f t="shared" ca="1" si="178"/>
        <v>0</v>
      </c>
      <c r="BE238" s="90">
        <f t="shared" ca="1" si="178"/>
        <v>0</v>
      </c>
      <c r="BF238" s="90">
        <f t="shared" ca="1" si="178"/>
        <v>0</v>
      </c>
      <c r="BG238" s="90">
        <f t="shared" ca="1" si="178"/>
        <v>0</v>
      </c>
      <c r="BH238" s="90">
        <f t="shared" ca="1" si="178"/>
        <v>0</v>
      </c>
      <c r="BI238" s="90">
        <f t="shared" ca="1" si="178"/>
        <v>0</v>
      </c>
      <c r="BJ238" s="90">
        <f t="shared" ca="1" si="178"/>
        <v>0</v>
      </c>
      <c r="BK238" s="90">
        <f t="shared" ca="1" si="178"/>
        <v>0</v>
      </c>
      <c r="BL238" s="90">
        <f t="shared" ca="1" si="178"/>
        <v>0</v>
      </c>
      <c r="BM238" s="90">
        <f t="shared" ca="1" si="178"/>
        <v>0</v>
      </c>
      <c r="BN238" s="90">
        <f t="shared" ca="1" si="178"/>
        <v>0</v>
      </c>
      <c r="BO238" s="90">
        <f t="shared" ca="1" si="178"/>
        <v>0</v>
      </c>
      <c r="BP238" s="90">
        <f t="shared" ca="1" si="178"/>
        <v>0</v>
      </c>
      <c r="BQ238" s="90">
        <f t="shared" ca="1" si="178"/>
        <v>0</v>
      </c>
      <c r="BR238" s="90">
        <f t="shared" ca="1" si="178"/>
        <v>0</v>
      </c>
      <c r="BS238" s="90">
        <f t="shared" ca="1" si="178"/>
        <v>0</v>
      </c>
      <c r="BT238" s="90">
        <f t="shared" ca="1" si="178"/>
        <v>0</v>
      </c>
      <c r="BU238" s="90">
        <f t="shared" ca="1" si="178"/>
        <v>0</v>
      </c>
      <c r="BV238" s="90">
        <f t="shared" ca="1" si="178"/>
        <v>0</v>
      </c>
      <c r="BW238" s="90">
        <f t="shared" ca="1" si="178"/>
        <v>0</v>
      </c>
      <c r="BX238" s="90">
        <f t="shared" ca="1" si="178"/>
        <v>0</v>
      </c>
      <c r="BY238" s="90">
        <f t="shared" ca="1" si="178"/>
        <v>0</v>
      </c>
      <c r="BZ238" s="90">
        <f t="shared" ca="1" si="178"/>
        <v>0</v>
      </c>
      <c r="CA238" s="90">
        <f t="shared" ca="1" si="178"/>
        <v>0</v>
      </c>
      <c r="CB238" s="90">
        <f t="shared" ca="1" si="178"/>
        <v>0</v>
      </c>
      <c r="CC238" s="90">
        <f t="shared" ca="1" si="178"/>
        <v>0</v>
      </c>
      <c r="CD238" s="90">
        <f t="shared" ca="1" si="178"/>
        <v>0</v>
      </c>
      <c r="CE238" s="90">
        <f t="shared" ca="1" si="178"/>
        <v>0</v>
      </c>
      <c r="CF238" s="90">
        <f t="shared" ca="1" si="178"/>
        <v>0</v>
      </c>
      <c r="CG238" s="90">
        <f t="shared" ca="1" si="178"/>
        <v>0</v>
      </c>
      <c r="CH238" s="90">
        <f t="shared" ca="1" si="178"/>
        <v>0</v>
      </c>
    </row>
    <row r="239" spans="1:86" ht="13" outlineLevel="1">
      <c r="A239" s="13"/>
      <c r="B239" s="13" t="s">
        <v>334</v>
      </c>
      <c r="C239" s="13"/>
      <c r="D239" s="13" t="s">
        <v>238</v>
      </c>
      <c r="E239" s="88">
        <f t="shared" ca="1" si="170"/>
        <v>0.3466425925925925</v>
      </c>
      <c r="F239" s="79"/>
      <c r="G239" s="90">
        <f ca="1">IF(AND('Get Started  3'!$H112&lt;='Get Started  3'!$E27,'Get Started  3'!$G112&lt;&gt;0),IF(AND(G4&lt;'Get Started  3'!$H112,'Get Started  3'!$H112&lt;='Get Started  3'!$E27),0,OFFSET(G234,0,-1*'Get Started  3'!$H112)*'Get Started  3'!$H42),0)+IF(AND('Get Started  3'!$H111&lt;='Get Started  3'!$E27,'Get Started  3'!$G111&lt;&gt;0),IF(G4&lt;'Get Started  3'!$H111,0,OFFSET(G234,0,-1*'Get Started  3'!$H111)*'Get Started  3'!$G42),0)+IF(AND('Get Started  3'!$H110&lt;='Get Started  3'!$E27,'Get Started  3'!$G110&lt;&gt;0),IF(G4&lt;'Get Started  3'!$H110,0,OFFSET(G234,0,-1*'Get Started  3'!$H110)*'Get Started  3'!$F42),0)+IF(AND('Get Started  3'!$H109&lt;='Get Started  3'!$E27,'Get Started  3'!$G109&lt;&gt;0),IF(G4&lt;'Get Started  3'!$H109,0,OFFSET(G234,0,-1*'Get Started  3'!$H109)*'Get Started  3'!$E42*'Get Started  3'!$G109),0)</f>
        <v>0</v>
      </c>
      <c r="H239" s="90">
        <f ca="1">IF(AND('Get Started  3'!$H112&lt;='Get Started  3'!$E27,'Get Started  3'!$G112&lt;&gt;0),IF(AND(H4&lt;'Get Started  3'!$H112,'Get Started  3'!$H112&lt;='Get Started  3'!$E27),0,OFFSET(H234,0,-1*'Get Started  3'!$H112)*'Get Started  3'!$H42),0)+IF(AND('Get Started  3'!$H111&lt;='Get Started  3'!$E27,'Get Started  3'!$G111&lt;&gt;0),IF(H4&lt;'Get Started  3'!$H111,0,OFFSET(H234,0,-1*'Get Started  3'!$H111)*'Get Started  3'!$G42),0)+IF(AND('Get Started  3'!$H110&lt;='Get Started  3'!$E27,'Get Started  3'!$G110&lt;&gt;0),IF(H4&lt;'Get Started  3'!$H110,0,OFFSET(H234,0,-1*'Get Started  3'!$H110)*'Get Started  3'!$F42),0)+IF(AND('Get Started  3'!$H109&lt;='Get Started  3'!$E27,'Get Started  3'!$G109&lt;&gt;0),IF(H4&lt;'Get Started  3'!$H109,0,OFFSET(H234,0,-1*'Get Started  3'!$H109)*'Get Started  3'!$E42*'Get Started  3'!$G109),0)</f>
        <v>0</v>
      </c>
      <c r="I239" s="90">
        <f ca="1">IF(AND('Get Started  3'!$H112&lt;='Get Started  3'!$E27,'Get Started  3'!$G112&lt;&gt;0),IF(AND(I4&lt;'Get Started  3'!$H112,'Get Started  3'!$H112&lt;='Get Started  3'!$E27),0,OFFSET(I234,0,-1*'Get Started  3'!$H112)*'Get Started  3'!$H42),0)+IF(AND('Get Started  3'!$H111&lt;='Get Started  3'!$E27,'Get Started  3'!$G111&lt;&gt;0),IF(I4&lt;'Get Started  3'!$H111,0,OFFSET(I234,0,-1*'Get Started  3'!$H111)*'Get Started  3'!$G42),0)+IF(AND('Get Started  3'!$H110&lt;='Get Started  3'!$E27,'Get Started  3'!$G110&lt;&gt;0),IF(I4&lt;'Get Started  3'!$H110,0,OFFSET(I234,0,-1*'Get Started  3'!$H110)*'Get Started  3'!$F42),0)+IF(AND('Get Started  3'!$H109&lt;='Get Started  3'!$E27,'Get Started  3'!$G109&lt;&gt;0),IF(I4&lt;'Get Started  3'!$H109,0,OFFSET(I234,0,-1*'Get Started  3'!$H109)*'Get Started  3'!$E42*'Get Started  3'!$G109),0)</f>
        <v>0</v>
      </c>
      <c r="J239" s="90">
        <f ca="1">IF(AND('Get Started  3'!$H112&lt;='Get Started  3'!$E27,'Get Started  3'!$G112&lt;&gt;0),IF(AND(J4&lt;'Get Started  3'!$H112,'Get Started  3'!$H112&lt;='Get Started  3'!$E27),0,OFFSET(J234,0,-1*'Get Started  3'!$H112)*'Get Started  3'!$H42),0)+IF(AND('Get Started  3'!$H111&lt;='Get Started  3'!$E27,'Get Started  3'!$G111&lt;&gt;0),IF(J4&lt;'Get Started  3'!$H111,0,OFFSET(J234,0,-1*'Get Started  3'!$H111)*'Get Started  3'!$G42),0)+IF(AND('Get Started  3'!$H110&lt;='Get Started  3'!$E27,'Get Started  3'!$G110&lt;&gt;0),IF(J4&lt;'Get Started  3'!$H110,0,OFFSET(J234,0,-1*'Get Started  3'!$H110)*'Get Started  3'!$F42),0)+IF(AND('Get Started  3'!$H109&lt;='Get Started  3'!$E27,'Get Started  3'!$G109&lt;&gt;0),IF(J4&lt;'Get Started  3'!$H109,0,OFFSET(J234,0,-1*'Get Started  3'!$H109)*'Get Started  3'!$E42*'Get Started  3'!$G109),0)</f>
        <v>0</v>
      </c>
      <c r="K239" s="90">
        <f ca="1">IF(AND('Get Started  3'!$H112&lt;='Get Started  3'!$E27,'Get Started  3'!$G112&lt;&gt;0),IF(AND(K4&lt;'Get Started  3'!$H112,'Get Started  3'!$H112&lt;='Get Started  3'!$E27),0,OFFSET(K234,0,-1*'Get Started  3'!$H112)*'Get Started  3'!$H42),0)+IF(AND('Get Started  3'!$H111&lt;='Get Started  3'!$E27,'Get Started  3'!$G111&lt;&gt;0),IF(K4&lt;'Get Started  3'!$H111,0,OFFSET(K234,0,-1*'Get Started  3'!$H111)*'Get Started  3'!$G42),0)+IF(AND('Get Started  3'!$H110&lt;='Get Started  3'!$E27,'Get Started  3'!$G110&lt;&gt;0),IF(K4&lt;'Get Started  3'!$H110,0,OFFSET(K234,0,-1*'Get Started  3'!$H110)*'Get Started  3'!$F42),0)+IF(AND('Get Started  3'!$H109&lt;='Get Started  3'!$E27,'Get Started  3'!$G109&lt;&gt;0),IF(K4&lt;'Get Started  3'!$H109,0,OFFSET(K234,0,-1*'Get Started  3'!$H109)*'Get Started  3'!$E42*'Get Started  3'!$G109),0)</f>
        <v>0</v>
      </c>
      <c r="L239" s="90">
        <f ca="1">IF(AND('Get Started  3'!$H112&lt;='Get Started  3'!$E27,'Get Started  3'!$G112&lt;&gt;0),IF(AND(L4&lt;'Get Started  3'!$H112,'Get Started  3'!$H112&lt;='Get Started  3'!$E27),0,OFFSET(L234,0,-1*'Get Started  3'!$H112)*'Get Started  3'!$H42),0)+IF(AND('Get Started  3'!$H111&lt;='Get Started  3'!$E27,'Get Started  3'!$G111&lt;&gt;0),IF(L4&lt;'Get Started  3'!$H111,0,OFFSET(L234,0,-1*'Get Started  3'!$H111)*'Get Started  3'!$G42),0)+IF(AND('Get Started  3'!$H110&lt;='Get Started  3'!$E27,'Get Started  3'!$G110&lt;&gt;0),IF(L4&lt;'Get Started  3'!$H110,0,OFFSET(L234,0,-1*'Get Started  3'!$H110)*'Get Started  3'!$F42),0)+IF(AND('Get Started  3'!$H109&lt;='Get Started  3'!$E27,'Get Started  3'!$G109&lt;&gt;0),IF(L4&lt;'Get Started  3'!$H109,0,OFFSET(L234,0,-1*'Get Started  3'!$H109)*'Get Started  3'!$E42*'Get Started  3'!$G109),0)</f>
        <v>0</v>
      </c>
      <c r="M239" s="90">
        <f ca="1">IF(AND('Get Started  3'!$H112&lt;='Get Started  3'!$E27,'Get Started  3'!$G112&lt;&gt;0),IF(AND(M4&lt;'Get Started  3'!$H112,'Get Started  3'!$H112&lt;='Get Started  3'!$E27),0,OFFSET(M234,0,-1*'Get Started  3'!$H112)*'Get Started  3'!$H42),0)+IF(AND('Get Started  3'!$H111&lt;='Get Started  3'!$E27,'Get Started  3'!$G111&lt;&gt;0),IF(M4&lt;'Get Started  3'!$H111,0,OFFSET(M234,0,-1*'Get Started  3'!$H111)*'Get Started  3'!$G42),0)+IF(AND('Get Started  3'!$H110&lt;='Get Started  3'!$E27,'Get Started  3'!$G110&lt;&gt;0),IF(M4&lt;'Get Started  3'!$H110,0,OFFSET(M234,0,-1*'Get Started  3'!$H110)*'Get Started  3'!$F42),0)+IF(AND('Get Started  3'!$H109&lt;='Get Started  3'!$E27,'Get Started  3'!$G109&lt;&gt;0),IF(M4&lt;'Get Started  3'!$H109,0,OFFSET(M234,0,-1*'Get Started  3'!$H109)*'Get Started  3'!$E42*'Get Started  3'!$G109),0)</f>
        <v>0</v>
      </c>
      <c r="N239" s="90">
        <f ca="1">IF(AND('Get Started  3'!$H112&lt;='Get Started  3'!$E27,'Get Started  3'!$G112&lt;&gt;0),IF(AND(N4&lt;'Get Started  3'!$H112,'Get Started  3'!$H112&lt;='Get Started  3'!$E27),0,OFFSET(N234,0,-1*'Get Started  3'!$H112)*'Get Started  3'!$H42),0)+IF(AND('Get Started  3'!$H111&lt;='Get Started  3'!$E27,'Get Started  3'!$G111&lt;&gt;0),IF(N4&lt;'Get Started  3'!$H111,0,OFFSET(N234,0,-1*'Get Started  3'!$H111)*'Get Started  3'!$G42),0)+IF(AND('Get Started  3'!$H110&lt;='Get Started  3'!$E27,'Get Started  3'!$G110&lt;&gt;0),IF(N4&lt;'Get Started  3'!$H110,0,OFFSET(N234,0,-1*'Get Started  3'!$H110)*'Get Started  3'!$F42),0)+IF(AND('Get Started  3'!$H109&lt;='Get Started  3'!$E27,'Get Started  3'!$G109&lt;&gt;0),IF(N4&lt;'Get Started  3'!$H109,0,OFFSET(N234,0,-1*'Get Started  3'!$H109)*'Get Started  3'!$E42*'Get Started  3'!$G109),0)</f>
        <v>0</v>
      </c>
      <c r="O239" s="90">
        <f ca="1">IF(AND('Get Started  3'!$H112&lt;='Get Started  3'!$E27,'Get Started  3'!$G112&lt;&gt;0),IF(AND(O4&lt;'Get Started  3'!$H112,'Get Started  3'!$H112&lt;='Get Started  3'!$E27),0,OFFSET(O234,0,-1*'Get Started  3'!$H112)*'Get Started  3'!$H42),0)+IF(AND('Get Started  3'!$H111&lt;='Get Started  3'!$E27,'Get Started  3'!$G111&lt;&gt;0),IF(O4&lt;'Get Started  3'!$H111,0,OFFSET(O234,0,-1*'Get Started  3'!$H111)*'Get Started  3'!$G42),0)+IF(AND('Get Started  3'!$H110&lt;='Get Started  3'!$E27,'Get Started  3'!$G110&lt;&gt;0),IF(O4&lt;'Get Started  3'!$H110,0,OFFSET(O234,0,-1*'Get Started  3'!$H110)*'Get Started  3'!$F42),0)+IF(AND('Get Started  3'!$H109&lt;='Get Started  3'!$E27,'Get Started  3'!$G109&lt;&gt;0),IF(O4&lt;'Get Started  3'!$H109,0,OFFSET(O234,0,-1*'Get Started  3'!$H109)*'Get Started  3'!$E42*'Get Started  3'!$G109),0)</f>
        <v>0</v>
      </c>
      <c r="P239" s="90">
        <f ca="1">IF(AND('Get Started  3'!$H112&lt;='Get Started  3'!$E27,'Get Started  3'!$G112&lt;&gt;0),IF(AND(P4&lt;'Get Started  3'!$H112,'Get Started  3'!$H112&lt;='Get Started  3'!$E27),0,OFFSET(P234,0,-1*'Get Started  3'!$H112)*'Get Started  3'!$H42),0)+IF(AND('Get Started  3'!$H111&lt;='Get Started  3'!$E27,'Get Started  3'!$G111&lt;&gt;0),IF(P4&lt;'Get Started  3'!$H111,0,OFFSET(P234,0,-1*'Get Started  3'!$H111)*'Get Started  3'!$G42),0)+IF(AND('Get Started  3'!$H110&lt;='Get Started  3'!$E27,'Get Started  3'!$G110&lt;&gt;0),IF(P4&lt;'Get Started  3'!$H110,0,OFFSET(P234,0,-1*'Get Started  3'!$H110)*'Get Started  3'!$F42),0)+IF(AND('Get Started  3'!$H109&lt;='Get Started  3'!$E27,'Get Started  3'!$G109&lt;&gt;0),IF(P4&lt;'Get Started  3'!$H109,0,OFFSET(P234,0,-1*'Get Started  3'!$H109)*'Get Started  3'!$E42*'Get Started  3'!$G109),0)</f>
        <v>0</v>
      </c>
      <c r="Q239" s="90">
        <f ca="1">IF(AND('Get Started  3'!$H112&lt;='Get Started  3'!$E27,'Get Started  3'!$G112&lt;&gt;0),IF(AND(Q4&lt;'Get Started  3'!$H112,'Get Started  3'!$H112&lt;='Get Started  3'!$E27),0,OFFSET(Q234,0,-1*'Get Started  3'!$H112)*'Get Started  3'!$H42),0)+IF(AND('Get Started  3'!$H111&lt;='Get Started  3'!$E27,'Get Started  3'!$G111&lt;&gt;0),IF(Q4&lt;'Get Started  3'!$H111,0,OFFSET(Q234,0,-1*'Get Started  3'!$H111)*'Get Started  3'!$G42),0)+IF(AND('Get Started  3'!$H110&lt;='Get Started  3'!$E27,'Get Started  3'!$G110&lt;&gt;0),IF(Q4&lt;'Get Started  3'!$H110,0,OFFSET(Q234,0,-1*'Get Started  3'!$H110)*'Get Started  3'!$F42),0)+IF(AND('Get Started  3'!$H109&lt;='Get Started  3'!$E27,'Get Started  3'!$G109&lt;&gt;0),IF(Q4&lt;'Get Started  3'!$H109,0,OFFSET(Q234,0,-1*'Get Started  3'!$H109)*'Get Started  3'!$E42*'Get Started  3'!$G109),0)</f>
        <v>0</v>
      </c>
      <c r="R239" s="90">
        <f ca="1">IF(AND('Get Started  3'!$H112&lt;='Get Started  3'!$E27,'Get Started  3'!$G112&lt;&gt;0),IF(AND(R4&lt;'Get Started  3'!$H112,'Get Started  3'!$H112&lt;='Get Started  3'!$E27),0,OFFSET(R234,0,-1*'Get Started  3'!$H112)*'Get Started  3'!$H42),0)+IF(AND('Get Started  3'!$H111&lt;='Get Started  3'!$E27,'Get Started  3'!$G111&lt;&gt;0),IF(R4&lt;'Get Started  3'!$H111,0,OFFSET(R234,0,-1*'Get Started  3'!$H111)*'Get Started  3'!$G42),0)+IF(AND('Get Started  3'!$H110&lt;='Get Started  3'!$E27,'Get Started  3'!$G110&lt;&gt;0),IF(R4&lt;'Get Started  3'!$H110,0,OFFSET(R234,0,-1*'Get Started  3'!$H110)*'Get Started  3'!$F42),0)+IF(AND('Get Started  3'!$H109&lt;='Get Started  3'!$E27,'Get Started  3'!$G109&lt;&gt;0),IF(R4&lt;'Get Started  3'!$H109,0,OFFSET(R234,0,-1*'Get Started  3'!$H109)*'Get Started  3'!$E42*'Get Started  3'!$G109),0)</f>
        <v>0</v>
      </c>
      <c r="S239" s="90">
        <f ca="1">IF(AND('Get Started  3'!$H112&lt;='Get Started  3'!$E27,'Get Started  3'!$G112&lt;&gt;0),IF(AND(S4&lt;'Get Started  3'!$H112,'Get Started  3'!$H112&lt;='Get Started  3'!$E27),0,OFFSET(S234,0,-1*'Get Started  3'!$H112)*'Get Started  3'!$H42),0)+IF(AND('Get Started  3'!$H111&lt;='Get Started  3'!$E27,'Get Started  3'!$G111&lt;&gt;0),IF(S4&lt;'Get Started  3'!$H111,0,OFFSET(S234,0,-1*'Get Started  3'!$H111)*'Get Started  3'!$G42),0)+IF(AND('Get Started  3'!$H110&lt;='Get Started  3'!$E27,'Get Started  3'!$G110&lt;&gt;0),IF(S4&lt;'Get Started  3'!$H110,0,OFFSET(S234,0,-1*'Get Started  3'!$H110)*'Get Started  3'!$F42),0)+IF(AND('Get Started  3'!$H109&lt;='Get Started  3'!$E27,'Get Started  3'!$G109&lt;&gt;0),IF(S4&lt;'Get Started  3'!$H109,0,OFFSET(S234,0,-1*'Get Started  3'!$H109)*'Get Started  3'!$E42*'Get Started  3'!$G109),0)</f>
        <v>8.0208333333333364E-3</v>
      </c>
      <c r="T239" s="90">
        <f ca="1">IF(AND('Get Started  3'!$H112&lt;='Get Started  3'!$E27,'Get Started  3'!$G112&lt;&gt;0),IF(AND(T4&lt;'Get Started  3'!$H112,'Get Started  3'!$H112&lt;='Get Started  3'!$E27),0,OFFSET(T234,0,-1*'Get Started  3'!$H112)*'Get Started  3'!$H42),0)+IF(AND('Get Started  3'!$H111&lt;='Get Started  3'!$E27,'Get Started  3'!$G111&lt;&gt;0),IF(T4&lt;'Get Started  3'!$H111,0,OFFSET(T234,0,-1*'Get Started  3'!$H111)*'Get Started  3'!$G42),0)+IF(AND('Get Started  3'!$H110&lt;='Get Started  3'!$E27,'Get Started  3'!$G110&lt;&gt;0),IF(T4&lt;'Get Started  3'!$H110,0,OFFSET(T234,0,-1*'Get Started  3'!$H110)*'Get Started  3'!$F42),0)+IF(AND('Get Started  3'!$H109&lt;='Get Started  3'!$E27,'Get Started  3'!$G109&lt;&gt;0),IF(T4&lt;'Get Started  3'!$H109,0,OFFSET(T234,0,-1*'Get Started  3'!$H109)*'Get Started  3'!$E42*'Get Started  3'!$G109),0)</f>
        <v>8.0208333333333364E-3</v>
      </c>
      <c r="U239" s="90">
        <f ca="1">IF(AND('Get Started  3'!$H112&lt;='Get Started  3'!$E27,'Get Started  3'!$G112&lt;&gt;0),IF(AND(U4&lt;'Get Started  3'!$H112,'Get Started  3'!$H112&lt;='Get Started  3'!$E27),0,OFFSET(U234,0,-1*'Get Started  3'!$H112)*'Get Started  3'!$H42),0)+IF(AND('Get Started  3'!$H111&lt;='Get Started  3'!$E27,'Get Started  3'!$G111&lt;&gt;0),IF(U4&lt;'Get Started  3'!$H111,0,OFFSET(U234,0,-1*'Get Started  3'!$H111)*'Get Started  3'!$G42),0)+IF(AND('Get Started  3'!$H110&lt;='Get Started  3'!$E27,'Get Started  3'!$G110&lt;&gt;0),IF(U4&lt;'Get Started  3'!$H110,0,OFFSET(U234,0,-1*'Get Started  3'!$H110)*'Get Started  3'!$F42),0)+IF(AND('Get Started  3'!$H109&lt;='Get Started  3'!$E27,'Get Started  3'!$G109&lt;&gt;0),IF(U4&lt;'Get Started  3'!$H109,0,OFFSET(U234,0,-1*'Get Started  3'!$H109)*'Get Started  3'!$E42*'Get Started  3'!$G109),0)</f>
        <v>8.0208333333333364E-3</v>
      </c>
      <c r="V239" s="90">
        <f ca="1">IF(AND('Get Started  3'!$H112&lt;='Get Started  3'!$E27,'Get Started  3'!$G112&lt;&gt;0),IF(AND(V4&lt;'Get Started  3'!$H112,'Get Started  3'!$H112&lt;='Get Started  3'!$E27),0,OFFSET(V234,0,-1*'Get Started  3'!$H112)*'Get Started  3'!$H42),0)+IF(AND('Get Started  3'!$H111&lt;='Get Started  3'!$E27,'Get Started  3'!$G111&lt;&gt;0),IF(V4&lt;'Get Started  3'!$H111,0,OFFSET(V234,0,-1*'Get Started  3'!$H111)*'Get Started  3'!$G42),0)+IF(AND('Get Started  3'!$H110&lt;='Get Started  3'!$E27,'Get Started  3'!$G110&lt;&gt;0),IF(V4&lt;'Get Started  3'!$H110,0,OFFSET(V234,0,-1*'Get Started  3'!$H110)*'Get Started  3'!$F42),0)+IF(AND('Get Started  3'!$H109&lt;='Get Started  3'!$E27,'Get Started  3'!$G109&lt;&gt;0),IF(V4&lt;'Get Started  3'!$H109,0,OFFSET(V234,0,-1*'Get Started  3'!$H109)*'Get Started  3'!$E42*'Get Started  3'!$G109),0)</f>
        <v>8.0208333333333364E-3</v>
      </c>
      <c r="W239" s="90">
        <f ca="1">IF(AND('Get Started  3'!$H112&lt;='Get Started  3'!$E27,'Get Started  3'!$G112&lt;&gt;0),IF(AND(W4&lt;'Get Started  3'!$H112,'Get Started  3'!$H112&lt;='Get Started  3'!$E27),0,OFFSET(W234,0,-1*'Get Started  3'!$H112)*'Get Started  3'!$H42),0)+IF(AND('Get Started  3'!$H111&lt;='Get Started  3'!$E27,'Get Started  3'!$G111&lt;&gt;0),IF(W4&lt;'Get Started  3'!$H111,0,OFFSET(W234,0,-1*'Get Started  3'!$H111)*'Get Started  3'!$G42),0)+IF(AND('Get Started  3'!$H110&lt;='Get Started  3'!$E27,'Get Started  3'!$G110&lt;&gt;0),IF(W4&lt;'Get Started  3'!$H110,0,OFFSET(W234,0,-1*'Get Started  3'!$H110)*'Get Started  3'!$F42),0)+IF(AND('Get Started  3'!$H109&lt;='Get Started  3'!$E27,'Get Started  3'!$G109&lt;&gt;0),IF(W4&lt;'Get Started  3'!$H109,0,OFFSET(W234,0,-1*'Get Started  3'!$H109)*'Get Started  3'!$E42*'Get Started  3'!$G109),0)</f>
        <v>1.122916666666667E-2</v>
      </c>
      <c r="X239" s="90">
        <f ca="1">IF(AND('Get Started  3'!$H112&lt;='Get Started  3'!$E27,'Get Started  3'!$G112&lt;&gt;0),IF(AND(X4&lt;'Get Started  3'!$H112,'Get Started  3'!$H112&lt;='Get Started  3'!$E27),0,OFFSET(X234,0,-1*'Get Started  3'!$H112)*'Get Started  3'!$H42),0)+IF(AND('Get Started  3'!$H111&lt;='Get Started  3'!$E27,'Get Started  3'!$G111&lt;&gt;0),IF(X4&lt;'Get Started  3'!$H111,0,OFFSET(X234,0,-1*'Get Started  3'!$H111)*'Get Started  3'!$G42),0)+IF(AND('Get Started  3'!$H110&lt;='Get Started  3'!$E27,'Get Started  3'!$G110&lt;&gt;0),IF(X4&lt;'Get Started  3'!$H110,0,OFFSET(X234,0,-1*'Get Started  3'!$H110)*'Get Started  3'!$F42),0)+IF(AND('Get Started  3'!$H109&lt;='Get Started  3'!$E27,'Get Started  3'!$G109&lt;&gt;0),IF(X4&lt;'Get Started  3'!$H109,0,OFFSET(X234,0,-1*'Get Started  3'!$H109)*'Get Started  3'!$E42*'Get Started  3'!$G109),0)</f>
        <v>1.122916666666667E-2</v>
      </c>
      <c r="Y239" s="90">
        <f ca="1">IF(AND('Get Started  3'!$H112&lt;='Get Started  3'!$E27,'Get Started  3'!$G112&lt;&gt;0),IF(AND(Y4&lt;'Get Started  3'!$H112,'Get Started  3'!$H112&lt;='Get Started  3'!$E27),0,OFFSET(Y234,0,-1*'Get Started  3'!$H112)*'Get Started  3'!$H42),0)+IF(AND('Get Started  3'!$H111&lt;='Get Started  3'!$E27,'Get Started  3'!$G111&lt;&gt;0),IF(Y4&lt;'Get Started  3'!$H111,0,OFFSET(Y234,0,-1*'Get Started  3'!$H111)*'Get Started  3'!$G42),0)+IF(AND('Get Started  3'!$H110&lt;='Get Started  3'!$E27,'Get Started  3'!$G110&lt;&gt;0),IF(Y4&lt;'Get Started  3'!$H110,0,OFFSET(Y234,0,-1*'Get Started  3'!$H110)*'Get Started  3'!$F42),0)+IF(AND('Get Started  3'!$H109&lt;='Get Started  3'!$E27,'Get Started  3'!$G109&lt;&gt;0),IF(Y4&lt;'Get Started  3'!$H109,0,OFFSET(Y234,0,-1*'Get Started  3'!$H109)*'Get Started  3'!$E42*'Get Started  3'!$G109),0)</f>
        <v>1.122916666666667E-2</v>
      </c>
      <c r="Z239" s="90">
        <f ca="1">IF(AND('Get Started  3'!$H112&lt;='Get Started  3'!$E27,'Get Started  3'!$G112&lt;&gt;0),IF(AND(Z4&lt;'Get Started  3'!$H112,'Get Started  3'!$H112&lt;='Get Started  3'!$E27),0,OFFSET(Z234,0,-1*'Get Started  3'!$H112)*'Get Started  3'!$H42),0)+IF(AND('Get Started  3'!$H111&lt;='Get Started  3'!$E27,'Get Started  3'!$G111&lt;&gt;0),IF(Z4&lt;'Get Started  3'!$H111,0,OFFSET(Z234,0,-1*'Get Started  3'!$H111)*'Get Started  3'!$G42),0)+IF(AND('Get Started  3'!$H110&lt;='Get Started  3'!$E27,'Get Started  3'!$G110&lt;&gt;0),IF(Z4&lt;'Get Started  3'!$H110,0,OFFSET(Z234,0,-1*'Get Started  3'!$H110)*'Get Started  3'!$F42),0)+IF(AND('Get Started  3'!$H109&lt;='Get Started  3'!$E27,'Get Started  3'!$G109&lt;&gt;0),IF(Z4&lt;'Get Started  3'!$H109,0,OFFSET(Z234,0,-1*'Get Started  3'!$H109)*'Get Started  3'!$E42*'Get Started  3'!$G109),0)</f>
        <v>1.122916666666667E-2</v>
      </c>
      <c r="AA239" s="90">
        <f ca="1">IF(AND('Get Started  3'!$H112&lt;='Get Started  3'!$E27,'Get Started  3'!$G112&lt;&gt;0),IF(AND(AA4&lt;'Get Started  3'!$H112,'Get Started  3'!$H112&lt;='Get Started  3'!$E27),0,OFFSET(AA234,0,-1*'Get Started  3'!$H112)*'Get Started  3'!$H42),0)+IF(AND('Get Started  3'!$H111&lt;='Get Started  3'!$E27,'Get Started  3'!$G111&lt;&gt;0),IF(AA4&lt;'Get Started  3'!$H111,0,OFFSET(AA234,0,-1*'Get Started  3'!$H111)*'Get Started  3'!$G42),0)+IF(AND('Get Started  3'!$H110&lt;='Get Started  3'!$E27,'Get Started  3'!$G110&lt;&gt;0),IF(AA4&lt;'Get Started  3'!$H110,0,OFFSET(AA234,0,-1*'Get Started  3'!$H110)*'Get Started  3'!$F42),0)+IF(AND('Get Started  3'!$H109&lt;='Get Started  3'!$E27,'Get Started  3'!$G109&lt;&gt;0),IF(AA4&lt;'Get Started  3'!$H109,0,OFFSET(AA234,0,-1*'Get Started  3'!$H109)*'Get Started  3'!$E42*'Get Started  3'!$G109),0)</f>
        <v>1.122916666666667E-2</v>
      </c>
      <c r="AB239" s="90">
        <f ca="1">IF(AND('Get Started  3'!$H112&lt;='Get Started  3'!$E27,'Get Started  3'!$G112&lt;&gt;0),IF(AND(AB4&lt;'Get Started  3'!$H112,'Get Started  3'!$H112&lt;='Get Started  3'!$E27),0,OFFSET(AB234,0,-1*'Get Started  3'!$H112)*'Get Started  3'!$H42),0)+IF(AND('Get Started  3'!$H111&lt;='Get Started  3'!$E27,'Get Started  3'!$G111&lt;&gt;0),IF(AB4&lt;'Get Started  3'!$H111,0,OFFSET(AB234,0,-1*'Get Started  3'!$H111)*'Get Started  3'!$G42),0)+IF(AND('Get Started  3'!$H110&lt;='Get Started  3'!$E27,'Get Started  3'!$G110&lt;&gt;0),IF(AB4&lt;'Get Started  3'!$H110,0,OFFSET(AB234,0,-1*'Get Started  3'!$H110)*'Get Started  3'!$F42),0)+IF(AND('Get Started  3'!$H109&lt;='Get Started  3'!$E27,'Get Started  3'!$G109&lt;&gt;0),IF(AB4&lt;'Get Started  3'!$H109,0,OFFSET(AB234,0,-1*'Get Started  3'!$H109)*'Get Started  3'!$E42*'Get Started  3'!$G109),0)</f>
        <v>1.122916666666667E-2</v>
      </c>
      <c r="AC239" s="90">
        <f ca="1">IF(AND('Get Started  3'!$H112&lt;='Get Started  3'!$E27,'Get Started  3'!$G112&lt;&gt;0),IF(AND(AC4&lt;'Get Started  3'!$H112,'Get Started  3'!$H112&lt;='Get Started  3'!$E27),0,OFFSET(AC234,0,-1*'Get Started  3'!$H112)*'Get Started  3'!$H42),0)+IF(AND('Get Started  3'!$H111&lt;='Get Started  3'!$E27,'Get Started  3'!$G111&lt;&gt;0),IF(AC4&lt;'Get Started  3'!$H111,0,OFFSET(AC234,0,-1*'Get Started  3'!$H111)*'Get Started  3'!$G42),0)+IF(AND('Get Started  3'!$H110&lt;='Get Started  3'!$E27,'Get Started  3'!$G110&lt;&gt;0),IF(AC4&lt;'Get Started  3'!$H110,0,OFFSET(AC234,0,-1*'Get Started  3'!$H110)*'Get Started  3'!$F42),0)+IF(AND('Get Started  3'!$H109&lt;='Get Started  3'!$E27,'Get Started  3'!$G109&lt;&gt;0),IF(AC4&lt;'Get Started  3'!$H109,0,OFFSET(AC234,0,-1*'Get Started  3'!$H109)*'Get Started  3'!$E42*'Get Started  3'!$G109),0)</f>
        <v>1.122916666666667E-2</v>
      </c>
      <c r="AD239" s="90">
        <f ca="1">IF(AND('Get Started  3'!$H112&lt;='Get Started  3'!$E27,'Get Started  3'!$G112&lt;&gt;0),IF(AND(AD4&lt;'Get Started  3'!$H112,'Get Started  3'!$H112&lt;='Get Started  3'!$E27),0,OFFSET(AD234,0,-1*'Get Started  3'!$H112)*'Get Started  3'!$H42),0)+IF(AND('Get Started  3'!$H111&lt;='Get Started  3'!$E27,'Get Started  3'!$G111&lt;&gt;0),IF(AD4&lt;'Get Started  3'!$H111,0,OFFSET(AD234,0,-1*'Get Started  3'!$H111)*'Get Started  3'!$G42),0)+IF(AND('Get Started  3'!$H110&lt;='Get Started  3'!$E27,'Get Started  3'!$G110&lt;&gt;0),IF(AD4&lt;'Get Started  3'!$H110,0,OFFSET(AD234,0,-1*'Get Started  3'!$H110)*'Get Started  3'!$F42),0)+IF(AND('Get Started  3'!$H109&lt;='Get Started  3'!$E27,'Get Started  3'!$G109&lt;&gt;0),IF(AD4&lt;'Get Started  3'!$H109,0,OFFSET(AD234,0,-1*'Get Started  3'!$H109)*'Get Started  3'!$E42*'Get Started  3'!$G109),0)</f>
        <v>1.122916666666667E-2</v>
      </c>
      <c r="AE239" s="90">
        <f ca="1">IF(AND('Get Started  3'!$H112&lt;='Get Started  3'!$E27,'Get Started  3'!$G112&lt;&gt;0),IF(AND(AE4&lt;'Get Started  3'!$H112,'Get Started  3'!$H112&lt;='Get Started  3'!$E27),0,OFFSET(AE234,0,-1*'Get Started  3'!$H112)*'Get Started  3'!$H42),0)+IF(AND('Get Started  3'!$H111&lt;='Get Started  3'!$E27,'Get Started  3'!$G111&lt;&gt;0),IF(AE4&lt;'Get Started  3'!$H111,0,OFFSET(AE234,0,-1*'Get Started  3'!$H111)*'Get Started  3'!$G42),0)+IF(AND('Get Started  3'!$H110&lt;='Get Started  3'!$E27,'Get Started  3'!$G110&lt;&gt;0),IF(AE4&lt;'Get Started  3'!$H110,0,OFFSET(AE234,0,-1*'Get Started  3'!$H110)*'Get Started  3'!$F42),0)+IF(AND('Get Started  3'!$H109&lt;='Get Started  3'!$E27,'Get Started  3'!$G109&lt;&gt;0),IF(AE4&lt;'Get Started  3'!$H109,0,OFFSET(AE234,0,-1*'Get Started  3'!$H109)*'Get Started  3'!$E42*'Get Started  3'!$G109),0)</f>
        <v>2.2101851851851855E-2</v>
      </c>
      <c r="AF239" s="90">
        <f ca="1">IF(AND('Get Started  3'!$H112&lt;='Get Started  3'!$E27,'Get Started  3'!$G112&lt;&gt;0),IF(AND(AF4&lt;'Get Started  3'!$H112,'Get Started  3'!$H112&lt;='Get Started  3'!$E27),0,OFFSET(AF234,0,-1*'Get Started  3'!$H112)*'Get Started  3'!$H42),0)+IF(AND('Get Started  3'!$H111&lt;='Get Started  3'!$E27,'Get Started  3'!$G111&lt;&gt;0),IF(AF4&lt;'Get Started  3'!$H111,0,OFFSET(AF234,0,-1*'Get Started  3'!$H111)*'Get Started  3'!$G42),0)+IF(AND('Get Started  3'!$H110&lt;='Get Started  3'!$E27,'Get Started  3'!$G110&lt;&gt;0),IF(AF4&lt;'Get Started  3'!$H110,0,OFFSET(AF234,0,-1*'Get Started  3'!$H110)*'Get Started  3'!$F42),0)+IF(AND('Get Started  3'!$H109&lt;='Get Started  3'!$E27,'Get Started  3'!$G109&lt;&gt;0),IF(AF4&lt;'Get Started  3'!$H109,0,OFFSET(AF234,0,-1*'Get Started  3'!$H109)*'Get Started  3'!$E42*'Get Started  3'!$G109),0)</f>
        <v>2.2101851851851855E-2</v>
      </c>
      <c r="AG239" s="90">
        <f ca="1">IF(AND('Get Started  3'!$H112&lt;='Get Started  3'!$E27,'Get Started  3'!$G112&lt;&gt;0),IF(AND(AG4&lt;'Get Started  3'!$H112,'Get Started  3'!$H112&lt;='Get Started  3'!$E27),0,OFFSET(AG234,0,-1*'Get Started  3'!$H112)*'Get Started  3'!$H42),0)+IF(AND('Get Started  3'!$H111&lt;='Get Started  3'!$E27,'Get Started  3'!$G111&lt;&gt;0),IF(AG4&lt;'Get Started  3'!$H111,0,OFFSET(AG234,0,-1*'Get Started  3'!$H111)*'Get Started  3'!$G42),0)+IF(AND('Get Started  3'!$H110&lt;='Get Started  3'!$E27,'Get Started  3'!$G110&lt;&gt;0),IF(AG4&lt;'Get Started  3'!$H110,0,OFFSET(AG234,0,-1*'Get Started  3'!$H110)*'Get Started  3'!$F42),0)+IF(AND('Get Started  3'!$H109&lt;='Get Started  3'!$E27,'Get Started  3'!$G109&lt;&gt;0),IF(AG4&lt;'Get Started  3'!$H109,0,OFFSET(AG234,0,-1*'Get Started  3'!$H109)*'Get Started  3'!$E42*'Get Started  3'!$G109),0)</f>
        <v>2.2101851851851855E-2</v>
      </c>
      <c r="AH239" s="90">
        <f ca="1">IF(AND('Get Started  3'!$H112&lt;='Get Started  3'!$E27,'Get Started  3'!$G112&lt;&gt;0),IF(AND(AH4&lt;'Get Started  3'!$H112,'Get Started  3'!$H112&lt;='Get Started  3'!$E27),0,OFFSET(AH234,0,-1*'Get Started  3'!$H112)*'Get Started  3'!$H42),0)+IF(AND('Get Started  3'!$H111&lt;='Get Started  3'!$E27,'Get Started  3'!$G111&lt;&gt;0),IF(AH4&lt;'Get Started  3'!$H111,0,OFFSET(AH234,0,-1*'Get Started  3'!$H111)*'Get Started  3'!$G42),0)+IF(AND('Get Started  3'!$H110&lt;='Get Started  3'!$E27,'Get Started  3'!$G110&lt;&gt;0),IF(AH4&lt;'Get Started  3'!$H110,0,OFFSET(AH234,0,-1*'Get Started  3'!$H110)*'Get Started  3'!$F42),0)+IF(AND('Get Started  3'!$H109&lt;='Get Started  3'!$E27,'Get Started  3'!$G109&lt;&gt;0),IF(AH4&lt;'Get Started  3'!$H109,0,OFFSET(AH234,0,-1*'Get Started  3'!$H109)*'Get Started  3'!$E42*'Get Started  3'!$G109),0)</f>
        <v>2.2101851851851855E-2</v>
      </c>
      <c r="AI239" s="90">
        <f ca="1">IF(AND('Get Started  3'!$H112&lt;='Get Started  3'!$E27,'Get Started  3'!$G112&lt;&gt;0),IF(AND(AI4&lt;'Get Started  3'!$H112,'Get Started  3'!$H112&lt;='Get Started  3'!$E27),0,OFFSET(AI234,0,-1*'Get Started  3'!$H112)*'Get Started  3'!$H42),0)+IF(AND('Get Started  3'!$H111&lt;='Get Started  3'!$E27,'Get Started  3'!$G111&lt;&gt;0),IF(AI4&lt;'Get Started  3'!$H111,0,OFFSET(AI234,0,-1*'Get Started  3'!$H111)*'Get Started  3'!$G42),0)+IF(AND('Get Started  3'!$H110&lt;='Get Started  3'!$E27,'Get Started  3'!$G110&lt;&gt;0),IF(AI4&lt;'Get Started  3'!$H110,0,OFFSET(AI234,0,-1*'Get Started  3'!$H110)*'Get Started  3'!$F42),0)+IF(AND('Get Started  3'!$H109&lt;='Get Started  3'!$E27,'Get Started  3'!$G109&lt;&gt;0),IF(AI4&lt;'Get Started  3'!$H109,0,OFFSET(AI234,0,-1*'Get Started  3'!$H109)*'Get Started  3'!$E42*'Get Started  3'!$G109),0)</f>
        <v>1.3332407407407407E-2</v>
      </c>
      <c r="AJ239" s="90">
        <f ca="1">IF(AND('Get Started  3'!$H112&lt;='Get Started  3'!$E27,'Get Started  3'!$G112&lt;&gt;0),IF(AND(AJ4&lt;'Get Started  3'!$H112,'Get Started  3'!$H112&lt;='Get Started  3'!$E27),0,OFFSET(AJ234,0,-1*'Get Started  3'!$H112)*'Get Started  3'!$H42),0)+IF(AND('Get Started  3'!$H111&lt;='Get Started  3'!$E27,'Get Started  3'!$G111&lt;&gt;0),IF(AJ4&lt;'Get Started  3'!$H111,0,OFFSET(AJ234,0,-1*'Get Started  3'!$H111)*'Get Started  3'!$G42),0)+IF(AND('Get Started  3'!$H110&lt;='Get Started  3'!$E27,'Get Started  3'!$G110&lt;&gt;0),IF(AJ4&lt;'Get Started  3'!$H110,0,OFFSET(AJ234,0,-1*'Get Started  3'!$H110)*'Get Started  3'!$F42),0)+IF(AND('Get Started  3'!$H109&lt;='Get Started  3'!$E27,'Get Started  3'!$G109&lt;&gt;0),IF(AJ4&lt;'Get Started  3'!$H109,0,OFFSET(AJ234,0,-1*'Get Started  3'!$H109)*'Get Started  3'!$E42*'Get Started  3'!$G109),0)</f>
        <v>1.3332407407407407E-2</v>
      </c>
      <c r="AK239" s="90">
        <f ca="1">IF(AND('Get Started  3'!$H112&lt;='Get Started  3'!$E27,'Get Started  3'!$G112&lt;&gt;0),IF(AND(AK4&lt;'Get Started  3'!$H112,'Get Started  3'!$H112&lt;='Get Started  3'!$E27),0,OFFSET(AK234,0,-1*'Get Started  3'!$H112)*'Get Started  3'!$H42),0)+IF(AND('Get Started  3'!$H111&lt;='Get Started  3'!$E27,'Get Started  3'!$G111&lt;&gt;0),IF(AK4&lt;'Get Started  3'!$H111,0,OFFSET(AK234,0,-1*'Get Started  3'!$H111)*'Get Started  3'!$G42),0)+IF(AND('Get Started  3'!$H110&lt;='Get Started  3'!$E27,'Get Started  3'!$G110&lt;&gt;0),IF(AK4&lt;'Get Started  3'!$H110,0,OFFSET(AK234,0,-1*'Get Started  3'!$H110)*'Get Started  3'!$F42),0)+IF(AND('Get Started  3'!$H109&lt;='Get Started  3'!$E27,'Get Started  3'!$G109&lt;&gt;0),IF(AK4&lt;'Get Started  3'!$H109,0,OFFSET(AK234,0,-1*'Get Started  3'!$H109)*'Get Started  3'!$E42*'Get Started  3'!$G109),0)</f>
        <v>1.3332407407407407E-2</v>
      </c>
      <c r="AL239" s="90">
        <f ca="1">IF(AND('Get Started  3'!$H112&lt;='Get Started  3'!$E27,'Get Started  3'!$G112&lt;&gt;0),IF(AND(AL4&lt;'Get Started  3'!$H112,'Get Started  3'!$H112&lt;='Get Started  3'!$E27),0,OFFSET(AL234,0,-1*'Get Started  3'!$H112)*'Get Started  3'!$H42),0)+IF(AND('Get Started  3'!$H111&lt;='Get Started  3'!$E27,'Get Started  3'!$G111&lt;&gt;0),IF(AL4&lt;'Get Started  3'!$H111,0,OFFSET(AL234,0,-1*'Get Started  3'!$H111)*'Get Started  3'!$G42),0)+IF(AND('Get Started  3'!$H110&lt;='Get Started  3'!$E27,'Get Started  3'!$G110&lt;&gt;0),IF(AL4&lt;'Get Started  3'!$H110,0,OFFSET(AL234,0,-1*'Get Started  3'!$H110)*'Get Started  3'!$F42),0)+IF(AND('Get Started  3'!$H109&lt;='Get Started  3'!$E27,'Get Started  3'!$G109&lt;&gt;0),IF(AL4&lt;'Get Started  3'!$H109,0,OFFSET(AL234,0,-1*'Get Started  3'!$H109)*'Get Started  3'!$E42*'Get Started  3'!$G109),0)</f>
        <v>1.3332407407407407E-2</v>
      </c>
      <c r="AM239" s="90">
        <f ca="1">IF(AND('Get Started  3'!$H112&lt;='Get Started  3'!$E27,'Get Started  3'!$G112&lt;&gt;0),IF(AND(AM4&lt;'Get Started  3'!$H112,'Get Started  3'!$H112&lt;='Get Started  3'!$E27),0,OFFSET(AM234,0,-1*'Get Started  3'!$H112)*'Get Started  3'!$H42),0)+IF(AND('Get Started  3'!$H111&lt;='Get Started  3'!$E27,'Get Started  3'!$G111&lt;&gt;0),IF(AM4&lt;'Get Started  3'!$H111,0,OFFSET(AM234,0,-1*'Get Started  3'!$H111)*'Get Started  3'!$G42),0)+IF(AND('Get Started  3'!$H110&lt;='Get Started  3'!$E27,'Get Started  3'!$G110&lt;&gt;0),IF(AM4&lt;'Get Started  3'!$H110,0,OFFSET(AM234,0,-1*'Get Started  3'!$H110)*'Get Started  3'!$F42),0)+IF(AND('Get Started  3'!$H109&lt;='Get Started  3'!$E27,'Get Started  3'!$G109&lt;&gt;0),IF(AM4&lt;'Get Started  3'!$H109,0,OFFSET(AM234,0,-1*'Get Started  3'!$H109)*'Get Started  3'!$E42*'Get Started  3'!$G109),0)</f>
        <v>9.6249999999999999E-3</v>
      </c>
      <c r="AN239" s="90">
        <f ca="1">IF(AND('Get Started  3'!$H112&lt;='Get Started  3'!$E27,'Get Started  3'!$G112&lt;&gt;0),IF(AND(AN4&lt;'Get Started  3'!$H112,'Get Started  3'!$H112&lt;='Get Started  3'!$E27),0,OFFSET(AN234,0,-1*'Get Started  3'!$H112)*'Get Started  3'!$H42),0)+IF(AND('Get Started  3'!$H111&lt;='Get Started  3'!$E27,'Get Started  3'!$G111&lt;&gt;0),IF(AN4&lt;'Get Started  3'!$H111,0,OFFSET(AN234,0,-1*'Get Started  3'!$H111)*'Get Started  3'!$G42),0)+IF(AND('Get Started  3'!$H110&lt;='Get Started  3'!$E27,'Get Started  3'!$G110&lt;&gt;0),IF(AN4&lt;'Get Started  3'!$H110,0,OFFSET(AN234,0,-1*'Get Started  3'!$H110)*'Get Started  3'!$F42),0)+IF(AND('Get Started  3'!$H109&lt;='Get Started  3'!$E27,'Get Started  3'!$G109&lt;&gt;0),IF(AN4&lt;'Get Started  3'!$H109,0,OFFSET(AN234,0,-1*'Get Started  3'!$H109)*'Get Started  3'!$E42*'Get Started  3'!$G109),0)</f>
        <v>9.6249999999999999E-3</v>
      </c>
      <c r="AO239" s="90">
        <f ca="1">IF(AND('Get Started  3'!$H112&lt;='Get Started  3'!$E27,'Get Started  3'!$G112&lt;&gt;0),IF(AND(AO4&lt;'Get Started  3'!$H112,'Get Started  3'!$H112&lt;='Get Started  3'!$E27),0,OFFSET(AO234,0,-1*'Get Started  3'!$H112)*'Get Started  3'!$H42),0)+IF(AND('Get Started  3'!$H111&lt;='Get Started  3'!$E27,'Get Started  3'!$G111&lt;&gt;0),IF(AO4&lt;'Get Started  3'!$H111,0,OFFSET(AO234,0,-1*'Get Started  3'!$H111)*'Get Started  3'!$G42),0)+IF(AND('Get Started  3'!$H110&lt;='Get Started  3'!$E27,'Get Started  3'!$G110&lt;&gt;0),IF(AO4&lt;'Get Started  3'!$H110,0,OFFSET(AO234,0,-1*'Get Started  3'!$H110)*'Get Started  3'!$F42),0)+IF(AND('Get Started  3'!$H109&lt;='Get Started  3'!$E27,'Get Started  3'!$G109&lt;&gt;0),IF(AO4&lt;'Get Started  3'!$H109,0,OFFSET(AO234,0,-1*'Get Started  3'!$H109)*'Get Started  3'!$E42*'Get Started  3'!$G109),0)</f>
        <v>9.6249999999999999E-3</v>
      </c>
      <c r="AP239" s="90">
        <f ca="1">IF(AND('Get Started  3'!$H112&lt;='Get Started  3'!$E27,'Get Started  3'!$G112&lt;&gt;0),IF(AND(AP4&lt;'Get Started  3'!$H112,'Get Started  3'!$H112&lt;='Get Started  3'!$E27),0,OFFSET(AP234,0,-1*'Get Started  3'!$H112)*'Get Started  3'!$H42),0)+IF(AND('Get Started  3'!$H111&lt;='Get Started  3'!$E27,'Get Started  3'!$G111&lt;&gt;0),IF(AP4&lt;'Get Started  3'!$H111,0,OFFSET(AP234,0,-1*'Get Started  3'!$H111)*'Get Started  3'!$G42),0)+IF(AND('Get Started  3'!$H110&lt;='Get Started  3'!$E27,'Get Started  3'!$G110&lt;&gt;0),IF(AP4&lt;'Get Started  3'!$H110,0,OFFSET(AP234,0,-1*'Get Started  3'!$H110)*'Get Started  3'!$F42),0)+IF(AND('Get Started  3'!$H109&lt;='Get Started  3'!$E27,'Get Started  3'!$G109&lt;&gt;0),IF(AP4&lt;'Get Started  3'!$H109,0,OFFSET(AP234,0,-1*'Get Started  3'!$H109)*'Get Started  3'!$E42*'Get Started  3'!$G109),0)</f>
        <v>9.6249999999999999E-3</v>
      </c>
      <c r="AQ239" s="90">
        <f ca="1">IF(AND('Get Started  3'!$H112&lt;='Get Started  3'!$E27,'Get Started  3'!$G112&lt;&gt;0),IF(AND(AQ4&lt;'Get Started  3'!$H112,'Get Started  3'!$H112&lt;='Get Started  3'!$E27),0,OFFSET(AQ234,0,-1*'Get Started  3'!$H112)*'Get Started  3'!$H42),0)+IF(AND('Get Started  3'!$H111&lt;='Get Started  3'!$E27,'Get Started  3'!$G111&lt;&gt;0),IF(AQ4&lt;'Get Started  3'!$H111,0,OFFSET(AQ234,0,-1*'Get Started  3'!$H111)*'Get Started  3'!$G42),0)+IF(AND('Get Started  3'!$H110&lt;='Get Started  3'!$E27,'Get Started  3'!$G110&lt;&gt;0),IF(AQ4&lt;'Get Started  3'!$H110,0,OFFSET(AQ234,0,-1*'Get Started  3'!$H110)*'Get Started  3'!$F42),0)+IF(AND('Get Started  3'!$H109&lt;='Get Started  3'!$E27,'Get Started  3'!$G109&lt;&gt;0),IF(AQ4&lt;'Get Started  3'!$H109,0,OFFSET(AQ234,0,-1*'Get Started  3'!$H109)*'Get Started  3'!$E42*'Get Started  3'!$G109),0)</f>
        <v>1.1122222222222221E-2</v>
      </c>
      <c r="AR239" s="90">
        <f ca="1">IF(AND('Get Started  3'!$H112&lt;='Get Started  3'!$E27,'Get Started  3'!$G112&lt;&gt;0),IF(AND(AR4&lt;'Get Started  3'!$H112,'Get Started  3'!$H112&lt;='Get Started  3'!$E27),0,OFFSET(AR234,0,-1*'Get Started  3'!$H112)*'Get Started  3'!$H42),0)+IF(AND('Get Started  3'!$H111&lt;='Get Started  3'!$E27,'Get Started  3'!$G111&lt;&gt;0),IF(AR4&lt;'Get Started  3'!$H111,0,OFFSET(AR234,0,-1*'Get Started  3'!$H111)*'Get Started  3'!$G42),0)+IF(AND('Get Started  3'!$H110&lt;='Get Started  3'!$E27,'Get Started  3'!$G110&lt;&gt;0),IF(AR4&lt;'Get Started  3'!$H110,0,OFFSET(AR234,0,-1*'Get Started  3'!$H110)*'Get Started  3'!$F42),0)+IF(AND('Get Started  3'!$H109&lt;='Get Started  3'!$E27,'Get Started  3'!$G109&lt;&gt;0),IF(AR4&lt;'Get Started  3'!$H109,0,OFFSET(AR234,0,-1*'Get Started  3'!$H109)*'Get Started  3'!$E42*'Get Started  3'!$G109),0)</f>
        <v>1.1122222222222221E-2</v>
      </c>
      <c r="AS239" s="90">
        <f ca="1">IF(AND('Get Started  3'!$H112&lt;='Get Started  3'!$E27,'Get Started  3'!$G112&lt;&gt;0),IF(AND(AS4&lt;'Get Started  3'!$H112,'Get Started  3'!$H112&lt;='Get Started  3'!$E27),0,OFFSET(AS234,0,-1*'Get Started  3'!$H112)*'Get Started  3'!$H42),0)+IF(AND('Get Started  3'!$H111&lt;='Get Started  3'!$E27,'Get Started  3'!$G111&lt;&gt;0),IF(AS4&lt;'Get Started  3'!$H111,0,OFFSET(AS234,0,-1*'Get Started  3'!$H111)*'Get Started  3'!$G42),0)+IF(AND('Get Started  3'!$H110&lt;='Get Started  3'!$E27,'Get Started  3'!$G110&lt;&gt;0),IF(AS4&lt;'Get Started  3'!$H110,0,OFFSET(AS234,0,-1*'Get Started  3'!$H110)*'Get Started  3'!$F42),0)+IF(AND('Get Started  3'!$H109&lt;='Get Started  3'!$E27,'Get Started  3'!$G109&lt;&gt;0),IF(AS4&lt;'Get Started  3'!$H109,0,OFFSET(AS234,0,-1*'Get Started  3'!$H109)*'Get Started  3'!$E42*'Get Started  3'!$G109),0)</f>
        <v>1.1122222222222221E-2</v>
      </c>
      <c r="AT239" s="90">
        <f ca="1">IF(AND('Get Started  3'!$H112&lt;='Get Started  3'!$E27,'Get Started  3'!$G112&lt;&gt;0),IF(AND(AT4&lt;'Get Started  3'!$H112,'Get Started  3'!$H112&lt;='Get Started  3'!$E27),0,OFFSET(AT234,0,-1*'Get Started  3'!$H112)*'Get Started  3'!$H42),0)+IF(AND('Get Started  3'!$H111&lt;='Get Started  3'!$E27,'Get Started  3'!$G111&lt;&gt;0),IF(AT4&lt;'Get Started  3'!$H111,0,OFFSET(AT234,0,-1*'Get Started  3'!$H111)*'Get Started  3'!$G42),0)+IF(AND('Get Started  3'!$H110&lt;='Get Started  3'!$E27,'Get Started  3'!$G110&lt;&gt;0),IF(AT4&lt;'Get Started  3'!$H110,0,OFFSET(AT234,0,-1*'Get Started  3'!$H110)*'Get Started  3'!$F42),0)+IF(AND('Get Started  3'!$H109&lt;='Get Started  3'!$E27,'Get Started  3'!$G109&lt;&gt;0),IF(AT4&lt;'Get Started  3'!$H109,0,OFFSET(AT234,0,-1*'Get Started  3'!$H109)*'Get Started  3'!$E42*'Get Started  3'!$G109),0)</f>
        <v>1.1122222222222221E-2</v>
      </c>
      <c r="AU239" s="90">
        <f ca="1">IF(AND('Get Started  3'!$H112&lt;='Get Started  3'!$E27,'Get Started  3'!$G112&lt;&gt;0),IF(AND(AU4&lt;'Get Started  3'!$H112,'Get Started  3'!$H112&lt;='Get Started  3'!$E27),0,OFFSET(AU234,0,-1*'Get Started  3'!$H112)*'Get Started  3'!$H42),0)+IF(AND('Get Started  3'!$H111&lt;='Get Started  3'!$E27,'Get Started  3'!$G111&lt;&gt;0),IF(AU4&lt;'Get Started  3'!$H111,0,OFFSET(AU234,0,-1*'Get Started  3'!$H111)*'Get Started  3'!$G42),0)+IF(AND('Get Started  3'!$H110&lt;='Get Started  3'!$E27,'Get Started  3'!$G110&lt;&gt;0),IF(AU4&lt;'Get Started  3'!$H110,0,OFFSET(AU234,0,-1*'Get Started  3'!$H110)*'Get Started  3'!$F42),0)+IF(AND('Get Started  3'!$H109&lt;='Get Started  3'!$E27,'Get Started  3'!$G109&lt;&gt;0),IF(AU4&lt;'Get Started  3'!$H109,0,OFFSET(AU234,0,-1*'Get Started  3'!$H109)*'Get Started  3'!$E42*'Get Started  3'!$G109),0)</f>
        <v>0</v>
      </c>
      <c r="AV239" s="90">
        <f ca="1">IF(AND('Get Started  3'!$H112&lt;='Get Started  3'!$E27,'Get Started  3'!$G112&lt;&gt;0),IF(AND(AV4&lt;'Get Started  3'!$H112,'Get Started  3'!$H112&lt;='Get Started  3'!$E27),0,OFFSET(AV234,0,-1*'Get Started  3'!$H112)*'Get Started  3'!$H42),0)+IF(AND('Get Started  3'!$H111&lt;='Get Started  3'!$E27,'Get Started  3'!$G111&lt;&gt;0),IF(AV4&lt;'Get Started  3'!$H111,0,OFFSET(AV234,0,-1*'Get Started  3'!$H111)*'Get Started  3'!$G42),0)+IF(AND('Get Started  3'!$H110&lt;='Get Started  3'!$E27,'Get Started  3'!$G110&lt;&gt;0),IF(AV4&lt;'Get Started  3'!$H110,0,OFFSET(AV234,0,-1*'Get Started  3'!$H110)*'Get Started  3'!$F42),0)+IF(AND('Get Started  3'!$H109&lt;='Get Started  3'!$E27,'Get Started  3'!$G109&lt;&gt;0),IF(AV4&lt;'Get Started  3'!$H109,0,OFFSET(AV234,0,-1*'Get Started  3'!$H109)*'Get Started  3'!$E42*'Get Started  3'!$G109),0)</f>
        <v>0</v>
      </c>
      <c r="AW239" s="90">
        <f ca="1">IF(AND('Get Started  3'!$H112&lt;='Get Started  3'!$E27,'Get Started  3'!$G112&lt;&gt;0),IF(AND(AW4&lt;'Get Started  3'!$H112,'Get Started  3'!$H112&lt;='Get Started  3'!$E27),0,OFFSET(AW234,0,-1*'Get Started  3'!$H112)*'Get Started  3'!$H42),0)+IF(AND('Get Started  3'!$H111&lt;='Get Started  3'!$E27,'Get Started  3'!$G111&lt;&gt;0),IF(AW4&lt;'Get Started  3'!$H111,0,OFFSET(AW234,0,-1*'Get Started  3'!$H111)*'Get Started  3'!$G42),0)+IF(AND('Get Started  3'!$H110&lt;='Get Started  3'!$E27,'Get Started  3'!$G110&lt;&gt;0),IF(AW4&lt;'Get Started  3'!$H110,0,OFFSET(AW234,0,-1*'Get Started  3'!$H110)*'Get Started  3'!$F42),0)+IF(AND('Get Started  3'!$H109&lt;='Get Started  3'!$E27,'Get Started  3'!$G109&lt;&gt;0),IF(AW4&lt;'Get Started  3'!$H109,0,OFFSET(AW234,0,-1*'Get Started  3'!$H109)*'Get Started  3'!$E42*'Get Started  3'!$G109),0)</f>
        <v>0</v>
      </c>
      <c r="AX239" s="90">
        <f ca="1">IF(AND('Get Started  3'!$H112&lt;='Get Started  3'!$E27,'Get Started  3'!$G112&lt;&gt;0),IF(AND(AX4&lt;'Get Started  3'!$H112,'Get Started  3'!$H112&lt;='Get Started  3'!$E27),0,OFFSET(AX234,0,-1*'Get Started  3'!$H112)*'Get Started  3'!$H42),0)+IF(AND('Get Started  3'!$H111&lt;='Get Started  3'!$E27,'Get Started  3'!$G111&lt;&gt;0),IF(AX4&lt;'Get Started  3'!$H111,0,OFFSET(AX234,0,-1*'Get Started  3'!$H111)*'Get Started  3'!$G42),0)+IF(AND('Get Started  3'!$H110&lt;='Get Started  3'!$E27,'Get Started  3'!$G110&lt;&gt;0),IF(AX4&lt;'Get Started  3'!$H110,0,OFFSET(AX234,0,-1*'Get Started  3'!$H110)*'Get Started  3'!$F42),0)+IF(AND('Get Started  3'!$H109&lt;='Get Started  3'!$E27,'Get Started  3'!$G109&lt;&gt;0),IF(AX4&lt;'Get Started  3'!$H109,0,OFFSET(AX234,0,-1*'Get Started  3'!$H109)*'Get Started  3'!$E42*'Get Started  3'!$G109),0)</f>
        <v>0</v>
      </c>
      <c r="AY239" s="90">
        <f ca="1">IF(AND('Get Started  3'!$H112&lt;='Get Started  3'!$E27,'Get Started  3'!$G112&lt;&gt;0),IF(AND(AY4&lt;'Get Started  3'!$H112,'Get Started  3'!$H112&lt;='Get Started  3'!$E27),0,OFFSET(AY234,0,-1*'Get Started  3'!$H112)*'Get Started  3'!$H42),0)+IF(AND('Get Started  3'!$H111&lt;='Get Started  3'!$E27,'Get Started  3'!$G111&lt;&gt;0),IF(AY4&lt;'Get Started  3'!$H111,0,OFFSET(AY234,0,-1*'Get Started  3'!$H111)*'Get Started  3'!$G42),0)+IF(AND('Get Started  3'!$H110&lt;='Get Started  3'!$E27,'Get Started  3'!$G110&lt;&gt;0),IF(AY4&lt;'Get Started  3'!$H110,0,OFFSET(AY234,0,-1*'Get Started  3'!$H110)*'Get Started  3'!$F42),0)+IF(AND('Get Started  3'!$H109&lt;='Get Started  3'!$E27,'Get Started  3'!$G109&lt;&gt;0),IF(AY4&lt;'Get Started  3'!$H109,0,OFFSET(AY234,0,-1*'Get Started  3'!$H109)*'Get Started  3'!$E42*'Get Started  3'!$G109),0)</f>
        <v>0</v>
      </c>
      <c r="AZ239" s="90">
        <f ca="1">IF(AND('Get Started  3'!$H112&lt;='Get Started  3'!$E27,'Get Started  3'!$G112&lt;&gt;0),IF(AND(AZ4&lt;'Get Started  3'!$H112,'Get Started  3'!$H112&lt;='Get Started  3'!$E27),0,OFFSET(AZ234,0,-1*'Get Started  3'!$H112)*'Get Started  3'!$H42),0)+IF(AND('Get Started  3'!$H111&lt;='Get Started  3'!$E27,'Get Started  3'!$G111&lt;&gt;0),IF(AZ4&lt;'Get Started  3'!$H111,0,OFFSET(AZ234,0,-1*'Get Started  3'!$H111)*'Get Started  3'!$G42),0)+IF(AND('Get Started  3'!$H110&lt;='Get Started  3'!$E27,'Get Started  3'!$G110&lt;&gt;0),IF(AZ4&lt;'Get Started  3'!$H110,0,OFFSET(AZ234,0,-1*'Get Started  3'!$H110)*'Get Started  3'!$F42),0)+IF(AND('Get Started  3'!$H109&lt;='Get Started  3'!$E27,'Get Started  3'!$G109&lt;&gt;0),IF(AZ4&lt;'Get Started  3'!$H109,0,OFFSET(AZ234,0,-1*'Get Started  3'!$H109)*'Get Started  3'!$E42*'Get Started  3'!$G109),0)</f>
        <v>0</v>
      </c>
      <c r="BA239" s="90">
        <f ca="1">IF(AND('Get Started  3'!$H112&lt;='Get Started  3'!$E27,'Get Started  3'!$G112&lt;&gt;0),IF(AND(BA4&lt;'Get Started  3'!$H112,'Get Started  3'!$H112&lt;='Get Started  3'!$E27),0,OFFSET(BA234,0,-1*'Get Started  3'!$H112)*'Get Started  3'!$H42),0)+IF(AND('Get Started  3'!$H111&lt;='Get Started  3'!$E27,'Get Started  3'!$G111&lt;&gt;0),IF(BA4&lt;'Get Started  3'!$H111,0,OFFSET(BA234,0,-1*'Get Started  3'!$H111)*'Get Started  3'!$G42),0)+IF(AND('Get Started  3'!$H110&lt;='Get Started  3'!$E27,'Get Started  3'!$G110&lt;&gt;0),IF(BA4&lt;'Get Started  3'!$H110,0,OFFSET(BA234,0,-1*'Get Started  3'!$H110)*'Get Started  3'!$F42),0)+IF(AND('Get Started  3'!$H109&lt;='Get Started  3'!$E27,'Get Started  3'!$G109&lt;&gt;0),IF(BA4&lt;'Get Started  3'!$H109,0,OFFSET(BA234,0,-1*'Get Started  3'!$H109)*'Get Started  3'!$E42*'Get Started  3'!$G109),0)</f>
        <v>0</v>
      </c>
      <c r="BB239" s="90">
        <f ca="1">IF(AND('Get Started  3'!$H112&lt;='Get Started  3'!$E27,'Get Started  3'!$G112&lt;&gt;0),IF(AND(BB4&lt;'Get Started  3'!$H112,'Get Started  3'!$H112&lt;='Get Started  3'!$E27),0,OFFSET(BB234,0,-1*'Get Started  3'!$H112)*'Get Started  3'!$H42),0)+IF(AND('Get Started  3'!$H111&lt;='Get Started  3'!$E27,'Get Started  3'!$G111&lt;&gt;0),IF(BB4&lt;'Get Started  3'!$H111,0,OFFSET(BB234,0,-1*'Get Started  3'!$H111)*'Get Started  3'!$G42),0)+IF(AND('Get Started  3'!$H110&lt;='Get Started  3'!$E27,'Get Started  3'!$G110&lt;&gt;0),IF(BB4&lt;'Get Started  3'!$H110,0,OFFSET(BB234,0,-1*'Get Started  3'!$H110)*'Get Started  3'!$F42),0)+IF(AND('Get Started  3'!$H109&lt;='Get Started  3'!$E27,'Get Started  3'!$G109&lt;&gt;0),IF(BB4&lt;'Get Started  3'!$H109,0,OFFSET(BB234,0,-1*'Get Started  3'!$H109)*'Get Started  3'!$E42*'Get Started  3'!$G109),0)</f>
        <v>0</v>
      </c>
      <c r="BC239" s="90">
        <f ca="1">IF(AND('Get Started  3'!$H112&lt;='Get Started  3'!$E27,'Get Started  3'!$G112&lt;&gt;0),IF(AND(BC4&lt;'Get Started  3'!$H112,'Get Started  3'!$H112&lt;='Get Started  3'!$E27),0,OFFSET(BC234,0,-1*'Get Started  3'!$H112)*'Get Started  3'!$H42),0)+IF(AND('Get Started  3'!$H111&lt;='Get Started  3'!$E27,'Get Started  3'!$G111&lt;&gt;0),IF(BC4&lt;'Get Started  3'!$H111,0,OFFSET(BC234,0,-1*'Get Started  3'!$H111)*'Get Started  3'!$G42),0)+IF(AND('Get Started  3'!$H110&lt;='Get Started  3'!$E27,'Get Started  3'!$G110&lt;&gt;0),IF(BC4&lt;'Get Started  3'!$H110,0,OFFSET(BC234,0,-1*'Get Started  3'!$H110)*'Get Started  3'!$F42),0)+IF(AND('Get Started  3'!$H109&lt;='Get Started  3'!$E27,'Get Started  3'!$G109&lt;&gt;0),IF(BC4&lt;'Get Started  3'!$H109,0,OFFSET(BC234,0,-1*'Get Started  3'!$H109)*'Get Started  3'!$E42*'Get Started  3'!$G109),0)</f>
        <v>0</v>
      </c>
      <c r="BD239" s="90">
        <f ca="1">IF(AND('Get Started  3'!$H112&lt;='Get Started  3'!$E27,'Get Started  3'!$G112&lt;&gt;0),IF(AND(BD4&lt;'Get Started  3'!$H112,'Get Started  3'!$H112&lt;='Get Started  3'!$E27),0,OFFSET(BD234,0,-1*'Get Started  3'!$H112)*'Get Started  3'!$H42),0)+IF(AND('Get Started  3'!$H111&lt;='Get Started  3'!$E27,'Get Started  3'!$G111&lt;&gt;0),IF(BD4&lt;'Get Started  3'!$H111,0,OFFSET(BD234,0,-1*'Get Started  3'!$H111)*'Get Started  3'!$G42),0)+IF(AND('Get Started  3'!$H110&lt;='Get Started  3'!$E27,'Get Started  3'!$G110&lt;&gt;0),IF(BD4&lt;'Get Started  3'!$H110,0,OFFSET(BD234,0,-1*'Get Started  3'!$H110)*'Get Started  3'!$F42),0)+IF(AND('Get Started  3'!$H109&lt;='Get Started  3'!$E27,'Get Started  3'!$G109&lt;&gt;0),IF(BD4&lt;'Get Started  3'!$H109,0,OFFSET(BD234,0,-1*'Get Started  3'!$H109)*'Get Started  3'!$E42*'Get Started  3'!$G109),0)</f>
        <v>0</v>
      </c>
      <c r="BE239" s="90">
        <f ca="1">IF(AND('Get Started  3'!$H112&lt;='Get Started  3'!$E27,'Get Started  3'!$G112&lt;&gt;0),IF(AND(BE4&lt;'Get Started  3'!$H112,'Get Started  3'!$H112&lt;='Get Started  3'!$E27),0,OFFSET(BE234,0,-1*'Get Started  3'!$H112)*'Get Started  3'!$H42),0)+IF(AND('Get Started  3'!$H111&lt;='Get Started  3'!$E27,'Get Started  3'!$G111&lt;&gt;0),IF(BE4&lt;'Get Started  3'!$H111,0,OFFSET(BE234,0,-1*'Get Started  3'!$H111)*'Get Started  3'!$G42),0)+IF(AND('Get Started  3'!$H110&lt;='Get Started  3'!$E27,'Get Started  3'!$G110&lt;&gt;0),IF(BE4&lt;'Get Started  3'!$H110,0,OFFSET(BE234,0,-1*'Get Started  3'!$H110)*'Get Started  3'!$F42),0)+IF(AND('Get Started  3'!$H109&lt;='Get Started  3'!$E27,'Get Started  3'!$G109&lt;&gt;0),IF(BE4&lt;'Get Started  3'!$H109,0,OFFSET(BE234,0,-1*'Get Started  3'!$H109)*'Get Started  3'!$E42*'Get Started  3'!$G109),0)</f>
        <v>0</v>
      </c>
      <c r="BF239" s="90">
        <f ca="1">IF(AND('Get Started  3'!$H112&lt;='Get Started  3'!$E27,'Get Started  3'!$G112&lt;&gt;0),IF(AND(BF4&lt;'Get Started  3'!$H112,'Get Started  3'!$H112&lt;='Get Started  3'!$E27),0,OFFSET(BF234,0,-1*'Get Started  3'!$H112)*'Get Started  3'!$H42),0)+IF(AND('Get Started  3'!$H111&lt;='Get Started  3'!$E27,'Get Started  3'!$G111&lt;&gt;0),IF(BF4&lt;'Get Started  3'!$H111,0,OFFSET(BF234,0,-1*'Get Started  3'!$H111)*'Get Started  3'!$G42),0)+IF(AND('Get Started  3'!$H110&lt;='Get Started  3'!$E27,'Get Started  3'!$G110&lt;&gt;0),IF(BF4&lt;'Get Started  3'!$H110,0,OFFSET(BF234,0,-1*'Get Started  3'!$H110)*'Get Started  3'!$F42),0)+IF(AND('Get Started  3'!$H109&lt;='Get Started  3'!$E27,'Get Started  3'!$G109&lt;&gt;0),IF(BF4&lt;'Get Started  3'!$H109,0,OFFSET(BF234,0,-1*'Get Started  3'!$H109)*'Get Started  3'!$E42*'Get Started  3'!$G109),0)</f>
        <v>0</v>
      </c>
      <c r="BG239" s="90">
        <f ca="1">IF(AND('Get Started  3'!$H112&lt;='Get Started  3'!$E27,'Get Started  3'!$G112&lt;&gt;0),IF(AND(BG4&lt;'Get Started  3'!$H112,'Get Started  3'!$H112&lt;='Get Started  3'!$E27),0,OFFSET(BG234,0,-1*'Get Started  3'!$H112)*'Get Started  3'!$H42),0)+IF(AND('Get Started  3'!$H111&lt;='Get Started  3'!$E27,'Get Started  3'!$G111&lt;&gt;0),IF(BG4&lt;'Get Started  3'!$H111,0,OFFSET(BG234,0,-1*'Get Started  3'!$H111)*'Get Started  3'!$G42),0)+IF(AND('Get Started  3'!$H110&lt;='Get Started  3'!$E27,'Get Started  3'!$G110&lt;&gt;0),IF(BG4&lt;'Get Started  3'!$H110,0,OFFSET(BG234,0,-1*'Get Started  3'!$H110)*'Get Started  3'!$F42),0)+IF(AND('Get Started  3'!$H109&lt;='Get Started  3'!$E27,'Get Started  3'!$G109&lt;&gt;0),IF(BG4&lt;'Get Started  3'!$H109,0,OFFSET(BG234,0,-1*'Get Started  3'!$H109)*'Get Started  3'!$E42*'Get Started  3'!$G109),0)</f>
        <v>0</v>
      </c>
      <c r="BH239" s="90">
        <f ca="1">IF(AND('Get Started  3'!$H112&lt;='Get Started  3'!$E27,'Get Started  3'!$G112&lt;&gt;0),IF(AND(BH4&lt;'Get Started  3'!$H112,'Get Started  3'!$H112&lt;='Get Started  3'!$E27),0,OFFSET(BH234,0,-1*'Get Started  3'!$H112)*'Get Started  3'!$H42),0)+IF(AND('Get Started  3'!$H111&lt;='Get Started  3'!$E27,'Get Started  3'!$G111&lt;&gt;0),IF(BH4&lt;'Get Started  3'!$H111,0,OFFSET(BH234,0,-1*'Get Started  3'!$H111)*'Get Started  3'!$G42),0)+IF(AND('Get Started  3'!$H110&lt;='Get Started  3'!$E27,'Get Started  3'!$G110&lt;&gt;0),IF(BH4&lt;'Get Started  3'!$H110,0,OFFSET(BH234,0,-1*'Get Started  3'!$H110)*'Get Started  3'!$F42),0)+IF(AND('Get Started  3'!$H109&lt;='Get Started  3'!$E27,'Get Started  3'!$G109&lt;&gt;0),IF(BH4&lt;'Get Started  3'!$H109,0,OFFSET(BH234,0,-1*'Get Started  3'!$H109)*'Get Started  3'!$E42*'Get Started  3'!$G109),0)</f>
        <v>0</v>
      </c>
      <c r="BI239" s="90">
        <f ca="1">IF(AND('Get Started  3'!$H112&lt;='Get Started  3'!$E27,'Get Started  3'!$G112&lt;&gt;0),IF(AND(BI4&lt;'Get Started  3'!$H112,'Get Started  3'!$H112&lt;='Get Started  3'!$E27),0,OFFSET(BI234,0,-1*'Get Started  3'!$H112)*'Get Started  3'!$H42),0)+IF(AND('Get Started  3'!$H111&lt;='Get Started  3'!$E27,'Get Started  3'!$G111&lt;&gt;0),IF(BI4&lt;'Get Started  3'!$H111,0,OFFSET(BI234,0,-1*'Get Started  3'!$H111)*'Get Started  3'!$G42),0)+IF(AND('Get Started  3'!$H110&lt;='Get Started  3'!$E27,'Get Started  3'!$G110&lt;&gt;0),IF(BI4&lt;'Get Started  3'!$H110,0,OFFSET(BI234,0,-1*'Get Started  3'!$H110)*'Get Started  3'!$F42),0)+IF(AND('Get Started  3'!$H109&lt;='Get Started  3'!$E27,'Get Started  3'!$G109&lt;&gt;0),IF(BI4&lt;'Get Started  3'!$H109,0,OFFSET(BI234,0,-1*'Get Started  3'!$H109)*'Get Started  3'!$E42*'Get Started  3'!$G109),0)</f>
        <v>0</v>
      </c>
      <c r="BJ239" s="90">
        <f ca="1">IF(AND('Get Started  3'!$H112&lt;='Get Started  3'!$E27,'Get Started  3'!$G112&lt;&gt;0),IF(AND(BJ4&lt;'Get Started  3'!$H112,'Get Started  3'!$H112&lt;='Get Started  3'!$E27),0,OFFSET(BJ234,0,-1*'Get Started  3'!$H112)*'Get Started  3'!$H42),0)+IF(AND('Get Started  3'!$H111&lt;='Get Started  3'!$E27,'Get Started  3'!$G111&lt;&gt;0),IF(BJ4&lt;'Get Started  3'!$H111,0,OFFSET(BJ234,0,-1*'Get Started  3'!$H111)*'Get Started  3'!$G42),0)+IF(AND('Get Started  3'!$H110&lt;='Get Started  3'!$E27,'Get Started  3'!$G110&lt;&gt;0),IF(BJ4&lt;'Get Started  3'!$H110,0,OFFSET(BJ234,0,-1*'Get Started  3'!$H110)*'Get Started  3'!$F42),0)+IF(AND('Get Started  3'!$H109&lt;='Get Started  3'!$E27,'Get Started  3'!$G109&lt;&gt;0),IF(BJ4&lt;'Get Started  3'!$H109,0,OFFSET(BJ234,0,-1*'Get Started  3'!$H109)*'Get Started  3'!$E42*'Get Started  3'!$G109),0)</f>
        <v>0</v>
      </c>
      <c r="BK239" s="90">
        <f ca="1">IF(AND('Get Started  3'!$H112&lt;='Get Started  3'!$E27,'Get Started  3'!$G112&lt;&gt;0),IF(AND(BK4&lt;'Get Started  3'!$H112,'Get Started  3'!$H112&lt;='Get Started  3'!$E27),0,OFFSET(BK234,0,-1*'Get Started  3'!$H112)*'Get Started  3'!$H42),0)+IF(AND('Get Started  3'!$H111&lt;='Get Started  3'!$E27,'Get Started  3'!$G111&lt;&gt;0),IF(BK4&lt;'Get Started  3'!$H111,0,OFFSET(BK234,0,-1*'Get Started  3'!$H111)*'Get Started  3'!$G42),0)+IF(AND('Get Started  3'!$H110&lt;='Get Started  3'!$E27,'Get Started  3'!$G110&lt;&gt;0),IF(BK4&lt;'Get Started  3'!$H110,0,OFFSET(BK234,0,-1*'Get Started  3'!$H110)*'Get Started  3'!$F42),0)+IF(AND('Get Started  3'!$H109&lt;='Get Started  3'!$E27,'Get Started  3'!$G109&lt;&gt;0),IF(BK4&lt;'Get Started  3'!$H109,0,OFFSET(BK234,0,-1*'Get Started  3'!$H109)*'Get Started  3'!$E42*'Get Started  3'!$G109),0)</f>
        <v>0</v>
      </c>
      <c r="BL239" s="90">
        <f ca="1">IF(AND('Get Started  3'!$H112&lt;='Get Started  3'!$E27,'Get Started  3'!$G112&lt;&gt;0),IF(AND(BL4&lt;'Get Started  3'!$H112,'Get Started  3'!$H112&lt;='Get Started  3'!$E27),0,OFFSET(BL234,0,-1*'Get Started  3'!$H112)*'Get Started  3'!$H42),0)+IF(AND('Get Started  3'!$H111&lt;='Get Started  3'!$E27,'Get Started  3'!$G111&lt;&gt;0),IF(BL4&lt;'Get Started  3'!$H111,0,OFFSET(BL234,0,-1*'Get Started  3'!$H111)*'Get Started  3'!$G42),0)+IF(AND('Get Started  3'!$H110&lt;='Get Started  3'!$E27,'Get Started  3'!$G110&lt;&gt;0),IF(BL4&lt;'Get Started  3'!$H110,0,OFFSET(BL234,0,-1*'Get Started  3'!$H110)*'Get Started  3'!$F42),0)+IF(AND('Get Started  3'!$H109&lt;='Get Started  3'!$E27,'Get Started  3'!$G109&lt;&gt;0),IF(BL4&lt;'Get Started  3'!$H109,0,OFFSET(BL234,0,-1*'Get Started  3'!$H109)*'Get Started  3'!$E42*'Get Started  3'!$G109),0)</f>
        <v>0</v>
      </c>
      <c r="BM239" s="90">
        <f ca="1">IF(AND('Get Started  3'!$H112&lt;='Get Started  3'!$E27,'Get Started  3'!$G112&lt;&gt;0),IF(AND(BM4&lt;'Get Started  3'!$H112,'Get Started  3'!$H112&lt;='Get Started  3'!$E27),0,OFFSET(BM234,0,-1*'Get Started  3'!$H112)*'Get Started  3'!$H42),0)+IF(AND('Get Started  3'!$H111&lt;='Get Started  3'!$E27,'Get Started  3'!$G111&lt;&gt;0),IF(BM4&lt;'Get Started  3'!$H111,0,OFFSET(BM234,0,-1*'Get Started  3'!$H111)*'Get Started  3'!$G42),0)+IF(AND('Get Started  3'!$H110&lt;='Get Started  3'!$E27,'Get Started  3'!$G110&lt;&gt;0),IF(BM4&lt;'Get Started  3'!$H110,0,OFFSET(BM234,0,-1*'Get Started  3'!$H110)*'Get Started  3'!$F42),0)+IF(AND('Get Started  3'!$H109&lt;='Get Started  3'!$E27,'Get Started  3'!$G109&lt;&gt;0),IF(BM4&lt;'Get Started  3'!$H109,0,OFFSET(BM234,0,-1*'Get Started  3'!$H109)*'Get Started  3'!$E42*'Get Started  3'!$G109),0)</f>
        <v>0</v>
      </c>
      <c r="BN239" s="90">
        <f ca="1">IF(AND('Get Started  3'!$H112&lt;='Get Started  3'!$E27,'Get Started  3'!$G112&lt;&gt;0),IF(AND(BN4&lt;'Get Started  3'!$H112,'Get Started  3'!$H112&lt;='Get Started  3'!$E27),0,OFFSET(BN234,0,-1*'Get Started  3'!$H112)*'Get Started  3'!$H42),0)+IF(AND('Get Started  3'!$H111&lt;='Get Started  3'!$E27,'Get Started  3'!$G111&lt;&gt;0),IF(BN4&lt;'Get Started  3'!$H111,0,OFFSET(BN234,0,-1*'Get Started  3'!$H111)*'Get Started  3'!$G42),0)+IF(AND('Get Started  3'!$H110&lt;='Get Started  3'!$E27,'Get Started  3'!$G110&lt;&gt;0),IF(BN4&lt;'Get Started  3'!$H110,0,OFFSET(BN234,0,-1*'Get Started  3'!$H110)*'Get Started  3'!$F42),0)+IF(AND('Get Started  3'!$H109&lt;='Get Started  3'!$E27,'Get Started  3'!$G109&lt;&gt;0),IF(BN4&lt;'Get Started  3'!$H109,0,OFFSET(BN234,0,-1*'Get Started  3'!$H109)*'Get Started  3'!$E42*'Get Started  3'!$G109),0)</f>
        <v>0</v>
      </c>
      <c r="BO239" s="90">
        <f ca="1">IF(AND('Get Started  3'!$H112&lt;='Get Started  3'!$E27,'Get Started  3'!$G112&lt;&gt;0),IF(AND(BO4&lt;'Get Started  3'!$H112,'Get Started  3'!$H112&lt;='Get Started  3'!$E27),0,OFFSET(BO234,0,-1*'Get Started  3'!$H112)*'Get Started  3'!$H42),0)+IF(AND('Get Started  3'!$H111&lt;='Get Started  3'!$E27,'Get Started  3'!$G111&lt;&gt;0),IF(BO4&lt;'Get Started  3'!$H111,0,OFFSET(BO234,0,-1*'Get Started  3'!$H111)*'Get Started  3'!$G42),0)+IF(AND('Get Started  3'!$H110&lt;='Get Started  3'!$E27,'Get Started  3'!$G110&lt;&gt;0),IF(BO4&lt;'Get Started  3'!$H110,0,OFFSET(BO234,0,-1*'Get Started  3'!$H110)*'Get Started  3'!$F42),0)+IF(AND('Get Started  3'!$H109&lt;='Get Started  3'!$E27,'Get Started  3'!$G109&lt;&gt;0),IF(BO4&lt;'Get Started  3'!$H109,0,OFFSET(BO234,0,-1*'Get Started  3'!$H109)*'Get Started  3'!$E42*'Get Started  3'!$G109),0)</f>
        <v>0</v>
      </c>
      <c r="BP239" s="90">
        <f ca="1">IF(AND('Get Started  3'!$H112&lt;='Get Started  3'!$E27,'Get Started  3'!$G112&lt;&gt;0),IF(AND(BP4&lt;'Get Started  3'!$H112,'Get Started  3'!$H112&lt;='Get Started  3'!$E27),0,OFFSET(BP234,0,-1*'Get Started  3'!$H112)*'Get Started  3'!$H42),0)+IF(AND('Get Started  3'!$H111&lt;='Get Started  3'!$E27,'Get Started  3'!$G111&lt;&gt;0),IF(BP4&lt;'Get Started  3'!$H111,0,OFFSET(BP234,0,-1*'Get Started  3'!$H111)*'Get Started  3'!$G42),0)+IF(AND('Get Started  3'!$H110&lt;='Get Started  3'!$E27,'Get Started  3'!$G110&lt;&gt;0),IF(BP4&lt;'Get Started  3'!$H110,0,OFFSET(BP234,0,-1*'Get Started  3'!$H110)*'Get Started  3'!$F42),0)+IF(AND('Get Started  3'!$H109&lt;='Get Started  3'!$E27,'Get Started  3'!$G109&lt;&gt;0),IF(BP4&lt;'Get Started  3'!$H109,0,OFFSET(BP234,0,-1*'Get Started  3'!$H109)*'Get Started  3'!$E42*'Get Started  3'!$G109),0)</f>
        <v>0</v>
      </c>
      <c r="BQ239" s="90">
        <f ca="1">IF(AND('Get Started  3'!$H112&lt;='Get Started  3'!$E27,'Get Started  3'!$G112&lt;&gt;0),IF(AND(BQ4&lt;'Get Started  3'!$H112,'Get Started  3'!$H112&lt;='Get Started  3'!$E27),0,OFFSET(BQ234,0,-1*'Get Started  3'!$H112)*'Get Started  3'!$H42),0)+IF(AND('Get Started  3'!$H111&lt;='Get Started  3'!$E27,'Get Started  3'!$G111&lt;&gt;0),IF(BQ4&lt;'Get Started  3'!$H111,0,OFFSET(BQ234,0,-1*'Get Started  3'!$H111)*'Get Started  3'!$G42),0)+IF(AND('Get Started  3'!$H110&lt;='Get Started  3'!$E27,'Get Started  3'!$G110&lt;&gt;0),IF(BQ4&lt;'Get Started  3'!$H110,0,OFFSET(BQ234,0,-1*'Get Started  3'!$H110)*'Get Started  3'!$F42),0)+IF(AND('Get Started  3'!$H109&lt;='Get Started  3'!$E27,'Get Started  3'!$G109&lt;&gt;0),IF(BQ4&lt;'Get Started  3'!$H109,0,OFFSET(BQ234,0,-1*'Get Started  3'!$H109)*'Get Started  3'!$E42*'Get Started  3'!$G109),0)</f>
        <v>0</v>
      </c>
      <c r="BR239" s="90">
        <f ca="1">IF(AND('Get Started  3'!$H112&lt;='Get Started  3'!$E27,'Get Started  3'!$G112&lt;&gt;0),IF(AND(BR4&lt;'Get Started  3'!$H112,'Get Started  3'!$H112&lt;='Get Started  3'!$E27),0,OFFSET(BR234,0,-1*'Get Started  3'!$H112)*'Get Started  3'!$H42),0)+IF(AND('Get Started  3'!$H111&lt;='Get Started  3'!$E27,'Get Started  3'!$G111&lt;&gt;0),IF(BR4&lt;'Get Started  3'!$H111,0,OFFSET(BR234,0,-1*'Get Started  3'!$H111)*'Get Started  3'!$G42),0)+IF(AND('Get Started  3'!$H110&lt;='Get Started  3'!$E27,'Get Started  3'!$G110&lt;&gt;0),IF(BR4&lt;'Get Started  3'!$H110,0,OFFSET(BR234,0,-1*'Get Started  3'!$H110)*'Get Started  3'!$F42),0)+IF(AND('Get Started  3'!$H109&lt;='Get Started  3'!$E27,'Get Started  3'!$G109&lt;&gt;0),IF(BR4&lt;'Get Started  3'!$H109,0,OFFSET(BR234,0,-1*'Get Started  3'!$H109)*'Get Started  3'!$E42*'Get Started  3'!$G109),0)</f>
        <v>0</v>
      </c>
      <c r="BS239" s="90">
        <f ca="1">IF(AND('Get Started  3'!$H112&lt;='Get Started  3'!$E27,'Get Started  3'!$G112&lt;&gt;0),IF(AND(BS4&lt;'Get Started  3'!$H112,'Get Started  3'!$H112&lt;='Get Started  3'!$E27),0,OFFSET(BS234,0,-1*'Get Started  3'!$H112)*'Get Started  3'!$H42),0)+IF(AND('Get Started  3'!$H111&lt;='Get Started  3'!$E27,'Get Started  3'!$G111&lt;&gt;0),IF(BS4&lt;'Get Started  3'!$H111,0,OFFSET(BS234,0,-1*'Get Started  3'!$H111)*'Get Started  3'!$G42),0)+IF(AND('Get Started  3'!$H110&lt;='Get Started  3'!$E27,'Get Started  3'!$G110&lt;&gt;0),IF(BS4&lt;'Get Started  3'!$H110,0,OFFSET(BS234,0,-1*'Get Started  3'!$H110)*'Get Started  3'!$F42),0)+IF(AND('Get Started  3'!$H109&lt;='Get Started  3'!$E27,'Get Started  3'!$G109&lt;&gt;0),IF(BS4&lt;'Get Started  3'!$H109,0,OFFSET(BS234,0,-1*'Get Started  3'!$H109)*'Get Started  3'!$E42*'Get Started  3'!$G109),0)</f>
        <v>0</v>
      </c>
      <c r="BT239" s="90">
        <f ca="1">IF(AND('Get Started  3'!$H112&lt;='Get Started  3'!$E27,'Get Started  3'!$G112&lt;&gt;0),IF(AND(BT4&lt;'Get Started  3'!$H112,'Get Started  3'!$H112&lt;='Get Started  3'!$E27),0,OFFSET(BT234,0,-1*'Get Started  3'!$H112)*'Get Started  3'!$H42),0)+IF(AND('Get Started  3'!$H111&lt;='Get Started  3'!$E27,'Get Started  3'!$G111&lt;&gt;0),IF(BT4&lt;'Get Started  3'!$H111,0,OFFSET(BT234,0,-1*'Get Started  3'!$H111)*'Get Started  3'!$G42),0)+IF(AND('Get Started  3'!$H110&lt;='Get Started  3'!$E27,'Get Started  3'!$G110&lt;&gt;0),IF(BT4&lt;'Get Started  3'!$H110,0,OFFSET(BT234,0,-1*'Get Started  3'!$H110)*'Get Started  3'!$F42),0)+IF(AND('Get Started  3'!$H109&lt;='Get Started  3'!$E27,'Get Started  3'!$G109&lt;&gt;0),IF(BT4&lt;'Get Started  3'!$H109,0,OFFSET(BT234,0,-1*'Get Started  3'!$H109)*'Get Started  3'!$E42*'Get Started  3'!$G109),0)</f>
        <v>0</v>
      </c>
      <c r="BU239" s="90">
        <f ca="1">IF(AND('Get Started  3'!$H112&lt;='Get Started  3'!$E27,'Get Started  3'!$G112&lt;&gt;0),IF(AND(BU4&lt;'Get Started  3'!$H112,'Get Started  3'!$H112&lt;='Get Started  3'!$E27),0,OFFSET(BU234,0,-1*'Get Started  3'!$H112)*'Get Started  3'!$H42),0)+IF(AND('Get Started  3'!$H111&lt;='Get Started  3'!$E27,'Get Started  3'!$G111&lt;&gt;0),IF(BU4&lt;'Get Started  3'!$H111,0,OFFSET(BU234,0,-1*'Get Started  3'!$H111)*'Get Started  3'!$G42),0)+IF(AND('Get Started  3'!$H110&lt;='Get Started  3'!$E27,'Get Started  3'!$G110&lt;&gt;0),IF(BU4&lt;'Get Started  3'!$H110,0,OFFSET(BU234,0,-1*'Get Started  3'!$H110)*'Get Started  3'!$F42),0)+IF(AND('Get Started  3'!$H109&lt;='Get Started  3'!$E27,'Get Started  3'!$G109&lt;&gt;0),IF(BU4&lt;'Get Started  3'!$H109,0,OFFSET(BU234,0,-1*'Get Started  3'!$H109)*'Get Started  3'!$E42*'Get Started  3'!$G109),0)</f>
        <v>0</v>
      </c>
      <c r="BV239" s="90">
        <f ca="1">IF(AND('Get Started  3'!$H112&lt;='Get Started  3'!$E27,'Get Started  3'!$G112&lt;&gt;0),IF(AND(BV4&lt;'Get Started  3'!$H112,'Get Started  3'!$H112&lt;='Get Started  3'!$E27),0,OFFSET(BV234,0,-1*'Get Started  3'!$H112)*'Get Started  3'!$H42),0)+IF(AND('Get Started  3'!$H111&lt;='Get Started  3'!$E27,'Get Started  3'!$G111&lt;&gt;0),IF(BV4&lt;'Get Started  3'!$H111,0,OFFSET(BV234,0,-1*'Get Started  3'!$H111)*'Get Started  3'!$G42),0)+IF(AND('Get Started  3'!$H110&lt;='Get Started  3'!$E27,'Get Started  3'!$G110&lt;&gt;0),IF(BV4&lt;'Get Started  3'!$H110,0,OFFSET(BV234,0,-1*'Get Started  3'!$H110)*'Get Started  3'!$F42),0)+IF(AND('Get Started  3'!$H109&lt;='Get Started  3'!$E27,'Get Started  3'!$G109&lt;&gt;0),IF(BV4&lt;'Get Started  3'!$H109,0,OFFSET(BV234,0,-1*'Get Started  3'!$H109)*'Get Started  3'!$E42*'Get Started  3'!$G109),0)</f>
        <v>0</v>
      </c>
      <c r="BW239" s="90">
        <f ca="1">IF(AND('Get Started  3'!$H112&lt;='Get Started  3'!$E27,'Get Started  3'!$G112&lt;&gt;0),IF(AND(BW4&lt;'Get Started  3'!$H112,'Get Started  3'!$H112&lt;='Get Started  3'!$E27),0,OFFSET(BW234,0,-1*'Get Started  3'!$H112)*'Get Started  3'!$H42),0)+IF(AND('Get Started  3'!$H111&lt;='Get Started  3'!$E27,'Get Started  3'!$G111&lt;&gt;0),IF(BW4&lt;'Get Started  3'!$H111,0,OFFSET(BW234,0,-1*'Get Started  3'!$H111)*'Get Started  3'!$G42),0)+IF(AND('Get Started  3'!$H110&lt;='Get Started  3'!$E27,'Get Started  3'!$G110&lt;&gt;0),IF(BW4&lt;'Get Started  3'!$H110,0,OFFSET(BW234,0,-1*'Get Started  3'!$H110)*'Get Started  3'!$F42),0)+IF(AND('Get Started  3'!$H109&lt;='Get Started  3'!$E27,'Get Started  3'!$G109&lt;&gt;0),IF(BW4&lt;'Get Started  3'!$H109,0,OFFSET(BW234,0,-1*'Get Started  3'!$H109)*'Get Started  3'!$E42*'Get Started  3'!$G109),0)</f>
        <v>0</v>
      </c>
      <c r="BX239" s="90">
        <f ca="1">IF(AND('Get Started  3'!$H112&lt;='Get Started  3'!$E27,'Get Started  3'!$G112&lt;&gt;0),IF(AND(BX4&lt;'Get Started  3'!$H112,'Get Started  3'!$H112&lt;='Get Started  3'!$E27),0,OFFSET(BX234,0,-1*'Get Started  3'!$H112)*'Get Started  3'!$H42),0)+IF(AND('Get Started  3'!$H111&lt;='Get Started  3'!$E27,'Get Started  3'!$G111&lt;&gt;0),IF(BX4&lt;'Get Started  3'!$H111,0,OFFSET(BX234,0,-1*'Get Started  3'!$H111)*'Get Started  3'!$G42),0)+IF(AND('Get Started  3'!$H110&lt;='Get Started  3'!$E27,'Get Started  3'!$G110&lt;&gt;0),IF(BX4&lt;'Get Started  3'!$H110,0,OFFSET(BX234,0,-1*'Get Started  3'!$H110)*'Get Started  3'!$F42),0)+IF(AND('Get Started  3'!$H109&lt;='Get Started  3'!$E27,'Get Started  3'!$G109&lt;&gt;0),IF(BX4&lt;'Get Started  3'!$H109,0,OFFSET(BX234,0,-1*'Get Started  3'!$H109)*'Get Started  3'!$E42*'Get Started  3'!$G109),0)</f>
        <v>0</v>
      </c>
      <c r="BY239" s="90">
        <f ca="1">IF(AND('Get Started  3'!$H112&lt;='Get Started  3'!$E27,'Get Started  3'!$G112&lt;&gt;0),IF(AND(BY4&lt;'Get Started  3'!$H112,'Get Started  3'!$H112&lt;='Get Started  3'!$E27),0,OFFSET(BY234,0,-1*'Get Started  3'!$H112)*'Get Started  3'!$H42),0)+IF(AND('Get Started  3'!$H111&lt;='Get Started  3'!$E27,'Get Started  3'!$G111&lt;&gt;0),IF(BY4&lt;'Get Started  3'!$H111,0,OFFSET(BY234,0,-1*'Get Started  3'!$H111)*'Get Started  3'!$G42),0)+IF(AND('Get Started  3'!$H110&lt;='Get Started  3'!$E27,'Get Started  3'!$G110&lt;&gt;0),IF(BY4&lt;'Get Started  3'!$H110,0,OFFSET(BY234,0,-1*'Get Started  3'!$H110)*'Get Started  3'!$F42),0)+IF(AND('Get Started  3'!$H109&lt;='Get Started  3'!$E27,'Get Started  3'!$G109&lt;&gt;0),IF(BY4&lt;'Get Started  3'!$H109,0,OFFSET(BY234,0,-1*'Get Started  3'!$H109)*'Get Started  3'!$E42*'Get Started  3'!$G109),0)</f>
        <v>0</v>
      </c>
      <c r="BZ239" s="90">
        <f ca="1">IF(AND('Get Started  3'!$H112&lt;='Get Started  3'!$E27,'Get Started  3'!$G112&lt;&gt;0),IF(AND(BZ4&lt;'Get Started  3'!$H112,'Get Started  3'!$H112&lt;='Get Started  3'!$E27),0,OFFSET(BZ234,0,-1*'Get Started  3'!$H112)*'Get Started  3'!$H42),0)+IF(AND('Get Started  3'!$H111&lt;='Get Started  3'!$E27,'Get Started  3'!$G111&lt;&gt;0),IF(BZ4&lt;'Get Started  3'!$H111,0,OFFSET(BZ234,0,-1*'Get Started  3'!$H111)*'Get Started  3'!$G42),0)+IF(AND('Get Started  3'!$H110&lt;='Get Started  3'!$E27,'Get Started  3'!$G110&lt;&gt;0),IF(BZ4&lt;'Get Started  3'!$H110,0,OFFSET(BZ234,0,-1*'Get Started  3'!$H110)*'Get Started  3'!$F42),0)+IF(AND('Get Started  3'!$H109&lt;='Get Started  3'!$E27,'Get Started  3'!$G109&lt;&gt;0),IF(BZ4&lt;'Get Started  3'!$H109,0,OFFSET(BZ234,0,-1*'Get Started  3'!$H109)*'Get Started  3'!$E42*'Get Started  3'!$G109),0)</f>
        <v>0</v>
      </c>
      <c r="CA239" s="90">
        <f ca="1">IF(AND('Get Started  3'!$H112&lt;='Get Started  3'!$E27,'Get Started  3'!$G112&lt;&gt;0),IF(AND(CA4&lt;'Get Started  3'!$H112,'Get Started  3'!$H112&lt;='Get Started  3'!$E27),0,OFFSET(CA234,0,-1*'Get Started  3'!$H112)*'Get Started  3'!$H42),0)+IF(AND('Get Started  3'!$H111&lt;='Get Started  3'!$E27,'Get Started  3'!$G111&lt;&gt;0),IF(CA4&lt;'Get Started  3'!$H111,0,OFFSET(CA234,0,-1*'Get Started  3'!$H111)*'Get Started  3'!$G42),0)+IF(AND('Get Started  3'!$H110&lt;='Get Started  3'!$E27,'Get Started  3'!$G110&lt;&gt;0),IF(CA4&lt;'Get Started  3'!$H110,0,OFFSET(CA234,0,-1*'Get Started  3'!$H110)*'Get Started  3'!$F42),0)+IF(AND('Get Started  3'!$H109&lt;='Get Started  3'!$E27,'Get Started  3'!$G109&lt;&gt;0),IF(CA4&lt;'Get Started  3'!$H109,0,OFFSET(CA234,0,-1*'Get Started  3'!$H109)*'Get Started  3'!$E42*'Get Started  3'!$G109),0)</f>
        <v>0</v>
      </c>
      <c r="CB239" s="90">
        <f ca="1">IF(AND('Get Started  3'!$H112&lt;='Get Started  3'!$E27,'Get Started  3'!$G112&lt;&gt;0),IF(AND(CB4&lt;'Get Started  3'!$H112,'Get Started  3'!$H112&lt;='Get Started  3'!$E27),0,OFFSET(CB234,0,-1*'Get Started  3'!$H112)*'Get Started  3'!$H42),0)+IF(AND('Get Started  3'!$H111&lt;='Get Started  3'!$E27,'Get Started  3'!$G111&lt;&gt;0),IF(CB4&lt;'Get Started  3'!$H111,0,OFFSET(CB234,0,-1*'Get Started  3'!$H111)*'Get Started  3'!$G42),0)+IF(AND('Get Started  3'!$H110&lt;='Get Started  3'!$E27,'Get Started  3'!$G110&lt;&gt;0),IF(CB4&lt;'Get Started  3'!$H110,0,OFFSET(CB234,0,-1*'Get Started  3'!$H110)*'Get Started  3'!$F42),0)+IF(AND('Get Started  3'!$H109&lt;='Get Started  3'!$E27,'Get Started  3'!$G109&lt;&gt;0),IF(CB4&lt;'Get Started  3'!$H109,0,OFFSET(CB234,0,-1*'Get Started  3'!$H109)*'Get Started  3'!$E42*'Get Started  3'!$G109),0)</f>
        <v>0</v>
      </c>
      <c r="CC239" s="90">
        <f ca="1">IF(AND('Get Started  3'!$H112&lt;='Get Started  3'!$E27,'Get Started  3'!$G112&lt;&gt;0),IF(AND(CC4&lt;'Get Started  3'!$H112,'Get Started  3'!$H112&lt;='Get Started  3'!$E27),0,OFFSET(CC234,0,-1*'Get Started  3'!$H112)*'Get Started  3'!$H42),0)+IF(AND('Get Started  3'!$H111&lt;='Get Started  3'!$E27,'Get Started  3'!$G111&lt;&gt;0),IF(CC4&lt;'Get Started  3'!$H111,0,OFFSET(CC234,0,-1*'Get Started  3'!$H111)*'Get Started  3'!$G42),0)+IF(AND('Get Started  3'!$H110&lt;='Get Started  3'!$E27,'Get Started  3'!$G110&lt;&gt;0),IF(CC4&lt;'Get Started  3'!$H110,0,OFFSET(CC234,0,-1*'Get Started  3'!$H110)*'Get Started  3'!$F42),0)+IF(AND('Get Started  3'!$H109&lt;='Get Started  3'!$E27,'Get Started  3'!$G109&lt;&gt;0),IF(CC4&lt;'Get Started  3'!$H109,0,OFFSET(CC234,0,-1*'Get Started  3'!$H109)*'Get Started  3'!$E42*'Get Started  3'!$G109),0)</f>
        <v>0</v>
      </c>
      <c r="CD239" s="90">
        <f ca="1">IF(AND('Get Started  3'!$H112&lt;='Get Started  3'!$E27,'Get Started  3'!$G112&lt;&gt;0),IF(AND(CD4&lt;'Get Started  3'!$H112,'Get Started  3'!$H112&lt;='Get Started  3'!$E27),0,OFFSET(CD234,0,-1*'Get Started  3'!$H112)*'Get Started  3'!$H42),0)+IF(AND('Get Started  3'!$H111&lt;='Get Started  3'!$E27,'Get Started  3'!$G111&lt;&gt;0),IF(CD4&lt;'Get Started  3'!$H111,0,OFFSET(CD234,0,-1*'Get Started  3'!$H111)*'Get Started  3'!$G42),0)+IF(AND('Get Started  3'!$H110&lt;='Get Started  3'!$E27,'Get Started  3'!$G110&lt;&gt;0),IF(CD4&lt;'Get Started  3'!$H110,0,OFFSET(CD234,0,-1*'Get Started  3'!$H110)*'Get Started  3'!$F42),0)+IF(AND('Get Started  3'!$H109&lt;='Get Started  3'!$E27,'Get Started  3'!$G109&lt;&gt;0),IF(CD4&lt;'Get Started  3'!$H109,0,OFFSET(CD234,0,-1*'Get Started  3'!$H109)*'Get Started  3'!$E42*'Get Started  3'!$G109),0)</f>
        <v>0</v>
      </c>
      <c r="CE239" s="90">
        <f ca="1">IF(AND('Get Started  3'!$H112&lt;='Get Started  3'!$E27,'Get Started  3'!$G112&lt;&gt;0),IF(AND(CE4&lt;'Get Started  3'!$H112,'Get Started  3'!$H112&lt;='Get Started  3'!$E27),0,OFFSET(CE234,0,-1*'Get Started  3'!$H112)*'Get Started  3'!$H42),0)+IF(AND('Get Started  3'!$H111&lt;='Get Started  3'!$E27,'Get Started  3'!$G111&lt;&gt;0),IF(CE4&lt;'Get Started  3'!$H111,0,OFFSET(CE234,0,-1*'Get Started  3'!$H111)*'Get Started  3'!$G42),0)+IF(AND('Get Started  3'!$H110&lt;='Get Started  3'!$E27,'Get Started  3'!$G110&lt;&gt;0),IF(CE4&lt;'Get Started  3'!$H110,0,OFFSET(CE234,0,-1*'Get Started  3'!$H110)*'Get Started  3'!$F42),0)+IF(AND('Get Started  3'!$H109&lt;='Get Started  3'!$E27,'Get Started  3'!$G109&lt;&gt;0),IF(CE4&lt;'Get Started  3'!$H109,0,OFFSET(CE234,0,-1*'Get Started  3'!$H109)*'Get Started  3'!$E42*'Get Started  3'!$G109),0)</f>
        <v>0</v>
      </c>
      <c r="CF239" s="90">
        <f ca="1">IF(AND('Get Started  3'!$H112&lt;='Get Started  3'!$E27,'Get Started  3'!$G112&lt;&gt;0),IF(AND(CF4&lt;'Get Started  3'!$H112,'Get Started  3'!$H112&lt;='Get Started  3'!$E27),0,OFFSET(CF234,0,-1*'Get Started  3'!$H112)*'Get Started  3'!$H42),0)+IF(AND('Get Started  3'!$H111&lt;='Get Started  3'!$E27,'Get Started  3'!$G111&lt;&gt;0),IF(CF4&lt;'Get Started  3'!$H111,0,OFFSET(CF234,0,-1*'Get Started  3'!$H111)*'Get Started  3'!$G42),0)+IF(AND('Get Started  3'!$H110&lt;='Get Started  3'!$E27,'Get Started  3'!$G110&lt;&gt;0),IF(CF4&lt;'Get Started  3'!$H110,0,OFFSET(CF234,0,-1*'Get Started  3'!$H110)*'Get Started  3'!$F42),0)+IF(AND('Get Started  3'!$H109&lt;='Get Started  3'!$E27,'Get Started  3'!$G109&lt;&gt;0),IF(CF4&lt;'Get Started  3'!$H109,0,OFFSET(CF234,0,-1*'Get Started  3'!$H109)*'Get Started  3'!$E42*'Get Started  3'!$G109),0)</f>
        <v>0</v>
      </c>
      <c r="CG239" s="90">
        <f ca="1">IF(AND('Get Started  3'!$H112&lt;='Get Started  3'!$E27,'Get Started  3'!$G112&lt;&gt;0),IF(AND(CG4&lt;'Get Started  3'!$H112,'Get Started  3'!$H112&lt;='Get Started  3'!$E27),0,OFFSET(CG234,0,-1*'Get Started  3'!$H112)*'Get Started  3'!$H42),0)+IF(AND('Get Started  3'!$H111&lt;='Get Started  3'!$E27,'Get Started  3'!$G111&lt;&gt;0),IF(CG4&lt;'Get Started  3'!$H111,0,OFFSET(CG234,0,-1*'Get Started  3'!$H111)*'Get Started  3'!$G42),0)+IF(AND('Get Started  3'!$H110&lt;='Get Started  3'!$E27,'Get Started  3'!$G110&lt;&gt;0),IF(CG4&lt;'Get Started  3'!$H110,0,OFFSET(CG234,0,-1*'Get Started  3'!$H110)*'Get Started  3'!$F42),0)+IF(AND('Get Started  3'!$H109&lt;='Get Started  3'!$E27,'Get Started  3'!$G109&lt;&gt;0),IF(CG4&lt;'Get Started  3'!$H109,0,OFFSET(CG234,0,-1*'Get Started  3'!$H109)*'Get Started  3'!$E42*'Get Started  3'!$G109),0)</f>
        <v>0</v>
      </c>
      <c r="CH239" s="90">
        <f ca="1">IF(AND('Get Started  3'!$H112&lt;='Get Started  3'!$E27,'Get Started  3'!$G112&lt;&gt;0),IF(AND(CH4&lt;'Get Started  3'!$H112,'Get Started  3'!$H112&lt;='Get Started  3'!$E27),0,OFFSET(CH234,0,-1*'Get Started  3'!$H112)*'Get Started  3'!$H42),0)+IF(AND('Get Started  3'!$H111&lt;='Get Started  3'!$E27,'Get Started  3'!$G111&lt;&gt;0),IF(CH4&lt;'Get Started  3'!$H111,0,OFFSET(CH234,0,-1*'Get Started  3'!$H111)*'Get Started  3'!$G42),0)+IF(AND('Get Started  3'!$H110&lt;='Get Started  3'!$E27,'Get Started  3'!$G110&lt;&gt;0),IF(CH4&lt;'Get Started  3'!$H110,0,OFFSET(CH234,0,-1*'Get Started  3'!$H110)*'Get Started  3'!$F42),0)+IF(AND('Get Started  3'!$H109&lt;='Get Started  3'!$E27,'Get Started  3'!$G109&lt;&gt;0),IF(CH4&lt;'Get Started  3'!$H109,0,OFFSET(CH234,0,-1*'Get Started  3'!$H109)*'Get Started  3'!$E42*'Get Started  3'!$G109),0)</f>
        <v>0</v>
      </c>
    </row>
    <row r="240" spans="1:86" ht="13" outlineLevel="1">
      <c r="A240" s="13"/>
      <c r="B240" s="13" t="s">
        <v>335</v>
      </c>
      <c r="C240" s="13"/>
      <c r="D240" s="13" t="s">
        <v>238</v>
      </c>
      <c r="E240" s="88">
        <f t="shared" ca="1" si="170"/>
        <v>3.2083333333333346E-2</v>
      </c>
      <c r="F240" s="48"/>
      <c r="G240" s="90">
        <f ca="1">IF('Get Started  3'!$E28="invested capital",G239,IF('Get Started  3'!$E28="invested capital plus cost basis",G238,G237))*G11</f>
        <v>0</v>
      </c>
      <c r="H240" s="90">
        <f ca="1">IF('Get Started  3'!$E28="invested capital",H239,IF('Get Started  3'!$E28="invested capital plus cost basis",H238,H237))*H11</f>
        <v>0</v>
      </c>
      <c r="I240" s="90">
        <f ca="1">IF('Get Started  3'!$E28="invested capital",I239,IF('Get Started  3'!$E28="invested capital plus cost basis",I238,I237))*I11</f>
        <v>0</v>
      </c>
      <c r="J240" s="90">
        <f ca="1">IF('Get Started  3'!$E28="invested capital",J239,IF('Get Started  3'!$E28="invested capital plus cost basis",J238,J237))*J11</f>
        <v>0</v>
      </c>
      <c r="K240" s="90">
        <f ca="1">IF('Get Started  3'!$E28="invested capital",K239,IF('Get Started  3'!$E28="invested capital plus cost basis",K238,K237))*K11</f>
        <v>0</v>
      </c>
      <c r="L240" s="90">
        <f ca="1">IF('Get Started  3'!$E28="invested capital",L239,IF('Get Started  3'!$E28="invested capital plus cost basis",L238,L237))*L11</f>
        <v>0</v>
      </c>
      <c r="M240" s="90">
        <f ca="1">IF('Get Started  3'!$E28="invested capital",M239,IF('Get Started  3'!$E28="invested capital plus cost basis",M238,M237))*M11</f>
        <v>0</v>
      </c>
      <c r="N240" s="90">
        <f ca="1">IF('Get Started  3'!$E28="invested capital",N239,IF('Get Started  3'!$E28="invested capital plus cost basis",N238,N237))*N11</f>
        <v>0</v>
      </c>
      <c r="O240" s="90">
        <f ca="1">IF('Get Started  3'!$E28="invested capital",O239,IF('Get Started  3'!$E28="invested capital plus cost basis",O238,O237))*O11</f>
        <v>0</v>
      </c>
      <c r="P240" s="90">
        <f ca="1">IF('Get Started  3'!$E28="invested capital",P239,IF('Get Started  3'!$E28="invested capital plus cost basis",P238,P237))*P11</f>
        <v>0</v>
      </c>
      <c r="Q240" s="90">
        <f ca="1">IF('Get Started  3'!$E28="invested capital",Q239,IF('Get Started  3'!$E28="invested capital plus cost basis",Q238,Q237))*Q11</f>
        <v>0</v>
      </c>
      <c r="R240" s="90">
        <f ca="1">IF('Get Started  3'!$E28="invested capital",R239,IF('Get Started  3'!$E28="invested capital plus cost basis",R238,R237))*R11</f>
        <v>0</v>
      </c>
      <c r="S240" s="90">
        <f ca="1">IF('Get Started  3'!$E28="invested capital",S239,IF('Get Started  3'!$E28="invested capital plus cost basis",S238,S237))*S11</f>
        <v>8.0208333333333364E-3</v>
      </c>
      <c r="T240" s="90">
        <f ca="1">IF('Get Started  3'!$E28="invested capital",T239,IF('Get Started  3'!$E28="invested capital plus cost basis",T238,T237))*T11</f>
        <v>8.0208333333333364E-3</v>
      </c>
      <c r="U240" s="90">
        <f ca="1">IF('Get Started  3'!$E28="invested capital",U239,IF('Get Started  3'!$E28="invested capital plus cost basis",U238,U237))*U11</f>
        <v>8.0208333333333364E-3</v>
      </c>
      <c r="V240" s="90">
        <f ca="1">IF('Get Started  3'!$E28="invested capital",V239,IF('Get Started  3'!$E28="invested capital plus cost basis",V238,V237))*V11</f>
        <v>8.0208333333333364E-3</v>
      </c>
      <c r="W240" s="90">
        <f ca="1">IF('Get Started  3'!$E28="invested capital",W239,IF('Get Started  3'!$E28="invested capital plus cost basis",W238,W237))*W11</f>
        <v>0</v>
      </c>
      <c r="X240" s="90">
        <f ca="1">IF('Get Started  3'!$E28="invested capital",X239,IF('Get Started  3'!$E28="invested capital plus cost basis",X238,X237))*X11</f>
        <v>0</v>
      </c>
      <c r="Y240" s="90">
        <f ca="1">IF('Get Started  3'!$E28="invested capital",Y239,IF('Get Started  3'!$E28="invested capital plus cost basis",Y238,Y237))*Y11</f>
        <v>0</v>
      </c>
      <c r="Z240" s="90">
        <f ca="1">IF('Get Started  3'!$E28="invested capital",Z239,IF('Get Started  3'!$E28="invested capital plus cost basis",Z238,Z237))*Z11</f>
        <v>0</v>
      </c>
      <c r="AA240" s="90">
        <f ca="1">IF('Get Started  3'!$E28="invested capital",AA239,IF('Get Started  3'!$E28="invested capital plus cost basis",AA238,AA237))*AA11</f>
        <v>0</v>
      </c>
      <c r="AB240" s="90">
        <f ca="1">IF('Get Started  3'!$E28="invested capital",AB239,IF('Get Started  3'!$E28="invested capital plus cost basis",AB238,AB237))*AB11</f>
        <v>0</v>
      </c>
      <c r="AC240" s="90">
        <f ca="1">IF('Get Started  3'!$E28="invested capital",AC239,IF('Get Started  3'!$E28="invested capital plus cost basis",AC238,AC237))*AC11</f>
        <v>0</v>
      </c>
      <c r="AD240" s="90">
        <f ca="1">IF('Get Started  3'!$E28="invested capital",AD239,IF('Get Started  3'!$E28="invested capital plus cost basis",AD238,AD237))*AD11</f>
        <v>0</v>
      </c>
      <c r="AE240" s="90">
        <f ca="1">IF('Get Started  3'!$E28="invested capital",AE239,IF('Get Started  3'!$E28="invested capital plus cost basis",AE238,AE237))*AE11</f>
        <v>0</v>
      </c>
      <c r="AF240" s="90">
        <f ca="1">IF('Get Started  3'!$E28="invested capital",AF239,IF('Get Started  3'!$E28="invested capital plus cost basis",AF238,AF237))*AF11</f>
        <v>0</v>
      </c>
      <c r="AG240" s="90">
        <f ca="1">IF('Get Started  3'!$E28="invested capital",AG239,IF('Get Started  3'!$E28="invested capital plus cost basis",AG238,AG237))*AG11</f>
        <v>0</v>
      </c>
      <c r="AH240" s="90">
        <f ca="1">IF('Get Started  3'!$E28="invested capital",AH239,IF('Get Started  3'!$E28="invested capital plus cost basis",AH238,AH237))*AH11</f>
        <v>0</v>
      </c>
      <c r="AI240" s="90">
        <f ca="1">IF('Get Started  3'!$E28="invested capital",AI239,IF('Get Started  3'!$E28="invested capital plus cost basis",AI238,AI237))*AI11</f>
        <v>0</v>
      </c>
      <c r="AJ240" s="90">
        <f ca="1">IF('Get Started  3'!$E28="invested capital",AJ239,IF('Get Started  3'!$E28="invested capital plus cost basis",AJ238,AJ237))*AJ11</f>
        <v>0</v>
      </c>
      <c r="AK240" s="90">
        <f ca="1">IF('Get Started  3'!$E28="invested capital",AK239,IF('Get Started  3'!$E28="invested capital plus cost basis",AK238,AK237))*AK11</f>
        <v>0</v>
      </c>
      <c r="AL240" s="90">
        <f ca="1">IF('Get Started  3'!$E28="invested capital",AL239,IF('Get Started  3'!$E28="invested capital plus cost basis",AL238,AL237))*AL11</f>
        <v>0</v>
      </c>
      <c r="AM240" s="90">
        <f ca="1">IF('Get Started  3'!$E28="invested capital",AM239,IF('Get Started  3'!$E28="invested capital plus cost basis",AM238,AM237))*AM11</f>
        <v>0</v>
      </c>
      <c r="AN240" s="90">
        <f ca="1">IF('Get Started  3'!$E28="invested capital",AN239,IF('Get Started  3'!$E28="invested capital plus cost basis",AN238,AN237))*AN11</f>
        <v>0</v>
      </c>
      <c r="AO240" s="90">
        <f ca="1">IF('Get Started  3'!$E28="invested capital",AO239,IF('Get Started  3'!$E28="invested capital plus cost basis",AO238,AO237))*AO11</f>
        <v>0</v>
      </c>
      <c r="AP240" s="90">
        <f ca="1">IF('Get Started  3'!$E28="invested capital",AP239,IF('Get Started  3'!$E28="invested capital plus cost basis",AP238,AP237))*AP11</f>
        <v>0</v>
      </c>
      <c r="AQ240" s="90">
        <f ca="1">IF('Get Started  3'!$E28="invested capital",AQ239,IF('Get Started  3'!$E28="invested capital plus cost basis",AQ238,AQ237))*AQ11</f>
        <v>0</v>
      </c>
      <c r="AR240" s="90">
        <f ca="1">IF('Get Started  3'!$E28="invested capital",AR239,IF('Get Started  3'!$E28="invested capital plus cost basis",AR238,AR237))*AR11</f>
        <v>0</v>
      </c>
      <c r="AS240" s="90">
        <f ca="1">IF('Get Started  3'!$E28="invested capital",AS239,IF('Get Started  3'!$E28="invested capital plus cost basis",AS238,AS237))*AS11</f>
        <v>0</v>
      </c>
      <c r="AT240" s="90">
        <f ca="1">IF('Get Started  3'!$E28="invested capital",AT239,IF('Get Started  3'!$E28="invested capital plus cost basis",AT238,AT237))*AT11</f>
        <v>0</v>
      </c>
      <c r="AU240" s="90">
        <f ca="1">IF('Get Started  3'!$E28="invested capital",AU239,IF('Get Started  3'!$E28="invested capital plus cost basis",AU238,AU237))*AU11</f>
        <v>0</v>
      </c>
      <c r="AV240" s="90">
        <f ca="1">IF('Get Started  3'!$E28="invested capital",AV239,IF('Get Started  3'!$E28="invested capital plus cost basis",AV238,AV237))*AV11</f>
        <v>0</v>
      </c>
      <c r="AW240" s="90">
        <f ca="1">IF('Get Started  3'!$E28="invested capital",AW239,IF('Get Started  3'!$E28="invested capital plus cost basis",AW238,AW237))*AW11</f>
        <v>0</v>
      </c>
      <c r="AX240" s="90">
        <f ca="1">IF('Get Started  3'!$E28="invested capital",AX239,IF('Get Started  3'!$E28="invested capital plus cost basis",AX238,AX237))*AX11</f>
        <v>0</v>
      </c>
      <c r="AY240" s="90">
        <f ca="1">IF('Get Started  3'!$E28="invested capital",AY239,IF('Get Started  3'!$E28="invested capital plus cost basis",AY238,AY237))*AY11</f>
        <v>0</v>
      </c>
      <c r="AZ240" s="90">
        <f ca="1">IF('Get Started  3'!$E28="invested capital",AZ239,IF('Get Started  3'!$E28="invested capital plus cost basis",AZ238,AZ237))*AZ11</f>
        <v>0</v>
      </c>
      <c r="BA240" s="90">
        <f ca="1">IF('Get Started  3'!$E28="invested capital",BA239,IF('Get Started  3'!$E28="invested capital plus cost basis",BA238,BA237))*BA11</f>
        <v>0</v>
      </c>
      <c r="BB240" s="90">
        <f ca="1">IF('Get Started  3'!$E28="invested capital",BB239,IF('Get Started  3'!$E28="invested capital plus cost basis",BB238,BB237))*BB11</f>
        <v>0</v>
      </c>
      <c r="BC240" s="90">
        <f ca="1">IF('Get Started  3'!$E28="invested capital",BC239,IF('Get Started  3'!$E28="invested capital plus cost basis",BC238,BC237))*BC11</f>
        <v>0</v>
      </c>
      <c r="BD240" s="90">
        <f ca="1">IF('Get Started  3'!$E28="invested capital",BD239,IF('Get Started  3'!$E28="invested capital plus cost basis",BD238,BD237))*BD11</f>
        <v>0</v>
      </c>
      <c r="BE240" s="90">
        <f ca="1">IF('Get Started  3'!$E28="invested capital",BE239,IF('Get Started  3'!$E28="invested capital plus cost basis",BE238,BE237))*BE11</f>
        <v>0</v>
      </c>
      <c r="BF240" s="90">
        <f ca="1">IF('Get Started  3'!$E28="invested capital",BF239,IF('Get Started  3'!$E28="invested capital plus cost basis",BF238,BF237))*BF11</f>
        <v>0</v>
      </c>
      <c r="BG240" s="90">
        <f ca="1">IF('Get Started  3'!$E28="invested capital",BG239,IF('Get Started  3'!$E28="invested capital plus cost basis",BG238,BG237))*BG11</f>
        <v>0</v>
      </c>
      <c r="BH240" s="90">
        <f ca="1">IF('Get Started  3'!$E28="invested capital",BH239,IF('Get Started  3'!$E28="invested capital plus cost basis",BH238,BH237))*BH11</f>
        <v>0</v>
      </c>
      <c r="BI240" s="90">
        <f ca="1">IF('Get Started  3'!$E28="invested capital",BI239,IF('Get Started  3'!$E28="invested capital plus cost basis",BI238,BI237))*BI11</f>
        <v>0</v>
      </c>
      <c r="BJ240" s="90">
        <f ca="1">IF('Get Started  3'!$E28="invested capital",BJ239,IF('Get Started  3'!$E28="invested capital plus cost basis",BJ238,BJ237))*BJ11</f>
        <v>0</v>
      </c>
      <c r="BK240" s="90">
        <f ca="1">IF('Get Started  3'!$E28="invested capital",BK239,IF('Get Started  3'!$E28="invested capital plus cost basis",BK238,BK237))*BK11</f>
        <v>0</v>
      </c>
      <c r="BL240" s="90">
        <f ca="1">IF('Get Started  3'!$E28="invested capital",BL239,IF('Get Started  3'!$E28="invested capital plus cost basis",BL238,BL237))*BL11</f>
        <v>0</v>
      </c>
      <c r="BM240" s="90">
        <f ca="1">IF('Get Started  3'!$E28="invested capital",BM239,IF('Get Started  3'!$E28="invested capital plus cost basis",BM238,BM237))*BM11</f>
        <v>0</v>
      </c>
      <c r="BN240" s="90">
        <f ca="1">IF('Get Started  3'!$E28="invested capital",BN239,IF('Get Started  3'!$E28="invested capital plus cost basis",BN238,BN237))*BN11</f>
        <v>0</v>
      </c>
      <c r="BO240" s="90">
        <f ca="1">IF('Get Started  3'!$E28="invested capital",BO239,IF('Get Started  3'!$E28="invested capital plus cost basis",BO238,BO237))*BO11</f>
        <v>0</v>
      </c>
      <c r="BP240" s="90">
        <f ca="1">IF('Get Started  3'!$E28="invested capital",BP239,IF('Get Started  3'!$E28="invested capital plus cost basis",BP238,BP237))*BP11</f>
        <v>0</v>
      </c>
      <c r="BQ240" s="90">
        <f ca="1">IF('Get Started  3'!$E28="invested capital",BQ239,IF('Get Started  3'!$E28="invested capital plus cost basis",BQ238,BQ237))*BQ11</f>
        <v>0</v>
      </c>
      <c r="BR240" s="90">
        <f ca="1">IF('Get Started  3'!$E28="invested capital",BR239,IF('Get Started  3'!$E28="invested capital plus cost basis",BR238,BR237))*BR11</f>
        <v>0</v>
      </c>
      <c r="BS240" s="90">
        <f ca="1">IF('Get Started  3'!$E28="invested capital",BS239,IF('Get Started  3'!$E28="invested capital plus cost basis",BS238,BS237))*BS11</f>
        <v>0</v>
      </c>
      <c r="BT240" s="90">
        <f ca="1">IF('Get Started  3'!$E28="invested capital",BT239,IF('Get Started  3'!$E28="invested capital plus cost basis",BT238,BT237))*BT11</f>
        <v>0</v>
      </c>
      <c r="BU240" s="90">
        <f ca="1">IF('Get Started  3'!$E28="invested capital",BU239,IF('Get Started  3'!$E28="invested capital plus cost basis",BU238,BU237))*BU11</f>
        <v>0</v>
      </c>
      <c r="BV240" s="90">
        <f ca="1">IF('Get Started  3'!$E28="invested capital",BV239,IF('Get Started  3'!$E28="invested capital plus cost basis",BV238,BV237))*BV11</f>
        <v>0</v>
      </c>
      <c r="BW240" s="90">
        <f ca="1">IF('Get Started  3'!$E28="invested capital",BW239,IF('Get Started  3'!$E28="invested capital plus cost basis",BW238,BW237))*BW11</f>
        <v>0</v>
      </c>
      <c r="BX240" s="90">
        <f ca="1">IF('Get Started  3'!$E28="invested capital",BX239,IF('Get Started  3'!$E28="invested capital plus cost basis",BX238,BX237))*BX11</f>
        <v>0</v>
      </c>
      <c r="BY240" s="90">
        <f ca="1">IF('Get Started  3'!$E28="invested capital",BY239,IF('Get Started  3'!$E28="invested capital plus cost basis",BY238,BY237))*BY11</f>
        <v>0</v>
      </c>
      <c r="BZ240" s="90">
        <f ca="1">IF('Get Started  3'!$E28="invested capital",BZ239,IF('Get Started  3'!$E28="invested capital plus cost basis",BZ238,BZ237))*BZ11</f>
        <v>0</v>
      </c>
      <c r="CA240" s="90">
        <f ca="1">IF('Get Started  3'!$E28="invested capital",CA239,IF('Get Started  3'!$E28="invested capital plus cost basis",CA238,CA237))*CA11</f>
        <v>0</v>
      </c>
      <c r="CB240" s="90">
        <f ca="1">IF('Get Started  3'!$E28="invested capital",CB239,IF('Get Started  3'!$E28="invested capital plus cost basis",CB238,CB237))*CB11</f>
        <v>0</v>
      </c>
      <c r="CC240" s="90">
        <f ca="1">IF('Get Started  3'!$E28="invested capital",CC239,IF('Get Started  3'!$E28="invested capital plus cost basis",CC238,CC237))*CC11</f>
        <v>0</v>
      </c>
      <c r="CD240" s="90">
        <f ca="1">IF('Get Started  3'!$E28="invested capital",CD239,IF('Get Started  3'!$E28="invested capital plus cost basis",CD238,CD237))*CD11</f>
        <v>0</v>
      </c>
      <c r="CE240" s="90">
        <f ca="1">IF('Get Started  3'!$E28="invested capital",CE239,IF('Get Started  3'!$E28="invested capital plus cost basis",CE238,CE237))*CE11</f>
        <v>0</v>
      </c>
      <c r="CF240" s="90">
        <f ca="1">IF('Get Started  3'!$E28="invested capital",CF239,IF('Get Started  3'!$E28="invested capital plus cost basis",CF238,CF237))*CF11</f>
        <v>0</v>
      </c>
      <c r="CG240" s="90">
        <f ca="1">IF('Get Started  3'!$E28="invested capital",CG239,IF('Get Started  3'!$E28="invested capital plus cost basis",CG238,CG237))*CG11</f>
        <v>0</v>
      </c>
      <c r="CH240" s="90">
        <f ca="1">IF('Get Started  3'!$E28="invested capital",CH239,IF('Get Started  3'!$E28="invested capital plus cost basis",CH238,CH237))*CH11</f>
        <v>0</v>
      </c>
    </row>
    <row r="241" spans="1:86" ht="13" outlineLevel="1">
      <c r="A241" s="13"/>
      <c r="B241" s="13" t="s">
        <v>336</v>
      </c>
      <c r="C241" s="13"/>
      <c r="D241" s="13" t="s">
        <v>247</v>
      </c>
      <c r="E241" s="88">
        <f t="shared" si="170"/>
        <v>3.0000000000000016E-2</v>
      </c>
      <c r="F241" s="48"/>
      <c r="G241" s="90">
        <f t="shared" ref="G241:CH241" si="179">F241+G217</f>
        <v>7.5000000000000002E-4</v>
      </c>
      <c r="H241" s="90">
        <f t="shared" si="179"/>
        <v>1.5E-3</v>
      </c>
      <c r="I241" s="90">
        <f t="shared" si="179"/>
        <v>2.2500000000000003E-3</v>
      </c>
      <c r="J241" s="90">
        <f t="shared" si="179"/>
        <v>3.0000000000000001E-3</v>
      </c>
      <c r="K241" s="90">
        <f t="shared" si="179"/>
        <v>3.7499999999999999E-3</v>
      </c>
      <c r="L241" s="90">
        <f t="shared" si="179"/>
        <v>4.4999999999999997E-3</v>
      </c>
      <c r="M241" s="90">
        <f t="shared" si="179"/>
        <v>5.2499999999999995E-3</v>
      </c>
      <c r="N241" s="90">
        <f t="shared" si="179"/>
        <v>5.9999999999999993E-3</v>
      </c>
      <c r="O241" s="90">
        <f t="shared" si="179"/>
        <v>6.7499999999999991E-3</v>
      </c>
      <c r="P241" s="90">
        <f t="shared" si="179"/>
        <v>7.4999999999999989E-3</v>
      </c>
      <c r="Q241" s="90">
        <f t="shared" si="179"/>
        <v>8.2499999999999987E-3</v>
      </c>
      <c r="R241" s="90">
        <f t="shared" si="179"/>
        <v>8.9999999999999993E-3</v>
      </c>
      <c r="S241" s="90">
        <f t="shared" si="179"/>
        <v>9.75E-3</v>
      </c>
      <c r="T241" s="90">
        <f t="shared" si="179"/>
        <v>1.0500000000000001E-2</v>
      </c>
      <c r="U241" s="90">
        <f t="shared" si="179"/>
        <v>1.1250000000000001E-2</v>
      </c>
      <c r="V241" s="90">
        <f t="shared" si="179"/>
        <v>1.2000000000000002E-2</v>
      </c>
      <c r="W241" s="90">
        <f t="shared" si="179"/>
        <v>1.2750000000000003E-2</v>
      </c>
      <c r="X241" s="90">
        <f t="shared" si="179"/>
        <v>1.3500000000000003E-2</v>
      </c>
      <c r="Y241" s="90">
        <f t="shared" si="179"/>
        <v>1.4250000000000004E-2</v>
      </c>
      <c r="Z241" s="90">
        <f t="shared" si="179"/>
        <v>1.5000000000000005E-2</v>
      </c>
      <c r="AA241" s="90">
        <f t="shared" si="179"/>
        <v>1.5750000000000004E-2</v>
      </c>
      <c r="AB241" s="90">
        <f t="shared" si="179"/>
        <v>1.6500000000000004E-2</v>
      </c>
      <c r="AC241" s="90">
        <f t="shared" si="179"/>
        <v>1.7250000000000005E-2</v>
      </c>
      <c r="AD241" s="90">
        <f t="shared" si="179"/>
        <v>1.8000000000000006E-2</v>
      </c>
      <c r="AE241" s="90">
        <f t="shared" si="179"/>
        <v>1.8750000000000006E-2</v>
      </c>
      <c r="AF241" s="90">
        <f t="shared" si="179"/>
        <v>1.9500000000000007E-2</v>
      </c>
      <c r="AG241" s="90">
        <f t="shared" si="179"/>
        <v>2.0250000000000008E-2</v>
      </c>
      <c r="AH241" s="90">
        <f t="shared" si="179"/>
        <v>2.1000000000000008E-2</v>
      </c>
      <c r="AI241" s="90">
        <f t="shared" si="179"/>
        <v>2.1750000000000009E-2</v>
      </c>
      <c r="AJ241" s="90">
        <f t="shared" si="179"/>
        <v>2.250000000000001E-2</v>
      </c>
      <c r="AK241" s="90">
        <f t="shared" si="179"/>
        <v>2.325000000000001E-2</v>
      </c>
      <c r="AL241" s="90">
        <f t="shared" si="179"/>
        <v>2.4000000000000011E-2</v>
      </c>
      <c r="AM241" s="90">
        <f t="shared" si="179"/>
        <v>2.4750000000000012E-2</v>
      </c>
      <c r="AN241" s="90">
        <f t="shared" si="179"/>
        <v>2.5500000000000012E-2</v>
      </c>
      <c r="AO241" s="90">
        <f t="shared" si="179"/>
        <v>2.6250000000000013E-2</v>
      </c>
      <c r="AP241" s="90">
        <f t="shared" si="179"/>
        <v>2.7000000000000014E-2</v>
      </c>
      <c r="AQ241" s="90">
        <f t="shared" si="179"/>
        <v>2.7750000000000014E-2</v>
      </c>
      <c r="AR241" s="90">
        <f t="shared" si="179"/>
        <v>2.8500000000000015E-2</v>
      </c>
      <c r="AS241" s="90">
        <f t="shared" si="179"/>
        <v>2.9250000000000016E-2</v>
      </c>
      <c r="AT241" s="90">
        <f t="shared" si="179"/>
        <v>3.0000000000000016E-2</v>
      </c>
      <c r="AU241" s="90">
        <f t="shared" si="179"/>
        <v>3.0000000000000016E-2</v>
      </c>
      <c r="AV241" s="90">
        <f t="shared" si="179"/>
        <v>3.0000000000000016E-2</v>
      </c>
      <c r="AW241" s="90">
        <f t="shared" si="179"/>
        <v>3.0000000000000016E-2</v>
      </c>
      <c r="AX241" s="90">
        <f t="shared" si="179"/>
        <v>3.0000000000000016E-2</v>
      </c>
      <c r="AY241" s="90">
        <f t="shared" si="179"/>
        <v>3.0000000000000016E-2</v>
      </c>
      <c r="AZ241" s="90">
        <f t="shared" si="179"/>
        <v>3.0000000000000016E-2</v>
      </c>
      <c r="BA241" s="90">
        <f t="shared" si="179"/>
        <v>3.0000000000000016E-2</v>
      </c>
      <c r="BB241" s="90">
        <f t="shared" si="179"/>
        <v>3.0000000000000016E-2</v>
      </c>
      <c r="BC241" s="90">
        <f t="shared" si="179"/>
        <v>3.0000000000000016E-2</v>
      </c>
      <c r="BD241" s="90">
        <f t="shared" si="179"/>
        <v>3.0000000000000016E-2</v>
      </c>
      <c r="BE241" s="90">
        <f t="shared" si="179"/>
        <v>3.0000000000000016E-2</v>
      </c>
      <c r="BF241" s="90">
        <f t="shared" si="179"/>
        <v>3.0000000000000016E-2</v>
      </c>
      <c r="BG241" s="90">
        <f t="shared" si="179"/>
        <v>3.0000000000000016E-2</v>
      </c>
      <c r="BH241" s="90">
        <f t="shared" si="179"/>
        <v>3.0000000000000016E-2</v>
      </c>
      <c r="BI241" s="90">
        <f t="shared" si="179"/>
        <v>3.0000000000000016E-2</v>
      </c>
      <c r="BJ241" s="90">
        <f t="shared" si="179"/>
        <v>3.0000000000000016E-2</v>
      </c>
      <c r="BK241" s="90">
        <f t="shared" si="179"/>
        <v>3.0000000000000016E-2</v>
      </c>
      <c r="BL241" s="90">
        <f t="shared" si="179"/>
        <v>3.0000000000000016E-2</v>
      </c>
      <c r="BM241" s="90">
        <f t="shared" si="179"/>
        <v>3.0000000000000016E-2</v>
      </c>
      <c r="BN241" s="90">
        <f t="shared" si="179"/>
        <v>3.0000000000000016E-2</v>
      </c>
      <c r="BO241" s="90">
        <f t="shared" si="179"/>
        <v>3.0000000000000016E-2</v>
      </c>
      <c r="BP241" s="90">
        <f t="shared" si="179"/>
        <v>3.0000000000000016E-2</v>
      </c>
      <c r="BQ241" s="90">
        <f t="shared" si="179"/>
        <v>3.0000000000000016E-2</v>
      </c>
      <c r="BR241" s="90">
        <f t="shared" si="179"/>
        <v>3.0000000000000016E-2</v>
      </c>
      <c r="BS241" s="90">
        <f t="shared" si="179"/>
        <v>3.0000000000000016E-2</v>
      </c>
      <c r="BT241" s="90">
        <f t="shared" si="179"/>
        <v>3.0000000000000016E-2</v>
      </c>
      <c r="BU241" s="90">
        <f t="shared" si="179"/>
        <v>3.0000000000000016E-2</v>
      </c>
      <c r="BV241" s="90">
        <f t="shared" si="179"/>
        <v>3.0000000000000016E-2</v>
      </c>
      <c r="BW241" s="90">
        <f t="shared" si="179"/>
        <v>3.0000000000000016E-2</v>
      </c>
      <c r="BX241" s="90">
        <f t="shared" si="179"/>
        <v>3.0000000000000016E-2</v>
      </c>
      <c r="BY241" s="90">
        <f t="shared" si="179"/>
        <v>3.0000000000000016E-2</v>
      </c>
      <c r="BZ241" s="90">
        <f t="shared" si="179"/>
        <v>3.0000000000000016E-2</v>
      </c>
      <c r="CA241" s="90">
        <f t="shared" si="179"/>
        <v>3.0000000000000016E-2</v>
      </c>
      <c r="CB241" s="90">
        <f t="shared" si="179"/>
        <v>3.0000000000000016E-2</v>
      </c>
      <c r="CC241" s="90">
        <f t="shared" si="179"/>
        <v>3.0000000000000016E-2</v>
      </c>
      <c r="CD241" s="90">
        <f t="shared" si="179"/>
        <v>3.0000000000000016E-2</v>
      </c>
      <c r="CE241" s="90">
        <f t="shared" si="179"/>
        <v>3.0000000000000016E-2</v>
      </c>
      <c r="CF241" s="90">
        <f t="shared" si="179"/>
        <v>3.0000000000000016E-2</v>
      </c>
      <c r="CG241" s="90">
        <f t="shared" si="179"/>
        <v>3.0000000000000016E-2</v>
      </c>
      <c r="CH241" s="90">
        <f t="shared" si="179"/>
        <v>3.0000000000000016E-2</v>
      </c>
    </row>
    <row r="242" spans="1:86" ht="13" outlineLevel="1">
      <c r="A242" s="13"/>
      <c r="B242" s="13" t="str">
        <f t="shared" ref="B242:B243" si="180">"cumulative "&amp;B218</f>
        <v>cumulative management fees</v>
      </c>
      <c r="C242" s="13"/>
      <c r="D242" s="13" t="s">
        <v>247</v>
      </c>
      <c r="E242" s="88">
        <f t="shared" si="170"/>
        <v>0.19599999999999984</v>
      </c>
      <c r="F242" s="48"/>
      <c r="G242" s="90">
        <f t="shared" ref="G242:CH242" si="181">F242+G218</f>
        <v>4.8999999999999998E-3</v>
      </c>
      <c r="H242" s="90">
        <f t="shared" si="181"/>
        <v>9.7999999999999997E-3</v>
      </c>
      <c r="I242" s="90">
        <f t="shared" si="181"/>
        <v>1.47E-2</v>
      </c>
      <c r="J242" s="90">
        <f t="shared" si="181"/>
        <v>1.9599999999999999E-2</v>
      </c>
      <c r="K242" s="90">
        <f t="shared" si="181"/>
        <v>2.4500000000000001E-2</v>
      </c>
      <c r="L242" s="90">
        <f t="shared" si="181"/>
        <v>2.9400000000000003E-2</v>
      </c>
      <c r="M242" s="90">
        <f t="shared" si="181"/>
        <v>3.4300000000000004E-2</v>
      </c>
      <c r="N242" s="90">
        <f t="shared" si="181"/>
        <v>3.9200000000000006E-2</v>
      </c>
      <c r="O242" s="90">
        <f t="shared" si="181"/>
        <v>4.4100000000000007E-2</v>
      </c>
      <c r="P242" s="90">
        <f t="shared" si="181"/>
        <v>4.9000000000000009E-2</v>
      </c>
      <c r="Q242" s="90">
        <f t="shared" si="181"/>
        <v>5.390000000000001E-2</v>
      </c>
      <c r="R242" s="90">
        <f t="shared" si="181"/>
        <v>5.8800000000000012E-2</v>
      </c>
      <c r="S242" s="90">
        <f t="shared" si="181"/>
        <v>6.3700000000000007E-2</v>
      </c>
      <c r="T242" s="90">
        <f t="shared" si="181"/>
        <v>6.8600000000000008E-2</v>
      </c>
      <c r="U242" s="90">
        <f t="shared" si="181"/>
        <v>7.350000000000001E-2</v>
      </c>
      <c r="V242" s="90">
        <f t="shared" si="181"/>
        <v>7.8400000000000011E-2</v>
      </c>
      <c r="W242" s="90">
        <f t="shared" si="181"/>
        <v>8.3300000000000013E-2</v>
      </c>
      <c r="X242" s="90">
        <f t="shared" si="181"/>
        <v>8.8200000000000014E-2</v>
      </c>
      <c r="Y242" s="90">
        <f t="shared" si="181"/>
        <v>9.3100000000000016E-2</v>
      </c>
      <c r="Z242" s="90">
        <f t="shared" si="181"/>
        <v>9.8000000000000018E-2</v>
      </c>
      <c r="AA242" s="90">
        <f t="shared" si="181"/>
        <v>0.10290000000000002</v>
      </c>
      <c r="AB242" s="90">
        <f t="shared" si="181"/>
        <v>0.10780000000000002</v>
      </c>
      <c r="AC242" s="90">
        <f t="shared" si="181"/>
        <v>0.11270000000000002</v>
      </c>
      <c r="AD242" s="90">
        <f t="shared" si="181"/>
        <v>0.11760000000000002</v>
      </c>
      <c r="AE242" s="90">
        <f t="shared" si="181"/>
        <v>0.12250000000000003</v>
      </c>
      <c r="AF242" s="90">
        <f t="shared" si="181"/>
        <v>0.12740000000000001</v>
      </c>
      <c r="AG242" s="90">
        <f t="shared" si="181"/>
        <v>0.1323</v>
      </c>
      <c r="AH242" s="90">
        <f t="shared" si="181"/>
        <v>0.13719999999999999</v>
      </c>
      <c r="AI242" s="90">
        <f t="shared" si="181"/>
        <v>0.14209999999999998</v>
      </c>
      <c r="AJ242" s="90">
        <f t="shared" si="181"/>
        <v>0.14699999999999996</v>
      </c>
      <c r="AK242" s="90">
        <f t="shared" si="181"/>
        <v>0.15189999999999995</v>
      </c>
      <c r="AL242" s="90">
        <f t="shared" si="181"/>
        <v>0.15679999999999994</v>
      </c>
      <c r="AM242" s="90">
        <f t="shared" si="181"/>
        <v>0.16169999999999993</v>
      </c>
      <c r="AN242" s="90">
        <f t="shared" si="181"/>
        <v>0.16659999999999991</v>
      </c>
      <c r="AO242" s="90">
        <f t="shared" si="181"/>
        <v>0.1714999999999999</v>
      </c>
      <c r="AP242" s="90">
        <f t="shared" si="181"/>
        <v>0.17639999999999989</v>
      </c>
      <c r="AQ242" s="90">
        <f t="shared" si="181"/>
        <v>0.18129999999999988</v>
      </c>
      <c r="AR242" s="90">
        <f t="shared" si="181"/>
        <v>0.18619999999999987</v>
      </c>
      <c r="AS242" s="90">
        <f t="shared" si="181"/>
        <v>0.19109999999999985</v>
      </c>
      <c r="AT242" s="90">
        <f t="shared" si="181"/>
        <v>0.19599999999999984</v>
      </c>
      <c r="AU242" s="90">
        <f t="shared" si="181"/>
        <v>0.19599999999999984</v>
      </c>
      <c r="AV242" s="90">
        <f t="shared" si="181"/>
        <v>0.19599999999999984</v>
      </c>
      <c r="AW242" s="90">
        <f t="shared" si="181"/>
        <v>0.19599999999999984</v>
      </c>
      <c r="AX242" s="90">
        <f t="shared" si="181"/>
        <v>0.19599999999999984</v>
      </c>
      <c r="AY242" s="90">
        <f t="shared" si="181"/>
        <v>0.19599999999999984</v>
      </c>
      <c r="AZ242" s="90">
        <f t="shared" si="181"/>
        <v>0.19599999999999984</v>
      </c>
      <c r="BA242" s="90">
        <f t="shared" si="181"/>
        <v>0.19599999999999984</v>
      </c>
      <c r="BB242" s="90">
        <f t="shared" si="181"/>
        <v>0.19599999999999984</v>
      </c>
      <c r="BC242" s="90">
        <f t="shared" si="181"/>
        <v>0.19599999999999984</v>
      </c>
      <c r="BD242" s="90">
        <f t="shared" si="181"/>
        <v>0.19599999999999984</v>
      </c>
      <c r="BE242" s="90">
        <f t="shared" si="181"/>
        <v>0.19599999999999984</v>
      </c>
      <c r="BF242" s="90">
        <f t="shared" si="181"/>
        <v>0.19599999999999984</v>
      </c>
      <c r="BG242" s="90">
        <f t="shared" si="181"/>
        <v>0.19599999999999984</v>
      </c>
      <c r="BH242" s="90">
        <f t="shared" si="181"/>
        <v>0.19599999999999984</v>
      </c>
      <c r="BI242" s="90">
        <f t="shared" si="181"/>
        <v>0.19599999999999984</v>
      </c>
      <c r="BJ242" s="90">
        <f t="shared" si="181"/>
        <v>0.19599999999999984</v>
      </c>
      <c r="BK242" s="90">
        <f t="shared" si="181"/>
        <v>0.19599999999999984</v>
      </c>
      <c r="BL242" s="90">
        <f t="shared" si="181"/>
        <v>0.19599999999999984</v>
      </c>
      <c r="BM242" s="90">
        <f t="shared" si="181"/>
        <v>0.19599999999999984</v>
      </c>
      <c r="BN242" s="90">
        <f t="shared" si="181"/>
        <v>0.19599999999999984</v>
      </c>
      <c r="BO242" s="90">
        <f t="shared" si="181"/>
        <v>0.19599999999999984</v>
      </c>
      <c r="BP242" s="90">
        <f t="shared" si="181"/>
        <v>0.19599999999999984</v>
      </c>
      <c r="BQ242" s="90">
        <f t="shared" si="181"/>
        <v>0.19599999999999984</v>
      </c>
      <c r="BR242" s="90">
        <f t="shared" si="181"/>
        <v>0.19599999999999984</v>
      </c>
      <c r="BS242" s="90">
        <f t="shared" si="181"/>
        <v>0.19599999999999984</v>
      </c>
      <c r="BT242" s="90">
        <f t="shared" si="181"/>
        <v>0.19599999999999984</v>
      </c>
      <c r="BU242" s="90">
        <f t="shared" si="181"/>
        <v>0.19599999999999984</v>
      </c>
      <c r="BV242" s="90">
        <f t="shared" si="181"/>
        <v>0.19599999999999984</v>
      </c>
      <c r="BW242" s="90">
        <f t="shared" si="181"/>
        <v>0.19599999999999984</v>
      </c>
      <c r="BX242" s="90">
        <f t="shared" si="181"/>
        <v>0.19599999999999984</v>
      </c>
      <c r="BY242" s="90">
        <f t="shared" si="181"/>
        <v>0.19599999999999984</v>
      </c>
      <c r="BZ242" s="90">
        <f t="shared" si="181"/>
        <v>0.19599999999999984</v>
      </c>
      <c r="CA242" s="90">
        <f t="shared" si="181"/>
        <v>0.19599999999999984</v>
      </c>
      <c r="CB242" s="90">
        <f t="shared" si="181"/>
        <v>0.19599999999999984</v>
      </c>
      <c r="CC242" s="90">
        <f t="shared" si="181"/>
        <v>0.19599999999999984</v>
      </c>
      <c r="CD242" s="90">
        <f t="shared" si="181"/>
        <v>0.19599999999999984</v>
      </c>
      <c r="CE242" s="90">
        <f t="shared" si="181"/>
        <v>0.19599999999999984</v>
      </c>
      <c r="CF242" s="90">
        <f t="shared" si="181"/>
        <v>0.19599999999999984</v>
      </c>
      <c r="CG242" s="90">
        <f t="shared" si="181"/>
        <v>0.19599999999999984</v>
      </c>
      <c r="CH242" s="90">
        <f t="shared" si="181"/>
        <v>0.19599999999999984</v>
      </c>
    </row>
    <row r="243" spans="1:86" ht="13" outlineLevel="1">
      <c r="A243" s="13"/>
      <c r="B243" s="13" t="str">
        <f t="shared" si="180"/>
        <v>cumulative proceeds recycled</v>
      </c>
      <c r="C243" s="13"/>
      <c r="D243" s="13" t="s">
        <v>247</v>
      </c>
      <c r="E243" s="88">
        <f t="shared" ca="1" si="170"/>
        <v>3.2083333333333346E-2</v>
      </c>
      <c r="F243" s="48"/>
      <c r="G243" s="90">
        <f t="shared" ref="G243:CH243" ca="1" si="182">F243+G219</f>
        <v>0</v>
      </c>
      <c r="H243" s="90">
        <f t="shared" ca="1" si="182"/>
        <v>0</v>
      </c>
      <c r="I243" s="90">
        <f t="shared" ca="1" si="182"/>
        <v>0</v>
      </c>
      <c r="J243" s="90">
        <f t="shared" ca="1" si="182"/>
        <v>0</v>
      </c>
      <c r="K243" s="90">
        <f t="shared" ca="1" si="182"/>
        <v>0</v>
      </c>
      <c r="L243" s="90">
        <f t="shared" ca="1" si="182"/>
        <v>0</v>
      </c>
      <c r="M243" s="90">
        <f t="shared" ca="1" si="182"/>
        <v>0</v>
      </c>
      <c r="N243" s="90">
        <f t="shared" ca="1" si="182"/>
        <v>0</v>
      </c>
      <c r="O243" s="90">
        <f t="shared" ca="1" si="182"/>
        <v>0</v>
      </c>
      <c r="P243" s="90">
        <f t="shared" ca="1" si="182"/>
        <v>0</v>
      </c>
      <c r="Q243" s="90">
        <f t="shared" ca="1" si="182"/>
        <v>0</v>
      </c>
      <c r="R243" s="90">
        <f t="shared" ca="1" si="182"/>
        <v>0</v>
      </c>
      <c r="S243" s="90">
        <f t="shared" ca="1" si="182"/>
        <v>8.0208333333333364E-3</v>
      </c>
      <c r="T243" s="90">
        <f t="shared" ca="1" si="182"/>
        <v>1.6041666666666673E-2</v>
      </c>
      <c r="U243" s="90">
        <f t="shared" ca="1" si="182"/>
        <v>2.4062500000000007E-2</v>
      </c>
      <c r="V243" s="90">
        <f t="shared" ca="1" si="182"/>
        <v>3.2083333333333346E-2</v>
      </c>
      <c r="W243" s="90">
        <f t="shared" ca="1" si="182"/>
        <v>3.2083333333333346E-2</v>
      </c>
      <c r="X243" s="90">
        <f t="shared" ca="1" si="182"/>
        <v>3.2083333333333346E-2</v>
      </c>
      <c r="Y243" s="90">
        <f t="shared" ca="1" si="182"/>
        <v>3.2083333333333346E-2</v>
      </c>
      <c r="Z243" s="90">
        <f t="shared" ca="1" si="182"/>
        <v>3.2083333333333346E-2</v>
      </c>
      <c r="AA243" s="90">
        <f t="shared" ca="1" si="182"/>
        <v>3.2083333333333346E-2</v>
      </c>
      <c r="AB243" s="90">
        <f t="shared" ca="1" si="182"/>
        <v>3.2083333333333346E-2</v>
      </c>
      <c r="AC243" s="90">
        <f t="shared" ca="1" si="182"/>
        <v>3.2083333333333346E-2</v>
      </c>
      <c r="AD243" s="90">
        <f t="shared" ca="1" si="182"/>
        <v>3.2083333333333346E-2</v>
      </c>
      <c r="AE243" s="90">
        <f t="shared" ca="1" si="182"/>
        <v>3.2083333333333346E-2</v>
      </c>
      <c r="AF243" s="90">
        <f t="shared" ca="1" si="182"/>
        <v>3.2083333333333346E-2</v>
      </c>
      <c r="AG243" s="90">
        <f t="shared" ca="1" si="182"/>
        <v>3.2083333333333346E-2</v>
      </c>
      <c r="AH243" s="90">
        <f t="shared" ca="1" si="182"/>
        <v>3.2083333333333346E-2</v>
      </c>
      <c r="AI243" s="90">
        <f t="shared" ca="1" si="182"/>
        <v>3.2083333333333346E-2</v>
      </c>
      <c r="AJ243" s="90">
        <f t="shared" ca="1" si="182"/>
        <v>3.2083333333333346E-2</v>
      </c>
      <c r="AK243" s="90">
        <f t="shared" ca="1" si="182"/>
        <v>3.2083333333333346E-2</v>
      </c>
      <c r="AL243" s="90">
        <f t="shared" ca="1" si="182"/>
        <v>3.2083333333333346E-2</v>
      </c>
      <c r="AM243" s="90">
        <f t="shared" ca="1" si="182"/>
        <v>3.2083333333333346E-2</v>
      </c>
      <c r="AN243" s="90">
        <f t="shared" ca="1" si="182"/>
        <v>3.2083333333333346E-2</v>
      </c>
      <c r="AO243" s="90">
        <f t="shared" ca="1" si="182"/>
        <v>3.2083333333333346E-2</v>
      </c>
      <c r="AP243" s="90">
        <f t="shared" ca="1" si="182"/>
        <v>3.2083333333333346E-2</v>
      </c>
      <c r="AQ243" s="90">
        <f t="shared" ca="1" si="182"/>
        <v>3.2083333333333346E-2</v>
      </c>
      <c r="AR243" s="90">
        <f t="shared" ca="1" si="182"/>
        <v>3.2083333333333346E-2</v>
      </c>
      <c r="AS243" s="90">
        <f t="shared" ca="1" si="182"/>
        <v>3.2083333333333346E-2</v>
      </c>
      <c r="AT243" s="90">
        <f t="shared" ca="1" si="182"/>
        <v>3.2083333333333346E-2</v>
      </c>
      <c r="AU243" s="90">
        <f t="shared" ca="1" si="182"/>
        <v>3.2083333333333346E-2</v>
      </c>
      <c r="AV243" s="90">
        <f t="shared" ca="1" si="182"/>
        <v>3.2083333333333346E-2</v>
      </c>
      <c r="AW243" s="90">
        <f t="shared" ca="1" si="182"/>
        <v>3.2083333333333346E-2</v>
      </c>
      <c r="AX243" s="90">
        <f t="shared" ca="1" si="182"/>
        <v>3.2083333333333346E-2</v>
      </c>
      <c r="AY243" s="90">
        <f t="shared" ca="1" si="182"/>
        <v>3.2083333333333346E-2</v>
      </c>
      <c r="AZ243" s="90">
        <f t="shared" ca="1" si="182"/>
        <v>3.2083333333333346E-2</v>
      </c>
      <c r="BA243" s="90">
        <f t="shared" ca="1" si="182"/>
        <v>3.2083333333333346E-2</v>
      </c>
      <c r="BB243" s="90">
        <f t="shared" ca="1" si="182"/>
        <v>3.2083333333333346E-2</v>
      </c>
      <c r="BC243" s="90">
        <f t="shared" ca="1" si="182"/>
        <v>3.2083333333333346E-2</v>
      </c>
      <c r="BD243" s="90">
        <f t="shared" ca="1" si="182"/>
        <v>3.2083333333333346E-2</v>
      </c>
      <c r="BE243" s="90">
        <f t="shared" ca="1" si="182"/>
        <v>3.2083333333333346E-2</v>
      </c>
      <c r="BF243" s="90">
        <f t="shared" ca="1" si="182"/>
        <v>3.2083333333333346E-2</v>
      </c>
      <c r="BG243" s="90">
        <f t="shared" ca="1" si="182"/>
        <v>3.2083333333333346E-2</v>
      </c>
      <c r="BH243" s="90">
        <f t="shared" ca="1" si="182"/>
        <v>3.2083333333333346E-2</v>
      </c>
      <c r="BI243" s="90">
        <f t="shared" ca="1" si="182"/>
        <v>3.2083333333333346E-2</v>
      </c>
      <c r="BJ243" s="90">
        <f t="shared" ca="1" si="182"/>
        <v>3.2083333333333346E-2</v>
      </c>
      <c r="BK243" s="90">
        <f t="shared" ca="1" si="182"/>
        <v>3.2083333333333346E-2</v>
      </c>
      <c r="BL243" s="90">
        <f t="shared" ca="1" si="182"/>
        <v>3.2083333333333346E-2</v>
      </c>
      <c r="BM243" s="90">
        <f t="shared" ca="1" si="182"/>
        <v>3.2083333333333346E-2</v>
      </c>
      <c r="BN243" s="90">
        <f t="shared" ca="1" si="182"/>
        <v>3.2083333333333346E-2</v>
      </c>
      <c r="BO243" s="90">
        <f t="shared" ca="1" si="182"/>
        <v>3.2083333333333346E-2</v>
      </c>
      <c r="BP243" s="90">
        <f t="shared" ca="1" si="182"/>
        <v>3.2083333333333346E-2</v>
      </c>
      <c r="BQ243" s="90">
        <f t="shared" ca="1" si="182"/>
        <v>3.2083333333333346E-2</v>
      </c>
      <c r="BR243" s="90">
        <f t="shared" ca="1" si="182"/>
        <v>3.2083333333333346E-2</v>
      </c>
      <c r="BS243" s="90">
        <f t="shared" ca="1" si="182"/>
        <v>3.2083333333333346E-2</v>
      </c>
      <c r="BT243" s="90">
        <f t="shared" ca="1" si="182"/>
        <v>3.2083333333333346E-2</v>
      </c>
      <c r="BU243" s="90">
        <f t="shared" ca="1" si="182"/>
        <v>3.2083333333333346E-2</v>
      </c>
      <c r="BV243" s="90">
        <f t="shared" ca="1" si="182"/>
        <v>3.2083333333333346E-2</v>
      </c>
      <c r="BW243" s="90">
        <f t="shared" ca="1" si="182"/>
        <v>3.2083333333333346E-2</v>
      </c>
      <c r="BX243" s="90">
        <f t="shared" ca="1" si="182"/>
        <v>3.2083333333333346E-2</v>
      </c>
      <c r="BY243" s="90">
        <f t="shared" ca="1" si="182"/>
        <v>3.2083333333333346E-2</v>
      </c>
      <c r="BZ243" s="90">
        <f t="shared" ca="1" si="182"/>
        <v>3.2083333333333346E-2</v>
      </c>
      <c r="CA243" s="90">
        <f t="shared" ca="1" si="182"/>
        <v>3.2083333333333346E-2</v>
      </c>
      <c r="CB243" s="90">
        <f t="shared" ca="1" si="182"/>
        <v>3.2083333333333346E-2</v>
      </c>
      <c r="CC243" s="90">
        <f t="shared" ca="1" si="182"/>
        <v>3.2083333333333346E-2</v>
      </c>
      <c r="CD243" s="90">
        <f t="shared" ca="1" si="182"/>
        <v>3.2083333333333346E-2</v>
      </c>
      <c r="CE243" s="90">
        <f t="shared" ca="1" si="182"/>
        <v>3.2083333333333346E-2</v>
      </c>
      <c r="CF243" s="90">
        <f t="shared" ca="1" si="182"/>
        <v>3.2083333333333346E-2</v>
      </c>
      <c r="CG243" s="90">
        <f t="shared" ca="1" si="182"/>
        <v>3.2083333333333346E-2</v>
      </c>
      <c r="CH243" s="90">
        <f t="shared" ca="1" si="182"/>
        <v>3.2083333333333346E-2</v>
      </c>
    </row>
    <row r="244" spans="1:86" ht="13" outlineLevel="1">
      <c r="A244" s="13"/>
      <c r="B244" s="13"/>
      <c r="C244" s="13"/>
      <c r="D244" s="13"/>
      <c r="E244" s="91"/>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row>
    <row r="245" spans="1:86" ht="13" outlineLevel="1">
      <c r="A245" s="13"/>
      <c r="B245" s="44" t="s">
        <v>337</v>
      </c>
      <c r="C245" s="13"/>
      <c r="D245" s="13"/>
      <c r="E245" s="48"/>
      <c r="F245" s="48"/>
      <c r="G245" s="89"/>
      <c r="H245" s="89"/>
      <c r="I245" s="89"/>
      <c r="J245" s="89"/>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row>
    <row r="246" spans="1:86" ht="13" outlineLevel="1">
      <c r="A246" s="13"/>
      <c r="B246" s="13" t="s">
        <v>328</v>
      </c>
      <c r="C246" s="13"/>
      <c r="D246" s="13" t="s">
        <v>238</v>
      </c>
      <c r="E246" s="88">
        <f t="shared" ref="E246:E267" si="183">IF(D246="sum",SUM(G246:CH246),IF(D246="final",CH246,IF(D246="initial",G246,IF(D246="average",AVERAGE(G246:CH246),0))))</f>
        <v>0.56666666666666654</v>
      </c>
      <c r="F246" s="48"/>
      <c r="G246" s="52">
        <f>G8*G8/$E8*'Get Started  3'!$E82</f>
        <v>3.5416666666666666E-2</v>
      </c>
      <c r="H246" s="52">
        <f>H8*H8/$E8*'Get Started  3'!$E82</f>
        <v>3.5416666666666666E-2</v>
      </c>
      <c r="I246" s="52">
        <f>I8*I8/$E8*'Get Started  3'!$E82</f>
        <v>3.5416666666666666E-2</v>
      </c>
      <c r="J246" s="52">
        <f>J8*J8/$E8*'Get Started  3'!$E82</f>
        <v>3.5416666666666666E-2</v>
      </c>
      <c r="K246" s="52">
        <f>K8*K8/$E8*'Get Started  3'!$E82</f>
        <v>3.5416666666666666E-2</v>
      </c>
      <c r="L246" s="52">
        <f>L8*L8/$E8*'Get Started  3'!$E82</f>
        <v>3.5416666666666666E-2</v>
      </c>
      <c r="M246" s="52">
        <f>M8*M8/$E8*'Get Started  3'!$E82</f>
        <v>3.5416666666666666E-2</v>
      </c>
      <c r="N246" s="52">
        <f>N8*N8/$E8*'Get Started  3'!$E82</f>
        <v>3.5416666666666666E-2</v>
      </c>
      <c r="O246" s="52">
        <f>O8*O8/$E8*'Get Started  3'!$E82</f>
        <v>3.5416666666666666E-2</v>
      </c>
      <c r="P246" s="52">
        <f>P8*P8/$E8*'Get Started  3'!$E82</f>
        <v>3.5416666666666666E-2</v>
      </c>
      <c r="Q246" s="52">
        <f>Q8*Q8/$E8*'Get Started  3'!$E82</f>
        <v>3.5416666666666666E-2</v>
      </c>
      <c r="R246" s="52">
        <f>R8*R8/$E8*'Get Started  3'!$E82</f>
        <v>3.5416666666666666E-2</v>
      </c>
      <c r="S246" s="52">
        <f>S8*S8/$E8*'Get Started  3'!$E82</f>
        <v>3.5416666666666666E-2</v>
      </c>
      <c r="T246" s="52">
        <f>T8*T8/$E8*'Get Started  3'!$E82</f>
        <v>3.5416666666666666E-2</v>
      </c>
      <c r="U246" s="52">
        <f>U8*U8/$E8*'Get Started  3'!$E82</f>
        <v>3.5416666666666666E-2</v>
      </c>
      <c r="V246" s="52">
        <f>V8*V8/$E8*'Get Started  3'!$E82</f>
        <v>3.5416666666666666E-2</v>
      </c>
      <c r="W246" s="52">
        <f>W8*W8/$E8*'Get Started  3'!$E82</f>
        <v>0</v>
      </c>
      <c r="X246" s="52">
        <f>X8*X8/$E8*'Get Started  3'!$E82</f>
        <v>0</v>
      </c>
      <c r="Y246" s="52">
        <f>Y8*Y8/$E8*'Get Started  3'!$E82</f>
        <v>0</v>
      </c>
      <c r="Z246" s="52">
        <f>Z8*Z8/$E8*'Get Started  3'!$E82</f>
        <v>0</v>
      </c>
      <c r="AA246" s="52">
        <f>AA8*AA8/$E8*'Get Started  3'!$E82</f>
        <v>0</v>
      </c>
      <c r="AB246" s="52">
        <f>AB8*AB8/$E8*'Get Started  3'!$E82</f>
        <v>0</v>
      </c>
      <c r="AC246" s="52">
        <f>AC8*AC8/$E8*'Get Started  3'!$E82</f>
        <v>0</v>
      </c>
      <c r="AD246" s="52">
        <f>AD8*AD8/$E8*'Get Started  3'!$E82</f>
        <v>0</v>
      </c>
      <c r="AE246" s="52">
        <f>AE8*AE8/$E8*'Get Started  3'!$E82</f>
        <v>0</v>
      </c>
      <c r="AF246" s="52">
        <f>AF8*AF8/$E8*'Get Started  3'!$E82</f>
        <v>0</v>
      </c>
      <c r="AG246" s="52">
        <f>AG8*AG8/$E8*'Get Started  3'!$E82</f>
        <v>0</v>
      </c>
      <c r="AH246" s="52">
        <f>AH8*AH8/$E8*'Get Started  3'!$E82</f>
        <v>0</v>
      </c>
      <c r="AI246" s="52">
        <f>AI8*AI8/$E8*'Get Started  3'!$E82</f>
        <v>0</v>
      </c>
      <c r="AJ246" s="52">
        <f>AJ8*AJ8/$E8*'Get Started  3'!$E82</f>
        <v>0</v>
      </c>
      <c r="AK246" s="52">
        <f>AK8*AK8/$E8*'Get Started  3'!$E82</f>
        <v>0</v>
      </c>
      <c r="AL246" s="52">
        <f>AL8*AL8/$E8*'Get Started  3'!$E82</f>
        <v>0</v>
      </c>
      <c r="AM246" s="52">
        <f>AM8*AM8/$E8*'Get Started  3'!$E82</f>
        <v>0</v>
      </c>
      <c r="AN246" s="52">
        <f>AN8*AN8/$E8*'Get Started  3'!$E82</f>
        <v>0</v>
      </c>
      <c r="AO246" s="52">
        <f>AO8*AO8/$E8*'Get Started  3'!$E82</f>
        <v>0</v>
      </c>
      <c r="AP246" s="52">
        <f>AP8*AP8/$E8*'Get Started  3'!$E82</f>
        <v>0</v>
      </c>
      <c r="AQ246" s="52">
        <f>AQ8*AQ8/$E8*'Get Started  3'!$E82</f>
        <v>0</v>
      </c>
      <c r="AR246" s="52">
        <f>AR8*AR8/$E8*'Get Started  3'!$E82</f>
        <v>0</v>
      </c>
      <c r="AS246" s="52">
        <f>AS8*AS8/$E8*'Get Started  3'!$E82</f>
        <v>0</v>
      </c>
      <c r="AT246" s="52">
        <f>AT8*AT8/$E8*'Get Started  3'!$E82</f>
        <v>0</v>
      </c>
      <c r="AU246" s="52">
        <f>AU8*AU8/$E8*'Get Started  3'!$E82</f>
        <v>0</v>
      </c>
      <c r="AV246" s="52">
        <f>AV8*AV8/$E8*'Get Started  3'!$E82</f>
        <v>0</v>
      </c>
      <c r="AW246" s="52">
        <f>AW8*AW8/$E8*'Get Started  3'!$E82</f>
        <v>0</v>
      </c>
      <c r="AX246" s="52">
        <f>AX8*AX8/$E8*'Get Started  3'!$E82</f>
        <v>0</v>
      </c>
      <c r="AY246" s="52">
        <f>AY8*AY8/$E8*'Get Started  3'!$E82</f>
        <v>0</v>
      </c>
      <c r="AZ246" s="52">
        <f>AZ8*AZ8/$E8*'Get Started  3'!$E82</f>
        <v>0</v>
      </c>
      <c r="BA246" s="52">
        <f>BA8*BA8/$E8*'Get Started  3'!$E82</f>
        <v>0</v>
      </c>
      <c r="BB246" s="52">
        <f>BB8*BB8/$E8*'Get Started  3'!$E82</f>
        <v>0</v>
      </c>
      <c r="BC246" s="52">
        <f>BC8*BC8/$E8*'Get Started  3'!$E82</f>
        <v>0</v>
      </c>
      <c r="BD246" s="52">
        <f>BD8*BD8/$E8*'Get Started  3'!$E82</f>
        <v>0</v>
      </c>
      <c r="BE246" s="52">
        <f>BE8*BE8/$E8*'Get Started  3'!$E82</f>
        <v>0</v>
      </c>
      <c r="BF246" s="52">
        <f>BF8*BF8/$E8*'Get Started  3'!$E82</f>
        <v>0</v>
      </c>
      <c r="BG246" s="52">
        <f>BG8*BG8/$E8*'Get Started  3'!$E82</f>
        <v>0</v>
      </c>
      <c r="BH246" s="52">
        <f>BH8*BH8/$E8*'Get Started  3'!$E82</f>
        <v>0</v>
      </c>
      <c r="BI246" s="52">
        <f>BI8*BI8/$E8*'Get Started  3'!$E82</f>
        <v>0</v>
      </c>
      <c r="BJ246" s="52">
        <f>BJ8*BJ8/$E8*'Get Started  3'!$E82</f>
        <v>0</v>
      </c>
      <c r="BK246" s="52">
        <f>BK8*BK8/$E8*'Get Started  3'!$E82</f>
        <v>0</v>
      </c>
      <c r="BL246" s="52">
        <f>BL8*BL8/$E8*'Get Started  3'!$E82</f>
        <v>0</v>
      </c>
      <c r="BM246" s="52">
        <f>BM8*BM8/$E8*'Get Started  3'!$E82</f>
        <v>0</v>
      </c>
      <c r="BN246" s="52">
        <f>BN8*BN8/$E8*'Get Started  3'!$E82</f>
        <v>0</v>
      </c>
      <c r="BO246" s="52">
        <f>BO8*BO8/$E8*'Get Started  3'!$E82</f>
        <v>0</v>
      </c>
      <c r="BP246" s="52">
        <f>BP8*BP8/$E8*'Get Started  3'!$E82</f>
        <v>0</v>
      </c>
      <c r="BQ246" s="52">
        <f>BQ8*BQ8/$E8*'Get Started  3'!$E82</f>
        <v>0</v>
      </c>
      <c r="BR246" s="52">
        <f>BR8*BR8/$E8*'Get Started  3'!$E82</f>
        <v>0</v>
      </c>
      <c r="BS246" s="52">
        <f>BS8*BS8/$E8*'Get Started  3'!$E82</f>
        <v>0</v>
      </c>
      <c r="BT246" s="52">
        <f>BT8*BT8/$E8*'Get Started  3'!$E82</f>
        <v>0</v>
      </c>
      <c r="BU246" s="52">
        <f>BU8*BU8/$E8*'Get Started  3'!$E82</f>
        <v>0</v>
      </c>
      <c r="BV246" s="52">
        <f>BV8*BV8/$E8*'Get Started  3'!$E82</f>
        <v>0</v>
      </c>
      <c r="BW246" s="52">
        <f>BW8*BW8/$E8*'Get Started  3'!$E82</f>
        <v>0</v>
      </c>
      <c r="BX246" s="52">
        <f>BX8*BX8/$E8*'Get Started  3'!$E82</f>
        <v>0</v>
      </c>
      <c r="BY246" s="52">
        <f>BY8*BY8/$E8*'Get Started  3'!$E82</f>
        <v>0</v>
      </c>
      <c r="BZ246" s="52">
        <f>BZ8*BZ8/$E8*'Get Started  3'!$E82</f>
        <v>0</v>
      </c>
      <c r="CA246" s="52">
        <f>CA8*CA8/$E8*'Get Started  3'!$E82</f>
        <v>0</v>
      </c>
      <c r="CB246" s="52">
        <f>CB8*CB8/$E8*'Get Started  3'!$E82</f>
        <v>0</v>
      </c>
      <c r="CC246" s="52">
        <f>CC8*CC8/$E8*'Get Started  3'!$E82</f>
        <v>0</v>
      </c>
      <c r="CD246" s="52">
        <f>CD8*CD8/$E8*'Get Started  3'!$E82</f>
        <v>0</v>
      </c>
      <c r="CE246" s="52">
        <f>CE8*CE8/$E8*'Get Started  3'!$E82</f>
        <v>0</v>
      </c>
      <c r="CF246" s="52">
        <f>CF8*CF8/$E8*'Get Started  3'!$E82</f>
        <v>0</v>
      </c>
      <c r="CG246" s="52">
        <f>CG8*CG8/$E8*'Get Started  3'!$E82</f>
        <v>0</v>
      </c>
      <c r="CH246" s="52">
        <f>CH8*CH8/$E8*'Get Started  3'!$E82</f>
        <v>0</v>
      </c>
    </row>
    <row r="247" spans="1:86" ht="13" outlineLevel="1">
      <c r="A247" s="13"/>
      <c r="B247" s="13" t="s">
        <v>328</v>
      </c>
      <c r="C247" s="13"/>
      <c r="D247" s="13" t="s">
        <v>238</v>
      </c>
      <c r="E247" s="88">
        <f t="shared" si="183"/>
        <v>0.16666666666666666</v>
      </c>
      <c r="F247" s="48"/>
      <c r="G247" s="52">
        <f>G8*G8/$E8*'Get Started  3'!$F82</f>
        <v>1.0416666666666668E-2</v>
      </c>
      <c r="H247" s="52">
        <f>H8*H8/$E8*'Get Started  3'!$F82</f>
        <v>1.0416666666666668E-2</v>
      </c>
      <c r="I247" s="52">
        <f>I8*I8/$E8*'Get Started  3'!$F82</f>
        <v>1.0416666666666668E-2</v>
      </c>
      <c r="J247" s="52">
        <f>J8*J8/$E8*'Get Started  3'!$F82</f>
        <v>1.0416666666666668E-2</v>
      </c>
      <c r="K247" s="52">
        <f>K8*K8/$E8*'Get Started  3'!$F82</f>
        <v>1.0416666666666668E-2</v>
      </c>
      <c r="L247" s="52">
        <f>L8*L8/$E8*'Get Started  3'!$F82</f>
        <v>1.0416666666666668E-2</v>
      </c>
      <c r="M247" s="52">
        <f>M8*M8/$E8*'Get Started  3'!$F82</f>
        <v>1.0416666666666668E-2</v>
      </c>
      <c r="N247" s="52">
        <f>N8*N8/$E8*'Get Started  3'!$F82</f>
        <v>1.0416666666666668E-2</v>
      </c>
      <c r="O247" s="52">
        <f>O8*O8/$E8*'Get Started  3'!$F82</f>
        <v>1.0416666666666668E-2</v>
      </c>
      <c r="P247" s="52">
        <f>P8*P8/$E8*'Get Started  3'!$F82</f>
        <v>1.0416666666666668E-2</v>
      </c>
      <c r="Q247" s="52">
        <f>Q8*Q8/$E8*'Get Started  3'!$F82</f>
        <v>1.0416666666666668E-2</v>
      </c>
      <c r="R247" s="52">
        <f>R8*R8/$E8*'Get Started  3'!$F82</f>
        <v>1.0416666666666668E-2</v>
      </c>
      <c r="S247" s="52">
        <f>S8*S8/$E8*'Get Started  3'!$F82</f>
        <v>1.0416666666666668E-2</v>
      </c>
      <c r="T247" s="52">
        <f>T8*T8/$E8*'Get Started  3'!$F82</f>
        <v>1.0416666666666668E-2</v>
      </c>
      <c r="U247" s="52">
        <f>U8*U8/$E8*'Get Started  3'!$F82</f>
        <v>1.0416666666666668E-2</v>
      </c>
      <c r="V247" s="52">
        <f>V8*V8/$E8*'Get Started  3'!$F82</f>
        <v>1.0416666666666668E-2</v>
      </c>
      <c r="W247" s="52">
        <f>W8*W8/$E8*'Get Started  3'!$F82</f>
        <v>0</v>
      </c>
      <c r="X247" s="52">
        <f>X8*X8/$E8*'Get Started  3'!$F82</f>
        <v>0</v>
      </c>
      <c r="Y247" s="52">
        <f>Y8*Y8/$E8*'Get Started  3'!$F82</f>
        <v>0</v>
      </c>
      <c r="Z247" s="52">
        <f>Z8*Z8/$E8*'Get Started  3'!$F82</f>
        <v>0</v>
      </c>
      <c r="AA247" s="52">
        <f>AA8*AA8/$E8*'Get Started  3'!$F82</f>
        <v>0</v>
      </c>
      <c r="AB247" s="52">
        <f>AB8*AB8/$E8*'Get Started  3'!$F82</f>
        <v>0</v>
      </c>
      <c r="AC247" s="52">
        <f>AC8*AC8/$E8*'Get Started  3'!$F82</f>
        <v>0</v>
      </c>
      <c r="AD247" s="52">
        <f>AD8*AD8/$E8*'Get Started  3'!$F82</f>
        <v>0</v>
      </c>
      <c r="AE247" s="52">
        <f>AE8*AE8/$E8*'Get Started  3'!$F82</f>
        <v>0</v>
      </c>
      <c r="AF247" s="52">
        <f>AF8*AF8/$E8*'Get Started  3'!$F82</f>
        <v>0</v>
      </c>
      <c r="AG247" s="52">
        <f>AG8*AG8/$E8*'Get Started  3'!$F82</f>
        <v>0</v>
      </c>
      <c r="AH247" s="52">
        <f>AH8*AH8/$E8*'Get Started  3'!$F82</f>
        <v>0</v>
      </c>
      <c r="AI247" s="52">
        <f>AI8*AI8/$E8*'Get Started  3'!$F82</f>
        <v>0</v>
      </c>
      <c r="AJ247" s="52">
        <f>AJ8*AJ8/$E8*'Get Started  3'!$F82</f>
        <v>0</v>
      </c>
      <c r="AK247" s="52">
        <f>AK8*AK8/$E8*'Get Started  3'!$F82</f>
        <v>0</v>
      </c>
      <c r="AL247" s="52">
        <f>AL8*AL8/$E8*'Get Started  3'!$F82</f>
        <v>0</v>
      </c>
      <c r="AM247" s="52">
        <f>AM8*AM8/$E8*'Get Started  3'!$F82</f>
        <v>0</v>
      </c>
      <c r="AN247" s="52">
        <f>AN8*AN8/$E8*'Get Started  3'!$F82</f>
        <v>0</v>
      </c>
      <c r="AO247" s="52">
        <f>AO8*AO8/$E8*'Get Started  3'!$F82</f>
        <v>0</v>
      </c>
      <c r="AP247" s="52">
        <f>AP8*AP8/$E8*'Get Started  3'!$F82</f>
        <v>0</v>
      </c>
      <c r="AQ247" s="52">
        <f>AQ8*AQ8/$E8*'Get Started  3'!$F82</f>
        <v>0</v>
      </c>
      <c r="AR247" s="52">
        <f>AR8*AR8/$E8*'Get Started  3'!$F82</f>
        <v>0</v>
      </c>
      <c r="AS247" s="52">
        <f>AS8*AS8/$E8*'Get Started  3'!$F82</f>
        <v>0</v>
      </c>
      <c r="AT247" s="52">
        <f>AT8*AT8/$E8*'Get Started  3'!$F82</f>
        <v>0</v>
      </c>
      <c r="AU247" s="52">
        <f>AU8*AU8/$E8*'Get Started  3'!$F82</f>
        <v>0</v>
      </c>
      <c r="AV247" s="52">
        <f>AV8*AV8/$E8*'Get Started  3'!$F82</f>
        <v>0</v>
      </c>
      <c r="AW247" s="52">
        <f>AW8*AW8/$E8*'Get Started  3'!$F82</f>
        <v>0</v>
      </c>
      <c r="AX247" s="52">
        <f>AX8*AX8/$E8*'Get Started  3'!$F82</f>
        <v>0</v>
      </c>
      <c r="AY247" s="52">
        <f>AY8*AY8/$E8*'Get Started  3'!$F82</f>
        <v>0</v>
      </c>
      <c r="AZ247" s="52">
        <f>AZ8*AZ8/$E8*'Get Started  3'!$F82</f>
        <v>0</v>
      </c>
      <c r="BA247" s="52">
        <f>BA8*BA8/$E8*'Get Started  3'!$F82</f>
        <v>0</v>
      </c>
      <c r="BB247" s="52">
        <f>BB8*BB8/$E8*'Get Started  3'!$F82</f>
        <v>0</v>
      </c>
      <c r="BC247" s="52">
        <f>BC8*BC8/$E8*'Get Started  3'!$F82</f>
        <v>0</v>
      </c>
      <c r="BD247" s="52">
        <f>BD8*BD8/$E8*'Get Started  3'!$F82</f>
        <v>0</v>
      </c>
      <c r="BE247" s="52">
        <f>BE8*BE8/$E8*'Get Started  3'!$F82</f>
        <v>0</v>
      </c>
      <c r="BF247" s="52">
        <f>BF8*BF8/$E8*'Get Started  3'!$F82</f>
        <v>0</v>
      </c>
      <c r="BG247" s="52">
        <f>BG8*BG8/$E8*'Get Started  3'!$F82</f>
        <v>0</v>
      </c>
      <c r="BH247" s="52">
        <f>BH8*BH8/$E8*'Get Started  3'!$F82</f>
        <v>0</v>
      </c>
      <c r="BI247" s="52">
        <f>BI8*BI8/$E8*'Get Started  3'!$F82</f>
        <v>0</v>
      </c>
      <c r="BJ247" s="52">
        <f>BJ8*BJ8/$E8*'Get Started  3'!$F82</f>
        <v>0</v>
      </c>
      <c r="BK247" s="52">
        <f>BK8*BK8/$E8*'Get Started  3'!$F82</f>
        <v>0</v>
      </c>
      <c r="BL247" s="52">
        <f>BL8*BL8/$E8*'Get Started  3'!$F82</f>
        <v>0</v>
      </c>
      <c r="BM247" s="52">
        <f>BM8*BM8/$E8*'Get Started  3'!$F82</f>
        <v>0</v>
      </c>
      <c r="BN247" s="52">
        <f>BN8*BN8/$E8*'Get Started  3'!$F82</f>
        <v>0</v>
      </c>
      <c r="BO247" s="52">
        <f>BO8*BO8/$E8*'Get Started  3'!$F82</f>
        <v>0</v>
      </c>
      <c r="BP247" s="52">
        <f>BP8*BP8/$E8*'Get Started  3'!$F82</f>
        <v>0</v>
      </c>
      <c r="BQ247" s="52">
        <f>BQ8*BQ8/$E8*'Get Started  3'!$F82</f>
        <v>0</v>
      </c>
      <c r="BR247" s="52">
        <f>BR8*BR8/$E8*'Get Started  3'!$F82</f>
        <v>0</v>
      </c>
      <c r="BS247" s="52">
        <f>BS8*BS8/$E8*'Get Started  3'!$F82</f>
        <v>0</v>
      </c>
      <c r="BT247" s="52">
        <f>BT8*BT8/$E8*'Get Started  3'!$F82</f>
        <v>0</v>
      </c>
      <c r="BU247" s="52">
        <f>BU8*BU8/$E8*'Get Started  3'!$F82</f>
        <v>0</v>
      </c>
      <c r="BV247" s="52">
        <f>BV8*BV8/$E8*'Get Started  3'!$F82</f>
        <v>0</v>
      </c>
      <c r="BW247" s="52">
        <f>BW8*BW8/$E8*'Get Started  3'!$F82</f>
        <v>0</v>
      </c>
      <c r="BX247" s="52">
        <f>BX8*BX8/$E8*'Get Started  3'!$F82</f>
        <v>0</v>
      </c>
      <c r="BY247" s="52">
        <f>BY8*BY8/$E8*'Get Started  3'!$F82</f>
        <v>0</v>
      </c>
      <c r="BZ247" s="52">
        <f>BZ8*BZ8/$E8*'Get Started  3'!$F82</f>
        <v>0</v>
      </c>
      <c r="CA247" s="52">
        <f>CA8*CA8/$E8*'Get Started  3'!$F82</f>
        <v>0</v>
      </c>
      <c r="CB247" s="52">
        <f>CB8*CB8/$E8*'Get Started  3'!$F82</f>
        <v>0</v>
      </c>
      <c r="CC247" s="52">
        <f>CC8*CC8/$E8*'Get Started  3'!$F82</f>
        <v>0</v>
      </c>
      <c r="CD247" s="52">
        <f>CD8*CD8/$E8*'Get Started  3'!$F82</f>
        <v>0</v>
      </c>
      <c r="CE247" s="52">
        <f>CE8*CE8/$E8*'Get Started  3'!$F82</f>
        <v>0</v>
      </c>
      <c r="CF247" s="52">
        <f>CF8*CF8/$E8*'Get Started  3'!$F82</f>
        <v>0</v>
      </c>
      <c r="CG247" s="52">
        <f>CG8*CG8/$E8*'Get Started  3'!$F82</f>
        <v>0</v>
      </c>
      <c r="CH247" s="52">
        <f>CH8*CH8/$E8*'Get Started  3'!$F82</f>
        <v>0</v>
      </c>
    </row>
    <row r="248" spans="1:86" ht="13" outlineLevel="1">
      <c r="A248" s="13"/>
      <c r="B248" s="13" t="s">
        <v>328</v>
      </c>
      <c r="C248" s="13"/>
      <c r="D248" s="13" t="s">
        <v>238</v>
      </c>
      <c r="E248" s="88">
        <f t="shared" si="183"/>
        <v>6.6666666666666666E-2</v>
      </c>
      <c r="F248" s="48"/>
      <c r="G248" s="52">
        <f>G8*G8/$E8*'Get Started  3'!$G82</f>
        <v>4.1666666666666675E-3</v>
      </c>
      <c r="H248" s="52">
        <f>H8*H8/$E8*'Get Started  3'!$G82</f>
        <v>4.1666666666666675E-3</v>
      </c>
      <c r="I248" s="52">
        <f>I8*I8/$E8*'Get Started  3'!$G82</f>
        <v>4.1666666666666675E-3</v>
      </c>
      <c r="J248" s="52">
        <f>J8*J8/$E8*'Get Started  3'!$G82</f>
        <v>4.1666666666666675E-3</v>
      </c>
      <c r="K248" s="52">
        <f>K8*K8/$E8*'Get Started  3'!$G82</f>
        <v>4.1666666666666675E-3</v>
      </c>
      <c r="L248" s="52">
        <f>L8*L8/$E8*'Get Started  3'!$G82</f>
        <v>4.1666666666666675E-3</v>
      </c>
      <c r="M248" s="52">
        <f>M8*M8/$E8*'Get Started  3'!$G82</f>
        <v>4.1666666666666675E-3</v>
      </c>
      <c r="N248" s="52">
        <f>N8*N8/$E8*'Get Started  3'!$G82</f>
        <v>4.1666666666666675E-3</v>
      </c>
      <c r="O248" s="52">
        <f>O8*O8/$E8*'Get Started  3'!$G82</f>
        <v>4.1666666666666675E-3</v>
      </c>
      <c r="P248" s="52">
        <f>P8*P8/$E8*'Get Started  3'!$G82</f>
        <v>4.1666666666666675E-3</v>
      </c>
      <c r="Q248" s="52">
        <f>Q8*Q8/$E8*'Get Started  3'!$G82</f>
        <v>4.1666666666666675E-3</v>
      </c>
      <c r="R248" s="52">
        <f>R8*R8/$E8*'Get Started  3'!$G82</f>
        <v>4.1666666666666675E-3</v>
      </c>
      <c r="S248" s="52">
        <f>S8*S8/$E8*'Get Started  3'!$G82</f>
        <v>4.1666666666666675E-3</v>
      </c>
      <c r="T248" s="52">
        <f>T8*T8/$E8*'Get Started  3'!$G82</f>
        <v>4.1666666666666675E-3</v>
      </c>
      <c r="U248" s="52">
        <f>U8*U8/$E8*'Get Started  3'!$G82</f>
        <v>4.1666666666666675E-3</v>
      </c>
      <c r="V248" s="52">
        <f>V8*V8/$E8*'Get Started  3'!$G82</f>
        <v>4.1666666666666675E-3</v>
      </c>
      <c r="W248" s="52">
        <f>W8*W8/$E8*'Get Started  3'!$G82</f>
        <v>0</v>
      </c>
      <c r="X248" s="52">
        <f>X8*X8/$E8*'Get Started  3'!$G82</f>
        <v>0</v>
      </c>
      <c r="Y248" s="52">
        <f>Y8*Y8/$E8*'Get Started  3'!$G82</f>
        <v>0</v>
      </c>
      <c r="Z248" s="52">
        <f>Z8*Z8/$E8*'Get Started  3'!$G82</f>
        <v>0</v>
      </c>
      <c r="AA248" s="52">
        <f>AA8*AA8/$E8*'Get Started  3'!$G82</f>
        <v>0</v>
      </c>
      <c r="AB248" s="52">
        <f>AB8*AB8/$E8*'Get Started  3'!$G82</f>
        <v>0</v>
      </c>
      <c r="AC248" s="52">
        <f>AC8*AC8/$E8*'Get Started  3'!$G82</f>
        <v>0</v>
      </c>
      <c r="AD248" s="52">
        <f>AD8*AD8/$E8*'Get Started  3'!$G82</f>
        <v>0</v>
      </c>
      <c r="AE248" s="52">
        <f>AE8*AE8/$E8*'Get Started  3'!$G82</f>
        <v>0</v>
      </c>
      <c r="AF248" s="52">
        <f>AF8*AF8/$E8*'Get Started  3'!$G82</f>
        <v>0</v>
      </c>
      <c r="AG248" s="52">
        <f>AG8*AG8/$E8*'Get Started  3'!$G82</f>
        <v>0</v>
      </c>
      <c r="AH248" s="52">
        <f>AH8*AH8/$E8*'Get Started  3'!$G82</f>
        <v>0</v>
      </c>
      <c r="AI248" s="52">
        <f>AI8*AI8/$E8*'Get Started  3'!$G82</f>
        <v>0</v>
      </c>
      <c r="AJ248" s="52">
        <f>AJ8*AJ8/$E8*'Get Started  3'!$G82</f>
        <v>0</v>
      </c>
      <c r="AK248" s="52">
        <f>AK8*AK8/$E8*'Get Started  3'!$G82</f>
        <v>0</v>
      </c>
      <c r="AL248" s="52">
        <f>AL8*AL8/$E8*'Get Started  3'!$G82</f>
        <v>0</v>
      </c>
      <c r="AM248" s="52">
        <f>AM8*AM8/$E8*'Get Started  3'!$G82</f>
        <v>0</v>
      </c>
      <c r="AN248" s="52">
        <f>AN8*AN8/$E8*'Get Started  3'!$G82</f>
        <v>0</v>
      </c>
      <c r="AO248" s="52">
        <f>AO8*AO8/$E8*'Get Started  3'!$G82</f>
        <v>0</v>
      </c>
      <c r="AP248" s="52">
        <f>AP8*AP8/$E8*'Get Started  3'!$G82</f>
        <v>0</v>
      </c>
      <c r="AQ248" s="52">
        <f>AQ8*AQ8/$E8*'Get Started  3'!$G82</f>
        <v>0</v>
      </c>
      <c r="AR248" s="52">
        <f>AR8*AR8/$E8*'Get Started  3'!$G82</f>
        <v>0</v>
      </c>
      <c r="AS248" s="52">
        <f>AS8*AS8/$E8*'Get Started  3'!$G82</f>
        <v>0</v>
      </c>
      <c r="AT248" s="52">
        <f>AT8*AT8/$E8*'Get Started  3'!$G82</f>
        <v>0</v>
      </c>
      <c r="AU248" s="52">
        <f>AU8*AU8/$E8*'Get Started  3'!$G82</f>
        <v>0</v>
      </c>
      <c r="AV248" s="52">
        <f>AV8*AV8/$E8*'Get Started  3'!$G82</f>
        <v>0</v>
      </c>
      <c r="AW248" s="52">
        <f>AW8*AW8/$E8*'Get Started  3'!$G82</f>
        <v>0</v>
      </c>
      <c r="AX248" s="52">
        <f>AX8*AX8/$E8*'Get Started  3'!$G82</f>
        <v>0</v>
      </c>
      <c r="AY248" s="52">
        <f>AY8*AY8/$E8*'Get Started  3'!$G82</f>
        <v>0</v>
      </c>
      <c r="AZ248" s="52">
        <f>AZ8*AZ8/$E8*'Get Started  3'!$G82</f>
        <v>0</v>
      </c>
      <c r="BA248" s="52">
        <f>BA8*BA8/$E8*'Get Started  3'!$G82</f>
        <v>0</v>
      </c>
      <c r="BB248" s="52">
        <f>BB8*BB8/$E8*'Get Started  3'!$G82</f>
        <v>0</v>
      </c>
      <c r="BC248" s="52">
        <f>BC8*BC8/$E8*'Get Started  3'!$G82</f>
        <v>0</v>
      </c>
      <c r="BD248" s="52">
        <f>BD8*BD8/$E8*'Get Started  3'!$G82</f>
        <v>0</v>
      </c>
      <c r="BE248" s="52">
        <f>BE8*BE8/$E8*'Get Started  3'!$G82</f>
        <v>0</v>
      </c>
      <c r="BF248" s="52">
        <f>BF8*BF8/$E8*'Get Started  3'!$G82</f>
        <v>0</v>
      </c>
      <c r="BG248" s="52">
        <f>BG8*BG8/$E8*'Get Started  3'!$G82</f>
        <v>0</v>
      </c>
      <c r="BH248" s="52">
        <f>BH8*BH8/$E8*'Get Started  3'!$G82</f>
        <v>0</v>
      </c>
      <c r="BI248" s="52">
        <f>BI8*BI8/$E8*'Get Started  3'!$G82</f>
        <v>0</v>
      </c>
      <c r="BJ248" s="52">
        <f>BJ8*BJ8/$E8*'Get Started  3'!$G82</f>
        <v>0</v>
      </c>
      <c r="BK248" s="52">
        <f>BK8*BK8/$E8*'Get Started  3'!$G82</f>
        <v>0</v>
      </c>
      <c r="BL248" s="52">
        <f>BL8*BL8/$E8*'Get Started  3'!$G82</f>
        <v>0</v>
      </c>
      <c r="BM248" s="52">
        <f>BM8*BM8/$E8*'Get Started  3'!$G82</f>
        <v>0</v>
      </c>
      <c r="BN248" s="52">
        <f>BN8*BN8/$E8*'Get Started  3'!$G82</f>
        <v>0</v>
      </c>
      <c r="BO248" s="52">
        <f>BO8*BO8/$E8*'Get Started  3'!$G82</f>
        <v>0</v>
      </c>
      <c r="BP248" s="52">
        <f>BP8*BP8/$E8*'Get Started  3'!$G82</f>
        <v>0</v>
      </c>
      <c r="BQ248" s="52">
        <f>BQ8*BQ8/$E8*'Get Started  3'!$G82</f>
        <v>0</v>
      </c>
      <c r="BR248" s="52">
        <f>BR8*BR8/$E8*'Get Started  3'!$G82</f>
        <v>0</v>
      </c>
      <c r="BS248" s="52">
        <f>BS8*BS8/$E8*'Get Started  3'!$G82</f>
        <v>0</v>
      </c>
      <c r="BT248" s="52">
        <f>BT8*BT8/$E8*'Get Started  3'!$G82</f>
        <v>0</v>
      </c>
      <c r="BU248" s="52">
        <f>BU8*BU8/$E8*'Get Started  3'!$G82</f>
        <v>0</v>
      </c>
      <c r="BV248" s="52">
        <f>BV8*BV8/$E8*'Get Started  3'!$G82</f>
        <v>0</v>
      </c>
      <c r="BW248" s="52">
        <f>BW8*BW8/$E8*'Get Started  3'!$G82</f>
        <v>0</v>
      </c>
      <c r="BX248" s="52">
        <f>BX8*BX8/$E8*'Get Started  3'!$G82</f>
        <v>0</v>
      </c>
      <c r="BY248" s="52">
        <f>BY8*BY8/$E8*'Get Started  3'!$G82</f>
        <v>0</v>
      </c>
      <c r="BZ248" s="52">
        <f>BZ8*BZ8/$E8*'Get Started  3'!$G82</f>
        <v>0</v>
      </c>
      <c r="CA248" s="52">
        <f>CA8*CA8/$E8*'Get Started  3'!$G82</f>
        <v>0</v>
      </c>
      <c r="CB248" s="52">
        <f>CB8*CB8/$E8*'Get Started  3'!$G82</f>
        <v>0</v>
      </c>
      <c r="CC248" s="52">
        <f>CC8*CC8/$E8*'Get Started  3'!$G82</f>
        <v>0</v>
      </c>
      <c r="CD248" s="52">
        <f>CD8*CD8/$E8*'Get Started  3'!$G82</f>
        <v>0</v>
      </c>
      <c r="CE248" s="52">
        <f>CE8*CE8/$E8*'Get Started  3'!$G82</f>
        <v>0</v>
      </c>
      <c r="CF248" s="52">
        <f>CF8*CF8/$E8*'Get Started  3'!$G82</f>
        <v>0</v>
      </c>
      <c r="CG248" s="52">
        <f>CG8*CG8/$E8*'Get Started  3'!$G82</f>
        <v>0</v>
      </c>
      <c r="CH248" s="52">
        <f>CH8*CH8/$E8*'Get Started  3'!$G82</f>
        <v>0</v>
      </c>
    </row>
    <row r="249" spans="1:86" ht="13" outlineLevel="1">
      <c r="A249" s="13"/>
      <c r="B249" s="13" t="s">
        <v>328</v>
      </c>
      <c r="C249" s="13"/>
      <c r="D249" s="13" t="s">
        <v>238</v>
      </c>
      <c r="E249" s="88">
        <f t="shared" si="183"/>
        <v>0.2</v>
      </c>
      <c r="F249" s="48"/>
      <c r="G249" s="52">
        <f>G8*G8/$E8*'Get Started  3'!$H82</f>
        <v>1.2499999999999997E-2</v>
      </c>
      <c r="H249" s="52">
        <f>H8*H8/$E8*'Get Started  3'!$H82</f>
        <v>1.2499999999999997E-2</v>
      </c>
      <c r="I249" s="52">
        <f>I8*I8/$E8*'Get Started  3'!$H82</f>
        <v>1.2499999999999997E-2</v>
      </c>
      <c r="J249" s="52">
        <f>J8*J8/$E8*'Get Started  3'!$H82</f>
        <v>1.2499999999999997E-2</v>
      </c>
      <c r="K249" s="52">
        <f>K8*K8/$E8*'Get Started  3'!$H82</f>
        <v>1.2499999999999997E-2</v>
      </c>
      <c r="L249" s="52">
        <f>L8*L8/$E8*'Get Started  3'!$H82</f>
        <v>1.2499999999999997E-2</v>
      </c>
      <c r="M249" s="52">
        <f>M8*M8/$E8*'Get Started  3'!$H82</f>
        <v>1.2499999999999997E-2</v>
      </c>
      <c r="N249" s="52">
        <f>N8*N8/$E8*'Get Started  3'!$H82</f>
        <v>1.2499999999999997E-2</v>
      </c>
      <c r="O249" s="52">
        <f>O8*O8/$E8*'Get Started  3'!$H82</f>
        <v>1.2499999999999997E-2</v>
      </c>
      <c r="P249" s="52">
        <f>P8*P8/$E8*'Get Started  3'!$H82</f>
        <v>1.2499999999999997E-2</v>
      </c>
      <c r="Q249" s="52">
        <f>Q8*Q8/$E8*'Get Started  3'!$H82</f>
        <v>1.2499999999999997E-2</v>
      </c>
      <c r="R249" s="52">
        <f>R8*R8/$E8*'Get Started  3'!$H82</f>
        <v>1.2499999999999997E-2</v>
      </c>
      <c r="S249" s="52">
        <f>S8*S8/$E8*'Get Started  3'!$H82</f>
        <v>1.2499999999999997E-2</v>
      </c>
      <c r="T249" s="52">
        <f>T8*T8/$E8*'Get Started  3'!$H82</f>
        <v>1.2499999999999997E-2</v>
      </c>
      <c r="U249" s="52">
        <f>U8*U8/$E8*'Get Started  3'!$H82</f>
        <v>1.2499999999999997E-2</v>
      </c>
      <c r="V249" s="52">
        <f>V8*V8/$E8*'Get Started  3'!$H82</f>
        <v>1.2499999999999997E-2</v>
      </c>
      <c r="W249" s="52">
        <f>W8*W8/$E8*'Get Started  3'!$H82</f>
        <v>0</v>
      </c>
      <c r="X249" s="52">
        <f>X8*X8/$E8*'Get Started  3'!$H82</f>
        <v>0</v>
      </c>
      <c r="Y249" s="52">
        <f>Y8*Y8/$E8*'Get Started  3'!$H82</f>
        <v>0</v>
      </c>
      <c r="Z249" s="52">
        <f>Z8*Z8/$E8*'Get Started  3'!$H82</f>
        <v>0</v>
      </c>
      <c r="AA249" s="52">
        <f>AA8*AA8/$E8*'Get Started  3'!$H82</f>
        <v>0</v>
      </c>
      <c r="AB249" s="52">
        <f>AB8*AB8/$E8*'Get Started  3'!$H82</f>
        <v>0</v>
      </c>
      <c r="AC249" s="52">
        <f>AC8*AC8/$E8*'Get Started  3'!$H82</f>
        <v>0</v>
      </c>
      <c r="AD249" s="52">
        <f>AD8*AD8/$E8*'Get Started  3'!$H82</f>
        <v>0</v>
      </c>
      <c r="AE249" s="52">
        <f>AE8*AE8/$E8*'Get Started  3'!$H82</f>
        <v>0</v>
      </c>
      <c r="AF249" s="52">
        <f>AF8*AF8/$E8*'Get Started  3'!$H82</f>
        <v>0</v>
      </c>
      <c r="AG249" s="52">
        <f>AG8*AG8/$E8*'Get Started  3'!$H82</f>
        <v>0</v>
      </c>
      <c r="AH249" s="52">
        <f>AH8*AH8/$E8*'Get Started  3'!$H82</f>
        <v>0</v>
      </c>
      <c r="AI249" s="52">
        <f>AI8*AI8/$E8*'Get Started  3'!$H82</f>
        <v>0</v>
      </c>
      <c r="AJ249" s="52">
        <f>AJ8*AJ8/$E8*'Get Started  3'!$H82</f>
        <v>0</v>
      </c>
      <c r="AK249" s="52">
        <f>AK8*AK8/$E8*'Get Started  3'!$H82</f>
        <v>0</v>
      </c>
      <c r="AL249" s="52">
        <f>AL8*AL8/$E8*'Get Started  3'!$H82</f>
        <v>0</v>
      </c>
      <c r="AM249" s="52">
        <f>AM8*AM8/$E8*'Get Started  3'!$H82</f>
        <v>0</v>
      </c>
      <c r="AN249" s="52">
        <f>AN8*AN8/$E8*'Get Started  3'!$H82</f>
        <v>0</v>
      </c>
      <c r="AO249" s="52">
        <f>AO8*AO8/$E8*'Get Started  3'!$H82</f>
        <v>0</v>
      </c>
      <c r="AP249" s="52">
        <f>AP8*AP8/$E8*'Get Started  3'!$H82</f>
        <v>0</v>
      </c>
      <c r="AQ249" s="52">
        <f>AQ8*AQ8/$E8*'Get Started  3'!$H82</f>
        <v>0</v>
      </c>
      <c r="AR249" s="52">
        <f>AR8*AR8/$E8*'Get Started  3'!$H82</f>
        <v>0</v>
      </c>
      <c r="AS249" s="52">
        <f>AS8*AS8/$E8*'Get Started  3'!$H82</f>
        <v>0</v>
      </c>
      <c r="AT249" s="52">
        <f>AT8*AT8/$E8*'Get Started  3'!$H82</f>
        <v>0</v>
      </c>
      <c r="AU249" s="52">
        <f>AU8*AU8/$E8*'Get Started  3'!$H82</f>
        <v>0</v>
      </c>
      <c r="AV249" s="52">
        <f>AV8*AV8/$E8*'Get Started  3'!$H82</f>
        <v>0</v>
      </c>
      <c r="AW249" s="52">
        <f>AW8*AW8/$E8*'Get Started  3'!$H82</f>
        <v>0</v>
      </c>
      <c r="AX249" s="52">
        <f>AX8*AX8/$E8*'Get Started  3'!$H82</f>
        <v>0</v>
      </c>
      <c r="AY249" s="52">
        <f>AY8*AY8/$E8*'Get Started  3'!$H82</f>
        <v>0</v>
      </c>
      <c r="AZ249" s="52">
        <f>AZ8*AZ8/$E8*'Get Started  3'!$H82</f>
        <v>0</v>
      </c>
      <c r="BA249" s="52">
        <f>BA8*BA8/$E8*'Get Started  3'!$H82</f>
        <v>0</v>
      </c>
      <c r="BB249" s="52">
        <f>BB8*BB8/$E8*'Get Started  3'!$H82</f>
        <v>0</v>
      </c>
      <c r="BC249" s="52">
        <f>BC8*BC8/$E8*'Get Started  3'!$H82</f>
        <v>0</v>
      </c>
      <c r="BD249" s="52">
        <f>BD8*BD8/$E8*'Get Started  3'!$H82</f>
        <v>0</v>
      </c>
      <c r="BE249" s="52">
        <f>BE8*BE8/$E8*'Get Started  3'!$H82</f>
        <v>0</v>
      </c>
      <c r="BF249" s="52">
        <f>BF8*BF8/$E8*'Get Started  3'!$H82</f>
        <v>0</v>
      </c>
      <c r="BG249" s="52">
        <f>BG8*BG8/$E8*'Get Started  3'!$H82</f>
        <v>0</v>
      </c>
      <c r="BH249" s="52">
        <f>BH8*BH8/$E8*'Get Started  3'!$H82</f>
        <v>0</v>
      </c>
      <c r="BI249" s="52">
        <f>BI8*BI8/$E8*'Get Started  3'!$H82</f>
        <v>0</v>
      </c>
      <c r="BJ249" s="52">
        <f>BJ8*BJ8/$E8*'Get Started  3'!$H82</f>
        <v>0</v>
      </c>
      <c r="BK249" s="52">
        <f>BK8*BK8/$E8*'Get Started  3'!$H82</f>
        <v>0</v>
      </c>
      <c r="BL249" s="52">
        <f>BL8*BL8/$E8*'Get Started  3'!$H82</f>
        <v>0</v>
      </c>
      <c r="BM249" s="52">
        <f>BM8*BM8/$E8*'Get Started  3'!$H82</f>
        <v>0</v>
      </c>
      <c r="BN249" s="52">
        <f>BN8*BN8/$E8*'Get Started  3'!$H82</f>
        <v>0</v>
      </c>
      <c r="BO249" s="52">
        <f>BO8*BO8/$E8*'Get Started  3'!$H82</f>
        <v>0</v>
      </c>
      <c r="BP249" s="52">
        <f>BP8*BP8/$E8*'Get Started  3'!$H82</f>
        <v>0</v>
      </c>
      <c r="BQ249" s="52">
        <f>BQ8*BQ8/$E8*'Get Started  3'!$H82</f>
        <v>0</v>
      </c>
      <c r="BR249" s="52">
        <f>BR8*BR8/$E8*'Get Started  3'!$H82</f>
        <v>0</v>
      </c>
      <c r="BS249" s="52">
        <f>BS8*BS8/$E8*'Get Started  3'!$H82</f>
        <v>0</v>
      </c>
      <c r="BT249" s="52">
        <f>BT8*BT8/$E8*'Get Started  3'!$H82</f>
        <v>0</v>
      </c>
      <c r="BU249" s="52">
        <f>BU8*BU8/$E8*'Get Started  3'!$H82</f>
        <v>0</v>
      </c>
      <c r="BV249" s="52">
        <f>BV8*BV8/$E8*'Get Started  3'!$H82</f>
        <v>0</v>
      </c>
      <c r="BW249" s="52">
        <f>BW8*BW8/$E8*'Get Started  3'!$H82</f>
        <v>0</v>
      </c>
      <c r="BX249" s="52">
        <f>BX8*BX8/$E8*'Get Started  3'!$H82</f>
        <v>0</v>
      </c>
      <c r="BY249" s="52">
        <f>BY8*BY8/$E8*'Get Started  3'!$H82</f>
        <v>0</v>
      </c>
      <c r="BZ249" s="52">
        <f>BZ8*BZ8/$E8*'Get Started  3'!$H82</f>
        <v>0</v>
      </c>
      <c r="CA249" s="52">
        <f>CA8*CA8/$E8*'Get Started  3'!$H82</f>
        <v>0</v>
      </c>
      <c r="CB249" s="52">
        <f>CB8*CB8/$E8*'Get Started  3'!$H82</f>
        <v>0</v>
      </c>
      <c r="CC249" s="52">
        <f>CC8*CC8/$E8*'Get Started  3'!$H82</f>
        <v>0</v>
      </c>
      <c r="CD249" s="52">
        <f>CD8*CD8/$E8*'Get Started  3'!$H82</f>
        <v>0</v>
      </c>
      <c r="CE249" s="52">
        <f>CE8*CE8/$E8*'Get Started  3'!$H82</f>
        <v>0</v>
      </c>
      <c r="CF249" s="52">
        <f>CF8*CF8/$E8*'Get Started  3'!$H82</f>
        <v>0</v>
      </c>
      <c r="CG249" s="52">
        <f>CG8*CG8/$E8*'Get Started  3'!$H82</f>
        <v>0</v>
      </c>
      <c r="CH249" s="52">
        <f>CH8*CH8/$E8*'Get Started  3'!$H82</f>
        <v>0</v>
      </c>
    </row>
    <row r="250" spans="1:86" ht="13" outlineLevel="1">
      <c r="A250" s="13"/>
      <c r="B250" s="13" t="str">
        <f>B248&amp;" total"</f>
        <v>new invested capital total</v>
      </c>
      <c r="C250" s="13"/>
      <c r="D250" s="13" t="s">
        <v>238</v>
      </c>
      <c r="E250" s="88">
        <f t="shared" si="183"/>
        <v>1</v>
      </c>
      <c r="F250" s="48"/>
      <c r="G250" s="52">
        <f t="shared" ref="G250:CH250" si="184">SUM(G246:G249)</f>
        <v>6.25E-2</v>
      </c>
      <c r="H250" s="52">
        <f t="shared" si="184"/>
        <v>6.25E-2</v>
      </c>
      <c r="I250" s="52">
        <f t="shared" si="184"/>
        <v>6.25E-2</v>
      </c>
      <c r="J250" s="52">
        <f t="shared" si="184"/>
        <v>6.25E-2</v>
      </c>
      <c r="K250" s="52">
        <f t="shared" si="184"/>
        <v>6.25E-2</v>
      </c>
      <c r="L250" s="52">
        <f t="shared" si="184"/>
        <v>6.25E-2</v>
      </c>
      <c r="M250" s="52">
        <f t="shared" si="184"/>
        <v>6.25E-2</v>
      </c>
      <c r="N250" s="52">
        <f t="shared" si="184"/>
        <v>6.25E-2</v>
      </c>
      <c r="O250" s="52">
        <f t="shared" si="184"/>
        <v>6.25E-2</v>
      </c>
      <c r="P250" s="52">
        <f t="shared" si="184"/>
        <v>6.25E-2</v>
      </c>
      <c r="Q250" s="52">
        <f t="shared" si="184"/>
        <v>6.25E-2</v>
      </c>
      <c r="R250" s="52">
        <f t="shared" si="184"/>
        <v>6.25E-2</v>
      </c>
      <c r="S250" s="52">
        <f t="shared" si="184"/>
        <v>6.25E-2</v>
      </c>
      <c r="T250" s="52">
        <f t="shared" si="184"/>
        <v>6.25E-2</v>
      </c>
      <c r="U250" s="52">
        <f t="shared" si="184"/>
        <v>6.25E-2</v>
      </c>
      <c r="V250" s="52">
        <f t="shared" si="184"/>
        <v>6.25E-2</v>
      </c>
      <c r="W250" s="52">
        <f t="shared" si="184"/>
        <v>0</v>
      </c>
      <c r="X250" s="52">
        <f t="shared" si="184"/>
        <v>0</v>
      </c>
      <c r="Y250" s="52">
        <f t="shared" si="184"/>
        <v>0</v>
      </c>
      <c r="Z250" s="52">
        <f t="shared" si="184"/>
        <v>0</v>
      </c>
      <c r="AA250" s="52">
        <f t="shared" si="184"/>
        <v>0</v>
      </c>
      <c r="AB250" s="52">
        <f t="shared" si="184"/>
        <v>0</v>
      </c>
      <c r="AC250" s="52">
        <f t="shared" si="184"/>
        <v>0</v>
      </c>
      <c r="AD250" s="52">
        <f t="shared" si="184"/>
        <v>0</v>
      </c>
      <c r="AE250" s="52">
        <f t="shared" si="184"/>
        <v>0</v>
      </c>
      <c r="AF250" s="52">
        <f t="shared" si="184"/>
        <v>0</v>
      </c>
      <c r="AG250" s="52">
        <f t="shared" si="184"/>
        <v>0</v>
      </c>
      <c r="AH250" s="52">
        <f t="shared" si="184"/>
        <v>0</v>
      </c>
      <c r="AI250" s="52">
        <f t="shared" si="184"/>
        <v>0</v>
      </c>
      <c r="AJ250" s="52">
        <f t="shared" si="184"/>
        <v>0</v>
      </c>
      <c r="AK250" s="52">
        <f t="shared" si="184"/>
        <v>0</v>
      </c>
      <c r="AL250" s="52">
        <f t="shared" si="184"/>
        <v>0</v>
      </c>
      <c r="AM250" s="52">
        <f t="shared" si="184"/>
        <v>0</v>
      </c>
      <c r="AN250" s="52">
        <f t="shared" si="184"/>
        <v>0</v>
      </c>
      <c r="AO250" s="52">
        <f t="shared" si="184"/>
        <v>0</v>
      </c>
      <c r="AP250" s="52">
        <f t="shared" si="184"/>
        <v>0</v>
      </c>
      <c r="AQ250" s="52">
        <f t="shared" si="184"/>
        <v>0</v>
      </c>
      <c r="AR250" s="52">
        <f t="shared" si="184"/>
        <v>0</v>
      </c>
      <c r="AS250" s="52">
        <f t="shared" si="184"/>
        <v>0</v>
      </c>
      <c r="AT250" s="52">
        <f t="shared" si="184"/>
        <v>0</v>
      </c>
      <c r="AU250" s="52">
        <f t="shared" si="184"/>
        <v>0</v>
      </c>
      <c r="AV250" s="52">
        <f t="shared" si="184"/>
        <v>0</v>
      </c>
      <c r="AW250" s="52">
        <f t="shared" si="184"/>
        <v>0</v>
      </c>
      <c r="AX250" s="52">
        <f t="shared" si="184"/>
        <v>0</v>
      </c>
      <c r="AY250" s="52">
        <f t="shared" si="184"/>
        <v>0</v>
      </c>
      <c r="AZ250" s="52">
        <f t="shared" si="184"/>
        <v>0</v>
      </c>
      <c r="BA250" s="52">
        <f t="shared" si="184"/>
        <v>0</v>
      </c>
      <c r="BB250" s="52">
        <f t="shared" si="184"/>
        <v>0</v>
      </c>
      <c r="BC250" s="52">
        <f t="shared" si="184"/>
        <v>0</v>
      </c>
      <c r="BD250" s="52">
        <f t="shared" si="184"/>
        <v>0</v>
      </c>
      <c r="BE250" s="52">
        <f t="shared" si="184"/>
        <v>0</v>
      </c>
      <c r="BF250" s="52">
        <f t="shared" si="184"/>
        <v>0</v>
      </c>
      <c r="BG250" s="52">
        <f t="shared" si="184"/>
        <v>0</v>
      </c>
      <c r="BH250" s="52">
        <f t="shared" si="184"/>
        <v>0</v>
      </c>
      <c r="BI250" s="52">
        <f t="shared" si="184"/>
        <v>0</v>
      </c>
      <c r="BJ250" s="52">
        <f t="shared" si="184"/>
        <v>0</v>
      </c>
      <c r="BK250" s="52">
        <f t="shared" si="184"/>
        <v>0</v>
      </c>
      <c r="BL250" s="52">
        <f t="shared" si="184"/>
        <v>0</v>
      </c>
      <c r="BM250" s="52">
        <f t="shared" si="184"/>
        <v>0</v>
      </c>
      <c r="BN250" s="52">
        <f t="shared" si="184"/>
        <v>0</v>
      </c>
      <c r="BO250" s="52">
        <f t="shared" si="184"/>
        <v>0</v>
      </c>
      <c r="BP250" s="52">
        <f t="shared" si="184"/>
        <v>0</v>
      </c>
      <c r="BQ250" s="52">
        <f t="shared" si="184"/>
        <v>0</v>
      </c>
      <c r="BR250" s="52">
        <f t="shared" si="184"/>
        <v>0</v>
      </c>
      <c r="BS250" s="52">
        <f t="shared" si="184"/>
        <v>0</v>
      </c>
      <c r="BT250" s="52">
        <f t="shared" si="184"/>
        <v>0</v>
      </c>
      <c r="BU250" s="52">
        <f t="shared" si="184"/>
        <v>0</v>
      </c>
      <c r="BV250" s="52">
        <f t="shared" si="184"/>
        <v>0</v>
      </c>
      <c r="BW250" s="52">
        <f t="shared" si="184"/>
        <v>0</v>
      </c>
      <c r="BX250" s="52">
        <f t="shared" si="184"/>
        <v>0</v>
      </c>
      <c r="BY250" s="52">
        <f t="shared" si="184"/>
        <v>0</v>
      </c>
      <c r="BZ250" s="52">
        <f t="shared" si="184"/>
        <v>0</v>
      </c>
      <c r="CA250" s="52">
        <f t="shared" si="184"/>
        <v>0</v>
      </c>
      <c r="CB250" s="52">
        <f t="shared" si="184"/>
        <v>0</v>
      </c>
      <c r="CC250" s="52">
        <f t="shared" si="184"/>
        <v>0</v>
      </c>
      <c r="CD250" s="52">
        <f t="shared" si="184"/>
        <v>0</v>
      </c>
      <c r="CE250" s="52">
        <f t="shared" si="184"/>
        <v>0</v>
      </c>
      <c r="CF250" s="52">
        <f t="shared" si="184"/>
        <v>0</v>
      </c>
      <c r="CG250" s="52">
        <f t="shared" si="184"/>
        <v>0</v>
      </c>
      <c r="CH250" s="52">
        <f t="shared" si="184"/>
        <v>0</v>
      </c>
    </row>
    <row r="251" spans="1:86" ht="13" outlineLevel="1">
      <c r="A251" s="13"/>
      <c r="B251" s="13" t="s">
        <v>329</v>
      </c>
      <c r="C251" s="13"/>
      <c r="D251" s="13" t="s">
        <v>238</v>
      </c>
      <c r="E251" s="88">
        <f t="shared" ca="1" si="183"/>
        <v>0</v>
      </c>
      <c r="F251" s="48"/>
      <c r="G251" s="52">
        <f ca="1">IFERROR(IF(G4&lt;'Get Started  3'!$E55,0,OFFSET(G246,0,-1*'Get Started  3'!$E55)*'Get Started  3'!$E84/'Get Started  3'!$E82),0)+IFERROR(IF(G4&lt;'Get Started  3'!$E65,0,OFFSET(G246,0,-1*'Get Started  3'!$E65)*'Get Started  3'!$E86/'Get Started  3'!$E82),0)</f>
        <v>0</v>
      </c>
      <c r="H251" s="52">
        <f ca="1">IFERROR(IF(H4&lt;'Get Started  3'!$E55,0,OFFSET(H246,0,-1*'Get Started  3'!$E55)*'Get Started  3'!$E84/'Get Started  3'!$E82),0)+IFERROR(IF(H4&lt;'Get Started  3'!$E65,0,OFFSET(H246,0,-1*'Get Started  3'!$E65)*'Get Started  3'!$E86/'Get Started  3'!$E82),0)</f>
        <v>0</v>
      </c>
      <c r="I251" s="52">
        <f ca="1">IFERROR(IF(I4&lt;'Get Started  3'!$E55,0,OFFSET(I246,0,-1*'Get Started  3'!$E55)*'Get Started  3'!$E84/'Get Started  3'!$E82),0)+IFERROR(IF(I4&lt;'Get Started  3'!$E65,0,OFFSET(I246,0,-1*'Get Started  3'!$E65)*'Get Started  3'!$E86/'Get Started  3'!$E82),0)</f>
        <v>0</v>
      </c>
      <c r="J251" s="52">
        <f ca="1">IFERROR(IF(J4&lt;'Get Started  3'!$E55,0,OFFSET(J246,0,-1*'Get Started  3'!$E55)*'Get Started  3'!$E84/'Get Started  3'!$E82),0)+IFERROR(IF(J4&lt;'Get Started  3'!$E65,0,OFFSET(J246,0,-1*'Get Started  3'!$E65)*'Get Started  3'!$E86/'Get Started  3'!$E82),0)</f>
        <v>0</v>
      </c>
      <c r="K251" s="52">
        <f ca="1">IFERROR(IF(K4&lt;'Get Started  3'!$E55,0,OFFSET(K246,0,-1*'Get Started  3'!$E55)*'Get Started  3'!$E84/'Get Started  3'!$E82),0)+IFERROR(IF(K4&lt;'Get Started  3'!$E65,0,OFFSET(K246,0,-1*'Get Started  3'!$E65)*'Get Started  3'!$E86/'Get Started  3'!$E82),0)</f>
        <v>0</v>
      </c>
      <c r="L251" s="52">
        <f ca="1">IFERROR(IF(L4&lt;'Get Started  3'!$E55,0,OFFSET(L246,0,-1*'Get Started  3'!$E55)*'Get Started  3'!$E84/'Get Started  3'!$E82),0)+IFERROR(IF(L4&lt;'Get Started  3'!$E65,0,OFFSET(L246,0,-1*'Get Started  3'!$E65)*'Get Started  3'!$E86/'Get Started  3'!$E82),0)</f>
        <v>0</v>
      </c>
      <c r="M251" s="52">
        <f ca="1">IFERROR(IF(M4&lt;'Get Started  3'!$E55,0,OFFSET(M246,0,-1*'Get Started  3'!$E55)*'Get Started  3'!$E84/'Get Started  3'!$E82),0)+IFERROR(IF(M4&lt;'Get Started  3'!$E65,0,OFFSET(M246,0,-1*'Get Started  3'!$E65)*'Get Started  3'!$E86/'Get Started  3'!$E82),0)</f>
        <v>0</v>
      </c>
      <c r="N251" s="52">
        <f ca="1">IFERROR(IF(N4&lt;'Get Started  3'!$E55,0,OFFSET(N246,0,-1*'Get Started  3'!$E55)*'Get Started  3'!$E84/'Get Started  3'!$E82),0)+IFERROR(IF(N4&lt;'Get Started  3'!$E65,0,OFFSET(N246,0,-1*'Get Started  3'!$E65)*'Get Started  3'!$E86/'Get Started  3'!$E82),0)</f>
        <v>0</v>
      </c>
      <c r="O251" s="52">
        <f ca="1">IFERROR(IF(O4&lt;'Get Started  3'!$E55,0,OFFSET(O246,0,-1*'Get Started  3'!$E55)*'Get Started  3'!$E84/'Get Started  3'!$E82),0)+IFERROR(IF(O4&lt;'Get Started  3'!$E65,0,OFFSET(O246,0,-1*'Get Started  3'!$E65)*'Get Started  3'!$E86/'Get Started  3'!$E82),0)</f>
        <v>0</v>
      </c>
      <c r="P251" s="52">
        <f ca="1">IFERROR(IF(P4&lt;'Get Started  3'!$E55,0,OFFSET(P246,0,-1*'Get Started  3'!$E55)*'Get Started  3'!$E84/'Get Started  3'!$E82),0)+IFERROR(IF(P4&lt;'Get Started  3'!$E65,0,OFFSET(P246,0,-1*'Get Started  3'!$E65)*'Get Started  3'!$E86/'Get Started  3'!$E82),0)</f>
        <v>0</v>
      </c>
      <c r="Q251" s="52">
        <f ca="1">IFERROR(IF(Q4&lt;'Get Started  3'!$E55,0,OFFSET(Q246,0,-1*'Get Started  3'!$E55)*'Get Started  3'!$E84/'Get Started  3'!$E82),0)+IFERROR(IF(Q4&lt;'Get Started  3'!$E65,0,OFFSET(Q246,0,-1*'Get Started  3'!$E65)*'Get Started  3'!$E86/'Get Started  3'!$E82),0)</f>
        <v>0</v>
      </c>
      <c r="R251" s="52">
        <f ca="1">IFERROR(IF(R4&lt;'Get Started  3'!$E55,0,OFFSET(R246,0,-1*'Get Started  3'!$E55)*'Get Started  3'!$E84/'Get Started  3'!$E82),0)+IFERROR(IF(R4&lt;'Get Started  3'!$E65,0,OFFSET(R246,0,-1*'Get Started  3'!$E65)*'Get Started  3'!$E86/'Get Started  3'!$E82),0)</f>
        <v>0</v>
      </c>
      <c r="S251" s="52">
        <f ca="1">IFERROR(IF(S4&lt;'Get Started  3'!$E55,0,OFFSET(S246,0,-1*'Get Started  3'!$E55)*'Get Started  3'!$E84/'Get Started  3'!$E82),0)+IFERROR(IF(S4&lt;'Get Started  3'!$E65,0,OFFSET(S246,0,-1*'Get Started  3'!$E65)*'Get Started  3'!$E86/'Get Started  3'!$E82),0)</f>
        <v>0</v>
      </c>
      <c r="T251" s="52">
        <f ca="1">IFERROR(IF(T4&lt;'Get Started  3'!$E55,0,OFFSET(T246,0,-1*'Get Started  3'!$E55)*'Get Started  3'!$E84/'Get Started  3'!$E82),0)+IFERROR(IF(T4&lt;'Get Started  3'!$E65,0,OFFSET(T246,0,-1*'Get Started  3'!$E65)*'Get Started  3'!$E86/'Get Started  3'!$E82),0)</f>
        <v>0</v>
      </c>
      <c r="U251" s="52">
        <f ca="1">IFERROR(IF(U4&lt;'Get Started  3'!$E55,0,OFFSET(U246,0,-1*'Get Started  3'!$E55)*'Get Started  3'!$E84/'Get Started  3'!$E82),0)+IFERROR(IF(U4&lt;'Get Started  3'!$E65,0,OFFSET(U246,0,-1*'Get Started  3'!$E65)*'Get Started  3'!$E86/'Get Started  3'!$E82),0)</f>
        <v>0</v>
      </c>
      <c r="V251" s="52">
        <f ca="1">IFERROR(IF(V4&lt;'Get Started  3'!$E55,0,OFFSET(V246,0,-1*'Get Started  3'!$E55)*'Get Started  3'!$E84/'Get Started  3'!$E82),0)+IFERROR(IF(V4&lt;'Get Started  3'!$E65,0,OFFSET(V246,0,-1*'Get Started  3'!$E65)*'Get Started  3'!$E86/'Get Started  3'!$E82),0)</f>
        <v>0</v>
      </c>
      <c r="W251" s="52">
        <f ca="1">IFERROR(IF(W4&lt;'Get Started  3'!$E55,0,OFFSET(W246,0,-1*'Get Started  3'!$E55)*'Get Started  3'!$E84/'Get Started  3'!$E82),0)+IFERROR(IF(W4&lt;'Get Started  3'!$E65,0,OFFSET(W246,0,-1*'Get Started  3'!$E65)*'Get Started  3'!$E86/'Get Started  3'!$E82),0)</f>
        <v>0</v>
      </c>
      <c r="X251" s="52">
        <f ca="1">IFERROR(IF(X4&lt;'Get Started  3'!$E55,0,OFFSET(X246,0,-1*'Get Started  3'!$E55)*'Get Started  3'!$E84/'Get Started  3'!$E82),0)+IFERROR(IF(X4&lt;'Get Started  3'!$E65,0,OFFSET(X246,0,-1*'Get Started  3'!$E65)*'Get Started  3'!$E86/'Get Started  3'!$E82),0)</f>
        <v>0</v>
      </c>
      <c r="Y251" s="52">
        <f ca="1">IFERROR(IF(Y4&lt;'Get Started  3'!$E55,0,OFFSET(Y246,0,-1*'Get Started  3'!$E55)*'Get Started  3'!$E84/'Get Started  3'!$E82),0)+IFERROR(IF(Y4&lt;'Get Started  3'!$E65,0,OFFSET(Y246,0,-1*'Get Started  3'!$E65)*'Get Started  3'!$E86/'Get Started  3'!$E82),0)</f>
        <v>0</v>
      </c>
      <c r="Z251" s="52">
        <f ca="1">IFERROR(IF(Z4&lt;'Get Started  3'!$E55,0,OFFSET(Z246,0,-1*'Get Started  3'!$E55)*'Get Started  3'!$E84/'Get Started  3'!$E82),0)+IFERROR(IF(Z4&lt;'Get Started  3'!$E65,0,OFFSET(Z246,0,-1*'Get Started  3'!$E65)*'Get Started  3'!$E86/'Get Started  3'!$E82),0)</f>
        <v>0</v>
      </c>
      <c r="AA251" s="52">
        <f ca="1">IFERROR(IF(AA4&lt;'Get Started  3'!$E55,0,OFFSET(AA246,0,-1*'Get Started  3'!$E55)*'Get Started  3'!$E84/'Get Started  3'!$E82),0)+IFERROR(IF(AA4&lt;'Get Started  3'!$E65,0,OFFSET(AA246,0,-1*'Get Started  3'!$E65)*'Get Started  3'!$E86/'Get Started  3'!$E82),0)</f>
        <v>0</v>
      </c>
      <c r="AB251" s="52">
        <f ca="1">IFERROR(IF(AB4&lt;'Get Started  3'!$E55,0,OFFSET(AB246,0,-1*'Get Started  3'!$E55)*'Get Started  3'!$E84/'Get Started  3'!$E82),0)+IFERROR(IF(AB4&lt;'Get Started  3'!$E65,0,OFFSET(AB246,0,-1*'Get Started  3'!$E65)*'Get Started  3'!$E86/'Get Started  3'!$E82),0)</f>
        <v>0</v>
      </c>
      <c r="AC251" s="52">
        <f ca="1">IFERROR(IF(AC4&lt;'Get Started  3'!$E55,0,OFFSET(AC246,0,-1*'Get Started  3'!$E55)*'Get Started  3'!$E84/'Get Started  3'!$E82),0)+IFERROR(IF(AC4&lt;'Get Started  3'!$E65,0,OFFSET(AC246,0,-1*'Get Started  3'!$E65)*'Get Started  3'!$E86/'Get Started  3'!$E82),0)</f>
        <v>0</v>
      </c>
      <c r="AD251" s="52">
        <f ca="1">IFERROR(IF(AD4&lt;'Get Started  3'!$E55,0,OFFSET(AD246,0,-1*'Get Started  3'!$E55)*'Get Started  3'!$E84/'Get Started  3'!$E82),0)+IFERROR(IF(AD4&lt;'Get Started  3'!$E65,0,OFFSET(AD246,0,-1*'Get Started  3'!$E65)*'Get Started  3'!$E86/'Get Started  3'!$E82),0)</f>
        <v>0</v>
      </c>
      <c r="AE251" s="52">
        <f ca="1">IFERROR(IF(AE4&lt;'Get Started  3'!$E55,0,OFFSET(AE246,0,-1*'Get Started  3'!$E55)*'Get Started  3'!$E84/'Get Started  3'!$E82),0)+IFERROR(IF(AE4&lt;'Get Started  3'!$E65,0,OFFSET(AE246,0,-1*'Get Started  3'!$E65)*'Get Started  3'!$E86/'Get Started  3'!$E82),0)</f>
        <v>0</v>
      </c>
      <c r="AF251" s="52">
        <f ca="1">IFERROR(IF(AF4&lt;'Get Started  3'!$E55,0,OFFSET(AF246,0,-1*'Get Started  3'!$E55)*'Get Started  3'!$E84/'Get Started  3'!$E82),0)+IFERROR(IF(AF4&lt;'Get Started  3'!$E65,0,OFFSET(AF246,0,-1*'Get Started  3'!$E65)*'Get Started  3'!$E86/'Get Started  3'!$E82),0)</f>
        <v>0</v>
      </c>
      <c r="AG251" s="52">
        <f ca="1">IFERROR(IF(AG4&lt;'Get Started  3'!$E55,0,OFFSET(AG246,0,-1*'Get Started  3'!$E55)*'Get Started  3'!$E84/'Get Started  3'!$E82),0)+IFERROR(IF(AG4&lt;'Get Started  3'!$E65,0,OFFSET(AG246,0,-1*'Get Started  3'!$E65)*'Get Started  3'!$E86/'Get Started  3'!$E82),0)</f>
        <v>0</v>
      </c>
      <c r="AH251" s="52">
        <f ca="1">IFERROR(IF(AH4&lt;'Get Started  3'!$E55,0,OFFSET(AH246,0,-1*'Get Started  3'!$E55)*'Get Started  3'!$E84/'Get Started  3'!$E82),0)+IFERROR(IF(AH4&lt;'Get Started  3'!$E65,0,OFFSET(AH246,0,-1*'Get Started  3'!$E65)*'Get Started  3'!$E86/'Get Started  3'!$E82),0)</f>
        <v>0</v>
      </c>
      <c r="AI251" s="52">
        <f ca="1">IFERROR(IF(AI4&lt;'Get Started  3'!$E55,0,OFFSET(AI246,0,-1*'Get Started  3'!$E55)*'Get Started  3'!$E84/'Get Started  3'!$E82),0)+IFERROR(IF(AI4&lt;'Get Started  3'!$E65,0,OFFSET(AI246,0,-1*'Get Started  3'!$E65)*'Get Started  3'!$E86/'Get Started  3'!$E82),0)</f>
        <v>0</v>
      </c>
      <c r="AJ251" s="52">
        <f ca="1">IFERROR(IF(AJ4&lt;'Get Started  3'!$E55,0,OFFSET(AJ246,0,-1*'Get Started  3'!$E55)*'Get Started  3'!$E84/'Get Started  3'!$E82),0)+IFERROR(IF(AJ4&lt;'Get Started  3'!$E65,0,OFFSET(AJ246,0,-1*'Get Started  3'!$E65)*'Get Started  3'!$E86/'Get Started  3'!$E82),0)</f>
        <v>0</v>
      </c>
      <c r="AK251" s="52">
        <f ca="1">IFERROR(IF(AK4&lt;'Get Started  3'!$E55,0,OFFSET(AK246,0,-1*'Get Started  3'!$E55)*'Get Started  3'!$E84/'Get Started  3'!$E82),0)+IFERROR(IF(AK4&lt;'Get Started  3'!$E65,0,OFFSET(AK246,0,-1*'Get Started  3'!$E65)*'Get Started  3'!$E86/'Get Started  3'!$E82),0)</f>
        <v>0</v>
      </c>
      <c r="AL251" s="52">
        <f ca="1">IFERROR(IF(AL4&lt;'Get Started  3'!$E55,0,OFFSET(AL246,0,-1*'Get Started  3'!$E55)*'Get Started  3'!$E84/'Get Started  3'!$E82),0)+IFERROR(IF(AL4&lt;'Get Started  3'!$E65,0,OFFSET(AL246,0,-1*'Get Started  3'!$E65)*'Get Started  3'!$E86/'Get Started  3'!$E82),0)</f>
        <v>0</v>
      </c>
      <c r="AM251" s="52">
        <f ca="1">IFERROR(IF(AM4&lt;'Get Started  3'!$E55,0,OFFSET(AM246,0,-1*'Get Started  3'!$E55)*'Get Started  3'!$E84/'Get Started  3'!$E82),0)+IFERROR(IF(AM4&lt;'Get Started  3'!$E65,0,OFFSET(AM246,0,-1*'Get Started  3'!$E65)*'Get Started  3'!$E86/'Get Started  3'!$E82),0)</f>
        <v>0</v>
      </c>
      <c r="AN251" s="52">
        <f ca="1">IFERROR(IF(AN4&lt;'Get Started  3'!$E55,0,OFFSET(AN246,0,-1*'Get Started  3'!$E55)*'Get Started  3'!$E84/'Get Started  3'!$E82),0)+IFERROR(IF(AN4&lt;'Get Started  3'!$E65,0,OFFSET(AN246,0,-1*'Get Started  3'!$E65)*'Get Started  3'!$E86/'Get Started  3'!$E82),0)</f>
        <v>0</v>
      </c>
      <c r="AO251" s="52">
        <f ca="1">IFERROR(IF(AO4&lt;'Get Started  3'!$E55,0,OFFSET(AO246,0,-1*'Get Started  3'!$E55)*'Get Started  3'!$E84/'Get Started  3'!$E82),0)+IFERROR(IF(AO4&lt;'Get Started  3'!$E65,0,OFFSET(AO246,0,-1*'Get Started  3'!$E65)*'Get Started  3'!$E86/'Get Started  3'!$E82),0)</f>
        <v>0</v>
      </c>
      <c r="AP251" s="52">
        <f ca="1">IFERROR(IF(AP4&lt;'Get Started  3'!$E55,0,OFFSET(AP246,0,-1*'Get Started  3'!$E55)*'Get Started  3'!$E84/'Get Started  3'!$E82),0)+IFERROR(IF(AP4&lt;'Get Started  3'!$E65,0,OFFSET(AP246,0,-1*'Get Started  3'!$E65)*'Get Started  3'!$E86/'Get Started  3'!$E82),0)</f>
        <v>0</v>
      </c>
      <c r="AQ251" s="52">
        <f ca="1">IFERROR(IF(AQ4&lt;'Get Started  3'!$E55,0,OFFSET(AQ246,0,-1*'Get Started  3'!$E55)*'Get Started  3'!$E84/'Get Started  3'!$E82),0)+IFERROR(IF(AQ4&lt;'Get Started  3'!$E65,0,OFFSET(AQ246,0,-1*'Get Started  3'!$E65)*'Get Started  3'!$E86/'Get Started  3'!$E82),0)</f>
        <v>0</v>
      </c>
      <c r="AR251" s="52">
        <f ca="1">IFERROR(IF(AR4&lt;'Get Started  3'!$E55,0,OFFSET(AR246,0,-1*'Get Started  3'!$E55)*'Get Started  3'!$E84/'Get Started  3'!$E82),0)+IFERROR(IF(AR4&lt;'Get Started  3'!$E65,0,OFFSET(AR246,0,-1*'Get Started  3'!$E65)*'Get Started  3'!$E86/'Get Started  3'!$E82),0)</f>
        <v>0</v>
      </c>
      <c r="AS251" s="52">
        <f ca="1">IFERROR(IF(AS4&lt;'Get Started  3'!$E55,0,OFFSET(AS246,0,-1*'Get Started  3'!$E55)*'Get Started  3'!$E84/'Get Started  3'!$E82),0)+IFERROR(IF(AS4&lt;'Get Started  3'!$E65,0,OFFSET(AS246,0,-1*'Get Started  3'!$E65)*'Get Started  3'!$E86/'Get Started  3'!$E82),0)</f>
        <v>0</v>
      </c>
      <c r="AT251" s="52">
        <f ca="1">IFERROR(IF(AT4&lt;'Get Started  3'!$E55,0,OFFSET(AT246,0,-1*'Get Started  3'!$E55)*'Get Started  3'!$E84/'Get Started  3'!$E82),0)+IFERROR(IF(AT4&lt;'Get Started  3'!$E65,0,OFFSET(AT246,0,-1*'Get Started  3'!$E65)*'Get Started  3'!$E86/'Get Started  3'!$E82),0)</f>
        <v>0</v>
      </c>
      <c r="AU251" s="52">
        <f ca="1">IFERROR(IF(AU4&lt;'Get Started  3'!$E55,0,OFFSET(AU246,0,-1*'Get Started  3'!$E55)*'Get Started  3'!$E84/'Get Started  3'!$E82),0)+IFERROR(IF(AU4&lt;'Get Started  3'!$E65,0,OFFSET(AU246,0,-1*'Get Started  3'!$E65)*'Get Started  3'!$E86/'Get Started  3'!$E82),0)</f>
        <v>0</v>
      </c>
      <c r="AV251" s="52">
        <f ca="1">IFERROR(IF(AV4&lt;'Get Started  3'!$E55,0,OFFSET(AV246,0,-1*'Get Started  3'!$E55)*'Get Started  3'!$E84/'Get Started  3'!$E82),0)+IFERROR(IF(AV4&lt;'Get Started  3'!$E65,0,OFFSET(AV246,0,-1*'Get Started  3'!$E65)*'Get Started  3'!$E86/'Get Started  3'!$E82),0)</f>
        <v>0</v>
      </c>
      <c r="AW251" s="52">
        <f ca="1">IFERROR(IF(AW4&lt;'Get Started  3'!$E55,0,OFFSET(AW246,0,-1*'Get Started  3'!$E55)*'Get Started  3'!$E84/'Get Started  3'!$E82),0)+IFERROR(IF(AW4&lt;'Get Started  3'!$E65,0,OFFSET(AW246,0,-1*'Get Started  3'!$E65)*'Get Started  3'!$E86/'Get Started  3'!$E82),0)</f>
        <v>0</v>
      </c>
      <c r="AX251" s="52">
        <f ca="1">IFERROR(IF(AX4&lt;'Get Started  3'!$E55,0,OFFSET(AX246,0,-1*'Get Started  3'!$E55)*'Get Started  3'!$E84/'Get Started  3'!$E82),0)+IFERROR(IF(AX4&lt;'Get Started  3'!$E65,0,OFFSET(AX246,0,-1*'Get Started  3'!$E65)*'Get Started  3'!$E86/'Get Started  3'!$E82),0)</f>
        <v>0</v>
      </c>
      <c r="AY251" s="52">
        <f ca="1">IFERROR(IF(AY4&lt;'Get Started  3'!$E55,0,OFFSET(AY246,0,-1*'Get Started  3'!$E55)*'Get Started  3'!$E84/'Get Started  3'!$E82),0)+IFERROR(IF(AY4&lt;'Get Started  3'!$E65,0,OFFSET(AY246,0,-1*'Get Started  3'!$E65)*'Get Started  3'!$E86/'Get Started  3'!$E82),0)</f>
        <v>0</v>
      </c>
      <c r="AZ251" s="52">
        <f ca="1">IFERROR(IF(AZ4&lt;'Get Started  3'!$E55,0,OFFSET(AZ246,0,-1*'Get Started  3'!$E55)*'Get Started  3'!$E84/'Get Started  3'!$E82),0)+IFERROR(IF(AZ4&lt;'Get Started  3'!$E65,0,OFFSET(AZ246,0,-1*'Get Started  3'!$E65)*'Get Started  3'!$E86/'Get Started  3'!$E82),0)</f>
        <v>0</v>
      </c>
      <c r="BA251" s="52">
        <f ca="1">IFERROR(IF(BA4&lt;'Get Started  3'!$E55,0,OFFSET(BA246,0,-1*'Get Started  3'!$E55)*'Get Started  3'!$E84/'Get Started  3'!$E82),0)+IFERROR(IF(BA4&lt;'Get Started  3'!$E65,0,OFFSET(BA246,0,-1*'Get Started  3'!$E65)*'Get Started  3'!$E86/'Get Started  3'!$E82),0)</f>
        <v>0</v>
      </c>
      <c r="BB251" s="52">
        <f ca="1">IFERROR(IF(BB4&lt;'Get Started  3'!$E55,0,OFFSET(BB246,0,-1*'Get Started  3'!$E55)*'Get Started  3'!$E84/'Get Started  3'!$E82),0)+IFERROR(IF(BB4&lt;'Get Started  3'!$E65,0,OFFSET(BB246,0,-1*'Get Started  3'!$E65)*'Get Started  3'!$E86/'Get Started  3'!$E82),0)</f>
        <v>0</v>
      </c>
      <c r="BC251" s="52">
        <f ca="1">IFERROR(IF(BC4&lt;'Get Started  3'!$E55,0,OFFSET(BC246,0,-1*'Get Started  3'!$E55)*'Get Started  3'!$E84/'Get Started  3'!$E82),0)+IFERROR(IF(BC4&lt;'Get Started  3'!$E65,0,OFFSET(BC246,0,-1*'Get Started  3'!$E65)*'Get Started  3'!$E86/'Get Started  3'!$E82),0)</f>
        <v>0</v>
      </c>
      <c r="BD251" s="52">
        <f ca="1">IFERROR(IF(BD4&lt;'Get Started  3'!$E55,0,OFFSET(BD246,0,-1*'Get Started  3'!$E55)*'Get Started  3'!$E84/'Get Started  3'!$E82),0)+IFERROR(IF(BD4&lt;'Get Started  3'!$E65,0,OFFSET(BD246,0,-1*'Get Started  3'!$E65)*'Get Started  3'!$E86/'Get Started  3'!$E82),0)</f>
        <v>0</v>
      </c>
      <c r="BE251" s="52">
        <f ca="1">IFERROR(IF(BE4&lt;'Get Started  3'!$E55,0,OFFSET(BE246,0,-1*'Get Started  3'!$E55)*'Get Started  3'!$E84/'Get Started  3'!$E82),0)+IFERROR(IF(BE4&lt;'Get Started  3'!$E65,0,OFFSET(BE246,0,-1*'Get Started  3'!$E65)*'Get Started  3'!$E86/'Get Started  3'!$E82),0)</f>
        <v>0</v>
      </c>
      <c r="BF251" s="52">
        <f ca="1">IFERROR(IF(BF4&lt;'Get Started  3'!$E55,0,OFFSET(BF246,0,-1*'Get Started  3'!$E55)*'Get Started  3'!$E84/'Get Started  3'!$E82),0)+IFERROR(IF(BF4&lt;'Get Started  3'!$E65,0,OFFSET(BF246,0,-1*'Get Started  3'!$E65)*'Get Started  3'!$E86/'Get Started  3'!$E82),0)</f>
        <v>0</v>
      </c>
      <c r="BG251" s="52">
        <f ca="1">IFERROR(IF(BG4&lt;'Get Started  3'!$E55,0,OFFSET(BG246,0,-1*'Get Started  3'!$E55)*'Get Started  3'!$E84/'Get Started  3'!$E82),0)+IFERROR(IF(BG4&lt;'Get Started  3'!$E65,0,OFFSET(BG246,0,-1*'Get Started  3'!$E65)*'Get Started  3'!$E86/'Get Started  3'!$E82),0)</f>
        <v>0</v>
      </c>
      <c r="BH251" s="52">
        <f ca="1">IFERROR(IF(BH4&lt;'Get Started  3'!$E55,0,OFFSET(BH246,0,-1*'Get Started  3'!$E55)*'Get Started  3'!$E84/'Get Started  3'!$E82),0)+IFERROR(IF(BH4&lt;'Get Started  3'!$E65,0,OFFSET(BH246,0,-1*'Get Started  3'!$E65)*'Get Started  3'!$E86/'Get Started  3'!$E82),0)</f>
        <v>0</v>
      </c>
      <c r="BI251" s="52">
        <f ca="1">IFERROR(IF(BI4&lt;'Get Started  3'!$E55,0,OFFSET(BI246,0,-1*'Get Started  3'!$E55)*'Get Started  3'!$E84/'Get Started  3'!$E82),0)+IFERROR(IF(BI4&lt;'Get Started  3'!$E65,0,OFFSET(BI246,0,-1*'Get Started  3'!$E65)*'Get Started  3'!$E86/'Get Started  3'!$E82),0)</f>
        <v>0</v>
      </c>
      <c r="BJ251" s="52">
        <f ca="1">IFERROR(IF(BJ4&lt;'Get Started  3'!$E55,0,OFFSET(BJ246,0,-1*'Get Started  3'!$E55)*'Get Started  3'!$E84/'Get Started  3'!$E82),0)+IFERROR(IF(BJ4&lt;'Get Started  3'!$E65,0,OFFSET(BJ246,0,-1*'Get Started  3'!$E65)*'Get Started  3'!$E86/'Get Started  3'!$E82),0)</f>
        <v>0</v>
      </c>
      <c r="BK251" s="52">
        <f ca="1">IFERROR(IF(BK4&lt;'Get Started  3'!$E55,0,OFFSET(BK246,0,-1*'Get Started  3'!$E55)*'Get Started  3'!$E84/'Get Started  3'!$E82),0)+IFERROR(IF(BK4&lt;'Get Started  3'!$E65,0,OFFSET(BK246,0,-1*'Get Started  3'!$E65)*'Get Started  3'!$E86/'Get Started  3'!$E82),0)</f>
        <v>0</v>
      </c>
      <c r="BL251" s="52">
        <f ca="1">IFERROR(IF(BL4&lt;'Get Started  3'!$E55,0,OFFSET(BL246,0,-1*'Get Started  3'!$E55)*'Get Started  3'!$E84/'Get Started  3'!$E82),0)+IFERROR(IF(BL4&lt;'Get Started  3'!$E65,0,OFFSET(BL246,0,-1*'Get Started  3'!$E65)*'Get Started  3'!$E86/'Get Started  3'!$E82),0)</f>
        <v>0</v>
      </c>
      <c r="BM251" s="52">
        <f ca="1">IFERROR(IF(BM4&lt;'Get Started  3'!$E55,0,OFFSET(BM246,0,-1*'Get Started  3'!$E55)*'Get Started  3'!$E84/'Get Started  3'!$E82),0)+IFERROR(IF(BM4&lt;'Get Started  3'!$E65,0,OFFSET(BM246,0,-1*'Get Started  3'!$E65)*'Get Started  3'!$E86/'Get Started  3'!$E82),0)</f>
        <v>0</v>
      </c>
      <c r="BN251" s="52">
        <f ca="1">IFERROR(IF(BN4&lt;'Get Started  3'!$E55,0,OFFSET(BN246,0,-1*'Get Started  3'!$E55)*'Get Started  3'!$E84/'Get Started  3'!$E82),0)+IFERROR(IF(BN4&lt;'Get Started  3'!$E65,0,OFFSET(BN246,0,-1*'Get Started  3'!$E65)*'Get Started  3'!$E86/'Get Started  3'!$E82),0)</f>
        <v>0</v>
      </c>
      <c r="BO251" s="52">
        <f ca="1">IFERROR(IF(BO4&lt;'Get Started  3'!$E55,0,OFFSET(BO246,0,-1*'Get Started  3'!$E55)*'Get Started  3'!$E84/'Get Started  3'!$E82),0)+IFERROR(IF(BO4&lt;'Get Started  3'!$E65,0,OFFSET(BO246,0,-1*'Get Started  3'!$E65)*'Get Started  3'!$E86/'Get Started  3'!$E82),0)</f>
        <v>0</v>
      </c>
      <c r="BP251" s="52">
        <f ca="1">IFERROR(IF(BP4&lt;'Get Started  3'!$E55,0,OFFSET(BP246,0,-1*'Get Started  3'!$E55)*'Get Started  3'!$E84/'Get Started  3'!$E82),0)+IFERROR(IF(BP4&lt;'Get Started  3'!$E65,0,OFFSET(BP246,0,-1*'Get Started  3'!$E65)*'Get Started  3'!$E86/'Get Started  3'!$E82),0)</f>
        <v>0</v>
      </c>
      <c r="BQ251" s="52">
        <f ca="1">IFERROR(IF(BQ4&lt;'Get Started  3'!$E55,0,OFFSET(BQ246,0,-1*'Get Started  3'!$E55)*'Get Started  3'!$E84/'Get Started  3'!$E82),0)+IFERROR(IF(BQ4&lt;'Get Started  3'!$E65,0,OFFSET(BQ246,0,-1*'Get Started  3'!$E65)*'Get Started  3'!$E86/'Get Started  3'!$E82),0)</f>
        <v>0</v>
      </c>
      <c r="BR251" s="52">
        <f ca="1">IFERROR(IF(BR4&lt;'Get Started  3'!$E55,0,OFFSET(BR246,0,-1*'Get Started  3'!$E55)*'Get Started  3'!$E84/'Get Started  3'!$E82),0)+IFERROR(IF(BR4&lt;'Get Started  3'!$E65,0,OFFSET(BR246,0,-1*'Get Started  3'!$E65)*'Get Started  3'!$E86/'Get Started  3'!$E82),0)</f>
        <v>0</v>
      </c>
      <c r="BS251" s="52">
        <f ca="1">IFERROR(IF(BS4&lt;'Get Started  3'!$E55,0,OFFSET(BS246,0,-1*'Get Started  3'!$E55)*'Get Started  3'!$E84/'Get Started  3'!$E82),0)+IFERROR(IF(BS4&lt;'Get Started  3'!$E65,0,OFFSET(BS246,0,-1*'Get Started  3'!$E65)*'Get Started  3'!$E86/'Get Started  3'!$E82),0)</f>
        <v>0</v>
      </c>
      <c r="BT251" s="52">
        <f ca="1">IFERROR(IF(BT4&lt;'Get Started  3'!$E55,0,OFFSET(BT246,0,-1*'Get Started  3'!$E55)*'Get Started  3'!$E84/'Get Started  3'!$E82),0)+IFERROR(IF(BT4&lt;'Get Started  3'!$E65,0,OFFSET(BT246,0,-1*'Get Started  3'!$E65)*'Get Started  3'!$E86/'Get Started  3'!$E82),0)</f>
        <v>0</v>
      </c>
      <c r="BU251" s="52">
        <f ca="1">IFERROR(IF(BU4&lt;'Get Started  3'!$E55,0,OFFSET(BU246,0,-1*'Get Started  3'!$E55)*'Get Started  3'!$E84/'Get Started  3'!$E82),0)+IFERROR(IF(BU4&lt;'Get Started  3'!$E65,0,OFFSET(BU246,0,-1*'Get Started  3'!$E65)*'Get Started  3'!$E86/'Get Started  3'!$E82),0)</f>
        <v>0</v>
      </c>
      <c r="BV251" s="52">
        <f ca="1">IFERROR(IF(BV4&lt;'Get Started  3'!$E55,0,OFFSET(BV246,0,-1*'Get Started  3'!$E55)*'Get Started  3'!$E84/'Get Started  3'!$E82),0)+IFERROR(IF(BV4&lt;'Get Started  3'!$E65,0,OFFSET(BV246,0,-1*'Get Started  3'!$E65)*'Get Started  3'!$E86/'Get Started  3'!$E82),0)</f>
        <v>0</v>
      </c>
      <c r="BW251" s="52">
        <f ca="1">IFERROR(IF(BW4&lt;'Get Started  3'!$E55,0,OFFSET(BW246,0,-1*'Get Started  3'!$E55)*'Get Started  3'!$E84/'Get Started  3'!$E82),0)+IFERROR(IF(BW4&lt;'Get Started  3'!$E65,0,OFFSET(BW246,0,-1*'Get Started  3'!$E65)*'Get Started  3'!$E86/'Get Started  3'!$E82),0)</f>
        <v>0</v>
      </c>
      <c r="BX251" s="52">
        <f ca="1">IFERROR(IF(BX4&lt;'Get Started  3'!$E55,0,OFFSET(BX246,0,-1*'Get Started  3'!$E55)*'Get Started  3'!$E84/'Get Started  3'!$E82),0)+IFERROR(IF(BX4&lt;'Get Started  3'!$E65,0,OFFSET(BX246,0,-1*'Get Started  3'!$E65)*'Get Started  3'!$E86/'Get Started  3'!$E82),0)</f>
        <v>0</v>
      </c>
      <c r="BY251" s="52">
        <f ca="1">IFERROR(IF(BY4&lt;'Get Started  3'!$E55,0,OFFSET(BY246,0,-1*'Get Started  3'!$E55)*'Get Started  3'!$E84/'Get Started  3'!$E82),0)+IFERROR(IF(BY4&lt;'Get Started  3'!$E65,0,OFFSET(BY246,0,-1*'Get Started  3'!$E65)*'Get Started  3'!$E86/'Get Started  3'!$E82),0)</f>
        <v>0</v>
      </c>
      <c r="BZ251" s="52">
        <f ca="1">IFERROR(IF(BZ4&lt;'Get Started  3'!$E55,0,OFFSET(BZ246,0,-1*'Get Started  3'!$E55)*'Get Started  3'!$E84/'Get Started  3'!$E82),0)+IFERROR(IF(BZ4&lt;'Get Started  3'!$E65,0,OFFSET(BZ246,0,-1*'Get Started  3'!$E65)*'Get Started  3'!$E86/'Get Started  3'!$E82),0)</f>
        <v>0</v>
      </c>
      <c r="CA251" s="52">
        <f ca="1">IFERROR(IF(CA4&lt;'Get Started  3'!$E55,0,OFFSET(CA246,0,-1*'Get Started  3'!$E55)*'Get Started  3'!$E84/'Get Started  3'!$E82),0)+IFERROR(IF(CA4&lt;'Get Started  3'!$E65,0,OFFSET(CA246,0,-1*'Get Started  3'!$E65)*'Get Started  3'!$E86/'Get Started  3'!$E82),0)</f>
        <v>0</v>
      </c>
      <c r="CB251" s="52">
        <f ca="1">IFERROR(IF(CB4&lt;'Get Started  3'!$E55,0,OFFSET(CB246,0,-1*'Get Started  3'!$E55)*'Get Started  3'!$E84/'Get Started  3'!$E82),0)+IFERROR(IF(CB4&lt;'Get Started  3'!$E65,0,OFFSET(CB246,0,-1*'Get Started  3'!$E65)*'Get Started  3'!$E86/'Get Started  3'!$E82),0)</f>
        <v>0</v>
      </c>
      <c r="CC251" s="52">
        <f ca="1">IFERROR(IF(CC4&lt;'Get Started  3'!$E55,0,OFFSET(CC246,0,-1*'Get Started  3'!$E55)*'Get Started  3'!$E84/'Get Started  3'!$E82),0)+IFERROR(IF(CC4&lt;'Get Started  3'!$E65,0,OFFSET(CC246,0,-1*'Get Started  3'!$E65)*'Get Started  3'!$E86/'Get Started  3'!$E82),0)</f>
        <v>0</v>
      </c>
      <c r="CD251" s="52">
        <f ca="1">IFERROR(IF(CD4&lt;'Get Started  3'!$E55,0,OFFSET(CD246,0,-1*'Get Started  3'!$E55)*'Get Started  3'!$E84/'Get Started  3'!$E82),0)+IFERROR(IF(CD4&lt;'Get Started  3'!$E65,0,OFFSET(CD246,0,-1*'Get Started  3'!$E65)*'Get Started  3'!$E86/'Get Started  3'!$E82),0)</f>
        <v>0</v>
      </c>
      <c r="CE251" s="52">
        <f ca="1">IFERROR(IF(CE4&lt;'Get Started  3'!$E55,0,OFFSET(CE246,0,-1*'Get Started  3'!$E55)*'Get Started  3'!$E84/'Get Started  3'!$E82),0)+IFERROR(IF(CE4&lt;'Get Started  3'!$E65,0,OFFSET(CE246,0,-1*'Get Started  3'!$E65)*'Get Started  3'!$E86/'Get Started  3'!$E82),0)</f>
        <v>0</v>
      </c>
      <c r="CF251" s="52">
        <f ca="1">IFERROR(IF(CF4&lt;'Get Started  3'!$E55,0,OFFSET(CF246,0,-1*'Get Started  3'!$E55)*'Get Started  3'!$E84/'Get Started  3'!$E82),0)+IFERROR(IF(CF4&lt;'Get Started  3'!$E65,0,OFFSET(CF246,0,-1*'Get Started  3'!$E65)*'Get Started  3'!$E86/'Get Started  3'!$E82),0)</f>
        <v>0</v>
      </c>
      <c r="CG251" s="52">
        <f ca="1">IFERROR(IF(CG4&lt;'Get Started  3'!$E55,0,OFFSET(CG246,0,-1*'Get Started  3'!$E55)*'Get Started  3'!$E84/'Get Started  3'!$E82),0)+IFERROR(IF(CG4&lt;'Get Started  3'!$E65,0,OFFSET(CG246,0,-1*'Get Started  3'!$E65)*'Get Started  3'!$E86/'Get Started  3'!$E82),0)</f>
        <v>0</v>
      </c>
      <c r="CH251" s="52">
        <f ca="1">IFERROR(IF(CH4&lt;'Get Started  3'!$E55,0,OFFSET(CH246,0,-1*'Get Started  3'!$E55)*'Get Started  3'!$E84/'Get Started  3'!$E82),0)+IFERROR(IF(CH4&lt;'Get Started  3'!$E65,0,OFFSET(CH246,0,-1*'Get Started  3'!$E65)*'Get Started  3'!$E86/'Get Started  3'!$E82),0)</f>
        <v>0</v>
      </c>
    </row>
    <row r="252" spans="1:86" ht="13" outlineLevel="1">
      <c r="A252" s="13"/>
      <c r="B252" s="13" t="s">
        <v>329</v>
      </c>
      <c r="C252" s="13"/>
      <c r="D252" s="13" t="s">
        <v>238</v>
      </c>
      <c r="E252" s="88">
        <f t="shared" ca="1" si="183"/>
        <v>0</v>
      </c>
      <c r="F252" s="48"/>
      <c r="G252" s="52">
        <f ca="1">IFERROR(IF(G4&lt;'Get Started  3'!$F55,0,OFFSET(G247,0,-1*'Get Started  3'!$F55)*'Get Started  3'!$F84/'Get Started  3'!$F82),0)+IFERROR(IF(G4&lt;'Get Started  3'!$F65,0,OFFSET(G247,0,-1*'Get Started  3'!$F65)*'Get Started  3'!$F86/'Get Started  3'!$F82),0)</f>
        <v>0</v>
      </c>
      <c r="H252" s="52">
        <f ca="1">IFERROR(IF(H4&lt;'Get Started  3'!$F55,0,OFFSET(H247,0,-1*'Get Started  3'!$F55)*'Get Started  3'!$F84/'Get Started  3'!$F82),0)+IFERROR(IF(H4&lt;'Get Started  3'!$F65,0,OFFSET(H247,0,-1*'Get Started  3'!$F65)*'Get Started  3'!$F86/'Get Started  3'!$F82),0)</f>
        <v>0</v>
      </c>
      <c r="I252" s="52">
        <f ca="1">IFERROR(IF(I4&lt;'Get Started  3'!$F55,0,OFFSET(I247,0,-1*'Get Started  3'!$F55)*'Get Started  3'!$F84/'Get Started  3'!$F82),0)+IFERROR(IF(I4&lt;'Get Started  3'!$F65,0,OFFSET(I247,0,-1*'Get Started  3'!$F65)*'Get Started  3'!$F86/'Get Started  3'!$F82),0)</f>
        <v>0</v>
      </c>
      <c r="J252" s="52">
        <f ca="1">IFERROR(IF(J4&lt;'Get Started  3'!$F55,0,OFFSET(J247,0,-1*'Get Started  3'!$F55)*'Get Started  3'!$F84/'Get Started  3'!$F82),0)+IFERROR(IF(J4&lt;'Get Started  3'!$F65,0,OFFSET(J247,0,-1*'Get Started  3'!$F65)*'Get Started  3'!$F86/'Get Started  3'!$F82),0)</f>
        <v>0</v>
      </c>
      <c r="K252" s="52">
        <f ca="1">IFERROR(IF(K4&lt;'Get Started  3'!$F55,0,OFFSET(K247,0,-1*'Get Started  3'!$F55)*'Get Started  3'!$F84/'Get Started  3'!$F82),0)+IFERROR(IF(K4&lt;'Get Started  3'!$F65,0,OFFSET(K247,0,-1*'Get Started  3'!$F65)*'Get Started  3'!$F86/'Get Started  3'!$F82),0)</f>
        <v>0</v>
      </c>
      <c r="L252" s="52">
        <f ca="1">IFERROR(IF(L4&lt;'Get Started  3'!$F55,0,OFFSET(L247,0,-1*'Get Started  3'!$F55)*'Get Started  3'!$F84/'Get Started  3'!$F82),0)+IFERROR(IF(L4&lt;'Get Started  3'!$F65,0,OFFSET(L247,0,-1*'Get Started  3'!$F65)*'Get Started  3'!$F86/'Get Started  3'!$F82),0)</f>
        <v>0</v>
      </c>
      <c r="M252" s="52">
        <f ca="1">IFERROR(IF(M4&lt;'Get Started  3'!$F55,0,OFFSET(M247,0,-1*'Get Started  3'!$F55)*'Get Started  3'!$F84/'Get Started  3'!$F82),0)+IFERROR(IF(M4&lt;'Get Started  3'!$F65,0,OFFSET(M247,0,-1*'Get Started  3'!$F65)*'Get Started  3'!$F86/'Get Started  3'!$F82),0)</f>
        <v>0</v>
      </c>
      <c r="N252" s="52">
        <f ca="1">IFERROR(IF(N4&lt;'Get Started  3'!$F55,0,OFFSET(N247,0,-1*'Get Started  3'!$F55)*'Get Started  3'!$F84/'Get Started  3'!$F82),0)+IFERROR(IF(N4&lt;'Get Started  3'!$F65,0,OFFSET(N247,0,-1*'Get Started  3'!$F65)*'Get Started  3'!$F86/'Get Started  3'!$F82),0)</f>
        <v>0</v>
      </c>
      <c r="O252" s="52">
        <f ca="1">IFERROR(IF(O4&lt;'Get Started  3'!$F55,0,OFFSET(O247,0,-1*'Get Started  3'!$F55)*'Get Started  3'!$F84/'Get Started  3'!$F82),0)+IFERROR(IF(O4&lt;'Get Started  3'!$F65,0,OFFSET(O247,0,-1*'Get Started  3'!$F65)*'Get Started  3'!$F86/'Get Started  3'!$F82),0)</f>
        <v>0</v>
      </c>
      <c r="P252" s="52">
        <f ca="1">IFERROR(IF(P4&lt;'Get Started  3'!$F55,0,OFFSET(P247,0,-1*'Get Started  3'!$F55)*'Get Started  3'!$F84/'Get Started  3'!$F82),0)+IFERROR(IF(P4&lt;'Get Started  3'!$F65,0,OFFSET(P247,0,-1*'Get Started  3'!$F65)*'Get Started  3'!$F86/'Get Started  3'!$F82),0)</f>
        <v>0</v>
      </c>
      <c r="Q252" s="52">
        <f ca="1">IFERROR(IF(Q4&lt;'Get Started  3'!$F55,0,OFFSET(Q247,0,-1*'Get Started  3'!$F55)*'Get Started  3'!$F84/'Get Started  3'!$F82),0)+IFERROR(IF(Q4&lt;'Get Started  3'!$F65,0,OFFSET(Q247,0,-1*'Get Started  3'!$F65)*'Get Started  3'!$F86/'Get Started  3'!$F82),0)</f>
        <v>0</v>
      </c>
      <c r="R252" s="52">
        <f ca="1">IFERROR(IF(R4&lt;'Get Started  3'!$F55,0,OFFSET(R247,0,-1*'Get Started  3'!$F55)*'Get Started  3'!$F84/'Get Started  3'!$F82),0)+IFERROR(IF(R4&lt;'Get Started  3'!$F65,0,OFFSET(R247,0,-1*'Get Started  3'!$F65)*'Get Started  3'!$F86/'Get Started  3'!$F82),0)</f>
        <v>0</v>
      </c>
      <c r="S252" s="52">
        <f ca="1">IFERROR(IF(S4&lt;'Get Started  3'!$F55,0,OFFSET(S247,0,-1*'Get Started  3'!$F55)*'Get Started  3'!$F84/'Get Started  3'!$F82),0)+IFERROR(IF(S4&lt;'Get Started  3'!$F65,0,OFFSET(S247,0,-1*'Get Started  3'!$F65)*'Get Started  3'!$F86/'Get Started  3'!$F82),0)</f>
        <v>0</v>
      </c>
      <c r="T252" s="52">
        <f ca="1">IFERROR(IF(T4&lt;'Get Started  3'!$F55,0,OFFSET(T247,0,-1*'Get Started  3'!$F55)*'Get Started  3'!$F84/'Get Started  3'!$F82),0)+IFERROR(IF(T4&lt;'Get Started  3'!$F65,0,OFFSET(T247,0,-1*'Get Started  3'!$F65)*'Get Started  3'!$F86/'Get Started  3'!$F82),0)</f>
        <v>0</v>
      </c>
      <c r="U252" s="52">
        <f ca="1">IFERROR(IF(U4&lt;'Get Started  3'!$F55,0,OFFSET(U247,0,-1*'Get Started  3'!$F55)*'Get Started  3'!$F84/'Get Started  3'!$F82),0)+IFERROR(IF(U4&lt;'Get Started  3'!$F65,0,OFFSET(U247,0,-1*'Get Started  3'!$F65)*'Get Started  3'!$F86/'Get Started  3'!$F82),0)</f>
        <v>0</v>
      </c>
      <c r="V252" s="52">
        <f ca="1">IFERROR(IF(V4&lt;'Get Started  3'!$F55,0,OFFSET(V247,0,-1*'Get Started  3'!$F55)*'Get Started  3'!$F84/'Get Started  3'!$F82),0)+IFERROR(IF(V4&lt;'Get Started  3'!$F65,0,OFFSET(V247,0,-1*'Get Started  3'!$F65)*'Get Started  3'!$F86/'Get Started  3'!$F82),0)</f>
        <v>0</v>
      </c>
      <c r="W252" s="52">
        <f ca="1">IFERROR(IF(W4&lt;'Get Started  3'!$F55,0,OFFSET(W247,0,-1*'Get Started  3'!$F55)*'Get Started  3'!$F84/'Get Started  3'!$F82),0)+IFERROR(IF(W4&lt;'Get Started  3'!$F65,0,OFFSET(W247,0,-1*'Get Started  3'!$F65)*'Get Started  3'!$F86/'Get Started  3'!$F82),0)</f>
        <v>0</v>
      </c>
      <c r="X252" s="52">
        <f ca="1">IFERROR(IF(X4&lt;'Get Started  3'!$F55,0,OFFSET(X247,0,-1*'Get Started  3'!$F55)*'Get Started  3'!$F84/'Get Started  3'!$F82),0)+IFERROR(IF(X4&lt;'Get Started  3'!$F65,0,OFFSET(X247,0,-1*'Get Started  3'!$F65)*'Get Started  3'!$F86/'Get Started  3'!$F82),0)</f>
        <v>0</v>
      </c>
      <c r="Y252" s="52">
        <f ca="1">IFERROR(IF(Y4&lt;'Get Started  3'!$F55,0,OFFSET(Y247,0,-1*'Get Started  3'!$F55)*'Get Started  3'!$F84/'Get Started  3'!$F82),0)+IFERROR(IF(Y4&lt;'Get Started  3'!$F65,0,OFFSET(Y247,0,-1*'Get Started  3'!$F65)*'Get Started  3'!$F86/'Get Started  3'!$F82),0)</f>
        <v>0</v>
      </c>
      <c r="Z252" s="52">
        <f ca="1">IFERROR(IF(Z4&lt;'Get Started  3'!$F55,0,OFFSET(Z247,0,-1*'Get Started  3'!$F55)*'Get Started  3'!$F84/'Get Started  3'!$F82),0)+IFERROR(IF(Z4&lt;'Get Started  3'!$F65,0,OFFSET(Z247,0,-1*'Get Started  3'!$F65)*'Get Started  3'!$F86/'Get Started  3'!$F82),0)</f>
        <v>0</v>
      </c>
      <c r="AA252" s="52">
        <f ca="1">IFERROR(IF(AA4&lt;'Get Started  3'!$F55,0,OFFSET(AA247,0,-1*'Get Started  3'!$F55)*'Get Started  3'!$F84/'Get Started  3'!$F82),0)+IFERROR(IF(AA4&lt;'Get Started  3'!$F65,0,OFFSET(AA247,0,-1*'Get Started  3'!$F65)*'Get Started  3'!$F86/'Get Started  3'!$F82),0)</f>
        <v>0</v>
      </c>
      <c r="AB252" s="52">
        <f ca="1">IFERROR(IF(AB4&lt;'Get Started  3'!$F55,0,OFFSET(AB247,0,-1*'Get Started  3'!$F55)*'Get Started  3'!$F84/'Get Started  3'!$F82),0)+IFERROR(IF(AB4&lt;'Get Started  3'!$F65,0,OFFSET(AB247,0,-1*'Get Started  3'!$F65)*'Get Started  3'!$F86/'Get Started  3'!$F82),0)</f>
        <v>0</v>
      </c>
      <c r="AC252" s="52">
        <f ca="1">IFERROR(IF(AC4&lt;'Get Started  3'!$F55,0,OFFSET(AC247,0,-1*'Get Started  3'!$F55)*'Get Started  3'!$F84/'Get Started  3'!$F82),0)+IFERROR(IF(AC4&lt;'Get Started  3'!$F65,0,OFFSET(AC247,0,-1*'Get Started  3'!$F65)*'Get Started  3'!$F86/'Get Started  3'!$F82),0)</f>
        <v>0</v>
      </c>
      <c r="AD252" s="52">
        <f ca="1">IFERROR(IF(AD4&lt;'Get Started  3'!$F55,0,OFFSET(AD247,0,-1*'Get Started  3'!$F55)*'Get Started  3'!$F84/'Get Started  3'!$F82),0)+IFERROR(IF(AD4&lt;'Get Started  3'!$F65,0,OFFSET(AD247,0,-1*'Get Started  3'!$F65)*'Get Started  3'!$F86/'Get Started  3'!$F82),0)</f>
        <v>0</v>
      </c>
      <c r="AE252" s="52">
        <f ca="1">IFERROR(IF(AE4&lt;'Get Started  3'!$F55,0,OFFSET(AE247,0,-1*'Get Started  3'!$F55)*'Get Started  3'!$F84/'Get Started  3'!$F82),0)+IFERROR(IF(AE4&lt;'Get Started  3'!$F65,0,OFFSET(AE247,0,-1*'Get Started  3'!$F65)*'Get Started  3'!$F86/'Get Started  3'!$F82),0)</f>
        <v>0</v>
      </c>
      <c r="AF252" s="52">
        <f ca="1">IFERROR(IF(AF4&lt;'Get Started  3'!$F55,0,OFFSET(AF247,0,-1*'Get Started  3'!$F55)*'Get Started  3'!$F84/'Get Started  3'!$F82),0)+IFERROR(IF(AF4&lt;'Get Started  3'!$F65,0,OFFSET(AF247,0,-1*'Get Started  3'!$F65)*'Get Started  3'!$F86/'Get Started  3'!$F82),0)</f>
        <v>0</v>
      </c>
      <c r="AG252" s="52">
        <f ca="1">IFERROR(IF(AG4&lt;'Get Started  3'!$F55,0,OFFSET(AG247,0,-1*'Get Started  3'!$F55)*'Get Started  3'!$F84/'Get Started  3'!$F82),0)+IFERROR(IF(AG4&lt;'Get Started  3'!$F65,0,OFFSET(AG247,0,-1*'Get Started  3'!$F65)*'Get Started  3'!$F86/'Get Started  3'!$F82),0)</f>
        <v>0</v>
      </c>
      <c r="AH252" s="52">
        <f ca="1">IFERROR(IF(AH4&lt;'Get Started  3'!$F55,0,OFFSET(AH247,0,-1*'Get Started  3'!$F55)*'Get Started  3'!$F84/'Get Started  3'!$F82),0)+IFERROR(IF(AH4&lt;'Get Started  3'!$F65,0,OFFSET(AH247,0,-1*'Get Started  3'!$F65)*'Get Started  3'!$F86/'Get Started  3'!$F82),0)</f>
        <v>0</v>
      </c>
      <c r="AI252" s="52">
        <f ca="1">IFERROR(IF(AI4&lt;'Get Started  3'!$F55,0,OFFSET(AI247,0,-1*'Get Started  3'!$F55)*'Get Started  3'!$F84/'Get Started  3'!$F82),0)+IFERROR(IF(AI4&lt;'Get Started  3'!$F65,0,OFFSET(AI247,0,-1*'Get Started  3'!$F65)*'Get Started  3'!$F86/'Get Started  3'!$F82),0)</f>
        <v>0</v>
      </c>
      <c r="AJ252" s="52">
        <f ca="1">IFERROR(IF(AJ4&lt;'Get Started  3'!$F55,0,OFFSET(AJ247,0,-1*'Get Started  3'!$F55)*'Get Started  3'!$F84/'Get Started  3'!$F82),0)+IFERROR(IF(AJ4&lt;'Get Started  3'!$F65,0,OFFSET(AJ247,0,-1*'Get Started  3'!$F65)*'Get Started  3'!$F86/'Get Started  3'!$F82),0)</f>
        <v>0</v>
      </c>
      <c r="AK252" s="52">
        <f ca="1">IFERROR(IF(AK4&lt;'Get Started  3'!$F55,0,OFFSET(AK247,0,-1*'Get Started  3'!$F55)*'Get Started  3'!$F84/'Get Started  3'!$F82),0)+IFERROR(IF(AK4&lt;'Get Started  3'!$F65,0,OFFSET(AK247,0,-1*'Get Started  3'!$F65)*'Get Started  3'!$F86/'Get Started  3'!$F82),0)</f>
        <v>0</v>
      </c>
      <c r="AL252" s="52">
        <f ca="1">IFERROR(IF(AL4&lt;'Get Started  3'!$F55,0,OFFSET(AL247,0,-1*'Get Started  3'!$F55)*'Get Started  3'!$F84/'Get Started  3'!$F82),0)+IFERROR(IF(AL4&lt;'Get Started  3'!$F65,0,OFFSET(AL247,0,-1*'Get Started  3'!$F65)*'Get Started  3'!$F86/'Get Started  3'!$F82),0)</f>
        <v>0</v>
      </c>
      <c r="AM252" s="52">
        <f ca="1">IFERROR(IF(AM4&lt;'Get Started  3'!$F55,0,OFFSET(AM247,0,-1*'Get Started  3'!$F55)*'Get Started  3'!$F84/'Get Started  3'!$F82),0)+IFERROR(IF(AM4&lt;'Get Started  3'!$F65,0,OFFSET(AM247,0,-1*'Get Started  3'!$F65)*'Get Started  3'!$F86/'Get Started  3'!$F82),0)</f>
        <v>0</v>
      </c>
      <c r="AN252" s="52">
        <f ca="1">IFERROR(IF(AN4&lt;'Get Started  3'!$F55,0,OFFSET(AN247,0,-1*'Get Started  3'!$F55)*'Get Started  3'!$F84/'Get Started  3'!$F82),0)+IFERROR(IF(AN4&lt;'Get Started  3'!$F65,0,OFFSET(AN247,0,-1*'Get Started  3'!$F65)*'Get Started  3'!$F86/'Get Started  3'!$F82),0)</f>
        <v>0</v>
      </c>
      <c r="AO252" s="52">
        <f ca="1">IFERROR(IF(AO4&lt;'Get Started  3'!$F55,0,OFFSET(AO247,0,-1*'Get Started  3'!$F55)*'Get Started  3'!$F84/'Get Started  3'!$F82),0)+IFERROR(IF(AO4&lt;'Get Started  3'!$F65,0,OFFSET(AO247,0,-1*'Get Started  3'!$F65)*'Get Started  3'!$F86/'Get Started  3'!$F82),0)</f>
        <v>0</v>
      </c>
      <c r="AP252" s="52">
        <f ca="1">IFERROR(IF(AP4&lt;'Get Started  3'!$F55,0,OFFSET(AP247,0,-1*'Get Started  3'!$F55)*'Get Started  3'!$F84/'Get Started  3'!$F82),0)+IFERROR(IF(AP4&lt;'Get Started  3'!$F65,0,OFFSET(AP247,0,-1*'Get Started  3'!$F65)*'Get Started  3'!$F86/'Get Started  3'!$F82),0)</f>
        <v>0</v>
      </c>
      <c r="AQ252" s="52">
        <f ca="1">IFERROR(IF(AQ4&lt;'Get Started  3'!$F55,0,OFFSET(AQ247,0,-1*'Get Started  3'!$F55)*'Get Started  3'!$F84/'Get Started  3'!$F82),0)+IFERROR(IF(AQ4&lt;'Get Started  3'!$F65,0,OFFSET(AQ247,0,-1*'Get Started  3'!$F65)*'Get Started  3'!$F86/'Get Started  3'!$F82),0)</f>
        <v>0</v>
      </c>
      <c r="AR252" s="52">
        <f ca="1">IFERROR(IF(AR4&lt;'Get Started  3'!$F55,0,OFFSET(AR247,0,-1*'Get Started  3'!$F55)*'Get Started  3'!$F84/'Get Started  3'!$F82),0)+IFERROR(IF(AR4&lt;'Get Started  3'!$F65,0,OFFSET(AR247,0,-1*'Get Started  3'!$F65)*'Get Started  3'!$F86/'Get Started  3'!$F82),0)</f>
        <v>0</v>
      </c>
      <c r="AS252" s="52">
        <f ca="1">IFERROR(IF(AS4&lt;'Get Started  3'!$F55,0,OFFSET(AS247,0,-1*'Get Started  3'!$F55)*'Get Started  3'!$F84/'Get Started  3'!$F82),0)+IFERROR(IF(AS4&lt;'Get Started  3'!$F65,0,OFFSET(AS247,0,-1*'Get Started  3'!$F65)*'Get Started  3'!$F86/'Get Started  3'!$F82),0)</f>
        <v>0</v>
      </c>
      <c r="AT252" s="52">
        <f ca="1">IFERROR(IF(AT4&lt;'Get Started  3'!$F55,0,OFFSET(AT247,0,-1*'Get Started  3'!$F55)*'Get Started  3'!$F84/'Get Started  3'!$F82),0)+IFERROR(IF(AT4&lt;'Get Started  3'!$F65,0,OFFSET(AT247,0,-1*'Get Started  3'!$F65)*'Get Started  3'!$F86/'Get Started  3'!$F82),0)</f>
        <v>0</v>
      </c>
      <c r="AU252" s="52">
        <f ca="1">IFERROR(IF(AU4&lt;'Get Started  3'!$F55,0,OFFSET(AU247,0,-1*'Get Started  3'!$F55)*'Get Started  3'!$F84/'Get Started  3'!$F82),0)+IFERROR(IF(AU4&lt;'Get Started  3'!$F65,0,OFFSET(AU247,0,-1*'Get Started  3'!$F65)*'Get Started  3'!$F86/'Get Started  3'!$F82),0)</f>
        <v>0</v>
      </c>
      <c r="AV252" s="52">
        <f ca="1">IFERROR(IF(AV4&lt;'Get Started  3'!$F55,0,OFFSET(AV247,0,-1*'Get Started  3'!$F55)*'Get Started  3'!$F84/'Get Started  3'!$F82),0)+IFERROR(IF(AV4&lt;'Get Started  3'!$F65,0,OFFSET(AV247,0,-1*'Get Started  3'!$F65)*'Get Started  3'!$F86/'Get Started  3'!$F82),0)</f>
        <v>0</v>
      </c>
      <c r="AW252" s="52">
        <f ca="1">IFERROR(IF(AW4&lt;'Get Started  3'!$F55,0,OFFSET(AW247,0,-1*'Get Started  3'!$F55)*'Get Started  3'!$F84/'Get Started  3'!$F82),0)+IFERROR(IF(AW4&lt;'Get Started  3'!$F65,0,OFFSET(AW247,0,-1*'Get Started  3'!$F65)*'Get Started  3'!$F86/'Get Started  3'!$F82),0)</f>
        <v>0</v>
      </c>
      <c r="AX252" s="52">
        <f ca="1">IFERROR(IF(AX4&lt;'Get Started  3'!$F55,0,OFFSET(AX247,0,-1*'Get Started  3'!$F55)*'Get Started  3'!$F84/'Get Started  3'!$F82),0)+IFERROR(IF(AX4&lt;'Get Started  3'!$F65,0,OFFSET(AX247,0,-1*'Get Started  3'!$F65)*'Get Started  3'!$F86/'Get Started  3'!$F82),0)</f>
        <v>0</v>
      </c>
      <c r="AY252" s="52">
        <f ca="1">IFERROR(IF(AY4&lt;'Get Started  3'!$F55,0,OFFSET(AY247,0,-1*'Get Started  3'!$F55)*'Get Started  3'!$F84/'Get Started  3'!$F82),0)+IFERROR(IF(AY4&lt;'Get Started  3'!$F65,0,OFFSET(AY247,0,-1*'Get Started  3'!$F65)*'Get Started  3'!$F86/'Get Started  3'!$F82),0)</f>
        <v>0</v>
      </c>
      <c r="AZ252" s="52">
        <f ca="1">IFERROR(IF(AZ4&lt;'Get Started  3'!$F55,0,OFFSET(AZ247,0,-1*'Get Started  3'!$F55)*'Get Started  3'!$F84/'Get Started  3'!$F82),0)+IFERROR(IF(AZ4&lt;'Get Started  3'!$F65,0,OFFSET(AZ247,0,-1*'Get Started  3'!$F65)*'Get Started  3'!$F86/'Get Started  3'!$F82),0)</f>
        <v>0</v>
      </c>
      <c r="BA252" s="52">
        <f ca="1">IFERROR(IF(BA4&lt;'Get Started  3'!$F55,0,OFFSET(BA247,0,-1*'Get Started  3'!$F55)*'Get Started  3'!$F84/'Get Started  3'!$F82),0)+IFERROR(IF(BA4&lt;'Get Started  3'!$F65,0,OFFSET(BA247,0,-1*'Get Started  3'!$F65)*'Get Started  3'!$F86/'Get Started  3'!$F82),0)</f>
        <v>0</v>
      </c>
      <c r="BB252" s="52">
        <f ca="1">IFERROR(IF(BB4&lt;'Get Started  3'!$F55,0,OFFSET(BB247,0,-1*'Get Started  3'!$F55)*'Get Started  3'!$F84/'Get Started  3'!$F82),0)+IFERROR(IF(BB4&lt;'Get Started  3'!$F65,0,OFFSET(BB247,0,-1*'Get Started  3'!$F65)*'Get Started  3'!$F86/'Get Started  3'!$F82),0)</f>
        <v>0</v>
      </c>
      <c r="BC252" s="52">
        <f ca="1">IFERROR(IF(BC4&lt;'Get Started  3'!$F55,0,OFFSET(BC247,0,-1*'Get Started  3'!$F55)*'Get Started  3'!$F84/'Get Started  3'!$F82),0)+IFERROR(IF(BC4&lt;'Get Started  3'!$F65,0,OFFSET(BC247,0,-1*'Get Started  3'!$F65)*'Get Started  3'!$F86/'Get Started  3'!$F82),0)</f>
        <v>0</v>
      </c>
      <c r="BD252" s="52">
        <f ca="1">IFERROR(IF(BD4&lt;'Get Started  3'!$F55,0,OFFSET(BD247,0,-1*'Get Started  3'!$F55)*'Get Started  3'!$F84/'Get Started  3'!$F82),0)+IFERROR(IF(BD4&lt;'Get Started  3'!$F65,0,OFFSET(BD247,0,-1*'Get Started  3'!$F65)*'Get Started  3'!$F86/'Get Started  3'!$F82),0)</f>
        <v>0</v>
      </c>
      <c r="BE252" s="52">
        <f ca="1">IFERROR(IF(BE4&lt;'Get Started  3'!$F55,0,OFFSET(BE247,0,-1*'Get Started  3'!$F55)*'Get Started  3'!$F84/'Get Started  3'!$F82),0)+IFERROR(IF(BE4&lt;'Get Started  3'!$F65,0,OFFSET(BE247,0,-1*'Get Started  3'!$F65)*'Get Started  3'!$F86/'Get Started  3'!$F82),0)</f>
        <v>0</v>
      </c>
      <c r="BF252" s="52">
        <f ca="1">IFERROR(IF(BF4&lt;'Get Started  3'!$F55,0,OFFSET(BF247,0,-1*'Get Started  3'!$F55)*'Get Started  3'!$F84/'Get Started  3'!$F82),0)+IFERROR(IF(BF4&lt;'Get Started  3'!$F65,0,OFFSET(BF247,0,-1*'Get Started  3'!$F65)*'Get Started  3'!$F86/'Get Started  3'!$F82),0)</f>
        <v>0</v>
      </c>
      <c r="BG252" s="52">
        <f ca="1">IFERROR(IF(BG4&lt;'Get Started  3'!$F55,0,OFFSET(BG247,0,-1*'Get Started  3'!$F55)*'Get Started  3'!$F84/'Get Started  3'!$F82),0)+IFERROR(IF(BG4&lt;'Get Started  3'!$F65,0,OFFSET(BG247,0,-1*'Get Started  3'!$F65)*'Get Started  3'!$F86/'Get Started  3'!$F82),0)</f>
        <v>0</v>
      </c>
      <c r="BH252" s="52">
        <f ca="1">IFERROR(IF(BH4&lt;'Get Started  3'!$F55,0,OFFSET(BH247,0,-1*'Get Started  3'!$F55)*'Get Started  3'!$F84/'Get Started  3'!$F82),0)+IFERROR(IF(BH4&lt;'Get Started  3'!$F65,0,OFFSET(BH247,0,-1*'Get Started  3'!$F65)*'Get Started  3'!$F86/'Get Started  3'!$F82),0)</f>
        <v>0</v>
      </c>
      <c r="BI252" s="52">
        <f ca="1">IFERROR(IF(BI4&lt;'Get Started  3'!$F55,0,OFFSET(BI247,0,-1*'Get Started  3'!$F55)*'Get Started  3'!$F84/'Get Started  3'!$F82),0)+IFERROR(IF(BI4&lt;'Get Started  3'!$F65,0,OFFSET(BI247,0,-1*'Get Started  3'!$F65)*'Get Started  3'!$F86/'Get Started  3'!$F82),0)</f>
        <v>0</v>
      </c>
      <c r="BJ252" s="52">
        <f ca="1">IFERROR(IF(BJ4&lt;'Get Started  3'!$F55,0,OFFSET(BJ247,0,-1*'Get Started  3'!$F55)*'Get Started  3'!$F84/'Get Started  3'!$F82),0)+IFERROR(IF(BJ4&lt;'Get Started  3'!$F65,0,OFFSET(BJ247,0,-1*'Get Started  3'!$F65)*'Get Started  3'!$F86/'Get Started  3'!$F82),0)</f>
        <v>0</v>
      </c>
      <c r="BK252" s="52">
        <f ca="1">IFERROR(IF(BK4&lt;'Get Started  3'!$F55,0,OFFSET(BK247,0,-1*'Get Started  3'!$F55)*'Get Started  3'!$F84/'Get Started  3'!$F82),0)+IFERROR(IF(BK4&lt;'Get Started  3'!$F65,0,OFFSET(BK247,0,-1*'Get Started  3'!$F65)*'Get Started  3'!$F86/'Get Started  3'!$F82),0)</f>
        <v>0</v>
      </c>
      <c r="BL252" s="52">
        <f ca="1">IFERROR(IF(BL4&lt;'Get Started  3'!$F55,0,OFFSET(BL247,0,-1*'Get Started  3'!$F55)*'Get Started  3'!$F84/'Get Started  3'!$F82),0)+IFERROR(IF(BL4&lt;'Get Started  3'!$F65,0,OFFSET(BL247,0,-1*'Get Started  3'!$F65)*'Get Started  3'!$F86/'Get Started  3'!$F82),0)</f>
        <v>0</v>
      </c>
      <c r="BM252" s="52">
        <f ca="1">IFERROR(IF(BM4&lt;'Get Started  3'!$F55,0,OFFSET(BM247,0,-1*'Get Started  3'!$F55)*'Get Started  3'!$F84/'Get Started  3'!$F82),0)+IFERROR(IF(BM4&lt;'Get Started  3'!$F65,0,OFFSET(BM247,0,-1*'Get Started  3'!$F65)*'Get Started  3'!$F86/'Get Started  3'!$F82),0)</f>
        <v>0</v>
      </c>
      <c r="BN252" s="52">
        <f ca="1">IFERROR(IF(BN4&lt;'Get Started  3'!$F55,0,OFFSET(BN247,0,-1*'Get Started  3'!$F55)*'Get Started  3'!$F84/'Get Started  3'!$F82),0)+IFERROR(IF(BN4&lt;'Get Started  3'!$F65,0,OFFSET(BN247,0,-1*'Get Started  3'!$F65)*'Get Started  3'!$F86/'Get Started  3'!$F82),0)</f>
        <v>0</v>
      </c>
      <c r="BO252" s="52">
        <f ca="1">IFERROR(IF(BO4&lt;'Get Started  3'!$F55,0,OFFSET(BO247,0,-1*'Get Started  3'!$F55)*'Get Started  3'!$F84/'Get Started  3'!$F82),0)+IFERROR(IF(BO4&lt;'Get Started  3'!$F65,0,OFFSET(BO247,0,-1*'Get Started  3'!$F65)*'Get Started  3'!$F86/'Get Started  3'!$F82),0)</f>
        <v>0</v>
      </c>
      <c r="BP252" s="52">
        <f ca="1">IFERROR(IF(BP4&lt;'Get Started  3'!$F55,0,OFFSET(BP247,0,-1*'Get Started  3'!$F55)*'Get Started  3'!$F84/'Get Started  3'!$F82),0)+IFERROR(IF(BP4&lt;'Get Started  3'!$F65,0,OFFSET(BP247,0,-1*'Get Started  3'!$F65)*'Get Started  3'!$F86/'Get Started  3'!$F82),0)</f>
        <v>0</v>
      </c>
      <c r="BQ252" s="52">
        <f ca="1">IFERROR(IF(BQ4&lt;'Get Started  3'!$F55,0,OFFSET(BQ247,0,-1*'Get Started  3'!$F55)*'Get Started  3'!$F84/'Get Started  3'!$F82),0)+IFERROR(IF(BQ4&lt;'Get Started  3'!$F65,0,OFFSET(BQ247,0,-1*'Get Started  3'!$F65)*'Get Started  3'!$F86/'Get Started  3'!$F82),0)</f>
        <v>0</v>
      </c>
      <c r="BR252" s="52">
        <f ca="1">IFERROR(IF(BR4&lt;'Get Started  3'!$F55,0,OFFSET(BR247,0,-1*'Get Started  3'!$F55)*'Get Started  3'!$F84/'Get Started  3'!$F82),0)+IFERROR(IF(BR4&lt;'Get Started  3'!$F65,0,OFFSET(BR247,0,-1*'Get Started  3'!$F65)*'Get Started  3'!$F86/'Get Started  3'!$F82),0)</f>
        <v>0</v>
      </c>
      <c r="BS252" s="52">
        <f ca="1">IFERROR(IF(BS4&lt;'Get Started  3'!$F55,0,OFFSET(BS247,0,-1*'Get Started  3'!$F55)*'Get Started  3'!$F84/'Get Started  3'!$F82),0)+IFERROR(IF(BS4&lt;'Get Started  3'!$F65,0,OFFSET(BS247,0,-1*'Get Started  3'!$F65)*'Get Started  3'!$F86/'Get Started  3'!$F82),0)</f>
        <v>0</v>
      </c>
      <c r="BT252" s="52">
        <f ca="1">IFERROR(IF(BT4&lt;'Get Started  3'!$F55,0,OFFSET(BT247,0,-1*'Get Started  3'!$F55)*'Get Started  3'!$F84/'Get Started  3'!$F82),0)+IFERROR(IF(BT4&lt;'Get Started  3'!$F65,0,OFFSET(BT247,0,-1*'Get Started  3'!$F65)*'Get Started  3'!$F86/'Get Started  3'!$F82),0)</f>
        <v>0</v>
      </c>
      <c r="BU252" s="52">
        <f ca="1">IFERROR(IF(BU4&lt;'Get Started  3'!$F55,0,OFFSET(BU247,0,-1*'Get Started  3'!$F55)*'Get Started  3'!$F84/'Get Started  3'!$F82),0)+IFERROR(IF(BU4&lt;'Get Started  3'!$F65,0,OFFSET(BU247,0,-1*'Get Started  3'!$F65)*'Get Started  3'!$F86/'Get Started  3'!$F82),0)</f>
        <v>0</v>
      </c>
      <c r="BV252" s="52">
        <f ca="1">IFERROR(IF(BV4&lt;'Get Started  3'!$F55,0,OFFSET(BV247,0,-1*'Get Started  3'!$F55)*'Get Started  3'!$F84/'Get Started  3'!$F82),0)+IFERROR(IF(BV4&lt;'Get Started  3'!$F65,0,OFFSET(BV247,0,-1*'Get Started  3'!$F65)*'Get Started  3'!$F86/'Get Started  3'!$F82),0)</f>
        <v>0</v>
      </c>
      <c r="BW252" s="52">
        <f ca="1">IFERROR(IF(BW4&lt;'Get Started  3'!$F55,0,OFFSET(BW247,0,-1*'Get Started  3'!$F55)*'Get Started  3'!$F84/'Get Started  3'!$F82),0)+IFERROR(IF(BW4&lt;'Get Started  3'!$F65,0,OFFSET(BW247,0,-1*'Get Started  3'!$F65)*'Get Started  3'!$F86/'Get Started  3'!$F82),0)</f>
        <v>0</v>
      </c>
      <c r="BX252" s="52">
        <f ca="1">IFERROR(IF(BX4&lt;'Get Started  3'!$F55,0,OFFSET(BX247,0,-1*'Get Started  3'!$F55)*'Get Started  3'!$F84/'Get Started  3'!$F82),0)+IFERROR(IF(BX4&lt;'Get Started  3'!$F65,0,OFFSET(BX247,0,-1*'Get Started  3'!$F65)*'Get Started  3'!$F86/'Get Started  3'!$F82),0)</f>
        <v>0</v>
      </c>
      <c r="BY252" s="52">
        <f ca="1">IFERROR(IF(BY4&lt;'Get Started  3'!$F55,0,OFFSET(BY247,0,-1*'Get Started  3'!$F55)*'Get Started  3'!$F84/'Get Started  3'!$F82),0)+IFERROR(IF(BY4&lt;'Get Started  3'!$F65,0,OFFSET(BY247,0,-1*'Get Started  3'!$F65)*'Get Started  3'!$F86/'Get Started  3'!$F82),0)</f>
        <v>0</v>
      </c>
      <c r="BZ252" s="52">
        <f ca="1">IFERROR(IF(BZ4&lt;'Get Started  3'!$F55,0,OFFSET(BZ247,0,-1*'Get Started  3'!$F55)*'Get Started  3'!$F84/'Get Started  3'!$F82),0)+IFERROR(IF(BZ4&lt;'Get Started  3'!$F65,0,OFFSET(BZ247,0,-1*'Get Started  3'!$F65)*'Get Started  3'!$F86/'Get Started  3'!$F82),0)</f>
        <v>0</v>
      </c>
      <c r="CA252" s="52">
        <f ca="1">IFERROR(IF(CA4&lt;'Get Started  3'!$F55,0,OFFSET(CA247,0,-1*'Get Started  3'!$F55)*'Get Started  3'!$F84/'Get Started  3'!$F82),0)+IFERROR(IF(CA4&lt;'Get Started  3'!$F65,0,OFFSET(CA247,0,-1*'Get Started  3'!$F65)*'Get Started  3'!$F86/'Get Started  3'!$F82),0)</f>
        <v>0</v>
      </c>
      <c r="CB252" s="52">
        <f ca="1">IFERROR(IF(CB4&lt;'Get Started  3'!$F55,0,OFFSET(CB247,0,-1*'Get Started  3'!$F55)*'Get Started  3'!$F84/'Get Started  3'!$F82),0)+IFERROR(IF(CB4&lt;'Get Started  3'!$F65,0,OFFSET(CB247,0,-1*'Get Started  3'!$F65)*'Get Started  3'!$F86/'Get Started  3'!$F82),0)</f>
        <v>0</v>
      </c>
      <c r="CC252" s="52">
        <f ca="1">IFERROR(IF(CC4&lt;'Get Started  3'!$F55,0,OFFSET(CC247,0,-1*'Get Started  3'!$F55)*'Get Started  3'!$F84/'Get Started  3'!$F82),0)+IFERROR(IF(CC4&lt;'Get Started  3'!$F65,0,OFFSET(CC247,0,-1*'Get Started  3'!$F65)*'Get Started  3'!$F86/'Get Started  3'!$F82),0)</f>
        <v>0</v>
      </c>
      <c r="CD252" s="52">
        <f ca="1">IFERROR(IF(CD4&lt;'Get Started  3'!$F55,0,OFFSET(CD247,0,-1*'Get Started  3'!$F55)*'Get Started  3'!$F84/'Get Started  3'!$F82),0)+IFERROR(IF(CD4&lt;'Get Started  3'!$F65,0,OFFSET(CD247,0,-1*'Get Started  3'!$F65)*'Get Started  3'!$F86/'Get Started  3'!$F82),0)</f>
        <v>0</v>
      </c>
      <c r="CE252" s="52">
        <f ca="1">IFERROR(IF(CE4&lt;'Get Started  3'!$F55,0,OFFSET(CE247,0,-1*'Get Started  3'!$F55)*'Get Started  3'!$F84/'Get Started  3'!$F82),0)+IFERROR(IF(CE4&lt;'Get Started  3'!$F65,0,OFFSET(CE247,0,-1*'Get Started  3'!$F65)*'Get Started  3'!$F86/'Get Started  3'!$F82),0)</f>
        <v>0</v>
      </c>
      <c r="CF252" s="52">
        <f ca="1">IFERROR(IF(CF4&lt;'Get Started  3'!$F55,0,OFFSET(CF247,0,-1*'Get Started  3'!$F55)*'Get Started  3'!$F84/'Get Started  3'!$F82),0)+IFERROR(IF(CF4&lt;'Get Started  3'!$F65,0,OFFSET(CF247,0,-1*'Get Started  3'!$F65)*'Get Started  3'!$F86/'Get Started  3'!$F82),0)</f>
        <v>0</v>
      </c>
      <c r="CG252" s="52">
        <f ca="1">IFERROR(IF(CG4&lt;'Get Started  3'!$F55,0,OFFSET(CG247,0,-1*'Get Started  3'!$F55)*'Get Started  3'!$F84/'Get Started  3'!$F82),0)+IFERROR(IF(CG4&lt;'Get Started  3'!$F65,0,OFFSET(CG247,0,-1*'Get Started  3'!$F65)*'Get Started  3'!$F86/'Get Started  3'!$F82),0)</f>
        <v>0</v>
      </c>
      <c r="CH252" s="52">
        <f ca="1">IFERROR(IF(CH4&lt;'Get Started  3'!$F55,0,OFFSET(CH247,0,-1*'Get Started  3'!$F55)*'Get Started  3'!$F84/'Get Started  3'!$F82),0)+IFERROR(IF(CH4&lt;'Get Started  3'!$F65,0,OFFSET(CH247,0,-1*'Get Started  3'!$F65)*'Get Started  3'!$F86/'Get Started  3'!$F82),0)</f>
        <v>0</v>
      </c>
    </row>
    <row r="253" spans="1:86" ht="13" outlineLevel="1">
      <c r="A253" s="13"/>
      <c r="B253" s="13" t="s">
        <v>329</v>
      </c>
      <c r="C253" s="13"/>
      <c r="D253" s="13" t="s">
        <v>238</v>
      </c>
      <c r="E253" s="88">
        <f t="shared" ca="1" si="183"/>
        <v>0</v>
      </c>
      <c r="F253" s="48"/>
      <c r="G253" s="52">
        <f ca="1">IFERROR(IF(G4&lt;'Get Started  3'!$G55,0,OFFSET(G248,0,-1*'Get Started  3'!$G55)*'Get Started  3'!$G84/'Get Started  3'!$G82),0)+IFERROR(IF(G4&lt;'Get Started  3'!$G65,0,OFFSET(G248,0,-1*'Get Started  3'!$G65)*'Get Started  3'!$G86/'Get Started  3'!$G82),0)</f>
        <v>0</v>
      </c>
      <c r="H253" s="52">
        <f ca="1">IFERROR(IF(H4&lt;'Get Started  3'!$G55,0,OFFSET(H248,0,-1*'Get Started  3'!$G55)*'Get Started  3'!$G84/'Get Started  3'!$G82),0)+IFERROR(IF(H4&lt;'Get Started  3'!$G65,0,OFFSET(H248,0,-1*'Get Started  3'!$G65)*'Get Started  3'!$G86/'Get Started  3'!$G82),0)</f>
        <v>0</v>
      </c>
      <c r="I253" s="52">
        <f ca="1">IFERROR(IF(I4&lt;'Get Started  3'!$G55,0,OFFSET(I248,0,-1*'Get Started  3'!$G55)*'Get Started  3'!$G84/'Get Started  3'!$G82),0)+IFERROR(IF(I4&lt;'Get Started  3'!$G65,0,OFFSET(I248,0,-1*'Get Started  3'!$G65)*'Get Started  3'!$G86/'Get Started  3'!$G82),0)</f>
        <v>0</v>
      </c>
      <c r="J253" s="52">
        <f ca="1">IFERROR(IF(J4&lt;'Get Started  3'!$G55,0,OFFSET(J248,0,-1*'Get Started  3'!$G55)*'Get Started  3'!$G84/'Get Started  3'!$G82),0)+IFERROR(IF(J4&lt;'Get Started  3'!$G65,0,OFFSET(J248,0,-1*'Get Started  3'!$G65)*'Get Started  3'!$G86/'Get Started  3'!$G82),0)</f>
        <v>0</v>
      </c>
      <c r="K253" s="52">
        <f ca="1">IFERROR(IF(K4&lt;'Get Started  3'!$G55,0,OFFSET(K248,0,-1*'Get Started  3'!$G55)*'Get Started  3'!$G84/'Get Started  3'!$G82),0)+IFERROR(IF(K4&lt;'Get Started  3'!$G65,0,OFFSET(K248,0,-1*'Get Started  3'!$G65)*'Get Started  3'!$G86/'Get Started  3'!$G82),0)</f>
        <v>0</v>
      </c>
      <c r="L253" s="52">
        <f ca="1">IFERROR(IF(L4&lt;'Get Started  3'!$G55,0,OFFSET(L248,0,-1*'Get Started  3'!$G55)*'Get Started  3'!$G84/'Get Started  3'!$G82),0)+IFERROR(IF(L4&lt;'Get Started  3'!$G65,0,OFFSET(L248,0,-1*'Get Started  3'!$G65)*'Get Started  3'!$G86/'Get Started  3'!$G82),0)</f>
        <v>0</v>
      </c>
      <c r="M253" s="52">
        <f ca="1">IFERROR(IF(M4&lt;'Get Started  3'!$G55,0,OFFSET(M248,0,-1*'Get Started  3'!$G55)*'Get Started  3'!$G84/'Get Started  3'!$G82),0)+IFERROR(IF(M4&lt;'Get Started  3'!$G65,0,OFFSET(M248,0,-1*'Get Started  3'!$G65)*'Get Started  3'!$G86/'Get Started  3'!$G82),0)</f>
        <v>0</v>
      </c>
      <c r="N253" s="52">
        <f ca="1">IFERROR(IF(N4&lt;'Get Started  3'!$G55,0,OFFSET(N248,0,-1*'Get Started  3'!$G55)*'Get Started  3'!$G84/'Get Started  3'!$G82),0)+IFERROR(IF(N4&lt;'Get Started  3'!$G65,0,OFFSET(N248,0,-1*'Get Started  3'!$G65)*'Get Started  3'!$G86/'Get Started  3'!$G82),0)</f>
        <v>0</v>
      </c>
      <c r="O253" s="52">
        <f ca="1">IFERROR(IF(O4&lt;'Get Started  3'!$G55,0,OFFSET(O248,0,-1*'Get Started  3'!$G55)*'Get Started  3'!$G84/'Get Started  3'!$G82),0)+IFERROR(IF(O4&lt;'Get Started  3'!$G65,0,OFFSET(O248,0,-1*'Get Started  3'!$G65)*'Get Started  3'!$G86/'Get Started  3'!$G82),0)</f>
        <v>0</v>
      </c>
      <c r="P253" s="52">
        <f ca="1">IFERROR(IF(P4&lt;'Get Started  3'!$G55,0,OFFSET(P248,0,-1*'Get Started  3'!$G55)*'Get Started  3'!$G84/'Get Started  3'!$G82),0)+IFERROR(IF(P4&lt;'Get Started  3'!$G65,0,OFFSET(P248,0,-1*'Get Started  3'!$G65)*'Get Started  3'!$G86/'Get Started  3'!$G82),0)</f>
        <v>0</v>
      </c>
      <c r="Q253" s="52">
        <f ca="1">IFERROR(IF(Q4&lt;'Get Started  3'!$G55,0,OFFSET(Q248,0,-1*'Get Started  3'!$G55)*'Get Started  3'!$G84/'Get Started  3'!$G82),0)+IFERROR(IF(Q4&lt;'Get Started  3'!$G65,0,OFFSET(Q248,0,-1*'Get Started  3'!$G65)*'Get Started  3'!$G86/'Get Started  3'!$G82),0)</f>
        <v>0</v>
      </c>
      <c r="R253" s="52">
        <f ca="1">IFERROR(IF(R4&lt;'Get Started  3'!$G55,0,OFFSET(R248,0,-1*'Get Started  3'!$G55)*'Get Started  3'!$G84/'Get Started  3'!$G82),0)+IFERROR(IF(R4&lt;'Get Started  3'!$G65,0,OFFSET(R248,0,-1*'Get Started  3'!$G65)*'Get Started  3'!$G86/'Get Started  3'!$G82),0)</f>
        <v>0</v>
      </c>
      <c r="S253" s="52">
        <f ca="1">IFERROR(IF(S4&lt;'Get Started  3'!$G55,0,OFFSET(S248,0,-1*'Get Started  3'!$G55)*'Get Started  3'!$G84/'Get Started  3'!$G82),0)+IFERROR(IF(S4&lt;'Get Started  3'!$G65,0,OFFSET(S248,0,-1*'Get Started  3'!$G65)*'Get Started  3'!$G86/'Get Started  3'!$G82),0)</f>
        <v>0</v>
      </c>
      <c r="T253" s="52">
        <f ca="1">IFERROR(IF(T4&lt;'Get Started  3'!$G55,0,OFFSET(T248,0,-1*'Get Started  3'!$G55)*'Get Started  3'!$G84/'Get Started  3'!$G82),0)+IFERROR(IF(T4&lt;'Get Started  3'!$G65,0,OFFSET(T248,0,-1*'Get Started  3'!$G65)*'Get Started  3'!$G86/'Get Started  3'!$G82),0)</f>
        <v>0</v>
      </c>
      <c r="U253" s="52">
        <f ca="1">IFERROR(IF(U4&lt;'Get Started  3'!$G55,0,OFFSET(U248,0,-1*'Get Started  3'!$G55)*'Get Started  3'!$G84/'Get Started  3'!$G82),0)+IFERROR(IF(U4&lt;'Get Started  3'!$G65,0,OFFSET(U248,0,-1*'Get Started  3'!$G65)*'Get Started  3'!$G86/'Get Started  3'!$G82),0)</f>
        <v>0</v>
      </c>
      <c r="V253" s="52">
        <f ca="1">IFERROR(IF(V4&lt;'Get Started  3'!$G55,0,OFFSET(V248,0,-1*'Get Started  3'!$G55)*'Get Started  3'!$G84/'Get Started  3'!$G82),0)+IFERROR(IF(V4&lt;'Get Started  3'!$G65,0,OFFSET(V248,0,-1*'Get Started  3'!$G65)*'Get Started  3'!$G86/'Get Started  3'!$G82),0)</f>
        <v>0</v>
      </c>
      <c r="W253" s="52">
        <f ca="1">IFERROR(IF(W4&lt;'Get Started  3'!$G55,0,OFFSET(W248,0,-1*'Get Started  3'!$G55)*'Get Started  3'!$G84/'Get Started  3'!$G82),0)+IFERROR(IF(W4&lt;'Get Started  3'!$G65,0,OFFSET(W248,0,-1*'Get Started  3'!$G65)*'Get Started  3'!$G86/'Get Started  3'!$G82),0)</f>
        <v>0</v>
      </c>
      <c r="X253" s="52">
        <f ca="1">IFERROR(IF(X4&lt;'Get Started  3'!$G55,0,OFFSET(X248,0,-1*'Get Started  3'!$G55)*'Get Started  3'!$G84/'Get Started  3'!$G82),0)+IFERROR(IF(X4&lt;'Get Started  3'!$G65,0,OFFSET(X248,0,-1*'Get Started  3'!$G65)*'Get Started  3'!$G86/'Get Started  3'!$G82),0)</f>
        <v>0</v>
      </c>
      <c r="Y253" s="52">
        <f ca="1">IFERROR(IF(Y4&lt;'Get Started  3'!$G55,0,OFFSET(Y248,0,-1*'Get Started  3'!$G55)*'Get Started  3'!$G84/'Get Started  3'!$G82),0)+IFERROR(IF(Y4&lt;'Get Started  3'!$G65,0,OFFSET(Y248,0,-1*'Get Started  3'!$G65)*'Get Started  3'!$G86/'Get Started  3'!$G82),0)</f>
        <v>0</v>
      </c>
      <c r="Z253" s="52">
        <f ca="1">IFERROR(IF(Z4&lt;'Get Started  3'!$G55,0,OFFSET(Z248,0,-1*'Get Started  3'!$G55)*'Get Started  3'!$G84/'Get Started  3'!$G82),0)+IFERROR(IF(Z4&lt;'Get Started  3'!$G65,0,OFFSET(Z248,0,-1*'Get Started  3'!$G65)*'Get Started  3'!$G86/'Get Started  3'!$G82),0)</f>
        <v>0</v>
      </c>
      <c r="AA253" s="52">
        <f ca="1">IFERROR(IF(AA4&lt;'Get Started  3'!$G55,0,OFFSET(AA248,0,-1*'Get Started  3'!$G55)*'Get Started  3'!$G84/'Get Started  3'!$G82),0)+IFERROR(IF(AA4&lt;'Get Started  3'!$G65,0,OFFSET(AA248,0,-1*'Get Started  3'!$G65)*'Get Started  3'!$G86/'Get Started  3'!$G82),0)</f>
        <v>0</v>
      </c>
      <c r="AB253" s="52">
        <f ca="1">IFERROR(IF(AB4&lt;'Get Started  3'!$G55,0,OFFSET(AB248,0,-1*'Get Started  3'!$G55)*'Get Started  3'!$G84/'Get Started  3'!$G82),0)+IFERROR(IF(AB4&lt;'Get Started  3'!$G65,0,OFFSET(AB248,0,-1*'Get Started  3'!$G65)*'Get Started  3'!$G86/'Get Started  3'!$G82),0)</f>
        <v>0</v>
      </c>
      <c r="AC253" s="52">
        <f ca="1">IFERROR(IF(AC4&lt;'Get Started  3'!$G55,0,OFFSET(AC248,0,-1*'Get Started  3'!$G55)*'Get Started  3'!$G84/'Get Started  3'!$G82),0)+IFERROR(IF(AC4&lt;'Get Started  3'!$G65,0,OFFSET(AC248,0,-1*'Get Started  3'!$G65)*'Get Started  3'!$G86/'Get Started  3'!$G82),0)</f>
        <v>0</v>
      </c>
      <c r="AD253" s="52">
        <f ca="1">IFERROR(IF(AD4&lt;'Get Started  3'!$G55,0,OFFSET(AD248,0,-1*'Get Started  3'!$G55)*'Get Started  3'!$G84/'Get Started  3'!$G82),0)+IFERROR(IF(AD4&lt;'Get Started  3'!$G65,0,OFFSET(AD248,0,-1*'Get Started  3'!$G65)*'Get Started  3'!$G86/'Get Started  3'!$G82),0)</f>
        <v>0</v>
      </c>
      <c r="AE253" s="52">
        <f ca="1">IFERROR(IF(AE4&lt;'Get Started  3'!$G55,0,OFFSET(AE248,0,-1*'Get Started  3'!$G55)*'Get Started  3'!$G84/'Get Started  3'!$G82),0)+IFERROR(IF(AE4&lt;'Get Started  3'!$G65,0,OFFSET(AE248,0,-1*'Get Started  3'!$G65)*'Get Started  3'!$G86/'Get Started  3'!$G82),0)</f>
        <v>0</v>
      </c>
      <c r="AF253" s="52">
        <f ca="1">IFERROR(IF(AF4&lt;'Get Started  3'!$G55,0,OFFSET(AF248,0,-1*'Get Started  3'!$G55)*'Get Started  3'!$G84/'Get Started  3'!$G82),0)+IFERROR(IF(AF4&lt;'Get Started  3'!$G65,0,OFFSET(AF248,0,-1*'Get Started  3'!$G65)*'Get Started  3'!$G86/'Get Started  3'!$G82),0)</f>
        <v>0</v>
      </c>
      <c r="AG253" s="52">
        <f ca="1">IFERROR(IF(AG4&lt;'Get Started  3'!$G55,0,OFFSET(AG248,0,-1*'Get Started  3'!$G55)*'Get Started  3'!$G84/'Get Started  3'!$G82),0)+IFERROR(IF(AG4&lt;'Get Started  3'!$G65,0,OFFSET(AG248,0,-1*'Get Started  3'!$G65)*'Get Started  3'!$G86/'Get Started  3'!$G82),0)</f>
        <v>0</v>
      </c>
      <c r="AH253" s="52">
        <f ca="1">IFERROR(IF(AH4&lt;'Get Started  3'!$G55,0,OFFSET(AH248,0,-1*'Get Started  3'!$G55)*'Get Started  3'!$G84/'Get Started  3'!$G82),0)+IFERROR(IF(AH4&lt;'Get Started  3'!$G65,0,OFFSET(AH248,0,-1*'Get Started  3'!$G65)*'Get Started  3'!$G86/'Get Started  3'!$G82),0)</f>
        <v>0</v>
      </c>
      <c r="AI253" s="52">
        <f ca="1">IFERROR(IF(AI4&lt;'Get Started  3'!$G55,0,OFFSET(AI248,0,-1*'Get Started  3'!$G55)*'Get Started  3'!$G84/'Get Started  3'!$G82),0)+IFERROR(IF(AI4&lt;'Get Started  3'!$G65,0,OFFSET(AI248,0,-1*'Get Started  3'!$G65)*'Get Started  3'!$G86/'Get Started  3'!$G82),0)</f>
        <v>0</v>
      </c>
      <c r="AJ253" s="52">
        <f ca="1">IFERROR(IF(AJ4&lt;'Get Started  3'!$G55,0,OFFSET(AJ248,0,-1*'Get Started  3'!$G55)*'Get Started  3'!$G84/'Get Started  3'!$G82),0)+IFERROR(IF(AJ4&lt;'Get Started  3'!$G65,0,OFFSET(AJ248,0,-1*'Get Started  3'!$G65)*'Get Started  3'!$G86/'Get Started  3'!$G82),0)</f>
        <v>0</v>
      </c>
      <c r="AK253" s="52">
        <f ca="1">IFERROR(IF(AK4&lt;'Get Started  3'!$G55,0,OFFSET(AK248,0,-1*'Get Started  3'!$G55)*'Get Started  3'!$G84/'Get Started  3'!$G82),0)+IFERROR(IF(AK4&lt;'Get Started  3'!$G65,0,OFFSET(AK248,0,-1*'Get Started  3'!$G65)*'Get Started  3'!$G86/'Get Started  3'!$G82),0)</f>
        <v>0</v>
      </c>
      <c r="AL253" s="52">
        <f ca="1">IFERROR(IF(AL4&lt;'Get Started  3'!$G55,0,OFFSET(AL248,0,-1*'Get Started  3'!$G55)*'Get Started  3'!$G84/'Get Started  3'!$G82),0)+IFERROR(IF(AL4&lt;'Get Started  3'!$G65,0,OFFSET(AL248,0,-1*'Get Started  3'!$G65)*'Get Started  3'!$G86/'Get Started  3'!$G82),0)</f>
        <v>0</v>
      </c>
      <c r="AM253" s="52">
        <f ca="1">IFERROR(IF(AM4&lt;'Get Started  3'!$G55,0,OFFSET(AM248,0,-1*'Get Started  3'!$G55)*'Get Started  3'!$G84/'Get Started  3'!$G82),0)+IFERROR(IF(AM4&lt;'Get Started  3'!$G65,0,OFFSET(AM248,0,-1*'Get Started  3'!$G65)*'Get Started  3'!$G86/'Get Started  3'!$G82),0)</f>
        <v>0</v>
      </c>
      <c r="AN253" s="52">
        <f ca="1">IFERROR(IF(AN4&lt;'Get Started  3'!$G55,0,OFFSET(AN248,0,-1*'Get Started  3'!$G55)*'Get Started  3'!$G84/'Get Started  3'!$G82),0)+IFERROR(IF(AN4&lt;'Get Started  3'!$G65,0,OFFSET(AN248,0,-1*'Get Started  3'!$G65)*'Get Started  3'!$G86/'Get Started  3'!$G82),0)</f>
        <v>0</v>
      </c>
      <c r="AO253" s="52">
        <f ca="1">IFERROR(IF(AO4&lt;'Get Started  3'!$G55,0,OFFSET(AO248,0,-1*'Get Started  3'!$G55)*'Get Started  3'!$G84/'Get Started  3'!$G82),0)+IFERROR(IF(AO4&lt;'Get Started  3'!$G65,0,OFFSET(AO248,0,-1*'Get Started  3'!$G65)*'Get Started  3'!$G86/'Get Started  3'!$G82),0)</f>
        <v>0</v>
      </c>
      <c r="AP253" s="52">
        <f ca="1">IFERROR(IF(AP4&lt;'Get Started  3'!$G55,0,OFFSET(AP248,0,-1*'Get Started  3'!$G55)*'Get Started  3'!$G84/'Get Started  3'!$G82),0)+IFERROR(IF(AP4&lt;'Get Started  3'!$G65,0,OFFSET(AP248,0,-1*'Get Started  3'!$G65)*'Get Started  3'!$G86/'Get Started  3'!$G82),0)</f>
        <v>0</v>
      </c>
      <c r="AQ253" s="52">
        <f ca="1">IFERROR(IF(AQ4&lt;'Get Started  3'!$G55,0,OFFSET(AQ248,0,-1*'Get Started  3'!$G55)*'Get Started  3'!$G84/'Get Started  3'!$G82),0)+IFERROR(IF(AQ4&lt;'Get Started  3'!$G65,0,OFFSET(AQ248,0,-1*'Get Started  3'!$G65)*'Get Started  3'!$G86/'Get Started  3'!$G82),0)</f>
        <v>0</v>
      </c>
      <c r="AR253" s="52">
        <f ca="1">IFERROR(IF(AR4&lt;'Get Started  3'!$G55,0,OFFSET(AR248,0,-1*'Get Started  3'!$G55)*'Get Started  3'!$G84/'Get Started  3'!$G82),0)+IFERROR(IF(AR4&lt;'Get Started  3'!$G65,0,OFFSET(AR248,0,-1*'Get Started  3'!$G65)*'Get Started  3'!$G86/'Get Started  3'!$G82),0)</f>
        <v>0</v>
      </c>
      <c r="AS253" s="52">
        <f ca="1">IFERROR(IF(AS4&lt;'Get Started  3'!$G55,0,OFFSET(AS248,0,-1*'Get Started  3'!$G55)*'Get Started  3'!$G84/'Get Started  3'!$G82),0)+IFERROR(IF(AS4&lt;'Get Started  3'!$G65,0,OFFSET(AS248,0,-1*'Get Started  3'!$G65)*'Get Started  3'!$G86/'Get Started  3'!$G82),0)</f>
        <v>0</v>
      </c>
      <c r="AT253" s="52">
        <f ca="1">IFERROR(IF(AT4&lt;'Get Started  3'!$G55,0,OFFSET(AT248,0,-1*'Get Started  3'!$G55)*'Get Started  3'!$G84/'Get Started  3'!$G82),0)+IFERROR(IF(AT4&lt;'Get Started  3'!$G65,0,OFFSET(AT248,0,-1*'Get Started  3'!$G65)*'Get Started  3'!$G86/'Get Started  3'!$G82),0)</f>
        <v>0</v>
      </c>
      <c r="AU253" s="52">
        <f ca="1">IFERROR(IF(AU4&lt;'Get Started  3'!$G55,0,OFFSET(AU248,0,-1*'Get Started  3'!$G55)*'Get Started  3'!$G84/'Get Started  3'!$G82),0)+IFERROR(IF(AU4&lt;'Get Started  3'!$G65,0,OFFSET(AU248,0,-1*'Get Started  3'!$G65)*'Get Started  3'!$G86/'Get Started  3'!$G82),0)</f>
        <v>0</v>
      </c>
      <c r="AV253" s="52">
        <f ca="1">IFERROR(IF(AV4&lt;'Get Started  3'!$G55,0,OFFSET(AV248,0,-1*'Get Started  3'!$G55)*'Get Started  3'!$G84/'Get Started  3'!$G82),0)+IFERROR(IF(AV4&lt;'Get Started  3'!$G65,0,OFFSET(AV248,0,-1*'Get Started  3'!$G65)*'Get Started  3'!$G86/'Get Started  3'!$G82),0)</f>
        <v>0</v>
      </c>
      <c r="AW253" s="52">
        <f ca="1">IFERROR(IF(AW4&lt;'Get Started  3'!$G55,0,OFFSET(AW248,0,-1*'Get Started  3'!$G55)*'Get Started  3'!$G84/'Get Started  3'!$G82),0)+IFERROR(IF(AW4&lt;'Get Started  3'!$G65,0,OFFSET(AW248,0,-1*'Get Started  3'!$G65)*'Get Started  3'!$G86/'Get Started  3'!$G82),0)</f>
        <v>0</v>
      </c>
      <c r="AX253" s="52">
        <f ca="1">IFERROR(IF(AX4&lt;'Get Started  3'!$G55,0,OFFSET(AX248,0,-1*'Get Started  3'!$G55)*'Get Started  3'!$G84/'Get Started  3'!$G82),0)+IFERROR(IF(AX4&lt;'Get Started  3'!$G65,0,OFFSET(AX248,0,-1*'Get Started  3'!$G65)*'Get Started  3'!$G86/'Get Started  3'!$G82),0)</f>
        <v>0</v>
      </c>
      <c r="AY253" s="52">
        <f ca="1">IFERROR(IF(AY4&lt;'Get Started  3'!$G55,0,OFFSET(AY248,0,-1*'Get Started  3'!$G55)*'Get Started  3'!$G84/'Get Started  3'!$G82),0)+IFERROR(IF(AY4&lt;'Get Started  3'!$G65,0,OFFSET(AY248,0,-1*'Get Started  3'!$G65)*'Get Started  3'!$G86/'Get Started  3'!$G82),0)</f>
        <v>0</v>
      </c>
      <c r="AZ253" s="52">
        <f ca="1">IFERROR(IF(AZ4&lt;'Get Started  3'!$G55,0,OFFSET(AZ248,0,-1*'Get Started  3'!$G55)*'Get Started  3'!$G84/'Get Started  3'!$G82),0)+IFERROR(IF(AZ4&lt;'Get Started  3'!$G65,0,OFFSET(AZ248,0,-1*'Get Started  3'!$G65)*'Get Started  3'!$G86/'Get Started  3'!$G82),0)</f>
        <v>0</v>
      </c>
      <c r="BA253" s="52">
        <f ca="1">IFERROR(IF(BA4&lt;'Get Started  3'!$G55,0,OFFSET(BA248,0,-1*'Get Started  3'!$G55)*'Get Started  3'!$G84/'Get Started  3'!$G82),0)+IFERROR(IF(BA4&lt;'Get Started  3'!$G65,0,OFFSET(BA248,0,-1*'Get Started  3'!$G65)*'Get Started  3'!$G86/'Get Started  3'!$G82),0)</f>
        <v>0</v>
      </c>
      <c r="BB253" s="52">
        <f ca="1">IFERROR(IF(BB4&lt;'Get Started  3'!$G55,0,OFFSET(BB248,0,-1*'Get Started  3'!$G55)*'Get Started  3'!$G84/'Get Started  3'!$G82),0)+IFERROR(IF(BB4&lt;'Get Started  3'!$G65,0,OFFSET(BB248,0,-1*'Get Started  3'!$G65)*'Get Started  3'!$G86/'Get Started  3'!$G82),0)</f>
        <v>0</v>
      </c>
      <c r="BC253" s="52">
        <f ca="1">IFERROR(IF(BC4&lt;'Get Started  3'!$G55,0,OFFSET(BC248,0,-1*'Get Started  3'!$G55)*'Get Started  3'!$G84/'Get Started  3'!$G82),0)+IFERROR(IF(BC4&lt;'Get Started  3'!$G65,0,OFFSET(BC248,0,-1*'Get Started  3'!$G65)*'Get Started  3'!$G86/'Get Started  3'!$G82),0)</f>
        <v>0</v>
      </c>
      <c r="BD253" s="52">
        <f ca="1">IFERROR(IF(BD4&lt;'Get Started  3'!$G55,0,OFFSET(BD248,0,-1*'Get Started  3'!$G55)*'Get Started  3'!$G84/'Get Started  3'!$G82),0)+IFERROR(IF(BD4&lt;'Get Started  3'!$G65,0,OFFSET(BD248,0,-1*'Get Started  3'!$G65)*'Get Started  3'!$G86/'Get Started  3'!$G82),0)</f>
        <v>0</v>
      </c>
      <c r="BE253" s="52">
        <f ca="1">IFERROR(IF(BE4&lt;'Get Started  3'!$G55,0,OFFSET(BE248,0,-1*'Get Started  3'!$G55)*'Get Started  3'!$G84/'Get Started  3'!$G82),0)+IFERROR(IF(BE4&lt;'Get Started  3'!$G65,0,OFFSET(BE248,0,-1*'Get Started  3'!$G65)*'Get Started  3'!$G86/'Get Started  3'!$G82),0)</f>
        <v>0</v>
      </c>
      <c r="BF253" s="52">
        <f ca="1">IFERROR(IF(BF4&lt;'Get Started  3'!$G55,0,OFFSET(BF248,0,-1*'Get Started  3'!$G55)*'Get Started  3'!$G84/'Get Started  3'!$G82),0)+IFERROR(IF(BF4&lt;'Get Started  3'!$G65,0,OFFSET(BF248,0,-1*'Get Started  3'!$G65)*'Get Started  3'!$G86/'Get Started  3'!$G82),0)</f>
        <v>0</v>
      </c>
      <c r="BG253" s="52">
        <f ca="1">IFERROR(IF(BG4&lt;'Get Started  3'!$G55,0,OFFSET(BG248,0,-1*'Get Started  3'!$G55)*'Get Started  3'!$G84/'Get Started  3'!$G82),0)+IFERROR(IF(BG4&lt;'Get Started  3'!$G65,0,OFFSET(BG248,0,-1*'Get Started  3'!$G65)*'Get Started  3'!$G86/'Get Started  3'!$G82),0)</f>
        <v>0</v>
      </c>
      <c r="BH253" s="52">
        <f ca="1">IFERROR(IF(BH4&lt;'Get Started  3'!$G55,0,OFFSET(BH248,0,-1*'Get Started  3'!$G55)*'Get Started  3'!$G84/'Get Started  3'!$G82),0)+IFERROR(IF(BH4&lt;'Get Started  3'!$G65,0,OFFSET(BH248,0,-1*'Get Started  3'!$G65)*'Get Started  3'!$G86/'Get Started  3'!$G82),0)</f>
        <v>0</v>
      </c>
      <c r="BI253" s="52">
        <f ca="1">IFERROR(IF(BI4&lt;'Get Started  3'!$G55,0,OFFSET(BI248,0,-1*'Get Started  3'!$G55)*'Get Started  3'!$G84/'Get Started  3'!$G82),0)+IFERROR(IF(BI4&lt;'Get Started  3'!$G65,0,OFFSET(BI248,0,-1*'Get Started  3'!$G65)*'Get Started  3'!$G86/'Get Started  3'!$G82),0)</f>
        <v>0</v>
      </c>
      <c r="BJ253" s="52">
        <f ca="1">IFERROR(IF(BJ4&lt;'Get Started  3'!$G55,0,OFFSET(BJ248,0,-1*'Get Started  3'!$G55)*'Get Started  3'!$G84/'Get Started  3'!$G82),0)+IFERROR(IF(BJ4&lt;'Get Started  3'!$G65,0,OFFSET(BJ248,0,-1*'Get Started  3'!$G65)*'Get Started  3'!$G86/'Get Started  3'!$G82),0)</f>
        <v>0</v>
      </c>
      <c r="BK253" s="52">
        <f ca="1">IFERROR(IF(BK4&lt;'Get Started  3'!$G55,0,OFFSET(BK248,0,-1*'Get Started  3'!$G55)*'Get Started  3'!$G84/'Get Started  3'!$G82),0)+IFERROR(IF(BK4&lt;'Get Started  3'!$G65,0,OFFSET(BK248,0,-1*'Get Started  3'!$G65)*'Get Started  3'!$G86/'Get Started  3'!$G82),0)</f>
        <v>0</v>
      </c>
      <c r="BL253" s="52">
        <f ca="1">IFERROR(IF(BL4&lt;'Get Started  3'!$G55,0,OFFSET(BL248,0,-1*'Get Started  3'!$G55)*'Get Started  3'!$G84/'Get Started  3'!$G82),0)+IFERROR(IF(BL4&lt;'Get Started  3'!$G65,0,OFFSET(BL248,0,-1*'Get Started  3'!$G65)*'Get Started  3'!$G86/'Get Started  3'!$G82),0)</f>
        <v>0</v>
      </c>
      <c r="BM253" s="52">
        <f ca="1">IFERROR(IF(BM4&lt;'Get Started  3'!$G55,0,OFFSET(BM248,0,-1*'Get Started  3'!$G55)*'Get Started  3'!$G84/'Get Started  3'!$G82),0)+IFERROR(IF(BM4&lt;'Get Started  3'!$G65,0,OFFSET(BM248,0,-1*'Get Started  3'!$G65)*'Get Started  3'!$G86/'Get Started  3'!$G82),0)</f>
        <v>0</v>
      </c>
      <c r="BN253" s="52">
        <f ca="1">IFERROR(IF(BN4&lt;'Get Started  3'!$G55,0,OFFSET(BN248,0,-1*'Get Started  3'!$G55)*'Get Started  3'!$G84/'Get Started  3'!$G82),0)+IFERROR(IF(BN4&lt;'Get Started  3'!$G65,0,OFFSET(BN248,0,-1*'Get Started  3'!$G65)*'Get Started  3'!$G86/'Get Started  3'!$G82),0)</f>
        <v>0</v>
      </c>
      <c r="BO253" s="52">
        <f ca="1">IFERROR(IF(BO4&lt;'Get Started  3'!$G55,0,OFFSET(BO248,0,-1*'Get Started  3'!$G55)*'Get Started  3'!$G84/'Get Started  3'!$G82),0)+IFERROR(IF(BO4&lt;'Get Started  3'!$G65,0,OFFSET(BO248,0,-1*'Get Started  3'!$G65)*'Get Started  3'!$G86/'Get Started  3'!$G82),0)</f>
        <v>0</v>
      </c>
      <c r="BP253" s="52">
        <f ca="1">IFERROR(IF(BP4&lt;'Get Started  3'!$G55,0,OFFSET(BP248,0,-1*'Get Started  3'!$G55)*'Get Started  3'!$G84/'Get Started  3'!$G82),0)+IFERROR(IF(BP4&lt;'Get Started  3'!$G65,0,OFFSET(BP248,0,-1*'Get Started  3'!$G65)*'Get Started  3'!$G86/'Get Started  3'!$G82),0)</f>
        <v>0</v>
      </c>
      <c r="BQ253" s="52">
        <f ca="1">IFERROR(IF(BQ4&lt;'Get Started  3'!$G55,0,OFFSET(BQ248,0,-1*'Get Started  3'!$G55)*'Get Started  3'!$G84/'Get Started  3'!$G82),0)+IFERROR(IF(BQ4&lt;'Get Started  3'!$G65,0,OFFSET(BQ248,0,-1*'Get Started  3'!$G65)*'Get Started  3'!$G86/'Get Started  3'!$G82),0)</f>
        <v>0</v>
      </c>
      <c r="BR253" s="52">
        <f ca="1">IFERROR(IF(BR4&lt;'Get Started  3'!$G55,0,OFFSET(BR248,0,-1*'Get Started  3'!$G55)*'Get Started  3'!$G84/'Get Started  3'!$G82),0)+IFERROR(IF(BR4&lt;'Get Started  3'!$G65,0,OFFSET(BR248,0,-1*'Get Started  3'!$G65)*'Get Started  3'!$G86/'Get Started  3'!$G82),0)</f>
        <v>0</v>
      </c>
      <c r="BS253" s="52">
        <f ca="1">IFERROR(IF(BS4&lt;'Get Started  3'!$G55,0,OFFSET(BS248,0,-1*'Get Started  3'!$G55)*'Get Started  3'!$G84/'Get Started  3'!$G82),0)+IFERROR(IF(BS4&lt;'Get Started  3'!$G65,0,OFFSET(BS248,0,-1*'Get Started  3'!$G65)*'Get Started  3'!$G86/'Get Started  3'!$G82),0)</f>
        <v>0</v>
      </c>
      <c r="BT253" s="52">
        <f ca="1">IFERROR(IF(BT4&lt;'Get Started  3'!$G55,0,OFFSET(BT248,0,-1*'Get Started  3'!$G55)*'Get Started  3'!$G84/'Get Started  3'!$G82),0)+IFERROR(IF(BT4&lt;'Get Started  3'!$G65,0,OFFSET(BT248,0,-1*'Get Started  3'!$G65)*'Get Started  3'!$G86/'Get Started  3'!$G82),0)</f>
        <v>0</v>
      </c>
      <c r="BU253" s="52">
        <f ca="1">IFERROR(IF(BU4&lt;'Get Started  3'!$G55,0,OFFSET(BU248,0,-1*'Get Started  3'!$G55)*'Get Started  3'!$G84/'Get Started  3'!$G82),0)+IFERROR(IF(BU4&lt;'Get Started  3'!$G65,0,OFFSET(BU248,0,-1*'Get Started  3'!$G65)*'Get Started  3'!$G86/'Get Started  3'!$G82),0)</f>
        <v>0</v>
      </c>
      <c r="BV253" s="52">
        <f ca="1">IFERROR(IF(BV4&lt;'Get Started  3'!$G55,0,OFFSET(BV248,0,-1*'Get Started  3'!$G55)*'Get Started  3'!$G84/'Get Started  3'!$G82),0)+IFERROR(IF(BV4&lt;'Get Started  3'!$G65,0,OFFSET(BV248,0,-1*'Get Started  3'!$G65)*'Get Started  3'!$G86/'Get Started  3'!$G82),0)</f>
        <v>0</v>
      </c>
      <c r="BW253" s="52">
        <f ca="1">IFERROR(IF(BW4&lt;'Get Started  3'!$G55,0,OFFSET(BW248,0,-1*'Get Started  3'!$G55)*'Get Started  3'!$G84/'Get Started  3'!$G82),0)+IFERROR(IF(BW4&lt;'Get Started  3'!$G65,0,OFFSET(BW248,0,-1*'Get Started  3'!$G65)*'Get Started  3'!$G86/'Get Started  3'!$G82),0)</f>
        <v>0</v>
      </c>
      <c r="BX253" s="52">
        <f ca="1">IFERROR(IF(BX4&lt;'Get Started  3'!$G55,0,OFFSET(BX248,0,-1*'Get Started  3'!$G55)*'Get Started  3'!$G84/'Get Started  3'!$G82),0)+IFERROR(IF(BX4&lt;'Get Started  3'!$G65,0,OFFSET(BX248,0,-1*'Get Started  3'!$G65)*'Get Started  3'!$G86/'Get Started  3'!$G82),0)</f>
        <v>0</v>
      </c>
      <c r="BY253" s="52">
        <f ca="1">IFERROR(IF(BY4&lt;'Get Started  3'!$G55,0,OFFSET(BY248,0,-1*'Get Started  3'!$G55)*'Get Started  3'!$G84/'Get Started  3'!$G82),0)+IFERROR(IF(BY4&lt;'Get Started  3'!$G65,0,OFFSET(BY248,0,-1*'Get Started  3'!$G65)*'Get Started  3'!$G86/'Get Started  3'!$G82),0)</f>
        <v>0</v>
      </c>
      <c r="BZ253" s="52">
        <f ca="1">IFERROR(IF(BZ4&lt;'Get Started  3'!$G55,0,OFFSET(BZ248,0,-1*'Get Started  3'!$G55)*'Get Started  3'!$G84/'Get Started  3'!$G82),0)+IFERROR(IF(BZ4&lt;'Get Started  3'!$G65,0,OFFSET(BZ248,0,-1*'Get Started  3'!$G65)*'Get Started  3'!$G86/'Get Started  3'!$G82),0)</f>
        <v>0</v>
      </c>
      <c r="CA253" s="52">
        <f ca="1">IFERROR(IF(CA4&lt;'Get Started  3'!$G55,0,OFFSET(CA248,0,-1*'Get Started  3'!$G55)*'Get Started  3'!$G84/'Get Started  3'!$G82),0)+IFERROR(IF(CA4&lt;'Get Started  3'!$G65,0,OFFSET(CA248,0,-1*'Get Started  3'!$G65)*'Get Started  3'!$G86/'Get Started  3'!$G82),0)</f>
        <v>0</v>
      </c>
      <c r="CB253" s="52">
        <f ca="1">IFERROR(IF(CB4&lt;'Get Started  3'!$G55,0,OFFSET(CB248,0,-1*'Get Started  3'!$G55)*'Get Started  3'!$G84/'Get Started  3'!$G82),0)+IFERROR(IF(CB4&lt;'Get Started  3'!$G65,0,OFFSET(CB248,0,-1*'Get Started  3'!$G65)*'Get Started  3'!$G86/'Get Started  3'!$G82),0)</f>
        <v>0</v>
      </c>
      <c r="CC253" s="52">
        <f ca="1">IFERROR(IF(CC4&lt;'Get Started  3'!$G55,0,OFFSET(CC248,0,-1*'Get Started  3'!$G55)*'Get Started  3'!$G84/'Get Started  3'!$G82),0)+IFERROR(IF(CC4&lt;'Get Started  3'!$G65,0,OFFSET(CC248,0,-1*'Get Started  3'!$G65)*'Get Started  3'!$G86/'Get Started  3'!$G82),0)</f>
        <v>0</v>
      </c>
      <c r="CD253" s="52">
        <f ca="1">IFERROR(IF(CD4&lt;'Get Started  3'!$G55,0,OFFSET(CD248,0,-1*'Get Started  3'!$G55)*'Get Started  3'!$G84/'Get Started  3'!$G82),0)+IFERROR(IF(CD4&lt;'Get Started  3'!$G65,0,OFFSET(CD248,0,-1*'Get Started  3'!$G65)*'Get Started  3'!$G86/'Get Started  3'!$G82),0)</f>
        <v>0</v>
      </c>
      <c r="CE253" s="52">
        <f ca="1">IFERROR(IF(CE4&lt;'Get Started  3'!$G55,0,OFFSET(CE248,0,-1*'Get Started  3'!$G55)*'Get Started  3'!$G84/'Get Started  3'!$G82),0)+IFERROR(IF(CE4&lt;'Get Started  3'!$G65,0,OFFSET(CE248,0,-1*'Get Started  3'!$G65)*'Get Started  3'!$G86/'Get Started  3'!$G82),0)</f>
        <v>0</v>
      </c>
      <c r="CF253" s="52">
        <f ca="1">IFERROR(IF(CF4&lt;'Get Started  3'!$G55,0,OFFSET(CF248,0,-1*'Get Started  3'!$G55)*'Get Started  3'!$G84/'Get Started  3'!$G82),0)+IFERROR(IF(CF4&lt;'Get Started  3'!$G65,0,OFFSET(CF248,0,-1*'Get Started  3'!$G65)*'Get Started  3'!$G86/'Get Started  3'!$G82),0)</f>
        <v>0</v>
      </c>
      <c r="CG253" s="52">
        <f ca="1">IFERROR(IF(CG4&lt;'Get Started  3'!$G55,0,OFFSET(CG248,0,-1*'Get Started  3'!$G55)*'Get Started  3'!$G84/'Get Started  3'!$G82),0)+IFERROR(IF(CG4&lt;'Get Started  3'!$G65,0,OFFSET(CG248,0,-1*'Get Started  3'!$G65)*'Get Started  3'!$G86/'Get Started  3'!$G82),0)</f>
        <v>0</v>
      </c>
      <c r="CH253" s="52">
        <f ca="1">IFERROR(IF(CH4&lt;'Get Started  3'!$G55,0,OFFSET(CH248,0,-1*'Get Started  3'!$G55)*'Get Started  3'!$G84/'Get Started  3'!$G82),0)+IFERROR(IF(CH4&lt;'Get Started  3'!$G65,0,OFFSET(CH248,0,-1*'Get Started  3'!$G65)*'Get Started  3'!$G86/'Get Started  3'!$G82),0)</f>
        <v>0</v>
      </c>
    </row>
    <row r="254" spans="1:86" ht="13" outlineLevel="1">
      <c r="A254" s="13"/>
      <c r="B254" s="13" t="s">
        <v>329</v>
      </c>
      <c r="C254" s="13"/>
      <c r="D254" s="13" t="s">
        <v>238</v>
      </c>
      <c r="E254" s="88">
        <f t="shared" ca="1" si="183"/>
        <v>0</v>
      </c>
      <c r="F254" s="48"/>
      <c r="G254" s="52">
        <f ca="1">IFERROR(IF(G4&lt;'Get Started  3'!$H55,0,OFFSET(G249,0,-1*'Get Started  3'!$H55)*'Get Started  3'!$H84/'Get Started  3'!$H82),0)+IFERROR(IF(G4&lt;'Get Started  3'!$H65,0,OFFSET(G249,0,-1*'Get Started  3'!$H65)*'Get Started  3'!$H86/'Get Started  3'!$H82),0)</f>
        <v>0</v>
      </c>
      <c r="H254" s="52">
        <f ca="1">IFERROR(IF(H4&lt;'Get Started  3'!$H55,0,OFFSET(H249,0,-1*'Get Started  3'!$H55)*'Get Started  3'!$H84/'Get Started  3'!$H82),0)+IFERROR(IF(H4&lt;'Get Started  3'!$H65,0,OFFSET(H249,0,-1*'Get Started  3'!$H65)*'Get Started  3'!$H86/'Get Started  3'!$H82),0)</f>
        <v>0</v>
      </c>
      <c r="I254" s="52">
        <f ca="1">IFERROR(IF(I4&lt;'Get Started  3'!$H55,0,OFFSET(I249,0,-1*'Get Started  3'!$H55)*'Get Started  3'!$H84/'Get Started  3'!$H82),0)+IFERROR(IF(I4&lt;'Get Started  3'!$H65,0,OFFSET(I249,0,-1*'Get Started  3'!$H65)*'Get Started  3'!$H86/'Get Started  3'!$H82),0)</f>
        <v>0</v>
      </c>
      <c r="J254" s="52">
        <f ca="1">IFERROR(IF(J4&lt;'Get Started  3'!$H55,0,OFFSET(J249,0,-1*'Get Started  3'!$H55)*'Get Started  3'!$H84/'Get Started  3'!$H82),0)+IFERROR(IF(J4&lt;'Get Started  3'!$H65,0,OFFSET(J249,0,-1*'Get Started  3'!$H65)*'Get Started  3'!$H86/'Get Started  3'!$H82),0)</f>
        <v>0</v>
      </c>
      <c r="K254" s="52">
        <f ca="1">IFERROR(IF(K4&lt;'Get Started  3'!$H55,0,OFFSET(K249,0,-1*'Get Started  3'!$H55)*'Get Started  3'!$H84/'Get Started  3'!$H82),0)+IFERROR(IF(K4&lt;'Get Started  3'!$H65,0,OFFSET(K249,0,-1*'Get Started  3'!$H65)*'Get Started  3'!$H86/'Get Started  3'!$H82),0)</f>
        <v>0</v>
      </c>
      <c r="L254" s="52">
        <f ca="1">IFERROR(IF(L4&lt;'Get Started  3'!$H55,0,OFFSET(L249,0,-1*'Get Started  3'!$H55)*'Get Started  3'!$H84/'Get Started  3'!$H82),0)+IFERROR(IF(L4&lt;'Get Started  3'!$H65,0,OFFSET(L249,0,-1*'Get Started  3'!$H65)*'Get Started  3'!$H86/'Get Started  3'!$H82),0)</f>
        <v>0</v>
      </c>
      <c r="M254" s="52">
        <f ca="1">IFERROR(IF(M4&lt;'Get Started  3'!$H55,0,OFFSET(M249,0,-1*'Get Started  3'!$H55)*'Get Started  3'!$H84/'Get Started  3'!$H82),0)+IFERROR(IF(M4&lt;'Get Started  3'!$H65,0,OFFSET(M249,0,-1*'Get Started  3'!$H65)*'Get Started  3'!$H86/'Get Started  3'!$H82),0)</f>
        <v>0</v>
      </c>
      <c r="N254" s="52">
        <f ca="1">IFERROR(IF(N4&lt;'Get Started  3'!$H55,0,OFFSET(N249,0,-1*'Get Started  3'!$H55)*'Get Started  3'!$H84/'Get Started  3'!$H82),0)+IFERROR(IF(N4&lt;'Get Started  3'!$H65,0,OFFSET(N249,0,-1*'Get Started  3'!$H65)*'Get Started  3'!$H86/'Get Started  3'!$H82),0)</f>
        <v>0</v>
      </c>
      <c r="O254" s="52">
        <f ca="1">IFERROR(IF(O4&lt;'Get Started  3'!$H55,0,OFFSET(O249,0,-1*'Get Started  3'!$H55)*'Get Started  3'!$H84/'Get Started  3'!$H82),0)+IFERROR(IF(O4&lt;'Get Started  3'!$H65,0,OFFSET(O249,0,-1*'Get Started  3'!$H65)*'Get Started  3'!$H86/'Get Started  3'!$H82),0)</f>
        <v>0</v>
      </c>
      <c r="P254" s="52">
        <f ca="1">IFERROR(IF(P4&lt;'Get Started  3'!$H55,0,OFFSET(P249,0,-1*'Get Started  3'!$H55)*'Get Started  3'!$H84/'Get Started  3'!$H82),0)+IFERROR(IF(P4&lt;'Get Started  3'!$H65,0,OFFSET(P249,0,-1*'Get Started  3'!$H65)*'Get Started  3'!$H86/'Get Started  3'!$H82),0)</f>
        <v>0</v>
      </c>
      <c r="Q254" s="52">
        <f ca="1">IFERROR(IF(Q4&lt;'Get Started  3'!$H55,0,OFFSET(Q249,0,-1*'Get Started  3'!$H55)*'Get Started  3'!$H84/'Get Started  3'!$H82),0)+IFERROR(IF(Q4&lt;'Get Started  3'!$H65,0,OFFSET(Q249,0,-1*'Get Started  3'!$H65)*'Get Started  3'!$H86/'Get Started  3'!$H82),0)</f>
        <v>0</v>
      </c>
      <c r="R254" s="52">
        <f ca="1">IFERROR(IF(R4&lt;'Get Started  3'!$H55,0,OFFSET(R249,0,-1*'Get Started  3'!$H55)*'Get Started  3'!$H84/'Get Started  3'!$H82),0)+IFERROR(IF(R4&lt;'Get Started  3'!$H65,0,OFFSET(R249,0,-1*'Get Started  3'!$H65)*'Get Started  3'!$H86/'Get Started  3'!$H82),0)</f>
        <v>0</v>
      </c>
      <c r="S254" s="52">
        <f ca="1">IFERROR(IF(S4&lt;'Get Started  3'!$H55,0,OFFSET(S249,0,-1*'Get Started  3'!$H55)*'Get Started  3'!$H84/'Get Started  3'!$H82),0)+IFERROR(IF(S4&lt;'Get Started  3'!$H65,0,OFFSET(S249,0,-1*'Get Started  3'!$H65)*'Get Started  3'!$H86/'Get Started  3'!$H82),0)</f>
        <v>0</v>
      </c>
      <c r="T254" s="52">
        <f ca="1">IFERROR(IF(T4&lt;'Get Started  3'!$H55,0,OFFSET(T249,0,-1*'Get Started  3'!$H55)*'Get Started  3'!$H84/'Get Started  3'!$H82),0)+IFERROR(IF(T4&lt;'Get Started  3'!$H65,0,OFFSET(T249,0,-1*'Get Started  3'!$H65)*'Get Started  3'!$H86/'Get Started  3'!$H82),0)</f>
        <v>0</v>
      </c>
      <c r="U254" s="52">
        <f ca="1">IFERROR(IF(U4&lt;'Get Started  3'!$H55,0,OFFSET(U249,0,-1*'Get Started  3'!$H55)*'Get Started  3'!$H84/'Get Started  3'!$H82),0)+IFERROR(IF(U4&lt;'Get Started  3'!$H65,0,OFFSET(U249,0,-1*'Get Started  3'!$H65)*'Get Started  3'!$H86/'Get Started  3'!$H82),0)</f>
        <v>0</v>
      </c>
      <c r="V254" s="52">
        <f ca="1">IFERROR(IF(V4&lt;'Get Started  3'!$H55,0,OFFSET(V249,0,-1*'Get Started  3'!$H55)*'Get Started  3'!$H84/'Get Started  3'!$H82),0)+IFERROR(IF(V4&lt;'Get Started  3'!$H65,0,OFFSET(V249,0,-1*'Get Started  3'!$H65)*'Get Started  3'!$H86/'Get Started  3'!$H82),0)</f>
        <v>0</v>
      </c>
      <c r="W254" s="52">
        <f ca="1">IFERROR(IF(W4&lt;'Get Started  3'!$H55,0,OFFSET(W249,0,-1*'Get Started  3'!$H55)*'Get Started  3'!$H84/'Get Started  3'!$H82),0)+IFERROR(IF(W4&lt;'Get Started  3'!$H65,0,OFFSET(W249,0,-1*'Get Started  3'!$H65)*'Get Started  3'!$H86/'Get Started  3'!$H82),0)</f>
        <v>0</v>
      </c>
      <c r="X254" s="52">
        <f ca="1">IFERROR(IF(X4&lt;'Get Started  3'!$H55,0,OFFSET(X249,0,-1*'Get Started  3'!$H55)*'Get Started  3'!$H84/'Get Started  3'!$H82),0)+IFERROR(IF(X4&lt;'Get Started  3'!$H65,0,OFFSET(X249,0,-1*'Get Started  3'!$H65)*'Get Started  3'!$H86/'Get Started  3'!$H82),0)</f>
        <v>0</v>
      </c>
      <c r="Y254" s="52">
        <f ca="1">IFERROR(IF(Y4&lt;'Get Started  3'!$H55,0,OFFSET(Y249,0,-1*'Get Started  3'!$H55)*'Get Started  3'!$H84/'Get Started  3'!$H82),0)+IFERROR(IF(Y4&lt;'Get Started  3'!$H65,0,OFFSET(Y249,0,-1*'Get Started  3'!$H65)*'Get Started  3'!$H86/'Get Started  3'!$H82),0)</f>
        <v>0</v>
      </c>
      <c r="Z254" s="52">
        <f ca="1">IFERROR(IF(Z4&lt;'Get Started  3'!$H55,0,OFFSET(Z249,0,-1*'Get Started  3'!$H55)*'Get Started  3'!$H84/'Get Started  3'!$H82),0)+IFERROR(IF(Z4&lt;'Get Started  3'!$H65,0,OFFSET(Z249,0,-1*'Get Started  3'!$H65)*'Get Started  3'!$H86/'Get Started  3'!$H82),0)</f>
        <v>0</v>
      </c>
      <c r="AA254" s="52">
        <f ca="1">IFERROR(IF(AA4&lt;'Get Started  3'!$H55,0,OFFSET(AA249,0,-1*'Get Started  3'!$H55)*'Get Started  3'!$H84/'Get Started  3'!$H82),0)+IFERROR(IF(AA4&lt;'Get Started  3'!$H65,0,OFFSET(AA249,0,-1*'Get Started  3'!$H65)*'Get Started  3'!$H86/'Get Started  3'!$H82),0)</f>
        <v>0</v>
      </c>
      <c r="AB254" s="52">
        <f ca="1">IFERROR(IF(AB4&lt;'Get Started  3'!$H55,0,OFFSET(AB249,0,-1*'Get Started  3'!$H55)*'Get Started  3'!$H84/'Get Started  3'!$H82),0)+IFERROR(IF(AB4&lt;'Get Started  3'!$H65,0,OFFSET(AB249,0,-1*'Get Started  3'!$H65)*'Get Started  3'!$H86/'Get Started  3'!$H82),0)</f>
        <v>0</v>
      </c>
      <c r="AC254" s="52">
        <f ca="1">IFERROR(IF(AC4&lt;'Get Started  3'!$H55,0,OFFSET(AC249,0,-1*'Get Started  3'!$H55)*'Get Started  3'!$H84/'Get Started  3'!$H82),0)+IFERROR(IF(AC4&lt;'Get Started  3'!$H65,0,OFFSET(AC249,0,-1*'Get Started  3'!$H65)*'Get Started  3'!$H86/'Get Started  3'!$H82),0)</f>
        <v>0</v>
      </c>
      <c r="AD254" s="52">
        <f ca="1">IFERROR(IF(AD4&lt;'Get Started  3'!$H55,0,OFFSET(AD249,0,-1*'Get Started  3'!$H55)*'Get Started  3'!$H84/'Get Started  3'!$H82),0)+IFERROR(IF(AD4&lt;'Get Started  3'!$H65,0,OFFSET(AD249,0,-1*'Get Started  3'!$H65)*'Get Started  3'!$H86/'Get Started  3'!$H82),0)</f>
        <v>0</v>
      </c>
      <c r="AE254" s="52">
        <f ca="1">IFERROR(IF(AE4&lt;'Get Started  3'!$H55,0,OFFSET(AE249,0,-1*'Get Started  3'!$H55)*'Get Started  3'!$H84/'Get Started  3'!$H82),0)+IFERROR(IF(AE4&lt;'Get Started  3'!$H65,0,OFFSET(AE249,0,-1*'Get Started  3'!$H65)*'Get Started  3'!$H86/'Get Started  3'!$H82),0)</f>
        <v>0</v>
      </c>
      <c r="AF254" s="52">
        <f ca="1">IFERROR(IF(AF4&lt;'Get Started  3'!$H55,0,OFFSET(AF249,0,-1*'Get Started  3'!$H55)*'Get Started  3'!$H84/'Get Started  3'!$H82),0)+IFERROR(IF(AF4&lt;'Get Started  3'!$H65,0,OFFSET(AF249,0,-1*'Get Started  3'!$H65)*'Get Started  3'!$H86/'Get Started  3'!$H82),0)</f>
        <v>0</v>
      </c>
      <c r="AG254" s="52">
        <f ca="1">IFERROR(IF(AG4&lt;'Get Started  3'!$H55,0,OFFSET(AG249,0,-1*'Get Started  3'!$H55)*'Get Started  3'!$H84/'Get Started  3'!$H82),0)+IFERROR(IF(AG4&lt;'Get Started  3'!$H65,0,OFFSET(AG249,0,-1*'Get Started  3'!$H65)*'Get Started  3'!$H86/'Get Started  3'!$H82),0)</f>
        <v>0</v>
      </c>
      <c r="AH254" s="52">
        <f ca="1">IFERROR(IF(AH4&lt;'Get Started  3'!$H55,0,OFFSET(AH249,0,-1*'Get Started  3'!$H55)*'Get Started  3'!$H84/'Get Started  3'!$H82),0)+IFERROR(IF(AH4&lt;'Get Started  3'!$H65,0,OFFSET(AH249,0,-1*'Get Started  3'!$H65)*'Get Started  3'!$H86/'Get Started  3'!$H82),0)</f>
        <v>0</v>
      </c>
      <c r="AI254" s="52">
        <f ca="1">IFERROR(IF(AI4&lt;'Get Started  3'!$H55,0,OFFSET(AI249,0,-1*'Get Started  3'!$H55)*'Get Started  3'!$H84/'Get Started  3'!$H82),0)+IFERROR(IF(AI4&lt;'Get Started  3'!$H65,0,OFFSET(AI249,0,-1*'Get Started  3'!$H65)*'Get Started  3'!$H86/'Get Started  3'!$H82),0)</f>
        <v>0</v>
      </c>
      <c r="AJ254" s="52">
        <f ca="1">IFERROR(IF(AJ4&lt;'Get Started  3'!$H55,0,OFFSET(AJ249,0,-1*'Get Started  3'!$H55)*'Get Started  3'!$H84/'Get Started  3'!$H82),0)+IFERROR(IF(AJ4&lt;'Get Started  3'!$H65,0,OFFSET(AJ249,0,-1*'Get Started  3'!$H65)*'Get Started  3'!$H86/'Get Started  3'!$H82),0)</f>
        <v>0</v>
      </c>
      <c r="AK254" s="52">
        <f ca="1">IFERROR(IF(AK4&lt;'Get Started  3'!$H55,0,OFFSET(AK249,0,-1*'Get Started  3'!$H55)*'Get Started  3'!$H84/'Get Started  3'!$H82),0)+IFERROR(IF(AK4&lt;'Get Started  3'!$H65,0,OFFSET(AK249,0,-1*'Get Started  3'!$H65)*'Get Started  3'!$H86/'Get Started  3'!$H82),0)</f>
        <v>0</v>
      </c>
      <c r="AL254" s="52">
        <f ca="1">IFERROR(IF(AL4&lt;'Get Started  3'!$H55,0,OFFSET(AL249,0,-1*'Get Started  3'!$H55)*'Get Started  3'!$H84/'Get Started  3'!$H82),0)+IFERROR(IF(AL4&lt;'Get Started  3'!$H65,0,OFFSET(AL249,0,-1*'Get Started  3'!$H65)*'Get Started  3'!$H86/'Get Started  3'!$H82),0)</f>
        <v>0</v>
      </c>
      <c r="AM254" s="52">
        <f ca="1">IFERROR(IF(AM4&lt;'Get Started  3'!$H55,0,OFFSET(AM249,0,-1*'Get Started  3'!$H55)*'Get Started  3'!$H84/'Get Started  3'!$H82),0)+IFERROR(IF(AM4&lt;'Get Started  3'!$H65,0,OFFSET(AM249,0,-1*'Get Started  3'!$H65)*'Get Started  3'!$H86/'Get Started  3'!$H82),0)</f>
        <v>0</v>
      </c>
      <c r="AN254" s="52">
        <f ca="1">IFERROR(IF(AN4&lt;'Get Started  3'!$H55,0,OFFSET(AN249,0,-1*'Get Started  3'!$H55)*'Get Started  3'!$H84/'Get Started  3'!$H82),0)+IFERROR(IF(AN4&lt;'Get Started  3'!$H65,0,OFFSET(AN249,0,-1*'Get Started  3'!$H65)*'Get Started  3'!$H86/'Get Started  3'!$H82),0)</f>
        <v>0</v>
      </c>
      <c r="AO254" s="52">
        <f ca="1">IFERROR(IF(AO4&lt;'Get Started  3'!$H55,0,OFFSET(AO249,0,-1*'Get Started  3'!$H55)*'Get Started  3'!$H84/'Get Started  3'!$H82),0)+IFERROR(IF(AO4&lt;'Get Started  3'!$H65,0,OFFSET(AO249,0,-1*'Get Started  3'!$H65)*'Get Started  3'!$H86/'Get Started  3'!$H82),0)</f>
        <v>0</v>
      </c>
      <c r="AP254" s="52">
        <f ca="1">IFERROR(IF(AP4&lt;'Get Started  3'!$H55,0,OFFSET(AP249,0,-1*'Get Started  3'!$H55)*'Get Started  3'!$H84/'Get Started  3'!$H82),0)+IFERROR(IF(AP4&lt;'Get Started  3'!$H65,0,OFFSET(AP249,0,-1*'Get Started  3'!$H65)*'Get Started  3'!$H86/'Get Started  3'!$H82),0)</f>
        <v>0</v>
      </c>
      <c r="AQ254" s="52">
        <f ca="1">IFERROR(IF(AQ4&lt;'Get Started  3'!$H55,0,OFFSET(AQ249,0,-1*'Get Started  3'!$H55)*'Get Started  3'!$H84/'Get Started  3'!$H82),0)+IFERROR(IF(AQ4&lt;'Get Started  3'!$H65,0,OFFSET(AQ249,0,-1*'Get Started  3'!$H65)*'Get Started  3'!$H86/'Get Started  3'!$H82),0)</f>
        <v>0</v>
      </c>
      <c r="AR254" s="52">
        <f ca="1">IFERROR(IF(AR4&lt;'Get Started  3'!$H55,0,OFFSET(AR249,0,-1*'Get Started  3'!$H55)*'Get Started  3'!$H84/'Get Started  3'!$H82),0)+IFERROR(IF(AR4&lt;'Get Started  3'!$H65,0,OFFSET(AR249,0,-1*'Get Started  3'!$H65)*'Get Started  3'!$H86/'Get Started  3'!$H82),0)</f>
        <v>0</v>
      </c>
      <c r="AS254" s="52">
        <f ca="1">IFERROR(IF(AS4&lt;'Get Started  3'!$H55,0,OFFSET(AS249,0,-1*'Get Started  3'!$H55)*'Get Started  3'!$H84/'Get Started  3'!$H82),0)+IFERROR(IF(AS4&lt;'Get Started  3'!$H65,0,OFFSET(AS249,0,-1*'Get Started  3'!$H65)*'Get Started  3'!$H86/'Get Started  3'!$H82),0)</f>
        <v>0</v>
      </c>
      <c r="AT254" s="52">
        <f ca="1">IFERROR(IF(AT4&lt;'Get Started  3'!$H55,0,OFFSET(AT249,0,-1*'Get Started  3'!$H55)*'Get Started  3'!$H84/'Get Started  3'!$H82),0)+IFERROR(IF(AT4&lt;'Get Started  3'!$H65,0,OFFSET(AT249,0,-1*'Get Started  3'!$H65)*'Get Started  3'!$H86/'Get Started  3'!$H82),0)</f>
        <v>0</v>
      </c>
      <c r="AU254" s="52">
        <f ca="1">IFERROR(IF(AU4&lt;'Get Started  3'!$H55,0,OFFSET(AU249,0,-1*'Get Started  3'!$H55)*'Get Started  3'!$H84/'Get Started  3'!$H82),0)+IFERROR(IF(AU4&lt;'Get Started  3'!$H65,0,OFFSET(AU249,0,-1*'Get Started  3'!$H65)*'Get Started  3'!$H86/'Get Started  3'!$H82),0)</f>
        <v>0</v>
      </c>
      <c r="AV254" s="52">
        <f ca="1">IFERROR(IF(AV4&lt;'Get Started  3'!$H55,0,OFFSET(AV249,0,-1*'Get Started  3'!$H55)*'Get Started  3'!$H84/'Get Started  3'!$H82),0)+IFERROR(IF(AV4&lt;'Get Started  3'!$H65,0,OFFSET(AV249,0,-1*'Get Started  3'!$H65)*'Get Started  3'!$H86/'Get Started  3'!$H82),0)</f>
        <v>0</v>
      </c>
      <c r="AW254" s="52">
        <f ca="1">IFERROR(IF(AW4&lt;'Get Started  3'!$H55,0,OFFSET(AW249,0,-1*'Get Started  3'!$H55)*'Get Started  3'!$H84/'Get Started  3'!$H82),0)+IFERROR(IF(AW4&lt;'Get Started  3'!$H65,0,OFFSET(AW249,0,-1*'Get Started  3'!$H65)*'Get Started  3'!$H86/'Get Started  3'!$H82),0)</f>
        <v>0</v>
      </c>
      <c r="AX254" s="52">
        <f ca="1">IFERROR(IF(AX4&lt;'Get Started  3'!$H55,0,OFFSET(AX249,0,-1*'Get Started  3'!$H55)*'Get Started  3'!$H84/'Get Started  3'!$H82),0)+IFERROR(IF(AX4&lt;'Get Started  3'!$H65,0,OFFSET(AX249,0,-1*'Get Started  3'!$H65)*'Get Started  3'!$H86/'Get Started  3'!$H82),0)</f>
        <v>0</v>
      </c>
      <c r="AY254" s="52">
        <f ca="1">IFERROR(IF(AY4&lt;'Get Started  3'!$H55,0,OFFSET(AY249,0,-1*'Get Started  3'!$H55)*'Get Started  3'!$H84/'Get Started  3'!$H82),0)+IFERROR(IF(AY4&lt;'Get Started  3'!$H65,0,OFFSET(AY249,0,-1*'Get Started  3'!$H65)*'Get Started  3'!$H86/'Get Started  3'!$H82),0)</f>
        <v>0</v>
      </c>
      <c r="AZ254" s="52">
        <f ca="1">IFERROR(IF(AZ4&lt;'Get Started  3'!$H55,0,OFFSET(AZ249,0,-1*'Get Started  3'!$H55)*'Get Started  3'!$H84/'Get Started  3'!$H82),0)+IFERROR(IF(AZ4&lt;'Get Started  3'!$H65,0,OFFSET(AZ249,0,-1*'Get Started  3'!$H65)*'Get Started  3'!$H86/'Get Started  3'!$H82),0)</f>
        <v>0</v>
      </c>
      <c r="BA254" s="52">
        <f ca="1">IFERROR(IF(BA4&lt;'Get Started  3'!$H55,0,OFFSET(BA249,0,-1*'Get Started  3'!$H55)*'Get Started  3'!$H84/'Get Started  3'!$H82),0)+IFERROR(IF(BA4&lt;'Get Started  3'!$H65,0,OFFSET(BA249,0,-1*'Get Started  3'!$H65)*'Get Started  3'!$H86/'Get Started  3'!$H82),0)</f>
        <v>0</v>
      </c>
      <c r="BB254" s="52">
        <f ca="1">IFERROR(IF(BB4&lt;'Get Started  3'!$H55,0,OFFSET(BB249,0,-1*'Get Started  3'!$H55)*'Get Started  3'!$H84/'Get Started  3'!$H82),0)+IFERROR(IF(BB4&lt;'Get Started  3'!$H65,0,OFFSET(BB249,0,-1*'Get Started  3'!$H65)*'Get Started  3'!$H86/'Get Started  3'!$H82),0)</f>
        <v>0</v>
      </c>
      <c r="BC254" s="52">
        <f ca="1">IFERROR(IF(BC4&lt;'Get Started  3'!$H55,0,OFFSET(BC249,0,-1*'Get Started  3'!$H55)*'Get Started  3'!$H84/'Get Started  3'!$H82),0)+IFERROR(IF(BC4&lt;'Get Started  3'!$H65,0,OFFSET(BC249,0,-1*'Get Started  3'!$H65)*'Get Started  3'!$H86/'Get Started  3'!$H82),0)</f>
        <v>0</v>
      </c>
      <c r="BD254" s="52">
        <f ca="1">IFERROR(IF(BD4&lt;'Get Started  3'!$H55,0,OFFSET(BD249,0,-1*'Get Started  3'!$H55)*'Get Started  3'!$H84/'Get Started  3'!$H82),0)+IFERROR(IF(BD4&lt;'Get Started  3'!$H65,0,OFFSET(BD249,0,-1*'Get Started  3'!$H65)*'Get Started  3'!$H86/'Get Started  3'!$H82),0)</f>
        <v>0</v>
      </c>
      <c r="BE254" s="52">
        <f ca="1">IFERROR(IF(BE4&lt;'Get Started  3'!$H55,0,OFFSET(BE249,0,-1*'Get Started  3'!$H55)*'Get Started  3'!$H84/'Get Started  3'!$H82),0)+IFERROR(IF(BE4&lt;'Get Started  3'!$H65,0,OFFSET(BE249,0,-1*'Get Started  3'!$H65)*'Get Started  3'!$H86/'Get Started  3'!$H82),0)</f>
        <v>0</v>
      </c>
      <c r="BF254" s="52">
        <f ca="1">IFERROR(IF(BF4&lt;'Get Started  3'!$H55,0,OFFSET(BF249,0,-1*'Get Started  3'!$H55)*'Get Started  3'!$H84/'Get Started  3'!$H82),0)+IFERROR(IF(BF4&lt;'Get Started  3'!$H65,0,OFFSET(BF249,0,-1*'Get Started  3'!$H65)*'Get Started  3'!$H86/'Get Started  3'!$H82),0)</f>
        <v>0</v>
      </c>
      <c r="BG254" s="52">
        <f ca="1">IFERROR(IF(BG4&lt;'Get Started  3'!$H55,0,OFFSET(BG249,0,-1*'Get Started  3'!$H55)*'Get Started  3'!$H84/'Get Started  3'!$H82),0)+IFERROR(IF(BG4&lt;'Get Started  3'!$H65,0,OFFSET(BG249,0,-1*'Get Started  3'!$H65)*'Get Started  3'!$H86/'Get Started  3'!$H82),0)</f>
        <v>0</v>
      </c>
      <c r="BH254" s="52">
        <f ca="1">IFERROR(IF(BH4&lt;'Get Started  3'!$H55,0,OFFSET(BH249,0,-1*'Get Started  3'!$H55)*'Get Started  3'!$H84/'Get Started  3'!$H82),0)+IFERROR(IF(BH4&lt;'Get Started  3'!$H65,0,OFFSET(BH249,0,-1*'Get Started  3'!$H65)*'Get Started  3'!$H86/'Get Started  3'!$H82),0)</f>
        <v>0</v>
      </c>
      <c r="BI254" s="52">
        <f ca="1">IFERROR(IF(BI4&lt;'Get Started  3'!$H55,0,OFFSET(BI249,0,-1*'Get Started  3'!$H55)*'Get Started  3'!$H84/'Get Started  3'!$H82),0)+IFERROR(IF(BI4&lt;'Get Started  3'!$H65,0,OFFSET(BI249,0,-1*'Get Started  3'!$H65)*'Get Started  3'!$H86/'Get Started  3'!$H82),0)</f>
        <v>0</v>
      </c>
      <c r="BJ254" s="52">
        <f ca="1">IFERROR(IF(BJ4&lt;'Get Started  3'!$H55,0,OFFSET(BJ249,0,-1*'Get Started  3'!$H55)*'Get Started  3'!$H84/'Get Started  3'!$H82),0)+IFERROR(IF(BJ4&lt;'Get Started  3'!$H65,0,OFFSET(BJ249,0,-1*'Get Started  3'!$H65)*'Get Started  3'!$H86/'Get Started  3'!$H82),0)</f>
        <v>0</v>
      </c>
      <c r="BK254" s="52">
        <f ca="1">IFERROR(IF(BK4&lt;'Get Started  3'!$H55,0,OFFSET(BK249,0,-1*'Get Started  3'!$H55)*'Get Started  3'!$H84/'Get Started  3'!$H82),0)+IFERROR(IF(BK4&lt;'Get Started  3'!$H65,0,OFFSET(BK249,0,-1*'Get Started  3'!$H65)*'Get Started  3'!$H86/'Get Started  3'!$H82),0)</f>
        <v>0</v>
      </c>
      <c r="BL254" s="52">
        <f ca="1">IFERROR(IF(BL4&lt;'Get Started  3'!$H55,0,OFFSET(BL249,0,-1*'Get Started  3'!$H55)*'Get Started  3'!$H84/'Get Started  3'!$H82),0)+IFERROR(IF(BL4&lt;'Get Started  3'!$H65,0,OFFSET(BL249,0,-1*'Get Started  3'!$H65)*'Get Started  3'!$H86/'Get Started  3'!$H82),0)</f>
        <v>0</v>
      </c>
      <c r="BM254" s="52">
        <f ca="1">IFERROR(IF(BM4&lt;'Get Started  3'!$H55,0,OFFSET(BM249,0,-1*'Get Started  3'!$H55)*'Get Started  3'!$H84/'Get Started  3'!$H82),0)+IFERROR(IF(BM4&lt;'Get Started  3'!$H65,0,OFFSET(BM249,0,-1*'Get Started  3'!$H65)*'Get Started  3'!$H86/'Get Started  3'!$H82),0)</f>
        <v>0</v>
      </c>
      <c r="BN254" s="52">
        <f ca="1">IFERROR(IF(BN4&lt;'Get Started  3'!$H55,0,OFFSET(BN249,0,-1*'Get Started  3'!$H55)*'Get Started  3'!$H84/'Get Started  3'!$H82),0)+IFERROR(IF(BN4&lt;'Get Started  3'!$H65,0,OFFSET(BN249,0,-1*'Get Started  3'!$H65)*'Get Started  3'!$H86/'Get Started  3'!$H82),0)</f>
        <v>0</v>
      </c>
      <c r="BO254" s="52">
        <f ca="1">IFERROR(IF(BO4&lt;'Get Started  3'!$H55,0,OFFSET(BO249,0,-1*'Get Started  3'!$H55)*'Get Started  3'!$H84/'Get Started  3'!$H82),0)+IFERROR(IF(BO4&lt;'Get Started  3'!$H65,0,OFFSET(BO249,0,-1*'Get Started  3'!$H65)*'Get Started  3'!$H86/'Get Started  3'!$H82),0)</f>
        <v>0</v>
      </c>
      <c r="BP254" s="52">
        <f ca="1">IFERROR(IF(BP4&lt;'Get Started  3'!$H55,0,OFFSET(BP249,0,-1*'Get Started  3'!$H55)*'Get Started  3'!$H84/'Get Started  3'!$H82),0)+IFERROR(IF(BP4&lt;'Get Started  3'!$H65,0,OFFSET(BP249,0,-1*'Get Started  3'!$H65)*'Get Started  3'!$H86/'Get Started  3'!$H82),0)</f>
        <v>0</v>
      </c>
      <c r="BQ254" s="52">
        <f ca="1">IFERROR(IF(BQ4&lt;'Get Started  3'!$H55,0,OFFSET(BQ249,0,-1*'Get Started  3'!$H55)*'Get Started  3'!$H84/'Get Started  3'!$H82),0)+IFERROR(IF(BQ4&lt;'Get Started  3'!$H65,0,OFFSET(BQ249,0,-1*'Get Started  3'!$H65)*'Get Started  3'!$H86/'Get Started  3'!$H82),0)</f>
        <v>0</v>
      </c>
      <c r="BR254" s="52">
        <f ca="1">IFERROR(IF(BR4&lt;'Get Started  3'!$H55,0,OFFSET(BR249,0,-1*'Get Started  3'!$H55)*'Get Started  3'!$H84/'Get Started  3'!$H82),0)+IFERROR(IF(BR4&lt;'Get Started  3'!$H65,0,OFFSET(BR249,0,-1*'Get Started  3'!$H65)*'Get Started  3'!$H86/'Get Started  3'!$H82),0)</f>
        <v>0</v>
      </c>
      <c r="BS254" s="52">
        <f ca="1">IFERROR(IF(BS4&lt;'Get Started  3'!$H55,0,OFFSET(BS249,0,-1*'Get Started  3'!$H55)*'Get Started  3'!$H84/'Get Started  3'!$H82),0)+IFERROR(IF(BS4&lt;'Get Started  3'!$H65,0,OFFSET(BS249,0,-1*'Get Started  3'!$H65)*'Get Started  3'!$H86/'Get Started  3'!$H82),0)</f>
        <v>0</v>
      </c>
      <c r="BT254" s="52">
        <f ca="1">IFERROR(IF(BT4&lt;'Get Started  3'!$H55,0,OFFSET(BT249,0,-1*'Get Started  3'!$H55)*'Get Started  3'!$H84/'Get Started  3'!$H82),0)+IFERROR(IF(BT4&lt;'Get Started  3'!$H65,0,OFFSET(BT249,0,-1*'Get Started  3'!$H65)*'Get Started  3'!$H86/'Get Started  3'!$H82),0)</f>
        <v>0</v>
      </c>
      <c r="BU254" s="52">
        <f ca="1">IFERROR(IF(BU4&lt;'Get Started  3'!$H55,0,OFFSET(BU249,0,-1*'Get Started  3'!$H55)*'Get Started  3'!$H84/'Get Started  3'!$H82),0)+IFERROR(IF(BU4&lt;'Get Started  3'!$H65,0,OFFSET(BU249,0,-1*'Get Started  3'!$H65)*'Get Started  3'!$H86/'Get Started  3'!$H82),0)</f>
        <v>0</v>
      </c>
      <c r="BV254" s="52">
        <f ca="1">IFERROR(IF(BV4&lt;'Get Started  3'!$H55,0,OFFSET(BV249,0,-1*'Get Started  3'!$H55)*'Get Started  3'!$H84/'Get Started  3'!$H82),0)+IFERROR(IF(BV4&lt;'Get Started  3'!$H65,0,OFFSET(BV249,0,-1*'Get Started  3'!$H65)*'Get Started  3'!$H86/'Get Started  3'!$H82),0)</f>
        <v>0</v>
      </c>
      <c r="BW254" s="52">
        <f ca="1">IFERROR(IF(BW4&lt;'Get Started  3'!$H55,0,OFFSET(BW249,0,-1*'Get Started  3'!$H55)*'Get Started  3'!$H84/'Get Started  3'!$H82),0)+IFERROR(IF(BW4&lt;'Get Started  3'!$H65,0,OFFSET(BW249,0,-1*'Get Started  3'!$H65)*'Get Started  3'!$H86/'Get Started  3'!$H82),0)</f>
        <v>0</v>
      </c>
      <c r="BX254" s="52">
        <f ca="1">IFERROR(IF(BX4&lt;'Get Started  3'!$H55,0,OFFSET(BX249,0,-1*'Get Started  3'!$H55)*'Get Started  3'!$H84/'Get Started  3'!$H82),0)+IFERROR(IF(BX4&lt;'Get Started  3'!$H65,0,OFFSET(BX249,0,-1*'Get Started  3'!$H65)*'Get Started  3'!$H86/'Get Started  3'!$H82),0)</f>
        <v>0</v>
      </c>
      <c r="BY254" s="52">
        <f ca="1">IFERROR(IF(BY4&lt;'Get Started  3'!$H55,0,OFFSET(BY249,0,-1*'Get Started  3'!$H55)*'Get Started  3'!$H84/'Get Started  3'!$H82),0)+IFERROR(IF(BY4&lt;'Get Started  3'!$H65,0,OFFSET(BY249,0,-1*'Get Started  3'!$H65)*'Get Started  3'!$H86/'Get Started  3'!$H82),0)</f>
        <v>0</v>
      </c>
      <c r="BZ254" s="52">
        <f ca="1">IFERROR(IF(BZ4&lt;'Get Started  3'!$H55,0,OFFSET(BZ249,0,-1*'Get Started  3'!$H55)*'Get Started  3'!$H84/'Get Started  3'!$H82),0)+IFERROR(IF(BZ4&lt;'Get Started  3'!$H65,0,OFFSET(BZ249,0,-1*'Get Started  3'!$H65)*'Get Started  3'!$H86/'Get Started  3'!$H82),0)</f>
        <v>0</v>
      </c>
      <c r="CA254" s="52">
        <f ca="1">IFERROR(IF(CA4&lt;'Get Started  3'!$H55,0,OFFSET(CA249,0,-1*'Get Started  3'!$H55)*'Get Started  3'!$H84/'Get Started  3'!$H82),0)+IFERROR(IF(CA4&lt;'Get Started  3'!$H65,0,OFFSET(CA249,0,-1*'Get Started  3'!$H65)*'Get Started  3'!$H86/'Get Started  3'!$H82),0)</f>
        <v>0</v>
      </c>
      <c r="CB254" s="52">
        <f ca="1">IFERROR(IF(CB4&lt;'Get Started  3'!$H55,0,OFFSET(CB249,0,-1*'Get Started  3'!$H55)*'Get Started  3'!$H84/'Get Started  3'!$H82),0)+IFERROR(IF(CB4&lt;'Get Started  3'!$H65,0,OFFSET(CB249,0,-1*'Get Started  3'!$H65)*'Get Started  3'!$H86/'Get Started  3'!$H82),0)</f>
        <v>0</v>
      </c>
      <c r="CC254" s="52">
        <f ca="1">IFERROR(IF(CC4&lt;'Get Started  3'!$H55,0,OFFSET(CC249,0,-1*'Get Started  3'!$H55)*'Get Started  3'!$H84/'Get Started  3'!$H82),0)+IFERROR(IF(CC4&lt;'Get Started  3'!$H65,0,OFFSET(CC249,0,-1*'Get Started  3'!$H65)*'Get Started  3'!$H86/'Get Started  3'!$H82),0)</f>
        <v>0</v>
      </c>
      <c r="CD254" s="52">
        <f ca="1">IFERROR(IF(CD4&lt;'Get Started  3'!$H55,0,OFFSET(CD249,0,-1*'Get Started  3'!$H55)*'Get Started  3'!$H84/'Get Started  3'!$H82),0)+IFERROR(IF(CD4&lt;'Get Started  3'!$H65,0,OFFSET(CD249,0,-1*'Get Started  3'!$H65)*'Get Started  3'!$H86/'Get Started  3'!$H82),0)</f>
        <v>0</v>
      </c>
      <c r="CE254" s="52">
        <f ca="1">IFERROR(IF(CE4&lt;'Get Started  3'!$H55,0,OFFSET(CE249,0,-1*'Get Started  3'!$H55)*'Get Started  3'!$H84/'Get Started  3'!$H82),0)+IFERROR(IF(CE4&lt;'Get Started  3'!$H65,0,OFFSET(CE249,0,-1*'Get Started  3'!$H65)*'Get Started  3'!$H86/'Get Started  3'!$H82),0)</f>
        <v>0</v>
      </c>
      <c r="CF254" s="52">
        <f ca="1">IFERROR(IF(CF4&lt;'Get Started  3'!$H55,0,OFFSET(CF249,0,-1*'Get Started  3'!$H55)*'Get Started  3'!$H84/'Get Started  3'!$H82),0)+IFERROR(IF(CF4&lt;'Get Started  3'!$H65,0,OFFSET(CF249,0,-1*'Get Started  3'!$H65)*'Get Started  3'!$H86/'Get Started  3'!$H82),0)</f>
        <v>0</v>
      </c>
      <c r="CG254" s="52">
        <f ca="1">IFERROR(IF(CG4&lt;'Get Started  3'!$H55,0,OFFSET(CG249,0,-1*'Get Started  3'!$H55)*'Get Started  3'!$H84/'Get Started  3'!$H82),0)+IFERROR(IF(CG4&lt;'Get Started  3'!$H65,0,OFFSET(CG249,0,-1*'Get Started  3'!$H65)*'Get Started  3'!$H86/'Get Started  3'!$H82),0)</f>
        <v>0</v>
      </c>
      <c r="CH254" s="52">
        <f ca="1">IFERROR(IF(CH4&lt;'Get Started  3'!$H55,0,OFFSET(CH249,0,-1*'Get Started  3'!$H55)*'Get Started  3'!$H84/'Get Started  3'!$H82),0)+IFERROR(IF(CH4&lt;'Get Started  3'!$H65,0,OFFSET(CH249,0,-1*'Get Started  3'!$H65)*'Get Started  3'!$H86/'Get Started  3'!$H82),0)</f>
        <v>0</v>
      </c>
    </row>
    <row r="255" spans="1:86" ht="13" outlineLevel="1">
      <c r="A255" s="13"/>
      <c r="B255" s="13" t="str">
        <f>B253&amp;" total"</f>
        <v>follow invested capital total</v>
      </c>
      <c r="C255" s="13"/>
      <c r="D255" s="13" t="s">
        <v>238</v>
      </c>
      <c r="E255" s="88">
        <f t="shared" ca="1" si="183"/>
        <v>0</v>
      </c>
      <c r="F255" s="48"/>
      <c r="G255" s="52">
        <f t="shared" ref="G255:CH255" ca="1" si="185">SUM(G251:G254)</f>
        <v>0</v>
      </c>
      <c r="H255" s="52">
        <f t="shared" ca="1" si="185"/>
        <v>0</v>
      </c>
      <c r="I255" s="52">
        <f t="shared" ca="1" si="185"/>
        <v>0</v>
      </c>
      <c r="J255" s="52">
        <f t="shared" ca="1" si="185"/>
        <v>0</v>
      </c>
      <c r="K255" s="52">
        <f t="shared" ca="1" si="185"/>
        <v>0</v>
      </c>
      <c r="L255" s="52">
        <f t="shared" ca="1" si="185"/>
        <v>0</v>
      </c>
      <c r="M255" s="52">
        <f t="shared" ca="1" si="185"/>
        <v>0</v>
      </c>
      <c r="N255" s="52">
        <f t="shared" ca="1" si="185"/>
        <v>0</v>
      </c>
      <c r="O255" s="52">
        <f t="shared" ca="1" si="185"/>
        <v>0</v>
      </c>
      <c r="P255" s="52">
        <f t="shared" ca="1" si="185"/>
        <v>0</v>
      </c>
      <c r="Q255" s="52">
        <f t="shared" ca="1" si="185"/>
        <v>0</v>
      </c>
      <c r="R255" s="52">
        <f t="shared" ca="1" si="185"/>
        <v>0</v>
      </c>
      <c r="S255" s="52">
        <f t="shared" ca="1" si="185"/>
        <v>0</v>
      </c>
      <c r="T255" s="52">
        <f t="shared" ca="1" si="185"/>
        <v>0</v>
      </c>
      <c r="U255" s="52">
        <f t="shared" ca="1" si="185"/>
        <v>0</v>
      </c>
      <c r="V255" s="52">
        <f t="shared" ca="1" si="185"/>
        <v>0</v>
      </c>
      <c r="W255" s="52">
        <f t="shared" ca="1" si="185"/>
        <v>0</v>
      </c>
      <c r="X255" s="52">
        <f t="shared" ca="1" si="185"/>
        <v>0</v>
      </c>
      <c r="Y255" s="52">
        <f t="shared" ca="1" si="185"/>
        <v>0</v>
      </c>
      <c r="Z255" s="52">
        <f t="shared" ca="1" si="185"/>
        <v>0</v>
      </c>
      <c r="AA255" s="52">
        <f t="shared" ca="1" si="185"/>
        <v>0</v>
      </c>
      <c r="AB255" s="52">
        <f t="shared" ca="1" si="185"/>
        <v>0</v>
      </c>
      <c r="AC255" s="52">
        <f t="shared" ca="1" si="185"/>
        <v>0</v>
      </c>
      <c r="AD255" s="52">
        <f t="shared" ca="1" si="185"/>
        <v>0</v>
      </c>
      <c r="AE255" s="52">
        <f t="shared" ca="1" si="185"/>
        <v>0</v>
      </c>
      <c r="AF255" s="52">
        <f t="shared" ca="1" si="185"/>
        <v>0</v>
      </c>
      <c r="AG255" s="52">
        <f t="shared" ca="1" si="185"/>
        <v>0</v>
      </c>
      <c r="AH255" s="52">
        <f t="shared" ca="1" si="185"/>
        <v>0</v>
      </c>
      <c r="AI255" s="52">
        <f t="shared" ca="1" si="185"/>
        <v>0</v>
      </c>
      <c r="AJ255" s="52">
        <f t="shared" ca="1" si="185"/>
        <v>0</v>
      </c>
      <c r="AK255" s="52">
        <f t="shared" ca="1" si="185"/>
        <v>0</v>
      </c>
      <c r="AL255" s="52">
        <f t="shared" ca="1" si="185"/>
        <v>0</v>
      </c>
      <c r="AM255" s="52">
        <f t="shared" ca="1" si="185"/>
        <v>0</v>
      </c>
      <c r="AN255" s="52">
        <f t="shared" ca="1" si="185"/>
        <v>0</v>
      </c>
      <c r="AO255" s="52">
        <f t="shared" ca="1" si="185"/>
        <v>0</v>
      </c>
      <c r="AP255" s="52">
        <f t="shared" ca="1" si="185"/>
        <v>0</v>
      </c>
      <c r="AQ255" s="52">
        <f t="shared" ca="1" si="185"/>
        <v>0</v>
      </c>
      <c r="AR255" s="52">
        <f t="shared" ca="1" si="185"/>
        <v>0</v>
      </c>
      <c r="AS255" s="52">
        <f t="shared" ca="1" si="185"/>
        <v>0</v>
      </c>
      <c r="AT255" s="52">
        <f t="shared" ca="1" si="185"/>
        <v>0</v>
      </c>
      <c r="AU255" s="52">
        <f t="shared" ca="1" si="185"/>
        <v>0</v>
      </c>
      <c r="AV255" s="52">
        <f t="shared" ca="1" si="185"/>
        <v>0</v>
      </c>
      <c r="AW255" s="52">
        <f t="shared" ca="1" si="185"/>
        <v>0</v>
      </c>
      <c r="AX255" s="52">
        <f t="shared" ca="1" si="185"/>
        <v>0</v>
      </c>
      <c r="AY255" s="52">
        <f t="shared" ca="1" si="185"/>
        <v>0</v>
      </c>
      <c r="AZ255" s="52">
        <f t="shared" ca="1" si="185"/>
        <v>0</v>
      </c>
      <c r="BA255" s="52">
        <f t="shared" ca="1" si="185"/>
        <v>0</v>
      </c>
      <c r="BB255" s="52">
        <f t="shared" ca="1" si="185"/>
        <v>0</v>
      </c>
      <c r="BC255" s="52">
        <f t="shared" ca="1" si="185"/>
        <v>0</v>
      </c>
      <c r="BD255" s="52">
        <f t="shared" ca="1" si="185"/>
        <v>0</v>
      </c>
      <c r="BE255" s="52">
        <f t="shared" ca="1" si="185"/>
        <v>0</v>
      </c>
      <c r="BF255" s="52">
        <f t="shared" ca="1" si="185"/>
        <v>0</v>
      </c>
      <c r="BG255" s="52">
        <f t="shared" ca="1" si="185"/>
        <v>0</v>
      </c>
      <c r="BH255" s="52">
        <f t="shared" ca="1" si="185"/>
        <v>0</v>
      </c>
      <c r="BI255" s="52">
        <f t="shared" ca="1" si="185"/>
        <v>0</v>
      </c>
      <c r="BJ255" s="52">
        <f t="shared" ca="1" si="185"/>
        <v>0</v>
      </c>
      <c r="BK255" s="52">
        <f t="shared" ca="1" si="185"/>
        <v>0</v>
      </c>
      <c r="BL255" s="52">
        <f t="shared" ca="1" si="185"/>
        <v>0</v>
      </c>
      <c r="BM255" s="52">
        <f t="shared" ca="1" si="185"/>
        <v>0</v>
      </c>
      <c r="BN255" s="52">
        <f t="shared" ca="1" si="185"/>
        <v>0</v>
      </c>
      <c r="BO255" s="52">
        <f t="shared" ca="1" si="185"/>
        <v>0</v>
      </c>
      <c r="BP255" s="52">
        <f t="shared" ca="1" si="185"/>
        <v>0</v>
      </c>
      <c r="BQ255" s="52">
        <f t="shared" ca="1" si="185"/>
        <v>0</v>
      </c>
      <c r="BR255" s="52">
        <f t="shared" ca="1" si="185"/>
        <v>0</v>
      </c>
      <c r="BS255" s="52">
        <f t="shared" ca="1" si="185"/>
        <v>0</v>
      </c>
      <c r="BT255" s="52">
        <f t="shared" ca="1" si="185"/>
        <v>0</v>
      </c>
      <c r="BU255" s="52">
        <f t="shared" ca="1" si="185"/>
        <v>0</v>
      </c>
      <c r="BV255" s="52">
        <f t="shared" ca="1" si="185"/>
        <v>0</v>
      </c>
      <c r="BW255" s="52">
        <f t="shared" ca="1" si="185"/>
        <v>0</v>
      </c>
      <c r="BX255" s="52">
        <f t="shared" ca="1" si="185"/>
        <v>0</v>
      </c>
      <c r="BY255" s="52">
        <f t="shared" ca="1" si="185"/>
        <v>0</v>
      </c>
      <c r="BZ255" s="52">
        <f t="shared" ca="1" si="185"/>
        <v>0</v>
      </c>
      <c r="CA255" s="52">
        <f t="shared" ca="1" si="185"/>
        <v>0</v>
      </c>
      <c r="CB255" s="52">
        <f t="shared" ca="1" si="185"/>
        <v>0</v>
      </c>
      <c r="CC255" s="52">
        <f t="shared" ca="1" si="185"/>
        <v>0</v>
      </c>
      <c r="CD255" s="52">
        <f t="shared" ca="1" si="185"/>
        <v>0</v>
      </c>
      <c r="CE255" s="52">
        <f t="shared" ca="1" si="185"/>
        <v>0</v>
      </c>
      <c r="CF255" s="52">
        <f t="shared" ca="1" si="185"/>
        <v>0</v>
      </c>
      <c r="CG255" s="52">
        <f t="shared" ca="1" si="185"/>
        <v>0</v>
      </c>
      <c r="CH255" s="52">
        <f t="shared" ca="1" si="185"/>
        <v>0</v>
      </c>
    </row>
    <row r="256" spans="1:86" ht="13" outlineLevel="1">
      <c r="A256" s="13"/>
      <c r="B256" s="13" t="s">
        <v>330</v>
      </c>
      <c r="C256" s="13"/>
      <c r="D256" s="13" t="s">
        <v>238</v>
      </c>
      <c r="E256" s="88">
        <f t="shared" ca="1" si="183"/>
        <v>0.56666666666666654</v>
      </c>
      <c r="F256" s="48"/>
      <c r="G256" s="52">
        <f t="shared" ref="G256:CH256" ca="1" si="186">G246+IFERROR(G246*$E251/$E246,0)</f>
        <v>3.5416666666666666E-2</v>
      </c>
      <c r="H256" s="52">
        <f t="shared" ca="1" si="186"/>
        <v>3.5416666666666666E-2</v>
      </c>
      <c r="I256" s="52">
        <f t="shared" ca="1" si="186"/>
        <v>3.5416666666666666E-2</v>
      </c>
      <c r="J256" s="52">
        <f t="shared" ca="1" si="186"/>
        <v>3.5416666666666666E-2</v>
      </c>
      <c r="K256" s="52">
        <f t="shared" ca="1" si="186"/>
        <v>3.5416666666666666E-2</v>
      </c>
      <c r="L256" s="52">
        <f t="shared" ca="1" si="186"/>
        <v>3.5416666666666666E-2</v>
      </c>
      <c r="M256" s="52">
        <f t="shared" ca="1" si="186"/>
        <v>3.5416666666666666E-2</v>
      </c>
      <c r="N256" s="52">
        <f t="shared" ca="1" si="186"/>
        <v>3.5416666666666666E-2</v>
      </c>
      <c r="O256" s="52">
        <f t="shared" ca="1" si="186"/>
        <v>3.5416666666666666E-2</v>
      </c>
      <c r="P256" s="52">
        <f t="shared" ca="1" si="186"/>
        <v>3.5416666666666666E-2</v>
      </c>
      <c r="Q256" s="52">
        <f t="shared" ca="1" si="186"/>
        <v>3.5416666666666666E-2</v>
      </c>
      <c r="R256" s="52">
        <f t="shared" ca="1" si="186"/>
        <v>3.5416666666666666E-2</v>
      </c>
      <c r="S256" s="52">
        <f t="shared" ca="1" si="186"/>
        <v>3.5416666666666666E-2</v>
      </c>
      <c r="T256" s="52">
        <f t="shared" ca="1" si="186"/>
        <v>3.5416666666666666E-2</v>
      </c>
      <c r="U256" s="52">
        <f t="shared" ca="1" si="186"/>
        <v>3.5416666666666666E-2</v>
      </c>
      <c r="V256" s="52">
        <f t="shared" ca="1" si="186"/>
        <v>3.5416666666666666E-2</v>
      </c>
      <c r="W256" s="52">
        <f t="shared" ca="1" si="186"/>
        <v>0</v>
      </c>
      <c r="X256" s="52">
        <f t="shared" ca="1" si="186"/>
        <v>0</v>
      </c>
      <c r="Y256" s="52">
        <f t="shared" ca="1" si="186"/>
        <v>0</v>
      </c>
      <c r="Z256" s="52">
        <f t="shared" ca="1" si="186"/>
        <v>0</v>
      </c>
      <c r="AA256" s="52">
        <f t="shared" ca="1" si="186"/>
        <v>0</v>
      </c>
      <c r="AB256" s="52">
        <f t="shared" ca="1" si="186"/>
        <v>0</v>
      </c>
      <c r="AC256" s="52">
        <f t="shared" ca="1" si="186"/>
        <v>0</v>
      </c>
      <c r="AD256" s="52">
        <f t="shared" ca="1" si="186"/>
        <v>0</v>
      </c>
      <c r="AE256" s="52">
        <f t="shared" ca="1" si="186"/>
        <v>0</v>
      </c>
      <c r="AF256" s="52">
        <f t="shared" ca="1" si="186"/>
        <v>0</v>
      </c>
      <c r="AG256" s="52">
        <f t="shared" ca="1" si="186"/>
        <v>0</v>
      </c>
      <c r="AH256" s="52">
        <f t="shared" ca="1" si="186"/>
        <v>0</v>
      </c>
      <c r="AI256" s="52">
        <f t="shared" ca="1" si="186"/>
        <v>0</v>
      </c>
      <c r="AJ256" s="52">
        <f t="shared" ca="1" si="186"/>
        <v>0</v>
      </c>
      <c r="AK256" s="52">
        <f t="shared" ca="1" si="186"/>
        <v>0</v>
      </c>
      <c r="AL256" s="52">
        <f t="shared" ca="1" si="186"/>
        <v>0</v>
      </c>
      <c r="AM256" s="52">
        <f t="shared" ca="1" si="186"/>
        <v>0</v>
      </c>
      <c r="AN256" s="52">
        <f t="shared" ca="1" si="186"/>
        <v>0</v>
      </c>
      <c r="AO256" s="52">
        <f t="shared" ca="1" si="186"/>
        <v>0</v>
      </c>
      <c r="AP256" s="52">
        <f t="shared" ca="1" si="186"/>
        <v>0</v>
      </c>
      <c r="AQ256" s="52">
        <f t="shared" ca="1" si="186"/>
        <v>0</v>
      </c>
      <c r="AR256" s="52">
        <f t="shared" ca="1" si="186"/>
        <v>0</v>
      </c>
      <c r="AS256" s="52">
        <f t="shared" ca="1" si="186"/>
        <v>0</v>
      </c>
      <c r="AT256" s="52">
        <f t="shared" ca="1" si="186"/>
        <v>0</v>
      </c>
      <c r="AU256" s="52">
        <f t="shared" ca="1" si="186"/>
        <v>0</v>
      </c>
      <c r="AV256" s="52">
        <f t="shared" ca="1" si="186"/>
        <v>0</v>
      </c>
      <c r="AW256" s="52">
        <f t="shared" ca="1" si="186"/>
        <v>0</v>
      </c>
      <c r="AX256" s="52">
        <f t="shared" ca="1" si="186"/>
        <v>0</v>
      </c>
      <c r="AY256" s="52">
        <f t="shared" ca="1" si="186"/>
        <v>0</v>
      </c>
      <c r="AZ256" s="52">
        <f t="shared" ca="1" si="186"/>
        <v>0</v>
      </c>
      <c r="BA256" s="52">
        <f t="shared" ca="1" si="186"/>
        <v>0</v>
      </c>
      <c r="BB256" s="52">
        <f t="shared" ca="1" si="186"/>
        <v>0</v>
      </c>
      <c r="BC256" s="52">
        <f t="shared" ca="1" si="186"/>
        <v>0</v>
      </c>
      <c r="BD256" s="52">
        <f t="shared" ca="1" si="186"/>
        <v>0</v>
      </c>
      <c r="BE256" s="52">
        <f t="shared" ca="1" si="186"/>
        <v>0</v>
      </c>
      <c r="BF256" s="52">
        <f t="shared" ca="1" si="186"/>
        <v>0</v>
      </c>
      <c r="BG256" s="52">
        <f t="shared" ca="1" si="186"/>
        <v>0</v>
      </c>
      <c r="BH256" s="52">
        <f t="shared" ca="1" si="186"/>
        <v>0</v>
      </c>
      <c r="BI256" s="52">
        <f t="shared" ca="1" si="186"/>
        <v>0</v>
      </c>
      <c r="BJ256" s="52">
        <f t="shared" ca="1" si="186"/>
        <v>0</v>
      </c>
      <c r="BK256" s="52">
        <f t="shared" ca="1" si="186"/>
        <v>0</v>
      </c>
      <c r="BL256" s="52">
        <f t="shared" ca="1" si="186"/>
        <v>0</v>
      </c>
      <c r="BM256" s="52">
        <f t="shared" ca="1" si="186"/>
        <v>0</v>
      </c>
      <c r="BN256" s="52">
        <f t="shared" ca="1" si="186"/>
        <v>0</v>
      </c>
      <c r="BO256" s="52">
        <f t="shared" ca="1" si="186"/>
        <v>0</v>
      </c>
      <c r="BP256" s="52">
        <f t="shared" ca="1" si="186"/>
        <v>0</v>
      </c>
      <c r="BQ256" s="52">
        <f t="shared" ca="1" si="186"/>
        <v>0</v>
      </c>
      <c r="BR256" s="52">
        <f t="shared" ca="1" si="186"/>
        <v>0</v>
      </c>
      <c r="BS256" s="52">
        <f t="shared" ca="1" si="186"/>
        <v>0</v>
      </c>
      <c r="BT256" s="52">
        <f t="shared" ca="1" si="186"/>
        <v>0</v>
      </c>
      <c r="BU256" s="52">
        <f t="shared" ca="1" si="186"/>
        <v>0</v>
      </c>
      <c r="BV256" s="52">
        <f t="shared" ca="1" si="186"/>
        <v>0</v>
      </c>
      <c r="BW256" s="52">
        <f t="shared" ca="1" si="186"/>
        <v>0</v>
      </c>
      <c r="BX256" s="52">
        <f t="shared" ca="1" si="186"/>
        <v>0</v>
      </c>
      <c r="BY256" s="52">
        <f t="shared" ca="1" si="186"/>
        <v>0</v>
      </c>
      <c r="BZ256" s="52">
        <f t="shared" ca="1" si="186"/>
        <v>0</v>
      </c>
      <c r="CA256" s="52">
        <f t="shared" ca="1" si="186"/>
        <v>0</v>
      </c>
      <c r="CB256" s="52">
        <f t="shared" ca="1" si="186"/>
        <v>0</v>
      </c>
      <c r="CC256" s="52">
        <f t="shared" ca="1" si="186"/>
        <v>0</v>
      </c>
      <c r="CD256" s="52">
        <f t="shared" ca="1" si="186"/>
        <v>0</v>
      </c>
      <c r="CE256" s="52">
        <f t="shared" ca="1" si="186"/>
        <v>0</v>
      </c>
      <c r="CF256" s="52">
        <f t="shared" ca="1" si="186"/>
        <v>0</v>
      </c>
      <c r="CG256" s="52">
        <f t="shared" ca="1" si="186"/>
        <v>0</v>
      </c>
      <c r="CH256" s="52">
        <f t="shared" ca="1" si="186"/>
        <v>0</v>
      </c>
    </row>
    <row r="257" spans="1:86" ht="13" outlineLevel="1">
      <c r="A257" s="13"/>
      <c r="B257" s="13" t="s">
        <v>330</v>
      </c>
      <c r="C257" s="13"/>
      <c r="D257" s="13" t="s">
        <v>238</v>
      </c>
      <c r="E257" s="88">
        <f t="shared" ca="1" si="183"/>
        <v>0.16666666666666666</v>
      </c>
      <c r="F257" s="48"/>
      <c r="G257" s="52">
        <f t="shared" ref="G257:CH257" ca="1" si="187">G247+IFERROR(G247*$E252/$E247,0)</f>
        <v>1.0416666666666668E-2</v>
      </c>
      <c r="H257" s="52">
        <f t="shared" ca="1" si="187"/>
        <v>1.0416666666666668E-2</v>
      </c>
      <c r="I257" s="52">
        <f t="shared" ca="1" si="187"/>
        <v>1.0416666666666668E-2</v>
      </c>
      <c r="J257" s="52">
        <f t="shared" ca="1" si="187"/>
        <v>1.0416666666666668E-2</v>
      </c>
      <c r="K257" s="52">
        <f t="shared" ca="1" si="187"/>
        <v>1.0416666666666668E-2</v>
      </c>
      <c r="L257" s="52">
        <f t="shared" ca="1" si="187"/>
        <v>1.0416666666666668E-2</v>
      </c>
      <c r="M257" s="52">
        <f t="shared" ca="1" si="187"/>
        <v>1.0416666666666668E-2</v>
      </c>
      <c r="N257" s="52">
        <f t="shared" ca="1" si="187"/>
        <v>1.0416666666666668E-2</v>
      </c>
      <c r="O257" s="52">
        <f t="shared" ca="1" si="187"/>
        <v>1.0416666666666668E-2</v>
      </c>
      <c r="P257" s="52">
        <f t="shared" ca="1" si="187"/>
        <v>1.0416666666666668E-2</v>
      </c>
      <c r="Q257" s="52">
        <f t="shared" ca="1" si="187"/>
        <v>1.0416666666666668E-2</v>
      </c>
      <c r="R257" s="52">
        <f t="shared" ca="1" si="187"/>
        <v>1.0416666666666668E-2</v>
      </c>
      <c r="S257" s="52">
        <f t="shared" ca="1" si="187"/>
        <v>1.0416666666666668E-2</v>
      </c>
      <c r="T257" s="52">
        <f t="shared" ca="1" si="187"/>
        <v>1.0416666666666668E-2</v>
      </c>
      <c r="U257" s="52">
        <f t="shared" ca="1" si="187"/>
        <v>1.0416666666666668E-2</v>
      </c>
      <c r="V257" s="52">
        <f t="shared" ca="1" si="187"/>
        <v>1.0416666666666668E-2</v>
      </c>
      <c r="W257" s="52">
        <f t="shared" ca="1" si="187"/>
        <v>0</v>
      </c>
      <c r="X257" s="52">
        <f t="shared" ca="1" si="187"/>
        <v>0</v>
      </c>
      <c r="Y257" s="52">
        <f t="shared" ca="1" si="187"/>
        <v>0</v>
      </c>
      <c r="Z257" s="52">
        <f t="shared" ca="1" si="187"/>
        <v>0</v>
      </c>
      <c r="AA257" s="52">
        <f t="shared" ca="1" si="187"/>
        <v>0</v>
      </c>
      <c r="AB257" s="52">
        <f t="shared" ca="1" si="187"/>
        <v>0</v>
      </c>
      <c r="AC257" s="52">
        <f t="shared" ca="1" si="187"/>
        <v>0</v>
      </c>
      <c r="AD257" s="52">
        <f t="shared" ca="1" si="187"/>
        <v>0</v>
      </c>
      <c r="AE257" s="52">
        <f t="shared" ca="1" si="187"/>
        <v>0</v>
      </c>
      <c r="AF257" s="52">
        <f t="shared" ca="1" si="187"/>
        <v>0</v>
      </c>
      <c r="AG257" s="52">
        <f t="shared" ca="1" si="187"/>
        <v>0</v>
      </c>
      <c r="AH257" s="52">
        <f t="shared" ca="1" si="187"/>
        <v>0</v>
      </c>
      <c r="AI257" s="52">
        <f t="shared" ca="1" si="187"/>
        <v>0</v>
      </c>
      <c r="AJ257" s="52">
        <f t="shared" ca="1" si="187"/>
        <v>0</v>
      </c>
      <c r="AK257" s="52">
        <f t="shared" ca="1" si="187"/>
        <v>0</v>
      </c>
      <c r="AL257" s="52">
        <f t="shared" ca="1" si="187"/>
        <v>0</v>
      </c>
      <c r="AM257" s="52">
        <f t="shared" ca="1" si="187"/>
        <v>0</v>
      </c>
      <c r="AN257" s="52">
        <f t="shared" ca="1" si="187"/>
        <v>0</v>
      </c>
      <c r="AO257" s="52">
        <f t="shared" ca="1" si="187"/>
        <v>0</v>
      </c>
      <c r="AP257" s="52">
        <f t="shared" ca="1" si="187"/>
        <v>0</v>
      </c>
      <c r="AQ257" s="52">
        <f t="shared" ca="1" si="187"/>
        <v>0</v>
      </c>
      <c r="AR257" s="52">
        <f t="shared" ca="1" si="187"/>
        <v>0</v>
      </c>
      <c r="AS257" s="52">
        <f t="shared" ca="1" si="187"/>
        <v>0</v>
      </c>
      <c r="AT257" s="52">
        <f t="shared" ca="1" si="187"/>
        <v>0</v>
      </c>
      <c r="AU257" s="52">
        <f t="shared" ca="1" si="187"/>
        <v>0</v>
      </c>
      <c r="AV257" s="52">
        <f t="shared" ca="1" si="187"/>
        <v>0</v>
      </c>
      <c r="AW257" s="52">
        <f t="shared" ca="1" si="187"/>
        <v>0</v>
      </c>
      <c r="AX257" s="52">
        <f t="shared" ca="1" si="187"/>
        <v>0</v>
      </c>
      <c r="AY257" s="52">
        <f t="shared" ca="1" si="187"/>
        <v>0</v>
      </c>
      <c r="AZ257" s="52">
        <f t="shared" ca="1" si="187"/>
        <v>0</v>
      </c>
      <c r="BA257" s="52">
        <f t="shared" ca="1" si="187"/>
        <v>0</v>
      </c>
      <c r="BB257" s="52">
        <f t="shared" ca="1" si="187"/>
        <v>0</v>
      </c>
      <c r="BC257" s="52">
        <f t="shared" ca="1" si="187"/>
        <v>0</v>
      </c>
      <c r="BD257" s="52">
        <f t="shared" ca="1" si="187"/>
        <v>0</v>
      </c>
      <c r="BE257" s="52">
        <f t="shared" ca="1" si="187"/>
        <v>0</v>
      </c>
      <c r="BF257" s="52">
        <f t="shared" ca="1" si="187"/>
        <v>0</v>
      </c>
      <c r="BG257" s="52">
        <f t="shared" ca="1" si="187"/>
        <v>0</v>
      </c>
      <c r="BH257" s="52">
        <f t="shared" ca="1" si="187"/>
        <v>0</v>
      </c>
      <c r="BI257" s="52">
        <f t="shared" ca="1" si="187"/>
        <v>0</v>
      </c>
      <c r="BJ257" s="52">
        <f t="shared" ca="1" si="187"/>
        <v>0</v>
      </c>
      <c r="BK257" s="52">
        <f t="shared" ca="1" si="187"/>
        <v>0</v>
      </c>
      <c r="BL257" s="52">
        <f t="shared" ca="1" si="187"/>
        <v>0</v>
      </c>
      <c r="BM257" s="52">
        <f t="shared" ca="1" si="187"/>
        <v>0</v>
      </c>
      <c r="BN257" s="52">
        <f t="shared" ca="1" si="187"/>
        <v>0</v>
      </c>
      <c r="BO257" s="52">
        <f t="shared" ca="1" si="187"/>
        <v>0</v>
      </c>
      <c r="BP257" s="52">
        <f t="shared" ca="1" si="187"/>
        <v>0</v>
      </c>
      <c r="BQ257" s="52">
        <f t="shared" ca="1" si="187"/>
        <v>0</v>
      </c>
      <c r="BR257" s="52">
        <f t="shared" ca="1" si="187"/>
        <v>0</v>
      </c>
      <c r="BS257" s="52">
        <f t="shared" ca="1" si="187"/>
        <v>0</v>
      </c>
      <c r="BT257" s="52">
        <f t="shared" ca="1" si="187"/>
        <v>0</v>
      </c>
      <c r="BU257" s="52">
        <f t="shared" ca="1" si="187"/>
        <v>0</v>
      </c>
      <c r="BV257" s="52">
        <f t="shared" ca="1" si="187"/>
        <v>0</v>
      </c>
      <c r="BW257" s="52">
        <f t="shared" ca="1" si="187"/>
        <v>0</v>
      </c>
      <c r="BX257" s="52">
        <f t="shared" ca="1" si="187"/>
        <v>0</v>
      </c>
      <c r="BY257" s="52">
        <f t="shared" ca="1" si="187"/>
        <v>0</v>
      </c>
      <c r="BZ257" s="52">
        <f t="shared" ca="1" si="187"/>
        <v>0</v>
      </c>
      <c r="CA257" s="52">
        <f t="shared" ca="1" si="187"/>
        <v>0</v>
      </c>
      <c r="CB257" s="52">
        <f t="shared" ca="1" si="187"/>
        <v>0</v>
      </c>
      <c r="CC257" s="52">
        <f t="shared" ca="1" si="187"/>
        <v>0</v>
      </c>
      <c r="CD257" s="52">
        <f t="shared" ca="1" si="187"/>
        <v>0</v>
      </c>
      <c r="CE257" s="52">
        <f t="shared" ca="1" si="187"/>
        <v>0</v>
      </c>
      <c r="CF257" s="52">
        <f t="shared" ca="1" si="187"/>
        <v>0</v>
      </c>
      <c r="CG257" s="52">
        <f t="shared" ca="1" si="187"/>
        <v>0</v>
      </c>
      <c r="CH257" s="52">
        <f t="shared" ca="1" si="187"/>
        <v>0</v>
      </c>
    </row>
    <row r="258" spans="1:86" ht="13" outlineLevel="1">
      <c r="A258" s="13"/>
      <c r="B258" s="13" t="s">
        <v>330</v>
      </c>
      <c r="C258" s="13"/>
      <c r="D258" s="13" t="s">
        <v>238</v>
      </c>
      <c r="E258" s="88">
        <f t="shared" ca="1" si="183"/>
        <v>6.6666666666666666E-2</v>
      </c>
      <c r="F258" s="48"/>
      <c r="G258" s="52">
        <f t="shared" ref="G258:CH258" ca="1" si="188">G248+IFERROR(G248*$E253/$E248,0)</f>
        <v>4.1666666666666675E-3</v>
      </c>
      <c r="H258" s="52">
        <f t="shared" ca="1" si="188"/>
        <v>4.1666666666666675E-3</v>
      </c>
      <c r="I258" s="52">
        <f t="shared" ca="1" si="188"/>
        <v>4.1666666666666675E-3</v>
      </c>
      <c r="J258" s="52">
        <f t="shared" ca="1" si="188"/>
        <v>4.1666666666666675E-3</v>
      </c>
      <c r="K258" s="52">
        <f t="shared" ca="1" si="188"/>
        <v>4.1666666666666675E-3</v>
      </c>
      <c r="L258" s="52">
        <f t="shared" ca="1" si="188"/>
        <v>4.1666666666666675E-3</v>
      </c>
      <c r="M258" s="52">
        <f t="shared" ca="1" si="188"/>
        <v>4.1666666666666675E-3</v>
      </c>
      <c r="N258" s="52">
        <f t="shared" ca="1" si="188"/>
        <v>4.1666666666666675E-3</v>
      </c>
      <c r="O258" s="52">
        <f t="shared" ca="1" si="188"/>
        <v>4.1666666666666675E-3</v>
      </c>
      <c r="P258" s="52">
        <f t="shared" ca="1" si="188"/>
        <v>4.1666666666666675E-3</v>
      </c>
      <c r="Q258" s="52">
        <f t="shared" ca="1" si="188"/>
        <v>4.1666666666666675E-3</v>
      </c>
      <c r="R258" s="52">
        <f t="shared" ca="1" si="188"/>
        <v>4.1666666666666675E-3</v>
      </c>
      <c r="S258" s="52">
        <f t="shared" ca="1" si="188"/>
        <v>4.1666666666666675E-3</v>
      </c>
      <c r="T258" s="52">
        <f t="shared" ca="1" si="188"/>
        <v>4.1666666666666675E-3</v>
      </c>
      <c r="U258" s="52">
        <f t="shared" ca="1" si="188"/>
        <v>4.1666666666666675E-3</v>
      </c>
      <c r="V258" s="52">
        <f t="shared" ca="1" si="188"/>
        <v>4.1666666666666675E-3</v>
      </c>
      <c r="W258" s="52">
        <f t="shared" ca="1" si="188"/>
        <v>0</v>
      </c>
      <c r="X258" s="52">
        <f t="shared" ca="1" si="188"/>
        <v>0</v>
      </c>
      <c r="Y258" s="52">
        <f t="shared" ca="1" si="188"/>
        <v>0</v>
      </c>
      <c r="Z258" s="52">
        <f t="shared" ca="1" si="188"/>
        <v>0</v>
      </c>
      <c r="AA258" s="52">
        <f t="shared" ca="1" si="188"/>
        <v>0</v>
      </c>
      <c r="AB258" s="52">
        <f t="shared" ca="1" si="188"/>
        <v>0</v>
      </c>
      <c r="AC258" s="52">
        <f t="shared" ca="1" si="188"/>
        <v>0</v>
      </c>
      <c r="AD258" s="52">
        <f t="shared" ca="1" si="188"/>
        <v>0</v>
      </c>
      <c r="AE258" s="52">
        <f t="shared" ca="1" si="188"/>
        <v>0</v>
      </c>
      <c r="AF258" s="52">
        <f t="shared" ca="1" si="188"/>
        <v>0</v>
      </c>
      <c r="AG258" s="52">
        <f t="shared" ca="1" si="188"/>
        <v>0</v>
      </c>
      <c r="AH258" s="52">
        <f t="shared" ca="1" si="188"/>
        <v>0</v>
      </c>
      <c r="AI258" s="52">
        <f t="shared" ca="1" si="188"/>
        <v>0</v>
      </c>
      <c r="AJ258" s="52">
        <f t="shared" ca="1" si="188"/>
        <v>0</v>
      </c>
      <c r="AK258" s="52">
        <f t="shared" ca="1" si="188"/>
        <v>0</v>
      </c>
      <c r="AL258" s="52">
        <f t="shared" ca="1" si="188"/>
        <v>0</v>
      </c>
      <c r="AM258" s="52">
        <f t="shared" ca="1" si="188"/>
        <v>0</v>
      </c>
      <c r="AN258" s="52">
        <f t="shared" ca="1" si="188"/>
        <v>0</v>
      </c>
      <c r="AO258" s="52">
        <f t="shared" ca="1" si="188"/>
        <v>0</v>
      </c>
      <c r="AP258" s="52">
        <f t="shared" ca="1" si="188"/>
        <v>0</v>
      </c>
      <c r="AQ258" s="52">
        <f t="shared" ca="1" si="188"/>
        <v>0</v>
      </c>
      <c r="AR258" s="52">
        <f t="shared" ca="1" si="188"/>
        <v>0</v>
      </c>
      <c r="AS258" s="52">
        <f t="shared" ca="1" si="188"/>
        <v>0</v>
      </c>
      <c r="AT258" s="52">
        <f t="shared" ca="1" si="188"/>
        <v>0</v>
      </c>
      <c r="AU258" s="52">
        <f t="shared" ca="1" si="188"/>
        <v>0</v>
      </c>
      <c r="AV258" s="52">
        <f t="shared" ca="1" si="188"/>
        <v>0</v>
      </c>
      <c r="AW258" s="52">
        <f t="shared" ca="1" si="188"/>
        <v>0</v>
      </c>
      <c r="AX258" s="52">
        <f t="shared" ca="1" si="188"/>
        <v>0</v>
      </c>
      <c r="AY258" s="52">
        <f t="shared" ca="1" si="188"/>
        <v>0</v>
      </c>
      <c r="AZ258" s="52">
        <f t="shared" ca="1" si="188"/>
        <v>0</v>
      </c>
      <c r="BA258" s="52">
        <f t="shared" ca="1" si="188"/>
        <v>0</v>
      </c>
      <c r="BB258" s="52">
        <f t="shared" ca="1" si="188"/>
        <v>0</v>
      </c>
      <c r="BC258" s="52">
        <f t="shared" ca="1" si="188"/>
        <v>0</v>
      </c>
      <c r="BD258" s="52">
        <f t="shared" ca="1" si="188"/>
        <v>0</v>
      </c>
      <c r="BE258" s="52">
        <f t="shared" ca="1" si="188"/>
        <v>0</v>
      </c>
      <c r="BF258" s="52">
        <f t="shared" ca="1" si="188"/>
        <v>0</v>
      </c>
      <c r="BG258" s="52">
        <f t="shared" ca="1" si="188"/>
        <v>0</v>
      </c>
      <c r="BH258" s="52">
        <f t="shared" ca="1" si="188"/>
        <v>0</v>
      </c>
      <c r="BI258" s="52">
        <f t="shared" ca="1" si="188"/>
        <v>0</v>
      </c>
      <c r="BJ258" s="52">
        <f t="shared" ca="1" si="188"/>
        <v>0</v>
      </c>
      <c r="BK258" s="52">
        <f t="shared" ca="1" si="188"/>
        <v>0</v>
      </c>
      <c r="BL258" s="52">
        <f t="shared" ca="1" si="188"/>
        <v>0</v>
      </c>
      <c r="BM258" s="52">
        <f t="shared" ca="1" si="188"/>
        <v>0</v>
      </c>
      <c r="BN258" s="52">
        <f t="shared" ca="1" si="188"/>
        <v>0</v>
      </c>
      <c r="BO258" s="52">
        <f t="shared" ca="1" si="188"/>
        <v>0</v>
      </c>
      <c r="BP258" s="52">
        <f t="shared" ca="1" si="188"/>
        <v>0</v>
      </c>
      <c r="BQ258" s="52">
        <f t="shared" ca="1" si="188"/>
        <v>0</v>
      </c>
      <c r="BR258" s="52">
        <f t="shared" ca="1" si="188"/>
        <v>0</v>
      </c>
      <c r="BS258" s="52">
        <f t="shared" ca="1" si="188"/>
        <v>0</v>
      </c>
      <c r="BT258" s="52">
        <f t="shared" ca="1" si="188"/>
        <v>0</v>
      </c>
      <c r="BU258" s="52">
        <f t="shared" ca="1" si="188"/>
        <v>0</v>
      </c>
      <c r="BV258" s="52">
        <f t="shared" ca="1" si="188"/>
        <v>0</v>
      </c>
      <c r="BW258" s="52">
        <f t="shared" ca="1" si="188"/>
        <v>0</v>
      </c>
      <c r="BX258" s="52">
        <f t="shared" ca="1" si="188"/>
        <v>0</v>
      </c>
      <c r="BY258" s="52">
        <f t="shared" ca="1" si="188"/>
        <v>0</v>
      </c>
      <c r="BZ258" s="52">
        <f t="shared" ca="1" si="188"/>
        <v>0</v>
      </c>
      <c r="CA258" s="52">
        <f t="shared" ca="1" si="188"/>
        <v>0</v>
      </c>
      <c r="CB258" s="52">
        <f t="shared" ca="1" si="188"/>
        <v>0</v>
      </c>
      <c r="CC258" s="52">
        <f t="shared" ca="1" si="188"/>
        <v>0</v>
      </c>
      <c r="CD258" s="52">
        <f t="shared" ca="1" si="188"/>
        <v>0</v>
      </c>
      <c r="CE258" s="52">
        <f t="shared" ca="1" si="188"/>
        <v>0</v>
      </c>
      <c r="CF258" s="52">
        <f t="shared" ca="1" si="188"/>
        <v>0</v>
      </c>
      <c r="CG258" s="52">
        <f t="shared" ca="1" si="188"/>
        <v>0</v>
      </c>
      <c r="CH258" s="52">
        <f t="shared" ca="1" si="188"/>
        <v>0</v>
      </c>
    </row>
    <row r="259" spans="1:86" ht="13" outlineLevel="1">
      <c r="A259" s="13"/>
      <c r="B259" s="13" t="s">
        <v>330</v>
      </c>
      <c r="C259" s="13"/>
      <c r="D259" s="13" t="s">
        <v>238</v>
      </c>
      <c r="E259" s="88">
        <f t="shared" ca="1" si="183"/>
        <v>0.2</v>
      </c>
      <c r="F259" s="48"/>
      <c r="G259" s="52">
        <f t="shared" ref="G259:CH259" ca="1" si="189">G249+IFERROR(G249*$E254/$E249,0)</f>
        <v>1.2499999999999997E-2</v>
      </c>
      <c r="H259" s="52">
        <f t="shared" ca="1" si="189"/>
        <v>1.2499999999999997E-2</v>
      </c>
      <c r="I259" s="52">
        <f t="shared" ca="1" si="189"/>
        <v>1.2499999999999997E-2</v>
      </c>
      <c r="J259" s="52">
        <f t="shared" ca="1" si="189"/>
        <v>1.2499999999999997E-2</v>
      </c>
      <c r="K259" s="52">
        <f t="shared" ca="1" si="189"/>
        <v>1.2499999999999997E-2</v>
      </c>
      <c r="L259" s="52">
        <f t="shared" ca="1" si="189"/>
        <v>1.2499999999999997E-2</v>
      </c>
      <c r="M259" s="52">
        <f t="shared" ca="1" si="189"/>
        <v>1.2499999999999997E-2</v>
      </c>
      <c r="N259" s="52">
        <f t="shared" ca="1" si="189"/>
        <v>1.2499999999999997E-2</v>
      </c>
      <c r="O259" s="52">
        <f t="shared" ca="1" si="189"/>
        <v>1.2499999999999997E-2</v>
      </c>
      <c r="P259" s="52">
        <f t="shared" ca="1" si="189"/>
        <v>1.2499999999999997E-2</v>
      </c>
      <c r="Q259" s="52">
        <f t="shared" ca="1" si="189"/>
        <v>1.2499999999999997E-2</v>
      </c>
      <c r="R259" s="52">
        <f t="shared" ca="1" si="189"/>
        <v>1.2499999999999997E-2</v>
      </c>
      <c r="S259" s="52">
        <f t="shared" ca="1" si="189"/>
        <v>1.2499999999999997E-2</v>
      </c>
      <c r="T259" s="52">
        <f t="shared" ca="1" si="189"/>
        <v>1.2499999999999997E-2</v>
      </c>
      <c r="U259" s="52">
        <f t="shared" ca="1" si="189"/>
        <v>1.2499999999999997E-2</v>
      </c>
      <c r="V259" s="52">
        <f t="shared" ca="1" si="189"/>
        <v>1.2499999999999997E-2</v>
      </c>
      <c r="W259" s="52">
        <f t="shared" ca="1" si="189"/>
        <v>0</v>
      </c>
      <c r="X259" s="52">
        <f t="shared" ca="1" si="189"/>
        <v>0</v>
      </c>
      <c r="Y259" s="52">
        <f t="shared" ca="1" si="189"/>
        <v>0</v>
      </c>
      <c r="Z259" s="52">
        <f t="shared" ca="1" si="189"/>
        <v>0</v>
      </c>
      <c r="AA259" s="52">
        <f t="shared" ca="1" si="189"/>
        <v>0</v>
      </c>
      <c r="AB259" s="52">
        <f t="shared" ca="1" si="189"/>
        <v>0</v>
      </c>
      <c r="AC259" s="52">
        <f t="shared" ca="1" si="189"/>
        <v>0</v>
      </c>
      <c r="AD259" s="52">
        <f t="shared" ca="1" si="189"/>
        <v>0</v>
      </c>
      <c r="AE259" s="52">
        <f t="shared" ca="1" si="189"/>
        <v>0</v>
      </c>
      <c r="AF259" s="52">
        <f t="shared" ca="1" si="189"/>
        <v>0</v>
      </c>
      <c r="AG259" s="52">
        <f t="shared" ca="1" si="189"/>
        <v>0</v>
      </c>
      <c r="AH259" s="52">
        <f t="shared" ca="1" si="189"/>
        <v>0</v>
      </c>
      <c r="AI259" s="52">
        <f t="shared" ca="1" si="189"/>
        <v>0</v>
      </c>
      <c r="AJ259" s="52">
        <f t="shared" ca="1" si="189"/>
        <v>0</v>
      </c>
      <c r="AK259" s="52">
        <f t="shared" ca="1" si="189"/>
        <v>0</v>
      </c>
      <c r="AL259" s="52">
        <f t="shared" ca="1" si="189"/>
        <v>0</v>
      </c>
      <c r="AM259" s="52">
        <f t="shared" ca="1" si="189"/>
        <v>0</v>
      </c>
      <c r="AN259" s="52">
        <f t="shared" ca="1" si="189"/>
        <v>0</v>
      </c>
      <c r="AO259" s="52">
        <f t="shared" ca="1" si="189"/>
        <v>0</v>
      </c>
      <c r="AP259" s="52">
        <f t="shared" ca="1" si="189"/>
        <v>0</v>
      </c>
      <c r="AQ259" s="52">
        <f t="shared" ca="1" si="189"/>
        <v>0</v>
      </c>
      <c r="AR259" s="52">
        <f t="shared" ca="1" si="189"/>
        <v>0</v>
      </c>
      <c r="AS259" s="52">
        <f t="shared" ca="1" si="189"/>
        <v>0</v>
      </c>
      <c r="AT259" s="52">
        <f t="shared" ca="1" si="189"/>
        <v>0</v>
      </c>
      <c r="AU259" s="52">
        <f t="shared" ca="1" si="189"/>
        <v>0</v>
      </c>
      <c r="AV259" s="52">
        <f t="shared" ca="1" si="189"/>
        <v>0</v>
      </c>
      <c r="AW259" s="52">
        <f t="shared" ca="1" si="189"/>
        <v>0</v>
      </c>
      <c r="AX259" s="52">
        <f t="shared" ca="1" si="189"/>
        <v>0</v>
      </c>
      <c r="AY259" s="52">
        <f t="shared" ca="1" si="189"/>
        <v>0</v>
      </c>
      <c r="AZ259" s="52">
        <f t="shared" ca="1" si="189"/>
        <v>0</v>
      </c>
      <c r="BA259" s="52">
        <f t="shared" ca="1" si="189"/>
        <v>0</v>
      </c>
      <c r="BB259" s="52">
        <f t="shared" ca="1" si="189"/>
        <v>0</v>
      </c>
      <c r="BC259" s="52">
        <f t="shared" ca="1" si="189"/>
        <v>0</v>
      </c>
      <c r="BD259" s="52">
        <f t="shared" ca="1" si="189"/>
        <v>0</v>
      </c>
      <c r="BE259" s="52">
        <f t="shared" ca="1" si="189"/>
        <v>0</v>
      </c>
      <c r="BF259" s="52">
        <f t="shared" ca="1" si="189"/>
        <v>0</v>
      </c>
      <c r="BG259" s="52">
        <f t="shared" ca="1" si="189"/>
        <v>0</v>
      </c>
      <c r="BH259" s="52">
        <f t="shared" ca="1" si="189"/>
        <v>0</v>
      </c>
      <c r="BI259" s="52">
        <f t="shared" ca="1" si="189"/>
        <v>0</v>
      </c>
      <c r="BJ259" s="52">
        <f t="shared" ca="1" si="189"/>
        <v>0</v>
      </c>
      <c r="BK259" s="52">
        <f t="shared" ca="1" si="189"/>
        <v>0</v>
      </c>
      <c r="BL259" s="52">
        <f t="shared" ca="1" si="189"/>
        <v>0</v>
      </c>
      <c r="BM259" s="52">
        <f t="shared" ca="1" si="189"/>
        <v>0</v>
      </c>
      <c r="BN259" s="52">
        <f t="shared" ca="1" si="189"/>
        <v>0</v>
      </c>
      <c r="BO259" s="52">
        <f t="shared" ca="1" si="189"/>
        <v>0</v>
      </c>
      <c r="BP259" s="52">
        <f t="shared" ca="1" si="189"/>
        <v>0</v>
      </c>
      <c r="BQ259" s="52">
        <f t="shared" ca="1" si="189"/>
        <v>0</v>
      </c>
      <c r="BR259" s="52">
        <f t="shared" ca="1" si="189"/>
        <v>0</v>
      </c>
      <c r="BS259" s="52">
        <f t="shared" ca="1" si="189"/>
        <v>0</v>
      </c>
      <c r="BT259" s="52">
        <f t="shared" ca="1" si="189"/>
        <v>0</v>
      </c>
      <c r="BU259" s="52">
        <f t="shared" ca="1" si="189"/>
        <v>0</v>
      </c>
      <c r="BV259" s="52">
        <f t="shared" ca="1" si="189"/>
        <v>0</v>
      </c>
      <c r="BW259" s="52">
        <f t="shared" ca="1" si="189"/>
        <v>0</v>
      </c>
      <c r="BX259" s="52">
        <f t="shared" ca="1" si="189"/>
        <v>0</v>
      </c>
      <c r="BY259" s="52">
        <f t="shared" ca="1" si="189"/>
        <v>0</v>
      </c>
      <c r="BZ259" s="52">
        <f t="shared" ca="1" si="189"/>
        <v>0</v>
      </c>
      <c r="CA259" s="52">
        <f t="shared" ca="1" si="189"/>
        <v>0</v>
      </c>
      <c r="CB259" s="52">
        <f t="shared" ca="1" si="189"/>
        <v>0</v>
      </c>
      <c r="CC259" s="52">
        <f t="shared" ca="1" si="189"/>
        <v>0</v>
      </c>
      <c r="CD259" s="52">
        <f t="shared" ca="1" si="189"/>
        <v>0</v>
      </c>
      <c r="CE259" s="52">
        <f t="shared" ca="1" si="189"/>
        <v>0</v>
      </c>
      <c r="CF259" s="52">
        <f t="shared" ca="1" si="189"/>
        <v>0</v>
      </c>
      <c r="CG259" s="52">
        <f t="shared" ca="1" si="189"/>
        <v>0</v>
      </c>
      <c r="CH259" s="52">
        <f t="shared" ca="1" si="189"/>
        <v>0</v>
      </c>
    </row>
    <row r="260" spans="1:86" ht="13" outlineLevel="1">
      <c r="A260" s="13"/>
      <c r="B260" s="13" t="str">
        <f>B258&amp;" total"</f>
        <v>invested capital, per cohort total</v>
      </c>
      <c r="C260" s="13"/>
      <c r="D260" s="13" t="s">
        <v>238</v>
      </c>
      <c r="E260" s="88">
        <f t="shared" ca="1" si="183"/>
        <v>1</v>
      </c>
      <c r="F260" s="48"/>
      <c r="G260" s="52">
        <f t="shared" ref="G260:CH260" ca="1" si="190">SUM(G256:G259)</f>
        <v>6.25E-2</v>
      </c>
      <c r="H260" s="52">
        <f t="shared" ca="1" si="190"/>
        <v>6.25E-2</v>
      </c>
      <c r="I260" s="52">
        <f t="shared" ca="1" si="190"/>
        <v>6.25E-2</v>
      </c>
      <c r="J260" s="52">
        <f t="shared" ca="1" si="190"/>
        <v>6.25E-2</v>
      </c>
      <c r="K260" s="52">
        <f t="shared" ca="1" si="190"/>
        <v>6.25E-2</v>
      </c>
      <c r="L260" s="52">
        <f t="shared" ca="1" si="190"/>
        <v>6.25E-2</v>
      </c>
      <c r="M260" s="52">
        <f t="shared" ca="1" si="190"/>
        <v>6.25E-2</v>
      </c>
      <c r="N260" s="52">
        <f t="shared" ca="1" si="190"/>
        <v>6.25E-2</v>
      </c>
      <c r="O260" s="52">
        <f t="shared" ca="1" si="190"/>
        <v>6.25E-2</v>
      </c>
      <c r="P260" s="52">
        <f t="shared" ca="1" si="190"/>
        <v>6.25E-2</v>
      </c>
      <c r="Q260" s="52">
        <f t="shared" ca="1" si="190"/>
        <v>6.25E-2</v>
      </c>
      <c r="R260" s="52">
        <f t="shared" ca="1" si="190"/>
        <v>6.25E-2</v>
      </c>
      <c r="S260" s="52">
        <f t="shared" ca="1" si="190"/>
        <v>6.25E-2</v>
      </c>
      <c r="T260" s="52">
        <f t="shared" ca="1" si="190"/>
        <v>6.25E-2</v>
      </c>
      <c r="U260" s="52">
        <f t="shared" ca="1" si="190"/>
        <v>6.25E-2</v>
      </c>
      <c r="V260" s="52">
        <f t="shared" ca="1" si="190"/>
        <v>6.25E-2</v>
      </c>
      <c r="W260" s="52">
        <f t="shared" ca="1" si="190"/>
        <v>0</v>
      </c>
      <c r="X260" s="52">
        <f t="shared" ca="1" si="190"/>
        <v>0</v>
      </c>
      <c r="Y260" s="52">
        <f t="shared" ca="1" si="190"/>
        <v>0</v>
      </c>
      <c r="Z260" s="52">
        <f t="shared" ca="1" si="190"/>
        <v>0</v>
      </c>
      <c r="AA260" s="52">
        <f t="shared" ca="1" si="190"/>
        <v>0</v>
      </c>
      <c r="AB260" s="52">
        <f t="shared" ca="1" si="190"/>
        <v>0</v>
      </c>
      <c r="AC260" s="52">
        <f t="shared" ca="1" si="190"/>
        <v>0</v>
      </c>
      <c r="AD260" s="52">
        <f t="shared" ca="1" si="190"/>
        <v>0</v>
      </c>
      <c r="AE260" s="52">
        <f t="shared" ca="1" si="190"/>
        <v>0</v>
      </c>
      <c r="AF260" s="52">
        <f t="shared" ca="1" si="190"/>
        <v>0</v>
      </c>
      <c r="AG260" s="52">
        <f t="shared" ca="1" si="190"/>
        <v>0</v>
      </c>
      <c r="AH260" s="52">
        <f t="shared" ca="1" si="190"/>
        <v>0</v>
      </c>
      <c r="AI260" s="52">
        <f t="shared" ca="1" si="190"/>
        <v>0</v>
      </c>
      <c r="AJ260" s="52">
        <f t="shared" ca="1" si="190"/>
        <v>0</v>
      </c>
      <c r="AK260" s="52">
        <f t="shared" ca="1" si="190"/>
        <v>0</v>
      </c>
      <c r="AL260" s="52">
        <f t="shared" ca="1" si="190"/>
        <v>0</v>
      </c>
      <c r="AM260" s="52">
        <f t="shared" ca="1" si="190"/>
        <v>0</v>
      </c>
      <c r="AN260" s="52">
        <f t="shared" ca="1" si="190"/>
        <v>0</v>
      </c>
      <c r="AO260" s="52">
        <f t="shared" ca="1" si="190"/>
        <v>0</v>
      </c>
      <c r="AP260" s="52">
        <f t="shared" ca="1" si="190"/>
        <v>0</v>
      </c>
      <c r="AQ260" s="52">
        <f t="shared" ca="1" si="190"/>
        <v>0</v>
      </c>
      <c r="AR260" s="52">
        <f t="shared" ca="1" si="190"/>
        <v>0</v>
      </c>
      <c r="AS260" s="52">
        <f t="shared" ca="1" si="190"/>
        <v>0</v>
      </c>
      <c r="AT260" s="52">
        <f t="shared" ca="1" si="190"/>
        <v>0</v>
      </c>
      <c r="AU260" s="52">
        <f t="shared" ca="1" si="190"/>
        <v>0</v>
      </c>
      <c r="AV260" s="52">
        <f t="shared" ca="1" si="190"/>
        <v>0</v>
      </c>
      <c r="AW260" s="52">
        <f t="shared" ca="1" si="190"/>
        <v>0</v>
      </c>
      <c r="AX260" s="52">
        <f t="shared" ca="1" si="190"/>
        <v>0</v>
      </c>
      <c r="AY260" s="52">
        <f t="shared" ca="1" si="190"/>
        <v>0</v>
      </c>
      <c r="AZ260" s="52">
        <f t="shared" ca="1" si="190"/>
        <v>0</v>
      </c>
      <c r="BA260" s="52">
        <f t="shared" ca="1" si="190"/>
        <v>0</v>
      </c>
      <c r="BB260" s="52">
        <f t="shared" ca="1" si="190"/>
        <v>0</v>
      </c>
      <c r="BC260" s="52">
        <f t="shared" ca="1" si="190"/>
        <v>0</v>
      </c>
      <c r="BD260" s="52">
        <f t="shared" ca="1" si="190"/>
        <v>0</v>
      </c>
      <c r="BE260" s="52">
        <f t="shared" ca="1" si="190"/>
        <v>0</v>
      </c>
      <c r="BF260" s="52">
        <f t="shared" ca="1" si="190"/>
        <v>0</v>
      </c>
      <c r="BG260" s="52">
        <f t="shared" ca="1" si="190"/>
        <v>0</v>
      </c>
      <c r="BH260" s="52">
        <f t="shared" ca="1" si="190"/>
        <v>0</v>
      </c>
      <c r="BI260" s="52">
        <f t="shared" ca="1" si="190"/>
        <v>0</v>
      </c>
      <c r="BJ260" s="52">
        <f t="shared" ca="1" si="190"/>
        <v>0</v>
      </c>
      <c r="BK260" s="52">
        <f t="shared" ca="1" si="190"/>
        <v>0</v>
      </c>
      <c r="BL260" s="52">
        <f t="shared" ca="1" si="190"/>
        <v>0</v>
      </c>
      <c r="BM260" s="52">
        <f t="shared" ca="1" si="190"/>
        <v>0</v>
      </c>
      <c r="BN260" s="52">
        <f t="shared" ca="1" si="190"/>
        <v>0</v>
      </c>
      <c r="BO260" s="52">
        <f t="shared" ca="1" si="190"/>
        <v>0</v>
      </c>
      <c r="BP260" s="52">
        <f t="shared" ca="1" si="190"/>
        <v>0</v>
      </c>
      <c r="BQ260" s="52">
        <f t="shared" ca="1" si="190"/>
        <v>0</v>
      </c>
      <c r="BR260" s="52">
        <f t="shared" ca="1" si="190"/>
        <v>0</v>
      </c>
      <c r="BS260" s="52">
        <f t="shared" ca="1" si="190"/>
        <v>0</v>
      </c>
      <c r="BT260" s="52">
        <f t="shared" ca="1" si="190"/>
        <v>0</v>
      </c>
      <c r="BU260" s="52">
        <f t="shared" ca="1" si="190"/>
        <v>0</v>
      </c>
      <c r="BV260" s="52">
        <f t="shared" ca="1" si="190"/>
        <v>0</v>
      </c>
      <c r="BW260" s="52">
        <f t="shared" ca="1" si="190"/>
        <v>0</v>
      </c>
      <c r="BX260" s="52">
        <f t="shared" ca="1" si="190"/>
        <v>0</v>
      </c>
      <c r="BY260" s="52">
        <f t="shared" ca="1" si="190"/>
        <v>0</v>
      </c>
      <c r="BZ260" s="52">
        <f t="shared" ca="1" si="190"/>
        <v>0</v>
      </c>
      <c r="CA260" s="52">
        <f t="shared" ca="1" si="190"/>
        <v>0</v>
      </c>
      <c r="CB260" s="52">
        <f t="shared" ca="1" si="190"/>
        <v>0</v>
      </c>
      <c r="CC260" s="52">
        <f t="shared" ca="1" si="190"/>
        <v>0</v>
      </c>
      <c r="CD260" s="52">
        <f t="shared" ca="1" si="190"/>
        <v>0</v>
      </c>
      <c r="CE260" s="52">
        <f t="shared" ca="1" si="190"/>
        <v>0</v>
      </c>
      <c r="CF260" s="52">
        <f t="shared" ca="1" si="190"/>
        <v>0</v>
      </c>
      <c r="CG260" s="52">
        <f t="shared" ca="1" si="190"/>
        <v>0</v>
      </c>
      <c r="CH260" s="52">
        <f t="shared" ca="1" si="190"/>
        <v>0</v>
      </c>
    </row>
    <row r="261" spans="1:86" ht="13" outlineLevel="1">
      <c r="A261" s="13"/>
      <c r="B261" s="13" t="s">
        <v>338</v>
      </c>
      <c r="C261" s="13"/>
      <c r="D261" s="13" t="s">
        <v>238</v>
      </c>
      <c r="E261" s="88">
        <f t="shared" ca="1" si="183"/>
        <v>0.56666666666666654</v>
      </c>
      <c r="F261" s="48"/>
      <c r="G261" s="52">
        <f ca="1">IF(G4&lt;'Get Started  3'!$E77,0,OFFSET(G256,0,-1*'Get Started  3'!$E77))</f>
        <v>0</v>
      </c>
      <c r="H261" s="52">
        <f ca="1">IF(H4&lt;'Get Started  3'!$E77,0,OFFSET(H256,0,-1*'Get Started  3'!$E77))</f>
        <v>0</v>
      </c>
      <c r="I261" s="52">
        <f ca="1">IF(I4&lt;'Get Started  3'!$E77,0,OFFSET(I256,0,-1*'Get Started  3'!$E77))</f>
        <v>0</v>
      </c>
      <c r="J261" s="52">
        <f ca="1">IF(J4&lt;'Get Started  3'!$E77,0,OFFSET(J256,0,-1*'Get Started  3'!$E77))</f>
        <v>0</v>
      </c>
      <c r="K261" s="52">
        <f ca="1">IF(K4&lt;'Get Started  3'!$E77,0,OFFSET(K256,0,-1*'Get Started  3'!$E77))</f>
        <v>0</v>
      </c>
      <c r="L261" s="52">
        <f ca="1">IF(L4&lt;'Get Started  3'!$E77,0,OFFSET(L256,0,-1*'Get Started  3'!$E77))</f>
        <v>0</v>
      </c>
      <c r="M261" s="52">
        <f ca="1">IF(M4&lt;'Get Started  3'!$E77,0,OFFSET(M256,0,-1*'Get Started  3'!$E77))</f>
        <v>0</v>
      </c>
      <c r="N261" s="52">
        <f ca="1">IF(N4&lt;'Get Started  3'!$E77,0,OFFSET(N256,0,-1*'Get Started  3'!$E77))</f>
        <v>0</v>
      </c>
      <c r="O261" s="52">
        <f ca="1">IF(O4&lt;'Get Started  3'!$E77,0,OFFSET(O256,0,-1*'Get Started  3'!$E77))</f>
        <v>3.5416666666666666E-2</v>
      </c>
      <c r="P261" s="52">
        <f ca="1">IF(P4&lt;'Get Started  3'!$E77,0,OFFSET(P256,0,-1*'Get Started  3'!$E77))</f>
        <v>3.5416666666666666E-2</v>
      </c>
      <c r="Q261" s="52">
        <f ca="1">IF(Q4&lt;'Get Started  3'!$E77,0,OFFSET(Q256,0,-1*'Get Started  3'!$E77))</f>
        <v>3.5416666666666666E-2</v>
      </c>
      <c r="R261" s="52">
        <f ca="1">IF(R4&lt;'Get Started  3'!$E77,0,OFFSET(R256,0,-1*'Get Started  3'!$E77))</f>
        <v>3.5416666666666666E-2</v>
      </c>
      <c r="S261" s="52">
        <f ca="1">IF(S4&lt;'Get Started  3'!$E77,0,OFFSET(S256,0,-1*'Get Started  3'!$E77))</f>
        <v>3.5416666666666666E-2</v>
      </c>
      <c r="T261" s="52">
        <f ca="1">IF(T4&lt;'Get Started  3'!$E77,0,OFFSET(T256,0,-1*'Get Started  3'!$E77))</f>
        <v>3.5416666666666666E-2</v>
      </c>
      <c r="U261" s="52">
        <f ca="1">IF(U4&lt;'Get Started  3'!$E77,0,OFFSET(U256,0,-1*'Get Started  3'!$E77))</f>
        <v>3.5416666666666666E-2</v>
      </c>
      <c r="V261" s="52">
        <f ca="1">IF(V4&lt;'Get Started  3'!$E77,0,OFFSET(V256,0,-1*'Get Started  3'!$E77))</f>
        <v>3.5416666666666666E-2</v>
      </c>
      <c r="W261" s="52">
        <f ca="1">IF(W4&lt;'Get Started  3'!$E77,0,OFFSET(W256,0,-1*'Get Started  3'!$E77))</f>
        <v>3.5416666666666666E-2</v>
      </c>
      <c r="X261" s="52">
        <f ca="1">IF(X4&lt;'Get Started  3'!$E77,0,OFFSET(X256,0,-1*'Get Started  3'!$E77))</f>
        <v>3.5416666666666666E-2</v>
      </c>
      <c r="Y261" s="52">
        <f ca="1">IF(Y4&lt;'Get Started  3'!$E77,0,OFFSET(Y256,0,-1*'Get Started  3'!$E77))</f>
        <v>3.5416666666666666E-2</v>
      </c>
      <c r="Z261" s="52">
        <f ca="1">IF(Z4&lt;'Get Started  3'!$E77,0,OFFSET(Z256,0,-1*'Get Started  3'!$E77))</f>
        <v>3.5416666666666666E-2</v>
      </c>
      <c r="AA261" s="52">
        <f ca="1">IF(AA4&lt;'Get Started  3'!$E77,0,OFFSET(AA256,0,-1*'Get Started  3'!$E77))</f>
        <v>3.5416666666666666E-2</v>
      </c>
      <c r="AB261" s="52">
        <f ca="1">IF(AB4&lt;'Get Started  3'!$E77,0,OFFSET(AB256,0,-1*'Get Started  3'!$E77))</f>
        <v>3.5416666666666666E-2</v>
      </c>
      <c r="AC261" s="52">
        <f ca="1">IF(AC4&lt;'Get Started  3'!$E77,0,OFFSET(AC256,0,-1*'Get Started  3'!$E77))</f>
        <v>3.5416666666666666E-2</v>
      </c>
      <c r="AD261" s="52">
        <f ca="1">IF(AD4&lt;'Get Started  3'!$E77,0,OFFSET(AD256,0,-1*'Get Started  3'!$E77))</f>
        <v>3.5416666666666666E-2</v>
      </c>
      <c r="AE261" s="52">
        <f ca="1">IF(AE4&lt;'Get Started  3'!$E77,0,OFFSET(AE256,0,-1*'Get Started  3'!$E77))</f>
        <v>0</v>
      </c>
      <c r="AF261" s="52">
        <f ca="1">IF(AF4&lt;'Get Started  3'!$E77,0,OFFSET(AF256,0,-1*'Get Started  3'!$E77))</f>
        <v>0</v>
      </c>
      <c r="AG261" s="52">
        <f ca="1">IF(AG4&lt;'Get Started  3'!$E77,0,OFFSET(AG256,0,-1*'Get Started  3'!$E77))</f>
        <v>0</v>
      </c>
      <c r="AH261" s="52">
        <f ca="1">IF(AH4&lt;'Get Started  3'!$E77,0,OFFSET(AH256,0,-1*'Get Started  3'!$E77))</f>
        <v>0</v>
      </c>
      <c r="AI261" s="52">
        <f ca="1">IF(AI4&lt;'Get Started  3'!$E77,0,OFFSET(AI256,0,-1*'Get Started  3'!$E77))</f>
        <v>0</v>
      </c>
      <c r="AJ261" s="52">
        <f ca="1">IF(AJ4&lt;'Get Started  3'!$E77,0,OFFSET(AJ256,0,-1*'Get Started  3'!$E77))</f>
        <v>0</v>
      </c>
      <c r="AK261" s="52">
        <f ca="1">IF(AK4&lt;'Get Started  3'!$E77,0,OFFSET(AK256,0,-1*'Get Started  3'!$E77))</f>
        <v>0</v>
      </c>
      <c r="AL261" s="52">
        <f ca="1">IF(AL4&lt;'Get Started  3'!$E77,0,OFFSET(AL256,0,-1*'Get Started  3'!$E77))</f>
        <v>0</v>
      </c>
      <c r="AM261" s="52">
        <f ca="1">IF(AM4&lt;'Get Started  3'!$E77,0,OFFSET(AM256,0,-1*'Get Started  3'!$E77))</f>
        <v>0</v>
      </c>
      <c r="AN261" s="52">
        <f ca="1">IF(AN4&lt;'Get Started  3'!$E77,0,OFFSET(AN256,0,-1*'Get Started  3'!$E77))</f>
        <v>0</v>
      </c>
      <c r="AO261" s="52">
        <f ca="1">IF(AO4&lt;'Get Started  3'!$E77,0,OFFSET(AO256,0,-1*'Get Started  3'!$E77))</f>
        <v>0</v>
      </c>
      <c r="AP261" s="52">
        <f ca="1">IF(AP4&lt;'Get Started  3'!$E77,0,OFFSET(AP256,0,-1*'Get Started  3'!$E77))</f>
        <v>0</v>
      </c>
      <c r="AQ261" s="52">
        <f ca="1">IF(AQ4&lt;'Get Started  3'!$E77,0,OFFSET(AQ256,0,-1*'Get Started  3'!$E77))</f>
        <v>0</v>
      </c>
      <c r="AR261" s="52">
        <f ca="1">IF(AR4&lt;'Get Started  3'!$E77,0,OFFSET(AR256,0,-1*'Get Started  3'!$E77))</f>
        <v>0</v>
      </c>
      <c r="AS261" s="52">
        <f ca="1">IF(AS4&lt;'Get Started  3'!$E77,0,OFFSET(AS256,0,-1*'Get Started  3'!$E77))</f>
        <v>0</v>
      </c>
      <c r="AT261" s="52">
        <f ca="1">IF(AT4&lt;'Get Started  3'!$E77,0,OFFSET(AT256,0,-1*'Get Started  3'!$E77))</f>
        <v>0</v>
      </c>
      <c r="AU261" s="52">
        <f ca="1">IF(AU4&lt;'Get Started  3'!$E77,0,OFFSET(AU256,0,-1*'Get Started  3'!$E77))</f>
        <v>0</v>
      </c>
      <c r="AV261" s="52">
        <f ca="1">IF(AV4&lt;'Get Started  3'!$E77,0,OFFSET(AV256,0,-1*'Get Started  3'!$E77))</f>
        <v>0</v>
      </c>
      <c r="AW261" s="52">
        <f ca="1">IF(AW4&lt;'Get Started  3'!$E77,0,OFFSET(AW256,0,-1*'Get Started  3'!$E77))</f>
        <v>0</v>
      </c>
      <c r="AX261" s="52">
        <f ca="1">IF(AX4&lt;'Get Started  3'!$E77,0,OFFSET(AX256,0,-1*'Get Started  3'!$E77))</f>
        <v>0</v>
      </c>
      <c r="AY261" s="52">
        <f ca="1">IF(AY4&lt;'Get Started  3'!$E77,0,OFFSET(AY256,0,-1*'Get Started  3'!$E77))</f>
        <v>0</v>
      </c>
      <c r="AZ261" s="52">
        <f ca="1">IF(AZ4&lt;'Get Started  3'!$E77,0,OFFSET(AZ256,0,-1*'Get Started  3'!$E77))</f>
        <v>0</v>
      </c>
      <c r="BA261" s="52">
        <f ca="1">IF(BA4&lt;'Get Started  3'!$E77,0,OFFSET(BA256,0,-1*'Get Started  3'!$E77))</f>
        <v>0</v>
      </c>
      <c r="BB261" s="52">
        <f ca="1">IF(BB4&lt;'Get Started  3'!$E77,0,OFFSET(BB256,0,-1*'Get Started  3'!$E77))</f>
        <v>0</v>
      </c>
      <c r="BC261" s="52">
        <f ca="1">IF(BC4&lt;'Get Started  3'!$E77,0,OFFSET(BC256,0,-1*'Get Started  3'!$E77))</f>
        <v>0</v>
      </c>
      <c r="BD261" s="52">
        <f ca="1">IF(BD4&lt;'Get Started  3'!$E77,0,OFFSET(BD256,0,-1*'Get Started  3'!$E77))</f>
        <v>0</v>
      </c>
      <c r="BE261" s="52">
        <f ca="1">IF(BE4&lt;'Get Started  3'!$E77,0,OFFSET(BE256,0,-1*'Get Started  3'!$E77))</f>
        <v>0</v>
      </c>
      <c r="BF261" s="52">
        <f ca="1">IF(BF4&lt;'Get Started  3'!$E77,0,OFFSET(BF256,0,-1*'Get Started  3'!$E77))</f>
        <v>0</v>
      </c>
      <c r="BG261" s="52">
        <f ca="1">IF(BG4&lt;'Get Started  3'!$E77,0,OFFSET(BG256,0,-1*'Get Started  3'!$E77))</f>
        <v>0</v>
      </c>
      <c r="BH261" s="52">
        <f ca="1">IF(BH4&lt;'Get Started  3'!$E77,0,OFFSET(BH256,0,-1*'Get Started  3'!$E77))</f>
        <v>0</v>
      </c>
      <c r="BI261" s="52">
        <f ca="1">IF(BI4&lt;'Get Started  3'!$E77,0,OFFSET(BI256,0,-1*'Get Started  3'!$E77))</f>
        <v>0</v>
      </c>
      <c r="BJ261" s="52">
        <f ca="1">IF(BJ4&lt;'Get Started  3'!$E77,0,OFFSET(BJ256,0,-1*'Get Started  3'!$E77))</f>
        <v>0</v>
      </c>
      <c r="BK261" s="52">
        <f ca="1">IF(BK4&lt;'Get Started  3'!$E77,0,OFFSET(BK256,0,-1*'Get Started  3'!$E77))</f>
        <v>0</v>
      </c>
      <c r="BL261" s="52">
        <f ca="1">IF(BL4&lt;'Get Started  3'!$E77,0,OFFSET(BL256,0,-1*'Get Started  3'!$E77))</f>
        <v>0</v>
      </c>
      <c r="BM261" s="52">
        <f ca="1">IF(BM4&lt;'Get Started  3'!$E77,0,OFFSET(BM256,0,-1*'Get Started  3'!$E77))</f>
        <v>0</v>
      </c>
      <c r="BN261" s="52">
        <f ca="1">IF(BN4&lt;'Get Started  3'!$E77,0,OFFSET(BN256,0,-1*'Get Started  3'!$E77))</f>
        <v>0</v>
      </c>
      <c r="BO261" s="52">
        <f ca="1">IF(BO4&lt;'Get Started  3'!$E77,0,OFFSET(BO256,0,-1*'Get Started  3'!$E77))</f>
        <v>0</v>
      </c>
      <c r="BP261" s="52">
        <f ca="1">IF(BP4&lt;'Get Started  3'!$E77,0,OFFSET(BP256,0,-1*'Get Started  3'!$E77))</f>
        <v>0</v>
      </c>
      <c r="BQ261" s="52">
        <f ca="1">IF(BQ4&lt;'Get Started  3'!$E77,0,OFFSET(BQ256,0,-1*'Get Started  3'!$E77))</f>
        <v>0</v>
      </c>
      <c r="BR261" s="52">
        <f ca="1">IF(BR4&lt;'Get Started  3'!$E77,0,OFFSET(BR256,0,-1*'Get Started  3'!$E77))</f>
        <v>0</v>
      </c>
      <c r="BS261" s="52">
        <f ca="1">IF(BS4&lt;'Get Started  3'!$E77,0,OFFSET(BS256,0,-1*'Get Started  3'!$E77))</f>
        <v>0</v>
      </c>
      <c r="BT261" s="52">
        <f ca="1">IF(BT4&lt;'Get Started  3'!$E77,0,OFFSET(BT256,0,-1*'Get Started  3'!$E77))</f>
        <v>0</v>
      </c>
      <c r="BU261" s="52">
        <f ca="1">IF(BU4&lt;'Get Started  3'!$E77,0,OFFSET(BU256,0,-1*'Get Started  3'!$E77))</f>
        <v>0</v>
      </c>
      <c r="BV261" s="52">
        <f ca="1">IF(BV4&lt;'Get Started  3'!$E77,0,OFFSET(BV256,0,-1*'Get Started  3'!$E77))</f>
        <v>0</v>
      </c>
      <c r="BW261" s="52">
        <f ca="1">IF(BW4&lt;'Get Started  3'!$E77,0,OFFSET(BW256,0,-1*'Get Started  3'!$E77))</f>
        <v>0</v>
      </c>
      <c r="BX261" s="52">
        <f ca="1">IF(BX4&lt;'Get Started  3'!$E77,0,OFFSET(BX256,0,-1*'Get Started  3'!$E77))</f>
        <v>0</v>
      </c>
      <c r="BY261" s="52">
        <f ca="1">IF(BY4&lt;'Get Started  3'!$E77,0,OFFSET(BY256,0,-1*'Get Started  3'!$E77))</f>
        <v>0</v>
      </c>
      <c r="BZ261" s="52">
        <f ca="1">IF(BZ4&lt;'Get Started  3'!$E77,0,OFFSET(BZ256,0,-1*'Get Started  3'!$E77))</f>
        <v>0</v>
      </c>
      <c r="CA261" s="52">
        <f ca="1">IF(CA4&lt;'Get Started  3'!$E77,0,OFFSET(CA256,0,-1*'Get Started  3'!$E77))</f>
        <v>0</v>
      </c>
      <c r="CB261" s="52">
        <f ca="1">IF(CB4&lt;'Get Started  3'!$E77,0,OFFSET(CB256,0,-1*'Get Started  3'!$E77))</f>
        <v>0</v>
      </c>
      <c r="CC261" s="52">
        <f ca="1">IF(CC4&lt;'Get Started  3'!$E77,0,OFFSET(CC256,0,-1*'Get Started  3'!$E77))</f>
        <v>0</v>
      </c>
      <c r="CD261" s="52">
        <f ca="1">IF(CD4&lt;'Get Started  3'!$E77,0,OFFSET(CD256,0,-1*'Get Started  3'!$E77))</f>
        <v>0</v>
      </c>
      <c r="CE261" s="52">
        <f ca="1">IF(CE4&lt;'Get Started  3'!$E77,0,OFFSET(CE256,0,-1*'Get Started  3'!$E77))</f>
        <v>0</v>
      </c>
      <c r="CF261" s="52">
        <f ca="1">IF(CF4&lt;'Get Started  3'!$E77,0,OFFSET(CF256,0,-1*'Get Started  3'!$E77))</f>
        <v>0</v>
      </c>
      <c r="CG261" s="52">
        <f ca="1">IF(CG4&lt;'Get Started  3'!$E77,0,OFFSET(CG256,0,-1*'Get Started  3'!$E77))</f>
        <v>0</v>
      </c>
      <c r="CH261" s="52">
        <f ca="1">IF(CH4&lt;'Get Started  3'!$E77,0,OFFSET(CH256,0,-1*'Get Started  3'!$E77))</f>
        <v>0</v>
      </c>
    </row>
    <row r="262" spans="1:86" ht="13" outlineLevel="1">
      <c r="A262" s="13"/>
      <c r="B262" s="13" t="s">
        <v>338</v>
      </c>
      <c r="C262" s="13"/>
      <c r="D262" s="13" t="s">
        <v>238</v>
      </c>
      <c r="E262" s="88">
        <f t="shared" ca="1" si="183"/>
        <v>0.16666666666666666</v>
      </c>
      <c r="F262" s="48"/>
      <c r="G262" s="52">
        <f ca="1">IF(G4&lt;'Get Started  3'!$F77,0,OFFSET(G257,0,-1*'Get Started  3'!$F77))</f>
        <v>0</v>
      </c>
      <c r="H262" s="52">
        <f ca="1">IF(H4&lt;'Get Started  3'!$F77,0,OFFSET(H257,0,-1*'Get Started  3'!$F77))</f>
        <v>0</v>
      </c>
      <c r="I262" s="52">
        <f ca="1">IF(I4&lt;'Get Started  3'!$F77,0,OFFSET(I257,0,-1*'Get Started  3'!$F77))</f>
        <v>0</v>
      </c>
      <c r="J262" s="52">
        <f ca="1">IF(J4&lt;'Get Started  3'!$F77,0,OFFSET(J257,0,-1*'Get Started  3'!$F77))</f>
        <v>0</v>
      </c>
      <c r="K262" s="52">
        <f ca="1">IF(K4&lt;'Get Started  3'!$F77,0,OFFSET(K257,0,-1*'Get Started  3'!$F77))</f>
        <v>0</v>
      </c>
      <c r="L262" s="52">
        <f ca="1">IF(L4&lt;'Get Started  3'!$F77,0,OFFSET(L257,0,-1*'Get Started  3'!$F77))</f>
        <v>0</v>
      </c>
      <c r="M262" s="52">
        <f ca="1">IF(M4&lt;'Get Started  3'!$F77,0,OFFSET(M257,0,-1*'Get Started  3'!$F77))</f>
        <v>0</v>
      </c>
      <c r="N262" s="52">
        <f ca="1">IF(N4&lt;'Get Started  3'!$F77,0,OFFSET(N257,0,-1*'Get Started  3'!$F77))</f>
        <v>0</v>
      </c>
      <c r="O262" s="52">
        <f ca="1">IF(O4&lt;'Get Started  3'!$F77,0,OFFSET(O257,0,-1*'Get Started  3'!$F77))</f>
        <v>0</v>
      </c>
      <c r="P262" s="52">
        <f ca="1">IF(P4&lt;'Get Started  3'!$F77,0,OFFSET(P257,0,-1*'Get Started  3'!$F77))</f>
        <v>0</v>
      </c>
      <c r="Q262" s="52">
        <f ca="1">IF(Q4&lt;'Get Started  3'!$F77,0,OFFSET(Q257,0,-1*'Get Started  3'!$F77))</f>
        <v>0</v>
      </c>
      <c r="R262" s="52">
        <f ca="1">IF(R4&lt;'Get Started  3'!$F77,0,OFFSET(R257,0,-1*'Get Started  3'!$F77))</f>
        <v>0</v>
      </c>
      <c r="S262" s="52">
        <f ca="1">IF(S4&lt;'Get Started  3'!$F77,0,OFFSET(S257,0,-1*'Get Started  3'!$F77))</f>
        <v>1.0416666666666668E-2</v>
      </c>
      <c r="T262" s="52">
        <f ca="1">IF(T4&lt;'Get Started  3'!$F77,0,OFFSET(T257,0,-1*'Get Started  3'!$F77))</f>
        <v>1.0416666666666668E-2</v>
      </c>
      <c r="U262" s="52">
        <f ca="1">IF(U4&lt;'Get Started  3'!$F77,0,OFFSET(U257,0,-1*'Get Started  3'!$F77))</f>
        <v>1.0416666666666668E-2</v>
      </c>
      <c r="V262" s="52">
        <f ca="1">IF(V4&lt;'Get Started  3'!$F77,0,OFFSET(V257,0,-1*'Get Started  3'!$F77))</f>
        <v>1.0416666666666668E-2</v>
      </c>
      <c r="W262" s="52">
        <f ca="1">IF(W4&lt;'Get Started  3'!$F77,0,OFFSET(W257,0,-1*'Get Started  3'!$F77))</f>
        <v>1.0416666666666668E-2</v>
      </c>
      <c r="X262" s="52">
        <f ca="1">IF(X4&lt;'Get Started  3'!$F77,0,OFFSET(X257,0,-1*'Get Started  3'!$F77))</f>
        <v>1.0416666666666668E-2</v>
      </c>
      <c r="Y262" s="52">
        <f ca="1">IF(Y4&lt;'Get Started  3'!$F77,0,OFFSET(Y257,0,-1*'Get Started  3'!$F77))</f>
        <v>1.0416666666666668E-2</v>
      </c>
      <c r="Z262" s="52">
        <f ca="1">IF(Z4&lt;'Get Started  3'!$F77,0,OFFSET(Z257,0,-1*'Get Started  3'!$F77))</f>
        <v>1.0416666666666668E-2</v>
      </c>
      <c r="AA262" s="52">
        <f ca="1">IF(AA4&lt;'Get Started  3'!$F77,0,OFFSET(AA257,0,-1*'Get Started  3'!$F77))</f>
        <v>1.0416666666666668E-2</v>
      </c>
      <c r="AB262" s="52">
        <f ca="1">IF(AB4&lt;'Get Started  3'!$F77,0,OFFSET(AB257,0,-1*'Get Started  3'!$F77))</f>
        <v>1.0416666666666668E-2</v>
      </c>
      <c r="AC262" s="52">
        <f ca="1">IF(AC4&lt;'Get Started  3'!$F77,0,OFFSET(AC257,0,-1*'Get Started  3'!$F77))</f>
        <v>1.0416666666666668E-2</v>
      </c>
      <c r="AD262" s="52">
        <f ca="1">IF(AD4&lt;'Get Started  3'!$F77,0,OFFSET(AD257,0,-1*'Get Started  3'!$F77))</f>
        <v>1.0416666666666668E-2</v>
      </c>
      <c r="AE262" s="52">
        <f ca="1">IF(AE4&lt;'Get Started  3'!$F77,0,OFFSET(AE257,0,-1*'Get Started  3'!$F77))</f>
        <v>1.0416666666666668E-2</v>
      </c>
      <c r="AF262" s="52">
        <f ca="1">IF(AF4&lt;'Get Started  3'!$F77,0,OFFSET(AF257,0,-1*'Get Started  3'!$F77))</f>
        <v>1.0416666666666668E-2</v>
      </c>
      <c r="AG262" s="52">
        <f ca="1">IF(AG4&lt;'Get Started  3'!$F77,0,OFFSET(AG257,0,-1*'Get Started  3'!$F77))</f>
        <v>1.0416666666666668E-2</v>
      </c>
      <c r="AH262" s="52">
        <f ca="1">IF(AH4&lt;'Get Started  3'!$F77,0,OFFSET(AH257,0,-1*'Get Started  3'!$F77))</f>
        <v>1.0416666666666668E-2</v>
      </c>
      <c r="AI262" s="52">
        <f ca="1">IF(AI4&lt;'Get Started  3'!$F77,0,OFFSET(AI257,0,-1*'Get Started  3'!$F77))</f>
        <v>0</v>
      </c>
      <c r="AJ262" s="52">
        <f ca="1">IF(AJ4&lt;'Get Started  3'!$F77,0,OFFSET(AJ257,0,-1*'Get Started  3'!$F77))</f>
        <v>0</v>
      </c>
      <c r="AK262" s="52">
        <f ca="1">IF(AK4&lt;'Get Started  3'!$F77,0,OFFSET(AK257,0,-1*'Get Started  3'!$F77))</f>
        <v>0</v>
      </c>
      <c r="AL262" s="52">
        <f ca="1">IF(AL4&lt;'Get Started  3'!$F77,0,OFFSET(AL257,0,-1*'Get Started  3'!$F77))</f>
        <v>0</v>
      </c>
      <c r="AM262" s="52">
        <f ca="1">IF(AM4&lt;'Get Started  3'!$F77,0,OFFSET(AM257,0,-1*'Get Started  3'!$F77))</f>
        <v>0</v>
      </c>
      <c r="AN262" s="52">
        <f ca="1">IF(AN4&lt;'Get Started  3'!$F77,0,OFFSET(AN257,0,-1*'Get Started  3'!$F77))</f>
        <v>0</v>
      </c>
      <c r="AO262" s="52">
        <f ca="1">IF(AO4&lt;'Get Started  3'!$F77,0,OFFSET(AO257,0,-1*'Get Started  3'!$F77))</f>
        <v>0</v>
      </c>
      <c r="AP262" s="52">
        <f ca="1">IF(AP4&lt;'Get Started  3'!$F77,0,OFFSET(AP257,0,-1*'Get Started  3'!$F77))</f>
        <v>0</v>
      </c>
      <c r="AQ262" s="52">
        <f ca="1">IF(AQ4&lt;'Get Started  3'!$F77,0,OFFSET(AQ257,0,-1*'Get Started  3'!$F77))</f>
        <v>0</v>
      </c>
      <c r="AR262" s="52">
        <f ca="1">IF(AR4&lt;'Get Started  3'!$F77,0,OFFSET(AR257,0,-1*'Get Started  3'!$F77))</f>
        <v>0</v>
      </c>
      <c r="AS262" s="52">
        <f ca="1">IF(AS4&lt;'Get Started  3'!$F77,0,OFFSET(AS257,0,-1*'Get Started  3'!$F77))</f>
        <v>0</v>
      </c>
      <c r="AT262" s="52">
        <f ca="1">IF(AT4&lt;'Get Started  3'!$F77,0,OFFSET(AT257,0,-1*'Get Started  3'!$F77))</f>
        <v>0</v>
      </c>
      <c r="AU262" s="52">
        <f ca="1">IF(AU4&lt;'Get Started  3'!$F77,0,OFFSET(AU257,0,-1*'Get Started  3'!$F77))</f>
        <v>0</v>
      </c>
      <c r="AV262" s="52">
        <f ca="1">IF(AV4&lt;'Get Started  3'!$F77,0,OFFSET(AV257,0,-1*'Get Started  3'!$F77))</f>
        <v>0</v>
      </c>
      <c r="AW262" s="52">
        <f ca="1">IF(AW4&lt;'Get Started  3'!$F77,0,OFFSET(AW257,0,-1*'Get Started  3'!$F77))</f>
        <v>0</v>
      </c>
      <c r="AX262" s="52">
        <f ca="1">IF(AX4&lt;'Get Started  3'!$F77,0,OFFSET(AX257,0,-1*'Get Started  3'!$F77))</f>
        <v>0</v>
      </c>
      <c r="AY262" s="52">
        <f ca="1">IF(AY4&lt;'Get Started  3'!$F77,0,OFFSET(AY257,0,-1*'Get Started  3'!$F77))</f>
        <v>0</v>
      </c>
      <c r="AZ262" s="52">
        <f ca="1">IF(AZ4&lt;'Get Started  3'!$F77,0,OFFSET(AZ257,0,-1*'Get Started  3'!$F77))</f>
        <v>0</v>
      </c>
      <c r="BA262" s="52">
        <f ca="1">IF(BA4&lt;'Get Started  3'!$F77,0,OFFSET(BA257,0,-1*'Get Started  3'!$F77))</f>
        <v>0</v>
      </c>
      <c r="BB262" s="52">
        <f ca="1">IF(BB4&lt;'Get Started  3'!$F77,0,OFFSET(BB257,0,-1*'Get Started  3'!$F77))</f>
        <v>0</v>
      </c>
      <c r="BC262" s="52">
        <f ca="1">IF(BC4&lt;'Get Started  3'!$F77,0,OFFSET(BC257,0,-1*'Get Started  3'!$F77))</f>
        <v>0</v>
      </c>
      <c r="BD262" s="52">
        <f ca="1">IF(BD4&lt;'Get Started  3'!$F77,0,OFFSET(BD257,0,-1*'Get Started  3'!$F77))</f>
        <v>0</v>
      </c>
      <c r="BE262" s="52">
        <f ca="1">IF(BE4&lt;'Get Started  3'!$F77,0,OFFSET(BE257,0,-1*'Get Started  3'!$F77))</f>
        <v>0</v>
      </c>
      <c r="BF262" s="52">
        <f ca="1">IF(BF4&lt;'Get Started  3'!$F77,0,OFFSET(BF257,0,-1*'Get Started  3'!$F77))</f>
        <v>0</v>
      </c>
      <c r="BG262" s="52">
        <f ca="1">IF(BG4&lt;'Get Started  3'!$F77,0,OFFSET(BG257,0,-1*'Get Started  3'!$F77))</f>
        <v>0</v>
      </c>
      <c r="BH262" s="52">
        <f ca="1">IF(BH4&lt;'Get Started  3'!$F77,0,OFFSET(BH257,0,-1*'Get Started  3'!$F77))</f>
        <v>0</v>
      </c>
      <c r="BI262" s="52">
        <f ca="1">IF(BI4&lt;'Get Started  3'!$F77,0,OFFSET(BI257,0,-1*'Get Started  3'!$F77))</f>
        <v>0</v>
      </c>
      <c r="BJ262" s="52">
        <f ca="1">IF(BJ4&lt;'Get Started  3'!$F77,0,OFFSET(BJ257,0,-1*'Get Started  3'!$F77))</f>
        <v>0</v>
      </c>
      <c r="BK262" s="52">
        <f ca="1">IF(BK4&lt;'Get Started  3'!$F77,0,OFFSET(BK257,0,-1*'Get Started  3'!$F77))</f>
        <v>0</v>
      </c>
      <c r="BL262" s="52">
        <f ca="1">IF(BL4&lt;'Get Started  3'!$F77,0,OFFSET(BL257,0,-1*'Get Started  3'!$F77))</f>
        <v>0</v>
      </c>
      <c r="BM262" s="52">
        <f ca="1">IF(BM4&lt;'Get Started  3'!$F77,0,OFFSET(BM257,0,-1*'Get Started  3'!$F77))</f>
        <v>0</v>
      </c>
      <c r="BN262" s="52">
        <f ca="1">IF(BN4&lt;'Get Started  3'!$F77,0,OFFSET(BN257,0,-1*'Get Started  3'!$F77))</f>
        <v>0</v>
      </c>
      <c r="BO262" s="52">
        <f ca="1">IF(BO4&lt;'Get Started  3'!$F77,0,OFFSET(BO257,0,-1*'Get Started  3'!$F77))</f>
        <v>0</v>
      </c>
      <c r="BP262" s="52">
        <f ca="1">IF(BP4&lt;'Get Started  3'!$F77,0,OFFSET(BP257,0,-1*'Get Started  3'!$F77))</f>
        <v>0</v>
      </c>
      <c r="BQ262" s="52">
        <f ca="1">IF(BQ4&lt;'Get Started  3'!$F77,0,OFFSET(BQ257,0,-1*'Get Started  3'!$F77))</f>
        <v>0</v>
      </c>
      <c r="BR262" s="52">
        <f ca="1">IF(BR4&lt;'Get Started  3'!$F77,0,OFFSET(BR257,0,-1*'Get Started  3'!$F77))</f>
        <v>0</v>
      </c>
      <c r="BS262" s="52">
        <f ca="1">IF(BS4&lt;'Get Started  3'!$F77,0,OFFSET(BS257,0,-1*'Get Started  3'!$F77))</f>
        <v>0</v>
      </c>
      <c r="BT262" s="52">
        <f ca="1">IF(BT4&lt;'Get Started  3'!$F77,0,OFFSET(BT257,0,-1*'Get Started  3'!$F77))</f>
        <v>0</v>
      </c>
      <c r="BU262" s="52">
        <f ca="1">IF(BU4&lt;'Get Started  3'!$F77,0,OFFSET(BU257,0,-1*'Get Started  3'!$F77))</f>
        <v>0</v>
      </c>
      <c r="BV262" s="52">
        <f ca="1">IF(BV4&lt;'Get Started  3'!$F77,0,OFFSET(BV257,0,-1*'Get Started  3'!$F77))</f>
        <v>0</v>
      </c>
      <c r="BW262" s="52">
        <f ca="1">IF(BW4&lt;'Get Started  3'!$F77,0,OFFSET(BW257,0,-1*'Get Started  3'!$F77))</f>
        <v>0</v>
      </c>
      <c r="BX262" s="52">
        <f ca="1">IF(BX4&lt;'Get Started  3'!$F77,0,OFFSET(BX257,0,-1*'Get Started  3'!$F77))</f>
        <v>0</v>
      </c>
      <c r="BY262" s="52">
        <f ca="1">IF(BY4&lt;'Get Started  3'!$F77,0,OFFSET(BY257,0,-1*'Get Started  3'!$F77))</f>
        <v>0</v>
      </c>
      <c r="BZ262" s="52">
        <f ca="1">IF(BZ4&lt;'Get Started  3'!$F77,0,OFFSET(BZ257,0,-1*'Get Started  3'!$F77))</f>
        <v>0</v>
      </c>
      <c r="CA262" s="52">
        <f ca="1">IF(CA4&lt;'Get Started  3'!$F77,0,OFFSET(CA257,0,-1*'Get Started  3'!$F77))</f>
        <v>0</v>
      </c>
      <c r="CB262" s="52">
        <f ca="1">IF(CB4&lt;'Get Started  3'!$F77,0,OFFSET(CB257,0,-1*'Get Started  3'!$F77))</f>
        <v>0</v>
      </c>
      <c r="CC262" s="52">
        <f ca="1">IF(CC4&lt;'Get Started  3'!$F77,0,OFFSET(CC257,0,-1*'Get Started  3'!$F77))</f>
        <v>0</v>
      </c>
      <c r="CD262" s="52">
        <f ca="1">IF(CD4&lt;'Get Started  3'!$F77,0,OFFSET(CD257,0,-1*'Get Started  3'!$F77))</f>
        <v>0</v>
      </c>
      <c r="CE262" s="52">
        <f ca="1">IF(CE4&lt;'Get Started  3'!$F77,0,OFFSET(CE257,0,-1*'Get Started  3'!$F77))</f>
        <v>0</v>
      </c>
      <c r="CF262" s="52">
        <f ca="1">IF(CF4&lt;'Get Started  3'!$F77,0,OFFSET(CF257,0,-1*'Get Started  3'!$F77))</f>
        <v>0</v>
      </c>
      <c r="CG262" s="52">
        <f ca="1">IF(CG4&lt;'Get Started  3'!$F77,0,OFFSET(CG257,0,-1*'Get Started  3'!$F77))</f>
        <v>0</v>
      </c>
      <c r="CH262" s="52">
        <f ca="1">IF(CH4&lt;'Get Started  3'!$F77,0,OFFSET(CH257,0,-1*'Get Started  3'!$F77))</f>
        <v>0</v>
      </c>
    </row>
    <row r="263" spans="1:86" ht="13" outlineLevel="1">
      <c r="A263" s="13"/>
      <c r="B263" s="13" t="s">
        <v>338</v>
      </c>
      <c r="C263" s="13"/>
      <c r="D263" s="13" t="s">
        <v>238</v>
      </c>
      <c r="E263" s="88">
        <f t="shared" ca="1" si="183"/>
        <v>6.6666666666666666E-2</v>
      </c>
      <c r="F263" s="48"/>
      <c r="G263" s="52">
        <f ca="1">IF(G4&lt;'Get Started  3'!$G77,0,OFFSET(G258,0,-1*'Get Started  3'!$G77))</f>
        <v>0</v>
      </c>
      <c r="H263" s="52">
        <f ca="1">IF(H4&lt;'Get Started  3'!$G77,0,OFFSET(H258,0,-1*'Get Started  3'!$G77))</f>
        <v>0</v>
      </c>
      <c r="I263" s="52">
        <f ca="1">IF(I4&lt;'Get Started  3'!$G77,0,OFFSET(I258,0,-1*'Get Started  3'!$G77))</f>
        <v>0</v>
      </c>
      <c r="J263" s="52">
        <f ca="1">IF(J4&lt;'Get Started  3'!$G77,0,OFFSET(J258,0,-1*'Get Started  3'!$G77))</f>
        <v>0</v>
      </c>
      <c r="K263" s="52">
        <f ca="1">IF(K4&lt;'Get Started  3'!$G77,0,OFFSET(K258,0,-1*'Get Started  3'!$G77))</f>
        <v>0</v>
      </c>
      <c r="L263" s="52">
        <f ca="1">IF(L4&lt;'Get Started  3'!$G77,0,OFFSET(L258,0,-1*'Get Started  3'!$G77))</f>
        <v>0</v>
      </c>
      <c r="M263" s="52">
        <f ca="1">IF(M4&lt;'Get Started  3'!$G77,0,OFFSET(M258,0,-1*'Get Started  3'!$G77))</f>
        <v>0</v>
      </c>
      <c r="N263" s="52">
        <f ca="1">IF(N4&lt;'Get Started  3'!$G77,0,OFFSET(N258,0,-1*'Get Started  3'!$G77))</f>
        <v>0</v>
      </c>
      <c r="O263" s="52">
        <f ca="1">IF(O4&lt;'Get Started  3'!$G77,0,OFFSET(O258,0,-1*'Get Started  3'!$G77))</f>
        <v>0</v>
      </c>
      <c r="P263" s="52">
        <f ca="1">IF(P4&lt;'Get Started  3'!$G77,0,OFFSET(P258,0,-1*'Get Started  3'!$G77))</f>
        <v>0</v>
      </c>
      <c r="Q263" s="52">
        <f ca="1">IF(Q4&lt;'Get Started  3'!$G77,0,OFFSET(Q258,0,-1*'Get Started  3'!$G77))</f>
        <v>0</v>
      </c>
      <c r="R263" s="52">
        <f ca="1">IF(R4&lt;'Get Started  3'!$G77,0,OFFSET(R258,0,-1*'Get Started  3'!$G77))</f>
        <v>0</v>
      </c>
      <c r="S263" s="52">
        <f ca="1">IF(S4&lt;'Get Started  3'!$G77,0,OFFSET(S258,0,-1*'Get Started  3'!$G77))</f>
        <v>0</v>
      </c>
      <c r="T263" s="52">
        <f ca="1">IF(T4&lt;'Get Started  3'!$G77,0,OFFSET(T258,0,-1*'Get Started  3'!$G77))</f>
        <v>0</v>
      </c>
      <c r="U263" s="52">
        <f ca="1">IF(U4&lt;'Get Started  3'!$G77,0,OFFSET(U258,0,-1*'Get Started  3'!$G77))</f>
        <v>0</v>
      </c>
      <c r="V263" s="52">
        <f ca="1">IF(V4&lt;'Get Started  3'!$G77,0,OFFSET(V258,0,-1*'Get Started  3'!$G77))</f>
        <v>0</v>
      </c>
      <c r="W263" s="52">
        <f ca="1">IF(W4&lt;'Get Started  3'!$G77,0,OFFSET(W258,0,-1*'Get Started  3'!$G77))</f>
        <v>4.1666666666666675E-3</v>
      </c>
      <c r="X263" s="52">
        <f ca="1">IF(X4&lt;'Get Started  3'!$G77,0,OFFSET(X258,0,-1*'Get Started  3'!$G77))</f>
        <v>4.1666666666666675E-3</v>
      </c>
      <c r="Y263" s="52">
        <f ca="1">IF(Y4&lt;'Get Started  3'!$G77,0,OFFSET(Y258,0,-1*'Get Started  3'!$G77))</f>
        <v>4.1666666666666675E-3</v>
      </c>
      <c r="Z263" s="52">
        <f ca="1">IF(Z4&lt;'Get Started  3'!$G77,0,OFFSET(Z258,0,-1*'Get Started  3'!$G77))</f>
        <v>4.1666666666666675E-3</v>
      </c>
      <c r="AA263" s="52">
        <f ca="1">IF(AA4&lt;'Get Started  3'!$G77,0,OFFSET(AA258,0,-1*'Get Started  3'!$G77))</f>
        <v>4.1666666666666675E-3</v>
      </c>
      <c r="AB263" s="52">
        <f ca="1">IF(AB4&lt;'Get Started  3'!$G77,0,OFFSET(AB258,0,-1*'Get Started  3'!$G77))</f>
        <v>4.1666666666666675E-3</v>
      </c>
      <c r="AC263" s="52">
        <f ca="1">IF(AC4&lt;'Get Started  3'!$G77,0,OFFSET(AC258,0,-1*'Get Started  3'!$G77))</f>
        <v>4.1666666666666675E-3</v>
      </c>
      <c r="AD263" s="52">
        <f ca="1">IF(AD4&lt;'Get Started  3'!$G77,0,OFFSET(AD258,0,-1*'Get Started  3'!$G77))</f>
        <v>4.1666666666666675E-3</v>
      </c>
      <c r="AE263" s="52">
        <f ca="1">IF(AE4&lt;'Get Started  3'!$G77,0,OFFSET(AE258,0,-1*'Get Started  3'!$G77))</f>
        <v>4.1666666666666675E-3</v>
      </c>
      <c r="AF263" s="52">
        <f ca="1">IF(AF4&lt;'Get Started  3'!$G77,0,OFFSET(AF258,0,-1*'Get Started  3'!$G77))</f>
        <v>4.1666666666666675E-3</v>
      </c>
      <c r="AG263" s="52">
        <f ca="1">IF(AG4&lt;'Get Started  3'!$G77,0,OFFSET(AG258,0,-1*'Get Started  3'!$G77))</f>
        <v>4.1666666666666675E-3</v>
      </c>
      <c r="AH263" s="52">
        <f ca="1">IF(AH4&lt;'Get Started  3'!$G77,0,OFFSET(AH258,0,-1*'Get Started  3'!$G77))</f>
        <v>4.1666666666666675E-3</v>
      </c>
      <c r="AI263" s="52">
        <f ca="1">IF(AI4&lt;'Get Started  3'!$G77,0,OFFSET(AI258,0,-1*'Get Started  3'!$G77))</f>
        <v>4.1666666666666675E-3</v>
      </c>
      <c r="AJ263" s="52">
        <f ca="1">IF(AJ4&lt;'Get Started  3'!$G77,0,OFFSET(AJ258,0,-1*'Get Started  3'!$G77))</f>
        <v>4.1666666666666675E-3</v>
      </c>
      <c r="AK263" s="52">
        <f ca="1">IF(AK4&lt;'Get Started  3'!$G77,0,OFFSET(AK258,0,-1*'Get Started  3'!$G77))</f>
        <v>4.1666666666666675E-3</v>
      </c>
      <c r="AL263" s="52">
        <f ca="1">IF(AL4&lt;'Get Started  3'!$G77,0,OFFSET(AL258,0,-1*'Get Started  3'!$G77))</f>
        <v>4.1666666666666675E-3</v>
      </c>
      <c r="AM263" s="52">
        <f ca="1">IF(AM4&lt;'Get Started  3'!$G77,0,OFFSET(AM258,0,-1*'Get Started  3'!$G77))</f>
        <v>0</v>
      </c>
      <c r="AN263" s="52">
        <f ca="1">IF(AN4&lt;'Get Started  3'!$G77,0,OFFSET(AN258,0,-1*'Get Started  3'!$G77))</f>
        <v>0</v>
      </c>
      <c r="AO263" s="52">
        <f ca="1">IF(AO4&lt;'Get Started  3'!$G77,0,OFFSET(AO258,0,-1*'Get Started  3'!$G77))</f>
        <v>0</v>
      </c>
      <c r="AP263" s="52">
        <f ca="1">IF(AP4&lt;'Get Started  3'!$G77,0,OFFSET(AP258,0,-1*'Get Started  3'!$G77))</f>
        <v>0</v>
      </c>
      <c r="AQ263" s="52">
        <f ca="1">IF(AQ4&lt;'Get Started  3'!$G77,0,OFFSET(AQ258,0,-1*'Get Started  3'!$G77))</f>
        <v>0</v>
      </c>
      <c r="AR263" s="52">
        <f ca="1">IF(AR4&lt;'Get Started  3'!$G77,0,OFFSET(AR258,0,-1*'Get Started  3'!$G77))</f>
        <v>0</v>
      </c>
      <c r="AS263" s="52">
        <f ca="1">IF(AS4&lt;'Get Started  3'!$G77,0,OFFSET(AS258,0,-1*'Get Started  3'!$G77))</f>
        <v>0</v>
      </c>
      <c r="AT263" s="52">
        <f ca="1">IF(AT4&lt;'Get Started  3'!$G77,0,OFFSET(AT258,0,-1*'Get Started  3'!$G77))</f>
        <v>0</v>
      </c>
      <c r="AU263" s="52">
        <f ca="1">IF(AU4&lt;'Get Started  3'!$G77,0,OFFSET(AU258,0,-1*'Get Started  3'!$G77))</f>
        <v>0</v>
      </c>
      <c r="AV263" s="52">
        <f ca="1">IF(AV4&lt;'Get Started  3'!$G77,0,OFFSET(AV258,0,-1*'Get Started  3'!$G77))</f>
        <v>0</v>
      </c>
      <c r="AW263" s="52">
        <f ca="1">IF(AW4&lt;'Get Started  3'!$G77,0,OFFSET(AW258,0,-1*'Get Started  3'!$G77))</f>
        <v>0</v>
      </c>
      <c r="AX263" s="52">
        <f ca="1">IF(AX4&lt;'Get Started  3'!$G77,0,OFFSET(AX258,0,-1*'Get Started  3'!$G77))</f>
        <v>0</v>
      </c>
      <c r="AY263" s="52">
        <f ca="1">IF(AY4&lt;'Get Started  3'!$G77,0,OFFSET(AY258,0,-1*'Get Started  3'!$G77))</f>
        <v>0</v>
      </c>
      <c r="AZ263" s="52">
        <f ca="1">IF(AZ4&lt;'Get Started  3'!$G77,0,OFFSET(AZ258,0,-1*'Get Started  3'!$G77))</f>
        <v>0</v>
      </c>
      <c r="BA263" s="52">
        <f ca="1">IF(BA4&lt;'Get Started  3'!$G77,0,OFFSET(BA258,0,-1*'Get Started  3'!$G77))</f>
        <v>0</v>
      </c>
      <c r="BB263" s="52">
        <f ca="1">IF(BB4&lt;'Get Started  3'!$G77,0,OFFSET(BB258,0,-1*'Get Started  3'!$G77))</f>
        <v>0</v>
      </c>
      <c r="BC263" s="52">
        <f ca="1">IF(BC4&lt;'Get Started  3'!$G77,0,OFFSET(BC258,0,-1*'Get Started  3'!$G77))</f>
        <v>0</v>
      </c>
      <c r="BD263" s="52">
        <f ca="1">IF(BD4&lt;'Get Started  3'!$G77,0,OFFSET(BD258,0,-1*'Get Started  3'!$G77))</f>
        <v>0</v>
      </c>
      <c r="BE263" s="52">
        <f ca="1">IF(BE4&lt;'Get Started  3'!$G77,0,OFFSET(BE258,0,-1*'Get Started  3'!$G77))</f>
        <v>0</v>
      </c>
      <c r="BF263" s="52">
        <f ca="1">IF(BF4&lt;'Get Started  3'!$G77,0,OFFSET(BF258,0,-1*'Get Started  3'!$G77))</f>
        <v>0</v>
      </c>
      <c r="BG263" s="52">
        <f ca="1">IF(BG4&lt;'Get Started  3'!$G77,0,OFFSET(BG258,0,-1*'Get Started  3'!$G77))</f>
        <v>0</v>
      </c>
      <c r="BH263" s="52">
        <f ca="1">IF(BH4&lt;'Get Started  3'!$G77,0,OFFSET(BH258,0,-1*'Get Started  3'!$G77))</f>
        <v>0</v>
      </c>
      <c r="BI263" s="52">
        <f ca="1">IF(BI4&lt;'Get Started  3'!$G77,0,OFFSET(BI258,0,-1*'Get Started  3'!$G77))</f>
        <v>0</v>
      </c>
      <c r="BJ263" s="52">
        <f ca="1">IF(BJ4&lt;'Get Started  3'!$G77,0,OFFSET(BJ258,0,-1*'Get Started  3'!$G77))</f>
        <v>0</v>
      </c>
      <c r="BK263" s="52">
        <f ca="1">IF(BK4&lt;'Get Started  3'!$G77,0,OFFSET(BK258,0,-1*'Get Started  3'!$G77))</f>
        <v>0</v>
      </c>
      <c r="BL263" s="52">
        <f ca="1">IF(BL4&lt;'Get Started  3'!$G77,0,OFFSET(BL258,0,-1*'Get Started  3'!$G77))</f>
        <v>0</v>
      </c>
      <c r="BM263" s="52">
        <f ca="1">IF(BM4&lt;'Get Started  3'!$G77,0,OFFSET(BM258,0,-1*'Get Started  3'!$G77))</f>
        <v>0</v>
      </c>
      <c r="BN263" s="52">
        <f ca="1">IF(BN4&lt;'Get Started  3'!$G77,0,OFFSET(BN258,0,-1*'Get Started  3'!$G77))</f>
        <v>0</v>
      </c>
      <c r="BO263" s="52">
        <f ca="1">IF(BO4&lt;'Get Started  3'!$G77,0,OFFSET(BO258,0,-1*'Get Started  3'!$G77))</f>
        <v>0</v>
      </c>
      <c r="BP263" s="52">
        <f ca="1">IF(BP4&lt;'Get Started  3'!$G77,0,OFFSET(BP258,0,-1*'Get Started  3'!$G77))</f>
        <v>0</v>
      </c>
      <c r="BQ263" s="52">
        <f ca="1">IF(BQ4&lt;'Get Started  3'!$G77,0,OFFSET(BQ258,0,-1*'Get Started  3'!$G77))</f>
        <v>0</v>
      </c>
      <c r="BR263" s="52">
        <f ca="1">IF(BR4&lt;'Get Started  3'!$G77,0,OFFSET(BR258,0,-1*'Get Started  3'!$G77))</f>
        <v>0</v>
      </c>
      <c r="BS263" s="52">
        <f ca="1">IF(BS4&lt;'Get Started  3'!$G77,0,OFFSET(BS258,0,-1*'Get Started  3'!$G77))</f>
        <v>0</v>
      </c>
      <c r="BT263" s="52">
        <f ca="1">IF(BT4&lt;'Get Started  3'!$G77,0,OFFSET(BT258,0,-1*'Get Started  3'!$G77))</f>
        <v>0</v>
      </c>
      <c r="BU263" s="52">
        <f ca="1">IF(BU4&lt;'Get Started  3'!$G77,0,OFFSET(BU258,0,-1*'Get Started  3'!$G77))</f>
        <v>0</v>
      </c>
      <c r="BV263" s="52">
        <f ca="1">IF(BV4&lt;'Get Started  3'!$G77,0,OFFSET(BV258,0,-1*'Get Started  3'!$G77))</f>
        <v>0</v>
      </c>
      <c r="BW263" s="52">
        <f ca="1">IF(BW4&lt;'Get Started  3'!$G77,0,OFFSET(BW258,0,-1*'Get Started  3'!$G77))</f>
        <v>0</v>
      </c>
      <c r="BX263" s="52">
        <f ca="1">IF(BX4&lt;'Get Started  3'!$G77,0,OFFSET(BX258,0,-1*'Get Started  3'!$G77))</f>
        <v>0</v>
      </c>
      <c r="BY263" s="52">
        <f ca="1">IF(BY4&lt;'Get Started  3'!$G77,0,OFFSET(BY258,0,-1*'Get Started  3'!$G77))</f>
        <v>0</v>
      </c>
      <c r="BZ263" s="52">
        <f ca="1">IF(BZ4&lt;'Get Started  3'!$G77,0,OFFSET(BZ258,0,-1*'Get Started  3'!$G77))</f>
        <v>0</v>
      </c>
      <c r="CA263" s="52">
        <f ca="1">IF(CA4&lt;'Get Started  3'!$G77,0,OFFSET(CA258,0,-1*'Get Started  3'!$G77))</f>
        <v>0</v>
      </c>
      <c r="CB263" s="52">
        <f ca="1">IF(CB4&lt;'Get Started  3'!$G77,0,OFFSET(CB258,0,-1*'Get Started  3'!$G77))</f>
        <v>0</v>
      </c>
      <c r="CC263" s="52">
        <f ca="1">IF(CC4&lt;'Get Started  3'!$G77,0,OFFSET(CC258,0,-1*'Get Started  3'!$G77))</f>
        <v>0</v>
      </c>
      <c r="CD263" s="52">
        <f ca="1">IF(CD4&lt;'Get Started  3'!$G77,0,OFFSET(CD258,0,-1*'Get Started  3'!$G77))</f>
        <v>0</v>
      </c>
      <c r="CE263" s="52">
        <f ca="1">IF(CE4&lt;'Get Started  3'!$G77,0,OFFSET(CE258,0,-1*'Get Started  3'!$G77))</f>
        <v>0</v>
      </c>
      <c r="CF263" s="52">
        <f ca="1">IF(CF4&lt;'Get Started  3'!$G77,0,OFFSET(CF258,0,-1*'Get Started  3'!$G77))</f>
        <v>0</v>
      </c>
      <c r="CG263" s="52">
        <f ca="1">IF(CG4&lt;'Get Started  3'!$G77,0,OFFSET(CG258,0,-1*'Get Started  3'!$G77))</f>
        <v>0</v>
      </c>
      <c r="CH263" s="52">
        <f ca="1">IF(CH4&lt;'Get Started  3'!$G77,0,OFFSET(CH258,0,-1*'Get Started  3'!$G77))</f>
        <v>0</v>
      </c>
    </row>
    <row r="264" spans="1:86" ht="13" outlineLevel="1">
      <c r="A264" s="13"/>
      <c r="B264" s="13" t="s">
        <v>338</v>
      </c>
      <c r="C264" s="13"/>
      <c r="D264" s="13" t="s">
        <v>238</v>
      </c>
      <c r="E264" s="88">
        <f t="shared" ca="1" si="183"/>
        <v>0.2</v>
      </c>
      <c r="F264" s="48"/>
      <c r="G264" s="52">
        <f ca="1">IF(G4&lt;'Get Started  3'!$H77,0,OFFSET(G259,0,-1*'Get Started  3'!$H77))</f>
        <v>0</v>
      </c>
      <c r="H264" s="52">
        <f ca="1">IF(H4&lt;'Get Started  3'!$H77,0,OFFSET(H259,0,-1*'Get Started  3'!$H77))</f>
        <v>0</v>
      </c>
      <c r="I264" s="52">
        <f ca="1">IF(I4&lt;'Get Started  3'!$H77,0,OFFSET(I259,0,-1*'Get Started  3'!$H77))</f>
        <v>0</v>
      </c>
      <c r="J264" s="52">
        <f ca="1">IF(J4&lt;'Get Started  3'!$H77,0,OFFSET(J259,0,-1*'Get Started  3'!$H77))</f>
        <v>0</v>
      </c>
      <c r="K264" s="52">
        <f ca="1">IF(K4&lt;'Get Started  3'!$H77,0,OFFSET(K259,0,-1*'Get Started  3'!$H77))</f>
        <v>0</v>
      </c>
      <c r="L264" s="52">
        <f ca="1">IF(L4&lt;'Get Started  3'!$H77,0,OFFSET(L259,0,-1*'Get Started  3'!$H77))</f>
        <v>0</v>
      </c>
      <c r="M264" s="52">
        <f ca="1">IF(M4&lt;'Get Started  3'!$H77,0,OFFSET(M259,0,-1*'Get Started  3'!$H77))</f>
        <v>0</v>
      </c>
      <c r="N264" s="52">
        <f ca="1">IF(N4&lt;'Get Started  3'!$H77,0,OFFSET(N259,0,-1*'Get Started  3'!$H77))</f>
        <v>0</v>
      </c>
      <c r="O264" s="52">
        <f ca="1">IF(O4&lt;'Get Started  3'!$H77,0,OFFSET(O259,0,-1*'Get Started  3'!$H77))</f>
        <v>0</v>
      </c>
      <c r="P264" s="52">
        <f ca="1">IF(P4&lt;'Get Started  3'!$H77,0,OFFSET(P259,0,-1*'Get Started  3'!$H77))</f>
        <v>0</v>
      </c>
      <c r="Q264" s="52">
        <f ca="1">IF(Q4&lt;'Get Started  3'!$H77,0,OFFSET(Q259,0,-1*'Get Started  3'!$H77))</f>
        <v>0</v>
      </c>
      <c r="R264" s="52">
        <f ca="1">IF(R4&lt;'Get Started  3'!$H77,0,OFFSET(R259,0,-1*'Get Started  3'!$H77))</f>
        <v>0</v>
      </c>
      <c r="S264" s="52">
        <f ca="1">IF(S4&lt;'Get Started  3'!$H77,0,OFFSET(S259,0,-1*'Get Started  3'!$H77))</f>
        <v>0</v>
      </c>
      <c r="T264" s="52">
        <f ca="1">IF(T4&lt;'Get Started  3'!$H77,0,OFFSET(T259,0,-1*'Get Started  3'!$H77))</f>
        <v>0</v>
      </c>
      <c r="U264" s="52">
        <f ca="1">IF(U4&lt;'Get Started  3'!$H77,0,OFFSET(U259,0,-1*'Get Started  3'!$H77))</f>
        <v>0</v>
      </c>
      <c r="V264" s="52">
        <f ca="1">IF(V4&lt;'Get Started  3'!$H77,0,OFFSET(V259,0,-1*'Get Started  3'!$H77))</f>
        <v>0</v>
      </c>
      <c r="W264" s="52">
        <f ca="1">IF(W4&lt;'Get Started  3'!$H77,0,OFFSET(W259,0,-1*'Get Started  3'!$H77))</f>
        <v>0</v>
      </c>
      <c r="X264" s="52">
        <f ca="1">IF(X4&lt;'Get Started  3'!$H77,0,OFFSET(X259,0,-1*'Get Started  3'!$H77))</f>
        <v>0</v>
      </c>
      <c r="Y264" s="52">
        <f ca="1">IF(Y4&lt;'Get Started  3'!$H77,0,OFFSET(Y259,0,-1*'Get Started  3'!$H77))</f>
        <v>0</v>
      </c>
      <c r="Z264" s="52">
        <f ca="1">IF(Z4&lt;'Get Started  3'!$H77,0,OFFSET(Z259,0,-1*'Get Started  3'!$H77))</f>
        <v>0</v>
      </c>
      <c r="AA264" s="52">
        <f ca="1">IF(AA4&lt;'Get Started  3'!$H77,0,OFFSET(AA259,0,-1*'Get Started  3'!$H77))</f>
        <v>0</v>
      </c>
      <c r="AB264" s="52">
        <f ca="1">IF(AB4&lt;'Get Started  3'!$H77,0,OFFSET(AB259,0,-1*'Get Started  3'!$H77))</f>
        <v>0</v>
      </c>
      <c r="AC264" s="52">
        <f ca="1">IF(AC4&lt;'Get Started  3'!$H77,0,OFFSET(AC259,0,-1*'Get Started  3'!$H77))</f>
        <v>0</v>
      </c>
      <c r="AD264" s="52">
        <f ca="1">IF(AD4&lt;'Get Started  3'!$H77,0,OFFSET(AD259,0,-1*'Get Started  3'!$H77))</f>
        <v>0</v>
      </c>
      <c r="AE264" s="52">
        <f ca="1">IF(AE4&lt;'Get Started  3'!$H77,0,OFFSET(AE259,0,-1*'Get Started  3'!$H77))</f>
        <v>1.2499999999999997E-2</v>
      </c>
      <c r="AF264" s="52">
        <f ca="1">IF(AF4&lt;'Get Started  3'!$H77,0,OFFSET(AF259,0,-1*'Get Started  3'!$H77))</f>
        <v>1.2499999999999997E-2</v>
      </c>
      <c r="AG264" s="52">
        <f ca="1">IF(AG4&lt;'Get Started  3'!$H77,0,OFFSET(AG259,0,-1*'Get Started  3'!$H77))</f>
        <v>1.2499999999999997E-2</v>
      </c>
      <c r="AH264" s="52">
        <f ca="1">IF(AH4&lt;'Get Started  3'!$H77,0,OFFSET(AH259,0,-1*'Get Started  3'!$H77))</f>
        <v>1.2499999999999997E-2</v>
      </c>
      <c r="AI264" s="52">
        <f ca="1">IF(AI4&lt;'Get Started  3'!$H77,0,OFFSET(AI259,0,-1*'Get Started  3'!$H77))</f>
        <v>1.2499999999999997E-2</v>
      </c>
      <c r="AJ264" s="52">
        <f ca="1">IF(AJ4&lt;'Get Started  3'!$H77,0,OFFSET(AJ259,0,-1*'Get Started  3'!$H77))</f>
        <v>1.2499999999999997E-2</v>
      </c>
      <c r="AK264" s="52">
        <f ca="1">IF(AK4&lt;'Get Started  3'!$H77,0,OFFSET(AK259,0,-1*'Get Started  3'!$H77))</f>
        <v>1.2499999999999997E-2</v>
      </c>
      <c r="AL264" s="52">
        <f ca="1">IF(AL4&lt;'Get Started  3'!$H77,0,OFFSET(AL259,0,-1*'Get Started  3'!$H77))</f>
        <v>1.2499999999999997E-2</v>
      </c>
      <c r="AM264" s="52">
        <f ca="1">IF(AM4&lt;'Get Started  3'!$H77,0,OFFSET(AM259,0,-1*'Get Started  3'!$H77))</f>
        <v>1.2499999999999997E-2</v>
      </c>
      <c r="AN264" s="52">
        <f ca="1">IF(AN4&lt;'Get Started  3'!$H77,0,OFFSET(AN259,0,-1*'Get Started  3'!$H77))</f>
        <v>1.2499999999999997E-2</v>
      </c>
      <c r="AO264" s="52">
        <f ca="1">IF(AO4&lt;'Get Started  3'!$H77,0,OFFSET(AO259,0,-1*'Get Started  3'!$H77))</f>
        <v>1.2499999999999997E-2</v>
      </c>
      <c r="AP264" s="52">
        <f ca="1">IF(AP4&lt;'Get Started  3'!$H77,0,OFFSET(AP259,0,-1*'Get Started  3'!$H77))</f>
        <v>1.2499999999999997E-2</v>
      </c>
      <c r="AQ264" s="52">
        <f ca="1">IF(AQ4&lt;'Get Started  3'!$H77,0,OFFSET(AQ259,0,-1*'Get Started  3'!$H77))</f>
        <v>1.2499999999999997E-2</v>
      </c>
      <c r="AR264" s="52">
        <f ca="1">IF(AR4&lt;'Get Started  3'!$H77,0,OFFSET(AR259,0,-1*'Get Started  3'!$H77))</f>
        <v>1.2499999999999997E-2</v>
      </c>
      <c r="AS264" s="52">
        <f ca="1">IF(AS4&lt;'Get Started  3'!$H77,0,OFFSET(AS259,0,-1*'Get Started  3'!$H77))</f>
        <v>1.2499999999999997E-2</v>
      </c>
      <c r="AT264" s="52">
        <f ca="1">IF(AT4&lt;'Get Started  3'!$H77,0,OFFSET(AT259,0,-1*'Get Started  3'!$H77))</f>
        <v>1.2499999999999997E-2</v>
      </c>
      <c r="AU264" s="52">
        <f ca="1">IF(AU4&lt;'Get Started  3'!$H77,0,OFFSET(AU259,0,-1*'Get Started  3'!$H77))</f>
        <v>0</v>
      </c>
      <c r="AV264" s="52">
        <f ca="1">IF(AV4&lt;'Get Started  3'!$H77,0,OFFSET(AV259,0,-1*'Get Started  3'!$H77))</f>
        <v>0</v>
      </c>
      <c r="AW264" s="52">
        <f ca="1">IF(AW4&lt;'Get Started  3'!$H77,0,OFFSET(AW259,0,-1*'Get Started  3'!$H77))</f>
        <v>0</v>
      </c>
      <c r="AX264" s="52">
        <f ca="1">IF(AX4&lt;'Get Started  3'!$H77,0,OFFSET(AX259,0,-1*'Get Started  3'!$H77))</f>
        <v>0</v>
      </c>
      <c r="AY264" s="52">
        <f ca="1">IF(AY4&lt;'Get Started  3'!$H77,0,OFFSET(AY259,0,-1*'Get Started  3'!$H77))</f>
        <v>0</v>
      </c>
      <c r="AZ264" s="52">
        <f ca="1">IF(AZ4&lt;'Get Started  3'!$H77,0,OFFSET(AZ259,0,-1*'Get Started  3'!$H77))</f>
        <v>0</v>
      </c>
      <c r="BA264" s="52">
        <f ca="1">IF(BA4&lt;'Get Started  3'!$H77,0,OFFSET(BA259,0,-1*'Get Started  3'!$H77))</f>
        <v>0</v>
      </c>
      <c r="BB264" s="52">
        <f ca="1">IF(BB4&lt;'Get Started  3'!$H77,0,OFFSET(BB259,0,-1*'Get Started  3'!$H77))</f>
        <v>0</v>
      </c>
      <c r="BC264" s="52">
        <f ca="1">IF(BC4&lt;'Get Started  3'!$H77,0,OFFSET(BC259,0,-1*'Get Started  3'!$H77))</f>
        <v>0</v>
      </c>
      <c r="BD264" s="52">
        <f ca="1">IF(BD4&lt;'Get Started  3'!$H77,0,OFFSET(BD259,0,-1*'Get Started  3'!$H77))</f>
        <v>0</v>
      </c>
      <c r="BE264" s="52">
        <f ca="1">IF(BE4&lt;'Get Started  3'!$H77,0,OFFSET(BE259,0,-1*'Get Started  3'!$H77))</f>
        <v>0</v>
      </c>
      <c r="BF264" s="52">
        <f ca="1">IF(BF4&lt;'Get Started  3'!$H77,0,OFFSET(BF259,0,-1*'Get Started  3'!$H77))</f>
        <v>0</v>
      </c>
      <c r="BG264" s="52">
        <f ca="1">IF(BG4&lt;'Get Started  3'!$H77,0,OFFSET(BG259,0,-1*'Get Started  3'!$H77))</f>
        <v>0</v>
      </c>
      <c r="BH264" s="52">
        <f ca="1">IF(BH4&lt;'Get Started  3'!$H77,0,OFFSET(BH259,0,-1*'Get Started  3'!$H77))</f>
        <v>0</v>
      </c>
      <c r="BI264" s="52">
        <f ca="1">IF(BI4&lt;'Get Started  3'!$H77,0,OFFSET(BI259,0,-1*'Get Started  3'!$H77))</f>
        <v>0</v>
      </c>
      <c r="BJ264" s="52">
        <f ca="1">IF(BJ4&lt;'Get Started  3'!$H77,0,OFFSET(BJ259,0,-1*'Get Started  3'!$H77))</f>
        <v>0</v>
      </c>
      <c r="BK264" s="52">
        <f ca="1">IF(BK4&lt;'Get Started  3'!$H77,0,OFFSET(BK259,0,-1*'Get Started  3'!$H77))</f>
        <v>0</v>
      </c>
      <c r="BL264" s="52">
        <f ca="1">IF(BL4&lt;'Get Started  3'!$H77,0,OFFSET(BL259,0,-1*'Get Started  3'!$H77))</f>
        <v>0</v>
      </c>
      <c r="BM264" s="52">
        <f ca="1">IF(BM4&lt;'Get Started  3'!$H77,0,OFFSET(BM259,0,-1*'Get Started  3'!$H77))</f>
        <v>0</v>
      </c>
      <c r="BN264" s="52">
        <f ca="1">IF(BN4&lt;'Get Started  3'!$H77,0,OFFSET(BN259,0,-1*'Get Started  3'!$H77))</f>
        <v>0</v>
      </c>
      <c r="BO264" s="52">
        <f ca="1">IF(BO4&lt;'Get Started  3'!$H77,0,OFFSET(BO259,0,-1*'Get Started  3'!$H77))</f>
        <v>0</v>
      </c>
      <c r="BP264" s="52">
        <f ca="1">IF(BP4&lt;'Get Started  3'!$H77,0,OFFSET(BP259,0,-1*'Get Started  3'!$H77))</f>
        <v>0</v>
      </c>
      <c r="BQ264" s="52">
        <f ca="1">IF(BQ4&lt;'Get Started  3'!$H77,0,OFFSET(BQ259,0,-1*'Get Started  3'!$H77))</f>
        <v>0</v>
      </c>
      <c r="BR264" s="52">
        <f ca="1">IF(BR4&lt;'Get Started  3'!$H77,0,OFFSET(BR259,0,-1*'Get Started  3'!$H77))</f>
        <v>0</v>
      </c>
      <c r="BS264" s="52">
        <f ca="1">IF(BS4&lt;'Get Started  3'!$H77,0,OFFSET(BS259,0,-1*'Get Started  3'!$H77))</f>
        <v>0</v>
      </c>
      <c r="BT264" s="52">
        <f ca="1">IF(BT4&lt;'Get Started  3'!$H77,0,OFFSET(BT259,0,-1*'Get Started  3'!$H77))</f>
        <v>0</v>
      </c>
      <c r="BU264" s="52">
        <f ca="1">IF(BU4&lt;'Get Started  3'!$H77,0,OFFSET(BU259,0,-1*'Get Started  3'!$H77))</f>
        <v>0</v>
      </c>
      <c r="BV264" s="52">
        <f ca="1">IF(BV4&lt;'Get Started  3'!$H77,0,OFFSET(BV259,0,-1*'Get Started  3'!$H77))</f>
        <v>0</v>
      </c>
      <c r="BW264" s="52">
        <f ca="1">IF(BW4&lt;'Get Started  3'!$H77,0,OFFSET(BW259,0,-1*'Get Started  3'!$H77))</f>
        <v>0</v>
      </c>
      <c r="BX264" s="52">
        <f ca="1">IF(BX4&lt;'Get Started  3'!$H77,0,OFFSET(BX259,0,-1*'Get Started  3'!$H77))</f>
        <v>0</v>
      </c>
      <c r="BY264" s="52">
        <f ca="1">IF(BY4&lt;'Get Started  3'!$H77,0,OFFSET(BY259,0,-1*'Get Started  3'!$H77))</f>
        <v>0</v>
      </c>
      <c r="BZ264" s="52">
        <f ca="1">IF(BZ4&lt;'Get Started  3'!$H77,0,OFFSET(BZ259,0,-1*'Get Started  3'!$H77))</f>
        <v>0</v>
      </c>
      <c r="CA264" s="52">
        <f ca="1">IF(CA4&lt;'Get Started  3'!$H77,0,OFFSET(CA259,0,-1*'Get Started  3'!$H77))</f>
        <v>0</v>
      </c>
      <c r="CB264" s="52">
        <f ca="1">IF(CB4&lt;'Get Started  3'!$H77,0,OFFSET(CB259,0,-1*'Get Started  3'!$H77))</f>
        <v>0</v>
      </c>
      <c r="CC264" s="52">
        <f ca="1">IF(CC4&lt;'Get Started  3'!$H77,0,OFFSET(CC259,0,-1*'Get Started  3'!$H77))</f>
        <v>0</v>
      </c>
      <c r="CD264" s="52">
        <f ca="1">IF(CD4&lt;'Get Started  3'!$H77,0,OFFSET(CD259,0,-1*'Get Started  3'!$H77))</f>
        <v>0</v>
      </c>
      <c r="CE264" s="52">
        <f ca="1">IF(CE4&lt;'Get Started  3'!$H77,0,OFFSET(CE259,0,-1*'Get Started  3'!$H77))</f>
        <v>0</v>
      </c>
      <c r="CF264" s="52">
        <f ca="1">IF(CF4&lt;'Get Started  3'!$H77,0,OFFSET(CF259,0,-1*'Get Started  3'!$H77))</f>
        <v>0</v>
      </c>
      <c r="CG264" s="52">
        <f ca="1">IF(CG4&lt;'Get Started  3'!$H77,0,OFFSET(CG259,0,-1*'Get Started  3'!$H77))</f>
        <v>0</v>
      </c>
      <c r="CH264" s="52">
        <f ca="1">IF(CH4&lt;'Get Started  3'!$H77,0,OFFSET(CH259,0,-1*'Get Started  3'!$H77))</f>
        <v>0</v>
      </c>
    </row>
    <row r="265" spans="1:86" ht="13" outlineLevel="1">
      <c r="A265" s="13"/>
      <c r="B265" s="13" t="str">
        <f>B263&amp;" total"</f>
        <v>exited invested capital total</v>
      </c>
      <c r="C265" s="13"/>
      <c r="D265" s="13" t="s">
        <v>238</v>
      </c>
      <c r="E265" s="88">
        <f t="shared" ca="1" si="183"/>
        <v>0.99999999999999978</v>
      </c>
      <c r="F265" s="48"/>
      <c r="G265" s="52">
        <f t="shared" ref="G265:CH265" ca="1" si="191">SUM(G261:G264)</f>
        <v>0</v>
      </c>
      <c r="H265" s="52">
        <f t="shared" ca="1" si="191"/>
        <v>0</v>
      </c>
      <c r="I265" s="52">
        <f t="shared" ca="1" si="191"/>
        <v>0</v>
      </c>
      <c r="J265" s="52">
        <f t="shared" ca="1" si="191"/>
        <v>0</v>
      </c>
      <c r="K265" s="52">
        <f t="shared" ca="1" si="191"/>
        <v>0</v>
      </c>
      <c r="L265" s="52">
        <f t="shared" ca="1" si="191"/>
        <v>0</v>
      </c>
      <c r="M265" s="52">
        <f t="shared" ca="1" si="191"/>
        <v>0</v>
      </c>
      <c r="N265" s="52">
        <f t="shared" ca="1" si="191"/>
        <v>0</v>
      </c>
      <c r="O265" s="52">
        <f t="shared" ca="1" si="191"/>
        <v>3.5416666666666666E-2</v>
      </c>
      <c r="P265" s="52">
        <f t="shared" ca="1" si="191"/>
        <v>3.5416666666666666E-2</v>
      </c>
      <c r="Q265" s="52">
        <f t="shared" ca="1" si="191"/>
        <v>3.5416666666666666E-2</v>
      </c>
      <c r="R265" s="52">
        <f t="shared" ca="1" si="191"/>
        <v>3.5416666666666666E-2</v>
      </c>
      <c r="S265" s="52">
        <f t="shared" ca="1" si="191"/>
        <v>4.5833333333333337E-2</v>
      </c>
      <c r="T265" s="52">
        <f t="shared" ca="1" si="191"/>
        <v>4.5833333333333337E-2</v>
      </c>
      <c r="U265" s="52">
        <f t="shared" ca="1" si="191"/>
        <v>4.5833333333333337E-2</v>
      </c>
      <c r="V265" s="52">
        <f t="shared" ca="1" si="191"/>
        <v>4.5833333333333337E-2</v>
      </c>
      <c r="W265" s="52">
        <f t="shared" ca="1" si="191"/>
        <v>0.05</v>
      </c>
      <c r="X265" s="52">
        <f t="shared" ca="1" si="191"/>
        <v>0.05</v>
      </c>
      <c r="Y265" s="52">
        <f t="shared" ca="1" si="191"/>
        <v>0.05</v>
      </c>
      <c r="Z265" s="52">
        <f t="shared" ca="1" si="191"/>
        <v>0.05</v>
      </c>
      <c r="AA265" s="52">
        <f t="shared" ca="1" si="191"/>
        <v>0.05</v>
      </c>
      <c r="AB265" s="52">
        <f t="shared" ca="1" si="191"/>
        <v>0.05</v>
      </c>
      <c r="AC265" s="52">
        <f t="shared" ca="1" si="191"/>
        <v>0.05</v>
      </c>
      <c r="AD265" s="52">
        <f t="shared" ca="1" si="191"/>
        <v>0.05</v>
      </c>
      <c r="AE265" s="52">
        <f t="shared" ca="1" si="191"/>
        <v>2.7083333333333334E-2</v>
      </c>
      <c r="AF265" s="52">
        <f t="shared" ca="1" si="191"/>
        <v>2.7083333333333334E-2</v>
      </c>
      <c r="AG265" s="52">
        <f t="shared" ca="1" si="191"/>
        <v>2.7083333333333334E-2</v>
      </c>
      <c r="AH265" s="52">
        <f t="shared" ca="1" si="191"/>
        <v>2.7083333333333334E-2</v>
      </c>
      <c r="AI265" s="52">
        <f t="shared" ca="1" si="191"/>
        <v>1.6666666666666663E-2</v>
      </c>
      <c r="AJ265" s="52">
        <f t="shared" ca="1" si="191"/>
        <v>1.6666666666666663E-2</v>
      </c>
      <c r="AK265" s="52">
        <f t="shared" ca="1" si="191"/>
        <v>1.6666666666666663E-2</v>
      </c>
      <c r="AL265" s="52">
        <f t="shared" ca="1" si="191"/>
        <v>1.6666666666666663E-2</v>
      </c>
      <c r="AM265" s="52">
        <f t="shared" ca="1" si="191"/>
        <v>1.2499999999999997E-2</v>
      </c>
      <c r="AN265" s="52">
        <f t="shared" ca="1" si="191"/>
        <v>1.2499999999999997E-2</v>
      </c>
      <c r="AO265" s="52">
        <f t="shared" ca="1" si="191"/>
        <v>1.2499999999999997E-2</v>
      </c>
      <c r="AP265" s="52">
        <f t="shared" ca="1" si="191"/>
        <v>1.2499999999999997E-2</v>
      </c>
      <c r="AQ265" s="52">
        <f t="shared" ca="1" si="191"/>
        <v>1.2499999999999997E-2</v>
      </c>
      <c r="AR265" s="52">
        <f t="shared" ca="1" si="191"/>
        <v>1.2499999999999997E-2</v>
      </c>
      <c r="AS265" s="52">
        <f t="shared" ca="1" si="191"/>
        <v>1.2499999999999997E-2</v>
      </c>
      <c r="AT265" s="52">
        <f t="shared" ca="1" si="191"/>
        <v>1.2499999999999997E-2</v>
      </c>
      <c r="AU265" s="52">
        <f t="shared" ca="1" si="191"/>
        <v>0</v>
      </c>
      <c r="AV265" s="52">
        <f t="shared" ca="1" si="191"/>
        <v>0</v>
      </c>
      <c r="AW265" s="52">
        <f t="shared" ca="1" si="191"/>
        <v>0</v>
      </c>
      <c r="AX265" s="52">
        <f t="shared" ca="1" si="191"/>
        <v>0</v>
      </c>
      <c r="AY265" s="52">
        <f t="shared" ca="1" si="191"/>
        <v>0</v>
      </c>
      <c r="AZ265" s="52">
        <f t="shared" ca="1" si="191"/>
        <v>0</v>
      </c>
      <c r="BA265" s="52">
        <f t="shared" ca="1" si="191"/>
        <v>0</v>
      </c>
      <c r="BB265" s="52">
        <f t="shared" ca="1" si="191"/>
        <v>0</v>
      </c>
      <c r="BC265" s="52">
        <f t="shared" ca="1" si="191"/>
        <v>0</v>
      </c>
      <c r="BD265" s="52">
        <f t="shared" ca="1" si="191"/>
        <v>0</v>
      </c>
      <c r="BE265" s="52">
        <f t="shared" ca="1" si="191"/>
        <v>0</v>
      </c>
      <c r="BF265" s="52">
        <f t="shared" ca="1" si="191"/>
        <v>0</v>
      </c>
      <c r="BG265" s="52">
        <f t="shared" ca="1" si="191"/>
        <v>0</v>
      </c>
      <c r="BH265" s="52">
        <f t="shared" ca="1" si="191"/>
        <v>0</v>
      </c>
      <c r="BI265" s="52">
        <f t="shared" ca="1" si="191"/>
        <v>0</v>
      </c>
      <c r="BJ265" s="52">
        <f t="shared" ca="1" si="191"/>
        <v>0</v>
      </c>
      <c r="BK265" s="52">
        <f t="shared" ca="1" si="191"/>
        <v>0</v>
      </c>
      <c r="BL265" s="52">
        <f t="shared" ca="1" si="191"/>
        <v>0</v>
      </c>
      <c r="BM265" s="52">
        <f t="shared" ca="1" si="191"/>
        <v>0</v>
      </c>
      <c r="BN265" s="52">
        <f t="shared" ca="1" si="191"/>
        <v>0</v>
      </c>
      <c r="BO265" s="52">
        <f t="shared" ca="1" si="191"/>
        <v>0</v>
      </c>
      <c r="BP265" s="52">
        <f t="shared" ca="1" si="191"/>
        <v>0</v>
      </c>
      <c r="BQ265" s="52">
        <f t="shared" ca="1" si="191"/>
        <v>0</v>
      </c>
      <c r="BR265" s="52">
        <f t="shared" ca="1" si="191"/>
        <v>0</v>
      </c>
      <c r="BS265" s="52">
        <f t="shared" ca="1" si="191"/>
        <v>0</v>
      </c>
      <c r="BT265" s="52">
        <f t="shared" ca="1" si="191"/>
        <v>0</v>
      </c>
      <c r="BU265" s="52">
        <f t="shared" ca="1" si="191"/>
        <v>0</v>
      </c>
      <c r="BV265" s="52">
        <f t="shared" ca="1" si="191"/>
        <v>0</v>
      </c>
      <c r="BW265" s="52">
        <f t="shared" ca="1" si="191"/>
        <v>0</v>
      </c>
      <c r="BX265" s="52">
        <f t="shared" ca="1" si="191"/>
        <v>0</v>
      </c>
      <c r="BY265" s="52">
        <f t="shared" ca="1" si="191"/>
        <v>0</v>
      </c>
      <c r="BZ265" s="52">
        <f t="shared" ca="1" si="191"/>
        <v>0</v>
      </c>
      <c r="CA265" s="52">
        <f t="shared" ca="1" si="191"/>
        <v>0</v>
      </c>
      <c r="CB265" s="52">
        <f t="shared" ca="1" si="191"/>
        <v>0</v>
      </c>
      <c r="CC265" s="52">
        <f t="shared" ca="1" si="191"/>
        <v>0</v>
      </c>
      <c r="CD265" s="52">
        <f t="shared" ca="1" si="191"/>
        <v>0</v>
      </c>
      <c r="CE265" s="52">
        <f t="shared" ca="1" si="191"/>
        <v>0</v>
      </c>
      <c r="CF265" s="52">
        <f t="shared" ca="1" si="191"/>
        <v>0</v>
      </c>
      <c r="CG265" s="52">
        <f t="shared" ca="1" si="191"/>
        <v>0</v>
      </c>
      <c r="CH265" s="52">
        <f t="shared" ca="1" si="191"/>
        <v>0</v>
      </c>
    </row>
    <row r="266" spans="1:86" ht="13" outlineLevel="1">
      <c r="A266" s="13"/>
      <c r="B266" s="13" t="s">
        <v>339</v>
      </c>
      <c r="C266" s="13"/>
      <c r="D266" s="13" t="s">
        <v>247</v>
      </c>
      <c r="E266" s="88">
        <f t="shared" ca="1" si="183"/>
        <v>0</v>
      </c>
      <c r="F266" s="48"/>
      <c r="G266" s="52">
        <f t="shared" ref="G266:CH266" ca="1" si="192">ROUND(G250+G265*-1+G255+F266,10)</f>
        <v>6.25E-2</v>
      </c>
      <c r="H266" s="52">
        <f t="shared" ca="1" si="192"/>
        <v>0.125</v>
      </c>
      <c r="I266" s="52">
        <f t="shared" ca="1" si="192"/>
        <v>0.1875</v>
      </c>
      <c r="J266" s="52">
        <f t="shared" ca="1" si="192"/>
        <v>0.25</v>
      </c>
      <c r="K266" s="52">
        <f t="shared" ca="1" si="192"/>
        <v>0.3125</v>
      </c>
      <c r="L266" s="52">
        <f t="shared" ca="1" si="192"/>
        <v>0.375</v>
      </c>
      <c r="M266" s="52">
        <f t="shared" ca="1" si="192"/>
        <v>0.4375</v>
      </c>
      <c r="N266" s="52">
        <f t="shared" ca="1" si="192"/>
        <v>0.5</v>
      </c>
      <c r="O266" s="52">
        <f t="shared" ca="1" si="192"/>
        <v>0.52708333330000001</v>
      </c>
      <c r="P266" s="52">
        <f t="shared" ca="1" si="192"/>
        <v>0.55416666660000002</v>
      </c>
      <c r="Q266" s="52">
        <f t="shared" ca="1" si="192"/>
        <v>0.58124999990000004</v>
      </c>
      <c r="R266" s="52">
        <f t="shared" ca="1" si="192"/>
        <v>0.60833333320000005</v>
      </c>
      <c r="S266" s="52">
        <f t="shared" ca="1" si="192"/>
        <v>0.62499999989999999</v>
      </c>
      <c r="T266" s="52">
        <f t="shared" ca="1" si="192"/>
        <v>0.64166666660000005</v>
      </c>
      <c r="U266" s="52">
        <f t="shared" ca="1" si="192"/>
        <v>0.65833333329999999</v>
      </c>
      <c r="V266" s="52">
        <f t="shared" ca="1" si="192"/>
        <v>0.67500000000000004</v>
      </c>
      <c r="W266" s="52">
        <f t="shared" ca="1" si="192"/>
        <v>0.625</v>
      </c>
      <c r="X266" s="52">
        <f t="shared" ca="1" si="192"/>
        <v>0.57499999999999996</v>
      </c>
      <c r="Y266" s="52">
        <f t="shared" ca="1" si="192"/>
        <v>0.52500000000000002</v>
      </c>
      <c r="Z266" s="52">
        <f t="shared" ca="1" si="192"/>
        <v>0.47499999999999998</v>
      </c>
      <c r="AA266" s="52">
        <f t="shared" ca="1" si="192"/>
        <v>0.42499999999999999</v>
      </c>
      <c r="AB266" s="52">
        <f t="shared" ca="1" si="192"/>
        <v>0.375</v>
      </c>
      <c r="AC266" s="52">
        <f t="shared" ca="1" si="192"/>
        <v>0.32500000000000001</v>
      </c>
      <c r="AD266" s="52">
        <f t="shared" ca="1" si="192"/>
        <v>0.27500000000000002</v>
      </c>
      <c r="AE266" s="52">
        <f t="shared" ca="1" si="192"/>
        <v>0.24791666670000001</v>
      </c>
      <c r="AF266" s="52">
        <f t="shared" ca="1" si="192"/>
        <v>0.2208333334</v>
      </c>
      <c r="AG266" s="52">
        <f t="shared" ca="1" si="192"/>
        <v>0.19375000010000001</v>
      </c>
      <c r="AH266" s="52">
        <f t="shared" ca="1" si="192"/>
        <v>0.1666666668</v>
      </c>
      <c r="AI266" s="52">
        <f t="shared" ca="1" si="192"/>
        <v>0.1500000001</v>
      </c>
      <c r="AJ266" s="52">
        <f t="shared" ca="1" si="192"/>
        <v>0.1333333334</v>
      </c>
      <c r="AK266" s="52">
        <f t="shared" ca="1" si="192"/>
        <v>0.1166666667</v>
      </c>
      <c r="AL266" s="52">
        <f t="shared" ca="1" si="192"/>
        <v>0.1</v>
      </c>
      <c r="AM266" s="52">
        <f t="shared" ca="1" si="192"/>
        <v>8.7499999999999994E-2</v>
      </c>
      <c r="AN266" s="52">
        <f t="shared" ca="1" si="192"/>
        <v>7.4999999999999997E-2</v>
      </c>
      <c r="AO266" s="52">
        <f t="shared" ca="1" si="192"/>
        <v>6.25E-2</v>
      </c>
      <c r="AP266" s="52">
        <f t="shared" ca="1" si="192"/>
        <v>0.05</v>
      </c>
      <c r="AQ266" s="52">
        <f t="shared" ca="1" si="192"/>
        <v>3.7499999999999999E-2</v>
      </c>
      <c r="AR266" s="52">
        <f t="shared" ca="1" si="192"/>
        <v>2.5000000000000001E-2</v>
      </c>
      <c r="AS266" s="52">
        <f t="shared" ca="1" si="192"/>
        <v>1.2500000000000001E-2</v>
      </c>
      <c r="AT266" s="52">
        <f t="shared" ca="1" si="192"/>
        <v>0</v>
      </c>
      <c r="AU266" s="52">
        <f t="shared" ca="1" si="192"/>
        <v>0</v>
      </c>
      <c r="AV266" s="52">
        <f t="shared" ca="1" si="192"/>
        <v>0</v>
      </c>
      <c r="AW266" s="52">
        <f t="shared" ca="1" si="192"/>
        <v>0</v>
      </c>
      <c r="AX266" s="52">
        <f t="shared" ca="1" si="192"/>
        <v>0</v>
      </c>
      <c r="AY266" s="52">
        <f t="shared" ca="1" si="192"/>
        <v>0</v>
      </c>
      <c r="AZ266" s="52">
        <f t="shared" ca="1" si="192"/>
        <v>0</v>
      </c>
      <c r="BA266" s="52">
        <f t="shared" ca="1" si="192"/>
        <v>0</v>
      </c>
      <c r="BB266" s="52">
        <f t="shared" ca="1" si="192"/>
        <v>0</v>
      </c>
      <c r="BC266" s="52">
        <f t="shared" ca="1" si="192"/>
        <v>0</v>
      </c>
      <c r="BD266" s="52">
        <f t="shared" ca="1" si="192"/>
        <v>0</v>
      </c>
      <c r="BE266" s="52">
        <f t="shared" ca="1" si="192"/>
        <v>0</v>
      </c>
      <c r="BF266" s="52">
        <f t="shared" ca="1" si="192"/>
        <v>0</v>
      </c>
      <c r="BG266" s="52">
        <f t="shared" ca="1" si="192"/>
        <v>0</v>
      </c>
      <c r="BH266" s="52">
        <f t="shared" ca="1" si="192"/>
        <v>0</v>
      </c>
      <c r="BI266" s="52">
        <f t="shared" ca="1" si="192"/>
        <v>0</v>
      </c>
      <c r="BJ266" s="52">
        <f t="shared" ca="1" si="192"/>
        <v>0</v>
      </c>
      <c r="BK266" s="52">
        <f t="shared" ca="1" si="192"/>
        <v>0</v>
      </c>
      <c r="BL266" s="52">
        <f t="shared" ca="1" si="192"/>
        <v>0</v>
      </c>
      <c r="BM266" s="52">
        <f t="shared" ca="1" si="192"/>
        <v>0</v>
      </c>
      <c r="BN266" s="52">
        <f t="shared" ca="1" si="192"/>
        <v>0</v>
      </c>
      <c r="BO266" s="52">
        <f t="shared" ca="1" si="192"/>
        <v>0</v>
      </c>
      <c r="BP266" s="52">
        <f t="shared" ca="1" si="192"/>
        <v>0</v>
      </c>
      <c r="BQ266" s="52">
        <f t="shared" ca="1" si="192"/>
        <v>0</v>
      </c>
      <c r="BR266" s="52">
        <f t="shared" ca="1" si="192"/>
        <v>0</v>
      </c>
      <c r="BS266" s="52">
        <f t="shared" ca="1" si="192"/>
        <v>0</v>
      </c>
      <c r="BT266" s="52">
        <f t="shared" ca="1" si="192"/>
        <v>0</v>
      </c>
      <c r="BU266" s="52">
        <f t="shared" ca="1" si="192"/>
        <v>0</v>
      </c>
      <c r="BV266" s="52">
        <f t="shared" ca="1" si="192"/>
        <v>0</v>
      </c>
      <c r="BW266" s="52">
        <f t="shared" ca="1" si="192"/>
        <v>0</v>
      </c>
      <c r="BX266" s="52">
        <f t="shared" ca="1" si="192"/>
        <v>0</v>
      </c>
      <c r="BY266" s="52">
        <f t="shared" ca="1" si="192"/>
        <v>0</v>
      </c>
      <c r="BZ266" s="52">
        <f t="shared" ca="1" si="192"/>
        <v>0</v>
      </c>
      <c r="CA266" s="52">
        <f t="shared" ca="1" si="192"/>
        <v>0</v>
      </c>
      <c r="CB266" s="52">
        <f t="shared" ca="1" si="192"/>
        <v>0</v>
      </c>
      <c r="CC266" s="52">
        <f t="shared" ca="1" si="192"/>
        <v>0</v>
      </c>
      <c r="CD266" s="52">
        <f t="shared" ca="1" si="192"/>
        <v>0</v>
      </c>
      <c r="CE266" s="52">
        <f t="shared" ca="1" si="192"/>
        <v>0</v>
      </c>
      <c r="CF266" s="52">
        <f t="shared" ca="1" si="192"/>
        <v>0</v>
      </c>
      <c r="CG266" s="52">
        <f t="shared" ca="1" si="192"/>
        <v>0</v>
      </c>
      <c r="CH266" s="52">
        <f t="shared" ca="1" si="192"/>
        <v>0</v>
      </c>
    </row>
    <row r="267" spans="1:86" ht="13" outlineLevel="1">
      <c r="A267" s="13"/>
      <c r="B267" s="13" t="s">
        <v>340</v>
      </c>
      <c r="C267" s="13"/>
      <c r="D267" s="13" t="s">
        <v>238</v>
      </c>
      <c r="E267" s="88">
        <f t="shared" si="183"/>
        <v>0</v>
      </c>
      <c r="F267" s="48"/>
      <c r="G267" s="88">
        <f>IF(G15&lt;&gt;"committed",(G266+F266)/2*IF($C17=TRUE,(1-'Get Started  3'!$E10),1)*G14,0)</f>
        <v>0</v>
      </c>
      <c r="H267" s="88">
        <f>IF(H15&lt;&gt;"committed",(H266+G266)/2*IF($C17=TRUE,(1-'Get Started  3'!$E10),1)*H14,0)</f>
        <v>0</v>
      </c>
      <c r="I267" s="88">
        <f>IF(I15&lt;&gt;"committed",(I266+H266)/2*IF($C17=TRUE,(1-'Get Started  3'!$E10),1)*I14,0)</f>
        <v>0</v>
      </c>
      <c r="J267" s="88">
        <f>IF(J15&lt;&gt;"committed",(J266+I266)/2*IF($C17=TRUE,(1-'Get Started  3'!$E10),1)*J14,0)</f>
        <v>0</v>
      </c>
      <c r="K267" s="88">
        <f>IF(K15&lt;&gt;"committed",(K266+J266)/2*IF($C17=TRUE,(1-'Get Started  3'!$E10),1)*K14,0)</f>
        <v>0</v>
      </c>
      <c r="L267" s="88">
        <f>IF(L15&lt;&gt;"committed",(L266+K266)/2*IF($C17=TRUE,(1-'Get Started  3'!$E10),1)*L14,0)</f>
        <v>0</v>
      </c>
      <c r="M267" s="88">
        <f>IF(M15&lt;&gt;"committed",(M266+L266)/2*IF($C17=TRUE,(1-'Get Started  3'!$E10),1)*M14,0)</f>
        <v>0</v>
      </c>
      <c r="N267" s="88">
        <f>IF(N15&lt;&gt;"committed",(N266+M266)/2*IF($C17=TRUE,(1-'Get Started  3'!$E10),1)*N14,0)</f>
        <v>0</v>
      </c>
      <c r="O267" s="88">
        <f>IF(O15&lt;&gt;"committed",(O266+N266)/2*IF($C17=TRUE,(1-'Get Started  3'!$E10),1)*O14,0)</f>
        <v>0</v>
      </c>
      <c r="P267" s="88">
        <f>IF(P15&lt;&gt;"committed",(P266+O266)/2*IF($C17=TRUE,(1-'Get Started  3'!$E10),1)*P14,0)</f>
        <v>0</v>
      </c>
      <c r="Q267" s="88">
        <f>IF(Q15&lt;&gt;"committed",(Q266+P266)/2*IF($C17=TRUE,(1-'Get Started  3'!$E10),1)*Q14,0)</f>
        <v>0</v>
      </c>
      <c r="R267" s="88">
        <f>IF(R15&lt;&gt;"committed",(R266+Q266)/2*IF($C17=TRUE,(1-'Get Started  3'!$E10),1)*R14,0)</f>
        <v>0</v>
      </c>
      <c r="S267" s="88">
        <f>IF(S15&lt;&gt;"committed",(S266+R266)/2*IF($C17=TRUE,(1-'Get Started  3'!$E10),1)*S14,0)</f>
        <v>0</v>
      </c>
      <c r="T267" s="88">
        <f>IF(T15&lt;&gt;"committed",(T266+S266)/2*IF($C17=TRUE,(1-'Get Started  3'!$E10),1)*T14,0)</f>
        <v>0</v>
      </c>
      <c r="U267" s="88">
        <f>IF(U15&lt;&gt;"committed",(U266+T266)/2*IF($C17=TRUE,(1-'Get Started  3'!$E10),1)*U14,0)</f>
        <v>0</v>
      </c>
      <c r="V267" s="88">
        <f>IF(V15&lt;&gt;"committed",(V266+U266)/2*IF($C17=TRUE,(1-'Get Started  3'!$E10),1)*V14,0)</f>
        <v>0</v>
      </c>
      <c r="W267" s="88">
        <f>IF(W15&lt;&gt;"committed",(W266+V266)/2*IF($C17=TRUE,(1-'Get Started  3'!$E10),1)*W14,0)</f>
        <v>0</v>
      </c>
      <c r="X267" s="88">
        <f>IF(X15&lt;&gt;"committed",(X266+W266)/2*IF($C17=TRUE,(1-'Get Started  3'!$E10),1)*X14,0)</f>
        <v>0</v>
      </c>
      <c r="Y267" s="88">
        <f>IF(Y15&lt;&gt;"committed",(Y266+X266)/2*IF($C17=TRUE,(1-'Get Started  3'!$E10),1)*Y14,0)</f>
        <v>0</v>
      </c>
      <c r="Z267" s="88">
        <f>IF(Z15&lt;&gt;"committed",(Z266+Y266)/2*IF($C17=TRUE,(1-'Get Started  3'!$E10),1)*Z14,0)</f>
        <v>0</v>
      </c>
      <c r="AA267" s="88">
        <f>IF(AA15&lt;&gt;"committed",(AA266+Z266)/2*IF($C17=TRUE,(1-'Get Started  3'!$E10),1)*AA14,0)</f>
        <v>0</v>
      </c>
      <c r="AB267" s="88">
        <f>IF(AB15&lt;&gt;"committed",(AB266+AA266)/2*IF($C17=TRUE,(1-'Get Started  3'!$E10),1)*AB14,0)</f>
        <v>0</v>
      </c>
      <c r="AC267" s="88">
        <f>IF(AC15&lt;&gt;"committed",(AC266+AB266)/2*IF($C17=TRUE,(1-'Get Started  3'!$E10),1)*AC14,0)</f>
        <v>0</v>
      </c>
      <c r="AD267" s="88">
        <f>IF(AD15&lt;&gt;"committed",(AD266+AC266)/2*IF($C17=TRUE,(1-'Get Started  3'!$E10),1)*AD14,0)</f>
        <v>0</v>
      </c>
      <c r="AE267" s="88">
        <f>IF(AE15&lt;&gt;"committed",(AE266+AD266)/2*IF($C17=TRUE,(1-'Get Started  3'!$E10),1)*AE14,0)</f>
        <v>0</v>
      </c>
      <c r="AF267" s="88">
        <f>IF(AF15&lt;&gt;"committed",(AF266+AE266)/2*IF($C17=TRUE,(1-'Get Started  3'!$E10),1)*AF14,0)</f>
        <v>0</v>
      </c>
      <c r="AG267" s="88">
        <f>IF(AG15&lt;&gt;"committed",(AG266+AF266)/2*IF($C17=TRUE,(1-'Get Started  3'!$E10),1)*AG14,0)</f>
        <v>0</v>
      </c>
      <c r="AH267" s="88">
        <f>IF(AH15&lt;&gt;"committed",(AH266+AG266)/2*IF($C17=TRUE,(1-'Get Started  3'!$E10),1)*AH14,0)</f>
        <v>0</v>
      </c>
      <c r="AI267" s="88">
        <f>IF(AI15&lt;&gt;"committed",(AI266+AH266)/2*IF($C17=TRUE,(1-'Get Started  3'!$E10),1)*AI14,0)</f>
        <v>0</v>
      </c>
      <c r="AJ267" s="88">
        <f>IF(AJ15&lt;&gt;"committed",(AJ266+AI266)/2*IF($C17=TRUE,(1-'Get Started  3'!$E10),1)*AJ14,0)</f>
        <v>0</v>
      </c>
      <c r="AK267" s="88">
        <f>IF(AK15&lt;&gt;"committed",(AK266+AJ266)/2*IF($C17=TRUE,(1-'Get Started  3'!$E10),1)*AK14,0)</f>
        <v>0</v>
      </c>
      <c r="AL267" s="88">
        <f>IF(AL15&lt;&gt;"committed",(AL266+AK266)/2*IF($C17=TRUE,(1-'Get Started  3'!$E10),1)*AL14,0)</f>
        <v>0</v>
      </c>
      <c r="AM267" s="88">
        <f>IF(AM15&lt;&gt;"committed",(AM266+AL266)/2*IF($C17=TRUE,(1-'Get Started  3'!$E10),1)*AM14,0)</f>
        <v>0</v>
      </c>
      <c r="AN267" s="88">
        <f>IF(AN15&lt;&gt;"committed",(AN266+AM266)/2*IF($C17=TRUE,(1-'Get Started  3'!$E10),1)*AN14,0)</f>
        <v>0</v>
      </c>
      <c r="AO267" s="88">
        <f>IF(AO15&lt;&gt;"committed",(AO266+AN266)/2*IF($C17=TRUE,(1-'Get Started  3'!$E10),1)*AO14,0)</f>
        <v>0</v>
      </c>
      <c r="AP267" s="88">
        <f>IF(AP15&lt;&gt;"committed",(AP266+AO266)/2*IF($C17=TRUE,(1-'Get Started  3'!$E10),1)*AP14,0)</f>
        <v>0</v>
      </c>
      <c r="AQ267" s="88">
        <f>IF(AQ15&lt;&gt;"committed",(AQ266+AP266)/2*IF($C17=TRUE,(1-'Get Started  3'!$E10),1)*AQ14,0)</f>
        <v>0</v>
      </c>
      <c r="AR267" s="88">
        <f>IF(AR15&lt;&gt;"committed",(AR266+AQ266)/2*IF($C17=TRUE,(1-'Get Started  3'!$E10),1)*AR14,0)</f>
        <v>0</v>
      </c>
      <c r="AS267" s="88">
        <f>IF(AS15&lt;&gt;"committed",(AS266+AR266)/2*IF($C17=TRUE,(1-'Get Started  3'!$E10),1)*AS14,0)</f>
        <v>0</v>
      </c>
      <c r="AT267" s="88">
        <f>IF(AT15&lt;&gt;"committed",(AT266+AS266)/2*IF($C17=TRUE,(1-'Get Started  3'!$E10),1)*AT14,0)</f>
        <v>0</v>
      </c>
      <c r="AU267" s="88">
        <f>IF(AU15&lt;&gt;"committed",(AU266+AT266)/2*IF($C17=TRUE,(1-'Get Started  3'!$E10),1)*AU14,0)</f>
        <v>0</v>
      </c>
      <c r="AV267" s="88">
        <f>IF(AV15&lt;&gt;"committed",(AV266+AU266)/2*IF($C17=TRUE,(1-'Get Started  3'!$E10),1)*AV14,0)</f>
        <v>0</v>
      </c>
      <c r="AW267" s="88">
        <f>IF(AW15&lt;&gt;"committed",(AW266+AV266)/2*IF($C17=TRUE,(1-'Get Started  3'!$E10),1)*AW14,0)</f>
        <v>0</v>
      </c>
      <c r="AX267" s="88">
        <f>IF(AX15&lt;&gt;"committed",(AX266+AW266)/2*IF($C17=TRUE,(1-'Get Started  3'!$E10),1)*AX14,0)</f>
        <v>0</v>
      </c>
      <c r="AY267" s="88">
        <f>IF(AY15&lt;&gt;"committed",(AY266+AX266)/2*IF($C17=TRUE,(1-'Get Started  3'!$E10),1)*AY14,0)</f>
        <v>0</v>
      </c>
      <c r="AZ267" s="88">
        <f>IF(AZ15&lt;&gt;"committed",(AZ266+AY266)/2*IF($C17=TRUE,(1-'Get Started  3'!$E10),1)*AZ14,0)</f>
        <v>0</v>
      </c>
      <c r="BA267" s="88">
        <f>IF(BA15&lt;&gt;"committed",(BA266+AZ266)/2*IF($C17=TRUE,(1-'Get Started  3'!$E10),1)*BA14,0)</f>
        <v>0</v>
      </c>
      <c r="BB267" s="88">
        <f>IF(BB15&lt;&gt;"committed",(BB266+BA266)/2*IF($C17=TRUE,(1-'Get Started  3'!$E10),1)*BB14,0)</f>
        <v>0</v>
      </c>
      <c r="BC267" s="88">
        <f>IF(BC15&lt;&gt;"committed",(BC266+BB266)/2*IF($C17=TRUE,(1-'Get Started  3'!$E10),1)*BC14,0)</f>
        <v>0</v>
      </c>
      <c r="BD267" s="88">
        <f>IF(BD15&lt;&gt;"committed",(BD266+BC266)/2*IF($C17=TRUE,(1-'Get Started  3'!$E10),1)*BD14,0)</f>
        <v>0</v>
      </c>
      <c r="BE267" s="88">
        <f>IF(BE15&lt;&gt;"committed",(BE266+BD266)/2*IF($C17=TRUE,(1-'Get Started  3'!$E10),1)*BE14,0)</f>
        <v>0</v>
      </c>
      <c r="BF267" s="88">
        <f>IF(BF15&lt;&gt;"committed",(BF266+BE266)/2*IF($C17=TRUE,(1-'Get Started  3'!$E10),1)*BF14,0)</f>
        <v>0</v>
      </c>
      <c r="BG267" s="88">
        <f>IF(BG15&lt;&gt;"committed",(BG266+BF266)/2*IF($C17=TRUE,(1-'Get Started  3'!$E10),1)*BG14,0)</f>
        <v>0</v>
      </c>
      <c r="BH267" s="88">
        <f>IF(BH15&lt;&gt;"committed",(BH266+BG266)/2*IF($C17=TRUE,(1-'Get Started  3'!$E10),1)*BH14,0)</f>
        <v>0</v>
      </c>
      <c r="BI267" s="88">
        <f>IF(BI15&lt;&gt;"committed",(BI266+BH266)/2*IF($C17=TRUE,(1-'Get Started  3'!$E10),1)*BI14,0)</f>
        <v>0</v>
      </c>
      <c r="BJ267" s="88">
        <f>IF(BJ15&lt;&gt;"committed",(BJ266+BI266)/2*IF($C17=TRUE,(1-'Get Started  3'!$E10),1)*BJ14,0)</f>
        <v>0</v>
      </c>
      <c r="BK267" s="88">
        <f>IF(BK15&lt;&gt;"committed",(BK266+BJ266)/2*IF($C17=TRUE,(1-'Get Started  3'!$E10),1)*BK14,0)</f>
        <v>0</v>
      </c>
      <c r="BL267" s="88">
        <f>IF(BL15&lt;&gt;"committed",(BL266+BK266)/2*IF($C17=TRUE,(1-'Get Started  3'!$E10),1)*BL14,0)</f>
        <v>0</v>
      </c>
      <c r="BM267" s="88">
        <f>IF(BM15&lt;&gt;"committed",(BM266+BL266)/2*IF($C17=TRUE,(1-'Get Started  3'!$E10),1)*BM14,0)</f>
        <v>0</v>
      </c>
      <c r="BN267" s="88">
        <f>IF(BN15&lt;&gt;"committed",(BN266+BM266)/2*IF($C17=TRUE,(1-'Get Started  3'!$E10),1)*BN14,0)</f>
        <v>0</v>
      </c>
      <c r="BO267" s="88">
        <f>IF(BO15&lt;&gt;"committed",(BO266+BN266)/2*IF($C17=TRUE,(1-'Get Started  3'!$E10),1)*BO14,0)</f>
        <v>0</v>
      </c>
      <c r="BP267" s="88">
        <f>IF(BP15&lt;&gt;"committed",(BP266+BO266)/2*IF($C17=TRUE,(1-'Get Started  3'!$E10),1)*BP14,0)</f>
        <v>0</v>
      </c>
      <c r="BQ267" s="88">
        <f>IF(BQ15&lt;&gt;"committed",(BQ266+BP266)/2*IF($C17=TRUE,(1-'Get Started  3'!$E10),1)*BQ14,0)</f>
        <v>0</v>
      </c>
      <c r="BR267" s="88">
        <f>IF(BR15&lt;&gt;"committed",(BR266+BQ266)/2*IF($C17=TRUE,(1-'Get Started  3'!$E10),1)*BR14,0)</f>
        <v>0</v>
      </c>
      <c r="BS267" s="88">
        <f>IF(BS15&lt;&gt;"committed",(BS266+BR266)/2*IF($C17=TRUE,(1-'Get Started  3'!$E10),1)*BS14,0)</f>
        <v>0</v>
      </c>
      <c r="BT267" s="88">
        <f>IF(BT15&lt;&gt;"committed",(BT266+BS266)/2*IF($C17=TRUE,(1-'Get Started  3'!$E10),1)*BT14,0)</f>
        <v>0</v>
      </c>
      <c r="BU267" s="88">
        <f>IF(BU15&lt;&gt;"committed",(BU266+BT266)/2*IF($C17=TRUE,(1-'Get Started  3'!$E10),1)*BU14,0)</f>
        <v>0</v>
      </c>
      <c r="BV267" s="88">
        <f>IF(BV15&lt;&gt;"committed",(BV266+BU266)/2*IF($C17=TRUE,(1-'Get Started  3'!$E10),1)*BV14,0)</f>
        <v>0</v>
      </c>
      <c r="BW267" s="88">
        <f>IF(BW15&lt;&gt;"committed",(BW266+BV266)/2*IF($C17=TRUE,(1-'Get Started  3'!$E10),1)*BW14,0)</f>
        <v>0</v>
      </c>
      <c r="BX267" s="88">
        <f>IF(BX15&lt;&gt;"committed",(BX266+BW266)/2*IF($C17=TRUE,(1-'Get Started  3'!$E10),1)*BX14,0)</f>
        <v>0</v>
      </c>
      <c r="BY267" s="88">
        <f>IF(BY15&lt;&gt;"committed",(BY266+BX266)/2*IF($C17=TRUE,(1-'Get Started  3'!$E10),1)*BY14,0)</f>
        <v>0</v>
      </c>
      <c r="BZ267" s="88">
        <f>IF(BZ15&lt;&gt;"committed",(BZ266+BY266)/2*IF($C17=TRUE,(1-'Get Started  3'!$E10),1)*BZ14,0)</f>
        <v>0</v>
      </c>
      <c r="CA267" s="88">
        <f>IF(CA15&lt;&gt;"committed",(CA266+BZ266)/2*IF($C17=TRUE,(1-'Get Started  3'!$E10),1)*CA14,0)</f>
        <v>0</v>
      </c>
      <c r="CB267" s="88">
        <f>IF(CB15&lt;&gt;"committed",(CB266+CA266)/2*IF($C17=TRUE,(1-'Get Started  3'!$E10),1)*CB14,0)</f>
        <v>0</v>
      </c>
      <c r="CC267" s="88">
        <f>IF(CC15&lt;&gt;"committed",(CC266+CB266)/2*IF($C17=TRUE,(1-'Get Started  3'!$E10),1)*CC14,0)</f>
        <v>0</v>
      </c>
      <c r="CD267" s="88">
        <f>IF(CD15&lt;&gt;"committed",(CD266+CC266)/2*IF($C17=TRUE,(1-'Get Started  3'!$E10),1)*CD14,0)</f>
        <v>0</v>
      </c>
      <c r="CE267" s="88">
        <f>IF(CE15&lt;&gt;"committed",(CE266+CD266)/2*IF($C17=TRUE,(1-'Get Started  3'!$E10),1)*CE14,0)</f>
        <v>0</v>
      </c>
      <c r="CF267" s="88">
        <f>IF(CF15&lt;&gt;"committed",(CF266+CE266)/2*IF($C17=TRUE,(1-'Get Started  3'!$E10),1)*CF14,0)</f>
        <v>0</v>
      </c>
      <c r="CG267" s="88">
        <f>IF(CG15&lt;&gt;"committed",(CG266+CF266)/2*IF($C17=TRUE,(1-'Get Started  3'!$E10),1)*CG14,0)</f>
        <v>0</v>
      </c>
      <c r="CH267" s="88">
        <f>IF(CH15&lt;&gt;"committed",(CH266+CG266)/2*IF($C17=TRUE,(1-'Get Started  3'!$E10),1)*CH14,0)</f>
        <v>0</v>
      </c>
    </row>
    <row r="268" spans="1:86" ht="13" outlineLevel="1">
      <c r="B268" s="15"/>
      <c r="C268" s="15"/>
      <c r="D268" s="15"/>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c r="CF268" s="29"/>
      <c r="CG268" s="29"/>
      <c r="CH268" s="29"/>
    </row>
    <row r="269" spans="1:86" ht="13">
      <c r="B269" s="15"/>
      <c r="C269" s="15"/>
      <c r="D269" s="15"/>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row>
  </sheetData>
  <dataValidations count="4">
    <dataValidation type="list" allowBlank="1" sqref="D93" xr:uid="{00000000-0002-0000-0600-000000000000}">
      <formula1>"sum,final,initial,average,max"</formula1>
    </dataValidation>
    <dataValidation type="list" allowBlank="1" sqref="D8:D11 D14:D20 D22:D28 D30:D87 D89:D92 D95:D185 D188:D194 D197:D201 D204:D210 D215:D243 D246:D267" xr:uid="{00000000-0002-0000-0600-000001000000}">
      <formula1>"sum,final,initial,average"</formula1>
    </dataValidation>
    <dataValidation type="list" allowBlank="1" showInputMessage="1" showErrorMessage="1" prompt="You can change the method used to calculate management fees per year. Note, if you choose &quot;called&quot; or &quot;assets under management&quot; (specifically, current invested capital), that creates a circular reference given the nature of how those fees are calculated (" sqref="G15:CH15" xr:uid="{00000000-0002-0000-0600-000002000000}">
      <formula1>"committed,called,assets under management"</formula1>
    </dataValidation>
    <dataValidation type="list" allowBlank="1" sqref="C187" xr:uid="{00000000-0002-0000-0600-000003000000}">
      <formula1>"Total Fund (European),Deal-by-deal with clawback (American),Deal-by-deal no clawback (SPVs)"</formula1>
    </dataValidation>
  </dataValidations>
  <hyperlinks>
    <hyperlink ref="C9"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N32"/>
  <sheetViews>
    <sheetView showGridLines="0" workbookViewId="0"/>
  </sheetViews>
  <sheetFormatPr baseColWidth="10" defaultColWidth="12.6640625" defaultRowHeight="15.75" customHeight="1"/>
  <cols>
    <col min="1" max="1" width="5.6640625" customWidth="1"/>
  </cols>
  <sheetData>
    <row r="2" spans="2:12">
      <c r="B2" s="2" t="s">
        <v>344</v>
      </c>
    </row>
    <row r="3" spans="2:12" ht="15.75" customHeight="1">
      <c r="B3" s="20" t="s">
        <v>345</v>
      </c>
    </row>
    <row r="5" spans="2:12">
      <c r="B5" s="92" t="s">
        <v>346</v>
      </c>
      <c r="G5" s="92" t="s">
        <v>347</v>
      </c>
      <c r="L5" s="92" t="s">
        <v>348</v>
      </c>
    </row>
    <row r="6" spans="2:12" ht="15.75" customHeight="1">
      <c r="B6" s="20" t="s">
        <v>349</v>
      </c>
      <c r="G6" s="20" t="s">
        <v>350</v>
      </c>
      <c r="L6" s="20" t="s">
        <v>351</v>
      </c>
    </row>
    <row r="23" spans="2:14" ht="15.75" customHeight="1">
      <c r="B23" s="68" t="s">
        <v>222</v>
      </c>
      <c r="D23" s="93">
        <f ca="1">'Get Started  2'!E127</f>
        <v>4.7145000000000001</v>
      </c>
      <c r="G23" s="68" t="str">
        <f t="shared" ref="G23:G26" si="0">B23</f>
        <v>Gross Multiple</v>
      </c>
      <c r="I23" s="93">
        <f ca="1">'Get Started'!E127</f>
        <v>6.6779999999999999</v>
      </c>
      <c r="L23" s="68" t="str">
        <f t="shared" ref="L23:L26" si="1">B23</f>
        <v>Gross Multiple</v>
      </c>
      <c r="N23" s="93">
        <f ca="1">'Get Started  3'!E127</f>
        <v>11.55</v>
      </c>
    </row>
    <row r="24" spans="2:14" ht="15.75" customHeight="1">
      <c r="B24" s="68" t="s">
        <v>224</v>
      </c>
      <c r="D24" s="93">
        <f ca="1">'Get Started  2'!E128</f>
        <v>3.2280724833333307</v>
      </c>
      <c r="G24" s="68" t="str">
        <f t="shared" si="0"/>
        <v>Net Multiple</v>
      </c>
      <c r="I24" s="93">
        <f ca="1">'Get Started'!E128</f>
        <v>4.4885304000000001</v>
      </c>
      <c r="L24" s="68" t="str">
        <f t="shared" si="1"/>
        <v>Net Multiple</v>
      </c>
      <c r="N24" s="93">
        <f ca="1">'Get Started  3'!E128</f>
        <v>7.5855833333333322</v>
      </c>
    </row>
    <row r="25" spans="2:14" ht="15.75" customHeight="1">
      <c r="B25" s="68" t="s">
        <v>226</v>
      </c>
      <c r="D25" s="77">
        <f ca="1">'Get Started  2'!E129</f>
        <v>0.45309876799583437</v>
      </c>
      <c r="G25" s="68" t="str">
        <f t="shared" si="0"/>
        <v>Gross IRR</v>
      </c>
      <c r="I25" s="77">
        <f ca="1">'Get Started'!E129</f>
        <v>0.5008816540241241</v>
      </c>
      <c r="L25" s="68" t="str">
        <f t="shared" si="1"/>
        <v>Gross IRR</v>
      </c>
      <c r="N25" s="77">
        <f ca="1">'Get Started  3'!E129</f>
        <v>0.586562043428421</v>
      </c>
    </row>
    <row r="26" spans="2:14" ht="15.75" customHeight="1">
      <c r="B26" s="68" t="s">
        <v>228</v>
      </c>
      <c r="D26" s="77">
        <f ca="1">'Get Started  2'!E130</f>
        <v>0.35571061968803408</v>
      </c>
      <c r="G26" s="68" t="str">
        <f t="shared" si="0"/>
        <v>Net IRR</v>
      </c>
      <c r="I26" s="77">
        <f ca="1">'Get Started'!E130</f>
        <v>0.4071087181568146</v>
      </c>
      <c r="L26" s="68" t="str">
        <f t="shared" si="1"/>
        <v>Net IRR</v>
      </c>
      <c r="N26" s="77">
        <f ca="1">'Get Started  3'!E130</f>
        <v>0.49478165507316596</v>
      </c>
    </row>
    <row r="28" spans="2:14" ht="15.75" customHeight="1">
      <c r="B28" s="15" t="s">
        <v>352</v>
      </c>
      <c r="D28" s="67">
        <v>-0.5</v>
      </c>
      <c r="L28" s="15" t="s">
        <v>352</v>
      </c>
      <c r="N28" s="67">
        <v>1</v>
      </c>
    </row>
    <row r="29" spans="2:14" ht="15.75" customHeight="1">
      <c r="B29" s="15" t="s">
        <v>353</v>
      </c>
      <c r="D29" s="67">
        <v>-0.25</v>
      </c>
      <c r="L29" s="15" t="s">
        <v>353</v>
      </c>
      <c r="N29" s="67">
        <v>0.25</v>
      </c>
    </row>
    <row r="31" spans="2:14" ht="15.75" customHeight="1">
      <c r="B31" s="15" t="s">
        <v>354</v>
      </c>
    </row>
    <row r="32" spans="2:14" ht="15.75" customHeight="1">
      <c r="B32" s="15" t="s">
        <v>355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showGridLines="0" workbookViewId="0"/>
  </sheetViews>
  <sheetFormatPr baseColWidth="10" defaultColWidth="12.6640625" defaultRowHeight="15.75" customHeight="1"/>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H269"/>
  <sheetViews>
    <sheetView showGridLines="0" workbookViewId="0">
      <selection activeCell="B2" sqref="B2"/>
    </sheetView>
  </sheetViews>
  <sheetFormatPr baseColWidth="10" defaultColWidth="12.6640625" defaultRowHeight="15.75" customHeight="1" outlineLevelRow="1"/>
  <cols>
    <col min="1" max="1" width="4.33203125" customWidth="1"/>
    <col min="2" max="2" width="27" customWidth="1"/>
    <col min="3" max="3" width="12.5" customWidth="1"/>
    <col min="4" max="4" width="10.33203125" customWidth="1"/>
    <col min="5" max="5" width="13.5" customWidth="1"/>
    <col min="6" max="6" width="5.1640625" customWidth="1"/>
  </cols>
  <sheetData>
    <row r="1" spans="1:86" ht="13">
      <c r="A1" s="1"/>
      <c r="B1" s="68"/>
    </row>
    <row r="2" spans="1:86" ht="18">
      <c r="B2" s="2" t="s">
        <v>233</v>
      </c>
    </row>
    <row r="4" spans="1:86" ht="13">
      <c r="A4" s="15"/>
      <c r="B4" s="22" t="s">
        <v>234</v>
      </c>
      <c r="C4" s="69"/>
      <c r="D4" s="70"/>
      <c r="E4" s="70"/>
      <c r="F4" s="71"/>
      <c r="G4" s="72">
        <f>1</f>
        <v>1</v>
      </c>
      <c r="H4" s="72">
        <f t="shared" ref="H4:CH4" si="0">G4+1</f>
        <v>2</v>
      </c>
      <c r="I4" s="72">
        <f t="shared" si="0"/>
        <v>3</v>
      </c>
      <c r="J4" s="72">
        <f t="shared" si="0"/>
        <v>4</v>
      </c>
      <c r="K4" s="72">
        <f t="shared" si="0"/>
        <v>5</v>
      </c>
      <c r="L4" s="72">
        <f t="shared" si="0"/>
        <v>6</v>
      </c>
      <c r="M4" s="72">
        <f t="shared" si="0"/>
        <v>7</v>
      </c>
      <c r="N4" s="72">
        <f t="shared" si="0"/>
        <v>8</v>
      </c>
      <c r="O4" s="72">
        <f t="shared" si="0"/>
        <v>9</v>
      </c>
      <c r="P4" s="72">
        <f t="shared" si="0"/>
        <v>10</v>
      </c>
      <c r="Q4" s="72">
        <f t="shared" si="0"/>
        <v>11</v>
      </c>
      <c r="R4" s="72">
        <f t="shared" si="0"/>
        <v>12</v>
      </c>
      <c r="S4" s="72">
        <f t="shared" si="0"/>
        <v>13</v>
      </c>
      <c r="T4" s="72">
        <f t="shared" si="0"/>
        <v>14</v>
      </c>
      <c r="U4" s="72">
        <f t="shared" si="0"/>
        <v>15</v>
      </c>
      <c r="V4" s="72">
        <f t="shared" si="0"/>
        <v>16</v>
      </c>
      <c r="W4" s="72">
        <f t="shared" si="0"/>
        <v>17</v>
      </c>
      <c r="X4" s="72">
        <f t="shared" si="0"/>
        <v>18</v>
      </c>
      <c r="Y4" s="72">
        <f t="shared" si="0"/>
        <v>19</v>
      </c>
      <c r="Z4" s="72">
        <f t="shared" si="0"/>
        <v>20</v>
      </c>
      <c r="AA4" s="72">
        <f t="shared" si="0"/>
        <v>21</v>
      </c>
      <c r="AB4" s="72">
        <f t="shared" si="0"/>
        <v>22</v>
      </c>
      <c r="AC4" s="72">
        <f t="shared" si="0"/>
        <v>23</v>
      </c>
      <c r="AD4" s="72">
        <f t="shared" si="0"/>
        <v>24</v>
      </c>
      <c r="AE4" s="72">
        <f t="shared" si="0"/>
        <v>25</v>
      </c>
      <c r="AF4" s="72">
        <f t="shared" si="0"/>
        <v>26</v>
      </c>
      <c r="AG4" s="72">
        <f t="shared" si="0"/>
        <v>27</v>
      </c>
      <c r="AH4" s="72">
        <f t="shared" si="0"/>
        <v>28</v>
      </c>
      <c r="AI4" s="72">
        <f t="shared" si="0"/>
        <v>29</v>
      </c>
      <c r="AJ4" s="72">
        <f t="shared" si="0"/>
        <v>30</v>
      </c>
      <c r="AK4" s="72">
        <f t="shared" si="0"/>
        <v>31</v>
      </c>
      <c r="AL4" s="72">
        <f t="shared" si="0"/>
        <v>32</v>
      </c>
      <c r="AM4" s="72">
        <f t="shared" si="0"/>
        <v>33</v>
      </c>
      <c r="AN4" s="72">
        <f t="shared" si="0"/>
        <v>34</v>
      </c>
      <c r="AO4" s="72">
        <f t="shared" si="0"/>
        <v>35</v>
      </c>
      <c r="AP4" s="72">
        <f t="shared" si="0"/>
        <v>36</v>
      </c>
      <c r="AQ4" s="72">
        <f t="shared" si="0"/>
        <v>37</v>
      </c>
      <c r="AR4" s="72">
        <f t="shared" si="0"/>
        <v>38</v>
      </c>
      <c r="AS4" s="72">
        <f t="shared" si="0"/>
        <v>39</v>
      </c>
      <c r="AT4" s="72">
        <f t="shared" si="0"/>
        <v>40</v>
      </c>
      <c r="AU4" s="72">
        <f t="shared" si="0"/>
        <v>41</v>
      </c>
      <c r="AV4" s="72">
        <f t="shared" si="0"/>
        <v>42</v>
      </c>
      <c r="AW4" s="72">
        <f t="shared" si="0"/>
        <v>43</v>
      </c>
      <c r="AX4" s="72">
        <f t="shared" si="0"/>
        <v>44</v>
      </c>
      <c r="AY4" s="72">
        <f t="shared" si="0"/>
        <v>45</v>
      </c>
      <c r="AZ4" s="72">
        <f t="shared" si="0"/>
        <v>46</v>
      </c>
      <c r="BA4" s="72">
        <f t="shared" si="0"/>
        <v>47</v>
      </c>
      <c r="BB4" s="72">
        <f t="shared" si="0"/>
        <v>48</v>
      </c>
      <c r="BC4" s="72">
        <f t="shared" si="0"/>
        <v>49</v>
      </c>
      <c r="BD4" s="72">
        <f t="shared" si="0"/>
        <v>50</v>
      </c>
      <c r="BE4" s="72">
        <f t="shared" si="0"/>
        <v>51</v>
      </c>
      <c r="BF4" s="72">
        <f t="shared" si="0"/>
        <v>52</v>
      </c>
      <c r="BG4" s="72">
        <f t="shared" si="0"/>
        <v>53</v>
      </c>
      <c r="BH4" s="72">
        <f t="shared" si="0"/>
        <v>54</v>
      </c>
      <c r="BI4" s="72">
        <f t="shared" si="0"/>
        <v>55</v>
      </c>
      <c r="BJ4" s="72">
        <f t="shared" si="0"/>
        <v>56</v>
      </c>
      <c r="BK4" s="72">
        <f t="shared" si="0"/>
        <v>57</v>
      </c>
      <c r="BL4" s="72">
        <f t="shared" si="0"/>
        <v>58</v>
      </c>
      <c r="BM4" s="72">
        <f t="shared" si="0"/>
        <v>59</v>
      </c>
      <c r="BN4" s="72">
        <f t="shared" si="0"/>
        <v>60</v>
      </c>
      <c r="BO4" s="72">
        <f t="shared" si="0"/>
        <v>61</v>
      </c>
      <c r="BP4" s="72">
        <f t="shared" si="0"/>
        <v>62</v>
      </c>
      <c r="BQ4" s="72">
        <f t="shared" si="0"/>
        <v>63</v>
      </c>
      <c r="BR4" s="72">
        <f t="shared" si="0"/>
        <v>64</v>
      </c>
      <c r="BS4" s="72">
        <f t="shared" si="0"/>
        <v>65</v>
      </c>
      <c r="BT4" s="72">
        <f t="shared" si="0"/>
        <v>66</v>
      </c>
      <c r="BU4" s="72">
        <f t="shared" si="0"/>
        <v>67</v>
      </c>
      <c r="BV4" s="72">
        <f t="shared" si="0"/>
        <v>68</v>
      </c>
      <c r="BW4" s="72">
        <f t="shared" si="0"/>
        <v>69</v>
      </c>
      <c r="BX4" s="72">
        <f t="shared" si="0"/>
        <v>70</v>
      </c>
      <c r="BY4" s="72">
        <f t="shared" si="0"/>
        <v>71</v>
      </c>
      <c r="BZ4" s="72">
        <f t="shared" si="0"/>
        <v>72</v>
      </c>
      <c r="CA4" s="72">
        <f t="shared" si="0"/>
        <v>73</v>
      </c>
      <c r="CB4" s="72">
        <f t="shared" si="0"/>
        <v>74</v>
      </c>
      <c r="CC4" s="72">
        <f t="shared" si="0"/>
        <v>75</v>
      </c>
      <c r="CD4" s="72">
        <f t="shared" si="0"/>
        <v>76</v>
      </c>
      <c r="CE4" s="72">
        <f t="shared" si="0"/>
        <v>77</v>
      </c>
      <c r="CF4" s="72">
        <f t="shared" si="0"/>
        <v>78</v>
      </c>
      <c r="CG4" s="72">
        <f t="shared" si="0"/>
        <v>79</v>
      </c>
      <c r="CH4" s="72">
        <f t="shared" si="0"/>
        <v>80</v>
      </c>
    </row>
    <row r="5" spans="1:86" ht="13">
      <c r="B5" s="15" t="s">
        <v>235</v>
      </c>
      <c r="C5" s="15"/>
      <c r="F5" s="73"/>
      <c r="G5" s="74">
        <f ca="1">DATE(YEAR(TODAY()),12,31)</f>
        <v>46022</v>
      </c>
      <c r="H5" s="75">
        <f t="shared" ref="H5:CH5" ca="1" si="1">EOMONTH(EDATE(G5,3),0)</f>
        <v>46112</v>
      </c>
      <c r="I5" s="75">
        <f t="shared" ca="1" si="1"/>
        <v>46203</v>
      </c>
      <c r="J5" s="75">
        <f t="shared" ca="1" si="1"/>
        <v>46295</v>
      </c>
      <c r="K5" s="75">
        <f t="shared" ca="1" si="1"/>
        <v>46387</v>
      </c>
      <c r="L5" s="75">
        <f t="shared" ca="1" si="1"/>
        <v>46477</v>
      </c>
      <c r="M5" s="75">
        <f t="shared" ca="1" si="1"/>
        <v>46568</v>
      </c>
      <c r="N5" s="75">
        <f t="shared" ca="1" si="1"/>
        <v>46660</v>
      </c>
      <c r="O5" s="75">
        <f t="shared" ca="1" si="1"/>
        <v>46752</v>
      </c>
      <c r="P5" s="75">
        <f t="shared" ca="1" si="1"/>
        <v>46843</v>
      </c>
      <c r="Q5" s="75">
        <f t="shared" ca="1" si="1"/>
        <v>46934</v>
      </c>
      <c r="R5" s="75">
        <f t="shared" ca="1" si="1"/>
        <v>47026</v>
      </c>
      <c r="S5" s="75">
        <f t="shared" ca="1" si="1"/>
        <v>47118</v>
      </c>
      <c r="T5" s="75">
        <f t="shared" ca="1" si="1"/>
        <v>47208</v>
      </c>
      <c r="U5" s="75">
        <f t="shared" ca="1" si="1"/>
        <v>47299</v>
      </c>
      <c r="V5" s="75">
        <f t="shared" ca="1" si="1"/>
        <v>47391</v>
      </c>
      <c r="W5" s="75">
        <f t="shared" ca="1" si="1"/>
        <v>47483</v>
      </c>
      <c r="X5" s="75">
        <f t="shared" ca="1" si="1"/>
        <v>47573</v>
      </c>
      <c r="Y5" s="75">
        <f t="shared" ca="1" si="1"/>
        <v>47664</v>
      </c>
      <c r="Z5" s="75">
        <f t="shared" ca="1" si="1"/>
        <v>47756</v>
      </c>
      <c r="AA5" s="75">
        <f t="shared" ca="1" si="1"/>
        <v>47848</v>
      </c>
      <c r="AB5" s="75">
        <f t="shared" ca="1" si="1"/>
        <v>47938</v>
      </c>
      <c r="AC5" s="75">
        <f t="shared" ca="1" si="1"/>
        <v>48029</v>
      </c>
      <c r="AD5" s="75">
        <f t="shared" ca="1" si="1"/>
        <v>48121</v>
      </c>
      <c r="AE5" s="75">
        <f t="shared" ca="1" si="1"/>
        <v>48213</v>
      </c>
      <c r="AF5" s="75">
        <f t="shared" ca="1" si="1"/>
        <v>48304</v>
      </c>
      <c r="AG5" s="75">
        <f t="shared" ca="1" si="1"/>
        <v>48395</v>
      </c>
      <c r="AH5" s="75">
        <f t="shared" ca="1" si="1"/>
        <v>48487</v>
      </c>
      <c r="AI5" s="75">
        <f t="shared" ca="1" si="1"/>
        <v>48579</v>
      </c>
      <c r="AJ5" s="75">
        <f t="shared" ca="1" si="1"/>
        <v>48669</v>
      </c>
      <c r="AK5" s="75">
        <f t="shared" ca="1" si="1"/>
        <v>48760</v>
      </c>
      <c r="AL5" s="75">
        <f t="shared" ca="1" si="1"/>
        <v>48852</v>
      </c>
      <c r="AM5" s="75">
        <f t="shared" ca="1" si="1"/>
        <v>48944</v>
      </c>
      <c r="AN5" s="75">
        <f t="shared" ca="1" si="1"/>
        <v>49034</v>
      </c>
      <c r="AO5" s="75">
        <f t="shared" ca="1" si="1"/>
        <v>49125</v>
      </c>
      <c r="AP5" s="75">
        <f t="shared" ca="1" si="1"/>
        <v>49217</v>
      </c>
      <c r="AQ5" s="75">
        <f t="shared" ca="1" si="1"/>
        <v>49309</v>
      </c>
      <c r="AR5" s="75">
        <f t="shared" ca="1" si="1"/>
        <v>49399</v>
      </c>
      <c r="AS5" s="75">
        <f t="shared" ca="1" si="1"/>
        <v>49490</v>
      </c>
      <c r="AT5" s="75">
        <f t="shared" ca="1" si="1"/>
        <v>49582</v>
      </c>
      <c r="AU5" s="75">
        <f t="shared" ca="1" si="1"/>
        <v>49674</v>
      </c>
      <c r="AV5" s="75">
        <f t="shared" ca="1" si="1"/>
        <v>49765</v>
      </c>
      <c r="AW5" s="75">
        <f t="shared" ca="1" si="1"/>
        <v>49856</v>
      </c>
      <c r="AX5" s="75">
        <f t="shared" ca="1" si="1"/>
        <v>49948</v>
      </c>
      <c r="AY5" s="75">
        <f t="shared" ca="1" si="1"/>
        <v>50040</v>
      </c>
      <c r="AZ5" s="75">
        <f t="shared" ca="1" si="1"/>
        <v>50130</v>
      </c>
      <c r="BA5" s="75">
        <f t="shared" ca="1" si="1"/>
        <v>50221</v>
      </c>
      <c r="BB5" s="75">
        <f t="shared" ca="1" si="1"/>
        <v>50313</v>
      </c>
      <c r="BC5" s="75">
        <f t="shared" ca="1" si="1"/>
        <v>50405</v>
      </c>
      <c r="BD5" s="75">
        <f t="shared" ca="1" si="1"/>
        <v>50495</v>
      </c>
      <c r="BE5" s="75">
        <f t="shared" ca="1" si="1"/>
        <v>50586</v>
      </c>
      <c r="BF5" s="75">
        <f t="shared" ca="1" si="1"/>
        <v>50678</v>
      </c>
      <c r="BG5" s="75">
        <f t="shared" ca="1" si="1"/>
        <v>50770</v>
      </c>
      <c r="BH5" s="75">
        <f t="shared" ca="1" si="1"/>
        <v>50860</v>
      </c>
      <c r="BI5" s="75">
        <f t="shared" ca="1" si="1"/>
        <v>50951</v>
      </c>
      <c r="BJ5" s="75">
        <f t="shared" ca="1" si="1"/>
        <v>51043</v>
      </c>
      <c r="BK5" s="75">
        <f t="shared" ca="1" si="1"/>
        <v>51135</v>
      </c>
      <c r="BL5" s="75">
        <f t="shared" ca="1" si="1"/>
        <v>51226</v>
      </c>
      <c r="BM5" s="75">
        <f t="shared" ca="1" si="1"/>
        <v>51317</v>
      </c>
      <c r="BN5" s="75">
        <f t="shared" ca="1" si="1"/>
        <v>51409</v>
      </c>
      <c r="BO5" s="75">
        <f t="shared" ca="1" si="1"/>
        <v>51501</v>
      </c>
      <c r="BP5" s="75">
        <f t="shared" ca="1" si="1"/>
        <v>51591</v>
      </c>
      <c r="BQ5" s="75">
        <f t="shared" ca="1" si="1"/>
        <v>51682</v>
      </c>
      <c r="BR5" s="75">
        <f t="shared" ca="1" si="1"/>
        <v>51774</v>
      </c>
      <c r="BS5" s="75">
        <f t="shared" ca="1" si="1"/>
        <v>51866</v>
      </c>
      <c r="BT5" s="75">
        <f t="shared" ca="1" si="1"/>
        <v>51956</v>
      </c>
      <c r="BU5" s="75">
        <f t="shared" ca="1" si="1"/>
        <v>52047</v>
      </c>
      <c r="BV5" s="75">
        <f t="shared" ca="1" si="1"/>
        <v>52139</v>
      </c>
      <c r="BW5" s="75">
        <f t="shared" ca="1" si="1"/>
        <v>52231</v>
      </c>
      <c r="BX5" s="75">
        <f t="shared" ca="1" si="1"/>
        <v>52321</v>
      </c>
      <c r="BY5" s="75">
        <f t="shared" ca="1" si="1"/>
        <v>52412</v>
      </c>
      <c r="BZ5" s="75">
        <f t="shared" ca="1" si="1"/>
        <v>52504</v>
      </c>
      <c r="CA5" s="75">
        <f t="shared" ca="1" si="1"/>
        <v>52596</v>
      </c>
      <c r="CB5" s="75">
        <f t="shared" ca="1" si="1"/>
        <v>52687</v>
      </c>
      <c r="CC5" s="75">
        <f t="shared" ca="1" si="1"/>
        <v>52778</v>
      </c>
      <c r="CD5" s="75">
        <f t="shared" ca="1" si="1"/>
        <v>52870</v>
      </c>
      <c r="CE5" s="75">
        <f t="shared" ca="1" si="1"/>
        <v>52962</v>
      </c>
      <c r="CF5" s="75">
        <f t="shared" ca="1" si="1"/>
        <v>53052</v>
      </c>
      <c r="CG5" s="75">
        <f t="shared" ca="1" si="1"/>
        <v>53143</v>
      </c>
      <c r="CH5" s="75">
        <f t="shared" ca="1" si="1"/>
        <v>53235</v>
      </c>
    </row>
    <row r="6" spans="1:86" ht="13">
      <c r="B6" s="15"/>
      <c r="C6" s="15"/>
      <c r="D6" s="15"/>
      <c r="E6" s="15"/>
      <c r="F6" s="73"/>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row>
    <row r="7" spans="1:86" ht="13">
      <c r="B7" s="76" t="s">
        <v>236</v>
      </c>
      <c r="D7" s="15"/>
      <c r="E7" s="15"/>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row>
    <row r="8" spans="1:86" ht="13">
      <c r="B8" s="15" t="str">
        <f>'Get Started'!B15</f>
        <v>Active Investment time period (quarters)</v>
      </c>
      <c r="C8" s="15" t="s">
        <v>237</v>
      </c>
      <c r="D8" s="15" t="s">
        <v>238</v>
      </c>
      <c r="E8" s="29">
        <f t="shared" ref="E8:E10" si="2">IF(D8="sum",SUM(G8:CH8),IF(D8="final",CH8,IF(D8="initial",G8,IF(D8="average",AVERAGE(G8:CH8),0))))</f>
        <v>16</v>
      </c>
      <c r="F8" s="29"/>
      <c r="G8" s="29">
        <f>IF(G$4&lt;='Get Started'!$E15,1,0)</f>
        <v>1</v>
      </c>
      <c r="H8" s="29">
        <f>IF(H$4&lt;='Get Started'!$E15,1,0)</f>
        <v>1</v>
      </c>
      <c r="I8" s="29">
        <f>IF(I$4&lt;='Get Started'!$E15,1,0)</f>
        <v>1</v>
      </c>
      <c r="J8" s="29">
        <f>IF(J$4&lt;='Get Started'!$E15,1,0)</f>
        <v>1</v>
      </c>
      <c r="K8" s="29">
        <f>IF(K$4&lt;='Get Started'!$E15,1,0)</f>
        <v>1</v>
      </c>
      <c r="L8" s="29">
        <f>IF(L$4&lt;='Get Started'!$E15,1,0)</f>
        <v>1</v>
      </c>
      <c r="M8" s="29">
        <f>IF(M$4&lt;='Get Started'!$E15,1,0)</f>
        <v>1</v>
      </c>
      <c r="N8" s="29">
        <f>IF(N$4&lt;='Get Started'!$E15,1,0)</f>
        <v>1</v>
      </c>
      <c r="O8" s="29">
        <f>IF(O$4&lt;='Get Started'!$E15,1,0)</f>
        <v>1</v>
      </c>
      <c r="P8" s="29">
        <f>IF(P$4&lt;='Get Started'!$E15,1,0)</f>
        <v>1</v>
      </c>
      <c r="Q8" s="29">
        <f>IF(Q$4&lt;='Get Started'!$E15,1,0)</f>
        <v>1</v>
      </c>
      <c r="R8" s="29">
        <f>IF(R$4&lt;='Get Started'!$E15,1,0)</f>
        <v>1</v>
      </c>
      <c r="S8" s="29">
        <f>IF(S$4&lt;='Get Started'!$E15,1,0)</f>
        <v>1</v>
      </c>
      <c r="T8" s="29">
        <f>IF(T$4&lt;='Get Started'!$E15,1,0)</f>
        <v>1</v>
      </c>
      <c r="U8" s="29">
        <f>IF(U$4&lt;='Get Started'!$E15,1,0)</f>
        <v>1</v>
      </c>
      <c r="V8" s="29">
        <f>IF(V$4&lt;='Get Started'!$E15,1,0)</f>
        <v>1</v>
      </c>
      <c r="W8" s="29">
        <f>IF(W$4&lt;='Get Started'!$E15,1,0)</f>
        <v>0</v>
      </c>
      <c r="X8" s="29">
        <f>IF(X$4&lt;='Get Started'!$E15,1,0)</f>
        <v>0</v>
      </c>
      <c r="Y8" s="29">
        <f>IF(Y$4&lt;='Get Started'!$E15,1,0)</f>
        <v>0</v>
      </c>
      <c r="Z8" s="29">
        <f>IF(Z$4&lt;='Get Started'!$E15,1,0)</f>
        <v>0</v>
      </c>
      <c r="AA8" s="29">
        <f>IF(AA$4&lt;='Get Started'!$E15,1,0)</f>
        <v>0</v>
      </c>
      <c r="AB8" s="29">
        <f>IF(AB$4&lt;='Get Started'!$E15,1,0)</f>
        <v>0</v>
      </c>
      <c r="AC8" s="29">
        <f>IF(AC$4&lt;='Get Started'!$E15,1,0)</f>
        <v>0</v>
      </c>
      <c r="AD8" s="29">
        <f>IF(AD$4&lt;='Get Started'!$E15,1,0)</f>
        <v>0</v>
      </c>
      <c r="AE8" s="29">
        <f>IF(AE$4&lt;='Get Started'!$E15,1,0)</f>
        <v>0</v>
      </c>
      <c r="AF8" s="29">
        <f>IF(AF$4&lt;='Get Started'!$E15,1,0)</f>
        <v>0</v>
      </c>
      <c r="AG8" s="29">
        <f>IF(AG$4&lt;='Get Started'!$E15,1,0)</f>
        <v>0</v>
      </c>
      <c r="AH8" s="29">
        <f>IF(AH$4&lt;='Get Started'!$E15,1,0)</f>
        <v>0</v>
      </c>
      <c r="AI8" s="29">
        <f>IF(AI$4&lt;='Get Started'!$E15,1,0)</f>
        <v>0</v>
      </c>
      <c r="AJ8" s="29">
        <f>IF(AJ$4&lt;='Get Started'!$E15,1,0)</f>
        <v>0</v>
      </c>
      <c r="AK8" s="29">
        <f>IF(AK$4&lt;='Get Started'!$E15,1,0)</f>
        <v>0</v>
      </c>
      <c r="AL8" s="29">
        <f>IF(AL$4&lt;='Get Started'!$E15,1,0)</f>
        <v>0</v>
      </c>
      <c r="AM8" s="29">
        <f>IF(AM$4&lt;='Get Started'!$E15,1,0)</f>
        <v>0</v>
      </c>
      <c r="AN8" s="29">
        <f>IF(AN$4&lt;='Get Started'!$E15,1,0)</f>
        <v>0</v>
      </c>
      <c r="AO8" s="29">
        <f>IF(AO$4&lt;='Get Started'!$E15,1,0)</f>
        <v>0</v>
      </c>
      <c r="AP8" s="29">
        <f>IF(AP$4&lt;='Get Started'!$E15,1,0)</f>
        <v>0</v>
      </c>
      <c r="AQ8" s="29">
        <f>IF(AQ$4&lt;='Get Started'!$E15,1,0)</f>
        <v>0</v>
      </c>
      <c r="AR8" s="29">
        <f>IF(AR$4&lt;='Get Started'!$E15,1,0)</f>
        <v>0</v>
      </c>
      <c r="AS8" s="29">
        <f>IF(AS$4&lt;='Get Started'!$E15,1,0)</f>
        <v>0</v>
      </c>
      <c r="AT8" s="29">
        <f>IF(AT$4&lt;='Get Started'!$E15,1,0)</f>
        <v>0</v>
      </c>
      <c r="AU8" s="29">
        <f>IF(AU$4&lt;='Get Started'!$E15,1,0)</f>
        <v>0</v>
      </c>
      <c r="AV8" s="29">
        <f>IF(AV$4&lt;='Get Started'!$E15,1,0)</f>
        <v>0</v>
      </c>
      <c r="AW8" s="29">
        <f>IF(AW$4&lt;='Get Started'!$E15,1,0)</f>
        <v>0</v>
      </c>
      <c r="AX8" s="29">
        <f>IF(AX$4&lt;='Get Started'!$E15,1,0)</f>
        <v>0</v>
      </c>
      <c r="AY8" s="29">
        <f>IF(AY$4&lt;='Get Started'!$E15,1,0)</f>
        <v>0</v>
      </c>
      <c r="AZ8" s="29">
        <f>IF(AZ$4&lt;='Get Started'!$E15,1,0)</f>
        <v>0</v>
      </c>
      <c r="BA8" s="29">
        <f>IF(BA$4&lt;='Get Started'!$E15,1,0)</f>
        <v>0</v>
      </c>
      <c r="BB8" s="29">
        <f>IF(BB$4&lt;='Get Started'!$E15,1,0)</f>
        <v>0</v>
      </c>
      <c r="BC8" s="29">
        <f>IF(BC$4&lt;='Get Started'!$E15,1,0)</f>
        <v>0</v>
      </c>
      <c r="BD8" s="29">
        <f>IF(BD$4&lt;='Get Started'!$E15,1,0)</f>
        <v>0</v>
      </c>
      <c r="BE8" s="29">
        <f>IF(BE$4&lt;='Get Started'!$E15,1,0)</f>
        <v>0</v>
      </c>
      <c r="BF8" s="29">
        <f>IF(BF$4&lt;='Get Started'!$E15,1,0)</f>
        <v>0</v>
      </c>
      <c r="BG8" s="29">
        <f>IF(BG$4&lt;='Get Started'!$E15,1,0)</f>
        <v>0</v>
      </c>
      <c r="BH8" s="29">
        <f>IF(BH$4&lt;='Get Started'!$E15,1,0)</f>
        <v>0</v>
      </c>
      <c r="BI8" s="29">
        <f>IF(BI$4&lt;='Get Started'!$E15,1,0)</f>
        <v>0</v>
      </c>
      <c r="BJ8" s="29">
        <f>IF(BJ$4&lt;='Get Started'!$E15,1,0)</f>
        <v>0</v>
      </c>
      <c r="BK8" s="29">
        <f>IF(BK$4&lt;='Get Started'!$E15,1,0)</f>
        <v>0</v>
      </c>
      <c r="BL8" s="29">
        <f>IF(BL$4&lt;='Get Started'!$E15,1,0)</f>
        <v>0</v>
      </c>
      <c r="BM8" s="29">
        <f>IF(BM$4&lt;='Get Started'!$E15,1,0)</f>
        <v>0</v>
      </c>
      <c r="BN8" s="29">
        <f>IF(BN$4&lt;='Get Started'!$E15,1,0)</f>
        <v>0</v>
      </c>
      <c r="BO8" s="29">
        <f>IF(BO$4&lt;='Get Started'!$E15,1,0)</f>
        <v>0</v>
      </c>
      <c r="BP8" s="29">
        <f>IF(BP$4&lt;='Get Started'!$E15,1,0)</f>
        <v>0</v>
      </c>
      <c r="BQ8" s="29">
        <f>IF(BQ$4&lt;='Get Started'!$E15,1,0)</f>
        <v>0</v>
      </c>
      <c r="BR8" s="29">
        <f>IF(BR$4&lt;='Get Started'!$E15,1,0)</f>
        <v>0</v>
      </c>
      <c r="BS8" s="29">
        <f>IF(BS$4&lt;='Get Started'!$E15,1,0)</f>
        <v>0</v>
      </c>
      <c r="BT8" s="29">
        <f>IF(BT$4&lt;='Get Started'!$E15,1,0)</f>
        <v>0</v>
      </c>
      <c r="BU8" s="29">
        <f>IF(BU$4&lt;='Get Started'!$E15,1,0)</f>
        <v>0</v>
      </c>
      <c r="BV8" s="29">
        <f>IF(BV$4&lt;='Get Started'!$E15,1,0)</f>
        <v>0</v>
      </c>
      <c r="BW8" s="29">
        <f>IF(BW$4&lt;='Get Started'!$E15,1,0)</f>
        <v>0</v>
      </c>
      <c r="BX8" s="29">
        <f>IF(BX$4&lt;='Get Started'!$E15,1,0)</f>
        <v>0</v>
      </c>
      <c r="BY8" s="29">
        <f>IF(BY$4&lt;='Get Started'!$E15,1,0)</f>
        <v>0</v>
      </c>
      <c r="BZ8" s="29">
        <f>IF(BZ$4&lt;='Get Started'!$E15,1,0)</f>
        <v>0</v>
      </c>
      <c r="CA8" s="29">
        <f>IF(CA$4&lt;='Get Started'!$E15,1,0)</f>
        <v>0</v>
      </c>
      <c r="CB8" s="29">
        <f>IF(CB$4&lt;='Get Started'!$E15,1,0)</f>
        <v>0</v>
      </c>
      <c r="CC8" s="29">
        <f>IF(CC$4&lt;='Get Started'!$E15,1,0)</f>
        <v>0</v>
      </c>
      <c r="CD8" s="29">
        <f>IF(CD$4&lt;='Get Started'!$E15,1,0)</f>
        <v>0</v>
      </c>
      <c r="CE8" s="29">
        <f>IF(CE$4&lt;='Get Started'!$E15,1,0)</f>
        <v>0</v>
      </c>
      <c r="CF8" s="29">
        <f>IF(CF$4&lt;='Get Started'!$E15,1,0)</f>
        <v>0</v>
      </c>
      <c r="CG8" s="29">
        <f>IF(CG$4&lt;='Get Started'!$E15,1,0)</f>
        <v>0</v>
      </c>
      <c r="CH8" s="29">
        <f>IF(CH$4&lt;='Get Started'!$E15,1,0)</f>
        <v>0</v>
      </c>
    </row>
    <row r="9" spans="1:86" ht="13">
      <c r="B9" s="15" t="str">
        <f>'Get Started'!B16</f>
        <v>Fund Duration (Management Fees time period) (quarters)</v>
      </c>
      <c r="C9" s="57" t="s">
        <v>356</v>
      </c>
      <c r="D9" s="15" t="s">
        <v>238</v>
      </c>
      <c r="E9" s="29">
        <f t="shared" si="2"/>
        <v>40</v>
      </c>
      <c r="F9" s="29"/>
      <c r="G9" s="29">
        <f>IF(G$4&lt;='Get Started'!$E16,1,0)*G10</f>
        <v>1</v>
      </c>
      <c r="H9" s="29">
        <f>IF(H$4&lt;='Get Started'!$E16,1,0)*H10</f>
        <v>1</v>
      </c>
      <c r="I9" s="29">
        <f>IF(I$4&lt;='Get Started'!$E16,1,0)*I10</f>
        <v>1</v>
      </c>
      <c r="J9" s="29">
        <f>IF(J$4&lt;='Get Started'!$E16,1,0)*J10</f>
        <v>1</v>
      </c>
      <c r="K9" s="29">
        <f>IF(K$4&lt;='Get Started'!$E16,1,0)*K10</f>
        <v>1</v>
      </c>
      <c r="L9" s="29">
        <f>IF(L$4&lt;='Get Started'!$E16,1,0)*L10</f>
        <v>1</v>
      </c>
      <c r="M9" s="29">
        <f>IF(M$4&lt;='Get Started'!$E16,1,0)*M10</f>
        <v>1</v>
      </c>
      <c r="N9" s="29">
        <f>IF(N$4&lt;='Get Started'!$E16,1,0)*N10</f>
        <v>1</v>
      </c>
      <c r="O9" s="29">
        <f>IF(O$4&lt;='Get Started'!$E16,1,0)*O10</f>
        <v>1</v>
      </c>
      <c r="P9" s="29">
        <f>IF(P$4&lt;='Get Started'!$E16,1,0)*P10</f>
        <v>1</v>
      </c>
      <c r="Q9" s="29">
        <f>IF(Q$4&lt;='Get Started'!$E16,1,0)*Q10</f>
        <v>1</v>
      </c>
      <c r="R9" s="29">
        <f>IF(R$4&lt;='Get Started'!$E16,1,0)*R10</f>
        <v>1</v>
      </c>
      <c r="S9" s="29">
        <f>IF(S$4&lt;='Get Started'!$E16,1,0)*S10</f>
        <v>1</v>
      </c>
      <c r="T9" s="29">
        <f>IF(T$4&lt;='Get Started'!$E16,1,0)*T10</f>
        <v>1</v>
      </c>
      <c r="U9" s="29">
        <f>IF(U$4&lt;='Get Started'!$E16,1,0)*U10</f>
        <v>1</v>
      </c>
      <c r="V9" s="29">
        <f>IF(V$4&lt;='Get Started'!$E16,1,0)*V10</f>
        <v>1</v>
      </c>
      <c r="W9" s="29">
        <f>IF(W$4&lt;='Get Started'!$E16,1,0)*W10</f>
        <v>1</v>
      </c>
      <c r="X9" s="29">
        <f>IF(X$4&lt;='Get Started'!$E16,1,0)*X10</f>
        <v>1</v>
      </c>
      <c r="Y9" s="29">
        <f>IF(Y$4&lt;='Get Started'!$E16,1,0)*Y10</f>
        <v>1</v>
      </c>
      <c r="Z9" s="29">
        <f>IF(Z$4&lt;='Get Started'!$E16,1,0)*Z10</f>
        <v>1</v>
      </c>
      <c r="AA9" s="29">
        <f>IF(AA$4&lt;='Get Started'!$E16,1,0)*AA10</f>
        <v>1</v>
      </c>
      <c r="AB9" s="29">
        <f>IF(AB$4&lt;='Get Started'!$E16,1,0)*AB10</f>
        <v>1</v>
      </c>
      <c r="AC9" s="29">
        <f>IF(AC$4&lt;='Get Started'!$E16,1,0)*AC10</f>
        <v>1</v>
      </c>
      <c r="AD9" s="29">
        <f>IF(AD$4&lt;='Get Started'!$E16,1,0)*AD10</f>
        <v>1</v>
      </c>
      <c r="AE9" s="29">
        <f>IF(AE$4&lt;='Get Started'!$E16,1,0)*AE10</f>
        <v>1</v>
      </c>
      <c r="AF9" s="29">
        <f>IF(AF$4&lt;='Get Started'!$E16,1,0)*AF10</f>
        <v>1</v>
      </c>
      <c r="AG9" s="29">
        <f>IF(AG$4&lt;='Get Started'!$E16,1,0)*AG10</f>
        <v>1</v>
      </c>
      <c r="AH9" s="29">
        <f>IF(AH$4&lt;='Get Started'!$E16,1,0)*AH10</f>
        <v>1</v>
      </c>
      <c r="AI9" s="29">
        <f>IF(AI$4&lt;='Get Started'!$E16,1,0)*AI10</f>
        <v>1</v>
      </c>
      <c r="AJ9" s="29">
        <f>IF(AJ$4&lt;='Get Started'!$E16,1,0)*AJ10</f>
        <v>1</v>
      </c>
      <c r="AK9" s="29">
        <f>IF(AK$4&lt;='Get Started'!$E16,1,0)*AK10</f>
        <v>1</v>
      </c>
      <c r="AL9" s="29">
        <f>IF(AL$4&lt;='Get Started'!$E16,1,0)*AL10</f>
        <v>1</v>
      </c>
      <c r="AM9" s="29">
        <f>IF(AM$4&lt;='Get Started'!$E16,1,0)*AM10</f>
        <v>1</v>
      </c>
      <c r="AN9" s="29">
        <f>IF(AN$4&lt;='Get Started'!$E16,1,0)*AN10</f>
        <v>1</v>
      </c>
      <c r="AO9" s="29">
        <f>IF(AO$4&lt;='Get Started'!$E16,1,0)*AO10</f>
        <v>1</v>
      </c>
      <c r="AP9" s="29">
        <f>IF(AP$4&lt;='Get Started'!$E16,1,0)*AP10</f>
        <v>1</v>
      </c>
      <c r="AQ9" s="29">
        <f>IF(AQ$4&lt;='Get Started'!$E16,1,0)*AQ10</f>
        <v>1</v>
      </c>
      <c r="AR9" s="29">
        <f>IF(AR$4&lt;='Get Started'!$E16,1,0)*AR10</f>
        <v>1</v>
      </c>
      <c r="AS9" s="29">
        <f>IF(AS$4&lt;='Get Started'!$E16,1,0)*AS10</f>
        <v>1</v>
      </c>
      <c r="AT9" s="29">
        <f>IF(AT$4&lt;='Get Started'!$E16,1,0)*AT10</f>
        <v>1</v>
      </c>
      <c r="AU9" s="29">
        <f>IF(AU$4&lt;='Get Started'!$E16,1,0)*AU10</f>
        <v>0</v>
      </c>
      <c r="AV9" s="29">
        <f>IF(AV$4&lt;='Get Started'!$E16,1,0)*AV10</f>
        <v>0</v>
      </c>
      <c r="AW9" s="29">
        <f>IF(AW$4&lt;='Get Started'!$E16,1,0)*AW10</f>
        <v>0</v>
      </c>
      <c r="AX9" s="29">
        <f>IF(AX$4&lt;='Get Started'!$E16,1,0)*AX10</f>
        <v>0</v>
      </c>
      <c r="AY9" s="29">
        <f>IF(AY$4&lt;='Get Started'!$E16,1,0)*AY10</f>
        <v>0</v>
      </c>
      <c r="AZ9" s="29">
        <f>IF(AZ$4&lt;='Get Started'!$E16,1,0)*AZ10</f>
        <v>0</v>
      </c>
      <c r="BA9" s="29">
        <f>IF(BA$4&lt;='Get Started'!$E16,1,0)*BA10</f>
        <v>0</v>
      </c>
      <c r="BB9" s="29">
        <f>IF(BB$4&lt;='Get Started'!$E16,1,0)*BB10</f>
        <v>0</v>
      </c>
      <c r="BC9" s="29">
        <f>IF(BC$4&lt;='Get Started'!$E16,1,0)*BC10</f>
        <v>0</v>
      </c>
      <c r="BD9" s="29">
        <f>IF(BD$4&lt;='Get Started'!$E16,1,0)*BD10</f>
        <v>0</v>
      </c>
      <c r="BE9" s="29">
        <f>IF(BE$4&lt;='Get Started'!$E16,1,0)*BE10</f>
        <v>0</v>
      </c>
      <c r="BF9" s="29">
        <f>IF(BF$4&lt;='Get Started'!$E16,1,0)*BF10</f>
        <v>0</v>
      </c>
      <c r="BG9" s="29">
        <f>IF(BG$4&lt;='Get Started'!$E16,1,0)*BG10</f>
        <v>0</v>
      </c>
      <c r="BH9" s="29">
        <f>IF(BH$4&lt;='Get Started'!$E16,1,0)*BH10</f>
        <v>0</v>
      </c>
      <c r="BI9" s="29">
        <f>IF(BI$4&lt;='Get Started'!$E16,1,0)*BI10</f>
        <v>0</v>
      </c>
      <c r="BJ9" s="29">
        <f>IF(BJ$4&lt;='Get Started'!$E16,1,0)*BJ10</f>
        <v>0</v>
      </c>
      <c r="BK9" s="29">
        <f>IF(BK$4&lt;='Get Started'!$E16,1,0)*BK10</f>
        <v>0</v>
      </c>
      <c r="BL9" s="29">
        <f>IF(BL$4&lt;='Get Started'!$E16,1,0)*BL10</f>
        <v>0</v>
      </c>
      <c r="BM9" s="29">
        <f>IF(BM$4&lt;='Get Started'!$E16,1,0)*BM10</f>
        <v>0</v>
      </c>
      <c r="BN9" s="29">
        <f>IF(BN$4&lt;='Get Started'!$E16,1,0)*BN10</f>
        <v>0</v>
      </c>
      <c r="BO9" s="29">
        <f>IF(BO$4&lt;='Get Started'!$E16,1,0)*BO10</f>
        <v>0</v>
      </c>
      <c r="BP9" s="29">
        <f>IF(BP$4&lt;='Get Started'!$E16,1,0)*BP10</f>
        <v>0</v>
      </c>
      <c r="BQ9" s="29">
        <f>IF(BQ$4&lt;='Get Started'!$E16,1,0)*BQ10</f>
        <v>0</v>
      </c>
      <c r="BR9" s="29">
        <f>IF(BR$4&lt;='Get Started'!$E16,1,0)*BR10</f>
        <v>0</v>
      </c>
      <c r="BS9" s="29">
        <f>IF(BS$4&lt;='Get Started'!$E16,1,0)*BS10</f>
        <v>0</v>
      </c>
      <c r="BT9" s="29">
        <f>IF(BT$4&lt;='Get Started'!$E16,1,0)*BT10</f>
        <v>0</v>
      </c>
      <c r="BU9" s="29">
        <f>IF(BU$4&lt;='Get Started'!$E16,1,0)*BU10</f>
        <v>0</v>
      </c>
      <c r="BV9" s="29">
        <f>IF(BV$4&lt;='Get Started'!$E16,1,0)*BV10</f>
        <v>0</v>
      </c>
      <c r="BW9" s="29">
        <f>IF(BW$4&lt;='Get Started'!$E16,1,0)*BW10</f>
        <v>0</v>
      </c>
      <c r="BX9" s="29">
        <f>IF(BX$4&lt;='Get Started'!$E16,1,0)*BX10</f>
        <v>0</v>
      </c>
      <c r="BY9" s="29">
        <f>IF(BY$4&lt;='Get Started'!$E16,1,0)*BY10</f>
        <v>0</v>
      </c>
      <c r="BZ9" s="29">
        <f>IF(BZ$4&lt;='Get Started'!$E16,1,0)*BZ10</f>
        <v>0</v>
      </c>
      <c r="CA9" s="29">
        <f>IF(CA$4&lt;='Get Started'!$E16,1,0)*CA10</f>
        <v>0</v>
      </c>
      <c r="CB9" s="29">
        <f>IF(CB$4&lt;='Get Started'!$E16,1,0)*CB10</f>
        <v>0</v>
      </c>
      <c r="CC9" s="29">
        <f>IF(CC$4&lt;='Get Started'!$E16,1,0)*CC10</f>
        <v>0</v>
      </c>
      <c r="CD9" s="29">
        <f>IF(CD$4&lt;='Get Started'!$E16,1,0)*CD10</f>
        <v>0</v>
      </c>
      <c r="CE9" s="29">
        <f>IF(CE$4&lt;='Get Started'!$E16,1,0)*CE10</f>
        <v>0</v>
      </c>
      <c r="CF9" s="29">
        <f>IF(CF$4&lt;='Get Started'!$E16,1,0)*CF10</f>
        <v>0</v>
      </c>
      <c r="CG9" s="29">
        <f>IF(CG$4&lt;='Get Started'!$E16,1,0)*CG10</f>
        <v>0</v>
      </c>
      <c r="CH9" s="29">
        <f>IF(CH$4&lt;='Get Started'!$E16,1,0)*CH10</f>
        <v>0</v>
      </c>
    </row>
    <row r="10" spans="1:86" ht="13">
      <c r="B10" s="15" t="str">
        <f>'Get Started'!B17</f>
        <v>Fund Operations time period (quarters)</v>
      </c>
      <c r="C10" s="15"/>
      <c r="D10" s="15" t="s">
        <v>238</v>
      </c>
      <c r="E10" s="29">
        <f t="shared" si="2"/>
        <v>40</v>
      </c>
      <c r="F10" s="29"/>
      <c r="G10" s="29">
        <f>IF(G$4&lt;='Get Started'!$E17,1,0)</f>
        <v>1</v>
      </c>
      <c r="H10" s="29">
        <f>IF(H$4&lt;='Get Started'!$E17,1,0)</f>
        <v>1</v>
      </c>
      <c r="I10" s="29">
        <f>IF(I$4&lt;='Get Started'!$E17,1,0)</f>
        <v>1</v>
      </c>
      <c r="J10" s="29">
        <f>IF(J$4&lt;='Get Started'!$E17,1,0)</f>
        <v>1</v>
      </c>
      <c r="K10" s="29">
        <f>IF(K$4&lt;='Get Started'!$E17,1,0)</f>
        <v>1</v>
      </c>
      <c r="L10" s="29">
        <f>IF(L$4&lt;='Get Started'!$E17,1,0)</f>
        <v>1</v>
      </c>
      <c r="M10" s="29">
        <f>IF(M$4&lt;='Get Started'!$E17,1,0)</f>
        <v>1</v>
      </c>
      <c r="N10" s="29">
        <f>IF(N$4&lt;='Get Started'!$E17,1,0)</f>
        <v>1</v>
      </c>
      <c r="O10" s="29">
        <f>IF(O$4&lt;='Get Started'!$E17,1,0)</f>
        <v>1</v>
      </c>
      <c r="P10" s="29">
        <f>IF(P$4&lt;='Get Started'!$E17,1,0)</f>
        <v>1</v>
      </c>
      <c r="Q10" s="29">
        <f>IF(Q$4&lt;='Get Started'!$E17,1,0)</f>
        <v>1</v>
      </c>
      <c r="R10" s="29">
        <f>IF(R$4&lt;='Get Started'!$E17,1,0)</f>
        <v>1</v>
      </c>
      <c r="S10" s="29">
        <f>IF(S$4&lt;='Get Started'!$E17,1,0)</f>
        <v>1</v>
      </c>
      <c r="T10" s="29">
        <f>IF(T$4&lt;='Get Started'!$E17,1,0)</f>
        <v>1</v>
      </c>
      <c r="U10" s="29">
        <f>IF(U$4&lt;='Get Started'!$E17,1,0)</f>
        <v>1</v>
      </c>
      <c r="V10" s="29">
        <f>IF(V$4&lt;='Get Started'!$E17,1,0)</f>
        <v>1</v>
      </c>
      <c r="W10" s="29">
        <f>IF(W$4&lt;='Get Started'!$E17,1,0)</f>
        <v>1</v>
      </c>
      <c r="X10" s="29">
        <f>IF(X$4&lt;='Get Started'!$E17,1,0)</f>
        <v>1</v>
      </c>
      <c r="Y10" s="29">
        <f>IF(Y$4&lt;='Get Started'!$E17,1,0)</f>
        <v>1</v>
      </c>
      <c r="Z10" s="29">
        <f>IF(Z$4&lt;='Get Started'!$E17,1,0)</f>
        <v>1</v>
      </c>
      <c r="AA10" s="29">
        <f>IF(AA$4&lt;='Get Started'!$E17,1,0)</f>
        <v>1</v>
      </c>
      <c r="AB10" s="29">
        <f>IF(AB$4&lt;='Get Started'!$E17,1,0)</f>
        <v>1</v>
      </c>
      <c r="AC10" s="29">
        <f>IF(AC$4&lt;='Get Started'!$E17,1,0)</f>
        <v>1</v>
      </c>
      <c r="AD10" s="29">
        <f>IF(AD$4&lt;='Get Started'!$E17,1,0)</f>
        <v>1</v>
      </c>
      <c r="AE10" s="29">
        <f>IF(AE$4&lt;='Get Started'!$E17,1,0)</f>
        <v>1</v>
      </c>
      <c r="AF10" s="29">
        <f>IF(AF$4&lt;='Get Started'!$E17,1,0)</f>
        <v>1</v>
      </c>
      <c r="AG10" s="29">
        <f>IF(AG$4&lt;='Get Started'!$E17,1,0)</f>
        <v>1</v>
      </c>
      <c r="AH10" s="29">
        <f>IF(AH$4&lt;='Get Started'!$E17,1,0)</f>
        <v>1</v>
      </c>
      <c r="AI10" s="29">
        <f>IF(AI$4&lt;='Get Started'!$E17,1,0)</f>
        <v>1</v>
      </c>
      <c r="AJ10" s="29">
        <f>IF(AJ$4&lt;='Get Started'!$E17,1,0)</f>
        <v>1</v>
      </c>
      <c r="AK10" s="29">
        <f>IF(AK$4&lt;='Get Started'!$E17,1,0)</f>
        <v>1</v>
      </c>
      <c r="AL10" s="29">
        <f>IF(AL$4&lt;='Get Started'!$E17,1,0)</f>
        <v>1</v>
      </c>
      <c r="AM10" s="29">
        <f>IF(AM$4&lt;='Get Started'!$E17,1,0)</f>
        <v>1</v>
      </c>
      <c r="AN10" s="29">
        <f>IF(AN$4&lt;='Get Started'!$E17,1,0)</f>
        <v>1</v>
      </c>
      <c r="AO10" s="29">
        <f>IF(AO$4&lt;='Get Started'!$E17,1,0)</f>
        <v>1</v>
      </c>
      <c r="AP10" s="29">
        <f>IF(AP$4&lt;='Get Started'!$E17,1,0)</f>
        <v>1</v>
      </c>
      <c r="AQ10" s="29">
        <f>IF(AQ$4&lt;='Get Started'!$E17,1,0)</f>
        <v>1</v>
      </c>
      <c r="AR10" s="29">
        <f>IF(AR$4&lt;='Get Started'!$E17,1,0)</f>
        <v>1</v>
      </c>
      <c r="AS10" s="29">
        <f>IF(AS$4&lt;='Get Started'!$E17,1,0)</f>
        <v>1</v>
      </c>
      <c r="AT10" s="29">
        <f>IF(AT$4&lt;='Get Started'!$E17,1,0)</f>
        <v>1</v>
      </c>
      <c r="AU10" s="29">
        <f>IF(AU$4&lt;='Get Started'!$E17,1,0)</f>
        <v>0</v>
      </c>
      <c r="AV10" s="29">
        <f>IF(AV$4&lt;='Get Started'!$E17,1,0)</f>
        <v>0</v>
      </c>
      <c r="AW10" s="29">
        <f>IF(AW$4&lt;='Get Started'!$E17,1,0)</f>
        <v>0</v>
      </c>
      <c r="AX10" s="29">
        <f>IF(AX$4&lt;='Get Started'!$E17,1,0)</f>
        <v>0</v>
      </c>
      <c r="AY10" s="29">
        <f>IF(AY$4&lt;='Get Started'!$E17,1,0)</f>
        <v>0</v>
      </c>
      <c r="AZ10" s="29">
        <f>IF(AZ$4&lt;='Get Started'!$E17,1,0)</f>
        <v>0</v>
      </c>
      <c r="BA10" s="29">
        <f>IF(BA$4&lt;='Get Started'!$E17,1,0)</f>
        <v>0</v>
      </c>
      <c r="BB10" s="29">
        <f>IF(BB$4&lt;='Get Started'!$E17,1,0)</f>
        <v>0</v>
      </c>
      <c r="BC10" s="29">
        <f>IF(BC$4&lt;='Get Started'!$E17,1,0)</f>
        <v>0</v>
      </c>
      <c r="BD10" s="29">
        <f>IF(BD$4&lt;='Get Started'!$E17,1,0)</f>
        <v>0</v>
      </c>
      <c r="BE10" s="29">
        <f>IF(BE$4&lt;='Get Started'!$E17,1,0)</f>
        <v>0</v>
      </c>
      <c r="BF10" s="29">
        <f>IF(BF$4&lt;='Get Started'!$E17,1,0)</f>
        <v>0</v>
      </c>
      <c r="BG10" s="29">
        <f>IF(BG$4&lt;='Get Started'!$E17,1,0)</f>
        <v>0</v>
      </c>
      <c r="BH10" s="29">
        <f>IF(BH$4&lt;='Get Started'!$E17,1,0)</f>
        <v>0</v>
      </c>
      <c r="BI10" s="29">
        <f>IF(BI$4&lt;='Get Started'!$E17,1,0)</f>
        <v>0</v>
      </c>
      <c r="BJ10" s="29">
        <f>IF(BJ$4&lt;='Get Started'!$E17,1,0)</f>
        <v>0</v>
      </c>
      <c r="BK10" s="29">
        <f>IF(BK$4&lt;='Get Started'!$E17,1,0)</f>
        <v>0</v>
      </c>
      <c r="BL10" s="29">
        <f>IF(BL$4&lt;='Get Started'!$E17,1,0)</f>
        <v>0</v>
      </c>
      <c r="BM10" s="29">
        <f>IF(BM$4&lt;='Get Started'!$E17,1,0)</f>
        <v>0</v>
      </c>
      <c r="BN10" s="29">
        <f>IF(BN$4&lt;='Get Started'!$E17,1,0)</f>
        <v>0</v>
      </c>
      <c r="BO10" s="29">
        <f>IF(BO$4&lt;='Get Started'!$E17,1,0)</f>
        <v>0</v>
      </c>
      <c r="BP10" s="29">
        <f>IF(BP$4&lt;='Get Started'!$E17,1,0)</f>
        <v>0</v>
      </c>
      <c r="BQ10" s="29">
        <f>IF(BQ$4&lt;='Get Started'!$E17,1,0)</f>
        <v>0</v>
      </c>
      <c r="BR10" s="29">
        <f>IF(BR$4&lt;='Get Started'!$E17,1,0)</f>
        <v>0</v>
      </c>
      <c r="BS10" s="29">
        <f>IF(BS$4&lt;='Get Started'!$E17,1,0)</f>
        <v>0</v>
      </c>
      <c r="BT10" s="29">
        <f>IF(BT$4&lt;='Get Started'!$E17,1,0)</f>
        <v>0</v>
      </c>
      <c r="BU10" s="29">
        <f>IF(BU$4&lt;='Get Started'!$E17,1,0)</f>
        <v>0</v>
      </c>
      <c r="BV10" s="29">
        <f>IF(BV$4&lt;='Get Started'!$E17,1,0)</f>
        <v>0</v>
      </c>
      <c r="BW10" s="29">
        <f>IF(BW$4&lt;='Get Started'!$E17,1,0)</f>
        <v>0</v>
      </c>
      <c r="BX10" s="29">
        <f>IF(BX$4&lt;='Get Started'!$E17,1,0)</f>
        <v>0</v>
      </c>
      <c r="BY10" s="29">
        <f>IF(BY$4&lt;='Get Started'!$E17,1,0)</f>
        <v>0</v>
      </c>
      <c r="BZ10" s="29">
        <f>IF(BZ$4&lt;='Get Started'!$E17,1,0)</f>
        <v>0</v>
      </c>
      <c r="CA10" s="29">
        <f>IF(CA$4&lt;='Get Started'!$E17,1,0)</f>
        <v>0</v>
      </c>
      <c r="CB10" s="29">
        <f>IF(CB$4&lt;='Get Started'!$E17,1,0)</f>
        <v>0</v>
      </c>
      <c r="CC10" s="29">
        <f>IF(CC$4&lt;='Get Started'!$E17,1,0)</f>
        <v>0</v>
      </c>
      <c r="CD10" s="29">
        <f>IF(CD$4&lt;='Get Started'!$E17,1,0)</f>
        <v>0</v>
      </c>
      <c r="CE10" s="29">
        <f>IF(CE$4&lt;='Get Started'!$E17,1,0)</f>
        <v>0</v>
      </c>
      <c r="CF10" s="29">
        <f>IF(CF$4&lt;='Get Started'!$E17,1,0)</f>
        <v>0</v>
      </c>
      <c r="CG10" s="29">
        <f>IF(CG$4&lt;='Get Started'!$E17,1,0)</f>
        <v>0</v>
      </c>
      <c r="CH10" s="29">
        <f>IF(CH$4&lt;='Get Started'!$E17,1,0)</f>
        <v>0</v>
      </c>
    </row>
    <row r="11" spans="1:86" ht="13">
      <c r="B11" s="13" t="s">
        <v>240</v>
      </c>
      <c r="D11" s="13" t="s">
        <v>238</v>
      </c>
      <c r="E11" s="37">
        <f>IF(D11="sum",SUM(G11:EP11),IF(D11="final",EP11,IF(D11="initial",G11,IF(D11="average",AVERAGE(G11:EP11),0))))</f>
        <v>16</v>
      </c>
      <c r="F11" s="48"/>
      <c r="G11" s="37">
        <f>IF('Get Started'!$E29="new investments",G8,IF(G$4&lt;='Get Started'!$E15+MAX('Get Started'!$E55:$H55,'Get Started'!$E65:$H65),1,0))</f>
        <v>1</v>
      </c>
      <c r="H11" s="37">
        <f>IF('Get Started'!$E29="new investments",H8,IF(H$4&lt;='Get Started'!$E15+MAX('Get Started'!$E55:$H55,'Get Started'!$E65:$H65),1,0))</f>
        <v>1</v>
      </c>
      <c r="I11" s="37">
        <f>IF('Get Started'!$E29="new investments",I8,IF(I$4&lt;='Get Started'!$E15+MAX('Get Started'!$E55:$H55,'Get Started'!$E65:$H65),1,0))</f>
        <v>1</v>
      </c>
      <c r="J11" s="37">
        <f>IF('Get Started'!$E29="new investments",J8,IF(J$4&lt;='Get Started'!$E15+MAX('Get Started'!$E55:$H55,'Get Started'!$E65:$H65),1,0))</f>
        <v>1</v>
      </c>
      <c r="K11" s="37">
        <f>IF('Get Started'!$E29="new investments",K8,IF(K$4&lt;='Get Started'!$E15+MAX('Get Started'!$E55:$H55,'Get Started'!$E65:$H65),1,0))</f>
        <v>1</v>
      </c>
      <c r="L11" s="37">
        <f>IF('Get Started'!$E29="new investments",L8,IF(L$4&lt;='Get Started'!$E15+MAX('Get Started'!$E55:$H55,'Get Started'!$E65:$H65),1,0))</f>
        <v>1</v>
      </c>
      <c r="M11" s="37">
        <f>IF('Get Started'!$E29="new investments",M8,IF(M$4&lt;='Get Started'!$E15+MAX('Get Started'!$E55:$H55,'Get Started'!$E65:$H65),1,0))</f>
        <v>1</v>
      </c>
      <c r="N11" s="37">
        <f>IF('Get Started'!$E29="new investments",N8,IF(N$4&lt;='Get Started'!$E15+MAX('Get Started'!$E55:$H55,'Get Started'!$E65:$H65),1,0))</f>
        <v>1</v>
      </c>
      <c r="O11" s="37">
        <f>IF('Get Started'!$E29="new investments",O8,IF(O$4&lt;='Get Started'!$E15+MAX('Get Started'!$E55:$H55,'Get Started'!$E65:$H65),1,0))</f>
        <v>1</v>
      </c>
      <c r="P11" s="37">
        <f>IF('Get Started'!$E29="new investments",P8,IF(P$4&lt;='Get Started'!$E15+MAX('Get Started'!$E55:$H55,'Get Started'!$E65:$H65),1,0))</f>
        <v>1</v>
      </c>
      <c r="Q11" s="37">
        <f>IF('Get Started'!$E29="new investments",Q8,IF(Q$4&lt;='Get Started'!$E15+MAX('Get Started'!$E55:$H55,'Get Started'!$E65:$H65),1,0))</f>
        <v>1</v>
      </c>
      <c r="R11" s="37">
        <f>IF('Get Started'!$E29="new investments",R8,IF(R$4&lt;='Get Started'!$E15+MAX('Get Started'!$E55:$H55,'Get Started'!$E65:$H65),1,0))</f>
        <v>1</v>
      </c>
      <c r="S11" s="37">
        <f>IF('Get Started'!$E29="new investments",S8,IF(S$4&lt;='Get Started'!$E15+MAX('Get Started'!$E55:$H55,'Get Started'!$E65:$H65),1,0))</f>
        <v>1</v>
      </c>
      <c r="T11" s="37">
        <f>IF('Get Started'!$E29="new investments",T8,IF(T$4&lt;='Get Started'!$E15+MAX('Get Started'!$E55:$H55,'Get Started'!$E65:$H65),1,0))</f>
        <v>1</v>
      </c>
      <c r="U11" s="37">
        <f>IF('Get Started'!$E29="new investments",U8,IF(U$4&lt;='Get Started'!$E15+MAX('Get Started'!$E55:$H55,'Get Started'!$E65:$H65),1,0))</f>
        <v>1</v>
      </c>
      <c r="V11" s="37">
        <f>IF('Get Started'!$E29="new investments",V8,IF(V$4&lt;='Get Started'!$E15+MAX('Get Started'!$E55:$H55,'Get Started'!$E65:$H65),1,0))</f>
        <v>1</v>
      </c>
      <c r="W11" s="37">
        <f>IF('Get Started'!$E29="new investments",W8,IF(W$4&lt;='Get Started'!$E15+MAX('Get Started'!$E55:$H55,'Get Started'!$E65:$H65),1,0))</f>
        <v>0</v>
      </c>
      <c r="X11" s="37">
        <f>IF('Get Started'!$E29="new investments",X8,IF(X$4&lt;='Get Started'!$E15+MAX('Get Started'!$E55:$H55,'Get Started'!$E65:$H65),1,0))</f>
        <v>0</v>
      </c>
      <c r="Y11" s="37">
        <f>IF('Get Started'!$E29="new investments",Y8,IF(Y$4&lt;='Get Started'!$E15+MAX('Get Started'!$E55:$H55,'Get Started'!$E65:$H65),1,0))</f>
        <v>0</v>
      </c>
      <c r="Z11" s="37">
        <f>IF('Get Started'!$E29="new investments",Z8,IF(Z$4&lt;='Get Started'!$E15+MAX('Get Started'!$E55:$H55,'Get Started'!$E65:$H65),1,0))</f>
        <v>0</v>
      </c>
      <c r="AA11" s="37">
        <f>IF('Get Started'!$E29="new investments",AA8,IF(AA$4&lt;='Get Started'!$E15+MAX('Get Started'!$E55:$H55,'Get Started'!$E65:$H65),1,0))</f>
        <v>0</v>
      </c>
      <c r="AB11" s="37">
        <f>IF('Get Started'!$E29="new investments",AB8,IF(AB$4&lt;='Get Started'!$E15+MAX('Get Started'!$E55:$H55,'Get Started'!$E65:$H65),1,0))</f>
        <v>0</v>
      </c>
      <c r="AC11" s="37">
        <f>IF('Get Started'!$E29="new investments",AC8,IF(AC$4&lt;='Get Started'!$E15+MAX('Get Started'!$E55:$H55,'Get Started'!$E65:$H65),1,0))</f>
        <v>0</v>
      </c>
      <c r="AD11" s="37">
        <f>IF('Get Started'!$E29="new investments",AD8,IF(AD$4&lt;='Get Started'!$E15+MAX('Get Started'!$E55:$H55,'Get Started'!$E65:$H65),1,0))</f>
        <v>0</v>
      </c>
      <c r="AE11" s="37">
        <f>IF('Get Started'!$E29="new investments",AE8,IF(AE$4&lt;='Get Started'!$E15+MAX('Get Started'!$E55:$H55,'Get Started'!$E65:$H65),1,0))</f>
        <v>0</v>
      </c>
      <c r="AF11" s="37">
        <f>IF('Get Started'!$E29="new investments",AF8,IF(AF$4&lt;='Get Started'!$E15+MAX('Get Started'!$E55:$H55,'Get Started'!$E65:$H65),1,0))</f>
        <v>0</v>
      </c>
      <c r="AG11" s="37">
        <f>IF('Get Started'!$E29="new investments",AG8,IF(AG$4&lt;='Get Started'!$E15+MAX('Get Started'!$E55:$H55,'Get Started'!$E65:$H65),1,0))</f>
        <v>0</v>
      </c>
      <c r="AH11" s="37">
        <f>IF('Get Started'!$E29="new investments",AH8,IF(AH$4&lt;='Get Started'!$E15+MAX('Get Started'!$E55:$H55,'Get Started'!$E65:$H65),1,0))</f>
        <v>0</v>
      </c>
      <c r="AI11" s="37">
        <f>IF('Get Started'!$E29="new investments",AI8,IF(AI$4&lt;='Get Started'!$E15+MAX('Get Started'!$E55:$H55,'Get Started'!$E65:$H65),1,0))</f>
        <v>0</v>
      </c>
      <c r="AJ11" s="37">
        <f>IF('Get Started'!$E29="new investments",AJ8,IF(AJ$4&lt;='Get Started'!$E15+MAX('Get Started'!$E55:$H55,'Get Started'!$E65:$H65),1,0))</f>
        <v>0</v>
      </c>
      <c r="AK11" s="37">
        <f>IF('Get Started'!$E29="new investments",AK8,IF(AK$4&lt;='Get Started'!$E15+MAX('Get Started'!$E55:$H55,'Get Started'!$E65:$H65),1,0))</f>
        <v>0</v>
      </c>
      <c r="AL11" s="37">
        <f>IF('Get Started'!$E29="new investments",AL8,IF(AL$4&lt;='Get Started'!$E15+MAX('Get Started'!$E55:$H55,'Get Started'!$E65:$H65),1,0))</f>
        <v>0</v>
      </c>
      <c r="AM11" s="37">
        <f>IF('Get Started'!$E29="new investments",AM8,IF(AM$4&lt;='Get Started'!$E15+MAX('Get Started'!$E55:$H55,'Get Started'!$E65:$H65),1,0))</f>
        <v>0</v>
      </c>
      <c r="AN11" s="37">
        <f>IF('Get Started'!$E29="new investments",AN8,IF(AN$4&lt;='Get Started'!$E15+MAX('Get Started'!$E55:$H55,'Get Started'!$E65:$H65),1,0))</f>
        <v>0</v>
      </c>
      <c r="AO11" s="37">
        <f>IF('Get Started'!$E29="new investments",AO8,IF(AO$4&lt;='Get Started'!$E15+MAX('Get Started'!$E55:$H55,'Get Started'!$E65:$H65),1,0))</f>
        <v>0</v>
      </c>
      <c r="AP11" s="37">
        <f>IF('Get Started'!$E29="new investments",AP8,IF(AP$4&lt;='Get Started'!$E15+MAX('Get Started'!$E55:$H55,'Get Started'!$E65:$H65),1,0))</f>
        <v>0</v>
      </c>
      <c r="AQ11" s="37">
        <f>IF('Get Started'!$E29="new investments",AQ8,IF(AQ$4&lt;='Get Started'!$E15+MAX('Get Started'!$E55:$H55,'Get Started'!$E65:$H65),1,0))</f>
        <v>0</v>
      </c>
      <c r="AR11" s="37">
        <f>IF('Get Started'!$E29="new investments",AR8,IF(AR$4&lt;='Get Started'!$E15+MAX('Get Started'!$E55:$H55,'Get Started'!$E65:$H65),1,0))</f>
        <v>0</v>
      </c>
      <c r="AS11" s="37">
        <f>IF('Get Started'!$E29="new investments",AS8,IF(AS$4&lt;='Get Started'!$E15+MAX('Get Started'!$E55:$H55,'Get Started'!$E65:$H65),1,0))</f>
        <v>0</v>
      </c>
      <c r="AT11" s="37">
        <f>IF('Get Started'!$E29="new investments",AT8,IF(AT$4&lt;='Get Started'!$E15+MAX('Get Started'!$E55:$H55,'Get Started'!$E65:$H65),1,0))</f>
        <v>0</v>
      </c>
      <c r="AU11" s="37">
        <f>IF('Get Started'!$E29="new investments",AU8,IF(AU$4&lt;='Get Started'!$E15+MAX('Get Started'!$E55:$H55,'Get Started'!$E65:$H65),1,0))</f>
        <v>0</v>
      </c>
      <c r="AV11" s="37">
        <f>IF('Get Started'!$E29="new investments",AV8,IF(AV$4&lt;='Get Started'!$E15+MAX('Get Started'!$E55:$H55,'Get Started'!$E65:$H65),1,0))</f>
        <v>0</v>
      </c>
      <c r="AW11" s="37">
        <f>IF('Get Started'!$E29="new investments",AW8,IF(AW$4&lt;='Get Started'!$E15+MAX('Get Started'!$E55:$H55,'Get Started'!$E65:$H65),1,0))</f>
        <v>0</v>
      </c>
      <c r="AX11" s="37">
        <f>IF('Get Started'!$E29="new investments",AX8,IF(AX$4&lt;='Get Started'!$E15+MAX('Get Started'!$E55:$H55,'Get Started'!$E65:$H65),1,0))</f>
        <v>0</v>
      </c>
      <c r="AY11" s="37">
        <f>IF('Get Started'!$E29="new investments",AY8,IF(AY$4&lt;='Get Started'!$E15+MAX('Get Started'!$E55:$H55,'Get Started'!$E65:$H65),1,0))</f>
        <v>0</v>
      </c>
      <c r="AZ11" s="37">
        <f>IF('Get Started'!$E29="new investments",AZ8,IF(AZ$4&lt;='Get Started'!$E15+MAX('Get Started'!$E55:$H55,'Get Started'!$E65:$H65),1,0))</f>
        <v>0</v>
      </c>
      <c r="BA11" s="37">
        <f>IF('Get Started'!$E29="new investments",BA8,IF(BA$4&lt;='Get Started'!$E15+MAX('Get Started'!$E55:$H55,'Get Started'!$E65:$H65),1,0))</f>
        <v>0</v>
      </c>
      <c r="BB11" s="37">
        <f>IF('Get Started'!$E29="new investments",BB8,IF(BB$4&lt;='Get Started'!$E15+MAX('Get Started'!$E55:$H55,'Get Started'!$E65:$H65),1,0))</f>
        <v>0</v>
      </c>
      <c r="BC11" s="37">
        <f>IF('Get Started'!$E29="new investments",BC8,IF(BC$4&lt;='Get Started'!$E15+MAX('Get Started'!$E55:$H55,'Get Started'!$E65:$H65),1,0))</f>
        <v>0</v>
      </c>
      <c r="BD11" s="37">
        <f>IF('Get Started'!$E29="new investments",BD8,IF(BD$4&lt;='Get Started'!$E15+MAX('Get Started'!$E55:$H55,'Get Started'!$E65:$H65),1,0))</f>
        <v>0</v>
      </c>
      <c r="BE11" s="37">
        <f>IF('Get Started'!$E29="new investments",BE8,IF(BE$4&lt;='Get Started'!$E15+MAX('Get Started'!$E55:$H55,'Get Started'!$E65:$H65),1,0))</f>
        <v>0</v>
      </c>
      <c r="BF11" s="37">
        <f>IF('Get Started'!$E29="new investments",BF8,IF(BF$4&lt;='Get Started'!$E15+MAX('Get Started'!$E55:$H55,'Get Started'!$E65:$H65),1,0))</f>
        <v>0</v>
      </c>
      <c r="BG11" s="37">
        <f>IF('Get Started'!$E29="new investments",BG8,IF(BG$4&lt;='Get Started'!$E15+MAX('Get Started'!$E55:$H55,'Get Started'!$E65:$H65),1,0))</f>
        <v>0</v>
      </c>
      <c r="BH11" s="37">
        <f>IF('Get Started'!$E29="new investments",BH8,IF(BH$4&lt;='Get Started'!$E15+MAX('Get Started'!$E55:$H55,'Get Started'!$E65:$H65),1,0))</f>
        <v>0</v>
      </c>
      <c r="BI11" s="37">
        <f>IF('Get Started'!$E29="new investments",BI8,IF(BI$4&lt;='Get Started'!$E15+MAX('Get Started'!$E55:$H55,'Get Started'!$E65:$H65),1,0))</f>
        <v>0</v>
      </c>
      <c r="BJ11" s="37">
        <f>IF('Get Started'!$E29="new investments",BJ8,IF(BJ$4&lt;='Get Started'!$E15+MAX('Get Started'!$E55:$H55,'Get Started'!$E65:$H65),1,0))</f>
        <v>0</v>
      </c>
      <c r="BK11" s="37">
        <f>IF('Get Started'!$E29="new investments",BK8,IF(BK$4&lt;='Get Started'!$E15+MAX('Get Started'!$E55:$H55,'Get Started'!$E65:$H65),1,0))</f>
        <v>0</v>
      </c>
      <c r="BL11" s="37">
        <f>IF('Get Started'!$E29="new investments",BL8,IF(BL$4&lt;='Get Started'!$E15+MAX('Get Started'!$E55:$H55,'Get Started'!$E65:$H65),1,0))</f>
        <v>0</v>
      </c>
      <c r="BM11" s="37">
        <f>IF('Get Started'!$E29="new investments",BM8,IF(BM$4&lt;='Get Started'!$E15+MAX('Get Started'!$E55:$H55,'Get Started'!$E65:$H65),1,0))</f>
        <v>0</v>
      </c>
      <c r="BN11" s="37">
        <f>IF('Get Started'!$E29="new investments",BN8,IF(BN$4&lt;='Get Started'!$E15+MAX('Get Started'!$E55:$H55,'Get Started'!$E65:$H65),1,0))</f>
        <v>0</v>
      </c>
      <c r="BO11" s="37">
        <f>IF('Get Started'!$E29="new investments",BO8,IF(BO$4&lt;='Get Started'!$E15+MAX('Get Started'!$E55:$H55,'Get Started'!$E65:$H65),1,0))</f>
        <v>0</v>
      </c>
      <c r="BP11" s="37">
        <f>IF('Get Started'!$E29="new investments",BP8,IF(BP$4&lt;='Get Started'!$E15+MAX('Get Started'!$E55:$H55,'Get Started'!$E65:$H65),1,0))</f>
        <v>0</v>
      </c>
      <c r="BQ11" s="37">
        <f>IF('Get Started'!$E29="new investments",BQ8,IF(BQ$4&lt;='Get Started'!$E15+MAX('Get Started'!$E55:$H55,'Get Started'!$E65:$H65),1,0))</f>
        <v>0</v>
      </c>
      <c r="BR11" s="37">
        <f>IF('Get Started'!$E29="new investments",BR8,IF(BR$4&lt;='Get Started'!$E15+MAX('Get Started'!$E55:$H55,'Get Started'!$E65:$H65),1,0))</f>
        <v>0</v>
      </c>
      <c r="BS11" s="37">
        <f>IF('Get Started'!$E29="new investments",BS8,IF(BS$4&lt;='Get Started'!$E15+MAX('Get Started'!$E55:$H55,'Get Started'!$E65:$H65),1,0))</f>
        <v>0</v>
      </c>
      <c r="BT11" s="37">
        <f>IF('Get Started'!$E29="new investments",BT8,IF(BT$4&lt;='Get Started'!$E15+MAX('Get Started'!$E55:$H55,'Get Started'!$E65:$H65),1,0))</f>
        <v>0</v>
      </c>
      <c r="BU11" s="37">
        <f>IF('Get Started'!$E29="new investments",BU8,IF(BU$4&lt;='Get Started'!$E15+MAX('Get Started'!$E55:$H55,'Get Started'!$E65:$H65),1,0))</f>
        <v>0</v>
      </c>
      <c r="BV11" s="37">
        <f>IF('Get Started'!$E29="new investments",BV8,IF(BV$4&lt;='Get Started'!$E15+MAX('Get Started'!$E55:$H55,'Get Started'!$E65:$H65),1,0))</f>
        <v>0</v>
      </c>
      <c r="BW11" s="37">
        <f>IF('Get Started'!$E29="new investments",BW8,IF(BW$4&lt;='Get Started'!$E15+MAX('Get Started'!$E55:$H55,'Get Started'!$E65:$H65),1,0))</f>
        <v>0</v>
      </c>
      <c r="BX11" s="37">
        <f>IF('Get Started'!$E29="new investments",BX8,IF(BX$4&lt;='Get Started'!$E15+MAX('Get Started'!$E55:$H55,'Get Started'!$E65:$H65),1,0))</f>
        <v>0</v>
      </c>
      <c r="BY11" s="37">
        <f>IF('Get Started'!$E29="new investments",BY8,IF(BY$4&lt;='Get Started'!$E15+MAX('Get Started'!$E55:$H55,'Get Started'!$E65:$H65),1,0))</f>
        <v>0</v>
      </c>
      <c r="BZ11" s="37">
        <f>IF('Get Started'!$E29="new investments",BZ8,IF(BZ$4&lt;='Get Started'!$E15+MAX('Get Started'!$E55:$H55,'Get Started'!$E65:$H65),1,0))</f>
        <v>0</v>
      </c>
      <c r="CA11" s="37">
        <f>IF('Get Started'!$E29="new investments",CA8,IF(CA$4&lt;='Get Started'!$E15+MAX('Get Started'!$E55:$H55,'Get Started'!$E65:$H65),1,0))</f>
        <v>0</v>
      </c>
      <c r="CB11" s="37">
        <f>IF('Get Started'!$E29="new investments",CB8,IF(CB$4&lt;='Get Started'!$E15+MAX('Get Started'!$E55:$H55,'Get Started'!$E65:$H65),1,0))</f>
        <v>0</v>
      </c>
      <c r="CC11" s="37">
        <f>IF('Get Started'!$E29="new investments",CC8,IF(CC$4&lt;='Get Started'!$E15+MAX('Get Started'!$E55:$H55,'Get Started'!$E65:$H65),1,0))</f>
        <v>0</v>
      </c>
      <c r="CD11" s="37">
        <f>IF('Get Started'!$E29="new investments",CD8,IF(CD$4&lt;='Get Started'!$E15+MAX('Get Started'!$E55:$H55,'Get Started'!$E65:$H65),1,0))</f>
        <v>0</v>
      </c>
      <c r="CE11" s="37">
        <f>IF('Get Started'!$E29="new investments",CE8,IF(CE$4&lt;='Get Started'!$E15+MAX('Get Started'!$E55:$H55,'Get Started'!$E65:$H65),1,0))</f>
        <v>0</v>
      </c>
      <c r="CF11" s="37">
        <f>IF('Get Started'!$E29="new investments",CF8,IF(CF$4&lt;='Get Started'!$E15+MAX('Get Started'!$E55:$H55,'Get Started'!$E65:$H65),1,0))</f>
        <v>0</v>
      </c>
      <c r="CG11" s="37">
        <f>IF('Get Started'!$E29="new investments",CG8,IF(CG$4&lt;='Get Started'!$E15+MAX('Get Started'!$E55:$H55,'Get Started'!$E65:$H65),1,0))</f>
        <v>0</v>
      </c>
      <c r="CH11" s="37">
        <f>IF('Get Started'!$E29="new investments",CH8,IF(CH$4&lt;='Get Started'!$E15+MAX('Get Started'!$E55:$H55,'Get Started'!$E65:$H65),1,0))</f>
        <v>0</v>
      </c>
    </row>
    <row r="12" spans="1:86" ht="13">
      <c r="B12" s="15"/>
      <c r="C12" s="15"/>
      <c r="D12" s="15"/>
      <c r="E12" s="15"/>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row>
    <row r="13" spans="1:86" ht="13">
      <c r="B13" s="76" t="s">
        <v>241</v>
      </c>
      <c r="C13" s="15"/>
      <c r="D13" s="15"/>
      <c r="E13" s="15"/>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row>
    <row r="14" spans="1:86" ht="13">
      <c r="B14" s="15" t="s">
        <v>242</v>
      </c>
      <c r="D14" s="15" t="s">
        <v>238</v>
      </c>
      <c r="E14" s="77">
        <f t="shared" ref="E14:E17" si="3">IF(D14="sum",SUM(G14:CH14),IF(D14="final",CH14,IF(D14="initial",G14,IF(D14="average",AVERAGE(G14:CH14),0))))</f>
        <v>0.20000000000000009</v>
      </c>
      <c r="F14" s="29"/>
      <c r="G14" s="31">
        <f>IF(G9=1,'Get Started'!$E13/4,0)</f>
        <v>5.0000000000000001E-3</v>
      </c>
      <c r="H14" s="31">
        <f>IF(H9=1,'Get Started'!$E13/4,0)</f>
        <v>5.0000000000000001E-3</v>
      </c>
      <c r="I14" s="31">
        <f>IF(I9=1,'Get Started'!$E13/4,0)</f>
        <v>5.0000000000000001E-3</v>
      </c>
      <c r="J14" s="31">
        <f>IF(J9=1,'Get Started'!$E13/4,0)</f>
        <v>5.0000000000000001E-3</v>
      </c>
      <c r="K14" s="31">
        <f>IF(K9=1,'Get Started'!$E13/4,0)</f>
        <v>5.0000000000000001E-3</v>
      </c>
      <c r="L14" s="31">
        <f>IF(L9=1,'Get Started'!$E13/4,0)</f>
        <v>5.0000000000000001E-3</v>
      </c>
      <c r="M14" s="31">
        <f>IF(M9=1,'Get Started'!$E13/4,0)</f>
        <v>5.0000000000000001E-3</v>
      </c>
      <c r="N14" s="31">
        <f>IF(N9=1,'Get Started'!$E13/4,0)</f>
        <v>5.0000000000000001E-3</v>
      </c>
      <c r="O14" s="31">
        <f>IF(O9=1,'Get Started'!$E13/4,0)</f>
        <v>5.0000000000000001E-3</v>
      </c>
      <c r="P14" s="31">
        <f>IF(P9=1,'Get Started'!$E13/4,0)</f>
        <v>5.0000000000000001E-3</v>
      </c>
      <c r="Q14" s="31">
        <f>IF(Q9=1,'Get Started'!$E13/4,0)</f>
        <v>5.0000000000000001E-3</v>
      </c>
      <c r="R14" s="31">
        <f>IF(R9=1,'Get Started'!$E13/4,0)</f>
        <v>5.0000000000000001E-3</v>
      </c>
      <c r="S14" s="31">
        <f>IF(S9=1,'Get Started'!$E13/4,0)</f>
        <v>5.0000000000000001E-3</v>
      </c>
      <c r="T14" s="31">
        <f>IF(T9=1,'Get Started'!$E13/4,0)</f>
        <v>5.0000000000000001E-3</v>
      </c>
      <c r="U14" s="31">
        <f>IF(U9=1,'Get Started'!$E13/4,0)</f>
        <v>5.0000000000000001E-3</v>
      </c>
      <c r="V14" s="31">
        <f>IF(V9=1,'Get Started'!$E13/4,0)</f>
        <v>5.0000000000000001E-3</v>
      </c>
      <c r="W14" s="31">
        <f>IF(W9=1,'Get Started'!$E13/4,0)</f>
        <v>5.0000000000000001E-3</v>
      </c>
      <c r="X14" s="31">
        <f>IF(X9=1,'Get Started'!$E13/4,0)</f>
        <v>5.0000000000000001E-3</v>
      </c>
      <c r="Y14" s="31">
        <f>IF(Y9=1,'Get Started'!$E13/4,0)</f>
        <v>5.0000000000000001E-3</v>
      </c>
      <c r="Z14" s="31">
        <f>IF(Z9=1,'Get Started'!$E13/4,0)</f>
        <v>5.0000000000000001E-3</v>
      </c>
      <c r="AA14" s="31">
        <f>IF(AA9=1,'Get Started'!$E13/4,0)</f>
        <v>5.0000000000000001E-3</v>
      </c>
      <c r="AB14" s="31">
        <f>IF(AB9=1,'Get Started'!$E13/4,0)</f>
        <v>5.0000000000000001E-3</v>
      </c>
      <c r="AC14" s="31">
        <f>IF(AC9=1,'Get Started'!$E13/4,0)</f>
        <v>5.0000000000000001E-3</v>
      </c>
      <c r="AD14" s="31">
        <f>IF(AD9=1,'Get Started'!$E13/4,0)</f>
        <v>5.0000000000000001E-3</v>
      </c>
      <c r="AE14" s="31">
        <f>IF(AE9=1,'Get Started'!$E13/4,0)</f>
        <v>5.0000000000000001E-3</v>
      </c>
      <c r="AF14" s="31">
        <f>IF(AF9=1,'Get Started'!$E13/4,0)</f>
        <v>5.0000000000000001E-3</v>
      </c>
      <c r="AG14" s="31">
        <f>IF(AG9=1,'Get Started'!$E13/4,0)</f>
        <v>5.0000000000000001E-3</v>
      </c>
      <c r="AH14" s="31">
        <f>IF(AH9=1,'Get Started'!$E13/4,0)</f>
        <v>5.0000000000000001E-3</v>
      </c>
      <c r="AI14" s="31">
        <f>IF(AI9=1,'Get Started'!$E13/4,0)</f>
        <v>5.0000000000000001E-3</v>
      </c>
      <c r="AJ14" s="31">
        <f>IF(AJ9=1,'Get Started'!$E13/4,0)</f>
        <v>5.0000000000000001E-3</v>
      </c>
      <c r="AK14" s="31">
        <f>IF(AK9=1,'Get Started'!$E13/4,0)</f>
        <v>5.0000000000000001E-3</v>
      </c>
      <c r="AL14" s="31">
        <f>IF(AL9=1,'Get Started'!$E13/4,0)</f>
        <v>5.0000000000000001E-3</v>
      </c>
      <c r="AM14" s="31">
        <f>IF(AM9=1,'Get Started'!$E13/4,0)</f>
        <v>5.0000000000000001E-3</v>
      </c>
      <c r="AN14" s="31">
        <f>IF(AN9=1,'Get Started'!$E13/4,0)</f>
        <v>5.0000000000000001E-3</v>
      </c>
      <c r="AO14" s="31">
        <f>IF(AO9=1,'Get Started'!$E13/4,0)</f>
        <v>5.0000000000000001E-3</v>
      </c>
      <c r="AP14" s="31">
        <f>IF(AP9=1,'Get Started'!$E13/4,0)</f>
        <v>5.0000000000000001E-3</v>
      </c>
      <c r="AQ14" s="31">
        <f>IF(AQ9=1,'Get Started'!$E13/4,0)</f>
        <v>5.0000000000000001E-3</v>
      </c>
      <c r="AR14" s="31">
        <f>IF(AR9=1,'Get Started'!$E13/4,0)</f>
        <v>5.0000000000000001E-3</v>
      </c>
      <c r="AS14" s="31">
        <f>IF(AS9=1,'Get Started'!$E13/4,0)</f>
        <v>5.0000000000000001E-3</v>
      </c>
      <c r="AT14" s="31">
        <f>IF(AT9=1,'Get Started'!$E13/4,0)</f>
        <v>5.0000000000000001E-3</v>
      </c>
      <c r="AU14" s="31">
        <f>IF(AU9=1,'Get Started'!$E13/4,0)</f>
        <v>0</v>
      </c>
      <c r="AV14" s="31">
        <f>IF(AV9=1,'Get Started'!$E13/4,0)</f>
        <v>0</v>
      </c>
      <c r="AW14" s="31">
        <f>IF(AW9=1,'Get Started'!$E13/4,0)</f>
        <v>0</v>
      </c>
      <c r="AX14" s="31">
        <f>IF(AX9=1,'Get Started'!$E13/4,0)</f>
        <v>0</v>
      </c>
      <c r="AY14" s="31">
        <f>IF(AY9=1,'Get Started'!$E13/4,0)</f>
        <v>0</v>
      </c>
      <c r="AZ14" s="31">
        <f>IF(AZ9=1,'Get Started'!$E13/4,0)</f>
        <v>0</v>
      </c>
      <c r="BA14" s="31">
        <f>IF(BA9=1,'Get Started'!$E13/4,0)</f>
        <v>0</v>
      </c>
      <c r="BB14" s="31">
        <f>IF(BB9=1,'Get Started'!$E13/4,0)</f>
        <v>0</v>
      </c>
      <c r="BC14" s="31">
        <f>IF(BC9=1,'Get Started'!$E13/4,0)</f>
        <v>0</v>
      </c>
      <c r="BD14" s="31">
        <f>IF(BD9=1,'Get Started'!$E13/4,0)</f>
        <v>0</v>
      </c>
      <c r="BE14" s="31">
        <f>IF(BE9=1,'Get Started'!$E13/4,0)</f>
        <v>0</v>
      </c>
      <c r="BF14" s="31">
        <f>IF(BF9=1,'Get Started'!$E13/4,0)</f>
        <v>0</v>
      </c>
      <c r="BG14" s="31">
        <f>IF(BG9=1,'Get Started'!$E13/4,0)</f>
        <v>0</v>
      </c>
      <c r="BH14" s="31">
        <f>IF(BH9=1,'Get Started'!$E13/4,0)</f>
        <v>0</v>
      </c>
      <c r="BI14" s="31">
        <f>IF(BI9=1,'Get Started'!$E13/4,0)</f>
        <v>0</v>
      </c>
      <c r="BJ14" s="31">
        <f>IF(BJ9=1,'Get Started'!$E13/4,0)</f>
        <v>0</v>
      </c>
      <c r="BK14" s="31">
        <f>IF(BK9=1,'Get Started'!$E13/4,0)</f>
        <v>0</v>
      </c>
      <c r="BL14" s="31">
        <f>IF(BL9=1,'Get Started'!$E13/4,0)</f>
        <v>0</v>
      </c>
      <c r="BM14" s="31">
        <f>IF(BM9=1,'Get Started'!$E13/4,0)</f>
        <v>0</v>
      </c>
      <c r="BN14" s="31">
        <f>IF(BN9=1,'Get Started'!$E13/4,0)</f>
        <v>0</v>
      </c>
      <c r="BO14" s="31">
        <f>IF(BO9=1,'Get Started'!$E13/4,0)</f>
        <v>0</v>
      </c>
      <c r="BP14" s="31">
        <f>IF(BP9=1,'Get Started'!$E13/4,0)</f>
        <v>0</v>
      </c>
      <c r="BQ14" s="31">
        <f>IF(BQ9=1,'Get Started'!$E13/4,0)</f>
        <v>0</v>
      </c>
      <c r="BR14" s="31">
        <f>IF(BR9=1,'Get Started'!$E13/4,0)</f>
        <v>0</v>
      </c>
      <c r="BS14" s="31">
        <f>IF(BS9=1,'Get Started'!$E13/4,0)</f>
        <v>0</v>
      </c>
      <c r="BT14" s="31">
        <f>IF(BT9=1,'Get Started'!$E13/4,0)</f>
        <v>0</v>
      </c>
      <c r="BU14" s="31">
        <f>IF(BU9=1,'Get Started'!$E13/4,0)</f>
        <v>0</v>
      </c>
      <c r="BV14" s="31">
        <f>IF(BV9=1,'Get Started'!$E13/4,0)</f>
        <v>0</v>
      </c>
      <c r="BW14" s="31">
        <f>IF(BW9=1,'Get Started'!$E13/4,0)</f>
        <v>0</v>
      </c>
      <c r="BX14" s="31">
        <f>IF(BX9=1,'Get Started'!$E13/4,0)</f>
        <v>0</v>
      </c>
      <c r="BY14" s="31">
        <f>IF(BY9=1,'Get Started'!$E13/4,0)</f>
        <v>0</v>
      </c>
      <c r="BZ14" s="31">
        <f>IF(BZ9=1,'Get Started'!$E13/4,0)</f>
        <v>0</v>
      </c>
      <c r="CA14" s="31">
        <f>IF(CA9=1,'Get Started'!$E13/4,0)</f>
        <v>0</v>
      </c>
      <c r="CB14" s="31">
        <f>IF(CB9=1,'Get Started'!$E13/4,0)</f>
        <v>0</v>
      </c>
      <c r="CC14" s="31">
        <f>IF(CC9=1,'Get Started'!$E13/4,0)</f>
        <v>0</v>
      </c>
      <c r="CD14" s="31">
        <f>IF(CD9=1,'Get Started'!$E13/4,0)</f>
        <v>0</v>
      </c>
      <c r="CE14" s="31">
        <f>IF(CE9=1,'Get Started'!$E13/4,0)</f>
        <v>0</v>
      </c>
      <c r="CF14" s="31">
        <f>IF(CF9=1,'Get Started'!$E13/4,0)</f>
        <v>0</v>
      </c>
      <c r="CG14" s="31">
        <f>IF(CG9=1,'Get Started'!$E13/4,0)</f>
        <v>0</v>
      </c>
      <c r="CH14" s="31">
        <f>IF(CH9=1,'Get Started'!$E13/4,0)</f>
        <v>0</v>
      </c>
    </row>
    <row r="15" spans="1:86" ht="13">
      <c r="B15" s="15" t="str">
        <f>"Management Fees based on "&amp;G15&amp;" capital. Can change per period if method for calc changes."</f>
        <v>Management Fees based on committed capital. Can change per period if method for calc changes.</v>
      </c>
      <c r="D15" s="15" t="s">
        <v>238</v>
      </c>
      <c r="E15" s="29">
        <f t="shared" si="3"/>
        <v>0</v>
      </c>
      <c r="F15" s="29"/>
      <c r="G15" s="78" t="s">
        <v>357</v>
      </c>
      <c r="H15" s="78" t="str">
        <f t="shared" ref="H15:CH15" si="4">G15</f>
        <v>committed</v>
      </c>
      <c r="I15" s="78" t="str">
        <f t="shared" si="4"/>
        <v>committed</v>
      </c>
      <c r="J15" s="78" t="str">
        <f t="shared" si="4"/>
        <v>committed</v>
      </c>
      <c r="K15" s="78" t="str">
        <f t="shared" si="4"/>
        <v>committed</v>
      </c>
      <c r="L15" s="78" t="str">
        <f t="shared" si="4"/>
        <v>committed</v>
      </c>
      <c r="M15" s="78" t="str">
        <f t="shared" si="4"/>
        <v>committed</v>
      </c>
      <c r="N15" s="78" t="str">
        <f t="shared" si="4"/>
        <v>committed</v>
      </c>
      <c r="O15" s="78" t="str">
        <f t="shared" si="4"/>
        <v>committed</v>
      </c>
      <c r="P15" s="78" t="str">
        <f t="shared" si="4"/>
        <v>committed</v>
      </c>
      <c r="Q15" s="78" t="str">
        <f t="shared" si="4"/>
        <v>committed</v>
      </c>
      <c r="R15" s="78" t="str">
        <f t="shared" si="4"/>
        <v>committed</v>
      </c>
      <c r="S15" s="78" t="str">
        <f t="shared" si="4"/>
        <v>committed</v>
      </c>
      <c r="T15" s="78" t="str">
        <f t="shared" si="4"/>
        <v>committed</v>
      </c>
      <c r="U15" s="78" t="str">
        <f t="shared" si="4"/>
        <v>committed</v>
      </c>
      <c r="V15" s="78" t="str">
        <f t="shared" si="4"/>
        <v>committed</v>
      </c>
      <c r="W15" s="78" t="str">
        <f t="shared" si="4"/>
        <v>committed</v>
      </c>
      <c r="X15" s="78" t="str">
        <f t="shared" si="4"/>
        <v>committed</v>
      </c>
      <c r="Y15" s="78" t="str">
        <f t="shared" si="4"/>
        <v>committed</v>
      </c>
      <c r="Z15" s="78" t="str">
        <f t="shared" si="4"/>
        <v>committed</v>
      </c>
      <c r="AA15" s="78" t="str">
        <f t="shared" si="4"/>
        <v>committed</v>
      </c>
      <c r="AB15" s="78" t="str">
        <f t="shared" si="4"/>
        <v>committed</v>
      </c>
      <c r="AC15" s="78" t="str">
        <f t="shared" si="4"/>
        <v>committed</v>
      </c>
      <c r="AD15" s="78" t="str">
        <f t="shared" si="4"/>
        <v>committed</v>
      </c>
      <c r="AE15" s="78" t="str">
        <f t="shared" si="4"/>
        <v>committed</v>
      </c>
      <c r="AF15" s="78" t="str">
        <f t="shared" si="4"/>
        <v>committed</v>
      </c>
      <c r="AG15" s="78" t="str">
        <f t="shared" si="4"/>
        <v>committed</v>
      </c>
      <c r="AH15" s="78" t="str">
        <f t="shared" si="4"/>
        <v>committed</v>
      </c>
      <c r="AI15" s="78" t="str">
        <f t="shared" si="4"/>
        <v>committed</v>
      </c>
      <c r="AJ15" s="78" t="str">
        <f t="shared" si="4"/>
        <v>committed</v>
      </c>
      <c r="AK15" s="78" t="str">
        <f t="shared" si="4"/>
        <v>committed</v>
      </c>
      <c r="AL15" s="78" t="str">
        <f t="shared" si="4"/>
        <v>committed</v>
      </c>
      <c r="AM15" s="78" t="str">
        <f t="shared" si="4"/>
        <v>committed</v>
      </c>
      <c r="AN15" s="78" t="str">
        <f t="shared" si="4"/>
        <v>committed</v>
      </c>
      <c r="AO15" s="78" t="str">
        <f t="shared" si="4"/>
        <v>committed</v>
      </c>
      <c r="AP15" s="78" t="str">
        <f t="shared" si="4"/>
        <v>committed</v>
      </c>
      <c r="AQ15" s="78" t="str">
        <f t="shared" si="4"/>
        <v>committed</v>
      </c>
      <c r="AR15" s="78" t="str">
        <f t="shared" si="4"/>
        <v>committed</v>
      </c>
      <c r="AS15" s="78" t="str">
        <f t="shared" si="4"/>
        <v>committed</v>
      </c>
      <c r="AT15" s="78" t="str">
        <f t="shared" si="4"/>
        <v>committed</v>
      </c>
      <c r="AU15" s="78" t="str">
        <f t="shared" si="4"/>
        <v>committed</v>
      </c>
      <c r="AV15" s="78" t="str">
        <f t="shared" si="4"/>
        <v>committed</v>
      </c>
      <c r="AW15" s="78" t="str">
        <f t="shared" si="4"/>
        <v>committed</v>
      </c>
      <c r="AX15" s="78" t="str">
        <f t="shared" si="4"/>
        <v>committed</v>
      </c>
      <c r="AY15" s="78" t="str">
        <f t="shared" si="4"/>
        <v>committed</v>
      </c>
      <c r="AZ15" s="78" t="str">
        <f t="shared" si="4"/>
        <v>committed</v>
      </c>
      <c r="BA15" s="78" t="str">
        <f t="shared" si="4"/>
        <v>committed</v>
      </c>
      <c r="BB15" s="78" t="str">
        <f t="shared" si="4"/>
        <v>committed</v>
      </c>
      <c r="BC15" s="78" t="str">
        <f t="shared" si="4"/>
        <v>committed</v>
      </c>
      <c r="BD15" s="78" t="str">
        <f t="shared" si="4"/>
        <v>committed</v>
      </c>
      <c r="BE15" s="78" t="str">
        <f t="shared" si="4"/>
        <v>committed</v>
      </c>
      <c r="BF15" s="78" t="str">
        <f t="shared" si="4"/>
        <v>committed</v>
      </c>
      <c r="BG15" s="78" t="str">
        <f t="shared" si="4"/>
        <v>committed</v>
      </c>
      <c r="BH15" s="78" t="str">
        <f t="shared" si="4"/>
        <v>committed</v>
      </c>
      <c r="BI15" s="78" t="str">
        <f t="shared" si="4"/>
        <v>committed</v>
      </c>
      <c r="BJ15" s="78" t="str">
        <f t="shared" si="4"/>
        <v>committed</v>
      </c>
      <c r="BK15" s="78" t="str">
        <f t="shared" si="4"/>
        <v>committed</v>
      </c>
      <c r="BL15" s="78" t="str">
        <f t="shared" si="4"/>
        <v>committed</v>
      </c>
      <c r="BM15" s="78" t="str">
        <f t="shared" si="4"/>
        <v>committed</v>
      </c>
      <c r="BN15" s="78" t="str">
        <f t="shared" si="4"/>
        <v>committed</v>
      </c>
      <c r="BO15" s="78" t="str">
        <f t="shared" si="4"/>
        <v>committed</v>
      </c>
      <c r="BP15" s="78" t="str">
        <f t="shared" si="4"/>
        <v>committed</v>
      </c>
      <c r="BQ15" s="78" t="str">
        <f t="shared" si="4"/>
        <v>committed</v>
      </c>
      <c r="BR15" s="78" t="str">
        <f t="shared" si="4"/>
        <v>committed</v>
      </c>
      <c r="BS15" s="78" t="str">
        <f t="shared" si="4"/>
        <v>committed</v>
      </c>
      <c r="BT15" s="78" t="str">
        <f t="shared" si="4"/>
        <v>committed</v>
      </c>
      <c r="BU15" s="78" t="str">
        <f t="shared" si="4"/>
        <v>committed</v>
      </c>
      <c r="BV15" s="78" t="str">
        <f t="shared" si="4"/>
        <v>committed</v>
      </c>
      <c r="BW15" s="78" t="str">
        <f t="shared" si="4"/>
        <v>committed</v>
      </c>
      <c r="BX15" s="78" t="str">
        <f t="shared" si="4"/>
        <v>committed</v>
      </c>
      <c r="BY15" s="78" t="str">
        <f t="shared" si="4"/>
        <v>committed</v>
      </c>
      <c r="BZ15" s="78" t="str">
        <f t="shared" si="4"/>
        <v>committed</v>
      </c>
      <c r="CA15" s="78" t="str">
        <f t="shared" si="4"/>
        <v>committed</v>
      </c>
      <c r="CB15" s="78" t="str">
        <f t="shared" si="4"/>
        <v>committed</v>
      </c>
      <c r="CC15" s="78" t="str">
        <f t="shared" si="4"/>
        <v>committed</v>
      </c>
      <c r="CD15" s="78" t="str">
        <f t="shared" si="4"/>
        <v>committed</v>
      </c>
      <c r="CE15" s="78" t="str">
        <f t="shared" si="4"/>
        <v>committed</v>
      </c>
      <c r="CF15" s="78" t="str">
        <f t="shared" si="4"/>
        <v>committed</v>
      </c>
      <c r="CG15" s="78" t="str">
        <f t="shared" si="4"/>
        <v>committed</v>
      </c>
      <c r="CH15" s="78" t="str">
        <f t="shared" si="4"/>
        <v>committed</v>
      </c>
    </row>
    <row r="16" spans="1:86" ht="13">
      <c r="A16" s="13"/>
      <c r="B16" s="13" t="s">
        <v>243</v>
      </c>
      <c r="C16" s="122" t="b">
        <v>0</v>
      </c>
      <c r="D16" s="15" t="s">
        <v>238</v>
      </c>
      <c r="E16" s="37">
        <f t="shared" si="3"/>
        <v>0</v>
      </c>
      <c r="F16" s="48"/>
      <c r="G16" s="37">
        <f>IF($C16=TRUE,G31*'Get Started'!$E10,0)</f>
        <v>0</v>
      </c>
      <c r="H16" s="37">
        <f>IF($C16=TRUE,H31*'Get Started'!$E10,0)</f>
        <v>0</v>
      </c>
      <c r="I16" s="37">
        <f>IF($C16=TRUE,I31*'Get Started'!$E10,0)</f>
        <v>0</v>
      </c>
      <c r="J16" s="37">
        <f>IF($C16=TRUE,J31*'Get Started'!$E10,0)</f>
        <v>0</v>
      </c>
      <c r="K16" s="37">
        <f>IF($C16=TRUE,K31*'Get Started'!$E10,0)</f>
        <v>0</v>
      </c>
      <c r="L16" s="37">
        <f>IF($C16=TRUE,L31*'Get Started'!$E10,0)</f>
        <v>0</v>
      </c>
      <c r="M16" s="37">
        <f>IF($C16=TRUE,M31*'Get Started'!$E10,0)</f>
        <v>0</v>
      </c>
      <c r="N16" s="37">
        <f>IF($C16=TRUE,N31*'Get Started'!$E10,0)</f>
        <v>0</v>
      </c>
      <c r="O16" s="37">
        <f>IF($C16=TRUE,O31*'Get Started'!$E10,0)</f>
        <v>0</v>
      </c>
      <c r="P16" s="37">
        <f>IF($C16=TRUE,P31*'Get Started'!$E10,0)</f>
        <v>0</v>
      </c>
      <c r="Q16" s="37">
        <f>IF($C16=TRUE,Q31*'Get Started'!$E10,0)</f>
        <v>0</v>
      </c>
      <c r="R16" s="37">
        <f>IF($C16=TRUE,R31*'Get Started'!$E10,0)</f>
        <v>0</v>
      </c>
      <c r="S16" s="37">
        <f>IF($C16=TRUE,S31*'Get Started'!$E10,0)</f>
        <v>0</v>
      </c>
      <c r="T16" s="37">
        <f>IF($C16=TRUE,T31*'Get Started'!$E10,0)</f>
        <v>0</v>
      </c>
      <c r="U16" s="37">
        <f>IF($C16=TRUE,U31*'Get Started'!$E10,0)</f>
        <v>0</v>
      </c>
      <c r="V16" s="37">
        <f>IF($C16=TRUE,V31*'Get Started'!$E10,0)</f>
        <v>0</v>
      </c>
      <c r="W16" s="37">
        <f>IF($C16=TRUE,W31*'Get Started'!$E10,0)</f>
        <v>0</v>
      </c>
      <c r="X16" s="37">
        <f>IF($C16=TRUE,X31*'Get Started'!$E10,0)</f>
        <v>0</v>
      </c>
      <c r="Y16" s="37">
        <f>IF($C16=TRUE,Y31*'Get Started'!$E10,0)</f>
        <v>0</v>
      </c>
      <c r="Z16" s="37">
        <f>IF($C16=TRUE,Z31*'Get Started'!$E10,0)</f>
        <v>0</v>
      </c>
      <c r="AA16" s="37">
        <f>IF($C16=TRUE,AA31*'Get Started'!$E10,0)</f>
        <v>0</v>
      </c>
      <c r="AB16" s="37">
        <f>IF($C16=TRUE,AB31*'Get Started'!$E10,0)</f>
        <v>0</v>
      </c>
      <c r="AC16" s="37">
        <f>IF($C16=TRUE,AC31*'Get Started'!$E10,0)</f>
        <v>0</v>
      </c>
      <c r="AD16" s="37">
        <f>IF($C16=TRUE,AD31*'Get Started'!$E10,0)</f>
        <v>0</v>
      </c>
      <c r="AE16" s="37">
        <f>IF($C16=TRUE,AE31*'Get Started'!$E10,0)</f>
        <v>0</v>
      </c>
      <c r="AF16" s="37">
        <f>IF($C16=TRUE,AF31*'Get Started'!$E10,0)</f>
        <v>0</v>
      </c>
      <c r="AG16" s="37">
        <f>IF($C16=TRUE,AG31*'Get Started'!$E10,0)</f>
        <v>0</v>
      </c>
      <c r="AH16" s="37">
        <f>IF($C16=TRUE,AH31*'Get Started'!$E10,0)</f>
        <v>0</v>
      </c>
      <c r="AI16" s="37">
        <f>IF($C16=TRUE,AI31*'Get Started'!$E10,0)</f>
        <v>0</v>
      </c>
      <c r="AJ16" s="37">
        <f>IF($C16=TRUE,AJ31*'Get Started'!$E10,0)</f>
        <v>0</v>
      </c>
      <c r="AK16" s="37">
        <f>IF($C16=TRUE,AK31*'Get Started'!$E10,0)</f>
        <v>0</v>
      </c>
      <c r="AL16" s="37">
        <f>IF($C16=TRUE,AL31*'Get Started'!$E10,0)</f>
        <v>0</v>
      </c>
      <c r="AM16" s="37">
        <f>IF($C16=TRUE,AM31*'Get Started'!$E10,0)</f>
        <v>0</v>
      </c>
      <c r="AN16" s="37">
        <f>IF($C16=TRUE,AN31*'Get Started'!$E10,0)</f>
        <v>0</v>
      </c>
      <c r="AO16" s="37">
        <f>IF($C16=TRUE,AO31*'Get Started'!$E10,0)</f>
        <v>0</v>
      </c>
      <c r="AP16" s="37">
        <f>IF($C16=TRUE,AP31*'Get Started'!$E10,0)</f>
        <v>0</v>
      </c>
      <c r="AQ16" s="37">
        <f>IF($C16=TRUE,AQ31*'Get Started'!$E10,0)</f>
        <v>0</v>
      </c>
      <c r="AR16" s="37">
        <f>IF($C16=TRUE,AR31*'Get Started'!$E10,0)</f>
        <v>0</v>
      </c>
      <c r="AS16" s="37">
        <f>IF($C16=TRUE,AS31*'Get Started'!$E10,0)</f>
        <v>0</v>
      </c>
      <c r="AT16" s="37">
        <f>IF($C16=TRUE,AT31*'Get Started'!$E10,0)</f>
        <v>0</v>
      </c>
      <c r="AU16" s="37">
        <f>IF($C16=TRUE,AU31*'Get Started'!$E10,0)</f>
        <v>0</v>
      </c>
      <c r="AV16" s="37">
        <f>IF($C16=TRUE,AV31*'Get Started'!$E10,0)</f>
        <v>0</v>
      </c>
      <c r="AW16" s="37">
        <f>IF($C16=TRUE,AW31*'Get Started'!$E10,0)</f>
        <v>0</v>
      </c>
      <c r="AX16" s="37">
        <f>IF($C16=TRUE,AX31*'Get Started'!$E10,0)</f>
        <v>0</v>
      </c>
      <c r="AY16" s="37">
        <f>IF($C16=TRUE,AY31*'Get Started'!$E10,0)</f>
        <v>0</v>
      </c>
      <c r="AZ16" s="37">
        <f>IF($C16=TRUE,AZ31*'Get Started'!$E10,0)</f>
        <v>0</v>
      </c>
      <c r="BA16" s="37">
        <f>IF($C16=TRUE,BA31*'Get Started'!$E10,0)</f>
        <v>0</v>
      </c>
      <c r="BB16" s="37">
        <f>IF($C16=TRUE,BB31*'Get Started'!$E10,0)</f>
        <v>0</v>
      </c>
      <c r="BC16" s="37">
        <f>IF($C16=TRUE,BC31*'Get Started'!$E10,0)</f>
        <v>0</v>
      </c>
      <c r="BD16" s="37">
        <f>IF($C16=TRUE,BD31*'Get Started'!$E10,0)</f>
        <v>0</v>
      </c>
      <c r="BE16" s="37">
        <f>IF($C16=TRUE,BE31*'Get Started'!$E10,0)</f>
        <v>0</v>
      </c>
      <c r="BF16" s="37">
        <f>IF($C16=TRUE,BF31*'Get Started'!$E10,0)</f>
        <v>0</v>
      </c>
      <c r="BG16" s="37">
        <f>IF($C16=TRUE,BG31*'Get Started'!$E10,0)</f>
        <v>0</v>
      </c>
      <c r="BH16" s="37">
        <f>IF($C16=TRUE,BH31*'Get Started'!$E10,0)</f>
        <v>0</v>
      </c>
      <c r="BI16" s="37">
        <f>IF($C16=TRUE,BI31*'Get Started'!$E10,0)</f>
        <v>0</v>
      </c>
      <c r="BJ16" s="37">
        <f>IF($C16=TRUE,BJ31*'Get Started'!$E10,0)</f>
        <v>0</v>
      </c>
      <c r="BK16" s="37">
        <f>IF($C16=TRUE,BK31*'Get Started'!$E10,0)</f>
        <v>0</v>
      </c>
      <c r="BL16" s="37">
        <f>IF($C16=TRUE,BL31*'Get Started'!$E10,0)</f>
        <v>0</v>
      </c>
      <c r="BM16" s="37">
        <f>IF($C16=TRUE,BM31*'Get Started'!$E10,0)</f>
        <v>0</v>
      </c>
      <c r="BN16" s="37">
        <f>IF($C16=TRUE,BN31*'Get Started'!$E10,0)</f>
        <v>0</v>
      </c>
      <c r="BO16" s="37">
        <f>IF($C16=TRUE,BO31*'Get Started'!$E10,0)</f>
        <v>0</v>
      </c>
      <c r="BP16" s="37">
        <f>IF($C16=TRUE,BP31*'Get Started'!$E10,0)</f>
        <v>0</v>
      </c>
      <c r="BQ16" s="37">
        <f>IF($C16=TRUE,BQ31*'Get Started'!$E10,0)</f>
        <v>0</v>
      </c>
      <c r="BR16" s="37">
        <f>IF($C16=TRUE,BR31*'Get Started'!$E10,0)</f>
        <v>0</v>
      </c>
      <c r="BS16" s="37">
        <f>IF($C16=TRUE,BS31*'Get Started'!$E10,0)</f>
        <v>0</v>
      </c>
      <c r="BT16" s="37">
        <f>IF($C16=TRUE,BT31*'Get Started'!$E10,0)</f>
        <v>0</v>
      </c>
      <c r="BU16" s="37">
        <f>IF($C16=TRUE,BU31*'Get Started'!$E10,0)</f>
        <v>0</v>
      </c>
      <c r="BV16" s="37">
        <f>IF($C16=TRUE,BV31*'Get Started'!$E10,0)</f>
        <v>0</v>
      </c>
      <c r="BW16" s="37">
        <f>IF($C16=TRUE,BW31*'Get Started'!$E10,0)</f>
        <v>0</v>
      </c>
      <c r="BX16" s="37">
        <f>IF($C16=TRUE,BX31*'Get Started'!$E10,0)</f>
        <v>0</v>
      </c>
      <c r="BY16" s="37">
        <f>IF($C16=TRUE,BY31*'Get Started'!$E10,0)</f>
        <v>0</v>
      </c>
      <c r="BZ16" s="37">
        <f>IF($C16=TRUE,BZ31*'Get Started'!$E10,0)</f>
        <v>0</v>
      </c>
      <c r="CA16" s="37">
        <f>IF($C16=TRUE,CA31*'Get Started'!$E10,0)</f>
        <v>0</v>
      </c>
      <c r="CB16" s="37">
        <f>IF($C16=TRUE,CB31*'Get Started'!$E10,0)</f>
        <v>0</v>
      </c>
      <c r="CC16" s="37">
        <f>IF($C16=TRUE,CC31*'Get Started'!$E10,0)</f>
        <v>0</v>
      </c>
      <c r="CD16" s="37">
        <f>IF($C16=TRUE,CD31*'Get Started'!$E10,0)</f>
        <v>0</v>
      </c>
      <c r="CE16" s="37">
        <f>IF($C16=TRUE,CE31*'Get Started'!$E10,0)</f>
        <v>0</v>
      </c>
      <c r="CF16" s="37">
        <f>IF($C16=TRUE,CF31*'Get Started'!$E10,0)</f>
        <v>0</v>
      </c>
      <c r="CG16" s="37">
        <f>IF($C16=TRUE,CG31*'Get Started'!$E10,0)</f>
        <v>0</v>
      </c>
      <c r="CH16" s="37">
        <f>IF($C16=TRUE,CH31*'Get Started'!$E10,0)</f>
        <v>0</v>
      </c>
    </row>
    <row r="17" spans="1:86" ht="13">
      <c r="B17" s="15" t="s">
        <v>244</v>
      </c>
      <c r="C17" s="122" t="b">
        <v>1</v>
      </c>
      <c r="D17" s="15" t="s">
        <v>238</v>
      </c>
      <c r="E17" s="37">
        <f t="shared" ca="1" si="3"/>
        <v>500000</v>
      </c>
      <c r="F17" s="29"/>
      <c r="G17" s="37">
        <f ca="1">IF($C17=TRUE,G31*'Get Started'!$E10,0)</f>
        <v>28887.5</v>
      </c>
      <c r="H17" s="37">
        <f ca="1">IF($C17=TRUE,H31*'Get Started'!$E10,0)</f>
        <v>26887.5</v>
      </c>
      <c r="I17" s="37">
        <f ca="1">IF($C17=TRUE,I31*'Get Started'!$E10,0)</f>
        <v>26887.5</v>
      </c>
      <c r="J17" s="37">
        <f ca="1">IF($C17=TRUE,J31*'Get Started'!$E10,0)</f>
        <v>26887.5</v>
      </c>
      <c r="K17" s="37">
        <f ca="1">IF($C17=TRUE,K31*'Get Started'!$E10,0)</f>
        <v>26887.5</v>
      </c>
      <c r="L17" s="37">
        <f ca="1">IF($C17=TRUE,L31*'Get Started'!$E10,0)</f>
        <v>26887.5</v>
      </c>
      <c r="M17" s="37">
        <f ca="1">IF($C17=TRUE,M31*'Get Started'!$E10,0)</f>
        <v>26887.5</v>
      </c>
      <c r="N17" s="37">
        <f ca="1">IF($C17=TRUE,N31*'Get Started'!$E10,0)</f>
        <v>26887.5</v>
      </c>
      <c r="O17" s="37">
        <f ca="1">IF($C17=TRUE,O31*'Get Started'!$E10,0)</f>
        <v>26887.5</v>
      </c>
      <c r="P17" s="37">
        <f ca="1">IF($C17=TRUE,P31*'Get Started'!$E10,0)</f>
        <v>26887.5</v>
      </c>
      <c r="Q17" s="37">
        <f ca="1">IF($C17=TRUE,Q31*'Get Started'!$E10,0)</f>
        <v>26887.5</v>
      </c>
      <c r="R17" s="37">
        <f ca="1">IF($C17=TRUE,R31*'Get Started'!$E10,0)</f>
        <v>26887.5</v>
      </c>
      <c r="S17" s="37">
        <f ca="1">IF($C17=TRUE,S31*'Get Started'!$E10,0)</f>
        <v>26887.5</v>
      </c>
      <c r="T17" s="37">
        <f ca="1">IF($C17=TRUE,T31*'Get Started'!$E10,0)</f>
        <v>26887.5</v>
      </c>
      <c r="U17" s="37">
        <f ca="1">IF($C17=TRUE,U31*'Get Started'!$E10,0)</f>
        <v>26887.5</v>
      </c>
      <c r="V17" s="37">
        <f ca="1">IF($C17=TRUE,V31*'Get Started'!$E10,0)</f>
        <v>26887.5</v>
      </c>
      <c r="W17" s="37">
        <f ca="1">IF($C17=TRUE,W31*'Get Started'!$E10,0)</f>
        <v>2825</v>
      </c>
      <c r="X17" s="37">
        <f ca="1">IF($C17=TRUE,X31*'Get Started'!$E10,0)</f>
        <v>2825</v>
      </c>
      <c r="Y17" s="37">
        <f ca="1">IF($C17=TRUE,Y31*'Get Started'!$E10,0)</f>
        <v>2825</v>
      </c>
      <c r="Z17" s="37">
        <f ca="1">IF($C17=TRUE,Z31*'Get Started'!$E10,0)</f>
        <v>2825</v>
      </c>
      <c r="AA17" s="37">
        <f ca="1">IF($C17=TRUE,AA31*'Get Started'!$E10,0)</f>
        <v>2825</v>
      </c>
      <c r="AB17" s="37">
        <f ca="1">IF($C17=TRUE,AB31*'Get Started'!$E10,0)</f>
        <v>2825</v>
      </c>
      <c r="AC17" s="37">
        <f ca="1">IF($C17=TRUE,AC31*'Get Started'!$E10,0)</f>
        <v>2825</v>
      </c>
      <c r="AD17" s="37">
        <f ca="1">IF($C17=TRUE,AD31*'Get Started'!$E10,0)</f>
        <v>2825</v>
      </c>
      <c r="AE17" s="37">
        <f ca="1">IF($C17=TRUE,AE31*'Get Started'!$E10,0)</f>
        <v>2825</v>
      </c>
      <c r="AF17" s="37">
        <f ca="1">IF($C17=TRUE,AF31*'Get Started'!$E10,0)</f>
        <v>2825</v>
      </c>
      <c r="AG17" s="37">
        <f ca="1">IF($C17=TRUE,AG31*'Get Started'!$E10,0)</f>
        <v>2825</v>
      </c>
      <c r="AH17" s="37">
        <f ca="1">IF($C17=TRUE,AH31*'Get Started'!$E10,0)</f>
        <v>2825</v>
      </c>
      <c r="AI17" s="37">
        <f ca="1">IF($C17=TRUE,AI31*'Get Started'!$E10,0)</f>
        <v>2825</v>
      </c>
      <c r="AJ17" s="37">
        <f ca="1">IF($C17=TRUE,AJ31*'Get Started'!$E10,0)</f>
        <v>2825</v>
      </c>
      <c r="AK17" s="37">
        <f ca="1">IF($C17=TRUE,AK31*'Get Started'!$E10,0)</f>
        <v>2825</v>
      </c>
      <c r="AL17" s="37">
        <f ca="1">IF($C17=TRUE,AL31*'Get Started'!$E10,0)</f>
        <v>2825</v>
      </c>
      <c r="AM17" s="37">
        <f ca="1">IF($C17=TRUE,AM31*'Get Started'!$E10,0)</f>
        <v>2825</v>
      </c>
      <c r="AN17" s="37">
        <f ca="1">IF($C17=TRUE,AN31*'Get Started'!$E10,0)</f>
        <v>2825</v>
      </c>
      <c r="AO17" s="37">
        <f ca="1">IF($C17=TRUE,AO31*'Get Started'!$E10,0)</f>
        <v>2825</v>
      </c>
      <c r="AP17" s="37">
        <f ca="1">IF($C17=TRUE,AP31*'Get Started'!$E10,0)</f>
        <v>2825</v>
      </c>
      <c r="AQ17" s="37">
        <f ca="1">IF($C17=TRUE,AQ31*'Get Started'!$E10,0)</f>
        <v>2825</v>
      </c>
      <c r="AR17" s="37">
        <f ca="1">IF($C17=TRUE,AR31*'Get Started'!$E10,0)</f>
        <v>2825</v>
      </c>
      <c r="AS17" s="37">
        <f ca="1">IF($C17=TRUE,AS31*'Get Started'!$E10,0)</f>
        <v>2825</v>
      </c>
      <c r="AT17" s="37">
        <f ca="1">IF($C17=TRUE,AT31*'Get Started'!$E10,0)</f>
        <v>2825</v>
      </c>
      <c r="AU17" s="37">
        <f ca="1">IF($C17=TRUE,AU31*'Get Started'!$E10,0)</f>
        <v>0</v>
      </c>
      <c r="AV17" s="37">
        <f ca="1">IF($C17=TRUE,AV31*'Get Started'!$E10,0)</f>
        <v>0</v>
      </c>
      <c r="AW17" s="37">
        <f ca="1">IF($C17=TRUE,AW31*'Get Started'!$E10,0)</f>
        <v>0</v>
      </c>
      <c r="AX17" s="37">
        <f ca="1">IF($C17=TRUE,AX31*'Get Started'!$E10,0)</f>
        <v>0</v>
      </c>
      <c r="AY17" s="37">
        <f ca="1">IF($C17=TRUE,AY31*'Get Started'!$E10,0)</f>
        <v>0</v>
      </c>
      <c r="AZ17" s="37">
        <f ca="1">IF($C17=TRUE,AZ31*'Get Started'!$E10,0)</f>
        <v>0</v>
      </c>
      <c r="BA17" s="37">
        <f ca="1">IF($C17=TRUE,BA31*'Get Started'!$E10,0)</f>
        <v>0</v>
      </c>
      <c r="BB17" s="37">
        <f ca="1">IF($C17=TRUE,BB31*'Get Started'!$E10,0)</f>
        <v>0</v>
      </c>
      <c r="BC17" s="37">
        <f ca="1">IF($C17=TRUE,BC31*'Get Started'!$E10,0)</f>
        <v>0</v>
      </c>
      <c r="BD17" s="37">
        <f ca="1">IF($C17=TRUE,BD31*'Get Started'!$E10,0)</f>
        <v>0</v>
      </c>
      <c r="BE17" s="37">
        <f ca="1">IF($C17=TRUE,BE31*'Get Started'!$E10,0)</f>
        <v>0</v>
      </c>
      <c r="BF17" s="37">
        <f ca="1">IF($C17=TRUE,BF31*'Get Started'!$E10,0)</f>
        <v>0</v>
      </c>
      <c r="BG17" s="37">
        <f ca="1">IF($C17=TRUE,BG31*'Get Started'!$E10,0)</f>
        <v>0</v>
      </c>
      <c r="BH17" s="37">
        <f ca="1">IF($C17=TRUE,BH31*'Get Started'!$E10,0)</f>
        <v>0</v>
      </c>
      <c r="BI17" s="37">
        <f ca="1">IF($C17=TRUE,BI31*'Get Started'!$E10,0)</f>
        <v>0</v>
      </c>
      <c r="BJ17" s="37">
        <f ca="1">IF($C17=TRUE,BJ31*'Get Started'!$E10,0)</f>
        <v>0</v>
      </c>
      <c r="BK17" s="37">
        <f ca="1">IF($C17=TRUE,BK31*'Get Started'!$E10,0)</f>
        <v>0</v>
      </c>
      <c r="BL17" s="37">
        <f ca="1">IF($C17=TRUE,BL31*'Get Started'!$E10,0)</f>
        <v>0</v>
      </c>
      <c r="BM17" s="37">
        <f ca="1">IF($C17=TRUE,BM31*'Get Started'!$E10,0)</f>
        <v>0</v>
      </c>
      <c r="BN17" s="37">
        <f ca="1">IF($C17=TRUE,BN31*'Get Started'!$E10,0)</f>
        <v>0</v>
      </c>
      <c r="BO17" s="37">
        <f ca="1">IF($C17=TRUE,BO31*'Get Started'!$E10,0)</f>
        <v>0</v>
      </c>
      <c r="BP17" s="37">
        <f ca="1">IF($C17=TRUE,BP31*'Get Started'!$E10,0)</f>
        <v>0</v>
      </c>
      <c r="BQ17" s="37">
        <f ca="1">IF($C17=TRUE,BQ31*'Get Started'!$E10,0)</f>
        <v>0</v>
      </c>
      <c r="BR17" s="37">
        <f ca="1">IF($C17=TRUE,BR31*'Get Started'!$E10,0)</f>
        <v>0</v>
      </c>
      <c r="BS17" s="37">
        <f ca="1">IF($C17=TRUE,BS31*'Get Started'!$E10,0)</f>
        <v>0</v>
      </c>
      <c r="BT17" s="37">
        <f ca="1">IF($C17=TRUE,BT31*'Get Started'!$E10,0)</f>
        <v>0</v>
      </c>
      <c r="BU17" s="37">
        <f ca="1">IF($C17=TRUE,BU31*'Get Started'!$E10,0)</f>
        <v>0</v>
      </c>
      <c r="BV17" s="37">
        <f ca="1">IF($C17=TRUE,BV31*'Get Started'!$E10,0)</f>
        <v>0</v>
      </c>
      <c r="BW17" s="37">
        <f ca="1">IF($C17=TRUE,BW31*'Get Started'!$E10,0)</f>
        <v>0</v>
      </c>
      <c r="BX17" s="37">
        <f ca="1">IF($C17=TRUE,BX31*'Get Started'!$E10,0)</f>
        <v>0</v>
      </c>
      <c r="BY17" s="37">
        <f ca="1">IF($C17=TRUE,BY31*'Get Started'!$E10,0)</f>
        <v>0</v>
      </c>
      <c r="BZ17" s="37">
        <f ca="1">IF($C17=TRUE,BZ31*'Get Started'!$E10,0)</f>
        <v>0</v>
      </c>
      <c r="CA17" s="37">
        <f ca="1">IF($C17=TRUE,CA31*'Get Started'!$E10,0)</f>
        <v>0</v>
      </c>
      <c r="CB17" s="37">
        <f ca="1">IF($C17=TRUE,CB31*'Get Started'!$E10,0)</f>
        <v>0</v>
      </c>
      <c r="CC17" s="37">
        <f ca="1">IF($C17=TRUE,CC31*'Get Started'!$E10,0)</f>
        <v>0</v>
      </c>
      <c r="CD17" s="37">
        <f ca="1">IF($C17=TRUE,CD31*'Get Started'!$E10,0)</f>
        <v>0</v>
      </c>
      <c r="CE17" s="37">
        <f ca="1">IF($C17=TRUE,CE31*'Get Started'!$E10,0)</f>
        <v>0</v>
      </c>
      <c r="CF17" s="37">
        <f ca="1">IF($C17=TRUE,CF31*'Get Started'!$E10,0)</f>
        <v>0</v>
      </c>
      <c r="CG17" s="37">
        <f ca="1">IF($C17=TRUE,CG31*'Get Started'!$E10,0)</f>
        <v>0</v>
      </c>
      <c r="CH17" s="37">
        <f ca="1">IF($C17=TRUE,CH31*'Get Started'!$E10,0)</f>
        <v>0</v>
      </c>
    </row>
    <row r="18" spans="1:86" ht="13">
      <c r="A18" s="13"/>
      <c r="B18" s="13" t="s">
        <v>245</v>
      </c>
      <c r="C18" s="13" t="s">
        <v>246</v>
      </c>
      <c r="D18" s="48" t="s">
        <v>247</v>
      </c>
      <c r="E18" s="79">
        <f t="shared" ref="E18:E20" si="5">IF(D18="sum",SUM(G18:EP18),IF(D18="final",EP18,IF(D18="initial",G18,IF(D18="average",AVERAGE(G18:EP18),0))))</f>
        <v>0</v>
      </c>
      <c r="F18" s="48"/>
      <c r="G18" s="46">
        <v>0</v>
      </c>
      <c r="H18" s="46">
        <f t="shared" ref="H18:CH18" si="6">G18</f>
        <v>0</v>
      </c>
      <c r="I18" s="46">
        <f t="shared" si="6"/>
        <v>0</v>
      </c>
      <c r="J18" s="46">
        <f t="shared" si="6"/>
        <v>0</v>
      </c>
      <c r="K18" s="46">
        <f t="shared" si="6"/>
        <v>0</v>
      </c>
      <c r="L18" s="46">
        <f t="shared" si="6"/>
        <v>0</v>
      </c>
      <c r="M18" s="46">
        <f t="shared" si="6"/>
        <v>0</v>
      </c>
      <c r="N18" s="46">
        <f t="shared" si="6"/>
        <v>0</v>
      </c>
      <c r="O18" s="46">
        <f t="shared" si="6"/>
        <v>0</v>
      </c>
      <c r="P18" s="46">
        <f t="shared" si="6"/>
        <v>0</v>
      </c>
      <c r="Q18" s="46">
        <f t="shared" si="6"/>
        <v>0</v>
      </c>
      <c r="R18" s="46">
        <f t="shared" si="6"/>
        <v>0</v>
      </c>
      <c r="S18" s="46">
        <f t="shared" si="6"/>
        <v>0</v>
      </c>
      <c r="T18" s="46">
        <f t="shared" si="6"/>
        <v>0</v>
      </c>
      <c r="U18" s="46">
        <f t="shared" si="6"/>
        <v>0</v>
      </c>
      <c r="V18" s="46">
        <f t="shared" si="6"/>
        <v>0</v>
      </c>
      <c r="W18" s="46">
        <f t="shared" si="6"/>
        <v>0</v>
      </c>
      <c r="X18" s="46">
        <f t="shared" si="6"/>
        <v>0</v>
      </c>
      <c r="Y18" s="46">
        <f t="shared" si="6"/>
        <v>0</v>
      </c>
      <c r="Z18" s="46">
        <f t="shared" si="6"/>
        <v>0</v>
      </c>
      <c r="AA18" s="46">
        <f t="shared" si="6"/>
        <v>0</v>
      </c>
      <c r="AB18" s="46">
        <f t="shared" si="6"/>
        <v>0</v>
      </c>
      <c r="AC18" s="46">
        <f t="shared" si="6"/>
        <v>0</v>
      </c>
      <c r="AD18" s="46">
        <f t="shared" si="6"/>
        <v>0</v>
      </c>
      <c r="AE18" s="46">
        <f t="shared" si="6"/>
        <v>0</v>
      </c>
      <c r="AF18" s="46">
        <f t="shared" si="6"/>
        <v>0</v>
      </c>
      <c r="AG18" s="46">
        <f t="shared" si="6"/>
        <v>0</v>
      </c>
      <c r="AH18" s="46">
        <f t="shared" si="6"/>
        <v>0</v>
      </c>
      <c r="AI18" s="46">
        <f t="shared" si="6"/>
        <v>0</v>
      </c>
      <c r="AJ18" s="46">
        <f t="shared" si="6"/>
        <v>0</v>
      </c>
      <c r="AK18" s="46">
        <f t="shared" si="6"/>
        <v>0</v>
      </c>
      <c r="AL18" s="46">
        <f t="shared" si="6"/>
        <v>0</v>
      </c>
      <c r="AM18" s="46">
        <f t="shared" si="6"/>
        <v>0</v>
      </c>
      <c r="AN18" s="46">
        <f t="shared" si="6"/>
        <v>0</v>
      </c>
      <c r="AO18" s="46">
        <f t="shared" si="6"/>
        <v>0</v>
      </c>
      <c r="AP18" s="46">
        <f t="shared" si="6"/>
        <v>0</v>
      </c>
      <c r="AQ18" s="46">
        <f t="shared" si="6"/>
        <v>0</v>
      </c>
      <c r="AR18" s="46">
        <f t="shared" si="6"/>
        <v>0</v>
      </c>
      <c r="AS18" s="46">
        <f t="shared" si="6"/>
        <v>0</v>
      </c>
      <c r="AT18" s="46">
        <f t="shared" si="6"/>
        <v>0</v>
      </c>
      <c r="AU18" s="46">
        <f t="shared" si="6"/>
        <v>0</v>
      </c>
      <c r="AV18" s="46">
        <f t="shared" si="6"/>
        <v>0</v>
      </c>
      <c r="AW18" s="46">
        <f t="shared" si="6"/>
        <v>0</v>
      </c>
      <c r="AX18" s="46">
        <f t="shared" si="6"/>
        <v>0</v>
      </c>
      <c r="AY18" s="46">
        <f t="shared" si="6"/>
        <v>0</v>
      </c>
      <c r="AZ18" s="46">
        <f t="shared" si="6"/>
        <v>0</v>
      </c>
      <c r="BA18" s="46">
        <f t="shared" si="6"/>
        <v>0</v>
      </c>
      <c r="BB18" s="46">
        <f t="shared" si="6"/>
        <v>0</v>
      </c>
      <c r="BC18" s="46">
        <f t="shared" si="6"/>
        <v>0</v>
      </c>
      <c r="BD18" s="46">
        <f t="shared" si="6"/>
        <v>0</v>
      </c>
      <c r="BE18" s="46">
        <f t="shared" si="6"/>
        <v>0</v>
      </c>
      <c r="BF18" s="46">
        <f t="shared" si="6"/>
        <v>0</v>
      </c>
      <c r="BG18" s="46">
        <f t="shared" si="6"/>
        <v>0</v>
      </c>
      <c r="BH18" s="46">
        <f t="shared" si="6"/>
        <v>0</v>
      </c>
      <c r="BI18" s="46">
        <f t="shared" si="6"/>
        <v>0</v>
      </c>
      <c r="BJ18" s="46">
        <f t="shared" si="6"/>
        <v>0</v>
      </c>
      <c r="BK18" s="46">
        <f t="shared" si="6"/>
        <v>0</v>
      </c>
      <c r="BL18" s="46">
        <f t="shared" si="6"/>
        <v>0</v>
      </c>
      <c r="BM18" s="46">
        <f t="shared" si="6"/>
        <v>0</v>
      </c>
      <c r="BN18" s="46">
        <f t="shared" si="6"/>
        <v>0</v>
      </c>
      <c r="BO18" s="46">
        <f t="shared" si="6"/>
        <v>0</v>
      </c>
      <c r="BP18" s="46">
        <f t="shared" si="6"/>
        <v>0</v>
      </c>
      <c r="BQ18" s="46">
        <f t="shared" si="6"/>
        <v>0</v>
      </c>
      <c r="BR18" s="46">
        <f t="shared" si="6"/>
        <v>0</v>
      </c>
      <c r="BS18" s="46">
        <f t="shared" si="6"/>
        <v>0</v>
      </c>
      <c r="BT18" s="46">
        <f t="shared" si="6"/>
        <v>0</v>
      </c>
      <c r="BU18" s="46">
        <f t="shared" si="6"/>
        <v>0</v>
      </c>
      <c r="BV18" s="46">
        <f t="shared" si="6"/>
        <v>0</v>
      </c>
      <c r="BW18" s="46">
        <f t="shared" si="6"/>
        <v>0</v>
      </c>
      <c r="BX18" s="46">
        <f t="shared" si="6"/>
        <v>0</v>
      </c>
      <c r="BY18" s="46">
        <f t="shared" si="6"/>
        <v>0</v>
      </c>
      <c r="BZ18" s="46">
        <f t="shared" si="6"/>
        <v>0</v>
      </c>
      <c r="CA18" s="46">
        <f t="shared" si="6"/>
        <v>0</v>
      </c>
      <c r="CB18" s="46">
        <f t="shared" si="6"/>
        <v>0</v>
      </c>
      <c r="CC18" s="46">
        <f t="shared" si="6"/>
        <v>0</v>
      </c>
      <c r="CD18" s="46">
        <f t="shared" si="6"/>
        <v>0</v>
      </c>
      <c r="CE18" s="46">
        <f t="shared" si="6"/>
        <v>0</v>
      </c>
      <c r="CF18" s="46">
        <f t="shared" si="6"/>
        <v>0</v>
      </c>
      <c r="CG18" s="46">
        <f t="shared" si="6"/>
        <v>0</v>
      </c>
      <c r="CH18" s="46">
        <f t="shared" si="6"/>
        <v>0</v>
      </c>
    </row>
    <row r="19" spans="1:86" ht="13">
      <c r="A19" s="13"/>
      <c r="B19" s="13" t="s">
        <v>248</v>
      </c>
      <c r="C19" s="13"/>
      <c r="D19" s="48" t="s">
        <v>238</v>
      </c>
      <c r="E19" s="64">
        <f t="shared" si="5"/>
        <v>1</v>
      </c>
      <c r="F19" s="48"/>
      <c r="G19" s="46">
        <v>1</v>
      </c>
      <c r="H19" s="46">
        <v>0</v>
      </c>
      <c r="I19" s="46">
        <v>0</v>
      </c>
      <c r="J19" s="46">
        <v>0</v>
      </c>
      <c r="K19" s="46">
        <v>0</v>
      </c>
      <c r="L19" s="46">
        <v>0</v>
      </c>
      <c r="M19" s="46">
        <v>0</v>
      </c>
      <c r="N19" s="46">
        <v>0</v>
      </c>
      <c r="O19" s="46">
        <v>0</v>
      </c>
      <c r="P19" s="46">
        <v>0</v>
      </c>
      <c r="Q19" s="46">
        <v>0</v>
      </c>
      <c r="R19" s="46">
        <v>0</v>
      </c>
      <c r="S19" s="46">
        <v>0</v>
      </c>
      <c r="T19" s="46">
        <v>0</v>
      </c>
      <c r="U19" s="46">
        <v>0</v>
      </c>
      <c r="V19" s="46">
        <v>0</v>
      </c>
      <c r="W19" s="46">
        <v>0</v>
      </c>
      <c r="X19" s="46">
        <v>0</v>
      </c>
      <c r="Y19" s="46">
        <v>0</v>
      </c>
      <c r="Z19" s="46">
        <v>0</v>
      </c>
      <c r="AA19" s="46">
        <v>0</v>
      </c>
      <c r="AB19" s="46">
        <v>0</v>
      </c>
      <c r="AC19" s="46">
        <v>0</v>
      </c>
      <c r="AD19" s="46">
        <v>0</v>
      </c>
      <c r="AE19" s="46">
        <v>0</v>
      </c>
      <c r="AF19" s="46">
        <v>0</v>
      </c>
      <c r="AG19" s="46">
        <v>0</v>
      </c>
      <c r="AH19" s="46">
        <v>0</v>
      </c>
      <c r="AI19" s="46">
        <v>0</v>
      </c>
      <c r="AJ19" s="46">
        <v>0</v>
      </c>
      <c r="AK19" s="46">
        <v>0</v>
      </c>
      <c r="AL19" s="46">
        <v>0</v>
      </c>
      <c r="AM19" s="46">
        <v>0</v>
      </c>
      <c r="AN19" s="46">
        <v>0</v>
      </c>
      <c r="AO19" s="46">
        <v>0</v>
      </c>
      <c r="AP19" s="46">
        <v>0</v>
      </c>
      <c r="AQ19" s="46">
        <v>0</v>
      </c>
      <c r="AR19" s="46">
        <v>0</v>
      </c>
      <c r="AS19" s="46">
        <v>0</v>
      </c>
      <c r="AT19" s="46">
        <v>0</v>
      </c>
      <c r="AU19" s="46">
        <v>0</v>
      </c>
      <c r="AV19" s="46">
        <v>0</v>
      </c>
      <c r="AW19" s="46">
        <v>0</v>
      </c>
      <c r="AX19" s="46">
        <v>0</v>
      </c>
      <c r="AY19" s="46">
        <v>0</v>
      </c>
      <c r="AZ19" s="46">
        <v>0</v>
      </c>
      <c r="BA19" s="46">
        <v>0</v>
      </c>
      <c r="BB19" s="46">
        <v>0</v>
      </c>
      <c r="BC19" s="46">
        <v>0</v>
      </c>
      <c r="BD19" s="46">
        <v>0</v>
      </c>
      <c r="BE19" s="46">
        <v>0</v>
      </c>
      <c r="BF19" s="46">
        <v>0</v>
      </c>
      <c r="BG19" s="46">
        <v>0</v>
      </c>
      <c r="BH19" s="46">
        <v>0</v>
      </c>
      <c r="BI19" s="46">
        <v>0</v>
      </c>
      <c r="BJ19" s="46">
        <v>0</v>
      </c>
      <c r="BK19" s="46">
        <v>0</v>
      </c>
      <c r="BL19" s="46">
        <v>0</v>
      </c>
      <c r="BM19" s="46">
        <v>0</v>
      </c>
      <c r="BN19" s="46">
        <v>0</v>
      </c>
      <c r="BO19" s="46">
        <v>0</v>
      </c>
      <c r="BP19" s="46">
        <v>0</v>
      </c>
      <c r="BQ19" s="46">
        <v>0</v>
      </c>
      <c r="BR19" s="46">
        <v>0</v>
      </c>
      <c r="BS19" s="46">
        <v>0</v>
      </c>
      <c r="BT19" s="46">
        <v>0</v>
      </c>
      <c r="BU19" s="46">
        <v>0</v>
      </c>
      <c r="BV19" s="46">
        <v>0</v>
      </c>
      <c r="BW19" s="46">
        <v>0</v>
      </c>
      <c r="BX19" s="46">
        <v>0</v>
      </c>
      <c r="BY19" s="46">
        <v>0</v>
      </c>
      <c r="BZ19" s="46">
        <v>0</v>
      </c>
      <c r="CA19" s="46">
        <v>0</v>
      </c>
      <c r="CB19" s="46">
        <v>0</v>
      </c>
      <c r="CC19" s="46">
        <v>0</v>
      </c>
      <c r="CD19" s="46">
        <v>0</v>
      </c>
      <c r="CE19" s="46">
        <v>0</v>
      </c>
      <c r="CF19" s="46">
        <v>0</v>
      </c>
      <c r="CG19" s="46">
        <v>0</v>
      </c>
      <c r="CH19" s="46">
        <v>0</v>
      </c>
    </row>
    <row r="20" spans="1:86" ht="13">
      <c r="B20" s="15" t="s">
        <v>249</v>
      </c>
      <c r="C20" s="15" t="s">
        <v>250</v>
      </c>
      <c r="D20" s="48" t="s">
        <v>238</v>
      </c>
      <c r="E20" s="64">
        <f t="shared" si="5"/>
        <v>0</v>
      </c>
      <c r="F20" s="29"/>
      <c r="G20" s="46">
        <v>0</v>
      </c>
      <c r="H20" s="46">
        <v>0</v>
      </c>
      <c r="I20" s="46">
        <v>0</v>
      </c>
      <c r="J20" s="46">
        <v>0</v>
      </c>
      <c r="K20" s="46">
        <v>0</v>
      </c>
      <c r="L20" s="46">
        <v>0</v>
      </c>
      <c r="M20" s="46">
        <v>0</v>
      </c>
      <c r="N20" s="46">
        <v>0</v>
      </c>
      <c r="O20" s="46">
        <v>0</v>
      </c>
      <c r="P20" s="46">
        <v>0</v>
      </c>
      <c r="Q20" s="46">
        <v>0</v>
      </c>
      <c r="R20" s="46">
        <v>0</v>
      </c>
      <c r="S20" s="46">
        <v>0</v>
      </c>
      <c r="T20" s="46">
        <v>0</v>
      </c>
      <c r="U20" s="46">
        <v>0</v>
      </c>
      <c r="V20" s="46">
        <v>0</v>
      </c>
      <c r="W20" s="46">
        <v>0</v>
      </c>
      <c r="X20" s="46">
        <v>0</v>
      </c>
      <c r="Y20" s="46">
        <v>0</v>
      </c>
      <c r="Z20" s="46">
        <v>0</v>
      </c>
      <c r="AA20" s="46">
        <v>0</v>
      </c>
      <c r="AB20" s="46">
        <v>0</v>
      </c>
      <c r="AC20" s="46">
        <v>0</v>
      </c>
      <c r="AD20" s="46">
        <v>0</v>
      </c>
      <c r="AE20" s="46">
        <v>0</v>
      </c>
      <c r="AF20" s="46">
        <v>0</v>
      </c>
      <c r="AG20" s="46">
        <v>0</v>
      </c>
      <c r="AH20" s="46">
        <v>0</v>
      </c>
      <c r="AI20" s="46">
        <v>0</v>
      </c>
      <c r="AJ20" s="46">
        <v>0</v>
      </c>
      <c r="AK20" s="46">
        <v>0</v>
      </c>
      <c r="AL20" s="46">
        <v>0</v>
      </c>
      <c r="AM20" s="46">
        <v>0</v>
      </c>
      <c r="AN20" s="46">
        <v>0</v>
      </c>
      <c r="AO20" s="46">
        <v>0</v>
      </c>
      <c r="AP20" s="46">
        <v>0</v>
      </c>
      <c r="AQ20" s="46">
        <v>0</v>
      </c>
      <c r="AR20" s="46">
        <v>0</v>
      </c>
      <c r="AS20" s="46">
        <v>0</v>
      </c>
      <c r="AT20" s="46">
        <v>0</v>
      </c>
      <c r="AU20" s="46">
        <v>0</v>
      </c>
      <c r="AV20" s="46">
        <v>0</v>
      </c>
      <c r="AW20" s="46">
        <v>0</v>
      </c>
      <c r="AX20" s="46">
        <v>0</v>
      </c>
      <c r="AY20" s="46">
        <v>0</v>
      </c>
      <c r="AZ20" s="46">
        <v>0</v>
      </c>
      <c r="BA20" s="46">
        <v>0</v>
      </c>
      <c r="BB20" s="46">
        <v>0</v>
      </c>
      <c r="BC20" s="46">
        <v>0</v>
      </c>
      <c r="BD20" s="46">
        <v>0</v>
      </c>
      <c r="BE20" s="46">
        <v>0</v>
      </c>
      <c r="BF20" s="46">
        <v>0</v>
      </c>
      <c r="BG20" s="46">
        <v>0</v>
      </c>
      <c r="BH20" s="46">
        <v>0</v>
      </c>
      <c r="BI20" s="46">
        <v>0</v>
      </c>
      <c r="BJ20" s="46">
        <v>0</v>
      </c>
      <c r="BK20" s="46">
        <v>0</v>
      </c>
      <c r="BL20" s="46">
        <v>0</v>
      </c>
      <c r="BM20" s="46">
        <v>0</v>
      </c>
      <c r="BN20" s="46">
        <v>0</v>
      </c>
      <c r="BO20" s="46">
        <v>0</v>
      </c>
      <c r="BP20" s="46">
        <v>0</v>
      </c>
      <c r="BQ20" s="46">
        <v>0</v>
      </c>
      <c r="BR20" s="46">
        <v>0</v>
      </c>
      <c r="BS20" s="46">
        <v>0</v>
      </c>
      <c r="BT20" s="46">
        <v>0</v>
      </c>
      <c r="BU20" s="46">
        <v>0</v>
      </c>
      <c r="BV20" s="46">
        <v>0</v>
      </c>
      <c r="BW20" s="46">
        <v>0</v>
      </c>
      <c r="BX20" s="46">
        <v>0</v>
      </c>
      <c r="BY20" s="46">
        <v>0</v>
      </c>
      <c r="BZ20" s="46">
        <v>0</v>
      </c>
      <c r="CA20" s="46">
        <v>0</v>
      </c>
      <c r="CB20" s="46">
        <v>0</v>
      </c>
      <c r="CC20" s="46">
        <v>0</v>
      </c>
      <c r="CD20" s="46">
        <v>0</v>
      </c>
      <c r="CE20" s="46">
        <v>0</v>
      </c>
      <c r="CF20" s="46">
        <v>0</v>
      </c>
      <c r="CG20" s="46">
        <v>0</v>
      </c>
      <c r="CH20" s="46">
        <v>0</v>
      </c>
    </row>
    <row r="21" spans="1:86" ht="13">
      <c r="B21" s="15"/>
      <c r="C21" s="15"/>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row>
    <row r="22" spans="1:86" ht="13">
      <c r="B22" s="15" t="s">
        <v>251</v>
      </c>
      <c r="C22" s="15"/>
      <c r="D22" s="15" t="s">
        <v>252</v>
      </c>
      <c r="E22" s="29">
        <f t="shared" ref="E22:E28" si="7">IF(D22="sum",SUM(G22:CH22),IF(D22="final",CH22,IF(D22="initial",G22,IF(D22="average",AVERAGE(G22:CH22),0))))</f>
        <v>0</v>
      </c>
      <c r="F22" s="29"/>
      <c r="G22" s="29">
        <f t="shared" ref="G22:CH22" si="8">F28</f>
        <v>0</v>
      </c>
      <c r="H22" s="29">
        <f t="shared" ca="1" si="8"/>
        <v>0</v>
      </c>
      <c r="I22" s="29">
        <f t="shared" ca="1" si="8"/>
        <v>0</v>
      </c>
      <c r="J22" s="29">
        <f t="shared" ca="1" si="8"/>
        <v>0</v>
      </c>
      <c r="K22" s="29">
        <f t="shared" ca="1" si="8"/>
        <v>0</v>
      </c>
      <c r="L22" s="29">
        <f t="shared" ca="1" si="8"/>
        <v>0</v>
      </c>
      <c r="M22" s="29">
        <f t="shared" ca="1" si="8"/>
        <v>0</v>
      </c>
      <c r="N22" s="29">
        <f t="shared" ca="1" si="8"/>
        <v>0</v>
      </c>
      <c r="O22" s="29">
        <f t="shared" ca="1" si="8"/>
        <v>0</v>
      </c>
      <c r="P22" s="29">
        <f t="shared" ca="1" si="8"/>
        <v>0</v>
      </c>
      <c r="Q22" s="29">
        <f t="shared" ca="1" si="8"/>
        <v>0</v>
      </c>
      <c r="R22" s="29">
        <f t="shared" ca="1" si="8"/>
        <v>0</v>
      </c>
      <c r="S22" s="29">
        <f t="shared" ca="1" si="8"/>
        <v>0</v>
      </c>
      <c r="T22" s="29">
        <f t="shared" ca="1" si="8"/>
        <v>0</v>
      </c>
      <c r="U22" s="29">
        <f t="shared" ca="1" si="8"/>
        <v>0</v>
      </c>
      <c r="V22" s="29">
        <f t="shared" ca="1" si="8"/>
        <v>0</v>
      </c>
      <c r="W22" s="29">
        <f t="shared" ca="1" si="8"/>
        <v>0</v>
      </c>
      <c r="X22" s="29">
        <f t="shared" ca="1" si="8"/>
        <v>0</v>
      </c>
      <c r="Y22" s="29">
        <f t="shared" ca="1" si="8"/>
        <v>0</v>
      </c>
      <c r="Z22" s="29">
        <f t="shared" ca="1" si="8"/>
        <v>0</v>
      </c>
      <c r="AA22" s="29">
        <f t="shared" ca="1" si="8"/>
        <v>0</v>
      </c>
      <c r="AB22" s="29">
        <f t="shared" ca="1" si="8"/>
        <v>0</v>
      </c>
      <c r="AC22" s="29">
        <f t="shared" ca="1" si="8"/>
        <v>0</v>
      </c>
      <c r="AD22" s="29">
        <f t="shared" ca="1" si="8"/>
        <v>0</v>
      </c>
      <c r="AE22" s="29">
        <f t="shared" ca="1" si="8"/>
        <v>0</v>
      </c>
      <c r="AF22" s="29">
        <f t="shared" ca="1" si="8"/>
        <v>0</v>
      </c>
      <c r="AG22" s="29">
        <f t="shared" ca="1" si="8"/>
        <v>0</v>
      </c>
      <c r="AH22" s="29">
        <f t="shared" ca="1" si="8"/>
        <v>0</v>
      </c>
      <c r="AI22" s="29">
        <f t="shared" ca="1" si="8"/>
        <v>0</v>
      </c>
      <c r="AJ22" s="29">
        <f t="shared" ca="1" si="8"/>
        <v>0</v>
      </c>
      <c r="AK22" s="29">
        <f t="shared" ca="1" si="8"/>
        <v>0</v>
      </c>
      <c r="AL22" s="29">
        <f t="shared" ca="1" si="8"/>
        <v>0</v>
      </c>
      <c r="AM22" s="29">
        <f t="shared" ca="1" si="8"/>
        <v>0</v>
      </c>
      <c r="AN22" s="29">
        <f t="shared" ca="1" si="8"/>
        <v>0</v>
      </c>
      <c r="AO22" s="29">
        <f t="shared" ca="1" si="8"/>
        <v>0</v>
      </c>
      <c r="AP22" s="29">
        <f t="shared" ca="1" si="8"/>
        <v>0</v>
      </c>
      <c r="AQ22" s="29">
        <f t="shared" ca="1" si="8"/>
        <v>0</v>
      </c>
      <c r="AR22" s="29">
        <f t="shared" ca="1" si="8"/>
        <v>0</v>
      </c>
      <c r="AS22" s="29">
        <f t="shared" ca="1" si="8"/>
        <v>0</v>
      </c>
      <c r="AT22" s="29">
        <f t="shared" ca="1" si="8"/>
        <v>0</v>
      </c>
      <c r="AU22" s="29">
        <f t="shared" ca="1" si="8"/>
        <v>0</v>
      </c>
      <c r="AV22" s="29">
        <f t="shared" ca="1" si="8"/>
        <v>0</v>
      </c>
      <c r="AW22" s="29">
        <f t="shared" ca="1" si="8"/>
        <v>0</v>
      </c>
      <c r="AX22" s="29">
        <f t="shared" ca="1" si="8"/>
        <v>0</v>
      </c>
      <c r="AY22" s="29">
        <f t="shared" ca="1" si="8"/>
        <v>0</v>
      </c>
      <c r="AZ22" s="29">
        <f t="shared" ca="1" si="8"/>
        <v>0</v>
      </c>
      <c r="BA22" s="29">
        <f t="shared" ca="1" si="8"/>
        <v>0</v>
      </c>
      <c r="BB22" s="29">
        <f t="shared" ca="1" si="8"/>
        <v>0</v>
      </c>
      <c r="BC22" s="29">
        <f t="shared" ca="1" si="8"/>
        <v>0</v>
      </c>
      <c r="BD22" s="29">
        <f t="shared" ca="1" si="8"/>
        <v>0</v>
      </c>
      <c r="BE22" s="29">
        <f t="shared" ca="1" si="8"/>
        <v>0</v>
      </c>
      <c r="BF22" s="29">
        <f t="shared" ca="1" si="8"/>
        <v>0</v>
      </c>
      <c r="BG22" s="29">
        <f t="shared" ca="1" si="8"/>
        <v>0</v>
      </c>
      <c r="BH22" s="29">
        <f t="shared" ca="1" si="8"/>
        <v>0</v>
      </c>
      <c r="BI22" s="29">
        <f t="shared" ca="1" si="8"/>
        <v>0</v>
      </c>
      <c r="BJ22" s="29">
        <f t="shared" ca="1" si="8"/>
        <v>0</v>
      </c>
      <c r="BK22" s="29">
        <f t="shared" ca="1" si="8"/>
        <v>0</v>
      </c>
      <c r="BL22" s="29">
        <f t="shared" ca="1" si="8"/>
        <v>0</v>
      </c>
      <c r="BM22" s="29">
        <f t="shared" ca="1" si="8"/>
        <v>0</v>
      </c>
      <c r="BN22" s="29">
        <f t="shared" ca="1" si="8"/>
        <v>0</v>
      </c>
      <c r="BO22" s="29">
        <f t="shared" ca="1" si="8"/>
        <v>0</v>
      </c>
      <c r="BP22" s="29">
        <f t="shared" ca="1" si="8"/>
        <v>0</v>
      </c>
      <c r="BQ22" s="29">
        <f t="shared" ca="1" si="8"/>
        <v>0</v>
      </c>
      <c r="BR22" s="29">
        <f t="shared" ca="1" si="8"/>
        <v>0</v>
      </c>
      <c r="BS22" s="29">
        <f t="shared" ca="1" si="8"/>
        <v>0</v>
      </c>
      <c r="BT22" s="29">
        <f t="shared" ca="1" si="8"/>
        <v>0</v>
      </c>
      <c r="BU22" s="29">
        <f t="shared" ca="1" si="8"/>
        <v>0</v>
      </c>
      <c r="BV22" s="29">
        <f t="shared" ca="1" si="8"/>
        <v>0</v>
      </c>
      <c r="BW22" s="29">
        <f t="shared" ca="1" si="8"/>
        <v>0</v>
      </c>
      <c r="BX22" s="29">
        <f t="shared" ca="1" si="8"/>
        <v>0</v>
      </c>
      <c r="BY22" s="29">
        <f t="shared" ca="1" si="8"/>
        <v>0</v>
      </c>
      <c r="BZ22" s="29">
        <f t="shared" ca="1" si="8"/>
        <v>0</v>
      </c>
      <c r="CA22" s="29">
        <f t="shared" ca="1" si="8"/>
        <v>0</v>
      </c>
      <c r="CB22" s="29">
        <f t="shared" ca="1" si="8"/>
        <v>0</v>
      </c>
      <c r="CC22" s="29">
        <f t="shared" ca="1" si="8"/>
        <v>0</v>
      </c>
      <c r="CD22" s="29">
        <f t="shared" ca="1" si="8"/>
        <v>0</v>
      </c>
      <c r="CE22" s="29">
        <f t="shared" ca="1" si="8"/>
        <v>0</v>
      </c>
      <c r="CF22" s="29">
        <f t="shared" ca="1" si="8"/>
        <v>0</v>
      </c>
      <c r="CG22" s="29">
        <f t="shared" ca="1" si="8"/>
        <v>0</v>
      </c>
      <c r="CH22" s="29">
        <f t="shared" ca="1" si="8"/>
        <v>0</v>
      </c>
    </row>
    <row r="23" spans="1:86" ht="13">
      <c r="B23" s="15" t="s">
        <v>253</v>
      </c>
      <c r="C23" s="15"/>
      <c r="D23" s="15" t="s">
        <v>238</v>
      </c>
      <c r="E23" s="29">
        <f t="shared" ca="1" si="7"/>
        <v>25000000</v>
      </c>
      <c r="F23" s="29"/>
      <c r="G23" s="29">
        <f t="shared" ref="G23:CH23" ca="1" si="9">G31</f>
        <v>1444375</v>
      </c>
      <c r="H23" s="29">
        <f t="shared" ca="1" si="9"/>
        <v>1344375</v>
      </c>
      <c r="I23" s="29">
        <f t="shared" ca="1" si="9"/>
        <v>1344375</v>
      </c>
      <c r="J23" s="29">
        <f t="shared" ca="1" si="9"/>
        <v>1344375</v>
      </c>
      <c r="K23" s="29">
        <f t="shared" ca="1" si="9"/>
        <v>1344375</v>
      </c>
      <c r="L23" s="29">
        <f t="shared" ca="1" si="9"/>
        <v>1344375</v>
      </c>
      <c r="M23" s="29">
        <f t="shared" ca="1" si="9"/>
        <v>1344375</v>
      </c>
      <c r="N23" s="29">
        <f t="shared" ca="1" si="9"/>
        <v>1344375</v>
      </c>
      <c r="O23" s="29">
        <f t="shared" ca="1" si="9"/>
        <v>1344375</v>
      </c>
      <c r="P23" s="29">
        <f t="shared" ca="1" si="9"/>
        <v>1344375</v>
      </c>
      <c r="Q23" s="29">
        <f t="shared" ca="1" si="9"/>
        <v>1344375</v>
      </c>
      <c r="R23" s="29">
        <f t="shared" ca="1" si="9"/>
        <v>1344375</v>
      </c>
      <c r="S23" s="29">
        <f t="shared" ca="1" si="9"/>
        <v>1344375</v>
      </c>
      <c r="T23" s="29">
        <f t="shared" ca="1" si="9"/>
        <v>1344375</v>
      </c>
      <c r="U23" s="29">
        <f t="shared" ca="1" si="9"/>
        <v>1344375</v>
      </c>
      <c r="V23" s="29">
        <f t="shared" ca="1" si="9"/>
        <v>1344375</v>
      </c>
      <c r="W23" s="29">
        <f t="shared" ca="1" si="9"/>
        <v>141250</v>
      </c>
      <c r="X23" s="29">
        <f t="shared" ca="1" si="9"/>
        <v>141250</v>
      </c>
      <c r="Y23" s="29">
        <f t="shared" ca="1" si="9"/>
        <v>141250</v>
      </c>
      <c r="Z23" s="29">
        <f t="shared" ca="1" si="9"/>
        <v>141250</v>
      </c>
      <c r="AA23" s="29">
        <f t="shared" ca="1" si="9"/>
        <v>141250</v>
      </c>
      <c r="AB23" s="29">
        <f t="shared" ca="1" si="9"/>
        <v>141250</v>
      </c>
      <c r="AC23" s="29">
        <f t="shared" ca="1" si="9"/>
        <v>141250</v>
      </c>
      <c r="AD23" s="29">
        <f t="shared" ca="1" si="9"/>
        <v>141250</v>
      </c>
      <c r="AE23" s="29">
        <f t="shared" ca="1" si="9"/>
        <v>141250</v>
      </c>
      <c r="AF23" s="29">
        <f t="shared" ca="1" si="9"/>
        <v>141250</v>
      </c>
      <c r="AG23" s="29">
        <f t="shared" ca="1" si="9"/>
        <v>141250</v>
      </c>
      <c r="AH23" s="29">
        <f t="shared" ca="1" si="9"/>
        <v>141250</v>
      </c>
      <c r="AI23" s="29">
        <f t="shared" ca="1" si="9"/>
        <v>141250</v>
      </c>
      <c r="AJ23" s="29">
        <f t="shared" ca="1" si="9"/>
        <v>141250</v>
      </c>
      <c r="AK23" s="29">
        <f t="shared" ca="1" si="9"/>
        <v>141250</v>
      </c>
      <c r="AL23" s="29">
        <f t="shared" ca="1" si="9"/>
        <v>141250</v>
      </c>
      <c r="AM23" s="29">
        <f t="shared" ca="1" si="9"/>
        <v>141250</v>
      </c>
      <c r="AN23" s="29">
        <f t="shared" ca="1" si="9"/>
        <v>141250</v>
      </c>
      <c r="AO23" s="29">
        <f t="shared" ca="1" si="9"/>
        <v>141250</v>
      </c>
      <c r="AP23" s="29">
        <f t="shared" ca="1" si="9"/>
        <v>141250</v>
      </c>
      <c r="AQ23" s="29">
        <f t="shared" ca="1" si="9"/>
        <v>141250</v>
      </c>
      <c r="AR23" s="29">
        <f t="shared" ca="1" si="9"/>
        <v>141250</v>
      </c>
      <c r="AS23" s="29">
        <f t="shared" ca="1" si="9"/>
        <v>141250</v>
      </c>
      <c r="AT23" s="29">
        <f t="shared" ca="1" si="9"/>
        <v>141250</v>
      </c>
      <c r="AU23" s="29">
        <f t="shared" ca="1" si="9"/>
        <v>0</v>
      </c>
      <c r="AV23" s="29">
        <f t="shared" ca="1" si="9"/>
        <v>0</v>
      </c>
      <c r="AW23" s="29">
        <f t="shared" ca="1" si="9"/>
        <v>0</v>
      </c>
      <c r="AX23" s="29">
        <f t="shared" ca="1" si="9"/>
        <v>0</v>
      </c>
      <c r="AY23" s="29">
        <f t="shared" ca="1" si="9"/>
        <v>0</v>
      </c>
      <c r="AZ23" s="29">
        <f t="shared" ca="1" si="9"/>
        <v>0</v>
      </c>
      <c r="BA23" s="29">
        <f t="shared" ca="1" si="9"/>
        <v>0</v>
      </c>
      <c r="BB23" s="29">
        <f t="shared" ca="1" si="9"/>
        <v>0</v>
      </c>
      <c r="BC23" s="29">
        <f t="shared" ca="1" si="9"/>
        <v>0</v>
      </c>
      <c r="BD23" s="29">
        <f t="shared" ca="1" si="9"/>
        <v>0</v>
      </c>
      <c r="BE23" s="29">
        <f t="shared" ca="1" si="9"/>
        <v>0</v>
      </c>
      <c r="BF23" s="29">
        <f t="shared" ca="1" si="9"/>
        <v>0</v>
      </c>
      <c r="BG23" s="29">
        <f t="shared" ca="1" si="9"/>
        <v>0</v>
      </c>
      <c r="BH23" s="29">
        <f t="shared" ca="1" si="9"/>
        <v>0</v>
      </c>
      <c r="BI23" s="29">
        <f t="shared" ca="1" si="9"/>
        <v>0</v>
      </c>
      <c r="BJ23" s="29">
        <f t="shared" ca="1" si="9"/>
        <v>0</v>
      </c>
      <c r="BK23" s="29">
        <f t="shared" ca="1" si="9"/>
        <v>0</v>
      </c>
      <c r="BL23" s="29">
        <f t="shared" ca="1" si="9"/>
        <v>0</v>
      </c>
      <c r="BM23" s="29">
        <f t="shared" ca="1" si="9"/>
        <v>0</v>
      </c>
      <c r="BN23" s="29">
        <f t="shared" ca="1" si="9"/>
        <v>0</v>
      </c>
      <c r="BO23" s="29">
        <f t="shared" ca="1" si="9"/>
        <v>0</v>
      </c>
      <c r="BP23" s="29">
        <f t="shared" ca="1" si="9"/>
        <v>0</v>
      </c>
      <c r="BQ23" s="29">
        <f t="shared" ca="1" si="9"/>
        <v>0</v>
      </c>
      <c r="BR23" s="29">
        <f t="shared" ca="1" si="9"/>
        <v>0</v>
      </c>
      <c r="BS23" s="29">
        <f t="shared" ca="1" si="9"/>
        <v>0</v>
      </c>
      <c r="BT23" s="29">
        <f t="shared" ca="1" si="9"/>
        <v>0</v>
      </c>
      <c r="BU23" s="29">
        <f t="shared" ca="1" si="9"/>
        <v>0</v>
      </c>
      <c r="BV23" s="29">
        <f t="shared" ca="1" si="9"/>
        <v>0</v>
      </c>
      <c r="BW23" s="29">
        <f t="shared" ca="1" si="9"/>
        <v>0</v>
      </c>
      <c r="BX23" s="29">
        <f t="shared" ca="1" si="9"/>
        <v>0</v>
      </c>
      <c r="BY23" s="29">
        <f t="shared" ca="1" si="9"/>
        <v>0</v>
      </c>
      <c r="BZ23" s="29">
        <f t="shared" ca="1" si="9"/>
        <v>0</v>
      </c>
      <c r="CA23" s="29">
        <f t="shared" ca="1" si="9"/>
        <v>0</v>
      </c>
      <c r="CB23" s="29">
        <f t="shared" ca="1" si="9"/>
        <v>0</v>
      </c>
      <c r="CC23" s="29">
        <f t="shared" ca="1" si="9"/>
        <v>0</v>
      </c>
      <c r="CD23" s="29">
        <f t="shared" ca="1" si="9"/>
        <v>0</v>
      </c>
      <c r="CE23" s="29">
        <f t="shared" ca="1" si="9"/>
        <v>0</v>
      </c>
      <c r="CF23" s="29">
        <f t="shared" ca="1" si="9"/>
        <v>0</v>
      </c>
      <c r="CG23" s="29">
        <f t="shared" ca="1" si="9"/>
        <v>0</v>
      </c>
      <c r="CH23" s="29">
        <f t="shared" ca="1" si="9"/>
        <v>0</v>
      </c>
    </row>
    <row r="24" spans="1:86" ht="13">
      <c r="B24" s="15" t="s">
        <v>218</v>
      </c>
      <c r="C24" s="15"/>
      <c r="D24" s="15" t="s">
        <v>238</v>
      </c>
      <c r="E24" s="29">
        <f t="shared" ca="1" si="7"/>
        <v>134979075</v>
      </c>
      <c r="F24" s="29"/>
      <c r="G24" s="29">
        <f t="shared" ref="G24:CH24" ca="1" si="10">G43</f>
        <v>0</v>
      </c>
      <c r="H24" s="29">
        <f t="shared" ca="1" si="10"/>
        <v>0</v>
      </c>
      <c r="I24" s="29">
        <f t="shared" ca="1" si="10"/>
        <v>0</v>
      </c>
      <c r="J24" s="29">
        <f t="shared" ca="1" si="10"/>
        <v>0</v>
      </c>
      <c r="K24" s="29">
        <f t="shared" ca="1" si="10"/>
        <v>0</v>
      </c>
      <c r="L24" s="29">
        <f t="shared" ca="1" si="10"/>
        <v>0</v>
      </c>
      <c r="M24" s="29">
        <f t="shared" ca="1" si="10"/>
        <v>0</v>
      </c>
      <c r="N24" s="29">
        <f t="shared" ca="1" si="10"/>
        <v>0</v>
      </c>
      <c r="O24" s="29">
        <f t="shared" ca="1" si="10"/>
        <v>0</v>
      </c>
      <c r="P24" s="29">
        <f t="shared" ca="1" si="10"/>
        <v>0</v>
      </c>
      <c r="Q24" s="29">
        <f t="shared" ca="1" si="10"/>
        <v>0</v>
      </c>
      <c r="R24" s="29">
        <f t="shared" ca="1" si="10"/>
        <v>0</v>
      </c>
      <c r="S24" s="29">
        <f t="shared" ca="1" si="10"/>
        <v>1212750.0000000005</v>
      </c>
      <c r="T24" s="29">
        <f t="shared" ca="1" si="10"/>
        <v>1212750.0000000005</v>
      </c>
      <c r="U24" s="29">
        <f t="shared" ca="1" si="10"/>
        <v>1212750.0000000005</v>
      </c>
      <c r="V24" s="29">
        <f t="shared" ca="1" si="10"/>
        <v>1212750.0000000005</v>
      </c>
      <c r="W24" s="29">
        <f t="shared" ca="1" si="10"/>
        <v>3486656.2500000009</v>
      </c>
      <c r="X24" s="29">
        <f t="shared" ca="1" si="10"/>
        <v>3486656.2500000009</v>
      </c>
      <c r="Y24" s="29">
        <f t="shared" ca="1" si="10"/>
        <v>3486656.2500000009</v>
      </c>
      <c r="Z24" s="29">
        <f t="shared" ca="1" si="10"/>
        <v>3486656.2500000009</v>
      </c>
      <c r="AA24" s="29">
        <f t="shared" ca="1" si="10"/>
        <v>3486656.2500000009</v>
      </c>
      <c r="AB24" s="29">
        <f t="shared" ca="1" si="10"/>
        <v>3486656.2500000009</v>
      </c>
      <c r="AC24" s="29">
        <f t="shared" ca="1" si="10"/>
        <v>3486656.2500000009</v>
      </c>
      <c r="AD24" s="29">
        <f t="shared" ca="1" si="10"/>
        <v>3486656.2500000009</v>
      </c>
      <c r="AE24" s="29">
        <f t="shared" ca="1" si="10"/>
        <v>8277018.7499999981</v>
      </c>
      <c r="AF24" s="29">
        <f t="shared" ca="1" si="10"/>
        <v>8277018.7499999981</v>
      </c>
      <c r="AG24" s="29">
        <f t="shared" ca="1" si="10"/>
        <v>8277018.7499999981</v>
      </c>
      <c r="AH24" s="29">
        <f t="shared" ca="1" si="10"/>
        <v>8277018.7499999981</v>
      </c>
      <c r="AI24" s="29">
        <f t="shared" ca="1" si="10"/>
        <v>7276499.9999999981</v>
      </c>
      <c r="AJ24" s="29">
        <f t="shared" ca="1" si="10"/>
        <v>7276499.9999999981</v>
      </c>
      <c r="AK24" s="29">
        <f t="shared" ca="1" si="10"/>
        <v>7276499.9999999981</v>
      </c>
      <c r="AL24" s="29">
        <f t="shared" ca="1" si="10"/>
        <v>7276499.9999999981</v>
      </c>
      <c r="AM24" s="29">
        <f t="shared" ca="1" si="10"/>
        <v>4547812.4999999981</v>
      </c>
      <c r="AN24" s="29">
        <f t="shared" ca="1" si="10"/>
        <v>4547812.4999999981</v>
      </c>
      <c r="AO24" s="29">
        <f t="shared" ca="1" si="10"/>
        <v>4547812.4999999981</v>
      </c>
      <c r="AP24" s="29">
        <f t="shared" ca="1" si="10"/>
        <v>4547812.4999999981</v>
      </c>
      <c r="AQ24" s="29">
        <f t="shared" ca="1" si="10"/>
        <v>5457374.9999999981</v>
      </c>
      <c r="AR24" s="29">
        <f t="shared" ca="1" si="10"/>
        <v>5457374.9999999981</v>
      </c>
      <c r="AS24" s="29">
        <f t="shared" ca="1" si="10"/>
        <v>5457374.9999999981</v>
      </c>
      <c r="AT24" s="29">
        <f t="shared" ca="1" si="10"/>
        <v>5457374.9999999981</v>
      </c>
      <c r="AU24" s="29">
        <f t="shared" ca="1" si="10"/>
        <v>0</v>
      </c>
      <c r="AV24" s="29">
        <f t="shared" ca="1" si="10"/>
        <v>0</v>
      </c>
      <c r="AW24" s="29">
        <f t="shared" ca="1" si="10"/>
        <v>0</v>
      </c>
      <c r="AX24" s="29">
        <f t="shared" ca="1" si="10"/>
        <v>0</v>
      </c>
      <c r="AY24" s="29">
        <f t="shared" ca="1" si="10"/>
        <v>0</v>
      </c>
      <c r="AZ24" s="29">
        <f t="shared" ca="1" si="10"/>
        <v>0</v>
      </c>
      <c r="BA24" s="29">
        <f t="shared" ca="1" si="10"/>
        <v>0</v>
      </c>
      <c r="BB24" s="29">
        <f t="shared" ca="1" si="10"/>
        <v>0</v>
      </c>
      <c r="BC24" s="29">
        <f t="shared" ca="1" si="10"/>
        <v>0</v>
      </c>
      <c r="BD24" s="29">
        <f t="shared" ca="1" si="10"/>
        <v>0</v>
      </c>
      <c r="BE24" s="29">
        <f t="shared" ca="1" si="10"/>
        <v>0</v>
      </c>
      <c r="BF24" s="29">
        <f t="shared" ca="1" si="10"/>
        <v>0</v>
      </c>
      <c r="BG24" s="29">
        <f t="shared" ca="1" si="10"/>
        <v>0</v>
      </c>
      <c r="BH24" s="29">
        <f t="shared" ca="1" si="10"/>
        <v>0</v>
      </c>
      <c r="BI24" s="29">
        <f t="shared" ca="1" si="10"/>
        <v>0</v>
      </c>
      <c r="BJ24" s="29">
        <f t="shared" ca="1" si="10"/>
        <v>0</v>
      </c>
      <c r="BK24" s="29">
        <f t="shared" ca="1" si="10"/>
        <v>0</v>
      </c>
      <c r="BL24" s="29">
        <f t="shared" ca="1" si="10"/>
        <v>0</v>
      </c>
      <c r="BM24" s="29">
        <f t="shared" ca="1" si="10"/>
        <v>0</v>
      </c>
      <c r="BN24" s="29">
        <f t="shared" ca="1" si="10"/>
        <v>0</v>
      </c>
      <c r="BO24" s="29">
        <f t="shared" ca="1" si="10"/>
        <v>0</v>
      </c>
      <c r="BP24" s="29">
        <f t="shared" ca="1" si="10"/>
        <v>0</v>
      </c>
      <c r="BQ24" s="29">
        <f t="shared" ca="1" si="10"/>
        <v>0</v>
      </c>
      <c r="BR24" s="29">
        <f t="shared" ca="1" si="10"/>
        <v>0</v>
      </c>
      <c r="BS24" s="29">
        <f t="shared" ca="1" si="10"/>
        <v>0</v>
      </c>
      <c r="BT24" s="29">
        <f t="shared" ca="1" si="10"/>
        <v>0</v>
      </c>
      <c r="BU24" s="29">
        <f t="shared" ca="1" si="10"/>
        <v>0</v>
      </c>
      <c r="BV24" s="29">
        <f t="shared" ca="1" si="10"/>
        <v>0</v>
      </c>
      <c r="BW24" s="29">
        <f t="shared" ca="1" si="10"/>
        <v>0</v>
      </c>
      <c r="BX24" s="29">
        <f t="shared" ca="1" si="10"/>
        <v>0</v>
      </c>
      <c r="BY24" s="29">
        <f t="shared" ca="1" si="10"/>
        <v>0</v>
      </c>
      <c r="BZ24" s="29">
        <f t="shared" ca="1" si="10"/>
        <v>0</v>
      </c>
      <c r="CA24" s="29">
        <f t="shared" ca="1" si="10"/>
        <v>0</v>
      </c>
      <c r="CB24" s="29">
        <f t="shared" ca="1" si="10"/>
        <v>0</v>
      </c>
      <c r="CC24" s="29">
        <f t="shared" ca="1" si="10"/>
        <v>0</v>
      </c>
      <c r="CD24" s="29">
        <f t="shared" ca="1" si="10"/>
        <v>0</v>
      </c>
      <c r="CE24" s="29">
        <f t="shared" ca="1" si="10"/>
        <v>0</v>
      </c>
      <c r="CF24" s="29">
        <f t="shared" ca="1" si="10"/>
        <v>0</v>
      </c>
      <c r="CG24" s="29">
        <f t="shared" ca="1" si="10"/>
        <v>0</v>
      </c>
      <c r="CH24" s="29">
        <f t="shared" ca="1" si="10"/>
        <v>0</v>
      </c>
    </row>
    <row r="25" spans="1:86" ht="13">
      <c r="B25" s="15" t="s">
        <v>254</v>
      </c>
      <c r="C25" s="15"/>
      <c r="D25" s="15" t="s">
        <v>238</v>
      </c>
      <c r="E25" s="29">
        <f t="shared" ca="1" si="7"/>
        <v>-134016575</v>
      </c>
      <c r="F25" s="29"/>
      <c r="G25" s="29">
        <f t="shared" ref="G25:CH25" ca="1" si="11">SUM(G47,G46,G45)*-1</f>
        <v>0</v>
      </c>
      <c r="H25" s="29">
        <f t="shared" ca="1" si="11"/>
        <v>0</v>
      </c>
      <c r="I25" s="29">
        <f t="shared" ca="1" si="11"/>
        <v>0</v>
      </c>
      <c r="J25" s="29">
        <f t="shared" ca="1" si="11"/>
        <v>0</v>
      </c>
      <c r="K25" s="29">
        <f t="shared" ca="1" si="11"/>
        <v>0</v>
      </c>
      <c r="L25" s="29">
        <f t="shared" ca="1" si="11"/>
        <v>0</v>
      </c>
      <c r="M25" s="29">
        <f t="shared" ca="1" si="11"/>
        <v>0</v>
      </c>
      <c r="N25" s="29">
        <f t="shared" ca="1" si="11"/>
        <v>0</v>
      </c>
      <c r="O25" s="29">
        <f t="shared" ca="1" si="11"/>
        <v>0</v>
      </c>
      <c r="P25" s="29">
        <f t="shared" ca="1" si="11"/>
        <v>0</v>
      </c>
      <c r="Q25" s="29">
        <f t="shared" ca="1" si="11"/>
        <v>0</v>
      </c>
      <c r="R25" s="29">
        <f t="shared" ca="1" si="11"/>
        <v>0</v>
      </c>
      <c r="S25" s="29">
        <f t="shared" ca="1" si="11"/>
        <v>-972125.00000000047</v>
      </c>
      <c r="T25" s="29">
        <f t="shared" ca="1" si="11"/>
        <v>-972125.00000000047</v>
      </c>
      <c r="U25" s="29">
        <f t="shared" ca="1" si="11"/>
        <v>-972125.00000000047</v>
      </c>
      <c r="V25" s="29">
        <f t="shared" ca="1" si="11"/>
        <v>-972125.00000000047</v>
      </c>
      <c r="W25" s="29">
        <f t="shared" ca="1" si="11"/>
        <v>-3486656.2500000009</v>
      </c>
      <c r="X25" s="29">
        <f t="shared" ca="1" si="11"/>
        <v>-3486656.2500000009</v>
      </c>
      <c r="Y25" s="29">
        <f t="shared" ca="1" si="11"/>
        <v>-3486656.2500000009</v>
      </c>
      <c r="Z25" s="29">
        <f t="shared" ca="1" si="11"/>
        <v>-3486656.2500000009</v>
      </c>
      <c r="AA25" s="29">
        <f t="shared" ca="1" si="11"/>
        <v>-3486656.2500000009</v>
      </c>
      <c r="AB25" s="29">
        <f t="shared" ca="1" si="11"/>
        <v>-3486656.2500000009</v>
      </c>
      <c r="AC25" s="29">
        <f t="shared" ca="1" si="11"/>
        <v>-3486656.2500000009</v>
      </c>
      <c r="AD25" s="29">
        <f t="shared" ca="1" si="11"/>
        <v>-3486656.2500000009</v>
      </c>
      <c r="AE25" s="29">
        <f t="shared" ca="1" si="11"/>
        <v>-8277018.7499999981</v>
      </c>
      <c r="AF25" s="29">
        <f t="shared" ca="1" si="11"/>
        <v>-8277018.7499999981</v>
      </c>
      <c r="AG25" s="29">
        <f t="shared" ca="1" si="11"/>
        <v>-8277018.7499999981</v>
      </c>
      <c r="AH25" s="29">
        <f t="shared" ca="1" si="11"/>
        <v>-8277018.7499999981</v>
      </c>
      <c r="AI25" s="29">
        <f t="shared" ca="1" si="11"/>
        <v>-7276499.9999999981</v>
      </c>
      <c r="AJ25" s="29">
        <f t="shared" ca="1" si="11"/>
        <v>-7276499.9999999981</v>
      </c>
      <c r="AK25" s="29">
        <f t="shared" ca="1" si="11"/>
        <v>-7276499.9999999981</v>
      </c>
      <c r="AL25" s="29">
        <f t="shared" ca="1" si="11"/>
        <v>-7276499.9999999981</v>
      </c>
      <c r="AM25" s="29">
        <f t="shared" ca="1" si="11"/>
        <v>-4547812.4999999981</v>
      </c>
      <c r="AN25" s="29">
        <f t="shared" ca="1" si="11"/>
        <v>-4547812.4999999981</v>
      </c>
      <c r="AO25" s="29">
        <f t="shared" ca="1" si="11"/>
        <v>-4547812.4999999981</v>
      </c>
      <c r="AP25" s="29">
        <f t="shared" ca="1" si="11"/>
        <v>-4547812.4999999981</v>
      </c>
      <c r="AQ25" s="29">
        <f t="shared" ca="1" si="11"/>
        <v>-5457374.9999999981</v>
      </c>
      <c r="AR25" s="29">
        <f t="shared" ca="1" si="11"/>
        <v>-5457374.9999999981</v>
      </c>
      <c r="AS25" s="29">
        <f t="shared" ca="1" si="11"/>
        <v>-5457374.9999999981</v>
      </c>
      <c r="AT25" s="29">
        <f t="shared" ca="1" si="11"/>
        <v>-5457374.9999999981</v>
      </c>
      <c r="AU25" s="29">
        <f t="shared" ca="1" si="11"/>
        <v>0</v>
      </c>
      <c r="AV25" s="29">
        <f t="shared" ca="1" si="11"/>
        <v>0</v>
      </c>
      <c r="AW25" s="29">
        <f t="shared" ca="1" si="11"/>
        <v>0</v>
      </c>
      <c r="AX25" s="29">
        <f t="shared" ca="1" si="11"/>
        <v>0</v>
      </c>
      <c r="AY25" s="29">
        <f t="shared" ca="1" si="11"/>
        <v>0</v>
      </c>
      <c r="AZ25" s="29">
        <f t="shared" ca="1" si="11"/>
        <v>0</v>
      </c>
      <c r="BA25" s="29">
        <f t="shared" ca="1" si="11"/>
        <v>0</v>
      </c>
      <c r="BB25" s="29">
        <f t="shared" ca="1" si="11"/>
        <v>0</v>
      </c>
      <c r="BC25" s="29">
        <f t="shared" ca="1" si="11"/>
        <v>0</v>
      </c>
      <c r="BD25" s="29">
        <f t="shared" ca="1" si="11"/>
        <v>0</v>
      </c>
      <c r="BE25" s="29">
        <f t="shared" ca="1" si="11"/>
        <v>0</v>
      </c>
      <c r="BF25" s="29">
        <f t="shared" ca="1" si="11"/>
        <v>0</v>
      </c>
      <c r="BG25" s="29">
        <f t="shared" ca="1" si="11"/>
        <v>0</v>
      </c>
      <c r="BH25" s="29">
        <f t="shared" ca="1" si="11"/>
        <v>0</v>
      </c>
      <c r="BI25" s="29">
        <f t="shared" ca="1" si="11"/>
        <v>0</v>
      </c>
      <c r="BJ25" s="29">
        <f t="shared" ca="1" si="11"/>
        <v>0</v>
      </c>
      <c r="BK25" s="29">
        <f t="shared" ca="1" si="11"/>
        <v>0</v>
      </c>
      <c r="BL25" s="29">
        <f t="shared" ca="1" si="11"/>
        <v>0</v>
      </c>
      <c r="BM25" s="29">
        <f t="shared" ca="1" si="11"/>
        <v>0</v>
      </c>
      <c r="BN25" s="29">
        <f t="shared" ca="1" si="11"/>
        <v>0</v>
      </c>
      <c r="BO25" s="29">
        <f t="shared" ca="1" si="11"/>
        <v>0</v>
      </c>
      <c r="BP25" s="29">
        <f t="shared" ca="1" si="11"/>
        <v>0</v>
      </c>
      <c r="BQ25" s="29">
        <f t="shared" ca="1" si="11"/>
        <v>0</v>
      </c>
      <c r="BR25" s="29">
        <f t="shared" ca="1" si="11"/>
        <v>0</v>
      </c>
      <c r="BS25" s="29">
        <f t="shared" ca="1" si="11"/>
        <v>0</v>
      </c>
      <c r="BT25" s="29">
        <f t="shared" ca="1" si="11"/>
        <v>0</v>
      </c>
      <c r="BU25" s="29">
        <f t="shared" ca="1" si="11"/>
        <v>0</v>
      </c>
      <c r="BV25" s="29">
        <f t="shared" ca="1" si="11"/>
        <v>0</v>
      </c>
      <c r="BW25" s="29">
        <f t="shared" ca="1" si="11"/>
        <v>0</v>
      </c>
      <c r="BX25" s="29">
        <f t="shared" ca="1" si="11"/>
        <v>0</v>
      </c>
      <c r="BY25" s="29">
        <f t="shared" ca="1" si="11"/>
        <v>0</v>
      </c>
      <c r="BZ25" s="29">
        <f t="shared" ca="1" si="11"/>
        <v>0</v>
      </c>
      <c r="CA25" s="29">
        <f t="shared" ca="1" si="11"/>
        <v>0</v>
      </c>
      <c r="CB25" s="29">
        <f t="shared" ca="1" si="11"/>
        <v>0</v>
      </c>
      <c r="CC25" s="29">
        <f t="shared" ca="1" si="11"/>
        <v>0</v>
      </c>
      <c r="CD25" s="29">
        <f t="shared" ca="1" si="11"/>
        <v>0</v>
      </c>
      <c r="CE25" s="29">
        <f t="shared" ca="1" si="11"/>
        <v>0</v>
      </c>
      <c r="CF25" s="29">
        <f t="shared" ca="1" si="11"/>
        <v>0</v>
      </c>
      <c r="CG25" s="29">
        <f t="shared" ca="1" si="11"/>
        <v>0</v>
      </c>
      <c r="CH25" s="29">
        <f t="shared" ca="1" si="11"/>
        <v>0</v>
      </c>
    </row>
    <row r="26" spans="1:86" ht="13">
      <c r="B26" s="15" t="s">
        <v>255</v>
      </c>
      <c r="C26" s="15"/>
      <c r="D26" s="15" t="s">
        <v>238</v>
      </c>
      <c r="E26" s="29">
        <f t="shared" si="7"/>
        <v>-5750000</v>
      </c>
      <c r="F26" s="29"/>
      <c r="G26" s="29">
        <f t="shared" ref="G26:CH26" si="12">SUM(G39,G40,G41)*-1</f>
        <v>-241250</v>
      </c>
      <c r="H26" s="29">
        <f t="shared" si="12"/>
        <v>-141250</v>
      </c>
      <c r="I26" s="29">
        <f t="shared" si="12"/>
        <v>-141250</v>
      </c>
      <c r="J26" s="29">
        <f t="shared" si="12"/>
        <v>-141250</v>
      </c>
      <c r="K26" s="29">
        <f t="shared" si="12"/>
        <v>-141250</v>
      </c>
      <c r="L26" s="29">
        <f t="shared" si="12"/>
        <v>-141250</v>
      </c>
      <c r="M26" s="29">
        <f t="shared" si="12"/>
        <v>-141250</v>
      </c>
      <c r="N26" s="29">
        <f t="shared" si="12"/>
        <v>-141250</v>
      </c>
      <c r="O26" s="29">
        <f t="shared" si="12"/>
        <v>-141250</v>
      </c>
      <c r="P26" s="29">
        <f t="shared" si="12"/>
        <v>-141250</v>
      </c>
      <c r="Q26" s="29">
        <f t="shared" si="12"/>
        <v>-141250</v>
      </c>
      <c r="R26" s="29">
        <f t="shared" si="12"/>
        <v>-141250</v>
      </c>
      <c r="S26" s="29">
        <f t="shared" si="12"/>
        <v>-141250</v>
      </c>
      <c r="T26" s="29">
        <f t="shared" si="12"/>
        <v>-141250</v>
      </c>
      <c r="U26" s="29">
        <f t="shared" si="12"/>
        <v>-141250</v>
      </c>
      <c r="V26" s="29">
        <f t="shared" si="12"/>
        <v>-141250</v>
      </c>
      <c r="W26" s="29">
        <f t="shared" si="12"/>
        <v>-141250</v>
      </c>
      <c r="X26" s="29">
        <f t="shared" si="12"/>
        <v>-141250</v>
      </c>
      <c r="Y26" s="29">
        <f t="shared" si="12"/>
        <v>-141250</v>
      </c>
      <c r="Z26" s="29">
        <f t="shared" si="12"/>
        <v>-141250</v>
      </c>
      <c r="AA26" s="29">
        <f t="shared" si="12"/>
        <v>-141250</v>
      </c>
      <c r="AB26" s="29">
        <f t="shared" si="12"/>
        <v>-141250</v>
      </c>
      <c r="AC26" s="29">
        <f t="shared" si="12"/>
        <v>-141250</v>
      </c>
      <c r="AD26" s="29">
        <f t="shared" si="12"/>
        <v>-141250</v>
      </c>
      <c r="AE26" s="29">
        <f t="shared" si="12"/>
        <v>-141250</v>
      </c>
      <c r="AF26" s="29">
        <f t="shared" si="12"/>
        <v>-141250</v>
      </c>
      <c r="AG26" s="29">
        <f t="shared" si="12"/>
        <v>-141250</v>
      </c>
      <c r="AH26" s="29">
        <f t="shared" si="12"/>
        <v>-141250</v>
      </c>
      <c r="AI26" s="29">
        <f t="shared" si="12"/>
        <v>-141250</v>
      </c>
      <c r="AJ26" s="29">
        <f t="shared" si="12"/>
        <v>-141250</v>
      </c>
      <c r="AK26" s="29">
        <f t="shared" si="12"/>
        <v>-141250</v>
      </c>
      <c r="AL26" s="29">
        <f t="shared" si="12"/>
        <v>-141250</v>
      </c>
      <c r="AM26" s="29">
        <f t="shared" si="12"/>
        <v>-141250</v>
      </c>
      <c r="AN26" s="29">
        <f t="shared" si="12"/>
        <v>-141250</v>
      </c>
      <c r="AO26" s="29">
        <f t="shared" si="12"/>
        <v>-141250</v>
      </c>
      <c r="AP26" s="29">
        <f t="shared" si="12"/>
        <v>-141250</v>
      </c>
      <c r="AQ26" s="29">
        <f t="shared" si="12"/>
        <v>-141250</v>
      </c>
      <c r="AR26" s="29">
        <f t="shared" si="12"/>
        <v>-141250</v>
      </c>
      <c r="AS26" s="29">
        <f t="shared" si="12"/>
        <v>-141250</v>
      </c>
      <c r="AT26" s="29">
        <f t="shared" si="12"/>
        <v>-141250</v>
      </c>
      <c r="AU26" s="29">
        <f t="shared" si="12"/>
        <v>0</v>
      </c>
      <c r="AV26" s="29">
        <f t="shared" si="12"/>
        <v>0</v>
      </c>
      <c r="AW26" s="29">
        <f t="shared" si="12"/>
        <v>0</v>
      </c>
      <c r="AX26" s="29">
        <f t="shared" si="12"/>
        <v>0</v>
      </c>
      <c r="AY26" s="29">
        <f t="shared" si="12"/>
        <v>0</v>
      </c>
      <c r="AZ26" s="29">
        <f t="shared" si="12"/>
        <v>0</v>
      </c>
      <c r="BA26" s="29">
        <f t="shared" si="12"/>
        <v>0</v>
      </c>
      <c r="BB26" s="29">
        <f t="shared" si="12"/>
        <v>0</v>
      </c>
      <c r="BC26" s="29">
        <f t="shared" si="12"/>
        <v>0</v>
      </c>
      <c r="BD26" s="29">
        <f t="shared" si="12"/>
        <v>0</v>
      </c>
      <c r="BE26" s="29">
        <f t="shared" si="12"/>
        <v>0</v>
      </c>
      <c r="BF26" s="29">
        <f t="shared" si="12"/>
        <v>0</v>
      </c>
      <c r="BG26" s="29">
        <f t="shared" si="12"/>
        <v>0</v>
      </c>
      <c r="BH26" s="29">
        <f t="shared" si="12"/>
        <v>0</v>
      </c>
      <c r="BI26" s="29">
        <f t="shared" si="12"/>
        <v>0</v>
      </c>
      <c r="BJ26" s="29">
        <f t="shared" si="12"/>
        <v>0</v>
      </c>
      <c r="BK26" s="29">
        <f t="shared" si="12"/>
        <v>0</v>
      </c>
      <c r="BL26" s="29">
        <f t="shared" si="12"/>
        <v>0</v>
      </c>
      <c r="BM26" s="29">
        <f t="shared" si="12"/>
        <v>0</v>
      </c>
      <c r="BN26" s="29">
        <f t="shared" si="12"/>
        <v>0</v>
      </c>
      <c r="BO26" s="29">
        <f t="shared" si="12"/>
        <v>0</v>
      </c>
      <c r="BP26" s="29">
        <f t="shared" si="12"/>
        <v>0</v>
      </c>
      <c r="BQ26" s="29">
        <f t="shared" si="12"/>
        <v>0</v>
      </c>
      <c r="BR26" s="29">
        <f t="shared" si="12"/>
        <v>0</v>
      </c>
      <c r="BS26" s="29">
        <f t="shared" si="12"/>
        <v>0</v>
      </c>
      <c r="BT26" s="29">
        <f t="shared" si="12"/>
        <v>0</v>
      </c>
      <c r="BU26" s="29">
        <f t="shared" si="12"/>
        <v>0</v>
      </c>
      <c r="BV26" s="29">
        <f t="shared" si="12"/>
        <v>0</v>
      </c>
      <c r="BW26" s="29">
        <f t="shared" si="12"/>
        <v>0</v>
      </c>
      <c r="BX26" s="29">
        <f t="shared" si="12"/>
        <v>0</v>
      </c>
      <c r="BY26" s="29">
        <f t="shared" si="12"/>
        <v>0</v>
      </c>
      <c r="BZ26" s="29">
        <f t="shared" si="12"/>
        <v>0</v>
      </c>
      <c r="CA26" s="29">
        <f t="shared" si="12"/>
        <v>0</v>
      </c>
      <c r="CB26" s="29">
        <f t="shared" si="12"/>
        <v>0</v>
      </c>
      <c r="CC26" s="29">
        <f t="shared" si="12"/>
        <v>0</v>
      </c>
      <c r="CD26" s="29">
        <f t="shared" si="12"/>
        <v>0</v>
      </c>
      <c r="CE26" s="29">
        <f t="shared" si="12"/>
        <v>0</v>
      </c>
      <c r="CF26" s="29">
        <f t="shared" si="12"/>
        <v>0</v>
      </c>
      <c r="CG26" s="29">
        <f t="shared" si="12"/>
        <v>0</v>
      </c>
      <c r="CH26" s="29">
        <f t="shared" si="12"/>
        <v>0</v>
      </c>
    </row>
    <row r="27" spans="1:86" ht="13">
      <c r="B27" s="15" t="s">
        <v>256</v>
      </c>
      <c r="C27" s="15"/>
      <c r="D27" s="15" t="s">
        <v>238</v>
      </c>
      <c r="E27" s="29">
        <f t="shared" ca="1" si="7"/>
        <v>-20212500</v>
      </c>
      <c r="F27" s="29"/>
      <c r="G27" s="29">
        <f t="shared" ref="G27:CH27" ca="1" si="13">G38*-1</f>
        <v>-1203125</v>
      </c>
      <c r="H27" s="29">
        <f t="shared" ca="1" si="13"/>
        <v>-1203125</v>
      </c>
      <c r="I27" s="29">
        <f t="shared" ca="1" si="13"/>
        <v>-1203125</v>
      </c>
      <c r="J27" s="29">
        <f t="shared" ca="1" si="13"/>
        <v>-1203125</v>
      </c>
      <c r="K27" s="29">
        <f t="shared" ca="1" si="13"/>
        <v>-1203125</v>
      </c>
      <c r="L27" s="29">
        <f t="shared" ca="1" si="13"/>
        <v>-1203125</v>
      </c>
      <c r="M27" s="29">
        <f t="shared" ca="1" si="13"/>
        <v>-1203125</v>
      </c>
      <c r="N27" s="29">
        <f t="shared" ca="1" si="13"/>
        <v>-1203125</v>
      </c>
      <c r="O27" s="29">
        <f t="shared" ca="1" si="13"/>
        <v>-1203125</v>
      </c>
      <c r="P27" s="29">
        <f t="shared" ca="1" si="13"/>
        <v>-1203125</v>
      </c>
      <c r="Q27" s="29">
        <f t="shared" ca="1" si="13"/>
        <v>-1203125</v>
      </c>
      <c r="R27" s="29">
        <f t="shared" ca="1" si="13"/>
        <v>-1203125</v>
      </c>
      <c r="S27" s="29">
        <f t="shared" ca="1" si="13"/>
        <v>-1443750</v>
      </c>
      <c r="T27" s="29">
        <f t="shared" ca="1" si="13"/>
        <v>-1443750</v>
      </c>
      <c r="U27" s="29">
        <f t="shared" ca="1" si="13"/>
        <v>-1443750</v>
      </c>
      <c r="V27" s="29">
        <f t="shared" ca="1" si="13"/>
        <v>-1443750</v>
      </c>
      <c r="W27" s="29">
        <f t="shared" ca="1" si="13"/>
        <v>0</v>
      </c>
      <c r="X27" s="29">
        <f t="shared" ca="1" si="13"/>
        <v>0</v>
      </c>
      <c r="Y27" s="29">
        <f t="shared" ca="1" si="13"/>
        <v>0</v>
      </c>
      <c r="Z27" s="29">
        <f t="shared" ca="1" si="13"/>
        <v>0</v>
      </c>
      <c r="AA27" s="29">
        <f t="shared" ca="1" si="13"/>
        <v>0</v>
      </c>
      <c r="AB27" s="29">
        <f t="shared" ca="1" si="13"/>
        <v>0</v>
      </c>
      <c r="AC27" s="29">
        <f t="shared" ca="1" si="13"/>
        <v>0</v>
      </c>
      <c r="AD27" s="29">
        <f t="shared" ca="1" si="13"/>
        <v>0</v>
      </c>
      <c r="AE27" s="29">
        <f t="shared" ca="1" si="13"/>
        <v>0</v>
      </c>
      <c r="AF27" s="29">
        <f t="shared" ca="1" si="13"/>
        <v>0</v>
      </c>
      <c r="AG27" s="29">
        <f t="shared" ca="1" si="13"/>
        <v>0</v>
      </c>
      <c r="AH27" s="29">
        <f t="shared" ca="1" si="13"/>
        <v>0</v>
      </c>
      <c r="AI27" s="29">
        <f t="shared" ca="1" si="13"/>
        <v>0</v>
      </c>
      <c r="AJ27" s="29">
        <f t="shared" ca="1" si="13"/>
        <v>0</v>
      </c>
      <c r="AK27" s="29">
        <f t="shared" ca="1" si="13"/>
        <v>0</v>
      </c>
      <c r="AL27" s="29">
        <f t="shared" ca="1" si="13"/>
        <v>0</v>
      </c>
      <c r="AM27" s="29">
        <f t="shared" ca="1" si="13"/>
        <v>0</v>
      </c>
      <c r="AN27" s="29">
        <f t="shared" ca="1" si="13"/>
        <v>0</v>
      </c>
      <c r="AO27" s="29">
        <f t="shared" ca="1" si="13"/>
        <v>0</v>
      </c>
      <c r="AP27" s="29">
        <f t="shared" ca="1" si="13"/>
        <v>0</v>
      </c>
      <c r="AQ27" s="29">
        <f t="shared" ca="1" si="13"/>
        <v>0</v>
      </c>
      <c r="AR27" s="29">
        <f t="shared" ca="1" si="13"/>
        <v>0</v>
      </c>
      <c r="AS27" s="29">
        <f t="shared" ca="1" si="13"/>
        <v>0</v>
      </c>
      <c r="AT27" s="29">
        <f t="shared" ca="1" si="13"/>
        <v>0</v>
      </c>
      <c r="AU27" s="29">
        <f t="shared" ca="1" si="13"/>
        <v>0</v>
      </c>
      <c r="AV27" s="29">
        <f t="shared" ca="1" si="13"/>
        <v>0</v>
      </c>
      <c r="AW27" s="29">
        <f t="shared" ca="1" si="13"/>
        <v>0</v>
      </c>
      <c r="AX27" s="29">
        <f t="shared" ca="1" si="13"/>
        <v>0</v>
      </c>
      <c r="AY27" s="29">
        <f t="shared" ca="1" si="13"/>
        <v>0</v>
      </c>
      <c r="AZ27" s="29">
        <f t="shared" ca="1" si="13"/>
        <v>0</v>
      </c>
      <c r="BA27" s="29">
        <f t="shared" ca="1" si="13"/>
        <v>0</v>
      </c>
      <c r="BB27" s="29">
        <f t="shared" ca="1" si="13"/>
        <v>0</v>
      </c>
      <c r="BC27" s="29">
        <f t="shared" ca="1" si="13"/>
        <v>0</v>
      </c>
      <c r="BD27" s="29">
        <f t="shared" ca="1" si="13"/>
        <v>0</v>
      </c>
      <c r="BE27" s="29">
        <f t="shared" ca="1" si="13"/>
        <v>0</v>
      </c>
      <c r="BF27" s="29">
        <f t="shared" ca="1" si="13"/>
        <v>0</v>
      </c>
      <c r="BG27" s="29">
        <f t="shared" ca="1" si="13"/>
        <v>0</v>
      </c>
      <c r="BH27" s="29">
        <f t="shared" ca="1" si="13"/>
        <v>0</v>
      </c>
      <c r="BI27" s="29">
        <f t="shared" ca="1" si="13"/>
        <v>0</v>
      </c>
      <c r="BJ27" s="29">
        <f t="shared" ca="1" si="13"/>
        <v>0</v>
      </c>
      <c r="BK27" s="29">
        <f t="shared" ca="1" si="13"/>
        <v>0</v>
      </c>
      <c r="BL27" s="29">
        <f t="shared" ca="1" si="13"/>
        <v>0</v>
      </c>
      <c r="BM27" s="29">
        <f t="shared" ca="1" si="13"/>
        <v>0</v>
      </c>
      <c r="BN27" s="29">
        <f t="shared" ca="1" si="13"/>
        <v>0</v>
      </c>
      <c r="BO27" s="29">
        <f t="shared" ca="1" si="13"/>
        <v>0</v>
      </c>
      <c r="BP27" s="29">
        <f t="shared" ca="1" si="13"/>
        <v>0</v>
      </c>
      <c r="BQ27" s="29">
        <f t="shared" ca="1" si="13"/>
        <v>0</v>
      </c>
      <c r="BR27" s="29">
        <f t="shared" ca="1" si="13"/>
        <v>0</v>
      </c>
      <c r="BS27" s="29">
        <f t="shared" ca="1" si="13"/>
        <v>0</v>
      </c>
      <c r="BT27" s="29">
        <f t="shared" ca="1" si="13"/>
        <v>0</v>
      </c>
      <c r="BU27" s="29">
        <f t="shared" ca="1" si="13"/>
        <v>0</v>
      </c>
      <c r="BV27" s="29">
        <f t="shared" ca="1" si="13"/>
        <v>0</v>
      </c>
      <c r="BW27" s="29">
        <f t="shared" ca="1" si="13"/>
        <v>0</v>
      </c>
      <c r="BX27" s="29">
        <f t="shared" ca="1" si="13"/>
        <v>0</v>
      </c>
      <c r="BY27" s="29">
        <f t="shared" ca="1" si="13"/>
        <v>0</v>
      </c>
      <c r="BZ27" s="29">
        <f t="shared" ca="1" si="13"/>
        <v>0</v>
      </c>
      <c r="CA27" s="29">
        <f t="shared" ca="1" si="13"/>
        <v>0</v>
      </c>
      <c r="CB27" s="29">
        <f t="shared" ca="1" si="13"/>
        <v>0</v>
      </c>
      <c r="CC27" s="29">
        <f t="shared" ca="1" si="13"/>
        <v>0</v>
      </c>
      <c r="CD27" s="29">
        <f t="shared" ca="1" si="13"/>
        <v>0</v>
      </c>
      <c r="CE27" s="29">
        <f t="shared" ca="1" si="13"/>
        <v>0</v>
      </c>
      <c r="CF27" s="29">
        <f t="shared" ca="1" si="13"/>
        <v>0</v>
      </c>
      <c r="CG27" s="29">
        <f t="shared" ca="1" si="13"/>
        <v>0</v>
      </c>
      <c r="CH27" s="29">
        <f t="shared" ca="1" si="13"/>
        <v>0</v>
      </c>
    </row>
    <row r="28" spans="1:86" ht="13">
      <c r="B28" s="15" t="s">
        <v>257</v>
      </c>
      <c r="C28" s="15"/>
      <c r="D28" s="15" t="s">
        <v>247</v>
      </c>
      <c r="E28" s="29">
        <f t="shared" ca="1" si="7"/>
        <v>0</v>
      </c>
      <c r="F28" s="29"/>
      <c r="G28" s="80">
        <f t="shared" ref="G28:CH28" ca="1" si="14">SUM(G22:G27)</f>
        <v>0</v>
      </c>
      <c r="H28" s="80">
        <f t="shared" ca="1" si="14"/>
        <v>0</v>
      </c>
      <c r="I28" s="80">
        <f t="shared" ca="1" si="14"/>
        <v>0</v>
      </c>
      <c r="J28" s="80">
        <f t="shared" ca="1" si="14"/>
        <v>0</v>
      </c>
      <c r="K28" s="80">
        <f t="shared" ca="1" si="14"/>
        <v>0</v>
      </c>
      <c r="L28" s="80">
        <f t="shared" ca="1" si="14"/>
        <v>0</v>
      </c>
      <c r="M28" s="80">
        <f t="shared" ca="1" si="14"/>
        <v>0</v>
      </c>
      <c r="N28" s="80">
        <f t="shared" ca="1" si="14"/>
        <v>0</v>
      </c>
      <c r="O28" s="80">
        <f t="shared" ca="1" si="14"/>
        <v>0</v>
      </c>
      <c r="P28" s="80">
        <f t="shared" ca="1" si="14"/>
        <v>0</v>
      </c>
      <c r="Q28" s="80">
        <f t="shared" ca="1" si="14"/>
        <v>0</v>
      </c>
      <c r="R28" s="80">
        <f t="shared" ca="1" si="14"/>
        <v>0</v>
      </c>
      <c r="S28" s="80">
        <f t="shared" ca="1" si="14"/>
        <v>0</v>
      </c>
      <c r="T28" s="80">
        <f t="shared" ca="1" si="14"/>
        <v>0</v>
      </c>
      <c r="U28" s="80">
        <f t="shared" ca="1" si="14"/>
        <v>0</v>
      </c>
      <c r="V28" s="80">
        <f t="shared" ca="1" si="14"/>
        <v>0</v>
      </c>
      <c r="W28" s="80">
        <f t="shared" ca="1" si="14"/>
        <v>0</v>
      </c>
      <c r="X28" s="80">
        <f t="shared" ca="1" si="14"/>
        <v>0</v>
      </c>
      <c r="Y28" s="80">
        <f t="shared" ca="1" si="14"/>
        <v>0</v>
      </c>
      <c r="Z28" s="80">
        <f t="shared" ca="1" si="14"/>
        <v>0</v>
      </c>
      <c r="AA28" s="80">
        <f t="shared" ca="1" si="14"/>
        <v>0</v>
      </c>
      <c r="AB28" s="80">
        <f t="shared" ca="1" si="14"/>
        <v>0</v>
      </c>
      <c r="AC28" s="80">
        <f t="shared" ca="1" si="14"/>
        <v>0</v>
      </c>
      <c r="AD28" s="80">
        <f t="shared" ca="1" si="14"/>
        <v>0</v>
      </c>
      <c r="AE28" s="80">
        <f t="shared" ca="1" si="14"/>
        <v>0</v>
      </c>
      <c r="AF28" s="80">
        <f t="shared" ca="1" si="14"/>
        <v>0</v>
      </c>
      <c r="AG28" s="80">
        <f t="shared" ca="1" si="14"/>
        <v>0</v>
      </c>
      <c r="AH28" s="80">
        <f t="shared" ca="1" si="14"/>
        <v>0</v>
      </c>
      <c r="AI28" s="80">
        <f t="shared" ca="1" si="14"/>
        <v>0</v>
      </c>
      <c r="AJ28" s="80">
        <f t="shared" ca="1" si="14"/>
        <v>0</v>
      </c>
      <c r="AK28" s="80">
        <f t="shared" ca="1" si="14"/>
        <v>0</v>
      </c>
      <c r="AL28" s="80">
        <f t="shared" ca="1" si="14"/>
        <v>0</v>
      </c>
      <c r="AM28" s="80">
        <f t="shared" ca="1" si="14"/>
        <v>0</v>
      </c>
      <c r="AN28" s="80">
        <f t="shared" ca="1" si="14"/>
        <v>0</v>
      </c>
      <c r="AO28" s="80">
        <f t="shared" ca="1" si="14"/>
        <v>0</v>
      </c>
      <c r="AP28" s="80">
        <f t="shared" ca="1" si="14"/>
        <v>0</v>
      </c>
      <c r="AQ28" s="80">
        <f t="shared" ca="1" si="14"/>
        <v>0</v>
      </c>
      <c r="AR28" s="80">
        <f t="shared" ca="1" si="14"/>
        <v>0</v>
      </c>
      <c r="AS28" s="80">
        <f t="shared" ca="1" si="14"/>
        <v>0</v>
      </c>
      <c r="AT28" s="80">
        <f t="shared" ca="1" si="14"/>
        <v>0</v>
      </c>
      <c r="AU28" s="80">
        <f t="shared" ca="1" si="14"/>
        <v>0</v>
      </c>
      <c r="AV28" s="80">
        <f t="shared" ca="1" si="14"/>
        <v>0</v>
      </c>
      <c r="AW28" s="80">
        <f t="shared" ca="1" si="14"/>
        <v>0</v>
      </c>
      <c r="AX28" s="80">
        <f t="shared" ca="1" si="14"/>
        <v>0</v>
      </c>
      <c r="AY28" s="80">
        <f t="shared" ca="1" si="14"/>
        <v>0</v>
      </c>
      <c r="AZ28" s="80">
        <f t="shared" ca="1" si="14"/>
        <v>0</v>
      </c>
      <c r="BA28" s="80">
        <f t="shared" ca="1" si="14"/>
        <v>0</v>
      </c>
      <c r="BB28" s="80">
        <f t="shared" ca="1" si="14"/>
        <v>0</v>
      </c>
      <c r="BC28" s="80">
        <f t="shared" ca="1" si="14"/>
        <v>0</v>
      </c>
      <c r="BD28" s="80">
        <f t="shared" ca="1" si="14"/>
        <v>0</v>
      </c>
      <c r="BE28" s="80">
        <f t="shared" ca="1" si="14"/>
        <v>0</v>
      </c>
      <c r="BF28" s="80">
        <f t="shared" ca="1" si="14"/>
        <v>0</v>
      </c>
      <c r="BG28" s="80">
        <f t="shared" ca="1" si="14"/>
        <v>0</v>
      </c>
      <c r="BH28" s="80">
        <f t="shared" ca="1" si="14"/>
        <v>0</v>
      </c>
      <c r="BI28" s="80">
        <f t="shared" ca="1" si="14"/>
        <v>0</v>
      </c>
      <c r="BJ28" s="80">
        <f t="shared" ca="1" si="14"/>
        <v>0</v>
      </c>
      <c r="BK28" s="80">
        <f t="shared" ca="1" si="14"/>
        <v>0</v>
      </c>
      <c r="BL28" s="80">
        <f t="shared" ca="1" si="14"/>
        <v>0</v>
      </c>
      <c r="BM28" s="80">
        <f t="shared" ca="1" si="14"/>
        <v>0</v>
      </c>
      <c r="BN28" s="80">
        <f t="shared" ca="1" si="14"/>
        <v>0</v>
      </c>
      <c r="BO28" s="80">
        <f t="shared" ca="1" si="14"/>
        <v>0</v>
      </c>
      <c r="BP28" s="80">
        <f t="shared" ca="1" si="14"/>
        <v>0</v>
      </c>
      <c r="BQ28" s="80">
        <f t="shared" ca="1" si="14"/>
        <v>0</v>
      </c>
      <c r="BR28" s="80">
        <f t="shared" ca="1" si="14"/>
        <v>0</v>
      </c>
      <c r="BS28" s="80">
        <f t="shared" ca="1" si="14"/>
        <v>0</v>
      </c>
      <c r="BT28" s="80">
        <f t="shared" ca="1" si="14"/>
        <v>0</v>
      </c>
      <c r="BU28" s="80">
        <f t="shared" ca="1" si="14"/>
        <v>0</v>
      </c>
      <c r="BV28" s="80">
        <f t="shared" ca="1" si="14"/>
        <v>0</v>
      </c>
      <c r="BW28" s="80">
        <f t="shared" ca="1" si="14"/>
        <v>0</v>
      </c>
      <c r="BX28" s="80">
        <f t="shared" ca="1" si="14"/>
        <v>0</v>
      </c>
      <c r="BY28" s="80">
        <f t="shared" ca="1" si="14"/>
        <v>0</v>
      </c>
      <c r="BZ28" s="80">
        <f t="shared" ca="1" si="14"/>
        <v>0</v>
      </c>
      <c r="CA28" s="80">
        <f t="shared" ca="1" si="14"/>
        <v>0</v>
      </c>
      <c r="CB28" s="80">
        <f t="shared" ca="1" si="14"/>
        <v>0</v>
      </c>
      <c r="CC28" s="80">
        <f t="shared" ca="1" si="14"/>
        <v>0</v>
      </c>
      <c r="CD28" s="80">
        <f t="shared" ca="1" si="14"/>
        <v>0</v>
      </c>
      <c r="CE28" s="80">
        <f t="shared" ca="1" si="14"/>
        <v>0</v>
      </c>
      <c r="CF28" s="80">
        <f t="shared" ca="1" si="14"/>
        <v>0</v>
      </c>
      <c r="CG28" s="80">
        <f t="shared" ca="1" si="14"/>
        <v>0</v>
      </c>
      <c r="CH28" s="80">
        <f t="shared" ca="1" si="14"/>
        <v>0</v>
      </c>
    </row>
    <row r="29" spans="1:86" ht="13">
      <c r="B29" s="15"/>
      <c r="C29" s="15"/>
      <c r="D29" s="15"/>
    </row>
    <row r="30" spans="1:86" ht="13">
      <c r="A30" s="13"/>
      <c r="B30" s="13" t="s">
        <v>258</v>
      </c>
      <c r="C30" s="13"/>
      <c r="D30" s="13" t="s">
        <v>238</v>
      </c>
      <c r="E30" s="37">
        <f t="shared" ref="E30:E87" si="15">IF(D30="sum",SUM(G30:CH30),IF(D30="final",CH30,IF(D30="initial",G30,IF(D30="average",AVERAGE(G30:CH30),0))))</f>
        <v>25000000</v>
      </c>
      <c r="F30" s="48"/>
      <c r="G30" s="37">
        <f>'Get Started'!$E9*G19</f>
        <v>25000000</v>
      </c>
      <c r="H30" s="37">
        <f>'Get Started'!$E9*H19</f>
        <v>0</v>
      </c>
      <c r="I30" s="37">
        <f>'Get Started'!$E9*I19</f>
        <v>0</v>
      </c>
      <c r="J30" s="37">
        <f>'Get Started'!$E9*J19</f>
        <v>0</v>
      </c>
      <c r="K30" s="37">
        <f>'Get Started'!$E9*K19</f>
        <v>0</v>
      </c>
      <c r="L30" s="37">
        <f>'Get Started'!$E9*L19</f>
        <v>0</v>
      </c>
      <c r="M30" s="37">
        <f>'Get Started'!$E9*M19</f>
        <v>0</v>
      </c>
      <c r="N30" s="37">
        <f>'Get Started'!$E9*N19</f>
        <v>0</v>
      </c>
      <c r="O30" s="37">
        <f>'Get Started'!$E9*O19</f>
        <v>0</v>
      </c>
      <c r="P30" s="37">
        <f>'Get Started'!$E9*P19</f>
        <v>0</v>
      </c>
      <c r="Q30" s="37">
        <f>'Get Started'!$E9*Q19</f>
        <v>0</v>
      </c>
      <c r="R30" s="37">
        <f>'Get Started'!$E9*R19</f>
        <v>0</v>
      </c>
      <c r="S30" s="37">
        <f>'Get Started'!$E9*S19</f>
        <v>0</v>
      </c>
      <c r="T30" s="37">
        <f>'Get Started'!$E9*T19</f>
        <v>0</v>
      </c>
      <c r="U30" s="37">
        <f>'Get Started'!$E9*U19</f>
        <v>0</v>
      </c>
      <c r="V30" s="37">
        <f>'Get Started'!$E9*V19</f>
        <v>0</v>
      </c>
      <c r="W30" s="37">
        <f>'Get Started'!$E9*W19</f>
        <v>0</v>
      </c>
      <c r="X30" s="37">
        <f>'Get Started'!$E9*X19</f>
        <v>0</v>
      </c>
      <c r="Y30" s="37">
        <f>'Get Started'!$E9*Y19</f>
        <v>0</v>
      </c>
      <c r="Z30" s="37">
        <f>'Get Started'!$E9*Z19</f>
        <v>0</v>
      </c>
      <c r="AA30" s="37">
        <f>'Get Started'!$E9*AA19</f>
        <v>0</v>
      </c>
      <c r="AB30" s="37">
        <f>'Get Started'!$E9*AB19</f>
        <v>0</v>
      </c>
      <c r="AC30" s="37">
        <f>'Get Started'!$E9*AC19</f>
        <v>0</v>
      </c>
      <c r="AD30" s="37">
        <f>'Get Started'!$E9*AD19</f>
        <v>0</v>
      </c>
      <c r="AE30" s="37">
        <f>'Get Started'!$E9*AE19</f>
        <v>0</v>
      </c>
      <c r="AF30" s="37">
        <f>'Get Started'!$E9*AF19</f>
        <v>0</v>
      </c>
      <c r="AG30" s="37">
        <f>'Get Started'!$E9*AG19</f>
        <v>0</v>
      </c>
      <c r="AH30" s="37">
        <f>'Get Started'!$E9*AH19</f>
        <v>0</v>
      </c>
      <c r="AI30" s="37">
        <f>'Get Started'!$E9*AI19</f>
        <v>0</v>
      </c>
      <c r="AJ30" s="37">
        <f>'Get Started'!$E9*AJ19</f>
        <v>0</v>
      </c>
      <c r="AK30" s="37">
        <f>'Get Started'!$E9*AK19</f>
        <v>0</v>
      </c>
      <c r="AL30" s="37">
        <f>'Get Started'!$E9*AL19</f>
        <v>0</v>
      </c>
      <c r="AM30" s="37">
        <f>'Get Started'!$E9*AM19</f>
        <v>0</v>
      </c>
      <c r="AN30" s="37">
        <f>'Get Started'!$E9*AN19</f>
        <v>0</v>
      </c>
      <c r="AO30" s="37">
        <f>'Get Started'!$E9*AO19</f>
        <v>0</v>
      </c>
      <c r="AP30" s="37">
        <f>'Get Started'!$E9*AP19</f>
        <v>0</v>
      </c>
      <c r="AQ30" s="37">
        <f>'Get Started'!$E9*AQ19</f>
        <v>0</v>
      </c>
      <c r="AR30" s="37">
        <f>'Get Started'!$E9*AR19</f>
        <v>0</v>
      </c>
      <c r="AS30" s="37">
        <f>'Get Started'!$E9*AS19</f>
        <v>0</v>
      </c>
      <c r="AT30" s="37">
        <f>'Get Started'!$E9*AT19</f>
        <v>0</v>
      </c>
      <c r="AU30" s="37">
        <f>'Get Started'!$E9*AU19</f>
        <v>0</v>
      </c>
      <c r="AV30" s="37">
        <f>'Get Started'!$E9*AV19</f>
        <v>0</v>
      </c>
      <c r="AW30" s="37">
        <f>'Get Started'!$E9*AW19</f>
        <v>0</v>
      </c>
      <c r="AX30" s="37">
        <f>'Get Started'!$E9*AX19</f>
        <v>0</v>
      </c>
      <c r="AY30" s="37">
        <f>'Get Started'!$E9*AY19</f>
        <v>0</v>
      </c>
      <c r="AZ30" s="37">
        <f>'Get Started'!$E9*AZ19</f>
        <v>0</v>
      </c>
      <c r="BA30" s="37">
        <f>'Get Started'!$E9*BA19</f>
        <v>0</v>
      </c>
      <c r="BB30" s="37">
        <f>'Get Started'!$E9*BB19</f>
        <v>0</v>
      </c>
      <c r="BC30" s="37">
        <f>'Get Started'!$E9*BC19</f>
        <v>0</v>
      </c>
      <c r="BD30" s="37">
        <f>'Get Started'!$E9*BD19</f>
        <v>0</v>
      </c>
      <c r="BE30" s="37">
        <f>'Get Started'!$E9*BE19</f>
        <v>0</v>
      </c>
      <c r="BF30" s="37">
        <f>'Get Started'!$E9*BF19</f>
        <v>0</v>
      </c>
      <c r="BG30" s="37">
        <f>'Get Started'!$E9*BG19</f>
        <v>0</v>
      </c>
      <c r="BH30" s="37">
        <f>'Get Started'!$E9*BH19</f>
        <v>0</v>
      </c>
      <c r="BI30" s="37">
        <f>'Get Started'!$E9*BI19</f>
        <v>0</v>
      </c>
      <c r="BJ30" s="37">
        <f>'Get Started'!$E9*BJ19</f>
        <v>0</v>
      </c>
      <c r="BK30" s="37">
        <f>'Get Started'!$E9*BK19</f>
        <v>0</v>
      </c>
      <c r="BL30" s="37">
        <f>'Get Started'!$E9*BL19</f>
        <v>0</v>
      </c>
      <c r="BM30" s="37">
        <f>'Get Started'!$E9*BM19</f>
        <v>0</v>
      </c>
      <c r="BN30" s="37">
        <f>'Get Started'!$E9*BN19</f>
        <v>0</v>
      </c>
      <c r="BO30" s="37">
        <f>'Get Started'!$E9*BO19</f>
        <v>0</v>
      </c>
      <c r="BP30" s="37">
        <f>'Get Started'!$E9*BP19</f>
        <v>0</v>
      </c>
      <c r="BQ30" s="37">
        <f>'Get Started'!$E9*BQ19</f>
        <v>0</v>
      </c>
      <c r="BR30" s="37">
        <f>'Get Started'!$E9*BR19</f>
        <v>0</v>
      </c>
      <c r="BS30" s="37">
        <f>'Get Started'!$E9*BS19</f>
        <v>0</v>
      </c>
      <c r="BT30" s="37">
        <f>'Get Started'!$E9*BT19</f>
        <v>0</v>
      </c>
      <c r="BU30" s="37">
        <f>'Get Started'!$E9*BU19</f>
        <v>0</v>
      </c>
      <c r="BV30" s="37">
        <f>'Get Started'!$E9*BV19</f>
        <v>0</v>
      </c>
      <c r="BW30" s="37">
        <f>'Get Started'!$E9*BW19</f>
        <v>0</v>
      </c>
      <c r="BX30" s="37">
        <f>'Get Started'!$E9*BX19</f>
        <v>0</v>
      </c>
      <c r="BY30" s="37">
        <f>'Get Started'!$E9*BY19</f>
        <v>0</v>
      </c>
      <c r="BZ30" s="37">
        <f>'Get Started'!$E9*BZ19</f>
        <v>0</v>
      </c>
      <c r="CA30" s="37">
        <f>'Get Started'!$E9*CA19</f>
        <v>0</v>
      </c>
      <c r="CB30" s="37">
        <f>'Get Started'!$E9*CB19</f>
        <v>0</v>
      </c>
      <c r="CC30" s="37">
        <f>'Get Started'!$E9*CC19</f>
        <v>0</v>
      </c>
      <c r="CD30" s="37">
        <f>'Get Started'!$E9*CD19</f>
        <v>0</v>
      </c>
      <c r="CE30" s="37">
        <f>'Get Started'!$E9*CE19</f>
        <v>0</v>
      </c>
      <c r="CF30" s="37">
        <f>'Get Started'!$E9*CF19</f>
        <v>0</v>
      </c>
      <c r="CG30" s="37">
        <f>'Get Started'!$E9*CG19</f>
        <v>0</v>
      </c>
      <c r="CH30" s="37">
        <f>'Get Started'!$E9*CH19</f>
        <v>0</v>
      </c>
    </row>
    <row r="31" spans="1:86" ht="13">
      <c r="B31" s="15" t="s">
        <v>253</v>
      </c>
      <c r="D31" s="15" t="s">
        <v>238</v>
      </c>
      <c r="E31" s="29">
        <f t="shared" ca="1" si="15"/>
        <v>25000000</v>
      </c>
      <c r="F31" s="29"/>
      <c r="G31" s="29">
        <f t="shared" ref="G31:CH31" ca="1" si="16">IF($E20&lt;&gt;0,G20*$E30, MIN($E30-F60, MAX(0,G38+G39+G40+G41-G42)))</f>
        <v>1444375</v>
      </c>
      <c r="H31" s="29">
        <f t="shared" ca="1" si="16"/>
        <v>1344375</v>
      </c>
      <c r="I31" s="29">
        <f t="shared" ca="1" si="16"/>
        <v>1344375</v>
      </c>
      <c r="J31" s="29">
        <f t="shared" ca="1" si="16"/>
        <v>1344375</v>
      </c>
      <c r="K31" s="29">
        <f t="shared" ca="1" si="16"/>
        <v>1344375</v>
      </c>
      <c r="L31" s="29">
        <f t="shared" ca="1" si="16"/>
        <v>1344375</v>
      </c>
      <c r="M31" s="29">
        <f t="shared" ca="1" si="16"/>
        <v>1344375</v>
      </c>
      <c r="N31" s="29">
        <f t="shared" ca="1" si="16"/>
        <v>1344375</v>
      </c>
      <c r="O31" s="29">
        <f t="shared" ca="1" si="16"/>
        <v>1344375</v>
      </c>
      <c r="P31" s="29">
        <f t="shared" ca="1" si="16"/>
        <v>1344375</v>
      </c>
      <c r="Q31" s="29">
        <f t="shared" ca="1" si="16"/>
        <v>1344375</v>
      </c>
      <c r="R31" s="29">
        <f t="shared" ca="1" si="16"/>
        <v>1344375</v>
      </c>
      <c r="S31" s="29">
        <f t="shared" ca="1" si="16"/>
        <v>1344375</v>
      </c>
      <c r="T31" s="29">
        <f t="shared" ca="1" si="16"/>
        <v>1344375</v>
      </c>
      <c r="U31" s="29">
        <f t="shared" ca="1" si="16"/>
        <v>1344375</v>
      </c>
      <c r="V31" s="29">
        <f t="shared" ca="1" si="16"/>
        <v>1344375</v>
      </c>
      <c r="W31" s="29">
        <f t="shared" ca="1" si="16"/>
        <v>141250</v>
      </c>
      <c r="X31" s="29">
        <f t="shared" ca="1" si="16"/>
        <v>141250</v>
      </c>
      <c r="Y31" s="29">
        <f t="shared" ca="1" si="16"/>
        <v>141250</v>
      </c>
      <c r="Z31" s="29">
        <f t="shared" ca="1" si="16"/>
        <v>141250</v>
      </c>
      <c r="AA31" s="29">
        <f t="shared" ca="1" si="16"/>
        <v>141250</v>
      </c>
      <c r="AB31" s="29">
        <f t="shared" ca="1" si="16"/>
        <v>141250</v>
      </c>
      <c r="AC31" s="29">
        <f t="shared" ca="1" si="16"/>
        <v>141250</v>
      </c>
      <c r="AD31" s="29">
        <f t="shared" ca="1" si="16"/>
        <v>141250</v>
      </c>
      <c r="AE31" s="29">
        <f t="shared" ca="1" si="16"/>
        <v>141250</v>
      </c>
      <c r="AF31" s="29">
        <f t="shared" ca="1" si="16"/>
        <v>141250</v>
      </c>
      <c r="AG31" s="29">
        <f t="shared" ca="1" si="16"/>
        <v>141250</v>
      </c>
      <c r="AH31" s="29">
        <f t="shared" ca="1" si="16"/>
        <v>141250</v>
      </c>
      <c r="AI31" s="29">
        <f t="shared" ca="1" si="16"/>
        <v>141250</v>
      </c>
      <c r="AJ31" s="29">
        <f t="shared" ca="1" si="16"/>
        <v>141250</v>
      </c>
      <c r="AK31" s="29">
        <f t="shared" ca="1" si="16"/>
        <v>141250</v>
      </c>
      <c r="AL31" s="29">
        <f t="shared" ca="1" si="16"/>
        <v>141250</v>
      </c>
      <c r="AM31" s="29">
        <f t="shared" ca="1" si="16"/>
        <v>141250</v>
      </c>
      <c r="AN31" s="29">
        <f t="shared" ca="1" si="16"/>
        <v>141250</v>
      </c>
      <c r="AO31" s="29">
        <f t="shared" ca="1" si="16"/>
        <v>141250</v>
      </c>
      <c r="AP31" s="29">
        <f t="shared" ca="1" si="16"/>
        <v>141250</v>
      </c>
      <c r="AQ31" s="29">
        <f t="shared" ca="1" si="16"/>
        <v>141250</v>
      </c>
      <c r="AR31" s="29">
        <f t="shared" ca="1" si="16"/>
        <v>141250</v>
      </c>
      <c r="AS31" s="29">
        <f t="shared" ca="1" si="16"/>
        <v>141250</v>
      </c>
      <c r="AT31" s="29">
        <f t="shared" ca="1" si="16"/>
        <v>141250</v>
      </c>
      <c r="AU31" s="29">
        <f t="shared" ca="1" si="16"/>
        <v>0</v>
      </c>
      <c r="AV31" s="29">
        <f t="shared" ca="1" si="16"/>
        <v>0</v>
      </c>
      <c r="AW31" s="29">
        <f t="shared" ca="1" si="16"/>
        <v>0</v>
      </c>
      <c r="AX31" s="29">
        <f t="shared" ca="1" si="16"/>
        <v>0</v>
      </c>
      <c r="AY31" s="29">
        <f t="shared" ca="1" si="16"/>
        <v>0</v>
      </c>
      <c r="AZ31" s="29">
        <f t="shared" ca="1" si="16"/>
        <v>0</v>
      </c>
      <c r="BA31" s="29">
        <f t="shared" ca="1" si="16"/>
        <v>0</v>
      </c>
      <c r="BB31" s="29">
        <f t="shared" ca="1" si="16"/>
        <v>0</v>
      </c>
      <c r="BC31" s="29">
        <f t="shared" ca="1" si="16"/>
        <v>0</v>
      </c>
      <c r="BD31" s="29">
        <f t="shared" ca="1" si="16"/>
        <v>0</v>
      </c>
      <c r="BE31" s="29">
        <f t="shared" ca="1" si="16"/>
        <v>0</v>
      </c>
      <c r="BF31" s="29">
        <f t="shared" ca="1" si="16"/>
        <v>0</v>
      </c>
      <c r="BG31" s="29">
        <f t="shared" ca="1" si="16"/>
        <v>0</v>
      </c>
      <c r="BH31" s="29">
        <f t="shared" ca="1" si="16"/>
        <v>0</v>
      </c>
      <c r="BI31" s="29">
        <f t="shared" ca="1" si="16"/>
        <v>0</v>
      </c>
      <c r="BJ31" s="29">
        <f t="shared" ca="1" si="16"/>
        <v>0</v>
      </c>
      <c r="BK31" s="29">
        <f t="shared" ca="1" si="16"/>
        <v>0</v>
      </c>
      <c r="BL31" s="29">
        <f t="shared" ca="1" si="16"/>
        <v>0</v>
      </c>
      <c r="BM31" s="29">
        <f t="shared" ca="1" si="16"/>
        <v>0</v>
      </c>
      <c r="BN31" s="29">
        <f t="shared" ca="1" si="16"/>
        <v>0</v>
      </c>
      <c r="BO31" s="29">
        <f t="shared" ca="1" si="16"/>
        <v>0</v>
      </c>
      <c r="BP31" s="29">
        <f t="shared" ca="1" si="16"/>
        <v>0</v>
      </c>
      <c r="BQ31" s="29">
        <f t="shared" ca="1" si="16"/>
        <v>0</v>
      </c>
      <c r="BR31" s="29">
        <f t="shared" ca="1" si="16"/>
        <v>0</v>
      </c>
      <c r="BS31" s="29">
        <f t="shared" ca="1" si="16"/>
        <v>0</v>
      </c>
      <c r="BT31" s="29">
        <f t="shared" ca="1" si="16"/>
        <v>0</v>
      </c>
      <c r="BU31" s="29">
        <f t="shared" ca="1" si="16"/>
        <v>0</v>
      </c>
      <c r="BV31" s="29">
        <f t="shared" ca="1" si="16"/>
        <v>0</v>
      </c>
      <c r="BW31" s="29">
        <f t="shared" ca="1" si="16"/>
        <v>0</v>
      </c>
      <c r="BX31" s="29">
        <f t="shared" ca="1" si="16"/>
        <v>0</v>
      </c>
      <c r="BY31" s="29">
        <f t="shared" ca="1" si="16"/>
        <v>0</v>
      </c>
      <c r="BZ31" s="29">
        <f t="shared" ca="1" si="16"/>
        <v>0</v>
      </c>
      <c r="CA31" s="29">
        <f t="shared" ca="1" si="16"/>
        <v>0</v>
      </c>
      <c r="CB31" s="29">
        <f t="shared" ca="1" si="16"/>
        <v>0</v>
      </c>
      <c r="CC31" s="29">
        <f t="shared" ca="1" si="16"/>
        <v>0</v>
      </c>
      <c r="CD31" s="29">
        <f t="shared" ca="1" si="16"/>
        <v>0</v>
      </c>
      <c r="CE31" s="29">
        <f t="shared" ca="1" si="16"/>
        <v>0</v>
      </c>
      <c r="CF31" s="29">
        <f t="shared" ca="1" si="16"/>
        <v>0</v>
      </c>
      <c r="CG31" s="29">
        <f t="shared" ca="1" si="16"/>
        <v>0</v>
      </c>
      <c r="CH31" s="29">
        <f t="shared" ca="1" si="16"/>
        <v>0</v>
      </c>
    </row>
    <row r="32" spans="1:86" ht="13">
      <c r="B32" s="15" t="s">
        <v>259</v>
      </c>
      <c r="C32" s="15"/>
      <c r="D32" s="15" t="s">
        <v>238</v>
      </c>
      <c r="E32" s="29">
        <f t="shared" si="15"/>
        <v>0</v>
      </c>
      <c r="F32" s="29"/>
      <c r="G32" s="29">
        <v>0</v>
      </c>
      <c r="H32" s="29">
        <v>0</v>
      </c>
      <c r="I32" s="29">
        <v>0</v>
      </c>
      <c r="J32" s="29">
        <v>0</v>
      </c>
      <c r="K32" s="29">
        <v>0</v>
      </c>
      <c r="L32" s="29">
        <v>0</v>
      </c>
      <c r="M32" s="29">
        <v>0</v>
      </c>
      <c r="N32" s="29">
        <v>0</v>
      </c>
      <c r="O32" s="29">
        <v>0</v>
      </c>
      <c r="P32" s="29">
        <v>0</v>
      </c>
      <c r="Q32" s="29">
        <v>0</v>
      </c>
      <c r="R32" s="29">
        <v>0</v>
      </c>
      <c r="S32" s="29">
        <v>0</v>
      </c>
      <c r="T32" s="29">
        <v>0</v>
      </c>
      <c r="U32" s="29">
        <v>0</v>
      </c>
      <c r="V32" s="29">
        <v>0</v>
      </c>
      <c r="W32" s="29">
        <v>0</v>
      </c>
      <c r="X32" s="29">
        <v>0</v>
      </c>
      <c r="Y32" s="29">
        <v>0</v>
      </c>
      <c r="Z32" s="29">
        <v>0</v>
      </c>
      <c r="AA32" s="29">
        <v>0</v>
      </c>
      <c r="AB32" s="29">
        <v>0</v>
      </c>
      <c r="AC32" s="29">
        <v>0</v>
      </c>
      <c r="AD32" s="29">
        <v>0</v>
      </c>
      <c r="AE32" s="29">
        <v>0</v>
      </c>
      <c r="AF32" s="29">
        <v>0</v>
      </c>
      <c r="AG32" s="29">
        <v>0</v>
      </c>
      <c r="AH32" s="29">
        <v>0</v>
      </c>
      <c r="AI32" s="29">
        <v>0</v>
      </c>
      <c r="AJ32" s="29">
        <v>0</v>
      </c>
      <c r="AK32" s="29">
        <v>0</v>
      </c>
      <c r="AL32" s="29">
        <v>0</v>
      </c>
      <c r="AM32" s="29">
        <v>0</v>
      </c>
      <c r="AN32" s="29">
        <v>0</v>
      </c>
      <c r="AO32" s="29">
        <v>0</v>
      </c>
      <c r="AP32" s="29">
        <v>0</v>
      </c>
      <c r="AQ32" s="29">
        <v>0</v>
      </c>
      <c r="AR32" s="29">
        <v>0</v>
      </c>
      <c r="AS32" s="29">
        <v>0</v>
      </c>
      <c r="AT32" s="29">
        <v>0</v>
      </c>
      <c r="AU32" s="29">
        <v>0</v>
      </c>
      <c r="AV32" s="29">
        <v>0</v>
      </c>
      <c r="AW32" s="29">
        <v>0</v>
      </c>
      <c r="AX32" s="29">
        <v>0</v>
      </c>
      <c r="AY32" s="29">
        <v>0</v>
      </c>
      <c r="AZ32" s="29">
        <v>0</v>
      </c>
      <c r="BA32" s="29">
        <v>0</v>
      </c>
      <c r="BB32" s="29">
        <v>0</v>
      </c>
      <c r="BC32" s="29">
        <v>0</v>
      </c>
      <c r="BD32" s="29">
        <v>0</v>
      </c>
      <c r="BE32" s="29">
        <v>0</v>
      </c>
      <c r="BF32" s="29">
        <v>0</v>
      </c>
      <c r="BG32" s="29">
        <v>0</v>
      </c>
      <c r="BH32" s="29">
        <v>0</v>
      </c>
      <c r="BI32" s="29">
        <v>0</v>
      </c>
      <c r="BJ32" s="29">
        <v>0</v>
      </c>
      <c r="BK32" s="29">
        <v>0</v>
      </c>
      <c r="BL32" s="29">
        <v>0</v>
      </c>
      <c r="BM32" s="29">
        <v>0</v>
      </c>
      <c r="BN32" s="29">
        <v>0</v>
      </c>
      <c r="BO32" s="29">
        <v>0</v>
      </c>
      <c r="BP32" s="29">
        <v>0</v>
      </c>
      <c r="BQ32" s="29">
        <v>0</v>
      </c>
      <c r="BR32" s="29">
        <v>0</v>
      </c>
      <c r="BS32" s="29">
        <v>0</v>
      </c>
      <c r="BT32" s="29">
        <v>0</v>
      </c>
      <c r="BU32" s="29">
        <v>0</v>
      </c>
      <c r="BV32" s="29">
        <v>0</v>
      </c>
      <c r="BW32" s="29">
        <v>0</v>
      </c>
      <c r="BX32" s="29">
        <v>0</v>
      </c>
      <c r="BY32" s="29">
        <v>0</v>
      </c>
      <c r="BZ32" s="29">
        <v>0</v>
      </c>
      <c r="CA32" s="29">
        <v>0</v>
      </c>
      <c r="CB32" s="29">
        <v>0</v>
      </c>
      <c r="CC32" s="29">
        <v>0</v>
      </c>
      <c r="CD32" s="29">
        <v>0</v>
      </c>
      <c r="CE32" s="29">
        <v>0</v>
      </c>
      <c r="CF32" s="29">
        <v>0</v>
      </c>
      <c r="CG32" s="29">
        <v>0</v>
      </c>
      <c r="CH32" s="29">
        <v>0</v>
      </c>
    </row>
    <row r="33" spans="1:86" ht="13">
      <c r="B33" s="15" t="s">
        <v>260</v>
      </c>
      <c r="C33" s="15"/>
      <c r="D33" s="15" t="s">
        <v>238</v>
      </c>
      <c r="E33" s="29">
        <f t="shared" ca="1" si="15"/>
        <v>20212500</v>
      </c>
      <c r="F33" s="29"/>
      <c r="G33" s="29">
        <f ca="1">IF(G8=1,'Get Started'!$E120/'Get Started'!$E15*'Get Started'!$E100+G208*'Get Started'!$E100,0)</f>
        <v>1203125</v>
      </c>
      <c r="H33" s="29">
        <f ca="1">IF(H8=1,'Get Started'!$E120/'Get Started'!$E15*'Get Started'!$E100+H208*'Get Started'!$E100,0)</f>
        <v>1203125</v>
      </c>
      <c r="I33" s="29">
        <f ca="1">IF(I8=1,'Get Started'!$E120/'Get Started'!$E15*'Get Started'!$E100+I208*'Get Started'!$E100,0)</f>
        <v>1203125</v>
      </c>
      <c r="J33" s="29">
        <f ca="1">IF(J8=1,'Get Started'!$E120/'Get Started'!$E15*'Get Started'!$E100+J208*'Get Started'!$E100,0)</f>
        <v>1203125</v>
      </c>
      <c r="K33" s="29">
        <f ca="1">IF(K8=1,'Get Started'!$E120/'Get Started'!$E15*'Get Started'!$E100+K208*'Get Started'!$E100,0)</f>
        <v>1203125</v>
      </c>
      <c r="L33" s="29">
        <f ca="1">IF(L8=1,'Get Started'!$E120/'Get Started'!$E15*'Get Started'!$E100+L208*'Get Started'!$E100,0)</f>
        <v>1203125</v>
      </c>
      <c r="M33" s="29">
        <f ca="1">IF(M8=1,'Get Started'!$E120/'Get Started'!$E15*'Get Started'!$E100+M208*'Get Started'!$E100,0)</f>
        <v>1203125</v>
      </c>
      <c r="N33" s="29">
        <f ca="1">IF(N8=1,'Get Started'!$E120/'Get Started'!$E15*'Get Started'!$E100+N208*'Get Started'!$E100,0)</f>
        <v>1203125</v>
      </c>
      <c r="O33" s="29">
        <f ca="1">IF(O8=1,'Get Started'!$E120/'Get Started'!$E15*'Get Started'!$E100+O208*'Get Started'!$E100,0)</f>
        <v>1203125</v>
      </c>
      <c r="P33" s="29">
        <f ca="1">IF(P8=1,'Get Started'!$E120/'Get Started'!$E15*'Get Started'!$E100+P208*'Get Started'!$E100,0)</f>
        <v>1203125</v>
      </c>
      <c r="Q33" s="29">
        <f ca="1">IF(Q8=1,'Get Started'!$E120/'Get Started'!$E15*'Get Started'!$E100+Q208*'Get Started'!$E100,0)</f>
        <v>1203125</v>
      </c>
      <c r="R33" s="29">
        <f ca="1">IF(R8=1,'Get Started'!$E120/'Get Started'!$E15*'Get Started'!$E100+R208*'Get Started'!$E100,0)</f>
        <v>1203125</v>
      </c>
      <c r="S33" s="29">
        <f ca="1">IF(S8=1,'Get Started'!$E120/'Get Started'!$E15*'Get Started'!$E100+S208*'Get Started'!$E100,0)</f>
        <v>1443750</v>
      </c>
      <c r="T33" s="29">
        <f ca="1">IF(T8=1,'Get Started'!$E120/'Get Started'!$E15*'Get Started'!$E100+T208*'Get Started'!$E100,0)</f>
        <v>1443750</v>
      </c>
      <c r="U33" s="29">
        <f ca="1">IF(U8=1,'Get Started'!$E120/'Get Started'!$E15*'Get Started'!$E100+U208*'Get Started'!$E100,0)</f>
        <v>1443750</v>
      </c>
      <c r="V33" s="29">
        <f ca="1">IF(V8=1,'Get Started'!$E120/'Get Started'!$E15*'Get Started'!$E100+V208*'Get Started'!$E100,0)</f>
        <v>1443750</v>
      </c>
      <c r="W33" s="29">
        <f>IF(W8=1,'Get Started'!$E120/'Get Started'!$E15*'Get Started'!$E100+W208*'Get Started'!$E100,0)</f>
        <v>0</v>
      </c>
      <c r="X33" s="29">
        <f>IF(X8=1,'Get Started'!$E120/'Get Started'!$E15*'Get Started'!$E100+X208*'Get Started'!$E100,0)</f>
        <v>0</v>
      </c>
      <c r="Y33" s="29">
        <f>IF(Y8=1,'Get Started'!$E120/'Get Started'!$E15*'Get Started'!$E100+Y208*'Get Started'!$E100,0)</f>
        <v>0</v>
      </c>
      <c r="Z33" s="29">
        <f>IF(Z8=1,'Get Started'!$E120/'Get Started'!$E15*'Get Started'!$E100+Z208*'Get Started'!$E100,0)</f>
        <v>0</v>
      </c>
      <c r="AA33" s="29">
        <f>IF(AA8=1,'Get Started'!$E120/'Get Started'!$E15*'Get Started'!$E100+AA208*'Get Started'!$E100,0)</f>
        <v>0</v>
      </c>
      <c r="AB33" s="29">
        <f>IF(AB8=1,'Get Started'!$E120/'Get Started'!$E15*'Get Started'!$E100+AB208*'Get Started'!$E100,0)</f>
        <v>0</v>
      </c>
      <c r="AC33" s="29">
        <f>IF(AC8=1,'Get Started'!$E120/'Get Started'!$E15*'Get Started'!$E100+AC208*'Get Started'!$E100,0)</f>
        <v>0</v>
      </c>
      <c r="AD33" s="29">
        <f>IF(AD8=1,'Get Started'!$E120/'Get Started'!$E15*'Get Started'!$E100+AD208*'Get Started'!$E100,0)</f>
        <v>0</v>
      </c>
      <c r="AE33" s="29">
        <f>IF(AE8=1,'Get Started'!$E120/'Get Started'!$E15*'Get Started'!$E100+AE208*'Get Started'!$E100,0)</f>
        <v>0</v>
      </c>
      <c r="AF33" s="29">
        <f>IF(AF8=1,'Get Started'!$E120/'Get Started'!$E15*'Get Started'!$E100+AF208*'Get Started'!$E100,0)</f>
        <v>0</v>
      </c>
      <c r="AG33" s="29">
        <f>IF(AG8=1,'Get Started'!$E120/'Get Started'!$E15*'Get Started'!$E100+AG208*'Get Started'!$E100,0)</f>
        <v>0</v>
      </c>
      <c r="AH33" s="29">
        <f>IF(AH8=1,'Get Started'!$E120/'Get Started'!$E15*'Get Started'!$E100+AH208*'Get Started'!$E100,0)</f>
        <v>0</v>
      </c>
      <c r="AI33" s="29">
        <f>IF(AI8=1,'Get Started'!$E120/'Get Started'!$E15*'Get Started'!$E100+AI208*'Get Started'!$E100,0)</f>
        <v>0</v>
      </c>
      <c r="AJ33" s="29">
        <f>IF(AJ8=1,'Get Started'!$E120/'Get Started'!$E15*'Get Started'!$E100+AJ208*'Get Started'!$E100,0)</f>
        <v>0</v>
      </c>
      <c r="AK33" s="29">
        <f>IF(AK8=1,'Get Started'!$E120/'Get Started'!$E15*'Get Started'!$E100+AK208*'Get Started'!$E100,0)</f>
        <v>0</v>
      </c>
      <c r="AL33" s="29">
        <f>IF(AL8=1,'Get Started'!$E120/'Get Started'!$E15*'Get Started'!$E100+AL208*'Get Started'!$E100,0)</f>
        <v>0</v>
      </c>
      <c r="AM33" s="29">
        <f>IF(AM8=1,'Get Started'!$E120/'Get Started'!$E15*'Get Started'!$E100+AM208*'Get Started'!$E100,0)</f>
        <v>0</v>
      </c>
      <c r="AN33" s="29">
        <f>IF(AN8=1,'Get Started'!$E120/'Get Started'!$E15*'Get Started'!$E100+AN208*'Get Started'!$E100,0)</f>
        <v>0</v>
      </c>
      <c r="AO33" s="29">
        <f>IF(AO8=1,'Get Started'!$E120/'Get Started'!$E15*'Get Started'!$E100+AO208*'Get Started'!$E100,0)</f>
        <v>0</v>
      </c>
      <c r="AP33" s="29">
        <f>IF(AP8=1,'Get Started'!$E120/'Get Started'!$E15*'Get Started'!$E100+AP208*'Get Started'!$E100,0)</f>
        <v>0</v>
      </c>
      <c r="AQ33" s="29">
        <f>IF(AQ8=1,'Get Started'!$E120/'Get Started'!$E15*'Get Started'!$E100+AQ208*'Get Started'!$E100,0)</f>
        <v>0</v>
      </c>
      <c r="AR33" s="29">
        <f>IF(AR8=1,'Get Started'!$E120/'Get Started'!$E15*'Get Started'!$E100+AR208*'Get Started'!$E100,0)</f>
        <v>0</v>
      </c>
      <c r="AS33" s="29">
        <f>IF(AS8=1,'Get Started'!$E120/'Get Started'!$E15*'Get Started'!$E100+AS208*'Get Started'!$E100,0)</f>
        <v>0</v>
      </c>
      <c r="AT33" s="29">
        <f>IF(AT8=1,'Get Started'!$E120/'Get Started'!$E15*'Get Started'!$E100+AT208*'Get Started'!$E100,0)</f>
        <v>0</v>
      </c>
      <c r="AU33" s="29">
        <f>IF(AU8=1,'Get Started'!$E120/'Get Started'!$E15*'Get Started'!$E100+AU208*'Get Started'!$E100,0)</f>
        <v>0</v>
      </c>
      <c r="AV33" s="29">
        <f>IF(AV8=1,'Get Started'!$E120/'Get Started'!$E15*'Get Started'!$E100+AV208*'Get Started'!$E100,0)</f>
        <v>0</v>
      </c>
      <c r="AW33" s="29">
        <f>IF(AW8=1,'Get Started'!$E120/'Get Started'!$E15*'Get Started'!$E100+AW208*'Get Started'!$E100,0)</f>
        <v>0</v>
      </c>
      <c r="AX33" s="29">
        <f>IF(AX8=1,'Get Started'!$E120/'Get Started'!$E15*'Get Started'!$E100+AX208*'Get Started'!$E100,0)</f>
        <v>0</v>
      </c>
      <c r="AY33" s="29">
        <f>IF(AY8=1,'Get Started'!$E120/'Get Started'!$E15*'Get Started'!$E100+AY208*'Get Started'!$E100,0)</f>
        <v>0</v>
      </c>
      <c r="AZ33" s="29">
        <f>IF(AZ8=1,'Get Started'!$E120/'Get Started'!$E15*'Get Started'!$E100+AZ208*'Get Started'!$E100,0)</f>
        <v>0</v>
      </c>
      <c r="BA33" s="29">
        <f>IF(BA8=1,'Get Started'!$E120/'Get Started'!$E15*'Get Started'!$E100+BA208*'Get Started'!$E100,0)</f>
        <v>0</v>
      </c>
      <c r="BB33" s="29">
        <f>IF(BB8=1,'Get Started'!$E120/'Get Started'!$E15*'Get Started'!$E100+BB208*'Get Started'!$E100,0)</f>
        <v>0</v>
      </c>
      <c r="BC33" s="29">
        <f>IF(BC8=1,'Get Started'!$E120/'Get Started'!$E15*'Get Started'!$E100+BC208*'Get Started'!$E100,0)</f>
        <v>0</v>
      </c>
      <c r="BD33" s="29">
        <f>IF(BD8=1,'Get Started'!$E120/'Get Started'!$E15*'Get Started'!$E100+BD208*'Get Started'!$E100,0)</f>
        <v>0</v>
      </c>
      <c r="BE33" s="29">
        <f>IF(BE8=1,'Get Started'!$E120/'Get Started'!$E15*'Get Started'!$E100+BE208*'Get Started'!$E100,0)</f>
        <v>0</v>
      </c>
      <c r="BF33" s="29">
        <f>IF(BF8=1,'Get Started'!$E120/'Get Started'!$E15*'Get Started'!$E100+BF208*'Get Started'!$E100,0)</f>
        <v>0</v>
      </c>
      <c r="BG33" s="29">
        <f>IF(BG8=1,'Get Started'!$E120/'Get Started'!$E15*'Get Started'!$E100+BG208*'Get Started'!$E100,0)</f>
        <v>0</v>
      </c>
      <c r="BH33" s="29">
        <f>IF(BH8=1,'Get Started'!$E120/'Get Started'!$E15*'Get Started'!$E100+BH208*'Get Started'!$E100,0)</f>
        <v>0</v>
      </c>
      <c r="BI33" s="29">
        <f>IF(BI8=1,'Get Started'!$E120/'Get Started'!$E15*'Get Started'!$E100+BI208*'Get Started'!$E100,0)</f>
        <v>0</v>
      </c>
      <c r="BJ33" s="29">
        <f>IF(BJ8=1,'Get Started'!$E120/'Get Started'!$E15*'Get Started'!$E100+BJ208*'Get Started'!$E100,0)</f>
        <v>0</v>
      </c>
      <c r="BK33" s="29">
        <f>IF(BK8=1,'Get Started'!$E120/'Get Started'!$E15*'Get Started'!$E100+BK208*'Get Started'!$E100,0)</f>
        <v>0</v>
      </c>
      <c r="BL33" s="29">
        <f>IF(BL8=1,'Get Started'!$E120/'Get Started'!$E15*'Get Started'!$E100+BL208*'Get Started'!$E100,0)</f>
        <v>0</v>
      </c>
      <c r="BM33" s="29">
        <f>IF(BM8=1,'Get Started'!$E120/'Get Started'!$E15*'Get Started'!$E100+BM208*'Get Started'!$E100,0)</f>
        <v>0</v>
      </c>
      <c r="BN33" s="29">
        <f>IF(BN8=1,'Get Started'!$E120/'Get Started'!$E15*'Get Started'!$E100+BN208*'Get Started'!$E100,0)</f>
        <v>0</v>
      </c>
      <c r="BO33" s="29">
        <f>IF(BO8=1,'Get Started'!$E120/'Get Started'!$E15*'Get Started'!$E100+BO208*'Get Started'!$E100,0)</f>
        <v>0</v>
      </c>
      <c r="BP33" s="29">
        <f>IF(BP8=1,'Get Started'!$E120/'Get Started'!$E15*'Get Started'!$E100+BP208*'Get Started'!$E100,0)</f>
        <v>0</v>
      </c>
      <c r="BQ33" s="29">
        <f>IF(BQ8=1,'Get Started'!$E120/'Get Started'!$E15*'Get Started'!$E100+BQ208*'Get Started'!$E100,0)</f>
        <v>0</v>
      </c>
      <c r="BR33" s="29">
        <f>IF(BR8=1,'Get Started'!$E120/'Get Started'!$E15*'Get Started'!$E100+BR208*'Get Started'!$E100,0)</f>
        <v>0</v>
      </c>
      <c r="BS33" s="29">
        <f>IF(BS8=1,'Get Started'!$E120/'Get Started'!$E15*'Get Started'!$E100+BS208*'Get Started'!$E100,0)</f>
        <v>0</v>
      </c>
      <c r="BT33" s="29">
        <f>IF(BT8=1,'Get Started'!$E120/'Get Started'!$E15*'Get Started'!$E100+BT208*'Get Started'!$E100,0)</f>
        <v>0</v>
      </c>
      <c r="BU33" s="29">
        <f>IF(BU8=1,'Get Started'!$E120/'Get Started'!$E15*'Get Started'!$E100+BU208*'Get Started'!$E100,0)</f>
        <v>0</v>
      </c>
      <c r="BV33" s="29">
        <f>IF(BV8=1,'Get Started'!$E120/'Get Started'!$E15*'Get Started'!$E100+BV208*'Get Started'!$E100,0)</f>
        <v>0</v>
      </c>
      <c r="BW33" s="29">
        <f>IF(BW8=1,'Get Started'!$E120/'Get Started'!$E15*'Get Started'!$E100+BW208*'Get Started'!$E100,0)</f>
        <v>0</v>
      </c>
      <c r="BX33" s="29">
        <f>IF(BX8=1,'Get Started'!$E120/'Get Started'!$E15*'Get Started'!$E100+BX208*'Get Started'!$E100,0)</f>
        <v>0</v>
      </c>
      <c r="BY33" s="29">
        <f>IF(BY8=1,'Get Started'!$E120/'Get Started'!$E15*'Get Started'!$E100+BY208*'Get Started'!$E100,0)</f>
        <v>0</v>
      </c>
      <c r="BZ33" s="29">
        <f>IF(BZ8=1,'Get Started'!$E120/'Get Started'!$E15*'Get Started'!$E100+BZ208*'Get Started'!$E100,0)</f>
        <v>0</v>
      </c>
      <c r="CA33" s="29">
        <f>IF(CA8=1,'Get Started'!$E120/'Get Started'!$E15*'Get Started'!$E100+CA208*'Get Started'!$E100,0)</f>
        <v>0</v>
      </c>
      <c r="CB33" s="29">
        <f>IF(CB8=1,'Get Started'!$E120/'Get Started'!$E15*'Get Started'!$E100+CB208*'Get Started'!$E100,0)</f>
        <v>0</v>
      </c>
      <c r="CC33" s="29">
        <f>IF(CC8=1,'Get Started'!$E120/'Get Started'!$E15*'Get Started'!$E100+CC208*'Get Started'!$E100,0)</f>
        <v>0</v>
      </c>
      <c r="CD33" s="29">
        <f>IF(CD8=1,'Get Started'!$E120/'Get Started'!$E15*'Get Started'!$E100+CD208*'Get Started'!$E100,0)</f>
        <v>0</v>
      </c>
      <c r="CE33" s="29">
        <f>IF(CE8=1,'Get Started'!$E120/'Get Started'!$E15*'Get Started'!$E100+CE208*'Get Started'!$E100,0)</f>
        <v>0</v>
      </c>
      <c r="CF33" s="29">
        <f>IF(CF8=1,'Get Started'!$E120/'Get Started'!$E15*'Get Started'!$E100+CF208*'Get Started'!$E100,0)</f>
        <v>0</v>
      </c>
      <c r="CG33" s="29">
        <f>IF(CG8=1,'Get Started'!$E120/'Get Started'!$E15*'Get Started'!$E100+CG208*'Get Started'!$E100,0)</f>
        <v>0</v>
      </c>
      <c r="CH33" s="29">
        <f>IF(CH8=1,'Get Started'!$E120/'Get Started'!$E15*'Get Started'!$E100+CH208*'Get Started'!$E100,0)</f>
        <v>0</v>
      </c>
    </row>
    <row r="34" spans="1:86" ht="13">
      <c r="B34" s="15" t="s">
        <v>261</v>
      </c>
      <c r="C34" s="15"/>
      <c r="D34" s="15" t="s">
        <v>238</v>
      </c>
      <c r="E34" s="29">
        <f t="shared" si="15"/>
        <v>0</v>
      </c>
      <c r="F34" s="29"/>
      <c r="G34" s="29">
        <v>0</v>
      </c>
      <c r="H34" s="29">
        <v>0</v>
      </c>
      <c r="I34" s="29">
        <v>0</v>
      </c>
      <c r="J34" s="29">
        <v>0</v>
      </c>
      <c r="K34" s="29">
        <v>0</v>
      </c>
      <c r="L34" s="29">
        <v>0</v>
      </c>
      <c r="M34" s="29">
        <v>0</v>
      </c>
      <c r="N34" s="29">
        <v>0</v>
      </c>
      <c r="O34" s="29">
        <v>0</v>
      </c>
      <c r="P34" s="29">
        <v>0</v>
      </c>
      <c r="Q34" s="29">
        <v>0</v>
      </c>
      <c r="R34" s="29">
        <v>0</v>
      </c>
      <c r="S34" s="29">
        <v>0</v>
      </c>
      <c r="T34" s="29">
        <v>0</v>
      </c>
      <c r="U34" s="29">
        <v>0</v>
      </c>
      <c r="V34" s="29">
        <v>0</v>
      </c>
      <c r="W34" s="29">
        <v>0</v>
      </c>
      <c r="X34" s="29">
        <v>0</v>
      </c>
      <c r="Y34" s="29">
        <v>0</v>
      </c>
      <c r="Z34" s="29">
        <v>0</v>
      </c>
      <c r="AA34" s="29">
        <v>0</v>
      </c>
      <c r="AB34" s="29">
        <v>0</v>
      </c>
      <c r="AC34" s="29">
        <v>0</v>
      </c>
      <c r="AD34" s="29">
        <v>0</v>
      </c>
      <c r="AE34" s="29">
        <v>0</v>
      </c>
      <c r="AF34" s="29">
        <v>0</v>
      </c>
      <c r="AG34" s="29">
        <v>0</v>
      </c>
      <c r="AH34" s="29">
        <v>0</v>
      </c>
      <c r="AI34" s="29">
        <v>0</v>
      </c>
      <c r="AJ34" s="29">
        <v>0</v>
      </c>
      <c r="AK34" s="29">
        <v>0</v>
      </c>
      <c r="AL34" s="29">
        <v>0</v>
      </c>
      <c r="AM34" s="29">
        <v>0</v>
      </c>
      <c r="AN34" s="29">
        <v>0</v>
      </c>
      <c r="AO34" s="29">
        <v>0</v>
      </c>
      <c r="AP34" s="29">
        <v>0</v>
      </c>
      <c r="AQ34" s="29">
        <v>0</v>
      </c>
      <c r="AR34" s="29">
        <v>0</v>
      </c>
      <c r="AS34" s="29">
        <v>0</v>
      </c>
      <c r="AT34" s="29">
        <v>0</v>
      </c>
      <c r="AU34" s="29">
        <v>0</v>
      </c>
      <c r="AV34" s="29">
        <v>0</v>
      </c>
      <c r="AW34" s="29">
        <v>0</v>
      </c>
      <c r="AX34" s="29">
        <v>0</v>
      </c>
      <c r="AY34" s="29">
        <v>0</v>
      </c>
      <c r="AZ34" s="29">
        <v>0</v>
      </c>
      <c r="BA34" s="29">
        <v>0</v>
      </c>
      <c r="BB34" s="29">
        <v>0</v>
      </c>
      <c r="BC34" s="29">
        <v>0</v>
      </c>
      <c r="BD34" s="29">
        <v>0</v>
      </c>
      <c r="BE34" s="29">
        <v>0</v>
      </c>
      <c r="BF34" s="29">
        <v>0</v>
      </c>
      <c r="BG34" s="29">
        <v>0</v>
      </c>
      <c r="BH34" s="29">
        <v>0</v>
      </c>
      <c r="BI34" s="29">
        <v>0</v>
      </c>
      <c r="BJ34" s="29">
        <v>0</v>
      </c>
      <c r="BK34" s="29">
        <v>0</v>
      </c>
      <c r="BL34" s="29">
        <v>0</v>
      </c>
      <c r="BM34" s="29">
        <v>0</v>
      </c>
      <c r="BN34" s="29">
        <v>0</v>
      </c>
      <c r="BO34" s="29">
        <v>0</v>
      </c>
      <c r="BP34" s="29">
        <v>0</v>
      </c>
      <c r="BQ34" s="29">
        <v>0</v>
      </c>
      <c r="BR34" s="29">
        <v>0</v>
      </c>
      <c r="BS34" s="29">
        <v>0</v>
      </c>
      <c r="BT34" s="29">
        <v>0</v>
      </c>
      <c r="BU34" s="29">
        <v>0</v>
      </c>
      <c r="BV34" s="29">
        <v>0</v>
      </c>
      <c r="BW34" s="29">
        <v>0</v>
      </c>
      <c r="BX34" s="29">
        <v>0</v>
      </c>
      <c r="BY34" s="29">
        <v>0</v>
      </c>
      <c r="BZ34" s="29">
        <v>0</v>
      </c>
      <c r="CA34" s="29">
        <v>0</v>
      </c>
      <c r="CB34" s="29">
        <v>0</v>
      </c>
      <c r="CC34" s="29">
        <v>0</v>
      </c>
      <c r="CD34" s="29">
        <v>0</v>
      </c>
      <c r="CE34" s="29">
        <v>0</v>
      </c>
      <c r="CF34" s="29">
        <v>0</v>
      </c>
      <c r="CG34" s="29">
        <v>0</v>
      </c>
      <c r="CH34" s="29">
        <v>0</v>
      </c>
    </row>
    <row r="35" spans="1:86" ht="13">
      <c r="B35" s="15" t="s">
        <v>262</v>
      </c>
      <c r="C35" s="15" t="s">
        <v>263</v>
      </c>
      <c r="D35" s="15" t="s">
        <v>238</v>
      </c>
      <c r="E35" s="29">
        <f t="shared" si="15"/>
        <v>0</v>
      </c>
      <c r="F35" s="29"/>
      <c r="G35" s="29">
        <v>0</v>
      </c>
      <c r="H35" s="29">
        <v>0</v>
      </c>
      <c r="I35" s="29">
        <v>0</v>
      </c>
      <c r="J35" s="29">
        <v>0</v>
      </c>
      <c r="K35" s="29">
        <v>0</v>
      </c>
      <c r="L35" s="29">
        <v>0</v>
      </c>
      <c r="M35" s="29">
        <v>0</v>
      </c>
      <c r="N35" s="29">
        <v>0</v>
      </c>
      <c r="O35" s="29">
        <v>0</v>
      </c>
      <c r="P35" s="29">
        <v>0</v>
      </c>
      <c r="Q35" s="29">
        <v>0</v>
      </c>
      <c r="R35" s="29">
        <v>0</v>
      </c>
      <c r="S35" s="29">
        <v>0</v>
      </c>
      <c r="T35" s="29">
        <v>0</v>
      </c>
      <c r="U35" s="29">
        <v>0</v>
      </c>
      <c r="V35" s="29">
        <v>0</v>
      </c>
      <c r="W35" s="29">
        <v>0</v>
      </c>
      <c r="X35" s="29">
        <v>0</v>
      </c>
      <c r="Y35" s="29">
        <v>0</v>
      </c>
      <c r="Z35" s="29">
        <v>0</v>
      </c>
      <c r="AA35" s="29">
        <v>0</v>
      </c>
      <c r="AB35" s="29">
        <v>0</v>
      </c>
      <c r="AC35" s="29">
        <v>0</v>
      </c>
      <c r="AD35" s="29">
        <v>0</v>
      </c>
      <c r="AE35" s="29">
        <v>0</v>
      </c>
      <c r="AF35" s="29">
        <v>0</v>
      </c>
      <c r="AG35" s="29">
        <v>0</v>
      </c>
      <c r="AH35" s="29">
        <v>0</v>
      </c>
      <c r="AI35" s="29">
        <v>0</v>
      </c>
      <c r="AJ35" s="29">
        <v>0</v>
      </c>
      <c r="AK35" s="29">
        <v>0</v>
      </c>
      <c r="AL35" s="29">
        <v>0</v>
      </c>
      <c r="AM35" s="29">
        <v>0</v>
      </c>
      <c r="AN35" s="29">
        <v>0</v>
      </c>
      <c r="AO35" s="29">
        <v>0</v>
      </c>
      <c r="AP35" s="29">
        <v>0</v>
      </c>
      <c r="AQ35" s="29">
        <v>0</v>
      </c>
      <c r="AR35" s="29">
        <v>0</v>
      </c>
      <c r="AS35" s="29">
        <v>0</v>
      </c>
      <c r="AT35" s="29">
        <v>0</v>
      </c>
      <c r="AU35" s="29">
        <v>0</v>
      </c>
      <c r="AV35" s="29">
        <v>0</v>
      </c>
      <c r="AW35" s="29">
        <v>0</v>
      </c>
      <c r="AX35" s="29">
        <v>0</v>
      </c>
      <c r="AY35" s="29">
        <v>0</v>
      </c>
      <c r="AZ35" s="29">
        <v>0</v>
      </c>
      <c r="BA35" s="29">
        <v>0</v>
      </c>
      <c r="BB35" s="29">
        <v>0</v>
      </c>
      <c r="BC35" s="29">
        <v>0</v>
      </c>
      <c r="BD35" s="29">
        <v>0</v>
      </c>
      <c r="BE35" s="29">
        <v>0</v>
      </c>
      <c r="BF35" s="29">
        <v>0</v>
      </c>
      <c r="BG35" s="29">
        <v>0</v>
      </c>
      <c r="BH35" s="29">
        <v>0</v>
      </c>
      <c r="BI35" s="29">
        <v>0</v>
      </c>
      <c r="BJ35" s="29">
        <v>0</v>
      </c>
      <c r="BK35" s="29">
        <v>0</v>
      </c>
      <c r="BL35" s="29">
        <v>0</v>
      </c>
      <c r="BM35" s="29">
        <v>0</v>
      </c>
      <c r="BN35" s="29">
        <v>0</v>
      </c>
      <c r="BO35" s="29">
        <v>0</v>
      </c>
      <c r="BP35" s="29">
        <v>0</v>
      </c>
      <c r="BQ35" s="29">
        <v>0</v>
      </c>
      <c r="BR35" s="29">
        <v>0</v>
      </c>
      <c r="BS35" s="29">
        <v>0</v>
      </c>
      <c r="BT35" s="29">
        <v>0</v>
      </c>
      <c r="BU35" s="29">
        <v>0</v>
      </c>
      <c r="BV35" s="29">
        <v>0</v>
      </c>
      <c r="BW35" s="29">
        <v>0</v>
      </c>
      <c r="BX35" s="29">
        <v>0</v>
      </c>
      <c r="BY35" s="29">
        <v>0</v>
      </c>
      <c r="BZ35" s="29">
        <v>0</v>
      </c>
      <c r="CA35" s="29">
        <v>0</v>
      </c>
      <c r="CB35" s="29">
        <v>0</v>
      </c>
      <c r="CC35" s="29">
        <v>0</v>
      </c>
      <c r="CD35" s="29">
        <v>0</v>
      </c>
      <c r="CE35" s="29">
        <v>0</v>
      </c>
      <c r="CF35" s="29">
        <v>0</v>
      </c>
      <c r="CG35" s="29">
        <v>0</v>
      </c>
      <c r="CH35" s="29">
        <v>0</v>
      </c>
    </row>
    <row r="36" spans="1:86" ht="13">
      <c r="B36" s="15" t="s">
        <v>264</v>
      </c>
      <c r="C36" s="15"/>
      <c r="D36" s="15" t="s">
        <v>238</v>
      </c>
      <c r="E36" s="29">
        <f t="shared" ca="1" si="15"/>
        <v>0</v>
      </c>
      <c r="F36" s="29"/>
      <c r="G36" s="29">
        <f ca="1">'Get Started'!$E122*G255</f>
        <v>0</v>
      </c>
      <c r="H36" s="29">
        <f ca="1">'Get Started'!$E122*H255</f>
        <v>0</v>
      </c>
      <c r="I36" s="29">
        <f ca="1">'Get Started'!$E122*I255</f>
        <v>0</v>
      </c>
      <c r="J36" s="29">
        <f ca="1">'Get Started'!$E122*J255</f>
        <v>0</v>
      </c>
      <c r="K36" s="29">
        <f ca="1">'Get Started'!$E122*K255</f>
        <v>0</v>
      </c>
      <c r="L36" s="29">
        <f ca="1">'Get Started'!$E122*L255</f>
        <v>0</v>
      </c>
      <c r="M36" s="29">
        <f ca="1">'Get Started'!$E122*M255</f>
        <v>0</v>
      </c>
      <c r="N36" s="29">
        <f ca="1">'Get Started'!$E122*N255</f>
        <v>0</v>
      </c>
      <c r="O36" s="29">
        <f ca="1">'Get Started'!$E122*O255</f>
        <v>0</v>
      </c>
      <c r="P36" s="29">
        <f ca="1">'Get Started'!$E122*P255</f>
        <v>0</v>
      </c>
      <c r="Q36" s="29">
        <f ca="1">'Get Started'!$E122*Q255</f>
        <v>0</v>
      </c>
      <c r="R36" s="29">
        <f ca="1">'Get Started'!$E122*R255</f>
        <v>0</v>
      </c>
      <c r="S36" s="29">
        <f ca="1">'Get Started'!$E122*S255</f>
        <v>0</v>
      </c>
      <c r="T36" s="29">
        <f ca="1">'Get Started'!$E122*T255</f>
        <v>0</v>
      </c>
      <c r="U36" s="29">
        <f ca="1">'Get Started'!$E122*U255</f>
        <v>0</v>
      </c>
      <c r="V36" s="29">
        <f ca="1">'Get Started'!$E122*V255</f>
        <v>0</v>
      </c>
      <c r="W36" s="29">
        <f ca="1">'Get Started'!$E122*W255</f>
        <v>0</v>
      </c>
      <c r="X36" s="29">
        <f ca="1">'Get Started'!$E122*X255</f>
        <v>0</v>
      </c>
      <c r="Y36" s="29">
        <f ca="1">'Get Started'!$E122*Y255</f>
        <v>0</v>
      </c>
      <c r="Z36" s="29">
        <f ca="1">'Get Started'!$E122*Z255</f>
        <v>0</v>
      </c>
      <c r="AA36" s="29">
        <f ca="1">'Get Started'!$E122*AA255</f>
        <v>0</v>
      </c>
      <c r="AB36" s="29">
        <f ca="1">'Get Started'!$E122*AB255</f>
        <v>0</v>
      </c>
      <c r="AC36" s="29">
        <f ca="1">'Get Started'!$E122*AC255</f>
        <v>0</v>
      </c>
      <c r="AD36" s="29">
        <f ca="1">'Get Started'!$E122*AD255</f>
        <v>0</v>
      </c>
      <c r="AE36" s="29">
        <f ca="1">'Get Started'!$E122*AE255</f>
        <v>0</v>
      </c>
      <c r="AF36" s="29">
        <f ca="1">'Get Started'!$E122*AF255</f>
        <v>0</v>
      </c>
      <c r="AG36" s="29">
        <f ca="1">'Get Started'!$E122*AG255</f>
        <v>0</v>
      </c>
      <c r="AH36" s="29">
        <f ca="1">'Get Started'!$E122*AH255</f>
        <v>0</v>
      </c>
      <c r="AI36" s="29">
        <f ca="1">'Get Started'!$E122*AI255</f>
        <v>0</v>
      </c>
      <c r="AJ36" s="29">
        <f ca="1">'Get Started'!$E122*AJ255</f>
        <v>0</v>
      </c>
      <c r="AK36" s="29">
        <f ca="1">'Get Started'!$E122*AK255</f>
        <v>0</v>
      </c>
      <c r="AL36" s="29">
        <f ca="1">'Get Started'!$E122*AL255</f>
        <v>0</v>
      </c>
      <c r="AM36" s="29">
        <f ca="1">'Get Started'!$E122*AM255</f>
        <v>0</v>
      </c>
      <c r="AN36" s="29">
        <f ca="1">'Get Started'!$E122*AN255</f>
        <v>0</v>
      </c>
      <c r="AO36" s="29">
        <f ca="1">'Get Started'!$E122*AO255</f>
        <v>0</v>
      </c>
      <c r="AP36" s="29">
        <f ca="1">'Get Started'!$E122*AP255</f>
        <v>0</v>
      </c>
      <c r="AQ36" s="29">
        <f ca="1">'Get Started'!$E122*AQ255</f>
        <v>0</v>
      </c>
      <c r="AR36" s="29">
        <f ca="1">'Get Started'!$E122*AR255</f>
        <v>0</v>
      </c>
      <c r="AS36" s="29">
        <f ca="1">'Get Started'!$E122*AS255</f>
        <v>0</v>
      </c>
      <c r="AT36" s="29">
        <f ca="1">'Get Started'!$E122*AT255</f>
        <v>0</v>
      </c>
      <c r="AU36" s="29">
        <f ca="1">'Get Started'!$E122*AU255</f>
        <v>0</v>
      </c>
      <c r="AV36" s="29">
        <f ca="1">'Get Started'!$E122*AV255</f>
        <v>0</v>
      </c>
      <c r="AW36" s="29">
        <f ca="1">'Get Started'!$E122*AW255</f>
        <v>0</v>
      </c>
      <c r="AX36" s="29">
        <f ca="1">'Get Started'!$E122*AX255</f>
        <v>0</v>
      </c>
      <c r="AY36" s="29">
        <f ca="1">'Get Started'!$E122*AY255</f>
        <v>0</v>
      </c>
      <c r="AZ36" s="29">
        <f ca="1">'Get Started'!$E122*AZ255</f>
        <v>0</v>
      </c>
      <c r="BA36" s="29">
        <f ca="1">'Get Started'!$E122*BA255</f>
        <v>0</v>
      </c>
      <c r="BB36" s="29">
        <f ca="1">'Get Started'!$E122*BB255</f>
        <v>0</v>
      </c>
      <c r="BC36" s="29">
        <f ca="1">'Get Started'!$E122*BC255</f>
        <v>0</v>
      </c>
      <c r="BD36" s="29">
        <f ca="1">'Get Started'!$E122*BD255</f>
        <v>0</v>
      </c>
      <c r="BE36" s="29">
        <f ca="1">'Get Started'!$E122*BE255</f>
        <v>0</v>
      </c>
      <c r="BF36" s="29">
        <f ca="1">'Get Started'!$E122*BF255</f>
        <v>0</v>
      </c>
      <c r="BG36" s="29">
        <f ca="1">'Get Started'!$E122*BG255</f>
        <v>0</v>
      </c>
      <c r="BH36" s="29">
        <f ca="1">'Get Started'!$E122*BH255</f>
        <v>0</v>
      </c>
      <c r="BI36" s="29">
        <f ca="1">'Get Started'!$E122*BI255</f>
        <v>0</v>
      </c>
      <c r="BJ36" s="29">
        <f ca="1">'Get Started'!$E122*BJ255</f>
        <v>0</v>
      </c>
      <c r="BK36" s="29">
        <f ca="1">'Get Started'!$E122*BK255</f>
        <v>0</v>
      </c>
      <c r="BL36" s="29">
        <f ca="1">'Get Started'!$E122*BL255</f>
        <v>0</v>
      </c>
      <c r="BM36" s="29">
        <f ca="1">'Get Started'!$E122*BM255</f>
        <v>0</v>
      </c>
      <c r="BN36" s="29">
        <f ca="1">'Get Started'!$E122*BN255</f>
        <v>0</v>
      </c>
      <c r="BO36" s="29">
        <f ca="1">'Get Started'!$E122*BO255</f>
        <v>0</v>
      </c>
      <c r="BP36" s="29">
        <f ca="1">'Get Started'!$E122*BP255</f>
        <v>0</v>
      </c>
      <c r="BQ36" s="29">
        <f ca="1">'Get Started'!$E122*BQ255</f>
        <v>0</v>
      </c>
      <c r="BR36" s="29">
        <f ca="1">'Get Started'!$E122*BR255</f>
        <v>0</v>
      </c>
      <c r="BS36" s="29">
        <f ca="1">'Get Started'!$E122*BS255</f>
        <v>0</v>
      </c>
      <c r="BT36" s="29">
        <f ca="1">'Get Started'!$E122*BT255</f>
        <v>0</v>
      </c>
      <c r="BU36" s="29">
        <f ca="1">'Get Started'!$E122*BU255</f>
        <v>0</v>
      </c>
      <c r="BV36" s="29">
        <f ca="1">'Get Started'!$E122*BV255</f>
        <v>0</v>
      </c>
      <c r="BW36" s="29">
        <f ca="1">'Get Started'!$E122*BW255</f>
        <v>0</v>
      </c>
      <c r="BX36" s="29">
        <f ca="1">'Get Started'!$E122*BX255</f>
        <v>0</v>
      </c>
      <c r="BY36" s="29">
        <f ca="1">'Get Started'!$E122*BY255</f>
        <v>0</v>
      </c>
      <c r="BZ36" s="29">
        <f ca="1">'Get Started'!$E122*BZ255</f>
        <v>0</v>
      </c>
      <c r="CA36" s="29">
        <f ca="1">'Get Started'!$E122*CA255</f>
        <v>0</v>
      </c>
      <c r="CB36" s="29">
        <f ca="1">'Get Started'!$E122*CB255</f>
        <v>0</v>
      </c>
      <c r="CC36" s="29">
        <f ca="1">'Get Started'!$E122*CC255</f>
        <v>0</v>
      </c>
      <c r="CD36" s="29">
        <f ca="1">'Get Started'!$E122*CD255</f>
        <v>0</v>
      </c>
      <c r="CE36" s="29">
        <f ca="1">'Get Started'!$E122*CE255</f>
        <v>0</v>
      </c>
      <c r="CF36" s="29">
        <f ca="1">'Get Started'!$E122*CF255</f>
        <v>0</v>
      </c>
      <c r="CG36" s="29">
        <f ca="1">'Get Started'!$E122*CG255</f>
        <v>0</v>
      </c>
      <c r="CH36" s="29">
        <f ca="1">'Get Started'!$E122*CH255</f>
        <v>0</v>
      </c>
    </row>
    <row r="37" spans="1:86" ht="13">
      <c r="B37" s="15" t="s">
        <v>265</v>
      </c>
      <c r="D37" s="15" t="s">
        <v>238</v>
      </c>
      <c r="E37" s="29">
        <f t="shared" ca="1" si="15"/>
        <v>20212500</v>
      </c>
      <c r="F37" s="29"/>
      <c r="G37" s="29">
        <f ca="1">G33*'Get Started'!$F100/'Get Started'!$E100+G33+G32</f>
        <v>1203125</v>
      </c>
      <c r="H37" s="29">
        <f ca="1">H33*'Get Started'!$F100/'Get Started'!$E100+H33+H32</f>
        <v>1203125</v>
      </c>
      <c r="I37" s="29">
        <f ca="1">I33*'Get Started'!$F100/'Get Started'!$E100+I33+I32</f>
        <v>1203125</v>
      </c>
      <c r="J37" s="29">
        <f ca="1">J33*'Get Started'!$F100/'Get Started'!$E100+J33+J32</f>
        <v>1203125</v>
      </c>
      <c r="K37" s="29">
        <f ca="1">K33*'Get Started'!$F100/'Get Started'!$E100+K33+K32</f>
        <v>1203125</v>
      </c>
      <c r="L37" s="29">
        <f ca="1">L33*'Get Started'!$F100/'Get Started'!$E100+L33+L32</f>
        <v>1203125</v>
      </c>
      <c r="M37" s="29">
        <f ca="1">M33*'Get Started'!$F100/'Get Started'!$E100+M33+M32</f>
        <v>1203125</v>
      </c>
      <c r="N37" s="29">
        <f ca="1">N33*'Get Started'!$F100/'Get Started'!$E100+N33+N32</f>
        <v>1203125</v>
      </c>
      <c r="O37" s="29">
        <f ca="1">O33*'Get Started'!$F100/'Get Started'!$E100+O33+O32</f>
        <v>1203125</v>
      </c>
      <c r="P37" s="29">
        <f ca="1">P33*'Get Started'!$F100/'Get Started'!$E100+P33+P32</f>
        <v>1203125</v>
      </c>
      <c r="Q37" s="29">
        <f ca="1">Q33*'Get Started'!$F100/'Get Started'!$E100+Q33+Q32</f>
        <v>1203125</v>
      </c>
      <c r="R37" s="29">
        <f ca="1">R33*'Get Started'!$F100/'Get Started'!$E100+R33+R32</f>
        <v>1203125</v>
      </c>
      <c r="S37" s="29">
        <f ca="1">S33*'Get Started'!$F100/'Get Started'!$E100+S33+S32</f>
        <v>1443750</v>
      </c>
      <c r="T37" s="29">
        <f ca="1">T33*'Get Started'!$F100/'Get Started'!$E100+T33+T32</f>
        <v>1443750</v>
      </c>
      <c r="U37" s="29">
        <f ca="1">U33*'Get Started'!$F100/'Get Started'!$E100+U33+U32</f>
        <v>1443750</v>
      </c>
      <c r="V37" s="29">
        <f ca="1">V33*'Get Started'!$F100/'Get Started'!$E100+V33+V32</f>
        <v>1443750</v>
      </c>
      <c r="W37" s="29">
        <f>W33*'Get Started'!$F100/'Get Started'!$E100+W33+W32</f>
        <v>0</v>
      </c>
      <c r="X37" s="29">
        <f>X33*'Get Started'!$F100/'Get Started'!$E100+X33+X32</f>
        <v>0</v>
      </c>
      <c r="Y37" s="29">
        <f>Y33*'Get Started'!$F100/'Get Started'!$E100+Y33+Y32</f>
        <v>0</v>
      </c>
      <c r="Z37" s="29">
        <f>Z33*'Get Started'!$F100/'Get Started'!$E100+Z33+Z32</f>
        <v>0</v>
      </c>
      <c r="AA37" s="29">
        <f>AA33*'Get Started'!$F100/'Get Started'!$E100+AA33+AA32</f>
        <v>0</v>
      </c>
      <c r="AB37" s="29">
        <f>AB33*'Get Started'!$F100/'Get Started'!$E100+AB33+AB32</f>
        <v>0</v>
      </c>
      <c r="AC37" s="29">
        <f>AC33*'Get Started'!$F100/'Get Started'!$E100+AC33+AC32</f>
        <v>0</v>
      </c>
      <c r="AD37" s="29">
        <f>AD33*'Get Started'!$F100/'Get Started'!$E100+AD33+AD32</f>
        <v>0</v>
      </c>
      <c r="AE37" s="29">
        <f>AE33*'Get Started'!$F100/'Get Started'!$E100+AE33+AE32</f>
        <v>0</v>
      </c>
      <c r="AF37" s="29">
        <f>AF33*'Get Started'!$F100/'Get Started'!$E100+AF33+AF32</f>
        <v>0</v>
      </c>
      <c r="AG37" s="29">
        <f>AG33*'Get Started'!$F100/'Get Started'!$E100+AG33+AG32</f>
        <v>0</v>
      </c>
      <c r="AH37" s="29">
        <f>AH33*'Get Started'!$F100/'Get Started'!$E100+AH33+AH32</f>
        <v>0</v>
      </c>
      <c r="AI37" s="29">
        <f>AI33*'Get Started'!$F100/'Get Started'!$E100+AI33+AI32</f>
        <v>0</v>
      </c>
      <c r="AJ37" s="29">
        <f>AJ33*'Get Started'!$F100/'Get Started'!$E100+AJ33+AJ32</f>
        <v>0</v>
      </c>
      <c r="AK37" s="29">
        <f>AK33*'Get Started'!$F100/'Get Started'!$E100+AK33+AK32</f>
        <v>0</v>
      </c>
      <c r="AL37" s="29">
        <f>AL33*'Get Started'!$F100/'Get Started'!$E100+AL33+AL32</f>
        <v>0</v>
      </c>
      <c r="AM37" s="29">
        <f>AM33*'Get Started'!$F100/'Get Started'!$E100+AM33+AM32</f>
        <v>0</v>
      </c>
      <c r="AN37" s="29">
        <f>AN33*'Get Started'!$F100/'Get Started'!$E100+AN33+AN32</f>
        <v>0</v>
      </c>
      <c r="AO37" s="29">
        <f>AO33*'Get Started'!$F100/'Get Started'!$E100+AO33+AO32</f>
        <v>0</v>
      </c>
      <c r="AP37" s="29">
        <f>AP33*'Get Started'!$F100/'Get Started'!$E100+AP33+AP32</f>
        <v>0</v>
      </c>
      <c r="AQ37" s="29">
        <f>AQ33*'Get Started'!$F100/'Get Started'!$E100+AQ33+AQ32</f>
        <v>0</v>
      </c>
      <c r="AR37" s="29">
        <f>AR33*'Get Started'!$F100/'Get Started'!$E100+AR33+AR32</f>
        <v>0</v>
      </c>
      <c r="AS37" s="29">
        <f>AS33*'Get Started'!$F100/'Get Started'!$E100+AS33+AS32</f>
        <v>0</v>
      </c>
      <c r="AT37" s="29">
        <f>AT33*'Get Started'!$F100/'Get Started'!$E100+AT33+AT32</f>
        <v>0</v>
      </c>
      <c r="AU37" s="29">
        <f>AU33*'Get Started'!$F100/'Get Started'!$E100+AU33+AU32</f>
        <v>0</v>
      </c>
      <c r="AV37" s="29">
        <f>AV33*'Get Started'!$F100/'Get Started'!$E100+AV33+AV32</f>
        <v>0</v>
      </c>
      <c r="AW37" s="29">
        <f>AW33*'Get Started'!$F100/'Get Started'!$E100+AW33+AW32</f>
        <v>0</v>
      </c>
      <c r="AX37" s="29">
        <f>AX33*'Get Started'!$F100/'Get Started'!$E100+AX33+AX32</f>
        <v>0</v>
      </c>
      <c r="AY37" s="29">
        <f>AY33*'Get Started'!$F100/'Get Started'!$E100+AY33+AY32</f>
        <v>0</v>
      </c>
      <c r="AZ37" s="29">
        <f>AZ33*'Get Started'!$F100/'Get Started'!$E100+AZ33+AZ32</f>
        <v>0</v>
      </c>
      <c r="BA37" s="29">
        <f>BA33*'Get Started'!$F100/'Get Started'!$E100+BA33+BA32</f>
        <v>0</v>
      </c>
      <c r="BB37" s="29">
        <f>BB33*'Get Started'!$F100/'Get Started'!$E100+BB33+BB32</f>
        <v>0</v>
      </c>
      <c r="BC37" s="29">
        <f>BC33*'Get Started'!$F100/'Get Started'!$E100+BC33+BC32</f>
        <v>0</v>
      </c>
      <c r="BD37" s="29">
        <f>BD33*'Get Started'!$F100/'Get Started'!$E100+BD33+BD32</f>
        <v>0</v>
      </c>
      <c r="BE37" s="29">
        <f>BE33*'Get Started'!$F100/'Get Started'!$E100+BE33+BE32</f>
        <v>0</v>
      </c>
      <c r="BF37" s="29">
        <f>BF33*'Get Started'!$F100/'Get Started'!$E100+BF33+BF32</f>
        <v>0</v>
      </c>
      <c r="BG37" s="29">
        <f>BG33*'Get Started'!$F100/'Get Started'!$E100+BG33+BG32</f>
        <v>0</v>
      </c>
      <c r="BH37" s="29">
        <f>BH33*'Get Started'!$F100/'Get Started'!$E100+BH33+BH32</f>
        <v>0</v>
      </c>
      <c r="BI37" s="29">
        <f>BI33*'Get Started'!$F100/'Get Started'!$E100+BI33+BI32</f>
        <v>0</v>
      </c>
      <c r="BJ37" s="29">
        <f>BJ33*'Get Started'!$F100/'Get Started'!$E100+BJ33+BJ32</f>
        <v>0</v>
      </c>
      <c r="BK37" s="29">
        <f>BK33*'Get Started'!$F100/'Get Started'!$E100+BK33+BK32</f>
        <v>0</v>
      </c>
      <c r="BL37" s="29">
        <f>BL33*'Get Started'!$F100/'Get Started'!$E100+BL33+BL32</f>
        <v>0</v>
      </c>
      <c r="BM37" s="29">
        <f>BM33*'Get Started'!$F100/'Get Started'!$E100+BM33+BM32</f>
        <v>0</v>
      </c>
      <c r="BN37" s="29">
        <f>BN33*'Get Started'!$F100/'Get Started'!$E100+BN33+BN32</f>
        <v>0</v>
      </c>
      <c r="BO37" s="29">
        <f>BO33*'Get Started'!$F100/'Get Started'!$E100+BO33+BO32</f>
        <v>0</v>
      </c>
      <c r="BP37" s="29">
        <f>BP33*'Get Started'!$F100/'Get Started'!$E100+BP33+BP32</f>
        <v>0</v>
      </c>
      <c r="BQ37" s="29">
        <f>BQ33*'Get Started'!$F100/'Get Started'!$E100+BQ33+BQ32</f>
        <v>0</v>
      </c>
      <c r="BR37" s="29">
        <f>BR33*'Get Started'!$F100/'Get Started'!$E100+BR33+BR32</f>
        <v>0</v>
      </c>
      <c r="BS37" s="29">
        <f>BS33*'Get Started'!$F100/'Get Started'!$E100+BS33+BS32</f>
        <v>0</v>
      </c>
      <c r="BT37" s="29">
        <f>BT33*'Get Started'!$F100/'Get Started'!$E100+BT33+BT32</f>
        <v>0</v>
      </c>
      <c r="BU37" s="29">
        <f>BU33*'Get Started'!$F100/'Get Started'!$E100+BU33+BU32</f>
        <v>0</v>
      </c>
      <c r="BV37" s="29">
        <f>BV33*'Get Started'!$F100/'Get Started'!$E100+BV33+BV32</f>
        <v>0</v>
      </c>
      <c r="BW37" s="29">
        <f>BW33*'Get Started'!$F100/'Get Started'!$E100+BW33+BW32</f>
        <v>0</v>
      </c>
      <c r="BX37" s="29">
        <f>BX33*'Get Started'!$F100/'Get Started'!$E100+BX33+BX32</f>
        <v>0</v>
      </c>
      <c r="BY37" s="29">
        <f>BY33*'Get Started'!$F100/'Get Started'!$E100+BY33+BY32</f>
        <v>0</v>
      </c>
      <c r="BZ37" s="29">
        <f>BZ33*'Get Started'!$F100/'Get Started'!$E100+BZ33+BZ32</f>
        <v>0</v>
      </c>
      <c r="CA37" s="29">
        <f>CA33*'Get Started'!$F100/'Get Started'!$E100+CA33+CA32</f>
        <v>0</v>
      </c>
      <c r="CB37" s="29">
        <f>CB33*'Get Started'!$F100/'Get Started'!$E100+CB33+CB32</f>
        <v>0</v>
      </c>
      <c r="CC37" s="29">
        <f>CC33*'Get Started'!$F100/'Get Started'!$E100+CC33+CC32</f>
        <v>0</v>
      </c>
      <c r="CD37" s="29">
        <f>CD33*'Get Started'!$F100/'Get Started'!$E100+CD33+CD32</f>
        <v>0</v>
      </c>
      <c r="CE37" s="29">
        <f>CE33*'Get Started'!$F100/'Get Started'!$E100+CE33+CE32</f>
        <v>0</v>
      </c>
      <c r="CF37" s="29">
        <f>CF33*'Get Started'!$F100/'Get Started'!$E100+CF33+CF32</f>
        <v>0</v>
      </c>
      <c r="CG37" s="29">
        <f>CG33*'Get Started'!$F100/'Get Started'!$E100+CG33+CG32</f>
        <v>0</v>
      </c>
      <c r="CH37" s="29">
        <f>CH33*'Get Started'!$F100/'Get Started'!$E100+CH33+CH32</f>
        <v>0</v>
      </c>
    </row>
    <row r="38" spans="1:86" ht="13">
      <c r="B38" s="15" t="s">
        <v>266</v>
      </c>
      <c r="D38" s="15" t="s">
        <v>238</v>
      </c>
      <c r="E38" s="29">
        <f t="shared" ca="1" si="15"/>
        <v>20212500</v>
      </c>
      <c r="F38" s="29"/>
      <c r="G38" s="29">
        <f t="shared" ref="G38:CH38" ca="1" si="17">SUM(G33,G36,G32)</f>
        <v>1203125</v>
      </c>
      <c r="H38" s="29">
        <f t="shared" ca="1" si="17"/>
        <v>1203125</v>
      </c>
      <c r="I38" s="29">
        <f t="shared" ca="1" si="17"/>
        <v>1203125</v>
      </c>
      <c r="J38" s="29">
        <f t="shared" ca="1" si="17"/>
        <v>1203125</v>
      </c>
      <c r="K38" s="29">
        <f t="shared" ca="1" si="17"/>
        <v>1203125</v>
      </c>
      <c r="L38" s="29">
        <f t="shared" ca="1" si="17"/>
        <v>1203125</v>
      </c>
      <c r="M38" s="29">
        <f t="shared" ca="1" si="17"/>
        <v>1203125</v>
      </c>
      <c r="N38" s="29">
        <f t="shared" ca="1" si="17"/>
        <v>1203125</v>
      </c>
      <c r="O38" s="29">
        <f t="shared" ca="1" si="17"/>
        <v>1203125</v>
      </c>
      <c r="P38" s="29">
        <f t="shared" ca="1" si="17"/>
        <v>1203125</v>
      </c>
      <c r="Q38" s="29">
        <f t="shared" ca="1" si="17"/>
        <v>1203125</v>
      </c>
      <c r="R38" s="29">
        <f t="shared" ca="1" si="17"/>
        <v>1203125</v>
      </c>
      <c r="S38" s="29">
        <f t="shared" ca="1" si="17"/>
        <v>1443750</v>
      </c>
      <c r="T38" s="29">
        <f t="shared" ca="1" si="17"/>
        <v>1443750</v>
      </c>
      <c r="U38" s="29">
        <f t="shared" ca="1" si="17"/>
        <v>1443750</v>
      </c>
      <c r="V38" s="29">
        <f t="shared" ca="1" si="17"/>
        <v>1443750</v>
      </c>
      <c r="W38" s="29">
        <f t="shared" ca="1" si="17"/>
        <v>0</v>
      </c>
      <c r="X38" s="29">
        <f t="shared" ca="1" si="17"/>
        <v>0</v>
      </c>
      <c r="Y38" s="29">
        <f t="shared" ca="1" si="17"/>
        <v>0</v>
      </c>
      <c r="Z38" s="29">
        <f t="shared" ca="1" si="17"/>
        <v>0</v>
      </c>
      <c r="AA38" s="29">
        <f t="shared" ca="1" si="17"/>
        <v>0</v>
      </c>
      <c r="AB38" s="29">
        <f t="shared" ca="1" si="17"/>
        <v>0</v>
      </c>
      <c r="AC38" s="29">
        <f t="shared" ca="1" si="17"/>
        <v>0</v>
      </c>
      <c r="AD38" s="29">
        <f t="shared" ca="1" si="17"/>
        <v>0</v>
      </c>
      <c r="AE38" s="29">
        <f t="shared" ca="1" si="17"/>
        <v>0</v>
      </c>
      <c r="AF38" s="29">
        <f t="shared" ca="1" si="17"/>
        <v>0</v>
      </c>
      <c r="AG38" s="29">
        <f t="shared" ca="1" si="17"/>
        <v>0</v>
      </c>
      <c r="AH38" s="29">
        <f t="shared" ca="1" si="17"/>
        <v>0</v>
      </c>
      <c r="AI38" s="29">
        <f t="shared" ca="1" si="17"/>
        <v>0</v>
      </c>
      <c r="AJ38" s="29">
        <f t="shared" ca="1" si="17"/>
        <v>0</v>
      </c>
      <c r="AK38" s="29">
        <f t="shared" ca="1" si="17"/>
        <v>0</v>
      </c>
      <c r="AL38" s="29">
        <f t="shared" ca="1" si="17"/>
        <v>0</v>
      </c>
      <c r="AM38" s="29">
        <f t="shared" ca="1" si="17"/>
        <v>0</v>
      </c>
      <c r="AN38" s="29">
        <f t="shared" ca="1" si="17"/>
        <v>0</v>
      </c>
      <c r="AO38" s="29">
        <f t="shared" ca="1" si="17"/>
        <v>0</v>
      </c>
      <c r="AP38" s="29">
        <f t="shared" ca="1" si="17"/>
        <v>0</v>
      </c>
      <c r="AQ38" s="29">
        <f t="shared" ca="1" si="17"/>
        <v>0</v>
      </c>
      <c r="AR38" s="29">
        <f t="shared" ca="1" si="17"/>
        <v>0</v>
      </c>
      <c r="AS38" s="29">
        <f t="shared" ca="1" si="17"/>
        <v>0</v>
      </c>
      <c r="AT38" s="29">
        <f t="shared" ca="1" si="17"/>
        <v>0</v>
      </c>
      <c r="AU38" s="29">
        <f t="shared" ca="1" si="17"/>
        <v>0</v>
      </c>
      <c r="AV38" s="29">
        <f t="shared" ca="1" si="17"/>
        <v>0</v>
      </c>
      <c r="AW38" s="29">
        <f t="shared" ca="1" si="17"/>
        <v>0</v>
      </c>
      <c r="AX38" s="29">
        <f t="shared" ca="1" si="17"/>
        <v>0</v>
      </c>
      <c r="AY38" s="29">
        <f t="shared" ca="1" si="17"/>
        <v>0</v>
      </c>
      <c r="AZ38" s="29">
        <f t="shared" ca="1" si="17"/>
        <v>0</v>
      </c>
      <c r="BA38" s="29">
        <f t="shared" ca="1" si="17"/>
        <v>0</v>
      </c>
      <c r="BB38" s="29">
        <f t="shared" ca="1" si="17"/>
        <v>0</v>
      </c>
      <c r="BC38" s="29">
        <f t="shared" ca="1" si="17"/>
        <v>0</v>
      </c>
      <c r="BD38" s="29">
        <f t="shared" ca="1" si="17"/>
        <v>0</v>
      </c>
      <c r="BE38" s="29">
        <f t="shared" ca="1" si="17"/>
        <v>0</v>
      </c>
      <c r="BF38" s="29">
        <f t="shared" ca="1" si="17"/>
        <v>0</v>
      </c>
      <c r="BG38" s="29">
        <f t="shared" ca="1" si="17"/>
        <v>0</v>
      </c>
      <c r="BH38" s="29">
        <f t="shared" ca="1" si="17"/>
        <v>0</v>
      </c>
      <c r="BI38" s="29">
        <f t="shared" ca="1" si="17"/>
        <v>0</v>
      </c>
      <c r="BJ38" s="29">
        <f t="shared" ca="1" si="17"/>
        <v>0</v>
      </c>
      <c r="BK38" s="29">
        <f t="shared" ca="1" si="17"/>
        <v>0</v>
      </c>
      <c r="BL38" s="29">
        <f t="shared" ca="1" si="17"/>
        <v>0</v>
      </c>
      <c r="BM38" s="29">
        <f t="shared" ca="1" si="17"/>
        <v>0</v>
      </c>
      <c r="BN38" s="29">
        <f t="shared" ca="1" si="17"/>
        <v>0</v>
      </c>
      <c r="BO38" s="29">
        <f t="shared" ca="1" si="17"/>
        <v>0</v>
      </c>
      <c r="BP38" s="29">
        <f t="shared" ca="1" si="17"/>
        <v>0</v>
      </c>
      <c r="BQ38" s="29">
        <f t="shared" ca="1" si="17"/>
        <v>0</v>
      </c>
      <c r="BR38" s="29">
        <f t="shared" ca="1" si="17"/>
        <v>0</v>
      </c>
      <c r="BS38" s="29">
        <f t="shared" ca="1" si="17"/>
        <v>0</v>
      </c>
      <c r="BT38" s="29">
        <f t="shared" ca="1" si="17"/>
        <v>0</v>
      </c>
      <c r="BU38" s="29">
        <f t="shared" ca="1" si="17"/>
        <v>0</v>
      </c>
      <c r="BV38" s="29">
        <f t="shared" ca="1" si="17"/>
        <v>0</v>
      </c>
      <c r="BW38" s="29">
        <f t="shared" ca="1" si="17"/>
        <v>0</v>
      </c>
      <c r="BX38" s="29">
        <f t="shared" ca="1" si="17"/>
        <v>0</v>
      </c>
      <c r="BY38" s="29">
        <f t="shared" ca="1" si="17"/>
        <v>0</v>
      </c>
      <c r="BZ38" s="29">
        <f t="shared" ca="1" si="17"/>
        <v>0</v>
      </c>
      <c r="CA38" s="29">
        <f t="shared" ca="1" si="17"/>
        <v>0</v>
      </c>
      <c r="CB38" s="29">
        <f t="shared" ca="1" si="17"/>
        <v>0</v>
      </c>
      <c r="CC38" s="29">
        <f t="shared" ca="1" si="17"/>
        <v>0</v>
      </c>
      <c r="CD38" s="29">
        <f t="shared" ca="1" si="17"/>
        <v>0</v>
      </c>
      <c r="CE38" s="29">
        <f t="shared" ca="1" si="17"/>
        <v>0</v>
      </c>
      <c r="CF38" s="29">
        <f t="shared" ca="1" si="17"/>
        <v>0</v>
      </c>
      <c r="CG38" s="29">
        <f t="shared" ca="1" si="17"/>
        <v>0</v>
      </c>
      <c r="CH38" s="29">
        <f t="shared" ca="1" si="17"/>
        <v>0</v>
      </c>
    </row>
    <row r="39" spans="1:86" ht="13">
      <c r="B39" s="15" t="s">
        <v>267</v>
      </c>
      <c r="D39" s="15" t="s">
        <v>238</v>
      </c>
      <c r="E39" s="29">
        <f t="shared" si="15"/>
        <v>100000</v>
      </c>
      <c r="F39" s="29"/>
      <c r="G39" s="29">
        <f>IF(G4=1,'Get Started'!$E11,0)</f>
        <v>100000</v>
      </c>
      <c r="H39" s="29">
        <f>IF(H4=1,'Get Started'!$E11,0)</f>
        <v>0</v>
      </c>
      <c r="I39" s="29">
        <f>IF(I4=1,'Get Started'!$E11,0)</f>
        <v>0</v>
      </c>
      <c r="J39" s="29">
        <f>IF(J4=1,'Get Started'!$E11,0)</f>
        <v>0</v>
      </c>
      <c r="K39" s="29">
        <f>IF(K4=1,'Get Started'!$E11,0)</f>
        <v>0</v>
      </c>
      <c r="L39" s="29">
        <f>IF(L4=1,'Get Started'!$E11,0)</f>
        <v>0</v>
      </c>
      <c r="M39" s="29">
        <f>IF(M4=1,'Get Started'!$E11,0)</f>
        <v>0</v>
      </c>
      <c r="N39" s="29">
        <f>IF(N4=1,'Get Started'!$E11,0)</f>
        <v>0</v>
      </c>
      <c r="O39" s="29">
        <f>IF(O4=1,'Get Started'!$E11,0)</f>
        <v>0</v>
      </c>
      <c r="P39" s="29">
        <f>IF(P4=1,'Get Started'!$E11,0)</f>
        <v>0</v>
      </c>
      <c r="Q39" s="29">
        <f>IF(Q4=1,'Get Started'!$E11,0)</f>
        <v>0</v>
      </c>
      <c r="R39" s="29">
        <f>IF(R4=1,'Get Started'!$E11,0)</f>
        <v>0</v>
      </c>
      <c r="S39" s="29">
        <f>IF(S4=1,'Get Started'!$E11,0)</f>
        <v>0</v>
      </c>
      <c r="T39" s="29">
        <f>IF(T4=1,'Get Started'!$E11,0)</f>
        <v>0</v>
      </c>
      <c r="U39" s="29">
        <f>IF(U4=1,'Get Started'!$E11,0)</f>
        <v>0</v>
      </c>
      <c r="V39" s="29">
        <f>IF(V4=1,'Get Started'!$E11,0)</f>
        <v>0</v>
      </c>
      <c r="W39" s="29">
        <f>IF(W4=1,'Get Started'!$E11,0)</f>
        <v>0</v>
      </c>
      <c r="X39" s="29">
        <f>IF(X4=1,'Get Started'!$E11,0)</f>
        <v>0</v>
      </c>
      <c r="Y39" s="29">
        <f>IF(Y4=1,'Get Started'!$E11,0)</f>
        <v>0</v>
      </c>
      <c r="Z39" s="29">
        <f>IF(Z4=1,'Get Started'!$E11,0)</f>
        <v>0</v>
      </c>
      <c r="AA39" s="29">
        <f>IF(AA4=1,'Get Started'!$E11,0)</f>
        <v>0</v>
      </c>
      <c r="AB39" s="29">
        <f>IF(AB4=1,'Get Started'!$E11,0)</f>
        <v>0</v>
      </c>
      <c r="AC39" s="29">
        <f>IF(AC4=1,'Get Started'!$E11,0)</f>
        <v>0</v>
      </c>
      <c r="AD39" s="29">
        <f>IF(AD4=1,'Get Started'!$E11,0)</f>
        <v>0</v>
      </c>
      <c r="AE39" s="29">
        <f>IF(AE4=1,'Get Started'!$E11,0)</f>
        <v>0</v>
      </c>
      <c r="AF39" s="29">
        <f>IF(AF4=1,'Get Started'!$E11,0)</f>
        <v>0</v>
      </c>
      <c r="AG39" s="29">
        <f>IF(AG4=1,'Get Started'!$E11,0)</f>
        <v>0</v>
      </c>
      <c r="AH39" s="29">
        <f>IF(AH4=1,'Get Started'!$E11,0)</f>
        <v>0</v>
      </c>
      <c r="AI39" s="29">
        <f>IF(AI4=1,'Get Started'!$E11,0)</f>
        <v>0</v>
      </c>
      <c r="AJ39" s="29">
        <f>IF(AJ4=1,'Get Started'!$E11,0)</f>
        <v>0</v>
      </c>
      <c r="AK39" s="29">
        <f>IF(AK4=1,'Get Started'!$E11,0)</f>
        <v>0</v>
      </c>
      <c r="AL39" s="29">
        <f>IF(AL4=1,'Get Started'!$E11,0)</f>
        <v>0</v>
      </c>
      <c r="AM39" s="29">
        <f>IF(AM4=1,'Get Started'!$E11,0)</f>
        <v>0</v>
      </c>
      <c r="AN39" s="29">
        <f>IF(AN4=1,'Get Started'!$E11,0)</f>
        <v>0</v>
      </c>
      <c r="AO39" s="29">
        <f>IF(AO4=1,'Get Started'!$E11,0)</f>
        <v>0</v>
      </c>
      <c r="AP39" s="29">
        <f>IF(AP4=1,'Get Started'!$E11,0)</f>
        <v>0</v>
      </c>
      <c r="AQ39" s="29">
        <f>IF(AQ4=1,'Get Started'!$E11,0)</f>
        <v>0</v>
      </c>
      <c r="AR39" s="29">
        <f>IF(AR4=1,'Get Started'!$E11,0)</f>
        <v>0</v>
      </c>
      <c r="AS39" s="29">
        <f>IF(AS4=1,'Get Started'!$E11,0)</f>
        <v>0</v>
      </c>
      <c r="AT39" s="29">
        <f>IF(AT4=1,'Get Started'!$E11,0)</f>
        <v>0</v>
      </c>
      <c r="AU39" s="29">
        <f>IF(AU4=1,'Get Started'!$E11,0)</f>
        <v>0</v>
      </c>
      <c r="AV39" s="29">
        <f>IF(AV4=1,'Get Started'!$E11,0)</f>
        <v>0</v>
      </c>
      <c r="AW39" s="29">
        <f>IF(AW4=1,'Get Started'!$E11,0)</f>
        <v>0</v>
      </c>
      <c r="AX39" s="29">
        <f>IF(AX4=1,'Get Started'!$E11,0)</f>
        <v>0</v>
      </c>
      <c r="AY39" s="29">
        <f>IF(AY4=1,'Get Started'!$E11,0)</f>
        <v>0</v>
      </c>
      <c r="AZ39" s="29">
        <f>IF(AZ4=1,'Get Started'!$E11,0)</f>
        <v>0</v>
      </c>
      <c r="BA39" s="29">
        <f>IF(BA4=1,'Get Started'!$E11,0)</f>
        <v>0</v>
      </c>
      <c r="BB39" s="29">
        <f>IF(BB4=1,'Get Started'!$E11,0)</f>
        <v>0</v>
      </c>
      <c r="BC39" s="29">
        <f>IF(BC4=1,'Get Started'!$E11,0)</f>
        <v>0</v>
      </c>
      <c r="BD39" s="29">
        <f>IF(BD4=1,'Get Started'!$E11,0)</f>
        <v>0</v>
      </c>
      <c r="BE39" s="29">
        <f>IF(BE4=1,'Get Started'!$E11,0)</f>
        <v>0</v>
      </c>
      <c r="BF39" s="29">
        <f>IF(BF4=1,'Get Started'!$E11,0)</f>
        <v>0</v>
      </c>
      <c r="BG39" s="29">
        <f>IF(BG4=1,'Get Started'!$E11,0)</f>
        <v>0</v>
      </c>
      <c r="BH39" s="29">
        <f>IF(BH4=1,'Get Started'!$E11,0)</f>
        <v>0</v>
      </c>
      <c r="BI39" s="29">
        <f>IF(BI4=1,'Get Started'!$E11,0)</f>
        <v>0</v>
      </c>
      <c r="BJ39" s="29">
        <f>IF(BJ4=1,'Get Started'!$E11,0)</f>
        <v>0</v>
      </c>
      <c r="BK39" s="29">
        <f>IF(BK4=1,'Get Started'!$E11,0)</f>
        <v>0</v>
      </c>
      <c r="BL39" s="29">
        <f>IF(BL4=1,'Get Started'!$E11,0)</f>
        <v>0</v>
      </c>
      <c r="BM39" s="29">
        <f>IF(BM4=1,'Get Started'!$E11,0)</f>
        <v>0</v>
      </c>
      <c r="BN39" s="29">
        <f>IF(BN4=1,'Get Started'!$E11,0)</f>
        <v>0</v>
      </c>
      <c r="BO39" s="29">
        <f>IF(BO4=1,'Get Started'!$E11,0)</f>
        <v>0</v>
      </c>
      <c r="BP39" s="29">
        <f>IF(BP4=1,'Get Started'!$E11,0)</f>
        <v>0</v>
      </c>
      <c r="BQ39" s="29">
        <f>IF(BQ4=1,'Get Started'!$E11,0)</f>
        <v>0</v>
      </c>
      <c r="BR39" s="29">
        <f>IF(BR4=1,'Get Started'!$E11,0)</f>
        <v>0</v>
      </c>
      <c r="BS39" s="29">
        <f>IF(BS4=1,'Get Started'!$E11,0)</f>
        <v>0</v>
      </c>
      <c r="BT39" s="29">
        <f>IF(BT4=1,'Get Started'!$E11,0)</f>
        <v>0</v>
      </c>
      <c r="BU39" s="29">
        <f>IF(BU4=1,'Get Started'!$E11,0)</f>
        <v>0</v>
      </c>
      <c r="BV39" s="29">
        <f>IF(BV4=1,'Get Started'!$E11,0)</f>
        <v>0</v>
      </c>
      <c r="BW39" s="29">
        <f>IF(BW4=1,'Get Started'!$E11,0)</f>
        <v>0</v>
      </c>
      <c r="BX39" s="29">
        <f>IF(BX4=1,'Get Started'!$E11,0)</f>
        <v>0</v>
      </c>
      <c r="BY39" s="29">
        <f>IF(BY4=1,'Get Started'!$E11,0)</f>
        <v>0</v>
      </c>
      <c r="BZ39" s="29">
        <f>IF(BZ4=1,'Get Started'!$E11,0)</f>
        <v>0</v>
      </c>
      <c r="CA39" s="29">
        <f>IF(CA4=1,'Get Started'!$E11,0)</f>
        <v>0</v>
      </c>
      <c r="CB39" s="29">
        <f>IF(CB4=1,'Get Started'!$E11,0)</f>
        <v>0</v>
      </c>
      <c r="CC39" s="29">
        <f>IF(CC4=1,'Get Started'!$E11,0)</f>
        <v>0</v>
      </c>
      <c r="CD39" s="29">
        <f>IF(CD4=1,'Get Started'!$E11,0)</f>
        <v>0</v>
      </c>
      <c r="CE39" s="29">
        <f>IF(CE4=1,'Get Started'!$E11,0)</f>
        <v>0</v>
      </c>
      <c r="CF39" s="29">
        <f>IF(CF4=1,'Get Started'!$E11,0)</f>
        <v>0</v>
      </c>
      <c r="CG39" s="29">
        <f>IF(CG4=1,'Get Started'!$E11,0)</f>
        <v>0</v>
      </c>
      <c r="CH39" s="29">
        <f>IF(CH4=1,'Get Started'!$E11,0)</f>
        <v>0</v>
      </c>
    </row>
    <row r="40" spans="1:86" ht="13">
      <c r="B40" s="15" t="s">
        <v>268</v>
      </c>
      <c r="C40" s="15"/>
      <c r="D40" s="15" t="s">
        <v>238</v>
      </c>
      <c r="E40" s="29">
        <f t="shared" si="15"/>
        <v>750000</v>
      </c>
      <c r="F40" s="29"/>
      <c r="G40" s="29">
        <f>'Get Started'!$E12*G10/4</f>
        <v>18750</v>
      </c>
      <c r="H40" s="29">
        <f>'Get Started'!$E12*H10/4</f>
        <v>18750</v>
      </c>
      <c r="I40" s="29">
        <f>'Get Started'!$E12*I10/4</f>
        <v>18750</v>
      </c>
      <c r="J40" s="29">
        <f>'Get Started'!$E12*J10/4</f>
        <v>18750</v>
      </c>
      <c r="K40" s="29">
        <f>'Get Started'!$E12*K10/4</f>
        <v>18750</v>
      </c>
      <c r="L40" s="29">
        <f>'Get Started'!$E12*L10/4</f>
        <v>18750</v>
      </c>
      <c r="M40" s="29">
        <f>'Get Started'!$E12*M10/4</f>
        <v>18750</v>
      </c>
      <c r="N40" s="29">
        <f>'Get Started'!$E12*N10/4</f>
        <v>18750</v>
      </c>
      <c r="O40" s="29">
        <f>'Get Started'!$E12*O10/4</f>
        <v>18750</v>
      </c>
      <c r="P40" s="29">
        <f>'Get Started'!$E12*P10/4</f>
        <v>18750</v>
      </c>
      <c r="Q40" s="29">
        <f>'Get Started'!$E12*Q10/4</f>
        <v>18750</v>
      </c>
      <c r="R40" s="29">
        <f>'Get Started'!$E12*R10/4</f>
        <v>18750</v>
      </c>
      <c r="S40" s="29">
        <f>'Get Started'!$E12*S10/4</f>
        <v>18750</v>
      </c>
      <c r="T40" s="29">
        <f>'Get Started'!$E12*T10/4</f>
        <v>18750</v>
      </c>
      <c r="U40" s="29">
        <f>'Get Started'!$E12*U10/4</f>
        <v>18750</v>
      </c>
      <c r="V40" s="29">
        <f>'Get Started'!$E12*V10/4</f>
        <v>18750</v>
      </c>
      <c r="W40" s="29">
        <f>'Get Started'!$E12*W10/4</f>
        <v>18750</v>
      </c>
      <c r="X40" s="29">
        <f>'Get Started'!$E12*X10/4</f>
        <v>18750</v>
      </c>
      <c r="Y40" s="29">
        <f>'Get Started'!$E12*Y10/4</f>
        <v>18750</v>
      </c>
      <c r="Z40" s="29">
        <f>'Get Started'!$E12*Z10/4</f>
        <v>18750</v>
      </c>
      <c r="AA40" s="29">
        <f>'Get Started'!$E12*AA10/4</f>
        <v>18750</v>
      </c>
      <c r="AB40" s="29">
        <f>'Get Started'!$E12*AB10/4</f>
        <v>18750</v>
      </c>
      <c r="AC40" s="29">
        <f>'Get Started'!$E12*AC10/4</f>
        <v>18750</v>
      </c>
      <c r="AD40" s="29">
        <f>'Get Started'!$E12*AD10/4</f>
        <v>18750</v>
      </c>
      <c r="AE40" s="29">
        <f>'Get Started'!$E12*AE10/4</f>
        <v>18750</v>
      </c>
      <c r="AF40" s="29">
        <f>'Get Started'!$E12*AF10/4</f>
        <v>18750</v>
      </c>
      <c r="AG40" s="29">
        <f>'Get Started'!$E12*AG10/4</f>
        <v>18750</v>
      </c>
      <c r="AH40" s="29">
        <f>'Get Started'!$E12*AH10/4</f>
        <v>18750</v>
      </c>
      <c r="AI40" s="29">
        <f>'Get Started'!$E12*AI10/4</f>
        <v>18750</v>
      </c>
      <c r="AJ40" s="29">
        <f>'Get Started'!$E12*AJ10/4</f>
        <v>18750</v>
      </c>
      <c r="AK40" s="29">
        <f>'Get Started'!$E12*AK10/4</f>
        <v>18750</v>
      </c>
      <c r="AL40" s="29">
        <f>'Get Started'!$E12*AL10/4</f>
        <v>18750</v>
      </c>
      <c r="AM40" s="29">
        <f>'Get Started'!$E12*AM10/4</f>
        <v>18750</v>
      </c>
      <c r="AN40" s="29">
        <f>'Get Started'!$E12*AN10/4</f>
        <v>18750</v>
      </c>
      <c r="AO40" s="29">
        <f>'Get Started'!$E12*AO10/4</f>
        <v>18750</v>
      </c>
      <c r="AP40" s="29">
        <f>'Get Started'!$E12*AP10/4</f>
        <v>18750</v>
      </c>
      <c r="AQ40" s="29">
        <f>'Get Started'!$E12*AQ10/4</f>
        <v>18750</v>
      </c>
      <c r="AR40" s="29">
        <f>'Get Started'!$E12*AR10/4</f>
        <v>18750</v>
      </c>
      <c r="AS40" s="29">
        <f>'Get Started'!$E12*AS10/4</f>
        <v>18750</v>
      </c>
      <c r="AT40" s="29">
        <f>'Get Started'!$E12*AT10/4</f>
        <v>18750</v>
      </c>
      <c r="AU40" s="29">
        <f>'Get Started'!$E12*AU10/4</f>
        <v>0</v>
      </c>
      <c r="AV40" s="29">
        <f>'Get Started'!$E12*AV10/4</f>
        <v>0</v>
      </c>
      <c r="AW40" s="29">
        <f>'Get Started'!$E12*AW10/4</f>
        <v>0</v>
      </c>
      <c r="AX40" s="29">
        <f>'Get Started'!$E12*AX10/4</f>
        <v>0</v>
      </c>
      <c r="AY40" s="29">
        <f>'Get Started'!$E12*AY10/4</f>
        <v>0</v>
      </c>
      <c r="AZ40" s="29">
        <f>'Get Started'!$E12*AZ10/4</f>
        <v>0</v>
      </c>
      <c r="BA40" s="29">
        <f>'Get Started'!$E12*BA10/4</f>
        <v>0</v>
      </c>
      <c r="BB40" s="29">
        <f>'Get Started'!$E12*BB10/4</f>
        <v>0</v>
      </c>
      <c r="BC40" s="29">
        <f>'Get Started'!$E12*BC10/4</f>
        <v>0</v>
      </c>
      <c r="BD40" s="29">
        <f>'Get Started'!$E12*BD10/4</f>
        <v>0</v>
      </c>
      <c r="BE40" s="29">
        <f>'Get Started'!$E12*BE10/4</f>
        <v>0</v>
      </c>
      <c r="BF40" s="29">
        <f>'Get Started'!$E12*BF10/4</f>
        <v>0</v>
      </c>
      <c r="BG40" s="29">
        <f>'Get Started'!$E12*BG10/4</f>
        <v>0</v>
      </c>
      <c r="BH40" s="29">
        <f>'Get Started'!$E12*BH10/4</f>
        <v>0</v>
      </c>
      <c r="BI40" s="29">
        <f>'Get Started'!$E12*BI10/4</f>
        <v>0</v>
      </c>
      <c r="BJ40" s="29">
        <f>'Get Started'!$E12*BJ10/4</f>
        <v>0</v>
      </c>
      <c r="BK40" s="29">
        <f>'Get Started'!$E12*BK10/4</f>
        <v>0</v>
      </c>
      <c r="BL40" s="29">
        <f>'Get Started'!$E12*BL10/4</f>
        <v>0</v>
      </c>
      <c r="BM40" s="29">
        <f>'Get Started'!$E12*BM10/4</f>
        <v>0</v>
      </c>
      <c r="BN40" s="29">
        <f>'Get Started'!$E12*BN10/4</f>
        <v>0</v>
      </c>
      <c r="BO40" s="29">
        <f>'Get Started'!$E12*BO10/4</f>
        <v>0</v>
      </c>
      <c r="BP40" s="29">
        <f>'Get Started'!$E12*BP10/4</f>
        <v>0</v>
      </c>
      <c r="BQ40" s="29">
        <f>'Get Started'!$E12*BQ10/4</f>
        <v>0</v>
      </c>
      <c r="BR40" s="29">
        <f>'Get Started'!$E12*BR10/4</f>
        <v>0</v>
      </c>
      <c r="BS40" s="29">
        <f>'Get Started'!$E12*BS10/4</f>
        <v>0</v>
      </c>
      <c r="BT40" s="29">
        <f>'Get Started'!$E12*BT10/4</f>
        <v>0</v>
      </c>
      <c r="BU40" s="29">
        <f>'Get Started'!$E12*BU10/4</f>
        <v>0</v>
      </c>
      <c r="BV40" s="29">
        <f>'Get Started'!$E12*BV10/4</f>
        <v>0</v>
      </c>
      <c r="BW40" s="29">
        <f>'Get Started'!$E12*BW10/4</f>
        <v>0</v>
      </c>
      <c r="BX40" s="29">
        <f>'Get Started'!$E12*BX10/4</f>
        <v>0</v>
      </c>
      <c r="BY40" s="29">
        <f>'Get Started'!$E12*BY10/4</f>
        <v>0</v>
      </c>
      <c r="BZ40" s="29">
        <f>'Get Started'!$E12*BZ10/4</f>
        <v>0</v>
      </c>
      <c r="CA40" s="29">
        <f>'Get Started'!$E12*CA10/4</f>
        <v>0</v>
      </c>
      <c r="CB40" s="29">
        <f>'Get Started'!$E12*CB10/4</f>
        <v>0</v>
      </c>
      <c r="CC40" s="29">
        <f>'Get Started'!$E12*CC10/4</f>
        <v>0</v>
      </c>
      <c r="CD40" s="29">
        <f>'Get Started'!$E12*CD10/4</f>
        <v>0</v>
      </c>
      <c r="CE40" s="29">
        <f>'Get Started'!$E12*CE10/4</f>
        <v>0</v>
      </c>
      <c r="CF40" s="29">
        <f>'Get Started'!$E12*CF10/4</f>
        <v>0</v>
      </c>
      <c r="CG40" s="29">
        <f>'Get Started'!$E12*CG10/4</f>
        <v>0</v>
      </c>
      <c r="CH40" s="29">
        <f>'Get Started'!$E12*CH10/4</f>
        <v>0</v>
      </c>
    </row>
    <row r="41" spans="1:86" ht="13">
      <c r="A41" s="13"/>
      <c r="B41" s="13" t="s">
        <v>242</v>
      </c>
      <c r="D41" s="13" t="s">
        <v>238</v>
      </c>
      <c r="E41" s="37">
        <f t="shared" si="15"/>
        <v>4900000</v>
      </c>
      <c r="F41" s="48"/>
      <c r="G41" s="37">
        <f>IFERROR(IF(G15="committed",G83*IF($C17=TRUE,1-'Get Started'!$E10,1)*G14+IF(AND(G4&lt;&gt;1,G54*IF($C17=TRUE,1-'Get Started'!$E10,1)&lt;&gt;0,SUM($G54:G54)*IF($C17=TRUE,1-'Get Started'!$E10,1)&lt;&gt;E54*IF($C17=TRUE,1-'Get Started'!$E10,1)),G54*IF($C17=TRUE,1-'Get Started'!$E10,1)*(G4-1)*G14,0),IF(G15="called",G14*(G60+F60)/2*IF($C17=TRUE,1-'Get Started'!$E10,1),G14*(G85+F85)/2*IF($C17=TRUE,1-'Get Started'!$E10,1))),0)</f>
        <v>122500</v>
      </c>
      <c r="H41" s="37">
        <f>IFERROR(IF(H15="committed",H83*IF($C17=TRUE,1-'Get Started'!$E10,1)*H14+IF(AND(H4&lt;&gt;1,H54*IF($C17=TRUE,1-'Get Started'!$E10,1)&lt;&gt;0,SUM($G54:H54)*IF($C17=TRUE,1-'Get Started'!$E10,1)&lt;&gt;F54*IF($C17=TRUE,1-'Get Started'!$E10,1)),H54*IF($C17=TRUE,1-'Get Started'!$E10,1)*(H4-1)*H14,0),IF(H15="called",H14*(H60+G60)/2*IF($C17=TRUE,1-'Get Started'!$E10,1),H14*(H85+G85)/2*IF($C17=TRUE,1-'Get Started'!$E10,1))),0)</f>
        <v>122500</v>
      </c>
      <c r="I41" s="37">
        <f>IFERROR(IF(I15="committed",I83*IF($C17=TRUE,1-'Get Started'!$E10,1)*I14+IF(AND(I4&lt;&gt;1,I54*IF($C17=TRUE,1-'Get Started'!$E10,1)&lt;&gt;0,SUM($G54:I54)*IF($C17=TRUE,1-'Get Started'!$E10,1)&lt;&gt;G54*IF($C17=TRUE,1-'Get Started'!$E10,1)),I54*IF($C17=TRUE,1-'Get Started'!$E10,1)*(I4-1)*I14,0),IF(I15="called",I14*(I60+H60)/2*IF($C17=TRUE,1-'Get Started'!$E10,1),I14*(I85+H85)/2*IF($C17=TRUE,1-'Get Started'!$E10,1))),0)</f>
        <v>122500</v>
      </c>
      <c r="J41" s="37">
        <f>IFERROR(IF(J15="committed",J83*IF($C17=TRUE,1-'Get Started'!$E10,1)*J14+IF(AND(J4&lt;&gt;1,J54*IF($C17=TRUE,1-'Get Started'!$E10,1)&lt;&gt;0,SUM($G54:J54)*IF($C17=TRUE,1-'Get Started'!$E10,1)&lt;&gt;H54*IF($C17=TRUE,1-'Get Started'!$E10,1)),J54*IF($C17=TRUE,1-'Get Started'!$E10,1)*(J4-1)*J14,0),IF(J15="called",J14*(J60+I60)/2*IF($C17=TRUE,1-'Get Started'!$E10,1),J14*(J85+I85)/2*IF($C17=TRUE,1-'Get Started'!$E10,1))),0)</f>
        <v>122500</v>
      </c>
      <c r="K41" s="37">
        <f>IFERROR(IF(K15="committed",K83*IF($C17=TRUE,1-'Get Started'!$E10,1)*K14+IF(AND(K4&lt;&gt;1,K54*IF($C17=TRUE,1-'Get Started'!$E10,1)&lt;&gt;0,SUM($G54:K54)*IF($C17=TRUE,1-'Get Started'!$E10,1)&lt;&gt;I54*IF($C17=TRUE,1-'Get Started'!$E10,1)),K54*IF($C17=TRUE,1-'Get Started'!$E10,1)*(K4-1)*K14,0),IF(K15="called",K14*(K60+J60)/2*IF($C17=TRUE,1-'Get Started'!$E10,1),K14*(K85+J85)/2*IF($C17=TRUE,1-'Get Started'!$E10,1))),0)</f>
        <v>122500</v>
      </c>
      <c r="L41" s="37">
        <f>IFERROR(IF(L15="committed",L83*IF($C17=TRUE,1-'Get Started'!$E10,1)*L14+IF(AND(L4&lt;&gt;1,L54*IF($C17=TRUE,1-'Get Started'!$E10,1)&lt;&gt;0,SUM($G54:L54)*IF($C17=TRUE,1-'Get Started'!$E10,1)&lt;&gt;J54*IF($C17=TRUE,1-'Get Started'!$E10,1)),L54*IF($C17=TRUE,1-'Get Started'!$E10,1)*(L4-1)*L14,0),IF(L15="called",L14*(L60+K60)/2*IF($C17=TRUE,1-'Get Started'!$E10,1),L14*(L85+K85)/2*IF($C17=TRUE,1-'Get Started'!$E10,1))),0)</f>
        <v>122500</v>
      </c>
      <c r="M41" s="37">
        <f>IFERROR(IF(M15="committed",M83*IF($C17=TRUE,1-'Get Started'!$E10,1)*M14+IF(AND(M4&lt;&gt;1,M54*IF($C17=TRUE,1-'Get Started'!$E10,1)&lt;&gt;0,SUM($G54:M54)*IF($C17=TRUE,1-'Get Started'!$E10,1)&lt;&gt;K54*IF($C17=TRUE,1-'Get Started'!$E10,1)),M54*IF($C17=TRUE,1-'Get Started'!$E10,1)*(M4-1)*M14,0),IF(M15="called",M14*(M60+L60)/2*IF($C17=TRUE,1-'Get Started'!$E10,1),M14*(M85+L85)/2*IF($C17=TRUE,1-'Get Started'!$E10,1))),0)</f>
        <v>122500</v>
      </c>
      <c r="N41" s="37">
        <f>IFERROR(IF(N15="committed",N83*IF($C17=TRUE,1-'Get Started'!$E10,1)*N14+IF(AND(N4&lt;&gt;1,N54*IF($C17=TRUE,1-'Get Started'!$E10,1)&lt;&gt;0,SUM($G54:N54)*IF($C17=TRUE,1-'Get Started'!$E10,1)&lt;&gt;L54*IF($C17=TRUE,1-'Get Started'!$E10,1)),N54*IF($C17=TRUE,1-'Get Started'!$E10,1)*(N4-1)*N14,0),IF(N15="called",N14*(N60+M60)/2*IF($C17=TRUE,1-'Get Started'!$E10,1),N14*(N85+M85)/2*IF($C17=TRUE,1-'Get Started'!$E10,1))),0)</f>
        <v>122500</v>
      </c>
      <c r="O41" s="37">
        <f>IFERROR(IF(O15="committed",O83*IF($C17=TRUE,1-'Get Started'!$E10,1)*O14+IF(AND(O4&lt;&gt;1,O54*IF($C17=TRUE,1-'Get Started'!$E10,1)&lt;&gt;0,SUM($G54:O54)*IF($C17=TRUE,1-'Get Started'!$E10,1)&lt;&gt;M54*IF($C17=TRUE,1-'Get Started'!$E10,1)),O54*IF($C17=TRUE,1-'Get Started'!$E10,1)*(O4-1)*O14,0),IF(O15="called",O14*(O60+N60)/2*IF($C17=TRUE,1-'Get Started'!$E10,1),O14*(O85+N85)/2*IF($C17=TRUE,1-'Get Started'!$E10,1))),0)</f>
        <v>122500</v>
      </c>
      <c r="P41" s="37">
        <f>IFERROR(IF(P15="committed",P83*IF($C17=TRUE,1-'Get Started'!$E10,1)*P14+IF(AND(P4&lt;&gt;1,P54*IF($C17=TRUE,1-'Get Started'!$E10,1)&lt;&gt;0,SUM($G54:P54)*IF($C17=TRUE,1-'Get Started'!$E10,1)&lt;&gt;N54*IF($C17=TRUE,1-'Get Started'!$E10,1)),P54*IF($C17=TRUE,1-'Get Started'!$E10,1)*(P4-1)*P14,0),IF(P15="called",P14*(P60+O60)/2*IF($C17=TRUE,1-'Get Started'!$E10,1),P14*(P85+O85)/2*IF($C17=TRUE,1-'Get Started'!$E10,1))),0)</f>
        <v>122500</v>
      </c>
      <c r="Q41" s="37">
        <f>IFERROR(IF(Q15="committed",Q83*IF($C17=TRUE,1-'Get Started'!$E10,1)*Q14+IF(AND(Q4&lt;&gt;1,Q54*IF($C17=TRUE,1-'Get Started'!$E10,1)&lt;&gt;0,SUM($G54:Q54)*IF($C17=TRUE,1-'Get Started'!$E10,1)&lt;&gt;O54*IF($C17=TRUE,1-'Get Started'!$E10,1)),Q54*IF($C17=TRUE,1-'Get Started'!$E10,1)*(Q4-1)*Q14,0),IF(Q15="called",Q14*(Q60+P60)/2*IF($C17=TRUE,1-'Get Started'!$E10,1),Q14*(Q85+P85)/2*IF($C17=TRUE,1-'Get Started'!$E10,1))),0)</f>
        <v>122500</v>
      </c>
      <c r="R41" s="37">
        <f>IFERROR(IF(R15="committed",R83*IF($C17=TRUE,1-'Get Started'!$E10,1)*R14+IF(AND(R4&lt;&gt;1,R54*IF($C17=TRUE,1-'Get Started'!$E10,1)&lt;&gt;0,SUM($G54:R54)*IF($C17=TRUE,1-'Get Started'!$E10,1)&lt;&gt;P54*IF($C17=TRUE,1-'Get Started'!$E10,1)),R54*IF($C17=TRUE,1-'Get Started'!$E10,1)*(R4-1)*R14,0),IF(R15="called",R14*(R60+Q60)/2*IF($C17=TRUE,1-'Get Started'!$E10,1),R14*(R85+Q85)/2*IF($C17=TRUE,1-'Get Started'!$E10,1))),0)</f>
        <v>122500</v>
      </c>
      <c r="S41" s="37">
        <f>IFERROR(IF(S15="committed",S83*IF($C17=TRUE,1-'Get Started'!$E10,1)*S14+IF(AND(S4&lt;&gt;1,S54*IF($C17=TRUE,1-'Get Started'!$E10,1)&lt;&gt;0,SUM($G54:S54)*IF($C17=TRUE,1-'Get Started'!$E10,1)&lt;&gt;Q54*IF($C17=TRUE,1-'Get Started'!$E10,1)),S54*IF($C17=TRUE,1-'Get Started'!$E10,1)*(S4-1)*S14,0),IF(S15="called",S14*(S60+R60)/2*IF($C17=TRUE,1-'Get Started'!$E10,1),S14*(S85+R85)/2*IF($C17=TRUE,1-'Get Started'!$E10,1))),0)</f>
        <v>122500</v>
      </c>
      <c r="T41" s="37">
        <f>IFERROR(IF(T15="committed",T83*IF($C17=TRUE,1-'Get Started'!$E10,1)*T14+IF(AND(T4&lt;&gt;1,T54*IF($C17=TRUE,1-'Get Started'!$E10,1)&lt;&gt;0,SUM($G54:T54)*IF($C17=TRUE,1-'Get Started'!$E10,1)&lt;&gt;R54*IF($C17=TRUE,1-'Get Started'!$E10,1)),T54*IF($C17=TRUE,1-'Get Started'!$E10,1)*(T4-1)*T14,0),IF(T15="called",T14*(T60+S60)/2*IF($C17=TRUE,1-'Get Started'!$E10,1),T14*(T85+S85)/2*IF($C17=TRUE,1-'Get Started'!$E10,1))),0)</f>
        <v>122500</v>
      </c>
      <c r="U41" s="37">
        <f>IFERROR(IF(U15="committed",U83*IF($C17=TRUE,1-'Get Started'!$E10,1)*U14+IF(AND(U4&lt;&gt;1,U54*IF($C17=TRUE,1-'Get Started'!$E10,1)&lt;&gt;0,SUM($G54:U54)*IF($C17=TRUE,1-'Get Started'!$E10,1)&lt;&gt;S54*IF($C17=TRUE,1-'Get Started'!$E10,1)),U54*IF($C17=TRUE,1-'Get Started'!$E10,1)*(U4-1)*U14,0),IF(U15="called",U14*(U60+T60)/2*IF($C17=TRUE,1-'Get Started'!$E10,1),U14*(U85+T85)/2*IF($C17=TRUE,1-'Get Started'!$E10,1))),0)</f>
        <v>122500</v>
      </c>
      <c r="V41" s="37">
        <f>IFERROR(IF(V15="committed",V83*IF($C17=TRUE,1-'Get Started'!$E10,1)*V14+IF(AND(V4&lt;&gt;1,V54*IF($C17=TRUE,1-'Get Started'!$E10,1)&lt;&gt;0,SUM($G54:V54)*IF($C17=TRUE,1-'Get Started'!$E10,1)&lt;&gt;T54*IF($C17=TRUE,1-'Get Started'!$E10,1)),V54*IF($C17=TRUE,1-'Get Started'!$E10,1)*(V4-1)*V14,0),IF(V15="called",V14*(V60+U60)/2*IF($C17=TRUE,1-'Get Started'!$E10,1),V14*(V85+U85)/2*IF($C17=TRUE,1-'Get Started'!$E10,1))),0)</f>
        <v>122500</v>
      </c>
      <c r="W41" s="37">
        <f>IFERROR(IF(W15="committed",W83*IF($C17=TRUE,1-'Get Started'!$E10,1)*W14+IF(AND(W4&lt;&gt;1,W54*IF($C17=TRUE,1-'Get Started'!$E10,1)&lt;&gt;0,SUM($G54:W54)*IF($C17=TRUE,1-'Get Started'!$E10,1)&lt;&gt;U54*IF($C17=TRUE,1-'Get Started'!$E10,1)),W54*IF($C17=TRUE,1-'Get Started'!$E10,1)*(W4-1)*W14,0),IF(W15="called",W14*(W60+V60)/2*IF($C17=TRUE,1-'Get Started'!$E10,1),W14*(W85+V85)/2*IF($C17=TRUE,1-'Get Started'!$E10,1))),0)</f>
        <v>122500</v>
      </c>
      <c r="X41" s="37">
        <f>IFERROR(IF(X15="committed",X83*IF($C17=TRUE,1-'Get Started'!$E10,1)*X14+IF(AND(X4&lt;&gt;1,X54*IF($C17=TRUE,1-'Get Started'!$E10,1)&lt;&gt;0,SUM($G54:X54)*IF($C17=TRUE,1-'Get Started'!$E10,1)&lt;&gt;V54*IF($C17=TRUE,1-'Get Started'!$E10,1)),X54*IF($C17=TRUE,1-'Get Started'!$E10,1)*(X4-1)*X14,0),IF(X15="called",X14*(X60+W60)/2*IF($C17=TRUE,1-'Get Started'!$E10,1),X14*(X85+W85)/2*IF($C17=TRUE,1-'Get Started'!$E10,1))),0)</f>
        <v>122500</v>
      </c>
      <c r="Y41" s="37">
        <f>IFERROR(IF(Y15="committed",Y83*IF($C17=TRUE,1-'Get Started'!$E10,1)*Y14+IF(AND(Y4&lt;&gt;1,Y54*IF($C17=TRUE,1-'Get Started'!$E10,1)&lt;&gt;0,SUM($G54:Y54)*IF($C17=TRUE,1-'Get Started'!$E10,1)&lt;&gt;W54*IF($C17=TRUE,1-'Get Started'!$E10,1)),Y54*IF($C17=TRUE,1-'Get Started'!$E10,1)*(Y4-1)*Y14,0),IF(Y15="called",Y14*(Y60+X60)/2*IF($C17=TRUE,1-'Get Started'!$E10,1),Y14*(Y85+X85)/2*IF($C17=TRUE,1-'Get Started'!$E10,1))),0)</f>
        <v>122500</v>
      </c>
      <c r="Z41" s="37">
        <f>IFERROR(IF(Z15="committed",Z83*IF($C17=TRUE,1-'Get Started'!$E10,1)*Z14+IF(AND(Z4&lt;&gt;1,Z54*IF($C17=TRUE,1-'Get Started'!$E10,1)&lt;&gt;0,SUM($G54:Z54)*IF($C17=TRUE,1-'Get Started'!$E10,1)&lt;&gt;X54*IF($C17=TRUE,1-'Get Started'!$E10,1)),Z54*IF($C17=TRUE,1-'Get Started'!$E10,1)*(Z4-1)*Z14,0),IF(Z15="called",Z14*(Z60+Y60)/2*IF($C17=TRUE,1-'Get Started'!$E10,1),Z14*(Z85+Y85)/2*IF($C17=TRUE,1-'Get Started'!$E10,1))),0)</f>
        <v>122500</v>
      </c>
      <c r="AA41" s="37">
        <f>IFERROR(IF(AA15="committed",AA83*IF($C17=TRUE,1-'Get Started'!$E10,1)*AA14+IF(AND(AA4&lt;&gt;1,AA54*IF($C17=TRUE,1-'Get Started'!$E10,1)&lt;&gt;0,SUM($G54:AA54)*IF($C17=TRUE,1-'Get Started'!$E10,1)&lt;&gt;Y54*IF($C17=TRUE,1-'Get Started'!$E10,1)),AA54*IF($C17=TRUE,1-'Get Started'!$E10,1)*(AA4-1)*AA14,0),IF(AA15="called",AA14*(AA60+Z60)/2*IF($C17=TRUE,1-'Get Started'!$E10,1),AA14*(AA85+Z85)/2*IF($C17=TRUE,1-'Get Started'!$E10,1))),0)</f>
        <v>122500</v>
      </c>
      <c r="AB41" s="37">
        <f>IFERROR(IF(AB15="committed",AB83*IF($C17=TRUE,1-'Get Started'!$E10,1)*AB14+IF(AND(AB4&lt;&gt;1,AB54*IF($C17=TRUE,1-'Get Started'!$E10,1)&lt;&gt;0,SUM($G54:AB54)*IF($C17=TRUE,1-'Get Started'!$E10,1)&lt;&gt;Z54*IF($C17=TRUE,1-'Get Started'!$E10,1)),AB54*IF($C17=TRUE,1-'Get Started'!$E10,1)*(AB4-1)*AB14,0),IF(AB15="called",AB14*(AB60+AA60)/2*IF($C17=TRUE,1-'Get Started'!$E10,1),AB14*(AB85+AA85)/2*IF($C17=TRUE,1-'Get Started'!$E10,1))),0)</f>
        <v>122500</v>
      </c>
      <c r="AC41" s="37">
        <f>IFERROR(IF(AC15="committed",AC83*IF($C17=TRUE,1-'Get Started'!$E10,1)*AC14+IF(AND(AC4&lt;&gt;1,AC54*IF($C17=TRUE,1-'Get Started'!$E10,1)&lt;&gt;0,SUM($G54:AC54)*IF($C17=TRUE,1-'Get Started'!$E10,1)&lt;&gt;AA54*IF($C17=TRUE,1-'Get Started'!$E10,1)),AC54*IF($C17=TRUE,1-'Get Started'!$E10,1)*(AC4-1)*AC14,0),IF(AC15="called",AC14*(AC60+AB60)/2*IF($C17=TRUE,1-'Get Started'!$E10,1),AC14*(AC85+AB85)/2*IF($C17=TRUE,1-'Get Started'!$E10,1))),0)</f>
        <v>122500</v>
      </c>
      <c r="AD41" s="37">
        <f>IFERROR(IF(AD15="committed",AD83*IF($C17=TRUE,1-'Get Started'!$E10,1)*AD14+IF(AND(AD4&lt;&gt;1,AD54*IF($C17=TRUE,1-'Get Started'!$E10,1)&lt;&gt;0,SUM($G54:AD54)*IF($C17=TRUE,1-'Get Started'!$E10,1)&lt;&gt;AB54*IF($C17=TRUE,1-'Get Started'!$E10,1)),AD54*IF($C17=TRUE,1-'Get Started'!$E10,1)*(AD4-1)*AD14,0),IF(AD15="called",AD14*(AD60+AC60)/2*IF($C17=TRUE,1-'Get Started'!$E10,1),AD14*(AD85+AC85)/2*IF($C17=TRUE,1-'Get Started'!$E10,1))),0)</f>
        <v>122500</v>
      </c>
      <c r="AE41" s="37">
        <f>IFERROR(IF(AE15="committed",AE83*IF($C17=TRUE,1-'Get Started'!$E10,1)*AE14+IF(AND(AE4&lt;&gt;1,AE54*IF($C17=TRUE,1-'Get Started'!$E10,1)&lt;&gt;0,SUM($G54:AE54)*IF($C17=TRUE,1-'Get Started'!$E10,1)&lt;&gt;AC54*IF($C17=TRUE,1-'Get Started'!$E10,1)),AE54*IF($C17=TRUE,1-'Get Started'!$E10,1)*(AE4-1)*AE14,0),IF(AE15="called",AE14*(AE60+AD60)/2*IF($C17=TRUE,1-'Get Started'!$E10,1),AE14*(AE85+AD85)/2*IF($C17=TRUE,1-'Get Started'!$E10,1))),0)</f>
        <v>122500</v>
      </c>
      <c r="AF41" s="37">
        <f>IFERROR(IF(AF15="committed",AF83*IF($C17=TRUE,1-'Get Started'!$E10,1)*AF14+IF(AND(AF4&lt;&gt;1,AF54*IF($C17=TRUE,1-'Get Started'!$E10,1)&lt;&gt;0,SUM($G54:AF54)*IF($C17=TRUE,1-'Get Started'!$E10,1)&lt;&gt;AD54*IF($C17=TRUE,1-'Get Started'!$E10,1)),AF54*IF($C17=TRUE,1-'Get Started'!$E10,1)*(AF4-1)*AF14,0),IF(AF15="called",AF14*(AF60+AE60)/2*IF($C17=TRUE,1-'Get Started'!$E10,1),AF14*(AF85+AE85)/2*IF($C17=TRUE,1-'Get Started'!$E10,1))),0)</f>
        <v>122500</v>
      </c>
      <c r="AG41" s="37">
        <f>IFERROR(IF(AG15="committed",AG83*IF($C17=TRUE,1-'Get Started'!$E10,1)*AG14+IF(AND(AG4&lt;&gt;1,AG54*IF($C17=TRUE,1-'Get Started'!$E10,1)&lt;&gt;0,SUM($G54:AG54)*IF($C17=TRUE,1-'Get Started'!$E10,1)&lt;&gt;AE54*IF($C17=TRUE,1-'Get Started'!$E10,1)),AG54*IF($C17=TRUE,1-'Get Started'!$E10,1)*(AG4-1)*AG14,0),IF(AG15="called",AG14*(AG60+AF60)/2*IF($C17=TRUE,1-'Get Started'!$E10,1),AG14*(AG85+AF85)/2*IF($C17=TRUE,1-'Get Started'!$E10,1))),0)</f>
        <v>122500</v>
      </c>
      <c r="AH41" s="37">
        <f>IFERROR(IF(AH15="committed",AH83*IF($C17=TRUE,1-'Get Started'!$E10,1)*AH14+IF(AND(AH4&lt;&gt;1,AH54*IF($C17=TRUE,1-'Get Started'!$E10,1)&lt;&gt;0,SUM($G54:AH54)*IF($C17=TRUE,1-'Get Started'!$E10,1)&lt;&gt;AF54*IF($C17=TRUE,1-'Get Started'!$E10,1)),AH54*IF($C17=TRUE,1-'Get Started'!$E10,1)*(AH4-1)*AH14,0),IF(AH15="called",AH14*(AH60+AG60)/2*IF($C17=TRUE,1-'Get Started'!$E10,1),AH14*(AH85+AG85)/2*IF($C17=TRUE,1-'Get Started'!$E10,1))),0)</f>
        <v>122500</v>
      </c>
      <c r="AI41" s="37">
        <f>IFERROR(IF(AI15="committed",AI83*IF($C17=TRUE,1-'Get Started'!$E10,1)*AI14+IF(AND(AI4&lt;&gt;1,AI54*IF($C17=TRUE,1-'Get Started'!$E10,1)&lt;&gt;0,SUM($G54:AI54)*IF($C17=TRUE,1-'Get Started'!$E10,1)&lt;&gt;AG54*IF($C17=TRUE,1-'Get Started'!$E10,1)),AI54*IF($C17=TRUE,1-'Get Started'!$E10,1)*(AI4-1)*AI14,0),IF(AI15="called",AI14*(AI60+AH60)/2*IF($C17=TRUE,1-'Get Started'!$E10,1),AI14*(AI85+AH85)/2*IF($C17=TRUE,1-'Get Started'!$E10,1))),0)</f>
        <v>122500</v>
      </c>
      <c r="AJ41" s="37">
        <f>IFERROR(IF(AJ15="committed",AJ83*IF($C17=TRUE,1-'Get Started'!$E10,1)*AJ14+IF(AND(AJ4&lt;&gt;1,AJ54*IF($C17=TRUE,1-'Get Started'!$E10,1)&lt;&gt;0,SUM($G54:AJ54)*IF($C17=TRUE,1-'Get Started'!$E10,1)&lt;&gt;AH54*IF($C17=TRUE,1-'Get Started'!$E10,1)),AJ54*IF($C17=TRUE,1-'Get Started'!$E10,1)*(AJ4-1)*AJ14,0),IF(AJ15="called",AJ14*(AJ60+AI60)/2*IF($C17=TRUE,1-'Get Started'!$E10,1),AJ14*(AJ85+AI85)/2*IF($C17=TRUE,1-'Get Started'!$E10,1))),0)</f>
        <v>122500</v>
      </c>
      <c r="AK41" s="37">
        <f>IFERROR(IF(AK15="committed",AK83*IF($C17=TRUE,1-'Get Started'!$E10,1)*AK14+IF(AND(AK4&lt;&gt;1,AK54*IF($C17=TRUE,1-'Get Started'!$E10,1)&lt;&gt;0,SUM($G54:AK54)*IF($C17=TRUE,1-'Get Started'!$E10,1)&lt;&gt;AI54*IF($C17=TRUE,1-'Get Started'!$E10,1)),AK54*IF($C17=TRUE,1-'Get Started'!$E10,1)*(AK4-1)*AK14,0),IF(AK15="called",AK14*(AK60+AJ60)/2*IF($C17=TRUE,1-'Get Started'!$E10,1),AK14*(AK85+AJ85)/2*IF($C17=TRUE,1-'Get Started'!$E10,1))),0)</f>
        <v>122500</v>
      </c>
      <c r="AL41" s="37">
        <f>IFERROR(IF(AL15="committed",AL83*IF($C17=TRUE,1-'Get Started'!$E10,1)*AL14+IF(AND(AL4&lt;&gt;1,AL54*IF($C17=TRUE,1-'Get Started'!$E10,1)&lt;&gt;0,SUM($G54:AL54)*IF($C17=TRUE,1-'Get Started'!$E10,1)&lt;&gt;AJ54*IF($C17=TRUE,1-'Get Started'!$E10,1)),AL54*IF($C17=TRUE,1-'Get Started'!$E10,1)*(AL4-1)*AL14,0),IF(AL15="called",AL14*(AL60+AK60)/2*IF($C17=TRUE,1-'Get Started'!$E10,1),AL14*(AL85+AK85)/2*IF($C17=TRUE,1-'Get Started'!$E10,1))),0)</f>
        <v>122500</v>
      </c>
      <c r="AM41" s="37">
        <f>IFERROR(IF(AM15="committed",AM83*IF($C17=TRUE,1-'Get Started'!$E10,1)*AM14+IF(AND(AM4&lt;&gt;1,AM54*IF($C17=TRUE,1-'Get Started'!$E10,1)&lt;&gt;0,SUM($G54:AM54)*IF($C17=TRUE,1-'Get Started'!$E10,1)&lt;&gt;AK54*IF($C17=TRUE,1-'Get Started'!$E10,1)),AM54*IF($C17=TRUE,1-'Get Started'!$E10,1)*(AM4-1)*AM14,0),IF(AM15="called",AM14*(AM60+AL60)/2*IF($C17=TRUE,1-'Get Started'!$E10,1),AM14*(AM85+AL85)/2*IF($C17=TRUE,1-'Get Started'!$E10,1))),0)</f>
        <v>122500</v>
      </c>
      <c r="AN41" s="37">
        <f>IFERROR(IF(AN15="committed",AN83*IF($C17=TRUE,1-'Get Started'!$E10,1)*AN14+IF(AND(AN4&lt;&gt;1,AN54*IF($C17=TRUE,1-'Get Started'!$E10,1)&lt;&gt;0,SUM($G54:AN54)*IF($C17=TRUE,1-'Get Started'!$E10,1)&lt;&gt;AL54*IF($C17=TRUE,1-'Get Started'!$E10,1)),AN54*IF($C17=TRUE,1-'Get Started'!$E10,1)*(AN4-1)*AN14,0),IF(AN15="called",AN14*(AN60+AM60)/2*IF($C17=TRUE,1-'Get Started'!$E10,1),AN14*(AN85+AM85)/2*IF($C17=TRUE,1-'Get Started'!$E10,1))),0)</f>
        <v>122500</v>
      </c>
      <c r="AO41" s="37">
        <f>IFERROR(IF(AO15="committed",AO83*IF($C17=TRUE,1-'Get Started'!$E10,1)*AO14+IF(AND(AO4&lt;&gt;1,AO54*IF($C17=TRUE,1-'Get Started'!$E10,1)&lt;&gt;0,SUM($G54:AO54)*IF($C17=TRUE,1-'Get Started'!$E10,1)&lt;&gt;AM54*IF($C17=TRUE,1-'Get Started'!$E10,1)),AO54*IF($C17=TRUE,1-'Get Started'!$E10,1)*(AO4-1)*AO14,0),IF(AO15="called",AO14*(AO60+AN60)/2*IF($C17=TRUE,1-'Get Started'!$E10,1),AO14*(AO85+AN85)/2*IF($C17=TRUE,1-'Get Started'!$E10,1))),0)</f>
        <v>122500</v>
      </c>
      <c r="AP41" s="37">
        <f>IFERROR(IF(AP15="committed",AP83*IF($C17=TRUE,1-'Get Started'!$E10,1)*AP14+IF(AND(AP4&lt;&gt;1,AP54*IF($C17=TRUE,1-'Get Started'!$E10,1)&lt;&gt;0,SUM($G54:AP54)*IF($C17=TRUE,1-'Get Started'!$E10,1)&lt;&gt;AN54*IF($C17=TRUE,1-'Get Started'!$E10,1)),AP54*IF($C17=TRUE,1-'Get Started'!$E10,1)*(AP4-1)*AP14,0),IF(AP15="called",AP14*(AP60+AO60)/2*IF($C17=TRUE,1-'Get Started'!$E10,1),AP14*(AP85+AO85)/2*IF($C17=TRUE,1-'Get Started'!$E10,1))),0)</f>
        <v>122500</v>
      </c>
      <c r="AQ41" s="37">
        <f>IFERROR(IF(AQ15="committed",AQ83*IF($C17=TRUE,1-'Get Started'!$E10,1)*AQ14+IF(AND(AQ4&lt;&gt;1,AQ54*IF($C17=TRUE,1-'Get Started'!$E10,1)&lt;&gt;0,SUM($G54:AQ54)*IF($C17=TRUE,1-'Get Started'!$E10,1)&lt;&gt;AO54*IF($C17=TRUE,1-'Get Started'!$E10,1)),AQ54*IF($C17=TRUE,1-'Get Started'!$E10,1)*(AQ4-1)*AQ14,0),IF(AQ15="called",AQ14*(AQ60+AP60)/2*IF($C17=TRUE,1-'Get Started'!$E10,1),AQ14*(AQ85+AP85)/2*IF($C17=TRUE,1-'Get Started'!$E10,1))),0)</f>
        <v>122500</v>
      </c>
      <c r="AR41" s="37">
        <f>IFERROR(IF(AR15="committed",AR83*IF($C17=TRUE,1-'Get Started'!$E10,1)*AR14+IF(AND(AR4&lt;&gt;1,AR54*IF($C17=TRUE,1-'Get Started'!$E10,1)&lt;&gt;0,SUM($G54:AR54)*IF($C17=TRUE,1-'Get Started'!$E10,1)&lt;&gt;AP54*IF($C17=TRUE,1-'Get Started'!$E10,1)),AR54*IF($C17=TRUE,1-'Get Started'!$E10,1)*(AR4-1)*AR14,0),IF(AR15="called",AR14*(AR60+AQ60)/2*IF($C17=TRUE,1-'Get Started'!$E10,1),AR14*(AR85+AQ85)/2*IF($C17=TRUE,1-'Get Started'!$E10,1))),0)</f>
        <v>122500</v>
      </c>
      <c r="AS41" s="37">
        <f>IFERROR(IF(AS15="committed",AS83*IF($C17=TRUE,1-'Get Started'!$E10,1)*AS14+IF(AND(AS4&lt;&gt;1,AS54*IF($C17=TRUE,1-'Get Started'!$E10,1)&lt;&gt;0,SUM($G54:AS54)*IF($C17=TRUE,1-'Get Started'!$E10,1)&lt;&gt;AQ54*IF($C17=TRUE,1-'Get Started'!$E10,1)),AS54*IF($C17=TRUE,1-'Get Started'!$E10,1)*(AS4-1)*AS14,0),IF(AS15="called",AS14*(AS60+AR60)/2*IF($C17=TRUE,1-'Get Started'!$E10,1),AS14*(AS85+AR85)/2*IF($C17=TRUE,1-'Get Started'!$E10,1))),0)</f>
        <v>122500</v>
      </c>
      <c r="AT41" s="37">
        <f>IFERROR(IF(AT15="committed",AT83*IF($C17=TRUE,1-'Get Started'!$E10,1)*AT14+IF(AND(AT4&lt;&gt;1,AT54*IF($C17=TRUE,1-'Get Started'!$E10,1)&lt;&gt;0,SUM($G54:AT54)*IF($C17=TRUE,1-'Get Started'!$E10,1)&lt;&gt;AR54*IF($C17=TRUE,1-'Get Started'!$E10,1)),AT54*IF($C17=TRUE,1-'Get Started'!$E10,1)*(AT4-1)*AT14,0),IF(AT15="called",AT14*(AT60+AS60)/2*IF($C17=TRUE,1-'Get Started'!$E10,1),AT14*(AT85+AS85)/2*IF($C17=TRUE,1-'Get Started'!$E10,1))),0)</f>
        <v>122500</v>
      </c>
      <c r="AU41" s="37">
        <f>IFERROR(IF(AU15="committed",AU83*IF($C17=TRUE,1-'Get Started'!$E10,1)*AU14+IF(AND(AU4&lt;&gt;1,AU54*IF($C17=TRUE,1-'Get Started'!$E10,1)&lt;&gt;0,SUM($G54:AU54)*IF($C17=TRUE,1-'Get Started'!$E10,1)&lt;&gt;AS54*IF($C17=TRUE,1-'Get Started'!$E10,1)),AU54*IF($C17=TRUE,1-'Get Started'!$E10,1)*(AU4-1)*AU14,0),IF(AU15="called",AU14*(AU60+AT60)/2*IF($C17=TRUE,1-'Get Started'!$E10,1),AU14*(AU85+AT85)/2*IF($C17=TRUE,1-'Get Started'!$E10,1))),0)</f>
        <v>0</v>
      </c>
      <c r="AV41" s="37">
        <f>IFERROR(IF(AV15="committed",AV83*IF($C17=TRUE,1-'Get Started'!$E10,1)*AV14+IF(AND(AV4&lt;&gt;1,AV54*IF($C17=TRUE,1-'Get Started'!$E10,1)&lt;&gt;0,SUM($G54:AV54)*IF($C17=TRUE,1-'Get Started'!$E10,1)&lt;&gt;AT54*IF($C17=TRUE,1-'Get Started'!$E10,1)),AV54*IF($C17=TRUE,1-'Get Started'!$E10,1)*(AV4-1)*AV14,0),IF(AV15="called",AV14*(AV60+AU60)/2*IF($C17=TRUE,1-'Get Started'!$E10,1),AV14*(AV85+AU85)/2*IF($C17=TRUE,1-'Get Started'!$E10,1))),0)</f>
        <v>0</v>
      </c>
      <c r="AW41" s="37">
        <f>IFERROR(IF(AW15="committed",AW83*IF($C17=TRUE,1-'Get Started'!$E10,1)*AW14+IF(AND(AW4&lt;&gt;1,AW54*IF($C17=TRUE,1-'Get Started'!$E10,1)&lt;&gt;0,SUM($G54:AW54)*IF($C17=TRUE,1-'Get Started'!$E10,1)&lt;&gt;AU54*IF($C17=TRUE,1-'Get Started'!$E10,1)),AW54*IF($C17=TRUE,1-'Get Started'!$E10,1)*(AW4-1)*AW14,0),IF(AW15="called",AW14*(AW60+AV60)/2*IF($C17=TRUE,1-'Get Started'!$E10,1),AW14*(AW85+AV85)/2*IF($C17=TRUE,1-'Get Started'!$E10,1))),0)</f>
        <v>0</v>
      </c>
      <c r="AX41" s="37">
        <f>IFERROR(IF(AX15="committed",AX83*IF($C17=TRUE,1-'Get Started'!$E10,1)*AX14+IF(AND(AX4&lt;&gt;1,AX54*IF($C17=TRUE,1-'Get Started'!$E10,1)&lt;&gt;0,SUM($G54:AX54)*IF($C17=TRUE,1-'Get Started'!$E10,1)&lt;&gt;AV54*IF($C17=TRUE,1-'Get Started'!$E10,1)),AX54*IF($C17=TRUE,1-'Get Started'!$E10,1)*(AX4-1)*AX14,0),IF(AX15="called",AX14*(AX60+AW60)/2*IF($C17=TRUE,1-'Get Started'!$E10,1),AX14*(AX85+AW85)/2*IF($C17=TRUE,1-'Get Started'!$E10,1))),0)</f>
        <v>0</v>
      </c>
      <c r="AY41" s="37">
        <f>IFERROR(IF(AY15="committed",AY83*IF($C17=TRUE,1-'Get Started'!$E10,1)*AY14+IF(AND(AY4&lt;&gt;1,AY54*IF($C17=TRUE,1-'Get Started'!$E10,1)&lt;&gt;0,SUM($G54:AY54)*IF($C17=TRUE,1-'Get Started'!$E10,1)&lt;&gt;AW54*IF($C17=TRUE,1-'Get Started'!$E10,1)),AY54*IF($C17=TRUE,1-'Get Started'!$E10,1)*(AY4-1)*AY14,0),IF(AY15="called",AY14*(AY60+AX60)/2*IF($C17=TRUE,1-'Get Started'!$E10,1),AY14*(AY85+AX85)/2*IF($C17=TRUE,1-'Get Started'!$E10,1))),0)</f>
        <v>0</v>
      </c>
      <c r="AZ41" s="37">
        <f>IFERROR(IF(AZ15="committed",AZ83*IF($C17=TRUE,1-'Get Started'!$E10,1)*AZ14+IF(AND(AZ4&lt;&gt;1,AZ54*IF($C17=TRUE,1-'Get Started'!$E10,1)&lt;&gt;0,SUM($G54:AZ54)*IF($C17=TRUE,1-'Get Started'!$E10,1)&lt;&gt;AX54*IF($C17=TRUE,1-'Get Started'!$E10,1)),AZ54*IF($C17=TRUE,1-'Get Started'!$E10,1)*(AZ4-1)*AZ14,0),IF(AZ15="called",AZ14*(AZ60+AY60)/2*IF($C17=TRUE,1-'Get Started'!$E10,1),AZ14*(AZ85+AY85)/2*IF($C17=TRUE,1-'Get Started'!$E10,1))),0)</f>
        <v>0</v>
      </c>
      <c r="BA41" s="37">
        <f>IFERROR(IF(BA15="committed",BA83*IF($C17=TRUE,1-'Get Started'!$E10,1)*BA14+IF(AND(BA4&lt;&gt;1,BA54*IF($C17=TRUE,1-'Get Started'!$E10,1)&lt;&gt;0,SUM($G54:BA54)*IF($C17=TRUE,1-'Get Started'!$E10,1)&lt;&gt;AY54*IF($C17=TRUE,1-'Get Started'!$E10,1)),BA54*IF($C17=TRUE,1-'Get Started'!$E10,1)*(BA4-1)*BA14,0),IF(BA15="called",BA14*(BA60+AZ60)/2*IF($C17=TRUE,1-'Get Started'!$E10,1),BA14*(BA85+AZ85)/2*IF($C17=TRUE,1-'Get Started'!$E10,1))),0)</f>
        <v>0</v>
      </c>
      <c r="BB41" s="37">
        <f>IFERROR(IF(BB15="committed",BB83*IF($C17=TRUE,1-'Get Started'!$E10,1)*BB14+IF(AND(BB4&lt;&gt;1,BB54*IF($C17=TRUE,1-'Get Started'!$E10,1)&lt;&gt;0,SUM($G54:BB54)*IF($C17=TRUE,1-'Get Started'!$E10,1)&lt;&gt;AZ54*IF($C17=TRUE,1-'Get Started'!$E10,1)),BB54*IF($C17=TRUE,1-'Get Started'!$E10,1)*(BB4-1)*BB14,0),IF(BB15="called",BB14*(BB60+BA60)/2*IF($C17=TRUE,1-'Get Started'!$E10,1),BB14*(BB85+BA85)/2*IF($C17=TRUE,1-'Get Started'!$E10,1))),0)</f>
        <v>0</v>
      </c>
      <c r="BC41" s="37">
        <f>IFERROR(IF(BC15="committed",BC83*IF($C17=TRUE,1-'Get Started'!$E10,1)*BC14+IF(AND(BC4&lt;&gt;1,BC54*IF($C17=TRUE,1-'Get Started'!$E10,1)&lt;&gt;0,SUM($G54:BC54)*IF($C17=TRUE,1-'Get Started'!$E10,1)&lt;&gt;BA54*IF($C17=TRUE,1-'Get Started'!$E10,1)),BC54*IF($C17=TRUE,1-'Get Started'!$E10,1)*(BC4-1)*BC14,0),IF(BC15="called",BC14*(BC60+BB60)/2*IF($C17=TRUE,1-'Get Started'!$E10,1),BC14*(BC85+BB85)/2*IF($C17=TRUE,1-'Get Started'!$E10,1))),0)</f>
        <v>0</v>
      </c>
      <c r="BD41" s="37">
        <f>IFERROR(IF(BD15="committed",BD83*IF($C17=TRUE,1-'Get Started'!$E10,1)*BD14+IF(AND(BD4&lt;&gt;1,BD54*IF($C17=TRUE,1-'Get Started'!$E10,1)&lt;&gt;0,SUM($G54:BD54)*IF($C17=TRUE,1-'Get Started'!$E10,1)&lt;&gt;BB54*IF($C17=TRUE,1-'Get Started'!$E10,1)),BD54*IF($C17=TRUE,1-'Get Started'!$E10,1)*(BD4-1)*BD14,0),IF(BD15="called",BD14*(BD60+BC60)/2*IF($C17=TRUE,1-'Get Started'!$E10,1),BD14*(BD85+BC85)/2*IF($C17=TRUE,1-'Get Started'!$E10,1))),0)</f>
        <v>0</v>
      </c>
      <c r="BE41" s="37">
        <f>IFERROR(IF(BE15="committed",BE83*IF($C17=TRUE,1-'Get Started'!$E10,1)*BE14+IF(AND(BE4&lt;&gt;1,BE54*IF($C17=TRUE,1-'Get Started'!$E10,1)&lt;&gt;0,SUM($G54:BE54)*IF($C17=TRUE,1-'Get Started'!$E10,1)&lt;&gt;BC54*IF($C17=TRUE,1-'Get Started'!$E10,1)),BE54*IF($C17=TRUE,1-'Get Started'!$E10,1)*(BE4-1)*BE14,0),IF(BE15="called",BE14*(BE60+BD60)/2*IF($C17=TRUE,1-'Get Started'!$E10,1),BE14*(BE85+BD85)/2*IF($C17=TRUE,1-'Get Started'!$E10,1))),0)</f>
        <v>0</v>
      </c>
      <c r="BF41" s="37">
        <f>IFERROR(IF(BF15="committed",BF83*IF($C17=TRUE,1-'Get Started'!$E10,1)*BF14+IF(AND(BF4&lt;&gt;1,BF54*IF($C17=TRUE,1-'Get Started'!$E10,1)&lt;&gt;0,SUM($G54:BF54)*IF($C17=TRUE,1-'Get Started'!$E10,1)&lt;&gt;BD54*IF($C17=TRUE,1-'Get Started'!$E10,1)),BF54*IF($C17=TRUE,1-'Get Started'!$E10,1)*(BF4-1)*BF14,0),IF(BF15="called",BF14*(BF60+BE60)/2*IF($C17=TRUE,1-'Get Started'!$E10,1),BF14*(BF85+BE85)/2*IF($C17=TRUE,1-'Get Started'!$E10,1))),0)</f>
        <v>0</v>
      </c>
      <c r="BG41" s="37">
        <f>IFERROR(IF(BG15="committed",BG83*IF($C17=TRUE,1-'Get Started'!$E10,1)*BG14+IF(AND(BG4&lt;&gt;1,BG54*IF($C17=TRUE,1-'Get Started'!$E10,1)&lt;&gt;0,SUM($G54:BG54)*IF($C17=TRUE,1-'Get Started'!$E10,1)&lt;&gt;BE54*IF($C17=TRUE,1-'Get Started'!$E10,1)),BG54*IF($C17=TRUE,1-'Get Started'!$E10,1)*(BG4-1)*BG14,0),IF(BG15="called",BG14*(BG60+BF60)/2*IF($C17=TRUE,1-'Get Started'!$E10,1),BG14*(BG85+BF85)/2*IF($C17=TRUE,1-'Get Started'!$E10,1))),0)</f>
        <v>0</v>
      </c>
      <c r="BH41" s="37">
        <f>IFERROR(IF(BH15="committed",BH83*IF($C17=TRUE,1-'Get Started'!$E10,1)*BH14+IF(AND(BH4&lt;&gt;1,BH54*IF($C17=TRUE,1-'Get Started'!$E10,1)&lt;&gt;0,SUM($G54:BH54)*IF($C17=TRUE,1-'Get Started'!$E10,1)&lt;&gt;BF54*IF($C17=TRUE,1-'Get Started'!$E10,1)),BH54*IF($C17=TRUE,1-'Get Started'!$E10,1)*(BH4-1)*BH14,0),IF(BH15="called",BH14*(BH60+BG60)/2*IF($C17=TRUE,1-'Get Started'!$E10,1),BH14*(BH85+BG85)/2*IF($C17=TRUE,1-'Get Started'!$E10,1))),0)</f>
        <v>0</v>
      </c>
      <c r="BI41" s="37">
        <f>IFERROR(IF(BI15="committed",BI83*IF($C17=TRUE,1-'Get Started'!$E10,1)*BI14+IF(AND(BI4&lt;&gt;1,BI54*IF($C17=TRUE,1-'Get Started'!$E10,1)&lt;&gt;0,SUM($G54:BI54)*IF($C17=TRUE,1-'Get Started'!$E10,1)&lt;&gt;BG54*IF($C17=TRUE,1-'Get Started'!$E10,1)),BI54*IF($C17=TRUE,1-'Get Started'!$E10,1)*(BI4-1)*BI14,0),IF(BI15="called",BI14*(BI60+BH60)/2*IF($C17=TRUE,1-'Get Started'!$E10,1),BI14*(BI85+BH85)/2*IF($C17=TRUE,1-'Get Started'!$E10,1))),0)</f>
        <v>0</v>
      </c>
      <c r="BJ41" s="37">
        <f>IFERROR(IF(BJ15="committed",BJ83*IF($C17=TRUE,1-'Get Started'!$E10,1)*BJ14+IF(AND(BJ4&lt;&gt;1,BJ54*IF($C17=TRUE,1-'Get Started'!$E10,1)&lt;&gt;0,SUM($G54:BJ54)*IF($C17=TRUE,1-'Get Started'!$E10,1)&lt;&gt;BH54*IF($C17=TRUE,1-'Get Started'!$E10,1)),BJ54*IF($C17=TRUE,1-'Get Started'!$E10,1)*(BJ4-1)*BJ14,0),IF(BJ15="called",BJ14*(BJ60+BI60)/2*IF($C17=TRUE,1-'Get Started'!$E10,1),BJ14*(BJ85+BI85)/2*IF($C17=TRUE,1-'Get Started'!$E10,1))),0)</f>
        <v>0</v>
      </c>
      <c r="BK41" s="37">
        <f>IFERROR(IF(BK15="committed",BK83*IF($C17=TRUE,1-'Get Started'!$E10,1)*BK14+IF(AND(BK4&lt;&gt;1,BK54*IF($C17=TRUE,1-'Get Started'!$E10,1)&lt;&gt;0,SUM($G54:BK54)*IF($C17=TRUE,1-'Get Started'!$E10,1)&lt;&gt;BI54*IF($C17=TRUE,1-'Get Started'!$E10,1)),BK54*IF($C17=TRUE,1-'Get Started'!$E10,1)*(BK4-1)*BK14,0),IF(BK15="called",BK14*(BK60+BJ60)/2*IF($C17=TRUE,1-'Get Started'!$E10,1),BK14*(BK85+BJ85)/2*IF($C17=TRUE,1-'Get Started'!$E10,1))),0)</f>
        <v>0</v>
      </c>
      <c r="BL41" s="37">
        <f>IFERROR(IF(BL15="committed",BL83*IF($C17=TRUE,1-'Get Started'!$E10,1)*BL14+IF(AND(BL4&lt;&gt;1,BL54*IF($C17=TRUE,1-'Get Started'!$E10,1)&lt;&gt;0,SUM($G54:BL54)*IF($C17=TRUE,1-'Get Started'!$E10,1)&lt;&gt;BJ54*IF($C17=TRUE,1-'Get Started'!$E10,1)),BL54*IF($C17=TRUE,1-'Get Started'!$E10,1)*(BL4-1)*BL14,0),IF(BL15="called",BL14*(BL60+BK60)/2*IF($C17=TRUE,1-'Get Started'!$E10,1),BL14*(BL85+BK85)/2*IF($C17=TRUE,1-'Get Started'!$E10,1))),0)</f>
        <v>0</v>
      </c>
      <c r="BM41" s="37">
        <f>IFERROR(IF(BM15="committed",BM83*IF($C17=TRUE,1-'Get Started'!$E10,1)*BM14+IF(AND(BM4&lt;&gt;1,BM54*IF($C17=TRUE,1-'Get Started'!$E10,1)&lt;&gt;0,SUM($G54:BM54)*IF($C17=TRUE,1-'Get Started'!$E10,1)&lt;&gt;BK54*IF($C17=TRUE,1-'Get Started'!$E10,1)),BM54*IF($C17=TRUE,1-'Get Started'!$E10,1)*(BM4-1)*BM14,0),IF(BM15="called",BM14*(BM60+BL60)/2*IF($C17=TRUE,1-'Get Started'!$E10,1),BM14*(BM85+BL85)/2*IF($C17=TRUE,1-'Get Started'!$E10,1))),0)</f>
        <v>0</v>
      </c>
      <c r="BN41" s="37">
        <f>IFERROR(IF(BN15="committed",BN83*IF($C17=TRUE,1-'Get Started'!$E10,1)*BN14+IF(AND(BN4&lt;&gt;1,BN54*IF($C17=TRUE,1-'Get Started'!$E10,1)&lt;&gt;0,SUM($G54:BN54)*IF($C17=TRUE,1-'Get Started'!$E10,1)&lt;&gt;BL54*IF($C17=TRUE,1-'Get Started'!$E10,1)),BN54*IF($C17=TRUE,1-'Get Started'!$E10,1)*(BN4-1)*BN14,0),IF(BN15="called",BN14*(BN60+BM60)/2*IF($C17=TRUE,1-'Get Started'!$E10,1),BN14*(BN85+BM85)/2*IF($C17=TRUE,1-'Get Started'!$E10,1))),0)</f>
        <v>0</v>
      </c>
      <c r="BO41" s="37">
        <f>IFERROR(IF(BO15="committed",BO83*IF($C17=TRUE,1-'Get Started'!$E10,1)*BO14+IF(AND(BO4&lt;&gt;1,BO54*IF($C17=TRUE,1-'Get Started'!$E10,1)&lt;&gt;0,SUM($G54:BO54)*IF($C17=TRUE,1-'Get Started'!$E10,1)&lt;&gt;BM54*IF($C17=TRUE,1-'Get Started'!$E10,1)),BO54*IF($C17=TRUE,1-'Get Started'!$E10,1)*(BO4-1)*BO14,0),IF(BO15="called",BO14*(BO60+BN60)/2*IF($C17=TRUE,1-'Get Started'!$E10,1),BO14*(BO85+BN85)/2*IF($C17=TRUE,1-'Get Started'!$E10,1))),0)</f>
        <v>0</v>
      </c>
      <c r="BP41" s="37">
        <f>IFERROR(IF(BP15="committed",BP83*IF($C17=TRUE,1-'Get Started'!$E10,1)*BP14+IF(AND(BP4&lt;&gt;1,BP54*IF($C17=TRUE,1-'Get Started'!$E10,1)&lt;&gt;0,SUM($G54:BP54)*IF($C17=TRUE,1-'Get Started'!$E10,1)&lt;&gt;BN54*IF($C17=TRUE,1-'Get Started'!$E10,1)),BP54*IF($C17=TRUE,1-'Get Started'!$E10,1)*(BP4-1)*BP14,0),IF(BP15="called",BP14*(BP60+BO60)/2*IF($C17=TRUE,1-'Get Started'!$E10,1),BP14*(BP85+BO85)/2*IF($C17=TRUE,1-'Get Started'!$E10,1))),0)</f>
        <v>0</v>
      </c>
      <c r="BQ41" s="37">
        <f>IFERROR(IF(BQ15="committed",BQ83*IF($C17=TRUE,1-'Get Started'!$E10,1)*BQ14+IF(AND(BQ4&lt;&gt;1,BQ54*IF($C17=TRUE,1-'Get Started'!$E10,1)&lt;&gt;0,SUM($G54:BQ54)*IF($C17=TRUE,1-'Get Started'!$E10,1)&lt;&gt;BO54*IF($C17=TRUE,1-'Get Started'!$E10,1)),BQ54*IF($C17=TRUE,1-'Get Started'!$E10,1)*(BQ4-1)*BQ14,0),IF(BQ15="called",BQ14*(BQ60+BP60)/2*IF($C17=TRUE,1-'Get Started'!$E10,1),BQ14*(BQ85+BP85)/2*IF($C17=TRUE,1-'Get Started'!$E10,1))),0)</f>
        <v>0</v>
      </c>
      <c r="BR41" s="37">
        <f>IFERROR(IF(BR15="committed",BR83*IF($C17=TRUE,1-'Get Started'!$E10,1)*BR14+IF(AND(BR4&lt;&gt;1,BR54*IF($C17=TRUE,1-'Get Started'!$E10,1)&lt;&gt;0,SUM($G54:BR54)*IF($C17=TRUE,1-'Get Started'!$E10,1)&lt;&gt;BP54*IF($C17=TRUE,1-'Get Started'!$E10,1)),BR54*IF($C17=TRUE,1-'Get Started'!$E10,1)*(BR4-1)*BR14,0),IF(BR15="called",BR14*(BR60+BQ60)/2*IF($C17=TRUE,1-'Get Started'!$E10,1),BR14*(BR85+BQ85)/2*IF($C17=TRUE,1-'Get Started'!$E10,1))),0)</f>
        <v>0</v>
      </c>
      <c r="BS41" s="37">
        <f>IFERROR(IF(BS15="committed",BS83*IF($C17=TRUE,1-'Get Started'!$E10,1)*BS14+IF(AND(BS4&lt;&gt;1,BS54*IF($C17=TRUE,1-'Get Started'!$E10,1)&lt;&gt;0,SUM($G54:BS54)*IF($C17=TRUE,1-'Get Started'!$E10,1)&lt;&gt;BQ54*IF($C17=TRUE,1-'Get Started'!$E10,1)),BS54*IF($C17=TRUE,1-'Get Started'!$E10,1)*(BS4-1)*BS14,0),IF(BS15="called",BS14*(BS60+BR60)/2*IF($C17=TRUE,1-'Get Started'!$E10,1),BS14*(BS85+BR85)/2*IF($C17=TRUE,1-'Get Started'!$E10,1))),0)</f>
        <v>0</v>
      </c>
      <c r="BT41" s="37">
        <f>IFERROR(IF(BT15="committed",BT83*IF($C17=TRUE,1-'Get Started'!$E10,1)*BT14+IF(AND(BT4&lt;&gt;1,BT54*IF($C17=TRUE,1-'Get Started'!$E10,1)&lt;&gt;0,SUM($G54:BT54)*IF($C17=TRUE,1-'Get Started'!$E10,1)&lt;&gt;BR54*IF($C17=TRUE,1-'Get Started'!$E10,1)),BT54*IF($C17=TRUE,1-'Get Started'!$E10,1)*(BT4-1)*BT14,0),IF(BT15="called",BT14*(BT60+BS60)/2*IF($C17=TRUE,1-'Get Started'!$E10,1),BT14*(BT85+BS85)/2*IF($C17=TRUE,1-'Get Started'!$E10,1))),0)</f>
        <v>0</v>
      </c>
      <c r="BU41" s="37">
        <f>IFERROR(IF(BU15="committed",BU83*IF($C17=TRUE,1-'Get Started'!$E10,1)*BU14+IF(AND(BU4&lt;&gt;1,BU54*IF($C17=TRUE,1-'Get Started'!$E10,1)&lt;&gt;0,SUM($G54:BU54)*IF($C17=TRUE,1-'Get Started'!$E10,1)&lt;&gt;BS54*IF($C17=TRUE,1-'Get Started'!$E10,1)),BU54*IF($C17=TRUE,1-'Get Started'!$E10,1)*(BU4-1)*BU14,0),IF(BU15="called",BU14*(BU60+BT60)/2*IF($C17=TRUE,1-'Get Started'!$E10,1),BU14*(BU85+BT85)/2*IF($C17=TRUE,1-'Get Started'!$E10,1))),0)</f>
        <v>0</v>
      </c>
      <c r="BV41" s="37">
        <f>IFERROR(IF(BV15="committed",BV83*IF($C17=TRUE,1-'Get Started'!$E10,1)*BV14+IF(AND(BV4&lt;&gt;1,BV54*IF($C17=TRUE,1-'Get Started'!$E10,1)&lt;&gt;0,SUM($G54:BV54)*IF($C17=TRUE,1-'Get Started'!$E10,1)&lt;&gt;BT54*IF($C17=TRUE,1-'Get Started'!$E10,1)),BV54*IF($C17=TRUE,1-'Get Started'!$E10,1)*(BV4-1)*BV14,0),IF(BV15="called",BV14*(BV60+BU60)/2*IF($C17=TRUE,1-'Get Started'!$E10,1),BV14*(BV85+BU85)/2*IF($C17=TRUE,1-'Get Started'!$E10,1))),0)</f>
        <v>0</v>
      </c>
      <c r="BW41" s="37">
        <f>IFERROR(IF(BW15="committed",BW83*IF($C17=TRUE,1-'Get Started'!$E10,1)*BW14+IF(AND(BW4&lt;&gt;1,BW54*IF($C17=TRUE,1-'Get Started'!$E10,1)&lt;&gt;0,SUM($G54:BW54)*IF($C17=TRUE,1-'Get Started'!$E10,1)&lt;&gt;BU54*IF($C17=TRUE,1-'Get Started'!$E10,1)),BW54*IF($C17=TRUE,1-'Get Started'!$E10,1)*(BW4-1)*BW14,0),IF(BW15="called",BW14*(BW60+BV60)/2*IF($C17=TRUE,1-'Get Started'!$E10,1),BW14*(BW85+BV85)/2*IF($C17=TRUE,1-'Get Started'!$E10,1))),0)</f>
        <v>0</v>
      </c>
      <c r="BX41" s="37">
        <f>IFERROR(IF(BX15="committed",BX83*IF($C17=TRUE,1-'Get Started'!$E10,1)*BX14+IF(AND(BX4&lt;&gt;1,BX54*IF($C17=TRUE,1-'Get Started'!$E10,1)&lt;&gt;0,SUM($G54:BX54)*IF($C17=TRUE,1-'Get Started'!$E10,1)&lt;&gt;BV54*IF($C17=TRUE,1-'Get Started'!$E10,1)),BX54*IF($C17=TRUE,1-'Get Started'!$E10,1)*(BX4-1)*BX14,0),IF(BX15="called",BX14*(BX60+BW60)/2*IF($C17=TRUE,1-'Get Started'!$E10,1),BX14*(BX85+BW85)/2*IF($C17=TRUE,1-'Get Started'!$E10,1))),0)</f>
        <v>0</v>
      </c>
      <c r="BY41" s="37">
        <f>IFERROR(IF(BY15="committed",BY83*IF($C17=TRUE,1-'Get Started'!$E10,1)*BY14+IF(AND(BY4&lt;&gt;1,BY54*IF($C17=TRUE,1-'Get Started'!$E10,1)&lt;&gt;0,SUM($G54:BY54)*IF($C17=TRUE,1-'Get Started'!$E10,1)&lt;&gt;BW54*IF($C17=TRUE,1-'Get Started'!$E10,1)),BY54*IF($C17=TRUE,1-'Get Started'!$E10,1)*(BY4-1)*BY14,0),IF(BY15="called",BY14*(BY60+BX60)/2*IF($C17=TRUE,1-'Get Started'!$E10,1),BY14*(BY85+BX85)/2*IF($C17=TRUE,1-'Get Started'!$E10,1))),0)</f>
        <v>0</v>
      </c>
      <c r="BZ41" s="37">
        <f>IFERROR(IF(BZ15="committed",BZ83*IF($C17=TRUE,1-'Get Started'!$E10,1)*BZ14+IF(AND(BZ4&lt;&gt;1,BZ54*IF($C17=TRUE,1-'Get Started'!$E10,1)&lt;&gt;0,SUM($G54:BZ54)*IF($C17=TRUE,1-'Get Started'!$E10,1)&lt;&gt;BX54*IF($C17=TRUE,1-'Get Started'!$E10,1)),BZ54*IF($C17=TRUE,1-'Get Started'!$E10,1)*(BZ4-1)*BZ14,0),IF(BZ15="called",BZ14*(BZ60+BY60)/2*IF($C17=TRUE,1-'Get Started'!$E10,1),BZ14*(BZ85+BY85)/2*IF($C17=TRUE,1-'Get Started'!$E10,1))),0)</f>
        <v>0</v>
      </c>
      <c r="CA41" s="37">
        <f>IFERROR(IF(CA15="committed",CA83*IF($C17=TRUE,1-'Get Started'!$E10,1)*CA14+IF(AND(CA4&lt;&gt;1,CA54*IF($C17=TRUE,1-'Get Started'!$E10,1)&lt;&gt;0,SUM($G54:CA54)*IF($C17=TRUE,1-'Get Started'!$E10,1)&lt;&gt;BY54*IF($C17=TRUE,1-'Get Started'!$E10,1)),CA54*IF($C17=TRUE,1-'Get Started'!$E10,1)*(CA4-1)*CA14,0),IF(CA15="called",CA14*(CA60+BZ60)/2*IF($C17=TRUE,1-'Get Started'!$E10,1),CA14*(CA85+BZ85)/2*IF($C17=TRUE,1-'Get Started'!$E10,1))),0)</f>
        <v>0</v>
      </c>
      <c r="CB41" s="37">
        <f>IFERROR(IF(CB15="committed",CB83*IF($C17=TRUE,1-'Get Started'!$E10,1)*CB14+IF(AND(CB4&lt;&gt;1,CB54*IF($C17=TRUE,1-'Get Started'!$E10,1)&lt;&gt;0,SUM($G54:CB54)*IF($C17=TRUE,1-'Get Started'!$E10,1)&lt;&gt;BZ54*IF($C17=TRUE,1-'Get Started'!$E10,1)),CB54*IF($C17=TRUE,1-'Get Started'!$E10,1)*(CB4-1)*CB14,0),IF(CB15="called",CB14*(CB60+CA60)/2*IF($C17=TRUE,1-'Get Started'!$E10,1),CB14*(CB85+CA85)/2*IF($C17=TRUE,1-'Get Started'!$E10,1))),0)</f>
        <v>0</v>
      </c>
      <c r="CC41" s="37">
        <f>IFERROR(IF(CC15="committed",CC83*IF($C17=TRUE,1-'Get Started'!$E10,1)*CC14+IF(AND(CC4&lt;&gt;1,CC54*IF($C17=TRUE,1-'Get Started'!$E10,1)&lt;&gt;0,SUM($G54:CC54)*IF($C17=TRUE,1-'Get Started'!$E10,1)&lt;&gt;CA54*IF($C17=TRUE,1-'Get Started'!$E10,1)),CC54*IF($C17=TRUE,1-'Get Started'!$E10,1)*(CC4-1)*CC14,0),IF(CC15="called",CC14*(CC60+CB60)/2*IF($C17=TRUE,1-'Get Started'!$E10,1),CC14*(CC85+CB85)/2*IF($C17=TRUE,1-'Get Started'!$E10,1))),0)</f>
        <v>0</v>
      </c>
      <c r="CD41" s="37">
        <f>IFERROR(IF(CD15="committed",CD83*IF($C17=TRUE,1-'Get Started'!$E10,1)*CD14+IF(AND(CD4&lt;&gt;1,CD54*IF($C17=TRUE,1-'Get Started'!$E10,1)&lt;&gt;0,SUM($G54:CD54)*IF($C17=TRUE,1-'Get Started'!$E10,1)&lt;&gt;CB54*IF($C17=TRUE,1-'Get Started'!$E10,1)),CD54*IF($C17=TRUE,1-'Get Started'!$E10,1)*(CD4-1)*CD14,0),IF(CD15="called",CD14*(CD60+CC60)/2*IF($C17=TRUE,1-'Get Started'!$E10,1),CD14*(CD85+CC85)/2*IF($C17=TRUE,1-'Get Started'!$E10,1))),0)</f>
        <v>0</v>
      </c>
      <c r="CE41" s="37">
        <f>IFERROR(IF(CE15="committed",CE83*IF($C17=TRUE,1-'Get Started'!$E10,1)*CE14+IF(AND(CE4&lt;&gt;1,CE54*IF($C17=TRUE,1-'Get Started'!$E10,1)&lt;&gt;0,SUM($G54:CE54)*IF($C17=TRUE,1-'Get Started'!$E10,1)&lt;&gt;CC54*IF($C17=TRUE,1-'Get Started'!$E10,1)),CE54*IF($C17=TRUE,1-'Get Started'!$E10,1)*(CE4-1)*CE14,0),IF(CE15="called",CE14*(CE60+CD60)/2*IF($C17=TRUE,1-'Get Started'!$E10,1),CE14*(CE85+CD85)/2*IF($C17=TRUE,1-'Get Started'!$E10,1))),0)</f>
        <v>0</v>
      </c>
      <c r="CF41" s="37">
        <f>IFERROR(IF(CF15="committed",CF83*IF($C17=TRUE,1-'Get Started'!$E10,1)*CF14+IF(AND(CF4&lt;&gt;1,CF54*IF($C17=TRUE,1-'Get Started'!$E10,1)&lt;&gt;0,SUM($G54:CF54)*IF($C17=TRUE,1-'Get Started'!$E10,1)&lt;&gt;CD54*IF($C17=TRUE,1-'Get Started'!$E10,1)),CF54*IF($C17=TRUE,1-'Get Started'!$E10,1)*(CF4-1)*CF14,0),IF(CF15="called",CF14*(CF60+CE60)/2*IF($C17=TRUE,1-'Get Started'!$E10,1),CF14*(CF85+CE85)/2*IF($C17=TRUE,1-'Get Started'!$E10,1))),0)</f>
        <v>0</v>
      </c>
      <c r="CG41" s="37">
        <f>IFERROR(IF(CG15="committed",CG83*IF($C17=TRUE,1-'Get Started'!$E10,1)*CG14+IF(AND(CG4&lt;&gt;1,CG54*IF($C17=TRUE,1-'Get Started'!$E10,1)&lt;&gt;0,SUM($G54:CG54)*IF($C17=TRUE,1-'Get Started'!$E10,1)&lt;&gt;CE54*IF($C17=TRUE,1-'Get Started'!$E10,1)),CG54*IF($C17=TRUE,1-'Get Started'!$E10,1)*(CG4-1)*CG14,0),IF(CG15="called",CG14*(CG60+CF60)/2*IF($C17=TRUE,1-'Get Started'!$E10,1),CG14*(CG85+CF85)/2*IF($C17=TRUE,1-'Get Started'!$E10,1))),0)</f>
        <v>0</v>
      </c>
      <c r="CH41" s="37">
        <f>IFERROR(IF(CH15="committed",CH83*IF($C17=TRUE,1-'Get Started'!$E10,1)*CH14+IF(AND(CH4&lt;&gt;1,CH54*IF($C17=TRUE,1-'Get Started'!$E10,1)&lt;&gt;0,SUM($G54:CH54)*IF($C17=TRUE,1-'Get Started'!$E10,1)&lt;&gt;CF54*IF($C17=TRUE,1-'Get Started'!$E10,1)),CH54*IF($C17=TRUE,1-'Get Started'!$E10,1)*(CH4-1)*CH14,0),IF(CH15="called",CH14*(CH60+CG60)/2*IF($C17=TRUE,1-'Get Started'!$E10,1),CH14*(CH85+CG85)/2*IF($C17=TRUE,1-'Get Started'!$E10,1))),0)</f>
        <v>0</v>
      </c>
    </row>
    <row r="42" spans="1:86" ht="13">
      <c r="B42" s="15" t="s">
        <v>214</v>
      </c>
      <c r="D42" s="15" t="s">
        <v>238</v>
      </c>
      <c r="E42" s="29">
        <f t="shared" ca="1" si="15"/>
        <v>962500</v>
      </c>
      <c r="F42" s="29"/>
      <c r="G42" s="29">
        <f t="shared" ref="G42:CH42" ca="1" si="18">G208</f>
        <v>0</v>
      </c>
      <c r="H42" s="29">
        <f t="shared" ca="1" si="18"/>
        <v>0</v>
      </c>
      <c r="I42" s="29">
        <f t="shared" ca="1" si="18"/>
        <v>0</v>
      </c>
      <c r="J42" s="29">
        <f t="shared" ca="1" si="18"/>
        <v>0</v>
      </c>
      <c r="K42" s="29">
        <f t="shared" ca="1" si="18"/>
        <v>0</v>
      </c>
      <c r="L42" s="29">
        <f t="shared" ca="1" si="18"/>
        <v>0</v>
      </c>
      <c r="M42" s="29">
        <f t="shared" ca="1" si="18"/>
        <v>0</v>
      </c>
      <c r="N42" s="29">
        <f t="shared" ca="1" si="18"/>
        <v>0</v>
      </c>
      <c r="O42" s="29">
        <f t="shared" ca="1" si="18"/>
        <v>0</v>
      </c>
      <c r="P42" s="29">
        <f t="shared" ca="1" si="18"/>
        <v>0</v>
      </c>
      <c r="Q42" s="29">
        <f t="shared" ca="1" si="18"/>
        <v>0</v>
      </c>
      <c r="R42" s="29">
        <f t="shared" ca="1" si="18"/>
        <v>0</v>
      </c>
      <c r="S42" s="29">
        <f t="shared" ca="1" si="18"/>
        <v>240625</v>
      </c>
      <c r="T42" s="29">
        <f t="shared" ca="1" si="18"/>
        <v>240625</v>
      </c>
      <c r="U42" s="29">
        <f t="shared" ca="1" si="18"/>
        <v>240625</v>
      </c>
      <c r="V42" s="29">
        <f t="shared" ca="1" si="18"/>
        <v>240625</v>
      </c>
      <c r="W42" s="29">
        <f t="shared" ca="1" si="18"/>
        <v>0</v>
      </c>
      <c r="X42" s="29">
        <f t="shared" ca="1" si="18"/>
        <v>0</v>
      </c>
      <c r="Y42" s="29">
        <f t="shared" ca="1" si="18"/>
        <v>0</v>
      </c>
      <c r="Z42" s="29">
        <f t="shared" ca="1" si="18"/>
        <v>0</v>
      </c>
      <c r="AA42" s="29">
        <f t="shared" ca="1" si="18"/>
        <v>0</v>
      </c>
      <c r="AB42" s="29">
        <f t="shared" ca="1" si="18"/>
        <v>0</v>
      </c>
      <c r="AC42" s="29">
        <f t="shared" ca="1" si="18"/>
        <v>0</v>
      </c>
      <c r="AD42" s="29">
        <f t="shared" ca="1" si="18"/>
        <v>0</v>
      </c>
      <c r="AE42" s="29">
        <f t="shared" ca="1" si="18"/>
        <v>0</v>
      </c>
      <c r="AF42" s="29">
        <f t="shared" ca="1" si="18"/>
        <v>0</v>
      </c>
      <c r="AG42" s="29">
        <f t="shared" ca="1" si="18"/>
        <v>0</v>
      </c>
      <c r="AH42" s="29">
        <f t="shared" ca="1" si="18"/>
        <v>0</v>
      </c>
      <c r="AI42" s="29">
        <f t="shared" ca="1" si="18"/>
        <v>0</v>
      </c>
      <c r="AJ42" s="29">
        <f t="shared" ca="1" si="18"/>
        <v>0</v>
      </c>
      <c r="AK42" s="29">
        <f t="shared" ca="1" si="18"/>
        <v>0</v>
      </c>
      <c r="AL42" s="29">
        <f t="shared" ca="1" si="18"/>
        <v>0</v>
      </c>
      <c r="AM42" s="29">
        <f t="shared" ca="1" si="18"/>
        <v>0</v>
      </c>
      <c r="AN42" s="29">
        <f t="shared" ca="1" si="18"/>
        <v>0</v>
      </c>
      <c r="AO42" s="29">
        <f t="shared" ca="1" si="18"/>
        <v>0</v>
      </c>
      <c r="AP42" s="29">
        <f t="shared" ca="1" si="18"/>
        <v>0</v>
      </c>
      <c r="AQ42" s="29">
        <f t="shared" ca="1" si="18"/>
        <v>0</v>
      </c>
      <c r="AR42" s="29">
        <f t="shared" ca="1" si="18"/>
        <v>0</v>
      </c>
      <c r="AS42" s="29">
        <f t="shared" ca="1" si="18"/>
        <v>0</v>
      </c>
      <c r="AT42" s="29">
        <f t="shared" ca="1" si="18"/>
        <v>0</v>
      </c>
      <c r="AU42" s="29">
        <f t="shared" ca="1" si="18"/>
        <v>0</v>
      </c>
      <c r="AV42" s="29">
        <f t="shared" ca="1" si="18"/>
        <v>0</v>
      </c>
      <c r="AW42" s="29">
        <f t="shared" ca="1" si="18"/>
        <v>0</v>
      </c>
      <c r="AX42" s="29">
        <f t="shared" ca="1" si="18"/>
        <v>0</v>
      </c>
      <c r="AY42" s="29">
        <f t="shared" ca="1" si="18"/>
        <v>0</v>
      </c>
      <c r="AZ42" s="29">
        <f t="shared" ca="1" si="18"/>
        <v>0</v>
      </c>
      <c r="BA42" s="29">
        <f t="shared" ca="1" si="18"/>
        <v>0</v>
      </c>
      <c r="BB42" s="29">
        <f t="shared" ca="1" si="18"/>
        <v>0</v>
      </c>
      <c r="BC42" s="29">
        <f t="shared" ca="1" si="18"/>
        <v>0</v>
      </c>
      <c r="BD42" s="29">
        <f t="shared" ca="1" si="18"/>
        <v>0</v>
      </c>
      <c r="BE42" s="29">
        <f t="shared" ca="1" si="18"/>
        <v>0</v>
      </c>
      <c r="BF42" s="29">
        <f t="shared" ca="1" si="18"/>
        <v>0</v>
      </c>
      <c r="BG42" s="29">
        <f t="shared" ca="1" si="18"/>
        <v>0</v>
      </c>
      <c r="BH42" s="29">
        <f t="shared" ca="1" si="18"/>
        <v>0</v>
      </c>
      <c r="BI42" s="29">
        <f t="shared" ca="1" si="18"/>
        <v>0</v>
      </c>
      <c r="BJ42" s="29">
        <f t="shared" ca="1" si="18"/>
        <v>0</v>
      </c>
      <c r="BK42" s="29">
        <f t="shared" ca="1" si="18"/>
        <v>0</v>
      </c>
      <c r="BL42" s="29">
        <f t="shared" ca="1" si="18"/>
        <v>0</v>
      </c>
      <c r="BM42" s="29">
        <f t="shared" ca="1" si="18"/>
        <v>0</v>
      </c>
      <c r="BN42" s="29">
        <f t="shared" ca="1" si="18"/>
        <v>0</v>
      </c>
      <c r="BO42" s="29">
        <f t="shared" ca="1" si="18"/>
        <v>0</v>
      </c>
      <c r="BP42" s="29">
        <f t="shared" ca="1" si="18"/>
        <v>0</v>
      </c>
      <c r="BQ42" s="29">
        <f t="shared" ca="1" si="18"/>
        <v>0</v>
      </c>
      <c r="BR42" s="29">
        <f t="shared" ca="1" si="18"/>
        <v>0</v>
      </c>
      <c r="BS42" s="29">
        <f t="shared" ca="1" si="18"/>
        <v>0</v>
      </c>
      <c r="BT42" s="29">
        <f t="shared" ca="1" si="18"/>
        <v>0</v>
      </c>
      <c r="BU42" s="29">
        <f t="shared" ca="1" si="18"/>
        <v>0</v>
      </c>
      <c r="BV42" s="29">
        <f t="shared" ca="1" si="18"/>
        <v>0</v>
      </c>
      <c r="BW42" s="29">
        <f t="shared" ca="1" si="18"/>
        <v>0</v>
      </c>
      <c r="BX42" s="29">
        <f t="shared" ca="1" si="18"/>
        <v>0</v>
      </c>
      <c r="BY42" s="29">
        <f t="shared" ca="1" si="18"/>
        <v>0</v>
      </c>
      <c r="BZ42" s="29">
        <f t="shared" ca="1" si="18"/>
        <v>0</v>
      </c>
      <c r="CA42" s="29">
        <f t="shared" ca="1" si="18"/>
        <v>0</v>
      </c>
      <c r="CB42" s="29">
        <f t="shared" ca="1" si="18"/>
        <v>0</v>
      </c>
      <c r="CC42" s="29">
        <f t="shared" ca="1" si="18"/>
        <v>0</v>
      </c>
      <c r="CD42" s="29">
        <f t="shared" ca="1" si="18"/>
        <v>0</v>
      </c>
      <c r="CE42" s="29">
        <f t="shared" ca="1" si="18"/>
        <v>0</v>
      </c>
      <c r="CF42" s="29">
        <f t="shared" ca="1" si="18"/>
        <v>0</v>
      </c>
      <c r="CG42" s="29">
        <f t="shared" ca="1" si="18"/>
        <v>0</v>
      </c>
      <c r="CH42" s="29">
        <f t="shared" ca="1" si="18"/>
        <v>0</v>
      </c>
    </row>
    <row r="43" spans="1:86" ht="13">
      <c r="B43" s="15" t="s">
        <v>218</v>
      </c>
      <c r="D43" s="15" t="s">
        <v>238</v>
      </c>
      <c r="E43" s="29">
        <f t="shared" ca="1" si="15"/>
        <v>134979075</v>
      </c>
      <c r="F43" s="29"/>
      <c r="G43" s="29">
        <f ca="1">IF(G4&lt;'Get Started'!$H112,0,OFFSET(G37,0,-1*'Get Started'!$H112)*'Get Started'!$H42*'Get Started'!$G112)+IF(G4&lt;'Get Started'!$H111,0,OFFSET(G37,0,-1*'Get Started'!$H111)*'Get Started'!$G42*'Get Started'!$G111)+IF(G4&lt;'Get Started'!$H110,0,OFFSET(G37,0,-1*'Get Started'!$H110)*'Get Started'!$F42*'Get Started'!$G110)+IF(G4&lt;'Get Started'!$H109,0,OFFSET(G37,0,-1*'Get Started'!$H109)*'Get Started'!$E42*'Get Started'!$G109)</f>
        <v>0</v>
      </c>
      <c r="H43" s="29">
        <f ca="1">IF(H4&lt;'Get Started'!$H112,0,OFFSET(H37,0,-1*'Get Started'!$H112)*'Get Started'!$H42*'Get Started'!$G112)+IF(H4&lt;'Get Started'!$H111,0,OFFSET(H37,0,-1*'Get Started'!$H111)*'Get Started'!$G42*'Get Started'!$G111)+IF(H4&lt;'Get Started'!$H110,0,OFFSET(H37,0,-1*'Get Started'!$H110)*'Get Started'!$F42*'Get Started'!$G110)+IF(H4&lt;'Get Started'!$H109,0,OFFSET(H37,0,-1*'Get Started'!$H109)*'Get Started'!$E42*'Get Started'!$G109)</f>
        <v>0</v>
      </c>
      <c r="I43" s="29">
        <f ca="1">IF(I4&lt;'Get Started'!$H112,0,OFFSET(I37,0,-1*'Get Started'!$H112)*'Get Started'!$H42*'Get Started'!$G112)+IF(I4&lt;'Get Started'!$H111,0,OFFSET(I37,0,-1*'Get Started'!$H111)*'Get Started'!$G42*'Get Started'!$G111)+IF(I4&lt;'Get Started'!$H110,0,OFFSET(I37,0,-1*'Get Started'!$H110)*'Get Started'!$F42*'Get Started'!$G110)+IF(I4&lt;'Get Started'!$H109,0,OFFSET(I37,0,-1*'Get Started'!$H109)*'Get Started'!$E42*'Get Started'!$G109)</f>
        <v>0</v>
      </c>
      <c r="J43" s="29">
        <f ca="1">IF(J4&lt;'Get Started'!$H112,0,OFFSET(J37,0,-1*'Get Started'!$H112)*'Get Started'!$H42*'Get Started'!$G112)+IF(J4&lt;'Get Started'!$H111,0,OFFSET(J37,0,-1*'Get Started'!$H111)*'Get Started'!$G42*'Get Started'!$G111)+IF(J4&lt;'Get Started'!$H110,0,OFFSET(J37,0,-1*'Get Started'!$H110)*'Get Started'!$F42*'Get Started'!$G110)+IF(J4&lt;'Get Started'!$H109,0,OFFSET(J37,0,-1*'Get Started'!$H109)*'Get Started'!$E42*'Get Started'!$G109)</f>
        <v>0</v>
      </c>
      <c r="K43" s="29">
        <f ca="1">IF(K4&lt;'Get Started'!$H112,0,OFFSET(K37,0,-1*'Get Started'!$H112)*'Get Started'!$H42*'Get Started'!$G112)+IF(K4&lt;'Get Started'!$H111,0,OFFSET(K37,0,-1*'Get Started'!$H111)*'Get Started'!$G42*'Get Started'!$G111)+IF(K4&lt;'Get Started'!$H110,0,OFFSET(K37,0,-1*'Get Started'!$H110)*'Get Started'!$F42*'Get Started'!$G110)+IF(K4&lt;'Get Started'!$H109,0,OFFSET(K37,0,-1*'Get Started'!$H109)*'Get Started'!$E42*'Get Started'!$G109)</f>
        <v>0</v>
      </c>
      <c r="L43" s="29">
        <f ca="1">IF(L4&lt;'Get Started'!$H112,0,OFFSET(L37,0,-1*'Get Started'!$H112)*'Get Started'!$H42*'Get Started'!$G112)+IF(L4&lt;'Get Started'!$H111,0,OFFSET(L37,0,-1*'Get Started'!$H111)*'Get Started'!$G42*'Get Started'!$G111)+IF(L4&lt;'Get Started'!$H110,0,OFFSET(L37,0,-1*'Get Started'!$H110)*'Get Started'!$F42*'Get Started'!$G110)+IF(L4&lt;'Get Started'!$H109,0,OFFSET(L37,0,-1*'Get Started'!$H109)*'Get Started'!$E42*'Get Started'!$G109)</f>
        <v>0</v>
      </c>
      <c r="M43" s="29">
        <f ca="1">IF(M4&lt;'Get Started'!$H112,0,OFFSET(M37,0,-1*'Get Started'!$H112)*'Get Started'!$H42*'Get Started'!$G112)+IF(M4&lt;'Get Started'!$H111,0,OFFSET(M37,0,-1*'Get Started'!$H111)*'Get Started'!$G42*'Get Started'!$G111)+IF(M4&lt;'Get Started'!$H110,0,OFFSET(M37,0,-1*'Get Started'!$H110)*'Get Started'!$F42*'Get Started'!$G110)+IF(M4&lt;'Get Started'!$H109,0,OFFSET(M37,0,-1*'Get Started'!$H109)*'Get Started'!$E42*'Get Started'!$G109)</f>
        <v>0</v>
      </c>
      <c r="N43" s="29">
        <f ca="1">IF(N4&lt;'Get Started'!$H112,0,OFFSET(N37,0,-1*'Get Started'!$H112)*'Get Started'!$H42*'Get Started'!$G112)+IF(N4&lt;'Get Started'!$H111,0,OFFSET(N37,0,-1*'Get Started'!$H111)*'Get Started'!$G42*'Get Started'!$G111)+IF(N4&lt;'Get Started'!$H110,0,OFFSET(N37,0,-1*'Get Started'!$H110)*'Get Started'!$F42*'Get Started'!$G110)+IF(N4&lt;'Get Started'!$H109,0,OFFSET(N37,0,-1*'Get Started'!$H109)*'Get Started'!$E42*'Get Started'!$G109)</f>
        <v>0</v>
      </c>
      <c r="O43" s="29">
        <f ca="1">IF(O4&lt;'Get Started'!$H112,0,OFFSET(O37,0,-1*'Get Started'!$H112)*'Get Started'!$H42*'Get Started'!$G112)+IF(O4&lt;'Get Started'!$H111,0,OFFSET(O37,0,-1*'Get Started'!$H111)*'Get Started'!$G42*'Get Started'!$G111)+IF(O4&lt;'Get Started'!$H110,0,OFFSET(O37,0,-1*'Get Started'!$H110)*'Get Started'!$F42*'Get Started'!$G110)+IF(O4&lt;'Get Started'!$H109,0,OFFSET(O37,0,-1*'Get Started'!$H109)*'Get Started'!$E42*'Get Started'!$G109)</f>
        <v>0</v>
      </c>
      <c r="P43" s="29">
        <f ca="1">IF(P4&lt;'Get Started'!$H112,0,OFFSET(P37,0,-1*'Get Started'!$H112)*'Get Started'!$H42*'Get Started'!$G112)+IF(P4&lt;'Get Started'!$H111,0,OFFSET(P37,0,-1*'Get Started'!$H111)*'Get Started'!$G42*'Get Started'!$G111)+IF(P4&lt;'Get Started'!$H110,0,OFFSET(P37,0,-1*'Get Started'!$H110)*'Get Started'!$F42*'Get Started'!$G110)+IF(P4&lt;'Get Started'!$H109,0,OFFSET(P37,0,-1*'Get Started'!$H109)*'Get Started'!$E42*'Get Started'!$G109)</f>
        <v>0</v>
      </c>
      <c r="Q43" s="29">
        <f ca="1">IF(Q4&lt;'Get Started'!$H112,0,OFFSET(Q37,0,-1*'Get Started'!$H112)*'Get Started'!$H42*'Get Started'!$G112)+IF(Q4&lt;'Get Started'!$H111,0,OFFSET(Q37,0,-1*'Get Started'!$H111)*'Get Started'!$G42*'Get Started'!$G111)+IF(Q4&lt;'Get Started'!$H110,0,OFFSET(Q37,0,-1*'Get Started'!$H110)*'Get Started'!$F42*'Get Started'!$G110)+IF(Q4&lt;'Get Started'!$H109,0,OFFSET(Q37,0,-1*'Get Started'!$H109)*'Get Started'!$E42*'Get Started'!$G109)</f>
        <v>0</v>
      </c>
      <c r="R43" s="29">
        <f ca="1">IF(R4&lt;'Get Started'!$H112,0,OFFSET(R37,0,-1*'Get Started'!$H112)*'Get Started'!$H42*'Get Started'!$G112)+IF(R4&lt;'Get Started'!$H111,0,OFFSET(R37,0,-1*'Get Started'!$H111)*'Get Started'!$G42*'Get Started'!$G111)+IF(R4&lt;'Get Started'!$H110,0,OFFSET(R37,0,-1*'Get Started'!$H110)*'Get Started'!$F42*'Get Started'!$G110)+IF(R4&lt;'Get Started'!$H109,0,OFFSET(R37,0,-1*'Get Started'!$H109)*'Get Started'!$E42*'Get Started'!$G109)</f>
        <v>0</v>
      </c>
      <c r="S43" s="29">
        <f ca="1">IF(S4&lt;'Get Started'!$H112,0,OFFSET(S37,0,-1*'Get Started'!$H112)*'Get Started'!$H42*'Get Started'!$G112)+IF(S4&lt;'Get Started'!$H111,0,OFFSET(S37,0,-1*'Get Started'!$H111)*'Get Started'!$G42*'Get Started'!$G111)+IF(S4&lt;'Get Started'!$H110,0,OFFSET(S37,0,-1*'Get Started'!$H110)*'Get Started'!$F42*'Get Started'!$G110)+IF(S4&lt;'Get Started'!$H109,0,OFFSET(S37,0,-1*'Get Started'!$H109)*'Get Started'!$E42*'Get Started'!$G109)</f>
        <v>1212750.0000000005</v>
      </c>
      <c r="T43" s="29">
        <f ca="1">IF(T4&lt;'Get Started'!$H112,0,OFFSET(T37,0,-1*'Get Started'!$H112)*'Get Started'!$H42*'Get Started'!$G112)+IF(T4&lt;'Get Started'!$H111,0,OFFSET(T37,0,-1*'Get Started'!$H111)*'Get Started'!$G42*'Get Started'!$G111)+IF(T4&lt;'Get Started'!$H110,0,OFFSET(T37,0,-1*'Get Started'!$H110)*'Get Started'!$F42*'Get Started'!$G110)+IF(T4&lt;'Get Started'!$H109,0,OFFSET(T37,0,-1*'Get Started'!$H109)*'Get Started'!$E42*'Get Started'!$G109)</f>
        <v>1212750.0000000005</v>
      </c>
      <c r="U43" s="29">
        <f ca="1">IF(U4&lt;'Get Started'!$H112,0,OFFSET(U37,0,-1*'Get Started'!$H112)*'Get Started'!$H42*'Get Started'!$G112)+IF(U4&lt;'Get Started'!$H111,0,OFFSET(U37,0,-1*'Get Started'!$H111)*'Get Started'!$G42*'Get Started'!$G111)+IF(U4&lt;'Get Started'!$H110,0,OFFSET(U37,0,-1*'Get Started'!$H110)*'Get Started'!$F42*'Get Started'!$G110)+IF(U4&lt;'Get Started'!$H109,0,OFFSET(U37,0,-1*'Get Started'!$H109)*'Get Started'!$E42*'Get Started'!$G109)</f>
        <v>1212750.0000000005</v>
      </c>
      <c r="V43" s="29">
        <f ca="1">IF(V4&lt;'Get Started'!$H112,0,OFFSET(V37,0,-1*'Get Started'!$H112)*'Get Started'!$H42*'Get Started'!$G112)+IF(V4&lt;'Get Started'!$H111,0,OFFSET(V37,0,-1*'Get Started'!$H111)*'Get Started'!$G42*'Get Started'!$G111)+IF(V4&lt;'Get Started'!$H110,0,OFFSET(V37,0,-1*'Get Started'!$H110)*'Get Started'!$F42*'Get Started'!$G110)+IF(V4&lt;'Get Started'!$H109,0,OFFSET(V37,0,-1*'Get Started'!$H109)*'Get Started'!$E42*'Get Started'!$G109)</f>
        <v>1212750.0000000005</v>
      </c>
      <c r="W43" s="29">
        <f ca="1">IF(W4&lt;'Get Started'!$H112,0,OFFSET(W37,0,-1*'Get Started'!$H112)*'Get Started'!$H42*'Get Started'!$G112)+IF(W4&lt;'Get Started'!$H111,0,OFFSET(W37,0,-1*'Get Started'!$H111)*'Get Started'!$G42*'Get Started'!$G111)+IF(W4&lt;'Get Started'!$H110,0,OFFSET(W37,0,-1*'Get Started'!$H110)*'Get Started'!$F42*'Get Started'!$G110)+IF(W4&lt;'Get Started'!$H109,0,OFFSET(W37,0,-1*'Get Started'!$H109)*'Get Started'!$E42*'Get Started'!$G109)</f>
        <v>3486656.2500000009</v>
      </c>
      <c r="X43" s="29">
        <f ca="1">IF(X4&lt;'Get Started'!$H112,0,OFFSET(X37,0,-1*'Get Started'!$H112)*'Get Started'!$H42*'Get Started'!$G112)+IF(X4&lt;'Get Started'!$H111,0,OFFSET(X37,0,-1*'Get Started'!$H111)*'Get Started'!$G42*'Get Started'!$G111)+IF(X4&lt;'Get Started'!$H110,0,OFFSET(X37,0,-1*'Get Started'!$H110)*'Get Started'!$F42*'Get Started'!$G110)+IF(X4&lt;'Get Started'!$H109,0,OFFSET(X37,0,-1*'Get Started'!$H109)*'Get Started'!$E42*'Get Started'!$G109)</f>
        <v>3486656.2500000009</v>
      </c>
      <c r="Y43" s="29">
        <f ca="1">IF(Y4&lt;'Get Started'!$H112,0,OFFSET(Y37,0,-1*'Get Started'!$H112)*'Get Started'!$H42*'Get Started'!$G112)+IF(Y4&lt;'Get Started'!$H111,0,OFFSET(Y37,0,-1*'Get Started'!$H111)*'Get Started'!$G42*'Get Started'!$G111)+IF(Y4&lt;'Get Started'!$H110,0,OFFSET(Y37,0,-1*'Get Started'!$H110)*'Get Started'!$F42*'Get Started'!$G110)+IF(Y4&lt;'Get Started'!$H109,0,OFFSET(Y37,0,-1*'Get Started'!$H109)*'Get Started'!$E42*'Get Started'!$G109)</f>
        <v>3486656.2500000009</v>
      </c>
      <c r="Z43" s="29">
        <f ca="1">IF(Z4&lt;'Get Started'!$H112,0,OFFSET(Z37,0,-1*'Get Started'!$H112)*'Get Started'!$H42*'Get Started'!$G112)+IF(Z4&lt;'Get Started'!$H111,0,OFFSET(Z37,0,-1*'Get Started'!$H111)*'Get Started'!$G42*'Get Started'!$G111)+IF(Z4&lt;'Get Started'!$H110,0,OFFSET(Z37,0,-1*'Get Started'!$H110)*'Get Started'!$F42*'Get Started'!$G110)+IF(Z4&lt;'Get Started'!$H109,0,OFFSET(Z37,0,-1*'Get Started'!$H109)*'Get Started'!$E42*'Get Started'!$G109)</f>
        <v>3486656.2500000009</v>
      </c>
      <c r="AA43" s="29">
        <f ca="1">IF(AA4&lt;'Get Started'!$H112,0,OFFSET(AA37,0,-1*'Get Started'!$H112)*'Get Started'!$H42*'Get Started'!$G112)+IF(AA4&lt;'Get Started'!$H111,0,OFFSET(AA37,0,-1*'Get Started'!$H111)*'Get Started'!$G42*'Get Started'!$G111)+IF(AA4&lt;'Get Started'!$H110,0,OFFSET(AA37,0,-1*'Get Started'!$H110)*'Get Started'!$F42*'Get Started'!$G110)+IF(AA4&lt;'Get Started'!$H109,0,OFFSET(AA37,0,-1*'Get Started'!$H109)*'Get Started'!$E42*'Get Started'!$G109)</f>
        <v>3486656.2500000009</v>
      </c>
      <c r="AB43" s="29">
        <f ca="1">IF(AB4&lt;'Get Started'!$H112,0,OFFSET(AB37,0,-1*'Get Started'!$H112)*'Get Started'!$H42*'Get Started'!$G112)+IF(AB4&lt;'Get Started'!$H111,0,OFFSET(AB37,0,-1*'Get Started'!$H111)*'Get Started'!$G42*'Get Started'!$G111)+IF(AB4&lt;'Get Started'!$H110,0,OFFSET(AB37,0,-1*'Get Started'!$H110)*'Get Started'!$F42*'Get Started'!$G110)+IF(AB4&lt;'Get Started'!$H109,0,OFFSET(AB37,0,-1*'Get Started'!$H109)*'Get Started'!$E42*'Get Started'!$G109)</f>
        <v>3486656.2500000009</v>
      </c>
      <c r="AC43" s="29">
        <f ca="1">IF(AC4&lt;'Get Started'!$H112,0,OFFSET(AC37,0,-1*'Get Started'!$H112)*'Get Started'!$H42*'Get Started'!$G112)+IF(AC4&lt;'Get Started'!$H111,0,OFFSET(AC37,0,-1*'Get Started'!$H111)*'Get Started'!$G42*'Get Started'!$G111)+IF(AC4&lt;'Get Started'!$H110,0,OFFSET(AC37,0,-1*'Get Started'!$H110)*'Get Started'!$F42*'Get Started'!$G110)+IF(AC4&lt;'Get Started'!$H109,0,OFFSET(AC37,0,-1*'Get Started'!$H109)*'Get Started'!$E42*'Get Started'!$G109)</f>
        <v>3486656.2500000009</v>
      </c>
      <c r="AD43" s="29">
        <f ca="1">IF(AD4&lt;'Get Started'!$H112,0,OFFSET(AD37,0,-1*'Get Started'!$H112)*'Get Started'!$H42*'Get Started'!$G112)+IF(AD4&lt;'Get Started'!$H111,0,OFFSET(AD37,0,-1*'Get Started'!$H111)*'Get Started'!$G42*'Get Started'!$G111)+IF(AD4&lt;'Get Started'!$H110,0,OFFSET(AD37,0,-1*'Get Started'!$H110)*'Get Started'!$F42*'Get Started'!$G110)+IF(AD4&lt;'Get Started'!$H109,0,OFFSET(AD37,0,-1*'Get Started'!$H109)*'Get Started'!$E42*'Get Started'!$G109)</f>
        <v>3486656.2500000009</v>
      </c>
      <c r="AE43" s="29">
        <f ca="1">IF(AE4&lt;'Get Started'!$H112,0,OFFSET(AE37,0,-1*'Get Started'!$H112)*'Get Started'!$H42*'Get Started'!$G112)+IF(AE4&lt;'Get Started'!$H111,0,OFFSET(AE37,0,-1*'Get Started'!$H111)*'Get Started'!$G42*'Get Started'!$G111)+IF(AE4&lt;'Get Started'!$H110,0,OFFSET(AE37,0,-1*'Get Started'!$H110)*'Get Started'!$F42*'Get Started'!$G110)+IF(AE4&lt;'Get Started'!$H109,0,OFFSET(AE37,0,-1*'Get Started'!$H109)*'Get Started'!$E42*'Get Started'!$G109)</f>
        <v>8277018.7499999981</v>
      </c>
      <c r="AF43" s="29">
        <f ca="1">IF(AF4&lt;'Get Started'!$H112,0,OFFSET(AF37,0,-1*'Get Started'!$H112)*'Get Started'!$H42*'Get Started'!$G112)+IF(AF4&lt;'Get Started'!$H111,0,OFFSET(AF37,0,-1*'Get Started'!$H111)*'Get Started'!$G42*'Get Started'!$G111)+IF(AF4&lt;'Get Started'!$H110,0,OFFSET(AF37,0,-1*'Get Started'!$H110)*'Get Started'!$F42*'Get Started'!$G110)+IF(AF4&lt;'Get Started'!$H109,0,OFFSET(AF37,0,-1*'Get Started'!$H109)*'Get Started'!$E42*'Get Started'!$G109)</f>
        <v>8277018.7499999981</v>
      </c>
      <c r="AG43" s="29">
        <f ca="1">IF(AG4&lt;'Get Started'!$H112,0,OFFSET(AG37,0,-1*'Get Started'!$H112)*'Get Started'!$H42*'Get Started'!$G112)+IF(AG4&lt;'Get Started'!$H111,0,OFFSET(AG37,0,-1*'Get Started'!$H111)*'Get Started'!$G42*'Get Started'!$G111)+IF(AG4&lt;'Get Started'!$H110,0,OFFSET(AG37,0,-1*'Get Started'!$H110)*'Get Started'!$F42*'Get Started'!$G110)+IF(AG4&lt;'Get Started'!$H109,0,OFFSET(AG37,0,-1*'Get Started'!$H109)*'Get Started'!$E42*'Get Started'!$G109)</f>
        <v>8277018.7499999981</v>
      </c>
      <c r="AH43" s="29">
        <f ca="1">IF(AH4&lt;'Get Started'!$H112,0,OFFSET(AH37,0,-1*'Get Started'!$H112)*'Get Started'!$H42*'Get Started'!$G112)+IF(AH4&lt;'Get Started'!$H111,0,OFFSET(AH37,0,-1*'Get Started'!$H111)*'Get Started'!$G42*'Get Started'!$G111)+IF(AH4&lt;'Get Started'!$H110,0,OFFSET(AH37,0,-1*'Get Started'!$H110)*'Get Started'!$F42*'Get Started'!$G110)+IF(AH4&lt;'Get Started'!$H109,0,OFFSET(AH37,0,-1*'Get Started'!$H109)*'Get Started'!$E42*'Get Started'!$G109)</f>
        <v>8277018.7499999981</v>
      </c>
      <c r="AI43" s="29">
        <f ca="1">IF(AI4&lt;'Get Started'!$H112,0,OFFSET(AI37,0,-1*'Get Started'!$H112)*'Get Started'!$H42*'Get Started'!$G112)+IF(AI4&lt;'Get Started'!$H111,0,OFFSET(AI37,0,-1*'Get Started'!$H111)*'Get Started'!$G42*'Get Started'!$G111)+IF(AI4&lt;'Get Started'!$H110,0,OFFSET(AI37,0,-1*'Get Started'!$H110)*'Get Started'!$F42*'Get Started'!$G110)+IF(AI4&lt;'Get Started'!$H109,0,OFFSET(AI37,0,-1*'Get Started'!$H109)*'Get Started'!$E42*'Get Started'!$G109)</f>
        <v>7276499.9999999981</v>
      </c>
      <c r="AJ43" s="29">
        <f ca="1">IF(AJ4&lt;'Get Started'!$H112,0,OFFSET(AJ37,0,-1*'Get Started'!$H112)*'Get Started'!$H42*'Get Started'!$G112)+IF(AJ4&lt;'Get Started'!$H111,0,OFFSET(AJ37,0,-1*'Get Started'!$H111)*'Get Started'!$G42*'Get Started'!$G111)+IF(AJ4&lt;'Get Started'!$H110,0,OFFSET(AJ37,0,-1*'Get Started'!$H110)*'Get Started'!$F42*'Get Started'!$G110)+IF(AJ4&lt;'Get Started'!$H109,0,OFFSET(AJ37,0,-1*'Get Started'!$H109)*'Get Started'!$E42*'Get Started'!$G109)</f>
        <v>7276499.9999999981</v>
      </c>
      <c r="AK43" s="29">
        <f ca="1">IF(AK4&lt;'Get Started'!$H112,0,OFFSET(AK37,0,-1*'Get Started'!$H112)*'Get Started'!$H42*'Get Started'!$G112)+IF(AK4&lt;'Get Started'!$H111,0,OFFSET(AK37,0,-1*'Get Started'!$H111)*'Get Started'!$G42*'Get Started'!$G111)+IF(AK4&lt;'Get Started'!$H110,0,OFFSET(AK37,0,-1*'Get Started'!$H110)*'Get Started'!$F42*'Get Started'!$G110)+IF(AK4&lt;'Get Started'!$H109,0,OFFSET(AK37,0,-1*'Get Started'!$H109)*'Get Started'!$E42*'Get Started'!$G109)</f>
        <v>7276499.9999999981</v>
      </c>
      <c r="AL43" s="29">
        <f ca="1">IF(AL4&lt;'Get Started'!$H112,0,OFFSET(AL37,0,-1*'Get Started'!$H112)*'Get Started'!$H42*'Get Started'!$G112)+IF(AL4&lt;'Get Started'!$H111,0,OFFSET(AL37,0,-1*'Get Started'!$H111)*'Get Started'!$G42*'Get Started'!$G111)+IF(AL4&lt;'Get Started'!$H110,0,OFFSET(AL37,0,-1*'Get Started'!$H110)*'Get Started'!$F42*'Get Started'!$G110)+IF(AL4&lt;'Get Started'!$H109,0,OFFSET(AL37,0,-1*'Get Started'!$H109)*'Get Started'!$E42*'Get Started'!$G109)</f>
        <v>7276499.9999999981</v>
      </c>
      <c r="AM43" s="29">
        <f ca="1">IF(AM4&lt;'Get Started'!$H112,0,OFFSET(AM37,0,-1*'Get Started'!$H112)*'Get Started'!$H42*'Get Started'!$G112)+IF(AM4&lt;'Get Started'!$H111,0,OFFSET(AM37,0,-1*'Get Started'!$H111)*'Get Started'!$G42*'Get Started'!$G111)+IF(AM4&lt;'Get Started'!$H110,0,OFFSET(AM37,0,-1*'Get Started'!$H110)*'Get Started'!$F42*'Get Started'!$G110)+IF(AM4&lt;'Get Started'!$H109,0,OFFSET(AM37,0,-1*'Get Started'!$H109)*'Get Started'!$E42*'Get Started'!$G109)</f>
        <v>4547812.4999999981</v>
      </c>
      <c r="AN43" s="29">
        <f ca="1">IF(AN4&lt;'Get Started'!$H112,0,OFFSET(AN37,0,-1*'Get Started'!$H112)*'Get Started'!$H42*'Get Started'!$G112)+IF(AN4&lt;'Get Started'!$H111,0,OFFSET(AN37,0,-1*'Get Started'!$H111)*'Get Started'!$G42*'Get Started'!$G111)+IF(AN4&lt;'Get Started'!$H110,0,OFFSET(AN37,0,-1*'Get Started'!$H110)*'Get Started'!$F42*'Get Started'!$G110)+IF(AN4&lt;'Get Started'!$H109,0,OFFSET(AN37,0,-1*'Get Started'!$H109)*'Get Started'!$E42*'Get Started'!$G109)</f>
        <v>4547812.4999999981</v>
      </c>
      <c r="AO43" s="29">
        <f ca="1">IF(AO4&lt;'Get Started'!$H112,0,OFFSET(AO37,0,-1*'Get Started'!$H112)*'Get Started'!$H42*'Get Started'!$G112)+IF(AO4&lt;'Get Started'!$H111,0,OFFSET(AO37,0,-1*'Get Started'!$H111)*'Get Started'!$G42*'Get Started'!$G111)+IF(AO4&lt;'Get Started'!$H110,0,OFFSET(AO37,0,-1*'Get Started'!$H110)*'Get Started'!$F42*'Get Started'!$G110)+IF(AO4&lt;'Get Started'!$H109,0,OFFSET(AO37,0,-1*'Get Started'!$H109)*'Get Started'!$E42*'Get Started'!$G109)</f>
        <v>4547812.4999999981</v>
      </c>
      <c r="AP43" s="29">
        <f ca="1">IF(AP4&lt;'Get Started'!$H112,0,OFFSET(AP37,0,-1*'Get Started'!$H112)*'Get Started'!$H42*'Get Started'!$G112)+IF(AP4&lt;'Get Started'!$H111,0,OFFSET(AP37,0,-1*'Get Started'!$H111)*'Get Started'!$G42*'Get Started'!$G111)+IF(AP4&lt;'Get Started'!$H110,0,OFFSET(AP37,0,-1*'Get Started'!$H110)*'Get Started'!$F42*'Get Started'!$G110)+IF(AP4&lt;'Get Started'!$H109,0,OFFSET(AP37,0,-1*'Get Started'!$H109)*'Get Started'!$E42*'Get Started'!$G109)</f>
        <v>4547812.4999999981</v>
      </c>
      <c r="AQ43" s="29">
        <f ca="1">IF(AQ4&lt;'Get Started'!$H112,0,OFFSET(AQ37,0,-1*'Get Started'!$H112)*'Get Started'!$H42*'Get Started'!$G112)+IF(AQ4&lt;'Get Started'!$H111,0,OFFSET(AQ37,0,-1*'Get Started'!$H111)*'Get Started'!$G42*'Get Started'!$G111)+IF(AQ4&lt;'Get Started'!$H110,0,OFFSET(AQ37,0,-1*'Get Started'!$H110)*'Get Started'!$F42*'Get Started'!$G110)+IF(AQ4&lt;'Get Started'!$H109,0,OFFSET(AQ37,0,-1*'Get Started'!$H109)*'Get Started'!$E42*'Get Started'!$G109)</f>
        <v>5457374.9999999981</v>
      </c>
      <c r="AR43" s="29">
        <f ca="1">IF(AR4&lt;'Get Started'!$H112,0,OFFSET(AR37,0,-1*'Get Started'!$H112)*'Get Started'!$H42*'Get Started'!$G112)+IF(AR4&lt;'Get Started'!$H111,0,OFFSET(AR37,0,-1*'Get Started'!$H111)*'Get Started'!$G42*'Get Started'!$G111)+IF(AR4&lt;'Get Started'!$H110,0,OFFSET(AR37,0,-1*'Get Started'!$H110)*'Get Started'!$F42*'Get Started'!$G110)+IF(AR4&lt;'Get Started'!$H109,0,OFFSET(AR37,0,-1*'Get Started'!$H109)*'Get Started'!$E42*'Get Started'!$G109)</f>
        <v>5457374.9999999981</v>
      </c>
      <c r="AS43" s="29">
        <f ca="1">IF(AS4&lt;'Get Started'!$H112,0,OFFSET(AS37,0,-1*'Get Started'!$H112)*'Get Started'!$H42*'Get Started'!$G112)+IF(AS4&lt;'Get Started'!$H111,0,OFFSET(AS37,0,-1*'Get Started'!$H111)*'Get Started'!$G42*'Get Started'!$G111)+IF(AS4&lt;'Get Started'!$H110,0,OFFSET(AS37,0,-1*'Get Started'!$H110)*'Get Started'!$F42*'Get Started'!$G110)+IF(AS4&lt;'Get Started'!$H109,0,OFFSET(AS37,0,-1*'Get Started'!$H109)*'Get Started'!$E42*'Get Started'!$G109)</f>
        <v>5457374.9999999981</v>
      </c>
      <c r="AT43" s="29">
        <f ca="1">IF(AT4&lt;'Get Started'!$H112,0,OFFSET(AT37,0,-1*'Get Started'!$H112)*'Get Started'!$H42*'Get Started'!$G112)+IF(AT4&lt;'Get Started'!$H111,0,OFFSET(AT37,0,-1*'Get Started'!$H111)*'Get Started'!$G42*'Get Started'!$G111)+IF(AT4&lt;'Get Started'!$H110,0,OFFSET(AT37,0,-1*'Get Started'!$H110)*'Get Started'!$F42*'Get Started'!$G110)+IF(AT4&lt;'Get Started'!$H109,0,OFFSET(AT37,0,-1*'Get Started'!$H109)*'Get Started'!$E42*'Get Started'!$G109)</f>
        <v>5457374.9999999981</v>
      </c>
      <c r="AU43" s="29">
        <f ca="1">IF(AU4&lt;'Get Started'!$H112,0,OFFSET(AU37,0,-1*'Get Started'!$H112)*'Get Started'!$H42*'Get Started'!$G112)+IF(AU4&lt;'Get Started'!$H111,0,OFFSET(AU37,0,-1*'Get Started'!$H111)*'Get Started'!$G42*'Get Started'!$G111)+IF(AU4&lt;'Get Started'!$H110,0,OFFSET(AU37,0,-1*'Get Started'!$H110)*'Get Started'!$F42*'Get Started'!$G110)+IF(AU4&lt;'Get Started'!$H109,0,OFFSET(AU37,0,-1*'Get Started'!$H109)*'Get Started'!$E42*'Get Started'!$G109)</f>
        <v>0</v>
      </c>
      <c r="AV43" s="29">
        <f ca="1">IF(AV4&lt;'Get Started'!$H112,0,OFFSET(AV37,0,-1*'Get Started'!$H112)*'Get Started'!$H42*'Get Started'!$G112)+IF(AV4&lt;'Get Started'!$H111,0,OFFSET(AV37,0,-1*'Get Started'!$H111)*'Get Started'!$G42*'Get Started'!$G111)+IF(AV4&lt;'Get Started'!$H110,0,OFFSET(AV37,0,-1*'Get Started'!$H110)*'Get Started'!$F42*'Get Started'!$G110)+IF(AV4&lt;'Get Started'!$H109,0,OFFSET(AV37,0,-1*'Get Started'!$H109)*'Get Started'!$E42*'Get Started'!$G109)</f>
        <v>0</v>
      </c>
      <c r="AW43" s="29">
        <f ca="1">IF(AW4&lt;'Get Started'!$H112,0,OFFSET(AW37,0,-1*'Get Started'!$H112)*'Get Started'!$H42*'Get Started'!$G112)+IF(AW4&lt;'Get Started'!$H111,0,OFFSET(AW37,0,-1*'Get Started'!$H111)*'Get Started'!$G42*'Get Started'!$G111)+IF(AW4&lt;'Get Started'!$H110,0,OFFSET(AW37,0,-1*'Get Started'!$H110)*'Get Started'!$F42*'Get Started'!$G110)+IF(AW4&lt;'Get Started'!$H109,0,OFFSET(AW37,0,-1*'Get Started'!$H109)*'Get Started'!$E42*'Get Started'!$G109)</f>
        <v>0</v>
      </c>
      <c r="AX43" s="29">
        <f ca="1">IF(AX4&lt;'Get Started'!$H112,0,OFFSET(AX37,0,-1*'Get Started'!$H112)*'Get Started'!$H42*'Get Started'!$G112)+IF(AX4&lt;'Get Started'!$H111,0,OFFSET(AX37,0,-1*'Get Started'!$H111)*'Get Started'!$G42*'Get Started'!$G111)+IF(AX4&lt;'Get Started'!$H110,0,OFFSET(AX37,0,-1*'Get Started'!$H110)*'Get Started'!$F42*'Get Started'!$G110)+IF(AX4&lt;'Get Started'!$H109,0,OFFSET(AX37,0,-1*'Get Started'!$H109)*'Get Started'!$E42*'Get Started'!$G109)</f>
        <v>0</v>
      </c>
      <c r="AY43" s="29">
        <f ca="1">IF(AY4&lt;'Get Started'!$H112,0,OFFSET(AY37,0,-1*'Get Started'!$H112)*'Get Started'!$H42*'Get Started'!$G112)+IF(AY4&lt;'Get Started'!$H111,0,OFFSET(AY37,0,-1*'Get Started'!$H111)*'Get Started'!$G42*'Get Started'!$G111)+IF(AY4&lt;'Get Started'!$H110,0,OFFSET(AY37,0,-1*'Get Started'!$H110)*'Get Started'!$F42*'Get Started'!$G110)+IF(AY4&lt;'Get Started'!$H109,0,OFFSET(AY37,0,-1*'Get Started'!$H109)*'Get Started'!$E42*'Get Started'!$G109)</f>
        <v>0</v>
      </c>
      <c r="AZ43" s="29">
        <f ca="1">IF(AZ4&lt;'Get Started'!$H112,0,OFFSET(AZ37,0,-1*'Get Started'!$H112)*'Get Started'!$H42*'Get Started'!$G112)+IF(AZ4&lt;'Get Started'!$H111,0,OFFSET(AZ37,0,-1*'Get Started'!$H111)*'Get Started'!$G42*'Get Started'!$G111)+IF(AZ4&lt;'Get Started'!$H110,0,OFFSET(AZ37,0,-1*'Get Started'!$H110)*'Get Started'!$F42*'Get Started'!$G110)+IF(AZ4&lt;'Get Started'!$H109,0,OFFSET(AZ37,0,-1*'Get Started'!$H109)*'Get Started'!$E42*'Get Started'!$G109)</f>
        <v>0</v>
      </c>
      <c r="BA43" s="29">
        <f ca="1">IF(BA4&lt;'Get Started'!$H112,0,OFFSET(BA37,0,-1*'Get Started'!$H112)*'Get Started'!$H42*'Get Started'!$G112)+IF(BA4&lt;'Get Started'!$H111,0,OFFSET(BA37,0,-1*'Get Started'!$H111)*'Get Started'!$G42*'Get Started'!$G111)+IF(BA4&lt;'Get Started'!$H110,0,OFFSET(BA37,0,-1*'Get Started'!$H110)*'Get Started'!$F42*'Get Started'!$G110)+IF(BA4&lt;'Get Started'!$H109,0,OFFSET(BA37,0,-1*'Get Started'!$H109)*'Get Started'!$E42*'Get Started'!$G109)</f>
        <v>0</v>
      </c>
      <c r="BB43" s="29">
        <f ca="1">IF(BB4&lt;'Get Started'!$H112,0,OFFSET(BB37,0,-1*'Get Started'!$H112)*'Get Started'!$H42*'Get Started'!$G112)+IF(BB4&lt;'Get Started'!$H111,0,OFFSET(BB37,0,-1*'Get Started'!$H111)*'Get Started'!$G42*'Get Started'!$G111)+IF(BB4&lt;'Get Started'!$H110,0,OFFSET(BB37,0,-1*'Get Started'!$H110)*'Get Started'!$F42*'Get Started'!$G110)+IF(BB4&lt;'Get Started'!$H109,0,OFFSET(BB37,0,-1*'Get Started'!$H109)*'Get Started'!$E42*'Get Started'!$G109)</f>
        <v>0</v>
      </c>
      <c r="BC43" s="29">
        <f ca="1">IF(BC4&lt;'Get Started'!$H112,0,OFFSET(BC37,0,-1*'Get Started'!$H112)*'Get Started'!$H42*'Get Started'!$G112)+IF(BC4&lt;'Get Started'!$H111,0,OFFSET(BC37,0,-1*'Get Started'!$H111)*'Get Started'!$G42*'Get Started'!$G111)+IF(BC4&lt;'Get Started'!$H110,0,OFFSET(BC37,0,-1*'Get Started'!$H110)*'Get Started'!$F42*'Get Started'!$G110)+IF(BC4&lt;'Get Started'!$H109,0,OFFSET(BC37,0,-1*'Get Started'!$H109)*'Get Started'!$E42*'Get Started'!$G109)</f>
        <v>0</v>
      </c>
      <c r="BD43" s="29">
        <f ca="1">IF(BD4&lt;'Get Started'!$H112,0,OFFSET(BD37,0,-1*'Get Started'!$H112)*'Get Started'!$H42*'Get Started'!$G112)+IF(BD4&lt;'Get Started'!$H111,0,OFFSET(BD37,0,-1*'Get Started'!$H111)*'Get Started'!$G42*'Get Started'!$G111)+IF(BD4&lt;'Get Started'!$H110,0,OFFSET(BD37,0,-1*'Get Started'!$H110)*'Get Started'!$F42*'Get Started'!$G110)+IF(BD4&lt;'Get Started'!$H109,0,OFFSET(BD37,0,-1*'Get Started'!$H109)*'Get Started'!$E42*'Get Started'!$G109)</f>
        <v>0</v>
      </c>
      <c r="BE43" s="29">
        <f ca="1">IF(BE4&lt;'Get Started'!$H112,0,OFFSET(BE37,0,-1*'Get Started'!$H112)*'Get Started'!$H42*'Get Started'!$G112)+IF(BE4&lt;'Get Started'!$H111,0,OFFSET(BE37,0,-1*'Get Started'!$H111)*'Get Started'!$G42*'Get Started'!$G111)+IF(BE4&lt;'Get Started'!$H110,0,OFFSET(BE37,0,-1*'Get Started'!$H110)*'Get Started'!$F42*'Get Started'!$G110)+IF(BE4&lt;'Get Started'!$H109,0,OFFSET(BE37,0,-1*'Get Started'!$H109)*'Get Started'!$E42*'Get Started'!$G109)</f>
        <v>0</v>
      </c>
      <c r="BF43" s="29">
        <f ca="1">IF(BF4&lt;'Get Started'!$H112,0,OFFSET(BF37,0,-1*'Get Started'!$H112)*'Get Started'!$H42*'Get Started'!$G112)+IF(BF4&lt;'Get Started'!$H111,0,OFFSET(BF37,0,-1*'Get Started'!$H111)*'Get Started'!$G42*'Get Started'!$G111)+IF(BF4&lt;'Get Started'!$H110,0,OFFSET(BF37,0,-1*'Get Started'!$H110)*'Get Started'!$F42*'Get Started'!$G110)+IF(BF4&lt;'Get Started'!$H109,0,OFFSET(BF37,0,-1*'Get Started'!$H109)*'Get Started'!$E42*'Get Started'!$G109)</f>
        <v>0</v>
      </c>
      <c r="BG43" s="29">
        <f ca="1">IF(BG4&lt;'Get Started'!$H112,0,OFFSET(BG37,0,-1*'Get Started'!$H112)*'Get Started'!$H42*'Get Started'!$G112)+IF(BG4&lt;'Get Started'!$H111,0,OFFSET(BG37,0,-1*'Get Started'!$H111)*'Get Started'!$G42*'Get Started'!$G111)+IF(BG4&lt;'Get Started'!$H110,0,OFFSET(BG37,0,-1*'Get Started'!$H110)*'Get Started'!$F42*'Get Started'!$G110)+IF(BG4&lt;'Get Started'!$H109,0,OFFSET(BG37,0,-1*'Get Started'!$H109)*'Get Started'!$E42*'Get Started'!$G109)</f>
        <v>0</v>
      </c>
      <c r="BH43" s="29">
        <f ca="1">IF(BH4&lt;'Get Started'!$H112,0,OFFSET(BH37,0,-1*'Get Started'!$H112)*'Get Started'!$H42*'Get Started'!$G112)+IF(BH4&lt;'Get Started'!$H111,0,OFFSET(BH37,0,-1*'Get Started'!$H111)*'Get Started'!$G42*'Get Started'!$G111)+IF(BH4&lt;'Get Started'!$H110,0,OFFSET(BH37,0,-1*'Get Started'!$H110)*'Get Started'!$F42*'Get Started'!$G110)+IF(BH4&lt;'Get Started'!$H109,0,OFFSET(BH37,0,-1*'Get Started'!$H109)*'Get Started'!$E42*'Get Started'!$G109)</f>
        <v>0</v>
      </c>
      <c r="BI43" s="29">
        <f ca="1">IF(BI4&lt;'Get Started'!$H112,0,OFFSET(BI37,0,-1*'Get Started'!$H112)*'Get Started'!$H42*'Get Started'!$G112)+IF(BI4&lt;'Get Started'!$H111,0,OFFSET(BI37,0,-1*'Get Started'!$H111)*'Get Started'!$G42*'Get Started'!$G111)+IF(BI4&lt;'Get Started'!$H110,0,OFFSET(BI37,0,-1*'Get Started'!$H110)*'Get Started'!$F42*'Get Started'!$G110)+IF(BI4&lt;'Get Started'!$H109,0,OFFSET(BI37,0,-1*'Get Started'!$H109)*'Get Started'!$E42*'Get Started'!$G109)</f>
        <v>0</v>
      </c>
      <c r="BJ43" s="29">
        <f ca="1">IF(BJ4&lt;'Get Started'!$H112,0,OFFSET(BJ37,0,-1*'Get Started'!$H112)*'Get Started'!$H42*'Get Started'!$G112)+IF(BJ4&lt;'Get Started'!$H111,0,OFFSET(BJ37,0,-1*'Get Started'!$H111)*'Get Started'!$G42*'Get Started'!$G111)+IF(BJ4&lt;'Get Started'!$H110,0,OFFSET(BJ37,0,-1*'Get Started'!$H110)*'Get Started'!$F42*'Get Started'!$G110)+IF(BJ4&lt;'Get Started'!$H109,0,OFFSET(BJ37,0,-1*'Get Started'!$H109)*'Get Started'!$E42*'Get Started'!$G109)</f>
        <v>0</v>
      </c>
      <c r="BK43" s="29">
        <f ca="1">IF(BK4&lt;'Get Started'!$H112,0,OFFSET(BK37,0,-1*'Get Started'!$H112)*'Get Started'!$H42*'Get Started'!$G112)+IF(BK4&lt;'Get Started'!$H111,0,OFFSET(BK37,0,-1*'Get Started'!$H111)*'Get Started'!$G42*'Get Started'!$G111)+IF(BK4&lt;'Get Started'!$H110,0,OFFSET(BK37,0,-1*'Get Started'!$H110)*'Get Started'!$F42*'Get Started'!$G110)+IF(BK4&lt;'Get Started'!$H109,0,OFFSET(BK37,0,-1*'Get Started'!$H109)*'Get Started'!$E42*'Get Started'!$G109)</f>
        <v>0</v>
      </c>
      <c r="BL43" s="29">
        <f ca="1">IF(BL4&lt;'Get Started'!$H112,0,OFFSET(BL37,0,-1*'Get Started'!$H112)*'Get Started'!$H42*'Get Started'!$G112)+IF(BL4&lt;'Get Started'!$H111,0,OFFSET(BL37,0,-1*'Get Started'!$H111)*'Get Started'!$G42*'Get Started'!$G111)+IF(BL4&lt;'Get Started'!$H110,0,OFFSET(BL37,0,-1*'Get Started'!$H110)*'Get Started'!$F42*'Get Started'!$G110)+IF(BL4&lt;'Get Started'!$H109,0,OFFSET(BL37,0,-1*'Get Started'!$H109)*'Get Started'!$E42*'Get Started'!$G109)</f>
        <v>0</v>
      </c>
      <c r="BM43" s="29">
        <f ca="1">IF(BM4&lt;'Get Started'!$H112,0,OFFSET(BM37,0,-1*'Get Started'!$H112)*'Get Started'!$H42*'Get Started'!$G112)+IF(BM4&lt;'Get Started'!$H111,0,OFFSET(BM37,0,-1*'Get Started'!$H111)*'Get Started'!$G42*'Get Started'!$G111)+IF(BM4&lt;'Get Started'!$H110,0,OFFSET(BM37,0,-1*'Get Started'!$H110)*'Get Started'!$F42*'Get Started'!$G110)+IF(BM4&lt;'Get Started'!$H109,0,OFFSET(BM37,0,-1*'Get Started'!$H109)*'Get Started'!$E42*'Get Started'!$G109)</f>
        <v>0</v>
      </c>
      <c r="BN43" s="29">
        <f ca="1">IF(BN4&lt;'Get Started'!$H112,0,OFFSET(BN37,0,-1*'Get Started'!$H112)*'Get Started'!$H42*'Get Started'!$G112)+IF(BN4&lt;'Get Started'!$H111,0,OFFSET(BN37,0,-1*'Get Started'!$H111)*'Get Started'!$G42*'Get Started'!$G111)+IF(BN4&lt;'Get Started'!$H110,0,OFFSET(BN37,0,-1*'Get Started'!$H110)*'Get Started'!$F42*'Get Started'!$G110)+IF(BN4&lt;'Get Started'!$H109,0,OFFSET(BN37,0,-1*'Get Started'!$H109)*'Get Started'!$E42*'Get Started'!$G109)</f>
        <v>0</v>
      </c>
      <c r="BO43" s="29">
        <f ca="1">IF(BO4&lt;'Get Started'!$H112,0,OFFSET(BO37,0,-1*'Get Started'!$H112)*'Get Started'!$H42*'Get Started'!$G112)+IF(BO4&lt;'Get Started'!$H111,0,OFFSET(BO37,0,-1*'Get Started'!$H111)*'Get Started'!$G42*'Get Started'!$G111)+IF(BO4&lt;'Get Started'!$H110,0,OFFSET(BO37,0,-1*'Get Started'!$H110)*'Get Started'!$F42*'Get Started'!$G110)+IF(BO4&lt;'Get Started'!$H109,0,OFFSET(BO37,0,-1*'Get Started'!$H109)*'Get Started'!$E42*'Get Started'!$G109)</f>
        <v>0</v>
      </c>
      <c r="BP43" s="29">
        <f ca="1">IF(BP4&lt;'Get Started'!$H112,0,OFFSET(BP37,0,-1*'Get Started'!$H112)*'Get Started'!$H42*'Get Started'!$G112)+IF(BP4&lt;'Get Started'!$H111,0,OFFSET(BP37,0,-1*'Get Started'!$H111)*'Get Started'!$G42*'Get Started'!$G111)+IF(BP4&lt;'Get Started'!$H110,0,OFFSET(BP37,0,-1*'Get Started'!$H110)*'Get Started'!$F42*'Get Started'!$G110)+IF(BP4&lt;'Get Started'!$H109,0,OFFSET(BP37,0,-1*'Get Started'!$H109)*'Get Started'!$E42*'Get Started'!$G109)</f>
        <v>0</v>
      </c>
      <c r="BQ43" s="29">
        <f ca="1">IF(BQ4&lt;'Get Started'!$H112,0,OFFSET(BQ37,0,-1*'Get Started'!$H112)*'Get Started'!$H42*'Get Started'!$G112)+IF(BQ4&lt;'Get Started'!$H111,0,OFFSET(BQ37,0,-1*'Get Started'!$H111)*'Get Started'!$G42*'Get Started'!$G111)+IF(BQ4&lt;'Get Started'!$H110,0,OFFSET(BQ37,0,-1*'Get Started'!$H110)*'Get Started'!$F42*'Get Started'!$G110)+IF(BQ4&lt;'Get Started'!$H109,0,OFFSET(BQ37,0,-1*'Get Started'!$H109)*'Get Started'!$E42*'Get Started'!$G109)</f>
        <v>0</v>
      </c>
      <c r="BR43" s="29">
        <f ca="1">IF(BR4&lt;'Get Started'!$H112,0,OFFSET(BR37,0,-1*'Get Started'!$H112)*'Get Started'!$H42*'Get Started'!$G112)+IF(BR4&lt;'Get Started'!$H111,0,OFFSET(BR37,0,-1*'Get Started'!$H111)*'Get Started'!$G42*'Get Started'!$G111)+IF(BR4&lt;'Get Started'!$H110,0,OFFSET(BR37,0,-1*'Get Started'!$H110)*'Get Started'!$F42*'Get Started'!$G110)+IF(BR4&lt;'Get Started'!$H109,0,OFFSET(BR37,0,-1*'Get Started'!$H109)*'Get Started'!$E42*'Get Started'!$G109)</f>
        <v>0</v>
      </c>
      <c r="BS43" s="29">
        <f ca="1">IF(BS4&lt;'Get Started'!$H112,0,OFFSET(BS37,0,-1*'Get Started'!$H112)*'Get Started'!$H42*'Get Started'!$G112)+IF(BS4&lt;'Get Started'!$H111,0,OFFSET(BS37,0,-1*'Get Started'!$H111)*'Get Started'!$G42*'Get Started'!$G111)+IF(BS4&lt;'Get Started'!$H110,0,OFFSET(BS37,0,-1*'Get Started'!$H110)*'Get Started'!$F42*'Get Started'!$G110)+IF(BS4&lt;'Get Started'!$H109,0,OFFSET(BS37,0,-1*'Get Started'!$H109)*'Get Started'!$E42*'Get Started'!$G109)</f>
        <v>0</v>
      </c>
      <c r="BT43" s="29">
        <f ca="1">IF(BT4&lt;'Get Started'!$H112,0,OFFSET(BT37,0,-1*'Get Started'!$H112)*'Get Started'!$H42*'Get Started'!$G112)+IF(BT4&lt;'Get Started'!$H111,0,OFFSET(BT37,0,-1*'Get Started'!$H111)*'Get Started'!$G42*'Get Started'!$G111)+IF(BT4&lt;'Get Started'!$H110,0,OFFSET(BT37,0,-1*'Get Started'!$H110)*'Get Started'!$F42*'Get Started'!$G110)+IF(BT4&lt;'Get Started'!$H109,0,OFFSET(BT37,0,-1*'Get Started'!$H109)*'Get Started'!$E42*'Get Started'!$G109)</f>
        <v>0</v>
      </c>
      <c r="BU43" s="29">
        <f ca="1">IF(BU4&lt;'Get Started'!$H112,0,OFFSET(BU37,0,-1*'Get Started'!$H112)*'Get Started'!$H42*'Get Started'!$G112)+IF(BU4&lt;'Get Started'!$H111,0,OFFSET(BU37,0,-1*'Get Started'!$H111)*'Get Started'!$G42*'Get Started'!$G111)+IF(BU4&lt;'Get Started'!$H110,0,OFFSET(BU37,0,-1*'Get Started'!$H110)*'Get Started'!$F42*'Get Started'!$G110)+IF(BU4&lt;'Get Started'!$H109,0,OFFSET(BU37,0,-1*'Get Started'!$H109)*'Get Started'!$E42*'Get Started'!$G109)</f>
        <v>0</v>
      </c>
      <c r="BV43" s="29">
        <f ca="1">IF(BV4&lt;'Get Started'!$H112,0,OFFSET(BV37,0,-1*'Get Started'!$H112)*'Get Started'!$H42*'Get Started'!$G112)+IF(BV4&lt;'Get Started'!$H111,0,OFFSET(BV37,0,-1*'Get Started'!$H111)*'Get Started'!$G42*'Get Started'!$G111)+IF(BV4&lt;'Get Started'!$H110,0,OFFSET(BV37,0,-1*'Get Started'!$H110)*'Get Started'!$F42*'Get Started'!$G110)+IF(BV4&lt;'Get Started'!$H109,0,OFFSET(BV37,0,-1*'Get Started'!$H109)*'Get Started'!$E42*'Get Started'!$G109)</f>
        <v>0</v>
      </c>
      <c r="BW43" s="29">
        <f ca="1">IF(BW4&lt;'Get Started'!$H112,0,OFFSET(BW37,0,-1*'Get Started'!$H112)*'Get Started'!$H42*'Get Started'!$G112)+IF(BW4&lt;'Get Started'!$H111,0,OFFSET(BW37,0,-1*'Get Started'!$H111)*'Get Started'!$G42*'Get Started'!$G111)+IF(BW4&lt;'Get Started'!$H110,0,OFFSET(BW37,0,-1*'Get Started'!$H110)*'Get Started'!$F42*'Get Started'!$G110)+IF(BW4&lt;'Get Started'!$H109,0,OFFSET(BW37,0,-1*'Get Started'!$H109)*'Get Started'!$E42*'Get Started'!$G109)</f>
        <v>0</v>
      </c>
      <c r="BX43" s="29">
        <f ca="1">IF(BX4&lt;'Get Started'!$H112,0,OFFSET(BX37,0,-1*'Get Started'!$H112)*'Get Started'!$H42*'Get Started'!$G112)+IF(BX4&lt;'Get Started'!$H111,0,OFFSET(BX37,0,-1*'Get Started'!$H111)*'Get Started'!$G42*'Get Started'!$G111)+IF(BX4&lt;'Get Started'!$H110,0,OFFSET(BX37,0,-1*'Get Started'!$H110)*'Get Started'!$F42*'Get Started'!$G110)+IF(BX4&lt;'Get Started'!$H109,0,OFFSET(BX37,0,-1*'Get Started'!$H109)*'Get Started'!$E42*'Get Started'!$G109)</f>
        <v>0</v>
      </c>
      <c r="BY43" s="29">
        <f ca="1">IF(BY4&lt;'Get Started'!$H112,0,OFFSET(BY37,0,-1*'Get Started'!$H112)*'Get Started'!$H42*'Get Started'!$G112)+IF(BY4&lt;'Get Started'!$H111,0,OFFSET(BY37,0,-1*'Get Started'!$H111)*'Get Started'!$G42*'Get Started'!$G111)+IF(BY4&lt;'Get Started'!$H110,0,OFFSET(BY37,0,-1*'Get Started'!$H110)*'Get Started'!$F42*'Get Started'!$G110)+IF(BY4&lt;'Get Started'!$H109,0,OFFSET(BY37,0,-1*'Get Started'!$H109)*'Get Started'!$E42*'Get Started'!$G109)</f>
        <v>0</v>
      </c>
      <c r="BZ43" s="29">
        <f ca="1">IF(BZ4&lt;'Get Started'!$H112,0,OFFSET(BZ37,0,-1*'Get Started'!$H112)*'Get Started'!$H42*'Get Started'!$G112)+IF(BZ4&lt;'Get Started'!$H111,0,OFFSET(BZ37,0,-1*'Get Started'!$H111)*'Get Started'!$G42*'Get Started'!$G111)+IF(BZ4&lt;'Get Started'!$H110,0,OFFSET(BZ37,0,-1*'Get Started'!$H110)*'Get Started'!$F42*'Get Started'!$G110)+IF(BZ4&lt;'Get Started'!$H109,0,OFFSET(BZ37,0,-1*'Get Started'!$H109)*'Get Started'!$E42*'Get Started'!$G109)</f>
        <v>0</v>
      </c>
      <c r="CA43" s="29">
        <f ca="1">IF(CA4&lt;'Get Started'!$H112,0,OFFSET(CA37,0,-1*'Get Started'!$H112)*'Get Started'!$H42*'Get Started'!$G112)+IF(CA4&lt;'Get Started'!$H111,0,OFFSET(CA37,0,-1*'Get Started'!$H111)*'Get Started'!$G42*'Get Started'!$G111)+IF(CA4&lt;'Get Started'!$H110,0,OFFSET(CA37,0,-1*'Get Started'!$H110)*'Get Started'!$F42*'Get Started'!$G110)+IF(CA4&lt;'Get Started'!$H109,0,OFFSET(CA37,0,-1*'Get Started'!$H109)*'Get Started'!$E42*'Get Started'!$G109)</f>
        <v>0</v>
      </c>
      <c r="CB43" s="29">
        <f ca="1">IF(CB4&lt;'Get Started'!$H112,0,OFFSET(CB37,0,-1*'Get Started'!$H112)*'Get Started'!$H42*'Get Started'!$G112)+IF(CB4&lt;'Get Started'!$H111,0,OFFSET(CB37,0,-1*'Get Started'!$H111)*'Get Started'!$G42*'Get Started'!$G111)+IF(CB4&lt;'Get Started'!$H110,0,OFFSET(CB37,0,-1*'Get Started'!$H110)*'Get Started'!$F42*'Get Started'!$G110)+IF(CB4&lt;'Get Started'!$H109,0,OFFSET(CB37,0,-1*'Get Started'!$H109)*'Get Started'!$E42*'Get Started'!$G109)</f>
        <v>0</v>
      </c>
      <c r="CC43" s="29">
        <f ca="1">IF(CC4&lt;'Get Started'!$H112,0,OFFSET(CC37,0,-1*'Get Started'!$H112)*'Get Started'!$H42*'Get Started'!$G112)+IF(CC4&lt;'Get Started'!$H111,0,OFFSET(CC37,0,-1*'Get Started'!$H111)*'Get Started'!$G42*'Get Started'!$G111)+IF(CC4&lt;'Get Started'!$H110,0,OFFSET(CC37,0,-1*'Get Started'!$H110)*'Get Started'!$F42*'Get Started'!$G110)+IF(CC4&lt;'Get Started'!$H109,0,OFFSET(CC37,0,-1*'Get Started'!$H109)*'Get Started'!$E42*'Get Started'!$G109)</f>
        <v>0</v>
      </c>
      <c r="CD43" s="29">
        <f ca="1">IF(CD4&lt;'Get Started'!$H112,0,OFFSET(CD37,0,-1*'Get Started'!$H112)*'Get Started'!$H42*'Get Started'!$G112)+IF(CD4&lt;'Get Started'!$H111,0,OFFSET(CD37,0,-1*'Get Started'!$H111)*'Get Started'!$G42*'Get Started'!$G111)+IF(CD4&lt;'Get Started'!$H110,0,OFFSET(CD37,0,-1*'Get Started'!$H110)*'Get Started'!$F42*'Get Started'!$G110)+IF(CD4&lt;'Get Started'!$H109,0,OFFSET(CD37,0,-1*'Get Started'!$H109)*'Get Started'!$E42*'Get Started'!$G109)</f>
        <v>0</v>
      </c>
      <c r="CE43" s="29">
        <f ca="1">IF(CE4&lt;'Get Started'!$H112,0,OFFSET(CE37,0,-1*'Get Started'!$H112)*'Get Started'!$H42*'Get Started'!$G112)+IF(CE4&lt;'Get Started'!$H111,0,OFFSET(CE37,0,-1*'Get Started'!$H111)*'Get Started'!$G42*'Get Started'!$G111)+IF(CE4&lt;'Get Started'!$H110,0,OFFSET(CE37,0,-1*'Get Started'!$H110)*'Get Started'!$F42*'Get Started'!$G110)+IF(CE4&lt;'Get Started'!$H109,0,OFFSET(CE37,0,-1*'Get Started'!$H109)*'Get Started'!$E42*'Get Started'!$G109)</f>
        <v>0</v>
      </c>
      <c r="CF43" s="29">
        <f ca="1">IF(CF4&lt;'Get Started'!$H112,0,OFFSET(CF37,0,-1*'Get Started'!$H112)*'Get Started'!$H42*'Get Started'!$G112)+IF(CF4&lt;'Get Started'!$H111,0,OFFSET(CF37,0,-1*'Get Started'!$H111)*'Get Started'!$G42*'Get Started'!$G111)+IF(CF4&lt;'Get Started'!$H110,0,OFFSET(CF37,0,-1*'Get Started'!$H110)*'Get Started'!$F42*'Get Started'!$G110)+IF(CF4&lt;'Get Started'!$H109,0,OFFSET(CF37,0,-1*'Get Started'!$H109)*'Get Started'!$E42*'Get Started'!$G109)</f>
        <v>0</v>
      </c>
      <c r="CG43" s="29">
        <f ca="1">IF(CG4&lt;'Get Started'!$H112,0,OFFSET(CG37,0,-1*'Get Started'!$H112)*'Get Started'!$H42*'Get Started'!$G112)+IF(CG4&lt;'Get Started'!$H111,0,OFFSET(CG37,0,-1*'Get Started'!$H111)*'Get Started'!$G42*'Get Started'!$G111)+IF(CG4&lt;'Get Started'!$H110,0,OFFSET(CG37,0,-1*'Get Started'!$H110)*'Get Started'!$F42*'Get Started'!$G110)+IF(CG4&lt;'Get Started'!$H109,0,OFFSET(CG37,0,-1*'Get Started'!$H109)*'Get Started'!$E42*'Get Started'!$G109)</f>
        <v>0</v>
      </c>
      <c r="CH43" s="29">
        <f ca="1">IF(CH4&lt;'Get Started'!$H112,0,OFFSET(CH37,0,-1*'Get Started'!$H112)*'Get Started'!$H42*'Get Started'!$G112)+IF(CH4&lt;'Get Started'!$H111,0,OFFSET(CH37,0,-1*'Get Started'!$H111)*'Get Started'!$G42*'Get Started'!$G111)+IF(CH4&lt;'Get Started'!$H110,0,OFFSET(CH37,0,-1*'Get Started'!$H110)*'Get Started'!$F42*'Get Started'!$G110)+IF(CH4&lt;'Get Started'!$H109,0,OFFSET(CH37,0,-1*'Get Started'!$H109)*'Get Started'!$E42*'Get Started'!$G109)</f>
        <v>0</v>
      </c>
    </row>
    <row r="44" spans="1:86" ht="13">
      <c r="B44" s="15" t="s">
        <v>269</v>
      </c>
      <c r="D44" s="15" t="s">
        <v>238</v>
      </c>
      <c r="E44" s="29">
        <f t="shared" si="15"/>
        <v>0</v>
      </c>
      <c r="F44" s="29"/>
      <c r="G44" s="29">
        <v>0</v>
      </c>
      <c r="H44" s="29">
        <v>0</v>
      </c>
      <c r="I44" s="29">
        <v>0</v>
      </c>
      <c r="J44" s="29">
        <v>0</v>
      </c>
      <c r="K44" s="29">
        <v>0</v>
      </c>
      <c r="L44" s="29">
        <v>0</v>
      </c>
      <c r="M44" s="29">
        <v>0</v>
      </c>
      <c r="N44" s="29">
        <v>0</v>
      </c>
      <c r="O44" s="29">
        <v>0</v>
      </c>
      <c r="P44" s="29">
        <v>0</v>
      </c>
      <c r="Q44" s="29">
        <v>0</v>
      </c>
      <c r="R44" s="29">
        <v>0</v>
      </c>
      <c r="S44" s="29">
        <v>0</v>
      </c>
      <c r="T44" s="29">
        <v>0</v>
      </c>
      <c r="U44" s="29">
        <v>0</v>
      </c>
      <c r="V44" s="29">
        <v>0</v>
      </c>
      <c r="W44" s="29">
        <v>0</v>
      </c>
      <c r="X44" s="29">
        <v>0</v>
      </c>
      <c r="Y44" s="29">
        <v>0</v>
      </c>
      <c r="Z44" s="29">
        <v>0</v>
      </c>
      <c r="AA44" s="29">
        <v>0</v>
      </c>
      <c r="AB44" s="29">
        <v>0</v>
      </c>
      <c r="AC44" s="29">
        <v>0</v>
      </c>
      <c r="AD44" s="29">
        <v>0</v>
      </c>
      <c r="AE44" s="29">
        <v>0</v>
      </c>
      <c r="AF44" s="29">
        <v>0</v>
      </c>
      <c r="AG44" s="29">
        <v>0</v>
      </c>
      <c r="AH44" s="29">
        <v>0</v>
      </c>
      <c r="AI44" s="29">
        <v>0</v>
      </c>
      <c r="AJ44" s="29">
        <v>0</v>
      </c>
      <c r="AK44" s="29">
        <v>0</v>
      </c>
      <c r="AL44" s="29">
        <v>0</v>
      </c>
      <c r="AM44" s="29">
        <v>0</v>
      </c>
      <c r="AN44" s="29">
        <v>0</v>
      </c>
      <c r="AO44" s="29">
        <v>0</v>
      </c>
      <c r="AP44" s="29">
        <v>0</v>
      </c>
      <c r="AQ44" s="29">
        <v>0</v>
      </c>
      <c r="AR44" s="29">
        <v>0</v>
      </c>
      <c r="AS44" s="29">
        <v>0</v>
      </c>
      <c r="AT44" s="29">
        <v>0</v>
      </c>
      <c r="AU44" s="29">
        <v>0</v>
      </c>
      <c r="AV44" s="29">
        <v>0</v>
      </c>
      <c r="AW44" s="29">
        <v>0</v>
      </c>
      <c r="AX44" s="29">
        <v>0</v>
      </c>
      <c r="AY44" s="29">
        <v>0</v>
      </c>
      <c r="AZ44" s="29">
        <v>0</v>
      </c>
      <c r="BA44" s="29">
        <v>0</v>
      </c>
      <c r="BB44" s="29">
        <v>0</v>
      </c>
      <c r="BC44" s="29">
        <v>0</v>
      </c>
      <c r="BD44" s="29">
        <v>0</v>
      </c>
      <c r="BE44" s="29">
        <v>0</v>
      </c>
      <c r="BF44" s="29">
        <v>0</v>
      </c>
      <c r="BG44" s="29">
        <v>0</v>
      </c>
      <c r="BH44" s="29">
        <v>0</v>
      </c>
      <c r="BI44" s="29">
        <v>0</v>
      </c>
      <c r="BJ44" s="29">
        <v>0</v>
      </c>
      <c r="BK44" s="29">
        <v>0</v>
      </c>
      <c r="BL44" s="29">
        <v>0</v>
      </c>
      <c r="BM44" s="29">
        <v>0</v>
      </c>
      <c r="BN44" s="29">
        <v>0</v>
      </c>
      <c r="BO44" s="29">
        <v>0</v>
      </c>
      <c r="BP44" s="29">
        <v>0</v>
      </c>
      <c r="BQ44" s="29">
        <v>0</v>
      </c>
      <c r="BR44" s="29">
        <v>0</v>
      </c>
      <c r="BS44" s="29">
        <v>0</v>
      </c>
      <c r="BT44" s="29">
        <v>0</v>
      </c>
      <c r="BU44" s="29">
        <v>0</v>
      </c>
      <c r="BV44" s="29">
        <v>0</v>
      </c>
      <c r="BW44" s="29">
        <v>0</v>
      </c>
      <c r="BX44" s="29">
        <v>0</v>
      </c>
      <c r="BY44" s="29">
        <v>0</v>
      </c>
      <c r="BZ44" s="29">
        <v>0</v>
      </c>
      <c r="CA44" s="29">
        <v>0</v>
      </c>
      <c r="CB44" s="29">
        <v>0</v>
      </c>
      <c r="CC44" s="29">
        <v>0</v>
      </c>
      <c r="CD44" s="29">
        <v>0</v>
      </c>
      <c r="CE44" s="29">
        <v>0</v>
      </c>
      <c r="CF44" s="29">
        <v>0</v>
      </c>
      <c r="CG44" s="29">
        <v>0</v>
      </c>
      <c r="CH44" s="29">
        <v>0</v>
      </c>
    </row>
    <row r="45" spans="1:86" ht="13">
      <c r="B45" s="15" t="s">
        <v>270</v>
      </c>
      <c r="D45" s="15" t="s">
        <v>238</v>
      </c>
      <c r="E45" s="29">
        <f t="shared" si="15"/>
        <v>0</v>
      </c>
      <c r="F45" s="29"/>
      <c r="G45" s="29">
        <v>0</v>
      </c>
      <c r="H45" s="29">
        <v>0</v>
      </c>
      <c r="I45" s="29">
        <v>0</v>
      </c>
      <c r="J45" s="29">
        <v>0</v>
      </c>
      <c r="K45" s="29">
        <v>0</v>
      </c>
      <c r="L45" s="29">
        <v>0</v>
      </c>
      <c r="M45" s="29">
        <v>0</v>
      </c>
      <c r="N45" s="29">
        <v>0</v>
      </c>
      <c r="O45" s="29">
        <v>0</v>
      </c>
      <c r="P45" s="29">
        <v>0</v>
      </c>
      <c r="Q45" s="29">
        <v>0</v>
      </c>
      <c r="R45" s="29">
        <v>0</v>
      </c>
      <c r="S45" s="29">
        <v>0</v>
      </c>
      <c r="T45" s="29">
        <v>0</v>
      </c>
      <c r="U45" s="29">
        <v>0</v>
      </c>
      <c r="V45" s="29">
        <v>0</v>
      </c>
      <c r="W45" s="29">
        <v>0</v>
      </c>
      <c r="X45" s="29">
        <v>0</v>
      </c>
      <c r="Y45" s="29">
        <v>0</v>
      </c>
      <c r="Z45" s="29">
        <v>0</v>
      </c>
      <c r="AA45" s="29">
        <v>0</v>
      </c>
      <c r="AB45" s="29">
        <v>0</v>
      </c>
      <c r="AC45" s="29">
        <v>0</v>
      </c>
      <c r="AD45" s="29">
        <v>0</v>
      </c>
      <c r="AE45" s="29">
        <v>0</v>
      </c>
      <c r="AF45" s="29">
        <v>0</v>
      </c>
      <c r="AG45" s="29">
        <v>0</v>
      </c>
      <c r="AH45" s="29">
        <v>0</v>
      </c>
      <c r="AI45" s="29">
        <v>0</v>
      </c>
      <c r="AJ45" s="29">
        <v>0</v>
      </c>
      <c r="AK45" s="29">
        <v>0</v>
      </c>
      <c r="AL45" s="29">
        <v>0</v>
      </c>
      <c r="AM45" s="29">
        <v>0</v>
      </c>
      <c r="AN45" s="29">
        <v>0</v>
      </c>
      <c r="AO45" s="29">
        <v>0</v>
      </c>
      <c r="AP45" s="29">
        <v>0</v>
      </c>
      <c r="AQ45" s="29">
        <v>0</v>
      </c>
      <c r="AR45" s="29">
        <v>0</v>
      </c>
      <c r="AS45" s="29">
        <v>0</v>
      </c>
      <c r="AT45" s="29">
        <v>0</v>
      </c>
      <c r="AU45" s="29">
        <v>0</v>
      </c>
      <c r="AV45" s="29">
        <v>0</v>
      </c>
      <c r="AW45" s="29">
        <v>0</v>
      </c>
      <c r="AX45" s="29">
        <v>0</v>
      </c>
      <c r="AY45" s="29">
        <v>0</v>
      </c>
      <c r="AZ45" s="29">
        <v>0</v>
      </c>
      <c r="BA45" s="29">
        <v>0</v>
      </c>
      <c r="BB45" s="29">
        <v>0</v>
      </c>
      <c r="BC45" s="29">
        <v>0</v>
      </c>
      <c r="BD45" s="29">
        <v>0</v>
      </c>
      <c r="BE45" s="29">
        <v>0</v>
      </c>
      <c r="BF45" s="29">
        <v>0</v>
      </c>
      <c r="BG45" s="29">
        <v>0</v>
      </c>
      <c r="BH45" s="29">
        <v>0</v>
      </c>
      <c r="BI45" s="29">
        <v>0</v>
      </c>
      <c r="BJ45" s="29">
        <v>0</v>
      </c>
      <c r="BK45" s="29">
        <v>0</v>
      </c>
      <c r="BL45" s="29">
        <v>0</v>
      </c>
      <c r="BM45" s="29">
        <v>0</v>
      </c>
      <c r="BN45" s="29">
        <v>0</v>
      </c>
      <c r="BO45" s="29">
        <v>0</v>
      </c>
      <c r="BP45" s="29">
        <v>0</v>
      </c>
      <c r="BQ45" s="29">
        <v>0</v>
      </c>
      <c r="BR45" s="29">
        <v>0</v>
      </c>
      <c r="BS45" s="29">
        <v>0</v>
      </c>
      <c r="BT45" s="29">
        <v>0</v>
      </c>
      <c r="BU45" s="29">
        <v>0</v>
      </c>
      <c r="BV45" s="29">
        <v>0</v>
      </c>
      <c r="BW45" s="29">
        <v>0</v>
      </c>
      <c r="BX45" s="29">
        <v>0</v>
      </c>
      <c r="BY45" s="29">
        <v>0</v>
      </c>
      <c r="BZ45" s="29">
        <v>0</v>
      </c>
      <c r="CA45" s="29">
        <v>0</v>
      </c>
      <c r="CB45" s="29">
        <v>0</v>
      </c>
      <c r="CC45" s="29">
        <v>0</v>
      </c>
      <c r="CD45" s="29">
        <v>0</v>
      </c>
      <c r="CE45" s="29">
        <v>0</v>
      </c>
      <c r="CF45" s="29">
        <v>0</v>
      </c>
      <c r="CG45" s="29">
        <v>0</v>
      </c>
      <c r="CH45" s="29">
        <v>0</v>
      </c>
    </row>
    <row r="46" spans="1:86" ht="13">
      <c r="B46" s="15" t="s">
        <v>220</v>
      </c>
      <c r="D46" s="15" t="s">
        <v>238</v>
      </c>
      <c r="E46" s="29">
        <f t="shared" ca="1" si="15"/>
        <v>21803315</v>
      </c>
      <c r="F46" s="29"/>
      <c r="G46" s="29">
        <f t="shared" ref="G46:CH46" ca="1" si="19">G194</f>
        <v>0</v>
      </c>
      <c r="H46" s="29">
        <f t="shared" ca="1" si="19"/>
        <v>0</v>
      </c>
      <c r="I46" s="29">
        <f t="shared" ca="1" si="19"/>
        <v>0</v>
      </c>
      <c r="J46" s="29">
        <f t="shared" ca="1" si="19"/>
        <v>0</v>
      </c>
      <c r="K46" s="29">
        <f t="shared" ca="1" si="19"/>
        <v>0</v>
      </c>
      <c r="L46" s="29">
        <f t="shared" ca="1" si="19"/>
        <v>0</v>
      </c>
      <c r="M46" s="29">
        <f t="shared" ca="1" si="19"/>
        <v>0</v>
      </c>
      <c r="N46" s="29">
        <f t="shared" ca="1" si="19"/>
        <v>0</v>
      </c>
      <c r="O46" s="29">
        <f t="shared" ca="1" si="19"/>
        <v>0</v>
      </c>
      <c r="P46" s="29">
        <f t="shared" ca="1" si="19"/>
        <v>0</v>
      </c>
      <c r="Q46" s="29">
        <f t="shared" ca="1" si="19"/>
        <v>0</v>
      </c>
      <c r="R46" s="29">
        <f t="shared" ca="1" si="19"/>
        <v>0</v>
      </c>
      <c r="S46" s="29">
        <f t="shared" ca="1" si="19"/>
        <v>0</v>
      </c>
      <c r="T46" s="29">
        <f t="shared" ca="1" si="19"/>
        <v>0</v>
      </c>
      <c r="U46" s="29">
        <f t="shared" ca="1" si="19"/>
        <v>0</v>
      </c>
      <c r="V46" s="29">
        <f t="shared" ca="1" si="19"/>
        <v>0</v>
      </c>
      <c r="W46" s="29">
        <f t="shared" ca="1" si="19"/>
        <v>0</v>
      </c>
      <c r="X46" s="29">
        <f t="shared" ca="1" si="19"/>
        <v>0</v>
      </c>
      <c r="Y46" s="29">
        <f t="shared" ca="1" si="19"/>
        <v>399455.65476190578</v>
      </c>
      <c r="Z46" s="29">
        <f t="shared" ca="1" si="19"/>
        <v>429474.10714285728</v>
      </c>
      <c r="AA46" s="29">
        <f t="shared" ca="1" si="19"/>
        <v>393759.82142857183</v>
      </c>
      <c r="AB46" s="29">
        <f t="shared" ca="1" si="19"/>
        <v>393759.82142857183</v>
      </c>
      <c r="AC46" s="29">
        <f t="shared" ca="1" si="19"/>
        <v>393759.82142857183</v>
      </c>
      <c r="AD46" s="29">
        <f t="shared" ca="1" si="19"/>
        <v>393759.82142857183</v>
      </c>
      <c r="AE46" s="29">
        <f t="shared" ca="1" si="19"/>
        <v>1524451.3690476192</v>
      </c>
      <c r="AF46" s="29">
        <f t="shared" ca="1" si="19"/>
        <v>1524451.3690476192</v>
      </c>
      <c r="AG46" s="29">
        <f t="shared" ca="1" si="19"/>
        <v>1524451.3690476192</v>
      </c>
      <c r="AH46" s="29">
        <f t="shared" ca="1" si="19"/>
        <v>1524451.3690476192</v>
      </c>
      <c r="AI46" s="29">
        <f t="shared" ca="1" si="19"/>
        <v>1389823.8095238095</v>
      </c>
      <c r="AJ46" s="29">
        <f t="shared" ca="1" si="19"/>
        <v>1389823.8095238095</v>
      </c>
      <c r="AK46" s="29">
        <f t="shared" ca="1" si="19"/>
        <v>1389823.8095238095</v>
      </c>
      <c r="AL46" s="29">
        <f t="shared" ca="1" si="19"/>
        <v>1389823.8095238095</v>
      </c>
      <c r="AM46" s="29">
        <f t="shared" ca="1" si="19"/>
        <v>879800.59523809515</v>
      </c>
      <c r="AN46" s="29">
        <f t="shared" ca="1" si="19"/>
        <v>879800.59523809515</v>
      </c>
      <c r="AO46" s="29">
        <f t="shared" ca="1" si="19"/>
        <v>879800.59523809515</v>
      </c>
      <c r="AP46" s="29">
        <f t="shared" ca="1" si="19"/>
        <v>879800.59523809515</v>
      </c>
      <c r="AQ46" s="29">
        <f t="shared" ca="1" si="19"/>
        <v>1055760.7142857139</v>
      </c>
      <c r="AR46" s="29">
        <f t="shared" ca="1" si="19"/>
        <v>1055760.7142857139</v>
      </c>
      <c r="AS46" s="29">
        <f t="shared" ca="1" si="19"/>
        <v>1055760.7142857139</v>
      </c>
      <c r="AT46" s="29">
        <f t="shared" ca="1" si="19"/>
        <v>1055760.7142857139</v>
      </c>
      <c r="AU46" s="29">
        <f t="shared" ca="1" si="19"/>
        <v>0</v>
      </c>
      <c r="AV46" s="29">
        <f t="shared" ca="1" si="19"/>
        <v>0</v>
      </c>
      <c r="AW46" s="29">
        <f t="shared" ca="1" si="19"/>
        <v>0</v>
      </c>
      <c r="AX46" s="29">
        <f t="shared" ca="1" si="19"/>
        <v>0</v>
      </c>
      <c r="AY46" s="29">
        <f t="shared" ca="1" si="19"/>
        <v>0</v>
      </c>
      <c r="AZ46" s="29">
        <f t="shared" ca="1" si="19"/>
        <v>0</v>
      </c>
      <c r="BA46" s="29">
        <f t="shared" ca="1" si="19"/>
        <v>0</v>
      </c>
      <c r="BB46" s="29">
        <f t="shared" ca="1" si="19"/>
        <v>0</v>
      </c>
      <c r="BC46" s="29">
        <f t="shared" ca="1" si="19"/>
        <v>0</v>
      </c>
      <c r="BD46" s="29">
        <f t="shared" ca="1" si="19"/>
        <v>0</v>
      </c>
      <c r="BE46" s="29">
        <f t="shared" ca="1" si="19"/>
        <v>0</v>
      </c>
      <c r="BF46" s="29">
        <f t="shared" ca="1" si="19"/>
        <v>0</v>
      </c>
      <c r="BG46" s="29">
        <f t="shared" ca="1" si="19"/>
        <v>0</v>
      </c>
      <c r="BH46" s="29">
        <f t="shared" ca="1" si="19"/>
        <v>0</v>
      </c>
      <c r="BI46" s="29">
        <f t="shared" ca="1" si="19"/>
        <v>0</v>
      </c>
      <c r="BJ46" s="29">
        <f t="shared" ca="1" si="19"/>
        <v>0</v>
      </c>
      <c r="BK46" s="29">
        <f t="shared" ca="1" si="19"/>
        <v>0</v>
      </c>
      <c r="BL46" s="29">
        <f t="shared" ca="1" si="19"/>
        <v>0</v>
      </c>
      <c r="BM46" s="29">
        <f t="shared" ca="1" si="19"/>
        <v>0</v>
      </c>
      <c r="BN46" s="29">
        <f t="shared" ca="1" si="19"/>
        <v>0</v>
      </c>
      <c r="BO46" s="29">
        <f t="shared" ca="1" si="19"/>
        <v>0</v>
      </c>
      <c r="BP46" s="29">
        <f t="shared" ca="1" si="19"/>
        <v>0</v>
      </c>
      <c r="BQ46" s="29">
        <f t="shared" ca="1" si="19"/>
        <v>0</v>
      </c>
      <c r="BR46" s="29">
        <f t="shared" ca="1" si="19"/>
        <v>0</v>
      </c>
      <c r="BS46" s="29">
        <f t="shared" ca="1" si="19"/>
        <v>0</v>
      </c>
      <c r="BT46" s="29">
        <f t="shared" ca="1" si="19"/>
        <v>0</v>
      </c>
      <c r="BU46" s="29">
        <f t="shared" ca="1" si="19"/>
        <v>0</v>
      </c>
      <c r="BV46" s="29">
        <f t="shared" ca="1" si="19"/>
        <v>0</v>
      </c>
      <c r="BW46" s="29">
        <f t="shared" ca="1" si="19"/>
        <v>0</v>
      </c>
      <c r="BX46" s="29">
        <f t="shared" ca="1" si="19"/>
        <v>0</v>
      </c>
      <c r="BY46" s="29">
        <f t="shared" ca="1" si="19"/>
        <v>0</v>
      </c>
      <c r="BZ46" s="29">
        <f t="shared" ca="1" si="19"/>
        <v>0</v>
      </c>
      <c r="CA46" s="29">
        <f t="shared" ca="1" si="19"/>
        <v>0</v>
      </c>
      <c r="CB46" s="29">
        <f t="shared" ca="1" si="19"/>
        <v>0</v>
      </c>
      <c r="CC46" s="29">
        <f t="shared" ca="1" si="19"/>
        <v>0</v>
      </c>
      <c r="CD46" s="29">
        <f t="shared" ca="1" si="19"/>
        <v>0</v>
      </c>
      <c r="CE46" s="29">
        <f t="shared" ca="1" si="19"/>
        <v>0</v>
      </c>
      <c r="CF46" s="29">
        <f t="shared" ca="1" si="19"/>
        <v>0</v>
      </c>
      <c r="CG46" s="29">
        <f t="shared" ca="1" si="19"/>
        <v>0</v>
      </c>
      <c r="CH46" s="29">
        <f t="shared" ca="1" si="19"/>
        <v>0</v>
      </c>
    </row>
    <row r="47" spans="1:86" ht="13">
      <c r="B47" s="15" t="s">
        <v>221</v>
      </c>
      <c r="C47" s="15"/>
      <c r="D47" s="15" t="s">
        <v>238</v>
      </c>
      <c r="E47" s="29">
        <f t="shared" ca="1" si="15"/>
        <v>112213260</v>
      </c>
      <c r="F47" s="29"/>
      <c r="G47" s="29">
        <f t="shared" ref="G47:CH47" ca="1" si="20">G190+G193-G194</f>
        <v>0</v>
      </c>
      <c r="H47" s="29">
        <f t="shared" ca="1" si="20"/>
        <v>0</v>
      </c>
      <c r="I47" s="29">
        <f t="shared" ca="1" si="20"/>
        <v>0</v>
      </c>
      <c r="J47" s="29">
        <f t="shared" ca="1" si="20"/>
        <v>0</v>
      </c>
      <c r="K47" s="29">
        <f t="shared" ca="1" si="20"/>
        <v>0</v>
      </c>
      <c r="L47" s="29">
        <f t="shared" ca="1" si="20"/>
        <v>0</v>
      </c>
      <c r="M47" s="29">
        <f t="shared" ca="1" si="20"/>
        <v>0</v>
      </c>
      <c r="N47" s="29">
        <f t="shared" ca="1" si="20"/>
        <v>0</v>
      </c>
      <c r="O47" s="29">
        <f t="shared" ca="1" si="20"/>
        <v>0</v>
      </c>
      <c r="P47" s="29">
        <f t="shared" ca="1" si="20"/>
        <v>0</v>
      </c>
      <c r="Q47" s="29">
        <f t="shared" ca="1" si="20"/>
        <v>0</v>
      </c>
      <c r="R47" s="29">
        <f t="shared" ca="1" si="20"/>
        <v>0</v>
      </c>
      <c r="S47" s="29">
        <f t="shared" ca="1" si="20"/>
        <v>972125.00000000047</v>
      </c>
      <c r="T47" s="29">
        <f t="shared" ca="1" si="20"/>
        <v>972125.00000000047</v>
      </c>
      <c r="U47" s="29">
        <f t="shared" ca="1" si="20"/>
        <v>972125.00000000047</v>
      </c>
      <c r="V47" s="29">
        <f t="shared" ca="1" si="20"/>
        <v>972125.00000000047</v>
      </c>
      <c r="W47" s="29">
        <f t="shared" ca="1" si="20"/>
        <v>3486656.2500000009</v>
      </c>
      <c r="X47" s="29">
        <f t="shared" ca="1" si="20"/>
        <v>3486656.2500000009</v>
      </c>
      <c r="Y47" s="29">
        <f t="shared" ca="1" si="20"/>
        <v>3087200.5952380951</v>
      </c>
      <c r="Z47" s="29">
        <f t="shared" ca="1" si="20"/>
        <v>3057182.1428571437</v>
      </c>
      <c r="AA47" s="29">
        <f t="shared" ca="1" si="20"/>
        <v>3092896.4285714291</v>
      </c>
      <c r="AB47" s="29">
        <f t="shared" ca="1" si="20"/>
        <v>3092896.4285714291</v>
      </c>
      <c r="AC47" s="29">
        <f t="shared" ca="1" si="20"/>
        <v>3092896.4285714291</v>
      </c>
      <c r="AD47" s="29">
        <f t="shared" ca="1" si="20"/>
        <v>3092896.4285714291</v>
      </c>
      <c r="AE47" s="29">
        <f t="shared" ca="1" si="20"/>
        <v>6752567.3809523787</v>
      </c>
      <c r="AF47" s="29">
        <f t="shared" ca="1" si="20"/>
        <v>6752567.3809523787</v>
      </c>
      <c r="AG47" s="29">
        <f t="shared" ca="1" si="20"/>
        <v>6752567.3809523787</v>
      </c>
      <c r="AH47" s="29">
        <f t="shared" ca="1" si="20"/>
        <v>6752567.3809523787</v>
      </c>
      <c r="AI47" s="29">
        <f t="shared" ca="1" si="20"/>
        <v>5886676.1904761884</v>
      </c>
      <c r="AJ47" s="29">
        <f t="shared" ca="1" si="20"/>
        <v>5886676.1904761884</v>
      </c>
      <c r="AK47" s="29">
        <f t="shared" ca="1" si="20"/>
        <v>5886676.1904761884</v>
      </c>
      <c r="AL47" s="29">
        <f t="shared" ca="1" si="20"/>
        <v>5886676.1904761884</v>
      </c>
      <c r="AM47" s="29">
        <f t="shared" ca="1" si="20"/>
        <v>3668011.904761903</v>
      </c>
      <c r="AN47" s="29">
        <f t="shared" ca="1" si="20"/>
        <v>3668011.904761903</v>
      </c>
      <c r="AO47" s="29">
        <f t="shared" ca="1" si="20"/>
        <v>3668011.904761903</v>
      </c>
      <c r="AP47" s="29">
        <f t="shared" ca="1" si="20"/>
        <v>3668011.904761903</v>
      </c>
      <c r="AQ47" s="29">
        <f t="shared" ca="1" si="20"/>
        <v>4401614.2857142845</v>
      </c>
      <c r="AR47" s="29">
        <f t="shared" ca="1" si="20"/>
        <v>4401614.2857142845</v>
      </c>
      <c r="AS47" s="29">
        <f t="shared" ca="1" si="20"/>
        <v>4401614.2857142845</v>
      </c>
      <c r="AT47" s="29">
        <f t="shared" ca="1" si="20"/>
        <v>4401614.2857142845</v>
      </c>
      <c r="AU47" s="29">
        <f t="shared" ca="1" si="20"/>
        <v>0</v>
      </c>
      <c r="AV47" s="29">
        <f t="shared" ca="1" si="20"/>
        <v>0</v>
      </c>
      <c r="AW47" s="29">
        <f t="shared" ca="1" si="20"/>
        <v>0</v>
      </c>
      <c r="AX47" s="29">
        <f t="shared" ca="1" si="20"/>
        <v>0</v>
      </c>
      <c r="AY47" s="29">
        <f t="shared" ca="1" si="20"/>
        <v>0</v>
      </c>
      <c r="AZ47" s="29">
        <f t="shared" ca="1" si="20"/>
        <v>0</v>
      </c>
      <c r="BA47" s="29">
        <f t="shared" ca="1" si="20"/>
        <v>0</v>
      </c>
      <c r="BB47" s="29">
        <f t="shared" ca="1" si="20"/>
        <v>0</v>
      </c>
      <c r="BC47" s="29">
        <f t="shared" ca="1" si="20"/>
        <v>0</v>
      </c>
      <c r="BD47" s="29">
        <f t="shared" ca="1" si="20"/>
        <v>0</v>
      </c>
      <c r="BE47" s="29">
        <f t="shared" ca="1" si="20"/>
        <v>0</v>
      </c>
      <c r="BF47" s="29">
        <f t="shared" ca="1" si="20"/>
        <v>0</v>
      </c>
      <c r="BG47" s="29">
        <f t="shared" ca="1" si="20"/>
        <v>0</v>
      </c>
      <c r="BH47" s="29">
        <f t="shared" ca="1" si="20"/>
        <v>0</v>
      </c>
      <c r="BI47" s="29">
        <f t="shared" ca="1" si="20"/>
        <v>0</v>
      </c>
      <c r="BJ47" s="29">
        <f t="shared" ca="1" si="20"/>
        <v>0</v>
      </c>
      <c r="BK47" s="29">
        <f t="shared" ca="1" si="20"/>
        <v>0</v>
      </c>
      <c r="BL47" s="29">
        <f t="shared" ca="1" si="20"/>
        <v>0</v>
      </c>
      <c r="BM47" s="29">
        <f t="shared" ca="1" si="20"/>
        <v>0</v>
      </c>
      <c r="BN47" s="29">
        <f t="shared" ca="1" si="20"/>
        <v>0</v>
      </c>
      <c r="BO47" s="29">
        <f t="shared" ca="1" si="20"/>
        <v>0</v>
      </c>
      <c r="BP47" s="29">
        <f t="shared" ca="1" si="20"/>
        <v>0</v>
      </c>
      <c r="BQ47" s="29">
        <f t="shared" ca="1" si="20"/>
        <v>0</v>
      </c>
      <c r="BR47" s="29">
        <f t="shared" ca="1" si="20"/>
        <v>0</v>
      </c>
      <c r="BS47" s="29">
        <f t="shared" ca="1" si="20"/>
        <v>0</v>
      </c>
      <c r="BT47" s="29">
        <f t="shared" ca="1" si="20"/>
        <v>0</v>
      </c>
      <c r="BU47" s="29">
        <f t="shared" ca="1" si="20"/>
        <v>0</v>
      </c>
      <c r="BV47" s="29">
        <f t="shared" ca="1" si="20"/>
        <v>0</v>
      </c>
      <c r="BW47" s="29">
        <f t="shared" ca="1" si="20"/>
        <v>0</v>
      </c>
      <c r="BX47" s="29">
        <f t="shared" ca="1" si="20"/>
        <v>0</v>
      </c>
      <c r="BY47" s="29">
        <f t="shared" ca="1" si="20"/>
        <v>0</v>
      </c>
      <c r="BZ47" s="29">
        <f t="shared" ca="1" si="20"/>
        <v>0</v>
      </c>
      <c r="CA47" s="29">
        <f t="shared" ca="1" si="20"/>
        <v>0</v>
      </c>
      <c r="CB47" s="29">
        <f t="shared" ca="1" si="20"/>
        <v>0</v>
      </c>
      <c r="CC47" s="29">
        <f t="shared" ca="1" si="20"/>
        <v>0</v>
      </c>
      <c r="CD47" s="29">
        <f t="shared" ca="1" si="20"/>
        <v>0</v>
      </c>
      <c r="CE47" s="29">
        <f t="shared" ca="1" si="20"/>
        <v>0</v>
      </c>
      <c r="CF47" s="29">
        <f t="shared" ca="1" si="20"/>
        <v>0</v>
      </c>
      <c r="CG47" s="29">
        <f t="shared" ca="1" si="20"/>
        <v>0</v>
      </c>
      <c r="CH47" s="29">
        <f t="shared" ca="1" si="20"/>
        <v>0</v>
      </c>
    </row>
    <row r="48" spans="1:86" ht="13">
      <c r="B48" s="15" t="s">
        <v>271</v>
      </c>
      <c r="C48" s="15"/>
      <c r="D48" s="15" t="s">
        <v>238</v>
      </c>
      <c r="E48" s="29">
        <f t="shared" ca="1" si="15"/>
        <v>12127500</v>
      </c>
      <c r="F48" s="29"/>
      <c r="G48" s="29">
        <f ca="1">IF('Get Started'!$G112&lt;&gt;0,0,IF(G4&lt;'Get Started'!$H112,0,OFFSET(G37,0,-1*'Get Started'!$H112)*'Get Started'!$H42))+IF('Get Started'!$G111&lt;&gt;0,0,IF(G4&lt;'Get Started'!$H111,0,OFFSET(G37,0,-1*'Get Started'!$H111)*'Get Started'!$G42))+IF('Get Started'!$G110&lt;&gt;0,0,IF(G4&lt;'Get Started'!$H110,0,OFFSET(G37,0,-1*'Get Started'!$H110)*'Get Started'!$F42))+IF('Get Started'!$G109&lt;&gt;0,0,IF(G4&lt;'Get Started'!$H109,0,OFFSET(G37,0,-1*'Get Started'!$H109)*'Get Started'!$E42))</f>
        <v>0</v>
      </c>
      <c r="H48" s="29">
        <f ca="1">IF('Get Started'!$G112&lt;&gt;0,0,IF(H4&lt;'Get Started'!$H112,0,OFFSET(H37,0,-1*'Get Started'!$H112)*'Get Started'!$H42))+IF('Get Started'!$G111&lt;&gt;0,0,IF(H4&lt;'Get Started'!$H111,0,OFFSET(H37,0,-1*'Get Started'!$H111)*'Get Started'!$G42))+IF('Get Started'!$G110&lt;&gt;0,0,IF(H4&lt;'Get Started'!$H110,0,OFFSET(H37,0,-1*'Get Started'!$H110)*'Get Started'!$F42))+IF('Get Started'!$G109&lt;&gt;0,0,IF(H4&lt;'Get Started'!$H109,0,OFFSET(H37,0,-1*'Get Started'!$H109)*'Get Started'!$E42))</f>
        <v>0</v>
      </c>
      <c r="I48" s="29">
        <f ca="1">IF('Get Started'!$G112&lt;&gt;0,0,IF(I4&lt;'Get Started'!$H112,0,OFFSET(I37,0,-1*'Get Started'!$H112)*'Get Started'!$H42))+IF('Get Started'!$G111&lt;&gt;0,0,IF(I4&lt;'Get Started'!$H111,0,OFFSET(I37,0,-1*'Get Started'!$H111)*'Get Started'!$G42))+IF('Get Started'!$G110&lt;&gt;0,0,IF(I4&lt;'Get Started'!$H110,0,OFFSET(I37,0,-1*'Get Started'!$H110)*'Get Started'!$F42))+IF('Get Started'!$G109&lt;&gt;0,0,IF(I4&lt;'Get Started'!$H109,0,OFFSET(I37,0,-1*'Get Started'!$H109)*'Get Started'!$E42))</f>
        <v>0</v>
      </c>
      <c r="J48" s="29">
        <f ca="1">IF('Get Started'!$G112&lt;&gt;0,0,IF(J4&lt;'Get Started'!$H112,0,OFFSET(J37,0,-1*'Get Started'!$H112)*'Get Started'!$H42))+IF('Get Started'!$G111&lt;&gt;0,0,IF(J4&lt;'Get Started'!$H111,0,OFFSET(J37,0,-1*'Get Started'!$H111)*'Get Started'!$G42))+IF('Get Started'!$G110&lt;&gt;0,0,IF(J4&lt;'Get Started'!$H110,0,OFFSET(J37,0,-1*'Get Started'!$H110)*'Get Started'!$F42))+IF('Get Started'!$G109&lt;&gt;0,0,IF(J4&lt;'Get Started'!$H109,0,OFFSET(J37,0,-1*'Get Started'!$H109)*'Get Started'!$E42))</f>
        <v>0</v>
      </c>
      <c r="K48" s="29">
        <f ca="1">IF('Get Started'!$G112&lt;&gt;0,0,IF(K4&lt;'Get Started'!$H112,0,OFFSET(K37,0,-1*'Get Started'!$H112)*'Get Started'!$H42))+IF('Get Started'!$G111&lt;&gt;0,0,IF(K4&lt;'Get Started'!$H111,0,OFFSET(K37,0,-1*'Get Started'!$H111)*'Get Started'!$G42))+IF('Get Started'!$G110&lt;&gt;0,0,IF(K4&lt;'Get Started'!$H110,0,OFFSET(K37,0,-1*'Get Started'!$H110)*'Get Started'!$F42))+IF('Get Started'!$G109&lt;&gt;0,0,IF(K4&lt;'Get Started'!$H109,0,OFFSET(K37,0,-1*'Get Started'!$H109)*'Get Started'!$E42))</f>
        <v>0</v>
      </c>
      <c r="L48" s="29">
        <f ca="1">IF('Get Started'!$G112&lt;&gt;0,0,IF(L4&lt;'Get Started'!$H112,0,OFFSET(L37,0,-1*'Get Started'!$H112)*'Get Started'!$H42))+IF('Get Started'!$G111&lt;&gt;0,0,IF(L4&lt;'Get Started'!$H111,0,OFFSET(L37,0,-1*'Get Started'!$H111)*'Get Started'!$G42))+IF('Get Started'!$G110&lt;&gt;0,0,IF(L4&lt;'Get Started'!$H110,0,OFFSET(L37,0,-1*'Get Started'!$H110)*'Get Started'!$F42))+IF('Get Started'!$G109&lt;&gt;0,0,IF(L4&lt;'Get Started'!$H109,0,OFFSET(L37,0,-1*'Get Started'!$H109)*'Get Started'!$E42))</f>
        <v>0</v>
      </c>
      <c r="M48" s="29">
        <f ca="1">IF('Get Started'!$G112&lt;&gt;0,0,IF(M4&lt;'Get Started'!$H112,0,OFFSET(M37,0,-1*'Get Started'!$H112)*'Get Started'!$H42))+IF('Get Started'!$G111&lt;&gt;0,0,IF(M4&lt;'Get Started'!$H111,0,OFFSET(M37,0,-1*'Get Started'!$H111)*'Get Started'!$G42))+IF('Get Started'!$G110&lt;&gt;0,0,IF(M4&lt;'Get Started'!$H110,0,OFFSET(M37,0,-1*'Get Started'!$H110)*'Get Started'!$F42))+IF('Get Started'!$G109&lt;&gt;0,0,IF(M4&lt;'Get Started'!$H109,0,OFFSET(M37,0,-1*'Get Started'!$H109)*'Get Started'!$E42))</f>
        <v>0</v>
      </c>
      <c r="N48" s="29">
        <f ca="1">IF('Get Started'!$G112&lt;&gt;0,0,IF(N4&lt;'Get Started'!$H112,0,OFFSET(N37,0,-1*'Get Started'!$H112)*'Get Started'!$H42))+IF('Get Started'!$G111&lt;&gt;0,0,IF(N4&lt;'Get Started'!$H111,0,OFFSET(N37,0,-1*'Get Started'!$H111)*'Get Started'!$G42))+IF('Get Started'!$G110&lt;&gt;0,0,IF(N4&lt;'Get Started'!$H110,0,OFFSET(N37,0,-1*'Get Started'!$H110)*'Get Started'!$F42))+IF('Get Started'!$G109&lt;&gt;0,0,IF(N4&lt;'Get Started'!$H109,0,OFFSET(N37,0,-1*'Get Started'!$H109)*'Get Started'!$E42))</f>
        <v>0</v>
      </c>
      <c r="O48" s="29">
        <f ca="1">IF('Get Started'!$G112&lt;&gt;0,0,IF(O4&lt;'Get Started'!$H112,0,OFFSET(O37,0,-1*'Get Started'!$H112)*'Get Started'!$H42))+IF('Get Started'!$G111&lt;&gt;0,0,IF(O4&lt;'Get Started'!$H111,0,OFFSET(O37,0,-1*'Get Started'!$H111)*'Get Started'!$G42))+IF('Get Started'!$G110&lt;&gt;0,0,IF(O4&lt;'Get Started'!$H110,0,OFFSET(O37,0,-1*'Get Started'!$H110)*'Get Started'!$F42))+IF('Get Started'!$G109&lt;&gt;0,0,IF(O4&lt;'Get Started'!$H109,0,OFFSET(O37,0,-1*'Get Started'!$H109)*'Get Started'!$E42))</f>
        <v>721875</v>
      </c>
      <c r="P48" s="29">
        <f ca="1">IF('Get Started'!$G112&lt;&gt;0,0,IF(P4&lt;'Get Started'!$H112,0,OFFSET(P37,0,-1*'Get Started'!$H112)*'Get Started'!$H42))+IF('Get Started'!$G111&lt;&gt;0,0,IF(P4&lt;'Get Started'!$H111,0,OFFSET(P37,0,-1*'Get Started'!$H111)*'Get Started'!$G42))+IF('Get Started'!$G110&lt;&gt;0,0,IF(P4&lt;'Get Started'!$H110,0,OFFSET(P37,0,-1*'Get Started'!$H110)*'Get Started'!$F42))+IF('Get Started'!$G109&lt;&gt;0,0,IF(P4&lt;'Get Started'!$H109,0,OFFSET(P37,0,-1*'Get Started'!$H109)*'Get Started'!$E42))</f>
        <v>721875</v>
      </c>
      <c r="Q48" s="29">
        <f ca="1">IF('Get Started'!$G112&lt;&gt;0,0,IF(Q4&lt;'Get Started'!$H112,0,OFFSET(Q37,0,-1*'Get Started'!$H112)*'Get Started'!$H42))+IF('Get Started'!$G111&lt;&gt;0,0,IF(Q4&lt;'Get Started'!$H111,0,OFFSET(Q37,0,-1*'Get Started'!$H111)*'Get Started'!$G42))+IF('Get Started'!$G110&lt;&gt;0,0,IF(Q4&lt;'Get Started'!$H110,0,OFFSET(Q37,0,-1*'Get Started'!$H110)*'Get Started'!$F42))+IF('Get Started'!$G109&lt;&gt;0,0,IF(Q4&lt;'Get Started'!$H109,0,OFFSET(Q37,0,-1*'Get Started'!$H109)*'Get Started'!$E42))</f>
        <v>721875</v>
      </c>
      <c r="R48" s="29">
        <f ca="1">IF('Get Started'!$G112&lt;&gt;0,0,IF(R4&lt;'Get Started'!$H112,0,OFFSET(R37,0,-1*'Get Started'!$H112)*'Get Started'!$H42))+IF('Get Started'!$G111&lt;&gt;0,0,IF(R4&lt;'Get Started'!$H111,0,OFFSET(R37,0,-1*'Get Started'!$H111)*'Get Started'!$G42))+IF('Get Started'!$G110&lt;&gt;0,0,IF(R4&lt;'Get Started'!$H110,0,OFFSET(R37,0,-1*'Get Started'!$H110)*'Get Started'!$F42))+IF('Get Started'!$G109&lt;&gt;0,0,IF(R4&lt;'Get Started'!$H109,0,OFFSET(R37,0,-1*'Get Started'!$H109)*'Get Started'!$E42))</f>
        <v>721875</v>
      </c>
      <c r="S48" s="29">
        <f ca="1">IF('Get Started'!$G112&lt;&gt;0,0,IF(S4&lt;'Get Started'!$H112,0,OFFSET(S37,0,-1*'Get Started'!$H112)*'Get Started'!$H42))+IF('Get Started'!$G111&lt;&gt;0,0,IF(S4&lt;'Get Started'!$H111,0,OFFSET(S37,0,-1*'Get Started'!$H111)*'Get Started'!$G42))+IF('Get Started'!$G110&lt;&gt;0,0,IF(S4&lt;'Get Started'!$H110,0,OFFSET(S37,0,-1*'Get Started'!$H110)*'Get Started'!$F42))+IF('Get Started'!$G109&lt;&gt;0,0,IF(S4&lt;'Get Started'!$H109,0,OFFSET(S37,0,-1*'Get Started'!$H109)*'Get Started'!$E42))</f>
        <v>721875</v>
      </c>
      <c r="T48" s="29">
        <f ca="1">IF('Get Started'!$G112&lt;&gt;0,0,IF(T4&lt;'Get Started'!$H112,0,OFFSET(T37,0,-1*'Get Started'!$H112)*'Get Started'!$H42))+IF('Get Started'!$G111&lt;&gt;0,0,IF(T4&lt;'Get Started'!$H111,0,OFFSET(T37,0,-1*'Get Started'!$H111)*'Get Started'!$G42))+IF('Get Started'!$G110&lt;&gt;0,0,IF(T4&lt;'Get Started'!$H110,0,OFFSET(T37,0,-1*'Get Started'!$H110)*'Get Started'!$F42))+IF('Get Started'!$G109&lt;&gt;0,0,IF(T4&lt;'Get Started'!$H109,0,OFFSET(T37,0,-1*'Get Started'!$H109)*'Get Started'!$E42))</f>
        <v>721875</v>
      </c>
      <c r="U48" s="29">
        <f ca="1">IF('Get Started'!$G112&lt;&gt;0,0,IF(U4&lt;'Get Started'!$H112,0,OFFSET(U37,0,-1*'Get Started'!$H112)*'Get Started'!$H42))+IF('Get Started'!$G111&lt;&gt;0,0,IF(U4&lt;'Get Started'!$H111,0,OFFSET(U37,0,-1*'Get Started'!$H111)*'Get Started'!$G42))+IF('Get Started'!$G110&lt;&gt;0,0,IF(U4&lt;'Get Started'!$H110,0,OFFSET(U37,0,-1*'Get Started'!$H110)*'Get Started'!$F42))+IF('Get Started'!$G109&lt;&gt;0,0,IF(U4&lt;'Get Started'!$H109,0,OFFSET(U37,0,-1*'Get Started'!$H109)*'Get Started'!$E42))</f>
        <v>721875</v>
      </c>
      <c r="V48" s="29">
        <f ca="1">IF('Get Started'!$G112&lt;&gt;0,0,IF(V4&lt;'Get Started'!$H112,0,OFFSET(V37,0,-1*'Get Started'!$H112)*'Get Started'!$H42))+IF('Get Started'!$G111&lt;&gt;0,0,IF(V4&lt;'Get Started'!$H111,0,OFFSET(V37,0,-1*'Get Started'!$H111)*'Get Started'!$G42))+IF('Get Started'!$G110&lt;&gt;0,0,IF(V4&lt;'Get Started'!$H110,0,OFFSET(V37,0,-1*'Get Started'!$H110)*'Get Started'!$F42))+IF('Get Started'!$G109&lt;&gt;0,0,IF(V4&lt;'Get Started'!$H109,0,OFFSET(V37,0,-1*'Get Started'!$H109)*'Get Started'!$E42))</f>
        <v>721875</v>
      </c>
      <c r="W48" s="29">
        <f ca="1">IF('Get Started'!$G112&lt;&gt;0,0,IF(W4&lt;'Get Started'!$H112,0,OFFSET(W37,0,-1*'Get Started'!$H112)*'Get Started'!$H42))+IF('Get Started'!$G111&lt;&gt;0,0,IF(W4&lt;'Get Started'!$H111,0,OFFSET(W37,0,-1*'Get Started'!$H111)*'Get Started'!$G42))+IF('Get Started'!$G110&lt;&gt;0,0,IF(W4&lt;'Get Started'!$H110,0,OFFSET(W37,0,-1*'Get Started'!$H110)*'Get Started'!$F42))+IF('Get Started'!$G109&lt;&gt;0,0,IF(W4&lt;'Get Started'!$H109,0,OFFSET(W37,0,-1*'Get Started'!$H109)*'Get Started'!$E42))</f>
        <v>721875</v>
      </c>
      <c r="X48" s="29">
        <f ca="1">IF('Get Started'!$G112&lt;&gt;0,0,IF(X4&lt;'Get Started'!$H112,0,OFFSET(X37,0,-1*'Get Started'!$H112)*'Get Started'!$H42))+IF('Get Started'!$G111&lt;&gt;0,0,IF(X4&lt;'Get Started'!$H111,0,OFFSET(X37,0,-1*'Get Started'!$H111)*'Get Started'!$G42))+IF('Get Started'!$G110&lt;&gt;0,0,IF(X4&lt;'Get Started'!$H110,0,OFFSET(X37,0,-1*'Get Started'!$H110)*'Get Started'!$F42))+IF('Get Started'!$G109&lt;&gt;0,0,IF(X4&lt;'Get Started'!$H109,0,OFFSET(X37,0,-1*'Get Started'!$H109)*'Get Started'!$E42))</f>
        <v>721875</v>
      </c>
      <c r="Y48" s="29">
        <f ca="1">IF('Get Started'!$G112&lt;&gt;0,0,IF(Y4&lt;'Get Started'!$H112,0,OFFSET(Y37,0,-1*'Get Started'!$H112)*'Get Started'!$H42))+IF('Get Started'!$G111&lt;&gt;0,0,IF(Y4&lt;'Get Started'!$H111,0,OFFSET(Y37,0,-1*'Get Started'!$H111)*'Get Started'!$G42))+IF('Get Started'!$G110&lt;&gt;0,0,IF(Y4&lt;'Get Started'!$H110,0,OFFSET(Y37,0,-1*'Get Started'!$H110)*'Get Started'!$F42))+IF('Get Started'!$G109&lt;&gt;0,0,IF(Y4&lt;'Get Started'!$H109,0,OFFSET(Y37,0,-1*'Get Started'!$H109)*'Get Started'!$E42))</f>
        <v>721875</v>
      </c>
      <c r="Z48" s="29">
        <f ca="1">IF('Get Started'!$G112&lt;&gt;0,0,IF(Z4&lt;'Get Started'!$H112,0,OFFSET(Z37,0,-1*'Get Started'!$H112)*'Get Started'!$H42))+IF('Get Started'!$G111&lt;&gt;0,0,IF(Z4&lt;'Get Started'!$H111,0,OFFSET(Z37,0,-1*'Get Started'!$H111)*'Get Started'!$G42))+IF('Get Started'!$G110&lt;&gt;0,0,IF(Z4&lt;'Get Started'!$H110,0,OFFSET(Z37,0,-1*'Get Started'!$H110)*'Get Started'!$F42))+IF('Get Started'!$G109&lt;&gt;0,0,IF(Z4&lt;'Get Started'!$H109,0,OFFSET(Z37,0,-1*'Get Started'!$H109)*'Get Started'!$E42))</f>
        <v>721875</v>
      </c>
      <c r="AA48" s="29">
        <f ca="1">IF('Get Started'!$G112&lt;&gt;0,0,IF(AA4&lt;'Get Started'!$H112,0,OFFSET(AA37,0,-1*'Get Started'!$H112)*'Get Started'!$H42))+IF('Get Started'!$G111&lt;&gt;0,0,IF(AA4&lt;'Get Started'!$H111,0,OFFSET(AA37,0,-1*'Get Started'!$H111)*'Get Started'!$G42))+IF('Get Started'!$G110&lt;&gt;0,0,IF(AA4&lt;'Get Started'!$H110,0,OFFSET(AA37,0,-1*'Get Started'!$H110)*'Get Started'!$F42))+IF('Get Started'!$G109&lt;&gt;0,0,IF(AA4&lt;'Get Started'!$H109,0,OFFSET(AA37,0,-1*'Get Started'!$H109)*'Get Started'!$E42))</f>
        <v>866250</v>
      </c>
      <c r="AB48" s="29">
        <f ca="1">IF('Get Started'!$G112&lt;&gt;0,0,IF(AB4&lt;'Get Started'!$H112,0,OFFSET(AB37,0,-1*'Get Started'!$H112)*'Get Started'!$H42))+IF('Get Started'!$G111&lt;&gt;0,0,IF(AB4&lt;'Get Started'!$H111,0,OFFSET(AB37,0,-1*'Get Started'!$H111)*'Get Started'!$G42))+IF('Get Started'!$G110&lt;&gt;0,0,IF(AB4&lt;'Get Started'!$H110,0,OFFSET(AB37,0,-1*'Get Started'!$H110)*'Get Started'!$F42))+IF('Get Started'!$G109&lt;&gt;0,0,IF(AB4&lt;'Get Started'!$H109,0,OFFSET(AB37,0,-1*'Get Started'!$H109)*'Get Started'!$E42))</f>
        <v>866250</v>
      </c>
      <c r="AC48" s="29">
        <f ca="1">IF('Get Started'!$G112&lt;&gt;0,0,IF(AC4&lt;'Get Started'!$H112,0,OFFSET(AC37,0,-1*'Get Started'!$H112)*'Get Started'!$H42))+IF('Get Started'!$G111&lt;&gt;0,0,IF(AC4&lt;'Get Started'!$H111,0,OFFSET(AC37,0,-1*'Get Started'!$H111)*'Get Started'!$G42))+IF('Get Started'!$G110&lt;&gt;0,0,IF(AC4&lt;'Get Started'!$H110,0,OFFSET(AC37,0,-1*'Get Started'!$H110)*'Get Started'!$F42))+IF('Get Started'!$G109&lt;&gt;0,0,IF(AC4&lt;'Get Started'!$H109,0,OFFSET(AC37,0,-1*'Get Started'!$H109)*'Get Started'!$E42))</f>
        <v>866250</v>
      </c>
      <c r="AD48" s="29">
        <f ca="1">IF('Get Started'!$G112&lt;&gt;0,0,IF(AD4&lt;'Get Started'!$H112,0,OFFSET(AD37,0,-1*'Get Started'!$H112)*'Get Started'!$H42))+IF('Get Started'!$G111&lt;&gt;0,0,IF(AD4&lt;'Get Started'!$H111,0,OFFSET(AD37,0,-1*'Get Started'!$H111)*'Get Started'!$G42))+IF('Get Started'!$G110&lt;&gt;0,0,IF(AD4&lt;'Get Started'!$H110,0,OFFSET(AD37,0,-1*'Get Started'!$H110)*'Get Started'!$F42))+IF('Get Started'!$G109&lt;&gt;0,0,IF(AD4&lt;'Get Started'!$H109,0,OFFSET(AD37,0,-1*'Get Started'!$H109)*'Get Started'!$E42))</f>
        <v>866250</v>
      </c>
      <c r="AE48" s="29">
        <f ca="1">IF('Get Started'!$G112&lt;&gt;0,0,IF(AE4&lt;'Get Started'!$H112,0,OFFSET(AE37,0,-1*'Get Started'!$H112)*'Get Started'!$H42))+IF('Get Started'!$G111&lt;&gt;0,0,IF(AE4&lt;'Get Started'!$H111,0,OFFSET(AE37,0,-1*'Get Started'!$H111)*'Get Started'!$G42))+IF('Get Started'!$G110&lt;&gt;0,0,IF(AE4&lt;'Get Started'!$H110,0,OFFSET(AE37,0,-1*'Get Started'!$H110)*'Get Started'!$F42))+IF('Get Started'!$G109&lt;&gt;0,0,IF(AE4&lt;'Get Started'!$H109,0,OFFSET(AE37,0,-1*'Get Started'!$H109)*'Get Started'!$E42))</f>
        <v>0</v>
      </c>
      <c r="AF48" s="29">
        <f ca="1">IF('Get Started'!$G112&lt;&gt;0,0,IF(AF4&lt;'Get Started'!$H112,0,OFFSET(AF37,0,-1*'Get Started'!$H112)*'Get Started'!$H42))+IF('Get Started'!$G111&lt;&gt;0,0,IF(AF4&lt;'Get Started'!$H111,0,OFFSET(AF37,0,-1*'Get Started'!$H111)*'Get Started'!$G42))+IF('Get Started'!$G110&lt;&gt;0,0,IF(AF4&lt;'Get Started'!$H110,0,OFFSET(AF37,0,-1*'Get Started'!$H110)*'Get Started'!$F42))+IF('Get Started'!$G109&lt;&gt;0,0,IF(AF4&lt;'Get Started'!$H109,0,OFFSET(AF37,0,-1*'Get Started'!$H109)*'Get Started'!$E42))</f>
        <v>0</v>
      </c>
      <c r="AG48" s="29">
        <f ca="1">IF('Get Started'!$G112&lt;&gt;0,0,IF(AG4&lt;'Get Started'!$H112,0,OFFSET(AG37,0,-1*'Get Started'!$H112)*'Get Started'!$H42))+IF('Get Started'!$G111&lt;&gt;0,0,IF(AG4&lt;'Get Started'!$H111,0,OFFSET(AG37,0,-1*'Get Started'!$H111)*'Get Started'!$G42))+IF('Get Started'!$G110&lt;&gt;0,0,IF(AG4&lt;'Get Started'!$H110,0,OFFSET(AG37,0,-1*'Get Started'!$H110)*'Get Started'!$F42))+IF('Get Started'!$G109&lt;&gt;0,0,IF(AG4&lt;'Get Started'!$H109,0,OFFSET(AG37,0,-1*'Get Started'!$H109)*'Get Started'!$E42))</f>
        <v>0</v>
      </c>
      <c r="AH48" s="29">
        <f ca="1">IF('Get Started'!$G112&lt;&gt;0,0,IF(AH4&lt;'Get Started'!$H112,0,OFFSET(AH37,0,-1*'Get Started'!$H112)*'Get Started'!$H42))+IF('Get Started'!$G111&lt;&gt;0,0,IF(AH4&lt;'Get Started'!$H111,0,OFFSET(AH37,0,-1*'Get Started'!$H111)*'Get Started'!$G42))+IF('Get Started'!$G110&lt;&gt;0,0,IF(AH4&lt;'Get Started'!$H110,0,OFFSET(AH37,0,-1*'Get Started'!$H110)*'Get Started'!$F42))+IF('Get Started'!$G109&lt;&gt;0,0,IF(AH4&lt;'Get Started'!$H109,0,OFFSET(AH37,0,-1*'Get Started'!$H109)*'Get Started'!$E42))</f>
        <v>0</v>
      </c>
      <c r="AI48" s="29">
        <f ca="1">IF('Get Started'!$G112&lt;&gt;0,0,IF(AI4&lt;'Get Started'!$H112,0,OFFSET(AI37,0,-1*'Get Started'!$H112)*'Get Started'!$H42))+IF('Get Started'!$G111&lt;&gt;0,0,IF(AI4&lt;'Get Started'!$H111,0,OFFSET(AI37,0,-1*'Get Started'!$H111)*'Get Started'!$G42))+IF('Get Started'!$G110&lt;&gt;0,0,IF(AI4&lt;'Get Started'!$H110,0,OFFSET(AI37,0,-1*'Get Started'!$H110)*'Get Started'!$F42))+IF('Get Started'!$G109&lt;&gt;0,0,IF(AI4&lt;'Get Started'!$H109,0,OFFSET(AI37,0,-1*'Get Started'!$H109)*'Get Started'!$E42))</f>
        <v>0</v>
      </c>
      <c r="AJ48" s="29">
        <f ca="1">IF('Get Started'!$G112&lt;&gt;0,0,IF(AJ4&lt;'Get Started'!$H112,0,OFFSET(AJ37,0,-1*'Get Started'!$H112)*'Get Started'!$H42))+IF('Get Started'!$G111&lt;&gt;0,0,IF(AJ4&lt;'Get Started'!$H111,0,OFFSET(AJ37,0,-1*'Get Started'!$H111)*'Get Started'!$G42))+IF('Get Started'!$G110&lt;&gt;0,0,IF(AJ4&lt;'Get Started'!$H110,0,OFFSET(AJ37,0,-1*'Get Started'!$H110)*'Get Started'!$F42))+IF('Get Started'!$G109&lt;&gt;0,0,IF(AJ4&lt;'Get Started'!$H109,0,OFFSET(AJ37,0,-1*'Get Started'!$H109)*'Get Started'!$E42))</f>
        <v>0</v>
      </c>
      <c r="AK48" s="29">
        <f ca="1">IF('Get Started'!$G112&lt;&gt;0,0,IF(AK4&lt;'Get Started'!$H112,0,OFFSET(AK37,0,-1*'Get Started'!$H112)*'Get Started'!$H42))+IF('Get Started'!$G111&lt;&gt;0,0,IF(AK4&lt;'Get Started'!$H111,0,OFFSET(AK37,0,-1*'Get Started'!$H111)*'Get Started'!$G42))+IF('Get Started'!$G110&lt;&gt;0,0,IF(AK4&lt;'Get Started'!$H110,0,OFFSET(AK37,0,-1*'Get Started'!$H110)*'Get Started'!$F42))+IF('Get Started'!$G109&lt;&gt;0,0,IF(AK4&lt;'Get Started'!$H109,0,OFFSET(AK37,0,-1*'Get Started'!$H109)*'Get Started'!$E42))</f>
        <v>0</v>
      </c>
      <c r="AL48" s="29">
        <f ca="1">IF('Get Started'!$G112&lt;&gt;0,0,IF(AL4&lt;'Get Started'!$H112,0,OFFSET(AL37,0,-1*'Get Started'!$H112)*'Get Started'!$H42))+IF('Get Started'!$G111&lt;&gt;0,0,IF(AL4&lt;'Get Started'!$H111,0,OFFSET(AL37,0,-1*'Get Started'!$H111)*'Get Started'!$G42))+IF('Get Started'!$G110&lt;&gt;0,0,IF(AL4&lt;'Get Started'!$H110,0,OFFSET(AL37,0,-1*'Get Started'!$H110)*'Get Started'!$F42))+IF('Get Started'!$G109&lt;&gt;0,0,IF(AL4&lt;'Get Started'!$H109,0,OFFSET(AL37,0,-1*'Get Started'!$H109)*'Get Started'!$E42))</f>
        <v>0</v>
      </c>
      <c r="AM48" s="29">
        <f ca="1">IF('Get Started'!$G112&lt;&gt;0,0,IF(AM4&lt;'Get Started'!$H112,0,OFFSET(AM37,0,-1*'Get Started'!$H112)*'Get Started'!$H42))+IF('Get Started'!$G111&lt;&gt;0,0,IF(AM4&lt;'Get Started'!$H111,0,OFFSET(AM37,0,-1*'Get Started'!$H111)*'Get Started'!$G42))+IF('Get Started'!$G110&lt;&gt;0,0,IF(AM4&lt;'Get Started'!$H110,0,OFFSET(AM37,0,-1*'Get Started'!$H110)*'Get Started'!$F42))+IF('Get Started'!$G109&lt;&gt;0,0,IF(AM4&lt;'Get Started'!$H109,0,OFFSET(AM37,0,-1*'Get Started'!$H109)*'Get Started'!$E42))</f>
        <v>0</v>
      </c>
      <c r="AN48" s="29">
        <f ca="1">IF('Get Started'!$G112&lt;&gt;0,0,IF(AN4&lt;'Get Started'!$H112,0,OFFSET(AN37,0,-1*'Get Started'!$H112)*'Get Started'!$H42))+IF('Get Started'!$G111&lt;&gt;0,0,IF(AN4&lt;'Get Started'!$H111,0,OFFSET(AN37,0,-1*'Get Started'!$H111)*'Get Started'!$G42))+IF('Get Started'!$G110&lt;&gt;0,0,IF(AN4&lt;'Get Started'!$H110,0,OFFSET(AN37,0,-1*'Get Started'!$H110)*'Get Started'!$F42))+IF('Get Started'!$G109&lt;&gt;0,0,IF(AN4&lt;'Get Started'!$H109,0,OFFSET(AN37,0,-1*'Get Started'!$H109)*'Get Started'!$E42))</f>
        <v>0</v>
      </c>
      <c r="AO48" s="29">
        <f ca="1">IF('Get Started'!$G112&lt;&gt;0,0,IF(AO4&lt;'Get Started'!$H112,0,OFFSET(AO37,0,-1*'Get Started'!$H112)*'Get Started'!$H42))+IF('Get Started'!$G111&lt;&gt;0,0,IF(AO4&lt;'Get Started'!$H111,0,OFFSET(AO37,0,-1*'Get Started'!$H111)*'Get Started'!$G42))+IF('Get Started'!$G110&lt;&gt;0,0,IF(AO4&lt;'Get Started'!$H110,0,OFFSET(AO37,0,-1*'Get Started'!$H110)*'Get Started'!$F42))+IF('Get Started'!$G109&lt;&gt;0,0,IF(AO4&lt;'Get Started'!$H109,0,OFFSET(AO37,0,-1*'Get Started'!$H109)*'Get Started'!$E42))</f>
        <v>0</v>
      </c>
      <c r="AP48" s="29">
        <f ca="1">IF('Get Started'!$G112&lt;&gt;0,0,IF(AP4&lt;'Get Started'!$H112,0,OFFSET(AP37,0,-1*'Get Started'!$H112)*'Get Started'!$H42))+IF('Get Started'!$G111&lt;&gt;0,0,IF(AP4&lt;'Get Started'!$H111,0,OFFSET(AP37,0,-1*'Get Started'!$H111)*'Get Started'!$G42))+IF('Get Started'!$G110&lt;&gt;0,0,IF(AP4&lt;'Get Started'!$H110,0,OFFSET(AP37,0,-1*'Get Started'!$H110)*'Get Started'!$F42))+IF('Get Started'!$G109&lt;&gt;0,0,IF(AP4&lt;'Get Started'!$H109,0,OFFSET(AP37,0,-1*'Get Started'!$H109)*'Get Started'!$E42))</f>
        <v>0</v>
      </c>
      <c r="AQ48" s="29">
        <f ca="1">IF('Get Started'!$G112&lt;&gt;0,0,IF(AQ4&lt;'Get Started'!$H112,0,OFFSET(AQ37,0,-1*'Get Started'!$H112)*'Get Started'!$H42))+IF('Get Started'!$G111&lt;&gt;0,0,IF(AQ4&lt;'Get Started'!$H111,0,OFFSET(AQ37,0,-1*'Get Started'!$H111)*'Get Started'!$G42))+IF('Get Started'!$G110&lt;&gt;0,0,IF(AQ4&lt;'Get Started'!$H110,0,OFFSET(AQ37,0,-1*'Get Started'!$H110)*'Get Started'!$F42))+IF('Get Started'!$G109&lt;&gt;0,0,IF(AQ4&lt;'Get Started'!$H109,0,OFFSET(AQ37,0,-1*'Get Started'!$H109)*'Get Started'!$E42))</f>
        <v>0</v>
      </c>
      <c r="AR48" s="29">
        <f ca="1">IF('Get Started'!$G112&lt;&gt;0,0,IF(AR4&lt;'Get Started'!$H112,0,OFFSET(AR37,0,-1*'Get Started'!$H112)*'Get Started'!$H42))+IF('Get Started'!$G111&lt;&gt;0,0,IF(AR4&lt;'Get Started'!$H111,0,OFFSET(AR37,0,-1*'Get Started'!$H111)*'Get Started'!$G42))+IF('Get Started'!$G110&lt;&gt;0,0,IF(AR4&lt;'Get Started'!$H110,0,OFFSET(AR37,0,-1*'Get Started'!$H110)*'Get Started'!$F42))+IF('Get Started'!$G109&lt;&gt;0,0,IF(AR4&lt;'Get Started'!$H109,0,OFFSET(AR37,0,-1*'Get Started'!$H109)*'Get Started'!$E42))</f>
        <v>0</v>
      </c>
      <c r="AS48" s="29">
        <f ca="1">IF('Get Started'!$G112&lt;&gt;0,0,IF(AS4&lt;'Get Started'!$H112,0,OFFSET(AS37,0,-1*'Get Started'!$H112)*'Get Started'!$H42))+IF('Get Started'!$G111&lt;&gt;0,0,IF(AS4&lt;'Get Started'!$H111,0,OFFSET(AS37,0,-1*'Get Started'!$H111)*'Get Started'!$G42))+IF('Get Started'!$G110&lt;&gt;0,0,IF(AS4&lt;'Get Started'!$H110,0,OFFSET(AS37,0,-1*'Get Started'!$H110)*'Get Started'!$F42))+IF('Get Started'!$G109&lt;&gt;0,0,IF(AS4&lt;'Get Started'!$H109,0,OFFSET(AS37,0,-1*'Get Started'!$H109)*'Get Started'!$E42))</f>
        <v>0</v>
      </c>
      <c r="AT48" s="29">
        <f ca="1">IF('Get Started'!$G112&lt;&gt;0,0,IF(AT4&lt;'Get Started'!$H112,0,OFFSET(AT37,0,-1*'Get Started'!$H112)*'Get Started'!$H42))+IF('Get Started'!$G111&lt;&gt;0,0,IF(AT4&lt;'Get Started'!$H111,0,OFFSET(AT37,0,-1*'Get Started'!$H111)*'Get Started'!$G42))+IF('Get Started'!$G110&lt;&gt;0,0,IF(AT4&lt;'Get Started'!$H110,0,OFFSET(AT37,0,-1*'Get Started'!$H110)*'Get Started'!$F42))+IF('Get Started'!$G109&lt;&gt;0,0,IF(AT4&lt;'Get Started'!$H109,0,OFFSET(AT37,0,-1*'Get Started'!$H109)*'Get Started'!$E42))</f>
        <v>0</v>
      </c>
      <c r="AU48" s="29">
        <f ca="1">IF('Get Started'!$G112&lt;&gt;0,0,IF(AU4&lt;'Get Started'!$H112,0,OFFSET(AU37,0,-1*'Get Started'!$H112)*'Get Started'!$H42))+IF('Get Started'!$G111&lt;&gt;0,0,IF(AU4&lt;'Get Started'!$H111,0,OFFSET(AU37,0,-1*'Get Started'!$H111)*'Get Started'!$G42))+IF('Get Started'!$G110&lt;&gt;0,0,IF(AU4&lt;'Get Started'!$H110,0,OFFSET(AU37,0,-1*'Get Started'!$H110)*'Get Started'!$F42))+IF('Get Started'!$G109&lt;&gt;0,0,IF(AU4&lt;'Get Started'!$H109,0,OFFSET(AU37,0,-1*'Get Started'!$H109)*'Get Started'!$E42))</f>
        <v>0</v>
      </c>
      <c r="AV48" s="29">
        <f ca="1">IF('Get Started'!$G112&lt;&gt;0,0,IF(AV4&lt;'Get Started'!$H112,0,OFFSET(AV37,0,-1*'Get Started'!$H112)*'Get Started'!$H42))+IF('Get Started'!$G111&lt;&gt;0,0,IF(AV4&lt;'Get Started'!$H111,0,OFFSET(AV37,0,-1*'Get Started'!$H111)*'Get Started'!$G42))+IF('Get Started'!$G110&lt;&gt;0,0,IF(AV4&lt;'Get Started'!$H110,0,OFFSET(AV37,0,-1*'Get Started'!$H110)*'Get Started'!$F42))+IF('Get Started'!$G109&lt;&gt;0,0,IF(AV4&lt;'Get Started'!$H109,0,OFFSET(AV37,0,-1*'Get Started'!$H109)*'Get Started'!$E42))</f>
        <v>0</v>
      </c>
      <c r="AW48" s="29">
        <f ca="1">IF('Get Started'!$G112&lt;&gt;0,0,IF(AW4&lt;'Get Started'!$H112,0,OFFSET(AW37,0,-1*'Get Started'!$H112)*'Get Started'!$H42))+IF('Get Started'!$G111&lt;&gt;0,0,IF(AW4&lt;'Get Started'!$H111,0,OFFSET(AW37,0,-1*'Get Started'!$H111)*'Get Started'!$G42))+IF('Get Started'!$G110&lt;&gt;0,0,IF(AW4&lt;'Get Started'!$H110,0,OFFSET(AW37,0,-1*'Get Started'!$H110)*'Get Started'!$F42))+IF('Get Started'!$G109&lt;&gt;0,0,IF(AW4&lt;'Get Started'!$H109,0,OFFSET(AW37,0,-1*'Get Started'!$H109)*'Get Started'!$E42))</f>
        <v>0</v>
      </c>
      <c r="AX48" s="29">
        <f ca="1">IF('Get Started'!$G112&lt;&gt;0,0,IF(AX4&lt;'Get Started'!$H112,0,OFFSET(AX37,0,-1*'Get Started'!$H112)*'Get Started'!$H42))+IF('Get Started'!$G111&lt;&gt;0,0,IF(AX4&lt;'Get Started'!$H111,0,OFFSET(AX37,0,-1*'Get Started'!$H111)*'Get Started'!$G42))+IF('Get Started'!$G110&lt;&gt;0,0,IF(AX4&lt;'Get Started'!$H110,0,OFFSET(AX37,0,-1*'Get Started'!$H110)*'Get Started'!$F42))+IF('Get Started'!$G109&lt;&gt;0,0,IF(AX4&lt;'Get Started'!$H109,0,OFFSET(AX37,0,-1*'Get Started'!$H109)*'Get Started'!$E42))</f>
        <v>0</v>
      </c>
      <c r="AY48" s="29">
        <f ca="1">IF('Get Started'!$G112&lt;&gt;0,0,IF(AY4&lt;'Get Started'!$H112,0,OFFSET(AY37,0,-1*'Get Started'!$H112)*'Get Started'!$H42))+IF('Get Started'!$G111&lt;&gt;0,0,IF(AY4&lt;'Get Started'!$H111,0,OFFSET(AY37,0,-1*'Get Started'!$H111)*'Get Started'!$G42))+IF('Get Started'!$G110&lt;&gt;0,0,IF(AY4&lt;'Get Started'!$H110,0,OFFSET(AY37,0,-1*'Get Started'!$H110)*'Get Started'!$F42))+IF('Get Started'!$G109&lt;&gt;0,0,IF(AY4&lt;'Get Started'!$H109,0,OFFSET(AY37,0,-1*'Get Started'!$H109)*'Get Started'!$E42))</f>
        <v>0</v>
      </c>
      <c r="AZ48" s="29">
        <f ca="1">IF('Get Started'!$G112&lt;&gt;0,0,IF(AZ4&lt;'Get Started'!$H112,0,OFFSET(AZ37,0,-1*'Get Started'!$H112)*'Get Started'!$H42))+IF('Get Started'!$G111&lt;&gt;0,0,IF(AZ4&lt;'Get Started'!$H111,0,OFFSET(AZ37,0,-1*'Get Started'!$H111)*'Get Started'!$G42))+IF('Get Started'!$G110&lt;&gt;0,0,IF(AZ4&lt;'Get Started'!$H110,0,OFFSET(AZ37,0,-1*'Get Started'!$H110)*'Get Started'!$F42))+IF('Get Started'!$G109&lt;&gt;0,0,IF(AZ4&lt;'Get Started'!$H109,0,OFFSET(AZ37,0,-1*'Get Started'!$H109)*'Get Started'!$E42))</f>
        <v>0</v>
      </c>
      <c r="BA48" s="29">
        <f ca="1">IF('Get Started'!$G112&lt;&gt;0,0,IF(BA4&lt;'Get Started'!$H112,0,OFFSET(BA37,0,-1*'Get Started'!$H112)*'Get Started'!$H42))+IF('Get Started'!$G111&lt;&gt;0,0,IF(BA4&lt;'Get Started'!$H111,0,OFFSET(BA37,0,-1*'Get Started'!$H111)*'Get Started'!$G42))+IF('Get Started'!$G110&lt;&gt;0,0,IF(BA4&lt;'Get Started'!$H110,0,OFFSET(BA37,0,-1*'Get Started'!$H110)*'Get Started'!$F42))+IF('Get Started'!$G109&lt;&gt;0,0,IF(BA4&lt;'Get Started'!$H109,0,OFFSET(BA37,0,-1*'Get Started'!$H109)*'Get Started'!$E42))</f>
        <v>0</v>
      </c>
      <c r="BB48" s="29">
        <f ca="1">IF('Get Started'!$G112&lt;&gt;0,0,IF(BB4&lt;'Get Started'!$H112,0,OFFSET(BB37,0,-1*'Get Started'!$H112)*'Get Started'!$H42))+IF('Get Started'!$G111&lt;&gt;0,0,IF(BB4&lt;'Get Started'!$H111,0,OFFSET(BB37,0,-1*'Get Started'!$H111)*'Get Started'!$G42))+IF('Get Started'!$G110&lt;&gt;0,0,IF(BB4&lt;'Get Started'!$H110,0,OFFSET(BB37,0,-1*'Get Started'!$H110)*'Get Started'!$F42))+IF('Get Started'!$G109&lt;&gt;0,0,IF(BB4&lt;'Get Started'!$H109,0,OFFSET(BB37,0,-1*'Get Started'!$H109)*'Get Started'!$E42))</f>
        <v>0</v>
      </c>
      <c r="BC48" s="29">
        <f ca="1">IF('Get Started'!$G112&lt;&gt;0,0,IF(BC4&lt;'Get Started'!$H112,0,OFFSET(BC37,0,-1*'Get Started'!$H112)*'Get Started'!$H42))+IF('Get Started'!$G111&lt;&gt;0,0,IF(BC4&lt;'Get Started'!$H111,0,OFFSET(BC37,0,-1*'Get Started'!$H111)*'Get Started'!$G42))+IF('Get Started'!$G110&lt;&gt;0,0,IF(BC4&lt;'Get Started'!$H110,0,OFFSET(BC37,0,-1*'Get Started'!$H110)*'Get Started'!$F42))+IF('Get Started'!$G109&lt;&gt;0,0,IF(BC4&lt;'Get Started'!$H109,0,OFFSET(BC37,0,-1*'Get Started'!$H109)*'Get Started'!$E42))</f>
        <v>0</v>
      </c>
      <c r="BD48" s="29">
        <f ca="1">IF('Get Started'!$G112&lt;&gt;0,0,IF(BD4&lt;'Get Started'!$H112,0,OFFSET(BD37,0,-1*'Get Started'!$H112)*'Get Started'!$H42))+IF('Get Started'!$G111&lt;&gt;0,0,IF(BD4&lt;'Get Started'!$H111,0,OFFSET(BD37,0,-1*'Get Started'!$H111)*'Get Started'!$G42))+IF('Get Started'!$G110&lt;&gt;0,0,IF(BD4&lt;'Get Started'!$H110,0,OFFSET(BD37,0,-1*'Get Started'!$H110)*'Get Started'!$F42))+IF('Get Started'!$G109&lt;&gt;0,0,IF(BD4&lt;'Get Started'!$H109,0,OFFSET(BD37,0,-1*'Get Started'!$H109)*'Get Started'!$E42))</f>
        <v>0</v>
      </c>
      <c r="BE48" s="29">
        <f ca="1">IF('Get Started'!$G112&lt;&gt;0,0,IF(BE4&lt;'Get Started'!$H112,0,OFFSET(BE37,0,-1*'Get Started'!$H112)*'Get Started'!$H42))+IF('Get Started'!$G111&lt;&gt;0,0,IF(BE4&lt;'Get Started'!$H111,0,OFFSET(BE37,0,-1*'Get Started'!$H111)*'Get Started'!$G42))+IF('Get Started'!$G110&lt;&gt;0,0,IF(BE4&lt;'Get Started'!$H110,0,OFFSET(BE37,0,-1*'Get Started'!$H110)*'Get Started'!$F42))+IF('Get Started'!$G109&lt;&gt;0,0,IF(BE4&lt;'Get Started'!$H109,0,OFFSET(BE37,0,-1*'Get Started'!$H109)*'Get Started'!$E42))</f>
        <v>0</v>
      </c>
      <c r="BF48" s="29">
        <f ca="1">IF('Get Started'!$G112&lt;&gt;0,0,IF(BF4&lt;'Get Started'!$H112,0,OFFSET(BF37,0,-1*'Get Started'!$H112)*'Get Started'!$H42))+IF('Get Started'!$G111&lt;&gt;0,0,IF(BF4&lt;'Get Started'!$H111,0,OFFSET(BF37,0,-1*'Get Started'!$H111)*'Get Started'!$G42))+IF('Get Started'!$G110&lt;&gt;0,0,IF(BF4&lt;'Get Started'!$H110,0,OFFSET(BF37,0,-1*'Get Started'!$H110)*'Get Started'!$F42))+IF('Get Started'!$G109&lt;&gt;0,0,IF(BF4&lt;'Get Started'!$H109,0,OFFSET(BF37,0,-1*'Get Started'!$H109)*'Get Started'!$E42))</f>
        <v>0</v>
      </c>
      <c r="BG48" s="29">
        <f ca="1">IF('Get Started'!$G112&lt;&gt;0,0,IF(BG4&lt;'Get Started'!$H112,0,OFFSET(BG37,0,-1*'Get Started'!$H112)*'Get Started'!$H42))+IF('Get Started'!$G111&lt;&gt;0,0,IF(BG4&lt;'Get Started'!$H111,0,OFFSET(BG37,0,-1*'Get Started'!$H111)*'Get Started'!$G42))+IF('Get Started'!$G110&lt;&gt;0,0,IF(BG4&lt;'Get Started'!$H110,0,OFFSET(BG37,0,-1*'Get Started'!$H110)*'Get Started'!$F42))+IF('Get Started'!$G109&lt;&gt;0,0,IF(BG4&lt;'Get Started'!$H109,0,OFFSET(BG37,0,-1*'Get Started'!$H109)*'Get Started'!$E42))</f>
        <v>0</v>
      </c>
      <c r="BH48" s="29">
        <f ca="1">IF('Get Started'!$G112&lt;&gt;0,0,IF(BH4&lt;'Get Started'!$H112,0,OFFSET(BH37,0,-1*'Get Started'!$H112)*'Get Started'!$H42))+IF('Get Started'!$G111&lt;&gt;0,0,IF(BH4&lt;'Get Started'!$H111,0,OFFSET(BH37,0,-1*'Get Started'!$H111)*'Get Started'!$G42))+IF('Get Started'!$G110&lt;&gt;0,0,IF(BH4&lt;'Get Started'!$H110,0,OFFSET(BH37,0,-1*'Get Started'!$H110)*'Get Started'!$F42))+IF('Get Started'!$G109&lt;&gt;0,0,IF(BH4&lt;'Get Started'!$H109,0,OFFSET(BH37,0,-1*'Get Started'!$H109)*'Get Started'!$E42))</f>
        <v>0</v>
      </c>
      <c r="BI48" s="29">
        <f ca="1">IF('Get Started'!$G112&lt;&gt;0,0,IF(BI4&lt;'Get Started'!$H112,0,OFFSET(BI37,0,-1*'Get Started'!$H112)*'Get Started'!$H42))+IF('Get Started'!$G111&lt;&gt;0,0,IF(BI4&lt;'Get Started'!$H111,0,OFFSET(BI37,0,-1*'Get Started'!$H111)*'Get Started'!$G42))+IF('Get Started'!$G110&lt;&gt;0,0,IF(BI4&lt;'Get Started'!$H110,0,OFFSET(BI37,0,-1*'Get Started'!$H110)*'Get Started'!$F42))+IF('Get Started'!$G109&lt;&gt;0,0,IF(BI4&lt;'Get Started'!$H109,0,OFFSET(BI37,0,-1*'Get Started'!$H109)*'Get Started'!$E42))</f>
        <v>0</v>
      </c>
      <c r="BJ48" s="29">
        <f ca="1">IF('Get Started'!$G112&lt;&gt;0,0,IF(BJ4&lt;'Get Started'!$H112,0,OFFSET(BJ37,0,-1*'Get Started'!$H112)*'Get Started'!$H42))+IF('Get Started'!$G111&lt;&gt;0,0,IF(BJ4&lt;'Get Started'!$H111,0,OFFSET(BJ37,0,-1*'Get Started'!$H111)*'Get Started'!$G42))+IF('Get Started'!$G110&lt;&gt;0,0,IF(BJ4&lt;'Get Started'!$H110,0,OFFSET(BJ37,0,-1*'Get Started'!$H110)*'Get Started'!$F42))+IF('Get Started'!$G109&lt;&gt;0,0,IF(BJ4&lt;'Get Started'!$H109,0,OFFSET(BJ37,0,-1*'Get Started'!$H109)*'Get Started'!$E42))</f>
        <v>0</v>
      </c>
      <c r="BK48" s="29">
        <f ca="1">IF('Get Started'!$G112&lt;&gt;0,0,IF(BK4&lt;'Get Started'!$H112,0,OFFSET(BK37,0,-1*'Get Started'!$H112)*'Get Started'!$H42))+IF('Get Started'!$G111&lt;&gt;0,0,IF(BK4&lt;'Get Started'!$H111,0,OFFSET(BK37,0,-1*'Get Started'!$H111)*'Get Started'!$G42))+IF('Get Started'!$G110&lt;&gt;0,0,IF(BK4&lt;'Get Started'!$H110,0,OFFSET(BK37,0,-1*'Get Started'!$H110)*'Get Started'!$F42))+IF('Get Started'!$G109&lt;&gt;0,0,IF(BK4&lt;'Get Started'!$H109,0,OFFSET(BK37,0,-1*'Get Started'!$H109)*'Get Started'!$E42))</f>
        <v>0</v>
      </c>
      <c r="BL48" s="29">
        <f ca="1">IF('Get Started'!$G112&lt;&gt;0,0,IF(BL4&lt;'Get Started'!$H112,0,OFFSET(BL37,0,-1*'Get Started'!$H112)*'Get Started'!$H42))+IF('Get Started'!$G111&lt;&gt;0,0,IF(BL4&lt;'Get Started'!$H111,0,OFFSET(BL37,0,-1*'Get Started'!$H111)*'Get Started'!$G42))+IF('Get Started'!$G110&lt;&gt;0,0,IF(BL4&lt;'Get Started'!$H110,0,OFFSET(BL37,0,-1*'Get Started'!$H110)*'Get Started'!$F42))+IF('Get Started'!$G109&lt;&gt;0,0,IF(BL4&lt;'Get Started'!$H109,0,OFFSET(BL37,0,-1*'Get Started'!$H109)*'Get Started'!$E42))</f>
        <v>0</v>
      </c>
      <c r="BM48" s="29">
        <f ca="1">IF('Get Started'!$G112&lt;&gt;0,0,IF(BM4&lt;'Get Started'!$H112,0,OFFSET(BM37,0,-1*'Get Started'!$H112)*'Get Started'!$H42))+IF('Get Started'!$G111&lt;&gt;0,0,IF(BM4&lt;'Get Started'!$H111,0,OFFSET(BM37,0,-1*'Get Started'!$H111)*'Get Started'!$G42))+IF('Get Started'!$G110&lt;&gt;0,0,IF(BM4&lt;'Get Started'!$H110,0,OFFSET(BM37,0,-1*'Get Started'!$H110)*'Get Started'!$F42))+IF('Get Started'!$G109&lt;&gt;0,0,IF(BM4&lt;'Get Started'!$H109,0,OFFSET(BM37,0,-1*'Get Started'!$H109)*'Get Started'!$E42))</f>
        <v>0</v>
      </c>
      <c r="BN48" s="29">
        <f ca="1">IF('Get Started'!$G112&lt;&gt;0,0,IF(BN4&lt;'Get Started'!$H112,0,OFFSET(BN37,0,-1*'Get Started'!$H112)*'Get Started'!$H42))+IF('Get Started'!$G111&lt;&gt;0,0,IF(BN4&lt;'Get Started'!$H111,0,OFFSET(BN37,0,-1*'Get Started'!$H111)*'Get Started'!$G42))+IF('Get Started'!$G110&lt;&gt;0,0,IF(BN4&lt;'Get Started'!$H110,0,OFFSET(BN37,0,-1*'Get Started'!$H110)*'Get Started'!$F42))+IF('Get Started'!$G109&lt;&gt;0,0,IF(BN4&lt;'Get Started'!$H109,0,OFFSET(BN37,0,-1*'Get Started'!$H109)*'Get Started'!$E42))</f>
        <v>0</v>
      </c>
      <c r="BO48" s="29">
        <f ca="1">IF('Get Started'!$G112&lt;&gt;0,0,IF(BO4&lt;'Get Started'!$H112,0,OFFSET(BO37,0,-1*'Get Started'!$H112)*'Get Started'!$H42))+IF('Get Started'!$G111&lt;&gt;0,0,IF(BO4&lt;'Get Started'!$H111,0,OFFSET(BO37,0,-1*'Get Started'!$H111)*'Get Started'!$G42))+IF('Get Started'!$G110&lt;&gt;0,0,IF(BO4&lt;'Get Started'!$H110,0,OFFSET(BO37,0,-1*'Get Started'!$H110)*'Get Started'!$F42))+IF('Get Started'!$G109&lt;&gt;0,0,IF(BO4&lt;'Get Started'!$H109,0,OFFSET(BO37,0,-1*'Get Started'!$H109)*'Get Started'!$E42))</f>
        <v>0</v>
      </c>
      <c r="BP48" s="29">
        <f ca="1">IF('Get Started'!$G112&lt;&gt;0,0,IF(BP4&lt;'Get Started'!$H112,0,OFFSET(BP37,0,-1*'Get Started'!$H112)*'Get Started'!$H42))+IF('Get Started'!$G111&lt;&gt;0,0,IF(BP4&lt;'Get Started'!$H111,0,OFFSET(BP37,0,-1*'Get Started'!$H111)*'Get Started'!$G42))+IF('Get Started'!$G110&lt;&gt;0,0,IF(BP4&lt;'Get Started'!$H110,0,OFFSET(BP37,0,-1*'Get Started'!$H110)*'Get Started'!$F42))+IF('Get Started'!$G109&lt;&gt;0,0,IF(BP4&lt;'Get Started'!$H109,0,OFFSET(BP37,0,-1*'Get Started'!$H109)*'Get Started'!$E42))</f>
        <v>0</v>
      </c>
      <c r="BQ48" s="29">
        <f ca="1">IF('Get Started'!$G112&lt;&gt;0,0,IF(BQ4&lt;'Get Started'!$H112,0,OFFSET(BQ37,0,-1*'Get Started'!$H112)*'Get Started'!$H42))+IF('Get Started'!$G111&lt;&gt;0,0,IF(BQ4&lt;'Get Started'!$H111,0,OFFSET(BQ37,0,-1*'Get Started'!$H111)*'Get Started'!$G42))+IF('Get Started'!$G110&lt;&gt;0,0,IF(BQ4&lt;'Get Started'!$H110,0,OFFSET(BQ37,0,-1*'Get Started'!$H110)*'Get Started'!$F42))+IF('Get Started'!$G109&lt;&gt;0,0,IF(BQ4&lt;'Get Started'!$H109,0,OFFSET(BQ37,0,-1*'Get Started'!$H109)*'Get Started'!$E42))</f>
        <v>0</v>
      </c>
      <c r="BR48" s="29">
        <f ca="1">IF('Get Started'!$G112&lt;&gt;0,0,IF(BR4&lt;'Get Started'!$H112,0,OFFSET(BR37,0,-1*'Get Started'!$H112)*'Get Started'!$H42))+IF('Get Started'!$G111&lt;&gt;0,0,IF(BR4&lt;'Get Started'!$H111,0,OFFSET(BR37,0,-1*'Get Started'!$H111)*'Get Started'!$G42))+IF('Get Started'!$G110&lt;&gt;0,0,IF(BR4&lt;'Get Started'!$H110,0,OFFSET(BR37,0,-1*'Get Started'!$H110)*'Get Started'!$F42))+IF('Get Started'!$G109&lt;&gt;0,0,IF(BR4&lt;'Get Started'!$H109,0,OFFSET(BR37,0,-1*'Get Started'!$H109)*'Get Started'!$E42))</f>
        <v>0</v>
      </c>
      <c r="BS48" s="29">
        <f ca="1">IF('Get Started'!$G112&lt;&gt;0,0,IF(BS4&lt;'Get Started'!$H112,0,OFFSET(BS37,0,-1*'Get Started'!$H112)*'Get Started'!$H42))+IF('Get Started'!$G111&lt;&gt;0,0,IF(BS4&lt;'Get Started'!$H111,0,OFFSET(BS37,0,-1*'Get Started'!$H111)*'Get Started'!$G42))+IF('Get Started'!$G110&lt;&gt;0,0,IF(BS4&lt;'Get Started'!$H110,0,OFFSET(BS37,0,-1*'Get Started'!$H110)*'Get Started'!$F42))+IF('Get Started'!$G109&lt;&gt;0,0,IF(BS4&lt;'Get Started'!$H109,0,OFFSET(BS37,0,-1*'Get Started'!$H109)*'Get Started'!$E42))</f>
        <v>0</v>
      </c>
      <c r="BT48" s="29">
        <f ca="1">IF('Get Started'!$G112&lt;&gt;0,0,IF(BT4&lt;'Get Started'!$H112,0,OFFSET(BT37,0,-1*'Get Started'!$H112)*'Get Started'!$H42))+IF('Get Started'!$G111&lt;&gt;0,0,IF(BT4&lt;'Get Started'!$H111,0,OFFSET(BT37,0,-1*'Get Started'!$H111)*'Get Started'!$G42))+IF('Get Started'!$G110&lt;&gt;0,0,IF(BT4&lt;'Get Started'!$H110,0,OFFSET(BT37,0,-1*'Get Started'!$H110)*'Get Started'!$F42))+IF('Get Started'!$G109&lt;&gt;0,0,IF(BT4&lt;'Get Started'!$H109,0,OFFSET(BT37,0,-1*'Get Started'!$H109)*'Get Started'!$E42))</f>
        <v>0</v>
      </c>
      <c r="BU48" s="29">
        <f ca="1">IF('Get Started'!$G112&lt;&gt;0,0,IF(BU4&lt;'Get Started'!$H112,0,OFFSET(BU37,0,-1*'Get Started'!$H112)*'Get Started'!$H42))+IF('Get Started'!$G111&lt;&gt;0,0,IF(BU4&lt;'Get Started'!$H111,0,OFFSET(BU37,0,-1*'Get Started'!$H111)*'Get Started'!$G42))+IF('Get Started'!$G110&lt;&gt;0,0,IF(BU4&lt;'Get Started'!$H110,0,OFFSET(BU37,0,-1*'Get Started'!$H110)*'Get Started'!$F42))+IF('Get Started'!$G109&lt;&gt;0,0,IF(BU4&lt;'Get Started'!$H109,0,OFFSET(BU37,0,-1*'Get Started'!$H109)*'Get Started'!$E42))</f>
        <v>0</v>
      </c>
      <c r="BV48" s="29">
        <f ca="1">IF('Get Started'!$G112&lt;&gt;0,0,IF(BV4&lt;'Get Started'!$H112,0,OFFSET(BV37,0,-1*'Get Started'!$H112)*'Get Started'!$H42))+IF('Get Started'!$G111&lt;&gt;0,0,IF(BV4&lt;'Get Started'!$H111,0,OFFSET(BV37,0,-1*'Get Started'!$H111)*'Get Started'!$G42))+IF('Get Started'!$G110&lt;&gt;0,0,IF(BV4&lt;'Get Started'!$H110,0,OFFSET(BV37,0,-1*'Get Started'!$H110)*'Get Started'!$F42))+IF('Get Started'!$G109&lt;&gt;0,0,IF(BV4&lt;'Get Started'!$H109,0,OFFSET(BV37,0,-1*'Get Started'!$H109)*'Get Started'!$E42))</f>
        <v>0</v>
      </c>
      <c r="BW48" s="29">
        <f ca="1">IF('Get Started'!$G112&lt;&gt;0,0,IF(BW4&lt;'Get Started'!$H112,0,OFFSET(BW37,0,-1*'Get Started'!$H112)*'Get Started'!$H42))+IF('Get Started'!$G111&lt;&gt;0,0,IF(BW4&lt;'Get Started'!$H111,0,OFFSET(BW37,0,-1*'Get Started'!$H111)*'Get Started'!$G42))+IF('Get Started'!$G110&lt;&gt;0,0,IF(BW4&lt;'Get Started'!$H110,0,OFFSET(BW37,0,-1*'Get Started'!$H110)*'Get Started'!$F42))+IF('Get Started'!$G109&lt;&gt;0,0,IF(BW4&lt;'Get Started'!$H109,0,OFFSET(BW37,0,-1*'Get Started'!$H109)*'Get Started'!$E42))</f>
        <v>0</v>
      </c>
      <c r="BX48" s="29">
        <f ca="1">IF('Get Started'!$G112&lt;&gt;0,0,IF(BX4&lt;'Get Started'!$H112,0,OFFSET(BX37,0,-1*'Get Started'!$H112)*'Get Started'!$H42))+IF('Get Started'!$G111&lt;&gt;0,0,IF(BX4&lt;'Get Started'!$H111,0,OFFSET(BX37,0,-1*'Get Started'!$H111)*'Get Started'!$G42))+IF('Get Started'!$G110&lt;&gt;0,0,IF(BX4&lt;'Get Started'!$H110,0,OFFSET(BX37,0,-1*'Get Started'!$H110)*'Get Started'!$F42))+IF('Get Started'!$G109&lt;&gt;0,0,IF(BX4&lt;'Get Started'!$H109,0,OFFSET(BX37,0,-1*'Get Started'!$H109)*'Get Started'!$E42))</f>
        <v>0</v>
      </c>
      <c r="BY48" s="29">
        <f ca="1">IF('Get Started'!$G112&lt;&gt;0,0,IF(BY4&lt;'Get Started'!$H112,0,OFFSET(BY37,0,-1*'Get Started'!$H112)*'Get Started'!$H42))+IF('Get Started'!$G111&lt;&gt;0,0,IF(BY4&lt;'Get Started'!$H111,0,OFFSET(BY37,0,-1*'Get Started'!$H111)*'Get Started'!$G42))+IF('Get Started'!$G110&lt;&gt;0,0,IF(BY4&lt;'Get Started'!$H110,0,OFFSET(BY37,0,-1*'Get Started'!$H110)*'Get Started'!$F42))+IF('Get Started'!$G109&lt;&gt;0,0,IF(BY4&lt;'Get Started'!$H109,0,OFFSET(BY37,0,-1*'Get Started'!$H109)*'Get Started'!$E42))</f>
        <v>0</v>
      </c>
      <c r="BZ48" s="29">
        <f ca="1">IF('Get Started'!$G112&lt;&gt;0,0,IF(BZ4&lt;'Get Started'!$H112,0,OFFSET(BZ37,0,-1*'Get Started'!$H112)*'Get Started'!$H42))+IF('Get Started'!$G111&lt;&gt;0,0,IF(BZ4&lt;'Get Started'!$H111,0,OFFSET(BZ37,0,-1*'Get Started'!$H111)*'Get Started'!$G42))+IF('Get Started'!$G110&lt;&gt;0,0,IF(BZ4&lt;'Get Started'!$H110,0,OFFSET(BZ37,0,-1*'Get Started'!$H110)*'Get Started'!$F42))+IF('Get Started'!$G109&lt;&gt;0,0,IF(BZ4&lt;'Get Started'!$H109,0,OFFSET(BZ37,0,-1*'Get Started'!$H109)*'Get Started'!$E42))</f>
        <v>0</v>
      </c>
      <c r="CA48" s="29">
        <f ca="1">IF('Get Started'!$G112&lt;&gt;0,0,IF(CA4&lt;'Get Started'!$H112,0,OFFSET(CA37,0,-1*'Get Started'!$H112)*'Get Started'!$H42))+IF('Get Started'!$G111&lt;&gt;0,0,IF(CA4&lt;'Get Started'!$H111,0,OFFSET(CA37,0,-1*'Get Started'!$H111)*'Get Started'!$G42))+IF('Get Started'!$G110&lt;&gt;0,0,IF(CA4&lt;'Get Started'!$H110,0,OFFSET(CA37,0,-1*'Get Started'!$H110)*'Get Started'!$F42))+IF('Get Started'!$G109&lt;&gt;0,0,IF(CA4&lt;'Get Started'!$H109,0,OFFSET(CA37,0,-1*'Get Started'!$H109)*'Get Started'!$E42))</f>
        <v>0</v>
      </c>
      <c r="CB48" s="29">
        <f ca="1">IF('Get Started'!$G112&lt;&gt;0,0,IF(CB4&lt;'Get Started'!$H112,0,OFFSET(CB37,0,-1*'Get Started'!$H112)*'Get Started'!$H42))+IF('Get Started'!$G111&lt;&gt;0,0,IF(CB4&lt;'Get Started'!$H111,0,OFFSET(CB37,0,-1*'Get Started'!$H111)*'Get Started'!$G42))+IF('Get Started'!$G110&lt;&gt;0,0,IF(CB4&lt;'Get Started'!$H110,0,OFFSET(CB37,0,-1*'Get Started'!$H110)*'Get Started'!$F42))+IF('Get Started'!$G109&lt;&gt;0,0,IF(CB4&lt;'Get Started'!$H109,0,OFFSET(CB37,0,-1*'Get Started'!$H109)*'Get Started'!$E42))</f>
        <v>0</v>
      </c>
      <c r="CC48" s="29">
        <f ca="1">IF('Get Started'!$G112&lt;&gt;0,0,IF(CC4&lt;'Get Started'!$H112,0,OFFSET(CC37,0,-1*'Get Started'!$H112)*'Get Started'!$H42))+IF('Get Started'!$G111&lt;&gt;0,0,IF(CC4&lt;'Get Started'!$H111,0,OFFSET(CC37,0,-1*'Get Started'!$H111)*'Get Started'!$G42))+IF('Get Started'!$G110&lt;&gt;0,0,IF(CC4&lt;'Get Started'!$H110,0,OFFSET(CC37,0,-1*'Get Started'!$H110)*'Get Started'!$F42))+IF('Get Started'!$G109&lt;&gt;0,0,IF(CC4&lt;'Get Started'!$H109,0,OFFSET(CC37,0,-1*'Get Started'!$H109)*'Get Started'!$E42))</f>
        <v>0</v>
      </c>
      <c r="CD48" s="29">
        <f ca="1">IF('Get Started'!$G112&lt;&gt;0,0,IF(CD4&lt;'Get Started'!$H112,0,OFFSET(CD37,0,-1*'Get Started'!$H112)*'Get Started'!$H42))+IF('Get Started'!$G111&lt;&gt;0,0,IF(CD4&lt;'Get Started'!$H111,0,OFFSET(CD37,0,-1*'Get Started'!$H111)*'Get Started'!$G42))+IF('Get Started'!$G110&lt;&gt;0,0,IF(CD4&lt;'Get Started'!$H110,0,OFFSET(CD37,0,-1*'Get Started'!$H110)*'Get Started'!$F42))+IF('Get Started'!$G109&lt;&gt;0,0,IF(CD4&lt;'Get Started'!$H109,0,OFFSET(CD37,0,-1*'Get Started'!$H109)*'Get Started'!$E42))</f>
        <v>0</v>
      </c>
      <c r="CE48" s="29">
        <f ca="1">IF('Get Started'!$G112&lt;&gt;0,0,IF(CE4&lt;'Get Started'!$H112,0,OFFSET(CE37,0,-1*'Get Started'!$H112)*'Get Started'!$H42))+IF('Get Started'!$G111&lt;&gt;0,0,IF(CE4&lt;'Get Started'!$H111,0,OFFSET(CE37,0,-1*'Get Started'!$H111)*'Get Started'!$G42))+IF('Get Started'!$G110&lt;&gt;0,0,IF(CE4&lt;'Get Started'!$H110,0,OFFSET(CE37,0,-1*'Get Started'!$H110)*'Get Started'!$F42))+IF('Get Started'!$G109&lt;&gt;0,0,IF(CE4&lt;'Get Started'!$H109,0,OFFSET(CE37,0,-1*'Get Started'!$H109)*'Get Started'!$E42))</f>
        <v>0</v>
      </c>
      <c r="CF48" s="29">
        <f ca="1">IF('Get Started'!$G112&lt;&gt;0,0,IF(CF4&lt;'Get Started'!$H112,0,OFFSET(CF37,0,-1*'Get Started'!$H112)*'Get Started'!$H42))+IF('Get Started'!$G111&lt;&gt;0,0,IF(CF4&lt;'Get Started'!$H111,0,OFFSET(CF37,0,-1*'Get Started'!$H111)*'Get Started'!$G42))+IF('Get Started'!$G110&lt;&gt;0,0,IF(CF4&lt;'Get Started'!$H110,0,OFFSET(CF37,0,-1*'Get Started'!$H110)*'Get Started'!$F42))+IF('Get Started'!$G109&lt;&gt;0,0,IF(CF4&lt;'Get Started'!$H109,0,OFFSET(CF37,0,-1*'Get Started'!$H109)*'Get Started'!$E42))</f>
        <v>0</v>
      </c>
      <c r="CG48" s="29">
        <f ca="1">IF('Get Started'!$G112&lt;&gt;0,0,IF(CG4&lt;'Get Started'!$H112,0,OFFSET(CG37,0,-1*'Get Started'!$H112)*'Get Started'!$H42))+IF('Get Started'!$G111&lt;&gt;0,0,IF(CG4&lt;'Get Started'!$H111,0,OFFSET(CG37,0,-1*'Get Started'!$H111)*'Get Started'!$G42))+IF('Get Started'!$G110&lt;&gt;0,0,IF(CG4&lt;'Get Started'!$H110,0,OFFSET(CG37,0,-1*'Get Started'!$H110)*'Get Started'!$F42))+IF('Get Started'!$G109&lt;&gt;0,0,IF(CG4&lt;'Get Started'!$H109,0,OFFSET(CG37,0,-1*'Get Started'!$H109)*'Get Started'!$E42))</f>
        <v>0</v>
      </c>
      <c r="CH48" s="29">
        <f ca="1">IF('Get Started'!$G112&lt;&gt;0,0,IF(CH4&lt;'Get Started'!$H112,0,OFFSET(CH37,0,-1*'Get Started'!$H112)*'Get Started'!$H42))+IF('Get Started'!$G111&lt;&gt;0,0,IF(CH4&lt;'Get Started'!$H111,0,OFFSET(CH37,0,-1*'Get Started'!$H111)*'Get Started'!$G42))+IF('Get Started'!$G110&lt;&gt;0,0,IF(CH4&lt;'Get Started'!$H110,0,OFFSET(CH37,0,-1*'Get Started'!$H110)*'Get Started'!$F42))+IF('Get Started'!$G109&lt;&gt;0,0,IF(CH4&lt;'Get Started'!$H109,0,OFFSET(CH37,0,-1*'Get Started'!$H109)*'Get Started'!$E42))</f>
        <v>0</v>
      </c>
    </row>
    <row r="49" spans="1:86" ht="13">
      <c r="B49" s="13" t="s">
        <v>272</v>
      </c>
      <c r="C49" s="13" t="s">
        <v>273</v>
      </c>
      <c r="D49" s="15" t="s">
        <v>238</v>
      </c>
      <c r="E49" s="29">
        <f t="shared" ca="1" si="15"/>
        <v>8085000</v>
      </c>
      <c r="F49" s="29"/>
      <c r="G49" s="29">
        <f ca="1">IF('Get Started'!$G112=0,0,IF(G4&lt;'Get Started'!$H112,0,OFFSET(G37,0,-1*'Get Started'!$H112)*'Get Started'!$H42))+IF('Get Started'!$G111=0,0,IF(G4&lt;'Get Started'!$H111,0,OFFSET(G37,0,-1*'Get Started'!$H111)*'Get Started'!$G42))+IF('Get Started'!$G110=0,0,IF(G4&lt;'Get Started'!$H110,0,OFFSET(G37,0,-1*'Get Started'!$H110)*'Get Started'!$F42))+IF('Get Started'!$G109=0,0,IF(G4&lt;'Get Started'!$H109,0,OFFSET(G37,0,-1*'Get Started'!$H109)*'Get Started'!$E42))</f>
        <v>0</v>
      </c>
      <c r="H49" s="29">
        <f ca="1">IF('Get Started'!$G112=0,0,IF(H4&lt;'Get Started'!$H112,0,OFFSET(H37,0,-1*'Get Started'!$H112)*'Get Started'!$H42))+IF('Get Started'!$G111=0,0,IF(H4&lt;'Get Started'!$H111,0,OFFSET(H37,0,-1*'Get Started'!$H111)*'Get Started'!$G42))+IF('Get Started'!$G110=0,0,IF(H4&lt;'Get Started'!$H110,0,OFFSET(H37,0,-1*'Get Started'!$H110)*'Get Started'!$F42))+IF('Get Started'!$G109=0,0,IF(H4&lt;'Get Started'!$H109,0,OFFSET(H37,0,-1*'Get Started'!$H109)*'Get Started'!$E42))</f>
        <v>0</v>
      </c>
      <c r="I49" s="29">
        <f ca="1">IF('Get Started'!$G112=0,0,IF(I4&lt;'Get Started'!$H112,0,OFFSET(I37,0,-1*'Get Started'!$H112)*'Get Started'!$H42))+IF('Get Started'!$G111=0,0,IF(I4&lt;'Get Started'!$H111,0,OFFSET(I37,0,-1*'Get Started'!$H111)*'Get Started'!$G42))+IF('Get Started'!$G110=0,0,IF(I4&lt;'Get Started'!$H110,0,OFFSET(I37,0,-1*'Get Started'!$H110)*'Get Started'!$F42))+IF('Get Started'!$G109=0,0,IF(I4&lt;'Get Started'!$H109,0,OFFSET(I37,0,-1*'Get Started'!$H109)*'Get Started'!$E42))</f>
        <v>0</v>
      </c>
      <c r="J49" s="29">
        <f ca="1">IF('Get Started'!$G112=0,0,IF(J4&lt;'Get Started'!$H112,0,OFFSET(J37,0,-1*'Get Started'!$H112)*'Get Started'!$H42))+IF('Get Started'!$G111=0,0,IF(J4&lt;'Get Started'!$H111,0,OFFSET(J37,0,-1*'Get Started'!$H111)*'Get Started'!$G42))+IF('Get Started'!$G110=0,0,IF(J4&lt;'Get Started'!$H110,0,OFFSET(J37,0,-1*'Get Started'!$H110)*'Get Started'!$F42))+IF('Get Started'!$G109=0,0,IF(J4&lt;'Get Started'!$H109,0,OFFSET(J37,0,-1*'Get Started'!$H109)*'Get Started'!$E42))</f>
        <v>0</v>
      </c>
      <c r="K49" s="29">
        <f ca="1">IF('Get Started'!$G112=0,0,IF(K4&lt;'Get Started'!$H112,0,OFFSET(K37,0,-1*'Get Started'!$H112)*'Get Started'!$H42))+IF('Get Started'!$G111=0,0,IF(K4&lt;'Get Started'!$H111,0,OFFSET(K37,0,-1*'Get Started'!$H111)*'Get Started'!$G42))+IF('Get Started'!$G110=0,0,IF(K4&lt;'Get Started'!$H110,0,OFFSET(K37,0,-1*'Get Started'!$H110)*'Get Started'!$F42))+IF('Get Started'!$G109=0,0,IF(K4&lt;'Get Started'!$H109,0,OFFSET(K37,0,-1*'Get Started'!$H109)*'Get Started'!$E42))</f>
        <v>0</v>
      </c>
      <c r="L49" s="29">
        <f ca="1">IF('Get Started'!$G112=0,0,IF(L4&lt;'Get Started'!$H112,0,OFFSET(L37,0,-1*'Get Started'!$H112)*'Get Started'!$H42))+IF('Get Started'!$G111=0,0,IF(L4&lt;'Get Started'!$H111,0,OFFSET(L37,0,-1*'Get Started'!$H111)*'Get Started'!$G42))+IF('Get Started'!$G110=0,0,IF(L4&lt;'Get Started'!$H110,0,OFFSET(L37,0,-1*'Get Started'!$H110)*'Get Started'!$F42))+IF('Get Started'!$G109=0,0,IF(L4&lt;'Get Started'!$H109,0,OFFSET(L37,0,-1*'Get Started'!$H109)*'Get Started'!$E42))</f>
        <v>0</v>
      </c>
      <c r="M49" s="29">
        <f ca="1">IF('Get Started'!$G112=0,0,IF(M4&lt;'Get Started'!$H112,0,OFFSET(M37,0,-1*'Get Started'!$H112)*'Get Started'!$H42))+IF('Get Started'!$G111=0,0,IF(M4&lt;'Get Started'!$H111,0,OFFSET(M37,0,-1*'Get Started'!$H111)*'Get Started'!$G42))+IF('Get Started'!$G110=0,0,IF(M4&lt;'Get Started'!$H110,0,OFFSET(M37,0,-1*'Get Started'!$H110)*'Get Started'!$F42))+IF('Get Started'!$G109=0,0,IF(M4&lt;'Get Started'!$H109,0,OFFSET(M37,0,-1*'Get Started'!$H109)*'Get Started'!$E42))</f>
        <v>0</v>
      </c>
      <c r="N49" s="29">
        <f ca="1">IF('Get Started'!$G112=0,0,IF(N4&lt;'Get Started'!$H112,0,OFFSET(N37,0,-1*'Get Started'!$H112)*'Get Started'!$H42))+IF('Get Started'!$G111=0,0,IF(N4&lt;'Get Started'!$H111,0,OFFSET(N37,0,-1*'Get Started'!$H111)*'Get Started'!$G42))+IF('Get Started'!$G110=0,0,IF(N4&lt;'Get Started'!$H110,0,OFFSET(N37,0,-1*'Get Started'!$H110)*'Get Started'!$F42))+IF('Get Started'!$G109=0,0,IF(N4&lt;'Get Started'!$H109,0,OFFSET(N37,0,-1*'Get Started'!$H109)*'Get Started'!$E42))</f>
        <v>0</v>
      </c>
      <c r="O49" s="29">
        <f ca="1">IF('Get Started'!$G112=0,0,IF(O4&lt;'Get Started'!$H112,0,OFFSET(O37,0,-1*'Get Started'!$H112)*'Get Started'!$H42))+IF('Get Started'!$G111=0,0,IF(O4&lt;'Get Started'!$H111,0,OFFSET(O37,0,-1*'Get Started'!$H111)*'Get Started'!$G42))+IF('Get Started'!$G110=0,0,IF(O4&lt;'Get Started'!$H110,0,OFFSET(O37,0,-1*'Get Started'!$H110)*'Get Started'!$F42))+IF('Get Started'!$G109=0,0,IF(O4&lt;'Get Started'!$H109,0,OFFSET(O37,0,-1*'Get Started'!$H109)*'Get Started'!$E42))</f>
        <v>0</v>
      </c>
      <c r="P49" s="29">
        <f ca="1">IF('Get Started'!$G112=0,0,IF(P4&lt;'Get Started'!$H112,0,OFFSET(P37,0,-1*'Get Started'!$H112)*'Get Started'!$H42))+IF('Get Started'!$G111=0,0,IF(P4&lt;'Get Started'!$H111,0,OFFSET(P37,0,-1*'Get Started'!$H111)*'Get Started'!$G42))+IF('Get Started'!$G110=0,0,IF(P4&lt;'Get Started'!$H110,0,OFFSET(P37,0,-1*'Get Started'!$H110)*'Get Started'!$F42))+IF('Get Started'!$G109=0,0,IF(P4&lt;'Get Started'!$H109,0,OFFSET(P37,0,-1*'Get Started'!$H109)*'Get Started'!$E42))</f>
        <v>0</v>
      </c>
      <c r="Q49" s="29">
        <f ca="1">IF('Get Started'!$G112=0,0,IF(Q4&lt;'Get Started'!$H112,0,OFFSET(Q37,0,-1*'Get Started'!$H112)*'Get Started'!$H42))+IF('Get Started'!$G111=0,0,IF(Q4&lt;'Get Started'!$H111,0,OFFSET(Q37,0,-1*'Get Started'!$H111)*'Get Started'!$G42))+IF('Get Started'!$G110=0,0,IF(Q4&lt;'Get Started'!$H110,0,OFFSET(Q37,0,-1*'Get Started'!$H110)*'Get Started'!$F42))+IF('Get Started'!$G109=0,0,IF(Q4&lt;'Get Started'!$H109,0,OFFSET(Q37,0,-1*'Get Started'!$H109)*'Get Started'!$E42))</f>
        <v>0</v>
      </c>
      <c r="R49" s="29">
        <f ca="1">IF('Get Started'!$G112=0,0,IF(R4&lt;'Get Started'!$H112,0,OFFSET(R37,0,-1*'Get Started'!$H112)*'Get Started'!$H42))+IF('Get Started'!$G111=0,0,IF(R4&lt;'Get Started'!$H111,0,OFFSET(R37,0,-1*'Get Started'!$H111)*'Get Started'!$G42))+IF('Get Started'!$G110=0,0,IF(R4&lt;'Get Started'!$H110,0,OFFSET(R37,0,-1*'Get Started'!$H110)*'Get Started'!$F42))+IF('Get Started'!$G109=0,0,IF(R4&lt;'Get Started'!$H109,0,OFFSET(R37,0,-1*'Get Started'!$H109)*'Get Started'!$E42))</f>
        <v>0</v>
      </c>
      <c r="S49" s="29">
        <f ca="1">IF('Get Started'!$G112=0,0,IF(S4&lt;'Get Started'!$H112,0,OFFSET(S37,0,-1*'Get Started'!$H112)*'Get Started'!$H42))+IF('Get Started'!$G111=0,0,IF(S4&lt;'Get Started'!$H111,0,OFFSET(S37,0,-1*'Get Started'!$H111)*'Get Started'!$G42))+IF('Get Started'!$G110=0,0,IF(S4&lt;'Get Started'!$H110,0,OFFSET(S37,0,-1*'Get Started'!$H110)*'Get Started'!$F42))+IF('Get Started'!$G109=0,0,IF(S4&lt;'Get Started'!$H109,0,OFFSET(S37,0,-1*'Get Started'!$H109)*'Get Started'!$E42))</f>
        <v>240625</v>
      </c>
      <c r="T49" s="29">
        <f ca="1">IF('Get Started'!$G112=0,0,IF(T4&lt;'Get Started'!$H112,0,OFFSET(T37,0,-1*'Get Started'!$H112)*'Get Started'!$H42))+IF('Get Started'!$G111=0,0,IF(T4&lt;'Get Started'!$H111,0,OFFSET(T37,0,-1*'Get Started'!$H111)*'Get Started'!$G42))+IF('Get Started'!$G110=0,0,IF(T4&lt;'Get Started'!$H110,0,OFFSET(T37,0,-1*'Get Started'!$H110)*'Get Started'!$F42))+IF('Get Started'!$G109=0,0,IF(T4&lt;'Get Started'!$H109,0,OFFSET(T37,0,-1*'Get Started'!$H109)*'Get Started'!$E42))</f>
        <v>240625</v>
      </c>
      <c r="U49" s="29">
        <f ca="1">IF('Get Started'!$G112=0,0,IF(U4&lt;'Get Started'!$H112,0,OFFSET(U37,0,-1*'Get Started'!$H112)*'Get Started'!$H42))+IF('Get Started'!$G111=0,0,IF(U4&lt;'Get Started'!$H111,0,OFFSET(U37,0,-1*'Get Started'!$H111)*'Get Started'!$G42))+IF('Get Started'!$G110=0,0,IF(U4&lt;'Get Started'!$H110,0,OFFSET(U37,0,-1*'Get Started'!$H110)*'Get Started'!$F42))+IF('Get Started'!$G109=0,0,IF(U4&lt;'Get Started'!$H109,0,OFFSET(U37,0,-1*'Get Started'!$H109)*'Get Started'!$E42))</f>
        <v>240625</v>
      </c>
      <c r="V49" s="29">
        <f ca="1">IF('Get Started'!$G112=0,0,IF(V4&lt;'Get Started'!$H112,0,OFFSET(V37,0,-1*'Get Started'!$H112)*'Get Started'!$H42))+IF('Get Started'!$G111=0,0,IF(V4&lt;'Get Started'!$H111,0,OFFSET(V37,0,-1*'Get Started'!$H111)*'Get Started'!$G42))+IF('Get Started'!$G110=0,0,IF(V4&lt;'Get Started'!$H110,0,OFFSET(V37,0,-1*'Get Started'!$H110)*'Get Started'!$F42))+IF('Get Started'!$G109=0,0,IF(V4&lt;'Get Started'!$H109,0,OFFSET(V37,0,-1*'Get Started'!$H109)*'Get Started'!$E42))</f>
        <v>240625</v>
      </c>
      <c r="W49" s="29">
        <f ca="1">IF('Get Started'!$G112=0,0,IF(W4&lt;'Get Started'!$H112,0,OFFSET(W37,0,-1*'Get Started'!$H112)*'Get Started'!$H42))+IF('Get Started'!$G111=0,0,IF(W4&lt;'Get Started'!$H111,0,OFFSET(W37,0,-1*'Get Started'!$H111)*'Get Started'!$G42))+IF('Get Started'!$G110=0,0,IF(W4&lt;'Get Started'!$H110,0,OFFSET(W37,0,-1*'Get Started'!$H110)*'Get Started'!$F42))+IF('Get Started'!$G109=0,0,IF(W4&lt;'Get Started'!$H109,0,OFFSET(W37,0,-1*'Get Started'!$H109)*'Get Started'!$E42))</f>
        <v>360937.5</v>
      </c>
      <c r="X49" s="29">
        <f ca="1">IF('Get Started'!$G112=0,0,IF(X4&lt;'Get Started'!$H112,0,OFFSET(X37,0,-1*'Get Started'!$H112)*'Get Started'!$H42))+IF('Get Started'!$G111=0,0,IF(X4&lt;'Get Started'!$H111,0,OFFSET(X37,0,-1*'Get Started'!$H111)*'Get Started'!$G42))+IF('Get Started'!$G110=0,0,IF(X4&lt;'Get Started'!$H110,0,OFFSET(X37,0,-1*'Get Started'!$H110)*'Get Started'!$F42))+IF('Get Started'!$G109=0,0,IF(X4&lt;'Get Started'!$H109,0,OFFSET(X37,0,-1*'Get Started'!$H109)*'Get Started'!$E42))</f>
        <v>360937.5</v>
      </c>
      <c r="Y49" s="29">
        <f ca="1">IF('Get Started'!$G112=0,0,IF(Y4&lt;'Get Started'!$H112,0,OFFSET(Y37,0,-1*'Get Started'!$H112)*'Get Started'!$H42))+IF('Get Started'!$G111=0,0,IF(Y4&lt;'Get Started'!$H111,0,OFFSET(Y37,0,-1*'Get Started'!$H111)*'Get Started'!$G42))+IF('Get Started'!$G110=0,0,IF(Y4&lt;'Get Started'!$H110,0,OFFSET(Y37,0,-1*'Get Started'!$H110)*'Get Started'!$F42))+IF('Get Started'!$G109=0,0,IF(Y4&lt;'Get Started'!$H109,0,OFFSET(Y37,0,-1*'Get Started'!$H109)*'Get Started'!$E42))</f>
        <v>360937.5</v>
      </c>
      <c r="Z49" s="29">
        <f ca="1">IF('Get Started'!$G112=0,0,IF(Z4&lt;'Get Started'!$H112,0,OFFSET(Z37,0,-1*'Get Started'!$H112)*'Get Started'!$H42))+IF('Get Started'!$G111=0,0,IF(Z4&lt;'Get Started'!$H111,0,OFFSET(Z37,0,-1*'Get Started'!$H111)*'Get Started'!$G42))+IF('Get Started'!$G110=0,0,IF(Z4&lt;'Get Started'!$H110,0,OFFSET(Z37,0,-1*'Get Started'!$H110)*'Get Started'!$F42))+IF('Get Started'!$G109=0,0,IF(Z4&lt;'Get Started'!$H109,0,OFFSET(Z37,0,-1*'Get Started'!$H109)*'Get Started'!$E42))</f>
        <v>360937.5</v>
      </c>
      <c r="AA49" s="29">
        <f ca="1">IF('Get Started'!$G112=0,0,IF(AA4&lt;'Get Started'!$H112,0,OFFSET(AA37,0,-1*'Get Started'!$H112)*'Get Started'!$H42))+IF('Get Started'!$G111=0,0,IF(AA4&lt;'Get Started'!$H111,0,OFFSET(AA37,0,-1*'Get Started'!$H111)*'Get Started'!$G42))+IF('Get Started'!$G110=0,0,IF(AA4&lt;'Get Started'!$H110,0,OFFSET(AA37,0,-1*'Get Started'!$H110)*'Get Started'!$F42))+IF('Get Started'!$G109=0,0,IF(AA4&lt;'Get Started'!$H109,0,OFFSET(AA37,0,-1*'Get Started'!$H109)*'Get Started'!$E42))</f>
        <v>360937.5</v>
      </c>
      <c r="AB49" s="29">
        <f ca="1">IF('Get Started'!$G112=0,0,IF(AB4&lt;'Get Started'!$H112,0,OFFSET(AB37,0,-1*'Get Started'!$H112)*'Get Started'!$H42))+IF('Get Started'!$G111=0,0,IF(AB4&lt;'Get Started'!$H111,0,OFFSET(AB37,0,-1*'Get Started'!$H111)*'Get Started'!$G42))+IF('Get Started'!$G110=0,0,IF(AB4&lt;'Get Started'!$H110,0,OFFSET(AB37,0,-1*'Get Started'!$H110)*'Get Started'!$F42))+IF('Get Started'!$G109=0,0,IF(AB4&lt;'Get Started'!$H109,0,OFFSET(AB37,0,-1*'Get Started'!$H109)*'Get Started'!$E42))</f>
        <v>360937.5</v>
      </c>
      <c r="AC49" s="29">
        <f ca="1">IF('Get Started'!$G112=0,0,IF(AC4&lt;'Get Started'!$H112,0,OFFSET(AC37,0,-1*'Get Started'!$H112)*'Get Started'!$H42))+IF('Get Started'!$G111=0,0,IF(AC4&lt;'Get Started'!$H111,0,OFFSET(AC37,0,-1*'Get Started'!$H111)*'Get Started'!$G42))+IF('Get Started'!$G110=0,0,IF(AC4&lt;'Get Started'!$H110,0,OFFSET(AC37,0,-1*'Get Started'!$H110)*'Get Started'!$F42))+IF('Get Started'!$G109=0,0,IF(AC4&lt;'Get Started'!$H109,0,OFFSET(AC37,0,-1*'Get Started'!$H109)*'Get Started'!$E42))</f>
        <v>360937.5</v>
      </c>
      <c r="AD49" s="29">
        <f ca="1">IF('Get Started'!$G112=0,0,IF(AD4&lt;'Get Started'!$H112,0,OFFSET(AD37,0,-1*'Get Started'!$H112)*'Get Started'!$H42))+IF('Get Started'!$G111=0,0,IF(AD4&lt;'Get Started'!$H111,0,OFFSET(AD37,0,-1*'Get Started'!$H111)*'Get Started'!$G42))+IF('Get Started'!$G110=0,0,IF(AD4&lt;'Get Started'!$H110,0,OFFSET(AD37,0,-1*'Get Started'!$H110)*'Get Started'!$F42))+IF('Get Started'!$G109=0,0,IF(AD4&lt;'Get Started'!$H109,0,OFFSET(AD37,0,-1*'Get Started'!$H109)*'Get Started'!$E42))</f>
        <v>360937.5</v>
      </c>
      <c r="AE49" s="29">
        <f ca="1">IF('Get Started'!$G112=0,0,IF(AE4&lt;'Get Started'!$H112,0,OFFSET(AE37,0,-1*'Get Started'!$H112)*'Get Started'!$H42))+IF('Get Started'!$G111=0,0,IF(AE4&lt;'Get Started'!$H111,0,OFFSET(AE37,0,-1*'Get Started'!$H111)*'Get Started'!$G42))+IF('Get Started'!$G110=0,0,IF(AE4&lt;'Get Started'!$H110,0,OFFSET(AE37,0,-1*'Get Started'!$H110)*'Get Started'!$F42))+IF('Get Started'!$G109=0,0,IF(AE4&lt;'Get Started'!$H109,0,OFFSET(AE37,0,-1*'Get Started'!$H109)*'Get Started'!$E42))</f>
        <v>529375</v>
      </c>
      <c r="AF49" s="29">
        <f ca="1">IF('Get Started'!$G112=0,0,IF(AF4&lt;'Get Started'!$H112,0,OFFSET(AF37,0,-1*'Get Started'!$H112)*'Get Started'!$H42))+IF('Get Started'!$G111=0,0,IF(AF4&lt;'Get Started'!$H111,0,OFFSET(AF37,0,-1*'Get Started'!$H111)*'Get Started'!$G42))+IF('Get Started'!$G110=0,0,IF(AF4&lt;'Get Started'!$H110,0,OFFSET(AF37,0,-1*'Get Started'!$H110)*'Get Started'!$F42))+IF('Get Started'!$G109=0,0,IF(AF4&lt;'Get Started'!$H109,0,OFFSET(AF37,0,-1*'Get Started'!$H109)*'Get Started'!$E42))</f>
        <v>529375</v>
      </c>
      <c r="AG49" s="29">
        <f ca="1">IF('Get Started'!$G112=0,0,IF(AG4&lt;'Get Started'!$H112,0,OFFSET(AG37,0,-1*'Get Started'!$H112)*'Get Started'!$H42))+IF('Get Started'!$G111=0,0,IF(AG4&lt;'Get Started'!$H111,0,OFFSET(AG37,0,-1*'Get Started'!$H111)*'Get Started'!$G42))+IF('Get Started'!$G110=0,0,IF(AG4&lt;'Get Started'!$H110,0,OFFSET(AG37,0,-1*'Get Started'!$H110)*'Get Started'!$F42))+IF('Get Started'!$G109=0,0,IF(AG4&lt;'Get Started'!$H109,0,OFFSET(AG37,0,-1*'Get Started'!$H109)*'Get Started'!$E42))</f>
        <v>529375</v>
      </c>
      <c r="AH49" s="29">
        <f ca="1">IF('Get Started'!$G112=0,0,IF(AH4&lt;'Get Started'!$H112,0,OFFSET(AH37,0,-1*'Get Started'!$H112)*'Get Started'!$H42))+IF('Get Started'!$G111=0,0,IF(AH4&lt;'Get Started'!$H111,0,OFFSET(AH37,0,-1*'Get Started'!$H111)*'Get Started'!$G42))+IF('Get Started'!$G110=0,0,IF(AH4&lt;'Get Started'!$H110,0,OFFSET(AH37,0,-1*'Get Started'!$H110)*'Get Started'!$F42))+IF('Get Started'!$G109=0,0,IF(AH4&lt;'Get Started'!$H109,0,OFFSET(AH37,0,-1*'Get Started'!$H109)*'Get Started'!$E42))</f>
        <v>529375</v>
      </c>
      <c r="AI49" s="29">
        <f ca="1">IF('Get Started'!$G112=0,0,IF(AI4&lt;'Get Started'!$H112,0,OFFSET(AI37,0,-1*'Get Started'!$H112)*'Get Started'!$H42))+IF('Get Started'!$G111=0,0,IF(AI4&lt;'Get Started'!$H111,0,OFFSET(AI37,0,-1*'Get Started'!$H111)*'Get Started'!$G42))+IF('Get Started'!$G110=0,0,IF(AI4&lt;'Get Started'!$H110,0,OFFSET(AI37,0,-1*'Get Started'!$H110)*'Get Started'!$F42))+IF('Get Started'!$G109=0,0,IF(AI4&lt;'Get Started'!$H109,0,OFFSET(AI37,0,-1*'Get Started'!$H109)*'Get Started'!$E42))</f>
        <v>264687.5</v>
      </c>
      <c r="AJ49" s="29">
        <f ca="1">IF('Get Started'!$G112=0,0,IF(AJ4&lt;'Get Started'!$H112,0,OFFSET(AJ37,0,-1*'Get Started'!$H112)*'Get Started'!$H42))+IF('Get Started'!$G111=0,0,IF(AJ4&lt;'Get Started'!$H111,0,OFFSET(AJ37,0,-1*'Get Started'!$H111)*'Get Started'!$G42))+IF('Get Started'!$G110=0,0,IF(AJ4&lt;'Get Started'!$H110,0,OFFSET(AJ37,0,-1*'Get Started'!$H110)*'Get Started'!$F42))+IF('Get Started'!$G109=0,0,IF(AJ4&lt;'Get Started'!$H109,0,OFFSET(AJ37,0,-1*'Get Started'!$H109)*'Get Started'!$E42))</f>
        <v>264687.5</v>
      </c>
      <c r="AK49" s="29">
        <f ca="1">IF('Get Started'!$G112=0,0,IF(AK4&lt;'Get Started'!$H112,0,OFFSET(AK37,0,-1*'Get Started'!$H112)*'Get Started'!$H42))+IF('Get Started'!$G111=0,0,IF(AK4&lt;'Get Started'!$H111,0,OFFSET(AK37,0,-1*'Get Started'!$H111)*'Get Started'!$G42))+IF('Get Started'!$G110=0,0,IF(AK4&lt;'Get Started'!$H110,0,OFFSET(AK37,0,-1*'Get Started'!$H110)*'Get Started'!$F42))+IF('Get Started'!$G109=0,0,IF(AK4&lt;'Get Started'!$H109,0,OFFSET(AK37,0,-1*'Get Started'!$H109)*'Get Started'!$E42))</f>
        <v>264687.5</v>
      </c>
      <c r="AL49" s="29">
        <f ca="1">IF('Get Started'!$G112=0,0,IF(AL4&lt;'Get Started'!$H112,0,OFFSET(AL37,0,-1*'Get Started'!$H112)*'Get Started'!$H42))+IF('Get Started'!$G111=0,0,IF(AL4&lt;'Get Started'!$H111,0,OFFSET(AL37,0,-1*'Get Started'!$H111)*'Get Started'!$G42))+IF('Get Started'!$G110=0,0,IF(AL4&lt;'Get Started'!$H110,0,OFFSET(AL37,0,-1*'Get Started'!$H110)*'Get Started'!$F42))+IF('Get Started'!$G109=0,0,IF(AL4&lt;'Get Started'!$H109,0,OFFSET(AL37,0,-1*'Get Started'!$H109)*'Get Started'!$E42))</f>
        <v>264687.5</v>
      </c>
      <c r="AM49" s="29">
        <f ca="1">IF('Get Started'!$G112=0,0,IF(AM4&lt;'Get Started'!$H112,0,OFFSET(AM37,0,-1*'Get Started'!$H112)*'Get Started'!$H42))+IF('Get Started'!$G111=0,0,IF(AM4&lt;'Get Started'!$H111,0,OFFSET(AM37,0,-1*'Get Started'!$H111)*'Get Started'!$G42))+IF('Get Started'!$G110=0,0,IF(AM4&lt;'Get Started'!$H110,0,OFFSET(AM37,0,-1*'Get Started'!$H110)*'Get Started'!$F42))+IF('Get Started'!$G109=0,0,IF(AM4&lt;'Get Started'!$H109,0,OFFSET(AM37,0,-1*'Get Started'!$H109)*'Get Started'!$E42))</f>
        <v>120312.49999999997</v>
      </c>
      <c r="AN49" s="29">
        <f ca="1">IF('Get Started'!$G112=0,0,IF(AN4&lt;'Get Started'!$H112,0,OFFSET(AN37,0,-1*'Get Started'!$H112)*'Get Started'!$H42))+IF('Get Started'!$G111=0,0,IF(AN4&lt;'Get Started'!$H111,0,OFFSET(AN37,0,-1*'Get Started'!$H111)*'Get Started'!$G42))+IF('Get Started'!$G110=0,0,IF(AN4&lt;'Get Started'!$H110,0,OFFSET(AN37,0,-1*'Get Started'!$H110)*'Get Started'!$F42))+IF('Get Started'!$G109=0,0,IF(AN4&lt;'Get Started'!$H109,0,OFFSET(AN37,0,-1*'Get Started'!$H109)*'Get Started'!$E42))</f>
        <v>120312.49999999997</v>
      </c>
      <c r="AO49" s="29">
        <f ca="1">IF('Get Started'!$G112=0,0,IF(AO4&lt;'Get Started'!$H112,0,OFFSET(AO37,0,-1*'Get Started'!$H112)*'Get Started'!$H42))+IF('Get Started'!$G111=0,0,IF(AO4&lt;'Get Started'!$H111,0,OFFSET(AO37,0,-1*'Get Started'!$H111)*'Get Started'!$G42))+IF('Get Started'!$G110=0,0,IF(AO4&lt;'Get Started'!$H110,0,OFFSET(AO37,0,-1*'Get Started'!$H110)*'Get Started'!$F42))+IF('Get Started'!$G109=0,0,IF(AO4&lt;'Get Started'!$H109,0,OFFSET(AO37,0,-1*'Get Started'!$H109)*'Get Started'!$E42))</f>
        <v>120312.49999999997</v>
      </c>
      <c r="AP49" s="29">
        <f ca="1">IF('Get Started'!$G112=0,0,IF(AP4&lt;'Get Started'!$H112,0,OFFSET(AP37,0,-1*'Get Started'!$H112)*'Get Started'!$H42))+IF('Get Started'!$G111=0,0,IF(AP4&lt;'Get Started'!$H111,0,OFFSET(AP37,0,-1*'Get Started'!$H111)*'Get Started'!$G42))+IF('Get Started'!$G110=0,0,IF(AP4&lt;'Get Started'!$H110,0,OFFSET(AP37,0,-1*'Get Started'!$H110)*'Get Started'!$F42))+IF('Get Started'!$G109=0,0,IF(AP4&lt;'Get Started'!$H109,0,OFFSET(AP37,0,-1*'Get Started'!$H109)*'Get Started'!$E42))</f>
        <v>120312.49999999997</v>
      </c>
      <c r="AQ49" s="29">
        <f ca="1">IF('Get Started'!$G112=0,0,IF(AQ4&lt;'Get Started'!$H112,0,OFFSET(AQ37,0,-1*'Get Started'!$H112)*'Get Started'!$H42))+IF('Get Started'!$G111=0,0,IF(AQ4&lt;'Get Started'!$H111,0,OFFSET(AQ37,0,-1*'Get Started'!$H111)*'Get Started'!$G42))+IF('Get Started'!$G110=0,0,IF(AQ4&lt;'Get Started'!$H110,0,OFFSET(AQ37,0,-1*'Get Started'!$H110)*'Get Started'!$F42))+IF('Get Started'!$G109=0,0,IF(AQ4&lt;'Get Started'!$H109,0,OFFSET(AQ37,0,-1*'Get Started'!$H109)*'Get Started'!$E42))</f>
        <v>144374.99999999997</v>
      </c>
      <c r="AR49" s="29">
        <f ca="1">IF('Get Started'!$G112=0,0,IF(AR4&lt;'Get Started'!$H112,0,OFFSET(AR37,0,-1*'Get Started'!$H112)*'Get Started'!$H42))+IF('Get Started'!$G111=0,0,IF(AR4&lt;'Get Started'!$H111,0,OFFSET(AR37,0,-1*'Get Started'!$H111)*'Get Started'!$G42))+IF('Get Started'!$G110=0,0,IF(AR4&lt;'Get Started'!$H110,0,OFFSET(AR37,0,-1*'Get Started'!$H110)*'Get Started'!$F42))+IF('Get Started'!$G109=0,0,IF(AR4&lt;'Get Started'!$H109,0,OFFSET(AR37,0,-1*'Get Started'!$H109)*'Get Started'!$E42))</f>
        <v>144374.99999999997</v>
      </c>
      <c r="AS49" s="29">
        <f ca="1">IF('Get Started'!$G112=0,0,IF(AS4&lt;'Get Started'!$H112,0,OFFSET(AS37,0,-1*'Get Started'!$H112)*'Get Started'!$H42))+IF('Get Started'!$G111=0,0,IF(AS4&lt;'Get Started'!$H111,0,OFFSET(AS37,0,-1*'Get Started'!$H111)*'Get Started'!$G42))+IF('Get Started'!$G110=0,0,IF(AS4&lt;'Get Started'!$H110,0,OFFSET(AS37,0,-1*'Get Started'!$H110)*'Get Started'!$F42))+IF('Get Started'!$G109=0,0,IF(AS4&lt;'Get Started'!$H109,0,OFFSET(AS37,0,-1*'Get Started'!$H109)*'Get Started'!$E42))</f>
        <v>144374.99999999997</v>
      </c>
      <c r="AT49" s="29">
        <f ca="1">IF('Get Started'!$G112=0,0,IF(AT4&lt;'Get Started'!$H112,0,OFFSET(AT37,0,-1*'Get Started'!$H112)*'Get Started'!$H42))+IF('Get Started'!$G111=0,0,IF(AT4&lt;'Get Started'!$H111,0,OFFSET(AT37,0,-1*'Get Started'!$H111)*'Get Started'!$G42))+IF('Get Started'!$G110=0,0,IF(AT4&lt;'Get Started'!$H110,0,OFFSET(AT37,0,-1*'Get Started'!$H110)*'Get Started'!$F42))+IF('Get Started'!$G109=0,0,IF(AT4&lt;'Get Started'!$H109,0,OFFSET(AT37,0,-1*'Get Started'!$H109)*'Get Started'!$E42))</f>
        <v>144374.99999999997</v>
      </c>
      <c r="AU49" s="29">
        <f ca="1">IF('Get Started'!$G112=0,0,IF(AU4&lt;'Get Started'!$H112,0,OFFSET(AU37,0,-1*'Get Started'!$H112)*'Get Started'!$H42))+IF('Get Started'!$G111=0,0,IF(AU4&lt;'Get Started'!$H111,0,OFFSET(AU37,0,-1*'Get Started'!$H111)*'Get Started'!$G42))+IF('Get Started'!$G110=0,0,IF(AU4&lt;'Get Started'!$H110,0,OFFSET(AU37,0,-1*'Get Started'!$H110)*'Get Started'!$F42))+IF('Get Started'!$G109=0,0,IF(AU4&lt;'Get Started'!$H109,0,OFFSET(AU37,0,-1*'Get Started'!$H109)*'Get Started'!$E42))</f>
        <v>0</v>
      </c>
      <c r="AV49" s="29">
        <f ca="1">IF('Get Started'!$G112=0,0,IF(AV4&lt;'Get Started'!$H112,0,OFFSET(AV37,0,-1*'Get Started'!$H112)*'Get Started'!$H42))+IF('Get Started'!$G111=0,0,IF(AV4&lt;'Get Started'!$H111,0,OFFSET(AV37,0,-1*'Get Started'!$H111)*'Get Started'!$G42))+IF('Get Started'!$G110=0,0,IF(AV4&lt;'Get Started'!$H110,0,OFFSET(AV37,0,-1*'Get Started'!$H110)*'Get Started'!$F42))+IF('Get Started'!$G109=0,0,IF(AV4&lt;'Get Started'!$H109,0,OFFSET(AV37,0,-1*'Get Started'!$H109)*'Get Started'!$E42))</f>
        <v>0</v>
      </c>
      <c r="AW49" s="29">
        <f ca="1">IF('Get Started'!$G112=0,0,IF(AW4&lt;'Get Started'!$H112,0,OFFSET(AW37,0,-1*'Get Started'!$H112)*'Get Started'!$H42))+IF('Get Started'!$G111=0,0,IF(AW4&lt;'Get Started'!$H111,0,OFFSET(AW37,0,-1*'Get Started'!$H111)*'Get Started'!$G42))+IF('Get Started'!$G110=0,0,IF(AW4&lt;'Get Started'!$H110,0,OFFSET(AW37,0,-1*'Get Started'!$H110)*'Get Started'!$F42))+IF('Get Started'!$G109=0,0,IF(AW4&lt;'Get Started'!$H109,0,OFFSET(AW37,0,-1*'Get Started'!$H109)*'Get Started'!$E42))</f>
        <v>0</v>
      </c>
      <c r="AX49" s="29">
        <f ca="1">IF('Get Started'!$G112=0,0,IF(AX4&lt;'Get Started'!$H112,0,OFFSET(AX37,0,-1*'Get Started'!$H112)*'Get Started'!$H42))+IF('Get Started'!$G111=0,0,IF(AX4&lt;'Get Started'!$H111,0,OFFSET(AX37,0,-1*'Get Started'!$H111)*'Get Started'!$G42))+IF('Get Started'!$G110=0,0,IF(AX4&lt;'Get Started'!$H110,0,OFFSET(AX37,0,-1*'Get Started'!$H110)*'Get Started'!$F42))+IF('Get Started'!$G109=0,0,IF(AX4&lt;'Get Started'!$H109,0,OFFSET(AX37,0,-1*'Get Started'!$H109)*'Get Started'!$E42))</f>
        <v>0</v>
      </c>
      <c r="AY49" s="29">
        <f ca="1">IF('Get Started'!$G112=0,0,IF(AY4&lt;'Get Started'!$H112,0,OFFSET(AY37,0,-1*'Get Started'!$H112)*'Get Started'!$H42))+IF('Get Started'!$G111=0,0,IF(AY4&lt;'Get Started'!$H111,0,OFFSET(AY37,0,-1*'Get Started'!$H111)*'Get Started'!$G42))+IF('Get Started'!$G110=0,0,IF(AY4&lt;'Get Started'!$H110,0,OFFSET(AY37,0,-1*'Get Started'!$H110)*'Get Started'!$F42))+IF('Get Started'!$G109=0,0,IF(AY4&lt;'Get Started'!$H109,0,OFFSET(AY37,0,-1*'Get Started'!$H109)*'Get Started'!$E42))</f>
        <v>0</v>
      </c>
      <c r="AZ49" s="29">
        <f ca="1">IF('Get Started'!$G112=0,0,IF(AZ4&lt;'Get Started'!$H112,0,OFFSET(AZ37,0,-1*'Get Started'!$H112)*'Get Started'!$H42))+IF('Get Started'!$G111=0,0,IF(AZ4&lt;'Get Started'!$H111,0,OFFSET(AZ37,0,-1*'Get Started'!$H111)*'Get Started'!$G42))+IF('Get Started'!$G110=0,0,IF(AZ4&lt;'Get Started'!$H110,0,OFFSET(AZ37,0,-1*'Get Started'!$H110)*'Get Started'!$F42))+IF('Get Started'!$G109=0,0,IF(AZ4&lt;'Get Started'!$H109,0,OFFSET(AZ37,0,-1*'Get Started'!$H109)*'Get Started'!$E42))</f>
        <v>0</v>
      </c>
      <c r="BA49" s="29">
        <f ca="1">IF('Get Started'!$G112=0,0,IF(BA4&lt;'Get Started'!$H112,0,OFFSET(BA37,0,-1*'Get Started'!$H112)*'Get Started'!$H42))+IF('Get Started'!$G111=0,0,IF(BA4&lt;'Get Started'!$H111,0,OFFSET(BA37,0,-1*'Get Started'!$H111)*'Get Started'!$G42))+IF('Get Started'!$G110=0,0,IF(BA4&lt;'Get Started'!$H110,0,OFFSET(BA37,0,-1*'Get Started'!$H110)*'Get Started'!$F42))+IF('Get Started'!$G109=0,0,IF(BA4&lt;'Get Started'!$H109,0,OFFSET(BA37,0,-1*'Get Started'!$H109)*'Get Started'!$E42))</f>
        <v>0</v>
      </c>
      <c r="BB49" s="29">
        <f ca="1">IF('Get Started'!$G112=0,0,IF(BB4&lt;'Get Started'!$H112,0,OFFSET(BB37,0,-1*'Get Started'!$H112)*'Get Started'!$H42))+IF('Get Started'!$G111=0,0,IF(BB4&lt;'Get Started'!$H111,0,OFFSET(BB37,0,-1*'Get Started'!$H111)*'Get Started'!$G42))+IF('Get Started'!$G110=0,0,IF(BB4&lt;'Get Started'!$H110,0,OFFSET(BB37,0,-1*'Get Started'!$H110)*'Get Started'!$F42))+IF('Get Started'!$G109=0,0,IF(BB4&lt;'Get Started'!$H109,0,OFFSET(BB37,0,-1*'Get Started'!$H109)*'Get Started'!$E42))</f>
        <v>0</v>
      </c>
      <c r="BC49" s="29">
        <f ca="1">IF('Get Started'!$G112=0,0,IF(BC4&lt;'Get Started'!$H112,0,OFFSET(BC37,0,-1*'Get Started'!$H112)*'Get Started'!$H42))+IF('Get Started'!$G111=0,0,IF(BC4&lt;'Get Started'!$H111,0,OFFSET(BC37,0,-1*'Get Started'!$H111)*'Get Started'!$G42))+IF('Get Started'!$G110=0,0,IF(BC4&lt;'Get Started'!$H110,0,OFFSET(BC37,0,-1*'Get Started'!$H110)*'Get Started'!$F42))+IF('Get Started'!$G109=0,0,IF(BC4&lt;'Get Started'!$H109,0,OFFSET(BC37,0,-1*'Get Started'!$H109)*'Get Started'!$E42))</f>
        <v>0</v>
      </c>
      <c r="BD49" s="29">
        <f ca="1">IF('Get Started'!$G112=0,0,IF(BD4&lt;'Get Started'!$H112,0,OFFSET(BD37,0,-1*'Get Started'!$H112)*'Get Started'!$H42))+IF('Get Started'!$G111=0,0,IF(BD4&lt;'Get Started'!$H111,0,OFFSET(BD37,0,-1*'Get Started'!$H111)*'Get Started'!$G42))+IF('Get Started'!$G110=0,0,IF(BD4&lt;'Get Started'!$H110,0,OFFSET(BD37,0,-1*'Get Started'!$H110)*'Get Started'!$F42))+IF('Get Started'!$G109=0,0,IF(BD4&lt;'Get Started'!$H109,0,OFFSET(BD37,0,-1*'Get Started'!$H109)*'Get Started'!$E42))</f>
        <v>0</v>
      </c>
      <c r="BE49" s="29">
        <f ca="1">IF('Get Started'!$G112=0,0,IF(BE4&lt;'Get Started'!$H112,0,OFFSET(BE37,0,-1*'Get Started'!$H112)*'Get Started'!$H42))+IF('Get Started'!$G111=0,0,IF(BE4&lt;'Get Started'!$H111,0,OFFSET(BE37,0,-1*'Get Started'!$H111)*'Get Started'!$G42))+IF('Get Started'!$G110=0,0,IF(BE4&lt;'Get Started'!$H110,0,OFFSET(BE37,0,-1*'Get Started'!$H110)*'Get Started'!$F42))+IF('Get Started'!$G109=0,0,IF(BE4&lt;'Get Started'!$H109,0,OFFSET(BE37,0,-1*'Get Started'!$H109)*'Get Started'!$E42))</f>
        <v>0</v>
      </c>
      <c r="BF49" s="29">
        <f ca="1">IF('Get Started'!$G112=0,0,IF(BF4&lt;'Get Started'!$H112,0,OFFSET(BF37,0,-1*'Get Started'!$H112)*'Get Started'!$H42))+IF('Get Started'!$G111=0,0,IF(BF4&lt;'Get Started'!$H111,0,OFFSET(BF37,0,-1*'Get Started'!$H111)*'Get Started'!$G42))+IF('Get Started'!$G110=0,0,IF(BF4&lt;'Get Started'!$H110,0,OFFSET(BF37,0,-1*'Get Started'!$H110)*'Get Started'!$F42))+IF('Get Started'!$G109=0,0,IF(BF4&lt;'Get Started'!$H109,0,OFFSET(BF37,0,-1*'Get Started'!$H109)*'Get Started'!$E42))</f>
        <v>0</v>
      </c>
      <c r="BG49" s="29">
        <f ca="1">IF('Get Started'!$G112=0,0,IF(BG4&lt;'Get Started'!$H112,0,OFFSET(BG37,0,-1*'Get Started'!$H112)*'Get Started'!$H42))+IF('Get Started'!$G111=0,0,IF(BG4&lt;'Get Started'!$H111,0,OFFSET(BG37,0,-1*'Get Started'!$H111)*'Get Started'!$G42))+IF('Get Started'!$G110=0,0,IF(BG4&lt;'Get Started'!$H110,0,OFFSET(BG37,0,-1*'Get Started'!$H110)*'Get Started'!$F42))+IF('Get Started'!$G109=0,0,IF(BG4&lt;'Get Started'!$H109,0,OFFSET(BG37,0,-1*'Get Started'!$H109)*'Get Started'!$E42))</f>
        <v>0</v>
      </c>
      <c r="BH49" s="29">
        <f ca="1">IF('Get Started'!$G112=0,0,IF(BH4&lt;'Get Started'!$H112,0,OFFSET(BH37,0,-1*'Get Started'!$H112)*'Get Started'!$H42))+IF('Get Started'!$G111=0,0,IF(BH4&lt;'Get Started'!$H111,0,OFFSET(BH37,0,-1*'Get Started'!$H111)*'Get Started'!$G42))+IF('Get Started'!$G110=0,0,IF(BH4&lt;'Get Started'!$H110,0,OFFSET(BH37,0,-1*'Get Started'!$H110)*'Get Started'!$F42))+IF('Get Started'!$G109=0,0,IF(BH4&lt;'Get Started'!$H109,0,OFFSET(BH37,0,-1*'Get Started'!$H109)*'Get Started'!$E42))</f>
        <v>0</v>
      </c>
      <c r="BI49" s="29">
        <f ca="1">IF('Get Started'!$G112=0,0,IF(BI4&lt;'Get Started'!$H112,0,OFFSET(BI37,0,-1*'Get Started'!$H112)*'Get Started'!$H42))+IF('Get Started'!$G111=0,0,IF(BI4&lt;'Get Started'!$H111,0,OFFSET(BI37,0,-1*'Get Started'!$H111)*'Get Started'!$G42))+IF('Get Started'!$G110=0,0,IF(BI4&lt;'Get Started'!$H110,0,OFFSET(BI37,0,-1*'Get Started'!$H110)*'Get Started'!$F42))+IF('Get Started'!$G109=0,0,IF(BI4&lt;'Get Started'!$H109,0,OFFSET(BI37,0,-1*'Get Started'!$H109)*'Get Started'!$E42))</f>
        <v>0</v>
      </c>
      <c r="BJ49" s="29">
        <f ca="1">IF('Get Started'!$G112=0,0,IF(BJ4&lt;'Get Started'!$H112,0,OFFSET(BJ37,0,-1*'Get Started'!$H112)*'Get Started'!$H42))+IF('Get Started'!$G111=0,0,IF(BJ4&lt;'Get Started'!$H111,0,OFFSET(BJ37,0,-1*'Get Started'!$H111)*'Get Started'!$G42))+IF('Get Started'!$G110=0,0,IF(BJ4&lt;'Get Started'!$H110,0,OFFSET(BJ37,0,-1*'Get Started'!$H110)*'Get Started'!$F42))+IF('Get Started'!$G109=0,0,IF(BJ4&lt;'Get Started'!$H109,0,OFFSET(BJ37,0,-1*'Get Started'!$H109)*'Get Started'!$E42))</f>
        <v>0</v>
      </c>
      <c r="BK49" s="29">
        <f ca="1">IF('Get Started'!$G112=0,0,IF(BK4&lt;'Get Started'!$H112,0,OFFSET(BK37,0,-1*'Get Started'!$H112)*'Get Started'!$H42))+IF('Get Started'!$G111=0,0,IF(BK4&lt;'Get Started'!$H111,0,OFFSET(BK37,0,-1*'Get Started'!$H111)*'Get Started'!$G42))+IF('Get Started'!$G110=0,0,IF(BK4&lt;'Get Started'!$H110,0,OFFSET(BK37,0,-1*'Get Started'!$H110)*'Get Started'!$F42))+IF('Get Started'!$G109=0,0,IF(BK4&lt;'Get Started'!$H109,0,OFFSET(BK37,0,-1*'Get Started'!$H109)*'Get Started'!$E42))</f>
        <v>0</v>
      </c>
      <c r="BL49" s="29">
        <f ca="1">IF('Get Started'!$G112=0,0,IF(BL4&lt;'Get Started'!$H112,0,OFFSET(BL37,0,-1*'Get Started'!$H112)*'Get Started'!$H42))+IF('Get Started'!$G111=0,0,IF(BL4&lt;'Get Started'!$H111,0,OFFSET(BL37,0,-1*'Get Started'!$H111)*'Get Started'!$G42))+IF('Get Started'!$G110=0,0,IF(BL4&lt;'Get Started'!$H110,0,OFFSET(BL37,0,-1*'Get Started'!$H110)*'Get Started'!$F42))+IF('Get Started'!$G109=0,0,IF(BL4&lt;'Get Started'!$H109,0,OFFSET(BL37,0,-1*'Get Started'!$H109)*'Get Started'!$E42))</f>
        <v>0</v>
      </c>
      <c r="BM49" s="29">
        <f ca="1">IF('Get Started'!$G112=0,0,IF(BM4&lt;'Get Started'!$H112,0,OFFSET(BM37,0,-1*'Get Started'!$H112)*'Get Started'!$H42))+IF('Get Started'!$G111=0,0,IF(BM4&lt;'Get Started'!$H111,0,OFFSET(BM37,0,-1*'Get Started'!$H111)*'Get Started'!$G42))+IF('Get Started'!$G110=0,0,IF(BM4&lt;'Get Started'!$H110,0,OFFSET(BM37,0,-1*'Get Started'!$H110)*'Get Started'!$F42))+IF('Get Started'!$G109=0,0,IF(BM4&lt;'Get Started'!$H109,0,OFFSET(BM37,0,-1*'Get Started'!$H109)*'Get Started'!$E42))</f>
        <v>0</v>
      </c>
      <c r="BN49" s="29">
        <f ca="1">IF('Get Started'!$G112=0,0,IF(BN4&lt;'Get Started'!$H112,0,OFFSET(BN37,0,-1*'Get Started'!$H112)*'Get Started'!$H42))+IF('Get Started'!$G111=0,0,IF(BN4&lt;'Get Started'!$H111,0,OFFSET(BN37,0,-1*'Get Started'!$H111)*'Get Started'!$G42))+IF('Get Started'!$G110=0,0,IF(BN4&lt;'Get Started'!$H110,0,OFFSET(BN37,0,-1*'Get Started'!$H110)*'Get Started'!$F42))+IF('Get Started'!$G109=0,0,IF(BN4&lt;'Get Started'!$H109,0,OFFSET(BN37,0,-1*'Get Started'!$H109)*'Get Started'!$E42))</f>
        <v>0</v>
      </c>
      <c r="BO49" s="29">
        <f ca="1">IF('Get Started'!$G112=0,0,IF(BO4&lt;'Get Started'!$H112,0,OFFSET(BO37,0,-1*'Get Started'!$H112)*'Get Started'!$H42))+IF('Get Started'!$G111=0,0,IF(BO4&lt;'Get Started'!$H111,0,OFFSET(BO37,0,-1*'Get Started'!$H111)*'Get Started'!$G42))+IF('Get Started'!$G110=0,0,IF(BO4&lt;'Get Started'!$H110,0,OFFSET(BO37,0,-1*'Get Started'!$H110)*'Get Started'!$F42))+IF('Get Started'!$G109=0,0,IF(BO4&lt;'Get Started'!$H109,0,OFFSET(BO37,0,-1*'Get Started'!$H109)*'Get Started'!$E42))</f>
        <v>0</v>
      </c>
      <c r="BP49" s="29">
        <f ca="1">IF('Get Started'!$G112=0,0,IF(BP4&lt;'Get Started'!$H112,0,OFFSET(BP37,0,-1*'Get Started'!$H112)*'Get Started'!$H42))+IF('Get Started'!$G111=0,0,IF(BP4&lt;'Get Started'!$H111,0,OFFSET(BP37,0,-1*'Get Started'!$H111)*'Get Started'!$G42))+IF('Get Started'!$G110=0,0,IF(BP4&lt;'Get Started'!$H110,0,OFFSET(BP37,0,-1*'Get Started'!$H110)*'Get Started'!$F42))+IF('Get Started'!$G109=0,0,IF(BP4&lt;'Get Started'!$H109,0,OFFSET(BP37,0,-1*'Get Started'!$H109)*'Get Started'!$E42))</f>
        <v>0</v>
      </c>
      <c r="BQ49" s="29">
        <f ca="1">IF('Get Started'!$G112=0,0,IF(BQ4&lt;'Get Started'!$H112,0,OFFSET(BQ37,0,-1*'Get Started'!$H112)*'Get Started'!$H42))+IF('Get Started'!$G111=0,0,IF(BQ4&lt;'Get Started'!$H111,0,OFFSET(BQ37,0,-1*'Get Started'!$H111)*'Get Started'!$G42))+IF('Get Started'!$G110=0,0,IF(BQ4&lt;'Get Started'!$H110,0,OFFSET(BQ37,0,-1*'Get Started'!$H110)*'Get Started'!$F42))+IF('Get Started'!$G109=0,0,IF(BQ4&lt;'Get Started'!$H109,0,OFFSET(BQ37,0,-1*'Get Started'!$H109)*'Get Started'!$E42))</f>
        <v>0</v>
      </c>
      <c r="BR49" s="29">
        <f ca="1">IF('Get Started'!$G112=0,0,IF(BR4&lt;'Get Started'!$H112,0,OFFSET(BR37,0,-1*'Get Started'!$H112)*'Get Started'!$H42))+IF('Get Started'!$G111=0,0,IF(BR4&lt;'Get Started'!$H111,0,OFFSET(BR37,0,-1*'Get Started'!$H111)*'Get Started'!$G42))+IF('Get Started'!$G110=0,0,IF(BR4&lt;'Get Started'!$H110,0,OFFSET(BR37,0,-1*'Get Started'!$H110)*'Get Started'!$F42))+IF('Get Started'!$G109=0,0,IF(BR4&lt;'Get Started'!$H109,0,OFFSET(BR37,0,-1*'Get Started'!$H109)*'Get Started'!$E42))</f>
        <v>0</v>
      </c>
      <c r="BS49" s="29">
        <f ca="1">IF('Get Started'!$G112=0,0,IF(BS4&lt;'Get Started'!$H112,0,OFFSET(BS37,0,-1*'Get Started'!$H112)*'Get Started'!$H42))+IF('Get Started'!$G111=0,0,IF(BS4&lt;'Get Started'!$H111,0,OFFSET(BS37,0,-1*'Get Started'!$H111)*'Get Started'!$G42))+IF('Get Started'!$G110=0,0,IF(BS4&lt;'Get Started'!$H110,0,OFFSET(BS37,0,-1*'Get Started'!$H110)*'Get Started'!$F42))+IF('Get Started'!$G109=0,0,IF(BS4&lt;'Get Started'!$H109,0,OFFSET(BS37,0,-1*'Get Started'!$H109)*'Get Started'!$E42))</f>
        <v>0</v>
      </c>
      <c r="BT49" s="29">
        <f ca="1">IF('Get Started'!$G112=0,0,IF(BT4&lt;'Get Started'!$H112,0,OFFSET(BT37,0,-1*'Get Started'!$H112)*'Get Started'!$H42))+IF('Get Started'!$G111=0,0,IF(BT4&lt;'Get Started'!$H111,0,OFFSET(BT37,0,-1*'Get Started'!$H111)*'Get Started'!$G42))+IF('Get Started'!$G110=0,0,IF(BT4&lt;'Get Started'!$H110,0,OFFSET(BT37,0,-1*'Get Started'!$H110)*'Get Started'!$F42))+IF('Get Started'!$G109=0,0,IF(BT4&lt;'Get Started'!$H109,0,OFFSET(BT37,0,-1*'Get Started'!$H109)*'Get Started'!$E42))</f>
        <v>0</v>
      </c>
      <c r="BU49" s="29">
        <f ca="1">IF('Get Started'!$G112=0,0,IF(BU4&lt;'Get Started'!$H112,0,OFFSET(BU37,0,-1*'Get Started'!$H112)*'Get Started'!$H42))+IF('Get Started'!$G111=0,0,IF(BU4&lt;'Get Started'!$H111,0,OFFSET(BU37,0,-1*'Get Started'!$H111)*'Get Started'!$G42))+IF('Get Started'!$G110=0,0,IF(BU4&lt;'Get Started'!$H110,0,OFFSET(BU37,0,-1*'Get Started'!$H110)*'Get Started'!$F42))+IF('Get Started'!$G109=0,0,IF(BU4&lt;'Get Started'!$H109,0,OFFSET(BU37,0,-1*'Get Started'!$H109)*'Get Started'!$E42))</f>
        <v>0</v>
      </c>
      <c r="BV49" s="29">
        <f ca="1">IF('Get Started'!$G112=0,0,IF(BV4&lt;'Get Started'!$H112,0,OFFSET(BV37,0,-1*'Get Started'!$H112)*'Get Started'!$H42))+IF('Get Started'!$G111=0,0,IF(BV4&lt;'Get Started'!$H111,0,OFFSET(BV37,0,-1*'Get Started'!$H111)*'Get Started'!$G42))+IF('Get Started'!$G110=0,0,IF(BV4&lt;'Get Started'!$H110,0,OFFSET(BV37,0,-1*'Get Started'!$H110)*'Get Started'!$F42))+IF('Get Started'!$G109=0,0,IF(BV4&lt;'Get Started'!$H109,0,OFFSET(BV37,0,-1*'Get Started'!$H109)*'Get Started'!$E42))</f>
        <v>0</v>
      </c>
      <c r="BW49" s="29">
        <f ca="1">IF('Get Started'!$G112=0,0,IF(BW4&lt;'Get Started'!$H112,0,OFFSET(BW37,0,-1*'Get Started'!$H112)*'Get Started'!$H42))+IF('Get Started'!$G111=0,0,IF(BW4&lt;'Get Started'!$H111,0,OFFSET(BW37,0,-1*'Get Started'!$H111)*'Get Started'!$G42))+IF('Get Started'!$G110=0,0,IF(BW4&lt;'Get Started'!$H110,0,OFFSET(BW37,0,-1*'Get Started'!$H110)*'Get Started'!$F42))+IF('Get Started'!$G109=0,0,IF(BW4&lt;'Get Started'!$H109,0,OFFSET(BW37,0,-1*'Get Started'!$H109)*'Get Started'!$E42))</f>
        <v>0</v>
      </c>
      <c r="BX49" s="29">
        <f ca="1">IF('Get Started'!$G112=0,0,IF(BX4&lt;'Get Started'!$H112,0,OFFSET(BX37,0,-1*'Get Started'!$H112)*'Get Started'!$H42))+IF('Get Started'!$G111=0,0,IF(BX4&lt;'Get Started'!$H111,0,OFFSET(BX37,0,-1*'Get Started'!$H111)*'Get Started'!$G42))+IF('Get Started'!$G110=0,0,IF(BX4&lt;'Get Started'!$H110,0,OFFSET(BX37,0,-1*'Get Started'!$H110)*'Get Started'!$F42))+IF('Get Started'!$G109=0,0,IF(BX4&lt;'Get Started'!$H109,0,OFFSET(BX37,0,-1*'Get Started'!$H109)*'Get Started'!$E42))</f>
        <v>0</v>
      </c>
      <c r="BY49" s="29">
        <f ca="1">IF('Get Started'!$G112=0,0,IF(BY4&lt;'Get Started'!$H112,0,OFFSET(BY37,0,-1*'Get Started'!$H112)*'Get Started'!$H42))+IF('Get Started'!$G111=0,0,IF(BY4&lt;'Get Started'!$H111,0,OFFSET(BY37,0,-1*'Get Started'!$H111)*'Get Started'!$G42))+IF('Get Started'!$G110=0,0,IF(BY4&lt;'Get Started'!$H110,0,OFFSET(BY37,0,-1*'Get Started'!$H110)*'Get Started'!$F42))+IF('Get Started'!$G109=0,0,IF(BY4&lt;'Get Started'!$H109,0,OFFSET(BY37,0,-1*'Get Started'!$H109)*'Get Started'!$E42))</f>
        <v>0</v>
      </c>
      <c r="BZ49" s="29">
        <f ca="1">IF('Get Started'!$G112=0,0,IF(BZ4&lt;'Get Started'!$H112,0,OFFSET(BZ37,0,-1*'Get Started'!$H112)*'Get Started'!$H42))+IF('Get Started'!$G111=0,0,IF(BZ4&lt;'Get Started'!$H111,0,OFFSET(BZ37,0,-1*'Get Started'!$H111)*'Get Started'!$G42))+IF('Get Started'!$G110=0,0,IF(BZ4&lt;'Get Started'!$H110,0,OFFSET(BZ37,0,-1*'Get Started'!$H110)*'Get Started'!$F42))+IF('Get Started'!$G109=0,0,IF(BZ4&lt;'Get Started'!$H109,0,OFFSET(BZ37,0,-1*'Get Started'!$H109)*'Get Started'!$E42))</f>
        <v>0</v>
      </c>
      <c r="CA49" s="29">
        <f ca="1">IF('Get Started'!$G112=0,0,IF(CA4&lt;'Get Started'!$H112,0,OFFSET(CA37,0,-1*'Get Started'!$H112)*'Get Started'!$H42))+IF('Get Started'!$G111=0,0,IF(CA4&lt;'Get Started'!$H111,0,OFFSET(CA37,0,-1*'Get Started'!$H111)*'Get Started'!$G42))+IF('Get Started'!$G110=0,0,IF(CA4&lt;'Get Started'!$H110,0,OFFSET(CA37,0,-1*'Get Started'!$H110)*'Get Started'!$F42))+IF('Get Started'!$G109=0,0,IF(CA4&lt;'Get Started'!$H109,0,OFFSET(CA37,0,-1*'Get Started'!$H109)*'Get Started'!$E42))</f>
        <v>0</v>
      </c>
      <c r="CB49" s="29">
        <f ca="1">IF('Get Started'!$G112=0,0,IF(CB4&lt;'Get Started'!$H112,0,OFFSET(CB37,0,-1*'Get Started'!$H112)*'Get Started'!$H42))+IF('Get Started'!$G111=0,0,IF(CB4&lt;'Get Started'!$H111,0,OFFSET(CB37,0,-1*'Get Started'!$H111)*'Get Started'!$G42))+IF('Get Started'!$G110=0,0,IF(CB4&lt;'Get Started'!$H110,0,OFFSET(CB37,0,-1*'Get Started'!$H110)*'Get Started'!$F42))+IF('Get Started'!$G109=0,0,IF(CB4&lt;'Get Started'!$H109,0,OFFSET(CB37,0,-1*'Get Started'!$H109)*'Get Started'!$E42))</f>
        <v>0</v>
      </c>
      <c r="CC49" s="29">
        <f ca="1">IF('Get Started'!$G112=0,0,IF(CC4&lt;'Get Started'!$H112,0,OFFSET(CC37,0,-1*'Get Started'!$H112)*'Get Started'!$H42))+IF('Get Started'!$G111=0,0,IF(CC4&lt;'Get Started'!$H111,0,OFFSET(CC37,0,-1*'Get Started'!$H111)*'Get Started'!$G42))+IF('Get Started'!$G110=0,0,IF(CC4&lt;'Get Started'!$H110,0,OFFSET(CC37,0,-1*'Get Started'!$H110)*'Get Started'!$F42))+IF('Get Started'!$G109=0,0,IF(CC4&lt;'Get Started'!$H109,0,OFFSET(CC37,0,-1*'Get Started'!$H109)*'Get Started'!$E42))</f>
        <v>0</v>
      </c>
      <c r="CD49" s="29">
        <f ca="1">IF('Get Started'!$G112=0,0,IF(CD4&lt;'Get Started'!$H112,0,OFFSET(CD37,0,-1*'Get Started'!$H112)*'Get Started'!$H42))+IF('Get Started'!$G111=0,0,IF(CD4&lt;'Get Started'!$H111,0,OFFSET(CD37,0,-1*'Get Started'!$H111)*'Get Started'!$G42))+IF('Get Started'!$G110=0,0,IF(CD4&lt;'Get Started'!$H110,0,OFFSET(CD37,0,-1*'Get Started'!$H110)*'Get Started'!$F42))+IF('Get Started'!$G109=0,0,IF(CD4&lt;'Get Started'!$H109,0,OFFSET(CD37,0,-1*'Get Started'!$H109)*'Get Started'!$E42))</f>
        <v>0</v>
      </c>
      <c r="CE49" s="29">
        <f ca="1">IF('Get Started'!$G112=0,0,IF(CE4&lt;'Get Started'!$H112,0,OFFSET(CE37,0,-1*'Get Started'!$H112)*'Get Started'!$H42))+IF('Get Started'!$G111=0,0,IF(CE4&lt;'Get Started'!$H111,0,OFFSET(CE37,0,-1*'Get Started'!$H111)*'Get Started'!$G42))+IF('Get Started'!$G110=0,0,IF(CE4&lt;'Get Started'!$H110,0,OFFSET(CE37,0,-1*'Get Started'!$H110)*'Get Started'!$F42))+IF('Get Started'!$G109=0,0,IF(CE4&lt;'Get Started'!$H109,0,OFFSET(CE37,0,-1*'Get Started'!$H109)*'Get Started'!$E42))</f>
        <v>0</v>
      </c>
      <c r="CF49" s="29">
        <f ca="1">IF('Get Started'!$G112=0,0,IF(CF4&lt;'Get Started'!$H112,0,OFFSET(CF37,0,-1*'Get Started'!$H112)*'Get Started'!$H42))+IF('Get Started'!$G111=0,0,IF(CF4&lt;'Get Started'!$H111,0,OFFSET(CF37,0,-1*'Get Started'!$H111)*'Get Started'!$G42))+IF('Get Started'!$G110=0,0,IF(CF4&lt;'Get Started'!$H110,0,OFFSET(CF37,0,-1*'Get Started'!$H110)*'Get Started'!$F42))+IF('Get Started'!$G109=0,0,IF(CF4&lt;'Get Started'!$H109,0,OFFSET(CF37,0,-1*'Get Started'!$H109)*'Get Started'!$E42))</f>
        <v>0</v>
      </c>
      <c r="CG49" s="29">
        <f ca="1">IF('Get Started'!$G112=0,0,IF(CG4&lt;'Get Started'!$H112,0,OFFSET(CG37,0,-1*'Get Started'!$H112)*'Get Started'!$H42))+IF('Get Started'!$G111=0,0,IF(CG4&lt;'Get Started'!$H111,0,OFFSET(CG37,0,-1*'Get Started'!$H111)*'Get Started'!$G42))+IF('Get Started'!$G110=0,0,IF(CG4&lt;'Get Started'!$H110,0,OFFSET(CG37,0,-1*'Get Started'!$H110)*'Get Started'!$F42))+IF('Get Started'!$G109=0,0,IF(CG4&lt;'Get Started'!$H109,0,OFFSET(CG37,0,-1*'Get Started'!$H109)*'Get Started'!$E42))</f>
        <v>0</v>
      </c>
      <c r="CH49" s="29">
        <f ca="1">IF('Get Started'!$G112=0,0,IF(CH4&lt;'Get Started'!$H112,0,OFFSET(CH37,0,-1*'Get Started'!$H112)*'Get Started'!$H42))+IF('Get Started'!$G111=0,0,IF(CH4&lt;'Get Started'!$H111,0,OFFSET(CH37,0,-1*'Get Started'!$H111)*'Get Started'!$G42))+IF('Get Started'!$G110=0,0,IF(CH4&lt;'Get Started'!$H110,0,OFFSET(CH37,0,-1*'Get Started'!$H110)*'Get Started'!$F42))+IF('Get Started'!$G109=0,0,IF(CH4&lt;'Get Started'!$H109,0,OFFSET(CH37,0,-1*'Get Started'!$H109)*'Get Started'!$E42))</f>
        <v>0</v>
      </c>
    </row>
    <row r="50" spans="1:86" ht="13">
      <c r="B50" s="15" t="s">
        <v>274</v>
      </c>
      <c r="C50" s="15" t="s">
        <v>275</v>
      </c>
      <c r="D50" s="15" t="s">
        <v>238</v>
      </c>
      <c r="E50" s="29">
        <f t="shared" ca="1" si="15"/>
        <v>5.8207660913467407E-11</v>
      </c>
      <c r="F50" s="29"/>
      <c r="G50" s="29">
        <f t="shared" ref="G50:CH50" ca="1" si="21">G38+ABS(G48)*-1+ABS(G49)*-1</f>
        <v>1203125</v>
      </c>
      <c r="H50" s="29">
        <f t="shared" ca="1" si="21"/>
        <v>1203125</v>
      </c>
      <c r="I50" s="29">
        <f t="shared" ca="1" si="21"/>
        <v>1203125</v>
      </c>
      <c r="J50" s="29">
        <f t="shared" ca="1" si="21"/>
        <v>1203125</v>
      </c>
      <c r="K50" s="29">
        <f t="shared" ca="1" si="21"/>
        <v>1203125</v>
      </c>
      <c r="L50" s="29">
        <f t="shared" ca="1" si="21"/>
        <v>1203125</v>
      </c>
      <c r="M50" s="29">
        <f t="shared" ca="1" si="21"/>
        <v>1203125</v>
      </c>
      <c r="N50" s="29">
        <f t="shared" ca="1" si="21"/>
        <v>1203125</v>
      </c>
      <c r="O50" s="29">
        <f t="shared" ca="1" si="21"/>
        <v>481250</v>
      </c>
      <c r="P50" s="29">
        <f t="shared" ca="1" si="21"/>
        <v>481250</v>
      </c>
      <c r="Q50" s="29">
        <f t="shared" ca="1" si="21"/>
        <v>481250</v>
      </c>
      <c r="R50" s="29">
        <f t="shared" ca="1" si="21"/>
        <v>481250</v>
      </c>
      <c r="S50" s="29">
        <f t="shared" ca="1" si="21"/>
        <v>481250</v>
      </c>
      <c r="T50" s="29">
        <f t="shared" ca="1" si="21"/>
        <v>481250</v>
      </c>
      <c r="U50" s="29">
        <f t="shared" ca="1" si="21"/>
        <v>481250</v>
      </c>
      <c r="V50" s="29">
        <f t="shared" ca="1" si="21"/>
        <v>481250</v>
      </c>
      <c r="W50" s="29">
        <f t="shared" ca="1" si="21"/>
        <v>-1082812.5</v>
      </c>
      <c r="X50" s="29">
        <f t="shared" ca="1" si="21"/>
        <v>-1082812.5</v>
      </c>
      <c r="Y50" s="29">
        <f t="shared" ca="1" si="21"/>
        <v>-1082812.5</v>
      </c>
      <c r="Z50" s="29">
        <f t="shared" ca="1" si="21"/>
        <v>-1082812.5</v>
      </c>
      <c r="AA50" s="29">
        <f t="shared" ca="1" si="21"/>
        <v>-1227187.5</v>
      </c>
      <c r="AB50" s="29">
        <f t="shared" ca="1" si="21"/>
        <v>-1227187.5</v>
      </c>
      <c r="AC50" s="29">
        <f t="shared" ca="1" si="21"/>
        <v>-1227187.5</v>
      </c>
      <c r="AD50" s="29">
        <f t="shared" ca="1" si="21"/>
        <v>-1227187.5</v>
      </c>
      <c r="AE50" s="29">
        <f t="shared" ca="1" si="21"/>
        <v>-529375</v>
      </c>
      <c r="AF50" s="29">
        <f t="shared" ca="1" si="21"/>
        <v>-529375</v>
      </c>
      <c r="AG50" s="29">
        <f t="shared" ca="1" si="21"/>
        <v>-529375</v>
      </c>
      <c r="AH50" s="29">
        <f t="shared" ca="1" si="21"/>
        <v>-529375</v>
      </c>
      <c r="AI50" s="29">
        <f t="shared" ca="1" si="21"/>
        <v>-264687.5</v>
      </c>
      <c r="AJ50" s="29">
        <f t="shared" ca="1" si="21"/>
        <v>-264687.5</v>
      </c>
      <c r="AK50" s="29">
        <f t="shared" ca="1" si="21"/>
        <v>-264687.5</v>
      </c>
      <c r="AL50" s="29">
        <f t="shared" ca="1" si="21"/>
        <v>-264687.5</v>
      </c>
      <c r="AM50" s="29">
        <f t="shared" ca="1" si="21"/>
        <v>-120312.49999999997</v>
      </c>
      <c r="AN50" s="29">
        <f t="shared" ca="1" si="21"/>
        <v>-120312.49999999997</v>
      </c>
      <c r="AO50" s="29">
        <f t="shared" ca="1" si="21"/>
        <v>-120312.49999999997</v>
      </c>
      <c r="AP50" s="29">
        <f t="shared" ca="1" si="21"/>
        <v>-120312.49999999997</v>
      </c>
      <c r="AQ50" s="29">
        <f t="shared" ca="1" si="21"/>
        <v>-144374.99999999997</v>
      </c>
      <c r="AR50" s="29">
        <f t="shared" ca="1" si="21"/>
        <v>-144374.99999999997</v>
      </c>
      <c r="AS50" s="29">
        <f t="shared" ca="1" si="21"/>
        <v>-144374.99999999997</v>
      </c>
      <c r="AT50" s="29">
        <f t="shared" ca="1" si="21"/>
        <v>-144374.99999999997</v>
      </c>
      <c r="AU50" s="29">
        <f t="shared" ca="1" si="21"/>
        <v>0</v>
      </c>
      <c r="AV50" s="29">
        <f t="shared" ca="1" si="21"/>
        <v>0</v>
      </c>
      <c r="AW50" s="29">
        <f t="shared" ca="1" si="21"/>
        <v>0</v>
      </c>
      <c r="AX50" s="29">
        <f t="shared" ca="1" si="21"/>
        <v>0</v>
      </c>
      <c r="AY50" s="29">
        <f t="shared" ca="1" si="21"/>
        <v>0</v>
      </c>
      <c r="AZ50" s="29">
        <f t="shared" ca="1" si="21"/>
        <v>0</v>
      </c>
      <c r="BA50" s="29">
        <f t="shared" ca="1" si="21"/>
        <v>0</v>
      </c>
      <c r="BB50" s="29">
        <f t="shared" ca="1" si="21"/>
        <v>0</v>
      </c>
      <c r="BC50" s="29">
        <f t="shared" ca="1" si="21"/>
        <v>0</v>
      </c>
      <c r="BD50" s="29">
        <f t="shared" ca="1" si="21"/>
        <v>0</v>
      </c>
      <c r="BE50" s="29">
        <f t="shared" ca="1" si="21"/>
        <v>0</v>
      </c>
      <c r="BF50" s="29">
        <f t="shared" ca="1" si="21"/>
        <v>0</v>
      </c>
      <c r="BG50" s="29">
        <f t="shared" ca="1" si="21"/>
        <v>0</v>
      </c>
      <c r="BH50" s="29">
        <f t="shared" ca="1" si="21"/>
        <v>0</v>
      </c>
      <c r="BI50" s="29">
        <f t="shared" ca="1" si="21"/>
        <v>0</v>
      </c>
      <c r="BJ50" s="29">
        <f t="shared" ca="1" si="21"/>
        <v>0</v>
      </c>
      <c r="BK50" s="29">
        <f t="shared" ca="1" si="21"/>
        <v>0</v>
      </c>
      <c r="BL50" s="29">
        <f t="shared" ca="1" si="21"/>
        <v>0</v>
      </c>
      <c r="BM50" s="29">
        <f t="shared" ca="1" si="21"/>
        <v>0</v>
      </c>
      <c r="BN50" s="29">
        <f t="shared" ca="1" si="21"/>
        <v>0</v>
      </c>
      <c r="BO50" s="29">
        <f t="shared" ca="1" si="21"/>
        <v>0</v>
      </c>
      <c r="BP50" s="29">
        <f t="shared" ca="1" si="21"/>
        <v>0</v>
      </c>
      <c r="BQ50" s="29">
        <f t="shared" ca="1" si="21"/>
        <v>0</v>
      </c>
      <c r="BR50" s="29">
        <f t="shared" ca="1" si="21"/>
        <v>0</v>
      </c>
      <c r="BS50" s="29">
        <f t="shared" ca="1" si="21"/>
        <v>0</v>
      </c>
      <c r="BT50" s="29">
        <f t="shared" ca="1" si="21"/>
        <v>0</v>
      </c>
      <c r="BU50" s="29">
        <f t="shared" ca="1" si="21"/>
        <v>0</v>
      </c>
      <c r="BV50" s="29">
        <f t="shared" ca="1" si="21"/>
        <v>0</v>
      </c>
      <c r="BW50" s="29">
        <f t="shared" ca="1" si="21"/>
        <v>0</v>
      </c>
      <c r="BX50" s="29">
        <f t="shared" ca="1" si="21"/>
        <v>0</v>
      </c>
      <c r="BY50" s="29">
        <f t="shared" ca="1" si="21"/>
        <v>0</v>
      </c>
      <c r="BZ50" s="29">
        <f t="shared" ca="1" si="21"/>
        <v>0</v>
      </c>
      <c r="CA50" s="29">
        <f t="shared" ca="1" si="21"/>
        <v>0</v>
      </c>
      <c r="CB50" s="29">
        <f t="shared" ca="1" si="21"/>
        <v>0</v>
      </c>
      <c r="CC50" s="29">
        <f t="shared" ca="1" si="21"/>
        <v>0</v>
      </c>
      <c r="CD50" s="29">
        <f t="shared" ca="1" si="21"/>
        <v>0</v>
      </c>
      <c r="CE50" s="29">
        <f t="shared" ca="1" si="21"/>
        <v>0</v>
      </c>
      <c r="CF50" s="29">
        <f t="shared" ca="1" si="21"/>
        <v>0</v>
      </c>
      <c r="CG50" s="29">
        <f t="shared" ca="1" si="21"/>
        <v>0</v>
      </c>
      <c r="CH50" s="29">
        <f t="shared" ca="1" si="21"/>
        <v>0</v>
      </c>
    </row>
    <row r="51" spans="1:86" ht="13">
      <c r="B51" s="15" t="s">
        <v>276</v>
      </c>
      <c r="C51" s="15" t="s">
        <v>277</v>
      </c>
      <c r="D51" s="15" t="s">
        <v>238</v>
      </c>
      <c r="E51" s="29">
        <f t="shared" ca="1" si="15"/>
        <v>0</v>
      </c>
      <c r="F51" s="29"/>
      <c r="G51" s="29">
        <f ca="1">IF(G76=$E76,SUM(F51:$G51)*-1,IF(G77=0,0,IF(G4&lt;&gt;1,(F79+G50/2)*((1+'Get Started'!$E129)^(1/4)-1)-G49*(1+((1+'Get Started'!$E129)^(1/4)-1))^('Get Started'!$H113),0)))</f>
        <v>0</v>
      </c>
      <c r="H51" s="29">
        <f ca="1">IF(H76=$E76,SUM(G51:$G51)*-1,IF(H77=0,0,IF(H4&lt;&gt;1,(G79+H50/2)*((1+'Get Started'!$E129)^(1/4)-1)-H49*(1+((1+'Get Started'!$E129)^(1/4)-1))^('Get Started'!$H113-AVERAGE('Get Started'!$E55:$H55)),0)))</f>
        <v>0</v>
      </c>
      <c r="I51" s="29">
        <f ca="1">IF(I76=$E76,SUM($G51:H51)*-1,IF(I77=0,0,IF(I4&lt;&gt;1,(H79+I50/2)*((1+'Get Started'!$E129)^(1/4)-1)-I49*(1+((1+'Get Started'!$E129)^(1/4)-1))^('Get Started'!$H113-AVERAGE('Get Started'!$E55:$H55)),0)))</f>
        <v>0</v>
      </c>
      <c r="J51" s="29">
        <f ca="1">IF(J76=$E76,SUM($G51:I51)*-1,IF(J77=0,0,IF(J4&lt;&gt;1,(I79+J50/2)*((1+'Get Started'!$E129)^(1/4)-1)-J49*(1+((1+'Get Started'!$E129)^(1/4)-1))^('Get Started'!$H113-AVERAGE('Get Started'!$E55:$H55)),0)))</f>
        <v>0</v>
      </c>
      <c r="K51" s="29">
        <f ca="1">IF(K76=$E76,SUM($G51:J51)*-1,IF(K77=0,0,IF(K4&lt;&gt;1,(J79+K50/2)*((1+'Get Started'!$E129)^(1/4)-1)-K49*(1+((1+'Get Started'!$E129)^(1/4)-1))^('Get Started'!$H113-AVERAGE('Get Started'!$E55:$H55)),0)))</f>
        <v>0</v>
      </c>
      <c r="L51" s="29">
        <f ca="1">IF(L76=$E76,SUM($G51:K51)*-1,IF(L77=0,0,IF(L4&lt;&gt;1,(K79+L50/2)*((1+'Get Started'!$E129)^(1/4)-1)-L49*(1+((1+'Get Started'!$E129)^(1/4)-1))^('Get Started'!$H113-AVERAGE('Get Started'!$E55:$H55)),0)))</f>
        <v>0</v>
      </c>
      <c r="M51" s="29">
        <f ca="1">IF(M76=$E76,SUM($G51:L51)*-1,IF(M77=0,0,IF(M4&lt;&gt;1,(L79+M50/2)*((1+'Get Started'!$E129)^(1/4)-1)-M49*(1+((1+'Get Started'!$E129)^(1/4)-1))^('Get Started'!$H113-AVERAGE('Get Started'!$E55:$H55)),0)))</f>
        <v>0</v>
      </c>
      <c r="N51" s="29">
        <f ca="1">IF(N76=$E76,SUM($G51:M51)*-1,IF(N77=0,0,IF(N4&lt;&gt;1,(M79+N50/2)*((1+'Get Started'!$E129)^(1/4)-1)-N49*(1+((1+'Get Started'!$E129)^(1/4)-1))^('Get Started'!$H113-AVERAGE('Get Started'!$E55:$H55)),0)))</f>
        <v>0</v>
      </c>
      <c r="O51" s="29">
        <f ca="1">IF(O76=$E76,SUM($G51:N51)*-1,IF(O77=0,0,IF(O4&lt;&gt;1,(N79+O50/2)*((1+'Get Started'!$E129)^(1/4)-1)-O49*(1+((1+'Get Started'!$E129)^(1/4)-1))^('Get Started'!$H113-AVERAGE('Get Started'!$E55:$H55)),0)))</f>
        <v>1054087.7929767645</v>
      </c>
      <c r="P51" s="29">
        <f ca="1">IF(P76=$E76,SUM($G51:O51)*-1,IF(P77=0,0,IF(P4&lt;&gt;1,(O79+P50/2)*((1+'Get Started'!$E129)^(1/4)-1)-P49*(1+((1+'Get Started'!$E129)^(1/4)-1))^('Get Started'!$H113-AVERAGE('Get Started'!$E55:$H55)),0)))</f>
        <v>1105506.7097073384</v>
      </c>
      <c r="Q51" s="29">
        <f ca="1">IF(Q76=$E76,SUM($G51:P51)*-1,IF(Q77=0,0,IF(Q4&lt;&gt;1,(P79+Q50/2)*((1+'Get Started'!$E129)^(1/4)-1)-Q49*(1+((1+'Get Started'!$E129)^(1/4)-1))^('Get Started'!$H113-AVERAGE('Get Started'!$E55:$H55)),0)))</f>
        <v>1156925.6264379122</v>
      </c>
      <c r="R51" s="29">
        <f ca="1">IF(R76=$E76,SUM($G51:Q51)*-1,IF(R77=0,0,IF(R4&lt;&gt;1,(Q79+R50/2)*((1+'Get Started'!$E129)^(1/4)-1)-R49*(1+((1+'Get Started'!$E129)^(1/4)-1))^('Get Started'!$H113-AVERAGE('Get Started'!$E55:$H55)),0)))</f>
        <v>1208344.5431684861</v>
      </c>
      <c r="S51" s="29">
        <f ca="1">IF(S76=$E76,SUM($G51:R51)*-1,IF(S77=0,0,IF(S4&lt;&gt;1,(R79+S50/2)*((1+'Get Started'!$E129)^(1/4)-1)-S49*(1+((1+'Get Started'!$E129)^(1/4)-1))^('Get Started'!$H113-AVERAGE('Get Started'!$E55:$H55)),0)))</f>
        <v>509677.90107890556</v>
      </c>
      <c r="T51" s="29">
        <f ca="1">IF(T76=$E76,SUM($G51:S51)*-1,IF(T77=0,0,IF(T4&lt;&gt;1,(S79+T50/2)*((1+'Get Started'!$E129)^(1/4)-1)-T49*(1+((1+'Get Started'!$E129)^(1/4)-1))^('Get Started'!$H113-AVERAGE('Get Started'!$E55:$H55)),0)))</f>
        <v>561096.81780947943</v>
      </c>
      <c r="U51" s="29">
        <f ca="1">IF(U76=$E76,SUM($G51:T51)*-1,IF(U77=0,0,IF(U4&lt;&gt;1,(T79+U50/2)*((1+'Get Started'!$E129)^(1/4)-1)-U49*(1+((1+'Get Started'!$E129)^(1/4)-1))^('Get Started'!$H113-AVERAGE('Get Started'!$E55:$H55)),0)))</f>
        <v>612515.73454005329</v>
      </c>
      <c r="V51" s="29">
        <f ca="1">IF(V76=$E76,SUM($G51:U51)*-1,IF(V77=0,0,IF(V4&lt;&gt;1,(U79+V50/2)*((1+'Get Started'!$E129)^(1/4)-1)-V49*(1+((1+'Get Started'!$E129)^(1/4)-1))^('Get Started'!$H113-AVERAGE('Get Started'!$E55:$H55)),0)))</f>
        <v>663934.65127062716</v>
      </c>
      <c r="W51" s="29">
        <f ca="1">IF(W76=$E76,SUM($G51:V51)*-1,IF(W77=0,0,IF(W4&lt;&gt;1,(V79+W50/2)*((1+'Get Started'!$E129)^(1/4)-1)-W49*(1+((1+'Get Started'!$E129)^(1/4)-1))^('Get Started'!$H113-AVERAGE('Get Started'!$E55:$H55)),0)))</f>
        <v>256755.04890394141</v>
      </c>
      <c r="X51" s="29">
        <f ca="1">IF(X76=$E76,SUM($G51:W51)*-1,IF(X77=0,0,IF(X4&lt;&gt;1,(W79+X50/2)*((1+'Get Started'!$E129)^(1/4)-1)-X49*(1+((1+'Get Started'!$E129)^(1/4)-1))^('Get Started'!$H113-AVERAGE('Get Started'!$E55:$H55)),0)))</f>
        <v>141062.48626015009</v>
      </c>
      <c r="Y51" s="29">
        <f ca="1">IF(Y76=$E76,SUM($G51:X51)*-1,IF(Y77=0,0,IF(Y4&lt;&gt;1,(X79+Y50/2)*((1+'Get Started'!$E129)^(1/4)-1)-Y49*(1+((1+'Get Started'!$E129)^(1/4)-1))^('Get Started'!$H113-AVERAGE('Get Started'!$E55:$H55)),0)))</f>
        <v>25369.923616358778</v>
      </c>
      <c r="Z51" s="29">
        <f ca="1">IF(Z76=$E76,SUM($G51:Y51)*-1,IF(Z77=0,0,IF(Z4&lt;&gt;1,(Y79+Z50/2)*((1+'Get Started'!$E129)^(1/4)-1)-Z49*(1+((1+'Get Started'!$E129)^(1/4)-1))^('Get Started'!$H113-AVERAGE('Get Started'!$E55:$H55)),0)))</f>
        <v>-90322.639027432306</v>
      </c>
      <c r="AA51" s="29">
        <f ca="1">IF(AA76=$E76,SUM($G51:Z51)*-1,IF(AA77=0,0,IF(AA4&lt;&gt;1,(Z79+AA50/2)*((1+'Get Started'!$E129)^(1/4)-1)-AA49*(1+((1+'Get Started'!$E129)^(1/4)-1))^('Get Started'!$H113-AVERAGE('Get Started'!$E55:$H55)),0)))</f>
        <v>-213728.03918080963</v>
      </c>
      <c r="AB51" s="29">
        <f ca="1">IF(AB76=$E76,SUM($G51:AA51)*-1,IF(AB77=0,0,IF(AB4&lt;&gt;1,(AA79+AB50/2)*((1+'Get Started'!$E129)^(1/4)-1)-AB49*(1+((1+'Get Started'!$E129)^(1/4)-1))^('Get Started'!$H113-AVERAGE('Get Started'!$E55:$H55)),0)))</f>
        <v>-344846.27684377297</v>
      </c>
      <c r="AC51" s="29">
        <f ca="1">IF(AC76=$E76,SUM($G51:AB51)*-1,IF(AC77=0,0,IF(AC4&lt;&gt;1,(AB79+AC50/2)*((1+'Get Started'!$E129)^(1/4)-1)-AC49*(1+((1+'Get Started'!$E129)^(1/4)-1))^('Get Started'!$H113-AVERAGE('Get Started'!$E55:$H55)),0)))</f>
        <v>-475964.51450673642</v>
      </c>
      <c r="AD51" s="29">
        <f ca="1">IF(AD76=$E76,SUM($G51:AC51)*-1,IF(AD77=0,0,IF(AD4&lt;&gt;1,(AC79+AD50/2)*((1+'Get Started'!$E129)^(1/4)-1)-AD49*(1+((1+'Get Started'!$E129)^(1/4)-1))^('Get Started'!$H113-AVERAGE('Get Started'!$E55:$H55)),0)))</f>
        <v>-607082.75216969976</v>
      </c>
      <c r="AE51" s="29">
        <f ca="1">IF(AE76=$E76,SUM($G51:AD51)*-1,IF(AE77=0,0,IF(AE4&lt;&gt;1,(AD79+AE50/2)*((1+'Get Started'!$E129)^(1/4)-1)-AE49*(1+((1+'Get Started'!$E129)^(1/4)-1))^('Get Started'!$H113-AVERAGE('Get Started'!$E55:$H55)),0)))</f>
        <v>-1225982.1663771053</v>
      </c>
      <c r="AF51" s="29">
        <f ca="1">IF(AF76=$E76,SUM($G51:AE51)*-1,IF(AF77=0,0,IF(AF4&lt;&gt;1,(AE79+AF50/2)*((1+'Get Started'!$E129)^(1/4)-1)-AF49*(1+((1+'Get Started'!$E129)^(1/4)-1))^('Get Started'!$H113-AVERAGE('Get Started'!$E55:$H55)),0)))</f>
        <v>-1282542.9747807365</v>
      </c>
      <c r="AG51" s="29">
        <f ca="1">IF(AG76=$E76,SUM($G51:AF51)*-1,IF(AG77=0,0,IF(AG4&lt;&gt;1,(AF79+AG50/2)*((1+'Get Started'!$E129)^(1/4)-1)-AG49*(1+((1+'Get Started'!$E129)^(1/4)-1))^('Get Started'!$H113-AVERAGE('Get Started'!$E55:$H55)),0)))</f>
        <v>-1339103.7831843679</v>
      </c>
      <c r="AH51" s="29">
        <f ca="1">IF(AH76=$E76,SUM($G51:AG51)*-1,IF(AH77=0,0,IF(AH4&lt;&gt;1,(AG79+AH50/2)*((1+'Get Started'!$E129)^(1/4)-1)-AH49*(1+((1+'Get Started'!$E129)^(1/4)-1))^('Get Started'!$H113-AVERAGE('Get Started'!$E55:$H55)),0)))</f>
        <v>-1395664.5915879991</v>
      </c>
      <c r="AI51" s="29">
        <f ca="1">IF(AI76=$E76,SUM($G51:AH51)*-1,IF(AI77=0,0,IF(AI4&lt;&gt;1,(AH79+AI50/2)*((1+'Get Started'!$E129)^(1/4)-1)-AI49*(1+((1+'Get Started'!$E129)^(1/4)-1))^('Get Started'!$H113-AVERAGE('Get Started'!$E55:$H55)),0)))</f>
        <v>-612991.08318855264</v>
      </c>
      <c r="AJ51" s="29">
        <f ca="1">IF(AJ76=$E76,SUM($G51:AI51)*-1,IF(AJ77=0,0,IF(AJ4&lt;&gt;1,(AI79+AJ50/2)*((1+'Get Started'!$E129)^(1/4)-1)-AJ49*(1+((1+'Get Started'!$E129)^(1/4)-1))^('Get Started'!$H113-AVERAGE('Get Started'!$E55:$H55)),0)))</f>
        <v>-641271.48739036825</v>
      </c>
      <c r="AK51" s="29">
        <f ca="1">IF(AK76=$E76,SUM($G51:AJ51)*-1,IF(AK77=0,0,IF(AK4&lt;&gt;1,(AJ79+AK50/2)*((1+'Get Started'!$E129)^(1/4)-1)-AK49*(1+((1+'Get Started'!$E129)^(1/4)-1))^('Get Started'!$H113-AVERAGE('Get Started'!$E55:$H55)),0)))</f>
        <v>-669551.89159218397</v>
      </c>
      <c r="AL51" s="29">
        <f ca="1">IF(AL76=$E76,SUM($G51:AK51)*-1,IF(AL77=0,0,IF(AL4&lt;&gt;1,(AK79+AL50/2)*((1+'Get Started'!$E129)^(1/4)-1)-AL49*(1+((1+'Get Started'!$E129)^(1/4)-1))^('Get Started'!$H113-AVERAGE('Get Started'!$E55:$H55)),0)))</f>
        <v>-697832.29579399957</v>
      </c>
      <c r="AM51" s="29">
        <f ca="1">IF(AM76=$E76,SUM($G51:AL51)*-1,IF(AM77=0,0,IF(AM4&lt;&gt;1,(AL79+AM50/2)*((1+'Get Started'!$E129)^(1/4)-1)-AM49*(1+((1+'Get Started'!$E129)^(1/4)-1))^('Get Started'!$H113-AVERAGE('Get Started'!$E55:$H55)),0)))</f>
        <v>-268348.52719413635</v>
      </c>
      <c r="AN51" s="29">
        <f ca="1">IF(AN76=$E76,SUM($G51:AM51)*-1,IF(AN77=0,0,IF(AN4&lt;&gt;1,(AM79+AN50/2)*((1+'Get Started'!$E129)^(1/4)-1)-AN49*(1+((1+'Get Started'!$E129)^(1/4)-1))^('Get Started'!$H113-AVERAGE('Get Started'!$E55:$H55)),0)))</f>
        <v>-281203.25637677981</v>
      </c>
      <c r="AO51" s="29">
        <f ca="1">IF(AO76=$E76,SUM($G51:AN51)*-1,IF(AO77=0,0,IF(AO4&lt;&gt;1,(AN79+AO50/2)*((1+'Get Started'!$E129)^(1/4)-1)-AO49*(1+((1+'Get Started'!$E129)^(1/4)-1))^('Get Started'!$H113-AVERAGE('Get Started'!$E55:$H55)),0)))</f>
        <v>-294057.98555942328</v>
      </c>
      <c r="AP51" s="29">
        <f ca="1">IF(AP76=$E76,SUM($G51:AO51)*-1,IF(AP77=0,0,IF(AP4&lt;&gt;1,(AO79+AP50/2)*((1+'Get Started'!$E129)^(1/4)-1)-AP49*(1+((1+'Get Started'!$E129)^(1/4)-1))^('Get Started'!$H113-AVERAGE('Get Started'!$E55:$H55)),0)))</f>
        <v>-306912.71474206675</v>
      </c>
      <c r="AQ51" s="29">
        <f ca="1">IF(AQ76=$E76,SUM($G51:AP51)*-1,IF(AQ77=0,0,IF(AQ4&lt;&gt;1,(AP79+AQ50/2)*((1+'Get Started'!$E129)^(1/4)-1)-AQ49*(1+((1+'Get Started'!$E129)^(1/4)-1))^('Get Started'!$H113-AVERAGE('Get Started'!$E55:$H55)),0)))</f>
        <v>-396061.47272498999</v>
      </c>
      <c r="AR51" s="29">
        <f ca="1">IF(AR76=$E76,SUM($G51:AQ51)*-1,IF(AR77=0,0,IF(AR4&lt;&gt;1,(AQ79+AR50/2)*((1+'Get Started'!$E129)^(1/4)-1)-AR49*(1+((1+'Get Started'!$E129)^(1/4)-1))^('Get Started'!$H113-AVERAGE('Get Started'!$E55:$H55)),0)))</f>
        <v>-411487.14774416218</v>
      </c>
      <c r="AS51" s="29">
        <f ca="1">IF(AS76=$E76,SUM($G51:AR51)*-1,IF(AS77=0,0,IF(AS4&lt;&gt;1,(AR79+AS50/2)*((1+'Get Started'!$E129)^(1/4)-1)-AS49*(1+((1+'Get Started'!$E129)^(1/4)-1))^('Get Started'!$H113-AVERAGE('Get Started'!$E55:$H55)),0)))</f>
        <v>-426912.82276333432</v>
      </c>
      <c r="AT51" s="29">
        <f ca="1">IF(AT76=$E76,SUM($G51:AS51)*-1,IF(AT77=0,0,IF(AT4&lt;&gt;1,(AS79+AT50/2)*((1+'Get Started'!$E129)^(1/4)-1)-AT49*(1+((1+'Get Started'!$E129)^(1/4)-1))^('Get Started'!$H113-AVERAGE('Get Started'!$E55:$H55)),0)))</f>
        <v>4686591.1869586399</v>
      </c>
      <c r="AU51" s="29">
        <f ca="1">IF(AU76=$E76,SUM($G51:AT51)*-1,IF(AU77=0,0,IF(AU4&lt;&gt;1,(AT79+AU50/2)*((1+'Get Started'!$E129)^(1/4)-1)-AU49*(1+((1+'Get Started'!$E129)^(1/4)-1))^('Get Started'!$H113-AVERAGE('Get Started'!$E55:$H55)),0)))</f>
        <v>0</v>
      </c>
      <c r="AV51" s="29">
        <f ca="1">IF(AV76=$E76,SUM($G51:AU51)*-1,IF(AV77=0,0,IF(AV4&lt;&gt;1,(AU79+AV50/2)*((1+'Get Started'!$E129)^(1/4)-1)-AV49*(1+((1+'Get Started'!$E129)^(1/4)-1))^('Get Started'!$H113-AVERAGE('Get Started'!$E55:$H55)),0)))</f>
        <v>0</v>
      </c>
      <c r="AW51" s="29">
        <f ca="1">IF(AW76=$E76,SUM($G51:AV51)*-1,IF(AW77=0,0,IF(AW4&lt;&gt;1,(AV79+AW50/2)*((1+'Get Started'!$E129)^(1/4)-1)-AW49*(1+((1+'Get Started'!$E129)^(1/4)-1))^('Get Started'!$H113-AVERAGE('Get Started'!$E55:$H55)),0)))</f>
        <v>0</v>
      </c>
      <c r="AX51" s="29">
        <f ca="1">IF(AX76=$E76,SUM($G51:AW51)*-1,IF(AX77=0,0,IF(AX4&lt;&gt;1,(AW79+AX50/2)*((1+'Get Started'!$E129)^(1/4)-1)-AX49*(1+((1+'Get Started'!$E129)^(1/4)-1))^('Get Started'!$H113-AVERAGE('Get Started'!$E55:$H55)),0)))</f>
        <v>0</v>
      </c>
      <c r="AY51" s="29">
        <f ca="1">IF(AY76=$E76,SUM($G51:AX51)*-1,IF(AY77=0,0,IF(AY4&lt;&gt;1,(AX79+AY50/2)*((1+'Get Started'!$E129)^(1/4)-1)-AY49*(1+((1+'Get Started'!$E129)^(1/4)-1))^('Get Started'!$H113-AVERAGE('Get Started'!$E55:$H55)),0)))</f>
        <v>0</v>
      </c>
      <c r="AZ51" s="29">
        <f ca="1">IF(AZ76=$E76,SUM($G51:AY51)*-1,IF(AZ77=0,0,IF(AZ4&lt;&gt;1,(AY79+AZ50/2)*((1+'Get Started'!$E129)^(1/4)-1)-AZ49*(1+((1+'Get Started'!$E129)^(1/4)-1))^('Get Started'!$H113-AVERAGE('Get Started'!$E55:$H55)),0)))</f>
        <v>0</v>
      </c>
      <c r="BA51" s="29">
        <f ca="1">IF(BA76=$E76,SUM($G51:AZ51)*-1,IF(BA77=0,0,IF(BA4&lt;&gt;1,(AZ79+BA50/2)*((1+'Get Started'!$E129)^(1/4)-1)-BA49*(1+((1+'Get Started'!$E129)^(1/4)-1))^('Get Started'!$H113-AVERAGE('Get Started'!$E55:$H55)),0)))</f>
        <v>0</v>
      </c>
      <c r="BB51" s="29">
        <f ca="1">IF(BB76=$E76,SUM($G51:BA51)*-1,IF(BB77=0,0,IF(BB4&lt;&gt;1,(BA79+BB50/2)*((1+'Get Started'!$E129)^(1/4)-1)-BB49*(1+((1+'Get Started'!$E129)^(1/4)-1))^('Get Started'!$H113-AVERAGE('Get Started'!$E55:$H55)),0)))</f>
        <v>0</v>
      </c>
      <c r="BC51" s="29">
        <f ca="1">IF(BC76=$E76,SUM($G51:BB51)*-1,IF(BC77=0,0,IF(BC4&lt;&gt;1,(BB79+BC50/2)*((1+'Get Started'!$E129)^(1/4)-1)-BC49*(1+((1+'Get Started'!$E129)^(1/4)-1))^('Get Started'!$H113-AVERAGE('Get Started'!$E55:$H55)),0)))</f>
        <v>0</v>
      </c>
      <c r="BD51" s="29">
        <f ca="1">IF(BD76=$E76,SUM($G51:BC51)*-1,IF(BD77=0,0,IF(BD4&lt;&gt;1,(BC79+BD50/2)*((1+'Get Started'!$E129)^(1/4)-1)-BD49*(1+((1+'Get Started'!$E129)^(1/4)-1))^('Get Started'!$H113-AVERAGE('Get Started'!$E55:$H55)),0)))</f>
        <v>0</v>
      </c>
      <c r="BE51" s="29">
        <f ca="1">IF(BE76=$E76,SUM($G51:BD51)*-1,IF(BE77=0,0,IF(BE4&lt;&gt;1,(BD79+BE50/2)*((1+'Get Started'!$E129)^(1/4)-1)-BE49*(1+((1+'Get Started'!$E129)^(1/4)-1))^('Get Started'!$H113-AVERAGE('Get Started'!$E55:$H55)),0)))</f>
        <v>0</v>
      </c>
      <c r="BF51" s="29">
        <f ca="1">IF(BF76=$E76,SUM($G51:BE51)*-1,IF(BF77=0,0,IF(BF4&lt;&gt;1,(BE79+BF50/2)*((1+'Get Started'!$E129)^(1/4)-1)-BF49*(1+((1+'Get Started'!$E129)^(1/4)-1))^('Get Started'!$H113-AVERAGE('Get Started'!$E55:$H55)),0)))</f>
        <v>0</v>
      </c>
      <c r="BG51" s="29">
        <f ca="1">IF(BG76=$E76,SUM($G51:BF51)*-1,IF(BG77=0,0,IF(BG4&lt;&gt;1,(BF79+BG50/2)*((1+'Get Started'!$E129)^(1/4)-1)-BG49*(1+((1+'Get Started'!$E129)^(1/4)-1))^('Get Started'!$H113-AVERAGE('Get Started'!$E55:$H55)),0)))</f>
        <v>0</v>
      </c>
      <c r="BH51" s="29">
        <f ca="1">IF(BH76=$E76,SUM($G51:BG51)*-1,IF(BH77=0,0,IF(BH4&lt;&gt;1,(BG79+BH50/2)*((1+'Get Started'!$E129)^(1/4)-1)-BH49*(1+((1+'Get Started'!$E129)^(1/4)-1))^('Get Started'!$H113-AVERAGE('Get Started'!$E55:$H55)),0)))</f>
        <v>0</v>
      </c>
      <c r="BI51" s="29">
        <f ca="1">IF(BI76=$E76,SUM($G51:BH51)*-1,IF(BI77=0,0,IF(BI4&lt;&gt;1,(BH79+BI50/2)*((1+'Get Started'!$E129)^(1/4)-1)-BI49*(1+((1+'Get Started'!$E129)^(1/4)-1))^('Get Started'!$H113-AVERAGE('Get Started'!$E55:$H55)),0)))</f>
        <v>0</v>
      </c>
      <c r="BJ51" s="29">
        <f ca="1">IF(BJ76=$E76,SUM($G51:BI51)*-1,IF(BJ77=0,0,IF(BJ4&lt;&gt;1,(BI79+BJ50/2)*((1+'Get Started'!$E129)^(1/4)-1)-BJ49*(1+((1+'Get Started'!$E129)^(1/4)-1))^('Get Started'!$H113-AVERAGE('Get Started'!$E55:$H55)),0)))</f>
        <v>0</v>
      </c>
      <c r="BK51" s="29">
        <f ca="1">IF(BK76=$E76,SUM($G51:BJ51)*-1,IF(BK77=0,0,IF(BK4&lt;&gt;1,(BJ79+BK50/2)*((1+'Get Started'!$E129)^(1/4)-1)-BK49*(1+((1+'Get Started'!$E129)^(1/4)-1))^('Get Started'!$H113-AVERAGE('Get Started'!$E55:$H55)),0)))</f>
        <v>0</v>
      </c>
      <c r="BL51" s="29">
        <f ca="1">IF(BL76=$E76,SUM($G51:BK51)*-1,IF(BL77=0,0,IF(BL4&lt;&gt;1,(BK79+BL50/2)*((1+'Get Started'!$E129)^(1/4)-1)-BL49*(1+((1+'Get Started'!$E129)^(1/4)-1))^('Get Started'!$H113-AVERAGE('Get Started'!$E55:$H55)),0)))</f>
        <v>0</v>
      </c>
      <c r="BM51" s="29">
        <f ca="1">IF(BM76=$E76,SUM($G51:BL51)*-1,IF(BM77=0,0,IF(BM4&lt;&gt;1,(BL79+BM50/2)*((1+'Get Started'!$E129)^(1/4)-1)-BM49*(1+((1+'Get Started'!$E129)^(1/4)-1))^('Get Started'!$H113-AVERAGE('Get Started'!$E55:$H55)),0)))</f>
        <v>0</v>
      </c>
      <c r="BN51" s="29">
        <f ca="1">IF(BN76=$E76,SUM($G51:BM51)*-1,IF(BN77=0,0,IF(BN4&lt;&gt;1,(BM79+BN50/2)*((1+'Get Started'!$E129)^(1/4)-1)-BN49*(1+((1+'Get Started'!$E129)^(1/4)-1))^('Get Started'!$H113-AVERAGE('Get Started'!$E55:$H55)),0)))</f>
        <v>0</v>
      </c>
      <c r="BO51" s="29">
        <f ca="1">IF(BO76=$E76,SUM($G51:BN51)*-1,IF(BO77=0,0,IF(BO4&lt;&gt;1,(BN79+BO50/2)*((1+'Get Started'!$E129)^(1/4)-1)-BO49*(1+((1+'Get Started'!$E129)^(1/4)-1))^('Get Started'!$H113-AVERAGE('Get Started'!$E55:$H55)),0)))</f>
        <v>0</v>
      </c>
      <c r="BP51" s="29">
        <f ca="1">IF(BP76=$E76,SUM($G51:BO51)*-1,IF(BP77=0,0,IF(BP4&lt;&gt;1,(BO79+BP50/2)*((1+'Get Started'!$E129)^(1/4)-1)-BP49*(1+((1+'Get Started'!$E129)^(1/4)-1))^('Get Started'!$H113-AVERAGE('Get Started'!$E55:$H55)),0)))</f>
        <v>0</v>
      </c>
      <c r="BQ51" s="29">
        <f ca="1">IF(BQ76=$E76,SUM($G51:BP51)*-1,IF(BQ77=0,0,IF(BQ4&lt;&gt;1,(BP79+BQ50/2)*((1+'Get Started'!$E129)^(1/4)-1)-BQ49*(1+((1+'Get Started'!$E129)^(1/4)-1))^('Get Started'!$H113-AVERAGE('Get Started'!$E55:$H55)),0)))</f>
        <v>0</v>
      </c>
      <c r="BR51" s="29">
        <f ca="1">IF(BR76=$E76,SUM($G51:BQ51)*-1,IF(BR77=0,0,IF(BR4&lt;&gt;1,(BQ79+BR50/2)*((1+'Get Started'!$E129)^(1/4)-1)-BR49*(1+((1+'Get Started'!$E129)^(1/4)-1))^('Get Started'!$H113-AVERAGE('Get Started'!$E55:$H55)),0)))</f>
        <v>0</v>
      </c>
      <c r="BS51" s="29">
        <f ca="1">IF(BS76=$E76,SUM($G51:BR51)*-1,IF(BS77=0,0,IF(BS4&lt;&gt;1,(BR79+BS50/2)*((1+'Get Started'!$E129)^(1/4)-1)-BS49*(1+((1+'Get Started'!$E129)^(1/4)-1))^('Get Started'!$H113-AVERAGE('Get Started'!$E55:$H55)),0)))</f>
        <v>0</v>
      </c>
      <c r="BT51" s="29">
        <f ca="1">IF(BT76=$E76,SUM($G51:BS51)*-1,IF(BT77=0,0,IF(BT4&lt;&gt;1,(BS79+BT50/2)*((1+'Get Started'!$E129)^(1/4)-1)-BT49*(1+((1+'Get Started'!$E129)^(1/4)-1))^('Get Started'!$H113-AVERAGE('Get Started'!$E55:$H55)),0)))</f>
        <v>0</v>
      </c>
      <c r="BU51" s="29">
        <f ca="1">IF(BU76=$E76,SUM($G51:BT51)*-1,IF(BU77=0,0,IF(BU4&lt;&gt;1,(BT79+BU50/2)*((1+'Get Started'!$E129)^(1/4)-1)-BU49*(1+((1+'Get Started'!$E129)^(1/4)-1))^('Get Started'!$H113-AVERAGE('Get Started'!$E55:$H55)),0)))</f>
        <v>0</v>
      </c>
      <c r="BV51" s="29">
        <f ca="1">IF(BV76=$E76,SUM($G51:BU51)*-1,IF(BV77=0,0,IF(BV4&lt;&gt;1,(BU79+BV50/2)*((1+'Get Started'!$E129)^(1/4)-1)-BV49*(1+((1+'Get Started'!$E129)^(1/4)-1))^('Get Started'!$H113-AVERAGE('Get Started'!$E55:$H55)),0)))</f>
        <v>0</v>
      </c>
      <c r="BW51" s="29">
        <f ca="1">IF(BW76=$E76,SUM($G51:BV51)*-1,IF(BW77=0,0,IF(BW4&lt;&gt;1,(BV79+BW50/2)*((1+'Get Started'!$E129)^(1/4)-1)-BW49*(1+((1+'Get Started'!$E129)^(1/4)-1))^('Get Started'!$H113-AVERAGE('Get Started'!$E55:$H55)),0)))</f>
        <v>0</v>
      </c>
      <c r="BX51" s="29">
        <f ca="1">IF(BX76=$E76,SUM($G51:BW51)*-1,IF(BX77=0,0,IF(BX4&lt;&gt;1,(BW79+BX50/2)*((1+'Get Started'!$E129)^(1/4)-1)-BX49*(1+((1+'Get Started'!$E129)^(1/4)-1))^('Get Started'!$H113-AVERAGE('Get Started'!$E55:$H55)),0)))</f>
        <v>0</v>
      </c>
      <c r="BY51" s="29">
        <f ca="1">IF(BY76=$E76,SUM($G51:BX51)*-1,IF(BY77=0,0,IF(BY4&lt;&gt;1,(BX79+BY50/2)*((1+'Get Started'!$E129)^(1/4)-1)-BY49*(1+((1+'Get Started'!$E129)^(1/4)-1))^('Get Started'!$H113-AVERAGE('Get Started'!$E55:$H55)),0)))</f>
        <v>0</v>
      </c>
      <c r="BZ51" s="29">
        <f ca="1">IF(BZ76=$E76,SUM($G51:BY51)*-1,IF(BZ77=0,0,IF(BZ4&lt;&gt;1,(BY79+BZ50/2)*((1+'Get Started'!$E129)^(1/4)-1)-BZ49*(1+((1+'Get Started'!$E129)^(1/4)-1))^('Get Started'!$H113-AVERAGE('Get Started'!$E55:$H55)),0)))</f>
        <v>0</v>
      </c>
      <c r="CA51" s="29">
        <f ca="1">IF(CA76=$E76,SUM($G51:BZ51)*-1,IF(CA77=0,0,IF(CA4&lt;&gt;1,(BZ79+CA50/2)*((1+'Get Started'!$E129)^(1/4)-1)-CA49*(1+((1+'Get Started'!$E129)^(1/4)-1))^('Get Started'!$H113-AVERAGE('Get Started'!$E55:$H55)),0)))</f>
        <v>0</v>
      </c>
      <c r="CB51" s="29">
        <f ca="1">IF(CB76=$E76,SUM($G51:CA51)*-1,IF(CB77=0,0,IF(CB4&lt;&gt;1,(CA79+CB50/2)*((1+'Get Started'!$E129)^(1/4)-1)-CB49*(1+((1+'Get Started'!$E129)^(1/4)-1))^('Get Started'!$H113-AVERAGE('Get Started'!$E55:$H55)),0)))</f>
        <v>0</v>
      </c>
      <c r="CC51" s="29">
        <f ca="1">IF(CC76=$E76,SUM($G51:CB51)*-1,IF(CC77=0,0,IF(CC4&lt;&gt;1,(CB79+CC50/2)*((1+'Get Started'!$E129)^(1/4)-1)-CC49*(1+((1+'Get Started'!$E129)^(1/4)-1))^('Get Started'!$H113-AVERAGE('Get Started'!$E55:$H55)),0)))</f>
        <v>0</v>
      </c>
      <c r="CD51" s="29">
        <f ca="1">IF(CD76=$E76,SUM($G51:CC51)*-1,IF(CD77=0,0,IF(CD4&lt;&gt;1,(CC79+CD50/2)*((1+'Get Started'!$E129)^(1/4)-1)-CD49*(1+((1+'Get Started'!$E129)^(1/4)-1))^('Get Started'!$H113-AVERAGE('Get Started'!$E55:$H55)),0)))</f>
        <v>0</v>
      </c>
      <c r="CE51" s="29">
        <f ca="1">IF(CE76=$E76,SUM($G51:CD51)*-1,IF(CE77=0,0,IF(CE4&lt;&gt;1,(CD79+CE50/2)*((1+'Get Started'!$E129)^(1/4)-1)-CE49*(1+((1+'Get Started'!$E129)^(1/4)-1))^('Get Started'!$H113-AVERAGE('Get Started'!$E55:$H55)),0)))</f>
        <v>0</v>
      </c>
      <c r="CF51" s="29">
        <f ca="1">IF(CF76=$E76,SUM($G51:CE51)*-1,IF(CF77=0,0,IF(CF4&lt;&gt;1,(CE79+CF50/2)*((1+'Get Started'!$E129)^(1/4)-1)-CF49*(1+((1+'Get Started'!$E129)^(1/4)-1))^('Get Started'!$H113-AVERAGE('Get Started'!$E55:$H55)),0)))</f>
        <v>0</v>
      </c>
      <c r="CG51" s="29">
        <f ca="1">IF(CG76=$E76,SUM($G51:CF51)*-1,IF(CG77=0,0,IF(CG4&lt;&gt;1,(CF79+CG50/2)*((1+'Get Started'!$E129)^(1/4)-1)-CG49*(1+((1+'Get Started'!$E129)^(1/4)-1))^('Get Started'!$H113-AVERAGE('Get Started'!$E55:$H55)),0)))</f>
        <v>0</v>
      </c>
      <c r="CH51" s="29">
        <f ca="1">IF(CH76=$E76,SUM($G51:CG51)*-1,IF(CH77=0,0,IF(CH4&lt;&gt;1,(CG79+CH50/2)*((1+'Get Started'!$E129)^(1/4)-1)-CH49*(1+((1+'Get Started'!$E129)^(1/4)-1))^('Get Started'!$H113-AVERAGE('Get Started'!$E55:$H55)),0)))</f>
        <v>0</v>
      </c>
    </row>
    <row r="52" spans="1:86" ht="13">
      <c r="B52" s="15" t="s">
        <v>278</v>
      </c>
      <c r="C52" s="15" t="s">
        <v>279</v>
      </c>
      <c r="D52" s="15" t="s">
        <v>238</v>
      </c>
      <c r="E52" s="29">
        <f t="shared" ca="1" si="15"/>
        <v>0</v>
      </c>
      <c r="F52" s="29"/>
      <c r="G52" s="29">
        <f t="shared" ref="G52:CH52" ca="1" si="22">G51+G50</f>
        <v>1203125</v>
      </c>
      <c r="H52" s="29">
        <f t="shared" ca="1" si="22"/>
        <v>1203125</v>
      </c>
      <c r="I52" s="29">
        <f t="shared" ca="1" si="22"/>
        <v>1203125</v>
      </c>
      <c r="J52" s="29">
        <f t="shared" ca="1" si="22"/>
        <v>1203125</v>
      </c>
      <c r="K52" s="29">
        <f t="shared" ca="1" si="22"/>
        <v>1203125</v>
      </c>
      <c r="L52" s="29">
        <f t="shared" ca="1" si="22"/>
        <v>1203125</v>
      </c>
      <c r="M52" s="29">
        <f t="shared" ca="1" si="22"/>
        <v>1203125</v>
      </c>
      <c r="N52" s="29">
        <f t="shared" ca="1" si="22"/>
        <v>1203125</v>
      </c>
      <c r="O52" s="29">
        <f t="shared" ca="1" si="22"/>
        <v>1535337.7929767645</v>
      </c>
      <c r="P52" s="29">
        <f t="shared" ca="1" si="22"/>
        <v>1586756.7097073384</v>
      </c>
      <c r="Q52" s="29">
        <f t="shared" ca="1" si="22"/>
        <v>1638175.6264379122</v>
      </c>
      <c r="R52" s="29">
        <f t="shared" ca="1" si="22"/>
        <v>1689594.5431684861</v>
      </c>
      <c r="S52" s="29">
        <f t="shared" ca="1" si="22"/>
        <v>990927.90107890556</v>
      </c>
      <c r="T52" s="29">
        <f t="shared" ca="1" si="22"/>
        <v>1042346.8178094794</v>
      </c>
      <c r="U52" s="29">
        <f t="shared" ca="1" si="22"/>
        <v>1093765.7345400532</v>
      </c>
      <c r="V52" s="29">
        <f t="shared" ca="1" si="22"/>
        <v>1145184.651270627</v>
      </c>
      <c r="W52" s="29">
        <f t="shared" ca="1" si="22"/>
        <v>-826057.45109605859</v>
      </c>
      <c r="X52" s="29">
        <f t="shared" ca="1" si="22"/>
        <v>-941750.01373984991</v>
      </c>
      <c r="Y52" s="29">
        <f t="shared" ca="1" si="22"/>
        <v>-1057442.5763836412</v>
      </c>
      <c r="Z52" s="29">
        <f t="shared" ca="1" si="22"/>
        <v>-1173135.1390274323</v>
      </c>
      <c r="AA52" s="29">
        <f t="shared" ca="1" si="22"/>
        <v>-1440915.5391808096</v>
      </c>
      <c r="AB52" s="29">
        <f t="shared" ca="1" si="22"/>
        <v>-1572033.776843773</v>
      </c>
      <c r="AC52" s="29">
        <f t="shared" ca="1" si="22"/>
        <v>-1703152.0145067363</v>
      </c>
      <c r="AD52" s="29">
        <f t="shared" ca="1" si="22"/>
        <v>-1834270.2521696999</v>
      </c>
      <c r="AE52" s="29">
        <f t="shared" ca="1" si="22"/>
        <v>-1755357.1663771053</v>
      </c>
      <c r="AF52" s="29">
        <f t="shared" ca="1" si="22"/>
        <v>-1811917.9747807365</v>
      </c>
      <c r="AG52" s="29">
        <f t="shared" ca="1" si="22"/>
        <v>-1868478.7831843679</v>
      </c>
      <c r="AH52" s="29">
        <f t="shared" ca="1" si="22"/>
        <v>-1925039.5915879991</v>
      </c>
      <c r="AI52" s="29">
        <f t="shared" ca="1" si="22"/>
        <v>-877678.58318855264</v>
      </c>
      <c r="AJ52" s="29">
        <f t="shared" ca="1" si="22"/>
        <v>-905958.98739036825</v>
      </c>
      <c r="AK52" s="29">
        <f t="shared" ca="1" si="22"/>
        <v>-934239.39159218397</v>
      </c>
      <c r="AL52" s="29">
        <f t="shared" ca="1" si="22"/>
        <v>-962519.79579399957</v>
      </c>
      <c r="AM52" s="29">
        <f t="shared" ca="1" si="22"/>
        <v>-388661.02719413629</v>
      </c>
      <c r="AN52" s="29">
        <f t="shared" ca="1" si="22"/>
        <v>-401515.75637677975</v>
      </c>
      <c r="AO52" s="29">
        <f t="shared" ca="1" si="22"/>
        <v>-414370.48555942322</v>
      </c>
      <c r="AP52" s="29">
        <f t="shared" ca="1" si="22"/>
        <v>-427225.21474206669</v>
      </c>
      <c r="AQ52" s="29">
        <f t="shared" ca="1" si="22"/>
        <v>-540436.47272498999</v>
      </c>
      <c r="AR52" s="29">
        <f t="shared" ca="1" si="22"/>
        <v>-555862.14774416212</v>
      </c>
      <c r="AS52" s="29">
        <f t="shared" ca="1" si="22"/>
        <v>-571287.82276333426</v>
      </c>
      <c r="AT52" s="29">
        <f t="shared" ca="1" si="22"/>
        <v>4542216.1869586399</v>
      </c>
      <c r="AU52" s="29">
        <f t="shared" ca="1" si="22"/>
        <v>0</v>
      </c>
      <c r="AV52" s="29">
        <f t="shared" ca="1" si="22"/>
        <v>0</v>
      </c>
      <c r="AW52" s="29">
        <f t="shared" ca="1" si="22"/>
        <v>0</v>
      </c>
      <c r="AX52" s="29">
        <f t="shared" ca="1" si="22"/>
        <v>0</v>
      </c>
      <c r="AY52" s="29">
        <f t="shared" ca="1" si="22"/>
        <v>0</v>
      </c>
      <c r="AZ52" s="29">
        <f t="shared" ca="1" si="22"/>
        <v>0</v>
      </c>
      <c r="BA52" s="29">
        <f t="shared" ca="1" si="22"/>
        <v>0</v>
      </c>
      <c r="BB52" s="29">
        <f t="shared" ca="1" si="22"/>
        <v>0</v>
      </c>
      <c r="BC52" s="29">
        <f t="shared" ca="1" si="22"/>
        <v>0</v>
      </c>
      <c r="BD52" s="29">
        <f t="shared" ca="1" si="22"/>
        <v>0</v>
      </c>
      <c r="BE52" s="29">
        <f t="shared" ca="1" si="22"/>
        <v>0</v>
      </c>
      <c r="BF52" s="29">
        <f t="shared" ca="1" si="22"/>
        <v>0</v>
      </c>
      <c r="BG52" s="29">
        <f t="shared" ca="1" si="22"/>
        <v>0</v>
      </c>
      <c r="BH52" s="29">
        <f t="shared" ca="1" si="22"/>
        <v>0</v>
      </c>
      <c r="BI52" s="29">
        <f t="shared" ca="1" si="22"/>
        <v>0</v>
      </c>
      <c r="BJ52" s="29">
        <f t="shared" ca="1" si="22"/>
        <v>0</v>
      </c>
      <c r="BK52" s="29">
        <f t="shared" ca="1" si="22"/>
        <v>0</v>
      </c>
      <c r="BL52" s="29">
        <f t="shared" ca="1" si="22"/>
        <v>0</v>
      </c>
      <c r="BM52" s="29">
        <f t="shared" ca="1" si="22"/>
        <v>0</v>
      </c>
      <c r="BN52" s="29">
        <f t="shared" ca="1" si="22"/>
        <v>0</v>
      </c>
      <c r="BO52" s="29">
        <f t="shared" ca="1" si="22"/>
        <v>0</v>
      </c>
      <c r="BP52" s="29">
        <f t="shared" ca="1" si="22"/>
        <v>0</v>
      </c>
      <c r="BQ52" s="29">
        <f t="shared" ca="1" si="22"/>
        <v>0</v>
      </c>
      <c r="BR52" s="29">
        <f t="shared" ca="1" si="22"/>
        <v>0</v>
      </c>
      <c r="BS52" s="29">
        <f t="shared" ca="1" si="22"/>
        <v>0</v>
      </c>
      <c r="BT52" s="29">
        <f t="shared" ca="1" si="22"/>
        <v>0</v>
      </c>
      <c r="BU52" s="29">
        <f t="shared" ca="1" si="22"/>
        <v>0</v>
      </c>
      <c r="BV52" s="29">
        <f t="shared" ca="1" si="22"/>
        <v>0</v>
      </c>
      <c r="BW52" s="29">
        <f t="shared" ca="1" si="22"/>
        <v>0</v>
      </c>
      <c r="BX52" s="29">
        <f t="shared" ca="1" si="22"/>
        <v>0</v>
      </c>
      <c r="BY52" s="29">
        <f t="shared" ca="1" si="22"/>
        <v>0</v>
      </c>
      <c r="BZ52" s="29">
        <f t="shared" ca="1" si="22"/>
        <v>0</v>
      </c>
      <c r="CA52" s="29">
        <f t="shared" ca="1" si="22"/>
        <v>0</v>
      </c>
      <c r="CB52" s="29">
        <f t="shared" ca="1" si="22"/>
        <v>0</v>
      </c>
      <c r="CC52" s="29">
        <f t="shared" ca="1" si="22"/>
        <v>0</v>
      </c>
      <c r="CD52" s="29">
        <f t="shared" ca="1" si="22"/>
        <v>0</v>
      </c>
      <c r="CE52" s="29">
        <f t="shared" ca="1" si="22"/>
        <v>0</v>
      </c>
      <c r="CF52" s="29">
        <f t="shared" ca="1" si="22"/>
        <v>0</v>
      </c>
      <c r="CG52" s="29">
        <f t="shared" ca="1" si="22"/>
        <v>0</v>
      </c>
      <c r="CH52" s="29">
        <f t="shared" ca="1" si="22"/>
        <v>0</v>
      </c>
    </row>
    <row r="53" spans="1:86" ht="13">
      <c r="B53" s="15" t="s">
        <v>280</v>
      </c>
      <c r="C53" s="15"/>
      <c r="D53" s="15" t="s">
        <v>238</v>
      </c>
      <c r="E53" s="29">
        <f t="shared" ca="1" si="15"/>
        <v>0</v>
      </c>
      <c r="F53" s="29"/>
      <c r="G53" s="29">
        <f t="shared" ref="G53:CH53" ca="1" si="23">G30-G31</f>
        <v>23555625</v>
      </c>
      <c r="H53" s="29">
        <f t="shared" ca="1" si="23"/>
        <v>-1344375</v>
      </c>
      <c r="I53" s="29">
        <f t="shared" ca="1" si="23"/>
        <v>-1344375</v>
      </c>
      <c r="J53" s="29">
        <f t="shared" ca="1" si="23"/>
        <v>-1344375</v>
      </c>
      <c r="K53" s="29">
        <f t="shared" ca="1" si="23"/>
        <v>-1344375</v>
      </c>
      <c r="L53" s="29">
        <f t="shared" ca="1" si="23"/>
        <v>-1344375</v>
      </c>
      <c r="M53" s="29">
        <f t="shared" ca="1" si="23"/>
        <v>-1344375</v>
      </c>
      <c r="N53" s="29">
        <f t="shared" ca="1" si="23"/>
        <v>-1344375</v>
      </c>
      <c r="O53" s="29">
        <f t="shared" ca="1" si="23"/>
        <v>-1344375</v>
      </c>
      <c r="P53" s="29">
        <f t="shared" ca="1" si="23"/>
        <v>-1344375</v>
      </c>
      <c r="Q53" s="29">
        <f t="shared" ca="1" si="23"/>
        <v>-1344375</v>
      </c>
      <c r="R53" s="29">
        <f t="shared" ca="1" si="23"/>
        <v>-1344375</v>
      </c>
      <c r="S53" s="29">
        <f t="shared" ca="1" si="23"/>
        <v>-1344375</v>
      </c>
      <c r="T53" s="29">
        <f t="shared" ca="1" si="23"/>
        <v>-1344375</v>
      </c>
      <c r="U53" s="29">
        <f t="shared" ca="1" si="23"/>
        <v>-1344375</v>
      </c>
      <c r="V53" s="29">
        <f t="shared" ca="1" si="23"/>
        <v>-1344375</v>
      </c>
      <c r="W53" s="29">
        <f t="shared" ca="1" si="23"/>
        <v>-141250</v>
      </c>
      <c r="X53" s="29">
        <f t="shared" ca="1" si="23"/>
        <v>-141250</v>
      </c>
      <c r="Y53" s="29">
        <f t="shared" ca="1" si="23"/>
        <v>-141250</v>
      </c>
      <c r="Z53" s="29">
        <f t="shared" ca="1" si="23"/>
        <v>-141250</v>
      </c>
      <c r="AA53" s="29">
        <f t="shared" ca="1" si="23"/>
        <v>-141250</v>
      </c>
      <c r="AB53" s="29">
        <f t="shared" ca="1" si="23"/>
        <v>-141250</v>
      </c>
      <c r="AC53" s="29">
        <f t="shared" ca="1" si="23"/>
        <v>-141250</v>
      </c>
      <c r="AD53" s="29">
        <f t="shared" ca="1" si="23"/>
        <v>-141250</v>
      </c>
      <c r="AE53" s="29">
        <f t="shared" ca="1" si="23"/>
        <v>-141250</v>
      </c>
      <c r="AF53" s="29">
        <f t="shared" ca="1" si="23"/>
        <v>-141250</v>
      </c>
      <c r="AG53" s="29">
        <f t="shared" ca="1" si="23"/>
        <v>-141250</v>
      </c>
      <c r="AH53" s="29">
        <f t="shared" ca="1" si="23"/>
        <v>-141250</v>
      </c>
      <c r="AI53" s="29">
        <f t="shared" ca="1" si="23"/>
        <v>-141250</v>
      </c>
      <c r="AJ53" s="29">
        <f t="shared" ca="1" si="23"/>
        <v>-141250</v>
      </c>
      <c r="AK53" s="29">
        <f t="shared" ca="1" si="23"/>
        <v>-141250</v>
      </c>
      <c r="AL53" s="29">
        <f t="shared" ca="1" si="23"/>
        <v>-141250</v>
      </c>
      <c r="AM53" s="29">
        <f t="shared" ca="1" si="23"/>
        <v>-141250</v>
      </c>
      <c r="AN53" s="29">
        <f t="shared" ca="1" si="23"/>
        <v>-141250</v>
      </c>
      <c r="AO53" s="29">
        <f t="shared" ca="1" si="23"/>
        <v>-141250</v>
      </c>
      <c r="AP53" s="29">
        <f t="shared" ca="1" si="23"/>
        <v>-141250</v>
      </c>
      <c r="AQ53" s="29">
        <f t="shared" ca="1" si="23"/>
        <v>-141250</v>
      </c>
      <c r="AR53" s="29">
        <f t="shared" ca="1" si="23"/>
        <v>-141250</v>
      </c>
      <c r="AS53" s="29">
        <f t="shared" ca="1" si="23"/>
        <v>-141250</v>
      </c>
      <c r="AT53" s="29">
        <f t="shared" ca="1" si="23"/>
        <v>-141250</v>
      </c>
      <c r="AU53" s="29">
        <f t="shared" ca="1" si="23"/>
        <v>0</v>
      </c>
      <c r="AV53" s="29">
        <f t="shared" ca="1" si="23"/>
        <v>0</v>
      </c>
      <c r="AW53" s="29">
        <f t="shared" ca="1" si="23"/>
        <v>0</v>
      </c>
      <c r="AX53" s="29">
        <f t="shared" ca="1" si="23"/>
        <v>0</v>
      </c>
      <c r="AY53" s="29">
        <f t="shared" ca="1" si="23"/>
        <v>0</v>
      </c>
      <c r="AZ53" s="29">
        <f t="shared" ca="1" si="23"/>
        <v>0</v>
      </c>
      <c r="BA53" s="29">
        <f t="shared" ca="1" si="23"/>
        <v>0</v>
      </c>
      <c r="BB53" s="29">
        <f t="shared" ca="1" si="23"/>
        <v>0</v>
      </c>
      <c r="BC53" s="29">
        <f t="shared" ca="1" si="23"/>
        <v>0</v>
      </c>
      <c r="BD53" s="29">
        <f t="shared" ca="1" si="23"/>
        <v>0</v>
      </c>
      <c r="BE53" s="29">
        <f t="shared" ca="1" si="23"/>
        <v>0</v>
      </c>
      <c r="BF53" s="29">
        <f t="shared" ca="1" si="23"/>
        <v>0</v>
      </c>
      <c r="BG53" s="29">
        <f t="shared" ca="1" si="23"/>
        <v>0</v>
      </c>
      <c r="BH53" s="29">
        <f t="shared" ca="1" si="23"/>
        <v>0</v>
      </c>
      <c r="BI53" s="29">
        <f t="shared" ca="1" si="23"/>
        <v>0</v>
      </c>
      <c r="BJ53" s="29">
        <f t="shared" ca="1" si="23"/>
        <v>0</v>
      </c>
      <c r="BK53" s="29">
        <f t="shared" ca="1" si="23"/>
        <v>0</v>
      </c>
      <c r="BL53" s="29">
        <f t="shared" ca="1" si="23"/>
        <v>0</v>
      </c>
      <c r="BM53" s="29">
        <f t="shared" ca="1" si="23"/>
        <v>0</v>
      </c>
      <c r="BN53" s="29">
        <f t="shared" ca="1" si="23"/>
        <v>0</v>
      </c>
      <c r="BO53" s="29">
        <f t="shared" ca="1" si="23"/>
        <v>0</v>
      </c>
      <c r="BP53" s="29">
        <f t="shared" ca="1" si="23"/>
        <v>0</v>
      </c>
      <c r="BQ53" s="29">
        <f t="shared" ca="1" si="23"/>
        <v>0</v>
      </c>
      <c r="BR53" s="29">
        <f t="shared" ca="1" si="23"/>
        <v>0</v>
      </c>
      <c r="BS53" s="29">
        <f t="shared" ca="1" si="23"/>
        <v>0</v>
      </c>
      <c r="BT53" s="29">
        <f t="shared" ca="1" si="23"/>
        <v>0</v>
      </c>
      <c r="BU53" s="29">
        <f t="shared" ca="1" si="23"/>
        <v>0</v>
      </c>
      <c r="BV53" s="29">
        <f t="shared" ca="1" si="23"/>
        <v>0</v>
      </c>
      <c r="BW53" s="29">
        <f t="shared" ca="1" si="23"/>
        <v>0</v>
      </c>
      <c r="BX53" s="29">
        <f t="shared" ca="1" si="23"/>
        <v>0</v>
      </c>
      <c r="BY53" s="29">
        <f t="shared" ca="1" si="23"/>
        <v>0</v>
      </c>
      <c r="BZ53" s="29">
        <f t="shared" ca="1" si="23"/>
        <v>0</v>
      </c>
      <c r="CA53" s="29">
        <f t="shared" ca="1" si="23"/>
        <v>0</v>
      </c>
      <c r="CB53" s="29">
        <f t="shared" ca="1" si="23"/>
        <v>0</v>
      </c>
      <c r="CC53" s="29">
        <f t="shared" ca="1" si="23"/>
        <v>0</v>
      </c>
      <c r="CD53" s="29">
        <f t="shared" ca="1" si="23"/>
        <v>0</v>
      </c>
      <c r="CE53" s="29">
        <f t="shared" ca="1" si="23"/>
        <v>0</v>
      </c>
      <c r="CF53" s="29">
        <f t="shared" ca="1" si="23"/>
        <v>0</v>
      </c>
      <c r="CG53" s="29">
        <f t="shared" ca="1" si="23"/>
        <v>0</v>
      </c>
      <c r="CH53" s="29">
        <f t="shared" ca="1" si="23"/>
        <v>0</v>
      </c>
    </row>
    <row r="54" spans="1:86" ht="13">
      <c r="A54" s="13"/>
      <c r="B54" s="13" t="s">
        <v>281</v>
      </c>
      <c r="C54" s="13"/>
      <c r="D54" s="13" t="s">
        <v>238</v>
      </c>
      <c r="E54" s="37">
        <f t="shared" si="15"/>
        <v>25000000</v>
      </c>
      <c r="F54" s="48"/>
      <c r="G54" s="37">
        <f>IF($C16=TRUE,G30*(1-'Get Started'!$E10),G30)</f>
        <v>25000000</v>
      </c>
      <c r="H54" s="37">
        <f>IF($C16=TRUE,H30*(1-'Get Started'!$E10),H30)</f>
        <v>0</v>
      </c>
      <c r="I54" s="37">
        <f>IF($C16=TRUE,I30*(1-'Get Started'!$E10),I30)</f>
        <v>0</v>
      </c>
      <c r="J54" s="37">
        <f>IF($C16=TRUE,J30*(1-'Get Started'!$E10),J30)</f>
        <v>0</v>
      </c>
      <c r="K54" s="37">
        <f>IF($C16=TRUE,K30*(1-'Get Started'!$E10),K30)</f>
        <v>0</v>
      </c>
      <c r="L54" s="37">
        <f>IF($C16=TRUE,L30*(1-'Get Started'!$E10),L30)</f>
        <v>0</v>
      </c>
      <c r="M54" s="37">
        <f>IF($C16=TRUE,M30*(1-'Get Started'!$E10),M30)</f>
        <v>0</v>
      </c>
      <c r="N54" s="37">
        <f>IF($C16=TRUE,N30*(1-'Get Started'!$E10),N30)</f>
        <v>0</v>
      </c>
      <c r="O54" s="37">
        <f>IF($C16=TRUE,O30*(1-'Get Started'!$E10),O30)</f>
        <v>0</v>
      </c>
      <c r="P54" s="37">
        <f>IF($C16=TRUE,P30*(1-'Get Started'!$E10),P30)</f>
        <v>0</v>
      </c>
      <c r="Q54" s="37">
        <f>IF($C16=TRUE,Q30*(1-'Get Started'!$E10),Q30)</f>
        <v>0</v>
      </c>
      <c r="R54" s="37">
        <f>IF($C16=TRUE,R30*(1-'Get Started'!$E10),R30)</f>
        <v>0</v>
      </c>
      <c r="S54" s="37">
        <f>IF($C16=TRUE,S30*(1-'Get Started'!$E10),S30)</f>
        <v>0</v>
      </c>
      <c r="T54" s="37">
        <f>IF($C16=TRUE,T30*(1-'Get Started'!$E10),T30)</f>
        <v>0</v>
      </c>
      <c r="U54" s="37">
        <f>IF($C16=TRUE,U30*(1-'Get Started'!$E10),U30)</f>
        <v>0</v>
      </c>
      <c r="V54" s="37">
        <f>IF($C16=TRUE,V30*(1-'Get Started'!$E10),V30)</f>
        <v>0</v>
      </c>
      <c r="W54" s="37">
        <f>IF($C16=TRUE,W30*(1-'Get Started'!$E10),W30)</f>
        <v>0</v>
      </c>
      <c r="X54" s="37">
        <f>IF($C16=TRUE,X30*(1-'Get Started'!$E10),X30)</f>
        <v>0</v>
      </c>
      <c r="Y54" s="37">
        <f>IF($C16=TRUE,Y30*(1-'Get Started'!$E10),Y30)</f>
        <v>0</v>
      </c>
      <c r="Z54" s="37">
        <f>IF($C16=TRUE,Z30*(1-'Get Started'!$E10),Z30)</f>
        <v>0</v>
      </c>
      <c r="AA54" s="37">
        <f>IF($C16=TRUE,AA30*(1-'Get Started'!$E10),AA30)</f>
        <v>0</v>
      </c>
      <c r="AB54" s="37">
        <f>IF($C16=TRUE,AB30*(1-'Get Started'!$E10),AB30)</f>
        <v>0</v>
      </c>
      <c r="AC54" s="37">
        <f>IF($C16=TRUE,AC30*(1-'Get Started'!$E10),AC30)</f>
        <v>0</v>
      </c>
      <c r="AD54" s="37">
        <f>IF($C16=TRUE,AD30*(1-'Get Started'!$E10),AD30)</f>
        <v>0</v>
      </c>
      <c r="AE54" s="37">
        <f>IF($C16=TRUE,AE30*(1-'Get Started'!$E10),AE30)</f>
        <v>0</v>
      </c>
      <c r="AF54" s="37">
        <f>IF($C16=TRUE,AF30*(1-'Get Started'!$E10),AF30)</f>
        <v>0</v>
      </c>
      <c r="AG54" s="37">
        <f>IF($C16=TRUE,AG30*(1-'Get Started'!$E10),AG30)</f>
        <v>0</v>
      </c>
      <c r="AH54" s="37">
        <f>IF($C16=TRUE,AH30*(1-'Get Started'!$E10),AH30)</f>
        <v>0</v>
      </c>
      <c r="AI54" s="37">
        <f>IF($C16=TRUE,AI30*(1-'Get Started'!$E10),AI30)</f>
        <v>0</v>
      </c>
      <c r="AJ54" s="37">
        <f>IF($C16=TRUE,AJ30*(1-'Get Started'!$E10),AJ30)</f>
        <v>0</v>
      </c>
      <c r="AK54" s="37">
        <f>IF($C16=TRUE,AK30*(1-'Get Started'!$E10),AK30)</f>
        <v>0</v>
      </c>
      <c r="AL54" s="37">
        <f>IF($C16=TRUE,AL30*(1-'Get Started'!$E10),AL30)</f>
        <v>0</v>
      </c>
      <c r="AM54" s="37">
        <f>IF($C16=TRUE,AM30*(1-'Get Started'!$E10),AM30)</f>
        <v>0</v>
      </c>
      <c r="AN54" s="37">
        <f>IF($C16=TRUE,AN30*(1-'Get Started'!$E10),AN30)</f>
        <v>0</v>
      </c>
      <c r="AO54" s="37">
        <f>IF($C16=TRUE,AO30*(1-'Get Started'!$E10),AO30)</f>
        <v>0</v>
      </c>
      <c r="AP54" s="37">
        <f>IF($C16=TRUE,AP30*(1-'Get Started'!$E10),AP30)</f>
        <v>0</v>
      </c>
      <c r="AQ54" s="37">
        <f>IF($C16=TRUE,AQ30*(1-'Get Started'!$E10),AQ30)</f>
        <v>0</v>
      </c>
      <c r="AR54" s="37">
        <f>IF($C16=TRUE,AR30*(1-'Get Started'!$E10),AR30)</f>
        <v>0</v>
      </c>
      <c r="AS54" s="37">
        <f>IF($C16=TRUE,AS30*(1-'Get Started'!$E10),AS30)</f>
        <v>0</v>
      </c>
      <c r="AT54" s="37">
        <f>IF($C16=TRUE,AT30*(1-'Get Started'!$E10),AT30)</f>
        <v>0</v>
      </c>
      <c r="AU54" s="37">
        <f>IF($C16=TRUE,AU30*(1-'Get Started'!$E10),AU30)</f>
        <v>0</v>
      </c>
      <c r="AV54" s="37">
        <f>IF($C16=TRUE,AV30*(1-'Get Started'!$E10),AV30)</f>
        <v>0</v>
      </c>
      <c r="AW54" s="37">
        <f>IF($C16=TRUE,AW30*(1-'Get Started'!$E10),AW30)</f>
        <v>0</v>
      </c>
      <c r="AX54" s="37">
        <f>IF($C16=TRUE,AX30*(1-'Get Started'!$E10),AX30)</f>
        <v>0</v>
      </c>
      <c r="AY54" s="37">
        <f>IF($C16=TRUE,AY30*(1-'Get Started'!$E10),AY30)</f>
        <v>0</v>
      </c>
      <c r="AZ54" s="37">
        <f>IF($C16=TRUE,AZ30*(1-'Get Started'!$E10),AZ30)</f>
        <v>0</v>
      </c>
      <c r="BA54" s="37">
        <f>IF($C16=TRUE,BA30*(1-'Get Started'!$E10),BA30)</f>
        <v>0</v>
      </c>
      <c r="BB54" s="37">
        <f>IF($C16=TRUE,BB30*(1-'Get Started'!$E10),BB30)</f>
        <v>0</v>
      </c>
      <c r="BC54" s="37">
        <f>IF($C16=TRUE,BC30*(1-'Get Started'!$E10),BC30)</f>
        <v>0</v>
      </c>
      <c r="BD54" s="37">
        <f>IF($C16=TRUE,BD30*(1-'Get Started'!$E10),BD30)</f>
        <v>0</v>
      </c>
      <c r="BE54" s="37">
        <f>IF($C16=TRUE,BE30*(1-'Get Started'!$E10),BE30)</f>
        <v>0</v>
      </c>
      <c r="BF54" s="37">
        <f>IF($C16=TRUE,BF30*(1-'Get Started'!$E10),BF30)</f>
        <v>0</v>
      </c>
      <c r="BG54" s="37">
        <f>IF($C16=TRUE,BG30*(1-'Get Started'!$E10),BG30)</f>
        <v>0</v>
      </c>
      <c r="BH54" s="37">
        <f>IF($C16=TRUE,BH30*(1-'Get Started'!$E10),BH30)</f>
        <v>0</v>
      </c>
      <c r="BI54" s="37">
        <f>IF($C16=TRUE,BI30*(1-'Get Started'!$E10),BI30)</f>
        <v>0</v>
      </c>
      <c r="BJ54" s="37">
        <f>IF($C16=TRUE,BJ30*(1-'Get Started'!$E10),BJ30)</f>
        <v>0</v>
      </c>
      <c r="BK54" s="37">
        <f>IF($C16=TRUE,BK30*(1-'Get Started'!$E10),BK30)</f>
        <v>0</v>
      </c>
      <c r="BL54" s="37">
        <f>IF($C16=TRUE,BL30*(1-'Get Started'!$E10),BL30)</f>
        <v>0</v>
      </c>
      <c r="BM54" s="37">
        <f>IF($C16=TRUE,BM30*(1-'Get Started'!$E10),BM30)</f>
        <v>0</v>
      </c>
      <c r="BN54" s="37">
        <f>IF($C16=TRUE,BN30*(1-'Get Started'!$E10),BN30)</f>
        <v>0</v>
      </c>
      <c r="BO54" s="37">
        <f>IF($C16=TRUE,BO30*(1-'Get Started'!$E10),BO30)</f>
        <v>0</v>
      </c>
      <c r="BP54" s="37">
        <f>IF($C16=TRUE,BP30*(1-'Get Started'!$E10),BP30)</f>
        <v>0</v>
      </c>
      <c r="BQ54" s="37">
        <f>IF($C16=TRUE,BQ30*(1-'Get Started'!$E10),BQ30)</f>
        <v>0</v>
      </c>
      <c r="BR54" s="37">
        <f>IF($C16=TRUE,BR30*(1-'Get Started'!$E10),BR30)</f>
        <v>0</v>
      </c>
      <c r="BS54" s="37">
        <f>IF($C16=TRUE,BS30*(1-'Get Started'!$E10),BS30)</f>
        <v>0</v>
      </c>
      <c r="BT54" s="37">
        <f>IF($C16=TRUE,BT30*(1-'Get Started'!$E10),BT30)</f>
        <v>0</v>
      </c>
      <c r="BU54" s="37">
        <f>IF($C16=TRUE,BU30*(1-'Get Started'!$E10),BU30)</f>
        <v>0</v>
      </c>
      <c r="BV54" s="37">
        <f>IF($C16=TRUE,BV30*(1-'Get Started'!$E10),BV30)</f>
        <v>0</v>
      </c>
      <c r="BW54" s="37">
        <f>IF($C16=TRUE,BW30*(1-'Get Started'!$E10),BW30)</f>
        <v>0</v>
      </c>
      <c r="BX54" s="37">
        <f>IF($C16=TRUE,BX30*(1-'Get Started'!$E10),BX30)</f>
        <v>0</v>
      </c>
      <c r="BY54" s="37">
        <f>IF($C16=TRUE,BY30*(1-'Get Started'!$E10),BY30)</f>
        <v>0</v>
      </c>
      <c r="BZ54" s="37">
        <f>IF($C16=TRUE,BZ30*(1-'Get Started'!$E10),BZ30)</f>
        <v>0</v>
      </c>
      <c r="CA54" s="37">
        <f>IF($C16=TRUE,CA30*(1-'Get Started'!$E10),CA30)</f>
        <v>0</v>
      </c>
      <c r="CB54" s="37">
        <f>IF($C16=TRUE,CB30*(1-'Get Started'!$E10),CB30)</f>
        <v>0</v>
      </c>
      <c r="CC54" s="37">
        <f>IF($C16=TRUE,CC30*(1-'Get Started'!$E10),CC30)</f>
        <v>0</v>
      </c>
      <c r="CD54" s="37">
        <f>IF($C16=TRUE,CD30*(1-'Get Started'!$E10),CD30)</f>
        <v>0</v>
      </c>
      <c r="CE54" s="37">
        <f>IF($C16=TRUE,CE30*(1-'Get Started'!$E10),CE30)</f>
        <v>0</v>
      </c>
      <c r="CF54" s="37">
        <f>IF($C16=TRUE,CF30*(1-'Get Started'!$E10),CF30)</f>
        <v>0</v>
      </c>
      <c r="CG54" s="37">
        <f>IF($C16=TRUE,CG30*(1-'Get Started'!$E10),CG30)</f>
        <v>0</v>
      </c>
      <c r="CH54" s="37">
        <f>IF($C16=TRUE,CH30*(1-'Get Started'!$E10),CH30)</f>
        <v>0</v>
      </c>
    </row>
    <row r="55" spans="1:86" ht="13">
      <c r="A55" s="13"/>
      <c r="B55" s="13" t="s">
        <v>282</v>
      </c>
      <c r="C55" s="13"/>
      <c r="D55" s="13" t="s">
        <v>238</v>
      </c>
      <c r="E55" s="37">
        <f t="shared" ca="1" si="15"/>
        <v>25000000</v>
      </c>
      <c r="F55" s="48"/>
      <c r="G55" s="37">
        <f ca="1">IF($C16=TRUE,G31*(1-'Get Started'!$E10),G31)</f>
        <v>1444375</v>
      </c>
      <c r="H55" s="37">
        <f ca="1">IF($C16=TRUE,H31*(1-'Get Started'!$E10),H31)</f>
        <v>1344375</v>
      </c>
      <c r="I55" s="37">
        <f ca="1">IF($C16=TRUE,I31*(1-'Get Started'!$E10),I31)</f>
        <v>1344375</v>
      </c>
      <c r="J55" s="37">
        <f ca="1">IF($C16=TRUE,J31*(1-'Get Started'!$E10),J31)</f>
        <v>1344375</v>
      </c>
      <c r="K55" s="37">
        <f ca="1">IF($C16=TRUE,K31*(1-'Get Started'!$E10),K31)</f>
        <v>1344375</v>
      </c>
      <c r="L55" s="37">
        <f ca="1">IF($C16=TRUE,L31*(1-'Get Started'!$E10),L31)</f>
        <v>1344375</v>
      </c>
      <c r="M55" s="37">
        <f ca="1">IF($C16=TRUE,M31*(1-'Get Started'!$E10),M31)</f>
        <v>1344375</v>
      </c>
      <c r="N55" s="37">
        <f ca="1">IF($C16=TRUE,N31*(1-'Get Started'!$E10),N31)</f>
        <v>1344375</v>
      </c>
      <c r="O55" s="37">
        <f ca="1">IF($C16=TRUE,O31*(1-'Get Started'!$E10),O31)</f>
        <v>1344375</v>
      </c>
      <c r="P55" s="37">
        <f ca="1">IF($C16=TRUE,P31*(1-'Get Started'!$E10),P31)</f>
        <v>1344375</v>
      </c>
      <c r="Q55" s="37">
        <f ca="1">IF($C16=TRUE,Q31*(1-'Get Started'!$E10),Q31)</f>
        <v>1344375</v>
      </c>
      <c r="R55" s="37">
        <f ca="1">IF($C16=TRUE,R31*(1-'Get Started'!$E10),R31)</f>
        <v>1344375</v>
      </c>
      <c r="S55" s="37">
        <f ca="1">IF($C16=TRUE,S31*(1-'Get Started'!$E10),S31)</f>
        <v>1344375</v>
      </c>
      <c r="T55" s="37">
        <f ca="1">IF($C16=TRUE,T31*(1-'Get Started'!$E10),T31)</f>
        <v>1344375</v>
      </c>
      <c r="U55" s="37">
        <f ca="1">IF($C16=TRUE,U31*(1-'Get Started'!$E10),U31)</f>
        <v>1344375</v>
      </c>
      <c r="V55" s="37">
        <f ca="1">IF($C16=TRUE,V31*(1-'Get Started'!$E10),V31)</f>
        <v>1344375</v>
      </c>
      <c r="W55" s="37">
        <f ca="1">IF($C16=TRUE,W31*(1-'Get Started'!$E10),W31)</f>
        <v>141250</v>
      </c>
      <c r="X55" s="37">
        <f ca="1">IF($C16=TRUE,X31*(1-'Get Started'!$E10),X31)</f>
        <v>141250</v>
      </c>
      <c r="Y55" s="37">
        <f ca="1">IF($C16=TRUE,Y31*(1-'Get Started'!$E10),Y31)</f>
        <v>141250</v>
      </c>
      <c r="Z55" s="37">
        <f ca="1">IF($C16=TRUE,Z31*(1-'Get Started'!$E10),Z31)</f>
        <v>141250</v>
      </c>
      <c r="AA55" s="37">
        <f ca="1">IF($C16=TRUE,AA31*(1-'Get Started'!$E10),AA31)</f>
        <v>141250</v>
      </c>
      <c r="AB55" s="37">
        <f ca="1">IF($C16=TRUE,AB31*(1-'Get Started'!$E10),AB31)</f>
        <v>141250</v>
      </c>
      <c r="AC55" s="37">
        <f ca="1">IF($C16=TRUE,AC31*(1-'Get Started'!$E10),AC31)</f>
        <v>141250</v>
      </c>
      <c r="AD55" s="37">
        <f ca="1">IF($C16=TRUE,AD31*(1-'Get Started'!$E10),AD31)</f>
        <v>141250</v>
      </c>
      <c r="AE55" s="37">
        <f ca="1">IF($C16=TRUE,AE31*(1-'Get Started'!$E10),AE31)</f>
        <v>141250</v>
      </c>
      <c r="AF55" s="37">
        <f ca="1">IF($C16=TRUE,AF31*(1-'Get Started'!$E10),AF31)</f>
        <v>141250</v>
      </c>
      <c r="AG55" s="37">
        <f ca="1">IF($C16=TRUE,AG31*(1-'Get Started'!$E10),AG31)</f>
        <v>141250</v>
      </c>
      <c r="AH55" s="37">
        <f ca="1">IF($C16=TRUE,AH31*(1-'Get Started'!$E10),AH31)</f>
        <v>141250</v>
      </c>
      <c r="AI55" s="37">
        <f ca="1">IF($C16=TRUE,AI31*(1-'Get Started'!$E10),AI31)</f>
        <v>141250</v>
      </c>
      <c r="AJ55" s="37">
        <f ca="1">IF($C16=TRUE,AJ31*(1-'Get Started'!$E10),AJ31)</f>
        <v>141250</v>
      </c>
      <c r="AK55" s="37">
        <f ca="1">IF($C16=TRUE,AK31*(1-'Get Started'!$E10),AK31)</f>
        <v>141250</v>
      </c>
      <c r="AL55" s="37">
        <f ca="1">IF($C16=TRUE,AL31*(1-'Get Started'!$E10),AL31)</f>
        <v>141250</v>
      </c>
      <c r="AM55" s="37">
        <f ca="1">IF($C16=TRUE,AM31*(1-'Get Started'!$E10),AM31)</f>
        <v>141250</v>
      </c>
      <c r="AN55" s="37">
        <f ca="1">IF($C16=TRUE,AN31*(1-'Get Started'!$E10),AN31)</f>
        <v>141250</v>
      </c>
      <c r="AO55" s="37">
        <f ca="1">IF($C16=TRUE,AO31*(1-'Get Started'!$E10),AO31)</f>
        <v>141250</v>
      </c>
      <c r="AP55" s="37">
        <f ca="1">IF($C16=TRUE,AP31*(1-'Get Started'!$E10),AP31)</f>
        <v>141250</v>
      </c>
      <c r="AQ55" s="37">
        <f ca="1">IF($C16=TRUE,AQ31*(1-'Get Started'!$E10),AQ31)</f>
        <v>141250</v>
      </c>
      <c r="AR55" s="37">
        <f ca="1">IF($C16=TRUE,AR31*(1-'Get Started'!$E10),AR31)</f>
        <v>141250</v>
      </c>
      <c r="AS55" s="37">
        <f ca="1">IF($C16=TRUE,AS31*(1-'Get Started'!$E10),AS31)</f>
        <v>141250</v>
      </c>
      <c r="AT55" s="37">
        <f ca="1">IF($C16=TRUE,AT31*(1-'Get Started'!$E10),AT31)</f>
        <v>141250</v>
      </c>
      <c r="AU55" s="37">
        <f ca="1">IF($C16=TRUE,AU31*(1-'Get Started'!$E10),AU31)</f>
        <v>0</v>
      </c>
      <c r="AV55" s="37">
        <f ca="1">IF($C16=TRUE,AV31*(1-'Get Started'!$E10),AV31)</f>
        <v>0</v>
      </c>
      <c r="AW55" s="37">
        <f ca="1">IF($C16=TRUE,AW31*(1-'Get Started'!$E10),AW31)</f>
        <v>0</v>
      </c>
      <c r="AX55" s="37">
        <f ca="1">IF($C16=TRUE,AX31*(1-'Get Started'!$E10),AX31)</f>
        <v>0</v>
      </c>
      <c r="AY55" s="37">
        <f ca="1">IF($C16=TRUE,AY31*(1-'Get Started'!$E10),AY31)</f>
        <v>0</v>
      </c>
      <c r="AZ55" s="37">
        <f ca="1">IF($C16=TRUE,AZ31*(1-'Get Started'!$E10),AZ31)</f>
        <v>0</v>
      </c>
      <c r="BA55" s="37">
        <f ca="1">IF($C16=TRUE,BA31*(1-'Get Started'!$E10),BA31)</f>
        <v>0</v>
      </c>
      <c r="BB55" s="37">
        <f ca="1">IF($C16=TRUE,BB31*(1-'Get Started'!$E10),BB31)</f>
        <v>0</v>
      </c>
      <c r="BC55" s="37">
        <f ca="1">IF($C16=TRUE,BC31*(1-'Get Started'!$E10),BC31)</f>
        <v>0</v>
      </c>
      <c r="BD55" s="37">
        <f ca="1">IF($C16=TRUE,BD31*(1-'Get Started'!$E10),BD31)</f>
        <v>0</v>
      </c>
      <c r="BE55" s="37">
        <f ca="1">IF($C16=TRUE,BE31*(1-'Get Started'!$E10),BE31)</f>
        <v>0</v>
      </c>
      <c r="BF55" s="37">
        <f ca="1">IF($C16=TRUE,BF31*(1-'Get Started'!$E10),BF31)</f>
        <v>0</v>
      </c>
      <c r="BG55" s="37">
        <f ca="1">IF($C16=TRUE,BG31*(1-'Get Started'!$E10),BG31)</f>
        <v>0</v>
      </c>
      <c r="BH55" s="37">
        <f ca="1">IF($C16=TRUE,BH31*(1-'Get Started'!$E10),BH31)</f>
        <v>0</v>
      </c>
      <c r="BI55" s="37">
        <f ca="1">IF($C16=TRUE,BI31*(1-'Get Started'!$E10),BI31)</f>
        <v>0</v>
      </c>
      <c r="BJ55" s="37">
        <f ca="1">IF($C16=TRUE,BJ31*(1-'Get Started'!$E10),BJ31)</f>
        <v>0</v>
      </c>
      <c r="BK55" s="37">
        <f ca="1">IF($C16=TRUE,BK31*(1-'Get Started'!$E10),BK31)</f>
        <v>0</v>
      </c>
      <c r="BL55" s="37">
        <f ca="1">IF($C16=TRUE,BL31*(1-'Get Started'!$E10),BL31)</f>
        <v>0</v>
      </c>
      <c r="BM55" s="37">
        <f ca="1">IF($C16=TRUE,BM31*(1-'Get Started'!$E10),BM31)</f>
        <v>0</v>
      </c>
      <c r="BN55" s="37">
        <f ca="1">IF($C16=TRUE,BN31*(1-'Get Started'!$E10),BN31)</f>
        <v>0</v>
      </c>
      <c r="BO55" s="37">
        <f ca="1">IF($C16=TRUE,BO31*(1-'Get Started'!$E10),BO31)</f>
        <v>0</v>
      </c>
      <c r="BP55" s="37">
        <f ca="1">IF($C16=TRUE,BP31*(1-'Get Started'!$E10),BP31)</f>
        <v>0</v>
      </c>
      <c r="BQ55" s="37">
        <f ca="1">IF($C16=TRUE,BQ31*(1-'Get Started'!$E10),BQ31)</f>
        <v>0</v>
      </c>
      <c r="BR55" s="37">
        <f ca="1">IF($C16=TRUE,BR31*(1-'Get Started'!$E10),BR31)</f>
        <v>0</v>
      </c>
      <c r="BS55" s="37">
        <f ca="1">IF($C16=TRUE,BS31*(1-'Get Started'!$E10),BS31)</f>
        <v>0</v>
      </c>
      <c r="BT55" s="37">
        <f ca="1">IF($C16=TRUE,BT31*(1-'Get Started'!$E10),BT31)</f>
        <v>0</v>
      </c>
      <c r="BU55" s="37">
        <f ca="1">IF($C16=TRUE,BU31*(1-'Get Started'!$E10),BU31)</f>
        <v>0</v>
      </c>
      <c r="BV55" s="37">
        <f ca="1">IF($C16=TRUE,BV31*(1-'Get Started'!$E10),BV31)</f>
        <v>0</v>
      </c>
      <c r="BW55" s="37">
        <f ca="1">IF($C16=TRUE,BW31*(1-'Get Started'!$E10),BW31)</f>
        <v>0</v>
      </c>
      <c r="BX55" s="37">
        <f ca="1">IF($C16=TRUE,BX31*(1-'Get Started'!$E10),BX31)</f>
        <v>0</v>
      </c>
      <c r="BY55" s="37">
        <f ca="1">IF($C16=TRUE,BY31*(1-'Get Started'!$E10),BY31)</f>
        <v>0</v>
      </c>
      <c r="BZ55" s="37">
        <f ca="1">IF($C16=TRUE,BZ31*(1-'Get Started'!$E10),BZ31)</f>
        <v>0</v>
      </c>
      <c r="CA55" s="37">
        <f ca="1">IF($C16=TRUE,CA31*(1-'Get Started'!$E10),CA31)</f>
        <v>0</v>
      </c>
      <c r="CB55" s="37">
        <f ca="1">IF($C16=TRUE,CB31*(1-'Get Started'!$E10),CB31)</f>
        <v>0</v>
      </c>
      <c r="CC55" s="37">
        <f ca="1">IF($C16=TRUE,CC31*(1-'Get Started'!$E10),CC31)</f>
        <v>0</v>
      </c>
      <c r="CD55" s="37">
        <f ca="1">IF($C16=TRUE,CD31*(1-'Get Started'!$E10),CD31)</f>
        <v>0</v>
      </c>
      <c r="CE55" s="37">
        <f ca="1">IF($C16=TRUE,CE31*(1-'Get Started'!$E10),CE31)</f>
        <v>0</v>
      </c>
      <c r="CF55" s="37">
        <f ca="1">IF($C16=TRUE,CF31*(1-'Get Started'!$E10),CF31)</f>
        <v>0</v>
      </c>
      <c r="CG55" s="37">
        <f ca="1">IF($C16=TRUE,CG31*(1-'Get Started'!$E10),CG31)</f>
        <v>0</v>
      </c>
      <c r="CH55" s="37">
        <f ca="1">IF($C16=TRUE,CH31*(1-'Get Started'!$E10),CH31)</f>
        <v>0</v>
      </c>
    </row>
    <row r="56" spans="1:86" ht="13">
      <c r="A56" s="13"/>
      <c r="B56" s="13" t="str">
        <f>B50&amp;", from LPs"</f>
        <v>Change in Invested Capital, from LPs</v>
      </c>
      <c r="C56" s="13"/>
      <c r="D56" s="13" t="s">
        <v>238</v>
      </c>
      <c r="E56" s="37">
        <f t="shared" ca="1" si="15"/>
        <v>5.8207660913467407E-11</v>
      </c>
      <c r="F56" s="48"/>
      <c r="G56" s="37">
        <f ca="1">IF($C16=TRUE,G50*(1-'Get Started'!$E10),G50)</f>
        <v>1203125</v>
      </c>
      <c r="H56" s="37">
        <f ca="1">IF($C16=TRUE,H50*(1-'Get Started'!$E10),H50)</f>
        <v>1203125</v>
      </c>
      <c r="I56" s="37">
        <f ca="1">IF($C16=TRUE,I50*(1-'Get Started'!$E10),I50)</f>
        <v>1203125</v>
      </c>
      <c r="J56" s="37">
        <f ca="1">IF($C16=TRUE,J50*(1-'Get Started'!$E10),J50)</f>
        <v>1203125</v>
      </c>
      <c r="K56" s="37">
        <f ca="1">IF($C16=TRUE,K50*(1-'Get Started'!$E10),K50)</f>
        <v>1203125</v>
      </c>
      <c r="L56" s="37">
        <f ca="1">IF($C16=TRUE,L50*(1-'Get Started'!$E10),L50)</f>
        <v>1203125</v>
      </c>
      <c r="M56" s="37">
        <f ca="1">IF($C16=TRUE,M50*(1-'Get Started'!$E10),M50)</f>
        <v>1203125</v>
      </c>
      <c r="N56" s="37">
        <f ca="1">IF($C16=TRUE,N50*(1-'Get Started'!$E10),N50)</f>
        <v>1203125</v>
      </c>
      <c r="O56" s="37">
        <f ca="1">IF($C16=TRUE,O50*(1-'Get Started'!$E10),O50)</f>
        <v>481250</v>
      </c>
      <c r="P56" s="37">
        <f ca="1">IF($C16=TRUE,P50*(1-'Get Started'!$E10),P50)</f>
        <v>481250</v>
      </c>
      <c r="Q56" s="37">
        <f ca="1">IF($C16=TRUE,Q50*(1-'Get Started'!$E10),Q50)</f>
        <v>481250</v>
      </c>
      <c r="R56" s="37">
        <f ca="1">IF($C16=TRUE,R50*(1-'Get Started'!$E10),R50)</f>
        <v>481250</v>
      </c>
      <c r="S56" s="37">
        <f ca="1">IF($C16=TRUE,S50*(1-'Get Started'!$E10),S50)</f>
        <v>481250</v>
      </c>
      <c r="T56" s="37">
        <f ca="1">IF($C16=TRUE,T50*(1-'Get Started'!$E10),T50)</f>
        <v>481250</v>
      </c>
      <c r="U56" s="37">
        <f ca="1">IF($C16=TRUE,U50*(1-'Get Started'!$E10),U50)</f>
        <v>481250</v>
      </c>
      <c r="V56" s="37">
        <f ca="1">IF($C16=TRUE,V50*(1-'Get Started'!$E10),V50)</f>
        <v>481250</v>
      </c>
      <c r="W56" s="37">
        <f ca="1">IF($C16=TRUE,W50*(1-'Get Started'!$E10),W50)</f>
        <v>-1082812.5</v>
      </c>
      <c r="X56" s="37">
        <f ca="1">IF($C16=TRUE,X50*(1-'Get Started'!$E10),X50)</f>
        <v>-1082812.5</v>
      </c>
      <c r="Y56" s="37">
        <f ca="1">IF($C16=TRUE,Y50*(1-'Get Started'!$E10),Y50)</f>
        <v>-1082812.5</v>
      </c>
      <c r="Z56" s="37">
        <f ca="1">IF($C16=TRUE,Z50*(1-'Get Started'!$E10),Z50)</f>
        <v>-1082812.5</v>
      </c>
      <c r="AA56" s="37">
        <f ca="1">IF($C16=TRUE,AA50*(1-'Get Started'!$E10),AA50)</f>
        <v>-1227187.5</v>
      </c>
      <c r="AB56" s="37">
        <f ca="1">IF($C16=TRUE,AB50*(1-'Get Started'!$E10),AB50)</f>
        <v>-1227187.5</v>
      </c>
      <c r="AC56" s="37">
        <f ca="1">IF($C16=TRUE,AC50*(1-'Get Started'!$E10),AC50)</f>
        <v>-1227187.5</v>
      </c>
      <c r="AD56" s="37">
        <f ca="1">IF($C16=TRUE,AD50*(1-'Get Started'!$E10),AD50)</f>
        <v>-1227187.5</v>
      </c>
      <c r="AE56" s="37">
        <f ca="1">IF($C16=TRUE,AE50*(1-'Get Started'!$E10),AE50)</f>
        <v>-529375</v>
      </c>
      <c r="AF56" s="37">
        <f ca="1">IF($C16=TRUE,AF50*(1-'Get Started'!$E10),AF50)</f>
        <v>-529375</v>
      </c>
      <c r="AG56" s="37">
        <f ca="1">IF($C16=TRUE,AG50*(1-'Get Started'!$E10),AG50)</f>
        <v>-529375</v>
      </c>
      <c r="AH56" s="37">
        <f ca="1">IF($C16=TRUE,AH50*(1-'Get Started'!$E10),AH50)</f>
        <v>-529375</v>
      </c>
      <c r="AI56" s="37">
        <f ca="1">IF($C16=TRUE,AI50*(1-'Get Started'!$E10),AI50)</f>
        <v>-264687.5</v>
      </c>
      <c r="AJ56" s="37">
        <f ca="1">IF($C16=TRUE,AJ50*(1-'Get Started'!$E10),AJ50)</f>
        <v>-264687.5</v>
      </c>
      <c r="AK56" s="37">
        <f ca="1">IF($C16=TRUE,AK50*(1-'Get Started'!$E10),AK50)</f>
        <v>-264687.5</v>
      </c>
      <c r="AL56" s="37">
        <f ca="1">IF($C16=TRUE,AL50*(1-'Get Started'!$E10),AL50)</f>
        <v>-264687.5</v>
      </c>
      <c r="AM56" s="37">
        <f ca="1">IF($C16=TRUE,AM50*(1-'Get Started'!$E10),AM50)</f>
        <v>-120312.49999999997</v>
      </c>
      <c r="AN56" s="37">
        <f ca="1">IF($C16=TRUE,AN50*(1-'Get Started'!$E10),AN50)</f>
        <v>-120312.49999999997</v>
      </c>
      <c r="AO56" s="37">
        <f ca="1">IF($C16=TRUE,AO50*(1-'Get Started'!$E10),AO50)</f>
        <v>-120312.49999999997</v>
      </c>
      <c r="AP56" s="37">
        <f ca="1">IF($C16=TRUE,AP50*(1-'Get Started'!$E10),AP50)</f>
        <v>-120312.49999999997</v>
      </c>
      <c r="AQ56" s="37">
        <f ca="1">IF($C16=TRUE,AQ50*(1-'Get Started'!$E10),AQ50)</f>
        <v>-144374.99999999997</v>
      </c>
      <c r="AR56" s="37">
        <f ca="1">IF($C16=TRUE,AR50*(1-'Get Started'!$E10),AR50)</f>
        <v>-144374.99999999997</v>
      </c>
      <c r="AS56" s="37">
        <f ca="1">IF($C16=TRUE,AS50*(1-'Get Started'!$E10),AS50)</f>
        <v>-144374.99999999997</v>
      </c>
      <c r="AT56" s="37">
        <f ca="1">IF($C16=TRUE,AT50*(1-'Get Started'!$E10),AT50)</f>
        <v>-144374.99999999997</v>
      </c>
      <c r="AU56" s="37">
        <f ca="1">IF($C16=TRUE,AU50*(1-'Get Started'!$E10),AU50)</f>
        <v>0</v>
      </c>
      <c r="AV56" s="37">
        <f ca="1">IF($C16=TRUE,AV50*(1-'Get Started'!$E10),AV50)</f>
        <v>0</v>
      </c>
      <c r="AW56" s="37">
        <f ca="1">IF($C16=TRUE,AW50*(1-'Get Started'!$E10),AW50)</f>
        <v>0</v>
      </c>
      <c r="AX56" s="37">
        <f ca="1">IF($C16=TRUE,AX50*(1-'Get Started'!$E10),AX50)</f>
        <v>0</v>
      </c>
      <c r="AY56" s="37">
        <f ca="1">IF($C16=TRUE,AY50*(1-'Get Started'!$E10),AY50)</f>
        <v>0</v>
      </c>
      <c r="AZ56" s="37">
        <f ca="1">IF($C16=TRUE,AZ50*(1-'Get Started'!$E10),AZ50)</f>
        <v>0</v>
      </c>
      <c r="BA56" s="37">
        <f ca="1">IF($C16=TRUE,BA50*(1-'Get Started'!$E10),BA50)</f>
        <v>0</v>
      </c>
      <c r="BB56" s="37">
        <f ca="1">IF($C16=TRUE,BB50*(1-'Get Started'!$E10),BB50)</f>
        <v>0</v>
      </c>
      <c r="BC56" s="37">
        <f ca="1">IF($C16=TRUE,BC50*(1-'Get Started'!$E10),BC50)</f>
        <v>0</v>
      </c>
      <c r="BD56" s="37">
        <f ca="1">IF($C16=TRUE,BD50*(1-'Get Started'!$E10),BD50)</f>
        <v>0</v>
      </c>
      <c r="BE56" s="37">
        <f ca="1">IF($C16=TRUE,BE50*(1-'Get Started'!$E10),BE50)</f>
        <v>0</v>
      </c>
      <c r="BF56" s="37">
        <f ca="1">IF($C16=TRUE,BF50*(1-'Get Started'!$E10),BF50)</f>
        <v>0</v>
      </c>
      <c r="BG56" s="37">
        <f ca="1">IF($C16=TRUE,BG50*(1-'Get Started'!$E10),BG50)</f>
        <v>0</v>
      </c>
      <c r="BH56" s="37">
        <f ca="1">IF($C16=TRUE,BH50*(1-'Get Started'!$E10),BH50)</f>
        <v>0</v>
      </c>
      <c r="BI56" s="37">
        <f ca="1">IF($C16=TRUE,BI50*(1-'Get Started'!$E10),BI50)</f>
        <v>0</v>
      </c>
      <c r="BJ56" s="37">
        <f ca="1">IF($C16=TRUE,BJ50*(1-'Get Started'!$E10),BJ50)</f>
        <v>0</v>
      </c>
      <c r="BK56" s="37">
        <f ca="1">IF($C16=TRUE,BK50*(1-'Get Started'!$E10),BK50)</f>
        <v>0</v>
      </c>
      <c r="BL56" s="37">
        <f ca="1">IF($C16=TRUE,BL50*(1-'Get Started'!$E10),BL50)</f>
        <v>0</v>
      </c>
      <c r="BM56" s="37">
        <f ca="1">IF($C16=TRUE,BM50*(1-'Get Started'!$E10),BM50)</f>
        <v>0</v>
      </c>
      <c r="BN56" s="37">
        <f ca="1">IF($C16=TRUE,BN50*(1-'Get Started'!$E10),BN50)</f>
        <v>0</v>
      </c>
      <c r="BO56" s="37">
        <f ca="1">IF($C16=TRUE,BO50*(1-'Get Started'!$E10),BO50)</f>
        <v>0</v>
      </c>
      <c r="BP56" s="37">
        <f ca="1">IF($C16=TRUE,BP50*(1-'Get Started'!$E10),BP50)</f>
        <v>0</v>
      </c>
      <c r="BQ56" s="37">
        <f ca="1">IF($C16=TRUE,BQ50*(1-'Get Started'!$E10),BQ50)</f>
        <v>0</v>
      </c>
      <c r="BR56" s="37">
        <f ca="1">IF($C16=TRUE,BR50*(1-'Get Started'!$E10),BR50)</f>
        <v>0</v>
      </c>
      <c r="BS56" s="37">
        <f ca="1">IF($C16=TRUE,BS50*(1-'Get Started'!$E10),BS50)</f>
        <v>0</v>
      </c>
      <c r="BT56" s="37">
        <f ca="1">IF($C16=TRUE,BT50*(1-'Get Started'!$E10),BT50)</f>
        <v>0</v>
      </c>
      <c r="BU56" s="37">
        <f ca="1">IF($C16=TRUE,BU50*(1-'Get Started'!$E10),BU50)</f>
        <v>0</v>
      </c>
      <c r="BV56" s="37">
        <f ca="1">IF($C16=TRUE,BV50*(1-'Get Started'!$E10),BV50)</f>
        <v>0</v>
      </c>
      <c r="BW56" s="37">
        <f ca="1">IF($C16=TRUE,BW50*(1-'Get Started'!$E10),BW50)</f>
        <v>0</v>
      </c>
      <c r="BX56" s="37">
        <f ca="1">IF($C16=TRUE,BX50*(1-'Get Started'!$E10),BX50)</f>
        <v>0</v>
      </c>
      <c r="BY56" s="37">
        <f ca="1">IF($C16=TRUE,BY50*(1-'Get Started'!$E10),BY50)</f>
        <v>0</v>
      </c>
      <c r="BZ56" s="37">
        <f ca="1">IF($C16=TRUE,BZ50*(1-'Get Started'!$E10),BZ50)</f>
        <v>0</v>
      </c>
      <c r="CA56" s="37">
        <f ca="1">IF($C16=TRUE,CA50*(1-'Get Started'!$E10),CA50)</f>
        <v>0</v>
      </c>
      <c r="CB56" s="37">
        <f ca="1">IF($C16=TRUE,CB50*(1-'Get Started'!$E10),CB50)</f>
        <v>0</v>
      </c>
      <c r="CC56" s="37">
        <f ca="1">IF($C16=TRUE,CC50*(1-'Get Started'!$E10),CC50)</f>
        <v>0</v>
      </c>
      <c r="CD56" s="37">
        <f ca="1">IF($C16=TRUE,CD50*(1-'Get Started'!$E10),CD50)</f>
        <v>0</v>
      </c>
      <c r="CE56" s="37">
        <f ca="1">IF($C16=TRUE,CE50*(1-'Get Started'!$E10),CE50)</f>
        <v>0</v>
      </c>
      <c r="CF56" s="37">
        <f ca="1">IF($C16=TRUE,CF50*(1-'Get Started'!$E10),CF50)</f>
        <v>0</v>
      </c>
      <c r="CG56" s="37">
        <f ca="1">IF($C16=TRUE,CG50*(1-'Get Started'!$E10),CG50)</f>
        <v>0</v>
      </c>
      <c r="CH56" s="37">
        <f ca="1">IF($C16=TRUE,CH50*(1-'Get Started'!$E10),CH50)</f>
        <v>0</v>
      </c>
    </row>
    <row r="57" spans="1:86" ht="13">
      <c r="A57" s="13"/>
      <c r="B57" s="13" t="s">
        <v>283</v>
      </c>
      <c r="C57" s="13"/>
      <c r="D57" s="13" t="s">
        <v>238</v>
      </c>
      <c r="E57" s="37">
        <f t="shared" ca="1" si="15"/>
        <v>109968994.80000001</v>
      </c>
      <c r="F57" s="48"/>
      <c r="G57" s="37">
        <f t="shared" ref="G57:CH57" ca="1" si="24">G47-G58+G46+G45</f>
        <v>0</v>
      </c>
      <c r="H57" s="37">
        <f t="shared" ca="1" si="24"/>
        <v>0</v>
      </c>
      <c r="I57" s="37">
        <f t="shared" ca="1" si="24"/>
        <v>0</v>
      </c>
      <c r="J57" s="37">
        <f t="shared" ca="1" si="24"/>
        <v>0</v>
      </c>
      <c r="K57" s="37">
        <f t="shared" ca="1" si="24"/>
        <v>0</v>
      </c>
      <c r="L57" s="37">
        <f t="shared" ca="1" si="24"/>
        <v>0</v>
      </c>
      <c r="M57" s="37">
        <f t="shared" ca="1" si="24"/>
        <v>0</v>
      </c>
      <c r="N57" s="37">
        <f t="shared" ca="1" si="24"/>
        <v>0</v>
      </c>
      <c r="O57" s="37">
        <f t="shared" ca="1" si="24"/>
        <v>0</v>
      </c>
      <c r="P57" s="37">
        <f t="shared" ca="1" si="24"/>
        <v>0</v>
      </c>
      <c r="Q57" s="37">
        <f t="shared" ca="1" si="24"/>
        <v>0</v>
      </c>
      <c r="R57" s="37">
        <f t="shared" ca="1" si="24"/>
        <v>0</v>
      </c>
      <c r="S57" s="37">
        <f t="shared" ca="1" si="24"/>
        <v>952682.50000000047</v>
      </c>
      <c r="T57" s="37">
        <f t="shared" ca="1" si="24"/>
        <v>952682.50000000047</v>
      </c>
      <c r="U57" s="37">
        <f t="shared" ca="1" si="24"/>
        <v>952682.50000000047</v>
      </c>
      <c r="V57" s="37">
        <f t="shared" ca="1" si="24"/>
        <v>952682.50000000047</v>
      </c>
      <c r="W57" s="37">
        <f t="shared" ca="1" si="24"/>
        <v>3416923.1250000009</v>
      </c>
      <c r="X57" s="37">
        <f t="shared" ca="1" si="24"/>
        <v>3416923.1250000009</v>
      </c>
      <c r="Y57" s="37">
        <f t="shared" ca="1" si="24"/>
        <v>3025456.583333333</v>
      </c>
      <c r="Z57" s="37">
        <f t="shared" ca="1" si="24"/>
        <v>2996038.5000000009</v>
      </c>
      <c r="AA57" s="37">
        <f t="shared" ca="1" si="24"/>
        <v>3031038.5000000005</v>
      </c>
      <c r="AB57" s="37">
        <f t="shared" ca="1" si="24"/>
        <v>3031038.5000000005</v>
      </c>
      <c r="AC57" s="37">
        <f t="shared" ca="1" si="24"/>
        <v>3031038.5000000005</v>
      </c>
      <c r="AD57" s="37">
        <f t="shared" ca="1" si="24"/>
        <v>3031038.5000000005</v>
      </c>
      <c r="AE57" s="37">
        <f t="shared" ca="1" si="24"/>
        <v>6617516.0333333313</v>
      </c>
      <c r="AF57" s="37">
        <f t="shared" ca="1" si="24"/>
        <v>6617516.0333333313</v>
      </c>
      <c r="AG57" s="37">
        <f t="shared" ca="1" si="24"/>
        <v>6617516.0333333313</v>
      </c>
      <c r="AH57" s="37">
        <f t="shared" ca="1" si="24"/>
        <v>6617516.0333333313</v>
      </c>
      <c r="AI57" s="37">
        <f t="shared" ca="1" si="24"/>
        <v>5768942.6666666651</v>
      </c>
      <c r="AJ57" s="37">
        <f t="shared" ca="1" si="24"/>
        <v>5768942.6666666651</v>
      </c>
      <c r="AK57" s="37">
        <f t="shared" ca="1" si="24"/>
        <v>5768942.6666666651</v>
      </c>
      <c r="AL57" s="37">
        <f t="shared" ca="1" si="24"/>
        <v>5768942.6666666651</v>
      </c>
      <c r="AM57" s="37">
        <f t="shared" ca="1" si="24"/>
        <v>3594651.6666666651</v>
      </c>
      <c r="AN57" s="37">
        <f t="shared" ca="1" si="24"/>
        <v>3594651.6666666651</v>
      </c>
      <c r="AO57" s="37">
        <f t="shared" ca="1" si="24"/>
        <v>3594651.6666666651</v>
      </c>
      <c r="AP57" s="37">
        <f t="shared" ca="1" si="24"/>
        <v>3594651.6666666651</v>
      </c>
      <c r="AQ57" s="37">
        <f t="shared" ca="1" si="24"/>
        <v>4313581.9999999991</v>
      </c>
      <c r="AR57" s="37">
        <f t="shared" ca="1" si="24"/>
        <v>4313581.9999999991</v>
      </c>
      <c r="AS57" s="37">
        <f t="shared" ca="1" si="24"/>
        <v>4313581.9999999991</v>
      </c>
      <c r="AT57" s="37">
        <f t="shared" ca="1" si="24"/>
        <v>4313581.9999999991</v>
      </c>
      <c r="AU57" s="37">
        <f t="shared" ca="1" si="24"/>
        <v>0</v>
      </c>
      <c r="AV57" s="37">
        <f t="shared" ca="1" si="24"/>
        <v>0</v>
      </c>
      <c r="AW57" s="37">
        <f t="shared" ca="1" si="24"/>
        <v>0</v>
      </c>
      <c r="AX57" s="37">
        <f t="shared" ca="1" si="24"/>
        <v>0</v>
      </c>
      <c r="AY57" s="37">
        <f t="shared" ca="1" si="24"/>
        <v>0</v>
      </c>
      <c r="AZ57" s="37">
        <f t="shared" ca="1" si="24"/>
        <v>0</v>
      </c>
      <c r="BA57" s="37">
        <f t="shared" ca="1" si="24"/>
        <v>0</v>
      </c>
      <c r="BB57" s="37">
        <f t="shared" ca="1" si="24"/>
        <v>0</v>
      </c>
      <c r="BC57" s="37">
        <f t="shared" ca="1" si="24"/>
        <v>0</v>
      </c>
      <c r="BD57" s="37">
        <f t="shared" ca="1" si="24"/>
        <v>0</v>
      </c>
      <c r="BE57" s="37">
        <f t="shared" ca="1" si="24"/>
        <v>0</v>
      </c>
      <c r="BF57" s="37">
        <f t="shared" ca="1" si="24"/>
        <v>0</v>
      </c>
      <c r="BG57" s="37">
        <f t="shared" ca="1" si="24"/>
        <v>0</v>
      </c>
      <c r="BH57" s="37">
        <f t="shared" ca="1" si="24"/>
        <v>0</v>
      </c>
      <c r="BI57" s="37">
        <f t="shared" ca="1" si="24"/>
        <v>0</v>
      </c>
      <c r="BJ57" s="37">
        <f t="shared" ca="1" si="24"/>
        <v>0</v>
      </c>
      <c r="BK57" s="37">
        <f t="shared" ca="1" si="24"/>
        <v>0</v>
      </c>
      <c r="BL57" s="37">
        <f t="shared" ca="1" si="24"/>
        <v>0</v>
      </c>
      <c r="BM57" s="37">
        <f t="shared" ca="1" si="24"/>
        <v>0</v>
      </c>
      <c r="BN57" s="37">
        <f t="shared" ca="1" si="24"/>
        <v>0</v>
      </c>
      <c r="BO57" s="37">
        <f t="shared" ca="1" si="24"/>
        <v>0</v>
      </c>
      <c r="BP57" s="37">
        <f t="shared" ca="1" si="24"/>
        <v>0</v>
      </c>
      <c r="BQ57" s="37">
        <f t="shared" ca="1" si="24"/>
        <v>0</v>
      </c>
      <c r="BR57" s="37">
        <f t="shared" ca="1" si="24"/>
        <v>0</v>
      </c>
      <c r="BS57" s="37">
        <f t="shared" ca="1" si="24"/>
        <v>0</v>
      </c>
      <c r="BT57" s="37">
        <f t="shared" ca="1" si="24"/>
        <v>0</v>
      </c>
      <c r="BU57" s="37">
        <f t="shared" ca="1" si="24"/>
        <v>0</v>
      </c>
      <c r="BV57" s="37">
        <f t="shared" ca="1" si="24"/>
        <v>0</v>
      </c>
      <c r="BW57" s="37">
        <f t="shared" ca="1" si="24"/>
        <v>0</v>
      </c>
      <c r="BX57" s="37">
        <f t="shared" ca="1" si="24"/>
        <v>0</v>
      </c>
      <c r="BY57" s="37">
        <f t="shared" ca="1" si="24"/>
        <v>0</v>
      </c>
      <c r="BZ57" s="37">
        <f t="shared" ca="1" si="24"/>
        <v>0</v>
      </c>
      <c r="CA57" s="37">
        <f t="shared" ca="1" si="24"/>
        <v>0</v>
      </c>
      <c r="CB57" s="37">
        <f t="shared" ca="1" si="24"/>
        <v>0</v>
      </c>
      <c r="CC57" s="37">
        <f t="shared" ca="1" si="24"/>
        <v>0</v>
      </c>
      <c r="CD57" s="37">
        <f t="shared" ca="1" si="24"/>
        <v>0</v>
      </c>
      <c r="CE57" s="37">
        <f t="shared" ca="1" si="24"/>
        <v>0</v>
      </c>
      <c r="CF57" s="37">
        <f t="shared" ca="1" si="24"/>
        <v>0</v>
      </c>
      <c r="CG57" s="37">
        <f t="shared" ca="1" si="24"/>
        <v>0</v>
      </c>
      <c r="CH57" s="37">
        <f t="shared" ca="1" si="24"/>
        <v>0</v>
      </c>
    </row>
    <row r="58" spans="1:86" ht="13">
      <c r="A58" s="13"/>
      <c r="B58" s="13" t="s">
        <v>284</v>
      </c>
      <c r="C58" s="13"/>
      <c r="D58" s="13" t="s">
        <v>238</v>
      </c>
      <c r="E58" s="37">
        <f t="shared" ca="1" si="15"/>
        <v>24047580.200000003</v>
      </c>
      <c r="F58" s="48"/>
      <c r="G58" s="37">
        <f ca="1">IF($C16=TRUE,G46+G45,G46+G45+G47*'Get Started'!$E10)</f>
        <v>0</v>
      </c>
      <c r="H58" s="37">
        <f ca="1">IF($C16=TRUE,H46+H45,H46+H45+H47*'Get Started'!$E10)</f>
        <v>0</v>
      </c>
      <c r="I58" s="37">
        <f ca="1">IF($C16=TRUE,I46+I45,I46+I45+I47*'Get Started'!$E10)</f>
        <v>0</v>
      </c>
      <c r="J58" s="37">
        <f ca="1">IF($C16=TRUE,J46+J45,J46+J45+J47*'Get Started'!$E10)</f>
        <v>0</v>
      </c>
      <c r="K58" s="37">
        <f ca="1">IF($C16=TRUE,K46+K45,K46+K45+K47*'Get Started'!$E10)</f>
        <v>0</v>
      </c>
      <c r="L58" s="37">
        <f ca="1">IF($C16=TRUE,L46+L45,L46+L45+L47*'Get Started'!$E10)</f>
        <v>0</v>
      </c>
      <c r="M58" s="37">
        <f ca="1">IF($C16=TRUE,M46+M45,M46+M45+M47*'Get Started'!$E10)</f>
        <v>0</v>
      </c>
      <c r="N58" s="37">
        <f ca="1">IF($C16=TRUE,N46+N45,N46+N45+N47*'Get Started'!$E10)</f>
        <v>0</v>
      </c>
      <c r="O58" s="37">
        <f ca="1">IF($C16=TRUE,O46+O45,O46+O45+O47*'Get Started'!$E10)</f>
        <v>0</v>
      </c>
      <c r="P58" s="37">
        <f ca="1">IF($C16=TRUE,P46+P45,P46+P45+P47*'Get Started'!$E10)</f>
        <v>0</v>
      </c>
      <c r="Q58" s="37">
        <f ca="1">IF($C16=TRUE,Q46+Q45,Q46+Q45+Q47*'Get Started'!$E10)</f>
        <v>0</v>
      </c>
      <c r="R58" s="37">
        <f ca="1">IF($C16=TRUE,R46+R45,R46+R45+R47*'Get Started'!$E10)</f>
        <v>0</v>
      </c>
      <c r="S58" s="37">
        <f ca="1">IF($C16=TRUE,S46+S45,S46+S45+S47*'Get Started'!$E10)</f>
        <v>19442.500000000011</v>
      </c>
      <c r="T58" s="37">
        <f ca="1">IF($C16=TRUE,T46+T45,T46+T45+T47*'Get Started'!$E10)</f>
        <v>19442.500000000011</v>
      </c>
      <c r="U58" s="37">
        <f ca="1">IF($C16=TRUE,U46+U45,U46+U45+U47*'Get Started'!$E10)</f>
        <v>19442.500000000011</v>
      </c>
      <c r="V58" s="37">
        <f ca="1">IF($C16=TRUE,V46+V45,V46+V45+V47*'Get Started'!$E10)</f>
        <v>19442.500000000011</v>
      </c>
      <c r="W58" s="37">
        <f ca="1">IF($C16=TRUE,W46+W45,W46+W45+W47*'Get Started'!$E10)</f>
        <v>69733.125000000015</v>
      </c>
      <c r="X58" s="37">
        <f ca="1">IF($C16=TRUE,X46+X45,X46+X45+X47*'Get Started'!$E10)</f>
        <v>69733.125000000015</v>
      </c>
      <c r="Y58" s="37">
        <f ca="1">IF($C16=TRUE,Y46+Y45,Y46+Y45+Y47*'Get Started'!$E10)</f>
        <v>461199.66666666768</v>
      </c>
      <c r="Z58" s="37">
        <f ca="1">IF($C16=TRUE,Z46+Z45,Z46+Z45+Z47*'Get Started'!$E10)</f>
        <v>490617.75000000017</v>
      </c>
      <c r="AA58" s="37">
        <f ca="1">IF($C16=TRUE,AA46+AA45,AA46+AA45+AA47*'Get Started'!$E10)</f>
        <v>455617.75000000041</v>
      </c>
      <c r="AB58" s="37">
        <f ca="1">IF($C16=TRUE,AB46+AB45,AB46+AB45+AB47*'Get Started'!$E10)</f>
        <v>455617.75000000041</v>
      </c>
      <c r="AC58" s="37">
        <f ca="1">IF($C16=TRUE,AC46+AC45,AC46+AC45+AC47*'Get Started'!$E10)</f>
        <v>455617.75000000041</v>
      </c>
      <c r="AD58" s="37">
        <f ca="1">IF($C16=TRUE,AD46+AD45,AD46+AD45+AD47*'Get Started'!$E10)</f>
        <v>455617.75000000041</v>
      </c>
      <c r="AE58" s="37">
        <f ca="1">IF($C16=TRUE,AE46+AE45,AE46+AE45+AE47*'Get Started'!$E10)</f>
        <v>1659502.7166666668</v>
      </c>
      <c r="AF58" s="37">
        <f ca="1">IF($C16=TRUE,AF46+AF45,AF46+AF45+AF47*'Get Started'!$E10)</f>
        <v>1659502.7166666668</v>
      </c>
      <c r="AG58" s="37">
        <f ca="1">IF($C16=TRUE,AG46+AG45,AG46+AG45+AG47*'Get Started'!$E10)</f>
        <v>1659502.7166666668</v>
      </c>
      <c r="AH58" s="37">
        <f ca="1">IF($C16=TRUE,AH46+AH45,AH46+AH45+AH47*'Get Started'!$E10)</f>
        <v>1659502.7166666668</v>
      </c>
      <c r="AI58" s="37">
        <f ca="1">IF($C16=TRUE,AI46+AI45,AI46+AI45+AI47*'Get Started'!$E10)</f>
        <v>1507557.3333333333</v>
      </c>
      <c r="AJ58" s="37">
        <f ca="1">IF($C16=TRUE,AJ46+AJ45,AJ46+AJ45+AJ47*'Get Started'!$E10)</f>
        <v>1507557.3333333333</v>
      </c>
      <c r="AK58" s="37">
        <f ca="1">IF($C16=TRUE,AK46+AK45,AK46+AK45+AK47*'Get Started'!$E10)</f>
        <v>1507557.3333333333</v>
      </c>
      <c r="AL58" s="37">
        <f ca="1">IF($C16=TRUE,AL46+AL45,AL46+AL45+AL47*'Get Started'!$E10)</f>
        <v>1507557.3333333333</v>
      </c>
      <c r="AM58" s="37">
        <f ca="1">IF($C16=TRUE,AM46+AM45,AM46+AM45+AM47*'Get Started'!$E10)</f>
        <v>953160.83333333326</v>
      </c>
      <c r="AN58" s="37">
        <f ca="1">IF($C16=TRUE,AN46+AN45,AN46+AN45+AN47*'Get Started'!$E10)</f>
        <v>953160.83333333326</v>
      </c>
      <c r="AO58" s="37">
        <f ca="1">IF($C16=TRUE,AO46+AO45,AO46+AO45+AO47*'Get Started'!$E10)</f>
        <v>953160.83333333326</v>
      </c>
      <c r="AP58" s="37">
        <f ca="1">IF($C16=TRUE,AP46+AP45,AP46+AP45+AP47*'Get Started'!$E10)</f>
        <v>953160.83333333326</v>
      </c>
      <c r="AQ58" s="37">
        <f ca="1">IF($C16=TRUE,AQ46+AQ45,AQ46+AQ45+AQ47*'Get Started'!$E10)</f>
        <v>1143792.9999999995</v>
      </c>
      <c r="AR58" s="37">
        <f ca="1">IF($C16=TRUE,AR46+AR45,AR46+AR45+AR47*'Get Started'!$E10)</f>
        <v>1143792.9999999995</v>
      </c>
      <c r="AS58" s="37">
        <f ca="1">IF($C16=TRUE,AS46+AS45,AS46+AS45+AS47*'Get Started'!$E10)</f>
        <v>1143792.9999999995</v>
      </c>
      <c r="AT58" s="37">
        <f ca="1">IF($C16=TRUE,AT46+AT45,AT46+AT45+AT47*'Get Started'!$E10)</f>
        <v>1143792.9999999995</v>
      </c>
      <c r="AU58" s="37">
        <f ca="1">IF($C16=TRUE,AU46+AU45,AU46+AU45+AU47*'Get Started'!$E10)</f>
        <v>0</v>
      </c>
      <c r="AV58" s="37">
        <f ca="1">IF($C16=TRUE,AV46+AV45,AV46+AV45+AV47*'Get Started'!$E10)</f>
        <v>0</v>
      </c>
      <c r="AW58" s="37">
        <f ca="1">IF($C16=TRUE,AW46+AW45,AW46+AW45+AW47*'Get Started'!$E10)</f>
        <v>0</v>
      </c>
      <c r="AX58" s="37">
        <f ca="1">IF($C16=TRUE,AX46+AX45,AX46+AX45+AX47*'Get Started'!$E10)</f>
        <v>0</v>
      </c>
      <c r="AY58" s="37">
        <f ca="1">IF($C16=TRUE,AY46+AY45,AY46+AY45+AY47*'Get Started'!$E10)</f>
        <v>0</v>
      </c>
      <c r="AZ58" s="37">
        <f ca="1">IF($C16=TRUE,AZ46+AZ45,AZ46+AZ45+AZ47*'Get Started'!$E10)</f>
        <v>0</v>
      </c>
      <c r="BA58" s="37">
        <f ca="1">IF($C16=TRUE,BA46+BA45,BA46+BA45+BA47*'Get Started'!$E10)</f>
        <v>0</v>
      </c>
      <c r="BB58" s="37">
        <f ca="1">IF($C16=TRUE,BB46+BB45,BB46+BB45+BB47*'Get Started'!$E10)</f>
        <v>0</v>
      </c>
      <c r="BC58" s="37">
        <f ca="1">IF($C16=TRUE,BC46+BC45,BC46+BC45+BC47*'Get Started'!$E10)</f>
        <v>0</v>
      </c>
      <c r="BD58" s="37">
        <f ca="1">IF($C16=TRUE,BD46+BD45,BD46+BD45+BD47*'Get Started'!$E10)</f>
        <v>0</v>
      </c>
      <c r="BE58" s="37">
        <f ca="1">IF($C16=TRUE,BE46+BE45,BE46+BE45+BE47*'Get Started'!$E10)</f>
        <v>0</v>
      </c>
      <c r="BF58" s="37">
        <f ca="1">IF($C16=TRUE,BF46+BF45,BF46+BF45+BF47*'Get Started'!$E10)</f>
        <v>0</v>
      </c>
      <c r="BG58" s="37">
        <f ca="1">IF($C16=TRUE,BG46+BG45,BG46+BG45+BG47*'Get Started'!$E10)</f>
        <v>0</v>
      </c>
      <c r="BH58" s="37">
        <f ca="1">IF($C16=TRUE,BH46+BH45,BH46+BH45+BH47*'Get Started'!$E10)</f>
        <v>0</v>
      </c>
      <c r="BI58" s="37">
        <f ca="1">IF($C16=TRUE,BI46+BI45,BI46+BI45+BI47*'Get Started'!$E10)</f>
        <v>0</v>
      </c>
      <c r="BJ58" s="37">
        <f ca="1">IF($C16=TRUE,BJ46+BJ45,BJ46+BJ45+BJ47*'Get Started'!$E10)</f>
        <v>0</v>
      </c>
      <c r="BK58" s="37">
        <f ca="1">IF($C16=TRUE,BK46+BK45,BK46+BK45+BK47*'Get Started'!$E10)</f>
        <v>0</v>
      </c>
      <c r="BL58" s="37">
        <f ca="1">IF($C16=TRUE,BL46+BL45,BL46+BL45+BL47*'Get Started'!$E10)</f>
        <v>0</v>
      </c>
      <c r="BM58" s="37">
        <f ca="1">IF($C16=TRUE,BM46+BM45,BM46+BM45+BM47*'Get Started'!$E10)</f>
        <v>0</v>
      </c>
      <c r="BN58" s="37">
        <f ca="1">IF($C16=TRUE,BN46+BN45,BN46+BN45+BN47*'Get Started'!$E10)</f>
        <v>0</v>
      </c>
      <c r="BO58" s="37">
        <f ca="1">IF($C16=TRUE,BO46+BO45,BO46+BO45+BO47*'Get Started'!$E10)</f>
        <v>0</v>
      </c>
      <c r="BP58" s="37">
        <f ca="1">IF($C16=TRUE,BP46+BP45,BP46+BP45+BP47*'Get Started'!$E10)</f>
        <v>0</v>
      </c>
      <c r="BQ58" s="37">
        <f ca="1">IF($C16=TRUE,BQ46+BQ45,BQ46+BQ45+BQ47*'Get Started'!$E10)</f>
        <v>0</v>
      </c>
      <c r="BR58" s="37">
        <f ca="1">IF($C16=TRUE,BR46+BR45,BR46+BR45+BR47*'Get Started'!$E10)</f>
        <v>0</v>
      </c>
      <c r="BS58" s="37">
        <f ca="1">IF($C16=TRUE,BS46+BS45,BS46+BS45+BS47*'Get Started'!$E10)</f>
        <v>0</v>
      </c>
      <c r="BT58" s="37">
        <f ca="1">IF($C16=TRUE,BT46+BT45,BT46+BT45+BT47*'Get Started'!$E10)</f>
        <v>0</v>
      </c>
      <c r="BU58" s="37">
        <f ca="1">IF($C16=TRUE,BU46+BU45,BU46+BU45+BU47*'Get Started'!$E10)</f>
        <v>0</v>
      </c>
      <c r="BV58" s="37">
        <f ca="1">IF($C16=TRUE,BV46+BV45,BV46+BV45+BV47*'Get Started'!$E10)</f>
        <v>0</v>
      </c>
      <c r="BW58" s="37">
        <f ca="1">IF($C16=TRUE,BW46+BW45,BW46+BW45+BW47*'Get Started'!$E10)</f>
        <v>0</v>
      </c>
      <c r="BX58" s="37">
        <f ca="1">IF($C16=TRUE,BX46+BX45,BX46+BX45+BX47*'Get Started'!$E10)</f>
        <v>0</v>
      </c>
      <c r="BY58" s="37">
        <f ca="1">IF($C16=TRUE,BY46+BY45,BY46+BY45+BY47*'Get Started'!$E10)</f>
        <v>0</v>
      </c>
      <c r="BZ58" s="37">
        <f ca="1">IF($C16=TRUE,BZ46+BZ45,BZ46+BZ45+BZ47*'Get Started'!$E10)</f>
        <v>0</v>
      </c>
      <c r="CA58" s="37">
        <f ca="1">IF($C16=TRUE,CA46+CA45,CA46+CA45+CA47*'Get Started'!$E10)</f>
        <v>0</v>
      </c>
      <c r="CB58" s="37">
        <f ca="1">IF($C16=TRUE,CB46+CB45,CB46+CB45+CB47*'Get Started'!$E10)</f>
        <v>0</v>
      </c>
      <c r="CC58" s="37">
        <f ca="1">IF($C16=TRUE,CC46+CC45,CC46+CC45+CC47*'Get Started'!$E10)</f>
        <v>0</v>
      </c>
      <c r="CD58" s="37">
        <f ca="1">IF($C16=TRUE,CD46+CD45,CD46+CD45+CD47*'Get Started'!$E10)</f>
        <v>0</v>
      </c>
      <c r="CE58" s="37">
        <f ca="1">IF($C16=TRUE,CE46+CE45,CE46+CE45+CE47*'Get Started'!$E10)</f>
        <v>0</v>
      </c>
      <c r="CF58" s="37">
        <f ca="1">IF($C16=TRUE,CF46+CF45,CF46+CF45+CF47*'Get Started'!$E10)</f>
        <v>0</v>
      </c>
      <c r="CG58" s="37">
        <f ca="1">IF($C16=TRUE,CG46+CG45,CG46+CG45+CG47*'Get Started'!$E10)</f>
        <v>0</v>
      </c>
      <c r="CH58" s="37">
        <f ca="1">IF($C16=TRUE,CH46+CH45,CH46+CH45+CH47*'Get Started'!$E10)</f>
        <v>0</v>
      </c>
    </row>
    <row r="59" spans="1:86" ht="13">
      <c r="B59" s="15" t="str">
        <f t="shared" ref="B59:B87" si="25">"Cumulative "&amp;B30</f>
        <v>Cumulative Committed Capital</v>
      </c>
      <c r="C59" s="15"/>
      <c r="D59" s="15" t="s">
        <v>247</v>
      </c>
      <c r="E59" s="29">
        <f t="shared" si="15"/>
        <v>25000000</v>
      </c>
      <c r="F59" s="29"/>
      <c r="G59" s="29">
        <f t="shared" ref="G59:CH59" si="26">F59+G30</f>
        <v>25000000</v>
      </c>
      <c r="H59" s="29">
        <f t="shared" si="26"/>
        <v>25000000</v>
      </c>
      <c r="I59" s="29">
        <f t="shared" si="26"/>
        <v>25000000</v>
      </c>
      <c r="J59" s="29">
        <f t="shared" si="26"/>
        <v>25000000</v>
      </c>
      <c r="K59" s="29">
        <f t="shared" si="26"/>
        <v>25000000</v>
      </c>
      <c r="L59" s="29">
        <f t="shared" si="26"/>
        <v>25000000</v>
      </c>
      <c r="M59" s="29">
        <f t="shared" si="26"/>
        <v>25000000</v>
      </c>
      <c r="N59" s="29">
        <f t="shared" si="26"/>
        <v>25000000</v>
      </c>
      <c r="O59" s="29">
        <f t="shared" si="26"/>
        <v>25000000</v>
      </c>
      <c r="P59" s="29">
        <f t="shared" si="26"/>
        <v>25000000</v>
      </c>
      <c r="Q59" s="29">
        <f t="shared" si="26"/>
        <v>25000000</v>
      </c>
      <c r="R59" s="29">
        <f t="shared" si="26"/>
        <v>25000000</v>
      </c>
      <c r="S59" s="29">
        <f t="shared" si="26"/>
        <v>25000000</v>
      </c>
      <c r="T59" s="29">
        <f t="shared" si="26"/>
        <v>25000000</v>
      </c>
      <c r="U59" s="29">
        <f t="shared" si="26"/>
        <v>25000000</v>
      </c>
      <c r="V59" s="29">
        <f t="shared" si="26"/>
        <v>25000000</v>
      </c>
      <c r="W59" s="29">
        <f t="shared" si="26"/>
        <v>25000000</v>
      </c>
      <c r="X59" s="29">
        <f t="shared" si="26"/>
        <v>25000000</v>
      </c>
      <c r="Y59" s="29">
        <f t="shared" si="26"/>
        <v>25000000</v>
      </c>
      <c r="Z59" s="29">
        <f t="shared" si="26"/>
        <v>25000000</v>
      </c>
      <c r="AA59" s="29">
        <f t="shared" si="26"/>
        <v>25000000</v>
      </c>
      <c r="AB59" s="29">
        <f t="shared" si="26"/>
        <v>25000000</v>
      </c>
      <c r="AC59" s="29">
        <f t="shared" si="26"/>
        <v>25000000</v>
      </c>
      <c r="AD59" s="29">
        <f t="shared" si="26"/>
        <v>25000000</v>
      </c>
      <c r="AE59" s="29">
        <f t="shared" si="26"/>
        <v>25000000</v>
      </c>
      <c r="AF59" s="29">
        <f t="shared" si="26"/>
        <v>25000000</v>
      </c>
      <c r="AG59" s="29">
        <f t="shared" si="26"/>
        <v>25000000</v>
      </c>
      <c r="AH59" s="29">
        <f t="shared" si="26"/>
        <v>25000000</v>
      </c>
      <c r="AI59" s="29">
        <f t="shared" si="26"/>
        <v>25000000</v>
      </c>
      <c r="AJ59" s="29">
        <f t="shared" si="26"/>
        <v>25000000</v>
      </c>
      <c r="AK59" s="29">
        <f t="shared" si="26"/>
        <v>25000000</v>
      </c>
      <c r="AL59" s="29">
        <f t="shared" si="26"/>
        <v>25000000</v>
      </c>
      <c r="AM59" s="29">
        <f t="shared" si="26"/>
        <v>25000000</v>
      </c>
      <c r="AN59" s="29">
        <f t="shared" si="26"/>
        <v>25000000</v>
      </c>
      <c r="AO59" s="29">
        <f t="shared" si="26"/>
        <v>25000000</v>
      </c>
      <c r="AP59" s="29">
        <f t="shared" si="26"/>
        <v>25000000</v>
      </c>
      <c r="AQ59" s="29">
        <f t="shared" si="26"/>
        <v>25000000</v>
      </c>
      <c r="AR59" s="29">
        <f t="shared" si="26"/>
        <v>25000000</v>
      </c>
      <c r="AS59" s="29">
        <f t="shared" si="26"/>
        <v>25000000</v>
      </c>
      <c r="AT59" s="29">
        <f t="shared" si="26"/>
        <v>25000000</v>
      </c>
      <c r="AU59" s="29">
        <f t="shared" si="26"/>
        <v>25000000</v>
      </c>
      <c r="AV59" s="29">
        <f t="shared" si="26"/>
        <v>25000000</v>
      </c>
      <c r="AW59" s="29">
        <f t="shared" si="26"/>
        <v>25000000</v>
      </c>
      <c r="AX59" s="29">
        <f t="shared" si="26"/>
        <v>25000000</v>
      </c>
      <c r="AY59" s="29">
        <f t="shared" si="26"/>
        <v>25000000</v>
      </c>
      <c r="AZ59" s="29">
        <f t="shared" si="26"/>
        <v>25000000</v>
      </c>
      <c r="BA59" s="29">
        <f t="shared" si="26"/>
        <v>25000000</v>
      </c>
      <c r="BB59" s="29">
        <f t="shared" si="26"/>
        <v>25000000</v>
      </c>
      <c r="BC59" s="29">
        <f t="shared" si="26"/>
        <v>25000000</v>
      </c>
      <c r="BD59" s="29">
        <f t="shared" si="26"/>
        <v>25000000</v>
      </c>
      <c r="BE59" s="29">
        <f t="shared" si="26"/>
        <v>25000000</v>
      </c>
      <c r="BF59" s="29">
        <f t="shared" si="26"/>
        <v>25000000</v>
      </c>
      <c r="BG59" s="29">
        <f t="shared" si="26"/>
        <v>25000000</v>
      </c>
      <c r="BH59" s="29">
        <f t="shared" si="26"/>
        <v>25000000</v>
      </c>
      <c r="BI59" s="29">
        <f t="shared" si="26"/>
        <v>25000000</v>
      </c>
      <c r="BJ59" s="29">
        <f t="shared" si="26"/>
        <v>25000000</v>
      </c>
      <c r="BK59" s="29">
        <f t="shared" si="26"/>
        <v>25000000</v>
      </c>
      <c r="BL59" s="29">
        <f t="shared" si="26"/>
        <v>25000000</v>
      </c>
      <c r="BM59" s="29">
        <f t="shared" si="26"/>
        <v>25000000</v>
      </c>
      <c r="BN59" s="29">
        <f t="shared" si="26"/>
        <v>25000000</v>
      </c>
      <c r="BO59" s="29">
        <f t="shared" si="26"/>
        <v>25000000</v>
      </c>
      <c r="BP59" s="29">
        <f t="shared" si="26"/>
        <v>25000000</v>
      </c>
      <c r="BQ59" s="29">
        <f t="shared" si="26"/>
        <v>25000000</v>
      </c>
      <c r="BR59" s="29">
        <f t="shared" si="26"/>
        <v>25000000</v>
      </c>
      <c r="BS59" s="29">
        <f t="shared" si="26"/>
        <v>25000000</v>
      </c>
      <c r="BT59" s="29">
        <f t="shared" si="26"/>
        <v>25000000</v>
      </c>
      <c r="BU59" s="29">
        <f t="shared" si="26"/>
        <v>25000000</v>
      </c>
      <c r="BV59" s="29">
        <f t="shared" si="26"/>
        <v>25000000</v>
      </c>
      <c r="BW59" s="29">
        <f t="shared" si="26"/>
        <v>25000000</v>
      </c>
      <c r="BX59" s="29">
        <f t="shared" si="26"/>
        <v>25000000</v>
      </c>
      <c r="BY59" s="29">
        <f t="shared" si="26"/>
        <v>25000000</v>
      </c>
      <c r="BZ59" s="29">
        <f t="shared" si="26"/>
        <v>25000000</v>
      </c>
      <c r="CA59" s="29">
        <f t="shared" si="26"/>
        <v>25000000</v>
      </c>
      <c r="CB59" s="29">
        <f t="shared" si="26"/>
        <v>25000000</v>
      </c>
      <c r="CC59" s="29">
        <f t="shared" si="26"/>
        <v>25000000</v>
      </c>
      <c r="CD59" s="29">
        <f t="shared" si="26"/>
        <v>25000000</v>
      </c>
      <c r="CE59" s="29">
        <f t="shared" si="26"/>
        <v>25000000</v>
      </c>
      <c r="CF59" s="29">
        <f t="shared" si="26"/>
        <v>25000000</v>
      </c>
      <c r="CG59" s="29">
        <f t="shared" si="26"/>
        <v>25000000</v>
      </c>
      <c r="CH59" s="29">
        <f t="shared" si="26"/>
        <v>25000000</v>
      </c>
    </row>
    <row r="60" spans="1:86" ht="13">
      <c r="B60" s="15" t="str">
        <f t="shared" si="25"/>
        <v>Cumulative Called Capital</v>
      </c>
      <c r="C60" s="15"/>
      <c r="D60" s="15" t="s">
        <v>247</v>
      </c>
      <c r="E60" s="29">
        <f t="shared" ca="1" si="15"/>
        <v>25000000</v>
      </c>
      <c r="F60" s="29"/>
      <c r="G60" s="29">
        <f t="shared" ref="G60:CH60" ca="1" si="27">F60+G31</f>
        <v>1444375</v>
      </c>
      <c r="H60" s="29">
        <f t="shared" ca="1" si="27"/>
        <v>2788750</v>
      </c>
      <c r="I60" s="29">
        <f t="shared" ca="1" si="27"/>
        <v>4133125</v>
      </c>
      <c r="J60" s="29">
        <f t="shared" ca="1" si="27"/>
        <v>5477500</v>
      </c>
      <c r="K60" s="29">
        <f t="shared" ca="1" si="27"/>
        <v>6821875</v>
      </c>
      <c r="L60" s="29">
        <f t="shared" ca="1" si="27"/>
        <v>8166250</v>
      </c>
      <c r="M60" s="29">
        <f t="shared" ca="1" si="27"/>
        <v>9510625</v>
      </c>
      <c r="N60" s="29">
        <f t="shared" ca="1" si="27"/>
        <v>10855000</v>
      </c>
      <c r="O60" s="29">
        <f t="shared" ca="1" si="27"/>
        <v>12199375</v>
      </c>
      <c r="P60" s="29">
        <f t="shared" ca="1" si="27"/>
        <v>13543750</v>
      </c>
      <c r="Q60" s="29">
        <f t="shared" ca="1" si="27"/>
        <v>14888125</v>
      </c>
      <c r="R60" s="29">
        <f t="shared" ca="1" si="27"/>
        <v>16232500</v>
      </c>
      <c r="S60" s="29">
        <f t="shared" ca="1" si="27"/>
        <v>17576875</v>
      </c>
      <c r="T60" s="29">
        <f t="shared" ca="1" si="27"/>
        <v>18921250</v>
      </c>
      <c r="U60" s="29">
        <f t="shared" ca="1" si="27"/>
        <v>20265625</v>
      </c>
      <c r="V60" s="29">
        <f t="shared" ca="1" si="27"/>
        <v>21610000</v>
      </c>
      <c r="W60" s="29">
        <f t="shared" ca="1" si="27"/>
        <v>21751250</v>
      </c>
      <c r="X60" s="29">
        <f t="shared" ca="1" si="27"/>
        <v>21892500</v>
      </c>
      <c r="Y60" s="29">
        <f t="shared" ca="1" si="27"/>
        <v>22033750</v>
      </c>
      <c r="Z60" s="29">
        <f t="shared" ca="1" si="27"/>
        <v>22175000</v>
      </c>
      <c r="AA60" s="29">
        <f t="shared" ca="1" si="27"/>
        <v>22316250</v>
      </c>
      <c r="AB60" s="29">
        <f t="shared" ca="1" si="27"/>
        <v>22457500</v>
      </c>
      <c r="AC60" s="29">
        <f t="shared" ca="1" si="27"/>
        <v>22598750</v>
      </c>
      <c r="AD60" s="29">
        <f t="shared" ca="1" si="27"/>
        <v>22740000</v>
      </c>
      <c r="AE60" s="29">
        <f t="shared" ca="1" si="27"/>
        <v>22881250</v>
      </c>
      <c r="AF60" s="29">
        <f t="shared" ca="1" si="27"/>
        <v>23022500</v>
      </c>
      <c r="AG60" s="29">
        <f t="shared" ca="1" si="27"/>
        <v>23163750</v>
      </c>
      <c r="AH60" s="29">
        <f t="shared" ca="1" si="27"/>
        <v>23305000</v>
      </c>
      <c r="AI60" s="29">
        <f t="shared" ca="1" si="27"/>
        <v>23446250</v>
      </c>
      <c r="AJ60" s="29">
        <f t="shared" ca="1" si="27"/>
        <v>23587500</v>
      </c>
      <c r="AK60" s="29">
        <f t="shared" ca="1" si="27"/>
        <v>23728750</v>
      </c>
      <c r="AL60" s="29">
        <f t="shared" ca="1" si="27"/>
        <v>23870000</v>
      </c>
      <c r="AM60" s="29">
        <f t="shared" ca="1" si="27"/>
        <v>24011250</v>
      </c>
      <c r="AN60" s="29">
        <f t="shared" ca="1" si="27"/>
        <v>24152500</v>
      </c>
      <c r="AO60" s="29">
        <f t="shared" ca="1" si="27"/>
        <v>24293750</v>
      </c>
      <c r="AP60" s="29">
        <f t="shared" ca="1" si="27"/>
        <v>24435000</v>
      </c>
      <c r="AQ60" s="29">
        <f t="shared" ca="1" si="27"/>
        <v>24576250</v>
      </c>
      <c r="AR60" s="29">
        <f t="shared" ca="1" si="27"/>
        <v>24717500</v>
      </c>
      <c r="AS60" s="29">
        <f t="shared" ca="1" si="27"/>
        <v>24858750</v>
      </c>
      <c r="AT60" s="29">
        <f t="shared" ca="1" si="27"/>
        <v>25000000</v>
      </c>
      <c r="AU60" s="29">
        <f t="shared" ca="1" si="27"/>
        <v>25000000</v>
      </c>
      <c r="AV60" s="29">
        <f t="shared" ca="1" si="27"/>
        <v>25000000</v>
      </c>
      <c r="AW60" s="29">
        <f t="shared" ca="1" si="27"/>
        <v>25000000</v>
      </c>
      <c r="AX60" s="29">
        <f t="shared" ca="1" si="27"/>
        <v>25000000</v>
      </c>
      <c r="AY60" s="29">
        <f t="shared" ca="1" si="27"/>
        <v>25000000</v>
      </c>
      <c r="AZ60" s="29">
        <f t="shared" ca="1" si="27"/>
        <v>25000000</v>
      </c>
      <c r="BA60" s="29">
        <f t="shared" ca="1" si="27"/>
        <v>25000000</v>
      </c>
      <c r="BB60" s="29">
        <f t="shared" ca="1" si="27"/>
        <v>25000000</v>
      </c>
      <c r="BC60" s="29">
        <f t="shared" ca="1" si="27"/>
        <v>25000000</v>
      </c>
      <c r="BD60" s="29">
        <f t="shared" ca="1" si="27"/>
        <v>25000000</v>
      </c>
      <c r="BE60" s="29">
        <f t="shared" ca="1" si="27"/>
        <v>25000000</v>
      </c>
      <c r="BF60" s="29">
        <f t="shared" ca="1" si="27"/>
        <v>25000000</v>
      </c>
      <c r="BG60" s="29">
        <f t="shared" ca="1" si="27"/>
        <v>25000000</v>
      </c>
      <c r="BH60" s="29">
        <f t="shared" ca="1" si="27"/>
        <v>25000000</v>
      </c>
      <c r="BI60" s="29">
        <f t="shared" ca="1" si="27"/>
        <v>25000000</v>
      </c>
      <c r="BJ60" s="29">
        <f t="shared" ca="1" si="27"/>
        <v>25000000</v>
      </c>
      <c r="BK60" s="29">
        <f t="shared" ca="1" si="27"/>
        <v>25000000</v>
      </c>
      <c r="BL60" s="29">
        <f t="shared" ca="1" si="27"/>
        <v>25000000</v>
      </c>
      <c r="BM60" s="29">
        <f t="shared" ca="1" si="27"/>
        <v>25000000</v>
      </c>
      <c r="BN60" s="29">
        <f t="shared" ca="1" si="27"/>
        <v>25000000</v>
      </c>
      <c r="BO60" s="29">
        <f t="shared" ca="1" si="27"/>
        <v>25000000</v>
      </c>
      <c r="BP60" s="29">
        <f t="shared" ca="1" si="27"/>
        <v>25000000</v>
      </c>
      <c r="BQ60" s="29">
        <f t="shared" ca="1" si="27"/>
        <v>25000000</v>
      </c>
      <c r="BR60" s="29">
        <f t="shared" ca="1" si="27"/>
        <v>25000000</v>
      </c>
      <c r="BS60" s="29">
        <f t="shared" ca="1" si="27"/>
        <v>25000000</v>
      </c>
      <c r="BT60" s="29">
        <f t="shared" ca="1" si="27"/>
        <v>25000000</v>
      </c>
      <c r="BU60" s="29">
        <f t="shared" ca="1" si="27"/>
        <v>25000000</v>
      </c>
      <c r="BV60" s="29">
        <f t="shared" ca="1" si="27"/>
        <v>25000000</v>
      </c>
      <c r="BW60" s="29">
        <f t="shared" ca="1" si="27"/>
        <v>25000000</v>
      </c>
      <c r="BX60" s="29">
        <f t="shared" ca="1" si="27"/>
        <v>25000000</v>
      </c>
      <c r="BY60" s="29">
        <f t="shared" ca="1" si="27"/>
        <v>25000000</v>
      </c>
      <c r="BZ60" s="29">
        <f t="shared" ca="1" si="27"/>
        <v>25000000</v>
      </c>
      <c r="CA60" s="29">
        <f t="shared" ca="1" si="27"/>
        <v>25000000</v>
      </c>
      <c r="CB60" s="29">
        <f t="shared" ca="1" si="27"/>
        <v>25000000</v>
      </c>
      <c r="CC60" s="29">
        <f t="shared" ca="1" si="27"/>
        <v>25000000</v>
      </c>
      <c r="CD60" s="29">
        <f t="shared" ca="1" si="27"/>
        <v>25000000</v>
      </c>
      <c r="CE60" s="29">
        <f t="shared" ca="1" si="27"/>
        <v>25000000</v>
      </c>
      <c r="CF60" s="29">
        <f t="shared" ca="1" si="27"/>
        <v>25000000</v>
      </c>
      <c r="CG60" s="29">
        <f t="shared" ca="1" si="27"/>
        <v>25000000</v>
      </c>
      <c r="CH60" s="29">
        <f t="shared" ca="1" si="27"/>
        <v>25000000</v>
      </c>
    </row>
    <row r="61" spans="1:86" ht="13">
      <c r="B61" s="15" t="str">
        <f t="shared" si="25"/>
        <v>Cumulative Manual Investments</v>
      </c>
      <c r="C61" s="15"/>
      <c r="D61" s="15" t="s">
        <v>247</v>
      </c>
      <c r="E61" s="29">
        <f t="shared" si="15"/>
        <v>0</v>
      </c>
      <c r="F61" s="29"/>
      <c r="G61" s="29">
        <f t="shared" ref="G61:CH61" si="28">F61+G32</f>
        <v>0</v>
      </c>
      <c r="H61" s="29">
        <f t="shared" si="28"/>
        <v>0</v>
      </c>
      <c r="I61" s="29">
        <f t="shared" si="28"/>
        <v>0</v>
      </c>
      <c r="J61" s="29">
        <f t="shared" si="28"/>
        <v>0</v>
      </c>
      <c r="K61" s="29">
        <f t="shared" si="28"/>
        <v>0</v>
      </c>
      <c r="L61" s="29">
        <f t="shared" si="28"/>
        <v>0</v>
      </c>
      <c r="M61" s="29">
        <f t="shared" si="28"/>
        <v>0</v>
      </c>
      <c r="N61" s="29">
        <f t="shared" si="28"/>
        <v>0</v>
      </c>
      <c r="O61" s="29">
        <f t="shared" si="28"/>
        <v>0</v>
      </c>
      <c r="P61" s="29">
        <f t="shared" si="28"/>
        <v>0</v>
      </c>
      <c r="Q61" s="29">
        <f t="shared" si="28"/>
        <v>0</v>
      </c>
      <c r="R61" s="29">
        <f t="shared" si="28"/>
        <v>0</v>
      </c>
      <c r="S61" s="29">
        <f t="shared" si="28"/>
        <v>0</v>
      </c>
      <c r="T61" s="29">
        <f t="shared" si="28"/>
        <v>0</v>
      </c>
      <c r="U61" s="29">
        <f t="shared" si="28"/>
        <v>0</v>
      </c>
      <c r="V61" s="29">
        <f t="shared" si="28"/>
        <v>0</v>
      </c>
      <c r="W61" s="29">
        <f t="shared" si="28"/>
        <v>0</v>
      </c>
      <c r="X61" s="29">
        <f t="shared" si="28"/>
        <v>0</v>
      </c>
      <c r="Y61" s="29">
        <f t="shared" si="28"/>
        <v>0</v>
      </c>
      <c r="Z61" s="29">
        <f t="shared" si="28"/>
        <v>0</v>
      </c>
      <c r="AA61" s="29">
        <f t="shared" si="28"/>
        <v>0</v>
      </c>
      <c r="AB61" s="29">
        <f t="shared" si="28"/>
        <v>0</v>
      </c>
      <c r="AC61" s="29">
        <f t="shared" si="28"/>
        <v>0</v>
      </c>
      <c r="AD61" s="29">
        <f t="shared" si="28"/>
        <v>0</v>
      </c>
      <c r="AE61" s="29">
        <f t="shared" si="28"/>
        <v>0</v>
      </c>
      <c r="AF61" s="29">
        <f t="shared" si="28"/>
        <v>0</v>
      </c>
      <c r="AG61" s="29">
        <f t="shared" si="28"/>
        <v>0</v>
      </c>
      <c r="AH61" s="29">
        <f t="shared" si="28"/>
        <v>0</v>
      </c>
      <c r="AI61" s="29">
        <f t="shared" si="28"/>
        <v>0</v>
      </c>
      <c r="AJ61" s="29">
        <f t="shared" si="28"/>
        <v>0</v>
      </c>
      <c r="AK61" s="29">
        <f t="shared" si="28"/>
        <v>0</v>
      </c>
      <c r="AL61" s="29">
        <f t="shared" si="28"/>
        <v>0</v>
      </c>
      <c r="AM61" s="29">
        <f t="shared" si="28"/>
        <v>0</v>
      </c>
      <c r="AN61" s="29">
        <f t="shared" si="28"/>
        <v>0</v>
      </c>
      <c r="AO61" s="29">
        <f t="shared" si="28"/>
        <v>0</v>
      </c>
      <c r="AP61" s="29">
        <f t="shared" si="28"/>
        <v>0</v>
      </c>
      <c r="AQ61" s="29">
        <f t="shared" si="28"/>
        <v>0</v>
      </c>
      <c r="AR61" s="29">
        <f t="shared" si="28"/>
        <v>0</v>
      </c>
      <c r="AS61" s="29">
        <f t="shared" si="28"/>
        <v>0</v>
      </c>
      <c r="AT61" s="29">
        <f t="shared" si="28"/>
        <v>0</v>
      </c>
      <c r="AU61" s="29">
        <f t="shared" si="28"/>
        <v>0</v>
      </c>
      <c r="AV61" s="29">
        <f t="shared" si="28"/>
        <v>0</v>
      </c>
      <c r="AW61" s="29">
        <f t="shared" si="28"/>
        <v>0</v>
      </c>
      <c r="AX61" s="29">
        <f t="shared" si="28"/>
        <v>0</v>
      </c>
      <c r="AY61" s="29">
        <f t="shared" si="28"/>
        <v>0</v>
      </c>
      <c r="AZ61" s="29">
        <f t="shared" si="28"/>
        <v>0</v>
      </c>
      <c r="BA61" s="29">
        <f t="shared" si="28"/>
        <v>0</v>
      </c>
      <c r="BB61" s="29">
        <f t="shared" si="28"/>
        <v>0</v>
      </c>
      <c r="BC61" s="29">
        <f t="shared" si="28"/>
        <v>0</v>
      </c>
      <c r="BD61" s="29">
        <f t="shared" si="28"/>
        <v>0</v>
      </c>
      <c r="BE61" s="29">
        <f t="shared" si="28"/>
        <v>0</v>
      </c>
      <c r="BF61" s="29">
        <f t="shared" si="28"/>
        <v>0</v>
      </c>
      <c r="BG61" s="29">
        <f t="shared" si="28"/>
        <v>0</v>
      </c>
      <c r="BH61" s="29">
        <f t="shared" si="28"/>
        <v>0</v>
      </c>
      <c r="BI61" s="29">
        <f t="shared" si="28"/>
        <v>0</v>
      </c>
      <c r="BJ61" s="29">
        <f t="shared" si="28"/>
        <v>0</v>
      </c>
      <c r="BK61" s="29">
        <f t="shared" si="28"/>
        <v>0</v>
      </c>
      <c r="BL61" s="29">
        <f t="shared" si="28"/>
        <v>0</v>
      </c>
      <c r="BM61" s="29">
        <f t="shared" si="28"/>
        <v>0</v>
      </c>
      <c r="BN61" s="29">
        <f t="shared" si="28"/>
        <v>0</v>
      </c>
      <c r="BO61" s="29">
        <f t="shared" si="28"/>
        <v>0</v>
      </c>
      <c r="BP61" s="29">
        <f t="shared" si="28"/>
        <v>0</v>
      </c>
      <c r="BQ61" s="29">
        <f t="shared" si="28"/>
        <v>0</v>
      </c>
      <c r="BR61" s="29">
        <f t="shared" si="28"/>
        <v>0</v>
      </c>
      <c r="BS61" s="29">
        <f t="shared" si="28"/>
        <v>0</v>
      </c>
      <c r="BT61" s="29">
        <f t="shared" si="28"/>
        <v>0</v>
      </c>
      <c r="BU61" s="29">
        <f t="shared" si="28"/>
        <v>0</v>
      </c>
      <c r="BV61" s="29">
        <f t="shared" si="28"/>
        <v>0</v>
      </c>
      <c r="BW61" s="29">
        <f t="shared" si="28"/>
        <v>0</v>
      </c>
      <c r="BX61" s="29">
        <f t="shared" si="28"/>
        <v>0</v>
      </c>
      <c r="BY61" s="29">
        <f t="shared" si="28"/>
        <v>0</v>
      </c>
      <c r="BZ61" s="29">
        <f t="shared" si="28"/>
        <v>0</v>
      </c>
      <c r="CA61" s="29">
        <f t="shared" si="28"/>
        <v>0</v>
      </c>
      <c r="CB61" s="29">
        <f t="shared" si="28"/>
        <v>0</v>
      </c>
      <c r="CC61" s="29">
        <f t="shared" si="28"/>
        <v>0</v>
      </c>
      <c r="CD61" s="29">
        <f t="shared" si="28"/>
        <v>0</v>
      </c>
      <c r="CE61" s="29">
        <f t="shared" si="28"/>
        <v>0</v>
      </c>
      <c r="CF61" s="29">
        <f t="shared" si="28"/>
        <v>0</v>
      </c>
      <c r="CG61" s="29">
        <f t="shared" si="28"/>
        <v>0</v>
      </c>
      <c r="CH61" s="29">
        <f t="shared" si="28"/>
        <v>0</v>
      </c>
    </row>
    <row r="62" spans="1:86" ht="13">
      <c r="B62" s="15" t="str">
        <f t="shared" si="25"/>
        <v>Cumulative New Investments</v>
      </c>
      <c r="C62" s="15"/>
      <c r="D62" s="15" t="s">
        <v>247</v>
      </c>
      <c r="E62" s="29">
        <f t="shared" ca="1" si="15"/>
        <v>20212500</v>
      </c>
      <c r="F62" s="29"/>
      <c r="G62" s="29">
        <f t="shared" ref="G62:CH62" ca="1" si="29">F62+G33</f>
        <v>1203125</v>
      </c>
      <c r="H62" s="29">
        <f t="shared" ca="1" si="29"/>
        <v>2406250</v>
      </c>
      <c r="I62" s="29">
        <f t="shared" ca="1" si="29"/>
        <v>3609375</v>
      </c>
      <c r="J62" s="29">
        <f t="shared" ca="1" si="29"/>
        <v>4812500</v>
      </c>
      <c r="K62" s="29">
        <f t="shared" ca="1" si="29"/>
        <v>6015625</v>
      </c>
      <c r="L62" s="29">
        <f t="shared" ca="1" si="29"/>
        <v>7218750</v>
      </c>
      <c r="M62" s="29">
        <f t="shared" ca="1" si="29"/>
        <v>8421875</v>
      </c>
      <c r="N62" s="29">
        <f t="shared" ca="1" si="29"/>
        <v>9625000</v>
      </c>
      <c r="O62" s="29">
        <f t="shared" ca="1" si="29"/>
        <v>10828125</v>
      </c>
      <c r="P62" s="29">
        <f t="shared" ca="1" si="29"/>
        <v>12031250</v>
      </c>
      <c r="Q62" s="29">
        <f t="shared" ca="1" si="29"/>
        <v>13234375</v>
      </c>
      <c r="R62" s="29">
        <f t="shared" ca="1" si="29"/>
        <v>14437500</v>
      </c>
      <c r="S62" s="29">
        <f t="shared" ca="1" si="29"/>
        <v>15881250</v>
      </c>
      <c r="T62" s="29">
        <f t="shared" ca="1" si="29"/>
        <v>17325000</v>
      </c>
      <c r="U62" s="29">
        <f t="shared" ca="1" si="29"/>
        <v>18768750</v>
      </c>
      <c r="V62" s="29">
        <f t="shared" ca="1" si="29"/>
        <v>20212500</v>
      </c>
      <c r="W62" s="29">
        <f t="shared" ca="1" si="29"/>
        <v>20212500</v>
      </c>
      <c r="X62" s="29">
        <f t="shared" ca="1" si="29"/>
        <v>20212500</v>
      </c>
      <c r="Y62" s="29">
        <f t="shared" ca="1" si="29"/>
        <v>20212500</v>
      </c>
      <c r="Z62" s="29">
        <f t="shared" ca="1" si="29"/>
        <v>20212500</v>
      </c>
      <c r="AA62" s="29">
        <f t="shared" ca="1" si="29"/>
        <v>20212500</v>
      </c>
      <c r="AB62" s="29">
        <f t="shared" ca="1" si="29"/>
        <v>20212500</v>
      </c>
      <c r="AC62" s="29">
        <f t="shared" ca="1" si="29"/>
        <v>20212500</v>
      </c>
      <c r="AD62" s="29">
        <f t="shared" ca="1" si="29"/>
        <v>20212500</v>
      </c>
      <c r="AE62" s="29">
        <f t="shared" ca="1" si="29"/>
        <v>20212500</v>
      </c>
      <c r="AF62" s="29">
        <f t="shared" ca="1" si="29"/>
        <v>20212500</v>
      </c>
      <c r="AG62" s="29">
        <f t="shared" ca="1" si="29"/>
        <v>20212500</v>
      </c>
      <c r="AH62" s="29">
        <f t="shared" ca="1" si="29"/>
        <v>20212500</v>
      </c>
      <c r="AI62" s="29">
        <f t="shared" ca="1" si="29"/>
        <v>20212500</v>
      </c>
      <c r="AJ62" s="29">
        <f t="shared" ca="1" si="29"/>
        <v>20212500</v>
      </c>
      <c r="AK62" s="29">
        <f t="shared" ca="1" si="29"/>
        <v>20212500</v>
      </c>
      <c r="AL62" s="29">
        <f t="shared" ca="1" si="29"/>
        <v>20212500</v>
      </c>
      <c r="AM62" s="29">
        <f t="shared" ca="1" si="29"/>
        <v>20212500</v>
      </c>
      <c r="AN62" s="29">
        <f t="shared" ca="1" si="29"/>
        <v>20212500</v>
      </c>
      <c r="AO62" s="29">
        <f t="shared" ca="1" si="29"/>
        <v>20212500</v>
      </c>
      <c r="AP62" s="29">
        <f t="shared" ca="1" si="29"/>
        <v>20212500</v>
      </c>
      <c r="AQ62" s="29">
        <f t="shared" ca="1" si="29"/>
        <v>20212500</v>
      </c>
      <c r="AR62" s="29">
        <f t="shared" ca="1" si="29"/>
        <v>20212500</v>
      </c>
      <c r="AS62" s="29">
        <f t="shared" ca="1" si="29"/>
        <v>20212500</v>
      </c>
      <c r="AT62" s="29">
        <f t="shared" ca="1" si="29"/>
        <v>20212500</v>
      </c>
      <c r="AU62" s="29">
        <f t="shared" ca="1" si="29"/>
        <v>20212500</v>
      </c>
      <c r="AV62" s="29">
        <f t="shared" ca="1" si="29"/>
        <v>20212500</v>
      </c>
      <c r="AW62" s="29">
        <f t="shared" ca="1" si="29"/>
        <v>20212500</v>
      </c>
      <c r="AX62" s="29">
        <f t="shared" ca="1" si="29"/>
        <v>20212500</v>
      </c>
      <c r="AY62" s="29">
        <f t="shared" ca="1" si="29"/>
        <v>20212500</v>
      </c>
      <c r="AZ62" s="29">
        <f t="shared" ca="1" si="29"/>
        <v>20212500</v>
      </c>
      <c r="BA62" s="29">
        <f t="shared" ca="1" si="29"/>
        <v>20212500</v>
      </c>
      <c r="BB62" s="29">
        <f t="shared" ca="1" si="29"/>
        <v>20212500</v>
      </c>
      <c r="BC62" s="29">
        <f t="shared" ca="1" si="29"/>
        <v>20212500</v>
      </c>
      <c r="BD62" s="29">
        <f t="shared" ca="1" si="29"/>
        <v>20212500</v>
      </c>
      <c r="BE62" s="29">
        <f t="shared" ca="1" si="29"/>
        <v>20212500</v>
      </c>
      <c r="BF62" s="29">
        <f t="shared" ca="1" si="29"/>
        <v>20212500</v>
      </c>
      <c r="BG62" s="29">
        <f t="shared" ca="1" si="29"/>
        <v>20212500</v>
      </c>
      <c r="BH62" s="29">
        <f t="shared" ca="1" si="29"/>
        <v>20212500</v>
      </c>
      <c r="BI62" s="29">
        <f t="shared" ca="1" si="29"/>
        <v>20212500</v>
      </c>
      <c r="BJ62" s="29">
        <f t="shared" ca="1" si="29"/>
        <v>20212500</v>
      </c>
      <c r="BK62" s="29">
        <f t="shared" ca="1" si="29"/>
        <v>20212500</v>
      </c>
      <c r="BL62" s="29">
        <f t="shared" ca="1" si="29"/>
        <v>20212500</v>
      </c>
      <c r="BM62" s="29">
        <f t="shared" ca="1" si="29"/>
        <v>20212500</v>
      </c>
      <c r="BN62" s="29">
        <f t="shared" ca="1" si="29"/>
        <v>20212500</v>
      </c>
      <c r="BO62" s="29">
        <f t="shared" ca="1" si="29"/>
        <v>20212500</v>
      </c>
      <c r="BP62" s="29">
        <f t="shared" ca="1" si="29"/>
        <v>20212500</v>
      </c>
      <c r="BQ62" s="29">
        <f t="shared" ca="1" si="29"/>
        <v>20212500</v>
      </c>
      <c r="BR62" s="29">
        <f t="shared" ca="1" si="29"/>
        <v>20212500</v>
      </c>
      <c r="BS62" s="29">
        <f t="shared" ca="1" si="29"/>
        <v>20212500</v>
      </c>
      <c r="BT62" s="29">
        <f t="shared" ca="1" si="29"/>
        <v>20212500</v>
      </c>
      <c r="BU62" s="29">
        <f t="shared" ca="1" si="29"/>
        <v>20212500</v>
      </c>
      <c r="BV62" s="29">
        <f t="shared" ca="1" si="29"/>
        <v>20212500</v>
      </c>
      <c r="BW62" s="29">
        <f t="shared" ca="1" si="29"/>
        <v>20212500</v>
      </c>
      <c r="BX62" s="29">
        <f t="shared" ca="1" si="29"/>
        <v>20212500</v>
      </c>
      <c r="BY62" s="29">
        <f t="shared" ca="1" si="29"/>
        <v>20212500</v>
      </c>
      <c r="BZ62" s="29">
        <f t="shared" ca="1" si="29"/>
        <v>20212500</v>
      </c>
      <c r="CA62" s="29">
        <f t="shared" ca="1" si="29"/>
        <v>20212500</v>
      </c>
      <c r="CB62" s="29">
        <f t="shared" ca="1" si="29"/>
        <v>20212500</v>
      </c>
      <c r="CC62" s="29">
        <f t="shared" ca="1" si="29"/>
        <v>20212500</v>
      </c>
      <c r="CD62" s="29">
        <f t="shared" ca="1" si="29"/>
        <v>20212500</v>
      </c>
      <c r="CE62" s="29">
        <f t="shared" ca="1" si="29"/>
        <v>20212500</v>
      </c>
      <c r="CF62" s="29">
        <f t="shared" ca="1" si="29"/>
        <v>20212500</v>
      </c>
      <c r="CG62" s="29">
        <f t="shared" ca="1" si="29"/>
        <v>20212500</v>
      </c>
      <c r="CH62" s="29">
        <f t="shared" ca="1" si="29"/>
        <v>20212500</v>
      </c>
    </row>
    <row r="63" spans="1:86" ht="13">
      <c r="B63" s="15" t="str">
        <f t="shared" si="25"/>
        <v>Cumulative Prorata Opportunities</v>
      </c>
      <c r="C63" s="15"/>
      <c r="D63" s="15" t="s">
        <v>247</v>
      </c>
      <c r="E63" s="29">
        <f t="shared" si="15"/>
        <v>0</v>
      </c>
      <c r="F63" s="29"/>
      <c r="G63" s="29">
        <f t="shared" ref="G63:CH63" si="30">F63+G34</f>
        <v>0</v>
      </c>
      <c r="H63" s="29">
        <f t="shared" si="30"/>
        <v>0</v>
      </c>
      <c r="I63" s="29">
        <f t="shared" si="30"/>
        <v>0</v>
      </c>
      <c r="J63" s="29">
        <f t="shared" si="30"/>
        <v>0</v>
      </c>
      <c r="K63" s="29">
        <f t="shared" si="30"/>
        <v>0</v>
      </c>
      <c r="L63" s="29">
        <f t="shared" si="30"/>
        <v>0</v>
      </c>
      <c r="M63" s="29">
        <f t="shared" si="30"/>
        <v>0</v>
      </c>
      <c r="N63" s="29">
        <f t="shared" si="30"/>
        <v>0</v>
      </c>
      <c r="O63" s="29">
        <f t="shared" si="30"/>
        <v>0</v>
      </c>
      <c r="P63" s="29">
        <f t="shared" si="30"/>
        <v>0</v>
      </c>
      <c r="Q63" s="29">
        <f t="shared" si="30"/>
        <v>0</v>
      </c>
      <c r="R63" s="29">
        <f t="shared" si="30"/>
        <v>0</v>
      </c>
      <c r="S63" s="29">
        <f t="shared" si="30"/>
        <v>0</v>
      </c>
      <c r="T63" s="29">
        <f t="shared" si="30"/>
        <v>0</v>
      </c>
      <c r="U63" s="29">
        <f t="shared" si="30"/>
        <v>0</v>
      </c>
      <c r="V63" s="29">
        <f t="shared" si="30"/>
        <v>0</v>
      </c>
      <c r="W63" s="29">
        <f t="shared" si="30"/>
        <v>0</v>
      </c>
      <c r="X63" s="29">
        <f t="shared" si="30"/>
        <v>0</v>
      </c>
      <c r="Y63" s="29">
        <f t="shared" si="30"/>
        <v>0</v>
      </c>
      <c r="Z63" s="29">
        <f t="shared" si="30"/>
        <v>0</v>
      </c>
      <c r="AA63" s="29">
        <f t="shared" si="30"/>
        <v>0</v>
      </c>
      <c r="AB63" s="29">
        <f t="shared" si="30"/>
        <v>0</v>
      </c>
      <c r="AC63" s="29">
        <f t="shared" si="30"/>
        <v>0</v>
      </c>
      <c r="AD63" s="29">
        <f t="shared" si="30"/>
        <v>0</v>
      </c>
      <c r="AE63" s="29">
        <f t="shared" si="30"/>
        <v>0</v>
      </c>
      <c r="AF63" s="29">
        <f t="shared" si="30"/>
        <v>0</v>
      </c>
      <c r="AG63" s="29">
        <f t="shared" si="30"/>
        <v>0</v>
      </c>
      <c r="AH63" s="29">
        <f t="shared" si="30"/>
        <v>0</v>
      </c>
      <c r="AI63" s="29">
        <f t="shared" si="30"/>
        <v>0</v>
      </c>
      <c r="AJ63" s="29">
        <f t="shared" si="30"/>
        <v>0</v>
      </c>
      <c r="AK63" s="29">
        <f t="shared" si="30"/>
        <v>0</v>
      </c>
      <c r="AL63" s="29">
        <f t="shared" si="30"/>
        <v>0</v>
      </c>
      <c r="AM63" s="29">
        <f t="shared" si="30"/>
        <v>0</v>
      </c>
      <c r="AN63" s="29">
        <f t="shared" si="30"/>
        <v>0</v>
      </c>
      <c r="AO63" s="29">
        <f t="shared" si="30"/>
        <v>0</v>
      </c>
      <c r="AP63" s="29">
        <f t="shared" si="30"/>
        <v>0</v>
      </c>
      <c r="AQ63" s="29">
        <f t="shared" si="30"/>
        <v>0</v>
      </c>
      <c r="AR63" s="29">
        <f t="shared" si="30"/>
        <v>0</v>
      </c>
      <c r="AS63" s="29">
        <f t="shared" si="30"/>
        <v>0</v>
      </c>
      <c r="AT63" s="29">
        <f t="shared" si="30"/>
        <v>0</v>
      </c>
      <c r="AU63" s="29">
        <f t="shared" si="30"/>
        <v>0</v>
      </c>
      <c r="AV63" s="29">
        <f t="shared" si="30"/>
        <v>0</v>
      </c>
      <c r="AW63" s="29">
        <f t="shared" si="30"/>
        <v>0</v>
      </c>
      <c r="AX63" s="29">
        <f t="shared" si="30"/>
        <v>0</v>
      </c>
      <c r="AY63" s="29">
        <f t="shared" si="30"/>
        <v>0</v>
      </c>
      <c r="AZ63" s="29">
        <f t="shared" si="30"/>
        <v>0</v>
      </c>
      <c r="BA63" s="29">
        <f t="shared" si="30"/>
        <v>0</v>
      </c>
      <c r="BB63" s="29">
        <f t="shared" si="30"/>
        <v>0</v>
      </c>
      <c r="BC63" s="29">
        <f t="shared" si="30"/>
        <v>0</v>
      </c>
      <c r="BD63" s="29">
        <f t="shared" si="30"/>
        <v>0</v>
      </c>
      <c r="BE63" s="29">
        <f t="shared" si="30"/>
        <v>0</v>
      </c>
      <c r="BF63" s="29">
        <f t="shared" si="30"/>
        <v>0</v>
      </c>
      <c r="BG63" s="29">
        <f t="shared" si="30"/>
        <v>0</v>
      </c>
      <c r="BH63" s="29">
        <f t="shared" si="30"/>
        <v>0</v>
      </c>
      <c r="BI63" s="29">
        <f t="shared" si="30"/>
        <v>0</v>
      </c>
      <c r="BJ63" s="29">
        <f t="shared" si="30"/>
        <v>0</v>
      </c>
      <c r="BK63" s="29">
        <f t="shared" si="30"/>
        <v>0</v>
      </c>
      <c r="BL63" s="29">
        <f t="shared" si="30"/>
        <v>0</v>
      </c>
      <c r="BM63" s="29">
        <f t="shared" si="30"/>
        <v>0</v>
      </c>
      <c r="BN63" s="29">
        <f t="shared" si="30"/>
        <v>0</v>
      </c>
      <c r="BO63" s="29">
        <f t="shared" si="30"/>
        <v>0</v>
      </c>
      <c r="BP63" s="29">
        <f t="shared" si="30"/>
        <v>0</v>
      </c>
      <c r="BQ63" s="29">
        <f t="shared" si="30"/>
        <v>0</v>
      </c>
      <c r="BR63" s="29">
        <f t="shared" si="30"/>
        <v>0</v>
      </c>
      <c r="BS63" s="29">
        <f t="shared" si="30"/>
        <v>0</v>
      </c>
      <c r="BT63" s="29">
        <f t="shared" si="30"/>
        <v>0</v>
      </c>
      <c r="BU63" s="29">
        <f t="shared" si="30"/>
        <v>0</v>
      </c>
      <c r="BV63" s="29">
        <f t="shared" si="30"/>
        <v>0</v>
      </c>
      <c r="BW63" s="29">
        <f t="shared" si="30"/>
        <v>0</v>
      </c>
      <c r="BX63" s="29">
        <f t="shared" si="30"/>
        <v>0</v>
      </c>
      <c r="BY63" s="29">
        <f t="shared" si="30"/>
        <v>0</v>
      </c>
      <c r="BZ63" s="29">
        <f t="shared" si="30"/>
        <v>0</v>
      </c>
      <c r="CA63" s="29">
        <f t="shared" si="30"/>
        <v>0</v>
      </c>
      <c r="CB63" s="29">
        <f t="shared" si="30"/>
        <v>0</v>
      </c>
      <c r="CC63" s="29">
        <f t="shared" si="30"/>
        <v>0</v>
      </c>
      <c r="CD63" s="29">
        <f t="shared" si="30"/>
        <v>0</v>
      </c>
      <c r="CE63" s="29">
        <f t="shared" si="30"/>
        <v>0</v>
      </c>
      <c r="CF63" s="29">
        <f t="shared" si="30"/>
        <v>0</v>
      </c>
      <c r="CG63" s="29">
        <f t="shared" si="30"/>
        <v>0</v>
      </c>
      <c r="CH63" s="29">
        <f t="shared" si="30"/>
        <v>0</v>
      </c>
    </row>
    <row r="64" spans="1:86" ht="13">
      <c r="B64" s="15" t="str">
        <f t="shared" si="25"/>
        <v>Cumulative Reserves for Follow on</v>
      </c>
      <c r="C64" s="15"/>
      <c r="D64" s="15" t="s">
        <v>247</v>
      </c>
      <c r="E64" s="29">
        <f t="shared" si="15"/>
        <v>0</v>
      </c>
      <c r="F64" s="29"/>
      <c r="G64" s="29">
        <f t="shared" ref="G64:CH64" si="31">F64+G35</f>
        <v>0</v>
      </c>
      <c r="H64" s="29">
        <f t="shared" si="31"/>
        <v>0</v>
      </c>
      <c r="I64" s="29">
        <f t="shared" si="31"/>
        <v>0</v>
      </c>
      <c r="J64" s="29">
        <f t="shared" si="31"/>
        <v>0</v>
      </c>
      <c r="K64" s="29">
        <f t="shared" si="31"/>
        <v>0</v>
      </c>
      <c r="L64" s="29">
        <f t="shared" si="31"/>
        <v>0</v>
      </c>
      <c r="M64" s="29">
        <f t="shared" si="31"/>
        <v>0</v>
      </c>
      <c r="N64" s="29">
        <f t="shared" si="31"/>
        <v>0</v>
      </c>
      <c r="O64" s="29">
        <f t="shared" si="31"/>
        <v>0</v>
      </c>
      <c r="P64" s="29">
        <f t="shared" si="31"/>
        <v>0</v>
      </c>
      <c r="Q64" s="29">
        <f t="shared" si="31"/>
        <v>0</v>
      </c>
      <c r="R64" s="29">
        <f t="shared" si="31"/>
        <v>0</v>
      </c>
      <c r="S64" s="29">
        <f t="shared" si="31"/>
        <v>0</v>
      </c>
      <c r="T64" s="29">
        <f t="shared" si="31"/>
        <v>0</v>
      </c>
      <c r="U64" s="29">
        <f t="shared" si="31"/>
        <v>0</v>
      </c>
      <c r="V64" s="29">
        <f t="shared" si="31"/>
        <v>0</v>
      </c>
      <c r="W64" s="29">
        <f t="shared" si="31"/>
        <v>0</v>
      </c>
      <c r="X64" s="29">
        <f t="shared" si="31"/>
        <v>0</v>
      </c>
      <c r="Y64" s="29">
        <f t="shared" si="31"/>
        <v>0</v>
      </c>
      <c r="Z64" s="29">
        <f t="shared" si="31"/>
        <v>0</v>
      </c>
      <c r="AA64" s="29">
        <f t="shared" si="31"/>
        <v>0</v>
      </c>
      <c r="AB64" s="29">
        <f t="shared" si="31"/>
        <v>0</v>
      </c>
      <c r="AC64" s="29">
        <f t="shared" si="31"/>
        <v>0</v>
      </c>
      <c r="AD64" s="29">
        <f t="shared" si="31"/>
        <v>0</v>
      </c>
      <c r="AE64" s="29">
        <f t="shared" si="31"/>
        <v>0</v>
      </c>
      <c r="AF64" s="29">
        <f t="shared" si="31"/>
        <v>0</v>
      </c>
      <c r="AG64" s="29">
        <f t="shared" si="31"/>
        <v>0</v>
      </c>
      <c r="AH64" s="29">
        <f t="shared" si="31"/>
        <v>0</v>
      </c>
      <c r="AI64" s="29">
        <f t="shared" si="31"/>
        <v>0</v>
      </c>
      <c r="AJ64" s="29">
        <f t="shared" si="31"/>
        <v>0</v>
      </c>
      <c r="AK64" s="29">
        <f t="shared" si="31"/>
        <v>0</v>
      </c>
      <c r="AL64" s="29">
        <f t="shared" si="31"/>
        <v>0</v>
      </c>
      <c r="AM64" s="29">
        <f t="shared" si="31"/>
        <v>0</v>
      </c>
      <c r="AN64" s="29">
        <f t="shared" si="31"/>
        <v>0</v>
      </c>
      <c r="AO64" s="29">
        <f t="shared" si="31"/>
        <v>0</v>
      </c>
      <c r="AP64" s="29">
        <f t="shared" si="31"/>
        <v>0</v>
      </c>
      <c r="AQ64" s="29">
        <f t="shared" si="31"/>
        <v>0</v>
      </c>
      <c r="AR64" s="29">
        <f t="shared" si="31"/>
        <v>0</v>
      </c>
      <c r="AS64" s="29">
        <f t="shared" si="31"/>
        <v>0</v>
      </c>
      <c r="AT64" s="29">
        <f t="shared" si="31"/>
        <v>0</v>
      </c>
      <c r="AU64" s="29">
        <f t="shared" si="31"/>
        <v>0</v>
      </c>
      <c r="AV64" s="29">
        <f t="shared" si="31"/>
        <v>0</v>
      </c>
      <c r="AW64" s="29">
        <f t="shared" si="31"/>
        <v>0</v>
      </c>
      <c r="AX64" s="29">
        <f t="shared" si="31"/>
        <v>0</v>
      </c>
      <c r="AY64" s="29">
        <f t="shared" si="31"/>
        <v>0</v>
      </c>
      <c r="AZ64" s="29">
        <f t="shared" si="31"/>
        <v>0</v>
      </c>
      <c r="BA64" s="29">
        <f t="shared" si="31"/>
        <v>0</v>
      </c>
      <c r="BB64" s="29">
        <f t="shared" si="31"/>
        <v>0</v>
      </c>
      <c r="BC64" s="29">
        <f t="shared" si="31"/>
        <v>0</v>
      </c>
      <c r="BD64" s="29">
        <f t="shared" si="31"/>
        <v>0</v>
      </c>
      <c r="BE64" s="29">
        <f t="shared" si="31"/>
        <v>0</v>
      </c>
      <c r="BF64" s="29">
        <f t="shared" si="31"/>
        <v>0</v>
      </c>
      <c r="BG64" s="29">
        <f t="shared" si="31"/>
        <v>0</v>
      </c>
      <c r="BH64" s="29">
        <f t="shared" si="31"/>
        <v>0</v>
      </c>
      <c r="BI64" s="29">
        <f t="shared" si="31"/>
        <v>0</v>
      </c>
      <c r="BJ64" s="29">
        <f t="shared" si="31"/>
        <v>0</v>
      </c>
      <c r="BK64" s="29">
        <f t="shared" si="31"/>
        <v>0</v>
      </c>
      <c r="BL64" s="29">
        <f t="shared" si="31"/>
        <v>0</v>
      </c>
      <c r="BM64" s="29">
        <f t="shared" si="31"/>
        <v>0</v>
      </c>
      <c r="BN64" s="29">
        <f t="shared" si="31"/>
        <v>0</v>
      </c>
      <c r="BO64" s="29">
        <f t="shared" si="31"/>
        <v>0</v>
      </c>
      <c r="BP64" s="29">
        <f t="shared" si="31"/>
        <v>0</v>
      </c>
      <c r="BQ64" s="29">
        <f t="shared" si="31"/>
        <v>0</v>
      </c>
      <c r="BR64" s="29">
        <f t="shared" si="31"/>
        <v>0</v>
      </c>
      <c r="BS64" s="29">
        <f t="shared" si="31"/>
        <v>0</v>
      </c>
      <c r="BT64" s="29">
        <f t="shared" si="31"/>
        <v>0</v>
      </c>
      <c r="BU64" s="29">
        <f t="shared" si="31"/>
        <v>0</v>
      </c>
      <c r="BV64" s="29">
        <f t="shared" si="31"/>
        <v>0</v>
      </c>
      <c r="BW64" s="29">
        <f t="shared" si="31"/>
        <v>0</v>
      </c>
      <c r="BX64" s="29">
        <f t="shared" si="31"/>
        <v>0</v>
      </c>
      <c r="BY64" s="29">
        <f t="shared" si="31"/>
        <v>0</v>
      </c>
      <c r="BZ64" s="29">
        <f t="shared" si="31"/>
        <v>0</v>
      </c>
      <c r="CA64" s="29">
        <f t="shared" si="31"/>
        <v>0</v>
      </c>
      <c r="CB64" s="29">
        <f t="shared" si="31"/>
        <v>0</v>
      </c>
      <c r="CC64" s="29">
        <f t="shared" si="31"/>
        <v>0</v>
      </c>
      <c r="CD64" s="29">
        <f t="shared" si="31"/>
        <v>0</v>
      </c>
      <c r="CE64" s="29">
        <f t="shared" si="31"/>
        <v>0</v>
      </c>
      <c r="CF64" s="29">
        <f t="shared" si="31"/>
        <v>0</v>
      </c>
      <c r="CG64" s="29">
        <f t="shared" si="31"/>
        <v>0</v>
      </c>
      <c r="CH64" s="29">
        <f t="shared" si="31"/>
        <v>0</v>
      </c>
    </row>
    <row r="65" spans="2:86" ht="13">
      <c r="B65" s="15" t="str">
        <f t="shared" si="25"/>
        <v>Cumulative Follow on Investments</v>
      </c>
      <c r="C65" s="15"/>
      <c r="D65" s="15" t="s">
        <v>247</v>
      </c>
      <c r="E65" s="29">
        <f t="shared" ca="1" si="15"/>
        <v>0</v>
      </c>
      <c r="F65" s="29"/>
      <c r="G65" s="29">
        <f t="shared" ref="G65:CH65" ca="1" si="32">F65+G36</f>
        <v>0</v>
      </c>
      <c r="H65" s="29">
        <f t="shared" ca="1" si="32"/>
        <v>0</v>
      </c>
      <c r="I65" s="29">
        <f t="shared" ca="1" si="32"/>
        <v>0</v>
      </c>
      <c r="J65" s="29">
        <f t="shared" ca="1" si="32"/>
        <v>0</v>
      </c>
      <c r="K65" s="29">
        <f t="shared" ca="1" si="32"/>
        <v>0</v>
      </c>
      <c r="L65" s="29">
        <f t="shared" ca="1" si="32"/>
        <v>0</v>
      </c>
      <c r="M65" s="29">
        <f t="shared" ca="1" si="32"/>
        <v>0</v>
      </c>
      <c r="N65" s="29">
        <f t="shared" ca="1" si="32"/>
        <v>0</v>
      </c>
      <c r="O65" s="29">
        <f t="shared" ca="1" si="32"/>
        <v>0</v>
      </c>
      <c r="P65" s="29">
        <f t="shared" ca="1" si="32"/>
        <v>0</v>
      </c>
      <c r="Q65" s="29">
        <f t="shared" ca="1" si="32"/>
        <v>0</v>
      </c>
      <c r="R65" s="29">
        <f t="shared" ca="1" si="32"/>
        <v>0</v>
      </c>
      <c r="S65" s="29">
        <f t="shared" ca="1" si="32"/>
        <v>0</v>
      </c>
      <c r="T65" s="29">
        <f t="shared" ca="1" si="32"/>
        <v>0</v>
      </c>
      <c r="U65" s="29">
        <f t="shared" ca="1" si="32"/>
        <v>0</v>
      </c>
      <c r="V65" s="29">
        <f t="shared" ca="1" si="32"/>
        <v>0</v>
      </c>
      <c r="W65" s="29">
        <f t="shared" ca="1" si="32"/>
        <v>0</v>
      </c>
      <c r="X65" s="29">
        <f t="shared" ca="1" si="32"/>
        <v>0</v>
      </c>
      <c r="Y65" s="29">
        <f t="shared" ca="1" si="32"/>
        <v>0</v>
      </c>
      <c r="Z65" s="29">
        <f t="shared" ca="1" si="32"/>
        <v>0</v>
      </c>
      <c r="AA65" s="29">
        <f t="shared" ca="1" si="32"/>
        <v>0</v>
      </c>
      <c r="AB65" s="29">
        <f t="shared" ca="1" si="32"/>
        <v>0</v>
      </c>
      <c r="AC65" s="29">
        <f t="shared" ca="1" si="32"/>
        <v>0</v>
      </c>
      <c r="AD65" s="29">
        <f t="shared" ca="1" si="32"/>
        <v>0</v>
      </c>
      <c r="AE65" s="29">
        <f t="shared" ca="1" si="32"/>
        <v>0</v>
      </c>
      <c r="AF65" s="29">
        <f t="shared" ca="1" si="32"/>
        <v>0</v>
      </c>
      <c r="AG65" s="29">
        <f t="shared" ca="1" si="32"/>
        <v>0</v>
      </c>
      <c r="AH65" s="29">
        <f t="shared" ca="1" si="32"/>
        <v>0</v>
      </c>
      <c r="AI65" s="29">
        <f t="shared" ca="1" si="32"/>
        <v>0</v>
      </c>
      <c r="AJ65" s="29">
        <f t="shared" ca="1" si="32"/>
        <v>0</v>
      </c>
      <c r="AK65" s="29">
        <f t="shared" ca="1" si="32"/>
        <v>0</v>
      </c>
      <c r="AL65" s="29">
        <f t="shared" ca="1" si="32"/>
        <v>0</v>
      </c>
      <c r="AM65" s="29">
        <f t="shared" ca="1" si="32"/>
        <v>0</v>
      </c>
      <c r="AN65" s="29">
        <f t="shared" ca="1" si="32"/>
        <v>0</v>
      </c>
      <c r="AO65" s="29">
        <f t="shared" ca="1" si="32"/>
        <v>0</v>
      </c>
      <c r="AP65" s="29">
        <f t="shared" ca="1" si="32"/>
        <v>0</v>
      </c>
      <c r="AQ65" s="29">
        <f t="shared" ca="1" si="32"/>
        <v>0</v>
      </c>
      <c r="AR65" s="29">
        <f t="shared" ca="1" si="32"/>
        <v>0</v>
      </c>
      <c r="AS65" s="29">
        <f t="shared" ca="1" si="32"/>
        <v>0</v>
      </c>
      <c r="AT65" s="29">
        <f t="shared" ca="1" si="32"/>
        <v>0</v>
      </c>
      <c r="AU65" s="29">
        <f t="shared" ca="1" si="32"/>
        <v>0</v>
      </c>
      <c r="AV65" s="29">
        <f t="shared" ca="1" si="32"/>
        <v>0</v>
      </c>
      <c r="AW65" s="29">
        <f t="shared" ca="1" si="32"/>
        <v>0</v>
      </c>
      <c r="AX65" s="29">
        <f t="shared" ca="1" si="32"/>
        <v>0</v>
      </c>
      <c r="AY65" s="29">
        <f t="shared" ca="1" si="32"/>
        <v>0</v>
      </c>
      <c r="AZ65" s="29">
        <f t="shared" ca="1" si="32"/>
        <v>0</v>
      </c>
      <c r="BA65" s="29">
        <f t="shared" ca="1" si="32"/>
        <v>0</v>
      </c>
      <c r="BB65" s="29">
        <f t="shared" ca="1" si="32"/>
        <v>0</v>
      </c>
      <c r="BC65" s="29">
        <f t="shared" ca="1" si="32"/>
        <v>0</v>
      </c>
      <c r="BD65" s="29">
        <f t="shared" ca="1" si="32"/>
        <v>0</v>
      </c>
      <c r="BE65" s="29">
        <f t="shared" ca="1" si="32"/>
        <v>0</v>
      </c>
      <c r="BF65" s="29">
        <f t="shared" ca="1" si="32"/>
        <v>0</v>
      </c>
      <c r="BG65" s="29">
        <f t="shared" ca="1" si="32"/>
        <v>0</v>
      </c>
      <c r="BH65" s="29">
        <f t="shared" ca="1" si="32"/>
        <v>0</v>
      </c>
      <c r="BI65" s="29">
        <f t="shared" ca="1" si="32"/>
        <v>0</v>
      </c>
      <c r="BJ65" s="29">
        <f t="shared" ca="1" si="32"/>
        <v>0</v>
      </c>
      <c r="BK65" s="29">
        <f t="shared" ca="1" si="32"/>
        <v>0</v>
      </c>
      <c r="BL65" s="29">
        <f t="shared" ca="1" si="32"/>
        <v>0</v>
      </c>
      <c r="BM65" s="29">
        <f t="shared" ca="1" si="32"/>
        <v>0</v>
      </c>
      <c r="BN65" s="29">
        <f t="shared" ca="1" si="32"/>
        <v>0</v>
      </c>
      <c r="BO65" s="29">
        <f t="shared" ca="1" si="32"/>
        <v>0</v>
      </c>
      <c r="BP65" s="29">
        <f t="shared" ca="1" si="32"/>
        <v>0</v>
      </c>
      <c r="BQ65" s="29">
        <f t="shared" ca="1" si="32"/>
        <v>0</v>
      </c>
      <c r="BR65" s="29">
        <f t="shared" ca="1" si="32"/>
        <v>0</v>
      </c>
      <c r="BS65" s="29">
        <f t="shared" ca="1" si="32"/>
        <v>0</v>
      </c>
      <c r="BT65" s="29">
        <f t="shared" ca="1" si="32"/>
        <v>0</v>
      </c>
      <c r="BU65" s="29">
        <f t="shared" ca="1" si="32"/>
        <v>0</v>
      </c>
      <c r="BV65" s="29">
        <f t="shared" ca="1" si="32"/>
        <v>0</v>
      </c>
      <c r="BW65" s="29">
        <f t="shared" ca="1" si="32"/>
        <v>0</v>
      </c>
      <c r="BX65" s="29">
        <f t="shared" ca="1" si="32"/>
        <v>0</v>
      </c>
      <c r="BY65" s="29">
        <f t="shared" ca="1" si="32"/>
        <v>0</v>
      </c>
      <c r="BZ65" s="29">
        <f t="shared" ca="1" si="32"/>
        <v>0</v>
      </c>
      <c r="CA65" s="29">
        <f t="shared" ca="1" si="32"/>
        <v>0</v>
      </c>
      <c r="CB65" s="29">
        <f t="shared" ca="1" si="32"/>
        <v>0</v>
      </c>
      <c r="CC65" s="29">
        <f t="shared" ca="1" si="32"/>
        <v>0</v>
      </c>
      <c r="CD65" s="29">
        <f t="shared" ca="1" si="32"/>
        <v>0</v>
      </c>
      <c r="CE65" s="29">
        <f t="shared" ca="1" si="32"/>
        <v>0</v>
      </c>
      <c r="CF65" s="29">
        <f t="shared" ca="1" si="32"/>
        <v>0</v>
      </c>
      <c r="CG65" s="29">
        <f t="shared" ca="1" si="32"/>
        <v>0</v>
      </c>
      <c r="CH65" s="29">
        <f t="shared" ca="1" si="32"/>
        <v>0</v>
      </c>
    </row>
    <row r="66" spans="2:86" ht="13">
      <c r="B66" s="15" t="str">
        <f t="shared" si="25"/>
        <v>Cumulative Total Investments, by cohort of New Investments</v>
      </c>
      <c r="C66" s="15"/>
      <c r="D66" s="15" t="s">
        <v>247</v>
      </c>
      <c r="E66" s="29">
        <f t="shared" ca="1" si="15"/>
        <v>20212500</v>
      </c>
      <c r="F66" s="29"/>
      <c r="G66" s="29">
        <f t="shared" ref="G66:CH66" ca="1" si="33">F66+G37</f>
        <v>1203125</v>
      </c>
      <c r="H66" s="29">
        <f t="shared" ca="1" si="33"/>
        <v>2406250</v>
      </c>
      <c r="I66" s="29">
        <f t="shared" ca="1" si="33"/>
        <v>3609375</v>
      </c>
      <c r="J66" s="29">
        <f t="shared" ca="1" si="33"/>
        <v>4812500</v>
      </c>
      <c r="K66" s="29">
        <f t="shared" ca="1" si="33"/>
        <v>6015625</v>
      </c>
      <c r="L66" s="29">
        <f t="shared" ca="1" si="33"/>
        <v>7218750</v>
      </c>
      <c r="M66" s="29">
        <f t="shared" ca="1" si="33"/>
        <v>8421875</v>
      </c>
      <c r="N66" s="29">
        <f t="shared" ca="1" si="33"/>
        <v>9625000</v>
      </c>
      <c r="O66" s="29">
        <f t="shared" ca="1" si="33"/>
        <v>10828125</v>
      </c>
      <c r="P66" s="29">
        <f t="shared" ca="1" si="33"/>
        <v>12031250</v>
      </c>
      <c r="Q66" s="29">
        <f t="shared" ca="1" si="33"/>
        <v>13234375</v>
      </c>
      <c r="R66" s="29">
        <f t="shared" ca="1" si="33"/>
        <v>14437500</v>
      </c>
      <c r="S66" s="29">
        <f t="shared" ca="1" si="33"/>
        <v>15881250</v>
      </c>
      <c r="T66" s="29">
        <f t="shared" ca="1" si="33"/>
        <v>17325000</v>
      </c>
      <c r="U66" s="29">
        <f t="shared" ca="1" si="33"/>
        <v>18768750</v>
      </c>
      <c r="V66" s="29">
        <f t="shared" ca="1" si="33"/>
        <v>20212500</v>
      </c>
      <c r="W66" s="29">
        <f t="shared" ca="1" si="33"/>
        <v>20212500</v>
      </c>
      <c r="X66" s="29">
        <f t="shared" ca="1" si="33"/>
        <v>20212500</v>
      </c>
      <c r="Y66" s="29">
        <f t="shared" ca="1" si="33"/>
        <v>20212500</v>
      </c>
      <c r="Z66" s="29">
        <f t="shared" ca="1" si="33"/>
        <v>20212500</v>
      </c>
      <c r="AA66" s="29">
        <f t="shared" ca="1" si="33"/>
        <v>20212500</v>
      </c>
      <c r="AB66" s="29">
        <f t="shared" ca="1" si="33"/>
        <v>20212500</v>
      </c>
      <c r="AC66" s="29">
        <f t="shared" ca="1" si="33"/>
        <v>20212500</v>
      </c>
      <c r="AD66" s="29">
        <f t="shared" ca="1" si="33"/>
        <v>20212500</v>
      </c>
      <c r="AE66" s="29">
        <f t="shared" ca="1" si="33"/>
        <v>20212500</v>
      </c>
      <c r="AF66" s="29">
        <f t="shared" ca="1" si="33"/>
        <v>20212500</v>
      </c>
      <c r="AG66" s="29">
        <f t="shared" ca="1" si="33"/>
        <v>20212500</v>
      </c>
      <c r="AH66" s="29">
        <f t="shared" ca="1" si="33"/>
        <v>20212500</v>
      </c>
      <c r="AI66" s="29">
        <f t="shared" ca="1" si="33"/>
        <v>20212500</v>
      </c>
      <c r="AJ66" s="29">
        <f t="shared" ca="1" si="33"/>
        <v>20212500</v>
      </c>
      <c r="AK66" s="29">
        <f t="shared" ca="1" si="33"/>
        <v>20212500</v>
      </c>
      <c r="AL66" s="29">
        <f t="shared" ca="1" si="33"/>
        <v>20212500</v>
      </c>
      <c r="AM66" s="29">
        <f t="shared" ca="1" si="33"/>
        <v>20212500</v>
      </c>
      <c r="AN66" s="29">
        <f t="shared" ca="1" si="33"/>
        <v>20212500</v>
      </c>
      <c r="AO66" s="29">
        <f t="shared" ca="1" si="33"/>
        <v>20212500</v>
      </c>
      <c r="AP66" s="29">
        <f t="shared" ca="1" si="33"/>
        <v>20212500</v>
      </c>
      <c r="AQ66" s="29">
        <f t="shared" ca="1" si="33"/>
        <v>20212500</v>
      </c>
      <c r="AR66" s="29">
        <f t="shared" ca="1" si="33"/>
        <v>20212500</v>
      </c>
      <c r="AS66" s="29">
        <f t="shared" ca="1" si="33"/>
        <v>20212500</v>
      </c>
      <c r="AT66" s="29">
        <f t="shared" ca="1" si="33"/>
        <v>20212500</v>
      </c>
      <c r="AU66" s="29">
        <f t="shared" ca="1" si="33"/>
        <v>20212500</v>
      </c>
      <c r="AV66" s="29">
        <f t="shared" ca="1" si="33"/>
        <v>20212500</v>
      </c>
      <c r="AW66" s="29">
        <f t="shared" ca="1" si="33"/>
        <v>20212500</v>
      </c>
      <c r="AX66" s="29">
        <f t="shared" ca="1" si="33"/>
        <v>20212500</v>
      </c>
      <c r="AY66" s="29">
        <f t="shared" ca="1" si="33"/>
        <v>20212500</v>
      </c>
      <c r="AZ66" s="29">
        <f t="shared" ca="1" si="33"/>
        <v>20212500</v>
      </c>
      <c r="BA66" s="29">
        <f t="shared" ca="1" si="33"/>
        <v>20212500</v>
      </c>
      <c r="BB66" s="29">
        <f t="shared" ca="1" si="33"/>
        <v>20212500</v>
      </c>
      <c r="BC66" s="29">
        <f t="shared" ca="1" si="33"/>
        <v>20212500</v>
      </c>
      <c r="BD66" s="29">
        <f t="shared" ca="1" si="33"/>
        <v>20212500</v>
      </c>
      <c r="BE66" s="29">
        <f t="shared" ca="1" si="33"/>
        <v>20212500</v>
      </c>
      <c r="BF66" s="29">
        <f t="shared" ca="1" si="33"/>
        <v>20212500</v>
      </c>
      <c r="BG66" s="29">
        <f t="shared" ca="1" si="33"/>
        <v>20212500</v>
      </c>
      <c r="BH66" s="29">
        <f t="shared" ca="1" si="33"/>
        <v>20212500</v>
      </c>
      <c r="BI66" s="29">
        <f t="shared" ca="1" si="33"/>
        <v>20212500</v>
      </c>
      <c r="BJ66" s="29">
        <f t="shared" ca="1" si="33"/>
        <v>20212500</v>
      </c>
      <c r="BK66" s="29">
        <f t="shared" ca="1" si="33"/>
        <v>20212500</v>
      </c>
      <c r="BL66" s="29">
        <f t="shared" ca="1" si="33"/>
        <v>20212500</v>
      </c>
      <c r="BM66" s="29">
        <f t="shared" ca="1" si="33"/>
        <v>20212500</v>
      </c>
      <c r="BN66" s="29">
        <f t="shared" ca="1" si="33"/>
        <v>20212500</v>
      </c>
      <c r="BO66" s="29">
        <f t="shared" ca="1" si="33"/>
        <v>20212500</v>
      </c>
      <c r="BP66" s="29">
        <f t="shared" ca="1" si="33"/>
        <v>20212500</v>
      </c>
      <c r="BQ66" s="29">
        <f t="shared" ca="1" si="33"/>
        <v>20212500</v>
      </c>
      <c r="BR66" s="29">
        <f t="shared" ca="1" si="33"/>
        <v>20212500</v>
      </c>
      <c r="BS66" s="29">
        <f t="shared" ca="1" si="33"/>
        <v>20212500</v>
      </c>
      <c r="BT66" s="29">
        <f t="shared" ca="1" si="33"/>
        <v>20212500</v>
      </c>
      <c r="BU66" s="29">
        <f t="shared" ca="1" si="33"/>
        <v>20212500</v>
      </c>
      <c r="BV66" s="29">
        <f t="shared" ca="1" si="33"/>
        <v>20212500</v>
      </c>
      <c r="BW66" s="29">
        <f t="shared" ca="1" si="33"/>
        <v>20212500</v>
      </c>
      <c r="BX66" s="29">
        <f t="shared" ca="1" si="33"/>
        <v>20212500</v>
      </c>
      <c r="BY66" s="29">
        <f t="shared" ca="1" si="33"/>
        <v>20212500</v>
      </c>
      <c r="BZ66" s="29">
        <f t="shared" ca="1" si="33"/>
        <v>20212500</v>
      </c>
      <c r="CA66" s="29">
        <f t="shared" ca="1" si="33"/>
        <v>20212500</v>
      </c>
      <c r="CB66" s="29">
        <f t="shared" ca="1" si="33"/>
        <v>20212500</v>
      </c>
      <c r="CC66" s="29">
        <f t="shared" ca="1" si="33"/>
        <v>20212500</v>
      </c>
      <c r="CD66" s="29">
        <f t="shared" ca="1" si="33"/>
        <v>20212500</v>
      </c>
      <c r="CE66" s="29">
        <f t="shared" ca="1" si="33"/>
        <v>20212500</v>
      </c>
      <c r="CF66" s="29">
        <f t="shared" ca="1" si="33"/>
        <v>20212500</v>
      </c>
      <c r="CG66" s="29">
        <f t="shared" ca="1" si="33"/>
        <v>20212500</v>
      </c>
      <c r="CH66" s="29">
        <f t="shared" ca="1" si="33"/>
        <v>20212500</v>
      </c>
    </row>
    <row r="67" spans="2:86" ht="13">
      <c r="B67" s="15" t="str">
        <f t="shared" si="25"/>
        <v>Cumulative Total Investments</v>
      </c>
      <c r="C67" s="15"/>
      <c r="D67" s="15" t="s">
        <v>247</v>
      </c>
      <c r="E67" s="29">
        <f t="shared" ca="1" si="15"/>
        <v>20212500</v>
      </c>
      <c r="F67" s="29"/>
      <c r="G67" s="29">
        <f t="shared" ref="G67:CH67" ca="1" si="34">F67+G38</f>
        <v>1203125</v>
      </c>
      <c r="H67" s="29">
        <f t="shared" ca="1" si="34"/>
        <v>2406250</v>
      </c>
      <c r="I67" s="29">
        <f t="shared" ca="1" si="34"/>
        <v>3609375</v>
      </c>
      <c r="J67" s="29">
        <f t="shared" ca="1" si="34"/>
        <v>4812500</v>
      </c>
      <c r="K67" s="29">
        <f t="shared" ca="1" si="34"/>
        <v>6015625</v>
      </c>
      <c r="L67" s="29">
        <f t="shared" ca="1" si="34"/>
        <v>7218750</v>
      </c>
      <c r="M67" s="29">
        <f t="shared" ca="1" si="34"/>
        <v>8421875</v>
      </c>
      <c r="N67" s="29">
        <f t="shared" ca="1" si="34"/>
        <v>9625000</v>
      </c>
      <c r="O67" s="29">
        <f t="shared" ca="1" si="34"/>
        <v>10828125</v>
      </c>
      <c r="P67" s="29">
        <f t="shared" ca="1" si="34"/>
        <v>12031250</v>
      </c>
      <c r="Q67" s="29">
        <f t="shared" ca="1" si="34"/>
        <v>13234375</v>
      </c>
      <c r="R67" s="29">
        <f t="shared" ca="1" si="34"/>
        <v>14437500</v>
      </c>
      <c r="S67" s="29">
        <f t="shared" ca="1" si="34"/>
        <v>15881250</v>
      </c>
      <c r="T67" s="29">
        <f t="shared" ca="1" si="34"/>
        <v>17325000</v>
      </c>
      <c r="U67" s="29">
        <f t="shared" ca="1" si="34"/>
        <v>18768750</v>
      </c>
      <c r="V67" s="29">
        <f t="shared" ca="1" si="34"/>
        <v>20212500</v>
      </c>
      <c r="W67" s="29">
        <f t="shared" ca="1" si="34"/>
        <v>20212500</v>
      </c>
      <c r="X67" s="29">
        <f t="shared" ca="1" si="34"/>
        <v>20212500</v>
      </c>
      <c r="Y67" s="29">
        <f t="shared" ca="1" si="34"/>
        <v>20212500</v>
      </c>
      <c r="Z67" s="29">
        <f t="shared" ca="1" si="34"/>
        <v>20212500</v>
      </c>
      <c r="AA67" s="29">
        <f t="shared" ca="1" si="34"/>
        <v>20212500</v>
      </c>
      <c r="AB67" s="29">
        <f t="shared" ca="1" si="34"/>
        <v>20212500</v>
      </c>
      <c r="AC67" s="29">
        <f t="shared" ca="1" si="34"/>
        <v>20212500</v>
      </c>
      <c r="AD67" s="29">
        <f t="shared" ca="1" si="34"/>
        <v>20212500</v>
      </c>
      <c r="AE67" s="29">
        <f t="shared" ca="1" si="34"/>
        <v>20212500</v>
      </c>
      <c r="AF67" s="29">
        <f t="shared" ca="1" si="34"/>
        <v>20212500</v>
      </c>
      <c r="AG67" s="29">
        <f t="shared" ca="1" si="34"/>
        <v>20212500</v>
      </c>
      <c r="AH67" s="29">
        <f t="shared" ca="1" si="34"/>
        <v>20212500</v>
      </c>
      <c r="AI67" s="29">
        <f t="shared" ca="1" si="34"/>
        <v>20212500</v>
      </c>
      <c r="AJ67" s="29">
        <f t="shared" ca="1" si="34"/>
        <v>20212500</v>
      </c>
      <c r="AK67" s="29">
        <f t="shared" ca="1" si="34"/>
        <v>20212500</v>
      </c>
      <c r="AL67" s="29">
        <f t="shared" ca="1" si="34"/>
        <v>20212500</v>
      </c>
      <c r="AM67" s="29">
        <f t="shared" ca="1" si="34"/>
        <v>20212500</v>
      </c>
      <c r="AN67" s="29">
        <f t="shared" ca="1" si="34"/>
        <v>20212500</v>
      </c>
      <c r="AO67" s="29">
        <f t="shared" ca="1" si="34"/>
        <v>20212500</v>
      </c>
      <c r="AP67" s="29">
        <f t="shared" ca="1" si="34"/>
        <v>20212500</v>
      </c>
      <c r="AQ67" s="29">
        <f t="shared" ca="1" si="34"/>
        <v>20212500</v>
      </c>
      <c r="AR67" s="29">
        <f t="shared" ca="1" si="34"/>
        <v>20212500</v>
      </c>
      <c r="AS67" s="29">
        <f t="shared" ca="1" si="34"/>
        <v>20212500</v>
      </c>
      <c r="AT67" s="29">
        <f t="shared" ca="1" si="34"/>
        <v>20212500</v>
      </c>
      <c r="AU67" s="29">
        <f t="shared" ca="1" si="34"/>
        <v>20212500</v>
      </c>
      <c r="AV67" s="29">
        <f t="shared" ca="1" si="34"/>
        <v>20212500</v>
      </c>
      <c r="AW67" s="29">
        <f t="shared" ca="1" si="34"/>
        <v>20212500</v>
      </c>
      <c r="AX67" s="29">
        <f t="shared" ca="1" si="34"/>
        <v>20212500</v>
      </c>
      <c r="AY67" s="29">
        <f t="shared" ca="1" si="34"/>
        <v>20212500</v>
      </c>
      <c r="AZ67" s="29">
        <f t="shared" ca="1" si="34"/>
        <v>20212500</v>
      </c>
      <c r="BA67" s="29">
        <f t="shared" ca="1" si="34"/>
        <v>20212500</v>
      </c>
      <c r="BB67" s="29">
        <f t="shared" ca="1" si="34"/>
        <v>20212500</v>
      </c>
      <c r="BC67" s="29">
        <f t="shared" ca="1" si="34"/>
        <v>20212500</v>
      </c>
      <c r="BD67" s="29">
        <f t="shared" ca="1" si="34"/>
        <v>20212500</v>
      </c>
      <c r="BE67" s="29">
        <f t="shared" ca="1" si="34"/>
        <v>20212500</v>
      </c>
      <c r="BF67" s="29">
        <f t="shared" ca="1" si="34"/>
        <v>20212500</v>
      </c>
      <c r="BG67" s="29">
        <f t="shared" ca="1" si="34"/>
        <v>20212500</v>
      </c>
      <c r="BH67" s="29">
        <f t="shared" ca="1" si="34"/>
        <v>20212500</v>
      </c>
      <c r="BI67" s="29">
        <f t="shared" ca="1" si="34"/>
        <v>20212500</v>
      </c>
      <c r="BJ67" s="29">
        <f t="shared" ca="1" si="34"/>
        <v>20212500</v>
      </c>
      <c r="BK67" s="29">
        <f t="shared" ca="1" si="34"/>
        <v>20212500</v>
      </c>
      <c r="BL67" s="29">
        <f t="shared" ca="1" si="34"/>
        <v>20212500</v>
      </c>
      <c r="BM67" s="29">
        <f t="shared" ca="1" si="34"/>
        <v>20212500</v>
      </c>
      <c r="BN67" s="29">
        <f t="shared" ca="1" si="34"/>
        <v>20212500</v>
      </c>
      <c r="BO67" s="29">
        <f t="shared" ca="1" si="34"/>
        <v>20212500</v>
      </c>
      <c r="BP67" s="29">
        <f t="shared" ca="1" si="34"/>
        <v>20212500</v>
      </c>
      <c r="BQ67" s="29">
        <f t="shared" ca="1" si="34"/>
        <v>20212500</v>
      </c>
      <c r="BR67" s="29">
        <f t="shared" ca="1" si="34"/>
        <v>20212500</v>
      </c>
      <c r="BS67" s="29">
        <f t="shared" ca="1" si="34"/>
        <v>20212500</v>
      </c>
      <c r="BT67" s="29">
        <f t="shared" ca="1" si="34"/>
        <v>20212500</v>
      </c>
      <c r="BU67" s="29">
        <f t="shared" ca="1" si="34"/>
        <v>20212500</v>
      </c>
      <c r="BV67" s="29">
        <f t="shared" ca="1" si="34"/>
        <v>20212500</v>
      </c>
      <c r="BW67" s="29">
        <f t="shared" ca="1" si="34"/>
        <v>20212500</v>
      </c>
      <c r="BX67" s="29">
        <f t="shared" ca="1" si="34"/>
        <v>20212500</v>
      </c>
      <c r="BY67" s="29">
        <f t="shared" ca="1" si="34"/>
        <v>20212500</v>
      </c>
      <c r="BZ67" s="29">
        <f t="shared" ca="1" si="34"/>
        <v>20212500</v>
      </c>
      <c r="CA67" s="29">
        <f t="shared" ca="1" si="34"/>
        <v>20212500</v>
      </c>
      <c r="CB67" s="29">
        <f t="shared" ca="1" si="34"/>
        <v>20212500</v>
      </c>
      <c r="CC67" s="29">
        <f t="shared" ca="1" si="34"/>
        <v>20212500</v>
      </c>
      <c r="CD67" s="29">
        <f t="shared" ca="1" si="34"/>
        <v>20212500</v>
      </c>
      <c r="CE67" s="29">
        <f t="shared" ca="1" si="34"/>
        <v>20212500</v>
      </c>
      <c r="CF67" s="29">
        <f t="shared" ca="1" si="34"/>
        <v>20212500</v>
      </c>
      <c r="CG67" s="29">
        <f t="shared" ca="1" si="34"/>
        <v>20212500</v>
      </c>
      <c r="CH67" s="29">
        <f t="shared" ca="1" si="34"/>
        <v>20212500</v>
      </c>
    </row>
    <row r="68" spans="2:86" ht="13">
      <c r="B68" s="15" t="str">
        <f t="shared" si="25"/>
        <v>Cumulative Organizational Expenses</v>
      </c>
      <c r="C68" s="15"/>
      <c r="D68" s="15" t="s">
        <v>247</v>
      </c>
      <c r="E68" s="29">
        <f t="shared" si="15"/>
        <v>100000</v>
      </c>
      <c r="F68" s="29"/>
      <c r="G68" s="29">
        <f t="shared" ref="G68:CH68" si="35">F68+G39</f>
        <v>100000</v>
      </c>
      <c r="H68" s="29">
        <f t="shared" si="35"/>
        <v>100000</v>
      </c>
      <c r="I68" s="29">
        <f t="shared" si="35"/>
        <v>100000</v>
      </c>
      <c r="J68" s="29">
        <f t="shared" si="35"/>
        <v>100000</v>
      </c>
      <c r="K68" s="29">
        <f t="shared" si="35"/>
        <v>100000</v>
      </c>
      <c r="L68" s="29">
        <f t="shared" si="35"/>
        <v>100000</v>
      </c>
      <c r="M68" s="29">
        <f t="shared" si="35"/>
        <v>100000</v>
      </c>
      <c r="N68" s="29">
        <f t="shared" si="35"/>
        <v>100000</v>
      </c>
      <c r="O68" s="29">
        <f t="shared" si="35"/>
        <v>100000</v>
      </c>
      <c r="P68" s="29">
        <f t="shared" si="35"/>
        <v>100000</v>
      </c>
      <c r="Q68" s="29">
        <f t="shared" si="35"/>
        <v>100000</v>
      </c>
      <c r="R68" s="29">
        <f t="shared" si="35"/>
        <v>100000</v>
      </c>
      <c r="S68" s="29">
        <f t="shared" si="35"/>
        <v>100000</v>
      </c>
      <c r="T68" s="29">
        <f t="shared" si="35"/>
        <v>100000</v>
      </c>
      <c r="U68" s="29">
        <f t="shared" si="35"/>
        <v>100000</v>
      </c>
      <c r="V68" s="29">
        <f t="shared" si="35"/>
        <v>100000</v>
      </c>
      <c r="W68" s="29">
        <f t="shared" si="35"/>
        <v>100000</v>
      </c>
      <c r="X68" s="29">
        <f t="shared" si="35"/>
        <v>100000</v>
      </c>
      <c r="Y68" s="29">
        <f t="shared" si="35"/>
        <v>100000</v>
      </c>
      <c r="Z68" s="29">
        <f t="shared" si="35"/>
        <v>100000</v>
      </c>
      <c r="AA68" s="29">
        <f t="shared" si="35"/>
        <v>100000</v>
      </c>
      <c r="AB68" s="29">
        <f t="shared" si="35"/>
        <v>100000</v>
      </c>
      <c r="AC68" s="29">
        <f t="shared" si="35"/>
        <v>100000</v>
      </c>
      <c r="AD68" s="29">
        <f t="shared" si="35"/>
        <v>100000</v>
      </c>
      <c r="AE68" s="29">
        <f t="shared" si="35"/>
        <v>100000</v>
      </c>
      <c r="AF68" s="29">
        <f t="shared" si="35"/>
        <v>100000</v>
      </c>
      <c r="AG68" s="29">
        <f t="shared" si="35"/>
        <v>100000</v>
      </c>
      <c r="AH68" s="29">
        <f t="shared" si="35"/>
        <v>100000</v>
      </c>
      <c r="AI68" s="29">
        <f t="shared" si="35"/>
        <v>100000</v>
      </c>
      <c r="AJ68" s="29">
        <f t="shared" si="35"/>
        <v>100000</v>
      </c>
      <c r="AK68" s="29">
        <f t="shared" si="35"/>
        <v>100000</v>
      </c>
      <c r="AL68" s="29">
        <f t="shared" si="35"/>
        <v>100000</v>
      </c>
      <c r="AM68" s="29">
        <f t="shared" si="35"/>
        <v>100000</v>
      </c>
      <c r="AN68" s="29">
        <f t="shared" si="35"/>
        <v>100000</v>
      </c>
      <c r="AO68" s="29">
        <f t="shared" si="35"/>
        <v>100000</v>
      </c>
      <c r="AP68" s="29">
        <f t="shared" si="35"/>
        <v>100000</v>
      </c>
      <c r="AQ68" s="29">
        <f t="shared" si="35"/>
        <v>100000</v>
      </c>
      <c r="AR68" s="29">
        <f t="shared" si="35"/>
        <v>100000</v>
      </c>
      <c r="AS68" s="29">
        <f t="shared" si="35"/>
        <v>100000</v>
      </c>
      <c r="AT68" s="29">
        <f t="shared" si="35"/>
        <v>100000</v>
      </c>
      <c r="AU68" s="29">
        <f t="shared" si="35"/>
        <v>100000</v>
      </c>
      <c r="AV68" s="29">
        <f t="shared" si="35"/>
        <v>100000</v>
      </c>
      <c r="AW68" s="29">
        <f t="shared" si="35"/>
        <v>100000</v>
      </c>
      <c r="AX68" s="29">
        <f t="shared" si="35"/>
        <v>100000</v>
      </c>
      <c r="AY68" s="29">
        <f t="shared" si="35"/>
        <v>100000</v>
      </c>
      <c r="AZ68" s="29">
        <f t="shared" si="35"/>
        <v>100000</v>
      </c>
      <c r="BA68" s="29">
        <f t="shared" si="35"/>
        <v>100000</v>
      </c>
      <c r="BB68" s="29">
        <f t="shared" si="35"/>
        <v>100000</v>
      </c>
      <c r="BC68" s="29">
        <f t="shared" si="35"/>
        <v>100000</v>
      </c>
      <c r="BD68" s="29">
        <f t="shared" si="35"/>
        <v>100000</v>
      </c>
      <c r="BE68" s="29">
        <f t="shared" si="35"/>
        <v>100000</v>
      </c>
      <c r="BF68" s="29">
        <f t="shared" si="35"/>
        <v>100000</v>
      </c>
      <c r="BG68" s="29">
        <f t="shared" si="35"/>
        <v>100000</v>
      </c>
      <c r="BH68" s="29">
        <f t="shared" si="35"/>
        <v>100000</v>
      </c>
      <c r="BI68" s="29">
        <f t="shared" si="35"/>
        <v>100000</v>
      </c>
      <c r="BJ68" s="29">
        <f t="shared" si="35"/>
        <v>100000</v>
      </c>
      <c r="BK68" s="29">
        <f t="shared" si="35"/>
        <v>100000</v>
      </c>
      <c r="BL68" s="29">
        <f t="shared" si="35"/>
        <v>100000</v>
      </c>
      <c r="BM68" s="29">
        <f t="shared" si="35"/>
        <v>100000</v>
      </c>
      <c r="BN68" s="29">
        <f t="shared" si="35"/>
        <v>100000</v>
      </c>
      <c r="BO68" s="29">
        <f t="shared" si="35"/>
        <v>100000</v>
      </c>
      <c r="BP68" s="29">
        <f t="shared" si="35"/>
        <v>100000</v>
      </c>
      <c r="BQ68" s="29">
        <f t="shared" si="35"/>
        <v>100000</v>
      </c>
      <c r="BR68" s="29">
        <f t="shared" si="35"/>
        <v>100000</v>
      </c>
      <c r="BS68" s="29">
        <f t="shared" si="35"/>
        <v>100000</v>
      </c>
      <c r="BT68" s="29">
        <f t="shared" si="35"/>
        <v>100000</v>
      </c>
      <c r="BU68" s="29">
        <f t="shared" si="35"/>
        <v>100000</v>
      </c>
      <c r="BV68" s="29">
        <f t="shared" si="35"/>
        <v>100000</v>
      </c>
      <c r="BW68" s="29">
        <f t="shared" si="35"/>
        <v>100000</v>
      </c>
      <c r="BX68" s="29">
        <f t="shared" si="35"/>
        <v>100000</v>
      </c>
      <c r="BY68" s="29">
        <f t="shared" si="35"/>
        <v>100000</v>
      </c>
      <c r="BZ68" s="29">
        <f t="shared" si="35"/>
        <v>100000</v>
      </c>
      <c r="CA68" s="29">
        <f t="shared" si="35"/>
        <v>100000</v>
      </c>
      <c r="CB68" s="29">
        <f t="shared" si="35"/>
        <v>100000</v>
      </c>
      <c r="CC68" s="29">
        <f t="shared" si="35"/>
        <v>100000</v>
      </c>
      <c r="CD68" s="29">
        <f t="shared" si="35"/>
        <v>100000</v>
      </c>
      <c r="CE68" s="29">
        <f t="shared" si="35"/>
        <v>100000</v>
      </c>
      <c r="CF68" s="29">
        <f t="shared" si="35"/>
        <v>100000</v>
      </c>
      <c r="CG68" s="29">
        <f t="shared" si="35"/>
        <v>100000</v>
      </c>
      <c r="CH68" s="29">
        <f t="shared" si="35"/>
        <v>100000</v>
      </c>
    </row>
    <row r="69" spans="2:86" ht="13">
      <c r="B69" s="15" t="str">
        <f t="shared" si="25"/>
        <v>Cumulative Operational Expenses</v>
      </c>
      <c r="C69" s="15"/>
      <c r="D69" s="15" t="s">
        <v>247</v>
      </c>
      <c r="E69" s="29">
        <f t="shared" si="15"/>
        <v>750000</v>
      </c>
      <c r="F69" s="29"/>
      <c r="G69" s="29">
        <f t="shared" ref="G69:CH69" si="36">F69+G40</f>
        <v>18750</v>
      </c>
      <c r="H69" s="29">
        <f t="shared" si="36"/>
        <v>37500</v>
      </c>
      <c r="I69" s="29">
        <f t="shared" si="36"/>
        <v>56250</v>
      </c>
      <c r="J69" s="29">
        <f t="shared" si="36"/>
        <v>75000</v>
      </c>
      <c r="K69" s="29">
        <f t="shared" si="36"/>
        <v>93750</v>
      </c>
      <c r="L69" s="29">
        <f t="shared" si="36"/>
        <v>112500</v>
      </c>
      <c r="M69" s="29">
        <f t="shared" si="36"/>
        <v>131250</v>
      </c>
      <c r="N69" s="29">
        <f t="shared" si="36"/>
        <v>150000</v>
      </c>
      <c r="O69" s="29">
        <f t="shared" si="36"/>
        <v>168750</v>
      </c>
      <c r="P69" s="29">
        <f t="shared" si="36"/>
        <v>187500</v>
      </c>
      <c r="Q69" s="29">
        <f t="shared" si="36"/>
        <v>206250</v>
      </c>
      <c r="R69" s="29">
        <f t="shared" si="36"/>
        <v>225000</v>
      </c>
      <c r="S69" s="29">
        <f t="shared" si="36"/>
        <v>243750</v>
      </c>
      <c r="T69" s="29">
        <f t="shared" si="36"/>
        <v>262500</v>
      </c>
      <c r="U69" s="29">
        <f t="shared" si="36"/>
        <v>281250</v>
      </c>
      <c r="V69" s="29">
        <f t="shared" si="36"/>
        <v>300000</v>
      </c>
      <c r="W69" s="29">
        <f t="shared" si="36"/>
        <v>318750</v>
      </c>
      <c r="X69" s="29">
        <f t="shared" si="36"/>
        <v>337500</v>
      </c>
      <c r="Y69" s="29">
        <f t="shared" si="36"/>
        <v>356250</v>
      </c>
      <c r="Z69" s="29">
        <f t="shared" si="36"/>
        <v>375000</v>
      </c>
      <c r="AA69" s="29">
        <f t="shared" si="36"/>
        <v>393750</v>
      </c>
      <c r="AB69" s="29">
        <f t="shared" si="36"/>
        <v>412500</v>
      </c>
      <c r="AC69" s="29">
        <f t="shared" si="36"/>
        <v>431250</v>
      </c>
      <c r="AD69" s="29">
        <f t="shared" si="36"/>
        <v>450000</v>
      </c>
      <c r="AE69" s="29">
        <f t="shared" si="36"/>
        <v>468750</v>
      </c>
      <c r="AF69" s="29">
        <f t="shared" si="36"/>
        <v>487500</v>
      </c>
      <c r="AG69" s="29">
        <f t="shared" si="36"/>
        <v>506250</v>
      </c>
      <c r="AH69" s="29">
        <f t="shared" si="36"/>
        <v>525000</v>
      </c>
      <c r="AI69" s="29">
        <f t="shared" si="36"/>
        <v>543750</v>
      </c>
      <c r="AJ69" s="29">
        <f t="shared" si="36"/>
        <v>562500</v>
      </c>
      <c r="AK69" s="29">
        <f t="shared" si="36"/>
        <v>581250</v>
      </c>
      <c r="AL69" s="29">
        <f t="shared" si="36"/>
        <v>600000</v>
      </c>
      <c r="AM69" s="29">
        <f t="shared" si="36"/>
        <v>618750</v>
      </c>
      <c r="AN69" s="29">
        <f t="shared" si="36"/>
        <v>637500</v>
      </c>
      <c r="AO69" s="29">
        <f t="shared" si="36"/>
        <v>656250</v>
      </c>
      <c r="AP69" s="29">
        <f t="shared" si="36"/>
        <v>675000</v>
      </c>
      <c r="AQ69" s="29">
        <f t="shared" si="36"/>
        <v>693750</v>
      </c>
      <c r="AR69" s="29">
        <f t="shared" si="36"/>
        <v>712500</v>
      </c>
      <c r="AS69" s="29">
        <f t="shared" si="36"/>
        <v>731250</v>
      </c>
      <c r="AT69" s="29">
        <f t="shared" si="36"/>
        <v>750000</v>
      </c>
      <c r="AU69" s="29">
        <f t="shared" si="36"/>
        <v>750000</v>
      </c>
      <c r="AV69" s="29">
        <f t="shared" si="36"/>
        <v>750000</v>
      </c>
      <c r="AW69" s="29">
        <f t="shared" si="36"/>
        <v>750000</v>
      </c>
      <c r="AX69" s="29">
        <f t="shared" si="36"/>
        <v>750000</v>
      </c>
      <c r="AY69" s="29">
        <f t="shared" si="36"/>
        <v>750000</v>
      </c>
      <c r="AZ69" s="29">
        <f t="shared" si="36"/>
        <v>750000</v>
      </c>
      <c r="BA69" s="29">
        <f t="shared" si="36"/>
        <v>750000</v>
      </c>
      <c r="BB69" s="29">
        <f t="shared" si="36"/>
        <v>750000</v>
      </c>
      <c r="BC69" s="29">
        <f t="shared" si="36"/>
        <v>750000</v>
      </c>
      <c r="BD69" s="29">
        <f t="shared" si="36"/>
        <v>750000</v>
      </c>
      <c r="BE69" s="29">
        <f t="shared" si="36"/>
        <v>750000</v>
      </c>
      <c r="BF69" s="29">
        <f t="shared" si="36"/>
        <v>750000</v>
      </c>
      <c r="BG69" s="29">
        <f t="shared" si="36"/>
        <v>750000</v>
      </c>
      <c r="BH69" s="29">
        <f t="shared" si="36"/>
        <v>750000</v>
      </c>
      <c r="BI69" s="29">
        <f t="shared" si="36"/>
        <v>750000</v>
      </c>
      <c r="BJ69" s="29">
        <f t="shared" si="36"/>
        <v>750000</v>
      </c>
      <c r="BK69" s="29">
        <f t="shared" si="36"/>
        <v>750000</v>
      </c>
      <c r="BL69" s="29">
        <f t="shared" si="36"/>
        <v>750000</v>
      </c>
      <c r="BM69" s="29">
        <f t="shared" si="36"/>
        <v>750000</v>
      </c>
      <c r="BN69" s="29">
        <f t="shared" si="36"/>
        <v>750000</v>
      </c>
      <c r="BO69" s="29">
        <f t="shared" si="36"/>
        <v>750000</v>
      </c>
      <c r="BP69" s="29">
        <f t="shared" si="36"/>
        <v>750000</v>
      </c>
      <c r="BQ69" s="29">
        <f t="shared" si="36"/>
        <v>750000</v>
      </c>
      <c r="BR69" s="29">
        <f t="shared" si="36"/>
        <v>750000</v>
      </c>
      <c r="BS69" s="29">
        <f t="shared" si="36"/>
        <v>750000</v>
      </c>
      <c r="BT69" s="29">
        <f t="shared" si="36"/>
        <v>750000</v>
      </c>
      <c r="BU69" s="29">
        <f t="shared" si="36"/>
        <v>750000</v>
      </c>
      <c r="BV69" s="29">
        <f t="shared" si="36"/>
        <v>750000</v>
      </c>
      <c r="BW69" s="29">
        <f t="shared" si="36"/>
        <v>750000</v>
      </c>
      <c r="BX69" s="29">
        <f t="shared" si="36"/>
        <v>750000</v>
      </c>
      <c r="BY69" s="29">
        <f t="shared" si="36"/>
        <v>750000</v>
      </c>
      <c r="BZ69" s="29">
        <f t="shared" si="36"/>
        <v>750000</v>
      </c>
      <c r="CA69" s="29">
        <f t="shared" si="36"/>
        <v>750000</v>
      </c>
      <c r="CB69" s="29">
        <f t="shared" si="36"/>
        <v>750000</v>
      </c>
      <c r="CC69" s="29">
        <f t="shared" si="36"/>
        <v>750000</v>
      </c>
      <c r="CD69" s="29">
        <f t="shared" si="36"/>
        <v>750000</v>
      </c>
      <c r="CE69" s="29">
        <f t="shared" si="36"/>
        <v>750000</v>
      </c>
      <c r="CF69" s="29">
        <f t="shared" si="36"/>
        <v>750000</v>
      </c>
      <c r="CG69" s="29">
        <f t="shared" si="36"/>
        <v>750000</v>
      </c>
      <c r="CH69" s="29">
        <f t="shared" si="36"/>
        <v>750000</v>
      </c>
    </row>
    <row r="70" spans="2:86" ht="13">
      <c r="B70" s="15" t="str">
        <f t="shared" si="25"/>
        <v>Cumulative Management Fees</v>
      </c>
      <c r="C70" s="15"/>
      <c r="D70" s="15" t="s">
        <v>247</v>
      </c>
      <c r="E70" s="29">
        <f t="shared" si="15"/>
        <v>4900000</v>
      </c>
      <c r="F70" s="29"/>
      <c r="G70" s="29">
        <f t="shared" ref="G70:CH70" si="37">F70+G41</f>
        <v>122500</v>
      </c>
      <c r="H70" s="29">
        <f t="shared" si="37"/>
        <v>245000</v>
      </c>
      <c r="I70" s="29">
        <f t="shared" si="37"/>
        <v>367500</v>
      </c>
      <c r="J70" s="29">
        <f t="shared" si="37"/>
        <v>490000</v>
      </c>
      <c r="K70" s="29">
        <f t="shared" si="37"/>
        <v>612500</v>
      </c>
      <c r="L70" s="29">
        <f t="shared" si="37"/>
        <v>735000</v>
      </c>
      <c r="M70" s="29">
        <f t="shared" si="37"/>
        <v>857500</v>
      </c>
      <c r="N70" s="29">
        <f t="shared" si="37"/>
        <v>980000</v>
      </c>
      <c r="O70" s="29">
        <f t="shared" si="37"/>
        <v>1102500</v>
      </c>
      <c r="P70" s="29">
        <f t="shared" si="37"/>
        <v>1225000</v>
      </c>
      <c r="Q70" s="29">
        <f t="shared" si="37"/>
        <v>1347500</v>
      </c>
      <c r="R70" s="29">
        <f t="shared" si="37"/>
        <v>1470000</v>
      </c>
      <c r="S70" s="29">
        <f t="shared" si="37"/>
        <v>1592500</v>
      </c>
      <c r="T70" s="29">
        <f t="shared" si="37"/>
        <v>1715000</v>
      </c>
      <c r="U70" s="29">
        <f t="shared" si="37"/>
        <v>1837500</v>
      </c>
      <c r="V70" s="29">
        <f t="shared" si="37"/>
        <v>1960000</v>
      </c>
      <c r="W70" s="29">
        <f t="shared" si="37"/>
        <v>2082500</v>
      </c>
      <c r="X70" s="29">
        <f t="shared" si="37"/>
        <v>2205000</v>
      </c>
      <c r="Y70" s="29">
        <f t="shared" si="37"/>
        <v>2327500</v>
      </c>
      <c r="Z70" s="29">
        <f t="shared" si="37"/>
        <v>2450000</v>
      </c>
      <c r="AA70" s="29">
        <f t="shared" si="37"/>
        <v>2572500</v>
      </c>
      <c r="AB70" s="29">
        <f t="shared" si="37"/>
        <v>2695000</v>
      </c>
      <c r="AC70" s="29">
        <f t="shared" si="37"/>
        <v>2817500</v>
      </c>
      <c r="AD70" s="29">
        <f t="shared" si="37"/>
        <v>2940000</v>
      </c>
      <c r="AE70" s="29">
        <f t="shared" si="37"/>
        <v>3062500</v>
      </c>
      <c r="AF70" s="29">
        <f t="shared" si="37"/>
        <v>3185000</v>
      </c>
      <c r="AG70" s="29">
        <f t="shared" si="37"/>
        <v>3307500</v>
      </c>
      <c r="AH70" s="29">
        <f t="shared" si="37"/>
        <v>3430000</v>
      </c>
      <c r="AI70" s="29">
        <f t="shared" si="37"/>
        <v>3552500</v>
      </c>
      <c r="AJ70" s="29">
        <f t="shared" si="37"/>
        <v>3675000</v>
      </c>
      <c r="AK70" s="29">
        <f t="shared" si="37"/>
        <v>3797500</v>
      </c>
      <c r="AL70" s="29">
        <f t="shared" si="37"/>
        <v>3920000</v>
      </c>
      <c r="AM70" s="29">
        <f t="shared" si="37"/>
        <v>4042500</v>
      </c>
      <c r="AN70" s="29">
        <f t="shared" si="37"/>
        <v>4165000</v>
      </c>
      <c r="AO70" s="29">
        <f t="shared" si="37"/>
        <v>4287500</v>
      </c>
      <c r="AP70" s="29">
        <f t="shared" si="37"/>
        <v>4410000</v>
      </c>
      <c r="AQ70" s="29">
        <f t="shared" si="37"/>
        <v>4532500</v>
      </c>
      <c r="AR70" s="29">
        <f t="shared" si="37"/>
        <v>4655000</v>
      </c>
      <c r="AS70" s="29">
        <f t="shared" si="37"/>
        <v>4777500</v>
      </c>
      <c r="AT70" s="29">
        <f t="shared" si="37"/>
        <v>4900000</v>
      </c>
      <c r="AU70" s="29">
        <f t="shared" si="37"/>
        <v>4900000</v>
      </c>
      <c r="AV70" s="29">
        <f t="shared" si="37"/>
        <v>4900000</v>
      </c>
      <c r="AW70" s="29">
        <f t="shared" si="37"/>
        <v>4900000</v>
      </c>
      <c r="AX70" s="29">
        <f t="shared" si="37"/>
        <v>4900000</v>
      </c>
      <c r="AY70" s="29">
        <f t="shared" si="37"/>
        <v>4900000</v>
      </c>
      <c r="AZ70" s="29">
        <f t="shared" si="37"/>
        <v>4900000</v>
      </c>
      <c r="BA70" s="29">
        <f t="shared" si="37"/>
        <v>4900000</v>
      </c>
      <c r="BB70" s="29">
        <f t="shared" si="37"/>
        <v>4900000</v>
      </c>
      <c r="BC70" s="29">
        <f t="shared" si="37"/>
        <v>4900000</v>
      </c>
      <c r="BD70" s="29">
        <f t="shared" si="37"/>
        <v>4900000</v>
      </c>
      <c r="BE70" s="29">
        <f t="shared" si="37"/>
        <v>4900000</v>
      </c>
      <c r="BF70" s="29">
        <f t="shared" si="37"/>
        <v>4900000</v>
      </c>
      <c r="BG70" s="29">
        <f t="shared" si="37"/>
        <v>4900000</v>
      </c>
      <c r="BH70" s="29">
        <f t="shared" si="37"/>
        <v>4900000</v>
      </c>
      <c r="BI70" s="29">
        <f t="shared" si="37"/>
        <v>4900000</v>
      </c>
      <c r="BJ70" s="29">
        <f t="shared" si="37"/>
        <v>4900000</v>
      </c>
      <c r="BK70" s="29">
        <f t="shared" si="37"/>
        <v>4900000</v>
      </c>
      <c r="BL70" s="29">
        <f t="shared" si="37"/>
        <v>4900000</v>
      </c>
      <c r="BM70" s="29">
        <f t="shared" si="37"/>
        <v>4900000</v>
      </c>
      <c r="BN70" s="29">
        <f t="shared" si="37"/>
        <v>4900000</v>
      </c>
      <c r="BO70" s="29">
        <f t="shared" si="37"/>
        <v>4900000</v>
      </c>
      <c r="BP70" s="29">
        <f t="shared" si="37"/>
        <v>4900000</v>
      </c>
      <c r="BQ70" s="29">
        <f t="shared" si="37"/>
        <v>4900000</v>
      </c>
      <c r="BR70" s="29">
        <f t="shared" si="37"/>
        <v>4900000</v>
      </c>
      <c r="BS70" s="29">
        <f t="shared" si="37"/>
        <v>4900000</v>
      </c>
      <c r="BT70" s="29">
        <f t="shared" si="37"/>
        <v>4900000</v>
      </c>
      <c r="BU70" s="29">
        <f t="shared" si="37"/>
        <v>4900000</v>
      </c>
      <c r="BV70" s="29">
        <f t="shared" si="37"/>
        <v>4900000</v>
      </c>
      <c r="BW70" s="29">
        <f t="shared" si="37"/>
        <v>4900000</v>
      </c>
      <c r="BX70" s="29">
        <f t="shared" si="37"/>
        <v>4900000</v>
      </c>
      <c r="BY70" s="29">
        <f t="shared" si="37"/>
        <v>4900000</v>
      </c>
      <c r="BZ70" s="29">
        <f t="shared" si="37"/>
        <v>4900000</v>
      </c>
      <c r="CA70" s="29">
        <f t="shared" si="37"/>
        <v>4900000</v>
      </c>
      <c r="CB70" s="29">
        <f t="shared" si="37"/>
        <v>4900000</v>
      </c>
      <c r="CC70" s="29">
        <f t="shared" si="37"/>
        <v>4900000</v>
      </c>
      <c r="CD70" s="29">
        <f t="shared" si="37"/>
        <v>4900000</v>
      </c>
      <c r="CE70" s="29">
        <f t="shared" si="37"/>
        <v>4900000</v>
      </c>
      <c r="CF70" s="29">
        <f t="shared" si="37"/>
        <v>4900000</v>
      </c>
      <c r="CG70" s="29">
        <f t="shared" si="37"/>
        <v>4900000</v>
      </c>
      <c r="CH70" s="29">
        <f t="shared" si="37"/>
        <v>4900000</v>
      </c>
    </row>
    <row r="71" spans="2:86" ht="13">
      <c r="B71" s="15" t="str">
        <f t="shared" si="25"/>
        <v>Cumulative Recycled Capital</v>
      </c>
      <c r="C71" s="15"/>
      <c r="D71" s="15" t="s">
        <v>247</v>
      </c>
      <c r="E71" s="29">
        <f t="shared" ca="1" si="15"/>
        <v>962500</v>
      </c>
      <c r="F71" s="29"/>
      <c r="G71" s="29">
        <f t="shared" ref="G71:CH71" ca="1" si="38">F71+G42</f>
        <v>0</v>
      </c>
      <c r="H71" s="29">
        <f t="shared" ca="1" si="38"/>
        <v>0</v>
      </c>
      <c r="I71" s="29">
        <f t="shared" ca="1" si="38"/>
        <v>0</v>
      </c>
      <c r="J71" s="29">
        <f t="shared" ca="1" si="38"/>
        <v>0</v>
      </c>
      <c r="K71" s="29">
        <f t="shared" ca="1" si="38"/>
        <v>0</v>
      </c>
      <c r="L71" s="29">
        <f t="shared" ca="1" si="38"/>
        <v>0</v>
      </c>
      <c r="M71" s="29">
        <f t="shared" ca="1" si="38"/>
        <v>0</v>
      </c>
      <c r="N71" s="29">
        <f t="shared" ca="1" si="38"/>
        <v>0</v>
      </c>
      <c r="O71" s="29">
        <f t="shared" ca="1" si="38"/>
        <v>0</v>
      </c>
      <c r="P71" s="29">
        <f t="shared" ca="1" si="38"/>
        <v>0</v>
      </c>
      <c r="Q71" s="29">
        <f t="shared" ca="1" si="38"/>
        <v>0</v>
      </c>
      <c r="R71" s="29">
        <f t="shared" ca="1" si="38"/>
        <v>0</v>
      </c>
      <c r="S71" s="29">
        <f t="shared" ca="1" si="38"/>
        <v>240625</v>
      </c>
      <c r="T71" s="29">
        <f t="shared" ca="1" si="38"/>
        <v>481250</v>
      </c>
      <c r="U71" s="29">
        <f t="shared" ca="1" si="38"/>
        <v>721875</v>
      </c>
      <c r="V71" s="29">
        <f t="shared" ca="1" si="38"/>
        <v>962500</v>
      </c>
      <c r="W71" s="29">
        <f t="shared" ca="1" si="38"/>
        <v>962500</v>
      </c>
      <c r="X71" s="29">
        <f t="shared" ca="1" si="38"/>
        <v>962500</v>
      </c>
      <c r="Y71" s="29">
        <f t="shared" ca="1" si="38"/>
        <v>962500</v>
      </c>
      <c r="Z71" s="29">
        <f t="shared" ca="1" si="38"/>
        <v>962500</v>
      </c>
      <c r="AA71" s="29">
        <f t="shared" ca="1" si="38"/>
        <v>962500</v>
      </c>
      <c r="AB71" s="29">
        <f t="shared" ca="1" si="38"/>
        <v>962500</v>
      </c>
      <c r="AC71" s="29">
        <f t="shared" ca="1" si="38"/>
        <v>962500</v>
      </c>
      <c r="AD71" s="29">
        <f t="shared" ca="1" si="38"/>
        <v>962500</v>
      </c>
      <c r="AE71" s="29">
        <f t="shared" ca="1" si="38"/>
        <v>962500</v>
      </c>
      <c r="AF71" s="29">
        <f t="shared" ca="1" si="38"/>
        <v>962500</v>
      </c>
      <c r="AG71" s="29">
        <f t="shared" ca="1" si="38"/>
        <v>962500</v>
      </c>
      <c r="AH71" s="29">
        <f t="shared" ca="1" si="38"/>
        <v>962500</v>
      </c>
      <c r="AI71" s="29">
        <f t="shared" ca="1" si="38"/>
        <v>962500</v>
      </c>
      <c r="AJ71" s="29">
        <f t="shared" ca="1" si="38"/>
        <v>962500</v>
      </c>
      <c r="AK71" s="29">
        <f t="shared" ca="1" si="38"/>
        <v>962500</v>
      </c>
      <c r="AL71" s="29">
        <f t="shared" ca="1" si="38"/>
        <v>962500</v>
      </c>
      <c r="AM71" s="29">
        <f t="shared" ca="1" si="38"/>
        <v>962500</v>
      </c>
      <c r="AN71" s="29">
        <f t="shared" ca="1" si="38"/>
        <v>962500</v>
      </c>
      <c r="AO71" s="29">
        <f t="shared" ca="1" si="38"/>
        <v>962500</v>
      </c>
      <c r="AP71" s="29">
        <f t="shared" ca="1" si="38"/>
        <v>962500</v>
      </c>
      <c r="AQ71" s="29">
        <f t="shared" ca="1" si="38"/>
        <v>962500</v>
      </c>
      <c r="AR71" s="29">
        <f t="shared" ca="1" si="38"/>
        <v>962500</v>
      </c>
      <c r="AS71" s="29">
        <f t="shared" ca="1" si="38"/>
        <v>962500</v>
      </c>
      <c r="AT71" s="29">
        <f t="shared" ca="1" si="38"/>
        <v>962500</v>
      </c>
      <c r="AU71" s="29">
        <f t="shared" ca="1" si="38"/>
        <v>962500</v>
      </c>
      <c r="AV71" s="29">
        <f t="shared" ca="1" si="38"/>
        <v>962500</v>
      </c>
      <c r="AW71" s="29">
        <f t="shared" ca="1" si="38"/>
        <v>962500</v>
      </c>
      <c r="AX71" s="29">
        <f t="shared" ca="1" si="38"/>
        <v>962500</v>
      </c>
      <c r="AY71" s="29">
        <f t="shared" ca="1" si="38"/>
        <v>962500</v>
      </c>
      <c r="AZ71" s="29">
        <f t="shared" ca="1" si="38"/>
        <v>962500</v>
      </c>
      <c r="BA71" s="29">
        <f t="shared" ca="1" si="38"/>
        <v>962500</v>
      </c>
      <c r="BB71" s="29">
        <f t="shared" ca="1" si="38"/>
        <v>962500</v>
      </c>
      <c r="BC71" s="29">
        <f t="shared" ca="1" si="38"/>
        <v>962500</v>
      </c>
      <c r="BD71" s="29">
        <f t="shared" ca="1" si="38"/>
        <v>962500</v>
      </c>
      <c r="BE71" s="29">
        <f t="shared" ca="1" si="38"/>
        <v>962500</v>
      </c>
      <c r="BF71" s="29">
        <f t="shared" ca="1" si="38"/>
        <v>962500</v>
      </c>
      <c r="BG71" s="29">
        <f t="shared" ca="1" si="38"/>
        <v>962500</v>
      </c>
      <c r="BH71" s="29">
        <f t="shared" ca="1" si="38"/>
        <v>962500</v>
      </c>
      <c r="BI71" s="29">
        <f t="shared" ca="1" si="38"/>
        <v>962500</v>
      </c>
      <c r="BJ71" s="29">
        <f t="shared" ca="1" si="38"/>
        <v>962500</v>
      </c>
      <c r="BK71" s="29">
        <f t="shared" ca="1" si="38"/>
        <v>962500</v>
      </c>
      <c r="BL71" s="29">
        <f t="shared" ca="1" si="38"/>
        <v>962500</v>
      </c>
      <c r="BM71" s="29">
        <f t="shared" ca="1" si="38"/>
        <v>962500</v>
      </c>
      <c r="BN71" s="29">
        <f t="shared" ca="1" si="38"/>
        <v>962500</v>
      </c>
      <c r="BO71" s="29">
        <f t="shared" ca="1" si="38"/>
        <v>962500</v>
      </c>
      <c r="BP71" s="29">
        <f t="shared" ca="1" si="38"/>
        <v>962500</v>
      </c>
      <c r="BQ71" s="29">
        <f t="shared" ca="1" si="38"/>
        <v>962500</v>
      </c>
      <c r="BR71" s="29">
        <f t="shared" ca="1" si="38"/>
        <v>962500</v>
      </c>
      <c r="BS71" s="29">
        <f t="shared" ca="1" si="38"/>
        <v>962500</v>
      </c>
      <c r="BT71" s="29">
        <f t="shared" ca="1" si="38"/>
        <v>962500</v>
      </c>
      <c r="BU71" s="29">
        <f t="shared" ca="1" si="38"/>
        <v>962500</v>
      </c>
      <c r="BV71" s="29">
        <f t="shared" ca="1" si="38"/>
        <v>962500</v>
      </c>
      <c r="BW71" s="29">
        <f t="shared" ca="1" si="38"/>
        <v>962500</v>
      </c>
      <c r="BX71" s="29">
        <f t="shared" ca="1" si="38"/>
        <v>962500</v>
      </c>
      <c r="BY71" s="29">
        <f t="shared" ca="1" si="38"/>
        <v>962500</v>
      </c>
      <c r="BZ71" s="29">
        <f t="shared" ca="1" si="38"/>
        <v>962500</v>
      </c>
      <c r="CA71" s="29">
        <f t="shared" ca="1" si="38"/>
        <v>962500</v>
      </c>
      <c r="CB71" s="29">
        <f t="shared" ca="1" si="38"/>
        <v>962500</v>
      </c>
      <c r="CC71" s="29">
        <f t="shared" ca="1" si="38"/>
        <v>962500</v>
      </c>
      <c r="CD71" s="29">
        <f t="shared" ca="1" si="38"/>
        <v>962500</v>
      </c>
      <c r="CE71" s="29">
        <f t="shared" ca="1" si="38"/>
        <v>962500</v>
      </c>
      <c r="CF71" s="29">
        <f t="shared" ca="1" si="38"/>
        <v>962500</v>
      </c>
      <c r="CG71" s="29">
        <f t="shared" ca="1" si="38"/>
        <v>962500</v>
      </c>
      <c r="CH71" s="29">
        <f t="shared" ca="1" si="38"/>
        <v>962500</v>
      </c>
    </row>
    <row r="72" spans="2:86" ht="13">
      <c r="B72" s="15" t="str">
        <f t="shared" si="25"/>
        <v>Cumulative Proceeds</v>
      </c>
      <c r="D72" s="15" t="s">
        <v>247</v>
      </c>
      <c r="E72" s="29">
        <f t="shared" ca="1" si="15"/>
        <v>134979075</v>
      </c>
      <c r="F72" s="29"/>
      <c r="G72" s="29">
        <f t="shared" ref="G72:CH72" ca="1" si="39">F72+G43</f>
        <v>0</v>
      </c>
      <c r="H72" s="29">
        <f t="shared" ca="1" si="39"/>
        <v>0</v>
      </c>
      <c r="I72" s="29">
        <f t="shared" ca="1" si="39"/>
        <v>0</v>
      </c>
      <c r="J72" s="29">
        <f t="shared" ca="1" si="39"/>
        <v>0</v>
      </c>
      <c r="K72" s="29">
        <f t="shared" ca="1" si="39"/>
        <v>0</v>
      </c>
      <c r="L72" s="29">
        <f t="shared" ca="1" si="39"/>
        <v>0</v>
      </c>
      <c r="M72" s="29">
        <f t="shared" ca="1" si="39"/>
        <v>0</v>
      </c>
      <c r="N72" s="29">
        <f t="shared" ca="1" si="39"/>
        <v>0</v>
      </c>
      <c r="O72" s="29">
        <f t="shared" ca="1" si="39"/>
        <v>0</v>
      </c>
      <c r="P72" s="29">
        <f t="shared" ca="1" si="39"/>
        <v>0</v>
      </c>
      <c r="Q72" s="29">
        <f t="shared" ca="1" si="39"/>
        <v>0</v>
      </c>
      <c r="R72" s="29">
        <f t="shared" ca="1" si="39"/>
        <v>0</v>
      </c>
      <c r="S72" s="29">
        <f t="shared" ca="1" si="39"/>
        <v>1212750.0000000005</v>
      </c>
      <c r="T72" s="29">
        <f t="shared" ca="1" si="39"/>
        <v>2425500.0000000009</v>
      </c>
      <c r="U72" s="29">
        <f t="shared" ca="1" si="39"/>
        <v>3638250.0000000014</v>
      </c>
      <c r="V72" s="29">
        <f t="shared" ca="1" si="39"/>
        <v>4851000.0000000019</v>
      </c>
      <c r="W72" s="29">
        <f t="shared" ca="1" si="39"/>
        <v>8337656.2500000028</v>
      </c>
      <c r="X72" s="29">
        <f t="shared" ca="1" si="39"/>
        <v>11824312.500000004</v>
      </c>
      <c r="Y72" s="29">
        <f t="shared" ca="1" si="39"/>
        <v>15310968.750000004</v>
      </c>
      <c r="Z72" s="29">
        <f t="shared" ca="1" si="39"/>
        <v>18797625.000000004</v>
      </c>
      <c r="AA72" s="29">
        <f t="shared" ca="1" si="39"/>
        <v>22284281.250000004</v>
      </c>
      <c r="AB72" s="29">
        <f t="shared" ca="1" si="39"/>
        <v>25770937.500000004</v>
      </c>
      <c r="AC72" s="29">
        <f t="shared" ca="1" si="39"/>
        <v>29257593.750000004</v>
      </c>
      <c r="AD72" s="29">
        <f t="shared" ca="1" si="39"/>
        <v>32744250.000000004</v>
      </c>
      <c r="AE72" s="29">
        <f t="shared" ca="1" si="39"/>
        <v>41021268.75</v>
      </c>
      <c r="AF72" s="29">
        <f t="shared" ca="1" si="39"/>
        <v>49298287.5</v>
      </c>
      <c r="AG72" s="29">
        <f t="shared" ca="1" si="39"/>
        <v>57575306.25</v>
      </c>
      <c r="AH72" s="29">
        <f t="shared" ca="1" si="39"/>
        <v>65852325</v>
      </c>
      <c r="AI72" s="29">
        <f t="shared" ca="1" si="39"/>
        <v>73128825</v>
      </c>
      <c r="AJ72" s="29">
        <f t="shared" ca="1" si="39"/>
        <v>80405325</v>
      </c>
      <c r="AK72" s="29">
        <f t="shared" ca="1" si="39"/>
        <v>87681825</v>
      </c>
      <c r="AL72" s="29">
        <f t="shared" ca="1" si="39"/>
        <v>94958325</v>
      </c>
      <c r="AM72" s="29">
        <f t="shared" ca="1" si="39"/>
        <v>99506137.5</v>
      </c>
      <c r="AN72" s="29">
        <f t="shared" ca="1" si="39"/>
        <v>104053950</v>
      </c>
      <c r="AO72" s="29">
        <f t="shared" ca="1" si="39"/>
        <v>108601762.5</v>
      </c>
      <c r="AP72" s="29">
        <f t="shared" ca="1" si="39"/>
        <v>113149575</v>
      </c>
      <c r="AQ72" s="29">
        <f t="shared" ca="1" si="39"/>
        <v>118606950</v>
      </c>
      <c r="AR72" s="29">
        <f t="shared" ca="1" si="39"/>
        <v>124064325</v>
      </c>
      <c r="AS72" s="29">
        <f t="shared" ca="1" si="39"/>
        <v>129521700</v>
      </c>
      <c r="AT72" s="29">
        <f t="shared" ca="1" si="39"/>
        <v>134979075</v>
      </c>
      <c r="AU72" s="29">
        <f t="shared" ca="1" si="39"/>
        <v>134979075</v>
      </c>
      <c r="AV72" s="29">
        <f t="shared" ca="1" si="39"/>
        <v>134979075</v>
      </c>
      <c r="AW72" s="29">
        <f t="shared" ca="1" si="39"/>
        <v>134979075</v>
      </c>
      <c r="AX72" s="29">
        <f t="shared" ca="1" si="39"/>
        <v>134979075</v>
      </c>
      <c r="AY72" s="29">
        <f t="shared" ca="1" si="39"/>
        <v>134979075</v>
      </c>
      <c r="AZ72" s="29">
        <f t="shared" ca="1" si="39"/>
        <v>134979075</v>
      </c>
      <c r="BA72" s="29">
        <f t="shared" ca="1" si="39"/>
        <v>134979075</v>
      </c>
      <c r="BB72" s="29">
        <f t="shared" ca="1" si="39"/>
        <v>134979075</v>
      </c>
      <c r="BC72" s="29">
        <f t="shared" ca="1" si="39"/>
        <v>134979075</v>
      </c>
      <c r="BD72" s="29">
        <f t="shared" ca="1" si="39"/>
        <v>134979075</v>
      </c>
      <c r="BE72" s="29">
        <f t="shared" ca="1" si="39"/>
        <v>134979075</v>
      </c>
      <c r="BF72" s="29">
        <f t="shared" ca="1" si="39"/>
        <v>134979075</v>
      </c>
      <c r="BG72" s="29">
        <f t="shared" ca="1" si="39"/>
        <v>134979075</v>
      </c>
      <c r="BH72" s="29">
        <f t="shared" ca="1" si="39"/>
        <v>134979075</v>
      </c>
      <c r="BI72" s="29">
        <f t="shared" ca="1" si="39"/>
        <v>134979075</v>
      </c>
      <c r="BJ72" s="29">
        <f t="shared" ca="1" si="39"/>
        <v>134979075</v>
      </c>
      <c r="BK72" s="29">
        <f t="shared" ca="1" si="39"/>
        <v>134979075</v>
      </c>
      <c r="BL72" s="29">
        <f t="shared" ca="1" si="39"/>
        <v>134979075</v>
      </c>
      <c r="BM72" s="29">
        <f t="shared" ca="1" si="39"/>
        <v>134979075</v>
      </c>
      <c r="BN72" s="29">
        <f t="shared" ca="1" si="39"/>
        <v>134979075</v>
      </c>
      <c r="BO72" s="29">
        <f t="shared" ca="1" si="39"/>
        <v>134979075</v>
      </c>
      <c r="BP72" s="29">
        <f t="shared" ca="1" si="39"/>
        <v>134979075</v>
      </c>
      <c r="BQ72" s="29">
        <f t="shared" ca="1" si="39"/>
        <v>134979075</v>
      </c>
      <c r="BR72" s="29">
        <f t="shared" ca="1" si="39"/>
        <v>134979075</v>
      </c>
      <c r="BS72" s="29">
        <f t="shared" ca="1" si="39"/>
        <v>134979075</v>
      </c>
      <c r="BT72" s="29">
        <f t="shared" ca="1" si="39"/>
        <v>134979075</v>
      </c>
      <c r="BU72" s="29">
        <f t="shared" ca="1" si="39"/>
        <v>134979075</v>
      </c>
      <c r="BV72" s="29">
        <f t="shared" ca="1" si="39"/>
        <v>134979075</v>
      </c>
      <c r="BW72" s="29">
        <f t="shared" ca="1" si="39"/>
        <v>134979075</v>
      </c>
      <c r="BX72" s="29">
        <f t="shared" ca="1" si="39"/>
        <v>134979075</v>
      </c>
      <c r="BY72" s="29">
        <f t="shared" ca="1" si="39"/>
        <v>134979075</v>
      </c>
      <c r="BZ72" s="29">
        <f t="shared" ca="1" si="39"/>
        <v>134979075</v>
      </c>
      <c r="CA72" s="29">
        <f t="shared" ca="1" si="39"/>
        <v>134979075</v>
      </c>
      <c r="CB72" s="29">
        <f t="shared" ca="1" si="39"/>
        <v>134979075</v>
      </c>
      <c r="CC72" s="29">
        <f t="shared" ca="1" si="39"/>
        <v>134979075</v>
      </c>
      <c r="CD72" s="29">
        <f t="shared" ca="1" si="39"/>
        <v>134979075</v>
      </c>
      <c r="CE72" s="29">
        <f t="shared" ca="1" si="39"/>
        <v>134979075</v>
      </c>
      <c r="CF72" s="29">
        <f t="shared" ca="1" si="39"/>
        <v>134979075</v>
      </c>
      <c r="CG72" s="29">
        <f t="shared" ca="1" si="39"/>
        <v>134979075</v>
      </c>
      <c r="CH72" s="29">
        <f t="shared" ca="1" si="39"/>
        <v>134979075</v>
      </c>
    </row>
    <row r="73" spans="2:86" ht="13">
      <c r="B73" s="15" t="str">
        <f t="shared" si="25"/>
        <v>Cumulative Preferred Return</v>
      </c>
      <c r="C73" s="15"/>
      <c r="D73" s="15" t="s">
        <v>247</v>
      </c>
      <c r="E73" s="29">
        <f t="shared" si="15"/>
        <v>0</v>
      </c>
      <c r="F73" s="29"/>
      <c r="G73" s="29">
        <f t="shared" ref="G73:CH73" si="40">F73+G44</f>
        <v>0</v>
      </c>
      <c r="H73" s="29">
        <f t="shared" si="40"/>
        <v>0</v>
      </c>
      <c r="I73" s="29">
        <f t="shared" si="40"/>
        <v>0</v>
      </c>
      <c r="J73" s="29">
        <f t="shared" si="40"/>
        <v>0</v>
      </c>
      <c r="K73" s="29">
        <f t="shared" si="40"/>
        <v>0</v>
      </c>
      <c r="L73" s="29">
        <f t="shared" si="40"/>
        <v>0</v>
      </c>
      <c r="M73" s="29">
        <f t="shared" si="40"/>
        <v>0</v>
      </c>
      <c r="N73" s="29">
        <f t="shared" si="40"/>
        <v>0</v>
      </c>
      <c r="O73" s="29">
        <f t="shared" si="40"/>
        <v>0</v>
      </c>
      <c r="P73" s="29">
        <f t="shared" si="40"/>
        <v>0</v>
      </c>
      <c r="Q73" s="29">
        <f t="shared" si="40"/>
        <v>0</v>
      </c>
      <c r="R73" s="29">
        <f t="shared" si="40"/>
        <v>0</v>
      </c>
      <c r="S73" s="29">
        <f t="shared" si="40"/>
        <v>0</v>
      </c>
      <c r="T73" s="29">
        <f t="shared" si="40"/>
        <v>0</v>
      </c>
      <c r="U73" s="29">
        <f t="shared" si="40"/>
        <v>0</v>
      </c>
      <c r="V73" s="29">
        <f t="shared" si="40"/>
        <v>0</v>
      </c>
      <c r="W73" s="29">
        <f t="shared" si="40"/>
        <v>0</v>
      </c>
      <c r="X73" s="29">
        <f t="shared" si="40"/>
        <v>0</v>
      </c>
      <c r="Y73" s="29">
        <f t="shared" si="40"/>
        <v>0</v>
      </c>
      <c r="Z73" s="29">
        <f t="shared" si="40"/>
        <v>0</v>
      </c>
      <c r="AA73" s="29">
        <f t="shared" si="40"/>
        <v>0</v>
      </c>
      <c r="AB73" s="29">
        <f t="shared" si="40"/>
        <v>0</v>
      </c>
      <c r="AC73" s="29">
        <f t="shared" si="40"/>
        <v>0</v>
      </c>
      <c r="AD73" s="29">
        <f t="shared" si="40"/>
        <v>0</v>
      </c>
      <c r="AE73" s="29">
        <f t="shared" si="40"/>
        <v>0</v>
      </c>
      <c r="AF73" s="29">
        <f t="shared" si="40"/>
        <v>0</v>
      </c>
      <c r="AG73" s="29">
        <f t="shared" si="40"/>
        <v>0</v>
      </c>
      <c r="AH73" s="29">
        <f t="shared" si="40"/>
        <v>0</v>
      </c>
      <c r="AI73" s="29">
        <f t="shared" si="40"/>
        <v>0</v>
      </c>
      <c r="AJ73" s="29">
        <f t="shared" si="40"/>
        <v>0</v>
      </c>
      <c r="AK73" s="29">
        <f t="shared" si="40"/>
        <v>0</v>
      </c>
      <c r="AL73" s="29">
        <f t="shared" si="40"/>
        <v>0</v>
      </c>
      <c r="AM73" s="29">
        <f t="shared" si="40"/>
        <v>0</v>
      </c>
      <c r="AN73" s="29">
        <f t="shared" si="40"/>
        <v>0</v>
      </c>
      <c r="AO73" s="29">
        <f t="shared" si="40"/>
        <v>0</v>
      </c>
      <c r="AP73" s="29">
        <f t="shared" si="40"/>
        <v>0</v>
      </c>
      <c r="AQ73" s="29">
        <f t="shared" si="40"/>
        <v>0</v>
      </c>
      <c r="AR73" s="29">
        <f t="shared" si="40"/>
        <v>0</v>
      </c>
      <c r="AS73" s="29">
        <f t="shared" si="40"/>
        <v>0</v>
      </c>
      <c r="AT73" s="29">
        <f t="shared" si="40"/>
        <v>0</v>
      </c>
      <c r="AU73" s="29">
        <f t="shared" si="40"/>
        <v>0</v>
      </c>
      <c r="AV73" s="29">
        <f t="shared" si="40"/>
        <v>0</v>
      </c>
      <c r="AW73" s="29">
        <f t="shared" si="40"/>
        <v>0</v>
      </c>
      <c r="AX73" s="29">
        <f t="shared" si="40"/>
        <v>0</v>
      </c>
      <c r="AY73" s="29">
        <f t="shared" si="40"/>
        <v>0</v>
      </c>
      <c r="AZ73" s="29">
        <f t="shared" si="40"/>
        <v>0</v>
      </c>
      <c r="BA73" s="29">
        <f t="shared" si="40"/>
        <v>0</v>
      </c>
      <c r="BB73" s="29">
        <f t="shared" si="40"/>
        <v>0</v>
      </c>
      <c r="BC73" s="29">
        <f t="shared" si="40"/>
        <v>0</v>
      </c>
      <c r="BD73" s="29">
        <f t="shared" si="40"/>
        <v>0</v>
      </c>
      <c r="BE73" s="29">
        <f t="shared" si="40"/>
        <v>0</v>
      </c>
      <c r="BF73" s="29">
        <f t="shared" si="40"/>
        <v>0</v>
      </c>
      <c r="BG73" s="29">
        <f t="shared" si="40"/>
        <v>0</v>
      </c>
      <c r="BH73" s="29">
        <f t="shared" si="40"/>
        <v>0</v>
      </c>
      <c r="BI73" s="29">
        <f t="shared" si="40"/>
        <v>0</v>
      </c>
      <c r="BJ73" s="29">
        <f t="shared" si="40"/>
        <v>0</v>
      </c>
      <c r="BK73" s="29">
        <f t="shared" si="40"/>
        <v>0</v>
      </c>
      <c r="BL73" s="29">
        <f t="shared" si="40"/>
        <v>0</v>
      </c>
      <c r="BM73" s="29">
        <f t="shared" si="40"/>
        <v>0</v>
      </c>
      <c r="BN73" s="29">
        <f t="shared" si="40"/>
        <v>0</v>
      </c>
      <c r="BO73" s="29">
        <f t="shared" si="40"/>
        <v>0</v>
      </c>
      <c r="BP73" s="29">
        <f t="shared" si="40"/>
        <v>0</v>
      </c>
      <c r="BQ73" s="29">
        <f t="shared" si="40"/>
        <v>0</v>
      </c>
      <c r="BR73" s="29">
        <f t="shared" si="40"/>
        <v>0</v>
      </c>
      <c r="BS73" s="29">
        <f t="shared" si="40"/>
        <v>0</v>
      </c>
      <c r="BT73" s="29">
        <f t="shared" si="40"/>
        <v>0</v>
      </c>
      <c r="BU73" s="29">
        <f t="shared" si="40"/>
        <v>0</v>
      </c>
      <c r="BV73" s="29">
        <f t="shared" si="40"/>
        <v>0</v>
      </c>
      <c r="BW73" s="29">
        <f t="shared" si="40"/>
        <v>0</v>
      </c>
      <c r="BX73" s="29">
        <f t="shared" si="40"/>
        <v>0</v>
      </c>
      <c r="BY73" s="29">
        <f t="shared" si="40"/>
        <v>0</v>
      </c>
      <c r="BZ73" s="29">
        <f t="shared" si="40"/>
        <v>0</v>
      </c>
      <c r="CA73" s="29">
        <f t="shared" si="40"/>
        <v>0</v>
      </c>
      <c r="CB73" s="29">
        <f t="shared" si="40"/>
        <v>0</v>
      </c>
      <c r="CC73" s="29">
        <f t="shared" si="40"/>
        <v>0</v>
      </c>
      <c r="CD73" s="29">
        <f t="shared" si="40"/>
        <v>0</v>
      </c>
      <c r="CE73" s="29">
        <f t="shared" si="40"/>
        <v>0</v>
      </c>
      <c r="CF73" s="29">
        <f t="shared" si="40"/>
        <v>0</v>
      </c>
      <c r="CG73" s="29">
        <f t="shared" si="40"/>
        <v>0</v>
      </c>
      <c r="CH73" s="29">
        <f t="shared" si="40"/>
        <v>0</v>
      </c>
    </row>
    <row r="74" spans="2:86" ht="13">
      <c r="B74" s="15" t="str">
        <f t="shared" si="25"/>
        <v>Cumulative GP Catchup</v>
      </c>
      <c r="D74" s="15" t="s">
        <v>247</v>
      </c>
      <c r="E74" s="29">
        <f t="shared" si="15"/>
        <v>0</v>
      </c>
      <c r="F74" s="29"/>
      <c r="G74" s="29">
        <f t="shared" ref="G74:CH74" si="41">F74+G45</f>
        <v>0</v>
      </c>
      <c r="H74" s="29">
        <f t="shared" si="41"/>
        <v>0</v>
      </c>
      <c r="I74" s="29">
        <f t="shared" si="41"/>
        <v>0</v>
      </c>
      <c r="J74" s="29">
        <f t="shared" si="41"/>
        <v>0</v>
      </c>
      <c r="K74" s="29">
        <f t="shared" si="41"/>
        <v>0</v>
      </c>
      <c r="L74" s="29">
        <f t="shared" si="41"/>
        <v>0</v>
      </c>
      <c r="M74" s="29">
        <f t="shared" si="41"/>
        <v>0</v>
      </c>
      <c r="N74" s="29">
        <f t="shared" si="41"/>
        <v>0</v>
      </c>
      <c r="O74" s="29">
        <f t="shared" si="41"/>
        <v>0</v>
      </c>
      <c r="P74" s="29">
        <f t="shared" si="41"/>
        <v>0</v>
      </c>
      <c r="Q74" s="29">
        <f t="shared" si="41"/>
        <v>0</v>
      </c>
      <c r="R74" s="29">
        <f t="shared" si="41"/>
        <v>0</v>
      </c>
      <c r="S74" s="29">
        <f t="shared" si="41"/>
        <v>0</v>
      </c>
      <c r="T74" s="29">
        <f t="shared" si="41"/>
        <v>0</v>
      </c>
      <c r="U74" s="29">
        <f t="shared" si="41"/>
        <v>0</v>
      </c>
      <c r="V74" s="29">
        <f t="shared" si="41"/>
        <v>0</v>
      </c>
      <c r="W74" s="29">
        <f t="shared" si="41"/>
        <v>0</v>
      </c>
      <c r="X74" s="29">
        <f t="shared" si="41"/>
        <v>0</v>
      </c>
      <c r="Y74" s="29">
        <f t="shared" si="41"/>
        <v>0</v>
      </c>
      <c r="Z74" s="29">
        <f t="shared" si="41"/>
        <v>0</v>
      </c>
      <c r="AA74" s="29">
        <f t="shared" si="41"/>
        <v>0</v>
      </c>
      <c r="AB74" s="29">
        <f t="shared" si="41"/>
        <v>0</v>
      </c>
      <c r="AC74" s="29">
        <f t="shared" si="41"/>
        <v>0</v>
      </c>
      <c r="AD74" s="29">
        <f t="shared" si="41"/>
        <v>0</v>
      </c>
      <c r="AE74" s="29">
        <f t="shared" si="41"/>
        <v>0</v>
      </c>
      <c r="AF74" s="29">
        <f t="shared" si="41"/>
        <v>0</v>
      </c>
      <c r="AG74" s="29">
        <f t="shared" si="41"/>
        <v>0</v>
      </c>
      <c r="AH74" s="29">
        <f t="shared" si="41"/>
        <v>0</v>
      </c>
      <c r="AI74" s="29">
        <f t="shared" si="41"/>
        <v>0</v>
      </c>
      <c r="AJ74" s="29">
        <f t="shared" si="41"/>
        <v>0</v>
      </c>
      <c r="AK74" s="29">
        <f t="shared" si="41"/>
        <v>0</v>
      </c>
      <c r="AL74" s="29">
        <f t="shared" si="41"/>
        <v>0</v>
      </c>
      <c r="AM74" s="29">
        <f t="shared" si="41"/>
        <v>0</v>
      </c>
      <c r="AN74" s="29">
        <f t="shared" si="41"/>
        <v>0</v>
      </c>
      <c r="AO74" s="29">
        <f t="shared" si="41"/>
        <v>0</v>
      </c>
      <c r="AP74" s="29">
        <f t="shared" si="41"/>
        <v>0</v>
      </c>
      <c r="AQ74" s="29">
        <f t="shared" si="41"/>
        <v>0</v>
      </c>
      <c r="AR74" s="29">
        <f t="shared" si="41"/>
        <v>0</v>
      </c>
      <c r="AS74" s="29">
        <f t="shared" si="41"/>
        <v>0</v>
      </c>
      <c r="AT74" s="29">
        <f t="shared" si="41"/>
        <v>0</v>
      </c>
      <c r="AU74" s="29">
        <f t="shared" si="41"/>
        <v>0</v>
      </c>
      <c r="AV74" s="29">
        <f t="shared" si="41"/>
        <v>0</v>
      </c>
      <c r="AW74" s="29">
        <f t="shared" si="41"/>
        <v>0</v>
      </c>
      <c r="AX74" s="29">
        <f t="shared" si="41"/>
        <v>0</v>
      </c>
      <c r="AY74" s="29">
        <f t="shared" si="41"/>
        <v>0</v>
      </c>
      <c r="AZ74" s="29">
        <f t="shared" si="41"/>
        <v>0</v>
      </c>
      <c r="BA74" s="29">
        <f t="shared" si="41"/>
        <v>0</v>
      </c>
      <c r="BB74" s="29">
        <f t="shared" si="41"/>
        <v>0</v>
      </c>
      <c r="BC74" s="29">
        <f t="shared" si="41"/>
        <v>0</v>
      </c>
      <c r="BD74" s="29">
        <f t="shared" si="41"/>
        <v>0</v>
      </c>
      <c r="BE74" s="29">
        <f t="shared" si="41"/>
        <v>0</v>
      </c>
      <c r="BF74" s="29">
        <f t="shared" si="41"/>
        <v>0</v>
      </c>
      <c r="BG74" s="29">
        <f t="shared" si="41"/>
        <v>0</v>
      </c>
      <c r="BH74" s="29">
        <f t="shared" si="41"/>
        <v>0</v>
      </c>
      <c r="BI74" s="29">
        <f t="shared" si="41"/>
        <v>0</v>
      </c>
      <c r="BJ74" s="29">
        <f t="shared" si="41"/>
        <v>0</v>
      </c>
      <c r="BK74" s="29">
        <f t="shared" si="41"/>
        <v>0</v>
      </c>
      <c r="BL74" s="29">
        <f t="shared" si="41"/>
        <v>0</v>
      </c>
      <c r="BM74" s="29">
        <f t="shared" si="41"/>
        <v>0</v>
      </c>
      <c r="BN74" s="29">
        <f t="shared" si="41"/>
        <v>0</v>
      </c>
      <c r="BO74" s="29">
        <f t="shared" si="41"/>
        <v>0</v>
      </c>
      <c r="BP74" s="29">
        <f t="shared" si="41"/>
        <v>0</v>
      </c>
      <c r="BQ74" s="29">
        <f t="shared" si="41"/>
        <v>0</v>
      </c>
      <c r="BR74" s="29">
        <f t="shared" si="41"/>
        <v>0</v>
      </c>
      <c r="BS74" s="29">
        <f t="shared" si="41"/>
        <v>0</v>
      </c>
      <c r="BT74" s="29">
        <f t="shared" si="41"/>
        <v>0</v>
      </c>
      <c r="BU74" s="29">
        <f t="shared" si="41"/>
        <v>0</v>
      </c>
      <c r="BV74" s="29">
        <f t="shared" si="41"/>
        <v>0</v>
      </c>
      <c r="BW74" s="29">
        <f t="shared" si="41"/>
        <v>0</v>
      </c>
      <c r="BX74" s="29">
        <f t="shared" si="41"/>
        <v>0</v>
      </c>
      <c r="BY74" s="29">
        <f t="shared" si="41"/>
        <v>0</v>
      </c>
      <c r="BZ74" s="29">
        <f t="shared" si="41"/>
        <v>0</v>
      </c>
      <c r="CA74" s="29">
        <f t="shared" si="41"/>
        <v>0</v>
      </c>
      <c r="CB74" s="29">
        <f t="shared" si="41"/>
        <v>0</v>
      </c>
      <c r="CC74" s="29">
        <f t="shared" si="41"/>
        <v>0</v>
      </c>
      <c r="CD74" s="29">
        <f t="shared" si="41"/>
        <v>0</v>
      </c>
      <c r="CE74" s="29">
        <f t="shared" si="41"/>
        <v>0</v>
      </c>
      <c r="CF74" s="29">
        <f t="shared" si="41"/>
        <v>0</v>
      </c>
      <c r="CG74" s="29">
        <f t="shared" si="41"/>
        <v>0</v>
      </c>
      <c r="CH74" s="29">
        <f t="shared" si="41"/>
        <v>0</v>
      </c>
    </row>
    <row r="75" spans="2:86" ht="13">
      <c r="B75" s="15" t="str">
        <f t="shared" si="25"/>
        <v>Cumulative Carried Interest</v>
      </c>
      <c r="C75" s="15"/>
      <c r="D75" s="15" t="s">
        <v>247</v>
      </c>
      <c r="E75" s="29">
        <f t="shared" ca="1" si="15"/>
        <v>21803315</v>
      </c>
      <c r="F75" s="29"/>
      <c r="G75" s="29">
        <f t="shared" ref="G75:CH75" ca="1" si="42">F75+G46</f>
        <v>0</v>
      </c>
      <c r="H75" s="29">
        <f t="shared" ca="1" si="42"/>
        <v>0</v>
      </c>
      <c r="I75" s="29">
        <f t="shared" ca="1" si="42"/>
        <v>0</v>
      </c>
      <c r="J75" s="29">
        <f t="shared" ca="1" si="42"/>
        <v>0</v>
      </c>
      <c r="K75" s="29">
        <f t="shared" ca="1" si="42"/>
        <v>0</v>
      </c>
      <c r="L75" s="29">
        <f t="shared" ca="1" si="42"/>
        <v>0</v>
      </c>
      <c r="M75" s="29">
        <f t="shared" ca="1" si="42"/>
        <v>0</v>
      </c>
      <c r="N75" s="29">
        <f t="shared" ca="1" si="42"/>
        <v>0</v>
      </c>
      <c r="O75" s="29">
        <f t="shared" ca="1" si="42"/>
        <v>0</v>
      </c>
      <c r="P75" s="29">
        <f t="shared" ca="1" si="42"/>
        <v>0</v>
      </c>
      <c r="Q75" s="29">
        <f t="shared" ca="1" si="42"/>
        <v>0</v>
      </c>
      <c r="R75" s="29">
        <f t="shared" ca="1" si="42"/>
        <v>0</v>
      </c>
      <c r="S75" s="29">
        <f t="shared" ca="1" si="42"/>
        <v>0</v>
      </c>
      <c r="T75" s="29">
        <f t="shared" ca="1" si="42"/>
        <v>0</v>
      </c>
      <c r="U75" s="29">
        <f t="shared" ca="1" si="42"/>
        <v>0</v>
      </c>
      <c r="V75" s="29">
        <f t="shared" ca="1" si="42"/>
        <v>0</v>
      </c>
      <c r="W75" s="29">
        <f t="shared" ca="1" si="42"/>
        <v>0</v>
      </c>
      <c r="X75" s="29">
        <f t="shared" ca="1" si="42"/>
        <v>0</v>
      </c>
      <c r="Y75" s="29">
        <f t="shared" ca="1" si="42"/>
        <v>399455.65476190578</v>
      </c>
      <c r="Z75" s="29">
        <f t="shared" ca="1" si="42"/>
        <v>828929.76190476306</v>
      </c>
      <c r="AA75" s="29">
        <f t="shared" ca="1" si="42"/>
        <v>1222689.5833333349</v>
      </c>
      <c r="AB75" s="29">
        <f t="shared" ca="1" si="42"/>
        <v>1616449.4047619067</v>
      </c>
      <c r="AC75" s="29">
        <f t="shared" ca="1" si="42"/>
        <v>2010209.2261904785</v>
      </c>
      <c r="AD75" s="29">
        <f t="shared" ca="1" si="42"/>
        <v>2403969.0476190504</v>
      </c>
      <c r="AE75" s="29">
        <f t="shared" ca="1" si="42"/>
        <v>3928420.4166666698</v>
      </c>
      <c r="AF75" s="29">
        <f t="shared" ca="1" si="42"/>
        <v>5452871.7857142892</v>
      </c>
      <c r="AG75" s="29">
        <f t="shared" ca="1" si="42"/>
        <v>6977323.1547619086</v>
      </c>
      <c r="AH75" s="29">
        <f t="shared" ca="1" si="42"/>
        <v>8501774.523809528</v>
      </c>
      <c r="AI75" s="29">
        <f t="shared" ca="1" si="42"/>
        <v>9891598.3333333377</v>
      </c>
      <c r="AJ75" s="29">
        <f t="shared" ca="1" si="42"/>
        <v>11281422.142857147</v>
      </c>
      <c r="AK75" s="29">
        <f t="shared" ca="1" si="42"/>
        <v>12671245.952380957</v>
      </c>
      <c r="AL75" s="29">
        <f t="shared" ca="1" si="42"/>
        <v>14061069.761904767</v>
      </c>
      <c r="AM75" s="29">
        <f t="shared" ca="1" si="42"/>
        <v>14940870.357142862</v>
      </c>
      <c r="AN75" s="29">
        <f t="shared" ca="1" si="42"/>
        <v>15820670.952380957</v>
      </c>
      <c r="AO75" s="29">
        <f t="shared" ca="1" si="42"/>
        <v>16700471.547619052</v>
      </c>
      <c r="AP75" s="29">
        <f t="shared" ca="1" si="42"/>
        <v>17580272.142857149</v>
      </c>
      <c r="AQ75" s="29">
        <f t="shared" ca="1" si="42"/>
        <v>18636032.857142862</v>
      </c>
      <c r="AR75" s="29">
        <f t="shared" ca="1" si="42"/>
        <v>19691793.571428575</v>
      </c>
      <c r="AS75" s="29">
        <f t="shared" ca="1" si="42"/>
        <v>20747554.285714287</v>
      </c>
      <c r="AT75" s="29">
        <f t="shared" ca="1" si="42"/>
        <v>21803315</v>
      </c>
      <c r="AU75" s="29">
        <f t="shared" ca="1" si="42"/>
        <v>21803315</v>
      </c>
      <c r="AV75" s="29">
        <f t="shared" ca="1" si="42"/>
        <v>21803315</v>
      </c>
      <c r="AW75" s="29">
        <f t="shared" ca="1" si="42"/>
        <v>21803315</v>
      </c>
      <c r="AX75" s="29">
        <f t="shared" ca="1" si="42"/>
        <v>21803315</v>
      </c>
      <c r="AY75" s="29">
        <f t="shared" ca="1" si="42"/>
        <v>21803315</v>
      </c>
      <c r="AZ75" s="29">
        <f t="shared" ca="1" si="42"/>
        <v>21803315</v>
      </c>
      <c r="BA75" s="29">
        <f t="shared" ca="1" si="42"/>
        <v>21803315</v>
      </c>
      <c r="BB75" s="29">
        <f t="shared" ca="1" si="42"/>
        <v>21803315</v>
      </c>
      <c r="BC75" s="29">
        <f t="shared" ca="1" si="42"/>
        <v>21803315</v>
      </c>
      <c r="BD75" s="29">
        <f t="shared" ca="1" si="42"/>
        <v>21803315</v>
      </c>
      <c r="BE75" s="29">
        <f t="shared" ca="1" si="42"/>
        <v>21803315</v>
      </c>
      <c r="BF75" s="29">
        <f t="shared" ca="1" si="42"/>
        <v>21803315</v>
      </c>
      <c r="BG75" s="29">
        <f t="shared" ca="1" si="42"/>
        <v>21803315</v>
      </c>
      <c r="BH75" s="29">
        <f t="shared" ca="1" si="42"/>
        <v>21803315</v>
      </c>
      <c r="BI75" s="29">
        <f t="shared" ca="1" si="42"/>
        <v>21803315</v>
      </c>
      <c r="BJ75" s="29">
        <f t="shared" ca="1" si="42"/>
        <v>21803315</v>
      </c>
      <c r="BK75" s="29">
        <f t="shared" ca="1" si="42"/>
        <v>21803315</v>
      </c>
      <c r="BL75" s="29">
        <f t="shared" ca="1" si="42"/>
        <v>21803315</v>
      </c>
      <c r="BM75" s="29">
        <f t="shared" ca="1" si="42"/>
        <v>21803315</v>
      </c>
      <c r="BN75" s="29">
        <f t="shared" ca="1" si="42"/>
        <v>21803315</v>
      </c>
      <c r="BO75" s="29">
        <f t="shared" ca="1" si="42"/>
        <v>21803315</v>
      </c>
      <c r="BP75" s="29">
        <f t="shared" ca="1" si="42"/>
        <v>21803315</v>
      </c>
      <c r="BQ75" s="29">
        <f t="shared" ca="1" si="42"/>
        <v>21803315</v>
      </c>
      <c r="BR75" s="29">
        <f t="shared" ca="1" si="42"/>
        <v>21803315</v>
      </c>
      <c r="BS75" s="29">
        <f t="shared" ca="1" si="42"/>
        <v>21803315</v>
      </c>
      <c r="BT75" s="29">
        <f t="shared" ca="1" si="42"/>
        <v>21803315</v>
      </c>
      <c r="BU75" s="29">
        <f t="shared" ca="1" si="42"/>
        <v>21803315</v>
      </c>
      <c r="BV75" s="29">
        <f t="shared" ca="1" si="42"/>
        <v>21803315</v>
      </c>
      <c r="BW75" s="29">
        <f t="shared" ca="1" si="42"/>
        <v>21803315</v>
      </c>
      <c r="BX75" s="29">
        <f t="shared" ca="1" si="42"/>
        <v>21803315</v>
      </c>
      <c r="BY75" s="29">
        <f t="shared" ca="1" si="42"/>
        <v>21803315</v>
      </c>
      <c r="BZ75" s="29">
        <f t="shared" ca="1" si="42"/>
        <v>21803315</v>
      </c>
      <c r="CA75" s="29">
        <f t="shared" ca="1" si="42"/>
        <v>21803315</v>
      </c>
      <c r="CB75" s="29">
        <f t="shared" ca="1" si="42"/>
        <v>21803315</v>
      </c>
      <c r="CC75" s="29">
        <f t="shared" ca="1" si="42"/>
        <v>21803315</v>
      </c>
      <c r="CD75" s="29">
        <f t="shared" ca="1" si="42"/>
        <v>21803315</v>
      </c>
      <c r="CE75" s="29">
        <f t="shared" ca="1" si="42"/>
        <v>21803315</v>
      </c>
      <c r="CF75" s="29">
        <f t="shared" ca="1" si="42"/>
        <v>21803315</v>
      </c>
      <c r="CG75" s="29">
        <f t="shared" ca="1" si="42"/>
        <v>21803315</v>
      </c>
      <c r="CH75" s="29">
        <f t="shared" ca="1" si="42"/>
        <v>21803315</v>
      </c>
    </row>
    <row r="76" spans="2:86" ht="13">
      <c r="B76" s="15" t="str">
        <f t="shared" si="25"/>
        <v>Cumulative Distributions</v>
      </c>
      <c r="C76" s="15"/>
      <c r="D76" s="15" t="s">
        <v>247</v>
      </c>
      <c r="E76" s="29">
        <f t="shared" ca="1" si="15"/>
        <v>112213260</v>
      </c>
      <c r="F76" s="29"/>
      <c r="G76" s="29">
        <f t="shared" ref="G76:CH76" ca="1" si="43">F76+G47</f>
        <v>0</v>
      </c>
      <c r="H76" s="29">
        <f t="shared" ca="1" si="43"/>
        <v>0</v>
      </c>
      <c r="I76" s="29">
        <f t="shared" ca="1" si="43"/>
        <v>0</v>
      </c>
      <c r="J76" s="29">
        <f t="shared" ca="1" si="43"/>
        <v>0</v>
      </c>
      <c r="K76" s="29">
        <f t="shared" ca="1" si="43"/>
        <v>0</v>
      </c>
      <c r="L76" s="29">
        <f t="shared" ca="1" si="43"/>
        <v>0</v>
      </c>
      <c r="M76" s="29">
        <f t="shared" ca="1" si="43"/>
        <v>0</v>
      </c>
      <c r="N76" s="29">
        <f t="shared" ca="1" si="43"/>
        <v>0</v>
      </c>
      <c r="O76" s="29">
        <f t="shared" ca="1" si="43"/>
        <v>0</v>
      </c>
      <c r="P76" s="29">
        <f t="shared" ca="1" si="43"/>
        <v>0</v>
      </c>
      <c r="Q76" s="29">
        <f t="shared" ca="1" si="43"/>
        <v>0</v>
      </c>
      <c r="R76" s="29">
        <f t="shared" ca="1" si="43"/>
        <v>0</v>
      </c>
      <c r="S76" s="29">
        <f t="shared" ca="1" si="43"/>
        <v>972125.00000000047</v>
      </c>
      <c r="T76" s="29">
        <f t="shared" ca="1" si="43"/>
        <v>1944250.0000000009</v>
      </c>
      <c r="U76" s="29">
        <f t="shared" ca="1" si="43"/>
        <v>2916375.0000000014</v>
      </c>
      <c r="V76" s="29">
        <f t="shared" ca="1" si="43"/>
        <v>3888500.0000000019</v>
      </c>
      <c r="W76" s="29">
        <f t="shared" ca="1" si="43"/>
        <v>7375156.2500000028</v>
      </c>
      <c r="X76" s="29">
        <f t="shared" ca="1" si="43"/>
        <v>10861812.500000004</v>
      </c>
      <c r="Y76" s="29">
        <f t="shared" ca="1" si="43"/>
        <v>13949013.095238099</v>
      </c>
      <c r="Z76" s="29">
        <f t="shared" ca="1" si="43"/>
        <v>17006195.238095243</v>
      </c>
      <c r="AA76" s="29">
        <f t="shared" ca="1" si="43"/>
        <v>20099091.666666672</v>
      </c>
      <c r="AB76" s="29">
        <f t="shared" ca="1" si="43"/>
        <v>23191988.095238101</v>
      </c>
      <c r="AC76" s="29">
        <f t="shared" ca="1" si="43"/>
        <v>26284884.52380953</v>
      </c>
      <c r="AD76" s="29">
        <f t="shared" ca="1" si="43"/>
        <v>29377780.952380959</v>
      </c>
      <c r="AE76" s="29">
        <f t="shared" ca="1" si="43"/>
        <v>36130348.333333336</v>
      </c>
      <c r="AF76" s="29">
        <f t="shared" ca="1" si="43"/>
        <v>42882915.714285716</v>
      </c>
      <c r="AG76" s="29">
        <f t="shared" ca="1" si="43"/>
        <v>49635483.095238097</v>
      </c>
      <c r="AH76" s="29">
        <f t="shared" ca="1" si="43"/>
        <v>56388050.476190478</v>
      </c>
      <c r="AI76" s="29">
        <f t="shared" ca="1" si="43"/>
        <v>62274726.666666664</v>
      </c>
      <c r="AJ76" s="29">
        <f t="shared" ca="1" si="43"/>
        <v>68161402.857142851</v>
      </c>
      <c r="AK76" s="29">
        <f t="shared" ca="1" si="43"/>
        <v>74048079.047619045</v>
      </c>
      <c r="AL76" s="29">
        <f t="shared" ca="1" si="43"/>
        <v>79934755.238095239</v>
      </c>
      <c r="AM76" s="29">
        <f t="shared" ca="1" si="43"/>
        <v>83602767.142857134</v>
      </c>
      <c r="AN76" s="29">
        <f t="shared" ca="1" si="43"/>
        <v>87270779.047619045</v>
      </c>
      <c r="AO76" s="29">
        <f t="shared" ca="1" si="43"/>
        <v>90938790.952380955</v>
      </c>
      <c r="AP76" s="29">
        <f t="shared" ca="1" si="43"/>
        <v>94606802.857142866</v>
      </c>
      <c r="AQ76" s="29">
        <f t="shared" ca="1" si="43"/>
        <v>99008417.142857149</v>
      </c>
      <c r="AR76" s="29">
        <f t="shared" ca="1" si="43"/>
        <v>103410031.42857143</v>
      </c>
      <c r="AS76" s="29">
        <f t="shared" ca="1" si="43"/>
        <v>107811645.71428572</v>
      </c>
      <c r="AT76" s="29">
        <f t="shared" ca="1" si="43"/>
        <v>112213260</v>
      </c>
      <c r="AU76" s="29">
        <f t="shared" ca="1" si="43"/>
        <v>112213260</v>
      </c>
      <c r="AV76" s="29">
        <f t="shared" ca="1" si="43"/>
        <v>112213260</v>
      </c>
      <c r="AW76" s="29">
        <f t="shared" ca="1" si="43"/>
        <v>112213260</v>
      </c>
      <c r="AX76" s="29">
        <f t="shared" ca="1" si="43"/>
        <v>112213260</v>
      </c>
      <c r="AY76" s="29">
        <f t="shared" ca="1" si="43"/>
        <v>112213260</v>
      </c>
      <c r="AZ76" s="29">
        <f t="shared" ca="1" si="43"/>
        <v>112213260</v>
      </c>
      <c r="BA76" s="29">
        <f t="shared" ca="1" si="43"/>
        <v>112213260</v>
      </c>
      <c r="BB76" s="29">
        <f t="shared" ca="1" si="43"/>
        <v>112213260</v>
      </c>
      <c r="BC76" s="29">
        <f t="shared" ca="1" si="43"/>
        <v>112213260</v>
      </c>
      <c r="BD76" s="29">
        <f t="shared" ca="1" si="43"/>
        <v>112213260</v>
      </c>
      <c r="BE76" s="29">
        <f t="shared" ca="1" si="43"/>
        <v>112213260</v>
      </c>
      <c r="BF76" s="29">
        <f t="shared" ca="1" si="43"/>
        <v>112213260</v>
      </c>
      <c r="BG76" s="29">
        <f t="shared" ca="1" si="43"/>
        <v>112213260</v>
      </c>
      <c r="BH76" s="29">
        <f t="shared" ca="1" si="43"/>
        <v>112213260</v>
      </c>
      <c r="BI76" s="29">
        <f t="shared" ca="1" si="43"/>
        <v>112213260</v>
      </c>
      <c r="BJ76" s="29">
        <f t="shared" ca="1" si="43"/>
        <v>112213260</v>
      </c>
      <c r="BK76" s="29">
        <f t="shared" ca="1" si="43"/>
        <v>112213260</v>
      </c>
      <c r="BL76" s="29">
        <f t="shared" ca="1" si="43"/>
        <v>112213260</v>
      </c>
      <c r="BM76" s="29">
        <f t="shared" ca="1" si="43"/>
        <v>112213260</v>
      </c>
      <c r="BN76" s="29">
        <f t="shared" ca="1" si="43"/>
        <v>112213260</v>
      </c>
      <c r="BO76" s="29">
        <f t="shared" ca="1" si="43"/>
        <v>112213260</v>
      </c>
      <c r="BP76" s="29">
        <f t="shared" ca="1" si="43"/>
        <v>112213260</v>
      </c>
      <c r="BQ76" s="29">
        <f t="shared" ca="1" si="43"/>
        <v>112213260</v>
      </c>
      <c r="BR76" s="29">
        <f t="shared" ca="1" si="43"/>
        <v>112213260</v>
      </c>
      <c r="BS76" s="29">
        <f t="shared" ca="1" si="43"/>
        <v>112213260</v>
      </c>
      <c r="BT76" s="29">
        <f t="shared" ca="1" si="43"/>
        <v>112213260</v>
      </c>
      <c r="BU76" s="29">
        <f t="shared" ca="1" si="43"/>
        <v>112213260</v>
      </c>
      <c r="BV76" s="29">
        <f t="shared" ca="1" si="43"/>
        <v>112213260</v>
      </c>
      <c r="BW76" s="29">
        <f t="shared" ca="1" si="43"/>
        <v>112213260</v>
      </c>
      <c r="BX76" s="29">
        <f t="shared" ca="1" si="43"/>
        <v>112213260</v>
      </c>
      <c r="BY76" s="29">
        <f t="shared" ca="1" si="43"/>
        <v>112213260</v>
      </c>
      <c r="BZ76" s="29">
        <f t="shared" ca="1" si="43"/>
        <v>112213260</v>
      </c>
      <c r="CA76" s="29">
        <f t="shared" ca="1" si="43"/>
        <v>112213260</v>
      </c>
      <c r="CB76" s="29">
        <f t="shared" ca="1" si="43"/>
        <v>112213260</v>
      </c>
      <c r="CC76" s="29">
        <f t="shared" ca="1" si="43"/>
        <v>112213260</v>
      </c>
      <c r="CD76" s="29">
        <f t="shared" ca="1" si="43"/>
        <v>112213260</v>
      </c>
      <c r="CE76" s="29">
        <f t="shared" ca="1" si="43"/>
        <v>112213260</v>
      </c>
      <c r="CF76" s="29">
        <f t="shared" ca="1" si="43"/>
        <v>112213260</v>
      </c>
      <c r="CG76" s="29">
        <f t="shared" ca="1" si="43"/>
        <v>112213260</v>
      </c>
      <c r="CH76" s="29">
        <f t="shared" ca="1" si="43"/>
        <v>112213260</v>
      </c>
    </row>
    <row r="77" spans="2:86" ht="13">
      <c r="B77" s="15" t="str">
        <f t="shared" si="25"/>
        <v>Cumulative Writeoffs</v>
      </c>
      <c r="C77" s="15"/>
      <c r="D77" s="15" t="s">
        <v>247</v>
      </c>
      <c r="E77" s="29">
        <f t="shared" ca="1" si="15"/>
        <v>12127500</v>
      </c>
      <c r="F77" s="29"/>
      <c r="G77" s="29">
        <f t="shared" ref="G77:CH77" ca="1" si="44">F77+G48</f>
        <v>0</v>
      </c>
      <c r="H77" s="29">
        <f t="shared" ca="1" si="44"/>
        <v>0</v>
      </c>
      <c r="I77" s="29">
        <f t="shared" ca="1" si="44"/>
        <v>0</v>
      </c>
      <c r="J77" s="29">
        <f t="shared" ca="1" si="44"/>
        <v>0</v>
      </c>
      <c r="K77" s="29">
        <f t="shared" ca="1" si="44"/>
        <v>0</v>
      </c>
      <c r="L77" s="29">
        <f t="shared" ca="1" si="44"/>
        <v>0</v>
      </c>
      <c r="M77" s="29">
        <f t="shared" ca="1" si="44"/>
        <v>0</v>
      </c>
      <c r="N77" s="29">
        <f t="shared" ca="1" si="44"/>
        <v>0</v>
      </c>
      <c r="O77" s="29">
        <f t="shared" ca="1" si="44"/>
        <v>721875</v>
      </c>
      <c r="P77" s="29">
        <f t="shared" ca="1" si="44"/>
        <v>1443750</v>
      </c>
      <c r="Q77" s="29">
        <f t="shared" ca="1" si="44"/>
        <v>2165625</v>
      </c>
      <c r="R77" s="29">
        <f t="shared" ca="1" si="44"/>
        <v>2887500</v>
      </c>
      <c r="S77" s="29">
        <f t="shared" ca="1" si="44"/>
        <v>3609375</v>
      </c>
      <c r="T77" s="29">
        <f t="shared" ca="1" si="44"/>
        <v>4331250</v>
      </c>
      <c r="U77" s="29">
        <f t="shared" ca="1" si="44"/>
        <v>5053125</v>
      </c>
      <c r="V77" s="29">
        <f t="shared" ca="1" si="44"/>
        <v>5775000</v>
      </c>
      <c r="W77" s="29">
        <f t="shared" ca="1" si="44"/>
        <v>6496875</v>
      </c>
      <c r="X77" s="29">
        <f t="shared" ca="1" si="44"/>
        <v>7218750</v>
      </c>
      <c r="Y77" s="29">
        <f t="shared" ca="1" si="44"/>
        <v>7940625</v>
      </c>
      <c r="Z77" s="29">
        <f t="shared" ca="1" si="44"/>
        <v>8662500</v>
      </c>
      <c r="AA77" s="29">
        <f t="shared" ca="1" si="44"/>
        <v>9528750</v>
      </c>
      <c r="AB77" s="29">
        <f t="shared" ca="1" si="44"/>
        <v>10395000</v>
      </c>
      <c r="AC77" s="29">
        <f t="shared" ca="1" si="44"/>
        <v>11261250</v>
      </c>
      <c r="AD77" s="29">
        <f t="shared" ca="1" si="44"/>
        <v>12127500</v>
      </c>
      <c r="AE77" s="29">
        <f t="shared" ca="1" si="44"/>
        <v>12127500</v>
      </c>
      <c r="AF77" s="29">
        <f t="shared" ca="1" si="44"/>
        <v>12127500</v>
      </c>
      <c r="AG77" s="29">
        <f t="shared" ca="1" si="44"/>
        <v>12127500</v>
      </c>
      <c r="AH77" s="29">
        <f t="shared" ca="1" si="44"/>
        <v>12127500</v>
      </c>
      <c r="AI77" s="29">
        <f t="shared" ca="1" si="44"/>
        <v>12127500</v>
      </c>
      <c r="AJ77" s="29">
        <f t="shared" ca="1" si="44"/>
        <v>12127500</v>
      </c>
      <c r="AK77" s="29">
        <f t="shared" ca="1" si="44"/>
        <v>12127500</v>
      </c>
      <c r="AL77" s="29">
        <f t="shared" ca="1" si="44"/>
        <v>12127500</v>
      </c>
      <c r="AM77" s="29">
        <f t="shared" ca="1" si="44"/>
        <v>12127500</v>
      </c>
      <c r="AN77" s="29">
        <f t="shared" ca="1" si="44"/>
        <v>12127500</v>
      </c>
      <c r="AO77" s="29">
        <f t="shared" ca="1" si="44"/>
        <v>12127500</v>
      </c>
      <c r="AP77" s="29">
        <f t="shared" ca="1" si="44"/>
        <v>12127500</v>
      </c>
      <c r="AQ77" s="29">
        <f t="shared" ca="1" si="44"/>
        <v>12127500</v>
      </c>
      <c r="AR77" s="29">
        <f t="shared" ca="1" si="44"/>
        <v>12127500</v>
      </c>
      <c r="AS77" s="29">
        <f t="shared" ca="1" si="44"/>
        <v>12127500</v>
      </c>
      <c r="AT77" s="29">
        <f t="shared" ca="1" si="44"/>
        <v>12127500</v>
      </c>
      <c r="AU77" s="29">
        <f t="shared" ca="1" si="44"/>
        <v>12127500</v>
      </c>
      <c r="AV77" s="29">
        <f t="shared" ca="1" si="44"/>
        <v>12127500</v>
      </c>
      <c r="AW77" s="29">
        <f t="shared" ca="1" si="44"/>
        <v>12127500</v>
      </c>
      <c r="AX77" s="29">
        <f t="shared" ca="1" si="44"/>
        <v>12127500</v>
      </c>
      <c r="AY77" s="29">
        <f t="shared" ca="1" si="44"/>
        <v>12127500</v>
      </c>
      <c r="AZ77" s="29">
        <f t="shared" ca="1" si="44"/>
        <v>12127500</v>
      </c>
      <c r="BA77" s="29">
        <f t="shared" ca="1" si="44"/>
        <v>12127500</v>
      </c>
      <c r="BB77" s="29">
        <f t="shared" ca="1" si="44"/>
        <v>12127500</v>
      </c>
      <c r="BC77" s="29">
        <f t="shared" ca="1" si="44"/>
        <v>12127500</v>
      </c>
      <c r="BD77" s="29">
        <f t="shared" ca="1" si="44"/>
        <v>12127500</v>
      </c>
      <c r="BE77" s="29">
        <f t="shared" ca="1" si="44"/>
        <v>12127500</v>
      </c>
      <c r="BF77" s="29">
        <f t="shared" ca="1" si="44"/>
        <v>12127500</v>
      </c>
      <c r="BG77" s="29">
        <f t="shared" ca="1" si="44"/>
        <v>12127500</v>
      </c>
      <c r="BH77" s="29">
        <f t="shared" ca="1" si="44"/>
        <v>12127500</v>
      </c>
      <c r="BI77" s="29">
        <f t="shared" ca="1" si="44"/>
        <v>12127500</v>
      </c>
      <c r="BJ77" s="29">
        <f t="shared" ca="1" si="44"/>
        <v>12127500</v>
      </c>
      <c r="BK77" s="29">
        <f t="shared" ca="1" si="44"/>
        <v>12127500</v>
      </c>
      <c r="BL77" s="29">
        <f t="shared" ca="1" si="44"/>
        <v>12127500</v>
      </c>
      <c r="BM77" s="29">
        <f t="shared" ca="1" si="44"/>
        <v>12127500</v>
      </c>
      <c r="BN77" s="29">
        <f t="shared" ca="1" si="44"/>
        <v>12127500</v>
      </c>
      <c r="BO77" s="29">
        <f t="shared" ca="1" si="44"/>
        <v>12127500</v>
      </c>
      <c r="BP77" s="29">
        <f t="shared" ca="1" si="44"/>
        <v>12127500</v>
      </c>
      <c r="BQ77" s="29">
        <f t="shared" ca="1" si="44"/>
        <v>12127500</v>
      </c>
      <c r="BR77" s="29">
        <f t="shared" ca="1" si="44"/>
        <v>12127500</v>
      </c>
      <c r="BS77" s="29">
        <f t="shared" ca="1" si="44"/>
        <v>12127500</v>
      </c>
      <c r="BT77" s="29">
        <f t="shared" ca="1" si="44"/>
        <v>12127500</v>
      </c>
      <c r="BU77" s="29">
        <f t="shared" ca="1" si="44"/>
        <v>12127500</v>
      </c>
      <c r="BV77" s="29">
        <f t="shared" ca="1" si="44"/>
        <v>12127500</v>
      </c>
      <c r="BW77" s="29">
        <f t="shared" ca="1" si="44"/>
        <v>12127500</v>
      </c>
      <c r="BX77" s="29">
        <f t="shared" ca="1" si="44"/>
        <v>12127500</v>
      </c>
      <c r="BY77" s="29">
        <f t="shared" ca="1" si="44"/>
        <v>12127500</v>
      </c>
      <c r="BZ77" s="29">
        <f t="shared" ca="1" si="44"/>
        <v>12127500</v>
      </c>
      <c r="CA77" s="29">
        <f t="shared" ca="1" si="44"/>
        <v>12127500</v>
      </c>
      <c r="CB77" s="29">
        <f t="shared" ca="1" si="44"/>
        <v>12127500</v>
      </c>
      <c r="CC77" s="29">
        <f t="shared" ca="1" si="44"/>
        <v>12127500</v>
      </c>
      <c r="CD77" s="29">
        <f t="shared" ca="1" si="44"/>
        <v>12127500</v>
      </c>
      <c r="CE77" s="29">
        <f t="shared" ca="1" si="44"/>
        <v>12127500</v>
      </c>
      <c r="CF77" s="29">
        <f t="shared" ca="1" si="44"/>
        <v>12127500</v>
      </c>
      <c r="CG77" s="29">
        <f t="shared" ca="1" si="44"/>
        <v>12127500</v>
      </c>
      <c r="CH77" s="29">
        <f t="shared" ca="1" si="44"/>
        <v>12127500</v>
      </c>
    </row>
    <row r="78" spans="2:86" ht="13">
      <c r="B78" s="15" t="str">
        <f t="shared" si="25"/>
        <v>Cumulative Invested Capital Exited</v>
      </c>
      <c r="C78" s="15"/>
      <c r="D78" s="15" t="s">
        <v>247</v>
      </c>
      <c r="E78" s="29">
        <f t="shared" ca="1" si="15"/>
        <v>8085000</v>
      </c>
      <c r="F78" s="29"/>
      <c r="G78" s="29">
        <f t="shared" ref="G78:CH78" ca="1" si="45">F78+G49</f>
        <v>0</v>
      </c>
      <c r="H78" s="29">
        <f t="shared" ca="1" si="45"/>
        <v>0</v>
      </c>
      <c r="I78" s="29">
        <f t="shared" ca="1" si="45"/>
        <v>0</v>
      </c>
      <c r="J78" s="29">
        <f t="shared" ca="1" si="45"/>
        <v>0</v>
      </c>
      <c r="K78" s="29">
        <f t="shared" ca="1" si="45"/>
        <v>0</v>
      </c>
      <c r="L78" s="29">
        <f t="shared" ca="1" si="45"/>
        <v>0</v>
      </c>
      <c r="M78" s="29">
        <f t="shared" ca="1" si="45"/>
        <v>0</v>
      </c>
      <c r="N78" s="29">
        <f t="shared" ca="1" si="45"/>
        <v>0</v>
      </c>
      <c r="O78" s="29">
        <f t="shared" ca="1" si="45"/>
        <v>0</v>
      </c>
      <c r="P78" s="29">
        <f t="shared" ca="1" si="45"/>
        <v>0</v>
      </c>
      <c r="Q78" s="29">
        <f t="shared" ca="1" si="45"/>
        <v>0</v>
      </c>
      <c r="R78" s="29">
        <f t="shared" ca="1" si="45"/>
        <v>0</v>
      </c>
      <c r="S78" s="29">
        <f t="shared" ca="1" si="45"/>
        <v>240625</v>
      </c>
      <c r="T78" s="29">
        <f t="shared" ca="1" si="45"/>
        <v>481250</v>
      </c>
      <c r="U78" s="29">
        <f t="shared" ca="1" si="45"/>
        <v>721875</v>
      </c>
      <c r="V78" s="29">
        <f t="shared" ca="1" si="45"/>
        <v>962500</v>
      </c>
      <c r="W78" s="29">
        <f t="shared" ca="1" si="45"/>
        <v>1323437.5</v>
      </c>
      <c r="X78" s="29">
        <f t="shared" ca="1" si="45"/>
        <v>1684375</v>
      </c>
      <c r="Y78" s="29">
        <f t="shared" ca="1" si="45"/>
        <v>2045312.5</v>
      </c>
      <c r="Z78" s="29">
        <f t="shared" ca="1" si="45"/>
        <v>2406250</v>
      </c>
      <c r="AA78" s="29">
        <f t="shared" ca="1" si="45"/>
        <v>2767187.5</v>
      </c>
      <c r="AB78" s="29">
        <f t="shared" ca="1" si="45"/>
        <v>3128125</v>
      </c>
      <c r="AC78" s="29">
        <f t="shared" ca="1" si="45"/>
        <v>3489062.5</v>
      </c>
      <c r="AD78" s="29">
        <f t="shared" ca="1" si="45"/>
        <v>3850000</v>
      </c>
      <c r="AE78" s="29">
        <f t="shared" ca="1" si="45"/>
        <v>4379375</v>
      </c>
      <c r="AF78" s="29">
        <f t="shared" ca="1" si="45"/>
        <v>4908750</v>
      </c>
      <c r="AG78" s="29">
        <f t="shared" ca="1" si="45"/>
        <v>5438125</v>
      </c>
      <c r="AH78" s="29">
        <f t="shared" ca="1" si="45"/>
        <v>5967500</v>
      </c>
      <c r="AI78" s="29">
        <f t="shared" ca="1" si="45"/>
        <v>6232187.5</v>
      </c>
      <c r="AJ78" s="29">
        <f t="shared" ca="1" si="45"/>
        <v>6496875</v>
      </c>
      <c r="AK78" s="29">
        <f t="shared" ca="1" si="45"/>
        <v>6761562.5</v>
      </c>
      <c r="AL78" s="29">
        <f t="shared" ca="1" si="45"/>
        <v>7026250</v>
      </c>
      <c r="AM78" s="29">
        <f t="shared" ca="1" si="45"/>
        <v>7146562.5</v>
      </c>
      <c r="AN78" s="29">
        <f t="shared" ca="1" si="45"/>
        <v>7266875</v>
      </c>
      <c r="AO78" s="29">
        <f t="shared" ca="1" si="45"/>
        <v>7387187.5</v>
      </c>
      <c r="AP78" s="29">
        <f t="shared" ca="1" si="45"/>
        <v>7507500</v>
      </c>
      <c r="AQ78" s="29">
        <f t="shared" ca="1" si="45"/>
        <v>7651875</v>
      </c>
      <c r="AR78" s="29">
        <f t="shared" ca="1" si="45"/>
        <v>7796250</v>
      </c>
      <c r="AS78" s="29">
        <f t="shared" ca="1" si="45"/>
        <v>7940625</v>
      </c>
      <c r="AT78" s="29">
        <f t="shared" ca="1" si="45"/>
        <v>8085000</v>
      </c>
      <c r="AU78" s="29">
        <f t="shared" ca="1" si="45"/>
        <v>8085000</v>
      </c>
      <c r="AV78" s="29">
        <f t="shared" ca="1" si="45"/>
        <v>8085000</v>
      </c>
      <c r="AW78" s="29">
        <f t="shared" ca="1" si="45"/>
        <v>8085000</v>
      </c>
      <c r="AX78" s="29">
        <f t="shared" ca="1" si="45"/>
        <v>8085000</v>
      </c>
      <c r="AY78" s="29">
        <f t="shared" ca="1" si="45"/>
        <v>8085000</v>
      </c>
      <c r="AZ78" s="29">
        <f t="shared" ca="1" si="45"/>
        <v>8085000</v>
      </c>
      <c r="BA78" s="29">
        <f t="shared" ca="1" si="45"/>
        <v>8085000</v>
      </c>
      <c r="BB78" s="29">
        <f t="shared" ca="1" si="45"/>
        <v>8085000</v>
      </c>
      <c r="BC78" s="29">
        <f t="shared" ca="1" si="45"/>
        <v>8085000</v>
      </c>
      <c r="BD78" s="29">
        <f t="shared" ca="1" si="45"/>
        <v>8085000</v>
      </c>
      <c r="BE78" s="29">
        <f t="shared" ca="1" si="45"/>
        <v>8085000</v>
      </c>
      <c r="BF78" s="29">
        <f t="shared" ca="1" si="45"/>
        <v>8085000</v>
      </c>
      <c r="BG78" s="29">
        <f t="shared" ca="1" si="45"/>
        <v>8085000</v>
      </c>
      <c r="BH78" s="29">
        <f t="shared" ca="1" si="45"/>
        <v>8085000</v>
      </c>
      <c r="BI78" s="29">
        <f t="shared" ca="1" si="45"/>
        <v>8085000</v>
      </c>
      <c r="BJ78" s="29">
        <f t="shared" ca="1" si="45"/>
        <v>8085000</v>
      </c>
      <c r="BK78" s="29">
        <f t="shared" ca="1" si="45"/>
        <v>8085000</v>
      </c>
      <c r="BL78" s="29">
        <f t="shared" ca="1" si="45"/>
        <v>8085000</v>
      </c>
      <c r="BM78" s="29">
        <f t="shared" ca="1" si="45"/>
        <v>8085000</v>
      </c>
      <c r="BN78" s="29">
        <f t="shared" ca="1" si="45"/>
        <v>8085000</v>
      </c>
      <c r="BO78" s="29">
        <f t="shared" ca="1" si="45"/>
        <v>8085000</v>
      </c>
      <c r="BP78" s="29">
        <f t="shared" ca="1" si="45"/>
        <v>8085000</v>
      </c>
      <c r="BQ78" s="29">
        <f t="shared" ca="1" si="45"/>
        <v>8085000</v>
      </c>
      <c r="BR78" s="29">
        <f t="shared" ca="1" si="45"/>
        <v>8085000</v>
      </c>
      <c r="BS78" s="29">
        <f t="shared" ca="1" si="45"/>
        <v>8085000</v>
      </c>
      <c r="BT78" s="29">
        <f t="shared" ca="1" si="45"/>
        <v>8085000</v>
      </c>
      <c r="BU78" s="29">
        <f t="shared" ca="1" si="45"/>
        <v>8085000</v>
      </c>
      <c r="BV78" s="29">
        <f t="shared" ca="1" si="45"/>
        <v>8085000</v>
      </c>
      <c r="BW78" s="29">
        <f t="shared" ca="1" si="45"/>
        <v>8085000</v>
      </c>
      <c r="BX78" s="29">
        <f t="shared" ca="1" si="45"/>
        <v>8085000</v>
      </c>
      <c r="BY78" s="29">
        <f t="shared" ca="1" si="45"/>
        <v>8085000</v>
      </c>
      <c r="BZ78" s="29">
        <f t="shared" ca="1" si="45"/>
        <v>8085000</v>
      </c>
      <c r="CA78" s="29">
        <f t="shared" ca="1" si="45"/>
        <v>8085000</v>
      </c>
      <c r="CB78" s="29">
        <f t="shared" ca="1" si="45"/>
        <v>8085000</v>
      </c>
      <c r="CC78" s="29">
        <f t="shared" ca="1" si="45"/>
        <v>8085000</v>
      </c>
      <c r="CD78" s="29">
        <f t="shared" ca="1" si="45"/>
        <v>8085000</v>
      </c>
      <c r="CE78" s="29">
        <f t="shared" ca="1" si="45"/>
        <v>8085000</v>
      </c>
      <c r="CF78" s="29">
        <f t="shared" ca="1" si="45"/>
        <v>8085000</v>
      </c>
      <c r="CG78" s="29">
        <f t="shared" ca="1" si="45"/>
        <v>8085000</v>
      </c>
      <c r="CH78" s="29">
        <f t="shared" ca="1" si="45"/>
        <v>8085000</v>
      </c>
    </row>
    <row r="79" spans="2:86" ht="13">
      <c r="B79" s="15" t="str">
        <f t="shared" si="25"/>
        <v>Cumulative Change in Invested Capital</v>
      </c>
      <c r="C79" s="15"/>
      <c r="D79" s="15" t="s">
        <v>247</v>
      </c>
      <c r="E79" s="29">
        <f t="shared" ca="1" si="15"/>
        <v>0</v>
      </c>
      <c r="F79" s="29"/>
      <c r="G79" s="29">
        <f t="shared" ref="G79:CH79" ca="1" si="46">F79+G50</f>
        <v>1203125</v>
      </c>
      <c r="H79" s="29">
        <f t="shared" ca="1" si="46"/>
        <v>2406250</v>
      </c>
      <c r="I79" s="29">
        <f t="shared" ca="1" si="46"/>
        <v>3609375</v>
      </c>
      <c r="J79" s="29">
        <f t="shared" ca="1" si="46"/>
        <v>4812500</v>
      </c>
      <c r="K79" s="29">
        <f t="shared" ca="1" si="46"/>
        <v>6015625</v>
      </c>
      <c r="L79" s="29">
        <f t="shared" ca="1" si="46"/>
        <v>7218750</v>
      </c>
      <c r="M79" s="29">
        <f t="shared" ca="1" si="46"/>
        <v>8421875</v>
      </c>
      <c r="N79" s="29">
        <f t="shared" ca="1" si="46"/>
        <v>9625000</v>
      </c>
      <c r="O79" s="29">
        <f t="shared" ca="1" si="46"/>
        <v>10106250</v>
      </c>
      <c r="P79" s="29">
        <f t="shared" ca="1" si="46"/>
        <v>10587500</v>
      </c>
      <c r="Q79" s="29">
        <f t="shared" ca="1" si="46"/>
        <v>11068750</v>
      </c>
      <c r="R79" s="29">
        <f t="shared" ca="1" si="46"/>
        <v>11550000</v>
      </c>
      <c r="S79" s="29">
        <f t="shared" ca="1" si="46"/>
        <v>12031250</v>
      </c>
      <c r="T79" s="29">
        <f t="shared" ca="1" si="46"/>
        <v>12512500</v>
      </c>
      <c r="U79" s="29">
        <f t="shared" ca="1" si="46"/>
        <v>12993750</v>
      </c>
      <c r="V79" s="29">
        <f t="shared" ca="1" si="46"/>
        <v>13475000</v>
      </c>
      <c r="W79" s="29">
        <f t="shared" ca="1" si="46"/>
        <v>12392187.5</v>
      </c>
      <c r="X79" s="29">
        <f t="shared" ca="1" si="46"/>
        <v>11309375</v>
      </c>
      <c r="Y79" s="29">
        <f t="shared" ca="1" si="46"/>
        <v>10226562.5</v>
      </c>
      <c r="Z79" s="29">
        <f t="shared" ca="1" si="46"/>
        <v>9143750</v>
      </c>
      <c r="AA79" s="29">
        <f t="shared" ca="1" si="46"/>
        <v>7916562.5</v>
      </c>
      <c r="AB79" s="29">
        <f t="shared" ca="1" si="46"/>
        <v>6689375</v>
      </c>
      <c r="AC79" s="29">
        <f t="shared" ca="1" si="46"/>
        <v>5462187.5</v>
      </c>
      <c r="AD79" s="29">
        <f t="shared" ca="1" si="46"/>
        <v>4235000</v>
      </c>
      <c r="AE79" s="29">
        <f t="shared" ca="1" si="46"/>
        <v>3705625</v>
      </c>
      <c r="AF79" s="29">
        <f t="shared" ca="1" si="46"/>
        <v>3176250</v>
      </c>
      <c r="AG79" s="29">
        <f t="shared" ca="1" si="46"/>
        <v>2646875</v>
      </c>
      <c r="AH79" s="29">
        <f t="shared" ca="1" si="46"/>
        <v>2117500</v>
      </c>
      <c r="AI79" s="29">
        <f t="shared" ca="1" si="46"/>
        <v>1852812.5</v>
      </c>
      <c r="AJ79" s="29">
        <f t="shared" ca="1" si="46"/>
        <v>1588125</v>
      </c>
      <c r="AK79" s="29">
        <f t="shared" ca="1" si="46"/>
        <v>1323437.5</v>
      </c>
      <c r="AL79" s="29">
        <f t="shared" ca="1" si="46"/>
        <v>1058750</v>
      </c>
      <c r="AM79" s="29">
        <f t="shared" ca="1" si="46"/>
        <v>938437.5</v>
      </c>
      <c r="AN79" s="29">
        <f t="shared" ca="1" si="46"/>
        <v>818125</v>
      </c>
      <c r="AO79" s="29">
        <f t="shared" ca="1" si="46"/>
        <v>697812.5</v>
      </c>
      <c r="AP79" s="29">
        <f t="shared" ca="1" si="46"/>
        <v>577500</v>
      </c>
      <c r="AQ79" s="29">
        <f t="shared" ca="1" si="46"/>
        <v>433125</v>
      </c>
      <c r="AR79" s="29">
        <f t="shared" ca="1" si="46"/>
        <v>288750</v>
      </c>
      <c r="AS79" s="29">
        <f t="shared" ca="1" si="46"/>
        <v>144375.00000000003</v>
      </c>
      <c r="AT79" s="29">
        <f t="shared" ca="1" si="46"/>
        <v>0</v>
      </c>
      <c r="AU79" s="29">
        <f t="shared" ca="1" si="46"/>
        <v>0</v>
      </c>
      <c r="AV79" s="29">
        <f t="shared" ca="1" si="46"/>
        <v>0</v>
      </c>
      <c r="AW79" s="29">
        <f t="shared" ca="1" si="46"/>
        <v>0</v>
      </c>
      <c r="AX79" s="29">
        <f t="shared" ca="1" si="46"/>
        <v>0</v>
      </c>
      <c r="AY79" s="29">
        <f t="shared" ca="1" si="46"/>
        <v>0</v>
      </c>
      <c r="AZ79" s="29">
        <f t="shared" ca="1" si="46"/>
        <v>0</v>
      </c>
      <c r="BA79" s="29">
        <f t="shared" ca="1" si="46"/>
        <v>0</v>
      </c>
      <c r="BB79" s="29">
        <f t="shared" ca="1" si="46"/>
        <v>0</v>
      </c>
      <c r="BC79" s="29">
        <f t="shared" ca="1" si="46"/>
        <v>0</v>
      </c>
      <c r="BD79" s="29">
        <f t="shared" ca="1" si="46"/>
        <v>0</v>
      </c>
      <c r="BE79" s="29">
        <f t="shared" ca="1" si="46"/>
        <v>0</v>
      </c>
      <c r="BF79" s="29">
        <f t="shared" ca="1" si="46"/>
        <v>0</v>
      </c>
      <c r="BG79" s="29">
        <f t="shared" ca="1" si="46"/>
        <v>0</v>
      </c>
      <c r="BH79" s="29">
        <f t="shared" ca="1" si="46"/>
        <v>0</v>
      </c>
      <c r="BI79" s="29">
        <f t="shared" ca="1" si="46"/>
        <v>0</v>
      </c>
      <c r="BJ79" s="29">
        <f t="shared" ca="1" si="46"/>
        <v>0</v>
      </c>
      <c r="BK79" s="29">
        <f t="shared" ca="1" si="46"/>
        <v>0</v>
      </c>
      <c r="BL79" s="29">
        <f t="shared" ca="1" si="46"/>
        <v>0</v>
      </c>
      <c r="BM79" s="29">
        <f t="shared" ca="1" si="46"/>
        <v>0</v>
      </c>
      <c r="BN79" s="29">
        <f t="shared" ca="1" si="46"/>
        <v>0</v>
      </c>
      <c r="BO79" s="29">
        <f t="shared" ca="1" si="46"/>
        <v>0</v>
      </c>
      <c r="BP79" s="29">
        <f t="shared" ca="1" si="46"/>
        <v>0</v>
      </c>
      <c r="BQ79" s="29">
        <f t="shared" ca="1" si="46"/>
        <v>0</v>
      </c>
      <c r="BR79" s="29">
        <f t="shared" ca="1" si="46"/>
        <v>0</v>
      </c>
      <c r="BS79" s="29">
        <f t="shared" ca="1" si="46"/>
        <v>0</v>
      </c>
      <c r="BT79" s="29">
        <f t="shared" ca="1" si="46"/>
        <v>0</v>
      </c>
      <c r="BU79" s="29">
        <f t="shared" ca="1" si="46"/>
        <v>0</v>
      </c>
      <c r="BV79" s="29">
        <f t="shared" ca="1" si="46"/>
        <v>0</v>
      </c>
      <c r="BW79" s="29">
        <f t="shared" ca="1" si="46"/>
        <v>0</v>
      </c>
      <c r="BX79" s="29">
        <f t="shared" ca="1" si="46"/>
        <v>0</v>
      </c>
      <c r="BY79" s="29">
        <f t="shared" ca="1" si="46"/>
        <v>0</v>
      </c>
      <c r="BZ79" s="29">
        <f t="shared" ca="1" si="46"/>
        <v>0</v>
      </c>
      <c r="CA79" s="29">
        <f t="shared" ca="1" si="46"/>
        <v>0</v>
      </c>
      <c r="CB79" s="29">
        <f t="shared" ca="1" si="46"/>
        <v>0</v>
      </c>
      <c r="CC79" s="29">
        <f t="shared" ca="1" si="46"/>
        <v>0</v>
      </c>
      <c r="CD79" s="29">
        <f t="shared" ca="1" si="46"/>
        <v>0</v>
      </c>
      <c r="CE79" s="29">
        <f t="shared" ca="1" si="46"/>
        <v>0</v>
      </c>
      <c r="CF79" s="29">
        <f t="shared" ca="1" si="46"/>
        <v>0</v>
      </c>
      <c r="CG79" s="29">
        <f t="shared" ca="1" si="46"/>
        <v>0</v>
      </c>
      <c r="CH79" s="29">
        <f t="shared" ca="1" si="46"/>
        <v>0</v>
      </c>
    </row>
    <row r="80" spans="2:86" ht="13">
      <c r="B80" s="15" t="str">
        <f t="shared" si="25"/>
        <v>Cumulative Change in Unrealized Gain (Loss)</v>
      </c>
      <c r="C80" s="15"/>
      <c r="D80" s="15" t="s">
        <v>247</v>
      </c>
      <c r="E80" s="29">
        <f t="shared" ca="1" si="15"/>
        <v>0</v>
      </c>
      <c r="F80" s="29"/>
      <c r="G80" s="29">
        <f t="shared" ref="G80:CH80" ca="1" si="47">F80+G51</f>
        <v>0</v>
      </c>
      <c r="H80" s="29">
        <f t="shared" ca="1" si="47"/>
        <v>0</v>
      </c>
      <c r="I80" s="29">
        <f t="shared" ca="1" si="47"/>
        <v>0</v>
      </c>
      <c r="J80" s="29">
        <f t="shared" ca="1" si="47"/>
        <v>0</v>
      </c>
      <c r="K80" s="29">
        <f t="shared" ca="1" si="47"/>
        <v>0</v>
      </c>
      <c r="L80" s="29">
        <f t="shared" ca="1" si="47"/>
        <v>0</v>
      </c>
      <c r="M80" s="29">
        <f t="shared" ca="1" si="47"/>
        <v>0</v>
      </c>
      <c r="N80" s="29">
        <f t="shared" ca="1" si="47"/>
        <v>0</v>
      </c>
      <c r="O80" s="29">
        <f t="shared" ca="1" si="47"/>
        <v>1054087.7929767645</v>
      </c>
      <c r="P80" s="29">
        <f t="shared" ca="1" si="47"/>
        <v>2159594.5026841029</v>
      </c>
      <c r="Q80" s="29">
        <f t="shared" ca="1" si="47"/>
        <v>3316520.1291220151</v>
      </c>
      <c r="R80" s="29">
        <f t="shared" ca="1" si="47"/>
        <v>4524864.6722905012</v>
      </c>
      <c r="S80" s="29">
        <f t="shared" ca="1" si="47"/>
        <v>5034542.5733694071</v>
      </c>
      <c r="T80" s="29">
        <f t="shared" ca="1" si="47"/>
        <v>5595639.3911788864</v>
      </c>
      <c r="U80" s="29">
        <f t="shared" ca="1" si="47"/>
        <v>6208155.12571894</v>
      </c>
      <c r="V80" s="29">
        <f t="shared" ca="1" si="47"/>
        <v>6872089.7769895671</v>
      </c>
      <c r="W80" s="29">
        <f t="shared" ca="1" si="47"/>
        <v>7128844.8258935083</v>
      </c>
      <c r="X80" s="29">
        <f t="shared" ca="1" si="47"/>
        <v>7269907.3121536579</v>
      </c>
      <c r="Y80" s="29">
        <f t="shared" ca="1" si="47"/>
        <v>7295277.2357700169</v>
      </c>
      <c r="Z80" s="29">
        <f t="shared" ca="1" si="47"/>
        <v>7204954.5967425844</v>
      </c>
      <c r="AA80" s="29">
        <f t="shared" ca="1" si="47"/>
        <v>6991226.5575617747</v>
      </c>
      <c r="AB80" s="29">
        <f t="shared" ca="1" si="47"/>
        <v>6646380.2807180015</v>
      </c>
      <c r="AC80" s="29">
        <f t="shared" ca="1" si="47"/>
        <v>6170415.7662112648</v>
      </c>
      <c r="AD80" s="29">
        <f t="shared" ca="1" si="47"/>
        <v>5563333.0140415654</v>
      </c>
      <c r="AE80" s="29">
        <f t="shared" ca="1" si="47"/>
        <v>4337350.8476644605</v>
      </c>
      <c r="AF80" s="29">
        <f t="shared" ca="1" si="47"/>
        <v>3054807.872883724</v>
      </c>
      <c r="AG80" s="29">
        <f t="shared" ca="1" si="47"/>
        <v>1715704.0896993561</v>
      </c>
      <c r="AH80" s="29">
        <f t="shared" ca="1" si="47"/>
        <v>320039.49811135698</v>
      </c>
      <c r="AI80" s="29">
        <f t="shared" ca="1" si="47"/>
        <v>-292951.58507719566</v>
      </c>
      <c r="AJ80" s="29">
        <f t="shared" ca="1" si="47"/>
        <v>-934223.07246756391</v>
      </c>
      <c r="AK80" s="29">
        <f t="shared" ca="1" si="47"/>
        <v>-1603774.9640597478</v>
      </c>
      <c r="AL80" s="29">
        <f t="shared" ca="1" si="47"/>
        <v>-2301607.2598537472</v>
      </c>
      <c r="AM80" s="29">
        <f t="shared" ca="1" si="47"/>
        <v>-2569955.7870478835</v>
      </c>
      <c r="AN80" s="29">
        <f t="shared" ca="1" si="47"/>
        <v>-2851159.0434246631</v>
      </c>
      <c r="AO80" s="29">
        <f t="shared" ca="1" si="47"/>
        <v>-3145217.0289840866</v>
      </c>
      <c r="AP80" s="29">
        <f t="shared" ca="1" si="47"/>
        <v>-3452129.7437261534</v>
      </c>
      <c r="AQ80" s="29">
        <f t="shared" ca="1" si="47"/>
        <v>-3848191.2164511434</v>
      </c>
      <c r="AR80" s="29">
        <f t="shared" ca="1" si="47"/>
        <v>-4259678.3641953059</v>
      </c>
      <c r="AS80" s="29">
        <f t="shared" ca="1" si="47"/>
        <v>-4686591.1869586399</v>
      </c>
      <c r="AT80" s="29">
        <f t="shared" ca="1" si="47"/>
        <v>0</v>
      </c>
      <c r="AU80" s="29">
        <f t="shared" ca="1" si="47"/>
        <v>0</v>
      </c>
      <c r="AV80" s="29">
        <f t="shared" ca="1" si="47"/>
        <v>0</v>
      </c>
      <c r="AW80" s="29">
        <f t="shared" ca="1" si="47"/>
        <v>0</v>
      </c>
      <c r="AX80" s="29">
        <f t="shared" ca="1" si="47"/>
        <v>0</v>
      </c>
      <c r="AY80" s="29">
        <f t="shared" ca="1" si="47"/>
        <v>0</v>
      </c>
      <c r="AZ80" s="29">
        <f t="shared" ca="1" si="47"/>
        <v>0</v>
      </c>
      <c r="BA80" s="29">
        <f t="shared" ca="1" si="47"/>
        <v>0</v>
      </c>
      <c r="BB80" s="29">
        <f t="shared" ca="1" si="47"/>
        <v>0</v>
      </c>
      <c r="BC80" s="29">
        <f t="shared" ca="1" si="47"/>
        <v>0</v>
      </c>
      <c r="BD80" s="29">
        <f t="shared" ca="1" si="47"/>
        <v>0</v>
      </c>
      <c r="BE80" s="29">
        <f t="shared" ca="1" si="47"/>
        <v>0</v>
      </c>
      <c r="BF80" s="29">
        <f t="shared" ca="1" si="47"/>
        <v>0</v>
      </c>
      <c r="BG80" s="29">
        <f t="shared" ca="1" si="47"/>
        <v>0</v>
      </c>
      <c r="BH80" s="29">
        <f t="shared" ca="1" si="47"/>
        <v>0</v>
      </c>
      <c r="BI80" s="29">
        <f t="shared" ca="1" si="47"/>
        <v>0</v>
      </c>
      <c r="BJ80" s="29">
        <f t="shared" ca="1" si="47"/>
        <v>0</v>
      </c>
      <c r="BK80" s="29">
        <f t="shared" ca="1" si="47"/>
        <v>0</v>
      </c>
      <c r="BL80" s="29">
        <f t="shared" ca="1" si="47"/>
        <v>0</v>
      </c>
      <c r="BM80" s="29">
        <f t="shared" ca="1" si="47"/>
        <v>0</v>
      </c>
      <c r="BN80" s="29">
        <f t="shared" ca="1" si="47"/>
        <v>0</v>
      </c>
      <c r="BO80" s="29">
        <f t="shared" ca="1" si="47"/>
        <v>0</v>
      </c>
      <c r="BP80" s="29">
        <f t="shared" ca="1" si="47"/>
        <v>0</v>
      </c>
      <c r="BQ80" s="29">
        <f t="shared" ca="1" si="47"/>
        <v>0</v>
      </c>
      <c r="BR80" s="29">
        <f t="shared" ca="1" si="47"/>
        <v>0</v>
      </c>
      <c r="BS80" s="29">
        <f t="shared" ca="1" si="47"/>
        <v>0</v>
      </c>
      <c r="BT80" s="29">
        <f t="shared" ca="1" si="47"/>
        <v>0</v>
      </c>
      <c r="BU80" s="29">
        <f t="shared" ca="1" si="47"/>
        <v>0</v>
      </c>
      <c r="BV80" s="29">
        <f t="shared" ca="1" si="47"/>
        <v>0</v>
      </c>
      <c r="BW80" s="29">
        <f t="shared" ca="1" si="47"/>
        <v>0</v>
      </c>
      <c r="BX80" s="29">
        <f t="shared" ca="1" si="47"/>
        <v>0</v>
      </c>
      <c r="BY80" s="29">
        <f t="shared" ca="1" si="47"/>
        <v>0</v>
      </c>
      <c r="BZ80" s="29">
        <f t="shared" ca="1" si="47"/>
        <v>0</v>
      </c>
      <c r="CA80" s="29">
        <f t="shared" ca="1" si="47"/>
        <v>0</v>
      </c>
      <c r="CB80" s="29">
        <f t="shared" ca="1" si="47"/>
        <v>0</v>
      </c>
      <c r="CC80" s="29">
        <f t="shared" ca="1" si="47"/>
        <v>0</v>
      </c>
      <c r="CD80" s="29">
        <f t="shared" ca="1" si="47"/>
        <v>0</v>
      </c>
      <c r="CE80" s="29">
        <f t="shared" ca="1" si="47"/>
        <v>0</v>
      </c>
      <c r="CF80" s="29">
        <f t="shared" ca="1" si="47"/>
        <v>0</v>
      </c>
      <c r="CG80" s="29">
        <f t="shared" ca="1" si="47"/>
        <v>0</v>
      </c>
      <c r="CH80" s="29">
        <f t="shared" ca="1" si="47"/>
        <v>0</v>
      </c>
    </row>
    <row r="81" spans="2:86" ht="13">
      <c r="B81" s="15" t="str">
        <f t="shared" si="25"/>
        <v>Cumulative Change in Residual Value</v>
      </c>
      <c r="C81" s="15" t="s">
        <v>285</v>
      </c>
      <c r="D81" s="15" t="s">
        <v>247</v>
      </c>
      <c r="E81" s="29">
        <f t="shared" ca="1" si="15"/>
        <v>0</v>
      </c>
      <c r="F81" s="29"/>
      <c r="G81" s="29">
        <f t="shared" ref="G81:CH81" ca="1" si="48">F81+G52</f>
        <v>1203125</v>
      </c>
      <c r="H81" s="29">
        <f t="shared" ca="1" si="48"/>
        <v>2406250</v>
      </c>
      <c r="I81" s="29">
        <f t="shared" ca="1" si="48"/>
        <v>3609375</v>
      </c>
      <c r="J81" s="29">
        <f t="shared" ca="1" si="48"/>
        <v>4812500</v>
      </c>
      <c r="K81" s="29">
        <f t="shared" ca="1" si="48"/>
        <v>6015625</v>
      </c>
      <c r="L81" s="29">
        <f t="shared" ca="1" si="48"/>
        <v>7218750</v>
      </c>
      <c r="M81" s="29">
        <f t="shared" ca="1" si="48"/>
        <v>8421875</v>
      </c>
      <c r="N81" s="29">
        <f t="shared" ca="1" si="48"/>
        <v>9625000</v>
      </c>
      <c r="O81" s="29">
        <f t="shared" ca="1" si="48"/>
        <v>11160337.792976765</v>
      </c>
      <c r="P81" s="29">
        <f t="shared" ca="1" si="48"/>
        <v>12747094.502684103</v>
      </c>
      <c r="Q81" s="29">
        <f t="shared" ca="1" si="48"/>
        <v>14385270.129122015</v>
      </c>
      <c r="R81" s="29">
        <f t="shared" ca="1" si="48"/>
        <v>16074864.6722905</v>
      </c>
      <c r="S81" s="29">
        <f t="shared" ca="1" si="48"/>
        <v>17065792.573369406</v>
      </c>
      <c r="T81" s="29">
        <f t="shared" ca="1" si="48"/>
        <v>18108139.391178887</v>
      </c>
      <c r="U81" s="29">
        <f t="shared" ca="1" si="48"/>
        <v>19201905.12571894</v>
      </c>
      <c r="V81" s="29">
        <f t="shared" ca="1" si="48"/>
        <v>20347089.776989568</v>
      </c>
      <c r="W81" s="29">
        <f t="shared" ca="1" si="48"/>
        <v>19521032.32589351</v>
      </c>
      <c r="X81" s="29">
        <f t="shared" ca="1" si="48"/>
        <v>18579282.31215366</v>
      </c>
      <c r="Y81" s="29">
        <f t="shared" ca="1" si="48"/>
        <v>17521839.735770017</v>
      </c>
      <c r="Z81" s="29">
        <f t="shared" ca="1" si="48"/>
        <v>16348704.596742585</v>
      </c>
      <c r="AA81" s="29">
        <f t="shared" ca="1" si="48"/>
        <v>14907789.057561776</v>
      </c>
      <c r="AB81" s="29">
        <f t="shared" ca="1" si="48"/>
        <v>13335755.280718002</v>
      </c>
      <c r="AC81" s="29">
        <f t="shared" ca="1" si="48"/>
        <v>11632603.266211266</v>
      </c>
      <c r="AD81" s="29">
        <f t="shared" ca="1" si="48"/>
        <v>9798333.0140415654</v>
      </c>
      <c r="AE81" s="29">
        <f t="shared" ca="1" si="48"/>
        <v>8042975.8476644605</v>
      </c>
      <c r="AF81" s="29">
        <f t="shared" ca="1" si="48"/>
        <v>6231057.872883724</v>
      </c>
      <c r="AG81" s="29">
        <f t="shared" ca="1" si="48"/>
        <v>4362579.0896993559</v>
      </c>
      <c r="AH81" s="29">
        <f t="shared" ca="1" si="48"/>
        <v>2437539.498111357</v>
      </c>
      <c r="AI81" s="29">
        <f t="shared" ca="1" si="48"/>
        <v>1559860.9149228043</v>
      </c>
      <c r="AJ81" s="29">
        <f t="shared" ca="1" si="48"/>
        <v>653901.92753243609</v>
      </c>
      <c r="AK81" s="29">
        <f t="shared" ca="1" si="48"/>
        <v>-280337.46405974787</v>
      </c>
      <c r="AL81" s="29">
        <f t="shared" ca="1" si="48"/>
        <v>-1242857.2598537474</v>
      </c>
      <c r="AM81" s="29">
        <f t="shared" ca="1" si="48"/>
        <v>-1631518.2870478837</v>
      </c>
      <c r="AN81" s="29">
        <f t="shared" ca="1" si="48"/>
        <v>-2033034.0434246636</v>
      </c>
      <c r="AO81" s="29">
        <f t="shared" ca="1" si="48"/>
        <v>-2447404.5289840866</v>
      </c>
      <c r="AP81" s="29">
        <f t="shared" ca="1" si="48"/>
        <v>-2874629.7437261534</v>
      </c>
      <c r="AQ81" s="29">
        <f t="shared" ca="1" si="48"/>
        <v>-3415066.2164511434</v>
      </c>
      <c r="AR81" s="29">
        <f t="shared" ca="1" si="48"/>
        <v>-3970928.3641953054</v>
      </c>
      <c r="AS81" s="29">
        <f t="shared" ca="1" si="48"/>
        <v>-4542216.1869586399</v>
      </c>
      <c r="AT81" s="29">
        <f t="shared" ca="1" si="48"/>
        <v>0</v>
      </c>
      <c r="AU81" s="29">
        <f t="shared" ca="1" si="48"/>
        <v>0</v>
      </c>
      <c r="AV81" s="29">
        <f t="shared" ca="1" si="48"/>
        <v>0</v>
      </c>
      <c r="AW81" s="29">
        <f t="shared" ca="1" si="48"/>
        <v>0</v>
      </c>
      <c r="AX81" s="29">
        <f t="shared" ca="1" si="48"/>
        <v>0</v>
      </c>
      <c r="AY81" s="29">
        <f t="shared" ca="1" si="48"/>
        <v>0</v>
      </c>
      <c r="AZ81" s="29">
        <f t="shared" ca="1" si="48"/>
        <v>0</v>
      </c>
      <c r="BA81" s="29">
        <f t="shared" ca="1" si="48"/>
        <v>0</v>
      </c>
      <c r="BB81" s="29">
        <f t="shared" ca="1" si="48"/>
        <v>0</v>
      </c>
      <c r="BC81" s="29">
        <f t="shared" ca="1" si="48"/>
        <v>0</v>
      </c>
      <c r="BD81" s="29">
        <f t="shared" ca="1" si="48"/>
        <v>0</v>
      </c>
      <c r="BE81" s="29">
        <f t="shared" ca="1" si="48"/>
        <v>0</v>
      </c>
      <c r="BF81" s="29">
        <f t="shared" ca="1" si="48"/>
        <v>0</v>
      </c>
      <c r="BG81" s="29">
        <f t="shared" ca="1" si="48"/>
        <v>0</v>
      </c>
      <c r="BH81" s="29">
        <f t="shared" ca="1" si="48"/>
        <v>0</v>
      </c>
      <c r="BI81" s="29">
        <f t="shared" ca="1" si="48"/>
        <v>0</v>
      </c>
      <c r="BJ81" s="29">
        <f t="shared" ca="1" si="48"/>
        <v>0</v>
      </c>
      <c r="BK81" s="29">
        <f t="shared" ca="1" si="48"/>
        <v>0</v>
      </c>
      <c r="BL81" s="29">
        <f t="shared" ca="1" si="48"/>
        <v>0</v>
      </c>
      <c r="BM81" s="29">
        <f t="shared" ca="1" si="48"/>
        <v>0</v>
      </c>
      <c r="BN81" s="29">
        <f t="shared" ca="1" si="48"/>
        <v>0</v>
      </c>
      <c r="BO81" s="29">
        <f t="shared" ca="1" si="48"/>
        <v>0</v>
      </c>
      <c r="BP81" s="29">
        <f t="shared" ca="1" si="48"/>
        <v>0</v>
      </c>
      <c r="BQ81" s="29">
        <f t="shared" ca="1" si="48"/>
        <v>0</v>
      </c>
      <c r="BR81" s="29">
        <f t="shared" ca="1" si="48"/>
        <v>0</v>
      </c>
      <c r="BS81" s="29">
        <f t="shared" ca="1" si="48"/>
        <v>0</v>
      </c>
      <c r="BT81" s="29">
        <f t="shared" ca="1" si="48"/>
        <v>0</v>
      </c>
      <c r="BU81" s="29">
        <f t="shared" ca="1" si="48"/>
        <v>0</v>
      </c>
      <c r="BV81" s="29">
        <f t="shared" ca="1" si="48"/>
        <v>0</v>
      </c>
      <c r="BW81" s="29">
        <f t="shared" ca="1" si="48"/>
        <v>0</v>
      </c>
      <c r="BX81" s="29">
        <f t="shared" ca="1" si="48"/>
        <v>0</v>
      </c>
      <c r="BY81" s="29">
        <f t="shared" ca="1" si="48"/>
        <v>0</v>
      </c>
      <c r="BZ81" s="29">
        <f t="shared" ca="1" si="48"/>
        <v>0</v>
      </c>
      <c r="CA81" s="29">
        <f t="shared" ca="1" si="48"/>
        <v>0</v>
      </c>
      <c r="CB81" s="29">
        <f t="shared" ca="1" si="48"/>
        <v>0</v>
      </c>
      <c r="CC81" s="29">
        <f t="shared" ca="1" si="48"/>
        <v>0</v>
      </c>
      <c r="CD81" s="29">
        <f t="shared" ca="1" si="48"/>
        <v>0</v>
      </c>
      <c r="CE81" s="29">
        <f t="shared" ca="1" si="48"/>
        <v>0</v>
      </c>
      <c r="CF81" s="29">
        <f t="shared" ca="1" si="48"/>
        <v>0</v>
      </c>
      <c r="CG81" s="29">
        <f t="shared" ca="1" si="48"/>
        <v>0</v>
      </c>
      <c r="CH81" s="29">
        <f t="shared" ca="1" si="48"/>
        <v>0</v>
      </c>
    </row>
    <row r="82" spans="2:86" ht="13">
      <c r="B82" s="15" t="str">
        <f t="shared" si="25"/>
        <v>Cumulative Change in Undrawn Capital Commitments</v>
      </c>
      <c r="C82" s="15"/>
      <c r="D82" s="15" t="s">
        <v>247</v>
      </c>
      <c r="E82" s="29">
        <f t="shared" ca="1" si="15"/>
        <v>0</v>
      </c>
      <c r="F82" s="29"/>
      <c r="G82" s="29">
        <f t="shared" ref="G82:CH82" ca="1" si="49">F82+G53</f>
        <v>23555625</v>
      </c>
      <c r="H82" s="29">
        <f t="shared" ca="1" si="49"/>
        <v>22211250</v>
      </c>
      <c r="I82" s="29">
        <f t="shared" ca="1" si="49"/>
        <v>20866875</v>
      </c>
      <c r="J82" s="29">
        <f t="shared" ca="1" si="49"/>
        <v>19522500</v>
      </c>
      <c r="K82" s="29">
        <f t="shared" ca="1" si="49"/>
        <v>18178125</v>
      </c>
      <c r="L82" s="29">
        <f t="shared" ca="1" si="49"/>
        <v>16833750</v>
      </c>
      <c r="M82" s="29">
        <f t="shared" ca="1" si="49"/>
        <v>15489375</v>
      </c>
      <c r="N82" s="29">
        <f t="shared" ca="1" si="49"/>
        <v>14145000</v>
      </c>
      <c r="O82" s="29">
        <f t="shared" ca="1" si="49"/>
        <v>12800625</v>
      </c>
      <c r="P82" s="29">
        <f t="shared" ca="1" si="49"/>
        <v>11456250</v>
      </c>
      <c r="Q82" s="29">
        <f t="shared" ca="1" si="49"/>
        <v>10111875</v>
      </c>
      <c r="R82" s="29">
        <f t="shared" ca="1" si="49"/>
        <v>8767500</v>
      </c>
      <c r="S82" s="29">
        <f t="shared" ca="1" si="49"/>
        <v>7423125</v>
      </c>
      <c r="T82" s="29">
        <f t="shared" ca="1" si="49"/>
        <v>6078750</v>
      </c>
      <c r="U82" s="29">
        <f t="shared" ca="1" si="49"/>
        <v>4734375</v>
      </c>
      <c r="V82" s="29">
        <f t="shared" ca="1" si="49"/>
        <v>3390000</v>
      </c>
      <c r="W82" s="29">
        <f t="shared" ca="1" si="49"/>
        <v>3248750</v>
      </c>
      <c r="X82" s="29">
        <f t="shared" ca="1" si="49"/>
        <v>3107500</v>
      </c>
      <c r="Y82" s="29">
        <f t="shared" ca="1" si="49"/>
        <v>2966250</v>
      </c>
      <c r="Z82" s="29">
        <f t="shared" ca="1" si="49"/>
        <v>2825000</v>
      </c>
      <c r="AA82" s="29">
        <f t="shared" ca="1" si="49"/>
        <v>2683750</v>
      </c>
      <c r="AB82" s="29">
        <f t="shared" ca="1" si="49"/>
        <v>2542500</v>
      </c>
      <c r="AC82" s="29">
        <f t="shared" ca="1" si="49"/>
        <v>2401250</v>
      </c>
      <c r="AD82" s="29">
        <f t="shared" ca="1" si="49"/>
        <v>2260000</v>
      </c>
      <c r="AE82" s="29">
        <f t="shared" ca="1" si="49"/>
        <v>2118750</v>
      </c>
      <c r="AF82" s="29">
        <f t="shared" ca="1" si="49"/>
        <v>1977500</v>
      </c>
      <c r="AG82" s="29">
        <f t="shared" ca="1" si="49"/>
        <v>1836250</v>
      </c>
      <c r="AH82" s="29">
        <f t="shared" ca="1" si="49"/>
        <v>1695000</v>
      </c>
      <c r="AI82" s="29">
        <f t="shared" ca="1" si="49"/>
        <v>1553750</v>
      </c>
      <c r="AJ82" s="29">
        <f t="shared" ca="1" si="49"/>
        <v>1412500</v>
      </c>
      <c r="AK82" s="29">
        <f t="shared" ca="1" si="49"/>
        <v>1271250</v>
      </c>
      <c r="AL82" s="29">
        <f t="shared" ca="1" si="49"/>
        <v>1130000</v>
      </c>
      <c r="AM82" s="29">
        <f t="shared" ca="1" si="49"/>
        <v>988750</v>
      </c>
      <c r="AN82" s="29">
        <f t="shared" ca="1" si="49"/>
        <v>847500</v>
      </c>
      <c r="AO82" s="29">
        <f t="shared" ca="1" si="49"/>
        <v>706250</v>
      </c>
      <c r="AP82" s="29">
        <f t="shared" ca="1" si="49"/>
        <v>565000</v>
      </c>
      <c r="AQ82" s="29">
        <f t="shared" ca="1" si="49"/>
        <v>423750</v>
      </c>
      <c r="AR82" s="29">
        <f t="shared" ca="1" si="49"/>
        <v>282500</v>
      </c>
      <c r="AS82" s="29">
        <f t="shared" ca="1" si="49"/>
        <v>141250</v>
      </c>
      <c r="AT82" s="29">
        <f t="shared" ca="1" si="49"/>
        <v>0</v>
      </c>
      <c r="AU82" s="29">
        <f t="shared" ca="1" si="49"/>
        <v>0</v>
      </c>
      <c r="AV82" s="29">
        <f t="shared" ca="1" si="49"/>
        <v>0</v>
      </c>
      <c r="AW82" s="29">
        <f t="shared" ca="1" si="49"/>
        <v>0</v>
      </c>
      <c r="AX82" s="29">
        <f t="shared" ca="1" si="49"/>
        <v>0</v>
      </c>
      <c r="AY82" s="29">
        <f t="shared" ca="1" si="49"/>
        <v>0</v>
      </c>
      <c r="AZ82" s="29">
        <f t="shared" ca="1" si="49"/>
        <v>0</v>
      </c>
      <c r="BA82" s="29">
        <f t="shared" ca="1" si="49"/>
        <v>0</v>
      </c>
      <c r="BB82" s="29">
        <f t="shared" ca="1" si="49"/>
        <v>0</v>
      </c>
      <c r="BC82" s="29">
        <f t="shared" ca="1" si="49"/>
        <v>0</v>
      </c>
      <c r="BD82" s="29">
        <f t="shared" ca="1" si="49"/>
        <v>0</v>
      </c>
      <c r="BE82" s="29">
        <f t="shared" ca="1" si="49"/>
        <v>0</v>
      </c>
      <c r="BF82" s="29">
        <f t="shared" ca="1" si="49"/>
        <v>0</v>
      </c>
      <c r="BG82" s="29">
        <f t="shared" ca="1" si="49"/>
        <v>0</v>
      </c>
      <c r="BH82" s="29">
        <f t="shared" ca="1" si="49"/>
        <v>0</v>
      </c>
      <c r="BI82" s="29">
        <f t="shared" ca="1" si="49"/>
        <v>0</v>
      </c>
      <c r="BJ82" s="29">
        <f t="shared" ca="1" si="49"/>
        <v>0</v>
      </c>
      <c r="BK82" s="29">
        <f t="shared" ca="1" si="49"/>
        <v>0</v>
      </c>
      <c r="BL82" s="29">
        <f t="shared" ca="1" si="49"/>
        <v>0</v>
      </c>
      <c r="BM82" s="29">
        <f t="shared" ca="1" si="49"/>
        <v>0</v>
      </c>
      <c r="BN82" s="29">
        <f t="shared" ca="1" si="49"/>
        <v>0</v>
      </c>
      <c r="BO82" s="29">
        <f t="shared" ca="1" si="49"/>
        <v>0</v>
      </c>
      <c r="BP82" s="29">
        <f t="shared" ca="1" si="49"/>
        <v>0</v>
      </c>
      <c r="BQ82" s="29">
        <f t="shared" ca="1" si="49"/>
        <v>0</v>
      </c>
      <c r="BR82" s="29">
        <f t="shared" ca="1" si="49"/>
        <v>0</v>
      </c>
      <c r="BS82" s="29">
        <f t="shared" ca="1" si="49"/>
        <v>0</v>
      </c>
      <c r="BT82" s="29">
        <f t="shared" ca="1" si="49"/>
        <v>0</v>
      </c>
      <c r="BU82" s="29">
        <f t="shared" ca="1" si="49"/>
        <v>0</v>
      </c>
      <c r="BV82" s="29">
        <f t="shared" ca="1" si="49"/>
        <v>0</v>
      </c>
      <c r="BW82" s="29">
        <f t="shared" ca="1" si="49"/>
        <v>0</v>
      </c>
      <c r="BX82" s="29">
        <f t="shared" ca="1" si="49"/>
        <v>0</v>
      </c>
      <c r="BY82" s="29">
        <f t="shared" ca="1" si="49"/>
        <v>0</v>
      </c>
      <c r="BZ82" s="29">
        <f t="shared" ca="1" si="49"/>
        <v>0</v>
      </c>
      <c r="CA82" s="29">
        <f t="shared" ca="1" si="49"/>
        <v>0</v>
      </c>
      <c r="CB82" s="29">
        <f t="shared" ca="1" si="49"/>
        <v>0</v>
      </c>
      <c r="CC82" s="29">
        <f t="shared" ca="1" si="49"/>
        <v>0</v>
      </c>
      <c r="CD82" s="29">
        <f t="shared" ca="1" si="49"/>
        <v>0</v>
      </c>
      <c r="CE82" s="29">
        <f t="shared" ca="1" si="49"/>
        <v>0</v>
      </c>
      <c r="CF82" s="29">
        <f t="shared" ca="1" si="49"/>
        <v>0</v>
      </c>
      <c r="CG82" s="29">
        <f t="shared" ca="1" si="49"/>
        <v>0</v>
      </c>
      <c r="CH82" s="29">
        <f t="shared" ca="1" si="49"/>
        <v>0</v>
      </c>
    </row>
    <row r="83" spans="2:86" ht="13">
      <c r="B83" s="15" t="str">
        <f t="shared" si="25"/>
        <v>Cumulative Committed Capital from LPs</v>
      </c>
      <c r="D83" s="15" t="s">
        <v>247</v>
      </c>
      <c r="E83" s="29">
        <f t="shared" si="15"/>
        <v>25000000</v>
      </c>
      <c r="F83" s="29"/>
      <c r="G83" s="29">
        <f t="shared" ref="G83:CH83" si="50">F83+G54</f>
        <v>25000000</v>
      </c>
      <c r="H83" s="29">
        <f t="shared" si="50"/>
        <v>25000000</v>
      </c>
      <c r="I83" s="29">
        <f t="shared" si="50"/>
        <v>25000000</v>
      </c>
      <c r="J83" s="29">
        <f t="shared" si="50"/>
        <v>25000000</v>
      </c>
      <c r="K83" s="29">
        <f t="shared" si="50"/>
        <v>25000000</v>
      </c>
      <c r="L83" s="29">
        <f t="shared" si="50"/>
        <v>25000000</v>
      </c>
      <c r="M83" s="29">
        <f t="shared" si="50"/>
        <v>25000000</v>
      </c>
      <c r="N83" s="29">
        <f t="shared" si="50"/>
        <v>25000000</v>
      </c>
      <c r="O83" s="29">
        <f t="shared" si="50"/>
        <v>25000000</v>
      </c>
      <c r="P83" s="29">
        <f t="shared" si="50"/>
        <v>25000000</v>
      </c>
      <c r="Q83" s="29">
        <f t="shared" si="50"/>
        <v>25000000</v>
      </c>
      <c r="R83" s="29">
        <f t="shared" si="50"/>
        <v>25000000</v>
      </c>
      <c r="S83" s="29">
        <f t="shared" si="50"/>
        <v>25000000</v>
      </c>
      <c r="T83" s="29">
        <f t="shared" si="50"/>
        <v>25000000</v>
      </c>
      <c r="U83" s="29">
        <f t="shared" si="50"/>
        <v>25000000</v>
      </c>
      <c r="V83" s="29">
        <f t="shared" si="50"/>
        <v>25000000</v>
      </c>
      <c r="W83" s="29">
        <f t="shared" si="50"/>
        <v>25000000</v>
      </c>
      <c r="X83" s="29">
        <f t="shared" si="50"/>
        <v>25000000</v>
      </c>
      <c r="Y83" s="29">
        <f t="shared" si="50"/>
        <v>25000000</v>
      </c>
      <c r="Z83" s="29">
        <f t="shared" si="50"/>
        <v>25000000</v>
      </c>
      <c r="AA83" s="29">
        <f t="shared" si="50"/>
        <v>25000000</v>
      </c>
      <c r="AB83" s="29">
        <f t="shared" si="50"/>
        <v>25000000</v>
      </c>
      <c r="AC83" s="29">
        <f t="shared" si="50"/>
        <v>25000000</v>
      </c>
      <c r="AD83" s="29">
        <f t="shared" si="50"/>
        <v>25000000</v>
      </c>
      <c r="AE83" s="29">
        <f t="shared" si="50"/>
        <v>25000000</v>
      </c>
      <c r="AF83" s="29">
        <f t="shared" si="50"/>
        <v>25000000</v>
      </c>
      <c r="AG83" s="29">
        <f t="shared" si="50"/>
        <v>25000000</v>
      </c>
      <c r="AH83" s="29">
        <f t="shared" si="50"/>
        <v>25000000</v>
      </c>
      <c r="AI83" s="29">
        <f t="shared" si="50"/>
        <v>25000000</v>
      </c>
      <c r="AJ83" s="29">
        <f t="shared" si="50"/>
        <v>25000000</v>
      </c>
      <c r="AK83" s="29">
        <f t="shared" si="50"/>
        <v>25000000</v>
      </c>
      <c r="AL83" s="29">
        <f t="shared" si="50"/>
        <v>25000000</v>
      </c>
      <c r="AM83" s="29">
        <f t="shared" si="50"/>
        <v>25000000</v>
      </c>
      <c r="AN83" s="29">
        <f t="shared" si="50"/>
        <v>25000000</v>
      </c>
      <c r="AO83" s="29">
        <f t="shared" si="50"/>
        <v>25000000</v>
      </c>
      <c r="AP83" s="29">
        <f t="shared" si="50"/>
        <v>25000000</v>
      </c>
      <c r="AQ83" s="29">
        <f t="shared" si="50"/>
        <v>25000000</v>
      </c>
      <c r="AR83" s="29">
        <f t="shared" si="50"/>
        <v>25000000</v>
      </c>
      <c r="AS83" s="29">
        <f t="shared" si="50"/>
        <v>25000000</v>
      </c>
      <c r="AT83" s="29">
        <f t="shared" si="50"/>
        <v>25000000</v>
      </c>
      <c r="AU83" s="29">
        <f t="shared" si="50"/>
        <v>25000000</v>
      </c>
      <c r="AV83" s="29">
        <f t="shared" si="50"/>
        <v>25000000</v>
      </c>
      <c r="AW83" s="29">
        <f t="shared" si="50"/>
        <v>25000000</v>
      </c>
      <c r="AX83" s="29">
        <f t="shared" si="50"/>
        <v>25000000</v>
      </c>
      <c r="AY83" s="29">
        <f t="shared" si="50"/>
        <v>25000000</v>
      </c>
      <c r="AZ83" s="29">
        <f t="shared" si="50"/>
        <v>25000000</v>
      </c>
      <c r="BA83" s="29">
        <f t="shared" si="50"/>
        <v>25000000</v>
      </c>
      <c r="BB83" s="29">
        <f t="shared" si="50"/>
        <v>25000000</v>
      </c>
      <c r="BC83" s="29">
        <f t="shared" si="50"/>
        <v>25000000</v>
      </c>
      <c r="BD83" s="29">
        <f t="shared" si="50"/>
        <v>25000000</v>
      </c>
      <c r="BE83" s="29">
        <f t="shared" si="50"/>
        <v>25000000</v>
      </c>
      <c r="BF83" s="29">
        <f t="shared" si="50"/>
        <v>25000000</v>
      </c>
      <c r="BG83" s="29">
        <f t="shared" si="50"/>
        <v>25000000</v>
      </c>
      <c r="BH83" s="29">
        <f t="shared" si="50"/>
        <v>25000000</v>
      </c>
      <c r="BI83" s="29">
        <f t="shared" si="50"/>
        <v>25000000</v>
      </c>
      <c r="BJ83" s="29">
        <f t="shared" si="50"/>
        <v>25000000</v>
      </c>
      <c r="BK83" s="29">
        <f t="shared" si="50"/>
        <v>25000000</v>
      </c>
      <c r="BL83" s="29">
        <f t="shared" si="50"/>
        <v>25000000</v>
      </c>
      <c r="BM83" s="29">
        <f t="shared" si="50"/>
        <v>25000000</v>
      </c>
      <c r="BN83" s="29">
        <f t="shared" si="50"/>
        <v>25000000</v>
      </c>
      <c r="BO83" s="29">
        <f t="shared" si="50"/>
        <v>25000000</v>
      </c>
      <c r="BP83" s="29">
        <f t="shared" si="50"/>
        <v>25000000</v>
      </c>
      <c r="BQ83" s="29">
        <f t="shared" si="50"/>
        <v>25000000</v>
      </c>
      <c r="BR83" s="29">
        <f t="shared" si="50"/>
        <v>25000000</v>
      </c>
      <c r="BS83" s="29">
        <f t="shared" si="50"/>
        <v>25000000</v>
      </c>
      <c r="BT83" s="29">
        <f t="shared" si="50"/>
        <v>25000000</v>
      </c>
      <c r="BU83" s="29">
        <f t="shared" si="50"/>
        <v>25000000</v>
      </c>
      <c r="BV83" s="29">
        <f t="shared" si="50"/>
        <v>25000000</v>
      </c>
      <c r="BW83" s="29">
        <f t="shared" si="50"/>
        <v>25000000</v>
      </c>
      <c r="BX83" s="29">
        <f t="shared" si="50"/>
        <v>25000000</v>
      </c>
      <c r="BY83" s="29">
        <f t="shared" si="50"/>
        <v>25000000</v>
      </c>
      <c r="BZ83" s="29">
        <f t="shared" si="50"/>
        <v>25000000</v>
      </c>
      <c r="CA83" s="29">
        <f t="shared" si="50"/>
        <v>25000000</v>
      </c>
      <c r="CB83" s="29">
        <f t="shared" si="50"/>
        <v>25000000</v>
      </c>
      <c r="CC83" s="29">
        <f t="shared" si="50"/>
        <v>25000000</v>
      </c>
      <c r="CD83" s="29">
        <f t="shared" si="50"/>
        <v>25000000</v>
      </c>
      <c r="CE83" s="29">
        <f t="shared" si="50"/>
        <v>25000000</v>
      </c>
      <c r="CF83" s="29">
        <f t="shared" si="50"/>
        <v>25000000</v>
      </c>
      <c r="CG83" s="29">
        <f t="shared" si="50"/>
        <v>25000000</v>
      </c>
      <c r="CH83" s="29">
        <f t="shared" si="50"/>
        <v>25000000</v>
      </c>
    </row>
    <row r="84" spans="2:86" ht="13">
      <c r="B84" s="15" t="str">
        <f t="shared" si="25"/>
        <v>Cumulative Called Capital from LPs</v>
      </c>
      <c r="D84" s="15" t="s">
        <v>247</v>
      </c>
      <c r="E84" s="29">
        <f t="shared" ca="1" si="15"/>
        <v>25000000</v>
      </c>
      <c r="F84" s="29"/>
      <c r="G84" s="29">
        <f t="shared" ref="G84:CH84" ca="1" si="51">F84+G55</f>
        <v>1444375</v>
      </c>
      <c r="H84" s="29">
        <f t="shared" ca="1" si="51"/>
        <v>2788750</v>
      </c>
      <c r="I84" s="29">
        <f t="shared" ca="1" si="51"/>
        <v>4133125</v>
      </c>
      <c r="J84" s="29">
        <f t="shared" ca="1" si="51"/>
        <v>5477500</v>
      </c>
      <c r="K84" s="29">
        <f t="shared" ca="1" si="51"/>
        <v>6821875</v>
      </c>
      <c r="L84" s="29">
        <f t="shared" ca="1" si="51"/>
        <v>8166250</v>
      </c>
      <c r="M84" s="29">
        <f t="shared" ca="1" si="51"/>
        <v>9510625</v>
      </c>
      <c r="N84" s="29">
        <f t="shared" ca="1" si="51"/>
        <v>10855000</v>
      </c>
      <c r="O84" s="29">
        <f t="shared" ca="1" si="51"/>
        <v>12199375</v>
      </c>
      <c r="P84" s="29">
        <f t="shared" ca="1" si="51"/>
        <v>13543750</v>
      </c>
      <c r="Q84" s="29">
        <f t="shared" ca="1" si="51"/>
        <v>14888125</v>
      </c>
      <c r="R84" s="29">
        <f t="shared" ca="1" si="51"/>
        <v>16232500</v>
      </c>
      <c r="S84" s="29">
        <f t="shared" ca="1" si="51"/>
        <v>17576875</v>
      </c>
      <c r="T84" s="29">
        <f t="shared" ca="1" si="51"/>
        <v>18921250</v>
      </c>
      <c r="U84" s="29">
        <f t="shared" ca="1" si="51"/>
        <v>20265625</v>
      </c>
      <c r="V84" s="29">
        <f t="shared" ca="1" si="51"/>
        <v>21610000</v>
      </c>
      <c r="W84" s="29">
        <f t="shared" ca="1" si="51"/>
        <v>21751250</v>
      </c>
      <c r="X84" s="29">
        <f t="shared" ca="1" si="51"/>
        <v>21892500</v>
      </c>
      <c r="Y84" s="29">
        <f t="shared" ca="1" si="51"/>
        <v>22033750</v>
      </c>
      <c r="Z84" s="29">
        <f t="shared" ca="1" si="51"/>
        <v>22175000</v>
      </c>
      <c r="AA84" s="29">
        <f t="shared" ca="1" si="51"/>
        <v>22316250</v>
      </c>
      <c r="AB84" s="29">
        <f t="shared" ca="1" si="51"/>
        <v>22457500</v>
      </c>
      <c r="AC84" s="29">
        <f t="shared" ca="1" si="51"/>
        <v>22598750</v>
      </c>
      <c r="AD84" s="29">
        <f t="shared" ca="1" si="51"/>
        <v>22740000</v>
      </c>
      <c r="AE84" s="29">
        <f t="shared" ca="1" si="51"/>
        <v>22881250</v>
      </c>
      <c r="AF84" s="29">
        <f t="shared" ca="1" si="51"/>
        <v>23022500</v>
      </c>
      <c r="AG84" s="29">
        <f t="shared" ca="1" si="51"/>
        <v>23163750</v>
      </c>
      <c r="AH84" s="29">
        <f t="shared" ca="1" si="51"/>
        <v>23305000</v>
      </c>
      <c r="AI84" s="29">
        <f t="shared" ca="1" si="51"/>
        <v>23446250</v>
      </c>
      <c r="AJ84" s="29">
        <f t="shared" ca="1" si="51"/>
        <v>23587500</v>
      </c>
      <c r="AK84" s="29">
        <f t="shared" ca="1" si="51"/>
        <v>23728750</v>
      </c>
      <c r="AL84" s="29">
        <f t="shared" ca="1" si="51"/>
        <v>23870000</v>
      </c>
      <c r="AM84" s="29">
        <f t="shared" ca="1" si="51"/>
        <v>24011250</v>
      </c>
      <c r="AN84" s="29">
        <f t="shared" ca="1" si="51"/>
        <v>24152500</v>
      </c>
      <c r="AO84" s="29">
        <f t="shared" ca="1" si="51"/>
        <v>24293750</v>
      </c>
      <c r="AP84" s="29">
        <f t="shared" ca="1" si="51"/>
        <v>24435000</v>
      </c>
      <c r="AQ84" s="29">
        <f t="shared" ca="1" si="51"/>
        <v>24576250</v>
      </c>
      <c r="AR84" s="29">
        <f t="shared" ca="1" si="51"/>
        <v>24717500</v>
      </c>
      <c r="AS84" s="29">
        <f t="shared" ca="1" si="51"/>
        <v>24858750</v>
      </c>
      <c r="AT84" s="29">
        <f t="shared" ca="1" si="51"/>
        <v>25000000</v>
      </c>
      <c r="AU84" s="29">
        <f t="shared" ca="1" si="51"/>
        <v>25000000</v>
      </c>
      <c r="AV84" s="29">
        <f t="shared" ca="1" si="51"/>
        <v>25000000</v>
      </c>
      <c r="AW84" s="29">
        <f t="shared" ca="1" si="51"/>
        <v>25000000</v>
      </c>
      <c r="AX84" s="29">
        <f t="shared" ca="1" si="51"/>
        <v>25000000</v>
      </c>
      <c r="AY84" s="29">
        <f t="shared" ca="1" si="51"/>
        <v>25000000</v>
      </c>
      <c r="AZ84" s="29">
        <f t="shared" ca="1" si="51"/>
        <v>25000000</v>
      </c>
      <c r="BA84" s="29">
        <f t="shared" ca="1" si="51"/>
        <v>25000000</v>
      </c>
      <c r="BB84" s="29">
        <f t="shared" ca="1" si="51"/>
        <v>25000000</v>
      </c>
      <c r="BC84" s="29">
        <f t="shared" ca="1" si="51"/>
        <v>25000000</v>
      </c>
      <c r="BD84" s="29">
        <f t="shared" ca="1" si="51"/>
        <v>25000000</v>
      </c>
      <c r="BE84" s="29">
        <f t="shared" ca="1" si="51"/>
        <v>25000000</v>
      </c>
      <c r="BF84" s="29">
        <f t="shared" ca="1" si="51"/>
        <v>25000000</v>
      </c>
      <c r="BG84" s="29">
        <f t="shared" ca="1" si="51"/>
        <v>25000000</v>
      </c>
      <c r="BH84" s="29">
        <f t="shared" ca="1" si="51"/>
        <v>25000000</v>
      </c>
      <c r="BI84" s="29">
        <f t="shared" ca="1" si="51"/>
        <v>25000000</v>
      </c>
      <c r="BJ84" s="29">
        <f t="shared" ca="1" si="51"/>
        <v>25000000</v>
      </c>
      <c r="BK84" s="29">
        <f t="shared" ca="1" si="51"/>
        <v>25000000</v>
      </c>
      <c r="BL84" s="29">
        <f t="shared" ca="1" si="51"/>
        <v>25000000</v>
      </c>
      <c r="BM84" s="29">
        <f t="shared" ca="1" si="51"/>
        <v>25000000</v>
      </c>
      <c r="BN84" s="29">
        <f t="shared" ca="1" si="51"/>
        <v>25000000</v>
      </c>
      <c r="BO84" s="29">
        <f t="shared" ca="1" si="51"/>
        <v>25000000</v>
      </c>
      <c r="BP84" s="29">
        <f t="shared" ca="1" si="51"/>
        <v>25000000</v>
      </c>
      <c r="BQ84" s="29">
        <f t="shared" ca="1" si="51"/>
        <v>25000000</v>
      </c>
      <c r="BR84" s="29">
        <f t="shared" ca="1" si="51"/>
        <v>25000000</v>
      </c>
      <c r="BS84" s="29">
        <f t="shared" ca="1" si="51"/>
        <v>25000000</v>
      </c>
      <c r="BT84" s="29">
        <f t="shared" ca="1" si="51"/>
        <v>25000000</v>
      </c>
      <c r="BU84" s="29">
        <f t="shared" ca="1" si="51"/>
        <v>25000000</v>
      </c>
      <c r="BV84" s="29">
        <f t="shared" ca="1" si="51"/>
        <v>25000000</v>
      </c>
      <c r="BW84" s="29">
        <f t="shared" ca="1" si="51"/>
        <v>25000000</v>
      </c>
      <c r="BX84" s="29">
        <f t="shared" ca="1" si="51"/>
        <v>25000000</v>
      </c>
      <c r="BY84" s="29">
        <f t="shared" ca="1" si="51"/>
        <v>25000000</v>
      </c>
      <c r="BZ84" s="29">
        <f t="shared" ca="1" si="51"/>
        <v>25000000</v>
      </c>
      <c r="CA84" s="29">
        <f t="shared" ca="1" si="51"/>
        <v>25000000</v>
      </c>
      <c r="CB84" s="29">
        <f t="shared" ca="1" si="51"/>
        <v>25000000</v>
      </c>
      <c r="CC84" s="29">
        <f t="shared" ca="1" si="51"/>
        <v>25000000</v>
      </c>
      <c r="CD84" s="29">
        <f t="shared" ca="1" si="51"/>
        <v>25000000</v>
      </c>
      <c r="CE84" s="29">
        <f t="shared" ca="1" si="51"/>
        <v>25000000</v>
      </c>
      <c r="CF84" s="29">
        <f t="shared" ca="1" si="51"/>
        <v>25000000</v>
      </c>
      <c r="CG84" s="29">
        <f t="shared" ca="1" si="51"/>
        <v>25000000</v>
      </c>
      <c r="CH84" s="29">
        <f t="shared" ca="1" si="51"/>
        <v>25000000</v>
      </c>
    </row>
    <row r="85" spans="2:86" ht="13">
      <c r="B85" s="15" t="str">
        <f t="shared" si="25"/>
        <v>Cumulative Change in Invested Capital, from LPs</v>
      </c>
      <c r="D85" s="15" t="s">
        <v>247</v>
      </c>
      <c r="E85" s="29">
        <f t="shared" ca="1" si="15"/>
        <v>0</v>
      </c>
      <c r="F85" s="29"/>
      <c r="G85" s="29">
        <f t="shared" ref="G85:CH85" ca="1" si="52">F85+G56</f>
        <v>1203125</v>
      </c>
      <c r="H85" s="29">
        <f t="shared" ca="1" si="52"/>
        <v>2406250</v>
      </c>
      <c r="I85" s="29">
        <f t="shared" ca="1" si="52"/>
        <v>3609375</v>
      </c>
      <c r="J85" s="29">
        <f t="shared" ca="1" si="52"/>
        <v>4812500</v>
      </c>
      <c r="K85" s="29">
        <f t="shared" ca="1" si="52"/>
        <v>6015625</v>
      </c>
      <c r="L85" s="29">
        <f t="shared" ca="1" si="52"/>
        <v>7218750</v>
      </c>
      <c r="M85" s="29">
        <f t="shared" ca="1" si="52"/>
        <v>8421875</v>
      </c>
      <c r="N85" s="29">
        <f t="shared" ca="1" si="52"/>
        <v>9625000</v>
      </c>
      <c r="O85" s="29">
        <f t="shared" ca="1" si="52"/>
        <v>10106250</v>
      </c>
      <c r="P85" s="29">
        <f t="shared" ca="1" si="52"/>
        <v>10587500</v>
      </c>
      <c r="Q85" s="29">
        <f t="shared" ca="1" si="52"/>
        <v>11068750</v>
      </c>
      <c r="R85" s="29">
        <f t="shared" ca="1" si="52"/>
        <v>11550000</v>
      </c>
      <c r="S85" s="29">
        <f t="shared" ca="1" si="52"/>
        <v>12031250</v>
      </c>
      <c r="T85" s="29">
        <f t="shared" ca="1" si="52"/>
        <v>12512500</v>
      </c>
      <c r="U85" s="29">
        <f t="shared" ca="1" si="52"/>
        <v>12993750</v>
      </c>
      <c r="V85" s="29">
        <f t="shared" ca="1" si="52"/>
        <v>13475000</v>
      </c>
      <c r="W85" s="29">
        <f t="shared" ca="1" si="52"/>
        <v>12392187.5</v>
      </c>
      <c r="X85" s="29">
        <f t="shared" ca="1" si="52"/>
        <v>11309375</v>
      </c>
      <c r="Y85" s="29">
        <f t="shared" ca="1" si="52"/>
        <v>10226562.5</v>
      </c>
      <c r="Z85" s="29">
        <f t="shared" ca="1" si="52"/>
        <v>9143750</v>
      </c>
      <c r="AA85" s="29">
        <f t="shared" ca="1" si="52"/>
        <v>7916562.5</v>
      </c>
      <c r="AB85" s="29">
        <f t="shared" ca="1" si="52"/>
        <v>6689375</v>
      </c>
      <c r="AC85" s="29">
        <f t="shared" ca="1" si="52"/>
        <v>5462187.5</v>
      </c>
      <c r="AD85" s="29">
        <f t="shared" ca="1" si="52"/>
        <v>4235000</v>
      </c>
      <c r="AE85" s="29">
        <f t="shared" ca="1" si="52"/>
        <v>3705625</v>
      </c>
      <c r="AF85" s="29">
        <f t="shared" ca="1" si="52"/>
        <v>3176250</v>
      </c>
      <c r="AG85" s="29">
        <f t="shared" ca="1" si="52"/>
        <v>2646875</v>
      </c>
      <c r="AH85" s="29">
        <f t="shared" ca="1" si="52"/>
        <v>2117500</v>
      </c>
      <c r="AI85" s="29">
        <f t="shared" ca="1" si="52"/>
        <v>1852812.5</v>
      </c>
      <c r="AJ85" s="29">
        <f t="shared" ca="1" si="52"/>
        <v>1588125</v>
      </c>
      <c r="AK85" s="29">
        <f t="shared" ca="1" si="52"/>
        <v>1323437.5</v>
      </c>
      <c r="AL85" s="29">
        <f t="shared" ca="1" si="52"/>
        <v>1058750</v>
      </c>
      <c r="AM85" s="29">
        <f t="shared" ca="1" si="52"/>
        <v>938437.5</v>
      </c>
      <c r="AN85" s="29">
        <f t="shared" ca="1" si="52"/>
        <v>818125</v>
      </c>
      <c r="AO85" s="29">
        <f t="shared" ca="1" si="52"/>
        <v>697812.5</v>
      </c>
      <c r="AP85" s="29">
        <f t="shared" ca="1" si="52"/>
        <v>577500</v>
      </c>
      <c r="AQ85" s="29">
        <f t="shared" ca="1" si="52"/>
        <v>433125</v>
      </c>
      <c r="AR85" s="29">
        <f t="shared" ca="1" si="52"/>
        <v>288750</v>
      </c>
      <c r="AS85" s="29">
        <f t="shared" ca="1" si="52"/>
        <v>144375.00000000003</v>
      </c>
      <c r="AT85" s="29">
        <f t="shared" ca="1" si="52"/>
        <v>0</v>
      </c>
      <c r="AU85" s="29">
        <f t="shared" ca="1" si="52"/>
        <v>0</v>
      </c>
      <c r="AV85" s="29">
        <f t="shared" ca="1" si="52"/>
        <v>0</v>
      </c>
      <c r="AW85" s="29">
        <f t="shared" ca="1" si="52"/>
        <v>0</v>
      </c>
      <c r="AX85" s="29">
        <f t="shared" ca="1" si="52"/>
        <v>0</v>
      </c>
      <c r="AY85" s="29">
        <f t="shared" ca="1" si="52"/>
        <v>0</v>
      </c>
      <c r="AZ85" s="29">
        <f t="shared" ca="1" si="52"/>
        <v>0</v>
      </c>
      <c r="BA85" s="29">
        <f t="shared" ca="1" si="52"/>
        <v>0</v>
      </c>
      <c r="BB85" s="29">
        <f t="shared" ca="1" si="52"/>
        <v>0</v>
      </c>
      <c r="BC85" s="29">
        <f t="shared" ca="1" si="52"/>
        <v>0</v>
      </c>
      <c r="BD85" s="29">
        <f t="shared" ca="1" si="52"/>
        <v>0</v>
      </c>
      <c r="BE85" s="29">
        <f t="shared" ca="1" si="52"/>
        <v>0</v>
      </c>
      <c r="BF85" s="29">
        <f t="shared" ca="1" si="52"/>
        <v>0</v>
      </c>
      <c r="BG85" s="29">
        <f t="shared" ca="1" si="52"/>
        <v>0</v>
      </c>
      <c r="BH85" s="29">
        <f t="shared" ca="1" si="52"/>
        <v>0</v>
      </c>
      <c r="BI85" s="29">
        <f t="shared" ca="1" si="52"/>
        <v>0</v>
      </c>
      <c r="BJ85" s="29">
        <f t="shared" ca="1" si="52"/>
        <v>0</v>
      </c>
      <c r="BK85" s="29">
        <f t="shared" ca="1" si="52"/>
        <v>0</v>
      </c>
      <c r="BL85" s="29">
        <f t="shared" ca="1" si="52"/>
        <v>0</v>
      </c>
      <c r="BM85" s="29">
        <f t="shared" ca="1" si="52"/>
        <v>0</v>
      </c>
      <c r="BN85" s="29">
        <f t="shared" ca="1" si="52"/>
        <v>0</v>
      </c>
      <c r="BO85" s="29">
        <f t="shared" ca="1" si="52"/>
        <v>0</v>
      </c>
      <c r="BP85" s="29">
        <f t="shared" ca="1" si="52"/>
        <v>0</v>
      </c>
      <c r="BQ85" s="29">
        <f t="shared" ca="1" si="52"/>
        <v>0</v>
      </c>
      <c r="BR85" s="29">
        <f t="shared" ca="1" si="52"/>
        <v>0</v>
      </c>
      <c r="BS85" s="29">
        <f t="shared" ca="1" si="52"/>
        <v>0</v>
      </c>
      <c r="BT85" s="29">
        <f t="shared" ca="1" si="52"/>
        <v>0</v>
      </c>
      <c r="BU85" s="29">
        <f t="shared" ca="1" si="52"/>
        <v>0</v>
      </c>
      <c r="BV85" s="29">
        <f t="shared" ca="1" si="52"/>
        <v>0</v>
      </c>
      <c r="BW85" s="29">
        <f t="shared" ca="1" si="52"/>
        <v>0</v>
      </c>
      <c r="BX85" s="29">
        <f t="shared" ca="1" si="52"/>
        <v>0</v>
      </c>
      <c r="BY85" s="29">
        <f t="shared" ca="1" si="52"/>
        <v>0</v>
      </c>
      <c r="BZ85" s="29">
        <f t="shared" ca="1" si="52"/>
        <v>0</v>
      </c>
      <c r="CA85" s="29">
        <f t="shared" ca="1" si="52"/>
        <v>0</v>
      </c>
      <c r="CB85" s="29">
        <f t="shared" ca="1" si="52"/>
        <v>0</v>
      </c>
      <c r="CC85" s="29">
        <f t="shared" ca="1" si="52"/>
        <v>0</v>
      </c>
      <c r="CD85" s="29">
        <f t="shared" ca="1" si="52"/>
        <v>0</v>
      </c>
      <c r="CE85" s="29">
        <f t="shared" ca="1" si="52"/>
        <v>0</v>
      </c>
      <c r="CF85" s="29">
        <f t="shared" ca="1" si="52"/>
        <v>0</v>
      </c>
      <c r="CG85" s="29">
        <f t="shared" ca="1" si="52"/>
        <v>0</v>
      </c>
      <c r="CH85" s="29">
        <f t="shared" ca="1" si="52"/>
        <v>0</v>
      </c>
    </row>
    <row r="86" spans="2:86" ht="13">
      <c r="B86" s="15" t="str">
        <f t="shared" si="25"/>
        <v>Cumulative Distributions to LPs</v>
      </c>
      <c r="D86" s="15" t="s">
        <v>247</v>
      </c>
      <c r="E86" s="29">
        <f t="shared" ca="1" si="15"/>
        <v>109968994.80000001</v>
      </c>
      <c r="F86" s="29"/>
      <c r="G86" s="29">
        <f t="shared" ref="G86:CH86" ca="1" si="53">F86+G57</f>
        <v>0</v>
      </c>
      <c r="H86" s="29">
        <f t="shared" ca="1" si="53"/>
        <v>0</v>
      </c>
      <c r="I86" s="29">
        <f t="shared" ca="1" si="53"/>
        <v>0</v>
      </c>
      <c r="J86" s="29">
        <f t="shared" ca="1" si="53"/>
        <v>0</v>
      </c>
      <c r="K86" s="29">
        <f t="shared" ca="1" si="53"/>
        <v>0</v>
      </c>
      <c r="L86" s="29">
        <f t="shared" ca="1" si="53"/>
        <v>0</v>
      </c>
      <c r="M86" s="29">
        <f t="shared" ca="1" si="53"/>
        <v>0</v>
      </c>
      <c r="N86" s="29">
        <f t="shared" ca="1" si="53"/>
        <v>0</v>
      </c>
      <c r="O86" s="29">
        <f t="shared" ca="1" si="53"/>
        <v>0</v>
      </c>
      <c r="P86" s="29">
        <f t="shared" ca="1" si="53"/>
        <v>0</v>
      </c>
      <c r="Q86" s="29">
        <f t="shared" ca="1" si="53"/>
        <v>0</v>
      </c>
      <c r="R86" s="29">
        <f t="shared" ca="1" si="53"/>
        <v>0</v>
      </c>
      <c r="S86" s="29">
        <f t="shared" ca="1" si="53"/>
        <v>952682.50000000047</v>
      </c>
      <c r="T86" s="29">
        <f t="shared" ca="1" si="53"/>
        <v>1905365.0000000009</v>
      </c>
      <c r="U86" s="29">
        <f t="shared" ca="1" si="53"/>
        <v>2858047.5000000014</v>
      </c>
      <c r="V86" s="29">
        <f t="shared" ca="1" si="53"/>
        <v>3810730.0000000019</v>
      </c>
      <c r="W86" s="29">
        <f t="shared" ca="1" si="53"/>
        <v>7227653.1250000028</v>
      </c>
      <c r="X86" s="29">
        <f t="shared" ca="1" si="53"/>
        <v>10644576.250000004</v>
      </c>
      <c r="Y86" s="29">
        <f t="shared" ca="1" si="53"/>
        <v>13670032.833333336</v>
      </c>
      <c r="Z86" s="29">
        <f t="shared" ca="1" si="53"/>
        <v>16666071.333333336</v>
      </c>
      <c r="AA86" s="29">
        <f t="shared" ca="1" si="53"/>
        <v>19697109.833333336</v>
      </c>
      <c r="AB86" s="29">
        <f t="shared" ca="1" si="53"/>
        <v>22728148.333333336</v>
      </c>
      <c r="AC86" s="29">
        <f t="shared" ca="1" si="53"/>
        <v>25759186.833333336</v>
      </c>
      <c r="AD86" s="29">
        <f t="shared" ca="1" si="53"/>
        <v>28790225.333333336</v>
      </c>
      <c r="AE86" s="29">
        <f t="shared" ca="1" si="53"/>
        <v>35407741.366666667</v>
      </c>
      <c r="AF86" s="29">
        <f t="shared" ca="1" si="53"/>
        <v>42025257.399999999</v>
      </c>
      <c r="AG86" s="29">
        <f t="shared" ca="1" si="53"/>
        <v>48642773.43333333</v>
      </c>
      <c r="AH86" s="29">
        <f t="shared" ca="1" si="53"/>
        <v>55260289.466666661</v>
      </c>
      <c r="AI86" s="29">
        <f t="shared" ca="1" si="53"/>
        <v>61029232.133333325</v>
      </c>
      <c r="AJ86" s="29">
        <f t="shared" ca="1" si="53"/>
        <v>66798174.79999999</v>
      </c>
      <c r="AK86" s="29">
        <f t="shared" ca="1" si="53"/>
        <v>72567117.466666654</v>
      </c>
      <c r="AL86" s="29">
        <f t="shared" ca="1" si="53"/>
        <v>78336060.133333325</v>
      </c>
      <c r="AM86" s="29">
        <f t="shared" ca="1" si="53"/>
        <v>81930711.799999997</v>
      </c>
      <c r="AN86" s="29">
        <f t="shared" ca="1" si="53"/>
        <v>85525363.466666669</v>
      </c>
      <c r="AO86" s="29">
        <f t="shared" ca="1" si="53"/>
        <v>89120015.13333334</v>
      </c>
      <c r="AP86" s="29">
        <f t="shared" ca="1" si="53"/>
        <v>92714666.800000012</v>
      </c>
      <c r="AQ86" s="29">
        <f t="shared" ca="1" si="53"/>
        <v>97028248.800000012</v>
      </c>
      <c r="AR86" s="29">
        <f t="shared" ca="1" si="53"/>
        <v>101341830.80000001</v>
      </c>
      <c r="AS86" s="29">
        <f t="shared" ca="1" si="53"/>
        <v>105655412.80000001</v>
      </c>
      <c r="AT86" s="29">
        <f t="shared" ca="1" si="53"/>
        <v>109968994.80000001</v>
      </c>
      <c r="AU86" s="29">
        <f t="shared" ca="1" si="53"/>
        <v>109968994.80000001</v>
      </c>
      <c r="AV86" s="29">
        <f t="shared" ca="1" si="53"/>
        <v>109968994.80000001</v>
      </c>
      <c r="AW86" s="29">
        <f t="shared" ca="1" si="53"/>
        <v>109968994.80000001</v>
      </c>
      <c r="AX86" s="29">
        <f t="shared" ca="1" si="53"/>
        <v>109968994.80000001</v>
      </c>
      <c r="AY86" s="29">
        <f t="shared" ca="1" si="53"/>
        <v>109968994.80000001</v>
      </c>
      <c r="AZ86" s="29">
        <f t="shared" ca="1" si="53"/>
        <v>109968994.80000001</v>
      </c>
      <c r="BA86" s="29">
        <f t="shared" ca="1" si="53"/>
        <v>109968994.80000001</v>
      </c>
      <c r="BB86" s="29">
        <f t="shared" ca="1" si="53"/>
        <v>109968994.80000001</v>
      </c>
      <c r="BC86" s="29">
        <f t="shared" ca="1" si="53"/>
        <v>109968994.80000001</v>
      </c>
      <c r="BD86" s="29">
        <f t="shared" ca="1" si="53"/>
        <v>109968994.80000001</v>
      </c>
      <c r="BE86" s="29">
        <f t="shared" ca="1" si="53"/>
        <v>109968994.80000001</v>
      </c>
      <c r="BF86" s="29">
        <f t="shared" ca="1" si="53"/>
        <v>109968994.80000001</v>
      </c>
      <c r="BG86" s="29">
        <f t="shared" ca="1" si="53"/>
        <v>109968994.80000001</v>
      </c>
      <c r="BH86" s="29">
        <f t="shared" ca="1" si="53"/>
        <v>109968994.80000001</v>
      </c>
      <c r="BI86" s="29">
        <f t="shared" ca="1" si="53"/>
        <v>109968994.80000001</v>
      </c>
      <c r="BJ86" s="29">
        <f t="shared" ca="1" si="53"/>
        <v>109968994.80000001</v>
      </c>
      <c r="BK86" s="29">
        <f t="shared" ca="1" si="53"/>
        <v>109968994.80000001</v>
      </c>
      <c r="BL86" s="29">
        <f t="shared" ca="1" si="53"/>
        <v>109968994.80000001</v>
      </c>
      <c r="BM86" s="29">
        <f t="shared" ca="1" si="53"/>
        <v>109968994.80000001</v>
      </c>
      <c r="BN86" s="29">
        <f t="shared" ca="1" si="53"/>
        <v>109968994.80000001</v>
      </c>
      <c r="BO86" s="29">
        <f t="shared" ca="1" si="53"/>
        <v>109968994.80000001</v>
      </c>
      <c r="BP86" s="29">
        <f t="shared" ca="1" si="53"/>
        <v>109968994.80000001</v>
      </c>
      <c r="BQ86" s="29">
        <f t="shared" ca="1" si="53"/>
        <v>109968994.80000001</v>
      </c>
      <c r="BR86" s="29">
        <f t="shared" ca="1" si="53"/>
        <v>109968994.80000001</v>
      </c>
      <c r="BS86" s="29">
        <f t="shared" ca="1" si="53"/>
        <v>109968994.80000001</v>
      </c>
      <c r="BT86" s="29">
        <f t="shared" ca="1" si="53"/>
        <v>109968994.80000001</v>
      </c>
      <c r="BU86" s="29">
        <f t="shared" ca="1" si="53"/>
        <v>109968994.80000001</v>
      </c>
      <c r="BV86" s="29">
        <f t="shared" ca="1" si="53"/>
        <v>109968994.80000001</v>
      </c>
      <c r="BW86" s="29">
        <f t="shared" ca="1" si="53"/>
        <v>109968994.80000001</v>
      </c>
      <c r="BX86" s="29">
        <f t="shared" ca="1" si="53"/>
        <v>109968994.80000001</v>
      </c>
      <c r="BY86" s="29">
        <f t="shared" ca="1" si="53"/>
        <v>109968994.80000001</v>
      </c>
      <c r="BZ86" s="29">
        <f t="shared" ca="1" si="53"/>
        <v>109968994.80000001</v>
      </c>
      <c r="CA86" s="29">
        <f t="shared" ca="1" si="53"/>
        <v>109968994.80000001</v>
      </c>
      <c r="CB86" s="29">
        <f t="shared" ca="1" si="53"/>
        <v>109968994.80000001</v>
      </c>
      <c r="CC86" s="29">
        <f t="shared" ca="1" si="53"/>
        <v>109968994.80000001</v>
      </c>
      <c r="CD86" s="29">
        <f t="shared" ca="1" si="53"/>
        <v>109968994.80000001</v>
      </c>
      <c r="CE86" s="29">
        <f t="shared" ca="1" si="53"/>
        <v>109968994.80000001</v>
      </c>
      <c r="CF86" s="29">
        <f t="shared" ca="1" si="53"/>
        <v>109968994.80000001</v>
      </c>
      <c r="CG86" s="29">
        <f t="shared" ca="1" si="53"/>
        <v>109968994.80000001</v>
      </c>
      <c r="CH86" s="29">
        <f t="shared" ca="1" si="53"/>
        <v>109968994.80000001</v>
      </c>
    </row>
    <row r="87" spans="2:86" ht="13">
      <c r="B87" s="15" t="str">
        <f t="shared" si="25"/>
        <v>Cumulative Distributions to GPs</v>
      </c>
      <c r="D87" s="15" t="s">
        <v>247</v>
      </c>
      <c r="E87" s="29">
        <f t="shared" ca="1" si="15"/>
        <v>24047580.200000003</v>
      </c>
      <c r="F87" s="29"/>
      <c r="G87" s="29">
        <f t="shared" ref="G87:CH87" ca="1" si="54">F87+G58</f>
        <v>0</v>
      </c>
      <c r="H87" s="29">
        <f t="shared" ca="1" si="54"/>
        <v>0</v>
      </c>
      <c r="I87" s="29">
        <f t="shared" ca="1" si="54"/>
        <v>0</v>
      </c>
      <c r="J87" s="29">
        <f t="shared" ca="1" si="54"/>
        <v>0</v>
      </c>
      <c r="K87" s="29">
        <f t="shared" ca="1" si="54"/>
        <v>0</v>
      </c>
      <c r="L87" s="29">
        <f t="shared" ca="1" si="54"/>
        <v>0</v>
      </c>
      <c r="M87" s="29">
        <f t="shared" ca="1" si="54"/>
        <v>0</v>
      </c>
      <c r="N87" s="29">
        <f t="shared" ca="1" si="54"/>
        <v>0</v>
      </c>
      <c r="O87" s="29">
        <f t="shared" ca="1" si="54"/>
        <v>0</v>
      </c>
      <c r="P87" s="29">
        <f t="shared" ca="1" si="54"/>
        <v>0</v>
      </c>
      <c r="Q87" s="29">
        <f t="shared" ca="1" si="54"/>
        <v>0</v>
      </c>
      <c r="R87" s="29">
        <f t="shared" ca="1" si="54"/>
        <v>0</v>
      </c>
      <c r="S87" s="29">
        <f t="shared" ca="1" si="54"/>
        <v>19442.500000000011</v>
      </c>
      <c r="T87" s="29">
        <f t="shared" ca="1" si="54"/>
        <v>38885.000000000022</v>
      </c>
      <c r="U87" s="29">
        <f t="shared" ca="1" si="54"/>
        <v>58327.500000000029</v>
      </c>
      <c r="V87" s="29">
        <f t="shared" ca="1" si="54"/>
        <v>77770.000000000044</v>
      </c>
      <c r="W87" s="29">
        <f t="shared" ca="1" si="54"/>
        <v>147503.12500000006</v>
      </c>
      <c r="X87" s="29">
        <f t="shared" ca="1" si="54"/>
        <v>217236.25000000006</v>
      </c>
      <c r="Y87" s="29">
        <f t="shared" ca="1" si="54"/>
        <v>678435.91666666768</v>
      </c>
      <c r="Z87" s="29">
        <f t="shared" ca="1" si="54"/>
        <v>1169053.6666666679</v>
      </c>
      <c r="AA87" s="29">
        <f t="shared" ca="1" si="54"/>
        <v>1624671.4166666684</v>
      </c>
      <c r="AB87" s="29">
        <f t="shared" ca="1" si="54"/>
        <v>2080289.1666666688</v>
      </c>
      <c r="AC87" s="29">
        <f t="shared" ca="1" si="54"/>
        <v>2535906.9166666693</v>
      </c>
      <c r="AD87" s="29">
        <f t="shared" ca="1" si="54"/>
        <v>2991524.6666666698</v>
      </c>
      <c r="AE87" s="29">
        <f t="shared" ca="1" si="54"/>
        <v>4651027.3833333366</v>
      </c>
      <c r="AF87" s="29">
        <f t="shared" ca="1" si="54"/>
        <v>6310530.1000000034</v>
      </c>
      <c r="AG87" s="29">
        <f t="shared" ca="1" si="54"/>
        <v>7970032.8166666701</v>
      </c>
      <c r="AH87" s="29">
        <f t="shared" ca="1" si="54"/>
        <v>9629535.5333333369</v>
      </c>
      <c r="AI87" s="29">
        <f t="shared" ca="1" si="54"/>
        <v>11137092.866666671</v>
      </c>
      <c r="AJ87" s="29">
        <f t="shared" ca="1" si="54"/>
        <v>12644650.200000005</v>
      </c>
      <c r="AK87" s="29">
        <f t="shared" ca="1" si="54"/>
        <v>14152207.533333339</v>
      </c>
      <c r="AL87" s="29">
        <f t="shared" ca="1" si="54"/>
        <v>15659764.866666673</v>
      </c>
      <c r="AM87" s="29">
        <f t="shared" ca="1" si="54"/>
        <v>16612925.700000007</v>
      </c>
      <c r="AN87" s="29">
        <f t="shared" ca="1" si="54"/>
        <v>17566086.533333339</v>
      </c>
      <c r="AO87" s="29">
        <f t="shared" ca="1" si="54"/>
        <v>18519247.366666671</v>
      </c>
      <c r="AP87" s="29">
        <f t="shared" ca="1" si="54"/>
        <v>19472408.200000003</v>
      </c>
      <c r="AQ87" s="29">
        <f t="shared" ca="1" si="54"/>
        <v>20616201.200000003</v>
      </c>
      <c r="AR87" s="29">
        <f t="shared" ca="1" si="54"/>
        <v>21759994.200000003</v>
      </c>
      <c r="AS87" s="29">
        <f t="shared" ca="1" si="54"/>
        <v>22903787.200000003</v>
      </c>
      <c r="AT87" s="29">
        <f t="shared" ca="1" si="54"/>
        <v>24047580.200000003</v>
      </c>
      <c r="AU87" s="29">
        <f t="shared" ca="1" si="54"/>
        <v>24047580.200000003</v>
      </c>
      <c r="AV87" s="29">
        <f t="shared" ca="1" si="54"/>
        <v>24047580.200000003</v>
      </c>
      <c r="AW87" s="29">
        <f t="shared" ca="1" si="54"/>
        <v>24047580.200000003</v>
      </c>
      <c r="AX87" s="29">
        <f t="shared" ca="1" si="54"/>
        <v>24047580.200000003</v>
      </c>
      <c r="AY87" s="29">
        <f t="shared" ca="1" si="54"/>
        <v>24047580.200000003</v>
      </c>
      <c r="AZ87" s="29">
        <f t="shared" ca="1" si="54"/>
        <v>24047580.200000003</v>
      </c>
      <c r="BA87" s="29">
        <f t="shared" ca="1" si="54"/>
        <v>24047580.200000003</v>
      </c>
      <c r="BB87" s="29">
        <f t="shared" ca="1" si="54"/>
        <v>24047580.200000003</v>
      </c>
      <c r="BC87" s="29">
        <f t="shared" ca="1" si="54"/>
        <v>24047580.200000003</v>
      </c>
      <c r="BD87" s="29">
        <f t="shared" ca="1" si="54"/>
        <v>24047580.200000003</v>
      </c>
      <c r="BE87" s="29">
        <f t="shared" ca="1" si="54"/>
        <v>24047580.200000003</v>
      </c>
      <c r="BF87" s="29">
        <f t="shared" ca="1" si="54"/>
        <v>24047580.200000003</v>
      </c>
      <c r="BG87" s="29">
        <f t="shared" ca="1" si="54"/>
        <v>24047580.200000003</v>
      </c>
      <c r="BH87" s="29">
        <f t="shared" ca="1" si="54"/>
        <v>24047580.200000003</v>
      </c>
      <c r="BI87" s="29">
        <f t="shared" ca="1" si="54"/>
        <v>24047580.200000003</v>
      </c>
      <c r="BJ87" s="29">
        <f t="shared" ca="1" si="54"/>
        <v>24047580.200000003</v>
      </c>
      <c r="BK87" s="29">
        <f t="shared" ca="1" si="54"/>
        <v>24047580.200000003</v>
      </c>
      <c r="BL87" s="29">
        <f t="shared" ca="1" si="54"/>
        <v>24047580.200000003</v>
      </c>
      <c r="BM87" s="29">
        <f t="shared" ca="1" si="54"/>
        <v>24047580.200000003</v>
      </c>
      <c r="BN87" s="29">
        <f t="shared" ca="1" si="54"/>
        <v>24047580.200000003</v>
      </c>
      <c r="BO87" s="29">
        <f t="shared" ca="1" si="54"/>
        <v>24047580.200000003</v>
      </c>
      <c r="BP87" s="29">
        <f t="shared" ca="1" si="54"/>
        <v>24047580.200000003</v>
      </c>
      <c r="BQ87" s="29">
        <f t="shared" ca="1" si="54"/>
        <v>24047580.200000003</v>
      </c>
      <c r="BR87" s="29">
        <f t="shared" ca="1" si="54"/>
        <v>24047580.200000003</v>
      </c>
      <c r="BS87" s="29">
        <f t="shared" ca="1" si="54"/>
        <v>24047580.200000003</v>
      </c>
      <c r="BT87" s="29">
        <f t="shared" ca="1" si="54"/>
        <v>24047580.200000003</v>
      </c>
      <c r="BU87" s="29">
        <f t="shared" ca="1" si="54"/>
        <v>24047580.200000003</v>
      </c>
      <c r="BV87" s="29">
        <f t="shared" ca="1" si="54"/>
        <v>24047580.200000003</v>
      </c>
      <c r="BW87" s="29">
        <f t="shared" ca="1" si="54"/>
        <v>24047580.200000003</v>
      </c>
      <c r="BX87" s="29">
        <f t="shared" ca="1" si="54"/>
        <v>24047580.200000003</v>
      </c>
      <c r="BY87" s="29">
        <f t="shared" ca="1" si="54"/>
        <v>24047580.200000003</v>
      </c>
      <c r="BZ87" s="29">
        <f t="shared" ca="1" si="54"/>
        <v>24047580.200000003</v>
      </c>
      <c r="CA87" s="29">
        <f t="shared" ca="1" si="54"/>
        <v>24047580.200000003</v>
      </c>
      <c r="CB87" s="29">
        <f t="shared" ca="1" si="54"/>
        <v>24047580.200000003</v>
      </c>
      <c r="CC87" s="29">
        <f t="shared" ca="1" si="54"/>
        <v>24047580.200000003</v>
      </c>
      <c r="CD87" s="29">
        <f t="shared" ca="1" si="54"/>
        <v>24047580.200000003</v>
      </c>
      <c r="CE87" s="29">
        <f t="shared" ca="1" si="54"/>
        <v>24047580.200000003</v>
      </c>
      <c r="CF87" s="29">
        <f t="shared" ca="1" si="54"/>
        <v>24047580.200000003</v>
      </c>
      <c r="CG87" s="29">
        <f t="shared" ca="1" si="54"/>
        <v>24047580.200000003</v>
      </c>
      <c r="CH87" s="29">
        <f t="shared" ca="1" si="54"/>
        <v>24047580.200000003</v>
      </c>
    </row>
    <row r="88" spans="2:86" ht="13">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c r="CE88" s="29"/>
      <c r="CF88" s="29"/>
      <c r="CG88" s="29"/>
      <c r="CH88" s="29"/>
    </row>
    <row r="89" spans="2:86" ht="13">
      <c r="B89" s="15" t="s">
        <v>286</v>
      </c>
      <c r="C89" s="15"/>
      <c r="D89" s="15" t="s">
        <v>247</v>
      </c>
      <c r="E89" s="81">
        <f t="shared" ref="E89:E92" ca="1" si="55">IF(D89="sum",SUM(G89:CH89),IF(D89="final",CH89,IF(D89="initial",G89,IF(D89="average",AVERAGE(G89:CH89),0))))</f>
        <v>1</v>
      </c>
      <c r="F89" s="82" t="str">
        <f t="shared" ref="F89:F92" si="56">B89</f>
        <v>Paid in Capital (PIC)</v>
      </c>
      <c r="G89" s="81">
        <f t="shared" ref="G89:CH89" ca="1" si="57">IFERROR(G60/$E60,0)</f>
        <v>5.7775E-2</v>
      </c>
      <c r="H89" s="81">
        <f t="shared" ca="1" si="57"/>
        <v>0.11155</v>
      </c>
      <c r="I89" s="81">
        <f t="shared" ca="1" si="57"/>
        <v>0.165325</v>
      </c>
      <c r="J89" s="81">
        <f t="shared" ca="1" si="57"/>
        <v>0.21909999999999999</v>
      </c>
      <c r="K89" s="81">
        <f t="shared" ca="1" si="57"/>
        <v>0.27287499999999998</v>
      </c>
      <c r="L89" s="81">
        <f t="shared" ca="1" si="57"/>
        <v>0.32665</v>
      </c>
      <c r="M89" s="81">
        <f t="shared" ca="1" si="57"/>
        <v>0.38042500000000001</v>
      </c>
      <c r="N89" s="81">
        <f t="shared" ca="1" si="57"/>
        <v>0.43419999999999997</v>
      </c>
      <c r="O89" s="81">
        <f t="shared" ca="1" si="57"/>
        <v>0.48797499999999999</v>
      </c>
      <c r="P89" s="81">
        <f t="shared" ca="1" si="57"/>
        <v>0.54174999999999995</v>
      </c>
      <c r="Q89" s="81">
        <f t="shared" ca="1" si="57"/>
        <v>0.59552499999999997</v>
      </c>
      <c r="R89" s="81">
        <f t="shared" ca="1" si="57"/>
        <v>0.64929999999999999</v>
      </c>
      <c r="S89" s="81">
        <f t="shared" ca="1" si="57"/>
        <v>0.70307500000000001</v>
      </c>
      <c r="T89" s="81">
        <f t="shared" ca="1" si="57"/>
        <v>0.75685000000000002</v>
      </c>
      <c r="U89" s="81">
        <f t="shared" ca="1" si="57"/>
        <v>0.81062500000000004</v>
      </c>
      <c r="V89" s="81">
        <f t="shared" ca="1" si="57"/>
        <v>0.86439999999999995</v>
      </c>
      <c r="W89" s="81">
        <f t="shared" ca="1" si="57"/>
        <v>0.87004999999999999</v>
      </c>
      <c r="X89" s="81">
        <f t="shared" ca="1" si="57"/>
        <v>0.87570000000000003</v>
      </c>
      <c r="Y89" s="81">
        <f t="shared" ca="1" si="57"/>
        <v>0.88134999999999997</v>
      </c>
      <c r="Z89" s="81">
        <f t="shared" ca="1" si="57"/>
        <v>0.88700000000000001</v>
      </c>
      <c r="AA89" s="81">
        <f t="shared" ca="1" si="57"/>
        <v>0.89265000000000005</v>
      </c>
      <c r="AB89" s="81">
        <f t="shared" ca="1" si="57"/>
        <v>0.89829999999999999</v>
      </c>
      <c r="AC89" s="81">
        <f t="shared" ca="1" si="57"/>
        <v>0.90395000000000003</v>
      </c>
      <c r="AD89" s="81">
        <f t="shared" ca="1" si="57"/>
        <v>0.90959999999999996</v>
      </c>
      <c r="AE89" s="81">
        <f t="shared" ca="1" si="57"/>
        <v>0.91525000000000001</v>
      </c>
      <c r="AF89" s="81">
        <f t="shared" ca="1" si="57"/>
        <v>0.92090000000000005</v>
      </c>
      <c r="AG89" s="81">
        <f t="shared" ca="1" si="57"/>
        <v>0.92654999999999998</v>
      </c>
      <c r="AH89" s="81">
        <f t="shared" ca="1" si="57"/>
        <v>0.93220000000000003</v>
      </c>
      <c r="AI89" s="81">
        <f t="shared" ca="1" si="57"/>
        <v>0.93784999999999996</v>
      </c>
      <c r="AJ89" s="81">
        <f t="shared" ca="1" si="57"/>
        <v>0.94350000000000001</v>
      </c>
      <c r="AK89" s="81">
        <f t="shared" ca="1" si="57"/>
        <v>0.94915000000000005</v>
      </c>
      <c r="AL89" s="81">
        <f t="shared" ca="1" si="57"/>
        <v>0.95479999999999998</v>
      </c>
      <c r="AM89" s="81">
        <f t="shared" ca="1" si="57"/>
        <v>0.96045000000000003</v>
      </c>
      <c r="AN89" s="81">
        <f t="shared" ca="1" si="57"/>
        <v>0.96609999999999996</v>
      </c>
      <c r="AO89" s="81">
        <f t="shared" ca="1" si="57"/>
        <v>0.97175</v>
      </c>
      <c r="AP89" s="81">
        <f t="shared" ca="1" si="57"/>
        <v>0.97740000000000005</v>
      </c>
      <c r="AQ89" s="81">
        <f t="shared" ca="1" si="57"/>
        <v>0.98304999999999998</v>
      </c>
      <c r="AR89" s="81">
        <f t="shared" ca="1" si="57"/>
        <v>0.98870000000000002</v>
      </c>
      <c r="AS89" s="81">
        <f t="shared" ca="1" si="57"/>
        <v>0.99434999999999996</v>
      </c>
      <c r="AT89" s="81">
        <f t="shared" ca="1" si="57"/>
        <v>1</v>
      </c>
      <c r="AU89" s="81">
        <f t="shared" ca="1" si="57"/>
        <v>1</v>
      </c>
      <c r="AV89" s="81">
        <f t="shared" ca="1" si="57"/>
        <v>1</v>
      </c>
      <c r="AW89" s="81">
        <f t="shared" ca="1" si="57"/>
        <v>1</v>
      </c>
      <c r="AX89" s="81">
        <f t="shared" ca="1" si="57"/>
        <v>1</v>
      </c>
      <c r="AY89" s="81">
        <f t="shared" ca="1" si="57"/>
        <v>1</v>
      </c>
      <c r="AZ89" s="81">
        <f t="shared" ca="1" si="57"/>
        <v>1</v>
      </c>
      <c r="BA89" s="81">
        <f t="shared" ca="1" si="57"/>
        <v>1</v>
      </c>
      <c r="BB89" s="81">
        <f t="shared" ca="1" si="57"/>
        <v>1</v>
      </c>
      <c r="BC89" s="81">
        <f t="shared" ca="1" si="57"/>
        <v>1</v>
      </c>
      <c r="BD89" s="81">
        <f t="shared" ca="1" si="57"/>
        <v>1</v>
      </c>
      <c r="BE89" s="81">
        <f t="shared" ca="1" si="57"/>
        <v>1</v>
      </c>
      <c r="BF89" s="81">
        <f t="shared" ca="1" si="57"/>
        <v>1</v>
      </c>
      <c r="BG89" s="81">
        <f t="shared" ca="1" si="57"/>
        <v>1</v>
      </c>
      <c r="BH89" s="81">
        <f t="shared" ca="1" si="57"/>
        <v>1</v>
      </c>
      <c r="BI89" s="81">
        <f t="shared" ca="1" si="57"/>
        <v>1</v>
      </c>
      <c r="BJ89" s="81">
        <f t="shared" ca="1" si="57"/>
        <v>1</v>
      </c>
      <c r="BK89" s="81">
        <f t="shared" ca="1" si="57"/>
        <v>1</v>
      </c>
      <c r="BL89" s="81">
        <f t="shared" ca="1" si="57"/>
        <v>1</v>
      </c>
      <c r="BM89" s="81">
        <f t="shared" ca="1" si="57"/>
        <v>1</v>
      </c>
      <c r="BN89" s="81">
        <f t="shared" ca="1" si="57"/>
        <v>1</v>
      </c>
      <c r="BO89" s="81">
        <f t="shared" ca="1" si="57"/>
        <v>1</v>
      </c>
      <c r="BP89" s="81">
        <f t="shared" ca="1" si="57"/>
        <v>1</v>
      </c>
      <c r="BQ89" s="81">
        <f t="shared" ca="1" si="57"/>
        <v>1</v>
      </c>
      <c r="BR89" s="81">
        <f t="shared" ca="1" si="57"/>
        <v>1</v>
      </c>
      <c r="BS89" s="81">
        <f t="shared" ca="1" si="57"/>
        <v>1</v>
      </c>
      <c r="BT89" s="81">
        <f t="shared" ca="1" si="57"/>
        <v>1</v>
      </c>
      <c r="BU89" s="81">
        <f t="shared" ca="1" si="57"/>
        <v>1</v>
      </c>
      <c r="BV89" s="81">
        <f t="shared" ca="1" si="57"/>
        <v>1</v>
      </c>
      <c r="BW89" s="81">
        <f t="shared" ca="1" si="57"/>
        <v>1</v>
      </c>
      <c r="BX89" s="81">
        <f t="shared" ca="1" si="57"/>
        <v>1</v>
      </c>
      <c r="BY89" s="81">
        <f t="shared" ca="1" si="57"/>
        <v>1</v>
      </c>
      <c r="BZ89" s="81">
        <f t="shared" ca="1" si="57"/>
        <v>1</v>
      </c>
      <c r="CA89" s="81">
        <f t="shared" ca="1" si="57"/>
        <v>1</v>
      </c>
      <c r="CB89" s="81">
        <f t="shared" ca="1" si="57"/>
        <v>1</v>
      </c>
      <c r="CC89" s="81">
        <f t="shared" ca="1" si="57"/>
        <v>1</v>
      </c>
      <c r="CD89" s="81">
        <f t="shared" ca="1" si="57"/>
        <v>1</v>
      </c>
      <c r="CE89" s="81">
        <f t="shared" ca="1" si="57"/>
        <v>1</v>
      </c>
      <c r="CF89" s="81">
        <f t="shared" ca="1" si="57"/>
        <v>1</v>
      </c>
      <c r="CG89" s="81">
        <f t="shared" ca="1" si="57"/>
        <v>1</v>
      </c>
      <c r="CH89" s="81">
        <f t="shared" ca="1" si="57"/>
        <v>1</v>
      </c>
    </row>
    <row r="90" spans="2:86" ht="13">
      <c r="B90" s="15" t="s">
        <v>287</v>
      </c>
      <c r="C90" s="15"/>
      <c r="D90" s="15" t="s">
        <v>247</v>
      </c>
      <c r="E90" s="81">
        <f t="shared" ca="1" si="55"/>
        <v>0</v>
      </c>
      <c r="F90" s="82" t="str">
        <f t="shared" si="56"/>
        <v>Residual Value to Paid in Capital (RVPI)</v>
      </c>
      <c r="G90" s="81">
        <f ca="1">IFERROR((G81-(MAX(0,(F81+G51+G50+G72-G71-G60))*'Get Started'!$E14-G75))/G60,0)</f>
        <v>0.83297273907399394</v>
      </c>
      <c r="H90" s="81">
        <f ca="1">IFERROR((H81-(MAX(0,(G81+H51+H50+H72-H71-H60))*'Get Started'!$E14-H75))/H60,0)</f>
        <v>0.86284177498879422</v>
      </c>
      <c r="I90" s="81">
        <f ca="1">IFERROR((I81-(MAX(0,(H81+I51+I50+I72-I71-I60))*'Get Started'!$E14-I75))/I60,0)</f>
        <v>0.87327990322092852</v>
      </c>
      <c r="J90" s="81">
        <f ca="1">IFERROR((J81-(MAX(0,(I81+J51+J50+J72-J71-J60))*'Get Started'!$E14-J75))/J60,0)</f>
        <v>0.87859424920127793</v>
      </c>
      <c r="K90" s="81">
        <f ca="1">IFERROR((K81-(MAX(0,(J81+K51+K50+K72-K71-K60))*'Get Started'!$E14-K75))/K60,0)</f>
        <v>0.88181401740723775</v>
      </c>
      <c r="L90" s="81">
        <f ca="1">IFERROR((L81-(MAX(0,(K81+L51+L50+L72-L71-L60))*'Get Started'!$E14-L75))/L60,0)</f>
        <v>0.88397367212612887</v>
      </c>
      <c r="M90" s="81">
        <f ca="1">IFERROR((M81-(MAX(0,(L81+M51+M50+M72-M71-M60))*'Get Started'!$E14-M75))/M60,0)</f>
        <v>0.88552277058552931</v>
      </c>
      <c r="N90" s="81">
        <f ca="1">IFERROR((N81-(MAX(0,(M81+N51+N50+N72-N71-N60))*'Get Started'!$E14-N75))/N60,0)</f>
        <v>0.88668816213726398</v>
      </c>
      <c r="O90" s="81">
        <f ca="1">IFERROR((O81-(MAX(0,(N81+O51+O50+O72-O71-O60))*'Get Started'!$E14-O75))/O60,0)</f>
        <v>0.91482865253152434</v>
      </c>
      <c r="P90" s="81">
        <f ca="1">IFERROR((P81-(MAX(0,(O81+P51+P50+P72-P71-P60))*'Get Started'!$E14-P75))/P60,0)</f>
        <v>0.94117910495129509</v>
      </c>
      <c r="Q90" s="81">
        <f ca="1">IFERROR((Q81-(MAX(0,(P81+Q51+Q50+Q72-Q71-Q60))*'Get Started'!$E14-Q75))/Q60,0)</f>
        <v>0.96622443250053414</v>
      </c>
      <c r="R90" s="81">
        <f ca="1">IFERROR((R81-(MAX(0,(Q81+R51+R50+R72-R71-R60))*'Get Started'!$E14-R75))/R60,0)</f>
        <v>0.99028890634778999</v>
      </c>
      <c r="S90" s="81">
        <f ca="1">IFERROR((S81-(MAX(0,(R81+S51+S50+S72-S71-S60))*'Get Started'!$E14-S75))/S60,0)</f>
        <v>0.96567700792635347</v>
      </c>
      <c r="T90" s="81">
        <f ca="1">IFERROR((T81-(MAX(0,(S81+T51+T50+T72-T71-T60))*'Get Started'!$E14-T75))/T60,0)</f>
        <v>0.94507030523581215</v>
      </c>
      <c r="U90" s="81">
        <f ca="1">IFERROR((U81-(MAX(0,(T81+U51+U50+U72-U71-U60))*'Get Started'!$E14-U75))/U60,0)</f>
        <v>0.92922740357502687</v>
      </c>
      <c r="V90" s="81">
        <f ca="1">IFERROR((V81-(MAX(0,(U81+V51+V50+V72-V71-V60))*'Get Started'!$E14-V75))/V60,0)</f>
        <v>0.91725922358128886</v>
      </c>
      <c r="W90" s="81">
        <f ca="1">IFERROR((W81-(MAX(0,(V81+W51+W50+W72-W71-W60))*'Get Started'!$E14-W75))/W60,0)</f>
        <v>0.85016008784390817</v>
      </c>
      <c r="X90" s="81">
        <f ca="1">IFERROR((X81-(MAX(0,(W81+X51+X50+X72-X71-X60))*'Get Started'!$E14-X75))/X60,0)</f>
        <v>0.7796991366779914</v>
      </c>
      <c r="Y90" s="81">
        <f ca="1">IFERROR((Y81-(MAX(0,(X81+Y51+Y50+Y72-Y71-Y60))*'Get Started'!$E14-Y75))/Y60,0)</f>
        <v>0.72407028732639334</v>
      </c>
      <c r="Z90" s="81">
        <f ca="1">IFERROR((Z81-(MAX(0,(Y81+Z51+Z50+Z72-Z71-Z60))*'Get Started'!$E14-Z75))/Z60,0)</f>
        <v>0.66633003108450195</v>
      </c>
      <c r="AA90" s="81">
        <f ca="1">IFERROR((AA81-(MAX(0,(Z81+AA51+AA50+AA72-AA71-AA60))*'Get Started'!$E14-AA75))/AA60,0)</f>
        <v>0.59812085719521668</v>
      </c>
      <c r="AB90" s="81">
        <f ca="1">IFERROR((AB81-(MAX(0,(AA81+AB51+AB50+AB72-AB71-AB60))*'Get Started'!$E14-AB75))/AB60,0)</f>
        <v>0.52609890367744894</v>
      </c>
      <c r="AC90" s="81">
        <f ca="1">IFERROR((AC81-(MAX(0,(AB81+AC51+AC50+AC72-AC71-AC60))*'Get Started'!$E14-AC75))/AC60,0)</f>
        <v>0.45033566410352294</v>
      </c>
      <c r="AD90" s="81">
        <f ca="1">IFERROR((AD81-(MAX(0,(AC81+AD51+AD50+AD72-AD71-AD60))*'Get Started'!$E14-AD75))/AD60,0)</f>
        <v>0.37090085571030346</v>
      </c>
      <c r="AE90" s="81">
        <f ca="1">IFERROR((AE81-(MAX(0,(AD81+AE51+AE50+AE72-AE71-AE60))*'Get Started'!$E14-AE75))/AE60,0)</f>
        <v>0.30274995224466489</v>
      </c>
      <c r="AF90" s="81">
        <f ca="1">IFERROR((AF81-(MAX(0,(AE81+AF51+AF50+AF72-AF71-AF60))*'Get Started'!$E14-AF75))/AF60,0)</f>
        <v>0.23346989180242234</v>
      </c>
      <c r="AG90" s="81">
        <f ca="1">IFERROR((AG81-(MAX(0,(AF81+AG51+AG50+AG72-AG71-AG60))*'Get Started'!$E14-AG75))/AG60,0)</f>
        <v>0.16308133080875906</v>
      </c>
      <c r="AH90" s="81">
        <f ca="1">IFERROR((AH81-(MAX(0,(AG81+AH51+AH50+AH72-AH71-AH60))*'Get Started'!$E14-AH75))/AH60,0)</f>
        <v>9.1604424900176534E-2</v>
      </c>
      <c r="AI90" s="81">
        <f ca="1">IFERROR((AI81-(MAX(0,(AH81+AI51+AI50+AI72-AI71-AI60))*'Get Started'!$E14-AI75))/AI60,0)</f>
        <v>5.9517921427587835E-2</v>
      </c>
      <c r="AJ90" s="81">
        <f ca="1">IFERROR((AJ81-(MAX(0,(AI81+AJ51+AJ50+AJ72-AJ71-AJ60))*'Get Started'!$E14-AJ75))/AJ60,0)</f>
        <v>2.6856542019421094E-2</v>
      </c>
      <c r="AK90" s="81">
        <f ca="1">IFERROR((AK81-(MAX(0,(AJ81+AK51+AK50+AK72-AK71-AK60))*'Get Started'!$E14-AK75))/AK60,0)</f>
        <v>-6.3694471418359946E-3</v>
      </c>
      <c r="AL90" s="81">
        <f ca="1">IFERROR((AL81-(MAX(0,(AK81+AL51+AL50+AL72-AL71-AL60))*'Get Started'!$E14-AL75))/AL60,0)</f>
        <v>-4.0150022872988356E-2</v>
      </c>
      <c r="AM90" s="81">
        <f ca="1">IFERROR((AM81-(MAX(0,(AL81+AM51+AM50+AM72-AM71-AM60))*'Get Started'!$E14-AM75))/AM60,0)</f>
        <v>-5.2926098078835838E-2</v>
      </c>
      <c r="AN90" s="81">
        <f ca="1">IFERROR((AN81-(MAX(0,(AM81+AN51+AN50+AN72-AN71-AN60))*'Get Started'!$E14-AN75))/AN60,0)</f>
        <v>-6.597852323191282E-2</v>
      </c>
      <c r="AO90" s="81">
        <f ca="1">IFERROR((AO81-(MAX(0,(AN81+AO51+AO50+AO72-AO71-AO60))*'Get Started'!$E14-AO75))/AO60,0)</f>
        <v>-7.9302478026991211E-2</v>
      </c>
      <c r="AP90" s="81">
        <f ca="1">IFERROR((AP81-(MAX(0,(AO81+AP51+AP50+AP72-AP71-AP60))*'Get Started'!$E14-AP75))/AP60,0)</f>
        <v>-9.2893253616688182E-2</v>
      </c>
      <c r="AQ90" s="81">
        <f ca="1">IFERROR((AQ81-(MAX(0,(AP81+AQ51+AQ50+AQ72-AQ71-AQ60))*'Get Started'!$E14-AQ75))/AQ60,0)</f>
        <v>-0.11025523080283016</v>
      </c>
      <c r="AR90" s="81">
        <f ca="1">IFERROR((AR81-(MAX(0,(AQ81+AR51+AR50+AR72-AR71-AR60))*'Get Started'!$E14-AR75))/AR60,0)</f>
        <v>-0.12791803863366724</v>
      </c>
      <c r="AS90" s="81">
        <f ca="1">IFERROR((AS81-(MAX(0,(AR81+AS51+AS50+AS72-AS71-AS60))*'Get Started'!$E14-AS75))/AS60,0)</f>
        <v>-0.1458765490562729</v>
      </c>
      <c r="AT90" s="81">
        <f ca="1">IFERROR((AT81-(MAX(0,(AS81+AT51+AT50+AT72-AT71-AT60))*'Get Started'!$E14-AT75))/AT60,0)</f>
        <v>0</v>
      </c>
      <c r="AU90" s="81">
        <f ca="1">IFERROR((AU81-(MAX(0,(AT81+AU51+AU50+AU72-AU71-AU60))*'Get Started'!$E14-AU75))/AU60,0)</f>
        <v>0</v>
      </c>
      <c r="AV90" s="81">
        <f ca="1">IFERROR((AV81-(MAX(0,(AU81+AV51+AV50+AV72-AV71-AV60))*'Get Started'!$E14-AV75))/AV60,0)</f>
        <v>0</v>
      </c>
      <c r="AW90" s="81">
        <f ca="1">IFERROR((AW81-(MAX(0,(AV81+AW51+AW50+AW72-AW71-AW60))*'Get Started'!$E14-AW75))/AW60,0)</f>
        <v>0</v>
      </c>
      <c r="AX90" s="81">
        <f ca="1">IFERROR((AX81-(MAX(0,(AW81+AX51+AX50+AX72-AX71-AX60))*'Get Started'!$E14-AX75))/AX60,0)</f>
        <v>0</v>
      </c>
      <c r="AY90" s="81">
        <f ca="1">IFERROR((AY81-(MAX(0,(AX81+AY51+AY50+AY72-AY71-AY60))*'Get Started'!$E14-AY75))/AY60,0)</f>
        <v>0</v>
      </c>
      <c r="AZ90" s="81">
        <f ca="1">IFERROR((AZ81-(MAX(0,(AY81+AZ51+AZ50+AZ72-AZ71-AZ60))*'Get Started'!$E14-AZ75))/AZ60,0)</f>
        <v>0</v>
      </c>
      <c r="BA90" s="81">
        <f ca="1">IFERROR((BA81-(MAX(0,(AZ81+BA51+BA50+BA72-BA71-BA60))*'Get Started'!$E14-BA75))/BA60,0)</f>
        <v>0</v>
      </c>
      <c r="BB90" s="81">
        <f ca="1">IFERROR((BB81-(MAX(0,(BA81+BB51+BB50+BB72-BB71-BB60))*'Get Started'!$E14-BB75))/BB60,0)</f>
        <v>0</v>
      </c>
      <c r="BC90" s="81">
        <f ca="1">IFERROR((BC81-(MAX(0,(BB81+BC51+BC50+BC72-BC71-BC60))*'Get Started'!$E14-BC75))/BC60,0)</f>
        <v>0</v>
      </c>
      <c r="BD90" s="81">
        <f ca="1">IFERROR((BD81-(MAX(0,(BC81+BD51+BD50+BD72-BD71-BD60))*'Get Started'!$E14-BD75))/BD60,0)</f>
        <v>0</v>
      </c>
      <c r="BE90" s="81">
        <f ca="1">IFERROR((BE81-(MAX(0,(BD81+BE51+BE50+BE72-BE71-BE60))*'Get Started'!$E14-BE75))/BE60,0)</f>
        <v>0</v>
      </c>
      <c r="BF90" s="81">
        <f ca="1">IFERROR((BF81-(MAX(0,(BE81+BF51+BF50+BF72-BF71-BF60))*'Get Started'!$E14-BF75))/BF60,0)</f>
        <v>0</v>
      </c>
      <c r="BG90" s="81">
        <f ca="1">IFERROR((BG81-(MAX(0,(BF81+BG51+BG50+BG72-BG71-BG60))*'Get Started'!$E14-BG75))/BG60,0)</f>
        <v>0</v>
      </c>
      <c r="BH90" s="81">
        <f ca="1">IFERROR((BH81-(MAX(0,(BG81+BH51+BH50+BH72-BH71-BH60))*'Get Started'!$E14-BH75))/BH60,0)</f>
        <v>0</v>
      </c>
      <c r="BI90" s="81">
        <f ca="1">IFERROR((BI81-(MAX(0,(BH81+BI51+BI50+BI72-BI71-BI60))*'Get Started'!$E14-BI75))/BI60,0)</f>
        <v>0</v>
      </c>
      <c r="BJ90" s="81">
        <f ca="1">IFERROR((BJ81-(MAX(0,(BI81+BJ51+BJ50+BJ72-BJ71-BJ60))*'Get Started'!$E14-BJ75))/BJ60,0)</f>
        <v>0</v>
      </c>
      <c r="BK90" s="81">
        <f ca="1">IFERROR((BK81-(MAX(0,(BJ81+BK51+BK50+BK72-BK71-BK60))*'Get Started'!$E14-BK75))/BK60,0)</f>
        <v>0</v>
      </c>
      <c r="BL90" s="81">
        <f ca="1">IFERROR((BL81-(MAX(0,(BK81+BL51+BL50+BL72-BL71-BL60))*'Get Started'!$E14-BL75))/BL60,0)</f>
        <v>0</v>
      </c>
      <c r="BM90" s="81">
        <f ca="1">IFERROR((BM81-(MAX(0,(BL81+BM51+BM50+BM72-BM71-BM60))*'Get Started'!$E14-BM75))/BM60,0)</f>
        <v>0</v>
      </c>
      <c r="BN90" s="81">
        <f ca="1">IFERROR((BN81-(MAX(0,(BM81+BN51+BN50+BN72-BN71-BN60))*'Get Started'!$E14-BN75))/BN60,0)</f>
        <v>0</v>
      </c>
      <c r="BO90" s="81">
        <f ca="1">IFERROR((BO81-(MAX(0,(BN81+BO51+BO50+BO72-BO71-BO60))*'Get Started'!$E14-BO75))/BO60,0)</f>
        <v>0</v>
      </c>
      <c r="BP90" s="81">
        <f ca="1">IFERROR((BP81-(MAX(0,(BO81+BP51+BP50+BP72-BP71-BP60))*'Get Started'!$E14-BP75))/BP60,0)</f>
        <v>0</v>
      </c>
      <c r="BQ90" s="81">
        <f ca="1">IFERROR((BQ81-(MAX(0,(BP81+BQ51+BQ50+BQ72-BQ71-BQ60))*'Get Started'!$E14-BQ75))/BQ60,0)</f>
        <v>0</v>
      </c>
      <c r="BR90" s="81">
        <f ca="1">IFERROR((BR81-(MAX(0,(BQ81+BR51+BR50+BR72-BR71-BR60))*'Get Started'!$E14-BR75))/BR60,0)</f>
        <v>0</v>
      </c>
      <c r="BS90" s="81">
        <f ca="1">IFERROR((BS81-(MAX(0,(BR81+BS51+BS50+BS72-BS71-BS60))*'Get Started'!$E14-BS75))/BS60,0)</f>
        <v>0</v>
      </c>
      <c r="BT90" s="81">
        <f ca="1">IFERROR((BT81-(MAX(0,(BS81+BT51+BT50+BT72-BT71-BT60))*'Get Started'!$E14-BT75))/BT60,0)</f>
        <v>0</v>
      </c>
      <c r="BU90" s="81">
        <f ca="1">IFERROR((BU81-(MAX(0,(BT81+BU51+BU50+BU72-BU71-BU60))*'Get Started'!$E14-BU75))/BU60,0)</f>
        <v>0</v>
      </c>
      <c r="BV90" s="81">
        <f ca="1">IFERROR((BV81-(MAX(0,(BU81+BV51+BV50+BV72-BV71-BV60))*'Get Started'!$E14-BV75))/BV60,0)</f>
        <v>0</v>
      </c>
      <c r="BW90" s="81">
        <f ca="1">IFERROR((BW81-(MAX(0,(BV81+BW51+BW50+BW72-BW71-BW60))*'Get Started'!$E14-BW75))/BW60,0)</f>
        <v>0</v>
      </c>
      <c r="BX90" s="81">
        <f ca="1">IFERROR((BX81-(MAX(0,(BW81+BX51+BX50+BX72-BX71-BX60))*'Get Started'!$E14-BX75))/BX60,0)</f>
        <v>0</v>
      </c>
      <c r="BY90" s="81">
        <f ca="1">IFERROR((BY81-(MAX(0,(BX81+BY51+BY50+BY72-BY71-BY60))*'Get Started'!$E14-BY75))/BY60,0)</f>
        <v>0</v>
      </c>
      <c r="BZ90" s="81">
        <f ca="1">IFERROR((BZ81-(MAX(0,(BY81+BZ51+BZ50+BZ72-BZ71-BZ60))*'Get Started'!$E14-BZ75))/BZ60,0)</f>
        <v>0</v>
      </c>
      <c r="CA90" s="81">
        <f ca="1">IFERROR((CA81-(MAX(0,(BZ81+CA51+CA50+CA72-CA71-CA60))*'Get Started'!$E14-CA75))/CA60,0)</f>
        <v>0</v>
      </c>
      <c r="CB90" s="81">
        <f ca="1">IFERROR((CB81-(MAX(0,(CA81+CB51+CB50+CB72-CB71-CB60))*'Get Started'!$E14-CB75))/CB60,0)</f>
        <v>0</v>
      </c>
      <c r="CC90" s="81">
        <f ca="1">IFERROR((CC81-(MAX(0,(CB81+CC51+CC50+CC72-CC71-CC60))*'Get Started'!$E14-CC75))/CC60,0)</f>
        <v>0</v>
      </c>
      <c r="CD90" s="81">
        <f ca="1">IFERROR((CD81-(MAX(0,(CC81+CD51+CD50+CD72-CD71-CD60))*'Get Started'!$E14-CD75))/CD60,0)</f>
        <v>0</v>
      </c>
      <c r="CE90" s="81">
        <f ca="1">IFERROR((CE81-(MAX(0,(CD81+CE51+CE50+CE72-CE71-CE60))*'Get Started'!$E14-CE75))/CE60,0)</f>
        <v>0</v>
      </c>
      <c r="CF90" s="81">
        <f ca="1">IFERROR((CF81-(MAX(0,(CE81+CF51+CF50+CF72-CF71-CF60))*'Get Started'!$E14-CF75))/CF60,0)</f>
        <v>0</v>
      </c>
      <c r="CG90" s="81">
        <f ca="1">IFERROR((CG81-(MAX(0,(CF81+CG51+CG50+CG72-CG71-CG60))*'Get Started'!$E14-CG75))/CG60,0)</f>
        <v>0</v>
      </c>
      <c r="CH90" s="81">
        <f ca="1">IFERROR((CH81-(MAX(0,(CG81+CH51+CH50+CH72-CH71-CH60))*'Get Started'!$E14-CH75))/CH60,0)</f>
        <v>0</v>
      </c>
    </row>
    <row r="91" spans="2:86" ht="13">
      <c r="B91" s="15" t="s">
        <v>288</v>
      </c>
      <c r="C91" s="15"/>
      <c r="D91" s="15" t="s">
        <v>247</v>
      </c>
      <c r="E91" s="81">
        <f t="shared" ca="1" si="55"/>
        <v>4.4885304000000001</v>
      </c>
      <c r="F91" s="82" t="str">
        <f t="shared" si="56"/>
        <v>Distributed Value to Paid in Capital (DVPI)</v>
      </c>
      <c r="G91" s="81">
        <f t="shared" ref="G91:CH91" ca="1" si="58">IFERROR(G76/G60,0)</f>
        <v>0</v>
      </c>
      <c r="H91" s="81">
        <f t="shared" ca="1" si="58"/>
        <v>0</v>
      </c>
      <c r="I91" s="81">
        <f t="shared" ca="1" si="58"/>
        <v>0</v>
      </c>
      <c r="J91" s="81">
        <f t="shared" ca="1" si="58"/>
        <v>0</v>
      </c>
      <c r="K91" s="81">
        <f t="shared" ca="1" si="58"/>
        <v>0</v>
      </c>
      <c r="L91" s="81">
        <f t="shared" ca="1" si="58"/>
        <v>0</v>
      </c>
      <c r="M91" s="81">
        <f t="shared" ca="1" si="58"/>
        <v>0</v>
      </c>
      <c r="N91" s="81">
        <f t="shared" ca="1" si="58"/>
        <v>0</v>
      </c>
      <c r="O91" s="81">
        <f t="shared" ca="1" si="58"/>
        <v>0</v>
      </c>
      <c r="P91" s="81">
        <f t="shared" ca="1" si="58"/>
        <v>0</v>
      </c>
      <c r="Q91" s="81">
        <f t="shared" ca="1" si="58"/>
        <v>0</v>
      </c>
      <c r="R91" s="81">
        <f t="shared" ca="1" si="58"/>
        <v>0</v>
      </c>
      <c r="S91" s="81">
        <f t="shared" ca="1" si="58"/>
        <v>5.5307044056466262E-2</v>
      </c>
      <c r="T91" s="81">
        <f t="shared" ca="1" si="58"/>
        <v>0.10275483913589223</v>
      </c>
      <c r="U91" s="81">
        <f t="shared" ca="1" si="58"/>
        <v>0.14390747879722443</v>
      </c>
      <c r="V91" s="81">
        <f t="shared" ca="1" si="58"/>
        <v>0.17993984266543275</v>
      </c>
      <c r="W91" s="81">
        <f t="shared" ca="1" si="58"/>
        <v>0.33906815700247123</v>
      </c>
      <c r="X91" s="81">
        <f t="shared" ca="1" si="58"/>
        <v>0.49614308553157493</v>
      </c>
      <c r="Y91" s="81">
        <f t="shared" ca="1" si="58"/>
        <v>0.63307485540310204</v>
      </c>
      <c r="Z91" s="81">
        <f t="shared" ca="1" si="58"/>
        <v>0.76690846620497144</v>
      </c>
      <c r="AA91" s="81">
        <f t="shared" ca="1" si="58"/>
        <v>0.90064825706230534</v>
      </c>
      <c r="AB91" s="81">
        <f t="shared" ca="1" si="58"/>
        <v>1.03270569276358</v>
      </c>
      <c r="AC91" s="81">
        <f t="shared" ca="1" si="58"/>
        <v>1.1631123192127675</v>
      </c>
      <c r="AD91" s="81">
        <f t="shared" ca="1" si="58"/>
        <v>1.29189889852159</v>
      </c>
      <c r="AE91" s="81">
        <f t="shared" ca="1" si="58"/>
        <v>1.5790373486297005</v>
      </c>
      <c r="AF91" s="81">
        <f t="shared" ca="1" si="58"/>
        <v>1.8626524362812777</v>
      </c>
      <c r="AG91" s="81">
        <f t="shared" ca="1" si="58"/>
        <v>2.1428086167066254</v>
      </c>
      <c r="AH91" s="81">
        <f t="shared" ca="1" si="58"/>
        <v>2.4195687825012007</v>
      </c>
      <c r="AI91" s="81">
        <f t="shared" ca="1" si="58"/>
        <v>2.6560634074390004</v>
      </c>
      <c r="AJ91" s="81">
        <f t="shared" ca="1" si="58"/>
        <v>2.8897256113256109</v>
      </c>
      <c r="AK91" s="81">
        <f t="shared" ca="1" si="58"/>
        <v>3.1206059757728091</v>
      </c>
      <c r="AL91" s="81">
        <f t="shared" ca="1" si="58"/>
        <v>3.3487538851317655</v>
      </c>
      <c r="AM91" s="81">
        <f t="shared" ca="1" si="58"/>
        <v>3.4818165294541989</v>
      </c>
      <c r="AN91" s="81">
        <f t="shared" ca="1" si="58"/>
        <v>3.6133228049940604</v>
      </c>
      <c r="AO91" s="81">
        <f t="shared" ca="1" si="58"/>
        <v>3.7432998591152438</v>
      </c>
      <c r="AP91" s="81">
        <f t="shared" ca="1" si="58"/>
        <v>3.8717742114648197</v>
      </c>
      <c r="AQ91" s="81">
        <f t="shared" ca="1" si="58"/>
        <v>4.0286218256592097</v>
      </c>
      <c r="AR91" s="81">
        <f t="shared" ca="1" si="58"/>
        <v>4.1836768050398074</v>
      </c>
      <c r="AS91" s="81">
        <f t="shared" ca="1" si="58"/>
        <v>4.3369697074183424</v>
      </c>
      <c r="AT91" s="81">
        <f t="shared" ca="1" si="58"/>
        <v>4.4885304000000001</v>
      </c>
      <c r="AU91" s="81">
        <f t="shared" ca="1" si="58"/>
        <v>4.4885304000000001</v>
      </c>
      <c r="AV91" s="81">
        <f t="shared" ca="1" si="58"/>
        <v>4.4885304000000001</v>
      </c>
      <c r="AW91" s="81">
        <f t="shared" ca="1" si="58"/>
        <v>4.4885304000000001</v>
      </c>
      <c r="AX91" s="81">
        <f t="shared" ca="1" si="58"/>
        <v>4.4885304000000001</v>
      </c>
      <c r="AY91" s="81">
        <f t="shared" ca="1" si="58"/>
        <v>4.4885304000000001</v>
      </c>
      <c r="AZ91" s="81">
        <f t="shared" ca="1" si="58"/>
        <v>4.4885304000000001</v>
      </c>
      <c r="BA91" s="81">
        <f t="shared" ca="1" si="58"/>
        <v>4.4885304000000001</v>
      </c>
      <c r="BB91" s="81">
        <f t="shared" ca="1" si="58"/>
        <v>4.4885304000000001</v>
      </c>
      <c r="BC91" s="81">
        <f t="shared" ca="1" si="58"/>
        <v>4.4885304000000001</v>
      </c>
      <c r="BD91" s="81">
        <f t="shared" ca="1" si="58"/>
        <v>4.4885304000000001</v>
      </c>
      <c r="BE91" s="81">
        <f t="shared" ca="1" si="58"/>
        <v>4.4885304000000001</v>
      </c>
      <c r="BF91" s="81">
        <f t="shared" ca="1" si="58"/>
        <v>4.4885304000000001</v>
      </c>
      <c r="BG91" s="81">
        <f t="shared" ca="1" si="58"/>
        <v>4.4885304000000001</v>
      </c>
      <c r="BH91" s="81">
        <f t="shared" ca="1" si="58"/>
        <v>4.4885304000000001</v>
      </c>
      <c r="BI91" s="81">
        <f t="shared" ca="1" si="58"/>
        <v>4.4885304000000001</v>
      </c>
      <c r="BJ91" s="81">
        <f t="shared" ca="1" si="58"/>
        <v>4.4885304000000001</v>
      </c>
      <c r="BK91" s="81">
        <f t="shared" ca="1" si="58"/>
        <v>4.4885304000000001</v>
      </c>
      <c r="BL91" s="81">
        <f t="shared" ca="1" si="58"/>
        <v>4.4885304000000001</v>
      </c>
      <c r="BM91" s="81">
        <f t="shared" ca="1" si="58"/>
        <v>4.4885304000000001</v>
      </c>
      <c r="BN91" s="81">
        <f t="shared" ca="1" si="58"/>
        <v>4.4885304000000001</v>
      </c>
      <c r="BO91" s="81">
        <f t="shared" ca="1" si="58"/>
        <v>4.4885304000000001</v>
      </c>
      <c r="BP91" s="81">
        <f t="shared" ca="1" si="58"/>
        <v>4.4885304000000001</v>
      </c>
      <c r="BQ91" s="81">
        <f t="shared" ca="1" si="58"/>
        <v>4.4885304000000001</v>
      </c>
      <c r="BR91" s="81">
        <f t="shared" ca="1" si="58"/>
        <v>4.4885304000000001</v>
      </c>
      <c r="BS91" s="81">
        <f t="shared" ca="1" si="58"/>
        <v>4.4885304000000001</v>
      </c>
      <c r="BT91" s="81">
        <f t="shared" ca="1" si="58"/>
        <v>4.4885304000000001</v>
      </c>
      <c r="BU91" s="81">
        <f t="shared" ca="1" si="58"/>
        <v>4.4885304000000001</v>
      </c>
      <c r="BV91" s="81">
        <f t="shared" ca="1" si="58"/>
        <v>4.4885304000000001</v>
      </c>
      <c r="BW91" s="81">
        <f t="shared" ca="1" si="58"/>
        <v>4.4885304000000001</v>
      </c>
      <c r="BX91" s="81">
        <f t="shared" ca="1" si="58"/>
        <v>4.4885304000000001</v>
      </c>
      <c r="BY91" s="81">
        <f t="shared" ca="1" si="58"/>
        <v>4.4885304000000001</v>
      </c>
      <c r="BZ91" s="81">
        <f t="shared" ca="1" si="58"/>
        <v>4.4885304000000001</v>
      </c>
      <c r="CA91" s="81">
        <f t="shared" ca="1" si="58"/>
        <v>4.4885304000000001</v>
      </c>
      <c r="CB91" s="81">
        <f t="shared" ca="1" si="58"/>
        <v>4.4885304000000001</v>
      </c>
      <c r="CC91" s="81">
        <f t="shared" ca="1" si="58"/>
        <v>4.4885304000000001</v>
      </c>
      <c r="CD91" s="81">
        <f t="shared" ca="1" si="58"/>
        <v>4.4885304000000001</v>
      </c>
      <c r="CE91" s="81">
        <f t="shared" ca="1" si="58"/>
        <v>4.4885304000000001</v>
      </c>
      <c r="CF91" s="81">
        <f t="shared" ca="1" si="58"/>
        <v>4.4885304000000001</v>
      </c>
      <c r="CG91" s="81">
        <f t="shared" ca="1" si="58"/>
        <v>4.4885304000000001</v>
      </c>
      <c r="CH91" s="81">
        <f t="shared" ca="1" si="58"/>
        <v>4.4885304000000001</v>
      </c>
    </row>
    <row r="92" spans="2:86" ht="13">
      <c r="B92" s="15" t="s">
        <v>289</v>
      </c>
      <c r="C92" s="15"/>
      <c r="D92" s="15" t="s">
        <v>247</v>
      </c>
      <c r="E92" s="81">
        <f t="shared" ca="1" si="55"/>
        <v>4.4885304000000001</v>
      </c>
      <c r="F92" s="82" t="str">
        <f t="shared" si="56"/>
        <v>Total Value to Paid in Capital (TVPI)</v>
      </c>
      <c r="G92" s="81">
        <f t="shared" ref="G92:CH92" ca="1" si="59">G91+G90</f>
        <v>0.83297273907399394</v>
      </c>
      <c r="H92" s="81">
        <f t="shared" ca="1" si="59"/>
        <v>0.86284177498879422</v>
      </c>
      <c r="I92" s="81">
        <f t="shared" ca="1" si="59"/>
        <v>0.87327990322092852</v>
      </c>
      <c r="J92" s="81">
        <f t="shared" ca="1" si="59"/>
        <v>0.87859424920127793</v>
      </c>
      <c r="K92" s="81">
        <f t="shared" ca="1" si="59"/>
        <v>0.88181401740723775</v>
      </c>
      <c r="L92" s="81">
        <f t="shared" ca="1" si="59"/>
        <v>0.88397367212612887</v>
      </c>
      <c r="M92" s="81">
        <f t="shared" ca="1" si="59"/>
        <v>0.88552277058552931</v>
      </c>
      <c r="N92" s="81">
        <f t="shared" ca="1" si="59"/>
        <v>0.88668816213726398</v>
      </c>
      <c r="O92" s="81">
        <f t="shared" ca="1" si="59"/>
        <v>0.91482865253152434</v>
      </c>
      <c r="P92" s="81">
        <f t="shared" ca="1" si="59"/>
        <v>0.94117910495129509</v>
      </c>
      <c r="Q92" s="81">
        <f t="shared" ca="1" si="59"/>
        <v>0.96622443250053414</v>
      </c>
      <c r="R92" s="81">
        <f t="shared" ca="1" si="59"/>
        <v>0.99028890634778999</v>
      </c>
      <c r="S92" s="81">
        <f t="shared" ca="1" si="59"/>
        <v>1.0209840519828197</v>
      </c>
      <c r="T92" s="81">
        <f t="shared" ca="1" si="59"/>
        <v>1.0478251443717044</v>
      </c>
      <c r="U92" s="81">
        <f t="shared" ca="1" si="59"/>
        <v>1.0731348823722513</v>
      </c>
      <c r="V92" s="81">
        <f t="shared" ca="1" si="59"/>
        <v>1.0971990662467217</v>
      </c>
      <c r="W92" s="81">
        <f t="shared" ca="1" si="59"/>
        <v>1.1892282448463793</v>
      </c>
      <c r="X92" s="81">
        <f t="shared" ca="1" si="59"/>
        <v>1.2758422222095662</v>
      </c>
      <c r="Y92" s="81">
        <f t="shared" ca="1" si="59"/>
        <v>1.3571451427294954</v>
      </c>
      <c r="Z92" s="81">
        <f t="shared" ca="1" si="59"/>
        <v>1.4332384972894734</v>
      </c>
      <c r="AA92" s="81">
        <f t="shared" ca="1" si="59"/>
        <v>1.4987691142575219</v>
      </c>
      <c r="AB92" s="81">
        <f t="shared" ca="1" si="59"/>
        <v>1.5588045964410289</v>
      </c>
      <c r="AC92" s="81">
        <f t="shared" ca="1" si="59"/>
        <v>1.6134479833162905</v>
      </c>
      <c r="AD92" s="81">
        <f t="shared" ca="1" si="59"/>
        <v>1.6627997542318935</v>
      </c>
      <c r="AE92" s="81">
        <f t="shared" ca="1" si="59"/>
        <v>1.8817873008743653</v>
      </c>
      <c r="AF92" s="81">
        <f t="shared" ca="1" si="59"/>
        <v>2.0961223280837</v>
      </c>
      <c r="AG92" s="81">
        <f t="shared" ca="1" si="59"/>
        <v>2.3058899475153845</v>
      </c>
      <c r="AH92" s="81">
        <f t="shared" ca="1" si="59"/>
        <v>2.5111732074013773</v>
      </c>
      <c r="AI92" s="81">
        <f t="shared" ca="1" si="59"/>
        <v>2.7155813288665884</v>
      </c>
      <c r="AJ92" s="81">
        <f t="shared" ca="1" si="59"/>
        <v>2.9165821533450318</v>
      </c>
      <c r="AK92" s="81">
        <f t="shared" ca="1" si="59"/>
        <v>3.1142365286309732</v>
      </c>
      <c r="AL92" s="81">
        <f t="shared" ca="1" si="59"/>
        <v>3.308603862258777</v>
      </c>
      <c r="AM92" s="81">
        <f t="shared" ca="1" si="59"/>
        <v>3.428890431375363</v>
      </c>
      <c r="AN92" s="81">
        <f t="shared" ca="1" si="59"/>
        <v>3.5473442817621477</v>
      </c>
      <c r="AO92" s="81">
        <f t="shared" ca="1" si="59"/>
        <v>3.6639973810882527</v>
      </c>
      <c r="AP92" s="81">
        <f t="shared" ca="1" si="59"/>
        <v>3.7788809578481315</v>
      </c>
      <c r="AQ92" s="81">
        <f t="shared" ca="1" si="59"/>
        <v>3.9183665948563795</v>
      </c>
      <c r="AR92" s="81">
        <f t="shared" ca="1" si="59"/>
        <v>4.0557587664061403</v>
      </c>
      <c r="AS92" s="81">
        <f t="shared" ca="1" si="59"/>
        <v>4.1910931583620696</v>
      </c>
      <c r="AT92" s="81">
        <f t="shared" ca="1" si="59"/>
        <v>4.4885304000000001</v>
      </c>
      <c r="AU92" s="81">
        <f t="shared" ca="1" si="59"/>
        <v>4.4885304000000001</v>
      </c>
      <c r="AV92" s="81">
        <f t="shared" ca="1" si="59"/>
        <v>4.4885304000000001</v>
      </c>
      <c r="AW92" s="81">
        <f t="shared" ca="1" si="59"/>
        <v>4.4885304000000001</v>
      </c>
      <c r="AX92" s="81">
        <f t="shared" ca="1" si="59"/>
        <v>4.4885304000000001</v>
      </c>
      <c r="AY92" s="81">
        <f t="shared" ca="1" si="59"/>
        <v>4.4885304000000001</v>
      </c>
      <c r="AZ92" s="81">
        <f t="shared" ca="1" si="59"/>
        <v>4.4885304000000001</v>
      </c>
      <c r="BA92" s="81">
        <f t="shared" ca="1" si="59"/>
        <v>4.4885304000000001</v>
      </c>
      <c r="BB92" s="81">
        <f t="shared" ca="1" si="59"/>
        <v>4.4885304000000001</v>
      </c>
      <c r="BC92" s="81">
        <f t="shared" ca="1" si="59"/>
        <v>4.4885304000000001</v>
      </c>
      <c r="BD92" s="81">
        <f t="shared" ca="1" si="59"/>
        <v>4.4885304000000001</v>
      </c>
      <c r="BE92" s="81">
        <f t="shared" ca="1" si="59"/>
        <v>4.4885304000000001</v>
      </c>
      <c r="BF92" s="81">
        <f t="shared" ca="1" si="59"/>
        <v>4.4885304000000001</v>
      </c>
      <c r="BG92" s="81">
        <f t="shared" ca="1" si="59"/>
        <v>4.4885304000000001</v>
      </c>
      <c r="BH92" s="81">
        <f t="shared" ca="1" si="59"/>
        <v>4.4885304000000001</v>
      </c>
      <c r="BI92" s="81">
        <f t="shared" ca="1" si="59"/>
        <v>4.4885304000000001</v>
      </c>
      <c r="BJ92" s="81">
        <f t="shared" ca="1" si="59"/>
        <v>4.4885304000000001</v>
      </c>
      <c r="BK92" s="81">
        <f t="shared" ca="1" si="59"/>
        <v>4.4885304000000001</v>
      </c>
      <c r="BL92" s="81">
        <f t="shared" ca="1" si="59"/>
        <v>4.4885304000000001</v>
      </c>
      <c r="BM92" s="81">
        <f t="shared" ca="1" si="59"/>
        <v>4.4885304000000001</v>
      </c>
      <c r="BN92" s="81">
        <f t="shared" ca="1" si="59"/>
        <v>4.4885304000000001</v>
      </c>
      <c r="BO92" s="81">
        <f t="shared" ca="1" si="59"/>
        <v>4.4885304000000001</v>
      </c>
      <c r="BP92" s="81">
        <f t="shared" ca="1" si="59"/>
        <v>4.4885304000000001</v>
      </c>
      <c r="BQ92" s="81">
        <f t="shared" ca="1" si="59"/>
        <v>4.4885304000000001</v>
      </c>
      <c r="BR92" s="81">
        <f t="shared" ca="1" si="59"/>
        <v>4.4885304000000001</v>
      </c>
      <c r="BS92" s="81">
        <f t="shared" ca="1" si="59"/>
        <v>4.4885304000000001</v>
      </c>
      <c r="BT92" s="81">
        <f t="shared" ca="1" si="59"/>
        <v>4.4885304000000001</v>
      </c>
      <c r="BU92" s="81">
        <f t="shared" ca="1" si="59"/>
        <v>4.4885304000000001</v>
      </c>
      <c r="BV92" s="81">
        <f t="shared" ca="1" si="59"/>
        <v>4.4885304000000001</v>
      </c>
      <c r="BW92" s="81">
        <f t="shared" ca="1" si="59"/>
        <v>4.4885304000000001</v>
      </c>
      <c r="BX92" s="81">
        <f t="shared" ca="1" si="59"/>
        <v>4.4885304000000001</v>
      </c>
      <c r="BY92" s="81">
        <f t="shared" ca="1" si="59"/>
        <v>4.4885304000000001</v>
      </c>
      <c r="BZ92" s="81">
        <f t="shared" ca="1" si="59"/>
        <v>4.4885304000000001</v>
      </c>
      <c r="CA92" s="81">
        <f t="shared" ca="1" si="59"/>
        <v>4.4885304000000001</v>
      </c>
      <c r="CB92" s="81">
        <f t="shared" ca="1" si="59"/>
        <v>4.4885304000000001</v>
      </c>
      <c r="CC92" s="81">
        <f t="shared" ca="1" si="59"/>
        <v>4.4885304000000001</v>
      </c>
      <c r="CD92" s="81">
        <f t="shared" ca="1" si="59"/>
        <v>4.4885304000000001</v>
      </c>
      <c r="CE92" s="81">
        <f t="shared" ca="1" si="59"/>
        <v>4.4885304000000001</v>
      </c>
      <c r="CF92" s="81">
        <f t="shared" ca="1" si="59"/>
        <v>4.4885304000000001</v>
      </c>
      <c r="CG92" s="81">
        <f t="shared" ca="1" si="59"/>
        <v>4.4885304000000001</v>
      </c>
      <c r="CH92" s="81">
        <f t="shared" ca="1" si="59"/>
        <v>4.4885304000000001</v>
      </c>
    </row>
    <row r="93" spans="2:86" ht="13">
      <c r="B93" s="15" t="s">
        <v>290</v>
      </c>
      <c r="C93" s="15" t="s">
        <v>291</v>
      </c>
      <c r="D93" s="15" t="s">
        <v>292</v>
      </c>
      <c r="E93" s="77">
        <f ca="1">IF(D93="max",MAX(G93:CH93),IF(D93="sum",SUM(G93:CH93),IF(D93="final",CH93,IF(D93="initial",G93,IF(D93="average",AVERAGE(G93:CH93),0)))))</f>
        <v>0.70886000000000005</v>
      </c>
      <c r="F93" s="29"/>
      <c r="G93" s="77">
        <f t="shared" ref="G93:CH93" ca="1" si="60">IF(G100&lt;=0,ABS(G100)/G59,0)</f>
        <v>5.7775E-2</v>
      </c>
      <c r="H93" s="77">
        <f t="shared" ca="1" si="60"/>
        <v>0.11155</v>
      </c>
      <c r="I93" s="77">
        <f t="shared" ca="1" si="60"/>
        <v>0.165325</v>
      </c>
      <c r="J93" s="77">
        <f t="shared" ca="1" si="60"/>
        <v>0.21909999999999999</v>
      </c>
      <c r="K93" s="77">
        <f t="shared" ca="1" si="60"/>
        <v>0.27287499999999998</v>
      </c>
      <c r="L93" s="77">
        <f t="shared" ca="1" si="60"/>
        <v>0.32665</v>
      </c>
      <c r="M93" s="77">
        <f t="shared" ca="1" si="60"/>
        <v>0.38042500000000001</v>
      </c>
      <c r="N93" s="77">
        <f t="shared" ca="1" si="60"/>
        <v>0.43419999999999997</v>
      </c>
      <c r="O93" s="77">
        <f t="shared" ca="1" si="60"/>
        <v>0.48797499999999999</v>
      </c>
      <c r="P93" s="77">
        <f t="shared" ca="1" si="60"/>
        <v>0.54174999999999995</v>
      </c>
      <c r="Q93" s="77">
        <f t="shared" ca="1" si="60"/>
        <v>0.59552499999999997</v>
      </c>
      <c r="R93" s="77">
        <f t="shared" ca="1" si="60"/>
        <v>0.64929999999999999</v>
      </c>
      <c r="S93" s="77">
        <f t="shared" ca="1" si="60"/>
        <v>0.66418999999999995</v>
      </c>
      <c r="T93" s="77">
        <f t="shared" ca="1" si="60"/>
        <v>0.67908000000000002</v>
      </c>
      <c r="U93" s="77">
        <f t="shared" ca="1" si="60"/>
        <v>0.69396999999999998</v>
      </c>
      <c r="V93" s="77">
        <f t="shared" ca="1" si="60"/>
        <v>0.70886000000000005</v>
      </c>
      <c r="W93" s="77">
        <f t="shared" ca="1" si="60"/>
        <v>0.57504374999999996</v>
      </c>
      <c r="X93" s="77">
        <f t="shared" ca="1" si="60"/>
        <v>0.44122749999999999</v>
      </c>
      <c r="Y93" s="77">
        <f t="shared" ca="1" si="60"/>
        <v>0.3233894761904762</v>
      </c>
      <c r="Z93" s="77">
        <f t="shared" ca="1" si="60"/>
        <v>0.20675219047619045</v>
      </c>
      <c r="AA93" s="77">
        <f t="shared" ca="1" si="60"/>
        <v>8.8686333333333284E-2</v>
      </c>
      <c r="AB93" s="77">
        <f t="shared" ca="1" si="60"/>
        <v>0</v>
      </c>
      <c r="AC93" s="77">
        <f t="shared" ca="1" si="60"/>
        <v>0</v>
      </c>
      <c r="AD93" s="77">
        <f t="shared" ca="1" si="60"/>
        <v>0</v>
      </c>
      <c r="AE93" s="77">
        <f t="shared" ca="1" si="60"/>
        <v>0</v>
      </c>
      <c r="AF93" s="77">
        <f t="shared" ca="1" si="60"/>
        <v>0</v>
      </c>
      <c r="AG93" s="77">
        <f t="shared" ca="1" si="60"/>
        <v>0</v>
      </c>
      <c r="AH93" s="77">
        <f t="shared" ca="1" si="60"/>
        <v>0</v>
      </c>
      <c r="AI93" s="77">
        <f t="shared" ca="1" si="60"/>
        <v>0</v>
      </c>
      <c r="AJ93" s="77">
        <f t="shared" ca="1" si="60"/>
        <v>0</v>
      </c>
      <c r="AK93" s="77">
        <f t="shared" ca="1" si="60"/>
        <v>0</v>
      </c>
      <c r="AL93" s="77">
        <f t="shared" ca="1" si="60"/>
        <v>0</v>
      </c>
      <c r="AM93" s="77">
        <f t="shared" ca="1" si="60"/>
        <v>0</v>
      </c>
      <c r="AN93" s="77">
        <f t="shared" ca="1" si="60"/>
        <v>0</v>
      </c>
      <c r="AO93" s="77">
        <f t="shared" ca="1" si="60"/>
        <v>0</v>
      </c>
      <c r="AP93" s="77">
        <f t="shared" ca="1" si="60"/>
        <v>0</v>
      </c>
      <c r="AQ93" s="77">
        <f t="shared" ca="1" si="60"/>
        <v>0</v>
      </c>
      <c r="AR93" s="77">
        <f t="shared" ca="1" si="60"/>
        <v>0</v>
      </c>
      <c r="AS93" s="77">
        <f t="shared" ca="1" si="60"/>
        <v>0</v>
      </c>
      <c r="AT93" s="77">
        <f t="shared" ca="1" si="60"/>
        <v>0</v>
      </c>
      <c r="AU93" s="77">
        <f t="shared" ca="1" si="60"/>
        <v>0</v>
      </c>
      <c r="AV93" s="77">
        <f t="shared" ca="1" si="60"/>
        <v>0</v>
      </c>
      <c r="AW93" s="77">
        <f t="shared" ca="1" si="60"/>
        <v>0</v>
      </c>
      <c r="AX93" s="77">
        <f t="shared" ca="1" si="60"/>
        <v>0</v>
      </c>
      <c r="AY93" s="77">
        <f t="shared" ca="1" si="60"/>
        <v>0</v>
      </c>
      <c r="AZ93" s="77">
        <f t="shared" ca="1" si="60"/>
        <v>0</v>
      </c>
      <c r="BA93" s="77">
        <f t="shared" ca="1" si="60"/>
        <v>0</v>
      </c>
      <c r="BB93" s="77">
        <f t="shared" ca="1" si="60"/>
        <v>0</v>
      </c>
      <c r="BC93" s="77">
        <f t="shared" ca="1" si="60"/>
        <v>0</v>
      </c>
      <c r="BD93" s="77">
        <f t="shared" ca="1" si="60"/>
        <v>0</v>
      </c>
      <c r="BE93" s="77">
        <f t="shared" ca="1" si="60"/>
        <v>0</v>
      </c>
      <c r="BF93" s="77">
        <f t="shared" ca="1" si="60"/>
        <v>0</v>
      </c>
      <c r="BG93" s="77">
        <f t="shared" ca="1" si="60"/>
        <v>0</v>
      </c>
      <c r="BH93" s="77">
        <f t="shared" ca="1" si="60"/>
        <v>0</v>
      </c>
      <c r="BI93" s="77">
        <f t="shared" ca="1" si="60"/>
        <v>0</v>
      </c>
      <c r="BJ93" s="77">
        <f t="shared" ca="1" si="60"/>
        <v>0</v>
      </c>
      <c r="BK93" s="77">
        <f t="shared" ca="1" si="60"/>
        <v>0</v>
      </c>
      <c r="BL93" s="77">
        <f t="shared" ca="1" si="60"/>
        <v>0</v>
      </c>
      <c r="BM93" s="77">
        <f t="shared" ca="1" si="60"/>
        <v>0</v>
      </c>
      <c r="BN93" s="77">
        <f t="shared" ca="1" si="60"/>
        <v>0</v>
      </c>
      <c r="BO93" s="77">
        <f t="shared" ca="1" si="60"/>
        <v>0</v>
      </c>
      <c r="BP93" s="77">
        <f t="shared" ca="1" si="60"/>
        <v>0</v>
      </c>
      <c r="BQ93" s="77">
        <f t="shared" ca="1" si="60"/>
        <v>0</v>
      </c>
      <c r="BR93" s="77">
        <f t="shared" ca="1" si="60"/>
        <v>0</v>
      </c>
      <c r="BS93" s="77">
        <f t="shared" ca="1" si="60"/>
        <v>0</v>
      </c>
      <c r="BT93" s="77">
        <f t="shared" ca="1" si="60"/>
        <v>0</v>
      </c>
      <c r="BU93" s="77">
        <f t="shared" ca="1" si="60"/>
        <v>0</v>
      </c>
      <c r="BV93" s="77">
        <f t="shared" ca="1" si="60"/>
        <v>0</v>
      </c>
      <c r="BW93" s="77">
        <f t="shared" ca="1" si="60"/>
        <v>0</v>
      </c>
      <c r="BX93" s="77">
        <f t="shared" ca="1" si="60"/>
        <v>0</v>
      </c>
      <c r="BY93" s="77">
        <f t="shared" ca="1" si="60"/>
        <v>0</v>
      </c>
      <c r="BZ93" s="77">
        <f t="shared" ca="1" si="60"/>
        <v>0</v>
      </c>
      <c r="CA93" s="77">
        <f t="shared" ca="1" si="60"/>
        <v>0</v>
      </c>
      <c r="CB93" s="77">
        <f t="shared" ca="1" si="60"/>
        <v>0</v>
      </c>
      <c r="CC93" s="77">
        <f t="shared" ca="1" si="60"/>
        <v>0</v>
      </c>
      <c r="CD93" s="77">
        <f t="shared" ca="1" si="60"/>
        <v>0</v>
      </c>
      <c r="CE93" s="77">
        <f t="shared" ca="1" si="60"/>
        <v>0</v>
      </c>
      <c r="CF93" s="77">
        <f t="shared" ca="1" si="60"/>
        <v>0</v>
      </c>
      <c r="CG93" s="77">
        <f t="shared" ca="1" si="60"/>
        <v>0</v>
      </c>
      <c r="CH93" s="77">
        <f t="shared" ca="1" si="60"/>
        <v>0</v>
      </c>
    </row>
    <row r="94" spans="2:86" ht="13">
      <c r="B94" s="15"/>
      <c r="C94" s="15"/>
      <c r="D94" s="15"/>
      <c r="E94" s="15"/>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c r="CE94" s="29"/>
      <c r="CF94" s="29"/>
      <c r="CG94" s="29"/>
      <c r="CH94" s="29"/>
    </row>
    <row r="95" spans="2:86" ht="13">
      <c r="B95" s="15" t="s">
        <v>293</v>
      </c>
      <c r="C95" s="13" t="s">
        <v>294</v>
      </c>
      <c r="D95" s="15" t="s">
        <v>238</v>
      </c>
      <c r="E95" s="29">
        <f t="shared" ref="E95:E185" ca="1" si="61">IF(D95="sum",SUM(G95:CH95),IF(D95="final",CH95,IF(D95="initial",G95,IF(D95="average",AVERAGE(G95:CH95),0))))</f>
        <v>114766575</v>
      </c>
      <c r="F95" s="29"/>
      <c r="G95" s="29">
        <f t="shared" ref="G95:CH95" ca="1" si="62">-1*G38+G43</f>
        <v>-1203125</v>
      </c>
      <c r="H95" s="29">
        <f t="shared" ca="1" si="62"/>
        <v>-1203125</v>
      </c>
      <c r="I95" s="29">
        <f t="shared" ca="1" si="62"/>
        <v>-1203125</v>
      </c>
      <c r="J95" s="29">
        <f t="shared" ca="1" si="62"/>
        <v>-1203125</v>
      </c>
      <c r="K95" s="29">
        <f t="shared" ca="1" si="62"/>
        <v>-1203125</v>
      </c>
      <c r="L95" s="29">
        <f t="shared" ca="1" si="62"/>
        <v>-1203125</v>
      </c>
      <c r="M95" s="29">
        <f t="shared" ca="1" si="62"/>
        <v>-1203125</v>
      </c>
      <c r="N95" s="29">
        <f t="shared" ca="1" si="62"/>
        <v>-1203125</v>
      </c>
      <c r="O95" s="29">
        <f t="shared" ca="1" si="62"/>
        <v>-1203125</v>
      </c>
      <c r="P95" s="29">
        <f t="shared" ca="1" si="62"/>
        <v>-1203125</v>
      </c>
      <c r="Q95" s="29">
        <f t="shared" ca="1" si="62"/>
        <v>-1203125</v>
      </c>
      <c r="R95" s="29">
        <f t="shared" ca="1" si="62"/>
        <v>-1203125</v>
      </c>
      <c r="S95" s="29">
        <f t="shared" ca="1" si="62"/>
        <v>-230999.99999999953</v>
      </c>
      <c r="T95" s="29">
        <f t="shared" ca="1" si="62"/>
        <v>-230999.99999999953</v>
      </c>
      <c r="U95" s="29">
        <f t="shared" ca="1" si="62"/>
        <v>-230999.99999999953</v>
      </c>
      <c r="V95" s="29">
        <f t="shared" ca="1" si="62"/>
        <v>-230999.99999999953</v>
      </c>
      <c r="W95" s="29">
        <f t="shared" ca="1" si="62"/>
        <v>3486656.2500000009</v>
      </c>
      <c r="X95" s="29">
        <f t="shared" ca="1" si="62"/>
        <v>3486656.2500000009</v>
      </c>
      <c r="Y95" s="29">
        <f t="shared" ca="1" si="62"/>
        <v>3486656.2500000009</v>
      </c>
      <c r="Z95" s="29">
        <f t="shared" ca="1" si="62"/>
        <v>3486656.2500000009</v>
      </c>
      <c r="AA95" s="29">
        <f t="shared" ca="1" si="62"/>
        <v>3486656.2500000009</v>
      </c>
      <c r="AB95" s="29">
        <f t="shared" ca="1" si="62"/>
        <v>3486656.2500000009</v>
      </c>
      <c r="AC95" s="29">
        <f t="shared" ca="1" si="62"/>
        <v>3486656.2500000009</v>
      </c>
      <c r="AD95" s="29">
        <f t="shared" ca="1" si="62"/>
        <v>3486656.2500000009</v>
      </c>
      <c r="AE95" s="29">
        <f t="shared" ca="1" si="62"/>
        <v>8277018.7499999981</v>
      </c>
      <c r="AF95" s="29">
        <f t="shared" ca="1" si="62"/>
        <v>8277018.7499999981</v>
      </c>
      <c r="AG95" s="29">
        <f t="shared" ca="1" si="62"/>
        <v>8277018.7499999981</v>
      </c>
      <c r="AH95" s="29">
        <f t="shared" ca="1" si="62"/>
        <v>8277018.7499999981</v>
      </c>
      <c r="AI95" s="29">
        <f t="shared" ca="1" si="62"/>
        <v>7276499.9999999981</v>
      </c>
      <c r="AJ95" s="29">
        <f t="shared" ca="1" si="62"/>
        <v>7276499.9999999981</v>
      </c>
      <c r="AK95" s="29">
        <f t="shared" ca="1" si="62"/>
        <v>7276499.9999999981</v>
      </c>
      <c r="AL95" s="29">
        <f t="shared" ca="1" si="62"/>
        <v>7276499.9999999981</v>
      </c>
      <c r="AM95" s="29">
        <f t="shared" ca="1" si="62"/>
        <v>4547812.4999999981</v>
      </c>
      <c r="AN95" s="29">
        <f t="shared" ca="1" si="62"/>
        <v>4547812.4999999981</v>
      </c>
      <c r="AO95" s="29">
        <f t="shared" ca="1" si="62"/>
        <v>4547812.4999999981</v>
      </c>
      <c r="AP95" s="29">
        <f t="shared" ca="1" si="62"/>
        <v>4547812.4999999981</v>
      </c>
      <c r="AQ95" s="29">
        <f t="shared" ca="1" si="62"/>
        <v>5457374.9999999981</v>
      </c>
      <c r="AR95" s="29">
        <f t="shared" ca="1" si="62"/>
        <v>5457374.9999999981</v>
      </c>
      <c r="AS95" s="29">
        <f t="shared" ca="1" si="62"/>
        <v>5457374.9999999981</v>
      </c>
      <c r="AT95" s="29">
        <f t="shared" ca="1" si="62"/>
        <v>5457374.9999999981</v>
      </c>
      <c r="AU95" s="29">
        <f t="shared" ca="1" si="62"/>
        <v>0</v>
      </c>
      <c r="AV95" s="29">
        <f t="shared" ca="1" si="62"/>
        <v>0</v>
      </c>
      <c r="AW95" s="29">
        <f t="shared" ca="1" si="62"/>
        <v>0</v>
      </c>
      <c r="AX95" s="29">
        <f t="shared" ca="1" si="62"/>
        <v>0</v>
      </c>
      <c r="AY95" s="29">
        <f t="shared" ca="1" si="62"/>
        <v>0</v>
      </c>
      <c r="AZ95" s="29">
        <f t="shared" ca="1" si="62"/>
        <v>0</v>
      </c>
      <c r="BA95" s="29">
        <f t="shared" ca="1" si="62"/>
        <v>0</v>
      </c>
      <c r="BB95" s="29">
        <f t="shared" ca="1" si="62"/>
        <v>0</v>
      </c>
      <c r="BC95" s="29">
        <f t="shared" ca="1" si="62"/>
        <v>0</v>
      </c>
      <c r="BD95" s="29">
        <f t="shared" ca="1" si="62"/>
        <v>0</v>
      </c>
      <c r="BE95" s="29">
        <f t="shared" ca="1" si="62"/>
        <v>0</v>
      </c>
      <c r="BF95" s="29">
        <f t="shared" ca="1" si="62"/>
        <v>0</v>
      </c>
      <c r="BG95" s="29">
        <f t="shared" ca="1" si="62"/>
        <v>0</v>
      </c>
      <c r="BH95" s="29">
        <f t="shared" ca="1" si="62"/>
        <v>0</v>
      </c>
      <c r="BI95" s="29">
        <f t="shared" ca="1" si="62"/>
        <v>0</v>
      </c>
      <c r="BJ95" s="29">
        <f t="shared" ca="1" si="62"/>
        <v>0</v>
      </c>
      <c r="BK95" s="29">
        <f t="shared" ca="1" si="62"/>
        <v>0</v>
      </c>
      <c r="BL95" s="29">
        <f t="shared" ca="1" si="62"/>
        <v>0</v>
      </c>
      <c r="BM95" s="29">
        <f t="shared" ca="1" si="62"/>
        <v>0</v>
      </c>
      <c r="BN95" s="29">
        <f t="shared" ca="1" si="62"/>
        <v>0</v>
      </c>
      <c r="BO95" s="29">
        <f t="shared" ca="1" si="62"/>
        <v>0</v>
      </c>
      <c r="BP95" s="29">
        <f t="shared" ca="1" si="62"/>
        <v>0</v>
      </c>
      <c r="BQ95" s="29">
        <f t="shared" ca="1" si="62"/>
        <v>0</v>
      </c>
      <c r="BR95" s="29">
        <f t="shared" ca="1" si="62"/>
        <v>0</v>
      </c>
      <c r="BS95" s="29">
        <f t="shared" ca="1" si="62"/>
        <v>0</v>
      </c>
      <c r="BT95" s="29">
        <f t="shared" ca="1" si="62"/>
        <v>0</v>
      </c>
      <c r="BU95" s="29">
        <f t="shared" ca="1" si="62"/>
        <v>0</v>
      </c>
      <c r="BV95" s="29">
        <f t="shared" ca="1" si="62"/>
        <v>0</v>
      </c>
      <c r="BW95" s="29">
        <f t="shared" ca="1" si="62"/>
        <v>0</v>
      </c>
      <c r="BX95" s="29">
        <f t="shared" ca="1" si="62"/>
        <v>0</v>
      </c>
      <c r="BY95" s="29">
        <f t="shared" ca="1" si="62"/>
        <v>0</v>
      </c>
      <c r="BZ95" s="29">
        <f t="shared" ca="1" si="62"/>
        <v>0</v>
      </c>
      <c r="CA95" s="29">
        <f t="shared" ca="1" si="62"/>
        <v>0</v>
      </c>
      <c r="CB95" s="29">
        <f t="shared" ca="1" si="62"/>
        <v>0</v>
      </c>
      <c r="CC95" s="29">
        <f t="shared" ca="1" si="62"/>
        <v>0</v>
      </c>
      <c r="CD95" s="29">
        <f t="shared" ca="1" si="62"/>
        <v>0</v>
      </c>
      <c r="CE95" s="29">
        <f t="shared" ca="1" si="62"/>
        <v>0</v>
      </c>
      <c r="CF95" s="29">
        <f t="shared" ca="1" si="62"/>
        <v>0</v>
      </c>
      <c r="CG95" s="29">
        <f t="shared" ca="1" si="62"/>
        <v>0</v>
      </c>
      <c r="CH95" s="29">
        <f t="shared" ca="1" si="62"/>
        <v>0</v>
      </c>
    </row>
    <row r="96" spans="2:86" ht="13">
      <c r="B96" s="15" t="str">
        <f>"Cumulative "&amp;B95</f>
        <v>Cumulative Net (Investments) Proceeds</v>
      </c>
      <c r="C96" s="13" t="s">
        <v>294</v>
      </c>
      <c r="D96" s="15" t="s">
        <v>247</v>
      </c>
      <c r="E96" s="29">
        <f t="shared" ca="1" si="61"/>
        <v>114766575</v>
      </c>
      <c r="F96" s="29"/>
      <c r="G96" s="29">
        <f t="shared" ref="G96:CH96" ca="1" si="63">F96+G95</f>
        <v>-1203125</v>
      </c>
      <c r="H96" s="29">
        <f t="shared" ca="1" si="63"/>
        <v>-2406250</v>
      </c>
      <c r="I96" s="29">
        <f t="shared" ca="1" si="63"/>
        <v>-3609375</v>
      </c>
      <c r="J96" s="29">
        <f t="shared" ca="1" si="63"/>
        <v>-4812500</v>
      </c>
      <c r="K96" s="29">
        <f t="shared" ca="1" si="63"/>
        <v>-6015625</v>
      </c>
      <c r="L96" s="29">
        <f t="shared" ca="1" si="63"/>
        <v>-7218750</v>
      </c>
      <c r="M96" s="29">
        <f t="shared" ca="1" si="63"/>
        <v>-8421875</v>
      </c>
      <c r="N96" s="29">
        <f t="shared" ca="1" si="63"/>
        <v>-9625000</v>
      </c>
      <c r="O96" s="29">
        <f t="shared" ca="1" si="63"/>
        <v>-10828125</v>
      </c>
      <c r="P96" s="29">
        <f t="shared" ca="1" si="63"/>
        <v>-12031250</v>
      </c>
      <c r="Q96" s="29">
        <f t="shared" ca="1" si="63"/>
        <v>-13234375</v>
      </c>
      <c r="R96" s="29">
        <f t="shared" ca="1" si="63"/>
        <v>-14437500</v>
      </c>
      <c r="S96" s="29">
        <f t="shared" ca="1" si="63"/>
        <v>-14668500</v>
      </c>
      <c r="T96" s="29">
        <f t="shared" ca="1" si="63"/>
        <v>-14899500</v>
      </c>
      <c r="U96" s="29">
        <f t="shared" ca="1" si="63"/>
        <v>-15130500</v>
      </c>
      <c r="V96" s="29">
        <f t="shared" ca="1" si="63"/>
        <v>-15361500</v>
      </c>
      <c r="W96" s="29">
        <f t="shared" ca="1" si="63"/>
        <v>-11874843.75</v>
      </c>
      <c r="X96" s="29">
        <f t="shared" ca="1" si="63"/>
        <v>-8388187.4999999991</v>
      </c>
      <c r="Y96" s="29">
        <f t="shared" ca="1" si="63"/>
        <v>-4901531.2499999981</v>
      </c>
      <c r="Z96" s="29">
        <f t="shared" ca="1" si="63"/>
        <v>-1414874.9999999972</v>
      </c>
      <c r="AA96" s="29">
        <f t="shared" ca="1" si="63"/>
        <v>2071781.2500000037</v>
      </c>
      <c r="AB96" s="29">
        <f t="shared" ca="1" si="63"/>
        <v>5558437.5000000047</v>
      </c>
      <c r="AC96" s="29">
        <f t="shared" ca="1" si="63"/>
        <v>9045093.7500000056</v>
      </c>
      <c r="AD96" s="29">
        <f t="shared" ca="1" si="63"/>
        <v>12531750.000000007</v>
      </c>
      <c r="AE96" s="29">
        <f t="shared" ca="1" si="63"/>
        <v>20808768.750000007</v>
      </c>
      <c r="AF96" s="29">
        <f t="shared" ca="1" si="63"/>
        <v>29085787.500000007</v>
      </c>
      <c r="AG96" s="29">
        <f t="shared" ca="1" si="63"/>
        <v>37362806.250000007</v>
      </c>
      <c r="AH96" s="29">
        <f t="shared" ca="1" si="63"/>
        <v>45639825.000000007</v>
      </c>
      <c r="AI96" s="29">
        <f t="shared" ca="1" si="63"/>
        <v>52916325.000000007</v>
      </c>
      <c r="AJ96" s="29">
        <f t="shared" ca="1" si="63"/>
        <v>60192825.000000007</v>
      </c>
      <c r="AK96" s="29">
        <f t="shared" ca="1" si="63"/>
        <v>67469325</v>
      </c>
      <c r="AL96" s="29">
        <f t="shared" ca="1" si="63"/>
        <v>74745825</v>
      </c>
      <c r="AM96" s="29">
        <f t="shared" ca="1" si="63"/>
        <v>79293637.5</v>
      </c>
      <c r="AN96" s="29">
        <f t="shared" ca="1" si="63"/>
        <v>83841450</v>
      </c>
      <c r="AO96" s="29">
        <f t="shared" ca="1" si="63"/>
        <v>88389262.5</v>
      </c>
      <c r="AP96" s="29">
        <f t="shared" ca="1" si="63"/>
        <v>92937075</v>
      </c>
      <c r="AQ96" s="29">
        <f t="shared" ca="1" si="63"/>
        <v>98394450</v>
      </c>
      <c r="AR96" s="29">
        <f t="shared" ca="1" si="63"/>
        <v>103851825</v>
      </c>
      <c r="AS96" s="29">
        <f t="shared" ca="1" si="63"/>
        <v>109309200</v>
      </c>
      <c r="AT96" s="29">
        <f t="shared" ca="1" si="63"/>
        <v>114766575</v>
      </c>
      <c r="AU96" s="29">
        <f t="shared" ca="1" si="63"/>
        <v>114766575</v>
      </c>
      <c r="AV96" s="29">
        <f t="shared" ca="1" si="63"/>
        <v>114766575</v>
      </c>
      <c r="AW96" s="29">
        <f t="shared" ca="1" si="63"/>
        <v>114766575</v>
      </c>
      <c r="AX96" s="29">
        <f t="shared" ca="1" si="63"/>
        <v>114766575</v>
      </c>
      <c r="AY96" s="29">
        <f t="shared" ca="1" si="63"/>
        <v>114766575</v>
      </c>
      <c r="AZ96" s="29">
        <f t="shared" ca="1" si="63"/>
        <v>114766575</v>
      </c>
      <c r="BA96" s="29">
        <f t="shared" ca="1" si="63"/>
        <v>114766575</v>
      </c>
      <c r="BB96" s="29">
        <f t="shared" ca="1" si="63"/>
        <v>114766575</v>
      </c>
      <c r="BC96" s="29">
        <f t="shared" ca="1" si="63"/>
        <v>114766575</v>
      </c>
      <c r="BD96" s="29">
        <f t="shared" ca="1" si="63"/>
        <v>114766575</v>
      </c>
      <c r="BE96" s="29">
        <f t="shared" ca="1" si="63"/>
        <v>114766575</v>
      </c>
      <c r="BF96" s="29">
        <f t="shared" ca="1" si="63"/>
        <v>114766575</v>
      </c>
      <c r="BG96" s="29">
        <f t="shared" ca="1" si="63"/>
        <v>114766575</v>
      </c>
      <c r="BH96" s="29">
        <f t="shared" ca="1" si="63"/>
        <v>114766575</v>
      </c>
      <c r="BI96" s="29">
        <f t="shared" ca="1" si="63"/>
        <v>114766575</v>
      </c>
      <c r="BJ96" s="29">
        <f t="shared" ca="1" si="63"/>
        <v>114766575</v>
      </c>
      <c r="BK96" s="29">
        <f t="shared" ca="1" si="63"/>
        <v>114766575</v>
      </c>
      <c r="BL96" s="29">
        <f t="shared" ca="1" si="63"/>
        <v>114766575</v>
      </c>
      <c r="BM96" s="29">
        <f t="shared" ca="1" si="63"/>
        <v>114766575</v>
      </c>
      <c r="BN96" s="29">
        <f t="shared" ca="1" si="63"/>
        <v>114766575</v>
      </c>
      <c r="BO96" s="29">
        <f t="shared" ca="1" si="63"/>
        <v>114766575</v>
      </c>
      <c r="BP96" s="29">
        <f t="shared" ca="1" si="63"/>
        <v>114766575</v>
      </c>
      <c r="BQ96" s="29">
        <f t="shared" ca="1" si="63"/>
        <v>114766575</v>
      </c>
      <c r="BR96" s="29">
        <f t="shared" ca="1" si="63"/>
        <v>114766575</v>
      </c>
      <c r="BS96" s="29">
        <f t="shared" ca="1" si="63"/>
        <v>114766575</v>
      </c>
      <c r="BT96" s="29">
        <f t="shared" ca="1" si="63"/>
        <v>114766575</v>
      </c>
      <c r="BU96" s="29">
        <f t="shared" ca="1" si="63"/>
        <v>114766575</v>
      </c>
      <c r="BV96" s="29">
        <f t="shared" ca="1" si="63"/>
        <v>114766575</v>
      </c>
      <c r="BW96" s="29">
        <f t="shared" ca="1" si="63"/>
        <v>114766575</v>
      </c>
      <c r="BX96" s="29">
        <f t="shared" ca="1" si="63"/>
        <v>114766575</v>
      </c>
      <c r="BY96" s="29">
        <f t="shared" ca="1" si="63"/>
        <v>114766575</v>
      </c>
      <c r="BZ96" s="29">
        <f t="shared" ca="1" si="63"/>
        <v>114766575</v>
      </c>
      <c r="CA96" s="29">
        <f t="shared" ca="1" si="63"/>
        <v>114766575</v>
      </c>
      <c r="CB96" s="29">
        <f t="shared" ca="1" si="63"/>
        <v>114766575</v>
      </c>
      <c r="CC96" s="29">
        <f t="shared" ca="1" si="63"/>
        <v>114766575</v>
      </c>
      <c r="CD96" s="29">
        <f t="shared" ca="1" si="63"/>
        <v>114766575</v>
      </c>
      <c r="CE96" s="29">
        <f t="shared" ca="1" si="63"/>
        <v>114766575</v>
      </c>
      <c r="CF96" s="29">
        <f t="shared" ca="1" si="63"/>
        <v>114766575</v>
      </c>
      <c r="CG96" s="29">
        <f t="shared" ca="1" si="63"/>
        <v>114766575</v>
      </c>
      <c r="CH96" s="29">
        <f t="shared" ca="1" si="63"/>
        <v>114766575</v>
      </c>
    </row>
    <row r="97" spans="2:86" ht="13">
      <c r="B97" s="15" t="s">
        <v>222</v>
      </c>
      <c r="C97" s="13" t="s">
        <v>294</v>
      </c>
      <c r="D97" s="15" t="s">
        <v>247</v>
      </c>
      <c r="E97" s="81">
        <f t="shared" ca="1" si="61"/>
        <v>6.6779999999999999</v>
      </c>
      <c r="F97" s="29"/>
      <c r="G97" s="81">
        <f t="shared" ref="G97:CH97" ca="1" si="64">IFERROR(G72/G67,0)</f>
        <v>0</v>
      </c>
      <c r="H97" s="81">
        <f t="shared" ca="1" si="64"/>
        <v>0</v>
      </c>
      <c r="I97" s="81">
        <f t="shared" ca="1" si="64"/>
        <v>0</v>
      </c>
      <c r="J97" s="81">
        <f t="shared" ca="1" si="64"/>
        <v>0</v>
      </c>
      <c r="K97" s="81">
        <f t="shared" ca="1" si="64"/>
        <v>0</v>
      </c>
      <c r="L97" s="81">
        <f t="shared" ca="1" si="64"/>
        <v>0</v>
      </c>
      <c r="M97" s="81">
        <f t="shared" ca="1" si="64"/>
        <v>0</v>
      </c>
      <c r="N97" s="81">
        <f t="shared" ca="1" si="64"/>
        <v>0</v>
      </c>
      <c r="O97" s="81">
        <f t="shared" ca="1" si="64"/>
        <v>0</v>
      </c>
      <c r="P97" s="81">
        <f t="shared" ca="1" si="64"/>
        <v>0</v>
      </c>
      <c r="Q97" s="81">
        <f t="shared" ca="1" si="64"/>
        <v>0</v>
      </c>
      <c r="R97" s="81">
        <f t="shared" ca="1" si="64"/>
        <v>0</v>
      </c>
      <c r="S97" s="81">
        <f t="shared" ca="1" si="64"/>
        <v>7.6363636363636397E-2</v>
      </c>
      <c r="T97" s="81">
        <f t="shared" ca="1" si="64"/>
        <v>0.14000000000000004</v>
      </c>
      <c r="U97" s="81">
        <f t="shared" ca="1" si="64"/>
        <v>0.19384615384615392</v>
      </c>
      <c r="V97" s="81">
        <f t="shared" ca="1" si="64"/>
        <v>0.2400000000000001</v>
      </c>
      <c r="W97" s="81">
        <f t="shared" ca="1" si="64"/>
        <v>0.41250000000000014</v>
      </c>
      <c r="X97" s="81">
        <f t="shared" ca="1" si="64"/>
        <v>0.58500000000000019</v>
      </c>
      <c r="Y97" s="81">
        <f t="shared" ca="1" si="64"/>
        <v>0.75750000000000017</v>
      </c>
      <c r="Z97" s="81">
        <f t="shared" ca="1" si="64"/>
        <v>0.93000000000000016</v>
      </c>
      <c r="AA97" s="81">
        <f t="shared" ca="1" si="64"/>
        <v>1.1025000000000003</v>
      </c>
      <c r="AB97" s="81">
        <f t="shared" ca="1" si="64"/>
        <v>1.2750000000000001</v>
      </c>
      <c r="AC97" s="81">
        <f t="shared" ca="1" si="64"/>
        <v>1.4475000000000002</v>
      </c>
      <c r="AD97" s="81">
        <f t="shared" ca="1" si="64"/>
        <v>1.62</v>
      </c>
      <c r="AE97" s="81">
        <f t="shared" ca="1" si="64"/>
        <v>2.0295000000000001</v>
      </c>
      <c r="AF97" s="81">
        <f t="shared" ca="1" si="64"/>
        <v>2.4390000000000001</v>
      </c>
      <c r="AG97" s="81">
        <f t="shared" ca="1" si="64"/>
        <v>2.8485</v>
      </c>
      <c r="AH97" s="81">
        <f t="shared" ca="1" si="64"/>
        <v>3.258</v>
      </c>
      <c r="AI97" s="81">
        <f t="shared" ca="1" si="64"/>
        <v>3.6179999999999999</v>
      </c>
      <c r="AJ97" s="81">
        <f t="shared" ca="1" si="64"/>
        <v>3.9780000000000002</v>
      </c>
      <c r="AK97" s="81">
        <f t="shared" ca="1" si="64"/>
        <v>4.3380000000000001</v>
      </c>
      <c r="AL97" s="81">
        <f t="shared" ca="1" si="64"/>
        <v>4.6980000000000004</v>
      </c>
      <c r="AM97" s="81">
        <f t="shared" ca="1" si="64"/>
        <v>4.923</v>
      </c>
      <c r="AN97" s="81">
        <f t="shared" ca="1" si="64"/>
        <v>5.1479999999999997</v>
      </c>
      <c r="AO97" s="81">
        <f t="shared" ca="1" si="64"/>
        <v>5.3730000000000002</v>
      </c>
      <c r="AP97" s="81">
        <f t="shared" ca="1" si="64"/>
        <v>5.5979999999999999</v>
      </c>
      <c r="AQ97" s="81">
        <f t="shared" ca="1" si="64"/>
        <v>5.8680000000000003</v>
      </c>
      <c r="AR97" s="81">
        <f t="shared" ca="1" si="64"/>
        <v>6.1379999999999999</v>
      </c>
      <c r="AS97" s="81">
        <f t="shared" ca="1" si="64"/>
        <v>6.4080000000000004</v>
      </c>
      <c r="AT97" s="81">
        <f t="shared" ca="1" si="64"/>
        <v>6.6779999999999999</v>
      </c>
      <c r="AU97" s="81">
        <f t="shared" ca="1" si="64"/>
        <v>6.6779999999999999</v>
      </c>
      <c r="AV97" s="81">
        <f t="shared" ca="1" si="64"/>
        <v>6.6779999999999999</v>
      </c>
      <c r="AW97" s="81">
        <f t="shared" ca="1" si="64"/>
        <v>6.6779999999999999</v>
      </c>
      <c r="AX97" s="81">
        <f t="shared" ca="1" si="64"/>
        <v>6.6779999999999999</v>
      </c>
      <c r="AY97" s="81">
        <f t="shared" ca="1" si="64"/>
        <v>6.6779999999999999</v>
      </c>
      <c r="AZ97" s="81">
        <f t="shared" ca="1" si="64"/>
        <v>6.6779999999999999</v>
      </c>
      <c r="BA97" s="81">
        <f t="shared" ca="1" si="64"/>
        <v>6.6779999999999999</v>
      </c>
      <c r="BB97" s="81">
        <f t="shared" ca="1" si="64"/>
        <v>6.6779999999999999</v>
      </c>
      <c r="BC97" s="81">
        <f t="shared" ca="1" si="64"/>
        <v>6.6779999999999999</v>
      </c>
      <c r="BD97" s="81">
        <f t="shared" ca="1" si="64"/>
        <v>6.6779999999999999</v>
      </c>
      <c r="BE97" s="81">
        <f t="shared" ca="1" si="64"/>
        <v>6.6779999999999999</v>
      </c>
      <c r="BF97" s="81">
        <f t="shared" ca="1" si="64"/>
        <v>6.6779999999999999</v>
      </c>
      <c r="BG97" s="81">
        <f t="shared" ca="1" si="64"/>
        <v>6.6779999999999999</v>
      </c>
      <c r="BH97" s="81">
        <f t="shared" ca="1" si="64"/>
        <v>6.6779999999999999</v>
      </c>
      <c r="BI97" s="81">
        <f t="shared" ca="1" si="64"/>
        <v>6.6779999999999999</v>
      </c>
      <c r="BJ97" s="81">
        <f t="shared" ca="1" si="64"/>
        <v>6.6779999999999999</v>
      </c>
      <c r="BK97" s="81">
        <f t="shared" ca="1" si="64"/>
        <v>6.6779999999999999</v>
      </c>
      <c r="BL97" s="81">
        <f t="shared" ca="1" si="64"/>
        <v>6.6779999999999999</v>
      </c>
      <c r="BM97" s="81">
        <f t="shared" ca="1" si="64"/>
        <v>6.6779999999999999</v>
      </c>
      <c r="BN97" s="81">
        <f t="shared" ca="1" si="64"/>
        <v>6.6779999999999999</v>
      </c>
      <c r="BO97" s="81">
        <f t="shared" ca="1" si="64"/>
        <v>6.6779999999999999</v>
      </c>
      <c r="BP97" s="81">
        <f t="shared" ca="1" si="64"/>
        <v>6.6779999999999999</v>
      </c>
      <c r="BQ97" s="81">
        <f t="shared" ca="1" si="64"/>
        <v>6.6779999999999999</v>
      </c>
      <c r="BR97" s="81">
        <f t="shared" ca="1" si="64"/>
        <v>6.6779999999999999</v>
      </c>
      <c r="BS97" s="81">
        <f t="shared" ca="1" si="64"/>
        <v>6.6779999999999999</v>
      </c>
      <c r="BT97" s="81">
        <f t="shared" ca="1" si="64"/>
        <v>6.6779999999999999</v>
      </c>
      <c r="BU97" s="81">
        <f t="shared" ca="1" si="64"/>
        <v>6.6779999999999999</v>
      </c>
      <c r="BV97" s="81">
        <f t="shared" ca="1" si="64"/>
        <v>6.6779999999999999</v>
      </c>
      <c r="BW97" s="81">
        <f t="shared" ca="1" si="64"/>
        <v>6.6779999999999999</v>
      </c>
      <c r="BX97" s="81">
        <f t="shared" ca="1" si="64"/>
        <v>6.6779999999999999</v>
      </c>
      <c r="BY97" s="81">
        <f t="shared" ca="1" si="64"/>
        <v>6.6779999999999999</v>
      </c>
      <c r="BZ97" s="81">
        <f t="shared" ca="1" si="64"/>
        <v>6.6779999999999999</v>
      </c>
      <c r="CA97" s="81">
        <f t="shared" ca="1" si="64"/>
        <v>6.6779999999999999</v>
      </c>
      <c r="CB97" s="81">
        <f t="shared" ca="1" si="64"/>
        <v>6.6779999999999999</v>
      </c>
      <c r="CC97" s="81">
        <f t="shared" ca="1" si="64"/>
        <v>6.6779999999999999</v>
      </c>
      <c r="CD97" s="81">
        <f t="shared" ca="1" si="64"/>
        <v>6.6779999999999999</v>
      </c>
      <c r="CE97" s="81">
        <f t="shared" ca="1" si="64"/>
        <v>6.6779999999999999</v>
      </c>
      <c r="CF97" s="81">
        <f t="shared" ca="1" si="64"/>
        <v>6.6779999999999999</v>
      </c>
      <c r="CG97" s="81">
        <f t="shared" ca="1" si="64"/>
        <v>6.6779999999999999</v>
      </c>
      <c r="CH97" s="81">
        <f t="shared" ca="1" si="64"/>
        <v>6.6779999999999999</v>
      </c>
    </row>
    <row r="98" spans="2:86" ht="13">
      <c r="B98" s="15" t="s">
        <v>226</v>
      </c>
      <c r="C98" s="13" t="s">
        <v>294</v>
      </c>
      <c r="D98" s="15" t="s">
        <v>247</v>
      </c>
      <c r="E98" s="77">
        <f t="shared" ca="1" si="61"/>
        <v>0.5008816540241241</v>
      </c>
      <c r="F98" s="29"/>
      <c r="G98" s="83" t="str">
        <f t="shared" ref="G98:CH98" ca="1" si="65">IFERROR(XIRR(INDIRECT(""&amp;ADDRESS(ROW($D95),COLUMN($G95)+MATCH(INDEX($G95:$CH95,MATCH(TRUE,INDEX($G95:$CH95&lt;&gt;0,),0)),$G95:$CH95,0)-1,4)&amp;":"&amp;ADDRESS(ROW($G95),COLUMN($G95)+MATCH(F$5,$G$5:$CH$5,1),4)),INDIRECT(""&amp;ADDRESS(ROW(F$5),COLUMN($G95)+MATCH(INDEX($G95:$CH95,MATCH(TRUE,INDEX($G95:$CH95&lt;&gt;0,),0)),$G95:$CH95,0)-1,4) &amp; ":" &amp; ADDRESS(ROW($G$5),COLUMN($G95)+MATCH(F$5,$G$5:$CH$5,1),4))),"na")</f>
        <v>na</v>
      </c>
      <c r="H98" s="83" t="str">
        <f t="shared" ca="1" si="65"/>
        <v>na</v>
      </c>
      <c r="I98" s="83" t="str">
        <f t="shared" ca="1" si="65"/>
        <v>na</v>
      </c>
      <c r="J98" s="83" t="str">
        <f t="shared" ca="1" si="65"/>
        <v>na</v>
      </c>
      <c r="K98" s="83" t="str">
        <f t="shared" ca="1" si="65"/>
        <v>na</v>
      </c>
      <c r="L98" s="83" t="str">
        <f t="shared" ca="1" si="65"/>
        <v>na</v>
      </c>
      <c r="M98" s="83" t="str">
        <f t="shared" ca="1" si="65"/>
        <v>na</v>
      </c>
      <c r="N98" s="83" t="str">
        <f t="shared" ca="1" si="65"/>
        <v>na</v>
      </c>
      <c r="O98" s="83" t="str">
        <f t="shared" ca="1" si="65"/>
        <v>na</v>
      </c>
      <c r="P98" s="83" t="str">
        <f t="shared" ca="1" si="65"/>
        <v>na</v>
      </c>
      <c r="Q98" s="83" t="str">
        <f t="shared" ca="1" si="65"/>
        <v>na</v>
      </c>
      <c r="R98" s="83" t="str">
        <f t="shared" ca="1" si="65"/>
        <v>na</v>
      </c>
      <c r="S98" s="83" t="str">
        <f t="shared" ca="1" si="65"/>
        <v>na</v>
      </c>
      <c r="T98" s="83" t="str">
        <f t="shared" ca="1" si="65"/>
        <v>na</v>
      </c>
      <c r="U98" s="83" t="str">
        <f t="shared" ca="1" si="65"/>
        <v>na</v>
      </c>
      <c r="V98" s="83" t="str">
        <f t="shared" ca="1" si="65"/>
        <v>na</v>
      </c>
      <c r="W98" s="83">
        <f t="shared" ca="1" si="65"/>
        <v>2.9802322387695314E-9</v>
      </c>
      <c r="X98" s="83">
        <f t="shared" ca="1" si="65"/>
        <v>2.9802322387695314E-9</v>
      </c>
      <c r="Y98" s="83">
        <f t="shared" ca="1" si="65"/>
        <v>2.9802322387695314E-9</v>
      </c>
      <c r="Z98" s="83">
        <f t="shared" ca="1" si="65"/>
        <v>-3.3139239251613613E-2</v>
      </c>
      <c r="AA98" s="83">
        <f t="shared" ca="1" si="65"/>
        <v>4.2725893855094899E-2</v>
      </c>
      <c r="AB98" s="83">
        <f t="shared" ca="1" si="65"/>
        <v>0.10239272713661193</v>
      </c>
      <c r="AC98" s="83">
        <f t="shared" ca="1" si="65"/>
        <v>0.15043354630470276</v>
      </c>
      <c r="AD98" s="83">
        <f t="shared" ca="1" si="65"/>
        <v>0.18976163268089294</v>
      </c>
      <c r="AE98" s="83">
        <f t="shared" ca="1" si="65"/>
        <v>0.26120827794075019</v>
      </c>
      <c r="AF98" s="83">
        <f t="shared" ca="1" si="65"/>
        <v>0.31387545466423039</v>
      </c>
      <c r="AG98" s="83">
        <f t="shared" ca="1" si="65"/>
        <v>0.35454599261283892</v>
      </c>
      <c r="AH98" s="83">
        <f t="shared" ca="1" si="65"/>
        <v>0.38683832287788389</v>
      </c>
      <c r="AI98" s="83">
        <f t="shared" ca="1" si="65"/>
        <v>0.40998452305793764</v>
      </c>
      <c r="AJ98" s="83">
        <f t="shared" ca="1" si="65"/>
        <v>0.42926899790763862</v>
      </c>
      <c r="AK98" s="83">
        <f t="shared" ca="1" si="65"/>
        <v>0.44546341300010683</v>
      </c>
      <c r="AL98" s="83">
        <f t="shared" ca="1" si="65"/>
        <v>0.4591490924358369</v>
      </c>
      <c r="AM98" s="83">
        <f t="shared" ca="1" si="65"/>
        <v>0.46650776267051697</v>
      </c>
      <c r="AN98" s="83">
        <f t="shared" ca="1" si="65"/>
        <v>0.47295139431953426</v>
      </c>
      <c r="AO98" s="83">
        <f t="shared" ca="1" si="65"/>
        <v>0.47859922051429749</v>
      </c>
      <c r="AP98" s="83">
        <f t="shared" ca="1" si="65"/>
        <v>0.48355373740196217</v>
      </c>
      <c r="AQ98" s="83">
        <f t="shared" ca="1" si="65"/>
        <v>0.48876402974128719</v>
      </c>
      <c r="AR98" s="83">
        <f t="shared" ca="1" si="65"/>
        <v>0.49333599209785461</v>
      </c>
      <c r="AS98" s="83">
        <f t="shared" ca="1" si="65"/>
        <v>0.49735170006752016</v>
      </c>
      <c r="AT98" s="83">
        <f t="shared" ca="1" si="65"/>
        <v>0.5008816540241241</v>
      </c>
      <c r="AU98" s="83">
        <f t="shared" ca="1" si="65"/>
        <v>0.5008816540241241</v>
      </c>
      <c r="AV98" s="83">
        <f t="shared" ca="1" si="65"/>
        <v>0.5008816540241241</v>
      </c>
      <c r="AW98" s="83">
        <f t="shared" ca="1" si="65"/>
        <v>0.5008816540241241</v>
      </c>
      <c r="AX98" s="83">
        <f t="shared" ca="1" si="65"/>
        <v>0.5008816540241241</v>
      </c>
      <c r="AY98" s="83">
        <f t="shared" ca="1" si="65"/>
        <v>0.5008816540241241</v>
      </c>
      <c r="AZ98" s="83">
        <f t="shared" ca="1" si="65"/>
        <v>0.5008816540241241</v>
      </c>
      <c r="BA98" s="83">
        <f t="shared" ca="1" si="65"/>
        <v>0.5008816540241241</v>
      </c>
      <c r="BB98" s="83">
        <f t="shared" ca="1" si="65"/>
        <v>0.5008816540241241</v>
      </c>
      <c r="BC98" s="83">
        <f t="shared" ca="1" si="65"/>
        <v>0.5008816540241241</v>
      </c>
      <c r="BD98" s="83">
        <f t="shared" ca="1" si="65"/>
        <v>0.5008816540241241</v>
      </c>
      <c r="BE98" s="83">
        <f t="shared" ca="1" si="65"/>
        <v>0.5008816540241241</v>
      </c>
      <c r="BF98" s="83">
        <f t="shared" ca="1" si="65"/>
        <v>0.5008816540241241</v>
      </c>
      <c r="BG98" s="83">
        <f t="shared" ca="1" si="65"/>
        <v>0.5008816540241241</v>
      </c>
      <c r="BH98" s="83">
        <f t="shared" ca="1" si="65"/>
        <v>0.5008816540241241</v>
      </c>
      <c r="BI98" s="83">
        <f t="shared" ca="1" si="65"/>
        <v>0.5008816540241241</v>
      </c>
      <c r="BJ98" s="83">
        <f t="shared" ca="1" si="65"/>
        <v>0.5008816540241241</v>
      </c>
      <c r="BK98" s="83">
        <f t="shared" ca="1" si="65"/>
        <v>0.5008816540241241</v>
      </c>
      <c r="BL98" s="83">
        <f t="shared" ca="1" si="65"/>
        <v>0.5008816540241241</v>
      </c>
      <c r="BM98" s="83">
        <f t="shared" ca="1" si="65"/>
        <v>0.5008816540241241</v>
      </c>
      <c r="BN98" s="83">
        <f t="shared" ca="1" si="65"/>
        <v>0.5008816540241241</v>
      </c>
      <c r="BO98" s="83">
        <f t="shared" ca="1" si="65"/>
        <v>0.5008816540241241</v>
      </c>
      <c r="BP98" s="83">
        <f t="shared" ca="1" si="65"/>
        <v>0.5008816540241241</v>
      </c>
      <c r="BQ98" s="83">
        <f t="shared" ca="1" si="65"/>
        <v>0.5008816540241241</v>
      </c>
      <c r="BR98" s="83">
        <f t="shared" ca="1" si="65"/>
        <v>0.5008816540241241</v>
      </c>
      <c r="BS98" s="83">
        <f t="shared" ca="1" si="65"/>
        <v>0.5008816540241241</v>
      </c>
      <c r="BT98" s="83">
        <f t="shared" ca="1" si="65"/>
        <v>0.5008816540241241</v>
      </c>
      <c r="BU98" s="83">
        <f t="shared" ca="1" si="65"/>
        <v>0.5008816540241241</v>
      </c>
      <c r="BV98" s="83">
        <f t="shared" ca="1" si="65"/>
        <v>0.5008816540241241</v>
      </c>
      <c r="BW98" s="83">
        <f t="shared" ca="1" si="65"/>
        <v>0.5008816540241241</v>
      </c>
      <c r="BX98" s="83">
        <f t="shared" ca="1" si="65"/>
        <v>0.5008816540241241</v>
      </c>
      <c r="BY98" s="83">
        <f t="shared" ca="1" si="65"/>
        <v>0.5008816540241241</v>
      </c>
      <c r="BZ98" s="83">
        <f t="shared" ca="1" si="65"/>
        <v>0.5008816540241241</v>
      </c>
      <c r="CA98" s="83">
        <f t="shared" ca="1" si="65"/>
        <v>0.5008816540241241</v>
      </c>
      <c r="CB98" s="83">
        <f t="shared" ca="1" si="65"/>
        <v>0.5008816540241241</v>
      </c>
      <c r="CC98" s="83">
        <f t="shared" ca="1" si="65"/>
        <v>0.5008816540241241</v>
      </c>
      <c r="CD98" s="83">
        <f t="shared" ca="1" si="65"/>
        <v>0.5008816540241241</v>
      </c>
      <c r="CE98" s="83">
        <f t="shared" ca="1" si="65"/>
        <v>0.5008816540241241</v>
      </c>
      <c r="CF98" s="83">
        <f t="shared" ca="1" si="65"/>
        <v>0.5008816540241241</v>
      </c>
      <c r="CG98" s="83">
        <f t="shared" ca="1" si="65"/>
        <v>0.5008816540241241</v>
      </c>
      <c r="CH98" s="83">
        <f t="shared" ca="1" si="65"/>
        <v>0.5008816540241241</v>
      </c>
    </row>
    <row r="99" spans="2:86" ht="13">
      <c r="B99" s="15" t="s">
        <v>295</v>
      </c>
      <c r="C99" s="13" t="s">
        <v>294</v>
      </c>
      <c r="D99" s="15" t="s">
        <v>238</v>
      </c>
      <c r="E99" s="29">
        <f t="shared" ca="1" si="61"/>
        <v>87213259.99999997</v>
      </c>
      <c r="F99" s="29"/>
      <c r="G99" s="29">
        <f t="shared" ref="G99:CH99" ca="1" si="66">-1*G31+G47</f>
        <v>-1444375</v>
      </c>
      <c r="H99" s="29">
        <f t="shared" ca="1" si="66"/>
        <v>-1344375</v>
      </c>
      <c r="I99" s="29">
        <f t="shared" ca="1" si="66"/>
        <v>-1344375</v>
      </c>
      <c r="J99" s="29">
        <f t="shared" ca="1" si="66"/>
        <v>-1344375</v>
      </c>
      <c r="K99" s="29">
        <f t="shared" ca="1" si="66"/>
        <v>-1344375</v>
      </c>
      <c r="L99" s="29">
        <f t="shared" ca="1" si="66"/>
        <v>-1344375</v>
      </c>
      <c r="M99" s="29">
        <f t="shared" ca="1" si="66"/>
        <v>-1344375</v>
      </c>
      <c r="N99" s="29">
        <f t="shared" ca="1" si="66"/>
        <v>-1344375</v>
      </c>
      <c r="O99" s="29">
        <f t="shared" ca="1" si="66"/>
        <v>-1344375</v>
      </c>
      <c r="P99" s="29">
        <f t="shared" ca="1" si="66"/>
        <v>-1344375</v>
      </c>
      <c r="Q99" s="29">
        <f t="shared" ca="1" si="66"/>
        <v>-1344375</v>
      </c>
      <c r="R99" s="29">
        <f t="shared" ca="1" si="66"/>
        <v>-1344375</v>
      </c>
      <c r="S99" s="29">
        <f t="shared" ca="1" si="66"/>
        <v>-372249.99999999953</v>
      </c>
      <c r="T99" s="29">
        <f t="shared" ca="1" si="66"/>
        <v>-372249.99999999953</v>
      </c>
      <c r="U99" s="29">
        <f t="shared" ca="1" si="66"/>
        <v>-372249.99999999953</v>
      </c>
      <c r="V99" s="29">
        <f t="shared" ca="1" si="66"/>
        <v>-372249.99999999953</v>
      </c>
      <c r="W99" s="29">
        <f t="shared" ca="1" si="66"/>
        <v>3345406.2500000009</v>
      </c>
      <c r="X99" s="29">
        <f t="shared" ca="1" si="66"/>
        <v>3345406.2500000009</v>
      </c>
      <c r="Y99" s="29">
        <f t="shared" ca="1" si="66"/>
        <v>2945950.5952380951</v>
      </c>
      <c r="Z99" s="29">
        <f t="shared" ca="1" si="66"/>
        <v>2915932.1428571437</v>
      </c>
      <c r="AA99" s="29">
        <f t="shared" ca="1" si="66"/>
        <v>2951646.4285714291</v>
      </c>
      <c r="AB99" s="29">
        <f t="shared" ca="1" si="66"/>
        <v>2951646.4285714291</v>
      </c>
      <c r="AC99" s="29">
        <f t="shared" ca="1" si="66"/>
        <v>2951646.4285714291</v>
      </c>
      <c r="AD99" s="29">
        <f t="shared" ca="1" si="66"/>
        <v>2951646.4285714291</v>
      </c>
      <c r="AE99" s="29">
        <f t="shared" ca="1" si="66"/>
        <v>6611317.3809523787</v>
      </c>
      <c r="AF99" s="29">
        <f t="shared" ca="1" si="66"/>
        <v>6611317.3809523787</v>
      </c>
      <c r="AG99" s="29">
        <f t="shared" ca="1" si="66"/>
        <v>6611317.3809523787</v>
      </c>
      <c r="AH99" s="29">
        <f t="shared" ca="1" si="66"/>
        <v>6611317.3809523787</v>
      </c>
      <c r="AI99" s="29">
        <f t="shared" ca="1" si="66"/>
        <v>5745426.1904761884</v>
      </c>
      <c r="AJ99" s="29">
        <f t="shared" ca="1" si="66"/>
        <v>5745426.1904761884</v>
      </c>
      <c r="AK99" s="29">
        <f t="shared" ca="1" si="66"/>
        <v>5745426.1904761884</v>
      </c>
      <c r="AL99" s="29">
        <f t="shared" ca="1" si="66"/>
        <v>5745426.1904761884</v>
      </c>
      <c r="AM99" s="29">
        <f t="shared" ca="1" si="66"/>
        <v>3526761.904761903</v>
      </c>
      <c r="AN99" s="29">
        <f t="shared" ca="1" si="66"/>
        <v>3526761.904761903</v>
      </c>
      <c r="AO99" s="29">
        <f t="shared" ca="1" si="66"/>
        <v>3526761.904761903</v>
      </c>
      <c r="AP99" s="29">
        <f t="shared" ca="1" si="66"/>
        <v>3526761.904761903</v>
      </c>
      <c r="AQ99" s="29">
        <f t="shared" ca="1" si="66"/>
        <v>4260364.2857142845</v>
      </c>
      <c r="AR99" s="29">
        <f t="shared" ca="1" si="66"/>
        <v>4260364.2857142845</v>
      </c>
      <c r="AS99" s="29">
        <f t="shared" ca="1" si="66"/>
        <v>4260364.2857142845</v>
      </c>
      <c r="AT99" s="29">
        <f t="shared" ca="1" si="66"/>
        <v>4260364.2857142845</v>
      </c>
      <c r="AU99" s="29">
        <f t="shared" ca="1" si="66"/>
        <v>0</v>
      </c>
      <c r="AV99" s="29">
        <f t="shared" ca="1" si="66"/>
        <v>0</v>
      </c>
      <c r="AW99" s="29">
        <f t="shared" ca="1" si="66"/>
        <v>0</v>
      </c>
      <c r="AX99" s="29">
        <f t="shared" ca="1" si="66"/>
        <v>0</v>
      </c>
      <c r="AY99" s="29">
        <f t="shared" ca="1" si="66"/>
        <v>0</v>
      </c>
      <c r="AZ99" s="29">
        <f t="shared" ca="1" si="66"/>
        <v>0</v>
      </c>
      <c r="BA99" s="29">
        <f t="shared" ca="1" si="66"/>
        <v>0</v>
      </c>
      <c r="BB99" s="29">
        <f t="shared" ca="1" si="66"/>
        <v>0</v>
      </c>
      <c r="BC99" s="29">
        <f t="shared" ca="1" si="66"/>
        <v>0</v>
      </c>
      <c r="BD99" s="29">
        <f t="shared" ca="1" si="66"/>
        <v>0</v>
      </c>
      <c r="BE99" s="29">
        <f t="shared" ca="1" si="66"/>
        <v>0</v>
      </c>
      <c r="BF99" s="29">
        <f t="shared" ca="1" si="66"/>
        <v>0</v>
      </c>
      <c r="BG99" s="29">
        <f t="shared" ca="1" si="66"/>
        <v>0</v>
      </c>
      <c r="BH99" s="29">
        <f t="shared" ca="1" si="66"/>
        <v>0</v>
      </c>
      <c r="BI99" s="29">
        <f t="shared" ca="1" si="66"/>
        <v>0</v>
      </c>
      <c r="BJ99" s="29">
        <f t="shared" ca="1" si="66"/>
        <v>0</v>
      </c>
      <c r="BK99" s="29">
        <f t="shared" ca="1" si="66"/>
        <v>0</v>
      </c>
      <c r="BL99" s="29">
        <f t="shared" ca="1" si="66"/>
        <v>0</v>
      </c>
      <c r="BM99" s="29">
        <f t="shared" ca="1" si="66"/>
        <v>0</v>
      </c>
      <c r="BN99" s="29">
        <f t="shared" ca="1" si="66"/>
        <v>0</v>
      </c>
      <c r="BO99" s="29">
        <f t="shared" ca="1" si="66"/>
        <v>0</v>
      </c>
      <c r="BP99" s="29">
        <f t="shared" ca="1" si="66"/>
        <v>0</v>
      </c>
      <c r="BQ99" s="29">
        <f t="shared" ca="1" si="66"/>
        <v>0</v>
      </c>
      <c r="BR99" s="29">
        <f t="shared" ca="1" si="66"/>
        <v>0</v>
      </c>
      <c r="BS99" s="29">
        <f t="shared" ca="1" si="66"/>
        <v>0</v>
      </c>
      <c r="BT99" s="29">
        <f t="shared" ca="1" si="66"/>
        <v>0</v>
      </c>
      <c r="BU99" s="29">
        <f t="shared" ca="1" si="66"/>
        <v>0</v>
      </c>
      <c r="BV99" s="29">
        <f t="shared" ca="1" si="66"/>
        <v>0</v>
      </c>
      <c r="BW99" s="29">
        <f t="shared" ca="1" si="66"/>
        <v>0</v>
      </c>
      <c r="BX99" s="29">
        <f t="shared" ca="1" si="66"/>
        <v>0</v>
      </c>
      <c r="BY99" s="29">
        <f t="shared" ca="1" si="66"/>
        <v>0</v>
      </c>
      <c r="BZ99" s="29">
        <f t="shared" ca="1" si="66"/>
        <v>0</v>
      </c>
      <c r="CA99" s="29">
        <f t="shared" ca="1" si="66"/>
        <v>0</v>
      </c>
      <c r="CB99" s="29">
        <f t="shared" ca="1" si="66"/>
        <v>0</v>
      </c>
      <c r="CC99" s="29">
        <f t="shared" ca="1" si="66"/>
        <v>0</v>
      </c>
      <c r="CD99" s="29">
        <f t="shared" ca="1" si="66"/>
        <v>0</v>
      </c>
      <c r="CE99" s="29">
        <f t="shared" ca="1" si="66"/>
        <v>0</v>
      </c>
      <c r="CF99" s="29">
        <f t="shared" ca="1" si="66"/>
        <v>0</v>
      </c>
      <c r="CG99" s="29">
        <f t="shared" ca="1" si="66"/>
        <v>0</v>
      </c>
      <c r="CH99" s="29">
        <f t="shared" ca="1" si="66"/>
        <v>0</v>
      </c>
    </row>
    <row r="100" spans="2:86" ht="13">
      <c r="B100" s="15" t="str">
        <f>"Cumulative "&amp;B99</f>
        <v>Cumulative Net (Called Capital) Distributions</v>
      </c>
      <c r="C100" s="13" t="s">
        <v>294</v>
      </c>
      <c r="D100" s="15" t="s">
        <v>247</v>
      </c>
      <c r="E100" s="29">
        <f t="shared" ca="1" si="61"/>
        <v>87213259.99999997</v>
      </c>
      <c r="F100" s="29"/>
      <c r="G100" s="29">
        <f t="shared" ref="G100:CH100" ca="1" si="67">F100+G99</f>
        <v>-1444375</v>
      </c>
      <c r="H100" s="29">
        <f t="shared" ca="1" si="67"/>
        <v>-2788750</v>
      </c>
      <c r="I100" s="29">
        <f t="shared" ca="1" si="67"/>
        <v>-4133125</v>
      </c>
      <c r="J100" s="29">
        <f t="shared" ca="1" si="67"/>
        <v>-5477500</v>
      </c>
      <c r="K100" s="29">
        <f t="shared" ca="1" si="67"/>
        <v>-6821875</v>
      </c>
      <c r="L100" s="29">
        <f t="shared" ca="1" si="67"/>
        <v>-8166250</v>
      </c>
      <c r="M100" s="29">
        <f t="shared" ca="1" si="67"/>
        <v>-9510625</v>
      </c>
      <c r="N100" s="29">
        <f t="shared" ca="1" si="67"/>
        <v>-10855000</v>
      </c>
      <c r="O100" s="29">
        <f t="shared" ca="1" si="67"/>
        <v>-12199375</v>
      </c>
      <c r="P100" s="29">
        <f t="shared" ca="1" si="67"/>
        <v>-13543750</v>
      </c>
      <c r="Q100" s="29">
        <f t="shared" ca="1" si="67"/>
        <v>-14888125</v>
      </c>
      <c r="R100" s="29">
        <f t="shared" ca="1" si="67"/>
        <v>-16232500</v>
      </c>
      <c r="S100" s="29">
        <f t="shared" ca="1" si="67"/>
        <v>-16604750</v>
      </c>
      <c r="T100" s="29">
        <f t="shared" ca="1" si="67"/>
        <v>-16977000</v>
      </c>
      <c r="U100" s="29">
        <f t="shared" ca="1" si="67"/>
        <v>-17349250</v>
      </c>
      <c r="V100" s="29">
        <f t="shared" ca="1" si="67"/>
        <v>-17721500</v>
      </c>
      <c r="W100" s="29">
        <f t="shared" ca="1" si="67"/>
        <v>-14376093.75</v>
      </c>
      <c r="X100" s="29">
        <f t="shared" ca="1" si="67"/>
        <v>-11030687.5</v>
      </c>
      <c r="Y100" s="29">
        <f t="shared" ca="1" si="67"/>
        <v>-8084736.9047619049</v>
      </c>
      <c r="Z100" s="29">
        <f t="shared" ca="1" si="67"/>
        <v>-5168804.7619047612</v>
      </c>
      <c r="AA100" s="29">
        <f t="shared" ca="1" si="67"/>
        <v>-2217158.3333333321</v>
      </c>
      <c r="AB100" s="29">
        <f t="shared" ca="1" si="67"/>
        <v>734488.09523809701</v>
      </c>
      <c r="AC100" s="29">
        <f t="shared" ca="1" si="67"/>
        <v>3686134.5238095261</v>
      </c>
      <c r="AD100" s="29">
        <f t="shared" ca="1" si="67"/>
        <v>6637780.9523809552</v>
      </c>
      <c r="AE100" s="29">
        <f t="shared" ca="1" si="67"/>
        <v>13249098.333333334</v>
      </c>
      <c r="AF100" s="29">
        <f t="shared" ca="1" si="67"/>
        <v>19860415.714285713</v>
      </c>
      <c r="AG100" s="29">
        <f t="shared" ca="1" si="67"/>
        <v>26471733.09523809</v>
      </c>
      <c r="AH100" s="29">
        <f t="shared" ca="1" si="67"/>
        <v>33083050.47619047</v>
      </c>
      <c r="AI100" s="29">
        <f t="shared" ca="1" si="67"/>
        <v>38828476.666666657</v>
      </c>
      <c r="AJ100" s="29">
        <f t="shared" ca="1" si="67"/>
        <v>44573902.857142843</v>
      </c>
      <c r="AK100" s="29">
        <f t="shared" ca="1" si="67"/>
        <v>50319329.04761903</v>
      </c>
      <c r="AL100" s="29">
        <f t="shared" ca="1" si="67"/>
        <v>56064755.238095216</v>
      </c>
      <c r="AM100" s="29">
        <f t="shared" ca="1" si="67"/>
        <v>59591517.142857119</v>
      </c>
      <c r="AN100" s="29">
        <f t="shared" ca="1" si="67"/>
        <v>63118279.047619022</v>
      </c>
      <c r="AO100" s="29">
        <f t="shared" ca="1" si="67"/>
        <v>66645040.952380925</v>
      </c>
      <c r="AP100" s="29">
        <f t="shared" ca="1" si="67"/>
        <v>70171802.857142836</v>
      </c>
      <c r="AQ100" s="29">
        <f t="shared" ca="1" si="67"/>
        <v>74432167.142857119</v>
      </c>
      <c r="AR100" s="29">
        <f t="shared" ca="1" si="67"/>
        <v>78692531.428571403</v>
      </c>
      <c r="AS100" s="29">
        <f t="shared" ca="1" si="67"/>
        <v>82952895.714285687</v>
      </c>
      <c r="AT100" s="29">
        <f t="shared" ca="1" si="67"/>
        <v>87213259.99999997</v>
      </c>
      <c r="AU100" s="29">
        <f t="shared" ca="1" si="67"/>
        <v>87213259.99999997</v>
      </c>
      <c r="AV100" s="29">
        <f t="shared" ca="1" si="67"/>
        <v>87213259.99999997</v>
      </c>
      <c r="AW100" s="29">
        <f t="shared" ca="1" si="67"/>
        <v>87213259.99999997</v>
      </c>
      <c r="AX100" s="29">
        <f t="shared" ca="1" si="67"/>
        <v>87213259.99999997</v>
      </c>
      <c r="AY100" s="29">
        <f t="shared" ca="1" si="67"/>
        <v>87213259.99999997</v>
      </c>
      <c r="AZ100" s="29">
        <f t="shared" ca="1" si="67"/>
        <v>87213259.99999997</v>
      </c>
      <c r="BA100" s="29">
        <f t="shared" ca="1" si="67"/>
        <v>87213259.99999997</v>
      </c>
      <c r="BB100" s="29">
        <f t="shared" ca="1" si="67"/>
        <v>87213259.99999997</v>
      </c>
      <c r="BC100" s="29">
        <f t="shared" ca="1" si="67"/>
        <v>87213259.99999997</v>
      </c>
      <c r="BD100" s="29">
        <f t="shared" ca="1" si="67"/>
        <v>87213259.99999997</v>
      </c>
      <c r="BE100" s="29">
        <f t="shared" ca="1" si="67"/>
        <v>87213259.99999997</v>
      </c>
      <c r="BF100" s="29">
        <f t="shared" ca="1" si="67"/>
        <v>87213259.99999997</v>
      </c>
      <c r="BG100" s="29">
        <f t="shared" ca="1" si="67"/>
        <v>87213259.99999997</v>
      </c>
      <c r="BH100" s="29">
        <f t="shared" ca="1" si="67"/>
        <v>87213259.99999997</v>
      </c>
      <c r="BI100" s="29">
        <f t="shared" ca="1" si="67"/>
        <v>87213259.99999997</v>
      </c>
      <c r="BJ100" s="29">
        <f t="shared" ca="1" si="67"/>
        <v>87213259.99999997</v>
      </c>
      <c r="BK100" s="29">
        <f t="shared" ca="1" si="67"/>
        <v>87213259.99999997</v>
      </c>
      <c r="BL100" s="29">
        <f t="shared" ca="1" si="67"/>
        <v>87213259.99999997</v>
      </c>
      <c r="BM100" s="29">
        <f t="shared" ca="1" si="67"/>
        <v>87213259.99999997</v>
      </c>
      <c r="BN100" s="29">
        <f t="shared" ca="1" si="67"/>
        <v>87213259.99999997</v>
      </c>
      <c r="BO100" s="29">
        <f t="shared" ca="1" si="67"/>
        <v>87213259.99999997</v>
      </c>
      <c r="BP100" s="29">
        <f t="shared" ca="1" si="67"/>
        <v>87213259.99999997</v>
      </c>
      <c r="BQ100" s="29">
        <f t="shared" ca="1" si="67"/>
        <v>87213259.99999997</v>
      </c>
      <c r="BR100" s="29">
        <f t="shared" ca="1" si="67"/>
        <v>87213259.99999997</v>
      </c>
      <c r="BS100" s="29">
        <f t="shared" ca="1" si="67"/>
        <v>87213259.99999997</v>
      </c>
      <c r="BT100" s="29">
        <f t="shared" ca="1" si="67"/>
        <v>87213259.99999997</v>
      </c>
      <c r="BU100" s="29">
        <f t="shared" ca="1" si="67"/>
        <v>87213259.99999997</v>
      </c>
      <c r="BV100" s="29">
        <f t="shared" ca="1" si="67"/>
        <v>87213259.99999997</v>
      </c>
      <c r="BW100" s="29">
        <f t="shared" ca="1" si="67"/>
        <v>87213259.99999997</v>
      </c>
      <c r="BX100" s="29">
        <f t="shared" ca="1" si="67"/>
        <v>87213259.99999997</v>
      </c>
      <c r="BY100" s="29">
        <f t="shared" ca="1" si="67"/>
        <v>87213259.99999997</v>
      </c>
      <c r="BZ100" s="29">
        <f t="shared" ca="1" si="67"/>
        <v>87213259.99999997</v>
      </c>
      <c r="CA100" s="29">
        <f t="shared" ca="1" si="67"/>
        <v>87213259.99999997</v>
      </c>
      <c r="CB100" s="29">
        <f t="shared" ca="1" si="67"/>
        <v>87213259.99999997</v>
      </c>
      <c r="CC100" s="29">
        <f t="shared" ca="1" si="67"/>
        <v>87213259.99999997</v>
      </c>
      <c r="CD100" s="29">
        <f t="shared" ca="1" si="67"/>
        <v>87213259.99999997</v>
      </c>
      <c r="CE100" s="29">
        <f t="shared" ca="1" si="67"/>
        <v>87213259.99999997</v>
      </c>
      <c r="CF100" s="29">
        <f t="shared" ca="1" si="67"/>
        <v>87213259.99999997</v>
      </c>
      <c r="CG100" s="29">
        <f t="shared" ca="1" si="67"/>
        <v>87213259.99999997</v>
      </c>
      <c r="CH100" s="29">
        <f t="shared" ca="1" si="67"/>
        <v>87213259.99999997</v>
      </c>
    </row>
    <row r="101" spans="2:86" ht="13">
      <c r="B101" s="15" t="s">
        <v>224</v>
      </c>
      <c r="C101" s="13" t="s">
        <v>294</v>
      </c>
      <c r="D101" s="15" t="s">
        <v>247</v>
      </c>
      <c r="E101" s="81">
        <f t="shared" ca="1" si="61"/>
        <v>4.4885304000000001</v>
      </c>
      <c r="F101" s="29"/>
      <c r="G101" s="81">
        <f t="shared" ref="G101:CH101" ca="1" si="68">IFERROR(G76/G60,0)</f>
        <v>0</v>
      </c>
      <c r="H101" s="81">
        <f t="shared" ca="1" si="68"/>
        <v>0</v>
      </c>
      <c r="I101" s="81">
        <f t="shared" ca="1" si="68"/>
        <v>0</v>
      </c>
      <c r="J101" s="81">
        <f t="shared" ca="1" si="68"/>
        <v>0</v>
      </c>
      <c r="K101" s="81">
        <f t="shared" ca="1" si="68"/>
        <v>0</v>
      </c>
      <c r="L101" s="81">
        <f t="shared" ca="1" si="68"/>
        <v>0</v>
      </c>
      <c r="M101" s="81">
        <f t="shared" ca="1" si="68"/>
        <v>0</v>
      </c>
      <c r="N101" s="81">
        <f t="shared" ca="1" si="68"/>
        <v>0</v>
      </c>
      <c r="O101" s="81">
        <f t="shared" ca="1" si="68"/>
        <v>0</v>
      </c>
      <c r="P101" s="81">
        <f t="shared" ca="1" si="68"/>
        <v>0</v>
      </c>
      <c r="Q101" s="81">
        <f t="shared" ca="1" si="68"/>
        <v>0</v>
      </c>
      <c r="R101" s="81">
        <f t="shared" ca="1" si="68"/>
        <v>0</v>
      </c>
      <c r="S101" s="81">
        <f t="shared" ca="1" si="68"/>
        <v>5.5307044056466262E-2</v>
      </c>
      <c r="T101" s="81">
        <f t="shared" ca="1" si="68"/>
        <v>0.10275483913589223</v>
      </c>
      <c r="U101" s="81">
        <f t="shared" ca="1" si="68"/>
        <v>0.14390747879722443</v>
      </c>
      <c r="V101" s="81">
        <f t="shared" ca="1" si="68"/>
        <v>0.17993984266543275</v>
      </c>
      <c r="W101" s="81">
        <f t="shared" ca="1" si="68"/>
        <v>0.33906815700247123</v>
      </c>
      <c r="X101" s="81">
        <f t="shared" ca="1" si="68"/>
        <v>0.49614308553157493</v>
      </c>
      <c r="Y101" s="81">
        <f t="shared" ca="1" si="68"/>
        <v>0.63307485540310204</v>
      </c>
      <c r="Z101" s="81">
        <f t="shared" ca="1" si="68"/>
        <v>0.76690846620497144</v>
      </c>
      <c r="AA101" s="81">
        <f t="shared" ca="1" si="68"/>
        <v>0.90064825706230534</v>
      </c>
      <c r="AB101" s="81">
        <f t="shared" ca="1" si="68"/>
        <v>1.03270569276358</v>
      </c>
      <c r="AC101" s="81">
        <f t="shared" ca="1" si="68"/>
        <v>1.1631123192127675</v>
      </c>
      <c r="AD101" s="81">
        <f t="shared" ca="1" si="68"/>
        <v>1.29189889852159</v>
      </c>
      <c r="AE101" s="81">
        <f t="shared" ca="1" si="68"/>
        <v>1.5790373486297005</v>
      </c>
      <c r="AF101" s="81">
        <f t="shared" ca="1" si="68"/>
        <v>1.8626524362812777</v>
      </c>
      <c r="AG101" s="81">
        <f t="shared" ca="1" si="68"/>
        <v>2.1428086167066254</v>
      </c>
      <c r="AH101" s="81">
        <f t="shared" ca="1" si="68"/>
        <v>2.4195687825012007</v>
      </c>
      <c r="AI101" s="81">
        <f t="shared" ca="1" si="68"/>
        <v>2.6560634074390004</v>
      </c>
      <c r="AJ101" s="81">
        <f t="shared" ca="1" si="68"/>
        <v>2.8897256113256109</v>
      </c>
      <c r="AK101" s="81">
        <f t="shared" ca="1" si="68"/>
        <v>3.1206059757728091</v>
      </c>
      <c r="AL101" s="81">
        <f t="shared" ca="1" si="68"/>
        <v>3.3487538851317655</v>
      </c>
      <c r="AM101" s="81">
        <f t="shared" ca="1" si="68"/>
        <v>3.4818165294541989</v>
      </c>
      <c r="AN101" s="81">
        <f t="shared" ca="1" si="68"/>
        <v>3.6133228049940604</v>
      </c>
      <c r="AO101" s="81">
        <f t="shared" ca="1" si="68"/>
        <v>3.7432998591152438</v>
      </c>
      <c r="AP101" s="81">
        <f t="shared" ca="1" si="68"/>
        <v>3.8717742114648197</v>
      </c>
      <c r="AQ101" s="81">
        <f t="shared" ca="1" si="68"/>
        <v>4.0286218256592097</v>
      </c>
      <c r="AR101" s="81">
        <f t="shared" ca="1" si="68"/>
        <v>4.1836768050398074</v>
      </c>
      <c r="AS101" s="81">
        <f t="shared" ca="1" si="68"/>
        <v>4.3369697074183424</v>
      </c>
      <c r="AT101" s="81">
        <f t="shared" ca="1" si="68"/>
        <v>4.4885304000000001</v>
      </c>
      <c r="AU101" s="81">
        <f t="shared" ca="1" si="68"/>
        <v>4.4885304000000001</v>
      </c>
      <c r="AV101" s="81">
        <f t="shared" ca="1" si="68"/>
        <v>4.4885304000000001</v>
      </c>
      <c r="AW101" s="81">
        <f t="shared" ca="1" si="68"/>
        <v>4.4885304000000001</v>
      </c>
      <c r="AX101" s="81">
        <f t="shared" ca="1" si="68"/>
        <v>4.4885304000000001</v>
      </c>
      <c r="AY101" s="81">
        <f t="shared" ca="1" si="68"/>
        <v>4.4885304000000001</v>
      </c>
      <c r="AZ101" s="81">
        <f t="shared" ca="1" si="68"/>
        <v>4.4885304000000001</v>
      </c>
      <c r="BA101" s="81">
        <f t="shared" ca="1" si="68"/>
        <v>4.4885304000000001</v>
      </c>
      <c r="BB101" s="81">
        <f t="shared" ca="1" si="68"/>
        <v>4.4885304000000001</v>
      </c>
      <c r="BC101" s="81">
        <f t="shared" ca="1" si="68"/>
        <v>4.4885304000000001</v>
      </c>
      <c r="BD101" s="81">
        <f t="shared" ca="1" si="68"/>
        <v>4.4885304000000001</v>
      </c>
      <c r="BE101" s="81">
        <f t="shared" ca="1" si="68"/>
        <v>4.4885304000000001</v>
      </c>
      <c r="BF101" s="81">
        <f t="shared" ca="1" si="68"/>
        <v>4.4885304000000001</v>
      </c>
      <c r="BG101" s="81">
        <f t="shared" ca="1" si="68"/>
        <v>4.4885304000000001</v>
      </c>
      <c r="BH101" s="81">
        <f t="shared" ca="1" si="68"/>
        <v>4.4885304000000001</v>
      </c>
      <c r="BI101" s="81">
        <f t="shared" ca="1" si="68"/>
        <v>4.4885304000000001</v>
      </c>
      <c r="BJ101" s="81">
        <f t="shared" ca="1" si="68"/>
        <v>4.4885304000000001</v>
      </c>
      <c r="BK101" s="81">
        <f t="shared" ca="1" si="68"/>
        <v>4.4885304000000001</v>
      </c>
      <c r="BL101" s="81">
        <f t="shared" ca="1" si="68"/>
        <v>4.4885304000000001</v>
      </c>
      <c r="BM101" s="81">
        <f t="shared" ca="1" si="68"/>
        <v>4.4885304000000001</v>
      </c>
      <c r="BN101" s="81">
        <f t="shared" ca="1" si="68"/>
        <v>4.4885304000000001</v>
      </c>
      <c r="BO101" s="81">
        <f t="shared" ca="1" si="68"/>
        <v>4.4885304000000001</v>
      </c>
      <c r="BP101" s="81">
        <f t="shared" ca="1" si="68"/>
        <v>4.4885304000000001</v>
      </c>
      <c r="BQ101" s="81">
        <f t="shared" ca="1" si="68"/>
        <v>4.4885304000000001</v>
      </c>
      <c r="BR101" s="81">
        <f t="shared" ca="1" si="68"/>
        <v>4.4885304000000001</v>
      </c>
      <c r="BS101" s="81">
        <f t="shared" ca="1" si="68"/>
        <v>4.4885304000000001</v>
      </c>
      <c r="BT101" s="81">
        <f t="shared" ca="1" si="68"/>
        <v>4.4885304000000001</v>
      </c>
      <c r="BU101" s="81">
        <f t="shared" ca="1" si="68"/>
        <v>4.4885304000000001</v>
      </c>
      <c r="BV101" s="81">
        <f t="shared" ca="1" si="68"/>
        <v>4.4885304000000001</v>
      </c>
      <c r="BW101" s="81">
        <f t="shared" ca="1" si="68"/>
        <v>4.4885304000000001</v>
      </c>
      <c r="BX101" s="81">
        <f t="shared" ca="1" si="68"/>
        <v>4.4885304000000001</v>
      </c>
      <c r="BY101" s="81">
        <f t="shared" ca="1" si="68"/>
        <v>4.4885304000000001</v>
      </c>
      <c r="BZ101" s="81">
        <f t="shared" ca="1" si="68"/>
        <v>4.4885304000000001</v>
      </c>
      <c r="CA101" s="81">
        <f t="shared" ca="1" si="68"/>
        <v>4.4885304000000001</v>
      </c>
      <c r="CB101" s="81">
        <f t="shared" ca="1" si="68"/>
        <v>4.4885304000000001</v>
      </c>
      <c r="CC101" s="81">
        <f t="shared" ca="1" si="68"/>
        <v>4.4885304000000001</v>
      </c>
      <c r="CD101" s="81">
        <f t="shared" ca="1" si="68"/>
        <v>4.4885304000000001</v>
      </c>
      <c r="CE101" s="81">
        <f t="shared" ca="1" si="68"/>
        <v>4.4885304000000001</v>
      </c>
      <c r="CF101" s="81">
        <f t="shared" ca="1" si="68"/>
        <v>4.4885304000000001</v>
      </c>
      <c r="CG101" s="81">
        <f t="shared" ca="1" si="68"/>
        <v>4.4885304000000001</v>
      </c>
      <c r="CH101" s="81">
        <f t="shared" ca="1" si="68"/>
        <v>4.4885304000000001</v>
      </c>
    </row>
    <row r="102" spans="2:86" ht="13">
      <c r="B102" s="15" t="s">
        <v>228</v>
      </c>
      <c r="C102" s="13" t="s">
        <v>294</v>
      </c>
      <c r="D102" s="15" t="s">
        <v>247</v>
      </c>
      <c r="E102" s="77">
        <f t="shared" ca="1" si="61"/>
        <v>0.4071087181568146</v>
      </c>
      <c r="F102" s="29"/>
      <c r="G102" s="83" t="str">
        <f t="shared" ref="G102:CH102" ca="1" si="69">IFERROR(XIRR(INDIRECT(""&amp;ADDRESS(ROW($D99),COLUMN($G99)+MATCH(INDEX($G99:$CH99,MATCH(TRUE,INDEX($G99:$CH99&lt;&gt;0,),0)),$G99:$CH99,0)-1,4)&amp;":"&amp;ADDRESS(ROW($G99),COLUMN($G99)+MATCH(F$5,$G$5:$CH$5,1),4)),INDIRECT(""&amp;ADDRESS(ROW(F$5),COLUMN($G99)+MATCH(INDEX($G99:$CH99,MATCH(TRUE,INDEX($G99:$CH99&lt;&gt;0,),0)),$G99:$CH99,0)-1,4) &amp; ":" &amp; ADDRESS(ROW($G$5),COLUMN($G99)+MATCH(F$5,$G$5:$CH$5,1),4))),"na")</f>
        <v>na</v>
      </c>
      <c r="H102" s="83" t="str">
        <f t="shared" ca="1" si="69"/>
        <v>na</v>
      </c>
      <c r="I102" s="83" t="str">
        <f t="shared" ca="1" si="69"/>
        <v>na</v>
      </c>
      <c r="J102" s="83" t="str">
        <f t="shared" ca="1" si="69"/>
        <v>na</v>
      </c>
      <c r="K102" s="83" t="str">
        <f t="shared" ca="1" si="69"/>
        <v>na</v>
      </c>
      <c r="L102" s="83" t="str">
        <f t="shared" ca="1" si="69"/>
        <v>na</v>
      </c>
      <c r="M102" s="83" t="str">
        <f t="shared" ca="1" si="69"/>
        <v>na</v>
      </c>
      <c r="N102" s="83" t="str">
        <f t="shared" ca="1" si="69"/>
        <v>na</v>
      </c>
      <c r="O102" s="83" t="str">
        <f t="shared" ca="1" si="69"/>
        <v>na</v>
      </c>
      <c r="P102" s="83" t="str">
        <f t="shared" ca="1" si="69"/>
        <v>na</v>
      </c>
      <c r="Q102" s="83" t="str">
        <f t="shared" ca="1" si="69"/>
        <v>na</v>
      </c>
      <c r="R102" s="83" t="str">
        <f t="shared" ca="1" si="69"/>
        <v>na</v>
      </c>
      <c r="S102" s="83" t="str">
        <f t="shared" ca="1" si="69"/>
        <v>na</v>
      </c>
      <c r="T102" s="83" t="str">
        <f t="shared" ca="1" si="69"/>
        <v>na</v>
      </c>
      <c r="U102" s="83" t="str">
        <f t="shared" ca="1" si="69"/>
        <v>na</v>
      </c>
      <c r="V102" s="83" t="str">
        <f t="shared" ca="1" si="69"/>
        <v>na</v>
      </c>
      <c r="W102" s="83">
        <f t="shared" ca="1" si="69"/>
        <v>2.9802322387695314E-9</v>
      </c>
      <c r="X102" s="83">
        <f t="shared" ca="1" si="69"/>
        <v>2.9802322387695314E-9</v>
      </c>
      <c r="Y102" s="83">
        <f t="shared" ca="1" si="69"/>
        <v>2.9802322387695314E-9</v>
      </c>
      <c r="Z102" s="83">
        <f t="shared" ca="1" si="69"/>
        <v>2.9802322387695314E-9</v>
      </c>
      <c r="AA102" s="83">
        <f t="shared" ca="1" si="69"/>
        <v>-4.4632918015122425E-2</v>
      </c>
      <c r="AB102" s="83">
        <f t="shared" ca="1" si="69"/>
        <v>1.3291075825691223E-2</v>
      </c>
      <c r="AC102" s="83">
        <f t="shared" ca="1" si="69"/>
        <v>6.0527095198631281E-2</v>
      </c>
      <c r="AD102" s="83">
        <f t="shared" ca="1" si="69"/>
        <v>9.9645894765853865E-2</v>
      </c>
      <c r="AE102" s="83">
        <f t="shared" ca="1" si="69"/>
        <v>0.16760854125022889</v>
      </c>
      <c r="AF102" s="83">
        <f t="shared" ca="1" si="69"/>
        <v>0.21843519806861875</v>
      </c>
      <c r="AG102" s="83">
        <f t="shared" ca="1" si="69"/>
        <v>0.25817963480949402</v>
      </c>
      <c r="AH102" s="83">
        <f t="shared" ca="1" si="69"/>
        <v>0.29010880589485177</v>
      </c>
      <c r="AI102" s="83">
        <f t="shared" ca="1" si="69"/>
        <v>0.31300747990608224</v>
      </c>
      <c r="AJ102" s="83">
        <f t="shared" ca="1" si="69"/>
        <v>0.33231789469718942</v>
      </c>
      <c r="AK102" s="83">
        <f t="shared" ca="1" si="69"/>
        <v>0.34872514605522154</v>
      </c>
      <c r="AL102" s="83">
        <f t="shared" ca="1" si="69"/>
        <v>0.36275081038475043</v>
      </c>
      <c r="AM102" s="83">
        <f t="shared" ca="1" si="69"/>
        <v>0.37025203108787541</v>
      </c>
      <c r="AN102" s="83">
        <f t="shared" ca="1" si="69"/>
        <v>0.37690942883491507</v>
      </c>
      <c r="AO102" s="83">
        <f t="shared" ca="1" si="69"/>
        <v>0.38282267451286311</v>
      </c>
      <c r="AP102" s="83">
        <f t="shared" ca="1" si="69"/>
        <v>0.38807883858680736</v>
      </c>
      <c r="AQ102" s="83">
        <f t="shared" ca="1" si="69"/>
        <v>0.39371295571327214</v>
      </c>
      <c r="AR102" s="83">
        <f t="shared" ca="1" si="69"/>
        <v>0.39871369004249568</v>
      </c>
      <c r="AS102" s="83">
        <f t="shared" ca="1" si="69"/>
        <v>0.40315701365470891</v>
      </c>
      <c r="AT102" s="83">
        <f t="shared" ca="1" si="69"/>
        <v>0.4071087181568146</v>
      </c>
      <c r="AU102" s="83">
        <f t="shared" ca="1" si="69"/>
        <v>0.4071087181568146</v>
      </c>
      <c r="AV102" s="83">
        <f t="shared" ca="1" si="69"/>
        <v>0.4071087181568146</v>
      </c>
      <c r="AW102" s="83">
        <f t="shared" ca="1" si="69"/>
        <v>0.4071087181568146</v>
      </c>
      <c r="AX102" s="83">
        <f t="shared" ca="1" si="69"/>
        <v>0.4071087181568146</v>
      </c>
      <c r="AY102" s="83">
        <f t="shared" ca="1" si="69"/>
        <v>0.4071087181568146</v>
      </c>
      <c r="AZ102" s="83">
        <f t="shared" ca="1" si="69"/>
        <v>0.4071087181568146</v>
      </c>
      <c r="BA102" s="83">
        <f t="shared" ca="1" si="69"/>
        <v>0.4071087181568146</v>
      </c>
      <c r="BB102" s="83">
        <f t="shared" ca="1" si="69"/>
        <v>0.4071087181568146</v>
      </c>
      <c r="BC102" s="83">
        <f t="shared" ca="1" si="69"/>
        <v>0.4071087181568146</v>
      </c>
      <c r="BD102" s="83">
        <f t="shared" ca="1" si="69"/>
        <v>0.4071087181568146</v>
      </c>
      <c r="BE102" s="83">
        <f t="shared" ca="1" si="69"/>
        <v>0.4071087181568146</v>
      </c>
      <c r="BF102" s="83">
        <f t="shared" ca="1" si="69"/>
        <v>0.4071087181568146</v>
      </c>
      <c r="BG102" s="83">
        <f t="shared" ca="1" si="69"/>
        <v>0.4071087181568146</v>
      </c>
      <c r="BH102" s="83">
        <f t="shared" ca="1" si="69"/>
        <v>0.4071087181568146</v>
      </c>
      <c r="BI102" s="83">
        <f t="shared" ca="1" si="69"/>
        <v>0.4071087181568146</v>
      </c>
      <c r="BJ102" s="83">
        <f t="shared" ca="1" si="69"/>
        <v>0.4071087181568146</v>
      </c>
      <c r="BK102" s="83">
        <f t="shared" ca="1" si="69"/>
        <v>0.4071087181568146</v>
      </c>
      <c r="BL102" s="83">
        <f t="shared" ca="1" si="69"/>
        <v>0.4071087181568146</v>
      </c>
      <c r="BM102" s="83">
        <f t="shared" ca="1" si="69"/>
        <v>0.4071087181568146</v>
      </c>
      <c r="BN102" s="83">
        <f t="shared" ca="1" si="69"/>
        <v>0.4071087181568146</v>
      </c>
      <c r="BO102" s="83">
        <f t="shared" ca="1" si="69"/>
        <v>0.4071087181568146</v>
      </c>
      <c r="BP102" s="83">
        <f t="shared" ca="1" si="69"/>
        <v>0.4071087181568146</v>
      </c>
      <c r="BQ102" s="83">
        <f t="shared" ca="1" si="69"/>
        <v>0.4071087181568146</v>
      </c>
      <c r="BR102" s="83">
        <f t="shared" ca="1" si="69"/>
        <v>0.4071087181568146</v>
      </c>
      <c r="BS102" s="83">
        <f t="shared" ca="1" si="69"/>
        <v>0.4071087181568146</v>
      </c>
      <c r="BT102" s="83">
        <f t="shared" ca="1" si="69"/>
        <v>0.4071087181568146</v>
      </c>
      <c r="BU102" s="83">
        <f t="shared" ca="1" si="69"/>
        <v>0.4071087181568146</v>
      </c>
      <c r="BV102" s="83">
        <f t="shared" ca="1" si="69"/>
        <v>0.4071087181568146</v>
      </c>
      <c r="BW102" s="83">
        <f t="shared" ca="1" si="69"/>
        <v>0.4071087181568146</v>
      </c>
      <c r="BX102" s="83">
        <f t="shared" ca="1" si="69"/>
        <v>0.4071087181568146</v>
      </c>
      <c r="BY102" s="83">
        <f t="shared" ca="1" si="69"/>
        <v>0.4071087181568146</v>
      </c>
      <c r="BZ102" s="83">
        <f t="shared" ca="1" si="69"/>
        <v>0.4071087181568146</v>
      </c>
      <c r="CA102" s="83">
        <f t="shared" ca="1" si="69"/>
        <v>0.4071087181568146</v>
      </c>
      <c r="CB102" s="83">
        <f t="shared" ca="1" si="69"/>
        <v>0.4071087181568146</v>
      </c>
      <c r="CC102" s="83">
        <f t="shared" ca="1" si="69"/>
        <v>0.4071087181568146</v>
      </c>
      <c r="CD102" s="83">
        <f t="shared" ca="1" si="69"/>
        <v>0.4071087181568146</v>
      </c>
      <c r="CE102" s="83">
        <f t="shared" ca="1" si="69"/>
        <v>0.4071087181568146</v>
      </c>
      <c r="CF102" s="83">
        <f t="shared" ca="1" si="69"/>
        <v>0.4071087181568146</v>
      </c>
      <c r="CG102" s="83">
        <f t="shared" ca="1" si="69"/>
        <v>0.4071087181568146</v>
      </c>
      <c r="CH102" s="83">
        <f t="shared" ca="1" si="69"/>
        <v>0.4071087181568146</v>
      </c>
    </row>
    <row r="103" spans="2:86" ht="13" collapsed="1">
      <c r="B103" s="15" t="s">
        <v>296</v>
      </c>
      <c r="C103" s="13" t="s">
        <v>297</v>
      </c>
      <c r="D103" s="15" t="s">
        <v>247</v>
      </c>
      <c r="E103" s="77">
        <f t="shared" ca="1" si="61"/>
        <v>0.40745330807232882</v>
      </c>
      <c r="F103" s="29"/>
      <c r="G103" s="77">
        <f t="shared" ref="G103:CH103" ca="1" si="70">INDEX($C104:$C183,G4)</f>
        <v>0</v>
      </c>
      <c r="H103" s="77">
        <f t="shared" ca="1" si="70"/>
        <v>-0.70787163127882269</v>
      </c>
      <c r="I103" s="77">
        <f t="shared" ca="1" si="70"/>
        <v>-0.42563575860668124</v>
      </c>
      <c r="J103" s="77">
        <f t="shared" ca="1" si="70"/>
        <v>-0.29657944132958192</v>
      </c>
      <c r="K103" s="77">
        <f t="shared" ca="1" si="70"/>
        <v>-0.22594110408197832</v>
      </c>
      <c r="L103" s="77">
        <f t="shared" ca="1" si="70"/>
        <v>-0.18194488047271207</v>
      </c>
      <c r="M103" s="77">
        <f t="shared" ca="1" si="70"/>
        <v>-0.15207267750779541</v>
      </c>
      <c r="N103" s="77">
        <f t="shared" ca="1" si="70"/>
        <v>-0.13052386610076128</v>
      </c>
      <c r="O103" s="77">
        <f t="shared" ca="1" si="70"/>
        <v>-8.6056578771624426E-2</v>
      </c>
      <c r="P103" s="77">
        <f t="shared" ca="1" si="70"/>
        <v>-5.2724747805805716E-2</v>
      </c>
      <c r="Q103" s="77">
        <f t="shared" ca="1" si="70"/>
        <v>-2.7118992588905377E-2</v>
      </c>
      <c r="R103" s="77">
        <f t="shared" ca="1" si="70"/>
        <v>-7.0423321816268647E-3</v>
      </c>
      <c r="S103" s="77">
        <f t="shared" ca="1" si="70"/>
        <v>1.7224989539555313E-2</v>
      </c>
      <c r="T103" s="77">
        <f t="shared" ca="1" si="70"/>
        <v>3.6048367628338518E-2</v>
      </c>
      <c r="U103" s="77">
        <f t="shared" ca="1" si="70"/>
        <v>5.1118591888416498E-2</v>
      </c>
      <c r="V103" s="77">
        <f t="shared" ca="1" si="70"/>
        <v>6.3459095591571701E-2</v>
      </c>
      <c r="W103" s="77">
        <f t="shared" ca="1" si="70"/>
        <v>0.10665017868999183</v>
      </c>
      <c r="X103" s="77">
        <f t="shared" ca="1" si="70"/>
        <v>0.13797053884022348</v>
      </c>
      <c r="Y103" s="77">
        <f t="shared" ca="1" si="70"/>
        <v>0.15615372747120482</v>
      </c>
      <c r="Z103" s="77">
        <f t="shared" ca="1" si="70"/>
        <v>0.16991391004578849</v>
      </c>
      <c r="AA103" s="77">
        <f t="shared" ca="1" si="70"/>
        <v>0.17954122889526047</v>
      </c>
      <c r="AB103" s="77">
        <f t="shared" ca="1" si="70"/>
        <v>0.18718185492331019</v>
      </c>
      <c r="AC103" s="77">
        <f t="shared" ca="1" si="70"/>
        <v>0.19334044562511687</v>
      </c>
      <c r="AD103" s="77">
        <f t="shared" ca="1" si="70"/>
        <v>0.19838065116405579</v>
      </c>
      <c r="AE103" s="77">
        <f t="shared" ca="1" si="70"/>
        <v>0.23114629463369041</v>
      </c>
      <c r="AF103" s="77">
        <f t="shared" ca="1" si="70"/>
        <v>0.25831096433443812</v>
      </c>
      <c r="AG103" s="77">
        <f t="shared" ca="1" si="70"/>
        <v>0.28129861278710089</v>
      </c>
      <c r="AH103" s="77">
        <f t="shared" ca="1" si="70"/>
        <v>0.30105025637301153</v>
      </c>
      <c r="AI103" s="77">
        <f t="shared" ca="1" si="70"/>
        <v>0.31909991995355202</v>
      </c>
      <c r="AJ103" s="77">
        <f t="shared" ca="1" si="70"/>
        <v>0.33469155837171716</v>
      </c>
      <c r="AK103" s="77">
        <f t="shared" ca="1" si="70"/>
        <v>0.34825189814676261</v>
      </c>
      <c r="AL103" s="77">
        <f t="shared" ca="1" si="70"/>
        <v>0.36011435075878984</v>
      </c>
      <c r="AM103" s="77">
        <f t="shared" ca="1" si="70"/>
        <v>0.36713954665496806</v>
      </c>
      <c r="AN103" s="77">
        <f t="shared" ca="1" si="70"/>
        <v>0.37342901618140312</v>
      </c>
      <c r="AO103" s="77">
        <f t="shared" ca="1" si="70"/>
        <v>0.37906972433619557</v>
      </c>
      <c r="AP103" s="77">
        <f t="shared" ca="1" si="70"/>
        <v>0.38413724796527338</v>
      </c>
      <c r="AQ103" s="77">
        <f t="shared" ca="1" si="70"/>
        <v>0.38954837620774918</v>
      </c>
      <c r="AR103" s="77">
        <f t="shared" ca="1" si="70"/>
        <v>0.3943992303423367</v>
      </c>
      <c r="AS103" s="77">
        <f t="shared" ca="1" si="70"/>
        <v>0.39875652810689255</v>
      </c>
      <c r="AT103" s="77">
        <f t="shared" ca="1" si="70"/>
        <v>0.40745330807232882</v>
      </c>
      <c r="AU103" s="77">
        <f t="shared" ca="1" si="70"/>
        <v>0.40745330807232882</v>
      </c>
      <c r="AV103" s="77">
        <f t="shared" ca="1" si="70"/>
        <v>0.40745330807232882</v>
      </c>
      <c r="AW103" s="77">
        <f t="shared" ca="1" si="70"/>
        <v>0.40745330807232882</v>
      </c>
      <c r="AX103" s="77">
        <f t="shared" ca="1" si="70"/>
        <v>0.40745330807232882</v>
      </c>
      <c r="AY103" s="77">
        <f t="shared" ca="1" si="70"/>
        <v>0.40745330807232882</v>
      </c>
      <c r="AZ103" s="77">
        <f t="shared" ca="1" si="70"/>
        <v>0.40745330807232882</v>
      </c>
      <c r="BA103" s="77">
        <f t="shared" ca="1" si="70"/>
        <v>0.40745330807232882</v>
      </c>
      <c r="BB103" s="77">
        <f t="shared" ca="1" si="70"/>
        <v>0.40745330807232882</v>
      </c>
      <c r="BC103" s="77">
        <f t="shared" ca="1" si="70"/>
        <v>0.40745330807232882</v>
      </c>
      <c r="BD103" s="77">
        <f t="shared" ca="1" si="70"/>
        <v>0.40745330807232882</v>
      </c>
      <c r="BE103" s="77">
        <f t="shared" ca="1" si="70"/>
        <v>0.40745330807232882</v>
      </c>
      <c r="BF103" s="77">
        <f t="shared" ca="1" si="70"/>
        <v>0.40745330807232882</v>
      </c>
      <c r="BG103" s="77">
        <f t="shared" ca="1" si="70"/>
        <v>0.40745330807232882</v>
      </c>
      <c r="BH103" s="77">
        <f t="shared" ca="1" si="70"/>
        <v>0.40745330807232882</v>
      </c>
      <c r="BI103" s="77">
        <f t="shared" ca="1" si="70"/>
        <v>0.40745330807232882</v>
      </c>
      <c r="BJ103" s="77">
        <f t="shared" ca="1" si="70"/>
        <v>0.40745330807232882</v>
      </c>
      <c r="BK103" s="77">
        <f t="shared" ca="1" si="70"/>
        <v>0.40745330807232882</v>
      </c>
      <c r="BL103" s="77">
        <f t="shared" ca="1" si="70"/>
        <v>0.40745330807232882</v>
      </c>
      <c r="BM103" s="77">
        <f t="shared" ca="1" si="70"/>
        <v>0.40745330807232882</v>
      </c>
      <c r="BN103" s="77">
        <f t="shared" ca="1" si="70"/>
        <v>0.40745330807232882</v>
      </c>
      <c r="BO103" s="77">
        <f t="shared" ca="1" si="70"/>
        <v>0.40745330807232882</v>
      </c>
      <c r="BP103" s="77">
        <f t="shared" ca="1" si="70"/>
        <v>0.40745330807232882</v>
      </c>
      <c r="BQ103" s="77">
        <f t="shared" ca="1" si="70"/>
        <v>0.40745330807232882</v>
      </c>
      <c r="BR103" s="77">
        <f t="shared" ca="1" si="70"/>
        <v>0.40745330807232882</v>
      </c>
      <c r="BS103" s="77">
        <f t="shared" ca="1" si="70"/>
        <v>0.40745330807232882</v>
      </c>
      <c r="BT103" s="77">
        <f t="shared" ca="1" si="70"/>
        <v>0.40745330807232882</v>
      </c>
      <c r="BU103" s="77">
        <f t="shared" ca="1" si="70"/>
        <v>0.40745330807232882</v>
      </c>
      <c r="BV103" s="77">
        <f t="shared" ca="1" si="70"/>
        <v>0.40745330807232882</v>
      </c>
      <c r="BW103" s="77">
        <f t="shared" ca="1" si="70"/>
        <v>0.40745330807232882</v>
      </c>
      <c r="BX103" s="77">
        <f t="shared" ca="1" si="70"/>
        <v>0.40745330807232882</v>
      </c>
      <c r="BY103" s="77">
        <f t="shared" ca="1" si="70"/>
        <v>0.40745330807232882</v>
      </c>
      <c r="BZ103" s="77">
        <f t="shared" ca="1" si="70"/>
        <v>0.40745330807232882</v>
      </c>
      <c r="CA103" s="77">
        <f t="shared" ca="1" si="70"/>
        <v>0.40745330807232882</v>
      </c>
      <c r="CB103" s="77">
        <f t="shared" ca="1" si="70"/>
        <v>0.40745330807232882</v>
      </c>
      <c r="CC103" s="77">
        <f t="shared" ca="1" si="70"/>
        <v>0.40745330807232882</v>
      </c>
      <c r="CD103" s="77">
        <f t="shared" ca="1" si="70"/>
        <v>0.40745330807232882</v>
      </c>
      <c r="CE103" s="77">
        <f t="shared" ca="1" si="70"/>
        <v>0.40745330807232882</v>
      </c>
      <c r="CF103" s="77">
        <f t="shared" ca="1" si="70"/>
        <v>0.40745330807232882</v>
      </c>
      <c r="CG103" s="77">
        <f t="shared" ca="1" si="70"/>
        <v>0.40745330807232882</v>
      </c>
      <c r="CH103" s="77">
        <f t="shared" ca="1" si="70"/>
        <v>0.40745330807232882</v>
      </c>
    </row>
    <row r="104" spans="2:86" ht="13" hidden="1" outlineLevel="1">
      <c r="B104" s="84">
        <v>1</v>
      </c>
      <c r="C104" s="64">
        <f t="shared" ref="C104:C183" ca="1" si="71">IFERROR((1+IRR(F104:CH104))^4-1,0)</f>
        <v>0</v>
      </c>
      <c r="D104" s="13" t="s">
        <v>238</v>
      </c>
      <c r="E104" s="37">
        <f t="shared" ca="1" si="61"/>
        <v>1203125</v>
      </c>
      <c r="F104" s="29"/>
      <c r="G104" s="37">
        <f ca="1">IF($B104=G$4,G$81,0)</f>
        <v>1203125</v>
      </c>
      <c r="H104" s="29">
        <f t="shared" ref="H104:CH104" si="72">IF(H$4&lt;=$B104,ABS(H$31)*-1+H$47,0)+IF($B104=H$4,H$81,0)</f>
        <v>0</v>
      </c>
      <c r="I104" s="29">
        <f t="shared" si="72"/>
        <v>0</v>
      </c>
      <c r="J104" s="29">
        <f t="shared" si="72"/>
        <v>0</v>
      </c>
      <c r="K104" s="29">
        <f t="shared" si="72"/>
        <v>0</v>
      </c>
      <c r="L104" s="29">
        <f t="shared" si="72"/>
        <v>0</v>
      </c>
      <c r="M104" s="29">
        <f t="shared" si="72"/>
        <v>0</v>
      </c>
      <c r="N104" s="29">
        <f t="shared" si="72"/>
        <v>0</v>
      </c>
      <c r="O104" s="29">
        <f t="shared" si="72"/>
        <v>0</v>
      </c>
      <c r="P104" s="29">
        <f t="shared" si="72"/>
        <v>0</v>
      </c>
      <c r="Q104" s="29">
        <f t="shared" si="72"/>
        <v>0</v>
      </c>
      <c r="R104" s="29">
        <f t="shared" si="72"/>
        <v>0</v>
      </c>
      <c r="S104" s="29">
        <f t="shared" si="72"/>
        <v>0</v>
      </c>
      <c r="T104" s="29">
        <f t="shared" si="72"/>
        <v>0</v>
      </c>
      <c r="U104" s="29">
        <f t="shared" si="72"/>
        <v>0</v>
      </c>
      <c r="V104" s="29">
        <f t="shared" si="72"/>
        <v>0</v>
      </c>
      <c r="W104" s="29">
        <f t="shared" si="72"/>
        <v>0</v>
      </c>
      <c r="X104" s="29">
        <f t="shared" si="72"/>
        <v>0</v>
      </c>
      <c r="Y104" s="29">
        <f t="shared" si="72"/>
        <v>0</v>
      </c>
      <c r="Z104" s="29">
        <f t="shared" si="72"/>
        <v>0</v>
      </c>
      <c r="AA104" s="29">
        <f t="shared" si="72"/>
        <v>0</v>
      </c>
      <c r="AB104" s="29">
        <f t="shared" si="72"/>
        <v>0</v>
      </c>
      <c r="AC104" s="29">
        <f t="shared" si="72"/>
        <v>0</v>
      </c>
      <c r="AD104" s="29">
        <f t="shared" si="72"/>
        <v>0</v>
      </c>
      <c r="AE104" s="29">
        <f t="shared" si="72"/>
        <v>0</v>
      </c>
      <c r="AF104" s="29">
        <f t="shared" si="72"/>
        <v>0</v>
      </c>
      <c r="AG104" s="29">
        <f t="shared" si="72"/>
        <v>0</v>
      </c>
      <c r="AH104" s="29">
        <f t="shared" si="72"/>
        <v>0</v>
      </c>
      <c r="AI104" s="29">
        <f t="shared" si="72"/>
        <v>0</v>
      </c>
      <c r="AJ104" s="29">
        <f t="shared" si="72"/>
        <v>0</v>
      </c>
      <c r="AK104" s="29">
        <f t="shared" si="72"/>
        <v>0</v>
      </c>
      <c r="AL104" s="29">
        <f t="shared" si="72"/>
        <v>0</v>
      </c>
      <c r="AM104" s="29">
        <f t="shared" si="72"/>
        <v>0</v>
      </c>
      <c r="AN104" s="29">
        <f t="shared" si="72"/>
        <v>0</v>
      </c>
      <c r="AO104" s="29">
        <f t="shared" si="72"/>
        <v>0</v>
      </c>
      <c r="AP104" s="29">
        <f t="shared" si="72"/>
        <v>0</v>
      </c>
      <c r="AQ104" s="29">
        <f t="shared" si="72"/>
        <v>0</v>
      </c>
      <c r="AR104" s="29">
        <f t="shared" si="72"/>
        <v>0</v>
      </c>
      <c r="AS104" s="29">
        <f t="shared" si="72"/>
        <v>0</v>
      </c>
      <c r="AT104" s="29">
        <f t="shared" si="72"/>
        <v>0</v>
      </c>
      <c r="AU104" s="29">
        <f t="shared" si="72"/>
        <v>0</v>
      </c>
      <c r="AV104" s="29">
        <f t="shared" si="72"/>
        <v>0</v>
      </c>
      <c r="AW104" s="29">
        <f t="shared" si="72"/>
        <v>0</v>
      </c>
      <c r="AX104" s="29">
        <f t="shared" si="72"/>
        <v>0</v>
      </c>
      <c r="AY104" s="29">
        <f t="shared" si="72"/>
        <v>0</v>
      </c>
      <c r="AZ104" s="29">
        <f t="shared" si="72"/>
        <v>0</v>
      </c>
      <c r="BA104" s="29">
        <f t="shared" si="72"/>
        <v>0</v>
      </c>
      <c r="BB104" s="29">
        <f t="shared" si="72"/>
        <v>0</v>
      </c>
      <c r="BC104" s="29">
        <f t="shared" si="72"/>
        <v>0</v>
      </c>
      <c r="BD104" s="29">
        <f t="shared" si="72"/>
        <v>0</v>
      </c>
      <c r="BE104" s="29">
        <f t="shared" si="72"/>
        <v>0</v>
      </c>
      <c r="BF104" s="29">
        <f t="shared" si="72"/>
        <v>0</v>
      </c>
      <c r="BG104" s="29">
        <f t="shared" si="72"/>
        <v>0</v>
      </c>
      <c r="BH104" s="29">
        <f t="shared" si="72"/>
        <v>0</v>
      </c>
      <c r="BI104" s="29">
        <f t="shared" si="72"/>
        <v>0</v>
      </c>
      <c r="BJ104" s="29">
        <f t="shared" si="72"/>
        <v>0</v>
      </c>
      <c r="BK104" s="29">
        <f t="shared" si="72"/>
        <v>0</v>
      </c>
      <c r="BL104" s="29">
        <f t="shared" si="72"/>
        <v>0</v>
      </c>
      <c r="BM104" s="29">
        <f t="shared" si="72"/>
        <v>0</v>
      </c>
      <c r="BN104" s="29">
        <f t="shared" si="72"/>
        <v>0</v>
      </c>
      <c r="BO104" s="29">
        <f t="shared" si="72"/>
        <v>0</v>
      </c>
      <c r="BP104" s="29">
        <f t="shared" si="72"/>
        <v>0</v>
      </c>
      <c r="BQ104" s="29">
        <f t="shared" si="72"/>
        <v>0</v>
      </c>
      <c r="BR104" s="29">
        <f t="shared" si="72"/>
        <v>0</v>
      </c>
      <c r="BS104" s="29">
        <f t="shared" si="72"/>
        <v>0</v>
      </c>
      <c r="BT104" s="29">
        <f t="shared" si="72"/>
        <v>0</v>
      </c>
      <c r="BU104" s="29">
        <f t="shared" si="72"/>
        <v>0</v>
      </c>
      <c r="BV104" s="29">
        <f t="shared" si="72"/>
        <v>0</v>
      </c>
      <c r="BW104" s="29">
        <f t="shared" si="72"/>
        <v>0</v>
      </c>
      <c r="BX104" s="29">
        <f t="shared" si="72"/>
        <v>0</v>
      </c>
      <c r="BY104" s="29">
        <f t="shared" si="72"/>
        <v>0</v>
      </c>
      <c r="BZ104" s="29">
        <f t="shared" si="72"/>
        <v>0</v>
      </c>
      <c r="CA104" s="29">
        <f t="shared" si="72"/>
        <v>0</v>
      </c>
      <c r="CB104" s="29">
        <f t="shared" si="72"/>
        <v>0</v>
      </c>
      <c r="CC104" s="29">
        <f t="shared" si="72"/>
        <v>0</v>
      </c>
      <c r="CD104" s="29">
        <f t="shared" si="72"/>
        <v>0</v>
      </c>
      <c r="CE104" s="29">
        <f t="shared" si="72"/>
        <v>0</v>
      </c>
      <c r="CF104" s="29">
        <f t="shared" si="72"/>
        <v>0</v>
      </c>
      <c r="CG104" s="29">
        <f t="shared" si="72"/>
        <v>0</v>
      </c>
      <c r="CH104" s="29">
        <f t="shared" si="72"/>
        <v>0</v>
      </c>
    </row>
    <row r="105" spans="2:86" ht="13" hidden="1" outlineLevel="1">
      <c r="B105" s="84">
        <f t="shared" ref="B105:B183" si="73">B104+1</f>
        <v>2</v>
      </c>
      <c r="C105" s="64">
        <f t="shared" ca="1" si="71"/>
        <v>-0.70787163127882269</v>
      </c>
      <c r="D105" s="15" t="s">
        <v>238</v>
      </c>
      <c r="E105" s="29">
        <f t="shared" ca="1" si="61"/>
        <v>-382500</v>
      </c>
      <c r="F105" s="29"/>
      <c r="G105" s="29">
        <f t="shared" ref="G105:CH105" ca="1" si="74">IF(G$4&lt;=$B105,ABS(G$31)*-1+G$47,0)+IF($B105=G$4,G$81,0)</f>
        <v>-1444375</v>
      </c>
      <c r="H105" s="29">
        <f t="shared" ca="1" si="74"/>
        <v>1061875</v>
      </c>
      <c r="I105" s="29">
        <f t="shared" si="74"/>
        <v>0</v>
      </c>
      <c r="J105" s="29">
        <f t="shared" si="74"/>
        <v>0</v>
      </c>
      <c r="K105" s="29">
        <f t="shared" si="74"/>
        <v>0</v>
      </c>
      <c r="L105" s="29">
        <f t="shared" si="74"/>
        <v>0</v>
      </c>
      <c r="M105" s="29">
        <f t="shared" si="74"/>
        <v>0</v>
      </c>
      <c r="N105" s="29">
        <f t="shared" si="74"/>
        <v>0</v>
      </c>
      <c r="O105" s="29">
        <f t="shared" si="74"/>
        <v>0</v>
      </c>
      <c r="P105" s="29">
        <f t="shared" si="74"/>
        <v>0</v>
      </c>
      <c r="Q105" s="29">
        <f t="shared" si="74"/>
        <v>0</v>
      </c>
      <c r="R105" s="29">
        <f t="shared" si="74"/>
        <v>0</v>
      </c>
      <c r="S105" s="29">
        <f t="shared" si="74"/>
        <v>0</v>
      </c>
      <c r="T105" s="29">
        <f t="shared" si="74"/>
        <v>0</v>
      </c>
      <c r="U105" s="29">
        <f t="shared" si="74"/>
        <v>0</v>
      </c>
      <c r="V105" s="29">
        <f t="shared" si="74"/>
        <v>0</v>
      </c>
      <c r="W105" s="29">
        <f t="shared" si="74"/>
        <v>0</v>
      </c>
      <c r="X105" s="29">
        <f t="shared" si="74"/>
        <v>0</v>
      </c>
      <c r="Y105" s="29">
        <f t="shared" si="74"/>
        <v>0</v>
      </c>
      <c r="Z105" s="29">
        <f t="shared" si="74"/>
        <v>0</v>
      </c>
      <c r="AA105" s="29">
        <f t="shared" si="74"/>
        <v>0</v>
      </c>
      <c r="AB105" s="29">
        <f t="shared" si="74"/>
        <v>0</v>
      </c>
      <c r="AC105" s="29">
        <f t="shared" si="74"/>
        <v>0</v>
      </c>
      <c r="AD105" s="29">
        <f t="shared" si="74"/>
        <v>0</v>
      </c>
      <c r="AE105" s="29">
        <f t="shared" si="74"/>
        <v>0</v>
      </c>
      <c r="AF105" s="29">
        <f t="shared" si="74"/>
        <v>0</v>
      </c>
      <c r="AG105" s="29">
        <f t="shared" si="74"/>
        <v>0</v>
      </c>
      <c r="AH105" s="29">
        <f t="shared" si="74"/>
        <v>0</v>
      </c>
      <c r="AI105" s="29">
        <f t="shared" si="74"/>
        <v>0</v>
      </c>
      <c r="AJ105" s="29">
        <f t="shared" si="74"/>
        <v>0</v>
      </c>
      <c r="AK105" s="29">
        <f t="shared" si="74"/>
        <v>0</v>
      </c>
      <c r="AL105" s="29">
        <f t="shared" si="74"/>
        <v>0</v>
      </c>
      <c r="AM105" s="29">
        <f t="shared" si="74"/>
        <v>0</v>
      </c>
      <c r="AN105" s="29">
        <f t="shared" si="74"/>
        <v>0</v>
      </c>
      <c r="AO105" s="29">
        <f t="shared" si="74"/>
        <v>0</v>
      </c>
      <c r="AP105" s="29">
        <f t="shared" si="74"/>
        <v>0</v>
      </c>
      <c r="AQ105" s="29">
        <f t="shared" si="74"/>
        <v>0</v>
      </c>
      <c r="AR105" s="29">
        <f t="shared" si="74"/>
        <v>0</v>
      </c>
      <c r="AS105" s="29">
        <f t="shared" si="74"/>
        <v>0</v>
      </c>
      <c r="AT105" s="29">
        <f t="shared" si="74"/>
        <v>0</v>
      </c>
      <c r="AU105" s="29">
        <f t="shared" si="74"/>
        <v>0</v>
      </c>
      <c r="AV105" s="29">
        <f t="shared" si="74"/>
        <v>0</v>
      </c>
      <c r="AW105" s="29">
        <f t="shared" si="74"/>
        <v>0</v>
      </c>
      <c r="AX105" s="29">
        <f t="shared" si="74"/>
        <v>0</v>
      </c>
      <c r="AY105" s="29">
        <f t="shared" si="74"/>
        <v>0</v>
      </c>
      <c r="AZ105" s="29">
        <f t="shared" si="74"/>
        <v>0</v>
      </c>
      <c r="BA105" s="29">
        <f t="shared" si="74"/>
        <v>0</v>
      </c>
      <c r="BB105" s="29">
        <f t="shared" si="74"/>
        <v>0</v>
      </c>
      <c r="BC105" s="29">
        <f t="shared" si="74"/>
        <v>0</v>
      </c>
      <c r="BD105" s="29">
        <f t="shared" si="74"/>
        <v>0</v>
      </c>
      <c r="BE105" s="29">
        <f t="shared" si="74"/>
        <v>0</v>
      </c>
      <c r="BF105" s="29">
        <f t="shared" si="74"/>
        <v>0</v>
      </c>
      <c r="BG105" s="29">
        <f t="shared" si="74"/>
        <v>0</v>
      </c>
      <c r="BH105" s="29">
        <f t="shared" si="74"/>
        <v>0</v>
      </c>
      <c r="BI105" s="29">
        <f t="shared" si="74"/>
        <v>0</v>
      </c>
      <c r="BJ105" s="29">
        <f t="shared" si="74"/>
        <v>0</v>
      </c>
      <c r="BK105" s="29">
        <f t="shared" si="74"/>
        <v>0</v>
      </c>
      <c r="BL105" s="29">
        <f t="shared" si="74"/>
        <v>0</v>
      </c>
      <c r="BM105" s="29">
        <f t="shared" si="74"/>
        <v>0</v>
      </c>
      <c r="BN105" s="29">
        <f t="shared" si="74"/>
        <v>0</v>
      </c>
      <c r="BO105" s="29">
        <f t="shared" si="74"/>
        <v>0</v>
      </c>
      <c r="BP105" s="29">
        <f t="shared" si="74"/>
        <v>0</v>
      </c>
      <c r="BQ105" s="29">
        <f t="shared" si="74"/>
        <v>0</v>
      </c>
      <c r="BR105" s="29">
        <f t="shared" si="74"/>
        <v>0</v>
      </c>
      <c r="BS105" s="29">
        <f t="shared" si="74"/>
        <v>0</v>
      </c>
      <c r="BT105" s="29">
        <f t="shared" si="74"/>
        <v>0</v>
      </c>
      <c r="BU105" s="29">
        <f t="shared" si="74"/>
        <v>0</v>
      </c>
      <c r="BV105" s="29">
        <f t="shared" si="74"/>
        <v>0</v>
      </c>
      <c r="BW105" s="29">
        <f t="shared" si="74"/>
        <v>0</v>
      </c>
      <c r="BX105" s="29">
        <f t="shared" si="74"/>
        <v>0</v>
      </c>
      <c r="BY105" s="29">
        <f t="shared" si="74"/>
        <v>0</v>
      </c>
      <c r="BZ105" s="29">
        <f t="shared" si="74"/>
        <v>0</v>
      </c>
      <c r="CA105" s="29">
        <f t="shared" si="74"/>
        <v>0</v>
      </c>
      <c r="CB105" s="29">
        <f t="shared" si="74"/>
        <v>0</v>
      </c>
      <c r="CC105" s="29">
        <f t="shared" si="74"/>
        <v>0</v>
      </c>
      <c r="CD105" s="29">
        <f t="shared" si="74"/>
        <v>0</v>
      </c>
      <c r="CE105" s="29">
        <f t="shared" si="74"/>
        <v>0</v>
      </c>
      <c r="CF105" s="29">
        <f t="shared" si="74"/>
        <v>0</v>
      </c>
      <c r="CG105" s="29">
        <f t="shared" si="74"/>
        <v>0</v>
      </c>
      <c r="CH105" s="29">
        <f t="shared" si="74"/>
        <v>0</v>
      </c>
    </row>
    <row r="106" spans="2:86" ht="13" hidden="1" outlineLevel="1">
      <c r="B106" s="84">
        <f t="shared" si="73"/>
        <v>3</v>
      </c>
      <c r="C106" s="64">
        <f t="shared" ca="1" si="71"/>
        <v>-0.42563575860668124</v>
      </c>
      <c r="D106" s="15" t="s">
        <v>238</v>
      </c>
      <c r="E106" s="29">
        <f t="shared" ca="1" si="61"/>
        <v>-523750</v>
      </c>
      <c r="F106" s="29"/>
      <c r="G106" s="29">
        <f t="shared" ref="G106:CH106" ca="1" si="75">IF(G$4&lt;=$B106,ABS(G$31)*-1+G$47,0)+IF($B106=G$4,G$81,0)</f>
        <v>-1444375</v>
      </c>
      <c r="H106" s="29">
        <f t="shared" ca="1" si="75"/>
        <v>-1344375</v>
      </c>
      <c r="I106" s="29">
        <f t="shared" ca="1" si="75"/>
        <v>2265000</v>
      </c>
      <c r="J106" s="29">
        <f t="shared" si="75"/>
        <v>0</v>
      </c>
      <c r="K106" s="29">
        <f t="shared" si="75"/>
        <v>0</v>
      </c>
      <c r="L106" s="29">
        <f t="shared" si="75"/>
        <v>0</v>
      </c>
      <c r="M106" s="29">
        <f t="shared" si="75"/>
        <v>0</v>
      </c>
      <c r="N106" s="29">
        <f t="shared" si="75"/>
        <v>0</v>
      </c>
      <c r="O106" s="29">
        <f t="shared" si="75"/>
        <v>0</v>
      </c>
      <c r="P106" s="29">
        <f t="shared" si="75"/>
        <v>0</v>
      </c>
      <c r="Q106" s="29">
        <f t="shared" si="75"/>
        <v>0</v>
      </c>
      <c r="R106" s="29">
        <f t="shared" si="75"/>
        <v>0</v>
      </c>
      <c r="S106" s="29">
        <f t="shared" si="75"/>
        <v>0</v>
      </c>
      <c r="T106" s="29">
        <f t="shared" si="75"/>
        <v>0</v>
      </c>
      <c r="U106" s="29">
        <f t="shared" si="75"/>
        <v>0</v>
      </c>
      <c r="V106" s="29">
        <f t="shared" si="75"/>
        <v>0</v>
      </c>
      <c r="W106" s="29">
        <f t="shared" si="75"/>
        <v>0</v>
      </c>
      <c r="X106" s="29">
        <f t="shared" si="75"/>
        <v>0</v>
      </c>
      <c r="Y106" s="29">
        <f t="shared" si="75"/>
        <v>0</v>
      </c>
      <c r="Z106" s="29">
        <f t="shared" si="75"/>
        <v>0</v>
      </c>
      <c r="AA106" s="29">
        <f t="shared" si="75"/>
        <v>0</v>
      </c>
      <c r="AB106" s="29">
        <f t="shared" si="75"/>
        <v>0</v>
      </c>
      <c r="AC106" s="29">
        <f t="shared" si="75"/>
        <v>0</v>
      </c>
      <c r="AD106" s="29">
        <f t="shared" si="75"/>
        <v>0</v>
      </c>
      <c r="AE106" s="29">
        <f t="shared" si="75"/>
        <v>0</v>
      </c>
      <c r="AF106" s="29">
        <f t="shared" si="75"/>
        <v>0</v>
      </c>
      <c r="AG106" s="29">
        <f t="shared" si="75"/>
        <v>0</v>
      </c>
      <c r="AH106" s="29">
        <f t="shared" si="75"/>
        <v>0</v>
      </c>
      <c r="AI106" s="29">
        <f t="shared" si="75"/>
        <v>0</v>
      </c>
      <c r="AJ106" s="29">
        <f t="shared" si="75"/>
        <v>0</v>
      </c>
      <c r="AK106" s="29">
        <f t="shared" si="75"/>
        <v>0</v>
      </c>
      <c r="AL106" s="29">
        <f t="shared" si="75"/>
        <v>0</v>
      </c>
      <c r="AM106" s="29">
        <f t="shared" si="75"/>
        <v>0</v>
      </c>
      <c r="AN106" s="29">
        <f t="shared" si="75"/>
        <v>0</v>
      </c>
      <c r="AO106" s="29">
        <f t="shared" si="75"/>
        <v>0</v>
      </c>
      <c r="AP106" s="29">
        <f t="shared" si="75"/>
        <v>0</v>
      </c>
      <c r="AQ106" s="29">
        <f t="shared" si="75"/>
        <v>0</v>
      </c>
      <c r="AR106" s="29">
        <f t="shared" si="75"/>
        <v>0</v>
      </c>
      <c r="AS106" s="29">
        <f t="shared" si="75"/>
        <v>0</v>
      </c>
      <c r="AT106" s="29">
        <f t="shared" si="75"/>
        <v>0</v>
      </c>
      <c r="AU106" s="29">
        <f t="shared" si="75"/>
        <v>0</v>
      </c>
      <c r="AV106" s="29">
        <f t="shared" si="75"/>
        <v>0</v>
      </c>
      <c r="AW106" s="29">
        <f t="shared" si="75"/>
        <v>0</v>
      </c>
      <c r="AX106" s="29">
        <f t="shared" si="75"/>
        <v>0</v>
      </c>
      <c r="AY106" s="29">
        <f t="shared" si="75"/>
        <v>0</v>
      </c>
      <c r="AZ106" s="29">
        <f t="shared" si="75"/>
        <v>0</v>
      </c>
      <c r="BA106" s="29">
        <f t="shared" si="75"/>
        <v>0</v>
      </c>
      <c r="BB106" s="29">
        <f t="shared" si="75"/>
        <v>0</v>
      </c>
      <c r="BC106" s="29">
        <f t="shared" si="75"/>
        <v>0</v>
      </c>
      <c r="BD106" s="29">
        <f t="shared" si="75"/>
        <v>0</v>
      </c>
      <c r="BE106" s="29">
        <f t="shared" si="75"/>
        <v>0</v>
      </c>
      <c r="BF106" s="29">
        <f t="shared" si="75"/>
        <v>0</v>
      </c>
      <c r="BG106" s="29">
        <f t="shared" si="75"/>
        <v>0</v>
      </c>
      <c r="BH106" s="29">
        <f t="shared" si="75"/>
        <v>0</v>
      </c>
      <c r="BI106" s="29">
        <f t="shared" si="75"/>
        <v>0</v>
      </c>
      <c r="BJ106" s="29">
        <f t="shared" si="75"/>
        <v>0</v>
      </c>
      <c r="BK106" s="29">
        <f t="shared" si="75"/>
        <v>0</v>
      </c>
      <c r="BL106" s="29">
        <f t="shared" si="75"/>
        <v>0</v>
      </c>
      <c r="BM106" s="29">
        <f t="shared" si="75"/>
        <v>0</v>
      </c>
      <c r="BN106" s="29">
        <f t="shared" si="75"/>
        <v>0</v>
      </c>
      <c r="BO106" s="29">
        <f t="shared" si="75"/>
        <v>0</v>
      </c>
      <c r="BP106" s="29">
        <f t="shared" si="75"/>
        <v>0</v>
      </c>
      <c r="BQ106" s="29">
        <f t="shared" si="75"/>
        <v>0</v>
      </c>
      <c r="BR106" s="29">
        <f t="shared" si="75"/>
        <v>0</v>
      </c>
      <c r="BS106" s="29">
        <f t="shared" si="75"/>
        <v>0</v>
      </c>
      <c r="BT106" s="29">
        <f t="shared" si="75"/>
        <v>0</v>
      </c>
      <c r="BU106" s="29">
        <f t="shared" si="75"/>
        <v>0</v>
      </c>
      <c r="BV106" s="29">
        <f t="shared" si="75"/>
        <v>0</v>
      </c>
      <c r="BW106" s="29">
        <f t="shared" si="75"/>
        <v>0</v>
      </c>
      <c r="BX106" s="29">
        <f t="shared" si="75"/>
        <v>0</v>
      </c>
      <c r="BY106" s="29">
        <f t="shared" si="75"/>
        <v>0</v>
      </c>
      <c r="BZ106" s="29">
        <f t="shared" si="75"/>
        <v>0</v>
      </c>
      <c r="CA106" s="29">
        <f t="shared" si="75"/>
        <v>0</v>
      </c>
      <c r="CB106" s="29">
        <f t="shared" si="75"/>
        <v>0</v>
      </c>
      <c r="CC106" s="29">
        <f t="shared" si="75"/>
        <v>0</v>
      </c>
      <c r="CD106" s="29">
        <f t="shared" si="75"/>
        <v>0</v>
      </c>
      <c r="CE106" s="29">
        <f t="shared" si="75"/>
        <v>0</v>
      </c>
      <c r="CF106" s="29">
        <f t="shared" si="75"/>
        <v>0</v>
      </c>
      <c r="CG106" s="29">
        <f t="shared" si="75"/>
        <v>0</v>
      </c>
      <c r="CH106" s="29">
        <f t="shared" si="75"/>
        <v>0</v>
      </c>
    </row>
    <row r="107" spans="2:86" ht="13" hidden="1" outlineLevel="1">
      <c r="B107" s="84">
        <f t="shared" si="73"/>
        <v>4</v>
      </c>
      <c r="C107" s="64">
        <f t="shared" ca="1" si="71"/>
        <v>-0.29657944132958192</v>
      </c>
      <c r="D107" s="15" t="s">
        <v>238</v>
      </c>
      <c r="E107" s="29">
        <f t="shared" ca="1" si="61"/>
        <v>-665000</v>
      </c>
      <c r="F107" s="29"/>
      <c r="G107" s="29">
        <f t="shared" ref="G107:CH107" ca="1" si="76">IF(G$4&lt;=$B107,ABS(G$31)*-1+G$47,0)+IF($B107=G$4,G$81,0)</f>
        <v>-1444375</v>
      </c>
      <c r="H107" s="29">
        <f t="shared" ca="1" si="76"/>
        <v>-1344375</v>
      </c>
      <c r="I107" s="29">
        <f t="shared" ca="1" si="76"/>
        <v>-1344375</v>
      </c>
      <c r="J107" s="29">
        <f t="shared" ca="1" si="76"/>
        <v>3468125</v>
      </c>
      <c r="K107" s="29">
        <f t="shared" si="76"/>
        <v>0</v>
      </c>
      <c r="L107" s="29">
        <f t="shared" si="76"/>
        <v>0</v>
      </c>
      <c r="M107" s="29">
        <f t="shared" si="76"/>
        <v>0</v>
      </c>
      <c r="N107" s="29">
        <f t="shared" si="76"/>
        <v>0</v>
      </c>
      <c r="O107" s="29">
        <f t="shared" si="76"/>
        <v>0</v>
      </c>
      <c r="P107" s="29">
        <f t="shared" si="76"/>
        <v>0</v>
      </c>
      <c r="Q107" s="29">
        <f t="shared" si="76"/>
        <v>0</v>
      </c>
      <c r="R107" s="29">
        <f t="shared" si="76"/>
        <v>0</v>
      </c>
      <c r="S107" s="29">
        <f t="shared" si="76"/>
        <v>0</v>
      </c>
      <c r="T107" s="29">
        <f t="shared" si="76"/>
        <v>0</v>
      </c>
      <c r="U107" s="29">
        <f t="shared" si="76"/>
        <v>0</v>
      </c>
      <c r="V107" s="29">
        <f t="shared" si="76"/>
        <v>0</v>
      </c>
      <c r="W107" s="29">
        <f t="shared" si="76"/>
        <v>0</v>
      </c>
      <c r="X107" s="29">
        <f t="shared" si="76"/>
        <v>0</v>
      </c>
      <c r="Y107" s="29">
        <f t="shared" si="76"/>
        <v>0</v>
      </c>
      <c r="Z107" s="29">
        <f t="shared" si="76"/>
        <v>0</v>
      </c>
      <c r="AA107" s="29">
        <f t="shared" si="76"/>
        <v>0</v>
      </c>
      <c r="AB107" s="29">
        <f t="shared" si="76"/>
        <v>0</v>
      </c>
      <c r="AC107" s="29">
        <f t="shared" si="76"/>
        <v>0</v>
      </c>
      <c r="AD107" s="29">
        <f t="shared" si="76"/>
        <v>0</v>
      </c>
      <c r="AE107" s="29">
        <f t="shared" si="76"/>
        <v>0</v>
      </c>
      <c r="AF107" s="29">
        <f t="shared" si="76"/>
        <v>0</v>
      </c>
      <c r="AG107" s="29">
        <f t="shared" si="76"/>
        <v>0</v>
      </c>
      <c r="AH107" s="29">
        <f t="shared" si="76"/>
        <v>0</v>
      </c>
      <c r="AI107" s="29">
        <f t="shared" si="76"/>
        <v>0</v>
      </c>
      <c r="AJ107" s="29">
        <f t="shared" si="76"/>
        <v>0</v>
      </c>
      <c r="AK107" s="29">
        <f t="shared" si="76"/>
        <v>0</v>
      </c>
      <c r="AL107" s="29">
        <f t="shared" si="76"/>
        <v>0</v>
      </c>
      <c r="AM107" s="29">
        <f t="shared" si="76"/>
        <v>0</v>
      </c>
      <c r="AN107" s="29">
        <f t="shared" si="76"/>
        <v>0</v>
      </c>
      <c r="AO107" s="29">
        <f t="shared" si="76"/>
        <v>0</v>
      </c>
      <c r="AP107" s="29">
        <f t="shared" si="76"/>
        <v>0</v>
      </c>
      <c r="AQ107" s="29">
        <f t="shared" si="76"/>
        <v>0</v>
      </c>
      <c r="AR107" s="29">
        <f t="shared" si="76"/>
        <v>0</v>
      </c>
      <c r="AS107" s="29">
        <f t="shared" si="76"/>
        <v>0</v>
      </c>
      <c r="AT107" s="29">
        <f t="shared" si="76"/>
        <v>0</v>
      </c>
      <c r="AU107" s="29">
        <f t="shared" si="76"/>
        <v>0</v>
      </c>
      <c r="AV107" s="29">
        <f t="shared" si="76"/>
        <v>0</v>
      </c>
      <c r="AW107" s="29">
        <f t="shared" si="76"/>
        <v>0</v>
      </c>
      <c r="AX107" s="29">
        <f t="shared" si="76"/>
        <v>0</v>
      </c>
      <c r="AY107" s="29">
        <f t="shared" si="76"/>
        <v>0</v>
      </c>
      <c r="AZ107" s="29">
        <f t="shared" si="76"/>
        <v>0</v>
      </c>
      <c r="BA107" s="29">
        <f t="shared" si="76"/>
        <v>0</v>
      </c>
      <c r="BB107" s="29">
        <f t="shared" si="76"/>
        <v>0</v>
      </c>
      <c r="BC107" s="29">
        <f t="shared" si="76"/>
        <v>0</v>
      </c>
      <c r="BD107" s="29">
        <f t="shared" si="76"/>
        <v>0</v>
      </c>
      <c r="BE107" s="29">
        <f t="shared" si="76"/>
        <v>0</v>
      </c>
      <c r="BF107" s="29">
        <f t="shared" si="76"/>
        <v>0</v>
      </c>
      <c r="BG107" s="29">
        <f t="shared" si="76"/>
        <v>0</v>
      </c>
      <c r="BH107" s="29">
        <f t="shared" si="76"/>
        <v>0</v>
      </c>
      <c r="BI107" s="29">
        <f t="shared" si="76"/>
        <v>0</v>
      </c>
      <c r="BJ107" s="29">
        <f t="shared" si="76"/>
        <v>0</v>
      </c>
      <c r="BK107" s="29">
        <f t="shared" si="76"/>
        <v>0</v>
      </c>
      <c r="BL107" s="29">
        <f t="shared" si="76"/>
        <v>0</v>
      </c>
      <c r="BM107" s="29">
        <f t="shared" si="76"/>
        <v>0</v>
      </c>
      <c r="BN107" s="29">
        <f t="shared" si="76"/>
        <v>0</v>
      </c>
      <c r="BO107" s="29">
        <f t="shared" si="76"/>
        <v>0</v>
      </c>
      <c r="BP107" s="29">
        <f t="shared" si="76"/>
        <v>0</v>
      </c>
      <c r="BQ107" s="29">
        <f t="shared" si="76"/>
        <v>0</v>
      </c>
      <c r="BR107" s="29">
        <f t="shared" si="76"/>
        <v>0</v>
      </c>
      <c r="BS107" s="29">
        <f t="shared" si="76"/>
        <v>0</v>
      </c>
      <c r="BT107" s="29">
        <f t="shared" si="76"/>
        <v>0</v>
      </c>
      <c r="BU107" s="29">
        <f t="shared" si="76"/>
        <v>0</v>
      </c>
      <c r="BV107" s="29">
        <f t="shared" si="76"/>
        <v>0</v>
      </c>
      <c r="BW107" s="29">
        <f t="shared" si="76"/>
        <v>0</v>
      </c>
      <c r="BX107" s="29">
        <f t="shared" si="76"/>
        <v>0</v>
      </c>
      <c r="BY107" s="29">
        <f t="shared" si="76"/>
        <v>0</v>
      </c>
      <c r="BZ107" s="29">
        <f t="shared" si="76"/>
        <v>0</v>
      </c>
      <c r="CA107" s="29">
        <f t="shared" si="76"/>
        <v>0</v>
      </c>
      <c r="CB107" s="29">
        <f t="shared" si="76"/>
        <v>0</v>
      </c>
      <c r="CC107" s="29">
        <f t="shared" si="76"/>
        <v>0</v>
      </c>
      <c r="CD107" s="29">
        <f t="shared" si="76"/>
        <v>0</v>
      </c>
      <c r="CE107" s="29">
        <f t="shared" si="76"/>
        <v>0</v>
      </c>
      <c r="CF107" s="29">
        <f t="shared" si="76"/>
        <v>0</v>
      </c>
      <c r="CG107" s="29">
        <f t="shared" si="76"/>
        <v>0</v>
      </c>
      <c r="CH107" s="29">
        <f t="shared" si="76"/>
        <v>0</v>
      </c>
    </row>
    <row r="108" spans="2:86" ht="13" hidden="1" outlineLevel="1">
      <c r="B108" s="84">
        <f t="shared" si="73"/>
        <v>5</v>
      </c>
      <c r="C108" s="64">
        <f t="shared" ca="1" si="71"/>
        <v>-0.22594110408197832</v>
      </c>
      <c r="D108" s="15" t="s">
        <v>238</v>
      </c>
      <c r="E108" s="29">
        <f t="shared" ca="1" si="61"/>
        <v>-806250</v>
      </c>
      <c r="F108" s="29"/>
      <c r="G108" s="29">
        <f t="shared" ref="G108:CH108" ca="1" si="77">IF(G$4&lt;=$B108,ABS(G$31)*-1+G$47,0)+IF($B108=G$4,G$81,0)</f>
        <v>-1444375</v>
      </c>
      <c r="H108" s="29">
        <f t="shared" ca="1" si="77"/>
        <v>-1344375</v>
      </c>
      <c r="I108" s="29">
        <f t="shared" ca="1" si="77"/>
        <v>-1344375</v>
      </c>
      <c r="J108" s="29">
        <f t="shared" ca="1" si="77"/>
        <v>-1344375</v>
      </c>
      <c r="K108" s="29">
        <f t="shared" ca="1" si="77"/>
        <v>4671250</v>
      </c>
      <c r="L108" s="29">
        <f t="shared" si="77"/>
        <v>0</v>
      </c>
      <c r="M108" s="29">
        <f t="shared" si="77"/>
        <v>0</v>
      </c>
      <c r="N108" s="29">
        <f t="shared" si="77"/>
        <v>0</v>
      </c>
      <c r="O108" s="29">
        <f t="shared" si="77"/>
        <v>0</v>
      </c>
      <c r="P108" s="29">
        <f t="shared" si="77"/>
        <v>0</v>
      </c>
      <c r="Q108" s="29">
        <f t="shared" si="77"/>
        <v>0</v>
      </c>
      <c r="R108" s="29">
        <f t="shared" si="77"/>
        <v>0</v>
      </c>
      <c r="S108" s="29">
        <f t="shared" si="77"/>
        <v>0</v>
      </c>
      <c r="T108" s="29">
        <f t="shared" si="77"/>
        <v>0</v>
      </c>
      <c r="U108" s="29">
        <f t="shared" si="77"/>
        <v>0</v>
      </c>
      <c r="V108" s="29">
        <f t="shared" si="77"/>
        <v>0</v>
      </c>
      <c r="W108" s="29">
        <f t="shared" si="77"/>
        <v>0</v>
      </c>
      <c r="X108" s="29">
        <f t="shared" si="77"/>
        <v>0</v>
      </c>
      <c r="Y108" s="29">
        <f t="shared" si="77"/>
        <v>0</v>
      </c>
      <c r="Z108" s="29">
        <f t="shared" si="77"/>
        <v>0</v>
      </c>
      <c r="AA108" s="29">
        <f t="shared" si="77"/>
        <v>0</v>
      </c>
      <c r="AB108" s="29">
        <f t="shared" si="77"/>
        <v>0</v>
      </c>
      <c r="AC108" s="29">
        <f t="shared" si="77"/>
        <v>0</v>
      </c>
      <c r="AD108" s="29">
        <f t="shared" si="77"/>
        <v>0</v>
      </c>
      <c r="AE108" s="29">
        <f t="shared" si="77"/>
        <v>0</v>
      </c>
      <c r="AF108" s="29">
        <f t="shared" si="77"/>
        <v>0</v>
      </c>
      <c r="AG108" s="29">
        <f t="shared" si="77"/>
        <v>0</v>
      </c>
      <c r="AH108" s="29">
        <f t="shared" si="77"/>
        <v>0</v>
      </c>
      <c r="AI108" s="29">
        <f t="shared" si="77"/>
        <v>0</v>
      </c>
      <c r="AJ108" s="29">
        <f t="shared" si="77"/>
        <v>0</v>
      </c>
      <c r="AK108" s="29">
        <f t="shared" si="77"/>
        <v>0</v>
      </c>
      <c r="AL108" s="29">
        <f t="shared" si="77"/>
        <v>0</v>
      </c>
      <c r="AM108" s="29">
        <f t="shared" si="77"/>
        <v>0</v>
      </c>
      <c r="AN108" s="29">
        <f t="shared" si="77"/>
        <v>0</v>
      </c>
      <c r="AO108" s="29">
        <f t="shared" si="77"/>
        <v>0</v>
      </c>
      <c r="AP108" s="29">
        <f t="shared" si="77"/>
        <v>0</v>
      </c>
      <c r="AQ108" s="29">
        <f t="shared" si="77"/>
        <v>0</v>
      </c>
      <c r="AR108" s="29">
        <f t="shared" si="77"/>
        <v>0</v>
      </c>
      <c r="AS108" s="29">
        <f t="shared" si="77"/>
        <v>0</v>
      </c>
      <c r="AT108" s="29">
        <f t="shared" si="77"/>
        <v>0</v>
      </c>
      <c r="AU108" s="29">
        <f t="shared" si="77"/>
        <v>0</v>
      </c>
      <c r="AV108" s="29">
        <f t="shared" si="77"/>
        <v>0</v>
      </c>
      <c r="AW108" s="29">
        <f t="shared" si="77"/>
        <v>0</v>
      </c>
      <c r="AX108" s="29">
        <f t="shared" si="77"/>
        <v>0</v>
      </c>
      <c r="AY108" s="29">
        <f t="shared" si="77"/>
        <v>0</v>
      </c>
      <c r="AZ108" s="29">
        <f t="shared" si="77"/>
        <v>0</v>
      </c>
      <c r="BA108" s="29">
        <f t="shared" si="77"/>
        <v>0</v>
      </c>
      <c r="BB108" s="29">
        <f t="shared" si="77"/>
        <v>0</v>
      </c>
      <c r="BC108" s="29">
        <f t="shared" si="77"/>
        <v>0</v>
      </c>
      <c r="BD108" s="29">
        <f t="shared" si="77"/>
        <v>0</v>
      </c>
      <c r="BE108" s="29">
        <f t="shared" si="77"/>
        <v>0</v>
      </c>
      <c r="BF108" s="29">
        <f t="shared" si="77"/>
        <v>0</v>
      </c>
      <c r="BG108" s="29">
        <f t="shared" si="77"/>
        <v>0</v>
      </c>
      <c r="BH108" s="29">
        <f t="shared" si="77"/>
        <v>0</v>
      </c>
      <c r="BI108" s="29">
        <f t="shared" si="77"/>
        <v>0</v>
      </c>
      <c r="BJ108" s="29">
        <f t="shared" si="77"/>
        <v>0</v>
      </c>
      <c r="BK108" s="29">
        <f t="shared" si="77"/>
        <v>0</v>
      </c>
      <c r="BL108" s="29">
        <f t="shared" si="77"/>
        <v>0</v>
      </c>
      <c r="BM108" s="29">
        <f t="shared" si="77"/>
        <v>0</v>
      </c>
      <c r="BN108" s="29">
        <f t="shared" si="77"/>
        <v>0</v>
      </c>
      <c r="BO108" s="29">
        <f t="shared" si="77"/>
        <v>0</v>
      </c>
      <c r="BP108" s="29">
        <f t="shared" si="77"/>
        <v>0</v>
      </c>
      <c r="BQ108" s="29">
        <f t="shared" si="77"/>
        <v>0</v>
      </c>
      <c r="BR108" s="29">
        <f t="shared" si="77"/>
        <v>0</v>
      </c>
      <c r="BS108" s="29">
        <f t="shared" si="77"/>
        <v>0</v>
      </c>
      <c r="BT108" s="29">
        <f t="shared" si="77"/>
        <v>0</v>
      </c>
      <c r="BU108" s="29">
        <f t="shared" si="77"/>
        <v>0</v>
      </c>
      <c r="BV108" s="29">
        <f t="shared" si="77"/>
        <v>0</v>
      </c>
      <c r="BW108" s="29">
        <f t="shared" si="77"/>
        <v>0</v>
      </c>
      <c r="BX108" s="29">
        <f t="shared" si="77"/>
        <v>0</v>
      </c>
      <c r="BY108" s="29">
        <f t="shared" si="77"/>
        <v>0</v>
      </c>
      <c r="BZ108" s="29">
        <f t="shared" si="77"/>
        <v>0</v>
      </c>
      <c r="CA108" s="29">
        <f t="shared" si="77"/>
        <v>0</v>
      </c>
      <c r="CB108" s="29">
        <f t="shared" si="77"/>
        <v>0</v>
      </c>
      <c r="CC108" s="29">
        <f t="shared" si="77"/>
        <v>0</v>
      </c>
      <c r="CD108" s="29">
        <f t="shared" si="77"/>
        <v>0</v>
      </c>
      <c r="CE108" s="29">
        <f t="shared" si="77"/>
        <v>0</v>
      </c>
      <c r="CF108" s="29">
        <f t="shared" si="77"/>
        <v>0</v>
      </c>
      <c r="CG108" s="29">
        <f t="shared" si="77"/>
        <v>0</v>
      </c>
      <c r="CH108" s="29">
        <f t="shared" si="77"/>
        <v>0</v>
      </c>
    </row>
    <row r="109" spans="2:86" ht="13" hidden="1" outlineLevel="1">
      <c r="B109" s="84">
        <f t="shared" si="73"/>
        <v>6</v>
      </c>
      <c r="C109" s="64">
        <f t="shared" ca="1" si="71"/>
        <v>-0.18194488047271207</v>
      </c>
      <c r="D109" s="15" t="s">
        <v>238</v>
      </c>
      <c r="E109" s="29">
        <f t="shared" ca="1" si="61"/>
        <v>-947500</v>
      </c>
      <c r="F109" s="29"/>
      <c r="G109" s="29">
        <f t="shared" ref="G109:CH109" ca="1" si="78">IF(G$4&lt;=$B109,ABS(G$31)*-1+G$47,0)+IF($B109=G$4,G$81,0)</f>
        <v>-1444375</v>
      </c>
      <c r="H109" s="29">
        <f t="shared" ca="1" si="78"/>
        <v>-1344375</v>
      </c>
      <c r="I109" s="29">
        <f t="shared" ca="1" si="78"/>
        <v>-1344375</v>
      </c>
      <c r="J109" s="29">
        <f t="shared" ca="1" si="78"/>
        <v>-1344375</v>
      </c>
      <c r="K109" s="29">
        <f t="shared" ca="1" si="78"/>
        <v>-1344375</v>
      </c>
      <c r="L109" s="29">
        <f t="shared" ca="1" si="78"/>
        <v>5874375</v>
      </c>
      <c r="M109" s="29">
        <f t="shared" si="78"/>
        <v>0</v>
      </c>
      <c r="N109" s="29">
        <f t="shared" si="78"/>
        <v>0</v>
      </c>
      <c r="O109" s="29">
        <f t="shared" si="78"/>
        <v>0</v>
      </c>
      <c r="P109" s="29">
        <f t="shared" si="78"/>
        <v>0</v>
      </c>
      <c r="Q109" s="29">
        <f t="shared" si="78"/>
        <v>0</v>
      </c>
      <c r="R109" s="29">
        <f t="shared" si="78"/>
        <v>0</v>
      </c>
      <c r="S109" s="29">
        <f t="shared" si="78"/>
        <v>0</v>
      </c>
      <c r="T109" s="29">
        <f t="shared" si="78"/>
        <v>0</v>
      </c>
      <c r="U109" s="29">
        <f t="shared" si="78"/>
        <v>0</v>
      </c>
      <c r="V109" s="29">
        <f t="shared" si="78"/>
        <v>0</v>
      </c>
      <c r="W109" s="29">
        <f t="shared" si="78"/>
        <v>0</v>
      </c>
      <c r="X109" s="29">
        <f t="shared" si="78"/>
        <v>0</v>
      </c>
      <c r="Y109" s="29">
        <f t="shared" si="78"/>
        <v>0</v>
      </c>
      <c r="Z109" s="29">
        <f t="shared" si="78"/>
        <v>0</v>
      </c>
      <c r="AA109" s="29">
        <f t="shared" si="78"/>
        <v>0</v>
      </c>
      <c r="AB109" s="29">
        <f t="shared" si="78"/>
        <v>0</v>
      </c>
      <c r="AC109" s="29">
        <f t="shared" si="78"/>
        <v>0</v>
      </c>
      <c r="AD109" s="29">
        <f t="shared" si="78"/>
        <v>0</v>
      </c>
      <c r="AE109" s="29">
        <f t="shared" si="78"/>
        <v>0</v>
      </c>
      <c r="AF109" s="29">
        <f t="shared" si="78"/>
        <v>0</v>
      </c>
      <c r="AG109" s="29">
        <f t="shared" si="78"/>
        <v>0</v>
      </c>
      <c r="AH109" s="29">
        <f t="shared" si="78"/>
        <v>0</v>
      </c>
      <c r="AI109" s="29">
        <f t="shared" si="78"/>
        <v>0</v>
      </c>
      <c r="AJ109" s="29">
        <f t="shared" si="78"/>
        <v>0</v>
      </c>
      <c r="AK109" s="29">
        <f t="shared" si="78"/>
        <v>0</v>
      </c>
      <c r="AL109" s="29">
        <f t="shared" si="78"/>
        <v>0</v>
      </c>
      <c r="AM109" s="29">
        <f t="shared" si="78"/>
        <v>0</v>
      </c>
      <c r="AN109" s="29">
        <f t="shared" si="78"/>
        <v>0</v>
      </c>
      <c r="AO109" s="29">
        <f t="shared" si="78"/>
        <v>0</v>
      </c>
      <c r="AP109" s="29">
        <f t="shared" si="78"/>
        <v>0</v>
      </c>
      <c r="AQ109" s="29">
        <f t="shared" si="78"/>
        <v>0</v>
      </c>
      <c r="AR109" s="29">
        <f t="shared" si="78"/>
        <v>0</v>
      </c>
      <c r="AS109" s="29">
        <f t="shared" si="78"/>
        <v>0</v>
      </c>
      <c r="AT109" s="29">
        <f t="shared" si="78"/>
        <v>0</v>
      </c>
      <c r="AU109" s="29">
        <f t="shared" si="78"/>
        <v>0</v>
      </c>
      <c r="AV109" s="29">
        <f t="shared" si="78"/>
        <v>0</v>
      </c>
      <c r="AW109" s="29">
        <f t="shared" si="78"/>
        <v>0</v>
      </c>
      <c r="AX109" s="29">
        <f t="shared" si="78"/>
        <v>0</v>
      </c>
      <c r="AY109" s="29">
        <f t="shared" si="78"/>
        <v>0</v>
      </c>
      <c r="AZ109" s="29">
        <f t="shared" si="78"/>
        <v>0</v>
      </c>
      <c r="BA109" s="29">
        <f t="shared" si="78"/>
        <v>0</v>
      </c>
      <c r="BB109" s="29">
        <f t="shared" si="78"/>
        <v>0</v>
      </c>
      <c r="BC109" s="29">
        <f t="shared" si="78"/>
        <v>0</v>
      </c>
      <c r="BD109" s="29">
        <f t="shared" si="78"/>
        <v>0</v>
      </c>
      <c r="BE109" s="29">
        <f t="shared" si="78"/>
        <v>0</v>
      </c>
      <c r="BF109" s="29">
        <f t="shared" si="78"/>
        <v>0</v>
      </c>
      <c r="BG109" s="29">
        <f t="shared" si="78"/>
        <v>0</v>
      </c>
      <c r="BH109" s="29">
        <f t="shared" si="78"/>
        <v>0</v>
      </c>
      <c r="BI109" s="29">
        <f t="shared" si="78"/>
        <v>0</v>
      </c>
      <c r="BJ109" s="29">
        <f t="shared" si="78"/>
        <v>0</v>
      </c>
      <c r="BK109" s="29">
        <f t="shared" si="78"/>
        <v>0</v>
      </c>
      <c r="BL109" s="29">
        <f t="shared" si="78"/>
        <v>0</v>
      </c>
      <c r="BM109" s="29">
        <f t="shared" si="78"/>
        <v>0</v>
      </c>
      <c r="BN109" s="29">
        <f t="shared" si="78"/>
        <v>0</v>
      </c>
      <c r="BO109" s="29">
        <f t="shared" si="78"/>
        <v>0</v>
      </c>
      <c r="BP109" s="29">
        <f t="shared" si="78"/>
        <v>0</v>
      </c>
      <c r="BQ109" s="29">
        <f t="shared" si="78"/>
        <v>0</v>
      </c>
      <c r="BR109" s="29">
        <f t="shared" si="78"/>
        <v>0</v>
      </c>
      <c r="BS109" s="29">
        <f t="shared" si="78"/>
        <v>0</v>
      </c>
      <c r="BT109" s="29">
        <f t="shared" si="78"/>
        <v>0</v>
      </c>
      <c r="BU109" s="29">
        <f t="shared" si="78"/>
        <v>0</v>
      </c>
      <c r="BV109" s="29">
        <f t="shared" si="78"/>
        <v>0</v>
      </c>
      <c r="BW109" s="29">
        <f t="shared" si="78"/>
        <v>0</v>
      </c>
      <c r="BX109" s="29">
        <f t="shared" si="78"/>
        <v>0</v>
      </c>
      <c r="BY109" s="29">
        <f t="shared" si="78"/>
        <v>0</v>
      </c>
      <c r="BZ109" s="29">
        <f t="shared" si="78"/>
        <v>0</v>
      </c>
      <c r="CA109" s="29">
        <f t="shared" si="78"/>
        <v>0</v>
      </c>
      <c r="CB109" s="29">
        <f t="shared" si="78"/>
        <v>0</v>
      </c>
      <c r="CC109" s="29">
        <f t="shared" si="78"/>
        <v>0</v>
      </c>
      <c r="CD109" s="29">
        <f t="shared" si="78"/>
        <v>0</v>
      </c>
      <c r="CE109" s="29">
        <f t="shared" si="78"/>
        <v>0</v>
      </c>
      <c r="CF109" s="29">
        <f t="shared" si="78"/>
        <v>0</v>
      </c>
      <c r="CG109" s="29">
        <f t="shared" si="78"/>
        <v>0</v>
      </c>
      <c r="CH109" s="29">
        <f t="shared" si="78"/>
        <v>0</v>
      </c>
    </row>
    <row r="110" spans="2:86" ht="13" hidden="1" outlineLevel="1">
      <c r="B110" s="84">
        <f t="shared" si="73"/>
        <v>7</v>
      </c>
      <c r="C110" s="64">
        <f t="shared" ca="1" si="71"/>
        <v>-0.15207267750779541</v>
      </c>
      <c r="D110" s="15" t="s">
        <v>238</v>
      </c>
      <c r="E110" s="29">
        <f t="shared" ca="1" si="61"/>
        <v>-1088750</v>
      </c>
      <c r="F110" s="29"/>
      <c r="G110" s="29">
        <f t="shared" ref="G110:CH110" ca="1" si="79">IF(G$4&lt;=$B110,ABS(G$31)*-1+G$47,0)+IF($B110=G$4,G$81,0)</f>
        <v>-1444375</v>
      </c>
      <c r="H110" s="29">
        <f t="shared" ca="1" si="79"/>
        <v>-1344375</v>
      </c>
      <c r="I110" s="29">
        <f t="shared" ca="1" si="79"/>
        <v>-1344375</v>
      </c>
      <c r="J110" s="29">
        <f t="shared" ca="1" si="79"/>
        <v>-1344375</v>
      </c>
      <c r="K110" s="29">
        <f t="shared" ca="1" si="79"/>
        <v>-1344375</v>
      </c>
      <c r="L110" s="29">
        <f t="shared" ca="1" si="79"/>
        <v>-1344375</v>
      </c>
      <c r="M110" s="29">
        <f t="shared" ca="1" si="79"/>
        <v>7077500</v>
      </c>
      <c r="N110" s="29">
        <f t="shared" si="79"/>
        <v>0</v>
      </c>
      <c r="O110" s="29">
        <f t="shared" si="79"/>
        <v>0</v>
      </c>
      <c r="P110" s="29">
        <f t="shared" si="79"/>
        <v>0</v>
      </c>
      <c r="Q110" s="29">
        <f t="shared" si="79"/>
        <v>0</v>
      </c>
      <c r="R110" s="29">
        <f t="shared" si="79"/>
        <v>0</v>
      </c>
      <c r="S110" s="29">
        <f t="shared" si="79"/>
        <v>0</v>
      </c>
      <c r="T110" s="29">
        <f t="shared" si="79"/>
        <v>0</v>
      </c>
      <c r="U110" s="29">
        <f t="shared" si="79"/>
        <v>0</v>
      </c>
      <c r="V110" s="29">
        <f t="shared" si="79"/>
        <v>0</v>
      </c>
      <c r="W110" s="29">
        <f t="shared" si="79"/>
        <v>0</v>
      </c>
      <c r="X110" s="29">
        <f t="shared" si="79"/>
        <v>0</v>
      </c>
      <c r="Y110" s="29">
        <f t="shared" si="79"/>
        <v>0</v>
      </c>
      <c r="Z110" s="29">
        <f t="shared" si="79"/>
        <v>0</v>
      </c>
      <c r="AA110" s="29">
        <f t="shared" si="79"/>
        <v>0</v>
      </c>
      <c r="AB110" s="29">
        <f t="shared" si="79"/>
        <v>0</v>
      </c>
      <c r="AC110" s="29">
        <f t="shared" si="79"/>
        <v>0</v>
      </c>
      <c r="AD110" s="29">
        <f t="shared" si="79"/>
        <v>0</v>
      </c>
      <c r="AE110" s="29">
        <f t="shared" si="79"/>
        <v>0</v>
      </c>
      <c r="AF110" s="29">
        <f t="shared" si="79"/>
        <v>0</v>
      </c>
      <c r="AG110" s="29">
        <f t="shared" si="79"/>
        <v>0</v>
      </c>
      <c r="AH110" s="29">
        <f t="shared" si="79"/>
        <v>0</v>
      </c>
      <c r="AI110" s="29">
        <f t="shared" si="79"/>
        <v>0</v>
      </c>
      <c r="AJ110" s="29">
        <f t="shared" si="79"/>
        <v>0</v>
      </c>
      <c r="AK110" s="29">
        <f t="shared" si="79"/>
        <v>0</v>
      </c>
      <c r="AL110" s="29">
        <f t="shared" si="79"/>
        <v>0</v>
      </c>
      <c r="AM110" s="29">
        <f t="shared" si="79"/>
        <v>0</v>
      </c>
      <c r="AN110" s="29">
        <f t="shared" si="79"/>
        <v>0</v>
      </c>
      <c r="AO110" s="29">
        <f t="shared" si="79"/>
        <v>0</v>
      </c>
      <c r="AP110" s="29">
        <f t="shared" si="79"/>
        <v>0</v>
      </c>
      <c r="AQ110" s="29">
        <f t="shared" si="79"/>
        <v>0</v>
      </c>
      <c r="AR110" s="29">
        <f t="shared" si="79"/>
        <v>0</v>
      </c>
      <c r="AS110" s="29">
        <f t="shared" si="79"/>
        <v>0</v>
      </c>
      <c r="AT110" s="29">
        <f t="shared" si="79"/>
        <v>0</v>
      </c>
      <c r="AU110" s="29">
        <f t="shared" si="79"/>
        <v>0</v>
      </c>
      <c r="AV110" s="29">
        <f t="shared" si="79"/>
        <v>0</v>
      </c>
      <c r="AW110" s="29">
        <f t="shared" si="79"/>
        <v>0</v>
      </c>
      <c r="AX110" s="29">
        <f t="shared" si="79"/>
        <v>0</v>
      </c>
      <c r="AY110" s="29">
        <f t="shared" si="79"/>
        <v>0</v>
      </c>
      <c r="AZ110" s="29">
        <f t="shared" si="79"/>
        <v>0</v>
      </c>
      <c r="BA110" s="29">
        <f t="shared" si="79"/>
        <v>0</v>
      </c>
      <c r="BB110" s="29">
        <f t="shared" si="79"/>
        <v>0</v>
      </c>
      <c r="BC110" s="29">
        <f t="shared" si="79"/>
        <v>0</v>
      </c>
      <c r="BD110" s="29">
        <f t="shared" si="79"/>
        <v>0</v>
      </c>
      <c r="BE110" s="29">
        <f t="shared" si="79"/>
        <v>0</v>
      </c>
      <c r="BF110" s="29">
        <f t="shared" si="79"/>
        <v>0</v>
      </c>
      <c r="BG110" s="29">
        <f t="shared" si="79"/>
        <v>0</v>
      </c>
      <c r="BH110" s="29">
        <f t="shared" si="79"/>
        <v>0</v>
      </c>
      <c r="BI110" s="29">
        <f t="shared" si="79"/>
        <v>0</v>
      </c>
      <c r="BJ110" s="29">
        <f t="shared" si="79"/>
        <v>0</v>
      </c>
      <c r="BK110" s="29">
        <f t="shared" si="79"/>
        <v>0</v>
      </c>
      <c r="BL110" s="29">
        <f t="shared" si="79"/>
        <v>0</v>
      </c>
      <c r="BM110" s="29">
        <f t="shared" si="79"/>
        <v>0</v>
      </c>
      <c r="BN110" s="29">
        <f t="shared" si="79"/>
        <v>0</v>
      </c>
      <c r="BO110" s="29">
        <f t="shared" si="79"/>
        <v>0</v>
      </c>
      <c r="BP110" s="29">
        <f t="shared" si="79"/>
        <v>0</v>
      </c>
      <c r="BQ110" s="29">
        <f t="shared" si="79"/>
        <v>0</v>
      </c>
      <c r="BR110" s="29">
        <f t="shared" si="79"/>
        <v>0</v>
      </c>
      <c r="BS110" s="29">
        <f t="shared" si="79"/>
        <v>0</v>
      </c>
      <c r="BT110" s="29">
        <f t="shared" si="79"/>
        <v>0</v>
      </c>
      <c r="BU110" s="29">
        <f t="shared" si="79"/>
        <v>0</v>
      </c>
      <c r="BV110" s="29">
        <f t="shared" si="79"/>
        <v>0</v>
      </c>
      <c r="BW110" s="29">
        <f t="shared" si="79"/>
        <v>0</v>
      </c>
      <c r="BX110" s="29">
        <f t="shared" si="79"/>
        <v>0</v>
      </c>
      <c r="BY110" s="29">
        <f t="shared" si="79"/>
        <v>0</v>
      </c>
      <c r="BZ110" s="29">
        <f t="shared" si="79"/>
        <v>0</v>
      </c>
      <c r="CA110" s="29">
        <f t="shared" si="79"/>
        <v>0</v>
      </c>
      <c r="CB110" s="29">
        <f t="shared" si="79"/>
        <v>0</v>
      </c>
      <c r="CC110" s="29">
        <f t="shared" si="79"/>
        <v>0</v>
      </c>
      <c r="CD110" s="29">
        <f t="shared" si="79"/>
        <v>0</v>
      </c>
      <c r="CE110" s="29">
        <f t="shared" si="79"/>
        <v>0</v>
      </c>
      <c r="CF110" s="29">
        <f t="shared" si="79"/>
        <v>0</v>
      </c>
      <c r="CG110" s="29">
        <f t="shared" si="79"/>
        <v>0</v>
      </c>
      <c r="CH110" s="29">
        <f t="shared" si="79"/>
        <v>0</v>
      </c>
    </row>
    <row r="111" spans="2:86" ht="13" hidden="1" outlineLevel="1">
      <c r="B111" s="84">
        <f t="shared" si="73"/>
        <v>8</v>
      </c>
      <c r="C111" s="64">
        <f t="shared" ca="1" si="71"/>
        <v>-0.13052386610076128</v>
      </c>
      <c r="D111" s="15" t="s">
        <v>238</v>
      </c>
      <c r="E111" s="29">
        <f t="shared" ca="1" si="61"/>
        <v>-1230000</v>
      </c>
      <c r="F111" s="29"/>
      <c r="G111" s="29">
        <f t="shared" ref="G111:CH111" ca="1" si="80">IF(G$4&lt;=$B111,ABS(G$31)*-1+G$47,0)+IF($B111=G$4,G$81,0)</f>
        <v>-1444375</v>
      </c>
      <c r="H111" s="29">
        <f t="shared" ca="1" si="80"/>
        <v>-1344375</v>
      </c>
      <c r="I111" s="29">
        <f t="shared" ca="1" si="80"/>
        <v>-1344375</v>
      </c>
      <c r="J111" s="29">
        <f t="shared" ca="1" si="80"/>
        <v>-1344375</v>
      </c>
      <c r="K111" s="29">
        <f t="shared" ca="1" si="80"/>
        <v>-1344375</v>
      </c>
      <c r="L111" s="29">
        <f t="shared" ca="1" si="80"/>
        <v>-1344375</v>
      </c>
      <c r="M111" s="29">
        <f t="shared" ca="1" si="80"/>
        <v>-1344375</v>
      </c>
      <c r="N111" s="29">
        <f t="shared" ca="1" si="80"/>
        <v>8280625</v>
      </c>
      <c r="O111" s="29">
        <f t="shared" si="80"/>
        <v>0</v>
      </c>
      <c r="P111" s="29">
        <f t="shared" si="80"/>
        <v>0</v>
      </c>
      <c r="Q111" s="29">
        <f t="shared" si="80"/>
        <v>0</v>
      </c>
      <c r="R111" s="29">
        <f t="shared" si="80"/>
        <v>0</v>
      </c>
      <c r="S111" s="29">
        <f t="shared" si="80"/>
        <v>0</v>
      </c>
      <c r="T111" s="29">
        <f t="shared" si="80"/>
        <v>0</v>
      </c>
      <c r="U111" s="29">
        <f t="shared" si="80"/>
        <v>0</v>
      </c>
      <c r="V111" s="29">
        <f t="shared" si="80"/>
        <v>0</v>
      </c>
      <c r="W111" s="29">
        <f t="shared" si="80"/>
        <v>0</v>
      </c>
      <c r="X111" s="29">
        <f t="shared" si="80"/>
        <v>0</v>
      </c>
      <c r="Y111" s="29">
        <f t="shared" si="80"/>
        <v>0</v>
      </c>
      <c r="Z111" s="29">
        <f t="shared" si="80"/>
        <v>0</v>
      </c>
      <c r="AA111" s="29">
        <f t="shared" si="80"/>
        <v>0</v>
      </c>
      <c r="AB111" s="29">
        <f t="shared" si="80"/>
        <v>0</v>
      </c>
      <c r="AC111" s="29">
        <f t="shared" si="80"/>
        <v>0</v>
      </c>
      <c r="AD111" s="29">
        <f t="shared" si="80"/>
        <v>0</v>
      </c>
      <c r="AE111" s="29">
        <f t="shared" si="80"/>
        <v>0</v>
      </c>
      <c r="AF111" s="29">
        <f t="shared" si="80"/>
        <v>0</v>
      </c>
      <c r="AG111" s="29">
        <f t="shared" si="80"/>
        <v>0</v>
      </c>
      <c r="AH111" s="29">
        <f t="shared" si="80"/>
        <v>0</v>
      </c>
      <c r="AI111" s="29">
        <f t="shared" si="80"/>
        <v>0</v>
      </c>
      <c r="AJ111" s="29">
        <f t="shared" si="80"/>
        <v>0</v>
      </c>
      <c r="AK111" s="29">
        <f t="shared" si="80"/>
        <v>0</v>
      </c>
      <c r="AL111" s="29">
        <f t="shared" si="80"/>
        <v>0</v>
      </c>
      <c r="AM111" s="29">
        <f t="shared" si="80"/>
        <v>0</v>
      </c>
      <c r="AN111" s="29">
        <f t="shared" si="80"/>
        <v>0</v>
      </c>
      <c r="AO111" s="29">
        <f t="shared" si="80"/>
        <v>0</v>
      </c>
      <c r="AP111" s="29">
        <f t="shared" si="80"/>
        <v>0</v>
      </c>
      <c r="AQ111" s="29">
        <f t="shared" si="80"/>
        <v>0</v>
      </c>
      <c r="AR111" s="29">
        <f t="shared" si="80"/>
        <v>0</v>
      </c>
      <c r="AS111" s="29">
        <f t="shared" si="80"/>
        <v>0</v>
      </c>
      <c r="AT111" s="29">
        <f t="shared" si="80"/>
        <v>0</v>
      </c>
      <c r="AU111" s="29">
        <f t="shared" si="80"/>
        <v>0</v>
      </c>
      <c r="AV111" s="29">
        <f t="shared" si="80"/>
        <v>0</v>
      </c>
      <c r="AW111" s="29">
        <f t="shared" si="80"/>
        <v>0</v>
      </c>
      <c r="AX111" s="29">
        <f t="shared" si="80"/>
        <v>0</v>
      </c>
      <c r="AY111" s="29">
        <f t="shared" si="80"/>
        <v>0</v>
      </c>
      <c r="AZ111" s="29">
        <f t="shared" si="80"/>
        <v>0</v>
      </c>
      <c r="BA111" s="29">
        <f t="shared" si="80"/>
        <v>0</v>
      </c>
      <c r="BB111" s="29">
        <f t="shared" si="80"/>
        <v>0</v>
      </c>
      <c r="BC111" s="29">
        <f t="shared" si="80"/>
        <v>0</v>
      </c>
      <c r="BD111" s="29">
        <f t="shared" si="80"/>
        <v>0</v>
      </c>
      <c r="BE111" s="29">
        <f t="shared" si="80"/>
        <v>0</v>
      </c>
      <c r="BF111" s="29">
        <f t="shared" si="80"/>
        <v>0</v>
      </c>
      <c r="BG111" s="29">
        <f t="shared" si="80"/>
        <v>0</v>
      </c>
      <c r="BH111" s="29">
        <f t="shared" si="80"/>
        <v>0</v>
      </c>
      <c r="BI111" s="29">
        <f t="shared" si="80"/>
        <v>0</v>
      </c>
      <c r="BJ111" s="29">
        <f t="shared" si="80"/>
        <v>0</v>
      </c>
      <c r="BK111" s="29">
        <f t="shared" si="80"/>
        <v>0</v>
      </c>
      <c r="BL111" s="29">
        <f t="shared" si="80"/>
        <v>0</v>
      </c>
      <c r="BM111" s="29">
        <f t="shared" si="80"/>
        <v>0</v>
      </c>
      <c r="BN111" s="29">
        <f t="shared" si="80"/>
        <v>0</v>
      </c>
      <c r="BO111" s="29">
        <f t="shared" si="80"/>
        <v>0</v>
      </c>
      <c r="BP111" s="29">
        <f t="shared" si="80"/>
        <v>0</v>
      </c>
      <c r="BQ111" s="29">
        <f t="shared" si="80"/>
        <v>0</v>
      </c>
      <c r="BR111" s="29">
        <f t="shared" si="80"/>
        <v>0</v>
      </c>
      <c r="BS111" s="29">
        <f t="shared" si="80"/>
        <v>0</v>
      </c>
      <c r="BT111" s="29">
        <f t="shared" si="80"/>
        <v>0</v>
      </c>
      <c r="BU111" s="29">
        <f t="shared" si="80"/>
        <v>0</v>
      </c>
      <c r="BV111" s="29">
        <f t="shared" si="80"/>
        <v>0</v>
      </c>
      <c r="BW111" s="29">
        <f t="shared" si="80"/>
        <v>0</v>
      </c>
      <c r="BX111" s="29">
        <f t="shared" si="80"/>
        <v>0</v>
      </c>
      <c r="BY111" s="29">
        <f t="shared" si="80"/>
        <v>0</v>
      </c>
      <c r="BZ111" s="29">
        <f t="shared" si="80"/>
        <v>0</v>
      </c>
      <c r="CA111" s="29">
        <f t="shared" si="80"/>
        <v>0</v>
      </c>
      <c r="CB111" s="29">
        <f t="shared" si="80"/>
        <v>0</v>
      </c>
      <c r="CC111" s="29">
        <f t="shared" si="80"/>
        <v>0</v>
      </c>
      <c r="CD111" s="29">
        <f t="shared" si="80"/>
        <v>0</v>
      </c>
      <c r="CE111" s="29">
        <f t="shared" si="80"/>
        <v>0</v>
      </c>
      <c r="CF111" s="29">
        <f t="shared" si="80"/>
        <v>0</v>
      </c>
      <c r="CG111" s="29">
        <f t="shared" si="80"/>
        <v>0</v>
      </c>
      <c r="CH111" s="29">
        <f t="shared" si="80"/>
        <v>0</v>
      </c>
    </row>
    <row r="112" spans="2:86" ht="13" hidden="1" outlineLevel="1">
      <c r="B112" s="84">
        <f t="shared" si="73"/>
        <v>9</v>
      </c>
      <c r="C112" s="64">
        <f t="shared" ca="1" si="71"/>
        <v>-8.6056578771624426E-2</v>
      </c>
      <c r="D112" s="15" t="s">
        <v>238</v>
      </c>
      <c r="E112" s="29">
        <f t="shared" ca="1" si="61"/>
        <v>-1039037.207023235</v>
      </c>
      <c r="F112" s="29"/>
      <c r="G112" s="29">
        <f t="shared" ref="G112:CH112" ca="1" si="81">IF(G$4&lt;=$B112,ABS(G$31)*-1+G$47,0)+IF($B112=G$4,G$81,0)</f>
        <v>-1444375</v>
      </c>
      <c r="H112" s="29">
        <f t="shared" ca="1" si="81"/>
        <v>-1344375</v>
      </c>
      <c r="I112" s="29">
        <f t="shared" ca="1" si="81"/>
        <v>-1344375</v>
      </c>
      <c r="J112" s="29">
        <f t="shared" ca="1" si="81"/>
        <v>-1344375</v>
      </c>
      <c r="K112" s="29">
        <f t="shared" ca="1" si="81"/>
        <v>-1344375</v>
      </c>
      <c r="L112" s="29">
        <f t="shared" ca="1" si="81"/>
        <v>-1344375</v>
      </c>
      <c r="M112" s="29">
        <f t="shared" ca="1" si="81"/>
        <v>-1344375</v>
      </c>
      <c r="N112" s="29">
        <f t="shared" ca="1" si="81"/>
        <v>-1344375</v>
      </c>
      <c r="O112" s="29">
        <f t="shared" ca="1" si="81"/>
        <v>9815962.792976765</v>
      </c>
      <c r="P112" s="29">
        <f t="shared" si="81"/>
        <v>0</v>
      </c>
      <c r="Q112" s="29">
        <f t="shared" si="81"/>
        <v>0</v>
      </c>
      <c r="R112" s="29">
        <f t="shared" si="81"/>
        <v>0</v>
      </c>
      <c r="S112" s="29">
        <f t="shared" si="81"/>
        <v>0</v>
      </c>
      <c r="T112" s="29">
        <f t="shared" si="81"/>
        <v>0</v>
      </c>
      <c r="U112" s="29">
        <f t="shared" si="81"/>
        <v>0</v>
      </c>
      <c r="V112" s="29">
        <f t="shared" si="81"/>
        <v>0</v>
      </c>
      <c r="W112" s="29">
        <f t="shared" si="81"/>
        <v>0</v>
      </c>
      <c r="X112" s="29">
        <f t="shared" si="81"/>
        <v>0</v>
      </c>
      <c r="Y112" s="29">
        <f t="shared" si="81"/>
        <v>0</v>
      </c>
      <c r="Z112" s="29">
        <f t="shared" si="81"/>
        <v>0</v>
      </c>
      <c r="AA112" s="29">
        <f t="shared" si="81"/>
        <v>0</v>
      </c>
      <c r="AB112" s="29">
        <f t="shared" si="81"/>
        <v>0</v>
      </c>
      <c r="AC112" s="29">
        <f t="shared" si="81"/>
        <v>0</v>
      </c>
      <c r="AD112" s="29">
        <f t="shared" si="81"/>
        <v>0</v>
      </c>
      <c r="AE112" s="29">
        <f t="shared" si="81"/>
        <v>0</v>
      </c>
      <c r="AF112" s="29">
        <f t="shared" si="81"/>
        <v>0</v>
      </c>
      <c r="AG112" s="29">
        <f t="shared" si="81"/>
        <v>0</v>
      </c>
      <c r="AH112" s="29">
        <f t="shared" si="81"/>
        <v>0</v>
      </c>
      <c r="AI112" s="29">
        <f t="shared" si="81"/>
        <v>0</v>
      </c>
      <c r="AJ112" s="29">
        <f t="shared" si="81"/>
        <v>0</v>
      </c>
      <c r="AK112" s="29">
        <f t="shared" si="81"/>
        <v>0</v>
      </c>
      <c r="AL112" s="29">
        <f t="shared" si="81"/>
        <v>0</v>
      </c>
      <c r="AM112" s="29">
        <f t="shared" si="81"/>
        <v>0</v>
      </c>
      <c r="AN112" s="29">
        <f t="shared" si="81"/>
        <v>0</v>
      </c>
      <c r="AO112" s="29">
        <f t="shared" si="81"/>
        <v>0</v>
      </c>
      <c r="AP112" s="29">
        <f t="shared" si="81"/>
        <v>0</v>
      </c>
      <c r="AQ112" s="29">
        <f t="shared" si="81"/>
        <v>0</v>
      </c>
      <c r="AR112" s="29">
        <f t="shared" si="81"/>
        <v>0</v>
      </c>
      <c r="AS112" s="29">
        <f t="shared" si="81"/>
        <v>0</v>
      </c>
      <c r="AT112" s="29">
        <f t="shared" si="81"/>
        <v>0</v>
      </c>
      <c r="AU112" s="29">
        <f t="shared" si="81"/>
        <v>0</v>
      </c>
      <c r="AV112" s="29">
        <f t="shared" si="81"/>
        <v>0</v>
      </c>
      <c r="AW112" s="29">
        <f t="shared" si="81"/>
        <v>0</v>
      </c>
      <c r="AX112" s="29">
        <f t="shared" si="81"/>
        <v>0</v>
      </c>
      <c r="AY112" s="29">
        <f t="shared" si="81"/>
        <v>0</v>
      </c>
      <c r="AZ112" s="29">
        <f t="shared" si="81"/>
        <v>0</v>
      </c>
      <c r="BA112" s="29">
        <f t="shared" si="81"/>
        <v>0</v>
      </c>
      <c r="BB112" s="29">
        <f t="shared" si="81"/>
        <v>0</v>
      </c>
      <c r="BC112" s="29">
        <f t="shared" si="81"/>
        <v>0</v>
      </c>
      <c r="BD112" s="29">
        <f t="shared" si="81"/>
        <v>0</v>
      </c>
      <c r="BE112" s="29">
        <f t="shared" si="81"/>
        <v>0</v>
      </c>
      <c r="BF112" s="29">
        <f t="shared" si="81"/>
        <v>0</v>
      </c>
      <c r="BG112" s="29">
        <f t="shared" si="81"/>
        <v>0</v>
      </c>
      <c r="BH112" s="29">
        <f t="shared" si="81"/>
        <v>0</v>
      </c>
      <c r="BI112" s="29">
        <f t="shared" si="81"/>
        <v>0</v>
      </c>
      <c r="BJ112" s="29">
        <f t="shared" si="81"/>
        <v>0</v>
      </c>
      <c r="BK112" s="29">
        <f t="shared" si="81"/>
        <v>0</v>
      </c>
      <c r="BL112" s="29">
        <f t="shared" si="81"/>
        <v>0</v>
      </c>
      <c r="BM112" s="29">
        <f t="shared" si="81"/>
        <v>0</v>
      </c>
      <c r="BN112" s="29">
        <f t="shared" si="81"/>
        <v>0</v>
      </c>
      <c r="BO112" s="29">
        <f t="shared" si="81"/>
        <v>0</v>
      </c>
      <c r="BP112" s="29">
        <f t="shared" si="81"/>
        <v>0</v>
      </c>
      <c r="BQ112" s="29">
        <f t="shared" si="81"/>
        <v>0</v>
      </c>
      <c r="BR112" s="29">
        <f t="shared" si="81"/>
        <v>0</v>
      </c>
      <c r="BS112" s="29">
        <f t="shared" si="81"/>
        <v>0</v>
      </c>
      <c r="BT112" s="29">
        <f t="shared" si="81"/>
        <v>0</v>
      </c>
      <c r="BU112" s="29">
        <f t="shared" si="81"/>
        <v>0</v>
      </c>
      <c r="BV112" s="29">
        <f t="shared" si="81"/>
        <v>0</v>
      </c>
      <c r="BW112" s="29">
        <f t="shared" si="81"/>
        <v>0</v>
      </c>
      <c r="BX112" s="29">
        <f t="shared" si="81"/>
        <v>0</v>
      </c>
      <c r="BY112" s="29">
        <f t="shared" si="81"/>
        <v>0</v>
      </c>
      <c r="BZ112" s="29">
        <f t="shared" si="81"/>
        <v>0</v>
      </c>
      <c r="CA112" s="29">
        <f t="shared" si="81"/>
        <v>0</v>
      </c>
      <c r="CB112" s="29">
        <f t="shared" si="81"/>
        <v>0</v>
      </c>
      <c r="CC112" s="29">
        <f t="shared" si="81"/>
        <v>0</v>
      </c>
      <c r="CD112" s="29">
        <f t="shared" si="81"/>
        <v>0</v>
      </c>
      <c r="CE112" s="29">
        <f t="shared" si="81"/>
        <v>0</v>
      </c>
      <c r="CF112" s="29">
        <f t="shared" si="81"/>
        <v>0</v>
      </c>
      <c r="CG112" s="29">
        <f t="shared" si="81"/>
        <v>0</v>
      </c>
      <c r="CH112" s="29">
        <f t="shared" si="81"/>
        <v>0</v>
      </c>
    </row>
    <row r="113" spans="2:86" ht="13" hidden="1" outlineLevel="1">
      <c r="B113" s="84">
        <f t="shared" si="73"/>
        <v>10</v>
      </c>
      <c r="C113" s="64">
        <f t="shared" ca="1" si="71"/>
        <v>-5.2724747805805716E-2</v>
      </c>
      <c r="D113" s="15" t="s">
        <v>238</v>
      </c>
      <c r="E113" s="29">
        <f t="shared" ca="1" si="61"/>
        <v>-796655.49731589667</v>
      </c>
      <c r="F113" s="29"/>
      <c r="G113" s="29">
        <f t="shared" ref="G113:CH113" ca="1" si="82">IF(G$4&lt;=$B113,ABS(G$31)*-1+G$47,0)+IF($B113=G$4,G$81,0)</f>
        <v>-1444375</v>
      </c>
      <c r="H113" s="29">
        <f t="shared" ca="1" si="82"/>
        <v>-1344375</v>
      </c>
      <c r="I113" s="29">
        <f t="shared" ca="1" si="82"/>
        <v>-1344375</v>
      </c>
      <c r="J113" s="29">
        <f t="shared" ca="1" si="82"/>
        <v>-1344375</v>
      </c>
      <c r="K113" s="29">
        <f t="shared" ca="1" si="82"/>
        <v>-1344375</v>
      </c>
      <c r="L113" s="29">
        <f t="shared" ca="1" si="82"/>
        <v>-1344375</v>
      </c>
      <c r="M113" s="29">
        <f t="shared" ca="1" si="82"/>
        <v>-1344375</v>
      </c>
      <c r="N113" s="29">
        <f t="shared" ca="1" si="82"/>
        <v>-1344375</v>
      </c>
      <c r="O113" s="29">
        <f t="shared" ca="1" si="82"/>
        <v>-1344375</v>
      </c>
      <c r="P113" s="29">
        <f t="shared" ca="1" si="82"/>
        <v>11402719.502684103</v>
      </c>
      <c r="Q113" s="29">
        <f t="shared" si="82"/>
        <v>0</v>
      </c>
      <c r="R113" s="29">
        <f t="shared" si="82"/>
        <v>0</v>
      </c>
      <c r="S113" s="29">
        <f t="shared" si="82"/>
        <v>0</v>
      </c>
      <c r="T113" s="29">
        <f t="shared" si="82"/>
        <v>0</v>
      </c>
      <c r="U113" s="29">
        <f t="shared" si="82"/>
        <v>0</v>
      </c>
      <c r="V113" s="29">
        <f t="shared" si="82"/>
        <v>0</v>
      </c>
      <c r="W113" s="29">
        <f t="shared" si="82"/>
        <v>0</v>
      </c>
      <c r="X113" s="29">
        <f t="shared" si="82"/>
        <v>0</v>
      </c>
      <c r="Y113" s="29">
        <f t="shared" si="82"/>
        <v>0</v>
      </c>
      <c r="Z113" s="29">
        <f t="shared" si="82"/>
        <v>0</v>
      </c>
      <c r="AA113" s="29">
        <f t="shared" si="82"/>
        <v>0</v>
      </c>
      <c r="AB113" s="29">
        <f t="shared" si="82"/>
        <v>0</v>
      </c>
      <c r="AC113" s="29">
        <f t="shared" si="82"/>
        <v>0</v>
      </c>
      <c r="AD113" s="29">
        <f t="shared" si="82"/>
        <v>0</v>
      </c>
      <c r="AE113" s="29">
        <f t="shared" si="82"/>
        <v>0</v>
      </c>
      <c r="AF113" s="29">
        <f t="shared" si="82"/>
        <v>0</v>
      </c>
      <c r="AG113" s="29">
        <f t="shared" si="82"/>
        <v>0</v>
      </c>
      <c r="AH113" s="29">
        <f t="shared" si="82"/>
        <v>0</v>
      </c>
      <c r="AI113" s="29">
        <f t="shared" si="82"/>
        <v>0</v>
      </c>
      <c r="AJ113" s="29">
        <f t="shared" si="82"/>
        <v>0</v>
      </c>
      <c r="AK113" s="29">
        <f t="shared" si="82"/>
        <v>0</v>
      </c>
      <c r="AL113" s="29">
        <f t="shared" si="82"/>
        <v>0</v>
      </c>
      <c r="AM113" s="29">
        <f t="shared" si="82"/>
        <v>0</v>
      </c>
      <c r="AN113" s="29">
        <f t="shared" si="82"/>
        <v>0</v>
      </c>
      <c r="AO113" s="29">
        <f t="shared" si="82"/>
        <v>0</v>
      </c>
      <c r="AP113" s="29">
        <f t="shared" si="82"/>
        <v>0</v>
      </c>
      <c r="AQ113" s="29">
        <f t="shared" si="82"/>
        <v>0</v>
      </c>
      <c r="AR113" s="29">
        <f t="shared" si="82"/>
        <v>0</v>
      </c>
      <c r="AS113" s="29">
        <f t="shared" si="82"/>
        <v>0</v>
      </c>
      <c r="AT113" s="29">
        <f t="shared" si="82"/>
        <v>0</v>
      </c>
      <c r="AU113" s="29">
        <f t="shared" si="82"/>
        <v>0</v>
      </c>
      <c r="AV113" s="29">
        <f t="shared" si="82"/>
        <v>0</v>
      </c>
      <c r="AW113" s="29">
        <f t="shared" si="82"/>
        <v>0</v>
      </c>
      <c r="AX113" s="29">
        <f t="shared" si="82"/>
        <v>0</v>
      </c>
      <c r="AY113" s="29">
        <f t="shared" si="82"/>
        <v>0</v>
      </c>
      <c r="AZ113" s="29">
        <f t="shared" si="82"/>
        <v>0</v>
      </c>
      <c r="BA113" s="29">
        <f t="shared" si="82"/>
        <v>0</v>
      </c>
      <c r="BB113" s="29">
        <f t="shared" si="82"/>
        <v>0</v>
      </c>
      <c r="BC113" s="29">
        <f t="shared" si="82"/>
        <v>0</v>
      </c>
      <c r="BD113" s="29">
        <f t="shared" si="82"/>
        <v>0</v>
      </c>
      <c r="BE113" s="29">
        <f t="shared" si="82"/>
        <v>0</v>
      </c>
      <c r="BF113" s="29">
        <f t="shared" si="82"/>
        <v>0</v>
      </c>
      <c r="BG113" s="29">
        <f t="shared" si="82"/>
        <v>0</v>
      </c>
      <c r="BH113" s="29">
        <f t="shared" si="82"/>
        <v>0</v>
      </c>
      <c r="BI113" s="29">
        <f t="shared" si="82"/>
        <v>0</v>
      </c>
      <c r="BJ113" s="29">
        <f t="shared" si="82"/>
        <v>0</v>
      </c>
      <c r="BK113" s="29">
        <f t="shared" si="82"/>
        <v>0</v>
      </c>
      <c r="BL113" s="29">
        <f t="shared" si="82"/>
        <v>0</v>
      </c>
      <c r="BM113" s="29">
        <f t="shared" si="82"/>
        <v>0</v>
      </c>
      <c r="BN113" s="29">
        <f t="shared" si="82"/>
        <v>0</v>
      </c>
      <c r="BO113" s="29">
        <f t="shared" si="82"/>
        <v>0</v>
      </c>
      <c r="BP113" s="29">
        <f t="shared" si="82"/>
        <v>0</v>
      </c>
      <c r="BQ113" s="29">
        <f t="shared" si="82"/>
        <v>0</v>
      </c>
      <c r="BR113" s="29">
        <f t="shared" si="82"/>
        <v>0</v>
      </c>
      <c r="BS113" s="29">
        <f t="shared" si="82"/>
        <v>0</v>
      </c>
      <c r="BT113" s="29">
        <f t="shared" si="82"/>
        <v>0</v>
      </c>
      <c r="BU113" s="29">
        <f t="shared" si="82"/>
        <v>0</v>
      </c>
      <c r="BV113" s="29">
        <f t="shared" si="82"/>
        <v>0</v>
      </c>
      <c r="BW113" s="29">
        <f t="shared" si="82"/>
        <v>0</v>
      </c>
      <c r="BX113" s="29">
        <f t="shared" si="82"/>
        <v>0</v>
      </c>
      <c r="BY113" s="29">
        <f t="shared" si="82"/>
        <v>0</v>
      </c>
      <c r="BZ113" s="29">
        <f t="shared" si="82"/>
        <v>0</v>
      </c>
      <c r="CA113" s="29">
        <f t="shared" si="82"/>
        <v>0</v>
      </c>
      <c r="CB113" s="29">
        <f t="shared" si="82"/>
        <v>0</v>
      </c>
      <c r="CC113" s="29">
        <f t="shared" si="82"/>
        <v>0</v>
      </c>
      <c r="CD113" s="29">
        <f t="shared" si="82"/>
        <v>0</v>
      </c>
      <c r="CE113" s="29">
        <f t="shared" si="82"/>
        <v>0</v>
      </c>
      <c r="CF113" s="29">
        <f t="shared" si="82"/>
        <v>0</v>
      </c>
      <c r="CG113" s="29">
        <f t="shared" si="82"/>
        <v>0</v>
      </c>
      <c r="CH113" s="29">
        <f t="shared" si="82"/>
        <v>0</v>
      </c>
    </row>
    <row r="114" spans="2:86" ht="13" hidden="1" outlineLevel="1">
      <c r="B114" s="84">
        <f t="shared" si="73"/>
        <v>11</v>
      </c>
      <c r="C114" s="64">
        <f t="shared" ca="1" si="71"/>
        <v>-2.7118992588905377E-2</v>
      </c>
      <c r="D114" s="15" t="s">
        <v>238</v>
      </c>
      <c r="E114" s="29">
        <f t="shared" ca="1" si="61"/>
        <v>-502854.87087798491</v>
      </c>
      <c r="F114" s="29"/>
      <c r="G114" s="29">
        <f t="shared" ref="G114:CH114" ca="1" si="83">IF(G$4&lt;=$B114,ABS(G$31)*-1+G$47,0)+IF($B114=G$4,G$81,0)</f>
        <v>-1444375</v>
      </c>
      <c r="H114" s="29">
        <f t="shared" ca="1" si="83"/>
        <v>-1344375</v>
      </c>
      <c r="I114" s="29">
        <f t="shared" ca="1" si="83"/>
        <v>-1344375</v>
      </c>
      <c r="J114" s="29">
        <f t="shared" ca="1" si="83"/>
        <v>-1344375</v>
      </c>
      <c r="K114" s="29">
        <f t="shared" ca="1" si="83"/>
        <v>-1344375</v>
      </c>
      <c r="L114" s="29">
        <f t="shared" ca="1" si="83"/>
        <v>-1344375</v>
      </c>
      <c r="M114" s="29">
        <f t="shared" ca="1" si="83"/>
        <v>-1344375</v>
      </c>
      <c r="N114" s="29">
        <f t="shared" ca="1" si="83"/>
        <v>-1344375</v>
      </c>
      <c r="O114" s="29">
        <f t="shared" ca="1" si="83"/>
        <v>-1344375</v>
      </c>
      <c r="P114" s="29">
        <f t="shared" ca="1" si="83"/>
        <v>-1344375</v>
      </c>
      <c r="Q114" s="29">
        <f t="shared" ca="1" si="83"/>
        <v>13040895.129122015</v>
      </c>
      <c r="R114" s="29">
        <f t="shared" si="83"/>
        <v>0</v>
      </c>
      <c r="S114" s="29">
        <f t="shared" si="83"/>
        <v>0</v>
      </c>
      <c r="T114" s="29">
        <f t="shared" si="83"/>
        <v>0</v>
      </c>
      <c r="U114" s="29">
        <f t="shared" si="83"/>
        <v>0</v>
      </c>
      <c r="V114" s="29">
        <f t="shared" si="83"/>
        <v>0</v>
      </c>
      <c r="W114" s="29">
        <f t="shared" si="83"/>
        <v>0</v>
      </c>
      <c r="X114" s="29">
        <f t="shared" si="83"/>
        <v>0</v>
      </c>
      <c r="Y114" s="29">
        <f t="shared" si="83"/>
        <v>0</v>
      </c>
      <c r="Z114" s="29">
        <f t="shared" si="83"/>
        <v>0</v>
      </c>
      <c r="AA114" s="29">
        <f t="shared" si="83"/>
        <v>0</v>
      </c>
      <c r="AB114" s="29">
        <f t="shared" si="83"/>
        <v>0</v>
      </c>
      <c r="AC114" s="29">
        <f t="shared" si="83"/>
        <v>0</v>
      </c>
      <c r="AD114" s="29">
        <f t="shared" si="83"/>
        <v>0</v>
      </c>
      <c r="AE114" s="29">
        <f t="shared" si="83"/>
        <v>0</v>
      </c>
      <c r="AF114" s="29">
        <f t="shared" si="83"/>
        <v>0</v>
      </c>
      <c r="AG114" s="29">
        <f t="shared" si="83"/>
        <v>0</v>
      </c>
      <c r="AH114" s="29">
        <f t="shared" si="83"/>
        <v>0</v>
      </c>
      <c r="AI114" s="29">
        <f t="shared" si="83"/>
        <v>0</v>
      </c>
      <c r="AJ114" s="29">
        <f t="shared" si="83"/>
        <v>0</v>
      </c>
      <c r="AK114" s="29">
        <f t="shared" si="83"/>
        <v>0</v>
      </c>
      <c r="AL114" s="29">
        <f t="shared" si="83"/>
        <v>0</v>
      </c>
      <c r="AM114" s="29">
        <f t="shared" si="83"/>
        <v>0</v>
      </c>
      <c r="AN114" s="29">
        <f t="shared" si="83"/>
        <v>0</v>
      </c>
      <c r="AO114" s="29">
        <f t="shared" si="83"/>
        <v>0</v>
      </c>
      <c r="AP114" s="29">
        <f t="shared" si="83"/>
        <v>0</v>
      </c>
      <c r="AQ114" s="29">
        <f t="shared" si="83"/>
        <v>0</v>
      </c>
      <c r="AR114" s="29">
        <f t="shared" si="83"/>
        <v>0</v>
      </c>
      <c r="AS114" s="29">
        <f t="shared" si="83"/>
        <v>0</v>
      </c>
      <c r="AT114" s="29">
        <f t="shared" si="83"/>
        <v>0</v>
      </c>
      <c r="AU114" s="29">
        <f t="shared" si="83"/>
        <v>0</v>
      </c>
      <c r="AV114" s="29">
        <f t="shared" si="83"/>
        <v>0</v>
      </c>
      <c r="AW114" s="29">
        <f t="shared" si="83"/>
        <v>0</v>
      </c>
      <c r="AX114" s="29">
        <f t="shared" si="83"/>
        <v>0</v>
      </c>
      <c r="AY114" s="29">
        <f t="shared" si="83"/>
        <v>0</v>
      </c>
      <c r="AZ114" s="29">
        <f t="shared" si="83"/>
        <v>0</v>
      </c>
      <c r="BA114" s="29">
        <f t="shared" si="83"/>
        <v>0</v>
      </c>
      <c r="BB114" s="29">
        <f t="shared" si="83"/>
        <v>0</v>
      </c>
      <c r="BC114" s="29">
        <f t="shared" si="83"/>
        <v>0</v>
      </c>
      <c r="BD114" s="29">
        <f t="shared" si="83"/>
        <v>0</v>
      </c>
      <c r="BE114" s="29">
        <f t="shared" si="83"/>
        <v>0</v>
      </c>
      <c r="BF114" s="29">
        <f t="shared" si="83"/>
        <v>0</v>
      </c>
      <c r="BG114" s="29">
        <f t="shared" si="83"/>
        <v>0</v>
      </c>
      <c r="BH114" s="29">
        <f t="shared" si="83"/>
        <v>0</v>
      </c>
      <c r="BI114" s="29">
        <f t="shared" si="83"/>
        <v>0</v>
      </c>
      <c r="BJ114" s="29">
        <f t="shared" si="83"/>
        <v>0</v>
      </c>
      <c r="BK114" s="29">
        <f t="shared" si="83"/>
        <v>0</v>
      </c>
      <c r="BL114" s="29">
        <f t="shared" si="83"/>
        <v>0</v>
      </c>
      <c r="BM114" s="29">
        <f t="shared" si="83"/>
        <v>0</v>
      </c>
      <c r="BN114" s="29">
        <f t="shared" si="83"/>
        <v>0</v>
      </c>
      <c r="BO114" s="29">
        <f t="shared" si="83"/>
        <v>0</v>
      </c>
      <c r="BP114" s="29">
        <f t="shared" si="83"/>
        <v>0</v>
      </c>
      <c r="BQ114" s="29">
        <f t="shared" si="83"/>
        <v>0</v>
      </c>
      <c r="BR114" s="29">
        <f t="shared" si="83"/>
        <v>0</v>
      </c>
      <c r="BS114" s="29">
        <f t="shared" si="83"/>
        <v>0</v>
      </c>
      <c r="BT114" s="29">
        <f t="shared" si="83"/>
        <v>0</v>
      </c>
      <c r="BU114" s="29">
        <f t="shared" si="83"/>
        <v>0</v>
      </c>
      <c r="BV114" s="29">
        <f t="shared" si="83"/>
        <v>0</v>
      </c>
      <c r="BW114" s="29">
        <f t="shared" si="83"/>
        <v>0</v>
      </c>
      <c r="BX114" s="29">
        <f t="shared" si="83"/>
        <v>0</v>
      </c>
      <c r="BY114" s="29">
        <f t="shared" si="83"/>
        <v>0</v>
      </c>
      <c r="BZ114" s="29">
        <f t="shared" si="83"/>
        <v>0</v>
      </c>
      <c r="CA114" s="29">
        <f t="shared" si="83"/>
        <v>0</v>
      </c>
      <c r="CB114" s="29">
        <f t="shared" si="83"/>
        <v>0</v>
      </c>
      <c r="CC114" s="29">
        <f t="shared" si="83"/>
        <v>0</v>
      </c>
      <c r="CD114" s="29">
        <f t="shared" si="83"/>
        <v>0</v>
      </c>
      <c r="CE114" s="29">
        <f t="shared" si="83"/>
        <v>0</v>
      </c>
      <c r="CF114" s="29">
        <f t="shared" si="83"/>
        <v>0</v>
      </c>
      <c r="CG114" s="29">
        <f t="shared" si="83"/>
        <v>0</v>
      </c>
      <c r="CH114" s="29">
        <f t="shared" si="83"/>
        <v>0</v>
      </c>
    </row>
    <row r="115" spans="2:86" ht="13" hidden="1" outlineLevel="1">
      <c r="B115" s="84">
        <f t="shared" si="73"/>
        <v>12</v>
      </c>
      <c r="C115" s="64">
        <f t="shared" ca="1" si="71"/>
        <v>-7.0423321816268647E-3</v>
      </c>
      <c r="D115" s="15" t="s">
        <v>238</v>
      </c>
      <c r="E115" s="29">
        <f t="shared" ca="1" si="61"/>
        <v>-157635.32770949975</v>
      </c>
      <c r="F115" s="29"/>
      <c r="G115" s="29">
        <f t="shared" ref="G115:CH115" ca="1" si="84">IF(G$4&lt;=$B115,ABS(G$31)*-1+G$47,0)+IF($B115=G$4,G$81,0)</f>
        <v>-1444375</v>
      </c>
      <c r="H115" s="29">
        <f t="shared" ca="1" si="84"/>
        <v>-1344375</v>
      </c>
      <c r="I115" s="29">
        <f t="shared" ca="1" si="84"/>
        <v>-1344375</v>
      </c>
      <c r="J115" s="29">
        <f t="shared" ca="1" si="84"/>
        <v>-1344375</v>
      </c>
      <c r="K115" s="29">
        <f t="shared" ca="1" si="84"/>
        <v>-1344375</v>
      </c>
      <c r="L115" s="29">
        <f t="shared" ca="1" si="84"/>
        <v>-1344375</v>
      </c>
      <c r="M115" s="29">
        <f t="shared" ca="1" si="84"/>
        <v>-1344375</v>
      </c>
      <c r="N115" s="29">
        <f t="shared" ca="1" si="84"/>
        <v>-1344375</v>
      </c>
      <c r="O115" s="29">
        <f t="shared" ca="1" si="84"/>
        <v>-1344375</v>
      </c>
      <c r="P115" s="29">
        <f t="shared" ca="1" si="84"/>
        <v>-1344375</v>
      </c>
      <c r="Q115" s="29">
        <f t="shared" ca="1" si="84"/>
        <v>-1344375</v>
      </c>
      <c r="R115" s="29">
        <f t="shared" ca="1" si="84"/>
        <v>14730489.6722905</v>
      </c>
      <c r="S115" s="29">
        <f t="shared" si="84"/>
        <v>0</v>
      </c>
      <c r="T115" s="29">
        <f t="shared" si="84"/>
        <v>0</v>
      </c>
      <c r="U115" s="29">
        <f t="shared" si="84"/>
        <v>0</v>
      </c>
      <c r="V115" s="29">
        <f t="shared" si="84"/>
        <v>0</v>
      </c>
      <c r="W115" s="29">
        <f t="shared" si="84"/>
        <v>0</v>
      </c>
      <c r="X115" s="29">
        <f t="shared" si="84"/>
        <v>0</v>
      </c>
      <c r="Y115" s="29">
        <f t="shared" si="84"/>
        <v>0</v>
      </c>
      <c r="Z115" s="29">
        <f t="shared" si="84"/>
        <v>0</v>
      </c>
      <c r="AA115" s="29">
        <f t="shared" si="84"/>
        <v>0</v>
      </c>
      <c r="AB115" s="29">
        <f t="shared" si="84"/>
        <v>0</v>
      </c>
      <c r="AC115" s="29">
        <f t="shared" si="84"/>
        <v>0</v>
      </c>
      <c r="AD115" s="29">
        <f t="shared" si="84"/>
        <v>0</v>
      </c>
      <c r="AE115" s="29">
        <f t="shared" si="84"/>
        <v>0</v>
      </c>
      <c r="AF115" s="29">
        <f t="shared" si="84"/>
        <v>0</v>
      </c>
      <c r="AG115" s="29">
        <f t="shared" si="84"/>
        <v>0</v>
      </c>
      <c r="AH115" s="29">
        <f t="shared" si="84"/>
        <v>0</v>
      </c>
      <c r="AI115" s="29">
        <f t="shared" si="84"/>
        <v>0</v>
      </c>
      <c r="AJ115" s="29">
        <f t="shared" si="84"/>
        <v>0</v>
      </c>
      <c r="AK115" s="29">
        <f t="shared" si="84"/>
        <v>0</v>
      </c>
      <c r="AL115" s="29">
        <f t="shared" si="84"/>
        <v>0</v>
      </c>
      <c r="AM115" s="29">
        <f t="shared" si="84"/>
        <v>0</v>
      </c>
      <c r="AN115" s="29">
        <f t="shared" si="84"/>
        <v>0</v>
      </c>
      <c r="AO115" s="29">
        <f t="shared" si="84"/>
        <v>0</v>
      </c>
      <c r="AP115" s="29">
        <f t="shared" si="84"/>
        <v>0</v>
      </c>
      <c r="AQ115" s="29">
        <f t="shared" si="84"/>
        <v>0</v>
      </c>
      <c r="AR115" s="29">
        <f t="shared" si="84"/>
        <v>0</v>
      </c>
      <c r="AS115" s="29">
        <f t="shared" si="84"/>
        <v>0</v>
      </c>
      <c r="AT115" s="29">
        <f t="shared" si="84"/>
        <v>0</v>
      </c>
      <c r="AU115" s="29">
        <f t="shared" si="84"/>
        <v>0</v>
      </c>
      <c r="AV115" s="29">
        <f t="shared" si="84"/>
        <v>0</v>
      </c>
      <c r="AW115" s="29">
        <f t="shared" si="84"/>
        <v>0</v>
      </c>
      <c r="AX115" s="29">
        <f t="shared" si="84"/>
        <v>0</v>
      </c>
      <c r="AY115" s="29">
        <f t="shared" si="84"/>
        <v>0</v>
      </c>
      <c r="AZ115" s="29">
        <f t="shared" si="84"/>
        <v>0</v>
      </c>
      <c r="BA115" s="29">
        <f t="shared" si="84"/>
        <v>0</v>
      </c>
      <c r="BB115" s="29">
        <f t="shared" si="84"/>
        <v>0</v>
      </c>
      <c r="BC115" s="29">
        <f t="shared" si="84"/>
        <v>0</v>
      </c>
      <c r="BD115" s="29">
        <f t="shared" si="84"/>
        <v>0</v>
      </c>
      <c r="BE115" s="29">
        <f t="shared" si="84"/>
        <v>0</v>
      </c>
      <c r="BF115" s="29">
        <f t="shared" si="84"/>
        <v>0</v>
      </c>
      <c r="BG115" s="29">
        <f t="shared" si="84"/>
        <v>0</v>
      </c>
      <c r="BH115" s="29">
        <f t="shared" si="84"/>
        <v>0</v>
      </c>
      <c r="BI115" s="29">
        <f t="shared" si="84"/>
        <v>0</v>
      </c>
      <c r="BJ115" s="29">
        <f t="shared" si="84"/>
        <v>0</v>
      </c>
      <c r="BK115" s="29">
        <f t="shared" si="84"/>
        <v>0</v>
      </c>
      <c r="BL115" s="29">
        <f t="shared" si="84"/>
        <v>0</v>
      </c>
      <c r="BM115" s="29">
        <f t="shared" si="84"/>
        <v>0</v>
      </c>
      <c r="BN115" s="29">
        <f t="shared" si="84"/>
        <v>0</v>
      </c>
      <c r="BO115" s="29">
        <f t="shared" si="84"/>
        <v>0</v>
      </c>
      <c r="BP115" s="29">
        <f t="shared" si="84"/>
        <v>0</v>
      </c>
      <c r="BQ115" s="29">
        <f t="shared" si="84"/>
        <v>0</v>
      </c>
      <c r="BR115" s="29">
        <f t="shared" si="84"/>
        <v>0</v>
      </c>
      <c r="BS115" s="29">
        <f t="shared" si="84"/>
        <v>0</v>
      </c>
      <c r="BT115" s="29">
        <f t="shared" si="84"/>
        <v>0</v>
      </c>
      <c r="BU115" s="29">
        <f t="shared" si="84"/>
        <v>0</v>
      </c>
      <c r="BV115" s="29">
        <f t="shared" si="84"/>
        <v>0</v>
      </c>
      <c r="BW115" s="29">
        <f t="shared" si="84"/>
        <v>0</v>
      </c>
      <c r="BX115" s="29">
        <f t="shared" si="84"/>
        <v>0</v>
      </c>
      <c r="BY115" s="29">
        <f t="shared" si="84"/>
        <v>0</v>
      </c>
      <c r="BZ115" s="29">
        <f t="shared" si="84"/>
        <v>0</v>
      </c>
      <c r="CA115" s="29">
        <f t="shared" si="84"/>
        <v>0</v>
      </c>
      <c r="CB115" s="29">
        <f t="shared" si="84"/>
        <v>0</v>
      </c>
      <c r="CC115" s="29">
        <f t="shared" si="84"/>
        <v>0</v>
      </c>
      <c r="CD115" s="29">
        <f t="shared" si="84"/>
        <v>0</v>
      </c>
      <c r="CE115" s="29">
        <f t="shared" si="84"/>
        <v>0</v>
      </c>
      <c r="CF115" s="29">
        <f t="shared" si="84"/>
        <v>0</v>
      </c>
      <c r="CG115" s="29">
        <f t="shared" si="84"/>
        <v>0</v>
      </c>
      <c r="CH115" s="29">
        <f t="shared" si="84"/>
        <v>0</v>
      </c>
    </row>
    <row r="116" spans="2:86" ht="13" hidden="1" outlineLevel="1">
      <c r="B116" s="84">
        <f t="shared" si="73"/>
        <v>13</v>
      </c>
      <c r="C116" s="64">
        <f t="shared" ca="1" si="71"/>
        <v>1.7224989539555313E-2</v>
      </c>
      <c r="D116" s="15" t="s">
        <v>238</v>
      </c>
      <c r="E116" s="29">
        <f t="shared" ca="1" si="61"/>
        <v>461042.57336940616</v>
      </c>
      <c r="F116" s="29"/>
      <c r="G116" s="29">
        <f t="shared" ref="G116:CH116" ca="1" si="85">IF(G$4&lt;=$B116,ABS(G$31)*-1+G$47,0)+IF($B116=G$4,G$81,0)</f>
        <v>-1444375</v>
      </c>
      <c r="H116" s="29">
        <f t="shared" ca="1" si="85"/>
        <v>-1344375</v>
      </c>
      <c r="I116" s="29">
        <f t="shared" ca="1" si="85"/>
        <v>-1344375</v>
      </c>
      <c r="J116" s="29">
        <f t="shared" ca="1" si="85"/>
        <v>-1344375</v>
      </c>
      <c r="K116" s="29">
        <f t="shared" ca="1" si="85"/>
        <v>-1344375</v>
      </c>
      <c r="L116" s="29">
        <f t="shared" ca="1" si="85"/>
        <v>-1344375</v>
      </c>
      <c r="M116" s="29">
        <f t="shared" ca="1" si="85"/>
        <v>-1344375</v>
      </c>
      <c r="N116" s="29">
        <f t="shared" ca="1" si="85"/>
        <v>-1344375</v>
      </c>
      <c r="O116" s="29">
        <f t="shared" ca="1" si="85"/>
        <v>-1344375</v>
      </c>
      <c r="P116" s="29">
        <f t="shared" ca="1" si="85"/>
        <v>-1344375</v>
      </c>
      <c r="Q116" s="29">
        <f t="shared" ca="1" si="85"/>
        <v>-1344375</v>
      </c>
      <c r="R116" s="29">
        <f t="shared" ca="1" si="85"/>
        <v>-1344375</v>
      </c>
      <c r="S116" s="29">
        <f t="shared" ca="1" si="85"/>
        <v>16693542.573369406</v>
      </c>
      <c r="T116" s="29">
        <f t="shared" si="85"/>
        <v>0</v>
      </c>
      <c r="U116" s="29">
        <f t="shared" si="85"/>
        <v>0</v>
      </c>
      <c r="V116" s="29">
        <f t="shared" si="85"/>
        <v>0</v>
      </c>
      <c r="W116" s="29">
        <f t="shared" si="85"/>
        <v>0</v>
      </c>
      <c r="X116" s="29">
        <f t="shared" si="85"/>
        <v>0</v>
      </c>
      <c r="Y116" s="29">
        <f t="shared" si="85"/>
        <v>0</v>
      </c>
      <c r="Z116" s="29">
        <f t="shared" si="85"/>
        <v>0</v>
      </c>
      <c r="AA116" s="29">
        <f t="shared" si="85"/>
        <v>0</v>
      </c>
      <c r="AB116" s="29">
        <f t="shared" si="85"/>
        <v>0</v>
      </c>
      <c r="AC116" s="29">
        <f t="shared" si="85"/>
        <v>0</v>
      </c>
      <c r="AD116" s="29">
        <f t="shared" si="85"/>
        <v>0</v>
      </c>
      <c r="AE116" s="29">
        <f t="shared" si="85"/>
        <v>0</v>
      </c>
      <c r="AF116" s="29">
        <f t="shared" si="85"/>
        <v>0</v>
      </c>
      <c r="AG116" s="29">
        <f t="shared" si="85"/>
        <v>0</v>
      </c>
      <c r="AH116" s="29">
        <f t="shared" si="85"/>
        <v>0</v>
      </c>
      <c r="AI116" s="29">
        <f t="shared" si="85"/>
        <v>0</v>
      </c>
      <c r="AJ116" s="29">
        <f t="shared" si="85"/>
        <v>0</v>
      </c>
      <c r="AK116" s="29">
        <f t="shared" si="85"/>
        <v>0</v>
      </c>
      <c r="AL116" s="29">
        <f t="shared" si="85"/>
        <v>0</v>
      </c>
      <c r="AM116" s="29">
        <f t="shared" si="85"/>
        <v>0</v>
      </c>
      <c r="AN116" s="29">
        <f t="shared" si="85"/>
        <v>0</v>
      </c>
      <c r="AO116" s="29">
        <f t="shared" si="85"/>
        <v>0</v>
      </c>
      <c r="AP116" s="29">
        <f t="shared" si="85"/>
        <v>0</v>
      </c>
      <c r="AQ116" s="29">
        <f t="shared" si="85"/>
        <v>0</v>
      </c>
      <c r="AR116" s="29">
        <f t="shared" si="85"/>
        <v>0</v>
      </c>
      <c r="AS116" s="29">
        <f t="shared" si="85"/>
        <v>0</v>
      </c>
      <c r="AT116" s="29">
        <f t="shared" si="85"/>
        <v>0</v>
      </c>
      <c r="AU116" s="29">
        <f t="shared" si="85"/>
        <v>0</v>
      </c>
      <c r="AV116" s="29">
        <f t="shared" si="85"/>
        <v>0</v>
      </c>
      <c r="AW116" s="29">
        <f t="shared" si="85"/>
        <v>0</v>
      </c>
      <c r="AX116" s="29">
        <f t="shared" si="85"/>
        <v>0</v>
      </c>
      <c r="AY116" s="29">
        <f t="shared" si="85"/>
        <v>0</v>
      </c>
      <c r="AZ116" s="29">
        <f t="shared" si="85"/>
        <v>0</v>
      </c>
      <c r="BA116" s="29">
        <f t="shared" si="85"/>
        <v>0</v>
      </c>
      <c r="BB116" s="29">
        <f t="shared" si="85"/>
        <v>0</v>
      </c>
      <c r="BC116" s="29">
        <f t="shared" si="85"/>
        <v>0</v>
      </c>
      <c r="BD116" s="29">
        <f t="shared" si="85"/>
        <v>0</v>
      </c>
      <c r="BE116" s="29">
        <f t="shared" si="85"/>
        <v>0</v>
      </c>
      <c r="BF116" s="29">
        <f t="shared" si="85"/>
        <v>0</v>
      </c>
      <c r="BG116" s="29">
        <f t="shared" si="85"/>
        <v>0</v>
      </c>
      <c r="BH116" s="29">
        <f t="shared" si="85"/>
        <v>0</v>
      </c>
      <c r="BI116" s="29">
        <f t="shared" si="85"/>
        <v>0</v>
      </c>
      <c r="BJ116" s="29">
        <f t="shared" si="85"/>
        <v>0</v>
      </c>
      <c r="BK116" s="29">
        <f t="shared" si="85"/>
        <v>0</v>
      </c>
      <c r="BL116" s="29">
        <f t="shared" si="85"/>
        <v>0</v>
      </c>
      <c r="BM116" s="29">
        <f t="shared" si="85"/>
        <v>0</v>
      </c>
      <c r="BN116" s="29">
        <f t="shared" si="85"/>
        <v>0</v>
      </c>
      <c r="BO116" s="29">
        <f t="shared" si="85"/>
        <v>0</v>
      </c>
      <c r="BP116" s="29">
        <f t="shared" si="85"/>
        <v>0</v>
      </c>
      <c r="BQ116" s="29">
        <f t="shared" si="85"/>
        <v>0</v>
      </c>
      <c r="BR116" s="29">
        <f t="shared" si="85"/>
        <v>0</v>
      </c>
      <c r="BS116" s="29">
        <f t="shared" si="85"/>
        <v>0</v>
      </c>
      <c r="BT116" s="29">
        <f t="shared" si="85"/>
        <v>0</v>
      </c>
      <c r="BU116" s="29">
        <f t="shared" si="85"/>
        <v>0</v>
      </c>
      <c r="BV116" s="29">
        <f t="shared" si="85"/>
        <v>0</v>
      </c>
      <c r="BW116" s="29">
        <f t="shared" si="85"/>
        <v>0</v>
      </c>
      <c r="BX116" s="29">
        <f t="shared" si="85"/>
        <v>0</v>
      </c>
      <c r="BY116" s="29">
        <f t="shared" si="85"/>
        <v>0</v>
      </c>
      <c r="BZ116" s="29">
        <f t="shared" si="85"/>
        <v>0</v>
      </c>
      <c r="CA116" s="29">
        <f t="shared" si="85"/>
        <v>0</v>
      </c>
      <c r="CB116" s="29">
        <f t="shared" si="85"/>
        <v>0</v>
      </c>
      <c r="CC116" s="29">
        <f t="shared" si="85"/>
        <v>0</v>
      </c>
      <c r="CD116" s="29">
        <f t="shared" si="85"/>
        <v>0</v>
      </c>
      <c r="CE116" s="29">
        <f t="shared" si="85"/>
        <v>0</v>
      </c>
      <c r="CF116" s="29">
        <f t="shared" si="85"/>
        <v>0</v>
      </c>
      <c r="CG116" s="29">
        <f t="shared" si="85"/>
        <v>0</v>
      </c>
      <c r="CH116" s="29">
        <f t="shared" si="85"/>
        <v>0</v>
      </c>
    </row>
    <row r="117" spans="2:86" ht="13" hidden="1" outlineLevel="1">
      <c r="B117" s="84">
        <f t="shared" si="73"/>
        <v>14</v>
      </c>
      <c r="C117" s="64">
        <f t="shared" ca="1" si="71"/>
        <v>3.6048367628338518E-2</v>
      </c>
      <c r="D117" s="15" t="s">
        <v>238</v>
      </c>
      <c r="E117" s="29">
        <f t="shared" ca="1" si="61"/>
        <v>1131139.3911788873</v>
      </c>
      <c r="F117" s="29"/>
      <c r="G117" s="29">
        <f t="shared" ref="G117:CH117" ca="1" si="86">IF(G$4&lt;=$B117,ABS(G$31)*-1+G$47,0)+IF($B117=G$4,G$81,0)</f>
        <v>-1444375</v>
      </c>
      <c r="H117" s="29">
        <f t="shared" ca="1" si="86"/>
        <v>-1344375</v>
      </c>
      <c r="I117" s="29">
        <f t="shared" ca="1" si="86"/>
        <v>-1344375</v>
      </c>
      <c r="J117" s="29">
        <f t="shared" ca="1" si="86"/>
        <v>-1344375</v>
      </c>
      <c r="K117" s="29">
        <f t="shared" ca="1" si="86"/>
        <v>-1344375</v>
      </c>
      <c r="L117" s="29">
        <f t="shared" ca="1" si="86"/>
        <v>-1344375</v>
      </c>
      <c r="M117" s="29">
        <f t="shared" ca="1" si="86"/>
        <v>-1344375</v>
      </c>
      <c r="N117" s="29">
        <f t="shared" ca="1" si="86"/>
        <v>-1344375</v>
      </c>
      <c r="O117" s="29">
        <f t="shared" ca="1" si="86"/>
        <v>-1344375</v>
      </c>
      <c r="P117" s="29">
        <f t="shared" ca="1" si="86"/>
        <v>-1344375</v>
      </c>
      <c r="Q117" s="29">
        <f t="shared" ca="1" si="86"/>
        <v>-1344375</v>
      </c>
      <c r="R117" s="29">
        <f t="shared" ca="1" si="86"/>
        <v>-1344375</v>
      </c>
      <c r="S117" s="29">
        <f t="shared" ca="1" si="86"/>
        <v>-372249.99999999953</v>
      </c>
      <c r="T117" s="29">
        <f t="shared" ca="1" si="86"/>
        <v>17735889.391178887</v>
      </c>
      <c r="U117" s="29">
        <f t="shared" si="86"/>
        <v>0</v>
      </c>
      <c r="V117" s="29">
        <f t="shared" si="86"/>
        <v>0</v>
      </c>
      <c r="W117" s="29">
        <f t="shared" si="86"/>
        <v>0</v>
      </c>
      <c r="X117" s="29">
        <f t="shared" si="86"/>
        <v>0</v>
      </c>
      <c r="Y117" s="29">
        <f t="shared" si="86"/>
        <v>0</v>
      </c>
      <c r="Z117" s="29">
        <f t="shared" si="86"/>
        <v>0</v>
      </c>
      <c r="AA117" s="29">
        <f t="shared" si="86"/>
        <v>0</v>
      </c>
      <c r="AB117" s="29">
        <f t="shared" si="86"/>
        <v>0</v>
      </c>
      <c r="AC117" s="29">
        <f t="shared" si="86"/>
        <v>0</v>
      </c>
      <c r="AD117" s="29">
        <f t="shared" si="86"/>
        <v>0</v>
      </c>
      <c r="AE117" s="29">
        <f t="shared" si="86"/>
        <v>0</v>
      </c>
      <c r="AF117" s="29">
        <f t="shared" si="86"/>
        <v>0</v>
      </c>
      <c r="AG117" s="29">
        <f t="shared" si="86"/>
        <v>0</v>
      </c>
      <c r="AH117" s="29">
        <f t="shared" si="86"/>
        <v>0</v>
      </c>
      <c r="AI117" s="29">
        <f t="shared" si="86"/>
        <v>0</v>
      </c>
      <c r="AJ117" s="29">
        <f t="shared" si="86"/>
        <v>0</v>
      </c>
      <c r="AK117" s="29">
        <f t="shared" si="86"/>
        <v>0</v>
      </c>
      <c r="AL117" s="29">
        <f t="shared" si="86"/>
        <v>0</v>
      </c>
      <c r="AM117" s="29">
        <f t="shared" si="86"/>
        <v>0</v>
      </c>
      <c r="AN117" s="29">
        <f t="shared" si="86"/>
        <v>0</v>
      </c>
      <c r="AO117" s="29">
        <f t="shared" si="86"/>
        <v>0</v>
      </c>
      <c r="AP117" s="29">
        <f t="shared" si="86"/>
        <v>0</v>
      </c>
      <c r="AQ117" s="29">
        <f t="shared" si="86"/>
        <v>0</v>
      </c>
      <c r="AR117" s="29">
        <f t="shared" si="86"/>
        <v>0</v>
      </c>
      <c r="AS117" s="29">
        <f t="shared" si="86"/>
        <v>0</v>
      </c>
      <c r="AT117" s="29">
        <f t="shared" si="86"/>
        <v>0</v>
      </c>
      <c r="AU117" s="29">
        <f t="shared" si="86"/>
        <v>0</v>
      </c>
      <c r="AV117" s="29">
        <f t="shared" si="86"/>
        <v>0</v>
      </c>
      <c r="AW117" s="29">
        <f t="shared" si="86"/>
        <v>0</v>
      </c>
      <c r="AX117" s="29">
        <f t="shared" si="86"/>
        <v>0</v>
      </c>
      <c r="AY117" s="29">
        <f t="shared" si="86"/>
        <v>0</v>
      </c>
      <c r="AZ117" s="29">
        <f t="shared" si="86"/>
        <v>0</v>
      </c>
      <c r="BA117" s="29">
        <f t="shared" si="86"/>
        <v>0</v>
      </c>
      <c r="BB117" s="29">
        <f t="shared" si="86"/>
        <v>0</v>
      </c>
      <c r="BC117" s="29">
        <f t="shared" si="86"/>
        <v>0</v>
      </c>
      <c r="BD117" s="29">
        <f t="shared" si="86"/>
        <v>0</v>
      </c>
      <c r="BE117" s="29">
        <f t="shared" si="86"/>
        <v>0</v>
      </c>
      <c r="BF117" s="29">
        <f t="shared" si="86"/>
        <v>0</v>
      </c>
      <c r="BG117" s="29">
        <f t="shared" si="86"/>
        <v>0</v>
      </c>
      <c r="BH117" s="29">
        <f t="shared" si="86"/>
        <v>0</v>
      </c>
      <c r="BI117" s="29">
        <f t="shared" si="86"/>
        <v>0</v>
      </c>
      <c r="BJ117" s="29">
        <f t="shared" si="86"/>
        <v>0</v>
      </c>
      <c r="BK117" s="29">
        <f t="shared" si="86"/>
        <v>0</v>
      </c>
      <c r="BL117" s="29">
        <f t="shared" si="86"/>
        <v>0</v>
      </c>
      <c r="BM117" s="29">
        <f t="shared" si="86"/>
        <v>0</v>
      </c>
      <c r="BN117" s="29">
        <f t="shared" si="86"/>
        <v>0</v>
      </c>
      <c r="BO117" s="29">
        <f t="shared" si="86"/>
        <v>0</v>
      </c>
      <c r="BP117" s="29">
        <f t="shared" si="86"/>
        <v>0</v>
      </c>
      <c r="BQ117" s="29">
        <f t="shared" si="86"/>
        <v>0</v>
      </c>
      <c r="BR117" s="29">
        <f t="shared" si="86"/>
        <v>0</v>
      </c>
      <c r="BS117" s="29">
        <f t="shared" si="86"/>
        <v>0</v>
      </c>
      <c r="BT117" s="29">
        <f t="shared" si="86"/>
        <v>0</v>
      </c>
      <c r="BU117" s="29">
        <f t="shared" si="86"/>
        <v>0</v>
      </c>
      <c r="BV117" s="29">
        <f t="shared" si="86"/>
        <v>0</v>
      </c>
      <c r="BW117" s="29">
        <f t="shared" si="86"/>
        <v>0</v>
      </c>
      <c r="BX117" s="29">
        <f t="shared" si="86"/>
        <v>0</v>
      </c>
      <c r="BY117" s="29">
        <f t="shared" si="86"/>
        <v>0</v>
      </c>
      <c r="BZ117" s="29">
        <f t="shared" si="86"/>
        <v>0</v>
      </c>
      <c r="CA117" s="29">
        <f t="shared" si="86"/>
        <v>0</v>
      </c>
      <c r="CB117" s="29">
        <f t="shared" si="86"/>
        <v>0</v>
      </c>
      <c r="CC117" s="29">
        <f t="shared" si="86"/>
        <v>0</v>
      </c>
      <c r="CD117" s="29">
        <f t="shared" si="86"/>
        <v>0</v>
      </c>
      <c r="CE117" s="29">
        <f t="shared" si="86"/>
        <v>0</v>
      </c>
      <c r="CF117" s="29">
        <f t="shared" si="86"/>
        <v>0</v>
      </c>
      <c r="CG117" s="29">
        <f t="shared" si="86"/>
        <v>0</v>
      </c>
      <c r="CH117" s="29">
        <f t="shared" si="86"/>
        <v>0</v>
      </c>
    </row>
    <row r="118" spans="2:86" ht="13" hidden="1" outlineLevel="1">
      <c r="B118" s="84">
        <f t="shared" si="73"/>
        <v>15</v>
      </c>
      <c r="C118" s="64">
        <f t="shared" ca="1" si="71"/>
        <v>5.1118591888416498E-2</v>
      </c>
      <c r="D118" s="15" t="s">
        <v>238</v>
      </c>
      <c r="E118" s="29">
        <f t="shared" ca="1" si="61"/>
        <v>1852655.12571894</v>
      </c>
      <c r="F118" s="29"/>
      <c r="G118" s="29">
        <f t="shared" ref="G118:CH118" ca="1" si="87">IF(G$4&lt;=$B118,ABS(G$31)*-1+G$47,0)+IF($B118=G$4,G$81,0)</f>
        <v>-1444375</v>
      </c>
      <c r="H118" s="29">
        <f t="shared" ca="1" si="87"/>
        <v>-1344375</v>
      </c>
      <c r="I118" s="29">
        <f t="shared" ca="1" si="87"/>
        <v>-1344375</v>
      </c>
      <c r="J118" s="29">
        <f t="shared" ca="1" si="87"/>
        <v>-1344375</v>
      </c>
      <c r="K118" s="29">
        <f t="shared" ca="1" si="87"/>
        <v>-1344375</v>
      </c>
      <c r="L118" s="29">
        <f t="shared" ca="1" si="87"/>
        <v>-1344375</v>
      </c>
      <c r="M118" s="29">
        <f t="shared" ca="1" si="87"/>
        <v>-1344375</v>
      </c>
      <c r="N118" s="29">
        <f t="shared" ca="1" si="87"/>
        <v>-1344375</v>
      </c>
      <c r="O118" s="29">
        <f t="shared" ca="1" si="87"/>
        <v>-1344375</v>
      </c>
      <c r="P118" s="29">
        <f t="shared" ca="1" si="87"/>
        <v>-1344375</v>
      </c>
      <c r="Q118" s="29">
        <f t="shared" ca="1" si="87"/>
        <v>-1344375</v>
      </c>
      <c r="R118" s="29">
        <f t="shared" ca="1" si="87"/>
        <v>-1344375</v>
      </c>
      <c r="S118" s="29">
        <f t="shared" ca="1" si="87"/>
        <v>-372249.99999999953</v>
      </c>
      <c r="T118" s="29">
        <f t="shared" ca="1" si="87"/>
        <v>-372249.99999999953</v>
      </c>
      <c r="U118" s="29">
        <f t="shared" ca="1" si="87"/>
        <v>18829655.12571894</v>
      </c>
      <c r="V118" s="29">
        <f t="shared" si="87"/>
        <v>0</v>
      </c>
      <c r="W118" s="29">
        <f t="shared" si="87"/>
        <v>0</v>
      </c>
      <c r="X118" s="29">
        <f t="shared" si="87"/>
        <v>0</v>
      </c>
      <c r="Y118" s="29">
        <f t="shared" si="87"/>
        <v>0</v>
      </c>
      <c r="Z118" s="29">
        <f t="shared" si="87"/>
        <v>0</v>
      </c>
      <c r="AA118" s="29">
        <f t="shared" si="87"/>
        <v>0</v>
      </c>
      <c r="AB118" s="29">
        <f t="shared" si="87"/>
        <v>0</v>
      </c>
      <c r="AC118" s="29">
        <f t="shared" si="87"/>
        <v>0</v>
      </c>
      <c r="AD118" s="29">
        <f t="shared" si="87"/>
        <v>0</v>
      </c>
      <c r="AE118" s="29">
        <f t="shared" si="87"/>
        <v>0</v>
      </c>
      <c r="AF118" s="29">
        <f t="shared" si="87"/>
        <v>0</v>
      </c>
      <c r="AG118" s="29">
        <f t="shared" si="87"/>
        <v>0</v>
      </c>
      <c r="AH118" s="29">
        <f t="shared" si="87"/>
        <v>0</v>
      </c>
      <c r="AI118" s="29">
        <f t="shared" si="87"/>
        <v>0</v>
      </c>
      <c r="AJ118" s="29">
        <f t="shared" si="87"/>
        <v>0</v>
      </c>
      <c r="AK118" s="29">
        <f t="shared" si="87"/>
        <v>0</v>
      </c>
      <c r="AL118" s="29">
        <f t="shared" si="87"/>
        <v>0</v>
      </c>
      <c r="AM118" s="29">
        <f t="shared" si="87"/>
        <v>0</v>
      </c>
      <c r="AN118" s="29">
        <f t="shared" si="87"/>
        <v>0</v>
      </c>
      <c r="AO118" s="29">
        <f t="shared" si="87"/>
        <v>0</v>
      </c>
      <c r="AP118" s="29">
        <f t="shared" si="87"/>
        <v>0</v>
      </c>
      <c r="AQ118" s="29">
        <f t="shared" si="87"/>
        <v>0</v>
      </c>
      <c r="AR118" s="29">
        <f t="shared" si="87"/>
        <v>0</v>
      </c>
      <c r="AS118" s="29">
        <f t="shared" si="87"/>
        <v>0</v>
      </c>
      <c r="AT118" s="29">
        <f t="shared" si="87"/>
        <v>0</v>
      </c>
      <c r="AU118" s="29">
        <f t="shared" si="87"/>
        <v>0</v>
      </c>
      <c r="AV118" s="29">
        <f t="shared" si="87"/>
        <v>0</v>
      </c>
      <c r="AW118" s="29">
        <f t="shared" si="87"/>
        <v>0</v>
      </c>
      <c r="AX118" s="29">
        <f t="shared" si="87"/>
        <v>0</v>
      </c>
      <c r="AY118" s="29">
        <f t="shared" si="87"/>
        <v>0</v>
      </c>
      <c r="AZ118" s="29">
        <f t="shared" si="87"/>
        <v>0</v>
      </c>
      <c r="BA118" s="29">
        <f t="shared" si="87"/>
        <v>0</v>
      </c>
      <c r="BB118" s="29">
        <f t="shared" si="87"/>
        <v>0</v>
      </c>
      <c r="BC118" s="29">
        <f t="shared" si="87"/>
        <v>0</v>
      </c>
      <c r="BD118" s="29">
        <f t="shared" si="87"/>
        <v>0</v>
      </c>
      <c r="BE118" s="29">
        <f t="shared" si="87"/>
        <v>0</v>
      </c>
      <c r="BF118" s="29">
        <f t="shared" si="87"/>
        <v>0</v>
      </c>
      <c r="BG118" s="29">
        <f t="shared" si="87"/>
        <v>0</v>
      </c>
      <c r="BH118" s="29">
        <f t="shared" si="87"/>
        <v>0</v>
      </c>
      <c r="BI118" s="29">
        <f t="shared" si="87"/>
        <v>0</v>
      </c>
      <c r="BJ118" s="29">
        <f t="shared" si="87"/>
        <v>0</v>
      </c>
      <c r="BK118" s="29">
        <f t="shared" si="87"/>
        <v>0</v>
      </c>
      <c r="BL118" s="29">
        <f t="shared" si="87"/>
        <v>0</v>
      </c>
      <c r="BM118" s="29">
        <f t="shared" si="87"/>
        <v>0</v>
      </c>
      <c r="BN118" s="29">
        <f t="shared" si="87"/>
        <v>0</v>
      </c>
      <c r="BO118" s="29">
        <f t="shared" si="87"/>
        <v>0</v>
      </c>
      <c r="BP118" s="29">
        <f t="shared" si="87"/>
        <v>0</v>
      </c>
      <c r="BQ118" s="29">
        <f t="shared" si="87"/>
        <v>0</v>
      </c>
      <c r="BR118" s="29">
        <f t="shared" si="87"/>
        <v>0</v>
      </c>
      <c r="BS118" s="29">
        <f t="shared" si="87"/>
        <v>0</v>
      </c>
      <c r="BT118" s="29">
        <f t="shared" si="87"/>
        <v>0</v>
      </c>
      <c r="BU118" s="29">
        <f t="shared" si="87"/>
        <v>0</v>
      </c>
      <c r="BV118" s="29">
        <f t="shared" si="87"/>
        <v>0</v>
      </c>
      <c r="BW118" s="29">
        <f t="shared" si="87"/>
        <v>0</v>
      </c>
      <c r="BX118" s="29">
        <f t="shared" si="87"/>
        <v>0</v>
      </c>
      <c r="BY118" s="29">
        <f t="shared" si="87"/>
        <v>0</v>
      </c>
      <c r="BZ118" s="29">
        <f t="shared" si="87"/>
        <v>0</v>
      </c>
      <c r="CA118" s="29">
        <f t="shared" si="87"/>
        <v>0</v>
      </c>
      <c r="CB118" s="29">
        <f t="shared" si="87"/>
        <v>0</v>
      </c>
      <c r="CC118" s="29">
        <f t="shared" si="87"/>
        <v>0</v>
      </c>
      <c r="CD118" s="29">
        <f t="shared" si="87"/>
        <v>0</v>
      </c>
      <c r="CE118" s="29">
        <f t="shared" si="87"/>
        <v>0</v>
      </c>
      <c r="CF118" s="29">
        <f t="shared" si="87"/>
        <v>0</v>
      </c>
      <c r="CG118" s="29">
        <f t="shared" si="87"/>
        <v>0</v>
      </c>
      <c r="CH118" s="29">
        <f t="shared" si="87"/>
        <v>0</v>
      </c>
    </row>
    <row r="119" spans="2:86" ht="13" hidden="1" outlineLevel="1">
      <c r="B119" s="84">
        <f t="shared" si="73"/>
        <v>16</v>
      </c>
      <c r="C119" s="64">
        <f t="shared" ca="1" si="71"/>
        <v>6.3459095591571701E-2</v>
      </c>
      <c r="D119" s="15" t="s">
        <v>238</v>
      </c>
      <c r="E119" s="29">
        <f t="shared" ca="1" si="61"/>
        <v>2625589.776989568</v>
      </c>
      <c r="F119" s="29"/>
      <c r="G119" s="29">
        <f t="shared" ref="G119:CH119" ca="1" si="88">IF(G$4&lt;=$B119,ABS(G$31)*-1+G$47,0)+IF($B119=G$4,G$81,0)</f>
        <v>-1444375</v>
      </c>
      <c r="H119" s="29">
        <f t="shared" ca="1" si="88"/>
        <v>-1344375</v>
      </c>
      <c r="I119" s="29">
        <f t="shared" ca="1" si="88"/>
        <v>-1344375</v>
      </c>
      <c r="J119" s="29">
        <f t="shared" ca="1" si="88"/>
        <v>-1344375</v>
      </c>
      <c r="K119" s="29">
        <f t="shared" ca="1" si="88"/>
        <v>-1344375</v>
      </c>
      <c r="L119" s="29">
        <f t="shared" ca="1" si="88"/>
        <v>-1344375</v>
      </c>
      <c r="M119" s="29">
        <f t="shared" ca="1" si="88"/>
        <v>-1344375</v>
      </c>
      <c r="N119" s="29">
        <f t="shared" ca="1" si="88"/>
        <v>-1344375</v>
      </c>
      <c r="O119" s="29">
        <f t="shared" ca="1" si="88"/>
        <v>-1344375</v>
      </c>
      <c r="P119" s="29">
        <f t="shared" ca="1" si="88"/>
        <v>-1344375</v>
      </c>
      <c r="Q119" s="29">
        <f t="shared" ca="1" si="88"/>
        <v>-1344375</v>
      </c>
      <c r="R119" s="29">
        <f t="shared" ca="1" si="88"/>
        <v>-1344375</v>
      </c>
      <c r="S119" s="29">
        <f t="shared" ca="1" si="88"/>
        <v>-372249.99999999953</v>
      </c>
      <c r="T119" s="29">
        <f t="shared" ca="1" si="88"/>
        <v>-372249.99999999953</v>
      </c>
      <c r="U119" s="29">
        <f t="shared" ca="1" si="88"/>
        <v>-372249.99999999953</v>
      </c>
      <c r="V119" s="29">
        <f t="shared" ca="1" si="88"/>
        <v>19974839.776989568</v>
      </c>
      <c r="W119" s="29">
        <f t="shared" si="88"/>
        <v>0</v>
      </c>
      <c r="X119" s="29">
        <f t="shared" si="88"/>
        <v>0</v>
      </c>
      <c r="Y119" s="29">
        <f t="shared" si="88"/>
        <v>0</v>
      </c>
      <c r="Z119" s="29">
        <f t="shared" si="88"/>
        <v>0</v>
      </c>
      <c r="AA119" s="29">
        <f t="shared" si="88"/>
        <v>0</v>
      </c>
      <c r="AB119" s="29">
        <f t="shared" si="88"/>
        <v>0</v>
      </c>
      <c r="AC119" s="29">
        <f t="shared" si="88"/>
        <v>0</v>
      </c>
      <c r="AD119" s="29">
        <f t="shared" si="88"/>
        <v>0</v>
      </c>
      <c r="AE119" s="29">
        <f t="shared" si="88"/>
        <v>0</v>
      </c>
      <c r="AF119" s="29">
        <f t="shared" si="88"/>
        <v>0</v>
      </c>
      <c r="AG119" s="29">
        <f t="shared" si="88"/>
        <v>0</v>
      </c>
      <c r="AH119" s="29">
        <f t="shared" si="88"/>
        <v>0</v>
      </c>
      <c r="AI119" s="29">
        <f t="shared" si="88"/>
        <v>0</v>
      </c>
      <c r="AJ119" s="29">
        <f t="shared" si="88"/>
        <v>0</v>
      </c>
      <c r="AK119" s="29">
        <f t="shared" si="88"/>
        <v>0</v>
      </c>
      <c r="AL119" s="29">
        <f t="shared" si="88"/>
        <v>0</v>
      </c>
      <c r="AM119" s="29">
        <f t="shared" si="88"/>
        <v>0</v>
      </c>
      <c r="AN119" s="29">
        <f t="shared" si="88"/>
        <v>0</v>
      </c>
      <c r="AO119" s="29">
        <f t="shared" si="88"/>
        <v>0</v>
      </c>
      <c r="AP119" s="29">
        <f t="shared" si="88"/>
        <v>0</v>
      </c>
      <c r="AQ119" s="29">
        <f t="shared" si="88"/>
        <v>0</v>
      </c>
      <c r="AR119" s="29">
        <f t="shared" si="88"/>
        <v>0</v>
      </c>
      <c r="AS119" s="29">
        <f t="shared" si="88"/>
        <v>0</v>
      </c>
      <c r="AT119" s="29">
        <f t="shared" si="88"/>
        <v>0</v>
      </c>
      <c r="AU119" s="29">
        <f t="shared" si="88"/>
        <v>0</v>
      </c>
      <c r="AV119" s="29">
        <f t="shared" si="88"/>
        <v>0</v>
      </c>
      <c r="AW119" s="29">
        <f t="shared" si="88"/>
        <v>0</v>
      </c>
      <c r="AX119" s="29">
        <f t="shared" si="88"/>
        <v>0</v>
      </c>
      <c r="AY119" s="29">
        <f t="shared" si="88"/>
        <v>0</v>
      </c>
      <c r="AZ119" s="29">
        <f t="shared" si="88"/>
        <v>0</v>
      </c>
      <c r="BA119" s="29">
        <f t="shared" si="88"/>
        <v>0</v>
      </c>
      <c r="BB119" s="29">
        <f t="shared" si="88"/>
        <v>0</v>
      </c>
      <c r="BC119" s="29">
        <f t="shared" si="88"/>
        <v>0</v>
      </c>
      <c r="BD119" s="29">
        <f t="shared" si="88"/>
        <v>0</v>
      </c>
      <c r="BE119" s="29">
        <f t="shared" si="88"/>
        <v>0</v>
      </c>
      <c r="BF119" s="29">
        <f t="shared" si="88"/>
        <v>0</v>
      </c>
      <c r="BG119" s="29">
        <f t="shared" si="88"/>
        <v>0</v>
      </c>
      <c r="BH119" s="29">
        <f t="shared" si="88"/>
        <v>0</v>
      </c>
      <c r="BI119" s="29">
        <f t="shared" si="88"/>
        <v>0</v>
      </c>
      <c r="BJ119" s="29">
        <f t="shared" si="88"/>
        <v>0</v>
      </c>
      <c r="BK119" s="29">
        <f t="shared" si="88"/>
        <v>0</v>
      </c>
      <c r="BL119" s="29">
        <f t="shared" si="88"/>
        <v>0</v>
      </c>
      <c r="BM119" s="29">
        <f t="shared" si="88"/>
        <v>0</v>
      </c>
      <c r="BN119" s="29">
        <f t="shared" si="88"/>
        <v>0</v>
      </c>
      <c r="BO119" s="29">
        <f t="shared" si="88"/>
        <v>0</v>
      </c>
      <c r="BP119" s="29">
        <f t="shared" si="88"/>
        <v>0</v>
      </c>
      <c r="BQ119" s="29">
        <f t="shared" si="88"/>
        <v>0</v>
      </c>
      <c r="BR119" s="29">
        <f t="shared" si="88"/>
        <v>0</v>
      </c>
      <c r="BS119" s="29">
        <f t="shared" si="88"/>
        <v>0</v>
      </c>
      <c r="BT119" s="29">
        <f t="shared" si="88"/>
        <v>0</v>
      </c>
      <c r="BU119" s="29">
        <f t="shared" si="88"/>
        <v>0</v>
      </c>
      <c r="BV119" s="29">
        <f t="shared" si="88"/>
        <v>0</v>
      </c>
      <c r="BW119" s="29">
        <f t="shared" si="88"/>
        <v>0</v>
      </c>
      <c r="BX119" s="29">
        <f t="shared" si="88"/>
        <v>0</v>
      </c>
      <c r="BY119" s="29">
        <f t="shared" si="88"/>
        <v>0</v>
      </c>
      <c r="BZ119" s="29">
        <f t="shared" si="88"/>
        <v>0</v>
      </c>
      <c r="CA119" s="29">
        <f t="shared" si="88"/>
        <v>0</v>
      </c>
      <c r="CB119" s="29">
        <f t="shared" si="88"/>
        <v>0</v>
      </c>
      <c r="CC119" s="29">
        <f t="shared" si="88"/>
        <v>0</v>
      </c>
      <c r="CD119" s="29">
        <f t="shared" si="88"/>
        <v>0</v>
      </c>
      <c r="CE119" s="29">
        <f t="shared" si="88"/>
        <v>0</v>
      </c>
      <c r="CF119" s="29">
        <f t="shared" si="88"/>
        <v>0</v>
      </c>
      <c r="CG119" s="29">
        <f t="shared" si="88"/>
        <v>0</v>
      </c>
      <c r="CH119" s="29">
        <f t="shared" si="88"/>
        <v>0</v>
      </c>
    </row>
    <row r="120" spans="2:86" ht="13" hidden="1" outlineLevel="1">
      <c r="B120" s="84">
        <f t="shared" si="73"/>
        <v>17</v>
      </c>
      <c r="C120" s="64">
        <f t="shared" ca="1" si="71"/>
        <v>0.10665017868999183</v>
      </c>
      <c r="D120" s="15" t="s">
        <v>238</v>
      </c>
      <c r="E120" s="29">
        <f t="shared" ca="1" si="61"/>
        <v>5144938.5758935101</v>
      </c>
      <c r="F120" s="29"/>
      <c r="G120" s="29">
        <f t="shared" ref="G120:CH120" ca="1" si="89">IF(G$4&lt;=$B120,ABS(G$31)*-1+G$47,0)+IF($B120=G$4,G$81,0)</f>
        <v>-1444375</v>
      </c>
      <c r="H120" s="29">
        <f t="shared" ca="1" si="89"/>
        <v>-1344375</v>
      </c>
      <c r="I120" s="29">
        <f t="shared" ca="1" si="89"/>
        <v>-1344375</v>
      </c>
      <c r="J120" s="29">
        <f t="shared" ca="1" si="89"/>
        <v>-1344375</v>
      </c>
      <c r="K120" s="29">
        <f t="shared" ca="1" si="89"/>
        <v>-1344375</v>
      </c>
      <c r="L120" s="29">
        <f t="shared" ca="1" si="89"/>
        <v>-1344375</v>
      </c>
      <c r="M120" s="29">
        <f t="shared" ca="1" si="89"/>
        <v>-1344375</v>
      </c>
      <c r="N120" s="29">
        <f t="shared" ca="1" si="89"/>
        <v>-1344375</v>
      </c>
      <c r="O120" s="29">
        <f t="shared" ca="1" si="89"/>
        <v>-1344375</v>
      </c>
      <c r="P120" s="29">
        <f t="shared" ca="1" si="89"/>
        <v>-1344375</v>
      </c>
      <c r="Q120" s="29">
        <f t="shared" ca="1" si="89"/>
        <v>-1344375</v>
      </c>
      <c r="R120" s="29">
        <f t="shared" ca="1" si="89"/>
        <v>-1344375</v>
      </c>
      <c r="S120" s="29">
        <f t="shared" ca="1" si="89"/>
        <v>-372249.99999999953</v>
      </c>
      <c r="T120" s="29">
        <f t="shared" ca="1" si="89"/>
        <v>-372249.99999999953</v>
      </c>
      <c r="U120" s="29">
        <f t="shared" ca="1" si="89"/>
        <v>-372249.99999999953</v>
      </c>
      <c r="V120" s="29">
        <f t="shared" ca="1" si="89"/>
        <v>-372249.99999999953</v>
      </c>
      <c r="W120" s="29">
        <f t="shared" ca="1" si="89"/>
        <v>22866438.57589351</v>
      </c>
      <c r="X120" s="29">
        <f t="shared" si="89"/>
        <v>0</v>
      </c>
      <c r="Y120" s="29">
        <f t="shared" si="89"/>
        <v>0</v>
      </c>
      <c r="Z120" s="29">
        <f t="shared" si="89"/>
        <v>0</v>
      </c>
      <c r="AA120" s="29">
        <f t="shared" si="89"/>
        <v>0</v>
      </c>
      <c r="AB120" s="29">
        <f t="shared" si="89"/>
        <v>0</v>
      </c>
      <c r="AC120" s="29">
        <f t="shared" si="89"/>
        <v>0</v>
      </c>
      <c r="AD120" s="29">
        <f t="shared" si="89"/>
        <v>0</v>
      </c>
      <c r="AE120" s="29">
        <f t="shared" si="89"/>
        <v>0</v>
      </c>
      <c r="AF120" s="29">
        <f t="shared" si="89"/>
        <v>0</v>
      </c>
      <c r="AG120" s="29">
        <f t="shared" si="89"/>
        <v>0</v>
      </c>
      <c r="AH120" s="29">
        <f t="shared" si="89"/>
        <v>0</v>
      </c>
      <c r="AI120" s="29">
        <f t="shared" si="89"/>
        <v>0</v>
      </c>
      <c r="AJ120" s="29">
        <f t="shared" si="89"/>
        <v>0</v>
      </c>
      <c r="AK120" s="29">
        <f t="shared" si="89"/>
        <v>0</v>
      </c>
      <c r="AL120" s="29">
        <f t="shared" si="89"/>
        <v>0</v>
      </c>
      <c r="AM120" s="29">
        <f t="shared" si="89"/>
        <v>0</v>
      </c>
      <c r="AN120" s="29">
        <f t="shared" si="89"/>
        <v>0</v>
      </c>
      <c r="AO120" s="29">
        <f t="shared" si="89"/>
        <v>0</v>
      </c>
      <c r="AP120" s="29">
        <f t="shared" si="89"/>
        <v>0</v>
      </c>
      <c r="AQ120" s="29">
        <f t="shared" si="89"/>
        <v>0</v>
      </c>
      <c r="AR120" s="29">
        <f t="shared" si="89"/>
        <v>0</v>
      </c>
      <c r="AS120" s="29">
        <f t="shared" si="89"/>
        <v>0</v>
      </c>
      <c r="AT120" s="29">
        <f t="shared" si="89"/>
        <v>0</v>
      </c>
      <c r="AU120" s="29">
        <f t="shared" si="89"/>
        <v>0</v>
      </c>
      <c r="AV120" s="29">
        <f t="shared" si="89"/>
        <v>0</v>
      </c>
      <c r="AW120" s="29">
        <f t="shared" si="89"/>
        <v>0</v>
      </c>
      <c r="AX120" s="29">
        <f t="shared" si="89"/>
        <v>0</v>
      </c>
      <c r="AY120" s="29">
        <f t="shared" si="89"/>
        <v>0</v>
      </c>
      <c r="AZ120" s="29">
        <f t="shared" si="89"/>
        <v>0</v>
      </c>
      <c r="BA120" s="29">
        <f t="shared" si="89"/>
        <v>0</v>
      </c>
      <c r="BB120" s="29">
        <f t="shared" si="89"/>
        <v>0</v>
      </c>
      <c r="BC120" s="29">
        <f t="shared" si="89"/>
        <v>0</v>
      </c>
      <c r="BD120" s="29">
        <f t="shared" si="89"/>
        <v>0</v>
      </c>
      <c r="BE120" s="29">
        <f t="shared" si="89"/>
        <v>0</v>
      </c>
      <c r="BF120" s="29">
        <f t="shared" si="89"/>
        <v>0</v>
      </c>
      <c r="BG120" s="29">
        <f t="shared" si="89"/>
        <v>0</v>
      </c>
      <c r="BH120" s="29">
        <f t="shared" si="89"/>
        <v>0</v>
      </c>
      <c r="BI120" s="29">
        <f t="shared" si="89"/>
        <v>0</v>
      </c>
      <c r="BJ120" s="29">
        <f t="shared" si="89"/>
        <v>0</v>
      </c>
      <c r="BK120" s="29">
        <f t="shared" si="89"/>
        <v>0</v>
      </c>
      <c r="BL120" s="29">
        <f t="shared" si="89"/>
        <v>0</v>
      </c>
      <c r="BM120" s="29">
        <f t="shared" si="89"/>
        <v>0</v>
      </c>
      <c r="BN120" s="29">
        <f t="shared" si="89"/>
        <v>0</v>
      </c>
      <c r="BO120" s="29">
        <f t="shared" si="89"/>
        <v>0</v>
      </c>
      <c r="BP120" s="29">
        <f t="shared" si="89"/>
        <v>0</v>
      </c>
      <c r="BQ120" s="29">
        <f t="shared" si="89"/>
        <v>0</v>
      </c>
      <c r="BR120" s="29">
        <f t="shared" si="89"/>
        <v>0</v>
      </c>
      <c r="BS120" s="29">
        <f t="shared" si="89"/>
        <v>0</v>
      </c>
      <c r="BT120" s="29">
        <f t="shared" si="89"/>
        <v>0</v>
      </c>
      <c r="BU120" s="29">
        <f t="shared" si="89"/>
        <v>0</v>
      </c>
      <c r="BV120" s="29">
        <f t="shared" si="89"/>
        <v>0</v>
      </c>
      <c r="BW120" s="29">
        <f t="shared" si="89"/>
        <v>0</v>
      </c>
      <c r="BX120" s="29">
        <f t="shared" si="89"/>
        <v>0</v>
      </c>
      <c r="BY120" s="29">
        <f t="shared" si="89"/>
        <v>0</v>
      </c>
      <c r="BZ120" s="29">
        <f t="shared" si="89"/>
        <v>0</v>
      </c>
      <c r="CA120" s="29">
        <f t="shared" si="89"/>
        <v>0</v>
      </c>
      <c r="CB120" s="29">
        <f t="shared" si="89"/>
        <v>0</v>
      </c>
      <c r="CC120" s="29">
        <f t="shared" si="89"/>
        <v>0</v>
      </c>
      <c r="CD120" s="29">
        <f t="shared" si="89"/>
        <v>0</v>
      </c>
      <c r="CE120" s="29">
        <f t="shared" si="89"/>
        <v>0</v>
      </c>
      <c r="CF120" s="29">
        <f t="shared" si="89"/>
        <v>0</v>
      </c>
      <c r="CG120" s="29">
        <f t="shared" si="89"/>
        <v>0</v>
      </c>
      <c r="CH120" s="29">
        <f t="shared" si="89"/>
        <v>0</v>
      </c>
    </row>
    <row r="121" spans="2:86" ht="13" hidden="1" outlineLevel="1">
      <c r="B121" s="84">
        <f t="shared" si="73"/>
        <v>18</v>
      </c>
      <c r="C121" s="64">
        <f t="shared" ca="1" si="71"/>
        <v>0.13797053884022348</v>
      </c>
      <c r="D121" s="15" t="s">
        <v>238</v>
      </c>
      <c r="E121" s="29">
        <f t="shared" ca="1" si="61"/>
        <v>7548594.8121536598</v>
      </c>
      <c r="F121" s="29"/>
      <c r="G121" s="29">
        <f t="shared" ref="G121:CH121" ca="1" si="90">IF(G$4&lt;=$B121,ABS(G$31)*-1+G$47,0)+IF($B121=G$4,G$81,0)</f>
        <v>-1444375</v>
      </c>
      <c r="H121" s="29">
        <f t="shared" ca="1" si="90"/>
        <v>-1344375</v>
      </c>
      <c r="I121" s="29">
        <f t="shared" ca="1" si="90"/>
        <v>-1344375</v>
      </c>
      <c r="J121" s="29">
        <f t="shared" ca="1" si="90"/>
        <v>-1344375</v>
      </c>
      <c r="K121" s="29">
        <f t="shared" ca="1" si="90"/>
        <v>-1344375</v>
      </c>
      <c r="L121" s="29">
        <f t="shared" ca="1" si="90"/>
        <v>-1344375</v>
      </c>
      <c r="M121" s="29">
        <f t="shared" ca="1" si="90"/>
        <v>-1344375</v>
      </c>
      <c r="N121" s="29">
        <f t="shared" ca="1" si="90"/>
        <v>-1344375</v>
      </c>
      <c r="O121" s="29">
        <f t="shared" ca="1" si="90"/>
        <v>-1344375</v>
      </c>
      <c r="P121" s="29">
        <f t="shared" ca="1" si="90"/>
        <v>-1344375</v>
      </c>
      <c r="Q121" s="29">
        <f t="shared" ca="1" si="90"/>
        <v>-1344375</v>
      </c>
      <c r="R121" s="29">
        <f t="shared" ca="1" si="90"/>
        <v>-1344375</v>
      </c>
      <c r="S121" s="29">
        <f t="shared" ca="1" si="90"/>
        <v>-372249.99999999953</v>
      </c>
      <c r="T121" s="29">
        <f t="shared" ca="1" si="90"/>
        <v>-372249.99999999953</v>
      </c>
      <c r="U121" s="29">
        <f t="shared" ca="1" si="90"/>
        <v>-372249.99999999953</v>
      </c>
      <c r="V121" s="29">
        <f t="shared" ca="1" si="90"/>
        <v>-372249.99999999953</v>
      </c>
      <c r="W121" s="29">
        <f t="shared" ca="1" si="90"/>
        <v>3345406.2500000009</v>
      </c>
      <c r="X121" s="29">
        <f t="shared" ca="1" si="90"/>
        <v>21924688.56215366</v>
      </c>
      <c r="Y121" s="29">
        <f t="shared" si="90"/>
        <v>0</v>
      </c>
      <c r="Z121" s="29">
        <f t="shared" si="90"/>
        <v>0</v>
      </c>
      <c r="AA121" s="29">
        <f t="shared" si="90"/>
        <v>0</v>
      </c>
      <c r="AB121" s="29">
        <f t="shared" si="90"/>
        <v>0</v>
      </c>
      <c r="AC121" s="29">
        <f t="shared" si="90"/>
        <v>0</v>
      </c>
      <c r="AD121" s="29">
        <f t="shared" si="90"/>
        <v>0</v>
      </c>
      <c r="AE121" s="29">
        <f t="shared" si="90"/>
        <v>0</v>
      </c>
      <c r="AF121" s="29">
        <f t="shared" si="90"/>
        <v>0</v>
      </c>
      <c r="AG121" s="29">
        <f t="shared" si="90"/>
        <v>0</v>
      </c>
      <c r="AH121" s="29">
        <f t="shared" si="90"/>
        <v>0</v>
      </c>
      <c r="AI121" s="29">
        <f t="shared" si="90"/>
        <v>0</v>
      </c>
      <c r="AJ121" s="29">
        <f t="shared" si="90"/>
        <v>0</v>
      </c>
      <c r="AK121" s="29">
        <f t="shared" si="90"/>
        <v>0</v>
      </c>
      <c r="AL121" s="29">
        <f t="shared" si="90"/>
        <v>0</v>
      </c>
      <c r="AM121" s="29">
        <f t="shared" si="90"/>
        <v>0</v>
      </c>
      <c r="AN121" s="29">
        <f t="shared" si="90"/>
        <v>0</v>
      </c>
      <c r="AO121" s="29">
        <f t="shared" si="90"/>
        <v>0</v>
      </c>
      <c r="AP121" s="29">
        <f t="shared" si="90"/>
        <v>0</v>
      </c>
      <c r="AQ121" s="29">
        <f t="shared" si="90"/>
        <v>0</v>
      </c>
      <c r="AR121" s="29">
        <f t="shared" si="90"/>
        <v>0</v>
      </c>
      <c r="AS121" s="29">
        <f t="shared" si="90"/>
        <v>0</v>
      </c>
      <c r="AT121" s="29">
        <f t="shared" si="90"/>
        <v>0</v>
      </c>
      <c r="AU121" s="29">
        <f t="shared" si="90"/>
        <v>0</v>
      </c>
      <c r="AV121" s="29">
        <f t="shared" si="90"/>
        <v>0</v>
      </c>
      <c r="AW121" s="29">
        <f t="shared" si="90"/>
        <v>0</v>
      </c>
      <c r="AX121" s="29">
        <f t="shared" si="90"/>
        <v>0</v>
      </c>
      <c r="AY121" s="29">
        <f t="shared" si="90"/>
        <v>0</v>
      </c>
      <c r="AZ121" s="29">
        <f t="shared" si="90"/>
        <v>0</v>
      </c>
      <c r="BA121" s="29">
        <f t="shared" si="90"/>
        <v>0</v>
      </c>
      <c r="BB121" s="29">
        <f t="shared" si="90"/>
        <v>0</v>
      </c>
      <c r="BC121" s="29">
        <f t="shared" si="90"/>
        <v>0</v>
      </c>
      <c r="BD121" s="29">
        <f t="shared" si="90"/>
        <v>0</v>
      </c>
      <c r="BE121" s="29">
        <f t="shared" si="90"/>
        <v>0</v>
      </c>
      <c r="BF121" s="29">
        <f t="shared" si="90"/>
        <v>0</v>
      </c>
      <c r="BG121" s="29">
        <f t="shared" si="90"/>
        <v>0</v>
      </c>
      <c r="BH121" s="29">
        <f t="shared" si="90"/>
        <v>0</v>
      </c>
      <c r="BI121" s="29">
        <f t="shared" si="90"/>
        <v>0</v>
      </c>
      <c r="BJ121" s="29">
        <f t="shared" si="90"/>
        <v>0</v>
      </c>
      <c r="BK121" s="29">
        <f t="shared" si="90"/>
        <v>0</v>
      </c>
      <c r="BL121" s="29">
        <f t="shared" si="90"/>
        <v>0</v>
      </c>
      <c r="BM121" s="29">
        <f t="shared" si="90"/>
        <v>0</v>
      </c>
      <c r="BN121" s="29">
        <f t="shared" si="90"/>
        <v>0</v>
      </c>
      <c r="BO121" s="29">
        <f t="shared" si="90"/>
        <v>0</v>
      </c>
      <c r="BP121" s="29">
        <f t="shared" si="90"/>
        <v>0</v>
      </c>
      <c r="BQ121" s="29">
        <f t="shared" si="90"/>
        <v>0</v>
      </c>
      <c r="BR121" s="29">
        <f t="shared" si="90"/>
        <v>0</v>
      </c>
      <c r="BS121" s="29">
        <f t="shared" si="90"/>
        <v>0</v>
      </c>
      <c r="BT121" s="29">
        <f t="shared" si="90"/>
        <v>0</v>
      </c>
      <c r="BU121" s="29">
        <f t="shared" si="90"/>
        <v>0</v>
      </c>
      <c r="BV121" s="29">
        <f t="shared" si="90"/>
        <v>0</v>
      </c>
      <c r="BW121" s="29">
        <f t="shared" si="90"/>
        <v>0</v>
      </c>
      <c r="BX121" s="29">
        <f t="shared" si="90"/>
        <v>0</v>
      </c>
      <c r="BY121" s="29">
        <f t="shared" si="90"/>
        <v>0</v>
      </c>
      <c r="BZ121" s="29">
        <f t="shared" si="90"/>
        <v>0</v>
      </c>
      <c r="CA121" s="29">
        <f t="shared" si="90"/>
        <v>0</v>
      </c>
      <c r="CB121" s="29">
        <f t="shared" si="90"/>
        <v>0</v>
      </c>
      <c r="CC121" s="29">
        <f t="shared" si="90"/>
        <v>0</v>
      </c>
      <c r="CD121" s="29">
        <f t="shared" si="90"/>
        <v>0</v>
      </c>
      <c r="CE121" s="29">
        <f t="shared" si="90"/>
        <v>0</v>
      </c>
      <c r="CF121" s="29">
        <f t="shared" si="90"/>
        <v>0</v>
      </c>
      <c r="CG121" s="29">
        <f t="shared" si="90"/>
        <v>0</v>
      </c>
      <c r="CH121" s="29">
        <f t="shared" si="90"/>
        <v>0</v>
      </c>
    </row>
    <row r="122" spans="2:86" ht="13" hidden="1" outlineLevel="1">
      <c r="B122" s="84">
        <f t="shared" si="73"/>
        <v>19</v>
      </c>
      <c r="C122" s="64">
        <f t="shared" ca="1" si="71"/>
        <v>0.15615372747120482</v>
      </c>
      <c r="D122" s="15" t="s">
        <v>238</v>
      </c>
      <c r="E122" s="29">
        <f t="shared" ca="1" si="61"/>
        <v>9437102.8310081139</v>
      </c>
      <c r="F122" s="29"/>
      <c r="G122" s="29">
        <f t="shared" ref="G122:CH122" ca="1" si="91">IF(G$4&lt;=$B122,ABS(G$31)*-1+G$47,0)+IF($B122=G$4,G$81,0)</f>
        <v>-1444375</v>
      </c>
      <c r="H122" s="29">
        <f t="shared" ca="1" si="91"/>
        <v>-1344375</v>
      </c>
      <c r="I122" s="29">
        <f t="shared" ca="1" si="91"/>
        <v>-1344375</v>
      </c>
      <c r="J122" s="29">
        <f t="shared" ca="1" si="91"/>
        <v>-1344375</v>
      </c>
      <c r="K122" s="29">
        <f t="shared" ca="1" si="91"/>
        <v>-1344375</v>
      </c>
      <c r="L122" s="29">
        <f t="shared" ca="1" si="91"/>
        <v>-1344375</v>
      </c>
      <c r="M122" s="29">
        <f t="shared" ca="1" si="91"/>
        <v>-1344375</v>
      </c>
      <c r="N122" s="29">
        <f t="shared" ca="1" si="91"/>
        <v>-1344375</v>
      </c>
      <c r="O122" s="29">
        <f t="shared" ca="1" si="91"/>
        <v>-1344375</v>
      </c>
      <c r="P122" s="29">
        <f t="shared" ca="1" si="91"/>
        <v>-1344375</v>
      </c>
      <c r="Q122" s="29">
        <f t="shared" ca="1" si="91"/>
        <v>-1344375</v>
      </c>
      <c r="R122" s="29">
        <f t="shared" ca="1" si="91"/>
        <v>-1344375</v>
      </c>
      <c r="S122" s="29">
        <f t="shared" ca="1" si="91"/>
        <v>-372249.99999999953</v>
      </c>
      <c r="T122" s="29">
        <f t="shared" ca="1" si="91"/>
        <v>-372249.99999999953</v>
      </c>
      <c r="U122" s="29">
        <f t="shared" ca="1" si="91"/>
        <v>-372249.99999999953</v>
      </c>
      <c r="V122" s="29">
        <f t="shared" ca="1" si="91"/>
        <v>-372249.99999999953</v>
      </c>
      <c r="W122" s="29">
        <f t="shared" ca="1" si="91"/>
        <v>3345406.2500000009</v>
      </c>
      <c r="X122" s="29">
        <f t="shared" ca="1" si="91"/>
        <v>3345406.2500000009</v>
      </c>
      <c r="Y122" s="29">
        <f t="shared" ca="1" si="91"/>
        <v>20467790.331008114</v>
      </c>
      <c r="Z122" s="29">
        <f t="shared" si="91"/>
        <v>0</v>
      </c>
      <c r="AA122" s="29">
        <f t="shared" si="91"/>
        <v>0</v>
      </c>
      <c r="AB122" s="29">
        <f t="shared" si="91"/>
        <v>0</v>
      </c>
      <c r="AC122" s="29">
        <f t="shared" si="91"/>
        <v>0</v>
      </c>
      <c r="AD122" s="29">
        <f t="shared" si="91"/>
        <v>0</v>
      </c>
      <c r="AE122" s="29">
        <f t="shared" si="91"/>
        <v>0</v>
      </c>
      <c r="AF122" s="29">
        <f t="shared" si="91"/>
        <v>0</v>
      </c>
      <c r="AG122" s="29">
        <f t="shared" si="91"/>
        <v>0</v>
      </c>
      <c r="AH122" s="29">
        <f t="shared" si="91"/>
        <v>0</v>
      </c>
      <c r="AI122" s="29">
        <f t="shared" si="91"/>
        <v>0</v>
      </c>
      <c r="AJ122" s="29">
        <f t="shared" si="91"/>
        <v>0</v>
      </c>
      <c r="AK122" s="29">
        <f t="shared" si="91"/>
        <v>0</v>
      </c>
      <c r="AL122" s="29">
        <f t="shared" si="91"/>
        <v>0</v>
      </c>
      <c r="AM122" s="29">
        <f t="shared" si="91"/>
        <v>0</v>
      </c>
      <c r="AN122" s="29">
        <f t="shared" si="91"/>
        <v>0</v>
      </c>
      <c r="AO122" s="29">
        <f t="shared" si="91"/>
        <v>0</v>
      </c>
      <c r="AP122" s="29">
        <f t="shared" si="91"/>
        <v>0</v>
      </c>
      <c r="AQ122" s="29">
        <f t="shared" si="91"/>
        <v>0</v>
      </c>
      <c r="AR122" s="29">
        <f t="shared" si="91"/>
        <v>0</v>
      </c>
      <c r="AS122" s="29">
        <f t="shared" si="91"/>
        <v>0</v>
      </c>
      <c r="AT122" s="29">
        <f t="shared" si="91"/>
        <v>0</v>
      </c>
      <c r="AU122" s="29">
        <f t="shared" si="91"/>
        <v>0</v>
      </c>
      <c r="AV122" s="29">
        <f t="shared" si="91"/>
        <v>0</v>
      </c>
      <c r="AW122" s="29">
        <f t="shared" si="91"/>
        <v>0</v>
      </c>
      <c r="AX122" s="29">
        <f t="shared" si="91"/>
        <v>0</v>
      </c>
      <c r="AY122" s="29">
        <f t="shared" si="91"/>
        <v>0</v>
      </c>
      <c r="AZ122" s="29">
        <f t="shared" si="91"/>
        <v>0</v>
      </c>
      <c r="BA122" s="29">
        <f t="shared" si="91"/>
        <v>0</v>
      </c>
      <c r="BB122" s="29">
        <f t="shared" si="91"/>
        <v>0</v>
      </c>
      <c r="BC122" s="29">
        <f t="shared" si="91"/>
        <v>0</v>
      </c>
      <c r="BD122" s="29">
        <f t="shared" si="91"/>
        <v>0</v>
      </c>
      <c r="BE122" s="29">
        <f t="shared" si="91"/>
        <v>0</v>
      </c>
      <c r="BF122" s="29">
        <f t="shared" si="91"/>
        <v>0</v>
      </c>
      <c r="BG122" s="29">
        <f t="shared" si="91"/>
        <v>0</v>
      </c>
      <c r="BH122" s="29">
        <f t="shared" si="91"/>
        <v>0</v>
      </c>
      <c r="BI122" s="29">
        <f t="shared" si="91"/>
        <v>0</v>
      </c>
      <c r="BJ122" s="29">
        <f t="shared" si="91"/>
        <v>0</v>
      </c>
      <c r="BK122" s="29">
        <f t="shared" si="91"/>
        <v>0</v>
      </c>
      <c r="BL122" s="29">
        <f t="shared" si="91"/>
        <v>0</v>
      </c>
      <c r="BM122" s="29">
        <f t="shared" si="91"/>
        <v>0</v>
      </c>
      <c r="BN122" s="29">
        <f t="shared" si="91"/>
        <v>0</v>
      </c>
      <c r="BO122" s="29">
        <f t="shared" si="91"/>
        <v>0</v>
      </c>
      <c r="BP122" s="29">
        <f t="shared" si="91"/>
        <v>0</v>
      </c>
      <c r="BQ122" s="29">
        <f t="shared" si="91"/>
        <v>0</v>
      </c>
      <c r="BR122" s="29">
        <f t="shared" si="91"/>
        <v>0</v>
      </c>
      <c r="BS122" s="29">
        <f t="shared" si="91"/>
        <v>0</v>
      </c>
      <c r="BT122" s="29">
        <f t="shared" si="91"/>
        <v>0</v>
      </c>
      <c r="BU122" s="29">
        <f t="shared" si="91"/>
        <v>0</v>
      </c>
      <c r="BV122" s="29">
        <f t="shared" si="91"/>
        <v>0</v>
      </c>
      <c r="BW122" s="29">
        <f t="shared" si="91"/>
        <v>0</v>
      </c>
      <c r="BX122" s="29">
        <f t="shared" si="91"/>
        <v>0</v>
      </c>
      <c r="BY122" s="29">
        <f t="shared" si="91"/>
        <v>0</v>
      </c>
      <c r="BZ122" s="29">
        <f t="shared" si="91"/>
        <v>0</v>
      </c>
      <c r="CA122" s="29">
        <f t="shared" si="91"/>
        <v>0</v>
      </c>
      <c r="CB122" s="29">
        <f t="shared" si="91"/>
        <v>0</v>
      </c>
      <c r="CC122" s="29">
        <f t="shared" si="91"/>
        <v>0</v>
      </c>
      <c r="CD122" s="29">
        <f t="shared" si="91"/>
        <v>0</v>
      </c>
      <c r="CE122" s="29">
        <f t="shared" si="91"/>
        <v>0</v>
      </c>
      <c r="CF122" s="29">
        <f t="shared" si="91"/>
        <v>0</v>
      </c>
      <c r="CG122" s="29">
        <f t="shared" si="91"/>
        <v>0</v>
      </c>
      <c r="CH122" s="29">
        <f t="shared" si="91"/>
        <v>0</v>
      </c>
    </row>
    <row r="123" spans="2:86" ht="13" hidden="1" outlineLevel="1">
      <c r="B123" s="84">
        <f t="shared" si="73"/>
        <v>20</v>
      </c>
      <c r="C123" s="64">
        <f t="shared" ca="1" si="71"/>
        <v>0.16991391004578849</v>
      </c>
      <c r="D123" s="15" t="s">
        <v>238</v>
      </c>
      <c r="E123" s="29">
        <f t="shared" ca="1" si="61"/>
        <v>11179899.834837822</v>
      </c>
      <c r="F123" s="29"/>
      <c r="G123" s="29">
        <f t="shared" ref="G123:CH123" ca="1" si="92">IF(G$4&lt;=$B123,ABS(G$31)*-1+G$47,0)+IF($B123=G$4,G$81,0)</f>
        <v>-1444375</v>
      </c>
      <c r="H123" s="29">
        <f t="shared" ca="1" si="92"/>
        <v>-1344375</v>
      </c>
      <c r="I123" s="29">
        <f t="shared" ca="1" si="92"/>
        <v>-1344375</v>
      </c>
      <c r="J123" s="29">
        <f t="shared" ca="1" si="92"/>
        <v>-1344375</v>
      </c>
      <c r="K123" s="29">
        <f t="shared" ca="1" si="92"/>
        <v>-1344375</v>
      </c>
      <c r="L123" s="29">
        <f t="shared" ca="1" si="92"/>
        <v>-1344375</v>
      </c>
      <c r="M123" s="29">
        <f t="shared" ca="1" si="92"/>
        <v>-1344375</v>
      </c>
      <c r="N123" s="29">
        <f t="shared" ca="1" si="92"/>
        <v>-1344375</v>
      </c>
      <c r="O123" s="29">
        <f t="shared" ca="1" si="92"/>
        <v>-1344375</v>
      </c>
      <c r="P123" s="29">
        <f t="shared" ca="1" si="92"/>
        <v>-1344375</v>
      </c>
      <c r="Q123" s="29">
        <f t="shared" ca="1" si="92"/>
        <v>-1344375</v>
      </c>
      <c r="R123" s="29">
        <f t="shared" ca="1" si="92"/>
        <v>-1344375</v>
      </c>
      <c r="S123" s="29">
        <f t="shared" ca="1" si="92"/>
        <v>-372249.99999999953</v>
      </c>
      <c r="T123" s="29">
        <f t="shared" ca="1" si="92"/>
        <v>-372249.99999999953</v>
      </c>
      <c r="U123" s="29">
        <f t="shared" ca="1" si="92"/>
        <v>-372249.99999999953</v>
      </c>
      <c r="V123" s="29">
        <f t="shared" ca="1" si="92"/>
        <v>-372249.99999999953</v>
      </c>
      <c r="W123" s="29">
        <f t="shared" ca="1" si="92"/>
        <v>3345406.2500000009</v>
      </c>
      <c r="X123" s="29">
        <f t="shared" ca="1" si="92"/>
        <v>3345406.2500000009</v>
      </c>
      <c r="Y123" s="29">
        <f t="shared" ca="1" si="92"/>
        <v>2945950.5952380951</v>
      </c>
      <c r="Z123" s="29">
        <f t="shared" ca="1" si="92"/>
        <v>19264636.739599727</v>
      </c>
      <c r="AA123" s="29">
        <f t="shared" si="92"/>
        <v>0</v>
      </c>
      <c r="AB123" s="29">
        <f t="shared" si="92"/>
        <v>0</v>
      </c>
      <c r="AC123" s="29">
        <f t="shared" si="92"/>
        <v>0</v>
      </c>
      <c r="AD123" s="29">
        <f t="shared" si="92"/>
        <v>0</v>
      </c>
      <c r="AE123" s="29">
        <f t="shared" si="92"/>
        <v>0</v>
      </c>
      <c r="AF123" s="29">
        <f t="shared" si="92"/>
        <v>0</v>
      </c>
      <c r="AG123" s="29">
        <f t="shared" si="92"/>
        <v>0</v>
      </c>
      <c r="AH123" s="29">
        <f t="shared" si="92"/>
        <v>0</v>
      </c>
      <c r="AI123" s="29">
        <f t="shared" si="92"/>
        <v>0</v>
      </c>
      <c r="AJ123" s="29">
        <f t="shared" si="92"/>
        <v>0</v>
      </c>
      <c r="AK123" s="29">
        <f t="shared" si="92"/>
        <v>0</v>
      </c>
      <c r="AL123" s="29">
        <f t="shared" si="92"/>
        <v>0</v>
      </c>
      <c r="AM123" s="29">
        <f t="shared" si="92"/>
        <v>0</v>
      </c>
      <c r="AN123" s="29">
        <f t="shared" si="92"/>
        <v>0</v>
      </c>
      <c r="AO123" s="29">
        <f t="shared" si="92"/>
        <v>0</v>
      </c>
      <c r="AP123" s="29">
        <f t="shared" si="92"/>
        <v>0</v>
      </c>
      <c r="AQ123" s="29">
        <f t="shared" si="92"/>
        <v>0</v>
      </c>
      <c r="AR123" s="29">
        <f t="shared" si="92"/>
        <v>0</v>
      </c>
      <c r="AS123" s="29">
        <f t="shared" si="92"/>
        <v>0</v>
      </c>
      <c r="AT123" s="29">
        <f t="shared" si="92"/>
        <v>0</v>
      </c>
      <c r="AU123" s="29">
        <f t="shared" si="92"/>
        <v>0</v>
      </c>
      <c r="AV123" s="29">
        <f t="shared" si="92"/>
        <v>0</v>
      </c>
      <c r="AW123" s="29">
        <f t="shared" si="92"/>
        <v>0</v>
      </c>
      <c r="AX123" s="29">
        <f t="shared" si="92"/>
        <v>0</v>
      </c>
      <c r="AY123" s="29">
        <f t="shared" si="92"/>
        <v>0</v>
      </c>
      <c r="AZ123" s="29">
        <f t="shared" si="92"/>
        <v>0</v>
      </c>
      <c r="BA123" s="29">
        <f t="shared" si="92"/>
        <v>0</v>
      </c>
      <c r="BB123" s="29">
        <f t="shared" si="92"/>
        <v>0</v>
      </c>
      <c r="BC123" s="29">
        <f t="shared" si="92"/>
        <v>0</v>
      </c>
      <c r="BD123" s="29">
        <f t="shared" si="92"/>
        <v>0</v>
      </c>
      <c r="BE123" s="29">
        <f t="shared" si="92"/>
        <v>0</v>
      </c>
      <c r="BF123" s="29">
        <f t="shared" si="92"/>
        <v>0</v>
      </c>
      <c r="BG123" s="29">
        <f t="shared" si="92"/>
        <v>0</v>
      </c>
      <c r="BH123" s="29">
        <f t="shared" si="92"/>
        <v>0</v>
      </c>
      <c r="BI123" s="29">
        <f t="shared" si="92"/>
        <v>0</v>
      </c>
      <c r="BJ123" s="29">
        <f t="shared" si="92"/>
        <v>0</v>
      </c>
      <c r="BK123" s="29">
        <f t="shared" si="92"/>
        <v>0</v>
      </c>
      <c r="BL123" s="29">
        <f t="shared" si="92"/>
        <v>0</v>
      </c>
      <c r="BM123" s="29">
        <f t="shared" si="92"/>
        <v>0</v>
      </c>
      <c r="BN123" s="29">
        <f t="shared" si="92"/>
        <v>0</v>
      </c>
      <c r="BO123" s="29">
        <f t="shared" si="92"/>
        <v>0</v>
      </c>
      <c r="BP123" s="29">
        <f t="shared" si="92"/>
        <v>0</v>
      </c>
      <c r="BQ123" s="29">
        <f t="shared" si="92"/>
        <v>0</v>
      </c>
      <c r="BR123" s="29">
        <f t="shared" si="92"/>
        <v>0</v>
      </c>
      <c r="BS123" s="29">
        <f t="shared" si="92"/>
        <v>0</v>
      </c>
      <c r="BT123" s="29">
        <f t="shared" si="92"/>
        <v>0</v>
      </c>
      <c r="BU123" s="29">
        <f t="shared" si="92"/>
        <v>0</v>
      </c>
      <c r="BV123" s="29">
        <f t="shared" si="92"/>
        <v>0</v>
      </c>
      <c r="BW123" s="29">
        <f t="shared" si="92"/>
        <v>0</v>
      </c>
      <c r="BX123" s="29">
        <f t="shared" si="92"/>
        <v>0</v>
      </c>
      <c r="BY123" s="29">
        <f t="shared" si="92"/>
        <v>0</v>
      </c>
      <c r="BZ123" s="29">
        <f t="shared" si="92"/>
        <v>0</v>
      </c>
      <c r="CA123" s="29">
        <f t="shared" si="92"/>
        <v>0</v>
      </c>
      <c r="CB123" s="29">
        <f t="shared" si="92"/>
        <v>0</v>
      </c>
      <c r="CC123" s="29">
        <f t="shared" si="92"/>
        <v>0</v>
      </c>
      <c r="CD123" s="29">
        <f t="shared" si="92"/>
        <v>0</v>
      </c>
      <c r="CE123" s="29">
        <f t="shared" si="92"/>
        <v>0</v>
      </c>
      <c r="CF123" s="29">
        <f t="shared" si="92"/>
        <v>0</v>
      </c>
      <c r="CG123" s="29">
        <f t="shared" si="92"/>
        <v>0</v>
      </c>
      <c r="CH123" s="29">
        <f t="shared" si="92"/>
        <v>0</v>
      </c>
    </row>
    <row r="124" spans="2:86" ht="13" hidden="1" outlineLevel="1">
      <c r="B124" s="84">
        <f t="shared" si="73"/>
        <v>21</v>
      </c>
      <c r="C124" s="64">
        <f t="shared" ca="1" si="71"/>
        <v>0.17954122889526047</v>
      </c>
      <c r="D124" s="15" t="s">
        <v>238</v>
      </c>
      <c r="E124" s="29">
        <f t="shared" ca="1" si="61"/>
        <v>12690630.724228442</v>
      </c>
      <c r="F124" s="29"/>
      <c r="G124" s="29">
        <f t="shared" ref="G124:CH124" ca="1" si="93">IF(G$4&lt;=$B124,ABS(G$31)*-1+G$47,0)+IF($B124=G$4,G$81,0)</f>
        <v>-1444375</v>
      </c>
      <c r="H124" s="29">
        <f t="shared" ca="1" si="93"/>
        <v>-1344375</v>
      </c>
      <c r="I124" s="29">
        <f t="shared" ca="1" si="93"/>
        <v>-1344375</v>
      </c>
      <c r="J124" s="29">
        <f t="shared" ca="1" si="93"/>
        <v>-1344375</v>
      </c>
      <c r="K124" s="29">
        <f t="shared" ca="1" si="93"/>
        <v>-1344375</v>
      </c>
      <c r="L124" s="29">
        <f t="shared" ca="1" si="93"/>
        <v>-1344375</v>
      </c>
      <c r="M124" s="29">
        <f t="shared" ca="1" si="93"/>
        <v>-1344375</v>
      </c>
      <c r="N124" s="29">
        <f t="shared" ca="1" si="93"/>
        <v>-1344375</v>
      </c>
      <c r="O124" s="29">
        <f t="shared" ca="1" si="93"/>
        <v>-1344375</v>
      </c>
      <c r="P124" s="29">
        <f t="shared" ca="1" si="93"/>
        <v>-1344375</v>
      </c>
      <c r="Q124" s="29">
        <f t="shared" ca="1" si="93"/>
        <v>-1344375</v>
      </c>
      <c r="R124" s="29">
        <f t="shared" ca="1" si="93"/>
        <v>-1344375</v>
      </c>
      <c r="S124" s="29">
        <f t="shared" ca="1" si="93"/>
        <v>-372249.99999999953</v>
      </c>
      <c r="T124" s="29">
        <f t="shared" ca="1" si="93"/>
        <v>-372249.99999999953</v>
      </c>
      <c r="U124" s="29">
        <f t="shared" ca="1" si="93"/>
        <v>-372249.99999999953</v>
      </c>
      <c r="V124" s="29">
        <f t="shared" ca="1" si="93"/>
        <v>-372249.99999999953</v>
      </c>
      <c r="W124" s="29">
        <f t="shared" ca="1" si="93"/>
        <v>3345406.2500000009</v>
      </c>
      <c r="X124" s="29">
        <f t="shared" ca="1" si="93"/>
        <v>3345406.2500000009</v>
      </c>
      <c r="Y124" s="29">
        <f t="shared" ca="1" si="93"/>
        <v>2945950.5952380951</v>
      </c>
      <c r="Z124" s="29">
        <f t="shared" ca="1" si="93"/>
        <v>2915932.1428571437</v>
      </c>
      <c r="AA124" s="29">
        <f t="shared" ca="1" si="93"/>
        <v>17859435.486133203</v>
      </c>
      <c r="AB124" s="29">
        <f t="shared" si="93"/>
        <v>0</v>
      </c>
      <c r="AC124" s="29">
        <f t="shared" si="93"/>
        <v>0</v>
      </c>
      <c r="AD124" s="29">
        <f t="shared" si="93"/>
        <v>0</v>
      </c>
      <c r="AE124" s="29">
        <f t="shared" si="93"/>
        <v>0</v>
      </c>
      <c r="AF124" s="29">
        <f t="shared" si="93"/>
        <v>0</v>
      </c>
      <c r="AG124" s="29">
        <f t="shared" si="93"/>
        <v>0</v>
      </c>
      <c r="AH124" s="29">
        <f t="shared" si="93"/>
        <v>0</v>
      </c>
      <c r="AI124" s="29">
        <f t="shared" si="93"/>
        <v>0</v>
      </c>
      <c r="AJ124" s="29">
        <f t="shared" si="93"/>
        <v>0</v>
      </c>
      <c r="AK124" s="29">
        <f t="shared" si="93"/>
        <v>0</v>
      </c>
      <c r="AL124" s="29">
        <f t="shared" si="93"/>
        <v>0</v>
      </c>
      <c r="AM124" s="29">
        <f t="shared" si="93"/>
        <v>0</v>
      </c>
      <c r="AN124" s="29">
        <f t="shared" si="93"/>
        <v>0</v>
      </c>
      <c r="AO124" s="29">
        <f t="shared" si="93"/>
        <v>0</v>
      </c>
      <c r="AP124" s="29">
        <f t="shared" si="93"/>
        <v>0</v>
      </c>
      <c r="AQ124" s="29">
        <f t="shared" si="93"/>
        <v>0</v>
      </c>
      <c r="AR124" s="29">
        <f t="shared" si="93"/>
        <v>0</v>
      </c>
      <c r="AS124" s="29">
        <f t="shared" si="93"/>
        <v>0</v>
      </c>
      <c r="AT124" s="29">
        <f t="shared" si="93"/>
        <v>0</v>
      </c>
      <c r="AU124" s="29">
        <f t="shared" si="93"/>
        <v>0</v>
      </c>
      <c r="AV124" s="29">
        <f t="shared" si="93"/>
        <v>0</v>
      </c>
      <c r="AW124" s="29">
        <f t="shared" si="93"/>
        <v>0</v>
      </c>
      <c r="AX124" s="29">
        <f t="shared" si="93"/>
        <v>0</v>
      </c>
      <c r="AY124" s="29">
        <f t="shared" si="93"/>
        <v>0</v>
      </c>
      <c r="AZ124" s="29">
        <f t="shared" si="93"/>
        <v>0</v>
      </c>
      <c r="BA124" s="29">
        <f t="shared" si="93"/>
        <v>0</v>
      </c>
      <c r="BB124" s="29">
        <f t="shared" si="93"/>
        <v>0</v>
      </c>
      <c r="BC124" s="29">
        <f t="shared" si="93"/>
        <v>0</v>
      </c>
      <c r="BD124" s="29">
        <f t="shared" si="93"/>
        <v>0</v>
      </c>
      <c r="BE124" s="29">
        <f t="shared" si="93"/>
        <v>0</v>
      </c>
      <c r="BF124" s="29">
        <f t="shared" si="93"/>
        <v>0</v>
      </c>
      <c r="BG124" s="29">
        <f t="shared" si="93"/>
        <v>0</v>
      </c>
      <c r="BH124" s="29">
        <f t="shared" si="93"/>
        <v>0</v>
      </c>
      <c r="BI124" s="29">
        <f t="shared" si="93"/>
        <v>0</v>
      </c>
      <c r="BJ124" s="29">
        <f t="shared" si="93"/>
        <v>0</v>
      </c>
      <c r="BK124" s="29">
        <f t="shared" si="93"/>
        <v>0</v>
      </c>
      <c r="BL124" s="29">
        <f t="shared" si="93"/>
        <v>0</v>
      </c>
      <c r="BM124" s="29">
        <f t="shared" si="93"/>
        <v>0</v>
      </c>
      <c r="BN124" s="29">
        <f t="shared" si="93"/>
        <v>0</v>
      </c>
      <c r="BO124" s="29">
        <f t="shared" si="93"/>
        <v>0</v>
      </c>
      <c r="BP124" s="29">
        <f t="shared" si="93"/>
        <v>0</v>
      </c>
      <c r="BQ124" s="29">
        <f t="shared" si="93"/>
        <v>0</v>
      </c>
      <c r="BR124" s="29">
        <f t="shared" si="93"/>
        <v>0</v>
      </c>
      <c r="BS124" s="29">
        <f t="shared" si="93"/>
        <v>0</v>
      </c>
      <c r="BT124" s="29">
        <f t="shared" si="93"/>
        <v>0</v>
      </c>
      <c r="BU124" s="29">
        <f t="shared" si="93"/>
        <v>0</v>
      </c>
      <c r="BV124" s="29">
        <f t="shared" si="93"/>
        <v>0</v>
      </c>
      <c r="BW124" s="29">
        <f t="shared" si="93"/>
        <v>0</v>
      </c>
      <c r="BX124" s="29">
        <f t="shared" si="93"/>
        <v>0</v>
      </c>
      <c r="BY124" s="29">
        <f t="shared" si="93"/>
        <v>0</v>
      </c>
      <c r="BZ124" s="29">
        <f t="shared" si="93"/>
        <v>0</v>
      </c>
      <c r="CA124" s="29">
        <f t="shared" si="93"/>
        <v>0</v>
      </c>
      <c r="CB124" s="29">
        <f t="shared" si="93"/>
        <v>0</v>
      </c>
      <c r="CC124" s="29">
        <f t="shared" si="93"/>
        <v>0</v>
      </c>
      <c r="CD124" s="29">
        <f t="shared" si="93"/>
        <v>0</v>
      </c>
      <c r="CE124" s="29">
        <f t="shared" si="93"/>
        <v>0</v>
      </c>
      <c r="CF124" s="29">
        <f t="shared" si="93"/>
        <v>0</v>
      </c>
      <c r="CG124" s="29">
        <f t="shared" si="93"/>
        <v>0</v>
      </c>
      <c r="CH124" s="29">
        <f t="shared" si="93"/>
        <v>0</v>
      </c>
    </row>
    <row r="125" spans="2:86" ht="13" hidden="1" outlineLevel="1">
      <c r="B125" s="84">
        <f t="shared" si="73"/>
        <v>22</v>
      </c>
      <c r="C125" s="64">
        <f t="shared" ca="1" si="71"/>
        <v>0.18718185492331019</v>
      </c>
      <c r="D125" s="15" t="s">
        <v>238</v>
      </c>
      <c r="E125" s="29">
        <f t="shared" ca="1" si="61"/>
        <v>14070243.375956099</v>
      </c>
      <c r="F125" s="29"/>
      <c r="G125" s="29">
        <f t="shared" ref="G125:CH125" ca="1" si="94">IF(G$4&lt;=$B125,ABS(G$31)*-1+G$47,0)+IF($B125=G$4,G$81,0)</f>
        <v>-1444375</v>
      </c>
      <c r="H125" s="29">
        <f t="shared" ca="1" si="94"/>
        <v>-1344375</v>
      </c>
      <c r="I125" s="29">
        <f t="shared" ca="1" si="94"/>
        <v>-1344375</v>
      </c>
      <c r="J125" s="29">
        <f t="shared" ca="1" si="94"/>
        <v>-1344375</v>
      </c>
      <c r="K125" s="29">
        <f t="shared" ca="1" si="94"/>
        <v>-1344375</v>
      </c>
      <c r="L125" s="29">
        <f t="shared" ca="1" si="94"/>
        <v>-1344375</v>
      </c>
      <c r="M125" s="29">
        <f t="shared" ca="1" si="94"/>
        <v>-1344375</v>
      </c>
      <c r="N125" s="29">
        <f t="shared" ca="1" si="94"/>
        <v>-1344375</v>
      </c>
      <c r="O125" s="29">
        <f t="shared" ca="1" si="94"/>
        <v>-1344375</v>
      </c>
      <c r="P125" s="29">
        <f t="shared" ca="1" si="94"/>
        <v>-1344375</v>
      </c>
      <c r="Q125" s="29">
        <f t="shared" ca="1" si="94"/>
        <v>-1344375</v>
      </c>
      <c r="R125" s="29">
        <f t="shared" ca="1" si="94"/>
        <v>-1344375</v>
      </c>
      <c r="S125" s="29">
        <f t="shared" ca="1" si="94"/>
        <v>-372249.99999999953</v>
      </c>
      <c r="T125" s="29">
        <f t="shared" ca="1" si="94"/>
        <v>-372249.99999999953</v>
      </c>
      <c r="U125" s="29">
        <f t="shared" ca="1" si="94"/>
        <v>-372249.99999999953</v>
      </c>
      <c r="V125" s="29">
        <f t="shared" ca="1" si="94"/>
        <v>-372249.99999999953</v>
      </c>
      <c r="W125" s="29">
        <f t="shared" ca="1" si="94"/>
        <v>3345406.2500000009</v>
      </c>
      <c r="X125" s="29">
        <f t="shared" ca="1" si="94"/>
        <v>3345406.2500000009</v>
      </c>
      <c r="Y125" s="29">
        <f t="shared" ca="1" si="94"/>
        <v>2945950.5952380951</v>
      </c>
      <c r="Z125" s="29">
        <f t="shared" ca="1" si="94"/>
        <v>2915932.1428571437</v>
      </c>
      <c r="AA125" s="29">
        <f t="shared" ca="1" si="94"/>
        <v>2951646.4285714291</v>
      </c>
      <c r="AB125" s="29">
        <f t="shared" ca="1" si="94"/>
        <v>16287401.709289432</v>
      </c>
      <c r="AC125" s="29">
        <f t="shared" si="94"/>
        <v>0</v>
      </c>
      <c r="AD125" s="29">
        <f t="shared" si="94"/>
        <v>0</v>
      </c>
      <c r="AE125" s="29">
        <f t="shared" si="94"/>
        <v>0</v>
      </c>
      <c r="AF125" s="29">
        <f t="shared" si="94"/>
        <v>0</v>
      </c>
      <c r="AG125" s="29">
        <f t="shared" si="94"/>
        <v>0</v>
      </c>
      <c r="AH125" s="29">
        <f t="shared" si="94"/>
        <v>0</v>
      </c>
      <c r="AI125" s="29">
        <f t="shared" si="94"/>
        <v>0</v>
      </c>
      <c r="AJ125" s="29">
        <f t="shared" si="94"/>
        <v>0</v>
      </c>
      <c r="AK125" s="29">
        <f t="shared" si="94"/>
        <v>0</v>
      </c>
      <c r="AL125" s="29">
        <f t="shared" si="94"/>
        <v>0</v>
      </c>
      <c r="AM125" s="29">
        <f t="shared" si="94"/>
        <v>0</v>
      </c>
      <c r="AN125" s="29">
        <f t="shared" si="94"/>
        <v>0</v>
      </c>
      <c r="AO125" s="29">
        <f t="shared" si="94"/>
        <v>0</v>
      </c>
      <c r="AP125" s="29">
        <f t="shared" si="94"/>
        <v>0</v>
      </c>
      <c r="AQ125" s="29">
        <f t="shared" si="94"/>
        <v>0</v>
      </c>
      <c r="AR125" s="29">
        <f t="shared" si="94"/>
        <v>0</v>
      </c>
      <c r="AS125" s="29">
        <f t="shared" si="94"/>
        <v>0</v>
      </c>
      <c r="AT125" s="29">
        <f t="shared" si="94"/>
        <v>0</v>
      </c>
      <c r="AU125" s="29">
        <f t="shared" si="94"/>
        <v>0</v>
      </c>
      <c r="AV125" s="29">
        <f t="shared" si="94"/>
        <v>0</v>
      </c>
      <c r="AW125" s="29">
        <f t="shared" si="94"/>
        <v>0</v>
      </c>
      <c r="AX125" s="29">
        <f t="shared" si="94"/>
        <v>0</v>
      </c>
      <c r="AY125" s="29">
        <f t="shared" si="94"/>
        <v>0</v>
      </c>
      <c r="AZ125" s="29">
        <f t="shared" si="94"/>
        <v>0</v>
      </c>
      <c r="BA125" s="29">
        <f t="shared" si="94"/>
        <v>0</v>
      </c>
      <c r="BB125" s="29">
        <f t="shared" si="94"/>
        <v>0</v>
      </c>
      <c r="BC125" s="29">
        <f t="shared" si="94"/>
        <v>0</v>
      </c>
      <c r="BD125" s="29">
        <f t="shared" si="94"/>
        <v>0</v>
      </c>
      <c r="BE125" s="29">
        <f t="shared" si="94"/>
        <v>0</v>
      </c>
      <c r="BF125" s="29">
        <f t="shared" si="94"/>
        <v>0</v>
      </c>
      <c r="BG125" s="29">
        <f t="shared" si="94"/>
        <v>0</v>
      </c>
      <c r="BH125" s="29">
        <f t="shared" si="94"/>
        <v>0</v>
      </c>
      <c r="BI125" s="29">
        <f t="shared" si="94"/>
        <v>0</v>
      </c>
      <c r="BJ125" s="29">
        <f t="shared" si="94"/>
        <v>0</v>
      </c>
      <c r="BK125" s="29">
        <f t="shared" si="94"/>
        <v>0</v>
      </c>
      <c r="BL125" s="29">
        <f t="shared" si="94"/>
        <v>0</v>
      </c>
      <c r="BM125" s="29">
        <f t="shared" si="94"/>
        <v>0</v>
      </c>
      <c r="BN125" s="29">
        <f t="shared" si="94"/>
        <v>0</v>
      </c>
      <c r="BO125" s="29">
        <f t="shared" si="94"/>
        <v>0</v>
      </c>
      <c r="BP125" s="29">
        <f t="shared" si="94"/>
        <v>0</v>
      </c>
      <c r="BQ125" s="29">
        <f t="shared" si="94"/>
        <v>0</v>
      </c>
      <c r="BR125" s="29">
        <f t="shared" si="94"/>
        <v>0</v>
      </c>
      <c r="BS125" s="29">
        <f t="shared" si="94"/>
        <v>0</v>
      </c>
      <c r="BT125" s="29">
        <f t="shared" si="94"/>
        <v>0</v>
      </c>
      <c r="BU125" s="29">
        <f t="shared" si="94"/>
        <v>0</v>
      </c>
      <c r="BV125" s="29">
        <f t="shared" si="94"/>
        <v>0</v>
      </c>
      <c r="BW125" s="29">
        <f t="shared" si="94"/>
        <v>0</v>
      </c>
      <c r="BX125" s="29">
        <f t="shared" si="94"/>
        <v>0</v>
      </c>
      <c r="BY125" s="29">
        <f t="shared" si="94"/>
        <v>0</v>
      </c>
      <c r="BZ125" s="29">
        <f t="shared" si="94"/>
        <v>0</v>
      </c>
      <c r="CA125" s="29">
        <f t="shared" si="94"/>
        <v>0</v>
      </c>
      <c r="CB125" s="29">
        <f t="shared" si="94"/>
        <v>0</v>
      </c>
      <c r="CC125" s="29">
        <f t="shared" si="94"/>
        <v>0</v>
      </c>
      <c r="CD125" s="29">
        <f t="shared" si="94"/>
        <v>0</v>
      </c>
      <c r="CE125" s="29">
        <f t="shared" si="94"/>
        <v>0</v>
      </c>
      <c r="CF125" s="29">
        <f t="shared" si="94"/>
        <v>0</v>
      </c>
      <c r="CG125" s="29">
        <f t="shared" si="94"/>
        <v>0</v>
      </c>
      <c r="CH125" s="29">
        <f t="shared" si="94"/>
        <v>0</v>
      </c>
    </row>
    <row r="126" spans="2:86" ht="13" hidden="1" outlineLevel="1">
      <c r="B126" s="84">
        <f t="shared" si="73"/>
        <v>23</v>
      </c>
      <c r="C126" s="64">
        <f t="shared" ca="1" si="71"/>
        <v>0.19334044562511687</v>
      </c>
      <c r="D126" s="15" t="s">
        <v>238</v>
      </c>
      <c r="E126" s="29">
        <f t="shared" ca="1" si="61"/>
        <v>15318737.790020792</v>
      </c>
      <c r="F126" s="29"/>
      <c r="G126" s="29">
        <f t="shared" ref="G126:CH126" ca="1" si="95">IF(G$4&lt;=$B126,ABS(G$31)*-1+G$47,0)+IF($B126=G$4,G$81,0)</f>
        <v>-1444375</v>
      </c>
      <c r="H126" s="29">
        <f t="shared" ca="1" si="95"/>
        <v>-1344375</v>
      </c>
      <c r="I126" s="29">
        <f t="shared" ca="1" si="95"/>
        <v>-1344375</v>
      </c>
      <c r="J126" s="29">
        <f t="shared" ca="1" si="95"/>
        <v>-1344375</v>
      </c>
      <c r="K126" s="29">
        <f t="shared" ca="1" si="95"/>
        <v>-1344375</v>
      </c>
      <c r="L126" s="29">
        <f t="shared" ca="1" si="95"/>
        <v>-1344375</v>
      </c>
      <c r="M126" s="29">
        <f t="shared" ca="1" si="95"/>
        <v>-1344375</v>
      </c>
      <c r="N126" s="29">
        <f t="shared" ca="1" si="95"/>
        <v>-1344375</v>
      </c>
      <c r="O126" s="29">
        <f t="shared" ca="1" si="95"/>
        <v>-1344375</v>
      </c>
      <c r="P126" s="29">
        <f t="shared" ca="1" si="95"/>
        <v>-1344375</v>
      </c>
      <c r="Q126" s="29">
        <f t="shared" ca="1" si="95"/>
        <v>-1344375</v>
      </c>
      <c r="R126" s="29">
        <f t="shared" ca="1" si="95"/>
        <v>-1344375</v>
      </c>
      <c r="S126" s="29">
        <f t="shared" ca="1" si="95"/>
        <v>-372249.99999999953</v>
      </c>
      <c r="T126" s="29">
        <f t="shared" ca="1" si="95"/>
        <v>-372249.99999999953</v>
      </c>
      <c r="U126" s="29">
        <f t="shared" ca="1" si="95"/>
        <v>-372249.99999999953</v>
      </c>
      <c r="V126" s="29">
        <f t="shared" ca="1" si="95"/>
        <v>-372249.99999999953</v>
      </c>
      <c r="W126" s="29">
        <f t="shared" ca="1" si="95"/>
        <v>3345406.2500000009</v>
      </c>
      <c r="X126" s="29">
        <f t="shared" ca="1" si="95"/>
        <v>3345406.2500000009</v>
      </c>
      <c r="Y126" s="29">
        <f t="shared" ca="1" si="95"/>
        <v>2945950.5952380951</v>
      </c>
      <c r="Z126" s="29">
        <f t="shared" ca="1" si="95"/>
        <v>2915932.1428571437</v>
      </c>
      <c r="AA126" s="29">
        <f t="shared" ca="1" si="95"/>
        <v>2951646.4285714291</v>
      </c>
      <c r="AB126" s="29">
        <f t="shared" ca="1" si="95"/>
        <v>2951646.4285714291</v>
      </c>
      <c r="AC126" s="29">
        <f t="shared" ca="1" si="95"/>
        <v>14584249.694782695</v>
      </c>
      <c r="AD126" s="29">
        <f t="shared" si="95"/>
        <v>0</v>
      </c>
      <c r="AE126" s="29">
        <f t="shared" si="95"/>
        <v>0</v>
      </c>
      <c r="AF126" s="29">
        <f t="shared" si="95"/>
        <v>0</v>
      </c>
      <c r="AG126" s="29">
        <f t="shared" si="95"/>
        <v>0</v>
      </c>
      <c r="AH126" s="29">
        <f t="shared" si="95"/>
        <v>0</v>
      </c>
      <c r="AI126" s="29">
        <f t="shared" si="95"/>
        <v>0</v>
      </c>
      <c r="AJ126" s="29">
        <f t="shared" si="95"/>
        <v>0</v>
      </c>
      <c r="AK126" s="29">
        <f t="shared" si="95"/>
        <v>0</v>
      </c>
      <c r="AL126" s="29">
        <f t="shared" si="95"/>
        <v>0</v>
      </c>
      <c r="AM126" s="29">
        <f t="shared" si="95"/>
        <v>0</v>
      </c>
      <c r="AN126" s="29">
        <f t="shared" si="95"/>
        <v>0</v>
      </c>
      <c r="AO126" s="29">
        <f t="shared" si="95"/>
        <v>0</v>
      </c>
      <c r="AP126" s="29">
        <f t="shared" si="95"/>
        <v>0</v>
      </c>
      <c r="AQ126" s="29">
        <f t="shared" si="95"/>
        <v>0</v>
      </c>
      <c r="AR126" s="29">
        <f t="shared" si="95"/>
        <v>0</v>
      </c>
      <c r="AS126" s="29">
        <f t="shared" si="95"/>
        <v>0</v>
      </c>
      <c r="AT126" s="29">
        <f t="shared" si="95"/>
        <v>0</v>
      </c>
      <c r="AU126" s="29">
        <f t="shared" si="95"/>
        <v>0</v>
      </c>
      <c r="AV126" s="29">
        <f t="shared" si="95"/>
        <v>0</v>
      </c>
      <c r="AW126" s="29">
        <f t="shared" si="95"/>
        <v>0</v>
      </c>
      <c r="AX126" s="29">
        <f t="shared" si="95"/>
        <v>0</v>
      </c>
      <c r="AY126" s="29">
        <f t="shared" si="95"/>
        <v>0</v>
      </c>
      <c r="AZ126" s="29">
        <f t="shared" si="95"/>
        <v>0</v>
      </c>
      <c r="BA126" s="29">
        <f t="shared" si="95"/>
        <v>0</v>
      </c>
      <c r="BB126" s="29">
        <f t="shared" si="95"/>
        <v>0</v>
      </c>
      <c r="BC126" s="29">
        <f t="shared" si="95"/>
        <v>0</v>
      </c>
      <c r="BD126" s="29">
        <f t="shared" si="95"/>
        <v>0</v>
      </c>
      <c r="BE126" s="29">
        <f t="shared" si="95"/>
        <v>0</v>
      </c>
      <c r="BF126" s="29">
        <f t="shared" si="95"/>
        <v>0</v>
      </c>
      <c r="BG126" s="29">
        <f t="shared" si="95"/>
        <v>0</v>
      </c>
      <c r="BH126" s="29">
        <f t="shared" si="95"/>
        <v>0</v>
      </c>
      <c r="BI126" s="29">
        <f t="shared" si="95"/>
        <v>0</v>
      </c>
      <c r="BJ126" s="29">
        <f t="shared" si="95"/>
        <v>0</v>
      </c>
      <c r="BK126" s="29">
        <f t="shared" si="95"/>
        <v>0</v>
      </c>
      <c r="BL126" s="29">
        <f t="shared" si="95"/>
        <v>0</v>
      </c>
      <c r="BM126" s="29">
        <f t="shared" si="95"/>
        <v>0</v>
      </c>
      <c r="BN126" s="29">
        <f t="shared" si="95"/>
        <v>0</v>
      </c>
      <c r="BO126" s="29">
        <f t="shared" si="95"/>
        <v>0</v>
      </c>
      <c r="BP126" s="29">
        <f t="shared" si="95"/>
        <v>0</v>
      </c>
      <c r="BQ126" s="29">
        <f t="shared" si="95"/>
        <v>0</v>
      </c>
      <c r="BR126" s="29">
        <f t="shared" si="95"/>
        <v>0</v>
      </c>
      <c r="BS126" s="29">
        <f t="shared" si="95"/>
        <v>0</v>
      </c>
      <c r="BT126" s="29">
        <f t="shared" si="95"/>
        <v>0</v>
      </c>
      <c r="BU126" s="29">
        <f t="shared" si="95"/>
        <v>0</v>
      </c>
      <c r="BV126" s="29">
        <f t="shared" si="95"/>
        <v>0</v>
      </c>
      <c r="BW126" s="29">
        <f t="shared" si="95"/>
        <v>0</v>
      </c>
      <c r="BX126" s="29">
        <f t="shared" si="95"/>
        <v>0</v>
      </c>
      <c r="BY126" s="29">
        <f t="shared" si="95"/>
        <v>0</v>
      </c>
      <c r="BZ126" s="29">
        <f t="shared" si="95"/>
        <v>0</v>
      </c>
      <c r="CA126" s="29">
        <f t="shared" si="95"/>
        <v>0</v>
      </c>
      <c r="CB126" s="29">
        <f t="shared" si="95"/>
        <v>0</v>
      </c>
      <c r="CC126" s="29">
        <f t="shared" si="95"/>
        <v>0</v>
      </c>
      <c r="CD126" s="29">
        <f t="shared" si="95"/>
        <v>0</v>
      </c>
      <c r="CE126" s="29">
        <f t="shared" si="95"/>
        <v>0</v>
      </c>
      <c r="CF126" s="29">
        <f t="shared" si="95"/>
        <v>0</v>
      </c>
      <c r="CG126" s="29">
        <f t="shared" si="95"/>
        <v>0</v>
      </c>
      <c r="CH126" s="29">
        <f t="shared" si="95"/>
        <v>0</v>
      </c>
    </row>
    <row r="127" spans="2:86" ht="13" hidden="1" outlineLevel="1">
      <c r="B127" s="84">
        <f t="shared" si="73"/>
        <v>24</v>
      </c>
      <c r="C127" s="64">
        <f t="shared" ca="1" si="71"/>
        <v>0.19838065116405579</v>
      </c>
      <c r="D127" s="15" t="s">
        <v>238</v>
      </c>
      <c r="E127" s="29">
        <f t="shared" ca="1" si="61"/>
        <v>16436113.966422521</v>
      </c>
      <c r="F127" s="29"/>
      <c r="G127" s="29">
        <f t="shared" ref="G127:CH127" ca="1" si="96">IF(G$4&lt;=$B127,ABS(G$31)*-1+G$47,0)+IF($B127=G$4,G$81,0)</f>
        <v>-1444375</v>
      </c>
      <c r="H127" s="29">
        <f t="shared" ca="1" si="96"/>
        <v>-1344375</v>
      </c>
      <c r="I127" s="29">
        <f t="shared" ca="1" si="96"/>
        <v>-1344375</v>
      </c>
      <c r="J127" s="29">
        <f t="shared" ca="1" si="96"/>
        <v>-1344375</v>
      </c>
      <c r="K127" s="29">
        <f t="shared" ca="1" si="96"/>
        <v>-1344375</v>
      </c>
      <c r="L127" s="29">
        <f t="shared" ca="1" si="96"/>
        <v>-1344375</v>
      </c>
      <c r="M127" s="29">
        <f t="shared" ca="1" si="96"/>
        <v>-1344375</v>
      </c>
      <c r="N127" s="29">
        <f t="shared" ca="1" si="96"/>
        <v>-1344375</v>
      </c>
      <c r="O127" s="29">
        <f t="shared" ca="1" si="96"/>
        <v>-1344375</v>
      </c>
      <c r="P127" s="29">
        <f t="shared" ca="1" si="96"/>
        <v>-1344375</v>
      </c>
      <c r="Q127" s="29">
        <f t="shared" ca="1" si="96"/>
        <v>-1344375</v>
      </c>
      <c r="R127" s="29">
        <f t="shared" ca="1" si="96"/>
        <v>-1344375</v>
      </c>
      <c r="S127" s="29">
        <f t="shared" ca="1" si="96"/>
        <v>-372249.99999999953</v>
      </c>
      <c r="T127" s="29">
        <f t="shared" ca="1" si="96"/>
        <v>-372249.99999999953</v>
      </c>
      <c r="U127" s="29">
        <f t="shared" ca="1" si="96"/>
        <v>-372249.99999999953</v>
      </c>
      <c r="V127" s="29">
        <f t="shared" ca="1" si="96"/>
        <v>-372249.99999999953</v>
      </c>
      <c r="W127" s="29">
        <f t="shared" ca="1" si="96"/>
        <v>3345406.2500000009</v>
      </c>
      <c r="X127" s="29">
        <f t="shared" ca="1" si="96"/>
        <v>3345406.2500000009</v>
      </c>
      <c r="Y127" s="29">
        <f t="shared" ca="1" si="96"/>
        <v>2945950.5952380951</v>
      </c>
      <c r="Z127" s="29">
        <f t="shared" ca="1" si="96"/>
        <v>2915932.1428571437</v>
      </c>
      <c r="AA127" s="29">
        <f t="shared" ca="1" si="96"/>
        <v>2951646.4285714291</v>
      </c>
      <c r="AB127" s="29">
        <f t="shared" ca="1" si="96"/>
        <v>2951646.4285714291</v>
      </c>
      <c r="AC127" s="29">
        <f t="shared" ca="1" si="96"/>
        <v>2951646.4285714291</v>
      </c>
      <c r="AD127" s="29">
        <f t="shared" ca="1" si="96"/>
        <v>12749979.442612994</v>
      </c>
      <c r="AE127" s="29">
        <f t="shared" si="96"/>
        <v>0</v>
      </c>
      <c r="AF127" s="29">
        <f t="shared" si="96"/>
        <v>0</v>
      </c>
      <c r="AG127" s="29">
        <f t="shared" si="96"/>
        <v>0</v>
      </c>
      <c r="AH127" s="29">
        <f t="shared" si="96"/>
        <v>0</v>
      </c>
      <c r="AI127" s="29">
        <f t="shared" si="96"/>
        <v>0</v>
      </c>
      <c r="AJ127" s="29">
        <f t="shared" si="96"/>
        <v>0</v>
      </c>
      <c r="AK127" s="29">
        <f t="shared" si="96"/>
        <v>0</v>
      </c>
      <c r="AL127" s="29">
        <f t="shared" si="96"/>
        <v>0</v>
      </c>
      <c r="AM127" s="29">
        <f t="shared" si="96"/>
        <v>0</v>
      </c>
      <c r="AN127" s="29">
        <f t="shared" si="96"/>
        <v>0</v>
      </c>
      <c r="AO127" s="29">
        <f t="shared" si="96"/>
        <v>0</v>
      </c>
      <c r="AP127" s="29">
        <f t="shared" si="96"/>
        <v>0</v>
      </c>
      <c r="AQ127" s="29">
        <f t="shared" si="96"/>
        <v>0</v>
      </c>
      <c r="AR127" s="29">
        <f t="shared" si="96"/>
        <v>0</v>
      </c>
      <c r="AS127" s="29">
        <f t="shared" si="96"/>
        <v>0</v>
      </c>
      <c r="AT127" s="29">
        <f t="shared" si="96"/>
        <v>0</v>
      </c>
      <c r="AU127" s="29">
        <f t="shared" si="96"/>
        <v>0</v>
      </c>
      <c r="AV127" s="29">
        <f t="shared" si="96"/>
        <v>0</v>
      </c>
      <c r="AW127" s="29">
        <f t="shared" si="96"/>
        <v>0</v>
      </c>
      <c r="AX127" s="29">
        <f t="shared" si="96"/>
        <v>0</v>
      </c>
      <c r="AY127" s="29">
        <f t="shared" si="96"/>
        <v>0</v>
      </c>
      <c r="AZ127" s="29">
        <f t="shared" si="96"/>
        <v>0</v>
      </c>
      <c r="BA127" s="29">
        <f t="shared" si="96"/>
        <v>0</v>
      </c>
      <c r="BB127" s="29">
        <f t="shared" si="96"/>
        <v>0</v>
      </c>
      <c r="BC127" s="29">
        <f t="shared" si="96"/>
        <v>0</v>
      </c>
      <c r="BD127" s="29">
        <f t="shared" si="96"/>
        <v>0</v>
      </c>
      <c r="BE127" s="29">
        <f t="shared" si="96"/>
        <v>0</v>
      </c>
      <c r="BF127" s="29">
        <f t="shared" si="96"/>
        <v>0</v>
      </c>
      <c r="BG127" s="29">
        <f t="shared" si="96"/>
        <v>0</v>
      </c>
      <c r="BH127" s="29">
        <f t="shared" si="96"/>
        <v>0</v>
      </c>
      <c r="BI127" s="29">
        <f t="shared" si="96"/>
        <v>0</v>
      </c>
      <c r="BJ127" s="29">
        <f t="shared" si="96"/>
        <v>0</v>
      </c>
      <c r="BK127" s="29">
        <f t="shared" si="96"/>
        <v>0</v>
      </c>
      <c r="BL127" s="29">
        <f t="shared" si="96"/>
        <v>0</v>
      </c>
      <c r="BM127" s="29">
        <f t="shared" si="96"/>
        <v>0</v>
      </c>
      <c r="BN127" s="29">
        <f t="shared" si="96"/>
        <v>0</v>
      </c>
      <c r="BO127" s="29">
        <f t="shared" si="96"/>
        <v>0</v>
      </c>
      <c r="BP127" s="29">
        <f t="shared" si="96"/>
        <v>0</v>
      </c>
      <c r="BQ127" s="29">
        <f t="shared" si="96"/>
        <v>0</v>
      </c>
      <c r="BR127" s="29">
        <f t="shared" si="96"/>
        <v>0</v>
      </c>
      <c r="BS127" s="29">
        <f t="shared" si="96"/>
        <v>0</v>
      </c>
      <c r="BT127" s="29">
        <f t="shared" si="96"/>
        <v>0</v>
      </c>
      <c r="BU127" s="29">
        <f t="shared" si="96"/>
        <v>0</v>
      </c>
      <c r="BV127" s="29">
        <f t="shared" si="96"/>
        <v>0</v>
      </c>
      <c r="BW127" s="29">
        <f t="shared" si="96"/>
        <v>0</v>
      </c>
      <c r="BX127" s="29">
        <f t="shared" si="96"/>
        <v>0</v>
      </c>
      <c r="BY127" s="29">
        <f t="shared" si="96"/>
        <v>0</v>
      </c>
      <c r="BZ127" s="29">
        <f t="shared" si="96"/>
        <v>0</v>
      </c>
      <c r="CA127" s="29">
        <f t="shared" si="96"/>
        <v>0</v>
      </c>
      <c r="CB127" s="29">
        <f t="shared" si="96"/>
        <v>0</v>
      </c>
      <c r="CC127" s="29">
        <f t="shared" si="96"/>
        <v>0</v>
      </c>
      <c r="CD127" s="29">
        <f t="shared" si="96"/>
        <v>0</v>
      </c>
      <c r="CE127" s="29">
        <f t="shared" si="96"/>
        <v>0</v>
      </c>
      <c r="CF127" s="29">
        <f t="shared" si="96"/>
        <v>0</v>
      </c>
      <c r="CG127" s="29">
        <f t="shared" si="96"/>
        <v>0</v>
      </c>
      <c r="CH127" s="29">
        <f t="shared" si="96"/>
        <v>0</v>
      </c>
    </row>
    <row r="128" spans="2:86" ht="13" hidden="1" outlineLevel="1">
      <c r="B128" s="84">
        <f t="shared" si="73"/>
        <v>25</v>
      </c>
      <c r="C128" s="64">
        <f t="shared" ca="1" si="71"/>
        <v>0.23114629463369041</v>
      </c>
      <c r="D128" s="15" t="s">
        <v>238</v>
      </c>
      <c r="E128" s="29">
        <f t="shared" ca="1" si="61"/>
        <v>21292074.180997796</v>
      </c>
      <c r="F128" s="29"/>
      <c r="G128" s="29">
        <f t="shared" ref="G128:CH128" ca="1" si="97">IF(G$4&lt;=$B128,ABS(G$31)*-1+G$47,0)+IF($B128=G$4,G$81,0)</f>
        <v>-1444375</v>
      </c>
      <c r="H128" s="29">
        <f t="shared" ca="1" si="97"/>
        <v>-1344375</v>
      </c>
      <c r="I128" s="29">
        <f t="shared" ca="1" si="97"/>
        <v>-1344375</v>
      </c>
      <c r="J128" s="29">
        <f t="shared" ca="1" si="97"/>
        <v>-1344375</v>
      </c>
      <c r="K128" s="29">
        <f t="shared" ca="1" si="97"/>
        <v>-1344375</v>
      </c>
      <c r="L128" s="29">
        <f t="shared" ca="1" si="97"/>
        <v>-1344375</v>
      </c>
      <c r="M128" s="29">
        <f t="shared" ca="1" si="97"/>
        <v>-1344375</v>
      </c>
      <c r="N128" s="29">
        <f t="shared" ca="1" si="97"/>
        <v>-1344375</v>
      </c>
      <c r="O128" s="29">
        <f t="shared" ca="1" si="97"/>
        <v>-1344375</v>
      </c>
      <c r="P128" s="29">
        <f t="shared" ca="1" si="97"/>
        <v>-1344375</v>
      </c>
      <c r="Q128" s="29">
        <f t="shared" ca="1" si="97"/>
        <v>-1344375</v>
      </c>
      <c r="R128" s="29">
        <f t="shared" ca="1" si="97"/>
        <v>-1344375</v>
      </c>
      <c r="S128" s="29">
        <f t="shared" ca="1" si="97"/>
        <v>-372249.99999999953</v>
      </c>
      <c r="T128" s="29">
        <f t="shared" ca="1" si="97"/>
        <v>-372249.99999999953</v>
      </c>
      <c r="U128" s="29">
        <f t="shared" ca="1" si="97"/>
        <v>-372249.99999999953</v>
      </c>
      <c r="V128" s="29">
        <f t="shared" ca="1" si="97"/>
        <v>-372249.99999999953</v>
      </c>
      <c r="W128" s="29">
        <f t="shared" ca="1" si="97"/>
        <v>3345406.2500000009</v>
      </c>
      <c r="X128" s="29">
        <f t="shared" ca="1" si="97"/>
        <v>3345406.2500000009</v>
      </c>
      <c r="Y128" s="29">
        <f t="shared" ca="1" si="97"/>
        <v>2945950.5952380951</v>
      </c>
      <c r="Z128" s="29">
        <f t="shared" ca="1" si="97"/>
        <v>2915932.1428571437</v>
      </c>
      <c r="AA128" s="29">
        <f t="shared" ca="1" si="97"/>
        <v>2951646.4285714291</v>
      </c>
      <c r="AB128" s="29">
        <f t="shared" ca="1" si="97"/>
        <v>2951646.4285714291</v>
      </c>
      <c r="AC128" s="29">
        <f t="shared" ca="1" si="97"/>
        <v>2951646.4285714291</v>
      </c>
      <c r="AD128" s="29">
        <f t="shared" ca="1" si="97"/>
        <v>2951646.4285714291</v>
      </c>
      <c r="AE128" s="29">
        <f t="shared" ca="1" si="97"/>
        <v>14654293.228616839</v>
      </c>
      <c r="AF128" s="29">
        <f t="shared" si="97"/>
        <v>0</v>
      </c>
      <c r="AG128" s="29">
        <f t="shared" si="97"/>
        <v>0</v>
      </c>
      <c r="AH128" s="29">
        <f t="shared" si="97"/>
        <v>0</v>
      </c>
      <c r="AI128" s="29">
        <f t="shared" si="97"/>
        <v>0</v>
      </c>
      <c r="AJ128" s="29">
        <f t="shared" si="97"/>
        <v>0</v>
      </c>
      <c r="AK128" s="29">
        <f t="shared" si="97"/>
        <v>0</v>
      </c>
      <c r="AL128" s="29">
        <f t="shared" si="97"/>
        <v>0</v>
      </c>
      <c r="AM128" s="29">
        <f t="shared" si="97"/>
        <v>0</v>
      </c>
      <c r="AN128" s="29">
        <f t="shared" si="97"/>
        <v>0</v>
      </c>
      <c r="AO128" s="29">
        <f t="shared" si="97"/>
        <v>0</v>
      </c>
      <c r="AP128" s="29">
        <f t="shared" si="97"/>
        <v>0</v>
      </c>
      <c r="AQ128" s="29">
        <f t="shared" si="97"/>
        <v>0</v>
      </c>
      <c r="AR128" s="29">
        <f t="shared" si="97"/>
        <v>0</v>
      </c>
      <c r="AS128" s="29">
        <f t="shared" si="97"/>
        <v>0</v>
      </c>
      <c r="AT128" s="29">
        <f t="shared" si="97"/>
        <v>0</v>
      </c>
      <c r="AU128" s="29">
        <f t="shared" si="97"/>
        <v>0</v>
      </c>
      <c r="AV128" s="29">
        <f t="shared" si="97"/>
        <v>0</v>
      </c>
      <c r="AW128" s="29">
        <f t="shared" si="97"/>
        <v>0</v>
      </c>
      <c r="AX128" s="29">
        <f t="shared" si="97"/>
        <v>0</v>
      </c>
      <c r="AY128" s="29">
        <f t="shared" si="97"/>
        <v>0</v>
      </c>
      <c r="AZ128" s="29">
        <f t="shared" si="97"/>
        <v>0</v>
      </c>
      <c r="BA128" s="29">
        <f t="shared" si="97"/>
        <v>0</v>
      </c>
      <c r="BB128" s="29">
        <f t="shared" si="97"/>
        <v>0</v>
      </c>
      <c r="BC128" s="29">
        <f t="shared" si="97"/>
        <v>0</v>
      </c>
      <c r="BD128" s="29">
        <f t="shared" si="97"/>
        <v>0</v>
      </c>
      <c r="BE128" s="29">
        <f t="shared" si="97"/>
        <v>0</v>
      </c>
      <c r="BF128" s="29">
        <f t="shared" si="97"/>
        <v>0</v>
      </c>
      <c r="BG128" s="29">
        <f t="shared" si="97"/>
        <v>0</v>
      </c>
      <c r="BH128" s="29">
        <f t="shared" si="97"/>
        <v>0</v>
      </c>
      <c r="BI128" s="29">
        <f t="shared" si="97"/>
        <v>0</v>
      </c>
      <c r="BJ128" s="29">
        <f t="shared" si="97"/>
        <v>0</v>
      </c>
      <c r="BK128" s="29">
        <f t="shared" si="97"/>
        <v>0</v>
      </c>
      <c r="BL128" s="29">
        <f t="shared" si="97"/>
        <v>0</v>
      </c>
      <c r="BM128" s="29">
        <f t="shared" si="97"/>
        <v>0</v>
      </c>
      <c r="BN128" s="29">
        <f t="shared" si="97"/>
        <v>0</v>
      </c>
      <c r="BO128" s="29">
        <f t="shared" si="97"/>
        <v>0</v>
      </c>
      <c r="BP128" s="29">
        <f t="shared" si="97"/>
        <v>0</v>
      </c>
      <c r="BQ128" s="29">
        <f t="shared" si="97"/>
        <v>0</v>
      </c>
      <c r="BR128" s="29">
        <f t="shared" si="97"/>
        <v>0</v>
      </c>
      <c r="BS128" s="29">
        <f t="shared" si="97"/>
        <v>0</v>
      </c>
      <c r="BT128" s="29">
        <f t="shared" si="97"/>
        <v>0</v>
      </c>
      <c r="BU128" s="29">
        <f t="shared" si="97"/>
        <v>0</v>
      </c>
      <c r="BV128" s="29">
        <f t="shared" si="97"/>
        <v>0</v>
      </c>
      <c r="BW128" s="29">
        <f t="shared" si="97"/>
        <v>0</v>
      </c>
      <c r="BX128" s="29">
        <f t="shared" si="97"/>
        <v>0</v>
      </c>
      <c r="BY128" s="29">
        <f t="shared" si="97"/>
        <v>0</v>
      </c>
      <c r="BZ128" s="29">
        <f t="shared" si="97"/>
        <v>0</v>
      </c>
      <c r="CA128" s="29">
        <f t="shared" si="97"/>
        <v>0</v>
      </c>
      <c r="CB128" s="29">
        <f t="shared" si="97"/>
        <v>0</v>
      </c>
      <c r="CC128" s="29">
        <f t="shared" si="97"/>
        <v>0</v>
      </c>
      <c r="CD128" s="29">
        <f t="shared" si="97"/>
        <v>0</v>
      </c>
      <c r="CE128" s="29">
        <f t="shared" si="97"/>
        <v>0</v>
      </c>
      <c r="CF128" s="29">
        <f t="shared" si="97"/>
        <v>0</v>
      </c>
      <c r="CG128" s="29">
        <f t="shared" si="97"/>
        <v>0</v>
      </c>
      <c r="CH128" s="29">
        <f t="shared" si="97"/>
        <v>0</v>
      </c>
    </row>
    <row r="129" spans="2:86" ht="13" hidden="1" outlineLevel="1">
      <c r="B129" s="84">
        <f t="shared" si="73"/>
        <v>26</v>
      </c>
      <c r="C129" s="64">
        <f t="shared" ca="1" si="71"/>
        <v>0.25831096433443812</v>
      </c>
      <c r="D129" s="15" t="s">
        <v>238</v>
      </c>
      <c r="E129" s="29">
        <f t="shared" ca="1" si="61"/>
        <v>26091473.587169439</v>
      </c>
      <c r="F129" s="29"/>
      <c r="G129" s="29">
        <f t="shared" ref="G129:CH129" ca="1" si="98">IF(G$4&lt;=$B129,ABS(G$31)*-1+G$47,0)+IF($B129=G$4,G$81,0)</f>
        <v>-1444375</v>
      </c>
      <c r="H129" s="29">
        <f t="shared" ca="1" si="98"/>
        <v>-1344375</v>
      </c>
      <c r="I129" s="29">
        <f t="shared" ca="1" si="98"/>
        <v>-1344375</v>
      </c>
      <c r="J129" s="29">
        <f t="shared" ca="1" si="98"/>
        <v>-1344375</v>
      </c>
      <c r="K129" s="29">
        <f t="shared" ca="1" si="98"/>
        <v>-1344375</v>
      </c>
      <c r="L129" s="29">
        <f t="shared" ca="1" si="98"/>
        <v>-1344375</v>
      </c>
      <c r="M129" s="29">
        <f t="shared" ca="1" si="98"/>
        <v>-1344375</v>
      </c>
      <c r="N129" s="29">
        <f t="shared" ca="1" si="98"/>
        <v>-1344375</v>
      </c>
      <c r="O129" s="29">
        <f t="shared" ca="1" si="98"/>
        <v>-1344375</v>
      </c>
      <c r="P129" s="29">
        <f t="shared" ca="1" si="98"/>
        <v>-1344375</v>
      </c>
      <c r="Q129" s="29">
        <f t="shared" ca="1" si="98"/>
        <v>-1344375</v>
      </c>
      <c r="R129" s="29">
        <f t="shared" ca="1" si="98"/>
        <v>-1344375</v>
      </c>
      <c r="S129" s="29">
        <f t="shared" ca="1" si="98"/>
        <v>-372249.99999999953</v>
      </c>
      <c r="T129" s="29">
        <f t="shared" ca="1" si="98"/>
        <v>-372249.99999999953</v>
      </c>
      <c r="U129" s="29">
        <f t="shared" ca="1" si="98"/>
        <v>-372249.99999999953</v>
      </c>
      <c r="V129" s="29">
        <f t="shared" ca="1" si="98"/>
        <v>-372249.99999999953</v>
      </c>
      <c r="W129" s="29">
        <f t="shared" ca="1" si="98"/>
        <v>3345406.2500000009</v>
      </c>
      <c r="X129" s="29">
        <f t="shared" ca="1" si="98"/>
        <v>3345406.2500000009</v>
      </c>
      <c r="Y129" s="29">
        <f t="shared" ca="1" si="98"/>
        <v>2945950.5952380951</v>
      </c>
      <c r="Z129" s="29">
        <f t="shared" ca="1" si="98"/>
        <v>2915932.1428571437</v>
      </c>
      <c r="AA129" s="29">
        <f t="shared" ca="1" si="98"/>
        <v>2951646.4285714291</v>
      </c>
      <c r="AB129" s="29">
        <f t="shared" ca="1" si="98"/>
        <v>2951646.4285714291</v>
      </c>
      <c r="AC129" s="29">
        <f t="shared" ca="1" si="98"/>
        <v>2951646.4285714291</v>
      </c>
      <c r="AD129" s="29">
        <f t="shared" ca="1" si="98"/>
        <v>2951646.4285714291</v>
      </c>
      <c r="AE129" s="29">
        <f t="shared" ca="1" si="98"/>
        <v>6611317.3809523787</v>
      </c>
      <c r="AF129" s="29">
        <f t="shared" ca="1" si="98"/>
        <v>12842375.253836103</v>
      </c>
      <c r="AG129" s="29">
        <f t="shared" si="98"/>
        <v>0</v>
      </c>
      <c r="AH129" s="29">
        <f t="shared" si="98"/>
        <v>0</v>
      </c>
      <c r="AI129" s="29">
        <f t="shared" si="98"/>
        <v>0</v>
      </c>
      <c r="AJ129" s="29">
        <f t="shared" si="98"/>
        <v>0</v>
      </c>
      <c r="AK129" s="29">
        <f t="shared" si="98"/>
        <v>0</v>
      </c>
      <c r="AL129" s="29">
        <f t="shared" si="98"/>
        <v>0</v>
      </c>
      <c r="AM129" s="29">
        <f t="shared" si="98"/>
        <v>0</v>
      </c>
      <c r="AN129" s="29">
        <f t="shared" si="98"/>
        <v>0</v>
      </c>
      <c r="AO129" s="29">
        <f t="shared" si="98"/>
        <v>0</v>
      </c>
      <c r="AP129" s="29">
        <f t="shared" si="98"/>
        <v>0</v>
      </c>
      <c r="AQ129" s="29">
        <f t="shared" si="98"/>
        <v>0</v>
      </c>
      <c r="AR129" s="29">
        <f t="shared" si="98"/>
        <v>0</v>
      </c>
      <c r="AS129" s="29">
        <f t="shared" si="98"/>
        <v>0</v>
      </c>
      <c r="AT129" s="29">
        <f t="shared" si="98"/>
        <v>0</v>
      </c>
      <c r="AU129" s="29">
        <f t="shared" si="98"/>
        <v>0</v>
      </c>
      <c r="AV129" s="29">
        <f t="shared" si="98"/>
        <v>0</v>
      </c>
      <c r="AW129" s="29">
        <f t="shared" si="98"/>
        <v>0</v>
      </c>
      <c r="AX129" s="29">
        <f t="shared" si="98"/>
        <v>0</v>
      </c>
      <c r="AY129" s="29">
        <f t="shared" si="98"/>
        <v>0</v>
      </c>
      <c r="AZ129" s="29">
        <f t="shared" si="98"/>
        <v>0</v>
      </c>
      <c r="BA129" s="29">
        <f t="shared" si="98"/>
        <v>0</v>
      </c>
      <c r="BB129" s="29">
        <f t="shared" si="98"/>
        <v>0</v>
      </c>
      <c r="BC129" s="29">
        <f t="shared" si="98"/>
        <v>0</v>
      </c>
      <c r="BD129" s="29">
        <f t="shared" si="98"/>
        <v>0</v>
      </c>
      <c r="BE129" s="29">
        <f t="shared" si="98"/>
        <v>0</v>
      </c>
      <c r="BF129" s="29">
        <f t="shared" si="98"/>
        <v>0</v>
      </c>
      <c r="BG129" s="29">
        <f t="shared" si="98"/>
        <v>0</v>
      </c>
      <c r="BH129" s="29">
        <f t="shared" si="98"/>
        <v>0</v>
      </c>
      <c r="BI129" s="29">
        <f t="shared" si="98"/>
        <v>0</v>
      </c>
      <c r="BJ129" s="29">
        <f t="shared" si="98"/>
        <v>0</v>
      </c>
      <c r="BK129" s="29">
        <f t="shared" si="98"/>
        <v>0</v>
      </c>
      <c r="BL129" s="29">
        <f t="shared" si="98"/>
        <v>0</v>
      </c>
      <c r="BM129" s="29">
        <f t="shared" si="98"/>
        <v>0</v>
      </c>
      <c r="BN129" s="29">
        <f t="shared" si="98"/>
        <v>0</v>
      </c>
      <c r="BO129" s="29">
        <f t="shared" si="98"/>
        <v>0</v>
      </c>
      <c r="BP129" s="29">
        <f t="shared" si="98"/>
        <v>0</v>
      </c>
      <c r="BQ129" s="29">
        <f t="shared" si="98"/>
        <v>0</v>
      </c>
      <c r="BR129" s="29">
        <f t="shared" si="98"/>
        <v>0</v>
      </c>
      <c r="BS129" s="29">
        <f t="shared" si="98"/>
        <v>0</v>
      </c>
      <c r="BT129" s="29">
        <f t="shared" si="98"/>
        <v>0</v>
      </c>
      <c r="BU129" s="29">
        <f t="shared" si="98"/>
        <v>0</v>
      </c>
      <c r="BV129" s="29">
        <f t="shared" si="98"/>
        <v>0</v>
      </c>
      <c r="BW129" s="29">
        <f t="shared" si="98"/>
        <v>0</v>
      </c>
      <c r="BX129" s="29">
        <f t="shared" si="98"/>
        <v>0</v>
      </c>
      <c r="BY129" s="29">
        <f t="shared" si="98"/>
        <v>0</v>
      </c>
      <c r="BZ129" s="29">
        <f t="shared" si="98"/>
        <v>0</v>
      </c>
      <c r="CA129" s="29">
        <f t="shared" si="98"/>
        <v>0</v>
      </c>
      <c r="CB129" s="29">
        <f t="shared" si="98"/>
        <v>0</v>
      </c>
      <c r="CC129" s="29">
        <f t="shared" si="98"/>
        <v>0</v>
      </c>
      <c r="CD129" s="29">
        <f t="shared" si="98"/>
        <v>0</v>
      </c>
      <c r="CE129" s="29">
        <f t="shared" si="98"/>
        <v>0</v>
      </c>
      <c r="CF129" s="29">
        <f t="shared" si="98"/>
        <v>0</v>
      </c>
      <c r="CG129" s="29">
        <f t="shared" si="98"/>
        <v>0</v>
      </c>
      <c r="CH129" s="29">
        <f t="shared" si="98"/>
        <v>0</v>
      </c>
    </row>
    <row r="130" spans="2:86" ht="13" hidden="1" outlineLevel="1">
      <c r="B130" s="84">
        <f t="shared" si="73"/>
        <v>27</v>
      </c>
      <c r="C130" s="64">
        <f t="shared" ca="1" si="71"/>
        <v>0.28129861278710089</v>
      </c>
      <c r="D130" s="15" t="s">
        <v>238</v>
      </c>
      <c r="E130" s="29">
        <f t="shared" ca="1" si="61"/>
        <v>30834312.184937447</v>
      </c>
      <c r="F130" s="29"/>
      <c r="G130" s="29">
        <f t="shared" ref="G130:CH130" ca="1" si="99">IF(G$4&lt;=$B130,ABS(G$31)*-1+G$47,0)+IF($B130=G$4,G$81,0)</f>
        <v>-1444375</v>
      </c>
      <c r="H130" s="29">
        <f t="shared" ca="1" si="99"/>
        <v>-1344375</v>
      </c>
      <c r="I130" s="29">
        <f t="shared" ca="1" si="99"/>
        <v>-1344375</v>
      </c>
      <c r="J130" s="29">
        <f t="shared" ca="1" si="99"/>
        <v>-1344375</v>
      </c>
      <c r="K130" s="29">
        <f t="shared" ca="1" si="99"/>
        <v>-1344375</v>
      </c>
      <c r="L130" s="29">
        <f t="shared" ca="1" si="99"/>
        <v>-1344375</v>
      </c>
      <c r="M130" s="29">
        <f t="shared" ca="1" si="99"/>
        <v>-1344375</v>
      </c>
      <c r="N130" s="29">
        <f t="shared" ca="1" si="99"/>
        <v>-1344375</v>
      </c>
      <c r="O130" s="29">
        <f t="shared" ca="1" si="99"/>
        <v>-1344375</v>
      </c>
      <c r="P130" s="29">
        <f t="shared" ca="1" si="99"/>
        <v>-1344375</v>
      </c>
      <c r="Q130" s="29">
        <f t="shared" ca="1" si="99"/>
        <v>-1344375</v>
      </c>
      <c r="R130" s="29">
        <f t="shared" ca="1" si="99"/>
        <v>-1344375</v>
      </c>
      <c r="S130" s="29">
        <f t="shared" ca="1" si="99"/>
        <v>-372249.99999999953</v>
      </c>
      <c r="T130" s="29">
        <f t="shared" ca="1" si="99"/>
        <v>-372249.99999999953</v>
      </c>
      <c r="U130" s="29">
        <f t="shared" ca="1" si="99"/>
        <v>-372249.99999999953</v>
      </c>
      <c r="V130" s="29">
        <f t="shared" ca="1" si="99"/>
        <v>-372249.99999999953</v>
      </c>
      <c r="W130" s="29">
        <f t="shared" ca="1" si="99"/>
        <v>3345406.2500000009</v>
      </c>
      <c r="X130" s="29">
        <f t="shared" ca="1" si="99"/>
        <v>3345406.2500000009</v>
      </c>
      <c r="Y130" s="29">
        <f t="shared" ca="1" si="99"/>
        <v>2945950.5952380951</v>
      </c>
      <c r="Z130" s="29">
        <f t="shared" ca="1" si="99"/>
        <v>2915932.1428571437</v>
      </c>
      <c r="AA130" s="29">
        <f t="shared" ca="1" si="99"/>
        <v>2951646.4285714291</v>
      </c>
      <c r="AB130" s="29">
        <f t="shared" ca="1" si="99"/>
        <v>2951646.4285714291</v>
      </c>
      <c r="AC130" s="29">
        <f t="shared" ca="1" si="99"/>
        <v>2951646.4285714291</v>
      </c>
      <c r="AD130" s="29">
        <f t="shared" ca="1" si="99"/>
        <v>2951646.4285714291</v>
      </c>
      <c r="AE130" s="29">
        <f t="shared" ca="1" si="99"/>
        <v>6611317.3809523787</v>
      </c>
      <c r="AF130" s="29">
        <f t="shared" ca="1" si="99"/>
        <v>6611317.3809523787</v>
      </c>
      <c r="AG130" s="29">
        <f t="shared" ca="1" si="99"/>
        <v>10973896.470651735</v>
      </c>
      <c r="AH130" s="29">
        <f t="shared" si="99"/>
        <v>0</v>
      </c>
      <c r="AI130" s="29">
        <f t="shared" si="99"/>
        <v>0</v>
      </c>
      <c r="AJ130" s="29">
        <f t="shared" si="99"/>
        <v>0</v>
      </c>
      <c r="AK130" s="29">
        <f t="shared" si="99"/>
        <v>0</v>
      </c>
      <c r="AL130" s="29">
        <f t="shared" si="99"/>
        <v>0</v>
      </c>
      <c r="AM130" s="29">
        <f t="shared" si="99"/>
        <v>0</v>
      </c>
      <c r="AN130" s="29">
        <f t="shared" si="99"/>
        <v>0</v>
      </c>
      <c r="AO130" s="29">
        <f t="shared" si="99"/>
        <v>0</v>
      </c>
      <c r="AP130" s="29">
        <f t="shared" si="99"/>
        <v>0</v>
      </c>
      <c r="AQ130" s="29">
        <f t="shared" si="99"/>
        <v>0</v>
      </c>
      <c r="AR130" s="29">
        <f t="shared" si="99"/>
        <v>0</v>
      </c>
      <c r="AS130" s="29">
        <f t="shared" si="99"/>
        <v>0</v>
      </c>
      <c r="AT130" s="29">
        <f t="shared" si="99"/>
        <v>0</v>
      </c>
      <c r="AU130" s="29">
        <f t="shared" si="99"/>
        <v>0</v>
      </c>
      <c r="AV130" s="29">
        <f t="shared" si="99"/>
        <v>0</v>
      </c>
      <c r="AW130" s="29">
        <f t="shared" si="99"/>
        <v>0</v>
      </c>
      <c r="AX130" s="29">
        <f t="shared" si="99"/>
        <v>0</v>
      </c>
      <c r="AY130" s="29">
        <f t="shared" si="99"/>
        <v>0</v>
      </c>
      <c r="AZ130" s="29">
        <f t="shared" si="99"/>
        <v>0</v>
      </c>
      <c r="BA130" s="29">
        <f t="shared" si="99"/>
        <v>0</v>
      </c>
      <c r="BB130" s="29">
        <f t="shared" si="99"/>
        <v>0</v>
      </c>
      <c r="BC130" s="29">
        <f t="shared" si="99"/>
        <v>0</v>
      </c>
      <c r="BD130" s="29">
        <f t="shared" si="99"/>
        <v>0</v>
      </c>
      <c r="BE130" s="29">
        <f t="shared" si="99"/>
        <v>0</v>
      </c>
      <c r="BF130" s="29">
        <f t="shared" si="99"/>
        <v>0</v>
      </c>
      <c r="BG130" s="29">
        <f t="shared" si="99"/>
        <v>0</v>
      </c>
      <c r="BH130" s="29">
        <f t="shared" si="99"/>
        <v>0</v>
      </c>
      <c r="BI130" s="29">
        <f t="shared" si="99"/>
        <v>0</v>
      </c>
      <c r="BJ130" s="29">
        <f t="shared" si="99"/>
        <v>0</v>
      </c>
      <c r="BK130" s="29">
        <f t="shared" si="99"/>
        <v>0</v>
      </c>
      <c r="BL130" s="29">
        <f t="shared" si="99"/>
        <v>0</v>
      </c>
      <c r="BM130" s="29">
        <f t="shared" si="99"/>
        <v>0</v>
      </c>
      <c r="BN130" s="29">
        <f t="shared" si="99"/>
        <v>0</v>
      </c>
      <c r="BO130" s="29">
        <f t="shared" si="99"/>
        <v>0</v>
      </c>
      <c r="BP130" s="29">
        <f t="shared" si="99"/>
        <v>0</v>
      </c>
      <c r="BQ130" s="29">
        <f t="shared" si="99"/>
        <v>0</v>
      </c>
      <c r="BR130" s="29">
        <f t="shared" si="99"/>
        <v>0</v>
      </c>
      <c r="BS130" s="29">
        <f t="shared" si="99"/>
        <v>0</v>
      </c>
      <c r="BT130" s="29">
        <f t="shared" si="99"/>
        <v>0</v>
      </c>
      <c r="BU130" s="29">
        <f t="shared" si="99"/>
        <v>0</v>
      </c>
      <c r="BV130" s="29">
        <f t="shared" si="99"/>
        <v>0</v>
      </c>
      <c r="BW130" s="29">
        <f t="shared" si="99"/>
        <v>0</v>
      </c>
      <c r="BX130" s="29">
        <f t="shared" si="99"/>
        <v>0</v>
      </c>
      <c r="BY130" s="29">
        <f t="shared" si="99"/>
        <v>0</v>
      </c>
      <c r="BZ130" s="29">
        <f t="shared" si="99"/>
        <v>0</v>
      </c>
      <c r="CA130" s="29">
        <f t="shared" si="99"/>
        <v>0</v>
      </c>
      <c r="CB130" s="29">
        <f t="shared" si="99"/>
        <v>0</v>
      </c>
      <c r="CC130" s="29">
        <f t="shared" si="99"/>
        <v>0</v>
      </c>
      <c r="CD130" s="29">
        <f t="shared" si="99"/>
        <v>0</v>
      </c>
      <c r="CE130" s="29">
        <f t="shared" si="99"/>
        <v>0</v>
      </c>
      <c r="CF130" s="29">
        <f t="shared" si="99"/>
        <v>0</v>
      </c>
      <c r="CG130" s="29">
        <f t="shared" si="99"/>
        <v>0</v>
      </c>
      <c r="CH130" s="29">
        <f t="shared" si="99"/>
        <v>0</v>
      </c>
    </row>
    <row r="131" spans="2:86" ht="13" hidden="1" outlineLevel="1">
      <c r="B131" s="84">
        <f t="shared" si="73"/>
        <v>28</v>
      </c>
      <c r="C131" s="64">
        <f t="shared" ca="1" si="71"/>
        <v>0.30105025637301153</v>
      </c>
      <c r="D131" s="15" t="s">
        <v>238</v>
      </c>
      <c r="E131" s="29">
        <f t="shared" ca="1" si="61"/>
        <v>35520589.97430183</v>
      </c>
      <c r="F131" s="29"/>
      <c r="G131" s="29">
        <f t="shared" ref="G131:CH131" ca="1" si="100">IF(G$4&lt;=$B131,ABS(G$31)*-1+G$47,0)+IF($B131=G$4,G$81,0)</f>
        <v>-1444375</v>
      </c>
      <c r="H131" s="29">
        <f t="shared" ca="1" si="100"/>
        <v>-1344375</v>
      </c>
      <c r="I131" s="29">
        <f t="shared" ca="1" si="100"/>
        <v>-1344375</v>
      </c>
      <c r="J131" s="29">
        <f t="shared" ca="1" si="100"/>
        <v>-1344375</v>
      </c>
      <c r="K131" s="29">
        <f t="shared" ca="1" si="100"/>
        <v>-1344375</v>
      </c>
      <c r="L131" s="29">
        <f t="shared" ca="1" si="100"/>
        <v>-1344375</v>
      </c>
      <c r="M131" s="29">
        <f t="shared" ca="1" si="100"/>
        <v>-1344375</v>
      </c>
      <c r="N131" s="29">
        <f t="shared" ca="1" si="100"/>
        <v>-1344375</v>
      </c>
      <c r="O131" s="29">
        <f t="shared" ca="1" si="100"/>
        <v>-1344375</v>
      </c>
      <c r="P131" s="29">
        <f t="shared" ca="1" si="100"/>
        <v>-1344375</v>
      </c>
      <c r="Q131" s="29">
        <f t="shared" ca="1" si="100"/>
        <v>-1344375</v>
      </c>
      <c r="R131" s="29">
        <f t="shared" ca="1" si="100"/>
        <v>-1344375</v>
      </c>
      <c r="S131" s="29">
        <f t="shared" ca="1" si="100"/>
        <v>-372249.99999999953</v>
      </c>
      <c r="T131" s="29">
        <f t="shared" ca="1" si="100"/>
        <v>-372249.99999999953</v>
      </c>
      <c r="U131" s="29">
        <f t="shared" ca="1" si="100"/>
        <v>-372249.99999999953</v>
      </c>
      <c r="V131" s="29">
        <f t="shared" ca="1" si="100"/>
        <v>-372249.99999999953</v>
      </c>
      <c r="W131" s="29">
        <f t="shared" ca="1" si="100"/>
        <v>3345406.2500000009</v>
      </c>
      <c r="X131" s="29">
        <f t="shared" ca="1" si="100"/>
        <v>3345406.2500000009</v>
      </c>
      <c r="Y131" s="29">
        <f t="shared" ca="1" si="100"/>
        <v>2945950.5952380951</v>
      </c>
      <c r="Z131" s="29">
        <f t="shared" ca="1" si="100"/>
        <v>2915932.1428571437</v>
      </c>
      <c r="AA131" s="29">
        <f t="shared" ca="1" si="100"/>
        <v>2951646.4285714291</v>
      </c>
      <c r="AB131" s="29">
        <f t="shared" ca="1" si="100"/>
        <v>2951646.4285714291</v>
      </c>
      <c r="AC131" s="29">
        <f t="shared" ca="1" si="100"/>
        <v>2951646.4285714291</v>
      </c>
      <c r="AD131" s="29">
        <f t="shared" ca="1" si="100"/>
        <v>2951646.4285714291</v>
      </c>
      <c r="AE131" s="29">
        <f t="shared" ca="1" si="100"/>
        <v>6611317.3809523787</v>
      </c>
      <c r="AF131" s="29">
        <f t="shared" ca="1" si="100"/>
        <v>6611317.3809523787</v>
      </c>
      <c r="AG131" s="29">
        <f t="shared" ca="1" si="100"/>
        <v>6611317.3809523787</v>
      </c>
      <c r="AH131" s="29">
        <f t="shared" ca="1" si="100"/>
        <v>9048856.8790637366</v>
      </c>
      <c r="AI131" s="29">
        <f t="shared" si="100"/>
        <v>0</v>
      </c>
      <c r="AJ131" s="29">
        <f t="shared" si="100"/>
        <v>0</v>
      </c>
      <c r="AK131" s="29">
        <f t="shared" si="100"/>
        <v>0</v>
      </c>
      <c r="AL131" s="29">
        <f t="shared" si="100"/>
        <v>0</v>
      </c>
      <c r="AM131" s="29">
        <f t="shared" si="100"/>
        <v>0</v>
      </c>
      <c r="AN131" s="29">
        <f t="shared" si="100"/>
        <v>0</v>
      </c>
      <c r="AO131" s="29">
        <f t="shared" si="100"/>
        <v>0</v>
      </c>
      <c r="AP131" s="29">
        <f t="shared" si="100"/>
        <v>0</v>
      </c>
      <c r="AQ131" s="29">
        <f t="shared" si="100"/>
        <v>0</v>
      </c>
      <c r="AR131" s="29">
        <f t="shared" si="100"/>
        <v>0</v>
      </c>
      <c r="AS131" s="29">
        <f t="shared" si="100"/>
        <v>0</v>
      </c>
      <c r="AT131" s="29">
        <f t="shared" si="100"/>
        <v>0</v>
      </c>
      <c r="AU131" s="29">
        <f t="shared" si="100"/>
        <v>0</v>
      </c>
      <c r="AV131" s="29">
        <f t="shared" si="100"/>
        <v>0</v>
      </c>
      <c r="AW131" s="29">
        <f t="shared" si="100"/>
        <v>0</v>
      </c>
      <c r="AX131" s="29">
        <f t="shared" si="100"/>
        <v>0</v>
      </c>
      <c r="AY131" s="29">
        <f t="shared" si="100"/>
        <v>0</v>
      </c>
      <c r="AZ131" s="29">
        <f t="shared" si="100"/>
        <v>0</v>
      </c>
      <c r="BA131" s="29">
        <f t="shared" si="100"/>
        <v>0</v>
      </c>
      <c r="BB131" s="29">
        <f t="shared" si="100"/>
        <v>0</v>
      </c>
      <c r="BC131" s="29">
        <f t="shared" si="100"/>
        <v>0</v>
      </c>
      <c r="BD131" s="29">
        <f t="shared" si="100"/>
        <v>0</v>
      </c>
      <c r="BE131" s="29">
        <f t="shared" si="100"/>
        <v>0</v>
      </c>
      <c r="BF131" s="29">
        <f t="shared" si="100"/>
        <v>0</v>
      </c>
      <c r="BG131" s="29">
        <f t="shared" si="100"/>
        <v>0</v>
      </c>
      <c r="BH131" s="29">
        <f t="shared" si="100"/>
        <v>0</v>
      </c>
      <c r="BI131" s="29">
        <f t="shared" si="100"/>
        <v>0</v>
      </c>
      <c r="BJ131" s="29">
        <f t="shared" si="100"/>
        <v>0</v>
      </c>
      <c r="BK131" s="29">
        <f t="shared" si="100"/>
        <v>0</v>
      </c>
      <c r="BL131" s="29">
        <f t="shared" si="100"/>
        <v>0</v>
      </c>
      <c r="BM131" s="29">
        <f t="shared" si="100"/>
        <v>0</v>
      </c>
      <c r="BN131" s="29">
        <f t="shared" si="100"/>
        <v>0</v>
      </c>
      <c r="BO131" s="29">
        <f t="shared" si="100"/>
        <v>0</v>
      </c>
      <c r="BP131" s="29">
        <f t="shared" si="100"/>
        <v>0</v>
      </c>
      <c r="BQ131" s="29">
        <f t="shared" si="100"/>
        <v>0</v>
      </c>
      <c r="BR131" s="29">
        <f t="shared" si="100"/>
        <v>0</v>
      </c>
      <c r="BS131" s="29">
        <f t="shared" si="100"/>
        <v>0</v>
      </c>
      <c r="BT131" s="29">
        <f t="shared" si="100"/>
        <v>0</v>
      </c>
      <c r="BU131" s="29">
        <f t="shared" si="100"/>
        <v>0</v>
      </c>
      <c r="BV131" s="29">
        <f t="shared" si="100"/>
        <v>0</v>
      </c>
      <c r="BW131" s="29">
        <f t="shared" si="100"/>
        <v>0</v>
      </c>
      <c r="BX131" s="29">
        <f t="shared" si="100"/>
        <v>0</v>
      </c>
      <c r="BY131" s="29">
        <f t="shared" si="100"/>
        <v>0</v>
      </c>
      <c r="BZ131" s="29">
        <f t="shared" si="100"/>
        <v>0</v>
      </c>
      <c r="CA131" s="29">
        <f t="shared" si="100"/>
        <v>0</v>
      </c>
      <c r="CB131" s="29">
        <f t="shared" si="100"/>
        <v>0</v>
      </c>
      <c r="CC131" s="29">
        <f t="shared" si="100"/>
        <v>0</v>
      </c>
      <c r="CD131" s="29">
        <f t="shared" si="100"/>
        <v>0</v>
      </c>
      <c r="CE131" s="29">
        <f t="shared" si="100"/>
        <v>0</v>
      </c>
      <c r="CF131" s="29">
        <f t="shared" si="100"/>
        <v>0</v>
      </c>
      <c r="CG131" s="29">
        <f t="shared" si="100"/>
        <v>0</v>
      </c>
      <c r="CH131" s="29">
        <f t="shared" si="100"/>
        <v>0</v>
      </c>
    </row>
    <row r="132" spans="2:86" ht="13" hidden="1" outlineLevel="1">
      <c r="B132" s="84">
        <f t="shared" si="73"/>
        <v>29</v>
      </c>
      <c r="C132" s="64">
        <f t="shared" ca="1" si="71"/>
        <v>0.31909991995355202</v>
      </c>
      <c r="D132" s="15" t="s">
        <v>238</v>
      </c>
      <c r="E132" s="29">
        <f t="shared" ca="1" si="61"/>
        <v>40388337.58158946</v>
      </c>
      <c r="F132" s="29"/>
      <c r="G132" s="29">
        <f t="shared" ref="G132:CH132" ca="1" si="101">IF(G$4&lt;=$B132,ABS(G$31)*-1+G$47,0)+IF($B132=G$4,G$81,0)</f>
        <v>-1444375</v>
      </c>
      <c r="H132" s="29">
        <f t="shared" ca="1" si="101"/>
        <v>-1344375</v>
      </c>
      <c r="I132" s="29">
        <f t="shared" ca="1" si="101"/>
        <v>-1344375</v>
      </c>
      <c r="J132" s="29">
        <f t="shared" ca="1" si="101"/>
        <v>-1344375</v>
      </c>
      <c r="K132" s="29">
        <f t="shared" ca="1" si="101"/>
        <v>-1344375</v>
      </c>
      <c r="L132" s="29">
        <f t="shared" ca="1" si="101"/>
        <v>-1344375</v>
      </c>
      <c r="M132" s="29">
        <f t="shared" ca="1" si="101"/>
        <v>-1344375</v>
      </c>
      <c r="N132" s="29">
        <f t="shared" ca="1" si="101"/>
        <v>-1344375</v>
      </c>
      <c r="O132" s="29">
        <f t="shared" ca="1" si="101"/>
        <v>-1344375</v>
      </c>
      <c r="P132" s="29">
        <f t="shared" ca="1" si="101"/>
        <v>-1344375</v>
      </c>
      <c r="Q132" s="29">
        <f t="shared" ca="1" si="101"/>
        <v>-1344375</v>
      </c>
      <c r="R132" s="29">
        <f t="shared" ca="1" si="101"/>
        <v>-1344375</v>
      </c>
      <c r="S132" s="29">
        <f t="shared" ca="1" si="101"/>
        <v>-372249.99999999953</v>
      </c>
      <c r="T132" s="29">
        <f t="shared" ca="1" si="101"/>
        <v>-372249.99999999953</v>
      </c>
      <c r="U132" s="29">
        <f t="shared" ca="1" si="101"/>
        <v>-372249.99999999953</v>
      </c>
      <c r="V132" s="29">
        <f t="shared" ca="1" si="101"/>
        <v>-372249.99999999953</v>
      </c>
      <c r="W132" s="29">
        <f t="shared" ca="1" si="101"/>
        <v>3345406.2500000009</v>
      </c>
      <c r="X132" s="29">
        <f t="shared" ca="1" si="101"/>
        <v>3345406.2500000009</v>
      </c>
      <c r="Y132" s="29">
        <f t="shared" ca="1" si="101"/>
        <v>2945950.5952380951</v>
      </c>
      <c r="Z132" s="29">
        <f t="shared" ca="1" si="101"/>
        <v>2915932.1428571437</v>
      </c>
      <c r="AA132" s="29">
        <f t="shared" ca="1" si="101"/>
        <v>2951646.4285714291</v>
      </c>
      <c r="AB132" s="29">
        <f t="shared" ca="1" si="101"/>
        <v>2951646.4285714291</v>
      </c>
      <c r="AC132" s="29">
        <f t="shared" ca="1" si="101"/>
        <v>2951646.4285714291</v>
      </c>
      <c r="AD132" s="29">
        <f t="shared" ca="1" si="101"/>
        <v>2951646.4285714291</v>
      </c>
      <c r="AE132" s="29">
        <f t="shared" ca="1" si="101"/>
        <v>6611317.3809523787</v>
      </c>
      <c r="AF132" s="29">
        <f t="shared" ca="1" si="101"/>
        <v>6611317.3809523787</v>
      </c>
      <c r="AG132" s="29">
        <f t="shared" ca="1" si="101"/>
        <v>6611317.3809523787</v>
      </c>
      <c r="AH132" s="29">
        <f t="shared" ca="1" si="101"/>
        <v>6611317.3809523787</v>
      </c>
      <c r="AI132" s="29">
        <f t="shared" ca="1" si="101"/>
        <v>7305287.105398993</v>
      </c>
      <c r="AJ132" s="29">
        <f t="shared" si="101"/>
        <v>0</v>
      </c>
      <c r="AK132" s="29">
        <f t="shared" si="101"/>
        <v>0</v>
      </c>
      <c r="AL132" s="29">
        <f t="shared" si="101"/>
        <v>0</v>
      </c>
      <c r="AM132" s="29">
        <f t="shared" si="101"/>
        <v>0</v>
      </c>
      <c r="AN132" s="29">
        <f t="shared" si="101"/>
        <v>0</v>
      </c>
      <c r="AO132" s="29">
        <f t="shared" si="101"/>
        <v>0</v>
      </c>
      <c r="AP132" s="29">
        <f t="shared" si="101"/>
        <v>0</v>
      </c>
      <c r="AQ132" s="29">
        <f t="shared" si="101"/>
        <v>0</v>
      </c>
      <c r="AR132" s="29">
        <f t="shared" si="101"/>
        <v>0</v>
      </c>
      <c r="AS132" s="29">
        <f t="shared" si="101"/>
        <v>0</v>
      </c>
      <c r="AT132" s="29">
        <f t="shared" si="101"/>
        <v>0</v>
      </c>
      <c r="AU132" s="29">
        <f t="shared" si="101"/>
        <v>0</v>
      </c>
      <c r="AV132" s="29">
        <f t="shared" si="101"/>
        <v>0</v>
      </c>
      <c r="AW132" s="29">
        <f t="shared" si="101"/>
        <v>0</v>
      </c>
      <c r="AX132" s="29">
        <f t="shared" si="101"/>
        <v>0</v>
      </c>
      <c r="AY132" s="29">
        <f t="shared" si="101"/>
        <v>0</v>
      </c>
      <c r="AZ132" s="29">
        <f t="shared" si="101"/>
        <v>0</v>
      </c>
      <c r="BA132" s="29">
        <f t="shared" si="101"/>
        <v>0</v>
      </c>
      <c r="BB132" s="29">
        <f t="shared" si="101"/>
        <v>0</v>
      </c>
      <c r="BC132" s="29">
        <f t="shared" si="101"/>
        <v>0</v>
      </c>
      <c r="BD132" s="29">
        <f t="shared" si="101"/>
        <v>0</v>
      </c>
      <c r="BE132" s="29">
        <f t="shared" si="101"/>
        <v>0</v>
      </c>
      <c r="BF132" s="29">
        <f t="shared" si="101"/>
        <v>0</v>
      </c>
      <c r="BG132" s="29">
        <f t="shared" si="101"/>
        <v>0</v>
      </c>
      <c r="BH132" s="29">
        <f t="shared" si="101"/>
        <v>0</v>
      </c>
      <c r="BI132" s="29">
        <f t="shared" si="101"/>
        <v>0</v>
      </c>
      <c r="BJ132" s="29">
        <f t="shared" si="101"/>
        <v>0</v>
      </c>
      <c r="BK132" s="29">
        <f t="shared" si="101"/>
        <v>0</v>
      </c>
      <c r="BL132" s="29">
        <f t="shared" si="101"/>
        <v>0</v>
      </c>
      <c r="BM132" s="29">
        <f t="shared" si="101"/>
        <v>0</v>
      </c>
      <c r="BN132" s="29">
        <f t="shared" si="101"/>
        <v>0</v>
      </c>
      <c r="BO132" s="29">
        <f t="shared" si="101"/>
        <v>0</v>
      </c>
      <c r="BP132" s="29">
        <f t="shared" si="101"/>
        <v>0</v>
      </c>
      <c r="BQ132" s="29">
        <f t="shared" si="101"/>
        <v>0</v>
      </c>
      <c r="BR132" s="29">
        <f t="shared" si="101"/>
        <v>0</v>
      </c>
      <c r="BS132" s="29">
        <f t="shared" si="101"/>
        <v>0</v>
      </c>
      <c r="BT132" s="29">
        <f t="shared" si="101"/>
        <v>0</v>
      </c>
      <c r="BU132" s="29">
        <f t="shared" si="101"/>
        <v>0</v>
      </c>
      <c r="BV132" s="29">
        <f t="shared" si="101"/>
        <v>0</v>
      </c>
      <c r="BW132" s="29">
        <f t="shared" si="101"/>
        <v>0</v>
      </c>
      <c r="BX132" s="29">
        <f t="shared" si="101"/>
        <v>0</v>
      </c>
      <c r="BY132" s="29">
        <f t="shared" si="101"/>
        <v>0</v>
      </c>
      <c r="BZ132" s="29">
        <f t="shared" si="101"/>
        <v>0</v>
      </c>
      <c r="CA132" s="29">
        <f t="shared" si="101"/>
        <v>0</v>
      </c>
      <c r="CB132" s="29">
        <f t="shared" si="101"/>
        <v>0</v>
      </c>
      <c r="CC132" s="29">
        <f t="shared" si="101"/>
        <v>0</v>
      </c>
      <c r="CD132" s="29">
        <f t="shared" si="101"/>
        <v>0</v>
      </c>
      <c r="CE132" s="29">
        <f t="shared" si="101"/>
        <v>0</v>
      </c>
      <c r="CF132" s="29">
        <f t="shared" si="101"/>
        <v>0</v>
      </c>
      <c r="CG132" s="29">
        <f t="shared" si="101"/>
        <v>0</v>
      </c>
      <c r="CH132" s="29">
        <f t="shared" si="101"/>
        <v>0</v>
      </c>
    </row>
    <row r="133" spans="2:86" ht="13" hidden="1" outlineLevel="1">
      <c r="B133" s="84">
        <f t="shared" si="73"/>
        <v>30</v>
      </c>
      <c r="C133" s="64">
        <f t="shared" ca="1" si="71"/>
        <v>0.33469155837171716</v>
      </c>
      <c r="D133" s="15" t="s">
        <v>238</v>
      </c>
      <c r="E133" s="29">
        <f t="shared" ca="1" si="61"/>
        <v>45227804.784675285</v>
      </c>
      <c r="F133" s="29"/>
      <c r="G133" s="29">
        <f t="shared" ref="G133:CH133" ca="1" si="102">IF(G$4&lt;=$B133,ABS(G$31)*-1+G$47,0)+IF($B133=G$4,G$81,0)</f>
        <v>-1444375</v>
      </c>
      <c r="H133" s="29">
        <f t="shared" ca="1" si="102"/>
        <v>-1344375</v>
      </c>
      <c r="I133" s="29">
        <f t="shared" ca="1" si="102"/>
        <v>-1344375</v>
      </c>
      <c r="J133" s="29">
        <f t="shared" ca="1" si="102"/>
        <v>-1344375</v>
      </c>
      <c r="K133" s="29">
        <f t="shared" ca="1" si="102"/>
        <v>-1344375</v>
      </c>
      <c r="L133" s="29">
        <f t="shared" ca="1" si="102"/>
        <v>-1344375</v>
      </c>
      <c r="M133" s="29">
        <f t="shared" ca="1" si="102"/>
        <v>-1344375</v>
      </c>
      <c r="N133" s="29">
        <f t="shared" ca="1" si="102"/>
        <v>-1344375</v>
      </c>
      <c r="O133" s="29">
        <f t="shared" ca="1" si="102"/>
        <v>-1344375</v>
      </c>
      <c r="P133" s="29">
        <f t="shared" ca="1" si="102"/>
        <v>-1344375</v>
      </c>
      <c r="Q133" s="29">
        <f t="shared" ca="1" si="102"/>
        <v>-1344375</v>
      </c>
      <c r="R133" s="29">
        <f t="shared" ca="1" si="102"/>
        <v>-1344375</v>
      </c>
      <c r="S133" s="29">
        <f t="shared" ca="1" si="102"/>
        <v>-372249.99999999953</v>
      </c>
      <c r="T133" s="29">
        <f t="shared" ca="1" si="102"/>
        <v>-372249.99999999953</v>
      </c>
      <c r="U133" s="29">
        <f t="shared" ca="1" si="102"/>
        <v>-372249.99999999953</v>
      </c>
      <c r="V133" s="29">
        <f t="shared" ca="1" si="102"/>
        <v>-372249.99999999953</v>
      </c>
      <c r="W133" s="29">
        <f t="shared" ca="1" si="102"/>
        <v>3345406.2500000009</v>
      </c>
      <c r="X133" s="29">
        <f t="shared" ca="1" si="102"/>
        <v>3345406.2500000009</v>
      </c>
      <c r="Y133" s="29">
        <f t="shared" ca="1" si="102"/>
        <v>2945950.5952380951</v>
      </c>
      <c r="Z133" s="29">
        <f t="shared" ca="1" si="102"/>
        <v>2915932.1428571437</v>
      </c>
      <c r="AA133" s="29">
        <f t="shared" ca="1" si="102"/>
        <v>2951646.4285714291</v>
      </c>
      <c r="AB133" s="29">
        <f t="shared" ca="1" si="102"/>
        <v>2951646.4285714291</v>
      </c>
      <c r="AC133" s="29">
        <f t="shared" ca="1" si="102"/>
        <v>2951646.4285714291</v>
      </c>
      <c r="AD133" s="29">
        <f t="shared" ca="1" si="102"/>
        <v>2951646.4285714291</v>
      </c>
      <c r="AE133" s="29">
        <f t="shared" ca="1" si="102"/>
        <v>6611317.3809523787</v>
      </c>
      <c r="AF133" s="29">
        <f t="shared" ca="1" si="102"/>
        <v>6611317.3809523787</v>
      </c>
      <c r="AG133" s="29">
        <f t="shared" ca="1" si="102"/>
        <v>6611317.3809523787</v>
      </c>
      <c r="AH133" s="29">
        <f t="shared" ca="1" si="102"/>
        <v>6611317.3809523787</v>
      </c>
      <c r="AI133" s="29">
        <f t="shared" ca="1" si="102"/>
        <v>5745426.1904761884</v>
      </c>
      <c r="AJ133" s="29">
        <f t="shared" ca="1" si="102"/>
        <v>6399328.1180086248</v>
      </c>
      <c r="AK133" s="29">
        <f t="shared" si="102"/>
        <v>0</v>
      </c>
      <c r="AL133" s="29">
        <f t="shared" si="102"/>
        <v>0</v>
      </c>
      <c r="AM133" s="29">
        <f t="shared" si="102"/>
        <v>0</v>
      </c>
      <c r="AN133" s="29">
        <f t="shared" si="102"/>
        <v>0</v>
      </c>
      <c r="AO133" s="29">
        <f t="shared" si="102"/>
        <v>0</v>
      </c>
      <c r="AP133" s="29">
        <f t="shared" si="102"/>
        <v>0</v>
      </c>
      <c r="AQ133" s="29">
        <f t="shared" si="102"/>
        <v>0</v>
      </c>
      <c r="AR133" s="29">
        <f t="shared" si="102"/>
        <v>0</v>
      </c>
      <c r="AS133" s="29">
        <f t="shared" si="102"/>
        <v>0</v>
      </c>
      <c r="AT133" s="29">
        <f t="shared" si="102"/>
        <v>0</v>
      </c>
      <c r="AU133" s="29">
        <f t="shared" si="102"/>
        <v>0</v>
      </c>
      <c r="AV133" s="29">
        <f t="shared" si="102"/>
        <v>0</v>
      </c>
      <c r="AW133" s="29">
        <f t="shared" si="102"/>
        <v>0</v>
      </c>
      <c r="AX133" s="29">
        <f t="shared" si="102"/>
        <v>0</v>
      </c>
      <c r="AY133" s="29">
        <f t="shared" si="102"/>
        <v>0</v>
      </c>
      <c r="AZ133" s="29">
        <f t="shared" si="102"/>
        <v>0</v>
      </c>
      <c r="BA133" s="29">
        <f t="shared" si="102"/>
        <v>0</v>
      </c>
      <c r="BB133" s="29">
        <f t="shared" si="102"/>
        <v>0</v>
      </c>
      <c r="BC133" s="29">
        <f t="shared" si="102"/>
        <v>0</v>
      </c>
      <c r="BD133" s="29">
        <f t="shared" si="102"/>
        <v>0</v>
      </c>
      <c r="BE133" s="29">
        <f t="shared" si="102"/>
        <v>0</v>
      </c>
      <c r="BF133" s="29">
        <f t="shared" si="102"/>
        <v>0</v>
      </c>
      <c r="BG133" s="29">
        <f t="shared" si="102"/>
        <v>0</v>
      </c>
      <c r="BH133" s="29">
        <f t="shared" si="102"/>
        <v>0</v>
      </c>
      <c r="BI133" s="29">
        <f t="shared" si="102"/>
        <v>0</v>
      </c>
      <c r="BJ133" s="29">
        <f t="shared" si="102"/>
        <v>0</v>
      </c>
      <c r="BK133" s="29">
        <f t="shared" si="102"/>
        <v>0</v>
      </c>
      <c r="BL133" s="29">
        <f t="shared" si="102"/>
        <v>0</v>
      </c>
      <c r="BM133" s="29">
        <f t="shared" si="102"/>
        <v>0</v>
      </c>
      <c r="BN133" s="29">
        <f t="shared" si="102"/>
        <v>0</v>
      </c>
      <c r="BO133" s="29">
        <f t="shared" si="102"/>
        <v>0</v>
      </c>
      <c r="BP133" s="29">
        <f t="shared" si="102"/>
        <v>0</v>
      </c>
      <c r="BQ133" s="29">
        <f t="shared" si="102"/>
        <v>0</v>
      </c>
      <c r="BR133" s="29">
        <f t="shared" si="102"/>
        <v>0</v>
      </c>
      <c r="BS133" s="29">
        <f t="shared" si="102"/>
        <v>0</v>
      </c>
      <c r="BT133" s="29">
        <f t="shared" si="102"/>
        <v>0</v>
      </c>
      <c r="BU133" s="29">
        <f t="shared" si="102"/>
        <v>0</v>
      </c>
      <c r="BV133" s="29">
        <f t="shared" si="102"/>
        <v>0</v>
      </c>
      <c r="BW133" s="29">
        <f t="shared" si="102"/>
        <v>0</v>
      </c>
      <c r="BX133" s="29">
        <f t="shared" si="102"/>
        <v>0</v>
      </c>
      <c r="BY133" s="29">
        <f t="shared" si="102"/>
        <v>0</v>
      </c>
      <c r="BZ133" s="29">
        <f t="shared" si="102"/>
        <v>0</v>
      </c>
      <c r="CA133" s="29">
        <f t="shared" si="102"/>
        <v>0</v>
      </c>
      <c r="CB133" s="29">
        <f t="shared" si="102"/>
        <v>0</v>
      </c>
      <c r="CC133" s="29">
        <f t="shared" si="102"/>
        <v>0</v>
      </c>
      <c r="CD133" s="29">
        <f t="shared" si="102"/>
        <v>0</v>
      </c>
      <c r="CE133" s="29">
        <f t="shared" si="102"/>
        <v>0</v>
      </c>
      <c r="CF133" s="29">
        <f t="shared" si="102"/>
        <v>0</v>
      </c>
      <c r="CG133" s="29">
        <f t="shared" si="102"/>
        <v>0</v>
      </c>
      <c r="CH133" s="29">
        <f t="shared" si="102"/>
        <v>0</v>
      </c>
    </row>
    <row r="134" spans="2:86" ht="13" hidden="1" outlineLevel="1">
      <c r="B134" s="84">
        <f t="shared" si="73"/>
        <v>31</v>
      </c>
      <c r="C134" s="64">
        <f t="shared" ca="1" si="71"/>
        <v>0.34825189814676261</v>
      </c>
      <c r="D134" s="15" t="s">
        <v>238</v>
      </c>
      <c r="E134" s="29">
        <f t="shared" ca="1" si="61"/>
        <v>50038991.583559282</v>
      </c>
      <c r="F134" s="29"/>
      <c r="G134" s="29">
        <f t="shared" ref="G134:CH134" ca="1" si="103">IF(G$4&lt;=$B134,ABS(G$31)*-1+G$47,0)+IF($B134=G$4,G$81,0)</f>
        <v>-1444375</v>
      </c>
      <c r="H134" s="29">
        <f t="shared" ca="1" si="103"/>
        <v>-1344375</v>
      </c>
      <c r="I134" s="29">
        <f t="shared" ca="1" si="103"/>
        <v>-1344375</v>
      </c>
      <c r="J134" s="29">
        <f t="shared" ca="1" si="103"/>
        <v>-1344375</v>
      </c>
      <c r="K134" s="29">
        <f t="shared" ca="1" si="103"/>
        <v>-1344375</v>
      </c>
      <c r="L134" s="29">
        <f t="shared" ca="1" si="103"/>
        <v>-1344375</v>
      </c>
      <c r="M134" s="29">
        <f t="shared" ca="1" si="103"/>
        <v>-1344375</v>
      </c>
      <c r="N134" s="29">
        <f t="shared" ca="1" si="103"/>
        <v>-1344375</v>
      </c>
      <c r="O134" s="29">
        <f t="shared" ca="1" si="103"/>
        <v>-1344375</v>
      </c>
      <c r="P134" s="29">
        <f t="shared" ca="1" si="103"/>
        <v>-1344375</v>
      </c>
      <c r="Q134" s="29">
        <f t="shared" ca="1" si="103"/>
        <v>-1344375</v>
      </c>
      <c r="R134" s="29">
        <f t="shared" ca="1" si="103"/>
        <v>-1344375</v>
      </c>
      <c r="S134" s="29">
        <f t="shared" ca="1" si="103"/>
        <v>-372249.99999999953</v>
      </c>
      <c r="T134" s="29">
        <f t="shared" ca="1" si="103"/>
        <v>-372249.99999999953</v>
      </c>
      <c r="U134" s="29">
        <f t="shared" ca="1" si="103"/>
        <v>-372249.99999999953</v>
      </c>
      <c r="V134" s="29">
        <f t="shared" ca="1" si="103"/>
        <v>-372249.99999999953</v>
      </c>
      <c r="W134" s="29">
        <f t="shared" ca="1" si="103"/>
        <v>3345406.2500000009</v>
      </c>
      <c r="X134" s="29">
        <f t="shared" ca="1" si="103"/>
        <v>3345406.2500000009</v>
      </c>
      <c r="Y134" s="29">
        <f t="shared" ca="1" si="103"/>
        <v>2945950.5952380951</v>
      </c>
      <c r="Z134" s="29">
        <f t="shared" ca="1" si="103"/>
        <v>2915932.1428571437</v>
      </c>
      <c r="AA134" s="29">
        <f t="shared" ca="1" si="103"/>
        <v>2951646.4285714291</v>
      </c>
      <c r="AB134" s="29">
        <f t="shared" ca="1" si="103"/>
        <v>2951646.4285714291</v>
      </c>
      <c r="AC134" s="29">
        <f t="shared" ca="1" si="103"/>
        <v>2951646.4285714291</v>
      </c>
      <c r="AD134" s="29">
        <f t="shared" ca="1" si="103"/>
        <v>2951646.4285714291</v>
      </c>
      <c r="AE134" s="29">
        <f t="shared" ca="1" si="103"/>
        <v>6611317.3809523787</v>
      </c>
      <c r="AF134" s="29">
        <f t="shared" ca="1" si="103"/>
        <v>6611317.3809523787</v>
      </c>
      <c r="AG134" s="29">
        <f t="shared" ca="1" si="103"/>
        <v>6611317.3809523787</v>
      </c>
      <c r="AH134" s="29">
        <f t="shared" ca="1" si="103"/>
        <v>6611317.3809523787</v>
      </c>
      <c r="AI134" s="29">
        <f t="shared" ca="1" si="103"/>
        <v>5745426.1904761884</v>
      </c>
      <c r="AJ134" s="29">
        <f t="shared" ca="1" si="103"/>
        <v>5745426.1904761884</v>
      </c>
      <c r="AK134" s="29">
        <f t="shared" ca="1" si="103"/>
        <v>5465088.7264164407</v>
      </c>
      <c r="AL134" s="29">
        <f t="shared" si="103"/>
        <v>0</v>
      </c>
      <c r="AM134" s="29">
        <f t="shared" si="103"/>
        <v>0</v>
      </c>
      <c r="AN134" s="29">
        <f t="shared" si="103"/>
        <v>0</v>
      </c>
      <c r="AO134" s="29">
        <f t="shared" si="103"/>
        <v>0</v>
      </c>
      <c r="AP134" s="29">
        <f t="shared" si="103"/>
        <v>0</v>
      </c>
      <c r="AQ134" s="29">
        <f t="shared" si="103"/>
        <v>0</v>
      </c>
      <c r="AR134" s="29">
        <f t="shared" si="103"/>
        <v>0</v>
      </c>
      <c r="AS134" s="29">
        <f t="shared" si="103"/>
        <v>0</v>
      </c>
      <c r="AT134" s="29">
        <f t="shared" si="103"/>
        <v>0</v>
      </c>
      <c r="AU134" s="29">
        <f t="shared" si="103"/>
        <v>0</v>
      </c>
      <c r="AV134" s="29">
        <f t="shared" si="103"/>
        <v>0</v>
      </c>
      <c r="AW134" s="29">
        <f t="shared" si="103"/>
        <v>0</v>
      </c>
      <c r="AX134" s="29">
        <f t="shared" si="103"/>
        <v>0</v>
      </c>
      <c r="AY134" s="29">
        <f t="shared" si="103"/>
        <v>0</v>
      </c>
      <c r="AZ134" s="29">
        <f t="shared" si="103"/>
        <v>0</v>
      </c>
      <c r="BA134" s="29">
        <f t="shared" si="103"/>
        <v>0</v>
      </c>
      <c r="BB134" s="29">
        <f t="shared" si="103"/>
        <v>0</v>
      </c>
      <c r="BC134" s="29">
        <f t="shared" si="103"/>
        <v>0</v>
      </c>
      <c r="BD134" s="29">
        <f t="shared" si="103"/>
        <v>0</v>
      </c>
      <c r="BE134" s="29">
        <f t="shared" si="103"/>
        <v>0</v>
      </c>
      <c r="BF134" s="29">
        <f t="shared" si="103"/>
        <v>0</v>
      </c>
      <c r="BG134" s="29">
        <f t="shared" si="103"/>
        <v>0</v>
      </c>
      <c r="BH134" s="29">
        <f t="shared" si="103"/>
        <v>0</v>
      </c>
      <c r="BI134" s="29">
        <f t="shared" si="103"/>
        <v>0</v>
      </c>
      <c r="BJ134" s="29">
        <f t="shared" si="103"/>
        <v>0</v>
      </c>
      <c r="BK134" s="29">
        <f t="shared" si="103"/>
        <v>0</v>
      </c>
      <c r="BL134" s="29">
        <f t="shared" si="103"/>
        <v>0</v>
      </c>
      <c r="BM134" s="29">
        <f t="shared" si="103"/>
        <v>0</v>
      </c>
      <c r="BN134" s="29">
        <f t="shared" si="103"/>
        <v>0</v>
      </c>
      <c r="BO134" s="29">
        <f t="shared" si="103"/>
        <v>0</v>
      </c>
      <c r="BP134" s="29">
        <f t="shared" si="103"/>
        <v>0</v>
      </c>
      <c r="BQ134" s="29">
        <f t="shared" si="103"/>
        <v>0</v>
      </c>
      <c r="BR134" s="29">
        <f t="shared" si="103"/>
        <v>0</v>
      </c>
      <c r="BS134" s="29">
        <f t="shared" si="103"/>
        <v>0</v>
      </c>
      <c r="BT134" s="29">
        <f t="shared" si="103"/>
        <v>0</v>
      </c>
      <c r="BU134" s="29">
        <f t="shared" si="103"/>
        <v>0</v>
      </c>
      <c r="BV134" s="29">
        <f t="shared" si="103"/>
        <v>0</v>
      </c>
      <c r="BW134" s="29">
        <f t="shared" si="103"/>
        <v>0</v>
      </c>
      <c r="BX134" s="29">
        <f t="shared" si="103"/>
        <v>0</v>
      </c>
      <c r="BY134" s="29">
        <f t="shared" si="103"/>
        <v>0</v>
      </c>
      <c r="BZ134" s="29">
        <f t="shared" si="103"/>
        <v>0</v>
      </c>
      <c r="CA134" s="29">
        <f t="shared" si="103"/>
        <v>0</v>
      </c>
      <c r="CB134" s="29">
        <f t="shared" si="103"/>
        <v>0</v>
      </c>
      <c r="CC134" s="29">
        <f t="shared" si="103"/>
        <v>0</v>
      </c>
      <c r="CD134" s="29">
        <f t="shared" si="103"/>
        <v>0</v>
      </c>
      <c r="CE134" s="29">
        <f t="shared" si="103"/>
        <v>0</v>
      </c>
      <c r="CF134" s="29">
        <f t="shared" si="103"/>
        <v>0</v>
      </c>
      <c r="CG134" s="29">
        <f t="shared" si="103"/>
        <v>0</v>
      </c>
      <c r="CH134" s="29">
        <f t="shared" si="103"/>
        <v>0</v>
      </c>
    </row>
    <row r="135" spans="2:86" ht="13" hidden="1" outlineLevel="1">
      <c r="B135" s="84">
        <f t="shared" si="73"/>
        <v>32</v>
      </c>
      <c r="C135" s="64">
        <f t="shared" ca="1" si="71"/>
        <v>0.36011435075878984</v>
      </c>
      <c r="D135" s="15" t="s">
        <v>238</v>
      </c>
      <c r="E135" s="29">
        <f t="shared" ca="1" si="61"/>
        <v>54821897.978241473</v>
      </c>
      <c r="F135" s="29"/>
      <c r="G135" s="29">
        <f t="shared" ref="G135:CH135" ca="1" si="104">IF(G$4&lt;=$B135,ABS(G$31)*-1+G$47,0)+IF($B135=G$4,G$81,0)</f>
        <v>-1444375</v>
      </c>
      <c r="H135" s="29">
        <f t="shared" ca="1" si="104"/>
        <v>-1344375</v>
      </c>
      <c r="I135" s="29">
        <f t="shared" ca="1" si="104"/>
        <v>-1344375</v>
      </c>
      <c r="J135" s="29">
        <f t="shared" ca="1" si="104"/>
        <v>-1344375</v>
      </c>
      <c r="K135" s="29">
        <f t="shared" ca="1" si="104"/>
        <v>-1344375</v>
      </c>
      <c r="L135" s="29">
        <f t="shared" ca="1" si="104"/>
        <v>-1344375</v>
      </c>
      <c r="M135" s="29">
        <f t="shared" ca="1" si="104"/>
        <v>-1344375</v>
      </c>
      <c r="N135" s="29">
        <f t="shared" ca="1" si="104"/>
        <v>-1344375</v>
      </c>
      <c r="O135" s="29">
        <f t="shared" ca="1" si="104"/>
        <v>-1344375</v>
      </c>
      <c r="P135" s="29">
        <f t="shared" ca="1" si="104"/>
        <v>-1344375</v>
      </c>
      <c r="Q135" s="29">
        <f t="shared" ca="1" si="104"/>
        <v>-1344375</v>
      </c>
      <c r="R135" s="29">
        <f t="shared" ca="1" si="104"/>
        <v>-1344375</v>
      </c>
      <c r="S135" s="29">
        <f t="shared" ca="1" si="104"/>
        <v>-372249.99999999953</v>
      </c>
      <c r="T135" s="29">
        <f t="shared" ca="1" si="104"/>
        <v>-372249.99999999953</v>
      </c>
      <c r="U135" s="29">
        <f t="shared" ca="1" si="104"/>
        <v>-372249.99999999953</v>
      </c>
      <c r="V135" s="29">
        <f t="shared" ca="1" si="104"/>
        <v>-372249.99999999953</v>
      </c>
      <c r="W135" s="29">
        <f t="shared" ca="1" si="104"/>
        <v>3345406.2500000009</v>
      </c>
      <c r="X135" s="29">
        <f t="shared" ca="1" si="104"/>
        <v>3345406.2500000009</v>
      </c>
      <c r="Y135" s="29">
        <f t="shared" ca="1" si="104"/>
        <v>2945950.5952380951</v>
      </c>
      <c r="Z135" s="29">
        <f t="shared" ca="1" si="104"/>
        <v>2915932.1428571437</v>
      </c>
      <c r="AA135" s="29">
        <f t="shared" ca="1" si="104"/>
        <v>2951646.4285714291</v>
      </c>
      <c r="AB135" s="29">
        <f t="shared" ca="1" si="104"/>
        <v>2951646.4285714291</v>
      </c>
      <c r="AC135" s="29">
        <f t="shared" ca="1" si="104"/>
        <v>2951646.4285714291</v>
      </c>
      <c r="AD135" s="29">
        <f t="shared" ca="1" si="104"/>
        <v>2951646.4285714291</v>
      </c>
      <c r="AE135" s="29">
        <f t="shared" ca="1" si="104"/>
        <v>6611317.3809523787</v>
      </c>
      <c r="AF135" s="29">
        <f t="shared" ca="1" si="104"/>
        <v>6611317.3809523787</v>
      </c>
      <c r="AG135" s="29">
        <f t="shared" ca="1" si="104"/>
        <v>6611317.3809523787</v>
      </c>
      <c r="AH135" s="29">
        <f t="shared" ca="1" si="104"/>
        <v>6611317.3809523787</v>
      </c>
      <c r="AI135" s="29">
        <f t="shared" ca="1" si="104"/>
        <v>5745426.1904761884</v>
      </c>
      <c r="AJ135" s="29">
        <f t="shared" ca="1" si="104"/>
        <v>5745426.1904761884</v>
      </c>
      <c r="AK135" s="29">
        <f t="shared" ca="1" si="104"/>
        <v>5745426.1904761884</v>
      </c>
      <c r="AL135" s="29">
        <f t="shared" ca="1" si="104"/>
        <v>4502568.9306224408</v>
      </c>
      <c r="AM135" s="29">
        <f t="shared" si="104"/>
        <v>0</v>
      </c>
      <c r="AN135" s="29">
        <f t="shared" si="104"/>
        <v>0</v>
      </c>
      <c r="AO135" s="29">
        <f t="shared" si="104"/>
        <v>0</v>
      </c>
      <c r="AP135" s="29">
        <f t="shared" si="104"/>
        <v>0</v>
      </c>
      <c r="AQ135" s="29">
        <f t="shared" si="104"/>
        <v>0</v>
      </c>
      <c r="AR135" s="29">
        <f t="shared" si="104"/>
        <v>0</v>
      </c>
      <c r="AS135" s="29">
        <f t="shared" si="104"/>
        <v>0</v>
      </c>
      <c r="AT135" s="29">
        <f t="shared" si="104"/>
        <v>0</v>
      </c>
      <c r="AU135" s="29">
        <f t="shared" si="104"/>
        <v>0</v>
      </c>
      <c r="AV135" s="29">
        <f t="shared" si="104"/>
        <v>0</v>
      </c>
      <c r="AW135" s="29">
        <f t="shared" si="104"/>
        <v>0</v>
      </c>
      <c r="AX135" s="29">
        <f t="shared" si="104"/>
        <v>0</v>
      </c>
      <c r="AY135" s="29">
        <f t="shared" si="104"/>
        <v>0</v>
      </c>
      <c r="AZ135" s="29">
        <f t="shared" si="104"/>
        <v>0</v>
      </c>
      <c r="BA135" s="29">
        <f t="shared" si="104"/>
        <v>0</v>
      </c>
      <c r="BB135" s="29">
        <f t="shared" si="104"/>
        <v>0</v>
      </c>
      <c r="BC135" s="29">
        <f t="shared" si="104"/>
        <v>0</v>
      </c>
      <c r="BD135" s="29">
        <f t="shared" si="104"/>
        <v>0</v>
      </c>
      <c r="BE135" s="29">
        <f t="shared" si="104"/>
        <v>0</v>
      </c>
      <c r="BF135" s="29">
        <f t="shared" si="104"/>
        <v>0</v>
      </c>
      <c r="BG135" s="29">
        <f t="shared" si="104"/>
        <v>0</v>
      </c>
      <c r="BH135" s="29">
        <f t="shared" si="104"/>
        <v>0</v>
      </c>
      <c r="BI135" s="29">
        <f t="shared" si="104"/>
        <v>0</v>
      </c>
      <c r="BJ135" s="29">
        <f t="shared" si="104"/>
        <v>0</v>
      </c>
      <c r="BK135" s="29">
        <f t="shared" si="104"/>
        <v>0</v>
      </c>
      <c r="BL135" s="29">
        <f t="shared" si="104"/>
        <v>0</v>
      </c>
      <c r="BM135" s="29">
        <f t="shared" si="104"/>
        <v>0</v>
      </c>
      <c r="BN135" s="29">
        <f t="shared" si="104"/>
        <v>0</v>
      </c>
      <c r="BO135" s="29">
        <f t="shared" si="104"/>
        <v>0</v>
      </c>
      <c r="BP135" s="29">
        <f t="shared" si="104"/>
        <v>0</v>
      </c>
      <c r="BQ135" s="29">
        <f t="shared" si="104"/>
        <v>0</v>
      </c>
      <c r="BR135" s="29">
        <f t="shared" si="104"/>
        <v>0</v>
      </c>
      <c r="BS135" s="29">
        <f t="shared" si="104"/>
        <v>0</v>
      </c>
      <c r="BT135" s="29">
        <f t="shared" si="104"/>
        <v>0</v>
      </c>
      <c r="BU135" s="29">
        <f t="shared" si="104"/>
        <v>0</v>
      </c>
      <c r="BV135" s="29">
        <f t="shared" si="104"/>
        <v>0</v>
      </c>
      <c r="BW135" s="29">
        <f t="shared" si="104"/>
        <v>0</v>
      </c>
      <c r="BX135" s="29">
        <f t="shared" si="104"/>
        <v>0</v>
      </c>
      <c r="BY135" s="29">
        <f t="shared" si="104"/>
        <v>0</v>
      </c>
      <c r="BZ135" s="29">
        <f t="shared" si="104"/>
        <v>0</v>
      </c>
      <c r="CA135" s="29">
        <f t="shared" si="104"/>
        <v>0</v>
      </c>
      <c r="CB135" s="29">
        <f t="shared" si="104"/>
        <v>0</v>
      </c>
      <c r="CC135" s="29">
        <f t="shared" si="104"/>
        <v>0</v>
      </c>
      <c r="CD135" s="29">
        <f t="shared" si="104"/>
        <v>0</v>
      </c>
      <c r="CE135" s="29">
        <f t="shared" si="104"/>
        <v>0</v>
      </c>
      <c r="CF135" s="29">
        <f t="shared" si="104"/>
        <v>0</v>
      </c>
      <c r="CG135" s="29">
        <f t="shared" si="104"/>
        <v>0</v>
      </c>
      <c r="CH135" s="29">
        <f t="shared" si="104"/>
        <v>0</v>
      </c>
    </row>
    <row r="136" spans="2:86" ht="13" hidden="1" outlineLevel="1">
      <c r="B136" s="84">
        <f t="shared" si="73"/>
        <v>33</v>
      </c>
      <c r="C136" s="64">
        <f t="shared" ca="1" si="71"/>
        <v>0.36713954665496806</v>
      </c>
      <c r="D136" s="15" t="s">
        <v>238</v>
      </c>
      <c r="E136" s="29">
        <f t="shared" ca="1" si="61"/>
        <v>57959998.855809234</v>
      </c>
      <c r="F136" s="29"/>
      <c r="G136" s="29">
        <f t="shared" ref="G136:CH136" ca="1" si="105">IF(G$4&lt;=$B136,ABS(G$31)*-1+G$47,0)+IF($B136=G$4,G$81,0)</f>
        <v>-1444375</v>
      </c>
      <c r="H136" s="29">
        <f t="shared" ca="1" si="105"/>
        <v>-1344375</v>
      </c>
      <c r="I136" s="29">
        <f t="shared" ca="1" si="105"/>
        <v>-1344375</v>
      </c>
      <c r="J136" s="29">
        <f t="shared" ca="1" si="105"/>
        <v>-1344375</v>
      </c>
      <c r="K136" s="29">
        <f t="shared" ca="1" si="105"/>
        <v>-1344375</v>
      </c>
      <c r="L136" s="29">
        <f t="shared" ca="1" si="105"/>
        <v>-1344375</v>
      </c>
      <c r="M136" s="29">
        <f t="shared" ca="1" si="105"/>
        <v>-1344375</v>
      </c>
      <c r="N136" s="29">
        <f t="shared" ca="1" si="105"/>
        <v>-1344375</v>
      </c>
      <c r="O136" s="29">
        <f t="shared" ca="1" si="105"/>
        <v>-1344375</v>
      </c>
      <c r="P136" s="29">
        <f t="shared" ca="1" si="105"/>
        <v>-1344375</v>
      </c>
      <c r="Q136" s="29">
        <f t="shared" ca="1" si="105"/>
        <v>-1344375</v>
      </c>
      <c r="R136" s="29">
        <f t="shared" ca="1" si="105"/>
        <v>-1344375</v>
      </c>
      <c r="S136" s="29">
        <f t="shared" ca="1" si="105"/>
        <v>-372249.99999999953</v>
      </c>
      <c r="T136" s="29">
        <f t="shared" ca="1" si="105"/>
        <v>-372249.99999999953</v>
      </c>
      <c r="U136" s="29">
        <f t="shared" ca="1" si="105"/>
        <v>-372249.99999999953</v>
      </c>
      <c r="V136" s="29">
        <f t="shared" ca="1" si="105"/>
        <v>-372249.99999999953</v>
      </c>
      <c r="W136" s="29">
        <f t="shared" ca="1" si="105"/>
        <v>3345406.2500000009</v>
      </c>
      <c r="X136" s="29">
        <f t="shared" ca="1" si="105"/>
        <v>3345406.2500000009</v>
      </c>
      <c r="Y136" s="29">
        <f t="shared" ca="1" si="105"/>
        <v>2945950.5952380951</v>
      </c>
      <c r="Z136" s="29">
        <f t="shared" ca="1" si="105"/>
        <v>2915932.1428571437</v>
      </c>
      <c r="AA136" s="29">
        <f t="shared" ca="1" si="105"/>
        <v>2951646.4285714291</v>
      </c>
      <c r="AB136" s="29">
        <f t="shared" ca="1" si="105"/>
        <v>2951646.4285714291</v>
      </c>
      <c r="AC136" s="29">
        <f t="shared" ca="1" si="105"/>
        <v>2951646.4285714291</v>
      </c>
      <c r="AD136" s="29">
        <f t="shared" ca="1" si="105"/>
        <v>2951646.4285714291</v>
      </c>
      <c r="AE136" s="29">
        <f t="shared" ca="1" si="105"/>
        <v>6611317.3809523787</v>
      </c>
      <c r="AF136" s="29">
        <f t="shared" ca="1" si="105"/>
        <v>6611317.3809523787</v>
      </c>
      <c r="AG136" s="29">
        <f t="shared" ca="1" si="105"/>
        <v>6611317.3809523787</v>
      </c>
      <c r="AH136" s="29">
        <f t="shared" ca="1" si="105"/>
        <v>6611317.3809523787</v>
      </c>
      <c r="AI136" s="29">
        <f t="shared" ca="1" si="105"/>
        <v>5745426.1904761884</v>
      </c>
      <c r="AJ136" s="29">
        <f t="shared" ca="1" si="105"/>
        <v>5745426.1904761884</v>
      </c>
      <c r="AK136" s="29">
        <f t="shared" ca="1" si="105"/>
        <v>5745426.1904761884</v>
      </c>
      <c r="AL136" s="29">
        <f t="shared" ca="1" si="105"/>
        <v>5745426.1904761884</v>
      </c>
      <c r="AM136" s="29">
        <f t="shared" ca="1" si="105"/>
        <v>1895243.6177140193</v>
      </c>
      <c r="AN136" s="29">
        <f t="shared" si="105"/>
        <v>0</v>
      </c>
      <c r="AO136" s="29">
        <f t="shared" si="105"/>
        <v>0</v>
      </c>
      <c r="AP136" s="29">
        <f t="shared" si="105"/>
        <v>0</v>
      </c>
      <c r="AQ136" s="29">
        <f t="shared" si="105"/>
        <v>0</v>
      </c>
      <c r="AR136" s="29">
        <f t="shared" si="105"/>
        <v>0</v>
      </c>
      <c r="AS136" s="29">
        <f t="shared" si="105"/>
        <v>0</v>
      </c>
      <c r="AT136" s="29">
        <f t="shared" si="105"/>
        <v>0</v>
      </c>
      <c r="AU136" s="29">
        <f t="shared" si="105"/>
        <v>0</v>
      </c>
      <c r="AV136" s="29">
        <f t="shared" si="105"/>
        <v>0</v>
      </c>
      <c r="AW136" s="29">
        <f t="shared" si="105"/>
        <v>0</v>
      </c>
      <c r="AX136" s="29">
        <f t="shared" si="105"/>
        <v>0</v>
      </c>
      <c r="AY136" s="29">
        <f t="shared" si="105"/>
        <v>0</v>
      </c>
      <c r="AZ136" s="29">
        <f t="shared" si="105"/>
        <v>0</v>
      </c>
      <c r="BA136" s="29">
        <f t="shared" si="105"/>
        <v>0</v>
      </c>
      <c r="BB136" s="29">
        <f t="shared" si="105"/>
        <v>0</v>
      </c>
      <c r="BC136" s="29">
        <f t="shared" si="105"/>
        <v>0</v>
      </c>
      <c r="BD136" s="29">
        <f t="shared" si="105"/>
        <v>0</v>
      </c>
      <c r="BE136" s="29">
        <f t="shared" si="105"/>
        <v>0</v>
      </c>
      <c r="BF136" s="29">
        <f t="shared" si="105"/>
        <v>0</v>
      </c>
      <c r="BG136" s="29">
        <f t="shared" si="105"/>
        <v>0</v>
      </c>
      <c r="BH136" s="29">
        <f t="shared" si="105"/>
        <v>0</v>
      </c>
      <c r="BI136" s="29">
        <f t="shared" si="105"/>
        <v>0</v>
      </c>
      <c r="BJ136" s="29">
        <f t="shared" si="105"/>
        <v>0</v>
      </c>
      <c r="BK136" s="29">
        <f t="shared" si="105"/>
        <v>0</v>
      </c>
      <c r="BL136" s="29">
        <f t="shared" si="105"/>
        <v>0</v>
      </c>
      <c r="BM136" s="29">
        <f t="shared" si="105"/>
        <v>0</v>
      </c>
      <c r="BN136" s="29">
        <f t="shared" si="105"/>
        <v>0</v>
      </c>
      <c r="BO136" s="29">
        <f t="shared" si="105"/>
        <v>0</v>
      </c>
      <c r="BP136" s="29">
        <f t="shared" si="105"/>
        <v>0</v>
      </c>
      <c r="BQ136" s="29">
        <f t="shared" si="105"/>
        <v>0</v>
      </c>
      <c r="BR136" s="29">
        <f t="shared" si="105"/>
        <v>0</v>
      </c>
      <c r="BS136" s="29">
        <f t="shared" si="105"/>
        <v>0</v>
      </c>
      <c r="BT136" s="29">
        <f t="shared" si="105"/>
        <v>0</v>
      </c>
      <c r="BU136" s="29">
        <f t="shared" si="105"/>
        <v>0</v>
      </c>
      <c r="BV136" s="29">
        <f t="shared" si="105"/>
        <v>0</v>
      </c>
      <c r="BW136" s="29">
        <f t="shared" si="105"/>
        <v>0</v>
      </c>
      <c r="BX136" s="29">
        <f t="shared" si="105"/>
        <v>0</v>
      </c>
      <c r="BY136" s="29">
        <f t="shared" si="105"/>
        <v>0</v>
      </c>
      <c r="BZ136" s="29">
        <f t="shared" si="105"/>
        <v>0</v>
      </c>
      <c r="CA136" s="29">
        <f t="shared" si="105"/>
        <v>0</v>
      </c>
      <c r="CB136" s="29">
        <f t="shared" si="105"/>
        <v>0</v>
      </c>
      <c r="CC136" s="29">
        <f t="shared" si="105"/>
        <v>0</v>
      </c>
      <c r="CD136" s="29">
        <f t="shared" si="105"/>
        <v>0</v>
      </c>
      <c r="CE136" s="29">
        <f t="shared" si="105"/>
        <v>0</v>
      </c>
      <c r="CF136" s="29">
        <f t="shared" si="105"/>
        <v>0</v>
      </c>
      <c r="CG136" s="29">
        <f t="shared" si="105"/>
        <v>0</v>
      </c>
      <c r="CH136" s="29">
        <f t="shared" si="105"/>
        <v>0</v>
      </c>
    </row>
    <row r="137" spans="2:86" ht="13" hidden="1" outlineLevel="1">
      <c r="B137" s="84">
        <f t="shared" si="73"/>
        <v>34</v>
      </c>
      <c r="C137" s="64">
        <f t="shared" ca="1" si="71"/>
        <v>0.37342901618140312</v>
      </c>
      <c r="D137" s="15" t="s">
        <v>238</v>
      </c>
      <c r="E137" s="29">
        <f t="shared" ca="1" si="61"/>
        <v>61085245.004194357</v>
      </c>
      <c r="F137" s="29"/>
      <c r="G137" s="29">
        <f t="shared" ref="G137:CH137" ca="1" si="106">IF(G$4&lt;=$B137,ABS(G$31)*-1+G$47,0)+IF($B137=G$4,G$81,0)</f>
        <v>-1444375</v>
      </c>
      <c r="H137" s="29">
        <f t="shared" ca="1" si="106"/>
        <v>-1344375</v>
      </c>
      <c r="I137" s="29">
        <f t="shared" ca="1" si="106"/>
        <v>-1344375</v>
      </c>
      <c r="J137" s="29">
        <f t="shared" ca="1" si="106"/>
        <v>-1344375</v>
      </c>
      <c r="K137" s="29">
        <f t="shared" ca="1" si="106"/>
        <v>-1344375</v>
      </c>
      <c r="L137" s="29">
        <f t="shared" ca="1" si="106"/>
        <v>-1344375</v>
      </c>
      <c r="M137" s="29">
        <f t="shared" ca="1" si="106"/>
        <v>-1344375</v>
      </c>
      <c r="N137" s="29">
        <f t="shared" ca="1" si="106"/>
        <v>-1344375</v>
      </c>
      <c r="O137" s="29">
        <f t="shared" ca="1" si="106"/>
        <v>-1344375</v>
      </c>
      <c r="P137" s="29">
        <f t="shared" ca="1" si="106"/>
        <v>-1344375</v>
      </c>
      <c r="Q137" s="29">
        <f t="shared" ca="1" si="106"/>
        <v>-1344375</v>
      </c>
      <c r="R137" s="29">
        <f t="shared" ca="1" si="106"/>
        <v>-1344375</v>
      </c>
      <c r="S137" s="29">
        <f t="shared" ca="1" si="106"/>
        <v>-372249.99999999953</v>
      </c>
      <c r="T137" s="29">
        <f t="shared" ca="1" si="106"/>
        <v>-372249.99999999953</v>
      </c>
      <c r="U137" s="29">
        <f t="shared" ca="1" si="106"/>
        <v>-372249.99999999953</v>
      </c>
      <c r="V137" s="29">
        <f t="shared" ca="1" si="106"/>
        <v>-372249.99999999953</v>
      </c>
      <c r="W137" s="29">
        <f t="shared" ca="1" si="106"/>
        <v>3345406.2500000009</v>
      </c>
      <c r="X137" s="29">
        <f t="shared" ca="1" si="106"/>
        <v>3345406.2500000009</v>
      </c>
      <c r="Y137" s="29">
        <f t="shared" ca="1" si="106"/>
        <v>2945950.5952380951</v>
      </c>
      <c r="Z137" s="29">
        <f t="shared" ca="1" si="106"/>
        <v>2915932.1428571437</v>
      </c>
      <c r="AA137" s="29">
        <f t="shared" ca="1" si="106"/>
        <v>2951646.4285714291</v>
      </c>
      <c r="AB137" s="29">
        <f t="shared" ca="1" si="106"/>
        <v>2951646.4285714291</v>
      </c>
      <c r="AC137" s="29">
        <f t="shared" ca="1" si="106"/>
        <v>2951646.4285714291</v>
      </c>
      <c r="AD137" s="29">
        <f t="shared" ca="1" si="106"/>
        <v>2951646.4285714291</v>
      </c>
      <c r="AE137" s="29">
        <f t="shared" ca="1" si="106"/>
        <v>6611317.3809523787</v>
      </c>
      <c r="AF137" s="29">
        <f t="shared" ca="1" si="106"/>
        <v>6611317.3809523787</v>
      </c>
      <c r="AG137" s="29">
        <f t="shared" ca="1" si="106"/>
        <v>6611317.3809523787</v>
      </c>
      <c r="AH137" s="29">
        <f t="shared" ca="1" si="106"/>
        <v>6611317.3809523787</v>
      </c>
      <c r="AI137" s="29">
        <f t="shared" ca="1" si="106"/>
        <v>5745426.1904761884</v>
      </c>
      <c r="AJ137" s="29">
        <f t="shared" ca="1" si="106"/>
        <v>5745426.1904761884</v>
      </c>
      <c r="AK137" s="29">
        <f t="shared" ca="1" si="106"/>
        <v>5745426.1904761884</v>
      </c>
      <c r="AL137" s="29">
        <f t="shared" ca="1" si="106"/>
        <v>5745426.1904761884</v>
      </c>
      <c r="AM137" s="29">
        <f t="shared" ca="1" si="106"/>
        <v>3526761.904761903</v>
      </c>
      <c r="AN137" s="29">
        <f t="shared" ca="1" si="106"/>
        <v>1493727.8613372394</v>
      </c>
      <c r="AO137" s="29">
        <f t="shared" si="106"/>
        <v>0</v>
      </c>
      <c r="AP137" s="29">
        <f t="shared" si="106"/>
        <v>0</v>
      </c>
      <c r="AQ137" s="29">
        <f t="shared" si="106"/>
        <v>0</v>
      </c>
      <c r="AR137" s="29">
        <f t="shared" si="106"/>
        <v>0</v>
      </c>
      <c r="AS137" s="29">
        <f t="shared" si="106"/>
        <v>0</v>
      </c>
      <c r="AT137" s="29">
        <f t="shared" si="106"/>
        <v>0</v>
      </c>
      <c r="AU137" s="29">
        <f t="shared" si="106"/>
        <v>0</v>
      </c>
      <c r="AV137" s="29">
        <f t="shared" si="106"/>
        <v>0</v>
      </c>
      <c r="AW137" s="29">
        <f t="shared" si="106"/>
        <v>0</v>
      </c>
      <c r="AX137" s="29">
        <f t="shared" si="106"/>
        <v>0</v>
      </c>
      <c r="AY137" s="29">
        <f t="shared" si="106"/>
        <v>0</v>
      </c>
      <c r="AZ137" s="29">
        <f t="shared" si="106"/>
        <v>0</v>
      </c>
      <c r="BA137" s="29">
        <f t="shared" si="106"/>
        <v>0</v>
      </c>
      <c r="BB137" s="29">
        <f t="shared" si="106"/>
        <v>0</v>
      </c>
      <c r="BC137" s="29">
        <f t="shared" si="106"/>
        <v>0</v>
      </c>
      <c r="BD137" s="29">
        <f t="shared" si="106"/>
        <v>0</v>
      </c>
      <c r="BE137" s="29">
        <f t="shared" si="106"/>
        <v>0</v>
      </c>
      <c r="BF137" s="29">
        <f t="shared" si="106"/>
        <v>0</v>
      </c>
      <c r="BG137" s="29">
        <f t="shared" si="106"/>
        <v>0</v>
      </c>
      <c r="BH137" s="29">
        <f t="shared" si="106"/>
        <v>0</v>
      </c>
      <c r="BI137" s="29">
        <f t="shared" si="106"/>
        <v>0</v>
      </c>
      <c r="BJ137" s="29">
        <f t="shared" si="106"/>
        <v>0</v>
      </c>
      <c r="BK137" s="29">
        <f t="shared" si="106"/>
        <v>0</v>
      </c>
      <c r="BL137" s="29">
        <f t="shared" si="106"/>
        <v>0</v>
      </c>
      <c r="BM137" s="29">
        <f t="shared" si="106"/>
        <v>0</v>
      </c>
      <c r="BN137" s="29">
        <f t="shared" si="106"/>
        <v>0</v>
      </c>
      <c r="BO137" s="29">
        <f t="shared" si="106"/>
        <v>0</v>
      </c>
      <c r="BP137" s="29">
        <f t="shared" si="106"/>
        <v>0</v>
      </c>
      <c r="BQ137" s="29">
        <f t="shared" si="106"/>
        <v>0</v>
      </c>
      <c r="BR137" s="29">
        <f t="shared" si="106"/>
        <v>0</v>
      </c>
      <c r="BS137" s="29">
        <f t="shared" si="106"/>
        <v>0</v>
      </c>
      <c r="BT137" s="29">
        <f t="shared" si="106"/>
        <v>0</v>
      </c>
      <c r="BU137" s="29">
        <f t="shared" si="106"/>
        <v>0</v>
      </c>
      <c r="BV137" s="29">
        <f t="shared" si="106"/>
        <v>0</v>
      </c>
      <c r="BW137" s="29">
        <f t="shared" si="106"/>
        <v>0</v>
      </c>
      <c r="BX137" s="29">
        <f t="shared" si="106"/>
        <v>0</v>
      </c>
      <c r="BY137" s="29">
        <f t="shared" si="106"/>
        <v>0</v>
      </c>
      <c r="BZ137" s="29">
        <f t="shared" si="106"/>
        <v>0</v>
      </c>
      <c r="CA137" s="29">
        <f t="shared" si="106"/>
        <v>0</v>
      </c>
      <c r="CB137" s="29">
        <f t="shared" si="106"/>
        <v>0</v>
      </c>
      <c r="CC137" s="29">
        <f t="shared" si="106"/>
        <v>0</v>
      </c>
      <c r="CD137" s="29">
        <f t="shared" si="106"/>
        <v>0</v>
      </c>
      <c r="CE137" s="29">
        <f t="shared" si="106"/>
        <v>0</v>
      </c>
      <c r="CF137" s="29">
        <f t="shared" si="106"/>
        <v>0</v>
      </c>
      <c r="CG137" s="29">
        <f t="shared" si="106"/>
        <v>0</v>
      </c>
      <c r="CH137" s="29">
        <f t="shared" si="106"/>
        <v>0</v>
      </c>
    </row>
    <row r="138" spans="2:86" ht="13" hidden="1" outlineLevel="1">
      <c r="B138" s="84">
        <f t="shared" si="73"/>
        <v>35</v>
      </c>
      <c r="C138" s="64">
        <f t="shared" ca="1" si="71"/>
        <v>0.37906972433619557</v>
      </c>
      <c r="D138" s="15" t="s">
        <v>238</v>
      </c>
      <c r="E138" s="29">
        <f t="shared" ca="1" si="61"/>
        <v>64197636.423396841</v>
      </c>
      <c r="F138" s="29"/>
      <c r="G138" s="29">
        <f t="shared" ref="G138:CH138" ca="1" si="107">IF(G$4&lt;=$B138,ABS(G$31)*-1+G$47,0)+IF($B138=G$4,G$81,0)</f>
        <v>-1444375</v>
      </c>
      <c r="H138" s="29">
        <f t="shared" ca="1" si="107"/>
        <v>-1344375</v>
      </c>
      <c r="I138" s="29">
        <f t="shared" ca="1" si="107"/>
        <v>-1344375</v>
      </c>
      <c r="J138" s="29">
        <f t="shared" ca="1" si="107"/>
        <v>-1344375</v>
      </c>
      <c r="K138" s="29">
        <f t="shared" ca="1" si="107"/>
        <v>-1344375</v>
      </c>
      <c r="L138" s="29">
        <f t="shared" ca="1" si="107"/>
        <v>-1344375</v>
      </c>
      <c r="M138" s="29">
        <f t="shared" ca="1" si="107"/>
        <v>-1344375</v>
      </c>
      <c r="N138" s="29">
        <f t="shared" ca="1" si="107"/>
        <v>-1344375</v>
      </c>
      <c r="O138" s="29">
        <f t="shared" ca="1" si="107"/>
        <v>-1344375</v>
      </c>
      <c r="P138" s="29">
        <f t="shared" ca="1" si="107"/>
        <v>-1344375</v>
      </c>
      <c r="Q138" s="29">
        <f t="shared" ca="1" si="107"/>
        <v>-1344375</v>
      </c>
      <c r="R138" s="29">
        <f t="shared" ca="1" si="107"/>
        <v>-1344375</v>
      </c>
      <c r="S138" s="29">
        <f t="shared" ca="1" si="107"/>
        <v>-372249.99999999953</v>
      </c>
      <c r="T138" s="29">
        <f t="shared" ca="1" si="107"/>
        <v>-372249.99999999953</v>
      </c>
      <c r="U138" s="29">
        <f t="shared" ca="1" si="107"/>
        <v>-372249.99999999953</v>
      </c>
      <c r="V138" s="29">
        <f t="shared" ca="1" si="107"/>
        <v>-372249.99999999953</v>
      </c>
      <c r="W138" s="29">
        <f t="shared" ca="1" si="107"/>
        <v>3345406.2500000009</v>
      </c>
      <c r="X138" s="29">
        <f t="shared" ca="1" si="107"/>
        <v>3345406.2500000009</v>
      </c>
      <c r="Y138" s="29">
        <f t="shared" ca="1" si="107"/>
        <v>2945950.5952380951</v>
      </c>
      <c r="Z138" s="29">
        <f t="shared" ca="1" si="107"/>
        <v>2915932.1428571437</v>
      </c>
      <c r="AA138" s="29">
        <f t="shared" ca="1" si="107"/>
        <v>2951646.4285714291</v>
      </c>
      <c r="AB138" s="29">
        <f t="shared" ca="1" si="107"/>
        <v>2951646.4285714291</v>
      </c>
      <c r="AC138" s="29">
        <f t="shared" ca="1" si="107"/>
        <v>2951646.4285714291</v>
      </c>
      <c r="AD138" s="29">
        <f t="shared" ca="1" si="107"/>
        <v>2951646.4285714291</v>
      </c>
      <c r="AE138" s="29">
        <f t="shared" ca="1" si="107"/>
        <v>6611317.3809523787</v>
      </c>
      <c r="AF138" s="29">
        <f t="shared" ca="1" si="107"/>
        <v>6611317.3809523787</v>
      </c>
      <c r="AG138" s="29">
        <f t="shared" ca="1" si="107"/>
        <v>6611317.3809523787</v>
      </c>
      <c r="AH138" s="29">
        <f t="shared" ca="1" si="107"/>
        <v>6611317.3809523787</v>
      </c>
      <c r="AI138" s="29">
        <f t="shared" ca="1" si="107"/>
        <v>5745426.1904761884</v>
      </c>
      <c r="AJ138" s="29">
        <f t="shared" ca="1" si="107"/>
        <v>5745426.1904761884</v>
      </c>
      <c r="AK138" s="29">
        <f t="shared" ca="1" si="107"/>
        <v>5745426.1904761884</v>
      </c>
      <c r="AL138" s="29">
        <f t="shared" ca="1" si="107"/>
        <v>5745426.1904761884</v>
      </c>
      <c r="AM138" s="29">
        <f t="shared" ca="1" si="107"/>
        <v>3526761.904761903</v>
      </c>
      <c r="AN138" s="29">
        <f t="shared" ca="1" si="107"/>
        <v>3526761.904761903</v>
      </c>
      <c r="AO138" s="29">
        <f t="shared" ca="1" si="107"/>
        <v>1079357.3757778164</v>
      </c>
      <c r="AP138" s="29">
        <f t="shared" si="107"/>
        <v>0</v>
      </c>
      <c r="AQ138" s="29">
        <f t="shared" si="107"/>
        <v>0</v>
      </c>
      <c r="AR138" s="29">
        <f t="shared" si="107"/>
        <v>0</v>
      </c>
      <c r="AS138" s="29">
        <f t="shared" si="107"/>
        <v>0</v>
      </c>
      <c r="AT138" s="29">
        <f t="shared" si="107"/>
        <v>0</v>
      </c>
      <c r="AU138" s="29">
        <f t="shared" si="107"/>
        <v>0</v>
      </c>
      <c r="AV138" s="29">
        <f t="shared" si="107"/>
        <v>0</v>
      </c>
      <c r="AW138" s="29">
        <f t="shared" si="107"/>
        <v>0</v>
      </c>
      <c r="AX138" s="29">
        <f t="shared" si="107"/>
        <v>0</v>
      </c>
      <c r="AY138" s="29">
        <f t="shared" si="107"/>
        <v>0</v>
      </c>
      <c r="AZ138" s="29">
        <f t="shared" si="107"/>
        <v>0</v>
      </c>
      <c r="BA138" s="29">
        <f t="shared" si="107"/>
        <v>0</v>
      </c>
      <c r="BB138" s="29">
        <f t="shared" si="107"/>
        <v>0</v>
      </c>
      <c r="BC138" s="29">
        <f t="shared" si="107"/>
        <v>0</v>
      </c>
      <c r="BD138" s="29">
        <f t="shared" si="107"/>
        <v>0</v>
      </c>
      <c r="BE138" s="29">
        <f t="shared" si="107"/>
        <v>0</v>
      </c>
      <c r="BF138" s="29">
        <f t="shared" si="107"/>
        <v>0</v>
      </c>
      <c r="BG138" s="29">
        <f t="shared" si="107"/>
        <v>0</v>
      </c>
      <c r="BH138" s="29">
        <f t="shared" si="107"/>
        <v>0</v>
      </c>
      <c r="BI138" s="29">
        <f t="shared" si="107"/>
        <v>0</v>
      </c>
      <c r="BJ138" s="29">
        <f t="shared" si="107"/>
        <v>0</v>
      </c>
      <c r="BK138" s="29">
        <f t="shared" si="107"/>
        <v>0</v>
      </c>
      <c r="BL138" s="29">
        <f t="shared" si="107"/>
        <v>0</v>
      </c>
      <c r="BM138" s="29">
        <f t="shared" si="107"/>
        <v>0</v>
      </c>
      <c r="BN138" s="29">
        <f t="shared" si="107"/>
        <v>0</v>
      </c>
      <c r="BO138" s="29">
        <f t="shared" si="107"/>
        <v>0</v>
      </c>
      <c r="BP138" s="29">
        <f t="shared" si="107"/>
        <v>0</v>
      </c>
      <c r="BQ138" s="29">
        <f t="shared" si="107"/>
        <v>0</v>
      </c>
      <c r="BR138" s="29">
        <f t="shared" si="107"/>
        <v>0</v>
      </c>
      <c r="BS138" s="29">
        <f t="shared" si="107"/>
        <v>0</v>
      </c>
      <c r="BT138" s="29">
        <f t="shared" si="107"/>
        <v>0</v>
      </c>
      <c r="BU138" s="29">
        <f t="shared" si="107"/>
        <v>0</v>
      </c>
      <c r="BV138" s="29">
        <f t="shared" si="107"/>
        <v>0</v>
      </c>
      <c r="BW138" s="29">
        <f t="shared" si="107"/>
        <v>0</v>
      </c>
      <c r="BX138" s="29">
        <f t="shared" si="107"/>
        <v>0</v>
      </c>
      <c r="BY138" s="29">
        <f t="shared" si="107"/>
        <v>0</v>
      </c>
      <c r="BZ138" s="29">
        <f t="shared" si="107"/>
        <v>0</v>
      </c>
      <c r="CA138" s="29">
        <f t="shared" si="107"/>
        <v>0</v>
      </c>
      <c r="CB138" s="29">
        <f t="shared" si="107"/>
        <v>0</v>
      </c>
      <c r="CC138" s="29">
        <f t="shared" si="107"/>
        <v>0</v>
      </c>
      <c r="CD138" s="29">
        <f t="shared" si="107"/>
        <v>0</v>
      </c>
      <c r="CE138" s="29">
        <f t="shared" si="107"/>
        <v>0</v>
      </c>
      <c r="CF138" s="29">
        <f t="shared" si="107"/>
        <v>0</v>
      </c>
      <c r="CG138" s="29">
        <f t="shared" si="107"/>
        <v>0</v>
      </c>
      <c r="CH138" s="29">
        <f t="shared" si="107"/>
        <v>0</v>
      </c>
    </row>
    <row r="139" spans="2:86" ht="13" hidden="1" outlineLevel="1">
      <c r="B139" s="84">
        <f t="shared" si="73"/>
        <v>36</v>
      </c>
      <c r="C139" s="64">
        <f t="shared" ca="1" si="71"/>
        <v>0.38413724796527338</v>
      </c>
      <c r="D139" s="15" t="s">
        <v>238</v>
      </c>
      <c r="E139" s="29">
        <f t="shared" ca="1" si="61"/>
        <v>67297173.113416672</v>
      </c>
      <c r="F139" s="29"/>
      <c r="G139" s="29">
        <f t="shared" ref="G139:CH139" ca="1" si="108">IF(G$4&lt;=$B139,ABS(G$31)*-1+G$47,0)+IF($B139=G$4,G$81,0)</f>
        <v>-1444375</v>
      </c>
      <c r="H139" s="29">
        <f t="shared" ca="1" si="108"/>
        <v>-1344375</v>
      </c>
      <c r="I139" s="29">
        <f t="shared" ca="1" si="108"/>
        <v>-1344375</v>
      </c>
      <c r="J139" s="29">
        <f t="shared" ca="1" si="108"/>
        <v>-1344375</v>
      </c>
      <c r="K139" s="29">
        <f t="shared" ca="1" si="108"/>
        <v>-1344375</v>
      </c>
      <c r="L139" s="29">
        <f t="shared" ca="1" si="108"/>
        <v>-1344375</v>
      </c>
      <c r="M139" s="29">
        <f t="shared" ca="1" si="108"/>
        <v>-1344375</v>
      </c>
      <c r="N139" s="29">
        <f t="shared" ca="1" si="108"/>
        <v>-1344375</v>
      </c>
      <c r="O139" s="29">
        <f t="shared" ca="1" si="108"/>
        <v>-1344375</v>
      </c>
      <c r="P139" s="29">
        <f t="shared" ca="1" si="108"/>
        <v>-1344375</v>
      </c>
      <c r="Q139" s="29">
        <f t="shared" ca="1" si="108"/>
        <v>-1344375</v>
      </c>
      <c r="R139" s="29">
        <f t="shared" ca="1" si="108"/>
        <v>-1344375</v>
      </c>
      <c r="S139" s="29">
        <f t="shared" ca="1" si="108"/>
        <v>-372249.99999999953</v>
      </c>
      <c r="T139" s="29">
        <f t="shared" ca="1" si="108"/>
        <v>-372249.99999999953</v>
      </c>
      <c r="U139" s="29">
        <f t="shared" ca="1" si="108"/>
        <v>-372249.99999999953</v>
      </c>
      <c r="V139" s="29">
        <f t="shared" ca="1" si="108"/>
        <v>-372249.99999999953</v>
      </c>
      <c r="W139" s="29">
        <f t="shared" ca="1" si="108"/>
        <v>3345406.2500000009</v>
      </c>
      <c r="X139" s="29">
        <f t="shared" ca="1" si="108"/>
        <v>3345406.2500000009</v>
      </c>
      <c r="Y139" s="29">
        <f t="shared" ca="1" si="108"/>
        <v>2945950.5952380951</v>
      </c>
      <c r="Z139" s="29">
        <f t="shared" ca="1" si="108"/>
        <v>2915932.1428571437</v>
      </c>
      <c r="AA139" s="29">
        <f t="shared" ca="1" si="108"/>
        <v>2951646.4285714291</v>
      </c>
      <c r="AB139" s="29">
        <f t="shared" ca="1" si="108"/>
        <v>2951646.4285714291</v>
      </c>
      <c r="AC139" s="29">
        <f t="shared" ca="1" si="108"/>
        <v>2951646.4285714291</v>
      </c>
      <c r="AD139" s="29">
        <f t="shared" ca="1" si="108"/>
        <v>2951646.4285714291</v>
      </c>
      <c r="AE139" s="29">
        <f t="shared" ca="1" si="108"/>
        <v>6611317.3809523787</v>
      </c>
      <c r="AF139" s="29">
        <f t="shared" ca="1" si="108"/>
        <v>6611317.3809523787</v>
      </c>
      <c r="AG139" s="29">
        <f t="shared" ca="1" si="108"/>
        <v>6611317.3809523787</v>
      </c>
      <c r="AH139" s="29">
        <f t="shared" ca="1" si="108"/>
        <v>6611317.3809523787</v>
      </c>
      <c r="AI139" s="29">
        <f t="shared" ca="1" si="108"/>
        <v>5745426.1904761884</v>
      </c>
      <c r="AJ139" s="29">
        <f t="shared" ca="1" si="108"/>
        <v>5745426.1904761884</v>
      </c>
      <c r="AK139" s="29">
        <f t="shared" ca="1" si="108"/>
        <v>5745426.1904761884</v>
      </c>
      <c r="AL139" s="29">
        <f t="shared" ca="1" si="108"/>
        <v>5745426.1904761884</v>
      </c>
      <c r="AM139" s="29">
        <f t="shared" ca="1" si="108"/>
        <v>3526761.904761903</v>
      </c>
      <c r="AN139" s="29">
        <f t="shared" ca="1" si="108"/>
        <v>3526761.904761903</v>
      </c>
      <c r="AO139" s="29">
        <f t="shared" ca="1" si="108"/>
        <v>3526761.904761903</v>
      </c>
      <c r="AP139" s="29">
        <f t="shared" ca="1" si="108"/>
        <v>652132.1610357496</v>
      </c>
      <c r="AQ139" s="29">
        <f t="shared" si="108"/>
        <v>0</v>
      </c>
      <c r="AR139" s="29">
        <f t="shared" si="108"/>
        <v>0</v>
      </c>
      <c r="AS139" s="29">
        <f t="shared" si="108"/>
        <v>0</v>
      </c>
      <c r="AT139" s="29">
        <f t="shared" si="108"/>
        <v>0</v>
      </c>
      <c r="AU139" s="29">
        <f t="shared" si="108"/>
        <v>0</v>
      </c>
      <c r="AV139" s="29">
        <f t="shared" si="108"/>
        <v>0</v>
      </c>
      <c r="AW139" s="29">
        <f t="shared" si="108"/>
        <v>0</v>
      </c>
      <c r="AX139" s="29">
        <f t="shared" si="108"/>
        <v>0</v>
      </c>
      <c r="AY139" s="29">
        <f t="shared" si="108"/>
        <v>0</v>
      </c>
      <c r="AZ139" s="29">
        <f t="shared" si="108"/>
        <v>0</v>
      </c>
      <c r="BA139" s="29">
        <f t="shared" si="108"/>
        <v>0</v>
      </c>
      <c r="BB139" s="29">
        <f t="shared" si="108"/>
        <v>0</v>
      </c>
      <c r="BC139" s="29">
        <f t="shared" si="108"/>
        <v>0</v>
      </c>
      <c r="BD139" s="29">
        <f t="shared" si="108"/>
        <v>0</v>
      </c>
      <c r="BE139" s="29">
        <f t="shared" si="108"/>
        <v>0</v>
      </c>
      <c r="BF139" s="29">
        <f t="shared" si="108"/>
        <v>0</v>
      </c>
      <c r="BG139" s="29">
        <f t="shared" si="108"/>
        <v>0</v>
      </c>
      <c r="BH139" s="29">
        <f t="shared" si="108"/>
        <v>0</v>
      </c>
      <c r="BI139" s="29">
        <f t="shared" si="108"/>
        <v>0</v>
      </c>
      <c r="BJ139" s="29">
        <f t="shared" si="108"/>
        <v>0</v>
      </c>
      <c r="BK139" s="29">
        <f t="shared" si="108"/>
        <v>0</v>
      </c>
      <c r="BL139" s="29">
        <f t="shared" si="108"/>
        <v>0</v>
      </c>
      <c r="BM139" s="29">
        <f t="shared" si="108"/>
        <v>0</v>
      </c>
      <c r="BN139" s="29">
        <f t="shared" si="108"/>
        <v>0</v>
      </c>
      <c r="BO139" s="29">
        <f t="shared" si="108"/>
        <v>0</v>
      </c>
      <c r="BP139" s="29">
        <f t="shared" si="108"/>
        <v>0</v>
      </c>
      <c r="BQ139" s="29">
        <f t="shared" si="108"/>
        <v>0</v>
      </c>
      <c r="BR139" s="29">
        <f t="shared" si="108"/>
        <v>0</v>
      </c>
      <c r="BS139" s="29">
        <f t="shared" si="108"/>
        <v>0</v>
      </c>
      <c r="BT139" s="29">
        <f t="shared" si="108"/>
        <v>0</v>
      </c>
      <c r="BU139" s="29">
        <f t="shared" si="108"/>
        <v>0</v>
      </c>
      <c r="BV139" s="29">
        <f t="shared" si="108"/>
        <v>0</v>
      </c>
      <c r="BW139" s="29">
        <f t="shared" si="108"/>
        <v>0</v>
      </c>
      <c r="BX139" s="29">
        <f t="shared" si="108"/>
        <v>0</v>
      </c>
      <c r="BY139" s="29">
        <f t="shared" si="108"/>
        <v>0</v>
      </c>
      <c r="BZ139" s="29">
        <f t="shared" si="108"/>
        <v>0</v>
      </c>
      <c r="CA139" s="29">
        <f t="shared" si="108"/>
        <v>0</v>
      </c>
      <c r="CB139" s="29">
        <f t="shared" si="108"/>
        <v>0</v>
      </c>
      <c r="CC139" s="29">
        <f t="shared" si="108"/>
        <v>0</v>
      </c>
      <c r="CD139" s="29">
        <f t="shared" si="108"/>
        <v>0</v>
      </c>
      <c r="CE139" s="29">
        <f t="shared" si="108"/>
        <v>0</v>
      </c>
      <c r="CF139" s="29">
        <f t="shared" si="108"/>
        <v>0</v>
      </c>
      <c r="CG139" s="29">
        <f t="shared" si="108"/>
        <v>0</v>
      </c>
      <c r="CH139" s="29">
        <f t="shared" si="108"/>
        <v>0</v>
      </c>
    </row>
    <row r="140" spans="2:86" ht="13" hidden="1" outlineLevel="1">
      <c r="B140" s="84">
        <f t="shared" si="73"/>
        <v>37</v>
      </c>
      <c r="C140" s="64">
        <f t="shared" ca="1" si="71"/>
        <v>0.38954837620774918</v>
      </c>
      <c r="D140" s="15" t="s">
        <v>238</v>
      </c>
      <c r="E140" s="29">
        <f t="shared" ca="1" si="61"/>
        <v>71017100.926405981</v>
      </c>
      <c r="F140" s="29"/>
      <c r="G140" s="29">
        <f t="shared" ref="G140:CH140" ca="1" si="109">IF(G$4&lt;=$B140,ABS(G$31)*-1+G$47,0)+IF($B140=G$4,G$81,0)</f>
        <v>-1444375</v>
      </c>
      <c r="H140" s="29">
        <f t="shared" ca="1" si="109"/>
        <v>-1344375</v>
      </c>
      <c r="I140" s="29">
        <f t="shared" ca="1" si="109"/>
        <v>-1344375</v>
      </c>
      <c r="J140" s="29">
        <f t="shared" ca="1" si="109"/>
        <v>-1344375</v>
      </c>
      <c r="K140" s="29">
        <f t="shared" ca="1" si="109"/>
        <v>-1344375</v>
      </c>
      <c r="L140" s="29">
        <f t="shared" ca="1" si="109"/>
        <v>-1344375</v>
      </c>
      <c r="M140" s="29">
        <f t="shared" ca="1" si="109"/>
        <v>-1344375</v>
      </c>
      <c r="N140" s="29">
        <f t="shared" ca="1" si="109"/>
        <v>-1344375</v>
      </c>
      <c r="O140" s="29">
        <f t="shared" ca="1" si="109"/>
        <v>-1344375</v>
      </c>
      <c r="P140" s="29">
        <f t="shared" ca="1" si="109"/>
        <v>-1344375</v>
      </c>
      <c r="Q140" s="29">
        <f t="shared" ca="1" si="109"/>
        <v>-1344375</v>
      </c>
      <c r="R140" s="29">
        <f t="shared" ca="1" si="109"/>
        <v>-1344375</v>
      </c>
      <c r="S140" s="29">
        <f t="shared" ca="1" si="109"/>
        <v>-372249.99999999953</v>
      </c>
      <c r="T140" s="29">
        <f t="shared" ca="1" si="109"/>
        <v>-372249.99999999953</v>
      </c>
      <c r="U140" s="29">
        <f t="shared" ca="1" si="109"/>
        <v>-372249.99999999953</v>
      </c>
      <c r="V140" s="29">
        <f t="shared" ca="1" si="109"/>
        <v>-372249.99999999953</v>
      </c>
      <c r="W140" s="29">
        <f t="shared" ca="1" si="109"/>
        <v>3345406.2500000009</v>
      </c>
      <c r="X140" s="29">
        <f t="shared" ca="1" si="109"/>
        <v>3345406.2500000009</v>
      </c>
      <c r="Y140" s="29">
        <f t="shared" ca="1" si="109"/>
        <v>2945950.5952380951</v>
      </c>
      <c r="Z140" s="29">
        <f t="shared" ca="1" si="109"/>
        <v>2915932.1428571437</v>
      </c>
      <c r="AA140" s="29">
        <f t="shared" ca="1" si="109"/>
        <v>2951646.4285714291</v>
      </c>
      <c r="AB140" s="29">
        <f t="shared" ca="1" si="109"/>
        <v>2951646.4285714291</v>
      </c>
      <c r="AC140" s="29">
        <f t="shared" ca="1" si="109"/>
        <v>2951646.4285714291</v>
      </c>
      <c r="AD140" s="29">
        <f t="shared" ca="1" si="109"/>
        <v>2951646.4285714291</v>
      </c>
      <c r="AE140" s="29">
        <f t="shared" ca="1" si="109"/>
        <v>6611317.3809523787</v>
      </c>
      <c r="AF140" s="29">
        <f t="shared" ca="1" si="109"/>
        <v>6611317.3809523787</v>
      </c>
      <c r="AG140" s="29">
        <f t="shared" ca="1" si="109"/>
        <v>6611317.3809523787</v>
      </c>
      <c r="AH140" s="29">
        <f t="shared" ca="1" si="109"/>
        <v>6611317.3809523787</v>
      </c>
      <c r="AI140" s="29">
        <f t="shared" ca="1" si="109"/>
        <v>5745426.1904761884</v>
      </c>
      <c r="AJ140" s="29">
        <f t="shared" ca="1" si="109"/>
        <v>5745426.1904761884</v>
      </c>
      <c r="AK140" s="29">
        <f t="shared" ca="1" si="109"/>
        <v>5745426.1904761884</v>
      </c>
      <c r="AL140" s="29">
        <f t="shared" ca="1" si="109"/>
        <v>5745426.1904761884</v>
      </c>
      <c r="AM140" s="29">
        <f t="shared" ca="1" si="109"/>
        <v>3526761.904761903</v>
      </c>
      <c r="AN140" s="29">
        <f t="shared" ca="1" si="109"/>
        <v>3526761.904761903</v>
      </c>
      <c r="AO140" s="29">
        <f t="shared" ca="1" si="109"/>
        <v>3526761.904761903</v>
      </c>
      <c r="AP140" s="29">
        <f t="shared" ca="1" si="109"/>
        <v>3526761.904761903</v>
      </c>
      <c r="AQ140" s="29">
        <f t="shared" ca="1" si="109"/>
        <v>845298.06926314114</v>
      </c>
      <c r="AR140" s="29">
        <f t="shared" si="109"/>
        <v>0</v>
      </c>
      <c r="AS140" s="29">
        <f t="shared" si="109"/>
        <v>0</v>
      </c>
      <c r="AT140" s="29">
        <f t="shared" si="109"/>
        <v>0</v>
      </c>
      <c r="AU140" s="29">
        <f t="shared" si="109"/>
        <v>0</v>
      </c>
      <c r="AV140" s="29">
        <f t="shared" si="109"/>
        <v>0</v>
      </c>
      <c r="AW140" s="29">
        <f t="shared" si="109"/>
        <v>0</v>
      </c>
      <c r="AX140" s="29">
        <f t="shared" si="109"/>
        <v>0</v>
      </c>
      <c r="AY140" s="29">
        <f t="shared" si="109"/>
        <v>0</v>
      </c>
      <c r="AZ140" s="29">
        <f t="shared" si="109"/>
        <v>0</v>
      </c>
      <c r="BA140" s="29">
        <f t="shared" si="109"/>
        <v>0</v>
      </c>
      <c r="BB140" s="29">
        <f t="shared" si="109"/>
        <v>0</v>
      </c>
      <c r="BC140" s="29">
        <f t="shared" si="109"/>
        <v>0</v>
      </c>
      <c r="BD140" s="29">
        <f t="shared" si="109"/>
        <v>0</v>
      </c>
      <c r="BE140" s="29">
        <f t="shared" si="109"/>
        <v>0</v>
      </c>
      <c r="BF140" s="29">
        <f t="shared" si="109"/>
        <v>0</v>
      </c>
      <c r="BG140" s="29">
        <f t="shared" si="109"/>
        <v>0</v>
      </c>
      <c r="BH140" s="29">
        <f t="shared" si="109"/>
        <v>0</v>
      </c>
      <c r="BI140" s="29">
        <f t="shared" si="109"/>
        <v>0</v>
      </c>
      <c r="BJ140" s="29">
        <f t="shared" si="109"/>
        <v>0</v>
      </c>
      <c r="BK140" s="29">
        <f t="shared" si="109"/>
        <v>0</v>
      </c>
      <c r="BL140" s="29">
        <f t="shared" si="109"/>
        <v>0</v>
      </c>
      <c r="BM140" s="29">
        <f t="shared" si="109"/>
        <v>0</v>
      </c>
      <c r="BN140" s="29">
        <f t="shared" si="109"/>
        <v>0</v>
      </c>
      <c r="BO140" s="29">
        <f t="shared" si="109"/>
        <v>0</v>
      </c>
      <c r="BP140" s="29">
        <f t="shared" si="109"/>
        <v>0</v>
      </c>
      <c r="BQ140" s="29">
        <f t="shared" si="109"/>
        <v>0</v>
      </c>
      <c r="BR140" s="29">
        <f t="shared" si="109"/>
        <v>0</v>
      </c>
      <c r="BS140" s="29">
        <f t="shared" si="109"/>
        <v>0</v>
      </c>
      <c r="BT140" s="29">
        <f t="shared" si="109"/>
        <v>0</v>
      </c>
      <c r="BU140" s="29">
        <f t="shared" si="109"/>
        <v>0</v>
      </c>
      <c r="BV140" s="29">
        <f t="shared" si="109"/>
        <v>0</v>
      </c>
      <c r="BW140" s="29">
        <f t="shared" si="109"/>
        <v>0</v>
      </c>
      <c r="BX140" s="29">
        <f t="shared" si="109"/>
        <v>0</v>
      </c>
      <c r="BY140" s="29">
        <f t="shared" si="109"/>
        <v>0</v>
      </c>
      <c r="BZ140" s="29">
        <f t="shared" si="109"/>
        <v>0</v>
      </c>
      <c r="CA140" s="29">
        <f t="shared" si="109"/>
        <v>0</v>
      </c>
      <c r="CB140" s="29">
        <f t="shared" si="109"/>
        <v>0</v>
      </c>
      <c r="CC140" s="29">
        <f t="shared" si="109"/>
        <v>0</v>
      </c>
      <c r="CD140" s="29">
        <f t="shared" si="109"/>
        <v>0</v>
      </c>
      <c r="CE140" s="29">
        <f t="shared" si="109"/>
        <v>0</v>
      </c>
      <c r="CF140" s="29">
        <f t="shared" si="109"/>
        <v>0</v>
      </c>
      <c r="CG140" s="29">
        <f t="shared" si="109"/>
        <v>0</v>
      </c>
      <c r="CH140" s="29">
        <f t="shared" si="109"/>
        <v>0</v>
      </c>
    </row>
    <row r="141" spans="2:86" ht="13" hidden="1" outlineLevel="1">
      <c r="B141" s="84">
        <f t="shared" si="73"/>
        <v>38</v>
      </c>
      <c r="C141" s="64">
        <f t="shared" ca="1" si="71"/>
        <v>0.3943992303423367</v>
      </c>
      <c r="D141" s="15" t="s">
        <v>238</v>
      </c>
      <c r="E141" s="29">
        <f t="shared" ca="1" si="61"/>
        <v>74721603.064376101</v>
      </c>
      <c r="F141" s="29"/>
      <c r="G141" s="29">
        <f t="shared" ref="G141:CH141" ca="1" si="110">IF(G$4&lt;=$B141,ABS(G$31)*-1+G$47,0)+IF($B141=G$4,G$81,0)</f>
        <v>-1444375</v>
      </c>
      <c r="H141" s="29">
        <f t="shared" ca="1" si="110"/>
        <v>-1344375</v>
      </c>
      <c r="I141" s="29">
        <f t="shared" ca="1" si="110"/>
        <v>-1344375</v>
      </c>
      <c r="J141" s="29">
        <f t="shared" ca="1" si="110"/>
        <v>-1344375</v>
      </c>
      <c r="K141" s="29">
        <f t="shared" ca="1" si="110"/>
        <v>-1344375</v>
      </c>
      <c r="L141" s="29">
        <f t="shared" ca="1" si="110"/>
        <v>-1344375</v>
      </c>
      <c r="M141" s="29">
        <f t="shared" ca="1" si="110"/>
        <v>-1344375</v>
      </c>
      <c r="N141" s="29">
        <f t="shared" ca="1" si="110"/>
        <v>-1344375</v>
      </c>
      <c r="O141" s="29">
        <f t="shared" ca="1" si="110"/>
        <v>-1344375</v>
      </c>
      <c r="P141" s="29">
        <f t="shared" ca="1" si="110"/>
        <v>-1344375</v>
      </c>
      <c r="Q141" s="29">
        <f t="shared" ca="1" si="110"/>
        <v>-1344375</v>
      </c>
      <c r="R141" s="29">
        <f t="shared" ca="1" si="110"/>
        <v>-1344375</v>
      </c>
      <c r="S141" s="29">
        <f t="shared" ca="1" si="110"/>
        <v>-372249.99999999953</v>
      </c>
      <c r="T141" s="29">
        <f t="shared" ca="1" si="110"/>
        <v>-372249.99999999953</v>
      </c>
      <c r="U141" s="29">
        <f t="shared" ca="1" si="110"/>
        <v>-372249.99999999953</v>
      </c>
      <c r="V141" s="29">
        <f t="shared" ca="1" si="110"/>
        <v>-372249.99999999953</v>
      </c>
      <c r="W141" s="29">
        <f t="shared" ca="1" si="110"/>
        <v>3345406.2500000009</v>
      </c>
      <c r="X141" s="29">
        <f t="shared" ca="1" si="110"/>
        <v>3345406.2500000009</v>
      </c>
      <c r="Y141" s="29">
        <f t="shared" ca="1" si="110"/>
        <v>2945950.5952380951</v>
      </c>
      <c r="Z141" s="29">
        <f t="shared" ca="1" si="110"/>
        <v>2915932.1428571437</v>
      </c>
      <c r="AA141" s="29">
        <f t="shared" ca="1" si="110"/>
        <v>2951646.4285714291</v>
      </c>
      <c r="AB141" s="29">
        <f t="shared" ca="1" si="110"/>
        <v>2951646.4285714291</v>
      </c>
      <c r="AC141" s="29">
        <f t="shared" ca="1" si="110"/>
        <v>2951646.4285714291</v>
      </c>
      <c r="AD141" s="29">
        <f t="shared" ca="1" si="110"/>
        <v>2951646.4285714291</v>
      </c>
      <c r="AE141" s="29">
        <f t="shared" ca="1" si="110"/>
        <v>6611317.3809523787</v>
      </c>
      <c r="AF141" s="29">
        <f t="shared" ca="1" si="110"/>
        <v>6611317.3809523787</v>
      </c>
      <c r="AG141" s="29">
        <f t="shared" ca="1" si="110"/>
        <v>6611317.3809523787</v>
      </c>
      <c r="AH141" s="29">
        <f t="shared" ca="1" si="110"/>
        <v>6611317.3809523787</v>
      </c>
      <c r="AI141" s="29">
        <f t="shared" ca="1" si="110"/>
        <v>5745426.1904761884</v>
      </c>
      <c r="AJ141" s="29">
        <f t="shared" ca="1" si="110"/>
        <v>5745426.1904761884</v>
      </c>
      <c r="AK141" s="29">
        <f t="shared" ca="1" si="110"/>
        <v>5745426.1904761884</v>
      </c>
      <c r="AL141" s="29">
        <f t="shared" ca="1" si="110"/>
        <v>5745426.1904761884</v>
      </c>
      <c r="AM141" s="29">
        <f t="shared" ca="1" si="110"/>
        <v>3526761.904761903</v>
      </c>
      <c r="AN141" s="29">
        <f t="shared" ca="1" si="110"/>
        <v>3526761.904761903</v>
      </c>
      <c r="AO141" s="29">
        <f t="shared" ca="1" si="110"/>
        <v>3526761.904761903</v>
      </c>
      <c r="AP141" s="29">
        <f t="shared" ca="1" si="110"/>
        <v>3526761.904761903</v>
      </c>
      <c r="AQ141" s="29">
        <f t="shared" ca="1" si="110"/>
        <v>4260364.2857142845</v>
      </c>
      <c r="AR141" s="29">
        <f t="shared" ca="1" si="110"/>
        <v>289435.92151897913</v>
      </c>
      <c r="AS141" s="29">
        <f t="shared" si="110"/>
        <v>0</v>
      </c>
      <c r="AT141" s="29">
        <f t="shared" si="110"/>
        <v>0</v>
      </c>
      <c r="AU141" s="29">
        <f t="shared" si="110"/>
        <v>0</v>
      </c>
      <c r="AV141" s="29">
        <f t="shared" si="110"/>
        <v>0</v>
      </c>
      <c r="AW141" s="29">
        <f t="shared" si="110"/>
        <v>0</v>
      </c>
      <c r="AX141" s="29">
        <f t="shared" si="110"/>
        <v>0</v>
      </c>
      <c r="AY141" s="29">
        <f t="shared" si="110"/>
        <v>0</v>
      </c>
      <c r="AZ141" s="29">
        <f t="shared" si="110"/>
        <v>0</v>
      </c>
      <c r="BA141" s="29">
        <f t="shared" si="110"/>
        <v>0</v>
      </c>
      <c r="BB141" s="29">
        <f t="shared" si="110"/>
        <v>0</v>
      </c>
      <c r="BC141" s="29">
        <f t="shared" si="110"/>
        <v>0</v>
      </c>
      <c r="BD141" s="29">
        <f t="shared" si="110"/>
        <v>0</v>
      </c>
      <c r="BE141" s="29">
        <f t="shared" si="110"/>
        <v>0</v>
      </c>
      <c r="BF141" s="29">
        <f t="shared" si="110"/>
        <v>0</v>
      </c>
      <c r="BG141" s="29">
        <f t="shared" si="110"/>
        <v>0</v>
      </c>
      <c r="BH141" s="29">
        <f t="shared" si="110"/>
        <v>0</v>
      </c>
      <c r="BI141" s="29">
        <f t="shared" si="110"/>
        <v>0</v>
      </c>
      <c r="BJ141" s="29">
        <f t="shared" si="110"/>
        <v>0</v>
      </c>
      <c r="BK141" s="29">
        <f t="shared" si="110"/>
        <v>0</v>
      </c>
      <c r="BL141" s="29">
        <f t="shared" si="110"/>
        <v>0</v>
      </c>
      <c r="BM141" s="29">
        <f t="shared" si="110"/>
        <v>0</v>
      </c>
      <c r="BN141" s="29">
        <f t="shared" si="110"/>
        <v>0</v>
      </c>
      <c r="BO141" s="29">
        <f t="shared" si="110"/>
        <v>0</v>
      </c>
      <c r="BP141" s="29">
        <f t="shared" si="110"/>
        <v>0</v>
      </c>
      <c r="BQ141" s="29">
        <f t="shared" si="110"/>
        <v>0</v>
      </c>
      <c r="BR141" s="29">
        <f t="shared" si="110"/>
        <v>0</v>
      </c>
      <c r="BS141" s="29">
        <f t="shared" si="110"/>
        <v>0</v>
      </c>
      <c r="BT141" s="29">
        <f t="shared" si="110"/>
        <v>0</v>
      </c>
      <c r="BU141" s="29">
        <f t="shared" si="110"/>
        <v>0</v>
      </c>
      <c r="BV141" s="29">
        <f t="shared" si="110"/>
        <v>0</v>
      </c>
      <c r="BW141" s="29">
        <f t="shared" si="110"/>
        <v>0</v>
      </c>
      <c r="BX141" s="29">
        <f t="shared" si="110"/>
        <v>0</v>
      </c>
      <c r="BY141" s="29">
        <f t="shared" si="110"/>
        <v>0</v>
      </c>
      <c r="BZ141" s="29">
        <f t="shared" si="110"/>
        <v>0</v>
      </c>
      <c r="CA141" s="29">
        <f t="shared" si="110"/>
        <v>0</v>
      </c>
      <c r="CB141" s="29">
        <f t="shared" si="110"/>
        <v>0</v>
      </c>
      <c r="CC141" s="29">
        <f t="shared" si="110"/>
        <v>0</v>
      </c>
      <c r="CD141" s="29">
        <f t="shared" si="110"/>
        <v>0</v>
      </c>
      <c r="CE141" s="29">
        <f t="shared" si="110"/>
        <v>0</v>
      </c>
      <c r="CF141" s="29">
        <f t="shared" si="110"/>
        <v>0</v>
      </c>
      <c r="CG141" s="29">
        <f t="shared" si="110"/>
        <v>0</v>
      </c>
      <c r="CH141" s="29">
        <f t="shared" si="110"/>
        <v>0</v>
      </c>
    </row>
    <row r="142" spans="2:86" ht="13" hidden="1" outlineLevel="1">
      <c r="B142" s="84">
        <f t="shared" si="73"/>
        <v>39</v>
      </c>
      <c r="C142" s="64">
        <f t="shared" ca="1" si="71"/>
        <v>0.39875652810689255</v>
      </c>
      <c r="D142" s="15" t="s">
        <v>238</v>
      </c>
      <c r="E142" s="29">
        <f t="shared" ca="1" si="61"/>
        <v>78410679.527327046</v>
      </c>
      <c r="F142" s="29"/>
      <c r="G142" s="29">
        <f t="shared" ref="G142:CH142" ca="1" si="111">IF(G$4&lt;=$B142,ABS(G$31)*-1+G$47,0)+IF($B142=G$4,G$81,0)</f>
        <v>-1444375</v>
      </c>
      <c r="H142" s="29">
        <f t="shared" ca="1" si="111"/>
        <v>-1344375</v>
      </c>
      <c r="I142" s="29">
        <f t="shared" ca="1" si="111"/>
        <v>-1344375</v>
      </c>
      <c r="J142" s="29">
        <f t="shared" ca="1" si="111"/>
        <v>-1344375</v>
      </c>
      <c r="K142" s="29">
        <f t="shared" ca="1" si="111"/>
        <v>-1344375</v>
      </c>
      <c r="L142" s="29">
        <f t="shared" ca="1" si="111"/>
        <v>-1344375</v>
      </c>
      <c r="M142" s="29">
        <f t="shared" ca="1" si="111"/>
        <v>-1344375</v>
      </c>
      <c r="N142" s="29">
        <f t="shared" ca="1" si="111"/>
        <v>-1344375</v>
      </c>
      <c r="O142" s="29">
        <f t="shared" ca="1" si="111"/>
        <v>-1344375</v>
      </c>
      <c r="P142" s="29">
        <f t="shared" ca="1" si="111"/>
        <v>-1344375</v>
      </c>
      <c r="Q142" s="29">
        <f t="shared" ca="1" si="111"/>
        <v>-1344375</v>
      </c>
      <c r="R142" s="29">
        <f t="shared" ca="1" si="111"/>
        <v>-1344375</v>
      </c>
      <c r="S142" s="29">
        <f t="shared" ca="1" si="111"/>
        <v>-372249.99999999953</v>
      </c>
      <c r="T142" s="29">
        <f t="shared" ca="1" si="111"/>
        <v>-372249.99999999953</v>
      </c>
      <c r="U142" s="29">
        <f t="shared" ca="1" si="111"/>
        <v>-372249.99999999953</v>
      </c>
      <c r="V142" s="29">
        <f t="shared" ca="1" si="111"/>
        <v>-372249.99999999953</v>
      </c>
      <c r="W142" s="29">
        <f t="shared" ca="1" si="111"/>
        <v>3345406.2500000009</v>
      </c>
      <c r="X142" s="29">
        <f t="shared" ca="1" si="111"/>
        <v>3345406.2500000009</v>
      </c>
      <c r="Y142" s="29">
        <f t="shared" ca="1" si="111"/>
        <v>2945950.5952380951</v>
      </c>
      <c r="Z142" s="29">
        <f t="shared" ca="1" si="111"/>
        <v>2915932.1428571437</v>
      </c>
      <c r="AA142" s="29">
        <f t="shared" ca="1" si="111"/>
        <v>2951646.4285714291</v>
      </c>
      <c r="AB142" s="29">
        <f t="shared" ca="1" si="111"/>
        <v>2951646.4285714291</v>
      </c>
      <c r="AC142" s="29">
        <f t="shared" ca="1" si="111"/>
        <v>2951646.4285714291</v>
      </c>
      <c r="AD142" s="29">
        <f t="shared" ca="1" si="111"/>
        <v>2951646.4285714291</v>
      </c>
      <c r="AE142" s="29">
        <f t="shared" ca="1" si="111"/>
        <v>6611317.3809523787</v>
      </c>
      <c r="AF142" s="29">
        <f t="shared" ca="1" si="111"/>
        <v>6611317.3809523787</v>
      </c>
      <c r="AG142" s="29">
        <f t="shared" ca="1" si="111"/>
        <v>6611317.3809523787</v>
      </c>
      <c r="AH142" s="29">
        <f t="shared" ca="1" si="111"/>
        <v>6611317.3809523787</v>
      </c>
      <c r="AI142" s="29">
        <f t="shared" ca="1" si="111"/>
        <v>5745426.1904761884</v>
      </c>
      <c r="AJ142" s="29">
        <f t="shared" ca="1" si="111"/>
        <v>5745426.1904761884</v>
      </c>
      <c r="AK142" s="29">
        <f t="shared" ca="1" si="111"/>
        <v>5745426.1904761884</v>
      </c>
      <c r="AL142" s="29">
        <f t="shared" ca="1" si="111"/>
        <v>5745426.1904761884</v>
      </c>
      <c r="AM142" s="29">
        <f t="shared" ca="1" si="111"/>
        <v>3526761.904761903</v>
      </c>
      <c r="AN142" s="29">
        <f t="shared" ca="1" si="111"/>
        <v>3526761.904761903</v>
      </c>
      <c r="AO142" s="29">
        <f t="shared" ca="1" si="111"/>
        <v>3526761.904761903</v>
      </c>
      <c r="AP142" s="29">
        <f t="shared" ca="1" si="111"/>
        <v>3526761.904761903</v>
      </c>
      <c r="AQ142" s="29">
        <f t="shared" ca="1" si="111"/>
        <v>4260364.2857142845</v>
      </c>
      <c r="AR142" s="29">
        <f t="shared" ca="1" si="111"/>
        <v>4260364.2857142845</v>
      </c>
      <c r="AS142" s="29">
        <f t="shared" ca="1" si="111"/>
        <v>-281851.90124435537</v>
      </c>
      <c r="AT142" s="29">
        <f t="shared" si="111"/>
        <v>0</v>
      </c>
      <c r="AU142" s="29">
        <f t="shared" si="111"/>
        <v>0</v>
      </c>
      <c r="AV142" s="29">
        <f t="shared" si="111"/>
        <v>0</v>
      </c>
      <c r="AW142" s="29">
        <f t="shared" si="111"/>
        <v>0</v>
      </c>
      <c r="AX142" s="29">
        <f t="shared" si="111"/>
        <v>0</v>
      </c>
      <c r="AY142" s="29">
        <f t="shared" si="111"/>
        <v>0</v>
      </c>
      <c r="AZ142" s="29">
        <f t="shared" si="111"/>
        <v>0</v>
      </c>
      <c r="BA142" s="29">
        <f t="shared" si="111"/>
        <v>0</v>
      </c>
      <c r="BB142" s="29">
        <f t="shared" si="111"/>
        <v>0</v>
      </c>
      <c r="BC142" s="29">
        <f t="shared" si="111"/>
        <v>0</v>
      </c>
      <c r="BD142" s="29">
        <f t="shared" si="111"/>
        <v>0</v>
      </c>
      <c r="BE142" s="29">
        <f t="shared" si="111"/>
        <v>0</v>
      </c>
      <c r="BF142" s="29">
        <f t="shared" si="111"/>
        <v>0</v>
      </c>
      <c r="BG142" s="29">
        <f t="shared" si="111"/>
        <v>0</v>
      </c>
      <c r="BH142" s="29">
        <f t="shared" si="111"/>
        <v>0</v>
      </c>
      <c r="BI142" s="29">
        <f t="shared" si="111"/>
        <v>0</v>
      </c>
      <c r="BJ142" s="29">
        <f t="shared" si="111"/>
        <v>0</v>
      </c>
      <c r="BK142" s="29">
        <f t="shared" si="111"/>
        <v>0</v>
      </c>
      <c r="BL142" s="29">
        <f t="shared" si="111"/>
        <v>0</v>
      </c>
      <c r="BM142" s="29">
        <f t="shared" si="111"/>
        <v>0</v>
      </c>
      <c r="BN142" s="29">
        <f t="shared" si="111"/>
        <v>0</v>
      </c>
      <c r="BO142" s="29">
        <f t="shared" si="111"/>
        <v>0</v>
      </c>
      <c r="BP142" s="29">
        <f t="shared" si="111"/>
        <v>0</v>
      </c>
      <c r="BQ142" s="29">
        <f t="shared" si="111"/>
        <v>0</v>
      </c>
      <c r="BR142" s="29">
        <f t="shared" si="111"/>
        <v>0</v>
      </c>
      <c r="BS142" s="29">
        <f t="shared" si="111"/>
        <v>0</v>
      </c>
      <c r="BT142" s="29">
        <f t="shared" si="111"/>
        <v>0</v>
      </c>
      <c r="BU142" s="29">
        <f t="shared" si="111"/>
        <v>0</v>
      </c>
      <c r="BV142" s="29">
        <f t="shared" si="111"/>
        <v>0</v>
      </c>
      <c r="BW142" s="29">
        <f t="shared" si="111"/>
        <v>0</v>
      </c>
      <c r="BX142" s="29">
        <f t="shared" si="111"/>
        <v>0</v>
      </c>
      <c r="BY142" s="29">
        <f t="shared" si="111"/>
        <v>0</v>
      </c>
      <c r="BZ142" s="29">
        <f t="shared" si="111"/>
        <v>0</v>
      </c>
      <c r="CA142" s="29">
        <f t="shared" si="111"/>
        <v>0</v>
      </c>
      <c r="CB142" s="29">
        <f t="shared" si="111"/>
        <v>0</v>
      </c>
      <c r="CC142" s="29">
        <f t="shared" si="111"/>
        <v>0</v>
      </c>
      <c r="CD142" s="29">
        <f t="shared" si="111"/>
        <v>0</v>
      </c>
      <c r="CE142" s="29">
        <f t="shared" si="111"/>
        <v>0</v>
      </c>
      <c r="CF142" s="29">
        <f t="shared" si="111"/>
        <v>0</v>
      </c>
      <c r="CG142" s="29">
        <f t="shared" si="111"/>
        <v>0</v>
      </c>
      <c r="CH142" s="29">
        <f t="shared" si="111"/>
        <v>0</v>
      </c>
    </row>
    <row r="143" spans="2:86" ht="13" hidden="1" outlineLevel="1">
      <c r="B143" s="84">
        <f t="shared" si="73"/>
        <v>40</v>
      </c>
      <c r="C143" s="64">
        <f t="shared" ca="1" si="71"/>
        <v>0.40745330807232882</v>
      </c>
      <c r="D143" s="15" t="s">
        <v>238</v>
      </c>
      <c r="E143" s="29">
        <f t="shared" ca="1" si="61"/>
        <v>87213259.99999997</v>
      </c>
      <c r="F143" s="29"/>
      <c r="G143" s="29">
        <f t="shared" ref="G143:CH143" ca="1" si="112">IF(G$4&lt;=$B143,ABS(G$31)*-1+G$47,0)+IF($B143=G$4,G$81,0)</f>
        <v>-1444375</v>
      </c>
      <c r="H143" s="29">
        <f t="shared" ca="1" si="112"/>
        <v>-1344375</v>
      </c>
      <c r="I143" s="29">
        <f t="shared" ca="1" si="112"/>
        <v>-1344375</v>
      </c>
      <c r="J143" s="29">
        <f t="shared" ca="1" si="112"/>
        <v>-1344375</v>
      </c>
      <c r="K143" s="29">
        <f t="shared" ca="1" si="112"/>
        <v>-1344375</v>
      </c>
      <c r="L143" s="29">
        <f t="shared" ca="1" si="112"/>
        <v>-1344375</v>
      </c>
      <c r="M143" s="29">
        <f t="shared" ca="1" si="112"/>
        <v>-1344375</v>
      </c>
      <c r="N143" s="29">
        <f t="shared" ca="1" si="112"/>
        <v>-1344375</v>
      </c>
      <c r="O143" s="29">
        <f t="shared" ca="1" si="112"/>
        <v>-1344375</v>
      </c>
      <c r="P143" s="29">
        <f t="shared" ca="1" si="112"/>
        <v>-1344375</v>
      </c>
      <c r="Q143" s="29">
        <f t="shared" ca="1" si="112"/>
        <v>-1344375</v>
      </c>
      <c r="R143" s="29">
        <f t="shared" ca="1" si="112"/>
        <v>-1344375</v>
      </c>
      <c r="S143" s="29">
        <f t="shared" ca="1" si="112"/>
        <v>-372249.99999999953</v>
      </c>
      <c r="T143" s="29">
        <f t="shared" ca="1" si="112"/>
        <v>-372249.99999999953</v>
      </c>
      <c r="U143" s="29">
        <f t="shared" ca="1" si="112"/>
        <v>-372249.99999999953</v>
      </c>
      <c r="V143" s="29">
        <f t="shared" ca="1" si="112"/>
        <v>-372249.99999999953</v>
      </c>
      <c r="W143" s="29">
        <f t="shared" ca="1" si="112"/>
        <v>3345406.2500000009</v>
      </c>
      <c r="X143" s="29">
        <f t="shared" ca="1" si="112"/>
        <v>3345406.2500000009</v>
      </c>
      <c r="Y143" s="29">
        <f t="shared" ca="1" si="112"/>
        <v>2945950.5952380951</v>
      </c>
      <c r="Z143" s="29">
        <f t="shared" ca="1" si="112"/>
        <v>2915932.1428571437</v>
      </c>
      <c r="AA143" s="29">
        <f t="shared" ca="1" si="112"/>
        <v>2951646.4285714291</v>
      </c>
      <c r="AB143" s="29">
        <f t="shared" ca="1" si="112"/>
        <v>2951646.4285714291</v>
      </c>
      <c r="AC143" s="29">
        <f t="shared" ca="1" si="112"/>
        <v>2951646.4285714291</v>
      </c>
      <c r="AD143" s="29">
        <f t="shared" ca="1" si="112"/>
        <v>2951646.4285714291</v>
      </c>
      <c r="AE143" s="29">
        <f t="shared" ca="1" si="112"/>
        <v>6611317.3809523787</v>
      </c>
      <c r="AF143" s="29">
        <f t="shared" ca="1" si="112"/>
        <v>6611317.3809523787</v>
      </c>
      <c r="AG143" s="29">
        <f t="shared" ca="1" si="112"/>
        <v>6611317.3809523787</v>
      </c>
      <c r="AH143" s="29">
        <f t="shared" ca="1" si="112"/>
        <v>6611317.3809523787</v>
      </c>
      <c r="AI143" s="29">
        <f t="shared" ca="1" si="112"/>
        <v>5745426.1904761884</v>
      </c>
      <c r="AJ143" s="29">
        <f t="shared" ca="1" si="112"/>
        <v>5745426.1904761884</v>
      </c>
      <c r="AK143" s="29">
        <f t="shared" ca="1" si="112"/>
        <v>5745426.1904761884</v>
      </c>
      <c r="AL143" s="29">
        <f t="shared" ca="1" si="112"/>
        <v>5745426.1904761884</v>
      </c>
      <c r="AM143" s="29">
        <f t="shared" ca="1" si="112"/>
        <v>3526761.904761903</v>
      </c>
      <c r="AN143" s="29">
        <f t="shared" ca="1" si="112"/>
        <v>3526761.904761903</v>
      </c>
      <c r="AO143" s="29">
        <f t="shared" ca="1" si="112"/>
        <v>3526761.904761903</v>
      </c>
      <c r="AP143" s="29">
        <f t="shared" ca="1" si="112"/>
        <v>3526761.904761903</v>
      </c>
      <c r="AQ143" s="29">
        <f t="shared" ca="1" si="112"/>
        <v>4260364.2857142845</v>
      </c>
      <c r="AR143" s="29">
        <f t="shared" ca="1" si="112"/>
        <v>4260364.2857142845</v>
      </c>
      <c r="AS143" s="29">
        <f t="shared" ca="1" si="112"/>
        <v>4260364.2857142845</v>
      </c>
      <c r="AT143" s="29">
        <f t="shared" ca="1" si="112"/>
        <v>4260364.2857142845</v>
      </c>
      <c r="AU143" s="29">
        <f t="shared" si="112"/>
        <v>0</v>
      </c>
      <c r="AV143" s="29">
        <f t="shared" si="112"/>
        <v>0</v>
      </c>
      <c r="AW143" s="29">
        <f t="shared" si="112"/>
        <v>0</v>
      </c>
      <c r="AX143" s="29">
        <f t="shared" si="112"/>
        <v>0</v>
      </c>
      <c r="AY143" s="29">
        <f t="shared" si="112"/>
        <v>0</v>
      </c>
      <c r="AZ143" s="29">
        <f t="shared" si="112"/>
        <v>0</v>
      </c>
      <c r="BA143" s="29">
        <f t="shared" si="112"/>
        <v>0</v>
      </c>
      <c r="BB143" s="29">
        <f t="shared" si="112"/>
        <v>0</v>
      </c>
      <c r="BC143" s="29">
        <f t="shared" si="112"/>
        <v>0</v>
      </c>
      <c r="BD143" s="29">
        <f t="shared" si="112"/>
        <v>0</v>
      </c>
      <c r="BE143" s="29">
        <f t="shared" si="112"/>
        <v>0</v>
      </c>
      <c r="BF143" s="29">
        <f t="shared" si="112"/>
        <v>0</v>
      </c>
      <c r="BG143" s="29">
        <f t="shared" si="112"/>
        <v>0</v>
      </c>
      <c r="BH143" s="29">
        <f t="shared" si="112"/>
        <v>0</v>
      </c>
      <c r="BI143" s="29">
        <f t="shared" si="112"/>
        <v>0</v>
      </c>
      <c r="BJ143" s="29">
        <f t="shared" si="112"/>
        <v>0</v>
      </c>
      <c r="BK143" s="29">
        <f t="shared" si="112"/>
        <v>0</v>
      </c>
      <c r="BL143" s="29">
        <f t="shared" si="112"/>
        <v>0</v>
      </c>
      <c r="BM143" s="29">
        <f t="shared" si="112"/>
        <v>0</v>
      </c>
      <c r="BN143" s="29">
        <f t="shared" si="112"/>
        <v>0</v>
      </c>
      <c r="BO143" s="29">
        <f t="shared" si="112"/>
        <v>0</v>
      </c>
      <c r="BP143" s="29">
        <f t="shared" si="112"/>
        <v>0</v>
      </c>
      <c r="BQ143" s="29">
        <f t="shared" si="112"/>
        <v>0</v>
      </c>
      <c r="BR143" s="29">
        <f t="shared" si="112"/>
        <v>0</v>
      </c>
      <c r="BS143" s="29">
        <f t="shared" si="112"/>
        <v>0</v>
      </c>
      <c r="BT143" s="29">
        <f t="shared" si="112"/>
        <v>0</v>
      </c>
      <c r="BU143" s="29">
        <f t="shared" si="112"/>
        <v>0</v>
      </c>
      <c r="BV143" s="29">
        <f t="shared" si="112"/>
        <v>0</v>
      </c>
      <c r="BW143" s="29">
        <f t="shared" si="112"/>
        <v>0</v>
      </c>
      <c r="BX143" s="29">
        <f t="shared" si="112"/>
        <v>0</v>
      </c>
      <c r="BY143" s="29">
        <f t="shared" si="112"/>
        <v>0</v>
      </c>
      <c r="BZ143" s="29">
        <f t="shared" si="112"/>
        <v>0</v>
      </c>
      <c r="CA143" s="29">
        <f t="shared" si="112"/>
        <v>0</v>
      </c>
      <c r="CB143" s="29">
        <f t="shared" si="112"/>
        <v>0</v>
      </c>
      <c r="CC143" s="29">
        <f t="shared" si="112"/>
        <v>0</v>
      </c>
      <c r="CD143" s="29">
        <f t="shared" si="112"/>
        <v>0</v>
      </c>
      <c r="CE143" s="29">
        <f t="shared" si="112"/>
        <v>0</v>
      </c>
      <c r="CF143" s="29">
        <f t="shared" si="112"/>
        <v>0</v>
      </c>
      <c r="CG143" s="29">
        <f t="shared" si="112"/>
        <v>0</v>
      </c>
      <c r="CH143" s="29">
        <f t="shared" si="112"/>
        <v>0</v>
      </c>
    </row>
    <row r="144" spans="2:86" ht="13" hidden="1" outlineLevel="1">
      <c r="B144" s="84">
        <f t="shared" si="73"/>
        <v>41</v>
      </c>
      <c r="C144" s="64">
        <f t="shared" ca="1" si="71"/>
        <v>0.40745330807232882</v>
      </c>
      <c r="D144" s="15" t="s">
        <v>238</v>
      </c>
      <c r="E144" s="29">
        <f t="shared" ca="1" si="61"/>
        <v>87213259.99999997</v>
      </c>
      <c r="F144" s="29"/>
      <c r="G144" s="29">
        <f t="shared" ref="G144:CH144" ca="1" si="113">IF(G$4&lt;=$B144,ABS(G$31)*-1+G$47,0)+IF($B144=G$4,G$81,0)</f>
        <v>-1444375</v>
      </c>
      <c r="H144" s="29">
        <f t="shared" ca="1" si="113"/>
        <v>-1344375</v>
      </c>
      <c r="I144" s="29">
        <f t="shared" ca="1" si="113"/>
        <v>-1344375</v>
      </c>
      <c r="J144" s="29">
        <f t="shared" ca="1" si="113"/>
        <v>-1344375</v>
      </c>
      <c r="K144" s="29">
        <f t="shared" ca="1" si="113"/>
        <v>-1344375</v>
      </c>
      <c r="L144" s="29">
        <f t="shared" ca="1" si="113"/>
        <v>-1344375</v>
      </c>
      <c r="M144" s="29">
        <f t="shared" ca="1" si="113"/>
        <v>-1344375</v>
      </c>
      <c r="N144" s="29">
        <f t="shared" ca="1" si="113"/>
        <v>-1344375</v>
      </c>
      <c r="O144" s="29">
        <f t="shared" ca="1" si="113"/>
        <v>-1344375</v>
      </c>
      <c r="P144" s="29">
        <f t="shared" ca="1" si="113"/>
        <v>-1344375</v>
      </c>
      <c r="Q144" s="29">
        <f t="shared" ca="1" si="113"/>
        <v>-1344375</v>
      </c>
      <c r="R144" s="29">
        <f t="shared" ca="1" si="113"/>
        <v>-1344375</v>
      </c>
      <c r="S144" s="29">
        <f t="shared" ca="1" si="113"/>
        <v>-372249.99999999953</v>
      </c>
      <c r="T144" s="29">
        <f t="shared" ca="1" si="113"/>
        <v>-372249.99999999953</v>
      </c>
      <c r="U144" s="29">
        <f t="shared" ca="1" si="113"/>
        <v>-372249.99999999953</v>
      </c>
      <c r="V144" s="29">
        <f t="shared" ca="1" si="113"/>
        <v>-372249.99999999953</v>
      </c>
      <c r="W144" s="29">
        <f t="shared" ca="1" si="113"/>
        <v>3345406.2500000009</v>
      </c>
      <c r="X144" s="29">
        <f t="shared" ca="1" si="113"/>
        <v>3345406.2500000009</v>
      </c>
      <c r="Y144" s="29">
        <f t="shared" ca="1" si="113"/>
        <v>2945950.5952380951</v>
      </c>
      <c r="Z144" s="29">
        <f t="shared" ca="1" si="113"/>
        <v>2915932.1428571437</v>
      </c>
      <c r="AA144" s="29">
        <f t="shared" ca="1" si="113"/>
        <v>2951646.4285714291</v>
      </c>
      <c r="AB144" s="29">
        <f t="shared" ca="1" si="113"/>
        <v>2951646.4285714291</v>
      </c>
      <c r="AC144" s="29">
        <f t="shared" ca="1" si="113"/>
        <v>2951646.4285714291</v>
      </c>
      <c r="AD144" s="29">
        <f t="shared" ca="1" si="113"/>
        <v>2951646.4285714291</v>
      </c>
      <c r="AE144" s="29">
        <f t="shared" ca="1" si="113"/>
        <v>6611317.3809523787</v>
      </c>
      <c r="AF144" s="29">
        <f t="shared" ca="1" si="113"/>
        <v>6611317.3809523787</v>
      </c>
      <c r="AG144" s="29">
        <f t="shared" ca="1" si="113"/>
        <v>6611317.3809523787</v>
      </c>
      <c r="AH144" s="29">
        <f t="shared" ca="1" si="113"/>
        <v>6611317.3809523787</v>
      </c>
      <c r="AI144" s="29">
        <f t="shared" ca="1" si="113"/>
        <v>5745426.1904761884</v>
      </c>
      <c r="AJ144" s="29">
        <f t="shared" ca="1" si="113"/>
        <v>5745426.1904761884</v>
      </c>
      <c r="AK144" s="29">
        <f t="shared" ca="1" si="113"/>
        <v>5745426.1904761884</v>
      </c>
      <c r="AL144" s="29">
        <f t="shared" ca="1" si="113"/>
        <v>5745426.1904761884</v>
      </c>
      <c r="AM144" s="29">
        <f t="shared" ca="1" si="113"/>
        <v>3526761.904761903</v>
      </c>
      <c r="AN144" s="29">
        <f t="shared" ca="1" si="113"/>
        <v>3526761.904761903</v>
      </c>
      <c r="AO144" s="29">
        <f t="shared" ca="1" si="113"/>
        <v>3526761.904761903</v>
      </c>
      <c r="AP144" s="29">
        <f t="shared" ca="1" si="113"/>
        <v>3526761.904761903</v>
      </c>
      <c r="AQ144" s="29">
        <f t="shared" ca="1" si="113"/>
        <v>4260364.2857142845</v>
      </c>
      <c r="AR144" s="29">
        <f t="shared" ca="1" si="113"/>
        <v>4260364.2857142845</v>
      </c>
      <c r="AS144" s="29">
        <f t="shared" ca="1" si="113"/>
        <v>4260364.2857142845</v>
      </c>
      <c r="AT144" s="29">
        <f t="shared" ca="1" si="113"/>
        <v>4260364.2857142845</v>
      </c>
      <c r="AU144" s="29">
        <f t="shared" ca="1" si="113"/>
        <v>0</v>
      </c>
      <c r="AV144" s="29">
        <f t="shared" si="113"/>
        <v>0</v>
      </c>
      <c r="AW144" s="29">
        <f t="shared" si="113"/>
        <v>0</v>
      </c>
      <c r="AX144" s="29">
        <f t="shared" si="113"/>
        <v>0</v>
      </c>
      <c r="AY144" s="29">
        <f t="shared" si="113"/>
        <v>0</v>
      </c>
      <c r="AZ144" s="29">
        <f t="shared" si="113"/>
        <v>0</v>
      </c>
      <c r="BA144" s="29">
        <f t="shared" si="113"/>
        <v>0</v>
      </c>
      <c r="BB144" s="29">
        <f t="shared" si="113"/>
        <v>0</v>
      </c>
      <c r="BC144" s="29">
        <f t="shared" si="113"/>
        <v>0</v>
      </c>
      <c r="BD144" s="29">
        <f t="shared" si="113"/>
        <v>0</v>
      </c>
      <c r="BE144" s="29">
        <f t="shared" si="113"/>
        <v>0</v>
      </c>
      <c r="BF144" s="29">
        <f t="shared" si="113"/>
        <v>0</v>
      </c>
      <c r="BG144" s="29">
        <f t="shared" si="113"/>
        <v>0</v>
      </c>
      <c r="BH144" s="29">
        <f t="shared" si="113"/>
        <v>0</v>
      </c>
      <c r="BI144" s="29">
        <f t="shared" si="113"/>
        <v>0</v>
      </c>
      <c r="BJ144" s="29">
        <f t="shared" si="113"/>
        <v>0</v>
      </c>
      <c r="BK144" s="29">
        <f t="shared" si="113"/>
        <v>0</v>
      </c>
      <c r="BL144" s="29">
        <f t="shared" si="113"/>
        <v>0</v>
      </c>
      <c r="BM144" s="29">
        <f t="shared" si="113"/>
        <v>0</v>
      </c>
      <c r="BN144" s="29">
        <f t="shared" si="113"/>
        <v>0</v>
      </c>
      <c r="BO144" s="29">
        <f t="shared" si="113"/>
        <v>0</v>
      </c>
      <c r="BP144" s="29">
        <f t="shared" si="113"/>
        <v>0</v>
      </c>
      <c r="BQ144" s="29">
        <f t="shared" si="113"/>
        <v>0</v>
      </c>
      <c r="BR144" s="29">
        <f t="shared" si="113"/>
        <v>0</v>
      </c>
      <c r="BS144" s="29">
        <f t="shared" si="113"/>
        <v>0</v>
      </c>
      <c r="BT144" s="29">
        <f t="shared" si="113"/>
        <v>0</v>
      </c>
      <c r="BU144" s="29">
        <f t="shared" si="113"/>
        <v>0</v>
      </c>
      <c r="BV144" s="29">
        <f t="shared" si="113"/>
        <v>0</v>
      </c>
      <c r="BW144" s="29">
        <f t="shared" si="113"/>
        <v>0</v>
      </c>
      <c r="BX144" s="29">
        <f t="shared" si="113"/>
        <v>0</v>
      </c>
      <c r="BY144" s="29">
        <f t="shared" si="113"/>
        <v>0</v>
      </c>
      <c r="BZ144" s="29">
        <f t="shared" si="113"/>
        <v>0</v>
      </c>
      <c r="CA144" s="29">
        <f t="shared" si="113"/>
        <v>0</v>
      </c>
      <c r="CB144" s="29">
        <f t="shared" si="113"/>
        <v>0</v>
      </c>
      <c r="CC144" s="29">
        <f t="shared" si="113"/>
        <v>0</v>
      </c>
      <c r="CD144" s="29">
        <f t="shared" si="113"/>
        <v>0</v>
      </c>
      <c r="CE144" s="29">
        <f t="shared" si="113"/>
        <v>0</v>
      </c>
      <c r="CF144" s="29">
        <f t="shared" si="113"/>
        <v>0</v>
      </c>
      <c r="CG144" s="29">
        <f t="shared" si="113"/>
        <v>0</v>
      </c>
      <c r="CH144" s="29">
        <f t="shared" si="113"/>
        <v>0</v>
      </c>
    </row>
    <row r="145" spans="2:86" ht="13" hidden="1" outlineLevel="1">
      <c r="B145" s="84">
        <f t="shared" si="73"/>
        <v>42</v>
      </c>
      <c r="C145" s="64">
        <f t="shared" ca="1" si="71"/>
        <v>0.40745330807232882</v>
      </c>
      <c r="D145" s="15" t="s">
        <v>238</v>
      </c>
      <c r="E145" s="29">
        <f t="shared" ca="1" si="61"/>
        <v>87213259.99999997</v>
      </c>
      <c r="F145" s="29"/>
      <c r="G145" s="29">
        <f t="shared" ref="G145:CH145" ca="1" si="114">IF(G$4&lt;=$B145,ABS(G$31)*-1+G$47,0)+IF($B145=G$4,G$81,0)</f>
        <v>-1444375</v>
      </c>
      <c r="H145" s="29">
        <f t="shared" ca="1" si="114"/>
        <v>-1344375</v>
      </c>
      <c r="I145" s="29">
        <f t="shared" ca="1" si="114"/>
        <v>-1344375</v>
      </c>
      <c r="J145" s="29">
        <f t="shared" ca="1" si="114"/>
        <v>-1344375</v>
      </c>
      <c r="K145" s="29">
        <f t="shared" ca="1" si="114"/>
        <v>-1344375</v>
      </c>
      <c r="L145" s="29">
        <f t="shared" ca="1" si="114"/>
        <v>-1344375</v>
      </c>
      <c r="M145" s="29">
        <f t="shared" ca="1" si="114"/>
        <v>-1344375</v>
      </c>
      <c r="N145" s="29">
        <f t="shared" ca="1" si="114"/>
        <v>-1344375</v>
      </c>
      <c r="O145" s="29">
        <f t="shared" ca="1" si="114"/>
        <v>-1344375</v>
      </c>
      <c r="P145" s="29">
        <f t="shared" ca="1" si="114"/>
        <v>-1344375</v>
      </c>
      <c r="Q145" s="29">
        <f t="shared" ca="1" si="114"/>
        <v>-1344375</v>
      </c>
      <c r="R145" s="29">
        <f t="shared" ca="1" si="114"/>
        <v>-1344375</v>
      </c>
      <c r="S145" s="29">
        <f t="shared" ca="1" si="114"/>
        <v>-372249.99999999953</v>
      </c>
      <c r="T145" s="29">
        <f t="shared" ca="1" si="114"/>
        <v>-372249.99999999953</v>
      </c>
      <c r="U145" s="29">
        <f t="shared" ca="1" si="114"/>
        <v>-372249.99999999953</v>
      </c>
      <c r="V145" s="29">
        <f t="shared" ca="1" si="114"/>
        <v>-372249.99999999953</v>
      </c>
      <c r="W145" s="29">
        <f t="shared" ca="1" si="114"/>
        <v>3345406.2500000009</v>
      </c>
      <c r="X145" s="29">
        <f t="shared" ca="1" si="114"/>
        <v>3345406.2500000009</v>
      </c>
      <c r="Y145" s="29">
        <f t="shared" ca="1" si="114"/>
        <v>2945950.5952380951</v>
      </c>
      <c r="Z145" s="29">
        <f t="shared" ca="1" si="114"/>
        <v>2915932.1428571437</v>
      </c>
      <c r="AA145" s="29">
        <f t="shared" ca="1" si="114"/>
        <v>2951646.4285714291</v>
      </c>
      <c r="AB145" s="29">
        <f t="shared" ca="1" si="114"/>
        <v>2951646.4285714291</v>
      </c>
      <c r="AC145" s="29">
        <f t="shared" ca="1" si="114"/>
        <v>2951646.4285714291</v>
      </c>
      <c r="AD145" s="29">
        <f t="shared" ca="1" si="114"/>
        <v>2951646.4285714291</v>
      </c>
      <c r="AE145" s="29">
        <f t="shared" ca="1" si="114"/>
        <v>6611317.3809523787</v>
      </c>
      <c r="AF145" s="29">
        <f t="shared" ca="1" si="114"/>
        <v>6611317.3809523787</v>
      </c>
      <c r="AG145" s="29">
        <f t="shared" ca="1" si="114"/>
        <v>6611317.3809523787</v>
      </c>
      <c r="AH145" s="29">
        <f t="shared" ca="1" si="114"/>
        <v>6611317.3809523787</v>
      </c>
      <c r="AI145" s="29">
        <f t="shared" ca="1" si="114"/>
        <v>5745426.1904761884</v>
      </c>
      <c r="AJ145" s="29">
        <f t="shared" ca="1" si="114"/>
        <v>5745426.1904761884</v>
      </c>
      <c r="AK145" s="29">
        <f t="shared" ca="1" si="114"/>
        <v>5745426.1904761884</v>
      </c>
      <c r="AL145" s="29">
        <f t="shared" ca="1" si="114"/>
        <v>5745426.1904761884</v>
      </c>
      <c r="AM145" s="29">
        <f t="shared" ca="1" si="114"/>
        <v>3526761.904761903</v>
      </c>
      <c r="AN145" s="29">
        <f t="shared" ca="1" si="114"/>
        <v>3526761.904761903</v>
      </c>
      <c r="AO145" s="29">
        <f t="shared" ca="1" si="114"/>
        <v>3526761.904761903</v>
      </c>
      <c r="AP145" s="29">
        <f t="shared" ca="1" si="114"/>
        <v>3526761.904761903</v>
      </c>
      <c r="AQ145" s="29">
        <f t="shared" ca="1" si="114"/>
        <v>4260364.2857142845</v>
      </c>
      <c r="AR145" s="29">
        <f t="shared" ca="1" si="114"/>
        <v>4260364.2857142845</v>
      </c>
      <c r="AS145" s="29">
        <f t="shared" ca="1" si="114"/>
        <v>4260364.2857142845</v>
      </c>
      <c r="AT145" s="29">
        <f t="shared" ca="1" si="114"/>
        <v>4260364.2857142845</v>
      </c>
      <c r="AU145" s="29">
        <f t="shared" ca="1" si="114"/>
        <v>0</v>
      </c>
      <c r="AV145" s="29">
        <f t="shared" ca="1" si="114"/>
        <v>0</v>
      </c>
      <c r="AW145" s="29">
        <f t="shared" si="114"/>
        <v>0</v>
      </c>
      <c r="AX145" s="29">
        <f t="shared" si="114"/>
        <v>0</v>
      </c>
      <c r="AY145" s="29">
        <f t="shared" si="114"/>
        <v>0</v>
      </c>
      <c r="AZ145" s="29">
        <f t="shared" si="114"/>
        <v>0</v>
      </c>
      <c r="BA145" s="29">
        <f t="shared" si="114"/>
        <v>0</v>
      </c>
      <c r="BB145" s="29">
        <f t="shared" si="114"/>
        <v>0</v>
      </c>
      <c r="BC145" s="29">
        <f t="shared" si="114"/>
        <v>0</v>
      </c>
      <c r="BD145" s="29">
        <f t="shared" si="114"/>
        <v>0</v>
      </c>
      <c r="BE145" s="29">
        <f t="shared" si="114"/>
        <v>0</v>
      </c>
      <c r="BF145" s="29">
        <f t="shared" si="114"/>
        <v>0</v>
      </c>
      <c r="BG145" s="29">
        <f t="shared" si="114"/>
        <v>0</v>
      </c>
      <c r="BH145" s="29">
        <f t="shared" si="114"/>
        <v>0</v>
      </c>
      <c r="BI145" s="29">
        <f t="shared" si="114"/>
        <v>0</v>
      </c>
      <c r="BJ145" s="29">
        <f t="shared" si="114"/>
        <v>0</v>
      </c>
      <c r="BK145" s="29">
        <f t="shared" si="114"/>
        <v>0</v>
      </c>
      <c r="BL145" s="29">
        <f t="shared" si="114"/>
        <v>0</v>
      </c>
      <c r="BM145" s="29">
        <f t="shared" si="114"/>
        <v>0</v>
      </c>
      <c r="BN145" s="29">
        <f t="shared" si="114"/>
        <v>0</v>
      </c>
      <c r="BO145" s="29">
        <f t="shared" si="114"/>
        <v>0</v>
      </c>
      <c r="BP145" s="29">
        <f t="shared" si="114"/>
        <v>0</v>
      </c>
      <c r="BQ145" s="29">
        <f t="shared" si="114"/>
        <v>0</v>
      </c>
      <c r="BR145" s="29">
        <f t="shared" si="114"/>
        <v>0</v>
      </c>
      <c r="BS145" s="29">
        <f t="shared" si="114"/>
        <v>0</v>
      </c>
      <c r="BT145" s="29">
        <f t="shared" si="114"/>
        <v>0</v>
      </c>
      <c r="BU145" s="29">
        <f t="shared" si="114"/>
        <v>0</v>
      </c>
      <c r="BV145" s="29">
        <f t="shared" si="114"/>
        <v>0</v>
      </c>
      <c r="BW145" s="29">
        <f t="shared" si="114"/>
        <v>0</v>
      </c>
      <c r="BX145" s="29">
        <f t="shared" si="114"/>
        <v>0</v>
      </c>
      <c r="BY145" s="29">
        <f t="shared" si="114"/>
        <v>0</v>
      </c>
      <c r="BZ145" s="29">
        <f t="shared" si="114"/>
        <v>0</v>
      </c>
      <c r="CA145" s="29">
        <f t="shared" si="114"/>
        <v>0</v>
      </c>
      <c r="CB145" s="29">
        <f t="shared" si="114"/>
        <v>0</v>
      </c>
      <c r="CC145" s="29">
        <f t="shared" si="114"/>
        <v>0</v>
      </c>
      <c r="CD145" s="29">
        <f t="shared" si="114"/>
        <v>0</v>
      </c>
      <c r="CE145" s="29">
        <f t="shared" si="114"/>
        <v>0</v>
      </c>
      <c r="CF145" s="29">
        <f t="shared" si="114"/>
        <v>0</v>
      </c>
      <c r="CG145" s="29">
        <f t="shared" si="114"/>
        <v>0</v>
      </c>
      <c r="CH145" s="29">
        <f t="shared" si="114"/>
        <v>0</v>
      </c>
    </row>
    <row r="146" spans="2:86" ht="13" hidden="1" outlineLevel="1">
      <c r="B146" s="84">
        <f t="shared" si="73"/>
        <v>43</v>
      </c>
      <c r="C146" s="64">
        <f t="shared" ca="1" si="71"/>
        <v>0.40745330807232882</v>
      </c>
      <c r="D146" s="15" t="s">
        <v>238</v>
      </c>
      <c r="E146" s="29">
        <f t="shared" ca="1" si="61"/>
        <v>87213259.99999997</v>
      </c>
      <c r="F146" s="29"/>
      <c r="G146" s="29">
        <f t="shared" ref="G146:CH146" ca="1" si="115">IF(G$4&lt;=$B146,ABS(G$31)*-1+G$47,0)+IF($B146=G$4,G$81,0)</f>
        <v>-1444375</v>
      </c>
      <c r="H146" s="29">
        <f t="shared" ca="1" si="115"/>
        <v>-1344375</v>
      </c>
      <c r="I146" s="29">
        <f t="shared" ca="1" si="115"/>
        <v>-1344375</v>
      </c>
      <c r="J146" s="29">
        <f t="shared" ca="1" si="115"/>
        <v>-1344375</v>
      </c>
      <c r="K146" s="29">
        <f t="shared" ca="1" si="115"/>
        <v>-1344375</v>
      </c>
      <c r="L146" s="29">
        <f t="shared" ca="1" si="115"/>
        <v>-1344375</v>
      </c>
      <c r="M146" s="29">
        <f t="shared" ca="1" si="115"/>
        <v>-1344375</v>
      </c>
      <c r="N146" s="29">
        <f t="shared" ca="1" si="115"/>
        <v>-1344375</v>
      </c>
      <c r="O146" s="29">
        <f t="shared" ca="1" si="115"/>
        <v>-1344375</v>
      </c>
      <c r="P146" s="29">
        <f t="shared" ca="1" si="115"/>
        <v>-1344375</v>
      </c>
      <c r="Q146" s="29">
        <f t="shared" ca="1" si="115"/>
        <v>-1344375</v>
      </c>
      <c r="R146" s="29">
        <f t="shared" ca="1" si="115"/>
        <v>-1344375</v>
      </c>
      <c r="S146" s="29">
        <f t="shared" ca="1" si="115"/>
        <v>-372249.99999999953</v>
      </c>
      <c r="T146" s="29">
        <f t="shared" ca="1" si="115"/>
        <v>-372249.99999999953</v>
      </c>
      <c r="U146" s="29">
        <f t="shared" ca="1" si="115"/>
        <v>-372249.99999999953</v>
      </c>
      <c r="V146" s="29">
        <f t="shared" ca="1" si="115"/>
        <v>-372249.99999999953</v>
      </c>
      <c r="W146" s="29">
        <f t="shared" ca="1" si="115"/>
        <v>3345406.2500000009</v>
      </c>
      <c r="X146" s="29">
        <f t="shared" ca="1" si="115"/>
        <v>3345406.2500000009</v>
      </c>
      <c r="Y146" s="29">
        <f t="shared" ca="1" si="115"/>
        <v>2945950.5952380951</v>
      </c>
      <c r="Z146" s="29">
        <f t="shared" ca="1" si="115"/>
        <v>2915932.1428571437</v>
      </c>
      <c r="AA146" s="29">
        <f t="shared" ca="1" si="115"/>
        <v>2951646.4285714291</v>
      </c>
      <c r="AB146" s="29">
        <f t="shared" ca="1" si="115"/>
        <v>2951646.4285714291</v>
      </c>
      <c r="AC146" s="29">
        <f t="shared" ca="1" si="115"/>
        <v>2951646.4285714291</v>
      </c>
      <c r="AD146" s="29">
        <f t="shared" ca="1" si="115"/>
        <v>2951646.4285714291</v>
      </c>
      <c r="AE146" s="29">
        <f t="shared" ca="1" si="115"/>
        <v>6611317.3809523787</v>
      </c>
      <c r="AF146" s="29">
        <f t="shared" ca="1" si="115"/>
        <v>6611317.3809523787</v>
      </c>
      <c r="AG146" s="29">
        <f t="shared" ca="1" si="115"/>
        <v>6611317.3809523787</v>
      </c>
      <c r="AH146" s="29">
        <f t="shared" ca="1" si="115"/>
        <v>6611317.3809523787</v>
      </c>
      <c r="AI146" s="29">
        <f t="shared" ca="1" si="115"/>
        <v>5745426.1904761884</v>
      </c>
      <c r="AJ146" s="29">
        <f t="shared" ca="1" si="115"/>
        <v>5745426.1904761884</v>
      </c>
      <c r="AK146" s="29">
        <f t="shared" ca="1" si="115"/>
        <v>5745426.1904761884</v>
      </c>
      <c r="AL146" s="29">
        <f t="shared" ca="1" si="115"/>
        <v>5745426.1904761884</v>
      </c>
      <c r="AM146" s="29">
        <f t="shared" ca="1" si="115"/>
        <v>3526761.904761903</v>
      </c>
      <c r="AN146" s="29">
        <f t="shared" ca="1" si="115"/>
        <v>3526761.904761903</v>
      </c>
      <c r="AO146" s="29">
        <f t="shared" ca="1" si="115"/>
        <v>3526761.904761903</v>
      </c>
      <c r="AP146" s="29">
        <f t="shared" ca="1" si="115"/>
        <v>3526761.904761903</v>
      </c>
      <c r="AQ146" s="29">
        <f t="shared" ca="1" si="115"/>
        <v>4260364.2857142845</v>
      </c>
      <c r="AR146" s="29">
        <f t="shared" ca="1" si="115"/>
        <v>4260364.2857142845</v>
      </c>
      <c r="AS146" s="29">
        <f t="shared" ca="1" si="115"/>
        <v>4260364.2857142845</v>
      </c>
      <c r="AT146" s="29">
        <f t="shared" ca="1" si="115"/>
        <v>4260364.2857142845</v>
      </c>
      <c r="AU146" s="29">
        <f t="shared" ca="1" si="115"/>
        <v>0</v>
      </c>
      <c r="AV146" s="29">
        <f t="shared" ca="1" si="115"/>
        <v>0</v>
      </c>
      <c r="AW146" s="29">
        <f t="shared" ca="1" si="115"/>
        <v>0</v>
      </c>
      <c r="AX146" s="29">
        <f t="shared" si="115"/>
        <v>0</v>
      </c>
      <c r="AY146" s="29">
        <f t="shared" si="115"/>
        <v>0</v>
      </c>
      <c r="AZ146" s="29">
        <f t="shared" si="115"/>
        <v>0</v>
      </c>
      <c r="BA146" s="29">
        <f t="shared" si="115"/>
        <v>0</v>
      </c>
      <c r="BB146" s="29">
        <f t="shared" si="115"/>
        <v>0</v>
      </c>
      <c r="BC146" s="29">
        <f t="shared" si="115"/>
        <v>0</v>
      </c>
      <c r="BD146" s="29">
        <f t="shared" si="115"/>
        <v>0</v>
      </c>
      <c r="BE146" s="29">
        <f t="shared" si="115"/>
        <v>0</v>
      </c>
      <c r="BF146" s="29">
        <f t="shared" si="115"/>
        <v>0</v>
      </c>
      <c r="BG146" s="29">
        <f t="shared" si="115"/>
        <v>0</v>
      </c>
      <c r="BH146" s="29">
        <f t="shared" si="115"/>
        <v>0</v>
      </c>
      <c r="BI146" s="29">
        <f t="shared" si="115"/>
        <v>0</v>
      </c>
      <c r="BJ146" s="29">
        <f t="shared" si="115"/>
        <v>0</v>
      </c>
      <c r="BK146" s="29">
        <f t="shared" si="115"/>
        <v>0</v>
      </c>
      <c r="BL146" s="29">
        <f t="shared" si="115"/>
        <v>0</v>
      </c>
      <c r="BM146" s="29">
        <f t="shared" si="115"/>
        <v>0</v>
      </c>
      <c r="BN146" s="29">
        <f t="shared" si="115"/>
        <v>0</v>
      </c>
      <c r="BO146" s="29">
        <f t="shared" si="115"/>
        <v>0</v>
      </c>
      <c r="BP146" s="29">
        <f t="shared" si="115"/>
        <v>0</v>
      </c>
      <c r="BQ146" s="29">
        <f t="shared" si="115"/>
        <v>0</v>
      </c>
      <c r="BR146" s="29">
        <f t="shared" si="115"/>
        <v>0</v>
      </c>
      <c r="BS146" s="29">
        <f t="shared" si="115"/>
        <v>0</v>
      </c>
      <c r="BT146" s="29">
        <f t="shared" si="115"/>
        <v>0</v>
      </c>
      <c r="BU146" s="29">
        <f t="shared" si="115"/>
        <v>0</v>
      </c>
      <c r="BV146" s="29">
        <f t="shared" si="115"/>
        <v>0</v>
      </c>
      <c r="BW146" s="29">
        <f t="shared" si="115"/>
        <v>0</v>
      </c>
      <c r="BX146" s="29">
        <f t="shared" si="115"/>
        <v>0</v>
      </c>
      <c r="BY146" s="29">
        <f t="shared" si="115"/>
        <v>0</v>
      </c>
      <c r="BZ146" s="29">
        <f t="shared" si="115"/>
        <v>0</v>
      </c>
      <c r="CA146" s="29">
        <f t="shared" si="115"/>
        <v>0</v>
      </c>
      <c r="CB146" s="29">
        <f t="shared" si="115"/>
        <v>0</v>
      </c>
      <c r="CC146" s="29">
        <f t="shared" si="115"/>
        <v>0</v>
      </c>
      <c r="CD146" s="29">
        <f t="shared" si="115"/>
        <v>0</v>
      </c>
      <c r="CE146" s="29">
        <f t="shared" si="115"/>
        <v>0</v>
      </c>
      <c r="CF146" s="29">
        <f t="shared" si="115"/>
        <v>0</v>
      </c>
      <c r="CG146" s="29">
        <f t="shared" si="115"/>
        <v>0</v>
      </c>
      <c r="CH146" s="29">
        <f t="shared" si="115"/>
        <v>0</v>
      </c>
    </row>
    <row r="147" spans="2:86" ht="13" hidden="1" outlineLevel="1">
      <c r="B147" s="84">
        <f t="shared" si="73"/>
        <v>44</v>
      </c>
      <c r="C147" s="64">
        <f t="shared" ca="1" si="71"/>
        <v>0.40745330807232882</v>
      </c>
      <c r="D147" s="15" t="s">
        <v>238</v>
      </c>
      <c r="E147" s="29">
        <f t="shared" ca="1" si="61"/>
        <v>87213259.99999997</v>
      </c>
      <c r="F147" s="29"/>
      <c r="G147" s="29">
        <f t="shared" ref="G147:CH147" ca="1" si="116">IF(G$4&lt;=$B147,ABS(G$31)*-1+G$47,0)+IF($B147=G$4,G$81,0)</f>
        <v>-1444375</v>
      </c>
      <c r="H147" s="29">
        <f t="shared" ca="1" si="116"/>
        <v>-1344375</v>
      </c>
      <c r="I147" s="29">
        <f t="shared" ca="1" si="116"/>
        <v>-1344375</v>
      </c>
      <c r="J147" s="29">
        <f t="shared" ca="1" si="116"/>
        <v>-1344375</v>
      </c>
      <c r="K147" s="29">
        <f t="shared" ca="1" si="116"/>
        <v>-1344375</v>
      </c>
      <c r="L147" s="29">
        <f t="shared" ca="1" si="116"/>
        <v>-1344375</v>
      </c>
      <c r="M147" s="29">
        <f t="shared" ca="1" si="116"/>
        <v>-1344375</v>
      </c>
      <c r="N147" s="29">
        <f t="shared" ca="1" si="116"/>
        <v>-1344375</v>
      </c>
      <c r="O147" s="29">
        <f t="shared" ca="1" si="116"/>
        <v>-1344375</v>
      </c>
      <c r="P147" s="29">
        <f t="shared" ca="1" si="116"/>
        <v>-1344375</v>
      </c>
      <c r="Q147" s="29">
        <f t="shared" ca="1" si="116"/>
        <v>-1344375</v>
      </c>
      <c r="R147" s="29">
        <f t="shared" ca="1" si="116"/>
        <v>-1344375</v>
      </c>
      <c r="S147" s="29">
        <f t="shared" ca="1" si="116"/>
        <v>-372249.99999999953</v>
      </c>
      <c r="T147" s="29">
        <f t="shared" ca="1" si="116"/>
        <v>-372249.99999999953</v>
      </c>
      <c r="U147" s="29">
        <f t="shared" ca="1" si="116"/>
        <v>-372249.99999999953</v>
      </c>
      <c r="V147" s="29">
        <f t="shared" ca="1" si="116"/>
        <v>-372249.99999999953</v>
      </c>
      <c r="W147" s="29">
        <f t="shared" ca="1" si="116"/>
        <v>3345406.2500000009</v>
      </c>
      <c r="X147" s="29">
        <f t="shared" ca="1" si="116"/>
        <v>3345406.2500000009</v>
      </c>
      <c r="Y147" s="29">
        <f t="shared" ca="1" si="116"/>
        <v>2945950.5952380951</v>
      </c>
      <c r="Z147" s="29">
        <f t="shared" ca="1" si="116"/>
        <v>2915932.1428571437</v>
      </c>
      <c r="AA147" s="29">
        <f t="shared" ca="1" si="116"/>
        <v>2951646.4285714291</v>
      </c>
      <c r="AB147" s="29">
        <f t="shared" ca="1" si="116"/>
        <v>2951646.4285714291</v>
      </c>
      <c r="AC147" s="29">
        <f t="shared" ca="1" si="116"/>
        <v>2951646.4285714291</v>
      </c>
      <c r="AD147" s="29">
        <f t="shared" ca="1" si="116"/>
        <v>2951646.4285714291</v>
      </c>
      <c r="AE147" s="29">
        <f t="shared" ca="1" si="116"/>
        <v>6611317.3809523787</v>
      </c>
      <c r="AF147" s="29">
        <f t="shared" ca="1" si="116"/>
        <v>6611317.3809523787</v>
      </c>
      <c r="AG147" s="29">
        <f t="shared" ca="1" si="116"/>
        <v>6611317.3809523787</v>
      </c>
      <c r="AH147" s="29">
        <f t="shared" ca="1" si="116"/>
        <v>6611317.3809523787</v>
      </c>
      <c r="AI147" s="29">
        <f t="shared" ca="1" si="116"/>
        <v>5745426.1904761884</v>
      </c>
      <c r="AJ147" s="29">
        <f t="shared" ca="1" si="116"/>
        <v>5745426.1904761884</v>
      </c>
      <c r="AK147" s="29">
        <f t="shared" ca="1" si="116"/>
        <v>5745426.1904761884</v>
      </c>
      <c r="AL147" s="29">
        <f t="shared" ca="1" si="116"/>
        <v>5745426.1904761884</v>
      </c>
      <c r="AM147" s="29">
        <f t="shared" ca="1" si="116"/>
        <v>3526761.904761903</v>
      </c>
      <c r="AN147" s="29">
        <f t="shared" ca="1" si="116"/>
        <v>3526761.904761903</v>
      </c>
      <c r="AO147" s="29">
        <f t="shared" ca="1" si="116"/>
        <v>3526761.904761903</v>
      </c>
      <c r="AP147" s="29">
        <f t="shared" ca="1" si="116"/>
        <v>3526761.904761903</v>
      </c>
      <c r="AQ147" s="29">
        <f t="shared" ca="1" si="116"/>
        <v>4260364.2857142845</v>
      </c>
      <c r="AR147" s="29">
        <f t="shared" ca="1" si="116"/>
        <v>4260364.2857142845</v>
      </c>
      <c r="AS147" s="29">
        <f t="shared" ca="1" si="116"/>
        <v>4260364.2857142845</v>
      </c>
      <c r="AT147" s="29">
        <f t="shared" ca="1" si="116"/>
        <v>4260364.2857142845</v>
      </c>
      <c r="AU147" s="29">
        <f t="shared" ca="1" si="116"/>
        <v>0</v>
      </c>
      <c r="AV147" s="29">
        <f t="shared" ca="1" si="116"/>
        <v>0</v>
      </c>
      <c r="AW147" s="29">
        <f t="shared" ca="1" si="116"/>
        <v>0</v>
      </c>
      <c r="AX147" s="29">
        <f t="shared" ca="1" si="116"/>
        <v>0</v>
      </c>
      <c r="AY147" s="29">
        <f t="shared" si="116"/>
        <v>0</v>
      </c>
      <c r="AZ147" s="29">
        <f t="shared" si="116"/>
        <v>0</v>
      </c>
      <c r="BA147" s="29">
        <f t="shared" si="116"/>
        <v>0</v>
      </c>
      <c r="BB147" s="29">
        <f t="shared" si="116"/>
        <v>0</v>
      </c>
      <c r="BC147" s="29">
        <f t="shared" si="116"/>
        <v>0</v>
      </c>
      <c r="BD147" s="29">
        <f t="shared" si="116"/>
        <v>0</v>
      </c>
      <c r="BE147" s="29">
        <f t="shared" si="116"/>
        <v>0</v>
      </c>
      <c r="BF147" s="29">
        <f t="shared" si="116"/>
        <v>0</v>
      </c>
      <c r="BG147" s="29">
        <f t="shared" si="116"/>
        <v>0</v>
      </c>
      <c r="BH147" s="29">
        <f t="shared" si="116"/>
        <v>0</v>
      </c>
      <c r="BI147" s="29">
        <f t="shared" si="116"/>
        <v>0</v>
      </c>
      <c r="BJ147" s="29">
        <f t="shared" si="116"/>
        <v>0</v>
      </c>
      <c r="BK147" s="29">
        <f t="shared" si="116"/>
        <v>0</v>
      </c>
      <c r="BL147" s="29">
        <f t="shared" si="116"/>
        <v>0</v>
      </c>
      <c r="BM147" s="29">
        <f t="shared" si="116"/>
        <v>0</v>
      </c>
      <c r="BN147" s="29">
        <f t="shared" si="116"/>
        <v>0</v>
      </c>
      <c r="BO147" s="29">
        <f t="shared" si="116"/>
        <v>0</v>
      </c>
      <c r="BP147" s="29">
        <f t="shared" si="116"/>
        <v>0</v>
      </c>
      <c r="BQ147" s="29">
        <f t="shared" si="116"/>
        <v>0</v>
      </c>
      <c r="BR147" s="29">
        <f t="shared" si="116"/>
        <v>0</v>
      </c>
      <c r="BS147" s="29">
        <f t="shared" si="116"/>
        <v>0</v>
      </c>
      <c r="BT147" s="29">
        <f t="shared" si="116"/>
        <v>0</v>
      </c>
      <c r="BU147" s="29">
        <f t="shared" si="116"/>
        <v>0</v>
      </c>
      <c r="BV147" s="29">
        <f t="shared" si="116"/>
        <v>0</v>
      </c>
      <c r="BW147" s="29">
        <f t="shared" si="116"/>
        <v>0</v>
      </c>
      <c r="BX147" s="29">
        <f t="shared" si="116"/>
        <v>0</v>
      </c>
      <c r="BY147" s="29">
        <f t="shared" si="116"/>
        <v>0</v>
      </c>
      <c r="BZ147" s="29">
        <f t="shared" si="116"/>
        <v>0</v>
      </c>
      <c r="CA147" s="29">
        <f t="shared" si="116"/>
        <v>0</v>
      </c>
      <c r="CB147" s="29">
        <f t="shared" si="116"/>
        <v>0</v>
      </c>
      <c r="CC147" s="29">
        <f t="shared" si="116"/>
        <v>0</v>
      </c>
      <c r="CD147" s="29">
        <f t="shared" si="116"/>
        <v>0</v>
      </c>
      <c r="CE147" s="29">
        <f t="shared" si="116"/>
        <v>0</v>
      </c>
      <c r="CF147" s="29">
        <f t="shared" si="116"/>
        <v>0</v>
      </c>
      <c r="CG147" s="29">
        <f t="shared" si="116"/>
        <v>0</v>
      </c>
      <c r="CH147" s="29">
        <f t="shared" si="116"/>
        <v>0</v>
      </c>
    </row>
    <row r="148" spans="2:86" ht="13" hidden="1" outlineLevel="1">
      <c r="B148" s="84">
        <f t="shared" si="73"/>
        <v>45</v>
      </c>
      <c r="C148" s="64">
        <f t="shared" ca="1" si="71"/>
        <v>0.40745330807232882</v>
      </c>
      <c r="D148" s="15" t="s">
        <v>238</v>
      </c>
      <c r="E148" s="29">
        <f t="shared" ca="1" si="61"/>
        <v>87213259.99999997</v>
      </c>
      <c r="F148" s="29"/>
      <c r="G148" s="29">
        <f t="shared" ref="G148:CH148" ca="1" si="117">IF(G$4&lt;=$B148,ABS(G$31)*-1+G$47,0)+IF($B148=G$4,G$81,0)</f>
        <v>-1444375</v>
      </c>
      <c r="H148" s="29">
        <f t="shared" ca="1" si="117"/>
        <v>-1344375</v>
      </c>
      <c r="I148" s="29">
        <f t="shared" ca="1" si="117"/>
        <v>-1344375</v>
      </c>
      <c r="J148" s="29">
        <f t="shared" ca="1" si="117"/>
        <v>-1344375</v>
      </c>
      <c r="K148" s="29">
        <f t="shared" ca="1" si="117"/>
        <v>-1344375</v>
      </c>
      <c r="L148" s="29">
        <f t="shared" ca="1" si="117"/>
        <v>-1344375</v>
      </c>
      <c r="M148" s="29">
        <f t="shared" ca="1" si="117"/>
        <v>-1344375</v>
      </c>
      <c r="N148" s="29">
        <f t="shared" ca="1" si="117"/>
        <v>-1344375</v>
      </c>
      <c r="O148" s="29">
        <f t="shared" ca="1" si="117"/>
        <v>-1344375</v>
      </c>
      <c r="P148" s="29">
        <f t="shared" ca="1" si="117"/>
        <v>-1344375</v>
      </c>
      <c r="Q148" s="29">
        <f t="shared" ca="1" si="117"/>
        <v>-1344375</v>
      </c>
      <c r="R148" s="29">
        <f t="shared" ca="1" si="117"/>
        <v>-1344375</v>
      </c>
      <c r="S148" s="29">
        <f t="shared" ca="1" si="117"/>
        <v>-372249.99999999953</v>
      </c>
      <c r="T148" s="29">
        <f t="shared" ca="1" si="117"/>
        <v>-372249.99999999953</v>
      </c>
      <c r="U148" s="29">
        <f t="shared" ca="1" si="117"/>
        <v>-372249.99999999953</v>
      </c>
      <c r="V148" s="29">
        <f t="shared" ca="1" si="117"/>
        <v>-372249.99999999953</v>
      </c>
      <c r="W148" s="29">
        <f t="shared" ca="1" si="117"/>
        <v>3345406.2500000009</v>
      </c>
      <c r="X148" s="29">
        <f t="shared" ca="1" si="117"/>
        <v>3345406.2500000009</v>
      </c>
      <c r="Y148" s="29">
        <f t="shared" ca="1" si="117"/>
        <v>2945950.5952380951</v>
      </c>
      <c r="Z148" s="29">
        <f t="shared" ca="1" si="117"/>
        <v>2915932.1428571437</v>
      </c>
      <c r="AA148" s="29">
        <f t="shared" ca="1" si="117"/>
        <v>2951646.4285714291</v>
      </c>
      <c r="AB148" s="29">
        <f t="shared" ca="1" si="117"/>
        <v>2951646.4285714291</v>
      </c>
      <c r="AC148" s="29">
        <f t="shared" ca="1" si="117"/>
        <v>2951646.4285714291</v>
      </c>
      <c r="AD148" s="29">
        <f t="shared" ca="1" si="117"/>
        <v>2951646.4285714291</v>
      </c>
      <c r="AE148" s="29">
        <f t="shared" ca="1" si="117"/>
        <v>6611317.3809523787</v>
      </c>
      <c r="AF148" s="29">
        <f t="shared" ca="1" si="117"/>
        <v>6611317.3809523787</v>
      </c>
      <c r="AG148" s="29">
        <f t="shared" ca="1" si="117"/>
        <v>6611317.3809523787</v>
      </c>
      <c r="AH148" s="29">
        <f t="shared" ca="1" si="117"/>
        <v>6611317.3809523787</v>
      </c>
      <c r="AI148" s="29">
        <f t="shared" ca="1" si="117"/>
        <v>5745426.1904761884</v>
      </c>
      <c r="AJ148" s="29">
        <f t="shared" ca="1" si="117"/>
        <v>5745426.1904761884</v>
      </c>
      <c r="AK148" s="29">
        <f t="shared" ca="1" si="117"/>
        <v>5745426.1904761884</v>
      </c>
      <c r="AL148" s="29">
        <f t="shared" ca="1" si="117"/>
        <v>5745426.1904761884</v>
      </c>
      <c r="AM148" s="29">
        <f t="shared" ca="1" si="117"/>
        <v>3526761.904761903</v>
      </c>
      <c r="AN148" s="29">
        <f t="shared" ca="1" si="117"/>
        <v>3526761.904761903</v>
      </c>
      <c r="AO148" s="29">
        <f t="shared" ca="1" si="117"/>
        <v>3526761.904761903</v>
      </c>
      <c r="AP148" s="29">
        <f t="shared" ca="1" si="117"/>
        <v>3526761.904761903</v>
      </c>
      <c r="AQ148" s="29">
        <f t="shared" ca="1" si="117"/>
        <v>4260364.2857142845</v>
      </c>
      <c r="AR148" s="29">
        <f t="shared" ca="1" si="117"/>
        <v>4260364.2857142845</v>
      </c>
      <c r="AS148" s="29">
        <f t="shared" ca="1" si="117"/>
        <v>4260364.2857142845</v>
      </c>
      <c r="AT148" s="29">
        <f t="shared" ca="1" si="117"/>
        <v>4260364.2857142845</v>
      </c>
      <c r="AU148" s="29">
        <f t="shared" ca="1" si="117"/>
        <v>0</v>
      </c>
      <c r="AV148" s="29">
        <f t="shared" ca="1" si="117"/>
        <v>0</v>
      </c>
      <c r="AW148" s="29">
        <f t="shared" ca="1" si="117"/>
        <v>0</v>
      </c>
      <c r="AX148" s="29">
        <f t="shared" ca="1" si="117"/>
        <v>0</v>
      </c>
      <c r="AY148" s="29">
        <f t="shared" ca="1" si="117"/>
        <v>0</v>
      </c>
      <c r="AZ148" s="29">
        <f t="shared" si="117"/>
        <v>0</v>
      </c>
      <c r="BA148" s="29">
        <f t="shared" si="117"/>
        <v>0</v>
      </c>
      <c r="BB148" s="29">
        <f t="shared" si="117"/>
        <v>0</v>
      </c>
      <c r="BC148" s="29">
        <f t="shared" si="117"/>
        <v>0</v>
      </c>
      <c r="BD148" s="29">
        <f t="shared" si="117"/>
        <v>0</v>
      </c>
      <c r="BE148" s="29">
        <f t="shared" si="117"/>
        <v>0</v>
      </c>
      <c r="BF148" s="29">
        <f t="shared" si="117"/>
        <v>0</v>
      </c>
      <c r="BG148" s="29">
        <f t="shared" si="117"/>
        <v>0</v>
      </c>
      <c r="BH148" s="29">
        <f t="shared" si="117"/>
        <v>0</v>
      </c>
      <c r="BI148" s="29">
        <f t="shared" si="117"/>
        <v>0</v>
      </c>
      <c r="BJ148" s="29">
        <f t="shared" si="117"/>
        <v>0</v>
      </c>
      <c r="BK148" s="29">
        <f t="shared" si="117"/>
        <v>0</v>
      </c>
      <c r="BL148" s="29">
        <f t="shared" si="117"/>
        <v>0</v>
      </c>
      <c r="BM148" s="29">
        <f t="shared" si="117"/>
        <v>0</v>
      </c>
      <c r="BN148" s="29">
        <f t="shared" si="117"/>
        <v>0</v>
      </c>
      <c r="BO148" s="29">
        <f t="shared" si="117"/>
        <v>0</v>
      </c>
      <c r="BP148" s="29">
        <f t="shared" si="117"/>
        <v>0</v>
      </c>
      <c r="BQ148" s="29">
        <f t="shared" si="117"/>
        <v>0</v>
      </c>
      <c r="BR148" s="29">
        <f t="shared" si="117"/>
        <v>0</v>
      </c>
      <c r="BS148" s="29">
        <f t="shared" si="117"/>
        <v>0</v>
      </c>
      <c r="BT148" s="29">
        <f t="shared" si="117"/>
        <v>0</v>
      </c>
      <c r="BU148" s="29">
        <f t="shared" si="117"/>
        <v>0</v>
      </c>
      <c r="BV148" s="29">
        <f t="shared" si="117"/>
        <v>0</v>
      </c>
      <c r="BW148" s="29">
        <f t="shared" si="117"/>
        <v>0</v>
      </c>
      <c r="BX148" s="29">
        <f t="shared" si="117"/>
        <v>0</v>
      </c>
      <c r="BY148" s="29">
        <f t="shared" si="117"/>
        <v>0</v>
      </c>
      <c r="BZ148" s="29">
        <f t="shared" si="117"/>
        <v>0</v>
      </c>
      <c r="CA148" s="29">
        <f t="shared" si="117"/>
        <v>0</v>
      </c>
      <c r="CB148" s="29">
        <f t="shared" si="117"/>
        <v>0</v>
      </c>
      <c r="CC148" s="29">
        <f t="shared" si="117"/>
        <v>0</v>
      </c>
      <c r="CD148" s="29">
        <f t="shared" si="117"/>
        <v>0</v>
      </c>
      <c r="CE148" s="29">
        <f t="shared" si="117"/>
        <v>0</v>
      </c>
      <c r="CF148" s="29">
        <f t="shared" si="117"/>
        <v>0</v>
      </c>
      <c r="CG148" s="29">
        <f t="shared" si="117"/>
        <v>0</v>
      </c>
      <c r="CH148" s="29">
        <f t="shared" si="117"/>
        <v>0</v>
      </c>
    </row>
    <row r="149" spans="2:86" ht="13" hidden="1" outlineLevel="1">
      <c r="B149" s="84">
        <f t="shared" si="73"/>
        <v>46</v>
      </c>
      <c r="C149" s="64">
        <f t="shared" ca="1" si="71"/>
        <v>0.40745330807232882</v>
      </c>
      <c r="D149" s="15" t="s">
        <v>238</v>
      </c>
      <c r="E149" s="29">
        <f t="shared" ca="1" si="61"/>
        <v>87213259.99999997</v>
      </c>
      <c r="F149" s="29"/>
      <c r="G149" s="29">
        <f t="shared" ref="G149:CH149" ca="1" si="118">IF(G$4&lt;=$B149,ABS(G$31)*-1+G$47,0)+IF($B149=G$4,G$81,0)</f>
        <v>-1444375</v>
      </c>
      <c r="H149" s="29">
        <f t="shared" ca="1" si="118"/>
        <v>-1344375</v>
      </c>
      <c r="I149" s="29">
        <f t="shared" ca="1" si="118"/>
        <v>-1344375</v>
      </c>
      <c r="J149" s="29">
        <f t="shared" ca="1" si="118"/>
        <v>-1344375</v>
      </c>
      <c r="K149" s="29">
        <f t="shared" ca="1" si="118"/>
        <v>-1344375</v>
      </c>
      <c r="L149" s="29">
        <f t="shared" ca="1" si="118"/>
        <v>-1344375</v>
      </c>
      <c r="M149" s="29">
        <f t="shared" ca="1" si="118"/>
        <v>-1344375</v>
      </c>
      <c r="N149" s="29">
        <f t="shared" ca="1" si="118"/>
        <v>-1344375</v>
      </c>
      <c r="O149" s="29">
        <f t="shared" ca="1" si="118"/>
        <v>-1344375</v>
      </c>
      <c r="P149" s="29">
        <f t="shared" ca="1" si="118"/>
        <v>-1344375</v>
      </c>
      <c r="Q149" s="29">
        <f t="shared" ca="1" si="118"/>
        <v>-1344375</v>
      </c>
      <c r="R149" s="29">
        <f t="shared" ca="1" si="118"/>
        <v>-1344375</v>
      </c>
      <c r="S149" s="29">
        <f t="shared" ca="1" si="118"/>
        <v>-372249.99999999953</v>
      </c>
      <c r="T149" s="29">
        <f t="shared" ca="1" si="118"/>
        <v>-372249.99999999953</v>
      </c>
      <c r="U149" s="29">
        <f t="shared" ca="1" si="118"/>
        <v>-372249.99999999953</v>
      </c>
      <c r="V149" s="29">
        <f t="shared" ca="1" si="118"/>
        <v>-372249.99999999953</v>
      </c>
      <c r="W149" s="29">
        <f t="shared" ca="1" si="118"/>
        <v>3345406.2500000009</v>
      </c>
      <c r="X149" s="29">
        <f t="shared" ca="1" si="118"/>
        <v>3345406.2500000009</v>
      </c>
      <c r="Y149" s="29">
        <f t="shared" ca="1" si="118"/>
        <v>2945950.5952380951</v>
      </c>
      <c r="Z149" s="29">
        <f t="shared" ca="1" si="118"/>
        <v>2915932.1428571437</v>
      </c>
      <c r="AA149" s="29">
        <f t="shared" ca="1" si="118"/>
        <v>2951646.4285714291</v>
      </c>
      <c r="AB149" s="29">
        <f t="shared" ca="1" si="118"/>
        <v>2951646.4285714291</v>
      </c>
      <c r="AC149" s="29">
        <f t="shared" ca="1" si="118"/>
        <v>2951646.4285714291</v>
      </c>
      <c r="AD149" s="29">
        <f t="shared" ca="1" si="118"/>
        <v>2951646.4285714291</v>
      </c>
      <c r="AE149" s="29">
        <f t="shared" ca="1" si="118"/>
        <v>6611317.3809523787</v>
      </c>
      <c r="AF149" s="29">
        <f t="shared" ca="1" si="118"/>
        <v>6611317.3809523787</v>
      </c>
      <c r="AG149" s="29">
        <f t="shared" ca="1" si="118"/>
        <v>6611317.3809523787</v>
      </c>
      <c r="AH149" s="29">
        <f t="shared" ca="1" si="118"/>
        <v>6611317.3809523787</v>
      </c>
      <c r="AI149" s="29">
        <f t="shared" ca="1" si="118"/>
        <v>5745426.1904761884</v>
      </c>
      <c r="AJ149" s="29">
        <f t="shared" ca="1" si="118"/>
        <v>5745426.1904761884</v>
      </c>
      <c r="AK149" s="29">
        <f t="shared" ca="1" si="118"/>
        <v>5745426.1904761884</v>
      </c>
      <c r="AL149" s="29">
        <f t="shared" ca="1" si="118"/>
        <v>5745426.1904761884</v>
      </c>
      <c r="AM149" s="29">
        <f t="shared" ca="1" si="118"/>
        <v>3526761.904761903</v>
      </c>
      <c r="AN149" s="29">
        <f t="shared" ca="1" si="118"/>
        <v>3526761.904761903</v>
      </c>
      <c r="AO149" s="29">
        <f t="shared" ca="1" si="118"/>
        <v>3526761.904761903</v>
      </c>
      <c r="AP149" s="29">
        <f t="shared" ca="1" si="118"/>
        <v>3526761.904761903</v>
      </c>
      <c r="AQ149" s="29">
        <f t="shared" ca="1" si="118"/>
        <v>4260364.2857142845</v>
      </c>
      <c r="AR149" s="29">
        <f t="shared" ca="1" si="118"/>
        <v>4260364.2857142845</v>
      </c>
      <c r="AS149" s="29">
        <f t="shared" ca="1" si="118"/>
        <v>4260364.2857142845</v>
      </c>
      <c r="AT149" s="29">
        <f t="shared" ca="1" si="118"/>
        <v>4260364.2857142845</v>
      </c>
      <c r="AU149" s="29">
        <f t="shared" ca="1" si="118"/>
        <v>0</v>
      </c>
      <c r="AV149" s="29">
        <f t="shared" ca="1" si="118"/>
        <v>0</v>
      </c>
      <c r="AW149" s="29">
        <f t="shared" ca="1" si="118"/>
        <v>0</v>
      </c>
      <c r="AX149" s="29">
        <f t="shared" ca="1" si="118"/>
        <v>0</v>
      </c>
      <c r="AY149" s="29">
        <f t="shared" ca="1" si="118"/>
        <v>0</v>
      </c>
      <c r="AZ149" s="29">
        <f t="shared" ca="1" si="118"/>
        <v>0</v>
      </c>
      <c r="BA149" s="29">
        <f t="shared" si="118"/>
        <v>0</v>
      </c>
      <c r="BB149" s="29">
        <f t="shared" si="118"/>
        <v>0</v>
      </c>
      <c r="BC149" s="29">
        <f t="shared" si="118"/>
        <v>0</v>
      </c>
      <c r="BD149" s="29">
        <f t="shared" si="118"/>
        <v>0</v>
      </c>
      <c r="BE149" s="29">
        <f t="shared" si="118"/>
        <v>0</v>
      </c>
      <c r="BF149" s="29">
        <f t="shared" si="118"/>
        <v>0</v>
      </c>
      <c r="BG149" s="29">
        <f t="shared" si="118"/>
        <v>0</v>
      </c>
      <c r="BH149" s="29">
        <f t="shared" si="118"/>
        <v>0</v>
      </c>
      <c r="BI149" s="29">
        <f t="shared" si="118"/>
        <v>0</v>
      </c>
      <c r="BJ149" s="29">
        <f t="shared" si="118"/>
        <v>0</v>
      </c>
      <c r="BK149" s="29">
        <f t="shared" si="118"/>
        <v>0</v>
      </c>
      <c r="BL149" s="29">
        <f t="shared" si="118"/>
        <v>0</v>
      </c>
      <c r="BM149" s="29">
        <f t="shared" si="118"/>
        <v>0</v>
      </c>
      <c r="BN149" s="29">
        <f t="shared" si="118"/>
        <v>0</v>
      </c>
      <c r="BO149" s="29">
        <f t="shared" si="118"/>
        <v>0</v>
      </c>
      <c r="BP149" s="29">
        <f t="shared" si="118"/>
        <v>0</v>
      </c>
      <c r="BQ149" s="29">
        <f t="shared" si="118"/>
        <v>0</v>
      </c>
      <c r="BR149" s="29">
        <f t="shared" si="118"/>
        <v>0</v>
      </c>
      <c r="BS149" s="29">
        <f t="shared" si="118"/>
        <v>0</v>
      </c>
      <c r="BT149" s="29">
        <f t="shared" si="118"/>
        <v>0</v>
      </c>
      <c r="BU149" s="29">
        <f t="shared" si="118"/>
        <v>0</v>
      </c>
      <c r="BV149" s="29">
        <f t="shared" si="118"/>
        <v>0</v>
      </c>
      <c r="BW149" s="29">
        <f t="shared" si="118"/>
        <v>0</v>
      </c>
      <c r="BX149" s="29">
        <f t="shared" si="118"/>
        <v>0</v>
      </c>
      <c r="BY149" s="29">
        <f t="shared" si="118"/>
        <v>0</v>
      </c>
      <c r="BZ149" s="29">
        <f t="shared" si="118"/>
        <v>0</v>
      </c>
      <c r="CA149" s="29">
        <f t="shared" si="118"/>
        <v>0</v>
      </c>
      <c r="CB149" s="29">
        <f t="shared" si="118"/>
        <v>0</v>
      </c>
      <c r="CC149" s="29">
        <f t="shared" si="118"/>
        <v>0</v>
      </c>
      <c r="CD149" s="29">
        <f t="shared" si="118"/>
        <v>0</v>
      </c>
      <c r="CE149" s="29">
        <f t="shared" si="118"/>
        <v>0</v>
      </c>
      <c r="CF149" s="29">
        <f t="shared" si="118"/>
        <v>0</v>
      </c>
      <c r="CG149" s="29">
        <f t="shared" si="118"/>
        <v>0</v>
      </c>
      <c r="CH149" s="29">
        <f t="shared" si="118"/>
        <v>0</v>
      </c>
    </row>
    <row r="150" spans="2:86" ht="13" hidden="1" outlineLevel="1">
      <c r="B150" s="84">
        <f t="shared" si="73"/>
        <v>47</v>
      </c>
      <c r="C150" s="64">
        <f t="shared" ca="1" si="71"/>
        <v>0.40745330807232882</v>
      </c>
      <c r="D150" s="15" t="s">
        <v>238</v>
      </c>
      <c r="E150" s="29">
        <f t="shared" ca="1" si="61"/>
        <v>87213259.99999997</v>
      </c>
      <c r="F150" s="29"/>
      <c r="G150" s="29">
        <f t="shared" ref="G150:CH150" ca="1" si="119">IF(G$4&lt;=$B150,ABS(G$31)*-1+G$47,0)+IF($B150=G$4,G$81,0)</f>
        <v>-1444375</v>
      </c>
      <c r="H150" s="29">
        <f t="shared" ca="1" si="119"/>
        <v>-1344375</v>
      </c>
      <c r="I150" s="29">
        <f t="shared" ca="1" si="119"/>
        <v>-1344375</v>
      </c>
      <c r="J150" s="29">
        <f t="shared" ca="1" si="119"/>
        <v>-1344375</v>
      </c>
      <c r="K150" s="29">
        <f t="shared" ca="1" si="119"/>
        <v>-1344375</v>
      </c>
      <c r="L150" s="29">
        <f t="shared" ca="1" si="119"/>
        <v>-1344375</v>
      </c>
      <c r="M150" s="29">
        <f t="shared" ca="1" si="119"/>
        <v>-1344375</v>
      </c>
      <c r="N150" s="29">
        <f t="shared" ca="1" si="119"/>
        <v>-1344375</v>
      </c>
      <c r="O150" s="29">
        <f t="shared" ca="1" si="119"/>
        <v>-1344375</v>
      </c>
      <c r="P150" s="29">
        <f t="shared" ca="1" si="119"/>
        <v>-1344375</v>
      </c>
      <c r="Q150" s="29">
        <f t="shared" ca="1" si="119"/>
        <v>-1344375</v>
      </c>
      <c r="R150" s="29">
        <f t="shared" ca="1" si="119"/>
        <v>-1344375</v>
      </c>
      <c r="S150" s="29">
        <f t="shared" ca="1" si="119"/>
        <v>-372249.99999999953</v>
      </c>
      <c r="T150" s="29">
        <f t="shared" ca="1" si="119"/>
        <v>-372249.99999999953</v>
      </c>
      <c r="U150" s="29">
        <f t="shared" ca="1" si="119"/>
        <v>-372249.99999999953</v>
      </c>
      <c r="V150" s="29">
        <f t="shared" ca="1" si="119"/>
        <v>-372249.99999999953</v>
      </c>
      <c r="W150" s="29">
        <f t="shared" ca="1" si="119"/>
        <v>3345406.2500000009</v>
      </c>
      <c r="X150" s="29">
        <f t="shared" ca="1" si="119"/>
        <v>3345406.2500000009</v>
      </c>
      <c r="Y150" s="29">
        <f t="shared" ca="1" si="119"/>
        <v>2945950.5952380951</v>
      </c>
      <c r="Z150" s="29">
        <f t="shared" ca="1" si="119"/>
        <v>2915932.1428571437</v>
      </c>
      <c r="AA150" s="29">
        <f t="shared" ca="1" si="119"/>
        <v>2951646.4285714291</v>
      </c>
      <c r="AB150" s="29">
        <f t="shared" ca="1" si="119"/>
        <v>2951646.4285714291</v>
      </c>
      <c r="AC150" s="29">
        <f t="shared" ca="1" si="119"/>
        <v>2951646.4285714291</v>
      </c>
      <c r="AD150" s="29">
        <f t="shared" ca="1" si="119"/>
        <v>2951646.4285714291</v>
      </c>
      <c r="AE150" s="29">
        <f t="shared" ca="1" si="119"/>
        <v>6611317.3809523787</v>
      </c>
      <c r="AF150" s="29">
        <f t="shared" ca="1" si="119"/>
        <v>6611317.3809523787</v>
      </c>
      <c r="AG150" s="29">
        <f t="shared" ca="1" si="119"/>
        <v>6611317.3809523787</v>
      </c>
      <c r="AH150" s="29">
        <f t="shared" ca="1" si="119"/>
        <v>6611317.3809523787</v>
      </c>
      <c r="AI150" s="29">
        <f t="shared" ca="1" si="119"/>
        <v>5745426.1904761884</v>
      </c>
      <c r="AJ150" s="29">
        <f t="shared" ca="1" si="119"/>
        <v>5745426.1904761884</v>
      </c>
      <c r="AK150" s="29">
        <f t="shared" ca="1" si="119"/>
        <v>5745426.1904761884</v>
      </c>
      <c r="AL150" s="29">
        <f t="shared" ca="1" si="119"/>
        <v>5745426.1904761884</v>
      </c>
      <c r="AM150" s="29">
        <f t="shared" ca="1" si="119"/>
        <v>3526761.904761903</v>
      </c>
      <c r="AN150" s="29">
        <f t="shared" ca="1" si="119"/>
        <v>3526761.904761903</v>
      </c>
      <c r="AO150" s="29">
        <f t="shared" ca="1" si="119"/>
        <v>3526761.904761903</v>
      </c>
      <c r="AP150" s="29">
        <f t="shared" ca="1" si="119"/>
        <v>3526761.904761903</v>
      </c>
      <c r="AQ150" s="29">
        <f t="shared" ca="1" si="119"/>
        <v>4260364.2857142845</v>
      </c>
      <c r="AR150" s="29">
        <f t="shared" ca="1" si="119"/>
        <v>4260364.2857142845</v>
      </c>
      <c r="AS150" s="29">
        <f t="shared" ca="1" si="119"/>
        <v>4260364.2857142845</v>
      </c>
      <c r="AT150" s="29">
        <f t="shared" ca="1" si="119"/>
        <v>4260364.2857142845</v>
      </c>
      <c r="AU150" s="29">
        <f t="shared" ca="1" si="119"/>
        <v>0</v>
      </c>
      <c r="AV150" s="29">
        <f t="shared" ca="1" si="119"/>
        <v>0</v>
      </c>
      <c r="AW150" s="29">
        <f t="shared" ca="1" si="119"/>
        <v>0</v>
      </c>
      <c r="AX150" s="29">
        <f t="shared" ca="1" si="119"/>
        <v>0</v>
      </c>
      <c r="AY150" s="29">
        <f t="shared" ca="1" si="119"/>
        <v>0</v>
      </c>
      <c r="AZ150" s="29">
        <f t="shared" ca="1" si="119"/>
        <v>0</v>
      </c>
      <c r="BA150" s="29">
        <f t="shared" ca="1" si="119"/>
        <v>0</v>
      </c>
      <c r="BB150" s="29">
        <f t="shared" si="119"/>
        <v>0</v>
      </c>
      <c r="BC150" s="29">
        <f t="shared" si="119"/>
        <v>0</v>
      </c>
      <c r="BD150" s="29">
        <f t="shared" si="119"/>
        <v>0</v>
      </c>
      <c r="BE150" s="29">
        <f t="shared" si="119"/>
        <v>0</v>
      </c>
      <c r="BF150" s="29">
        <f t="shared" si="119"/>
        <v>0</v>
      </c>
      <c r="BG150" s="29">
        <f t="shared" si="119"/>
        <v>0</v>
      </c>
      <c r="BH150" s="29">
        <f t="shared" si="119"/>
        <v>0</v>
      </c>
      <c r="BI150" s="29">
        <f t="shared" si="119"/>
        <v>0</v>
      </c>
      <c r="BJ150" s="29">
        <f t="shared" si="119"/>
        <v>0</v>
      </c>
      <c r="BK150" s="29">
        <f t="shared" si="119"/>
        <v>0</v>
      </c>
      <c r="BL150" s="29">
        <f t="shared" si="119"/>
        <v>0</v>
      </c>
      <c r="BM150" s="29">
        <f t="shared" si="119"/>
        <v>0</v>
      </c>
      <c r="BN150" s="29">
        <f t="shared" si="119"/>
        <v>0</v>
      </c>
      <c r="BO150" s="29">
        <f t="shared" si="119"/>
        <v>0</v>
      </c>
      <c r="BP150" s="29">
        <f t="shared" si="119"/>
        <v>0</v>
      </c>
      <c r="BQ150" s="29">
        <f t="shared" si="119"/>
        <v>0</v>
      </c>
      <c r="BR150" s="29">
        <f t="shared" si="119"/>
        <v>0</v>
      </c>
      <c r="BS150" s="29">
        <f t="shared" si="119"/>
        <v>0</v>
      </c>
      <c r="BT150" s="29">
        <f t="shared" si="119"/>
        <v>0</v>
      </c>
      <c r="BU150" s="29">
        <f t="shared" si="119"/>
        <v>0</v>
      </c>
      <c r="BV150" s="29">
        <f t="shared" si="119"/>
        <v>0</v>
      </c>
      <c r="BW150" s="29">
        <f t="shared" si="119"/>
        <v>0</v>
      </c>
      <c r="BX150" s="29">
        <f t="shared" si="119"/>
        <v>0</v>
      </c>
      <c r="BY150" s="29">
        <f t="shared" si="119"/>
        <v>0</v>
      </c>
      <c r="BZ150" s="29">
        <f t="shared" si="119"/>
        <v>0</v>
      </c>
      <c r="CA150" s="29">
        <f t="shared" si="119"/>
        <v>0</v>
      </c>
      <c r="CB150" s="29">
        <f t="shared" si="119"/>
        <v>0</v>
      </c>
      <c r="CC150" s="29">
        <f t="shared" si="119"/>
        <v>0</v>
      </c>
      <c r="CD150" s="29">
        <f t="shared" si="119"/>
        <v>0</v>
      </c>
      <c r="CE150" s="29">
        <f t="shared" si="119"/>
        <v>0</v>
      </c>
      <c r="CF150" s="29">
        <f t="shared" si="119"/>
        <v>0</v>
      </c>
      <c r="CG150" s="29">
        <f t="shared" si="119"/>
        <v>0</v>
      </c>
      <c r="CH150" s="29">
        <f t="shared" si="119"/>
        <v>0</v>
      </c>
    </row>
    <row r="151" spans="2:86" ht="13" hidden="1" outlineLevel="1">
      <c r="B151" s="84">
        <f t="shared" si="73"/>
        <v>48</v>
      </c>
      <c r="C151" s="64">
        <f t="shared" ca="1" si="71"/>
        <v>0.40745330807232882</v>
      </c>
      <c r="D151" s="15" t="s">
        <v>238</v>
      </c>
      <c r="E151" s="29">
        <f t="shared" ca="1" si="61"/>
        <v>87213259.99999997</v>
      </c>
      <c r="F151" s="29"/>
      <c r="G151" s="29">
        <f t="shared" ref="G151:CH151" ca="1" si="120">IF(G$4&lt;=$B151,ABS(G$31)*-1+G$47,0)+IF($B151=G$4,G$81,0)</f>
        <v>-1444375</v>
      </c>
      <c r="H151" s="29">
        <f t="shared" ca="1" si="120"/>
        <v>-1344375</v>
      </c>
      <c r="I151" s="29">
        <f t="shared" ca="1" si="120"/>
        <v>-1344375</v>
      </c>
      <c r="J151" s="29">
        <f t="shared" ca="1" si="120"/>
        <v>-1344375</v>
      </c>
      <c r="K151" s="29">
        <f t="shared" ca="1" si="120"/>
        <v>-1344375</v>
      </c>
      <c r="L151" s="29">
        <f t="shared" ca="1" si="120"/>
        <v>-1344375</v>
      </c>
      <c r="M151" s="29">
        <f t="shared" ca="1" si="120"/>
        <v>-1344375</v>
      </c>
      <c r="N151" s="29">
        <f t="shared" ca="1" si="120"/>
        <v>-1344375</v>
      </c>
      <c r="O151" s="29">
        <f t="shared" ca="1" si="120"/>
        <v>-1344375</v>
      </c>
      <c r="P151" s="29">
        <f t="shared" ca="1" si="120"/>
        <v>-1344375</v>
      </c>
      <c r="Q151" s="29">
        <f t="shared" ca="1" si="120"/>
        <v>-1344375</v>
      </c>
      <c r="R151" s="29">
        <f t="shared" ca="1" si="120"/>
        <v>-1344375</v>
      </c>
      <c r="S151" s="29">
        <f t="shared" ca="1" si="120"/>
        <v>-372249.99999999953</v>
      </c>
      <c r="T151" s="29">
        <f t="shared" ca="1" si="120"/>
        <v>-372249.99999999953</v>
      </c>
      <c r="U151" s="29">
        <f t="shared" ca="1" si="120"/>
        <v>-372249.99999999953</v>
      </c>
      <c r="V151" s="29">
        <f t="shared" ca="1" si="120"/>
        <v>-372249.99999999953</v>
      </c>
      <c r="W151" s="29">
        <f t="shared" ca="1" si="120"/>
        <v>3345406.2500000009</v>
      </c>
      <c r="X151" s="29">
        <f t="shared" ca="1" si="120"/>
        <v>3345406.2500000009</v>
      </c>
      <c r="Y151" s="29">
        <f t="shared" ca="1" si="120"/>
        <v>2945950.5952380951</v>
      </c>
      <c r="Z151" s="29">
        <f t="shared" ca="1" si="120"/>
        <v>2915932.1428571437</v>
      </c>
      <c r="AA151" s="29">
        <f t="shared" ca="1" si="120"/>
        <v>2951646.4285714291</v>
      </c>
      <c r="AB151" s="29">
        <f t="shared" ca="1" si="120"/>
        <v>2951646.4285714291</v>
      </c>
      <c r="AC151" s="29">
        <f t="shared" ca="1" si="120"/>
        <v>2951646.4285714291</v>
      </c>
      <c r="AD151" s="29">
        <f t="shared" ca="1" si="120"/>
        <v>2951646.4285714291</v>
      </c>
      <c r="AE151" s="29">
        <f t="shared" ca="1" si="120"/>
        <v>6611317.3809523787</v>
      </c>
      <c r="AF151" s="29">
        <f t="shared" ca="1" si="120"/>
        <v>6611317.3809523787</v>
      </c>
      <c r="AG151" s="29">
        <f t="shared" ca="1" si="120"/>
        <v>6611317.3809523787</v>
      </c>
      <c r="AH151" s="29">
        <f t="shared" ca="1" si="120"/>
        <v>6611317.3809523787</v>
      </c>
      <c r="AI151" s="29">
        <f t="shared" ca="1" si="120"/>
        <v>5745426.1904761884</v>
      </c>
      <c r="AJ151" s="29">
        <f t="shared" ca="1" si="120"/>
        <v>5745426.1904761884</v>
      </c>
      <c r="AK151" s="29">
        <f t="shared" ca="1" si="120"/>
        <v>5745426.1904761884</v>
      </c>
      <c r="AL151" s="29">
        <f t="shared" ca="1" si="120"/>
        <v>5745426.1904761884</v>
      </c>
      <c r="AM151" s="29">
        <f t="shared" ca="1" si="120"/>
        <v>3526761.904761903</v>
      </c>
      <c r="AN151" s="29">
        <f t="shared" ca="1" si="120"/>
        <v>3526761.904761903</v>
      </c>
      <c r="AO151" s="29">
        <f t="shared" ca="1" si="120"/>
        <v>3526761.904761903</v>
      </c>
      <c r="AP151" s="29">
        <f t="shared" ca="1" si="120"/>
        <v>3526761.904761903</v>
      </c>
      <c r="AQ151" s="29">
        <f t="shared" ca="1" si="120"/>
        <v>4260364.2857142845</v>
      </c>
      <c r="AR151" s="29">
        <f t="shared" ca="1" si="120"/>
        <v>4260364.2857142845</v>
      </c>
      <c r="AS151" s="29">
        <f t="shared" ca="1" si="120"/>
        <v>4260364.2857142845</v>
      </c>
      <c r="AT151" s="29">
        <f t="shared" ca="1" si="120"/>
        <v>4260364.2857142845</v>
      </c>
      <c r="AU151" s="29">
        <f t="shared" ca="1" si="120"/>
        <v>0</v>
      </c>
      <c r="AV151" s="29">
        <f t="shared" ca="1" si="120"/>
        <v>0</v>
      </c>
      <c r="AW151" s="29">
        <f t="shared" ca="1" si="120"/>
        <v>0</v>
      </c>
      <c r="AX151" s="29">
        <f t="shared" ca="1" si="120"/>
        <v>0</v>
      </c>
      <c r="AY151" s="29">
        <f t="shared" ca="1" si="120"/>
        <v>0</v>
      </c>
      <c r="AZ151" s="29">
        <f t="shared" ca="1" si="120"/>
        <v>0</v>
      </c>
      <c r="BA151" s="29">
        <f t="shared" ca="1" si="120"/>
        <v>0</v>
      </c>
      <c r="BB151" s="29">
        <f t="shared" ca="1" si="120"/>
        <v>0</v>
      </c>
      <c r="BC151" s="29">
        <f t="shared" si="120"/>
        <v>0</v>
      </c>
      <c r="BD151" s="29">
        <f t="shared" si="120"/>
        <v>0</v>
      </c>
      <c r="BE151" s="29">
        <f t="shared" si="120"/>
        <v>0</v>
      </c>
      <c r="BF151" s="29">
        <f t="shared" si="120"/>
        <v>0</v>
      </c>
      <c r="BG151" s="29">
        <f t="shared" si="120"/>
        <v>0</v>
      </c>
      <c r="BH151" s="29">
        <f t="shared" si="120"/>
        <v>0</v>
      </c>
      <c r="BI151" s="29">
        <f t="shared" si="120"/>
        <v>0</v>
      </c>
      <c r="BJ151" s="29">
        <f t="shared" si="120"/>
        <v>0</v>
      </c>
      <c r="BK151" s="29">
        <f t="shared" si="120"/>
        <v>0</v>
      </c>
      <c r="BL151" s="29">
        <f t="shared" si="120"/>
        <v>0</v>
      </c>
      <c r="BM151" s="29">
        <f t="shared" si="120"/>
        <v>0</v>
      </c>
      <c r="BN151" s="29">
        <f t="shared" si="120"/>
        <v>0</v>
      </c>
      <c r="BO151" s="29">
        <f t="shared" si="120"/>
        <v>0</v>
      </c>
      <c r="BP151" s="29">
        <f t="shared" si="120"/>
        <v>0</v>
      </c>
      <c r="BQ151" s="29">
        <f t="shared" si="120"/>
        <v>0</v>
      </c>
      <c r="BR151" s="29">
        <f t="shared" si="120"/>
        <v>0</v>
      </c>
      <c r="BS151" s="29">
        <f t="shared" si="120"/>
        <v>0</v>
      </c>
      <c r="BT151" s="29">
        <f t="shared" si="120"/>
        <v>0</v>
      </c>
      <c r="BU151" s="29">
        <f t="shared" si="120"/>
        <v>0</v>
      </c>
      <c r="BV151" s="29">
        <f t="shared" si="120"/>
        <v>0</v>
      </c>
      <c r="BW151" s="29">
        <f t="shared" si="120"/>
        <v>0</v>
      </c>
      <c r="BX151" s="29">
        <f t="shared" si="120"/>
        <v>0</v>
      </c>
      <c r="BY151" s="29">
        <f t="shared" si="120"/>
        <v>0</v>
      </c>
      <c r="BZ151" s="29">
        <f t="shared" si="120"/>
        <v>0</v>
      </c>
      <c r="CA151" s="29">
        <f t="shared" si="120"/>
        <v>0</v>
      </c>
      <c r="CB151" s="29">
        <f t="shared" si="120"/>
        <v>0</v>
      </c>
      <c r="CC151" s="29">
        <f t="shared" si="120"/>
        <v>0</v>
      </c>
      <c r="CD151" s="29">
        <f t="shared" si="120"/>
        <v>0</v>
      </c>
      <c r="CE151" s="29">
        <f t="shared" si="120"/>
        <v>0</v>
      </c>
      <c r="CF151" s="29">
        <f t="shared" si="120"/>
        <v>0</v>
      </c>
      <c r="CG151" s="29">
        <f t="shared" si="120"/>
        <v>0</v>
      </c>
      <c r="CH151" s="29">
        <f t="shared" si="120"/>
        <v>0</v>
      </c>
    </row>
    <row r="152" spans="2:86" ht="13" hidden="1" outlineLevel="1">
      <c r="B152" s="84">
        <f t="shared" si="73"/>
        <v>49</v>
      </c>
      <c r="C152" s="64">
        <f t="shared" ca="1" si="71"/>
        <v>0.40745330807232882</v>
      </c>
      <c r="D152" s="15" t="s">
        <v>238</v>
      </c>
      <c r="E152" s="29">
        <f t="shared" ca="1" si="61"/>
        <v>87213259.99999997</v>
      </c>
      <c r="F152" s="29"/>
      <c r="G152" s="29">
        <f t="shared" ref="G152:CH152" ca="1" si="121">IF(G$4&lt;=$B152,ABS(G$31)*-1+G$47,0)+IF($B152=G$4,G$81,0)</f>
        <v>-1444375</v>
      </c>
      <c r="H152" s="29">
        <f t="shared" ca="1" si="121"/>
        <v>-1344375</v>
      </c>
      <c r="I152" s="29">
        <f t="shared" ca="1" si="121"/>
        <v>-1344375</v>
      </c>
      <c r="J152" s="29">
        <f t="shared" ca="1" si="121"/>
        <v>-1344375</v>
      </c>
      <c r="K152" s="29">
        <f t="shared" ca="1" si="121"/>
        <v>-1344375</v>
      </c>
      <c r="L152" s="29">
        <f t="shared" ca="1" si="121"/>
        <v>-1344375</v>
      </c>
      <c r="M152" s="29">
        <f t="shared" ca="1" si="121"/>
        <v>-1344375</v>
      </c>
      <c r="N152" s="29">
        <f t="shared" ca="1" si="121"/>
        <v>-1344375</v>
      </c>
      <c r="O152" s="29">
        <f t="shared" ca="1" si="121"/>
        <v>-1344375</v>
      </c>
      <c r="P152" s="29">
        <f t="shared" ca="1" si="121"/>
        <v>-1344375</v>
      </c>
      <c r="Q152" s="29">
        <f t="shared" ca="1" si="121"/>
        <v>-1344375</v>
      </c>
      <c r="R152" s="29">
        <f t="shared" ca="1" si="121"/>
        <v>-1344375</v>
      </c>
      <c r="S152" s="29">
        <f t="shared" ca="1" si="121"/>
        <v>-372249.99999999953</v>
      </c>
      <c r="T152" s="29">
        <f t="shared" ca="1" si="121"/>
        <v>-372249.99999999953</v>
      </c>
      <c r="U152" s="29">
        <f t="shared" ca="1" si="121"/>
        <v>-372249.99999999953</v>
      </c>
      <c r="V152" s="29">
        <f t="shared" ca="1" si="121"/>
        <v>-372249.99999999953</v>
      </c>
      <c r="W152" s="29">
        <f t="shared" ca="1" si="121"/>
        <v>3345406.2500000009</v>
      </c>
      <c r="X152" s="29">
        <f t="shared" ca="1" si="121"/>
        <v>3345406.2500000009</v>
      </c>
      <c r="Y152" s="29">
        <f t="shared" ca="1" si="121"/>
        <v>2945950.5952380951</v>
      </c>
      <c r="Z152" s="29">
        <f t="shared" ca="1" si="121"/>
        <v>2915932.1428571437</v>
      </c>
      <c r="AA152" s="29">
        <f t="shared" ca="1" si="121"/>
        <v>2951646.4285714291</v>
      </c>
      <c r="AB152" s="29">
        <f t="shared" ca="1" si="121"/>
        <v>2951646.4285714291</v>
      </c>
      <c r="AC152" s="29">
        <f t="shared" ca="1" si="121"/>
        <v>2951646.4285714291</v>
      </c>
      <c r="AD152" s="29">
        <f t="shared" ca="1" si="121"/>
        <v>2951646.4285714291</v>
      </c>
      <c r="AE152" s="29">
        <f t="shared" ca="1" si="121"/>
        <v>6611317.3809523787</v>
      </c>
      <c r="AF152" s="29">
        <f t="shared" ca="1" si="121"/>
        <v>6611317.3809523787</v>
      </c>
      <c r="AG152" s="29">
        <f t="shared" ca="1" si="121"/>
        <v>6611317.3809523787</v>
      </c>
      <c r="AH152" s="29">
        <f t="shared" ca="1" si="121"/>
        <v>6611317.3809523787</v>
      </c>
      <c r="AI152" s="29">
        <f t="shared" ca="1" si="121"/>
        <v>5745426.1904761884</v>
      </c>
      <c r="AJ152" s="29">
        <f t="shared" ca="1" si="121"/>
        <v>5745426.1904761884</v>
      </c>
      <c r="AK152" s="29">
        <f t="shared" ca="1" si="121"/>
        <v>5745426.1904761884</v>
      </c>
      <c r="AL152" s="29">
        <f t="shared" ca="1" si="121"/>
        <v>5745426.1904761884</v>
      </c>
      <c r="AM152" s="29">
        <f t="shared" ca="1" si="121"/>
        <v>3526761.904761903</v>
      </c>
      <c r="AN152" s="29">
        <f t="shared" ca="1" si="121"/>
        <v>3526761.904761903</v>
      </c>
      <c r="AO152" s="29">
        <f t="shared" ca="1" si="121"/>
        <v>3526761.904761903</v>
      </c>
      <c r="AP152" s="29">
        <f t="shared" ca="1" si="121"/>
        <v>3526761.904761903</v>
      </c>
      <c r="AQ152" s="29">
        <f t="shared" ca="1" si="121"/>
        <v>4260364.2857142845</v>
      </c>
      <c r="AR152" s="29">
        <f t="shared" ca="1" si="121"/>
        <v>4260364.2857142845</v>
      </c>
      <c r="AS152" s="29">
        <f t="shared" ca="1" si="121"/>
        <v>4260364.2857142845</v>
      </c>
      <c r="AT152" s="29">
        <f t="shared" ca="1" si="121"/>
        <v>4260364.2857142845</v>
      </c>
      <c r="AU152" s="29">
        <f t="shared" ca="1" si="121"/>
        <v>0</v>
      </c>
      <c r="AV152" s="29">
        <f t="shared" ca="1" si="121"/>
        <v>0</v>
      </c>
      <c r="AW152" s="29">
        <f t="shared" ca="1" si="121"/>
        <v>0</v>
      </c>
      <c r="AX152" s="29">
        <f t="shared" ca="1" si="121"/>
        <v>0</v>
      </c>
      <c r="AY152" s="29">
        <f t="shared" ca="1" si="121"/>
        <v>0</v>
      </c>
      <c r="AZ152" s="29">
        <f t="shared" ca="1" si="121"/>
        <v>0</v>
      </c>
      <c r="BA152" s="29">
        <f t="shared" ca="1" si="121"/>
        <v>0</v>
      </c>
      <c r="BB152" s="29">
        <f t="shared" ca="1" si="121"/>
        <v>0</v>
      </c>
      <c r="BC152" s="29">
        <f t="shared" ca="1" si="121"/>
        <v>0</v>
      </c>
      <c r="BD152" s="29">
        <f t="shared" si="121"/>
        <v>0</v>
      </c>
      <c r="BE152" s="29">
        <f t="shared" si="121"/>
        <v>0</v>
      </c>
      <c r="BF152" s="29">
        <f t="shared" si="121"/>
        <v>0</v>
      </c>
      <c r="BG152" s="29">
        <f t="shared" si="121"/>
        <v>0</v>
      </c>
      <c r="BH152" s="29">
        <f t="shared" si="121"/>
        <v>0</v>
      </c>
      <c r="BI152" s="29">
        <f t="shared" si="121"/>
        <v>0</v>
      </c>
      <c r="BJ152" s="29">
        <f t="shared" si="121"/>
        <v>0</v>
      </c>
      <c r="BK152" s="29">
        <f t="shared" si="121"/>
        <v>0</v>
      </c>
      <c r="BL152" s="29">
        <f t="shared" si="121"/>
        <v>0</v>
      </c>
      <c r="BM152" s="29">
        <f t="shared" si="121"/>
        <v>0</v>
      </c>
      <c r="BN152" s="29">
        <f t="shared" si="121"/>
        <v>0</v>
      </c>
      <c r="BO152" s="29">
        <f t="shared" si="121"/>
        <v>0</v>
      </c>
      <c r="BP152" s="29">
        <f t="shared" si="121"/>
        <v>0</v>
      </c>
      <c r="BQ152" s="29">
        <f t="shared" si="121"/>
        <v>0</v>
      </c>
      <c r="BR152" s="29">
        <f t="shared" si="121"/>
        <v>0</v>
      </c>
      <c r="BS152" s="29">
        <f t="shared" si="121"/>
        <v>0</v>
      </c>
      <c r="BT152" s="29">
        <f t="shared" si="121"/>
        <v>0</v>
      </c>
      <c r="BU152" s="29">
        <f t="shared" si="121"/>
        <v>0</v>
      </c>
      <c r="BV152" s="29">
        <f t="shared" si="121"/>
        <v>0</v>
      </c>
      <c r="BW152" s="29">
        <f t="shared" si="121"/>
        <v>0</v>
      </c>
      <c r="BX152" s="29">
        <f t="shared" si="121"/>
        <v>0</v>
      </c>
      <c r="BY152" s="29">
        <f t="shared" si="121"/>
        <v>0</v>
      </c>
      <c r="BZ152" s="29">
        <f t="shared" si="121"/>
        <v>0</v>
      </c>
      <c r="CA152" s="29">
        <f t="shared" si="121"/>
        <v>0</v>
      </c>
      <c r="CB152" s="29">
        <f t="shared" si="121"/>
        <v>0</v>
      </c>
      <c r="CC152" s="29">
        <f t="shared" si="121"/>
        <v>0</v>
      </c>
      <c r="CD152" s="29">
        <f t="shared" si="121"/>
        <v>0</v>
      </c>
      <c r="CE152" s="29">
        <f t="shared" si="121"/>
        <v>0</v>
      </c>
      <c r="CF152" s="29">
        <f t="shared" si="121"/>
        <v>0</v>
      </c>
      <c r="CG152" s="29">
        <f t="shared" si="121"/>
        <v>0</v>
      </c>
      <c r="CH152" s="29">
        <f t="shared" si="121"/>
        <v>0</v>
      </c>
    </row>
    <row r="153" spans="2:86" ht="13" hidden="1" outlineLevel="1">
      <c r="B153" s="84">
        <f t="shared" si="73"/>
        <v>50</v>
      </c>
      <c r="C153" s="64">
        <f t="shared" ca="1" si="71"/>
        <v>0.40745330807232882</v>
      </c>
      <c r="D153" s="15" t="s">
        <v>238</v>
      </c>
      <c r="E153" s="29">
        <f t="shared" ca="1" si="61"/>
        <v>87213259.99999997</v>
      </c>
      <c r="F153" s="29"/>
      <c r="G153" s="29">
        <f t="shared" ref="G153:CH153" ca="1" si="122">IF(G$4&lt;=$B153,ABS(G$31)*-1+G$47,0)+IF($B153=G$4,G$81,0)</f>
        <v>-1444375</v>
      </c>
      <c r="H153" s="29">
        <f t="shared" ca="1" si="122"/>
        <v>-1344375</v>
      </c>
      <c r="I153" s="29">
        <f t="shared" ca="1" si="122"/>
        <v>-1344375</v>
      </c>
      <c r="J153" s="29">
        <f t="shared" ca="1" si="122"/>
        <v>-1344375</v>
      </c>
      <c r="K153" s="29">
        <f t="shared" ca="1" si="122"/>
        <v>-1344375</v>
      </c>
      <c r="L153" s="29">
        <f t="shared" ca="1" si="122"/>
        <v>-1344375</v>
      </c>
      <c r="M153" s="29">
        <f t="shared" ca="1" si="122"/>
        <v>-1344375</v>
      </c>
      <c r="N153" s="29">
        <f t="shared" ca="1" si="122"/>
        <v>-1344375</v>
      </c>
      <c r="O153" s="29">
        <f t="shared" ca="1" si="122"/>
        <v>-1344375</v>
      </c>
      <c r="P153" s="29">
        <f t="shared" ca="1" si="122"/>
        <v>-1344375</v>
      </c>
      <c r="Q153" s="29">
        <f t="shared" ca="1" si="122"/>
        <v>-1344375</v>
      </c>
      <c r="R153" s="29">
        <f t="shared" ca="1" si="122"/>
        <v>-1344375</v>
      </c>
      <c r="S153" s="29">
        <f t="shared" ca="1" si="122"/>
        <v>-372249.99999999953</v>
      </c>
      <c r="T153" s="29">
        <f t="shared" ca="1" si="122"/>
        <v>-372249.99999999953</v>
      </c>
      <c r="U153" s="29">
        <f t="shared" ca="1" si="122"/>
        <v>-372249.99999999953</v>
      </c>
      <c r="V153" s="29">
        <f t="shared" ca="1" si="122"/>
        <v>-372249.99999999953</v>
      </c>
      <c r="W153" s="29">
        <f t="shared" ca="1" si="122"/>
        <v>3345406.2500000009</v>
      </c>
      <c r="X153" s="29">
        <f t="shared" ca="1" si="122"/>
        <v>3345406.2500000009</v>
      </c>
      <c r="Y153" s="29">
        <f t="shared" ca="1" si="122"/>
        <v>2945950.5952380951</v>
      </c>
      <c r="Z153" s="29">
        <f t="shared" ca="1" si="122"/>
        <v>2915932.1428571437</v>
      </c>
      <c r="AA153" s="29">
        <f t="shared" ca="1" si="122"/>
        <v>2951646.4285714291</v>
      </c>
      <c r="AB153" s="29">
        <f t="shared" ca="1" si="122"/>
        <v>2951646.4285714291</v>
      </c>
      <c r="AC153" s="29">
        <f t="shared" ca="1" si="122"/>
        <v>2951646.4285714291</v>
      </c>
      <c r="AD153" s="29">
        <f t="shared" ca="1" si="122"/>
        <v>2951646.4285714291</v>
      </c>
      <c r="AE153" s="29">
        <f t="shared" ca="1" si="122"/>
        <v>6611317.3809523787</v>
      </c>
      <c r="AF153" s="29">
        <f t="shared" ca="1" si="122"/>
        <v>6611317.3809523787</v>
      </c>
      <c r="AG153" s="29">
        <f t="shared" ca="1" si="122"/>
        <v>6611317.3809523787</v>
      </c>
      <c r="AH153" s="29">
        <f t="shared" ca="1" si="122"/>
        <v>6611317.3809523787</v>
      </c>
      <c r="AI153" s="29">
        <f t="shared" ca="1" si="122"/>
        <v>5745426.1904761884</v>
      </c>
      <c r="AJ153" s="29">
        <f t="shared" ca="1" si="122"/>
        <v>5745426.1904761884</v>
      </c>
      <c r="AK153" s="29">
        <f t="shared" ca="1" si="122"/>
        <v>5745426.1904761884</v>
      </c>
      <c r="AL153" s="29">
        <f t="shared" ca="1" si="122"/>
        <v>5745426.1904761884</v>
      </c>
      <c r="AM153" s="29">
        <f t="shared" ca="1" si="122"/>
        <v>3526761.904761903</v>
      </c>
      <c r="AN153" s="29">
        <f t="shared" ca="1" si="122"/>
        <v>3526761.904761903</v>
      </c>
      <c r="AO153" s="29">
        <f t="shared" ca="1" si="122"/>
        <v>3526761.904761903</v>
      </c>
      <c r="AP153" s="29">
        <f t="shared" ca="1" si="122"/>
        <v>3526761.904761903</v>
      </c>
      <c r="AQ153" s="29">
        <f t="shared" ca="1" si="122"/>
        <v>4260364.2857142845</v>
      </c>
      <c r="AR153" s="29">
        <f t="shared" ca="1" si="122"/>
        <v>4260364.2857142845</v>
      </c>
      <c r="AS153" s="29">
        <f t="shared" ca="1" si="122"/>
        <v>4260364.2857142845</v>
      </c>
      <c r="AT153" s="29">
        <f t="shared" ca="1" si="122"/>
        <v>4260364.2857142845</v>
      </c>
      <c r="AU153" s="29">
        <f t="shared" ca="1" si="122"/>
        <v>0</v>
      </c>
      <c r="AV153" s="29">
        <f t="shared" ca="1" si="122"/>
        <v>0</v>
      </c>
      <c r="AW153" s="29">
        <f t="shared" ca="1" si="122"/>
        <v>0</v>
      </c>
      <c r="AX153" s="29">
        <f t="shared" ca="1" si="122"/>
        <v>0</v>
      </c>
      <c r="AY153" s="29">
        <f t="shared" ca="1" si="122"/>
        <v>0</v>
      </c>
      <c r="AZ153" s="29">
        <f t="shared" ca="1" si="122"/>
        <v>0</v>
      </c>
      <c r="BA153" s="29">
        <f t="shared" ca="1" si="122"/>
        <v>0</v>
      </c>
      <c r="BB153" s="29">
        <f t="shared" ca="1" si="122"/>
        <v>0</v>
      </c>
      <c r="BC153" s="29">
        <f t="shared" ca="1" si="122"/>
        <v>0</v>
      </c>
      <c r="BD153" s="29">
        <f t="shared" ca="1" si="122"/>
        <v>0</v>
      </c>
      <c r="BE153" s="29">
        <f t="shared" si="122"/>
        <v>0</v>
      </c>
      <c r="BF153" s="29">
        <f t="shared" si="122"/>
        <v>0</v>
      </c>
      <c r="BG153" s="29">
        <f t="shared" si="122"/>
        <v>0</v>
      </c>
      <c r="BH153" s="29">
        <f t="shared" si="122"/>
        <v>0</v>
      </c>
      <c r="BI153" s="29">
        <f t="shared" si="122"/>
        <v>0</v>
      </c>
      <c r="BJ153" s="29">
        <f t="shared" si="122"/>
        <v>0</v>
      </c>
      <c r="BK153" s="29">
        <f t="shared" si="122"/>
        <v>0</v>
      </c>
      <c r="BL153" s="29">
        <f t="shared" si="122"/>
        <v>0</v>
      </c>
      <c r="BM153" s="29">
        <f t="shared" si="122"/>
        <v>0</v>
      </c>
      <c r="BN153" s="29">
        <f t="shared" si="122"/>
        <v>0</v>
      </c>
      <c r="BO153" s="29">
        <f t="shared" si="122"/>
        <v>0</v>
      </c>
      <c r="BP153" s="29">
        <f t="shared" si="122"/>
        <v>0</v>
      </c>
      <c r="BQ153" s="29">
        <f t="shared" si="122"/>
        <v>0</v>
      </c>
      <c r="BR153" s="29">
        <f t="shared" si="122"/>
        <v>0</v>
      </c>
      <c r="BS153" s="29">
        <f t="shared" si="122"/>
        <v>0</v>
      </c>
      <c r="BT153" s="29">
        <f t="shared" si="122"/>
        <v>0</v>
      </c>
      <c r="BU153" s="29">
        <f t="shared" si="122"/>
        <v>0</v>
      </c>
      <c r="BV153" s="29">
        <f t="shared" si="122"/>
        <v>0</v>
      </c>
      <c r="BW153" s="29">
        <f t="shared" si="122"/>
        <v>0</v>
      </c>
      <c r="BX153" s="29">
        <f t="shared" si="122"/>
        <v>0</v>
      </c>
      <c r="BY153" s="29">
        <f t="shared" si="122"/>
        <v>0</v>
      </c>
      <c r="BZ153" s="29">
        <f t="shared" si="122"/>
        <v>0</v>
      </c>
      <c r="CA153" s="29">
        <f t="shared" si="122"/>
        <v>0</v>
      </c>
      <c r="CB153" s="29">
        <f t="shared" si="122"/>
        <v>0</v>
      </c>
      <c r="CC153" s="29">
        <f t="shared" si="122"/>
        <v>0</v>
      </c>
      <c r="CD153" s="29">
        <f t="shared" si="122"/>
        <v>0</v>
      </c>
      <c r="CE153" s="29">
        <f t="shared" si="122"/>
        <v>0</v>
      </c>
      <c r="CF153" s="29">
        <f t="shared" si="122"/>
        <v>0</v>
      </c>
      <c r="CG153" s="29">
        <f t="shared" si="122"/>
        <v>0</v>
      </c>
      <c r="CH153" s="29">
        <f t="shared" si="122"/>
        <v>0</v>
      </c>
    </row>
    <row r="154" spans="2:86" ht="13" hidden="1" outlineLevel="1">
      <c r="B154" s="84">
        <f t="shared" si="73"/>
        <v>51</v>
      </c>
      <c r="C154" s="64">
        <f t="shared" ca="1" si="71"/>
        <v>0.40745330807232882</v>
      </c>
      <c r="D154" s="15" t="s">
        <v>238</v>
      </c>
      <c r="E154" s="29">
        <f t="shared" ca="1" si="61"/>
        <v>87213259.99999997</v>
      </c>
      <c r="F154" s="29"/>
      <c r="G154" s="29">
        <f t="shared" ref="G154:CH154" ca="1" si="123">IF(G$4&lt;=$B154,ABS(G$31)*-1+G$47,0)+IF($B154=G$4,G$81,0)</f>
        <v>-1444375</v>
      </c>
      <c r="H154" s="29">
        <f t="shared" ca="1" si="123"/>
        <v>-1344375</v>
      </c>
      <c r="I154" s="29">
        <f t="shared" ca="1" si="123"/>
        <v>-1344375</v>
      </c>
      <c r="J154" s="29">
        <f t="shared" ca="1" si="123"/>
        <v>-1344375</v>
      </c>
      <c r="K154" s="29">
        <f t="shared" ca="1" si="123"/>
        <v>-1344375</v>
      </c>
      <c r="L154" s="29">
        <f t="shared" ca="1" si="123"/>
        <v>-1344375</v>
      </c>
      <c r="M154" s="29">
        <f t="shared" ca="1" si="123"/>
        <v>-1344375</v>
      </c>
      <c r="N154" s="29">
        <f t="shared" ca="1" si="123"/>
        <v>-1344375</v>
      </c>
      <c r="O154" s="29">
        <f t="shared" ca="1" si="123"/>
        <v>-1344375</v>
      </c>
      <c r="P154" s="29">
        <f t="shared" ca="1" si="123"/>
        <v>-1344375</v>
      </c>
      <c r="Q154" s="29">
        <f t="shared" ca="1" si="123"/>
        <v>-1344375</v>
      </c>
      <c r="R154" s="29">
        <f t="shared" ca="1" si="123"/>
        <v>-1344375</v>
      </c>
      <c r="S154" s="29">
        <f t="shared" ca="1" si="123"/>
        <v>-372249.99999999953</v>
      </c>
      <c r="T154" s="29">
        <f t="shared" ca="1" si="123"/>
        <v>-372249.99999999953</v>
      </c>
      <c r="U154" s="29">
        <f t="shared" ca="1" si="123"/>
        <v>-372249.99999999953</v>
      </c>
      <c r="V154" s="29">
        <f t="shared" ca="1" si="123"/>
        <v>-372249.99999999953</v>
      </c>
      <c r="W154" s="29">
        <f t="shared" ca="1" si="123"/>
        <v>3345406.2500000009</v>
      </c>
      <c r="X154" s="29">
        <f t="shared" ca="1" si="123"/>
        <v>3345406.2500000009</v>
      </c>
      <c r="Y154" s="29">
        <f t="shared" ca="1" si="123"/>
        <v>2945950.5952380951</v>
      </c>
      <c r="Z154" s="29">
        <f t="shared" ca="1" si="123"/>
        <v>2915932.1428571437</v>
      </c>
      <c r="AA154" s="29">
        <f t="shared" ca="1" si="123"/>
        <v>2951646.4285714291</v>
      </c>
      <c r="AB154" s="29">
        <f t="shared" ca="1" si="123"/>
        <v>2951646.4285714291</v>
      </c>
      <c r="AC154" s="29">
        <f t="shared" ca="1" si="123"/>
        <v>2951646.4285714291</v>
      </c>
      <c r="AD154" s="29">
        <f t="shared" ca="1" si="123"/>
        <v>2951646.4285714291</v>
      </c>
      <c r="AE154" s="29">
        <f t="shared" ca="1" si="123"/>
        <v>6611317.3809523787</v>
      </c>
      <c r="AF154" s="29">
        <f t="shared" ca="1" si="123"/>
        <v>6611317.3809523787</v>
      </c>
      <c r="AG154" s="29">
        <f t="shared" ca="1" si="123"/>
        <v>6611317.3809523787</v>
      </c>
      <c r="AH154" s="29">
        <f t="shared" ca="1" si="123"/>
        <v>6611317.3809523787</v>
      </c>
      <c r="AI154" s="29">
        <f t="shared" ca="1" si="123"/>
        <v>5745426.1904761884</v>
      </c>
      <c r="AJ154" s="29">
        <f t="shared" ca="1" si="123"/>
        <v>5745426.1904761884</v>
      </c>
      <c r="AK154" s="29">
        <f t="shared" ca="1" si="123"/>
        <v>5745426.1904761884</v>
      </c>
      <c r="AL154" s="29">
        <f t="shared" ca="1" si="123"/>
        <v>5745426.1904761884</v>
      </c>
      <c r="AM154" s="29">
        <f t="shared" ca="1" si="123"/>
        <v>3526761.904761903</v>
      </c>
      <c r="AN154" s="29">
        <f t="shared" ca="1" si="123"/>
        <v>3526761.904761903</v>
      </c>
      <c r="AO154" s="29">
        <f t="shared" ca="1" si="123"/>
        <v>3526761.904761903</v>
      </c>
      <c r="AP154" s="29">
        <f t="shared" ca="1" si="123"/>
        <v>3526761.904761903</v>
      </c>
      <c r="AQ154" s="29">
        <f t="shared" ca="1" si="123"/>
        <v>4260364.2857142845</v>
      </c>
      <c r="AR154" s="29">
        <f t="shared" ca="1" si="123"/>
        <v>4260364.2857142845</v>
      </c>
      <c r="AS154" s="29">
        <f t="shared" ca="1" si="123"/>
        <v>4260364.2857142845</v>
      </c>
      <c r="AT154" s="29">
        <f t="shared" ca="1" si="123"/>
        <v>4260364.2857142845</v>
      </c>
      <c r="AU154" s="29">
        <f t="shared" ca="1" si="123"/>
        <v>0</v>
      </c>
      <c r="AV154" s="29">
        <f t="shared" ca="1" si="123"/>
        <v>0</v>
      </c>
      <c r="AW154" s="29">
        <f t="shared" ca="1" si="123"/>
        <v>0</v>
      </c>
      <c r="AX154" s="29">
        <f t="shared" ca="1" si="123"/>
        <v>0</v>
      </c>
      <c r="AY154" s="29">
        <f t="shared" ca="1" si="123"/>
        <v>0</v>
      </c>
      <c r="AZ154" s="29">
        <f t="shared" ca="1" si="123"/>
        <v>0</v>
      </c>
      <c r="BA154" s="29">
        <f t="shared" ca="1" si="123"/>
        <v>0</v>
      </c>
      <c r="BB154" s="29">
        <f t="shared" ca="1" si="123"/>
        <v>0</v>
      </c>
      <c r="BC154" s="29">
        <f t="shared" ca="1" si="123"/>
        <v>0</v>
      </c>
      <c r="BD154" s="29">
        <f t="shared" ca="1" si="123"/>
        <v>0</v>
      </c>
      <c r="BE154" s="29">
        <f t="shared" ca="1" si="123"/>
        <v>0</v>
      </c>
      <c r="BF154" s="29">
        <f t="shared" si="123"/>
        <v>0</v>
      </c>
      <c r="BG154" s="29">
        <f t="shared" si="123"/>
        <v>0</v>
      </c>
      <c r="BH154" s="29">
        <f t="shared" si="123"/>
        <v>0</v>
      </c>
      <c r="BI154" s="29">
        <f t="shared" si="123"/>
        <v>0</v>
      </c>
      <c r="BJ154" s="29">
        <f t="shared" si="123"/>
        <v>0</v>
      </c>
      <c r="BK154" s="29">
        <f t="shared" si="123"/>
        <v>0</v>
      </c>
      <c r="BL154" s="29">
        <f t="shared" si="123"/>
        <v>0</v>
      </c>
      <c r="BM154" s="29">
        <f t="shared" si="123"/>
        <v>0</v>
      </c>
      <c r="BN154" s="29">
        <f t="shared" si="123"/>
        <v>0</v>
      </c>
      <c r="BO154" s="29">
        <f t="shared" si="123"/>
        <v>0</v>
      </c>
      <c r="BP154" s="29">
        <f t="shared" si="123"/>
        <v>0</v>
      </c>
      <c r="BQ154" s="29">
        <f t="shared" si="123"/>
        <v>0</v>
      </c>
      <c r="BR154" s="29">
        <f t="shared" si="123"/>
        <v>0</v>
      </c>
      <c r="BS154" s="29">
        <f t="shared" si="123"/>
        <v>0</v>
      </c>
      <c r="BT154" s="29">
        <f t="shared" si="123"/>
        <v>0</v>
      </c>
      <c r="BU154" s="29">
        <f t="shared" si="123"/>
        <v>0</v>
      </c>
      <c r="BV154" s="29">
        <f t="shared" si="123"/>
        <v>0</v>
      </c>
      <c r="BW154" s="29">
        <f t="shared" si="123"/>
        <v>0</v>
      </c>
      <c r="BX154" s="29">
        <f t="shared" si="123"/>
        <v>0</v>
      </c>
      <c r="BY154" s="29">
        <f t="shared" si="123"/>
        <v>0</v>
      </c>
      <c r="BZ154" s="29">
        <f t="shared" si="123"/>
        <v>0</v>
      </c>
      <c r="CA154" s="29">
        <f t="shared" si="123"/>
        <v>0</v>
      </c>
      <c r="CB154" s="29">
        <f t="shared" si="123"/>
        <v>0</v>
      </c>
      <c r="CC154" s="29">
        <f t="shared" si="123"/>
        <v>0</v>
      </c>
      <c r="CD154" s="29">
        <f t="shared" si="123"/>
        <v>0</v>
      </c>
      <c r="CE154" s="29">
        <f t="shared" si="123"/>
        <v>0</v>
      </c>
      <c r="CF154" s="29">
        <f t="shared" si="123"/>
        <v>0</v>
      </c>
      <c r="CG154" s="29">
        <f t="shared" si="123"/>
        <v>0</v>
      </c>
      <c r="CH154" s="29">
        <f t="shared" si="123"/>
        <v>0</v>
      </c>
    </row>
    <row r="155" spans="2:86" ht="13" hidden="1" outlineLevel="1">
      <c r="B155" s="84">
        <f t="shared" si="73"/>
        <v>52</v>
      </c>
      <c r="C155" s="64">
        <f t="shared" ca="1" si="71"/>
        <v>0.40745330807232882</v>
      </c>
      <c r="D155" s="15" t="s">
        <v>238</v>
      </c>
      <c r="E155" s="29">
        <f t="shared" ca="1" si="61"/>
        <v>87213259.99999997</v>
      </c>
      <c r="F155" s="29"/>
      <c r="G155" s="29">
        <f t="shared" ref="G155:CH155" ca="1" si="124">IF(G$4&lt;=$B155,ABS(G$31)*-1+G$47,0)+IF($B155=G$4,G$81,0)</f>
        <v>-1444375</v>
      </c>
      <c r="H155" s="29">
        <f t="shared" ca="1" si="124"/>
        <v>-1344375</v>
      </c>
      <c r="I155" s="29">
        <f t="shared" ca="1" si="124"/>
        <v>-1344375</v>
      </c>
      <c r="J155" s="29">
        <f t="shared" ca="1" si="124"/>
        <v>-1344375</v>
      </c>
      <c r="K155" s="29">
        <f t="shared" ca="1" si="124"/>
        <v>-1344375</v>
      </c>
      <c r="L155" s="29">
        <f t="shared" ca="1" si="124"/>
        <v>-1344375</v>
      </c>
      <c r="M155" s="29">
        <f t="shared" ca="1" si="124"/>
        <v>-1344375</v>
      </c>
      <c r="N155" s="29">
        <f t="shared" ca="1" si="124"/>
        <v>-1344375</v>
      </c>
      <c r="O155" s="29">
        <f t="shared" ca="1" si="124"/>
        <v>-1344375</v>
      </c>
      <c r="P155" s="29">
        <f t="shared" ca="1" si="124"/>
        <v>-1344375</v>
      </c>
      <c r="Q155" s="29">
        <f t="shared" ca="1" si="124"/>
        <v>-1344375</v>
      </c>
      <c r="R155" s="29">
        <f t="shared" ca="1" si="124"/>
        <v>-1344375</v>
      </c>
      <c r="S155" s="29">
        <f t="shared" ca="1" si="124"/>
        <v>-372249.99999999953</v>
      </c>
      <c r="T155" s="29">
        <f t="shared" ca="1" si="124"/>
        <v>-372249.99999999953</v>
      </c>
      <c r="U155" s="29">
        <f t="shared" ca="1" si="124"/>
        <v>-372249.99999999953</v>
      </c>
      <c r="V155" s="29">
        <f t="shared" ca="1" si="124"/>
        <v>-372249.99999999953</v>
      </c>
      <c r="W155" s="29">
        <f t="shared" ca="1" si="124"/>
        <v>3345406.2500000009</v>
      </c>
      <c r="X155" s="29">
        <f t="shared" ca="1" si="124"/>
        <v>3345406.2500000009</v>
      </c>
      <c r="Y155" s="29">
        <f t="shared" ca="1" si="124"/>
        <v>2945950.5952380951</v>
      </c>
      <c r="Z155" s="29">
        <f t="shared" ca="1" si="124"/>
        <v>2915932.1428571437</v>
      </c>
      <c r="AA155" s="29">
        <f t="shared" ca="1" si="124"/>
        <v>2951646.4285714291</v>
      </c>
      <c r="AB155" s="29">
        <f t="shared" ca="1" si="124"/>
        <v>2951646.4285714291</v>
      </c>
      <c r="AC155" s="29">
        <f t="shared" ca="1" si="124"/>
        <v>2951646.4285714291</v>
      </c>
      <c r="AD155" s="29">
        <f t="shared" ca="1" si="124"/>
        <v>2951646.4285714291</v>
      </c>
      <c r="AE155" s="29">
        <f t="shared" ca="1" si="124"/>
        <v>6611317.3809523787</v>
      </c>
      <c r="AF155" s="29">
        <f t="shared" ca="1" si="124"/>
        <v>6611317.3809523787</v>
      </c>
      <c r="AG155" s="29">
        <f t="shared" ca="1" si="124"/>
        <v>6611317.3809523787</v>
      </c>
      <c r="AH155" s="29">
        <f t="shared" ca="1" si="124"/>
        <v>6611317.3809523787</v>
      </c>
      <c r="AI155" s="29">
        <f t="shared" ca="1" si="124"/>
        <v>5745426.1904761884</v>
      </c>
      <c r="AJ155" s="29">
        <f t="shared" ca="1" si="124"/>
        <v>5745426.1904761884</v>
      </c>
      <c r="AK155" s="29">
        <f t="shared" ca="1" si="124"/>
        <v>5745426.1904761884</v>
      </c>
      <c r="AL155" s="29">
        <f t="shared" ca="1" si="124"/>
        <v>5745426.1904761884</v>
      </c>
      <c r="AM155" s="29">
        <f t="shared" ca="1" si="124"/>
        <v>3526761.904761903</v>
      </c>
      <c r="AN155" s="29">
        <f t="shared" ca="1" si="124"/>
        <v>3526761.904761903</v>
      </c>
      <c r="AO155" s="29">
        <f t="shared" ca="1" si="124"/>
        <v>3526761.904761903</v>
      </c>
      <c r="AP155" s="29">
        <f t="shared" ca="1" si="124"/>
        <v>3526761.904761903</v>
      </c>
      <c r="AQ155" s="29">
        <f t="shared" ca="1" si="124"/>
        <v>4260364.2857142845</v>
      </c>
      <c r="AR155" s="29">
        <f t="shared" ca="1" si="124"/>
        <v>4260364.2857142845</v>
      </c>
      <c r="AS155" s="29">
        <f t="shared" ca="1" si="124"/>
        <v>4260364.2857142845</v>
      </c>
      <c r="AT155" s="29">
        <f t="shared" ca="1" si="124"/>
        <v>4260364.2857142845</v>
      </c>
      <c r="AU155" s="29">
        <f t="shared" ca="1" si="124"/>
        <v>0</v>
      </c>
      <c r="AV155" s="29">
        <f t="shared" ca="1" si="124"/>
        <v>0</v>
      </c>
      <c r="AW155" s="29">
        <f t="shared" ca="1" si="124"/>
        <v>0</v>
      </c>
      <c r="AX155" s="29">
        <f t="shared" ca="1" si="124"/>
        <v>0</v>
      </c>
      <c r="AY155" s="29">
        <f t="shared" ca="1" si="124"/>
        <v>0</v>
      </c>
      <c r="AZ155" s="29">
        <f t="shared" ca="1" si="124"/>
        <v>0</v>
      </c>
      <c r="BA155" s="29">
        <f t="shared" ca="1" si="124"/>
        <v>0</v>
      </c>
      <c r="BB155" s="29">
        <f t="shared" ca="1" si="124"/>
        <v>0</v>
      </c>
      <c r="BC155" s="29">
        <f t="shared" ca="1" si="124"/>
        <v>0</v>
      </c>
      <c r="BD155" s="29">
        <f t="shared" ca="1" si="124"/>
        <v>0</v>
      </c>
      <c r="BE155" s="29">
        <f t="shared" ca="1" si="124"/>
        <v>0</v>
      </c>
      <c r="BF155" s="29">
        <f t="shared" ca="1" si="124"/>
        <v>0</v>
      </c>
      <c r="BG155" s="29">
        <f t="shared" si="124"/>
        <v>0</v>
      </c>
      <c r="BH155" s="29">
        <f t="shared" si="124"/>
        <v>0</v>
      </c>
      <c r="BI155" s="29">
        <f t="shared" si="124"/>
        <v>0</v>
      </c>
      <c r="BJ155" s="29">
        <f t="shared" si="124"/>
        <v>0</v>
      </c>
      <c r="BK155" s="29">
        <f t="shared" si="124"/>
        <v>0</v>
      </c>
      <c r="BL155" s="29">
        <f t="shared" si="124"/>
        <v>0</v>
      </c>
      <c r="BM155" s="29">
        <f t="shared" si="124"/>
        <v>0</v>
      </c>
      <c r="BN155" s="29">
        <f t="shared" si="124"/>
        <v>0</v>
      </c>
      <c r="BO155" s="29">
        <f t="shared" si="124"/>
        <v>0</v>
      </c>
      <c r="BP155" s="29">
        <f t="shared" si="124"/>
        <v>0</v>
      </c>
      <c r="BQ155" s="29">
        <f t="shared" si="124"/>
        <v>0</v>
      </c>
      <c r="BR155" s="29">
        <f t="shared" si="124"/>
        <v>0</v>
      </c>
      <c r="BS155" s="29">
        <f t="shared" si="124"/>
        <v>0</v>
      </c>
      <c r="BT155" s="29">
        <f t="shared" si="124"/>
        <v>0</v>
      </c>
      <c r="BU155" s="29">
        <f t="shared" si="124"/>
        <v>0</v>
      </c>
      <c r="BV155" s="29">
        <f t="shared" si="124"/>
        <v>0</v>
      </c>
      <c r="BW155" s="29">
        <f t="shared" si="124"/>
        <v>0</v>
      </c>
      <c r="BX155" s="29">
        <f t="shared" si="124"/>
        <v>0</v>
      </c>
      <c r="BY155" s="29">
        <f t="shared" si="124"/>
        <v>0</v>
      </c>
      <c r="BZ155" s="29">
        <f t="shared" si="124"/>
        <v>0</v>
      </c>
      <c r="CA155" s="29">
        <f t="shared" si="124"/>
        <v>0</v>
      </c>
      <c r="CB155" s="29">
        <f t="shared" si="124"/>
        <v>0</v>
      </c>
      <c r="CC155" s="29">
        <f t="shared" si="124"/>
        <v>0</v>
      </c>
      <c r="CD155" s="29">
        <f t="shared" si="124"/>
        <v>0</v>
      </c>
      <c r="CE155" s="29">
        <f t="shared" si="124"/>
        <v>0</v>
      </c>
      <c r="CF155" s="29">
        <f t="shared" si="124"/>
        <v>0</v>
      </c>
      <c r="CG155" s="29">
        <f t="shared" si="124"/>
        <v>0</v>
      </c>
      <c r="CH155" s="29">
        <f t="shared" si="124"/>
        <v>0</v>
      </c>
    </row>
    <row r="156" spans="2:86" ht="13" hidden="1" outlineLevel="1">
      <c r="B156" s="84">
        <f t="shared" si="73"/>
        <v>53</v>
      </c>
      <c r="C156" s="64">
        <f t="shared" ca="1" si="71"/>
        <v>0.40745330807232882</v>
      </c>
      <c r="D156" s="15" t="s">
        <v>238</v>
      </c>
      <c r="E156" s="29">
        <f t="shared" ca="1" si="61"/>
        <v>87213259.99999997</v>
      </c>
      <c r="F156" s="29"/>
      <c r="G156" s="29">
        <f t="shared" ref="G156:CH156" ca="1" si="125">IF(G$4&lt;=$B156,ABS(G$31)*-1+G$47,0)+IF($B156=G$4,G$81,0)</f>
        <v>-1444375</v>
      </c>
      <c r="H156" s="29">
        <f t="shared" ca="1" si="125"/>
        <v>-1344375</v>
      </c>
      <c r="I156" s="29">
        <f t="shared" ca="1" si="125"/>
        <v>-1344375</v>
      </c>
      <c r="J156" s="29">
        <f t="shared" ca="1" si="125"/>
        <v>-1344375</v>
      </c>
      <c r="K156" s="29">
        <f t="shared" ca="1" si="125"/>
        <v>-1344375</v>
      </c>
      <c r="L156" s="29">
        <f t="shared" ca="1" si="125"/>
        <v>-1344375</v>
      </c>
      <c r="M156" s="29">
        <f t="shared" ca="1" si="125"/>
        <v>-1344375</v>
      </c>
      <c r="N156" s="29">
        <f t="shared" ca="1" si="125"/>
        <v>-1344375</v>
      </c>
      <c r="O156" s="29">
        <f t="shared" ca="1" si="125"/>
        <v>-1344375</v>
      </c>
      <c r="P156" s="29">
        <f t="shared" ca="1" si="125"/>
        <v>-1344375</v>
      </c>
      <c r="Q156" s="29">
        <f t="shared" ca="1" si="125"/>
        <v>-1344375</v>
      </c>
      <c r="R156" s="29">
        <f t="shared" ca="1" si="125"/>
        <v>-1344375</v>
      </c>
      <c r="S156" s="29">
        <f t="shared" ca="1" si="125"/>
        <v>-372249.99999999953</v>
      </c>
      <c r="T156" s="29">
        <f t="shared" ca="1" si="125"/>
        <v>-372249.99999999953</v>
      </c>
      <c r="U156" s="29">
        <f t="shared" ca="1" si="125"/>
        <v>-372249.99999999953</v>
      </c>
      <c r="V156" s="29">
        <f t="shared" ca="1" si="125"/>
        <v>-372249.99999999953</v>
      </c>
      <c r="W156" s="29">
        <f t="shared" ca="1" si="125"/>
        <v>3345406.2500000009</v>
      </c>
      <c r="X156" s="29">
        <f t="shared" ca="1" si="125"/>
        <v>3345406.2500000009</v>
      </c>
      <c r="Y156" s="29">
        <f t="shared" ca="1" si="125"/>
        <v>2945950.5952380951</v>
      </c>
      <c r="Z156" s="29">
        <f t="shared" ca="1" si="125"/>
        <v>2915932.1428571437</v>
      </c>
      <c r="AA156" s="29">
        <f t="shared" ca="1" si="125"/>
        <v>2951646.4285714291</v>
      </c>
      <c r="AB156" s="29">
        <f t="shared" ca="1" si="125"/>
        <v>2951646.4285714291</v>
      </c>
      <c r="AC156" s="29">
        <f t="shared" ca="1" si="125"/>
        <v>2951646.4285714291</v>
      </c>
      <c r="AD156" s="29">
        <f t="shared" ca="1" si="125"/>
        <v>2951646.4285714291</v>
      </c>
      <c r="AE156" s="29">
        <f t="shared" ca="1" si="125"/>
        <v>6611317.3809523787</v>
      </c>
      <c r="AF156" s="29">
        <f t="shared" ca="1" si="125"/>
        <v>6611317.3809523787</v>
      </c>
      <c r="AG156" s="29">
        <f t="shared" ca="1" si="125"/>
        <v>6611317.3809523787</v>
      </c>
      <c r="AH156" s="29">
        <f t="shared" ca="1" si="125"/>
        <v>6611317.3809523787</v>
      </c>
      <c r="AI156" s="29">
        <f t="shared" ca="1" si="125"/>
        <v>5745426.1904761884</v>
      </c>
      <c r="AJ156" s="29">
        <f t="shared" ca="1" si="125"/>
        <v>5745426.1904761884</v>
      </c>
      <c r="AK156" s="29">
        <f t="shared" ca="1" si="125"/>
        <v>5745426.1904761884</v>
      </c>
      <c r="AL156" s="29">
        <f t="shared" ca="1" si="125"/>
        <v>5745426.1904761884</v>
      </c>
      <c r="AM156" s="29">
        <f t="shared" ca="1" si="125"/>
        <v>3526761.904761903</v>
      </c>
      <c r="AN156" s="29">
        <f t="shared" ca="1" si="125"/>
        <v>3526761.904761903</v>
      </c>
      <c r="AO156" s="29">
        <f t="shared" ca="1" si="125"/>
        <v>3526761.904761903</v>
      </c>
      <c r="AP156" s="29">
        <f t="shared" ca="1" si="125"/>
        <v>3526761.904761903</v>
      </c>
      <c r="AQ156" s="29">
        <f t="shared" ca="1" si="125"/>
        <v>4260364.2857142845</v>
      </c>
      <c r="AR156" s="29">
        <f t="shared" ca="1" si="125"/>
        <v>4260364.2857142845</v>
      </c>
      <c r="AS156" s="29">
        <f t="shared" ca="1" si="125"/>
        <v>4260364.2857142845</v>
      </c>
      <c r="AT156" s="29">
        <f t="shared" ca="1" si="125"/>
        <v>4260364.2857142845</v>
      </c>
      <c r="AU156" s="29">
        <f t="shared" ca="1" si="125"/>
        <v>0</v>
      </c>
      <c r="AV156" s="29">
        <f t="shared" ca="1" si="125"/>
        <v>0</v>
      </c>
      <c r="AW156" s="29">
        <f t="shared" ca="1" si="125"/>
        <v>0</v>
      </c>
      <c r="AX156" s="29">
        <f t="shared" ca="1" si="125"/>
        <v>0</v>
      </c>
      <c r="AY156" s="29">
        <f t="shared" ca="1" si="125"/>
        <v>0</v>
      </c>
      <c r="AZ156" s="29">
        <f t="shared" ca="1" si="125"/>
        <v>0</v>
      </c>
      <c r="BA156" s="29">
        <f t="shared" ca="1" si="125"/>
        <v>0</v>
      </c>
      <c r="BB156" s="29">
        <f t="shared" ca="1" si="125"/>
        <v>0</v>
      </c>
      <c r="BC156" s="29">
        <f t="shared" ca="1" si="125"/>
        <v>0</v>
      </c>
      <c r="BD156" s="29">
        <f t="shared" ca="1" si="125"/>
        <v>0</v>
      </c>
      <c r="BE156" s="29">
        <f t="shared" ca="1" si="125"/>
        <v>0</v>
      </c>
      <c r="BF156" s="29">
        <f t="shared" ca="1" si="125"/>
        <v>0</v>
      </c>
      <c r="BG156" s="29">
        <f t="shared" ca="1" si="125"/>
        <v>0</v>
      </c>
      <c r="BH156" s="29">
        <f t="shared" si="125"/>
        <v>0</v>
      </c>
      <c r="BI156" s="29">
        <f t="shared" si="125"/>
        <v>0</v>
      </c>
      <c r="BJ156" s="29">
        <f t="shared" si="125"/>
        <v>0</v>
      </c>
      <c r="BK156" s="29">
        <f t="shared" si="125"/>
        <v>0</v>
      </c>
      <c r="BL156" s="29">
        <f t="shared" si="125"/>
        <v>0</v>
      </c>
      <c r="BM156" s="29">
        <f t="shared" si="125"/>
        <v>0</v>
      </c>
      <c r="BN156" s="29">
        <f t="shared" si="125"/>
        <v>0</v>
      </c>
      <c r="BO156" s="29">
        <f t="shared" si="125"/>
        <v>0</v>
      </c>
      <c r="BP156" s="29">
        <f t="shared" si="125"/>
        <v>0</v>
      </c>
      <c r="BQ156" s="29">
        <f t="shared" si="125"/>
        <v>0</v>
      </c>
      <c r="BR156" s="29">
        <f t="shared" si="125"/>
        <v>0</v>
      </c>
      <c r="BS156" s="29">
        <f t="shared" si="125"/>
        <v>0</v>
      </c>
      <c r="BT156" s="29">
        <f t="shared" si="125"/>
        <v>0</v>
      </c>
      <c r="BU156" s="29">
        <f t="shared" si="125"/>
        <v>0</v>
      </c>
      <c r="BV156" s="29">
        <f t="shared" si="125"/>
        <v>0</v>
      </c>
      <c r="BW156" s="29">
        <f t="shared" si="125"/>
        <v>0</v>
      </c>
      <c r="BX156" s="29">
        <f t="shared" si="125"/>
        <v>0</v>
      </c>
      <c r="BY156" s="29">
        <f t="shared" si="125"/>
        <v>0</v>
      </c>
      <c r="BZ156" s="29">
        <f t="shared" si="125"/>
        <v>0</v>
      </c>
      <c r="CA156" s="29">
        <f t="shared" si="125"/>
        <v>0</v>
      </c>
      <c r="CB156" s="29">
        <f t="shared" si="125"/>
        <v>0</v>
      </c>
      <c r="CC156" s="29">
        <f t="shared" si="125"/>
        <v>0</v>
      </c>
      <c r="CD156" s="29">
        <f t="shared" si="125"/>
        <v>0</v>
      </c>
      <c r="CE156" s="29">
        <f t="shared" si="125"/>
        <v>0</v>
      </c>
      <c r="CF156" s="29">
        <f t="shared" si="125"/>
        <v>0</v>
      </c>
      <c r="CG156" s="29">
        <f t="shared" si="125"/>
        <v>0</v>
      </c>
      <c r="CH156" s="29">
        <f t="shared" si="125"/>
        <v>0</v>
      </c>
    </row>
    <row r="157" spans="2:86" ht="13" hidden="1" outlineLevel="1">
      <c r="B157" s="84">
        <f t="shared" si="73"/>
        <v>54</v>
      </c>
      <c r="C157" s="64">
        <f t="shared" ca="1" si="71"/>
        <v>0.40745330807232882</v>
      </c>
      <c r="D157" s="15" t="s">
        <v>238</v>
      </c>
      <c r="E157" s="29">
        <f t="shared" ca="1" si="61"/>
        <v>87213259.99999997</v>
      </c>
      <c r="F157" s="29"/>
      <c r="G157" s="29">
        <f t="shared" ref="G157:CH157" ca="1" si="126">IF(G$4&lt;=$B157,ABS(G$31)*-1+G$47,0)+IF($B157=G$4,G$81,0)</f>
        <v>-1444375</v>
      </c>
      <c r="H157" s="29">
        <f t="shared" ca="1" si="126"/>
        <v>-1344375</v>
      </c>
      <c r="I157" s="29">
        <f t="shared" ca="1" si="126"/>
        <v>-1344375</v>
      </c>
      <c r="J157" s="29">
        <f t="shared" ca="1" si="126"/>
        <v>-1344375</v>
      </c>
      <c r="K157" s="29">
        <f t="shared" ca="1" si="126"/>
        <v>-1344375</v>
      </c>
      <c r="L157" s="29">
        <f t="shared" ca="1" si="126"/>
        <v>-1344375</v>
      </c>
      <c r="M157" s="29">
        <f t="shared" ca="1" si="126"/>
        <v>-1344375</v>
      </c>
      <c r="N157" s="29">
        <f t="shared" ca="1" si="126"/>
        <v>-1344375</v>
      </c>
      <c r="O157" s="29">
        <f t="shared" ca="1" si="126"/>
        <v>-1344375</v>
      </c>
      <c r="P157" s="29">
        <f t="shared" ca="1" si="126"/>
        <v>-1344375</v>
      </c>
      <c r="Q157" s="29">
        <f t="shared" ca="1" si="126"/>
        <v>-1344375</v>
      </c>
      <c r="R157" s="29">
        <f t="shared" ca="1" si="126"/>
        <v>-1344375</v>
      </c>
      <c r="S157" s="29">
        <f t="shared" ca="1" si="126"/>
        <v>-372249.99999999953</v>
      </c>
      <c r="T157" s="29">
        <f t="shared" ca="1" si="126"/>
        <v>-372249.99999999953</v>
      </c>
      <c r="U157" s="29">
        <f t="shared" ca="1" si="126"/>
        <v>-372249.99999999953</v>
      </c>
      <c r="V157" s="29">
        <f t="shared" ca="1" si="126"/>
        <v>-372249.99999999953</v>
      </c>
      <c r="W157" s="29">
        <f t="shared" ca="1" si="126"/>
        <v>3345406.2500000009</v>
      </c>
      <c r="X157" s="29">
        <f t="shared" ca="1" si="126"/>
        <v>3345406.2500000009</v>
      </c>
      <c r="Y157" s="29">
        <f t="shared" ca="1" si="126"/>
        <v>2945950.5952380951</v>
      </c>
      <c r="Z157" s="29">
        <f t="shared" ca="1" si="126"/>
        <v>2915932.1428571437</v>
      </c>
      <c r="AA157" s="29">
        <f t="shared" ca="1" si="126"/>
        <v>2951646.4285714291</v>
      </c>
      <c r="AB157" s="29">
        <f t="shared" ca="1" si="126"/>
        <v>2951646.4285714291</v>
      </c>
      <c r="AC157" s="29">
        <f t="shared" ca="1" si="126"/>
        <v>2951646.4285714291</v>
      </c>
      <c r="AD157" s="29">
        <f t="shared" ca="1" si="126"/>
        <v>2951646.4285714291</v>
      </c>
      <c r="AE157" s="29">
        <f t="shared" ca="1" si="126"/>
        <v>6611317.3809523787</v>
      </c>
      <c r="AF157" s="29">
        <f t="shared" ca="1" si="126"/>
        <v>6611317.3809523787</v>
      </c>
      <c r="AG157" s="29">
        <f t="shared" ca="1" si="126"/>
        <v>6611317.3809523787</v>
      </c>
      <c r="AH157" s="29">
        <f t="shared" ca="1" si="126"/>
        <v>6611317.3809523787</v>
      </c>
      <c r="AI157" s="29">
        <f t="shared" ca="1" si="126"/>
        <v>5745426.1904761884</v>
      </c>
      <c r="AJ157" s="29">
        <f t="shared" ca="1" si="126"/>
        <v>5745426.1904761884</v>
      </c>
      <c r="AK157" s="29">
        <f t="shared" ca="1" si="126"/>
        <v>5745426.1904761884</v>
      </c>
      <c r="AL157" s="29">
        <f t="shared" ca="1" si="126"/>
        <v>5745426.1904761884</v>
      </c>
      <c r="AM157" s="29">
        <f t="shared" ca="1" si="126"/>
        <v>3526761.904761903</v>
      </c>
      <c r="AN157" s="29">
        <f t="shared" ca="1" si="126"/>
        <v>3526761.904761903</v>
      </c>
      <c r="AO157" s="29">
        <f t="shared" ca="1" si="126"/>
        <v>3526761.904761903</v>
      </c>
      <c r="AP157" s="29">
        <f t="shared" ca="1" si="126"/>
        <v>3526761.904761903</v>
      </c>
      <c r="AQ157" s="29">
        <f t="shared" ca="1" si="126"/>
        <v>4260364.2857142845</v>
      </c>
      <c r="AR157" s="29">
        <f t="shared" ca="1" si="126"/>
        <v>4260364.2857142845</v>
      </c>
      <c r="AS157" s="29">
        <f t="shared" ca="1" si="126"/>
        <v>4260364.2857142845</v>
      </c>
      <c r="AT157" s="29">
        <f t="shared" ca="1" si="126"/>
        <v>4260364.2857142845</v>
      </c>
      <c r="AU157" s="29">
        <f t="shared" ca="1" si="126"/>
        <v>0</v>
      </c>
      <c r="AV157" s="29">
        <f t="shared" ca="1" si="126"/>
        <v>0</v>
      </c>
      <c r="AW157" s="29">
        <f t="shared" ca="1" si="126"/>
        <v>0</v>
      </c>
      <c r="AX157" s="29">
        <f t="shared" ca="1" si="126"/>
        <v>0</v>
      </c>
      <c r="AY157" s="29">
        <f t="shared" ca="1" si="126"/>
        <v>0</v>
      </c>
      <c r="AZ157" s="29">
        <f t="shared" ca="1" si="126"/>
        <v>0</v>
      </c>
      <c r="BA157" s="29">
        <f t="shared" ca="1" si="126"/>
        <v>0</v>
      </c>
      <c r="BB157" s="29">
        <f t="shared" ca="1" si="126"/>
        <v>0</v>
      </c>
      <c r="BC157" s="29">
        <f t="shared" ca="1" si="126"/>
        <v>0</v>
      </c>
      <c r="BD157" s="29">
        <f t="shared" ca="1" si="126"/>
        <v>0</v>
      </c>
      <c r="BE157" s="29">
        <f t="shared" ca="1" si="126"/>
        <v>0</v>
      </c>
      <c r="BF157" s="29">
        <f t="shared" ca="1" si="126"/>
        <v>0</v>
      </c>
      <c r="BG157" s="29">
        <f t="shared" ca="1" si="126"/>
        <v>0</v>
      </c>
      <c r="BH157" s="29">
        <f t="shared" ca="1" si="126"/>
        <v>0</v>
      </c>
      <c r="BI157" s="29">
        <f t="shared" si="126"/>
        <v>0</v>
      </c>
      <c r="BJ157" s="29">
        <f t="shared" si="126"/>
        <v>0</v>
      </c>
      <c r="BK157" s="29">
        <f t="shared" si="126"/>
        <v>0</v>
      </c>
      <c r="BL157" s="29">
        <f t="shared" si="126"/>
        <v>0</v>
      </c>
      <c r="BM157" s="29">
        <f t="shared" si="126"/>
        <v>0</v>
      </c>
      <c r="BN157" s="29">
        <f t="shared" si="126"/>
        <v>0</v>
      </c>
      <c r="BO157" s="29">
        <f t="shared" si="126"/>
        <v>0</v>
      </c>
      <c r="BP157" s="29">
        <f t="shared" si="126"/>
        <v>0</v>
      </c>
      <c r="BQ157" s="29">
        <f t="shared" si="126"/>
        <v>0</v>
      </c>
      <c r="BR157" s="29">
        <f t="shared" si="126"/>
        <v>0</v>
      </c>
      <c r="BS157" s="29">
        <f t="shared" si="126"/>
        <v>0</v>
      </c>
      <c r="BT157" s="29">
        <f t="shared" si="126"/>
        <v>0</v>
      </c>
      <c r="BU157" s="29">
        <f t="shared" si="126"/>
        <v>0</v>
      </c>
      <c r="BV157" s="29">
        <f t="shared" si="126"/>
        <v>0</v>
      </c>
      <c r="BW157" s="29">
        <f t="shared" si="126"/>
        <v>0</v>
      </c>
      <c r="BX157" s="29">
        <f t="shared" si="126"/>
        <v>0</v>
      </c>
      <c r="BY157" s="29">
        <f t="shared" si="126"/>
        <v>0</v>
      </c>
      <c r="BZ157" s="29">
        <f t="shared" si="126"/>
        <v>0</v>
      </c>
      <c r="CA157" s="29">
        <f t="shared" si="126"/>
        <v>0</v>
      </c>
      <c r="CB157" s="29">
        <f t="shared" si="126"/>
        <v>0</v>
      </c>
      <c r="CC157" s="29">
        <f t="shared" si="126"/>
        <v>0</v>
      </c>
      <c r="CD157" s="29">
        <f t="shared" si="126"/>
        <v>0</v>
      </c>
      <c r="CE157" s="29">
        <f t="shared" si="126"/>
        <v>0</v>
      </c>
      <c r="CF157" s="29">
        <f t="shared" si="126"/>
        <v>0</v>
      </c>
      <c r="CG157" s="29">
        <f t="shared" si="126"/>
        <v>0</v>
      </c>
      <c r="CH157" s="29">
        <f t="shared" si="126"/>
        <v>0</v>
      </c>
    </row>
    <row r="158" spans="2:86" ht="13" hidden="1" outlineLevel="1">
      <c r="B158" s="84">
        <f t="shared" si="73"/>
        <v>55</v>
      </c>
      <c r="C158" s="64">
        <f t="shared" ca="1" si="71"/>
        <v>0.40745330807232882</v>
      </c>
      <c r="D158" s="15" t="s">
        <v>238</v>
      </c>
      <c r="E158" s="29">
        <f t="shared" ca="1" si="61"/>
        <v>87213259.99999997</v>
      </c>
      <c r="F158" s="29"/>
      <c r="G158" s="29">
        <f t="shared" ref="G158:CH158" ca="1" si="127">IF(G$4&lt;=$B158,ABS(G$31)*-1+G$47,0)+IF($B158=G$4,G$81,0)</f>
        <v>-1444375</v>
      </c>
      <c r="H158" s="29">
        <f t="shared" ca="1" si="127"/>
        <v>-1344375</v>
      </c>
      <c r="I158" s="29">
        <f t="shared" ca="1" si="127"/>
        <v>-1344375</v>
      </c>
      <c r="J158" s="29">
        <f t="shared" ca="1" si="127"/>
        <v>-1344375</v>
      </c>
      <c r="K158" s="29">
        <f t="shared" ca="1" si="127"/>
        <v>-1344375</v>
      </c>
      <c r="L158" s="29">
        <f t="shared" ca="1" si="127"/>
        <v>-1344375</v>
      </c>
      <c r="M158" s="29">
        <f t="shared" ca="1" si="127"/>
        <v>-1344375</v>
      </c>
      <c r="N158" s="29">
        <f t="shared" ca="1" si="127"/>
        <v>-1344375</v>
      </c>
      <c r="O158" s="29">
        <f t="shared" ca="1" si="127"/>
        <v>-1344375</v>
      </c>
      <c r="P158" s="29">
        <f t="shared" ca="1" si="127"/>
        <v>-1344375</v>
      </c>
      <c r="Q158" s="29">
        <f t="shared" ca="1" si="127"/>
        <v>-1344375</v>
      </c>
      <c r="R158" s="29">
        <f t="shared" ca="1" si="127"/>
        <v>-1344375</v>
      </c>
      <c r="S158" s="29">
        <f t="shared" ca="1" si="127"/>
        <v>-372249.99999999953</v>
      </c>
      <c r="T158" s="29">
        <f t="shared" ca="1" si="127"/>
        <v>-372249.99999999953</v>
      </c>
      <c r="U158" s="29">
        <f t="shared" ca="1" si="127"/>
        <v>-372249.99999999953</v>
      </c>
      <c r="V158" s="29">
        <f t="shared" ca="1" si="127"/>
        <v>-372249.99999999953</v>
      </c>
      <c r="W158" s="29">
        <f t="shared" ca="1" si="127"/>
        <v>3345406.2500000009</v>
      </c>
      <c r="X158" s="29">
        <f t="shared" ca="1" si="127"/>
        <v>3345406.2500000009</v>
      </c>
      <c r="Y158" s="29">
        <f t="shared" ca="1" si="127"/>
        <v>2945950.5952380951</v>
      </c>
      <c r="Z158" s="29">
        <f t="shared" ca="1" si="127"/>
        <v>2915932.1428571437</v>
      </c>
      <c r="AA158" s="29">
        <f t="shared" ca="1" si="127"/>
        <v>2951646.4285714291</v>
      </c>
      <c r="AB158" s="29">
        <f t="shared" ca="1" si="127"/>
        <v>2951646.4285714291</v>
      </c>
      <c r="AC158" s="29">
        <f t="shared" ca="1" si="127"/>
        <v>2951646.4285714291</v>
      </c>
      <c r="AD158" s="29">
        <f t="shared" ca="1" si="127"/>
        <v>2951646.4285714291</v>
      </c>
      <c r="AE158" s="29">
        <f t="shared" ca="1" si="127"/>
        <v>6611317.3809523787</v>
      </c>
      <c r="AF158" s="29">
        <f t="shared" ca="1" si="127"/>
        <v>6611317.3809523787</v>
      </c>
      <c r="AG158" s="29">
        <f t="shared" ca="1" si="127"/>
        <v>6611317.3809523787</v>
      </c>
      <c r="AH158" s="29">
        <f t="shared" ca="1" si="127"/>
        <v>6611317.3809523787</v>
      </c>
      <c r="AI158" s="29">
        <f t="shared" ca="1" si="127"/>
        <v>5745426.1904761884</v>
      </c>
      <c r="AJ158" s="29">
        <f t="shared" ca="1" si="127"/>
        <v>5745426.1904761884</v>
      </c>
      <c r="AK158" s="29">
        <f t="shared" ca="1" si="127"/>
        <v>5745426.1904761884</v>
      </c>
      <c r="AL158" s="29">
        <f t="shared" ca="1" si="127"/>
        <v>5745426.1904761884</v>
      </c>
      <c r="AM158" s="29">
        <f t="shared" ca="1" si="127"/>
        <v>3526761.904761903</v>
      </c>
      <c r="AN158" s="29">
        <f t="shared" ca="1" si="127"/>
        <v>3526761.904761903</v>
      </c>
      <c r="AO158" s="29">
        <f t="shared" ca="1" si="127"/>
        <v>3526761.904761903</v>
      </c>
      <c r="AP158" s="29">
        <f t="shared" ca="1" si="127"/>
        <v>3526761.904761903</v>
      </c>
      <c r="AQ158" s="29">
        <f t="shared" ca="1" si="127"/>
        <v>4260364.2857142845</v>
      </c>
      <c r="AR158" s="29">
        <f t="shared" ca="1" si="127"/>
        <v>4260364.2857142845</v>
      </c>
      <c r="AS158" s="29">
        <f t="shared" ca="1" si="127"/>
        <v>4260364.2857142845</v>
      </c>
      <c r="AT158" s="29">
        <f t="shared" ca="1" si="127"/>
        <v>4260364.2857142845</v>
      </c>
      <c r="AU158" s="29">
        <f t="shared" ca="1" si="127"/>
        <v>0</v>
      </c>
      <c r="AV158" s="29">
        <f t="shared" ca="1" si="127"/>
        <v>0</v>
      </c>
      <c r="AW158" s="29">
        <f t="shared" ca="1" si="127"/>
        <v>0</v>
      </c>
      <c r="AX158" s="29">
        <f t="shared" ca="1" si="127"/>
        <v>0</v>
      </c>
      <c r="AY158" s="29">
        <f t="shared" ca="1" si="127"/>
        <v>0</v>
      </c>
      <c r="AZ158" s="29">
        <f t="shared" ca="1" si="127"/>
        <v>0</v>
      </c>
      <c r="BA158" s="29">
        <f t="shared" ca="1" si="127"/>
        <v>0</v>
      </c>
      <c r="BB158" s="29">
        <f t="shared" ca="1" si="127"/>
        <v>0</v>
      </c>
      <c r="BC158" s="29">
        <f t="shared" ca="1" si="127"/>
        <v>0</v>
      </c>
      <c r="BD158" s="29">
        <f t="shared" ca="1" si="127"/>
        <v>0</v>
      </c>
      <c r="BE158" s="29">
        <f t="shared" ca="1" si="127"/>
        <v>0</v>
      </c>
      <c r="BF158" s="29">
        <f t="shared" ca="1" si="127"/>
        <v>0</v>
      </c>
      <c r="BG158" s="29">
        <f t="shared" ca="1" si="127"/>
        <v>0</v>
      </c>
      <c r="BH158" s="29">
        <f t="shared" ca="1" si="127"/>
        <v>0</v>
      </c>
      <c r="BI158" s="29">
        <f t="shared" ca="1" si="127"/>
        <v>0</v>
      </c>
      <c r="BJ158" s="29">
        <f t="shared" si="127"/>
        <v>0</v>
      </c>
      <c r="BK158" s="29">
        <f t="shared" si="127"/>
        <v>0</v>
      </c>
      <c r="BL158" s="29">
        <f t="shared" si="127"/>
        <v>0</v>
      </c>
      <c r="BM158" s="29">
        <f t="shared" si="127"/>
        <v>0</v>
      </c>
      <c r="BN158" s="29">
        <f t="shared" si="127"/>
        <v>0</v>
      </c>
      <c r="BO158" s="29">
        <f t="shared" si="127"/>
        <v>0</v>
      </c>
      <c r="BP158" s="29">
        <f t="shared" si="127"/>
        <v>0</v>
      </c>
      <c r="BQ158" s="29">
        <f t="shared" si="127"/>
        <v>0</v>
      </c>
      <c r="BR158" s="29">
        <f t="shared" si="127"/>
        <v>0</v>
      </c>
      <c r="BS158" s="29">
        <f t="shared" si="127"/>
        <v>0</v>
      </c>
      <c r="BT158" s="29">
        <f t="shared" si="127"/>
        <v>0</v>
      </c>
      <c r="BU158" s="29">
        <f t="shared" si="127"/>
        <v>0</v>
      </c>
      <c r="BV158" s="29">
        <f t="shared" si="127"/>
        <v>0</v>
      </c>
      <c r="BW158" s="29">
        <f t="shared" si="127"/>
        <v>0</v>
      </c>
      <c r="BX158" s="29">
        <f t="shared" si="127"/>
        <v>0</v>
      </c>
      <c r="BY158" s="29">
        <f t="shared" si="127"/>
        <v>0</v>
      </c>
      <c r="BZ158" s="29">
        <f t="shared" si="127"/>
        <v>0</v>
      </c>
      <c r="CA158" s="29">
        <f t="shared" si="127"/>
        <v>0</v>
      </c>
      <c r="CB158" s="29">
        <f t="shared" si="127"/>
        <v>0</v>
      </c>
      <c r="CC158" s="29">
        <f t="shared" si="127"/>
        <v>0</v>
      </c>
      <c r="CD158" s="29">
        <f t="shared" si="127"/>
        <v>0</v>
      </c>
      <c r="CE158" s="29">
        <f t="shared" si="127"/>
        <v>0</v>
      </c>
      <c r="CF158" s="29">
        <f t="shared" si="127"/>
        <v>0</v>
      </c>
      <c r="CG158" s="29">
        <f t="shared" si="127"/>
        <v>0</v>
      </c>
      <c r="CH158" s="29">
        <f t="shared" si="127"/>
        <v>0</v>
      </c>
    </row>
    <row r="159" spans="2:86" ht="13" hidden="1" outlineLevel="1">
      <c r="B159" s="84">
        <f t="shared" si="73"/>
        <v>56</v>
      </c>
      <c r="C159" s="64">
        <f t="shared" ca="1" si="71"/>
        <v>0.40745330807232882</v>
      </c>
      <c r="D159" s="15" t="s">
        <v>238</v>
      </c>
      <c r="E159" s="29">
        <f t="shared" ca="1" si="61"/>
        <v>87213259.99999997</v>
      </c>
      <c r="F159" s="29"/>
      <c r="G159" s="29">
        <f t="shared" ref="G159:CH159" ca="1" si="128">IF(G$4&lt;=$B159,ABS(G$31)*-1+G$47,0)+IF($B159=G$4,G$81,0)</f>
        <v>-1444375</v>
      </c>
      <c r="H159" s="29">
        <f t="shared" ca="1" si="128"/>
        <v>-1344375</v>
      </c>
      <c r="I159" s="29">
        <f t="shared" ca="1" si="128"/>
        <v>-1344375</v>
      </c>
      <c r="J159" s="29">
        <f t="shared" ca="1" si="128"/>
        <v>-1344375</v>
      </c>
      <c r="K159" s="29">
        <f t="shared" ca="1" si="128"/>
        <v>-1344375</v>
      </c>
      <c r="L159" s="29">
        <f t="shared" ca="1" si="128"/>
        <v>-1344375</v>
      </c>
      <c r="M159" s="29">
        <f t="shared" ca="1" si="128"/>
        <v>-1344375</v>
      </c>
      <c r="N159" s="29">
        <f t="shared" ca="1" si="128"/>
        <v>-1344375</v>
      </c>
      <c r="O159" s="29">
        <f t="shared" ca="1" si="128"/>
        <v>-1344375</v>
      </c>
      <c r="P159" s="29">
        <f t="shared" ca="1" si="128"/>
        <v>-1344375</v>
      </c>
      <c r="Q159" s="29">
        <f t="shared" ca="1" si="128"/>
        <v>-1344375</v>
      </c>
      <c r="R159" s="29">
        <f t="shared" ca="1" si="128"/>
        <v>-1344375</v>
      </c>
      <c r="S159" s="29">
        <f t="shared" ca="1" si="128"/>
        <v>-372249.99999999953</v>
      </c>
      <c r="T159" s="29">
        <f t="shared" ca="1" si="128"/>
        <v>-372249.99999999953</v>
      </c>
      <c r="U159" s="29">
        <f t="shared" ca="1" si="128"/>
        <v>-372249.99999999953</v>
      </c>
      <c r="V159" s="29">
        <f t="shared" ca="1" si="128"/>
        <v>-372249.99999999953</v>
      </c>
      <c r="W159" s="29">
        <f t="shared" ca="1" si="128"/>
        <v>3345406.2500000009</v>
      </c>
      <c r="X159" s="29">
        <f t="shared" ca="1" si="128"/>
        <v>3345406.2500000009</v>
      </c>
      <c r="Y159" s="29">
        <f t="shared" ca="1" si="128"/>
        <v>2945950.5952380951</v>
      </c>
      <c r="Z159" s="29">
        <f t="shared" ca="1" si="128"/>
        <v>2915932.1428571437</v>
      </c>
      <c r="AA159" s="29">
        <f t="shared" ca="1" si="128"/>
        <v>2951646.4285714291</v>
      </c>
      <c r="AB159" s="29">
        <f t="shared" ca="1" si="128"/>
        <v>2951646.4285714291</v>
      </c>
      <c r="AC159" s="29">
        <f t="shared" ca="1" si="128"/>
        <v>2951646.4285714291</v>
      </c>
      <c r="AD159" s="29">
        <f t="shared" ca="1" si="128"/>
        <v>2951646.4285714291</v>
      </c>
      <c r="AE159" s="29">
        <f t="shared" ca="1" si="128"/>
        <v>6611317.3809523787</v>
      </c>
      <c r="AF159" s="29">
        <f t="shared" ca="1" si="128"/>
        <v>6611317.3809523787</v>
      </c>
      <c r="AG159" s="29">
        <f t="shared" ca="1" si="128"/>
        <v>6611317.3809523787</v>
      </c>
      <c r="AH159" s="29">
        <f t="shared" ca="1" si="128"/>
        <v>6611317.3809523787</v>
      </c>
      <c r="AI159" s="29">
        <f t="shared" ca="1" si="128"/>
        <v>5745426.1904761884</v>
      </c>
      <c r="AJ159" s="29">
        <f t="shared" ca="1" si="128"/>
        <v>5745426.1904761884</v>
      </c>
      <c r="AK159" s="29">
        <f t="shared" ca="1" si="128"/>
        <v>5745426.1904761884</v>
      </c>
      <c r="AL159" s="29">
        <f t="shared" ca="1" si="128"/>
        <v>5745426.1904761884</v>
      </c>
      <c r="AM159" s="29">
        <f t="shared" ca="1" si="128"/>
        <v>3526761.904761903</v>
      </c>
      <c r="AN159" s="29">
        <f t="shared" ca="1" si="128"/>
        <v>3526761.904761903</v>
      </c>
      <c r="AO159" s="29">
        <f t="shared" ca="1" si="128"/>
        <v>3526761.904761903</v>
      </c>
      <c r="AP159" s="29">
        <f t="shared" ca="1" si="128"/>
        <v>3526761.904761903</v>
      </c>
      <c r="AQ159" s="29">
        <f t="shared" ca="1" si="128"/>
        <v>4260364.2857142845</v>
      </c>
      <c r="AR159" s="29">
        <f t="shared" ca="1" si="128"/>
        <v>4260364.2857142845</v>
      </c>
      <c r="AS159" s="29">
        <f t="shared" ca="1" si="128"/>
        <v>4260364.2857142845</v>
      </c>
      <c r="AT159" s="29">
        <f t="shared" ca="1" si="128"/>
        <v>4260364.2857142845</v>
      </c>
      <c r="AU159" s="29">
        <f t="shared" ca="1" si="128"/>
        <v>0</v>
      </c>
      <c r="AV159" s="29">
        <f t="shared" ca="1" si="128"/>
        <v>0</v>
      </c>
      <c r="AW159" s="29">
        <f t="shared" ca="1" si="128"/>
        <v>0</v>
      </c>
      <c r="AX159" s="29">
        <f t="shared" ca="1" si="128"/>
        <v>0</v>
      </c>
      <c r="AY159" s="29">
        <f t="shared" ca="1" si="128"/>
        <v>0</v>
      </c>
      <c r="AZ159" s="29">
        <f t="shared" ca="1" si="128"/>
        <v>0</v>
      </c>
      <c r="BA159" s="29">
        <f t="shared" ca="1" si="128"/>
        <v>0</v>
      </c>
      <c r="BB159" s="29">
        <f t="shared" ca="1" si="128"/>
        <v>0</v>
      </c>
      <c r="BC159" s="29">
        <f t="shared" ca="1" si="128"/>
        <v>0</v>
      </c>
      <c r="BD159" s="29">
        <f t="shared" ca="1" si="128"/>
        <v>0</v>
      </c>
      <c r="BE159" s="29">
        <f t="shared" ca="1" si="128"/>
        <v>0</v>
      </c>
      <c r="BF159" s="29">
        <f t="shared" ca="1" si="128"/>
        <v>0</v>
      </c>
      <c r="BG159" s="29">
        <f t="shared" ca="1" si="128"/>
        <v>0</v>
      </c>
      <c r="BH159" s="29">
        <f t="shared" ca="1" si="128"/>
        <v>0</v>
      </c>
      <c r="BI159" s="29">
        <f t="shared" ca="1" si="128"/>
        <v>0</v>
      </c>
      <c r="BJ159" s="29">
        <f t="shared" ca="1" si="128"/>
        <v>0</v>
      </c>
      <c r="BK159" s="29">
        <f t="shared" si="128"/>
        <v>0</v>
      </c>
      <c r="BL159" s="29">
        <f t="shared" si="128"/>
        <v>0</v>
      </c>
      <c r="BM159" s="29">
        <f t="shared" si="128"/>
        <v>0</v>
      </c>
      <c r="BN159" s="29">
        <f t="shared" si="128"/>
        <v>0</v>
      </c>
      <c r="BO159" s="29">
        <f t="shared" si="128"/>
        <v>0</v>
      </c>
      <c r="BP159" s="29">
        <f t="shared" si="128"/>
        <v>0</v>
      </c>
      <c r="BQ159" s="29">
        <f t="shared" si="128"/>
        <v>0</v>
      </c>
      <c r="BR159" s="29">
        <f t="shared" si="128"/>
        <v>0</v>
      </c>
      <c r="BS159" s="29">
        <f t="shared" si="128"/>
        <v>0</v>
      </c>
      <c r="BT159" s="29">
        <f t="shared" si="128"/>
        <v>0</v>
      </c>
      <c r="BU159" s="29">
        <f t="shared" si="128"/>
        <v>0</v>
      </c>
      <c r="BV159" s="29">
        <f t="shared" si="128"/>
        <v>0</v>
      </c>
      <c r="BW159" s="29">
        <f t="shared" si="128"/>
        <v>0</v>
      </c>
      <c r="BX159" s="29">
        <f t="shared" si="128"/>
        <v>0</v>
      </c>
      <c r="BY159" s="29">
        <f t="shared" si="128"/>
        <v>0</v>
      </c>
      <c r="BZ159" s="29">
        <f t="shared" si="128"/>
        <v>0</v>
      </c>
      <c r="CA159" s="29">
        <f t="shared" si="128"/>
        <v>0</v>
      </c>
      <c r="CB159" s="29">
        <f t="shared" si="128"/>
        <v>0</v>
      </c>
      <c r="CC159" s="29">
        <f t="shared" si="128"/>
        <v>0</v>
      </c>
      <c r="CD159" s="29">
        <f t="shared" si="128"/>
        <v>0</v>
      </c>
      <c r="CE159" s="29">
        <f t="shared" si="128"/>
        <v>0</v>
      </c>
      <c r="CF159" s="29">
        <f t="shared" si="128"/>
        <v>0</v>
      </c>
      <c r="CG159" s="29">
        <f t="shared" si="128"/>
        <v>0</v>
      </c>
      <c r="CH159" s="29">
        <f t="shared" si="128"/>
        <v>0</v>
      </c>
    </row>
    <row r="160" spans="2:86" ht="13" hidden="1" outlineLevel="1">
      <c r="B160" s="84">
        <f t="shared" si="73"/>
        <v>57</v>
      </c>
      <c r="C160" s="64">
        <f t="shared" ca="1" si="71"/>
        <v>0.40745330807232882</v>
      </c>
      <c r="D160" s="15" t="s">
        <v>238</v>
      </c>
      <c r="E160" s="29">
        <f t="shared" ca="1" si="61"/>
        <v>87213259.99999997</v>
      </c>
      <c r="F160" s="29"/>
      <c r="G160" s="29">
        <f t="shared" ref="G160:CH160" ca="1" si="129">IF(G$4&lt;=$B160,ABS(G$31)*-1+G$47,0)+IF($B160=G$4,G$81,0)</f>
        <v>-1444375</v>
      </c>
      <c r="H160" s="29">
        <f t="shared" ca="1" si="129"/>
        <v>-1344375</v>
      </c>
      <c r="I160" s="29">
        <f t="shared" ca="1" si="129"/>
        <v>-1344375</v>
      </c>
      <c r="J160" s="29">
        <f t="shared" ca="1" si="129"/>
        <v>-1344375</v>
      </c>
      <c r="K160" s="29">
        <f t="shared" ca="1" si="129"/>
        <v>-1344375</v>
      </c>
      <c r="L160" s="29">
        <f t="shared" ca="1" si="129"/>
        <v>-1344375</v>
      </c>
      <c r="M160" s="29">
        <f t="shared" ca="1" si="129"/>
        <v>-1344375</v>
      </c>
      <c r="N160" s="29">
        <f t="shared" ca="1" si="129"/>
        <v>-1344375</v>
      </c>
      <c r="O160" s="29">
        <f t="shared" ca="1" si="129"/>
        <v>-1344375</v>
      </c>
      <c r="P160" s="29">
        <f t="shared" ca="1" si="129"/>
        <v>-1344375</v>
      </c>
      <c r="Q160" s="29">
        <f t="shared" ca="1" si="129"/>
        <v>-1344375</v>
      </c>
      <c r="R160" s="29">
        <f t="shared" ca="1" si="129"/>
        <v>-1344375</v>
      </c>
      <c r="S160" s="29">
        <f t="shared" ca="1" si="129"/>
        <v>-372249.99999999953</v>
      </c>
      <c r="T160" s="29">
        <f t="shared" ca="1" si="129"/>
        <v>-372249.99999999953</v>
      </c>
      <c r="U160" s="29">
        <f t="shared" ca="1" si="129"/>
        <v>-372249.99999999953</v>
      </c>
      <c r="V160" s="29">
        <f t="shared" ca="1" si="129"/>
        <v>-372249.99999999953</v>
      </c>
      <c r="W160" s="29">
        <f t="shared" ca="1" si="129"/>
        <v>3345406.2500000009</v>
      </c>
      <c r="X160" s="29">
        <f t="shared" ca="1" si="129"/>
        <v>3345406.2500000009</v>
      </c>
      <c r="Y160" s="29">
        <f t="shared" ca="1" si="129"/>
        <v>2945950.5952380951</v>
      </c>
      <c r="Z160" s="29">
        <f t="shared" ca="1" si="129"/>
        <v>2915932.1428571437</v>
      </c>
      <c r="AA160" s="29">
        <f t="shared" ca="1" si="129"/>
        <v>2951646.4285714291</v>
      </c>
      <c r="AB160" s="29">
        <f t="shared" ca="1" si="129"/>
        <v>2951646.4285714291</v>
      </c>
      <c r="AC160" s="29">
        <f t="shared" ca="1" si="129"/>
        <v>2951646.4285714291</v>
      </c>
      <c r="AD160" s="29">
        <f t="shared" ca="1" si="129"/>
        <v>2951646.4285714291</v>
      </c>
      <c r="AE160" s="29">
        <f t="shared" ca="1" si="129"/>
        <v>6611317.3809523787</v>
      </c>
      <c r="AF160" s="29">
        <f t="shared" ca="1" si="129"/>
        <v>6611317.3809523787</v>
      </c>
      <c r="AG160" s="29">
        <f t="shared" ca="1" si="129"/>
        <v>6611317.3809523787</v>
      </c>
      <c r="AH160" s="29">
        <f t="shared" ca="1" si="129"/>
        <v>6611317.3809523787</v>
      </c>
      <c r="AI160" s="29">
        <f t="shared" ca="1" si="129"/>
        <v>5745426.1904761884</v>
      </c>
      <c r="AJ160" s="29">
        <f t="shared" ca="1" si="129"/>
        <v>5745426.1904761884</v>
      </c>
      <c r="AK160" s="29">
        <f t="shared" ca="1" si="129"/>
        <v>5745426.1904761884</v>
      </c>
      <c r="AL160" s="29">
        <f t="shared" ca="1" si="129"/>
        <v>5745426.1904761884</v>
      </c>
      <c r="AM160" s="29">
        <f t="shared" ca="1" si="129"/>
        <v>3526761.904761903</v>
      </c>
      <c r="AN160" s="29">
        <f t="shared" ca="1" si="129"/>
        <v>3526761.904761903</v>
      </c>
      <c r="AO160" s="29">
        <f t="shared" ca="1" si="129"/>
        <v>3526761.904761903</v>
      </c>
      <c r="AP160" s="29">
        <f t="shared" ca="1" si="129"/>
        <v>3526761.904761903</v>
      </c>
      <c r="AQ160" s="29">
        <f t="shared" ca="1" si="129"/>
        <v>4260364.2857142845</v>
      </c>
      <c r="AR160" s="29">
        <f t="shared" ca="1" si="129"/>
        <v>4260364.2857142845</v>
      </c>
      <c r="AS160" s="29">
        <f t="shared" ca="1" si="129"/>
        <v>4260364.2857142845</v>
      </c>
      <c r="AT160" s="29">
        <f t="shared" ca="1" si="129"/>
        <v>4260364.2857142845</v>
      </c>
      <c r="AU160" s="29">
        <f t="shared" ca="1" si="129"/>
        <v>0</v>
      </c>
      <c r="AV160" s="29">
        <f t="shared" ca="1" si="129"/>
        <v>0</v>
      </c>
      <c r="AW160" s="29">
        <f t="shared" ca="1" si="129"/>
        <v>0</v>
      </c>
      <c r="AX160" s="29">
        <f t="shared" ca="1" si="129"/>
        <v>0</v>
      </c>
      <c r="AY160" s="29">
        <f t="shared" ca="1" si="129"/>
        <v>0</v>
      </c>
      <c r="AZ160" s="29">
        <f t="shared" ca="1" si="129"/>
        <v>0</v>
      </c>
      <c r="BA160" s="29">
        <f t="shared" ca="1" si="129"/>
        <v>0</v>
      </c>
      <c r="BB160" s="29">
        <f t="shared" ca="1" si="129"/>
        <v>0</v>
      </c>
      <c r="BC160" s="29">
        <f t="shared" ca="1" si="129"/>
        <v>0</v>
      </c>
      <c r="BD160" s="29">
        <f t="shared" ca="1" si="129"/>
        <v>0</v>
      </c>
      <c r="BE160" s="29">
        <f t="shared" ca="1" si="129"/>
        <v>0</v>
      </c>
      <c r="BF160" s="29">
        <f t="shared" ca="1" si="129"/>
        <v>0</v>
      </c>
      <c r="BG160" s="29">
        <f t="shared" ca="1" si="129"/>
        <v>0</v>
      </c>
      <c r="BH160" s="29">
        <f t="shared" ca="1" si="129"/>
        <v>0</v>
      </c>
      <c r="BI160" s="29">
        <f t="shared" ca="1" si="129"/>
        <v>0</v>
      </c>
      <c r="BJ160" s="29">
        <f t="shared" ca="1" si="129"/>
        <v>0</v>
      </c>
      <c r="BK160" s="29">
        <f t="shared" ca="1" si="129"/>
        <v>0</v>
      </c>
      <c r="BL160" s="29">
        <f t="shared" si="129"/>
        <v>0</v>
      </c>
      <c r="BM160" s="29">
        <f t="shared" si="129"/>
        <v>0</v>
      </c>
      <c r="BN160" s="29">
        <f t="shared" si="129"/>
        <v>0</v>
      </c>
      <c r="BO160" s="29">
        <f t="shared" si="129"/>
        <v>0</v>
      </c>
      <c r="BP160" s="29">
        <f t="shared" si="129"/>
        <v>0</v>
      </c>
      <c r="BQ160" s="29">
        <f t="shared" si="129"/>
        <v>0</v>
      </c>
      <c r="BR160" s="29">
        <f t="shared" si="129"/>
        <v>0</v>
      </c>
      <c r="BS160" s="29">
        <f t="shared" si="129"/>
        <v>0</v>
      </c>
      <c r="BT160" s="29">
        <f t="shared" si="129"/>
        <v>0</v>
      </c>
      <c r="BU160" s="29">
        <f t="shared" si="129"/>
        <v>0</v>
      </c>
      <c r="BV160" s="29">
        <f t="shared" si="129"/>
        <v>0</v>
      </c>
      <c r="BW160" s="29">
        <f t="shared" si="129"/>
        <v>0</v>
      </c>
      <c r="BX160" s="29">
        <f t="shared" si="129"/>
        <v>0</v>
      </c>
      <c r="BY160" s="29">
        <f t="shared" si="129"/>
        <v>0</v>
      </c>
      <c r="BZ160" s="29">
        <f t="shared" si="129"/>
        <v>0</v>
      </c>
      <c r="CA160" s="29">
        <f t="shared" si="129"/>
        <v>0</v>
      </c>
      <c r="CB160" s="29">
        <f t="shared" si="129"/>
        <v>0</v>
      </c>
      <c r="CC160" s="29">
        <f t="shared" si="129"/>
        <v>0</v>
      </c>
      <c r="CD160" s="29">
        <f t="shared" si="129"/>
        <v>0</v>
      </c>
      <c r="CE160" s="29">
        <f t="shared" si="129"/>
        <v>0</v>
      </c>
      <c r="CF160" s="29">
        <f t="shared" si="129"/>
        <v>0</v>
      </c>
      <c r="CG160" s="29">
        <f t="shared" si="129"/>
        <v>0</v>
      </c>
      <c r="CH160" s="29">
        <f t="shared" si="129"/>
        <v>0</v>
      </c>
    </row>
    <row r="161" spans="2:86" ht="13" hidden="1" outlineLevel="1">
      <c r="B161" s="84">
        <f t="shared" si="73"/>
        <v>58</v>
      </c>
      <c r="C161" s="64">
        <f t="shared" ca="1" si="71"/>
        <v>0.40745330807232882</v>
      </c>
      <c r="D161" s="15" t="s">
        <v>238</v>
      </c>
      <c r="E161" s="29">
        <f t="shared" ca="1" si="61"/>
        <v>87213259.99999997</v>
      </c>
      <c r="F161" s="29"/>
      <c r="G161" s="29">
        <f t="shared" ref="G161:CH161" ca="1" si="130">IF(G$4&lt;=$B161,ABS(G$31)*-1+G$47,0)+IF($B161=G$4,G$81,0)</f>
        <v>-1444375</v>
      </c>
      <c r="H161" s="29">
        <f t="shared" ca="1" si="130"/>
        <v>-1344375</v>
      </c>
      <c r="I161" s="29">
        <f t="shared" ca="1" si="130"/>
        <v>-1344375</v>
      </c>
      <c r="J161" s="29">
        <f t="shared" ca="1" si="130"/>
        <v>-1344375</v>
      </c>
      <c r="K161" s="29">
        <f t="shared" ca="1" si="130"/>
        <v>-1344375</v>
      </c>
      <c r="L161" s="29">
        <f t="shared" ca="1" si="130"/>
        <v>-1344375</v>
      </c>
      <c r="M161" s="29">
        <f t="shared" ca="1" si="130"/>
        <v>-1344375</v>
      </c>
      <c r="N161" s="29">
        <f t="shared" ca="1" si="130"/>
        <v>-1344375</v>
      </c>
      <c r="O161" s="29">
        <f t="shared" ca="1" si="130"/>
        <v>-1344375</v>
      </c>
      <c r="P161" s="29">
        <f t="shared" ca="1" si="130"/>
        <v>-1344375</v>
      </c>
      <c r="Q161" s="29">
        <f t="shared" ca="1" si="130"/>
        <v>-1344375</v>
      </c>
      <c r="R161" s="29">
        <f t="shared" ca="1" si="130"/>
        <v>-1344375</v>
      </c>
      <c r="S161" s="29">
        <f t="shared" ca="1" si="130"/>
        <v>-372249.99999999953</v>
      </c>
      <c r="T161" s="29">
        <f t="shared" ca="1" si="130"/>
        <v>-372249.99999999953</v>
      </c>
      <c r="U161" s="29">
        <f t="shared" ca="1" si="130"/>
        <v>-372249.99999999953</v>
      </c>
      <c r="V161" s="29">
        <f t="shared" ca="1" si="130"/>
        <v>-372249.99999999953</v>
      </c>
      <c r="W161" s="29">
        <f t="shared" ca="1" si="130"/>
        <v>3345406.2500000009</v>
      </c>
      <c r="X161" s="29">
        <f t="shared" ca="1" si="130"/>
        <v>3345406.2500000009</v>
      </c>
      <c r="Y161" s="29">
        <f t="shared" ca="1" si="130"/>
        <v>2945950.5952380951</v>
      </c>
      <c r="Z161" s="29">
        <f t="shared" ca="1" si="130"/>
        <v>2915932.1428571437</v>
      </c>
      <c r="AA161" s="29">
        <f t="shared" ca="1" si="130"/>
        <v>2951646.4285714291</v>
      </c>
      <c r="AB161" s="29">
        <f t="shared" ca="1" si="130"/>
        <v>2951646.4285714291</v>
      </c>
      <c r="AC161" s="29">
        <f t="shared" ca="1" si="130"/>
        <v>2951646.4285714291</v>
      </c>
      <c r="AD161" s="29">
        <f t="shared" ca="1" si="130"/>
        <v>2951646.4285714291</v>
      </c>
      <c r="AE161" s="29">
        <f t="shared" ca="1" si="130"/>
        <v>6611317.3809523787</v>
      </c>
      <c r="AF161" s="29">
        <f t="shared" ca="1" si="130"/>
        <v>6611317.3809523787</v>
      </c>
      <c r="AG161" s="29">
        <f t="shared" ca="1" si="130"/>
        <v>6611317.3809523787</v>
      </c>
      <c r="AH161" s="29">
        <f t="shared" ca="1" si="130"/>
        <v>6611317.3809523787</v>
      </c>
      <c r="AI161" s="29">
        <f t="shared" ca="1" si="130"/>
        <v>5745426.1904761884</v>
      </c>
      <c r="AJ161" s="29">
        <f t="shared" ca="1" si="130"/>
        <v>5745426.1904761884</v>
      </c>
      <c r="AK161" s="29">
        <f t="shared" ca="1" si="130"/>
        <v>5745426.1904761884</v>
      </c>
      <c r="AL161" s="29">
        <f t="shared" ca="1" si="130"/>
        <v>5745426.1904761884</v>
      </c>
      <c r="AM161" s="29">
        <f t="shared" ca="1" si="130"/>
        <v>3526761.904761903</v>
      </c>
      <c r="AN161" s="29">
        <f t="shared" ca="1" si="130"/>
        <v>3526761.904761903</v>
      </c>
      <c r="AO161" s="29">
        <f t="shared" ca="1" si="130"/>
        <v>3526761.904761903</v>
      </c>
      <c r="AP161" s="29">
        <f t="shared" ca="1" si="130"/>
        <v>3526761.904761903</v>
      </c>
      <c r="AQ161" s="29">
        <f t="shared" ca="1" si="130"/>
        <v>4260364.2857142845</v>
      </c>
      <c r="AR161" s="29">
        <f t="shared" ca="1" si="130"/>
        <v>4260364.2857142845</v>
      </c>
      <c r="AS161" s="29">
        <f t="shared" ca="1" si="130"/>
        <v>4260364.2857142845</v>
      </c>
      <c r="AT161" s="29">
        <f t="shared" ca="1" si="130"/>
        <v>4260364.2857142845</v>
      </c>
      <c r="AU161" s="29">
        <f t="shared" ca="1" si="130"/>
        <v>0</v>
      </c>
      <c r="AV161" s="29">
        <f t="shared" ca="1" si="130"/>
        <v>0</v>
      </c>
      <c r="AW161" s="29">
        <f t="shared" ca="1" si="130"/>
        <v>0</v>
      </c>
      <c r="AX161" s="29">
        <f t="shared" ca="1" si="130"/>
        <v>0</v>
      </c>
      <c r="AY161" s="29">
        <f t="shared" ca="1" si="130"/>
        <v>0</v>
      </c>
      <c r="AZ161" s="29">
        <f t="shared" ca="1" si="130"/>
        <v>0</v>
      </c>
      <c r="BA161" s="29">
        <f t="shared" ca="1" si="130"/>
        <v>0</v>
      </c>
      <c r="BB161" s="29">
        <f t="shared" ca="1" si="130"/>
        <v>0</v>
      </c>
      <c r="BC161" s="29">
        <f t="shared" ca="1" si="130"/>
        <v>0</v>
      </c>
      <c r="BD161" s="29">
        <f t="shared" ca="1" si="130"/>
        <v>0</v>
      </c>
      <c r="BE161" s="29">
        <f t="shared" ca="1" si="130"/>
        <v>0</v>
      </c>
      <c r="BF161" s="29">
        <f t="shared" ca="1" si="130"/>
        <v>0</v>
      </c>
      <c r="BG161" s="29">
        <f t="shared" ca="1" si="130"/>
        <v>0</v>
      </c>
      <c r="BH161" s="29">
        <f t="shared" ca="1" si="130"/>
        <v>0</v>
      </c>
      <c r="BI161" s="29">
        <f t="shared" ca="1" si="130"/>
        <v>0</v>
      </c>
      <c r="BJ161" s="29">
        <f t="shared" ca="1" si="130"/>
        <v>0</v>
      </c>
      <c r="BK161" s="29">
        <f t="shared" ca="1" si="130"/>
        <v>0</v>
      </c>
      <c r="BL161" s="29">
        <f t="shared" ca="1" si="130"/>
        <v>0</v>
      </c>
      <c r="BM161" s="29">
        <f t="shared" si="130"/>
        <v>0</v>
      </c>
      <c r="BN161" s="29">
        <f t="shared" si="130"/>
        <v>0</v>
      </c>
      <c r="BO161" s="29">
        <f t="shared" si="130"/>
        <v>0</v>
      </c>
      <c r="BP161" s="29">
        <f t="shared" si="130"/>
        <v>0</v>
      </c>
      <c r="BQ161" s="29">
        <f t="shared" si="130"/>
        <v>0</v>
      </c>
      <c r="BR161" s="29">
        <f t="shared" si="130"/>
        <v>0</v>
      </c>
      <c r="BS161" s="29">
        <f t="shared" si="130"/>
        <v>0</v>
      </c>
      <c r="BT161" s="29">
        <f t="shared" si="130"/>
        <v>0</v>
      </c>
      <c r="BU161" s="29">
        <f t="shared" si="130"/>
        <v>0</v>
      </c>
      <c r="BV161" s="29">
        <f t="shared" si="130"/>
        <v>0</v>
      </c>
      <c r="BW161" s="29">
        <f t="shared" si="130"/>
        <v>0</v>
      </c>
      <c r="BX161" s="29">
        <f t="shared" si="130"/>
        <v>0</v>
      </c>
      <c r="BY161" s="29">
        <f t="shared" si="130"/>
        <v>0</v>
      </c>
      <c r="BZ161" s="29">
        <f t="shared" si="130"/>
        <v>0</v>
      </c>
      <c r="CA161" s="29">
        <f t="shared" si="130"/>
        <v>0</v>
      </c>
      <c r="CB161" s="29">
        <f t="shared" si="130"/>
        <v>0</v>
      </c>
      <c r="CC161" s="29">
        <f t="shared" si="130"/>
        <v>0</v>
      </c>
      <c r="CD161" s="29">
        <f t="shared" si="130"/>
        <v>0</v>
      </c>
      <c r="CE161" s="29">
        <f t="shared" si="130"/>
        <v>0</v>
      </c>
      <c r="CF161" s="29">
        <f t="shared" si="130"/>
        <v>0</v>
      </c>
      <c r="CG161" s="29">
        <f t="shared" si="130"/>
        <v>0</v>
      </c>
      <c r="CH161" s="29">
        <f t="shared" si="130"/>
        <v>0</v>
      </c>
    </row>
    <row r="162" spans="2:86" ht="13" hidden="1" outlineLevel="1">
      <c r="B162" s="84">
        <f t="shared" si="73"/>
        <v>59</v>
      </c>
      <c r="C162" s="64">
        <f t="shared" ca="1" si="71"/>
        <v>0.40745330807232882</v>
      </c>
      <c r="D162" s="15" t="s">
        <v>238</v>
      </c>
      <c r="E162" s="29">
        <f t="shared" ca="1" si="61"/>
        <v>87213259.99999997</v>
      </c>
      <c r="F162" s="29"/>
      <c r="G162" s="29">
        <f t="shared" ref="G162:CH162" ca="1" si="131">IF(G$4&lt;=$B162,ABS(G$31)*-1+G$47,0)+IF($B162=G$4,G$81,0)</f>
        <v>-1444375</v>
      </c>
      <c r="H162" s="29">
        <f t="shared" ca="1" si="131"/>
        <v>-1344375</v>
      </c>
      <c r="I162" s="29">
        <f t="shared" ca="1" si="131"/>
        <v>-1344375</v>
      </c>
      <c r="J162" s="29">
        <f t="shared" ca="1" si="131"/>
        <v>-1344375</v>
      </c>
      <c r="K162" s="29">
        <f t="shared" ca="1" si="131"/>
        <v>-1344375</v>
      </c>
      <c r="L162" s="29">
        <f t="shared" ca="1" si="131"/>
        <v>-1344375</v>
      </c>
      <c r="M162" s="29">
        <f t="shared" ca="1" si="131"/>
        <v>-1344375</v>
      </c>
      <c r="N162" s="29">
        <f t="shared" ca="1" si="131"/>
        <v>-1344375</v>
      </c>
      <c r="O162" s="29">
        <f t="shared" ca="1" si="131"/>
        <v>-1344375</v>
      </c>
      <c r="P162" s="29">
        <f t="shared" ca="1" si="131"/>
        <v>-1344375</v>
      </c>
      <c r="Q162" s="29">
        <f t="shared" ca="1" si="131"/>
        <v>-1344375</v>
      </c>
      <c r="R162" s="29">
        <f t="shared" ca="1" si="131"/>
        <v>-1344375</v>
      </c>
      <c r="S162" s="29">
        <f t="shared" ca="1" si="131"/>
        <v>-372249.99999999953</v>
      </c>
      <c r="T162" s="29">
        <f t="shared" ca="1" si="131"/>
        <v>-372249.99999999953</v>
      </c>
      <c r="U162" s="29">
        <f t="shared" ca="1" si="131"/>
        <v>-372249.99999999953</v>
      </c>
      <c r="V162" s="29">
        <f t="shared" ca="1" si="131"/>
        <v>-372249.99999999953</v>
      </c>
      <c r="W162" s="29">
        <f t="shared" ca="1" si="131"/>
        <v>3345406.2500000009</v>
      </c>
      <c r="X162" s="29">
        <f t="shared" ca="1" si="131"/>
        <v>3345406.2500000009</v>
      </c>
      <c r="Y162" s="29">
        <f t="shared" ca="1" si="131"/>
        <v>2945950.5952380951</v>
      </c>
      <c r="Z162" s="29">
        <f t="shared" ca="1" si="131"/>
        <v>2915932.1428571437</v>
      </c>
      <c r="AA162" s="29">
        <f t="shared" ca="1" si="131"/>
        <v>2951646.4285714291</v>
      </c>
      <c r="AB162" s="29">
        <f t="shared" ca="1" si="131"/>
        <v>2951646.4285714291</v>
      </c>
      <c r="AC162" s="29">
        <f t="shared" ca="1" si="131"/>
        <v>2951646.4285714291</v>
      </c>
      <c r="AD162" s="29">
        <f t="shared" ca="1" si="131"/>
        <v>2951646.4285714291</v>
      </c>
      <c r="AE162" s="29">
        <f t="shared" ca="1" si="131"/>
        <v>6611317.3809523787</v>
      </c>
      <c r="AF162" s="29">
        <f t="shared" ca="1" si="131"/>
        <v>6611317.3809523787</v>
      </c>
      <c r="AG162" s="29">
        <f t="shared" ca="1" si="131"/>
        <v>6611317.3809523787</v>
      </c>
      <c r="AH162" s="29">
        <f t="shared" ca="1" si="131"/>
        <v>6611317.3809523787</v>
      </c>
      <c r="AI162" s="29">
        <f t="shared" ca="1" si="131"/>
        <v>5745426.1904761884</v>
      </c>
      <c r="AJ162" s="29">
        <f t="shared" ca="1" si="131"/>
        <v>5745426.1904761884</v>
      </c>
      <c r="AK162" s="29">
        <f t="shared" ca="1" si="131"/>
        <v>5745426.1904761884</v>
      </c>
      <c r="AL162" s="29">
        <f t="shared" ca="1" si="131"/>
        <v>5745426.1904761884</v>
      </c>
      <c r="AM162" s="29">
        <f t="shared" ca="1" si="131"/>
        <v>3526761.904761903</v>
      </c>
      <c r="AN162" s="29">
        <f t="shared" ca="1" si="131"/>
        <v>3526761.904761903</v>
      </c>
      <c r="AO162" s="29">
        <f t="shared" ca="1" si="131"/>
        <v>3526761.904761903</v>
      </c>
      <c r="AP162" s="29">
        <f t="shared" ca="1" si="131"/>
        <v>3526761.904761903</v>
      </c>
      <c r="AQ162" s="29">
        <f t="shared" ca="1" si="131"/>
        <v>4260364.2857142845</v>
      </c>
      <c r="AR162" s="29">
        <f t="shared" ca="1" si="131"/>
        <v>4260364.2857142845</v>
      </c>
      <c r="AS162" s="29">
        <f t="shared" ca="1" si="131"/>
        <v>4260364.2857142845</v>
      </c>
      <c r="AT162" s="29">
        <f t="shared" ca="1" si="131"/>
        <v>4260364.2857142845</v>
      </c>
      <c r="AU162" s="29">
        <f t="shared" ca="1" si="131"/>
        <v>0</v>
      </c>
      <c r="AV162" s="29">
        <f t="shared" ca="1" si="131"/>
        <v>0</v>
      </c>
      <c r="AW162" s="29">
        <f t="shared" ca="1" si="131"/>
        <v>0</v>
      </c>
      <c r="AX162" s="29">
        <f t="shared" ca="1" si="131"/>
        <v>0</v>
      </c>
      <c r="AY162" s="29">
        <f t="shared" ca="1" si="131"/>
        <v>0</v>
      </c>
      <c r="AZ162" s="29">
        <f t="shared" ca="1" si="131"/>
        <v>0</v>
      </c>
      <c r="BA162" s="29">
        <f t="shared" ca="1" si="131"/>
        <v>0</v>
      </c>
      <c r="BB162" s="29">
        <f t="shared" ca="1" si="131"/>
        <v>0</v>
      </c>
      <c r="BC162" s="29">
        <f t="shared" ca="1" si="131"/>
        <v>0</v>
      </c>
      <c r="BD162" s="29">
        <f t="shared" ca="1" si="131"/>
        <v>0</v>
      </c>
      <c r="BE162" s="29">
        <f t="shared" ca="1" si="131"/>
        <v>0</v>
      </c>
      <c r="BF162" s="29">
        <f t="shared" ca="1" si="131"/>
        <v>0</v>
      </c>
      <c r="BG162" s="29">
        <f t="shared" ca="1" si="131"/>
        <v>0</v>
      </c>
      <c r="BH162" s="29">
        <f t="shared" ca="1" si="131"/>
        <v>0</v>
      </c>
      <c r="BI162" s="29">
        <f t="shared" ca="1" si="131"/>
        <v>0</v>
      </c>
      <c r="BJ162" s="29">
        <f t="shared" ca="1" si="131"/>
        <v>0</v>
      </c>
      <c r="BK162" s="29">
        <f t="shared" ca="1" si="131"/>
        <v>0</v>
      </c>
      <c r="BL162" s="29">
        <f t="shared" ca="1" si="131"/>
        <v>0</v>
      </c>
      <c r="BM162" s="29">
        <f t="shared" ca="1" si="131"/>
        <v>0</v>
      </c>
      <c r="BN162" s="29">
        <f t="shared" si="131"/>
        <v>0</v>
      </c>
      <c r="BO162" s="29">
        <f t="shared" si="131"/>
        <v>0</v>
      </c>
      <c r="BP162" s="29">
        <f t="shared" si="131"/>
        <v>0</v>
      </c>
      <c r="BQ162" s="29">
        <f t="shared" si="131"/>
        <v>0</v>
      </c>
      <c r="BR162" s="29">
        <f t="shared" si="131"/>
        <v>0</v>
      </c>
      <c r="BS162" s="29">
        <f t="shared" si="131"/>
        <v>0</v>
      </c>
      <c r="BT162" s="29">
        <f t="shared" si="131"/>
        <v>0</v>
      </c>
      <c r="BU162" s="29">
        <f t="shared" si="131"/>
        <v>0</v>
      </c>
      <c r="BV162" s="29">
        <f t="shared" si="131"/>
        <v>0</v>
      </c>
      <c r="BW162" s="29">
        <f t="shared" si="131"/>
        <v>0</v>
      </c>
      <c r="BX162" s="29">
        <f t="shared" si="131"/>
        <v>0</v>
      </c>
      <c r="BY162" s="29">
        <f t="shared" si="131"/>
        <v>0</v>
      </c>
      <c r="BZ162" s="29">
        <f t="shared" si="131"/>
        <v>0</v>
      </c>
      <c r="CA162" s="29">
        <f t="shared" si="131"/>
        <v>0</v>
      </c>
      <c r="CB162" s="29">
        <f t="shared" si="131"/>
        <v>0</v>
      </c>
      <c r="CC162" s="29">
        <f t="shared" si="131"/>
        <v>0</v>
      </c>
      <c r="CD162" s="29">
        <f t="shared" si="131"/>
        <v>0</v>
      </c>
      <c r="CE162" s="29">
        <f t="shared" si="131"/>
        <v>0</v>
      </c>
      <c r="CF162" s="29">
        <f t="shared" si="131"/>
        <v>0</v>
      </c>
      <c r="CG162" s="29">
        <f t="shared" si="131"/>
        <v>0</v>
      </c>
      <c r="CH162" s="29">
        <f t="shared" si="131"/>
        <v>0</v>
      </c>
    </row>
    <row r="163" spans="2:86" ht="13" hidden="1" outlineLevel="1">
      <c r="B163" s="84">
        <f t="shared" si="73"/>
        <v>60</v>
      </c>
      <c r="C163" s="64">
        <f t="shared" ca="1" si="71"/>
        <v>0.40745330807232882</v>
      </c>
      <c r="D163" s="15" t="s">
        <v>238</v>
      </c>
      <c r="E163" s="29">
        <f t="shared" ca="1" si="61"/>
        <v>87213259.99999997</v>
      </c>
      <c r="F163" s="29"/>
      <c r="G163" s="29">
        <f t="shared" ref="G163:CH163" ca="1" si="132">IF(G$4&lt;=$B163,ABS(G$31)*-1+G$47,0)+IF($B163=G$4,G$81,0)</f>
        <v>-1444375</v>
      </c>
      <c r="H163" s="29">
        <f t="shared" ca="1" si="132"/>
        <v>-1344375</v>
      </c>
      <c r="I163" s="29">
        <f t="shared" ca="1" si="132"/>
        <v>-1344375</v>
      </c>
      <c r="J163" s="29">
        <f t="shared" ca="1" si="132"/>
        <v>-1344375</v>
      </c>
      <c r="K163" s="29">
        <f t="shared" ca="1" si="132"/>
        <v>-1344375</v>
      </c>
      <c r="L163" s="29">
        <f t="shared" ca="1" si="132"/>
        <v>-1344375</v>
      </c>
      <c r="M163" s="29">
        <f t="shared" ca="1" si="132"/>
        <v>-1344375</v>
      </c>
      <c r="N163" s="29">
        <f t="shared" ca="1" si="132"/>
        <v>-1344375</v>
      </c>
      <c r="O163" s="29">
        <f t="shared" ca="1" si="132"/>
        <v>-1344375</v>
      </c>
      <c r="P163" s="29">
        <f t="shared" ca="1" si="132"/>
        <v>-1344375</v>
      </c>
      <c r="Q163" s="29">
        <f t="shared" ca="1" si="132"/>
        <v>-1344375</v>
      </c>
      <c r="R163" s="29">
        <f t="shared" ca="1" si="132"/>
        <v>-1344375</v>
      </c>
      <c r="S163" s="29">
        <f t="shared" ca="1" si="132"/>
        <v>-372249.99999999953</v>
      </c>
      <c r="T163" s="29">
        <f t="shared" ca="1" si="132"/>
        <v>-372249.99999999953</v>
      </c>
      <c r="U163" s="29">
        <f t="shared" ca="1" si="132"/>
        <v>-372249.99999999953</v>
      </c>
      <c r="V163" s="29">
        <f t="shared" ca="1" si="132"/>
        <v>-372249.99999999953</v>
      </c>
      <c r="W163" s="29">
        <f t="shared" ca="1" si="132"/>
        <v>3345406.2500000009</v>
      </c>
      <c r="X163" s="29">
        <f t="shared" ca="1" si="132"/>
        <v>3345406.2500000009</v>
      </c>
      <c r="Y163" s="29">
        <f t="shared" ca="1" si="132"/>
        <v>2945950.5952380951</v>
      </c>
      <c r="Z163" s="29">
        <f t="shared" ca="1" si="132"/>
        <v>2915932.1428571437</v>
      </c>
      <c r="AA163" s="29">
        <f t="shared" ca="1" si="132"/>
        <v>2951646.4285714291</v>
      </c>
      <c r="AB163" s="29">
        <f t="shared" ca="1" si="132"/>
        <v>2951646.4285714291</v>
      </c>
      <c r="AC163" s="29">
        <f t="shared" ca="1" si="132"/>
        <v>2951646.4285714291</v>
      </c>
      <c r="AD163" s="29">
        <f t="shared" ca="1" si="132"/>
        <v>2951646.4285714291</v>
      </c>
      <c r="AE163" s="29">
        <f t="shared" ca="1" si="132"/>
        <v>6611317.3809523787</v>
      </c>
      <c r="AF163" s="29">
        <f t="shared" ca="1" si="132"/>
        <v>6611317.3809523787</v>
      </c>
      <c r="AG163" s="29">
        <f t="shared" ca="1" si="132"/>
        <v>6611317.3809523787</v>
      </c>
      <c r="AH163" s="29">
        <f t="shared" ca="1" si="132"/>
        <v>6611317.3809523787</v>
      </c>
      <c r="AI163" s="29">
        <f t="shared" ca="1" si="132"/>
        <v>5745426.1904761884</v>
      </c>
      <c r="AJ163" s="29">
        <f t="shared" ca="1" si="132"/>
        <v>5745426.1904761884</v>
      </c>
      <c r="AK163" s="29">
        <f t="shared" ca="1" si="132"/>
        <v>5745426.1904761884</v>
      </c>
      <c r="AL163" s="29">
        <f t="shared" ca="1" si="132"/>
        <v>5745426.1904761884</v>
      </c>
      <c r="AM163" s="29">
        <f t="shared" ca="1" si="132"/>
        <v>3526761.904761903</v>
      </c>
      <c r="AN163" s="29">
        <f t="shared" ca="1" si="132"/>
        <v>3526761.904761903</v>
      </c>
      <c r="AO163" s="29">
        <f t="shared" ca="1" si="132"/>
        <v>3526761.904761903</v>
      </c>
      <c r="AP163" s="29">
        <f t="shared" ca="1" si="132"/>
        <v>3526761.904761903</v>
      </c>
      <c r="AQ163" s="29">
        <f t="shared" ca="1" si="132"/>
        <v>4260364.2857142845</v>
      </c>
      <c r="AR163" s="29">
        <f t="shared" ca="1" si="132"/>
        <v>4260364.2857142845</v>
      </c>
      <c r="AS163" s="29">
        <f t="shared" ca="1" si="132"/>
        <v>4260364.2857142845</v>
      </c>
      <c r="AT163" s="29">
        <f t="shared" ca="1" si="132"/>
        <v>4260364.2857142845</v>
      </c>
      <c r="AU163" s="29">
        <f t="shared" ca="1" si="132"/>
        <v>0</v>
      </c>
      <c r="AV163" s="29">
        <f t="shared" ca="1" si="132"/>
        <v>0</v>
      </c>
      <c r="AW163" s="29">
        <f t="shared" ca="1" si="132"/>
        <v>0</v>
      </c>
      <c r="AX163" s="29">
        <f t="shared" ca="1" si="132"/>
        <v>0</v>
      </c>
      <c r="AY163" s="29">
        <f t="shared" ca="1" si="132"/>
        <v>0</v>
      </c>
      <c r="AZ163" s="29">
        <f t="shared" ca="1" si="132"/>
        <v>0</v>
      </c>
      <c r="BA163" s="29">
        <f t="shared" ca="1" si="132"/>
        <v>0</v>
      </c>
      <c r="BB163" s="29">
        <f t="shared" ca="1" si="132"/>
        <v>0</v>
      </c>
      <c r="BC163" s="29">
        <f t="shared" ca="1" si="132"/>
        <v>0</v>
      </c>
      <c r="BD163" s="29">
        <f t="shared" ca="1" si="132"/>
        <v>0</v>
      </c>
      <c r="BE163" s="29">
        <f t="shared" ca="1" si="132"/>
        <v>0</v>
      </c>
      <c r="BF163" s="29">
        <f t="shared" ca="1" si="132"/>
        <v>0</v>
      </c>
      <c r="BG163" s="29">
        <f t="shared" ca="1" si="132"/>
        <v>0</v>
      </c>
      <c r="BH163" s="29">
        <f t="shared" ca="1" si="132"/>
        <v>0</v>
      </c>
      <c r="BI163" s="29">
        <f t="shared" ca="1" si="132"/>
        <v>0</v>
      </c>
      <c r="BJ163" s="29">
        <f t="shared" ca="1" si="132"/>
        <v>0</v>
      </c>
      <c r="BK163" s="29">
        <f t="shared" ca="1" si="132"/>
        <v>0</v>
      </c>
      <c r="BL163" s="29">
        <f t="shared" ca="1" si="132"/>
        <v>0</v>
      </c>
      <c r="BM163" s="29">
        <f t="shared" ca="1" si="132"/>
        <v>0</v>
      </c>
      <c r="BN163" s="29">
        <f t="shared" ca="1" si="132"/>
        <v>0</v>
      </c>
      <c r="BO163" s="29">
        <f t="shared" si="132"/>
        <v>0</v>
      </c>
      <c r="BP163" s="29">
        <f t="shared" si="132"/>
        <v>0</v>
      </c>
      <c r="BQ163" s="29">
        <f t="shared" si="132"/>
        <v>0</v>
      </c>
      <c r="BR163" s="29">
        <f t="shared" si="132"/>
        <v>0</v>
      </c>
      <c r="BS163" s="29">
        <f t="shared" si="132"/>
        <v>0</v>
      </c>
      <c r="BT163" s="29">
        <f t="shared" si="132"/>
        <v>0</v>
      </c>
      <c r="BU163" s="29">
        <f t="shared" si="132"/>
        <v>0</v>
      </c>
      <c r="BV163" s="29">
        <f t="shared" si="132"/>
        <v>0</v>
      </c>
      <c r="BW163" s="29">
        <f t="shared" si="132"/>
        <v>0</v>
      </c>
      <c r="BX163" s="29">
        <f t="shared" si="132"/>
        <v>0</v>
      </c>
      <c r="BY163" s="29">
        <f t="shared" si="132"/>
        <v>0</v>
      </c>
      <c r="BZ163" s="29">
        <f t="shared" si="132"/>
        <v>0</v>
      </c>
      <c r="CA163" s="29">
        <f t="shared" si="132"/>
        <v>0</v>
      </c>
      <c r="CB163" s="29">
        <f t="shared" si="132"/>
        <v>0</v>
      </c>
      <c r="CC163" s="29">
        <f t="shared" si="132"/>
        <v>0</v>
      </c>
      <c r="CD163" s="29">
        <f t="shared" si="132"/>
        <v>0</v>
      </c>
      <c r="CE163" s="29">
        <f t="shared" si="132"/>
        <v>0</v>
      </c>
      <c r="CF163" s="29">
        <f t="shared" si="132"/>
        <v>0</v>
      </c>
      <c r="CG163" s="29">
        <f t="shared" si="132"/>
        <v>0</v>
      </c>
      <c r="CH163" s="29">
        <f t="shared" si="132"/>
        <v>0</v>
      </c>
    </row>
    <row r="164" spans="2:86" ht="13" hidden="1" outlineLevel="1">
      <c r="B164" s="84">
        <f t="shared" si="73"/>
        <v>61</v>
      </c>
      <c r="C164" s="64">
        <f t="shared" ca="1" si="71"/>
        <v>0.40745330807232882</v>
      </c>
      <c r="D164" s="15" t="s">
        <v>238</v>
      </c>
      <c r="E164" s="29">
        <f t="shared" ca="1" si="61"/>
        <v>87213259.99999997</v>
      </c>
      <c r="F164" s="29"/>
      <c r="G164" s="29">
        <f t="shared" ref="G164:CH164" ca="1" si="133">IF(G$4&lt;=$B164,ABS(G$31)*-1+G$47,0)+IF($B164=G$4,G$81,0)</f>
        <v>-1444375</v>
      </c>
      <c r="H164" s="29">
        <f t="shared" ca="1" si="133"/>
        <v>-1344375</v>
      </c>
      <c r="I164" s="29">
        <f t="shared" ca="1" si="133"/>
        <v>-1344375</v>
      </c>
      <c r="J164" s="29">
        <f t="shared" ca="1" si="133"/>
        <v>-1344375</v>
      </c>
      <c r="K164" s="29">
        <f t="shared" ca="1" si="133"/>
        <v>-1344375</v>
      </c>
      <c r="L164" s="29">
        <f t="shared" ca="1" si="133"/>
        <v>-1344375</v>
      </c>
      <c r="M164" s="29">
        <f t="shared" ca="1" si="133"/>
        <v>-1344375</v>
      </c>
      <c r="N164" s="29">
        <f t="shared" ca="1" si="133"/>
        <v>-1344375</v>
      </c>
      <c r="O164" s="29">
        <f t="shared" ca="1" si="133"/>
        <v>-1344375</v>
      </c>
      <c r="P164" s="29">
        <f t="shared" ca="1" si="133"/>
        <v>-1344375</v>
      </c>
      <c r="Q164" s="29">
        <f t="shared" ca="1" si="133"/>
        <v>-1344375</v>
      </c>
      <c r="R164" s="29">
        <f t="shared" ca="1" si="133"/>
        <v>-1344375</v>
      </c>
      <c r="S164" s="29">
        <f t="shared" ca="1" si="133"/>
        <v>-372249.99999999953</v>
      </c>
      <c r="T164" s="29">
        <f t="shared" ca="1" si="133"/>
        <v>-372249.99999999953</v>
      </c>
      <c r="U164" s="29">
        <f t="shared" ca="1" si="133"/>
        <v>-372249.99999999953</v>
      </c>
      <c r="V164" s="29">
        <f t="shared" ca="1" si="133"/>
        <v>-372249.99999999953</v>
      </c>
      <c r="W164" s="29">
        <f t="shared" ca="1" si="133"/>
        <v>3345406.2500000009</v>
      </c>
      <c r="X164" s="29">
        <f t="shared" ca="1" si="133"/>
        <v>3345406.2500000009</v>
      </c>
      <c r="Y164" s="29">
        <f t="shared" ca="1" si="133"/>
        <v>2945950.5952380951</v>
      </c>
      <c r="Z164" s="29">
        <f t="shared" ca="1" si="133"/>
        <v>2915932.1428571437</v>
      </c>
      <c r="AA164" s="29">
        <f t="shared" ca="1" si="133"/>
        <v>2951646.4285714291</v>
      </c>
      <c r="AB164" s="29">
        <f t="shared" ca="1" si="133"/>
        <v>2951646.4285714291</v>
      </c>
      <c r="AC164" s="29">
        <f t="shared" ca="1" si="133"/>
        <v>2951646.4285714291</v>
      </c>
      <c r="AD164" s="29">
        <f t="shared" ca="1" si="133"/>
        <v>2951646.4285714291</v>
      </c>
      <c r="AE164" s="29">
        <f t="shared" ca="1" si="133"/>
        <v>6611317.3809523787</v>
      </c>
      <c r="AF164" s="29">
        <f t="shared" ca="1" si="133"/>
        <v>6611317.3809523787</v>
      </c>
      <c r="AG164" s="29">
        <f t="shared" ca="1" si="133"/>
        <v>6611317.3809523787</v>
      </c>
      <c r="AH164" s="29">
        <f t="shared" ca="1" si="133"/>
        <v>6611317.3809523787</v>
      </c>
      <c r="AI164" s="29">
        <f t="shared" ca="1" si="133"/>
        <v>5745426.1904761884</v>
      </c>
      <c r="AJ164" s="29">
        <f t="shared" ca="1" si="133"/>
        <v>5745426.1904761884</v>
      </c>
      <c r="AK164" s="29">
        <f t="shared" ca="1" si="133"/>
        <v>5745426.1904761884</v>
      </c>
      <c r="AL164" s="29">
        <f t="shared" ca="1" si="133"/>
        <v>5745426.1904761884</v>
      </c>
      <c r="AM164" s="29">
        <f t="shared" ca="1" si="133"/>
        <v>3526761.904761903</v>
      </c>
      <c r="AN164" s="29">
        <f t="shared" ca="1" si="133"/>
        <v>3526761.904761903</v>
      </c>
      <c r="AO164" s="29">
        <f t="shared" ca="1" si="133"/>
        <v>3526761.904761903</v>
      </c>
      <c r="AP164" s="29">
        <f t="shared" ca="1" si="133"/>
        <v>3526761.904761903</v>
      </c>
      <c r="AQ164" s="29">
        <f t="shared" ca="1" si="133"/>
        <v>4260364.2857142845</v>
      </c>
      <c r="AR164" s="29">
        <f t="shared" ca="1" si="133"/>
        <v>4260364.2857142845</v>
      </c>
      <c r="AS164" s="29">
        <f t="shared" ca="1" si="133"/>
        <v>4260364.2857142845</v>
      </c>
      <c r="AT164" s="29">
        <f t="shared" ca="1" si="133"/>
        <v>4260364.2857142845</v>
      </c>
      <c r="AU164" s="29">
        <f t="shared" ca="1" si="133"/>
        <v>0</v>
      </c>
      <c r="AV164" s="29">
        <f t="shared" ca="1" si="133"/>
        <v>0</v>
      </c>
      <c r="AW164" s="29">
        <f t="shared" ca="1" si="133"/>
        <v>0</v>
      </c>
      <c r="AX164" s="29">
        <f t="shared" ca="1" si="133"/>
        <v>0</v>
      </c>
      <c r="AY164" s="29">
        <f t="shared" ca="1" si="133"/>
        <v>0</v>
      </c>
      <c r="AZ164" s="29">
        <f t="shared" ca="1" si="133"/>
        <v>0</v>
      </c>
      <c r="BA164" s="29">
        <f t="shared" ca="1" si="133"/>
        <v>0</v>
      </c>
      <c r="BB164" s="29">
        <f t="shared" ca="1" si="133"/>
        <v>0</v>
      </c>
      <c r="BC164" s="29">
        <f t="shared" ca="1" si="133"/>
        <v>0</v>
      </c>
      <c r="BD164" s="29">
        <f t="shared" ca="1" si="133"/>
        <v>0</v>
      </c>
      <c r="BE164" s="29">
        <f t="shared" ca="1" si="133"/>
        <v>0</v>
      </c>
      <c r="BF164" s="29">
        <f t="shared" ca="1" si="133"/>
        <v>0</v>
      </c>
      <c r="BG164" s="29">
        <f t="shared" ca="1" si="133"/>
        <v>0</v>
      </c>
      <c r="BH164" s="29">
        <f t="shared" ca="1" si="133"/>
        <v>0</v>
      </c>
      <c r="BI164" s="29">
        <f t="shared" ca="1" si="133"/>
        <v>0</v>
      </c>
      <c r="BJ164" s="29">
        <f t="shared" ca="1" si="133"/>
        <v>0</v>
      </c>
      <c r="BK164" s="29">
        <f t="shared" ca="1" si="133"/>
        <v>0</v>
      </c>
      <c r="BL164" s="29">
        <f t="shared" ca="1" si="133"/>
        <v>0</v>
      </c>
      <c r="BM164" s="29">
        <f t="shared" ca="1" si="133"/>
        <v>0</v>
      </c>
      <c r="BN164" s="29">
        <f t="shared" ca="1" si="133"/>
        <v>0</v>
      </c>
      <c r="BO164" s="29">
        <f t="shared" ca="1" si="133"/>
        <v>0</v>
      </c>
      <c r="BP164" s="29">
        <f t="shared" si="133"/>
        <v>0</v>
      </c>
      <c r="BQ164" s="29">
        <f t="shared" si="133"/>
        <v>0</v>
      </c>
      <c r="BR164" s="29">
        <f t="shared" si="133"/>
        <v>0</v>
      </c>
      <c r="BS164" s="29">
        <f t="shared" si="133"/>
        <v>0</v>
      </c>
      <c r="BT164" s="29">
        <f t="shared" si="133"/>
        <v>0</v>
      </c>
      <c r="BU164" s="29">
        <f t="shared" si="133"/>
        <v>0</v>
      </c>
      <c r="BV164" s="29">
        <f t="shared" si="133"/>
        <v>0</v>
      </c>
      <c r="BW164" s="29">
        <f t="shared" si="133"/>
        <v>0</v>
      </c>
      <c r="BX164" s="29">
        <f t="shared" si="133"/>
        <v>0</v>
      </c>
      <c r="BY164" s="29">
        <f t="shared" si="133"/>
        <v>0</v>
      </c>
      <c r="BZ164" s="29">
        <f t="shared" si="133"/>
        <v>0</v>
      </c>
      <c r="CA164" s="29">
        <f t="shared" si="133"/>
        <v>0</v>
      </c>
      <c r="CB164" s="29">
        <f t="shared" si="133"/>
        <v>0</v>
      </c>
      <c r="CC164" s="29">
        <f t="shared" si="133"/>
        <v>0</v>
      </c>
      <c r="CD164" s="29">
        <f t="shared" si="133"/>
        <v>0</v>
      </c>
      <c r="CE164" s="29">
        <f t="shared" si="133"/>
        <v>0</v>
      </c>
      <c r="CF164" s="29">
        <f t="shared" si="133"/>
        <v>0</v>
      </c>
      <c r="CG164" s="29">
        <f t="shared" si="133"/>
        <v>0</v>
      </c>
      <c r="CH164" s="29">
        <f t="shared" si="133"/>
        <v>0</v>
      </c>
    </row>
    <row r="165" spans="2:86" ht="13" hidden="1" outlineLevel="1">
      <c r="B165" s="84">
        <f t="shared" si="73"/>
        <v>62</v>
      </c>
      <c r="C165" s="64">
        <f t="shared" ca="1" si="71"/>
        <v>0.40745330807232882</v>
      </c>
      <c r="D165" s="15" t="s">
        <v>238</v>
      </c>
      <c r="E165" s="29">
        <f t="shared" ca="1" si="61"/>
        <v>87213259.99999997</v>
      </c>
      <c r="F165" s="29"/>
      <c r="G165" s="29">
        <f t="shared" ref="G165:CH165" ca="1" si="134">IF(G$4&lt;=$B165,ABS(G$31)*-1+G$47,0)+IF($B165=G$4,G$81,0)</f>
        <v>-1444375</v>
      </c>
      <c r="H165" s="29">
        <f t="shared" ca="1" si="134"/>
        <v>-1344375</v>
      </c>
      <c r="I165" s="29">
        <f t="shared" ca="1" si="134"/>
        <v>-1344375</v>
      </c>
      <c r="J165" s="29">
        <f t="shared" ca="1" si="134"/>
        <v>-1344375</v>
      </c>
      <c r="K165" s="29">
        <f t="shared" ca="1" si="134"/>
        <v>-1344375</v>
      </c>
      <c r="L165" s="29">
        <f t="shared" ca="1" si="134"/>
        <v>-1344375</v>
      </c>
      <c r="M165" s="29">
        <f t="shared" ca="1" si="134"/>
        <v>-1344375</v>
      </c>
      <c r="N165" s="29">
        <f t="shared" ca="1" si="134"/>
        <v>-1344375</v>
      </c>
      <c r="O165" s="29">
        <f t="shared" ca="1" si="134"/>
        <v>-1344375</v>
      </c>
      <c r="P165" s="29">
        <f t="shared" ca="1" si="134"/>
        <v>-1344375</v>
      </c>
      <c r="Q165" s="29">
        <f t="shared" ca="1" si="134"/>
        <v>-1344375</v>
      </c>
      <c r="R165" s="29">
        <f t="shared" ca="1" si="134"/>
        <v>-1344375</v>
      </c>
      <c r="S165" s="29">
        <f t="shared" ca="1" si="134"/>
        <v>-372249.99999999953</v>
      </c>
      <c r="T165" s="29">
        <f t="shared" ca="1" si="134"/>
        <v>-372249.99999999953</v>
      </c>
      <c r="U165" s="29">
        <f t="shared" ca="1" si="134"/>
        <v>-372249.99999999953</v>
      </c>
      <c r="V165" s="29">
        <f t="shared" ca="1" si="134"/>
        <v>-372249.99999999953</v>
      </c>
      <c r="W165" s="29">
        <f t="shared" ca="1" si="134"/>
        <v>3345406.2500000009</v>
      </c>
      <c r="X165" s="29">
        <f t="shared" ca="1" si="134"/>
        <v>3345406.2500000009</v>
      </c>
      <c r="Y165" s="29">
        <f t="shared" ca="1" si="134"/>
        <v>2945950.5952380951</v>
      </c>
      <c r="Z165" s="29">
        <f t="shared" ca="1" si="134"/>
        <v>2915932.1428571437</v>
      </c>
      <c r="AA165" s="29">
        <f t="shared" ca="1" si="134"/>
        <v>2951646.4285714291</v>
      </c>
      <c r="AB165" s="29">
        <f t="shared" ca="1" si="134"/>
        <v>2951646.4285714291</v>
      </c>
      <c r="AC165" s="29">
        <f t="shared" ca="1" si="134"/>
        <v>2951646.4285714291</v>
      </c>
      <c r="AD165" s="29">
        <f t="shared" ca="1" si="134"/>
        <v>2951646.4285714291</v>
      </c>
      <c r="AE165" s="29">
        <f t="shared" ca="1" si="134"/>
        <v>6611317.3809523787</v>
      </c>
      <c r="AF165" s="29">
        <f t="shared" ca="1" si="134"/>
        <v>6611317.3809523787</v>
      </c>
      <c r="AG165" s="29">
        <f t="shared" ca="1" si="134"/>
        <v>6611317.3809523787</v>
      </c>
      <c r="AH165" s="29">
        <f t="shared" ca="1" si="134"/>
        <v>6611317.3809523787</v>
      </c>
      <c r="AI165" s="29">
        <f t="shared" ca="1" si="134"/>
        <v>5745426.1904761884</v>
      </c>
      <c r="AJ165" s="29">
        <f t="shared" ca="1" si="134"/>
        <v>5745426.1904761884</v>
      </c>
      <c r="AK165" s="29">
        <f t="shared" ca="1" si="134"/>
        <v>5745426.1904761884</v>
      </c>
      <c r="AL165" s="29">
        <f t="shared" ca="1" si="134"/>
        <v>5745426.1904761884</v>
      </c>
      <c r="AM165" s="29">
        <f t="shared" ca="1" si="134"/>
        <v>3526761.904761903</v>
      </c>
      <c r="AN165" s="29">
        <f t="shared" ca="1" si="134"/>
        <v>3526761.904761903</v>
      </c>
      <c r="AO165" s="29">
        <f t="shared" ca="1" si="134"/>
        <v>3526761.904761903</v>
      </c>
      <c r="AP165" s="29">
        <f t="shared" ca="1" si="134"/>
        <v>3526761.904761903</v>
      </c>
      <c r="AQ165" s="29">
        <f t="shared" ca="1" si="134"/>
        <v>4260364.2857142845</v>
      </c>
      <c r="AR165" s="29">
        <f t="shared" ca="1" si="134"/>
        <v>4260364.2857142845</v>
      </c>
      <c r="AS165" s="29">
        <f t="shared" ca="1" si="134"/>
        <v>4260364.2857142845</v>
      </c>
      <c r="AT165" s="29">
        <f t="shared" ca="1" si="134"/>
        <v>4260364.2857142845</v>
      </c>
      <c r="AU165" s="29">
        <f t="shared" ca="1" si="134"/>
        <v>0</v>
      </c>
      <c r="AV165" s="29">
        <f t="shared" ca="1" si="134"/>
        <v>0</v>
      </c>
      <c r="AW165" s="29">
        <f t="shared" ca="1" si="134"/>
        <v>0</v>
      </c>
      <c r="AX165" s="29">
        <f t="shared" ca="1" si="134"/>
        <v>0</v>
      </c>
      <c r="AY165" s="29">
        <f t="shared" ca="1" si="134"/>
        <v>0</v>
      </c>
      <c r="AZ165" s="29">
        <f t="shared" ca="1" si="134"/>
        <v>0</v>
      </c>
      <c r="BA165" s="29">
        <f t="shared" ca="1" si="134"/>
        <v>0</v>
      </c>
      <c r="BB165" s="29">
        <f t="shared" ca="1" si="134"/>
        <v>0</v>
      </c>
      <c r="BC165" s="29">
        <f t="shared" ca="1" si="134"/>
        <v>0</v>
      </c>
      <c r="BD165" s="29">
        <f t="shared" ca="1" si="134"/>
        <v>0</v>
      </c>
      <c r="BE165" s="29">
        <f t="shared" ca="1" si="134"/>
        <v>0</v>
      </c>
      <c r="BF165" s="29">
        <f t="shared" ca="1" si="134"/>
        <v>0</v>
      </c>
      <c r="BG165" s="29">
        <f t="shared" ca="1" si="134"/>
        <v>0</v>
      </c>
      <c r="BH165" s="29">
        <f t="shared" ca="1" si="134"/>
        <v>0</v>
      </c>
      <c r="BI165" s="29">
        <f t="shared" ca="1" si="134"/>
        <v>0</v>
      </c>
      <c r="BJ165" s="29">
        <f t="shared" ca="1" si="134"/>
        <v>0</v>
      </c>
      <c r="BK165" s="29">
        <f t="shared" ca="1" si="134"/>
        <v>0</v>
      </c>
      <c r="BL165" s="29">
        <f t="shared" ca="1" si="134"/>
        <v>0</v>
      </c>
      <c r="BM165" s="29">
        <f t="shared" ca="1" si="134"/>
        <v>0</v>
      </c>
      <c r="BN165" s="29">
        <f t="shared" ca="1" si="134"/>
        <v>0</v>
      </c>
      <c r="BO165" s="29">
        <f t="shared" ca="1" si="134"/>
        <v>0</v>
      </c>
      <c r="BP165" s="29">
        <f t="shared" ca="1" si="134"/>
        <v>0</v>
      </c>
      <c r="BQ165" s="29">
        <f t="shared" si="134"/>
        <v>0</v>
      </c>
      <c r="BR165" s="29">
        <f t="shared" si="134"/>
        <v>0</v>
      </c>
      <c r="BS165" s="29">
        <f t="shared" si="134"/>
        <v>0</v>
      </c>
      <c r="BT165" s="29">
        <f t="shared" si="134"/>
        <v>0</v>
      </c>
      <c r="BU165" s="29">
        <f t="shared" si="134"/>
        <v>0</v>
      </c>
      <c r="BV165" s="29">
        <f t="shared" si="134"/>
        <v>0</v>
      </c>
      <c r="BW165" s="29">
        <f t="shared" si="134"/>
        <v>0</v>
      </c>
      <c r="BX165" s="29">
        <f t="shared" si="134"/>
        <v>0</v>
      </c>
      <c r="BY165" s="29">
        <f t="shared" si="134"/>
        <v>0</v>
      </c>
      <c r="BZ165" s="29">
        <f t="shared" si="134"/>
        <v>0</v>
      </c>
      <c r="CA165" s="29">
        <f t="shared" si="134"/>
        <v>0</v>
      </c>
      <c r="CB165" s="29">
        <f t="shared" si="134"/>
        <v>0</v>
      </c>
      <c r="CC165" s="29">
        <f t="shared" si="134"/>
        <v>0</v>
      </c>
      <c r="CD165" s="29">
        <f t="shared" si="134"/>
        <v>0</v>
      </c>
      <c r="CE165" s="29">
        <f t="shared" si="134"/>
        <v>0</v>
      </c>
      <c r="CF165" s="29">
        <f t="shared" si="134"/>
        <v>0</v>
      </c>
      <c r="CG165" s="29">
        <f t="shared" si="134"/>
        <v>0</v>
      </c>
      <c r="CH165" s="29">
        <f t="shared" si="134"/>
        <v>0</v>
      </c>
    </row>
    <row r="166" spans="2:86" ht="13" hidden="1" outlineLevel="1">
      <c r="B166" s="84">
        <f t="shared" si="73"/>
        <v>63</v>
      </c>
      <c r="C166" s="64">
        <f t="shared" ca="1" si="71"/>
        <v>0.40745330807232882</v>
      </c>
      <c r="D166" s="15" t="s">
        <v>238</v>
      </c>
      <c r="E166" s="29">
        <f t="shared" ca="1" si="61"/>
        <v>87213259.99999997</v>
      </c>
      <c r="F166" s="29"/>
      <c r="G166" s="29">
        <f t="shared" ref="G166:CH166" ca="1" si="135">IF(G$4&lt;=$B166,ABS(G$31)*-1+G$47,0)+IF($B166=G$4,G$81,0)</f>
        <v>-1444375</v>
      </c>
      <c r="H166" s="29">
        <f t="shared" ca="1" si="135"/>
        <v>-1344375</v>
      </c>
      <c r="I166" s="29">
        <f t="shared" ca="1" si="135"/>
        <v>-1344375</v>
      </c>
      <c r="J166" s="29">
        <f t="shared" ca="1" si="135"/>
        <v>-1344375</v>
      </c>
      <c r="K166" s="29">
        <f t="shared" ca="1" si="135"/>
        <v>-1344375</v>
      </c>
      <c r="L166" s="29">
        <f t="shared" ca="1" si="135"/>
        <v>-1344375</v>
      </c>
      <c r="M166" s="29">
        <f t="shared" ca="1" si="135"/>
        <v>-1344375</v>
      </c>
      <c r="N166" s="29">
        <f t="shared" ca="1" si="135"/>
        <v>-1344375</v>
      </c>
      <c r="O166" s="29">
        <f t="shared" ca="1" si="135"/>
        <v>-1344375</v>
      </c>
      <c r="P166" s="29">
        <f t="shared" ca="1" si="135"/>
        <v>-1344375</v>
      </c>
      <c r="Q166" s="29">
        <f t="shared" ca="1" si="135"/>
        <v>-1344375</v>
      </c>
      <c r="R166" s="29">
        <f t="shared" ca="1" si="135"/>
        <v>-1344375</v>
      </c>
      <c r="S166" s="29">
        <f t="shared" ca="1" si="135"/>
        <v>-372249.99999999953</v>
      </c>
      <c r="T166" s="29">
        <f t="shared" ca="1" si="135"/>
        <v>-372249.99999999953</v>
      </c>
      <c r="U166" s="29">
        <f t="shared" ca="1" si="135"/>
        <v>-372249.99999999953</v>
      </c>
      <c r="V166" s="29">
        <f t="shared" ca="1" si="135"/>
        <v>-372249.99999999953</v>
      </c>
      <c r="W166" s="29">
        <f t="shared" ca="1" si="135"/>
        <v>3345406.2500000009</v>
      </c>
      <c r="X166" s="29">
        <f t="shared" ca="1" si="135"/>
        <v>3345406.2500000009</v>
      </c>
      <c r="Y166" s="29">
        <f t="shared" ca="1" si="135"/>
        <v>2945950.5952380951</v>
      </c>
      <c r="Z166" s="29">
        <f t="shared" ca="1" si="135"/>
        <v>2915932.1428571437</v>
      </c>
      <c r="AA166" s="29">
        <f t="shared" ca="1" si="135"/>
        <v>2951646.4285714291</v>
      </c>
      <c r="AB166" s="29">
        <f t="shared" ca="1" si="135"/>
        <v>2951646.4285714291</v>
      </c>
      <c r="AC166" s="29">
        <f t="shared" ca="1" si="135"/>
        <v>2951646.4285714291</v>
      </c>
      <c r="AD166" s="29">
        <f t="shared" ca="1" si="135"/>
        <v>2951646.4285714291</v>
      </c>
      <c r="AE166" s="29">
        <f t="shared" ca="1" si="135"/>
        <v>6611317.3809523787</v>
      </c>
      <c r="AF166" s="29">
        <f t="shared" ca="1" si="135"/>
        <v>6611317.3809523787</v>
      </c>
      <c r="AG166" s="29">
        <f t="shared" ca="1" si="135"/>
        <v>6611317.3809523787</v>
      </c>
      <c r="AH166" s="29">
        <f t="shared" ca="1" si="135"/>
        <v>6611317.3809523787</v>
      </c>
      <c r="AI166" s="29">
        <f t="shared" ca="1" si="135"/>
        <v>5745426.1904761884</v>
      </c>
      <c r="AJ166" s="29">
        <f t="shared" ca="1" si="135"/>
        <v>5745426.1904761884</v>
      </c>
      <c r="AK166" s="29">
        <f t="shared" ca="1" si="135"/>
        <v>5745426.1904761884</v>
      </c>
      <c r="AL166" s="29">
        <f t="shared" ca="1" si="135"/>
        <v>5745426.1904761884</v>
      </c>
      <c r="AM166" s="29">
        <f t="shared" ca="1" si="135"/>
        <v>3526761.904761903</v>
      </c>
      <c r="AN166" s="29">
        <f t="shared" ca="1" si="135"/>
        <v>3526761.904761903</v>
      </c>
      <c r="AO166" s="29">
        <f t="shared" ca="1" si="135"/>
        <v>3526761.904761903</v>
      </c>
      <c r="AP166" s="29">
        <f t="shared" ca="1" si="135"/>
        <v>3526761.904761903</v>
      </c>
      <c r="AQ166" s="29">
        <f t="shared" ca="1" si="135"/>
        <v>4260364.2857142845</v>
      </c>
      <c r="AR166" s="29">
        <f t="shared" ca="1" si="135"/>
        <v>4260364.2857142845</v>
      </c>
      <c r="AS166" s="29">
        <f t="shared" ca="1" si="135"/>
        <v>4260364.2857142845</v>
      </c>
      <c r="AT166" s="29">
        <f t="shared" ca="1" si="135"/>
        <v>4260364.2857142845</v>
      </c>
      <c r="AU166" s="29">
        <f t="shared" ca="1" si="135"/>
        <v>0</v>
      </c>
      <c r="AV166" s="29">
        <f t="shared" ca="1" si="135"/>
        <v>0</v>
      </c>
      <c r="AW166" s="29">
        <f t="shared" ca="1" si="135"/>
        <v>0</v>
      </c>
      <c r="AX166" s="29">
        <f t="shared" ca="1" si="135"/>
        <v>0</v>
      </c>
      <c r="AY166" s="29">
        <f t="shared" ca="1" si="135"/>
        <v>0</v>
      </c>
      <c r="AZ166" s="29">
        <f t="shared" ca="1" si="135"/>
        <v>0</v>
      </c>
      <c r="BA166" s="29">
        <f t="shared" ca="1" si="135"/>
        <v>0</v>
      </c>
      <c r="BB166" s="29">
        <f t="shared" ca="1" si="135"/>
        <v>0</v>
      </c>
      <c r="BC166" s="29">
        <f t="shared" ca="1" si="135"/>
        <v>0</v>
      </c>
      <c r="BD166" s="29">
        <f t="shared" ca="1" si="135"/>
        <v>0</v>
      </c>
      <c r="BE166" s="29">
        <f t="shared" ca="1" si="135"/>
        <v>0</v>
      </c>
      <c r="BF166" s="29">
        <f t="shared" ca="1" si="135"/>
        <v>0</v>
      </c>
      <c r="BG166" s="29">
        <f t="shared" ca="1" si="135"/>
        <v>0</v>
      </c>
      <c r="BH166" s="29">
        <f t="shared" ca="1" si="135"/>
        <v>0</v>
      </c>
      <c r="BI166" s="29">
        <f t="shared" ca="1" si="135"/>
        <v>0</v>
      </c>
      <c r="BJ166" s="29">
        <f t="shared" ca="1" si="135"/>
        <v>0</v>
      </c>
      <c r="BK166" s="29">
        <f t="shared" ca="1" si="135"/>
        <v>0</v>
      </c>
      <c r="BL166" s="29">
        <f t="shared" ca="1" si="135"/>
        <v>0</v>
      </c>
      <c r="BM166" s="29">
        <f t="shared" ca="1" si="135"/>
        <v>0</v>
      </c>
      <c r="BN166" s="29">
        <f t="shared" ca="1" si="135"/>
        <v>0</v>
      </c>
      <c r="BO166" s="29">
        <f t="shared" ca="1" si="135"/>
        <v>0</v>
      </c>
      <c r="BP166" s="29">
        <f t="shared" ca="1" si="135"/>
        <v>0</v>
      </c>
      <c r="BQ166" s="29">
        <f t="shared" ca="1" si="135"/>
        <v>0</v>
      </c>
      <c r="BR166" s="29">
        <f t="shared" si="135"/>
        <v>0</v>
      </c>
      <c r="BS166" s="29">
        <f t="shared" si="135"/>
        <v>0</v>
      </c>
      <c r="BT166" s="29">
        <f t="shared" si="135"/>
        <v>0</v>
      </c>
      <c r="BU166" s="29">
        <f t="shared" si="135"/>
        <v>0</v>
      </c>
      <c r="BV166" s="29">
        <f t="shared" si="135"/>
        <v>0</v>
      </c>
      <c r="BW166" s="29">
        <f t="shared" si="135"/>
        <v>0</v>
      </c>
      <c r="BX166" s="29">
        <f t="shared" si="135"/>
        <v>0</v>
      </c>
      <c r="BY166" s="29">
        <f t="shared" si="135"/>
        <v>0</v>
      </c>
      <c r="BZ166" s="29">
        <f t="shared" si="135"/>
        <v>0</v>
      </c>
      <c r="CA166" s="29">
        <f t="shared" si="135"/>
        <v>0</v>
      </c>
      <c r="CB166" s="29">
        <f t="shared" si="135"/>
        <v>0</v>
      </c>
      <c r="CC166" s="29">
        <f t="shared" si="135"/>
        <v>0</v>
      </c>
      <c r="CD166" s="29">
        <f t="shared" si="135"/>
        <v>0</v>
      </c>
      <c r="CE166" s="29">
        <f t="shared" si="135"/>
        <v>0</v>
      </c>
      <c r="CF166" s="29">
        <f t="shared" si="135"/>
        <v>0</v>
      </c>
      <c r="CG166" s="29">
        <f t="shared" si="135"/>
        <v>0</v>
      </c>
      <c r="CH166" s="29">
        <f t="shared" si="135"/>
        <v>0</v>
      </c>
    </row>
    <row r="167" spans="2:86" ht="13" hidden="1" outlineLevel="1">
      <c r="B167" s="84">
        <f t="shared" si="73"/>
        <v>64</v>
      </c>
      <c r="C167" s="64">
        <f t="shared" ca="1" si="71"/>
        <v>0.40745330807232882</v>
      </c>
      <c r="D167" s="15" t="s">
        <v>238</v>
      </c>
      <c r="E167" s="29">
        <f t="shared" ca="1" si="61"/>
        <v>87213259.99999997</v>
      </c>
      <c r="F167" s="29"/>
      <c r="G167" s="29">
        <f t="shared" ref="G167:CH167" ca="1" si="136">IF(G$4&lt;=$B167,ABS(G$31)*-1+G$47,0)+IF($B167=G$4,G$81,0)</f>
        <v>-1444375</v>
      </c>
      <c r="H167" s="29">
        <f t="shared" ca="1" si="136"/>
        <v>-1344375</v>
      </c>
      <c r="I167" s="29">
        <f t="shared" ca="1" si="136"/>
        <v>-1344375</v>
      </c>
      <c r="J167" s="29">
        <f t="shared" ca="1" si="136"/>
        <v>-1344375</v>
      </c>
      <c r="K167" s="29">
        <f t="shared" ca="1" si="136"/>
        <v>-1344375</v>
      </c>
      <c r="L167" s="29">
        <f t="shared" ca="1" si="136"/>
        <v>-1344375</v>
      </c>
      <c r="M167" s="29">
        <f t="shared" ca="1" si="136"/>
        <v>-1344375</v>
      </c>
      <c r="N167" s="29">
        <f t="shared" ca="1" si="136"/>
        <v>-1344375</v>
      </c>
      <c r="O167" s="29">
        <f t="shared" ca="1" si="136"/>
        <v>-1344375</v>
      </c>
      <c r="P167" s="29">
        <f t="shared" ca="1" si="136"/>
        <v>-1344375</v>
      </c>
      <c r="Q167" s="29">
        <f t="shared" ca="1" si="136"/>
        <v>-1344375</v>
      </c>
      <c r="R167" s="29">
        <f t="shared" ca="1" si="136"/>
        <v>-1344375</v>
      </c>
      <c r="S167" s="29">
        <f t="shared" ca="1" si="136"/>
        <v>-372249.99999999953</v>
      </c>
      <c r="T167" s="29">
        <f t="shared" ca="1" si="136"/>
        <v>-372249.99999999953</v>
      </c>
      <c r="U167" s="29">
        <f t="shared" ca="1" si="136"/>
        <v>-372249.99999999953</v>
      </c>
      <c r="V167" s="29">
        <f t="shared" ca="1" si="136"/>
        <v>-372249.99999999953</v>
      </c>
      <c r="W167" s="29">
        <f t="shared" ca="1" si="136"/>
        <v>3345406.2500000009</v>
      </c>
      <c r="X167" s="29">
        <f t="shared" ca="1" si="136"/>
        <v>3345406.2500000009</v>
      </c>
      <c r="Y167" s="29">
        <f t="shared" ca="1" si="136"/>
        <v>2945950.5952380951</v>
      </c>
      <c r="Z167" s="29">
        <f t="shared" ca="1" si="136"/>
        <v>2915932.1428571437</v>
      </c>
      <c r="AA167" s="29">
        <f t="shared" ca="1" si="136"/>
        <v>2951646.4285714291</v>
      </c>
      <c r="AB167" s="29">
        <f t="shared" ca="1" si="136"/>
        <v>2951646.4285714291</v>
      </c>
      <c r="AC167" s="29">
        <f t="shared" ca="1" si="136"/>
        <v>2951646.4285714291</v>
      </c>
      <c r="AD167" s="29">
        <f t="shared" ca="1" si="136"/>
        <v>2951646.4285714291</v>
      </c>
      <c r="AE167" s="29">
        <f t="shared" ca="1" si="136"/>
        <v>6611317.3809523787</v>
      </c>
      <c r="AF167" s="29">
        <f t="shared" ca="1" si="136"/>
        <v>6611317.3809523787</v>
      </c>
      <c r="AG167" s="29">
        <f t="shared" ca="1" si="136"/>
        <v>6611317.3809523787</v>
      </c>
      <c r="AH167" s="29">
        <f t="shared" ca="1" si="136"/>
        <v>6611317.3809523787</v>
      </c>
      <c r="AI167" s="29">
        <f t="shared" ca="1" si="136"/>
        <v>5745426.1904761884</v>
      </c>
      <c r="AJ167" s="29">
        <f t="shared" ca="1" si="136"/>
        <v>5745426.1904761884</v>
      </c>
      <c r="AK167" s="29">
        <f t="shared" ca="1" si="136"/>
        <v>5745426.1904761884</v>
      </c>
      <c r="AL167" s="29">
        <f t="shared" ca="1" si="136"/>
        <v>5745426.1904761884</v>
      </c>
      <c r="AM167" s="29">
        <f t="shared" ca="1" si="136"/>
        <v>3526761.904761903</v>
      </c>
      <c r="AN167" s="29">
        <f t="shared" ca="1" si="136"/>
        <v>3526761.904761903</v>
      </c>
      <c r="AO167" s="29">
        <f t="shared" ca="1" si="136"/>
        <v>3526761.904761903</v>
      </c>
      <c r="AP167" s="29">
        <f t="shared" ca="1" si="136"/>
        <v>3526761.904761903</v>
      </c>
      <c r="AQ167" s="29">
        <f t="shared" ca="1" si="136"/>
        <v>4260364.2857142845</v>
      </c>
      <c r="AR167" s="29">
        <f t="shared" ca="1" si="136"/>
        <v>4260364.2857142845</v>
      </c>
      <c r="AS167" s="29">
        <f t="shared" ca="1" si="136"/>
        <v>4260364.2857142845</v>
      </c>
      <c r="AT167" s="29">
        <f t="shared" ca="1" si="136"/>
        <v>4260364.2857142845</v>
      </c>
      <c r="AU167" s="29">
        <f t="shared" ca="1" si="136"/>
        <v>0</v>
      </c>
      <c r="AV167" s="29">
        <f t="shared" ca="1" si="136"/>
        <v>0</v>
      </c>
      <c r="AW167" s="29">
        <f t="shared" ca="1" si="136"/>
        <v>0</v>
      </c>
      <c r="AX167" s="29">
        <f t="shared" ca="1" si="136"/>
        <v>0</v>
      </c>
      <c r="AY167" s="29">
        <f t="shared" ca="1" si="136"/>
        <v>0</v>
      </c>
      <c r="AZ167" s="29">
        <f t="shared" ca="1" si="136"/>
        <v>0</v>
      </c>
      <c r="BA167" s="29">
        <f t="shared" ca="1" si="136"/>
        <v>0</v>
      </c>
      <c r="BB167" s="29">
        <f t="shared" ca="1" si="136"/>
        <v>0</v>
      </c>
      <c r="BC167" s="29">
        <f t="shared" ca="1" si="136"/>
        <v>0</v>
      </c>
      <c r="BD167" s="29">
        <f t="shared" ca="1" si="136"/>
        <v>0</v>
      </c>
      <c r="BE167" s="29">
        <f t="shared" ca="1" si="136"/>
        <v>0</v>
      </c>
      <c r="BF167" s="29">
        <f t="shared" ca="1" si="136"/>
        <v>0</v>
      </c>
      <c r="BG167" s="29">
        <f t="shared" ca="1" si="136"/>
        <v>0</v>
      </c>
      <c r="BH167" s="29">
        <f t="shared" ca="1" si="136"/>
        <v>0</v>
      </c>
      <c r="BI167" s="29">
        <f t="shared" ca="1" si="136"/>
        <v>0</v>
      </c>
      <c r="BJ167" s="29">
        <f t="shared" ca="1" si="136"/>
        <v>0</v>
      </c>
      <c r="BK167" s="29">
        <f t="shared" ca="1" si="136"/>
        <v>0</v>
      </c>
      <c r="BL167" s="29">
        <f t="shared" ca="1" si="136"/>
        <v>0</v>
      </c>
      <c r="BM167" s="29">
        <f t="shared" ca="1" si="136"/>
        <v>0</v>
      </c>
      <c r="BN167" s="29">
        <f t="shared" ca="1" si="136"/>
        <v>0</v>
      </c>
      <c r="BO167" s="29">
        <f t="shared" ca="1" si="136"/>
        <v>0</v>
      </c>
      <c r="BP167" s="29">
        <f t="shared" ca="1" si="136"/>
        <v>0</v>
      </c>
      <c r="BQ167" s="29">
        <f t="shared" ca="1" si="136"/>
        <v>0</v>
      </c>
      <c r="BR167" s="29">
        <f t="shared" ca="1" si="136"/>
        <v>0</v>
      </c>
      <c r="BS167" s="29">
        <f t="shared" si="136"/>
        <v>0</v>
      </c>
      <c r="BT167" s="29">
        <f t="shared" si="136"/>
        <v>0</v>
      </c>
      <c r="BU167" s="29">
        <f t="shared" si="136"/>
        <v>0</v>
      </c>
      <c r="BV167" s="29">
        <f t="shared" si="136"/>
        <v>0</v>
      </c>
      <c r="BW167" s="29">
        <f t="shared" si="136"/>
        <v>0</v>
      </c>
      <c r="BX167" s="29">
        <f t="shared" si="136"/>
        <v>0</v>
      </c>
      <c r="BY167" s="29">
        <f t="shared" si="136"/>
        <v>0</v>
      </c>
      <c r="BZ167" s="29">
        <f t="shared" si="136"/>
        <v>0</v>
      </c>
      <c r="CA167" s="29">
        <f t="shared" si="136"/>
        <v>0</v>
      </c>
      <c r="CB167" s="29">
        <f t="shared" si="136"/>
        <v>0</v>
      </c>
      <c r="CC167" s="29">
        <f t="shared" si="136"/>
        <v>0</v>
      </c>
      <c r="CD167" s="29">
        <f t="shared" si="136"/>
        <v>0</v>
      </c>
      <c r="CE167" s="29">
        <f t="shared" si="136"/>
        <v>0</v>
      </c>
      <c r="CF167" s="29">
        <f t="shared" si="136"/>
        <v>0</v>
      </c>
      <c r="CG167" s="29">
        <f t="shared" si="136"/>
        <v>0</v>
      </c>
      <c r="CH167" s="29">
        <f t="shared" si="136"/>
        <v>0</v>
      </c>
    </row>
    <row r="168" spans="2:86" ht="13" hidden="1" outlineLevel="1">
      <c r="B168" s="84">
        <f t="shared" si="73"/>
        <v>65</v>
      </c>
      <c r="C168" s="64">
        <f t="shared" ca="1" si="71"/>
        <v>0.40745330807232882</v>
      </c>
      <c r="D168" s="15" t="s">
        <v>238</v>
      </c>
      <c r="E168" s="29">
        <f t="shared" ca="1" si="61"/>
        <v>87213259.99999997</v>
      </c>
      <c r="F168" s="29"/>
      <c r="G168" s="29">
        <f t="shared" ref="G168:CH168" ca="1" si="137">IF(G$4&lt;=$B168,ABS(G$31)*-1+G$47,0)+IF($B168=G$4,G$81,0)</f>
        <v>-1444375</v>
      </c>
      <c r="H168" s="29">
        <f t="shared" ca="1" si="137"/>
        <v>-1344375</v>
      </c>
      <c r="I168" s="29">
        <f t="shared" ca="1" si="137"/>
        <v>-1344375</v>
      </c>
      <c r="J168" s="29">
        <f t="shared" ca="1" si="137"/>
        <v>-1344375</v>
      </c>
      <c r="K168" s="29">
        <f t="shared" ca="1" si="137"/>
        <v>-1344375</v>
      </c>
      <c r="L168" s="29">
        <f t="shared" ca="1" si="137"/>
        <v>-1344375</v>
      </c>
      <c r="M168" s="29">
        <f t="shared" ca="1" si="137"/>
        <v>-1344375</v>
      </c>
      <c r="N168" s="29">
        <f t="shared" ca="1" si="137"/>
        <v>-1344375</v>
      </c>
      <c r="O168" s="29">
        <f t="shared" ca="1" si="137"/>
        <v>-1344375</v>
      </c>
      <c r="P168" s="29">
        <f t="shared" ca="1" si="137"/>
        <v>-1344375</v>
      </c>
      <c r="Q168" s="29">
        <f t="shared" ca="1" si="137"/>
        <v>-1344375</v>
      </c>
      <c r="R168" s="29">
        <f t="shared" ca="1" si="137"/>
        <v>-1344375</v>
      </c>
      <c r="S168" s="29">
        <f t="shared" ca="1" si="137"/>
        <v>-372249.99999999953</v>
      </c>
      <c r="T168" s="29">
        <f t="shared" ca="1" si="137"/>
        <v>-372249.99999999953</v>
      </c>
      <c r="U168" s="29">
        <f t="shared" ca="1" si="137"/>
        <v>-372249.99999999953</v>
      </c>
      <c r="V168" s="29">
        <f t="shared" ca="1" si="137"/>
        <v>-372249.99999999953</v>
      </c>
      <c r="W168" s="29">
        <f t="shared" ca="1" si="137"/>
        <v>3345406.2500000009</v>
      </c>
      <c r="X168" s="29">
        <f t="shared" ca="1" si="137"/>
        <v>3345406.2500000009</v>
      </c>
      <c r="Y168" s="29">
        <f t="shared" ca="1" si="137"/>
        <v>2945950.5952380951</v>
      </c>
      <c r="Z168" s="29">
        <f t="shared" ca="1" si="137"/>
        <v>2915932.1428571437</v>
      </c>
      <c r="AA168" s="29">
        <f t="shared" ca="1" si="137"/>
        <v>2951646.4285714291</v>
      </c>
      <c r="AB168" s="29">
        <f t="shared" ca="1" si="137"/>
        <v>2951646.4285714291</v>
      </c>
      <c r="AC168" s="29">
        <f t="shared" ca="1" si="137"/>
        <v>2951646.4285714291</v>
      </c>
      <c r="AD168" s="29">
        <f t="shared" ca="1" si="137"/>
        <v>2951646.4285714291</v>
      </c>
      <c r="AE168" s="29">
        <f t="shared" ca="1" si="137"/>
        <v>6611317.3809523787</v>
      </c>
      <c r="AF168" s="29">
        <f t="shared" ca="1" si="137"/>
        <v>6611317.3809523787</v>
      </c>
      <c r="AG168" s="29">
        <f t="shared" ca="1" si="137"/>
        <v>6611317.3809523787</v>
      </c>
      <c r="AH168" s="29">
        <f t="shared" ca="1" si="137"/>
        <v>6611317.3809523787</v>
      </c>
      <c r="AI168" s="29">
        <f t="shared" ca="1" si="137"/>
        <v>5745426.1904761884</v>
      </c>
      <c r="AJ168" s="29">
        <f t="shared" ca="1" si="137"/>
        <v>5745426.1904761884</v>
      </c>
      <c r="AK168" s="29">
        <f t="shared" ca="1" si="137"/>
        <v>5745426.1904761884</v>
      </c>
      <c r="AL168" s="29">
        <f t="shared" ca="1" si="137"/>
        <v>5745426.1904761884</v>
      </c>
      <c r="AM168" s="29">
        <f t="shared" ca="1" si="137"/>
        <v>3526761.904761903</v>
      </c>
      <c r="AN168" s="29">
        <f t="shared" ca="1" si="137"/>
        <v>3526761.904761903</v>
      </c>
      <c r="AO168" s="29">
        <f t="shared" ca="1" si="137"/>
        <v>3526761.904761903</v>
      </c>
      <c r="AP168" s="29">
        <f t="shared" ca="1" si="137"/>
        <v>3526761.904761903</v>
      </c>
      <c r="AQ168" s="29">
        <f t="shared" ca="1" si="137"/>
        <v>4260364.2857142845</v>
      </c>
      <c r="AR168" s="29">
        <f t="shared" ca="1" si="137"/>
        <v>4260364.2857142845</v>
      </c>
      <c r="AS168" s="29">
        <f t="shared" ca="1" si="137"/>
        <v>4260364.2857142845</v>
      </c>
      <c r="AT168" s="29">
        <f t="shared" ca="1" si="137"/>
        <v>4260364.2857142845</v>
      </c>
      <c r="AU168" s="29">
        <f t="shared" ca="1" si="137"/>
        <v>0</v>
      </c>
      <c r="AV168" s="29">
        <f t="shared" ca="1" si="137"/>
        <v>0</v>
      </c>
      <c r="AW168" s="29">
        <f t="shared" ca="1" si="137"/>
        <v>0</v>
      </c>
      <c r="AX168" s="29">
        <f t="shared" ca="1" si="137"/>
        <v>0</v>
      </c>
      <c r="AY168" s="29">
        <f t="shared" ca="1" si="137"/>
        <v>0</v>
      </c>
      <c r="AZ168" s="29">
        <f t="shared" ca="1" si="137"/>
        <v>0</v>
      </c>
      <c r="BA168" s="29">
        <f t="shared" ca="1" si="137"/>
        <v>0</v>
      </c>
      <c r="BB168" s="29">
        <f t="shared" ca="1" si="137"/>
        <v>0</v>
      </c>
      <c r="BC168" s="29">
        <f t="shared" ca="1" si="137"/>
        <v>0</v>
      </c>
      <c r="BD168" s="29">
        <f t="shared" ca="1" si="137"/>
        <v>0</v>
      </c>
      <c r="BE168" s="29">
        <f t="shared" ca="1" si="137"/>
        <v>0</v>
      </c>
      <c r="BF168" s="29">
        <f t="shared" ca="1" si="137"/>
        <v>0</v>
      </c>
      <c r="BG168" s="29">
        <f t="shared" ca="1" si="137"/>
        <v>0</v>
      </c>
      <c r="BH168" s="29">
        <f t="shared" ca="1" si="137"/>
        <v>0</v>
      </c>
      <c r="BI168" s="29">
        <f t="shared" ca="1" si="137"/>
        <v>0</v>
      </c>
      <c r="BJ168" s="29">
        <f t="shared" ca="1" si="137"/>
        <v>0</v>
      </c>
      <c r="BK168" s="29">
        <f t="shared" ca="1" si="137"/>
        <v>0</v>
      </c>
      <c r="BL168" s="29">
        <f t="shared" ca="1" si="137"/>
        <v>0</v>
      </c>
      <c r="BM168" s="29">
        <f t="shared" ca="1" si="137"/>
        <v>0</v>
      </c>
      <c r="BN168" s="29">
        <f t="shared" ca="1" si="137"/>
        <v>0</v>
      </c>
      <c r="BO168" s="29">
        <f t="shared" ca="1" si="137"/>
        <v>0</v>
      </c>
      <c r="BP168" s="29">
        <f t="shared" ca="1" si="137"/>
        <v>0</v>
      </c>
      <c r="BQ168" s="29">
        <f t="shared" ca="1" si="137"/>
        <v>0</v>
      </c>
      <c r="BR168" s="29">
        <f t="shared" ca="1" si="137"/>
        <v>0</v>
      </c>
      <c r="BS168" s="29">
        <f t="shared" ca="1" si="137"/>
        <v>0</v>
      </c>
      <c r="BT168" s="29">
        <f t="shared" si="137"/>
        <v>0</v>
      </c>
      <c r="BU168" s="29">
        <f t="shared" si="137"/>
        <v>0</v>
      </c>
      <c r="BV168" s="29">
        <f t="shared" si="137"/>
        <v>0</v>
      </c>
      <c r="BW168" s="29">
        <f t="shared" si="137"/>
        <v>0</v>
      </c>
      <c r="BX168" s="29">
        <f t="shared" si="137"/>
        <v>0</v>
      </c>
      <c r="BY168" s="29">
        <f t="shared" si="137"/>
        <v>0</v>
      </c>
      <c r="BZ168" s="29">
        <f t="shared" si="137"/>
        <v>0</v>
      </c>
      <c r="CA168" s="29">
        <f t="shared" si="137"/>
        <v>0</v>
      </c>
      <c r="CB168" s="29">
        <f t="shared" si="137"/>
        <v>0</v>
      </c>
      <c r="CC168" s="29">
        <f t="shared" si="137"/>
        <v>0</v>
      </c>
      <c r="CD168" s="29">
        <f t="shared" si="137"/>
        <v>0</v>
      </c>
      <c r="CE168" s="29">
        <f t="shared" si="137"/>
        <v>0</v>
      </c>
      <c r="CF168" s="29">
        <f t="shared" si="137"/>
        <v>0</v>
      </c>
      <c r="CG168" s="29">
        <f t="shared" si="137"/>
        <v>0</v>
      </c>
      <c r="CH168" s="29">
        <f t="shared" si="137"/>
        <v>0</v>
      </c>
    </row>
    <row r="169" spans="2:86" ht="13" hidden="1" outlineLevel="1">
      <c r="B169" s="84">
        <f t="shared" si="73"/>
        <v>66</v>
      </c>
      <c r="C169" s="64">
        <f t="shared" ca="1" si="71"/>
        <v>0.40745330807232882</v>
      </c>
      <c r="D169" s="15" t="s">
        <v>238</v>
      </c>
      <c r="E169" s="29">
        <f t="shared" ca="1" si="61"/>
        <v>87213259.99999997</v>
      </c>
      <c r="F169" s="29"/>
      <c r="G169" s="29">
        <f t="shared" ref="G169:CH169" ca="1" si="138">IF(G$4&lt;=$B169,ABS(G$31)*-1+G$47,0)+IF($B169=G$4,G$81,0)</f>
        <v>-1444375</v>
      </c>
      <c r="H169" s="29">
        <f t="shared" ca="1" si="138"/>
        <v>-1344375</v>
      </c>
      <c r="I169" s="29">
        <f t="shared" ca="1" si="138"/>
        <v>-1344375</v>
      </c>
      <c r="J169" s="29">
        <f t="shared" ca="1" si="138"/>
        <v>-1344375</v>
      </c>
      <c r="K169" s="29">
        <f t="shared" ca="1" si="138"/>
        <v>-1344375</v>
      </c>
      <c r="L169" s="29">
        <f t="shared" ca="1" si="138"/>
        <v>-1344375</v>
      </c>
      <c r="M169" s="29">
        <f t="shared" ca="1" si="138"/>
        <v>-1344375</v>
      </c>
      <c r="N169" s="29">
        <f t="shared" ca="1" si="138"/>
        <v>-1344375</v>
      </c>
      <c r="O169" s="29">
        <f t="shared" ca="1" si="138"/>
        <v>-1344375</v>
      </c>
      <c r="P169" s="29">
        <f t="shared" ca="1" si="138"/>
        <v>-1344375</v>
      </c>
      <c r="Q169" s="29">
        <f t="shared" ca="1" si="138"/>
        <v>-1344375</v>
      </c>
      <c r="R169" s="29">
        <f t="shared" ca="1" si="138"/>
        <v>-1344375</v>
      </c>
      <c r="S169" s="29">
        <f t="shared" ca="1" si="138"/>
        <v>-372249.99999999953</v>
      </c>
      <c r="T169" s="29">
        <f t="shared" ca="1" si="138"/>
        <v>-372249.99999999953</v>
      </c>
      <c r="U169" s="29">
        <f t="shared" ca="1" si="138"/>
        <v>-372249.99999999953</v>
      </c>
      <c r="V169" s="29">
        <f t="shared" ca="1" si="138"/>
        <v>-372249.99999999953</v>
      </c>
      <c r="W169" s="29">
        <f t="shared" ca="1" si="138"/>
        <v>3345406.2500000009</v>
      </c>
      <c r="X169" s="29">
        <f t="shared" ca="1" si="138"/>
        <v>3345406.2500000009</v>
      </c>
      <c r="Y169" s="29">
        <f t="shared" ca="1" si="138"/>
        <v>2945950.5952380951</v>
      </c>
      <c r="Z169" s="29">
        <f t="shared" ca="1" si="138"/>
        <v>2915932.1428571437</v>
      </c>
      <c r="AA169" s="29">
        <f t="shared" ca="1" si="138"/>
        <v>2951646.4285714291</v>
      </c>
      <c r="AB169" s="29">
        <f t="shared" ca="1" si="138"/>
        <v>2951646.4285714291</v>
      </c>
      <c r="AC169" s="29">
        <f t="shared" ca="1" si="138"/>
        <v>2951646.4285714291</v>
      </c>
      <c r="AD169" s="29">
        <f t="shared" ca="1" si="138"/>
        <v>2951646.4285714291</v>
      </c>
      <c r="AE169" s="29">
        <f t="shared" ca="1" si="138"/>
        <v>6611317.3809523787</v>
      </c>
      <c r="AF169" s="29">
        <f t="shared" ca="1" si="138"/>
        <v>6611317.3809523787</v>
      </c>
      <c r="AG169" s="29">
        <f t="shared" ca="1" si="138"/>
        <v>6611317.3809523787</v>
      </c>
      <c r="AH169" s="29">
        <f t="shared" ca="1" si="138"/>
        <v>6611317.3809523787</v>
      </c>
      <c r="AI169" s="29">
        <f t="shared" ca="1" si="138"/>
        <v>5745426.1904761884</v>
      </c>
      <c r="AJ169" s="29">
        <f t="shared" ca="1" si="138"/>
        <v>5745426.1904761884</v>
      </c>
      <c r="AK169" s="29">
        <f t="shared" ca="1" si="138"/>
        <v>5745426.1904761884</v>
      </c>
      <c r="AL169" s="29">
        <f t="shared" ca="1" si="138"/>
        <v>5745426.1904761884</v>
      </c>
      <c r="AM169" s="29">
        <f t="shared" ca="1" si="138"/>
        <v>3526761.904761903</v>
      </c>
      <c r="AN169" s="29">
        <f t="shared" ca="1" si="138"/>
        <v>3526761.904761903</v>
      </c>
      <c r="AO169" s="29">
        <f t="shared" ca="1" si="138"/>
        <v>3526761.904761903</v>
      </c>
      <c r="AP169" s="29">
        <f t="shared" ca="1" si="138"/>
        <v>3526761.904761903</v>
      </c>
      <c r="AQ169" s="29">
        <f t="shared" ca="1" si="138"/>
        <v>4260364.2857142845</v>
      </c>
      <c r="AR169" s="29">
        <f t="shared" ca="1" si="138"/>
        <v>4260364.2857142845</v>
      </c>
      <c r="AS169" s="29">
        <f t="shared" ca="1" si="138"/>
        <v>4260364.2857142845</v>
      </c>
      <c r="AT169" s="29">
        <f t="shared" ca="1" si="138"/>
        <v>4260364.2857142845</v>
      </c>
      <c r="AU169" s="29">
        <f t="shared" ca="1" si="138"/>
        <v>0</v>
      </c>
      <c r="AV169" s="29">
        <f t="shared" ca="1" si="138"/>
        <v>0</v>
      </c>
      <c r="AW169" s="29">
        <f t="shared" ca="1" si="138"/>
        <v>0</v>
      </c>
      <c r="AX169" s="29">
        <f t="shared" ca="1" si="138"/>
        <v>0</v>
      </c>
      <c r="AY169" s="29">
        <f t="shared" ca="1" si="138"/>
        <v>0</v>
      </c>
      <c r="AZ169" s="29">
        <f t="shared" ca="1" si="138"/>
        <v>0</v>
      </c>
      <c r="BA169" s="29">
        <f t="shared" ca="1" si="138"/>
        <v>0</v>
      </c>
      <c r="BB169" s="29">
        <f t="shared" ca="1" si="138"/>
        <v>0</v>
      </c>
      <c r="BC169" s="29">
        <f t="shared" ca="1" si="138"/>
        <v>0</v>
      </c>
      <c r="BD169" s="29">
        <f t="shared" ca="1" si="138"/>
        <v>0</v>
      </c>
      <c r="BE169" s="29">
        <f t="shared" ca="1" si="138"/>
        <v>0</v>
      </c>
      <c r="BF169" s="29">
        <f t="shared" ca="1" si="138"/>
        <v>0</v>
      </c>
      <c r="BG169" s="29">
        <f t="shared" ca="1" si="138"/>
        <v>0</v>
      </c>
      <c r="BH169" s="29">
        <f t="shared" ca="1" si="138"/>
        <v>0</v>
      </c>
      <c r="BI169" s="29">
        <f t="shared" ca="1" si="138"/>
        <v>0</v>
      </c>
      <c r="BJ169" s="29">
        <f t="shared" ca="1" si="138"/>
        <v>0</v>
      </c>
      <c r="BK169" s="29">
        <f t="shared" ca="1" si="138"/>
        <v>0</v>
      </c>
      <c r="BL169" s="29">
        <f t="shared" ca="1" si="138"/>
        <v>0</v>
      </c>
      <c r="BM169" s="29">
        <f t="shared" ca="1" si="138"/>
        <v>0</v>
      </c>
      <c r="BN169" s="29">
        <f t="shared" ca="1" si="138"/>
        <v>0</v>
      </c>
      <c r="BO169" s="29">
        <f t="shared" ca="1" si="138"/>
        <v>0</v>
      </c>
      <c r="BP169" s="29">
        <f t="shared" ca="1" si="138"/>
        <v>0</v>
      </c>
      <c r="BQ169" s="29">
        <f t="shared" ca="1" si="138"/>
        <v>0</v>
      </c>
      <c r="BR169" s="29">
        <f t="shared" ca="1" si="138"/>
        <v>0</v>
      </c>
      <c r="BS169" s="29">
        <f t="shared" ca="1" si="138"/>
        <v>0</v>
      </c>
      <c r="BT169" s="29">
        <f t="shared" ca="1" si="138"/>
        <v>0</v>
      </c>
      <c r="BU169" s="29">
        <f t="shared" si="138"/>
        <v>0</v>
      </c>
      <c r="BV169" s="29">
        <f t="shared" si="138"/>
        <v>0</v>
      </c>
      <c r="BW169" s="29">
        <f t="shared" si="138"/>
        <v>0</v>
      </c>
      <c r="BX169" s="29">
        <f t="shared" si="138"/>
        <v>0</v>
      </c>
      <c r="BY169" s="29">
        <f t="shared" si="138"/>
        <v>0</v>
      </c>
      <c r="BZ169" s="29">
        <f t="shared" si="138"/>
        <v>0</v>
      </c>
      <c r="CA169" s="29">
        <f t="shared" si="138"/>
        <v>0</v>
      </c>
      <c r="CB169" s="29">
        <f t="shared" si="138"/>
        <v>0</v>
      </c>
      <c r="CC169" s="29">
        <f t="shared" si="138"/>
        <v>0</v>
      </c>
      <c r="CD169" s="29">
        <f t="shared" si="138"/>
        <v>0</v>
      </c>
      <c r="CE169" s="29">
        <f t="shared" si="138"/>
        <v>0</v>
      </c>
      <c r="CF169" s="29">
        <f t="shared" si="138"/>
        <v>0</v>
      </c>
      <c r="CG169" s="29">
        <f t="shared" si="138"/>
        <v>0</v>
      </c>
      <c r="CH169" s="29">
        <f t="shared" si="138"/>
        <v>0</v>
      </c>
    </row>
    <row r="170" spans="2:86" ht="13" hidden="1" outlineLevel="1">
      <c r="B170" s="84">
        <f t="shared" si="73"/>
        <v>67</v>
      </c>
      <c r="C170" s="64">
        <f t="shared" ca="1" si="71"/>
        <v>0.40745330807232882</v>
      </c>
      <c r="D170" s="15" t="s">
        <v>238</v>
      </c>
      <c r="E170" s="29">
        <f t="shared" ca="1" si="61"/>
        <v>87213259.99999997</v>
      </c>
      <c r="F170" s="29"/>
      <c r="G170" s="29">
        <f t="shared" ref="G170:CH170" ca="1" si="139">IF(G$4&lt;=$B170,ABS(G$31)*-1+G$47,0)+IF($B170=G$4,G$81,0)</f>
        <v>-1444375</v>
      </c>
      <c r="H170" s="29">
        <f t="shared" ca="1" si="139"/>
        <v>-1344375</v>
      </c>
      <c r="I170" s="29">
        <f t="shared" ca="1" si="139"/>
        <v>-1344375</v>
      </c>
      <c r="J170" s="29">
        <f t="shared" ca="1" si="139"/>
        <v>-1344375</v>
      </c>
      <c r="K170" s="29">
        <f t="shared" ca="1" si="139"/>
        <v>-1344375</v>
      </c>
      <c r="L170" s="29">
        <f t="shared" ca="1" si="139"/>
        <v>-1344375</v>
      </c>
      <c r="M170" s="29">
        <f t="shared" ca="1" si="139"/>
        <v>-1344375</v>
      </c>
      <c r="N170" s="29">
        <f t="shared" ca="1" si="139"/>
        <v>-1344375</v>
      </c>
      <c r="O170" s="29">
        <f t="shared" ca="1" si="139"/>
        <v>-1344375</v>
      </c>
      <c r="P170" s="29">
        <f t="shared" ca="1" si="139"/>
        <v>-1344375</v>
      </c>
      <c r="Q170" s="29">
        <f t="shared" ca="1" si="139"/>
        <v>-1344375</v>
      </c>
      <c r="R170" s="29">
        <f t="shared" ca="1" si="139"/>
        <v>-1344375</v>
      </c>
      <c r="S170" s="29">
        <f t="shared" ca="1" si="139"/>
        <v>-372249.99999999953</v>
      </c>
      <c r="T170" s="29">
        <f t="shared" ca="1" si="139"/>
        <v>-372249.99999999953</v>
      </c>
      <c r="U170" s="29">
        <f t="shared" ca="1" si="139"/>
        <v>-372249.99999999953</v>
      </c>
      <c r="V170" s="29">
        <f t="shared" ca="1" si="139"/>
        <v>-372249.99999999953</v>
      </c>
      <c r="W170" s="29">
        <f t="shared" ca="1" si="139"/>
        <v>3345406.2500000009</v>
      </c>
      <c r="X170" s="29">
        <f t="shared" ca="1" si="139"/>
        <v>3345406.2500000009</v>
      </c>
      <c r="Y170" s="29">
        <f t="shared" ca="1" si="139"/>
        <v>2945950.5952380951</v>
      </c>
      <c r="Z170" s="29">
        <f t="shared" ca="1" si="139"/>
        <v>2915932.1428571437</v>
      </c>
      <c r="AA170" s="29">
        <f t="shared" ca="1" si="139"/>
        <v>2951646.4285714291</v>
      </c>
      <c r="AB170" s="29">
        <f t="shared" ca="1" si="139"/>
        <v>2951646.4285714291</v>
      </c>
      <c r="AC170" s="29">
        <f t="shared" ca="1" si="139"/>
        <v>2951646.4285714291</v>
      </c>
      <c r="AD170" s="29">
        <f t="shared" ca="1" si="139"/>
        <v>2951646.4285714291</v>
      </c>
      <c r="AE170" s="29">
        <f t="shared" ca="1" si="139"/>
        <v>6611317.3809523787</v>
      </c>
      <c r="AF170" s="29">
        <f t="shared" ca="1" si="139"/>
        <v>6611317.3809523787</v>
      </c>
      <c r="AG170" s="29">
        <f t="shared" ca="1" si="139"/>
        <v>6611317.3809523787</v>
      </c>
      <c r="AH170" s="29">
        <f t="shared" ca="1" si="139"/>
        <v>6611317.3809523787</v>
      </c>
      <c r="AI170" s="29">
        <f t="shared" ca="1" si="139"/>
        <v>5745426.1904761884</v>
      </c>
      <c r="AJ170" s="29">
        <f t="shared" ca="1" si="139"/>
        <v>5745426.1904761884</v>
      </c>
      <c r="AK170" s="29">
        <f t="shared" ca="1" si="139"/>
        <v>5745426.1904761884</v>
      </c>
      <c r="AL170" s="29">
        <f t="shared" ca="1" si="139"/>
        <v>5745426.1904761884</v>
      </c>
      <c r="AM170" s="29">
        <f t="shared" ca="1" si="139"/>
        <v>3526761.904761903</v>
      </c>
      <c r="AN170" s="29">
        <f t="shared" ca="1" si="139"/>
        <v>3526761.904761903</v>
      </c>
      <c r="AO170" s="29">
        <f t="shared" ca="1" si="139"/>
        <v>3526761.904761903</v>
      </c>
      <c r="AP170" s="29">
        <f t="shared" ca="1" si="139"/>
        <v>3526761.904761903</v>
      </c>
      <c r="AQ170" s="29">
        <f t="shared" ca="1" si="139"/>
        <v>4260364.2857142845</v>
      </c>
      <c r="AR170" s="29">
        <f t="shared" ca="1" si="139"/>
        <v>4260364.2857142845</v>
      </c>
      <c r="AS170" s="29">
        <f t="shared" ca="1" si="139"/>
        <v>4260364.2857142845</v>
      </c>
      <c r="AT170" s="29">
        <f t="shared" ca="1" si="139"/>
        <v>4260364.2857142845</v>
      </c>
      <c r="AU170" s="29">
        <f t="shared" ca="1" si="139"/>
        <v>0</v>
      </c>
      <c r="AV170" s="29">
        <f t="shared" ca="1" si="139"/>
        <v>0</v>
      </c>
      <c r="AW170" s="29">
        <f t="shared" ca="1" si="139"/>
        <v>0</v>
      </c>
      <c r="AX170" s="29">
        <f t="shared" ca="1" si="139"/>
        <v>0</v>
      </c>
      <c r="AY170" s="29">
        <f t="shared" ca="1" si="139"/>
        <v>0</v>
      </c>
      <c r="AZ170" s="29">
        <f t="shared" ca="1" si="139"/>
        <v>0</v>
      </c>
      <c r="BA170" s="29">
        <f t="shared" ca="1" si="139"/>
        <v>0</v>
      </c>
      <c r="BB170" s="29">
        <f t="shared" ca="1" si="139"/>
        <v>0</v>
      </c>
      <c r="BC170" s="29">
        <f t="shared" ca="1" si="139"/>
        <v>0</v>
      </c>
      <c r="BD170" s="29">
        <f t="shared" ca="1" si="139"/>
        <v>0</v>
      </c>
      <c r="BE170" s="29">
        <f t="shared" ca="1" si="139"/>
        <v>0</v>
      </c>
      <c r="BF170" s="29">
        <f t="shared" ca="1" si="139"/>
        <v>0</v>
      </c>
      <c r="BG170" s="29">
        <f t="shared" ca="1" si="139"/>
        <v>0</v>
      </c>
      <c r="BH170" s="29">
        <f t="shared" ca="1" si="139"/>
        <v>0</v>
      </c>
      <c r="BI170" s="29">
        <f t="shared" ca="1" si="139"/>
        <v>0</v>
      </c>
      <c r="BJ170" s="29">
        <f t="shared" ca="1" si="139"/>
        <v>0</v>
      </c>
      <c r="BK170" s="29">
        <f t="shared" ca="1" si="139"/>
        <v>0</v>
      </c>
      <c r="BL170" s="29">
        <f t="shared" ca="1" si="139"/>
        <v>0</v>
      </c>
      <c r="BM170" s="29">
        <f t="shared" ca="1" si="139"/>
        <v>0</v>
      </c>
      <c r="BN170" s="29">
        <f t="shared" ca="1" si="139"/>
        <v>0</v>
      </c>
      <c r="BO170" s="29">
        <f t="shared" ca="1" si="139"/>
        <v>0</v>
      </c>
      <c r="BP170" s="29">
        <f t="shared" ca="1" si="139"/>
        <v>0</v>
      </c>
      <c r="BQ170" s="29">
        <f t="shared" ca="1" si="139"/>
        <v>0</v>
      </c>
      <c r="BR170" s="29">
        <f t="shared" ca="1" si="139"/>
        <v>0</v>
      </c>
      <c r="BS170" s="29">
        <f t="shared" ca="1" si="139"/>
        <v>0</v>
      </c>
      <c r="BT170" s="29">
        <f t="shared" ca="1" si="139"/>
        <v>0</v>
      </c>
      <c r="BU170" s="29">
        <f t="shared" ca="1" si="139"/>
        <v>0</v>
      </c>
      <c r="BV170" s="29">
        <f t="shared" si="139"/>
        <v>0</v>
      </c>
      <c r="BW170" s="29">
        <f t="shared" si="139"/>
        <v>0</v>
      </c>
      <c r="BX170" s="29">
        <f t="shared" si="139"/>
        <v>0</v>
      </c>
      <c r="BY170" s="29">
        <f t="shared" si="139"/>
        <v>0</v>
      </c>
      <c r="BZ170" s="29">
        <f t="shared" si="139"/>
        <v>0</v>
      </c>
      <c r="CA170" s="29">
        <f t="shared" si="139"/>
        <v>0</v>
      </c>
      <c r="CB170" s="29">
        <f t="shared" si="139"/>
        <v>0</v>
      </c>
      <c r="CC170" s="29">
        <f t="shared" si="139"/>
        <v>0</v>
      </c>
      <c r="CD170" s="29">
        <f t="shared" si="139"/>
        <v>0</v>
      </c>
      <c r="CE170" s="29">
        <f t="shared" si="139"/>
        <v>0</v>
      </c>
      <c r="CF170" s="29">
        <f t="shared" si="139"/>
        <v>0</v>
      </c>
      <c r="CG170" s="29">
        <f t="shared" si="139"/>
        <v>0</v>
      </c>
      <c r="CH170" s="29">
        <f t="shared" si="139"/>
        <v>0</v>
      </c>
    </row>
    <row r="171" spans="2:86" ht="13" hidden="1" outlineLevel="1">
      <c r="B171" s="84">
        <f t="shared" si="73"/>
        <v>68</v>
      </c>
      <c r="C171" s="64">
        <f t="shared" ca="1" si="71"/>
        <v>0.40745330807232882</v>
      </c>
      <c r="D171" s="15" t="s">
        <v>238</v>
      </c>
      <c r="E171" s="29">
        <f t="shared" ca="1" si="61"/>
        <v>87213259.99999997</v>
      </c>
      <c r="F171" s="29"/>
      <c r="G171" s="29">
        <f t="shared" ref="G171:CH171" ca="1" si="140">IF(G$4&lt;=$B171,ABS(G$31)*-1+G$47,0)+IF($B171=G$4,G$81,0)</f>
        <v>-1444375</v>
      </c>
      <c r="H171" s="29">
        <f t="shared" ca="1" si="140"/>
        <v>-1344375</v>
      </c>
      <c r="I171" s="29">
        <f t="shared" ca="1" si="140"/>
        <v>-1344375</v>
      </c>
      <c r="J171" s="29">
        <f t="shared" ca="1" si="140"/>
        <v>-1344375</v>
      </c>
      <c r="K171" s="29">
        <f t="shared" ca="1" si="140"/>
        <v>-1344375</v>
      </c>
      <c r="L171" s="29">
        <f t="shared" ca="1" si="140"/>
        <v>-1344375</v>
      </c>
      <c r="M171" s="29">
        <f t="shared" ca="1" si="140"/>
        <v>-1344375</v>
      </c>
      <c r="N171" s="29">
        <f t="shared" ca="1" si="140"/>
        <v>-1344375</v>
      </c>
      <c r="O171" s="29">
        <f t="shared" ca="1" si="140"/>
        <v>-1344375</v>
      </c>
      <c r="P171" s="29">
        <f t="shared" ca="1" si="140"/>
        <v>-1344375</v>
      </c>
      <c r="Q171" s="29">
        <f t="shared" ca="1" si="140"/>
        <v>-1344375</v>
      </c>
      <c r="R171" s="29">
        <f t="shared" ca="1" si="140"/>
        <v>-1344375</v>
      </c>
      <c r="S171" s="29">
        <f t="shared" ca="1" si="140"/>
        <v>-372249.99999999953</v>
      </c>
      <c r="T171" s="29">
        <f t="shared" ca="1" si="140"/>
        <v>-372249.99999999953</v>
      </c>
      <c r="U171" s="29">
        <f t="shared" ca="1" si="140"/>
        <v>-372249.99999999953</v>
      </c>
      <c r="V171" s="29">
        <f t="shared" ca="1" si="140"/>
        <v>-372249.99999999953</v>
      </c>
      <c r="W171" s="29">
        <f t="shared" ca="1" si="140"/>
        <v>3345406.2500000009</v>
      </c>
      <c r="X171" s="29">
        <f t="shared" ca="1" si="140"/>
        <v>3345406.2500000009</v>
      </c>
      <c r="Y171" s="29">
        <f t="shared" ca="1" si="140"/>
        <v>2945950.5952380951</v>
      </c>
      <c r="Z171" s="29">
        <f t="shared" ca="1" si="140"/>
        <v>2915932.1428571437</v>
      </c>
      <c r="AA171" s="29">
        <f t="shared" ca="1" si="140"/>
        <v>2951646.4285714291</v>
      </c>
      <c r="AB171" s="29">
        <f t="shared" ca="1" si="140"/>
        <v>2951646.4285714291</v>
      </c>
      <c r="AC171" s="29">
        <f t="shared" ca="1" si="140"/>
        <v>2951646.4285714291</v>
      </c>
      <c r="AD171" s="29">
        <f t="shared" ca="1" si="140"/>
        <v>2951646.4285714291</v>
      </c>
      <c r="AE171" s="29">
        <f t="shared" ca="1" si="140"/>
        <v>6611317.3809523787</v>
      </c>
      <c r="AF171" s="29">
        <f t="shared" ca="1" si="140"/>
        <v>6611317.3809523787</v>
      </c>
      <c r="AG171" s="29">
        <f t="shared" ca="1" si="140"/>
        <v>6611317.3809523787</v>
      </c>
      <c r="AH171" s="29">
        <f t="shared" ca="1" si="140"/>
        <v>6611317.3809523787</v>
      </c>
      <c r="AI171" s="29">
        <f t="shared" ca="1" si="140"/>
        <v>5745426.1904761884</v>
      </c>
      <c r="AJ171" s="29">
        <f t="shared" ca="1" si="140"/>
        <v>5745426.1904761884</v>
      </c>
      <c r="AK171" s="29">
        <f t="shared" ca="1" si="140"/>
        <v>5745426.1904761884</v>
      </c>
      <c r="AL171" s="29">
        <f t="shared" ca="1" si="140"/>
        <v>5745426.1904761884</v>
      </c>
      <c r="AM171" s="29">
        <f t="shared" ca="1" si="140"/>
        <v>3526761.904761903</v>
      </c>
      <c r="AN171" s="29">
        <f t="shared" ca="1" si="140"/>
        <v>3526761.904761903</v>
      </c>
      <c r="AO171" s="29">
        <f t="shared" ca="1" si="140"/>
        <v>3526761.904761903</v>
      </c>
      <c r="AP171" s="29">
        <f t="shared" ca="1" si="140"/>
        <v>3526761.904761903</v>
      </c>
      <c r="AQ171" s="29">
        <f t="shared" ca="1" si="140"/>
        <v>4260364.2857142845</v>
      </c>
      <c r="AR171" s="29">
        <f t="shared" ca="1" si="140"/>
        <v>4260364.2857142845</v>
      </c>
      <c r="AS171" s="29">
        <f t="shared" ca="1" si="140"/>
        <v>4260364.2857142845</v>
      </c>
      <c r="AT171" s="29">
        <f t="shared" ca="1" si="140"/>
        <v>4260364.2857142845</v>
      </c>
      <c r="AU171" s="29">
        <f t="shared" ca="1" si="140"/>
        <v>0</v>
      </c>
      <c r="AV171" s="29">
        <f t="shared" ca="1" si="140"/>
        <v>0</v>
      </c>
      <c r="AW171" s="29">
        <f t="shared" ca="1" si="140"/>
        <v>0</v>
      </c>
      <c r="AX171" s="29">
        <f t="shared" ca="1" si="140"/>
        <v>0</v>
      </c>
      <c r="AY171" s="29">
        <f t="shared" ca="1" si="140"/>
        <v>0</v>
      </c>
      <c r="AZ171" s="29">
        <f t="shared" ca="1" si="140"/>
        <v>0</v>
      </c>
      <c r="BA171" s="29">
        <f t="shared" ca="1" si="140"/>
        <v>0</v>
      </c>
      <c r="BB171" s="29">
        <f t="shared" ca="1" si="140"/>
        <v>0</v>
      </c>
      <c r="BC171" s="29">
        <f t="shared" ca="1" si="140"/>
        <v>0</v>
      </c>
      <c r="BD171" s="29">
        <f t="shared" ca="1" si="140"/>
        <v>0</v>
      </c>
      <c r="BE171" s="29">
        <f t="shared" ca="1" si="140"/>
        <v>0</v>
      </c>
      <c r="BF171" s="29">
        <f t="shared" ca="1" si="140"/>
        <v>0</v>
      </c>
      <c r="BG171" s="29">
        <f t="shared" ca="1" si="140"/>
        <v>0</v>
      </c>
      <c r="BH171" s="29">
        <f t="shared" ca="1" si="140"/>
        <v>0</v>
      </c>
      <c r="BI171" s="29">
        <f t="shared" ca="1" si="140"/>
        <v>0</v>
      </c>
      <c r="BJ171" s="29">
        <f t="shared" ca="1" si="140"/>
        <v>0</v>
      </c>
      <c r="BK171" s="29">
        <f t="shared" ca="1" si="140"/>
        <v>0</v>
      </c>
      <c r="BL171" s="29">
        <f t="shared" ca="1" si="140"/>
        <v>0</v>
      </c>
      <c r="BM171" s="29">
        <f t="shared" ca="1" si="140"/>
        <v>0</v>
      </c>
      <c r="BN171" s="29">
        <f t="shared" ca="1" si="140"/>
        <v>0</v>
      </c>
      <c r="BO171" s="29">
        <f t="shared" ca="1" si="140"/>
        <v>0</v>
      </c>
      <c r="BP171" s="29">
        <f t="shared" ca="1" si="140"/>
        <v>0</v>
      </c>
      <c r="BQ171" s="29">
        <f t="shared" ca="1" si="140"/>
        <v>0</v>
      </c>
      <c r="BR171" s="29">
        <f t="shared" ca="1" si="140"/>
        <v>0</v>
      </c>
      <c r="BS171" s="29">
        <f t="shared" ca="1" si="140"/>
        <v>0</v>
      </c>
      <c r="BT171" s="29">
        <f t="shared" ca="1" si="140"/>
        <v>0</v>
      </c>
      <c r="BU171" s="29">
        <f t="shared" ca="1" si="140"/>
        <v>0</v>
      </c>
      <c r="BV171" s="29">
        <f t="shared" ca="1" si="140"/>
        <v>0</v>
      </c>
      <c r="BW171" s="29">
        <f t="shared" si="140"/>
        <v>0</v>
      </c>
      <c r="BX171" s="29">
        <f t="shared" si="140"/>
        <v>0</v>
      </c>
      <c r="BY171" s="29">
        <f t="shared" si="140"/>
        <v>0</v>
      </c>
      <c r="BZ171" s="29">
        <f t="shared" si="140"/>
        <v>0</v>
      </c>
      <c r="CA171" s="29">
        <f t="shared" si="140"/>
        <v>0</v>
      </c>
      <c r="CB171" s="29">
        <f t="shared" si="140"/>
        <v>0</v>
      </c>
      <c r="CC171" s="29">
        <f t="shared" si="140"/>
        <v>0</v>
      </c>
      <c r="CD171" s="29">
        <f t="shared" si="140"/>
        <v>0</v>
      </c>
      <c r="CE171" s="29">
        <f t="shared" si="140"/>
        <v>0</v>
      </c>
      <c r="CF171" s="29">
        <f t="shared" si="140"/>
        <v>0</v>
      </c>
      <c r="CG171" s="29">
        <f t="shared" si="140"/>
        <v>0</v>
      </c>
      <c r="CH171" s="29">
        <f t="shared" si="140"/>
        <v>0</v>
      </c>
    </row>
    <row r="172" spans="2:86" ht="13" hidden="1" outlineLevel="1">
      <c r="B172" s="84">
        <f t="shared" si="73"/>
        <v>69</v>
      </c>
      <c r="C172" s="64">
        <f t="shared" ca="1" si="71"/>
        <v>0.40745330807232882</v>
      </c>
      <c r="D172" s="15" t="s">
        <v>238</v>
      </c>
      <c r="E172" s="29">
        <f t="shared" ca="1" si="61"/>
        <v>87213259.99999997</v>
      </c>
      <c r="F172" s="29"/>
      <c r="G172" s="29">
        <f t="shared" ref="G172:CH172" ca="1" si="141">IF(G$4&lt;=$B172,ABS(G$31)*-1+G$47,0)+IF($B172=G$4,G$81,0)</f>
        <v>-1444375</v>
      </c>
      <c r="H172" s="29">
        <f t="shared" ca="1" si="141"/>
        <v>-1344375</v>
      </c>
      <c r="I172" s="29">
        <f t="shared" ca="1" si="141"/>
        <v>-1344375</v>
      </c>
      <c r="J172" s="29">
        <f t="shared" ca="1" si="141"/>
        <v>-1344375</v>
      </c>
      <c r="K172" s="29">
        <f t="shared" ca="1" si="141"/>
        <v>-1344375</v>
      </c>
      <c r="L172" s="29">
        <f t="shared" ca="1" si="141"/>
        <v>-1344375</v>
      </c>
      <c r="M172" s="29">
        <f t="shared" ca="1" si="141"/>
        <v>-1344375</v>
      </c>
      <c r="N172" s="29">
        <f t="shared" ca="1" si="141"/>
        <v>-1344375</v>
      </c>
      <c r="O172" s="29">
        <f t="shared" ca="1" si="141"/>
        <v>-1344375</v>
      </c>
      <c r="P172" s="29">
        <f t="shared" ca="1" si="141"/>
        <v>-1344375</v>
      </c>
      <c r="Q172" s="29">
        <f t="shared" ca="1" si="141"/>
        <v>-1344375</v>
      </c>
      <c r="R172" s="29">
        <f t="shared" ca="1" si="141"/>
        <v>-1344375</v>
      </c>
      <c r="S172" s="29">
        <f t="shared" ca="1" si="141"/>
        <v>-372249.99999999953</v>
      </c>
      <c r="T172" s="29">
        <f t="shared" ca="1" si="141"/>
        <v>-372249.99999999953</v>
      </c>
      <c r="U172" s="29">
        <f t="shared" ca="1" si="141"/>
        <v>-372249.99999999953</v>
      </c>
      <c r="V172" s="29">
        <f t="shared" ca="1" si="141"/>
        <v>-372249.99999999953</v>
      </c>
      <c r="W172" s="29">
        <f t="shared" ca="1" si="141"/>
        <v>3345406.2500000009</v>
      </c>
      <c r="X172" s="29">
        <f t="shared" ca="1" si="141"/>
        <v>3345406.2500000009</v>
      </c>
      <c r="Y172" s="29">
        <f t="shared" ca="1" si="141"/>
        <v>2945950.5952380951</v>
      </c>
      <c r="Z172" s="29">
        <f t="shared" ca="1" si="141"/>
        <v>2915932.1428571437</v>
      </c>
      <c r="AA172" s="29">
        <f t="shared" ca="1" si="141"/>
        <v>2951646.4285714291</v>
      </c>
      <c r="AB172" s="29">
        <f t="shared" ca="1" si="141"/>
        <v>2951646.4285714291</v>
      </c>
      <c r="AC172" s="29">
        <f t="shared" ca="1" si="141"/>
        <v>2951646.4285714291</v>
      </c>
      <c r="AD172" s="29">
        <f t="shared" ca="1" si="141"/>
        <v>2951646.4285714291</v>
      </c>
      <c r="AE172" s="29">
        <f t="shared" ca="1" si="141"/>
        <v>6611317.3809523787</v>
      </c>
      <c r="AF172" s="29">
        <f t="shared" ca="1" si="141"/>
        <v>6611317.3809523787</v>
      </c>
      <c r="AG172" s="29">
        <f t="shared" ca="1" si="141"/>
        <v>6611317.3809523787</v>
      </c>
      <c r="AH172" s="29">
        <f t="shared" ca="1" si="141"/>
        <v>6611317.3809523787</v>
      </c>
      <c r="AI172" s="29">
        <f t="shared" ca="1" si="141"/>
        <v>5745426.1904761884</v>
      </c>
      <c r="AJ172" s="29">
        <f t="shared" ca="1" si="141"/>
        <v>5745426.1904761884</v>
      </c>
      <c r="AK172" s="29">
        <f t="shared" ca="1" si="141"/>
        <v>5745426.1904761884</v>
      </c>
      <c r="AL172" s="29">
        <f t="shared" ca="1" si="141"/>
        <v>5745426.1904761884</v>
      </c>
      <c r="AM172" s="29">
        <f t="shared" ca="1" si="141"/>
        <v>3526761.904761903</v>
      </c>
      <c r="AN172" s="29">
        <f t="shared" ca="1" si="141"/>
        <v>3526761.904761903</v>
      </c>
      <c r="AO172" s="29">
        <f t="shared" ca="1" si="141"/>
        <v>3526761.904761903</v>
      </c>
      <c r="AP172" s="29">
        <f t="shared" ca="1" si="141"/>
        <v>3526761.904761903</v>
      </c>
      <c r="AQ172" s="29">
        <f t="shared" ca="1" si="141"/>
        <v>4260364.2857142845</v>
      </c>
      <c r="AR172" s="29">
        <f t="shared" ca="1" si="141"/>
        <v>4260364.2857142845</v>
      </c>
      <c r="AS172" s="29">
        <f t="shared" ca="1" si="141"/>
        <v>4260364.2857142845</v>
      </c>
      <c r="AT172" s="29">
        <f t="shared" ca="1" si="141"/>
        <v>4260364.2857142845</v>
      </c>
      <c r="AU172" s="29">
        <f t="shared" ca="1" si="141"/>
        <v>0</v>
      </c>
      <c r="AV172" s="29">
        <f t="shared" ca="1" si="141"/>
        <v>0</v>
      </c>
      <c r="AW172" s="29">
        <f t="shared" ca="1" si="141"/>
        <v>0</v>
      </c>
      <c r="AX172" s="29">
        <f t="shared" ca="1" si="141"/>
        <v>0</v>
      </c>
      <c r="AY172" s="29">
        <f t="shared" ca="1" si="141"/>
        <v>0</v>
      </c>
      <c r="AZ172" s="29">
        <f t="shared" ca="1" si="141"/>
        <v>0</v>
      </c>
      <c r="BA172" s="29">
        <f t="shared" ca="1" si="141"/>
        <v>0</v>
      </c>
      <c r="BB172" s="29">
        <f t="shared" ca="1" si="141"/>
        <v>0</v>
      </c>
      <c r="BC172" s="29">
        <f t="shared" ca="1" si="141"/>
        <v>0</v>
      </c>
      <c r="BD172" s="29">
        <f t="shared" ca="1" si="141"/>
        <v>0</v>
      </c>
      <c r="BE172" s="29">
        <f t="shared" ca="1" si="141"/>
        <v>0</v>
      </c>
      <c r="BF172" s="29">
        <f t="shared" ca="1" si="141"/>
        <v>0</v>
      </c>
      <c r="BG172" s="29">
        <f t="shared" ca="1" si="141"/>
        <v>0</v>
      </c>
      <c r="BH172" s="29">
        <f t="shared" ca="1" si="141"/>
        <v>0</v>
      </c>
      <c r="BI172" s="29">
        <f t="shared" ca="1" si="141"/>
        <v>0</v>
      </c>
      <c r="BJ172" s="29">
        <f t="shared" ca="1" si="141"/>
        <v>0</v>
      </c>
      <c r="BK172" s="29">
        <f t="shared" ca="1" si="141"/>
        <v>0</v>
      </c>
      <c r="BL172" s="29">
        <f t="shared" ca="1" si="141"/>
        <v>0</v>
      </c>
      <c r="BM172" s="29">
        <f t="shared" ca="1" si="141"/>
        <v>0</v>
      </c>
      <c r="BN172" s="29">
        <f t="shared" ca="1" si="141"/>
        <v>0</v>
      </c>
      <c r="BO172" s="29">
        <f t="shared" ca="1" si="141"/>
        <v>0</v>
      </c>
      <c r="BP172" s="29">
        <f t="shared" ca="1" si="141"/>
        <v>0</v>
      </c>
      <c r="BQ172" s="29">
        <f t="shared" ca="1" si="141"/>
        <v>0</v>
      </c>
      <c r="BR172" s="29">
        <f t="shared" ca="1" si="141"/>
        <v>0</v>
      </c>
      <c r="BS172" s="29">
        <f t="shared" ca="1" si="141"/>
        <v>0</v>
      </c>
      <c r="BT172" s="29">
        <f t="shared" ca="1" si="141"/>
        <v>0</v>
      </c>
      <c r="BU172" s="29">
        <f t="shared" ca="1" si="141"/>
        <v>0</v>
      </c>
      <c r="BV172" s="29">
        <f t="shared" ca="1" si="141"/>
        <v>0</v>
      </c>
      <c r="BW172" s="29">
        <f t="shared" ca="1" si="141"/>
        <v>0</v>
      </c>
      <c r="BX172" s="29">
        <f t="shared" si="141"/>
        <v>0</v>
      </c>
      <c r="BY172" s="29">
        <f t="shared" si="141"/>
        <v>0</v>
      </c>
      <c r="BZ172" s="29">
        <f t="shared" si="141"/>
        <v>0</v>
      </c>
      <c r="CA172" s="29">
        <f t="shared" si="141"/>
        <v>0</v>
      </c>
      <c r="CB172" s="29">
        <f t="shared" si="141"/>
        <v>0</v>
      </c>
      <c r="CC172" s="29">
        <f t="shared" si="141"/>
        <v>0</v>
      </c>
      <c r="CD172" s="29">
        <f t="shared" si="141"/>
        <v>0</v>
      </c>
      <c r="CE172" s="29">
        <f t="shared" si="141"/>
        <v>0</v>
      </c>
      <c r="CF172" s="29">
        <f t="shared" si="141"/>
        <v>0</v>
      </c>
      <c r="CG172" s="29">
        <f t="shared" si="141"/>
        <v>0</v>
      </c>
      <c r="CH172" s="29">
        <f t="shared" si="141"/>
        <v>0</v>
      </c>
    </row>
    <row r="173" spans="2:86" ht="13" hidden="1" outlineLevel="1">
      <c r="B173" s="84">
        <f t="shared" si="73"/>
        <v>70</v>
      </c>
      <c r="C173" s="64">
        <f t="shared" ca="1" si="71"/>
        <v>0.40745330807232882</v>
      </c>
      <c r="D173" s="15" t="s">
        <v>238</v>
      </c>
      <c r="E173" s="29">
        <f t="shared" ca="1" si="61"/>
        <v>87213259.99999997</v>
      </c>
      <c r="F173" s="29"/>
      <c r="G173" s="29">
        <f t="shared" ref="G173:CH173" ca="1" si="142">IF(G$4&lt;=$B173,ABS(G$31)*-1+G$47,0)+IF($B173=G$4,G$81,0)</f>
        <v>-1444375</v>
      </c>
      <c r="H173" s="29">
        <f t="shared" ca="1" si="142"/>
        <v>-1344375</v>
      </c>
      <c r="I173" s="29">
        <f t="shared" ca="1" si="142"/>
        <v>-1344375</v>
      </c>
      <c r="J173" s="29">
        <f t="shared" ca="1" si="142"/>
        <v>-1344375</v>
      </c>
      <c r="K173" s="29">
        <f t="shared" ca="1" si="142"/>
        <v>-1344375</v>
      </c>
      <c r="L173" s="29">
        <f t="shared" ca="1" si="142"/>
        <v>-1344375</v>
      </c>
      <c r="M173" s="29">
        <f t="shared" ca="1" si="142"/>
        <v>-1344375</v>
      </c>
      <c r="N173" s="29">
        <f t="shared" ca="1" si="142"/>
        <v>-1344375</v>
      </c>
      <c r="O173" s="29">
        <f t="shared" ca="1" si="142"/>
        <v>-1344375</v>
      </c>
      <c r="P173" s="29">
        <f t="shared" ca="1" si="142"/>
        <v>-1344375</v>
      </c>
      <c r="Q173" s="29">
        <f t="shared" ca="1" si="142"/>
        <v>-1344375</v>
      </c>
      <c r="R173" s="29">
        <f t="shared" ca="1" si="142"/>
        <v>-1344375</v>
      </c>
      <c r="S173" s="29">
        <f t="shared" ca="1" si="142"/>
        <v>-372249.99999999953</v>
      </c>
      <c r="T173" s="29">
        <f t="shared" ca="1" si="142"/>
        <v>-372249.99999999953</v>
      </c>
      <c r="U173" s="29">
        <f t="shared" ca="1" si="142"/>
        <v>-372249.99999999953</v>
      </c>
      <c r="V173" s="29">
        <f t="shared" ca="1" si="142"/>
        <v>-372249.99999999953</v>
      </c>
      <c r="W173" s="29">
        <f t="shared" ca="1" si="142"/>
        <v>3345406.2500000009</v>
      </c>
      <c r="X173" s="29">
        <f t="shared" ca="1" si="142"/>
        <v>3345406.2500000009</v>
      </c>
      <c r="Y173" s="29">
        <f t="shared" ca="1" si="142"/>
        <v>2945950.5952380951</v>
      </c>
      <c r="Z173" s="29">
        <f t="shared" ca="1" si="142"/>
        <v>2915932.1428571437</v>
      </c>
      <c r="AA173" s="29">
        <f t="shared" ca="1" si="142"/>
        <v>2951646.4285714291</v>
      </c>
      <c r="AB173" s="29">
        <f t="shared" ca="1" si="142"/>
        <v>2951646.4285714291</v>
      </c>
      <c r="AC173" s="29">
        <f t="shared" ca="1" si="142"/>
        <v>2951646.4285714291</v>
      </c>
      <c r="AD173" s="29">
        <f t="shared" ca="1" si="142"/>
        <v>2951646.4285714291</v>
      </c>
      <c r="AE173" s="29">
        <f t="shared" ca="1" si="142"/>
        <v>6611317.3809523787</v>
      </c>
      <c r="AF173" s="29">
        <f t="shared" ca="1" si="142"/>
        <v>6611317.3809523787</v>
      </c>
      <c r="AG173" s="29">
        <f t="shared" ca="1" si="142"/>
        <v>6611317.3809523787</v>
      </c>
      <c r="AH173" s="29">
        <f t="shared" ca="1" si="142"/>
        <v>6611317.3809523787</v>
      </c>
      <c r="AI173" s="29">
        <f t="shared" ca="1" si="142"/>
        <v>5745426.1904761884</v>
      </c>
      <c r="AJ173" s="29">
        <f t="shared" ca="1" si="142"/>
        <v>5745426.1904761884</v>
      </c>
      <c r="AK173" s="29">
        <f t="shared" ca="1" si="142"/>
        <v>5745426.1904761884</v>
      </c>
      <c r="AL173" s="29">
        <f t="shared" ca="1" si="142"/>
        <v>5745426.1904761884</v>
      </c>
      <c r="AM173" s="29">
        <f t="shared" ca="1" si="142"/>
        <v>3526761.904761903</v>
      </c>
      <c r="AN173" s="29">
        <f t="shared" ca="1" si="142"/>
        <v>3526761.904761903</v>
      </c>
      <c r="AO173" s="29">
        <f t="shared" ca="1" si="142"/>
        <v>3526761.904761903</v>
      </c>
      <c r="AP173" s="29">
        <f t="shared" ca="1" si="142"/>
        <v>3526761.904761903</v>
      </c>
      <c r="AQ173" s="29">
        <f t="shared" ca="1" si="142"/>
        <v>4260364.2857142845</v>
      </c>
      <c r="AR173" s="29">
        <f t="shared" ca="1" si="142"/>
        <v>4260364.2857142845</v>
      </c>
      <c r="AS173" s="29">
        <f t="shared" ca="1" si="142"/>
        <v>4260364.2857142845</v>
      </c>
      <c r="AT173" s="29">
        <f t="shared" ca="1" si="142"/>
        <v>4260364.2857142845</v>
      </c>
      <c r="AU173" s="29">
        <f t="shared" ca="1" si="142"/>
        <v>0</v>
      </c>
      <c r="AV173" s="29">
        <f t="shared" ca="1" si="142"/>
        <v>0</v>
      </c>
      <c r="AW173" s="29">
        <f t="shared" ca="1" si="142"/>
        <v>0</v>
      </c>
      <c r="AX173" s="29">
        <f t="shared" ca="1" si="142"/>
        <v>0</v>
      </c>
      <c r="AY173" s="29">
        <f t="shared" ca="1" si="142"/>
        <v>0</v>
      </c>
      <c r="AZ173" s="29">
        <f t="shared" ca="1" si="142"/>
        <v>0</v>
      </c>
      <c r="BA173" s="29">
        <f t="shared" ca="1" si="142"/>
        <v>0</v>
      </c>
      <c r="BB173" s="29">
        <f t="shared" ca="1" si="142"/>
        <v>0</v>
      </c>
      <c r="BC173" s="29">
        <f t="shared" ca="1" si="142"/>
        <v>0</v>
      </c>
      <c r="BD173" s="29">
        <f t="shared" ca="1" si="142"/>
        <v>0</v>
      </c>
      <c r="BE173" s="29">
        <f t="shared" ca="1" si="142"/>
        <v>0</v>
      </c>
      <c r="BF173" s="29">
        <f t="shared" ca="1" si="142"/>
        <v>0</v>
      </c>
      <c r="BG173" s="29">
        <f t="shared" ca="1" si="142"/>
        <v>0</v>
      </c>
      <c r="BH173" s="29">
        <f t="shared" ca="1" si="142"/>
        <v>0</v>
      </c>
      <c r="BI173" s="29">
        <f t="shared" ca="1" si="142"/>
        <v>0</v>
      </c>
      <c r="BJ173" s="29">
        <f t="shared" ca="1" si="142"/>
        <v>0</v>
      </c>
      <c r="BK173" s="29">
        <f t="shared" ca="1" si="142"/>
        <v>0</v>
      </c>
      <c r="BL173" s="29">
        <f t="shared" ca="1" si="142"/>
        <v>0</v>
      </c>
      <c r="BM173" s="29">
        <f t="shared" ca="1" si="142"/>
        <v>0</v>
      </c>
      <c r="BN173" s="29">
        <f t="shared" ca="1" si="142"/>
        <v>0</v>
      </c>
      <c r="BO173" s="29">
        <f t="shared" ca="1" si="142"/>
        <v>0</v>
      </c>
      <c r="BP173" s="29">
        <f t="shared" ca="1" si="142"/>
        <v>0</v>
      </c>
      <c r="BQ173" s="29">
        <f t="shared" ca="1" si="142"/>
        <v>0</v>
      </c>
      <c r="BR173" s="29">
        <f t="shared" ca="1" si="142"/>
        <v>0</v>
      </c>
      <c r="BS173" s="29">
        <f t="shared" ca="1" si="142"/>
        <v>0</v>
      </c>
      <c r="BT173" s="29">
        <f t="shared" ca="1" si="142"/>
        <v>0</v>
      </c>
      <c r="BU173" s="29">
        <f t="shared" ca="1" si="142"/>
        <v>0</v>
      </c>
      <c r="BV173" s="29">
        <f t="shared" ca="1" si="142"/>
        <v>0</v>
      </c>
      <c r="BW173" s="29">
        <f t="shared" ca="1" si="142"/>
        <v>0</v>
      </c>
      <c r="BX173" s="29">
        <f t="shared" ca="1" si="142"/>
        <v>0</v>
      </c>
      <c r="BY173" s="29">
        <f t="shared" si="142"/>
        <v>0</v>
      </c>
      <c r="BZ173" s="29">
        <f t="shared" si="142"/>
        <v>0</v>
      </c>
      <c r="CA173" s="29">
        <f t="shared" si="142"/>
        <v>0</v>
      </c>
      <c r="CB173" s="29">
        <f t="shared" si="142"/>
        <v>0</v>
      </c>
      <c r="CC173" s="29">
        <f t="shared" si="142"/>
        <v>0</v>
      </c>
      <c r="CD173" s="29">
        <f t="shared" si="142"/>
        <v>0</v>
      </c>
      <c r="CE173" s="29">
        <f t="shared" si="142"/>
        <v>0</v>
      </c>
      <c r="CF173" s="29">
        <f t="shared" si="142"/>
        <v>0</v>
      </c>
      <c r="CG173" s="29">
        <f t="shared" si="142"/>
        <v>0</v>
      </c>
      <c r="CH173" s="29">
        <f t="shared" si="142"/>
        <v>0</v>
      </c>
    </row>
    <row r="174" spans="2:86" ht="13" hidden="1" outlineLevel="1">
      <c r="B174" s="84">
        <f t="shared" si="73"/>
        <v>71</v>
      </c>
      <c r="C174" s="64">
        <f t="shared" ca="1" si="71"/>
        <v>0.40745330807232882</v>
      </c>
      <c r="D174" s="15" t="s">
        <v>238</v>
      </c>
      <c r="E174" s="29">
        <f t="shared" ca="1" si="61"/>
        <v>87213259.99999997</v>
      </c>
      <c r="F174" s="29"/>
      <c r="G174" s="29">
        <f t="shared" ref="G174:CH174" ca="1" si="143">IF(G$4&lt;=$B174,ABS(G$31)*-1+G$47,0)+IF($B174=G$4,G$81,0)</f>
        <v>-1444375</v>
      </c>
      <c r="H174" s="29">
        <f t="shared" ca="1" si="143"/>
        <v>-1344375</v>
      </c>
      <c r="I174" s="29">
        <f t="shared" ca="1" si="143"/>
        <v>-1344375</v>
      </c>
      <c r="J174" s="29">
        <f t="shared" ca="1" si="143"/>
        <v>-1344375</v>
      </c>
      <c r="K174" s="29">
        <f t="shared" ca="1" si="143"/>
        <v>-1344375</v>
      </c>
      <c r="L174" s="29">
        <f t="shared" ca="1" si="143"/>
        <v>-1344375</v>
      </c>
      <c r="M174" s="29">
        <f t="shared" ca="1" si="143"/>
        <v>-1344375</v>
      </c>
      <c r="N174" s="29">
        <f t="shared" ca="1" si="143"/>
        <v>-1344375</v>
      </c>
      <c r="O174" s="29">
        <f t="shared" ca="1" si="143"/>
        <v>-1344375</v>
      </c>
      <c r="P174" s="29">
        <f t="shared" ca="1" si="143"/>
        <v>-1344375</v>
      </c>
      <c r="Q174" s="29">
        <f t="shared" ca="1" si="143"/>
        <v>-1344375</v>
      </c>
      <c r="R174" s="29">
        <f t="shared" ca="1" si="143"/>
        <v>-1344375</v>
      </c>
      <c r="S174" s="29">
        <f t="shared" ca="1" si="143"/>
        <v>-372249.99999999953</v>
      </c>
      <c r="T174" s="29">
        <f t="shared" ca="1" si="143"/>
        <v>-372249.99999999953</v>
      </c>
      <c r="U174" s="29">
        <f t="shared" ca="1" si="143"/>
        <v>-372249.99999999953</v>
      </c>
      <c r="V174" s="29">
        <f t="shared" ca="1" si="143"/>
        <v>-372249.99999999953</v>
      </c>
      <c r="W174" s="29">
        <f t="shared" ca="1" si="143"/>
        <v>3345406.2500000009</v>
      </c>
      <c r="X174" s="29">
        <f t="shared" ca="1" si="143"/>
        <v>3345406.2500000009</v>
      </c>
      <c r="Y174" s="29">
        <f t="shared" ca="1" si="143"/>
        <v>2945950.5952380951</v>
      </c>
      <c r="Z174" s="29">
        <f t="shared" ca="1" si="143"/>
        <v>2915932.1428571437</v>
      </c>
      <c r="AA174" s="29">
        <f t="shared" ca="1" si="143"/>
        <v>2951646.4285714291</v>
      </c>
      <c r="AB174" s="29">
        <f t="shared" ca="1" si="143"/>
        <v>2951646.4285714291</v>
      </c>
      <c r="AC174" s="29">
        <f t="shared" ca="1" si="143"/>
        <v>2951646.4285714291</v>
      </c>
      <c r="AD174" s="29">
        <f t="shared" ca="1" si="143"/>
        <v>2951646.4285714291</v>
      </c>
      <c r="AE174" s="29">
        <f t="shared" ca="1" si="143"/>
        <v>6611317.3809523787</v>
      </c>
      <c r="AF174" s="29">
        <f t="shared" ca="1" si="143"/>
        <v>6611317.3809523787</v>
      </c>
      <c r="AG174" s="29">
        <f t="shared" ca="1" si="143"/>
        <v>6611317.3809523787</v>
      </c>
      <c r="AH174" s="29">
        <f t="shared" ca="1" si="143"/>
        <v>6611317.3809523787</v>
      </c>
      <c r="AI174" s="29">
        <f t="shared" ca="1" si="143"/>
        <v>5745426.1904761884</v>
      </c>
      <c r="AJ174" s="29">
        <f t="shared" ca="1" si="143"/>
        <v>5745426.1904761884</v>
      </c>
      <c r="AK174" s="29">
        <f t="shared" ca="1" si="143"/>
        <v>5745426.1904761884</v>
      </c>
      <c r="AL174" s="29">
        <f t="shared" ca="1" si="143"/>
        <v>5745426.1904761884</v>
      </c>
      <c r="AM174" s="29">
        <f t="shared" ca="1" si="143"/>
        <v>3526761.904761903</v>
      </c>
      <c r="AN174" s="29">
        <f t="shared" ca="1" si="143"/>
        <v>3526761.904761903</v>
      </c>
      <c r="AO174" s="29">
        <f t="shared" ca="1" si="143"/>
        <v>3526761.904761903</v>
      </c>
      <c r="AP174" s="29">
        <f t="shared" ca="1" si="143"/>
        <v>3526761.904761903</v>
      </c>
      <c r="AQ174" s="29">
        <f t="shared" ca="1" si="143"/>
        <v>4260364.2857142845</v>
      </c>
      <c r="AR174" s="29">
        <f t="shared" ca="1" si="143"/>
        <v>4260364.2857142845</v>
      </c>
      <c r="AS174" s="29">
        <f t="shared" ca="1" si="143"/>
        <v>4260364.2857142845</v>
      </c>
      <c r="AT174" s="29">
        <f t="shared" ca="1" si="143"/>
        <v>4260364.2857142845</v>
      </c>
      <c r="AU174" s="29">
        <f t="shared" ca="1" si="143"/>
        <v>0</v>
      </c>
      <c r="AV174" s="29">
        <f t="shared" ca="1" si="143"/>
        <v>0</v>
      </c>
      <c r="AW174" s="29">
        <f t="shared" ca="1" si="143"/>
        <v>0</v>
      </c>
      <c r="AX174" s="29">
        <f t="shared" ca="1" si="143"/>
        <v>0</v>
      </c>
      <c r="AY174" s="29">
        <f t="shared" ca="1" si="143"/>
        <v>0</v>
      </c>
      <c r="AZ174" s="29">
        <f t="shared" ca="1" si="143"/>
        <v>0</v>
      </c>
      <c r="BA174" s="29">
        <f t="shared" ca="1" si="143"/>
        <v>0</v>
      </c>
      <c r="BB174" s="29">
        <f t="shared" ca="1" si="143"/>
        <v>0</v>
      </c>
      <c r="BC174" s="29">
        <f t="shared" ca="1" si="143"/>
        <v>0</v>
      </c>
      <c r="BD174" s="29">
        <f t="shared" ca="1" si="143"/>
        <v>0</v>
      </c>
      <c r="BE174" s="29">
        <f t="shared" ca="1" si="143"/>
        <v>0</v>
      </c>
      <c r="BF174" s="29">
        <f t="shared" ca="1" si="143"/>
        <v>0</v>
      </c>
      <c r="BG174" s="29">
        <f t="shared" ca="1" si="143"/>
        <v>0</v>
      </c>
      <c r="BH174" s="29">
        <f t="shared" ca="1" si="143"/>
        <v>0</v>
      </c>
      <c r="BI174" s="29">
        <f t="shared" ca="1" si="143"/>
        <v>0</v>
      </c>
      <c r="BJ174" s="29">
        <f t="shared" ca="1" si="143"/>
        <v>0</v>
      </c>
      <c r="BK174" s="29">
        <f t="shared" ca="1" si="143"/>
        <v>0</v>
      </c>
      <c r="BL174" s="29">
        <f t="shared" ca="1" si="143"/>
        <v>0</v>
      </c>
      <c r="BM174" s="29">
        <f t="shared" ca="1" si="143"/>
        <v>0</v>
      </c>
      <c r="BN174" s="29">
        <f t="shared" ca="1" si="143"/>
        <v>0</v>
      </c>
      <c r="BO174" s="29">
        <f t="shared" ca="1" si="143"/>
        <v>0</v>
      </c>
      <c r="BP174" s="29">
        <f t="shared" ca="1" si="143"/>
        <v>0</v>
      </c>
      <c r="BQ174" s="29">
        <f t="shared" ca="1" si="143"/>
        <v>0</v>
      </c>
      <c r="BR174" s="29">
        <f t="shared" ca="1" si="143"/>
        <v>0</v>
      </c>
      <c r="BS174" s="29">
        <f t="shared" ca="1" si="143"/>
        <v>0</v>
      </c>
      <c r="BT174" s="29">
        <f t="shared" ca="1" si="143"/>
        <v>0</v>
      </c>
      <c r="BU174" s="29">
        <f t="shared" ca="1" si="143"/>
        <v>0</v>
      </c>
      <c r="BV174" s="29">
        <f t="shared" ca="1" si="143"/>
        <v>0</v>
      </c>
      <c r="BW174" s="29">
        <f t="shared" ca="1" si="143"/>
        <v>0</v>
      </c>
      <c r="BX174" s="29">
        <f t="shared" ca="1" si="143"/>
        <v>0</v>
      </c>
      <c r="BY174" s="29">
        <f t="shared" ca="1" si="143"/>
        <v>0</v>
      </c>
      <c r="BZ174" s="29">
        <f t="shared" si="143"/>
        <v>0</v>
      </c>
      <c r="CA174" s="29">
        <f t="shared" si="143"/>
        <v>0</v>
      </c>
      <c r="CB174" s="29">
        <f t="shared" si="143"/>
        <v>0</v>
      </c>
      <c r="CC174" s="29">
        <f t="shared" si="143"/>
        <v>0</v>
      </c>
      <c r="CD174" s="29">
        <f t="shared" si="143"/>
        <v>0</v>
      </c>
      <c r="CE174" s="29">
        <f t="shared" si="143"/>
        <v>0</v>
      </c>
      <c r="CF174" s="29">
        <f t="shared" si="143"/>
        <v>0</v>
      </c>
      <c r="CG174" s="29">
        <f t="shared" si="143"/>
        <v>0</v>
      </c>
      <c r="CH174" s="29">
        <f t="shared" si="143"/>
        <v>0</v>
      </c>
    </row>
    <row r="175" spans="2:86" ht="13" hidden="1" outlineLevel="1">
      <c r="B175" s="84">
        <f t="shared" si="73"/>
        <v>72</v>
      </c>
      <c r="C175" s="64">
        <f t="shared" ca="1" si="71"/>
        <v>0.40745330807232882</v>
      </c>
      <c r="D175" s="15" t="s">
        <v>238</v>
      </c>
      <c r="E175" s="29">
        <f t="shared" ca="1" si="61"/>
        <v>87213259.99999997</v>
      </c>
      <c r="F175" s="29"/>
      <c r="G175" s="29">
        <f t="shared" ref="G175:CH175" ca="1" si="144">IF(G$4&lt;=$B175,ABS(G$31)*-1+G$47,0)+IF($B175=G$4,G$81,0)</f>
        <v>-1444375</v>
      </c>
      <c r="H175" s="29">
        <f t="shared" ca="1" si="144"/>
        <v>-1344375</v>
      </c>
      <c r="I175" s="29">
        <f t="shared" ca="1" si="144"/>
        <v>-1344375</v>
      </c>
      <c r="J175" s="29">
        <f t="shared" ca="1" si="144"/>
        <v>-1344375</v>
      </c>
      <c r="K175" s="29">
        <f t="shared" ca="1" si="144"/>
        <v>-1344375</v>
      </c>
      <c r="L175" s="29">
        <f t="shared" ca="1" si="144"/>
        <v>-1344375</v>
      </c>
      <c r="M175" s="29">
        <f t="shared" ca="1" si="144"/>
        <v>-1344375</v>
      </c>
      <c r="N175" s="29">
        <f t="shared" ca="1" si="144"/>
        <v>-1344375</v>
      </c>
      <c r="O175" s="29">
        <f t="shared" ca="1" si="144"/>
        <v>-1344375</v>
      </c>
      <c r="P175" s="29">
        <f t="shared" ca="1" si="144"/>
        <v>-1344375</v>
      </c>
      <c r="Q175" s="29">
        <f t="shared" ca="1" si="144"/>
        <v>-1344375</v>
      </c>
      <c r="R175" s="29">
        <f t="shared" ca="1" si="144"/>
        <v>-1344375</v>
      </c>
      <c r="S175" s="29">
        <f t="shared" ca="1" si="144"/>
        <v>-372249.99999999953</v>
      </c>
      <c r="T175" s="29">
        <f t="shared" ca="1" si="144"/>
        <v>-372249.99999999953</v>
      </c>
      <c r="U175" s="29">
        <f t="shared" ca="1" si="144"/>
        <v>-372249.99999999953</v>
      </c>
      <c r="V175" s="29">
        <f t="shared" ca="1" si="144"/>
        <v>-372249.99999999953</v>
      </c>
      <c r="W175" s="29">
        <f t="shared" ca="1" si="144"/>
        <v>3345406.2500000009</v>
      </c>
      <c r="X175" s="29">
        <f t="shared" ca="1" si="144"/>
        <v>3345406.2500000009</v>
      </c>
      <c r="Y175" s="29">
        <f t="shared" ca="1" si="144"/>
        <v>2945950.5952380951</v>
      </c>
      <c r="Z175" s="29">
        <f t="shared" ca="1" si="144"/>
        <v>2915932.1428571437</v>
      </c>
      <c r="AA175" s="29">
        <f t="shared" ca="1" si="144"/>
        <v>2951646.4285714291</v>
      </c>
      <c r="AB175" s="29">
        <f t="shared" ca="1" si="144"/>
        <v>2951646.4285714291</v>
      </c>
      <c r="AC175" s="29">
        <f t="shared" ca="1" si="144"/>
        <v>2951646.4285714291</v>
      </c>
      <c r="AD175" s="29">
        <f t="shared" ca="1" si="144"/>
        <v>2951646.4285714291</v>
      </c>
      <c r="AE175" s="29">
        <f t="shared" ca="1" si="144"/>
        <v>6611317.3809523787</v>
      </c>
      <c r="AF175" s="29">
        <f t="shared" ca="1" si="144"/>
        <v>6611317.3809523787</v>
      </c>
      <c r="AG175" s="29">
        <f t="shared" ca="1" si="144"/>
        <v>6611317.3809523787</v>
      </c>
      <c r="AH175" s="29">
        <f t="shared" ca="1" si="144"/>
        <v>6611317.3809523787</v>
      </c>
      <c r="AI175" s="29">
        <f t="shared" ca="1" si="144"/>
        <v>5745426.1904761884</v>
      </c>
      <c r="AJ175" s="29">
        <f t="shared" ca="1" si="144"/>
        <v>5745426.1904761884</v>
      </c>
      <c r="AK175" s="29">
        <f t="shared" ca="1" si="144"/>
        <v>5745426.1904761884</v>
      </c>
      <c r="AL175" s="29">
        <f t="shared" ca="1" si="144"/>
        <v>5745426.1904761884</v>
      </c>
      <c r="AM175" s="29">
        <f t="shared" ca="1" si="144"/>
        <v>3526761.904761903</v>
      </c>
      <c r="AN175" s="29">
        <f t="shared" ca="1" si="144"/>
        <v>3526761.904761903</v>
      </c>
      <c r="AO175" s="29">
        <f t="shared" ca="1" si="144"/>
        <v>3526761.904761903</v>
      </c>
      <c r="AP175" s="29">
        <f t="shared" ca="1" si="144"/>
        <v>3526761.904761903</v>
      </c>
      <c r="AQ175" s="29">
        <f t="shared" ca="1" si="144"/>
        <v>4260364.2857142845</v>
      </c>
      <c r="AR175" s="29">
        <f t="shared" ca="1" si="144"/>
        <v>4260364.2857142845</v>
      </c>
      <c r="AS175" s="29">
        <f t="shared" ca="1" si="144"/>
        <v>4260364.2857142845</v>
      </c>
      <c r="AT175" s="29">
        <f t="shared" ca="1" si="144"/>
        <v>4260364.2857142845</v>
      </c>
      <c r="AU175" s="29">
        <f t="shared" ca="1" si="144"/>
        <v>0</v>
      </c>
      <c r="AV175" s="29">
        <f t="shared" ca="1" si="144"/>
        <v>0</v>
      </c>
      <c r="AW175" s="29">
        <f t="shared" ca="1" si="144"/>
        <v>0</v>
      </c>
      <c r="AX175" s="29">
        <f t="shared" ca="1" si="144"/>
        <v>0</v>
      </c>
      <c r="AY175" s="29">
        <f t="shared" ca="1" si="144"/>
        <v>0</v>
      </c>
      <c r="AZ175" s="29">
        <f t="shared" ca="1" si="144"/>
        <v>0</v>
      </c>
      <c r="BA175" s="29">
        <f t="shared" ca="1" si="144"/>
        <v>0</v>
      </c>
      <c r="BB175" s="29">
        <f t="shared" ca="1" si="144"/>
        <v>0</v>
      </c>
      <c r="BC175" s="29">
        <f t="shared" ca="1" si="144"/>
        <v>0</v>
      </c>
      <c r="BD175" s="29">
        <f t="shared" ca="1" si="144"/>
        <v>0</v>
      </c>
      <c r="BE175" s="29">
        <f t="shared" ca="1" si="144"/>
        <v>0</v>
      </c>
      <c r="BF175" s="29">
        <f t="shared" ca="1" si="144"/>
        <v>0</v>
      </c>
      <c r="BG175" s="29">
        <f t="shared" ca="1" si="144"/>
        <v>0</v>
      </c>
      <c r="BH175" s="29">
        <f t="shared" ca="1" si="144"/>
        <v>0</v>
      </c>
      <c r="BI175" s="29">
        <f t="shared" ca="1" si="144"/>
        <v>0</v>
      </c>
      <c r="BJ175" s="29">
        <f t="shared" ca="1" si="144"/>
        <v>0</v>
      </c>
      <c r="BK175" s="29">
        <f t="shared" ca="1" si="144"/>
        <v>0</v>
      </c>
      <c r="BL175" s="29">
        <f t="shared" ca="1" si="144"/>
        <v>0</v>
      </c>
      <c r="BM175" s="29">
        <f t="shared" ca="1" si="144"/>
        <v>0</v>
      </c>
      <c r="BN175" s="29">
        <f t="shared" ca="1" si="144"/>
        <v>0</v>
      </c>
      <c r="BO175" s="29">
        <f t="shared" ca="1" si="144"/>
        <v>0</v>
      </c>
      <c r="BP175" s="29">
        <f t="shared" ca="1" si="144"/>
        <v>0</v>
      </c>
      <c r="BQ175" s="29">
        <f t="shared" ca="1" si="144"/>
        <v>0</v>
      </c>
      <c r="BR175" s="29">
        <f t="shared" ca="1" si="144"/>
        <v>0</v>
      </c>
      <c r="BS175" s="29">
        <f t="shared" ca="1" si="144"/>
        <v>0</v>
      </c>
      <c r="BT175" s="29">
        <f t="shared" ca="1" si="144"/>
        <v>0</v>
      </c>
      <c r="BU175" s="29">
        <f t="shared" ca="1" si="144"/>
        <v>0</v>
      </c>
      <c r="BV175" s="29">
        <f t="shared" ca="1" si="144"/>
        <v>0</v>
      </c>
      <c r="BW175" s="29">
        <f t="shared" ca="1" si="144"/>
        <v>0</v>
      </c>
      <c r="BX175" s="29">
        <f t="shared" ca="1" si="144"/>
        <v>0</v>
      </c>
      <c r="BY175" s="29">
        <f t="shared" ca="1" si="144"/>
        <v>0</v>
      </c>
      <c r="BZ175" s="29">
        <f t="shared" ca="1" si="144"/>
        <v>0</v>
      </c>
      <c r="CA175" s="29">
        <f t="shared" si="144"/>
        <v>0</v>
      </c>
      <c r="CB175" s="29">
        <f t="shared" si="144"/>
        <v>0</v>
      </c>
      <c r="CC175" s="29">
        <f t="shared" si="144"/>
        <v>0</v>
      </c>
      <c r="CD175" s="29">
        <f t="shared" si="144"/>
        <v>0</v>
      </c>
      <c r="CE175" s="29">
        <f t="shared" si="144"/>
        <v>0</v>
      </c>
      <c r="CF175" s="29">
        <f t="shared" si="144"/>
        <v>0</v>
      </c>
      <c r="CG175" s="29">
        <f t="shared" si="144"/>
        <v>0</v>
      </c>
      <c r="CH175" s="29">
        <f t="shared" si="144"/>
        <v>0</v>
      </c>
    </row>
    <row r="176" spans="2:86" ht="13" hidden="1" outlineLevel="1">
      <c r="B176" s="84">
        <f t="shared" si="73"/>
        <v>73</v>
      </c>
      <c r="C176" s="64">
        <f t="shared" ca="1" si="71"/>
        <v>0.40745330807232882</v>
      </c>
      <c r="D176" s="15" t="s">
        <v>238</v>
      </c>
      <c r="E176" s="29">
        <f t="shared" ca="1" si="61"/>
        <v>87213259.99999997</v>
      </c>
      <c r="F176" s="29"/>
      <c r="G176" s="29">
        <f t="shared" ref="G176:CH176" ca="1" si="145">IF(G$4&lt;=$B176,ABS(G$31)*-1+G$47,0)+IF($B176=G$4,G$81,0)</f>
        <v>-1444375</v>
      </c>
      <c r="H176" s="29">
        <f t="shared" ca="1" si="145"/>
        <v>-1344375</v>
      </c>
      <c r="I176" s="29">
        <f t="shared" ca="1" si="145"/>
        <v>-1344375</v>
      </c>
      <c r="J176" s="29">
        <f t="shared" ca="1" si="145"/>
        <v>-1344375</v>
      </c>
      <c r="K176" s="29">
        <f t="shared" ca="1" si="145"/>
        <v>-1344375</v>
      </c>
      <c r="L176" s="29">
        <f t="shared" ca="1" si="145"/>
        <v>-1344375</v>
      </c>
      <c r="M176" s="29">
        <f t="shared" ca="1" si="145"/>
        <v>-1344375</v>
      </c>
      <c r="N176" s="29">
        <f t="shared" ca="1" si="145"/>
        <v>-1344375</v>
      </c>
      <c r="O176" s="29">
        <f t="shared" ca="1" si="145"/>
        <v>-1344375</v>
      </c>
      <c r="P176" s="29">
        <f t="shared" ca="1" si="145"/>
        <v>-1344375</v>
      </c>
      <c r="Q176" s="29">
        <f t="shared" ca="1" si="145"/>
        <v>-1344375</v>
      </c>
      <c r="R176" s="29">
        <f t="shared" ca="1" si="145"/>
        <v>-1344375</v>
      </c>
      <c r="S176" s="29">
        <f t="shared" ca="1" si="145"/>
        <v>-372249.99999999953</v>
      </c>
      <c r="T176" s="29">
        <f t="shared" ca="1" si="145"/>
        <v>-372249.99999999953</v>
      </c>
      <c r="U176" s="29">
        <f t="shared" ca="1" si="145"/>
        <v>-372249.99999999953</v>
      </c>
      <c r="V176" s="29">
        <f t="shared" ca="1" si="145"/>
        <v>-372249.99999999953</v>
      </c>
      <c r="W176" s="29">
        <f t="shared" ca="1" si="145"/>
        <v>3345406.2500000009</v>
      </c>
      <c r="X176" s="29">
        <f t="shared" ca="1" si="145"/>
        <v>3345406.2500000009</v>
      </c>
      <c r="Y176" s="29">
        <f t="shared" ca="1" si="145"/>
        <v>2945950.5952380951</v>
      </c>
      <c r="Z176" s="29">
        <f t="shared" ca="1" si="145"/>
        <v>2915932.1428571437</v>
      </c>
      <c r="AA176" s="29">
        <f t="shared" ca="1" si="145"/>
        <v>2951646.4285714291</v>
      </c>
      <c r="AB176" s="29">
        <f t="shared" ca="1" si="145"/>
        <v>2951646.4285714291</v>
      </c>
      <c r="AC176" s="29">
        <f t="shared" ca="1" si="145"/>
        <v>2951646.4285714291</v>
      </c>
      <c r="AD176" s="29">
        <f t="shared" ca="1" si="145"/>
        <v>2951646.4285714291</v>
      </c>
      <c r="AE176" s="29">
        <f t="shared" ca="1" si="145"/>
        <v>6611317.3809523787</v>
      </c>
      <c r="AF176" s="29">
        <f t="shared" ca="1" si="145"/>
        <v>6611317.3809523787</v>
      </c>
      <c r="AG176" s="29">
        <f t="shared" ca="1" si="145"/>
        <v>6611317.3809523787</v>
      </c>
      <c r="AH176" s="29">
        <f t="shared" ca="1" si="145"/>
        <v>6611317.3809523787</v>
      </c>
      <c r="AI176" s="29">
        <f t="shared" ca="1" si="145"/>
        <v>5745426.1904761884</v>
      </c>
      <c r="AJ176" s="29">
        <f t="shared" ca="1" si="145"/>
        <v>5745426.1904761884</v>
      </c>
      <c r="AK176" s="29">
        <f t="shared" ca="1" si="145"/>
        <v>5745426.1904761884</v>
      </c>
      <c r="AL176" s="29">
        <f t="shared" ca="1" si="145"/>
        <v>5745426.1904761884</v>
      </c>
      <c r="AM176" s="29">
        <f t="shared" ca="1" si="145"/>
        <v>3526761.904761903</v>
      </c>
      <c r="AN176" s="29">
        <f t="shared" ca="1" si="145"/>
        <v>3526761.904761903</v>
      </c>
      <c r="AO176" s="29">
        <f t="shared" ca="1" si="145"/>
        <v>3526761.904761903</v>
      </c>
      <c r="AP176" s="29">
        <f t="shared" ca="1" si="145"/>
        <v>3526761.904761903</v>
      </c>
      <c r="AQ176" s="29">
        <f t="shared" ca="1" si="145"/>
        <v>4260364.2857142845</v>
      </c>
      <c r="AR176" s="29">
        <f t="shared" ca="1" si="145"/>
        <v>4260364.2857142845</v>
      </c>
      <c r="AS176" s="29">
        <f t="shared" ca="1" si="145"/>
        <v>4260364.2857142845</v>
      </c>
      <c r="AT176" s="29">
        <f t="shared" ca="1" si="145"/>
        <v>4260364.2857142845</v>
      </c>
      <c r="AU176" s="29">
        <f t="shared" ca="1" si="145"/>
        <v>0</v>
      </c>
      <c r="AV176" s="29">
        <f t="shared" ca="1" si="145"/>
        <v>0</v>
      </c>
      <c r="AW176" s="29">
        <f t="shared" ca="1" si="145"/>
        <v>0</v>
      </c>
      <c r="AX176" s="29">
        <f t="shared" ca="1" si="145"/>
        <v>0</v>
      </c>
      <c r="AY176" s="29">
        <f t="shared" ca="1" si="145"/>
        <v>0</v>
      </c>
      <c r="AZ176" s="29">
        <f t="shared" ca="1" si="145"/>
        <v>0</v>
      </c>
      <c r="BA176" s="29">
        <f t="shared" ca="1" si="145"/>
        <v>0</v>
      </c>
      <c r="BB176" s="29">
        <f t="shared" ca="1" si="145"/>
        <v>0</v>
      </c>
      <c r="BC176" s="29">
        <f t="shared" ca="1" si="145"/>
        <v>0</v>
      </c>
      <c r="BD176" s="29">
        <f t="shared" ca="1" si="145"/>
        <v>0</v>
      </c>
      <c r="BE176" s="29">
        <f t="shared" ca="1" si="145"/>
        <v>0</v>
      </c>
      <c r="BF176" s="29">
        <f t="shared" ca="1" si="145"/>
        <v>0</v>
      </c>
      <c r="BG176" s="29">
        <f t="shared" ca="1" si="145"/>
        <v>0</v>
      </c>
      <c r="BH176" s="29">
        <f t="shared" ca="1" si="145"/>
        <v>0</v>
      </c>
      <c r="BI176" s="29">
        <f t="shared" ca="1" si="145"/>
        <v>0</v>
      </c>
      <c r="BJ176" s="29">
        <f t="shared" ca="1" si="145"/>
        <v>0</v>
      </c>
      <c r="BK176" s="29">
        <f t="shared" ca="1" si="145"/>
        <v>0</v>
      </c>
      <c r="BL176" s="29">
        <f t="shared" ca="1" si="145"/>
        <v>0</v>
      </c>
      <c r="BM176" s="29">
        <f t="shared" ca="1" si="145"/>
        <v>0</v>
      </c>
      <c r="BN176" s="29">
        <f t="shared" ca="1" si="145"/>
        <v>0</v>
      </c>
      <c r="BO176" s="29">
        <f t="shared" ca="1" si="145"/>
        <v>0</v>
      </c>
      <c r="BP176" s="29">
        <f t="shared" ca="1" si="145"/>
        <v>0</v>
      </c>
      <c r="BQ176" s="29">
        <f t="shared" ca="1" si="145"/>
        <v>0</v>
      </c>
      <c r="BR176" s="29">
        <f t="shared" ca="1" si="145"/>
        <v>0</v>
      </c>
      <c r="BS176" s="29">
        <f t="shared" ca="1" si="145"/>
        <v>0</v>
      </c>
      <c r="BT176" s="29">
        <f t="shared" ca="1" si="145"/>
        <v>0</v>
      </c>
      <c r="BU176" s="29">
        <f t="shared" ca="1" si="145"/>
        <v>0</v>
      </c>
      <c r="BV176" s="29">
        <f t="shared" ca="1" si="145"/>
        <v>0</v>
      </c>
      <c r="BW176" s="29">
        <f t="shared" ca="1" si="145"/>
        <v>0</v>
      </c>
      <c r="BX176" s="29">
        <f t="shared" ca="1" si="145"/>
        <v>0</v>
      </c>
      <c r="BY176" s="29">
        <f t="shared" ca="1" si="145"/>
        <v>0</v>
      </c>
      <c r="BZ176" s="29">
        <f t="shared" ca="1" si="145"/>
        <v>0</v>
      </c>
      <c r="CA176" s="29">
        <f t="shared" ca="1" si="145"/>
        <v>0</v>
      </c>
      <c r="CB176" s="29">
        <f t="shared" si="145"/>
        <v>0</v>
      </c>
      <c r="CC176" s="29">
        <f t="shared" si="145"/>
        <v>0</v>
      </c>
      <c r="CD176" s="29">
        <f t="shared" si="145"/>
        <v>0</v>
      </c>
      <c r="CE176" s="29">
        <f t="shared" si="145"/>
        <v>0</v>
      </c>
      <c r="CF176" s="29">
        <f t="shared" si="145"/>
        <v>0</v>
      </c>
      <c r="CG176" s="29">
        <f t="shared" si="145"/>
        <v>0</v>
      </c>
      <c r="CH176" s="29">
        <f t="shared" si="145"/>
        <v>0</v>
      </c>
    </row>
    <row r="177" spans="1:86" ht="13" hidden="1" outlineLevel="1">
      <c r="B177" s="84">
        <f t="shared" si="73"/>
        <v>74</v>
      </c>
      <c r="C177" s="64">
        <f t="shared" ca="1" si="71"/>
        <v>0.40745330807232882</v>
      </c>
      <c r="D177" s="15" t="s">
        <v>238</v>
      </c>
      <c r="E177" s="29">
        <f t="shared" ca="1" si="61"/>
        <v>87213259.99999997</v>
      </c>
      <c r="F177" s="29"/>
      <c r="G177" s="29">
        <f t="shared" ref="G177:CH177" ca="1" si="146">IF(G$4&lt;=$B177,ABS(G$31)*-1+G$47,0)+IF($B177=G$4,G$81,0)</f>
        <v>-1444375</v>
      </c>
      <c r="H177" s="29">
        <f t="shared" ca="1" si="146"/>
        <v>-1344375</v>
      </c>
      <c r="I177" s="29">
        <f t="shared" ca="1" si="146"/>
        <v>-1344375</v>
      </c>
      <c r="J177" s="29">
        <f t="shared" ca="1" si="146"/>
        <v>-1344375</v>
      </c>
      <c r="K177" s="29">
        <f t="shared" ca="1" si="146"/>
        <v>-1344375</v>
      </c>
      <c r="L177" s="29">
        <f t="shared" ca="1" si="146"/>
        <v>-1344375</v>
      </c>
      <c r="M177" s="29">
        <f t="shared" ca="1" si="146"/>
        <v>-1344375</v>
      </c>
      <c r="N177" s="29">
        <f t="shared" ca="1" si="146"/>
        <v>-1344375</v>
      </c>
      <c r="O177" s="29">
        <f t="shared" ca="1" si="146"/>
        <v>-1344375</v>
      </c>
      <c r="P177" s="29">
        <f t="shared" ca="1" si="146"/>
        <v>-1344375</v>
      </c>
      <c r="Q177" s="29">
        <f t="shared" ca="1" si="146"/>
        <v>-1344375</v>
      </c>
      <c r="R177" s="29">
        <f t="shared" ca="1" si="146"/>
        <v>-1344375</v>
      </c>
      <c r="S177" s="29">
        <f t="shared" ca="1" si="146"/>
        <v>-372249.99999999953</v>
      </c>
      <c r="T177" s="29">
        <f t="shared" ca="1" si="146"/>
        <v>-372249.99999999953</v>
      </c>
      <c r="U177" s="29">
        <f t="shared" ca="1" si="146"/>
        <v>-372249.99999999953</v>
      </c>
      <c r="V177" s="29">
        <f t="shared" ca="1" si="146"/>
        <v>-372249.99999999953</v>
      </c>
      <c r="W177" s="29">
        <f t="shared" ca="1" si="146"/>
        <v>3345406.2500000009</v>
      </c>
      <c r="X177" s="29">
        <f t="shared" ca="1" si="146"/>
        <v>3345406.2500000009</v>
      </c>
      <c r="Y177" s="29">
        <f t="shared" ca="1" si="146"/>
        <v>2945950.5952380951</v>
      </c>
      <c r="Z177" s="29">
        <f t="shared" ca="1" si="146"/>
        <v>2915932.1428571437</v>
      </c>
      <c r="AA177" s="29">
        <f t="shared" ca="1" si="146"/>
        <v>2951646.4285714291</v>
      </c>
      <c r="AB177" s="29">
        <f t="shared" ca="1" si="146"/>
        <v>2951646.4285714291</v>
      </c>
      <c r="AC177" s="29">
        <f t="shared" ca="1" si="146"/>
        <v>2951646.4285714291</v>
      </c>
      <c r="AD177" s="29">
        <f t="shared" ca="1" si="146"/>
        <v>2951646.4285714291</v>
      </c>
      <c r="AE177" s="29">
        <f t="shared" ca="1" si="146"/>
        <v>6611317.3809523787</v>
      </c>
      <c r="AF177" s="29">
        <f t="shared" ca="1" si="146"/>
        <v>6611317.3809523787</v>
      </c>
      <c r="AG177" s="29">
        <f t="shared" ca="1" si="146"/>
        <v>6611317.3809523787</v>
      </c>
      <c r="AH177" s="29">
        <f t="shared" ca="1" si="146"/>
        <v>6611317.3809523787</v>
      </c>
      <c r="AI177" s="29">
        <f t="shared" ca="1" si="146"/>
        <v>5745426.1904761884</v>
      </c>
      <c r="AJ177" s="29">
        <f t="shared" ca="1" si="146"/>
        <v>5745426.1904761884</v>
      </c>
      <c r="AK177" s="29">
        <f t="shared" ca="1" si="146"/>
        <v>5745426.1904761884</v>
      </c>
      <c r="AL177" s="29">
        <f t="shared" ca="1" si="146"/>
        <v>5745426.1904761884</v>
      </c>
      <c r="AM177" s="29">
        <f t="shared" ca="1" si="146"/>
        <v>3526761.904761903</v>
      </c>
      <c r="AN177" s="29">
        <f t="shared" ca="1" si="146"/>
        <v>3526761.904761903</v>
      </c>
      <c r="AO177" s="29">
        <f t="shared" ca="1" si="146"/>
        <v>3526761.904761903</v>
      </c>
      <c r="AP177" s="29">
        <f t="shared" ca="1" si="146"/>
        <v>3526761.904761903</v>
      </c>
      <c r="AQ177" s="29">
        <f t="shared" ca="1" si="146"/>
        <v>4260364.2857142845</v>
      </c>
      <c r="AR177" s="29">
        <f t="shared" ca="1" si="146"/>
        <v>4260364.2857142845</v>
      </c>
      <c r="AS177" s="29">
        <f t="shared" ca="1" si="146"/>
        <v>4260364.2857142845</v>
      </c>
      <c r="AT177" s="29">
        <f t="shared" ca="1" si="146"/>
        <v>4260364.2857142845</v>
      </c>
      <c r="AU177" s="29">
        <f t="shared" ca="1" si="146"/>
        <v>0</v>
      </c>
      <c r="AV177" s="29">
        <f t="shared" ca="1" si="146"/>
        <v>0</v>
      </c>
      <c r="AW177" s="29">
        <f t="shared" ca="1" si="146"/>
        <v>0</v>
      </c>
      <c r="AX177" s="29">
        <f t="shared" ca="1" si="146"/>
        <v>0</v>
      </c>
      <c r="AY177" s="29">
        <f t="shared" ca="1" si="146"/>
        <v>0</v>
      </c>
      <c r="AZ177" s="29">
        <f t="shared" ca="1" si="146"/>
        <v>0</v>
      </c>
      <c r="BA177" s="29">
        <f t="shared" ca="1" si="146"/>
        <v>0</v>
      </c>
      <c r="BB177" s="29">
        <f t="shared" ca="1" si="146"/>
        <v>0</v>
      </c>
      <c r="BC177" s="29">
        <f t="shared" ca="1" si="146"/>
        <v>0</v>
      </c>
      <c r="BD177" s="29">
        <f t="shared" ca="1" si="146"/>
        <v>0</v>
      </c>
      <c r="BE177" s="29">
        <f t="shared" ca="1" si="146"/>
        <v>0</v>
      </c>
      <c r="BF177" s="29">
        <f t="shared" ca="1" si="146"/>
        <v>0</v>
      </c>
      <c r="BG177" s="29">
        <f t="shared" ca="1" si="146"/>
        <v>0</v>
      </c>
      <c r="BH177" s="29">
        <f t="shared" ca="1" si="146"/>
        <v>0</v>
      </c>
      <c r="BI177" s="29">
        <f t="shared" ca="1" si="146"/>
        <v>0</v>
      </c>
      <c r="BJ177" s="29">
        <f t="shared" ca="1" si="146"/>
        <v>0</v>
      </c>
      <c r="BK177" s="29">
        <f t="shared" ca="1" si="146"/>
        <v>0</v>
      </c>
      <c r="BL177" s="29">
        <f t="shared" ca="1" si="146"/>
        <v>0</v>
      </c>
      <c r="BM177" s="29">
        <f t="shared" ca="1" si="146"/>
        <v>0</v>
      </c>
      <c r="BN177" s="29">
        <f t="shared" ca="1" si="146"/>
        <v>0</v>
      </c>
      <c r="BO177" s="29">
        <f t="shared" ca="1" si="146"/>
        <v>0</v>
      </c>
      <c r="BP177" s="29">
        <f t="shared" ca="1" si="146"/>
        <v>0</v>
      </c>
      <c r="BQ177" s="29">
        <f t="shared" ca="1" si="146"/>
        <v>0</v>
      </c>
      <c r="BR177" s="29">
        <f t="shared" ca="1" si="146"/>
        <v>0</v>
      </c>
      <c r="BS177" s="29">
        <f t="shared" ca="1" si="146"/>
        <v>0</v>
      </c>
      <c r="BT177" s="29">
        <f t="shared" ca="1" si="146"/>
        <v>0</v>
      </c>
      <c r="BU177" s="29">
        <f t="shared" ca="1" si="146"/>
        <v>0</v>
      </c>
      <c r="BV177" s="29">
        <f t="shared" ca="1" si="146"/>
        <v>0</v>
      </c>
      <c r="BW177" s="29">
        <f t="shared" ca="1" si="146"/>
        <v>0</v>
      </c>
      <c r="BX177" s="29">
        <f t="shared" ca="1" si="146"/>
        <v>0</v>
      </c>
      <c r="BY177" s="29">
        <f t="shared" ca="1" si="146"/>
        <v>0</v>
      </c>
      <c r="BZ177" s="29">
        <f t="shared" ca="1" si="146"/>
        <v>0</v>
      </c>
      <c r="CA177" s="29">
        <f t="shared" ca="1" si="146"/>
        <v>0</v>
      </c>
      <c r="CB177" s="29">
        <f t="shared" ca="1" si="146"/>
        <v>0</v>
      </c>
      <c r="CC177" s="29">
        <f t="shared" si="146"/>
        <v>0</v>
      </c>
      <c r="CD177" s="29">
        <f t="shared" si="146"/>
        <v>0</v>
      </c>
      <c r="CE177" s="29">
        <f t="shared" si="146"/>
        <v>0</v>
      </c>
      <c r="CF177" s="29">
        <f t="shared" si="146"/>
        <v>0</v>
      </c>
      <c r="CG177" s="29">
        <f t="shared" si="146"/>
        <v>0</v>
      </c>
      <c r="CH177" s="29">
        <f t="shared" si="146"/>
        <v>0</v>
      </c>
    </row>
    <row r="178" spans="1:86" ht="13" hidden="1" outlineLevel="1">
      <c r="B178" s="84">
        <f t="shared" si="73"/>
        <v>75</v>
      </c>
      <c r="C178" s="64">
        <f t="shared" ca="1" si="71"/>
        <v>0.40745330807232882</v>
      </c>
      <c r="D178" s="15" t="s">
        <v>238</v>
      </c>
      <c r="E178" s="29">
        <f t="shared" ca="1" si="61"/>
        <v>87213259.99999997</v>
      </c>
      <c r="F178" s="29"/>
      <c r="G178" s="29">
        <f t="shared" ref="G178:CH178" ca="1" si="147">IF(G$4&lt;=$B178,ABS(G$31)*-1+G$47,0)+IF($B178=G$4,G$81,0)</f>
        <v>-1444375</v>
      </c>
      <c r="H178" s="29">
        <f t="shared" ca="1" si="147"/>
        <v>-1344375</v>
      </c>
      <c r="I178" s="29">
        <f t="shared" ca="1" si="147"/>
        <v>-1344375</v>
      </c>
      <c r="J178" s="29">
        <f t="shared" ca="1" si="147"/>
        <v>-1344375</v>
      </c>
      <c r="K178" s="29">
        <f t="shared" ca="1" si="147"/>
        <v>-1344375</v>
      </c>
      <c r="L178" s="29">
        <f t="shared" ca="1" si="147"/>
        <v>-1344375</v>
      </c>
      <c r="M178" s="29">
        <f t="shared" ca="1" si="147"/>
        <v>-1344375</v>
      </c>
      <c r="N178" s="29">
        <f t="shared" ca="1" si="147"/>
        <v>-1344375</v>
      </c>
      <c r="O178" s="29">
        <f t="shared" ca="1" si="147"/>
        <v>-1344375</v>
      </c>
      <c r="P178" s="29">
        <f t="shared" ca="1" si="147"/>
        <v>-1344375</v>
      </c>
      <c r="Q178" s="29">
        <f t="shared" ca="1" si="147"/>
        <v>-1344375</v>
      </c>
      <c r="R178" s="29">
        <f t="shared" ca="1" si="147"/>
        <v>-1344375</v>
      </c>
      <c r="S178" s="29">
        <f t="shared" ca="1" si="147"/>
        <v>-372249.99999999953</v>
      </c>
      <c r="T178" s="29">
        <f t="shared" ca="1" si="147"/>
        <v>-372249.99999999953</v>
      </c>
      <c r="U178" s="29">
        <f t="shared" ca="1" si="147"/>
        <v>-372249.99999999953</v>
      </c>
      <c r="V178" s="29">
        <f t="shared" ca="1" si="147"/>
        <v>-372249.99999999953</v>
      </c>
      <c r="W178" s="29">
        <f t="shared" ca="1" si="147"/>
        <v>3345406.2500000009</v>
      </c>
      <c r="X178" s="29">
        <f t="shared" ca="1" si="147"/>
        <v>3345406.2500000009</v>
      </c>
      <c r="Y178" s="29">
        <f t="shared" ca="1" si="147"/>
        <v>2945950.5952380951</v>
      </c>
      <c r="Z178" s="29">
        <f t="shared" ca="1" si="147"/>
        <v>2915932.1428571437</v>
      </c>
      <c r="AA178" s="29">
        <f t="shared" ca="1" si="147"/>
        <v>2951646.4285714291</v>
      </c>
      <c r="AB178" s="29">
        <f t="shared" ca="1" si="147"/>
        <v>2951646.4285714291</v>
      </c>
      <c r="AC178" s="29">
        <f t="shared" ca="1" si="147"/>
        <v>2951646.4285714291</v>
      </c>
      <c r="AD178" s="29">
        <f t="shared" ca="1" si="147"/>
        <v>2951646.4285714291</v>
      </c>
      <c r="AE178" s="29">
        <f t="shared" ca="1" si="147"/>
        <v>6611317.3809523787</v>
      </c>
      <c r="AF178" s="29">
        <f t="shared" ca="1" si="147"/>
        <v>6611317.3809523787</v>
      </c>
      <c r="AG178" s="29">
        <f t="shared" ca="1" si="147"/>
        <v>6611317.3809523787</v>
      </c>
      <c r="AH178" s="29">
        <f t="shared" ca="1" si="147"/>
        <v>6611317.3809523787</v>
      </c>
      <c r="AI178" s="29">
        <f t="shared" ca="1" si="147"/>
        <v>5745426.1904761884</v>
      </c>
      <c r="AJ178" s="29">
        <f t="shared" ca="1" si="147"/>
        <v>5745426.1904761884</v>
      </c>
      <c r="AK178" s="29">
        <f t="shared" ca="1" si="147"/>
        <v>5745426.1904761884</v>
      </c>
      <c r="AL178" s="29">
        <f t="shared" ca="1" si="147"/>
        <v>5745426.1904761884</v>
      </c>
      <c r="AM178" s="29">
        <f t="shared" ca="1" si="147"/>
        <v>3526761.904761903</v>
      </c>
      <c r="AN178" s="29">
        <f t="shared" ca="1" si="147"/>
        <v>3526761.904761903</v>
      </c>
      <c r="AO178" s="29">
        <f t="shared" ca="1" si="147"/>
        <v>3526761.904761903</v>
      </c>
      <c r="AP178" s="29">
        <f t="shared" ca="1" si="147"/>
        <v>3526761.904761903</v>
      </c>
      <c r="AQ178" s="29">
        <f t="shared" ca="1" si="147"/>
        <v>4260364.2857142845</v>
      </c>
      <c r="AR178" s="29">
        <f t="shared" ca="1" si="147"/>
        <v>4260364.2857142845</v>
      </c>
      <c r="AS178" s="29">
        <f t="shared" ca="1" si="147"/>
        <v>4260364.2857142845</v>
      </c>
      <c r="AT178" s="29">
        <f t="shared" ca="1" si="147"/>
        <v>4260364.2857142845</v>
      </c>
      <c r="AU178" s="29">
        <f t="shared" ca="1" si="147"/>
        <v>0</v>
      </c>
      <c r="AV178" s="29">
        <f t="shared" ca="1" si="147"/>
        <v>0</v>
      </c>
      <c r="AW178" s="29">
        <f t="shared" ca="1" si="147"/>
        <v>0</v>
      </c>
      <c r="AX178" s="29">
        <f t="shared" ca="1" si="147"/>
        <v>0</v>
      </c>
      <c r="AY178" s="29">
        <f t="shared" ca="1" si="147"/>
        <v>0</v>
      </c>
      <c r="AZ178" s="29">
        <f t="shared" ca="1" si="147"/>
        <v>0</v>
      </c>
      <c r="BA178" s="29">
        <f t="shared" ca="1" si="147"/>
        <v>0</v>
      </c>
      <c r="BB178" s="29">
        <f t="shared" ca="1" si="147"/>
        <v>0</v>
      </c>
      <c r="BC178" s="29">
        <f t="shared" ca="1" si="147"/>
        <v>0</v>
      </c>
      <c r="BD178" s="29">
        <f t="shared" ca="1" si="147"/>
        <v>0</v>
      </c>
      <c r="BE178" s="29">
        <f t="shared" ca="1" si="147"/>
        <v>0</v>
      </c>
      <c r="BF178" s="29">
        <f t="shared" ca="1" si="147"/>
        <v>0</v>
      </c>
      <c r="BG178" s="29">
        <f t="shared" ca="1" si="147"/>
        <v>0</v>
      </c>
      <c r="BH178" s="29">
        <f t="shared" ca="1" si="147"/>
        <v>0</v>
      </c>
      <c r="BI178" s="29">
        <f t="shared" ca="1" si="147"/>
        <v>0</v>
      </c>
      <c r="BJ178" s="29">
        <f t="shared" ca="1" si="147"/>
        <v>0</v>
      </c>
      <c r="BK178" s="29">
        <f t="shared" ca="1" si="147"/>
        <v>0</v>
      </c>
      <c r="BL178" s="29">
        <f t="shared" ca="1" si="147"/>
        <v>0</v>
      </c>
      <c r="BM178" s="29">
        <f t="shared" ca="1" si="147"/>
        <v>0</v>
      </c>
      <c r="BN178" s="29">
        <f t="shared" ca="1" si="147"/>
        <v>0</v>
      </c>
      <c r="BO178" s="29">
        <f t="shared" ca="1" si="147"/>
        <v>0</v>
      </c>
      <c r="BP178" s="29">
        <f t="shared" ca="1" si="147"/>
        <v>0</v>
      </c>
      <c r="BQ178" s="29">
        <f t="shared" ca="1" si="147"/>
        <v>0</v>
      </c>
      <c r="BR178" s="29">
        <f t="shared" ca="1" si="147"/>
        <v>0</v>
      </c>
      <c r="BS178" s="29">
        <f t="shared" ca="1" si="147"/>
        <v>0</v>
      </c>
      <c r="BT178" s="29">
        <f t="shared" ca="1" si="147"/>
        <v>0</v>
      </c>
      <c r="BU178" s="29">
        <f t="shared" ca="1" si="147"/>
        <v>0</v>
      </c>
      <c r="BV178" s="29">
        <f t="shared" ca="1" si="147"/>
        <v>0</v>
      </c>
      <c r="BW178" s="29">
        <f t="shared" ca="1" si="147"/>
        <v>0</v>
      </c>
      <c r="BX178" s="29">
        <f t="shared" ca="1" si="147"/>
        <v>0</v>
      </c>
      <c r="BY178" s="29">
        <f t="shared" ca="1" si="147"/>
        <v>0</v>
      </c>
      <c r="BZ178" s="29">
        <f t="shared" ca="1" si="147"/>
        <v>0</v>
      </c>
      <c r="CA178" s="29">
        <f t="shared" ca="1" si="147"/>
        <v>0</v>
      </c>
      <c r="CB178" s="29">
        <f t="shared" ca="1" si="147"/>
        <v>0</v>
      </c>
      <c r="CC178" s="29">
        <f t="shared" ca="1" si="147"/>
        <v>0</v>
      </c>
      <c r="CD178" s="29">
        <f t="shared" si="147"/>
        <v>0</v>
      </c>
      <c r="CE178" s="29">
        <f t="shared" si="147"/>
        <v>0</v>
      </c>
      <c r="CF178" s="29">
        <f t="shared" si="147"/>
        <v>0</v>
      </c>
      <c r="CG178" s="29">
        <f t="shared" si="147"/>
        <v>0</v>
      </c>
      <c r="CH178" s="29">
        <f t="shared" si="147"/>
        <v>0</v>
      </c>
    </row>
    <row r="179" spans="1:86" ht="13" hidden="1" outlineLevel="1">
      <c r="B179" s="84">
        <f t="shared" si="73"/>
        <v>76</v>
      </c>
      <c r="C179" s="64">
        <f t="shared" ca="1" si="71"/>
        <v>0.40745330807232882</v>
      </c>
      <c r="D179" s="15" t="s">
        <v>238</v>
      </c>
      <c r="E179" s="29">
        <f t="shared" ca="1" si="61"/>
        <v>87213259.99999997</v>
      </c>
      <c r="F179" s="29"/>
      <c r="G179" s="29">
        <f t="shared" ref="G179:CH179" ca="1" si="148">IF(G$4&lt;=$B179,ABS(G$31)*-1+G$47,0)+IF($B179=G$4,G$81,0)</f>
        <v>-1444375</v>
      </c>
      <c r="H179" s="29">
        <f t="shared" ca="1" si="148"/>
        <v>-1344375</v>
      </c>
      <c r="I179" s="29">
        <f t="shared" ca="1" si="148"/>
        <v>-1344375</v>
      </c>
      <c r="J179" s="29">
        <f t="shared" ca="1" si="148"/>
        <v>-1344375</v>
      </c>
      <c r="K179" s="29">
        <f t="shared" ca="1" si="148"/>
        <v>-1344375</v>
      </c>
      <c r="L179" s="29">
        <f t="shared" ca="1" si="148"/>
        <v>-1344375</v>
      </c>
      <c r="M179" s="29">
        <f t="shared" ca="1" si="148"/>
        <v>-1344375</v>
      </c>
      <c r="N179" s="29">
        <f t="shared" ca="1" si="148"/>
        <v>-1344375</v>
      </c>
      <c r="O179" s="29">
        <f t="shared" ca="1" si="148"/>
        <v>-1344375</v>
      </c>
      <c r="P179" s="29">
        <f t="shared" ca="1" si="148"/>
        <v>-1344375</v>
      </c>
      <c r="Q179" s="29">
        <f t="shared" ca="1" si="148"/>
        <v>-1344375</v>
      </c>
      <c r="R179" s="29">
        <f t="shared" ca="1" si="148"/>
        <v>-1344375</v>
      </c>
      <c r="S179" s="29">
        <f t="shared" ca="1" si="148"/>
        <v>-372249.99999999953</v>
      </c>
      <c r="T179" s="29">
        <f t="shared" ca="1" si="148"/>
        <v>-372249.99999999953</v>
      </c>
      <c r="U179" s="29">
        <f t="shared" ca="1" si="148"/>
        <v>-372249.99999999953</v>
      </c>
      <c r="V179" s="29">
        <f t="shared" ca="1" si="148"/>
        <v>-372249.99999999953</v>
      </c>
      <c r="W179" s="29">
        <f t="shared" ca="1" si="148"/>
        <v>3345406.2500000009</v>
      </c>
      <c r="X179" s="29">
        <f t="shared" ca="1" si="148"/>
        <v>3345406.2500000009</v>
      </c>
      <c r="Y179" s="29">
        <f t="shared" ca="1" si="148"/>
        <v>2945950.5952380951</v>
      </c>
      <c r="Z179" s="29">
        <f t="shared" ca="1" si="148"/>
        <v>2915932.1428571437</v>
      </c>
      <c r="AA179" s="29">
        <f t="shared" ca="1" si="148"/>
        <v>2951646.4285714291</v>
      </c>
      <c r="AB179" s="29">
        <f t="shared" ca="1" si="148"/>
        <v>2951646.4285714291</v>
      </c>
      <c r="AC179" s="29">
        <f t="shared" ca="1" si="148"/>
        <v>2951646.4285714291</v>
      </c>
      <c r="AD179" s="29">
        <f t="shared" ca="1" si="148"/>
        <v>2951646.4285714291</v>
      </c>
      <c r="AE179" s="29">
        <f t="shared" ca="1" si="148"/>
        <v>6611317.3809523787</v>
      </c>
      <c r="AF179" s="29">
        <f t="shared" ca="1" si="148"/>
        <v>6611317.3809523787</v>
      </c>
      <c r="AG179" s="29">
        <f t="shared" ca="1" si="148"/>
        <v>6611317.3809523787</v>
      </c>
      <c r="AH179" s="29">
        <f t="shared" ca="1" si="148"/>
        <v>6611317.3809523787</v>
      </c>
      <c r="AI179" s="29">
        <f t="shared" ca="1" si="148"/>
        <v>5745426.1904761884</v>
      </c>
      <c r="AJ179" s="29">
        <f t="shared" ca="1" si="148"/>
        <v>5745426.1904761884</v>
      </c>
      <c r="AK179" s="29">
        <f t="shared" ca="1" si="148"/>
        <v>5745426.1904761884</v>
      </c>
      <c r="AL179" s="29">
        <f t="shared" ca="1" si="148"/>
        <v>5745426.1904761884</v>
      </c>
      <c r="AM179" s="29">
        <f t="shared" ca="1" si="148"/>
        <v>3526761.904761903</v>
      </c>
      <c r="AN179" s="29">
        <f t="shared" ca="1" si="148"/>
        <v>3526761.904761903</v>
      </c>
      <c r="AO179" s="29">
        <f t="shared" ca="1" si="148"/>
        <v>3526761.904761903</v>
      </c>
      <c r="AP179" s="29">
        <f t="shared" ca="1" si="148"/>
        <v>3526761.904761903</v>
      </c>
      <c r="AQ179" s="29">
        <f t="shared" ca="1" si="148"/>
        <v>4260364.2857142845</v>
      </c>
      <c r="AR179" s="29">
        <f t="shared" ca="1" si="148"/>
        <v>4260364.2857142845</v>
      </c>
      <c r="AS179" s="29">
        <f t="shared" ca="1" si="148"/>
        <v>4260364.2857142845</v>
      </c>
      <c r="AT179" s="29">
        <f t="shared" ca="1" si="148"/>
        <v>4260364.2857142845</v>
      </c>
      <c r="AU179" s="29">
        <f t="shared" ca="1" si="148"/>
        <v>0</v>
      </c>
      <c r="AV179" s="29">
        <f t="shared" ca="1" si="148"/>
        <v>0</v>
      </c>
      <c r="AW179" s="29">
        <f t="shared" ca="1" si="148"/>
        <v>0</v>
      </c>
      <c r="AX179" s="29">
        <f t="shared" ca="1" si="148"/>
        <v>0</v>
      </c>
      <c r="AY179" s="29">
        <f t="shared" ca="1" si="148"/>
        <v>0</v>
      </c>
      <c r="AZ179" s="29">
        <f t="shared" ca="1" si="148"/>
        <v>0</v>
      </c>
      <c r="BA179" s="29">
        <f t="shared" ca="1" si="148"/>
        <v>0</v>
      </c>
      <c r="BB179" s="29">
        <f t="shared" ca="1" si="148"/>
        <v>0</v>
      </c>
      <c r="BC179" s="29">
        <f t="shared" ca="1" si="148"/>
        <v>0</v>
      </c>
      <c r="BD179" s="29">
        <f t="shared" ca="1" si="148"/>
        <v>0</v>
      </c>
      <c r="BE179" s="29">
        <f t="shared" ca="1" si="148"/>
        <v>0</v>
      </c>
      <c r="BF179" s="29">
        <f t="shared" ca="1" si="148"/>
        <v>0</v>
      </c>
      <c r="BG179" s="29">
        <f t="shared" ca="1" si="148"/>
        <v>0</v>
      </c>
      <c r="BH179" s="29">
        <f t="shared" ca="1" si="148"/>
        <v>0</v>
      </c>
      <c r="BI179" s="29">
        <f t="shared" ca="1" si="148"/>
        <v>0</v>
      </c>
      <c r="BJ179" s="29">
        <f t="shared" ca="1" si="148"/>
        <v>0</v>
      </c>
      <c r="BK179" s="29">
        <f t="shared" ca="1" si="148"/>
        <v>0</v>
      </c>
      <c r="BL179" s="29">
        <f t="shared" ca="1" si="148"/>
        <v>0</v>
      </c>
      <c r="BM179" s="29">
        <f t="shared" ca="1" si="148"/>
        <v>0</v>
      </c>
      <c r="BN179" s="29">
        <f t="shared" ca="1" si="148"/>
        <v>0</v>
      </c>
      <c r="BO179" s="29">
        <f t="shared" ca="1" si="148"/>
        <v>0</v>
      </c>
      <c r="BP179" s="29">
        <f t="shared" ca="1" si="148"/>
        <v>0</v>
      </c>
      <c r="BQ179" s="29">
        <f t="shared" ca="1" si="148"/>
        <v>0</v>
      </c>
      <c r="BR179" s="29">
        <f t="shared" ca="1" si="148"/>
        <v>0</v>
      </c>
      <c r="BS179" s="29">
        <f t="shared" ca="1" si="148"/>
        <v>0</v>
      </c>
      <c r="BT179" s="29">
        <f t="shared" ca="1" si="148"/>
        <v>0</v>
      </c>
      <c r="BU179" s="29">
        <f t="shared" ca="1" si="148"/>
        <v>0</v>
      </c>
      <c r="BV179" s="29">
        <f t="shared" ca="1" si="148"/>
        <v>0</v>
      </c>
      <c r="BW179" s="29">
        <f t="shared" ca="1" si="148"/>
        <v>0</v>
      </c>
      <c r="BX179" s="29">
        <f t="shared" ca="1" si="148"/>
        <v>0</v>
      </c>
      <c r="BY179" s="29">
        <f t="shared" ca="1" si="148"/>
        <v>0</v>
      </c>
      <c r="BZ179" s="29">
        <f t="shared" ca="1" si="148"/>
        <v>0</v>
      </c>
      <c r="CA179" s="29">
        <f t="shared" ca="1" si="148"/>
        <v>0</v>
      </c>
      <c r="CB179" s="29">
        <f t="shared" ca="1" si="148"/>
        <v>0</v>
      </c>
      <c r="CC179" s="29">
        <f t="shared" ca="1" si="148"/>
        <v>0</v>
      </c>
      <c r="CD179" s="29">
        <f t="shared" ca="1" si="148"/>
        <v>0</v>
      </c>
      <c r="CE179" s="29">
        <f t="shared" si="148"/>
        <v>0</v>
      </c>
      <c r="CF179" s="29">
        <f t="shared" si="148"/>
        <v>0</v>
      </c>
      <c r="CG179" s="29">
        <f t="shared" si="148"/>
        <v>0</v>
      </c>
      <c r="CH179" s="29">
        <f t="shared" si="148"/>
        <v>0</v>
      </c>
    </row>
    <row r="180" spans="1:86" ht="13" hidden="1" outlineLevel="1">
      <c r="B180" s="84">
        <f t="shared" si="73"/>
        <v>77</v>
      </c>
      <c r="C180" s="64">
        <f t="shared" ca="1" si="71"/>
        <v>0.40745330807232882</v>
      </c>
      <c r="D180" s="15" t="s">
        <v>238</v>
      </c>
      <c r="E180" s="29">
        <f t="shared" ca="1" si="61"/>
        <v>87213259.99999997</v>
      </c>
      <c r="F180" s="29"/>
      <c r="G180" s="29">
        <f t="shared" ref="G180:CH180" ca="1" si="149">IF(G$4&lt;=$B180,ABS(G$31)*-1+G$47,0)+IF($B180=G$4,G$81,0)</f>
        <v>-1444375</v>
      </c>
      <c r="H180" s="29">
        <f t="shared" ca="1" si="149"/>
        <v>-1344375</v>
      </c>
      <c r="I180" s="29">
        <f t="shared" ca="1" si="149"/>
        <v>-1344375</v>
      </c>
      <c r="J180" s="29">
        <f t="shared" ca="1" si="149"/>
        <v>-1344375</v>
      </c>
      <c r="K180" s="29">
        <f t="shared" ca="1" si="149"/>
        <v>-1344375</v>
      </c>
      <c r="L180" s="29">
        <f t="shared" ca="1" si="149"/>
        <v>-1344375</v>
      </c>
      <c r="M180" s="29">
        <f t="shared" ca="1" si="149"/>
        <v>-1344375</v>
      </c>
      <c r="N180" s="29">
        <f t="shared" ca="1" si="149"/>
        <v>-1344375</v>
      </c>
      <c r="O180" s="29">
        <f t="shared" ca="1" si="149"/>
        <v>-1344375</v>
      </c>
      <c r="P180" s="29">
        <f t="shared" ca="1" si="149"/>
        <v>-1344375</v>
      </c>
      <c r="Q180" s="29">
        <f t="shared" ca="1" si="149"/>
        <v>-1344375</v>
      </c>
      <c r="R180" s="29">
        <f t="shared" ca="1" si="149"/>
        <v>-1344375</v>
      </c>
      <c r="S180" s="29">
        <f t="shared" ca="1" si="149"/>
        <v>-372249.99999999953</v>
      </c>
      <c r="T180" s="29">
        <f t="shared" ca="1" si="149"/>
        <v>-372249.99999999953</v>
      </c>
      <c r="U180" s="29">
        <f t="shared" ca="1" si="149"/>
        <v>-372249.99999999953</v>
      </c>
      <c r="V180" s="29">
        <f t="shared" ca="1" si="149"/>
        <v>-372249.99999999953</v>
      </c>
      <c r="W180" s="29">
        <f t="shared" ca="1" si="149"/>
        <v>3345406.2500000009</v>
      </c>
      <c r="X180" s="29">
        <f t="shared" ca="1" si="149"/>
        <v>3345406.2500000009</v>
      </c>
      <c r="Y180" s="29">
        <f t="shared" ca="1" si="149"/>
        <v>2945950.5952380951</v>
      </c>
      <c r="Z180" s="29">
        <f t="shared" ca="1" si="149"/>
        <v>2915932.1428571437</v>
      </c>
      <c r="AA180" s="29">
        <f t="shared" ca="1" si="149"/>
        <v>2951646.4285714291</v>
      </c>
      <c r="AB180" s="29">
        <f t="shared" ca="1" si="149"/>
        <v>2951646.4285714291</v>
      </c>
      <c r="AC180" s="29">
        <f t="shared" ca="1" si="149"/>
        <v>2951646.4285714291</v>
      </c>
      <c r="AD180" s="29">
        <f t="shared" ca="1" si="149"/>
        <v>2951646.4285714291</v>
      </c>
      <c r="AE180" s="29">
        <f t="shared" ca="1" si="149"/>
        <v>6611317.3809523787</v>
      </c>
      <c r="AF180" s="29">
        <f t="shared" ca="1" si="149"/>
        <v>6611317.3809523787</v>
      </c>
      <c r="AG180" s="29">
        <f t="shared" ca="1" si="149"/>
        <v>6611317.3809523787</v>
      </c>
      <c r="AH180" s="29">
        <f t="shared" ca="1" si="149"/>
        <v>6611317.3809523787</v>
      </c>
      <c r="AI180" s="29">
        <f t="shared" ca="1" si="149"/>
        <v>5745426.1904761884</v>
      </c>
      <c r="AJ180" s="29">
        <f t="shared" ca="1" si="149"/>
        <v>5745426.1904761884</v>
      </c>
      <c r="AK180" s="29">
        <f t="shared" ca="1" si="149"/>
        <v>5745426.1904761884</v>
      </c>
      <c r="AL180" s="29">
        <f t="shared" ca="1" si="149"/>
        <v>5745426.1904761884</v>
      </c>
      <c r="AM180" s="29">
        <f t="shared" ca="1" si="149"/>
        <v>3526761.904761903</v>
      </c>
      <c r="AN180" s="29">
        <f t="shared" ca="1" si="149"/>
        <v>3526761.904761903</v>
      </c>
      <c r="AO180" s="29">
        <f t="shared" ca="1" si="149"/>
        <v>3526761.904761903</v>
      </c>
      <c r="AP180" s="29">
        <f t="shared" ca="1" si="149"/>
        <v>3526761.904761903</v>
      </c>
      <c r="AQ180" s="29">
        <f t="shared" ca="1" si="149"/>
        <v>4260364.2857142845</v>
      </c>
      <c r="AR180" s="29">
        <f t="shared" ca="1" si="149"/>
        <v>4260364.2857142845</v>
      </c>
      <c r="AS180" s="29">
        <f t="shared" ca="1" si="149"/>
        <v>4260364.2857142845</v>
      </c>
      <c r="AT180" s="29">
        <f t="shared" ca="1" si="149"/>
        <v>4260364.2857142845</v>
      </c>
      <c r="AU180" s="29">
        <f t="shared" ca="1" si="149"/>
        <v>0</v>
      </c>
      <c r="AV180" s="29">
        <f t="shared" ca="1" si="149"/>
        <v>0</v>
      </c>
      <c r="AW180" s="29">
        <f t="shared" ca="1" si="149"/>
        <v>0</v>
      </c>
      <c r="AX180" s="29">
        <f t="shared" ca="1" si="149"/>
        <v>0</v>
      </c>
      <c r="AY180" s="29">
        <f t="shared" ca="1" si="149"/>
        <v>0</v>
      </c>
      <c r="AZ180" s="29">
        <f t="shared" ca="1" si="149"/>
        <v>0</v>
      </c>
      <c r="BA180" s="29">
        <f t="shared" ca="1" si="149"/>
        <v>0</v>
      </c>
      <c r="BB180" s="29">
        <f t="shared" ca="1" si="149"/>
        <v>0</v>
      </c>
      <c r="BC180" s="29">
        <f t="shared" ca="1" si="149"/>
        <v>0</v>
      </c>
      <c r="BD180" s="29">
        <f t="shared" ca="1" si="149"/>
        <v>0</v>
      </c>
      <c r="BE180" s="29">
        <f t="shared" ca="1" si="149"/>
        <v>0</v>
      </c>
      <c r="BF180" s="29">
        <f t="shared" ca="1" si="149"/>
        <v>0</v>
      </c>
      <c r="BG180" s="29">
        <f t="shared" ca="1" si="149"/>
        <v>0</v>
      </c>
      <c r="BH180" s="29">
        <f t="shared" ca="1" si="149"/>
        <v>0</v>
      </c>
      <c r="BI180" s="29">
        <f t="shared" ca="1" si="149"/>
        <v>0</v>
      </c>
      <c r="BJ180" s="29">
        <f t="shared" ca="1" si="149"/>
        <v>0</v>
      </c>
      <c r="BK180" s="29">
        <f t="shared" ca="1" si="149"/>
        <v>0</v>
      </c>
      <c r="BL180" s="29">
        <f t="shared" ca="1" si="149"/>
        <v>0</v>
      </c>
      <c r="BM180" s="29">
        <f t="shared" ca="1" si="149"/>
        <v>0</v>
      </c>
      <c r="BN180" s="29">
        <f t="shared" ca="1" si="149"/>
        <v>0</v>
      </c>
      <c r="BO180" s="29">
        <f t="shared" ca="1" si="149"/>
        <v>0</v>
      </c>
      <c r="BP180" s="29">
        <f t="shared" ca="1" si="149"/>
        <v>0</v>
      </c>
      <c r="BQ180" s="29">
        <f t="shared" ca="1" si="149"/>
        <v>0</v>
      </c>
      <c r="BR180" s="29">
        <f t="shared" ca="1" si="149"/>
        <v>0</v>
      </c>
      <c r="BS180" s="29">
        <f t="shared" ca="1" si="149"/>
        <v>0</v>
      </c>
      <c r="BT180" s="29">
        <f t="shared" ca="1" si="149"/>
        <v>0</v>
      </c>
      <c r="BU180" s="29">
        <f t="shared" ca="1" si="149"/>
        <v>0</v>
      </c>
      <c r="BV180" s="29">
        <f t="shared" ca="1" si="149"/>
        <v>0</v>
      </c>
      <c r="BW180" s="29">
        <f t="shared" ca="1" si="149"/>
        <v>0</v>
      </c>
      <c r="BX180" s="29">
        <f t="shared" ca="1" si="149"/>
        <v>0</v>
      </c>
      <c r="BY180" s="29">
        <f t="shared" ca="1" si="149"/>
        <v>0</v>
      </c>
      <c r="BZ180" s="29">
        <f t="shared" ca="1" si="149"/>
        <v>0</v>
      </c>
      <c r="CA180" s="29">
        <f t="shared" ca="1" si="149"/>
        <v>0</v>
      </c>
      <c r="CB180" s="29">
        <f t="shared" ca="1" si="149"/>
        <v>0</v>
      </c>
      <c r="CC180" s="29">
        <f t="shared" ca="1" si="149"/>
        <v>0</v>
      </c>
      <c r="CD180" s="29">
        <f t="shared" ca="1" si="149"/>
        <v>0</v>
      </c>
      <c r="CE180" s="29">
        <f t="shared" ca="1" si="149"/>
        <v>0</v>
      </c>
      <c r="CF180" s="29">
        <f t="shared" si="149"/>
        <v>0</v>
      </c>
      <c r="CG180" s="29">
        <f t="shared" si="149"/>
        <v>0</v>
      </c>
      <c r="CH180" s="29">
        <f t="shared" si="149"/>
        <v>0</v>
      </c>
    </row>
    <row r="181" spans="1:86" ht="13" hidden="1" outlineLevel="1">
      <c r="B181" s="84">
        <f t="shared" si="73"/>
        <v>78</v>
      </c>
      <c r="C181" s="64">
        <f t="shared" ca="1" si="71"/>
        <v>0.40745330807232882</v>
      </c>
      <c r="D181" s="15" t="s">
        <v>238</v>
      </c>
      <c r="E181" s="29">
        <f t="shared" ca="1" si="61"/>
        <v>87213259.99999997</v>
      </c>
      <c r="F181" s="29"/>
      <c r="G181" s="29">
        <f t="shared" ref="G181:CH181" ca="1" si="150">IF(G$4&lt;=$B181,ABS(G$31)*-1+G$47,0)+IF($B181=G$4,G$81,0)</f>
        <v>-1444375</v>
      </c>
      <c r="H181" s="29">
        <f t="shared" ca="1" si="150"/>
        <v>-1344375</v>
      </c>
      <c r="I181" s="29">
        <f t="shared" ca="1" si="150"/>
        <v>-1344375</v>
      </c>
      <c r="J181" s="29">
        <f t="shared" ca="1" si="150"/>
        <v>-1344375</v>
      </c>
      <c r="K181" s="29">
        <f t="shared" ca="1" si="150"/>
        <v>-1344375</v>
      </c>
      <c r="L181" s="29">
        <f t="shared" ca="1" si="150"/>
        <v>-1344375</v>
      </c>
      <c r="M181" s="29">
        <f t="shared" ca="1" si="150"/>
        <v>-1344375</v>
      </c>
      <c r="N181" s="29">
        <f t="shared" ca="1" si="150"/>
        <v>-1344375</v>
      </c>
      <c r="O181" s="29">
        <f t="shared" ca="1" si="150"/>
        <v>-1344375</v>
      </c>
      <c r="P181" s="29">
        <f t="shared" ca="1" si="150"/>
        <v>-1344375</v>
      </c>
      <c r="Q181" s="29">
        <f t="shared" ca="1" si="150"/>
        <v>-1344375</v>
      </c>
      <c r="R181" s="29">
        <f t="shared" ca="1" si="150"/>
        <v>-1344375</v>
      </c>
      <c r="S181" s="29">
        <f t="shared" ca="1" si="150"/>
        <v>-372249.99999999953</v>
      </c>
      <c r="T181" s="29">
        <f t="shared" ca="1" si="150"/>
        <v>-372249.99999999953</v>
      </c>
      <c r="U181" s="29">
        <f t="shared" ca="1" si="150"/>
        <v>-372249.99999999953</v>
      </c>
      <c r="V181" s="29">
        <f t="shared" ca="1" si="150"/>
        <v>-372249.99999999953</v>
      </c>
      <c r="W181" s="29">
        <f t="shared" ca="1" si="150"/>
        <v>3345406.2500000009</v>
      </c>
      <c r="X181" s="29">
        <f t="shared" ca="1" si="150"/>
        <v>3345406.2500000009</v>
      </c>
      <c r="Y181" s="29">
        <f t="shared" ca="1" si="150"/>
        <v>2945950.5952380951</v>
      </c>
      <c r="Z181" s="29">
        <f t="shared" ca="1" si="150"/>
        <v>2915932.1428571437</v>
      </c>
      <c r="AA181" s="29">
        <f t="shared" ca="1" si="150"/>
        <v>2951646.4285714291</v>
      </c>
      <c r="AB181" s="29">
        <f t="shared" ca="1" si="150"/>
        <v>2951646.4285714291</v>
      </c>
      <c r="AC181" s="29">
        <f t="shared" ca="1" si="150"/>
        <v>2951646.4285714291</v>
      </c>
      <c r="AD181" s="29">
        <f t="shared" ca="1" si="150"/>
        <v>2951646.4285714291</v>
      </c>
      <c r="AE181" s="29">
        <f t="shared" ca="1" si="150"/>
        <v>6611317.3809523787</v>
      </c>
      <c r="AF181" s="29">
        <f t="shared" ca="1" si="150"/>
        <v>6611317.3809523787</v>
      </c>
      <c r="AG181" s="29">
        <f t="shared" ca="1" si="150"/>
        <v>6611317.3809523787</v>
      </c>
      <c r="AH181" s="29">
        <f t="shared" ca="1" si="150"/>
        <v>6611317.3809523787</v>
      </c>
      <c r="AI181" s="29">
        <f t="shared" ca="1" si="150"/>
        <v>5745426.1904761884</v>
      </c>
      <c r="AJ181" s="29">
        <f t="shared" ca="1" si="150"/>
        <v>5745426.1904761884</v>
      </c>
      <c r="AK181" s="29">
        <f t="shared" ca="1" si="150"/>
        <v>5745426.1904761884</v>
      </c>
      <c r="AL181" s="29">
        <f t="shared" ca="1" si="150"/>
        <v>5745426.1904761884</v>
      </c>
      <c r="AM181" s="29">
        <f t="shared" ca="1" si="150"/>
        <v>3526761.904761903</v>
      </c>
      <c r="AN181" s="29">
        <f t="shared" ca="1" si="150"/>
        <v>3526761.904761903</v>
      </c>
      <c r="AO181" s="29">
        <f t="shared" ca="1" si="150"/>
        <v>3526761.904761903</v>
      </c>
      <c r="AP181" s="29">
        <f t="shared" ca="1" si="150"/>
        <v>3526761.904761903</v>
      </c>
      <c r="AQ181" s="29">
        <f t="shared" ca="1" si="150"/>
        <v>4260364.2857142845</v>
      </c>
      <c r="AR181" s="29">
        <f t="shared" ca="1" si="150"/>
        <v>4260364.2857142845</v>
      </c>
      <c r="AS181" s="29">
        <f t="shared" ca="1" si="150"/>
        <v>4260364.2857142845</v>
      </c>
      <c r="AT181" s="29">
        <f t="shared" ca="1" si="150"/>
        <v>4260364.2857142845</v>
      </c>
      <c r="AU181" s="29">
        <f t="shared" ca="1" si="150"/>
        <v>0</v>
      </c>
      <c r="AV181" s="29">
        <f t="shared" ca="1" si="150"/>
        <v>0</v>
      </c>
      <c r="AW181" s="29">
        <f t="shared" ca="1" si="150"/>
        <v>0</v>
      </c>
      <c r="AX181" s="29">
        <f t="shared" ca="1" si="150"/>
        <v>0</v>
      </c>
      <c r="AY181" s="29">
        <f t="shared" ca="1" si="150"/>
        <v>0</v>
      </c>
      <c r="AZ181" s="29">
        <f t="shared" ca="1" si="150"/>
        <v>0</v>
      </c>
      <c r="BA181" s="29">
        <f t="shared" ca="1" si="150"/>
        <v>0</v>
      </c>
      <c r="BB181" s="29">
        <f t="shared" ca="1" si="150"/>
        <v>0</v>
      </c>
      <c r="BC181" s="29">
        <f t="shared" ca="1" si="150"/>
        <v>0</v>
      </c>
      <c r="BD181" s="29">
        <f t="shared" ca="1" si="150"/>
        <v>0</v>
      </c>
      <c r="BE181" s="29">
        <f t="shared" ca="1" si="150"/>
        <v>0</v>
      </c>
      <c r="BF181" s="29">
        <f t="shared" ca="1" si="150"/>
        <v>0</v>
      </c>
      <c r="BG181" s="29">
        <f t="shared" ca="1" si="150"/>
        <v>0</v>
      </c>
      <c r="BH181" s="29">
        <f t="shared" ca="1" si="150"/>
        <v>0</v>
      </c>
      <c r="BI181" s="29">
        <f t="shared" ca="1" si="150"/>
        <v>0</v>
      </c>
      <c r="BJ181" s="29">
        <f t="shared" ca="1" si="150"/>
        <v>0</v>
      </c>
      <c r="BK181" s="29">
        <f t="shared" ca="1" si="150"/>
        <v>0</v>
      </c>
      <c r="BL181" s="29">
        <f t="shared" ca="1" si="150"/>
        <v>0</v>
      </c>
      <c r="BM181" s="29">
        <f t="shared" ca="1" si="150"/>
        <v>0</v>
      </c>
      <c r="BN181" s="29">
        <f t="shared" ca="1" si="150"/>
        <v>0</v>
      </c>
      <c r="BO181" s="29">
        <f t="shared" ca="1" si="150"/>
        <v>0</v>
      </c>
      <c r="BP181" s="29">
        <f t="shared" ca="1" si="150"/>
        <v>0</v>
      </c>
      <c r="BQ181" s="29">
        <f t="shared" ca="1" si="150"/>
        <v>0</v>
      </c>
      <c r="BR181" s="29">
        <f t="shared" ca="1" si="150"/>
        <v>0</v>
      </c>
      <c r="BS181" s="29">
        <f t="shared" ca="1" si="150"/>
        <v>0</v>
      </c>
      <c r="BT181" s="29">
        <f t="shared" ca="1" si="150"/>
        <v>0</v>
      </c>
      <c r="BU181" s="29">
        <f t="shared" ca="1" si="150"/>
        <v>0</v>
      </c>
      <c r="BV181" s="29">
        <f t="shared" ca="1" si="150"/>
        <v>0</v>
      </c>
      <c r="BW181" s="29">
        <f t="shared" ca="1" si="150"/>
        <v>0</v>
      </c>
      <c r="BX181" s="29">
        <f t="shared" ca="1" si="150"/>
        <v>0</v>
      </c>
      <c r="BY181" s="29">
        <f t="shared" ca="1" si="150"/>
        <v>0</v>
      </c>
      <c r="BZ181" s="29">
        <f t="shared" ca="1" si="150"/>
        <v>0</v>
      </c>
      <c r="CA181" s="29">
        <f t="shared" ca="1" si="150"/>
        <v>0</v>
      </c>
      <c r="CB181" s="29">
        <f t="shared" ca="1" si="150"/>
        <v>0</v>
      </c>
      <c r="CC181" s="29">
        <f t="shared" ca="1" si="150"/>
        <v>0</v>
      </c>
      <c r="CD181" s="29">
        <f t="shared" ca="1" si="150"/>
        <v>0</v>
      </c>
      <c r="CE181" s="29">
        <f t="shared" ca="1" si="150"/>
        <v>0</v>
      </c>
      <c r="CF181" s="29">
        <f t="shared" ca="1" si="150"/>
        <v>0</v>
      </c>
      <c r="CG181" s="29">
        <f t="shared" si="150"/>
        <v>0</v>
      </c>
      <c r="CH181" s="29">
        <f t="shared" si="150"/>
        <v>0</v>
      </c>
    </row>
    <row r="182" spans="1:86" ht="13" hidden="1" outlineLevel="1">
      <c r="B182" s="84">
        <f t="shared" si="73"/>
        <v>79</v>
      </c>
      <c r="C182" s="64">
        <f t="shared" ca="1" si="71"/>
        <v>0.40745330807232882</v>
      </c>
      <c r="D182" s="15" t="s">
        <v>238</v>
      </c>
      <c r="E182" s="29">
        <f t="shared" ca="1" si="61"/>
        <v>87213259.99999997</v>
      </c>
      <c r="F182" s="29"/>
      <c r="G182" s="29">
        <f t="shared" ref="G182:CH182" ca="1" si="151">IF(G$4&lt;=$B182,ABS(G$31)*-1+G$47,0)+IF($B182=G$4,G$81,0)</f>
        <v>-1444375</v>
      </c>
      <c r="H182" s="29">
        <f t="shared" ca="1" si="151"/>
        <v>-1344375</v>
      </c>
      <c r="I182" s="29">
        <f t="shared" ca="1" si="151"/>
        <v>-1344375</v>
      </c>
      <c r="J182" s="29">
        <f t="shared" ca="1" si="151"/>
        <v>-1344375</v>
      </c>
      <c r="K182" s="29">
        <f t="shared" ca="1" si="151"/>
        <v>-1344375</v>
      </c>
      <c r="L182" s="29">
        <f t="shared" ca="1" si="151"/>
        <v>-1344375</v>
      </c>
      <c r="M182" s="29">
        <f t="shared" ca="1" si="151"/>
        <v>-1344375</v>
      </c>
      <c r="N182" s="29">
        <f t="shared" ca="1" si="151"/>
        <v>-1344375</v>
      </c>
      <c r="O182" s="29">
        <f t="shared" ca="1" si="151"/>
        <v>-1344375</v>
      </c>
      <c r="P182" s="29">
        <f t="shared" ca="1" si="151"/>
        <v>-1344375</v>
      </c>
      <c r="Q182" s="29">
        <f t="shared" ca="1" si="151"/>
        <v>-1344375</v>
      </c>
      <c r="R182" s="29">
        <f t="shared" ca="1" si="151"/>
        <v>-1344375</v>
      </c>
      <c r="S182" s="29">
        <f t="shared" ca="1" si="151"/>
        <v>-372249.99999999953</v>
      </c>
      <c r="T182" s="29">
        <f t="shared" ca="1" si="151"/>
        <v>-372249.99999999953</v>
      </c>
      <c r="U182" s="29">
        <f t="shared" ca="1" si="151"/>
        <v>-372249.99999999953</v>
      </c>
      <c r="V182" s="29">
        <f t="shared" ca="1" si="151"/>
        <v>-372249.99999999953</v>
      </c>
      <c r="W182" s="29">
        <f t="shared" ca="1" si="151"/>
        <v>3345406.2500000009</v>
      </c>
      <c r="X182" s="29">
        <f t="shared" ca="1" si="151"/>
        <v>3345406.2500000009</v>
      </c>
      <c r="Y182" s="29">
        <f t="shared" ca="1" si="151"/>
        <v>2945950.5952380951</v>
      </c>
      <c r="Z182" s="29">
        <f t="shared" ca="1" si="151"/>
        <v>2915932.1428571437</v>
      </c>
      <c r="AA182" s="29">
        <f t="shared" ca="1" si="151"/>
        <v>2951646.4285714291</v>
      </c>
      <c r="AB182" s="29">
        <f t="shared" ca="1" si="151"/>
        <v>2951646.4285714291</v>
      </c>
      <c r="AC182" s="29">
        <f t="shared" ca="1" si="151"/>
        <v>2951646.4285714291</v>
      </c>
      <c r="AD182" s="29">
        <f t="shared" ca="1" si="151"/>
        <v>2951646.4285714291</v>
      </c>
      <c r="AE182" s="29">
        <f t="shared" ca="1" si="151"/>
        <v>6611317.3809523787</v>
      </c>
      <c r="AF182" s="29">
        <f t="shared" ca="1" si="151"/>
        <v>6611317.3809523787</v>
      </c>
      <c r="AG182" s="29">
        <f t="shared" ca="1" si="151"/>
        <v>6611317.3809523787</v>
      </c>
      <c r="AH182" s="29">
        <f t="shared" ca="1" si="151"/>
        <v>6611317.3809523787</v>
      </c>
      <c r="AI182" s="29">
        <f t="shared" ca="1" si="151"/>
        <v>5745426.1904761884</v>
      </c>
      <c r="AJ182" s="29">
        <f t="shared" ca="1" si="151"/>
        <v>5745426.1904761884</v>
      </c>
      <c r="AK182" s="29">
        <f t="shared" ca="1" si="151"/>
        <v>5745426.1904761884</v>
      </c>
      <c r="AL182" s="29">
        <f t="shared" ca="1" si="151"/>
        <v>5745426.1904761884</v>
      </c>
      <c r="AM182" s="29">
        <f t="shared" ca="1" si="151"/>
        <v>3526761.904761903</v>
      </c>
      <c r="AN182" s="29">
        <f t="shared" ca="1" si="151"/>
        <v>3526761.904761903</v>
      </c>
      <c r="AO182" s="29">
        <f t="shared" ca="1" si="151"/>
        <v>3526761.904761903</v>
      </c>
      <c r="AP182" s="29">
        <f t="shared" ca="1" si="151"/>
        <v>3526761.904761903</v>
      </c>
      <c r="AQ182" s="29">
        <f t="shared" ca="1" si="151"/>
        <v>4260364.2857142845</v>
      </c>
      <c r="AR182" s="29">
        <f t="shared" ca="1" si="151"/>
        <v>4260364.2857142845</v>
      </c>
      <c r="AS182" s="29">
        <f t="shared" ca="1" si="151"/>
        <v>4260364.2857142845</v>
      </c>
      <c r="AT182" s="29">
        <f t="shared" ca="1" si="151"/>
        <v>4260364.2857142845</v>
      </c>
      <c r="AU182" s="29">
        <f t="shared" ca="1" si="151"/>
        <v>0</v>
      </c>
      <c r="AV182" s="29">
        <f t="shared" ca="1" si="151"/>
        <v>0</v>
      </c>
      <c r="AW182" s="29">
        <f t="shared" ca="1" si="151"/>
        <v>0</v>
      </c>
      <c r="AX182" s="29">
        <f t="shared" ca="1" si="151"/>
        <v>0</v>
      </c>
      <c r="AY182" s="29">
        <f t="shared" ca="1" si="151"/>
        <v>0</v>
      </c>
      <c r="AZ182" s="29">
        <f t="shared" ca="1" si="151"/>
        <v>0</v>
      </c>
      <c r="BA182" s="29">
        <f t="shared" ca="1" si="151"/>
        <v>0</v>
      </c>
      <c r="BB182" s="29">
        <f t="shared" ca="1" si="151"/>
        <v>0</v>
      </c>
      <c r="BC182" s="29">
        <f t="shared" ca="1" si="151"/>
        <v>0</v>
      </c>
      <c r="BD182" s="29">
        <f t="shared" ca="1" si="151"/>
        <v>0</v>
      </c>
      <c r="BE182" s="29">
        <f t="shared" ca="1" si="151"/>
        <v>0</v>
      </c>
      <c r="BF182" s="29">
        <f t="shared" ca="1" si="151"/>
        <v>0</v>
      </c>
      <c r="BG182" s="29">
        <f t="shared" ca="1" si="151"/>
        <v>0</v>
      </c>
      <c r="BH182" s="29">
        <f t="shared" ca="1" si="151"/>
        <v>0</v>
      </c>
      <c r="BI182" s="29">
        <f t="shared" ca="1" si="151"/>
        <v>0</v>
      </c>
      <c r="BJ182" s="29">
        <f t="shared" ca="1" si="151"/>
        <v>0</v>
      </c>
      <c r="BK182" s="29">
        <f t="shared" ca="1" si="151"/>
        <v>0</v>
      </c>
      <c r="BL182" s="29">
        <f t="shared" ca="1" si="151"/>
        <v>0</v>
      </c>
      <c r="BM182" s="29">
        <f t="shared" ca="1" si="151"/>
        <v>0</v>
      </c>
      <c r="BN182" s="29">
        <f t="shared" ca="1" si="151"/>
        <v>0</v>
      </c>
      <c r="BO182" s="29">
        <f t="shared" ca="1" si="151"/>
        <v>0</v>
      </c>
      <c r="BP182" s="29">
        <f t="shared" ca="1" si="151"/>
        <v>0</v>
      </c>
      <c r="BQ182" s="29">
        <f t="shared" ca="1" si="151"/>
        <v>0</v>
      </c>
      <c r="BR182" s="29">
        <f t="shared" ca="1" si="151"/>
        <v>0</v>
      </c>
      <c r="BS182" s="29">
        <f t="shared" ca="1" si="151"/>
        <v>0</v>
      </c>
      <c r="BT182" s="29">
        <f t="shared" ca="1" si="151"/>
        <v>0</v>
      </c>
      <c r="BU182" s="29">
        <f t="shared" ca="1" si="151"/>
        <v>0</v>
      </c>
      <c r="BV182" s="29">
        <f t="shared" ca="1" si="151"/>
        <v>0</v>
      </c>
      <c r="BW182" s="29">
        <f t="shared" ca="1" si="151"/>
        <v>0</v>
      </c>
      <c r="BX182" s="29">
        <f t="shared" ca="1" si="151"/>
        <v>0</v>
      </c>
      <c r="BY182" s="29">
        <f t="shared" ca="1" si="151"/>
        <v>0</v>
      </c>
      <c r="BZ182" s="29">
        <f t="shared" ca="1" si="151"/>
        <v>0</v>
      </c>
      <c r="CA182" s="29">
        <f t="shared" ca="1" si="151"/>
        <v>0</v>
      </c>
      <c r="CB182" s="29">
        <f t="shared" ca="1" si="151"/>
        <v>0</v>
      </c>
      <c r="CC182" s="29">
        <f t="shared" ca="1" si="151"/>
        <v>0</v>
      </c>
      <c r="CD182" s="29">
        <f t="shared" ca="1" si="151"/>
        <v>0</v>
      </c>
      <c r="CE182" s="29">
        <f t="shared" ca="1" si="151"/>
        <v>0</v>
      </c>
      <c r="CF182" s="29">
        <f t="shared" ca="1" si="151"/>
        <v>0</v>
      </c>
      <c r="CG182" s="29">
        <f t="shared" ca="1" si="151"/>
        <v>0</v>
      </c>
      <c r="CH182" s="29">
        <f t="shared" si="151"/>
        <v>0</v>
      </c>
    </row>
    <row r="183" spans="1:86" ht="13" hidden="1" outlineLevel="1">
      <c r="B183" s="84">
        <f t="shared" si="73"/>
        <v>80</v>
      </c>
      <c r="C183" s="64">
        <f t="shared" ca="1" si="71"/>
        <v>0.40745330807232882</v>
      </c>
      <c r="D183" s="15" t="s">
        <v>238</v>
      </c>
      <c r="E183" s="29">
        <f t="shared" ca="1" si="61"/>
        <v>87213259.99999997</v>
      </c>
      <c r="F183" s="29"/>
      <c r="G183" s="29">
        <f t="shared" ref="G183:CH183" ca="1" si="152">IF(G$4&lt;=$B183,ABS(G$31)*-1+G$47,0)+IF($B183=G$4,G$81,0)</f>
        <v>-1444375</v>
      </c>
      <c r="H183" s="29">
        <f t="shared" ca="1" si="152"/>
        <v>-1344375</v>
      </c>
      <c r="I183" s="29">
        <f t="shared" ca="1" si="152"/>
        <v>-1344375</v>
      </c>
      <c r="J183" s="29">
        <f t="shared" ca="1" si="152"/>
        <v>-1344375</v>
      </c>
      <c r="K183" s="29">
        <f t="shared" ca="1" si="152"/>
        <v>-1344375</v>
      </c>
      <c r="L183" s="29">
        <f t="shared" ca="1" si="152"/>
        <v>-1344375</v>
      </c>
      <c r="M183" s="29">
        <f t="shared" ca="1" si="152"/>
        <v>-1344375</v>
      </c>
      <c r="N183" s="29">
        <f t="shared" ca="1" si="152"/>
        <v>-1344375</v>
      </c>
      <c r="O183" s="29">
        <f t="shared" ca="1" si="152"/>
        <v>-1344375</v>
      </c>
      <c r="P183" s="29">
        <f t="shared" ca="1" si="152"/>
        <v>-1344375</v>
      </c>
      <c r="Q183" s="29">
        <f t="shared" ca="1" si="152"/>
        <v>-1344375</v>
      </c>
      <c r="R183" s="29">
        <f t="shared" ca="1" si="152"/>
        <v>-1344375</v>
      </c>
      <c r="S183" s="29">
        <f t="shared" ca="1" si="152"/>
        <v>-372249.99999999953</v>
      </c>
      <c r="T183" s="29">
        <f t="shared" ca="1" si="152"/>
        <v>-372249.99999999953</v>
      </c>
      <c r="U183" s="29">
        <f t="shared" ca="1" si="152"/>
        <v>-372249.99999999953</v>
      </c>
      <c r="V183" s="29">
        <f t="shared" ca="1" si="152"/>
        <v>-372249.99999999953</v>
      </c>
      <c r="W183" s="29">
        <f t="shared" ca="1" si="152"/>
        <v>3345406.2500000009</v>
      </c>
      <c r="X183" s="29">
        <f t="shared" ca="1" si="152"/>
        <v>3345406.2500000009</v>
      </c>
      <c r="Y183" s="29">
        <f t="shared" ca="1" si="152"/>
        <v>2945950.5952380951</v>
      </c>
      <c r="Z183" s="29">
        <f t="shared" ca="1" si="152"/>
        <v>2915932.1428571437</v>
      </c>
      <c r="AA183" s="29">
        <f t="shared" ca="1" si="152"/>
        <v>2951646.4285714291</v>
      </c>
      <c r="AB183" s="29">
        <f t="shared" ca="1" si="152"/>
        <v>2951646.4285714291</v>
      </c>
      <c r="AC183" s="29">
        <f t="shared" ca="1" si="152"/>
        <v>2951646.4285714291</v>
      </c>
      <c r="AD183" s="29">
        <f t="shared" ca="1" si="152"/>
        <v>2951646.4285714291</v>
      </c>
      <c r="AE183" s="29">
        <f t="shared" ca="1" si="152"/>
        <v>6611317.3809523787</v>
      </c>
      <c r="AF183" s="29">
        <f t="shared" ca="1" si="152"/>
        <v>6611317.3809523787</v>
      </c>
      <c r="AG183" s="29">
        <f t="shared" ca="1" si="152"/>
        <v>6611317.3809523787</v>
      </c>
      <c r="AH183" s="29">
        <f t="shared" ca="1" si="152"/>
        <v>6611317.3809523787</v>
      </c>
      <c r="AI183" s="29">
        <f t="shared" ca="1" si="152"/>
        <v>5745426.1904761884</v>
      </c>
      <c r="AJ183" s="29">
        <f t="shared" ca="1" si="152"/>
        <v>5745426.1904761884</v>
      </c>
      <c r="AK183" s="29">
        <f t="shared" ca="1" si="152"/>
        <v>5745426.1904761884</v>
      </c>
      <c r="AL183" s="29">
        <f t="shared" ca="1" si="152"/>
        <v>5745426.1904761884</v>
      </c>
      <c r="AM183" s="29">
        <f t="shared" ca="1" si="152"/>
        <v>3526761.904761903</v>
      </c>
      <c r="AN183" s="29">
        <f t="shared" ca="1" si="152"/>
        <v>3526761.904761903</v>
      </c>
      <c r="AO183" s="29">
        <f t="shared" ca="1" si="152"/>
        <v>3526761.904761903</v>
      </c>
      <c r="AP183" s="29">
        <f t="shared" ca="1" si="152"/>
        <v>3526761.904761903</v>
      </c>
      <c r="AQ183" s="29">
        <f t="shared" ca="1" si="152"/>
        <v>4260364.2857142845</v>
      </c>
      <c r="AR183" s="29">
        <f t="shared" ca="1" si="152"/>
        <v>4260364.2857142845</v>
      </c>
      <c r="AS183" s="29">
        <f t="shared" ca="1" si="152"/>
        <v>4260364.2857142845</v>
      </c>
      <c r="AT183" s="29">
        <f t="shared" ca="1" si="152"/>
        <v>4260364.2857142845</v>
      </c>
      <c r="AU183" s="29">
        <f t="shared" ca="1" si="152"/>
        <v>0</v>
      </c>
      <c r="AV183" s="29">
        <f t="shared" ca="1" si="152"/>
        <v>0</v>
      </c>
      <c r="AW183" s="29">
        <f t="shared" ca="1" si="152"/>
        <v>0</v>
      </c>
      <c r="AX183" s="29">
        <f t="shared" ca="1" si="152"/>
        <v>0</v>
      </c>
      <c r="AY183" s="29">
        <f t="shared" ca="1" si="152"/>
        <v>0</v>
      </c>
      <c r="AZ183" s="29">
        <f t="shared" ca="1" si="152"/>
        <v>0</v>
      </c>
      <c r="BA183" s="29">
        <f t="shared" ca="1" si="152"/>
        <v>0</v>
      </c>
      <c r="BB183" s="29">
        <f t="shared" ca="1" si="152"/>
        <v>0</v>
      </c>
      <c r="BC183" s="29">
        <f t="shared" ca="1" si="152"/>
        <v>0</v>
      </c>
      <c r="BD183" s="29">
        <f t="shared" ca="1" si="152"/>
        <v>0</v>
      </c>
      <c r="BE183" s="29">
        <f t="shared" ca="1" si="152"/>
        <v>0</v>
      </c>
      <c r="BF183" s="29">
        <f t="shared" ca="1" si="152"/>
        <v>0</v>
      </c>
      <c r="BG183" s="29">
        <f t="shared" ca="1" si="152"/>
        <v>0</v>
      </c>
      <c r="BH183" s="29">
        <f t="shared" ca="1" si="152"/>
        <v>0</v>
      </c>
      <c r="BI183" s="29">
        <f t="shared" ca="1" si="152"/>
        <v>0</v>
      </c>
      <c r="BJ183" s="29">
        <f t="shared" ca="1" si="152"/>
        <v>0</v>
      </c>
      <c r="BK183" s="29">
        <f t="shared" ca="1" si="152"/>
        <v>0</v>
      </c>
      <c r="BL183" s="29">
        <f t="shared" ca="1" si="152"/>
        <v>0</v>
      </c>
      <c r="BM183" s="29">
        <f t="shared" ca="1" si="152"/>
        <v>0</v>
      </c>
      <c r="BN183" s="29">
        <f t="shared" ca="1" si="152"/>
        <v>0</v>
      </c>
      <c r="BO183" s="29">
        <f t="shared" ca="1" si="152"/>
        <v>0</v>
      </c>
      <c r="BP183" s="29">
        <f t="shared" ca="1" si="152"/>
        <v>0</v>
      </c>
      <c r="BQ183" s="29">
        <f t="shared" ca="1" si="152"/>
        <v>0</v>
      </c>
      <c r="BR183" s="29">
        <f t="shared" ca="1" si="152"/>
        <v>0</v>
      </c>
      <c r="BS183" s="29">
        <f t="shared" ca="1" si="152"/>
        <v>0</v>
      </c>
      <c r="BT183" s="29">
        <f t="shared" ca="1" si="152"/>
        <v>0</v>
      </c>
      <c r="BU183" s="29">
        <f t="shared" ca="1" si="152"/>
        <v>0</v>
      </c>
      <c r="BV183" s="29">
        <f t="shared" ca="1" si="152"/>
        <v>0</v>
      </c>
      <c r="BW183" s="29">
        <f t="shared" ca="1" si="152"/>
        <v>0</v>
      </c>
      <c r="BX183" s="29">
        <f t="shared" ca="1" si="152"/>
        <v>0</v>
      </c>
      <c r="BY183" s="29">
        <f t="shared" ca="1" si="152"/>
        <v>0</v>
      </c>
      <c r="BZ183" s="29">
        <f t="shared" ca="1" si="152"/>
        <v>0</v>
      </c>
      <c r="CA183" s="29">
        <f t="shared" ca="1" si="152"/>
        <v>0</v>
      </c>
      <c r="CB183" s="29">
        <f t="shared" ca="1" si="152"/>
        <v>0</v>
      </c>
      <c r="CC183" s="29">
        <f t="shared" ca="1" si="152"/>
        <v>0</v>
      </c>
      <c r="CD183" s="29">
        <f t="shared" ca="1" si="152"/>
        <v>0</v>
      </c>
      <c r="CE183" s="29">
        <f t="shared" ca="1" si="152"/>
        <v>0</v>
      </c>
      <c r="CF183" s="29">
        <f t="shared" ca="1" si="152"/>
        <v>0</v>
      </c>
      <c r="CG183" s="29">
        <f t="shared" ca="1" si="152"/>
        <v>0</v>
      </c>
      <c r="CH183" s="29">
        <f t="shared" ca="1" si="152"/>
        <v>0</v>
      </c>
    </row>
    <row r="184" spans="1:86" ht="13">
      <c r="A184" s="13"/>
      <c r="B184" s="13" t="s">
        <v>298</v>
      </c>
      <c r="C184" s="13" t="s">
        <v>299</v>
      </c>
      <c r="D184" s="13" t="s">
        <v>247</v>
      </c>
      <c r="E184" s="52">
        <f t="shared" ca="1" si="61"/>
        <v>6.6779999999999999</v>
      </c>
      <c r="F184" s="48"/>
      <c r="G184" s="52">
        <f t="shared" ref="G184:CH184" ca="1" si="153">IFERROR((G81+G72)/G67,0)</f>
        <v>1</v>
      </c>
      <c r="H184" s="52">
        <f t="shared" ca="1" si="153"/>
        <v>1</v>
      </c>
      <c r="I184" s="52">
        <f t="shared" ca="1" si="153"/>
        <v>1</v>
      </c>
      <c r="J184" s="52">
        <f t="shared" ca="1" si="153"/>
        <v>1</v>
      </c>
      <c r="K184" s="52">
        <f t="shared" ca="1" si="153"/>
        <v>1</v>
      </c>
      <c r="L184" s="52">
        <f t="shared" ca="1" si="153"/>
        <v>1</v>
      </c>
      <c r="M184" s="52">
        <f t="shared" ca="1" si="153"/>
        <v>1</v>
      </c>
      <c r="N184" s="52">
        <f t="shared" ca="1" si="153"/>
        <v>1</v>
      </c>
      <c r="O184" s="52">
        <f t="shared" ca="1" si="153"/>
        <v>1.0306805465375368</v>
      </c>
      <c r="P184" s="52">
        <f t="shared" ca="1" si="153"/>
        <v>1.059498763859458</v>
      </c>
      <c r="Q184" s="52">
        <f t="shared" ca="1" si="153"/>
        <v>1.0869625599336588</v>
      </c>
      <c r="R184" s="52">
        <f t="shared" ca="1" si="153"/>
        <v>1.1134105400720693</v>
      </c>
      <c r="S184" s="52">
        <f t="shared" ca="1" si="153"/>
        <v>1.1509511262255432</v>
      </c>
      <c r="T184" s="52">
        <f t="shared" ca="1" si="153"/>
        <v>1.1852028508616963</v>
      </c>
      <c r="U184" s="52">
        <f t="shared" ca="1" si="153"/>
        <v>1.2169246820229871</v>
      </c>
      <c r="V184" s="52">
        <f t="shared" ca="1" si="153"/>
        <v>1.2466587397397437</v>
      </c>
      <c r="W184" s="52">
        <f t="shared" ca="1" si="153"/>
        <v>1.3782900965191596</v>
      </c>
      <c r="X184" s="52">
        <f t="shared" ca="1" si="153"/>
        <v>1.504197640675506</v>
      </c>
      <c r="Y184" s="52">
        <f t="shared" ca="1" si="153"/>
        <v>1.6243813722087828</v>
      </c>
      <c r="Z184" s="52">
        <f t="shared" ca="1" si="153"/>
        <v>1.7388412911189901</v>
      </c>
      <c r="AA184" s="52">
        <f t="shared" ca="1" si="153"/>
        <v>1.8400529527550662</v>
      </c>
      <c r="AB184" s="52">
        <f t="shared" ca="1" si="153"/>
        <v>1.9347776267516639</v>
      </c>
      <c r="AC184" s="52">
        <f t="shared" ca="1" si="153"/>
        <v>2.0230153131087829</v>
      </c>
      <c r="AD184" s="52">
        <f t="shared" ca="1" si="153"/>
        <v>2.1047660118264231</v>
      </c>
      <c r="AE184" s="52">
        <f t="shared" ca="1" si="153"/>
        <v>2.427420883001334</v>
      </c>
      <c r="AF184" s="52">
        <f t="shared" ca="1" si="153"/>
        <v>2.7472774457827445</v>
      </c>
      <c r="AG184" s="52">
        <f t="shared" ca="1" si="153"/>
        <v>3.0643357001706546</v>
      </c>
      <c r="AH184" s="52">
        <f t="shared" ca="1" si="153"/>
        <v>3.3785956461650639</v>
      </c>
      <c r="AI184" s="52">
        <f t="shared" ca="1" si="153"/>
        <v>3.6951730817525195</v>
      </c>
      <c r="AJ184" s="52">
        <f t="shared" ca="1" si="153"/>
        <v>4.0103513631432248</v>
      </c>
      <c r="AK184" s="52">
        <f t="shared" ca="1" si="153"/>
        <v>4.32413049033718</v>
      </c>
      <c r="AL184" s="52">
        <f t="shared" ca="1" si="153"/>
        <v>4.6365104633343845</v>
      </c>
      <c r="AM184" s="52">
        <f t="shared" ca="1" si="153"/>
        <v>4.8422817174002288</v>
      </c>
      <c r="AN184" s="52">
        <f t="shared" ca="1" si="153"/>
        <v>5.047416992285731</v>
      </c>
      <c r="AO184" s="52">
        <f t="shared" ca="1" si="153"/>
        <v>5.2519162879908929</v>
      </c>
      <c r="AP184" s="52">
        <f t="shared" ca="1" si="153"/>
        <v>5.4557796045157128</v>
      </c>
      <c r="AQ184" s="52">
        <f t="shared" ca="1" si="153"/>
        <v>5.6990418693159608</v>
      </c>
      <c r="AR184" s="52">
        <f t="shared" ca="1" si="153"/>
        <v>5.9415409590997994</v>
      </c>
      <c r="AS184" s="52">
        <f t="shared" ca="1" si="153"/>
        <v>6.1832768738672286</v>
      </c>
      <c r="AT184" s="52">
        <f t="shared" ca="1" si="153"/>
        <v>6.6779999999999999</v>
      </c>
      <c r="AU184" s="52">
        <f t="shared" ca="1" si="153"/>
        <v>6.6779999999999999</v>
      </c>
      <c r="AV184" s="52">
        <f t="shared" ca="1" si="153"/>
        <v>6.6779999999999999</v>
      </c>
      <c r="AW184" s="52">
        <f t="shared" ca="1" si="153"/>
        <v>6.6779999999999999</v>
      </c>
      <c r="AX184" s="52">
        <f t="shared" ca="1" si="153"/>
        <v>6.6779999999999999</v>
      </c>
      <c r="AY184" s="52">
        <f t="shared" ca="1" si="153"/>
        <v>6.6779999999999999</v>
      </c>
      <c r="AZ184" s="52">
        <f t="shared" ca="1" si="153"/>
        <v>6.6779999999999999</v>
      </c>
      <c r="BA184" s="52">
        <f t="shared" ca="1" si="153"/>
        <v>6.6779999999999999</v>
      </c>
      <c r="BB184" s="52">
        <f t="shared" ca="1" si="153"/>
        <v>6.6779999999999999</v>
      </c>
      <c r="BC184" s="52">
        <f t="shared" ca="1" si="153"/>
        <v>6.6779999999999999</v>
      </c>
      <c r="BD184" s="52">
        <f t="shared" ca="1" si="153"/>
        <v>6.6779999999999999</v>
      </c>
      <c r="BE184" s="52">
        <f t="shared" ca="1" si="153"/>
        <v>6.6779999999999999</v>
      </c>
      <c r="BF184" s="52">
        <f t="shared" ca="1" si="153"/>
        <v>6.6779999999999999</v>
      </c>
      <c r="BG184" s="52">
        <f t="shared" ca="1" si="153"/>
        <v>6.6779999999999999</v>
      </c>
      <c r="BH184" s="52">
        <f t="shared" ca="1" si="153"/>
        <v>6.6779999999999999</v>
      </c>
      <c r="BI184" s="52">
        <f t="shared" ca="1" si="153"/>
        <v>6.6779999999999999</v>
      </c>
      <c r="BJ184" s="52">
        <f t="shared" ca="1" si="153"/>
        <v>6.6779999999999999</v>
      </c>
      <c r="BK184" s="52">
        <f t="shared" ca="1" si="153"/>
        <v>6.6779999999999999</v>
      </c>
      <c r="BL184" s="52">
        <f t="shared" ca="1" si="153"/>
        <v>6.6779999999999999</v>
      </c>
      <c r="BM184" s="52">
        <f t="shared" ca="1" si="153"/>
        <v>6.6779999999999999</v>
      </c>
      <c r="BN184" s="52">
        <f t="shared" ca="1" si="153"/>
        <v>6.6779999999999999</v>
      </c>
      <c r="BO184" s="52">
        <f t="shared" ca="1" si="153"/>
        <v>6.6779999999999999</v>
      </c>
      <c r="BP184" s="52">
        <f t="shared" ca="1" si="153"/>
        <v>6.6779999999999999</v>
      </c>
      <c r="BQ184" s="52">
        <f t="shared" ca="1" si="153"/>
        <v>6.6779999999999999</v>
      </c>
      <c r="BR184" s="52">
        <f t="shared" ca="1" si="153"/>
        <v>6.6779999999999999</v>
      </c>
      <c r="BS184" s="52">
        <f t="shared" ca="1" si="153"/>
        <v>6.6779999999999999</v>
      </c>
      <c r="BT184" s="52">
        <f t="shared" ca="1" si="153"/>
        <v>6.6779999999999999</v>
      </c>
      <c r="BU184" s="52">
        <f t="shared" ca="1" si="153"/>
        <v>6.6779999999999999</v>
      </c>
      <c r="BV184" s="52">
        <f t="shared" ca="1" si="153"/>
        <v>6.6779999999999999</v>
      </c>
      <c r="BW184" s="52">
        <f t="shared" ca="1" si="153"/>
        <v>6.6779999999999999</v>
      </c>
      <c r="BX184" s="52">
        <f t="shared" ca="1" si="153"/>
        <v>6.6779999999999999</v>
      </c>
      <c r="BY184" s="52">
        <f t="shared" ca="1" si="153"/>
        <v>6.6779999999999999</v>
      </c>
      <c r="BZ184" s="52">
        <f t="shared" ca="1" si="153"/>
        <v>6.6779999999999999</v>
      </c>
      <c r="CA184" s="52">
        <f t="shared" ca="1" si="153"/>
        <v>6.6779999999999999</v>
      </c>
      <c r="CB184" s="52">
        <f t="shared" ca="1" si="153"/>
        <v>6.6779999999999999</v>
      </c>
      <c r="CC184" s="52">
        <f t="shared" ca="1" si="153"/>
        <v>6.6779999999999999</v>
      </c>
      <c r="CD184" s="52">
        <f t="shared" ca="1" si="153"/>
        <v>6.6779999999999999</v>
      </c>
      <c r="CE184" s="52">
        <f t="shared" ca="1" si="153"/>
        <v>6.6779999999999999</v>
      </c>
      <c r="CF184" s="52">
        <f t="shared" ca="1" si="153"/>
        <v>6.6779999999999999</v>
      </c>
      <c r="CG184" s="52">
        <f t="shared" ca="1" si="153"/>
        <v>6.6779999999999999</v>
      </c>
      <c r="CH184" s="52">
        <f t="shared" ca="1" si="153"/>
        <v>6.6779999999999999</v>
      </c>
    </row>
    <row r="185" spans="1:86" ht="13">
      <c r="A185" s="13"/>
      <c r="B185" s="13" t="s">
        <v>300</v>
      </c>
      <c r="C185" s="13" t="s">
        <v>301</v>
      </c>
      <c r="D185" s="13" t="s">
        <v>247</v>
      </c>
      <c r="E185" s="52">
        <f t="shared" ca="1" si="61"/>
        <v>4.4885304000000001</v>
      </c>
      <c r="F185" s="48"/>
      <c r="G185" s="52">
        <f ca="1">IFERROR((IFERROR((G81-(MAX(0,(F81+G51+G50+G72-G71-G60))*'Get Started'!$E14-G75)),0)+G76)/G60,0)</f>
        <v>0.83297273907399394</v>
      </c>
      <c r="H185" s="52">
        <f ca="1">IFERROR((IFERROR((H81-(MAX(0,(G81+H51+H50+H72-H71-H60))*'Get Started'!$E14-H75)),0)+H76)/H60,0)</f>
        <v>0.86284177498879422</v>
      </c>
      <c r="I185" s="52">
        <f ca="1">IFERROR((IFERROR((I81-(MAX(0,(H81+I51+I50+I72-I71-I60))*'Get Started'!$E14-I75)),0)+I76)/I60,0)</f>
        <v>0.87327990322092852</v>
      </c>
      <c r="J185" s="52">
        <f ca="1">IFERROR((IFERROR((J81-(MAX(0,(I81+J51+J50+J72-J71-J60))*'Get Started'!$E14-J75)),0)+J76)/J60,0)</f>
        <v>0.87859424920127793</v>
      </c>
      <c r="K185" s="52">
        <f ca="1">IFERROR((IFERROR((K81-(MAX(0,(J81+K51+K50+K72-K71-K60))*'Get Started'!$E14-K75)),0)+K76)/K60,0)</f>
        <v>0.88181401740723775</v>
      </c>
      <c r="L185" s="52">
        <f ca="1">IFERROR((IFERROR((L81-(MAX(0,(K81+L51+L50+L72-L71-L60))*'Get Started'!$E14-L75)),0)+L76)/L60,0)</f>
        <v>0.88397367212612887</v>
      </c>
      <c r="M185" s="52">
        <f ca="1">IFERROR((IFERROR((M81-(MAX(0,(L81+M51+M50+M72-M71-M60))*'Get Started'!$E14-M75)),0)+M76)/M60,0)</f>
        <v>0.88552277058552931</v>
      </c>
      <c r="N185" s="52">
        <f ca="1">IFERROR((IFERROR((N81-(MAX(0,(M81+N51+N50+N72-N71-N60))*'Get Started'!$E14-N75)),0)+N76)/N60,0)</f>
        <v>0.88668816213726398</v>
      </c>
      <c r="O185" s="52">
        <f ca="1">IFERROR((IFERROR((O81-(MAX(0,(N81+O51+O50+O72-O71-O60))*'Get Started'!$E14-O75)),0)+O76)/O60,0)</f>
        <v>0.91482865253152434</v>
      </c>
      <c r="P185" s="52">
        <f ca="1">IFERROR((IFERROR((P81-(MAX(0,(O81+P51+P50+P72-P71-P60))*'Get Started'!$E14-P75)),0)+P76)/P60,0)</f>
        <v>0.94117910495129509</v>
      </c>
      <c r="Q185" s="52">
        <f ca="1">IFERROR((IFERROR((Q81-(MAX(0,(P81+Q51+Q50+Q72-Q71-Q60))*'Get Started'!$E14-Q75)),0)+Q76)/Q60,0)</f>
        <v>0.96622443250053414</v>
      </c>
      <c r="R185" s="52">
        <f ca="1">IFERROR((IFERROR((R81-(MAX(0,(Q81+R51+R50+R72-R71-R60))*'Get Started'!$E14-R75)),0)+R76)/R60,0)</f>
        <v>0.99028890634778999</v>
      </c>
      <c r="S185" s="52">
        <f ca="1">IFERROR((IFERROR((S81-(MAX(0,(R81+S51+S50+S72-S71-S60))*'Get Started'!$E14-S75)),0)+S76)/S60,0)</f>
        <v>1.0209840519828197</v>
      </c>
      <c r="T185" s="52">
        <f ca="1">IFERROR((IFERROR((T81-(MAX(0,(S81+T51+T50+T72-T71-T60))*'Get Started'!$E14-T75)),0)+T76)/T60,0)</f>
        <v>1.0478251443717044</v>
      </c>
      <c r="U185" s="52">
        <f ca="1">IFERROR((IFERROR((U81-(MAX(0,(T81+U51+U50+U72-U71-U60))*'Get Started'!$E14-U75)),0)+U76)/U60,0)</f>
        <v>1.0731348823722511</v>
      </c>
      <c r="V185" s="52">
        <f ca="1">IFERROR((IFERROR((V81-(MAX(0,(U81+V51+V50+V72-V71-V60))*'Get Started'!$E14-V75)),0)+V76)/V60,0)</f>
        <v>1.0971990662467215</v>
      </c>
      <c r="W185" s="52">
        <f ca="1">IFERROR((IFERROR((W81-(MAX(0,(V81+W51+W50+W72-W71-W60))*'Get Started'!$E14-W75)),0)+W76)/W60,0)</f>
        <v>1.1892282448463796</v>
      </c>
      <c r="X185" s="52">
        <f ca="1">IFERROR((IFERROR((X81-(MAX(0,(W81+X51+X50+X72-X71-X60))*'Get Started'!$E14-X75)),0)+X76)/X60,0)</f>
        <v>1.2758422222095662</v>
      </c>
      <c r="Y185" s="52">
        <f ca="1">IFERROR((IFERROR((Y81-(MAX(0,(X81+Y51+Y50+Y72-Y71-Y60))*'Get Started'!$E14-Y75)),0)+Y76)/Y60,0)</f>
        <v>1.3571451427294954</v>
      </c>
      <c r="Z185" s="52">
        <f ca="1">IFERROR((IFERROR((Z81-(MAX(0,(Y81+Z51+Z50+Z72-Z71-Z60))*'Get Started'!$E14-Z75)),0)+Z76)/Z60,0)</f>
        <v>1.4332384972894734</v>
      </c>
      <c r="AA185" s="52">
        <f ca="1">IFERROR((IFERROR((AA81-(MAX(0,(Z81+AA51+AA50+AA72-AA71-AA60))*'Get Started'!$E14-AA75)),0)+AA76)/AA60,0)</f>
        <v>1.4987691142575221</v>
      </c>
      <c r="AB185" s="52">
        <f ca="1">IFERROR((IFERROR((AB81-(MAX(0,(AA81+AB51+AB50+AB72-AB71-AB60))*'Get Started'!$E14-AB75)),0)+AB76)/AB60,0)</f>
        <v>1.5588045964410291</v>
      </c>
      <c r="AC185" s="52">
        <f ca="1">IFERROR((IFERROR((AC81-(MAX(0,(AB81+AC51+AC50+AC72-AC71-AC60))*'Get Started'!$E14-AC75)),0)+AC76)/AC60,0)</f>
        <v>1.6134479833162905</v>
      </c>
      <c r="AD185" s="52">
        <f ca="1">IFERROR((IFERROR((AD81-(MAX(0,(AC81+AD51+AD50+AD72-AD71-AD60))*'Get Started'!$E14-AD75)),0)+AD76)/AD60,0)</f>
        <v>1.6627997542318935</v>
      </c>
      <c r="AE185" s="52">
        <f ca="1">IFERROR((IFERROR((AE81-(MAX(0,(AD81+AE51+AE50+AE72-AE71-AE60))*'Get Started'!$E14-AE75)),0)+AE76)/AE60,0)</f>
        <v>1.8817873008743653</v>
      </c>
      <c r="AF185" s="52">
        <f ca="1">IFERROR((IFERROR((AF81-(MAX(0,(AE81+AF51+AF50+AF72-AF71-AF60))*'Get Started'!$E14-AF75)),0)+AF76)/AF60,0)</f>
        <v>2.0961223280837</v>
      </c>
      <c r="AG185" s="52">
        <f ca="1">IFERROR((IFERROR((AG81-(MAX(0,(AF81+AG51+AG50+AG72-AG71-AG60))*'Get Started'!$E14-AG75)),0)+AG76)/AG60,0)</f>
        <v>2.3058899475153845</v>
      </c>
      <c r="AH185" s="52">
        <f ca="1">IFERROR((IFERROR((AH81-(MAX(0,(AG81+AH51+AH50+AH72-AH71-AH60))*'Get Started'!$E14-AH75)),0)+AH76)/AH60,0)</f>
        <v>2.5111732074013768</v>
      </c>
      <c r="AI185" s="52">
        <f ca="1">IFERROR((IFERROR((AI81-(MAX(0,(AH81+AI51+AI50+AI72-AI71-AI60))*'Get Started'!$E14-AI75)),0)+AI76)/AI60,0)</f>
        <v>2.715581328866588</v>
      </c>
      <c r="AJ185" s="52">
        <f ca="1">IFERROR((IFERROR((AJ81-(MAX(0,(AI81+AJ51+AJ50+AJ72-AJ71-AJ60))*'Get Started'!$E14-AJ75)),0)+AJ76)/AJ60,0)</f>
        <v>2.9165821533450318</v>
      </c>
      <c r="AK185" s="52">
        <f ca="1">IFERROR((IFERROR((AK81-(MAX(0,(AJ81+AK51+AK50+AK72-AK71-AK60))*'Get Started'!$E14-AK75)),0)+AK76)/AK60,0)</f>
        <v>3.1142365286309732</v>
      </c>
      <c r="AL185" s="52">
        <f ca="1">IFERROR((IFERROR((AL81-(MAX(0,(AK81+AL51+AL50+AL72-AL71-AL60))*'Get Started'!$E14-AL75)),0)+AL76)/AL60,0)</f>
        <v>3.308603862258777</v>
      </c>
      <c r="AM185" s="52">
        <f ca="1">IFERROR((IFERROR((AM81-(MAX(0,(AL81+AM51+AM50+AM72-AM71-AM60))*'Get Started'!$E14-AM75)),0)+AM76)/AM60,0)</f>
        <v>3.428890431375363</v>
      </c>
      <c r="AN185" s="52">
        <f ca="1">IFERROR((IFERROR((AN81-(MAX(0,(AM81+AN51+AN50+AN72-AN71-AN60))*'Get Started'!$E14-AN75)),0)+AN76)/AN60,0)</f>
        <v>3.5473442817621472</v>
      </c>
      <c r="AO185" s="52">
        <f ca="1">IFERROR((IFERROR((AO81-(MAX(0,(AN81+AO51+AO50+AO72-AO71-AO60))*'Get Started'!$E14-AO75)),0)+AO76)/AO60,0)</f>
        <v>3.6639973810882527</v>
      </c>
      <c r="AP185" s="52">
        <f ca="1">IFERROR((IFERROR((AP81-(MAX(0,(AO81+AP51+AP50+AP72-AP71-AP60))*'Get Started'!$E14-AP75)),0)+AP76)/AP60,0)</f>
        <v>3.7788809578481311</v>
      </c>
      <c r="AQ185" s="52">
        <f ca="1">IFERROR((IFERROR((AQ81-(MAX(0,(AP81+AQ51+AQ50+AQ72-AQ71-AQ60))*'Get Started'!$E14-AQ75)),0)+AQ76)/AQ60,0)</f>
        <v>3.9183665948563795</v>
      </c>
      <c r="AR185" s="52">
        <f ca="1">IFERROR((IFERROR((AR81-(MAX(0,(AQ81+AR51+AR50+AR72-AR71-AR60))*'Get Started'!$E14-AR75)),0)+AR76)/AR60,0)</f>
        <v>4.0557587664061394</v>
      </c>
      <c r="AS185" s="52">
        <f ca="1">IFERROR((IFERROR((AS81-(MAX(0,(AR81+AS51+AS50+AS72-AS71-AS60))*'Get Started'!$E14-AS75)),0)+AS76)/AS60,0)</f>
        <v>4.1910931583620696</v>
      </c>
      <c r="AT185" s="52">
        <f ca="1">IFERROR((IFERROR((AT81-(MAX(0,(AS81+AT51+AT50+AT72-AT71-AT60))*'Get Started'!$E14-AT75)),0)+AT76)/AT60,0)</f>
        <v>4.4885304000000001</v>
      </c>
      <c r="AU185" s="52">
        <f ca="1">IFERROR((IFERROR((AU81-(MAX(0,(AT81+AU51+AU50+AU72-AU71-AU60))*'Get Started'!$E14-AU75)),0)+AU76)/AU60,0)</f>
        <v>4.4885304000000001</v>
      </c>
      <c r="AV185" s="52">
        <f ca="1">IFERROR((IFERROR((AV81-(MAX(0,(AU81+AV51+AV50+AV72-AV71-AV60))*'Get Started'!$E14-AV75)),0)+AV76)/AV60,0)</f>
        <v>4.4885304000000001</v>
      </c>
      <c r="AW185" s="52">
        <f ca="1">IFERROR((IFERROR((AW81-(MAX(0,(AV81+AW51+AW50+AW72-AW71-AW60))*'Get Started'!$E14-AW75)),0)+AW76)/AW60,0)</f>
        <v>4.4885304000000001</v>
      </c>
      <c r="AX185" s="52">
        <f ca="1">IFERROR((IFERROR((AX81-(MAX(0,(AW81+AX51+AX50+AX72-AX71-AX60))*'Get Started'!$E14-AX75)),0)+AX76)/AX60,0)</f>
        <v>4.4885304000000001</v>
      </c>
      <c r="AY185" s="52">
        <f ca="1">IFERROR((IFERROR((AY81-(MAX(0,(AX81+AY51+AY50+AY72-AY71-AY60))*'Get Started'!$E14-AY75)),0)+AY76)/AY60,0)</f>
        <v>4.4885304000000001</v>
      </c>
      <c r="AZ185" s="52">
        <f ca="1">IFERROR((IFERROR((AZ81-(MAX(0,(AY81+AZ51+AZ50+AZ72-AZ71-AZ60))*'Get Started'!$E14-AZ75)),0)+AZ76)/AZ60,0)</f>
        <v>4.4885304000000001</v>
      </c>
      <c r="BA185" s="52">
        <f ca="1">IFERROR((IFERROR((BA81-(MAX(0,(AZ81+BA51+BA50+BA72-BA71-BA60))*'Get Started'!$E14-BA75)),0)+BA76)/BA60,0)</f>
        <v>4.4885304000000001</v>
      </c>
      <c r="BB185" s="52">
        <f ca="1">IFERROR((IFERROR((BB81-(MAX(0,(BA81+BB51+BB50+BB72-BB71-BB60))*'Get Started'!$E14-BB75)),0)+BB76)/BB60,0)</f>
        <v>4.4885304000000001</v>
      </c>
      <c r="BC185" s="52">
        <f ca="1">IFERROR((IFERROR((BC81-(MAX(0,(BB81+BC51+BC50+BC72-BC71-BC60))*'Get Started'!$E14-BC75)),0)+BC76)/BC60,0)</f>
        <v>4.4885304000000001</v>
      </c>
      <c r="BD185" s="52">
        <f ca="1">IFERROR((IFERROR((BD81-(MAX(0,(BC81+BD51+BD50+BD72-BD71-BD60))*'Get Started'!$E14-BD75)),0)+BD76)/BD60,0)</f>
        <v>4.4885304000000001</v>
      </c>
      <c r="BE185" s="52">
        <f ca="1">IFERROR((IFERROR((BE81-(MAX(0,(BD81+BE51+BE50+BE72-BE71-BE60))*'Get Started'!$E14-BE75)),0)+BE76)/BE60,0)</f>
        <v>4.4885304000000001</v>
      </c>
      <c r="BF185" s="52">
        <f ca="1">IFERROR((IFERROR((BF81-(MAX(0,(BE81+BF51+BF50+BF72-BF71-BF60))*'Get Started'!$E14-BF75)),0)+BF76)/BF60,0)</f>
        <v>4.4885304000000001</v>
      </c>
      <c r="BG185" s="52">
        <f ca="1">IFERROR((IFERROR((BG81-(MAX(0,(BF81+BG51+BG50+BG72-BG71-BG60))*'Get Started'!$E14-BG75)),0)+BG76)/BG60,0)</f>
        <v>4.4885304000000001</v>
      </c>
      <c r="BH185" s="52">
        <f ca="1">IFERROR((IFERROR((BH81-(MAX(0,(BG81+BH51+BH50+BH72-BH71-BH60))*'Get Started'!$E14-BH75)),0)+BH76)/BH60,0)</f>
        <v>4.4885304000000001</v>
      </c>
      <c r="BI185" s="52">
        <f ca="1">IFERROR((IFERROR((BI81-(MAX(0,(BH81+BI51+BI50+BI72-BI71-BI60))*'Get Started'!$E14-BI75)),0)+BI76)/BI60,0)</f>
        <v>4.4885304000000001</v>
      </c>
      <c r="BJ185" s="52">
        <f ca="1">IFERROR((IFERROR((BJ81-(MAX(0,(BI81+BJ51+BJ50+BJ72-BJ71-BJ60))*'Get Started'!$E14-BJ75)),0)+BJ76)/BJ60,0)</f>
        <v>4.4885304000000001</v>
      </c>
      <c r="BK185" s="52">
        <f ca="1">IFERROR((IFERROR((BK81-(MAX(0,(BJ81+BK51+BK50+BK72-BK71-BK60))*'Get Started'!$E14-BK75)),0)+BK76)/BK60,0)</f>
        <v>4.4885304000000001</v>
      </c>
      <c r="BL185" s="52">
        <f ca="1">IFERROR((IFERROR((BL81-(MAX(0,(BK81+BL51+BL50+BL72-BL71-BL60))*'Get Started'!$E14-BL75)),0)+BL76)/BL60,0)</f>
        <v>4.4885304000000001</v>
      </c>
      <c r="BM185" s="52">
        <f ca="1">IFERROR((IFERROR((BM81-(MAX(0,(BL81+BM51+BM50+BM72-BM71-BM60))*'Get Started'!$E14-BM75)),0)+BM76)/BM60,0)</f>
        <v>4.4885304000000001</v>
      </c>
      <c r="BN185" s="52">
        <f ca="1">IFERROR((IFERROR((BN81-(MAX(0,(BM81+BN51+BN50+BN72-BN71-BN60))*'Get Started'!$E14-BN75)),0)+BN76)/BN60,0)</f>
        <v>4.4885304000000001</v>
      </c>
      <c r="BO185" s="52">
        <f ca="1">IFERROR((IFERROR((BO81-(MAX(0,(BN81+BO51+BO50+BO72-BO71-BO60))*'Get Started'!$E14-BO75)),0)+BO76)/BO60,0)</f>
        <v>4.4885304000000001</v>
      </c>
      <c r="BP185" s="52">
        <f ca="1">IFERROR((IFERROR((BP81-(MAX(0,(BO81+BP51+BP50+BP72-BP71-BP60))*'Get Started'!$E14-BP75)),0)+BP76)/BP60,0)</f>
        <v>4.4885304000000001</v>
      </c>
      <c r="BQ185" s="52">
        <f ca="1">IFERROR((IFERROR((BQ81-(MAX(0,(BP81+BQ51+BQ50+BQ72-BQ71-BQ60))*'Get Started'!$E14-BQ75)),0)+BQ76)/BQ60,0)</f>
        <v>4.4885304000000001</v>
      </c>
      <c r="BR185" s="52">
        <f ca="1">IFERROR((IFERROR((BR81-(MAX(0,(BQ81+BR51+BR50+BR72-BR71-BR60))*'Get Started'!$E14-BR75)),0)+BR76)/BR60,0)</f>
        <v>4.4885304000000001</v>
      </c>
      <c r="BS185" s="52">
        <f ca="1">IFERROR((IFERROR((BS81-(MAX(0,(BR81+BS51+BS50+BS72-BS71-BS60))*'Get Started'!$E14-BS75)),0)+BS76)/BS60,0)</f>
        <v>4.4885304000000001</v>
      </c>
      <c r="BT185" s="52">
        <f ca="1">IFERROR((IFERROR((BT81-(MAX(0,(BS81+BT51+BT50+BT72-BT71-BT60))*'Get Started'!$E14-BT75)),0)+BT76)/BT60,0)</f>
        <v>4.4885304000000001</v>
      </c>
      <c r="BU185" s="52">
        <f ca="1">IFERROR((IFERROR((BU81-(MAX(0,(BT81+BU51+BU50+BU72-BU71-BU60))*'Get Started'!$E14-BU75)),0)+BU76)/BU60,0)</f>
        <v>4.4885304000000001</v>
      </c>
      <c r="BV185" s="52">
        <f ca="1">IFERROR((IFERROR((BV81-(MAX(0,(BU81+BV51+BV50+BV72-BV71-BV60))*'Get Started'!$E14-BV75)),0)+BV76)/BV60,0)</f>
        <v>4.4885304000000001</v>
      </c>
      <c r="BW185" s="52">
        <f ca="1">IFERROR((IFERROR((BW81-(MAX(0,(BV81+BW51+BW50+BW72-BW71-BW60))*'Get Started'!$E14-BW75)),0)+BW76)/BW60,0)</f>
        <v>4.4885304000000001</v>
      </c>
      <c r="BX185" s="52">
        <f ca="1">IFERROR((IFERROR((BX81-(MAX(0,(BW81+BX51+BX50+BX72-BX71-BX60))*'Get Started'!$E14-BX75)),0)+BX76)/BX60,0)</f>
        <v>4.4885304000000001</v>
      </c>
      <c r="BY185" s="52">
        <f ca="1">IFERROR((IFERROR((BY81-(MAX(0,(BX81+BY51+BY50+BY72-BY71-BY60))*'Get Started'!$E14-BY75)),0)+BY76)/BY60,0)</f>
        <v>4.4885304000000001</v>
      </c>
      <c r="BZ185" s="52">
        <f ca="1">IFERROR((IFERROR((BZ81-(MAX(0,(BY81+BZ51+BZ50+BZ72-BZ71-BZ60))*'Get Started'!$E14-BZ75)),0)+BZ76)/BZ60,0)</f>
        <v>4.4885304000000001</v>
      </c>
      <c r="CA185" s="52">
        <f ca="1">IFERROR((IFERROR((CA81-(MAX(0,(BZ81+CA51+CA50+CA72-CA71-CA60))*'Get Started'!$E14-CA75)),0)+CA76)/CA60,0)</f>
        <v>4.4885304000000001</v>
      </c>
      <c r="CB185" s="52">
        <f ca="1">IFERROR((IFERROR((CB81-(MAX(0,(CA81+CB51+CB50+CB72-CB71-CB60))*'Get Started'!$E14-CB75)),0)+CB76)/CB60,0)</f>
        <v>4.4885304000000001</v>
      </c>
      <c r="CC185" s="52">
        <f ca="1">IFERROR((IFERROR((CC81-(MAX(0,(CB81+CC51+CC50+CC72-CC71-CC60))*'Get Started'!$E14-CC75)),0)+CC76)/CC60,0)</f>
        <v>4.4885304000000001</v>
      </c>
      <c r="CD185" s="52">
        <f ca="1">IFERROR((IFERROR((CD81-(MAX(0,(CC81+CD51+CD50+CD72-CD71-CD60))*'Get Started'!$E14-CD75)),0)+CD76)/CD60,0)</f>
        <v>4.4885304000000001</v>
      </c>
      <c r="CE185" s="52">
        <f ca="1">IFERROR((IFERROR((CE81-(MAX(0,(CD81+CE51+CE50+CE72-CE71-CE60))*'Get Started'!$E14-CE75)),0)+CE76)/CE60,0)</f>
        <v>4.4885304000000001</v>
      </c>
      <c r="CF185" s="52">
        <f ca="1">IFERROR((IFERROR((CF81-(MAX(0,(CE81+CF51+CF50+CF72-CF71-CF60))*'Get Started'!$E14-CF75)),0)+CF76)/CF60,0)</f>
        <v>4.4885304000000001</v>
      </c>
      <c r="CG185" s="52">
        <f ca="1">IFERROR((IFERROR((CG81-(MAX(0,(CF81+CG51+CG50+CG72-CG71-CG60))*'Get Started'!$E14-CG75)),0)+CG76)/CG60,0)</f>
        <v>4.4885304000000001</v>
      </c>
      <c r="CH185" s="52">
        <f ca="1">IFERROR((IFERROR((CH81-(MAX(0,(CG81+CH51+CH50+CH72-CH71-CH60))*'Get Started'!$E14-CH75)),0)+CH76)/CH60,0)</f>
        <v>4.4885304000000001</v>
      </c>
    </row>
    <row r="186" spans="1:86" ht="13">
      <c r="C186" s="15"/>
      <c r="D186" s="15"/>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c r="CE186" s="29"/>
      <c r="CF186" s="29"/>
      <c r="CG186" s="29"/>
      <c r="CH186" s="29"/>
    </row>
    <row r="187" spans="1:86" ht="13">
      <c r="B187" s="85" t="str">
        <f>"Waterfall, "&amp;C187&amp;""</f>
        <v>Waterfall, Deal-by-deal with clawback (American)</v>
      </c>
      <c r="C187" s="36" t="s">
        <v>358</v>
      </c>
      <c r="D187" s="15"/>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c r="CE187" s="29"/>
      <c r="CF187" s="29"/>
      <c r="CG187" s="29"/>
      <c r="CH187" s="29"/>
    </row>
    <row r="188" spans="1:86" ht="13">
      <c r="B188" s="15" t="s">
        <v>302</v>
      </c>
      <c r="C188" s="15" t="s">
        <v>303</v>
      </c>
      <c r="D188" s="15" t="s">
        <v>238</v>
      </c>
      <c r="E188" s="29">
        <f t="shared" ref="E188:E194" ca="1" si="154">IF(D188="sum",SUM(G188:CH188),IF(D188="final",CH188,IF(D188="initial",G188,IF(D188="average",AVERAGE(G188:CH188),0))))</f>
        <v>134016575</v>
      </c>
      <c r="F188" s="77"/>
      <c r="G188" s="37">
        <f t="shared" ref="G188:CH188" ca="1" si="155">IF($E20&gt;0,  MAX(0, MIN(G24, SUM(G22,G24,G26,G27) )), MAX(0,SUM(G22,G23,G24,G26,G27)) )</f>
        <v>0</v>
      </c>
      <c r="H188" s="37">
        <f t="shared" ca="1" si="155"/>
        <v>0</v>
      </c>
      <c r="I188" s="37">
        <f t="shared" ca="1" si="155"/>
        <v>0</v>
      </c>
      <c r="J188" s="37">
        <f t="shared" ca="1" si="155"/>
        <v>0</v>
      </c>
      <c r="K188" s="37">
        <f t="shared" ca="1" si="155"/>
        <v>0</v>
      </c>
      <c r="L188" s="37">
        <f t="shared" ca="1" si="155"/>
        <v>0</v>
      </c>
      <c r="M188" s="37">
        <f t="shared" ca="1" si="155"/>
        <v>0</v>
      </c>
      <c r="N188" s="37">
        <f t="shared" ca="1" si="155"/>
        <v>0</v>
      </c>
      <c r="O188" s="37">
        <f t="shared" ca="1" si="155"/>
        <v>0</v>
      </c>
      <c r="P188" s="37">
        <f t="shared" ca="1" si="155"/>
        <v>0</v>
      </c>
      <c r="Q188" s="37">
        <f t="shared" ca="1" si="155"/>
        <v>0</v>
      </c>
      <c r="R188" s="37">
        <f t="shared" ca="1" si="155"/>
        <v>0</v>
      </c>
      <c r="S188" s="37">
        <f t="shared" ca="1" si="155"/>
        <v>972125.00000000047</v>
      </c>
      <c r="T188" s="37">
        <f t="shared" ca="1" si="155"/>
        <v>972125.00000000047</v>
      </c>
      <c r="U188" s="37">
        <f t="shared" ca="1" si="155"/>
        <v>972125.00000000047</v>
      </c>
      <c r="V188" s="37">
        <f t="shared" ca="1" si="155"/>
        <v>972125.00000000047</v>
      </c>
      <c r="W188" s="37">
        <f t="shared" ca="1" si="155"/>
        <v>3486656.2500000009</v>
      </c>
      <c r="X188" s="37">
        <f t="shared" ca="1" si="155"/>
        <v>3486656.2500000009</v>
      </c>
      <c r="Y188" s="37">
        <f t="shared" ca="1" si="155"/>
        <v>3486656.2500000009</v>
      </c>
      <c r="Z188" s="37">
        <f t="shared" ca="1" si="155"/>
        <v>3486656.2500000009</v>
      </c>
      <c r="AA188" s="37">
        <f t="shared" ca="1" si="155"/>
        <v>3486656.2500000009</v>
      </c>
      <c r="AB188" s="37">
        <f t="shared" ca="1" si="155"/>
        <v>3486656.2500000009</v>
      </c>
      <c r="AC188" s="37">
        <f t="shared" ca="1" si="155"/>
        <v>3486656.2500000009</v>
      </c>
      <c r="AD188" s="37">
        <f t="shared" ca="1" si="155"/>
        <v>3486656.2500000009</v>
      </c>
      <c r="AE188" s="37">
        <f t="shared" ca="1" si="155"/>
        <v>8277018.7499999981</v>
      </c>
      <c r="AF188" s="37">
        <f t="shared" ca="1" si="155"/>
        <v>8277018.7499999981</v>
      </c>
      <c r="AG188" s="37">
        <f t="shared" ca="1" si="155"/>
        <v>8277018.7499999981</v>
      </c>
      <c r="AH188" s="37">
        <f t="shared" ca="1" si="155"/>
        <v>8277018.7499999981</v>
      </c>
      <c r="AI188" s="37">
        <f t="shared" ca="1" si="155"/>
        <v>7276499.9999999981</v>
      </c>
      <c r="AJ188" s="37">
        <f t="shared" ca="1" si="155"/>
        <v>7276499.9999999981</v>
      </c>
      <c r="AK188" s="37">
        <f t="shared" ca="1" si="155"/>
        <v>7276499.9999999981</v>
      </c>
      <c r="AL188" s="37">
        <f t="shared" ca="1" si="155"/>
        <v>7276499.9999999981</v>
      </c>
      <c r="AM188" s="37">
        <f t="shared" ca="1" si="155"/>
        <v>4547812.4999999981</v>
      </c>
      <c r="AN188" s="37">
        <f t="shared" ca="1" si="155"/>
        <v>4547812.4999999981</v>
      </c>
      <c r="AO188" s="37">
        <f t="shared" ca="1" si="155"/>
        <v>4547812.4999999981</v>
      </c>
      <c r="AP188" s="37">
        <f t="shared" ca="1" si="155"/>
        <v>4547812.4999999981</v>
      </c>
      <c r="AQ188" s="37">
        <f t="shared" ca="1" si="155"/>
        <v>5457374.9999999981</v>
      </c>
      <c r="AR188" s="37">
        <f t="shared" ca="1" si="155"/>
        <v>5457374.9999999981</v>
      </c>
      <c r="AS188" s="37">
        <f t="shared" ca="1" si="155"/>
        <v>5457374.9999999981</v>
      </c>
      <c r="AT188" s="37">
        <f t="shared" ca="1" si="155"/>
        <v>5457374.9999999981</v>
      </c>
      <c r="AU188" s="37">
        <f t="shared" ca="1" si="155"/>
        <v>0</v>
      </c>
      <c r="AV188" s="37">
        <f t="shared" ca="1" si="155"/>
        <v>0</v>
      </c>
      <c r="AW188" s="37">
        <f t="shared" ca="1" si="155"/>
        <v>0</v>
      </c>
      <c r="AX188" s="37">
        <f t="shared" ca="1" si="155"/>
        <v>0</v>
      </c>
      <c r="AY188" s="37">
        <f t="shared" ca="1" si="155"/>
        <v>0</v>
      </c>
      <c r="AZ188" s="37">
        <f t="shared" ca="1" si="155"/>
        <v>0</v>
      </c>
      <c r="BA188" s="37">
        <f t="shared" ca="1" si="155"/>
        <v>0</v>
      </c>
      <c r="BB188" s="37">
        <f t="shared" ca="1" si="155"/>
        <v>0</v>
      </c>
      <c r="BC188" s="37">
        <f t="shared" ca="1" si="155"/>
        <v>0</v>
      </c>
      <c r="BD188" s="37">
        <f t="shared" ca="1" si="155"/>
        <v>0</v>
      </c>
      <c r="BE188" s="37">
        <f t="shared" ca="1" si="155"/>
        <v>0</v>
      </c>
      <c r="BF188" s="37">
        <f t="shared" ca="1" si="155"/>
        <v>0</v>
      </c>
      <c r="BG188" s="37">
        <f t="shared" ca="1" si="155"/>
        <v>0</v>
      </c>
      <c r="BH188" s="37">
        <f t="shared" ca="1" si="155"/>
        <v>0</v>
      </c>
      <c r="BI188" s="37">
        <f t="shared" ca="1" si="155"/>
        <v>0</v>
      </c>
      <c r="BJ188" s="37">
        <f t="shared" ca="1" si="155"/>
        <v>0</v>
      </c>
      <c r="BK188" s="37">
        <f t="shared" ca="1" si="155"/>
        <v>0</v>
      </c>
      <c r="BL188" s="37">
        <f t="shared" ca="1" si="155"/>
        <v>0</v>
      </c>
      <c r="BM188" s="37">
        <f t="shared" ca="1" si="155"/>
        <v>0</v>
      </c>
      <c r="BN188" s="37">
        <f t="shared" ca="1" si="155"/>
        <v>0</v>
      </c>
      <c r="BO188" s="37">
        <f t="shared" ca="1" si="155"/>
        <v>0</v>
      </c>
      <c r="BP188" s="37">
        <f t="shared" ca="1" si="155"/>
        <v>0</v>
      </c>
      <c r="BQ188" s="37">
        <f t="shared" ca="1" si="155"/>
        <v>0</v>
      </c>
      <c r="BR188" s="37">
        <f t="shared" ca="1" si="155"/>
        <v>0</v>
      </c>
      <c r="BS188" s="37">
        <f t="shared" ca="1" si="155"/>
        <v>0</v>
      </c>
      <c r="BT188" s="37">
        <f t="shared" ca="1" si="155"/>
        <v>0</v>
      </c>
      <c r="BU188" s="37">
        <f t="shared" ca="1" si="155"/>
        <v>0</v>
      </c>
      <c r="BV188" s="37">
        <f t="shared" ca="1" si="155"/>
        <v>0</v>
      </c>
      <c r="BW188" s="37">
        <f t="shared" ca="1" si="155"/>
        <v>0</v>
      </c>
      <c r="BX188" s="37">
        <f t="shared" ca="1" si="155"/>
        <v>0</v>
      </c>
      <c r="BY188" s="37">
        <f t="shared" ca="1" si="155"/>
        <v>0</v>
      </c>
      <c r="BZ188" s="37">
        <f t="shared" ca="1" si="155"/>
        <v>0</v>
      </c>
      <c r="CA188" s="37">
        <f t="shared" ca="1" si="155"/>
        <v>0</v>
      </c>
      <c r="CB188" s="37">
        <f t="shared" ca="1" si="155"/>
        <v>0</v>
      </c>
      <c r="CC188" s="37">
        <f t="shared" ca="1" si="155"/>
        <v>0</v>
      </c>
      <c r="CD188" s="37">
        <f t="shared" ca="1" si="155"/>
        <v>0</v>
      </c>
      <c r="CE188" s="37">
        <f t="shared" ca="1" si="155"/>
        <v>0</v>
      </c>
      <c r="CF188" s="37">
        <f t="shared" ca="1" si="155"/>
        <v>0</v>
      </c>
      <c r="CG188" s="37">
        <f t="shared" ca="1" si="155"/>
        <v>0</v>
      </c>
      <c r="CH188" s="37">
        <f t="shared" ca="1" si="155"/>
        <v>0</v>
      </c>
    </row>
    <row r="189" spans="1:86" ht="13">
      <c r="A189" s="13"/>
      <c r="B189" s="13" t="s">
        <v>304</v>
      </c>
      <c r="C189" s="13" t="s">
        <v>305</v>
      </c>
      <c r="D189" s="15" t="s">
        <v>238</v>
      </c>
      <c r="E189" s="29">
        <f t="shared" ca="1" si="154"/>
        <v>24999999.999999981</v>
      </c>
      <c r="F189" s="48"/>
      <c r="G189" s="37">
        <f t="shared" ref="G189:CH189" ca="1" si="156">IF(OR($C187="total fund (european)",$C187="Deal-by-deal with clawback (American)"),G48/($E38/$E31)+G49/($E38/$E31),G49/($E38/$E31))</f>
        <v>0</v>
      </c>
      <c r="H189" s="37">
        <f t="shared" ca="1" si="156"/>
        <v>0</v>
      </c>
      <c r="I189" s="37">
        <f t="shared" ca="1" si="156"/>
        <v>0</v>
      </c>
      <c r="J189" s="37">
        <f t="shared" ca="1" si="156"/>
        <v>0</v>
      </c>
      <c r="K189" s="37">
        <f t="shared" ca="1" si="156"/>
        <v>0</v>
      </c>
      <c r="L189" s="37">
        <f t="shared" ca="1" si="156"/>
        <v>0</v>
      </c>
      <c r="M189" s="37">
        <f t="shared" ca="1" si="156"/>
        <v>0</v>
      </c>
      <c r="N189" s="37">
        <f t="shared" ca="1" si="156"/>
        <v>0</v>
      </c>
      <c r="O189" s="37">
        <f t="shared" ca="1" si="156"/>
        <v>892857.14285714284</v>
      </c>
      <c r="P189" s="37">
        <f t="shared" ca="1" si="156"/>
        <v>892857.14285714284</v>
      </c>
      <c r="Q189" s="37">
        <f t="shared" ca="1" si="156"/>
        <v>892857.14285714284</v>
      </c>
      <c r="R189" s="37">
        <f t="shared" ca="1" si="156"/>
        <v>892857.14285714284</v>
      </c>
      <c r="S189" s="37">
        <f t="shared" ca="1" si="156"/>
        <v>1190476.1904761905</v>
      </c>
      <c r="T189" s="37">
        <f t="shared" ca="1" si="156"/>
        <v>1190476.1904761905</v>
      </c>
      <c r="U189" s="37">
        <f t="shared" ca="1" si="156"/>
        <v>1190476.1904761905</v>
      </c>
      <c r="V189" s="37">
        <f t="shared" ca="1" si="156"/>
        <v>1190476.1904761905</v>
      </c>
      <c r="W189" s="37">
        <f t="shared" ca="1" si="156"/>
        <v>1339285.7142857143</v>
      </c>
      <c r="X189" s="37">
        <f t="shared" ca="1" si="156"/>
        <v>1339285.7142857143</v>
      </c>
      <c r="Y189" s="37">
        <f t="shared" ca="1" si="156"/>
        <v>1339285.7142857143</v>
      </c>
      <c r="Z189" s="37">
        <f t="shared" ca="1" si="156"/>
        <v>1339285.7142857143</v>
      </c>
      <c r="AA189" s="37">
        <f t="shared" ca="1" si="156"/>
        <v>1517857.1428571427</v>
      </c>
      <c r="AB189" s="37">
        <f t="shared" ca="1" si="156"/>
        <v>1517857.1428571427</v>
      </c>
      <c r="AC189" s="37">
        <f t="shared" ca="1" si="156"/>
        <v>1517857.1428571427</v>
      </c>
      <c r="AD189" s="37">
        <f t="shared" ca="1" si="156"/>
        <v>1517857.1428571427</v>
      </c>
      <c r="AE189" s="37">
        <f t="shared" ca="1" si="156"/>
        <v>654761.90476190473</v>
      </c>
      <c r="AF189" s="37">
        <f t="shared" ca="1" si="156"/>
        <v>654761.90476190473</v>
      </c>
      <c r="AG189" s="37">
        <f t="shared" ca="1" si="156"/>
        <v>654761.90476190473</v>
      </c>
      <c r="AH189" s="37">
        <f t="shared" ca="1" si="156"/>
        <v>654761.90476190473</v>
      </c>
      <c r="AI189" s="37">
        <f t="shared" ca="1" si="156"/>
        <v>327380.95238095237</v>
      </c>
      <c r="AJ189" s="37">
        <f t="shared" ca="1" si="156"/>
        <v>327380.95238095237</v>
      </c>
      <c r="AK189" s="37">
        <f t="shared" ca="1" si="156"/>
        <v>327380.95238095237</v>
      </c>
      <c r="AL189" s="37">
        <f t="shared" ca="1" si="156"/>
        <v>327380.95238095237</v>
      </c>
      <c r="AM189" s="37">
        <f t="shared" ca="1" si="156"/>
        <v>148809.52380952379</v>
      </c>
      <c r="AN189" s="37">
        <f t="shared" ca="1" si="156"/>
        <v>148809.52380952379</v>
      </c>
      <c r="AO189" s="37">
        <f t="shared" ca="1" si="156"/>
        <v>148809.52380952379</v>
      </c>
      <c r="AP189" s="37">
        <f t="shared" ca="1" si="156"/>
        <v>148809.52380952379</v>
      </c>
      <c r="AQ189" s="37">
        <f t="shared" ca="1" si="156"/>
        <v>178571.42857142855</v>
      </c>
      <c r="AR189" s="37">
        <f t="shared" ca="1" si="156"/>
        <v>178571.42857142855</v>
      </c>
      <c r="AS189" s="37">
        <f t="shared" ca="1" si="156"/>
        <v>178571.42857142855</v>
      </c>
      <c r="AT189" s="37">
        <f t="shared" ca="1" si="156"/>
        <v>178571.42857142855</v>
      </c>
      <c r="AU189" s="37">
        <f t="shared" ca="1" si="156"/>
        <v>0</v>
      </c>
      <c r="AV189" s="37">
        <f t="shared" ca="1" si="156"/>
        <v>0</v>
      </c>
      <c r="AW189" s="37">
        <f t="shared" ca="1" si="156"/>
        <v>0</v>
      </c>
      <c r="AX189" s="37">
        <f t="shared" ca="1" si="156"/>
        <v>0</v>
      </c>
      <c r="AY189" s="37">
        <f t="shared" ca="1" si="156"/>
        <v>0</v>
      </c>
      <c r="AZ189" s="37">
        <f t="shared" ca="1" si="156"/>
        <v>0</v>
      </c>
      <c r="BA189" s="37">
        <f t="shared" ca="1" si="156"/>
        <v>0</v>
      </c>
      <c r="BB189" s="37">
        <f t="shared" ca="1" si="156"/>
        <v>0</v>
      </c>
      <c r="BC189" s="37">
        <f t="shared" ca="1" si="156"/>
        <v>0</v>
      </c>
      <c r="BD189" s="37">
        <f t="shared" ca="1" si="156"/>
        <v>0</v>
      </c>
      <c r="BE189" s="37">
        <f t="shared" ca="1" si="156"/>
        <v>0</v>
      </c>
      <c r="BF189" s="37">
        <f t="shared" ca="1" si="156"/>
        <v>0</v>
      </c>
      <c r="BG189" s="37">
        <f t="shared" ca="1" si="156"/>
        <v>0</v>
      </c>
      <c r="BH189" s="37">
        <f t="shared" ca="1" si="156"/>
        <v>0</v>
      </c>
      <c r="BI189" s="37">
        <f t="shared" ca="1" si="156"/>
        <v>0</v>
      </c>
      <c r="BJ189" s="37">
        <f t="shared" ca="1" si="156"/>
        <v>0</v>
      </c>
      <c r="BK189" s="37">
        <f t="shared" ca="1" si="156"/>
        <v>0</v>
      </c>
      <c r="BL189" s="37">
        <f t="shared" ca="1" si="156"/>
        <v>0</v>
      </c>
      <c r="BM189" s="37">
        <f t="shared" ca="1" si="156"/>
        <v>0</v>
      </c>
      <c r="BN189" s="37">
        <f t="shared" ca="1" si="156"/>
        <v>0</v>
      </c>
      <c r="BO189" s="37">
        <f t="shared" ca="1" si="156"/>
        <v>0</v>
      </c>
      <c r="BP189" s="37">
        <f t="shared" ca="1" si="156"/>
        <v>0</v>
      </c>
      <c r="BQ189" s="37">
        <f t="shared" ca="1" si="156"/>
        <v>0</v>
      </c>
      <c r="BR189" s="37">
        <f t="shared" ca="1" si="156"/>
        <v>0</v>
      </c>
      <c r="BS189" s="37">
        <f t="shared" ca="1" si="156"/>
        <v>0</v>
      </c>
      <c r="BT189" s="37">
        <f t="shared" ca="1" si="156"/>
        <v>0</v>
      </c>
      <c r="BU189" s="37">
        <f t="shared" ca="1" si="156"/>
        <v>0</v>
      </c>
      <c r="BV189" s="37">
        <f t="shared" ca="1" si="156"/>
        <v>0</v>
      </c>
      <c r="BW189" s="37">
        <f t="shared" ca="1" si="156"/>
        <v>0</v>
      </c>
      <c r="BX189" s="37">
        <f t="shared" ca="1" si="156"/>
        <v>0</v>
      </c>
      <c r="BY189" s="37">
        <f t="shared" ca="1" si="156"/>
        <v>0</v>
      </c>
      <c r="BZ189" s="37">
        <f t="shared" ca="1" si="156"/>
        <v>0</v>
      </c>
      <c r="CA189" s="37">
        <f t="shared" ca="1" si="156"/>
        <v>0</v>
      </c>
      <c r="CB189" s="37">
        <f t="shared" ca="1" si="156"/>
        <v>0</v>
      </c>
      <c r="CC189" s="37">
        <f t="shared" ca="1" si="156"/>
        <v>0</v>
      </c>
      <c r="CD189" s="37">
        <f t="shared" ca="1" si="156"/>
        <v>0</v>
      </c>
      <c r="CE189" s="37">
        <f t="shared" ca="1" si="156"/>
        <v>0</v>
      </c>
      <c r="CF189" s="37">
        <f t="shared" ca="1" si="156"/>
        <v>0</v>
      </c>
      <c r="CG189" s="37">
        <f t="shared" ca="1" si="156"/>
        <v>0</v>
      </c>
      <c r="CH189" s="37">
        <f t="shared" ca="1" si="156"/>
        <v>0</v>
      </c>
    </row>
    <row r="190" spans="1:86" ht="13">
      <c r="A190" s="13"/>
      <c r="B190" s="13" t="s">
        <v>306</v>
      </c>
      <c r="C190" s="13" t="s">
        <v>307</v>
      </c>
      <c r="D190" s="13" t="s">
        <v>238</v>
      </c>
      <c r="E190" s="37">
        <f t="shared" ca="1" si="154"/>
        <v>24999999.999999981</v>
      </c>
      <c r="F190" s="48"/>
      <c r="G190" s="37">
        <f t="shared" ref="G190:CH190" ca="1" si="157">IF($C187="total fund (european)",MIN(G84-F191,G188),IF($C187="Deal-by-deal with clawback (American)",MIN(SUM($G189:G189)-F191,G188),G189))</f>
        <v>0</v>
      </c>
      <c r="H190" s="37">
        <f t="shared" ca="1" si="157"/>
        <v>0</v>
      </c>
      <c r="I190" s="37">
        <f t="shared" ca="1" si="157"/>
        <v>0</v>
      </c>
      <c r="J190" s="37">
        <f t="shared" ca="1" si="157"/>
        <v>0</v>
      </c>
      <c r="K190" s="37">
        <f t="shared" ca="1" si="157"/>
        <v>0</v>
      </c>
      <c r="L190" s="37">
        <f t="shared" ca="1" si="157"/>
        <v>0</v>
      </c>
      <c r="M190" s="37">
        <f t="shared" ca="1" si="157"/>
        <v>0</v>
      </c>
      <c r="N190" s="37">
        <f t="shared" ca="1" si="157"/>
        <v>0</v>
      </c>
      <c r="O190" s="37">
        <f t="shared" ca="1" si="157"/>
        <v>0</v>
      </c>
      <c r="P190" s="37">
        <f t="shared" ca="1" si="157"/>
        <v>0</v>
      </c>
      <c r="Q190" s="37">
        <f t="shared" ca="1" si="157"/>
        <v>0</v>
      </c>
      <c r="R190" s="37">
        <f t="shared" ca="1" si="157"/>
        <v>0</v>
      </c>
      <c r="S190" s="37">
        <f t="shared" ca="1" si="157"/>
        <v>972125.00000000047</v>
      </c>
      <c r="T190" s="37">
        <f t="shared" ca="1" si="157"/>
        <v>972125.00000000047</v>
      </c>
      <c r="U190" s="37">
        <f t="shared" ca="1" si="157"/>
        <v>972125.00000000047</v>
      </c>
      <c r="V190" s="37">
        <f t="shared" ca="1" si="157"/>
        <v>972125.00000000047</v>
      </c>
      <c r="W190" s="37">
        <f t="shared" ca="1" si="157"/>
        <v>3486656.2500000009</v>
      </c>
      <c r="X190" s="37">
        <f t="shared" ca="1" si="157"/>
        <v>3486656.2500000009</v>
      </c>
      <c r="Y190" s="37">
        <f t="shared" ca="1" si="157"/>
        <v>1489377.976190472</v>
      </c>
      <c r="Z190" s="37">
        <f t="shared" ca="1" si="157"/>
        <v>1339285.7142857146</v>
      </c>
      <c r="AA190" s="37">
        <f t="shared" ca="1" si="157"/>
        <v>1517857.1428571418</v>
      </c>
      <c r="AB190" s="37">
        <f t="shared" ca="1" si="157"/>
        <v>1517857.1428571418</v>
      </c>
      <c r="AC190" s="37">
        <f t="shared" ca="1" si="157"/>
        <v>1517857.1428571418</v>
      </c>
      <c r="AD190" s="37">
        <f t="shared" ca="1" si="157"/>
        <v>1517857.1428571418</v>
      </c>
      <c r="AE190" s="37">
        <f t="shared" ca="1" si="157"/>
        <v>654761.90476190299</v>
      </c>
      <c r="AF190" s="37">
        <f t="shared" ca="1" si="157"/>
        <v>654761.90476190299</v>
      </c>
      <c r="AG190" s="37">
        <f t="shared" ca="1" si="157"/>
        <v>654761.90476190299</v>
      </c>
      <c r="AH190" s="37">
        <f t="shared" ca="1" si="157"/>
        <v>654761.90476190299</v>
      </c>
      <c r="AI190" s="37">
        <f t="shared" ca="1" si="157"/>
        <v>327380.95238095149</v>
      </c>
      <c r="AJ190" s="37">
        <f t="shared" ca="1" si="157"/>
        <v>327380.95238095149</v>
      </c>
      <c r="AK190" s="37">
        <f t="shared" ca="1" si="157"/>
        <v>327380.95238095149</v>
      </c>
      <c r="AL190" s="37">
        <f t="shared" ca="1" si="157"/>
        <v>327380.95238095149</v>
      </c>
      <c r="AM190" s="37">
        <f t="shared" ca="1" si="157"/>
        <v>148809.52380952239</v>
      </c>
      <c r="AN190" s="37">
        <f t="shared" ca="1" si="157"/>
        <v>148809.52380952239</v>
      </c>
      <c r="AO190" s="37">
        <f t="shared" ca="1" si="157"/>
        <v>148809.52380952239</v>
      </c>
      <c r="AP190" s="37">
        <f t="shared" ca="1" si="157"/>
        <v>148809.52380952239</v>
      </c>
      <c r="AQ190" s="37">
        <f t="shared" ca="1" si="157"/>
        <v>178571.4285714291</v>
      </c>
      <c r="AR190" s="37">
        <f t="shared" ca="1" si="157"/>
        <v>178571.4285714291</v>
      </c>
      <c r="AS190" s="37">
        <f t="shared" ca="1" si="157"/>
        <v>178571.4285714291</v>
      </c>
      <c r="AT190" s="37">
        <f t="shared" ca="1" si="157"/>
        <v>178571.4285714291</v>
      </c>
      <c r="AU190" s="37">
        <f t="shared" ca="1" si="157"/>
        <v>0</v>
      </c>
      <c r="AV190" s="37">
        <f t="shared" ca="1" si="157"/>
        <v>0</v>
      </c>
      <c r="AW190" s="37">
        <f t="shared" ca="1" si="157"/>
        <v>0</v>
      </c>
      <c r="AX190" s="37">
        <f t="shared" ca="1" si="157"/>
        <v>0</v>
      </c>
      <c r="AY190" s="37">
        <f t="shared" ca="1" si="157"/>
        <v>0</v>
      </c>
      <c r="AZ190" s="37">
        <f t="shared" ca="1" si="157"/>
        <v>0</v>
      </c>
      <c r="BA190" s="37">
        <f t="shared" ca="1" si="157"/>
        <v>0</v>
      </c>
      <c r="BB190" s="37">
        <f t="shared" ca="1" si="157"/>
        <v>0</v>
      </c>
      <c r="BC190" s="37">
        <f t="shared" ca="1" si="157"/>
        <v>0</v>
      </c>
      <c r="BD190" s="37">
        <f t="shared" ca="1" si="157"/>
        <v>0</v>
      </c>
      <c r="BE190" s="37">
        <f t="shared" ca="1" si="157"/>
        <v>0</v>
      </c>
      <c r="BF190" s="37">
        <f t="shared" ca="1" si="157"/>
        <v>0</v>
      </c>
      <c r="BG190" s="37">
        <f t="shared" ca="1" si="157"/>
        <v>0</v>
      </c>
      <c r="BH190" s="37">
        <f t="shared" ca="1" si="157"/>
        <v>0</v>
      </c>
      <c r="BI190" s="37">
        <f t="shared" ca="1" si="157"/>
        <v>0</v>
      </c>
      <c r="BJ190" s="37">
        <f t="shared" ca="1" si="157"/>
        <v>0</v>
      </c>
      <c r="BK190" s="37">
        <f t="shared" ca="1" si="157"/>
        <v>0</v>
      </c>
      <c r="BL190" s="37">
        <f t="shared" ca="1" si="157"/>
        <v>0</v>
      </c>
      <c r="BM190" s="37">
        <f t="shared" ca="1" si="157"/>
        <v>0</v>
      </c>
      <c r="BN190" s="37">
        <f t="shared" ca="1" si="157"/>
        <v>0</v>
      </c>
      <c r="BO190" s="37">
        <f t="shared" ca="1" si="157"/>
        <v>0</v>
      </c>
      <c r="BP190" s="37">
        <f t="shared" ca="1" si="157"/>
        <v>0</v>
      </c>
      <c r="BQ190" s="37">
        <f t="shared" ca="1" si="157"/>
        <v>0</v>
      </c>
      <c r="BR190" s="37">
        <f t="shared" ca="1" si="157"/>
        <v>0</v>
      </c>
      <c r="BS190" s="37">
        <f t="shared" ca="1" si="157"/>
        <v>0</v>
      </c>
      <c r="BT190" s="37">
        <f t="shared" ca="1" si="157"/>
        <v>0</v>
      </c>
      <c r="BU190" s="37">
        <f t="shared" ca="1" si="157"/>
        <v>0</v>
      </c>
      <c r="BV190" s="37">
        <f t="shared" ca="1" si="157"/>
        <v>0</v>
      </c>
      <c r="BW190" s="37">
        <f t="shared" ca="1" si="157"/>
        <v>0</v>
      </c>
      <c r="BX190" s="37">
        <f t="shared" ca="1" si="157"/>
        <v>0</v>
      </c>
      <c r="BY190" s="37">
        <f t="shared" ca="1" si="157"/>
        <v>0</v>
      </c>
      <c r="BZ190" s="37">
        <f t="shared" ca="1" si="157"/>
        <v>0</v>
      </c>
      <c r="CA190" s="37">
        <f t="shared" ca="1" si="157"/>
        <v>0</v>
      </c>
      <c r="CB190" s="37">
        <f t="shared" ca="1" si="157"/>
        <v>0</v>
      </c>
      <c r="CC190" s="37">
        <f t="shared" ca="1" si="157"/>
        <v>0</v>
      </c>
      <c r="CD190" s="37">
        <f t="shared" ca="1" si="157"/>
        <v>0</v>
      </c>
      <c r="CE190" s="37">
        <f t="shared" ca="1" si="157"/>
        <v>0</v>
      </c>
      <c r="CF190" s="37">
        <f t="shared" ca="1" si="157"/>
        <v>0</v>
      </c>
      <c r="CG190" s="37">
        <f t="shared" ca="1" si="157"/>
        <v>0</v>
      </c>
      <c r="CH190" s="37">
        <f t="shared" ca="1" si="157"/>
        <v>0</v>
      </c>
    </row>
    <row r="191" spans="1:86" ht="13">
      <c r="A191" s="13"/>
      <c r="B191" s="13" t="s">
        <v>308</v>
      </c>
      <c r="C191" s="13" t="s">
        <v>309</v>
      </c>
      <c r="D191" s="13" t="s">
        <v>247</v>
      </c>
      <c r="E191" s="37">
        <f t="shared" ca="1" si="154"/>
        <v>24999999.999999981</v>
      </c>
      <c r="F191" s="48"/>
      <c r="G191" s="37">
        <f t="shared" ref="G191:CH191" ca="1" si="158">F191+G190</f>
        <v>0</v>
      </c>
      <c r="H191" s="37">
        <f t="shared" ca="1" si="158"/>
        <v>0</v>
      </c>
      <c r="I191" s="37">
        <f t="shared" ca="1" si="158"/>
        <v>0</v>
      </c>
      <c r="J191" s="37">
        <f t="shared" ca="1" si="158"/>
        <v>0</v>
      </c>
      <c r="K191" s="37">
        <f t="shared" ca="1" si="158"/>
        <v>0</v>
      </c>
      <c r="L191" s="37">
        <f t="shared" ca="1" si="158"/>
        <v>0</v>
      </c>
      <c r="M191" s="37">
        <f t="shared" ca="1" si="158"/>
        <v>0</v>
      </c>
      <c r="N191" s="37">
        <f t="shared" ca="1" si="158"/>
        <v>0</v>
      </c>
      <c r="O191" s="37">
        <f t="shared" ca="1" si="158"/>
        <v>0</v>
      </c>
      <c r="P191" s="37">
        <f t="shared" ca="1" si="158"/>
        <v>0</v>
      </c>
      <c r="Q191" s="37">
        <f t="shared" ca="1" si="158"/>
        <v>0</v>
      </c>
      <c r="R191" s="37">
        <f t="shared" ca="1" si="158"/>
        <v>0</v>
      </c>
      <c r="S191" s="37">
        <f t="shared" ca="1" si="158"/>
        <v>972125.00000000047</v>
      </c>
      <c r="T191" s="37">
        <f t="shared" ca="1" si="158"/>
        <v>1944250.0000000009</v>
      </c>
      <c r="U191" s="37">
        <f t="shared" ca="1" si="158"/>
        <v>2916375.0000000014</v>
      </c>
      <c r="V191" s="37">
        <f t="shared" ca="1" si="158"/>
        <v>3888500.0000000019</v>
      </c>
      <c r="W191" s="37">
        <f t="shared" ca="1" si="158"/>
        <v>7375156.2500000028</v>
      </c>
      <c r="X191" s="37">
        <f t="shared" ca="1" si="158"/>
        <v>10861812.500000004</v>
      </c>
      <c r="Y191" s="37">
        <f t="shared" ca="1" si="158"/>
        <v>12351190.476190476</v>
      </c>
      <c r="Z191" s="37">
        <f t="shared" ca="1" si="158"/>
        <v>13690476.19047619</v>
      </c>
      <c r="AA191" s="37">
        <f t="shared" ca="1" si="158"/>
        <v>15208333.333333332</v>
      </c>
      <c r="AB191" s="37">
        <f t="shared" ca="1" si="158"/>
        <v>16726190.476190474</v>
      </c>
      <c r="AC191" s="37">
        <f t="shared" ca="1" si="158"/>
        <v>18244047.619047616</v>
      </c>
      <c r="AD191" s="37">
        <f t="shared" ca="1" si="158"/>
        <v>19761904.761904757</v>
      </c>
      <c r="AE191" s="37">
        <f t="shared" ca="1" si="158"/>
        <v>20416666.66666666</v>
      </c>
      <c r="AF191" s="37">
        <f t="shared" ca="1" si="158"/>
        <v>21071428.571428563</v>
      </c>
      <c r="AG191" s="37">
        <f t="shared" ca="1" si="158"/>
        <v>21726190.476190466</v>
      </c>
      <c r="AH191" s="37">
        <f t="shared" ca="1" si="158"/>
        <v>22380952.380952369</v>
      </c>
      <c r="AI191" s="37">
        <f t="shared" ca="1" si="158"/>
        <v>22708333.333333321</v>
      </c>
      <c r="AJ191" s="37">
        <f t="shared" ca="1" si="158"/>
        <v>23035714.285714272</v>
      </c>
      <c r="AK191" s="37">
        <f t="shared" ca="1" si="158"/>
        <v>23363095.238095224</v>
      </c>
      <c r="AL191" s="37">
        <f t="shared" ca="1" si="158"/>
        <v>23690476.190476175</v>
      </c>
      <c r="AM191" s="37">
        <f t="shared" ca="1" si="158"/>
        <v>23839285.714285698</v>
      </c>
      <c r="AN191" s="37">
        <f t="shared" ca="1" si="158"/>
        <v>23988095.23809522</v>
      </c>
      <c r="AO191" s="37">
        <f t="shared" ca="1" si="158"/>
        <v>24136904.761904743</v>
      </c>
      <c r="AP191" s="37">
        <f t="shared" ca="1" si="158"/>
        <v>24285714.285714265</v>
      </c>
      <c r="AQ191" s="37">
        <f t="shared" ca="1" si="158"/>
        <v>24464285.714285694</v>
      </c>
      <c r="AR191" s="37">
        <f t="shared" ca="1" si="158"/>
        <v>24642857.142857123</v>
      </c>
      <c r="AS191" s="37">
        <f t="shared" ca="1" si="158"/>
        <v>24821428.571428552</v>
      </c>
      <c r="AT191" s="37">
        <f t="shared" ca="1" si="158"/>
        <v>24999999.999999981</v>
      </c>
      <c r="AU191" s="37">
        <f t="shared" ca="1" si="158"/>
        <v>24999999.999999981</v>
      </c>
      <c r="AV191" s="37">
        <f t="shared" ca="1" si="158"/>
        <v>24999999.999999981</v>
      </c>
      <c r="AW191" s="37">
        <f t="shared" ca="1" si="158"/>
        <v>24999999.999999981</v>
      </c>
      <c r="AX191" s="37">
        <f t="shared" ca="1" si="158"/>
        <v>24999999.999999981</v>
      </c>
      <c r="AY191" s="37">
        <f t="shared" ca="1" si="158"/>
        <v>24999999.999999981</v>
      </c>
      <c r="AZ191" s="37">
        <f t="shared" ca="1" si="158"/>
        <v>24999999.999999981</v>
      </c>
      <c r="BA191" s="37">
        <f t="shared" ca="1" si="158"/>
        <v>24999999.999999981</v>
      </c>
      <c r="BB191" s="37">
        <f t="shared" ca="1" si="158"/>
        <v>24999999.999999981</v>
      </c>
      <c r="BC191" s="37">
        <f t="shared" ca="1" si="158"/>
        <v>24999999.999999981</v>
      </c>
      <c r="BD191" s="37">
        <f t="shared" ca="1" si="158"/>
        <v>24999999.999999981</v>
      </c>
      <c r="BE191" s="37">
        <f t="shared" ca="1" si="158"/>
        <v>24999999.999999981</v>
      </c>
      <c r="BF191" s="37">
        <f t="shared" ca="1" si="158"/>
        <v>24999999.999999981</v>
      </c>
      <c r="BG191" s="37">
        <f t="shared" ca="1" si="158"/>
        <v>24999999.999999981</v>
      </c>
      <c r="BH191" s="37">
        <f t="shared" ca="1" si="158"/>
        <v>24999999.999999981</v>
      </c>
      <c r="BI191" s="37">
        <f t="shared" ca="1" si="158"/>
        <v>24999999.999999981</v>
      </c>
      <c r="BJ191" s="37">
        <f t="shared" ca="1" si="158"/>
        <v>24999999.999999981</v>
      </c>
      <c r="BK191" s="37">
        <f t="shared" ca="1" si="158"/>
        <v>24999999.999999981</v>
      </c>
      <c r="BL191" s="37">
        <f t="shared" ca="1" si="158"/>
        <v>24999999.999999981</v>
      </c>
      <c r="BM191" s="37">
        <f t="shared" ca="1" si="158"/>
        <v>24999999.999999981</v>
      </c>
      <c r="BN191" s="37">
        <f t="shared" ca="1" si="158"/>
        <v>24999999.999999981</v>
      </c>
      <c r="BO191" s="37">
        <f t="shared" ca="1" si="158"/>
        <v>24999999.999999981</v>
      </c>
      <c r="BP191" s="37">
        <f t="shared" ca="1" si="158"/>
        <v>24999999.999999981</v>
      </c>
      <c r="BQ191" s="37">
        <f t="shared" ca="1" si="158"/>
        <v>24999999.999999981</v>
      </c>
      <c r="BR191" s="37">
        <f t="shared" ca="1" si="158"/>
        <v>24999999.999999981</v>
      </c>
      <c r="BS191" s="37">
        <f t="shared" ca="1" si="158"/>
        <v>24999999.999999981</v>
      </c>
      <c r="BT191" s="37">
        <f t="shared" ca="1" si="158"/>
        <v>24999999.999999981</v>
      </c>
      <c r="BU191" s="37">
        <f t="shared" ca="1" si="158"/>
        <v>24999999.999999981</v>
      </c>
      <c r="BV191" s="37">
        <f t="shared" ca="1" si="158"/>
        <v>24999999.999999981</v>
      </c>
      <c r="BW191" s="37">
        <f t="shared" ca="1" si="158"/>
        <v>24999999.999999981</v>
      </c>
      <c r="BX191" s="37">
        <f t="shared" ca="1" si="158"/>
        <v>24999999.999999981</v>
      </c>
      <c r="BY191" s="37">
        <f t="shared" ca="1" si="158"/>
        <v>24999999.999999981</v>
      </c>
      <c r="BZ191" s="37">
        <f t="shared" ca="1" si="158"/>
        <v>24999999.999999981</v>
      </c>
      <c r="CA191" s="37">
        <f t="shared" ca="1" si="158"/>
        <v>24999999.999999981</v>
      </c>
      <c r="CB191" s="37">
        <f t="shared" ca="1" si="158"/>
        <v>24999999.999999981</v>
      </c>
      <c r="CC191" s="37">
        <f t="shared" ca="1" si="158"/>
        <v>24999999.999999981</v>
      </c>
      <c r="CD191" s="37">
        <f t="shared" ca="1" si="158"/>
        <v>24999999.999999981</v>
      </c>
      <c r="CE191" s="37">
        <f t="shared" ca="1" si="158"/>
        <v>24999999.999999981</v>
      </c>
      <c r="CF191" s="37">
        <f t="shared" ca="1" si="158"/>
        <v>24999999.999999981</v>
      </c>
      <c r="CG191" s="37">
        <f t="shared" ca="1" si="158"/>
        <v>24999999.999999981</v>
      </c>
      <c r="CH191" s="37">
        <f t="shared" ca="1" si="158"/>
        <v>24999999.999999981</v>
      </c>
    </row>
    <row r="192" spans="1:86" ht="13">
      <c r="A192" s="13"/>
      <c r="B192" s="13" t="s">
        <v>310</v>
      </c>
      <c r="C192" s="13" t="s">
        <v>311</v>
      </c>
      <c r="D192" s="13" t="s">
        <v>247</v>
      </c>
      <c r="E192" s="37">
        <f t="shared" ca="1" si="154"/>
        <v>0</v>
      </c>
      <c r="F192" s="48"/>
      <c r="G192" s="37">
        <f t="shared" ref="G192:CH192" ca="1" si="159">G84-G191</f>
        <v>1444375</v>
      </c>
      <c r="H192" s="37">
        <f t="shared" ca="1" si="159"/>
        <v>2788750</v>
      </c>
      <c r="I192" s="37">
        <f t="shared" ca="1" si="159"/>
        <v>4133125</v>
      </c>
      <c r="J192" s="37">
        <f t="shared" ca="1" si="159"/>
        <v>5477500</v>
      </c>
      <c r="K192" s="37">
        <f t="shared" ca="1" si="159"/>
        <v>6821875</v>
      </c>
      <c r="L192" s="37">
        <f t="shared" ca="1" si="159"/>
        <v>8166250</v>
      </c>
      <c r="M192" s="37">
        <f t="shared" ca="1" si="159"/>
        <v>9510625</v>
      </c>
      <c r="N192" s="37">
        <f t="shared" ca="1" si="159"/>
        <v>10855000</v>
      </c>
      <c r="O192" s="37">
        <f t="shared" ca="1" si="159"/>
        <v>12199375</v>
      </c>
      <c r="P192" s="37">
        <f t="shared" ca="1" si="159"/>
        <v>13543750</v>
      </c>
      <c r="Q192" s="37">
        <f t="shared" ca="1" si="159"/>
        <v>14888125</v>
      </c>
      <c r="R192" s="37">
        <f t="shared" ca="1" si="159"/>
        <v>16232500</v>
      </c>
      <c r="S192" s="37">
        <f t="shared" ca="1" si="159"/>
        <v>16604750</v>
      </c>
      <c r="T192" s="37">
        <f t="shared" ca="1" si="159"/>
        <v>16977000</v>
      </c>
      <c r="U192" s="37">
        <f t="shared" ca="1" si="159"/>
        <v>17349250</v>
      </c>
      <c r="V192" s="37">
        <f t="shared" ca="1" si="159"/>
        <v>17721500</v>
      </c>
      <c r="W192" s="37">
        <f t="shared" ca="1" si="159"/>
        <v>14376093.749999996</v>
      </c>
      <c r="X192" s="37">
        <f t="shared" ca="1" si="159"/>
        <v>11030687.499999996</v>
      </c>
      <c r="Y192" s="37">
        <f t="shared" ca="1" si="159"/>
        <v>9682559.5238095243</v>
      </c>
      <c r="Z192" s="37">
        <f t="shared" ca="1" si="159"/>
        <v>8484523.8095238097</v>
      </c>
      <c r="AA192" s="37">
        <f t="shared" ca="1" si="159"/>
        <v>7107916.6666666679</v>
      </c>
      <c r="AB192" s="37">
        <f t="shared" ca="1" si="159"/>
        <v>5731309.5238095261</v>
      </c>
      <c r="AC192" s="37">
        <f t="shared" ca="1" si="159"/>
        <v>4354702.3809523843</v>
      </c>
      <c r="AD192" s="37">
        <f t="shared" ca="1" si="159"/>
        <v>2978095.2380952425</v>
      </c>
      <c r="AE192" s="37">
        <f t="shared" ca="1" si="159"/>
        <v>2464583.3333333395</v>
      </c>
      <c r="AF192" s="37">
        <f t="shared" ca="1" si="159"/>
        <v>1951071.4285714366</v>
      </c>
      <c r="AG192" s="37">
        <f t="shared" ca="1" si="159"/>
        <v>1437559.5238095336</v>
      </c>
      <c r="AH192" s="37">
        <f t="shared" ca="1" si="159"/>
        <v>924047.61904763058</v>
      </c>
      <c r="AI192" s="37">
        <f t="shared" ca="1" si="159"/>
        <v>737916.66666667908</v>
      </c>
      <c r="AJ192" s="37">
        <f t="shared" ca="1" si="159"/>
        <v>551785.71428572759</v>
      </c>
      <c r="AK192" s="37">
        <f t="shared" ca="1" si="159"/>
        <v>365654.7619047761</v>
      </c>
      <c r="AL192" s="37">
        <f t="shared" ca="1" si="159"/>
        <v>179523.8095238246</v>
      </c>
      <c r="AM192" s="37">
        <f t="shared" ca="1" si="159"/>
        <v>171964.28571430221</v>
      </c>
      <c r="AN192" s="37">
        <f t="shared" ca="1" si="159"/>
        <v>164404.76190477982</v>
      </c>
      <c r="AO192" s="37">
        <f t="shared" ca="1" si="159"/>
        <v>156845.23809525743</v>
      </c>
      <c r="AP192" s="37">
        <f t="shared" ca="1" si="159"/>
        <v>149285.71428573504</v>
      </c>
      <c r="AQ192" s="37">
        <f t="shared" ca="1" si="159"/>
        <v>111964.28571430594</v>
      </c>
      <c r="AR192" s="37">
        <f t="shared" ca="1" si="159"/>
        <v>74642.857142876834</v>
      </c>
      <c r="AS192" s="37">
        <f t="shared" ca="1" si="159"/>
        <v>37321.42857144773</v>
      </c>
      <c r="AT192" s="37">
        <f t="shared" ca="1" si="159"/>
        <v>0</v>
      </c>
      <c r="AU192" s="37">
        <f t="shared" ca="1" si="159"/>
        <v>0</v>
      </c>
      <c r="AV192" s="37">
        <f t="shared" ca="1" si="159"/>
        <v>0</v>
      </c>
      <c r="AW192" s="37">
        <f t="shared" ca="1" si="159"/>
        <v>0</v>
      </c>
      <c r="AX192" s="37">
        <f t="shared" ca="1" si="159"/>
        <v>0</v>
      </c>
      <c r="AY192" s="37">
        <f t="shared" ca="1" si="159"/>
        <v>0</v>
      </c>
      <c r="AZ192" s="37">
        <f t="shared" ca="1" si="159"/>
        <v>0</v>
      </c>
      <c r="BA192" s="37">
        <f t="shared" ca="1" si="159"/>
        <v>0</v>
      </c>
      <c r="BB192" s="37">
        <f t="shared" ca="1" si="159"/>
        <v>0</v>
      </c>
      <c r="BC192" s="37">
        <f t="shared" ca="1" si="159"/>
        <v>0</v>
      </c>
      <c r="BD192" s="37">
        <f t="shared" ca="1" si="159"/>
        <v>0</v>
      </c>
      <c r="BE192" s="37">
        <f t="shared" ca="1" si="159"/>
        <v>0</v>
      </c>
      <c r="BF192" s="37">
        <f t="shared" ca="1" si="159"/>
        <v>0</v>
      </c>
      <c r="BG192" s="37">
        <f t="shared" ca="1" si="159"/>
        <v>0</v>
      </c>
      <c r="BH192" s="37">
        <f t="shared" ca="1" si="159"/>
        <v>0</v>
      </c>
      <c r="BI192" s="37">
        <f t="shared" ca="1" si="159"/>
        <v>0</v>
      </c>
      <c r="BJ192" s="37">
        <f t="shared" ca="1" si="159"/>
        <v>0</v>
      </c>
      <c r="BK192" s="37">
        <f t="shared" ca="1" si="159"/>
        <v>0</v>
      </c>
      <c r="BL192" s="37">
        <f t="shared" ca="1" si="159"/>
        <v>0</v>
      </c>
      <c r="BM192" s="37">
        <f t="shared" ca="1" si="159"/>
        <v>0</v>
      </c>
      <c r="BN192" s="37">
        <f t="shared" ca="1" si="159"/>
        <v>0</v>
      </c>
      <c r="BO192" s="37">
        <f t="shared" ca="1" si="159"/>
        <v>0</v>
      </c>
      <c r="BP192" s="37">
        <f t="shared" ca="1" si="159"/>
        <v>0</v>
      </c>
      <c r="BQ192" s="37">
        <f t="shared" ca="1" si="159"/>
        <v>0</v>
      </c>
      <c r="BR192" s="37">
        <f t="shared" ca="1" si="159"/>
        <v>0</v>
      </c>
      <c r="BS192" s="37">
        <f t="shared" ca="1" si="159"/>
        <v>0</v>
      </c>
      <c r="BT192" s="37">
        <f t="shared" ca="1" si="159"/>
        <v>0</v>
      </c>
      <c r="BU192" s="37">
        <f t="shared" ca="1" si="159"/>
        <v>0</v>
      </c>
      <c r="BV192" s="37">
        <f t="shared" ca="1" si="159"/>
        <v>0</v>
      </c>
      <c r="BW192" s="37">
        <f t="shared" ca="1" si="159"/>
        <v>0</v>
      </c>
      <c r="BX192" s="37">
        <f t="shared" ca="1" si="159"/>
        <v>0</v>
      </c>
      <c r="BY192" s="37">
        <f t="shared" ca="1" si="159"/>
        <v>0</v>
      </c>
      <c r="BZ192" s="37">
        <f t="shared" ca="1" si="159"/>
        <v>0</v>
      </c>
      <c r="CA192" s="37">
        <f t="shared" ca="1" si="159"/>
        <v>0</v>
      </c>
      <c r="CB192" s="37">
        <f t="shared" ca="1" si="159"/>
        <v>0</v>
      </c>
      <c r="CC192" s="37">
        <f t="shared" ca="1" si="159"/>
        <v>0</v>
      </c>
      <c r="CD192" s="37">
        <f t="shared" ca="1" si="159"/>
        <v>0</v>
      </c>
      <c r="CE192" s="37">
        <f t="shared" ca="1" si="159"/>
        <v>0</v>
      </c>
      <c r="CF192" s="37">
        <f t="shared" ca="1" si="159"/>
        <v>0</v>
      </c>
      <c r="CG192" s="37">
        <f t="shared" ca="1" si="159"/>
        <v>0</v>
      </c>
      <c r="CH192" s="37">
        <f t="shared" ca="1" si="159"/>
        <v>0</v>
      </c>
    </row>
    <row r="193" spans="2:86" ht="13">
      <c r="B193" s="15" t="s">
        <v>312</v>
      </c>
      <c r="C193" s="15" t="s">
        <v>313</v>
      </c>
      <c r="D193" s="15" t="s">
        <v>238</v>
      </c>
      <c r="E193" s="29">
        <f t="shared" ca="1" si="154"/>
        <v>109016575</v>
      </c>
      <c r="F193" s="29"/>
      <c r="G193" s="37">
        <f t="shared" ref="G193:CH193" ca="1" si="160">G188-G190</f>
        <v>0</v>
      </c>
      <c r="H193" s="37">
        <f t="shared" ca="1" si="160"/>
        <v>0</v>
      </c>
      <c r="I193" s="37">
        <f t="shared" ca="1" si="160"/>
        <v>0</v>
      </c>
      <c r="J193" s="37">
        <f t="shared" ca="1" si="160"/>
        <v>0</v>
      </c>
      <c r="K193" s="37">
        <f t="shared" ca="1" si="160"/>
        <v>0</v>
      </c>
      <c r="L193" s="37">
        <f t="shared" ca="1" si="160"/>
        <v>0</v>
      </c>
      <c r="M193" s="37">
        <f t="shared" ca="1" si="160"/>
        <v>0</v>
      </c>
      <c r="N193" s="37">
        <f t="shared" ca="1" si="160"/>
        <v>0</v>
      </c>
      <c r="O193" s="37">
        <f t="shared" ca="1" si="160"/>
        <v>0</v>
      </c>
      <c r="P193" s="37">
        <f t="shared" ca="1" si="160"/>
        <v>0</v>
      </c>
      <c r="Q193" s="37">
        <f t="shared" ca="1" si="160"/>
        <v>0</v>
      </c>
      <c r="R193" s="37">
        <f t="shared" ca="1" si="160"/>
        <v>0</v>
      </c>
      <c r="S193" s="37">
        <f t="shared" ca="1" si="160"/>
        <v>0</v>
      </c>
      <c r="T193" s="37">
        <f t="shared" ca="1" si="160"/>
        <v>0</v>
      </c>
      <c r="U193" s="37">
        <f t="shared" ca="1" si="160"/>
        <v>0</v>
      </c>
      <c r="V193" s="37">
        <f t="shared" ca="1" si="160"/>
        <v>0</v>
      </c>
      <c r="W193" s="37">
        <f t="shared" ca="1" si="160"/>
        <v>0</v>
      </c>
      <c r="X193" s="37">
        <f t="shared" ca="1" si="160"/>
        <v>0</v>
      </c>
      <c r="Y193" s="37">
        <f t="shared" ca="1" si="160"/>
        <v>1997278.2738095289</v>
      </c>
      <c r="Z193" s="37">
        <f t="shared" ca="1" si="160"/>
        <v>2147370.5357142864</v>
      </c>
      <c r="AA193" s="37">
        <f t="shared" ca="1" si="160"/>
        <v>1968799.1071428591</v>
      </c>
      <c r="AB193" s="37">
        <f t="shared" ca="1" si="160"/>
        <v>1968799.1071428591</v>
      </c>
      <c r="AC193" s="37">
        <f t="shared" ca="1" si="160"/>
        <v>1968799.1071428591</v>
      </c>
      <c r="AD193" s="37">
        <f t="shared" ca="1" si="160"/>
        <v>1968799.1071428591</v>
      </c>
      <c r="AE193" s="37">
        <f t="shared" ca="1" si="160"/>
        <v>7622256.8452380951</v>
      </c>
      <c r="AF193" s="37">
        <f t="shared" ca="1" si="160"/>
        <v>7622256.8452380951</v>
      </c>
      <c r="AG193" s="37">
        <f t="shared" ca="1" si="160"/>
        <v>7622256.8452380951</v>
      </c>
      <c r="AH193" s="37">
        <f t="shared" ca="1" si="160"/>
        <v>7622256.8452380951</v>
      </c>
      <c r="AI193" s="37">
        <f t="shared" ca="1" si="160"/>
        <v>6949119.0476190466</v>
      </c>
      <c r="AJ193" s="37">
        <f t="shared" ca="1" si="160"/>
        <v>6949119.0476190466</v>
      </c>
      <c r="AK193" s="37">
        <f t="shared" ca="1" si="160"/>
        <v>6949119.0476190466</v>
      </c>
      <c r="AL193" s="37">
        <f t="shared" ca="1" si="160"/>
        <v>6949119.0476190466</v>
      </c>
      <c r="AM193" s="37">
        <f t="shared" ca="1" si="160"/>
        <v>4399002.9761904757</v>
      </c>
      <c r="AN193" s="37">
        <f t="shared" ca="1" si="160"/>
        <v>4399002.9761904757</v>
      </c>
      <c r="AO193" s="37">
        <f t="shared" ca="1" si="160"/>
        <v>4399002.9761904757</v>
      </c>
      <c r="AP193" s="37">
        <f t="shared" ca="1" si="160"/>
        <v>4399002.9761904757</v>
      </c>
      <c r="AQ193" s="37">
        <f t="shared" ca="1" si="160"/>
        <v>5278803.571428569</v>
      </c>
      <c r="AR193" s="37">
        <f t="shared" ca="1" si="160"/>
        <v>5278803.571428569</v>
      </c>
      <c r="AS193" s="37">
        <f t="shared" ca="1" si="160"/>
        <v>5278803.571428569</v>
      </c>
      <c r="AT193" s="37">
        <f t="shared" ca="1" si="160"/>
        <v>5278803.571428569</v>
      </c>
      <c r="AU193" s="37">
        <f t="shared" ca="1" si="160"/>
        <v>0</v>
      </c>
      <c r="AV193" s="37">
        <f t="shared" ca="1" si="160"/>
        <v>0</v>
      </c>
      <c r="AW193" s="37">
        <f t="shared" ca="1" si="160"/>
        <v>0</v>
      </c>
      <c r="AX193" s="37">
        <f t="shared" ca="1" si="160"/>
        <v>0</v>
      </c>
      <c r="AY193" s="37">
        <f t="shared" ca="1" si="160"/>
        <v>0</v>
      </c>
      <c r="AZ193" s="37">
        <f t="shared" ca="1" si="160"/>
        <v>0</v>
      </c>
      <c r="BA193" s="37">
        <f t="shared" ca="1" si="160"/>
        <v>0</v>
      </c>
      <c r="BB193" s="37">
        <f t="shared" ca="1" si="160"/>
        <v>0</v>
      </c>
      <c r="BC193" s="37">
        <f t="shared" ca="1" si="160"/>
        <v>0</v>
      </c>
      <c r="BD193" s="37">
        <f t="shared" ca="1" si="160"/>
        <v>0</v>
      </c>
      <c r="BE193" s="37">
        <f t="shared" ca="1" si="160"/>
        <v>0</v>
      </c>
      <c r="BF193" s="37">
        <f t="shared" ca="1" si="160"/>
        <v>0</v>
      </c>
      <c r="BG193" s="37">
        <f t="shared" ca="1" si="160"/>
        <v>0</v>
      </c>
      <c r="BH193" s="37">
        <f t="shared" ca="1" si="160"/>
        <v>0</v>
      </c>
      <c r="BI193" s="37">
        <f t="shared" ca="1" si="160"/>
        <v>0</v>
      </c>
      <c r="BJ193" s="37">
        <f t="shared" ca="1" si="160"/>
        <v>0</v>
      </c>
      <c r="BK193" s="37">
        <f t="shared" ca="1" si="160"/>
        <v>0</v>
      </c>
      <c r="BL193" s="37">
        <f t="shared" ca="1" si="160"/>
        <v>0</v>
      </c>
      <c r="BM193" s="37">
        <f t="shared" ca="1" si="160"/>
        <v>0</v>
      </c>
      <c r="BN193" s="37">
        <f t="shared" ca="1" si="160"/>
        <v>0</v>
      </c>
      <c r="BO193" s="37">
        <f t="shared" ca="1" si="160"/>
        <v>0</v>
      </c>
      <c r="BP193" s="37">
        <f t="shared" ca="1" si="160"/>
        <v>0</v>
      </c>
      <c r="BQ193" s="37">
        <f t="shared" ca="1" si="160"/>
        <v>0</v>
      </c>
      <c r="BR193" s="37">
        <f t="shared" ca="1" si="160"/>
        <v>0</v>
      </c>
      <c r="BS193" s="37">
        <f t="shared" ca="1" si="160"/>
        <v>0</v>
      </c>
      <c r="BT193" s="37">
        <f t="shared" ca="1" si="160"/>
        <v>0</v>
      </c>
      <c r="BU193" s="37">
        <f t="shared" ca="1" si="160"/>
        <v>0</v>
      </c>
      <c r="BV193" s="37">
        <f t="shared" ca="1" si="160"/>
        <v>0</v>
      </c>
      <c r="BW193" s="37">
        <f t="shared" ca="1" si="160"/>
        <v>0</v>
      </c>
      <c r="BX193" s="37">
        <f t="shared" ca="1" si="160"/>
        <v>0</v>
      </c>
      <c r="BY193" s="37">
        <f t="shared" ca="1" si="160"/>
        <v>0</v>
      </c>
      <c r="BZ193" s="37">
        <f t="shared" ca="1" si="160"/>
        <v>0</v>
      </c>
      <c r="CA193" s="37">
        <f t="shared" ca="1" si="160"/>
        <v>0</v>
      </c>
      <c r="CB193" s="37">
        <f t="shared" ca="1" si="160"/>
        <v>0</v>
      </c>
      <c r="CC193" s="37">
        <f t="shared" ca="1" si="160"/>
        <v>0</v>
      </c>
      <c r="CD193" s="37">
        <f t="shared" ca="1" si="160"/>
        <v>0</v>
      </c>
      <c r="CE193" s="37">
        <f t="shared" ca="1" si="160"/>
        <v>0</v>
      </c>
      <c r="CF193" s="37">
        <f t="shared" ca="1" si="160"/>
        <v>0</v>
      </c>
      <c r="CG193" s="37">
        <f t="shared" ca="1" si="160"/>
        <v>0</v>
      </c>
      <c r="CH193" s="37">
        <f t="shared" ca="1" si="160"/>
        <v>0</v>
      </c>
    </row>
    <row r="194" spans="2:86" ht="13">
      <c r="B194" s="15" t="s">
        <v>220</v>
      </c>
      <c r="C194" s="15" t="s">
        <v>314</v>
      </c>
      <c r="D194" s="15" t="s">
        <v>238</v>
      </c>
      <c r="E194" s="29">
        <f t="shared" ca="1" si="154"/>
        <v>21803315</v>
      </c>
      <c r="F194" s="29"/>
      <c r="G194" s="37">
        <f ca="1">G193*'Get Started'!$E14</f>
        <v>0</v>
      </c>
      <c r="H194" s="37">
        <f ca="1">H193*'Get Started'!$E14</f>
        <v>0</v>
      </c>
      <c r="I194" s="37">
        <f ca="1">I193*'Get Started'!$E14</f>
        <v>0</v>
      </c>
      <c r="J194" s="37">
        <f ca="1">J193*'Get Started'!$E14</f>
        <v>0</v>
      </c>
      <c r="K194" s="37">
        <f ca="1">K193*'Get Started'!$E14</f>
        <v>0</v>
      </c>
      <c r="L194" s="37">
        <f ca="1">L193*'Get Started'!$E14</f>
        <v>0</v>
      </c>
      <c r="M194" s="37">
        <f ca="1">M193*'Get Started'!$E14</f>
        <v>0</v>
      </c>
      <c r="N194" s="37">
        <f ca="1">N193*'Get Started'!$E14</f>
        <v>0</v>
      </c>
      <c r="O194" s="37">
        <f ca="1">O193*'Get Started'!$E14</f>
        <v>0</v>
      </c>
      <c r="P194" s="37">
        <f ca="1">P193*'Get Started'!$E14</f>
        <v>0</v>
      </c>
      <c r="Q194" s="37">
        <f ca="1">Q193*'Get Started'!$E14</f>
        <v>0</v>
      </c>
      <c r="R194" s="37">
        <f ca="1">R193*'Get Started'!$E14</f>
        <v>0</v>
      </c>
      <c r="S194" s="37">
        <f ca="1">S193*'Get Started'!$E14</f>
        <v>0</v>
      </c>
      <c r="T194" s="37">
        <f ca="1">T193*'Get Started'!$E14</f>
        <v>0</v>
      </c>
      <c r="U194" s="37">
        <f ca="1">U193*'Get Started'!$E14</f>
        <v>0</v>
      </c>
      <c r="V194" s="37">
        <f ca="1">V193*'Get Started'!$E14</f>
        <v>0</v>
      </c>
      <c r="W194" s="37">
        <f ca="1">W193*'Get Started'!$E14</f>
        <v>0</v>
      </c>
      <c r="X194" s="37">
        <f ca="1">X193*'Get Started'!$E14</f>
        <v>0</v>
      </c>
      <c r="Y194" s="37">
        <f ca="1">Y193*'Get Started'!$E14</f>
        <v>399455.65476190578</v>
      </c>
      <c r="Z194" s="37">
        <f ca="1">Z193*'Get Started'!$E14</f>
        <v>429474.10714285728</v>
      </c>
      <c r="AA194" s="37">
        <f ca="1">AA193*'Get Started'!$E14</f>
        <v>393759.82142857183</v>
      </c>
      <c r="AB194" s="37">
        <f ca="1">AB193*'Get Started'!$E14</f>
        <v>393759.82142857183</v>
      </c>
      <c r="AC194" s="37">
        <f ca="1">AC193*'Get Started'!$E14</f>
        <v>393759.82142857183</v>
      </c>
      <c r="AD194" s="37">
        <f ca="1">AD193*'Get Started'!$E14</f>
        <v>393759.82142857183</v>
      </c>
      <c r="AE194" s="37">
        <f ca="1">AE193*'Get Started'!$E14</f>
        <v>1524451.3690476192</v>
      </c>
      <c r="AF194" s="37">
        <f ca="1">AF193*'Get Started'!$E14</f>
        <v>1524451.3690476192</v>
      </c>
      <c r="AG194" s="37">
        <f ca="1">AG193*'Get Started'!$E14</f>
        <v>1524451.3690476192</v>
      </c>
      <c r="AH194" s="37">
        <f ca="1">AH193*'Get Started'!$E14</f>
        <v>1524451.3690476192</v>
      </c>
      <c r="AI194" s="37">
        <f ca="1">AI193*'Get Started'!$E14</f>
        <v>1389823.8095238095</v>
      </c>
      <c r="AJ194" s="37">
        <f ca="1">AJ193*'Get Started'!$E14</f>
        <v>1389823.8095238095</v>
      </c>
      <c r="AK194" s="37">
        <f ca="1">AK193*'Get Started'!$E14</f>
        <v>1389823.8095238095</v>
      </c>
      <c r="AL194" s="37">
        <f ca="1">AL193*'Get Started'!$E14</f>
        <v>1389823.8095238095</v>
      </c>
      <c r="AM194" s="37">
        <f ca="1">AM193*'Get Started'!$E14</f>
        <v>879800.59523809515</v>
      </c>
      <c r="AN194" s="37">
        <f ca="1">AN193*'Get Started'!$E14</f>
        <v>879800.59523809515</v>
      </c>
      <c r="AO194" s="37">
        <f ca="1">AO193*'Get Started'!$E14</f>
        <v>879800.59523809515</v>
      </c>
      <c r="AP194" s="37">
        <f ca="1">AP193*'Get Started'!$E14</f>
        <v>879800.59523809515</v>
      </c>
      <c r="AQ194" s="37">
        <f ca="1">AQ193*'Get Started'!$E14</f>
        <v>1055760.7142857139</v>
      </c>
      <c r="AR194" s="37">
        <f ca="1">AR193*'Get Started'!$E14</f>
        <v>1055760.7142857139</v>
      </c>
      <c r="AS194" s="37">
        <f ca="1">AS193*'Get Started'!$E14</f>
        <v>1055760.7142857139</v>
      </c>
      <c r="AT194" s="37">
        <f ca="1">AT193*'Get Started'!$E14</f>
        <v>1055760.7142857139</v>
      </c>
      <c r="AU194" s="37">
        <f ca="1">AU193*'Get Started'!$E14</f>
        <v>0</v>
      </c>
      <c r="AV194" s="37">
        <f ca="1">AV193*'Get Started'!$E14</f>
        <v>0</v>
      </c>
      <c r="AW194" s="37">
        <f ca="1">AW193*'Get Started'!$E14</f>
        <v>0</v>
      </c>
      <c r="AX194" s="37">
        <f ca="1">AX193*'Get Started'!$E14</f>
        <v>0</v>
      </c>
      <c r="AY194" s="37">
        <f ca="1">AY193*'Get Started'!$E14</f>
        <v>0</v>
      </c>
      <c r="AZ194" s="37">
        <f ca="1">AZ193*'Get Started'!$E14</f>
        <v>0</v>
      </c>
      <c r="BA194" s="37">
        <f ca="1">BA193*'Get Started'!$E14</f>
        <v>0</v>
      </c>
      <c r="BB194" s="37">
        <f ca="1">BB193*'Get Started'!$E14</f>
        <v>0</v>
      </c>
      <c r="BC194" s="37">
        <f ca="1">BC193*'Get Started'!$E14</f>
        <v>0</v>
      </c>
      <c r="BD194" s="37">
        <f ca="1">BD193*'Get Started'!$E14</f>
        <v>0</v>
      </c>
      <c r="BE194" s="37">
        <f ca="1">BE193*'Get Started'!$E14</f>
        <v>0</v>
      </c>
      <c r="BF194" s="37">
        <f ca="1">BF193*'Get Started'!$E14</f>
        <v>0</v>
      </c>
      <c r="BG194" s="37">
        <f ca="1">BG193*'Get Started'!$E14</f>
        <v>0</v>
      </c>
      <c r="BH194" s="37">
        <f ca="1">BH193*'Get Started'!$E14</f>
        <v>0</v>
      </c>
      <c r="BI194" s="37">
        <f ca="1">BI193*'Get Started'!$E14</f>
        <v>0</v>
      </c>
      <c r="BJ194" s="37">
        <f ca="1">BJ193*'Get Started'!$E14</f>
        <v>0</v>
      </c>
      <c r="BK194" s="37">
        <f ca="1">BK193*'Get Started'!$E14</f>
        <v>0</v>
      </c>
      <c r="BL194" s="37">
        <f ca="1">BL193*'Get Started'!$E14</f>
        <v>0</v>
      </c>
      <c r="BM194" s="37">
        <f ca="1">BM193*'Get Started'!$E14</f>
        <v>0</v>
      </c>
      <c r="BN194" s="37">
        <f ca="1">BN193*'Get Started'!$E14</f>
        <v>0</v>
      </c>
      <c r="BO194" s="37">
        <f ca="1">BO193*'Get Started'!$E14</f>
        <v>0</v>
      </c>
      <c r="BP194" s="37">
        <f ca="1">BP193*'Get Started'!$E14</f>
        <v>0</v>
      </c>
      <c r="BQ194" s="37">
        <f ca="1">BQ193*'Get Started'!$E14</f>
        <v>0</v>
      </c>
      <c r="BR194" s="37">
        <f ca="1">BR193*'Get Started'!$E14</f>
        <v>0</v>
      </c>
      <c r="BS194" s="37">
        <f ca="1">BS193*'Get Started'!$E14</f>
        <v>0</v>
      </c>
      <c r="BT194" s="37">
        <f ca="1">BT193*'Get Started'!$E14</f>
        <v>0</v>
      </c>
      <c r="BU194" s="37">
        <f ca="1">BU193*'Get Started'!$E14</f>
        <v>0</v>
      </c>
      <c r="BV194" s="37">
        <f ca="1">BV193*'Get Started'!$E14</f>
        <v>0</v>
      </c>
      <c r="BW194" s="37">
        <f ca="1">BW193*'Get Started'!$E14</f>
        <v>0</v>
      </c>
      <c r="BX194" s="37">
        <f ca="1">BX193*'Get Started'!$E14</f>
        <v>0</v>
      </c>
      <c r="BY194" s="37">
        <f ca="1">BY193*'Get Started'!$E14</f>
        <v>0</v>
      </c>
      <c r="BZ194" s="37">
        <f ca="1">BZ193*'Get Started'!$E14</f>
        <v>0</v>
      </c>
      <c r="CA194" s="37">
        <f ca="1">CA193*'Get Started'!$E14</f>
        <v>0</v>
      </c>
      <c r="CB194" s="37">
        <f ca="1">CB193*'Get Started'!$E14</f>
        <v>0</v>
      </c>
      <c r="CC194" s="37">
        <f ca="1">CC193*'Get Started'!$E14</f>
        <v>0</v>
      </c>
      <c r="CD194" s="37">
        <f ca="1">CD193*'Get Started'!$E14</f>
        <v>0</v>
      </c>
      <c r="CE194" s="37">
        <f ca="1">CE193*'Get Started'!$E14</f>
        <v>0</v>
      </c>
      <c r="CF194" s="37">
        <f ca="1">CF193*'Get Started'!$E14</f>
        <v>0</v>
      </c>
      <c r="CG194" s="37">
        <f ca="1">CG193*'Get Started'!$E14</f>
        <v>0</v>
      </c>
      <c r="CH194" s="37">
        <f ca="1">CH193*'Get Started'!$E14</f>
        <v>0</v>
      </c>
    </row>
    <row r="195" spans="2:86" ht="13">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c r="CE195" s="29"/>
      <c r="CF195" s="29"/>
      <c r="CG195" s="29"/>
      <c r="CH195" s="29"/>
    </row>
    <row r="196" spans="2:86" ht="13">
      <c r="B196" s="76" t="s">
        <v>315</v>
      </c>
      <c r="C196" s="15"/>
      <c r="D196" s="15"/>
      <c r="E196" s="77"/>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c r="CE196" s="29"/>
      <c r="CF196" s="29"/>
      <c r="CG196" s="29"/>
      <c r="CH196" s="29"/>
    </row>
    <row r="197" spans="2:86" ht="13">
      <c r="B197" s="15" t="s">
        <v>260</v>
      </c>
      <c r="C197" s="15"/>
      <c r="D197" s="15" t="s">
        <v>238</v>
      </c>
      <c r="E197" s="29">
        <f t="shared" ref="E197:E201" ca="1" si="161">IF(D197="sum",SUM(G197:CH197),IF(D197="final",CH197,IF(D197="initial",G197,IF(D197="average",AVERAGE(G197:CH197),0))))</f>
        <v>-20212500</v>
      </c>
      <c r="F197" s="82" t="str">
        <f t="shared" ref="F197:F201" si="162">B197</f>
        <v>New Investments</v>
      </c>
      <c r="G197" s="29">
        <f t="shared" ref="G197:CH197" ca="1" si="163">-1*G33</f>
        <v>-1203125</v>
      </c>
      <c r="H197" s="29">
        <f t="shared" ca="1" si="163"/>
        <v>-1203125</v>
      </c>
      <c r="I197" s="29">
        <f t="shared" ca="1" si="163"/>
        <v>-1203125</v>
      </c>
      <c r="J197" s="29">
        <f t="shared" ca="1" si="163"/>
        <v>-1203125</v>
      </c>
      <c r="K197" s="29">
        <f t="shared" ca="1" si="163"/>
        <v>-1203125</v>
      </c>
      <c r="L197" s="29">
        <f t="shared" ca="1" si="163"/>
        <v>-1203125</v>
      </c>
      <c r="M197" s="29">
        <f t="shared" ca="1" si="163"/>
        <v>-1203125</v>
      </c>
      <c r="N197" s="29">
        <f t="shared" ca="1" si="163"/>
        <v>-1203125</v>
      </c>
      <c r="O197" s="29">
        <f t="shared" ca="1" si="163"/>
        <v>-1203125</v>
      </c>
      <c r="P197" s="29">
        <f t="shared" ca="1" si="163"/>
        <v>-1203125</v>
      </c>
      <c r="Q197" s="29">
        <f t="shared" ca="1" si="163"/>
        <v>-1203125</v>
      </c>
      <c r="R197" s="29">
        <f t="shared" ca="1" si="163"/>
        <v>-1203125</v>
      </c>
      <c r="S197" s="29">
        <f t="shared" ca="1" si="163"/>
        <v>-1443750</v>
      </c>
      <c r="T197" s="29">
        <f t="shared" ca="1" si="163"/>
        <v>-1443750</v>
      </c>
      <c r="U197" s="29">
        <f t="shared" ca="1" si="163"/>
        <v>-1443750</v>
      </c>
      <c r="V197" s="29">
        <f t="shared" ca="1" si="163"/>
        <v>-1443750</v>
      </c>
      <c r="W197" s="29">
        <f t="shared" si="163"/>
        <v>0</v>
      </c>
      <c r="X197" s="29">
        <f t="shared" si="163"/>
        <v>0</v>
      </c>
      <c r="Y197" s="29">
        <f t="shared" si="163"/>
        <v>0</v>
      </c>
      <c r="Z197" s="29">
        <f t="shared" si="163"/>
        <v>0</v>
      </c>
      <c r="AA197" s="29">
        <f t="shared" si="163"/>
        <v>0</v>
      </c>
      <c r="AB197" s="29">
        <f t="shared" si="163"/>
        <v>0</v>
      </c>
      <c r="AC197" s="29">
        <f t="shared" si="163"/>
        <v>0</v>
      </c>
      <c r="AD197" s="29">
        <f t="shared" si="163"/>
        <v>0</v>
      </c>
      <c r="AE197" s="29">
        <f t="shared" si="163"/>
        <v>0</v>
      </c>
      <c r="AF197" s="29">
        <f t="shared" si="163"/>
        <v>0</v>
      </c>
      <c r="AG197" s="29">
        <f t="shared" si="163"/>
        <v>0</v>
      </c>
      <c r="AH197" s="29">
        <f t="shared" si="163"/>
        <v>0</v>
      </c>
      <c r="AI197" s="29">
        <f t="shared" si="163"/>
        <v>0</v>
      </c>
      <c r="AJ197" s="29">
        <f t="shared" si="163"/>
        <v>0</v>
      </c>
      <c r="AK197" s="29">
        <f t="shared" si="163"/>
        <v>0</v>
      </c>
      <c r="AL197" s="29">
        <f t="shared" si="163"/>
        <v>0</v>
      </c>
      <c r="AM197" s="29">
        <f t="shared" si="163"/>
        <v>0</v>
      </c>
      <c r="AN197" s="29">
        <f t="shared" si="163"/>
        <v>0</v>
      </c>
      <c r="AO197" s="29">
        <f t="shared" si="163"/>
        <v>0</v>
      </c>
      <c r="AP197" s="29">
        <f t="shared" si="163"/>
        <v>0</v>
      </c>
      <c r="AQ197" s="29">
        <f t="shared" si="163"/>
        <v>0</v>
      </c>
      <c r="AR197" s="29">
        <f t="shared" si="163"/>
        <v>0</v>
      </c>
      <c r="AS197" s="29">
        <f t="shared" si="163"/>
        <v>0</v>
      </c>
      <c r="AT197" s="29">
        <f t="shared" si="163"/>
        <v>0</v>
      </c>
      <c r="AU197" s="29">
        <f t="shared" si="163"/>
        <v>0</v>
      </c>
      <c r="AV197" s="29">
        <f t="shared" si="163"/>
        <v>0</v>
      </c>
      <c r="AW197" s="29">
        <f t="shared" si="163"/>
        <v>0</v>
      </c>
      <c r="AX197" s="29">
        <f t="shared" si="163"/>
        <v>0</v>
      </c>
      <c r="AY197" s="29">
        <f t="shared" si="163"/>
        <v>0</v>
      </c>
      <c r="AZ197" s="29">
        <f t="shared" si="163"/>
        <v>0</v>
      </c>
      <c r="BA197" s="29">
        <f t="shared" si="163"/>
        <v>0</v>
      </c>
      <c r="BB197" s="29">
        <f t="shared" si="163"/>
        <v>0</v>
      </c>
      <c r="BC197" s="29">
        <f t="shared" si="163"/>
        <v>0</v>
      </c>
      <c r="BD197" s="29">
        <f t="shared" si="163"/>
        <v>0</v>
      </c>
      <c r="BE197" s="29">
        <f t="shared" si="163"/>
        <v>0</v>
      </c>
      <c r="BF197" s="29">
        <f t="shared" si="163"/>
        <v>0</v>
      </c>
      <c r="BG197" s="29">
        <f t="shared" si="163"/>
        <v>0</v>
      </c>
      <c r="BH197" s="29">
        <f t="shared" si="163"/>
        <v>0</v>
      </c>
      <c r="BI197" s="29">
        <f t="shared" si="163"/>
        <v>0</v>
      </c>
      <c r="BJ197" s="29">
        <f t="shared" si="163"/>
        <v>0</v>
      </c>
      <c r="BK197" s="29">
        <f t="shared" si="163"/>
        <v>0</v>
      </c>
      <c r="BL197" s="29">
        <f t="shared" si="163"/>
        <v>0</v>
      </c>
      <c r="BM197" s="29">
        <f t="shared" si="163"/>
        <v>0</v>
      </c>
      <c r="BN197" s="29">
        <f t="shared" si="163"/>
        <v>0</v>
      </c>
      <c r="BO197" s="29">
        <f t="shared" si="163"/>
        <v>0</v>
      </c>
      <c r="BP197" s="29">
        <f t="shared" si="163"/>
        <v>0</v>
      </c>
      <c r="BQ197" s="29">
        <f t="shared" si="163"/>
        <v>0</v>
      </c>
      <c r="BR197" s="29">
        <f t="shared" si="163"/>
        <v>0</v>
      </c>
      <c r="BS197" s="29">
        <f t="shared" si="163"/>
        <v>0</v>
      </c>
      <c r="BT197" s="29">
        <f t="shared" si="163"/>
        <v>0</v>
      </c>
      <c r="BU197" s="29">
        <f t="shared" si="163"/>
        <v>0</v>
      </c>
      <c r="BV197" s="29">
        <f t="shared" si="163"/>
        <v>0</v>
      </c>
      <c r="BW197" s="29">
        <f t="shared" si="163"/>
        <v>0</v>
      </c>
      <c r="BX197" s="29">
        <f t="shared" si="163"/>
        <v>0</v>
      </c>
      <c r="BY197" s="29">
        <f t="shared" si="163"/>
        <v>0</v>
      </c>
      <c r="BZ197" s="29">
        <f t="shared" si="163"/>
        <v>0</v>
      </c>
      <c r="CA197" s="29">
        <f t="shared" si="163"/>
        <v>0</v>
      </c>
      <c r="CB197" s="29">
        <f t="shared" si="163"/>
        <v>0</v>
      </c>
      <c r="CC197" s="29">
        <f t="shared" si="163"/>
        <v>0</v>
      </c>
      <c r="CD197" s="29">
        <f t="shared" si="163"/>
        <v>0</v>
      </c>
      <c r="CE197" s="29">
        <f t="shared" si="163"/>
        <v>0</v>
      </c>
      <c r="CF197" s="29">
        <f t="shared" si="163"/>
        <v>0</v>
      </c>
      <c r="CG197" s="29">
        <f t="shared" si="163"/>
        <v>0</v>
      </c>
      <c r="CH197" s="29">
        <f t="shared" si="163"/>
        <v>0</v>
      </c>
    </row>
    <row r="198" spans="2:86" ht="13">
      <c r="B198" s="15" t="s">
        <v>264</v>
      </c>
      <c r="C198" s="15"/>
      <c r="D198" s="15" t="s">
        <v>238</v>
      </c>
      <c r="E198" s="29">
        <f t="shared" ca="1" si="161"/>
        <v>0</v>
      </c>
      <c r="F198" s="82" t="str">
        <f t="shared" si="162"/>
        <v>Follow on Investments</v>
      </c>
      <c r="G198" s="29">
        <f t="shared" ref="G198:CH198" ca="1" si="164">-1*G36</f>
        <v>0</v>
      </c>
      <c r="H198" s="29">
        <f t="shared" ca="1" si="164"/>
        <v>0</v>
      </c>
      <c r="I198" s="29">
        <f t="shared" ca="1" si="164"/>
        <v>0</v>
      </c>
      <c r="J198" s="29">
        <f t="shared" ca="1" si="164"/>
        <v>0</v>
      </c>
      <c r="K198" s="29">
        <f t="shared" ca="1" si="164"/>
        <v>0</v>
      </c>
      <c r="L198" s="29">
        <f t="shared" ca="1" si="164"/>
        <v>0</v>
      </c>
      <c r="M198" s="29">
        <f t="shared" ca="1" si="164"/>
        <v>0</v>
      </c>
      <c r="N198" s="29">
        <f t="shared" ca="1" si="164"/>
        <v>0</v>
      </c>
      <c r="O198" s="29">
        <f t="shared" ca="1" si="164"/>
        <v>0</v>
      </c>
      <c r="P198" s="29">
        <f t="shared" ca="1" si="164"/>
        <v>0</v>
      </c>
      <c r="Q198" s="29">
        <f t="shared" ca="1" si="164"/>
        <v>0</v>
      </c>
      <c r="R198" s="29">
        <f t="shared" ca="1" si="164"/>
        <v>0</v>
      </c>
      <c r="S198" s="29">
        <f t="shared" ca="1" si="164"/>
        <v>0</v>
      </c>
      <c r="T198" s="29">
        <f t="shared" ca="1" si="164"/>
        <v>0</v>
      </c>
      <c r="U198" s="29">
        <f t="shared" ca="1" si="164"/>
        <v>0</v>
      </c>
      <c r="V198" s="29">
        <f t="shared" ca="1" si="164"/>
        <v>0</v>
      </c>
      <c r="W198" s="29">
        <f t="shared" ca="1" si="164"/>
        <v>0</v>
      </c>
      <c r="X198" s="29">
        <f t="shared" ca="1" si="164"/>
        <v>0</v>
      </c>
      <c r="Y198" s="29">
        <f t="shared" ca="1" si="164"/>
        <v>0</v>
      </c>
      <c r="Z198" s="29">
        <f t="shared" ca="1" si="164"/>
        <v>0</v>
      </c>
      <c r="AA198" s="29">
        <f t="shared" ca="1" si="164"/>
        <v>0</v>
      </c>
      <c r="AB198" s="29">
        <f t="shared" ca="1" si="164"/>
        <v>0</v>
      </c>
      <c r="AC198" s="29">
        <f t="shared" ca="1" si="164"/>
        <v>0</v>
      </c>
      <c r="AD198" s="29">
        <f t="shared" ca="1" si="164"/>
        <v>0</v>
      </c>
      <c r="AE198" s="29">
        <f t="shared" ca="1" si="164"/>
        <v>0</v>
      </c>
      <c r="AF198" s="29">
        <f t="shared" ca="1" si="164"/>
        <v>0</v>
      </c>
      <c r="AG198" s="29">
        <f t="shared" ca="1" si="164"/>
        <v>0</v>
      </c>
      <c r="AH198" s="29">
        <f t="shared" ca="1" si="164"/>
        <v>0</v>
      </c>
      <c r="AI198" s="29">
        <f t="shared" ca="1" si="164"/>
        <v>0</v>
      </c>
      <c r="AJ198" s="29">
        <f t="shared" ca="1" si="164"/>
        <v>0</v>
      </c>
      <c r="AK198" s="29">
        <f t="shared" ca="1" si="164"/>
        <v>0</v>
      </c>
      <c r="AL198" s="29">
        <f t="shared" ca="1" si="164"/>
        <v>0</v>
      </c>
      <c r="AM198" s="29">
        <f t="shared" ca="1" si="164"/>
        <v>0</v>
      </c>
      <c r="AN198" s="29">
        <f t="shared" ca="1" si="164"/>
        <v>0</v>
      </c>
      <c r="AO198" s="29">
        <f t="shared" ca="1" si="164"/>
        <v>0</v>
      </c>
      <c r="AP198" s="29">
        <f t="shared" ca="1" si="164"/>
        <v>0</v>
      </c>
      <c r="AQ198" s="29">
        <f t="shared" ca="1" si="164"/>
        <v>0</v>
      </c>
      <c r="AR198" s="29">
        <f t="shared" ca="1" si="164"/>
        <v>0</v>
      </c>
      <c r="AS198" s="29">
        <f t="shared" ca="1" si="164"/>
        <v>0</v>
      </c>
      <c r="AT198" s="29">
        <f t="shared" ca="1" si="164"/>
        <v>0</v>
      </c>
      <c r="AU198" s="29">
        <f t="shared" ca="1" si="164"/>
        <v>0</v>
      </c>
      <c r="AV198" s="29">
        <f t="shared" ca="1" si="164"/>
        <v>0</v>
      </c>
      <c r="AW198" s="29">
        <f t="shared" ca="1" si="164"/>
        <v>0</v>
      </c>
      <c r="AX198" s="29">
        <f t="shared" ca="1" si="164"/>
        <v>0</v>
      </c>
      <c r="AY198" s="29">
        <f t="shared" ca="1" si="164"/>
        <v>0</v>
      </c>
      <c r="AZ198" s="29">
        <f t="shared" ca="1" si="164"/>
        <v>0</v>
      </c>
      <c r="BA198" s="29">
        <f t="shared" ca="1" si="164"/>
        <v>0</v>
      </c>
      <c r="BB198" s="29">
        <f t="shared" ca="1" si="164"/>
        <v>0</v>
      </c>
      <c r="BC198" s="29">
        <f t="shared" ca="1" si="164"/>
        <v>0</v>
      </c>
      <c r="BD198" s="29">
        <f t="shared" ca="1" si="164"/>
        <v>0</v>
      </c>
      <c r="BE198" s="29">
        <f t="shared" ca="1" si="164"/>
        <v>0</v>
      </c>
      <c r="BF198" s="29">
        <f t="shared" ca="1" si="164"/>
        <v>0</v>
      </c>
      <c r="BG198" s="29">
        <f t="shared" ca="1" si="164"/>
        <v>0</v>
      </c>
      <c r="BH198" s="29">
        <f t="shared" ca="1" si="164"/>
        <v>0</v>
      </c>
      <c r="BI198" s="29">
        <f t="shared" ca="1" si="164"/>
        <v>0</v>
      </c>
      <c r="BJ198" s="29">
        <f t="shared" ca="1" si="164"/>
        <v>0</v>
      </c>
      <c r="BK198" s="29">
        <f t="shared" ca="1" si="164"/>
        <v>0</v>
      </c>
      <c r="BL198" s="29">
        <f t="shared" ca="1" si="164"/>
        <v>0</v>
      </c>
      <c r="BM198" s="29">
        <f t="shared" ca="1" si="164"/>
        <v>0</v>
      </c>
      <c r="BN198" s="29">
        <f t="shared" ca="1" si="164"/>
        <v>0</v>
      </c>
      <c r="BO198" s="29">
        <f t="shared" ca="1" si="164"/>
        <v>0</v>
      </c>
      <c r="BP198" s="29">
        <f t="shared" ca="1" si="164"/>
        <v>0</v>
      </c>
      <c r="BQ198" s="29">
        <f t="shared" ca="1" si="164"/>
        <v>0</v>
      </c>
      <c r="BR198" s="29">
        <f t="shared" ca="1" si="164"/>
        <v>0</v>
      </c>
      <c r="BS198" s="29">
        <f t="shared" ca="1" si="164"/>
        <v>0</v>
      </c>
      <c r="BT198" s="29">
        <f t="shared" ca="1" si="164"/>
        <v>0</v>
      </c>
      <c r="BU198" s="29">
        <f t="shared" ca="1" si="164"/>
        <v>0</v>
      </c>
      <c r="BV198" s="29">
        <f t="shared" ca="1" si="164"/>
        <v>0</v>
      </c>
      <c r="BW198" s="29">
        <f t="shared" ca="1" si="164"/>
        <v>0</v>
      </c>
      <c r="BX198" s="29">
        <f t="shared" ca="1" si="164"/>
        <v>0</v>
      </c>
      <c r="BY198" s="29">
        <f t="shared" ca="1" si="164"/>
        <v>0</v>
      </c>
      <c r="BZ198" s="29">
        <f t="shared" ca="1" si="164"/>
        <v>0</v>
      </c>
      <c r="CA198" s="29">
        <f t="shared" ca="1" si="164"/>
        <v>0</v>
      </c>
      <c r="CB198" s="29">
        <f t="shared" ca="1" si="164"/>
        <v>0</v>
      </c>
      <c r="CC198" s="29">
        <f t="shared" ca="1" si="164"/>
        <v>0</v>
      </c>
      <c r="CD198" s="29">
        <f t="shared" ca="1" si="164"/>
        <v>0</v>
      </c>
      <c r="CE198" s="29">
        <f t="shared" ca="1" si="164"/>
        <v>0</v>
      </c>
      <c r="CF198" s="29">
        <f t="shared" ca="1" si="164"/>
        <v>0</v>
      </c>
      <c r="CG198" s="29">
        <f t="shared" ca="1" si="164"/>
        <v>0</v>
      </c>
      <c r="CH198" s="29">
        <f t="shared" ca="1" si="164"/>
        <v>0</v>
      </c>
    </row>
    <row r="199" spans="2:86" ht="13">
      <c r="B199" s="15" t="s">
        <v>255</v>
      </c>
      <c r="C199" s="15"/>
      <c r="D199" s="15" t="s">
        <v>238</v>
      </c>
      <c r="E199" s="29">
        <f t="shared" si="161"/>
        <v>-5750000</v>
      </c>
      <c r="F199" s="82" t="str">
        <f t="shared" si="162"/>
        <v>Fees</v>
      </c>
      <c r="G199" s="29">
        <f t="shared" ref="G199:CH199" si="165">SUM(G39,G40,G41)*-1</f>
        <v>-241250</v>
      </c>
      <c r="H199" s="29">
        <f t="shared" si="165"/>
        <v>-141250</v>
      </c>
      <c r="I199" s="29">
        <f t="shared" si="165"/>
        <v>-141250</v>
      </c>
      <c r="J199" s="29">
        <f t="shared" si="165"/>
        <v>-141250</v>
      </c>
      <c r="K199" s="29">
        <f t="shared" si="165"/>
        <v>-141250</v>
      </c>
      <c r="L199" s="29">
        <f t="shared" si="165"/>
        <v>-141250</v>
      </c>
      <c r="M199" s="29">
        <f t="shared" si="165"/>
        <v>-141250</v>
      </c>
      <c r="N199" s="29">
        <f t="shared" si="165"/>
        <v>-141250</v>
      </c>
      <c r="O199" s="29">
        <f t="shared" si="165"/>
        <v>-141250</v>
      </c>
      <c r="P199" s="29">
        <f t="shared" si="165"/>
        <v>-141250</v>
      </c>
      <c r="Q199" s="29">
        <f t="shared" si="165"/>
        <v>-141250</v>
      </c>
      <c r="R199" s="29">
        <f t="shared" si="165"/>
        <v>-141250</v>
      </c>
      <c r="S199" s="29">
        <f t="shared" si="165"/>
        <v>-141250</v>
      </c>
      <c r="T199" s="29">
        <f t="shared" si="165"/>
        <v>-141250</v>
      </c>
      <c r="U199" s="29">
        <f t="shared" si="165"/>
        <v>-141250</v>
      </c>
      <c r="V199" s="29">
        <f t="shared" si="165"/>
        <v>-141250</v>
      </c>
      <c r="W199" s="29">
        <f t="shared" si="165"/>
        <v>-141250</v>
      </c>
      <c r="X199" s="29">
        <f t="shared" si="165"/>
        <v>-141250</v>
      </c>
      <c r="Y199" s="29">
        <f t="shared" si="165"/>
        <v>-141250</v>
      </c>
      <c r="Z199" s="29">
        <f t="shared" si="165"/>
        <v>-141250</v>
      </c>
      <c r="AA199" s="29">
        <f t="shared" si="165"/>
        <v>-141250</v>
      </c>
      <c r="AB199" s="29">
        <f t="shared" si="165"/>
        <v>-141250</v>
      </c>
      <c r="AC199" s="29">
        <f t="shared" si="165"/>
        <v>-141250</v>
      </c>
      <c r="AD199" s="29">
        <f t="shared" si="165"/>
        <v>-141250</v>
      </c>
      <c r="AE199" s="29">
        <f t="shared" si="165"/>
        <v>-141250</v>
      </c>
      <c r="AF199" s="29">
        <f t="shared" si="165"/>
        <v>-141250</v>
      </c>
      <c r="AG199" s="29">
        <f t="shared" si="165"/>
        <v>-141250</v>
      </c>
      <c r="AH199" s="29">
        <f t="shared" si="165"/>
        <v>-141250</v>
      </c>
      <c r="AI199" s="29">
        <f t="shared" si="165"/>
        <v>-141250</v>
      </c>
      <c r="AJ199" s="29">
        <f t="shared" si="165"/>
        <v>-141250</v>
      </c>
      <c r="AK199" s="29">
        <f t="shared" si="165"/>
        <v>-141250</v>
      </c>
      <c r="AL199" s="29">
        <f t="shared" si="165"/>
        <v>-141250</v>
      </c>
      <c r="AM199" s="29">
        <f t="shared" si="165"/>
        <v>-141250</v>
      </c>
      <c r="AN199" s="29">
        <f t="shared" si="165"/>
        <v>-141250</v>
      </c>
      <c r="AO199" s="29">
        <f t="shared" si="165"/>
        <v>-141250</v>
      </c>
      <c r="AP199" s="29">
        <f t="shared" si="165"/>
        <v>-141250</v>
      </c>
      <c r="AQ199" s="29">
        <f t="shared" si="165"/>
        <v>-141250</v>
      </c>
      <c r="AR199" s="29">
        <f t="shared" si="165"/>
        <v>-141250</v>
      </c>
      <c r="AS199" s="29">
        <f t="shared" si="165"/>
        <v>-141250</v>
      </c>
      <c r="AT199" s="29">
        <f t="shared" si="165"/>
        <v>-141250</v>
      </c>
      <c r="AU199" s="29">
        <f t="shared" si="165"/>
        <v>0</v>
      </c>
      <c r="AV199" s="29">
        <f t="shared" si="165"/>
        <v>0</v>
      </c>
      <c r="AW199" s="29">
        <f t="shared" si="165"/>
        <v>0</v>
      </c>
      <c r="AX199" s="29">
        <f t="shared" si="165"/>
        <v>0</v>
      </c>
      <c r="AY199" s="29">
        <f t="shared" si="165"/>
        <v>0</v>
      </c>
      <c r="AZ199" s="29">
        <f t="shared" si="165"/>
        <v>0</v>
      </c>
      <c r="BA199" s="29">
        <f t="shared" si="165"/>
        <v>0</v>
      </c>
      <c r="BB199" s="29">
        <f t="shared" si="165"/>
        <v>0</v>
      </c>
      <c r="BC199" s="29">
        <f t="shared" si="165"/>
        <v>0</v>
      </c>
      <c r="BD199" s="29">
        <f t="shared" si="165"/>
        <v>0</v>
      </c>
      <c r="BE199" s="29">
        <f t="shared" si="165"/>
        <v>0</v>
      </c>
      <c r="BF199" s="29">
        <f t="shared" si="165"/>
        <v>0</v>
      </c>
      <c r="BG199" s="29">
        <f t="shared" si="165"/>
        <v>0</v>
      </c>
      <c r="BH199" s="29">
        <f t="shared" si="165"/>
        <v>0</v>
      </c>
      <c r="BI199" s="29">
        <f t="shared" si="165"/>
        <v>0</v>
      </c>
      <c r="BJ199" s="29">
        <f t="shared" si="165"/>
        <v>0</v>
      </c>
      <c r="BK199" s="29">
        <f t="shared" si="165"/>
        <v>0</v>
      </c>
      <c r="BL199" s="29">
        <f t="shared" si="165"/>
        <v>0</v>
      </c>
      <c r="BM199" s="29">
        <f t="shared" si="165"/>
        <v>0</v>
      </c>
      <c r="BN199" s="29">
        <f t="shared" si="165"/>
        <v>0</v>
      </c>
      <c r="BO199" s="29">
        <f t="shared" si="165"/>
        <v>0</v>
      </c>
      <c r="BP199" s="29">
        <f t="shared" si="165"/>
        <v>0</v>
      </c>
      <c r="BQ199" s="29">
        <f t="shared" si="165"/>
        <v>0</v>
      </c>
      <c r="BR199" s="29">
        <f t="shared" si="165"/>
        <v>0</v>
      </c>
      <c r="BS199" s="29">
        <f t="shared" si="165"/>
        <v>0</v>
      </c>
      <c r="BT199" s="29">
        <f t="shared" si="165"/>
        <v>0</v>
      </c>
      <c r="BU199" s="29">
        <f t="shared" si="165"/>
        <v>0</v>
      </c>
      <c r="BV199" s="29">
        <f t="shared" si="165"/>
        <v>0</v>
      </c>
      <c r="BW199" s="29">
        <f t="shared" si="165"/>
        <v>0</v>
      </c>
      <c r="BX199" s="29">
        <f t="shared" si="165"/>
        <v>0</v>
      </c>
      <c r="BY199" s="29">
        <f t="shared" si="165"/>
        <v>0</v>
      </c>
      <c r="BZ199" s="29">
        <f t="shared" si="165"/>
        <v>0</v>
      </c>
      <c r="CA199" s="29">
        <f t="shared" si="165"/>
        <v>0</v>
      </c>
      <c r="CB199" s="29">
        <f t="shared" si="165"/>
        <v>0</v>
      </c>
      <c r="CC199" s="29">
        <f t="shared" si="165"/>
        <v>0</v>
      </c>
      <c r="CD199" s="29">
        <f t="shared" si="165"/>
        <v>0</v>
      </c>
      <c r="CE199" s="29">
        <f t="shared" si="165"/>
        <v>0</v>
      </c>
      <c r="CF199" s="29">
        <f t="shared" si="165"/>
        <v>0</v>
      </c>
      <c r="CG199" s="29">
        <f t="shared" si="165"/>
        <v>0</v>
      </c>
      <c r="CH199" s="29">
        <f t="shared" si="165"/>
        <v>0</v>
      </c>
    </row>
    <row r="200" spans="2:86" ht="13">
      <c r="B200" s="15" t="s">
        <v>221</v>
      </c>
      <c r="C200" s="15"/>
      <c r="D200" s="15" t="s">
        <v>238</v>
      </c>
      <c r="E200" s="29">
        <f t="shared" ca="1" si="161"/>
        <v>112213260</v>
      </c>
      <c r="F200" s="82" t="str">
        <f t="shared" si="162"/>
        <v>Distributions</v>
      </c>
      <c r="G200" s="29">
        <f t="shared" ref="G200:CH200" ca="1" si="166">G47</f>
        <v>0</v>
      </c>
      <c r="H200" s="29">
        <f t="shared" ca="1" si="166"/>
        <v>0</v>
      </c>
      <c r="I200" s="29">
        <f t="shared" ca="1" si="166"/>
        <v>0</v>
      </c>
      <c r="J200" s="29">
        <f t="shared" ca="1" si="166"/>
        <v>0</v>
      </c>
      <c r="K200" s="29">
        <f t="shared" ca="1" si="166"/>
        <v>0</v>
      </c>
      <c r="L200" s="29">
        <f t="shared" ca="1" si="166"/>
        <v>0</v>
      </c>
      <c r="M200" s="29">
        <f t="shared" ca="1" si="166"/>
        <v>0</v>
      </c>
      <c r="N200" s="29">
        <f t="shared" ca="1" si="166"/>
        <v>0</v>
      </c>
      <c r="O200" s="29">
        <f t="shared" ca="1" si="166"/>
        <v>0</v>
      </c>
      <c r="P200" s="29">
        <f t="shared" ca="1" si="166"/>
        <v>0</v>
      </c>
      <c r="Q200" s="29">
        <f t="shared" ca="1" si="166"/>
        <v>0</v>
      </c>
      <c r="R200" s="29">
        <f t="shared" ca="1" si="166"/>
        <v>0</v>
      </c>
      <c r="S200" s="29">
        <f t="shared" ca="1" si="166"/>
        <v>972125.00000000047</v>
      </c>
      <c r="T200" s="29">
        <f t="shared" ca="1" si="166"/>
        <v>972125.00000000047</v>
      </c>
      <c r="U200" s="29">
        <f t="shared" ca="1" si="166"/>
        <v>972125.00000000047</v>
      </c>
      <c r="V200" s="29">
        <f t="shared" ca="1" si="166"/>
        <v>972125.00000000047</v>
      </c>
      <c r="W200" s="29">
        <f t="shared" ca="1" si="166"/>
        <v>3486656.2500000009</v>
      </c>
      <c r="X200" s="29">
        <f t="shared" ca="1" si="166"/>
        <v>3486656.2500000009</v>
      </c>
      <c r="Y200" s="29">
        <f t="shared" ca="1" si="166"/>
        <v>3087200.5952380951</v>
      </c>
      <c r="Z200" s="29">
        <f t="shared" ca="1" si="166"/>
        <v>3057182.1428571437</v>
      </c>
      <c r="AA200" s="29">
        <f t="shared" ca="1" si="166"/>
        <v>3092896.4285714291</v>
      </c>
      <c r="AB200" s="29">
        <f t="shared" ca="1" si="166"/>
        <v>3092896.4285714291</v>
      </c>
      <c r="AC200" s="29">
        <f t="shared" ca="1" si="166"/>
        <v>3092896.4285714291</v>
      </c>
      <c r="AD200" s="29">
        <f t="shared" ca="1" si="166"/>
        <v>3092896.4285714291</v>
      </c>
      <c r="AE200" s="29">
        <f t="shared" ca="1" si="166"/>
        <v>6752567.3809523787</v>
      </c>
      <c r="AF200" s="29">
        <f t="shared" ca="1" si="166"/>
        <v>6752567.3809523787</v>
      </c>
      <c r="AG200" s="29">
        <f t="shared" ca="1" si="166"/>
        <v>6752567.3809523787</v>
      </c>
      <c r="AH200" s="29">
        <f t="shared" ca="1" si="166"/>
        <v>6752567.3809523787</v>
      </c>
      <c r="AI200" s="29">
        <f t="shared" ca="1" si="166"/>
        <v>5886676.1904761884</v>
      </c>
      <c r="AJ200" s="29">
        <f t="shared" ca="1" si="166"/>
        <v>5886676.1904761884</v>
      </c>
      <c r="AK200" s="29">
        <f t="shared" ca="1" si="166"/>
        <v>5886676.1904761884</v>
      </c>
      <c r="AL200" s="29">
        <f t="shared" ca="1" si="166"/>
        <v>5886676.1904761884</v>
      </c>
      <c r="AM200" s="29">
        <f t="shared" ca="1" si="166"/>
        <v>3668011.904761903</v>
      </c>
      <c r="AN200" s="29">
        <f t="shared" ca="1" si="166"/>
        <v>3668011.904761903</v>
      </c>
      <c r="AO200" s="29">
        <f t="shared" ca="1" si="166"/>
        <v>3668011.904761903</v>
      </c>
      <c r="AP200" s="29">
        <f t="shared" ca="1" si="166"/>
        <v>3668011.904761903</v>
      </c>
      <c r="AQ200" s="29">
        <f t="shared" ca="1" si="166"/>
        <v>4401614.2857142845</v>
      </c>
      <c r="AR200" s="29">
        <f t="shared" ca="1" si="166"/>
        <v>4401614.2857142845</v>
      </c>
      <c r="AS200" s="29">
        <f t="shared" ca="1" si="166"/>
        <v>4401614.2857142845</v>
      </c>
      <c r="AT200" s="29">
        <f t="shared" ca="1" si="166"/>
        <v>4401614.2857142845</v>
      </c>
      <c r="AU200" s="29">
        <f t="shared" ca="1" si="166"/>
        <v>0</v>
      </c>
      <c r="AV200" s="29">
        <f t="shared" ca="1" si="166"/>
        <v>0</v>
      </c>
      <c r="AW200" s="29">
        <f t="shared" ca="1" si="166"/>
        <v>0</v>
      </c>
      <c r="AX200" s="29">
        <f t="shared" ca="1" si="166"/>
        <v>0</v>
      </c>
      <c r="AY200" s="29">
        <f t="shared" ca="1" si="166"/>
        <v>0</v>
      </c>
      <c r="AZ200" s="29">
        <f t="shared" ca="1" si="166"/>
        <v>0</v>
      </c>
      <c r="BA200" s="29">
        <f t="shared" ca="1" si="166"/>
        <v>0</v>
      </c>
      <c r="BB200" s="29">
        <f t="shared" ca="1" si="166"/>
        <v>0</v>
      </c>
      <c r="BC200" s="29">
        <f t="shared" ca="1" si="166"/>
        <v>0</v>
      </c>
      <c r="BD200" s="29">
        <f t="shared" ca="1" si="166"/>
        <v>0</v>
      </c>
      <c r="BE200" s="29">
        <f t="shared" ca="1" si="166"/>
        <v>0</v>
      </c>
      <c r="BF200" s="29">
        <f t="shared" ca="1" si="166"/>
        <v>0</v>
      </c>
      <c r="BG200" s="29">
        <f t="shared" ca="1" si="166"/>
        <v>0</v>
      </c>
      <c r="BH200" s="29">
        <f t="shared" ca="1" si="166"/>
        <v>0</v>
      </c>
      <c r="BI200" s="29">
        <f t="shared" ca="1" si="166"/>
        <v>0</v>
      </c>
      <c r="BJ200" s="29">
        <f t="shared" ca="1" si="166"/>
        <v>0</v>
      </c>
      <c r="BK200" s="29">
        <f t="shared" ca="1" si="166"/>
        <v>0</v>
      </c>
      <c r="BL200" s="29">
        <f t="shared" ca="1" si="166"/>
        <v>0</v>
      </c>
      <c r="BM200" s="29">
        <f t="shared" ca="1" si="166"/>
        <v>0</v>
      </c>
      <c r="BN200" s="29">
        <f t="shared" ca="1" si="166"/>
        <v>0</v>
      </c>
      <c r="BO200" s="29">
        <f t="shared" ca="1" si="166"/>
        <v>0</v>
      </c>
      <c r="BP200" s="29">
        <f t="shared" ca="1" si="166"/>
        <v>0</v>
      </c>
      <c r="BQ200" s="29">
        <f t="shared" ca="1" si="166"/>
        <v>0</v>
      </c>
      <c r="BR200" s="29">
        <f t="shared" ca="1" si="166"/>
        <v>0</v>
      </c>
      <c r="BS200" s="29">
        <f t="shared" ca="1" si="166"/>
        <v>0</v>
      </c>
      <c r="BT200" s="29">
        <f t="shared" ca="1" si="166"/>
        <v>0</v>
      </c>
      <c r="BU200" s="29">
        <f t="shared" ca="1" si="166"/>
        <v>0</v>
      </c>
      <c r="BV200" s="29">
        <f t="shared" ca="1" si="166"/>
        <v>0</v>
      </c>
      <c r="BW200" s="29">
        <f t="shared" ca="1" si="166"/>
        <v>0</v>
      </c>
      <c r="BX200" s="29">
        <f t="shared" ca="1" si="166"/>
        <v>0</v>
      </c>
      <c r="BY200" s="29">
        <f t="shared" ca="1" si="166"/>
        <v>0</v>
      </c>
      <c r="BZ200" s="29">
        <f t="shared" ca="1" si="166"/>
        <v>0</v>
      </c>
      <c r="CA200" s="29">
        <f t="shared" ca="1" si="166"/>
        <v>0</v>
      </c>
      <c r="CB200" s="29">
        <f t="shared" ca="1" si="166"/>
        <v>0</v>
      </c>
      <c r="CC200" s="29">
        <f t="shared" ca="1" si="166"/>
        <v>0</v>
      </c>
      <c r="CD200" s="29">
        <f t="shared" ca="1" si="166"/>
        <v>0</v>
      </c>
      <c r="CE200" s="29">
        <f t="shared" ca="1" si="166"/>
        <v>0</v>
      </c>
      <c r="CF200" s="29">
        <f t="shared" ca="1" si="166"/>
        <v>0</v>
      </c>
      <c r="CG200" s="29">
        <f t="shared" ca="1" si="166"/>
        <v>0</v>
      </c>
      <c r="CH200" s="29">
        <f t="shared" ca="1" si="166"/>
        <v>0</v>
      </c>
    </row>
    <row r="201" spans="2:86" ht="13">
      <c r="B201" s="15" t="s">
        <v>220</v>
      </c>
      <c r="C201" s="15"/>
      <c r="D201" s="15" t="s">
        <v>238</v>
      </c>
      <c r="E201" s="29">
        <f t="shared" ca="1" si="161"/>
        <v>21803315</v>
      </c>
      <c r="F201" s="82" t="str">
        <f t="shared" si="162"/>
        <v>Carried Interest</v>
      </c>
      <c r="G201" s="29">
        <f t="shared" ref="G201:CH201" ca="1" si="167">G46+G45</f>
        <v>0</v>
      </c>
      <c r="H201" s="29">
        <f t="shared" ca="1" si="167"/>
        <v>0</v>
      </c>
      <c r="I201" s="29">
        <f t="shared" ca="1" si="167"/>
        <v>0</v>
      </c>
      <c r="J201" s="29">
        <f t="shared" ca="1" si="167"/>
        <v>0</v>
      </c>
      <c r="K201" s="29">
        <f t="shared" ca="1" si="167"/>
        <v>0</v>
      </c>
      <c r="L201" s="29">
        <f t="shared" ca="1" si="167"/>
        <v>0</v>
      </c>
      <c r="M201" s="29">
        <f t="shared" ca="1" si="167"/>
        <v>0</v>
      </c>
      <c r="N201" s="29">
        <f t="shared" ca="1" si="167"/>
        <v>0</v>
      </c>
      <c r="O201" s="29">
        <f t="shared" ca="1" si="167"/>
        <v>0</v>
      </c>
      <c r="P201" s="29">
        <f t="shared" ca="1" si="167"/>
        <v>0</v>
      </c>
      <c r="Q201" s="29">
        <f t="shared" ca="1" si="167"/>
        <v>0</v>
      </c>
      <c r="R201" s="29">
        <f t="shared" ca="1" si="167"/>
        <v>0</v>
      </c>
      <c r="S201" s="29">
        <f t="shared" ca="1" si="167"/>
        <v>0</v>
      </c>
      <c r="T201" s="29">
        <f t="shared" ca="1" si="167"/>
        <v>0</v>
      </c>
      <c r="U201" s="29">
        <f t="shared" ca="1" si="167"/>
        <v>0</v>
      </c>
      <c r="V201" s="29">
        <f t="shared" ca="1" si="167"/>
        <v>0</v>
      </c>
      <c r="W201" s="29">
        <f t="shared" ca="1" si="167"/>
        <v>0</v>
      </c>
      <c r="X201" s="29">
        <f t="shared" ca="1" si="167"/>
        <v>0</v>
      </c>
      <c r="Y201" s="29">
        <f t="shared" ca="1" si="167"/>
        <v>399455.65476190578</v>
      </c>
      <c r="Z201" s="29">
        <f t="shared" ca="1" si="167"/>
        <v>429474.10714285728</v>
      </c>
      <c r="AA201" s="29">
        <f t="shared" ca="1" si="167"/>
        <v>393759.82142857183</v>
      </c>
      <c r="AB201" s="29">
        <f t="shared" ca="1" si="167"/>
        <v>393759.82142857183</v>
      </c>
      <c r="AC201" s="29">
        <f t="shared" ca="1" si="167"/>
        <v>393759.82142857183</v>
      </c>
      <c r="AD201" s="29">
        <f t="shared" ca="1" si="167"/>
        <v>393759.82142857183</v>
      </c>
      <c r="AE201" s="29">
        <f t="shared" ca="1" si="167"/>
        <v>1524451.3690476192</v>
      </c>
      <c r="AF201" s="29">
        <f t="shared" ca="1" si="167"/>
        <v>1524451.3690476192</v>
      </c>
      <c r="AG201" s="29">
        <f t="shared" ca="1" si="167"/>
        <v>1524451.3690476192</v>
      </c>
      <c r="AH201" s="29">
        <f t="shared" ca="1" si="167"/>
        <v>1524451.3690476192</v>
      </c>
      <c r="AI201" s="29">
        <f t="shared" ca="1" si="167"/>
        <v>1389823.8095238095</v>
      </c>
      <c r="AJ201" s="29">
        <f t="shared" ca="1" si="167"/>
        <v>1389823.8095238095</v>
      </c>
      <c r="AK201" s="29">
        <f t="shared" ca="1" si="167"/>
        <v>1389823.8095238095</v>
      </c>
      <c r="AL201" s="29">
        <f t="shared" ca="1" si="167"/>
        <v>1389823.8095238095</v>
      </c>
      <c r="AM201" s="29">
        <f t="shared" ca="1" si="167"/>
        <v>879800.59523809515</v>
      </c>
      <c r="AN201" s="29">
        <f t="shared" ca="1" si="167"/>
        <v>879800.59523809515</v>
      </c>
      <c r="AO201" s="29">
        <f t="shared" ca="1" si="167"/>
        <v>879800.59523809515</v>
      </c>
      <c r="AP201" s="29">
        <f t="shared" ca="1" si="167"/>
        <v>879800.59523809515</v>
      </c>
      <c r="AQ201" s="29">
        <f t="shared" ca="1" si="167"/>
        <v>1055760.7142857139</v>
      </c>
      <c r="AR201" s="29">
        <f t="shared" ca="1" si="167"/>
        <v>1055760.7142857139</v>
      </c>
      <c r="AS201" s="29">
        <f t="shared" ca="1" si="167"/>
        <v>1055760.7142857139</v>
      </c>
      <c r="AT201" s="29">
        <f t="shared" ca="1" si="167"/>
        <v>1055760.7142857139</v>
      </c>
      <c r="AU201" s="29">
        <f t="shared" ca="1" si="167"/>
        <v>0</v>
      </c>
      <c r="AV201" s="29">
        <f t="shared" ca="1" si="167"/>
        <v>0</v>
      </c>
      <c r="AW201" s="29">
        <f t="shared" ca="1" si="167"/>
        <v>0</v>
      </c>
      <c r="AX201" s="29">
        <f t="shared" ca="1" si="167"/>
        <v>0</v>
      </c>
      <c r="AY201" s="29">
        <f t="shared" ca="1" si="167"/>
        <v>0</v>
      </c>
      <c r="AZ201" s="29">
        <f t="shared" ca="1" si="167"/>
        <v>0</v>
      </c>
      <c r="BA201" s="29">
        <f t="shared" ca="1" si="167"/>
        <v>0</v>
      </c>
      <c r="BB201" s="29">
        <f t="shared" ca="1" si="167"/>
        <v>0</v>
      </c>
      <c r="BC201" s="29">
        <f t="shared" ca="1" si="167"/>
        <v>0</v>
      </c>
      <c r="BD201" s="29">
        <f t="shared" ca="1" si="167"/>
        <v>0</v>
      </c>
      <c r="BE201" s="29">
        <f t="shared" ca="1" si="167"/>
        <v>0</v>
      </c>
      <c r="BF201" s="29">
        <f t="shared" ca="1" si="167"/>
        <v>0</v>
      </c>
      <c r="BG201" s="29">
        <f t="shared" ca="1" si="167"/>
        <v>0</v>
      </c>
      <c r="BH201" s="29">
        <f t="shared" ca="1" si="167"/>
        <v>0</v>
      </c>
      <c r="BI201" s="29">
        <f t="shared" ca="1" si="167"/>
        <v>0</v>
      </c>
      <c r="BJ201" s="29">
        <f t="shared" ca="1" si="167"/>
        <v>0</v>
      </c>
      <c r="BK201" s="29">
        <f t="shared" ca="1" si="167"/>
        <v>0</v>
      </c>
      <c r="BL201" s="29">
        <f t="shared" ca="1" si="167"/>
        <v>0</v>
      </c>
      <c r="BM201" s="29">
        <f t="shared" ca="1" si="167"/>
        <v>0</v>
      </c>
      <c r="BN201" s="29">
        <f t="shared" ca="1" si="167"/>
        <v>0</v>
      </c>
      <c r="BO201" s="29">
        <f t="shared" ca="1" si="167"/>
        <v>0</v>
      </c>
      <c r="BP201" s="29">
        <f t="shared" ca="1" si="167"/>
        <v>0</v>
      </c>
      <c r="BQ201" s="29">
        <f t="shared" ca="1" si="167"/>
        <v>0</v>
      </c>
      <c r="BR201" s="29">
        <f t="shared" ca="1" si="167"/>
        <v>0</v>
      </c>
      <c r="BS201" s="29">
        <f t="shared" ca="1" si="167"/>
        <v>0</v>
      </c>
      <c r="BT201" s="29">
        <f t="shared" ca="1" si="167"/>
        <v>0</v>
      </c>
      <c r="BU201" s="29">
        <f t="shared" ca="1" si="167"/>
        <v>0</v>
      </c>
      <c r="BV201" s="29">
        <f t="shared" ca="1" si="167"/>
        <v>0</v>
      </c>
      <c r="BW201" s="29">
        <f t="shared" ca="1" si="167"/>
        <v>0</v>
      </c>
      <c r="BX201" s="29">
        <f t="shared" ca="1" si="167"/>
        <v>0</v>
      </c>
      <c r="BY201" s="29">
        <f t="shared" ca="1" si="167"/>
        <v>0</v>
      </c>
      <c r="BZ201" s="29">
        <f t="shared" ca="1" si="167"/>
        <v>0</v>
      </c>
      <c r="CA201" s="29">
        <f t="shared" ca="1" si="167"/>
        <v>0</v>
      </c>
      <c r="CB201" s="29">
        <f t="shared" ca="1" si="167"/>
        <v>0</v>
      </c>
      <c r="CC201" s="29">
        <f t="shared" ca="1" si="167"/>
        <v>0</v>
      </c>
      <c r="CD201" s="29">
        <f t="shared" ca="1" si="167"/>
        <v>0</v>
      </c>
      <c r="CE201" s="29">
        <f t="shared" ca="1" si="167"/>
        <v>0</v>
      </c>
      <c r="CF201" s="29">
        <f t="shared" ca="1" si="167"/>
        <v>0</v>
      </c>
      <c r="CG201" s="29">
        <f t="shared" ca="1" si="167"/>
        <v>0</v>
      </c>
      <c r="CH201" s="29">
        <f t="shared" ca="1" si="167"/>
        <v>0</v>
      </c>
    </row>
    <row r="203" spans="2:86" ht="13" outlineLevel="1">
      <c r="B203" s="76" t="s">
        <v>316</v>
      </c>
      <c r="C203" s="15"/>
      <c r="D203" s="29"/>
      <c r="E203" s="29"/>
      <c r="F203" s="29"/>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c r="AS203" s="81"/>
      <c r="AT203" s="81"/>
      <c r="AU203" s="81"/>
      <c r="AV203" s="81"/>
      <c r="AW203" s="81"/>
      <c r="AX203" s="81"/>
      <c r="AY203" s="81"/>
      <c r="AZ203" s="81"/>
      <c r="BA203" s="81"/>
      <c r="BB203" s="81"/>
      <c r="BC203" s="81"/>
      <c r="BD203" s="81"/>
      <c r="BE203" s="81"/>
      <c r="BF203" s="81"/>
      <c r="BG203" s="81"/>
      <c r="BH203" s="81"/>
      <c r="BI203" s="81"/>
      <c r="BJ203" s="81"/>
      <c r="BK203" s="81"/>
      <c r="BL203" s="81"/>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row>
    <row r="204" spans="2:86" ht="13" outlineLevel="1">
      <c r="B204" s="13" t="str">
        <f>"Proceeds from investments exited within "&amp;'Get Started'!E$27&amp;" years"</f>
        <v>Proceeds from investments exited within 24 years</v>
      </c>
      <c r="C204" s="15"/>
      <c r="D204" s="15" t="s">
        <v>238</v>
      </c>
      <c r="E204" s="29">
        <f t="shared" ref="E204:E210" ca="1" si="168">IF(D204="sum",SUM(G204:CH204),IF(D204="final",CH204,IF(D204="initial",G204,IF(D204="average",AVERAGE(G204:CH204),0))))</f>
        <v>134979075</v>
      </c>
      <c r="F204" s="29"/>
      <c r="G204" s="29">
        <f ca="1">IF('Get Started'!$H112&lt;='Get Started'!$E27,IF(AND(G4&lt;'Get Started'!$H112,'Get Started'!$H112&lt;='Get Started'!$E27),0,OFFSET(G37,0,-1*'Get Started'!$H112)*'Get Started'!$H42*'Get Started'!$G112),0)+IF('Get Started'!$H111&lt;='Get Started'!$E27,IF(G4&lt;'Get Started'!$H111,0,OFFSET(G37,0,-1*'Get Started'!$H111)*'Get Started'!$G42*'Get Started'!$G111),0)+IF('Get Started'!$H110&lt;='Get Started'!$E27,IF(G4&lt;'Get Started'!$H110,0,OFFSET(G37,0,-1*'Get Started'!$H110)*'Get Started'!$F42*'Get Started'!$G110),0)+IF('Get Started'!$H109&lt;='Get Started'!$E27,IF(G4&lt;'Get Started'!$H109,0,OFFSET(G37,0,-1*'Get Started'!$H109)*'Get Started'!$E42*'Get Started'!$G109),0)</f>
        <v>0</v>
      </c>
      <c r="H204" s="29">
        <f ca="1">IF('Get Started'!$H112&lt;='Get Started'!$E27,IF(AND(H4&lt;'Get Started'!$H112,'Get Started'!$H112&lt;='Get Started'!$E27),0,OFFSET(H37,0,-1*'Get Started'!$H112)*'Get Started'!$H42*'Get Started'!$G112),0)+IF('Get Started'!$H111&lt;='Get Started'!$E27,IF(H4&lt;'Get Started'!$H111,0,OFFSET(H37,0,-1*'Get Started'!$H111)*'Get Started'!$G42*'Get Started'!$G111),0)+IF('Get Started'!$H110&lt;='Get Started'!$E27,IF(H4&lt;'Get Started'!$H110,0,OFFSET(H37,0,-1*'Get Started'!$H110)*'Get Started'!$F42*'Get Started'!$G110),0)+IF('Get Started'!$H109&lt;='Get Started'!$E27,IF(H4&lt;'Get Started'!$H109,0,OFFSET(H37,0,-1*'Get Started'!$H109)*'Get Started'!$E42*'Get Started'!$G109),0)</f>
        <v>0</v>
      </c>
      <c r="I204" s="29">
        <f ca="1">IF('Get Started'!$H112&lt;='Get Started'!$E27,IF(AND(I4&lt;'Get Started'!$H112,'Get Started'!$H112&lt;='Get Started'!$E27),0,OFFSET(I37,0,-1*'Get Started'!$H112)*'Get Started'!$H42*'Get Started'!$G112),0)+IF('Get Started'!$H111&lt;='Get Started'!$E27,IF(I4&lt;'Get Started'!$H111,0,OFFSET(I37,0,-1*'Get Started'!$H111)*'Get Started'!$G42*'Get Started'!$G111),0)+IF('Get Started'!$H110&lt;='Get Started'!$E27,IF(I4&lt;'Get Started'!$H110,0,OFFSET(I37,0,-1*'Get Started'!$H110)*'Get Started'!$F42*'Get Started'!$G110),0)+IF('Get Started'!$H109&lt;='Get Started'!$E27,IF(I4&lt;'Get Started'!$H109,0,OFFSET(I37,0,-1*'Get Started'!$H109)*'Get Started'!$E42*'Get Started'!$G109),0)</f>
        <v>0</v>
      </c>
      <c r="J204" s="29">
        <f ca="1">IF('Get Started'!$H112&lt;='Get Started'!$E27,IF(AND(J4&lt;'Get Started'!$H112,'Get Started'!$H112&lt;='Get Started'!$E27),0,OFFSET(J37,0,-1*'Get Started'!$H112)*'Get Started'!$H42*'Get Started'!$G112),0)+IF('Get Started'!$H111&lt;='Get Started'!$E27,IF(J4&lt;'Get Started'!$H111,0,OFFSET(J37,0,-1*'Get Started'!$H111)*'Get Started'!$G42*'Get Started'!$G111),0)+IF('Get Started'!$H110&lt;='Get Started'!$E27,IF(J4&lt;'Get Started'!$H110,0,OFFSET(J37,0,-1*'Get Started'!$H110)*'Get Started'!$F42*'Get Started'!$G110),0)+IF('Get Started'!$H109&lt;='Get Started'!$E27,IF(J4&lt;'Get Started'!$H109,0,OFFSET(J37,0,-1*'Get Started'!$H109)*'Get Started'!$E42*'Get Started'!$G109),0)</f>
        <v>0</v>
      </c>
      <c r="K204" s="29">
        <f ca="1">IF('Get Started'!$H112&lt;='Get Started'!$E27,IF(AND(K4&lt;'Get Started'!$H112,'Get Started'!$H112&lt;='Get Started'!$E27),0,OFFSET(K37,0,-1*'Get Started'!$H112)*'Get Started'!$H42*'Get Started'!$G112),0)+IF('Get Started'!$H111&lt;='Get Started'!$E27,IF(K4&lt;'Get Started'!$H111,0,OFFSET(K37,0,-1*'Get Started'!$H111)*'Get Started'!$G42*'Get Started'!$G111),0)+IF('Get Started'!$H110&lt;='Get Started'!$E27,IF(K4&lt;'Get Started'!$H110,0,OFFSET(K37,0,-1*'Get Started'!$H110)*'Get Started'!$F42*'Get Started'!$G110),0)+IF('Get Started'!$H109&lt;='Get Started'!$E27,IF(K4&lt;'Get Started'!$H109,0,OFFSET(K37,0,-1*'Get Started'!$H109)*'Get Started'!$E42*'Get Started'!$G109),0)</f>
        <v>0</v>
      </c>
      <c r="L204" s="29">
        <f ca="1">IF('Get Started'!$H112&lt;='Get Started'!$E27,IF(AND(L4&lt;'Get Started'!$H112,'Get Started'!$H112&lt;='Get Started'!$E27),0,OFFSET(L37,0,-1*'Get Started'!$H112)*'Get Started'!$H42*'Get Started'!$G112),0)+IF('Get Started'!$H111&lt;='Get Started'!$E27,IF(L4&lt;'Get Started'!$H111,0,OFFSET(L37,0,-1*'Get Started'!$H111)*'Get Started'!$G42*'Get Started'!$G111),0)+IF('Get Started'!$H110&lt;='Get Started'!$E27,IF(L4&lt;'Get Started'!$H110,0,OFFSET(L37,0,-1*'Get Started'!$H110)*'Get Started'!$F42*'Get Started'!$G110),0)+IF('Get Started'!$H109&lt;='Get Started'!$E27,IF(L4&lt;'Get Started'!$H109,0,OFFSET(L37,0,-1*'Get Started'!$H109)*'Get Started'!$E42*'Get Started'!$G109),0)</f>
        <v>0</v>
      </c>
      <c r="M204" s="29">
        <f ca="1">IF('Get Started'!$H112&lt;='Get Started'!$E27,IF(AND(M4&lt;'Get Started'!$H112,'Get Started'!$H112&lt;='Get Started'!$E27),0,OFFSET(M37,0,-1*'Get Started'!$H112)*'Get Started'!$H42*'Get Started'!$G112),0)+IF('Get Started'!$H111&lt;='Get Started'!$E27,IF(M4&lt;'Get Started'!$H111,0,OFFSET(M37,0,-1*'Get Started'!$H111)*'Get Started'!$G42*'Get Started'!$G111),0)+IF('Get Started'!$H110&lt;='Get Started'!$E27,IF(M4&lt;'Get Started'!$H110,0,OFFSET(M37,0,-1*'Get Started'!$H110)*'Get Started'!$F42*'Get Started'!$G110),0)+IF('Get Started'!$H109&lt;='Get Started'!$E27,IF(M4&lt;'Get Started'!$H109,0,OFFSET(M37,0,-1*'Get Started'!$H109)*'Get Started'!$E42*'Get Started'!$G109),0)</f>
        <v>0</v>
      </c>
      <c r="N204" s="29">
        <f ca="1">IF('Get Started'!$H112&lt;='Get Started'!$E27,IF(AND(N4&lt;'Get Started'!$H112,'Get Started'!$H112&lt;='Get Started'!$E27),0,OFFSET(N37,0,-1*'Get Started'!$H112)*'Get Started'!$H42*'Get Started'!$G112),0)+IF('Get Started'!$H111&lt;='Get Started'!$E27,IF(N4&lt;'Get Started'!$H111,0,OFFSET(N37,0,-1*'Get Started'!$H111)*'Get Started'!$G42*'Get Started'!$G111),0)+IF('Get Started'!$H110&lt;='Get Started'!$E27,IF(N4&lt;'Get Started'!$H110,0,OFFSET(N37,0,-1*'Get Started'!$H110)*'Get Started'!$F42*'Get Started'!$G110),0)+IF('Get Started'!$H109&lt;='Get Started'!$E27,IF(N4&lt;'Get Started'!$H109,0,OFFSET(N37,0,-1*'Get Started'!$H109)*'Get Started'!$E42*'Get Started'!$G109),0)</f>
        <v>0</v>
      </c>
      <c r="O204" s="29">
        <f ca="1">IF('Get Started'!$H112&lt;='Get Started'!$E27,IF(AND(O4&lt;'Get Started'!$H112,'Get Started'!$H112&lt;='Get Started'!$E27),0,OFFSET(O37,0,-1*'Get Started'!$H112)*'Get Started'!$H42*'Get Started'!$G112),0)+IF('Get Started'!$H111&lt;='Get Started'!$E27,IF(O4&lt;'Get Started'!$H111,0,OFFSET(O37,0,-1*'Get Started'!$H111)*'Get Started'!$G42*'Get Started'!$G111),0)+IF('Get Started'!$H110&lt;='Get Started'!$E27,IF(O4&lt;'Get Started'!$H110,0,OFFSET(O37,0,-1*'Get Started'!$H110)*'Get Started'!$F42*'Get Started'!$G110),0)+IF('Get Started'!$H109&lt;='Get Started'!$E27,IF(O4&lt;'Get Started'!$H109,0,OFFSET(O37,0,-1*'Get Started'!$H109)*'Get Started'!$E42*'Get Started'!$G109),0)</f>
        <v>0</v>
      </c>
      <c r="P204" s="29">
        <f ca="1">IF('Get Started'!$H112&lt;='Get Started'!$E27,IF(AND(P4&lt;'Get Started'!$H112,'Get Started'!$H112&lt;='Get Started'!$E27),0,OFFSET(P37,0,-1*'Get Started'!$H112)*'Get Started'!$H42*'Get Started'!$G112),0)+IF('Get Started'!$H111&lt;='Get Started'!$E27,IF(P4&lt;'Get Started'!$H111,0,OFFSET(P37,0,-1*'Get Started'!$H111)*'Get Started'!$G42*'Get Started'!$G111),0)+IF('Get Started'!$H110&lt;='Get Started'!$E27,IF(P4&lt;'Get Started'!$H110,0,OFFSET(P37,0,-1*'Get Started'!$H110)*'Get Started'!$F42*'Get Started'!$G110),0)+IF('Get Started'!$H109&lt;='Get Started'!$E27,IF(P4&lt;'Get Started'!$H109,0,OFFSET(P37,0,-1*'Get Started'!$H109)*'Get Started'!$E42*'Get Started'!$G109),0)</f>
        <v>0</v>
      </c>
      <c r="Q204" s="29">
        <f ca="1">IF('Get Started'!$H112&lt;='Get Started'!$E27,IF(AND(Q4&lt;'Get Started'!$H112,'Get Started'!$H112&lt;='Get Started'!$E27),0,OFFSET(Q37,0,-1*'Get Started'!$H112)*'Get Started'!$H42*'Get Started'!$G112),0)+IF('Get Started'!$H111&lt;='Get Started'!$E27,IF(Q4&lt;'Get Started'!$H111,0,OFFSET(Q37,0,-1*'Get Started'!$H111)*'Get Started'!$G42*'Get Started'!$G111),0)+IF('Get Started'!$H110&lt;='Get Started'!$E27,IF(Q4&lt;'Get Started'!$H110,0,OFFSET(Q37,0,-1*'Get Started'!$H110)*'Get Started'!$F42*'Get Started'!$G110),0)+IF('Get Started'!$H109&lt;='Get Started'!$E27,IF(Q4&lt;'Get Started'!$H109,0,OFFSET(Q37,0,-1*'Get Started'!$H109)*'Get Started'!$E42*'Get Started'!$G109),0)</f>
        <v>0</v>
      </c>
      <c r="R204" s="29">
        <f ca="1">IF('Get Started'!$H112&lt;='Get Started'!$E27,IF(AND(R4&lt;'Get Started'!$H112,'Get Started'!$H112&lt;='Get Started'!$E27),0,OFFSET(R37,0,-1*'Get Started'!$H112)*'Get Started'!$H42*'Get Started'!$G112),0)+IF('Get Started'!$H111&lt;='Get Started'!$E27,IF(R4&lt;'Get Started'!$H111,0,OFFSET(R37,0,-1*'Get Started'!$H111)*'Get Started'!$G42*'Get Started'!$G111),0)+IF('Get Started'!$H110&lt;='Get Started'!$E27,IF(R4&lt;'Get Started'!$H110,0,OFFSET(R37,0,-1*'Get Started'!$H110)*'Get Started'!$F42*'Get Started'!$G110),0)+IF('Get Started'!$H109&lt;='Get Started'!$E27,IF(R4&lt;'Get Started'!$H109,0,OFFSET(R37,0,-1*'Get Started'!$H109)*'Get Started'!$E42*'Get Started'!$G109),0)</f>
        <v>0</v>
      </c>
      <c r="S204" s="29">
        <f ca="1">IF('Get Started'!$H112&lt;='Get Started'!$E27,IF(AND(S4&lt;'Get Started'!$H112,'Get Started'!$H112&lt;='Get Started'!$E27),0,OFFSET(S37,0,-1*'Get Started'!$H112)*'Get Started'!$H42*'Get Started'!$G112),0)+IF('Get Started'!$H111&lt;='Get Started'!$E27,IF(S4&lt;'Get Started'!$H111,0,OFFSET(S37,0,-1*'Get Started'!$H111)*'Get Started'!$G42*'Get Started'!$G111),0)+IF('Get Started'!$H110&lt;='Get Started'!$E27,IF(S4&lt;'Get Started'!$H110,0,OFFSET(S37,0,-1*'Get Started'!$H110)*'Get Started'!$F42*'Get Started'!$G110),0)+IF('Get Started'!$H109&lt;='Get Started'!$E27,IF(S4&lt;'Get Started'!$H109,0,OFFSET(S37,0,-1*'Get Started'!$H109)*'Get Started'!$E42*'Get Started'!$G109),0)</f>
        <v>1212750.0000000005</v>
      </c>
      <c r="T204" s="29">
        <f ca="1">IF('Get Started'!$H112&lt;='Get Started'!$E27,IF(AND(T4&lt;'Get Started'!$H112,'Get Started'!$H112&lt;='Get Started'!$E27),0,OFFSET(T37,0,-1*'Get Started'!$H112)*'Get Started'!$H42*'Get Started'!$G112),0)+IF('Get Started'!$H111&lt;='Get Started'!$E27,IF(T4&lt;'Get Started'!$H111,0,OFFSET(T37,0,-1*'Get Started'!$H111)*'Get Started'!$G42*'Get Started'!$G111),0)+IF('Get Started'!$H110&lt;='Get Started'!$E27,IF(T4&lt;'Get Started'!$H110,0,OFFSET(T37,0,-1*'Get Started'!$H110)*'Get Started'!$F42*'Get Started'!$G110),0)+IF('Get Started'!$H109&lt;='Get Started'!$E27,IF(T4&lt;'Get Started'!$H109,0,OFFSET(T37,0,-1*'Get Started'!$H109)*'Get Started'!$E42*'Get Started'!$G109),0)</f>
        <v>1212750.0000000005</v>
      </c>
      <c r="U204" s="29">
        <f ca="1">IF('Get Started'!$H112&lt;='Get Started'!$E27,IF(AND(U4&lt;'Get Started'!$H112,'Get Started'!$H112&lt;='Get Started'!$E27),0,OFFSET(U37,0,-1*'Get Started'!$H112)*'Get Started'!$H42*'Get Started'!$G112),0)+IF('Get Started'!$H111&lt;='Get Started'!$E27,IF(U4&lt;'Get Started'!$H111,0,OFFSET(U37,0,-1*'Get Started'!$H111)*'Get Started'!$G42*'Get Started'!$G111),0)+IF('Get Started'!$H110&lt;='Get Started'!$E27,IF(U4&lt;'Get Started'!$H110,0,OFFSET(U37,0,-1*'Get Started'!$H110)*'Get Started'!$F42*'Get Started'!$G110),0)+IF('Get Started'!$H109&lt;='Get Started'!$E27,IF(U4&lt;'Get Started'!$H109,0,OFFSET(U37,0,-1*'Get Started'!$H109)*'Get Started'!$E42*'Get Started'!$G109),0)</f>
        <v>1212750.0000000005</v>
      </c>
      <c r="V204" s="29">
        <f ca="1">IF('Get Started'!$H112&lt;='Get Started'!$E27,IF(AND(V4&lt;'Get Started'!$H112,'Get Started'!$H112&lt;='Get Started'!$E27),0,OFFSET(V37,0,-1*'Get Started'!$H112)*'Get Started'!$H42*'Get Started'!$G112),0)+IF('Get Started'!$H111&lt;='Get Started'!$E27,IF(V4&lt;'Get Started'!$H111,0,OFFSET(V37,0,-1*'Get Started'!$H111)*'Get Started'!$G42*'Get Started'!$G111),0)+IF('Get Started'!$H110&lt;='Get Started'!$E27,IF(V4&lt;'Get Started'!$H110,0,OFFSET(V37,0,-1*'Get Started'!$H110)*'Get Started'!$F42*'Get Started'!$G110),0)+IF('Get Started'!$H109&lt;='Get Started'!$E27,IF(V4&lt;'Get Started'!$H109,0,OFFSET(V37,0,-1*'Get Started'!$H109)*'Get Started'!$E42*'Get Started'!$G109),0)</f>
        <v>1212750.0000000005</v>
      </c>
      <c r="W204" s="29">
        <f ca="1">IF('Get Started'!$H112&lt;='Get Started'!$E27,IF(AND(W4&lt;'Get Started'!$H112,'Get Started'!$H112&lt;='Get Started'!$E27),0,OFFSET(W37,0,-1*'Get Started'!$H112)*'Get Started'!$H42*'Get Started'!$G112),0)+IF('Get Started'!$H111&lt;='Get Started'!$E27,IF(W4&lt;'Get Started'!$H111,0,OFFSET(W37,0,-1*'Get Started'!$H111)*'Get Started'!$G42*'Get Started'!$G111),0)+IF('Get Started'!$H110&lt;='Get Started'!$E27,IF(W4&lt;'Get Started'!$H110,0,OFFSET(W37,0,-1*'Get Started'!$H110)*'Get Started'!$F42*'Get Started'!$G110),0)+IF('Get Started'!$H109&lt;='Get Started'!$E27,IF(W4&lt;'Get Started'!$H109,0,OFFSET(W37,0,-1*'Get Started'!$H109)*'Get Started'!$E42*'Get Started'!$G109),0)</f>
        <v>3486656.2500000009</v>
      </c>
      <c r="X204" s="29">
        <f ca="1">IF('Get Started'!$H112&lt;='Get Started'!$E27,IF(AND(X4&lt;'Get Started'!$H112,'Get Started'!$H112&lt;='Get Started'!$E27),0,OFFSET(X37,0,-1*'Get Started'!$H112)*'Get Started'!$H42*'Get Started'!$G112),0)+IF('Get Started'!$H111&lt;='Get Started'!$E27,IF(X4&lt;'Get Started'!$H111,0,OFFSET(X37,0,-1*'Get Started'!$H111)*'Get Started'!$G42*'Get Started'!$G111),0)+IF('Get Started'!$H110&lt;='Get Started'!$E27,IF(X4&lt;'Get Started'!$H110,0,OFFSET(X37,0,-1*'Get Started'!$H110)*'Get Started'!$F42*'Get Started'!$G110),0)+IF('Get Started'!$H109&lt;='Get Started'!$E27,IF(X4&lt;'Get Started'!$H109,0,OFFSET(X37,0,-1*'Get Started'!$H109)*'Get Started'!$E42*'Get Started'!$G109),0)</f>
        <v>3486656.2500000009</v>
      </c>
      <c r="Y204" s="29">
        <f ca="1">IF('Get Started'!$H112&lt;='Get Started'!$E27,IF(AND(Y4&lt;'Get Started'!$H112,'Get Started'!$H112&lt;='Get Started'!$E27),0,OFFSET(Y37,0,-1*'Get Started'!$H112)*'Get Started'!$H42*'Get Started'!$G112),0)+IF('Get Started'!$H111&lt;='Get Started'!$E27,IF(Y4&lt;'Get Started'!$H111,0,OFFSET(Y37,0,-1*'Get Started'!$H111)*'Get Started'!$G42*'Get Started'!$G111),0)+IF('Get Started'!$H110&lt;='Get Started'!$E27,IF(Y4&lt;'Get Started'!$H110,0,OFFSET(Y37,0,-1*'Get Started'!$H110)*'Get Started'!$F42*'Get Started'!$G110),0)+IF('Get Started'!$H109&lt;='Get Started'!$E27,IF(Y4&lt;'Get Started'!$H109,0,OFFSET(Y37,0,-1*'Get Started'!$H109)*'Get Started'!$E42*'Get Started'!$G109),0)</f>
        <v>3486656.2500000009</v>
      </c>
      <c r="Z204" s="29">
        <f ca="1">IF('Get Started'!$H112&lt;='Get Started'!$E27,IF(AND(Z4&lt;'Get Started'!$H112,'Get Started'!$H112&lt;='Get Started'!$E27),0,OFFSET(Z37,0,-1*'Get Started'!$H112)*'Get Started'!$H42*'Get Started'!$G112),0)+IF('Get Started'!$H111&lt;='Get Started'!$E27,IF(Z4&lt;'Get Started'!$H111,0,OFFSET(Z37,0,-1*'Get Started'!$H111)*'Get Started'!$G42*'Get Started'!$G111),0)+IF('Get Started'!$H110&lt;='Get Started'!$E27,IF(Z4&lt;'Get Started'!$H110,0,OFFSET(Z37,0,-1*'Get Started'!$H110)*'Get Started'!$F42*'Get Started'!$G110),0)+IF('Get Started'!$H109&lt;='Get Started'!$E27,IF(Z4&lt;'Get Started'!$H109,0,OFFSET(Z37,0,-1*'Get Started'!$H109)*'Get Started'!$E42*'Get Started'!$G109),0)</f>
        <v>3486656.2500000009</v>
      </c>
      <c r="AA204" s="29">
        <f ca="1">IF('Get Started'!$H112&lt;='Get Started'!$E27,IF(AND(AA4&lt;'Get Started'!$H112,'Get Started'!$H112&lt;='Get Started'!$E27),0,OFFSET(AA37,0,-1*'Get Started'!$H112)*'Get Started'!$H42*'Get Started'!$G112),0)+IF('Get Started'!$H111&lt;='Get Started'!$E27,IF(AA4&lt;'Get Started'!$H111,0,OFFSET(AA37,0,-1*'Get Started'!$H111)*'Get Started'!$G42*'Get Started'!$G111),0)+IF('Get Started'!$H110&lt;='Get Started'!$E27,IF(AA4&lt;'Get Started'!$H110,0,OFFSET(AA37,0,-1*'Get Started'!$H110)*'Get Started'!$F42*'Get Started'!$G110),0)+IF('Get Started'!$H109&lt;='Get Started'!$E27,IF(AA4&lt;'Get Started'!$H109,0,OFFSET(AA37,0,-1*'Get Started'!$H109)*'Get Started'!$E42*'Get Started'!$G109),0)</f>
        <v>3486656.2500000009</v>
      </c>
      <c r="AB204" s="29">
        <f ca="1">IF('Get Started'!$H112&lt;='Get Started'!$E27,IF(AND(AB4&lt;'Get Started'!$H112,'Get Started'!$H112&lt;='Get Started'!$E27),0,OFFSET(AB37,0,-1*'Get Started'!$H112)*'Get Started'!$H42*'Get Started'!$G112),0)+IF('Get Started'!$H111&lt;='Get Started'!$E27,IF(AB4&lt;'Get Started'!$H111,0,OFFSET(AB37,0,-1*'Get Started'!$H111)*'Get Started'!$G42*'Get Started'!$G111),0)+IF('Get Started'!$H110&lt;='Get Started'!$E27,IF(AB4&lt;'Get Started'!$H110,0,OFFSET(AB37,0,-1*'Get Started'!$H110)*'Get Started'!$F42*'Get Started'!$G110),0)+IF('Get Started'!$H109&lt;='Get Started'!$E27,IF(AB4&lt;'Get Started'!$H109,0,OFFSET(AB37,0,-1*'Get Started'!$H109)*'Get Started'!$E42*'Get Started'!$G109),0)</f>
        <v>3486656.2500000009</v>
      </c>
      <c r="AC204" s="29">
        <f ca="1">IF('Get Started'!$H112&lt;='Get Started'!$E27,IF(AND(AC4&lt;'Get Started'!$H112,'Get Started'!$H112&lt;='Get Started'!$E27),0,OFFSET(AC37,0,-1*'Get Started'!$H112)*'Get Started'!$H42*'Get Started'!$G112),0)+IF('Get Started'!$H111&lt;='Get Started'!$E27,IF(AC4&lt;'Get Started'!$H111,0,OFFSET(AC37,0,-1*'Get Started'!$H111)*'Get Started'!$G42*'Get Started'!$G111),0)+IF('Get Started'!$H110&lt;='Get Started'!$E27,IF(AC4&lt;'Get Started'!$H110,0,OFFSET(AC37,0,-1*'Get Started'!$H110)*'Get Started'!$F42*'Get Started'!$G110),0)+IF('Get Started'!$H109&lt;='Get Started'!$E27,IF(AC4&lt;'Get Started'!$H109,0,OFFSET(AC37,0,-1*'Get Started'!$H109)*'Get Started'!$E42*'Get Started'!$G109),0)</f>
        <v>3486656.2500000009</v>
      </c>
      <c r="AD204" s="29">
        <f ca="1">IF('Get Started'!$H112&lt;='Get Started'!$E27,IF(AND(AD4&lt;'Get Started'!$H112,'Get Started'!$H112&lt;='Get Started'!$E27),0,OFFSET(AD37,0,-1*'Get Started'!$H112)*'Get Started'!$H42*'Get Started'!$G112),0)+IF('Get Started'!$H111&lt;='Get Started'!$E27,IF(AD4&lt;'Get Started'!$H111,0,OFFSET(AD37,0,-1*'Get Started'!$H111)*'Get Started'!$G42*'Get Started'!$G111),0)+IF('Get Started'!$H110&lt;='Get Started'!$E27,IF(AD4&lt;'Get Started'!$H110,0,OFFSET(AD37,0,-1*'Get Started'!$H110)*'Get Started'!$F42*'Get Started'!$G110),0)+IF('Get Started'!$H109&lt;='Get Started'!$E27,IF(AD4&lt;'Get Started'!$H109,0,OFFSET(AD37,0,-1*'Get Started'!$H109)*'Get Started'!$E42*'Get Started'!$G109),0)</f>
        <v>3486656.2500000009</v>
      </c>
      <c r="AE204" s="29">
        <f ca="1">IF('Get Started'!$H112&lt;='Get Started'!$E27,IF(AND(AE4&lt;'Get Started'!$H112,'Get Started'!$H112&lt;='Get Started'!$E27),0,OFFSET(AE37,0,-1*'Get Started'!$H112)*'Get Started'!$H42*'Get Started'!$G112),0)+IF('Get Started'!$H111&lt;='Get Started'!$E27,IF(AE4&lt;'Get Started'!$H111,0,OFFSET(AE37,0,-1*'Get Started'!$H111)*'Get Started'!$G42*'Get Started'!$G111),0)+IF('Get Started'!$H110&lt;='Get Started'!$E27,IF(AE4&lt;'Get Started'!$H110,0,OFFSET(AE37,0,-1*'Get Started'!$H110)*'Get Started'!$F42*'Get Started'!$G110),0)+IF('Get Started'!$H109&lt;='Get Started'!$E27,IF(AE4&lt;'Get Started'!$H109,0,OFFSET(AE37,0,-1*'Get Started'!$H109)*'Get Started'!$E42*'Get Started'!$G109),0)</f>
        <v>8277018.7499999981</v>
      </c>
      <c r="AF204" s="29">
        <f ca="1">IF('Get Started'!$H112&lt;='Get Started'!$E27,IF(AND(AF4&lt;'Get Started'!$H112,'Get Started'!$H112&lt;='Get Started'!$E27),0,OFFSET(AF37,0,-1*'Get Started'!$H112)*'Get Started'!$H42*'Get Started'!$G112),0)+IF('Get Started'!$H111&lt;='Get Started'!$E27,IF(AF4&lt;'Get Started'!$H111,0,OFFSET(AF37,0,-1*'Get Started'!$H111)*'Get Started'!$G42*'Get Started'!$G111),0)+IF('Get Started'!$H110&lt;='Get Started'!$E27,IF(AF4&lt;'Get Started'!$H110,0,OFFSET(AF37,0,-1*'Get Started'!$H110)*'Get Started'!$F42*'Get Started'!$G110),0)+IF('Get Started'!$H109&lt;='Get Started'!$E27,IF(AF4&lt;'Get Started'!$H109,0,OFFSET(AF37,0,-1*'Get Started'!$H109)*'Get Started'!$E42*'Get Started'!$G109),0)</f>
        <v>8277018.7499999981</v>
      </c>
      <c r="AG204" s="29">
        <f ca="1">IF('Get Started'!$H112&lt;='Get Started'!$E27,IF(AND(AG4&lt;'Get Started'!$H112,'Get Started'!$H112&lt;='Get Started'!$E27),0,OFFSET(AG37,0,-1*'Get Started'!$H112)*'Get Started'!$H42*'Get Started'!$G112),0)+IF('Get Started'!$H111&lt;='Get Started'!$E27,IF(AG4&lt;'Get Started'!$H111,0,OFFSET(AG37,0,-1*'Get Started'!$H111)*'Get Started'!$G42*'Get Started'!$G111),0)+IF('Get Started'!$H110&lt;='Get Started'!$E27,IF(AG4&lt;'Get Started'!$H110,0,OFFSET(AG37,0,-1*'Get Started'!$H110)*'Get Started'!$F42*'Get Started'!$G110),0)+IF('Get Started'!$H109&lt;='Get Started'!$E27,IF(AG4&lt;'Get Started'!$H109,0,OFFSET(AG37,0,-1*'Get Started'!$H109)*'Get Started'!$E42*'Get Started'!$G109),0)</f>
        <v>8277018.7499999981</v>
      </c>
      <c r="AH204" s="29">
        <f ca="1">IF('Get Started'!$H112&lt;='Get Started'!$E27,IF(AND(AH4&lt;'Get Started'!$H112,'Get Started'!$H112&lt;='Get Started'!$E27),0,OFFSET(AH37,0,-1*'Get Started'!$H112)*'Get Started'!$H42*'Get Started'!$G112),0)+IF('Get Started'!$H111&lt;='Get Started'!$E27,IF(AH4&lt;'Get Started'!$H111,0,OFFSET(AH37,0,-1*'Get Started'!$H111)*'Get Started'!$G42*'Get Started'!$G111),0)+IF('Get Started'!$H110&lt;='Get Started'!$E27,IF(AH4&lt;'Get Started'!$H110,0,OFFSET(AH37,0,-1*'Get Started'!$H110)*'Get Started'!$F42*'Get Started'!$G110),0)+IF('Get Started'!$H109&lt;='Get Started'!$E27,IF(AH4&lt;'Get Started'!$H109,0,OFFSET(AH37,0,-1*'Get Started'!$H109)*'Get Started'!$E42*'Get Started'!$G109),0)</f>
        <v>8277018.7499999981</v>
      </c>
      <c r="AI204" s="29">
        <f ca="1">IF('Get Started'!$H112&lt;='Get Started'!$E27,IF(AND(AI4&lt;'Get Started'!$H112,'Get Started'!$H112&lt;='Get Started'!$E27),0,OFFSET(AI37,0,-1*'Get Started'!$H112)*'Get Started'!$H42*'Get Started'!$G112),0)+IF('Get Started'!$H111&lt;='Get Started'!$E27,IF(AI4&lt;'Get Started'!$H111,0,OFFSET(AI37,0,-1*'Get Started'!$H111)*'Get Started'!$G42*'Get Started'!$G111),0)+IF('Get Started'!$H110&lt;='Get Started'!$E27,IF(AI4&lt;'Get Started'!$H110,0,OFFSET(AI37,0,-1*'Get Started'!$H110)*'Get Started'!$F42*'Get Started'!$G110),0)+IF('Get Started'!$H109&lt;='Get Started'!$E27,IF(AI4&lt;'Get Started'!$H109,0,OFFSET(AI37,0,-1*'Get Started'!$H109)*'Get Started'!$E42*'Get Started'!$G109),0)</f>
        <v>7276499.9999999981</v>
      </c>
      <c r="AJ204" s="29">
        <f ca="1">IF('Get Started'!$H112&lt;='Get Started'!$E27,IF(AND(AJ4&lt;'Get Started'!$H112,'Get Started'!$H112&lt;='Get Started'!$E27),0,OFFSET(AJ37,0,-1*'Get Started'!$H112)*'Get Started'!$H42*'Get Started'!$G112),0)+IF('Get Started'!$H111&lt;='Get Started'!$E27,IF(AJ4&lt;'Get Started'!$H111,0,OFFSET(AJ37,0,-1*'Get Started'!$H111)*'Get Started'!$G42*'Get Started'!$G111),0)+IF('Get Started'!$H110&lt;='Get Started'!$E27,IF(AJ4&lt;'Get Started'!$H110,0,OFFSET(AJ37,0,-1*'Get Started'!$H110)*'Get Started'!$F42*'Get Started'!$G110),0)+IF('Get Started'!$H109&lt;='Get Started'!$E27,IF(AJ4&lt;'Get Started'!$H109,0,OFFSET(AJ37,0,-1*'Get Started'!$H109)*'Get Started'!$E42*'Get Started'!$G109),0)</f>
        <v>7276499.9999999981</v>
      </c>
      <c r="AK204" s="29">
        <f ca="1">IF('Get Started'!$H112&lt;='Get Started'!$E27,IF(AND(AK4&lt;'Get Started'!$H112,'Get Started'!$H112&lt;='Get Started'!$E27),0,OFFSET(AK37,0,-1*'Get Started'!$H112)*'Get Started'!$H42*'Get Started'!$G112),0)+IF('Get Started'!$H111&lt;='Get Started'!$E27,IF(AK4&lt;'Get Started'!$H111,0,OFFSET(AK37,0,-1*'Get Started'!$H111)*'Get Started'!$G42*'Get Started'!$G111),0)+IF('Get Started'!$H110&lt;='Get Started'!$E27,IF(AK4&lt;'Get Started'!$H110,0,OFFSET(AK37,0,-1*'Get Started'!$H110)*'Get Started'!$F42*'Get Started'!$G110),0)+IF('Get Started'!$H109&lt;='Get Started'!$E27,IF(AK4&lt;'Get Started'!$H109,0,OFFSET(AK37,0,-1*'Get Started'!$H109)*'Get Started'!$E42*'Get Started'!$G109),0)</f>
        <v>7276499.9999999981</v>
      </c>
      <c r="AL204" s="29">
        <f ca="1">IF('Get Started'!$H112&lt;='Get Started'!$E27,IF(AND(AL4&lt;'Get Started'!$H112,'Get Started'!$H112&lt;='Get Started'!$E27),0,OFFSET(AL37,0,-1*'Get Started'!$H112)*'Get Started'!$H42*'Get Started'!$G112),0)+IF('Get Started'!$H111&lt;='Get Started'!$E27,IF(AL4&lt;'Get Started'!$H111,0,OFFSET(AL37,0,-1*'Get Started'!$H111)*'Get Started'!$G42*'Get Started'!$G111),0)+IF('Get Started'!$H110&lt;='Get Started'!$E27,IF(AL4&lt;'Get Started'!$H110,0,OFFSET(AL37,0,-1*'Get Started'!$H110)*'Get Started'!$F42*'Get Started'!$G110),0)+IF('Get Started'!$H109&lt;='Get Started'!$E27,IF(AL4&lt;'Get Started'!$H109,0,OFFSET(AL37,0,-1*'Get Started'!$H109)*'Get Started'!$E42*'Get Started'!$G109),0)</f>
        <v>7276499.9999999981</v>
      </c>
      <c r="AM204" s="29">
        <f ca="1">IF('Get Started'!$H112&lt;='Get Started'!$E27,IF(AND(AM4&lt;'Get Started'!$H112,'Get Started'!$H112&lt;='Get Started'!$E27),0,OFFSET(AM37,0,-1*'Get Started'!$H112)*'Get Started'!$H42*'Get Started'!$G112),0)+IF('Get Started'!$H111&lt;='Get Started'!$E27,IF(AM4&lt;'Get Started'!$H111,0,OFFSET(AM37,0,-1*'Get Started'!$H111)*'Get Started'!$G42*'Get Started'!$G111),0)+IF('Get Started'!$H110&lt;='Get Started'!$E27,IF(AM4&lt;'Get Started'!$H110,0,OFFSET(AM37,0,-1*'Get Started'!$H110)*'Get Started'!$F42*'Get Started'!$G110),0)+IF('Get Started'!$H109&lt;='Get Started'!$E27,IF(AM4&lt;'Get Started'!$H109,0,OFFSET(AM37,0,-1*'Get Started'!$H109)*'Get Started'!$E42*'Get Started'!$G109),0)</f>
        <v>4547812.4999999981</v>
      </c>
      <c r="AN204" s="29">
        <f ca="1">IF('Get Started'!$H112&lt;='Get Started'!$E27,IF(AND(AN4&lt;'Get Started'!$H112,'Get Started'!$H112&lt;='Get Started'!$E27),0,OFFSET(AN37,0,-1*'Get Started'!$H112)*'Get Started'!$H42*'Get Started'!$G112),0)+IF('Get Started'!$H111&lt;='Get Started'!$E27,IF(AN4&lt;'Get Started'!$H111,0,OFFSET(AN37,0,-1*'Get Started'!$H111)*'Get Started'!$G42*'Get Started'!$G111),0)+IF('Get Started'!$H110&lt;='Get Started'!$E27,IF(AN4&lt;'Get Started'!$H110,0,OFFSET(AN37,0,-1*'Get Started'!$H110)*'Get Started'!$F42*'Get Started'!$G110),0)+IF('Get Started'!$H109&lt;='Get Started'!$E27,IF(AN4&lt;'Get Started'!$H109,0,OFFSET(AN37,0,-1*'Get Started'!$H109)*'Get Started'!$E42*'Get Started'!$G109),0)</f>
        <v>4547812.4999999981</v>
      </c>
      <c r="AO204" s="29">
        <f ca="1">IF('Get Started'!$H112&lt;='Get Started'!$E27,IF(AND(AO4&lt;'Get Started'!$H112,'Get Started'!$H112&lt;='Get Started'!$E27),0,OFFSET(AO37,0,-1*'Get Started'!$H112)*'Get Started'!$H42*'Get Started'!$G112),0)+IF('Get Started'!$H111&lt;='Get Started'!$E27,IF(AO4&lt;'Get Started'!$H111,0,OFFSET(AO37,0,-1*'Get Started'!$H111)*'Get Started'!$G42*'Get Started'!$G111),0)+IF('Get Started'!$H110&lt;='Get Started'!$E27,IF(AO4&lt;'Get Started'!$H110,0,OFFSET(AO37,0,-1*'Get Started'!$H110)*'Get Started'!$F42*'Get Started'!$G110),0)+IF('Get Started'!$H109&lt;='Get Started'!$E27,IF(AO4&lt;'Get Started'!$H109,0,OFFSET(AO37,0,-1*'Get Started'!$H109)*'Get Started'!$E42*'Get Started'!$G109),0)</f>
        <v>4547812.4999999981</v>
      </c>
      <c r="AP204" s="29">
        <f ca="1">IF('Get Started'!$H112&lt;='Get Started'!$E27,IF(AND(AP4&lt;'Get Started'!$H112,'Get Started'!$H112&lt;='Get Started'!$E27),0,OFFSET(AP37,0,-1*'Get Started'!$H112)*'Get Started'!$H42*'Get Started'!$G112),0)+IF('Get Started'!$H111&lt;='Get Started'!$E27,IF(AP4&lt;'Get Started'!$H111,0,OFFSET(AP37,0,-1*'Get Started'!$H111)*'Get Started'!$G42*'Get Started'!$G111),0)+IF('Get Started'!$H110&lt;='Get Started'!$E27,IF(AP4&lt;'Get Started'!$H110,0,OFFSET(AP37,0,-1*'Get Started'!$H110)*'Get Started'!$F42*'Get Started'!$G110),0)+IF('Get Started'!$H109&lt;='Get Started'!$E27,IF(AP4&lt;'Get Started'!$H109,0,OFFSET(AP37,0,-1*'Get Started'!$H109)*'Get Started'!$E42*'Get Started'!$G109),0)</f>
        <v>4547812.4999999981</v>
      </c>
      <c r="AQ204" s="29">
        <f ca="1">IF('Get Started'!$H112&lt;='Get Started'!$E27,IF(AND(AQ4&lt;'Get Started'!$H112,'Get Started'!$H112&lt;='Get Started'!$E27),0,OFFSET(AQ37,0,-1*'Get Started'!$H112)*'Get Started'!$H42*'Get Started'!$G112),0)+IF('Get Started'!$H111&lt;='Get Started'!$E27,IF(AQ4&lt;'Get Started'!$H111,0,OFFSET(AQ37,0,-1*'Get Started'!$H111)*'Get Started'!$G42*'Get Started'!$G111),0)+IF('Get Started'!$H110&lt;='Get Started'!$E27,IF(AQ4&lt;'Get Started'!$H110,0,OFFSET(AQ37,0,-1*'Get Started'!$H110)*'Get Started'!$F42*'Get Started'!$G110),0)+IF('Get Started'!$H109&lt;='Get Started'!$E27,IF(AQ4&lt;'Get Started'!$H109,0,OFFSET(AQ37,0,-1*'Get Started'!$H109)*'Get Started'!$E42*'Get Started'!$G109),0)</f>
        <v>5457374.9999999981</v>
      </c>
      <c r="AR204" s="29">
        <f ca="1">IF('Get Started'!$H112&lt;='Get Started'!$E27,IF(AND(AR4&lt;'Get Started'!$H112,'Get Started'!$H112&lt;='Get Started'!$E27),0,OFFSET(AR37,0,-1*'Get Started'!$H112)*'Get Started'!$H42*'Get Started'!$G112),0)+IF('Get Started'!$H111&lt;='Get Started'!$E27,IF(AR4&lt;'Get Started'!$H111,0,OFFSET(AR37,0,-1*'Get Started'!$H111)*'Get Started'!$G42*'Get Started'!$G111),0)+IF('Get Started'!$H110&lt;='Get Started'!$E27,IF(AR4&lt;'Get Started'!$H110,0,OFFSET(AR37,0,-1*'Get Started'!$H110)*'Get Started'!$F42*'Get Started'!$G110),0)+IF('Get Started'!$H109&lt;='Get Started'!$E27,IF(AR4&lt;'Get Started'!$H109,0,OFFSET(AR37,0,-1*'Get Started'!$H109)*'Get Started'!$E42*'Get Started'!$G109),0)</f>
        <v>5457374.9999999981</v>
      </c>
      <c r="AS204" s="29">
        <f ca="1">IF('Get Started'!$H112&lt;='Get Started'!$E27,IF(AND(AS4&lt;'Get Started'!$H112,'Get Started'!$H112&lt;='Get Started'!$E27),0,OFFSET(AS37,0,-1*'Get Started'!$H112)*'Get Started'!$H42*'Get Started'!$G112),0)+IF('Get Started'!$H111&lt;='Get Started'!$E27,IF(AS4&lt;'Get Started'!$H111,0,OFFSET(AS37,0,-1*'Get Started'!$H111)*'Get Started'!$G42*'Get Started'!$G111),0)+IF('Get Started'!$H110&lt;='Get Started'!$E27,IF(AS4&lt;'Get Started'!$H110,0,OFFSET(AS37,0,-1*'Get Started'!$H110)*'Get Started'!$F42*'Get Started'!$G110),0)+IF('Get Started'!$H109&lt;='Get Started'!$E27,IF(AS4&lt;'Get Started'!$H109,0,OFFSET(AS37,0,-1*'Get Started'!$H109)*'Get Started'!$E42*'Get Started'!$G109),0)</f>
        <v>5457374.9999999981</v>
      </c>
      <c r="AT204" s="29">
        <f ca="1">IF('Get Started'!$H112&lt;='Get Started'!$E27,IF(AND(AT4&lt;'Get Started'!$H112,'Get Started'!$H112&lt;='Get Started'!$E27),0,OFFSET(AT37,0,-1*'Get Started'!$H112)*'Get Started'!$H42*'Get Started'!$G112),0)+IF('Get Started'!$H111&lt;='Get Started'!$E27,IF(AT4&lt;'Get Started'!$H111,0,OFFSET(AT37,0,-1*'Get Started'!$H111)*'Get Started'!$G42*'Get Started'!$G111),0)+IF('Get Started'!$H110&lt;='Get Started'!$E27,IF(AT4&lt;'Get Started'!$H110,0,OFFSET(AT37,0,-1*'Get Started'!$H110)*'Get Started'!$F42*'Get Started'!$G110),0)+IF('Get Started'!$H109&lt;='Get Started'!$E27,IF(AT4&lt;'Get Started'!$H109,0,OFFSET(AT37,0,-1*'Get Started'!$H109)*'Get Started'!$E42*'Get Started'!$G109),0)</f>
        <v>5457374.9999999981</v>
      </c>
      <c r="AU204" s="29">
        <f ca="1">IF('Get Started'!$H112&lt;='Get Started'!$E27,IF(AND(AU4&lt;'Get Started'!$H112,'Get Started'!$H112&lt;='Get Started'!$E27),0,OFFSET(AU37,0,-1*'Get Started'!$H112)*'Get Started'!$H42*'Get Started'!$G112),0)+IF('Get Started'!$H111&lt;='Get Started'!$E27,IF(AU4&lt;'Get Started'!$H111,0,OFFSET(AU37,0,-1*'Get Started'!$H111)*'Get Started'!$G42*'Get Started'!$G111),0)+IF('Get Started'!$H110&lt;='Get Started'!$E27,IF(AU4&lt;'Get Started'!$H110,0,OFFSET(AU37,0,-1*'Get Started'!$H110)*'Get Started'!$F42*'Get Started'!$G110),0)+IF('Get Started'!$H109&lt;='Get Started'!$E27,IF(AU4&lt;'Get Started'!$H109,0,OFFSET(AU37,0,-1*'Get Started'!$H109)*'Get Started'!$E42*'Get Started'!$G109),0)</f>
        <v>0</v>
      </c>
      <c r="AV204" s="29">
        <f ca="1">IF('Get Started'!$H112&lt;='Get Started'!$E27,IF(AND(AV4&lt;'Get Started'!$H112,'Get Started'!$H112&lt;='Get Started'!$E27),0,OFFSET(AV37,0,-1*'Get Started'!$H112)*'Get Started'!$H42*'Get Started'!$G112),0)+IF('Get Started'!$H111&lt;='Get Started'!$E27,IF(AV4&lt;'Get Started'!$H111,0,OFFSET(AV37,0,-1*'Get Started'!$H111)*'Get Started'!$G42*'Get Started'!$G111),0)+IF('Get Started'!$H110&lt;='Get Started'!$E27,IF(AV4&lt;'Get Started'!$H110,0,OFFSET(AV37,0,-1*'Get Started'!$H110)*'Get Started'!$F42*'Get Started'!$G110),0)+IF('Get Started'!$H109&lt;='Get Started'!$E27,IF(AV4&lt;'Get Started'!$H109,0,OFFSET(AV37,0,-1*'Get Started'!$H109)*'Get Started'!$E42*'Get Started'!$G109),0)</f>
        <v>0</v>
      </c>
      <c r="AW204" s="29">
        <f ca="1">IF('Get Started'!$H112&lt;='Get Started'!$E27,IF(AND(AW4&lt;'Get Started'!$H112,'Get Started'!$H112&lt;='Get Started'!$E27),0,OFFSET(AW37,0,-1*'Get Started'!$H112)*'Get Started'!$H42*'Get Started'!$G112),0)+IF('Get Started'!$H111&lt;='Get Started'!$E27,IF(AW4&lt;'Get Started'!$H111,0,OFFSET(AW37,0,-1*'Get Started'!$H111)*'Get Started'!$G42*'Get Started'!$G111),0)+IF('Get Started'!$H110&lt;='Get Started'!$E27,IF(AW4&lt;'Get Started'!$H110,0,OFFSET(AW37,0,-1*'Get Started'!$H110)*'Get Started'!$F42*'Get Started'!$G110),0)+IF('Get Started'!$H109&lt;='Get Started'!$E27,IF(AW4&lt;'Get Started'!$H109,0,OFFSET(AW37,0,-1*'Get Started'!$H109)*'Get Started'!$E42*'Get Started'!$G109),0)</f>
        <v>0</v>
      </c>
      <c r="AX204" s="29">
        <f ca="1">IF('Get Started'!$H112&lt;='Get Started'!$E27,IF(AND(AX4&lt;'Get Started'!$H112,'Get Started'!$H112&lt;='Get Started'!$E27),0,OFFSET(AX37,0,-1*'Get Started'!$H112)*'Get Started'!$H42*'Get Started'!$G112),0)+IF('Get Started'!$H111&lt;='Get Started'!$E27,IF(AX4&lt;'Get Started'!$H111,0,OFFSET(AX37,0,-1*'Get Started'!$H111)*'Get Started'!$G42*'Get Started'!$G111),0)+IF('Get Started'!$H110&lt;='Get Started'!$E27,IF(AX4&lt;'Get Started'!$H110,0,OFFSET(AX37,0,-1*'Get Started'!$H110)*'Get Started'!$F42*'Get Started'!$G110),0)+IF('Get Started'!$H109&lt;='Get Started'!$E27,IF(AX4&lt;'Get Started'!$H109,0,OFFSET(AX37,0,-1*'Get Started'!$H109)*'Get Started'!$E42*'Get Started'!$G109),0)</f>
        <v>0</v>
      </c>
      <c r="AY204" s="29">
        <f ca="1">IF('Get Started'!$H112&lt;='Get Started'!$E27,IF(AND(AY4&lt;'Get Started'!$H112,'Get Started'!$H112&lt;='Get Started'!$E27),0,OFFSET(AY37,0,-1*'Get Started'!$H112)*'Get Started'!$H42*'Get Started'!$G112),0)+IF('Get Started'!$H111&lt;='Get Started'!$E27,IF(AY4&lt;'Get Started'!$H111,0,OFFSET(AY37,0,-1*'Get Started'!$H111)*'Get Started'!$G42*'Get Started'!$G111),0)+IF('Get Started'!$H110&lt;='Get Started'!$E27,IF(AY4&lt;'Get Started'!$H110,0,OFFSET(AY37,0,-1*'Get Started'!$H110)*'Get Started'!$F42*'Get Started'!$G110),0)+IF('Get Started'!$H109&lt;='Get Started'!$E27,IF(AY4&lt;'Get Started'!$H109,0,OFFSET(AY37,0,-1*'Get Started'!$H109)*'Get Started'!$E42*'Get Started'!$G109),0)</f>
        <v>0</v>
      </c>
      <c r="AZ204" s="29">
        <f ca="1">IF('Get Started'!$H112&lt;='Get Started'!$E27,IF(AND(AZ4&lt;'Get Started'!$H112,'Get Started'!$H112&lt;='Get Started'!$E27),0,OFFSET(AZ37,0,-1*'Get Started'!$H112)*'Get Started'!$H42*'Get Started'!$G112),0)+IF('Get Started'!$H111&lt;='Get Started'!$E27,IF(AZ4&lt;'Get Started'!$H111,0,OFFSET(AZ37,0,-1*'Get Started'!$H111)*'Get Started'!$G42*'Get Started'!$G111),0)+IF('Get Started'!$H110&lt;='Get Started'!$E27,IF(AZ4&lt;'Get Started'!$H110,0,OFFSET(AZ37,0,-1*'Get Started'!$H110)*'Get Started'!$F42*'Get Started'!$G110),0)+IF('Get Started'!$H109&lt;='Get Started'!$E27,IF(AZ4&lt;'Get Started'!$H109,0,OFFSET(AZ37,0,-1*'Get Started'!$H109)*'Get Started'!$E42*'Get Started'!$G109),0)</f>
        <v>0</v>
      </c>
      <c r="BA204" s="29">
        <f ca="1">IF('Get Started'!$H112&lt;='Get Started'!$E27,IF(AND(BA4&lt;'Get Started'!$H112,'Get Started'!$H112&lt;='Get Started'!$E27),0,OFFSET(BA37,0,-1*'Get Started'!$H112)*'Get Started'!$H42*'Get Started'!$G112),0)+IF('Get Started'!$H111&lt;='Get Started'!$E27,IF(BA4&lt;'Get Started'!$H111,0,OFFSET(BA37,0,-1*'Get Started'!$H111)*'Get Started'!$G42*'Get Started'!$G111),0)+IF('Get Started'!$H110&lt;='Get Started'!$E27,IF(BA4&lt;'Get Started'!$H110,0,OFFSET(BA37,0,-1*'Get Started'!$H110)*'Get Started'!$F42*'Get Started'!$G110),0)+IF('Get Started'!$H109&lt;='Get Started'!$E27,IF(BA4&lt;'Get Started'!$H109,0,OFFSET(BA37,0,-1*'Get Started'!$H109)*'Get Started'!$E42*'Get Started'!$G109),0)</f>
        <v>0</v>
      </c>
      <c r="BB204" s="29">
        <f ca="1">IF('Get Started'!$H112&lt;='Get Started'!$E27,IF(AND(BB4&lt;'Get Started'!$H112,'Get Started'!$H112&lt;='Get Started'!$E27),0,OFFSET(BB37,0,-1*'Get Started'!$H112)*'Get Started'!$H42*'Get Started'!$G112),0)+IF('Get Started'!$H111&lt;='Get Started'!$E27,IF(BB4&lt;'Get Started'!$H111,0,OFFSET(BB37,0,-1*'Get Started'!$H111)*'Get Started'!$G42*'Get Started'!$G111),0)+IF('Get Started'!$H110&lt;='Get Started'!$E27,IF(BB4&lt;'Get Started'!$H110,0,OFFSET(BB37,0,-1*'Get Started'!$H110)*'Get Started'!$F42*'Get Started'!$G110),0)+IF('Get Started'!$H109&lt;='Get Started'!$E27,IF(BB4&lt;'Get Started'!$H109,0,OFFSET(BB37,0,-1*'Get Started'!$H109)*'Get Started'!$E42*'Get Started'!$G109),0)</f>
        <v>0</v>
      </c>
      <c r="BC204" s="29">
        <f ca="1">IF('Get Started'!$H112&lt;='Get Started'!$E27,IF(AND(BC4&lt;'Get Started'!$H112,'Get Started'!$H112&lt;='Get Started'!$E27),0,OFFSET(BC37,0,-1*'Get Started'!$H112)*'Get Started'!$H42*'Get Started'!$G112),0)+IF('Get Started'!$H111&lt;='Get Started'!$E27,IF(BC4&lt;'Get Started'!$H111,0,OFFSET(BC37,0,-1*'Get Started'!$H111)*'Get Started'!$G42*'Get Started'!$G111),0)+IF('Get Started'!$H110&lt;='Get Started'!$E27,IF(BC4&lt;'Get Started'!$H110,0,OFFSET(BC37,0,-1*'Get Started'!$H110)*'Get Started'!$F42*'Get Started'!$G110),0)+IF('Get Started'!$H109&lt;='Get Started'!$E27,IF(BC4&lt;'Get Started'!$H109,0,OFFSET(BC37,0,-1*'Get Started'!$H109)*'Get Started'!$E42*'Get Started'!$G109),0)</f>
        <v>0</v>
      </c>
      <c r="BD204" s="29">
        <f ca="1">IF('Get Started'!$H112&lt;='Get Started'!$E27,IF(AND(BD4&lt;'Get Started'!$H112,'Get Started'!$H112&lt;='Get Started'!$E27),0,OFFSET(BD37,0,-1*'Get Started'!$H112)*'Get Started'!$H42*'Get Started'!$G112),0)+IF('Get Started'!$H111&lt;='Get Started'!$E27,IF(BD4&lt;'Get Started'!$H111,0,OFFSET(BD37,0,-1*'Get Started'!$H111)*'Get Started'!$G42*'Get Started'!$G111),0)+IF('Get Started'!$H110&lt;='Get Started'!$E27,IF(BD4&lt;'Get Started'!$H110,0,OFFSET(BD37,0,-1*'Get Started'!$H110)*'Get Started'!$F42*'Get Started'!$G110),0)+IF('Get Started'!$H109&lt;='Get Started'!$E27,IF(BD4&lt;'Get Started'!$H109,0,OFFSET(BD37,0,-1*'Get Started'!$H109)*'Get Started'!$E42*'Get Started'!$G109),0)</f>
        <v>0</v>
      </c>
      <c r="BE204" s="29">
        <f ca="1">IF('Get Started'!$H112&lt;='Get Started'!$E27,IF(AND(BE4&lt;'Get Started'!$H112,'Get Started'!$H112&lt;='Get Started'!$E27),0,OFFSET(BE37,0,-1*'Get Started'!$H112)*'Get Started'!$H42*'Get Started'!$G112),0)+IF('Get Started'!$H111&lt;='Get Started'!$E27,IF(BE4&lt;'Get Started'!$H111,0,OFFSET(BE37,0,-1*'Get Started'!$H111)*'Get Started'!$G42*'Get Started'!$G111),0)+IF('Get Started'!$H110&lt;='Get Started'!$E27,IF(BE4&lt;'Get Started'!$H110,0,OFFSET(BE37,0,-1*'Get Started'!$H110)*'Get Started'!$F42*'Get Started'!$G110),0)+IF('Get Started'!$H109&lt;='Get Started'!$E27,IF(BE4&lt;'Get Started'!$H109,0,OFFSET(BE37,0,-1*'Get Started'!$H109)*'Get Started'!$E42*'Get Started'!$G109),0)</f>
        <v>0</v>
      </c>
      <c r="BF204" s="29">
        <f ca="1">IF('Get Started'!$H112&lt;='Get Started'!$E27,IF(AND(BF4&lt;'Get Started'!$H112,'Get Started'!$H112&lt;='Get Started'!$E27),0,OFFSET(BF37,0,-1*'Get Started'!$H112)*'Get Started'!$H42*'Get Started'!$G112),0)+IF('Get Started'!$H111&lt;='Get Started'!$E27,IF(BF4&lt;'Get Started'!$H111,0,OFFSET(BF37,0,-1*'Get Started'!$H111)*'Get Started'!$G42*'Get Started'!$G111),0)+IF('Get Started'!$H110&lt;='Get Started'!$E27,IF(BF4&lt;'Get Started'!$H110,0,OFFSET(BF37,0,-1*'Get Started'!$H110)*'Get Started'!$F42*'Get Started'!$G110),0)+IF('Get Started'!$H109&lt;='Get Started'!$E27,IF(BF4&lt;'Get Started'!$H109,0,OFFSET(BF37,0,-1*'Get Started'!$H109)*'Get Started'!$E42*'Get Started'!$G109),0)</f>
        <v>0</v>
      </c>
      <c r="BG204" s="29">
        <f ca="1">IF('Get Started'!$H112&lt;='Get Started'!$E27,IF(AND(BG4&lt;'Get Started'!$H112,'Get Started'!$H112&lt;='Get Started'!$E27),0,OFFSET(BG37,0,-1*'Get Started'!$H112)*'Get Started'!$H42*'Get Started'!$G112),0)+IF('Get Started'!$H111&lt;='Get Started'!$E27,IF(BG4&lt;'Get Started'!$H111,0,OFFSET(BG37,0,-1*'Get Started'!$H111)*'Get Started'!$G42*'Get Started'!$G111),0)+IF('Get Started'!$H110&lt;='Get Started'!$E27,IF(BG4&lt;'Get Started'!$H110,0,OFFSET(BG37,0,-1*'Get Started'!$H110)*'Get Started'!$F42*'Get Started'!$G110),0)+IF('Get Started'!$H109&lt;='Get Started'!$E27,IF(BG4&lt;'Get Started'!$H109,0,OFFSET(BG37,0,-1*'Get Started'!$H109)*'Get Started'!$E42*'Get Started'!$G109),0)</f>
        <v>0</v>
      </c>
      <c r="BH204" s="29">
        <f ca="1">IF('Get Started'!$H112&lt;='Get Started'!$E27,IF(AND(BH4&lt;'Get Started'!$H112,'Get Started'!$H112&lt;='Get Started'!$E27),0,OFFSET(BH37,0,-1*'Get Started'!$H112)*'Get Started'!$H42*'Get Started'!$G112),0)+IF('Get Started'!$H111&lt;='Get Started'!$E27,IF(BH4&lt;'Get Started'!$H111,0,OFFSET(BH37,0,-1*'Get Started'!$H111)*'Get Started'!$G42*'Get Started'!$G111),0)+IF('Get Started'!$H110&lt;='Get Started'!$E27,IF(BH4&lt;'Get Started'!$H110,0,OFFSET(BH37,0,-1*'Get Started'!$H110)*'Get Started'!$F42*'Get Started'!$G110),0)+IF('Get Started'!$H109&lt;='Get Started'!$E27,IF(BH4&lt;'Get Started'!$H109,0,OFFSET(BH37,0,-1*'Get Started'!$H109)*'Get Started'!$E42*'Get Started'!$G109),0)</f>
        <v>0</v>
      </c>
      <c r="BI204" s="29">
        <f ca="1">IF('Get Started'!$H112&lt;='Get Started'!$E27,IF(AND(BI4&lt;'Get Started'!$H112,'Get Started'!$H112&lt;='Get Started'!$E27),0,OFFSET(BI37,0,-1*'Get Started'!$H112)*'Get Started'!$H42*'Get Started'!$G112),0)+IF('Get Started'!$H111&lt;='Get Started'!$E27,IF(BI4&lt;'Get Started'!$H111,0,OFFSET(BI37,0,-1*'Get Started'!$H111)*'Get Started'!$G42*'Get Started'!$G111),0)+IF('Get Started'!$H110&lt;='Get Started'!$E27,IF(BI4&lt;'Get Started'!$H110,0,OFFSET(BI37,0,-1*'Get Started'!$H110)*'Get Started'!$F42*'Get Started'!$G110),0)+IF('Get Started'!$H109&lt;='Get Started'!$E27,IF(BI4&lt;'Get Started'!$H109,0,OFFSET(BI37,0,-1*'Get Started'!$H109)*'Get Started'!$E42*'Get Started'!$G109),0)</f>
        <v>0</v>
      </c>
      <c r="BJ204" s="29">
        <f ca="1">IF('Get Started'!$H112&lt;='Get Started'!$E27,IF(AND(BJ4&lt;'Get Started'!$H112,'Get Started'!$H112&lt;='Get Started'!$E27),0,OFFSET(BJ37,0,-1*'Get Started'!$H112)*'Get Started'!$H42*'Get Started'!$G112),0)+IF('Get Started'!$H111&lt;='Get Started'!$E27,IF(BJ4&lt;'Get Started'!$H111,0,OFFSET(BJ37,0,-1*'Get Started'!$H111)*'Get Started'!$G42*'Get Started'!$G111),0)+IF('Get Started'!$H110&lt;='Get Started'!$E27,IF(BJ4&lt;'Get Started'!$H110,0,OFFSET(BJ37,0,-1*'Get Started'!$H110)*'Get Started'!$F42*'Get Started'!$G110),0)+IF('Get Started'!$H109&lt;='Get Started'!$E27,IF(BJ4&lt;'Get Started'!$H109,0,OFFSET(BJ37,0,-1*'Get Started'!$H109)*'Get Started'!$E42*'Get Started'!$G109),0)</f>
        <v>0</v>
      </c>
      <c r="BK204" s="29">
        <f ca="1">IF('Get Started'!$H112&lt;='Get Started'!$E27,IF(AND(BK4&lt;'Get Started'!$H112,'Get Started'!$H112&lt;='Get Started'!$E27),0,OFFSET(BK37,0,-1*'Get Started'!$H112)*'Get Started'!$H42*'Get Started'!$G112),0)+IF('Get Started'!$H111&lt;='Get Started'!$E27,IF(BK4&lt;'Get Started'!$H111,0,OFFSET(BK37,0,-1*'Get Started'!$H111)*'Get Started'!$G42*'Get Started'!$G111),0)+IF('Get Started'!$H110&lt;='Get Started'!$E27,IF(BK4&lt;'Get Started'!$H110,0,OFFSET(BK37,0,-1*'Get Started'!$H110)*'Get Started'!$F42*'Get Started'!$G110),0)+IF('Get Started'!$H109&lt;='Get Started'!$E27,IF(BK4&lt;'Get Started'!$H109,0,OFFSET(BK37,0,-1*'Get Started'!$H109)*'Get Started'!$E42*'Get Started'!$G109),0)</f>
        <v>0</v>
      </c>
      <c r="BL204" s="29">
        <f ca="1">IF('Get Started'!$H112&lt;='Get Started'!$E27,IF(AND(BL4&lt;'Get Started'!$H112,'Get Started'!$H112&lt;='Get Started'!$E27),0,OFFSET(BL37,0,-1*'Get Started'!$H112)*'Get Started'!$H42*'Get Started'!$G112),0)+IF('Get Started'!$H111&lt;='Get Started'!$E27,IF(BL4&lt;'Get Started'!$H111,0,OFFSET(BL37,0,-1*'Get Started'!$H111)*'Get Started'!$G42*'Get Started'!$G111),0)+IF('Get Started'!$H110&lt;='Get Started'!$E27,IF(BL4&lt;'Get Started'!$H110,0,OFFSET(BL37,0,-1*'Get Started'!$H110)*'Get Started'!$F42*'Get Started'!$G110),0)+IF('Get Started'!$H109&lt;='Get Started'!$E27,IF(BL4&lt;'Get Started'!$H109,0,OFFSET(BL37,0,-1*'Get Started'!$H109)*'Get Started'!$E42*'Get Started'!$G109),0)</f>
        <v>0</v>
      </c>
      <c r="BM204" s="29">
        <f ca="1">IF('Get Started'!$H112&lt;='Get Started'!$E27,IF(AND(BM4&lt;'Get Started'!$H112,'Get Started'!$H112&lt;='Get Started'!$E27),0,OFFSET(BM37,0,-1*'Get Started'!$H112)*'Get Started'!$H42*'Get Started'!$G112),0)+IF('Get Started'!$H111&lt;='Get Started'!$E27,IF(BM4&lt;'Get Started'!$H111,0,OFFSET(BM37,0,-1*'Get Started'!$H111)*'Get Started'!$G42*'Get Started'!$G111),0)+IF('Get Started'!$H110&lt;='Get Started'!$E27,IF(BM4&lt;'Get Started'!$H110,0,OFFSET(BM37,0,-1*'Get Started'!$H110)*'Get Started'!$F42*'Get Started'!$G110),0)+IF('Get Started'!$H109&lt;='Get Started'!$E27,IF(BM4&lt;'Get Started'!$H109,0,OFFSET(BM37,0,-1*'Get Started'!$H109)*'Get Started'!$E42*'Get Started'!$G109),0)</f>
        <v>0</v>
      </c>
      <c r="BN204" s="29">
        <f ca="1">IF('Get Started'!$H112&lt;='Get Started'!$E27,IF(AND(BN4&lt;'Get Started'!$H112,'Get Started'!$H112&lt;='Get Started'!$E27),0,OFFSET(BN37,0,-1*'Get Started'!$H112)*'Get Started'!$H42*'Get Started'!$G112),0)+IF('Get Started'!$H111&lt;='Get Started'!$E27,IF(BN4&lt;'Get Started'!$H111,0,OFFSET(BN37,0,-1*'Get Started'!$H111)*'Get Started'!$G42*'Get Started'!$G111),0)+IF('Get Started'!$H110&lt;='Get Started'!$E27,IF(BN4&lt;'Get Started'!$H110,0,OFFSET(BN37,0,-1*'Get Started'!$H110)*'Get Started'!$F42*'Get Started'!$G110),0)+IF('Get Started'!$H109&lt;='Get Started'!$E27,IF(BN4&lt;'Get Started'!$H109,0,OFFSET(BN37,0,-1*'Get Started'!$H109)*'Get Started'!$E42*'Get Started'!$G109),0)</f>
        <v>0</v>
      </c>
      <c r="BO204" s="29">
        <f ca="1">IF('Get Started'!$H112&lt;='Get Started'!$E27,IF(AND(BO4&lt;'Get Started'!$H112,'Get Started'!$H112&lt;='Get Started'!$E27),0,OFFSET(BO37,0,-1*'Get Started'!$H112)*'Get Started'!$H42*'Get Started'!$G112),0)+IF('Get Started'!$H111&lt;='Get Started'!$E27,IF(BO4&lt;'Get Started'!$H111,0,OFFSET(BO37,0,-1*'Get Started'!$H111)*'Get Started'!$G42*'Get Started'!$G111),0)+IF('Get Started'!$H110&lt;='Get Started'!$E27,IF(BO4&lt;'Get Started'!$H110,0,OFFSET(BO37,0,-1*'Get Started'!$H110)*'Get Started'!$F42*'Get Started'!$G110),0)+IF('Get Started'!$H109&lt;='Get Started'!$E27,IF(BO4&lt;'Get Started'!$H109,0,OFFSET(BO37,0,-1*'Get Started'!$H109)*'Get Started'!$E42*'Get Started'!$G109),0)</f>
        <v>0</v>
      </c>
      <c r="BP204" s="29">
        <f ca="1">IF('Get Started'!$H112&lt;='Get Started'!$E27,IF(AND(BP4&lt;'Get Started'!$H112,'Get Started'!$H112&lt;='Get Started'!$E27),0,OFFSET(BP37,0,-1*'Get Started'!$H112)*'Get Started'!$H42*'Get Started'!$G112),0)+IF('Get Started'!$H111&lt;='Get Started'!$E27,IF(BP4&lt;'Get Started'!$H111,0,OFFSET(BP37,0,-1*'Get Started'!$H111)*'Get Started'!$G42*'Get Started'!$G111),0)+IF('Get Started'!$H110&lt;='Get Started'!$E27,IF(BP4&lt;'Get Started'!$H110,0,OFFSET(BP37,0,-1*'Get Started'!$H110)*'Get Started'!$F42*'Get Started'!$G110),0)+IF('Get Started'!$H109&lt;='Get Started'!$E27,IF(BP4&lt;'Get Started'!$H109,0,OFFSET(BP37,0,-1*'Get Started'!$H109)*'Get Started'!$E42*'Get Started'!$G109),0)</f>
        <v>0</v>
      </c>
      <c r="BQ204" s="29">
        <f ca="1">IF('Get Started'!$H112&lt;='Get Started'!$E27,IF(AND(BQ4&lt;'Get Started'!$H112,'Get Started'!$H112&lt;='Get Started'!$E27),0,OFFSET(BQ37,0,-1*'Get Started'!$H112)*'Get Started'!$H42*'Get Started'!$G112),0)+IF('Get Started'!$H111&lt;='Get Started'!$E27,IF(BQ4&lt;'Get Started'!$H111,0,OFFSET(BQ37,0,-1*'Get Started'!$H111)*'Get Started'!$G42*'Get Started'!$G111),0)+IF('Get Started'!$H110&lt;='Get Started'!$E27,IF(BQ4&lt;'Get Started'!$H110,0,OFFSET(BQ37,0,-1*'Get Started'!$H110)*'Get Started'!$F42*'Get Started'!$G110),0)+IF('Get Started'!$H109&lt;='Get Started'!$E27,IF(BQ4&lt;'Get Started'!$H109,0,OFFSET(BQ37,0,-1*'Get Started'!$H109)*'Get Started'!$E42*'Get Started'!$G109),0)</f>
        <v>0</v>
      </c>
      <c r="BR204" s="29">
        <f ca="1">IF('Get Started'!$H112&lt;='Get Started'!$E27,IF(AND(BR4&lt;'Get Started'!$H112,'Get Started'!$H112&lt;='Get Started'!$E27),0,OFFSET(BR37,0,-1*'Get Started'!$H112)*'Get Started'!$H42*'Get Started'!$G112),0)+IF('Get Started'!$H111&lt;='Get Started'!$E27,IF(BR4&lt;'Get Started'!$H111,0,OFFSET(BR37,0,-1*'Get Started'!$H111)*'Get Started'!$G42*'Get Started'!$G111),0)+IF('Get Started'!$H110&lt;='Get Started'!$E27,IF(BR4&lt;'Get Started'!$H110,0,OFFSET(BR37,0,-1*'Get Started'!$H110)*'Get Started'!$F42*'Get Started'!$G110),0)+IF('Get Started'!$H109&lt;='Get Started'!$E27,IF(BR4&lt;'Get Started'!$H109,0,OFFSET(BR37,0,-1*'Get Started'!$H109)*'Get Started'!$E42*'Get Started'!$G109),0)</f>
        <v>0</v>
      </c>
      <c r="BS204" s="29">
        <f ca="1">IF('Get Started'!$H112&lt;='Get Started'!$E27,IF(AND(BS4&lt;'Get Started'!$H112,'Get Started'!$H112&lt;='Get Started'!$E27),0,OFFSET(BS37,0,-1*'Get Started'!$H112)*'Get Started'!$H42*'Get Started'!$G112),0)+IF('Get Started'!$H111&lt;='Get Started'!$E27,IF(BS4&lt;'Get Started'!$H111,0,OFFSET(BS37,0,-1*'Get Started'!$H111)*'Get Started'!$G42*'Get Started'!$G111),0)+IF('Get Started'!$H110&lt;='Get Started'!$E27,IF(BS4&lt;'Get Started'!$H110,0,OFFSET(BS37,0,-1*'Get Started'!$H110)*'Get Started'!$F42*'Get Started'!$G110),0)+IF('Get Started'!$H109&lt;='Get Started'!$E27,IF(BS4&lt;'Get Started'!$H109,0,OFFSET(BS37,0,-1*'Get Started'!$H109)*'Get Started'!$E42*'Get Started'!$G109),0)</f>
        <v>0</v>
      </c>
      <c r="BT204" s="29">
        <f ca="1">IF('Get Started'!$H112&lt;='Get Started'!$E27,IF(AND(BT4&lt;'Get Started'!$H112,'Get Started'!$H112&lt;='Get Started'!$E27),0,OFFSET(BT37,0,-1*'Get Started'!$H112)*'Get Started'!$H42*'Get Started'!$G112),0)+IF('Get Started'!$H111&lt;='Get Started'!$E27,IF(BT4&lt;'Get Started'!$H111,0,OFFSET(BT37,0,-1*'Get Started'!$H111)*'Get Started'!$G42*'Get Started'!$G111),0)+IF('Get Started'!$H110&lt;='Get Started'!$E27,IF(BT4&lt;'Get Started'!$H110,0,OFFSET(BT37,0,-1*'Get Started'!$H110)*'Get Started'!$F42*'Get Started'!$G110),0)+IF('Get Started'!$H109&lt;='Get Started'!$E27,IF(BT4&lt;'Get Started'!$H109,0,OFFSET(BT37,0,-1*'Get Started'!$H109)*'Get Started'!$E42*'Get Started'!$G109),0)</f>
        <v>0</v>
      </c>
      <c r="BU204" s="29">
        <f ca="1">IF('Get Started'!$H112&lt;='Get Started'!$E27,IF(AND(BU4&lt;'Get Started'!$H112,'Get Started'!$H112&lt;='Get Started'!$E27),0,OFFSET(BU37,0,-1*'Get Started'!$H112)*'Get Started'!$H42*'Get Started'!$G112),0)+IF('Get Started'!$H111&lt;='Get Started'!$E27,IF(BU4&lt;'Get Started'!$H111,0,OFFSET(BU37,0,-1*'Get Started'!$H111)*'Get Started'!$G42*'Get Started'!$G111),0)+IF('Get Started'!$H110&lt;='Get Started'!$E27,IF(BU4&lt;'Get Started'!$H110,0,OFFSET(BU37,0,-1*'Get Started'!$H110)*'Get Started'!$F42*'Get Started'!$G110),0)+IF('Get Started'!$H109&lt;='Get Started'!$E27,IF(BU4&lt;'Get Started'!$H109,0,OFFSET(BU37,0,-1*'Get Started'!$H109)*'Get Started'!$E42*'Get Started'!$G109),0)</f>
        <v>0</v>
      </c>
      <c r="BV204" s="29">
        <f ca="1">IF('Get Started'!$H112&lt;='Get Started'!$E27,IF(AND(BV4&lt;'Get Started'!$H112,'Get Started'!$H112&lt;='Get Started'!$E27),0,OFFSET(BV37,0,-1*'Get Started'!$H112)*'Get Started'!$H42*'Get Started'!$G112),0)+IF('Get Started'!$H111&lt;='Get Started'!$E27,IF(BV4&lt;'Get Started'!$H111,0,OFFSET(BV37,0,-1*'Get Started'!$H111)*'Get Started'!$G42*'Get Started'!$G111),0)+IF('Get Started'!$H110&lt;='Get Started'!$E27,IF(BV4&lt;'Get Started'!$H110,0,OFFSET(BV37,0,-1*'Get Started'!$H110)*'Get Started'!$F42*'Get Started'!$G110),0)+IF('Get Started'!$H109&lt;='Get Started'!$E27,IF(BV4&lt;'Get Started'!$H109,0,OFFSET(BV37,0,-1*'Get Started'!$H109)*'Get Started'!$E42*'Get Started'!$G109),0)</f>
        <v>0</v>
      </c>
      <c r="BW204" s="29">
        <f ca="1">IF('Get Started'!$H112&lt;='Get Started'!$E27,IF(AND(BW4&lt;'Get Started'!$H112,'Get Started'!$H112&lt;='Get Started'!$E27),0,OFFSET(BW37,0,-1*'Get Started'!$H112)*'Get Started'!$H42*'Get Started'!$G112),0)+IF('Get Started'!$H111&lt;='Get Started'!$E27,IF(BW4&lt;'Get Started'!$H111,0,OFFSET(BW37,0,-1*'Get Started'!$H111)*'Get Started'!$G42*'Get Started'!$G111),0)+IF('Get Started'!$H110&lt;='Get Started'!$E27,IF(BW4&lt;'Get Started'!$H110,0,OFFSET(BW37,0,-1*'Get Started'!$H110)*'Get Started'!$F42*'Get Started'!$G110),0)+IF('Get Started'!$H109&lt;='Get Started'!$E27,IF(BW4&lt;'Get Started'!$H109,0,OFFSET(BW37,0,-1*'Get Started'!$H109)*'Get Started'!$E42*'Get Started'!$G109),0)</f>
        <v>0</v>
      </c>
      <c r="BX204" s="29">
        <f ca="1">IF('Get Started'!$H112&lt;='Get Started'!$E27,IF(AND(BX4&lt;'Get Started'!$H112,'Get Started'!$H112&lt;='Get Started'!$E27),0,OFFSET(BX37,0,-1*'Get Started'!$H112)*'Get Started'!$H42*'Get Started'!$G112),0)+IF('Get Started'!$H111&lt;='Get Started'!$E27,IF(BX4&lt;'Get Started'!$H111,0,OFFSET(BX37,0,-1*'Get Started'!$H111)*'Get Started'!$G42*'Get Started'!$G111),0)+IF('Get Started'!$H110&lt;='Get Started'!$E27,IF(BX4&lt;'Get Started'!$H110,0,OFFSET(BX37,0,-1*'Get Started'!$H110)*'Get Started'!$F42*'Get Started'!$G110),0)+IF('Get Started'!$H109&lt;='Get Started'!$E27,IF(BX4&lt;'Get Started'!$H109,0,OFFSET(BX37,0,-1*'Get Started'!$H109)*'Get Started'!$E42*'Get Started'!$G109),0)</f>
        <v>0</v>
      </c>
      <c r="BY204" s="29">
        <f ca="1">IF('Get Started'!$H112&lt;='Get Started'!$E27,IF(AND(BY4&lt;'Get Started'!$H112,'Get Started'!$H112&lt;='Get Started'!$E27),0,OFFSET(BY37,0,-1*'Get Started'!$H112)*'Get Started'!$H42*'Get Started'!$G112),0)+IF('Get Started'!$H111&lt;='Get Started'!$E27,IF(BY4&lt;'Get Started'!$H111,0,OFFSET(BY37,0,-1*'Get Started'!$H111)*'Get Started'!$G42*'Get Started'!$G111),0)+IF('Get Started'!$H110&lt;='Get Started'!$E27,IF(BY4&lt;'Get Started'!$H110,0,OFFSET(BY37,0,-1*'Get Started'!$H110)*'Get Started'!$F42*'Get Started'!$G110),0)+IF('Get Started'!$H109&lt;='Get Started'!$E27,IF(BY4&lt;'Get Started'!$H109,0,OFFSET(BY37,0,-1*'Get Started'!$H109)*'Get Started'!$E42*'Get Started'!$G109),0)</f>
        <v>0</v>
      </c>
      <c r="BZ204" s="29">
        <f ca="1">IF('Get Started'!$H112&lt;='Get Started'!$E27,IF(AND(BZ4&lt;'Get Started'!$H112,'Get Started'!$H112&lt;='Get Started'!$E27),0,OFFSET(BZ37,0,-1*'Get Started'!$H112)*'Get Started'!$H42*'Get Started'!$G112),0)+IF('Get Started'!$H111&lt;='Get Started'!$E27,IF(BZ4&lt;'Get Started'!$H111,0,OFFSET(BZ37,0,-1*'Get Started'!$H111)*'Get Started'!$G42*'Get Started'!$G111),0)+IF('Get Started'!$H110&lt;='Get Started'!$E27,IF(BZ4&lt;'Get Started'!$H110,0,OFFSET(BZ37,0,-1*'Get Started'!$H110)*'Get Started'!$F42*'Get Started'!$G110),0)+IF('Get Started'!$H109&lt;='Get Started'!$E27,IF(BZ4&lt;'Get Started'!$H109,0,OFFSET(BZ37,0,-1*'Get Started'!$H109)*'Get Started'!$E42*'Get Started'!$G109),0)</f>
        <v>0</v>
      </c>
      <c r="CA204" s="29">
        <f ca="1">IF('Get Started'!$H112&lt;='Get Started'!$E27,IF(AND(CA4&lt;'Get Started'!$H112,'Get Started'!$H112&lt;='Get Started'!$E27),0,OFFSET(CA37,0,-1*'Get Started'!$H112)*'Get Started'!$H42*'Get Started'!$G112),0)+IF('Get Started'!$H111&lt;='Get Started'!$E27,IF(CA4&lt;'Get Started'!$H111,0,OFFSET(CA37,0,-1*'Get Started'!$H111)*'Get Started'!$G42*'Get Started'!$G111),0)+IF('Get Started'!$H110&lt;='Get Started'!$E27,IF(CA4&lt;'Get Started'!$H110,0,OFFSET(CA37,0,-1*'Get Started'!$H110)*'Get Started'!$F42*'Get Started'!$G110),0)+IF('Get Started'!$H109&lt;='Get Started'!$E27,IF(CA4&lt;'Get Started'!$H109,0,OFFSET(CA37,0,-1*'Get Started'!$H109)*'Get Started'!$E42*'Get Started'!$G109),0)</f>
        <v>0</v>
      </c>
      <c r="CB204" s="29">
        <f ca="1">IF('Get Started'!$H112&lt;='Get Started'!$E27,IF(AND(CB4&lt;'Get Started'!$H112,'Get Started'!$H112&lt;='Get Started'!$E27),0,OFFSET(CB37,0,-1*'Get Started'!$H112)*'Get Started'!$H42*'Get Started'!$G112),0)+IF('Get Started'!$H111&lt;='Get Started'!$E27,IF(CB4&lt;'Get Started'!$H111,0,OFFSET(CB37,0,-1*'Get Started'!$H111)*'Get Started'!$G42*'Get Started'!$G111),0)+IF('Get Started'!$H110&lt;='Get Started'!$E27,IF(CB4&lt;'Get Started'!$H110,0,OFFSET(CB37,0,-1*'Get Started'!$H110)*'Get Started'!$F42*'Get Started'!$G110),0)+IF('Get Started'!$H109&lt;='Get Started'!$E27,IF(CB4&lt;'Get Started'!$H109,0,OFFSET(CB37,0,-1*'Get Started'!$H109)*'Get Started'!$E42*'Get Started'!$G109),0)</f>
        <v>0</v>
      </c>
      <c r="CC204" s="29">
        <f ca="1">IF('Get Started'!$H112&lt;='Get Started'!$E27,IF(AND(CC4&lt;'Get Started'!$H112,'Get Started'!$H112&lt;='Get Started'!$E27),0,OFFSET(CC37,0,-1*'Get Started'!$H112)*'Get Started'!$H42*'Get Started'!$G112),0)+IF('Get Started'!$H111&lt;='Get Started'!$E27,IF(CC4&lt;'Get Started'!$H111,0,OFFSET(CC37,0,-1*'Get Started'!$H111)*'Get Started'!$G42*'Get Started'!$G111),0)+IF('Get Started'!$H110&lt;='Get Started'!$E27,IF(CC4&lt;'Get Started'!$H110,0,OFFSET(CC37,0,-1*'Get Started'!$H110)*'Get Started'!$F42*'Get Started'!$G110),0)+IF('Get Started'!$H109&lt;='Get Started'!$E27,IF(CC4&lt;'Get Started'!$H109,0,OFFSET(CC37,0,-1*'Get Started'!$H109)*'Get Started'!$E42*'Get Started'!$G109),0)</f>
        <v>0</v>
      </c>
      <c r="CD204" s="29">
        <f ca="1">IF('Get Started'!$H112&lt;='Get Started'!$E27,IF(AND(CD4&lt;'Get Started'!$H112,'Get Started'!$H112&lt;='Get Started'!$E27),0,OFFSET(CD37,0,-1*'Get Started'!$H112)*'Get Started'!$H42*'Get Started'!$G112),0)+IF('Get Started'!$H111&lt;='Get Started'!$E27,IF(CD4&lt;'Get Started'!$H111,0,OFFSET(CD37,0,-1*'Get Started'!$H111)*'Get Started'!$G42*'Get Started'!$G111),0)+IF('Get Started'!$H110&lt;='Get Started'!$E27,IF(CD4&lt;'Get Started'!$H110,0,OFFSET(CD37,0,-1*'Get Started'!$H110)*'Get Started'!$F42*'Get Started'!$G110),0)+IF('Get Started'!$H109&lt;='Get Started'!$E27,IF(CD4&lt;'Get Started'!$H109,0,OFFSET(CD37,0,-1*'Get Started'!$H109)*'Get Started'!$E42*'Get Started'!$G109),0)</f>
        <v>0</v>
      </c>
      <c r="CE204" s="29">
        <f ca="1">IF('Get Started'!$H112&lt;='Get Started'!$E27,IF(AND(CE4&lt;'Get Started'!$H112,'Get Started'!$H112&lt;='Get Started'!$E27),0,OFFSET(CE37,0,-1*'Get Started'!$H112)*'Get Started'!$H42*'Get Started'!$G112),0)+IF('Get Started'!$H111&lt;='Get Started'!$E27,IF(CE4&lt;'Get Started'!$H111,0,OFFSET(CE37,0,-1*'Get Started'!$H111)*'Get Started'!$G42*'Get Started'!$G111),0)+IF('Get Started'!$H110&lt;='Get Started'!$E27,IF(CE4&lt;'Get Started'!$H110,0,OFFSET(CE37,0,-1*'Get Started'!$H110)*'Get Started'!$F42*'Get Started'!$G110),0)+IF('Get Started'!$H109&lt;='Get Started'!$E27,IF(CE4&lt;'Get Started'!$H109,0,OFFSET(CE37,0,-1*'Get Started'!$H109)*'Get Started'!$E42*'Get Started'!$G109),0)</f>
        <v>0</v>
      </c>
      <c r="CF204" s="29">
        <f ca="1">IF('Get Started'!$H112&lt;='Get Started'!$E27,IF(AND(CF4&lt;'Get Started'!$H112,'Get Started'!$H112&lt;='Get Started'!$E27),0,OFFSET(CF37,0,-1*'Get Started'!$H112)*'Get Started'!$H42*'Get Started'!$G112),0)+IF('Get Started'!$H111&lt;='Get Started'!$E27,IF(CF4&lt;'Get Started'!$H111,0,OFFSET(CF37,0,-1*'Get Started'!$H111)*'Get Started'!$G42*'Get Started'!$G111),0)+IF('Get Started'!$H110&lt;='Get Started'!$E27,IF(CF4&lt;'Get Started'!$H110,0,OFFSET(CF37,0,-1*'Get Started'!$H110)*'Get Started'!$F42*'Get Started'!$G110),0)+IF('Get Started'!$H109&lt;='Get Started'!$E27,IF(CF4&lt;'Get Started'!$H109,0,OFFSET(CF37,0,-1*'Get Started'!$H109)*'Get Started'!$E42*'Get Started'!$G109),0)</f>
        <v>0</v>
      </c>
      <c r="CG204" s="29">
        <f ca="1">IF('Get Started'!$H112&lt;='Get Started'!$E27,IF(AND(CG4&lt;'Get Started'!$H112,'Get Started'!$H112&lt;='Get Started'!$E27),0,OFFSET(CG37,0,-1*'Get Started'!$H112)*'Get Started'!$H42*'Get Started'!$G112),0)+IF('Get Started'!$H111&lt;='Get Started'!$E27,IF(CG4&lt;'Get Started'!$H111,0,OFFSET(CG37,0,-1*'Get Started'!$H111)*'Get Started'!$G42*'Get Started'!$G111),0)+IF('Get Started'!$H110&lt;='Get Started'!$E27,IF(CG4&lt;'Get Started'!$H110,0,OFFSET(CG37,0,-1*'Get Started'!$H110)*'Get Started'!$F42*'Get Started'!$G110),0)+IF('Get Started'!$H109&lt;='Get Started'!$E27,IF(CG4&lt;'Get Started'!$H109,0,OFFSET(CG37,0,-1*'Get Started'!$H109)*'Get Started'!$E42*'Get Started'!$G109),0)</f>
        <v>0</v>
      </c>
      <c r="CH204" s="29">
        <f ca="1">IF('Get Started'!$H112&lt;='Get Started'!$E27,IF(AND(CH4&lt;'Get Started'!$H112,'Get Started'!$H112&lt;='Get Started'!$E27),0,OFFSET(CH37,0,-1*'Get Started'!$H112)*'Get Started'!$H42*'Get Started'!$G112),0)+IF('Get Started'!$H111&lt;='Get Started'!$E27,IF(CH4&lt;'Get Started'!$H111,0,OFFSET(CH37,0,-1*'Get Started'!$H111)*'Get Started'!$G42*'Get Started'!$G111),0)+IF('Get Started'!$H110&lt;='Get Started'!$E27,IF(CH4&lt;'Get Started'!$H110,0,OFFSET(CH37,0,-1*'Get Started'!$H110)*'Get Started'!$F42*'Get Started'!$G110),0)+IF('Get Started'!$H109&lt;='Get Started'!$E27,IF(CH4&lt;'Get Started'!$H109,0,OFFSET(CH37,0,-1*'Get Started'!$H109)*'Get Started'!$E42*'Get Started'!$G109),0)</f>
        <v>0</v>
      </c>
    </row>
    <row r="205" spans="2:86" ht="13" outlineLevel="1">
      <c r="B205" s="13" t="str">
        <f>"Cost basis of investments exited within "&amp;'Get Started'!E$27&amp;" years"</f>
        <v>Cost basis of investments exited within 24 years</v>
      </c>
      <c r="C205" s="15"/>
      <c r="D205" s="15" t="s">
        <v>238</v>
      </c>
      <c r="E205" s="29">
        <f t="shared" ca="1" si="168"/>
        <v>10500000</v>
      </c>
      <c r="F205" s="77"/>
      <c r="G205" s="29">
        <f t="shared" ref="G205:CH205" ca="1" si="169">IFERROR(G206/(($E30-$E39-$E40-$E41)/$E30),0)</f>
        <v>0</v>
      </c>
      <c r="H205" s="29">
        <f t="shared" ca="1" si="169"/>
        <v>0</v>
      </c>
      <c r="I205" s="29">
        <f t="shared" ca="1" si="169"/>
        <v>0</v>
      </c>
      <c r="J205" s="29">
        <f t="shared" ca="1" si="169"/>
        <v>0</v>
      </c>
      <c r="K205" s="29">
        <f t="shared" ca="1" si="169"/>
        <v>0</v>
      </c>
      <c r="L205" s="29">
        <f t="shared" ca="1" si="169"/>
        <v>0</v>
      </c>
      <c r="M205" s="29">
        <f t="shared" ca="1" si="169"/>
        <v>0</v>
      </c>
      <c r="N205" s="29">
        <f t="shared" ca="1" si="169"/>
        <v>0</v>
      </c>
      <c r="O205" s="29">
        <f t="shared" ca="1" si="169"/>
        <v>0</v>
      </c>
      <c r="P205" s="29">
        <f t="shared" ca="1" si="169"/>
        <v>0</v>
      </c>
      <c r="Q205" s="29">
        <f t="shared" ca="1" si="169"/>
        <v>0</v>
      </c>
      <c r="R205" s="29">
        <f t="shared" ca="1" si="169"/>
        <v>0</v>
      </c>
      <c r="S205" s="29">
        <f t="shared" ca="1" si="169"/>
        <v>312500</v>
      </c>
      <c r="T205" s="29">
        <f t="shared" ca="1" si="169"/>
        <v>312500</v>
      </c>
      <c r="U205" s="29">
        <f t="shared" ca="1" si="169"/>
        <v>312500</v>
      </c>
      <c r="V205" s="29">
        <f t="shared" ca="1" si="169"/>
        <v>312500</v>
      </c>
      <c r="W205" s="29">
        <f t="shared" ca="1" si="169"/>
        <v>468750</v>
      </c>
      <c r="X205" s="29">
        <f t="shared" ca="1" si="169"/>
        <v>468750</v>
      </c>
      <c r="Y205" s="29">
        <f t="shared" ca="1" si="169"/>
        <v>468750</v>
      </c>
      <c r="Z205" s="29">
        <f t="shared" ca="1" si="169"/>
        <v>468750</v>
      </c>
      <c r="AA205" s="29">
        <f t="shared" ca="1" si="169"/>
        <v>468750</v>
      </c>
      <c r="AB205" s="29">
        <f t="shared" ca="1" si="169"/>
        <v>468750</v>
      </c>
      <c r="AC205" s="29">
        <f t="shared" ca="1" si="169"/>
        <v>468750</v>
      </c>
      <c r="AD205" s="29">
        <f t="shared" ca="1" si="169"/>
        <v>468750</v>
      </c>
      <c r="AE205" s="29">
        <f t="shared" ca="1" si="169"/>
        <v>687500</v>
      </c>
      <c r="AF205" s="29">
        <f t="shared" ca="1" si="169"/>
        <v>687500</v>
      </c>
      <c r="AG205" s="29">
        <f t="shared" ca="1" si="169"/>
        <v>687500</v>
      </c>
      <c r="AH205" s="29">
        <f t="shared" ca="1" si="169"/>
        <v>687500</v>
      </c>
      <c r="AI205" s="29">
        <f t="shared" ca="1" si="169"/>
        <v>343750</v>
      </c>
      <c r="AJ205" s="29">
        <f t="shared" ca="1" si="169"/>
        <v>343750</v>
      </c>
      <c r="AK205" s="29">
        <f t="shared" ca="1" si="169"/>
        <v>343750</v>
      </c>
      <c r="AL205" s="29">
        <f t="shared" ca="1" si="169"/>
        <v>343750</v>
      </c>
      <c r="AM205" s="29">
        <f t="shared" ca="1" si="169"/>
        <v>156249.99999999997</v>
      </c>
      <c r="AN205" s="29">
        <f t="shared" ca="1" si="169"/>
        <v>156249.99999999997</v>
      </c>
      <c r="AO205" s="29">
        <f t="shared" ca="1" si="169"/>
        <v>156249.99999999997</v>
      </c>
      <c r="AP205" s="29">
        <f t="shared" ca="1" si="169"/>
        <v>156249.99999999997</v>
      </c>
      <c r="AQ205" s="29">
        <f t="shared" ca="1" si="169"/>
        <v>187499.99999999997</v>
      </c>
      <c r="AR205" s="29">
        <f t="shared" ca="1" si="169"/>
        <v>187499.99999999997</v>
      </c>
      <c r="AS205" s="29">
        <f t="shared" ca="1" si="169"/>
        <v>187499.99999999997</v>
      </c>
      <c r="AT205" s="29">
        <f t="shared" ca="1" si="169"/>
        <v>187499.99999999997</v>
      </c>
      <c r="AU205" s="29">
        <f t="shared" ca="1" si="169"/>
        <v>0</v>
      </c>
      <c r="AV205" s="29">
        <f t="shared" ca="1" si="169"/>
        <v>0</v>
      </c>
      <c r="AW205" s="29">
        <f t="shared" ca="1" si="169"/>
        <v>0</v>
      </c>
      <c r="AX205" s="29">
        <f t="shared" ca="1" si="169"/>
        <v>0</v>
      </c>
      <c r="AY205" s="29">
        <f t="shared" ca="1" si="169"/>
        <v>0</v>
      </c>
      <c r="AZ205" s="29">
        <f t="shared" ca="1" si="169"/>
        <v>0</v>
      </c>
      <c r="BA205" s="29">
        <f t="shared" ca="1" si="169"/>
        <v>0</v>
      </c>
      <c r="BB205" s="29">
        <f t="shared" ca="1" si="169"/>
        <v>0</v>
      </c>
      <c r="BC205" s="29">
        <f t="shared" ca="1" si="169"/>
        <v>0</v>
      </c>
      <c r="BD205" s="29">
        <f t="shared" ca="1" si="169"/>
        <v>0</v>
      </c>
      <c r="BE205" s="29">
        <f t="shared" ca="1" si="169"/>
        <v>0</v>
      </c>
      <c r="BF205" s="29">
        <f t="shared" ca="1" si="169"/>
        <v>0</v>
      </c>
      <c r="BG205" s="29">
        <f t="shared" ca="1" si="169"/>
        <v>0</v>
      </c>
      <c r="BH205" s="29">
        <f t="shared" ca="1" si="169"/>
        <v>0</v>
      </c>
      <c r="BI205" s="29">
        <f t="shared" ca="1" si="169"/>
        <v>0</v>
      </c>
      <c r="BJ205" s="29">
        <f t="shared" ca="1" si="169"/>
        <v>0</v>
      </c>
      <c r="BK205" s="29">
        <f t="shared" ca="1" si="169"/>
        <v>0</v>
      </c>
      <c r="BL205" s="29">
        <f t="shared" ca="1" si="169"/>
        <v>0</v>
      </c>
      <c r="BM205" s="29">
        <f t="shared" ca="1" si="169"/>
        <v>0</v>
      </c>
      <c r="BN205" s="29">
        <f t="shared" ca="1" si="169"/>
        <v>0</v>
      </c>
      <c r="BO205" s="29">
        <f t="shared" ca="1" si="169"/>
        <v>0</v>
      </c>
      <c r="BP205" s="29">
        <f t="shared" ca="1" si="169"/>
        <v>0</v>
      </c>
      <c r="BQ205" s="29">
        <f t="shared" ca="1" si="169"/>
        <v>0</v>
      </c>
      <c r="BR205" s="29">
        <f t="shared" ca="1" si="169"/>
        <v>0</v>
      </c>
      <c r="BS205" s="29">
        <f t="shared" ca="1" si="169"/>
        <v>0</v>
      </c>
      <c r="BT205" s="29">
        <f t="shared" ca="1" si="169"/>
        <v>0</v>
      </c>
      <c r="BU205" s="29">
        <f t="shared" ca="1" si="169"/>
        <v>0</v>
      </c>
      <c r="BV205" s="29">
        <f t="shared" ca="1" si="169"/>
        <v>0</v>
      </c>
      <c r="BW205" s="29">
        <f t="shared" ca="1" si="169"/>
        <v>0</v>
      </c>
      <c r="BX205" s="29">
        <f t="shared" ca="1" si="169"/>
        <v>0</v>
      </c>
      <c r="BY205" s="29">
        <f t="shared" ca="1" si="169"/>
        <v>0</v>
      </c>
      <c r="BZ205" s="29">
        <f t="shared" ca="1" si="169"/>
        <v>0</v>
      </c>
      <c r="CA205" s="29">
        <f t="shared" ca="1" si="169"/>
        <v>0</v>
      </c>
      <c r="CB205" s="29">
        <f t="shared" ca="1" si="169"/>
        <v>0</v>
      </c>
      <c r="CC205" s="29">
        <f t="shared" ca="1" si="169"/>
        <v>0</v>
      </c>
      <c r="CD205" s="29">
        <f t="shared" ca="1" si="169"/>
        <v>0</v>
      </c>
      <c r="CE205" s="29">
        <f t="shared" ca="1" si="169"/>
        <v>0</v>
      </c>
      <c r="CF205" s="29">
        <f t="shared" ca="1" si="169"/>
        <v>0</v>
      </c>
      <c r="CG205" s="29">
        <f t="shared" ca="1" si="169"/>
        <v>0</v>
      </c>
      <c r="CH205" s="29">
        <f t="shared" ca="1" si="169"/>
        <v>0</v>
      </c>
    </row>
    <row r="206" spans="2:86" ht="13" outlineLevel="1">
      <c r="B206" s="13" t="str">
        <f>"Invested capital from investments exited within "&amp;'Get Started'!E$27&amp;" years"</f>
        <v>Invested capital from investments exited within 24 years</v>
      </c>
      <c r="C206" s="15"/>
      <c r="D206" s="15" t="s">
        <v>238</v>
      </c>
      <c r="E206" s="29">
        <f t="shared" ca="1" si="168"/>
        <v>8085000</v>
      </c>
      <c r="F206" s="77"/>
      <c r="G206" s="29">
        <f ca="1">IF(AND('Get Started'!$H112&lt;='Get Started'!$E27,'Get Started'!$G112&lt;&gt;0),IF(AND(G4&lt;'Get Started'!$H112,'Get Started'!$H112&lt;='Get Started'!$E27),0,OFFSET(G37,0,-1*'Get Started'!$H112)*'Get Started'!$H42),0)+IF(AND('Get Started'!$H111&lt;='Get Started'!$E27,'Get Started'!$G111&lt;&gt;0),IF(G4&lt;'Get Started'!$H111,0,OFFSET(G37,0,-1*'Get Started'!$H111)*'Get Started'!$G42),0)+IF(AND('Get Started'!$H110&lt;='Get Started'!$E27,'Get Started'!$G110&lt;&gt;0),IF(G4&lt;'Get Started'!$H110,0,OFFSET(G37,0,-1*'Get Started'!$H110)*'Get Started'!$F42),0)+IF(AND('Get Started'!$H109&lt;='Get Started'!$E27,'Get Started'!$G109&lt;&gt;0),IF(G4&lt;'Get Started'!$H109,0,OFFSET(G37,0,-1*'Get Started'!$H109)*'Get Started'!$E42*'Get Started'!$G109),0)</f>
        <v>0</v>
      </c>
      <c r="H206" s="29">
        <f ca="1">IF(AND('Get Started'!$H112&lt;='Get Started'!$E27,'Get Started'!$G112&lt;&gt;0),IF(AND(H4&lt;'Get Started'!$H112,'Get Started'!$H112&lt;='Get Started'!$E27),0,OFFSET(H37,0,-1*'Get Started'!$H112)*'Get Started'!$H42),0)+IF(AND('Get Started'!$H111&lt;='Get Started'!$E27,'Get Started'!$G111&lt;&gt;0),IF(H4&lt;'Get Started'!$H111,0,OFFSET(H37,0,-1*'Get Started'!$H111)*'Get Started'!$G42),0)+IF(AND('Get Started'!$H110&lt;='Get Started'!$E27,'Get Started'!$G110&lt;&gt;0),IF(H4&lt;'Get Started'!$H110,0,OFFSET(H37,0,-1*'Get Started'!$H110)*'Get Started'!$F42),0)+IF(AND('Get Started'!$H109&lt;='Get Started'!$E27,'Get Started'!$G109&lt;&gt;0),IF(H4&lt;'Get Started'!$H109,0,OFFSET(H37,0,-1*'Get Started'!$H109)*'Get Started'!$E42*'Get Started'!$G109),0)</f>
        <v>0</v>
      </c>
      <c r="I206" s="29">
        <f ca="1">IF(AND('Get Started'!$H112&lt;='Get Started'!$E27,'Get Started'!$G112&lt;&gt;0),IF(AND(I4&lt;'Get Started'!$H112,'Get Started'!$H112&lt;='Get Started'!$E27),0,OFFSET(I37,0,-1*'Get Started'!$H112)*'Get Started'!$H42),0)+IF(AND('Get Started'!$H111&lt;='Get Started'!$E27,'Get Started'!$G111&lt;&gt;0),IF(I4&lt;'Get Started'!$H111,0,OFFSET(I37,0,-1*'Get Started'!$H111)*'Get Started'!$G42),0)+IF(AND('Get Started'!$H110&lt;='Get Started'!$E27,'Get Started'!$G110&lt;&gt;0),IF(I4&lt;'Get Started'!$H110,0,OFFSET(I37,0,-1*'Get Started'!$H110)*'Get Started'!$F42),0)+IF(AND('Get Started'!$H109&lt;='Get Started'!$E27,'Get Started'!$G109&lt;&gt;0),IF(I4&lt;'Get Started'!$H109,0,OFFSET(I37,0,-1*'Get Started'!$H109)*'Get Started'!$E42*'Get Started'!$G109),0)</f>
        <v>0</v>
      </c>
      <c r="J206" s="29">
        <f ca="1">IF(AND('Get Started'!$H112&lt;='Get Started'!$E27,'Get Started'!$G112&lt;&gt;0),IF(AND(J4&lt;'Get Started'!$H112,'Get Started'!$H112&lt;='Get Started'!$E27),0,OFFSET(J37,0,-1*'Get Started'!$H112)*'Get Started'!$H42),0)+IF(AND('Get Started'!$H111&lt;='Get Started'!$E27,'Get Started'!$G111&lt;&gt;0),IF(J4&lt;'Get Started'!$H111,0,OFFSET(J37,0,-1*'Get Started'!$H111)*'Get Started'!$G42),0)+IF(AND('Get Started'!$H110&lt;='Get Started'!$E27,'Get Started'!$G110&lt;&gt;0),IF(J4&lt;'Get Started'!$H110,0,OFFSET(J37,0,-1*'Get Started'!$H110)*'Get Started'!$F42),0)+IF(AND('Get Started'!$H109&lt;='Get Started'!$E27,'Get Started'!$G109&lt;&gt;0),IF(J4&lt;'Get Started'!$H109,0,OFFSET(J37,0,-1*'Get Started'!$H109)*'Get Started'!$E42*'Get Started'!$G109),0)</f>
        <v>0</v>
      </c>
      <c r="K206" s="29">
        <f ca="1">IF(AND('Get Started'!$H112&lt;='Get Started'!$E27,'Get Started'!$G112&lt;&gt;0),IF(AND(K4&lt;'Get Started'!$H112,'Get Started'!$H112&lt;='Get Started'!$E27),0,OFFSET(K37,0,-1*'Get Started'!$H112)*'Get Started'!$H42),0)+IF(AND('Get Started'!$H111&lt;='Get Started'!$E27,'Get Started'!$G111&lt;&gt;0),IF(K4&lt;'Get Started'!$H111,0,OFFSET(K37,0,-1*'Get Started'!$H111)*'Get Started'!$G42),0)+IF(AND('Get Started'!$H110&lt;='Get Started'!$E27,'Get Started'!$G110&lt;&gt;0),IF(K4&lt;'Get Started'!$H110,0,OFFSET(K37,0,-1*'Get Started'!$H110)*'Get Started'!$F42),0)+IF(AND('Get Started'!$H109&lt;='Get Started'!$E27,'Get Started'!$G109&lt;&gt;0),IF(K4&lt;'Get Started'!$H109,0,OFFSET(K37,0,-1*'Get Started'!$H109)*'Get Started'!$E42*'Get Started'!$G109),0)</f>
        <v>0</v>
      </c>
      <c r="L206" s="29">
        <f ca="1">IF(AND('Get Started'!$H112&lt;='Get Started'!$E27,'Get Started'!$G112&lt;&gt;0),IF(AND(L4&lt;'Get Started'!$H112,'Get Started'!$H112&lt;='Get Started'!$E27),0,OFFSET(L37,0,-1*'Get Started'!$H112)*'Get Started'!$H42),0)+IF(AND('Get Started'!$H111&lt;='Get Started'!$E27,'Get Started'!$G111&lt;&gt;0),IF(L4&lt;'Get Started'!$H111,0,OFFSET(L37,0,-1*'Get Started'!$H111)*'Get Started'!$G42),0)+IF(AND('Get Started'!$H110&lt;='Get Started'!$E27,'Get Started'!$G110&lt;&gt;0),IF(L4&lt;'Get Started'!$H110,0,OFFSET(L37,0,-1*'Get Started'!$H110)*'Get Started'!$F42),0)+IF(AND('Get Started'!$H109&lt;='Get Started'!$E27,'Get Started'!$G109&lt;&gt;0),IF(L4&lt;'Get Started'!$H109,0,OFFSET(L37,0,-1*'Get Started'!$H109)*'Get Started'!$E42*'Get Started'!$G109),0)</f>
        <v>0</v>
      </c>
      <c r="M206" s="29">
        <f ca="1">IF(AND('Get Started'!$H112&lt;='Get Started'!$E27,'Get Started'!$G112&lt;&gt;0),IF(AND(M4&lt;'Get Started'!$H112,'Get Started'!$H112&lt;='Get Started'!$E27),0,OFFSET(M37,0,-1*'Get Started'!$H112)*'Get Started'!$H42),0)+IF(AND('Get Started'!$H111&lt;='Get Started'!$E27,'Get Started'!$G111&lt;&gt;0),IF(M4&lt;'Get Started'!$H111,0,OFFSET(M37,0,-1*'Get Started'!$H111)*'Get Started'!$G42),0)+IF(AND('Get Started'!$H110&lt;='Get Started'!$E27,'Get Started'!$G110&lt;&gt;0),IF(M4&lt;'Get Started'!$H110,0,OFFSET(M37,0,-1*'Get Started'!$H110)*'Get Started'!$F42),0)+IF(AND('Get Started'!$H109&lt;='Get Started'!$E27,'Get Started'!$G109&lt;&gt;0),IF(M4&lt;'Get Started'!$H109,0,OFFSET(M37,0,-1*'Get Started'!$H109)*'Get Started'!$E42*'Get Started'!$G109),0)</f>
        <v>0</v>
      </c>
      <c r="N206" s="29">
        <f ca="1">IF(AND('Get Started'!$H112&lt;='Get Started'!$E27,'Get Started'!$G112&lt;&gt;0),IF(AND(N4&lt;'Get Started'!$H112,'Get Started'!$H112&lt;='Get Started'!$E27),0,OFFSET(N37,0,-1*'Get Started'!$H112)*'Get Started'!$H42),0)+IF(AND('Get Started'!$H111&lt;='Get Started'!$E27,'Get Started'!$G111&lt;&gt;0),IF(N4&lt;'Get Started'!$H111,0,OFFSET(N37,0,-1*'Get Started'!$H111)*'Get Started'!$G42),0)+IF(AND('Get Started'!$H110&lt;='Get Started'!$E27,'Get Started'!$G110&lt;&gt;0),IF(N4&lt;'Get Started'!$H110,0,OFFSET(N37,0,-1*'Get Started'!$H110)*'Get Started'!$F42),0)+IF(AND('Get Started'!$H109&lt;='Get Started'!$E27,'Get Started'!$G109&lt;&gt;0),IF(N4&lt;'Get Started'!$H109,0,OFFSET(N37,0,-1*'Get Started'!$H109)*'Get Started'!$E42*'Get Started'!$G109),0)</f>
        <v>0</v>
      </c>
      <c r="O206" s="29">
        <f ca="1">IF(AND('Get Started'!$H112&lt;='Get Started'!$E27,'Get Started'!$G112&lt;&gt;0),IF(AND(O4&lt;'Get Started'!$H112,'Get Started'!$H112&lt;='Get Started'!$E27),0,OFFSET(O37,0,-1*'Get Started'!$H112)*'Get Started'!$H42),0)+IF(AND('Get Started'!$H111&lt;='Get Started'!$E27,'Get Started'!$G111&lt;&gt;0),IF(O4&lt;'Get Started'!$H111,0,OFFSET(O37,0,-1*'Get Started'!$H111)*'Get Started'!$G42),0)+IF(AND('Get Started'!$H110&lt;='Get Started'!$E27,'Get Started'!$G110&lt;&gt;0),IF(O4&lt;'Get Started'!$H110,0,OFFSET(O37,0,-1*'Get Started'!$H110)*'Get Started'!$F42),0)+IF(AND('Get Started'!$H109&lt;='Get Started'!$E27,'Get Started'!$G109&lt;&gt;0),IF(O4&lt;'Get Started'!$H109,0,OFFSET(O37,0,-1*'Get Started'!$H109)*'Get Started'!$E42*'Get Started'!$G109),0)</f>
        <v>0</v>
      </c>
      <c r="P206" s="29">
        <f ca="1">IF(AND('Get Started'!$H112&lt;='Get Started'!$E27,'Get Started'!$G112&lt;&gt;0),IF(AND(P4&lt;'Get Started'!$H112,'Get Started'!$H112&lt;='Get Started'!$E27),0,OFFSET(P37,0,-1*'Get Started'!$H112)*'Get Started'!$H42),0)+IF(AND('Get Started'!$H111&lt;='Get Started'!$E27,'Get Started'!$G111&lt;&gt;0),IF(P4&lt;'Get Started'!$H111,0,OFFSET(P37,0,-1*'Get Started'!$H111)*'Get Started'!$G42),0)+IF(AND('Get Started'!$H110&lt;='Get Started'!$E27,'Get Started'!$G110&lt;&gt;0),IF(P4&lt;'Get Started'!$H110,0,OFFSET(P37,0,-1*'Get Started'!$H110)*'Get Started'!$F42),0)+IF(AND('Get Started'!$H109&lt;='Get Started'!$E27,'Get Started'!$G109&lt;&gt;0),IF(P4&lt;'Get Started'!$H109,0,OFFSET(P37,0,-1*'Get Started'!$H109)*'Get Started'!$E42*'Get Started'!$G109),0)</f>
        <v>0</v>
      </c>
      <c r="Q206" s="29">
        <f ca="1">IF(AND('Get Started'!$H112&lt;='Get Started'!$E27,'Get Started'!$G112&lt;&gt;0),IF(AND(Q4&lt;'Get Started'!$H112,'Get Started'!$H112&lt;='Get Started'!$E27),0,OFFSET(Q37,0,-1*'Get Started'!$H112)*'Get Started'!$H42),0)+IF(AND('Get Started'!$H111&lt;='Get Started'!$E27,'Get Started'!$G111&lt;&gt;0),IF(Q4&lt;'Get Started'!$H111,0,OFFSET(Q37,0,-1*'Get Started'!$H111)*'Get Started'!$G42),0)+IF(AND('Get Started'!$H110&lt;='Get Started'!$E27,'Get Started'!$G110&lt;&gt;0),IF(Q4&lt;'Get Started'!$H110,0,OFFSET(Q37,0,-1*'Get Started'!$H110)*'Get Started'!$F42),0)+IF(AND('Get Started'!$H109&lt;='Get Started'!$E27,'Get Started'!$G109&lt;&gt;0),IF(Q4&lt;'Get Started'!$H109,0,OFFSET(Q37,0,-1*'Get Started'!$H109)*'Get Started'!$E42*'Get Started'!$G109),0)</f>
        <v>0</v>
      </c>
      <c r="R206" s="29">
        <f ca="1">IF(AND('Get Started'!$H112&lt;='Get Started'!$E27,'Get Started'!$G112&lt;&gt;0),IF(AND(R4&lt;'Get Started'!$H112,'Get Started'!$H112&lt;='Get Started'!$E27),0,OFFSET(R37,0,-1*'Get Started'!$H112)*'Get Started'!$H42),0)+IF(AND('Get Started'!$H111&lt;='Get Started'!$E27,'Get Started'!$G111&lt;&gt;0),IF(R4&lt;'Get Started'!$H111,0,OFFSET(R37,0,-1*'Get Started'!$H111)*'Get Started'!$G42),0)+IF(AND('Get Started'!$H110&lt;='Get Started'!$E27,'Get Started'!$G110&lt;&gt;0),IF(R4&lt;'Get Started'!$H110,0,OFFSET(R37,0,-1*'Get Started'!$H110)*'Get Started'!$F42),0)+IF(AND('Get Started'!$H109&lt;='Get Started'!$E27,'Get Started'!$G109&lt;&gt;0),IF(R4&lt;'Get Started'!$H109,0,OFFSET(R37,0,-1*'Get Started'!$H109)*'Get Started'!$E42*'Get Started'!$G109),0)</f>
        <v>0</v>
      </c>
      <c r="S206" s="29">
        <f ca="1">IF(AND('Get Started'!$H112&lt;='Get Started'!$E27,'Get Started'!$G112&lt;&gt;0),IF(AND(S4&lt;'Get Started'!$H112,'Get Started'!$H112&lt;='Get Started'!$E27),0,OFFSET(S37,0,-1*'Get Started'!$H112)*'Get Started'!$H42),0)+IF(AND('Get Started'!$H111&lt;='Get Started'!$E27,'Get Started'!$G111&lt;&gt;0),IF(S4&lt;'Get Started'!$H111,0,OFFSET(S37,0,-1*'Get Started'!$H111)*'Get Started'!$G42),0)+IF(AND('Get Started'!$H110&lt;='Get Started'!$E27,'Get Started'!$G110&lt;&gt;0),IF(S4&lt;'Get Started'!$H110,0,OFFSET(S37,0,-1*'Get Started'!$H110)*'Get Started'!$F42),0)+IF(AND('Get Started'!$H109&lt;='Get Started'!$E27,'Get Started'!$G109&lt;&gt;0),IF(S4&lt;'Get Started'!$H109,0,OFFSET(S37,0,-1*'Get Started'!$H109)*'Get Started'!$E42*'Get Started'!$G109),0)</f>
        <v>240625</v>
      </c>
      <c r="T206" s="29">
        <f ca="1">IF(AND('Get Started'!$H112&lt;='Get Started'!$E27,'Get Started'!$G112&lt;&gt;0),IF(AND(T4&lt;'Get Started'!$H112,'Get Started'!$H112&lt;='Get Started'!$E27),0,OFFSET(T37,0,-1*'Get Started'!$H112)*'Get Started'!$H42),0)+IF(AND('Get Started'!$H111&lt;='Get Started'!$E27,'Get Started'!$G111&lt;&gt;0),IF(T4&lt;'Get Started'!$H111,0,OFFSET(T37,0,-1*'Get Started'!$H111)*'Get Started'!$G42),0)+IF(AND('Get Started'!$H110&lt;='Get Started'!$E27,'Get Started'!$G110&lt;&gt;0),IF(T4&lt;'Get Started'!$H110,0,OFFSET(T37,0,-1*'Get Started'!$H110)*'Get Started'!$F42),0)+IF(AND('Get Started'!$H109&lt;='Get Started'!$E27,'Get Started'!$G109&lt;&gt;0),IF(T4&lt;'Get Started'!$H109,0,OFFSET(T37,0,-1*'Get Started'!$H109)*'Get Started'!$E42*'Get Started'!$G109),0)</f>
        <v>240625</v>
      </c>
      <c r="U206" s="29">
        <f ca="1">IF(AND('Get Started'!$H112&lt;='Get Started'!$E27,'Get Started'!$G112&lt;&gt;0),IF(AND(U4&lt;'Get Started'!$H112,'Get Started'!$H112&lt;='Get Started'!$E27),0,OFFSET(U37,0,-1*'Get Started'!$H112)*'Get Started'!$H42),0)+IF(AND('Get Started'!$H111&lt;='Get Started'!$E27,'Get Started'!$G111&lt;&gt;0),IF(U4&lt;'Get Started'!$H111,0,OFFSET(U37,0,-1*'Get Started'!$H111)*'Get Started'!$G42),0)+IF(AND('Get Started'!$H110&lt;='Get Started'!$E27,'Get Started'!$G110&lt;&gt;0),IF(U4&lt;'Get Started'!$H110,0,OFFSET(U37,0,-1*'Get Started'!$H110)*'Get Started'!$F42),0)+IF(AND('Get Started'!$H109&lt;='Get Started'!$E27,'Get Started'!$G109&lt;&gt;0),IF(U4&lt;'Get Started'!$H109,0,OFFSET(U37,0,-1*'Get Started'!$H109)*'Get Started'!$E42*'Get Started'!$G109),0)</f>
        <v>240625</v>
      </c>
      <c r="V206" s="29">
        <f ca="1">IF(AND('Get Started'!$H112&lt;='Get Started'!$E27,'Get Started'!$G112&lt;&gt;0),IF(AND(V4&lt;'Get Started'!$H112,'Get Started'!$H112&lt;='Get Started'!$E27),0,OFFSET(V37,0,-1*'Get Started'!$H112)*'Get Started'!$H42),0)+IF(AND('Get Started'!$H111&lt;='Get Started'!$E27,'Get Started'!$G111&lt;&gt;0),IF(V4&lt;'Get Started'!$H111,0,OFFSET(V37,0,-1*'Get Started'!$H111)*'Get Started'!$G42),0)+IF(AND('Get Started'!$H110&lt;='Get Started'!$E27,'Get Started'!$G110&lt;&gt;0),IF(V4&lt;'Get Started'!$H110,0,OFFSET(V37,0,-1*'Get Started'!$H110)*'Get Started'!$F42),0)+IF(AND('Get Started'!$H109&lt;='Get Started'!$E27,'Get Started'!$G109&lt;&gt;0),IF(V4&lt;'Get Started'!$H109,0,OFFSET(V37,0,-1*'Get Started'!$H109)*'Get Started'!$E42*'Get Started'!$G109),0)</f>
        <v>240625</v>
      </c>
      <c r="W206" s="29">
        <f ca="1">IF(AND('Get Started'!$H112&lt;='Get Started'!$E27,'Get Started'!$G112&lt;&gt;0),IF(AND(W4&lt;'Get Started'!$H112,'Get Started'!$H112&lt;='Get Started'!$E27),0,OFFSET(W37,0,-1*'Get Started'!$H112)*'Get Started'!$H42),0)+IF(AND('Get Started'!$H111&lt;='Get Started'!$E27,'Get Started'!$G111&lt;&gt;0),IF(W4&lt;'Get Started'!$H111,0,OFFSET(W37,0,-1*'Get Started'!$H111)*'Get Started'!$G42),0)+IF(AND('Get Started'!$H110&lt;='Get Started'!$E27,'Get Started'!$G110&lt;&gt;0),IF(W4&lt;'Get Started'!$H110,0,OFFSET(W37,0,-1*'Get Started'!$H110)*'Get Started'!$F42),0)+IF(AND('Get Started'!$H109&lt;='Get Started'!$E27,'Get Started'!$G109&lt;&gt;0),IF(W4&lt;'Get Started'!$H109,0,OFFSET(W37,0,-1*'Get Started'!$H109)*'Get Started'!$E42*'Get Started'!$G109),0)</f>
        <v>360937.5</v>
      </c>
      <c r="X206" s="29">
        <f ca="1">IF(AND('Get Started'!$H112&lt;='Get Started'!$E27,'Get Started'!$G112&lt;&gt;0),IF(AND(X4&lt;'Get Started'!$H112,'Get Started'!$H112&lt;='Get Started'!$E27),0,OFFSET(X37,0,-1*'Get Started'!$H112)*'Get Started'!$H42),0)+IF(AND('Get Started'!$H111&lt;='Get Started'!$E27,'Get Started'!$G111&lt;&gt;0),IF(X4&lt;'Get Started'!$H111,0,OFFSET(X37,0,-1*'Get Started'!$H111)*'Get Started'!$G42),0)+IF(AND('Get Started'!$H110&lt;='Get Started'!$E27,'Get Started'!$G110&lt;&gt;0),IF(X4&lt;'Get Started'!$H110,0,OFFSET(X37,0,-1*'Get Started'!$H110)*'Get Started'!$F42),0)+IF(AND('Get Started'!$H109&lt;='Get Started'!$E27,'Get Started'!$G109&lt;&gt;0),IF(X4&lt;'Get Started'!$H109,0,OFFSET(X37,0,-1*'Get Started'!$H109)*'Get Started'!$E42*'Get Started'!$G109),0)</f>
        <v>360937.5</v>
      </c>
      <c r="Y206" s="29">
        <f ca="1">IF(AND('Get Started'!$H112&lt;='Get Started'!$E27,'Get Started'!$G112&lt;&gt;0),IF(AND(Y4&lt;'Get Started'!$H112,'Get Started'!$H112&lt;='Get Started'!$E27),0,OFFSET(Y37,0,-1*'Get Started'!$H112)*'Get Started'!$H42),0)+IF(AND('Get Started'!$H111&lt;='Get Started'!$E27,'Get Started'!$G111&lt;&gt;0),IF(Y4&lt;'Get Started'!$H111,0,OFFSET(Y37,0,-1*'Get Started'!$H111)*'Get Started'!$G42),0)+IF(AND('Get Started'!$H110&lt;='Get Started'!$E27,'Get Started'!$G110&lt;&gt;0),IF(Y4&lt;'Get Started'!$H110,0,OFFSET(Y37,0,-1*'Get Started'!$H110)*'Get Started'!$F42),0)+IF(AND('Get Started'!$H109&lt;='Get Started'!$E27,'Get Started'!$G109&lt;&gt;0),IF(Y4&lt;'Get Started'!$H109,0,OFFSET(Y37,0,-1*'Get Started'!$H109)*'Get Started'!$E42*'Get Started'!$G109),0)</f>
        <v>360937.5</v>
      </c>
      <c r="Z206" s="29">
        <f ca="1">IF(AND('Get Started'!$H112&lt;='Get Started'!$E27,'Get Started'!$G112&lt;&gt;0),IF(AND(Z4&lt;'Get Started'!$H112,'Get Started'!$H112&lt;='Get Started'!$E27),0,OFFSET(Z37,0,-1*'Get Started'!$H112)*'Get Started'!$H42),0)+IF(AND('Get Started'!$H111&lt;='Get Started'!$E27,'Get Started'!$G111&lt;&gt;0),IF(Z4&lt;'Get Started'!$H111,0,OFFSET(Z37,0,-1*'Get Started'!$H111)*'Get Started'!$G42),0)+IF(AND('Get Started'!$H110&lt;='Get Started'!$E27,'Get Started'!$G110&lt;&gt;0),IF(Z4&lt;'Get Started'!$H110,0,OFFSET(Z37,0,-1*'Get Started'!$H110)*'Get Started'!$F42),0)+IF(AND('Get Started'!$H109&lt;='Get Started'!$E27,'Get Started'!$G109&lt;&gt;0),IF(Z4&lt;'Get Started'!$H109,0,OFFSET(Z37,0,-1*'Get Started'!$H109)*'Get Started'!$E42*'Get Started'!$G109),0)</f>
        <v>360937.5</v>
      </c>
      <c r="AA206" s="29">
        <f ca="1">IF(AND('Get Started'!$H112&lt;='Get Started'!$E27,'Get Started'!$G112&lt;&gt;0),IF(AND(AA4&lt;'Get Started'!$H112,'Get Started'!$H112&lt;='Get Started'!$E27),0,OFFSET(AA37,0,-1*'Get Started'!$H112)*'Get Started'!$H42),0)+IF(AND('Get Started'!$H111&lt;='Get Started'!$E27,'Get Started'!$G111&lt;&gt;0),IF(AA4&lt;'Get Started'!$H111,0,OFFSET(AA37,0,-1*'Get Started'!$H111)*'Get Started'!$G42),0)+IF(AND('Get Started'!$H110&lt;='Get Started'!$E27,'Get Started'!$G110&lt;&gt;0),IF(AA4&lt;'Get Started'!$H110,0,OFFSET(AA37,0,-1*'Get Started'!$H110)*'Get Started'!$F42),0)+IF(AND('Get Started'!$H109&lt;='Get Started'!$E27,'Get Started'!$G109&lt;&gt;0),IF(AA4&lt;'Get Started'!$H109,0,OFFSET(AA37,0,-1*'Get Started'!$H109)*'Get Started'!$E42*'Get Started'!$G109),0)</f>
        <v>360937.5</v>
      </c>
      <c r="AB206" s="29">
        <f ca="1">IF(AND('Get Started'!$H112&lt;='Get Started'!$E27,'Get Started'!$G112&lt;&gt;0),IF(AND(AB4&lt;'Get Started'!$H112,'Get Started'!$H112&lt;='Get Started'!$E27),0,OFFSET(AB37,0,-1*'Get Started'!$H112)*'Get Started'!$H42),0)+IF(AND('Get Started'!$H111&lt;='Get Started'!$E27,'Get Started'!$G111&lt;&gt;0),IF(AB4&lt;'Get Started'!$H111,0,OFFSET(AB37,0,-1*'Get Started'!$H111)*'Get Started'!$G42),0)+IF(AND('Get Started'!$H110&lt;='Get Started'!$E27,'Get Started'!$G110&lt;&gt;0),IF(AB4&lt;'Get Started'!$H110,0,OFFSET(AB37,0,-1*'Get Started'!$H110)*'Get Started'!$F42),0)+IF(AND('Get Started'!$H109&lt;='Get Started'!$E27,'Get Started'!$G109&lt;&gt;0),IF(AB4&lt;'Get Started'!$H109,0,OFFSET(AB37,0,-1*'Get Started'!$H109)*'Get Started'!$E42*'Get Started'!$G109),0)</f>
        <v>360937.5</v>
      </c>
      <c r="AC206" s="29">
        <f ca="1">IF(AND('Get Started'!$H112&lt;='Get Started'!$E27,'Get Started'!$G112&lt;&gt;0),IF(AND(AC4&lt;'Get Started'!$H112,'Get Started'!$H112&lt;='Get Started'!$E27),0,OFFSET(AC37,0,-1*'Get Started'!$H112)*'Get Started'!$H42),0)+IF(AND('Get Started'!$H111&lt;='Get Started'!$E27,'Get Started'!$G111&lt;&gt;0),IF(AC4&lt;'Get Started'!$H111,0,OFFSET(AC37,0,-1*'Get Started'!$H111)*'Get Started'!$G42),0)+IF(AND('Get Started'!$H110&lt;='Get Started'!$E27,'Get Started'!$G110&lt;&gt;0),IF(AC4&lt;'Get Started'!$H110,0,OFFSET(AC37,0,-1*'Get Started'!$H110)*'Get Started'!$F42),0)+IF(AND('Get Started'!$H109&lt;='Get Started'!$E27,'Get Started'!$G109&lt;&gt;0),IF(AC4&lt;'Get Started'!$H109,0,OFFSET(AC37,0,-1*'Get Started'!$H109)*'Get Started'!$E42*'Get Started'!$G109),0)</f>
        <v>360937.5</v>
      </c>
      <c r="AD206" s="29">
        <f ca="1">IF(AND('Get Started'!$H112&lt;='Get Started'!$E27,'Get Started'!$G112&lt;&gt;0),IF(AND(AD4&lt;'Get Started'!$H112,'Get Started'!$H112&lt;='Get Started'!$E27),0,OFFSET(AD37,0,-1*'Get Started'!$H112)*'Get Started'!$H42),0)+IF(AND('Get Started'!$H111&lt;='Get Started'!$E27,'Get Started'!$G111&lt;&gt;0),IF(AD4&lt;'Get Started'!$H111,0,OFFSET(AD37,0,-1*'Get Started'!$H111)*'Get Started'!$G42),0)+IF(AND('Get Started'!$H110&lt;='Get Started'!$E27,'Get Started'!$G110&lt;&gt;0),IF(AD4&lt;'Get Started'!$H110,0,OFFSET(AD37,0,-1*'Get Started'!$H110)*'Get Started'!$F42),0)+IF(AND('Get Started'!$H109&lt;='Get Started'!$E27,'Get Started'!$G109&lt;&gt;0),IF(AD4&lt;'Get Started'!$H109,0,OFFSET(AD37,0,-1*'Get Started'!$H109)*'Get Started'!$E42*'Get Started'!$G109),0)</f>
        <v>360937.5</v>
      </c>
      <c r="AE206" s="29">
        <f ca="1">IF(AND('Get Started'!$H112&lt;='Get Started'!$E27,'Get Started'!$G112&lt;&gt;0),IF(AND(AE4&lt;'Get Started'!$H112,'Get Started'!$H112&lt;='Get Started'!$E27),0,OFFSET(AE37,0,-1*'Get Started'!$H112)*'Get Started'!$H42),0)+IF(AND('Get Started'!$H111&lt;='Get Started'!$E27,'Get Started'!$G111&lt;&gt;0),IF(AE4&lt;'Get Started'!$H111,0,OFFSET(AE37,0,-1*'Get Started'!$H111)*'Get Started'!$G42),0)+IF(AND('Get Started'!$H110&lt;='Get Started'!$E27,'Get Started'!$G110&lt;&gt;0),IF(AE4&lt;'Get Started'!$H110,0,OFFSET(AE37,0,-1*'Get Started'!$H110)*'Get Started'!$F42),0)+IF(AND('Get Started'!$H109&lt;='Get Started'!$E27,'Get Started'!$G109&lt;&gt;0),IF(AE4&lt;'Get Started'!$H109,0,OFFSET(AE37,0,-1*'Get Started'!$H109)*'Get Started'!$E42*'Get Started'!$G109),0)</f>
        <v>529375</v>
      </c>
      <c r="AF206" s="29">
        <f ca="1">IF(AND('Get Started'!$H112&lt;='Get Started'!$E27,'Get Started'!$G112&lt;&gt;0),IF(AND(AF4&lt;'Get Started'!$H112,'Get Started'!$H112&lt;='Get Started'!$E27),0,OFFSET(AF37,0,-1*'Get Started'!$H112)*'Get Started'!$H42),0)+IF(AND('Get Started'!$H111&lt;='Get Started'!$E27,'Get Started'!$G111&lt;&gt;0),IF(AF4&lt;'Get Started'!$H111,0,OFFSET(AF37,0,-1*'Get Started'!$H111)*'Get Started'!$G42),0)+IF(AND('Get Started'!$H110&lt;='Get Started'!$E27,'Get Started'!$G110&lt;&gt;0),IF(AF4&lt;'Get Started'!$H110,0,OFFSET(AF37,0,-1*'Get Started'!$H110)*'Get Started'!$F42),0)+IF(AND('Get Started'!$H109&lt;='Get Started'!$E27,'Get Started'!$G109&lt;&gt;0),IF(AF4&lt;'Get Started'!$H109,0,OFFSET(AF37,0,-1*'Get Started'!$H109)*'Get Started'!$E42*'Get Started'!$G109),0)</f>
        <v>529375</v>
      </c>
      <c r="AG206" s="29">
        <f ca="1">IF(AND('Get Started'!$H112&lt;='Get Started'!$E27,'Get Started'!$G112&lt;&gt;0),IF(AND(AG4&lt;'Get Started'!$H112,'Get Started'!$H112&lt;='Get Started'!$E27),0,OFFSET(AG37,0,-1*'Get Started'!$H112)*'Get Started'!$H42),0)+IF(AND('Get Started'!$H111&lt;='Get Started'!$E27,'Get Started'!$G111&lt;&gt;0),IF(AG4&lt;'Get Started'!$H111,0,OFFSET(AG37,0,-1*'Get Started'!$H111)*'Get Started'!$G42),0)+IF(AND('Get Started'!$H110&lt;='Get Started'!$E27,'Get Started'!$G110&lt;&gt;0),IF(AG4&lt;'Get Started'!$H110,0,OFFSET(AG37,0,-1*'Get Started'!$H110)*'Get Started'!$F42),0)+IF(AND('Get Started'!$H109&lt;='Get Started'!$E27,'Get Started'!$G109&lt;&gt;0),IF(AG4&lt;'Get Started'!$H109,0,OFFSET(AG37,0,-1*'Get Started'!$H109)*'Get Started'!$E42*'Get Started'!$G109),0)</f>
        <v>529375</v>
      </c>
      <c r="AH206" s="29">
        <f ca="1">IF(AND('Get Started'!$H112&lt;='Get Started'!$E27,'Get Started'!$G112&lt;&gt;0),IF(AND(AH4&lt;'Get Started'!$H112,'Get Started'!$H112&lt;='Get Started'!$E27),0,OFFSET(AH37,0,-1*'Get Started'!$H112)*'Get Started'!$H42),0)+IF(AND('Get Started'!$H111&lt;='Get Started'!$E27,'Get Started'!$G111&lt;&gt;0),IF(AH4&lt;'Get Started'!$H111,0,OFFSET(AH37,0,-1*'Get Started'!$H111)*'Get Started'!$G42),0)+IF(AND('Get Started'!$H110&lt;='Get Started'!$E27,'Get Started'!$G110&lt;&gt;0),IF(AH4&lt;'Get Started'!$H110,0,OFFSET(AH37,0,-1*'Get Started'!$H110)*'Get Started'!$F42),0)+IF(AND('Get Started'!$H109&lt;='Get Started'!$E27,'Get Started'!$G109&lt;&gt;0),IF(AH4&lt;'Get Started'!$H109,0,OFFSET(AH37,0,-1*'Get Started'!$H109)*'Get Started'!$E42*'Get Started'!$G109),0)</f>
        <v>529375</v>
      </c>
      <c r="AI206" s="29">
        <f ca="1">IF(AND('Get Started'!$H112&lt;='Get Started'!$E27,'Get Started'!$G112&lt;&gt;0),IF(AND(AI4&lt;'Get Started'!$H112,'Get Started'!$H112&lt;='Get Started'!$E27),0,OFFSET(AI37,0,-1*'Get Started'!$H112)*'Get Started'!$H42),0)+IF(AND('Get Started'!$H111&lt;='Get Started'!$E27,'Get Started'!$G111&lt;&gt;0),IF(AI4&lt;'Get Started'!$H111,0,OFFSET(AI37,0,-1*'Get Started'!$H111)*'Get Started'!$G42),0)+IF(AND('Get Started'!$H110&lt;='Get Started'!$E27,'Get Started'!$G110&lt;&gt;0),IF(AI4&lt;'Get Started'!$H110,0,OFFSET(AI37,0,-1*'Get Started'!$H110)*'Get Started'!$F42),0)+IF(AND('Get Started'!$H109&lt;='Get Started'!$E27,'Get Started'!$G109&lt;&gt;0),IF(AI4&lt;'Get Started'!$H109,0,OFFSET(AI37,0,-1*'Get Started'!$H109)*'Get Started'!$E42*'Get Started'!$G109),0)</f>
        <v>264687.5</v>
      </c>
      <c r="AJ206" s="29">
        <f ca="1">IF(AND('Get Started'!$H112&lt;='Get Started'!$E27,'Get Started'!$G112&lt;&gt;0),IF(AND(AJ4&lt;'Get Started'!$H112,'Get Started'!$H112&lt;='Get Started'!$E27),0,OFFSET(AJ37,0,-1*'Get Started'!$H112)*'Get Started'!$H42),0)+IF(AND('Get Started'!$H111&lt;='Get Started'!$E27,'Get Started'!$G111&lt;&gt;0),IF(AJ4&lt;'Get Started'!$H111,0,OFFSET(AJ37,0,-1*'Get Started'!$H111)*'Get Started'!$G42),0)+IF(AND('Get Started'!$H110&lt;='Get Started'!$E27,'Get Started'!$G110&lt;&gt;0),IF(AJ4&lt;'Get Started'!$H110,0,OFFSET(AJ37,0,-1*'Get Started'!$H110)*'Get Started'!$F42),0)+IF(AND('Get Started'!$H109&lt;='Get Started'!$E27,'Get Started'!$G109&lt;&gt;0),IF(AJ4&lt;'Get Started'!$H109,0,OFFSET(AJ37,0,-1*'Get Started'!$H109)*'Get Started'!$E42*'Get Started'!$G109),0)</f>
        <v>264687.5</v>
      </c>
      <c r="AK206" s="29">
        <f ca="1">IF(AND('Get Started'!$H112&lt;='Get Started'!$E27,'Get Started'!$G112&lt;&gt;0),IF(AND(AK4&lt;'Get Started'!$H112,'Get Started'!$H112&lt;='Get Started'!$E27),0,OFFSET(AK37,0,-1*'Get Started'!$H112)*'Get Started'!$H42),0)+IF(AND('Get Started'!$H111&lt;='Get Started'!$E27,'Get Started'!$G111&lt;&gt;0),IF(AK4&lt;'Get Started'!$H111,0,OFFSET(AK37,0,-1*'Get Started'!$H111)*'Get Started'!$G42),0)+IF(AND('Get Started'!$H110&lt;='Get Started'!$E27,'Get Started'!$G110&lt;&gt;0),IF(AK4&lt;'Get Started'!$H110,0,OFFSET(AK37,0,-1*'Get Started'!$H110)*'Get Started'!$F42),0)+IF(AND('Get Started'!$H109&lt;='Get Started'!$E27,'Get Started'!$G109&lt;&gt;0),IF(AK4&lt;'Get Started'!$H109,0,OFFSET(AK37,0,-1*'Get Started'!$H109)*'Get Started'!$E42*'Get Started'!$G109),0)</f>
        <v>264687.5</v>
      </c>
      <c r="AL206" s="29">
        <f ca="1">IF(AND('Get Started'!$H112&lt;='Get Started'!$E27,'Get Started'!$G112&lt;&gt;0),IF(AND(AL4&lt;'Get Started'!$H112,'Get Started'!$H112&lt;='Get Started'!$E27),0,OFFSET(AL37,0,-1*'Get Started'!$H112)*'Get Started'!$H42),0)+IF(AND('Get Started'!$H111&lt;='Get Started'!$E27,'Get Started'!$G111&lt;&gt;0),IF(AL4&lt;'Get Started'!$H111,0,OFFSET(AL37,0,-1*'Get Started'!$H111)*'Get Started'!$G42),0)+IF(AND('Get Started'!$H110&lt;='Get Started'!$E27,'Get Started'!$G110&lt;&gt;0),IF(AL4&lt;'Get Started'!$H110,0,OFFSET(AL37,0,-1*'Get Started'!$H110)*'Get Started'!$F42),0)+IF(AND('Get Started'!$H109&lt;='Get Started'!$E27,'Get Started'!$G109&lt;&gt;0),IF(AL4&lt;'Get Started'!$H109,0,OFFSET(AL37,0,-1*'Get Started'!$H109)*'Get Started'!$E42*'Get Started'!$G109),0)</f>
        <v>264687.5</v>
      </c>
      <c r="AM206" s="29">
        <f ca="1">IF(AND('Get Started'!$H112&lt;='Get Started'!$E27,'Get Started'!$G112&lt;&gt;0),IF(AND(AM4&lt;'Get Started'!$H112,'Get Started'!$H112&lt;='Get Started'!$E27),0,OFFSET(AM37,0,-1*'Get Started'!$H112)*'Get Started'!$H42),0)+IF(AND('Get Started'!$H111&lt;='Get Started'!$E27,'Get Started'!$G111&lt;&gt;0),IF(AM4&lt;'Get Started'!$H111,0,OFFSET(AM37,0,-1*'Get Started'!$H111)*'Get Started'!$G42),0)+IF(AND('Get Started'!$H110&lt;='Get Started'!$E27,'Get Started'!$G110&lt;&gt;0),IF(AM4&lt;'Get Started'!$H110,0,OFFSET(AM37,0,-1*'Get Started'!$H110)*'Get Started'!$F42),0)+IF(AND('Get Started'!$H109&lt;='Get Started'!$E27,'Get Started'!$G109&lt;&gt;0),IF(AM4&lt;'Get Started'!$H109,0,OFFSET(AM37,0,-1*'Get Started'!$H109)*'Get Started'!$E42*'Get Started'!$G109),0)</f>
        <v>120312.49999999997</v>
      </c>
      <c r="AN206" s="29">
        <f ca="1">IF(AND('Get Started'!$H112&lt;='Get Started'!$E27,'Get Started'!$G112&lt;&gt;0),IF(AND(AN4&lt;'Get Started'!$H112,'Get Started'!$H112&lt;='Get Started'!$E27),0,OFFSET(AN37,0,-1*'Get Started'!$H112)*'Get Started'!$H42),0)+IF(AND('Get Started'!$H111&lt;='Get Started'!$E27,'Get Started'!$G111&lt;&gt;0),IF(AN4&lt;'Get Started'!$H111,0,OFFSET(AN37,0,-1*'Get Started'!$H111)*'Get Started'!$G42),0)+IF(AND('Get Started'!$H110&lt;='Get Started'!$E27,'Get Started'!$G110&lt;&gt;0),IF(AN4&lt;'Get Started'!$H110,0,OFFSET(AN37,0,-1*'Get Started'!$H110)*'Get Started'!$F42),0)+IF(AND('Get Started'!$H109&lt;='Get Started'!$E27,'Get Started'!$G109&lt;&gt;0),IF(AN4&lt;'Get Started'!$H109,0,OFFSET(AN37,0,-1*'Get Started'!$H109)*'Get Started'!$E42*'Get Started'!$G109),0)</f>
        <v>120312.49999999997</v>
      </c>
      <c r="AO206" s="29">
        <f ca="1">IF(AND('Get Started'!$H112&lt;='Get Started'!$E27,'Get Started'!$G112&lt;&gt;0),IF(AND(AO4&lt;'Get Started'!$H112,'Get Started'!$H112&lt;='Get Started'!$E27),0,OFFSET(AO37,0,-1*'Get Started'!$H112)*'Get Started'!$H42),0)+IF(AND('Get Started'!$H111&lt;='Get Started'!$E27,'Get Started'!$G111&lt;&gt;0),IF(AO4&lt;'Get Started'!$H111,0,OFFSET(AO37,0,-1*'Get Started'!$H111)*'Get Started'!$G42),0)+IF(AND('Get Started'!$H110&lt;='Get Started'!$E27,'Get Started'!$G110&lt;&gt;0),IF(AO4&lt;'Get Started'!$H110,0,OFFSET(AO37,0,-1*'Get Started'!$H110)*'Get Started'!$F42),0)+IF(AND('Get Started'!$H109&lt;='Get Started'!$E27,'Get Started'!$G109&lt;&gt;0),IF(AO4&lt;'Get Started'!$H109,0,OFFSET(AO37,0,-1*'Get Started'!$H109)*'Get Started'!$E42*'Get Started'!$G109),0)</f>
        <v>120312.49999999997</v>
      </c>
      <c r="AP206" s="29">
        <f ca="1">IF(AND('Get Started'!$H112&lt;='Get Started'!$E27,'Get Started'!$G112&lt;&gt;0),IF(AND(AP4&lt;'Get Started'!$H112,'Get Started'!$H112&lt;='Get Started'!$E27),0,OFFSET(AP37,0,-1*'Get Started'!$H112)*'Get Started'!$H42),0)+IF(AND('Get Started'!$H111&lt;='Get Started'!$E27,'Get Started'!$G111&lt;&gt;0),IF(AP4&lt;'Get Started'!$H111,0,OFFSET(AP37,0,-1*'Get Started'!$H111)*'Get Started'!$G42),0)+IF(AND('Get Started'!$H110&lt;='Get Started'!$E27,'Get Started'!$G110&lt;&gt;0),IF(AP4&lt;'Get Started'!$H110,0,OFFSET(AP37,0,-1*'Get Started'!$H110)*'Get Started'!$F42),0)+IF(AND('Get Started'!$H109&lt;='Get Started'!$E27,'Get Started'!$G109&lt;&gt;0),IF(AP4&lt;'Get Started'!$H109,0,OFFSET(AP37,0,-1*'Get Started'!$H109)*'Get Started'!$E42*'Get Started'!$G109),0)</f>
        <v>120312.49999999997</v>
      </c>
      <c r="AQ206" s="29">
        <f ca="1">IF(AND('Get Started'!$H112&lt;='Get Started'!$E27,'Get Started'!$G112&lt;&gt;0),IF(AND(AQ4&lt;'Get Started'!$H112,'Get Started'!$H112&lt;='Get Started'!$E27),0,OFFSET(AQ37,0,-1*'Get Started'!$H112)*'Get Started'!$H42),0)+IF(AND('Get Started'!$H111&lt;='Get Started'!$E27,'Get Started'!$G111&lt;&gt;0),IF(AQ4&lt;'Get Started'!$H111,0,OFFSET(AQ37,0,-1*'Get Started'!$H111)*'Get Started'!$G42),0)+IF(AND('Get Started'!$H110&lt;='Get Started'!$E27,'Get Started'!$G110&lt;&gt;0),IF(AQ4&lt;'Get Started'!$H110,0,OFFSET(AQ37,0,-1*'Get Started'!$H110)*'Get Started'!$F42),0)+IF(AND('Get Started'!$H109&lt;='Get Started'!$E27,'Get Started'!$G109&lt;&gt;0),IF(AQ4&lt;'Get Started'!$H109,0,OFFSET(AQ37,0,-1*'Get Started'!$H109)*'Get Started'!$E42*'Get Started'!$G109),0)</f>
        <v>144374.99999999997</v>
      </c>
      <c r="AR206" s="29">
        <f ca="1">IF(AND('Get Started'!$H112&lt;='Get Started'!$E27,'Get Started'!$G112&lt;&gt;0),IF(AND(AR4&lt;'Get Started'!$H112,'Get Started'!$H112&lt;='Get Started'!$E27),0,OFFSET(AR37,0,-1*'Get Started'!$H112)*'Get Started'!$H42),0)+IF(AND('Get Started'!$H111&lt;='Get Started'!$E27,'Get Started'!$G111&lt;&gt;0),IF(AR4&lt;'Get Started'!$H111,0,OFFSET(AR37,0,-1*'Get Started'!$H111)*'Get Started'!$G42),0)+IF(AND('Get Started'!$H110&lt;='Get Started'!$E27,'Get Started'!$G110&lt;&gt;0),IF(AR4&lt;'Get Started'!$H110,0,OFFSET(AR37,0,-1*'Get Started'!$H110)*'Get Started'!$F42),0)+IF(AND('Get Started'!$H109&lt;='Get Started'!$E27,'Get Started'!$G109&lt;&gt;0),IF(AR4&lt;'Get Started'!$H109,0,OFFSET(AR37,0,-1*'Get Started'!$H109)*'Get Started'!$E42*'Get Started'!$G109),0)</f>
        <v>144374.99999999997</v>
      </c>
      <c r="AS206" s="29">
        <f ca="1">IF(AND('Get Started'!$H112&lt;='Get Started'!$E27,'Get Started'!$G112&lt;&gt;0),IF(AND(AS4&lt;'Get Started'!$H112,'Get Started'!$H112&lt;='Get Started'!$E27),0,OFFSET(AS37,0,-1*'Get Started'!$H112)*'Get Started'!$H42),0)+IF(AND('Get Started'!$H111&lt;='Get Started'!$E27,'Get Started'!$G111&lt;&gt;0),IF(AS4&lt;'Get Started'!$H111,0,OFFSET(AS37,0,-1*'Get Started'!$H111)*'Get Started'!$G42),0)+IF(AND('Get Started'!$H110&lt;='Get Started'!$E27,'Get Started'!$G110&lt;&gt;0),IF(AS4&lt;'Get Started'!$H110,0,OFFSET(AS37,0,-1*'Get Started'!$H110)*'Get Started'!$F42),0)+IF(AND('Get Started'!$H109&lt;='Get Started'!$E27,'Get Started'!$G109&lt;&gt;0),IF(AS4&lt;'Get Started'!$H109,0,OFFSET(AS37,0,-1*'Get Started'!$H109)*'Get Started'!$E42*'Get Started'!$G109),0)</f>
        <v>144374.99999999997</v>
      </c>
      <c r="AT206" s="29">
        <f ca="1">IF(AND('Get Started'!$H112&lt;='Get Started'!$E27,'Get Started'!$G112&lt;&gt;0),IF(AND(AT4&lt;'Get Started'!$H112,'Get Started'!$H112&lt;='Get Started'!$E27),0,OFFSET(AT37,0,-1*'Get Started'!$H112)*'Get Started'!$H42),0)+IF(AND('Get Started'!$H111&lt;='Get Started'!$E27,'Get Started'!$G111&lt;&gt;0),IF(AT4&lt;'Get Started'!$H111,0,OFFSET(AT37,0,-1*'Get Started'!$H111)*'Get Started'!$G42),0)+IF(AND('Get Started'!$H110&lt;='Get Started'!$E27,'Get Started'!$G110&lt;&gt;0),IF(AT4&lt;'Get Started'!$H110,0,OFFSET(AT37,0,-1*'Get Started'!$H110)*'Get Started'!$F42),0)+IF(AND('Get Started'!$H109&lt;='Get Started'!$E27,'Get Started'!$G109&lt;&gt;0),IF(AT4&lt;'Get Started'!$H109,0,OFFSET(AT37,0,-1*'Get Started'!$H109)*'Get Started'!$E42*'Get Started'!$G109),0)</f>
        <v>144374.99999999997</v>
      </c>
      <c r="AU206" s="29">
        <f ca="1">IF(AND('Get Started'!$H112&lt;='Get Started'!$E27,'Get Started'!$G112&lt;&gt;0),IF(AND(AU4&lt;'Get Started'!$H112,'Get Started'!$H112&lt;='Get Started'!$E27),0,OFFSET(AU37,0,-1*'Get Started'!$H112)*'Get Started'!$H42),0)+IF(AND('Get Started'!$H111&lt;='Get Started'!$E27,'Get Started'!$G111&lt;&gt;0),IF(AU4&lt;'Get Started'!$H111,0,OFFSET(AU37,0,-1*'Get Started'!$H111)*'Get Started'!$G42),0)+IF(AND('Get Started'!$H110&lt;='Get Started'!$E27,'Get Started'!$G110&lt;&gt;0),IF(AU4&lt;'Get Started'!$H110,0,OFFSET(AU37,0,-1*'Get Started'!$H110)*'Get Started'!$F42),0)+IF(AND('Get Started'!$H109&lt;='Get Started'!$E27,'Get Started'!$G109&lt;&gt;0),IF(AU4&lt;'Get Started'!$H109,0,OFFSET(AU37,0,-1*'Get Started'!$H109)*'Get Started'!$E42*'Get Started'!$G109),0)</f>
        <v>0</v>
      </c>
      <c r="AV206" s="29">
        <f ca="1">IF(AND('Get Started'!$H112&lt;='Get Started'!$E27,'Get Started'!$G112&lt;&gt;0),IF(AND(AV4&lt;'Get Started'!$H112,'Get Started'!$H112&lt;='Get Started'!$E27),0,OFFSET(AV37,0,-1*'Get Started'!$H112)*'Get Started'!$H42),0)+IF(AND('Get Started'!$H111&lt;='Get Started'!$E27,'Get Started'!$G111&lt;&gt;0),IF(AV4&lt;'Get Started'!$H111,0,OFFSET(AV37,0,-1*'Get Started'!$H111)*'Get Started'!$G42),0)+IF(AND('Get Started'!$H110&lt;='Get Started'!$E27,'Get Started'!$G110&lt;&gt;0),IF(AV4&lt;'Get Started'!$H110,0,OFFSET(AV37,0,-1*'Get Started'!$H110)*'Get Started'!$F42),0)+IF(AND('Get Started'!$H109&lt;='Get Started'!$E27,'Get Started'!$G109&lt;&gt;0),IF(AV4&lt;'Get Started'!$H109,0,OFFSET(AV37,0,-1*'Get Started'!$H109)*'Get Started'!$E42*'Get Started'!$G109),0)</f>
        <v>0</v>
      </c>
      <c r="AW206" s="29">
        <f ca="1">IF(AND('Get Started'!$H112&lt;='Get Started'!$E27,'Get Started'!$G112&lt;&gt;0),IF(AND(AW4&lt;'Get Started'!$H112,'Get Started'!$H112&lt;='Get Started'!$E27),0,OFFSET(AW37,0,-1*'Get Started'!$H112)*'Get Started'!$H42),0)+IF(AND('Get Started'!$H111&lt;='Get Started'!$E27,'Get Started'!$G111&lt;&gt;0),IF(AW4&lt;'Get Started'!$H111,0,OFFSET(AW37,0,-1*'Get Started'!$H111)*'Get Started'!$G42),0)+IF(AND('Get Started'!$H110&lt;='Get Started'!$E27,'Get Started'!$G110&lt;&gt;0),IF(AW4&lt;'Get Started'!$H110,0,OFFSET(AW37,0,-1*'Get Started'!$H110)*'Get Started'!$F42),0)+IF(AND('Get Started'!$H109&lt;='Get Started'!$E27,'Get Started'!$G109&lt;&gt;0),IF(AW4&lt;'Get Started'!$H109,0,OFFSET(AW37,0,-1*'Get Started'!$H109)*'Get Started'!$E42*'Get Started'!$G109),0)</f>
        <v>0</v>
      </c>
      <c r="AX206" s="29">
        <f ca="1">IF(AND('Get Started'!$H112&lt;='Get Started'!$E27,'Get Started'!$G112&lt;&gt;0),IF(AND(AX4&lt;'Get Started'!$H112,'Get Started'!$H112&lt;='Get Started'!$E27),0,OFFSET(AX37,0,-1*'Get Started'!$H112)*'Get Started'!$H42),0)+IF(AND('Get Started'!$H111&lt;='Get Started'!$E27,'Get Started'!$G111&lt;&gt;0),IF(AX4&lt;'Get Started'!$H111,0,OFFSET(AX37,0,-1*'Get Started'!$H111)*'Get Started'!$G42),0)+IF(AND('Get Started'!$H110&lt;='Get Started'!$E27,'Get Started'!$G110&lt;&gt;0),IF(AX4&lt;'Get Started'!$H110,0,OFFSET(AX37,0,-1*'Get Started'!$H110)*'Get Started'!$F42),0)+IF(AND('Get Started'!$H109&lt;='Get Started'!$E27,'Get Started'!$G109&lt;&gt;0),IF(AX4&lt;'Get Started'!$H109,0,OFFSET(AX37,0,-1*'Get Started'!$H109)*'Get Started'!$E42*'Get Started'!$G109),0)</f>
        <v>0</v>
      </c>
      <c r="AY206" s="29">
        <f ca="1">IF(AND('Get Started'!$H112&lt;='Get Started'!$E27,'Get Started'!$G112&lt;&gt;0),IF(AND(AY4&lt;'Get Started'!$H112,'Get Started'!$H112&lt;='Get Started'!$E27),0,OFFSET(AY37,0,-1*'Get Started'!$H112)*'Get Started'!$H42),0)+IF(AND('Get Started'!$H111&lt;='Get Started'!$E27,'Get Started'!$G111&lt;&gt;0),IF(AY4&lt;'Get Started'!$H111,0,OFFSET(AY37,0,-1*'Get Started'!$H111)*'Get Started'!$G42),0)+IF(AND('Get Started'!$H110&lt;='Get Started'!$E27,'Get Started'!$G110&lt;&gt;0),IF(AY4&lt;'Get Started'!$H110,0,OFFSET(AY37,0,-1*'Get Started'!$H110)*'Get Started'!$F42),0)+IF(AND('Get Started'!$H109&lt;='Get Started'!$E27,'Get Started'!$G109&lt;&gt;0),IF(AY4&lt;'Get Started'!$H109,0,OFFSET(AY37,0,-1*'Get Started'!$H109)*'Get Started'!$E42*'Get Started'!$G109),0)</f>
        <v>0</v>
      </c>
      <c r="AZ206" s="29">
        <f ca="1">IF(AND('Get Started'!$H112&lt;='Get Started'!$E27,'Get Started'!$G112&lt;&gt;0),IF(AND(AZ4&lt;'Get Started'!$H112,'Get Started'!$H112&lt;='Get Started'!$E27),0,OFFSET(AZ37,0,-1*'Get Started'!$H112)*'Get Started'!$H42),0)+IF(AND('Get Started'!$H111&lt;='Get Started'!$E27,'Get Started'!$G111&lt;&gt;0),IF(AZ4&lt;'Get Started'!$H111,0,OFFSET(AZ37,0,-1*'Get Started'!$H111)*'Get Started'!$G42),0)+IF(AND('Get Started'!$H110&lt;='Get Started'!$E27,'Get Started'!$G110&lt;&gt;0),IF(AZ4&lt;'Get Started'!$H110,0,OFFSET(AZ37,0,-1*'Get Started'!$H110)*'Get Started'!$F42),0)+IF(AND('Get Started'!$H109&lt;='Get Started'!$E27,'Get Started'!$G109&lt;&gt;0),IF(AZ4&lt;'Get Started'!$H109,0,OFFSET(AZ37,0,-1*'Get Started'!$H109)*'Get Started'!$E42*'Get Started'!$G109),0)</f>
        <v>0</v>
      </c>
      <c r="BA206" s="29">
        <f ca="1">IF(AND('Get Started'!$H112&lt;='Get Started'!$E27,'Get Started'!$G112&lt;&gt;0),IF(AND(BA4&lt;'Get Started'!$H112,'Get Started'!$H112&lt;='Get Started'!$E27),0,OFFSET(BA37,0,-1*'Get Started'!$H112)*'Get Started'!$H42),0)+IF(AND('Get Started'!$H111&lt;='Get Started'!$E27,'Get Started'!$G111&lt;&gt;0),IF(BA4&lt;'Get Started'!$H111,0,OFFSET(BA37,0,-1*'Get Started'!$H111)*'Get Started'!$G42),0)+IF(AND('Get Started'!$H110&lt;='Get Started'!$E27,'Get Started'!$G110&lt;&gt;0),IF(BA4&lt;'Get Started'!$H110,0,OFFSET(BA37,0,-1*'Get Started'!$H110)*'Get Started'!$F42),0)+IF(AND('Get Started'!$H109&lt;='Get Started'!$E27,'Get Started'!$G109&lt;&gt;0),IF(BA4&lt;'Get Started'!$H109,0,OFFSET(BA37,0,-1*'Get Started'!$H109)*'Get Started'!$E42*'Get Started'!$G109),0)</f>
        <v>0</v>
      </c>
      <c r="BB206" s="29">
        <f ca="1">IF(AND('Get Started'!$H112&lt;='Get Started'!$E27,'Get Started'!$G112&lt;&gt;0),IF(AND(BB4&lt;'Get Started'!$H112,'Get Started'!$H112&lt;='Get Started'!$E27),0,OFFSET(BB37,0,-1*'Get Started'!$H112)*'Get Started'!$H42),0)+IF(AND('Get Started'!$H111&lt;='Get Started'!$E27,'Get Started'!$G111&lt;&gt;0),IF(BB4&lt;'Get Started'!$H111,0,OFFSET(BB37,0,-1*'Get Started'!$H111)*'Get Started'!$G42),0)+IF(AND('Get Started'!$H110&lt;='Get Started'!$E27,'Get Started'!$G110&lt;&gt;0),IF(BB4&lt;'Get Started'!$H110,0,OFFSET(BB37,0,-1*'Get Started'!$H110)*'Get Started'!$F42),0)+IF(AND('Get Started'!$H109&lt;='Get Started'!$E27,'Get Started'!$G109&lt;&gt;0),IF(BB4&lt;'Get Started'!$H109,0,OFFSET(BB37,0,-1*'Get Started'!$H109)*'Get Started'!$E42*'Get Started'!$G109),0)</f>
        <v>0</v>
      </c>
      <c r="BC206" s="29">
        <f ca="1">IF(AND('Get Started'!$H112&lt;='Get Started'!$E27,'Get Started'!$G112&lt;&gt;0),IF(AND(BC4&lt;'Get Started'!$H112,'Get Started'!$H112&lt;='Get Started'!$E27),0,OFFSET(BC37,0,-1*'Get Started'!$H112)*'Get Started'!$H42),0)+IF(AND('Get Started'!$H111&lt;='Get Started'!$E27,'Get Started'!$G111&lt;&gt;0),IF(BC4&lt;'Get Started'!$H111,0,OFFSET(BC37,0,-1*'Get Started'!$H111)*'Get Started'!$G42),0)+IF(AND('Get Started'!$H110&lt;='Get Started'!$E27,'Get Started'!$G110&lt;&gt;0),IF(BC4&lt;'Get Started'!$H110,0,OFFSET(BC37,0,-1*'Get Started'!$H110)*'Get Started'!$F42),0)+IF(AND('Get Started'!$H109&lt;='Get Started'!$E27,'Get Started'!$G109&lt;&gt;0),IF(BC4&lt;'Get Started'!$H109,0,OFFSET(BC37,0,-1*'Get Started'!$H109)*'Get Started'!$E42*'Get Started'!$G109),0)</f>
        <v>0</v>
      </c>
      <c r="BD206" s="29">
        <f ca="1">IF(AND('Get Started'!$H112&lt;='Get Started'!$E27,'Get Started'!$G112&lt;&gt;0),IF(AND(BD4&lt;'Get Started'!$H112,'Get Started'!$H112&lt;='Get Started'!$E27),0,OFFSET(BD37,0,-1*'Get Started'!$H112)*'Get Started'!$H42),0)+IF(AND('Get Started'!$H111&lt;='Get Started'!$E27,'Get Started'!$G111&lt;&gt;0),IF(BD4&lt;'Get Started'!$H111,0,OFFSET(BD37,0,-1*'Get Started'!$H111)*'Get Started'!$G42),0)+IF(AND('Get Started'!$H110&lt;='Get Started'!$E27,'Get Started'!$G110&lt;&gt;0),IF(BD4&lt;'Get Started'!$H110,0,OFFSET(BD37,0,-1*'Get Started'!$H110)*'Get Started'!$F42),0)+IF(AND('Get Started'!$H109&lt;='Get Started'!$E27,'Get Started'!$G109&lt;&gt;0),IF(BD4&lt;'Get Started'!$H109,0,OFFSET(BD37,0,-1*'Get Started'!$H109)*'Get Started'!$E42*'Get Started'!$G109),0)</f>
        <v>0</v>
      </c>
      <c r="BE206" s="29">
        <f ca="1">IF(AND('Get Started'!$H112&lt;='Get Started'!$E27,'Get Started'!$G112&lt;&gt;0),IF(AND(BE4&lt;'Get Started'!$H112,'Get Started'!$H112&lt;='Get Started'!$E27),0,OFFSET(BE37,0,-1*'Get Started'!$H112)*'Get Started'!$H42),0)+IF(AND('Get Started'!$H111&lt;='Get Started'!$E27,'Get Started'!$G111&lt;&gt;0),IF(BE4&lt;'Get Started'!$H111,0,OFFSET(BE37,0,-1*'Get Started'!$H111)*'Get Started'!$G42),0)+IF(AND('Get Started'!$H110&lt;='Get Started'!$E27,'Get Started'!$G110&lt;&gt;0),IF(BE4&lt;'Get Started'!$H110,0,OFFSET(BE37,0,-1*'Get Started'!$H110)*'Get Started'!$F42),0)+IF(AND('Get Started'!$H109&lt;='Get Started'!$E27,'Get Started'!$G109&lt;&gt;0),IF(BE4&lt;'Get Started'!$H109,0,OFFSET(BE37,0,-1*'Get Started'!$H109)*'Get Started'!$E42*'Get Started'!$G109),0)</f>
        <v>0</v>
      </c>
      <c r="BF206" s="29">
        <f ca="1">IF(AND('Get Started'!$H112&lt;='Get Started'!$E27,'Get Started'!$G112&lt;&gt;0),IF(AND(BF4&lt;'Get Started'!$H112,'Get Started'!$H112&lt;='Get Started'!$E27),0,OFFSET(BF37,0,-1*'Get Started'!$H112)*'Get Started'!$H42),0)+IF(AND('Get Started'!$H111&lt;='Get Started'!$E27,'Get Started'!$G111&lt;&gt;0),IF(BF4&lt;'Get Started'!$H111,0,OFFSET(BF37,0,-1*'Get Started'!$H111)*'Get Started'!$G42),0)+IF(AND('Get Started'!$H110&lt;='Get Started'!$E27,'Get Started'!$G110&lt;&gt;0),IF(BF4&lt;'Get Started'!$H110,0,OFFSET(BF37,0,-1*'Get Started'!$H110)*'Get Started'!$F42),0)+IF(AND('Get Started'!$H109&lt;='Get Started'!$E27,'Get Started'!$G109&lt;&gt;0),IF(BF4&lt;'Get Started'!$H109,0,OFFSET(BF37,0,-1*'Get Started'!$H109)*'Get Started'!$E42*'Get Started'!$G109),0)</f>
        <v>0</v>
      </c>
      <c r="BG206" s="29">
        <f ca="1">IF(AND('Get Started'!$H112&lt;='Get Started'!$E27,'Get Started'!$G112&lt;&gt;0),IF(AND(BG4&lt;'Get Started'!$H112,'Get Started'!$H112&lt;='Get Started'!$E27),0,OFFSET(BG37,0,-1*'Get Started'!$H112)*'Get Started'!$H42),0)+IF(AND('Get Started'!$H111&lt;='Get Started'!$E27,'Get Started'!$G111&lt;&gt;0),IF(BG4&lt;'Get Started'!$H111,0,OFFSET(BG37,0,-1*'Get Started'!$H111)*'Get Started'!$G42),0)+IF(AND('Get Started'!$H110&lt;='Get Started'!$E27,'Get Started'!$G110&lt;&gt;0),IF(BG4&lt;'Get Started'!$H110,0,OFFSET(BG37,0,-1*'Get Started'!$H110)*'Get Started'!$F42),0)+IF(AND('Get Started'!$H109&lt;='Get Started'!$E27,'Get Started'!$G109&lt;&gt;0),IF(BG4&lt;'Get Started'!$H109,0,OFFSET(BG37,0,-1*'Get Started'!$H109)*'Get Started'!$E42*'Get Started'!$G109),0)</f>
        <v>0</v>
      </c>
      <c r="BH206" s="29">
        <f ca="1">IF(AND('Get Started'!$H112&lt;='Get Started'!$E27,'Get Started'!$G112&lt;&gt;0),IF(AND(BH4&lt;'Get Started'!$H112,'Get Started'!$H112&lt;='Get Started'!$E27),0,OFFSET(BH37,0,-1*'Get Started'!$H112)*'Get Started'!$H42),0)+IF(AND('Get Started'!$H111&lt;='Get Started'!$E27,'Get Started'!$G111&lt;&gt;0),IF(BH4&lt;'Get Started'!$H111,0,OFFSET(BH37,0,-1*'Get Started'!$H111)*'Get Started'!$G42),0)+IF(AND('Get Started'!$H110&lt;='Get Started'!$E27,'Get Started'!$G110&lt;&gt;0),IF(BH4&lt;'Get Started'!$H110,0,OFFSET(BH37,0,-1*'Get Started'!$H110)*'Get Started'!$F42),0)+IF(AND('Get Started'!$H109&lt;='Get Started'!$E27,'Get Started'!$G109&lt;&gt;0),IF(BH4&lt;'Get Started'!$H109,0,OFFSET(BH37,0,-1*'Get Started'!$H109)*'Get Started'!$E42*'Get Started'!$G109),0)</f>
        <v>0</v>
      </c>
      <c r="BI206" s="29">
        <f ca="1">IF(AND('Get Started'!$H112&lt;='Get Started'!$E27,'Get Started'!$G112&lt;&gt;0),IF(AND(BI4&lt;'Get Started'!$H112,'Get Started'!$H112&lt;='Get Started'!$E27),0,OFFSET(BI37,0,-1*'Get Started'!$H112)*'Get Started'!$H42),0)+IF(AND('Get Started'!$H111&lt;='Get Started'!$E27,'Get Started'!$G111&lt;&gt;0),IF(BI4&lt;'Get Started'!$H111,0,OFFSET(BI37,0,-1*'Get Started'!$H111)*'Get Started'!$G42),0)+IF(AND('Get Started'!$H110&lt;='Get Started'!$E27,'Get Started'!$G110&lt;&gt;0),IF(BI4&lt;'Get Started'!$H110,0,OFFSET(BI37,0,-1*'Get Started'!$H110)*'Get Started'!$F42),0)+IF(AND('Get Started'!$H109&lt;='Get Started'!$E27,'Get Started'!$G109&lt;&gt;0),IF(BI4&lt;'Get Started'!$H109,0,OFFSET(BI37,0,-1*'Get Started'!$H109)*'Get Started'!$E42*'Get Started'!$G109),0)</f>
        <v>0</v>
      </c>
      <c r="BJ206" s="29">
        <f ca="1">IF(AND('Get Started'!$H112&lt;='Get Started'!$E27,'Get Started'!$G112&lt;&gt;0),IF(AND(BJ4&lt;'Get Started'!$H112,'Get Started'!$H112&lt;='Get Started'!$E27),0,OFFSET(BJ37,0,-1*'Get Started'!$H112)*'Get Started'!$H42),0)+IF(AND('Get Started'!$H111&lt;='Get Started'!$E27,'Get Started'!$G111&lt;&gt;0),IF(BJ4&lt;'Get Started'!$H111,0,OFFSET(BJ37,0,-1*'Get Started'!$H111)*'Get Started'!$G42),0)+IF(AND('Get Started'!$H110&lt;='Get Started'!$E27,'Get Started'!$G110&lt;&gt;0),IF(BJ4&lt;'Get Started'!$H110,0,OFFSET(BJ37,0,-1*'Get Started'!$H110)*'Get Started'!$F42),0)+IF(AND('Get Started'!$H109&lt;='Get Started'!$E27,'Get Started'!$G109&lt;&gt;0),IF(BJ4&lt;'Get Started'!$H109,0,OFFSET(BJ37,0,-1*'Get Started'!$H109)*'Get Started'!$E42*'Get Started'!$G109),0)</f>
        <v>0</v>
      </c>
      <c r="BK206" s="29">
        <f ca="1">IF(AND('Get Started'!$H112&lt;='Get Started'!$E27,'Get Started'!$G112&lt;&gt;0),IF(AND(BK4&lt;'Get Started'!$H112,'Get Started'!$H112&lt;='Get Started'!$E27),0,OFFSET(BK37,0,-1*'Get Started'!$H112)*'Get Started'!$H42),0)+IF(AND('Get Started'!$H111&lt;='Get Started'!$E27,'Get Started'!$G111&lt;&gt;0),IF(BK4&lt;'Get Started'!$H111,0,OFFSET(BK37,0,-1*'Get Started'!$H111)*'Get Started'!$G42),0)+IF(AND('Get Started'!$H110&lt;='Get Started'!$E27,'Get Started'!$G110&lt;&gt;0),IF(BK4&lt;'Get Started'!$H110,0,OFFSET(BK37,0,-1*'Get Started'!$H110)*'Get Started'!$F42),0)+IF(AND('Get Started'!$H109&lt;='Get Started'!$E27,'Get Started'!$G109&lt;&gt;0),IF(BK4&lt;'Get Started'!$H109,0,OFFSET(BK37,0,-1*'Get Started'!$H109)*'Get Started'!$E42*'Get Started'!$G109),0)</f>
        <v>0</v>
      </c>
      <c r="BL206" s="29">
        <f ca="1">IF(AND('Get Started'!$H112&lt;='Get Started'!$E27,'Get Started'!$G112&lt;&gt;0),IF(AND(BL4&lt;'Get Started'!$H112,'Get Started'!$H112&lt;='Get Started'!$E27),0,OFFSET(BL37,0,-1*'Get Started'!$H112)*'Get Started'!$H42),0)+IF(AND('Get Started'!$H111&lt;='Get Started'!$E27,'Get Started'!$G111&lt;&gt;0),IF(BL4&lt;'Get Started'!$H111,0,OFFSET(BL37,0,-1*'Get Started'!$H111)*'Get Started'!$G42),0)+IF(AND('Get Started'!$H110&lt;='Get Started'!$E27,'Get Started'!$G110&lt;&gt;0),IF(BL4&lt;'Get Started'!$H110,0,OFFSET(BL37,0,-1*'Get Started'!$H110)*'Get Started'!$F42),0)+IF(AND('Get Started'!$H109&lt;='Get Started'!$E27,'Get Started'!$G109&lt;&gt;0),IF(BL4&lt;'Get Started'!$H109,0,OFFSET(BL37,0,-1*'Get Started'!$H109)*'Get Started'!$E42*'Get Started'!$G109),0)</f>
        <v>0</v>
      </c>
      <c r="BM206" s="29">
        <f ca="1">IF(AND('Get Started'!$H112&lt;='Get Started'!$E27,'Get Started'!$G112&lt;&gt;0),IF(AND(BM4&lt;'Get Started'!$H112,'Get Started'!$H112&lt;='Get Started'!$E27),0,OFFSET(BM37,0,-1*'Get Started'!$H112)*'Get Started'!$H42),0)+IF(AND('Get Started'!$H111&lt;='Get Started'!$E27,'Get Started'!$G111&lt;&gt;0),IF(BM4&lt;'Get Started'!$H111,0,OFFSET(BM37,0,-1*'Get Started'!$H111)*'Get Started'!$G42),0)+IF(AND('Get Started'!$H110&lt;='Get Started'!$E27,'Get Started'!$G110&lt;&gt;0),IF(BM4&lt;'Get Started'!$H110,0,OFFSET(BM37,0,-1*'Get Started'!$H110)*'Get Started'!$F42),0)+IF(AND('Get Started'!$H109&lt;='Get Started'!$E27,'Get Started'!$G109&lt;&gt;0),IF(BM4&lt;'Get Started'!$H109,0,OFFSET(BM37,0,-1*'Get Started'!$H109)*'Get Started'!$E42*'Get Started'!$G109),0)</f>
        <v>0</v>
      </c>
      <c r="BN206" s="29">
        <f ca="1">IF(AND('Get Started'!$H112&lt;='Get Started'!$E27,'Get Started'!$G112&lt;&gt;0),IF(AND(BN4&lt;'Get Started'!$H112,'Get Started'!$H112&lt;='Get Started'!$E27),0,OFFSET(BN37,0,-1*'Get Started'!$H112)*'Get Started'!$H42),0)+IF(AND('Get Started'!$H111&lt;='Get Started'!$E27,'Get Started'!$G111&lt;&gt;0),IF(BN4&lt;'Get Started'!$H111,0,OFFSET(BN37,0,-1*'Get Started'!$H111)*'Get Started'!$G42),0)+IF(AND('Get Started'!$H110&lt;='Get Started'!$E27,'Get Started'!$G110&lt;&gt;0),IF(BN4&lt;'Get Started'!$H110,0,OFFSET(BN37,0,-1*'Get Started'!$H110)*'Get Started'!$F42),0)+IF(AND('Get Started'!$H109&lt;='Get Started'!$E27,'Get Started'!$G109&lt;&gt;0),IF(BN4&lt;'Get Started'!$H109,0,OFFSET(BN37,0,-1*'Get Started'!$H109)*'Get Started'!$E42*'Get Started'!$G109),0)</f>
        <v>0</v>
      </c>
      <c r="BO206" s="29">
        <f ca="1">IF(AND('Get Started'!$H112&lt;='Get Started'!$E27,'Get Started'!$G112&lt;&gt;0),IF(AND(BO4&lt;'Get Started'!$H112,'Get Started'!$H112&lt;='Get Started'!$E27),0,OFFSET(BO37,0,-1*'Get Started'!$H112)*'Get Started'!$H42),0)+IF(AND('Get Started'!$H111&lt;='Get Started'!$E27,'Get Started'!$G111&lt;&gt;0),IF(BO4&lt;'Get Started'!$H111,0,OFFSET(BO37,0,-1*'Get Started'!$H111)*'Get Started'!$G42),0)+IF(AND('Get Started'!$H110&lt;='Get Started'!$E27,'Get Started'!$G110&lt;&gt;0),IF(BO4&lt;'Get Started'!$H110,0,OFFSET(BO37,0,-1*'Get Started'!$H110)*'Get Started'!$F42),0)+IF(AND('Get Started'!$H109&lt;='Get Started'!$E27,'Get Started'!$G109&lt;&gt;0),IF(BO4&lt;'Get Started'!$H109,0,OFFSET(BO37,0,-1*'Get Started'!$H109)*'Get Started'!$E42*'Get Started'!$G109),0)</f>
        <v>0</v>
      </c>
      <c r="BP206" s="29">
        <f ca="1">IF(AND('Get Started'!$H112&lt;='Get Started'!$E27,'Get Started'!$G112&lt;&gt;0),IF(AND(BP4&lt;'Get Started'!$H112,'Get Started'!$H112&lt;='Get Started'!$E27),0,OFFSET(BP37,0,-1*'Get Started'!$H112)*'Get Started'!$H42),0)+IF(AND('Get Started'!$H111&lt;='Get Started'!$E27,'Get Started'!$G111&lt;&gt;0),IF(BP4&lt;'Get Started'!$H111,0,OFFSET(BP37,0,-1*'Get Started'!$H111)*'Get Started'!$G42),0)+IF(AND('Get Started'!$H110&lt;='Get Started'!$E27,'Get Started'!$G110&lt;&gt;0),IF(BP4&lt;'Get Started'!$H110,0,OFFSET(BP37,0,-1*'Get Started'!$H110)*'Get Started'!$F42),0)+IF(AND('Get Started'!$H109&lt;='Get Started'!$E27,'Get Started'!$G109&lt;&gt;0),IF(BP4&lt;'Get Started'!$H109,0,OFFSET(BP37,0,-1*'Get Started'!$H109)*'Get Started'!$E42*'Get Started'!$G109),0)</f>
        <v>0</v>
      </c>
      <c r="BQ206" s="29">
        <f ca="1">IF(AND('Get Started'!$H112&lt;='Get Started'!$E27,'Get Started'!$G112&lt;&gt;0),IF(AND(BQ4&lt;'Get Started'!$H112,'Get Started'!$H112&lt;='Get Started'!$E27),0,OFFSET(BQ37,0,-1*'Get Started'!$H112)*'Get Started'!$H42),0)+IF(AND('Get Started'!$H111&lt;='Get Started'!$E27,'Get Started'!$G111&lt;&gt;0),IF(BQ4&lt;'Get Started'!$H111,0,OFFSET(BQ37,0,-1*'Get Started'!$H111)*'Get Started'!$G42),0)+IF(AND('Get Started'!$H110&lt;='Get Started'!$E27,'Get Started'!$G110&lt;&gt;0),IF(BQ4&lt;'Get Started'!$H110,0,OFFSET(BQ37,0,-1*'Get Started'!$H110)*'Get Started'!$F42),0)+IF(AND('Get Started'!$H109&lt;='Get Started'!$E27,'Get Started'!$G109&lt;&gt;0),IF(BQ4&lt;'Get Started'!$H109,0,OFFSET(BQ37,0,-1*'Get Started'!$H109)*'Get Started'!$E42*'Get Started'!$G109),0)</f>
        <v>0</v>
      </c>
      <c r="BR206" s="29">
        <f ca="1">IF(AND('Get Started'!$H112&lt;='Get Started'!$E27,'Get Started'!$G112&lt;&gt;0),IF(AND(BR4&lt;'Get Started'!$H112,'Get Started'!$H112&lt;='Get Started'!$E27),0,OFFSET(BR37,0,-1*'Get Started'!$H112)*'Get Started'!$H42),0)+IF(AND('Get Started'!$H111&lt;='Get Started'!$E27,'Get Started'!$G111&lt;&gt;0),IF(BR4&lt;'Get Started'!$H111,0,OFFSET(BR37,0,-1*'Get Started'!$H111)*'Get Started'!$G42),0)+IF(AND('Get Started'!$H110&lt;='Get Started'!$E27,'Get Started'!$G110&lt;&gt;0),IF(BR4&lt;'Get Started'!$H110,0,OFFSET(BR37,0,-1*'Get Started'!$H110)*'Get Started'!$F42),0)+IF(AND('Get Started'!$H109&lt;='Get Started'!$E27,'Get Started'!$G109&lt;&gt;0),IF(BR4&lt;'Get Started'!$H109,0,OFFSET(BR37,0,-1*'Get Started'!$H109)*'Get Started'!$E42*'Get Started'!$G109),0)</f>
        <v>0</v>
      </c>
      <c r="BS206" s="29">
        <f ca="1">IF(AND('Get Started'!$H112&lt;='Get Started'!$E27,'Get Started'!$G112&lt;&gt;0),IF(AND(BS4&lt;'Get Started'!$H112,'Get Started'!$H112&lt;='Get Started'!$E27),0,OFFSET(BS37,0,-1*'Get Started'!$H112)*'Get Started'!$H42),0)+IF(AND('Get Started'!$H111&lt;='Get Started'!$E27,'Get Started'!$G111&lt;&gt;0),IF(BS4&lt;'Get Started'!$H111,0,OFFSET(BS37,0,-1*'Get Started'!$H111)*'Get Started'!$G42),0)+IF(AND('Get Started'!$H110&lt;='Get Started'!$E27,'Get Started'!$G110&lt;&gt;0),IF(BS4&lt;'Get Started'!$H110,0,OFFSET(BS37,0,-1*'Get Started'!$H110)*'Get Started'!$F42),0)+IF(AND('Get Started'!$H109&lt;='Get Started'!$E27,'Get Started'!$G109&lt;&gt;0),IF(BS4&lt;'Get Started'!$H109,0,OFFSET(BS37,0,-1*'Get Started'!$H109)*'Get Started'!$E42*'Get Started'!$G109),0)</f>
        <v>0</v>
      </c>
      <c r="BT206" s="29">
        <f ca="1">IF(AND('Get Started'!$H112&lt;='Get Started'!$E27,'Get Started'!$G112&lt;&gt;0),IF(AND(BT4&lt;'Get Started'!$H112,'Get Started'!$H112&lt;='Get Started'!$E27),0,OFFSET(BT37,0,-1*'Get Started'!$H112)*'Get Started'!$H42),0)+IF(AND('Get Started'!$H111&lt;='Get Started'!$E27,'Get Started'!$G111&lt;&gt;0),IF(BT4&lt;'Get Started'!$H111,0,OFFSET(BT37,0,-1*'Get Started'!$H111)*'Get Started'!$G42),0)+IF(AND('Get Started'!$H110&lt;='Get Started'!$E27,'Get Started'!$G110&lt;&gt;0),IF(BT4&lt;'Get Started'!$H110,0,OFFSET(BT37,0,-1*'Get Started'!$H110)*'Get Started'!$F42),0)+IF(AND('Get Started'!$H109&lt;='Get Started'!$E27,'Get Started'!$G109&lt;&gt;0),IF(BT4&lt;'Get Started'!$H109,0,OFFSET(BT37,0,-1*'Get Started'!$H109)*'Get Started'!$E42*'Get Started'!$G109),0)</f>
        <v>0</v>
      </c>
      <c r="BU206" s="29">
        <f ca="1">IF(AND('Get Started'!$H112&lt;='Get Started'!$E27,'Get Started'!$G112&lt;&gt;0),IF(AND(BU4&lt;'Get Started'!$H112,'Get Started'!$H112&lt;='Get Started'!$E27),0,OFFSET(BU37,0,-1*'Get Started'!$H112)*'Get Started'!$H42),0)+IF(AND('Get Started'!$H111&lt;='Get Started'!$E27,'Get Started'!$G111&lt;&gt;0),IF(BU4&lt;'Get Started'!$H111,0,OFFSET(BU37,0,-1*'Get Started'!$H111)*'Get Started'!$G42),0)+IF(AND('Get Started'!$H110&lt;='Get Started'!$E27,'Get Started'!$G110&lt;&gt;0),IF(BU4&lt;'Get Started'!$H110,0,OFFSET(BU37,0,-1*'Get Started'!$H110)*'Get Started'!$F42),0)+IF(AND('Get Started'!$H109&lt;='Get Started'!$E27,'Get Started'!$G109&lt;&gt;0),IF(BU4&lt;'Get Started'!$H109,0,OFFSET(BU37,0,-1*'Get Started'!$H109)*'Get Started'!$E42*'Get Started'!$G109),0)</f>
        <v>0</v>
      </c>
      <c r="BV206" s="29">
        <f ca="1">IF(AND('Get Started'!$H112&lt;='Get Started'!$E27,'Get Started'!$G112&lt;&gt;0),IF(AND(BV4&lt;'Get Started'!$H112,'Get Started'!$H112&lt;='Get Started'!$E27),0,OFFSET(BV37,0,-1*'Get Started'!$H112)*'Get Started'!$H42),0)+IF(AND('Get Started'!$H111&lt;='Get Started'!$E27,'Get Started'!$G111&lt;&gt;0),IF(BV4&lt;'Get Started'!$H111,0,OFFSET(BV37,0,-1*'Get Started'!$H111)*'Get Started'!$G42),0)+IF(AND('Get Started'!$H110&lt;='Get Started'!$E27,'Get Started'!$G110&lt;&gt;0),IF(BV4&lt;'Get Started'!$H110,0,OFFSET(BV37,0,-1*'Get Started'!$H110)*'Get Started'!$F42),0)+IF(AND('Get Started'!$H109&lt;='Get Started'!$E27,'Get Started'!$G109&lt;&gt;0),IF(BV4&lt;'Get Started'!$H109,0,OFFSET(BV37,0,-1*'Get Started'!$H109)*'Get Started'!$E42*'Get Started'!$G109),0)</f>
        <v>0</v>
      </c>
      <c r="BW206" s="29">
        <f ca="1">IF(AND('Get Started'!$H112&lt;='Get Started'!$E27,'Get Started'!$G112&lt;&gt;0),IF(AND(BW4&lt;'Get Started'!$H112,'Get Started'!$H112&lt;='Get Started'!$E27),0,OFFSET(BW37,0,-1*'Get Started'!$H112)*'Get Started'!$H42),0)+IF(AND('Get Started'!$H111&lt;='Get Started'!$E27,'Get Started'!$G111&lt;&gt;0),IF(BW4&lt;'Get Started'!$H111,0,OFFSET(BW37,0,-1*'Get Started'!$H111)*'Get Started'!$G42),0)+IF(AND('Get Started'!$H110&lt;='Get Started'!$E27,'Get Started'!$G110&lt;&gt;0),IF(BW4&lt;'Get Started'!$H110,0,OFFSET(BW37,0,-1*'Get Started'!$H110)*'Get Started'!$F42),0)+IF(AND('Get Started'!$H109&lt;='Get Started'!$E27,'Get Started'!$G109&lt;&gt;0),IF(BW4&lt;'Get Started'!$H109,0,OFFSET(BW37,0,-1*'Get Started'!$H109)*'Get Started'!$E42*'Get Started'!$G109),0)</f>
        <v>0</v>
      </c>
      <c r="BX206" s="29">
        <f ca="1">IF(AND('Get Started'!$H112&lt;='Get Started'!$E27,'Get Started'!$G112&lt;&gt;0),IF(AND(BX4&lt;'Get Started'!$H112,'Get Started'!$H112&lt;='Get Started'!$E27),0,OFFSET(BX37,0,-1*'Get Started'!$H112)*'Get Started'!$H42),0)+IF(AND('Get Started'!$H111&lt;='Get Started'!$E27,'Get Started'!$G111&lt;&gt;0),IF(BX4&lt;'Get Started'!$H111,0,OFFSET(BX37,0,-1*'Get Started'!$H111)*'Get Started'!$G42),0)+IF(AND('Get Started'!$H110&lt;='Get Started'!$E27,'Get Started'!$G110&lt;&gt;0),IF(BX4&lt;'Get Started'!$H110,0,OFFSET(BX37,0,-1*'Get Started'!$H110)*'Get Started'!$F42),0)+IF(AND('Get Started'!$H109&lt;='Get Started'!$E27,'Get Started'!$G109&lt;&gt;0),IF(BX4&lt;'Get Started'!$H109,0,OFFSET(BX37,0,-1*'Get Started'!$H109)*'Get Started'!$E42*'Get Started'!$G109),0)</f>
        <v>0</v>
      </c>
      <c r="BY206" s="29">
        <f ca="1">IF(AND('Get Started'!$H112&lt;='Get Started'!$E27,'Get Started'!$G112&lt;&gt;0),IF(AND(BY4&lt;'Get Started'!$H112,'Get Started'!$H112&lt;='Get Started'!$E27),0,OFFSET(BY37,0,-1*'Get Started'!$H112)*'Get Started'!$H42),0)+IF(AND('Get Started'!$H111&lt;='Get Started'!$E27,'Get Started'!$G111&lt;&gt;0),IF(BY4&lt;'Get Started'!$H111,0,OFFSET(BY37,0,-1*'Get Started'!$H111)*'Get Started'!$G42),0)+IF(AND('Get Started'!$H110&lt;='Get Started'!$E27,'Get Started'!$G110&lt;&gt;0),IF(BY4&lt;'Get Started'!$H110,0,OFFSET(BY37,0,-1*'Get Started'!$H110)*'Get Started'!$F42),0)+IF(AND('Get Started'!$H109&lt;='Get Started'!$E27,'Get Started'!$G109&lt;&gt;0),IF(BY4&lt;'Get Started'!$H109,0,OFFSET(BY37,0,-1*'Get Started'!$H109)*'Get Started'!$E42*'Get Started'!$G109),0)</f>
        <v>0</v>
      </c>
      <c r="BZ206" s="29">
        <f ca="1">IF(AND('Get Started'!$H112&lt;='Get Started'!$E27,'Get Started'!$G112&lt;&gt;0),IF(AND(BZ4&lt;'Get Started'!$H112,'Get Started'!$H112&lt;='Get Started'!$E27),0,OFFSET(BZ37,0,-1*'Get Started'!$H112)*'Get Started'!$H42),0)+IF(AND('Get Started'!$H111&lt;='Get Started'!$E27,'Get Started'!$G111&lt;&gt;0),IF(BZ4&lt;'Get Started'!$H111,0,OFFSET(BZ37,0,-1*'Get Started'!$H111)*'Get Started'!$G42),0)+IF(AND('Get Started'!$H110&lt;='Get Started'!$E27,'Get Started'!$G110&lt;&gt;0),IF(BZ4&lt;'Get Started'!$H110,0,OFFSET(BZ37,0,-1*'Get Started'!$H110)*'Get Started'!$F42),0)+IF(AND('Get Started'!$H109&lt;='Get Started'!$E27,'Get Started'!$G109&lt;&gt;0),IF(BZ4&lt;'Get Started'!$H109,0,OFFSET(BZ37,0,-1*'Get Started'!$H109)*'Get Started'!$E42*'Get Started'!$G109),0)</f>
        <v>0</v>
      </c>
      <c r="CA206" s="29">
        <f ca="1">IF(AND('Get Started'!$H112&lt;='Get Started'!$E27,'Get Started'!$G112&lt;&gt;0),IF(AND(CA4&lt;'Get Started'!$H112,'Get Started'!$H112&lt;='Get Started'!$E27),0,OFFSET(CA37,0,-1*'Get Started'!$H112)*'Get Started'!$H42),0)+IF(AND('Get Started'!$H111&lt;='Get Started'!$E27,'Get Started'!$G111&lt;&gt;0),IF(CA4&lt;'Get Started'!$H111,0,OFFSET(CA37,0,-1*'Get Started'!$H111)*'Get Started'!$G42),0)+IF(AND('Get Started'!$H110&lt;='Get Started'!$E27,'Get Started'!$G110&lt;&gt;0),IF(CA4&lt;'Get Started'!$H110,0,OFFSET(CA37,0,-1*'Get Started'!$H110)*'Get Started'!$F42),0)+IF(AND('Get Started'!$H109&lt;='Get Started'!$E27,'Get Started'!$G109&lt;&gt;0),IF(CA4&lt;'Get Started'!$H109,0,OFFSET(CA37,0,-1*'Get Started'!$H109)*'Get Started'!$E42*'Get Started'!$G109),0)</f>
        <v>0</v>
      </c>
      <c r="CB206" s="29">
        <f ca="1">IF(AND('Get Started'!$H112&lt;='Get Started'!$E27,'Get Started'!$G112&lt;&gt;0),IF(AND(CB4&lt;'Get Started'!$H112,'Get Started'!$H112&lt;='Get Started'!$E27),0,OFFSET(CB37,0,-1*'Get Started'!$H112)*'Get Started'!$H42),0)+IF(AND('Get Started'!$H111&lt;='Get Started'!$E27,'Get Started'!$G111&lt;&gt;0),IF(CB4&lt;'Get Started'!$H111,0,OFFSET(CB37,0,-1*'Get Started'!$H111)*'Get Started'!$G42),0)+IF(AND('Get Started'!$H110&lt;='Get Started'!$E27,'Get Started'!$G110&lt;&gt;0),IF(CB4&lt;'Get Started'!$H110,0,OFFSET(CB37,0,-1*'Get Started'!$H110)*'Get Started'!$F42),0)+IF(AND('Get Started'!$H109&lt;='Get Started'!$E27,'Get Started'!$G109&lt;&gt;0),IF(CB4&lt;'Get Started'!$H109,0,OFFSET(CB37,0,-1*'Get Started'!$H109)*'Get Started'!$E42*'Get Started'!$G109),0)</f>
        <v>0</v>
      </c>
      <c r="CC206" s="29">
        <f ca="1">IF(AND('Get Started'!$H112&lt;='Get Started'!$E27,'Get Started'!$G112&lt;&gt;0),IF(AND(CC4&lt;'Get Started'!$H112,'Get Started'!$H112&lt;='Get Started'!$E27),0,OFFSET(CC37,0,-1*'Get Started'!$H112)*'Get Started'!$H42),0)+IF(AND('Get Started'!$H111&lt;='Get Started'!$E27,'Get Started'!$G111&lt;&gt;0),IF(CC4&lt;'Get Started'!$H111,0,OFFSET(CC37,0,-1*'Get Started'!$H111)*'Get Started'!$G42),0)+IF(AND('Get Started'!$H110&lt;='Get Started'!$E27,'Get Started'!$G110&lt;&gt;0),IF(CC4&lt;'Get Started'!$H110,0,OFFSET(CC37,0,-1*'Get Started'!$H110)*'Get Started'!$F42),0)+IF(AND('Get Started'!$H109&lt;='Get Started'!$E27,'Get Started'!$G109&lt;&gt;0),IF(CC4&lt;'Get Started'!$H109,0,OFFSET(CC37,0,-1*'Get Started'!$H109)*'Get Started'!$E42*'Get Started'!$G109),0)</f>
        <v>0</v>
      </c>
      <c r="CD206" s="29">
        <f ca="1">IF(AND('Get Started'!$H112&lt;='Get Started'!$E27,'Get Started'!$G112&lt;&gt;0),IF(AND(CD4&lt;'Get Started'!$H112,'Get Started'!$H112&lt;='Get Started'!$E27),0,OFFSET(CD37,0,-1*'Get Started'!$H112)*'Get Started'!$H42),0)+IF(AND('Get Started'!$H111&lt;='Get Started'!$E27,'Get Started'!$G111&lt;&gt;0),IF(CD4&lt;'Get Started'!$H111,0,OFFSET(CD37,0,-1*'Get Started'!$H111)*'Get Started'!$G42),0)+IF(AND('Get Started'!$H110&lt;='Get Started'!$E27,'Get Started'!$G110&lt;&gt;0),IF(CD4&lt;'Get Started'!$H110,0,OFFSET(CD37,0,-1*'Get Started'!$H110)*'Get Started'!$F42),0)+IF(AND('Get Started'!$H109&lt;='Get Started'!$E27,'Get Started'!$G109&lt;&gt;0),IF(CD4&lt;'Get Started'!$H109,0,OFFSET(CD37,0,-1*'Get Started'!$H109)*'Get Started'!$E42*'Get Started'!$G109),0)</f>
        <v>0</v>
      </c>
      <c r="CE206" s="29">
        <f ca="1">IF(AND('Get Started'!$H112&lt;='Get Started'!$E27,'Get Started'!$G112&lt;&gt;0),IF(AND(CE4&lt;'Get Started'!$H112,'Get Started'!$H112&lt;='Get Started'!$E27),0,OFFSET(CE37,0,-1*'Get Started'!$H112)*'Get Started'!$H42),0)+IF(AND('Get Started'!$H111&lt;='Get Started'!$E27,'Get Started'!$G111&lt;&gt;0),IF(CE4&lt;'Get Started'!$H111,0,OFFSET(CE37,0,-1*'Get Started'!$H111)*'Get Started'!$G42),0)+IF(AND('Get Started'!$H110&lt;='Get Started'!$E27,'Get Started'!$G110&lt;&gt;0),IF(CE4&lt;'Get Started'!$H110,0,OFFSET(CE37,0,-1*'Get Started'!$H110)*'Get Started'!$F42),0)+IF(AND('Get Started'!$H109&lt;='Get Started'!$E27,'Get Started'!$G109&lt;&gt;0),IF(CE4&lt;'Get Started'!$H109,0,OFFSET(CE37,0,-1*'Get Started'!$H109)*'Get Started'!$E42*'Get Started'!$G109),0)</f>
        <v>0</v>
      </c>
      <c r="CF206" s="29">
        <f ca="1">IF(AND('Get Started'!$H112&lt;='Get Started'!$E27,'Get Started'!$G112&lt;&gt;0),IF(AND(CF4&lt;'Get Started'!$H112,'Get Started'!$H112&lt;='Get Started'!$E27),0,OFFSET(CF37,0,-1*'Get Started'!$H112)*'Get Started'!$H42),0)+IF(AND('Get Started'!$H111&lt;='Get Started'!$E27,'Get Started'!$G111&lt;&gt;0),IF(CF4&lt;'Get Started'!$H111,0,OFFSET(CF37,0,-1*'Get Started'!$H111)*'Get Started'!$G42),0)+IF(AND('Get Started'!$H110&lt;='Get Started'!$E27,'Get Started'!$G110&lt;&gt;0),IF(CF4&lt;'Get Started'!$H110,0,OFFSET(CF37,0,-1*'Get Started'!$H110)*'Get Started'!$F42),0)+IF(AND('Get Started'!$H109&lt;='Get Started'!$E27,'Get Started'!$G109&lt;&gt;0),IF(CF4&lt;'Get Started'!$H109,0,OFFSET(CF37,0,-1*'Get Started'!$H109)*'Get Started'!$E42*'Get Started'!$G109),0)</f>
        <v>0</v>
      </c>
      <c r="CG206" s="29">
        <f ca="1">IF(AND('Get Started'!$H112&lt;='Get Started'!$E27,'Get Started'!$G112&lt;&gt;0),IF(AND(CG4&lt;'Get Started'!$H112,'Get Started'!$H112&lt;='Get Started'!$E27),0,OFFSET(CG37,0,-1*'Get Started'!$H112)*'Get Started'!$H42),0)+IF(AND('Get Started'!$H111&lt;='Get Started'!$E27,'Get Started'!$G111&lt;&gt;0),IF(CG4&lt;'Get Started'!$H111,0,OFFSET(CG37,0,-1*'Get Started'!$H111)*'Get Started'!$G42),0)+IF(AND('Get Started'!$H110&lt;='Get Started'!$E27,'Get Started'!$G110&lt;&gt;0),IF(CG4&lt;'Get Started'!$H110,0,OFFSET(CG37,0,-1*'Get Started'!$H110)*'Get Started'!$F42),0)+IF(AND('Get Started'!$H109&lt;='Get Started'!$E27,'Get Started'!$G109&lt;&gt;0),IF(CG4&lt;'Get Started'!$H109,0,OFFSET(CG37,0,-1*'Get Started'!$H109)*'Get Started'!$E42*'Get Started'!$G109),0)</f>
        <v>0</v>
      </c>
      <c r="CH206" s="29">
        <f ca="1">IF(AND('Get Started'!$H112&lt;='Get Started'!$E27,'Get Started'!$G112&lt;&gt;0),IF(AND(CH4&lt;'Get Started'!$H112,'Get Started'!$H112&lt;='Get Started'!$E27),0,OFFSET(CH37,0,-1*'Get Started'!$H112)*'Get Started'!$H42),0)+IF(AND('Get Started'!$H111&lt;='Get Started'!$E27,'Get Started'!$G111&lt;&gt;0),IF(CH4&lt;'Get Started'!$H111,0,OFFSET(CH37,0,-1*'Get Started'!$H111)*'Get Started'!$G42),0)+IF(AND('Get Started'!$H110&lt;='Get Started'!$E27,'Get Started'!$G110&lt;&gt;0),IF(CH4&lt;'Get Started'!$H110,0,OFFSET(CH37,0,-1*'Get Started'!$H110)*'Get Started'!$F42),0)+IF(AND('Get Started'!$H109&lt;='Get Started'!$E27,'Get Started'!$G109&lt;&gt;0),IF(CH4&lt;'Get Started'!$H109,0,OFFSET(CH37,0,-1*'Get Started'!$H109)*'Get Started'!$E42*'Get Started'!$G109),0)</f>
        <v>0</v>
      </c>
    </row>
    <row r="207" spans="2:86" ht="13" outlineLevel="1">
      <c r="B207" s="13" t="s">
        <v>317</v>
      </c>
      <c r="C207" s="15"/>
      <c r="D207" s="15" t="s">
        <v>238</v>
      </c>
      <c r="E207" s="29">
        <f t="shared" ca="1" si="168"/>
        <v>962500</v>
      </c>
      <c r="F207" s="86"/>
      <c r="G207" s="29">
        <f ca="1">IF('Get Started'!$E28="invested capital",G206,IF('Get Started'!$E28="invested capital plus cost basis",G205,G204))*G11</f>
        <v>0</v>
      </c>
      <c r="H207" s="29">
        <f ca="1">IF('Get Started'!$E28="invested capital",H206,IF('Get Started'!$E28="invested capital plus cost basis",H205,H204))*H11</f>
        <v>0</v>
      </c>
      <c r="I207" s="29">
        <f ca="1">IF('Get Started'!$E28="invested capital",I206,IF('Get Started'!$E28="invested capital plus cost basis",I205,I204))*I11</f>
        <v>0</v>
      </c>
      <c r="J207" s="29">
        <f ca="1">IF('Get Started'!$E28="invested capital",J206,IF('Get Started'!$E28="invested capital plus cost basis",J205,J204))*J11</f>
        <v>0</v>
      </c>
      <c r="K207" s="29">
        <f ca="1">IF('Get Started'!$E28="invested capital",K206,IF('Get Started'!$E28="invested capital plus cost basis",K205,K204))*K11</f>
        <v>0</v>
      </c>
      <c r="L207" s="29">
        <f ca="1">IF('Get Started'!$E28="invested capital",L206,IF('Get Started'!$E28="invested capital plus cost basis",L205,L204))*L11</f>
        <v>0</v>
      </c>
      <c r="M207" s="29">
        <f ca="1">IF('Get Started'!$E28="invested capital",M206,IF('Get Started'!$E28="invested capital plus cost basis",M205,M204))*M11</f>
        <v>0</v>
      </c>
      <c r="N207" s="29">
        <f ca="1">IF('Get Started'!$E28="invested capital",N206,IF('Get Started'!$E28="invested capital plus cost basis",N205,N204))*N11</f>
        <v>0</v>
      </c>
      <c r="O207" s="29">
        <f ca="1">IF('Get Started'!$E28="invested capital",O206,IF('Get Started'!$E28="invested capital plus cost basis",O205,O204))*O11</f>
        <v>0</v>
      </c>
      <c r="P207" s="29">
        <f ca="1">IF('Get Started'!$E28="invested capital",P206,IF('Get Started'!$E28="invested capital plus cost basis",P205,P204))*P11</f>
        <v>0</v>
      </c>
      <c r="Q207" s="29">
        <f ca="1">IF('Get Started'!$E28="invested capital",Q206,IF('Get Started'!$E28="invested capital plus cost basis",Q205,Q204))*Q11</f>
        <v>0</v>
      </c>
      <c r="R207" s="29">
        <f ca="1">IF('Get Started'!$E28="invested capital",R206,IF('Get Started'!$E28="invested capital plus cost basis",R205,R204))*R11</f>
        <v>0</v>
      </c>
      <c r="S207" s="29">
        <f ca="1">IF('Get Started'!$E28="invested capital",S206,IF('Get Started'!$E28="invested capital plus cost basis",S205,S204))*S11</f>
        <v>240625</v>
      </c>
      <c r="T207" s="29">
        <f ca="1">IF('Get Started'!$E28="invested capital",T206,IF('Get Started'!$E28="invested capital plus cost basis",T205,T204))*T11</f>
        <v>240625</v>
      </c>
      <c r="U207" s="29">
        <f ca="1">IF('Get Started'!$E28="invested capital",U206,IF('Get Started'!$E28="invested capital plus cost basis",U205,U204))*U11</f>
        <v>240625</v>
      </c>
      <c r="V207" s="29">
        <f ca="1">IF('Get Started'!$E28="invested capital",V206,IF('Get Started'!$E28="invested capital plus cost basis",V205,V204))*V11</f>
        <v>240625</v>
      </c>
      <c r="W207" s="29">
        <f ca="1">IF('Get Started'!$E28="invested capital",W206,IF('Get Started'!$E28="invested capital plus cost basis",W205,W204))*W11</f>
        <v>0</v>
      </c>
      <c r="X207" s="29">
        <f ca="1">IF('Get Started'!$E28="invested capital",X206,IF('Get Started'!$E28="invested capital plus cost basis",X205,X204))*X11</f>
        <v>0</v>
      </c>
      <c r="Y207" s="29">
        <f ca="1">IF('Get Started'!$E28="invested capital",Y206,IF('Get Started'!$E28="invested capital plus cost basis",Y205,Y204))*Y11</f>
        <v>0</v>
      </c>
      <c r="Z207" s="29">
        <f ca="1">IF('Get Started'!$E28="invested capital",Z206,IF('Get Started'!$E28="invested capital plus cost basis",Z205,Z204))*Z11</f>
        <v>0</v>
      </c>
      <c r="AA207" s="29">
        <f ca="1">IF('Get Started'!$E28="invested capital",AA206,IF('Get Started'!$E28="invested capital plus cost basis",AA205,AA204))*AA11</f>
        <v>0</v>
      </c>
      <c r="AB207" s="29">
        <f ca="1">IF('Get Started'!$E28="invested capital",AB206,IF('Get Started'!$E28="invested capital plus cost basis",AB205,AB204))*AB11</f>
        <v>0</v>
      </c>
      <c r="AC207" s="29">
        <f ca="1">IF('Get Started'!$E28="invested capital",AC206,IF('Get Started'!$E28="invested capital plus cost basis",AC205,AC204))*AC11</f>
        <v>0</v>
      </c>
      <c r="AD207" s="29">
        <f ca="1">IF('Get Started'!$E28="invested capital",AD206,IF('Get Started'!$E28="invested capital plus cost basis",AD205,AD204))*AD11</f>
        <v>0</v>
      </c>
      <c r="AE207" s="29">
        <f ca="1">IF('Get Started'!$E28="invested capital",AE206,IF('Get Started'!$E28="invested capital plus cost basis",AE205,AE204))*AE11</f>
        <v>0</v>
      </c>
      <c r="AF207" s="29">
        <f ca="1">IF('Get Started'!$E28="invested capital",AF206,IF('Get Started'!$E28="invested capital plus cost basis",AF205,AF204))*AF11</f>
        <v>0</v>
      </c>
      <c r="AG207" s="29">
        <f ca="1">IF('Get Started'!$E28="invested capital",AG206,IF('Get Started'!$E28="invested capital plus cost basis",AG205,AG204))*AG11</f>
        <v>0</v>
      </c>
      <c r="AH207" s="29">
        <f ca="1">IF('Get Started'!$E28="invested capital",AH206,IF('Get Started'!$E28="invested capital plus cost basis",AH205,AH204))*AH11</f>
        <v>0</v>
      </c>
      <c r="AI207" s="29">
        <f ca="1">IF('Get Started'!$E28="invested capital",AI206,IF('Get Started'!$E28="invested capital plus cost basis",AI205,AI204))*AI11</f>
        <v>0</v>
      </c>
      <c r="AJ207" s="29">
        <f ca="1">IF('Get Started'!$E28="invested capital",AJ206,IF('Get Started'!$E28="invested capital plus cost basis",AJ205,AJ204))*AJ11</f>
        <v>0</v>
      </c>
      <c r="AK207" s="29">
        <f ca="1">IF('Get Started'!$E28="invested capital",AK206,IF('Get Started'!$E28="invested capital plus cost basis",AK205,AK204))*AK11</f>
        <v>0</v>
      </c>
      <c r="AL207" s="29">
        <f ca="1">IF('Get Started'!$E28="invested capital",AL206,IF('Get Started'!$E28="invested capital plus cost basis",AL205,AL204))*AL11</f>
        <v>0</v>
      </c>
      <c r="AM207" s="29">
        <f ca="1">IF('Get Started'!$E28="invested capital",AM206,IF('Get Started'!$E28="invested capital plus cost basis",AM205,AM204))*AM11</f>
        <v>0</v>
      </c>
      <c r="AN207" s="29">
        <f ca="1">IF('Get Started'!$E28="invested capital",AN206,IF('Get Started'!$E28="invested capital plus cost basis",AN205,AN204))*AN11</f>
        <v>0</v>
      </c>
      <c r="AO207" s="29">
        <f ca="1">IF('Get Started'!$E28="invested capital",AO206,IF('Get Started'!$E28="invested capital plus cost basis",AO205,AO204))*AO11</f>
        <v>0</v>
      </c>
      <c r="AP207" s="29">
        <f ca="1">IF('Get Started'!$E28="invested capital",AP206,IF('Get Started'!$E28="invested capital plus cost basis",AP205,AP204))*AP11</f>
        <v>0</v>
      </c>
      <c r="AQ207" s="29">
        <f ca="1">IF('Get Started'!$E28="invested capital",AQ206,IF('Get Started'!$E28="invested capital plus cost basis",AQ205,AQ204))*AQ11</f>
        <v>0</v>
      </c>
      <c r="AR207" s="29">
        <f ca="1">IF('Get Started'!$E28="invested capital",AR206,IF('Get Started'!$E28="invested capital plus cost basis",AR205,AR204))*AR11</f>
        <v>0</v>
      </c>
      <c r="AS207" s="29">
        <f ca="1">IF('Get Started'!$E28="invested capital",AS206,IF('Get Started'!$E28="invested capital plus cost basis",AS205,AS204))*AS11</f>
        <v>0</v>
      </c>
      <c r="AT207" s="29">
        <f ca="1">IF('Get Started'!$E28="invested capital",AT206,IF('Get Started'!$E28="invested capital plus cost basis",AT205,AT204))*AT11</f>
        <v>0</v>
      </c>
      <c r="AU207" s="29">
        <f ca="1">IF('Get Started'!$E28="invested capital",AU206,IF('Get Started'!$E28="invested capital plus cost basis",AU205,AU204))*AU11</f>
        <v>0</v>
      </c>
      <c r="AV207" s="29">
        <f ca="1">IF('Get Started'!$E28="invested capital",AV206,IF('Get Started'!$E28="invested capital plus cost basis",AV205,AV204))*AV11</f>
        <v>0</v>
      </c>
      <c r="AW207" s="29">
        <f ca="1">IF('Get Started'!$E28="invested capital",AW206,IF('Get Started'!$E28="invested capital plus cost basis",AW205,AW204))*AW11</f>
        <v>0</v>
      </c>
      <c r="AX207" s="29">
        <f ca="1">IF('Get Started'!$E28="invested capital",AX206,IF('Get Started'!$E28="invested capital plus cost basis",AX205,AX204))*AX11</f>
        <v>0</v>
      </c>
      <c r="AY207" s="29">
        <f ca="1">IF('Get Started'!$E28="invested capital",AY206,IF('Get Started'!$E28="invested capital plus cost basis",AY205,AY204))*AY11</f>
        <v>0</v>
      </c>
      <c r="AZ207" s="29">
        <f ca="1">IF('Get Started'!$E28="invested capital",AZ206,IF('Get Started'!$E28="invested capital plus cost basis",AZ205,AZ204))*AZ11</f>
        <v>0</v>
      </c>
      <c r="BA207" s="29">
        <f ca="1">IF('Get Started'!$E28="invested capital",BA206,IF('Get Started'!$E28="invested capital plus cost basis",BA205,BA204))*BA11</f>
        <v>0</v>
      </c>
      <c r="BB207" s="29">
        <f ca="1">IF('Get Started'!$E28="invested capital",BB206,IF('Get Started'!$E28="invested capital plus cost basis",BB205,BB204))*BB11</f>
        <v>0</v>
      </c>
      <c r="BC207" s="29">
        <f ca="1">IF('Get Started'!$E28="invested capital",BC206,IF('Get Started'!$E28="invested capital plus cost basis",BC205,BC204))*BC11</f>
        <v>0</v>
      </c>
      <c r="BD207" s="29">
        <f ca="1">IF('Get Started'!$E28="invested capital",BD206,IF('Get Started'!$E28="invested capital plus cost basis",BD205,BD204))*BD11</f>
        <v>0</v>
      </c>
      <c r="BE207" s="29">
        <f ca="1">IF('Get Started'!$E28="invested capital",BE206,IF('Get Started'!$E28="invested capital plus cost basis",BE205,BE204))*BE11</f>
        <v>0</v>
      </c>
      <c r="BF207" s="29">
        <f ca="1">IF('Get Started'!$E28="invested capital",BF206,IF('Get Started'!$E28="invested capital plus cost basis",BF205,BF204))*BF11</f>
        <v>0</v>
      </c>
      <c r="BG207" s="29">
        <f ca="1">IF('Get Started'!$E28="invested capital",BG206,IF('Get Started'!$E28="invested capital plus cost basis",BG205,BG204))*BG11</f>
        <v>0</v>
      </c>
      <c r="BH207" s="29">
        <f ca="1">IF('Get Started'!$E28="invested capital",BH206,IF('Get Started'!$E28="invested capital plus cost basis",BH205,BH204))*BH11</f>
        <v>0</v>
      </c>
      <c r="BI207" s="29">
        <f ca="1">IF('Get Started'!$E28="invested capital",BI206,IF('Get Started'!$E28="invested capital plus cost basis",BI205,BI204))*BI11</f>
        <v>0</v>
      </c>
      <c r="BJ207" s="29">
        <f ca="1">IF('Get Started'!$E28="invested capital",BJ206,IF('Get Started'!$E28="invested capital plus cost basis",BJ205,BJ204))*BJ11</f>
        <v>0</v>
      </c>
      <c r="BK207" s="29">
        <f ca="1">IF('Get Started'!$E28="invested capital",BK206,IF('Get Started'!$E28="invested capital plus cost basis",BK205,BK204))*BK11</f>
        <v>0</v>
      </c>
      <c r="BL207" s="29">
        <f ca="1">IF('Get Started'!$E28="invested capital",BL206,IF('Get Started'!$E28="invested capital plus cost basis",BL205,BL204))*BL11</f>
        <v>0</v>
      </c>
      <c r="BM207" s="29">
        <f ca="1">IF('Get Started'!$E28="invested capital",BM206,IF('Get Started'!$E28="invested capital plus cost basis",BM205,BM204))*BM11</f>
        <v>0</v>
      </c>
      <c r="BN207" s="29">
        <f ca="1">IF('Get Started'!$E28="invested capital",BN206,IF('Get Started'!$E28="invested capital plus cost basis",BN205,BN204))*BN11</f>
        <v>0</v>
      </c>
      <c r="BO207" s="29">
        <f ca="1">IF('Get Started'!$E28="invested capital",BO206,IF('Get Started'!$E28="invested capital plus cost basis",BO205,BO204))*BO11</f>
        <v>0</v>
      </c>
      <c r="BP207" s="29">
        <f ca="1">IF('Get Started'!$E28="invested capital",BP206,IF('Get Started'!$E28="invested capital plus cost basis",BP205,BP204))*BP11</f>
        <v>0</v>
      </c>
      <c r="BQ207" s="29">
        <f ca="1">IF('Get Started'!$E28="invested capital",BQ206,IF('Get Started'!$E28="invested capital plus cost basis",BQ205,BQ204))*BQ11</f>
        <v>0</v>
      </c>
      <c r="BR207" s="29">
        <f ca="1">IF('Get Started'!$E28="invested capital",BR206,IF('Get Started'!$E28="invested capital plus cost basis",BR205,BR204))*BR11</f>
        <v>0</v>
      </c>
      <c r="BS207" s="29">
        <f ca="1">IF('Get Started'!$E28="invested capital",BS206,IF('Get Started'!$E28="invested capital plus cost basis",BS205,BS204))*BS11</f>
        <v>0</v>
      </c>
      <c r="BT207" s="29">
        <f ca="1">IF('Get Started'!$E28="invested capital",BT206,IF('Get Started'!$E28="invested capital plus cost basis",BT205,BT204))*BT11</f>
        <v>0</v>
      </c>
      <c r="BU207" s="29">
        <f ca="1">IF('Get Started'!$E28="invested capital",BU206,IF('Get Started'!$E28="invested capital plus cost basis",BU205,BU204))*BU11</f>
        <v>0</v>
      </c>
      <c r="BV207" s="29">
        <f ca="1">IF('Get Started'!$E28="invested capital",BV206,IF('Get Started'!$E28="invested capital plus cost basis",BV205,BV204))*BV11</f>
        <v>0</v>
      </c>
      <c r="BW207" s="29">
        <f ca="1">IF('Get Started'!$E28="invested capital",BW206,IF('Get Started'!$E28="invested capital plus cost basis",BW205,BW204))*BW11</f>
        <v>0</v>
      </c>
      <c r="BX207" s="29">
        <f ca="1">IF('Get Started'!$E28="invested capital",BX206,IF('Get Started'!$E28="invested capital plus cost basis",BX205,BX204))*BX11</f>
        <v>0</v>
      </c>
      <c r="BY207" s="29">
        <f ca="1">IF('Get Started'!$E28="invested capital",BY206,IF('Get Started'!$E28="invested capital plus cost basis",BY205,BY204))*BY11</f>
        <v>0</v>
      </c>
      <c r="BZ207" s="29">
        <f ca="1">IF('Get Started'!$E28="invested capital",BZ206,IF('Get Started'!$E28="invested capital plus cost basis",BZ205,BZ204))*BZ11</f>
        <v>0</v>
      </c>
      <c r="CA207" s="29">
        <f ca="1">IF('Get Started'!$E28="invested capital",CA206,IF('Get Started'!$E28="invested capital plus cost basis",CA205,CA204))*CA11</f>
        <v>0</v>
      </c>
      <c r="CB207" s="29">
        <f ca="1">IF('Get Started'!$E28="invested capital",CB206,IF('Get Started'!$E28="invested capital plus cost basis",CB205,CB204))*CB11</f>
        <v>0</v>
      </c>
      <c r="CC207" s="29">
        <f ca="1">IF('Get Started'!$E28="invested capital",CC206,IF('Get Started'!$E28="invested capital plus cost basis",CC205,CC204))*CC11</f>
        <v>0</v>
      </c>
      <c r="CD207" s="29">
        <f ca="1">IF('Get Started'!$E28="invested capital",CD206,IF('Get Started'!$E28="invested capital plus cost basis",CD205,CD204))*CD11</f>
        <v>0</v>
      </c>
      <c r="CE207" s="29">
        <f ca="1">IF('Get Started'!$E28="invested capital",CE206,IF('Get Started'!$E28="invested capital plus cost basis",CE205,CE204))*CE11</f>
        <v>0</v>
      </c>
      <c r="CF207" s="29">
        <f ca="1">IF('Get Started'!$E28="invested capital",CF206,IF('Get Started'!$E28="invested capital plus cost basis",CF205,CF204))*CF11</f>
        <v>0</v>
      </c>
      <c r="CG207" s="29">
        <f ca="1">IF('Get Started'!$E28="invested capital",CG206,IF('Get Started'!$E28="invested capital plus cost basis",CG205,CG204))*CG11</f>
        <v>0</v>
      </c>
      <c r="CH207" s="29">
        <f ca="1">IF('Get Started'!$E28="invested capital",CH206,IF('Get Started'!$E28="invested capital plus cost basis",CH205,CH204))*CH11</f>
        <v>0</v>
      </c>
    </row>
    <row r="208" spans="2:86" ht="13" outlineLevel="1">
      <c r="B208" s="15" t="s">
        <v>318</v>
      </c>
      <c r="C208" s="15"/>
      <c r="D208" s="15" t="s">
        <v>238</v>
      </c>
      <c r="E208" s="29">
        <f t="shared" ca="1" si="168"/>
        <v>962500</v>
      </c>
      <c r="F208" s="29"/>
      <c r="G208" s="29">
        <f ca="1">MIN(G207,'Get Started'!$E25*IF('Get Started'!$E26="committed capital",G59,IF(SUMPRODUCT(--(Forecast!$G15:$CH15&lt;&gt;"committed"))=0,G70,F70))-F210)</f>
        <v>0</v>
      </c>
      <c r="H208" s="29">
        <f ca="1">MIN(H207,'Get Started'!$E25*IF('Get Started'!$E26="committed capital",H59,IF(SUMPRODUCT(--(Forecast!$G15:$CH15&lt;&gt;"committed"))=0,H70,G70))-G210)</f>
        <v>0</v>
      </c>
      <c r="I208" s="29">
        <f ca="1">MIN(I207,'Get Started'!$E25*IF('Get Started'!$E26="committed capital",I59,IF(SUMPRODUCT(--(Forecast!$G15:$CH15&lt;&gt;"committed"))=0,I70,H70))-H210)</f>
        <v>0</v>
      </c>
      <c r="J208" s="29">
        <f ca="1">MIN(J207,'Get Started'!$E25*IF('Get Started'!$E26="committed capital",J59,IF(SUMPRODUCT(--(Forecast!$G15:$CH15&lt;&gt;"committed"))=0,J70,I70))-I210)</f>
        <v>0</v>
      </c>
      <c r="K208" s="29">
        <f ca="1">MIN(K207,'Get Started'!$E25*IF('Get Started'!$E26="committed capital",K59,IF(SUMPRODUCT(--(Forecast!$G15:$CH15&lt;&gt;"committed"))=0,K70,J70))-J210)</f>
        <v>0</v>
      </c>
      <c r="L208" s="29">
        <f ca="1">MIN(L207,'Get Started'!$E25*IF('Get Started'!$E26="committed capital",L59,IF(SUMPRODUCT(--(Forecast!$G15:$CH15&lt;&gt;"committed"))=0,L70,K70))-K210)</f>
        <v>0</v>
      </c>
      <c r="M208" s="29">
        <f ca="1">MIN(M207,'Get Started'!$E25*IF('Get Started'!$E26="committed capital",M59,IF(SUMPRODUCT(--(Forecast!$G15:$CH15&lt;&gt;"committed"))=0,M70,L70))-L210)</f>
        <v>0</v>
      </c>
      <c r="N208" s="29">
        <f ca="1">MIN(N207,'Get Started'!$E25*IF('Get Started'!$E26="committed capital",N59,IF(SUMPRODUCT(--(Forecast!$G15:$CH15&lt;&gt;"committed"))=0,N70,M70))-M210)</f>
        <v>0</v>
      </c>
      <c r="O208" s="29">
        <f ca="1">MIN(O207,'Get Started'!$E25*IF('Get Started'!$E26="committed capital",O59,IF(SUMPRODUCT(--(Forecast!$G15:$CH15&lt;&gt;"committed"))=0,O70,N70))-N210)</f>
        <v>0</v>
      </c>
      <c r="P208" s="29">
        <f ca="1">MIN(P207,'Get Started'!$E25*IF('Get Started'!$E26="committed capital",P59,IF(SUMPRODUCT(--(Forecast!$G15:$CH15&lt;&gt;"committed"))=0,P70,O70))-O210)</f>
        <v>0</v>
      </c>
      <c r="Q208" s="29">
        <f ca="1">MIN(Q207,'Get Started'!$E25*IF('Get Started'!$E26="committed capital",Q59,IF(SUMPRODUCT(--(Forecast!$G15:$CH15&lt;&gt;"committed"))=0,Q70,P70))-P210)</f>
        <v>0</v>
      </c>
      <c r="R208" s="29">
        <f ca="1">MIN(R207,'Get Started'!$E25*IF('Get Started'!$E26="committed capital",R59,IF(SUMPRODUCT(--(Forecast!$G15:$CH15&lt;&gt;"committed"))=0,R70,Q70))-Q210)</f>
        <v>0</v>
      </c>
      <c r="S208" s="29">
        <f ca="1">MIN(S207,'Get Started'!$E25*IF('Get Started'!$E26="committed capital",S59,IF(SUMPRODUCT(--(Forecast!$G15:$CH15&lt;&gt;"committed"))=0,S70,R70))-R210)</f>
        <v>240625</v>
      </c>
      <c r="T208" s="29">
        <f ca="1">MIN(T207,'Get Started'!$E25*IF('Get Started'!$E26="committed capital",T59,IF(SUMPRODUCT(--(Forecast!$G15:$CH15&lt;&gt;"committed"))=0,T70,S70))-S210)</f>
        <v>240625</v>
      </c>
      <c r="U208" s="29">
        <f ca="1">MIN(U207,'Get Started'!$E25*IF('Get Started'!$E26="committed capital",U59,IF(SUMPRODUCT(--(Forecast!$G15:$CH15&lt;&gt;"committed"))=0,U70,T70))-T210)</f>
        <v>240625</v>
      </c>
      <c r="V208" s="29">
        <f ca="1">MIN(V207,'Get Started'!$E25*IF('Get Started'!$E26="committed capital",V59,IF(SUMPRODUCT(--(Forecast!$G15:$CH15&lt;&gt;"committed"))=0,V70,U70))-U210)</f>
        <v>240625</v>
      </c>
      <c r="W208" s="29">
        <f ca="1">MIN(W207,'Get Started'!$E25*IF('Get Started'!$E26="committed capital",W59,IF(SUMPRODUCT(--(Forecast!$G15:$CH15&lt;&gt;"committed"))=0,W70,V70))-V210)</f>
        <v>0</v>
      </c>
      <c r="X208" s="29">
        <f ca="1">MIN(X207,'Get Started'!$E25*IF('Get Started'!$E26="committed capital",X59,IF(SUMPRODUCT(--(Forecast!$G15:$CH15&lt;&gt;"committed"))=0,X70,W70))-W210)</f>
        <v>0</v>
      </c>
      <c r="Y208" s="29">
        <f ca="1">MIN(Y207,'Get Started'!$E25*IF('Get Started'!$E26="committed capital",Y59,IF(SUMPRODUCT(--(Forecast!$G15:$CH15&lt;&gt;"committed"))=0,Y70,X70))-X210)</f>
        <v>0</v>
      </c>
      <c r="Z208" s="29">
        <f ca="1">MIN(Z207,'Get Started'!$E25*IF('Get Started'!$E26="committed capital",Z59,IF(SUMPRODUCT(--(Forecast!$G15:$CH15&lt;&gt;"committed"))=0,Z70,Y70))-Y210)</f>
        <v>0</v>
      </c>
      <c r="AA208" s="29">
        <f ca="1">MIN(AA207,'Get Started'!$E25*IF('Get Started'!$E26="committed capital",AA59,IF(SUMPRODUCT(--(Forecast!$G15:$CH15&lt;&gt;"committed"))=0,AA70,Z70))-Z210)</f>
        <v>0</v>
      </c>
      <c r="AB208" s="29">
        <f ca="1">MIN(AB207,'Get Started'!$E25*IF('Get Started'!$E26="committed capital",AB59,IF(SUMPRODUCT(--(Forecast!$G15:$CH15&lt;&gt;"committed"))=0,AB70,AA70))-AA210)</f>
        <v>0</v>
      </c>
      <c r="AC208" s="29">
        <f ca="1">MIN(AC207,'Get Started'!$E25*IF('Get Started'!$E26="committed capital",AC59,IF(SUMPRODUCT(--(Forecast!$G15:$CH15&lt;&gt;"committed"))=0,AC70,AB70))-AB210)</f>
        <v>0</v>
      </c>
      <c r="AD208" s="29">
        <f ca="1">MIN(AD207,'Get Started'!$E25*IF('Get Started'!$E26="committed capital",AD59,IF(SUMPRODUCT(--(Forecast!$G15:$CH15&lt;&gt;"committed"))=0,AD70,AC70))-AC210)</f>
        <v>0</v>
      </c>
      <c r="AE208" s="29">
        <f ca="1">MIN(AE207,'Get Started'!$E25*IF('Get Started'!$E26="committed capital",AE59,IF(SUMPRODUCT(--(Forecast!$G15:$CH15&lt;&gt;"committed"))=0,AE70,AD70))-AD210)</f>
        <v>0</v>
      </c>
      <c r="AF208" s="29">
        <f ca="1">MIN(AF207,'Get Started'!$E25*IF('Get Started'!$E26="committed capital",AF59,IF(SUMPRODUCT(--(Forecast!$G15:$CH15&lt;&gt;"committed"))=0,AF70,AE70))-AE210)</f>
        <v>0</v>
      </c>
      <c r="AG208" s="29">
        <f ca="1">MIN(AG207,'Get Started'!$E25*IF('Get Started'!$E26="committed capital",AG59,IF(SUMPRODUCT(--(Forecast!$G15:$CH15&lt;&gt;"committed"))=0,AG70,AF70))-AF210)</f>
        <v>0</v>
      </c>
      <c r="AH208" s="29">
        <f ca="1">MIN(AH207,'Get Started'!$E25*IF('Get Started'!$E26="committed capital",AH59,IF(SUMPRODUCT(--(Forecast!$G15:$CH15&lt;&gt;"committed"))=0,AH70,AG70))-AG210)</f>
        <v>0</v>
      </c>
      <c r="AI208" s="29">
        <f ca="1">MIN(AI207,'Get Started'!$E25*IF('Get Started'!$E26="committed capital",AI59,IF(SUMPRODUCT(--(Forecast!$G15:$CH15&lt;&gt;"committed"))=0,AI70,AH70))-AH210)</f>
        <v>0</v>
      </c>
      <c r="AJ208" s="29">
        <f ca="1">MIN(AJ207,'Get Started'!$E25*IF('Get Started'!$E26="committed capital",AJ59,IF(SUMPRODUCT(--(Forecast!$G15:$CH15&lt;&gt;"committed"))=0,AJ70,AI70))-AI210)</f>
        <v>0</v>
      </c>
      <c r="AK208" s="29">
        <f ca="1">MIN(AK207,'Get Started'!$E25*IF('Get Started'!$E26="committed capital",AK59,IF(SUMPRODUCT(--(Forecast!$G15:$CH15&lt;&gt;"committed"))=0,AK70,AJ70))-AJ210)</f>
        <v>0</v>
      </c>
      <c r="AL208" s="29">
        <f ca="1">MIN(AL207,'Get Started'!$E25*IF('Get Started'!$E26="committed capital",AL59,IF(SUMPRODUCT(--(Forecast!$G15:$CH15&lt;&gt;"committed"))=0,AL70,AK70))-AK210)</f>
        <v>0</v>
      </c>
      <c r="AM208" s="29">
        <f ca="1">MIN(AM207,'Get Started'!$E25*IF('Get Started'!$E26="committed capital",AM59,IF(SUMPRODUCT(--(Forecast!$G15:$CH15&lt;&gt;"committed"))=0,AM70,AL70))-AL210)</f>
        <v>0</v>
      </c>
      <c r="AN208" s="29">
        <f ca="1">MIN(AN207,'Get Started'!$E25*IF('Get Started'!$E26="committed capital",AN59,IF(SUMPRODUCT(--(Forecast!$G15:$CH15&lt;&gt;"committed"))=0,AN70,AM70))-AM210)</f>
        <v>0</v>
      </c>
      <c r="AO208" s="29">
        <f ca="1">MIN(AO207,'Get Started'!$E25*IF('Get Started'!$E26="committed capital",AO59,IF(SUMPRODUCT(--(Forecast!$G15:$CH15&lt;&gt;"committed"))=0,AO70,AN70))-AN210)</f>
        <v>0</v>
      </c>
      <c r="AP208" s="29">
        <f ca="1">MIN(AP207,'Get Started'!$E25*IF('Get Started'!$E26="committed capital",AP59,IF(SUMPRODUCT(--(Forecast!$G15:$CH15&lt;&gt;"committed"))=0,AP70,AO70))-AO210)</f>
        <v>0</v>
      </c>
      <c r="AQ208" s="29">
        <f ca="1">MIN(AQ207,'Get Started'!$E25*IF('Get Started'!$E26="committed capital",AQ59,IF(SUMPRODUCT(--(Forecast!$G15:$CH15&lt;&gt;"committed"))=0,AQ70,AP70))-AP210)</f>
        <v>0</v>
      </c>
      <c r="AR208" s="29">
        <f ca="1">MIN(AR207,'Get Started'!$E25*IF('Get Started'!$E26="committed capital",AR59,IF(SUMPRODUCT(--(Forecast!$G15:$CH15&lt;&gt;"committed"))=0,AR70,AQ70))-AQ210)</f>
        <v>0</v>
      </c>
      <c r="AS208" s="29">
        <f ca="1">MIN(AS207,'Get Started'!$E25*IF('Get Started'!$E26="committed capital",AS59,IF(SUMPRODUCT(--(Forecast!$G15:$CH15&lt;&gt;"committed"))=0,AS70,AR70))-AR210)</f>
        <v>0</v>
      </c>
      <c r="AT208" s="29">
        <f ca="1">MIN(AT207,'Get Started'!$E25*IF('Get Started'!$E26="committed capital",AT59,IF(SUMPRODUCT(--(Forecast!$G15:$CH15&lt;&gt;"committed"))=0,AT70,AS70))-AS210)</f>
        <v>0</v>
      </c>
      <c r="AU208" s="29">
        <f ca="1">MIN(AU207,'Get Started'!$E25*IF('Get Started'!$E26="committed capital",AU59,IF(SUMPRODUCT(--(Forecast!$G15:$CH15&lt;&gt;"committed"))=0,AU70,AT70))-AT210)</f>
        <v>0</v>
      </c>
      <c r="AV208" s="29">
        <f ca="1">MIN(AV207,'Get Started'!$E25*IF('Get Started'!$E26="committed capital",AV59,IF(SUMPRODUCT(--(Forecast!$G15:$CH15&lt;&gt;"committed"))=0,AV70,AU70))-AU210)</f>
        <v>0</v>
      </c>
      <c r="AW208" s="29">
        <f ca="1">MIN(AW207,'Get Started'!$E25*IF('Get Started'!$E26="committed capital",AW59,IF(SUMPRODUCT(--(Forecast!$G15:$CH15&lt;&gt;"committed"))=0,AW70,AV70))-AV210)</f>
        <v>0</v>
      </c>
      <c r="AX208" s="29">
        <f ca="1">MIN(AX207,'Get Started'!$E25*IF('Get Started'!$E26="committed capital",AX59,IF(SUMPRODUCT(--(Forecast!$G15:$CH15&lt;&gt;"committed"))=0,AX70,AW70))-AW210)</f>
        <v>0</v>
      </c>
      <c r="AY208" s="29">
        <f ca="1">MIN(AY207,'Get Started'!$E25*IF('Get Started'!$E26="committed capital",AY59,IF(SUMPRODUCT(--(Forecast!$G15:$CH15&lt;&gt;"committed"))=0,AY70,AX70))-AX210)</f>
        <v>0</v>
      </c>
      <c r="AZ208" s="29">
        <f ca="1">MIN(AZ207,'Get Started'!$E25*IF('Get Started'!$E26="committed capital",AZ59,IF(SUMPRODUCT(--(Forecast!$G15:$CH15&lt;&gt;"committed"))=0,AZ70,AY70))-AY210)</f>
        <v>0</v>
      </c>
      <c r="BA208" s="29">
        <f ca="1">MIN(BA207,'Get Started'!$E25*IF('Get Started'!$E26="committed capital",BA59,IF(SUMPRODUCT(--(Forecast!$G15:$CH15&lt;&gt;"committed"))=0,BA70,AZ70))-AZ210)</f>
        <v>0</v>
      </c>
      <c r="BB208" s="29">
        <f ca="1">MIN(BB207,'Get Started'!$E25*IF('Get Started'!$E26="committed capital",BB59,IF(SUMPRODUCT(--(Forecast!$G15:$CH15&lt;&gt;"committed"))=0,BB70,BA70))-BA210)</f>
        <v>0</v>
      </c>
      <c r="BC208" s="29">
        <f ca="1">MIN(BC207,'Get Started'!$E25*IF('Get Started'!$E26="committed capital",BC59,IF(SUMPRODUCT(--(Forecast!$G15:$CH15&lt;&gt;"committed"))=0,BC70,BB70))-BB210)</f>
        <v>0</v>
      </c>
      <c r="BD208" s="29">
        <f ca="1">MIN(BD207,'Get Started'!$E25*IF('Get Started'!$E26="committed capital",BD59,IF(SUMPRODUCT(--(Forecast!$G15:$CH15&lt;&gt;"committed"))=0,BD70,BC70))-BC210)</f>
        <v>0</v>
      </c>
      <c r="BE208" s="29">
        <f ca="1">MIN(BE207,'Get Started'!$E25*IF('Get Started'!$E26="committed capital",BE59,IF(SUMPRODUCT(--(Forecast!$G15:$CH15&lt;&gt;"committed"))=0,BE70,BD70))-BD210)</f>
        <v>0</v>
      </c>
      <c r="BF208" s="29">
        <f ca="1">MIN(BF207,'Get Started'!$E25*IF('Get Started'!$E26="committed capital",BF59,IF(SUMPRODUCT(--(Forecast!$G15:$CH15&lt;&gt;"committed"))=0,BF70,BE70))-BE210)</f>
        <v>0</v>
      </c>
      <c r="BG208" s="29">
        <f ca="1">MIN(BG207,'Get Started'!$E25*IF('Get Started'!$E26="committed capital",BG59,IF(SUMPRODUCT(--(Forecast!$G15:$CH15&lt;&gt;"committed"))=0,BG70,BF70))-BF210)</f>
        <v>0</v>
      </c>
      <c r="BH208" s="29">
        <f ca="1">MIN(BH207,'Get Started'!$E25*IF('Get Started'!$E26="committed capital",BH59,IF(SUMPRODUCT(--(Forecast!$G15:$CH15&lt;&gt;"committed"))=0,BH70,BG70))-BG210)</f>
        <v>0</v>
      </c>
      <c r="BI208" s="29">
        <f ca="1">MIN(BI207,'Get Started'!$E25*IF('Get Started'!$E26="committed capital",BI59,IF(SUMPRODUCT(--(Forecast!$G15:$CH15&lt;&gt;"committed"))=0,BI70,BH70))-BH210)</f>
        <v>0</v>
      </c>
      <c r="BJ208" s="29">
        <f ca="1">MIN(BJ207,'Get Started'!$E25*IF('Get Started'!$E26="committed capital",BJ59,IF(SUMPRODUCT(--(Forecast!$G15:$CH15&lt;&gt;"committed"))=0,BJ70,BI70))-BI210)</f>
        <v>0</v>
      </c>
      <c r="BK208" s="29">
        <f ca="1">MIN(BK207,'Get Started'!$E25*IF('Get Started'!$E26="committed capital",BK59,IF(SUMPRODUCT(--(Forecast!$G15:$CH15&lt;&gt;"committed"))=0,BK70,BJ70))-BJ210)</f>
        <v>0</v>
      </c>
      <c r="BL208" s="29">
        <f ca="1">MIN(BL207,'Get Started'!$E25*IF('Get Started'!$E26="committed capital",BL59,IF(SUMPRODUCT(--(Forecast!$G15:$CH15&lt;&gt;"committed"))=0,BL70,BK70))-BK210)</f>
        <v>0</v>
      </c>
      <c r="BM208" s="29">
        <f ca="1">MIN(BM207,'Get Started'!$E25*IF('Get Started'!$E26="committed capital",BM59,IF(SUMPRODUCT(--(Forecast!$G15:$CH15&lt;&gt;"committed"))=0,BM70,BL70))-BL210)</f>
        <v>0</v>
      </c>
      <c r="BN208" s="29">
        <f ca="1">MIN(BN207,'Get Started'!$E25*IF('Get Started'!$E26="committed capital",BN59,IF(SUMPRODUCT(--(Forecast!$G15:$CH15&lt;&gt;"committed"))=0,BN70,BM70))-BM210)</f>
        <v>0</v>
      </c>
      <c r="BO208" s="29">
        <f ca="1">MIN(BO207,'Get Started'!$E25*IF('Get Started'!$E26="committed capital",BO59,IF(SUMPRODUCT(--(Forecast!$G15:$CH15&lt;&gt;"committed"))=0,BO70,BN70))-BN210)</f>
        <v>0</v>
      </c>
      <c r="BP208" s="29">
        <f ca="1">MIN(BP207,'Get Started'!$E25*IF('Get Started'!$E26="committed capital",BP59,IF(SUMPRODUCT(--(Forecast!$G15:$CH15&lt;&gt;"committed"))=0,BP70,BO70))-BO210)</f>
        <v>0</v>
      </c>
      <c r="BQ208" s="29">
        <f ca="1">MIN(BQ207,'Get Started'!$E25*IF('Get Started'!$E26="committed capital",BQ59,IF(SUMPRODUCT(--(Forecast!$G15:$CH15&lt;&gt;"committed"))=0,BQ70,BP70))-BP210)</f>
        <v>0</v>
      </c>
      <c r="BR208" s="29">
        <f ca="1">MIN(BR207,'Get Started'!$E25*IF('Get Started'!$E26="committed capital",BR59,IF(SUMPRODUCT(--(Forecast!$G15:$CH15&lt;&gt;"committed"))=0,BR70,BQ70))-BQ210)</f>
        <v>0</v>
      </c>
      <c r="BS208" s="29">
        <f ca="1">MIN(BS207,'Get Started'!$E25*IF('Get Started'!$E26="committed capital",BS59,IF(SUMPRODUCT(--(Forecast!$G15:$CH15&lt;&gt;"committed"))=0,BS70,BR70))-BR210)</f>
        <v>0</v>
      </c>
      <c r="BT208" s="29">
        <f ca="1">MIN(BT207,'Get Started'!$E25*IF('Get Started'!$E26="committed capital",BT59,IF(SUMPRODUCT(--(Forecast!$G15:$CH15&lt;&gt;"committed"))=0,BT70,BS70))-BS210)</f>
        <v>0</v>
      </c>
      <c r="BU208" s="29">
        <f ca="1">MIN(BU207,'Get Started'!$E25*IF('Get Started'!$E26="committed capital",BU59,IF(SUMPRODUCT(--(Forecast!$G15:$CH15&lt;&gt;"committed"))=0,BU70,BT70))-BT210)</f>
        <v>0</v>
      </c>
      <c r="BV208" s="29">
        <f ca="1">MIN(BV207,'Get Started'!$E25*IF('Get Started'!$E26="committed capital",BV59,IF(SUMPRODUCT(--(Forecast!$G15:$CH15&lt;&gt;"committed"))=0,BV70,BU70))-BU210)</f>
        <v>0</v>
      </c>
      <c r="BW208" s="29">
        <f ca="1">MIN(BW207,'Get Started'!$E25*IF('Get Started'!$E26="committed capital",BW59,IF(SUMPRODUCT(--(Forecast!$G15:$CH15&lt;&gt;"committed"))=0,BW70,BV70))-BV210)</f>
        <v>0</v>
      </c>
      <c r="BX208" s="29">
        <f ca="1">MIN(BX207,'Get Started'!$E25*IF('Get Started'!$E26="committed capital",BX59,IF(SUMPRODUCT(--(Forecast!$G15:$CH15&lt;&gt;"committed"))=0,BX70,BW70))-BW210)</f>
        <v>0</v>
      </c>
      <c r="BY208" s="29">
        <f ca="1">MIN(BY207,'Get Started'!$E25*IF('Get Started'!$E26="committed capital",BY59,IF(SUMPRODUCT(--(Forecast!$G15:$CH15&lt;&gt;"committed"))=0,BY70,BX70))-BX210)</f>
        <v>0</v>
      </c>
      <c r="BZ208" s="29">
        <f ca="1">MIN(BZ207,'Get Started'!$E25*IF('Get Started'!$E26="committed capital",BZ59,IF(SUMPRODUCT(--(Forecast!$G15:$CH15&lt;&gt;"committed"))=0,BZ70,BY70))-BY210)</f>
        <v>0</v>
      </c>
      <c r="CA208" s="29">
        <f ca="1">MIN(CA207,'Get Started'!$E25*IF('Get Started'!$E26="committed capital",CA59,IF(SUMPRODUCT(--(Forecast!$G15:$CH15&lt;&gt;"committed"))=0,CA70,BZ70))-BZ210)</f>
        <v>0</v>
      </c>
      <c r="CB208" s="29">
        <f ca="1">MIN(CB207,'Get Started'!$E25*IF('Get Started'!$E26="committed capital",CB59,IF(SUMPRODUCT(--(Forecast!$G15:$CH15&lt;&gt;"committed"))=0,CB70,CA70))-CA210)</f>
        <v>0</v>
      </c>
      <c r="CC208" s="29">
        <f ca="1">MIN(CC207,'Get Started'!$E25*IF('Get Started'!$E26="committed capital",CC59,IF(SUMPRODUCT(--(Forecast!$G15:$CH15&lt;&gt;"committed"))=0,CC70,CB70))-CB210)</f>
        <v>0</v>
      </c>
      <c r="CD208" s="29">
        <f ca="1">MIN(CD207,'Get Started'!$E25*IF('Get Started'!$E26="committed capital",CD59,IF(SUMPRODUCT(--(Forecast!$G15:$CH15&lt;&gt;"committed"))=0,CD70,CC70))-CC210)</f>
        <v>0</v>
      </c>
      <c r="CE208" s="29">
        <f ca="1">MIN(CE207,'Get Started'!$E25*IF('Get Started'!$E26="committed capital",CE59,IF(SUMPRODUCT(--(Forecast!$G15:$CH15&lt;&gt;"committed"))=0,CE70,CD70))-CD210)</f>
        <v>0</v>
      </c>
      <c r="CF208" s="29">
        <f ca="1">MIN(CF207,'Get Started'!$E25*IF('Get Started'!$E26="committed capital",CF59,IF(SUMPRODUCT(--(Forecast!$G15:$CH15&lt;&gt;"committed"))=0,CF70,CE70))-CE210)</f>
        <v>0</v>
      </c>
      <c r="CG208" s="29">
        <f ca="1">MIN(CG207,'Get Started'!$E25*IF('Get Started'!$E26="committed capital",CG59,IF(SUMPRODUCT(--(Forecast!$G15:$CH15&lt;&gt;"committed"))=0,CG70,CF70))-CF210)</f>
        <v>0</v>
      </c>
      <c r="CH208" s="29">
        <f ca="1">MIN(CH207,'Get Started'!$E25*IF('Get Started'!$E26="committed capital",CH59,IF(SUMPRODUCT(--(Forecast!$G15:$CH15&lt;&gt;"committed"))=0,CH70,CG70))-CG210)</f>
        <v>0</v>
      </c>
    </row>
    <row r="209" spans="1:86" ht="13" outlineLevel="1">
      <c r="B209" s="15" t="s">
        <v>280</v>
      </c>
      <c r="C209" s="15"/>
      <c r="D209" s="15" t="s">
        <v>238</v>
      </c>
      <c r="E209" s="29">
        <f t="shared" ca="1" si="168"/>
        <v>962500</v>
      </c>
      <c r="F209" s="29"/>
      <c r="G209" s="29">
        <f t="shared" ref="G209:CH209" ca="1" si="170">G208</f>
        <v>0</v>
      </c>
      <c r="H209" s="29">
        <f t="shared" ca="1" si="170"/>
        <v>0</v>
      </c>
      <c r="I209" s="29">
        <f t="shared" ca="1" si="170"/>
        <v>0</v>
      </c>
      <c r="J209" s="29">
        <f t="shared" ca="1" si="170"/>
        <v>0</v>
      </c>
      <c r="K209" s="29">
        <f t="shared" ca="1" si="170"/>
        <v>0</v>
      </c>
      <c r="L209" s="29">
        <f t="shared" ca="1" si="170"/>
        <v>0</v>
      </c>
      <c r="M209" s="29">
        <f t="shared" ca="1" si="170"/>
        <v>0</v>
      </c>
      <c r="N209" s="29">
        <f t="shared" ca="1" si="170"/>
        <v>0</v>
      </c>
      <c r="O209" s="29">
        <f t="shared" ca="1" si="170"/>
        <v>0</v>
      </c>
      <c r="P209" s="29">
        <f t="shared" ca="1" si="170"/>
        <v>0</v>
      </c>
      <c r="Q209" s="29">
        <f t="shared" ca="1" si="170"/>
        <v>0</v>
      </c>
      <c r="R209" s="29">
        <f t="shared" ca="1" si="170"/>
        <v>0</v>
      </c>
      <c r="S209" s="29">
        <f t="shared" ca="1" si="170"/>
        <v>240625</v>
      </c>
      <c r="T209" s="29">
        <f t="shared" ca="1" si="170"/>
        <v>240625</v>
      </c>
      <c r="U209" s="29">
        <f t="shared" ca="1" si="170"/>
        <v>240625</v>
      </c>
      <c r="V209" s="29">
        <f t="shared" ca="1" si="170"/>
        <v>240625</v>
      </c>
      <c r="W209" s="29">
        <f t="shared" ca="1" si="170"/>
        <v>0</v>
      </c>
      <c r="X209" s="29">
        <f t="shared" ca="1" si="170"/>
        <v>0</v>
      </c>
      <c r="Y209" s="29">
        <f t="shared" ca="1" si="170"/>
        <v>0</v>
      </c>
      <c r="Z209" s="29">
        <f t="shared" ca="1" si="170"/>
        <v>0</v>
      </c>
      <c r="AA209" s="29">
        <f t="shared" ca="1" si="170"/>
        <v>0</v>
      </c>
      <c r="AB209" s="29">
        <f t="shared" ca="1" si="170"/>
        <v>0</v>
      </c>
      <c r="AC209" s="29">
        <f t="shared" ca="1" si="170"/>
        <v>0</v>
      </c>
      <c r="AD209" s="29">
        <f t="shared" ca="1" si="170"/>
        <v>0</v>
      </c>
      <c r="AE209" s="29">
        <f t="shared" ca="1" si="170"/>
        <v>0</v>
      </c>
      <c r="AF209" s="29">
        <f t="shared" ca="1" si="170"/>
        <v>0</v>
      </c>
      <c r="AG209" s="29">
        <f t="shared" ca="1" si="170"/>
        <v>0</v>
      </c>
      <c r="AH209" s="29">
        <f t="shared" ca="1" si="170"/>
        <v>0</v>
      </c>
      <c r="AI209" s="29">
        <f t="shared" ca="1" si="170"/>
        <v>0</v>
      </c>
      <c r="AJ209" s="29">
        <f t="shared" ca="1" si="170"/>
        <v>0</v>
      </c>
      <c r="AK209" s="29">
        <f t="shared" ca="1" si="170"/>
        <v>0</v>
      </c>
      <c r="AL209" s="29">
        <f t="shared" ca="1" si="170"/>
        <v>0</v>
      </c>
      <c r="AM209" s="29">
        <f t="shared" ca="1" si="170"/>
        <v>0</v>
      </c>
      <c r="AN209" s="29">
        <f t="shared" ca="1" si="170"/>
        <v>0</v>
      </c>
      <c r="AO209" s="29">
        <f t="shared" ca="1" si="170"/>
        <v>0</v>
      </c>
      <c r="AP209" s="29">
        <f t="shared" ca="1" si="170"/>
        <v>0</v>
      </c>
      <c r="AQ209" s="29">
        <f t="shared" ca="1" si="170"/>
        <v>0</v>
      </c>
      <c r="AR209" s="29">
        <f t="shared" ca="1" si="170"/>
        <v>0</v>
      </c>
      <c r="AS209" s="29">
        <f t="shared" ca="1" si="170"/>
        <v>0</v>
      </c>
      <c r="AT209" s="29">
        <f t="shared" ca="1" si="170"/>
        <v>0</v>
      </c>
      <c r="AU209" s="29">
        <f t="shared" ca="1" si="170"/>
        <v>0</v>
      </c>
      <c r="AV209" s="29">
        <f t="shared" ca="1" si="170"/>
        <v>0</v>
      </c>
      <c r="AW209" s="29">
        <f t="shared" ca="1" si="170"/>
        <v>0</v>
      </c>
      <c r="AX209" s="29">
        <f t="shared" ca="1" si="170"/>
        <v>0</v>
      </c>
      <c r="AY209" s="29">
        <f t="shared" ca="1" si="170"/>
        <v>0</v>
      </c>
      <c r="AZ209" s="29">
        <f t="shared" ca="1" si="170"/>
        <v>0</v>
      </c>
      <c r="BA209" s="29">
        <f t="shared" ca="1" si="170"/>
        <v>0</v>
      </c>
      <c r="BB209" s="29">
        <f t="shared" ca="1" si="170"/>
        <v>0</v>
      </c>
      <c r="BC209" s="29">
        <f t="shared" ca="1" si="170"/>
        <v>0</v>
      </c>
      <c r="BD209" s="29">
        <f t="shared" ca="1" si="170"/>
        <v>0</v>
      </c>
      <c r="BE209" s="29">
        <f t="shared" ca="1" si="170"/>
        <v>0</v>
      </c>
      <c r="BF209" s="29">
        <f t="shared" ca="1" si="170"/>
        <v>0</v>
      </c>
      <c r="BG209" s="29">
        <f t="shared" ca="1" si="170"/>
        <v>0</v>
      </c>
      <c r="BH209" s="29">
        <f t="shared" ca="1" si="170"/>
        <v>0</v>
      </c>
      <c r="BI209" s="29">
        <f t="shared" ca="1" si="170"/>
        <v>0</v>
      </c>
      <c r="BJ209" s="29">
        <f t="shared" ca="1" si="170"/>
        <v>0</v>
      </c>
      <c r="BK209" s="29">
        <f t="shared" ca="1" si="170"/>
        <v>0</v>
      </c>
      <c r="BL209" s="29">
        <f t="shared" ca="1" si="170"/>
        <v>0</v>
      </c>
      <c r="BM209" s="29">
        <f t="shared" ca="1" si="170"/>
        <v>0</v>
      </c>
      <c r="BN209" s="29">
        <f t="shared" ca="1" si="170"/>
        <v>0</v>
      </c>
      <c r="BO209" s="29">
        <f t="shared" ca="1" si="170"/>
        <v>0</v>
      </c>
      <c r="BP209" s="29">
        <f t="shared" ca="1" si="170"/>
        <v>0</v>
      </c>
      <c r="BQ209" s="29">
        <f t="shared" ca="1" si="170"/>
        <v>0</v>
      </c>
      <c r="BR209" s="29">
        <f t="shared" ca="1" si="170"/>
        <v>0</v>
      </c>
      <c r="BS209" s="29">
        <f t="shared" ca="1" si="170"/>
        <v>0</v>
      </c>
      <c r="BT209" s="29">
        <f t="shared" ca="1" si="170"/>
        <v>0</v>
      </c>
      <c r="BU209" s="29">
        <f t="shared" ca="1" si="170"/>
        <v>0</v>
      </c>
      <c r="BV209" s="29">
        <f t="shared" ca="1" si="170"/>
        <v>0</v>
      </c>
      <c r="BW209" s="29">
        <f t="shared" ca="1" si="170"/>
        <v>0</v>
      </c>
      <c r="BX209" s="29">
        <f t="shared" ca="1" si="170"/>
        <v>0</v>
      </c>
      <c r="BY209" s="29">
        <f t="shared" ca="1" si="170"/>
        <v>0</v>
      </c>
      <c r="BZ209" s="29">
        <f t="shared" ca="1" si="170"/>
        <v>0</v>
      </c>
      <c r="CA209" s="29">
        <f t="shared" ca="1" si="170"/>
        <v>0</v>
      </c>
      <c r="CB209" s="29">
        <f t="shared" ca="1" si="170"/>
        <v>0</v>
      </c>
      <c r="CC209" s="29">
        <f t="shared" ca="1" si="170"/>
        <v>0</v>
      </c>
      <c r="CD209" s="29">
        <f t="shared" ca="1" si="170"/>
        <v>0</v>
      </c>
      <c r="CE209" s="29">
        <f t="shared" ca="1" si="170"/>
        <v>0</v>
      </c>
      <c r="CF209" s="29">
        <f t="shared" ca="1" si="170"/>
        <v>0</v>
      </c>
      <c r="CG209" s="29">
        <f t="shared" ca="1" si="170"/>
        <v>0</v>
      </c>
      <c r="CH209" s="29">
        <f t="shared" ca="1" si="170"/>
        <v>0</v>
      </c>
    </row>
    <row r="210" spans="1:86" ht="13" outlineLevel="1">
      <c r="B210" s="13" t="str">
        <f>"Cumulative "&amp;B208</f>
        <v>Cumulative Proceeds Recycled</v>
      </c>
      <c r="C210" s="15"/>
      <c r="D210" s="15" t="s">
        <v>247</v>
      </c>
      <c r="E210" s="29">
        <f t="shared" ca="1" si="168"/>
        <v>962500</v>
      </c>
      <c r="F210" s="29"/>
      <c r="G210" s="29">
        <f t="shared" ref="G210:CH210" ca="1" si="171">F210+G208</f>
        <v>0</v>
      </c>
      <c r="H210" s="29">
        <f t="shared" ca="1" si="171"/>
        <v>0</v>
      </c>
      <c r="I210" s="29">
        <f t="shared" ca="1" si="171"/>
        <v>0</v>
      </c>
      <c r="J210" s="29">
        <f t="shared" ca="1" si="171"/>
        <v>0</v>
      </c>
      <c r="K210" s="29">
        <f t="shared" ca="1" si="171"/>
        <v>0</v>
      </c>
      <c r="L210" s="29">
        <f t="shared" ca="1" si="171"/>
        <v>0</v>
      </c>
      <c r="M210" s="29">
        <f t="shared" ca="1" si="171"/>
        <v>0</v>
      </c>
      <c r="N210" s="29">
        <f t="shared" ca="1" si="171"/>
        <v>0</v>
      </c>
      <c r="O210" s="29">
        <f t="shared" ca="1" si="171"/>
        <v>0</v>
      </c>
      <c r="P210" s="29">
        <f t="shared" ca="1" si="171"/>
        <v>0</v>
      </c>
      <c r="Q210" s="29">
        <f t="shared" ca="1" si="171"/>
        <v>0</v>
      </c>
      <c r="R210" s="29">
        <f t="shared" ca="1" si="171"/>
        <v>0</v>
      </c>
      <c r="S210" s="29">
        <f t="shared" ca="1" si="171"/>
        <v>240625</v>
      </c>
      <c r="T210" s="29">
        <f t="shared" ca="1" si="171"/>
        <v>481250</v>
      </c>
      <c r="U210" s="29">
        <f t="shared" ca="1" si="171"/>
        <v>721875</v>
      </c>
      <c r="V210" s="29">
        <f t="shared" ca="1" si="171"/>
        <v>962500</v>
      </c>
      <c r="W210" s="29">
        <f t="shared" ca="1" si="171"/>
        <v>962500</v>
      </c>
      <c r="X210" s="29">
        <f t="shared" ca="1" si="171"/>
        <v>962500</v>
      </c>
      <c r="Y210" s="29">
        <f t="shared" ca="1" si="171"/>
        <v>962500</v>
      </c>
      <c r="Z210" s="29">
        <f t="shared" ca="1" si="171"/>
        <v>962500</v>
      </c>
      <c r="AA210" s="29">
        <f t="shared" ca="1" si="171"/>
        <v>962500</v>
      </c>
      <c r="AB210" s="29">
        <f t="shared" ca="1" si="171"/>
        <v>962500</v>
      </c>
      <c r="AC210" s="29">
        <f t="shared" ca="1" si="171"/>
        <v>962500</v>
      </c>
      <c r="AD210" s="29">
        <f t="shared" ca="1" si="171"/>
        <v>962500</v>
      </c>
      <c r="AE210" s="29">
        <f t="shared" ca="1" si="171"/>
        <v>962500</v>
      </c>
      <c r="AF210" s="29">
        <f t="shared" ca="1" si="171"/>
        <v>962500</v>
      </c>
      <c r="AG210" s="29">
        <f t="shared" ca="1" si="171"/>
        <v>962500</v>
      </c>
      <c r="AH210" s="29">
        <f t="shared" ca="1" si="171"/>
        <v>962500</v>
      </c>
      <c r="AI210" s="29">
        <f t="shared" ca="1" si="171"/>
        <v>962500</v>
      </c>
      <c r="AJ210" s="29">
        <f t="shared" ca="1" si="171"/>
        <v>962500</v>
      </c>
      <c r="AK210" s="29">
        <f t="shared" ca="1" si="171"/>
        <v>962500</v>
      </c>
      <c r="AL210" s="29">
        <f t="shared" ca="1" si="171"/>
        <v>962500</v>
      </c>
      <c r="AM210" s="29">
        <f t="shared" ca="1" si="171"/>
        <v>962500</v>
      </c>
      <c r="AN210" s="29">
        <f t="shared" ca="1" si="171"/>
        <v>962500</v>
      </c>
      <c r="AO210" s="29">
        <f t="shared" ca="1" si="171"/>
        <v>962500</v>
      </c>
      <c r="AP210" s="29">
        <f t="shared" ca="1" si="171"/>
        <v>962500</v>
      </c>
      <c r="AQ210" s="29">
        <f t="shared" ca="1" si="171"/>
        <v>962500</v>
      </c>
      <c r="AR210" s="29">
        <f t="shared" ca="1" si="171"/>
        <v>962500</v>
      </c>
      <c r="AS210" s="29">
        <f t="shared" ca="1" si="171"/>
        <v>962500</v>
      </c>
      <c r="AT210" s="29">
        <f t="shared" ca="1" si="171"/>
        <v>962500</v>
      </c>
      <c r="AU210" s="29">
        <f t="shared" ca="1" si="171"/>
        <v>962500</v>
      </c>
      <c r="AV210" s="29">
        <f t="shared" ca="1" si="171"/>
        <v>962500</v>
      </c>
      <c r="AW210" s="29">
        <f t="shared" ca="1" si="171"/>
        <v>962500</v>
      </c>
      <c r="AX210" s="29">
        <f t="shared" ca="1" si="171"/>
        <v>962500</v>
      </c>
      <c r="AY210" s="29">
        <f t="shared" ca="1" si="171"/>
        <v>962500</v>
      </c>
      <c r="AZ210" s="29">
        <f t="shared" ca="1" si="171"/>
        <v>962500</v>
      </c>
      <c r="BA210" s="29">
        <f t="shared" ca="1" si="171"/>
        <v>962500</v>
      </c>
      <c r="BB210" s="29">
        <f t="shared" ca="1" si="171"/>
        <v>962500</v>
      </c>
      <c r="BC210" s="29">
        <f t="shared" ca="1" si="171"/>
        <v>962500</v>
      </c>
      <c r="BD210" s="29">
        <f t="shared" ca="1" si="171"/>
        <v>962500</v>
      </c>
      <c r="BE210" s="29">
        <f t="shared" ca="1" si="171"/>
        <v>962500</v>
      </c>
      <c r="BF210" s="29">
        <f t="shared" ca="1" si="171"/>
        <v>962500</v>
      </c>
      <c r="BG210" s="29">
        <f t="shared" ca="1" si="171"/>
        <v>962500</v>
      </c>
      <c r="BH210" s="29">
        <f t="shared" ca="1" si="171"/>
        <v>962500</v>
      </c>
      <c r="BI210" s="29">
        <f t="shared" ca="1" si="171"/>
        <v>962500</v>
      </c>
      <c r="BJ210" s="29">
        <f t="shared" ca="1" si="171"/>
        <v>962500</v>
      </c>
      <c r="BK210" s="29">
        <f t="shared" ca="1" si="171"/>
        <v>962500</v>
      </c>
      <c r="BL210" s="29">
        <f t="shared" ca="1" si="171"/>
        <v>962500</v>
      </c>
      <c r="BM210" s="29">
        <f t="shared" ca="1" si="171"/>
        <v>962500</v>
      </c>
      <c r="BN210" s="29">
        <f t="shared" ca="1" si="171"/>
        <v>962500</v>
      </c>
      <c r="BO210" s="29">
        <f t="shared" ca="1" si="171"/>
        <v>962500</v>
      </c>
      <c r="BP210" s="29">
        <f t="shared" ca="1" si="171"/>
        <v>962500</v>
      </c>
      <c r="BQ210" s="29">
        <f t="shared" ca="1" si="171"/>
        <v>962500</v>
      </c>
      <c r="BR210" s="29">
        <f t="shared" ca="1" si="171"/>
        <v>962500</v>
      </c>
      <c r="BS210" s="29">
        <f t="shared" ca="1" si="171"/>
        <v>962500</v>
      </c>
      <c r="BT210" s="29">
        <f t="shared" ca="1" si="171"/>
        <v>962500</v>
      </c>
      <c r="BU210" s="29">
        <f t="shared" ca="1" si="171"/>
        <v>962500</v>
      </c>
      <c r="BV210" s="29">
        <f t="shared" ca="1" si="171"/>
        <v>962500</v>
      </c>
      <c r="BW210" s="29">
        <f t="shared" ca="1" si="171"/>
        <v>962500</v>
      </c>
      <c r="BX210" s="29">
        <f t="shared" ca="1" si="171"/>
        <v>962500</v>
      </c>
      <c r="BY210" s="29">
        <f t="shared" ca="1" si="171"/>
        <v>962500</v>
      </c>
      <c r="BZ210" s="29">
        <f t="shared" ca="1" si="171"/>
        <v>962500</v>
      </c>
      <c r="CA210" s="29">
        <f t="shared" ca="1" si="171"/>
        <v>962500</v>
      </c>
      <c r="CB210" s="29">
        <f t="shared" ca="1" si="171"/>
        <v>962500</v>
      </c>
      <c r="CC210" s="29">
        <f t="shared" ca="1" si="171"/>
        <v>962500</v>
      </c>
      <c r="CD210" s="29">
        <f t="shared" ca="1" si="171"/>
        <v>962500</v>
      </c>
      <c r="CE210" s="29">
        <f t="shared" ca="1" si="171"/>
        <v>962500</v>
      </c>
      <c r="CF210" s="29">
        <f t="shared" ca="1" si="171"/>
        <v>962500</v>
      </c>
      <c r="CG210" s="29">
        <f t="shared" ca="1" si="171"/>
        <v>962500</v>
      </c>
      <c r="CH210" s="29">
        <f t="shared" ca="1" si="171"/>
        <v>962500</v>
      </c>
    </row>
    <row r="211" spans="1:86" ht="13" outlineLevel="1">
      <c r="B211" s="13" t="s">
        <v>319</v>
      </c>
      <c r="D211" s="15" t="s">
        <v>320</v>
      </c>
      <c r="E211" s="64">
        <f ca="1">IFERROR(E210/E30,0)</f>
        <v>3.85E-2</v>
      </c>
      <c r="F211" s="29"/>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c r="AS211" s="81"/>
      <c r="AT211" s="81"/>
      <c r="AU211" s="81"/>
      <c r="AV211" s="81"/>
      <c r="AW211" s="81"/>
      <c r="AX211" s="81"/>
      <c r="AY211" s="81"/>
      <c r="AZ211" s="81"/>
      <c r="BA211" s="81"/>
      <c r="BB211" s="81"/>
      <c r="BC211" s="81"/>
      <c r="BD211" s="81"/>
      <c r="BE211" s="81"/>
      <c r="BF211" s="81"/>
      <c r="BG211" s="81"/>
      <c r="BH211" s="81"/>
      <c r="BI211" s="81"/>
      <c r="BJ211" s="81"/>
      <c r="BK211" s="81"/>
      <c r="BL211" s="81"/>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row>
    <row r="212" spans="1:86" ht="13" outlineLevel="1">
      <c r="B212" s="13" t="s">
        <v>321</v>
      </c>
      <c r="C212" s="15"/>
      <c r="D212" s="15" t="s">
        <v>320</v>
      </c>
      <c r="E212" s="64">
        <f ca="1">IFERROR(E208/E41,0)</f>
        <v>0.19642857142857142</v>
      </c>
      <c r="F212" s="29"/>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c r="AS212" s="81"/>
      <c r="AT212" s="81"/>
      <c r="AU212" s="81"/>
      <c r="AV212" s="81"/>
      <c r="AW212" s="81"/>
      <c r="AX212" s="81"/>
      <c r="AY212" s="81"/>
      <c r="AZ212" s="81"/>
      <c r="BA212" s="81"/>
      <c r="BB212" s="81"/>
      <c r="BC212" s="81"/>
      <c r="BD212" s="81"/>
      <c r="BE212" s="81"/>
      <c r="BF212" s="81"/>
      <c r="BG212" s="81"/>
      <c r="BH212" s="81"/>
      <c r="BI212" s="81"/>
      <c r="BJ212" s="81"/>
      <c r="BK212" s="81"/>
      <c r="BL212" s="81"/>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row>
    <row r="213" spans="1:86" ht="13" outlineLevel="1">
      <c r="B213" s="13"/>
      <c r="C213" s="15"/>
      <c r="D213" s="15"/>
      <c r="E213" s="15"/>
      <c r="F213" s="29"/>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1"/>
      <c r="AV213" s="81"/>
      <c r="AW213" s="81"/>
      <c r="AX213" s="81"/>
      <c r="AY213" s="81"/>
      <c r="AZ213" s="81"/>
      <c r="BA213" s="81"/>
      <c r="BB213" s="81"/>
      <c r="BC213" s="81"/>
      <c r="BD213" s="81"/>
      <c r="BE213" s="81"/>
      <c r="BF213" s="81"/>
      <c r="BG213" s="81"/>
      <c r="BH213" s="81"/>
      <c r="BI213" s="81"/>
      <c r="BJ213" s="81"/>
      <c r="BK213" s="81"/>
      <c r="BL213" s="81"/>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row>
    <row r="214" spans="1:86" ht="13" outlineLevel="1">
      <c r="A214" s="13"/>
      <c r="B214" s="44" t="s">
        <v>322</v>
      </c>
      <c r="C214" s="13"/>
      <c r="D214" s="15"/>
      <c r="E214" s="15"/>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row>
    <row r="215" spans="1:86" ht="13" outlineLevel="1">
      <c r="A215" s="13"/>
      <c r="B215" s="13" t="s">
        <v>323</v>
      </c>
      <c r="C215" s="13"/>
      <c r="D215" s="13" t="s">
        <v>238</v>
      </c>
      <c r="E215" s="88">
        <f t="shared" ref="E215:E243" ca="1" si="172">IF(D215="sum",SUM(G215:CH215),IF(D215="final",CH215,IF(D215="initial",G215,IF(D215="average",AVERAGE(G215:CH215),0))))</f>
        <v>1.0000000000000011</v>
      </c>
      <c r="F215" s="48"/>
      <c r="G215" s="90">
        <f t="shared" ref="G215:CH215" ca="1" si="173">MIN(1-F241,MAX(0,G216+G217+G218+G235-G219))</f>
        <v>5.7775E-2</v>
      </c>
      <c r="H215" s="90">
        <f t="shared" ca="1" si="173"/>
        <v>5.3775000000000003E-2</v>
      </c>
      <c r="I215" s="90">
        <f t="shared" ca="1" si="173"/>
        <v>5.3775000000000003E-2</v>
      </c>
      <c r="J215" s="90">
        <f t="shared" ca="1" si="173"/>
        <v>5.3775000000000003E-2</v>
      </c>
      <c r="K215" s="90">
        <f t="shared" ca="1" si="173"/>
        <v>5.3775000000000003E-2</v>
      </c>
      <c r="L215" s="90">
        <f t="shared" ca="1" si="173"/>
        <v>5.3775000000000003E-2</v>
      </c>
      <c r="M215" s="90">
        <f t="shared" ca="1" si="173"/>
        <v>5.3775000000000003E-2</v>
      </c>
      <c r="N215" s="90">
        <f t="shared" ca="1" si="173"/>
        <v>5.3775000000000003E-2</v>
      </c>
      <c r="O215" s="90">
        <f t="shared" ca="1" si="173"/>
        <v>5.3775000000000003E-2</v>
      </c>
      <c r="P215" s="90">
        <f t="shared" ca="1" si="173"/>
        <v>5.3775000000000003E-2</v>
      </c>
      <c r="Q215" s="90">
        <f t="shared" ca="1" si="173"/>
        <v>5.3775000000000003E-2</v>
      </c>
      <c r="R215" s="90">
        <f t="shared" ca="1" si="173"/>
        <v>5.3775000000000003E-2</v>
      </c>
      <c r="S215" s="90">
        <f t="shared" ca="1" si="173"/>
        <v>5.377500000000001E-2</v>
      </c>
      <c r="T215" s="90">
        <f t="shared" ca="1" si="173"/>
        <v>5.377500000000001E-2</v>
      </c>
      <c r="U215" s="90">
        <f t="shared" ca="1" si="173"/>
        <v>5.377500000000001E-2</v>
      </c>
      <c r="V215" s="90">
        <f t="shared" ca="1" si="173"/>
        <v>5.377500000000001E-2</v>
      </c>
      <c r="W215" s="90">
        <f t="shared" ca="1" si="173"/>
        <v>5.6499999999999996E-3</v>
      </c>
      <c r="X215" s="90">
        <f t="shared" ca="1" si="173"/>
        <v>5.6499999999999996E-3</v>
      </c>
      <c r="Y215" s="90">
        <f t="shared" ca="1" si="173"/>
        <v>5.6499999999999996E-3</v>
      </c>
      <c r="Z215" s="90">
        <f t="shared" ca="1" si="173"/>
        <v>5.6499999999999996E-3</v>
      </c>
      <c r="AA215" s="90">
        <f t="shared" ca="1" si="173"/>
        <v>5.6499999999999996E-3</v>
      </c>
      <c r="AB215" s="90">
        <f t="shared" ca="1" si="173"/>
        <v>5.6499999999999996E-3</v>
      </c>
      <c r="AC215" s="90">
        <f t="shared" ca="1" si="173"/>
        <v>5.6499999999999996E-3</v>
      </c>
      <c r="AD215" s="90">
        <f t="shared" ca="1" si="173"/>
        <v>5.6499999999999996E-3</v>
      </c>
      <c r="AE215" s="90">
        <f t="shared" ca="1" si="173"/>
        <v>5.6499999999999996E-3</v>
      </c>
      <c r="AF215" s="90">
        <f t="shared" ca="1" si="173"/>
        <v>5.6499999999999996E-3</v>
      </c>
      <c r="AG215" s="90">
        <f t="shared" ca="1" si="173"/>
        <v>5.6499999999999996E-3</v>
      </c>
      <c r="AH215" s="90">
        <f t="shared" ca="1" si="173"/>
        <v>5.6499999999999996E-3</v>
      </c>
      <c r="AI215" s="90">
        <f t="shared" ca="1" si="173"/>
        <v>5.6499999999999996E-3</v>
      </c>
      <c r="AJ215" s="90">
        <f t="shared" ca="1" si="173"/>
        <v>5.6499999999999996E-3</v>
      </c>
      <c r="AK215" s="90">
        <f t="shared" ca="1" si="173"/>
        <v>5.6499999999999996E-3</v>
      </c>
      <c r="AL215" s="90">
        <f t="shared" ca="1" si="173"/>
        <v>5.6499999999999996E-3</v>
      </c>
      <c r="AM215" s="90">
        <f t="shared" ca="1" si="173"/>
        <v>5.6499999999999996E-3</v>
      </c>
      <c r="AN215" s="90">
        <f t="shared" ca="1" si="173"/>
        <v>5.6499999999999996E-3</v>
      </c>
      <c r="AO215" s="90">
        <f t="shared" ca="1" si="173"/>
        <v>5.6499999999999996E-3</v>
      </c>
      <c r="AP215" s="90">
        <f t="shared" ca="1" si="173"/>
        <v>5.6499999999999996E-3</v>
      </c>
      <c r="AQ215" s="90">
        <f t="shared" ca="1" si="173"/>
        <v>5.6499999999999996E-3</v>
      </c>
      <c r="AR215" s="90">
        <f t="shared" ca="1" si="173"/>
        <v>5.6499999999999996E-3</v>
      </c>
      <c r="AS215" s="90">
        <f t="shared" ca="1" si="173"/>
        <v>5.6499999999999996E-3</v>
      </c>
      <c r="AT215" s="90">
        <f t="shared" ca="1" si="173"/>
        <v>5.6499999999999996E-3</v>
      </c>
      <c r="AU215" s="90">
        <f t="shared" ca="1" si="173"/>
        <v>0</v>
      </c>
      <c r="AV215" s="90">
        <f t="shared" ca="1" si="173"/>
        <v>0</v>
      </c>
      <c r="AW215" s="90">
        <f t="shared" ca="1" si="173"/>
        <v>0</v>
      </c>
      <c r="AX215" s="90">
        <f t="shared" ca="1" si="173"/>
        <v>0</v>
      </c>
      <c r="AY215" s="90">
        <f t="shared" ca="1" si="173"/>
        <v>0</v>
      </c>
      <c r="AZ215" s="90">
        <f t="shared" ca="1" si="173"/>
        <v>0</v>
      </c>
      <c r="BA215" s="90">
        <f t="shared" ca="1" si="173"/>
        <v>0</v>
      </c>
      <c r="BB215" s="90">
        <f t="shared" ca="1" si="173"/>
        <v>0</v>
      </c>
      <c r="BC215" s="90">
        <f t="shared" ca="1" si="173"/>
        <v>0</v>
      </c>
      <c r="BD215" s="90">
        <f t="shared" ca="1" si="173"/>
        <v>0</v>
      </c>
      <c r="BE215" s="90">
        <f t="shared" ca="1" si="173"/>
        <v>0</v>
      </c>
      <c r="BF215" s="90">
        <f t="shared" ca="1" si="173"/>
        <v>0</v>
      </c>
      <c r="BG215" s="90">
        <f t="shared" ca="1" si="173"/>
        <v>0</v>
      </c>
      <c r="BH215" s="90">
        <f t="shared" ca="1" si="173"/>
        <v>0</v>
      </c>
      <c r="BI215" s="90">
        <f t="shared" ca="1" si="173"/>
        <v>0</v>
      </c>
      <c r="BJ215" s="90">
        <f t="shared" ca="1" si="173"/>
        <v>0</v>
      </c>
      <c r="BK215" s="90">
        <f t="shared" ca="1" si="173"/>
        <v>0</v>
      </c>
      <c r="BL215" s="90">
        <f t="shared" ca="1" si="173"/>
        <v>0</v>
      </c>
      <c r="BM215" s="90">
        <f t="shared" ca="1" si="173"/>
        <v>0</v>
      </c>
      <c r="BN215" s="90">
        <f t="shared" ca="1" si="173"/>
        <v>0</v>
      </c>
      <c r="BO215" s="90">
        <f t="shared" ca="1" si="173"/>
        <v>0</v>
      </c>
      <c r="BP215" s="90">
        <f t="shared" ca="1" si="173"/>
        <v>0</v>
      </c>
      <c r="BQ215" s="90">
        <f t="shared" ca="1" si="173"/>
        <v>0</v>
      </c>
      <c r="BR215" s="90">
        <f t="shared" ca="1" si="173"/>
        <v>0</v>
      </c>
      <c r="BS215" s="90">
        <f t="shared" ca="1" si="173"/>
        <v>0</v>
      </c>
      <c r="BT215" s="90">
        <f t="shared" ca="1" si="173"/>
        <v>0</v>
      </c>
      <c r="BU215" s="90">
        <f t="shared" ca="1" si="173"/>
        <v>0</v>
      </c>
      <c r="BV215" s="90">
        <f t="shared" ca="1" si="173"/>
        <v>0</v>
      </c>
      <c r="BW215" s="90">
        <f t="shared" ca="1" si="173"/>
        <v>0</v>
      </c>
      <c r="BX215" s="90">
        <f t="shared" ca="1" si="173"/>
        <v>0</v>
      </c>
      <c r="BY215" s="90">
        <f t="shared" ca="1" si="173"/>
        <v>0</v>
      </c>
      <c r="BZ215" s="90">
        <f t="shared" ca="1" si="173"/>
        <v>0</v>
      </c>
      <c r="CA215" s="90">
        <f t="shared" ca="1" si="173"/>
        <v>0</v>
      </c>
      <c r="CB215" s="90">
        <f t="shared" ca="1" si="173"/>
        <v>0</v>
      </c>
      <c r="CC215" s="90">
        <f t="shared" ca="1" si="173"/>
        <v>0</v>
      </c>
      <c r="CD215" s="90">
        <f t="shared" ca="1" si="173"/>
        <v>0</v>
      </c>
      <c r="CE215" s="90">
        <f t="shared" ca="1" si="173"/>
        <v>0</v>
      </c>
      <c r="CF215" s="90">
        <f t="shared" ca="1" si="173"/>
        <v>0</v>
      </c>
      <c r="CG215" s="90">
        <f t="shared" ca="1" si="173"/>
        <v>0</v>
      </c>
      <c r="CH215" s="90">
        <f t="shared" ca="1" si="173"/>
        <v>0</v>
      </c>
    </row>
    <row r="216" spans="1:86" ht="13" outlineLevel="1">
      <c r="A216" s="13"/>
      <c r="B216" s="13" t="s">
        <v>324</v>
      </c>
      <c r="C216" s="13"/>
      <c r="D216" s="13" t="s">
        <v>238</v>
      </c>
      <c r="E216" s="88">
        <f t="shared" si="172"/>
        <v>4.0000000000000001E-3</v>
      </c>
      <c r="F216" s="48"/>
      <c r="G216" s="90">
        <f t="shared" ref="G216:CH216" si="174">IFERROR(G39/$E30,0)</f>
        <v>4.0000000000000001E-3</v>
      </c>
      <c r="H216" s="90">
        <f t="shared" si="174"/>
        <v>0</v>
      </c>
      <c r="I216" s="90">
        <f t="shared" si="174"/>
        <v>0</v>
      </c>
      <c r="J216" s="90">
        <f t="shared" si="174"/>
        <v>0</v>
      </c>
      <c r="K216" s="90">
        <f t="shared" si="174"/>
        <v>0</v>
      </c>
      <c r="L216" s="90">
        <f t="shared" si="174"/>
        <v>0</v>
      </c>
      <c r="M216" s="90">
        <f t="shared" si="174"/>
        <v>0</v>
      </c>
      <c r="N216" s="90">
        <f t="shared" si="174"/>
        <v>0</v>
      </c>
      <c r="O216" s="90">
        <f t="shared" si="174"/>
        <v>0</v>
      </c>
      <c r="P216" s="90">
        <f t="shared" si="174"/>
        <v>0</v>
      </c>
      <c r="Q216" s="90">
        <f t="shared" si="174"/>
        <v>0</v>
      </c>
      <c r="R216" s="90">
        <f t="shared" si="174"/>
        <v>0</v>
      </c>
      <c r="S216" s="90">
        <f t="shared" si="174"/>
        <v>0</v>
      </c>
      <c r="T216" s="90">
        <f t="shared" si="174"/>
        <v>0</v>
      </c>
      <c r="U216" s="90">
        <f t="shared" si="174"/>
        <v>0</v>
      </c>
      <c r="V216" s="90">
        <f t="shared" si="174"/>
        <v>0</v>
      </c>
      <c r="W216" s="90">
        <f t="shared" si="174"/>
        <v>0</v>
      </c>
      <c r="X216" s="90">
        <f t="shared" si="174"/>
        <v>0</v>
      </c>
      <c r="Y216" s="90">
        <f t="shared" si="174"/>
        <v>0</v>
      </c>
      <c r="Z216" s="90">
        <f t="shared" si="174"/>
        <v>0</v>
      </c>
      <c r="AA216" s="90">
        <f t="shared" si="174"/>
        <v>0</v>
      </c>
      <c r="AB216" s="90">
        <f t="shared" si="174"/>
        <v>0</v>
      </c>
      <c r="AC216" s="90">
        <f t="shared" si="174"/>
        <v>0</v>
      </c>
      <c r="AD216" s="90">
        <f t="shared" si="174"/>
        <v>0</v>
      </c>
      <c r="AE216" s="90">
        <f t="shared" si="174"/>
        <v>0</v>
      </c>
      <c r="AF216" s="90">
        <f t="shared" si="174"/>
        <v>0</v>
      </c>
      <c r="AG216" s="90">
        <f t="shared" si="174"/>
        <v>0</v>
      </c>
      <c r="AH216" s="90">
        <f t="shared" si="174"/>
        <v>0</v>
      </c>
      <c r="AI216" s="90">
        <f t="shared" si="174"/>
        <v>0</v>
      </c>
      <c r="AJ216" s="90">
        <f t="shared" si="174"/>
        <v>0</v>
      </c>
      <c r="AK216" s="90">
        <f t="shared" si="174"/>
        <v>0</v>
      </c>
      <c r="AL216" s="90">
        <f t="shared" si="174"/>
        <v>0</v>
      </c>
      <c r="AM216" s="90">
        <f t="shared" si="174"/>
        <v>0</v>
      </c>
      <c r="AN216" s="90">
        <f t="shared" si="174"/>
        <v>0</v>
      </c>
      <c r="AO216" s="90">
        <f t="shared" si="174"/>
        <v>0</v>
      </c>
      <c r="AP216" s="90">
        <f t="shared" si="174"/>
        <v>0</v>
      </c>
      <c r="AQ216" s="90">
        <f t="shared" si="174"/>
        <v>0</v>
      </c>
      <c r="AR216" s="90">
        <f t="shared" si="174"/>
        <v>0</v>
      </c>
      <c r="AS216" s="90">
        <f t="shared" si="174"/>
        <v>0</v>
      </c>
      <c r="AT216" s="90">
        <f t="shared" si="174"/>
        <v>0</v>
      </c>
      <c r="AU216" s="90">
        <f t="shared" si="174"/>
        <v>0</v>
      </c>
      <c r="AV216" s="90">
        <f t="shared" si="174"/>
        <v>0</v>
      </c>
      <c r="AW216" s="90">
        <f t="shared" si="174"/>
        <v>0</v>
      </c>
      <c r="AX216" s="90">
        <f t="shared" si="174"/>
        <v>0</v>
      </c>
      <c r="AY216" s="90">
        <f t="shared" si="174"/>
        <v>0</v>
      </c>
      <c r="AZ216" s="90">
        <f t="shared" si="174"/>
        <v>0</v>
      </c>
      <c r="BA216" s="90">
        <f t="shared" si="174"/>
        <v>0</v>
      </c>
      <c r="BB216" s="90">
        <f t="shared" si="174"/>
        <v>0</v>
      </c>
      <c r="BC216" s="90">
        <f t="shared" si="174"/>
        <v>0</v>
      </c>
      <c r="BD216" s="90">
        <f t="shared" si="174"/>
        <v>0</v>
      </c>
      <c r="BE216" s="90">
        <f t="shared" si="174"/>
        <v>0</v>
      </c>
      <c r="BF216" s="90">
        <f t="shared" si="174"/>
        <v>0</v>
      </c>
      <c r="BG216" s="90">
        <f t="shared" si="174"/>
        <v>0</v>
      </c>
      <c r="BH216" s="90">
        <f t="shared" si="174"/>
        <v>0</v>
      </c>
      <c r="BI216" s="90">
        <f t="shared" si="174"/>
        <v>0</v>
      </c>
      <c r="BJ216" s="90">
        <f t="shared" si="174"/>
        <v>0</v>
      </c>
      <c r="BK216" s="90">
        <f t="shared" si="174"/>
        <v>0</v>
      </c>
      <c r="BL216" s="90">
        <f t="shared" si="174"/>
        <v>0</v>
      </c>
      <c r="BM216" s="90">
        <f t="shared" si="174"/>
        <v>0</v>
      </c>
      <c r="BN216" s="90">
        <f t="shared" si="174"/>
        <v>0</v>
      </c>
      <c r="BO216" s="90">
        <f t="shared" si="174"/>
        <v>0</v>
      </c>
      <c r="BP216" s="90">
        <f t="shared" si="174"/>
        <v>0</v>
      </c>
      <c r="BQ216" s="90">
        <f t="shared" si="174"/>
        <v>0</v>
      </c>
      <c r="BR216" s="90">
        <f t="shared" si="174"/>
        <v>0</v>
      </c>
      <c r="BS216" s="90">
        <f t="shared" si="174"/>
        <v>0</v>
      </c>
      <c r="BT216" s="90">
        <f t="shared" si="174"/>
        <v>0</v>
      </c>
      <c r="BU216" s="90">
        <f t="shared" si="174"/>
        <v>0</v>
      </c>
      <c r="BV216" s="90">
        <f t="shared" si="174"/>
        <v>0</v>
      </c>
      <c r="BW216" s="90">
        <f t="shared" si="174"/>
        <v>0</v>
      </c>
      <c r="BX216" s="90">
        <f t="shared" si="174"/>
        <v>0</v>
      </c>
      <c r="BY216" s="90">
        <f t="shared" si="174"/>
        <v>0</v>
      </c>
      <c r="BZ216" s="90">
        <f t="shared" si="174"/>
        <v>0</v>
      </c>
      <c r="CA216" s="90">
        <f t="shared" si="174"/>
        <v>0</v>
      </c>
      <c r="CB216" s="90">
        <f t="shared" si="174"/>
        <v>0</v>
      </c>
      <c r="CC216" s="90">
        <f t="shared" si="174"/>
        <v>0</v>
      </c>
      <c r="CD216" s="90">
        <f t="shared" si="174"/>
        <v>0</v>
      </c>
      <c r="CE216" s="90">
        <f t="shared" si="174"/>
        <v>0</v>
      </c>
      <c r="CF216" s="90">
        <f t="shared" si="174"/>
        <v>0</v>
      </c>
      <c r="CG216" s="90">
        <f t="shared" si="174"/>
        <v>0</v>
      </c>
      <c r="CH216" s="90">
        <f t="shared" si="174"/>
        <v>0</v>
      </c>
    </row>
    <row r="217" spans="1:86" ht="13" outlineLevel="1">
      <c r="A217" s="13"/>
      <c r="B217" s="13" t="s">
        <v>325</v>
      </c>
      <c r="C217" s="13"/>
      <c r="D217" s="13" t="s">
        <v>238</v>
      </c>
      <c r="E217" s="88">
        <f t="shared" si="172"/>
        <v>3.0000000000000016E-2</v>
      </c>
      <c r="F217" s="48"/>
      <c r="G217" s="90">
        <f t="shared" ref="G217:CH217" si="175">IFERROR(G40/$E30,0)</f>
        <v>7.5000000000000002E-4</v>
      </c>
      <c r="H217" s="90">
        <f t="shared" si="175"/>
        <v>7.5000000000000002E-4</v>
      </c>
      <c r="I217" s="90">
        <f t="shared" si="175"/>
        <v>7.5000000000000002E-4</v>
      </c>
      <c r="J217" s="90">
        <f t="shared" si="175"/>
        <v>7.5000000000000002E-4</v>
      </c>
      <c r="K217" s="90">
        <f t="shared" si="175"/>
        <v>7.5000000000000002E-4</v>
      </c>
      <c r="L217" s="90">
        <f t="shared" si="175"/>
        <v>7.5000000000000002E-4</v>
      </c>
      <c r="M217" s="90">
        <f t="shared" si="175"/>
        <v>7.5000000000000002E-4</v>
      </c>
      <c r="N217" s="90">
        <f t="shared" si="175"/>
        <v>7.5000000000000002E-4</v>
      </c>
      <c r="O217" s="90">
        <f t="shared" si="175"/>
        <v>7.5000000000000002E-4</v>
      </c>
      <c r="P217" s="90">
        <f t="shared" si="175"/>
        <v>7.5000000000000002E-4</v>
      </c>
      <c r="Q217" s="90">
        <f t="shared" si="175"/>
        <v>7.5000000000000002E-4</v>
      </c>
      <c r="R217" s="90">
        <f t="shared" si="175"/>
        <v>7.5000000000000002E-4</v>
      </c>
      <c r="S217" s="90">
        <f t="shared" si="175"/>
        <v>7.5000000000000002E-4</v>
      </c>
      <c r="T217" s="90">
        <f t="shared" si="175"/>
        <v>7.5000000000000002E-4</v>
      </c>
      <c r="U217" s="90">
        <f t="shared" si="175"/>
        <v>7.5000000000000002E-4</v>
      </c>
      <c r="V217" s="90">
        <f t="shared" si="175"/>
        <v>7.5000000000000002E-4</v>
      </c>
      <c r="W217" s="90">
        <f t="shared" si="175"/>
        <v>7.5000000000000002E-4</v>
      </c>
      <c r="X217" s="90">
        <f t="shared" si="175"/>
        <v>7.5000000000000002E-4</v>
      </c>
      <c r="Y217" s="90">
        <f t="shared" si="175"/>
        <v>7.5000000000000002E-4</v>
      </c>
      <c r="Z217" s="90">
        <f t="shared" si="175"/>
        <v>7.5000000000000002E-4</v>
      </c>
      <c r="AA217" s="90">
        <f t="shared" si="175"/>
        <v>7.5000000000000002E-4</v>
      </c>
      <c r="AB217" s="90">
        <f t="shared" si="175"/>
        <v>7.5000000000000002E-4</v>
      </c>
      <c r="AC217" s="90">
        <f t="shared" si="175"/>
        <v>7.5000000000000002E-4</v>
      </c>
      <c r="AD217" s="90">
        <f t="shared" si="175"/>
        <v>7.5000000000000002E-4</v>
      </c>
      <c r="AE217" s="90">
        <f t="shared" si="175"/>
        <v>7.5000000000000002E-4</v>
      </c>
      <c r="AF217" s="90">
        <f t="shared" si="175"/>
        <v>7.5000000000000002E-4</v>
      </c>
      <c r="AG217" s="90">
        <f t="shared" si="175"/>
        <v>7.5000000000000002E-4</v>
      </c>
      <c r="AH217" s="90">
        <f t="shared" si="175"/>
        <v>7.5000000000000002E-4</v>
      </c>
      <c r="AI217" s="90">
        <f t="shared" si="175"/>
        <v>7.5000000000000002E-4</v>
      </c>
      <c r="AJ217" s="90">
        <f t="shared" si="175"/>
        <v>7.5000000000000002E-4</v>
      </c>
      <c r="AK217" s="90">
        <f t="shared" si="175"/>
        <v>7.5000000000000002E-4</v>
      </c>
      <c r="AL217" s="90">
        <f t="shared" si="175"/>
        <v>7.5000000000000002E-4</v>
      </c>
      <c r="AM217" s="90">
        <f t="shared" si="175"/>
        <v>7.5000000000000002E-4</v>
      </c>
      <c r="AN217" s="90">
        <f t="shared" si="175"/>
        <v>7.5000000000000002E-4</v>
      </c>
      <c r="AO217" s="90">
        <f t="shared" si="175"/>
        <v>7.5000000000000002E-4</v>
      </c>
      <c r="AP217" s="90">
        <f t="shared" si="175"/>
        <v>7.5000000000000002E-4</v>
      </c>
      <c r="AQ217" s="90">
        <f t="shared" si="175"/>
        <v>7.5000000000000002E-4</v>
      </c>
      <c r="AR217" s="90">
        <f t="shared" si="175"/>
        <v>7.5000000000000002E-4</v>
      </c>
      <c r="AS217" s="90">
        <f t="shared" si="175"/>
        <v>7.5000000000000002E-4</v>
      </c>
      <c r="AT217" s="90">
        <f t="shared" si="175"/>
        <v>7.5000000000000002E-4</v>
      </c>
      <c r="AU217" s="90">
        <f t="shared" si="175"/>
        <v>0</v>
      </c>
      <c r="AV217" s="90">
        <f t="shared" si="175"/>
        <v>0</v>
      </c>
      <c r="AW217" s="90">
        <f t="shared" si="175"/>
        <v>0</v>
      </c>
      <c r="AX217" s="90">
        <f t="shared" si="175"/>
        <v>0</v>
      </c>
      <c r="AY217" s="90">
        <f t="shared" si="175"/>
        <v>0</v>
      </c>
      <c r="AZ217" s="90">
        <f t="shared" si="175"/>
        <v>0</v>
      </c>
      <c r="BA217" s="90">
        <f t="shared" si="175"/>
        <v>0</v>
      </c>
      <c r="BB217" s="90">
        <f t="shared" si="175"/>
        <v>0</v>
      </c>
      <c r="BC217" s="90">
        <f t="shared" si="175"/>
        <v>0</v>
      </c>
      <c r="BD217" s="90">
        <f t="shared" si="175"/>
        <v>0</v>
      </c>
      <c r="BE217" s="90">
        <f t="shared" si="175"/>
        <v>0</v>
      </c>
      <c r="BF217" s="90">
        <f t="shared" si="175"/>
        <v>0</v>
      </c>
      <c r="BG217" s="90">
        <f t="shared" si="175"/>
        <v>0</v>
      </c>
      <c r="BH217" s="90">
        <f t="shared" si="175"/>
        <v>0</v>
      </c>
      <c r="BI217" s="90">
        <f t="shared" si="175"/>
        <v>0</v>
      </c>
      <c r="BJ217" s="90">
        <f t="shared" si="175"/>
        <v>0</v>
      </c>
      <c r="BK217" s="90">
        <f t="shared" si="175"/>
        <v>0</v>
      </c>
      <c r="BL217" s="90">
        <f t="shared" si="175"/>
        <v>0</v>
      </c>
      <c r="BM217" s="90">
        <f t="shared" si="175"/>
        <v>0</v>
      </c>
      <c r="BN217" s="90">
        <f t="shared" si="175"/>
        <v>0</v>
      </c>
      <c r="BO217" s="90">
        <f t="shared" si="175"/>
        <v>0</v>
      </c>
      <c r="BP217" s="90">
        <f t="shared" si="175"/>
        <v>0</v>
      </c>
      <c r="BQ217" s="90">
        <f t="shared" si="175"/>
        <v>0</v>
      </c>
      <c r="BR217" s="90">
        <f t="shared" si="175"/>
        <v>0</v>
      </c>
      <c r="BS217" s="90">
        <f t="shared" si="175"/>
        <v>0</v>
      </c>
      <c r="BT217" s="90">
        <f t="shared" si="175"/>
        <v>0</v>
      </c>
      <c r="BU217" s="90">
        <f t="shared" si="175"/>
        <v>0</v>
      </c>
      <c r="BV217" s="90">
        <f t="shared" si="175"/>
        <v>0</v>
      </c>
      <c r="BW217" s="90">
        <f t="shared" si="175"/>
        <v>0</v>
      </c>
      <c r="BX217" s="90">
        <f t="shared" si="175"/>
        <v>0</v>
      </c>
      <c r="BY217" s="90">
        <f t="shared" si="175"/>
        <v>0</v>
      </c>
      <c r="BZ217" s="90">
        <f t="shared" si="175"/>
        <v>0</v>
      </c>
      <c r="CA217" s="90">
        <f t="shared" si="175"/>
        <v>0</v>
      </c>
      <c r="CB217" s="90">
        <f t="shared" si="175"/>
        <v>0</v>
      </c>
      <c r="CC217" s="90">
        <f t="shared" si="175"/>
        <v>0</v>
      </c>
      <c r="CD217" s="90">
        <f t="shared" si="175"/>
        <v>0</v>
      </c>
      <c r="CE217" s="90">
        <f t="shared" si="175"/>
        <v>0</v>
      </c>
      <c r="CF217" s="90">
        <f t="shared" si="175"/>
        <v>0</v>
      </c>
      <c r="CG217" s="90">
        <f t="shared" si="175"/>
        <v>0</v>
      </c>
      <c r="CH217" s="90">
        <f t="shared" si="175"/>
        <v>0</v>
      </c>
    </row>
    <row r="218" spans="1:86" ht="13" outlineLevel="1">
      <c r="A218" s="13"/>
      <c r="B218" s="13" t="s">
        <v>326</v>
      </c>
      <c r="C218" s="13"/>
      <c r="D218" s="13" t="s">
        <v>238</v>
      </c>
      <c r="E218" s="88">
        <f t="shared" si="172"/>
        <v>0.19599999999999984</v>
      </c>
      <c r="F218" s="48"/>
      <c r="G218" s="90">
        <f>IF(G15="committed", 1*G14*G9*IF($C17=TRUE,(1-'Get Started'!$E10),1), G267*G14*G9*IF($C17=TRUE,(1-'Get Started'!$E10),1) )</f>
        <v>4.8999999999999998E-3</v>
      </c>
      <c r="H218" s="90">
        <f>IF(H15="committed", 1*H14*H9*IF($C17=TRUE,(1-'Get Started'!$E10),1), H267*H14*H9*IF($C17=TRUE,(1-'Get Started'!$E10),1) )</f>
        <v>4.8999999999999998E-3</v>
      </c>
      <c r="I218" s="90">
        <f>IF(I15="committed", 1*I14*I9*IF($C17=TRUE,(1-'Get Started'!$E10),1), I267*I14*I9*IF($C17=TRUE,(1-'Get Started'!$E10),1) )</f>
        <v>4.8999999999999998E-3</v>
      </c>
      <c r="J218" s="90">
        <f>IF(J15="committed", 1*J14*J9*IF($C17=TRUE,(1-'Get Started'!$E10),1), J267*J14*J9*IF($C17=TRUE,(1-'Get Started'!$E10),1) )</f>
        <v>4.8999999999999998E-3</v>
      </c>
      <c r="K218" s="90">
        <f>IF(K15="committed", 1*K14*K9*IF($C17=TRUE,(1-'Get Started'!$E10),1), K267*K14*K9*IF($C17=TRUE,(1-'Get Started'!$E10),1) )</f>
        <v>4.8999999999999998E-3</v>
      </c>
      <c r="L218" s="90">
        <f>IF(L15="committed", 1*L14*L9*IF($C17=TRUE,(1-'Get Started'!$E10),1), L267*L14*L9*IF($C17=TRUE,(1-'Get Started'!$E10),1) )</f>
        <v>4.8999999999999998E-3</v>
      </c>
      <c r="M218" s="90">
        <f>IF(M15="committed", 1*M14*M9*IF($C17=TRUE,(1-'Get Started'!$E10),1), M267*M14*M9*IF($C17=TRUE,(1-'Get Started'!$E10),1) )</f>
        <v>4.8999999999999998E-3</v>
      </c>
      <c r="N218" s="90">
        <f>IF(N15="committed", 1*N14*N9*IF($C17=TRUE,(1-'Get Started'!$E10),1), N267*N14*N9*IF($C17=TRUE,(1-'Get Started'!$E10),1) )</f>
        <v>4.8999999999999998E-3</v>
      </c>
      <c r="O218" s="90">
        <f>IF(O15="committed", 1*O14*O9*IF($C17=TRUE,(1-'Get Started'!$E10),1), O267*O14*O9*IF($C17=TRUE,(1-'Get Started'!$E10),1) )</f>
        <v>4.8999999999999998E-3</v>
      </c>
      <c r="P218" s="90">
        <f>IF(P15="committed", 1*P14*P9*IF($C17=TRUE,(1-'Get Started'!$E10),1), P267*P14*P9*IF($C17=TRUE,(1-'Get Started'!$E10),1) )</f>
        <v>4.8999999999999998E-3</v>
      </c>
      <c r="Q218" s="90">
        <f>IF(Q15="committed", 1*Q14*Q9*IF($C17=TRUE,(1-'Get Started'!$E10),1), Q267*Q14*Q9*IF($C17=TRUE,(1-'Get Started'!$E10),1) )</f>
        <v>4.8999999999999998E-3</v>
      </c>
      <c r="R218" s="90">
        <f>IF(R15="committed", 1*R14*R9*IF($C17=TRUE,(1-'Get Started'!$E10),1), R267*R14*R9*IF($C17=TRUE,(1-'Get Started'!$E10),1) )</f>
        <v>4.8999999999999998E-3</v>
      </c>
      <c r="S218" s="90">
        <f>IF(S15="committed", 1*S14*S9*IF($C17=TRUE,(1-'Get Started'!$E10),1), S267*S14*S9*IF($C17=TRUE,(1-'Get Started'!$E10),1) )</f>
        <v>4.8999999999999998E-3</v>
      </c>
      <c r="T218" s="90">
        <f>IF(T15="committed", 1*T14*T9*IF($C17=TRUE,(1-'Get Started'!$E10),1), T267*T14*T9*IF($C17=TRUE,(1-'Get Started'!$E10),1) )</f>
        <v>4.8999999999999998E-3</v>
      </c>
      <c r="U218" s="90">
        <f>IF(U15="committed", 1*U14*U9*IF($C17=TRUE,(1-'Get Started'!$E10),1), U267*U14*U9*IF($C17=TRUE,(1-'Get Started'!$E10),1) )</f>
        <v>4.8999999999999998E-3</v>
      </c>
      <c r="V218" s="90">
        <f>IF(V15="committed", 1*V14*V9*IF($C17=TRUE,(1-'Get Started'!$E10),1), V267*V14*V9*IF($C17=TRUE,(1-'Get Started'!$E10),1) )</f>
        <v>4.8999999999999998E-3</v>
      </c>
      <c r="W218" s="90">
        <f>IF(W15="committed", 1*W14*W9*IF($C17=TRUE,(1-'Get Started'!$E10),1), W267*W14*W9*IF($C17=TRUE,(1-'Get Started'!$E10),1) )</f>
        <v>4.8999999999999998E-3</v>
      </c>
      <c r="X218" s="90">
        <f>IF(X15="committed", 1*X14*X9*IF($C17=TRUE,(1-'Get Started'!$E10),1), X267*X14*X9*IF($C17=TRUE,(1-'Get Started'!$E10),1) )</f>
        <v>4.8999999999999998E-3</v>
      </c>
      <c r="Y218" s="90">
        <f>IF(Y15="committed", 1*Y14*Y9*IF($C17=TRUE,(1-'Get Started'!$E10),1), Y267*Y14*Y9*IF($C17=TRUE,(1-'Get Started'!$E10),1) )</f>
        <v>4.8999999999999998E-3</v>
      </c>
      <c r="Z218" s="90">
        <f>IF(Z15="committed", 1*Z14*Z9*IF($C17=TRUE,(1-'Get Started'!$E10),1), Z267*Z14*Z9*IF($C17=TRUE,(1-'Get Started'!$E10),1) )</f>
        <v>4.8999999999999998E-3</v>
      </c>
      <c r="AA218" s="90">
        <f>IF(AA15="committed", 1*AA14*AA9*IF($C17=TRUE,(1-'Get Started'!$E10),1), AA267*AA14*AA9*IF($C17=TRUE,(1-'Get Started'!$E10),1) )</f>
        <v>4.8999999999999998E-3</v>
      </c>
      <c r="AB218" s="90">
        <f>IF(AB15="committed", 1*AB14*AB9*IF($C17=TRUE,(1-'Get Started'!$E10),1), AB267*AB14*AB9*IF($C17=TRUE,(1-'Get Started'!$E10),1) )</f>
        <v>4.8999999999999998E-3</v>
      </c>
      <c r="AC218" s="90">
        <f>IF(AC15="committed", 1*AC14*AC9*IF($C17=TRUE,(1-'Get Started'!$E10),1), AC267*AC14*AC9*IF($C17=TRUE,(1-'Get Started'!$E10),1) )</f>
        <v>4.8999999999999998E-3</v>
      </c>
      <c r="AD218" s="90">
        <f>IF(AD15="committed", 1*AD14*AD9*IF($C17=TRUE,(1-'Get Started'!$E10),1), AD267*AD14*AD9*IF($C17=TRUE,(1-'Get Started'!$E10),1) )</f>
        <v>4.8999999999999998E-3</v>
      </c>
      <c r="AE218" s="90">
        <f>IF(AE15="committed", 1*AE14*AE9*IF($C17=TRUE,(1-'Get Started'!$E10),1), AE267*AE14*AE9*IF($C17=TRUE,(1-'Get Started'!$E10),1) )</f>
        <v>4.8999999999999998E-3</v>
      </c>
      <c r="AF218" s="90">
        <f>IF(AF15="committed", 1*AF14*AF9*IF($C17=TRUE,(1-'Get Started'!$E10),1), AF267*AF14*AF9*IF($C17=TRUE,(1-'Get Started'!$E10),1) )</f>
        <v>4.8999999999999998E-3</v>
      </c>
      <c r="AG218" s="90">
        <f>IF(AG15="committed", 1*AG14*AG9*IF($C17=TRUE,(1-'Get Started'!$E10),1), AG267*AG14*AG9*IF($C17=TRUE,(1-'Get Started'!$E10),1) )</f>
        <v>4.8999999999999998E-3</v>
      </c>
      <c r="AH218" s="90">
        <f>IF(AH15="committed", 1*AH14*AH9*IF($C17=TRUE,(1-'Get Started'!$E10),1), AH267*AH14*AH9*IF($C17=TRUE,(1-'Get Started'!$E10),1) )</f>
        <v>4.8999999999999998E-3</v>
      </c>
      <c r="AI218" s="90">
        <f>IF(AI15="committed", 1*AI14*AI9*IF($C17=TRUE,(1-'Get Started'!$E10),1), AI267*AI14*AI9*IF($C17=TRUE,(1-'Get Started'!$E10),1) )</f>
        <v>4.8999999999999998E-3</v>
      </c>
      <c r="AJ218" s="90">
        <f>IF(AJ15="committed", 1*AJ14*AJ9*IF($C17=TRUE,(1-'Get Started'!$E10),1), AJ267*AJ14*AJ9*IF($C17=TRUE,(1-'Get Started'!$E10),1) )</f>
        <v>4.8999999999999998E-3</v>
      </c>
      <c r="AK218" s="90">
        <f>IF(AK15="committed", 1*AK14*AK9*IF($C17=TRUE,(1-'Get Started'!$E10),1), AK267*AK14*AK9*IF($C17=TRUE,(1-'Get Started'!$E10),1) )</f>
        <v>4.8999999999999998E-3</v>
      </c>
      <c r="AL218" s="90">
        <f>IF(AL15="committed", 1*AL14*AL9*IF($C17=TRUE,(1-'Get Started'!$E10),1), AL267*AL14*AL9*IF($C17=TRUE,(1-'Get Started'!$E10),1) )</f>
        <v>4.8999999999999998E-3</v>
      </c>
      <c r="AM218" s="90">
        <f>IF(AM15="committed", 1*AM14*AM9*IF($C17=TRUE,(1-'Get Started'!$E10),1), AM267*AM14*AM9*IF($C17=TRUE,(1-'Get Started'!$E10),1) )</f>
        <v>4.8999999999999998E-3</v>
      </c>
      <c r="AN218" s="90">
        <f>IF(AN15="committed", 1*AN14*AN9*IF($C17=TRUE,(1-'Get Started'!$E10),1), AN267*AN14*AN9*IF($C17=TRUE,(1-'Get Started'!$E10),1) )</f>
        <v>4.8999999999999998E-3</v>
      </c>
      <c r="AO218" s="90">
        <f>IF(AO15="committed", 1*AO14*AO9*IF($C17=TRUE,(1-'Get Started'!$E10),1), AO267*AO14*AO9*IF($C17=TRUE,(1-'Get Started'!$E10),1) )</f>
        <v>4.8999999999999998E-3</v>
      </c>
      <c r="AP218" s="90">
        <f>IF(AP15="committed", 1*AP14*AP9*IF($C17=TRUE,(1-'Get Started'!$E10),1), AP267*AP14*AP9*IF($C17=TRUE,(1-'Get Started'!$E10),1) )</f>
        <v>4.8999999999999998E-3</v>
      </c>
      <c r="AQ218" s="90">
        <f>IF(AQ15="committed", 1*AQ14*AQ9*IF($C17=TRUE,(1-'Get Started'!$E10),1), AQ267*AQ14*AQ9*IF($C17=TRUE,(1-'Get Started'!$E10),1) )</f>
        <v>4.8999999999999998E-3</v>
      </c>
      <c r="AR218" s="90">
        <f>IF(AR15="committed", 1*AR14*AR9*IF($C17=TRUE,(1-'Get Started'!$E10),1), AR267*AR14*AR9*IF($C17=TRUE,(1-'Get Started'!$E10),1) )</f>
        <v>4.8999999999999998E-3</v>
      </c>
      <c r="AS218" s="90">
        <f>IF(AS15="committed", 1*AS14*AS9*IF($C17=TRUE,(1-'Get Started'!$E10),1), AS267*AS14*AS9*IF($C17=TRUE,(1-'Get Started'!$E10),1) )</f>
        <v>4.8999999999999998E-3</v>
      </c>
      <c r="AT218" s="90">
        <f>IF(AT15="committed", 1*AT14*AT9*IF($C17=TRUE,(1-'Get Started'!$E10),1), AT267*AT14*AT9*IF($C17=TRUE,(1-'Get Started'!$E10),1) )</f>
        <v>4.8999999999999998E-3</v>
      </c>
      <c r="AU218" s="90">
        <f>IF(AU15="committed", 1*AU14*AU9*IF($C17=TRUE,(1-'Get Started'!$E10),1), AU267*AU14*AU9*IF($C17=TRUE,(1-'Get Started'!$E10),1) )</f>
        <v>0</v>
      </c>
      <c r="AV218" s="90">
        <f>IF(AV15="committed", 1*AV14*AV9*IF($C17=TRUE,(1-'Get Started'!$E10),1), AV267*AV14*AV9*IF($C17=TRUE,(1-'Get Started'!$E10),1) )</f>
        <v>0</v>
      </c>
      <c r="AW218" s="90">
        <f>IF(AW15="committed", 1*AW14*AW9*IF($C17=TRUE,(1-'Get Started'!$E10),1), AW267*AW14*AW9*IF($C17=TRUE,(1-'Get Started'!$E10),1) )</f>
        <v>0</v>
      </c>
      <c r="AX218" s="90">
        <f>IF(AX15="committed", 1*AX14*AX9*IF($C17=TRUE,(1-'Get Started'!$E10),1), AX267*AX14*AX9*IF($C17=TRUE,(1-'Get Started'!$E10),1) )</f>
        <v>0</v>
      </c>
      <c r="AY218" s="90">
        <f>IF(AY15="committed", 1*AY14*AY9*IF($C17=TRUE,(1-'Get Started'!$E10),1), AY267*AY14*AY9*IF($C17=TRUE,(1-'Get Started'!$E10),1) )</f>
        <v>0</v>
      </c>
      <c r="AZ218" s="90">
        <f>IF(AZ15="committed", 1*AZ14*AZ9*IF($C17=TRUE,(1-'Get Started'!$E10),1), AZ267*AZ14*AZ9*IF($C17=TRUE,(1-'Get Started'!$E10),1) )</f>
        <v>0</v>
      </c>
      <c r="BA218" s="90">
        <f>IF(BA15="committed", 1*BA14*BA9*IF($C17=TRUE,(1-'Get Started'!$E10),1), BA267*BA14*BA9*IF($C17=TRUE,(1-'Get Started'!$E10),1) )</f>
        <v>0</v>
      </c>
      <c r="BB218" s="90">
        <f>IF(BB15="committed", 1*BB14*BB9*IF($C17=TRUE,(1-'Get Started'!$E10),1), BB267*BB14*BB9*IF($C17=TRUE,(1-'Get Started'!$E10),1) )</f>
        <v>0</v>
      </c>
      <c r="BC218" s="90">
        <f>IF(BC15="committed", 1*BC14*BC9*IF($C17=TRUE,(1-'Get Started'!$E10),1), BC267*BC14*BC9*IF($C17=TRUE,(1-'Get Started'!$E10),1) )</f>
        <v>0</v>
      </c>
      <c r="BD218" s="90">
        <f>IF(BD15="committed", 1*BD14*BD9*IF($C17=TRUE,(1-'Get Started'!$E10),1), BD267*BD14*BD9*IF($C17=TRUE,(1-'Get Started'!$E10),1) )</f>
        <v>0</v>
      </c>
      <c r="BE218" s="90">
        <f>IF(BE15="committed", 1*BE14*BE9*IF($C17=TRUE,(1-'Get Started'!$E10),1), BE267*BE14*BE9*IF($C17=TRUE,(1-'Get Started'!$E10),1) )</f>
        <v>0</v>
      </c>
      <c r="BF218" s="90">
        <f>IF(BF15="committed", 1*BF14*BF9*IF($C17=TRUE,(1-'Get Started'!$E10),1), BF267*BF14*BF9*IF($C17=TRUE,(1-'Get Started'!$E10),1) )</f>
        <v>0</v>
      </c>
      <c r="BG218" s="90">
        <f>IF(BG15="committed", 1*BG14*BG9*IF($C17=TRUE,(1-'Get Started'!$E10),1), BG267*BG14*BG9*IF($C17=TRUE,(1-'Get Started'!$E10),1) )</f>
        <v>0</v>
      </c>
      <c r="BH218" s="90">
        <f>IF(BH15="committed", 1*BH14*BH9*IF($C17=TRUE,(1-'Get Started'!$E10),1), BH267*BH14*BH9*IF($C17=TRUE,(1-'Get Started'!$E10),1) )</f>
        <v>0</v>
      </c>
      <c r="BI218" s="90">
        <f>IF(BI15="committed", 1*BI14*BI9*IF($C17=TRUE,(1-'Get Started'!$E10),1), BI267*BI14*BI9*IF($C17=TRUE,(1-'Get Started'!$E10),1) )</f>
        <v>0</v>
      </c>
      <c r="BJ218" s="90">
        <f>IF(BJ15="committed", 1*BJ14*BJ9*IF($C17=TRUE,(1-'Get Started'!$E10),1), BJ267*BJ14*BJ9*IF($C17=TRUE,(1-'Get Started'!$E10),1) )</f>
        <v>0</v>
      </c>
      <c r="BK218" s="90">
        <f>IF(BK15="committed", 1*BK14*BK9*IF($C17=TRUE,(1-'Get Started'!$E10),1), BK267*BK14*BK9*IF($C17=TRUE,(1-'Get Started'!$E10),1) )</f>
        <v>0</v>
      </c>
      <c r="BL218" s="90">
        <f>IF(BL15="committed", 1*BL14*BL9*IF($C17=TRUE,(1-'Get Started'!$E10),1), BL267*BL14*BL9*IF($C17=TRUE,(1-'Get Started'!$E10),1) )</f>
        <v>0</v>
      </c>
      <c r="BM218" s="90">
        <f>IF(BM15="committed", 1*BM14*BM9*IF($C17=TRUE,(1-'Get Started'!$E10),1), BM267*BM14*BM9*IF($C17=TRUE,(1-'Get Started'!$E10),1) )</f>
        <v>0</v>
      </c>
      <c r="BN218" s="90">
        <f>IF(BN15="committed", 1*BN14*BN9*IF($C17=TRUE,(1-'Get Started'!$E10),1), BN267*BN14*BN9*IF($C17=TRUE,(1-'Get Started'!$E10),1) )</f>
        <v>0</v>
      </c>
      <c r="BO218" s="90">
        <f>IF(BO15="committed", 1*BO14*BO9*IF($C17=TRUE,(1-'Get Started'!$E10),1), BO267*BO14*BO9*IF($C17=TRUE,(1-'Get Started'!$E10),1) )</f>
        <v>0</v>
      </c>
      <c r="BP218" s="90">
        <f>IF(BP15="committed", 1*BP14*BP9*IF($C17=TRUE,(1-'Get Started'!$E10),1), BP267*BP14*BP9*IF($C17=TRUE,(1-'Get Started'!$E10),1) )</f>
        <v>0</v>
      </c>
      <c r="BQ218" s="90">
        <f>IF(BQ15="committed", 1*BQ14*BQ9*IF($C17=TRUE,(1-'Get Started'!$E10),1), BQ267*BQ14*BQ9*IF($C17=TRUE,(1-'Get Started'!$E10),1) )</f>
        <v>0</v>
      </c>
      <c r="BR218" s="90">
        <f>IF(BR15="committed", 1*BR14*BR9*IF($C17=TRUE,(1-'Get Started'!$E10),1), BR267*BR14*BR9*IF($C17=TRUE,(1-'Get Started'!$E10),1) )</f>
        <v>0</v>
      </c>
      <c r="BS218" s="90">
        <f>IF(BS15="committed", 1*BS14*BS9*IF($C17=TRUE,(1-'Get Started'!$E10),1), BS267*BS14*BS9*IF($C17=TRUE,(1-'Get Started'!$E10),1) )</f>
        <v>0</v>
      </c>
      <c r="BT218" s="90">
        <f>IF(BT15="committed", 1*BT14*BT9*IF($C17=TRUE,(1-'Get Started'!$E10),1), BT267*BT14*BT9*IF($C17=TRUE,(1-'Get Started'!$E10),1) )</f>
        <v>0</v>
      </c>
      <c r="BU218" s="90">
        <f>IF(BU15="committed", 1*BU14*BU9*IF($C17=TRUE,(1-'Get Started'!$E10),1), BU267*BU14*BU9*IF($C17=TRUE,(1-'Get Started'!$E10),1) )</f>
        <v>0</v>
      </c>
      <c r="BV218" s="90">
        <f>IF(BV15="committed", 1*BV14*BV9*IF($C17=TRUE,(1-'Get Started'!$E10),1), BV267*BV14*BV9*IF($C17=TRUE,(1-'Get Started'!$E10),1) )</f>
        <v>0</v>
      </c>
      <c r="BW218" s="90">
        <f>IF(BW15="committed", 1*BW14*BW9*IF($C17=TRUE,(1-'Get Started'!$E10),1), BW267*BW14*BW9*IF($C17=TRUE,(1-'Get Started'!$E10),1) )</f>
        <v>0</v>
      </c>
      <c r="BX218" s="90">
        <f>IF(BX15="committed", 1*BX14*BX9*IF($C17=TRUE,(1-'Get Started'!$E10),1), BX267*BX14*BX9*IF($C17=TRUE,(1-'Get Started'!$E10),1) )</f>
        <v>0</v>
      </c>
      <c r="BY218" s="90">
        <f>IF(BY15="committed", 1*BY14*BY9*IF($C17=TRUE,(1-'Get Started'!$E10),1), BY267*BY14*BY9*IF($C17=TRUE,(1-'Get Started'!$E10),1) )</f>
        <v>0</v>
      </c>
      <c r="BZ218" s="90">
        <f>IF(BZ15="committed", 1*BZ14*BZ9*IF($C17=TRUE,(1-'Get Started'!$E10),1), BZ267*BZ14*BZ9*IF($C17=TRUE,(1-'Get Started'!$E10),1) )</f>
        <v>0</v>
      </c>
      <c r="CA218" s="90">
        <f>IF(CA15="committed", 1*CA14*CA9*IF($C17=TRUE,(1-'Get Started'!$E10),1), CA267*CA14*CA9*IF($C17=TRUE,(1-'Get Started'!$E10),1) )</f>
        <v>0</v>
      </c>
      <c r="CB218" s="90">
        <f>IF(CB15="committed", 1*CB14*CB9*IF($C17=TRUE,(1-'Get Started'!$E10),1), CB267*CB14*CB9*IF($C17=TRUE,(1-'Get Started'!$E10),1) )</f>
        <v>0</v>
      </c>
      <c r="CC218" s="90">
        <f>IF(CC15="committed", 1*CC14*CC9*IF($C17=TRUE,(1-'Get Started'!$E10),1), CC267*CC14*CC9*IF($C17=TRUE,(1-'Get Started'!$E10),1) )</f>
        <v>0</v>
      </c>
      <c r="CD218" s="90">
        <f>IF(CD15="committed", 1*CD14*CD9*IF($C17=TRUE,(1-'Get Started'!$E10),1), CD267*CD14*CD9*IF($C17=TRUE,(1-'Get Started'!$E10),1) )</f>
        <v>0</v>
      </c>
      <c r="CE218" s="90">
        <f>IF(CE15="committed", 1*CE14*CE9*IF($C17=TRUE,(1-'Get Started'!$E10),1), CE267*CE14*CE9*IF($C17=TRUE,(1-'Get Started'!$E10),1) )</f>
        <v>0</v>
      </c>
      <c r="CF218" s="90">
        <f>IF(CF15="committed", 1*CF14*CF9*IF($C17=TRUE,(1-'Get Started'!$E10),1), CF267*CF14*CF9*IF($C17=TRUE,(1-'Get Started'!$E10),1) )</f>
        <v>0</v>
      </c>
      <c r="CG218" s="90">
        <f>IF(CG15="committed", 1*CG14*CG9*IF($C17=TRUE,(1-'Get Started'!$E10),1), CG267*CG14*CG9*IF($C17=TRUE,(1-'Get Started'!$E10),1) )</f>
        <v>0</v>
      </c>
      <c r="CH218" s="90">
        <f>IF(CH15="committed", 1*CH14*CH9*IF($C17=TRUE,(1-'Get Started'!$E10),1), CH267*CH14*CH9*IF($C17=TRUE,(1-'Get Started'!$E10),1) )</f>
        <v>0</v>
      </c>
    </row>
    <row r="219" spans="1:86" ht="13" outlineLevel="1">
      <c r="A219" s="13"/>
      <c r="B219" s="13" t="s">
        <v>327</v>
      </c>
      <c r="C219" s="13"/>
      <c r="D219" s="13" t="s">
        <v>238</v>
      </c>
      <c r="E219" s="88">
        <f t="shared" ca="1" si="172"/>
        <v>3.8500000000000006E-2</v>
      </c>
      <c r="F219" s="48"/>
      <c r="G219" s="90">
        <f ca="1">MIN(G240,'Get Started'!$E25*IF('Get Started'!$E26="committed capital",1,IF(SUMPRODUCT(--(Forecast!$G15:$CH15&lt;&gt;"committed"))=0,G242,F242))-F243)</f>
        <v>0</v>
      </c>
      <c r="H219" s="90">
        <f ca="1">MIN(H240,'Get Started'!$E25*IF('Get Started'!$E26="committed capital",1,IF(SUMPRODUCT(--(Forecast!$G15:$CH15&lt;&gt;"committed"))=0,H242,G242))-G243)</f>
        <v>0</v>
      </c>
      <c r="I219" s="90">
        <f ca="1">MIN(I240,'Get Started'!$E25*IF('Get Started'!$E26="committed capital",1,IF(SUMPRODUCT(--(Forecast!$G15:$CH15&lt;&gt;"committed"))=0,I242,H242))-H243)</f>
        <v>0</v>
      </c>
      <c r="J219" s="90">
        <f ca="1">MIN(J240,'Get Started'!$E25*IF('Get Started'!$E26="committed capital",1,IF(SUMPRODUCT(--(Forecast!$G15:$CH15&lt;&gt;"committed"))=0,J242,I242))-I243)</f>
        <v>0</v>
      </c>
      <c r="K219" s="90">
        <f ca="1">MIN(K240,'Get Started'!$E25*IF('Get Started'!$E26="committed capital",1,IF(SUMPRODUCT(--(Forecast!$G15:$CH15&lt;&gt;"committed"))=0,K242,J242))-J243)</f>
        <v>0</v>
      </c>
      <c r="L219" s="90">
        <f ca="1">MIN(L240,'Get Started'!$E25*IF('Get Started'!$E26="committed capital",1,IF(SUMPRODUCT(--(Forecast!$G15:$CH15&lt;&gt;"committed"))=0,L242,K242))-K243)</f>
        <v>0</v>
      </c>
      <c r="M219" s="90">
        <f ca="1">MIN(M240,'Get Started'!$E25*IF('Get Started'!$E26="committed capital",1,IF(SUMPRODUCT(--(Forecast!$G15:$CH15&lt;&gt;"committed"))=0,M242,L242))-L243)</f>
        <v>0</v>
      </c>
      <c r="N219" s="90">
        <f ca="1">MIN(N240,'Get Started'!$E25*IF('Get Started'!$E26="committed capital",1,IF(SUMPRODUCT(--(Forecast!$G15:$CH15&lt;&gt;"committed"))=0,N242,M242))-M243)</f>
        <v>0</v>
      </c>
      <c r="O219" s="90">
        <f ca="1">MIN(O240,'Get Started'!$E25*IF('Get Started'!$E26="committed capital",1,IF(SUMPRODUCT(--(Forecast!$G15:$CH15&lt;&gt;"committed"))=0,O242,N242))-N243)</f>
        <v>0</v>
      </c>
      <c r="P219" s="90">
        <f ca="1">MIN(P240,'Get Started'!$E25*IF('Get Started'!$E26="committed capital",1,IF(SUMPRODUCT(--(Forecast!$G15:$CH15&lt;&gt;"committed"))=0,P242,O242))-O243)</f>
        <v>0</v>
      </c>
      <c r="Q219" s="90">
        <f ca="1">MIN(Q240,'Get Started'!$E25*IF('Get Started'!$E26="committed capital",1,IF(SUMPRODUCT(--(Forecast!$G15:$CH15&lt;&gt;"committed"))=0,Q242,P242))-P243)</f>
        <v>0</v>
      </c>
      <c r="R219" s="90">
        <f ca="1">MIN(R240,'Get Started'!$E25*IF('Get Started'!$E26="committed capital",1,IF(SUMPRODUCT(--(Forecast!$G15:$CH15&lt;&gt;"committed"))=0,R242,Q242))-Q243)</f>
        <v>0</v>
      </c>
      <c r="S219" s="90">
        <f ca="1">MIN(S240,'Get Started'!$E25*IF('Get Started'!$E26="committed capital",1,IF(SUMPRODUCT(--(Forecast!$G15:$CH15&lt;&gt;"committed"))=0,S242,R242))-R243)</f>
        <v>9.6250000000000016E-3</v>
      </c>
      <c r="T219" s="90">
        <f ca="1">MIN(T240,'Get Started'!$E25*IF('Get Started'!$E26="committed capital",1,IF(SUMPRODUCT(--(Forecast!$G15:$CH15&lt;&gt;"committed"))=0,T242,S242))-S243)</f>
        <v>9.6250000000000016E-3</v>
      </c>
      <c r="U219" s="90">
        <f ca="1">MIN(U240,'Get Started'!$E25*IF('Get Started'!$E26="committed capital",1,IF(SUMPRODUCT(--(Forecast!$G15:$CH15&lt;&gt;"committed"))=0,U242,T242))-T243)</f>
        <v>9.6250000000000016E-3</v>
      </c>
      <c r="V219" s="90">
        <f ca="1">MIN(V240,'Get Started'!$E25*IF('Get Started'!$E26="committed capital",1,IF(SUMPRODUCT(--(Forecast!$G15:$CH15&lt;&gt;"committed"))=0,V242,U242))-U243)</f>
        <v>9.6250000000000016E-3</v>
      </c>
      <c r="W219" s="90">
        <f ca="1">MIN(W240,'Get Started'!$E25*IF('Get Started'!$E26="committed capital",1,IF(SUMPRODUCT(--(Forecast!$G15:$CH15&lt;&gt;"committed"))=0,W242,V242))-V243)</f>
        <v>0</v>
      </c>
      <c r="X219" s="90">
        <f ca="1">MIN(X240,'Get Started'!$E25*IF('Get Started'!$E26="committed capital",1,IF(SUMPRODUCT(--(Forecast!$G15:$CH15&lt;&gt;"committed"))=0,X242,W242))-W243)</f>
        <v>0</v>
      </c>
      <c r="Y219" s="90">
        <f ca="1">MIN(Y240,'Get Started'!$E25*IF('Get Started'!$E26="committed capital",1,IF(SUMPRODUCT(--(Forecast!$G15:$CH15&lt;&gt;"committed"))=0,Y242,X242))-X243)</f>
        <v>0</v>
      </c>
      <c r="Z219" s="90">
        <f ca="1">MIN(Z240,'Get Started'!$E25*IF('Get Started'!$E26="committed capital",1,IF(SUMPRODUCT(--(Forecast!$G15:$CH15&lt;&gt;"committed"))=0,Z242,Y242))-Y243)</f>
        <v>0</v>
      </c>
      <c r="AA219" s="90">
        <f ca="1">MIN(AA240,'Get Started'!$E25*IF('Get Started'!$E26="committed capital",1,IF(SUMPRODUCT(--(Forecast!$G15:$CH15&lt;&gt;"committed"))=0,AA242,Z242))-Z243)</f>
        <v>0</v>
      </c>
      <c r="AB219" s="90">
        <f ca="1">MIN(AB240,'Get Started'!$E25*IF('Get Started'!$E26="committed capital",1,IF(SUMPRODUCT(--(Forecast!$G15:$CH15&lt;&gt;"committed"))=0,AB242,AA242))-AA243)</f>
        <v>0</v>
      </c>
      <c r="AC219" s="90">
        <f ca="1">MIN(AC240,'Get Started'!$E25*IF('Get Started'!$E26="committed capital",1,IF(SUMPRODUCT(--(Forecast!$G15:$CH15&lt;&gt;"committed"))=0,AC242,AB242))-AB243)</f>
        <v>0</v>
      </c>
      <c r="AD219" s="90">
        <f ca="1">MIN(AD240,'Get Started'!$E25*IF('Get Started'!$E26="committed capital",1,IF(SUMPRODUCT(--(Forecast!$G15:$CH15&lt;&gt;"committed"))=0,AD242,AC242))-AC243)</f>
        <v>0</v>
      </c>
      <c r="AE219" s="90">
        <f ca="1">MIN(AE240,'Get Started'!$E25*IF('Get Started'!$E26="committed capital",1,IF(SUMPRODUCT(--(Forecast!$G15:$CH15&lt;&gt;"committed"))=0,AE242,AD242))-AD243)</f>
        <v>0</v>
      </c>
      <c r="AF219" s="90">
        <f ca="1">MIN(AF240,'Get Started'!$E25*IF('Get Started'!$E26="committed capital",1,IF(SUMPRODUCT(--(Forecast!$G15:$CH15&lt;&gt;"committed"))=0,AF242,AE242))-AE243)</f>
        <v>0</v>
      </c>
      <c r="AG219" s="90">
        <f ca="1">MIN(AG240,'Get Started'!$E25*IF('Get Started'!$E26="committed capital",1,IF(SUMPRODUCT(--(Forecast!$G15:$CH15&lt;&gt;"committed"))=0,AG242,AF242))-AF243)</f>
        <v>0</v>
      </c>
      <c r="AH219" s="90">
        <f ca="1">MIN(AH240,'Get Started'!$E25*IF('Get Started'!$E26="committed capital",1,IF(SUMPRODUCT(--(Forecast!$G15:$CH15&lt;&gt;"committed"))=0,AH242,AG242))-AG243)</f>
        <v>0</v>
      </c>
      <c r="AI219" s="90">
        <f ca="1">MIN(AI240,'Get Started'!$E25*IF('Get Started'!$E26="committed capital",1,IF(SUMPRODUCT(--(Forecast!$G15:$CH15&lt;&gt;"committed"))=0,AI242,AH242))-AH243)</f>
        <v>0</v>
      </c>
      <c r="AJ219" s="90">
        <f ca="1">MIN(AJ240,'Get Started'!$E25*IF('Get Started'!$E26="committed capital",1,IF(SUMPRODUCT(--(Forecast!$G15:$CH15&lt;&gt;"committed"))=0,AJ242,AI242))-AI243)</f>
        <v>0</v>
      </c>
      <c r="AK219" s="90">
        <f ca="1">MIN(AK240,'Get Started'!$E25*IF('Get Started'!$E26="committed capital",1,IF(SUMPRODUCT(--(Forecast!$G15:$CH15&lt;&gt;"committed"))=0,AK242,AJ242))-AJ243)</f>
        <v>0</v>
      </c>
      <c r="AL219" s="90">
        <f ca="1">MIN(AL240,'Get Started'!$E25*IF('Get Started'!$E26="committed capital",1,IF(SUMPRODUCT(--(Forecast!$G15:$CH15&lt;&gt;"committed"))=0,AL242,AK242))-AK243)</f>
        <v>0</v>
      </c>
      <c r="AM219" s="90">
        <f ca="1">MIN(AM240,'Get Started'!$E25*IF('Get Started'!$E26="committed capital",1,IF(SUMPRODUCT(--(Forecast!$G15:$CH15&lt;&gt;"committed"))=0,AM242,AL242))-AL243)</f>
        <v>0</v>
      </c>
      <c r="AN219" s="90">
        <f ca="1">MIN(AN240,'Get Started'!$E25*IF('Get Started'!$E26="committed capital",1,IF(SUMPRODUCT(--(Forecast!$G15:$CH15&lt;&gt;"committed"))=0,AN242,AM242))-AM243)</f>
        <v>0</v>
      </c>
      <c r="AO219" s="90">
        <f ca="1">MIN(AO240,'Get Started'!$E25*IF('Get Started'!$E26="committed capital",1,IF(SUMPRODUCT(--(Forecast!$G15:$CH15&lt;&gt;"committed"))=0,AO242,AN242))-AN243)</f>
        <v>0</v>
      </c>
      <c r="AP219" s="90">
        <f ca="1">MIN(AP240,'Get Started'!$E25*IF('Get Started'!$E26="committed capital",1,IF(SUMPRODUCT(--(Forecast!$G15:$CH15&lt;&gt;"committed"))=0,AP242,AO242))-AO243)</f>
        <v>0</v>
      </c>
      <c r="AQ219" s="90">
        <f ca="1">MIN(AQ240,'Get Started'!$E25*IF('Get Started'!$E26="committed capital",1,IF(SUMPRODUCT(--(Forecast!$G15:$CH15&lt;&gt;"committed"))=0,AQ242,AP242))-AP243)</f>
        <v>0</v>
      </c>
      <c r="AR219" s="90">
        <f ca="1">MIN(AR240,'Get Started'!$E25*IF('Get Started'!$E26="committed capital",1,IF(SUMPRODUCT(--(Forecast!$G15:$CH15&lt;&gt;"committed"))=0,AR242,AQ242))-AQ243)</f>
        <v>0</v>
      </c>
      <c r="AS219" s="90">
        <f ca="1">MIN(AS240,'Get Started'!$E25*IF('Get Started'!$E26="committed capital",1,IF(SUMPRODUCT(--(Forecast!$G15:$CH15&lt;&gt;"committed"))=0,AS242,AR242))-AR243)</f>
        <v>0</v>
      </c>
      <c r="AT219" s="90">
        <f ca="1">MIN(AT240,'Get Started'!$E25*IF('Get Started'!$E26="committed capital",1,IF(SUMPRODUCT(--(Forecast!$G15:$CH15&lt;&gt;"committed"))=0,AT242,AS242))-AS243)</f>
        <v>0</v>
      </c>
      <c r="AU219" s="90">
        <f ca="1">MIN(AU240,'Get Started'!$E25*IF('Get Started'!$E26="committed capital",1,IF(SUMPRODUCT(--(Forecast!$G15:$CH15&lt;&gt;"committed"))=0,AU242,AT242))-AT243)</f>
        <v>0</v>
      </c>
      <c r="AV219" s="90">
        <f ca="1">MIN(AV240,'Get Started'!$E25*IF('Get Started'!$E26="committed capital",1,IF(SUMPRODUCT(--(Forecast!$G15:$CH15&lt;&gt;"committed"))=0,AV242,AU242))-AU243)</f>
        <v>0</v>
      </c>
      <c r="AW219" s="90">
        <f ca="1">MIN(AW240,'Get Started'!$E25*IF('Get Started'!$E26="committed capital",1,IF(SUMPRODUCT(--(Forecast!$G15:$CH15&lt;&gt;"committed"))=0,AW242,AV242))-AV243)</f>
        <v>0</v>
      </c>
      <c r="AX219" s="90">
        <f ca="1">MIN(AX240,'Get Started'!$E25*IF('Get Started'!$E26="committed capital",1,IF(SUMPRODUCT(--(Forecast!$G15:$CH15&lt;&gt;"committed"))=0,AX242,AW242))-AW243)</f>
        <v>0</v>
      </c>
      <c r="AY219" s="90">
        <f ca="1">MIN(AY240,'Get Started'!$E25*IF('Get Started'!$E26="committed capital",1,IF(SUMPRODUCT(--(Forecast!$G15:$CH15&lt;&gt;"committed"))=0,AY242,AX242))-AX243)</f>
        <v>0</v>
      </c>
      <c r="AZ219" s="90">
        <f ca="1">MIN(AZ240,'Get Started'!$E25*IF('Get Started'!$E26="committed capital",1,IF(SUMPRODUCT(--(Forecast!$G15:$CH15&lt;&gt;"committed"))=0,AZ242,AY242))-AY243)</f>
        <v>0</v>
      </c>
      <c r="BA219" s="90">
        <f ca="1">MIN(BA240,'Get Started'!$E25*IF('Get Started'!$E26="committed capital",1,IF(SUMPRODUCT(--(Forecast!$G15:$CH15&lt;&gt;"committed"))=0,BA242,AZ242))-AZ243)</f>
        <v>0</v>
      </c>
      <c r="BB219" s="90">
        <f ca="1">MIN(BB240,'Get Started'!$E25*IF('Get Started'!$E26="committed capital",1,IF(SUMPRODUCT(--(Forecast!$G15:$CH15&lt;&gt;"committed"))=0,BB242,BA242))-BA243)</f>
        <v>0</v>
      </c>
      <c r="BC219" s="90">
        <f ca="1">MIN(BC240,'Get Started'!$E25*IF('Get Started'!$E26="committed capital",1,IF(SUMPRODUCT(--(Forecast!$G15:$CH15&lt;&gt;"committed"))=0,BC242,BB242))-BB243)</f>
        <v>0</v>
      </c>
      <c r="BD219" s="90">
        <f ca="1">MIN(BD240,'Get Started'!$E25*IF('Get Started'!$E26="committed capital",1,IF(SUMPRODUCT(--(Forecast!$G15:$CH15&lt;&gt;"committed"))=0,BD242,BC242))-BC243)</f>
        <v>0</v>
      </c>
      <c r="BE219" s="90">
        <f ca="1">MIN(BE240,'Get Started'!$E25*IF('Get Started'!$E26="committed capital",1,IF(SUMPRODUCT(--(Forecast!$G15:$CH15&lt;&gt;"committed"))=0,BE242,BD242))-BD243)</f>
        <v>0</v>
      </c>
      <c r="BF219" s="90">
        <f ca="1">MIN(BF240,'Get Started'!$E25*IF('Get Started'!$E26="committed capital",1,IF(SUMPRODUCT(--(Forecast!$G15:$CH15&lt;&gt;"committed"))=0,BF242,BE242))-BE243)</f>
        <v>0</v>
      </c>
      <c r="BG219" s="90">
        <f ca="1">MIN(BG240,'Get Started'!$E25*IF('Get Started'!$E26="committed capital",1,IF(SUMPRODUCT(--(Forecast!$G15:$CH15&lt;&gt;"committed"))=0,BG242,BF242))-BF243)</f>
        <v>0</v>
      </c>
      <c r="BH219" s="90">
        <f ca="1">MIN(BH240,'Get Started'!$E25*IF('Get Started'!$E26="committed capital",1,IF(SUMPRODUCT(--(Forecast!$G15:$CH15&lt;&gt;"committed"))=0,BH242,BG242))-BG243)</f>
        <v>0</v>
      </c>
      <c r="BI219" s="90">
        <f ca="1">MIN(BI240,'Get Started'!$E25*IF('Get Started'!$E26="committed capital",1,IF(SUMPRODUCT(--(Forecast!$G15:$CH15&lt;&gt;"committed"))=0,BI242,BH242))-BH243)</f>
        <v>0</v>
      </c>
      <c r="BJ219" s="90">
        <f ca="1">MIN(BJ240,'Get Started'!$E25*IF('Get Started'!$E26="committed capital",1,IF(SUMPRODUCT(--(Forecast!$G15:$CH15&lt;&gt;"committed"))=0,BJ242,BI242))-BI243)</f>
        <v>0</v>
      </c>
      <c r="BK219" s="90">
        <f ca="1">MIN(BK240,'Get Started'!$E25*IF('Get Started'!$E26="committed capital",1,IF(SUMPRODUCT(--(Forecast!$G15:$CH15&lt;&gt;"committed"))=0,BK242,BJ242))-BJ243)</f>
        <v>0</v>
      </c>
      <c r="BL219" s="90">
        <f ca="1">MIN(BL240,'Get Started'!$E25*IF('Get Started'!$E26="committed capital",1,IF(SUMPRODUCT(--(Forecast!$G15:$CH15&lt;&gt;"committed"))=0,BL242,BK242))-BK243)</f>
        <v>0</v>
      </c>
      <c r="BM219" s="90">
        <f ca="1">MIN(BM240,'Get Started'!$E25*IF('Get Started'!$E26="committed capital",1,IF(SUMPRODUCT(--(Forecast!$G15:$CH15&lt;&gt;"committed"))=0,BM242,BL242))-BL243)</f>
        <v>0</v>
      </c>
      <c r="BN219" s="90">
        <f ca="1">MIN(BN240,'Get Started'!$E25*IF('Get Started'!$E26="committed capital",1,IF(SUMPRODUCT(--(Forecast!$G15:$CH15&lt;&gt;"committed"))=0,BN242,BM242))-BM243)</f>
        <v>0</v>
      </c>
      <c r="BO219" s="90">
        <f ca="1">MIN(BO240,'Get Started'!$E25*IF('Get Started'!$E26="committed capital",1,IF(SUMPRODUCT(--(Forecast!$G15:$CH15&lt;&gt;"committed"))=0,BO242,BN242))-BN243)</f>
        <v>0</v>
      </c>
      <c r="BP219" s="90">
        <f ca="1">MIN(BP240,'Get Started'!$E25*IF('Get Started'!$E26="committed capital",1,IF(SUMPRODUCT(--(Forecast!$G15:$CH15&lt;&gt;"committed"))=0,BP242,BO242))-BO243)</f>
        <v>0</v>
      </c>
      <c r="BQ219" s="90">
        <f ca="1">MIN(BQ240,'Get Started'!$E25*IF('Get Started'!$E26="committed capital",1,IF(SUMPRODUCT(--(Forecast!$G15:$CH15&lt;&gt;"committed"))=0,BQ242,BP242))-BP243)</f>
        <v>0</v>
      </c>
      <c r="BR219" s="90">
        <f ca="1">MIN(BR240,'Get Started'!$E25*IF('Get Started'!$E26="committed capital",1,IF(SUMPRODUCT(--(Forecast!$G15:$CH15&lt;&gt;"committed"))=0,BR242,BQ242))-BQ243)</f>
        <v>0</v>
      </c>
      <c r="BS219" s="90">
        <f ca="1">MIN(BS240,'Get Started'!$E25*IF('Get Started'!$E26="committed capital",1,IF(SUMPRODUCT(--(Forecast!$G15:$CH15&lt;&gt;"committed"))=0,BS242,BR242))-BR243)</f>
        <v>0</v>
      </c>
      <c r="BT219" s="90">
        <f ca="1">MIN(BT240,'Get Started'!$E25*IF('Get Started'!$E26="committed capital",1,IF(SUMPRODUCT(--(Forecast!$G15:$CH15&lt;&gt;"committed"))=0,BT242,BS242))-BS243)</f>
        <v>0</v>
      </c>
      <c r="BU219" s="90">
        <f ca="1">MIN(BU240,'Get Started'!$E25*IF('Get Started'!$E26="committed capital",1,IF(SUMPRODUCT(--(Forecast!$G15:$CH15&lt;&gt;"committed"))=0,BU242,BT242))-BT243)</f>
        <v>0</v>
      </c>
      <c r="BV219" s="90">
        <f ca="1">MIN(BV240,'Get Started'!$E25*IF('Get Started'!$E26="committed capital",1,IF(SUMPRODUCT(--(Forecast!$G15:$CH15&lt;&gt;"committed"))=0,BV242,BU242))-BU243)</f>
        <v>0</v>
      </c>
      <c r="BW219" s="90">
        <f ca="1">MIN(BW240,'Get Started'!$E25*IF('Get Started'!$E26="committed capital",1,IF(SUMPRODUCT(--(Forecast!$G15:$CH15&lt;&gt;"committed"))=0,BW242,BV242))-BV243)</f>
        <v>0</v>
      </c>
      <c r="BX219" s="90">
        <f ca="1">MIN(BX240,'Get Started'!$E25*IF('Get Started'!$E26="committed capital",1,IF(SUMPRODUCT(--(Forecast!$G15:$CH15&lt;&gt;"committed"))=0,BX242,BW242))-BW243)</f>
        <v>0</v>
      </c>
      <c r="BY219" s="90">
        <f ca="1">MIN(BY240,'Get Started'!$E25*IF('Get Started'!$E26="committed capital",1,IF(SUMPRODUCT(--(Forecast!$G15:$CH15&lt;&gt;"committed"))=0,BY242,BX242))-BX243)</f>
        <v>0</v>
      </c>
      <c r="BZ219" s="90">
        <f ca="1">MIN(BZ240,'Get Started'!$E25*IF('Get Started'!$E26="committed capital",1,IF(SUMPRODUCT(--(Forecast!$G15:$CH15&lt;&gt;"committed"))=0,BZ242,BY242))-BY243)</f>
        <v>0</v>
      </c>
      <c r="CA219" s="90">
        <f ca="1">MIN(CA240,'Get Started'!$E25*IF('Get Started'!$E26="committed capital",1,IF(SUMPRODUCT(--(Forecast!$G15:$CH15&lt;&gt;"committed"))=0,CA242,BZ242))-BZ243)</f>
        <v>0</v>
      </c>
      <c r="CB219" s="90">
        <f ca="1">MIN(CB240,'Get Started'!$E25*IF('Get Started'!$E26="committed capital",1,IF(SUMPRODUCT(--(Forecast!$G15:$CH15&lt;&gt;"committed"))=0,CB242,CA242))-CA243)</f>
        <v>0</v>
      </c>
      <c r="CC219" s="90">
        <f ca="1">MIN(CC240,'Get Started'!$E25*IF('Get Started'!$E26="committed capital",1,IF(SUMPRODUCT(--(Forecast!$G15:$CH15&lt;&gt;"committed"))=0,CC242,CB242))-CB243)</f>
        <v>0</v>
      </c>
      <c r="CD219" s="90">
        <f ca="1">MIN(CD240,'Get Started'!$E25*IF('Get Started'!$E26="committed capital",1,IF(SUMPRODUCT(--(Forecast!$G15:$CH15&lt;&gt;"committed"))=0,CD242,CC242))-CC243)</f>
        <v>0</v>
      </c>
      <c r="CE219" s="90">
        <f ca="1">MIN(CE240,'Get Started'!$E25*IF('Get Started'!$E26="committed capital",1,IF(SUMPRODUCT(--(Forecast!$G15:$CH15&lt;&gt;"committed"))=0,CE242,CD242))-CD243)</f>
        <v>0</v>
      </c>
      <c r="CF219" s="90">
        <f ca="1">MIN(CF240,'Get Started'!$E25*IF('Get Started'!$E26="committed capital",1,IF(SUMPRODUCT(--(Forecast!$G15:$CH15&lt;&gt;"committed"))=0,CF242,CE242))-CE243)</f>
        <v>0</v>
      </c>
      <c r="CG219" s="90">
        <f ca="1">MIN(CG240,'Get Started'!$E25*IF('Get Started'!$E26="committed capital",1,IF(SUMPRODUCT(--(Forecast!$G15:$CH15&lt;&gt;"committed"))=0,CG242,CF242))-CF243)</f>
        <v>0</v>
      </c>
      <c r="CH219" s="90">
        <f ca="1">MIN(CH240,'Get Started'!$E25*IF('Get Started'!$E26="committed capital",1,IF(SUMPRODUCT(--(Forecast!$G15:$CH15&lt;&gt;"committed"))=0,CH242,CG242))-CG243)</f>
        <v>0</v>
      </c>
    </row>
    <row r="220" spans="1:86" ht="13" outlineLevel="1">
      <c r="A220" s="13"/>
      <c r="B220" s="13" t="s">
        <v>328</v>
      </c>
      <c r="C220" s="91"/>
      <c r="D220" s="13" t="s">
        <v>238</v>
      </c>
      <c r="E220" s="88">
        <f t="shared" ca="1" si="172"/>
        <v>0.48510000000000009</v>
      </c>
      <c r="F220" s="48"/>
      <c r="G220" s="90">
        <f ca="1">G8/$E8*'Get Started'!$E82*(1-$E216-$E217-$E218)+G219*'Get Started'!$E82*G8</f>
        <v>2.8875000000000005E-2</v>
      </c>
      <c r="H220" s="90">
        <f ca="1">H8/$E8*'Get Started'!$E82*(1-$E216-$E217-$E218)+H219*'Get Started'!$E82*H8</f>
        <v>2.8875000000000005E-2</v>
      </c>
      <c r="I220" s="90">
        <f ca="1">I8/$E8*'Get Started'!$E82*(1-$E216-$E217-$E218)+I219*'Get Started'!$E82*I8</f>
        <v>2.8875000000000005E-2</v>
      </c>
      <c r="J220" s="90">
        <f ca="1">J8/$E8*'Get Started'!$E82*(1-$E216-$E217-$E218)+J219*'Get Started'!$E82*J8</f>
        <v>2.8875000000000005E-2</v>
      </c>
      <c r="K220" s="90">
        <f ca="1">K8/$E8*'Get Started'!$E82*(1-$E216-$E217-$E218)+K219*'Get Started'!$E82*K8</f>
        <v>2.8875000000000005E-2</v>
      </c>
      <c r="L220" s="90">
        <f ca="1">L8/$E8*'Get Started'!$E82*(1-$E216-$E217-$E218)+L219*'Get Started'!$E82*L8</f>
        <v>2.8875000000000005E-2</v>
      </c>
      <c r="M220" s="90">
        <f ca="1">M8/$E8*'Get Started'!$E82*(1-$E216-$E217-$E218)+M219*'Get Started'!$E82*M8</f>
        <v>2.8875000000000005E-2</v>
      </c>
      <c r="N220" s="90">
        <f ca="1">N8/$E8*'Get Started'!$E82*(1-$E216-$E217-$E218)+N219*'Get Started'!$E82*N8</f>
        <v>2.8875000000000005E-2</v>
      </c>
      <c r="O220" s="90">
        <f ca="1">O8/$E8*'Get Started'!$E82*(1-$E216-$E217-$E218)+O219*'Get Started'!$E82*O8</f>
        <v>2.8875000000000005E-2</v>
      </c>
      <c r="P220" s="90">
        <f ca="1">P8/$E8*'Get Started'!$E82*(1-$E216-$E217-$E218)+P219*'Get Started'!$E82*P8</f>
        <v>2.8875000000000005E-2</v>
      </c>
      <c r="Q220" s="90">
        <f ca="1">Q8/$E8*'Get Started'!$E82*(1-$E216-$E217-$E218)+Q219*'Get Started'!$E82*Q8</f>
        <v>2.8875000000000005E-2</v>
      </c>
      <c r="R220" s="90">
        <f ca="1">R8/$E8*'Get Started'!$E82*(1-$E216-$E217-$E218)+R219*'Get Started'!$E82*R8</f>
        <v>2.8875000000000005E-2</v>
      </c>
      <c r="S220" s="90">
        <f ca="1">S8/$E8*'Get Started'!$E82*(1-$E216-$E217-$E218)+S219*'Get Started'!$E82*S8</f>
        <v>3.4650000000000007E-2</v>
      </c>
      <c r="T220" s="90">
        <f ca="1">T8/$E8*'Get Started'!$E82*(1-$E216-$E217-$E218)+T219*'Get Started'!$E82*T8</f>
        <v>3.4650000000000007E-2</v>
      </c>
      <c r="U220" s="90">
        <f ca="1">U8/$E8*'Get Started'!$E82*(1-$E216-$E217-$E218)+U219*'Get Started'!$E82*U8</f>
        <v>3.4650000000000007E-2</v>
      </c>
      <c r="V220" s="90">
        <f ca="1">V8/$E8*'Get Started'!$E82*(1-$E216-$E217-$E218)+V219*'Get Started'!$E82*V8</f>
        <v>3.4650000000000007E-2</v>
      </c>
      <c r="W220" s="90">
        <f ca="1">W8/$E8*'Get Started'!$E82*(1-$E216-$E217-$E218)+W219*'Get Started'!$E82*W8</f>
        <v>0</v>
      </c>
      <c r="X220" s="90">
        <f ca="1">X8/$E8*'Get Started'!$E82*(1-$E216-$E217-$E218)+X219*'Get Started'!$E82*X8</f>
        <v>0</v>
      </c>
      <c r="Y220" s="90">
        <f ca="1">Y8/$E8*'Get Started'!$E82*(1-$E216-$E217-$E218)+Y219*'Get Started'!$E82*Y8</f>
        <v>0</v>
      </c>
      <c r="Z220" s="90">
        <f ca="1">Z8/$E8*'Get Started'!$E82*(1-$E216-$E217-$E218)+Z219*'Get Started'!$E82*Z8</f>
        <v>0</v>
      </c>
      <c r="AA220" s="90">
        <f ca="1">AA8/$E8*'Get Started'!$E82*(1-$E216-$E217-$E218)+AA219*'Get Started'!$E82*AA8</f>
        <v>0</v>
      </c>
      <c r="AB220" s="90">
        <f ca="1">AB8/$E8*'Get Started'!$E82*(1-$E216-$E217-$E218)+AB219*'Get Started'!$E82*AB8</f>
        <v>0</v>
      </c>
      <c r="AC220" s="90">
        <f ca="1">AC8/$E8*'Get Started'!$E82*(1-$E216-$E217-$E218)+AC219*'Get Started'!$E82*AC8</f>
        <v>0</v>
      </c>
      <c r="AD220" s="90">
        <f ca="1">AD8/$E8*'Get Started'!$E82*(1-$E216-$E217-$E218)+AD219*'Get Started'!$E82*AD8</f>
        <v>0</v>
      </c>
      <c r="AE220" s="90">
        <f ca="1">AE8/$E8*'Get Started'!$E82*(1-$E216-$E217-$E218)+AE219*'Get Started'!$E82*AE8</f>
        <v>0</v>
      </c>
      <c r="AF220" s="90">
        <f ca="1">AF8/$E8*'Get Started'!$E82*(1-$E216-$E217-$E218)+AF219*'Get Started'!$E82*AF8</f>
        <v>0</v>
      </c>
      <c r="AG220" s="90">
        <f ca="1">AG8/$E8*'Get Started'!$E82*(1-$E216-$E217-$E218)+AG219*'Get Started'!$E82*AG8</f>
        <v>0</v>
      </c>
      <c r="AH220" s="90">
        <f ca="1">AH8/$E8*'Get Started'!$E82*(1-$E216-$E217-$E218)+AH219*'Get Started'!$E82*AH8</f>
        <v>0</v>
      </c>
      <c r="AI220" s="90">
        <f ca="1">AI8/$E8*'Get Started'!$E82*(1-$E216-$E217-$E218)+AI219*'Get Started'!$E82*AI8</f>
        <v>0</v>
      </c>
      <c r="AJ220" s="90">
        <f ca="1">AJ8/$E8*'Get Started'!$E82*(1-$E216-$E217-$E218)+AJ219*'Get Started'!$E82*AJ8</f>
        <v>0</v>
      </c>
      <c r="AK220" s="90">
        <f ca="1">AK8/$E8*'Get Started'!$E82*(1-$E216-$E217-$E218)+AK219*'Get Started'!$E82*AK8</f>
        <v>0</v>
      </c>
      <c r="AL220" s="90">
        <f ca="1">AL8/$E8*'Get Started'!$E82*(1-$E216-$E217-$E218)+AL219*'Get Started'!$E82*AL8</f>
        <v>0</v>
      </c>
      <c r="AM220" s="90">
        <f ca="1">AM8/$E8*'Get Started'!$E82*(1-$E216-$E217-$E218)+AM219*'Get Started'!$E82*AM8</f>
        <v>0</v>
      </c>
      <c r="AN220" s="90">
        <f ca="1">AN8/$E8*'Get Started'!$E82*(1-$E216-$E217-$E218)+AN219*'Get Started'!$E82*AN8</f>
        <v>0</v>
      </c>
      <c r="AO220" s="90">
        <f ca="1">AO8/$E8*'Get Started'!$E82*(1-$E216-$E217-$E218)+AO219*'Get Started'!$E82*AO8</f>
        <v>0</v>
      </c>
      <c r="AP220" s="90">
        <f ca="1">AP8/$E8*'Get Started'!$E82*(1-$E216-$E217-$E218)+AP219*'Get Started'!$E82*AP8</f>
        <v>0</v>
      </c>
      <c r="AQ220" s="90">
        <f ca="1">AQ8/$E8*'Get Started'!$E82*(1-$E216-$E217-$E218)+AQ219*'Get Started'!$E82*AQ8</f>
        <v>0</v>
      </c>
      <c r="AR220" s="90">
        <f ca="1">AR8/$E8*'Get Started'!$E82*(1-$E216-$E217-$E218)+AR219*'Get Started'!$E82*AR8</f>
        <v>0</v>
      </c>
      <c r="AS220" s="90">
        <f ca="1">AS8/$E8*'Get Started'!$E82*(1-$E216-$E217-$E218)+AS219*'Get Started'!$E82*AS8</f>
        <v>0</v>
      </c>
      <c r="AT220" s="90">
        <f ca="1">AT8/$E8*'Get Started'!$E82*(1-$E216-$E217-$E218)+AT219*'Get Started'!$E82*AT8</f>
        <v>0</v>
      </c>
      <c r="AU220" s="90">
        <f ca="1">AU8/$E8*'Get Started'!$E82*(1-$E216-$E217-$E218)+AU219*'Get Started'!$E82*AU8</f>
        <v>0</v>
      </c>
      <c r="AV220" s="90">
        <f ca="1">AV8/$E8*'Get Started'!$E82*(1-$E216-$E217-$E218)+AV219*'Get Started'!$E82*AV8</f>
        <v>0</v>
      </c>
      <c r="AW220" s="90">
        <f ca="1">AW8/$E8*'Get Started'!$E82*(1-$E216-$E217-$E218)+AW219*'Get Started'!$E82*AW8</f>
        <v>0</v>
      </c>
      <c r="AX220" s="90">
        <f ca="1">AX8/$E8*'Get Started'!$E82*(1-$E216-$E217-$E218)+AX219*'Get Started'!$E82*AX8</f>
        <v>0</v>
      </c>
      <c r="AY220" s="90">
        <f ca="1">AY8/$E8*'Get Started'!$E82*(1-$E216-$E217-$E218)+AY219*'Get Started'!$E82*AY8</f>
        <v>0</v>
      </c>
      <c r="AZ220" s="90">
        <f ca="1">AZ8/$E8*'Get Started'!$E82*(1-$E216-$E217-$E218)+AZ219*'Get Started'!$E82*AZ8</f>
        <v>0</v>
      </c>
      <c r="BA220" s="90">
        <f ca="1">BA8/$E8*'Get Started'!$E82*(1-$E216-$E217-$E218)+BA219*'Get Started'!$E82*BA8</f>
        <v>0</v>
      </c>
      <c r="BB220" s="90">
        <f ca="1">BB8/$E8*'Get Started'!$E82*(1-$E216-$E217-$E218)+BB219*'Get Started'!$E82*BB8</f>
        <v>0</v>
      </c>
      <c r="BC220" s="90">
        <f ca="1">BC8/$E8*'Get Started'!$E82*(1-$E216-$E217-$E218)+BC219*'Get Started'!$E82*BC8</f>
        <v>0</v>
      </c>
      <c r="BD220" s="90">
        <f ca="1">BD8/$E8*'Get Started'!$E82*(1-$E216-$E217-$E218)+BD219*'Get Started'!$E82*BD8</f>
        <v>0</v>
      </c>
      <c r="BE220" s="90">
        <f ca="1">BE8/$E8*'Get Started'!$E82*(1-$E216-$E217-$E218)+BE219*'Get Started'!$E82*BE8</f>
        <v>0</v>
      </c>
      <c r="BF220" s="90">
        <f ca="1">BF8/$E8*'Get Started'!$E82*(1-$E216-$E217-$E218)+BF219*'Get Started'!$E82*BF8</f>
        <v>0</v>
      </c>
      <c r="BG220" s="90">
        <f ca="1">BG8/$E8*'Get Started'!$E82*(1-$E216-$E217-$E218)+BG219*'Get Started'!$E82*BG8</f>
        <v>0</v>
      </c>
      <c r="BH220" s="90">
        <f ca="1">BH8/$E8*'Get Started'!$E82*(1-$E216-$E217-$E218)+BH219*'Get Started'!$E82*BH8</f>
        <v>0</v>
      </c>
      <c r="BI220" s="90">
        <f ca="1">BI8/$E8*'Get Started'!$E82*(1-$E216-$E217-$E218)+BI219*'Get Started'!$E82*BI8</f>
        <v>0</v>
      </c>
      <c r="BJ220" s="90">
        <f ca="1">BJ8/$E8*'Get Started'!$E82*(1-$E216-$E217-$E218)+BJ219*'Get Started'!$E82*BJ8</f>
        <v>0</v>
      </c>
      <c r="BK220" s="90">
        <f ca="1">BK8/$E8*'Get Started'!$E82*(1-$E216-$E217-$E218)+BK219*'Get Started'!$E82*BK8</f>
        <v>0</v>
      </c>
      <c r="BL220" s="90">
        <f ca="1">BL8/$E8*'Get Started'!$E82*(1-$E216-$E217-$E218)+BL219*'Get Started'!$E82*BL8</f>
        <v>0</v>
      </c>
      <c r="BM220" s="90">
        <f ca="1">BM8/$E8*'Get Started'!$E82*(1-$E216-$E217-$E218)+BM219*'Get Started'!$E82*BM8</f>
        <v>0</v>
      </c>
      <c r="BN220" s="90">
        <f ca="1">BN8/$E8*'Get Started'!$E82*(1-$E216-$E217-$E218)+BN219*'Get Started'!$E82*BN8</f>
        <v>0</v>
      </c>
      <c r="BO220" s="90">
        <f ca="1">BO8/$E8*'Get Started'!$E82*(1-$E216-$E217-$E218)+BO219*'Get Started'!$E82*BO8</f>
        <v>0</v>
      </c>
      <c r="BP220" s="90">
        <f ca="1">BP8/$E8*'Get Started'!$E82*(1-$E216-$E217-$E218)+BP219*'Get Started'!$E82*BP8</f>
        <v>0</v>
      </c>
      <c r="BQ220" s="90">
        <f ca="1">BQ8/$E8*'Get Started'!$E82*(1-$E216-$E217-$E218)+BQ219*'Get Started'!$E82*BQ8</f>
        <v>0</v>
      </c>
      <c r="BR220" s="90">
        <f ca="1">BR8/$E8*'Get Started'!$E82*(1-$E216-$E217-$E218)+BR219*'Get Started'!$E82*BR8</f>
        <v>0</v>
      </c>
      <c r="BS220" s="90">
        <f ca="1">BS8/$E8*'Get Started'!$E82*(1-$E216-$E217-$E218)+BS219*'Get Started'!$E82*BS8</f>
        <v>0</v>
      </c>
      <c r="BT220" s="90">
        <f ca="1">BT8/$E8*'Get Started'!$E82*(1-$E216-$E217-$E218)+BT219*'Get Started'!$E82*BT8</f>
        <v>0</v>
      </c>
      <c r="BU220" s="90">
        <f ca="1">BU8/$E8*'Get Started'!$E82*(1-$E216-$E217-$E218)+BU219*'Get Started'!$E82*BU8</f>
        <v>0</v>
      </c>
      <c r="BV220" s="90">
        <f ca="1">BV8/$E8*'Get Started'!$E82*(1-$E216-$E217-$E218)+BV219*'Get Started'!$E82*BV8</f>
        <v>0</v>
      </c>
      <c r="BW220" s="90">
        <f ca="1">BW8/$E8*'Get Started'!$E82*(1-$E216-$E217-$E218)+BW219*'Get Started'!$E82*BW8</f>
        <v>0</v>
      </c>
      <c r="BX220" s="90">
        <f ca="1">BX8/$E8*'Get Started'!$E82*(1-$E216-$E217-$E218)+BX219*'Get Started'!$E82*BX8</f>
        <v>0</v>
      </c>
      <c r="BY220" s="90">
        <f ca="1">BY8/$E8*'Get Started'!$E82*(1-$E216-$E217-$E218)+BY219*'Get Started'!$E82*BY8</f>
        <v>0</v>
      </c>
      <c r="BZ220" s="90">
        <f ca="1">BZ8/$E8*'Get Started'!$E82*(1-$E216-$E217-$E218)+BZ219*'Get Started'!$E82*BZ8</f>
        <v>0</v>
      </c>
      <c r="CA220" s="90">
        <f ca="1">CA8/$E8*'Get Started'!$E82*(1-$E216-$E217-$E218)+CA219*'Get Started'!$E82*CA8</f>
        <v>0</v>
      </c>
      <c r="CB220" s="90">
        <f ca="1">CB8/$E8*'Get Started'!$E82*(1-$E216-$E217-$E218)+CB219*'Get Started'!$E82*CB8</f>
        <v>0</v>
      </c>
      <c r="CC220" s="90">
        <f ca="1">CC8/$E8*'Get Started'!$E82*(1-$E216-$E217-$E218)+CC219*'Get Started'!$E82*CC8</f>
        <v>0</v>
      </c>
      <c r="CD220" s="90">
        <f ca="1">CD8/$E8*'Get Started'!$E82*(1-$E216-$E217-$E218)+CD219*'Get Started'!$E82*CD8</f>
        <v>0</v>
      </c>
      <c r="CE220" s="90">
        <f ca="1">CE8/$E8*'Get Started'!$E82*(1-$E216-$E217-$E218)+CE219*'Get Started'!$E82*CE8</f>
        <v>0</v>
      </c>
      <c r="CF220" s="90">
        <f ca="1">CF8/$E8*'Get Started'!$E82*(1-$E216-$E217-$E218)+CF219*'Get Started'!$E82*CF8</f>
        <v>0</v>
      </c>
      <c r="CG220" s="90">
        <f ca="1">CG8/$E8*'Get Started'!$E82*(1-$E216-$E217-$E218)+CG219*'Get Started'!$E82*CG8</f>
        <v>0</v>
      </c>
      <c r="CH220" s="90">
        <f ca="1">CH8/$E8*'Get Started'!$E82*(1-$E216-$E217-$E218)+CH219*'Get Started'!$E82*CH8</f>
        <v>0</v>
      </c>
    </row>
    <row r="221" spans="1:86" ht="13" outlineLevel="1">
      <c r="A221" s="13"/>
      <c r="B221" s="13" t="s">
        <v>328</v>
      </c>
      <c r="C221" s="91"/>
      <c r="D221" s="13" t="s">
        <v>238</v>
      </c>
      <c r="E221" s="88">
        <f t="shared" ca="1" si="172"/>
        <v>0.16170000000000001</v>
      </c>
      <c r="F221" s="48"/>
      <c r="G221" s="90">
        <f ca="1">G8/$E8*'Get Started'!$F82*(1-$E216-$E217-$E218)+G219*'Get Started'!$F82*G8</f>
        <v>9.6250000000000016E-3</v>
      </c>
      <c r="H221" s="90">
        <f ca="1">H8/$E8*'Get Started'!$F82*(1-$E216-$E217-$E218)+H219*'Get Started'!$F82*H8</f>
        <v>9.6250000000000016E-3</v>
      </c>
      <c r="I221" s="90">
        <f ca="1">I8/$E8*'Get Started'!$F82*(1-$E216-$E217-$E218)+I219*'Get Started'!$F82*I8</f>
        <v>9.6250000000000016E-3</v>
      </c>
      <c r="J221" s="90">
        <f ca="1">J8/$E8*'Get Started'!$F82*(1-$E216-$E217-$E218)+J219*'Get Started'!$F82*J8</f>
        <v>9.6250000000000016E-3</v>
      </c>
      <c r="K221" s="90">
        <f ca="1">K8/$E8*'Get Started'!$F82*(1-$E216-$E217-$E218)+K219*'Get Started'!$F82*K8</f>
        <v>9.6250000000000016E-3</v>
      </c>
      <c r="L221" s="90">
        <f ca="1">L8/$E8*'Get Started'!$F82*(1-$E216-$E217-$E218)+L219*'Get Started'!$F82*L8</f>
        <v>9.6250000000000016E-3</v>
      </c>
      <c r="M221" s="90">
        <f ca="1">M8/$E8*'Get Started'!$F82*(1-$E216-$E217-$E218)+M219*'Get Started'!$F82*M8</f>
        <v>9.6250000000000016E-3</v>
      </c>
      <c r="N221" s="90">
        <f ca="1">N8/$E8*'Get Started'!$F82*(1-$E216-$E217-$E218)+N219*'Get Started'!$F82*N8</f>
        <v>9.6250000000000016E-3</v>
      </c>
      <c r="O221" s="90">
        <f ca="1">O8/$E8*'Get Started'!$F82*(1-$E216-$E217-$E218)+O219*'Get Started'!$F82*O8</f>
        <v>9.6250000000000016E-3</v>
      </c>
      <c r="P221" s="90">
        <f ca="1">P8/$E8*'Get Started'!$F82*(1-$E216-$E217-$E218)+P219*'Get Started'!$F82*P8</f>
        <v>9.6250000000000016E-3</v>
      </c>
      <c r="Q221" s="90">
        <f ca="1">Q8/$E8*'Get Started'!$F82*(1-$E216-$E217-$E218)+Q219*'Get Started'!$F82*Q8</f>
        <v>9.6250000000000016E-3</v>
      </c>
      <c r="R221" s="90">
        <f ca="1">R8/$E8*'Get Started'!$F82*(1-$E216-$E217-$E218)+R219*'Get Started'!$F82*R8</f>
        <v>9.6250000000000016E-3</v>
      </c>
      <c r="S221" s="90">
        <f ca="1">S8/$E8*'Get Started'!$F82*(1-$E216-$E217-$E218)+S219*'Get Started'!$F82*S8</f>
        <v>1.1550000000000001E-2</v>
      </c>
      <c r="T221" s="90">
        <f ca="1">T8/$E8*'Get Started'!$F82*(1-$E216-$E217-$E218)+T219*'Get Started'!$F82*T8</f>
        <v>1.1550000000000001E-2</v>
      </c>
      <c r="U221" s="90">
        <f ca="1">U8/$E8*'Get Started'!$F82*(1-$E216-$E217-$E218)+U219*'Get Started'!$F82*U8</f>
        <v>1.1550000000000001E-2</v>
      </c>
      <c r="V221" s="90">
        <f ca="1">V8/$E8*'Get Started'!$F82*(1-$E216-$E217-$E218)+V219*'Get Started'!$F82*V8</f>
        <v>1.1550000000000001E-2</v>
      </c>
      <c r="W221" s="90">
        <f ca="1">W8/$E8*'Get Started'!$F82*(1-$E216-$E217-$E218)+W219*'Get Started'!$F82*W8</f>
        <v>0</v>
      </c>
      <c r="X221" s="90">
        <f ca="1">X8/$E8*'Get Started'!$F82*(1-$E216-$E217-$E218)+X219*'Get Started'!$F82*X8</f>
        <v>0</v>
      </c>
      <c r="Y221" s="90">
        <f ca="1">Y8/$E8*'Get Started'!$F82*(1-$E216-$E217-$E218)+Y219*'Get Started'!$F82*Y8</f>
        <v>0</v>
      </c>
      <c r="Z221" s="90">
        <f ca="1">Z8/$E8*'Get Started'!$F82*(1-$E216-$E217-$E218)+Z219*'Get Started'!$F82*Z8</f>
        <v>0</v>
      </c>
      <c r="AA221" s="90">
        <f ca="1">AA8/$E8*'Get Started'!$F82*(1-$E216-$E217-$E218)+AA219*'Get Started'!$F82*AA8</f>
        <v>0</v>
      </c>
      <c r="AB221" s="90">
        <f ca="1">AB8/$E8*'Get Started'!$F82*(1-$E216-$E217-$E218)+AB219*'Get Started'!$F82*AB8</f>
        <v>0</v>
      </c>
      <c r="AC221" s="90">
        <f ca="1">AC8/$E8*'Get Started'!$F82*(1-$E216-$E217-$E218)+AC219*'Get Started'!$F82*AC8</f>
        <v>0</v>
      </c>
      <c r="AD221" s="90">
        <f ca="1">AD8/$E8*'Get Started'!$F82*(1-$E216-$E217-$E218)+AD219*'Get Started'!$F82*AD8</f>
        <v>0</v>
      </c>
      <c r="AE221" s="90">
        <f ca="1">AE8/$E8*'Get Started'!$F82*(1-$E216-$E217-$E218)+AE219*'Get Started'!$F82*AE8</f>
        <v>0</v>
      </c>
      <c r="AF221" s="90">
        <f ca="1">AF8/$E8*'Get Started'!$F82*(1-$E216-$E217-$E218)+AF219*'Get Started'!$F82*AF8</f>
        <v>0</v>
      </c>
      <c r="AG221" s="90">
        <f ca="1">AG8/$E8*'Get Started'!$F82*(1-$E216-$E217-$E218)+AG219*'Get Started'!$F82*AG8</f>
        <v>0</v>
      </c>
      <c r="AH221" s="90">
        <f ca="1">AH8/$E8*'Get Started'!$F82*(1-$E216-$E217-$E218)+AH219*'Get Started'!$F82*AH8</f>
        <v>0</v>
      </c>
      <c r="AI221" s="90">
        <f ca="1">AI8/$E8*'Get Started'!$F82*(1-$E216-$E217-$E218)+AI219*'Get Started'!$F82*AI8</f>
        <v>0</v>
      </c>
      <c r="AJ221" s="90">
        <f ca="1">AJ8/$E8*'Get Started'!$F82*(1-$E216-$E217-$E218)+AJ219*'Get Started'!$F82*AJ8</f>
        <v>0</v>
      </c>
      <c r="AK221" s="90">
        <f ca="1">AK8/$E8*'Get Started'!$F82*(1-$E216-$E217-$E218)+AK219*'Get Started'!$F82*AK8</f>
        <v>0</v>
      </c>
      <c r="AL221" s="90">
        <f ca="1">AL8/$E8*'Get Started'!$F82*(1-$E216-$E217-$E218)+AL219*'Get Started'!$F82*AL8</f>
        <v>0</v>
      </c>
      <c r="AM221" s="90">
        <f ca="1">AM8/$E8*'Get Started'!$F82*(1-$E216-$E217-$E218)+AM219*'Get Started'!$F82*AM8</f>
        <v>0</v>
      </c>
      <c r="AN221" s="90">
        <f ca="1">AN8/$E8*'Get Started'!$F82*(1-$E216-$E217-$E218)+AN219*'Get Started'!$F82*AN8</f>
        <v>0</v>
      </c>
      <c r="AO221" s="90">
        <f ca="1">AO8/$E8*'Get Started'!$F82*(1-$E216-$E217-$E218)+AO219*'Get Started'!$F82*AO8</f>
        <v>0</v>
      </c>
      <c r="AP221" s="90">
        <f ca="1">AP8/$E8*'Get Started'!$F82*(1-$E216-$E217-$E218)+AP219*'Get Started'!$F82*AP8</f>
        <v>0</v>
      </c>
      <c r="AQ221" s="90">
        <f ca="1">AQ8/$E8*'Get Started'!$F82*(1-$E216-$E217-$E218)+AQ219*'Get Started'!$F82*AQ8</f>
        <v>0</v>
      </c>
      <c r="AR221" s="90">
        <f ca="1">AR8/$E8*'Get Started'!$F82*(1-$E216-$E217-$E218)+AR219*'Get Started'!$F82*AR8</f>
        <v>0</v>
      </c>
      <c r="AS221" s="90">
        <f ca="1">AS8/$E8*'Get Started'!$F82*(1-$E216-$E217-$E218)+AS219*'Get Started'!$F82*AS8</f>
        <v>0</v>
      </c>
      <c r="AT221" s="90">
        <f ca="1">AT8/$E8*'Get Started'!$F82*(1-$E216-$E217-$E218)+AT219*'Get Started'!$F82*AT8</f>
        <v>0</v>
      </c>
      <c r="AU221" s="90">
        <f ca="1">AU8/$E8*'Get Started'!$F82*(1-$E216-$E217-$E218)+AU219*'Get Started'!$F82*AU8</f>
        <v>0</v>
      </c>
      <c r="AV221" s="90">
        <f ca="1">AV8/$E8*'Get Started'!$F82*(1-$E216-$E217-$E218)+AV219*'Get Started'!$F82*AV8</f>
        <v>0</v>
      </c>
      <c r="AW221" s="90">
        <f ca="1">AW8/$E8*'Get Started'!$F82*(1-$E216-$E217-$E218)+AW219*'Get Started'!$F82*AW8</f>
        <v>0</v>
      </c>
      <c r="AX221" s="90">
        <f ca="1">AX8/$E8*'Get Started'!$F82*(1-$E216-$E217-$E218)+AX219*'Get Started'!$F82*AX8</f>
        <v>0</v>
      </c>
      <c r="AY221" s="90">
        <f ca="1">AY8/$E8*'Get Started'!$F82*(1-$E216-$E217-$E218)+AY219*'Get Started'!$F82*AY8</f>
        <v>0</v>
      </c>
      <c r="AZ221" s="90">
        <f ca="1">AZ8/$E8*'Get Started'!$F82*(1-$E216-$E217-$E218)+AZ219*'Get Started'!$F82*AZ8</f>
        <v>0</v>
      </c>
      <c r="BA221" s="90">
        <f ca="1">BA8/$E8*'Get Started'!$F82*(1-$E216-$E217-$E218)+BA219*'Get Started'!$F82*BA8</f>
        <v>0</v>
      </c>
      <c r="BB221" s="90">
        <f ca="1">BB8/$E8*'Get Started'!$F82*(1-$E216-$E217-$E218)+BB219*'Get Started'!$F82*BB8</f>
        <v>0</v>
      </c>
      <c r="BC221" s="90">
        <f ca="1">BC8/$E8*'Get Started'!$F82*(1-$E216-$E217-$E218)+BC219*'Get Started'!$F82*BC8</f>
        <v>0</v>
      </c>
      <c r="BD221" s="90">
        <f ca="1">BD8/$E8*'Get Started'!$F82*(1-$E216-$E217-$E218)+BD219*'Get Started'!$F82*BD8</f>
        <v>0</v>
      </c>
      <c r="BE221" s="90">
        <f ca="1">BE8/$E8*'Get Started'!$F82*(1-$E216-$E217-$E218)+BE219*'Get Started'!$F82*BE8</f>
        <v>0</v>
      </c>
      <c r="BF221" s="90">
        <f ca="1">BF8/$E8*'Get Started'!$F82*(1-$E216-$E217-$E218)+BF219*'Get Started'!$F82*BF8</f>
        <v>0</v>
      </c>
      <c r="BG221" s="90">
        <f ca="1">BG8/$E8*'Get Started'!$F82*(1-$E216-$E217-$E218)+BG219*'Get Started'!$F82*BG8</f>
        <v>0</v>
      </c>
      <c r="BH221" s="90">
        <f ca="1">BH8/$E8*'Get Started'!$F82*(1-$E216-$E217-$E218)+BH219*'Get Started'!$F82*BH8</f>
        <v>0</v>
      </c>
      <c r="BI221" s="90">
        <f ca="1">BI8/$E8*'Get Started'!$F82*(1-$E216-$E217-$E218)+BI219*'Get Started'!$F82*BI8</f>
        <v>0</v>
      </c>
      <c r="BJ221" s="90">
        <f ca="1">BJ8/$E8*'Get Started'!$F82*(1-$E216-$E217-$E218)+BJ219*'Get Started'!$F82*BJ8</f>
        <v>0</v>
      </c>
      <c r="BK221" s="90">
        <f ca="1">BK8/$E8*'Get Started'!$F82*(1-$E216-$E217-$E218)+BK219*'Get Started'!$F82*BK8</f>
        <v>0</v>
      </c>
      <c r="BL221" s="90">
        <f ca="1">BL8/$E8*'Get Started'!$F82*(1-$E216-$E217-$E218)+BL219*'Get Started'!$F82*BL8</f>
        <v>0</v>
      </c>
      <c r="BM221" s="90">
        <f ca="1">BM8/$E8*'Get Started'!$F82*(1-$E216-$E217-$E218)+BM219*'Get Started'!$F82*BM8</f>
        <v>0</v>
      </c>
      <c r="BN221" s="90">
        <f ca="1">BN8/$E8*'Get Started'!$F82*(1-$E216-$E217-$E218)+BN219*'Get Started'!$F82*BN8</f>
        <v>0</v>
      </c>
      <c r="BO221" s="90">
        <f ca="1">BO8/$E8*'Get Started'!$F82*(1-$E216-$E217-$E218)+BO219*'Get Started'!$F82*BO8</f>
        <v>0</v>
      </c>
      <c r="BP221" s="90">
        <f ca="1">BP8/$E8*'Get Started'!$F82*(1-$E216-$E217-$E218)+BP219*'Get Started'!$F82*BP8</f>
        <v>0</v>
      </c>
      <c r="BQ221" s="90">
        <f ca="1">BQ8/$E8*'Get Started'!$F82*(1-$E216-$E217-$E218)+BQ219*'Get Started'!$F82*BQ8</f>
        <v>0</v>
      </c>
      <c r="BR221" s="90">
        <f ca="1">BR8/$E8*'Get Started'!$F82*(1-$E216-$E217-$E218)+BR219*'Get Started'!$F82*BR8</f>
        <v>0</v>
      </c>
      <c r="BS221" s="90">
        <f ca="1">BS8/$E8*'Get Started'!$F82*(1-$E216-$E217-$E218)+BS219*'Get Started'!$F82*BS8</f>
        <v>0</v>
      </c>
      <c r="BT221" s="90">
        <f ca="1">BT8/$E8*'Get Started'!$F82*(1-$E216-$E217-$E218)+BT219*'Get Started'!$F82*BT8</f>
        <v>0</v>
      </c>
      <c r="BU221" s="90">
        <f ca="1">BU8/$E8*'Get Started'!$F82*(1-$E216-$E217-$E218)+BU219*'Get Started'!$F82*BU8</f>
        <v>0</v>
      </c>
      <c r="BV221" s="90">
        <f ca="1">BV8/$E8*'Get Started'!$F82*(1-$E216-$E217-$E218)+BV219*'Get Started'!$F82*BV8</f>
        <v>0</v>
      </c>
      <c r="BW221" s="90">
        <f ca="1">BW8/$E8*'Get Started'!$F82*(1-$E216-$E217-$E218)+BW219*'Get Started'!$F82*BW8</f>
        <v>0</v>
      </c>
      <c r="BX221" s="90">
        <f ca="1">BX8/$E8*'Get Started'!$F82*(1-$E216-$E217-$E218)+BX219*'Get Started'!$F82*BX8</f>
        <v>0</v>
      </c>
      <c r="BY221" s="90">
        <f ca="1">BY8/$E8*'Get Started'!$F82*(1-$E216-$E217-$E218)+BY219*'Get Started'!$F82*BY8</f>
        <v>0</v>
      </c>
      <c r="BZ221" s="90">
        <f ca="1">BZ8/$E8*'Get Started'!$F82*(1-$E216-$E217-$E218)+BZ219*'Get Started'!$F82*BZ8</f>
        <v>0</v>
      </c>
      <c r="CA221" s="90">
        <f ca="1">CA8/$E8*'Get Started'!$F82*(1-$E216-$E217-$E218)+CA219*'Get Started'!$F82*CA8</f>
        <v>0</v>
      </c>
      <c r="CB221" s="90">
        <f ca="1">CB8/$E8*'Get Started'!$F82*(1-$E216-$E217-$E218)+CB219*'Get Started'!$F82*CB8</f>
        <v>0</v>
      </c>
      <c r="CC221" s="90">
        <f ca="1">CC8/$E8*'Get Started'!$F82*(1-$E216-$E217-$E218)+CC219*'Get Started'!$F82*CC8</f>
        <v>0</v>
      </c>
      <c r="CD221" s="90">
        <f ca="1">CD8/$E8*'Get Started'!$F82*(1-$E216-$E217-$E218)+CD219*'Get Started'!$F82*CD8</f>
        <v>0</v>
      </c>
      <c r="CE221" s="90">
        <f ca="1">CE8/$E8*'Get Started'!$F82*(1-$E216-$E217-$E218)+CE219*'Get Started'!$F82*CE8</f>
        <v>0</v>
      </c>
      <c r="CF221" s="90">
        <f ca="1">CF8/$E8*'Get Started'!$F82*(1-$E216-$E217-$E218)+CF219*'Get Started'!$F82*CF8</f>
        <v>0</v>
      </c>
      <c r="CG221" s="90">
        <f ca="1">CG8/$E8*'Get Started'!$F82*(1-$E216-$E217-$E218)+CG219*'Get Started'!$F82*CG8</f>
        <v>0</v>
      </c>
      <c r="CH221" s="90">
        <f ca="1">CH8/$E8*'Get Started'!$F82*(1-$E216-$E217-$E218)+CH219*'Get Started'!$F82*CH8</f>
        <v>0</v>
      </c>
    </row>
    <row r="222" spans="1:86" ht="13" outlineLevel="1">
      <c r="A222" s="13"/>
      <c r="B222" s="13" t="s">
        <v>328</v>
      </c>
      <c r="C222" s="91"/>
      <c r="D222" s="13" t="s">
        <v>238</v>
      </c>
      <c r="E222" s="88">
        <f t="shared" ca="1" si="172"/>
        <v>8.0850000000000005E-2</v>
      </c>
      <c r="F222" s="48"/>
      <c r="G222" s="90">
        <f ca="1">G8/$E8*'Get Started'!$G82*(1-$E216-$E217-$E218)+G219*'Get Started'!$G82*G8</f>
        <v>4.8125000000000008E-3</v>
      </c>
      <c r="H222" s="90">
        <f ca="1">H8/$E8*'Get Started'!$G82*(1-$E216-$E217-$E218)+H219*'Get Started'!$G82*H8</f>
        <v>4.8125000000000008E-3</v>
      </c>
      <c r="I222" s="90">
        <f ca="1">I8/$E8*'Get Started'!$G82*(1-$E216-$E217-$E218)+I219*'Get Started'!$G82*I8</f>
        <v>4.8125000000000008E-3</v>
      </c>
      <c r="J222" s="90">
        <f ca="1">J8/$E8*'Get Started'!$G82*(1-$E216-$E217-$E218)+J219*'Get Started'!$G82*J8</f>
        <v>4.8125000000000008E-3</v>
      </c>
      <c r="K222" s="90">
        <f ca="1">K8/$E8*'Get Started'!$G82*(1-$E216-$E217-$E218)+K219*'Get Started'!$G82*K8</f>
        <v>4.8125000000000008E-3</v>
      </c>
      <c r="L222" s="90">
        <f ca="1">L8/$E8*'Get Started'!$G82*(1-$E216-$E217-$E218)+L219*'Get Started'!$G82*L8</f>
        <v>4.8125000000000008E-3</v>
      </c>
      <c r="M222" s="90">
        <f ca="1">M8/$E8*'Get Started'!$G82*(1-$E216-$E217-$E218)+M219*'Get Started'!$G82*M8</f>
        <v>4.8125000000000008E-3</v>
      </c>
      <c r="N222" s="90">
        <f ca="1">N8/$E8*'Get Started'!$G82*(1-$E216-$E217-$E218)+N219*'Get Started'!$G82*N8</f>
        <v>4.8125000000000008E-3</v>
      </c>
      <c r="O222" s="90">
        <f ca="1">O8/$E8*'Get Started'!$G82*(1-$E216-$E217-$E218)+O219*'Get Started'!$G82*O8</f>
        <v>4.8125000000000008E-3</v>
      </c>
      <c r="P222" s="90">
        <f ca="1">P8/$E8*'Get Started'!$G82*(1-$E216-$E217-$E218)+P219*'Get Started'!$G82*P8</f>
        <v>4.8125000000000008E-3</v>
      </c>
      <c r="Q222" s="90">
        <f ca="1">Q8/$E8*'Get Started'!$G82*(1-$E216-$E217-$E218)+Q219*'Get Started'!$G82*Q8</f>
        <v>4.8125000000000008E-3</v>
      </c>
      <c r="R222" s="90">
        <f ca="1">R8/$E8*'Get Started'!$G82*(1-$E216-$E217-$E218)+R219*'Get Started'!$G82*R8</f>
        <v>4.8125000000000008E-3</v>
      </c>
      <c r="S222" s="90">
        <f ca="1">S8/$E8*'Get Started'!$G82*(1-$E216-$E217-$E218)+S219*'Get Started'!$G82*S8</f>
        <v>5.7750000000000006E-3</v>
      </c>
      <c r="T222" s="90">
        <f ca="1">T8/$E8*'Get Started'!$G82*(1-$E216-$E217-$E218)+T219*'Get Started'!$G82*T8</f>
        <v>5.7750000000000006E-3</v>
      </c>
      <c r="U222" s="90">
        <f ca="1">U8/$E8*'Get Started'!$G82*(1-$E216-$E217-$E218)+U219*'Get Started'!$G82*U8</f>
        <v>5.7750000000000006E-3</v>
      </c>
      <c r="V222" s="90">
        <f ca="1">V8/$E8*'Get Started'!$G82*(1-$E216-$E217-$E218)+V219*'Get Started'!$G82*V8</f>
        <v>5.7750000000000006E-3</v>
      </c>
      <c r="W222" s="90">
        <f ca="1">W8/$E8*'Get Started'!$G82*(1-$E216-$E217-$E218)+W219*'Get Started'!$G82*W8</f>
        <v>0</v>
      </c>
      <c r="X222" s="90">
        <f ca="1">X8/$E8*'Get Started'!$G82*(1-$E216-$E217-$E218)+X219*'Get Started'!$G82*X8</f>
        <v>0</v>
      </c>
      <c r="Y222" s="90">
        <f ca="1">Y8/$E8*'Get Started'!$G82*(1-$E216-$E217-$E218)+Y219*'Get Started'!$G82*Y8</f>
        <v>0</v>
      </c>
      <c r="Z222" s="90">
        <f ca="1">Z8/$E8*'Get Started'!$G82*(1-$E216-$E217-$E218)+Z219*'Get Started'!$G82*Z8</f>
        <v>0</v>
      </c>
      <c r="AA222" s="90">
        <f ca="1">AA8/$E8*'Get Started'!$G82*(1-$E216-$E217-$E218)+AA219*'Get Started'!$G82*AA8</f>
        <v>0</v>
      </c>
      <c r="AB222" s="90">
        <f ca="1">AB8/$E8*'Get Started'!$G82*(1-$E216-$E217-$E218)+AB219*'Get Started'!$G82*AB8</f>
        <v>0</v>
      </c>
      <c r="AC222" s="90">
        <f ca="1">AC8/$E8*'Get Started'!$G82*(1-$E216-$E217-$E218)+AC219*'Get Started'!$G82*AC8</f>
        <v>0</v>
      </c>
      <c r="AD222" s="90">
        <f ca="1">AD8/$E8*'Get Started'!$G82*(1-$E216-$E217-$E218)+AD219*'Get Started'!$G82*AD8</f>
        <v>0</v>
      </c>
      <c r="AE222" s="90">
        <f ca="1">AE8/$E8*'Get Started'!$G82*(1-$E216-$E217-$E218)+AE219*'Get Started'!$G82*AE8</f>
        <v>0</v>
      </c>
      <c r="AF222" s="90">
        <f ca="1">AF8/$E8*'Get Started'!$G82*(1-$E216-$E217-$E218)+AF219*'Get Started'!$G82*AF8</f>
        <v>0</v>
      </c>
      <c r="AG222" s="90">
        <f ca="1">AG8/$E8*'Get Started'!$G82*(1-$E216-$E217-$E218)+AG219*'Get Started'!$G82*AG8</f>
        <v>0</v>
      </c>
      <c r="AH222" s="90">
        <f ca="1">AH8/$E8*'Get Started'!$G82*(1-$E216-$E217-$E218)+AH219*'Get Started'!$G82*AH8</f>
        <v>0</v>
      </c>
      <c r="AI222" s="90">
        <f ca="1">AI8/$E8*'Get Started'!$G82*(1-$E216-$E217-$E218)+AI219*'Get Started'!$G82*AI8</f>
        <v>0</v>
      </c>
      <c r="AJ222" s="90">
        <f ca="1">AJ8/$E8*'Get Started'!$G82*(1-$E216-$E217-$E218)+AJ219*'Get Started'!$G82*AJ8</f>
        <v>0</v>
      </c>
      <c r="AK222" s="90">
        <f ca="1">AK8/$E8*'Get Started'!$G82*(1-$E216-$E217-$E218)+AK219*'Get Started'!$G82*AK8</f>
        <v>0</v>
      </c>
      <c r="AL222" s="90">
        <f ca="1">AL8/$E8*'Get Started'!$G82*(1-$E216-$E217-$E218)+AL219*'Get Started'!$G82*AL8</f>
        <v>0</v>
      </c>
      <c r="AM222" s="90">
        <f ca="1">AM8/$E8*'Get Started'!$G82*(1-$E216-$E217-$E218)+AM219*'Get Started'!$G82*AM8</f>
        <v>0</v>
      </c>
      <c r="AN222" s="90">
        <f ca="1">AN8/$E8*'Get Started'!$G82*(1-$E216-$E217-$E218)+AN219*'Get Started'!$G82*AN8</f>
        <v>0</v>
      </c>
      <c r="AO222" s="90">
        <f ca="1">AO8/$E8*'Get Started'!$G82*(1-$E216-$E217-$E218)+AO219*'Get Started'!$G82*AO8</f>
        <v>0</v>
      </c>
      <c r="AP222" s="90">
        <f ca="1">AP8/$E8*'Get Started'!$G82*(1-$E216-$E217-$E218)+AP219*'Get Started'!$G82*AP8</f>
        <v>0</v>
      </c>
      <c r="AQ222" s="90">
        <f ca="1">AQ8/$E8*'Get Started'!$G82*(1-$E216-$E217-$E218)+AQ219*'Get Started'!$G82*AQ8</f>
        <v>0</v>
      </c>
      <c r="AR222" s="90">
        <f ca="1">AR8/$E8*'Get Started'!$G82*(1-$E216-$E217-$E218)+AR219*'Get Started'!$G82*AR8</f>
        <v>0</v>
      </c>
      <c r="AS222" s="90">
        <f ca="1">AS8/$E8*'Get Started'!$G82*(1-$E216-$E217-$E218)+AS219*'Get Started'!$G82*AS8</f>
        <v>0</v>
      </c>
      <c r="AT222" s="90">
        <f ca="1">AT8/$E8*'Get Started'!$G82*(1-$E216-$E217-$E218)+AT219*'Get Started'!$G82*AT8</f>
        <v>0</v>
      </c>
      <c r="AU222" s="90">
        <f ca="1">AU8/$E8*'Get Started'!$G82*(1-$E216-$E217-$E218)+AU219*'Get Started'!$G82*AU8</f>
        <v>0</v>
      </c>
      <c r="AV222" s="90">
        <f ca="1">AV8/$E8*'Get Started'!$G82*(1-$E216-$E217-$E218)+AV219*'Get Started'!$G82*AV8</f>
        <v>0</v>
      </c>
      <c r="AW222" s="90">
        <f ca="1">AW8/$E8*'Get Started'!$G82*(1-$E216-$E217-$E218)+AW219*'Get Started'!$G82*AW8</f>
        <v>0</v>
      </c>
      <c r="AX222" s="90">
        <f ca="1">AX8/$E8*'Get Started'!$G82*(1-$E216-$E217-$E218)+AX219*'Get Started'!$G82*AX8</f>
        <v>0</v>
      </c>
      <c r="AY222" s="90">
        <f ca="1">AY8/$E8*'Get Started'!$G82*(1-$E216-$E217-$E218)+AY219*'Get Started'!$G82*AY8</f>
        <v>0</v>
      </c>
      <c r="AZ222" s="90">
        <f ca="1">AZ8/$E8*'Get Started'!$G82*(1-$E216-$E217-$E218)+AZ219*'Get Started'!$G82*AZ8</f>
        <v>0</v>
      </c>
      <c r="BA222" s="90">
        <f ca="1">BA8/$E8*'Get Started'!$G82*(1-$E216-$E217-$E218)+BA219*'Get Started'!$G82*BA8</f>
        <v>0</v>
      </c>
      <c r="BB222" s="90">
        <f ca="1">BB8/$E8*'Get Started'!$G82*(1-$E216-$E217-$E218)+BB219*'Get Started'!$G82*BB8</f>
        <v>0</v>
      </c>
      <c r="BC222" s="90">
        <f ca="1">BC8/$E8*'Get Started'!$G82*(1-$E216-$E217-$E218)+BC219*'Get Started'!$G82*BC8</f>
        <v>0</v>
      </c>
      <c r="BD222" s="90">
        <f ca="1">BD8/$E8*'Get Started'!$G82*(1-$E216-$E217-$E218)+BD219*'Get Started'!$G82*BD8</f>
        <v>0</v>
      </c>
      <c r="BE222" s="90">
        <f ca="1">BE8/$E8*'Get Started'!$G82*(1-$E216-$E217-$E218)+BE219*'Get Started'!$G82*BE8</f>
        <v>0</v>
      </c>
      <c r="BF222" s="90">
        <f ca="1">BF8/$E8*'Get Started'!$G82*(1-$E216-$E217-$E218)+BF219*'Get Started'!$G82*BF8</f>
        <v>0</v>
      </c>
      <c r="BG222" s="90">
        <f ca="1">BG8/$E8*'Get Started'!$G82*(1-$E216-$E217-$E218)+BG219*'Get Started'!$G82*BG8</f>
        <v>0</v>
      </c>
      <c r="BH222" s="90">
        <f ca="1">BH8/$E8*'Get Started'!$G82*(1-$E216-$E217-$E218)+BH219*'Get Started'!$G82*BH8</f>
        <v>0</v>
      </c>
      <c r="BI222" s="90">
        <f ca="1">BI8/$E8*'Get Started'!$G82*(1-$E216-$E217-$E218)+BI219*'Get Started'!$G82*BI8</f>
        <v>0</v>
      </c>
      <c r="BJ222" s="90">
        <f ca="1">BJ8/$E8*'Get Started'!$G82*(1-$E216-$E217-$E218)+BJ219*'Get Started'!$G82*BJ8</f>
        <v>0</v>
      </c>
      <c r="BK222" s="90">
        <f ca="1">BK8/$E8*'Get Started'!$G82*(1-$E216-$E217-$E218)+BK219*'Get Started'!$G82*BK8</f>
        <v>0</v>
      </c>
      <c r="BL222" s="90">
        <f ca="1">BL8/$E8*'Get Started'!$G82*(1-$E216-$E217-$E218)+BL219*'Get Started'!$G82*BL8</f>
        <v>0</v>
      </c>
      <c r="BM222" s="90">
        <f ca="1">BM8/$E8*'Get Started'!$G82*(1-$E216-$E217-$E218)+BM219*'Get Started'!$G82*BM8</f>
        <v>0</v>
      </c>
      <c r="BN222" s="90">
        <f ca="1">BN8/$E8*'Get Started'!$G82*(1-$E216-$E217-$E218)+BN219*'Get Started'!$G82*BN8</f>
        <v>0</v>
      </c>
      <c r="BO222" s="90">
        <f ca="1">BO8/$E8*'Get Started'!$G82*(1-$E216-$E217-$E218)+BO219*'Get Started'!$G82*BO8</f>
        <v>0</v>
      </c>
      <c r="BP222" s="90">
        <f ca="1">BP8/$E8*'Get Started'!$G82*(1-$E216-$E217-$E218)+BP219*'Get Started'!$G82*BP8</f>
        <v>0</v>
      </c>
      <c r="BQ222" s="90">
        <f ca="1">BQ8/$E8*'Get Started'!$G82*(1-$E216-$E217-$E218)+BQ219*'Get Started'!$G82*BQ8</f>
        <v>0</v>
      </c>
      <c r="BR222" s="90">
        <f ca="1">BR8/$E8*'Get Started'!$G82*(1-$E216-$E217-$E218)+BR219*'Get Started'!$G82*BR8</f>
        <v>0</v>
      </c>
      <c r="BS222" s="90">
        <f ca="1">BS8/$E8*'Get Started'!$G82*(1-$E216-$E217-$E218)+BS219*'Get Started'!$G82*BS8</f>
        <v>0</v>
      </c>
      <c r="BT222" s="90">
        <f ca="1">BT8/$E8*'Get Started'!$G82*(1-$E216-$E217-$E218)+BT219*'Get Started'!$G82*BT8</f>
        <v>0</v>
      </c>
      <c r="BU222" s="90">
        <f ca="1">BU8/$E8*'Get Started'!$G82*(1-$E216-$E217-$E218)+BU219*'Get Started'!$G82*BU8</f>
        <v>0</v>
      </c>
      <c r="BV222" s="90">
        <f ca="1">BV8/$E8*'Get Started'!$G82*(1-$E216-$E217-$E218)+BV219*'Get Started'!$G82*BV8</f>
        <v>0</v>
      </c>
      <c r="BW222" s="90">
        <f ca="1">BW8/$E8*'Get Started'!$G82*(1-$E216-$E217-$E218)+BW219*'Get Started'!$G82*BW8</f>
        <v>0</v>
      </c>
      <c r="BX222" s="90">
        <f ca="1">BX8/$E8*'Get Started'!$G82*(1-$E216-$E217-$E218)+BX219*'Get Started'!$G82*BX8</f>
        <v>0</v>
      </c>
      <c r="BY222" s="90">
        <f ca="1">BY8/$E8*'Get Started'!$G82*(1-$E216-$E217-$E218)+BY219*'Get Started'!$G82*BY8</f>
        <v>0</v>
      </c>
      <c r="BZ222" s="90">
        <f ca="1">BZ8/$E8*'Get Started'!$G82*(1-$E216-$E217-$E218)+BZ219*'Get Started'!$G82*BZ8</f>
        <v>0</v>
      </c>
      <c r="CA222" s="90">
        <f ca="1">CA8/$E8*'Get Started'!$G82*(1-$E216-$E217-$E218)+CA219*'Get Started'!$G82*CA8</f>
        <v>0</v>
      </c>
      <c r="CB222" s="90">
        <f ca="1">CB8/$E8*'Get Started'!$G82*(1-$E216-$E217-$E218)+CB219*'Get Started'!$G82*CB8</f>
        <v>0</v>
      </c>
      <c r="CC222" s="90">
        <f ca="1">CC8/$E8*'Get Started'!$G82*(1-$E216-$E217-$E218)+CC219*'Get Started'!$G82*CC8</f>
        <v>0</v>
      </c>
      <c r="CD222" s="90">
        <f ca="1">CD8/$E8*'Get Started'!$G82*(1-$E216-$E217-$E218)+CD219*'Get Started'!$G82*CD8</f>
        <v>0</v>
      </c>
      <c r="CE222" s="90">
        <f ca="1">CE8/$E8*'Get Started'!$G82*(1-$E216-$E217-$E218)+CE219*'Get Started'!$G82*CE8</f>
        <v>0</v>
      </c>
      <c r="CF222" s="90">
        <f ca="1">CF8/$E8*'Get Started'!$G82*(1-$E216-$E217-$E218)+CF219*'Get Started'!$G82*CF8</f>
        <v>0</v>
      </c>
      <c r="CG222" s="90">
        <f ca="1">CG8/$E8*'Get Started'!$G82*(1-$E216-$E217-$E218)+CG219*'Get Started'!$G82*CG8</f>
        <v>0</v>
      </c>
      <c r="CH222" s="90">
        <f ca="1">CH8/$E8*'Get Started'!$G82*(1-$E216-$E217-$E218)+CH219*'Get Started'!$G82*CH8</f>
        <v>0</v>
      </c>
    </row>
    <row r="223" spans="1:86" ht="13" outlineLevel="1">
      <c r="A223" s="13"/>
      <c r="B223" s="13" t="s">
        <v>328</v>
      </c>
      <c r="C223" s="91"/>
      <c r="D223" s="13" t="s">
        <v>238</v>
      </c>
      <c r="E223" s="88">
        <f t="shared" ca="1" si="172"/>
        <v>8.0849999999999991E-2</v>
      </c>
      <c r="F223" s="48"/>
      <c r="G223" s="90">
        <f ca="1">G8/$E8*'Get Started'!$H82*(1-$E216-$E217-$E218)+G219*'Get Started'!$H82*G8</f>
        <v>4.8124999999999999E-3</v>
      </c>
      <c r="H223" s="90">
        <f ca="1">H8/$E8*'Get Started'!$H82*(1-$E216-$E217-$E218)+H219*'Get Started'!$H82*H8</f>
        <v>4.8124999999999999E-3</v>
      </c>
      <c r="I223" s="90">
        <f ca="1">I8/$E8*'Get Started'!$H82*(1-$E216-$E217-$E218)+I219*'Get Started'!$H82*I8</f>
        <v>4.8124999999999999E-3</v>
      </c>
      <c r="J223" s="90">
        <f ca="1">J8/$E8*'Get Started'!$H82*(1-$E216-$E217-$E218)+J219*'Get Started'!$H82*J8</f>
        <v>4.8124999999999999E-3</v>
      </c>
      <c r="K223" s="90">
        <f ca="1">K8/$E8*'Get Started'!$H82*(1-$E216-$E217-$E218)+K219*'Get Started'!$H82*K8</f>
        <v>4.8124999999999999E-3</v>
      </c>
      <c r="L223" s="90">
        <f ca="1">L8/$E8*'Get Started'!$H82*(1-$E216-$E217-$E218)+L219*'Get Started'!$H82*L8</f>
        <v>4.8124999999999999E-3</v>
      </c>
      <c r="M223" s="90">
        <f ca="1">M8/$E8*'Get Started'!$H82*(1-$E216-$E217-$E218)+M219*'Get Started'!$H82*M8</f>
        <v>4.8124999999999999E-3</v>
      </c>
      <c r="N223" s="90">
        <f ca="1">N8/$E8*'Get Started'!$H82*(1-$E216-$E217-$E218)+N219*'Get Started'!$H82*N8</f>
        <v>4.8124999999999999E-3</v>
      </c>
      <c r="O223" s="90">
        <f ca="1">O8/$E8*'Get Started'!$H82*(1-$E216-$E217-$E218)+O219*'Get Started'!$H82*O8</f>
        <v>4.8124999999999999E-3</v>
      </c>
      <c r="P223" s="90">
        <f ca="1">P8/$E8*'Get Started'!$H82*(1-$E216-$E217-$E218)+P219*'Get Started'!$H82*P8</f>
        <v>4.8124999999999999E-3</v>
      </c>
      <c r="Q223" s="90">
        <f ca="1">Q8/$E8*'Get Started'!$H82*(1-$E216-$E217-$E218)+Q219*'Get Started'!$H82*Q8</f>
        <v>4.8124999999999999E-3</v>
      </c>
      <c r="R223" s="90">
        <f ca="1">R8/$E8*'Get Started'!$H82*(1-$E216-$E217-$E218)+R219*'Get Started'!$H82*R8</f>
        <v>4.8124999999999999E-3</v>
      </c>
      <c r="S223" s="90">
        <f ca="1">S8/$E8*'Get Started'!$H82*(1-$E216-$E217-$E218)+S219*'Get Started'!$H82*S8</f>
        <v>5.7749999999999998E-3</v>
      </c>
      <c r="T223" s="90">
        <f ca="1">T8/$E8*'Get Started'!$H82*(1-$E216-$E217-$E218)+T219*'Get Started'!$H82*T8</f>
        <v>5.7749999999999998E-3</v>
      </c>
      <c r="U223" s="90">
        <f ca="1">U8/$E8*'Get Started'!$H82*(1-$E216-$E217-$E218)+U219*'Get Started'!$H82*U8</f>
        <v>5.7749999999999998E-3</v>
      </c>
      <c r="V223" s="90">
        <f ca="1">V8/$E8*'Get Started'!$H82*(1-$E216-$E217-$E218)+V219*'Get Started'!$H82*V8</f>
        <v>5.7749999999999998E-3</v>
      </c>
      <c r="W223" s="90">
        <f ca="1">W8/$E8*'Get Started'!$H82*(1-$E216-$E217-$E218)+W219*'Get Started'!$H82*W8</f>
        <v>0</v>
      </c>
      <c r="X223" s="90">
        <f ca="1">X8/$E8*'Get Started'!$H82*(1-$E216-$E217-$E218)+X219*'Get Started'!$H82*X8</f>
        <v>0</v>
      </c>
      <c r="Y223" s="90">
        <f ca="1">Y8/$E8*'Get Started'!$H82*(1-$E216-$E217-$E218)+Y219*'Get Started'!$H82*Y8</f>
        <v>0</v>
      </c>
      <c r="Z223" s="90">
        <f ca="1">Z8/$E8*'Get Started'!$H82*(1-$E216-$E217-$E218)+Z219*'Get Started'!$H82*Z8</f>
        <v>0</v>
      </c>
      <c r="AA223" s="90">
        <f ca="1">AA8/$E8*'Get Started'!$H82*(1-$E216-$E217-$E218)+AA219*'Get Started'!$H82*AA8</f>
        <v>0</v>
      </c>
      <c r="AB223" s="90">
        <f ca="1">AB8/$E8*'Get Started'!$H82*(1-$E216-$E217-$E218)+AB219*'Get Started'!$H82*AB8</f>
        <v>0</v>
      </c>
      <c r="AC223" s="90">
        <f ca="1">AC8/$E8*'Get Started'!$H82*(1-$E216-$E217-$E218)+AC219*'Get Started'!$H82*AC8</f>
        <v>0</v>
      </c>
      <c r="AD223" s="90">
        <f ca="1">AD8/$E8*'Get Started'!$H82*(1-$E216-$E217-$E218)+AD219*'Get Started'!$H82*AD8</f>
        <v>0</v>
      </c>
      <c r="AE223" s="90">
        <f ca="1">AE8/$E8*'Get Started'!$H82*(1-$E216-$E217-$E218)+AE219*'Get Started'!$H82*AE8</f>
        <v>0</v>
      </c>
      <c r="AF223" s="90">
        <f ca="1">AF8/$E8*'Get Started'!$H82*(1-$E216-$E217-$E218)+AF219*'Get Started'!$H82*AF8</f>
        <v>0</v>
      </c>
      <c r="AG223" s="90">
        <f ca="1">AG8/$E8*'Get Started'!$H82*(1-$E216-$E217-$E218)+AG219*'Get Started'!$H82*AG8</f>
        <v>0</v>
      </c>
      <c r="AH223" s="90">
        <f ca="1">AH8/$E8*'Get Started'!$H82*(1-$E216-$E217-$E218)+AH219*'Get Started'!$H82*AH8</f>
        <v>0</v>
      </c>
      <c r="AI223" s="90">
        <f ca="1">AI8/$E8*'Get Started'!$H82*(1-$E216-$E217-$E218)+AI219*'Get Started'!$H82*AI8</f>
        <v>0</v>
      </c>
      <c r="AJ223" s="90">
        <f ca="1">AJ8/$E8*'Get Started'!$H82*(1-$E216-$E217-$E218)+AJ219*'Get Started'!$H82*AJ8</f>
        <v>0</v>
      </c>
      <c r="AK223" s="90">
        <f ca="1">AK8/$E8*'Get Started'!$H82*(1-$E216-$E217-$E218)+AK219*'Get Started'!$H82*AK8</f>
        <v>0</v>
      </c>
      <c r="AL223" s="90">
        <f ca="1">AL8/$E8*'Get Started'!$H82*(1-$E216-$E217-$E218)+AL219*'Get Started'!$H82*AL8</f>
        <v>0</v>
      </c>
      <c r="AM223" s="90">
        <f ca="1">AM8/$E8*'Get Started'!$H82*(1-$E216-$E217-$E218)+AM219*'Get Started'!$H82*AM8</f>
        <v>0</v>
      </c>
      <c r="AN223" s="90">
        <f ca="1">AN8/$E8*'Get Started'!$H82*(1-$E216-$E217-$E218)+AN219*'Get Started'!$H82*AN8</f>
        <v>0</v>
      </c>
      <c r="AO223" s="90">
        <f ca="1">AO8/$E8*'Get Started'!$H82*(1-$E216-$E217-$E218)+AO219*'Get Started'!$H82*AO8</f>
        <v>0</v>
      </c>
      <c r="AP223" s="90">
        <f ca="1">AP8/$E8*'Get Started'!$H82*(1-$E216-$E217-$E218)+AP219*'Get Started'!$H82*AP8</f>
        <v>0</v>
      </c>
      <c r="AQ223" s="90">
        <f ca="1">AQ8/$E8*'Get Started'!$H82*(1-$E216-$E217-$E218)+AQ219*'Get Started'!$H82*AQ8</f>
        <v>0</v>
      </c>
      <c r="AR223" s="90">
        <f ca="1">AR8/$E8*'Get Started'!$H82*(1-$E216-$E217-$E218)+AR219*'Get Started'!$H82*AR8</f>
        <v>0</v>
      </c>
      <c r="AS223" s="90">
        <f ca="1">AS8/$E8*'Get Started'!$H82*(1-$E216-$E217-$E218)+AS219*'Get Started'!$H82*AS8</f>
        <v>0</v>
      </c>
      <c r="AT223" s="90">
        <f ca="1">AT8/$E8*'Get Started'!$H82*(1-$E216-$E217-$E218)+AT219*'Get Started'!$H82*AT8</f>
        <v>0</v>
      </c>
      <c r="AU223" s="90">
        <f ca="1">AU8/$E8*'Get Started'!$H82*(1-$E216-$E217-$E218)+AU219*'Get Started'!$H82*AU8</f>
        <v>0</v>
      </c>
      <c r="AV223" s="90">
        <f ca="1">AV8/$E8*'Get Started'!$H82*(1-$E216-$E217-$E218)+AV219*'Get Started'!$H82*AV8</f>
        <v>0</v>
      </c>
      <c r="AW223" s="90">
        <f ca="1">AW8/$E8*'Get Started'!$H82*(1-$E216-$E217-$E218)+AW219*'Get Started'!$H82*AW8</f>
        <v>0</v>
      </c>
      <c r="AX223" s="90">
        <f ca="1">AX8/$E8*'Get Started'!$H82*(1-$E216-$E217-$E218)+AX219*'Get Started'!$H82*AX8</f>
        <v>0</v>
      </c>
      <c r="AY223" s="90">
        <f ca="1">AY8/$E8*'Get Started'!$H82*(1-$E216-$E217-$E218)+AY219*'Get Started'!$H82*AY8</f>
        <v>0</v>
      </c>
      <c r="AZ223" s="90">
        <f ca="1">AZ8/$E8*'Get Started'!$H82*(1-$E216-$E217-$E218)+AZ219*'Get Started'!$H82*AZ8</f>
        <v>0</v>
      </c>
      <c r="BA223" s="90">
        <f ca="1">BA8/$E8*'Get Started'!$H82*(1-$E216-$E217-$E218)+BA219*'Get Started'!$H82*BA8</f>
        <v>0</v>
      </c>
      <c r="BB223" s="90">
        <f ca="1">BB8/$E8*'Get Started'!$H82*(1-$E216-$E217-$E218)+BB219*'Get Started'!$H82*BB8</f>
        <v>0</v>
      </c>
      <c r="BC223" s="90">
        <f ca="1">BC8/$E8*'Get Started'!$H82*(1-$E216-$E217-$E218)+BC219*'Get Started'!$H82*BC8</f>
        <v>0</v>
      </c>
      <c r="BD223" s="90">
        <f ca="1">BD8/$E8*'Get Started'!$H82*(1-$E216-$E217-$E218)+BD219*'Get Started'!$H82*BD8</f>
        <v>0</v>
      </c>
      <c r="BE223" s="90">
        <f ca="1">BE8/$E8*'Get Started'!$H82*(1-$E216-$E217-$E218)+BE219*'Get Started'!$H82*BE8</f>
        <v>0</v>
      </c>
      <c r="BF223" s="90">
        <f ca="1">BF8/$E8*'Get Started'!$H82*(1-$E216-$E217-$E218)+BF219*'Get Started'!$H82*BF8</f>
        <v>0</v>
      </c>
      <c r="BG223" s="90">
        <f ca="1">BG8/$E8*'Get Started'!$H82*(1-$E216-$E217-$E218)+BG219*'Get Started'!$H82*BG8</f>
        <v>0</v>
      </c>
      <c r="BH223" s="90">
        <f ca="1">BH8/$E8*'Get Started'!$H82*(1-$E216-$E217-$E218)+BH219*'Get Started'!$H82*BH8</f>
        <v>0</v>
      </c>
      <c r="BI223" s="90">
        <f ca="1">BI8/$E8*'Get Started'!$H82*(1-$E216-$E217-$E218)+BI219*'Get Started'!$H82*BI8</f>
        <v>0</v>
      </c>
      <c r="BJ223" s="90">
        <f ca="1">BJ8/$E8*'Get Started'!$H82*(1-$E216-$E217-$E218)+BJ219*'Get Started'!$H82*BJ8</f>
        <v>0</v>
      </c>
      <c r="BK223" s="90">
        <f ca="1">BK8/$E8*'Get Started'!$H82*(1-$E216-$E217-$E218)+BK219*'Get Started'!$H82*BK8</f>
        <v>0</v>
      </c>
      <c r="BL223" s="90">
        <f ca="1">BL8/$E8*'Get Started'!$H82*(1-$E216-$E217-$E218)+BL219*'Get Started'!$H82*BL8</f>
        <v>0</v>
      </c>
      <c r="BM223" s="90">
        <f ca="1">BM8/$E8*'Get Started'!$H82*(1-$E216-$E217-$E218)+BM219*'Get Started'!$H82*BM8</f>
        <v>0</v>
      </c>
      <c r="BN223" s="90">
        <f ca="1">BN8/$E8*'Get Started'!$H82*(1-$E216-$E217-$E218)+BN219*'Get Started'!$H82*BN8</f>
        <v>0</v>
      </c>
      <c r="BO223" s="90">
        <f ca="1">BO8/$E8*'Get Started'!$H82*(1-$E216-$E217-$E218)+BO219*'Get Started'!$H82*BO8</f>
        <v>0</v>
      </c>
      <c r="BP223" s="90">
        <f ca="1">BP8/$E8*'Get Started'!$H82*(1-$E216-$E217-$E218)+BP219*'Get Started'!$H82*BP8</f>
        <v>0</v>
      </c>
      <c r="BQ223" s="90">
        <f ca="1">BQ8/$E8*'Get Started'!$H82*(1-$E216-$E217-$E218)+BQ219*'Get Started'!$H82*BQ8</f>
        <v>0</v>
      </c>
      <c r="BR223" s="90">
        <f ca="1">BR8/$E8*'Get Started'!$H82*(1-$E216-$E217-$E218)+BR219*'Get Started'!$H82*BR8</f>
        <v>0</v>
      </c>
      <c r="BS223" s="90">
        <f ca="1">BS8/$E8*'Get Started'!$H82*(1-$E216-$E217-$E218)+BS219*'Get Started'!$H82*BS8</f>
        <v>0</v>
      </c>
      <c r="BT223" s="90">
        <f ca="1">BT8/$E8*'Get Started'!$H82*(1-$E216-$E217-$E218)+BT219*'Get Started'!$H82*BT8</f>
        <v>0</v>
      </c>
      <c r="BU223" s="90">
        <f ca="1">BU8/$E8*'Get Started'!$H82*(1-$E216-$E217-$E218)+BU219*'Get Started'!$H82*BU8</f>
        <v>0</v>
      </c>
      <c r="BV223" s="90">
        <f ca="1">BV8/$E8*'Get Started'!$H82*(1-$E216-$E217-$E218)+BV219*'Get Started'!$H82*BV8</f>
        <v>0</v>
      </c>
      <c r="BW223" s="90">
        <f ca="1">BW8/$E8*'Get Started'!$H82*(1-$E216-$E217-$E218)+BW219*'Get Started'!$H82*BW8</f>
        <v>0</v>
      </c>
      <c r="BX223" s="90">
        <f ca="1">BX8/$E8*'Get Started'!$H82*(1-$E216-$E217-$E218)+BX219*'Get Started'!$H82*BX8</f>
        <v>0</v>
      </c>
      <c r="BY223" s="90">
        <f ca="1">BY8/$E8*'Get Started'!$H82*(1-$E216-$E217-$E218)+BY219*'Get Started'!$H82*BY8</f>
        <v>0</v>
      </c>
      <c r="BZ223" s="90">
        <f ca="1">BZ8/$E8*'Get Started'!$H82*(1-$E216-$E217-$E218)+BZ219*'Get Started'!$H82*BZ8</f>
        <v>0</v>
      </c>
      <c r="CA223" s="90">
        <f ca="1">CA8/$E8*'Get Started'!$H82*(1-$E216-$E217-$E218)+CA219*'Get Started'!$H82*CA8</f>
        <v>0</v>
      </c>
      <c r="CB223" s="90">
        <f ca="1">CB8/$E8*'Get Started'!$H82*(1-$E216-$E217-$E218)+CB219*'Get Started'!$H82*CB8</f>
        <v>0</v>
      </c>
      <c r="CC223" s="90">
        <f ca="1">CC8/$E8*'Get Started'!$H82*(1-$E216-$E217-$E218)+CC219*'Get Started'!$H82*CC8</f>
        <v>0</v>
      </c>
      <c r="CD223" s="90">
        <f ca="1">CD8/$E8*'Get Started'!$H82*(1-$E216-$E217-$E218)+CD219*'Get Started'!$H82*CD8</f>
        <v>0</v>
      </c>
      <c r="CE223" s="90">
        <f ca="1">CE8/$E8*'Get Started'!$H82*(1-$E216-$E217-$E218)+CE219*'Get Started'!$H82*CE8</f>
        <v>0</v>
      </c>
      <c r="CF223" s="90">
        <f ca="1">CF8/$E8*'Get Started'!$H82*(1-$E216-$E217-$E218)+CF219*'Get Started'!$H82*CF8</f>
        <v>0</v>
      </c>
      <c r="CG223" s="90">
        <f ca="1">CG8/$E8*'Get Started'!$H82*(1-$E216-$E217-$E218)+CG219*'Get Started'!$H82*CG8</f>
        <v>0</v>
      </c>
      <c r="CH223" s="90">
        <f ca="1">CH8/$E8*'Get Started'!$H82*(1-$E216-$E217-$E218)+CH219*'Get Started'!$H82*CH8</f>
        <v>0</v>
      </c>
    </row>
    <row r="224" spans="1:86" ht="13" outlineLevel="1">
      <c r="A224" s="13"/>
      <c r="B224" s="13" t="s">
        <v>328</v>
      </c>
      <c r="C224" s="91"/>
      <c r="D224" s="13" t="s">
        <v>238</v>
      </c>
      <c r="E224" s="88">
        <f t="shared" ca="1" si="172"/>
        <v>0.80849999999999977</v>
      </c>
      <c r="F224" s="48"/>
      <c r="G224" s="90">
        <f t="shared" ref="G224:CH224" ca="1" si="176">SUM(G220:G223)</f>
        <v>4.8125000000000001E-2</v>
      </c>
      <c r="H224" s="90">
        <f t="shared" ca="1" si="176"/>
        <v>4.8125000000000001E-2</v>
      </c>
      <c r="I224" s="90">
        <f t="shared" ca="1" si="176"/>
        <v>4.8125000000000001E-2</v>
      </c>
      <c r="J224" s="90">
        <f t="shared" ca="1" si="176"/>
        <v>4.8125000000000001E-2</v>
      </c>
      <c r="K224" s="90">
        <f t="shared" ca="1" si="176"/>
        <v>4.8125000000000001E-2</v>
      </c>
      <c r="L224" s="90">
        <f t="shared" ca="1" si="176"/>
        <v>4.8125000000000001E-2</v>
      </c>
      <c r="M224" s="90">
        <f t="shared" ca="1" si="176"/>
        <v>4.8125000000000001E-2</v>
      </c>
      <c r="N224" s="90">
        <f t="shared" ca="1" si="176"/>
        <v>4.8125000000000001E-2</v>
      </c>
      <c r="O224" s="90">
        <f t="shared" ca="1" si="176"/>
        <v>4.8125000000000001E-2</v>
      </c>
      <c r="P224" s="90">
        <f t="shared" ca="1" si="176"/>
        <v>4.8125000000000001E-2</v>
      </c>
      <c r="Q224" s="90">
        <f t="shared" ca="1" si="176"/>
        <v>4.8125000000000001E-2</v>
      </c>
      <c r="R224" s="90">
        <f t="shared" ca="1" si="176"/>
        <v>4.8125000000000001E-2</v>
      </c>
      <c r="S224" s="90">
        <f t="shared" ca="1" si="176"/>
        <v>5.775000000000001E-2</v>
      </c>
      <c r="T224" s="90">
        <f t="shared" ca="1" si="176"/>
        <v>5.775000000000001E-2</v>
      </c>
      <c r="U224" s="90">
        <f t="shared" ca="1" si="176"/>
        <v>5.775000000000001E-2</v>
      </c>
      <c r="V224" s="90">
        <f t="shared" ca="1" si="176"/>
        <v>5.775000000000001E-2</v>
      </c>
      <c r="W224" s="90">
        <f t="shared" ca="1" si="176"/>
        <v>0</v>
      </c>
      <c r="X224" s="90">
        <f t="shared" ca="1" si="176"/>
        <v>0</v>
      </c>
      <c r="Y224" s="90">
        <f t="shared" ca="1" si="176"/>
        <v>0</v>
      </c>
      <c r="Z224" s="90">
        <f t="shared" ca="1" si="176"/>
        <v>0</v>
      </c>
      <c r="AA224" s="90">
        <f t="shared" ca="1" si="176"/>
        <v>0</v>
      </c>
      <c r="AB224" s="90">
        <f t="shared" ca="1" si="176"/>
        <v>0</v>
      </c>
      <c r="AC224" s="90">
        <f t="shared" ca="1" si="176"/>
        <v>0</v>
      </c>
      <c r="AD224" s="90">
        <f t="shared" ca="1" si="176"/>
        <v>0</v>
      </c>
      <c r="AE224" s="90">
        <f t="shared" ca="1" si="176"/>
        <v>0</v>
      </c>
      <c r="AF224" s="90">
        <f t="shared" ca="1" si="176"/>
        <v>0</v>
      </c>
      <c r="AG224" s="90">
        <f t="shared" ca="1" si="176"/>
        <v>0</v>
      </c>
      <c r="AH224" s="90">
        <f t="shared" ca="1" si="176"/>
        <v>0</v>
      </c>
      <c r="AI224" s="90">
        <f t="shared" ca="1" si="176"/>
        <v>0</v>
      </c>
      <c r="AJ224" s="90">
        <f t="shared" ca="1" si="176"/>
        <v>0</v>
      </c>
      <c r="AK224" s="90">
        <f t="shared" ca="1" si="176"/>
        <v>0</v>
      </c>
      <c r="AL224" s="90">
        <f t="shared" ca="1" si="176"/>
        <v>0</v>
      </c>
      <c r="AM224" s="90">
        <f t="shared" ca="1" si="176"/>
        <v>0</v>
      </c>
      <c r="AN224" s="90">
        <f t="shared" ca="1" si="176"/>
        <v>0</v>
      </c>
      <c r="AO224" s="90">
        <f t="shared" ca="1" si="176"/>
        <v>0</v>
      </c>
      <c r="AP224" s="90">
        <f t="shared" ca="1" si="176"/>
        <v>0</v>
      </c>
      <c r="AQ224" s="90">
        <f t="shared" ca="1" si="176"/>
        <v>0</v>
      </c>
      <c r="AR224" s="90">
        <f t="shared" ca="1" si="176"/>
        <v>0</v>
      </c>
      <c r="AS224" s="90">
        <f t="shared" ca="1" si="176"/>
        <v>0</v>
      </c>
      <c r="AT224" s="90">
        <f t="shared" ca="1" si="176"/>
        <v>0</v>
      </c>
      <c r="AU224" s="90">
        <f t="shared" ca="1" si="176"/>
        <v>0</v>
      </c>
      <c r="AV224" s="90">
        <f t="shared" ca="1" si="176"/>
        <v>0</v>
      </c>
      <c r="AW224" s="90">
        <f t="shared" ca="1" si="176"/>
        <v>0</v>
      </c>
      <c r="AX224" s="90">
        <f t="shared" ca="1" si="176"/>
        <v>0</v>
      </c>
      <c r="AY224" s="90">
        <f t="shared" ca="1" si="176"/>
        <v>0</v>
      </c>
      <c r="AZ224" s="90">
        <f t="shared" ca="1" si="176"/>
        <v>0</v>
      </c>
      <c r="BA224" s="90">
        <f t="shared" ca="1" si="176"/>
        <v>0</v>
      </c>
      <c r="BB224" s="90">
        <f t="shared" ca="1" si="176"/>
        <v>0</v>
      </c>
      <c r="BC224" s="90">
        <f t="shared" ca="1" si="176"/>
        <v>0</v>
      </c>
      <c r="BD224" s="90">
        <f t="shared" ca="1" si="176"/>
        <v>0</v>
      </c>
      <c r="BE224" s="90">
        <f t="shared" ca="1" si="176"/>
        <v>0</v>
      </c>
      <c r="BF224" s="90">
        <f t="shared" ca="1" si="176"/>
        <v>0</v>
      </c>
      <c r="BG224" s="90">
        <f t="shared" ca="1" si="176"/>
        <v>0</v>
      </c>
      <c r="BH224" s="90">
        <f t="shared" ca="1" si="176"/>
        <v>0</v>
      </c>
      <c r="BI224" s="90">
        <f t="shared" ca="1" si="176"/>
        <v>0</v>
      </c>
      <c r="BJ224" s="90">
        <f t="shared" ca="1" si="176"/>
        <v>0</v>
      </c>
      <c r="BK224" s="90">
        <f t="shared" ca="1" si="176"/>
        <v>0</v>
      </c>
      <c r="BL224" s="90">
        <f t="shared" ca="1" si="176"/>
        <v>0</v>
      </c>
      <c r="BM224" s="90">
        <f t="shared" ca="1" si="176"/>
        <v>0</v>
      </c>
      <c r="BN224" s="90">
        <f t="shared" ca="1" si="176"/>
        <v>0</v>
      </c>
      <c r="BO224" s="90">
        <f t="shared" ca="1" si="176"/>
        <v>0</v>
      </c>
      <c r="BP224" s="90">
        <f t="shared" ca="1" si="176"/>
        <v>0</v>
      </c>
      <c r="BQ224" s="90">
        <f t="shared" ca="1" si="176"/>
        <v>0</v>
      </c>
      <c r="BR224" s="90">
        <f t="shared" ca="1" si="176"/>
        <v>0</v>
      </c>
      <c r="BS224" s="90">
        <f t="shared" ca="1" si="176"/>
        <v>0</v>
      </c>
      <c r="BT224" s="90">
        <f t="shared" ca="1" si="176"/>
        <v>0</v>
      </c>
      <c r="BU224" s="90">
        <f t="shared" ca="1" si="176"/>
        <v>0</v>
      </c>
      <c r="BV224" s="90">
        <f t="shared" ca="1" si="176"/>
        <v>0</v>
      </c>
      <c r="BW224" s="90">
        <f t="shared" ca="1" si="176"/>
        <v>0</v>
      </c>
      <c r="BX224" s="90">
        <f t="shared" ca="1" si="176"/>
        <v>0</v>
      </c>
      <c r="BY224" s="90">
        <f t="shared" ca="1" si="176"/>
        <v>0</v>
      </c>
      <c r="BZ224" s="90">
        <f t="shared" ca="1" si="176"/>
        <v>0</v>
      </c>
      <c r="CA224" s="90">
        <f t="shared" ca="1" si="176"/>
        <v>0</v>
      </c>
      <c r="CB224" s="90">
        <f t="shared" ca="1" si="176"/>
        <v>0</v>
      </c>
      <c r="CC224" s="90">
        <f t="shared" ca="1" si="176"/>
        <v>0</v>
      </c>
      <c r="CD224" s="90">
        <f t="shared" ca="1" si="176"/>
        <v>0</v>
      </c>
      <c r="CE224" s="90">
        <f t="shared" ca="1" si="176"/>
        <v>0</v>
      </c>
      <c r="CF224" s="90">
        <f t="shared" ca="1" si="176"/>
        <v>0</v>
      </c>
      <c r="CG224" s="90">
        <f t="shared" ca="1" si="176"/>
        <v>0</v>
      </c>
      <c r="CH224" s="90">
        <f t="shared" ca="1" si="176"/>
        <v>0</v>
      </c>
    </row>
    <row r="225" spans="1:86" ht="13" outlineLevel="1">
      <c r="A225" s="13"/>
      <c r="B225" s="13" t="s">
        <v>329</v>
      </c>
      <c r="C225" s="13"/>
      <c r="D225" s="13" t="s">
        <v>238</v>
      </c>
      <c r="E225" s="88">
        <f t="shared" ca="1" si="172"/>
        <v>0</v>
      </c>
      <c r="F225" s="48"/>
      <c r="G225" s="90">
        <f ca="1">IFERROR(IF(G4&lt;'Get Started'!$E55,0,OFFSET(G220,0,-1*'Get Started'!$E55)*'Get Started'!$E84/'Get Started'!$E82),0)+IFERROR(IF(G4&lt;'Get Started'!$E65,0,OFFSET(G220,0,-1*'Get Started'!$E65)*'Get Started'!$E86/'Get Started'!$E82),0)</f>
        <v>0</v>
      </c>
      <c r="H225" s="90">
        <f ca="1">IFERROR(IF(H4&lt;'Get Started'!$E55,0,OFFSET(H220,0,-1*'Get Started'!$E55)*'Get Started'!$E84/'Get Started'!$E82),0)+IFERROR(IF(H4&lt;'Get Started'!$E65,0,OFFSET(H220,0,-1*'Get Started'!$E65)*'Get Started'!$E86/'Get Started'!$E82),0)</f>
        <v>0</v>
      </c>
      <c r="I225" s="90">
        <f ca="1">IFERROR(IF(I4&lt;'Get Started'!$E55,0,OFFSET(I220,0,-1*'Get Started'!$E55)*'Get Started'!$E84/'Get Started'!$E82),0)+IFERROR(IF(I4&lt;'Get Started'!$E65,0,OFFSET(I220,0,-1*'Get Started'!$E65)*'Get Started'!$E86/'Get Started'!$E82),0)</f>
        <v>0</v>
      </c>
      <c r="J225" s="90">
        <f ca="1">IFERROR(IF(J4&lt;'Get Started'!$E55,0,OFFSET(J220,0,-1*'Get Started'!$E55)*'Get Started'!$E84/'Get Started'!$E82),0)+IFERROR(IF(J4&lt;'Get Started'!$E65,0,OFFSET(J220,0,-1*'Get Started'!$E65)*'Get Started'!$E86/'Get Started'!$E82),0)</f>
        <v>0</v>
      </c>
      <c r="K225" s="90">
        <f ca="1">IFERROR(IF(K4&lt;'Get Started'!$E55,0,OFFSET(K220,0,-1*'Get Started'!$E55)*'Get Started'!$E84/'Get Started'!$E82),0)+IFERROR(IF(K4&lt;'Get Started'!$E65,0,OFFSET(K220,0,-1*'Get Started'!$E65)*'Get Started'!$E86/'Get Started'!$E82),0)</f>
        <v>0</v>
      </c>
      <c r="L225" s="90">
        <f ca="1">IFERROR(IF(L4&lt;'Get Started'!$E55,0,OFFSET(L220,0,-1*'Get Started'!$E55)*'Get Started'!$E84/'Get Started'!$E82),0)+IFERROR(IF(L4&lt;'Get Started'!$E65,0,OFFSET(L220,0,-1*'Get Started'!$E65)*'Get Started'!$E86/'Get Started'!$E82),0)</f>
        <v>0</v>
      </c>
      <c r="M225" s="90">
        <f ca="1">IFERROR(IF(M4&lt;'Get Started'!$E55,0,OFFSET(M220,0,-1*'Get Started'!$E55)*'Get Started'!$E84/'Get Started'!$E82),0)+IFERROR(IF(M4&lt;'Get Started'!$E65,0,OFFSET(M220,0,-1*'Get Started'!$E65)*'Get Started'!$E86/'Get Started'!$E82),0)</f>
        <v>0</v>
      </c>
      <c r="N225" s="90">
        <f ca="1">IFERROR(IF(N4&lt;'Get Started'!$E55,0,OFFSET(N220,0,-1*'Get Started'!$E55)*'Get Started'!$E84/'Get Started'!$E82),0)+IFERROR(IF(N4&lt;'Get Started'!$E65,0,OFFSET(N220,0,-1*'Get Started'!$E65)*'Get Started'!$E86/'Get Started'!$E82),0)</f>
        <v>0</v>
      </c>
      <c r="O225" s="90">
        <f ca="1">IFERROR(IF(O4&lt;'Get Started'!$E55,0,OFFSET(O220,0,-1*'Get Started'!$E55)*'Get Started'!$E84/'Get Started'!$E82),0)+IFERROR(IF(O4&lt;'Get Started'!$E65,0,OFFSET(O220,0,-1*'Get Started'!$E65)*'Get Started'!$E86/'Get Started'!$E82),0)</f>
        <v>0</v>
      </c>
      <c r="P225" s="90">
        <f ca="1">IFERROR(IF(P4&lt;'Get Started'!$E55,0,OFFSET(P220,0,-1*'Get Started'!$E55)*'Get Started'!$E84/'Get Started'!$E82),0)+IFERROR(IF(P4&lt;'Get Started'!$E65,0,OFFSET(P220,0,-1*'Get Started'!$E65)*'Get Started'!$E86/'Get Started'!$E82),0)</f>
        <v>0</v>
      </c>
      <c r="Q225" s="90">
        <f ca="1">IFERROR(IF(Q4&lt;'Get Started'!$E55,0,OFFSET(Q220,0,-1*'Get Started'!$E55)*'Get Started'!$E84/'Get Started'!$E82),0)+IFERROR(IF(Q4&lt;'Get Started'!$E65,0,OFFSET(Q220,0,-1*'Get Started'!$E65)*'Get Started'!$E86/'Get Started'!$E82),0)</f>
        <v>0</v>
      </c>
      <c r="R225" s="90">
        <f ca="1">IFERROR(IF(R4&lt;'Get Started'!$E55,0,OFFSET(R220,0,-1*'Get Started'!$E55)*'Get Started'!$E84/'Get Started'!$E82),0)+IFERROR(IF(R4&lt;'Get Started'!$E65,0,OFFSET(R220,0,-1*'Get Started'!$E65)*'Get Started'!$E86/'Get Started'!$E82),0)</f>
        <v>0</v>
      </c>
      <c r="S225" s="90">
        <f ca="1">IFERROR(IF(S4&lt;'Get Started'!$E55,0,OFFSET(S220,0,-1*'Get Started'!$E55)*'Get Started'!$E84/'Get Started'!$E82),0)+IFERROR(IF(S4&lt;'Get Started'!$E65,0,OFFSET(S220,0,-1*'Get Started'!$E65)*'Get Started'!$E86/'Get Started'!$E82),0)</f>
        <v>0</v>
      </c>
      <c r="T225" s="90">
        <f ca="1">IFERROR(IF(T4&lt;'Get Started'!$E55,0,OFFSET(T220,0,-1*'Get Started'!$E55)*'Get Started'!$E84/'Get Started'!$E82),0)+IFERROR(IF(T4&lt;'Get Started'!$E65,0,OFFSET(T220,0,-1*'Get Started'!$E65)*'Get Started'!$E86/'Get Started'!$E82),0)</f>
        <v>0</v>
      </c>
      <c r="U225" s="90">
        <f ca="1">IFERROR(IF(U4&lt;'Get Started'!$E55,0,OFFSET(U220,0,-1*'Get Started'!$E55)*'Get Started'!$E84/'Get Started'!$E82),0)+IFERROR(IF(U4&lt;'Get Started'!$E65,0,OFFSET(U220,0,-1*'Get Started'!$E65)*'Get Started'!$E86/'Get Started'!$E82),0)</f>
        <v>0</v>
      </c>
      <c r="V225" s="90">
        <f ca="1">IFERROR(IF(V4&lt;'Get Started'!$E55,0,OFFSET(V220,0,-1*'Get Started'!$E55)*'Get Started'!$E84/'Get Started'!$E82),0)+IFERROR(IF(V4&lt;'Get Started'!$E65,0,OFFSET(V220,0,-1*'Get Started'!$E65)*'Get Started'!$E86/'Get Started'!$E82),0)</f>
        <v>0</v>
      </c>
      <c r="W225" s="90">
        <f ca="1">IFERROR(IF(W4&lt;'Get Started'!$E55,0,OFFSET(W220,0,-1*'Get Started'!$E55)*'Get Started'!$E84/'Get Started'!$E82),0)+IFERROR(IF(W4&lt;'Get Started'!$E65,0,OFFSET(W220,0,-1*'Get Started'!$E65)*'Get Started'!$E86/'Get Started'!$E82),0)</f>
        <v>0</v>
      </c>
      <c r="X225" s="90">
        <f ca="1">IFERROR(IF(X4&lt;'Get Started'!$E55,0,OFFSET(X220,0,-1*'Get Started'!$E55)*'Get Started'!$E84/'Get Started'!$E82),0)+IFERROR(IF(X4&lt;'Get Started'!$E65,0,OFFSET(X220,0,-1*'Get Started'!$E65)*'Get Started'!$E86/'Get Started'!$E82),0)</f>
        <v>0</v>
      </c>
      <c r="Y225" s="90">
        <f ca="1">IFERROR(IF(Y4&lt;'Get Started'!$E55,0,OFFSET(Y220,0,-1*'Get Started'!$E55)*'Get Started'!$E84/'Get Started'!$E82),0)+IFERROR(IF(Y4&lt;'Get Started'!$E65,0,OFFSET(Y220,0,-1*'Get Started'!$E65)*'Get Started'!$E86/'Get Started'!$E82),0)</f>
        <v>0</v>
      </c>
      <c r="Z225" s="90">
        <f ca="1">IFERROR(IF(Z4&lt;'Get Started'!$E55,0,OFFSET(Z220,0,-1*'Get Started'!$E55)*'Get Started'!$E84/'Get Started'!$E82),0)+IFERROR(IF(Z4&lt;'Get Started'!$E65,0,OFFSET(Z220,0,-1*'Get Started'!$E65)*'Get Started'!$E86/'Get Started'!$E82),0)</f>
        <v>0</v>
      </c>
      <c r="AA225" s="90">
        <f ca="1">IFERROR(IF(AA4&lt;'Get Started'!$E55,0,OFFSET(AA220,0,-1*'Get Started'!$E55)*'Get Started'!$E84/'Get Started'!$E82),0)+IFERROR(IF(AA4&lt;'Get Started'!$E65,0,OFFSET(AA220,0,-1*'Get Started'!$E65)*'Get Started'!$E86/'Get Started'!$E82),0)</f>
        <v>0</v>
      </c>
      <c r="AB225" s="90">
        <f ca="1">IFERROR(IF(AB4&lt;'Get Started'!$E55,0,OFFSET(AB220,0,-1*'Get Started'!$E55)*'Get Started'!$E84/'Get Started'!$E82),0)+IFERROR(IF(AB4&lt;'Get Started'!$E65,0,OFFSET(AB220,0,-1*'Get Started'!$E65)*'Get Started'!$E86/'Get Started'!$E82),0)</f>
        <v>0</v>
      </c>
      <c r="AC225" s="90">
        <f ca="1">IFERROR(IF(AC4&lt;'Get Started'!$E55,0,OFFSET(AC220,0,-1*'Get Started'!$E55)*'Get Started'!$E84/'Get Started'!$E82),0)+IFERROR(IF(AC4&lt;'Get Started'!$E65,0,OFFSET(AC220,0,-1*'Get Started'!$E65)*'Get Started'!$E86/'Get Started'!$E82),0)</f>
        <v>0</v>
      </c>
      <c r="AD225" s="90">
        <f ca="1">IFERROR(IF(AD4&lt;'Get Started'!$E55,0,OFFSET(AD220,0,-1*'Get Started'!$E55)*'Get Started'!$E84/'Get Started'!$E82),0)+IFERROR(IF(AD4&lt;'Get Started'!$E65,0,OFFSET(AD220,0,-1*'Get Started'!$E65)*'Get Started'!$E86/'Get Started'!$E82),0)</f>
        <v>0</v>
      </c>
      <c r="AE225" s="90">
        <f ca="1">IFERROR(IF(AE4&lt;'Get Started'!$E55,0,OFFSET(AE220,0,-1*'Get Started'!$E55)*'Get Started'!$E84/'Get Started'!$E82),0)+IFERROR(IF(AE4&lt;'Get Started'!$E65,0,OFFSET(AE220,0,-1*'Get Started'!$E65)*'Get Started'!$E86/'Get Started'!$E82),0)</f>
        <v>0</v>
      </c>
      <c r="AF225" s="90">
        <f ca="1">IFERROR(IF(AF4&lt;'Get Started'!$E55,0,OFFSET(AF220,0,-1*'Get Started'!$E55)*'Get Started'!$E84/'Get Started'!$E82),0)+IFERROR(IF(AF4&lt;'Get Started'!$E65,0,OFFSET(AF220,0,-1*'Get Started'!$E65)*'Get Started'!$E86/'Get Started'!$E82),0)</f>
        <v>0</v>
      </c>
      <c r="AG225" s="90">
        <f ca="1">IFERROR(IF(AG4&lt;'Get Started'!$E55,0,OFFSET(AG220,0,-1*'Get Started'!$E55)*'Get Started'!$E84/'Get Started'!$E82),0)+IFERROR(IF(AG4&lt;'Get Started'!$E65,0,OFFSET(AG220,0,-1*'Get Started'!$E65)*'Get Started'!$E86/'Get Started'!$E82),0)</f>
        <v>0</v>
      </c>
      <c r="AH225" s="90">
        <f ca="1">IFERROR(IF(AH4&lt;'Get Started'!$E55,0,OFFSET(AH220,0,-1*'Get Started'!$E55)*'Get Started'!$E84/'Get Started'!$E82),0)+IFERROR(IF(AH4&lt;'Get Started'!$E65,0,OFFSET(AH220,0,-1*'Get Started'!$E65)*'Get Started'!$E86/'Get Started'!$E82),0)</f>
        <v>0</v>
      </c>
      <c r="AI225" s="90">
        <f ca="1">IFERROR(IF(AI4&lt;'Get Started'!$E55,0,OFFSET(AI220,0,-1*'Get Started'!$E55)*'Get Started'!$E84/'Get Started'!$E82),0)+IFERROR(IF(AI4&lt;'Get Started'!$E65,0,OFFSET(AI220,0,-1*'Get Started'!$E65)*'Get Started'!$E86/'Get Started'!$E82),0)</f>
        <v>0</v>
      </c>
      <c r="AJ225" s="90">
        <f ca="1">IFERROR(IF(AJ4&lt;'Get Started'!$E55,0,OFFSET(AJ220,0,-1*'Get Started'!$E55)*'Get Started'!$E84/'Get Started'!$E82),0)+IFERROR(IF(AJ4&lt;'Get Started'!$E65,0,OFFSET(AJ220,0,-1*'Get Started'!$E65)*'Get Started'!$E86/'Get Started'!$E82),0)</f>
        <v>0</v>
      </c>
      <c r="AK225" s="90">
        <f ca="1">IFERROR(IF(AK4&lt;'Get Started'!$E55,0,OFFSET(AK220,0,-1*'Get Started'!$E55)*'Get Started'!$E84/'Get Started'!$E82),0)+IFERROR(IF(AK4&lt;'Get Started'!$E65,0,OFFSET(AK220,0,-1*'Get Started'!$E65)*'Get Started'!$E86/'Get Started'!$E82),0)</f>
        <v>0</v>
      </c>
      <c r="AL225" s="90">
        <f ca="1">IFERROR(IF(AL4&lt;'Get Started'!$E55,0,OFFSET(AL220,0,-1*'Get Started'!$E55)*'Get Started'!$E84/'Get Started'!$E82),0)+IFERROR(IF(AL4&lt;'Get Started'!$E65,0,OFFSET(AL220,0,-1*'Get Started'!$E65)*'Get Started'!$E86/'Get Started'!$E82),0)</f>
        <v>0</v>
      </c>
      <c r="AM225" s="90">
        <f ca="1">IFERROR(IF(AM4&lt;'Get Started'!$E55,0,OFFSET(AM220,0,-1*'Get Started'!$E55)*'Get Started'!$E84/'Get Started'!$E82),0)+IFERROR(IF(AM4&lt;'Get Started'!$E65,0,OFFSET(AM220,0,-1*'Get Started'!$E65)*'Get Started'!$E86/'Get Started'!$E82),0)</f>
        <v>0</v>
      </c>
      <c r="AN225" s="90">
        <f ca="1">IFERROR(IF(AN4&lt;'Get Started'!$E55,0,OFFSET(AN220,0,-1*'Get Started'!$E55)*'Get Started'!$E84/'Get Started'!$E82),0)+IFERROR(IF(AN4&lt;'Get Started'!$E65,0,OFFSET(AN220,0,-1*'Get Started'!$E65)*'Get Started'!$E86/'Get Started'!$E82),0)</f>
        <v>0</v>
      </c>
      <c r="AO225" s="90">
        <f ca="1">IFERROR(IF(AO4&lt;'Get Started'!$E55,0,OFFSET(AO220,0,-1*'Get Started'!$E55)*'Get Started'!$E84/'Get Started'!$E82),0)+IFERROR(IF(AO4&lt;'Get Started'!$E65,0,OFFSET(AO220,0,-1*'Get Started'!$E65)*'Get Started'!$E86/'Get Started'!$E82),0)</f>
        <v>0</v>
      </c>
      <c r="AP225" s="90">
        <f ca="1">IFERROR(IF(AP4&lt;'Get Started'!$E55,0,OFFSET(AP220,0,-1*'Get Started'!$E55)*'Get Started'!$E84/'Get Started'!$E82),0)+IFERROR(IF(AP4&lt;'Get Started'!$E65,0,OFFSET(AP220,0,-1*'Get Started'!$E65)*'Get Started'!$E86/'Get Started'!$E82),0)</f>
        <v>0</v>
      </c>
      <c r="AQ225" s="90">
        <f ca="1">IFERROR(IF(AQ4&lt;'Get Started'!$E55,0,OFFSET(AQ220,0,-1*'Get Started'!$E55)*'Get Started'!$E84/'Get Started'!$E82),0)+IFERROR(IF(AQ4&lt;'Get Started'!$E65,0,OFFSET(AQ220,0,-1*'Get Started'!$E65)*'Get Started'!$E86/'Get Started'!$E82),0)</f>
        <v>0</v>
      </c>
      <c r="AR225" s="90">
        <f ca="1">IFERROR(IF(AR4&lt;'Get Started'!$E55,0,OFFSET(AR220,0,-1*'Get Started'!$E55)*'Get Started'!$E84/'Get Started'!$E82),0)+IFERROR(IF(AR4&lt;'Get Started'!$E65,0,OFFSET(AR220,0,-1*'Get Started'!$E65)*'Get Started'!$E86/'Get Started'!$E82),0)</f>
        <v>0</v>
      </c>
      <c r="AS225" s="90">
        <f ca="1">IFERROR(IF(AS4&lt;'Get Started'!$E55,0,OFFSET(AS220,0,-1*'Get Started'!$E55)*'Get Started'!$E84/'Get Started'!$E82),0)+IFERROR(IF(AS4&lt;'Get Started'!$E65,0,OFFSET(AS220,0,-1*'Get Started'!$E65)*'Get Started'!$E86/'Get Started'!$E82),0)</f>
        <v>0</v>
      </c>
      <c r="AT225" s="90">
        <f ca="1">IFERROR(IF(AT4&lt;'Get Started'!$E55,0,OFFSET(AT220,0,-1*'Get Started'!$E55)*'Get Started'!$E84/'Get Started'!$E82),0)+IFERROR(IF(AT4&lt;'Get Started'!$E65,0,OFFSET(AT220,0,-1*'Get Started'!$E65)*'Get Started'!$E86/'Get Started'!$E82),0)</f>
        <v>0</v>
      </c>
      <c r="AU225" s="90">
        <f ca="1">IFERROR(IF(AU4&lt;'Get Started'!$E55,0,OFFSET(AU220,0,-1*'Get Started'!$E55)*'Get Started'!$E84/'Get Started'!$E82),0)+IFERROR(IF(AU4&lt;'Get Started'!$E65,0,OFFSET(AU220,0,-1*'Get Started'!$E65)*'Get Started'!$E86/'Get Started'!$E82),0)</f>
        <v>0</v>
      </c>
      <c r="AV225" s="90">
        <f ca="1">IFERROR(IF(AV4&lt;'Get Started'!$E55,0,OFFSET(AV220,0,-1*'Get Started'!$E55)*'Get Started'!$E84/'Get Started'!$E82),0)+IFERROR(IF(AV4&lt;'Get Started'!$E65,0,OFFSET(AV220,0,-1*'Get Started'!$E65)*'Get Started'!$E86/'Get Started'!$E82),0)</f>
        <v>0</v>
      </c>
      <c r="AW225" s="90">
        <f ca="1">IFERROR(IF(AW4&lt;'Get Started'!$E55,0,OFFSET(AW220,0,-1*'Get Started'!$E55)*'Get Started'!$E84/'Get Started'!$E82),0)+IFERROR(IF(AW4&lt;'Get Started'!$E65,0,OFFSET(AW220,0,-1*'Get Started'!$E65)*'Get Started'!$E86/'Get Started'!$E82),0)</f>
        <v>0</v>
      </c>
      <c r="AX225" s="90">
        <f ca="1">IFERROR(IF(AX4&lt;'Get Started'!$E55,0,OFFSET(AX220,0,-1*'Get Started'!$E55)*'Get Started'!$E84/'Get Started'!$E82),0)+IFERROR(IF(AX4&lt;'Get Started'!$E65,0,OFFSET(AX220,0,-1*'Get Started'!$E65)*'Get Started'!$E86/'Get Started'!$E82),0)</f>
        <v>0</v>
      </c>
      <c r="AY225" s="90">
        <f ca="1">IFERROR(IF(AY4&lt;'Get Started'!$E55,0,OFFSET(AY220,0,-1*'Get Started'!$E55)*'Get Started'!$E84/'Get Started'!$E82),0)+IFERROR(IF(AY4&lt;'Get Started'!$E65,0,OFFSET(AY220,0,-1*'Get Started'!$E65)*'Get Started'!$E86/'Get Started'!$E82),0)</f>
        <v>0</v>
      </c>
      <c r="AZ225" s="90">
        <f ca="1">IFERROR(IF(AZ4&lt;'Get Started'!$E55,0,OFFSET(AZ220,0,-1*'Get Started'!$E55)*'Get Started'!$E84/'Get Started'!$E82),0)+IFERROR(IF(AZ4&lt;'Get Started'!$E65,0,OFFSET(AZ220,0,-1*'Get Started'!$E65)*'Get Started'!$E86/'Get Started'!$E82),0)</f>
        <v>0</v>
      </c>
      <c r="BA225" s="90">
        <f ca="1">IFERROR(IF(BA4&lt;'Get Started'!$E55,0,OFFSET(BA220,0,-1*'Get Started'!$E55)*'Get Started'!$E84/'Get Started'!$E82),0)+IFERROR(IF(BA4&lt;'Get Started'!$E65,0,OFFSET(BA220,0,-1*'Get Started'!$E65)*'Get Started'!$E86/'Get Started'!$E82),0)</f>
        <v>0</v>
      </c>
      <c r="BB225" s="90">
        <f ca="1">IFERROR(IF(BB4&lt;'Get Started'!$E55,0,OFFSET(BB220,0,-1*'Get Started'!$E55)*'Get Started'!$E84/'Get Started'!$E82),0)+IFERROR(IF(BB4&lt;'Get Started'!$E65,0,OFFSET(BB220,0,-1*'Get Started'!$E65)*'Get Started'!$E86/'Get Started'!$E82),0)</f>
        <v>0</v>
      </c>
      <c r="BC225" s="90">
        <f ca="1">IFERROR(IF(BC4&lt;'Get Started'!$E55,0,OFFSET(BC220,0,-1*'Get Started'!$E55)*'Get Started'!$E84/'Get Started'!$E82),0)+IFERROR(IF(BC4&lt;'Get Started'!$E65,0,OFFSET(BC220,0,-1*'Get Started'!$E65)*'Get Started'!$E86/'Get Started'!$E82),0)</f>
        <v>0</v>
      </c>
      <c r="BD225" s="90">
        <f ca="1">IFERROR(IF(BD4&lt;'Get Started'!$E55,0,OFFSET(BD220,0,-1*'Get Started'!$E55)*'Get Started'!$E84/'Get Started'!$E82),0)+IFERROR(IF(BD4&lt;'Get Started'!$E65,0,OFFSET(BD220,0,-1*'Get Started'!$E65)*'Get Started'!$E86/'Get Started'!$E82),0)</f>
        <v>0</v>
      </c>
      <c r="BE225" s="90">
        <f ca="1">IFERROR(IF(BE4&lt;'Get Started'!$E55,0,OFFSET(BE220,0,-1*'Get Started'!$E55)*'Get Started'!$E84/'Get Started'!$E82),0)+IFERROR(IF(BE4&lt;'Get Started'!$E65,0,OFFSET(BE220,0,-1*'Get Started'!$E65)*'Get Started'!$E86/'Get Started'!$E82),0)</f>
        <v>0</v>
      </c>
      <c r="BF225" s="90">
        <f ca="1">IFERROR(IF(BF4&lt;'Get Started'!$E55,0,OFFSET(BF220,0,-1*'Get Started'!$E55)*'Get Started'!$E84/'Get Started'!$E82),0)+IFERROR(IF(BF4&lt;'Get Started'!$E65,0,OFFSET(BF220,0,-1*'Get Started'!$E65)*'Get Started'!$E86/'Get Started'!$E82),0)</f>
        <v>0</v>
      </c>
      <c r="BG225" s="90">
        <f ca="1">IFERROR(IF(BG4&lt;'Get Started'!$E55,0,OFFSET(BG220,0,-1*'Get Started'!$E55)*'Get Started'!$E84/'Get Started'!$E82),0)+IFERROR(IF(BG4&lt;'Get Started'!$E65,0,OFFSET(BG220,0,-1*'Get Started'!$E65)*'Get Started'!$E86/'Get Started'!$E82),0)</f>
        <v>0</v>
      </c>
      <c r="BH225" s="90">
        <f ca="1">IFERROR(IF(BH4&lt;'Get Started'!$E55,0,OFFSET(BH220,0,-1*'Get Started'!$E55)*'Get Started'!$E84/'Get Started'!$E82),0)+IFERROR(IF(BH4&lt;'Get Started'!$E65,0,OFFSET(BH220,0,-1*'Get Started'!$E65)*'Get Started'!$E86/'Get Started'!$E82),0)</f>
        <v>0</v>
      </c>
      <c r="BI225" s="90">
        <f ca="1">IFERROR(IF(BI4&lt;'Get Started'!$E55,0,OFFSET(BI220,0,-1*'Get Started'!$E55)*'Get Started'!$E84/'Get Started'!$E82),0)+IFERROR(IF(BI4&lt;'Get Started'!$E65,0,OFFSET(BI220,0,-1*'Get Started'!$E65)*'Get Started'!$E86/'Get Started'!$E82),0)</f>
        <v>0</v>
      </c>
      <c r="BJ225" s="90">
        <f ca="1">IFERROR(IF(BJ4&lt;'Get Started'!$E55,0,OFFSET(BJ220,0,-1*'Get Started'!$E55)*'Get Started'!$E84/'Get Started'!$E82),0)+IFERROR(IF(BJ4&lt;'Get Started'!$E65,0,OFFSET(BJ220,0,-1*'Get Started'!$E65)*'Get Started'!$E86/'Get Started'!$E82),0)</f>
        <v>0</v>
      </c>
      <c r="BK225" s="90">
        <f ca="1">IFERROR(IF(BK4&lt;'Get Started'!$E55,0,OFFSET(BK220,0,-1*'Get Started'!$E55)*'Get Started'!$E84/'Get Started'!$E82),0)+IFERROR(IF(BK4&lt;'Get Started'!$E65,0,OFFSET(BK220,0,-1*'Get Started'!$E65)*'Get Started'!$E86/'Get Started'!$E82),0)</f>
        <v>0</v>
      </c>
      <c r="BL225" s="90">
        <f ca="1">IFERROR(IF(BL4&lt;'Get Started'!$E55,0,OFFSET(BL220,0,-1*'Get Started'!$E55)*'Get Started'!$E84/'Get Started'!$E82),0)+IFERROR(IF(BL4&lt;'Get Started'!$E65,0,OFFSET(BL220,0,-1*'Get Started'!$E65)*'Get Started'!$E86/'Get Started'!$E82),0)</f>
        <v>0</v>
      </c>
      <c r="BM225" s="90">
        <f ca="1">IFERROR(IF(BM4&lt;'Get Started'!$E55,0,OFFSET(BM220,0,-1*'Get Started'!$E55)*'Get Started'!$E84/'Get Started'!$E82),0)+IFERROR(IF(BM4&lt;'Get Started'!$E65,0,OFFSET(BM220,0,-1*'Get Started'!$E65)*'Get Started'!$E86/'Get Started'!$E82),0)</f>
        <v>0</v>
      </c>
      <c r="BN225" s="90">
        <f ca="1">IFERROR(IF(BN4&lt;'Get Started'!$E55,0,OFFSET(BN220,0,-1*'Get Started'!$E55)*'Get Started'!$E84/'Get Started'!$E82),0)+IFERROR(IF(BN4&lt;'Get Started'!$E65,0,OFFSET(BN220,0,-1*'Get Started'!$E65)*'Get Started'!$E86/'Get Started'!$E82),0)</f>
        <v>0</v>
      </c>
      <c r="BO225" s="90">
        <f ca="1">IFERROR(IF(BO4&lt;'Get Started'!$E55,0,OFFSET(BO220,0,-1*'Get Started'!$E55)*'Get Started'!$E84/'Get Started'!$E82),0)+IFERROR(IF(BO4&lt;'Get Started'!$E65,0,OFFSET(BO220,0,-1*'Get Started'!$E65)*'Get Started'!$E86/'Get Started'!$E82),0)</f>
        <v>0</v>
      </c>
      <c r="BP225" s="90">
        <f ca="1">IFERROR(IF(BP4&lt;'Get Started'!$E55,0,OFFSET(BP220,0,-1*'Get Started'!$E55)*'Get Started'!$E84/'Get Started'!$E82),0)+IFERROR(IF(BP4&lt;'Get Started'!$E65,0,OFFSET(BP220,0,-1*'Get Started'!$E65)*'Get Started'!$E86/'Get Started'!$E82),0)</f>
        <v>0</v>
      </c>
      <c r="BQ225" s="90">
        <f ca="1">IFERROR(IF(BQ4&lt;'Get Started'!$E55,0,OFFSET(BQ220,0,-1*'Get Started'!$E55)*'Get Started'!$E84/'Get Started'!$E82),0)+IFERROR(IF(BQ4&lt;'Get Started'!$E65,0,OFFSET(BQ220,0,-1*'Get Started'!$E65)*'Get Started'!$E86/'Get Started'!$E82),0)</f>
        <v>0</v>
      </c>
      <c r="BR225" s="90">
        <f ca="1">IFERROR(IF(BR4&lt;'Get Started'!$E55,0,OFFSET(BR220,0,-1*'Get Started'!$E55)*'Get Started'!$E84/'Get Started'!$E82),0)+IFERROR(IF(BR4&lt;'Get Started'!$E65,0,OFFSET(BR220,0,-1*'Get Started'!$E65)*'Get Started'!$E86/'Get Started'!$E82),0)</f>
        <v>0</v>
      </c>
      <c r="BS225" s="90">
        <f ca="1">IFERROR(IF(BS4&lt;'Get Started'!$E55,0,OFFSET(BS220,0,-1*'Get Started'!$E55)*'Get Started'!$E84/'Get Started'!$E82),0)+IFERROR(IF(BS4&lt;'Get Started'!$E65,0,OFFSET(BS220,0,-1*'Get Started'!$E65)*'Get Started'!$E86/'Get Started'!$E82),0)</f>
        <v>0</v>
      </c>
      <c r="BT225" s="90">
        <f ca="1">IFERROR(IF(BT4&lt;'Get Started'!$E55,0,OFFSET(BT220,0,-1*'Get Started'!$E55)*'Get Started'!$E84/'Get Started'!$E82),0)+IFERROR(IF(BT4&lt;'Get Started'!$E65,0,OFFSET(BT220,0,-1*'Get Started'!$E65)*'Get Started'!$E86/'Get Started'!$E82),0)</f>
        <v>0</v>
      </c>
      <c r="BU225" s="90">
        <f ca="1">IFERROR(IF(BU4&lt;'Get Started'!$E55,0,OFFSET(BU220,0,-1*'Get Started'!$E55)*'Get Started'!$E84/'Get Started'!$E82),0)+IFERROR(IF(BU4&lt;'Get Started'!$E65,0,OFFSET(BU220,0,-1*'Get Started'!$E65)*'Get Started'!$E86/'Get Started'!$E82),0)</f>
        <v>0</v>
      </c>
      <c r="BV225" s="90">
        <f ca="1">IFERROR(IF(BV4&lt;'Get Started'!$E55,0,OFFSET(BV220,0,-1*'Get Started'!$E55)*'Get Started'!$E84/'Get Started'!$E82),0)+IFERROR(IF(BV4&lt;'Get Started'!$E65,0,OFFSET(BV220,0,-1*'Get Started'!$E65)*'Get Started'!$E86/'Get Started'!$E82),0)</f>
        <v>0</v>
      </c>
      <c r="BW225" s="90">
        <f ca="1">IFERROR(IF(BW4&lt;'Get Started'!$E55,0,OFFSET(BW220,0,-1*'Get Started'!$E55)*'Get Started'!$E84/'Get Started'!$E82),0)+IFERROR(IF(BW4&lt;'Get Started'!$E65,0,OFFSET(BW220,0,-1*'Get Started'!$E65)*'Get Started'!$E86/'Get Started'!$E82),0)</f>
        <v>0</v>
      </c>
      <c r="BX225" s="90">
        <f ca="1">IFERROR(IF(BX4&lt;'Get Started'!$E55,0,OFFSET(BX220,0,-1*'Get Started'!$E55)*'Get Started'!$E84/'Get Started'!$E82),0)+IFERROR(IF(BX4&lt;'Get Started'!$E65,0,OFFSET(BX220,0,-1*'Get Started'!$E65)*'Get Started'!$E86/'Get Started'!$E82),0)</f>
        <v>0</v>
      </c>
      <c r="BY225" s="90">
        <f ca="1">IFERROR(IF(BY4&lt;'Get Started'!$E55,0,OFFSET(BY220,0,-1*'Get Started'!$E55)*'Get Started'!$E84/'Get Started'!$E82),0)+IFERROR(IF(BY4&lt;'Get Started'!$E65,0,OFFSET(BY220,0,-1*'Get Started'!$E65)*'Get Started'!$E86/'Get Started'!$E82),0)</f>
        <v>0</v>
      </c>
      <c r="BZ225" s="90">
        <f ca="1">IFERROR(IF(BZ4&lt;'Get Started'!$E55,0,OFFSET(BZ220,0,-1*'Get Started'!$E55)*'Get Started'!$E84/'Get Started'!$E82),0)+IFERROR(IF(BZ4&lt;'Get Started'!$E65,0,OFFSET(BZ220,0,-1*'Get Started'!$E65)*'Get Started'!$E86/'Get Started'!$E82),0)</f>
        <v>0</v>
      </c>
      <c r="CA225" s="90">
        <f ca="1">IFERROR(IF(CA4&lt;'Get Started'!$E55,0,OFFSET(CA220,0,-1*'Get Started'!$E55)*'Get Started'!$E84/'Get Started'!$E82),0)+IFERROR(IF(CA4&lt;'Get Started'!$E65,0,OFFSET(CA220,0,-1*'Get Started'!$E65)*'Get Started'!$E86/'Get Started'!$E82),0)</f>
        <v>0</v>
      </c>
      <c r="CB225" s="90">
        <f ca="1">IFERROR(IF(CB4&lt;'Get Started'!$E55,0,OFFSET(CB220,0,-1*'Get Started'!$E55)*'Get Started'!$E84/'Get Started'!$E82),0)+IFERROR(IF(CB4&lt;'Get Started'!$E65,0,OFFSET(CB220,0,-1*'Get Started'!$E65)*'Get Started'!$E86/'Get Started'!$E82),0)</f>
        <v>0</v>
      </c>
      <c r="CC225" s="90">
        <f ca="1">IFERROR(IF(CC4&lt;'Get Started'!$E55,0,OFFSET(CC220,0,-1*'Get Started'!$E55)*'Get Started'!$E84/'Get Started'!$E82),0)+IFERROR(IF(CC4&lt;'Get Started'!$E65,0,OFFSET(CC220,0,-1*'Get Started'!$E65)*'Get Started'!$E86/'Get Started'!$E82),0)</f>
        <v>0</v>
      </c>
      <c r="CD225" s="90">
        <f ca="1">IFERROR(IF(CD4&lt;'Get Started'!$E55,0,OFFSET(CD220,0,-1*'Get Started'!$E55)*'Get Started'!$E84/'Get Started'!$E82),0)+IFERROR(IF(CD4&lt;'Get Started'!$E65,0,OFFSET(CD220,0,-1*'Get Started'!$E65)*'Get Started'!$E86/'Get Started'!$E82),0)</f>
        <v>0</v>
      </c>
      <c r="CE225" s="90">
        <f ca="1">IFERROR(IF(CE4&lt;'Get Started'!$E55,0,OFFSET(CE220,0,-1*'Get Started'!$E55)*'Get Started'!$E84/'Get Started'!$E82),0)+IFERROR(IF(CE4&lt;'Get Started'!$E65,0,OFFSET(CE220,0,-1*'Get Started'!$E65)*'Get Started'!$E86/'Get Started'!$E82),0)</f>
        <v>0</v>
      </c>
      <c r="CF225" s="90">
        <f ca="1">IFERROR(IF(CF4&lt;'Get Started'!$E55,0,OFFSET(CF220,0,-1*'Get Started'!$E55)*'Get Started'!$E84/'Get Started'!$E82),0)+IFERROR(IF(CF4&lt;'Get Started'!$E65,0,OFFSET(CF220,0,-1*'Get Started'!$E65)*'Get Started'!$E86/'Get Started'!$E82),0)</f>
        <v>0</v>
      </c>
      <c r="CG225" s="90">
        <f ca="1">IFERROR(IF(CG4&lt;'Get Started'!$E55,0,OFFSET(CG220,0,-1*'Get Started'!$E55)*'Get Started'!$E84/'Get Started'!$E82),0)+IFERROR(IF(CG4&lt;'Get Started'!$E65,0,OFFSET(CG220,0,-1*'Get Started'!$E65)*'Get Started'!$E86/'Get Started'!$E82),0)</f>
        <v>0</v>
      </c>
      <c r="CH225" s="90">
        <f ca="1">IFERROR(IF(CH4&lt;'Get Started'!$E55,0,OFFSET(CH220,0,-1*'Get Started'!$E55)*'Get Started'!$E84/'Get Started'!$E82),0)+IFERROR(IF(CH4&lt;'Get Started'!$E65,0,OFFSET(CH220,0,-1*'Get Started'!$E65)*'Get Started'!$E86/'Get Started'!$E82),0)</f>
        <v>0</v>
      </c>
    </row>
    <row r="226" spans="1:86" ht="13" outlineLevel="1">
      <c r="A226" s="13"/>
      <c r="B226" s="13" t="s">
        <v>329</v>
      </c>
      <c r="C226" s="13"/>
      <c r="D226" s="13" t="s">
        <v>238</v>
      </c>
      <c r="E226" s="88">
        <f t="shared" ca="1" si="172"/>
        <v>0</v>
      </c>
      <c r="F226" s="48"/>
      <c r="G226" s="90">
        <f ca="1">IFERROR(IF(G4&lt;'Get Started'!$F55,0,OFFSET(G221,0,-1*'Get Started'!$F55)*'Get Started'!$F84/'Get Started'!$F82),0)+IFERROR(IF(G4&lt;'Get Started'!$F65,0,OFFSET(G221,0,-1*'Get Started'!$F65)*'Get Started'!$F86/'Get Started'!$F82),0)</f>
        <v>0</v>
      </c>
      <c r="H226" s="90">
        <f ca="1">IFERROR(IF(H4&lt;'Get Started'!$F55,0,OFFSET(H221,0,-1*'Get Started'!$F55)*'Get Started'!$F84/'Get Started'!$F82),0)+IFERROR(IF(H4&lt;'Get Started'!$F65,0,OFFSET(H221,0,-1*'Get Started'!$F65)*'Get Started'!$F86/'Get Started'!$F82),0)</f>
        <v>0</v>
      </c>
      <c r="I226" s="90">
        <f ca="1">IFERROR(IF(I4&lt;'Get Started'!$F55,0,OFFSET(I221,0,-1*'Get Started'!$F55)*'Get Started'!$F84/'Get Started'!$F82),0)+IFERROR(IF(I4&lt;'Get Started'!$F65,0,OFFSET(I221,0,-1*'Get Started'!$F65)*'Get Started'!$F86/'Get Started'!$F82),0)</f>
        <v>0</v>
      </c>
      <c r="J226" s="90">
        <f ca="1">IFERROR(IF(J4&lt;'Get Started'!$F55,0,OFFSET(J221,0,-1*'Get Started'!$F55)*'Get Started'!$F84/'Get Started'!$F82),0)+IFERROR(IF(J4&lt;'Get Started'!$F65,0,OFFSET(J221,0,-1*'Get Started'!$F65)*'Get Started'!$F86/'Get Started'!$F82),0)</f>
        <v>0</v>
      </c>
      <c r="K226" s="90">
        <f ca="1">IFERROR(IF(K4&lt;'Get Started'!$F55,0,OFFSET(K221,0,-1*'Get Started'!$F55)*'Get Started'!$F84/'Get Started'!$F82),0)+IFERROR(IF(K4&lt;'Get Started'!$F65,0,OFFSET(K221,0,-1*'Get Started'!$F65)*'Get Started'!$F86/'Get Started'!$F82),0)</f>
        <v>0</v>
      </c>
      <c r="L226" s="90">
        <f ca="1">IFERROR(IF(L4&lt;'Get Started'!$F55,0,OFFSET(L221,0,-1*'Get Started'!$F55)*'Get Started'!$F84/'Get Started'!$F82),0)+IFERROR(IF(L4&lt;'Get Started'!$F65,0,OFFSET(L221,0,-1*'Get Started'!$F65)*'Get Started'!$F86/'Get Started'!$F82),0)</f>
        <v>0</v>
      </c>
      <c r="M226" s="90">
        <f ca="1">IFERROR(IF(M4&lt;'Get Started'!$F55,0,OFFSET(M221,0,-1*'Get Started'!$F55)*'Get Started'!$F84/'Get Started'!$F82),0)+IFERROR(IF(M4&lt;'Get Started'!$F65,0,OFFSET(M221,0,-1*'Get Started'!$F65)*'Get Started'!$F86/'Get Started'!$F82),0)</f>
        <v>0</v>
      </c>
      <c r="N226" s="90">
        <f ca="1">IFERROR(IF(N4&lt;'Get Started'!$F55,0,OFFSET(N221,0,-1*'Get Started'!$F55)*'Get Started'!$F84/'Get Started'!$F82),0)+IFERROR(IF(N4&lt;'Get Started'!$F65,0,OFFSET(N221,0,-1*'Get Started'!$F65)*'Get Started'!$F86/'Get Started'!$F82),0)</f>
        <v>0</v>
      </c>
      <c r="O226" s="90">
        <f ca="1">IFERROR(IF(O4&lt;'Get Started'!$F55,0,OFFSET(O221,0,-1*'Get Started'!$F55)*'Get Started'!$F84/'Get Started'!$F82),0)+IFERROR(IF(O4&lt;'Get Started'!$F65,0,OFFSET(O221,0,-1*'Get Started'!$F65)*'Get Started'!$F86/'Get Started'!$F82),0)</f>
        <v>0</v>
      </c>
      <c r="P226" s="90">
        <f ca="1">IFERROR(IF(P4&lt;'Get Started'!$F55,0,OFFSET(P221,0,-1*'Get Started'!$F55)*'Get Started'!$F84/'Get Started'!$F82),0)+IFERROR(IF(P4&lt;'Get Started'!$F65,0,OFFSET(P221,0,-1*'Get Started'!$F65)*'Get Started'!$F86/'Get Started'!$F82),0)</f>
        <v>0</v>
      </c>
      <c r="Q226" s="90">
        <f ca="1">IFERROR(IF(Q4&lt;'Get Started'!$F55,0,OFFSET(Q221,0,-1*'Get Started'!$F55)*'Get Started'!$F84/'Get Started'!$F82),0)+IFERROR(IF(Q4&lt;'Get Started'!$F65,0,OFFSET(Q221,0,-1*'Get Started'!$F65)*'Get Started'!$F86/'Get Started'!$F82),0)</f>
        <v>0</v>
      </c>
      <c r="R226" s="90">
        <f ca="1">IFERROR(IF(R4&lt;'Get Started'!$F55,0,OFFSET(R221,0,-1*'Get Started'!$F55)*'Get Started'!$F84/'Get Started'!$F82),0)+IFERROR(IF(R4&lt;'Get Started'!$F65,0,OFFSET(R221,0,-1*'Get Started'!$F65)*'Get Started'!$F86/'Get Started'!$F82),0)</f>
        <v>0</v>
      </c>
      <c r="S226" s="90">
        <f ca="1">IFERROR(IF(S4&lt;'Get Started'!$F55,0,OFFSET(S221,0,-1*'Get Started'!$F55)*'Get Started'!$F84/'Get Started'!$F82),0)+IFERROR(IF(S4&lt;'Get Started'!$F65,0,OFFSET(S221,0,-1*'Get Started'!$F65)*'Get Started'!$F86/'Get Started'!$F82),0)</f>
        <v>0</v>
      </c>
      <c r="T226" s="90">
        <f ca="1">IFERROR(IF(T4&lt;'Get Started'!$F55,0,OFFSET(T221,0,-1*'Get Started'!$F55)*'Get Started'!$F84/'Get Started'!$F82),0)+IFERROR(IF(T4&lt;'Get Started'!$F65,0,OFFSET(T221,0,-1*'Get Started'!$F65)*'Get Started'!$F86/'Get Started'!$F82),0)</f>
        <v>0</v>
      </c>
      <c r="U226" s="90">
        <f ca="1">IFERROR(IF(U4&lt;'Get Started'!$F55,0,OFFSET(U221,0,-1*'Get Started'!$F55)*'Get Started'!$F84/'Get Started'!$F82),0)+IFERROR(IF(U4&lt;'Get Started'!$F65,0,OFFSET(U221,0,-1*'Get Started'!$F65)*'Get Started'!$F86/'Get Started'!$F82),0)</f>
        <v>0</v>
      </c>
      <c r="V226" s="90">
        <f ca="1">IFERROR(IF(V4&lt;'Get Started'!$F55,0,OFFSET(V221,0,-1*'Get Started'!$F55)*'Get Started'!$F84/'Get Started'!$F82),0)+IFERROR(IF(V4&lt;'Get Started'!$F65,0,OFFSET(V221,0,-1*'Get Started'!$F65)*'Get Started'!$F86/'Get Started'!$F82),0)</f>
        <v>0</v>
      </c>
      <c r="W226" s="90">
        <f ca="1">IFERROR(IF(W4&lt;'Get Started'!$F55,0,OFFSET(W221,0,-1*'Get Started'!$F55)*'Get Started'!$F84/'Get Started'!$F82),0)+IFERROR(IF(W4&lt;'Get Started'!$F65,0,OFFSET(W221,0,-1*'Get Started'!$F65)*'Get Started'!$F86/'Get Started'!$F82),0)</f>
        <v>0</v>
      </c>
      <c r="X226" s="90">
        <f ca="1">IFERROR(IF(X4&lt;'Get Started'!$F55,0,OFFSET(X221,0,-1*'Get Started'!$F55)*'Get Started'!$F84/'Get Started'!$F82),0)+IFERROR(IF(X4&lt;'Get Started'!$F65,0,OFFSET(X221,0,-1*'Get Started'!$F65)*'Get Started'!$F86/'Get Started'!$F82),0)</f>
        <v>0</v>
      </c>
      <c r="Y226" s="90">
        <f ca="1">IFERROR(IF(Y4&lt;'Get Started'!$F55,0,OFFSET(Y221,0,-1*'Get Started'!$F55)*'Get Started'!$F84/'Get Started'!$F82),0)+IFERROR(IF(Y4&lt;'Get Started'!$F65,0,OFFSET(Y221,0,-1*'Get Started'!$F65)*'Get Started'!$F86/'Get Started'!$F82),0)</f>
        <v>0</v>
      </c>
      <c r="Z226" s="90">
        <f ca="1">IFERROR(IF(Z4&lt;'Get Started'!$F55,0,OFFSET(Z221,0,-1*'Get Started'!$F55)*'Get Started'!$F84/'Get Started'!$F82),0)+IFERROR(IF(Z4&lt;'Get Started'!$F65,0,OFFSET(Z221,0,-1*'Get Started'!$F65)*'Get Started'!$F86/'Get Started'!$F82),0)</f>
        <v>0</v>
      </c>
      <c r="AA226" s="90">
        <f ca="1">IFERROR(IF(AA4&lt;'Get Started'!$F55,0,OFFSET(AA221,0,-1*'Get Started'!$F55)*'Get Started'!$F84/'Get Started'!$F82),0)+IFERROR(IF(AA4&lt;'Get Started'!$F65,0,OFFSET(AA221,0,-1*'Get Started'!$F65)*'Get Started'!$F86/'Get Started'!$F82),0)</f>
        <v>0</v>
      </c>
      <c r="AB226" s="90">
        <f ca="1">IFERROR(IF(AB4&lt;'Get Started'!$F55,0,OFFSET(AB221,0,-1*'Get Started'!$F55)*'Get Started'!$F84/'Get Started'!$F82),0)+IFERROR(IF(AB4&lt;'Get Started'!$F65,0,OFFSET(AB221,0,-1*'Get Started'!$F65)*'Get Started'!$F86/'Get Started'!$F82),0)</f>
        <v>0</v>
      </c>
      <c r="AC226" s="90">
        <f ca="1">IFERROR(IF(AC4&lt;'Get Started'!$F55,0,OFFSET(AC221,0,-1*'Get Started'!$F55)*'Get Started'!$F84/'Get Started'!$F82),0)+IFERROR(IF(AC4&lt;'Get Started'!$F65,0,OFFSET(AC221,0,-1*'Get Started'!$F65)*'Get Started'!$F86/'Get Started'!$F82),0)</f>
        <v>0</v>
      </c>
      <c r="AD226" s="90">
        <f ca="1">IFERROR(IF(AD4&lt;'Get Started'!$F55,0,OFFSET(AD221,0,-1*'Get Started'!$F55)*'Get Started'!$F84/'Get Started'!$F82),0)+IFERROR(IF(AD4&lt;'Get Started'!$F65,0,OFFSET(AD221,0,-1*'Get Started'!$F65)*'Get Started'!$F86/'Get Started'!$F82),0)</f>
        <v>0</v>
      </c>
      <c r="AE226" s="90">
        <f ca="1">IFERROR(IF(AE4&lt;'Get Started'!$F55,0,OFFSET(AE221,0,-1*'Get Started'!$F55)*'Get Started'!$F84/'Get Started'!$F82),0)+IFERROR(IF(AE4&lt;'Get Started'!$F65,0,OFFSET(AE221,0,-1*'Get Started'!$F65)*'Get Started'!$F86/'Get Started'!$F82),0)</f>
        <v>0</v>
      </c>
      <c r="AF226" s="90">
        <f ca="1">IFERROR(IF(AF4&lt;'Get Started'!$F55,0,OFFSET(AF221,0,-1*'Get Started'!$F55)*'Get Started'!$F84/'Get Started'!$F82),0)+IFERROR(IF(AF4&lt;'Get Started'!$F65,0,OFFSET(AF221,0,-1*'Get Started'!$F65)*'Get Started'!$F86/'Get Started'!$F82),0)</f>
        <v>0</v>
      </c>
      <c r="AG226" s="90">
        <f ca="1">IFERROR(IF(AG4&lt;'Get Started'!$F55,0,OFFSET(AG221,0,-1*'Get Started'!$F55)*'Get Started'!$F84/'Get Started'!$F82),0)+IFERROR(IF(AG4&lt;'Get Started'!$F65,0,OFFSET(AG221,0,-1*'Get Started'!$F65)*'Get Started'!$F86/'Get Started'!$F82),0)</f>
        <v>0</v>
      </c>
      <c r="AH226" s="90">
        <f ca="1">IFERROR(IF(AH4&lt;'Get Started'!$F55,0,OFFSET(AH221,0,-1*'Get Started'!$F55)*'Get Started'!$F84/'Get Started'!$F82),0)+IFERROR(IF(AH4&lt;'Get Started'!$F65,0,OFFSET(AH221,0,-1*'Get Started'!$F65)*'Get Started'!$F86/'Get Started'!$F82),0)</f>
        <v>0</v>
      </c>
      <c r="AI226" s="90">
        <f ca="1">IFERROR(IF(AI4&lt;'Get Started'!$F55,0,OFFSET(AI221,0,-1*'Get Started'!$F55)*'Get Started'!$F84/'Get Started'!$F82),0)+IFERROR(IF(AI4&lt;'Get Started'!$F65,0,OFFSET(AI221,0,-1*'Get Started'!$F65)*'Get Started'!$F86/'Get Started'!$F82),0)</f>
        <v>0</v>
      </c>
      <c r="AJ226" s="90">
        <f ca="1">IFERROR(IF(AJ4&lt;'Get Started'!$F55,0,OFFSET(AJ221,0,-1*'Get Started'!$F55)*'Get Started'!$F84/'Get Started'!$F82),0)+IFERROR(IF(AJ4&lt;'Get Started'!$F65,0,OFFSET(AJ221,0,-1*'Get Started'!$F65)*'Get Started'!$F86/'Get Started'!$F82),0)</f>
        <v>0</v>
      </c>
      <c r="AK226" s="90">
        <f ca="1">IFERROR(IF(AK4&lt;'Get Started'!$F55,0,OFFSET(AK221,0,-1*'Get Started'!$F55)*'Get Started'!$F84/'Get Started'!$F82),0)+IFERROR(IF(AK4&lt;'Get Started'!$F65,0,OFFSET(AK221,0,-1*'Get Started'!$F65)*'Get Started'!$F86/'Get Started'!$F82),0)</f>
        <v>0</v>
      </c>
      <c r="AL226" s="90">
        <f ca="1">IFERROR(IF(AL4&lt;'Get Started'!$F55,0,OFFSET(AL221,0,-1*'Get Started'!$F55)*'Get Started'!$F84/'Get Started'!$F82),0)+IFERROR(IF(AL4&lt;'Get Started'!$F65,0,OFFSET(AL221,0,-1*'Get Started'!$F65)*'Get Started'!$F86/'Get Started'!$F82),0)</f>
        <v>0</v>
      </c>
      <c r="AM226" s="90">
        <f ca="1">IFERROR(IF(AM4&lt;'Get Started'!$F55,0,OFFSET(AM221,0,-1*'Get Started'!$F55)*'Get Started'!$F84/'Get Started'!$F82),0)+IFERROR(IF(AM4&lt;'Get Started'!$F65,0,OFFSET(AM221,0,-1*'Get Started'!$F65)*'Get Started'!$F86/'Get Started'!$F82),0)</f>
        <v>0</v>
      </c>
      <c r="AN226" s="90">
        <f ca="1">IFERROR(IF(AN4&lt;'Get Started'!$F55,0,OFFSET(AN221,0,-1*'Get Started'!$F55)*'Get Started'!$F84/'Get Started'!$F82),0)+IFERROR(IF(AN4&lt;'Get Started'!$F65,0,OFFSET(AN221,0,-1*'Get Started'!$F65)*'Get Started'!$F86/'Get Started'!$F82),0)</f>
        <v>0</v>
      </c>
      <c r="AO226" s="90">
        <f ca="1">IFERROR(IF(AO4&lt;'Get Started'!$F55,0,OFFSET(AO221,0,-1*'Get Started'!$F55)*'Get Started'!$F84/'Get Started'!$F82),0)+IFERROR(IF(AO4&lt;'Get Started'!$F65,0,OFFSET(AO221,0,-1*'Get Started'!$F65)*'Get Started'!$F86/'Get Started'!$F82),0)</f>
        <v>0</v>
      </c>
      <c r="AP226" s="90">
        <f ca="1">IFERROR(IF(AP4&lt;'Get Started'!$F55,0,OFFSET(AP221,0,-1*'Get Started'!$F55)*'Get Started'!$F84/'Get Started'!$F82),0)+IFERROR(IF(AP4&lt;'Get Started'!$F65,0,OFFSET(AP221,0,-1*'Get Started'!$F65)*'Get Started'!$F86/'Get Started'!$F82),0)</f>
        <v>0</v>
      </c>
      <c r="AQ226" s="90">
        <f ca="1">IFERROR(IF(AQ4&lt;'Get Started'!$F55,0,OFFSET(AQ221,0,-1*'Get Started'!$F55)*'Get Started'!$F84/'Get Started'!$F82),0)+IFERROR(IF(AQ4&lt;'Get Started'!$F65,0,OFFSET(AQ221,0,-1*'Get Started'!$F65)*'Get Started'!$F86/'Get Started'!$F82),0)</f>
        <v>0</v>
      </c>
      <c r="AR226" s="90">
        <f ca="1">IFERROR(IF(AR4&lt;'Get Started'!$F55,0,OFFSET(AR221,0,-1*'Get Started'!$F55)*'Get Started'!$F84/'Get Started'!$F82),0)+IFERROR(IF(AR4&lt;'Get Started'!$F65,0,OFFSET(AR221,0,-1*'Get Started'!$F65)*'Get Started'!$F86/'Get Started'!$F82),0)</f>
        <v>0</v>
      </c>
      <c r="AS226" s="90">
        <f ca="1">IFERROR(IF(AS4&lt;'Get Started'!$F55,0,OFFSET(AS221,0,-1*'Get Started'!$F55)*'Get Started'!$F84/'Get Started'!$F82),0)+IFERROR(IF(AS4&lt;'Get Started'!$F65,0,OFFSET(AS221,0,-1*'Get Started'!$F65)*'Get Started'!$F86/'Get Started'!$F82),0)</f>
        <v>0</v>
      </c>
      <c r="AT226" s="90">
        <f ca="1">IFERROR(IF(AT4&lt;'Get Started'!$F55,0,OFFSET(AT221,0,-1*'Get Started'!$F55)*'Get Started'!$F84/'Get Started'!$F82),0)+IFERROR(IF(AT4&lt;'Get Started'!$F65,0,OFFSET(AT221,0,-1*'Get Started'!$F65)*'Get Started'!$F86/'Get Started'!$F82),0)</f>
        <v>0</v>
      </c>
      <c r="AU226" s="90">
        <f ca="1">IFERROR(IF(AU4&lt;'Get Started'!$F55,0,OFFSET(AU221,0,-1*'Get Started'!$F55)*'Get Started'!$F84/'Get Started'!$F82),0)+IFERROR(IF(AU4&lt;'Get Started'!$F65,0,OFFSET(AU221,0,-1*'Get Started'!$F65)*'Get Started'!$F86/'Get Started'!$F82),0)</f>
        <v>0</v>
      </c>
      <c r="AV226" s="90">
        <f ca="1">IFERROR(IF(AV4&lt;'Get Started'!$F55,0,OFFSET(AV221,0,-1*'Get Started'!$F55)*'Get Started'!$F84/'Get Started'!$F82),0)+IFERROR(IF(AV4&lt;'Get Started'!$F65,0,OFFSET(AV221,0,-1*'Get Started'!$F65)*'Get Started'!$F86/'Get Started'!$F82),0)</f>
        <v>0</v>
      </c>
      <c r="AW226" s="90">
        <f ca="1">IFERROR(IF(AW4&lt;'Get Started'!$F55,0,OFFSET(AW221,0,-1*'Get Started'!$F55)*'Get Started'!$F84/'Get Started'!$F82),0)+IFERROR(IF(AW4&lt;'Get Started'!$F65,0,OFFSET(AW221,0,-1*'Get Started'!$F65)*'Get Started'!$F86/'Get Started'!$F82),0)</f>
        <v>0</v>
      </c>
      <c r="AX226" s="90">
        <f ca="1">IFERROR(IF(AX4&lt;'Get Started'!$F55,0,OFFSET(AX221,0,-1*'Get Started'!$F55)*'Get Started'!$F84/'Get Started'!$F82),0)+IFERROR(IF(AX4&lt;'Get Started'!$F65,0,OFFSET(AX221,0,-1*'Get Started'!$F65)*'Get Started'!$F86/'Get Started'!$F82),0)</f>
        <v>0</v>
      </c>
      <c r="AY226" s="90">
        <f ca="1">IFERROR(IF(AY4&lt;'Get Started'!$F55,0,OFFSET(AY221,0,-1*'Get Started'!$F55)*'Get Started'!$F84/'Get Started'!$F82),0)+IFERROR(IF(AY4&lt;'Get Started'!$F65,0,OFFSET(AY221,0,-1*'Get Started'!$F65)*'Get Started'!$F86/'Get Started'!$F82),0)</f>
        <v>0</v>
      </c>
      <c r="AZ226" s="90">
        <f ca="1">IFERROR(IF(AZ4&lt;'Get Started'!$F55,0,OFFSET(AZ221,0,-1*'Get Started'!$F55)*'Get Started'!$F84/'Get Started'!$F82),0)+IFERROR(IF(AZ4&lt;'Get Started'!$F65,0,OFFSET(AZ221,0,-1*'Get Started'!$F65)*'Get Started'!$F86/'Get Started'!$F82),0)</f>
        <v>0</v>
      </c>
      <c r="BA226" s="90">
        <f ca="1">IFERROR(IF(BA4&lt;'Get Started'!$F55,0,OFFSET(BA221,0,-1*'Get Started'!$F55)*'Get Started'!$F84/'Get Started'!$F82),0)+IFERROR(IF(BA4&lt;'Get Started'!$F65,0,OFFSET(BA221,0,-1*'Get Started'!$F65)*'Get Started'!$F86/'Get Started'!$F82),0)</f>
        <v>0</v>
      </c>
      <c r="BB226" s="90">
        <f ca="1">IFERROR(IF(BB4&lt;'Get Started'!$F55,0,OFFSET(BB221,0,-1*'Get Started'!$F55)*'Get Started'!$F84/'Get Started'!$F82),0)+IFERROR(IF(BB4&lt;'Get Started'!$F65,0,OFFSET(BB221,0,-1*'Get Started'!$F65)*'Get Started'!$F86/'Get Started'!$F82),0)</f>
        <v>0</v>
      </c>
      <c r="BC226" s="90">
        <f ca="1">IFERROR(IF(BC4&lt;'Get Started'!$F55,0,OFFSET(BC221,0,-1*'Get Started'!$F55)*'Get Started'!$F84/'Get Started'!$F82),0)+IFERROR(IF(BC4&lt;'Get Started'!$F65,0,OFFSET(BC221,0,-1*'Get Started'!$F65)*'Get Started'!$F86/'Get Started'!$F82),0)</f>
        <v>0</v>
      </c>
      <c r="BD226" s="90">
        <f ca="1">IFERROR(IF(BD4&lt;'Get Started'!$F55,0,OFFSET(BD221,0,-1*'Get Started'!$F55)*'Get Started'!$F84/'Get Started'!$F82),0)+IFERROR(IF(BD4&lt;'Get Started'!$F65,0,OFFSET(BD221,0,-1*'Get Started'!$F65)*'Get Started'!$F86/'Get Started'!$F82),0)</f>
        <v>0</v>
      </c>
      <c r="BE226" s="90">
        <f ca="1">IFERROR(IF(BE4&lt;'Get Started'!$F55,0,OFFSET(BE221,0,-1*'Get Started'!$F55)*'Get Started'!$F84/'Get Started'!$F82),0)+IFERROR(IF(BE4&lt;'Get Started'!$F65,0,OFFSET(BE221,0,-1*'Get Started'!$F65)*'Get Started'!$F86/'Get Started'!$F82),0)</f>
        <v>0</v>
      </c>
      <c r="BF226" s="90">
        <f ca="1">IFERROR(IF(BF4&lt;'Get Started'!$F55,0,OFFSET(BF221,0,-1*'Get Started'!$F55)*'Get Started'!$F84/'Get Started'!$F82),0)+IFERROR(IF(BF4&lt;'Get Started'!$F65,0,OFFSET(BF221,0,-1*'Get Started'!$F65)*'Get Started'!$F86/'Get Started'!$F82),0)</f>
        <v>0</v>
      </c>
      <c r="BG226" s="90">
        <f ca="1">IFERROR(IF(BG4&lt;'Get Started'!$F55,0,OFFSET(BG221,0,-1*'Get Started'!$F55)*'Get Started'!$F84/'Get Started'!$F82),0)+IFERROR(IF(BG4&lt;'Get Started'!$F65,0,OFFSET(BG221,0,-1*'Get Started'!$F65)*'Get Started'!$F86/'Get Started'!$F82),0)</f>
        <v>0</v>
      </c>
      <c r="BH226" s="90">
        <f ca="1">IFERROR(IF(BH4&lt;'Get Started'!$F55,0,OFFSET(BH221,0,-1*'Get Started'!$F55)*'Get Started'!$F84/'Get Started'!$F82),0)+IFERROR(IF(BH4&lt;'Get Started'!$F65,0,OFFSET(BH221,0,-1*'Get Started'!$F65)*'Get Started'!$F86/'Get Started'!$F82),0)</f>
        <v>0</v>
      </c>
      <c r="BI226" s="90">
        <f ca="1">IFERROR(IF(BI4&lt;'Get Started'!$F55,0,OFFSET(BI221,0,-1*'Get Started'!$F55)*'Get Started'!$F84/'Get Started'!$F82),0)+IFERROR(IF(BI4&lt;'Get Started'!$F65,0,OFFSET(BI221,0,-1*'Get Started'!$F65)*'Get Started'!$F86/'Get Started'!$F82),0)</f>
        <v>0</v>
      </c>
      <c r="BJ226" s="90">
        <f ca="1">IFERROR(IF(BJ4&lt;'Get Started'!$F55,0,OFFSET(BJ221,0,-1*'Get Started'!$F55)*'Get Started'!$F84/'Get Started'!$F82),0)+IFERROR(IF(BJ4&lt;'Get Started'!$F65,0,OFFSET(BJ221,0,-1*'Get Started'!$F65)*'Get Started'!$F86/'Get Started'!$F82),0)</f>
        <v>0</v>
      </c>
      <c r="BK226" s="90">
        <f ca="1">IFERROR(IF(BK4&lt;'Get Started'!$F55,0,OFFSET(BK221,0,-1*'Get Started'!$F55)*'Get Started'!$F84/'Get Started'!$F82),0)+IFERROR(IF(BK4&lt;'Get Started'!$F65,0,OFFSET(BK221,0,-1*'Get Started'!$F65)*'Get Started'!$F86/'Get Started'!$F82),0)</f>
        <v>0</v>
      </c>
      <c r="BL226" s="90">
        <f ca="1">IFERROR(IF(BL4&lt;'Get Started'!$F55,0,OFFSET(BL221,0,-1*'Get Started'!$F55)*'Get Started'!$F84/'Get Started'!$F82),0)+IFERROR(IF(BL4&lt;'Get Started'!$F65,0,OFFSET(BL221,0,-1*'Get Started'!$F65)*'Get Started'!$F86/'Get Started'!$F82),0)</f>
        <v>0</v>
      </c>
      <c r="BM226" s="90">
        <f ca="1">IFERROR(IF(BM4&lt;'Get Started'!$F55,0,OFFSET(BM221,0,-1*'Get Started'!$F55)*'Get Started'!$F84/'Get Started'!$F82),0)+IFERROR(IF(BM4&lt;'Get Started'!$F65,0,OFFSET(BM221,0,-1*'Get Started'!$F65)*'Get Started'!$F86/'Get Started'!$F82),0)</f>
        <v>0</v>
      </c>
      <c r="BN226" s="90">
        <f ca="1">IFERROR(IF(BN4&lt;'Get Started'!$F55,0,OFFSET(BN221,0,-1*'Get Started'!$F55)*'Get Started'!$F84/'Get Started'!$F82),0)+IFERROR(IF(BN4&lt;'Get Started'!$F65,0,OFFSET(BN221,0,-1*'Get Started'!$F65)*'Get Started'!$F86/'Get Started'!$F82),0)</f>
        <v>0</v>
      </c>
      <c r="BO226" s="90">
        <f ca="1">IFERROR(IF(BO4&lt;'Get Started'!$F55,0,OFFSET(BO221,0,-1*'Get Started'!$F55)*'Get Started'!$F84/'Get Started'!$F82),0)+IFERROR(IF(BO4&lt;'Get Started'!$F65,0,OFFSET(BO221,0,-1*'Get Started'!$F65)*'Get Started'!$F86/'Get Started'!$F82),0)</f>
        <v>0</v>
      </c>
      <c r="BP226" s="90">
        <f ca="1">IFERROR(IF(BP4&lt;'Get Started'!$F55,0,OFFSET(BP221,0,-1*'Get Started'!$F55)*'Get Started'!$F84/'Get Started'!$F82),0)+IFERROR(IF(BP4&lt;'Get Started'!$F65,0,OFFSET(BP221,0,-1*'Get Started'!$F65)*'Get Started'!$F86/'Get Started'!$F82),0)</f>
        <v>0</v>
      </c>
      <c r="BQ226" s="90">
        <f ca="1">IFERROR(IF(BQ4&lt;'Get Started'!$F55,0,OFFSET(BQ221,0,-1*'Get Started'!$F55)*'Get Started'!$F84/'Get Started'!$F82),0)+IFERROR(IF(BQ4&lt;'Get Started'!$F65,0,OFFSET(BQ221,0,-1*'Get Started'!$F65)*'Get Started'!$F86/'Get Started'!$F82),0)</f>
        <v>0</v>
      </c>
      <c r="BR226" s="90">
        <f ca="1">IFERROR(IF(BR4&lt;'Get Started'!$F55,0,OFFSET(BR221,0,-1*'Get Started'!$F55)*'Get Started'!$F84/'Get Started'!$F82),0)+IFERROR(IF(BR4&lt;'Get Started'!$F65,0,OFFSET(BR221,0,-1*'Get Started'!$F65)*'Get Started'!$F86/'Get Started'!$F82),0)</f>
        <v>0</v>
      </c>
      <c r="BS226" s="90">
        <f ca="1">IFERROR(IF(BS4&lt;'Get Started'!$F55,0,OFFSET(BS221,0,-1*'Get Started'!$F55)*'Get Started'!$F84/'Get Started'!$F82),0)+IFERROR(IF(BS4&lt;'Get Started'!$F65,0,OFFSET(BS221,0,-1*'Get Started'!$F65)*'Get Started'!$F86/'Get Started'!$F82),0)</f>
        <v>0</v>
      </c>
      <c r="BT226" s="90">
        <f ca="1">IFERROR(IF(BT4&lt;'Get Started'!$F55,0,OFFSET(BT221,0,-1*'Get Started'!$F55)*'Get Started'!$F84/'Get Started'!$F82),0)+IFERROR(IF(BT4&lt;'Get Started'!$F65,0,OFFSET(BT221,0,-1*'Get Started'!$F65)*'Get Started'!$F86/'Get Started'!$F82),0)</f>
        <v>0</v>
      </c>
      <c r="BU226" s="90">
        <f ca="1">IFERROR(IF(BU4&lt;'Get Started'!$F55,0,OFFSET(BU221,0,-1*'Get Started'!$F55)*'Get Started'!$F84/'Get Started'!$F82),0)+IFERROR(IF(BU4&lt;'Get Started'!$F65,0,OFFSET(BU221,0,-1*'Get Started'!$F65)*'Get Started'!$F86/'Get Started'!$F82),0)</f>
        <v>0</v>
      </c>
      <c r="BV226" s="90">
        <f ca="1">IFERROR(IF(BV4&lt;'Get Started'!$F55,0,OFFSET(BV221,0,-1*'Get Started'!$F55)*'Get Started'!$F84/'Get Started'!$F82),0)+IFERROR(IF(BV4&lt;'Get Started'!$F65,0,OFFSET(BV221,0,-1*'Get Started'!$F65)*'Get Started'!$F86/'Get Started'!$F82),0)</f>
        <v>0</v>
      </c>
      <c r="BW226" s="90">
        <f ca="1">IFERROR(IF(BW4&lt;'Get Started'!$F55,0,OFFSET(BW221,0,-1*'Get Started'!$F55)*'Get Started'!$F84/'Get Started'!$F82),0)+IFERROR(IF(BW4&lt;'Get Started'!$F65,0,OFFSET(BW221,0,-1*'Get Started'!$F65)*'Get Started'!$F86/'Get Started'!$F82),0)</f>
        <v>0</v>
      </c>
      <c r="BX226" s="90">
        <f ca="1">IFERROR(IF(BX4&lt;'Get Started'!$F55,0,OFFSET(BX221,0,-1*'Get Started'!$F55)*'Get Started'!$F84/'Get Started'!$F82),0)+IFERROR(IF(BX4&lt;'Get Started'!$F65,0,OFFSET(BX221,0,-1*'Get Started'!$F65)*'Get Started'!$F86/'Get Started'!$F82),0)</f>
        <v>0</v>
      </c>
      <c r="BY226" s="90">
        <f ca="1">IFERROR(IF(BY4&lt;'Get Started'!$F55,0,OFFSET(BY221,0,-1*'Get Started'!$F55)*'Get Started'!$F84/'Get Started'!$F82),0)+IFERROR(IF(BY4&lt;'Get Started'!$F65,0,OFFSET(BY221,0,-1*'Get Started'!$F65)*'Get Started'!$F86/'Get Started'!$F82),0)</f>
        <v>0</v>
      </c>
      <c r="BZ226" s="90">
        <f ca="1">IFERROR(IF(BZ4&lt;'Get Started'!$F55,0,OFFSET(BZ221,0,-1*'Get Started'!$F55)*'Get Started'!$F84/'Get Started'!$F82),0)+IFERROR(IF(BZ4&lt;'Get Started'!$F65,0,OFFSET(BZ221,0,-1*'Get Started'!$F65)*'Get Started'!$F86/'Get Started'!$F82),0)</f>
        <v>0</v>
      </c>
      <c r="CA226" s="90">
        <f ca="1">IFERROR(IF(CA4&lt;'Get Started'!$F55,0,OFFSET(CA221,0,-1*'Get Started'!$F55)*'Get Started'!$F84/'Get Started'!$F82),0)+IFERROR(IF(CA4&lt;'Get Started'!$F65,0,OFFSET(CA221,0,-1*'Get Started'!$F65)*'Get Started'!$F86/'Get Started'!$F82),0)</f>
        <v>0</v>
      </c>
      <c r="CB226" s="90">
        <f ca="1">IFERROR(IF(CB4&lt;'Get Started'!$F55,0,OFFSET(CB221,0,-1*'Get Started'!$F55)*'Get Started'!$F84/'Get Started'!$F82),0)+IFERROR(IF(CB4&lt;'Get Started'!$F65,0,OFFSET(CB221,0,-1*'Get Started'!$F65)*'Get Started'!$F86/'Get Started'!$F82),0)</f>
        <v>0</v>
      </c>
      <c r="CC226" s="90">
        <f ca="1">IFERROR(IF(CC4&lt;'Get Started'!$F55,0,OFFSET(CC221,0,-1*'Get Started'!$F55)*'Get Started'!$F84/'Get Started'!$F82),0)+IFERROR(IF(CC4&lt;'Get Started'!$F65,0,OFFSET(CC221,0,-1*'Get Started'!$F65)*'Get Started'!$F86/'Get Started'!$F82),0)</f>
        <v>0</v>
      </c>
      <c r="CD226" s="90">
        <f ca="1">IFERROR(IF(CD4&lt;'Get Started'!$F55,0,OFFSET(CD221,0,-1*'Get Started'!$F55)*'Get Started'!$F84/'Get Started'!$F82),0)+IFERROR(IF(CD4&lt;'Get Started'!$F65,0,OFFSET(CD221,0,-1*'Get Started'!$F65)*'Get Started'!$F86/'Get Started'!$F82),0)</f>
        <v>0</v>
      </c>
      <c r="CE226" s="90">
        <f ca="1">IFERROR(IF(CE4&lt;'Get Started'!$F55,0,OFFSET(CE221,0,-1*'Get Started'!$F55)*'Get Started'!$F84/'Get Started'!$F82),0)+IFERROR(IF(CE4&lt;'Get Started'!$F65,0,OFFSET(CE221,0,-1*'Get Started'!$F65)*'Get Started'!$F86/'Get Started'!$F82),0)</f>
        <v>0</v>
      </c>
      <c r="CF226" s="90">
        <f ca="1">IFERROR(IF(CF4&lt;'Get Started'!$F55,0,OFFSET(CF221,0,-1*'Get Started'!$F55)*'Get Started'!$F84/'Get Started'!$F82),0)+IFERROR(IF(CF4&lt;'Get Started'!$F65,0,OFFSET(CF221,0,-1*'Get Started'!$F65)*'Get Started'!$F86/'Get Started'!$F82),0)</f>
        <v>0</v>
      </c>
      <c r="CG226" s="90">
        <f ca="1">IFERROR(IF(CG4&lt;'Get Started'!$F55,0,OFFSET(CG221,0,-1*'Get Started'!$F55)*'Get Started'!$F84/'Get Started'!$F82),0)+IFERROR(IF(CG4&lt;'Get Started'!$F65,0,OFFSET(CG221,0,-1*'Get Started'!$F65)*'Get Started'!$F86/'Get Started'!$F82),0)</f>
        <v>0</v>
      </c>
      <c r="CH226" s="90">
        <f ca="1">IFERROR(IF(CH4&lt;'Get Started'!$F55,0,OFFSET(CH221,0,-1*'Get Started'!$F55)*'Get Started'!$F84/'Get Started'!$F82),0)+IFERROR(IF(CH4&lt;'Get Started'!$F65,0,OFFSET(CH221,0,-1*'Get Started'!$F65)*'Get Started'!$F86/'Get Started'!$F82),0)</f>
        <v>0</v>
      </c>
    </row>
    <row r="227" spans="1:86" ht="13" outlineLevel="1">
      <c r="A227" s="13"/>
      <c r="B227" s="13" t="s">
        <v>329</v>
      </c>
      <c r="C227" s="13"/>
      <c r="D227" s="13" t="s">
        <v>238</v>
      </c>
      <c r="E227" s="88">
        <f t="shared" ca="1" si="172"/>
        <v>0</v>
      </c>
      <c r="F227" s="48"/>
      <c r="G227" s="90">
        <f ca="1">IFERROR(IF(G4&lt;'Get Started'!$G55,0,OFFSET(G222,0,-1*'Get Started'!$G55)*'Get Started'!$G84/'Get Started'!$G82),0)+IFERROR(IF(G4&lt;'Get Started'!$G65,0,OFFSET(G222,0,-1*'Get Started'!$G65)*'Get Started'!$G86/'Get Started'!$G82),0)</f>
        <v>0</v>
      </c>
      <c r="H227" s="90">
        <f ca="1">IFERROR(IF(H4&lt;'Get Started'!$G55,0,OFFSET(H222,0,-1*'Get Started'!$G55)*'Get Started'!$G84/'Get Started'!$G82),0)+IFERROR(IF(H4&lt;'Get Started'!$G65,0,OFFSET(H222,0,-1*'Get Started'!$G65)*'Get Started'!$G86/'Get Started'!$G82),0)</f>
        <v>0</v>
      </c>
      <c r="I227" s="90">
        <f ca="1">IFERROR(IF(I4&lt;'Get Started'!$G55,0,OFFSET(I222,0,-1*'Get Started'!$G55)*'Get Started'!$G84/'Get Started'!$G82),0)+IFERROR(IF(I4&lt;'Get Started'!$G65,0,OFFSET(I222,0,-1*'Get Started'!$G65)*'Get Started'!$G86/'Get Started'!$G82),0)</f>
        <v>0</v>
      </c>
      <c r="J227" s="90">
        <f ca="1">IFERROR(IF(J4&lt;'Get Started'!$G55,0,OFFSET(J222,0,-1*'Get Started'!$G55)*'Get Started'!$G84/'Get Started'!$G82),0)+IFERROR(IF(J4&lt;'Get Started'!$G65,0,OFFSET(J222,0,-1*'Get Started'!$G65)*'Get Started'!$G86/'Get Started'!$G82),0)</f>
        <v>0</v>
      </c>
      <c r="K227" s="90">
        <f ca="1">IFERROR(IF(K4&lt;'Get Started'!$G55,0,OFFSET(K222,0,-1*'Get Started'!$G55)*'Get Started'!$G84/'Get Started'!$G82),0)+IFERROR(IF(K4&lt;'Get Started'!$G65,0,OFFSET(K222,0,-1*'Get Started'!$G65)*'Get Started'!$G86/'Get Started'!$G82),0)</f>
        <v>0</v>
      </c>
      <c r="L227" s="90">
        <f ca="1">IFERROR(IF(L4&lt;'Get Started'!$G55,0,OFFSET(L222,0,-1*'Get Started'!$G55)*'Get Started'!$G84/'Get Started'!$G82),0)+IFERROR(IF(L4&lt;'Get Started'!$G65,0,OFFSET(L222,0,-1*'Get Started'!$G65)*'Get Started'!$G86/'Get Started'!$G82),0)</f>
        <v>0</v>
      </c>
      <c r="M227" s="90">
        <f ca="1">IFERROR(IF(M4&lt;'Get Started'!$G55,0,OFFSET(M222,0,-1*'Get Started'!$G55)*'Get Started'!$G84/'Get Started'!$G82),0)+IFERROR(IF(M4&lt;'Get Started'!$G65,0,OFFSET(M222,0,-1*'Get Started'!$G65)*'Get Started'!$G86/'Get Started'!$G82),0)</f>
        <v>0</v>
      </c>
      <c r="N227" s="90">
        <f ca="1">IFERROR(IF(N4&lt;'Get Started'!$G55,0,OFFSET(N222,0,-1*'Get Started'!$G55)*'Get Started'!$G84/'Get Started'!$G82),0)+IFERROR(IF(N4&lt;'Get Started'!$G65,0,OFFSET(N222,0,-1*'Get Started'!$G65)*'Get Started'!$G86/'Get Started'!$G82),0)</f>
        <v>0</v>
      </c>
      <c r="O227" s="90">
        <f ca="1">IFERROR(IF(O4&lt;'Get Started'!$G55,0,OFFSET(O222,0,-1*'Get Started'!$G55)*'Get Started'!$G84/'Get Started'!$G82),0)+IFERROR(IF(O4&lt;'Get Started'!$G65,0,OFFSET(O222,0,-1*'Get Started'!$G65)*'Get Started'!$G86/'Get Started'!$G82),0)</f>
        <v>0</v>
      </c>
      <c r="P227" s="90">
        <f ca="1">IFERROR(IF(P4&lt;'Get Started'!$G55,0,OFFSET(P222,0,-1*'Get Started'!$G55)*'Get Started'!$G84/'Get Started'!$G82),0)+IFERROR(IF(P4&lt;'Get Started'!$G65,0,OFFSET(P222,0,-1*'Get Started'!$G65)*'Get Started'!$G86/'Get Started'!$G82),0)</f>
        <v>0</v>
      </c>
      <c r="Q227" s="90">
        <f ca="1">IFERROR(IF(Q4&lt;'Get Started'!$G55,0,OFFSET(Q222,0,-1*'Get Started'!$G55)*'Get Started'!$G84/'Get Started'!$G82),0)+IFERROR(IF(Q4&lt;'Get Started'!$G65,0,OFFSET(Q222,0,-1*'Get Started'!$G65)*'Get Started'!$G86/'Get Started'!$G82),0)</f>
        <v>0</v>
      </c>
      <c r="R227" s="90">
        <f ca="1">IFERROR(IF(R4&lt;'Get Started'!$G55,0,OFFSET(R222,0,-1*'Get Started'!$G55)*'Get Started'!$G84/'Get Started'!$G82),0)+IFERROR(IF(R4&lt;'Get Started'!$G65,0,OFFSET(R222,0,-1*'Get Started'!$G65)*'Get Started'!$G86/'Get Started'!$G82),0)</f>
        <v>0</v>
      </c>
      <c r="S227" s="90">
        <f ca="1">IFERROR(IF(S4&lt;'Get Started'!$G55,0,OFFSET(S222,0,-1*'Get Started'!$G55)*'Get Started'!$G84/'Get Started'!$G82),0)+IFERROR(IF(S4&lt;'Get Started'!$G65,0,OFFSET(S222,0,-1*'Get Started'!$G65)*'Get Started'!$G86/'Get Started'!$G82),0)</f>
        <v>0</v>
      </c>
      <c r="T227" s="90">
        <f ca="1">IFERROR(IF(T4&lt;'Get Started'!$G55,0,OFFSET(T222,0,-1*'Get Started'!$G55)*'Get Started'!$G84/'Get Started'!$G82),0)+IFERROR(IF(T4&lt;'Get Started'!$G65,0,OFFSET(T222,0,-1*'Get Started'!$G65)*'Get Started'!$G86/'Get Started'!$G82),0)</f>
        <v>0</v>
      </c>
      <c r="U227" s="90">
        <f ca="1">IFERROR(IF(U4&lt;'Get Started'!$G55,0,OFFSET(U222,0,-1*'Get Started'!$G55)*'Get Started'!$G84/'Get Started'!$G82),0)+IFERROR(IF(U4&lt;'Get Started'!$G65,0,OFFSET(U222,0,-1*'Get Started'!$G65)*'Get Started'!$G86/'Get Started'!$G82),0)</f>
        <v>0</v>
      </c>
      <c r="V227" s="90">
        <f ca="1">IFERROR(IF(V4&lt;'Get Started'!$G55,0,OFFSET(V222,0,-1*'Get Started'!$G55)*'Get Started'!$G84/'Get Started'!$G82),0)+IFERROR(IF(V4&lt;'Get Started'!$G65,0,OFFSET(V222,0,-1*'Get Started'!$G65)*'Get Started'!$G86/'Get Started'!$G82),0)</f>
        <v>0</v>
      </c>
      <c r="W227" s="90">
        <f ca="1">IFERROR(IF(W4&lt;'Get Started'!$G55,0,OFFSET(W222,0,-1*'Get Started'!$G55)*'Get Started'!$G84/'Get Started'!$G82),0)+IFERROR(IF(W4&lt;'Get Started'!$G65,0,OFFSET(W222,0,-1*'Get Started'!$G65)*'Get Started'!$G86/'Get Started'!$G82),0)</f>
        <v>0</v>
      </c>
      <c r="X227" s="90">
        <f ca="1">IFERROR(IF(X4&lt;'Get Started'!$G55,0,OFFSET(X222,0,-1*'Get Started'!$G55)*'Get Started'!$G84/'Get Started'!$G82),0)+IFERROR(IF(X4&lt;'Get Started'!$G65,0,OFFSET(X222,0,-1*'Get Started'!$G65)*'Get Started'!$G86/'Get Started'!$G82),0)</f>
        <v>0</v>
      </c>
      <c r="Y227" s="90">
        <f ca="1">IFERROR(IF(Y4&lt;'Get Started'!$G55,0,OFFSET(Y222,0,-1*'Get Started'!$G55)*'Get Started'!$G84/'Get Started'!$G82),0)+IFERROR(IF(Y4&lt;'Get Started'!$G65,0,OFFSET(Y222,0,-1*'Get Started'!$G65)*'Get Started'!$G86/'Get Started'!$G82),0)</f>
        <v>0</v>
      </c>
      <c r="Z227" s="90">
        <f ca="1">IFERROR(IF(Z4&lt;'Get Started'!$G55,0,OFFSET(Z222,0,-1*'Get Started'!$G55)*'Get Started'!$G84/'Get Started'!$G82),0)+IFERROR(IF(Z4&lt;'Get Started'!$G65,0,OFFSET(Z222,0,-1*'Get Started'!$G65)*'Get Started'!$G86/'Get Started'!$G82),0)</f>
        <v>0</v>
      </c>
      <c r="AA227" s="90">
        <f ca="1">IFERROR(IF(AA4&lt;'Get Started'!$G55,0,OFFSET(AA222,0,-1*'Get Started'!$G55)*'Get Started'!$G84/'Get Started'!$G82),0)+IFERROR(IF(AA4&lt;'Get Started'!$G65,0,OFFSET(AA222,0,-1*'Get Started'!$G65)*'Get Started'!$G86/'Get Started'!$G82),0)</f>
        <v>0</v>
      </c>
      <c r="AB227" s="90">
        <f ca="1">IFERROR(IF(AB4&lt;'Get Started'!$G55,0,OFFSET(AB222,0,-1*'Get Started'!$G55)*'Get Started'!$G84/'Get Started'!$G82),0)+IFERROR(IF(AB4&lt;'Get Started'!$G65,0,OFFSET(AB222,0,-1*'Get Started'!$G65)*'Get Started'!$G86/'Get Started'!$G82),0)</f>
        <v>0</v>
      </c>
      <c r="AC227" s="90">
        <f ca="1">IFERROR(IF(AC4&lt;'Get Started'!$G55,0,OFFSET(AC222,0,-1*'Get Started'!$G55)*'Get Started'!$G84/'Get Started'!$G82),0)+IFERROR(IF(AC4&lt;'Get Started'!$G65,0,OFFSET(AC222,0,-1*'Get Started'!$G65)*'Get Started'!$G86/'Get Started'!$G82),0)</f>
        <v>0</v>
      </c>
      <c r="AD227" s="90">
        <f ca="1">IFERROR(IF(AD4&lt;'Get Started'!$G55,0,OFFSET(AD222,0,-1*'Get Started'!$G55)*'Get Started'!$G84/'Get Started'!$G82),0)+IFERROR(IF(AD4&lt;'Get Started'!$G65,0,OFFSET(AD222,0,-1*'Get Started'!$G65)*'Get Started'!$G86/'Get Started'!$G82),0)</f>
        <v>0</v>
      </c>
      <c r="AE227" s="90">
        <f ca="1">IFERROR(IF(AE4&lt;'Get Started'!$G55,0,OFFSET(AE222,0,-1*'Get Started'!$G55)*'Get Started'!$G84/'Get Started'!$G82),0)+IFERROR(IF(AE4&lt;'Get Started'!$G65,0,OFFSET(AE222,0,-1*'Get Started'!$G65)*'Get Started'!$G86/'Get Started'!$G82),0)</f>
        <v>0</v>
      </c>
      <c r="AF227" s="90">
        <f ca="1">IFERROR(IF(AF4&lt;'Get Started'!$G55,0,OFFSET(AF222,0,-1*'Get Started'!$G55)*'Get Started'!$G84/'Get Started'!$G82),0)+IFERROR(IF(AF4&lt;'Get Started'!$G65,0,OFFSET(AF222,0,-1*'Get Started'!$G65)*'Get Started'!$G86/'Get Started'!$G82),0)</f>
        <v>0</v>
      </c>
      <c r="AG227" s="90">
        <f ca="1">IFERROR(IF(AG4&lt;'Get Started'!$G55,0,OFFSET(AG222,0,-1*'Get Started'!$G55)*'Get Started'!$G84/'Get Started'!$G82),0)+IFERROR(IF(AG4&lt;'Get Started'!$G65,0,OFFSET(AG222,0,-1*'Get Started'!$G65)*'Get Started'!$G86/'Get Started'!$G82),0)</f>
        <v>0</v>
      </c>
      <c r="AH227" s="90">
        <f ca="1">IFERROR(IF(AH4&lt;'Get Started'!$G55,0,OFFSET(AH222,0,-1*'Get Started'!$G55)*'Get Started'!$G84/'Get Started'!$G82),0)+IFERROR(IF(AH4&lt;'Get Started'!$G65,0,OFFSET(AH222,0,-1*'Get Started'!$G65)*'Get Started'!$G86/'Get Started'!$G82),0)</f>
        <v>0</v>
      </c>
      <c r="AI227" s="90">
        <f ca="1">IFERROR(IF(AI4&lt;'Get Started'!$G55,0,OFFSET(AI222,0,-1*'Get Started'!$G55)*'Get Started'!$G84/'Get Started'!$G82),0)+IFERROR(IF(AI4&lt;'Get Started'!$G65,0,OFFSET(AI222,0,-1*'Get Started'!$G65)*'Get Started'!$G86/'Get Started'!$G82),0)</f>
        <v>0</v>
      </c>
      <c r="AJ227" s="90">
        <f ca="1">IFERROR(IF(AJ4&lt;'Get Started'!$G55,0,OFFSET(AJ222,0,-1*'Get Started'!$G55)*'Get Started'!$G84/'Get Started'!$G82),0)+IFERROR(IF(AJ4&lt;'Get Started'!$G65,0,OFFSET(AJ222,0,-1*'Get Started'!$G65)*'Get Started'!$G86/'Get Started'!$G82),0)</f>
        <v>0</v>
      </c>
      <c r="AK227" s="90">
        <f ca="1">IFERROR(IF(AK4&lt;'Get Started'!$G55,0,OFFSET(AK222,0,-1*'Get Started'!$G55)*'Get Started'!$G84/'Get Started'!$G82),0)+IFERROR(IF(AK4&lt;'Get Started'!$G65,0,OFFSET(AK222,0,-1*'Get Started'!$G65)*'Get Started'!$G86/'Get Started'!$G82),0)</f>
        <v>0</v>
      </c>
      <c r="AL227" s="90">
        <f ca="1">IFERROR(IF(AL4&lt;'Get Started'!$G55,0,OFFSET(AL222,0,-1*'Get Started'!$G55)*'Get Started'!$G84/'Get Started'!$G82),0)+IFERROR(IF(AL4&lt;'Get Started'!$G65,0,OFFSET(AL222,0,-1*'Get Started'!$G65)*'Get Started'!$G86/'Get Started'!$G82),0)</f>
        <v>0</v>
      </c>
      <c r="AM227" s="90">
        <f ca="1">IFERROR(IF(AM4&lt;'Get Started'!$G55,0,OFFSET(AM222,0,-1*'Get Started'!$G55)*'Get Started'!$G84/'Get Started'!$G82),0)+IFERROR(IF(AM4&lt;'Get Started'!$G65,0,OFFSET(AM222,0,-1*'Get Started'!$G65)*'Get Started'!$G86/'Get Started'!$G82),0)</f>
        <v>0</v>
      </c>
      <c r="AN227" s="90">
        <f ca="1">IFERROR(IF(AN4&lt;'Get Started'!$G55,0,OFFSET(AN222,0,-1*'Get Started'!$G55)*'Get Started'!$G84/'Get Started'!$G82),0)+IFERROR(IF(AN4&lt;'Get Started'!$G65,0,OFFSET(AN222,0,-1*'Get Started'!$G65)*'Get Started'!$G86/'Get Started'!$G82),0)</f>
        <v>0</v>
      </c>
      <c r="AO227" s="90">
        <f ca="1">IFERROR(IF(AO4&lt;'Get Started'!$G55,0,OFFSET(AO222,0,-1*'Get Started'!$G55)*'Get Started'!$G84/'Get Started'!$G82),0)+IFERROR(IF(AO4&lt;'Get Started'!$G65,0,OFFSET(AO222,0,-1*'Get Started'!$G65)*'Get Started'!$G86/'Get Started'!$G82),0)</f>
        <v>0</v>
      </c>
      <c r="AP227" s="90">
        <f ca="1">IFERROR(IF(AP4&lt;'Get Started'!$G55,0,OFFSET(AP222,0,-1*'Get Started'!$G55)*'Get Started'!$G84/'Get Started'!$G82),0)+IFERROR(IF(AP4&lt;'Get Started'!$G65,0,OFFSET(AP222,0,-1*'Get Started'!$G65)*'Get Started'!$G86/'Get Started'!$G82),0)</f>
        <v>0</v>
      </c>
      <c r="AQ227" s="90">
        <f ca="1">IFERROR(IF(AQ4&lt;'Get Started'!$G55,0,OFFSET(AQ222,0,-1*'Get Started'!$G55)*'Get Started'!$G84/'Get Started'!$G82),0)+IFERROR(IF(AQ4&lt;'Get Started'!$G65,0,OFFSET(AQ222,0,-1*'Get Started'!$G65)*'Get Started'!$G86/'Get Started'!$G82),0)</f>
        <v>0</v>
      </c>
      <c r="AR227" s="90">
        <f ca="1">IFERROR(IF(AR4&lt;'Get Started'!$G55,0,OFFSET(AR222,0,-1*'Get Started'!$G55)*'Get Started'!$G84/'Get Started'!$G82),0)+IFERROR(IF(AR4&lt;'Get Started'!$G65,0,OFFSET(AR222,0,-1*'Get Started'!$G65)*'Get Started'!$G86/'Get Started'!$G82),0)</f>
        <v>0</v>
      </c>
      <c r="AS227" s="90">
        <f ca="1">IFERROR(IF(AS4&lt;'Get Started'!$G55,0,OFFSET(AS222,0,-1*'Get Started'!$G55)*'Get Started'!$G84/'Get Started'!$G82),0)+IFERROR(IF(AS4&lt;'Get Started'!$G65,0,OFFSET(AS222,0,-1*'Get Started'!$G65)*'Get Started'!$G86/'Get Started'!$G82),0)</f>
        <v>0</v>
      </c>
      <c r="AT227" s="90">
        <f ca="1">IFERROR(IF(AT4&lt;'Get Started'!$G55,0,OFFSET(AT222,0,-1*'Get Started'!$G55)*'Get Started'!$G84/'Get Started'!$G82),0)+IFERROR(IF(AT4&lt;'Get Started'!$G65,0,OFFSET(AT222,0,-1*'Get Started'!$G65)*'Get Started'!$G86/'Get Started'!$G82),0)</f>
        <v>0</v>
      </c>
      <c r="AU227" s="90">
        <f ca="1">IFERROR(IF(AU4&lt;'Get Started'!$G55,0,OFFSET(AU222,0,-1*'Get Started'!$G55)*'Get Started'!$G84/'Get Started'!$G82),0)+IFERROR(IF(AU4&lt;'Get Started'!$G65,0,OFFSET(AU222,0,-1*'Get Started'!$G65)*'Get Started'!$G86/'Get Started'!$G82),0)</f>
        <v>0</v>
      </c>
      <c r="AV227" s="90">
        <f ca="1">IFERROR(IF(AV4&lt;'Get Started'!$G55,0,OFFSET(AV222,0,-1*'Get Started'!$G55)*'Get Started'!$G84/'Get Started'!$G82),0)+IFERROR(IF(AV4&lt;'Get Started'!$G65,0,OFFSET(AV222,0,-1*'Get Started'!$G65)*'Get Started'!$G86/'Get Started'!$G82),0)</f>
        <v>0</v>
      </c>
      <c r="AW227" s="90">
        <f ca="1">IFERROR(IF(AW4&lt;'Get Started'!$G55,0,OFFSET(AW222,0,-1*'Get Started'!$G55)*'Get Started'!$G84/'Get Started'!$G82),0)+IFERROR(IF(AW4&lt;'Get Started'!$G65,0,OFFSET(AW222,0,-1*'Get Started'!$G65)*'Get Started'!$G86/'Get Started'!$G82),0)</f>
        <v>0</v>
      </c>
      <c r="AX227" s="90">
        <f ca="1">IFERROR(IF(AX4&lt;'Get Started'!$G55,0,OFFSET(AX222,0,-1*'Get Started'!$G55)*'Get Started'!$G84/'Get Started'!$G82),0)+IFERROR(IF(AX4&lt;'Get Started'!$G65,0,OFFSET(AX222,0,-1*'Get Started'!$G65)*'Get Started'!$G86/'Get Started'!$G82),0)</f>
        <v>0</v>
      </c>
      <c r="AY227" s="90">
        <f ca="1">IFERROR(IF(AY4&lt;'Get Started'!$G55,0,OFFSET(AY222,0,-1*'Get Started'!$G55)*'Get Started'!$G84/'Get Started'!$G82),0)+IFERROR(IF(AY4&lt;'Get Started'!$G65,0,OFFSET(AY222,0,-1*'Get Started'!$G65)*'Get Started'!$G86/'Get Started'!$G82),0)</f>
        <v>0</v>
      </c>
      <c r="AZ227" s="90">
        <f ca="1">IFERROR(IF(AZ4&lt;'Get Started'!$G55,0,OFFSET(AZ222,0,-1*'Get Started'!$G55)*'Get Started'!$G84/'Get Started'!$G82),0)+IFERROR(IF(AZ4&lt;'Get Started'!$G65,0,OFFSET(AZ222,0,-1*'Get Started'!$G65)*'Get Started'!$G86/'Get Started'!$G82),0)</f>
        <v>0</v>
      </c>
      <c r="BA227" s="90">
        <f ca="1">IFERROR(IF(BA4&lt;'Get Started'!$G55,0,OFFSET(BA222,0,-1*'Get Started'!$G55)*'Get Started'!$G84/'Get Started'!$G82),0)+IFERROR(IF(BA4&lt;'Get Started'!$G65,0,OFFSET(BA222,0,-1*'Get Started'!$G65)*'Get Started'!$G86/'Get Started'!$G82),0)</f>
        <v>0</v>
      </c>
      <c r="BB227" s="90">
        <f ca="1">IFERROR(IF(BB4&lt;'Get Started'!$G55,0,OFFSET(BB222,0,-1*'Get Started'!$G55)*'Get Started'!$G84/'Get Started'!$G82),0)+IFERROR(IF(BB4&lt;'Get Started'!$G65,0,OFFSET(BB222,0,-1*'Get Started'!$G65)*'Get Started'!$G86/'Get Started'!$G82),0)</f>
        <v>0</v>
      </c>
      <c r="BC227" s="90">
        <f ca="1">IFERROR(IF(BC4&lt;'Get Started'!$G55,0,OFFSET(BC222,0,-1*'Get Started'!$G55)*'Get Started'!$G84/'Get Started'!$G82),0)+IFERROR(IF(BC4&lt;'Get Started'!$G65,0,OFFSET(BC222,0,-1*'Get Started'!$G65)*'Get Started'!$G86/'Get Started'!$G82),0)</f>
        <v>0</v>
      </c>
      <c r="BD227" s="90">
        <f ca="1">IFERROR(IF(BD4&lt;'Get Started'!$G55,0,OFFSET(BD222,0,-1*'Get Started'!$G55)*'Get Started'!$G84/'Get Started'!$G82),0)+IFERROR(IF(BD4&lt;'Get Started'!$G65,0,OFFSET(BD222,0,-1*'Get Started'!$G65)*'Get Started'!$G86/'Get Started'!$G82),0)</f>
        <v>0</v>
      </c>
      <c r="BE227" s="90">
        <f ca="1">IFERROR(IF(BE4&lt;'Get Started'!$G55,0,OFFSET(BE222,0,-1*'Get Started'!$G55)*'Get Started'!$G84/'Get Started'!$G82),0)+IFERROR(IF(BE4&lt;'Get Started'!$G65,0,OFFSET(BE222,0,-1*'Get Started'!$G65)*'Get Started'!$G86/'Get Started'!$G82),0)</f>
        <v>0</v>
      </c>
      <c r="BF227" s="90">
        <f ca="1">IFERROR(IF(BF4&lt;'Get Started'!$G55,0,OFFSET(BF222,0,-1*'Get Started'!$G55)*'Get Started'!$G84/'Get Started'!$G82),0)+IFERROR(IF(BF4&lt;'Get Started'!$G65,0,OFFSET(BF222,0,-1*'Get Started'!$G65)*'Get Started'!$G86/'Get Started'!$G82),0)</f>
        <v>0</v>
      </c>
      <c r="BG227" s="90">
        <f ca="1">IFERROR(IF(BG4&lt;'Get Started'!$G55,0,OFFSET(BG222,0,-1*'Get Started'!$G55)*'Get Started'!$G84/'Get Started'!$G82),0)+IFERROR(IF(BG4&lt;'Get Started'!$G65,0,OFFSET(BG222,0,-1*'Get Started'!$G65)*'Get Started'!$G86/'Get Started'!$G82),0)</f>
        <v>0</v>
      </c>
      <c r="BH227" s="90">
        <f ca="1">IFERROR(IF(BH4&lt;'Get Started'!$G55,0,OFFSET(BH222,0,-1*'Get Started'!$G55)*'Get Started'!$G84/'Get Started'!$G82),0)+IFERROR(IF(BH4&lt;'Get Started'!$G65,0,OFFSET(BH222,0,-1*'Get Started'!$G65)*'Get Started'!$G86/'Get Started'!$G82),0)</f>
        <v>0</v>
      </c>
      <c r="BI227" s="90">
        <f ca="1">IFERROR(IF(BI4&lt;'Get Started'!$G55,0,OFFSET(BI222,0,-1*'Get Started'!$G55)*'Get Started'!$G84/'Get Started'!$G82),0)+IFERROR(IF(BI4&lt;'Get Started'!$G65,0,OFFSET(BI222,0,-1*'Get Started'!$G65)*'Get Started'!$G86/'Get Started'!$G82),0)</f>
        <v>0</v>
      </c>
      <c r="BJ227" s="90">
        <f ca="1">IFERROR(IF(BJ4&lt;'Get Started'!$G55,0,OFFSET(BJ222,0,-1*'Get Started'!$G55)*'Get Started'!$G84/'Get Started'!$G82),0)+IFERROR(IF(BJ4&lt;'Get Started'!$G65,0,OFFSET(BJ222,0,-1*'Get Started'!$G65)*'Get Started'!$G86/'Get Started'!$G82),0)</f>
        <v>0</v>
      </c>
      <c r="BK227" s="90">
        <f ca="1">IFERROR(IF(BK4&lt;'Get Started'!$G55,0,OFFSET(BK222,0,-1*'Get Started'!$G55)*'Get Started'!$G84/'Get Started'!$G82),0)+IFERROR(IF(BK4&lt;'Get Started'!$G65,0,OFFSET(BK222,0,-1*'Get Started'!$G65)*'Get Started'!$G86/'Get Started'!$G82),0)</f>
        <v>0</v>
      </c>
      <c r="BL227" s="90">
        <f ca="1">IFERROR(IF(BL4&lt;'Get Started'!$G55,0,OFFSET(BL222,0,-1*'Get Started'!$G55)*'Get Started'!$G84/'Get Started'!$G82),0)+IFERROR(IF(BL4&lt;'Get Started'!$G65,0,OFFSET(BL222,0,-1*'Get Started'!$G65)*'Get Started'!$G86/'Get Started'!$G82),0)</f>
        <v>0</v>
      </c>
      <c r="BM227" s="90">
        <f ca="1">IFERROR(IF(BM4&lt;'Get Started'!$G55,0,OFFSET(BM222,0,-1*'Get Started'!$G55)*'Get Started'!$G84/'Get Started'!$G82),0)+IFERROR(IF(BM4&lt;'Get Started'!$G65,0,OFFSET(BM222,0,-1*'Get Started'!$G65)*'Get Started'!$G86/'Get Started'!$G82),0)</f>
        <v>0</v>
      </c>
      <c r="BN227" s="90">
        <f ca="1">IFERROR(IF(BN4&lt;'Get Started'!$G55,0,OFFSET(BN222,0,-1*'Get Started'!$G55)*'Get Started'!$G84/'Get Started'!$G82),0)+IFERROR(IF(BN4&lt;'Get Started'!$G65,0,OFFSET(BN222,0,-1*'Get Started'!$G65)*'Get Started'!$G86/'Get Started'!$G82),0)</f>
        <v>0</v>
      </c>
      <c r="BO227" s="90">
        <f ca="1">IFERROR(IF(BO4&lt;'Get Started'!$G55,0,OFFSET(BO222,0,-1*'Get Started'!$G55)*'Get Started'!$G84/'Get Started'!$G82),0)+IFERROR(IF(BO4&lt;'Get Started'!$G65,0,OFFSET(BO222,0,-1*'Get Started'!$G65)*'Get Started'!$G86/'Get Started'!$G82),0)</f>
        <v>0</v>
      </c>
      <c r="BP227" s="90">
        <f ca="1">IFERROR(IF(BP4&lt;'Get Started'!$G55,0,OFFSET(BP222,0,-1*'Get Started'!$G55)*'Get Started'!$G84/'Get Started'!$G82),0)+IFERROR(IF(BP4&lt;'Get Started'!$G65,0,OFFSET(BP222,0,-1*'Get Started'!$G65)*'Get Started'!$G86/'Get Started'!$G82),0)</f>
        <v>0</v>
      </c>
      <c r="BQ227" s="90">
        <f ca="1">IFERROR(IF(BQ4&lt;'Get Started'!$G55,0,OFFSET(BQ222,0,-1*'Get Started'!$G55)*'Get Started'!$G84/'Get Started'!$G82),0)+IFERROR(IF(BQ4&lt;'Get Started'!$G65,0,OFFSET(BQ222,0,-1*'Get Started'!$G65)*'Get Started'!$G86/'Get Started'!$G82),0)</f>
        <v>0</v>
      </c>
      <c r="BR227" s="90">
        <f ca="1">IFERROR(IF(BR4&lt;'Get Started'!$G55,0,OFFSET(BR222,0,-1*'Get Started'!$G55)*'Get Started'!$G84/'Get Started'!$G82),0)+IFERROR(IF(BR4&lt;'Get Started'!$G65,0,OFFSET(BR222,0,-1*'Get Started'!$G65)*'Get Started'!$G86/'Get Started'!$G82),0)</f>
        <v>0</v>
      </c>
      <c r="BS227" s="90">
        <f ca="1">IFERROR(IF(BS4&lt;'Get Started'!$G55,0,OFFSET(BS222,0,-1*'Get Started'!$G55)*'Get Started'!$G84/'Get Started'!$G82),0)+IFERROR(IF(BS4&lt;'Get Started'!$G65,0,OFFSET(BS222,0,-1*'Get Started'!$G65)*'Get Started'!$G86/'Get Started'!$G82),0)</f>
        <v>0</v>
      </c>
      <c r="BT227" s="90">
        <f ca="1">IFERROR(IF(BT4&lt;'Get Started'!$G55,0,OFFSET(BT222,0,-1*'Get Started'!$G55)*'Get Started'!$G84/'Get Started'!$G82),0)+IFERROR(IF(BT4&lt;'Get Started'!$G65,0,OFFSET(BT222,0,-1*'Get Started'!$G65)*'Get Started'!$G86/'Get Started'!$G82),0)</f>
        <v>0</v>
      </c>
      <c r="BU227" s="90">
        <f ca="1">IFERROR(IF(BU4&lt;'Get Started'!$G55,0,OFFSET(BU222,0,-1*'Get Started'!$G55)*'Get Started'!$G84/'Get Started'!$G82),0)+IFERROR(IF(BU4&lt;'Get Started'!$G65,0,OFFSET(BU222,0,-1*'Get Started'!$G65)*'Get Started'!$G86/'Get Started'!$G82),0)</f>
        <v>0</v>
      </c>
      <c r="BV227" s="90">
        <f ca="1">IFERROR(IF(BV4&lt;'Get Started'!$G55,0,OFFSET(BV222,0,-1*'Get Started'!$G55)*'Get Started'!$G84/'Get Started'!$G82),0)+IFERROR(IF(BV4&lt;'Get Started'!$G65,0,OFFSET(BV222,0,-1*'Get Started'!$G65)*'Get Started'!$G86/'Get Started'!$G82),0)</f>
        <v>0</v>
      </c>
      <c r="BW227" s="90">
        <f ca="1">IFERROR(IF(BW4&lt;'Get Started'!$G55,0,OFFSET(BW222,0,-1*'Get Started'!$G55)*'Get Started'!$G84/'Get Started'!$G82),0)+IFERROR(IF(BW4&lt;'Get Started'!$G65,0,OFFSET(BW222,0,-1*'Get Started'!$G65)*'Get Started'!$G86/'Get Started'!$G82),0)</f>
        <v>0</v>
      </c>
      <c r="BX227" s="90">
        <f ca="1">IFERROR(IF(BX4&lt;'Get Started'!$G55,0,OFFSET(BX222,0,-1*'Get Started'!$G55)*'Get Started'!$G84/'Get Started'!$G82),0)+IFERROR(IF(BX4&lt;'Get Started'!$G65,0,OFFSET(BX222,0,-1*'Get Started'!$G65)*'Get Started'!$G86/'Get Started'!$G82),0)</f>
        <v>0</v>
      </c>
      <c r="BY227" s="90">
        <f ca="1">IFERROR(IF(BY4&lt;'Get Started'!$G55,0,OFFSET(BY222,0,-1*'Get Started'!$G55)*'Get Started'!$G84/'Get Started'!$G82),0)+IFERROR(IF(BY4&lt;'Get Started'!$G65,0,OFFSET(BY222,0,-1*'Get Started'!$G65)*'Get Started'!$G86/'Get Started'!$G82),0)</f>
        <v>0</v>
      </c>
      <c r="BZ227" s="90">
        <f ca="1">IFERROR(IF(BZ4&lt;'Get Started'!$G55,0,OFFSET(BZ222,0,-1*'Get Started'!$G55)*'Get Started'!$G84/'Get Started'!$G82),0)+IFERROR(IF(BZ4&lt;'Get Started'!$G65,0,OFFSET(BZ222,0,-1*'Get Started'!$G65)*'Get Started'!$G86/'Get Started'!$G82),0)</f>
        <v>0</v>
      </c>
      <c r="CA227" s="90">
        <f ca="1">IFERROR(IF(CA4&lt;'Get Started'!$G55,0,OFFSET(CA222,0,-1*'Get Started'!$G55)*'Get Started'!$G84/'Get Started'!$G82),0)+IFERROR(IF(CA4&lt;'Get Started'!$G65,0,OFFSET(CA222,0,-1*'Get Started'!$G65)*'Get Started'!$G86/'Get Started'!$G82),0)</f>
        <v>0</v>
      </c>
      <c r="CB227" s="90">
        <f ca="1">IFERROR(IF(CB4&lt;'Get Started'!$G55,0,OFFSET(CB222,0,-1*'Get Started'!$G55)*'Get Started'!$G84/'Get Started'!$G82),0)+IFERROR(IF(CB4&lt;'Get Started'!$G65,0,OFFSET(CB222,0,-1*'Get Started'!$G65)*'Get Started'!$G86/'Get Started'!$G82),0)</f>
        <v>0</v>
      </c>
      <c r="CC227" s="90">
        <f ca="1">IFERROR(IF(CC4&lt;'Get Started'!$G55,0,OFFSET(CC222,0,-1*'Get Started'!$G55)*'Get Started'!$G84/'Get Started'!$G82),0)+IFERROR(IF(CC4&lt;'Get Started'!$G65,0,OFFSET(CC222,0,-1*'Get Started'!$G65)*'Get Started'!$G86/'Get Started'!$G82),0)</f>
        <v>0</v>
      </c>
      <c r="CD227" s="90">
        <f ca="1">IFERROR(IF(CD4&lt;'Get Started'!$G55,0,OFFSET(CD222,0,-1*'Get Started'!$G55)*'Get Started'!$G84/'Get Started'!$G82),0)+IFERROR(IF(CD4&lt;'Get Started'!$G65,0,OFFSET(CD222,0,-1*'Get Started'!$G65)*'Get Started'!$G86/'Get Started'!$G82),0)</f>
        <v>0</v>
      </c>
      <c r="CE227" s="90">
        <f ca="1">IFERROR(IF(CE4&lt;'Get Started'!$G55,0,OFFSET(CE222,0,-1*'Get Started'!$G55)*'Get Started'!$G84/'Get Started'!$G82),0)+IFERROR(IF(CE4&lt;'Get Started'!$G65,0,OFFSET(CE222,0,-1*'Get Started'!$G65)*'Get Started'!$G86/'Get Started'!$G82),0)</f>
        <v>0</v>
      </c>
      <c r="CF227" s="90">
        <f ca="1">IFERROR(IF(CF4&lt;'Get Started'!$G55,0,OFFSET(CF222,0,-1*'Get Started'!$G55)*'Get Started'!$G84/'Get Started'!$G82),0)+IFERROR(IF(CF4&lt;'Get Started'!$G65,0,OFFSET(CF222,0,-1*'Get Started'!$G65)*'Get Started'!$G86/'Get Started'!$G82),0)</f>
        <v>0</v>
      </c>
      <c r="CG227" s="90">
        <f ca="1">IFERROR(IF(CG4&lt;'Get Started'!$G55,0,OFFSET(CG222,0,-1*'Get Started'!$G55)*'Get Started'!$G84/'Get Started'!$G82),0)+IFERROR(IF(CG4&lt;'Get Started'!$G65,0,OFFSET(CG222,0,-1*'Get Started'!$G65)*'Get Started'!$G86/'Get Started'!$G82),0)</f>
        <v>0</v>
      </c>
      <c r="CH227" s="90">
        <f ca="1">IFERROR(IF(CH4&lt;'Get Started'!$G55,0,OFFSET(CH222,0,-1*'Get Started'!$G55)*'Get Started'!$G84/'Get Started'!$G82),0)+IFERROR(IF(CH4&lt;'Get Started'!$G65,0,OFFSET(CH222,0,-1*'Get Started'!$G65)*'Get Started'!$G86/'Get Started'!$G82),0)</f>
        <v>0</v>
      </c>
    </row>
    <row r="228" spans="1:86" ht="13" outlineLevel="1">
      <c r="A228" s="13"/>
      <c r="B228" s="13" t="s">
        <v>329</v>
      </c>
      <c r="C228" s="13"/>
      <c r="D228" s="13" t="s">
        <v>238</v>
      </c>
      <c r="E228" s="88">
        <f t="shared" ca="1" si="172"/>
        <v>0</v>
      </c>
      <c r="F228" s="48"/>
      <c r="G228" s="90">
        <f ca="1">IFERROR(IF(G4&lt;'Get Started'!$H55,0,OFFSET(G223,0,-1*'Get Started'!$H55)*'Get Started'!$H84/'Get Started'!$H82),0)+IFERROR(IF(G4&lt;'Get Started'!$H65,0,OFFSET(G223,0,-1*'Get Started'!$H65)*'Get Started'!$H86/'Get Started'!$H82),0)</f>
        <v>0</v>
      </c>
      <c r="H228" s="90">
        <f ca="1">IFERROR(IF(H4&lt;'Get Started'!$H55,0,OFFSET(H223,0,-1*'Get Started'!$H55)*'Get Started'!$H84/'Get Started'!$H82),0)+IFERROR(IF(H4&lt;'Get Started'!$H65,0,OFFSET(H223,0,-1*'Get Started'!$H65)*'Get Started'!$H86/'Get Started'!$H82),0)</f>
        <v>0</v>
      </c>
      <c r="I228" s="90">
        <f ca="1">IFERROR(IF(I4&lt;'Get Started'!$H55,0,OFFSET(I223,0,-1*'Get Started'!$H55)*'Get Started'!$H84/'Get Started'!$H82),0)+IFERROR(IF(I4&lt;'Get Started'!$H65,0,OFFSET(I223,0,-1*'Get Started'!$H65)*'Get Started'!$H86/'Get Started'!$H82),0)</f>
        <v>0</v>
      </c>
      <c r="J228" s="90">
        <f ca="1">IFERROR(IF(J4&lt;'Get Started'!$H55,0,OFFSET(J223,0,-1*'Get Started'!$H55)*'Get Started'!$H84/'Get Started'!$H82),0)+IFERROR(IF(J4&lt;'Get Started'!$H65,0,OFFSET(J223,0,-1*'Get Started'!$H65)*'Get Started'!$H86/'Get Started'!$H82),0)</f>
        <v>0</v>
      </c>
      <c r="K228" s="90">
        <f ca="1">IFERROR(IF(K4&lt;'Get Started'!$H55,0,OFFSET(K223,0,-1*'Get Started'!$H55)*'Get Started'!$H84/'Get Started'!$H82),0)+IFERROR(IF(K4&lt;'Get Started'!$H65,0,OFFSET(K223,0,-1*'Get Started'!$H65)*'Get Started'!$H86/'Get Started'!$H82),0)</f>
        <v>0</v>
      </c>
      <c r="L228" s="90">
        <f ca="1">IFERROR(IF(L4&lt;'Get Started'!$H55,0,OFFSET(L223,0,-1*'Get Started'!$H55)*'Get Started'!$H84/'Get Started'!$H82),0)+IFERROR(IF(L4&lt;'Get Started'!$H65,0,OFFSET(L223,0,-1*'Get Started'!$H65)*'Get Started'!$H86/'Get Started'!$H82),0)</f>
        <v>0</v>
      </c>
      <c r="M228" s="90">
        <f ca="1">IFERROR(IF(M4&lt;'Get Started'!$H55,0,OFFSET(M223,0,-1*'Get Started'!$H55)*'Get Started'!$H84/'Get Started'!$H82),0)+IFERROR(IF(M4&lt;'Get Started'!$H65,0,OFFSET(M223,0,-1*'Get Started'!$H65)*'Get Started'!$H86/'Get Started'!$H82),0)</f>
        <v>0</v>
      </c>
      <c r="N228" s="90">
        <f ca="1">IFERROR(IF(N4&lt;'Get Started'!$H55,0,OFFSET(N223,0,-1*'Get Started'!$H55)*'Get Started'!$H84/'Get Started'!$H82),0)+IFERROR(IF(N4&lt;'Get Started'!$H65,0,OFFSET(N223,0,-1*'Get Started'!$H65)*'Get Started'!$H86/'Get Started'!$H82),0)</f>
        <v>0</v>
      </c>
      <c r="O228" s="90">
        <f ca="1">IFERROR(IF(O4&lt;'Get Started'!$H55,0,OFFSET(O223,0,-1*'Get Started'!$H55)*'Get Started'!$H84/'Get Started'!$H82),0)+IFERROR(IF(O4&lt;'Get Started'!$H65,0,OFFSET(O223,0,-1*'Get Started'!$H65)*'Get Started'!$H86/'Get Started'!$H82),0)</f>
        <v>0</v>
      </c>
      <c r="P228" s="90">
        <f ca="1">IFERROR(IF(P4&lt;'Get Started'!$H55,0,OFFSET(P223,0,-1*'Get Started'!$H55)*'Get Started'!$H84/'Get Started'!$H82),0)+IFERROR(IF(P4&lt;'Get Started'!$H65,0,OFFSET(P223,0,-1*'Get Started'!$H65)*'Get Started'!$H86/'Get Started'!$H82),0)</f>
        <v>0</v>
      </c>
      <c r="Q228" s="90">
        <f ca="1">IFERROR(IF(Q4&lt;'Get Started'!$H55,0,OFFSET(Q223,0,-1*'Get Started'!$H55)*'Get Started'!$H84/'Get Started'!$H82),0)+IFERROR(IF(Q4&lt;'Get Started'!$H65,0,OFFSET(Q223,0,-1*'Get Started'!$H65)*'Get Started'!$H86/'Get Started'!$H82),0)</f>
        <v>0</v>
      </c>
      <c r="R228" s="90">
        <f ca="1">IFERROR(IF(R4&lt;'Get Started'!$H55,0,OFFSET(R223,0,-1*'Get Started'!$H55)*'Get Started'!$H84/'Get Started'!$H82),0)+IFERROR(IF(R4&lt;'Get Started'!$H65,0,OFFSET(R223,0,-1*'Get Started'!$H65)*'Get Started'!$H86/'Get Started'!$H82),0)</f>
        <v>0</v>
      </c>
      <c r="S228" s="90">
        <f ca="1">IFERROR(IF(S4&lt;'Get Started'!$H55,0,OFFSET(S223,0,-1*'Get Started'!$H55)*'Get Started'!$H84/'Get Started'!$H82),0)+IFERROR(IF(S4&lt;'Get Started'!$H65,0,OFFSET(S223,0,-1*'Get Started'!$H65)*'Get Started'!$H86/'Get Started'!$H82),0)</f>
        <v>0</v>
      </c>
      <c r="T228" s="90">
        <f ca="1">IFERROR(IF(T4&lt;'Get Started'!$H55,0,OFFSET(T223,0,-1*'Get Started'!$H55)*'Get Started'!$H84/'Get Started'!$H82),0)+IFERROR(IF(T4&lt;'Get Started'!$H65,0,OFFSET(T223,0,-1*'Get Started'!$H65)*'Get Started'!$H86/'Get Started'!$H82),0)</f>
        <v>0</v>
      </c>
      <c r="U228" s="90">
        <f ca="1">IFERROR(IF(U4&lt;'Get Started'!$H55,0,OFFSET(U223,0,-1*'Get Started'!$H55)*'Get Started'!$H84/'Get Started'!$H82),0)+IFERROR(IF(U4&lt;'Get Started'!$H65,0,OFFSET(U223,0,-1*'Get Started'!$H65)*'Get Started'!$H86/'Get Started'!$H82),0)</f>
        <v>0</v>
      </c>
      <c r="V228" s="90">
        <f ca="1">IFERROR(IF(V4&lt;'Get Started'!$H55,0,OFFSET(V223,0,-1*'Get Started'!$H55)*'Get Started'!$H84/'Get Started'!$H82),0)+IFERROR(IF(V4&lt;'Get Started'!$H65,0,OFFSET(V223,0,-1*'Get Started'!$H65)*'Get Started'!$H86/'Get Started'!$H82),0)</f>
        <v>0</v>
      </c>
      <c r="W228" s="90">
        <f ca="1">IFERROR(IF(W4&lt;'Get Started'!$H55,0,OFFSET(W223,0,-1*'Get Started'!$H55)*'Get Started'!$H84/'Get Started'!$H82),0)+IFERROR(IF(W4&lt;'Get Started'!$H65,0,OFFSET(W223,0,-1*'Get Started'!$H65)*'Get Started'!$H86/'Get Started'!$H82),0)</f>
        <v>0</v>
      </c>
      <c r="X228" s="90">
        <f ca="1">IFERROR(IF(X4&lt;'Get Started'!$H55,0,OFFSET(X223,0,-1*'Get Started'!$H55)*'Get Started'!$H84/'Get Started'!$H82),0)+IFERROR(IF(X4&lt;'Get Started'!$H65,0,OFFSET(X223,0,-1*'Get Started'!$H65)*'Get Started'!$H86/'Get Started'!$H82),0)</f>
        <v>0</v>
      </c>
      <c r="Y228" s="90">
        <f ca="1">IFERROR(IF(Y4&lt;'Get Started'!$H55,0,OFFSET(Y223,0,-1*'Get Started'!$H55)*'Get Started'!$H84/'Get Started'!$H82),0)+IFERROR(IF(Y4&lt;'Get Started'!$H65,0,OFFSET(Y223,0,-1*'Get Started'!$H65)*'Get Started'!$H86/'Get Started'!$H82),0)</f>
        <v>0</v>
      </c>
      <c r="Z228" s="90">
        <f ca="1">IFERROR(IF(Z4&lt;'Get Started'!$H55,0,OFFSET(Z223,0,-1*'Get Started'!$H55)*'Get Started'!$H84/'Get Started'!$H82),0)+IFERROR(IF(Z4&lt;'Get Started'!$H65,0,OFFSET(Z223,0,-1*'Get Started'!$H65)*'Get Started'!$H86/'Get Started'!$H82),0)</f>
        <v>0</v>
      </c>
      <c r="AA228" s="90">
        <f ca="1">IFERROR(IF(AA4&lt;'Get Started'!$H55,0,OFFSET(AA223,0,-1*'Get Started'!$H55)*'Get Started'!$H84/'Get Started'!$H82),0)+IFERROR(IF(AA4&lt;'Get Started'!$H65,0,OFFSET(AA223,0,-1*'Get Started'!$H65)*'Get Started'!$H86/'Get Started'!$H82),0)</f>
        <v>0</v>
      </c>
      <c r="AB228" s="90">
        <f ca="1">IFERROR(IF(AB4&lt;'Get Started'!$H55,0,OFFSET(AB223,0,-1*'Get Started'!$H55)*'Get Started'!$H84/'Get Started'!$H82),0)+IFERROR(IF(AB4&lt;'Get Started'!$H65,0,OFFSET(AB223,0,-1*'Get Started'!$H65)*'Get Started'!$H86/'Get Started'!$H82),0)</f>
        <v>0</v>
      </c>
      <c r="AC228" s="90">
        <f ca="1">IFERROR(IF(AC4&lt;'Get Started'!$H55,0,OFFSET(AC223,0,-1*'Get Started'!$H55)*'Get Started'!$H84/'Get Started'!$H82),0)+IFERROR(IF(AC4&lt;'Get Started'!$H65,0,OFFSET(AC223,0,-1*'Get Started'!$H65)*'Get Started'!$H86/'Get Started'!$H82),0)</f>
        <v>0</v>
      </c>
      <c r="AD228" s="90">
        <f ca="1">IFERROR(IF(AD4&lt;'Get Started'!$H55,0,OFFSET(AD223,0,-1*'Get Started'!$H55)*'Get Started'!$H84/'Get Started'!$H82),0)+IFERROR(IF(AD4&lt;'Get Started'!$H65,0,OFFSET(AD223,0,-1*'Get Started'!$H65)*'Get Started'!$H86/'Get Started'!$H82),0)</f>
        <v>0</v>
      </c>
      <c r="AE228" s="90">
        <f ca="1">IFERROR(IF(AE4&lt;'Get Started'!$H55,0,OFFSET(AE223,0,-1*'Get Started'!$H55)*'Get Started'!$H84/'Get Started'!$H82),0)+IFERROR(IF(AE4&lt;'Get Started'!$H65,0,OFFSET(AE223,0,-1*'Get Started'!$H65)*'Get Started'!$H86/'Get Started'!$H82),0)</f>
        <v>0</v>
      </c>
      <c r="AF228" s="90">
        <f ca="1">IFERROR(IF(AF4&lt;'Get Started'!$H55,0,OFFSET(AF223,0,-1*'Get Started'!$H55)*'Get Started'!$H84/'Get Started'!$H82),0)+IFERROR(IF(AF4&lt;'Get Started'!$H65,0,OFFSET(AF223,0,-1*'Get Started'!$H65)*'Get Started'!$H86/'Get Started'!$H82),0)</f>
        <v>0</v>
      </c>
      <c r="AG228" s="90">
        <f ca="1">IFERROR(IF(AG4&lt;'Get Started'!$H55,0,OFFSET(AG223,0,-1*'Get Started'!$H55)*'Get Started'!$H84/'Get Started'!$H82),0)+IFERROR(IF(AG4&lt;'Get Started'!$H65,0,OFFSET(AG223,0,-1*'Get Started'!$H65)*'Get Started'!$H86/'Get Started'!$H82),0)</f>
        <v>0</v>
      </c>
      <c r="AH228" s="90">
        <f ca="1">IFERROR(IF(AH4&lt;'Get Started'!$H55,0,OFFSET(AH223,0,-1*'Get Started'!$H55)*'Get Started'!$H84/'Get Started'!$H82),0)+IFERROR(IF(AH4&lt;'Get Started'!$H65,0,OFFSET(AH223,0,-1*'Get Started'!$H65)*'Get Started'!$H86/'Get Started'!$H82),0)</f>
        <v>0</v>
      </c>
      <c r="AI228" s="90">
        <f ca="1">IFERROR(IF(AI4&lt;'Get Started'!$H55,0,OFFSET(AI223,0,-1*'Get Started'!$H55)*'Get Started'!$H84/'Get Started'!$H82),0)+IFERROR(IF(AI4&lt;'Get Started'!$H65,0,OFFSET(AI223,0,-1*'Get Started'!$H65)*'Get Started'!$H86/'Get Started'!$H82),0)</f>
        <v>0</v>
      </c>
      <c r="AJ228" s="90">
        <f ca="1">IFERROR(IF(AJ4&lt;'Get Started'!$H55,0,OFFSET(AJ223,0,-1*'Get Started'!$H55)*'Get Started'!$H84/'Get Started'!$H82),0)+IFERROR(IF(AJ4&lt;'Get Started'!$H65,0,OFFSET(AJ223,0,-1*'Get Started'!$H65)*'Get Started'!$H86/'Get Started'!$H82),0)</f>
        <v>0</v>
      </c>
      <c r="AK228" s="90">
        <f ca="1">IFERROR(IF(AK4&lt;'Get Started'!$H55,0,OFFSET(AK223,0,-1*'Get Started'!$H55)*'Get Started'!$H84/'Get Started'!$H82),0)+IFERROR(IF(AK4&lt;'Get Started'!$H65,0,OFFSET(AK223,0,-1*'Get Started'!$H65)*'Get Started'!$H86/'Get Started'!$H82),0)</f>
        <v>0</v>
      </c>
      <c r="AL228" s="90">
        <f ca="1">IFERROR(IF(AL4&lt;'Get Started'!$H55,0,OFFSET(AL223,0,-1*'Get Started'!$H55)*'Get Started'!$H84/'Get Started'!$H82),0)+IFERROR(IF(AL4&lt;'Get Started'!$H65,0,OFFSET(AL223,0,-1*'Get Started'!$H65)*'Get Started'!$H86/'Get Started'!$H82),0)</f>
        <v>0</v>
      </c>
      <c r="AM228" s="90">
        <f ca="1">IFERROR(IF(AM4&lt;'Get Started'!$H55,0,OFFSET(AM223,0,-1*'Get Started'!$H55)*'Get Started'!$H84/'Get Started'!$H82),0)+IFERROR(IF(AM4&lt;'Get Started'!$H65,0,OFFSET(AM223,0,-1*'Get Started'!$H65)*'Get Started'!$H86/'Get Started'!$H82),0)</f>
        <v>0</v>
      </c>
      <c r="AN228" s="90">
        <f ca="1">IFERROR(IF(AN4&lt;'Get Started'!$H55,0,OFFSET(AN223,0,-1*'Get Started'!$H55)*'Get Started'!$H84/'Get Started'!$H82),0)+IFERROR(IF(AN4&lt;'Get Started'!$H65,0,OFFSET(AN223,0,-1*'Get Started'!$H65)*'Get Started'!$H86/'Get Started'!$H82),0)</f>
        <v>0</v>
      </c>
      <c r="AO228" s="90">
        <f ca="1">IFERROR(IF(AO4&lt;'Get Started'!$H55,0,OFFSET(AO223,0,-1*'Get Started'!$H55)*'Get Started'!$H84/'Get Started'!$H82),0)+IFERROR(IF(AO4&lt;'Get Started'!$H65,0,OFFSET(AO223,0,-1*'Get Started'!$H65)*'Get Started'!$H86/'Get Started'!$H82),0)</f>
        <v>0</v>
      </c>
      <c r="AP228" s="90">
        <f ca="1">IFERROR(IF(AP4&lt;'Get Started'!$H55,0,OFFSET(AP223,0,-1*'Get Started'!$H55)*'Get Started'!$H84/'Get Started'!$H82),0)+IFERROR(IF(AP4&lt;'Get Started'!$H65,0,OFFSET(AP223,0,-1*'Get Started'!$H65)*'Get Started'!$H86/'Get Started'!$H82),0)</f>
        <v>0</v>
      </c>
      <c r="AQ228" s="90">
        <f ca="1">IFERROR(IF(AQ4&lt;'Get Started'!$H55,0,OFFSET(AQ223,0,-1*'Get Started'!$H55)*'Get Started'!$H84/'Get Started'!$H82),0)+IFERROR(IF(AQ4&lt;'Get Started'!$H65,0,OFFSET(AQ223,0,-1*'Get Started'!$H65)*'Get Started'!$H86/'Get Started'!$H82),0)</f>
        <v>0</v>
      </c>
      <c r="AR228" s="90">
        <f ca="1">IFERROR(IF(AR4&lt;'Get Started'!$H55,0,OFFSET(AR223,0,-1*'Get Started'!$H55)*'Get Started'!$H84/'Get Started'!$H82),0)+IFERROR(IF(AR4&lt;'Get Started'!$H65,0,OFFSET(AR223,0,-1*'Get Started'!$H65)*'Get Started'!$H86/'Get Started'!$H82),0)</f>
        <v>0</v>
      </c>
      <c r="AS228" s="90">
        <f ca="1">IFERROR(IF(AS4&lt;'Get Started'!$H55,0,OFFSET(AS223,0,-1*'Get Started'!$H55)*'Get Started'!$H84/'Get Started'!$H82),0)+IFERROR(IF(AS4&lt;'Get Started'!$H65,0,OFFSET(AS223,0,-1*'Get Started'!$H65)*'Get Started'!$H86/'Get Started'!$H82),0)</f>
        <v>0</v>
      </c>
      <c r="AT228" s="90">
        <f ca="1">IFERROR(IF(AT4&lt;'Get Started'!$H55,0,OFFSET(AT223,0,-1*'Get Started'!$H55)*'Get Started'!$H84/'Get Started'!$H82),0)+IFERROR(IF(AT4&lt;'Get Started'!$H65,0,OFFSET(AT223,0,-1*'Get Started'!$H65)*'Get Started'!$H86/'Get Started'!$H82),0)</f>
        <v>0</v>
      </c>
      <c r="AU228" s="90">
        <f ca="1">IFERROR(IF(AU4&lt;'Get Started'!$H55,0,OFFSET(AU223,0,-1*'Get Started'!$H55)*'Get Started'!$H84/'Get Started'!$H82),0)+IFERROR(IF(AU4&lt;'Get Started'!$H65,0,OFFSET(AU223,0,-1*'Get Started'!$H65)*'Get Started'!$H86/'Get Started'!$H82),0)</f>
        <v>0</v>
      </c>
      <c r="AV228" s="90">
        <f ca="1">IFERROR(IF(AV4&lt;'Get Started'!$H55,0,OFFSET(AV223,0,-1*'Get Started'!$H55)*'Get Started'!$H84/'Get Started'!$H82),0)+IFERROR(IF(AV4&lt;'Get Started'!$H65,0,OFFSET(AV223,0,-1*'Get Started'!$H65)*'Get Started'!$H86/'Get Started'!$H82),0)</f>
        <v>0</v>
      </c>
      <c r="AW228" s="90">
        <f ca="1">IFERROR(IF(AW4&lt;'Get Started'!$H55,0,OFFSET(AW223,0,-1*'Get Started'!$H55)*'Get Started'!$H84/'Get Started'!$H82),0)+IFERROR(IF(AW4&lt;'Get Started'!$H65,0,OFFSET(AW223,0,-1*'Get Started'!$H65)*'Get Started'!$H86/'Get Started'!$H82),0)</f>
        <v>0</v>
      </c>
      <c r="AX228" s="90">
        <f ca="1">IFERROR(IF(AX4&lt;'Get Started'!$H55,0,OFFSET(AX223,0,-1*'Get Started'!$H55)*'Get Started'!$H84/'Get Started'!$H82),0)+IFERROR(IF(AX4&lt;'Get Started'!$H65,0,OFFSET(AX223,0,-1*'Get Started'!$H65)*'Get Started'!$H86/'Get Started'!$H82),0)</f>
        <v>0</v>
      </c>
      <c r="AY228" s="90">
        <f ca="1">IFERROR(IF(AY4&lt;'Get Started'!$H55,0,OFFSET(AY223,0,-1*'Get Started'!$H55)*'Get Started'!$H84/'Get Started'!$H82),0)+IFERROR(IF(AY4&lt;'Get Started'!$H65,0,OFFSET(AY223,0,-1*'Get Started'!$H65)*'Get Started'!$H86/'Get Started'!$H82),0)</f>
        <v>0</v>
      </c>
      <c r="AZ228" s="90">
        <f ca="1">IFERROR(IF(AZ4&lt;'Get Started'!$H55,0,OFFSET(AZ223,0,-1*'Get Started'!$H55)*'Get Started'!$H84/'Get Started'!$H82),0)+IFERROR(IF(AZ4&lt;'Get Started'!$H65,0,OFFSET(AZ223,0,-1*'Get Started'!$H65)*'Get Started'!$H86/'Get Started'!$H82),0)</f>
        <v>0</v>
      </c>
      <c r="BA228" s="90">
        <f ca="1">IFERROR(IF(BA4&lt;'Get Started'!$H55,0,OFFSET(BA223,0,-1*'Get Started'!$H55)*'Get Started'!$H84/'Get Started'!$H82),0)+IFERROR(IF(BA4&lt;'Get Started'!$H65,0,OFFSET(BA223,0,-1*'Get Started'!$H65)*'Get Started'!$H86/'Get Started'!$H82),0)</f>
        <v>0</v>
      </c>
      <c r="BB228" s="90">
        <f ca="1">IFERROR(IF(BB4&lt;'Get Started'!$H55,0,OFFSET(BB223,0,-1*'Get Started'!$H55)*'Get Started'!$H84/'Get Started'!$H82),0)+IFERROR(IF(BB4&lt;'Get Started'!$H65,0,OFFSET(BB223,0,-1*'Get Started'!$H65)*'Get Started'!$H86/'Get Started'!$H82),0)</f>
        <v>0</v>
      </c>
      <c r="BC228" s="90">
        <f ca="1">IFERROR(IF(BC4&lt;'Get Started'!$H55,0,OFFSET(BC223,0,-1*'Get Started'!$H55)*'Get Started'!$H84/'Get Started'!$H82),0)+IFERROR(IF(BC4&lt;'Get Started'!$H65,0,OFFSET(BC223,0,-1*'Get Started'!$H65)*'Get Started'!$H86/'Get Started'!$H82),0)</f>
        <v>0</v>
      </c>
      <c r="BD228" s="90">
        <f ca="1">IFERROR(IF(BD4&lt;'Get Started'!$H55,0,OFFSET(BD223,0,-1*'Get Started'!$H55)*'Get Started'!$H84/'Get Started'!$H82),0)+IFERROR(IF(BD4&lt;'Get Started'!$H65,0,OFFSET(BD223,0,-1*'Get Started'!$H65)*'Get Started'!$H86/'Get Started'!$H82),0)</f>
        <v>0</v>
      </c>
      <c r="BE228" s="90">
        <f ca="1">IFERROR(IF(BE4&lt;'Get Started'!$H55,0,OFFSET(BE223,0,-1*'Get Started'!$H55)*'Get Started'!$H84/'Get Started'!$H82),0)+IFERROR(IF(BE4&lt;'Get Started'!$H65,0,OFFSET(BE223,0,-1*'Get Started'!$H65)*'Get Started'!$H86/'Get Started'!$H82),0)</f>
        <v>0</v>
      </c>
      <c r="BF228" s="90">
        <f ca="1">IFERROR(IF(BF4&lt;'Get Started'!$H55,0,OFFSET(BF223,0,-1*'Get Started'!$H55)*'Get Started'!$H84/'Get Started'!$H82),0)+IFERROR(IF(BF4&lt;'Get Started'!$H65,0,OFFSET(BF223,0,-1*'Get Started'!$H65)*'Get Started'!$H86/'Get Started'!$H82),0)</f>
        <v>0</v>
      </c>
      <c r="BG228" s="90">
        <f ca="1">IFERROR(IF(BG4&lt;'Get Started'!$H55,0,OFFSET(BG223,0,-1*'Get Started'!$H55)*'Get Started'!$H84/'Get Started'!$H82),0)+IFERROR(IF(BG4&lt;'Get Started'!$H65,0,OFFSET(BG223,0,-1*'Get Started'!$H65)*'Get Started'!$H86/'Get Started'!$H82),0)</f>
        <v>0</v>
      </c>
      <c r="BH228" s="90">
        <f ca="1">IFERROR(IF(BH4&lt;'Get Started'!$H55,0,OFFSET(BH223,0,-1*'Get Started'!$H55)*'Get Started'!$H84/'Get Started'!$H82),0)+IFERROR(IF(BH4&lt;'Get Started'!$H65,0,OFFSET(BH223,0,-1*'Get Started'!$H65)*'Get Started'!$H86/'Get Started'!$H82),0)</f>
        <v>0</v>
      </c>
      <c r="BI228" s="90">
        <f ca="1">IFERROR(IF(BI4&lt;'Get Started'!$H55,0,OFFSET(BI223,0,-1*'Get Started'!$H55)*'Get Started'!$H84/'Get Started'!$H82),0)+IFERROR(IF(BI4&lt;'Get Started'!$H65,0,OFFSET(BI223,0,-1*'Get Started'!$H65)*'Get Started'!$H86/'Get Started'!$H82),0)</f>
        <v>0</v>
      </c>
      <c r="BJ228" s="90">
        <f ca="1">IFERROR(IF(BJ4&lt;'Get Started'!$H55,0,OFFSET(BJ223,0,-1*'Get Started'!$H55)*'Get Started'!$H84/'Get Started'!$H82),0)+IFERROR(IF(BJ4&lt;'Get Started'!$H65,0,OFFSET(BJ223,0,-1*'Get Started'!$H65)*'Get Started'!$H86/'Get Started'!$H82),0)</f>
        <v>0</v>
      </c>
      <c r="BK228" s="90">
        <f ca="1">IFERROR(IF(BK4&lt;'Get Started'!$H55,0,OFFSET(BK223,0,-1*'Get Started'!$H55)*'Get Started'!$H84/'Get Started'!$H82),0)+IFERROR(IF(BK4&lt;'Get Started'!$H65,0,OFFSET(BK223,0,-1*'Get Started'!$H65)*'Get Started'!$H86/'Get Started'!$H82),0)</f>
        <v>0</v>
      </c>
      <c r="BL228" s="90">
        <f ca="1">IFERROR(IF(BL4&lt;'Get Started'!$H55,0,OFFSET(BL223,0,-1*'Get Started'!$H55)*'Get Started'!$H84/'Get Started'!$H82),0)+IFERROR(IF(BL4&lt;'Get Started'!$H65,0,OFFSET(BL223,0,-1*'Get Started'!$H65)*'Get Started'!$H86/'Get Started'!$H82),0)</f>
        <v>0</v>
      </c>
      <c r="BM228" s="90">
        <f ca="1">IFERROR(IF(BM4&lt;'Get Started'!$H55,0,OFFSET(BM223,0,-1*'Get Started'!$H55)*'Get Started'!$H84/'Get Started'!$H82),0)+IFERROR(IF(BM4&lt;'Get Started'!$H65,0,OFFSET(BM223,0,-1*'Get Started'!$H65)*'Get Started'!$H86/'Get Started'!$H82),0)</f>
        <v>0</v>
      </c>
      <c r="BN228" s="90">
        <f ca="1">IFERROR(IF(BN4&lt;'Get Started'!$H55,0,OFFSET(BN223,0,-1*'Get Started'!$H55)*'Get Started'!$H84/'Get Started'!$H82),0)+IFERROR(IF(BN4&lt;'Get Started'!$H65,0,OFFSET(BN223,0,-1*'Get Started'!$H65)*'Get Started'!$H86/'Get Started'!$H82),0)</f>
        <v>0</v>
      </c>
      <c r="BO228" s="90">
        <f ca="1">IFERROR(IF(BO4&lt;'Get Started'!$H55,0,OFFSET(BO223,0,-1*'Get Started'!$H55)*'Get Started'!$H84/'Get Started'!$H82),0)+IFERROR(IF(BO4&lt;'Get Started'!$H65,0,OFFSET(BO223,0,-1*'Get Started'!$H65)*'Get Started'!$H86/'Get Started'!$H82),0)</f>
        <v>0</v>
      </c>
      <c r="BP228" s="90">
        <f ca="1">IFERROR(IF(BP4&lt;'Get Started'!$H55,0,OFFSET(BP223,0,-1*'Get Started'!$H55)*'Get Started'!$H84/'Get Started'!$H82),0)+IFERROR(IF(BP4&lt;'Get Started'!$H65,0,OFFSET(BP223,0,-1*'Get Started'!$H65)*'Get Started'!$H86/'Get Started'!$H82),0)</f>
        <v>0</v>
      </c>
      <c r="BQ228" s="90">
        <f ca="1">IFERROR(IF(BQ4&lt;'Get Started'!$H55,0,OFFSET(BQ223,0,-1*'Get Started'!$H55)*'Get Started'!$H84/'Get Started'!$H82),0)+IFERROR(IF(BQ4&lt;'Get Started'!$H65,0,OFFSET(BQ223,0,-1*'Get Started'!$H65)*'Get Started'!$H86/'Get Started'!$H82),0)</f>
        <v>0</v>
      </c>
      <c r="BR228" s="90">
        <f ca="1">IFERROR(IF(BR4&lt;'Get Started'!$H55,0,OFFSET(BR223,0,-1*'Get Started'!$H55)*'Get Started'!$H84/'Get Started'!$H82),0)+IFERROR(IF(BR4&lt;'Get Started'!$H65,0,OFFSET(BR223,0,-1*'Get Started'!$H65)*'Get Started'!$H86/'Get Started'!$H82),0)</f>
        <v>0</v>
      </c>
      <c r="BS228" s="90">
        <f ca="1">IFERROR(IF(BS4&lt;'Get Started'!$H55,0,OFFSET(BS223,0,-1*'Get Started'!$H55)*'Get Started'!$H84/'Get Started'!$H82),0)+IFERROR(IF(BS4&lt;'Get Started'!$H65,0,OFFSET(BS223,0,-1*'Get Started'!$H65)*'Get Started'!$H86/'Get Started'!$H82),0)</f>
        <v>0</v>
      </c>
      <c r="BT228" s="90">
        <f ca="1">IFERROR(IF(BT4&lt;'Get Started'!$H55,0,OFFSET(BT223,0,-1*'Get Started'!$H55)*'Get Started'!$H84/'Get Started'!$H82),0)+IFERROR(IF(BT4&lt;'Get Started'!$H65,0,OFFSET(BT223,0,-1*'Get Started'!$H65)*'Get Started'!$H86/'Get Started'!$H82),0)</f>
        <v>0</v>
      </c>
      <c r="BU228" s="90">
        <f ca="1">IFERROR(IF(BU4&lt;'Get Started'!$H55,0,OFFSET(BU223,0,-1*'Get Started'!$H55)*'Get Started'!$H84/'Get Started'!$H82),0)+IFERROR(IF(BU4&lt;'Get Started'!$H65,0,OFFSET(BU223,0,-1*'Get Started'!$H65)*'Get Started'!$H86/'Get Started'!$H82),0)</f>
        <v>0</v>
      </c>
      <c r="BV228" s="90">
        <f ca="1">IFERROR(IF(BV4&lt;'Get Started'!$H55,0,OFFSET(BV223,0,-1*'Get Started'!$H55)*'Get Started'!$H84/'Get Started'!$H82),0)+IFERROR(IF(BV4&lt;'Get Started'!$H65,0,OFFSET(BV223,0,-1*'Get Started'!$H65)*'Get Started'!$H86/'Get Started'!$H82),0)</f>
        <v>0</v>
      </c>
      <c r="BW228" s="90">
        <f ca="1">IFERROR(IF(BW4&lt;'Get Started'!$H55,0,OFFSET(BW223,0,-1*'Get Started'!$H55)*'Get Started'!$H84/'Get Started'!$H82),0)+IFERROR(IF(BW4&lt;'Get Started'!$H65,0,OFFSET(BW223,0,-1*'Get Started'!$H65)*'Get Started'!$H86/'Get Started'!$H82),0)</f>
        <v>0</v>
      </c>
      <c r="BX228" s="90">
        <f ca="1">IFERROR(IF(BX4&lt;'Get Started'!$H55,0,OFFSET(BX223,0,-1*'Get Started'!$H55)*'Get Started'!$H84/'Get Started'!$H82),0)+IFERROR(IF(BX4&lt;'Get Started'!$H65,0,OFFSET(BX223,0,-1*'Get Started'!$H65)*'Get Started'!$H86/'Get Started'!$H82),0)</f>
        <v>0</v>
      </c>
      <c r="BY228" s="90">
        <f ca="1">IFERROR(IF(BY4&lt;'Get Started'!$H55,0,OFFSET(BY223,0,-1*'Get Started'!$H55)*'Get Started'!$H84/'Get Started'!$H82),0)+IFERROR(IF(BY4&lt;'Get Started'!$H65,0,OFFSET(BY223,0,-1*'Get Started'!$H65)*'Get Started'!$H86/'Get Started'!$H82),0)</f>
        <v>0</v>
      </c>
      <c r="BZ228" s="90">
        <f ca="1">IFERROR(IF(BZ4&lt;'Get Started'!$H55,0,OFFSET(BZ223,0,-1*'Get Started'!$H55)*'Get Started'!$H84/'Get Started'!$H82),0)+IFERROR(IF(BZ4&lt;'Get Started'!$H65,0,OFFSET(BZ223,0,-1*'Get Started'!$H65)*'Get Started'!$H86/'Get Started'!$H82),0)</f>
        <v>0</v>
      </c>
      <c r="CA228" s="90">
        <f ca="1">IFERROR(IF(CA4&lt;'Get Started'!$H55,0,OFFSET(CA223,0,-1*'Get Started'!$H55)*'Get Started'!$H84/'Get Started'!$H82),0)+IFERROR(IF(CA4&lt;'Get Started'!$H65,0,OFFSET(CA223,0,-1*'Get Started'!$H65)*'Get Started'!$H86/'Get Started'!$H82),0)</f>
        <v>0</v>
      </c>
      <c r="CB228" s="90">
        <f ca="1">IFERROR(IF(CB4&lt;'Get Started'!$H55,0,OFFSET(CB223,0,-1*'Get Started'!$H55)*'Get Started'!$H84/'Get Started'!$H82),0)+IFERROR(IF(CB4&lt;'Get Started'!$H65,0,OFFSET(CB223,0,-1*'Get Started'!$H65)*'Get Started'!$H86/'Get Started'!$H82),0)</f>
        <v>0</v>
      </c>
      <c r="CC228" s="90">
        <f ca="1">IFERROR(IF(CC4&lt;'Get Started'!$H55,0,OFFSET(CC223,0,-1*'Get Started'!$H55)*'Get Started'!$H84/'Get Started'!$H82),0)+IFERROR(IF(CC4&lt;'Get Started'!$H65,0,OFFSET(CC223,0,-1*'Get Started'!$H65)*'Get Started'!$H86/'Get Started'!$H82),0)</f>
        <v>0</v>
      </c>
      <c r="CD228" s="90">
        <f ca="1">IFERROR(IF(CD4&lt;'Get Started'!$H55,0,OFFSET(CD223,0,-1*'Get Started'!$H55)*'Get Started'!$H84/'Get Started'!$H82),0)+IFERROR(IF(CD4&lt;'Get Started'!$H65,0,OFFSET(CD223,0,-1*'Get Started'!$H65)*'Get Started'!$H86/'Get Started'!$H82),0)</f>
        <v>0</v>
      </c>
      <c r="CE228" s="90">
        <f ca="1">IFERROR(IF(CE4&lt;'Get Started'!$H55,0,OFFSET(CE223,0,-1*'Get Started'!$H55)*'Get Started'!$H84/'Get Started'!$H82),0)+IFERROR(IF(CE4&lt;'Get Started'!$H65,0,OFFSET(CE223,0,-1*'Get Started'!$H65)*'Get Started'!$H86/'Get Started'!$H82),0)</f>
        <v>0</v>
      </c>
      <c r="CF228" s="90">
        <f ca="1">IFERROR(IF(CF4&lt;'Get Started'!$H55,0,OFFSET(CF223,0,-1*'Get Started'!$H55)*'Get Started'!$H84/'Get Started'!$H82),0)+IFERROR(IF(CF4&lt;'Get Started'!$H65,0,OFFSET(CF223,0,-1*'Get Started'!$H65)*'Get Started'!$H86/'Get Started'!$H82),0)</f>
        <v>0</v>
      </c>
      <c r="CG228" s="90">
        <f ca="1">IFERROR(IF(CG4&lt;'Get Started'!$H55,0,OFFSET(CG223,0,-1*'Get Started'!$H55)*'Get Started'!$H84/'Get Started'!$H82),0)+IFERROR(IF(CG4&lt;'Get Started'!$H65,0,OFFSET(CG223,0,-1*'Get Started'!$H65)*'Get Started'!$H86/'Get Started'!$H82),0)</f>
        <v>0</v>
      </c>
      <c r="CH228" s="90">
        <f ca="1">IFERROR(IF(CH4&lt;'Get Started'!$H55,0,OFFSET(CH223,0,-1*'Get Started'!$H55)*'Get Started'!$H84/'Get Started'!$H82),0)+IFERROR(IF(CH4&lt;'Get Started'!$H65,0,OFFSET(CH223,0,-1*'Get Started'!$H65)*'Get Started'!$H86/'Get Started'!$H82),0)</f>
        <v>0</v>
      </c>
    </row>
    <row r="229" spans="1:86" ht="13" outlineLevel="1">
      <c r="A229" s="13"/>
      <c r="B229" s="13" t="s">
        <v>329</v>
      </c>
      <c r="C229" s="13"/>
      <c r="D229" s="13" t="s">
        <v>238</v>
      </c>
      <c r="E229" s="88">
        <f t="shared" ca="1" si="172"/>
        <v>0</v>
      </c>
      <c r="F229" s="48"/>
      <c r="G229" s="90">
        <f t="shared" ref="G229:CH229" ca="1" si="177">SUM(G225:G228)</f>
        <v>0</v>
      </c>
      <c r="H229" s="90">
        <f t="shared" ca="1" si="177"/>
        <v>0</v>
      </c>
      <c r="I229" s="90">
        <f t="shared" ca="1" si="177"/>
        <v>0</v>
      </c>
      <c r="J229" s="90">
        <f t="shared" ca="1" si="177"/>
        <v>0</v>
      </c>
      <c r="K229" s="90">
        <f t="shared" ca="1" si="177"/>
        <v>0</v>
      </c>
      <c r="L229" s="90">
        <f t="shared" ca="1" si="177"/>
        <v>0</v>
      </c>
      <c r="M229" s="90">
        <f t="shared" ca="1" si="177"/>
        <v>0</v>
      </c>
      <c r="N229" s="90">
        <f t="shared" ca="1" si="177"/>
        <v>0</v>
      </c>
      <c r="O229" s="90">
        <f t="shared" ca="1" si="177"/>
        <v>0</v>
      </c>
      <c r="P229" s="90">
        <f t="shared" ca="1" si="177"/>
        <v>0</v>
      </c>
      <c r="Q229" s="90">
        <f t="shared" ca="1" si="177"/>
        <v>0</v>
      </c>
      <c r="R229" s="90">
        <f t="shared" ca="1" si="177"/>
        <v>0</v>
      </c>
      <c r="S229" s="90">
        <f t="shared" ca="1" si="177"/>
        <v>0</v>
      </c>
      <c r="T229" s="90">
        <f t="shared" ca="1" si="177"/>
        <v>0</v>
      </c>
      <c r="U229" s="90">
        <f t="shared" ca="1" si="177"/>
        <v>0</v>
      </c>
      <c r="V229" s="90">
        <f t="shared" ca="1" si="177"/>
        <v>0</v>
      </c>
      <c r="W229" s="90">
        <f t="shared" ca="1" si="177"/>
        <v>0</v>
      </c>
      <c r="X229" s="90">
        <f t="shared" ca="1" si="177"/>
        <v>0</v>
      </c>
      <c r="Y229" s="90">
        <f t="shared" ca="1" si="177"/>
        <v>0</v>
      </c>
      <c r="Z229" s="90">
        <f t="shared" ca="1" si="177"/>
        <v>0</v>
      </c>
      <c r="AA229" s="90">
        <f t="shared" ca="1" si="177"/>
        <v>0</v>
      </c>
      <c r="AB229" s="90">
        <f t="shared" ca="1" si="177"/>
        <v>0</v>
      </c>
      <c r="AC229" s="90">
        <f t="shared" ca="1" si="177"/>
        <v>0</v>
      </c>
      <c r="AD229" s="90">
        <f t="shared" ca="1" si="177"/>
        <v>0</v>
      </c>
      <c r="AE229" s="90">
        <f t="shared" ca="1" si="177"/>
        <v>0</v>
      </c>
      <c r="AF229" s="90">
        <f t="shared" ca="1" si="177"/>
        <v>0</v>
      </c>
      <c r="AG229" s="90">
        <f t="shared" ca="1" si="177"/>
        <v>0</v>
      </c>
      <c r="AH229" s="90">
        <f t="shared" ca="1" si="177"/>
        <v>0</v>
      </c>
      <c r="AI229" s="90">
        <f t="shared" ca="1" si="177"/>
        <v>0</v>
      </c>
      <c r="AJ229" s="90">
        <f t="shared" ca="1" si="177"/>
        <v>0</v>
      </c>
      <c r="AK229" s="90">
        <f t="shared" ca="1" si="177"/>
        <v>0</v>
      </c>
      <c r="AL229" s="90">
        <f t="shared" ca="1" si="177"/>
        <v>0</v>
      </c>
      <c r="AM229" s="90">
        <f t="shared" ca="1" si="177"/>
        <v>0</v>
      </c>
      <c r="AN229" s="90">
        <f t="shared" ca="1" si="177"/>
        <v>0</v>
      </c>
      <c r="AO229" s="90">
        <f t="shared" ca="1" si="177"/>
        <v>0</v>
      </c>
      <c r="AP229" s="90">
        <f t="shared" ca="1" si="177"/>
        <v>0</v>
      </c>
      <c r="AQ229" s="90">
        <f t="shared" ca="1" si="177"/>
        <v>0</v>
      </c>
      <c r="AR229" s="90">
        <f t="shared" ca="1" si="177"/>
        <v>0</v>
      </c>
      <c r="AS229" s="90">
        <f t="shared" ca="1" si="177"/>
        <v>0</v>
      </c>
      <c r="AT229" s="90">
        <f t="shared" ca="1" si="177"/>
        <v>0</v>
      </c>
      <c r="AU229" s="90">
        <f t="shared" ca="1" si="177"/>
        <v>0</v>
      </c>
      <c r="AV229" s="90">
        <f t="shared" ca="1" si="177"/>
        <v>0</v>
      </c>
      <c r="AW229" s="90">
        <f t="shared" ca="1" si="177"/>
        <v>0</v>
      </c>
      <c r="AX229" s="90">
        <f t="shared" ca="1" si="177"/>
        <v>0</v>
      </c>
      <c r="AY229" s="90">
        <f t="shared" ca="1" si="177"/>
        <v>0</v>
      </c>
      <c r="AZ229" s="90">
        <f t="shared" ca="1" si="177"/>
        <v>0</v>
      </c>
      <c r="BA229" s="90">
        <f t="shared" ca="1" si="177"/>
        <v>0</v>
      </c>
      <c r="BB229" s="90">
        <f t="shared" ca="1" si="177"/>
        <v>0</v>
      </c>
      <c r="BC229" s="90">
        <f t="shared" ca="1" si="177"/>
        <v>0</v>
      </c>
      <c r="BD229" s="90">
        <f t="shared" ca="1" si="177"/>
        <v>0</v>
      </c>
      <c r="BE229" s="90">
        <f t="shared" ca="1" si="177"/>
        <v>0</v>
      </c>
      <c r="BF229" s="90">
        <f t="shared" ca="1" si="177"/>
        <v>0</v>
      </c>
      <c r="BG229" s="90">
        <f t="shared" ca="1" si="177"/>
        <v>0</v>
      </c>
      <c r="BH229" s="90">
        <f t="shared" ca="1" si="177"/>
        <v>0</v>
      </c>
      <c r="BI229" s="90">
        <f t="shared" ca="1" si="177"/>
        <v>0</v>
      </c>
      <c r="BJ229" s="90">
        <f t="shared" ca="1" si="177"/>
        <v>0</v>
      </c>
      <c r="BK229" s="90">
        <f t="shared" ca="1" si="177"/>
        <v>0</v>
      </c>
      <c r="BL229" s="90">
        <f t="shared" ca="1" si="177"/>
        <v>0</v>
      </c>
      <c r="BM229" s="90">
        <f t="shared" ca="1" si="177"/>
        <v>0</v>
      </c>
      <c r="BN229" s="90">
        <f t="shared" ca="1" si="177"/>
        <v>0</v>
      </c>
      <c r="BO229" s="90">
        <f t="shared" ca="1" si="177"/>
        <v>0</v>
      </c>
      <c r="BP229" s="90">
        <f t="shared" ca="1" si="177"/>
        <v>0</v>
      </c>
      <c r="BQ229" s="90">
        <f t="shared" ca="1" si="177"/>
        <v>0</v>
      </c>
      <c r="BR229" s="90">
        <f t="shared" ca="1" si="177"/>
        <v>0</v>
      </c>
      <c r="BS229" s="90">
        <f t="shared" ca="1" si="177"/>
        <v>0</v>
      </c>
      <c r="BT229" s="90">
        <f t="shared" ca="1" si="177"/>
        <v>0</v>
      </c>
      <c r="BU229" s="90">
        <f t="shared" ca="1" si="177"/>
        <v>0</v>
      </c>
      <c r="BV229" s="90">
        <f t="shared" ca="1" si="177"/>
        <v>0</v>
      </c>
      <c r="BW229" s="90">
        <f t="shared" ca="1" si="177"/>
        <v>0</v>
      </c>
      <c r="BX229" s="90">
        <f t="shared" ca="1" si="177"/>
        <v>0</v>
      </c>
      <c r="BY229" s="90">
        <f t="shared" ca="1" si="177"/>
        <v>0</v>
      </c>
      <c r="BZ229" s="90">
        <f t="shared" ca="1" si="177"/>
        <v>0</v>
      </c>
      <c r="CA229" s="90">
        <f t="shared" ca="1" si="177"/>
        <v>0</v>
      </c>
      <c r="CB229" s="90">
        <f t="shared" ca="1" si="177"/>
        <v>0</v>
      </c>
      <c r="CC229" s="90">
        <f t="shared" ca="1" si="177"/>
        <v>0</v>
      </c>
      <c r="CD229" s="90">
        <f t="shared" ca="1" si="177"/>
        <v>0</v>
      </c>
      <c r="CE229" s="90">
        <f t="shared" ca="1" si="177"/>
        <v>0</v>
      </c>
      <c r="CF229" s="90">
        <f t="shared" ca="1" si="177"/>
        <v>0</v>
      </c>
      <c r="CG229" s="90">
        <f t="shared" ca="1" si="177"/>
        <v>0</v>
      </c>
      <c r="CH229" s="90">
        <f t="shared" ca="1" si="177"/>
        <v>0</v>
      </c>
    </row>
    <row r="230" spans="1:86" ht="13" outlineLevel="1">
      <c r="A230" s="13"/>
      <c r="B230" s="13" t="s">
        <v>330</v>
      </c>
      <c r="C230" s="13"/>
      <c r="D230" s="13" t="s">
        <v>238</v>
      </c>
      <c r="E230" s="88">
        <f t="shared" ca="1" si="172"/>
        <v>0.48510000000000009</v>
      </c>
      <c r="F230" s="48"/>
      <c r="G230" s="90">
        <f ca="1">G220*IFERROR('Get Started'!$E42/'Get Started'!$E43,0)</f>
        <v>2.8875000000000005E-2</v>
      </c>
      <c r="H230" s="90">
        <f ca="1">H220*IFERROR('Get Started'!$E42/'Get Started'!$E43,0)</f>
        <v>2.8875000000000005E-2</v>
      </c>
      <c r="I230" s="90">
        <f ca="1">I220*IFERROR('Get Started'!$E42/'Get Started'!$E43,0)</f>
        <v>2.8875000000000005E-2</v>
      </c>
      <c r="J230" s="90">
        <f ca="1">J220*IFERROR('Get Started'!$E42/'Get Started'!$E43,0)</f>
        <v>2.8875000000000005E-2</v>
      </c>
      <c r="K230" s="90">
        <f ca="1">K220*IFERROR('Get Started'!$E42/'Get Started'!$E43,0)</f>
        <v>2.8875000000000005E-2</v>
      </c>
      <c r="L230" s="90">
        <f ca="1">L220*IFERROR('Get Started'!$E42/'Get Started'!$E43,0)</f>
        <v>2.8875000000000005E-2</v>
      </c>
      <c r="M230" s="90">
        <f ca="1">M220*IFERROR('Get Started'!$E42/'Get Started'!$E43,0)</f>
        <v>2.8875000000000005E-2</v>
      </c>
      <c r="N230" s="90">
        <f ca="1">N220*IFERROR('Get Started'!$E42/'Get Started'!$E43,0)</f>
        <v>2.8875000000000005E-2</v>
      </c>
      <c r="O230" s="90">
        <f ca="1">O220*IFERROR('Get Started'!$E42/'Get Started'!$E43,0)</f>
        <v>2.8875000000000005E-2</v>
      </c>
      <c r="P230" s="90">
        <f ca="1">P220*IFERROR('Get Started'!$E42/'Get Started'!$E43,0)</f>
        <v>2.8875000000000005E-2</v>
      </c>
      <c r="Q230" s="90">
        <f ca="1">Q220*IFERROR('Get Started'!$E42/'Get Started'!$E43,0)</f>
        <v>2.8875000000000005E-2</v>
      </c>
      <c r="R230" s="90">
        <f ca="1">R220*IFERROR('Get Started'!$E42/'Get Started'!$E43,0)</f>
        <v>2.8875000000000005E-2</v>
      </c>
      <c r="S230" s="90">
        <f ca="1">S220*IFERROR('Get Started'!$E42/'Get Started'!$E43,0)</f>
        <v>3.4650000000000007E-2</v>
      </c>
      <c r="T230" s="90">
        <f ca="1">T220*IFERROR('Get Started'!$E42/'Get Started'!$E43,0)</f>
        <v>3.4650000000000007E-2</v>
      </c>
      <c r="U230" s="90">
        <f ca="1">U220*IFERROR('Get Started'!$E42/'Get Started'!$E43,0)</f>
        <v>3.4650000000000007E-2</v>
      </c>
      <c r="V230" s="90">
        <f ca="1">V220*IFERROR('Get Started'!$E42/'Get Started'!$E43,0)</f>
        <v>3.4650000000000007E-2</v>
      </c>
      <c r="W230" s="90">
        <f ca="1">W220*IFERROR('Get Started'!$E42/'Get Started'!$E43,0)</f>
        <v>0</v>
      </c>
      <c r="X230" s="90">
        <f ca="1">X220*IFERROR('Get Started'!$E42/'Get Started'!$E43,0)</f>
        <v>0</v>
      </c>
      <c r="Y230" s="90">
        <f ca="1">Y220*IFERROR('Get Started'!$E42/'Get Started'!$E43,0)</f>
        <v>0</v>
      </c>
      <c r="Z230" s="90">
        <f ca="1">Z220*IFERROR('Get Started'!$E42/'Get Started'!$E43,0)</f>
        <v>0</v>
      </c>
      <c r="AA230" s="90">
        <f ca="1">AA220*IFERROR('Get Started'!$E42/'Get Started'!$E43,0)</f>
        <v>0</v>
      </c>
      <c r="AB230" s="90">
        <f ca="1">AB220*IFERROR('Get Started'!$E42/'Get Started'!$E43,0)</f>
        <v>0</v>
      </c>
      <c r="AC230" s="90">
        <f ca="1">AC220*IFERROR('Get Started'!$E42/'Get Started'!$E43,0)</f>
        <v>0</v>
      </c>
      <c r="AD230" s="90">
        <f ca="1">AD220*IFERROR('Get Started'!$E42/'Get Started'!$E43,0)</f>
        <v>0</v>
      </c>
      <c r="AE230" s="90">
        <f ca="1">AE220*IFERROR('Get Started'!$E42/'Get Started'!$E43,0)</f>
        <v>0</v>
      </c>
      <c r="AF230" s="90">
        <f ca="1">AF220*IFERROR('Get Started'!$E42/'Get Started'!$E43,0)</f>
        <v>0</v>
      </c>
      <c r="AG230" s="90">
        <f ca="1">AG220*IFERROR('Get Started'!$E42/'Get Started'!$E43,0)</f>
        <v>0</v>
      </c>
      <c r="AH230" s="90">
        <f ca="1">AH220*IFERROR('Get Started'!$E42/'Get Started'!$E43,0)</f>
        <v>0</v>
      </c>
      <c r="AI230" s="90">
        <f ca="1">AI220*IFERROR('Get Started'!$E42/'Get Started'!$E43,0)</f>
        <v>0</v>
      </c>
      <c r="AJ230" s="90">
        <f ca="1">AJ220*IFERROR('Get Started'!$E42/'Get Started'!$E43,0)</f>
        <v>0</v>
      </c>
      <c r="AK230" s="90">
        <f ca="1">AK220*IFERROR('Get Started'!$E42/'Get Started'!$E43,0)</f>
        <v>0</v>
      </c>
      <c r="AL230" s="90">
        <f ca="1">AL220*IFERROR('Get Started'!$E42/'Get Started'!$E43,0)</f>
        <v>0</v>
      </c>
      <c r="AM230" s="90">
        <f ca="1">AM220*IFERROR('Get Started'!$E42/'Get Started'!$E43,0)</f>
        <v>0</v>
      </c>
      <c r="AN230" s="90">
        <f ca="1">AN220*IFERROR('Get Started'!$E42/'Get Started'!$E43,0)</f>
        <v>0</v>
      </c>
      <c r="AO230" s="90">
        <f ca="1">AO220*IFERROR('Get Started'!$E42/'Get Started'!$E43,0)</f>
        <v>0</v>
      </c>
      <c r="AP230" s="90">
        <f ca="1">AP220*IFERROR('Get Started'!$E42/'Get Started'!$E43,0)</f>
        <v>0</v>
      </c>
      <c r="AQ230" s="90">
        <f ca="1">AQ220*IFERROR('Get Started'!$E42/'Get Started'!$E43,0)</f>
        <v>0</v>
      </c>
      <c r="AR230" s="90">
        <f ca="1">AR220*IFERROR('Get Started'!$E42/'Get Started'!$E43,0)</f>
        <v>0</v>
      </c>
      <c r="AS230" s="90">
        <f ca="1">AS220*IFERROR('Get Started'!$E42/'Get Started'!$E43,0)</f>
        <v>0</v>
      </c>
      <c r="AT230" s="90">
        <f ca="1">AT220*IFERROR('Get Started'!$E42/'Get Started'!$E43,0)</f>
        <v>0</v>
      </c>
      <c r="AU230" s="90">
        <f ca="1">AU220*IFERROR('Get Started'!$E42/'Get Started'!$E43,0)</f>
        <v>0</v>
      </c>
      <c r="AV230" s="90">
        <f ca="1">AV220*IFERROR('Get Started'!$E42/'Get Started'!$E43,0)</f>
        <v>0</v>
      </c>
      <c r="AW230" s="90">
        <f ca="1">AW220*IFERROR('Get Started'!$E42/'Get Started'!$E43,0)</f>
        <v>0</v>
      </c>
      <c r="AX230" s="90">
        <f ca="1">AX220*IFERROR('Get Started'!$E42/'Get Started'!$E43,0)</f>
        <v>0</v>
      </c>
      <c r="AY230" s="90">
        <f ca="1">AY220*IFERROR('Get Started'!$E42/'Get Started'!$E43,0)</f>
        <v>0</v>
      </c>
      <c r="AZ230" s="90">
        <f ca="1">AZ220*IFERROR('Get Started'!$E42/'Get Started'!$E43,0)</f>
        <v>0</v>
      </c>
      <c r="BA230" s="90">
        <f ca="1">BA220*IFERROR('Get Started'!$E42/'Get Started'!$E43,0)</f>
        <v>0</v>
      </c>
      <c r="BB230" s="90">
        <f ca="1">BB220*IFERROR('Get Started'!$E42/'Get Started'!$E43,0)</f>
        <v>0</v>
      </c>
      <c r="BC230" s="90">
        <f ca="1">BC220*IFERROR('Get Started'!$E42/'Get Started'!$E43,0)</f>
        <v>0</v>
      </c>
      <c r="BD230" s="90">
        <f ca="1">BD220*IFERROR('Get Started'!$E42/'Get Started'!$E43,0)</f>
        <v>0</v>
      </c>
      <c r="BE230" s="90">
        <f ca="1">BE220*IFERROR('Get Started'!$E42/'Get Started'!$E43,0)</f>
        <v>0</v>
      </c>
      <c r="BF230" s="90">
        <f ca="1">BF220*IFERROR('Get Started'!$E42/'Get Started'!$E43,0)</f>
        <v>0</v>
      </c>
      <c r="BG230" s="90">
        <f ca="1">BG220*IFERROR('Get Started'!$E42/'Get Started'!$E43,0)</f>
        <v>0</v>
      </c>
      <c r="BH230" s="90">
        <f ca="1">BH220*IFERROR('Get Started'!$E42/'Get Started'!$E43,0)</f>
        <v>0</v>
      </c>
      <c r="BI230" s="90">
        <f ca="1">BI220*IFERROR('Get Started'!$E42/'Get Started'!$E43,0)</f>
        <v>0</v>
      </c>
      <c r="BJ230" s="90">
        <f ca="1">BJ220*IFERROR('Get Started'!$E42/'Get Started'!$E43,0)</f>
        <v>0</v>
      </c>
      <c r="BK230" s="90">
        <f ca="1">BK220*IFERROR('Get Started'!$E42/'Get Started'!$E43,0)</f>
        <v>0</v>
      </c>
      <c r="BL230" s="90">
        <f ca="1">BL220*IFERROR('Get Started'!$E42/'Get Started'!$E43,0)</f>
        <v>0</v>
      </c>
      <c r="BM230" s="90">
        <f ca="1">BM220*IFERROR('Get Started'!$E42/'Get Started'!$E43,0)</f>
        <v>0</v>
      </c>
      <c r="BN230" s="90">
        <f ca="1">BN220*IFERROR('Get Started'!$E42/'Get Started'!$E43,0)</f>
        <v>0</v>
      </c>
      <c r="BO230" s="90">
        <f ca="1">BO220*IFERROR('Get Started'!$E42/'Get Started'!$E43,0)</f>
        <v>0</v>
      </c>
      <c r="BP230" s="90">
        <f ca="1">BP220*IFERROR('Get Started'!$E42/'Get Started'!$E43,0)</f>
        <v>0</v>
      </c>
      <c r="BQ230" s="90">
        <f ca="1">BQ220*IFERROR('Get Started'!$E42/'Get Started'!$E43,0)</f>
        <v>0</v>
      </c>
      <c r="BR230" s="90">
        <f ca="1">BR220*IFERROR('Get Started'!$E42/'Get Started'!$E43,0)</f>
        <v>0</v>
      </c>
      <c r="BS230" s="90">
        <f ca="1">BS220*IFERROR('Get Started'!$E42/'Get Started'!$E43,0)</f>
        <v>0</v>
      </c>
      <c r="BT230" s="90">
        <f ca="1">BT220*IFERROR('Get Started'!$E42/'Get Started'!$E43,0)</f>
        <v>0</v>
      </c>
      <c r="BU230" s="90">
        <f ca="1">BU220*IFERROR('Get Started'!$E42/'Get Started'!$E43,0)</f>
        <v>0</v>
      </c>
      <c r="BV230" s="90">
        <f ca="1">BV220*IFERROR('Get Started'!$E42/'Get Started'!$E43,0)</f>
        <v>0</v>
      </c>
      <c r="BW230" s="90">
        <f ca="1">BW220*IFERROR('Get Started'!$E42/'Get Started'!$E43,0)</f>
        <v>0</v>
      </c>
      <c r="BX230" s="90">
        <f ca="1">BX220*IFERROR('Get Started'!$E42/'Get Started'!$E43,0)</f>
        <v>0</v>
      </c>
      <c r="BY230" s="90">
        <f ca="1">BY220*IFERROR('Get Started'!$E42/'Get Started'!$E43,0)</f>
        <v>0</v>
      </c>
      <c r="BZ230" s="90">
        <f ca="1">BZ220*IFERROR('Get Started'!$E42/'Get Started'!$E43,0)</f>
        <v>0</v>
      </c>
      <c r="CA230" s="90">
        <f ca="1">CA220*IFERROR('Get Started'!$E42/'Get Started'!$E43,0)</f>
        <v>0</v>
      </c>
      <c r="CB230" s="90">
        <f ca="1">CB220*IFERROR('Get Started'!$E42/'Get Started'!$E43,0)</f>
        <v>0</v>
      </c>
      <c r="CC230" s="90">
        <f ca="1">CC220*IFERROR('Get Started'!$E42/'Get Started'!$E43,0)</f>
        <v>0</v>
      </c>
      <c r="CD230" s="90">
        <f ca="1">CD220*IFERROR('Get Started'!$E42/'Get Started'!$E43,0)</f>
        <v>0</v>
      </c>
      <c r="CE230" s="90">
        <f ca="1">CE220*IFERROR('Get Started'!$E42/'Get Started'!$E43,0)</f>
        <v>0</v>
      </c>
      <c r="CF230" s="90">
        <f ca="1">CF220*IFERROR('Get Started'!$E42/'Get Started'!$E43,0)</f>
        <v>0</v>
      </c>
      <c r="CG230" s="90">
        <f ca="1">CG220*IFERROR('Get Started'!$E42/'Get Started'!$E43,0)</f>
        <v>0</v>
      </c>
      <c r="CH230" s="90">
        <f ca="1">CH220*IFERROR('Get Started'!$E42/'Get Started'!$E43,0)</f>
        <v>0</v>
      </c>
    </row>
    <row r="231" spans="1:86" ht="13" outlineLevel="1">
      <c r="A231" s="13"/>
      <c r="B231" s="13" t="s">
        <v>330</v>
      </c>
      <c r="C231" s="13"/>
      <c r="D231" s="13" t="s">
        <v>238</v>
      </c>
      <c r="E231" s="88">
        <f t="shared" ca="1" si="172"/>
        <v>0.16170000000000001</v>
      </c>
      <c r="F231" s="48"/>
      <c r="G231" s="90">
        <f ca="1">G221*IFERROR('Get Started'!$F42/'Get Started'!$F43,0)</f>
        <v>9.6250000000000016E-3</v>
      </c>
      <c r="H231" s="90">
        <f ca="1">H221*IFERROR('Get Started'!$F42/'Get Started'!$F43,0)</f>
        <v>9.6250000000000016E-3</v>
      </c>
      <c r="I231" s="90">
        <f ca="1">I221*IFERROR('Get Started'!$F42/'Get Started'!$F43,0)</f>
        <v>9.6250000000000016E-3</v>
      </c>
      <c r="J231" s="90">
        <f ca="1">J221*IFERROR('Get Started'!$F42/'Get Started'!$F43,0)</f>
        <v>9.6250000000000016E-3</v>
      </c>
      <c r="K231" s="90">
        <f ca="1">K221*IFERROR('Get Started'!$F42/'Get Started'!$F43,0)</f>
        <v>9.6250000000000016E-3</v>
      </c>
      <c r="L231" s="90">
        <f ca="1">L221*IFERROR('Get Started'!$F42/'Get Started'!$F43,0)</f>
        <v>9.6250000000000016E-3</v>
      </c>
      <c r="M231" s="90">
        <f ca="1">M221*IFERROR('Get Started'!$F42/'Get Started'!$F43,0)</f>
        <v>9.6250000000000016E-3</v>
      </c>
      <c r="N231" s="90">
        <f ca="1">N221*IFERROR('Get Started'!$F42/'Get Started'!$F43,0)</f>
        <v>9.6250000000000016E-3</v>
      </c>
      <c r="O231" s="90">
        <f ca="1">O221*IFERROR('Get Started'!$F42/'Get Started'!$F43,0)</f>
        <v>9.6250000000000016E-3</v>
      </c>
      <c r="P231" s="90">
        <f ca="1">P221*IFERROR('Get Started'!$F42/'Get Started'!$F43,0)</f>
        <v>9.6250000000000016E-3</v>
      </c>
      <c r="Q231" s="90">
        <f ca="1">Q221*IFERROR('Get Started'!$F42/'Get Started'!$F43,0)</f>
        <v>9.6250000000000016E-3</v>
      </c>
      <c r="R231" s="90">
        <f ca="1">R221*IFERROR('Get Started'!$F42/'Get Started'!$F43,0)</f>
        <v>9.6250000000000016E-3</v>
      </c>
      <c r="S231" s="90">
        <f ca="1">S221*IFERROR('Get Started'!$F42/'Get Started'!$F43,0)</f>
        <v>1.1550000000000001E-2</v>
      </c>
      <c r="T231" s="90">
        <f ca="1">T221*IFERROR('Get Started'!$F42/'Get Started'!$F43,0)</f>
        <v>1.1550000000000001E-2</v>
      </c>
      <c r="U231" s="90">
        <f ca="1">U221*IFERROR('Get Started'!$F42/'Get Started'!$F43,0)</f>
        <v>1.1550000000000001E-2</v>
      </c>
      <c r="V231" s="90">
        <f ca="1">V221*IFERROR('Get Started'!$F42/'Get Started'!$F43,0)</f>
        <v>1.1550000000000001E-2</v>
      </c>
      <c r="W231" s="90">
        <f ca="1">W221*IFERROR('Get Started'!$F42/'Get Started'!$F43,0)</f>
        <v>0</v>
      </c>
      <c r="X231" s="90">
        <f ca="1">X221*IFERROR('Get Started'!$F42/'Get Started'!$F43,0)</f>
        <v>0</v>
      </c>
      <c r="Y231" s="90">
        <f ca="1">Y221*IFERROR('Get Started'!$F42/'Get Started'!$F43,0)</f>
        <v>0</v>
      </c>
      <c r="Z231" s="90">
        <f ca="1">Z221*IFERROR('Get Started'!$F42/'Get Started'!$F43,0)</f>
        <v>0</v>
      </c>
      <c r="AA231" s="90">
        <f ca="1">AA221*IFERROR('Get Started'!$F42/'Get Started'!$F43,0)</f>
        <v>0</v>
      </c>
      <c r="AB231" s="90">
        <f ca="1">AB221*IFERROR('Get Started'!$F42/'Get Started'!$F43,0)</f>
        <v>0</v>
      </c>
      <c r="AC231" s="90">
        <f ca="1">AC221*IFERROR('Get Started'!$F42/'Get Started'!$F43,0)</f>
        <v>0</v>
      </c>
      <c r="AD231" s="90">
        <f ca="1">AD221*IFERROR('Get Started'!$F42/'Get Started'!$F43,0)</f>
        <v>0</v>
      </c>
      <c r="AE231" s="90">
        <f ca="1">AE221*IFERROR('Get Started'!$F42/'Get Started'!$F43,0)</f>
        <v>0</v>
      </c>
      <c r="AF231" s="90">
        <f ca="1">AF221*IFERROR('Get Started'!$F42/'Get Started'!$F43,0)</f>
        <v>0</v>
      </c>
      <c r="AG231" s="90">
        <f ca="1">AG221*IFERROR('Get Started'!$F42/'Get Started'!$F43,0)</f>
        <v>0</v>
      </c>
      <c r="AH231" s="90">
        <f ca="1">AH221*IFERROR('Get Started'!$F42/'Get Started'!$F43,0)</f>
        <v>0</v>
      </c>
      <c r="AI231" s="90">
        <f ca="1">AI221*IFERROR('Get Started'!$F42/'Get Started'!$F43,0)</f>
        <v>0</v>
      </c>
      <c r="AJ231" s="90">
        <f ca="1">AJ221*IFERROR('Get Started'!$F42/'Get Started'!$F43,0)</f>
        <v>0</v>
      </c>
      <c r="AK231" s="90">
        <f ca="1">AK221*IFERROR('Get Started'!$F42/'Get Started'!$F43,0)</f>
        <v>0</v>
      </c>
      <c r="AL231" s="90">
        <f ca="1">AL221*IFERROR('Get Started'!$F42/'Get Started'!$F43,0)</f>
        <v>0</v>
      </c>
      <c r="AM231" s="90">
        <f ca="1">AM221*IFERROR('Get Started'!$F42/'Get Started'!$F43,0)</f>
        <v>0</v>
      </c>
      <c r="AN231" s="90">
        <f ca="1">AN221*IFERROR('Get Started'!$F42/'Get Started'!$F43,0)</f>
        <v>0</v>
      </c>
      <c r="AO231" s="90">
        <f ca="1">AO221*IFERROR('Get Started'!$F42/'Get Started'!$F43,0)</f>
        <v>0</v>
      </c>
      <c r="AP231" s="90">
        <f ca="1">AP221*IFERROR('Get Started'!$F42/'Get Started'!$F43,0)</f>
        <v>0</v>
      </c>
      <c r="AQ231" s="90">
        <f ca="1">AQ221*IFERROR('Get Started'!$F42/'Get Started'!$F43,0)</f>
        <v>0</v>
      </c>
      <c r="AR231" s="90">
        <f ca="1">AR221*IFERROR('Get Started'!$F42/'Get Started'!$F43,0)</f>
        <v>0</v>
      </c>
      <c r="AS231" s="90">
        <f ca="1">AS221*IFERROR('Get Started'!$F42/'Get Started'!$F43,0)</f>
        <v>0</v>
      </c>
      <c r="AT231" s="90">
        <f ca="1">AT221*IFERROR('Get Started'!$F42/'Get Started'!$F43,0)</f>
        <v>0</v>
      </c>
      <c r="AU231" s="90">
        <f ca="1">AU221*IFERROR('Get Started'!$F42/'Get Started'!$F43,0)</f>
        <v>0</v>
      </c>
      <c r="AV231" s="90">
        <f ca="1">AV221*IFERROR('Get Started'!$F42/'Get Started'!$F43,0)</f>
        <v>0</v>
      </c>
      <c r="AW231" s="90">
        <f ca="1">AW221*IFERROR('Get Started'!$F42/'Get Started'!$F43,0)</f>
        <v>0</v>
      </c>
      <c r="AX231" s="90">
        <f ca="1">AX221*IFERROR('Get Started'!$F42/'Get Started'!$F43,0)</f>
        <v>0</v>
      </c>
      <c r="AY231" s="90">
        <f ca="1">AY221*IFERROR('Get Started'!$F42/'Get Started'!$F43,0)</f>
        <v>0</v>
      </c>
      <c r="AZ231" s="90">
        <f ca="1">AZ221*IFERROR('Get Started'!$F42/'Get Started'!$F43,0)</f>
        <v>0</v>
      </c>
      <c r="BA231" s="90">
        <f ca="1">BA221*IFERROR('Get Started'!$F42/'Get Started'!$F43,0)</f>
        <v>0</v>
      </c>
      <c r="BB231" s="90">
        <f ca="1">BB221*IFERROR('Get Started'!$F42/'Get Started'!$F43,0)</f>
        <v>0</v>
      </c>
      <c r="BC231" s="90">
        <f ca="1">BC221*IFERROR('Get Started'!$F42/'Get Started'!$F43,0)</f>
        <v>0</v>
      </c>
      <c r="BD231" s="90">
        <f ca="1">BD221*IFERROR('Get Started'!$F42/'Get Started'!$F43,0)</f>
        <v>0</v>
      </c>
      <c r="BE231" s="90">
        <f ca="1">BE221*IFERROR('Get Started'!$F42/'Get Started'!$F43,0)</f>
        <v>0</v>
      </c>
      <c r="BF231" s="90">
        <f ca="1">BF221*IFERROR('Get Started'!$F42/'Get Started'!$F43,0)</f>
        <v>0</v>
      </c>
      <c r="BG231" s="90">
        <f ca="1">BG221*IFERROR('Get Started'!$F42/'Get Started'!$F43,0)</f>
        <v>0</v>
      </c>
      <c r="BH231" s="90">
        <f ca="1">BH221*IFERROR('Get Started'!$F42/'Get Started'!$F43,0)</f>
        <v>0</v>
      </c>
      <c r="BI231" s="90">
        <f ca="1">BI221*IFERROR('Get Started'!$F42/'Get Started'!$F43,0)</f>
        <v>0</v>
      </c>
      <c r="BJ231" s="90">
        <f ca="1">BJ221*IFERROR('Get Started'!$F42/'Get Started'!$F43,0)</f>
        <v>0</v>
      </c>
      <c r="BK231" s="90">
        <f ca="1">BK221*IFERROR('Get Started'!$F42/'Get Started'!$F43,0)</f>
        <v>0</v>
      </c>
      <c r="BL231" s="90">
        <f ca="1">BL221*IFERROR('Get Started'!$F42/'Get Started'!$F43,0)</f>
        <v>0</v>
      </c>
      <c r="BM231" s="90">
        <f ca="1">BM221*IFERROR('Get Started'!$F42/'Get Started'!$F43,0)</f>
        <v>0</v>
      </c>
      <c r="BN231" s="90">
        <f ca="1">BN221*IFERROR('Get Started'!$F42/'Get Started'!$F43,0)</f>
        <v>0</v>
      </c>
      <c r="BO231" s="90">
        <f ca="1">BO221*IFERROR('Get Started'!$F42/'Get Started'!$F43,0)</f>
        <v>0</v>
      </c>
      <c r="BP231" s="90">
        <f ca="1">BP221*IFERROR('Get Started'!$F42/'Get Started'!$F43,0)</f>
        <v>0</v>
      </c>
      <c r="BQ231" s="90">
        <f ca="1">BQ221*IFERROR('Get Started'!$F42/'Get Started'!$F43,0)</f>
        <v>0</v>
      </c>
      <c r="BR231" s="90">
        <f ca="1">BR221*IFERROR('Get Started'!$F42/'Get Started'!$F43,0)</f>
        <v>0</v>
      </c>
      <c r="BS231" s="90">
        <f ca="1">BS221*IFERROR('Get Started'!$F42/'Get Started'!$F43,0)</f>
        <v>0</v>
      </c>
      <c r="BT231" s="90">
        <f ca="1">BT221*IFERROR('Get Started'!$F42/'Get Started'!$F43,0)</f>
        <v>0</v>
      </c>
      <c r="BU231" s="90">
        <f ca="1">BU221*IFERROR('Get Started'!$F42/'Get Started'!$F43,0)</f>
        <v>0</v>
      </c>
      <c r="BV231" s="90">
        <f ca="1">BV221*IFERROR('Get Started'!$F42/'Get Started'!$F43,0)</f>
        <v>0</v>
      </c>
      <c r="BW231" s="90">
        <f ca="1">BW221*IFERROR('Get Started'!$F42/'Get Started'!$F43,0)</f>
        <v>0</v>
      </c>
      <c r="BX231" s="90">
        <f ca="1">BX221*IFERROR('Get Started'!$F42/'Get Started'!$F43,0)</f>
        <v>0</v>
      </c>
      <c r="BY231" s="90">
        <f ca="1">BY221*IFERROR('Get Started'!$F42/'Get Started'!$F43,0)</f>
        <v>0</v>
      </c>
      <c r="BZ231" s="90">
        <f ca="1">BZ221*IFERROR('Get Started'!$F42/'Get Started'!$F43,0)</f>
        <v>0</v>
      </c>
      <c r="CA231" s="90">
        <f ca="1">CA221*IFERROR('Get Started'!$F42/'Get Started'!$F43,0)</f>
        <v>0</v>
      </c>
      <c r="CB231" s="90">
        <f ca="1">CB221*IFERROR('Get Started'!$F42/'Get Started'!$F43,0)</f>
        <v>0</v>
      </c>
      <c r="CC231" s="90">
        <f ca="1">CC221*IFERROR('Get Started'!$F42/'Get Started'!$F43,0)</f>
        <v>0</v>
      </c>
      <c r="CD231" s="90">
        <f ca="1">CD221*IFERROR('Get Started'!$F42/'Get Started'!$F43,0)</f>
        <v>0</v>
      </c>
      <c r="CE231" s="90">
        <f ca="1">CE221*IFERROR('Get Started'!$F42/'Get Started'!$F43,0)</f>
        <v>0</v>
      </c>
      <c r="CF231" s="90">
        <f ca="1">CF221*IFERROR('Get Started'!$F42/'Get Started'!$F43,0)</f>
        <v>0</v>
      </c>
      <c r="CG231" s="90">
        <f ca="1">CG221*IFERROR('Get Started'!$F42/'Get Started'!$F43,0)</f>
        <v>0</v>
      </c>
      <c r="CH231" s="90">
        <f ca="1">CH221*IFERROR('Get Started'!$F42/'Get Started'!$F43,0)</f>
        <v>0</v>
      </c>
    </row>
    <row r="232" spans="1:86" ht="13" outlineLevel="1">
      <c r="A232" s="13"/>
      <c r="B232" s="13" t="s">
        <v>330</v>
      </c>
      <c r="C232" s="13"/>
      <c r="D232" s="13" t="s">
        <v>238</v>
      </c>
      <c r="E232" s="88">
        <f t="shared" ca="1" si="172"/>
        <v>8.0850000000000005E-2</v>
      </c>
      <c r="F232" s="48"/>
      <c r="G232" s="90">
        <f ca="1">G222*IFERROR('Get Started'!$G42/'Get Started'!$G43,0)</f>
        <v>4.8125000000000008E-3</v>
      </c>
      <c r="H232" s="90">
        <f ca="1">H222*IFERROR('Get Started'!$G42/'Get Started'!$G43,0)</f>
        <v>4.8125000000000008E-3</v>
      </c>
      <c r="I232" s="90">
        <f ca="1">I222*IFERROR('Get Started'!$G42/'Get Started'!$G43,0)</f>
        <v>4.8125000000000008E-3</v>
      </c>
      <c r="J232" s="90">
        <f ca="1">J222*IFERROR('Get Started'!$G42/'Get Started'!$G43,0)</f>
        <v>4.8125000000000008E-3</v>
      </c>
      <c r="K232" s="90">
        <f ca="1">K222*IFERROR('Get Started'!$G42/'Get Started'!$G43,0)</f>
        <v>4.8125000000000008E-3</v>
      </c>
      <c r="L232" s="90">
        <f ca="1">L222*IFERROR('Get Started'!$G42/'Get Started'!$G43,0)</f>
        <v>4.8125000000000008E-3</v>
      </c>
      <c r="M232" s="90">
        <f ca="1">M222*IFERROR('Get Started'!$G42/'Get Started'!$G43,0)</f>
        <v>4.8125000000000008E-3</v>
      </c>
      <c r="N232" s="90">
        <f ca="1">N222*IFERROR('Get Started'!$G42/'Get Started'!$G43,0)</f>
        <v>4.8125000000000008E-3</v>
      </c>
      <c r="O232" s="90">
        <f ca="1">O222*IFERROR('Get Started'!$G42/'Get Started'!$G43,0)</f>
        <v>4.8125000000000008E-3</v>
      </c>
      <c r="P232" s="90">
        <f ca="1">P222*IFERROR('Get Started'!$G42/'Get Started'!$G43,0)</f>
        <v>4.8125000000000008E-3</v>
      </c>
      <c r="Q232" s="90">
        <f ca="1">Q222*IFERROR('Get Started'!$G42/'Get Started'!$G43,0)</f>
        <v>4.8125000000000008E-3</v>
      </c>
      <c r="R232" s="90">
        <f ca="1">R222*IFERROR('Get Started'!$G42/'Get Started'!$G43,0)</f>
        <v>4.8125000000000008E-3</v>
      </c>
      <c r="S232" s="90">
        <f ca="1">S222*IFERROR('Get Started'!$G42/'Get Started'!$G43,0)</f>
        <v>5.7750000000000006E-3</v>
      </c>
      <c r="T232" s="90">
        <f ca="1">T222*IFERROR('Get Started'!$G42/'Get Started'!$G43,0)</f>
        <v>5.7750000000000006E-3</v>
      </c>
      <c r="U232" s="90">
        <f ca="1">U222*IFERROR('Get Started'!$G42/'Get Started'!$G43,0)</f>
        <v>5.7750000000000006E-3</v>
      </c>
      <c r="V232" s="90">
        <f ca="1">V222*IFERROR('Get Started'!$G42/'Get Started'!$G43,0)</f>
        <v>5.7750000000000006E-3</v>
      </c>
      <c r="W232" s="90">
        <f ca="1">W222*IFERROR('Get Started'!$G42/'Get Started'!$G43,0)</f>
        <v>0</v>
      </c>
      <c r="X232" s="90">
        <f ca="1">X222*IFERROR('Get Started'!$G42/'Get Started'!$G43,0)</f>
        <v>0</v>
      </c>
      <c r="Y232" s="90">
        <f ca="1">Y222*IFERROR('Get Started'!$G42/'Get Started'!$G43,0)</f>
        <v>0</v>
      </c>
      <c r="Z232" s="90">
        <f ca="1">Z222*IFERROR('Get Started'!$G42/'Get Started'!$G43,0)</f>
        <v>0</v>
      </c>
      <c r="AA232" s="90">
        <f ca="1">AA222*IFERROR('Get Started'!$G42/'Get Started'!$G43,0)</f>
        <v>0</v>
      </c>
      <c r="AB232" s="90">
        <f ca="1">AB222*IFERROR('Get Started'!$G42/'Get Started'!$G43,0)</f>
        <v>0</v>
      </c>
      <c r="AC232" s="90">
        <f ca="1">AC222*IFERROR('Get Started'!$G42/'Get Started'!$G43,0)</f>
        <v>0</v>
      </c>
      <c r="AD232" s="90">
        <f ca="1">AD222*IFERROR('Get Started'!$G42/'Get Started'!$G43,0)</f>
        <v>0</v>
      </c>
      <c r="AE232" s="90">
        <f ca="1">AE222*IFERROR('Get Started'!$G42/'Get Started'!$G43,0)</f>
        <v>0</v>
      </c>
      <c r="AF232" s="90">
        <f ca="1">AF222*IFERROR('Get Started'!$G42/'Get Started'!$G43,0)</f>
        <v>0</v>
      </c>
      <c r="AG232" s="90">
        <f ca="1">AG222*IFERROR('Get Started'!$G42/'Get Started'!$G43,0)</f>
        <v>0</v>
      </c>
      <c r="AH232" s="90">
        <f ca="1">AH222*IFERROR('Get Started'!$G42/'Get Started'!$G43,0)</f>
        <v>0</v>
      </c>
      <c r="AI232" s="90">
        <f ca="1">AI222*IFERROR('Get Started'!$G42/'Get Started'!$G43,0)</f>
        <v>0</v>
      </c>
      <c r="AJ232" s="90">
        <f ca="1">AJ222*IFERROR('Get Started'!$G42/'Get Started'!$G43,0)</f>
        <v>0</v>
      </c>
      <c r="AK232" s="90">
        <f ca="1">AK222*IFERROR('Get Started'!$G42/'Get Started'!$G43,0)</f>
        <v>0</v>
      </c>
      <c r="AL232" s="90">
        <f ca="1">AL222*IFERROR('Get Started'!$G42/'Get Started'!$G43,0)</f>
        <v>0</v>
      </c>
      <c r="AM232" s="90">
        <f ca="1">AM222*IFERROR('Get Started'!$G42/'Get Started'!$G43,0)</f>
        <v>0</v>
      </c>
      <c r="AN232" s="90">
        <f ca="1">AN222*IFERROR('Get Started'!$G42/'Get Started'!$G43,0)</f>
        <v>0</v>
      </c>
      <c r="AO232" s="90">
        <f ca="1">AO222*IFERROR('Get Started'!$G42/'Get Started'!$G43,0)</f>
        <v>0</v>
      </c>
      <c r="AP232" s="90">
        <f ca="1">AP222*IFERROR('Get Started'!$G42/'Get Started'!$G43,0)</f>
        <v>0</v>
      </c>
      <c r="AQ232" s="90">
        <f ca="1">AQ222*IFERROR('Get Started'!$G42/'Get Started'!$G43,0)</f>
        <v>0</v>
      </c>
      <c r="AR232" s="90">
        <f ca="1">AR222*IFERROR('Get Started'!$G42/'Get Started'!$G43,0)</f>
        <v>0</v>
      </c>
      <c r="AS232" s="90">
        <f ca="1">AS222*IFERROR('Get Started'!$G42/'Get Started'!$G43,0)</f>
        <v>0</v>
      </c>
      <c r="AT232" s="90">
        <f ca="1">AT222*IFERROR('Get Started'!$G42/'Get Started'!$G43,0)</f>
        <v>0</v>
      </c>
      <c r="AU232" s="90">
        <f ca="1">AU222*IFERROR('Get Started'!$G42/'Get Started'!$G43,0)</f>
        <v>0</v>
      </c>
      <c r="AV232" s="90">
        <f ca="1">AV222*IFERROR('Get Started'!$G42/'Get Started'!$G43,0)</f>
        <v>0</v>
      </c>
      <c r="AW232" s="90">
        <f ca="1">AW222*IFERROR('Get Started'!$G42/'Get Started'!$G43,0)</f>
        <v>0</v>
      </c>
      <c r="AX232" s="90">
        <f ca="1">AX222*IFERROR('Get Started'!$G42/'Get Started'!$G43,0)</f>
        <v>0</v>
      </c>
      <c r="AY232" s="90">
        <f ca="1">AY222*IFERROR('Get Started'!$G42/'Get Started'!$G43,0)</f>
        <v>0</v>
      </c>
      <c r="AZ232" s="90">
        <f ca="1">AZ222*IFERROR('Get Started'!$G42/'Get Started'!$G43,0)</f>
        <v>0</v>
      </c>
      <c r="BA232" s="90">
        <f ca="1">BA222*IFERROR('Get Started'!$G42/'Get Started'!$G43,0)</f>
        <v>0</v>
      </c>
      <c r="BB232" s="90">
        <f ca="1">BB222*IFERROR('Get Started'!$G42/'Get Started'!$G43,0)</f>
        <v>0</v>
      </c>
      <c r="BC232" s="90">
        <f ca="1">BC222*IFERROR('Get Started'!$G42/'Get Started'!$G43,0)</f>
        <v>0</v>
      </c>
      <c r="BD232" s="90">
        <f ca="1">BD222*IFERROR('Get Started'!$G42/'Get Started'!$G43,0)</f>
        <v>0</v>
      </c>
      <c r="BE232" s="90">
        <f ca="1">BE222*IFERROR('Get Started'!$G42/'Get Started'!$G43,0)</f>
        <v>0</v>
      </c>
      <c r="BF232" s="90">
        <f ca="1">BF222*IFERROR('Get Started'!$G42/'Get Started'!$G43,0)</f>
        <v>0</v>
      </c>
      <c r="BG232" s="90">
        <f ca="1">BG222*IFERROR('Get Started'!$G42/'Get Started'!$G43,0)</f>
        <v>0</v>
      </c>
      <c r="BH232" s="90">
        <f ca="1">BH222*IFERROR('Get Started'!$G42/'Get Started'!$G43,0)</f>
        <v>0</v>
      </c>
      <c r="BI232" s="90">
        <f ca="1">BI222*IFERROR('Get Started'!$G42/'Get Started'!$G43,0)</f>
        <v>0</v>
      </c>
      <c r="BJ232" s="90">
        <f ca="1">BJ222*IFERROR('Get Started'!$G42/'Get Started'!$G43,0)</f>
        <v>0</v>
      </c>
      <c r="BK232" s="90">
        <f ca="1">BK222*IFERROR('Get Started'!$G42/'Get Started'!$G43,0)</f>
        <v>0</v>
      </c>
      <c r="BL232" s="90">
        <f ca="1">BL222*IFERROR('Get Started'!$G42/'Get Started'!$G43,0)</f>
        <v>0</v>
      </c>
      <c r="BM232" s="90">
        <f ca="1">BM222*IFERROR('Get Started'!$G42/'Get Started'!$G43,0)</f>
        <v>0</v>
      </c>
      <c r="BN232" s="90">
        <f ca="1">BN222*IFERROR('Get Started'!$G42/'Get Started'!$G43,0)</f>
        <v>0</v>
      </c>
      <c r="BO232" s="90">
        <f ca="1">BO222*IFERROR('Get Started'!$G42/'Get Started'!$G43,0)</f>
        <v>0</v>
      </c>
      <c r="BP232" s="90">
        <f ca="1">BP222*IFERROR('Get Started'!$G42/'Get Started'!$G43,0)</f>
        <v>0</v>
      </c>
      <c r="BQ232" s="90">
        <f ca="1">BQ222*IFERROR('Get Started'!$G42/'Get Started'!$G43,0)</f>
        <v>0</v>
      </c>
      <c r="BR232" s="90">
        <f ca="1">BR222*IFERROR('Get Started'!$G42/'Get Started'!$G43,0)</f>
        <v>0</v>
      </c>
      <c r="BS232" s="90">
        <f ca="1">BS222*IFERROR('Get Started'!$G42/'Get Started'!$G43,0)</f>
        <v>0</v>
      </c>
      <c r="BT232" s="90">
        <f ca="1">BT222*IFERROR('Get Started'!$G42/'Get Started'!$G43,0)</f>
        <v>0</v>
      </c>
      <c r="BU232" s="90">
        <f ca="1">BU222*IFERROR('Get Started'!$G42/'Get Started'!$G43,0)</f>
        <v>0</v>
      </c>
      <c r="BV232" s="90">
        <f ca="1">BV222*IFERROR('Get Started'!$G42/'Get Started'!$G43,0)</f>
        <v>0</v>
      </c>
      <c r="BW232" s="90">
        <f ca="1">BW222*IFERROR('Get Started'!$G42/'Get Started'!$G43,0)</f>
        <v>0</v>
      </c>
      <c r="BX232" s="90">
        <f ca="1">BX222*IFERROR('Get Started'!$G42/'Get Started'!$G43,0)</f>
        <v>0</v>
      </c>
      <c r="BY232" s="90">
        <f ca="1">BY222*IFERROR('Get Started'!$G42/'Get Started'!$G43,0)</f>
        <v>0</v>
      </c>
      <c r="BZ232" s="90">
        <f ca="1">BZ222*IFERROR('Get Started'!$G42/'Get Started'!$G43,0)</f>
        <v>0</v>
      </c>
      <c r="CA232" s="90">
        <f ca="1">CA222*IFERROR('Get Started'!$G42/'Get Started'!$G43,0)</f>
        <v>0</v>
      </c>
      <c r="CB232" s="90">
        <f ca="1">CB222*IFERROR('Get Started'!$G42/'Get Started'!$G43,0)</f>
        <v>0</v>
      </c>
      <c r="CC232" s="90">
        <f ca="1">CC222*IFERROR('Get Started'!$G42/'Get Started'!$G43,0)</f>
        <v>0</v>
      </c>
      <c r="CD232" s="90">
        <f ca="1">CD222*IFERROR('Get Started'!$G42/'Get Started'!$G43,0)</f>
        <v>0</v>
      </c>
      <c r="CE232" s="90">
        <f ca="1">CE222*IFERROR('Get Started'!$G42/'Get Started'!$G43,0)</f>
        <v>0</v>
      </c>
      <c r="CF232" s="90">
        <f ca="1">CF222*IFERROR('Get Started'!$G42/'Get Started'!$G43,0)</f>
        <v>0</v>
      </c>
      <c r="CG232" s="90">
        <f ca="1">CG222*IFERROR('Get Started'!$G42/'Get Started'!$G43,0)</f>
        <v>0</v>
      </c>
      <c r="CH232" s="90">
        <f ca="1">CH222*IFERROR('Get Started'!$G42/'Get Started'!$G43,0)</f>
        <v>0</v>
      </c>
    </row>
    <row r="233" spans="1:86" ht="13" outlineLevel="1">
      <c r="A233" s="13"/>
      <c r="B233" s="13" t="s">
        <v>330</v>
      </c>
      <c r="C233" s="13"/>
      <c r="D233" s="13" t="s">
        <v>238</v>
      </c>
      <c r="E233" s="88">
        <f t="shared" ca="1" si="172"/>
        <v>8.0849999999999991E-2</v>
      </c>
      <c r="F233" s="48"/>
      <c r="G233" s="90">
        <f ca="1">G223*IFERROR('Get Started'!$H42/'Get Started'!$H43,0)</f>
        <v>4.8124999999999999E-3</v>
      </c>
      <c r="H233" s="90">
        <f ca="1">H223*IFERROR('Get Started'!$H42/'Get Started'!$H43,0)</f>
        <v>4.8124999999999999E-3</v>
      </c>
      <c r="I233" s="90">
        <f ca="1">I223*IFERROR('Get Started'!$H42/'Get Started'!$H43,0)</f>
        <v>4.8124999999999999E-3</v>
      </c>
      <c r="J233" s="90">
        <f ca="1">J223*IFERROR('Get Started'!$H42/'Get Started'!$H43,0)</f>
        <v>4.8124999999999999E-3</v>
      </c>
      <c r="K233" s="90">
        <f ca="1">K223*IFERROR('Get Started'!$H42/'Get Started'!$H43,0)</f>
        <v>4.8124999999999999E-3</v>
      </c>
      <c r="L233" s="90">
        <f ca="1">L223*IFERROR('Get Started'!$H42/'Get Started'!$H43,0)</f>
        <v>4.8124999999999999E-3</v>
      </c>
      <c r="M233" s="90">
        <f ca="1">M223*IFERROR('Get Started'!$H42/'Get Started'!$H43,0)</f>
        <v>4.8124999999999999E-3</v>
      </c>
      <c r="N233" s="90">
        <f ca="1">N223*IFERROR('Get Started'!$H42/'Get Started'!$H43,0)</f>
        <v>4.8124999999999999E-3</v>
      </c>
      <c r="O233" s="90">
        <f ca="1">O223*IFERROR('Get Started'!$H42/'Get Started'!$H43,0)</f>
        <v>4.8124999999999999E-3</v>
      </c>
      <c r="P233" s="90">
        <f ca="1">P223*IFERROR('Get Started'!$H42/'Get Started'!$H43,0)</f>
        <v>4.8124999999999999E-3</v>
      </c>
      <c r="Q233" s="90">
        <f ca="1">Q223*IFERROR('Get Started'!$H42/'Get Started'!$H43,0)</f>
        <v>4.8124999999999999E-3</v>
      </c>
      <c r="R233" s="90">
        <f ca="1">R223*IFERROR('Get Started'!$H42/'Get Started'!$H43,0)</f>
        <v>4.8124999999999999E-3</v>
      </c>
      <c r="S233" s="90">
        <f ca="1">S223*IFERROR('Get Started'!$H42/'Get Started'!$H43,0)</f>
        <v>5.7749999999999998E-3</v>
      </c>
      <c r="T233" s="90">
        <f ca="1">T223*IFERROR('Get Started'!$H42/'Get Started'!$H43,0)</f>
        <v>5.7749999999999998E-3</v>
      </c>
      <c r="U233" s="90">
        <f ca="1">U223*IFERROR('Get Started'!$H42/'Get Started'!$H43,0)</f>
        <v>5.7749999999999998E-3</v>
      </c>
      <c r="V233" s="90">
        <f ca="1">V223*IFERROR('Get Started'!$H42/'Get Started'!$H43,0)</f>
        <v>5.7749999999999998E-3</v>
      </c>
      <c r="W233" s="90">
        <f ca="1">W223*IFERROR('Get Started'!$H42/'Get Started'!$H43,0)</f>
        <v>0</v>
      </c>
      <c r="X233" s="90">
        <f ca="1">X223*IFERROR('Get Started'!$H42/'Get Started'!$H43,0)</f>
        <v>0</v>
      </c>
      <c r="Y233" s="90">
        <f ca="1">Y223*IFERROR('Get Started'!$H42/'Get Started'!$H43,0)</f>
        <v>0</v>
      </c>
      <c r="Z233" s="90">
        <f ca="1">Z223*IFERROR('Get Started'!$H42/'Get Started'!$H43,0)</f>
        <v>0</v>
      </c>
      <c r="AA233" s="90">
        <f ca="1">AA223*IFERROR('Get Started'!$H42/'Get Started'!$H43,0)</f>
        <v>0</v>
      </c>
      <c r="AB233" s="90">
        <f ca="1">AB223*IFERROR('Get Started'!$H42/'Get Started'!$H43,0)</f>
        <v>0</v>
      </c>
      <c r="AC233" s="90">
        <f ca="1">AC223*IFERROR('Get Started'!$H42/'Get Started'!$H43,0)</f>
        <v>0</v>
      </c>
      <c r="AD233" s="90">
        <f ca="1">AD223*IFERROR('Get Started'!$H42/'Get Started'!$H43,0)</f>
        <v>0</v>
      </c>
      <c r="AE233" s="90">
        <f ca="1">AE223*IFERROR('Get Started'!$H42/'Get Started'!$H43,0)</f>
        <v>0</v>
      </c>
      <c r="AF233" s="90">
        <f ca="1">AF223*IFERROR('Get Started'!$H42/'Get Started'!$H43,0)</f>
        <v>0</v>
      </c>
      <c r="AG233" s="90">
        <f ca="1">AG223*IFERROR('Get Started'!$H42/'Get Started'!$H43,0)</f>
        <v>0</v>
      </c>
      <c r="AH233" s="90">
        <f ca="1">AH223*IFERROR('Get Started'!$H42/'Get Started'!$H43,0)</f>
        <v>0</v>
      </c>
      <c r="AI233" s="90">
        <f ca="1">AI223*IFERROR('Get Started'!$H42/'Get Started'!$H43,0)</f>
        <v>0</v>
      </c>
      <c r="AJ233" s="90">
        <f ca="1">AJ223*IFERROR('Get Started'!$H42/'Get Started'!$H43,0)</f>
        <v>0</v>
      </c>
      <c r="AK233" s="90">
        <f ca="1">AK223*IFERROR('Get Started'!$H42/'Get Started'!$H43,0)</f>
        <v>0</v>
      </c>
      <c r="AL233" s="90">
        <f ca="1">AL223*IFERROR('Get Started'!$H42/'Get Started'!$H43,0)</f>
        <v>0</v>
      </c>
      <c r="AM233" s="90">
        <f ca="1">AM223*IFERROR('Get Started'!$H42/'Get Started'!$H43,0)</f>
        <v>0</v>
      </c>
      <c r="AN233" s="90">
        <f ca="1">AN223*IFERROR('Get Started'!$H42/'Get Started'!$H43,0)</f>
        <v>0</v>
      </c>
      <c r="AO233" s="90">
        <f ca="1">AO223*IFERROR('Get Started'!$H42/'Get Started'!$H43,0)</f>
        <v>0</v>
      </c>
      <c r="AP233" s="90">
        <f ca="1">AP223*IFERROR('Get Started'!$H42/'Get Started'!$H43,0)</f>
        <v>0</v>
      </c>
      <c r="AQ233" s="90">
        <f ca="1">AQ223*IFERROR('Get Started'!$H42/'Get Started'!$H43,0)</f>
        <v>0</v>
      </c>
      <c r="AR233" s="90">
        <f ca="1">AR223*IFERROR('Get Started'!$H42/'Get Started'!$H43,0)</f>
        <v>0</v>
      </c>
      <c r="AS233" s="90">
        <f ca="1">AS223*IFERROR('Get Started'!$H42/'Get Started'!$H43,0)</f>
        <v>0</v>
      </c>
      <c r="AT233" s="90">
        <f ca="1">AT223*IFERROR('Get Started'!$H42/'Get Started'!$H43,0)</f>
        <v>0</v>
      </c>
      <c r="AU233" s="90">
        <f ca="1">AU223*IFERROR('Get Started'!$H42/'Get Started'!$H43,0)</f>
        <v>0</v>
      </c>
      <c r="AV233" s="90">
        <f ca="1">AV223*IFERROR('Get Started'!$H42/'Get Started'!$H43,0)</f>
        <v>0</v>
      </c>
      <c r="AW233" s="90">
        <f ca="1">AW223*IFERROR('Get Started'!$H42/'Get Started'!$H43,0)</f>
        <v>0</v>
      </c>
      <c r="AX233" s="90">
        <f ca="1">AX223*IFERROR('Get Started'!$H42/'Get Started'!$H43,0)</f>
        <v>0</v>
      </c>
      <c r="AY233" s="90">
        <f ca="1">AY223*IFERROR('Get Started'!$H42/'Get Started'!$H43,0)</f>
        <v>0</v>
      </c>
      <c r="AZ233" s="90">
        <f ca="1">AZ223*IFERROR('Get Started'!$H42/'Get Started'!$H43,0)</f>
        <v>0</v>
      </c>
      <c r="BA233" s="90">
        <f ca="1">BA223*IFERROR('Get Started'!$H42/'Get Started'!$H43,0)</f>
        <v>0</v>
      </c>
      <c r="BB233" s="90">
        <f ca="1">BB223*IFERROR('Get Started'!$H42/'Get Started'!$H43,0)</f>
        <v>0</v>
      </c>
      <c r="BC233" s="90">
        <f ca="1">BC223*IFERROR('Get Started'!$H42/'Get Started'!$H43,0)</f>
        <v>0</v>
      </c>
      <c r="BD233" s="90">
        <f ca="1">BD223*IFERROR('Get Started'!$H42/'Get Started'!$H43,0)</f>
        <v>0</v>
      </c>
      <c r="BE233" s="90">
        <f ca="1">BE223*IFERROR('Get Started'!$H42/'Get Started'!$H43,0)</f>
        <v>0</v>
      </c>
      <c r="BF233" s="90">
        <f ca="1">BF223*IFERROR('Get Started'!$H42/'Get Started'!$H43,0)</f>
        <v>0</v>
      </c>
      <c r="BG233" s="90">
        <f ca="1">BG223*IFERROR('Get Started'!$H42/'Get Started'!$H43,0)</f>
        <v>0</v>
      </c>
      <c r="BH233" s="90">
        <f ca="1">BH223*IFERROR('Get Started'!$H42/'Get Started'!$H43,0)</f>
        <v>0</v>
      </c>
      <c r="BI233" s="90">
        <f ca="1">BI223*IFERROR('Get Started'!$H42/'Get Started'!$H43,0)</f>
        <v>0</v>
      </c>
      <c r="BJ233" s="90">
        <f ca="1">BJ223*IFERROR('Get Started'!$H42/'Get Started'!$H43,0)</f>
        <v>0</v>
      </c>
      <c r="BK233" s="90">
        <f ca="1">BK223*IFERROR('Get Started'!$H42/'Get Started'!$H43,0)</f>
        <v>0</v>
      </c>
      <c r="BL233" s="90">
        <f ca="1">BL223*IFERROR('Get Started'!$H42/'Get Started'!$H43,0)</f>
        <v>0</v>
      </c>
      <c r="BM233" s="90">
        <f ca="1">BM223*IFERROR('Get Started'!$H42/'Get Started'!$H43,0)</f>
        <v>0</v>
      </c>
      <c r="BN233" s="90">
        <f ca="1">BN223*IFERROR('Get Started'!$H42/'Get Started'!$H43,0)</f>
        <v>0</v>
      </c>
      <c r="BO233" s="90">
        <f ca="1">BO223*IFERROR('Get Started'!$H42/'Get Started'!$H43,0)</f>
        <v>0</v>
      </c>
      <c r="BP233" s="90">
        <f ca="1">BP223*IFERROR('Get Started'!$H42/'Get Started'!$H43,0)</f>
        <v>0</v>
      </c>
      <c r="BQ233" s="90">
        <f ca="1">BQ223*IFERROR('Get Started'!$H42/'Get Started'!$H43,0)</f>
        <v>0</v>
      </c>
      <c r="BR233" s="90">
        <f ca="1">BR223*IFERROR('Get Started'!$H42/'Get Started'!$H43,0)</f>
        <v>0</v>
      </c>
      <c r="BS233" s="90">
        <f ca="1">BS223*IFERROR('Get Started'!$H42/'Get Started'!$H43,0)</f>
        <v>0</v>
      </c>
      <c r="BT233" s="90">
        <f ca="1">BT223*IFERROR('Get Started'!$H42/'Get Started'!$H43,0)</f>
        <v>0</v>
      </c>
      <c r="BU233" s="90">
        <f ca="1">BU223*IFERROR('Get Started'!$H42/'Get Started'!$H43,0)</f>
        <v>0</v>
      </c>
      <c r="BV233" s="90">
        <f ca="1">BV223*IFERROR('Get Started'!$H42/'Get Started'!$H43,0)</f>
        <v>0</v>
      </c>
      <c r="BW233" s="90">
        <f ca="1">BW223*IFERROR('Get Started'!$H42/'Get Started'!$H43,0)</f>
        <v>0</v>
      </c>
      <c r="BX233" s="90">
        <f ca="1">BX223*IFERROR('Get Started'!$H42/'Get Started'!$H43,0)</f>
        <v>0</v>
      </c>
      <c r="BY233" s="90">
        <f ca="1">BY223*IFERROR('Get Started'!$H42/'Get Started'!$H43,0)</f>
        <v>0</v>
      </c>
      <c r="BZ233" s="90">
        <f ca="1">BZ223*IFERROR('Get Started'!$H42/'Get Started'!$H43,0)</f>
        <v>0</v>
      </c>
      <c r="CA233" s="90">
        <f ca="1">CA223*IFERROR('Get Started'!$H42/'Get Started'!$H43,0)</f>
        <v>0</v>
      </c>
      <c r="CB233" s="90">
        <f ca="1">CB223*IFERROR('Get Started'!$H42/'Get Started'!$H43,0)</f>
        <v>0</v>
      </c>
      <c r="CC233" s="90">
        <f ca="1">CC223*IFERROR('Get Started'!$H42/'Get Started'!$H43,0)</f>
        <v>0</v>
      </c>
      <c r="CD233" s="90">
        <f ca="1">CD223*IFERROR('Get Started'!$H42/'Get Started'!$H43,0)</f>
        <v>0</v>
      </c>
      <c r="CE233" s="90">
        <f ca="1">CE223*IFERROR('Get Started'!$H42/'Get Started'!$H43,0)</f>
        <v>0</v>
      </c>
      <c r="CF233" s="90">
        <f ca="1">CF223*IFERROR('Get Started'!$H42/'Get Started'!$H43,0)</f>
        <v>0</v>
      </c>
      <c r="CG233" s="90">
        <f ca="1">CG223*IFERROR('Get Started'!$H42/'Get Started'!$H43,0)</f>
        <v>0</v>
      </c>
      <c r="CH233" s="90">
        <f ca="1">CH223*IFERROR('Get Started'!$H42/'Get Started'!$H43,0)</f>
        <v>0</v>
      </c>
    </row>
    <row r="234" spans="1:86" ht="13" outlineLevel="1">
      <c r="A234" s="13"/>
      <c r="B234" s="13" t="s">
        <v>330</v>
      </c>
      <c r="C234" s="13"/>
      <c r="D234" s="13" t="s">
        <v>238</v>
      </c>
      <c r="E234" s="88">
        <f t="shared" ca="1" si="172"/>
        <v>0.80849999999999977</v>
      </c>
      <c r="F234" s="48"/>
      <c r="G234" s="90">
        <f t="shared" ref="G234:CH234" ca="1" si="178">SUM(G230:G233)</f>
        <v>4.8125000000000001E-2</v>
      </c>
      <c r="H234" s="90">
        <f t="shared" ca="1" si="178"/>
        <v>4.8125000000000001E-2</v>
      </c>
      <c r="I234" s="90">
        <f t="shared" ca="1" si="178"/>
        <v>4.8125000000000001E-2</v>
      </c>
      <c r="J234" s="90">
        <f t="shared" ca="1" si="178"/>
        <v>4.8125000000000001E-2</v>
      </c>
      <c r="K234" s="90">
        <f t="shared" ca="1" si="178"/>
        <v>4.8125000000000001E-2</v>
      </c>
      <c r="L234" s="90">
        <f t="shared" ca="1" si="178"/>
        <v>4.8125000000000001E-2</v>
      </c>
      <c r="M234" s="90">
        <f t="shared" ca="1" si="178"/>
        <v>4.8125000000000001E-2</v>
      </c>
      <c r="N234" s="90">
        <f t="shared" ca="1" si="178"/>
        <v>4.8125000000000001E-2</v>
      </c>
      <c r="O234" s="90">
        <f t="shared" ca="1" si="178"/>
        <v>4.8125000000000001E-2</v>
      </c>
      <c r="P234" s="90">
        <f t="shared" ca="1" si="178"/>
        <v>4.8125000000000001E-2</v>
      </c>
      <c r="Q234" s="90">
        <f t="shared" ca="1" si="178"/>
        <v>4.8125000000000001E-2</v>
      </c>
      <c r="R234" s="90">
        <f t="shared" ca="1" si="178"/>
        <v>4.8125000000000001E-2</v>
      </c>
      <c r="S234" s="90">
        <f t="shared" ca="1" si="178"/>
        <v>5.775000000000001E-2</v>
      </c>
      <c r="T234" s="90">
        <f t="shared" ca="1" si="178"/>
        <v>5.775000000000001E-2</v>
      </c>
      <c r="U234" s="90">
        <f t="shared" ca="1" si="178"/>
        <v>5.775000000000001E-2</v>
      </c>
      <c r="V234" s="90">
        <f t="shared" ca="1" si="178"/>
        <v>5.775000000000001E-2</v>
      </c>
      <c r="W234" s="90">
        <f t="shared" ca="1" si="178"/>
        <v>0</v>
      </c>
      <c r="X234" s="90">
        <f t="shared" ca="1" si="178"/>
        <v>0</v>
      </c>
      <c r="Y234" s="90">
        <f t="shared" ca="1" si="178"/>
        <v>0</v>
      </c>
      <c r="Z234" s="90">
        <f t="shared" ca="1" si="178"/>
        <v>0</v>
      </c>
      <c r="AA234" s="90">
        <f t="shared" ca="1" si="178"/>
        <v>0</v>
      </c>
      <c r="AB234" s="90">
        <f t="shared" ca="1" si="178"/>
        <v>0</v>
      </c>
      <c r="AC234" s="90">
        <f t="shared" ca="1" si="178"/>
        <v>0</v>
      </c>
      <c r="AD234" s="90">
        <f t="shared" ca="1" si="178"/>
        <v>0</v>
      </c>
      <c r="AE234" s="90">
        <f t="shared" ca="1" si="178"/>
        <v>0</v>
      </c>
      <c r="AF234" s="90">
        <f t="shared" ca="1" si="178"/>
        <v>0</v>
      </c>
      <c r="AG234" s="90">
        <f t="shared" ca="1" si="178"/>
        <v>0</v>
      </c>
      <c r="AH234" s="90">
        <f t="shared" ca="1" si="178"/>
        <v>0</v>
      </c>
      <c r="AI234" s="90">
        <f t="shared" ca="1" si="178"/>
        <v>0</v>
      </c>
      <c r="AJ234" s="90">
        <f t="shared" ca="1" si="178"/>
        <v>0</v>
      </c>
      <c r="AK234" s="90">
        <f t="shared" ca="1" si="178"/>
        <v>0</v>
      </c>
      <c r="AL234" s="90">
        <f t="shared" ca="1" si="178"/>
        <v>0</v>
      </c>
      <c r="AM234" s="90">
        <f t="shared" ca="1" si="178"/>
        <v>0</v>
      </c>
      <c r="AN234" s="90">
        <f t="shared" ca="1" si="178"/>
        <v>0</v>
      </c>
      <c r="AO234" s="90">
        <f t="shared" ca="1" si="178"/>
        <v>0</v>
      </c>
      <c r="AP234" s="90">
        <f t="shared" ca="1" si="178"/>
        <v>0</v>
      </c>
      <c r="AQ234" s="90">
        <f t="shared" ca="1" si="178"/>
        <v>0</v>
      </c>
      <c r="AR234" s="90">
        <f t="shared" ca="1" si="178"/>
        <v>0</v>
      </c>
      <c r="AS234" s="90">
        <f t="shared" ca="1" si="178"/>
        <v>0</v>
      </c>
      <c r="AT234" s="90">
        <f t="shared" ca="1" si="178"/>
        <v>0</v>
      </c>
      <c r="AU234" s="90">
        <f t="shared" ca="1" si="178"/>
        <v>0</v>
      </c>
      <c r="AV234" s="90">
        <f t="shared" ca="1" si="178"/>
        <v>0</v>
      </c>
      <c r="AW234" s="90">
        <f t="shared" ca="1" si="178"/>
        <v>0</v>
      </c>
      <c r="AX234" s="90">
        <f t="shared" ca="1" si="178"/>
        <v>0</v>
      </c>
      <c r="AY234" s="90">
        <f t="shared" ca="1" si="178"/>
        <v>0</v>
      </c>
      <c r="AZ234" s="90">
        <f t="shared" ca="1" si="178"/>
        <v>0</v>
      </c>
      <c r="BA234" s="90">
        <f t="shared" ca="1" si="178"/>
        <v>0</v>
      </c>
      <c r="BB234" s="90">
        <f t="shared" ca="1" si="178"/>
        <v>0</v>
      </c>
      <c r="BC234" s="90">
        <f t="shared" ca="1" si="178"/>
        <v>0</v>
      </c>
      <c r="BD234" s="90">
        <f t="shared" ca="1" si="178"/>
        <v>0</v>
      </c>
      <c r="BE234" s="90">
        <f t="shared" ca="1" si="178"/>
        <v>0</v>
      </c>
      <c r="BF234" s="90">
        <f t="shared" ca="1" si="178"/>
        <v>0</v>
      </c>
      <c r="BG234" s="90">
        <f t="shared" ca="1" si="178"/>
        <v>0</v>
      </c>
      <c r="BH234" s="90">
        <f t="shared" ca="1" si="178"/>
        <v>0</v>
      </c>
      <c r="BI234" s="90">
        <f t="shared" ca="1" si="178"/>
        <v>0</v>
      </c>
      <c r="BJ234" s="90">
        <f t="shared" ca="1" si="178"/>
        <v>0</v>
      </c>
      <c r="BK234" s="90">
        <f t="shared" ca="1" si="178"/>
        <v>0</v>
      </c>
      <c r="BL234" s="90">
        <f t="shared" ca="1" si="178"/>
        <v>0</v>
      </c>
      <c r="BM234" s="90">
        <f t="shared" ca="1" si="178"/>
        <v>0</v>
      </c>
      <c r="BN234" s="90">
        <f t="shared" ca="1" si="178"/>
        <v>0</v>
      </c>
      <c r="BO234" s="90">
        <f t="shared" ca="1" si="178"/>
        <v>0</v>
      </c>
      <c r="BP234" s="90">
        <f t="shared" ca="1" si="178"/>
        <v>0</v>
      </c>
      <c r="BQ234" s="90">
        <f t="shared" ca="1" si="178"/>
        <v>0</v>
      </c>
      <c r="BR234" s="90">
        <f t="shared" ca="1" si="178"/>
        <v>0</v>
      </c>
      <c r="BS234" s="90">
        <f t="shared" ca="1" si="178"/>
        <v>0</v>
      </c>
      <c r="BT234" s="90">
        <f t="shared" ca="1" si="178"/>
        <v>0</v>
      </c>
      <c r="BU234" s="90">
        <f t="shared" ca="1" si="178"/>
        <v>0</v>
      </c>
      <c r="BV234" s="90">
        <f t="shared" ca="1" si="178"/>
        <v>0</v>
      </c>
      <c r="BW234" s="90">
        <f t="shared" ca="1" si="178"/>
        <v>0</v>
      </c>
      <c r="BX234" s="90">
        <f t="shared" ca="1" si="178"/>
        <v>0</v>
      </c>
      <c r="BY234" s="90">
        <f t="shared" ca="1" si="178"/>
        <v>0</v>
      </c>
      <c r="BZ234" s="90">
        <f t="shared" ca="1" si="178"/>
        <v>0</v>
      </c>
      <c r="CA234" s="90">
        <f t="shared" ca="1" si="178"/>
        <v>0</v>
      </c>
      <c r="CB234" s="90">
        <f t="shared" ca="1" si="178"/>
        <v>0</v>
      </c>
      <c r="CC234" s="90">
        <f t="shared" ca="1" si="178"/>
        <v>0</v>
      </c>
      <c r="CD234" s="90">
        <f t="shared" ca="1" si="178"/>
        <v>0</v>
      </c>
      <c r="CE234" s="90">
        <f t="shared" ca="1" si="178"/>
        <v>0</v>
      </c>
      <c r="CF234" s="90">
        <f t="shared" ca="1" si="178"/>
        <v>0</v>
      </c>
      <c r="CG234" s="90">
        <f t="shared" ca="1" si="178"/>
        <v>0</v>
      </c>
      <c r="CH234" s="90">
        <f t="shared" ca="1" si="178"/>
        <v>0</v>
      </c>
    </row>
    <row r="235" spans="1:86" ht="13" outlineLevel="1">
      <c r="A235" s="13"/>
      <c r="B235" s="13" t="s">
        <v>106</v>
      </c>
      <c r="C235" s="13"/>
      <c r="D235" s="13" t="s">
        <v>238</v>
      </c>
      <c r="E235" s="88">
        <f t="shared" ca="1" si="172"/>
        <v>0.80849999999999977</v>
      </c>
      <c r="F235" s="48"/>
      <c r="G235" s="90">
        <f t="shared" ref="G235:CH235" ca="1" si="179">G224+G229</f>
        <v>4.8125000000000001E-2</v>
      </c>
      <c r="H235" s="90">
        <f t="shared" ca="1" si="179"/>
        <v>4.8125000000000001E-2</v>
      </c>
      <c r="I235" s="90">
        <f t="shared" ca="1" si="179"/>
        <v>4.8125000000000001E-2</v>
      </c>
      <c r="J235" s="90">
        <f t="shared" ca="1" si="179"/>
        <v>4.8125000000000001E-2</v>
      </c>
      <c r="K235" s="90">
        <f t="shared" ca="1" si="179"/>
        <v>4.8125000000000001E-2</v>
      </c>
      <c r="L235" s="90">
        <f t="shared" ca="1" si="179"/>
        <v>4.8125000000000001E-2</v>
      </c>
      <c r="M235" s="90">
        <f t="shared" ca="1" si="179"/>
        <v>4.8125000000000001E-2</v>
      </c>
      <c r="N235" s="90">
        <f t="shared" ca="1" si="179"/>
        <v>4.8125000000000001E-2</v>
      </c>
      <c r="O235" s="90">
        <f t="shared" ca="1" si="179"/>
        <v>4.8125000000000001E-2</v>
      </c>
      <c r="P235" s="90">
        <f t="shared" ca="1" si="179"/>
        <v>4.8125000000000001E-2</v>
      </c>
      <c r="Q235" s="90">
        <f t="shared" ca="1" si="179"/>
        <v>4.8125000000000001E-2</v>
      </c>
      <c r="R235" s="90">
        <f t="shared" ca="1" si="179"/>
        <v>4.8125000000000001E-2</v>
      </c>
      <c r="S235" s="90">
        <f t="shared" ca="1" si="179"/>
        <v>5.775000000000001E-2</v>
      </c>
      <c r="T235" s="90">
        <f t="shared" ca="1" si="179"/>
        <v>5.775000000000001E-2</v>
      </c>
      <c r="U235" s="90">
        <f t="shared" ca="1" si="179"/>
        <v>5.775000000000001E-2</v>
      </c>
      <c r="V235" s="90">
        <f t="shared" ca="1" si="179"/>
        <v>5.775000000000001E-2</v>
      </c>
      <c r="W235" s="90">
        <f t="shared" ca="1" si="179"/>
        <v>0</v>
      </c>
      <c r="X235" s="90">
        <f t="shared" ca="1" si="179"/>
        <v>0</v>
      </c>
      <c r="Y235" s="90">
        <f t="shared" ca="1" si="179"/>
        <v>0</v>
      </c>
      <c r="Z235" s="90">
        <f t="shared" ca="1" si="179"/>
        <v>0</v>
      </c>
      <c r="AA235" s="90">
        <f t="shared" ca="1" si="179"/>
        <v>0</v>
      </c>
      <c r="AB235" s="90">
        <f t="shared" ca="1" si="179"/>
        <v>0</v>
      </c>
      <c r="AC235" s="90">
        <f t="shared" ca="1" si="179"/>
        <v>0</v>
      </c>
      <c r="AD235" s="90">
        <f t="shared" ca="1" si="179"/>
        <v>0</v>
      </c>
      <c r="AE235" s="90">
        <f t="shared" ca="1" si="179"/>
        <v>0</v>
      </c>
      <c r="AF235" s="90">
        <f t="shared" ca="1" si="179"/>
        <v>0</v>
      </c>
      <c r="AG235" s="90">
        <f t="shared" ca="1" si="179"/>
        <v>0</v>
      </c>
      <c r="AH235" s="90">
        <f t="shared" ca="1" si="179"/>
        <v>0</v>
      </c>
      <c r="AI235" s="90">
        <f t="shared" ca="1" si="179"/>
        <v>0</v>
      </c>
      <c r="AJ235" s="90">
        <f t="shared" ca="1" si="179"/>
        <v>0</v>
      </c>
      <c r="AK235" s="90">
        <f t="shared" ca="1" si="179"/>
        <v>0</v>
      </c>
      <c r="AL235" s="90">
        <f t="shared" ca="1" si="179"/>
        <v>0</v>
      </c>
      <c r="AM235" s="90">
        <f t="shared" ca="1" si="179"/>
        <v>0</v>
      </c>
      <c r="AN235" s="90">
        <f t="shared" ca="1" si="179"/>
        <v>0</v>
      </c>
      <c r="AO235" s="90">
        <f t="shared" ca="1" si="179"/>
        <v>0</v>
      </c>
      <c r="AP235" s="90">
        <f t="shared" ca="1" si="179"/>
        <v>0</v>
      </c>
      <c r="AQ235" s="90">
        <f t="shared" ca="1" si="179"/>
        <v>0</v>
      </c>
      <c r="AR235" s="90">
        <f t="shared" ca="1" si="179"/>
        <v>0</v>
      </c>
      <c r="AS235" s="90">
        <f t="shared" ca="1" si="179"/>
        <v>0</v>
      </c>
      <c r="AT235" s="90">
        <f t="shared" ca="1" si="179"/>
        <v>0</v>
      </c>
      <c r="AU235" s="90">
        <f t="shared" ca="1" si="179"/>
        <v>0</v>
      </c>
      <c r="AV235" s="90">
        <f t="shared" ca="1" si="179"/>
        <v>0</v>
      </c>
      <c r="AW235" s="90">
        <f t="shared" ca="1" si="179"/>
        <v>0</v>
      </c>
      <c r="AX235" s="90">
        <f t="shared" ca="1" si="179"/>
        <v>0</v>
      </c>
      <c r="AY235" s="90">
        <f t="shared" ca="1" si="179"/>
        <v>0</v>
      </c>
      <c r="AZ235" s="90">
        <f t="shared" ca="1" si="179"/>
        <v>0</v>
      </c>
      <c r="BA235" s="90">
        <f t="shared" ca="1" si="179"/>
        <v>0</v>
      </c>
      <c r="BB235" s="90">
        <f t="shared" ca="1" si="179"/>
        <v>0</v>
      </c>
      <c r="BC235" s="90">
        <f t="shared" ca="1" si="179"/>
        <v>0</v>
      </c>
      <c r="BD235" s="90">
        <f t="shared" ca="1" si="179"/>
        <v>0</v>
      </c>
      <c r="BE235" s="90">
        <f t="shared" ca="1" si="179"/>
        <v>0</v>
      </c>
      <c r="BF235" s="90">
        <f t="shared" ca="1" si="179"/>
        <v>0</v>
      </c>
      <c r="BG235" s="90">
        <f t="shared" ca="1" si="179"/>
        <v>0</v>
      </c>
      <c r="BH235" s="90">
        <f t="shared" ca="1" si="179"/>
        <v>0</v>
      </c>
      <c r="BI235" s="90">
        <f t="shared" ca="1" si="179"/>
        <v>0</v>
      </c>
      <c r="BJ235" s="90">
        <f t="shared" ca="1" si="179"/>
        <v>0</v>
      </c>
      <c r="BK235" s="90">
        <f t="shared" ca="1" si="179"/>
        <v>0</v>
      </c>
      <c r="BL235" s="90">
        <f t="shared" ca="1" si="179"/>
        <v>0</v>
      </c>
      <c r="BM235" s="90">
        <f t="shared" ca="1" si="179"/>
        <v>0</v>
      </c>
      <c r="BN235" s="90">
        <f t="shared" ca="1" si="179"/>
        <v>0</v>
      </c>
      <c r="BO235" s="90">
        <f t="shared" ca="1" si="179"/>
        <v>0</v>
      </c>
      <c r="BP235" s="90">
        <f t="shared" ca="1" si="179"/>
        <v>0</v>
      </c>
      <c r="BQ235" s="90">
        <f t="shared" ca="1" si="179"/>
        <v>0</v>
      </c>
      <c r="BR235" s="90">
        <f t="shared" ca="1" si="179"/>
        <v>0</v>
      </c>
      <c r="BS235" s="90">
        <f t="shared" ca="1" si="179"/>
        <v>0</v>
      </c>
      <c r="BT235" s="90">
        <f t="shared" ca="1" si="179"/>
        <v>0</v>
      </c>
      <c r="BU235" s="90">
        <f t="shared" ca="1" si="179"/>
        <v>0</v>
      </c>
      <c r="BV235" s="90">
        <f t="shared" ca="1" si="179"/>
        <v>0</v>
      </c>
      <c r="BW235" s="90">
        <f t="shared" ca="1" si="179"/>
        <v>0</v>
      </c>
      <c r="BX235" s="90">
        <f t="shared" ca="1" si="179"/>
        <v>0</v>
      </c>
      <c r="BY235" s="90">
        <f t="shared" ca="1" si="179"/>
        <v>0</v>
      </c>
      <c r="BZ235" s="90">
        <f t="shared" ca="1" si="179"/>
        <v>0</v>
      </c>
      <c r="CA235" s="90">
        <f t="shared" ca="1" si="179"/>
        <v>0</v>
      </c>
      <c r="CB235" s="90">
        <f t="shared" ca="1" si="179"/>
        <v>0</v>
      </c>
      <c r="CC235" s="90">
        <f t="shared" ca="1" si="179"/>
        <v>0</v>
      </c>
      <c r="CD235" s="90">
        <f t="shared" ca="1" si="179"/>
        <v>0</v>
      </c>
      <c r="CE235" s="90">
        <f t="shared" ca="1" si="179"/>
        <v>0</v>
      </c>
      <c r="CF235" s="90">
        <f t="shared" ca="1" si="179"/>
        <v>0</v>
      </c>
      <c r="CG235" s="90">
        <f t="shared" ca="1" si="179"/>
        <v>0</v>
      </c>
      <c r="CH235" s="90">
        <f t="shared" ca="1" si="179"/>
        <v>0</v>
      </c>
    </row>
    <row r="236" spans="1:86" ht="13" outlineLevel="1">
      <c r="A236" s="13"/>
      <c r="B236" s="13" t="s">
        <v>331</v>
      </c>
      <c r="C236" s="13"/>
      <c r="D236" s="13" t="s">
        <v>238</v>
      </c>
      <c r="E236" s="88">
        <f t="shared" ca="1" si="172"/>
        <v>5.3991630000000024</v>
      </c>
      <c r="F236" s="48"/>
      <c r="G236" s="90">
        <f ca="1">(IF(G4&lt;'Get Started'!$H112,0,OFFSET(G234,0,-1*'Get Started'!$H112)*'Get Started'!$H42*'Get Started'!$G112)+IF(G4&lt;'Get Started'!$H111,0,OFFSET(G234,0,-1*'Get Started'!$H111)*'Get Started'!$G42*'Get Started'!$G111)+IF(G4&lt;'Get Started'!$H110,0,OFFSET(G234,0,-1*'Get Started'!$H110)*'Get Started'!$F42*'Get Started'!$G110)+IF(G4&lt;'Get Started'!$H109,0,OFFSET(G234,0,-1*'Get Started'!$H109)*'Get Started'!$E42*'Get Started'!$G109))</f>
        <v>0</v>
      </c>
      <c r="H236" s="90">
        <f ca="1">(IF(H4&lt;'Get Started'!$H112,0,OFFSET(H234,0,-1*'Get Started'!$H112)*'Get Started'!$H42*'Get Started'!$G112)+IF(H4&lt;'Get Started'!$H111,0,OFFSET(H234,0,-1*'Get Started'!$H111)*'Get Started'!$G42*'Get Started'!$G111)+IF(H4&lt;'Get Started'!$H110,0,OFFSET(H234,0,-1*'Get Started'!$H110)*'Get Started'!$F42*'Get Started'!$G110)+IF(H4&lt;'Get Started'!$H109,0,OFFSET(H234,0,-1*'Get Started'!$H109)*'Get Started'!$E42*'Get Started'!$G109))</f>
        <v>0</v>
      </c>
      <c r="I236" s="90">
        <f ca="1">(IF(I4&lt;'Get Started'!$H112,0,OFFSET(I234,0,-1*'Get Started'!$H112)*'Get Started'!$H42*'Get Started'!$G112)+IF(I4&lt;'Get Started'!$H111,0,OFFSET(I234,0,-1*'Get Started'!$H111)*'Get Started'!$G42*'Get Started'!$G111)+IF(I4&lt;'Get Started'!$H110,0,OFFSET(I234,0,-1*'Get Started'!$H110)*'Get Started'!$F42*'Get Started'!$G110)+IF(I4&lt;'Get Started'!$H109,0,OFFSET(I234,0,-1*'Get Started'!$H109)*'Get Started'!$E42*'Get Started'!$G109))</f>
        <v>0</v>
      </c>
      <c r="J236" s="90">
        <f ca="1">(IF(J4&lt;'Get Started'!$H112,0,OFFSET(J234,0,-1*'Get Started'!$H112)*'Get Started'!$H42*'Get Started'!$G112)+IF(J4&lt;'Get Started'!$H111,0,OFFSET(J234,0,-1*'Get Started'!$H111)*'Get Started'!$G42*'Get Started'!$G111)+IF(J4&lt;'Get Started'!$H110,0,OFFSET(J234,0,-1*'Get Started'!$H110)*'Get Started'!$F42*'Get Started'!$G110)+IF(J4&lt;'Get Started'!$H109,0,OFFSET(J234,0,-1*'Get Started'!$H109)*'Get Started'!$E42*'Get Started'!$G109))</f>
        <v>0</v>
      </c>
      <c r="K236" s="90">
        <f ca="1">(IF(K4&lt;'Get Started'!$H112,0,OFFSET(K234,0,-1*'Get Started'!$H112)*'Get Started'!$H42*'Get Started'!$G112)+IF(K4&lt;'Get Started'!$H111,0,OFFSET(K234,0,-1*'Get Started'!$H111)*'Get Started'!$G42*'Get Started'!$G111)+IF(K4&lt;'Get Started'!$H110,0,OFFSET(K234,0,-1*'Get Started'!$H110)*'Get Started'!$F42*'Get Started'!$G110)+IF(K4&lt;'Get Started'!$H109,0,OFFSET(K234,0,-1*'Get Started'!$H109)*'Get Started'!$E42*'Get Started'!$G109))</f>
        <v>0</v>
      </c>
      <c r="L236" s="90">
        <f ca="1">(IF(L4&lt;'Get Started'!$H112,0,OFFSET(L234,0,-1*'Get Started'!$H112)*'Get Started'!$H42*'Get Started'!$G112)+IF(L4&lt;'Get Started'!$H111,0,OFFSET(L234,0,-1*'Get Started'!$H111)*'Get Started'!$G42*'Get Started'!$G111)+IF(L4&lt;'Get Started'!$H110,0,OFFSET(L234,0,-1*'Get Started'!$H110)*'Get Started'!$F42*'Get Started'!$G110)+IF(L4&lt;'Get Started'!$H109,0,OFFSET(L234,0,-1*'Get Started'!$H109)*'Get Started'!$E42*'Get Started'!$G109))</f>
        <v>0</v>
      </c>
      <c r="M236" s="90">
        <f ca="1">(IF(M4&lt;'Get Started'!$H112,0,OFFSET(M234,0,-1*'Get Started'!$H112)*'Get Started'!$H42*'Get Started'!$G112)+IF(M4&lt;'Get Started'!$H111,0,OFFSET(M234,0,-1*'Get Started'!$H111)*'Get Started'!$G42*'Get Started'!$G111)+IF(M4&lt;'Get Started'!$H110,0,OFFSET(M234,0,-1*'Get Started'!$H110)*'Get Started'!$F42*'Get Started'!$G110)+IF(M4&lt;'Get Started'!$H109,0,OFFSET(M234,0,-1*'Get Started'!$H109)*'Get Started'!$E42*'Get Started'!$G109))</f>
        <v>0</v>
      </c>
      <c r="N236" s="90">
        <f ca="1">(IF(N4&lt;'Get Started'!$H112,0,OFFSET(N234,0,-1*'Get Started'!$H112)*'Get Started'!$H42*'Get Started'!$G112)+IF(N4&lt;'Get Started'!$H111,0,OFFSET(N234,0,-1*'Get Started'!$H111)*'Get Started'!$G42*'Get Started'!$G111)+IF(N4&lt;'Get Started'!$H110,0,OFFSET(N234,0,-1*'Get Started'!$H110)*'Get Started'!$F42*'Get Started'!$G110)+IF(N4&lt;'Get Started'!$H109,0,OFFSET(N234,0,-1*'Get Started'!$H109)*'Get Started'!$E42*'Get Started'!$G109))</f>
        <v>0</v>
      </c>
      <c r="O236" s="90">
        <f ca="1">(IF(O4&lt;'Get Started'!$H112,0,OFFSET(O234,0,-1*'Get Started'!$H112)*'Get Started'!$H42*'Get Started'!$G112)+IF(O4&lt;'Get Started'!$H111,0,OFFSET(O234,0,-1*'Get Started'!$H111)*'Get Started'!$G42*'Get Started'!$G111)+IF(O4&lt;'Get Started'!$H110,0,OFFSET(O234,0,-1*'Get Started'!$H110)*'Get Started'!$F42*'Get Started'!$G110)+IF(O4&lt;'Get Started'!$H109,0,OFFSET(O234,0,-1*'Get Started'!$H109)*'Get Started'!$E42*'Get Started'!$G109))</f>
        <v>0</v>
      </c>
      <c r="P236" s="90">
        <f ca="1">(IF(P4&lt;'Get Started'!$H112,0,OFFSET(P234,0,-1*'Get Started'!$H112)*'Get Started'!$H42*'Get Started'!$G112)+IF(P4&lt;'Get Started'!$H111,0,OFFSET(P234,0,-1*'Get Started'!$H111)*'Get Started'!$G42*'Get Started'!$G111)+IF(P4&lt;'Get Started'!$H110,0,OFFSET(P234,0,-1*'Get Started'!$H110)*'Get Started'!$F42*'Get Started'!$G110)+IF(P4&lt;'Get Started'!$H109,0,OFFSET(P234,0,-1*'Get Started'!$H109)*'Get Started'!$E42*'Get Started'!$G109))</f>
        <v>0</v>
      </c>
      <c r="Q236" s="90">
        <f ca="1">(IF(Q4&lt;'Get Started'!$H112,0,OFFSET(Q234,0,-1*'Get Started'!$H112)*'Get Started'!$H42*'Get Started'!$G112)+IF(Q4&lt;'Get Started'!$H111,0,OFFSET(Q234,0,-1*'Get Started'!$H111)*'Get Started'!$G42*'Get Started'!$G111)+IF(Q4&lt;'Get Started'!$H110,0,OFFSET(Q234,0,-1*'Get Started'!$H110)*'Get Started'!$F42*'Get Started'!$G110)+IF(Q4&lt;'Get Started'!$H109,0,OFFSET(Q234,0,-1*'Get Started'!$H109)*'Get Started'!$E42*'Get Started'!$G109))</f>
        <v>0</v>
      </c>
      <c r="R236" s="90">
        <f ca="1">(IF(R4&lt;'Get Started'!$H112,0,OFFSET(R234,0,-1*'Get Started'!$H112)*'Get Started'!$H42*'Get Started'!$G112)+IF(R4&lt;'Get Started'!$H111,0,OFFSET(R234,0,-1*'Get Started'!$H111)*'Get Started'!$G42*'Get Started'!$G111)+IF(R4&lt;'Get Started'!$H110,0,OFFSET(R234,0,-1*'Get Started'!$H110)*'Get Started'!$F42*'Get Started'!$G110)+IF(R4&lt;'Get Started'!$H109,0,OFFSET(R234,0,-1*'Get Started'!$H109)*'Get Started'!$E42*'Get Started'!$G109))</f>
        <v>0</v>
      </c>
      <c r="S236" s="90">
        <f ca="1">(IF(S4&lt;'Get Started'!$H112,0,OFFSET(S234,0,-1*'Get Started'!$H112)*'Get Started'!$H42*'Get Started'!$G112)+IF(S4&lt;'Get Started'!$H111,0,OFFSET(S234,0,-1*'Get Started'!$H111)*'Get Started'!$G42*'Get Started'!$G111)+IF(S4&lt;'Get Started'!$H110,0,OFFSET(S234,0,-1*'Get Started'!$H110)*'Get Started'!$F42*'Get Started'!$G110)+IF(S4&lt;'Get Started'!$H109,0,OFFSET(S234,0,-1*'Get Started'!$H109)*'Get Started'!$E42*'Get Started'!$G109))</f>
        <v>4.8510000000000025E-2</v>
      </c>
      <c r="T236" s="90">
        <f ca="1">(IF(T4&lt;'Get Started'!$H112,0,OFFSET(T234,0,-1*'Get Started'!$H112)*'Get Started'!$H42*'Get Started'!$G112)+IF(T4&lt;'Get Started'!$H111,0,OFFSET(T234,0,-1*'Get Started'!$H111)*'Get Started'!$G42*'Get Started'!$G111)+IF(T4&lt;'Get Started'!$H110,0,OFFSET(T234,0,-1*'Get Started'!$H110)*'Get Started'!$F42*'Get Started'!$G110)+IF(T4&lt;'Get Started'!$H109,0,OFFSET(T234,0,-1*'Get Started'!$H109)*'Get Started'!$E42*'Get Started'!$G109))</f>
        <v>4.8510000000000025E-2</v>
      </c>
      <c r="U236" s="90">
        <f ca="1">(IF(U4&lt;'Get Started'!$H112,0,OFFSET(U234,0,-1*'Get Started'!$H112)*'Get Started'!$H42*'Get Started'!$G112)+IF(U4&lt;'Get Started'!$H111,0,OFFSET(U234,0,-1*'Get Started'!$H111)*'Get Started'!$G42*'Get Started'!$G111)+IF(U4&lt;'Get Started'!$H110,0,OFFSET(U234,0,-1*'Get Started'!$H110)*'Get Started'!$F42*'Get Started'!$G110)+IF(U4&lt;'Get Started'!$H109,0,OFFSET(U234,0,-1*'Get Started'!$H109)*'Get Started'!$E42*'Get Started'!$G109))</f>
        <v>4.8510000000000025E-2</v>
      </c>
      <c r="V236" s="90">
        <f ca="1">(IF(V4&lt;'Get Started'!$H112,0,OFFSET(V234,0,-1*'Get Started'!$H112)*'Get Started'!$H42*'Get Started'!$G112)+IF(V4&lt;'Get Started'!$H111,0,OFFSET(V234,0,-1*'Get Started'!$H111)*'Get Started'!$G42*'Get Started'!$G111)+IF(V4&lt;'Get Started'!$H110,0,OFFSET(V234,0,-1*'Get Started'!$H110)*'Get Started'!$F42*'Get Started'!$G110)+IF(V4&lt;'Get Started'!$H109,0,OFFSET(V234,0,-1*'Get Started'!$H109)*'Get Started'!$E42*'Get Started'!$G109))</f>
        <v>4.8510000000000025E-2</v>
      </c>
      <c r="W236" s="90">
        <f ca="1">(IF(W4&lt;'Get Started'!$H112,0,OFFSET(W234,0,-1*'Get Started'!$H112)*'Get Started'!$H42*'Get Started'!$G112)+IF(W4&lt;'Get Started'!$H111,0,OFFSET(W234,0,-1*'Get Started'!$H111)*'Get Started'!$G42*'Get Started'!$G111)+IF(W4&lt;'Get Started'!$H110,0,OFFSET(W234,0,-1*'Get Started'!$H110)*'Get Started'!$F42*'Get Started'!$G110)+IF(W4&lt;'Get Started'!$H109,0,OFFSET(W234,0,-1*'Get Started'!$H109)*'Get Started'!$E42*'Get Started'!$G109))</f>
        <v>0.13946625000000007</v>
      </c>
      <c r="X236" s="90">
        <f ca="1">(IF(X4&lt;'Get Started'!$H112,0,OFFSET(X234,0,-1*'Get Started'!$H112)*'Get Started'!$H42*'Get Started'!$G112)+IF(X4&lt;'Get Started'!$H111,0,OFFSET(X234,0,-1*'Get Started'!$H111)*'Get Started'!$G42*'Get Started'!$G111)+IF(X4&lt;'Get Started'!$H110,0,OFFSET(X234,0,-1*'Get Started'!$H110)*'Get Started'!$F42*'Get Started'!$G110)+IF(X4&lt;'Get Started'!$H109,0,OFFSET(X234,0,-1*'Get Started'!$H109)*'Get Started'!$E42*'Get Started'!$G109))</f>
        <v>0.13946625000000007</v>
      </c>
      <c r="Y236" s="90">
        <f ca="1">(IF(Y4&lt;'Get Started'!$H112,0,OFFSET(Y234,0,-1*'Get Started'!$H112)*'Get Started'!$H42*'Get Started'!$G112)+IF(Y4&lt;'Get Started'!$H111,0,OFFSET(Y234,0,-1*'Get Started'!$H111)*'Get Started'!$G42*'Get Started'!$G111)+IF(Y4&lt;'Get Started'!$H110,0,OFFSET(Y234,0,-1*'Get Started'!$H110)*'Get Started'!$F42*'Get Started'!$G110)+IF(Y4&lt;'Get Started'!$H109,0,OFFSET(Y234,0,-1*'Get Started'!$H109)*'Get Started'!$E42*'Get Started'!$G109))</f>
        <v>0.13946625000000007</v>
      </c>
      <c r="Z236" s="90">
        <f ca="1">(IF(Z4&lt;'Get Started'!$H112,0,OFFSET(Z234,0,-1*'Get Started'!$H112)*'Get Started'!$H42*'Get Started'!$G112)+IF(Z4&lt;'Get Started'!$H111,0,OFFSET(Z234,0,-1*'Get Started'!$H111)*'Get Started'!$G42*'Get Started'!$G111)+IF(Z4&lt;'Get Started'!$H110,0,OFFSET(Z234,0,-1*'Get Started'!$H110)*'Get Started'!$F42*'Get Started'!$G110)+IF(Z4&lt;'Get Started'!$H109,0,OFFSET(Z234,0,-1*'Get Started'!$H109)*'Get Started'!$E42*'Get Started'!$G109))</f>
        <v>0.13946625000000007</v>
      </c>
      <c r="AA236" s="90">
        <f ca="1">(IF(AA4&lt;'Get Started'!$H112,0,OFFSET(AA234,0,-1*'Get Started'!$H112)*'Get Started'!$H42*'Get Started'!$G112)+IF(AA4&lt;'Get Started'!$H111,0,OFFSET(AA234,0,-1*'Get Started'!$H111)*'Get Started'!$G42*'Get Started'!$G111)+IF(AA4&lt;'Get Started'!$H110,0,OFFSET(AA234,0,-1*'Get Started'!$H110)*'Get Started'!$F42*'Get Started'!$G110)+IF(AA4&lt;'Get Started'!$H109,0,OFFSET(AA234,0,-1*'Get Started'!$H109)*'Get Started'!$E42*'Get Started'!$G109))</f>
        <v>0.13946625000000007</v>
      </c>
      <c r="AB236" s="90">
        <f ca="1">(IF(AB4&lt;'Get Started'!$H112,0,OFFSET(AB234,0,-1*'Get Started'!$H112)*'Get Started'!$H42*'Get Started'!$G112)+IF(AB4&lt;'Get Started'!$H111,0,OFFSET(AB234,0,-1*'Get Started'!$H111)*'Get Started'!$G42*'Get Started'!$G111)+IF(AB4&lt;'Get Started'!$H110,0,OFFSET(AB234,0,-1*'Get Started'!$H110)*'Get Started'!$F42*'Get Started'!$G110)+IF(AB4&lt;'Get Started'!$H109,0,OFFSET(AB234,0,-1*'Get Started'!$H109)*'Get Started'!$E42*'Get Started'!$G109))</f>
        <v>0.13946625000000007</v>
      </c>
      <c r="AC236" s="90">
        <f ca="1">(IF(AC4&lt;'Get Started'!$H112,0,OFFSET(AC234,0,-1*'Get Started'!$H112)*'Get Started'!$H42*'Get Started'!$G112)+IF(AC4&lt;'Get Started'!$H111,0,OFFSET(AC234,0,-1*'Get Started'!$H111)*'Get Started'!$G42*'Get Started'!$G111)+IF(AC4&lt;'Get Started'!$H110,0,OFFSET(AC234,0,-1*'Get Started'!$H110)*'Get Started'!$F42*'Get Started'!$G110)+IF(AC4&lt;'Get Started'!$H109,0,OFFSET(AC234,0,-1*'Get Started'!$H109)*'Get Started'!$E42*'Get Started'!$G109))</f>
        <v>0.13946625000000007</v>
      </c>
      <c r="AD236" s="90">
        <f ca="1">(IF(AD4&lt;'Get Started'!$H112,0,OFFSET(AD234,0,-1*'Get Started'!$H112)*'Get Started'!$H42*'Get Started'!$G112)+IF(AD4&lt;'Get Started'!$H111,0,OFFSET(AD234,0,-1*'Get Started'!$H111)*'Get Started'!$G42*'Get Started'!$G111)+IF(AD4&lt;'Get Started'!$H110,0,OFFSET(AD234,0,-1*'Get Started'!$H110)*'Get Started'!$F42*'Get Started'!$G110)+IF(AD4&lt;'Get Started'!$H109,0,OFFSET(AD234,0,-1*'Get Started'!$H109)*'Get Started'!$E42*'Get Started'!$G109))</f>
        <v>0.13946625000000007</v>
      </c>
      <c r="AE236" s="90">
        <f ca="1">(IF(AE4&lt;'Get Started'!$H112,0,OFFSET(AE234,0,-1*'Get Started'!$H112)*'Get Started'!$H42*'Get Started'!$G112)+IF(AE4&lt;'Get Started'!$H111,0,OFFSET(AE234,0,-1*'Get Started'!$H111)*'Get Started'!$G42*'Get Started'!$G111)+IF(AE4&lt;'Get Started'!$H110,0,OFFSET(AE234,0,-1*'Get Started'!$H110)*'Get Started'!$F42*'Get Started'!$G110)+IF(AE4&lt;'Get Started'!$H109,0,OFFSET(AE234,0,-1*'Get Started'!$H109)*'Get Started'!$E42*'Get Started'!$G109))</f>
        <v>0.33108075000000003</v>
      </c>
      <c r="AF236" s="90">
        <f ca="1">(IF(AF4&lt;'Get Started'!$H112,0,OFFSET(AF234,0,-1*'Get Started'!$H112)*'Get Started'!$H42*'Get Started'!$G112)+IF(AF4&lt;'Get Started'!$H111,0,OFFSET(AF234,0,-1*'Get Started'!$H111)*'Get Started'!$G42*'Get Started'!$G111)+IF(AF4&lt;'Get Started'!$H110,0,OFFSET(AF234,0,-1*'Get Started'!$H110)*'Get Started'!$F42*'Get Started'!$G110)+IF(AF4&lt;'Get Started'!$H109,0,OFFSET(AF234,0,-1*'Get Started'!$H109)*'Get Started'!$E42*'Get Started'!$G109))</f>
        <v>0.33108075000000003</v>
      </c>
      <c r="AG236" s="90">
        <f ca="1">(IF(AG4&lt;'Get Started'!$H112,0,OFFSET(AG234,0,-1*'Get Started'!$H112)*'Get Started'!$H42*'Get Started'!$G112)+IF(AG4&lt;'Get Started'!$H111,0,OFFSET(AG234,0,-1*'Get Started'!$H111)*'Get Started'!$G42*'Get Started'!$G111)+IF(AG4&lt;'Get Started'!$H110,0,OFFSET(AG234,0,-1*'Get Started'!$H110)*'Get Started'!$F42*'Get Started'!$G110)+IF(AG4&lt;'Get Started'!$H109,0,OFFSET(AG234,0,-1*'Get Started'!$H109)*'Get Started'!$E42*'Get Started'!$G109))</f>
        <v>0.33108075000000003</v>
      </c>
      <c r="AH236" s="90">
        <f ca="1">(IF(AH4&lt;'Get Started'!$H112,0,OFFSET(AH234,0,-1*'Get Started'!$H112)*'Get Started'!$H42*'Get Started'!$G112)+IF(AH4&lt;'Get Started'!$H111,0,OFFSET(AH234,0,-1*'Get Started'!$H111)*'Get Started'!$G42*'Get Started'!$G111)+IF(AH4&lt;'Get Started'!$H110,0,OFFSET(AH234,0,-1*'Get Started'!$H110)*'Get Started'!$F42*'Get Started'!$G110)+IF(AH4&lt;'Get Started'!$H109,0,OFFSET(AH234,0,-1*'Get Started'!$H109)*'Get Started'!$E42*'Get Started'!$G109))</f>
        <v>0.33108075000000003</v>
      </c>
      <c r="AI236" s="90">
        <f ca="1">(IF(AI4&lt;'Get Started'!$H112,0,OFFSET(AI234,0,-1*'Get Started'!$H112)*'Get Started'!$H42*'Get Started'!$G112)+IF(AI4&lt;'Get Started'!$H111,0,OFFSET(AI234,0,-1*'Get Started'!$H111)*'Get Started'!$G42*'Get Started'!$G111)+IF(AI4&lt;'Get Started'!$H110,0,OFFSET(AI234,0,-1*'Get Started'!$H110)*'Get Started'!$F42*'Get Started'!$G110)+IF(AI4&lt;'Get Started'!$H109,0,OFFSET(AI234,0,-1*'Get Started'!$H109)*'Get Started'!$E42*'Get Started'!$G109))</f>
        <v>0.29105999999999999</v>
      </c>
      <c r="AJ236" s="90">
        <f ca="1">(IF(AJ4&lt;'Get Started'!$H112,0,OFFSET(AJ234,0,-1*'Get Started'!$H112)*'Get Started'!$H42*'Get Started'!$G112)+IF(AJ4&lt;'Get Started'!$H111,0,OFFSET(AJ234,0,-1*'Get Started'!$H111)*'Get Started'!$G42*'Get Started'!$G111)+IF(AJ4&lt;'Get Started'!$H110,0,OFFSET(AJ234,0,-1*'Get Started'!$H110)*'Get Started'!$F42*'Get Started'!$G110)+IF(AJ4&lt;'Get Started'!$H109,0,OFFSET(AJ234,0,-1*'Get Started'!$H109)*'Get Started'!$E42*'Get Started'!$G109))</f>
        <v>0.29105999999999999</v>
      </c>
      <c r="AK236" s="90">
        <f ca="1">(IF(AK4&lt;'Get Started'!$H112,0,OFFSET(AK234,0,-1*'Get Started'!$H112)*'Get Started'!$H42*'Get Started'!$G112)+IF(AK4&lt;'Get Started'!$H111,0,OFFSET(AK234,0,-1*'Get Started'!$H111)*'Get Started'!$G42*'Get Started'!$G111)+IF(AK4&lt;'Get Started'!$H110,0,OFFSET(AK234,0,-1*'Get Started'!$H110)*'Get Started'!$F42*'Get Started'!$G110)+IF(AK4&lt;'Get Started'!$H109,0,OFFSET(AK234,0,-1*'Get Started'!$H109)*'Get Started'!$E42*'Get Started'!$G109))</f>
        <v>0.29105999999999999</v>
      </c>
      <c r="AL236" s="90">
        <f ca="1">(IF(AL4&lt;'Get Started'!$H112,0,OFFSET(AL234,0,-1*'Get Started'!$H112)*'Get Started'!$H42*'Get Started'!$G112)+IF(AL4&lt;'Get Started'!$H111,0,OFFSET(AL234,0,-1*'Get Started'!$H111)*'Get Started'!$G42*'Get Started'!$G111)+IF(AL4&lt;'Get Started'!$H110,0,OFFSET(AL234,0,-1*'Get Started'!$H110)*'Get Started'!$F42*'Get Started'!$G110)+IF(AL4&lt;'Get Started'!$H109,0,OFFSET(AL234,0,-1*'Get Started'!$H109)*'Get Started'!$E42*'Get Started'!$G109))</f>
        <v>0.29105999999999999</v>
      </c>
      <c r="AM236" s="90">
        <f ca="1">(IF(AM4&lt;'Get Started'!$H112,0,OFFSET(AM234,0,-1*'Get Started'!$H112)*'Get Started'!$H42*'Get Started'!$G112)+IF(AM4&lt;'Get Started'!$H111,0,OFFSET(AM234,0,-1*'Get Started'!$H111)*'Get Started'!$G42*'Get Started'!$G111)+IF(AM4&lt;'Get Started'!$H110,0,OFFSET(AM234,0,-1*'Get Started'!$H110)*'Get Started'!$F42*'Get Started'!$G110)+IF(AM4&lt;'Get Started'!$H109,0,OFFSET(AM234,0,-1*'Get Started'!$H109)*'Get Started'!$E42*'Get Started'!$G109))</f>
        <v>0.18191249999999995</v>
      </c>
      <c r="AN236" s="90">
        <f ca="1">(IF(AN4&lt;'Get Started'!$H112,0,OFFSET(AN234,0,-1*'Get Started'!$H112)*'Get Started'!$H42*'Get Started'!$G112)+IF(AN4&lt;'Get Started'!$H111,0,OFFSET(AN234,0,-1*'Get Started'!$H111)*'Get Started'!$G42*'Get Started'!$G111)+IF(AN4&lt;'Get Started'!$H110,0,OFFSET(AN234,0,-1*'Get Started'!$H110)*'Get Started'!$F42*'Get Started'!$G110)+IF(AN4&lt;'Get Started'!$H109,0,OFFSET(AN234,0,-1*'Get Started'!$H109)*'Get Started'!$E42*'Get Started'!$G109))</f>
        <v>0.18191249999999995</v>
      </c>
      <c r="AO236" s="90">
        <f ca="1">(IF(AO4&lt;'Get Started'!$H112,0,OFFSET(AO234,0,-1*'Get Started'!$H112)*'Get Started'!$H42*'Get Started'!$G112)+IF(AO4&lt;'Get Started'!$H111,0,OFFSET(AO234,0,-1*'Get Started'!$H111)*'Get Started'!$G42*'Get Started'!$G111)+IF(AO4&lt;'Get Started'!$H110,0,OFFSET(AO234,0,-1*'Get Started'!$H110)*'Get Started'!$F42*'Get Started'!$G110)+IF(AO4&lt;'Get Started'!$H109,0,OFFSET(AO234,0,-1*'Get Started'!$H109)*'Get Started'!$E42*'Get Started'!$G109))</f>
        <v>0.18191249999999995</v>
      </c>
      <c r="AP236" s="90">
        <f ca="1">(IF(AP4&lt;'Get Started'!$H112,0,OFFSET(AP234,0,-1*'Get Started'!$H112)*'Get Started'!$H42*'Get Started'!$G112)+IF(AP4&lt;'Get Started'!$H111,0,OFFSET(AP234,0,-1*'Get Started'!$H111)*'Get Started'!$G42*'Get Started'!$G111)+IF(AP4&lt;'Get Started'!$H110,0,OFFSET(AP234,0,-1*'Get Started'!$H110)*'Get Started'!$F42*'Get Started'!$G110)+IF(AP4&lt;'Get Started'!$H109,0,OFFSET(AP234,0,-1*'Get Started'!$H109)*'Get Started'!$E42*'Get Started'!$G109))</f>
        <v>0.18191249999999995</v>
      </c>
      <c r="AQ236" s="90">
        <f ca="1">(IF(AQ4&lt;'Get Started'!$H112,0,OFFSET(AQ234,0,-1*'Get Started'!$H112)*'Get Started'!$H42*'Get Started'!$G112)+IF(AQ4&lt;'Get Started'!$H111,0,OFFSET(AQ234,0,-1*'Get Started'!$H111)*'Get Started'!$G42*'Get Started'!$G111)+IF(AQ4&lt;'Get Started'!$H110,0,OFFSET(AQ234,0,-1*'Get Started'!$H110)*'Get Started'!$F42*'Get Started'!$G110)+IF(AQ4&lt;'Get Started'!$H109,0,OFFSET(AQ234,0,-1*'Get Started'!$H109)*'Get Started'!$E42*'Get Started'!$G109))</f>
        <v>0.21829499999999996</v>
      </c>
      <c r="AR236" s="90">
        <f ca="1">(IF(AR4&lt;'Get Started'!$H112,0,OFFSET(AR234,0,-1*'Get Started'!$H112)*'Get Started'!$H42*'Get Started'!$G112)+IF(AR4&lt;'Get Started'!$H111,0,OFFSET(AR234,0,-1*'Get Started'!$H111)*'Get Started'!$G42*'Get Started'!$G111)+IF(AR4&lt;'Get Started'!$H110,0,OFFSET(AR234,0,-1*'Get Started'!$H110)*'Get Started'!$F42*'Get Started'!$G110)+IF(AR4&lt;'Get Started'!$H109,0,OFFSET(AR234,0,-1*'Get Started'!$H109)*'Get Started'!$E42*'Get Started'!$G109))</f>
        <v>0.21829499999999996</v>
      </c>
      <c r="AS236" s="90">
        <f ca="1">(IF(AS4&lt;'Get Started'!$H112,0,OFFSET(AS234,0,-1*'Get Started'!$H112)*'Get Started'!$H42*'Get Started'!$G112)+IF(AS4&lt;'Get Started'!$H111,0,OFFSET(AS234,0,-1*'Get Started'!$H111)*'Get Started'!$G42*'Get Started'!$G111)+IF(AS4&lt;'Get Started'!$H110,0,OFFSET(AS234,0,-1*'Get Started'!$H110)*'Get Started'!$F42*'Get Started'!$G110)+IF(AS4&lt;'Get Started'!$H109,0,OFFSET(AS234,0,-1*'Get Started'!$H109)*'Get Started'!$E42*'Get Started'!$G109))</f>
        <v>0.21829499999999996</v>
      </c>
      <c r="AT236" s="90">
        <f ca="1">(IF(AT4&lt;'Get Started'!$H112,0,OFFSET(AT234,0,-1*'Get Started'!$H112)*'Get Started'!$H42*'Get Started'!$G112)+IF(AT4&lt;'Get Started'!$H111,0,OFFSET(AT234,0,-1*'Get Started'!$H111)*'Get Started'!$G42*'Get Started'!$G111)+IF(AT4&lt;'Get Started'!$H110,0,OFFSET(AT234,0,-1*'Get Started'!$H110)*'Get Started'!$F42*'Get Started'!$G110)+IF(AT4&lt;'Get Started'!$H109,0,OFFSET(AT234,0,-1*'Get Started'!$H109)*'Get Started'!$E42*'Get Started'!$G109))</f>
        <v>0.21829499999999996</v>
      </c>
      <c r="AU236" s="90">
        <f ca="1">(IF(AU4&lt;'Get Started'!$H112,0,OFFSET(AU234,0,-1*'Get Started'!$H112)*'Get Started'!$H42*'Get Started'!$G112)+IF(AU4&lt;'Get Started'!$H111,0,OFFSET(AU234,0,-1*'Get Started'!$H111)*'Get Started'!$G42*'Get Started'!$G111)+IF(AU4&lt;'Get Started'!$H110,0,OFFSET(AU234,0,-1*'Get Started'!$H110)*'Get Started'!$F42*'Get Started'!$G110)+IF(AU4&lt;'Get Started'!$H109,0,OFFSET(AU234,0,-1*'Get Started'!$H109)*'Get Started'!$E42*'Get Started'!$G109))</f>
        <v>0</v>
      </c>
      <c r="AV236" s="90">
        <f ca="1">(IF(AV4&lt;'Get Started'!$H112,0,OFFSET(AV234,0,-1*'Get Started'!$H112)*'Get Started'!$H42*'Get Started'!$G112)+IF(AV4&lt;'Get Started'!$H111,0,OFFSET(AV234,0,-1*'Get Started'!$H111)*'Get Started'!$G42*'Get Started'!$G111)+IF(AV4&lt;'Get Started'!$H110,0,OFFSET(AV234,0,-1*'Get Started'!$H110)*'Get Started'!$F42*'Get Started'!$G110)+IF(AV4&lt;'Get Started'!$H109,0,OFFSET(AV234,0,-1*'Get Started'!$H109)*'Get Started'!$E42*'Get Started'!$G109))</f>
        <v>0</v>
      </c>
      <c r="AW236" s="90">
        <f ca="1">(IF(AW4&lt;'Get Started'!$H112,0,OFFSET(AW234,0,-1*'Get Started'!$H112)*'Get Started'!$H42*'Get Started'!$G112)+IF(AW4&lt;'Get Started'!$H111,0,OFFSET(AW234,0,-1*'Get Started'!$H111)*'Get Started'!$G42*'Get Started'!$G111)+IF(AW4&lt;'Get Started'!$H110,0,OFFSET(AW234,0,-1*'Get Started'!$H110)*'Get Started'!$F42*'Get Started'!$G110)+IF(AW4&lt;'Get Started'!$H109,0,OFFSET(AW234,0,-1*'Get Started'!$H109)*'Get Started'!$E42*'Get Started'!$G109))</f>
        <v>0</v>
      </c>
      <c r="AX236" s="90">
        <f ca="1">(IF(AX4&lt;'Get Started'!$H112,0,OFFSET(AX234,0,-1*'Get Started'!$H112)*'Get Started'!$H42*'Get Started'!$G112)+IF(AX4&lt;'Get Started'!$H111,0,OFFSET(AX234,0,-1*'Get Started'!$H111)*'Get Started'!$G42*'Get Started'!$G111)+IF(AX4&lt;'Get Started'!$H110,0,OFFSET(AX234,0,-1*'Get Started'!$H110)*'Get Started'!$F42*'Get Started'!$G110)+IF(AX4&lt;'Get Started'!$H109,0,OFFSET(AX234,0,-1*'Get Started'!$H109)*'Get Started'!$E42*'Get Started'!$G109))</f>
        <v>0</v>
      </c>
      <c r="AY236" s="90">
        <f ca="1">(IF(AY4&lt;'Get Started'!$H112,0,OFFSET(AY234,0,-1*'Get Started'!$H112)*'Get Started'!$H42*'Get Started'!$G112)+IF(AY4&lt;'Get Started'!$H111,0,OFFSET(AY234,0,-1*'Get Started'!$H111)*'Get Started'!$G42*'Get Started'!$G111)+IF(AY4&lt;'Get Started'!$H110,0,OFFSET(AY234,0,-1*'Get Started'!$H110)*'Get Started'!$F42*'Get Started'!$G110)+IF(AY4&lt;'Get Started'!$H109,0,OFFSET(AY234,0,-1*'Get Started'!$H109)*'Get Started'!$E42*'Get Started'!$G109))</f>
        <v>0</v>
      </c>
      <c r="AZ236" s="90">
        <f ca="1">(IF(AZ4&lt;'Get Started'!$H112,0,OFFSET(AZ234,0,-1*'Get Started'!$H112)*'Get Started'!$H42*'Get Started'!$G112)+IF(AZ4&lt;'Get Started'!$H111,0,OFFSET(AZ234,0,-1*'Get Started'!$H111)*'Get Started'!$G42*'Get Started'!$G111)+IF(AZ4&lt;'Get Started'!$H110,0,OFFSET(AZ234,0,-1*'Get Started'!$H110)*'Get Started'!$F42*'Get Started'!$G110)+IF(AZ4&lt;'Get Started'!$H109,0,OFFSET(AZ234,0,-1*'Get Started'!$H109)*'Get Started'!$E42*'Get Started'!$G109))</f>
        <v>0</v>
      </c>
      <c r="BA236" s="90">
        <f ca="1">(IF(BA4&lt;'Get Started'!$H112,0,OFFSET(BA234,0,-1*'Get Started'!$H112)*'Get Started'!$H42*'Get Started'!$G112)+IF(BA4&lt;'Get Started'!$H111,0,OFFSET(BA234,0,-1*'Get Started'!$H111)*'Get Started'!$G42*'Get Started'!$G111)+IF(BA4&lt;'Get Started'!$H110,0,OFFSET(BA234,0,-1*'Get Started'!$H110)*'Get Started'!$F42*'Get Started'!$G110)+IF(BA4&lt;'Get Started'!$H109,0,OFFSET(BA234,0,-1*'Get Started'!$H109)*'Get Started'!$E42*'Get Started'!$G109))</f>
        <v>0</v>
      </c>
      <c r="BB236" s="90">
        <f ca="1">(IF(BB4&lt;'Get Started'!$H112,0,OFFSET(BB234,0,-1*'Get Started'!$H112)*'Get Started'!$H42*'Get Started'!$G112)+IF(BB4&lt;'Get Started'!$H111,0,OFFSET(BB234,0,-1*'Get Started'!$H111)*'Get Started'!$G42*'Get Started'!$G111)+IF(BB4&lt;'Get Started'!$H110,0,OFFSET(BB234,0,-1*'Get Started'!$H110)*'Get Started'!$F42*'Get Started'!$G110)+IF(BB4&lt;'Get Started'!$H109,0,OFFSET(BB234,0,-1*'Get Started'!$H109)*'Get Started'!$E42*'Get Started'!$G109))</f>
        <v>0</v>
      </c>
      <c r="BC236" s="90">
        <f ca="1">(IF(BC4&lt;'Get Started'!$H112,0,OFFSET(BC234,0,-1*'Get Started'!$H112)*'Get Started'!$H42*'Get Started'!$G112)+IF(BC4&lt;'Get Started'!$H111,0,OFFSET(BC234,0,-1*'Get Started'!$H111)*'Get Started'!$G42*'Get Started'!$G111)+IF(BC4&lt;'Get Started'!$H110,0,OFFSET(BC234,0,-1*'Get Started'!$H110)*'Get Started'!$F42*'Get Started'!$G110)+IF(BC4&lt;'Get Started'!$H109,0,OFFSET(BC234,0,-1*'Get Started'!$H109)*'Get Started'!$E42*'Get Started'!$G109))</f>
        <v>0</v>
      </c>
      <c r="BD236" s="90">
        <f ca="1">(IF(BD4&lt;'Get Started'!$H112,0,OFFSET(BD234,0,-1*'Get Started'!$H112)*'Get Started'!$H42*'Get Started'!$G112)+IF(BD4&lt;'Get Started'!$H111,0,OFFSET(BD234,0,-1*'Get Started'!$H111)*'Get Started'!$G42*'Get Started'!$G111)+IF(BD4&lt;'Get Started'!$H110,0,OFFSET(BD234,0,-1*'Get Started'!$H110)*'Get Started'!$F42*'Get Started'!$G110)+IF(BD4&lt;'Get Started'!$H109,0,OFFSET(BD234,0,-1*'Get Started'!$H109)*'Get Started'!$E42*'Get Started'!$G109))</f>
        <v>0</v>
      </c>
      <c r="BE236" s="90">
        <f ca="1">(IF(BE4&lt;'Get Started'!$H112,0,OFFSET(BE234,0,-1*'Get Started'!$H112)*'Get Started'!$H42*'Get Started'!$G112)+IF(BE4&lt;'Get Started'!$H111,0,OFFSET(BE234,0,-1*'Get Started'!$H111)*'Get Started'!$G42*'Get Started'!$G111)+IF(BE4&lt;'Get Started'!$H110,0,OFFSET(BE234,0,-1*'Get Started'!$H110)*'Get Started'!$F42*'Get Started'!$G110)+IF(BE4&lt;'Get Started'!$H109,0,OFFSET(BE234,0,-1*'Get Started'!$H109)*'Get Started'!$E42*'Get Started'!$G109))</f>
        <v>0</v>
      </c>
      <c r="BF236" s="90">
        <f ca="1">(IF(BF4&lt;'Get Started'!$H112,0,OFFSET(BF234,0,-1*'Get Started'!$H112)*'Get Started'!$H42*'Get Started'!$G112)+IF(BF4&lt;'Get Started'!$H111,0,OFFSET(BF234,0,-1*'Get Started'!$H111)*'Get Started'!$G42*'Get Started'!$G111)+IF(BF4&lt;'Get Started'!$H110,0,OFFSET(BF234,0,-1*'Get Started'!$H110)*'Get Started'!$F42*'Get Started'!$G110)+IF(BF4&lt;'Get Started'!$H109,0,OFFSET(BF234,0,-1*'Get Started'!$H109)*'Get Started'!$E42*'Get Started'!$G109))</f>
        <v>0</v>
      </c>
      <c r="BG236" s="90">
        <f ca="1">(IF(BG4&lt;'Get Started'!$H112,0,OFFSET(BG234,0,-1*'Get Started'!$H112)*'Get Started'!$H42*'Get Started'!$G112)+IF(BG4&lt;'Get Started'!$H111,0,OFFSET(BG234,0,-1*'Get Started'!$H111)*'Get Started'!$G42*'Get Started'!$G111)+IF(BG4&lt;'Get Started'!$H110,0,OFFSET(BG234,0,-1*'Get Started'!$H110)*'Get Started'!$F42*'Get Started'!$G110)+IF(BG4&lt;'Get Started'!$H109,0,OFFSET(BG234,0,-1*'Get Started'!$H109)*'Get Started'!$E42*'Get Started'!$G109))</f>
        <v>0</v>
      </c>
      <c r="BH236" s="90">
        <f ca="1">(IF(BH4&lt;'Get Started'!$H112,0,OFFSET(BH234,0,-1*'Get Started'!$H112)*'Get Started'!$H42*'Get Started'!$G112)+IF(BH4&lt;'Get Started'!$H111,0,OFFSET(BH234,0,-1*'Get Started'!$H111)*'Get Started'!$G42*'Get Started'!$G111)+IF(BH4&lt;'Get Started'!$H110,0,OFFSET(BH234,0,-1*'Get Started'!$H110)*'Get Started'!$F42*'Get Started'!$G110)+IF(BH4&lt;'Get Started'!$H109,0,OFFSET(BH234,0,-1*'Get Started'!$H109)*'Get Started'!$E42*'Get Started'!$G109))</f>
        <v>0</v>
      </c>
      <c r="BI236" s="90">
        <f ca="1">(IF(BI4&lt;'Get Started'!$H112,0,OFFSET(BI234,0,-1*'Get Started'!$H112)*'Get Started'!$H42*'Get Started'!$G112)+IF(BI4&lt;'Get Started'!$H111,0,OFFSET(BI234,0,-1*'Get Started'!$H111)*'Get Started'!$G42*'Get Started'!$G111)+IF(BI4&lt;'Get Started'!$H110,0,OFFSET(BI234,0,-1*'Get Started'!$H110)*'Get Started'!$F42*'Get Started'!$G110)+IF(BI4&lt;'Get Started'!$H109,0,OFFSET(BI234,0,-1*'Get Started'!$H109)*'Get Started'!$E42*'Get Started'!$G109))</f>
        <v>0</v>
      </c>
      <c r="BJ236" s="90">
        <f ca="1">(IF(BJ4&lt;'Get Started'!$H112,0,OFFSET(BJ234,0,-1*'Get Started'!$H112)*'Get Started'!$H42*'Get Started'!$G112)+IF(BJ4&lt;'Get Started'!$H111,0,OFFSET(BJ234,0,-1*'Get Started'!$H111)*'Get Started'!$G42*'Get Started'!$G111)+IF(BJ4&lt;'Get Started'!$H110,0,OFFSET(BJ234,0,-1*'Get Started'!$H110)*'Get Started'!$F42*'Get Started'!$G110)+IF(BJ4&lt;'Get Started'!$H109,0,OFFSET(BJ234,0,-1*'Get Started'!$H109)*'Get Started'!$E42*'Get Started'!$G109))</f>
        <v>0</v>
      </c>
      <c r="BK236" s="90">
        <f ca="1">(IF(BK4&lt;'Get Started'!$H112,0,OFFSET(BK234,0,-1*'Get Started'!$H112)*'Get Started'!$H42*'Get Started'!$G112)+IF(BK4&lt;'Get Started'!$H111,0,OFFSET(BK234,0,-1*'Get Started'!$H111)*'Get Started'!$G42*'Get Started'!$G111)+IF(BK4&lt;'Get Started'!$H110,0,OFFSET(BK234,0,-1*'Get Started'!$H110)*'Get Started'!$F42*'Get Started'!$G110)+IF(BK4&lt;'Get Started'!$H109,0,OFFSET(BK234,0,-1*'Get Started'!$H109)*'Get Started'!$E42*'Get Started'!$G109))</f>
        <v>0</v>
      </c>
      <c r="BL236" s="90">
        <f ca="1">(IF(BL4&lt;'Get Started'!$H112,0,OFFSET(BL234,0,-1*'Get Started'!$H112)*'Get Started'!$H42*'Get Started'!$G112)+IF(BL4&lt;'Get Started'!$H111,0,OFFSET(BL234,0,-1*'Get Started'!$H111)*'Get Started'!$G42*'Get Started'!$G111)+IF(BL4&lt;'Get Started'!$H110,0,OFFSET(BL234,0,-1*'Get Started'!$H110)*'Get Started'!$F42*'Get Started'!$G110)+IF(BL4&lt;'Get Started'!$H109,0,OFFSET(BL234,0,-1*'Get Started'!$H109)*'Get Started'!$E42*'Get Started'!$G109))</f>
        <v>0</v>
      </c>
      <c r="BM236" s="90">
        <f ca="1">(IF(BM4&lt;'Get Started'!$H112,0,OFFSET(BM234,0,-1*'Get Started'!$H112)*'Get Started'!$H42*'Get Started'!$G112)+IF(BM4&lt;'Get Started'!$H111,0,OFFSET(BM234,0,-1*'Get Started'!$H111)*'Get Started'!$G42*'Get Started'!$G111)+IF(BM4&lt;'Get Started'!$H110,0,OFFSET(BM234,0,-1*'Get Started'!$H110)*'Get Started'!$F42*'Get Started'!$G110)+IF(BM4&lt;'Get Started'!$H109,0,OFFSET(BM234,0,-1*'Get Started'!$H109)*'Get Started'!$E42*'Get Started'!$G109))</f>
        <v>0</v>
      </c>
      <c r="BN236" s="90">
        <f ca="1">(IF(BN4&lt;'Get Started'!$H112,0,OFFSET(BN234,0,-1*'Get Started'!$H112)*'Get Started'!$H42*'Get Started'!$G112)+IF(BN4&lt;'Get Started'!$H111,0,OFFSET(BN234,0,-1*'Get Started'!$H111)*'Get Started'!$G42*'Get Started'!$G111)+IF(BN4&lt;'Get Started'!$H110,0,OFFSET(BN234,0,-1*'Get Started'!$H110)*'Get Started'!$F42*'Get Started'!$G110)+IF(BN4&lt;'Get Started'!$H109,0,OFFSET(BN234,0,-1*'Get Started'!$H109)*'Get Started'!$E42*'Get Started'!$G109))</f>
        <v>0</v>
      </c>
      <c r="BO236" s="90">
        <f ca="1">(IF(BO4&lt;'Get Started'!$H112,0,OFFSET(BO234,0,-1*'Get Started'!$H112)*'Get Started'!$H42*'Get Started'!$G112)+IF(BO4&lt;'Get Started'!$H111,0,OFFSET(BO234,0,-1*'Get Started'!$H111)*'Get Started'!$G42*'Get Started'!$G111)+IF(BO4&lt;'Get Started'!$H110,0,OFFSET(BO234,0,-1*'Get Started'!$H110)*'Get Started'!$F42*'Get Started'!$G110)+IF(BO4&lt;'Get Started'!$H109,0,OFFSET(BO234,0,-1*'Get Started'!$H109)*'Get Started'!$E42*'Get Started'!$G109))</f>
        <v>0</v>
      </c>
      <c r="BP236" s="90">
        <f ca="1">(IF(BP4&lt;'Get Started'!$H112,0,OFFSET(BP234,0,-1*'Get Started'!$H112)*'Get Started'!$H42*'Get Started'!$G112)+IF(BP4&lt;'Get Started'!$H111,0,OFFSET(BP234,0,-1*'Get Started'!$H111)*'Get Started'!$G42*'Get Started'!$G111)+IF(BP4&lt;'Get Started'!$H110,0,OFFSET(BP234,0,-1*'Get Started'!$H110)*'Get Started'!$F42*'Get Started'!$G110)+IF(BP4&lt;'Get Started'!$H109,0,OFFSET(BP234,0,-1*'Get Started'!$H109)*'Get Started'!$E42*'Get Started'!$G109))</f>
        <v>0</v>
      </c>
      <c r="BQ236" s="90">
        <f ca="1">(IF(BQ4&lt;'Get Started'!$H112,0,OFFSET(BQ234,0,-1*'Get Started'!$H112)*'Get Started'!$H42*'Get Started'!$G112)+IF(BQ4&lt;'Get Started'!$H111,0,OFFSET(BQ234,0,-1*'Get Started'!$H111)*'Get Started'!$G42*'Get Started'!$G111)+IF(BQ4&lt;'Get Started'!$H110,0,OFFSET(BQ234,0,-1*'Get Started'!$H110)*'Get Started'!$F42*'Get Started'!$G110)+IF(BQ4&lt;'Get Started'!$H109,0,OFFSET(BQ234,0,-1*'Get Started'!$H109)*'Get Started'!$E42*'Get Started'!$G109))</f>
        <v>0</v>
      </c>
      <c r="BR236" s="90">
        <f ca="1">(IF(BR4&lt;'Get Started'!$H112,0,OFFSET(BR234,0,-1*'Get Started'!$H112)*'Get Started'!$H42*'Get Started'!$G112)+IF(BR4&lt;'Get Started'!$H111,0,OFFSET(BR234,0,-1*'Get Started'!$H111)*'Get Started'!$G42*'Get Started'!$G111)+IF(BR4&lt;'Get Started'!$H110,0,OFFSET(BR234,0,-1*'Get Started'!$H110)*'Get Started'!$F42*'Get Started'!$G110)+IF(BR4&lt;'Get Started'!$H109,0,OFFSET(BR234,0,-1*'Get Started'!$H109)*'Get Started'!$E42*'Get Started'!$G109))</f>
        <v>0</v>
      </c>
      <c r="BS236" s="90">
        <f ca="1">(IF(BS4&lt;'Get Started'!$H112,0,OFFSET(BS234,0,-1*'Get Started'!$H112)*'Get Started'!$H42*'Get Started'!$G112)+IF(BS4&lt;'Get Started'!$H111,0,OFFSET(BS234,0,-1*'Get Started'!$H111)*'Get Started'!$G42*'Get Started'!$G111)+IF(BS4&lt;'Get Started'!$H110,0,OFFSET(BS234,0,-1*'Get Started'!$H110)*'Get Started'!$F42*'Get Started'!$G110)+IF(BS4&lt;'Get Started'!$H109,0,OFFSET(BS234,0,-1*'Get Started'!$H109)*'Get Started'!$E42*'Get Started'!$G109))</f>
        <v>0</v>
      </c>
      <c r="BT236" s="90">
        <f ca="1">(IF(BT4&lt;'Get Started'!$H112,0,OFFSET(BT234,0,-1*'Get Started'!$H112)*'Get Started'!$H42*'Get Started'!$G112)+IF(BT4&lt;'Get Started'!$H111,0,OFFSET(BT234,0,-1*'Get Started'!$H111)*'Get Started'!$G42*'Get Started'!$G111)+IF(BT4&lt;'Get Started'!$H110,0,OFFSET(BT234,0,-1*'Get Started'!$H110)*'Get Started'!$F42*'Get Started'!$G110)+IF(BT4&lt;'Get Started'!$H109,0,OFFSET(BT234,0,-1*'Get Started'!$H109)*'Get Started'!$E42*'Get Started'!$G109))</f>
        <v>0</v>
      </c>
      <c r="BU236" s="90">
        <f ca="1">(IF(BU4&lt;'Get Started'!$H112,0,OFFSET(BU234,0,-1*'Get Started'!$H112)*'Get Started'!$H42*'Get Started'!$G112)+IF(BU4&lt;'Get Started'!$H111,0,OFFSET(BU234,0,-1*'Get Started'!$H111)*'Get Started'!$G42*'Get Started'!$G111)+IF(BU4&lt;'Get Started'!$H110,0,OFFSET(BU234,0,-1*'Get Started'!$H110)*'Get Started'!$F42*'Get Started'!$G110)+IF(BU4&lt;'Get Started'!$H109,0,OFFSET(BU234,0,-1*'Get Started'!$H109)*'Get Started'!$E42*'Get Started'!$G109))</f>
        <v>0</v>
      </c>
      <c r="BV236" s="90">
        <f ca="1">(IF(BV4&lt;'Get Started'!$H112,0,OFFSET(BV234,0,-1*'Get Started'!$H112)*'Get Started'!$H42*'Get Started'!$G112)+IF(BV4&lt;'Get Started'!$H111,0,OFFSET(BV234,0,-1*'Get Started'!$H111)*'Get Started'!$G42*'Get Started'!$G111)+IF(BV4&lt;'Get Started'!$H110,0,OFFSET(BV234,0,-1*'Get Started'!$H110)*'Get Started'!$F42*'Get Started'!$G110)+IF(BV4&lt;'Get Started'!$H109,0,OFFSET(BV234,0,-1*'Get Started'!$H109)*'Get Started'!$E42*'Get Started'!$G109))</f>
        <v>0</v>
      </c>
      <c r="BW236" s="90">
        <f ca="1">(IF(BW4&lt;'Get Started'!$H112,0,OFFSET(BW234,0,-1*'Get Started'!$H112)*'Get Started'!$H42*'Get Started'!$G112)+IF(BW4&lt;'Get Started'!$H111,0,OFFSET(BW234,0,-1*'Get Started'!$H111)*'Get Started'!$G42*'Get Started'!$G111)+IF(BW4&lt;'Get Started'!$H110,0,OFFSET(BW234,0,-1*'Get Started'!$H110)*'Get Started'!$F42*'Get Started'!$G110)+IF(BW4&lt;'Get Started'!$H109,0,OFFSET(BW234,0,-1*'Get Started'!$H109)*'Get Started'!$E42*'Get Started'!$G109))</f>
        <v>0</v>
      </c>
      <c r="BX236" s="90">
        <f ca="1">(IF(BX4&lt;'Get Started'!$H112,0,OFFSET(BX234,0,-1*'Get Started'!$H112)*'Get Started'!$H42*'Get Started'!$G112)+IF(BX4&lt;'Get Started'!$H111,0,OFFSET(BX234,0,-1*'Get Started'!$H111)*'Get Started'!$G42*'Get Started'!$G111)+IF(BX4&lt;'Get Started'!$H110,0,OFFSET(BX234,0,-1*'Get Started'!$H110)*'Get Started'!$F42*'Get Started'!$G110)+IF(BX4&lt;'Get Started'!$H109,0,OFFSET(BX234,0,-1*'Get Started'!$H109)*'Get Started'!$E42*'Get Started'!$G109))</f>
        <v>0</v>
      </c>
      <c r="BY236" s="90">
        <f ca="1">(IF(BY4&lt;'Get Started'!$H112,0,OFFSET(BY234,0,-1*'Get Started'!$H112)*'Get Started'!$H42*'Get Started'!$G112)+IF(BY4&lt;'Get Started'!$H111,0,OFFSET(BY234,0,-1*'Get Started'!$H111)*'Get Started'!$G42*'Get Started'!$G111)+IF(BY4&lt;'Get Started'!$H110,0,OFFSET(BY234,0,-1*'Get Started'!$H110)*'Get Started'!$F42*'Get Started'!$G110)+IF(BY4&lt;'Get Started'!$H109,0,OFFSET(BY234,0,-1*'Get Started'!$H109)*'Get Started'!$E42*'Get Started'!$G109))</f>
        <v>0</v>
      </c>
      <c r="BZ236" s="90">
        <f ca="1">(IF(BZ4&lt;'Get Started'!$H112,0,OFFSET(BZ234,0,-1*'Get Started'!$H112)*'Get Started'!$H42*'Get Started'!$G112)+IF(BZ4&lt;'Get Started'!$H111,0,OFFSET(BZ234,0,-1*'Get Started'!$H111)*'Get Started'!$G42*'Get Started'!$G111)+IF(BZ4&lt;'Get Started'!$H110,0,OFFSET(BZ234,0,-1*'Get Started'!$H110)*'Get Started'!$F42*'Get Started'!$G110)+IF(BZ4&lt;'Get Started'!$H109,0,OFFSET(BZ234,0,-1*'Get Started'!$H109)*'Get Started'!$E42*'Get Started'!$G109))</f>
        <v>0</v>
      </c>
      <c r="CA236" s="90">
        <f ca="1">(IF(CA4&lt;'Get Started'!$H112,0,OFFSET(CA234,0,-1*'Get Started'!$H112)*'Get Started'!$H42*'Get Started'!$G112)+IF(CA4&lt;'Get Started'!$H111,0,OFFSET(CA234,0,-1*'Get Started'!$H111)*'Get Started'!$G42*'Get Started'!$G111)+IF(CA4&lt;'Get Started'!$H110,0,OFFSET(CA234,0,-1*'Get Started'!$H110)*'Get Started'!$F42*'Get Started'!$G110)+IF(CA4&lt;'Get Started'!$H109,0,OFFSET(CA234,0,-1*'Get Started'!$H109)*'Get Started'!$E42*'Get Started'!$G109))</f>
        <v>0</v>
      </c>
      <c r="CB236" s="90">
        <f ca="1">(IF(CB4&lt;'Get Started'!$H112,0,OFFSET(CB234,0,-1*'Get Started'!$H112)*'Get Started'!$H42*'Get Started'!$G112)+IF(CB4&lt;'Get Started'!$H111,0,OFFSET(CB234,0,-1*'Get Started'!$H111)*'Get Started'!$G42*'Get Started'!$G111)+IF(CB4&lt;'Get Started'!$H110,0,OFFSET(CB234,0,-1*'Get Started'!$H110)*'Get Started'!$F42*'Get Started'!$G110)+IF(CB4&lt;'Get Started'!$H109,0,OFFSET(CB234,0,-1*'Get Started'!$H109)*'Get Started'!$E42*'Get Started'!$G109))</f>
        <v>0</v>
      </c>
      <c r="CC236" s="90">
        <f ca="1">(IF(CC4&lt;'Get Started'!$H112,0,OFFSET(CC234,0,-1*'Get Started'!$H112)*'Get Started'!$H42*'Get Started'!$G112)+IF(CC4&lt;'Get Started'!$H111,0,OFFSET(CC234,0,-1*'Get Started'!$H111)*'Get Started'!$G42*'Get Started'!$G111)+IF(CC4&lt;'Get Started'!$H110,0,OFFSET(CC234,0,-1*'Get Started'!$H110)*'Get Started'!$F42*'Get Started'!$G110)+IF(CC4&lt;'Get Started'!$H109,0,OFFSET(CC234,0,-1*'Get Started'!$H109)*'Get Started'!$E42*'Get Started'!$G109))</f>
        <v>0</v>
      </c>
      <c r="CD236" s="90">
        <f ca="1">(IF(CD4&lt;'Get Started'!$H112,0,OFFSET(CD234,0,-1*'Get Started'!$H112)*'Get Started'!$H42*'Get Started'!$G112)+IF(CD4&lt;'Get Started'!$H111,0,OFFSET(CD234,0,-1*'Get Started'!$H111)*'Get Started'!$G42*'Get Started'!$G111)+IF(CD4&lt;'Get Started'!$H110,0,OFFSET(CD234,0,-1*'Get Started'!$H110)*'Get Started'!$F42*'Get Started'!$G110)+IF(CD4&lt;'Get Started'!$H109,0,OFFSET(CD234,0,-1*'Get Started'!$H109)*'Get Started'!$E42*'Get Started'!$G109))</f>
        <v>0</v>
      </c>
      <c r="CE236" s="90">
        <f ca="1">(IF(CE4&lt;'Get Started'!$H112,0,OFFSET(CE234,0,-1*'Get Started'!$H112)*'Get Started'!$H42*'Get Started'!$G112)+IF(CE4&lt;'Get Started'!$H111,0,OFFSET(CE234,0,-1*'Get Started'!$H111)*'Get Started'!$G42*'Get Started'!$G111)+IF(CE4&lt;'Get Started'!$H110,0,OFFSET(CE234,0,-1*'Get Started'!$H110)*'Get Started'!$F42*'Get Started'!$G110)+IF(CE4&lt;'Get Started'!$H109,0,OFFSET(CE234,0,-1*'Get Started'!$H109)*'Get Started'!$E42*'Get Started'!$G109))</f>
        <v>0</v>
      </c>
      <c r="CF236" s="90">
        <f ca="1">(IF(CF4&lt;'Get Started'!$H112,0,OFFSET(CF234,0,-1*'Get Started'!$H112)*'Get Started'!$H42*'Get Started'!$G112)+IF(CF4&lt;'Get Started'!$H111,0,OFFSET(CF234,0,-1*'Get Started'!$H111)*'Get Started'!$G42*'Get Started'!$G111)+IF(CF4&lt;'Get Started'!$H110,0,OFFSET(CF234,0,-1*'Get Started'!$H110)*'Get Started'!$F42*'Get Started'!$G110)+IF(CF4&lt;'Get Started'!$H109,0,OFFSET(CF234,0,-1*'Get Started'!$H109)*'Get Started'!$E42*'Get Started'!$G109))</f>
        <v>0</v>
      </c>
      <c r="CG236" s="90">
        <f ca="1">(IF(CG4&lt;'Get Started'!$H112,0,OFFSET(CG234,0,-1*'Get Started'!$H112)*'Get Started'!$H42*'Get Started'!$G112)+IF(CG4&lt;'Get Started'!$H111,0,OFFSET(CG234,0,-1*'Get Started'!$H111)*'Get Started'!$G42*'Get Started'!$G111)+IF(CG4&lt;'Get Started'!$H110,0,OFFSET(CG234,0,-1*'Get Started'!$H110)*'Get Started'!$F42*'Get Started'!$G110)+IF(CG4&lt;'Get Started'!$H109,0,OFFSET(CG234,0,-1*'Get Started'!$H109)*'Get Started'!$E42*'Get Started'!$G109))</f>
        <v>0</v>
      </c>
      <c r="CH236" s="90">
        <f ca="1">(IF(CH4&lt;'Get Started'!$H112,0,OFFSET(CH234,0,-1*'Get Started'!$H112)*'Get Started'!$H42*'Get Started'!$G112)+IF(CH4&lt;'Get Started'!$H111,0,OFFSET(CH234,0,-1*'Get Started'!$H111)*'Get Started'!$G42*'Get Started'!$G111)+IF(CH4&lt;'Get Started'!$H110,0,OFFSET(CH234,0,-1*'Get Started'!$H110)*'Get Started'!$F42*'Get Started'!$G110)+IF(CH4&lt;'Get Started'!$H109,0,OFFSET(CH234,0,-1*'Get Started'!$H109)*'Get Started'!$E42*'Get Started'!$G109))</f>
        <v>0</v>
      </c>
    </row>
    <row r="237" spans="1:86" ht="13" outlineLevel="1">
      <c r="A237" s="13"/>
      <c r="B237" s="13" t="s">
        <v>332</v>
      </c>
      <c r="C237" s="13"/>
      <c r="D237" s="13" t="s">
        <v>238</v>
      </c>
      <c r="E237" s="88">
        <f t="shared" ca="1" si="172"/>
        <v>5.3991630000000024</v>
      </c>
      <c r="F237" s="79"/>
      <c r="G237" s="90">
        <f ca="1">IF('Get Started'!$H112&lt;='Get Started'!$E27,IF(AND(G4&lt;'Get Started'!$H112,'Get Started'!$H112&lt;='Get Started'!$E27),0,OFFSET(G234,0,-1*'Get Started'!$H112)*'Get Started'!$H42*'Get Started'!$G112),0)+IF('Get Started'!$H111&lt;='Get Started'!$E27,IF(G4&lt;'Get Started'!$H111,0,OFFSET(G234,0,-1*'Get Started'!$H111)*'Get Started'!$G42*'Get Started'!$G111),0)+IF('Get Started'!$H110&lt;='Get Started'!$E27,IF(G4&lt;'Get Started'!$H110,0,OFFSET(G234,0,-1*'Get Started'!$H110)*'Get Started'!$F42*'Get Started'!$G110),0)+IF('Get Started'!$H109&lt;='Get Started'!$E27,IF(G4&lt;'Get Started'!$H109,0,OFFSET(G234,0,-1*'Get Started'!$H109)*'Get Started'!$E42*'Get Started'!$G109),0)</f>
        <v>0</v>
      </c>
      <c r="H237" s="90">
        <f ca="1">IF('Get Started'!$H112&lt;='Get Started'!$E27,IF(AND(H4&lt;'Get Started'!$H112,'Get Started'!$H112&lt;='Get Started'!$E27),0,OFFSET(H234,0,-1*'Get Started'!$H112)*'Get Started'!$H42*'Get Started'!$G112),0)+IF('Get Started'!$H111&lt;='Get Started'!$E27,IF(H4&lt;'Get Started'!$H111,0,OFFSET(H234,0,-1*'Get Started'!$H111)*'Get Started'!$G42*'Get Started'!$G111),0)+IF('Get Started'!$H110&lt;='Get Started'!$E27,IF(H4&lt;'Get Started'!$H110,0,OFFSET(H234,0,-1*'Get Started'!$H110)*'Get Started'!$F42*'Get Started'!$G110),0)+IF('Get Started'!$H109&lt;='Get Started'!$E27,IF(H4&lt;'Get Started'!$H109,0,OFFSET(H234,0,-1*'Get Started'!$H109)*'Get Started'!$E42*'Get Started'!$G109),0)</f>
        <v>0</v>
      </c>
      <c r="I237" s="90">
        <f ca="1">IF('Get Started'!$H112&lt;='Get Started'!$E27,IF(AND(I4&lt;'Get Started'!$H112,'Get Started'!$H112&lt;='Get Started'!$E27),0,OFFSET(I234,0,-1*'Get Started'!$H112)*'Get Started'!$H42*'Get Started'!$G112),0)+IF('Get Started'!$H111&lt;='Get Started'!$E27,IF(I4&lt;'Get Started'!$H111,0,OFFSET(I234,0,-1*'Get Started'!$H111)*'Get Started'!$G42*'Get Started'!$G111),0)+IF('Get Started'!$H110&lt;='Get Started'!$E27,IF(I4&lt;'Get Started'!$H110,0,OFFSET(I234,0,-1*'Get Started'!$H110)*'Get Started'!$F42*'Get Started'!$G110),0)+IF('Get Started'!$H109&lt;='Get Started'!$E27,IF(I4&lt;'Get Started'!$H109,0,OFFSET(I234,0,-1*'Get Started'!$H109)*'Get Started'!$E42*'Get Started'!$G109),0)</f>
        <v>0</v>
      </c>
      <c r="J237" s="90">
        <f ca="1">IF('Get Started'!$H112&lt;='Get Started'!$E27,IF(AND(J4&lt;'Get Started'!$H112,'Get Started'!$H112&lt;='Get Started'!$E27),0,OFFSET(J234,0,-1*'Get Started'!$H112)*'Get Started'!$H42*'Get Started'!$G112),0)+IF('Get Started'!$H111&lt;='Get Started'!$E27,IF(J4&lt;'Get Started'!$H111,0,OFFSET(J234,0,-1*'Get Started'!$H111)*'Get Started'!$G42*'Get Started'!$G111),0)+IF('Get Started'!$H110&lt;='Get Started'!$E27,IF(J4&lt;'Get Started'!$H110,0,OFFSET(J234,0,-1*'Get Started'!$H110)*'Get Started'!$F42*'Get Started'!$G110),0)+IF('Get Started'!$H109&lt;='Get Started'!$E27,IF(J4&lt;'Get Started'!$H109,0,OFFSET(J234,0,-1*'Get Started'!$H109)*'Get Started'!$E42*'Get Started'!$G109),0)</f>
        <v>0</v>
      </c>
      <c r="K237" s="90">
        <f ca="1">IF('Get Started'!$H112&lt;='Get Started'!$E27,IF(AND(K4&lt;'Get Started'!$H112,'Get Started'!$H112&lt;='Get Started'!$E27),0,OFFSET(K234,0,-1*'Get Started'!$H112)*'Get Started'!$H42*'Get Started'!$G112),0)+IF('Get Started'!$H111&lt;='Get Started'!$E27,IF(K4&lt;'Get Started'!$H111,0,OFFSET(K234,0,-1*'Get Started'!$H111)*'Get Started'!$G42*'Get Started'!$G111),0)+IF('Get Started'!$H110&lt;='Get Started'!$E27,IF(K4&lt;'Get Started'!$H110,0,OFFSET(K234,0,-1*'Get Started'!$H110)*'Get Started'!$F42*'Get Started'!$G110),0)+IF('Get Started'!$H109&lt;='Get Started'!$E27,IF(K4&lt;'Get Started'!$H109,0,OFFSET(K234,0,-1*'Get Started'!$H109)*'Get Started'!$E42*'Get Started'!$G109),0)</f>
        <v>0</v>
      </c>
      <c r="L237" s="90">
        <f ca="1">IF('Get Started'!$H112&lt;='Get Started'!$E27,IF(AND(L4&lt;'Get Started'!$H112,'Get Started'!$H112&lt;='Get Started'!$E27),0,OFFSET(L234,0,-1*'Get Started'!$H112)*'Get Started'!$H42*'Get Started'!$G112),0)+IF('Get Started'!$H111&lt;='Get Started'!$E27,IF(L4&lt;'Get Started'!$H111,0,OFFSET(L234,0,-1*'Get Started'!$H111)*'Get Started'!$G42*'Get Started'!$G111),0)+IF('Get Started'!$H110&lt;='Get Started'!$E27,IF(L4&lt;'Get Started'!$H110,0,OFFSET(L234,0,-1*'Get Started'!$H110)*'Get Started'!$F42*'Get Started'!$G110),0)+IF('Get Started'!$H109&lt;='Get Started'!$E27,IF(L4&lt;'Get Started'!$H109,0,OFFSET(L234,0,-1*'Get Started'!$H109)*'Get Started'!$E42*'Get Started'!$G109),0)</f>
        <v>0</v>
      </c>
      <c r="M237" s="90">
        <f ca="1">IF('Get Started'!$H112&lt;='Get Started'!$E27,IF(AND(M4&lt;'Get Started'!$H112,'Get Started'!$H112&lt;='Get Started'!$E27),0,OFFSET(M234,0,-1*'Get Started'!$H112)*'Get Started'!$H42*'Get Started'!$G112),0)+IF('Get Started'!$H111&lt;='Get Started'!$E27,IF(M4&lt;'Get Started'!$H111,0,OFFSET(M234,0,-1*'Get Started'!$H111)*'Get Started'!$G42*'Get Started'!$G111),0)+IF('Get Started'!$H110&lt;='Get Started'!$E27,IF(M4&lt;'Get Started'!$H110,0,OFFSET(M234,0,-1*'Get Started'!$H110)*'Get Started'!$F42*'Get Started'!$G110),0)+IF('Get Started'!$H109&lt;='Get Started'!$E27,IF(M4&lt;'Get Started'!$H109,0,OFFSET(M234,0,-1*'Get Started'!$H109)*'Get Started'!$E42*'Get Started'!$G109),0)</f>
        <v>0</v>
      </c>
      <c r="N237" s="90">
        <f ca="1">IF('Get Started'!$H112&lt;='Get Started'!$E27,IF(AND(N4&lt;'Get Started'!$H112,'Get Started'!$H112&lt;='Get Started'!$E27),0,OFFSET(N234,0,-1*'Get Started'!$H112)*'Get Started'!$H42*'Get Started'!$G112),0)+IF('Get Started'!$H111&lt;='Get Started'!$E27,IF(N4&lt;'Get Started'!$H111,0,OFFSET(N234,0,-1*'Get Started'!$H111)*'Get Started'!$G42*'Get Started'!$G111),0)+IF('Get Started'!$H110&lt;='Get Started'!$E27,IF(N4&lt;'Get Started'!$H110,0,OFFSET(N234,0,-1*'Get Started'!$H110)*'Get Started'!$F42*'Get Started'!$G110),0)+IF('Get Started'!$H109&lt;='Get Started'!$E27,IF(N4&lt;'Get Started'!$H109,0,OFFSET(N234,0,-1*'Get Started'!$H109)*'Get Started'!$E42*'Get Started'!$G109),0)</f>
        <v>0</v>
      </c>
      <c r="O237" s="90">
        <f ca="1">IF('Get Started'!$H112&lt;='Get Started'!$E27,IF(AND(O4&lt;'Get Started'!$H112,'Get Started'!$H112&lt;='Get Started'!$E27),0,OFFSET(O234,0,-1*'Get Started'!$H112)*'Get Started'!$H42*'Get Started'!$G112),0)+IF('Get Started'!$H111&lt;='Get Started'!$E27,IF(O4&lt;'Get Started'!$H111,0,OFFSET(O234,0,-1*'Get Started'!$H111)*'Get Started'!$G42*'Get Started'!$G111),0)+IF('Get Started'!$H110&lt;='Get Started'!$E27,IF(O4&lt;'Get Started'!$H110,0,OFFSET(O234,0,-1*'Get Started'!$H110)*'Get Started'!$F42*'Get Started'!$G110),0)+IF('Get Started'!$H109&lt;='Get Started'!$E27,IF(O4&lt;'Get Started'!$H109,0,OFFSET(O234,0,-1*'Get Started'!$H109)*'Get Started'!$E42*'Get Started'!$G109),0)</f>
        <v>0</v>
      </c>
      <c r="P237" s="90">
        <f ca="1">IF('Get Started'!$H112&lt;='Get Started'!$E27,IF(AND(P4&lt;'Get Started'!$H112,'Get Started'!$H112&lt;='Get Started'!$E27),0,OFFSET(P234,0,-1*'Get Started'!$H112)*'Get Started'!$H42*'Get Started'!$G112),0)+IF('Get Started'!$H111&lt;='Get Started'!$E27,IF(P4&lt;'Get Started'!$H111,0,OFFSET(P234,0,-1*'Get Started'!$H111)*'Get Started'!$G42*'Get Started'!$G111),0)+IF('Get Started'!$H110&lt;='Get Started'!$E27,IF(P4&lt;'Get Started'!$H110,0,OFFSET(P234,0,-1*'Get Started'!$H110)*'Get Started'!$F42*'Get Started'!$G110),0)+IF('Get Started'!$H109&lt;='Get Started'!$E27,IF(P4&lt;'Get Started'!$H109,0,OFFSET(P234,0,-1*'Get Started'!$H109)*'Get Started'!$E42*'Get Started'!$G109),0)</f>
        <v>0</v>
      </c>
      <c r="Q237" s="90">
        <f ca="1">IF('Get Started'!$H112&lt;='Get Started'!$E27,IF(AND(Q4&lt;'Get Started'!$H112,'Get Started'!$H112&lt;='Get Started'!$E27),0,OFFSET(Q234,0,-1*'Get Started'!$H112)*'Get Started'!$H42*'Get Started'!$G112),0)+IF('Get Started'!$H111&lt;='Get Started'!$E27,IF(Q4&lt;'Get Started'!$H111,0,OFFSET(Q234,0,-1*'Get Started'!$H111)*'Get Started'!$G42*'Get Started'!$G111),0)+IF('Get Started'!$H110&lt;='Get Started'!$E27,IF(Q4&lt;'Get Started'!$H110,0,OFFSET(Q234,0,-1*'Get Started'!$H110)*'Get Started'!$F42*'Get Started'!$G110),0)+IF('Get Started'!$H109&lt;='Get Started'!$E27,IF(Q4&lt;'Get Started'!$H109,0,OFFSET(Q234,0,-1*'Get Started'!$H109)*'Get Started'!$E42*'Get Started'!$G109),0)</f>
        <v>0</v>
      </c>
      <c r="R237" s="90">
        <f ca="1">IF('Get Started'!$H112&lt;='Get Started'!$E27,IF(AND(R4&lt;'Get Started'!$H112,'Get Started'!$H112&lt;='Get Started'!$E27),0,OFFSET(R234,0,-1*'Get Started'!$H112)*'Get Started'!$H42*'Get Started'!$G112),0)+IF('Get Started'!$H111&lt;='Get Started'!$E27,IF(R4&lt;'Get Started'!$H111,0,OFFSET(R234,0,-1*'Get Started'!$H111)*'Get Started'!$G42*'Get Started'!$G111),0)+IF('Get Started'!$H110&lt;='Get Started'!$E27,IF(R4&lt;'Get Started'!$H110,0,OFFSET(R234,0,-1*'Get Started'!$H110)*'Get Started'!$F42*'Get Started'!$G110),0)+IF('Get Started'!$H109&lt;='Get Started'!$E27,IF(R4&lt;'Get Started'!$H109,0,OFFSET(R234,0,-1*'Get Started'!$H109)*'Get Started'!$E42*'Get Started'!$G109),0)</f>
        <v>0</v>
      </c>
      <c r="S237" s="90">
        <f ca="1">IF('Get Started'!$H112&lt;='Get Started'!$E27,IF(AND(S4&lt;'Get Started'!$H112,'Get Started'!$H112&lt;='Get Started'!$E27),0,OFFSET(S234,0,-1*'Get Started'!$H112)*'Get Started'!$H42*'Get Started'!$G112),0)+IF('Get Started'!$H111&lt;='Get Started'!$E27,IF(S4&lt;'Get Started'!$H111,0,OFFSET(S234,0,-1*'Get Started'!$H111)*'Get Started'!$G42*'Get Started'!$G111),0)+IF('Get Started'!$H110&lt;='Get Started'!$E27,IF(S4&lt;'Get Started'!$H110,0,OFFSET(S234,0,-1*'Get Started'!$H110)*'Get Started'!$F42*'Get Started'!$G110),0)+IF('Get Started'!$H109&lt;='Get Started'!$E27,IF(S4&lt;'Get Started'!$H109,0,OFFSET(S234,0,-1*'Get Started'!$H109)*'Get Started'!$E42*'Get Started'!$G109),0)</f>
        <v>4.8510000000000025E-2</v>
      </c>
      <c r="T237" s="90">
        <f ca="1">IF('Get Started'!$H112&lt;='Get Started'!$E27,IF(AND(T4&lt;'Get Started'!$H112,'Get Started'!$H112&lt;='Get Started'!$E27),0,OFFSET(T234,0,-1*'Get Started'!$H112)*'Get Started'!$H42*'Get Started'!$G112),0)+IF('Get Started'!$H111&lt;='Get Started'!$E27,IF(T4&lt;'Get Started'!$H111,0,OFFSET(T234,0,-1*'Get Started'!$H111)*'Get Started'!$G42*'Get Started'!$G111),0)+IF('Get Started'!$H110&lt;='Get Started'!$E27,IF(T4&lt;'Get Started'!$H110,0,OFFSET(T234,0,-1*'Get Started'!$H110)*'Get Started'!$F42*'Get Started'!$G110),0)+IF('Get Started'!$H109&lt;='Get Started'!$E27,IF(T4&lt;'Get Started'!$H109,0,OFFSET(T234,0,-1*'Get Started'!$H109)*'Get Started'!$E42*'Get Started'!$G109),0)</f>
        <v>4.8510000000000025E-2</v>
      </c>
      <c r="U237" s="90">
        <f ca="1">IF('Get Started'!$H112&lt;='Get Started'!$E27,IF(AND(U4&lt;'Get Started'!$H112,'Get Started'!$H112&lt;='Get Started'!$E27),0,OFFSET(U234,0,-1*'Get Started'!$H112)*'Get Started'!$H42*'Get Started'!$G112),0)+IF('Get Started'!$H111&lt;='Get Started'!$E27,IF(U4&lt;'Get Started'!$H111,0,OFFSET(U234,0,-1*'Get Started'!$H111)*'Get Started'!$G42*'Get Started'!$G111),0)+IF('Get Started'!$H110&lt;='Get Started'!$E27,IF(U4&lt;'Get Started'!$H110,0,OFFSET(U234,0,-1*'Get Started'!$H110)*'Get Started'!$F42*'Get Started'!$G110),0)+IF('Get Started'!$H109&lt;='Get Started'!$E27,IF(U4&lt;'Get Started'!$H109,0,OFFSET(U234,0,-1*'Get Started'!$H109)*'Get Started'!$E42*'Get Started'!$G109),0)</f>
        <v>4.8510000000000025E-2</v>
      </c>
      <c r="V237" s="90">
        <f ca="1">IF('Get Started'!$H112&lt;='Get Started'!$E27,IF(AND(V4&lt;'Get Started'!$H112,'Get Started'!$H112&lt;='Get Started'!$E27),0,OFFSET(V234,0,-1*'Get Started'!$H112)*'Get Started'!$H42*'Get Started'!$G112),0)+IF('Get Started'!$H111&lt;='Get Started'!$E27,IF(V4&lt;'Get Started'!$H111,0,OFFSET(V234,0,-1*'Get Started'!$H111)*'Get Started'!$G42*'Get Started'!$G111),0)+IF('Get Started'!$H110&lt;='Get Started'!$E27,IF(V4&lt;'Get Started'!$H110,0,OFFSET(V234,0,-1*'Get Started'!$H110)*'Get Started'!$F42*'Get Started'!$G110),0)+IF('Get Started'!$H109&lt;='Get Started'!$E27,IF(V4&lt;'Get Started'!$H109,0,OFFSET(V234,0,-1*'Get Started'!$H109)*'Get Started'!$E42*'Get Started'!$G109),0)</f>
        <v>4.8510000000000025E-2</v>
      </c>
      <c r="W237" s="90">
        <f ca="1">IF('Get Started'!$H112&lt;='Get Started'!$E27,IF(AND(W4&lt;'Get Started'!$H112,'Get Started'!$H112&lt;='Get Started'!$E27),0,OFFSET(W234,0,-1*'Get Started'!$H112)*'Get Started'!$H42*'Get Started'!$G112),0)+IF('Get Started'!$H111&lt;='Get Started'!$E27,IF(W4&lt;'Get Started'!$H111,0,OFFSET(W234,0,-1*'Get Started'!$H111)*'Get Started'!$G42*'Get Started'!$G111),0)+IF('Get Started'!$H110&lt;='Get Started'!$E27,IF(W4&lt;'Get Started'!$H110,0,OFFSET(W234,0,-1*'Get Started'!$H110)*'Get Started'!$F42*'Get Started'!$G110),0)+IF('Get Started'!$H109&lt;='Get Started'!$E27,IF(W4&lt;'Get Started'!$H109,0,OFFSET(W234,0,-1*'Get Started'!$H109)*'Get Started'!$E42*'Get Started'!$G109),0)</f>
        <v>0.13946625000000007</v>
      </c>
      <c r="X237" s="90">
        <f ca="1">IF('Get Started'!$H112&lt;='Get Started'!$E27,IF(AND(X4&lt;'Get Started'!$H112,'Get Started'!$H112&lt;='Get Started'!$E27),0,OFFSET(X234,0,-1*'Get Started'!$H112)*'Get Started'!$H42*'Get Started'!$G112),0)+IF('Get Started'!$H111&lt;='Get Started'!$E27,IF(X4&lt;'Get Started'!$H111,0,OFFSET(X234,0,-1*'Get Started'!$H111)*'Get Started'!$G42*'Get Started'!$G111),0)+IF('Get Started'!$H110&lt;='Get Started'!$E27,IF(X4&lt;'Get Started'!$H110,0,OFFSET(X234,0,-1*'Get Started'!$H110)*'Get Started'!$F42*'Get Started'!$G110),0)+IF('Get Started'!$H109&lt;='Get Started'!$E27,IF(X4&lt;'Get Started'!$H109,0,OFFSET(X234,0,-1*'Get Started'!$H109)*'Get Started'!$E42*'Get Started'!$G109),0)</f>
        <v>0.13946625000000007</v>
      </c>
      <c r="Y237" s="90">
        <f ca="1">IF('Get Started'!$H112&lt;='Get Started'!$E27,IF(AND(Y4&lt;'Get Started'!$H112,'Get Started'!$H112&lt;='Get Started'!$E27),0,OFFSET(Y234,0,-1*'Get Started'!$H112)*'Get Started'!$H42*'Get Started'!$G112),0)+IF('Get Started'!$H111&lt;='Get Started'!$E27,IF(Y4&lt;'Get Started'!$H111,0,OFFSET(Y234,0,-1*'Get Started'!$H111)*'Get Started'!$G42*'Get Started'!$G111),0)+IF('Get Started'!$H110&lt;='Get Started'!$E27,IF(Y4&lt;'Get Started'!$H110,0,OFFSET(Y234,0,-1*'Get Started'!$H110)*'Get Started'!$F42*'Get Started'!$G110),0)+IF('Get Started'!$H109&lt;='Get Started'!$E27,IF(Y4&lt;'Get Started'!$H109,0,OFFSET(Y234,0,-1*'Get Started'!$H109)*'Get Started'!$E42*'Get Started'!$G109),0)</f>
        <v>0.13946625000000007</v>
      </c>
      <c r="Z237" s="90">
        <f ca="1">IF('Get Started'!$H112&lt;='Get Started'!$E27,IF(AND(Z4&lt;'Get Started'!$H112,'Get Started'!$H112&lt;='Get Started'!$E27),0,OFFSET(Z234,0,-1*'Get Started'!$H112)*'Get Started'!$H42*'Get Started'!$G112),0)+IF('Get Started'!$H111&lt;='Get Started'!$E27,IF(Z4&lt;'Get Started'!$H111,0,OFFSET(Z234,0,-1*'Get Started'!$H111)*'Get Started'!$G42*'Get Started'!$G111),0)+IF('Get Started'!$H110&lt;='Get Started'!$E27,IF(Z4&lt;'Get Started'!$H110,0,OFFSET(Z234,0,-1*'Get Started'!$H110)*'Get Started'!$F42*'Get Started'!$G110),0)+IF('Get Started'!$H109&lt;='Get Started'!$E27,IF(Z4&lt;'Get Started'!$H109,0,OFFSET(Z234,0,-1*'Get Started'!$H109)*'Get Started'!$E42*'Get Started'!$G109),0)</f>
        <v>0.13946625000000007</v>
      </c>
      <c r="AA237" s="90">
        <f ca="1">IF('Get Started'!$H112&lt;='Get Started'!$E27,IF(AND(AA4&lt;'Get Started'!$H112,'Get Started'!$H112&lt;='Get Started'!$E27),0,OFFSET(AA234,0,-1*'Get Started'!$H112)*'Get Started'!$H42*'Get Started'!$G112),0)+IF('Get Started'!$H111&lt;='Get Started'!$E27,IF(AA4&lt;'Get Started'!$H111,0,OFFSET(AA234,0,-1*'Get Started'!$H111)*'Get Started'!$G42*'Get Started'!$G111),0)+IF('Get Started'!$H110&lt;='Get Started'!$E27,IF(AA4&lt;'Get Started'!$H110,0,OFFSET(AA234,0,-1*'Get Started'!$H110)*'Get Started'!$F42*'Get Started'!$G110),0)+IF('Get Started'!$H109&lt;='Get Started'!$E27,IF(AA4&lt;'Get Started'!$H109,0,OFFSET(AA234,0,-1*'Get Started'!$H109)*'Get Started'!$E42*'Get Started'!$G109),0)</f>
        <v>0.13946625000000007</v>
      </c>
      <c r="AB237" s="90">
        <f ca="1">IF('Get Started'!$H112&lt;='Get Started'!$E27,IF(AND(AB4&lt;'Get Started'!$H112,'Get Started'!$H112&lt;='Get Started'!$E27),0,OFFSET(AB234,0,-1*'Get Started'!$H112)*'Get Started'!$H42*'Get Started'!$G112),0)+IF('Get Started'!$H111&lt;='Get Started'!$E27,IF(AB4&lt;'Get Started'!$H111,0,OFFSET(AB234,0,-1*'Get Started'!$H111)*'Get Started'!$G42*'Get Started'!$G111),0)+IF('Get Started'!$H110&lt;='Get Started'!$E27,IF(AB4&lt;'Get Started'!$H110,0,OFFSET(AB234,0,-1*'Get Started'!$H110)*'Get Started'!$F42*'Get Started'!$G110),0)+IF('Get Started'!$H109&lt;='Get Started'!$E27,IF(AB4&lt;'Get Started'!$H109,0,OFFSET(AB234,0,-1*'Get Started'!$H109)*'Get Started'!$E42*'Get Started'!$G109),0)</f>
        <v>0.13946625000000007</v>
      </c>
      <c r="AC237" s="90">
        <f ca="1">IF('Get Started'!$H112&lt;='Get Started'!$E27,IF(AND(AC4&lt;'Get Started'!$H112,'Get Started'!$H112&lt;='Get Started'!$E27),0,OFFSET(AC234,0,-1*'Get Started'!$H112)*'Get Started'!$H42*'Get Started'!$G112),0)+IF('Get Started'!$H111&lt;='Get Started'!$E27,IF(AC4&lt;'Get Started'!$H111,0,OFFSET(AC234,0,-1*'Get Started'!$H111)*'Get Started'!$G42*'Get Started'!$G111),0)+IF('Get Started'!$H110&lt;='Get Started'!$E27,IF(AC4&lt;'Get Started'!$H110,0,OFFSET(AC234,0,-1*'Get Started'!$H110)*'Get Started'!$F42*'Get Started'!$G110),0)+IF('Get Started'!$H109&lt;='Get Started'!$E27,IF(AC4&lt;'Get Started'!$H109,0,OFFSET(AC234,0,-1*'Get Started'!$H109)*'Get Started'!$E42*'Get Started'!$G109),0)</f>
        <v>0.13946625000000007</v>
      </c>
      <c r="AD237" s="90">
        <f ca="1">IF('Get Started'!$H112&lt;='Get Started'!$E27,IF(AND(AD4&lt;'Get Started'!$H112,'Get Started'!$H112&lt;='Get Started'!$E27),0,OFFSET(AD234,0,-1*'Get Started'!$H112)*'Get Started'!$H42*'Get Started'!$G112),0)+IF('Get Started'!$H111&lt;='Get Started'!$E27,IF(AD4&lt;'Get Started'!$H111,0,OFFSET(AD234,0,-1*'Get Started'!$H111)*'Get Started'!$G42*'Get Started'!$G111),0)+IF('Get Started'!$H110&lt;='Get Started'!$E27,IF(AD4&lt;'Get Started'!$H110,0,OFFSET(AD234,0,-1*'Get Started'!$H110)*'Get Started'!$F42*'Get Started'!$G110),0)+IF('Get Started'!$H109&lt;='Get Started'!$E27,IF(AD4&lt;'Get Started'!$H109,0,OFFSET(AD234,0,-1*'Get Started'!$H109)*'Get Started'!$E42*'Get Started'!$G109),0)</f>
        <v>0.13946625000000007</v>
      </c>
      <c r="AE237" s="90">
        <f ca="1">IF('Get Started'!$H112&lt;='Get Started'!$E27,IF(AND(AE4&lt;'Get Started'!$H112,'Get Started'!$H112&lt;='Get Started'!$E27),0,OFFSET(AE234,0,-1*'Get Started'!$H112)*'Get Started'!$H42*'Get Started'!$G112),0)+IF('Get Started'!$H111&lt;='Get Started'!$E27,IF(AE4&lt;'Get Started'!$H111,0,OFFSET(AE234,0,-1*'Get Started'!$H111)*'Get Started'!$G42*'Get Started'!$G111),0)+IF('Get Started'!$H110&lt;='Get Started'!$E27,IF(AE4&lt;'Get Started'!$H110,0,OFFSET(AE234,0,-1*'Get Started'!$H110)*'Get Started'!$F42*'Get Started'!$G110),0)+IF('Get Started'!$H109&lt;='Get Started'!$E27,IF(AE4&lt;'Get Started'!$H109,0,OFFSET(AE234,0,-1*'Get Started'!$H109)*'Get Started'!$E42*'Get Started'!$G109),0)</f>
        <v>0.33108075000000003</v>
      </c>
      <c r="AF237" s="90">
        <f ca="1">IF('Get Started'!$H112&lt;='Get Started'!$E27,IF(AND(AF4&lt;'Get Started'!$H112,'Get Started'!$H112&lt;='Get Started'!$E27),0,OFFSET(AF234,0,-1*'Get Started'!$H112)*'Get Started'!$H42*'Get Started'!$G112),0)+IF('Get Started'!$H111&lt;='Get Started'!$E27,IF(AF4&lt;'Get Started'!$H111,0,OFFSET(AF234,0,-1*'Get Started'!$H111)*'Get Started'!$G42*'Get Started'!$G111),0)+IF('Get Started'!$H110&lt;='Get Started'!$E27,IF(AF4&lt;'Get Started'!$H110,0,OFFSET(AF234,0,-1*'Get Started'!$H110)*'Get Started'!$F42*'Get Started'!$G110),0)+IF('Get Started'!$H109&lt;='Get Started'!$E27,IF(AF4&lt;'Get Started'!$H109,0,OFFSET(AF234,0,-1*'Get Started'!$H109)*'Get Started'!$E42*'Get Started'!$G109),0)</f>
        <v>0.33108075000000003</v>
      </c>
      <c r="AG237" s="90">
        <f ca="1">IF('Get Started'!$H112&lt;='Get Started'!$E27,IF(AND(AG4&lt;'Get Started'!$H112,'Get Started'!$H112&lt;='Get Started'!$E27),0,OFFSET(AG234,0,-1*'Get Started'!$H112)*'Get Started'!$H42*'Get Started'!$G112),0)+IF('Get Started'!$H111&lt;='Get Started'!$E27,IF(AG4&lt;'Get Started'!$H111,0,OFFSET(AG234,0,-1*'Get Started'!$H111)*'Get Started'!$G42*'Get Started'!$G111),0)+IF('Get Started'!$H110&lt;='Get Started'!$E27,IF(AG4&lt;'Get Started'!$H110,0,OFFSET(AG234,0,-1*'Get Started'!$H110)*'Get Started'!$F42*'Get Started'!$G110),0)+IF('Get Started'!$H109&lt;='Get Started'!$E27,IF(AG4&lt;'Get Started'!$H109,0,OFFSET(AG234,0,-1*'Get Started'!$H109)*'Get Started'!$E42*'Get Started'!$G109),0)</f>
        <v>0.33108075000000003</v>
      </c>
      <c r="AH237" s="90">
        <f ca="1">IF('Get Started'!$H112&lt;='Get Started'!$E27,IF(AND(AH4&lt;'Get Started'!$H112,'Get Started'!$H112&lt;='Get Started'!$E27),0,OFFSET(AH234,0,-1*'Get Started'!$H112)*'Get Started'!$H42*'Get Started'!$G112),0)+IF('Get Started'!$H111&lt;='Get Started'!$E27,IF(AH4&lt;'Get Started'!$H111,0,OFFSET(AH234,0,-1*'Get Started'!$H111)*'Get Started'!$G42*'Get Started'!$G111),0)+IF('Get Started'!$H110&lt;='Get Started'!$E27,IF(AH4&lt;'Get Started'!$H110,0,OFFSET(AH234,0,-1*'Get Started'!$H110)*'Get Started'!$F42*'Get Started'!$G110),0)+IF('Get Started'!$H109&lt;='Get Started'!$E27,IF(AH4&lt;'Get Started'!$H109,0,OFFSET(AH234,0,-1*'Get Started'!$H109)*'Get Started'!$E42*'Get Started'!$G109),0)</f>
        <v>0.33108075000000003</v>
      </c>
      <c r="AI237" s="90">
        <f ca="1">IF('Get Started'!$H112&lt;='Get Started'!$E27,IF(AND(AI4&lt;'Get Started'!$H112,'Get Started'!$H112&lt;='Get Started'!$E27),0,OFFSET(AI234,0,-1*'Get Started'!$H112)*'Get Started'!$H42*'Get Started'!$G112),0)+IF('Get Started'!$H111&lt;='Get Started'!$E27,IF(AI4&lt;'Get Started'!$H111,0,OFFSET(AI234,0,-1*'Get Started'!$H111)*'Get Started'!$G42*'Get Started'!$G111),0)+IF('Get Started'!$H110&lt;='Get Started'!$E27,IF(AI4&lt;'Get Started'!$H110,0,OFFSET(AI234,0,-1*'Get Started'!$H110)*'Get Started'!$F42*'Get Started'!$G110),0)+IF('Get Started'!$H109&lt;='Get Started'!$E27,IF(AI4&lt;'Get Started'!$H109,0,OFFSET(AI234,0,-1*'Get Started'!$H109)*'Get Started'!$E42*'Get Started'!$G109),0)</f>
        <v>0.29105999999999999</v>
      </c>
      <c r="AJ237" s="90">
        <f ca="1">IF('Get Started'!$H112&lt;='Get Started'!$E27,IF(AND(AJ4&lt;'Get Started'!$H112,'Get Started'!$H112&lt;='Get Started'!$E27),0,OFFSET(AJ234,0,-1*'Get Started'!$H112)*'Get Started'!$H42*'Get Started'!$G112),0)+IF('Get Started'!$H111&lt;='Get Started'!$E27,IF(AJ4&lt;'Get Started'!$H111,0,OFFSET(AJ234,0,-1*'Get Started'!$H111)*'Get Started'!$G42*'Get Started'!$G111),0)+IF('Get Started'!$H110&lt;='Get Started'!$E27,IF(AJ4&lt;'Get Started'!$H110,0,OFFSET(AJ234,0,-1*'Get Started'!$H110)*'Get Started'!$F42*'Get Started'!$G110),0)+IF('Get Started'!$H109&lt;='Get Started'!$E27,IF(AJ4&lt;'Get Started'!$H109,0,OFFSET(AJ234,0,-1*'Get Started'!$H109)*'Get Started'!$E42*'Get Started'!$G109),0)</f>
        <v>0.29105999999999999</v>
      </c>
      <c r="AK237" s="90">
        <f ca="1">IF('Get Started'!$H112&lt;='Get Started'!$E27,IF(AND(AK4&lt;'Get Started'!$H112,'Get Started'!$H112&lt;='Get Started'!$E27),0,OFFSET(AK234,0,-1*'Get Started'!$H112)*'Get Started'!$H42*'Get Started'!$G112),0)+IF('Get Started'!$H111&lt;='Get Started'!$E27,IF(AK4&lt;'Get Started'!$H111,0,OFFSET(AK234,0,-1*'Get Started'!$H111)*'Get Started'!$G42*'Get Started'!$G111),0)+IF('Get Started'!$H110&lt;='Get Started'!$E27,IF(AK4&lt;'Get Started'!$H110,0,OFFSET(AK234,0,-1*'Get Started'!$H110)*'Get Started'!$F42*'Get Started'!$G110),0)+IF('Get Started'!$H109&lt;='Get Started'!$E27,IF(AK4&lt;'Get Started'!$H109,0,OFFSET(AK234,0,-1*'Get Started'!$H109)*'Get Started'!$E42*'Get Started'!$G109),0)</f>
        <v>0.29105999999999999</v>
      </c>
      <c r="AL237" s="90">
        <f ca="1">IF('Get Started'!$H112&lt;='Get Started'!$E27,IF(AND(AL4&lt;'Get Started'!$H112,'Get Started'!$H112&lt;='Get Started'!$E27),0,OFFSET(AL234,0,-1*'Get Started'!$H112)*'Get Started'!$H42*'Get Started'!$G112),0)+IF('Get Started'!$H111&lt;='Get Started'!$E27,IF(AL4&lt;'Get Started'!$H111,0,OFFSET(AL234,0,-1*'Get Started'!$H111)*'Get Started'!$G42*'Get Started'!$G111),0)+IF('Get Started'!$H110&lt;='Get Started'!$E27,IF(AL4&lt;'Get Started'!$H110,0,OFFSET(AL234,0,-1*'Get Started'!$H110)*'Get Started'!$F42*'Get Started'!$G110),0)+IF('Get Started'!$H109&lt;='Get Started'!$E27,IF(AL4&lt;'Get Started'!$H109,0,OFFSET(AL234,0,-1*'Get Started'!$H109)*'Get Started'!$E42*'Get Started'!$G109),0)</f>
        <v>0.29105999999999999</v>
      </c>
      <c r="AM237" s="90">
        <f ca="1">IF('Get Started'!$H112&lt;='Get Started'!$E27,IF(AND(AM4&lt;'Get Started'!$H112,'Get Started'!$H112&lt;='Get Started'!$E27),0,OFFSET(AM234,0,-1*'Get Started'!$H112)*'Get Started'!$H42*'Get Started'!$G112),0)+IF('Get Started'!$H111&lt;='Get Started'!$E27,IF(AM4&lt;'Get Started'!$H111,0,OFFSET(AM234,0,-1*'Get Started'!$H111)*'Get Started'!$G42*'Get Started'!$G111),0)+IF('Get Started'!$H110&lt;='Get Started'!$E27,IF(AM4&lt;'Get Started'!$H110,0,OFFSET(AM234,0,-1*'Get Started'!$H110)*'Get Started'!$F42*'Get Started'!$G110),0)+IF('Get Started'!$H109&lt;='Get Started'!$E27,IF(AM4&lt;'Get Started'!$H109,0,OFFSET(AM234,0,-1*'Get Started'!$H109)*'Get Started'!$E42*'Get Started'!$G109),0)</f>
        <v>0.18191249999999995</v>
      </c>
      <c r="AN237" s="90">
        <f ca="1">IF('Get Started'!$H112&lt;='Get Started'!$E27,IF(AND(AN4&lt;'Get Started'!$H112,'Get Started'!$H112&lt;='Get Started'!$E27),0,OFFSET(AN234,0,-1*'Get Started'!$H112)*'Get Started'!$H42*'Get Started'!$G112),0)+IF('Get Started'!$H111&lt;='Get Started'!$E27,IF(AN4&lt;'Get Started'!$H111,0,OFFSET(AN234,0,-1*'Get Started'!$H111)*'Get Started'!$G42*'Get Started'!$G111),0)+IF('Get Started'!$H110&lt;='Get Started'!$E27,IF(AN4&lt;'Get Started'!$H110,0,OFFSET(AN234,0,-1*'Get Started'!$H110)*'Get Started'!$F42*'Get Started'!$G110),0)+IF('Get Started'!$H109&lt;='Get Started'!$E27,IF(AN4&lt;'Get Started'!$H109,0,OFFSET(AN234,0,-1*'Get Started'!$H109)*'Get Started'!$E42*'Get Started'!$G109),0)</f>
        <v>0.18191249999999995</v>
      </c>
      <c r="AO237" s="90">
        <f ca="1">IF('Get Started'!$H112&lt;='Get Started'!$E27,IF(AND(AO4&lt;'Get Started'!$H112,'Get Started'!$H112&lt;='Get Started'!$E27),0,OFFSET(AO234,0,-1*'Get Started'!$H112)*'Get Started'!$H42*'Get Started'!$G112),0)+IF('Get Started'!$H111&lt;='Get Started'!$E27,IF(AO4&lt;'Get Started'!$H111,0,OFFSET(AO234,0,-1*'Get Started'!$H111)*'Get Started'!$G42*'Get Started'!$G111),0)+IF('Get Started'!$H110&lt;='Get Started'!$E27,IF(AO4&lt;'Get Started'!$H110,0,OFFSET(AO234,0,-1*'Get Started'!$H110)*'Get Started'!$F42*'Get Started'!$G110),0)+IF('Get Started'!$H109&lt;='Get Started'!$E27,IF(AO4&lt;'Get Started'!$H109,0,OFFSET(AO234,0,-1*'Get Started'!$H109)*'Get Started'!$E42*'Get Started'!$G109),0)</f>
        <v>0.18191249999999995</v>
      </c>
      <c r="AP237" s="90">
        <f ca="1">IF('Get Started'!$H112&lt;='Get Started'!$E27,IF(AND(AP4&lt;'Get Started'!$H112,'Get Started'!$H112&lt;='Get Started'!$E27),0,OFFSET(AP234,0,-1*'Get Started'!$H112)*'Get Started'!$H42*'Get Started'!$G112),0)+IF('Get Started'!$H111&lt;='Get Started'!$E27,IF(AP4&lt;'Get Started'!$H111,0,OFFSET(AP234,0,-1*'Get Started'!$H111)*'Get Started'!$G42*'Get Started'!$G111),0)+IF('Get Started'!$H110&lt;='Get Started'!$E27,IF(AP4&lt;'Get Started'!$H110,0,OFFSET(AP234,0,-1*'Get Started'!$H110)*'Get Started'!$F42*'Get Started'!$G110),0)+IF('Get Started'!$H109&lt;='Get Started'!$E27,IF(AP4&lt;'Get Started'!$H109,0,OFFSET(AP234,0,-1*'Get Started'!$H109)*'Get Started'!$E42*'Get Started'!$G109),0)</f>
        <v>0.18191249999999995</v>
      </c>
      <c r="AQ237" s="90">
        <f ca="1">IF('Get Started'!$H112&lt;='Get Started'!$E27,IF(AND(AQ4&lt;'Get Started'!$H112,'Get Started'!$H112&lt;='Get Started'!$E27),0,OFFSET(AQ234,0,-1*'Get Started'!$H112)*'Get Started'!$H42*'Get Started'!$G112),0)+IF('Get Started'!$H111&lt;='Get Started'!$E27,IF(AQ4&lt;'Get Started'!$H111,0,OFFSET(AQ234,0,-1*'Get Started'!$H111)*'Get Started'!$G42*'Get Started'!$G111),0)+IF('Get Started'!$H110&lt;='Get Started'!$E27,IF(AQ4&lt;'Get Started'!$H110,0,OFFSET(AQ234,0,-1*'Get Started'!$H110)*'Get Started'!$F42*'Get Started'!$G110),0)+IF('Get Started'!$H109&lt;='Get Started'!$E27,IF(AQ4&lt;'Get Started'!$H109,0,OFFSET(AQ234,0,-1*'Get Started'!$H109)*'Get Started'!$E42*'Get Started'!$G109),0)</f>
        <v>0.21829499999999996</v>
      </c>
      <c r="AR237" s="90">
        <f ca="1">IF('Get Started'!$H112&lt;='Get Started'!$E27,IF(AND(AR4&lt;'Get Started'!$H112,'Get Started'!$H112&lt;='Get Started'!$E27),0,OFFSET(AR234,0,-1*'Get Started'!$H112)*'Get Started'!$H42*'Get Started'!$G112),0)+IF('Get Started'!$H111&lt;='Get Started'!$E27,IF(AR4&lt;'Get Started'!$H111,0,OFFSET(AR234,0,-1*'Get Started'!$H111)*'Get Started'!$G42*'Get Started'!$G111),0)+IF('Get Started'!$H110&lt;='Get Started'!$E27,IF(AR4&lt;'Get Started'!$H110,0,OFFSET(AR234,0,-1*'Get Started'!$H110)*'Get Started'!$F42*'Get Started'!$G110),0)+IF('Get Started'!$H109&lt;='Get Started'!$E27,IF(AR4&lt;'Get Started'!$H109,0,OFFSET(AR234,0,-1*'Get Started'!$H109)*'Get Started'!$E42*'Get Started'!$G109),0)</f>
        <v>0.21829499999999996</v>
      </c>
      <c r="AS237" s="90">
        <f ca="1">IF('Get Started'!$H112&lt;='Get Started'!$E27,IF(AND(AS4&lt;'Get Started'!$H112,'Get Started'!$H112&lt;='Get Started'!$E27),0,OFFSET(AS234,0,-1*'Get Started'!$H112)*'Get Started'!$H42*'Get Started'!$G112),0)+IF('Get Started'!$H111&lt;='Get Started'!$E27,IF(AS4&lt;'Get Started'!$H111,0,OFFSET(AS234,0,-1*'Get Started'!$H111)*'Get Started'!$G42*'Get Started'!$G111),0)+IF('Get Started'!$H110&lt;='Get Started'!$E27,IF(AS4&lt;'Get Started'!$H110,0,OFFSET(AS234,0,-1*'Get Started'!$H110)*'Get Started'!$F42*'Get Started'!$G110),0)+IF('Get Started'!$H109&lt;='Get Started'!$E27,IF(AS4&lt;'Get Started'!$H109,0,OFFSET(AS234,0,-1*'Get Started'!$H109)*'Get Started'!$E42*'Get Started'!$G109),0)</f>
        <v>0.21829499999999996</v>
      </c>
      <c r="AT237" s="90">
        <f ca="1">IF('Get Started'!$H112&lt;='Get Started'!$E27,IF(AND(AT4&lt;'Get Started'!$H112,'Get Started'!$H112&lt;='Get Started'!$E27),0,OFFSET(AT234,0,-1*'Get Started'!$H112)*'Get Started'!$H42*'Get Started'!$G112),0)+IF('Get Started'!$H111&lt;='Get Started'!$E27,IF(AT4&lt;'Get Started'!$H111,0,OFFSET(AT234,0,-1*'Get Started'!$H111)*'Get Started'!$G42*'Get Started'!$G111),0)+IF('Get Started'!$H110&lt;='Get Started'!$E27,IF(AT4&lt;'Get Started'!$H110,0,OFFSET(AT234,0,-1*'Get Started'!$H110)*'Get Started'!$F42*'Get Started'!$G110),0)+IF('Get Started'!$H109&lt;='Get Started'!$E27,IF(AT4&lt;'Get Started'!$H109,0,OFFSET(AT234,0,-1*'Get Started'!$H109)*'Get Started'!$E42*'Get Started'!$G109),0)</f>
        <v>0.21829499999999996</v>
      </c>
      <c r="AU237" s="90">
        <f ca="1">IF('Get Started'!$H112&lt;='Get Started'!$E27,IF(AND(AU4&lt;'Get Started'!$H112,'Get Started'!$H112&lt;='Get Started'!$E27),0,OFFSET(AU234,0,-1*'Get Started'!$H112)*'Get Started'!$H42*'Get Started'!$G112),0)+IF('Get Started'!$H111&lt;='Get Started'!$E27,IF(AU4&lt;'Get Started'!$H111,0,OFFSET(AU234,0,-1*'Get Started'!$H111)*'Get Started'!$G42*'Get Started'!$G111),0)+IF('Get Started'!$H110&lt;='Get Started'!$E27,IF(AU4&lt;'Get Started'!$H110,0,OFFSET(AU234,0,-1*'Get Started'!$H110)*'Get Started'!$F42*'Get Started'!$G110),0)+IF('Get Started'!$H109&lt;='Get Started'!$E27,IF(AU4&lt;'Get Started'!$H109,0,OFFSET(AU234,0,-1*'Get Started'!$H109)*'Get Started'!$E42*'Get Started'!$G109),0)</f>
        <v>0</v>
      </c>
      <c r="AV237" s="90">
        <f ca="1">IF('Get Started'!$H112&lt;='Get Started'!$E27,IF(AND(AV4&lt;'Get Started'!$H112,'Get Started'!$H112&lt;='Get Started'!$E27),0,OFFSET(AV234,0,-1*'Get Started'!$H112)*'Get Started'!$H42*'Get Started'!$G112),0)+IF('Get Started'!$H111&lt;='Get Started'!$E27,IF(AV4&lt;'Get Started'!$H111,0,OFFSET(AV234,0,-1*'Get Started'!$H111)*'Get Started'!$G42*'Get Started'!$G111),0)+IF('Get Started'!$H110&lt;='Get Started'!$E27,IF(AV4&lt;'Get Started'!$H110,0,OFFSET(AV234,0,-1*'Get Started'!$H110)*'Get Started'!$F42*'Get Started'!$G110),0)+IF('Get Started'!$H109&lt;='Get Started'!$E27,IF(AV4&lt;'Get Started'!$H109,0,OFFSET(AV234,0,-1*'Get Started'!$H109)*'Get Started'!$E42*'Get Started'!$G109),0)</f>
        <v>0</v>
      </c>
      <c r="AW237" s="90">
        <f ca="1">IF('Get Started'!$H112&lt;='Get Started'!$E27,IF(AND(AW4&lt;'Get Started'!$H112,'Get Started'!$H112&lt;='Get Started'!$E27),0,OFFSET(AW234,0,-1*'Get Started'!$H112)*'Get Started'!$H42*'Get Started'!$G112),0)+IF('Get Started'!$H111&lt;='Get Started'!$E27,IF(AW4&lt;'Get Started'!$H111,0,OFFSET(AW234,0,-1*'Get Started'!$H111)*'Get Started'!$G42*'Get Started'!$G111),0)+IF('Get Started'!$H110&lt;='Get Started'!$E27,IF(AW4&lt;'Get Started'!$H110,0,OFFSET(AW234,0,-1*'Get Started'!$H110)*'Get Started'!$F42*'Get Started'!$G110),0)+IF('Get Started'!$H109&lt;='Get Started'!$E27,IF(AW4&lt;'Get Started'!$H109,0,OFFSET(AW234,0,-1*'Get Started'!$H109)*'Get Started'!$E42*'Get Started'!$G109),0)</f>
        <v>0</v>
      </c>
      <c r="AX237" s="90">
        <f ca="1">IF('Get Started'!$H112&lt;='Get Started'!$E27,IF(AND(AX4&lt;'Get Started'!$H112,'Get Started'!$H112&lt;='Get Started'!$E27),0,OFFSET(AX234,0,-1*'Get Started'!$H112)*'Get Started'!$H42*'Get Started'!$G112),0)+IF('Get Started'!$H111&lt;='Get Started'!$E27,IF(AX4&lt;'Get Started'!$H111,0,OFFSET(AX234,0,-1*'Get Started'!$H111)*'Get Started'!$G42*'Get Started'!$G111),0)+IF('Get Started'!$H110&lt;='Get Started'!$E27,IF(AX4&lt;'Get Started'!$H110,0,OFFSET(AX234,0,-1*'Get Started'!$H110)*'Get Started'!$F42*'Get Started'!$G110),0)+IF('Get Started'!$H109&lt;='Get Started'!$E27,IF(AX4&lt;'Get Started'!$H109,0,OFFSET(AX234,0,-1*'Get Started'!$H109)*'Get Started'!$E42*'Get Started'!$G109),0)</f>
        <v>0</v>
      </c>
      <c r="AY237" s="90">
        <f ca="1">IF('Get Started'!$H112&lt;='Get Started'!$E27,IF(AND(AY4&lt;'Get Started'!$H112,'Get Started'!$H112&lt;='Get Started'!$E27),0,OFFSET(AY234,0,-1*'Get Started'!$H112)*'Get Started'!$H42*'Get Started'!$G112),0)+IF('Get Started'!$H111&lt;='Get Started'!$E27,IF(AY4&lt;'Get Started'!$H111,0,OFFSET(AY234,0,-1*'Get Started'!$H111)*'Get Started'!$G42*'Get Started'!$G111),0)+IF('Get Started'!$H110&lt;='Get Started'!$E27,IF(AY4&lt;'Get Started'!$H110,0,OFFSET(AY234,0,-1*'Get Started'!$H110)*'Get Started'!$F42*'Get Started'!$G110),0)+IF('Get Started'!$H109&lt;='Get Started'!$E27,IF(AY4&lt;'Get Started'!$H109,0,OFFSET(AY234,0,-1*'Get Started'!$H109)*'Get Started'!$E42*'Get Started'!$G109),0)</f>
        <v>0</v>
      </c>
      <c r="AZ237" s="90">
        <f ca="1">IF('Get Started'!$H112&lt;='Get Started'!$E27,IF(AND(AZ4&lt;'Get Started'!$H112,'Get Started'!$H112&lt;='Get Started'!$E27),0,OFFSET(AZ234,0,-1*'Get Started'!$H112)*'Get Started'!$H42*'Get Started'!$G112),0)+IF('Get Started'!$H111&lt;='Get Started'!$E27,IF(AZ4&lt;'Get Started'!$H111,0,OFFSET(AZ234,0,-1*'Get Started'!$H111)*'Get Started'!$G42*'Get Started'!$G111),0)+IF('Get Started'!$H110&lt;='Get Started'!$E27,IF(AZ4&lt;'Get Started'!$H110,0,OFFSET(AZ234,0,-1*'Get Started'!$H110)*'Get Started'!$F42*'Get Started'!$G110),0)+IF('Get Started'!$H109&lt;='Get Started'!$E27,IF(AZ4&lt;'Get Started'!$H109,0,OFFSET(AZ234,0,-1*'Get Started'!$H109)*'Get Started'!$E42*'Get Started'!$G109),0)</f>
        <v>0</v>
      </c>
      <c r="BA237" s="90">
        <f ca="1">IF('Get Started'!$H112&lt;='Get Started'!$E27,IF(AND(BA4&lt;'Get Started'!$H112,'Get Started'!$H112&lt;='Get Started'!$E27),0,OFFSET(BA234,0,-1*'Get Started'!$H112)*'Get Started'!$H42*'Get Started'!$G112),0)+IF('Get Started'!$H111&lt;='Get Started'!$E27,IF(BA4&lt;'Get Started'!$H111,0,OFFSET(BA234,0,-1*'Get Started'!$H111)*'Get Started'!$G42*'Get Started'!$G111),0)+IF('Get Started'!$H110&lt;='Get Started'!$E27,IF(BA4&lt;'Get Started'!$H110,0,OFFSET(BA234,0,-1*'Get Started'!$H110)*'Get Started'!$F42*'Get Started'!$G110),0)+IF('Get Started'!$H109&lt;='Get Started'!$E27,IF(BA4&lt;'Get Started'!$H109,0,OFFSET(BA234,0,-1*'Get Started'!$H109)*'Get Started'!$E42*'Get Started'!$G109),0)</f>
        <v>0</v>
      </c>
      <c r="BB237" s="90">
        <f ca="1">IF('Get Started'!$H112&lt;='Get Started'!$E27,IF(AND(BB4&lt;'Get Started'!$H112,'Get Started'!$H112&lt;='Get Started'!$E27),0,OFFSET(BB234,0,-1*'Get Started'!$H112)*'Get Started'!$H42*'Get Started'!$G112),0)+IF('Get Started'!$H111&lt;='Get Started'!$E27,IF(BB4&lt;'Get Started'!$H111,0,OFFSET(BB234,0,-1*'Get Started'!$H111)*'Get Started'!$G42*'Get Started'!$G111),0)+IF('Get Started'!$H110&lt;='Get Started'!$E27,IF(BB4&lt;'Get Started'!$H110,0,OFFSET(BB234,0,-1*'Get Started'!$H110)*'Get Started'!$F42*'Get Started'!$G110),0)+IF('Get Started'!$H109&lt;='Get Started'!$E27,IF(BB4&lt;'Get Started'!$H109,0,OFFSET(BB234,0,-1*'Get Started'!$H109)*'Get Started'!$E42*'Get Started'!$G109),0)</f>
        <v>0</v>
      </c>
      <c r="BC237" s="90">
        <f ca="1">IF('Get Started'!$H112&lt;='Get Started'!$E27,IF(AND(BC4&lt;'Get Started'!$H112,'Get Started'!$H112&lt;='Get Started'!$E27),0,OFFSET(BC234,0,-1*'Get Started'!$H112)*'Get Started'!$H42*'Get Started'!$G112),0)+IF('Get Started'!$H111&lt;='Get Started'!$E27,IF(BC4&lt;'Get Started'!$H111,0,OFFSET(BC234,0,-1*'Get Started'!$H111)*'Get Started'!$G42*'Get Started'!$G111),0)+IF('Get Started'!$H110&lt;='Get Started'!$E27,IF(BC4&lt;'Get Started'!$H110,0,OFFSET(BC234,0,-1*'Get Started'!$H110)*'Get Started'!$F42*'Get Started'!$G110),0)+IF('Get Started'!$H109&lt;='Get Started'!$E27,IF(BC4&lt;'Get Started'!$H109,0,OFFSET(BC234,0,-1*'Get Started'!$H109)*'Get Started'!$E42*'Get Started'!$G109),0)</f>
        <v>0</v>
      </c>
      <c r="BD237" s="90">
        <f ca="1">IF('Get Started'!$H112&lt;='Get Started'!$E27,IF(AND(BD4&lt;'Get Started'!$H112,'Get Started'!$H112&lt;='Get Started'!$E27),0,OFFSET(BD234,0,-1*'Get Started'!$H112)*'Get Started'!$H42*'Get Started'!$G112),0)+IF('Get Started'!$H111&lt;='Get Started'!$E27,IF(BD4&lt;'Get Started'!$H111,0,OFFSET(BD234,0,-1*'Get Started'!$H111)*'Get Started'!$G42*'Get Started'!$G111),0)+IF('Get Started'!$H110&lt;='Get Started'!$E27,IF(BD4&lt;'Get Started'!$H110,0,OFFSET(BD234,0,-1*'Get Started'!$H110)*'Get Started'!$F42*'Get Started'!$G110),0)+IF('Get Started'!$H109&lt;='Get Started'!$E27,IF(BD4&lt;'Get Started'!$H109,0,OFFSET(BD234,0,-1*'Get Started'!$H109)*'Get Started'!$E42*'Get Started'!$G109),0)</f>
        <v>0</v>
      </c>
      <c r="BE237" s="90">
        <f ca="1">IF('Get Started'!$H112&lt;='Get Started'!$E27,IF(AND(BE4&lt;'Get Started'!$H112,'Get Started'!$H112&lt;='Get Started'!$E27),0,OFFSET(BE234,0,-1*'Get Started'!$H112)*'Get Started'!$H42*'Get Started'!$G112),0)+IF('Get Started'!$H111&lt;='Get Started'!$E27,IF(BE4&lt;'Get Started'!$H111,0,OFFSET(BE234,0,-1*'Get Started'!$H111)*'Get Started'!$G42*'Get Started'!$G111),0)+IF('Get Started'!$H110&lt;='Get Started'!$E27,IF(BE4&lt;'Get Started'!$H110,0,OFFSET(BE234,0,-1*'Get Started'!$H110)*'Get Started'!$F42*'Get Started'!$G110),0)+IF('Get Started'!$H109&lt;='Get Started'!$E27,IF(BE4&lt;'Get Started'!$H109,0,OFFSET(BE234,0,-1*'Get Started'!$H109)*'Get Started'!$E42*'Get Started'!$G109),0)</f>
        <v>0</v>
      </c>
      <c r="BF237" s="90">
        <f ca="1">IF('Get Started'!$H112&lt;='Get Started'!$E27,IF(AND(BF4&lt;'Get Started'!$H112,'Get Started'!$H112&lt;='Get Started'!$E27),0,OFFSET(BF234,0,-1*'Get Started'!$H112)*'Get Started'!$H42*'Get Started'!$G112),0)+IF('Get Started'!$H111&lt;='Get Started'!$E27,IF(BF4&lt;'Get Started'!$H111,0,OFFSET(BF234,0,-1*'Get Started'!$H111)*'Get Started'!$G42*'Get Started'!$G111),0)+IF('Get Started'!$H110&lt;='Get Started'!$E27,IF(BF4&lt;'Get Started'!$H110,0,OFFSET(BF234,0,-1*'Get Started'!$H110)*'Get Started'!$F42*'Get Started'!$G110),0)+IF('Get Started'!$H109&lt;='Get Started'!$E27,IF(BF4&lt;'Get Started'!$H109,0,OFFSET(BF234,0,-1*'Get Started'!$H109)*'Get Started'!$E42*'Get Started'!$G109),0)</f>
        <v>0</v>
      </c>
      <c r="BG237" s="90">
        <f ca="1">IF('Get Started'!$H112&lt;='Get Started'!$E27,IF(AND(BG4&lt;'Get Started'!$H112,'Get Started'!$H112&lt;='Get Started'!$E27),0,OFFSET(BG234,0,-1*'Get Started'!$H112)*'Get Started'!$H42*'Get Started'!$G112),0)+IF('Get Started'!$H111&lt;='Get Started'!$E27,IF(BG4&lt;'Get Started'!$H111,0,OFFSET(BG234,0,-1*'Get Started'!$H111)*'Get Started'!$G42*'Get Started'!$G111),0)+IF('Get Started'!$H110&lt;='Get Started'!$E27,IF(BG4&lt;'Get Started'!$H110,0,OFFSET(BG234,0,-1*'Get Started'!$H110)*'Get Started'!$F42*'Get Started'!$G110),0)+IF('Get Started'!$H109&lt;='Get Started'!$E27,IF(BG4&lt;'Get Started'!$H109,0,OFFSET(BG234,0,-1*'Get Started'!$H109)*'Get Started'!$E42*'Get Started'!$G109),0)</f>
        <v>0</v>
      </c>
      <c r="BH237" s="90">
        <f ca="1">IF('Get Started'!$H112&lt;='Get Started'!$E27,IF(AND(BH4&lt;'Get Started'!$H112,'Get Started'!$H112&lt;='Get Started'!$E27),0,OFFSET(BH234,0,-1*'Get Started'!$H112)*'Get Started'!$H42*'Get Started'!$G112),0)+IF('Get Started'!$H111&lt;='Get Started'!$E27,IF(BH4&lt;'Get Started'!$H111,0,OFFSET(BH234,0,-1*'Get Started'!$H111)*'Get Started'!$G42*'Get Started'!$G111),0)+IF('Get Started'!$H110&lt;='Get Started'!$E27,IF(BH4&lt;'Get Started'!$H110,0,OFFSET(BH234,0,-1*'Get Started'!$H110)*'Get Started'!$F42*'Get Started'!$G110),0)+IF('Get Started'!$H109&lt;='Get Started'!$E27,IF(BH4&lt;'Get Started'!$H109,0,OFFSET(BH234,0,-1*'Get Started'!$H109)*'Get Started'!$E42*'Get Started'!$G109),0)</f>
        <v>0</v>
      </c>
      <c r="BI237" s="90">
        <f ca="1">IF('Get Started'!$H112&lt;='Get Started'!$E27,IF(AND(BI4&lt;'Get Started'!$H112,'Get Started'!$H112&lt;='Get Started'!$E27),0,OFFSET(BI234,0,-1*'Get Started'!$H112)*'Get Started'!$H42*'Get Started'!$G112),0)+IF('Get Started'!$H111&lt;='Get Started'!$E27,IF(BI4&lt;'Get Started'!$H111,0,OFFSET(BI234,0,-1*'Get Started'!$H111)*'Get Started'!$G42*'Get Started'!$G111),0)+IF('Get Started'!$H110&lt;='Get Started'!$E27,IF(BI4&lt;'Get Started'!$H110,0,OFFSET(BI234,0,-1*'Get Started'!$H110)*'Get Started'!$F42*'Get Started'!$G110),0)+IF('Get Started'!$H109&lt;='Get Started'!$E27,IF(BI4&lt;'Get Started'!$H109,0,OFFSET(BI234,0,-1*'Get Started'!$H109)*'Get Started'!$E42*'Get Started'!$G109),0)</f>
        <v>0</v>
      </c>
      <c r="BJ237" s="90">
        <f ca="1">IF('Get Started'!$H112&lt;='Get Started'!$E27,IF(AND(BJ4&lt;'Get Started'!$H112,'Get Started'!$H112&lt;='Get Started'!$E27),0,OFFSET(BJ234,0,-1*'Get Started'!$H112)*'Get Started'!$H42*'Get Started'!$G112),0)+IF('Get Started'!$H111&lt;='Get Started'!$E27,IF(BJ4&lt;'Get Started'!$H111,0,OFFSET(BJ234,0,-1*'Get Started'!$H111)*'Get Started'!$G42*'Get Started'!$G111),0)+IF('Get Started'!$H110&lt;='Get Started'!$E27,IF(BJ4&lt;'Get Started'!$H110,0,OFFSET(BJ234,0,-1*'Get Started'!$H110)*'Get Started'!$F42*'Get Started'!$G110),0)+IF('Get Started'!$H109&lt;='Get Started'!$E27,IF(BJ4&lt;'Get Started'!$H109,0,OFFSET(BJ234,0,-1*'Get Started'!$H109)*'Get Started'!$E42*'Get Started'!$G109),0)</f>
        <v>0</v>
      </c>
      <c r="BK237" s="90">
        <f ca="1">IF('Get Started'!$H112&lt;='Get Started'!$E27,IF(AND(BK4&lt;'Get Started'!$H112,'Get Started'!$H112&lt;='Get Started'!$E27),0,OFFSET(BK234,0,-1*'Get Started'!$H112)*'Get Started'!$H42*'Get Started'!$G112),0)+IF('Get Started'!$H111&lt;='Get Started'!$E27,IF(BK4&lt;'Get Started'!$H111,0,OFFSET(BK234,0,-1*'Get Started'!$H111)*'Get Started'!$G42*'Get Started'!$G111),0)+IF('Get Started'!$H110&lt;='Get Started'!$E27,IF(BK4&lt;'Get Started'!$H110,0,OFFSET(BK234,0,-1*'Get Started'!$H110)*'Get Started'!$F42*'Get Started'!$G110),0)+IF('Get Started'!$H109&lt;='Get Started'!$E27,IF(BK4&lt;'Get Started'!$H109,0,OFFSET(BK234,0,-1*'Get Started'!$H109)*'Get Started'!$E42*'Get Started'!$G109),0)</f>
        <v>0</v>
      </c>
      <c r="BL237" s="90">
        <f ca="1">IF('Get Started'!$H112&lt;='Get Started'!$E27,IF(AND(BL4&lt;'Get Started'!$H112,'Get Started'!$H112&lt;='Get Started'!$E27),0,OFFSET(BL234,0,-1*'Get Started'!$H112)*'Get Started'!$H42*'Get Started'!$G112),0)+IF('Get Started'!$H111&lt;='Get Started'!$E27,IF(BL4&lt;'Get Started'!$H111,0,OFFSET(BL234,0,-1*'Get Started'!$H111)*'Get Started'!$G42*'Get Started'!$G111),0)+IF('Get Started'!$H110&lt;='Get Started'!$E27,IF(BL4&lt;'Get Started'!$H110,0,OFFSET(BL234,0,-1*'Get Started'!$H110)*'Get Started'!$F42*'Get Started'!$G110),0)+IF('Get Started'!$H109&lt;='Get Started'!$E27,IF(BL4&lt;'Get Started'!$H109,0,OFFSET(BL234,0,-1*'Get Started'!$H109)*'Get Started'!$E42*'Get Started'!$G109),0)</f>
        <v>0</v>
      </c>
      <c r="BM237" s="90">
        <f ca="1">IF('Get Started'!$H112&lt;='Get Started'!$E27,IF(AND(BM4&lt;'Get Started'!$H112,'Get Started'!$H112&lt;='Get Started'!$E27),0,OFFSET(BM234,0,-1*'Get Started'!$H112)*'Get Started'!$H42*'Get Started'!$G112),0)+IF('Get Started'!$H111&lt;='Get Started'!$E27,IF(BM4&lt;'Get Started'!$H111,0,OFFSET(BM234,0,-1*'Get Started'!$H111)*'Get Started'!$G42*'Get Started'!$G111),0)+IF('Get Started'!$H110&lt;='Get Started'!$E27,IF(BM4&lt;'Get Started'!$H110,0,OFFSET(BM234,0,-1*'Get Started'!$H110)*'Get Started'!$F42*'Get Started'!$G110),0)+IF('Get Started'!$H109&lt;='Get Started'!$E27,IF(BM4&lt;'Get Started'!$H109,0,OFFSET(BM234,0,-1*'Get Started'!$H109)*'Get Started'!$E42*'Get Started'!$G109),0)</f>
        <v>0</v>
      </c>
      <c r="BN237" s="90">
        <f ca="1">IF('Get Started'!$H112&lt;='Get Started'!$E27,IF(AND(BN4&lt;'Get Started'!$H112,'Get Started'!$H112&lt;='Get Started'!$E27),0,OFFSET(BN234,0,-1*'Get Started'!$H112)*'Get Started'!$H42*'Get Started'!$G112),0)+IF('Get Started'!$H111&lt;='Get Started'!$E27,IF(BN4&lt;'Get Started'!$H111,0,OFFSET(BN234,0,-1*'Get Started'!$H111)*'Get Started'!$G42*'Get Started'!$G111),0)+IF('Get Started'!$H110&lt;='Get Started'!$E27,IF(BN4&lt;'Get Started'!$H110,0,OFFSET(BN234,0,-1*'Get Started'!$H110)*'Get Started'!$F42*'Get Started'!$G110),0)+IF('Get Started'!$H109&lt;='Get Started'!$E27,IF(BN4&lt;'Get Started'!$H109,0,OFFSET(BN234,0,-1*'Get Started'!$H109)*'Get Started'!$E42*'Get Started'!$G109),0)</f>
        <v>0</v>
      </c>
      <c r="BO237" s="90">
        <f ca="1">IF('Get Started'!$H112&lt;='Get Started'!$E27,IF(AND(BO4&lt;'Get Started'!$H112,'Get Started'!$H112&lt;='Get Started'!$E27),0,OFFSET(BO234,0,-1*'Get Started'!$H112)*'Get Started'!$H42*'Get Started'!$G112),0)+IF('Get Started'!$H111&lt;='Get Started'!$E27,IF(BO4&lt;'Get Started'!$H111,0,OFFSET(BO234,0,-1*'Get Started'!$H111)*'Get Started'!$G42*'Get Started'!$G111),0)+IF('Get Started'!$H110&lt;='Get Started'!$E27,IF(BO4&lt;'Get Started'!$H110,0,OFFSET(BO234,0,-1*'Get Started'!$H110)*'Get Started'!$F42*'Get Started'!$G110),0)+IF('Get Started'!$H109&lt;='Get Started'!$E27,IF(BO4&lt;'Get Started'!$H109,0,OFFSET(BO234,0,-1*'Get Started'!$H109)*'Get Started'!$E42*'Get Started'!$G109),0)</f>
        <v>0</v>
      </c>
      <c r="BP237" s="90">
        <f ca="1">IF('Get Started'!$H112&lt;='Get Started'!$E27,IF(AND(BP4&lt;'Get Started'!$H112,'Get Started'!$H112&lt;='Get Started'!$E27),0,OFFSET(BP234,0,-1*'Get Started'!$H112)*'Get Started'!$H42*'Get Started'!$G112),0)+IF('Get Started'!$H111&lt;='Get Started'!$E27,IF(BP4&lt;'Get Started'!$H111,0,OFFSET(BP234,0,-1*'Get Started'!$H111)*'Get Started'!$G42*'Get Started'!$G111),0)+IF('Get Started'!$H110&lt;='Get Started'!$E27,IF(BP4&lt;'Get Started'!$H110,0,OFFSET(BP234,0,-1*'Get Started'!$H110)*'Get Started'!$F42*'Get Started'!$G110),0)+IF('Get Started'!$H109&lt;='Get Started'!$E27,IF(BP4&lt;'Get Started'!$H109,0,OFFSET(BP234,0,-1*'Get Started'!$H109)*'Get Started'!$E42*'Get Started'!$G109),0)</f>
        <v>0</v>
      </c>
      <c r="BQ237" s="90">
        <f ca="1">IF('Get Started'!$H112&lt;='Get Started'!$E27,IF(AND(BQ4&lt;'Get Started'!$H112,'Get Started'!$H112&lt;='Get Started'!$E27),0,OFFSET(BQ234,0,-1*'Get Started'!$H112)*'Get Started'!$H42*'Get Started'!$G112),0)+IF('Get Started'!$H111&lt;='Get Started'!$E27,IF(BQ4&lt;'Get Started'!$H111,0,OFFSET(BQ234,0,-1*'Get Started'!$H111)*'Get Started'!$G42*'Get Started'!$G111),0)+IF('Get Started'!$H110&lt;='Get Started'!$E27,IF(BQ4&lt;'Get Started'!$H110,0,OFFSET(BQ234,0,-1*'Get Started'!$H110)*'Get Started'!$F42*'Get Started'!$G110),0)+IF('Get Started'!$H109&lt;='Get Started'!$E27,IF(BQ4&lt;'Get Started'!$H109,0,OFFSET(BQ234,0,-1*'Get Started'!$H109)*'Get Started'!$E42*'Get Started'!$G109),0)</f>
        <v>0</v>
      </c>
      <c r="BR237" s="90">
        <f ca="1">IF('Get Started'!$H112&lt;='Get Started'!$E27,IF(AND(BR4&lt;'Get Started'!$H112,'Get Started'!$H112&lt;='Get Started'!$E27),0,OFFSET(BR234,0,-1*'Get Started'!$H112)*'Get Started'!$H42*'Get Started'!$G112),0)+IF('Get Started'!$H111&lt;='Get Started'!$E27,IF(BR4&lt;'Get Started'!$H111,0,OFFSET(BR234,0,-1*'Get Started'!$H111)*'Get Started'!$G42*'Get Started'!$G111),0)+IF('Get Started'!$H110&lt;='Get Started'!$E27,IF(BR4&lt;'Get Started'!$H110,0,OFFSET(BR234,0,-1*'Get Started'!$H110)*'Get Started'!$F42*'Get Started'!$G110),0)+IF('Get Started'!$H109&lt;='Get Started'!$E27,IF(BR4&lt;'Get Started'!$H109,0,OFFSET(BR234,0,-1*'Get Started'!$H109)*'Get Started'!$E42*'Get Started'!$G109),0)</f>
        <v>0</v>
      </c>
      <c r="BS237" s="90">
        <f ca="1">IF('Get Started'!$H112&lt;='Get Started'!$E27,IF(AND(BS4&lt;'Get Started'!$H112,'Get Started'!$H112&lt;='Get Started'!$E27),0,OFFSET(BS234,0,-1*'Get Started'!$H112)*'Get Started'!$H42*'Get Started'!$G112),0)+IF('Get Started'!$H111&lt;='Get Started'!$E27,IF(BS4&lt;'Get Started'!$H111,0,OFFSET(BS234,0,-1*'Get Started'!$H111)*'Get Started'!$G42*'Get Started'!$G111),0)+IF('Get Started'!$H110&lt;='Get Started'!$E27,IF(BS4&lt;'Get Started'!$H110,0,OFFSET(BS234,0,-1*'Get Started'!$H110)*'Get Started'!$F42*'Get Started'!$G110),0)+IF('Get Started'!$H109&lt;='Get Started'!$E27,IF(BS4&lt;'Get Started'!$H109,0,OFFSET(BS234,0,-1*'Get Started'!$H109)*'Get Started'!$E42*'Get Started'!$G109),0)</f>
        <v>0</v>
      </c>
      <c r="BT237" s="90">
        <f ca="1">IF('Get Started'!$H112&lt;='Get Started'!$E27,IF(AND(BT4&lt;'Get Started'!$H112,'Get Started'!$H112&lt;='Get Started'!$E27),0,OFFSET(BT234,0,-1*'Get Started'!$H112)*'Get Started'!$H42*'Get Started'!$G112),0)+IF('Get Started'!$H111&lt;='Get Started'!$E27,IF(BT4&lt;'Get Started'!$H111,0,OFFSET(BT234,0,-1*'Get Started'!$H111)*'Get Started'!$G42*'Get Started'!$G111),0)+IF('Get Started'!$H110&lt;='Get Started'!$E27,IF(BT4&lt;'Get Started'!$H110,0,OFFSET(BT234,0,-1*'Get Started'!$H110)*'Get Started'!$F42*'Get Started'!$G110),0)+IF('Get Started'!$H109&lt;='Get Started'!$E27,IF(BT4&lt;'Get Started'!$H109,0,OFFSET(BT234,0,-1*'Get Started'!$H109)*'Get Started'!$E42*'Get Started'!$G109),0)</f>
        <v>0</v>
      </c>
      <c r="BU237" s="90">
        <f ca="1">IF('Get Started'!$H112&lt;='Get Started'!$E27,IF(AND(BU4&lt;'Get Started'!$H112,'Get Started'!$H112&lt;='Get Started'!$E27),0,OFFSET(BU234,0,-1*'Get Started'!$H112)*'Get Started'!$H42*'Get Started'!$G112),0)+IF('Get Started'!$H111&lt;='Get Started'!$E27,IF(BU4&lt;'Get Started'!$H111,0,OFFSET(BU234,0,-1*'Get Started'!$H111)*'Get Started'!$G42*'Get Started'!$G111),0)+IF('Get Started'!$H110&lt;='Get Started'!$E27,IF(BU4&lt;'Get Started'!$H110,0,OFFSET(BU234,0,-1*'Get Started'!$H110)*'Get Started'!$F42*'Get Started'!$G110),0)+IF('Get Started'!$H109&lt;='Get Started'!$E27,IF(BU4&lt;'Get Started'!$H109,0,OFFSET(BU234,0,-1*'Get Started'!$H109)*'Get Started'!$E42*'Get Started'!$G109),0)</f>
        <v>0</v>
      </c>
      <c r="BV237" s="90">
        <f ca="1">IF('Get Started'!$H112&lt;='Get Started'!$E27,IF(AND(BV4&lt;'Get Started'!$H112,'Get Started'!$H112&lt;='Get Started'!$E27),0,OFFSET(BV234,0,-1*'Get Started'!$H112)*'Get Started'!$H42*'Get Started'!$G112),0)+IF('Get Started'!$H111&lt;='Get Started'!$E27,IF(BV4&lt;'Get Started'!$H111,0,OFFSET(BV234,0,-1*'Get Started'!$H111)*'Get Started'!$G42*'Get Started'!$G111),0)+IF('Get Started'!$H110&lt;='Get Started'!$E27,IF(BV4&lt;'Get Started'!$H110,0,OFFSET(BV234,0,-1*'Get Started'!$H110)*'Get Started'!$F42*'Get Started'!$G110),0)+IF('Get Started'!$H109&lt;='Get Started'!$E27,IF(BV4&lt;'Get Started'!$H109,0,OFFSET(BV234,0,-1*'Get Started'!$H109)*'Get Started'!$E42*'Get Started'!$G109),0)</f>
        <v>0</v>
      </c>
      <c r="BW237" s="90">
        <f ca="1">IF('Get Started'!$H112&lt;='Get Started'!$E27,IF(AND(BW4&lt;'Get Started'!$H112,'Get Started'!$H112&lt;='Get Started'!$E27),0,OFFSET(BW234,0,-1*'Get Started'!$H112)*'Get Started'!$H42*'Get Started'!$G112),0)+IF('Get Started'!$H111&lt;='Get Started'!$E27,IF(BW4&lt;'Get Started'!$H111,0,OFFSET(BW234,0,-1*'Get Started'!$H111)*'Get Started'!$G42*'Get Started'!$G111),0)+IF('Get Started'!$H110&lt;='Get Started'!$E27,IF(BW4&lt;'Get Started'!$H110,0,OFFSET(BW234,0,-1*'Get Started'!$H110)*'Get Started'!$F42*'Get Started'!$G110),0)+IF('Get Started'!$H109&lt;='Get Started'!$E27,IF(BW4&lt;'Get Started'!$H109,0,OFFSET(BW234,0,-1*'Get Started'!$H109)*'Get Started'!$E42*'Get Started'!$G109),0)</f>
        <v>0</v>
      </c>
      <c r="BX237" s="90">
        <f ca="1">IF('Get Started'!$H112&lt;='Get Started'!$E27,IF(AND(BX4&lt;'Get Started'!$H112,'Get Started'!$H112&lt;='Get Started'!$E27),0,OFFSET(BX234,0,-1*'Get Started'!$H112)*'Get Started'!$H42*'Get Started'!$G112),0)+IF('Get Started'!$H111&lt;='Get Started'!$E27,IF(BX4&lt;'Get Started'!$H111,0,OFFSET(BX234,0,-1*'Get Started'!$H111)*'Get Started'!$G42*'Get Started'!$G111),0)+IF('Get Started'!$H110&lt;='Get Started'!$E27,IF(BX4&lt;'Get Started'!$H110,0,OFFSET(BX234,0,-1*'Get Started'!$H110)*'Get Started'!$F42*'Get Started'!$G110),0)+IF('Get Started'!$H109&lt;='Get Started'!$E27,IF(BX4&lt;'Get Started'!$H109,0,OFFSET(BX234,0,-1*'Get Started'!$H109)*'Get Started'!$E42*'Get Started'!$G109),0)</f>
        <v>0</v>
      </c>
      <c r="BY237" s="90">
        <f ca="1">IF('Get Started'!$H112&lt;='Get Started'!$E27,IF(AND(BY4&lt;'Get Started'!$H112,'Get Started'!$H112&lt;='Get Started'!$E27),0,OFFSET(BY234,0,-1*'Get Started'!$H112)*'Get Started'!$H42*'Get Started'!$G112),0)+IF('Get Started'!$H111&lt;='Get Started'!$E27,IF(BY4&lt;'Get Started'!$H111,0,OFFSET(BY234,0,-1*'Get Started'!$H111)*'Get Started'!$G42*'Get Started'!$G111),0)+IF('Get Started'!$H110&lt;='Get Started'!$E27,IF(BY4&lt;'Get Started'!$H110,0,OFFSET(BY234,0,-1*'Get Started'!$H110)*'Get Started'!$F42*'Get Started'!$G110),0)+IF('Get Started'!$H109&lt;='Get Started'!$E27,IF(BY4&lt;'Get Started'!$H109,0,OFFSET(BY234,0,-1*'Get Started'!$H109)*'Get Started'!$E42*'Get Started'!$G109),0)</f>
        <v>0</v>
      </c>
      <c r="BZ237" s="90">
        <f ca="1">IF('Get Started'!$H112&lt;='Get Started'!$E27,IF(AND(BZ4&lt;'Get Started'!$H112,'Get Started'!$H112&lt;='Get Started'!$E27),0,OFFSET(BZ234,0,-1*'Get Started'!$H112)*'Get Started'!$H42*'Get Started'!$G112),0)+IF('Get Started'!$H111&lt;='Get Started'!$E27,IF(BZ4&lt;'Get Started'!$H111,0,OFFSET(BZ234,0,-1*'Get Started'!$H111)*'Get Started'!$G42*'Get Started'!$G111),0)+IF('Get Started'!$H110&lt;='Get Started'!$E27,IF(BZ4&lt;'Get Started'!$H110,0,OFFSET(BZ234,0,-1*'Get Started'!$H110)*'Get Started'!$F42*'Get Started'!$G110),0)+IF('Get Started'!$H109&lt;='Get Started'!$E27,IF(BZ4&lt;'Get Started'!$H109,0,OFFSET(BZ234,0,-1*'Get Started'!$H109)*'Get Started'!$E42*'Get Started'!$G109),0)</f>
        <v>0</v>
      </c>
      <c r="CA237" s="90">
        <f ca="1">IF('Get Started'!$H112&lt;='Get Started'!$E27,IF(AND(CA4&lt;'Get Started'!$H112,'Get Started'!$H112&lt;='Get Started'!$E27),0,OFFSET(CA234,0,-1*'Get Started'!$H112)*'Get Started'!$H42*'Get Started'!$G112),0)+IF('Get Started'!$H111&lt;='Get Started'!$E27,IF(CA4&lt;'Get Started'!$H111,0,OFFSET(CA234,0,-1*'Get Started'!$H111)*'Get Started'!$G42*'Get Started'!$G111),0)+IF('Get Started'!$H110&lt;='Get Started'!$E27,IF(CA4&lt;'Get Started'!$H110,0,OFFSET(CA234,0,-1*'Get Started'!$H110)*'Get Started'!$F42*'Get Started'!$G110),0)+IF('Get Started'!$H109&lt;='Get Started'!$E27,IF(CA4&lt;'Get Started'!$H109,0,OFFSET(CA234,0,-1*'Get Started'!$H109)*'Get Started'!$E42*'Get Started'!$G109),0)</f>
        <v>0</v>
      </c>
      <c r="CB237" s="90">
        <f ca="1">IF('Get Started'!$H112&lt;='Get Started'!$E27,IF(AND(CB4&lt;'Get Started'!$H112,'Get Started'!$H112&lt;='Get Started'!$E27),0,OFFSET(CB234,0,-1*'Get Started'!$H112)*'Get Started'!$H42*'Get Started'!$G112),0)+IF('Get Started'!$H111&lt;='Get Started'!$E27,IF(CB4&lt;'Get Started'!$H111,0,OFFSET(CB234,0,-1*'Get Started'!$H111)*'Get Started'!$G42*'Get Started'!$G111),0)+IF('Get Started'!$H110&lt;='Get Started'!$E27,IF(CB4&lt;'Get Started'!$H110,0,OFFSET(CB234,0,-1*'Get Started'!$H110)*'Get Started'!$F42*'Get Started'!$G110),0)+IF('Get Started'!$H109&lt;='Get Started'!$E27,IF(CB4&lt;'Get Started'!$H109,0,OFFSET(CB234,0,-1*'Get Started'!$H109)*'Get Started'!$E42*'Get Started'!$G109),0)</f>
        <v>0</v>
      </c>
      <c r="CC237" s="90">
        <f ca="1">IF('Get Started'!$H112&lt;='Get Started'!$E27,IF(AND(CC4&lt;'Get Started'!$H112,'Get Started'!$H112&lt;='Get Started'!$E27),0,OFFSET(CC234,0,-1*'Get Started'!$H112)*'Get Started'!$H42*'Get Started'!$G112),0)+IF('Get Started'!$H111&lt;='Get Started'!$E27,IF(CC4&lt;'Get Started'!$H111,0,OFFSET(CC234,0,-1*'Get Started'!$H111)*'Get Started'!$G42*'Get Started'!$G111),0)+IF('Get Started'!$H110&lt;='Get Started'!$E27,IF(CC4&lt;'Get Started'!$H110,0,OFFSET(CC234,0,-1*'Get Started'!$H110)*'Get Started'!$F42*'Get Started'!$G110),0)+IF('Get Started'!$H109&lt;='Get Started'!$E27,IF(CC4&lt;'Get Started'!$H109,0,OFFSET(CC234,0,-1*'Get Started'!$H109)*'Get Started'!$E42*'Get Started'!$G109),0)</f>
        <v>0</v>
      </c>
      <c r="CD237" s="90">
        <f ca="1">IF('Get Started'!$H112&lt;='Get Started'!$E27,IF(AND(CD4&lt;'Get Started'!$H112,'Get Started'!$H112&lt;='Get Started'!$E27),0,OFFSET(CD234,0,-1*'Get Started'!$H112)*'Get Started'!$H42*'Get Started'!$G112),0)+IF('Get Started'!$H111&lt;='Get Started'!$E27,IF(CD4&lt;'Get Started'!$H111,0,OFFSET(CD234,0,-1*'Get Started'!$H111)*'Get Started'!$G42*'Get Started'!$G111),0)+IF('Get Started'!$H110&lt;='Get Started'!$E27,IF(CD4&lt;'Get Started'!$H110,0,OFFSET(CD234,0,-1*'Get Started'!$H110)*'Get Started'!$F42*'Get Started'!$G110),0)+IF('Get Started'!$H109&lt;='Get Started'!$E27,IF(CD4&lt;'Get Started'!$H109,0,OFFSET(CD234,0,-1*'Get Started'!$H109)*'Get Started'!$E42*'Get Started'!$G109),0)</f>
        <v>0</v>
      </c>
      <c r="CE237" s="90">
        <f ca="1">IF('Get Started'!$H112&lt;='Get Started'!$E27,IF(AND(CE4&lt;'Get Started'!$H112,'Get Started'!$H112&lt;='Get Started'!$E27),0,OFFSET(CE234,0,-1*'Get Started'!$H112)*'Get Started'!$H42*'Get Started'!$G112),0)+IF('Get Started'!$H111&lt;='Get Started'!$E27,IF(CE4&lt;'Get Started'!$H111,0,OFFSET(CE234,0,-1*'Get Started'!$H111)*'Get Started'!$G42*'Get Started'!$G111),0)+IF('Get Started'!$H110&lt;='Get Started'!$E27,IF(CE4&lt;'Get Started'!$H110,0,OFFSET(CE234,0,-1*'Get Started'!$H110)*'Get Started'!$F42*'Get Started'!$G110),0)+IF('Get Started'!$H109&lt;='Get Started'!$E27,IF(CE4&lt;'Get Started'!$H109,0,OFFSET(CE234,0,-1*'Get Started'!$H109)*'Get Started'!$E42*'Get Started'!$G109),0)</f>
        <v>0</v>
      </c>
      <c r="CF237" s="90">
        <f ca="1">IF('Get Started'!$H112&lt;='Get Started'!$E27,IF(AND(CF4&lt;'Get Started'!$H112,'Get Started'!$H112&lt;='Get Started'!$E27),0,OFFSET(CF234,0,-1*'Get Started'!$H112)*'Get Started'!$H42*'Get Started'!$G112),0)+IF('Get Started'!$H111&lt;='Get Started'!$E27,IF(CF4&lt;'Get Started'!$H111,0,OFFSET(CF234,0,-1*'Get Started'!$H111)*'Get Started'!$G42*'Get Started'!$G111),0)+IF('Get Started'!$H110&lt;='Get Started'!$E27,IF(CF4&lt;'Get Started'!$H110,0,OFFSET(CF234,0,-1*'Get Started'!$H110)*'Get Started'!$F42*'Get Started'!$G110),0)+IF('Get Started'!$H109&lt;='Get Started'!$E27,IF(CF4&lt;'Get Started'!$H109,0,OFFSET(CF234,0,-1*'Get Started'!$H109)*'Get Started'!$E42*'Get Started'!$G109),0)</f>
        <v>0</v>
      </c>
      <c r="CG237" s="90">
        <f ca="1">IF('Get Started'!$H112&lt;='Get Started'!$E27,IF(AND(CG4&lt;'Get Started'!$H112,'Get Started'!$H112&lt;='Get Started'!$E27),0,OFFSET(CG234,0,-1*'Get Started'!$H112)*'Get Started'!$H42*'Get Started'!$G112),0)+IF('Get Started'!$H111&lt;='Get Started'!$E27,IF(CG4&lt;'Get Started'!$H111,0,OFFSET(CG234,0,-1*'Get Started'!$H111)*'Get Started'!$G42*'Get Started'!$G111),0)+IF('Get Started'!$H110&lt;='Get Started'!$E27,IF(CG4&lt;'Get Started'!$H110,0,OFFSET(CG234,0,-1*'Get Started'!$H110)*'Get Started'!$F42*'Get Started'!$G110),0)+IF('Get Started'!$H109&lt;='Get Started'!$E27,IF(CG4&lt;'Get Started'!$H109,0,OFFSET(CG234,0,-1*'Get Started'!$H109)*'Get Started'!$E42*'Get Started'!$G109),0)</f>
        <v>0</v>
      </c>
      <c r="CH237" s="90">
        <f ca="1">IF('Get Started'!$H112&lt;='Get Started'!$E27,IF(AND(CH4&lt;'Get Started'!$H112,'Get Started'!$H112&lt;='Get Started'!$E27),0,OFFSET(CH234,0,-1*'Get Started'!$H112)*'Get Started'!$H42*'Get Started'!$G112),0)+IF('Get Started'!$H111&lt;='Get Started'!$E27,IF(CH4&lt;'Get Started'!$H111,0,OFFSET(CH234,0,-1*'Get Started'!$H111)*'Get Started'!$G42*'Get Started'!$G111),0)+IF('Get Started'!$H110&lt;='Get Started'!$E27,IF(CH4&lt;'Get Started'!$H110,0,OFFSET(CH234,0,-1*'Get Started'!$H110)*'Get Started'!$F42*'Get Started'!$G110),0)+IF('Get Started'!$H109&lt;='Get Started'!$E27,IF(CH4&lt;'Get Started'!$H109,0,OFFSET(CH234,0,-1*'Get Started'!$H109)*'Get Started'!$E42*'Get Started'!$G109),0)</f>
        <v>0</v>
      </c>
    </row>
    <row r="238" spans="1:86" ht="13" outlineLevel="1">
      <c r="A238" s="13"/>
      <c r="B238" s="13" t="s">
        <v>333</v>
      </c>
      <c r="C238" s="13"/>
      <c r="D238" s="13" t="s">
        <v>238</v>
      </c>
      <c r="E238" s="88">
        <f t="shared" ca="1" si="172"/>
        <v>0.41999999999999987</v>
      </c>
      <c r="F238" s="79"/>
      <c r="G238" s="90">
        <f t="shared" ref="G238:CH238" ca="1" si="180">IFERROR(G239/((1-$E216-$E217-$E218)/1),0)</f>
        <v>0</v>
      </c>
      <c r="H238" s="90">
        <f t="shared" ca="1" si="180"/>
        <v>0</v>
      </c>
      <c r="I238" s="90">
        <f t="shared" ca="1" si="180"/>
        <v>0</v>
      </c>
      <c r="J238" s="90">
        <f t="shared" ca="1" si="180"/>
        <v>0</v>
      </c>
      <c r="K238" s="90">
        <f t="shared" ca="1" si="180"/>
        <v>0</v>
      </c>
      <c r="L238" s="90">
        <f t="shared" ca="1" si="180"/>
        <v>0</v>
      </c>
      <c r="M238" s="90">
        <f t="shared" ca="1" si="180"/>
        <v>0</v>
      </c>
      <c r="N238" s="90">
        <f t="shared" ca="1" si="180"/>
        <v>0</v>
      </c>
      <c r="O238" s="90">
        <f t="shared" ca="1" si="180"/>
        <v>0</v>
      </c>
      <c r="P238" s="90">
        <f t="shared" ca="1" si="180"/>
        <v>0</v>
      </c>
      <c r="Q238" s="90">
        <f t="shared" ca="1" si="180"/>
        <v>0</v>
      </c>
      <c r="R238" s="90">
        <f t="shared" ca="1" si="180"/>
        <v>0</v>
      </c>
      <c r="S238" s="90">
        <f t="shared" ca="1" si="180"/>
        <v>1.2500000000000001E-2</v>
      </c>
      <c r="T238" s="90">
        <f t="shared" ca="1" si="180"/>
        <v>1.2500000000000001E-2</v>
      </c>
      <c r="U238" s="90">
        <f t="shared" ca="1" si="180"/>
        <v>1.2500000000000001E-2</v>
      </c>
      <c r="V238" s="90">
        <f t="shared" ca="1" si="180"/>
        <v>1.2500000000000001E-2</v>
      </c>
      <c r="W238" s="90">
        <f t="shared" ca="1" si="180"/>
        <v>1.8749999999999999E-2</v>
      </c>
      <c r="X238" s="90">
        <f t="shared" ca="1" si="180"/>
        <v>1.8749999999999999E-2</v>
      </c>
      <c r="Y238" s="90">
        <f t="shared" ca="1" si="180"/>
        <v>1.8749999999999999E-2</v>
      </c>
      <c r="Z238" s="90">
        <f t="shared" ca="1" si="180"/>
        <v>1.8749999999999999E-2</v>
      </c>
      <c r="AA238" s="90">
        <f t="shared" ca="1" si="180"/>
        <v>1.8749999999999999E-2</v>
      </c>
      <c r="AB238" s="90">
        <f t="shared" ca="1" si="180"/>
        <v>1.8749999999999999E-2</v>
      </c>
      <c r="AC238" s="90">
        <f t="shared" ca="1" si="180"/>
        <v>1.8749999999999999E-2</v>
      </c>
      <c r="AD238" s="90">
        <f t="shared" ca="1" si="180"/>
        <v>1.8749999999999999E-2</v>
      </c>
      <c r="AE238" s="90">
        <f t="shared" ca="1" si="180"/>
        <v>2.75E-2</v>
      </c>
      <c r="AF238" s="90">
        <f t="shared" ca="1" si="180"/>
        <v>2.75E-2</v>
      </c>
      <c r="AG238" s="90">
        <f t="shared" ca="1" si="180"/>
        <v>2.75E-2</v>
      </c>
      <c r="AH238" s="90">
        <f t="shared" ca="1" si="180"/>
        <v>2.75E-2</v>
      </c>
      <c r="AI238" s="90">
        <f t="shared" ca="1" si="180"/>
        <v>1.3749999999999997E-2</v>
      </c>
      <c r="AJ238" s="90">
        <f t="shared" ca="1" si="180"/>
        <v>1.3749999999999997E-2</v>
      </c>
      <c r="AK238" s="90">
        <f t="shared" ca="1" si="180"/>
        <v>1.3749999999999997E-2</v>
      </c>
      <c r="AL238" s="90">
        <f t="shared" ca="1" si="180"/>
        <v>1.3749999999999997E-2</v>
      </c>
      <c r="AM238" s="90">
        <f t="shared" ca="1" si="180"/>
        <v>6.2499999999999977E-3</v>
      </c>
      <c r="AN238" s="90">
        <f t="shared" ca="1" si="180"/>
        <v>6.2499999999999977E-3</v>
      </c>
      <c r="AO238" s="90">
        <f t="shared" ca="1" si="180"/>
        <v>6.2499999999999977E-3</v>
      </c>
      <c r="AP238" s="90">
        <f t="shared" ca="1" si="180"/>
        <v>6.2499999999999977E-3</v>
      </c>
      <c r="AQ238" s="90">
        <f t="shared" ca="1" si="180"/>
        <v>7.4999999999999989E-3</v>
      </c>
      <c r="AR238" s="90">
        <f t="shared" ca="1" si="180"/>
        <v>7.4999999999999989E-3</v>
      </c>
      <c r="AS238" s="90">
        <f t="shared" ca="1" si="180"/>
        <v>7.4999999999999989E-3</v>
      </c>
      <c r="AT238" s="90">
        <f t="shared" ca="1" si="180"/>
        <v>7.4999999999999989E-3</v>
      </c>
      <c r="AU238" s="90">
        <f t="shared" ca="1" si="180"/>
        <v>0</v>
      </c>
      <c r="AV238" s="90">
        <f t="shared" ca="1" si="180"/>
        <v>0</v>
      </c>
      <c r="AW238" s="90">
        <f t="shared" ca="1" si="180"/>
        <v>0</v>
      </c>
      <c r="AX238" s="90">
        <f t="shared" ca="1" si="180"/>
        <v>0</v>
      </c>
      <c r="AY238" s="90">
        <f t="shared" ca="1" si="180"/>
        <v>0</v>
      </c>
      <c r="AZ238" s="90">
        <f t="shared" ca="1" si="180"/>
        <v>0</v>
      </c>
      <c r="BA238" s="90">
        <f t="shared" ca="1" si="180"/>
        <v>0</v>
      </c>
      <c r="BB238" s="90">
        <f t="shared" ca="1" si="180"/>
        <v>0</v>
      </c>
      <c r="BC238" s="90">
        <f t="shared" ca="1" si="180"/>
        <v>0</v>
      </c>
      <c r="BD238" s="90">
        <f t="shared" ca="1" si="180"/>
        <v>0</v>
      </c>
      <c r="BE238" s="90">
        <f t="shared" ca="1" si="180"/>
        <v>0</v>
      </c>
      <c r="BF238" s="90">
        <f t="shared" ca="1" si="180"/>
        <v>0</v>
      </c>
      <c r="BG238" s="90">
        <f t="shared" ca="1" si="180"/>
        <v>0</v>
      </c>
      <c r="BH238" s="90">
        <f t="shared" ca="1" si="180"/>
        <v>0</v>
      </c>
      <c r="BI238" s="90">
        <f t="shared" ca="1" si="180"/>
        <v>0</v>
      </c>
      <c r="BJ238" s="90">
        <f t="shared" ca="1" si="180"/>
        <v>0</v>
      </c>
      <c r="BK238" s="90">
        <f t="shared" ca="1" si="180"/>
        <v>0</v>
      </c>
      <c r="BL238" s="90">
        <f t="shared" ca="1" si="180"/>
        <v>0</v>
      </c>
      <c r="BM238" s="90">
        <f t="shared" ca="1" si="180"/>
        <v>0</v>
      </c>
      <c r="BN238" s="90">
        <f t="shared" ca="1" si="180"/>
        <v>0</v>
      </c>
      <c r="BO238" s="90">
        <f t="shared" ca="1" si="180"/>
        <v>0</v>
      </c>
      <c r="BP238" s="90">
        <f t="shared" ca="1" si="180"/>
        <v>0</v>
      </c>
      <c r="BQ238" s="90">
        <f t="shared" ca="1" si="180"/>
        <v>0</v>
      </c>
      <c r="BR238" s="90">
        <f t="shared" ca="1" si="180"/>
        <v>0</v>
      </c>
      <c r="BS238" s="90">
        <f t="shared" ca="1" si="180"/>
        <v>0</v>
      </c>
      <c r="BT238" s="90">
        <f t="shared" ca="1" si="180"/>
        <v>0</v>
      </c>
      <c r="BU238" s="90">
        <f t="shared" ca="1" si="180"/>
        <v>0</v>
      </c>
      <c r="BV238" s="90">
        <f t="shared" ca="1" si="180"/>
        <v>0</v>
      </c>
      <c r="BW238" s="90">
        <f t="shared" ca="1" si="180"/>
        <v>0</v>
      </c>
      <c r="BX238" s="90">
        <f t="shared" ca="1" si="180"/>
        <v>0</v>
      </c>
      <c r="BY238" s="90">
        <f t="shared" ca="1" si="180"/>
        <v>0</v>
      </c>
      <c r="BZ238" s="90">
        <f t="shared" ca="1" si="180"/>
        <v>0</v>
      </c>
      <c r="CA238" s="90">
        <f t="shared" ca="1" si="180"/>
        <v>0</v>
      </c>
      <c r="CB238" s="90">
        <f t="shared" ca="1" si="180"/>
        <v>0</v>
      </c>
      <c r="CC238" s="90">
        <f t="shared" ca="1" si="180"/>
        <v>0</v>
      </c>
      <c r="CD238" s="90">
        <f t="shared" ca="1" si="180"/>
        <v>0</v>
      </c>
      <c r="CE238" s="90">
        <f t="shared" ca="1" si="180"/>
        <v>0</v>
      </c>
      <c r="CF238" s="90">
        <f t="shared" ca="1" si="180"/>
        <v>0</v>
      </c>
      <c r="CG238" s="90">
        <f t="shared" ca="1" si="180"/>
        <v>0</v>
      </c>
      <c r="CH238" s="90">
        <f t="shared" ca="1" si="180"/>
        <v>0</v>
      </c>
    </row>
    <row r="239" spans="1:86" ht="13" outlineLevel="1">
      <c r="B239" s="13" t="s">
        <v>334</v>
      </c>
      <c r="C239" s="13"/>
      <c r="D239" s="13" t="s">
        <v>238</v>
      </c>
      <c r="E239" s="88">
        <f t="shared" ca="1" si="172"/>
        <v>0.32339999999999991</v>
      </c>
      <c r="F239" s="79"/>
      <c r="G239" s="90">
        <f ca="1">IF(AND('Get Started'!$H112&lt;='Get Started'!$E27,'Get Started'!$G112&lt;&gt;0),IF(AND(G4&lt;'Get Started'!$H112,'Get Started'!$H112&lt;='Get Started'!$E27),0,OFFSET(G234,0,-1*'Get Started'!$H112)*'Get Started'!$H42),0)+IF(AND('Get Started'!$H111&lt;='Get Started'!$E27,'Get Started'!$G111&lt;&gt;0),IF(G4&lt;'Get Started'!$H111,0,OFFSET(G234,0,-1*'Get Started'!$H111)*'Get Started'!$G42),0)+IF(AND('Get Started'!$H110&lt;='Get Started'!$E27,'Get Started'!$G110&lt;&gt;0),IF(G4&lt;'Get Started'!$H110,0,OFFSET(G234,0,-1*'Get Started'!$H110)*'Get Started'!$F42),0)+IF(AND('Get Started'!$H109&lt;='Get Started'!$E27,'Get Started'!$G109&lt;&gt;0),IF(G4&lt;'Get Started'!$H109,0,OFFSET(G234,0,-1*'Get Started'!$H109)*'Get Started'!$E42*'Get Started'!$G109),0)</f>
        <v>0</v>
      </c>
      <c r="H239" s="90">
        <f ca="1">IF(AND('Get Started'!$H112&lt;='Get Started'!$E27,'Get Started'!$G112&lt;&gt;0),IF(AND(H4&lt;'Get Started'!$H112,'Get Started'!$H112&lt;='Get Started'!$E27),0,OFFSET(H234,0,-1*'Get Started'!$H112)*'Get Started'!$H42),0)+IF(AND('Get Started'!$H111&lt;='Get Started'!$E27,'Get Started'!$G111&lt;&gt;0),IF(H4&lt;'Get Started'!$H111,0,OFFSET(H234,0,-1*'Get Started'!$H111)*'Get Started'!$G42),0)+IF(AND('Get Started'!$H110&lt;='Get Started'!$E27,'Get Started'!$G110&lt;&gt;0),IF(H4&lt;'Get Started'!$H110,0,OFFSET(H234,0,-1*'Get Started'!$H110)*'Get Started'!$F42),0)+IF(AND('Get Started'!$H109&lt;='Get Started'!$E27,'Get Started'!$G109&lt;&gt;0),IF(H4&lt;'Get Started'!$H109,0,OFFSET(H234,0,-1*'Get Started'!$H109)*'Get Started'!$E42*'Get Started'!$G109),0)</f>
        <v>0</v>
      </c>
      <c r="I239" s="90">
        <f ca="1">IF(AND('Get Started'!$H112&lt;='Get Started'!$E27,'Get Started'!$G112&lt;&gt;0),IF(AND(I4&lt;'Get Started'!$H112,'Get Started'!$H112&lt;='Get Started'!$E27),0,OFFSET(I234,0,-1*'Get Started'!$H112)*'Get Started'!$H42),0)+IF(AND('Get Started'!$H111&lt;='Get Started'!$E27,'Get Started'!$G111&lt;&gt;0),IF(I4&lt;'Get Started'!$H111,0,OFFSET(I234,0,-1*'Get Started'!$H111)*'Get Started'!$G42),0)+IF(AND('Get Started'!$H110&lt;='Get Started'!$E27,'Get Started'!$G110&lt;&gt;0),IF(I4&lt;'Get Started'!$H110,0,OFFSET(I234,0,-1*'Get Started'!$H110)*'Get Started'!$F42),0)+IF(AND('Get Started'!$H109&lt;='Get Started'!$E27,'Get Started'!$G109&lt;&gt;0),IF(I4&lt;'Get Started'!$H109,0,OFFSET(I234,0,-1*'Get Started'!$H109)*'Get Started'!$E42*'Get Started'!$G109),0)</f>
        <v>0</v>
      </c>
      <c r="J239" s="90">
        <f ca="1">IF(AND('Get Started'!$H112&lt;='Get Started'!$E27,'Get Started'!$G112&lt;&gt;0),IF(AND(J4&lt;'Get Started'!$H112,'Get Started'!$H112&lt;='Get Started'!$E27),0,OFFSET(J234,0,-1*'Get Started'!$H112)*'Get Started'!$H42),0)+IF(AND('Get Started'!$H111&lt;='Get Started'!$E27,'Get Started'!$G111&lt;&gt;0),IF(J4&lt;'Get Started'!$H111,0,OFFSET(J234,0,-1*'Get Started'!$H111)*'Get Started'!$G42),0)+IF(AND('Get Started'!$H110&lt;='Get Started'!$E27,'Get Started'!$G110&lt;&gt;0),IF(J4&lt;'Get Started'!$H110,0,OFFSET(J234,0,-1*'Get Started'!$H110)*'Get Started'!$F42),0)+IF(AND('Get Started'!$H109&lt;='Get Started'!$E27,'Get Started'!$G109&lt;&gt;0),IF(J4&lt;'Get Started'!$H109,0,OFFSET(J234,0,-1*'Get Started'!$H109)*'Get Started'!$E42*'Get Started'!$G109),0)</f>
        <v>0</v>
      </c>
      <c r="K239" s="90">
        <f ca="1">IF(AND('Get Started'!$H112&lt;='Get Started'!$E27,'Get Started'!$G112&lt;&gt;0),IF(AND(K4&lt;'Get Started'!$H112,'Get Started'!$H112&lt;='Get Started'!$E27),0,OFFSET(K234,0,-1*'Get Started'!$H112)*'Get Started'!$H42),0)+IF(AND('Get Started'!$H111&lt;='Get Started'!$E27,'Get Started'!$G111&lt;&gt;0),IF(K4&lt;'Get Started'!$H111,0,OFFSET(K234,0,-1*'Get Started'!$H111)*'Get Started'!$G42),0)+IF(AND('Get Started'!$H110&lt;='Get Started'!$E27,'Get Started'!$G110&lt;&gt;0),IF(K4&lt;'Get Started'!$H110,0,OFFSET(K234,0,-1*'Get Started'!$H110)*'Get Started'!$F42),0)+IF(AND('Get Started'!$H109&lt;='Get Started'!$E27,'Get Started'!$G109&lt;&gt;0),IF(K4&lt;'Get Started'!$H109,0,OFFSET(K234,0,-1*'Get Started'!$H109)*'Get Started'!$E42*'Get Started'!$G109),0)</f>
        <v>0</v>
      </c>
      <c r="L239" s="90">
        <f ca="1">IF(AND('Get Started'!$H112&lt;='Get Started'!$E27,'Get Started'!$G112&lt;&gt;0),IF(AND(L4&lt;'Get Started'!$H112,'Get Started'!$H112&lt;='Get Started'!$E27),0,OFFSET(L234,0,-1*'Get Started'!$H112)*'Get Started'!$H42),0)+IF(AND('Get Started'!$H111&lt;='Get Started'!$E27,'Get Started'!$G111&lt;&gt;0),IF(L4&lt;'Get Started'!$H111,0,OFFSET(L234,0,-1*'Get Started'!$H111)*'Get Started'!$G42),0)+IF(AND('Get Started'!$H110&lt;='Get Started'!$E27,'Get Started'!$G110&lt;&gt;0),IF(L4&lt;'Get Started'!$H110,0,OFFSET(L234,0,-1*'Get Started'!$H110)*'Get Started'!$F42),0)+IF(AND('Get Started'!$H109&lt;='Get Started'!$E27,'Get Started'!$G109&lt;&gt;0),IF(L4&lt;'Get Started'!$H109,0,OFFSET(L234,0,-1*'Get Started'!$H109)*'Get Started'!$E42*'Get Started'!$G109),0)</f>
        <v>0</v>
      </c>
      <c r="M239" s="90">
        <f ca="1">IF(AND('Get Started'!$H112&lt;='Get Started'!$E27,'Get Started'!$G112&lt;&gt;0),IF(AND(M4&lt;'Get Started'!$H112,'Get Started'!$H112&lt;='Get Started'!$E27),0,OFFSET(M234,0,-1*'Get Started'!$H112)*'Get Started'!$H42),0)+IF(AND('Get Started'!$H111&lt;='Get Started'!$E27,'Get Started'!$G111&lt;&gt;0),IF(M4&lt;'Get Started'!$H111,0,OFFSET(M234,0,-1*'Get Started'!$H111)*'Get Started'!$G42),0)+IF(AND('Get Started'!$H110&lt;='Get Started'!$E27,'Get Started'!$G110&lt;&gt;0),IF(M4&lt;'Get Started'!$H110,0,OFFSET(M234,0,-1*'Get Started'!$H110)*'Get Started'!$F42),0)+IF(AND('Get Started'!$H109&lt;='Get Started'!$E27,'Get Started'!$G109&lt;&gt;0),IF(M4&lt;'Get Started'!$H109,0,OFFSET(M234,0,-1*'Get Started'!$H109)*'Get Started'!$E42*'Get Started'!$G109),0)</f>
        <v>0</v>
      </c>
      <c r="N239" s="90">
        <f ca="1">IF(AND('Get Started'!$H112&lt;='Get Started'!$E27,'Get Started'!$G112&lt;&gt;0),IF(AND(N4&lt;'Get Started'!$H112,'Get Started'!$H112&lt;='Get Started'!$E27),0,OFFSET(N234,0,-1*'Get Started'!$H112)*'Get Started'!$H42),0)+IF(AND('Get Started'!$H111&lt;='Get Started'!$E27,'Get Started'!$G111&lt;&gt;0),IF(N4&lt;'Get Started'!$H111,0,OFFSET(N234,0,-1*'Get Started'!$H111)*'Get Started'!$G42),0)+IF(AND('Get Started'!$H110&lt;='Get Started'!$E27,'Get Started'!$G110&lt;&gt;0),IF(N4&lt;'Get Started'!$H110,0,OFFSET(N234,0,-1*'Get Started'!$H110)*'Get Started'!$F42),0)+IF(AND('Get Started'!$H109&lt;='Get Started'!$E27,'Get Started'!$G109&lt;&gt;0),IF(N4&lt;'Get Started'!$H109,0,OFFSET(N234,0,-1*'Get Started'!$H109)*'Get Started'!$E42*'Get Started'!$G109),0)</f>
        <v>0</v>
      </c>
      <c r="O239" s="90">
        <f ca="1">IF(AND('Get Started'!$H112&lt;='Get Started'!$E27,'Get Started'!$G112&lt;&gt;0),IF(AND(O4&lt;'Get Started'!$H112,'Get Started'!$H112&lt;='Get Started'!$E27),0,OFFSET(O234,0,-1*'Get Started'!$H112)*'Get Started'!$H42),0)+IF(AND('Get Started'!$H111&lt;='Get Started'!$E27,'Get Started'!$G111&lt;&gt;0),IF(O4&lt;'Get Started'!$H111,0,OFFSET(O234,0,-1*'Get Started'!$H111)*'Get Started'!$G42),0)+IF(AND('Get Started'!$H110&lt;='Get Started'!$E27,'Get Started'!$G110&lt;&gt;0),IF(O4&lt;'Get Started'!$H110,0,OFFSET(O234,0,-1*'Get Started'!$H110)*'Get Started'!$F42),0)+IF(AND('Get Started'!$H109&lt;='Get Started'!$E27,'Get Started'!$G109&lt;&gt;0),IF(O4&lt;'Get Started'!$H109,0,OFFSET(O234,0,-1*'Get Started'!$H109)*'Get Started'!$E42*'Get Started'!$G109),0)</f>
        <v>0</v>
      </c>
      <c r="P239" s="90">
        <f ca="1">IF(AND('Get Started'!$H112&lt;='Get Started'!$E27,'Get Started'!$G112&lt;&gt;0),IF(AND(P4&lt;'Get Started'!$H112,'Get Started'!$H112&lt;='Get Started'!$E27),0,OFFSET(P234,0,-1*'Get Started'!$H112)*'Get Started'!$H42),0)+IF(AND('Get Started'!$H111&lt;='Get Started'!$E27,'Get Started'!$G111&lt;&gt;0),IF(P4&lt;'Get Started'!$H111,0,OFFSET(P234,0,-1*'Get Started'!$H111)*'Get Started'!$G42),0)+IF(AND('Get Started'!$H110&lt;='Get Started'!$E27,'Get Started'!$G110&lt;&gt;0),IF(P4&lt;'Get Started'!$H110,0,OFFSET(P234,0,-1*'Get Started'!$H110)*'Get Started'!$F42),0)+IF(AND('Get Started'!$H109&lt;='Get Started'!$E27,'Get Started'!$G109&lt;&gt;0),IF(P4&lt;'Get Started'!$H109,0,OFFSET(P234,0,-1*'Get Started'!$H109)*'Get Started'!$E42*'Get Started'!$G109),0)</f>
        <v>0</v>
      </c>
      <c r="Q239" s="90">
        <f ca="1">IF(AND('Get Started'!$H112&lt;='Get Started'!$E27,'Get Started'!$G112&lt;&gt;0),IF(AND(Q4&lt;'Get Started'!$H112,'Get Started'!$H112&lt;='Get Started'!$E27),0,OFFSET(Q234,0,-1*'Get Started'!$H112)*'Get Started'!$H42),0)+IF(AND('Get Started'!$H111&lt;='Get Started'!$E27,'Get Started'!$G111&lt;&gt;0),IF(Q4&lt;'Get Started'!$H111,0,OFFSET(Q234,0,-1*'Get Started'!$H111)*'Get Started'!$G42),0)+IF(AND('Get Started'!$H110&lt;='Get Started'!$E27,'Get Started'!$G110&lt;&gt;0),IF(Q4&lt;'Get Started'!$H110,0,OFFSET(Q234,0,-1*'Get Started'!$H110)*'Get Started'!$F42),0)+IF(AND('Get Started'!$H109&lt;='Get Started'!$E27,'Get Started'!$G109&lt;&gt;0),IF(Q4&lt;'Get Started'!$H109,0,OFFSET(Q234,0,-1*'Get Started'!$H109)*'Get Started'!$E42*'Get Started'!$G109),0)</f>
        <v>0</v>
      </c>
      <c r="R239" s="90">
        <f ca="1">IF(AND('Get Started'!$H112&lt;='Get Started'!$E27,'Get Started'!$G112&lt;&gt;0),IF(AND(R4&lt;'Get Started'!$H112,'Get Started'!$H112&lt;='Get Started'!$E27),0,OFFSET(R234,0,-1*'Get Started'!$H112)*'Get Started'!$H42),0)+IF(AND('Get Started'!$H111&lt;='Get Started'!$E27,'Get Started'!$G111&lt;&gt;0),IF(R4&lt;'Get Started'!$H111,0,OFFSET(R234,0,-1*'Get Started'!$H111)*'Get Started'!$G42),0)+IF(AND('Get Started'!$H110&lt;='Get Started'!$E27,'Get Started'!$G110&lt;&gt;0),IF(R4&lt;'Get Started'!$H110,0,OFFSET(R234,0,-1*'Get Started'!$H110)*'Get Started'!$F42),0)+IF(AND('Get Started'!$H109&lt;='Get Started'!$E27,'Get Started'!$G109&lt;&gt;0),IF(R4&lt;'Get Started'!$H109,0,OFFSET(R234,0,-1*'Get Started'!$H109)*'Get Started'!$E42*'Get Started'!$G109),0)</f>
        <v>0</v>
      </c>
      <c r="S239" s="90">
        <f ca="1">IF(AND('Get Started'!$H112&lt;='Get Started'!$E27,'Get Started'!$G112&lt;&gt;0),IF(AND(S4&lt;'Get Started'!$H112,'Get Started'!$H112&lt;='Get Started'!$E27),0,OFFSET(S234,0,-1*'Get Started'!$H112)*'Get Started'!$H42),0)+IF(AND('Get Started'!$H111&lt;='Get Started'!$E27,'Get Started'!$G111&lt;&gt;0),IF(S4&lt;'Get Started'!$H111,0,OFFSET(S234,0,-1*'Get Started'!$H111)*'Get Started'!$G42),0)+IF(AND('Get Started'!$H110&lt;='Get Started'!$E27,'Get Started'!$G110&lt;&gt;0),IF(S4&lt;'Get Started'!$H110,0,OFFSET(S234,0,-1*'Get Started'!$H110)*'Get Started'!$F42),0)+IF(AND('Get Started'!$H109&lt;='Get Started'!$E27,'Get Started'!$G109&lt;&gt;0),IF(S4&lt;'Get Started'!$H109,0,OFFSET(S234,0,-1*'Get Started'!$H109)*'Get Started'!$E42*'Get Started'!$G109),0)</f>
        <v>9.6250000000000016E-3</v>
      </c>
      <c r="T239" s="90">
        <f ca="1">IF(AND('Get Started'!$H112&lt;='Get Started'!$E27,'Get Started'!$G112&lt;&gt;0),IF(AND(T4&lt;'Get Started'!$H112,'Get Started'!$H112&lt;='Get Started'!$E27),0,OFFSET(T234,0,-1*'Get Started'!$H112)*'Get Started'!$H42),0)+IF(AND('Get Started'!$H111&lt;='Get Started'!$E27,'Get Started'!$G111&lt;&gt;0),IF(T4&lt;'Get Started'!$H111,0,OFFSET(T234,0,-1*'Get Started'!$H111)*'Get Started'!$G42),0)+IF(AND('Get Started'!$H110&lt;='Get Started'!$E27,'Get Started'!$G110&lt;&gt;0),IF(T4&lt;'Get Started'!$H110,0,OFFSET(T234,0,-1*'Get Started'!$H110)*'Get Started'!$F42),0)+IF(AND('Get Started'!$H109&lt;='Get Started'!$E27,'Get Started'!$G109&lt;&gt;0),IF(T4&lt;'Get Started'!$H109,0,OFFSET(T234,0,-1*'Get Started'!$H109)*'Get Started'!$E42*'Get Started'!$G109),0)</f>
        <v>9.6250000000000016E-3</v>
      </c>
      <c r="U239" s="90">
        <f ca="1">IF(AND('Get Started'!$H112&lt;='Get Started'!$E27,'Get Started'!$G112&lt;&gt;0),IF(AND(U4&lt;'Get Started'!$H112,'Get Started'!$H112&lt;='Get Started'!$E27),0,OFFSET(U234,0,-1*'Get Started'!$H112)*'Get Started'!$H42),0)+IF(AND('Get Started'!$H111&lt;='Get Started'!$E27,'Get Started'!$G111&lt;&gt;0),IF(U4&lt;'Get Started'!$H111,0,OFFSET(U234,0,-1*'Get Started'!$H111)*'Get Started'!$G42),0)+IF(AND('Get Started'!$H110&lt;='Get Started'!$E27,'Get Started'!$G110&lt;&gt;0),IF(U4&lt;'Get Started'!$H110,0,OFFSET(U234,0,-1*'Get Started'!$H110)*'Get Started'!$F42),0)+IF(AND('Get Started'!$H109&lt;='Get Started'!$E27,'Get Started'!$G109&lt;&gt;0),IF(U4&lt;'Get Started'!$H109,0,OFFSET(U234,0,-1*'Get Started'!$H109)*'Get Started'!$E42*'Get Started'!$G109),0)</f>
        <v>9.6250000000000016E-3</v>
      </c>
      <c r="V239" s="90">
        <f ca="1">IF(AND('Get Started'!$H112&lt;='Get Started'!$E27,'Get Started'!$G112&lt;&gt;0),IF(AND(V4&lt;'Get Started'!$H112,'Get Started'!$H112&lt;='Get Started'!$E27),0,OFFSET(V234,0,-1*'Get Started'!$H112)*'Get Started'!$H42),0)+IF(AND('Get Started'!$H111&lt;='Get Started'!$E27,'Get Started'!$G111&lt;&gt;0),IF(V4&lt;'Get Started'!$H111,0,OFFSET(V234,0,-1*'Get Started'!$H111)*'Get Started'!$G42),0)+IF(AND('Get Started'!$H110&lt;='Get Started'!$E27,'Get Started'!$G110&lt;&gt;0),IF(V4&lt;'Get Started'!$H110,0,OFFSET(V234,0,-1*'Get Started'!$H110)*'Get Started'!$F42),0)+IF(AND('Get Started'!$H109&lt;='Get Started'!$E27,'Get Started'!$G109&lt;&gt;0),IF(V4&lt;'Get Started'!$H109,0,OFFSET(V234,0,-1*'Get Started'!$H109)*'Get Started'!$E42*'Get Started'!$G109),0)</f>
        <v>9.6250000000000016E-3</v>
      </c>
      <c r="W239" s="90">
        <f ca="1">IF(AND('Get Started'!$H112&lt;='Get Started'!$E27,'Get Started'!$G112&lt;&gt;0),IF(AND(W4&lt;'Get Started'!$H112,'Get Started'!$H112&lt;='Get Started'!$E27),0,OFFSET(W234,0,-1*'Get Started'!$H112)*'Get Started'!$H42),0)+IF(AND('Get Started'!$H111&lt;='Get Started'!$E27,'Get Started'!$G111&lt;&gt;0),IF(W4&lt;'Get Started'!$H111,0,OFFSET(W234,0,-1*'Get Started'!$H111)*'Get Started'!$G42),0)+IF(AND('Get Started'!$H110&lt;='Get Started'!$E27,'Get Started'!$G110&lt;&gt;0),IF(W4&lt;'Get Started'!$H110,0,OFFSET(W234,0,-1*'Get Started'!$H110)*'Get Started'!$F42),0)+IF(AND('Get Started'!$H109&lt;='Get Started'!$E27,'Get Started'!$G109&lt;&gt;0),IF(W4&lt;'Get Started'!$H109,0,OFFSET(W234,0,-1*'Get Started'!$H109)*'Get Started'!$E42*'Get Started'!$G109),0)</f>
        <v>1.4437500000000002E-2</v>
      </c>
      <c r="X239" s="90">
        <f ca="1">IF(AND('Get Started'!$H112&lt;='Get Started'!$E27,'Get Started'!$G112&lt;&gt;0),IF(AND(X4&lt;'Get Started'!$H112,'Get Started'!$H112&lt;='Get Started'!$E27),0,OFFSET(X234,0,-1*'Get Started'!$H112)*'Get Started'!$H42),0)+IF(AND('Get Started'!$H111&lt;='Get Started'!$E27,'Get Started'!$G111&lt;&gt;0),IF(X4&lt;'Get Started'!$H111,0,OFFSET(X234,0,-1*'Get Started'!$H111)*'Get Started'!$G42),0)+IF(AND('Get Started'!$H110&lt;='Get Started'!$E27,'Get Started'!$G110&lt;&gt;0),IF(X4&lt;'Get Started'!$H110,0,OFFSET(X234,0,-1*'Get Started'!$H110)*'Get Started'!$F42),0)+IF(AND('Get Started'!$H109&lt;='Get Started'!$E27,'Get Started'!$G109&lt;&gt;0),IF(X4&lt;'Get Started'!$H109,0,OFFSET(X234,0,-1*'Get Started'!$H109)*'Get Started'!$E42*'Get Started'!$G109),0)</f>
        <v>1.4437500000000002E-2</v>
      </c>
      <c r="Y239" s="90">
        <f ca="1">IF(AND('Get Started'!$H112&lt;='Get Started'!$E27,'Get Started'!$G112&lt;&gt;0),IF(AND(Y4&lt;'Get Started'!$H112,'Get Started'!$H112&lt;='Get Started'!$E27),0,OFFSET(Y234,0,-1*'Get Started'!$H112)*'Get Started'!$H42),0)+IF(AND('Get Started'!$H111&lt;='Get Started'!$E27,'Get Started'!$G111&lt;&gt;0),IF(Y4&lt;'Get Started'!$H111,0,OFFSET(Y234,0,-1*'Get Started'!$H111)*'Get Started'!$G42),0)+IF(AND('Get Started'!$H110&lt;='Get Started'!$E27,'Get Started'!$G110&lt;&gt;0),IF(Y4&lt;'Get Started'!$H110,0,OFFSET(Y234,0,-1*'Get Started'!$H110)*'Get Started'!$F42),0)+IF(AND('Get Started'!$H109&lt;='Get Started'!$E27,'Get Started'!$G109&lt;&gt;0),IF(Y4&lt;'Get Started'!$H109,0,OFFSET(Y234,0,-1*'Get Started'!$H109)*'Get Started'!$E42*'Get Started'!$G109),0)</f>
        <v>1.4437500000000002E-2</v>
      </c>
      <c r="Z239" s="90">
        <f ca="1">IF(AND('Get Started'!$H112&lt;='Get Started'!$E27,'Get Started'!$G112&lt;&gt;0),IF(AND(Z4&lt;'Get Started'!$H112,'Get Started'!$H112&lt;='Get Started'!$E27),0,OFFSET(Z234,0,-1*'Get Started'!$H112)*'Get Started'!$H42),0)+IF(AND('Get Started'!$H111&lt;='Get Started'!$E27,'Get Started'!$G111&lt;&gt;0),IF(Z4&lt;'Get Started'!$H111,0,OFFSET(Z234,0,-1*'Get Started'!$H111)*'Get Started'!$G42),0)+IF(AND('Get Started'!$H110&lt;='Get Started'!$E27,'Get Started'!$G110&lt;&gt;0),IF(Z4&lt;'Get Started'!$H110,0,OFFSET(Z234,0,-1*'Get Started'!$H110)*'Get Started'!$F42),0)+IF(AND('Get Started'!$H109&lt;='Get Started'!$E27,'Get Started'!$G109&lt;&gt;0),IF(Z4&lt;'Get Started'!$H109,0,OFFSET(Z234,0,-1*'Get Started'!$H109)*'Get Started'!$E42*'Get Started'!$G109),0)</f>
        <v>1.4437500000000002E-2</v>
      </c>
      <c r="AA239" s="90">
        <f ca="1">IF(AND('Get Started'!$H112&lt;='Get Started'!$E27,'Get Started'!$G112&lt;&gt;0),IF(AND(AA4&lt;'Get Started'!$H112,'Get Started'!$H112&lt;='Get Started'!$E27),0,OFFSET(AA234,0,-1*'Get Started'!$H112)*'Get Started'!$H42),0)+IF(AND('Get Started'!$H111&lt;='Get Started'!$E27,'Get Started'!$G111&lt;&gt;0),IF(AA4&lt;'Get Started'!$H111,0,OFFSET(AA234,0,-1*'Get Started'!$H111)*'Get Started'!$G42),0)+IF(AND('Get Started'!$H110&lt;='Get Started'!$E27,'Get Started'!$G110&lt;&gt;0),IF(AA4&lt;'Get Started'!$H110,0,OFFSET(AA234,0,-1*'Get Started'!$H110)*'Get Started'!$F42),0)+IF(AND('Get Started'!$H109&lt;='Get Started'!$E27,'Get Started'!$G109&lt;&gt;0),IF(AA4&lt;'Get Started'!$H109,0,OFFSET(AA234,0,-1*'Get Started'!$H109)*'Get Started'!$E42*'Get Started'!$G109),0)</f>
        <v>1.4437500000000002E-2</v>
      </c>
      <c r="AB239" s="90">
        <f ca="1">IF(AND('Get Started'!$H112&lt;='Get Started'!$E27,'Get Started'!$G112&lt;&gt;0),IF(AND(AB4&lt;'Get Started'!$H112,'Get Started'!$H112&lt;='Get Started'!$E27),0,OFFSET(AB234,0,-1*'Get Started'!$H112)*'Get Started'!$H42),0)+IF(AND('Get Started'!$H111&lt;='Get Started'!$E27,'Get Started'!$G111&lt;&gt;0),IF(AB4&lt;'Get Started'!$H111,0,OFFSET(AB234,0,-1*'Get Started'!$H111)*'Get Started'!$G42),0)+IF(AND('Get Started'!$H110&lt;='Get Started'!$E27,'Get Started'!$G110&lt;&gt;0),IF(AB4&lt;'Get Started'!$H110,0,OFFSET(AB234,0,-1*'Get Started'!$H110)*'Get Started'!$F42),0)+IF(AND('Get Started'!$H109&lt;='Get Started'!$E27,'Get Started'!$G109&lt;&gt;0),IF(AB4&lt;'Get Started'!$H109,0,OFFSET(AB234,0,-1*'Get Started'!$H109)*'Get Started'!$E42*'Get Started'!$G109),0)</f>
        <v>1.4437500000000002E-2</v>
      </c>
      <c r="AC239" s="90">
        <f ca="1">IF(AND('Get Started'!$H112&lt;='Get Started'!$E27,'Get Started'!$G112&lt;&gt;0),IF(AND(AC4&lt;'Get Started'!$H112,'Get Started'!$H112&lt;='Get Started'!$E27),0,OFFSET(AC234,0,-1*'Get Started'!$H112)*'Get Started'!$H42),0)+IF(AND('Get Started'!$H111&lt;='Get Started'!$E27,'Get Started'!$G111&lt;&gt;0),IF(AC4&lt;'Get Started'!$H111,0,OFFSET(AC234,0,-1*'Get Started'!$H111)*'Get Started'!$G42),0)+IF(AND('Get Started'!$H110&lt;='Get Started'!$E27,'Get Started'!$G110&lt;&gt;0),IF(AC4&lt;'Get Started'!$H110,0,OFFSET(AC234,0,-1*'Get Started'!$H110)*'Get Started'!$F42),0)+IF(AND('Get Started'!$H109&lt;='Get Started'!$E27,'Get Started'!$G109&lt;&gt;0),IF(AC4&lt;'Get Started'!$H109,0,OFFSET(AC234,0,-1*'Get Started'!$H109)*'Get Started'!$E42*'Get Started'!$G109),0)</f>
        <v>1.4437500000000002E-2</v>
      </c>
      <c r="AD239" s="90">
        <f ca="1">IF(AND('Get Started'!$H112&lt;='Get Started'!$E27,'Get Started'!$G112&lt;&gt;0),IF(AND(AD4&lt;'Get Started'!$H112,'Get Started'!$H112&lt;='Get Started'!$E27),0,OFFSET(AD234,0,-1*'Get Started'!$H112)*'Get Started'!$H42),0)+IF(AND('Get Started'!$H111&lt;='Get Started'!$E27,'Get Started'!$G111&lt;&gt;0),IF(AD4&lt;'Get Started'!$H111,0,OFFSET(AD234,0,-1*'Get Started'!$H111)*'Get Started'!$G42),0)+IF(AND('Get Started'!$H110&lt;='Get Started'!$E27,'Get Started'!$G110&lt;&gt;0),IF(AD4&lt;'Get Started'!$H110,0,OFFSET(AD234,0,-1*'Get Started'!$H110)*'Get Started'!$F42),0)+IF(AND('Get Started'!$H109&lt;='Get Started'!$E27,'Get Started'!$G109&lt;&gt;0),IF(AD4&lt;'Get Started'!$H109,0,OFFSET(AD234,0,-1*'Get Started'!$H109)*'Get Started'!$E42*'Get Started'!$G109),0)</f>
        <v>1.4437500000000002E-2</v>
      </c>
      <c r="AE239" s="90">
        <f ca="1">IF(AND('Get Started'!$H112&lt;='Get Started'!$E27,'Get Started'!$G112&lt;&gt;0),IF(AND(AE4&lt;'Get Started'!$H112,'Get Started'!$H112&lt;='Get Started'!$E27),0,OFFSET(AE234,0,-1*'Get Started'!$H112)*'Get Started'!$H42),0)+IF(AND('Get Started'!$H111&lt;='Get Started'!$E27,'Get Started'!$G111&lt;&gt;0),IF(AE4&lt;'Get Started'!$H111,0,OFFSET(AE234,0,-1*'Get Started'!$H111)*'Get Started'!$G42),0)+IF(AND('Get Started'!$H110&lt;='Get Started'!$E27,'Get Started'!$G110&lt;&gt;0),IF(AE4&lt;'Get Started'!$H110,0,OFFSET(AE234,0,-1*'Get Started'!$H110)*'Get Started'!$F42),0)+IF(AND('Get Started'!$H109&lt;='Get Started'!$E27,'Get Started'!$G109&lt;&gt;0),IF(AE4&lt;'Get Started'!$H109,0,OFFSET(AE234,0,-1*'Get Started'!$H109)*'Get Started'!$E42*'Get Started'!$G109),0)</f>
        <v>2.1175000000000003E-2</v>
      </c>
      <c r="AF239" s="90">
        <f ca="1">IF(AND('Get Started'!$H112&lt;='Get Started'!$E27,'Get Started'!$G112&lt;&gt;0),IF(AND(AF4&lt;'Get Started'!$H112,'Get Started'!$H112&lt;='Get Started'!$E27),0,OFFSET(AF234,0,-1*'Get Started'!$H112)*'Get Started'!$H42),0)+IF(AND('Get Started'!$H111&lt;='Get Started'!$E27,'Get Started'!$G111&lt;&gt;0),IF(AF4&lt;'Get Started'!$H111,0,OFFSET(AF234,0,-1*'Get Started'!$H111)*'Get Started'!$G42),0)+IF(AND('Get Started'!$H110&lt;='Get Started'!$E27,'Get Started'!$G110&lt;&gt;0),IF(AF4&lt;'Get Started'!$H110,0,OFFSET(AF234,0,-1*'Get Started'!$H110)*'Get Started'!$F42),0)+IF(AND('Get Started'!$H109&lt;='Get Started'!$E27,'Get Started'!$G109&lt;&gt;0),IF(AF4&lt;'Get Started'!$H109,0,OFFSET(AF234,0,-1*'Get Started'!$H109)*'Get Started'!$E42*'Get Started'!$G109),0)</f>
        <v>2.1175000000000003E-2</v>
      </c>
      <c r="AG239" s="90">
        <f ca="1">IF(AND('Get Started'!$H112&lt;='Get Started'!$E27,'Get Started'!$G112&lt;&gt;0),IF(AND(AG4&lt;'Get Started'!$H112,'Get Started'!$H112&lt;='Get Started'!$E27),0,OFFSET(AG234,0,-1*'Get Started'!$H112)*'Get Started'!$H42),0)+IF(AND('Get Started'!$H111&lt;='Get Started'!$E27,'Get Started'!$G111&lt;&gt;0),IF(AG4&lt;'Get Started'!$H111,0,OFFSET(AG234,0,-1*'Get Started'!$H111)*'Get Started'!$G42),0)+IF(AND('Get Started'!$H110&lt;='Get Started'!$E27,'Get Started'!$G110&lt;&gt;0),IF(AG4&lt;'Get Started'!$H110,0,OFFSET(AG234,0,-1*'Get Started'!$H110)*'Get Started'!$F42),0)+IF(AND('Get Started'!$H109&lt;='Get Started'!$E27,'Get Started'!$G109&lt;&gt;0),IF(AG4&lt;'Get Started'!$H109,0,OFFSET(AG234,0,-1*'Get Started'!$H109)*'Get Started'!$E42*'Get Started'!$G109),0)</f>
        <v>2.1175000000000003E-2</v>
      </c>
      <c r="AH239" s="90">
        <f ca="1">IF(AND('Get Started'!$H112&lt;='Get Started'!$E27,'Get Started'!$G112&lt;&gt;0),IF(AND(AH4&lt;'Get Started'!$H112,'Get Started'!$H112&lt;='Get Started'!$E27),0,OFFSET(AH234,0,-1*'Get Started'!$H112)*'Get Started'!$H42),0)+IF(AND('Get Started'!$H111&lt;='Get Started'!$E27,'Get Started'!$G111&lt;&gt;0),IF(AH4&lt;'Get Started'!$H111,0,OFFSET(AH234,0,-1*'Get Started'!$H111)*'Get Started'!$G42),0)+IF(AND('Get Started'!$H110&lt;='Get Started'!$E27,'Get Started'!$G110&lt;&gt;0),IF(AH4&lt;'Get Started'!$H110,0,OFFSET(AH234,0,-1*'Get Started'!$H110)*'Get Started'!$F42),0)+IF(AND('Get Started'!$H109&lt;='Get Started'!$E27,'Get Started'!$G109&lt;&gt;0),IF(AH4&lt;'Get Started'!$H109,0,OFFSET(AH234,0,-1*'Get Started'!$H109)*'Get Started'!$E42*'Get Started'!$G109),0)</f>
        <v>2.1175000000000003E-2</v>
      </c>
      <c r="AI239" s="90">
        <f ca="1">IF(AND('Get Started'!$H112&lt;='Get Started'!$E27,'Get Started'!$G112&lt;&gt;0),IF(AND(AI4&lt;'Get Started'!$H112,'Get Started'!$H112&lt;='Get Started'!$E27),0,OFFSET(AI234,0,-1*'Get Started'!$H112)*'Get Started'!$H42),0)+IF(AND('Get Started'!$H111&lt;='Get Started'!$E27,'Get Started'!$G111&lt;&gt;0),IF(AI4&lt;'Get Started'!$H111,0,OFFSET(AI234,0,-1*'Get Started'!$H111)*'Get Started'!$G42),0)+IF(AND('Get Started'!$H110&lt;='Get Started'!$E27,'Get Started'!$G110&lt;&gt;0),IF(AI4&lt;'Get Started'!$H110,0,OFFSET(AI234,0,-1*'Get Started'!$H110)*'Get Started'!$F42),0)+IF(AND('Get Started'!$H109&lt;='Get Started'!$E27,'Get Started'!$G109&lt;&gt;0),IF(AI4&lt;'Get Started'!$H109,0,OFFSET(AI234,0,-1*'Get Started'!$H109)*'Get Started'!$E42*'Get Started'!$G109),0)</f>
        <v>1.05875E-2</v>
      </c>
      <c r="AJ239" s="90">
        <f ca="1">IF(AND('Get Started'!$H112&lt;='Get Started'!$E27,'Get Started'!$G112&lt;&gt;0),IF(AND(AJ4&lt;'Get Started'!$H112,'Get Started'!$H112&lt;='Get Started'!$E27),0,OFFSET(AJ234,0,-1*'Get Started'!$H112)*'Get Started'!$H42),0)+IF(AND('Get Started'!$H111&lt;='Get Started'!$E27,'Get Started'!$G111&lt;&gt;0),IF(AJ4&lt;'Get Started'!$H111,0,OFFSET(AJ234,0,-1*'Get Started'!$H111)*'Get Started'!$G42),0)+IF(AND('Get Started'!$H110&lt;='Get Started'!$E27,'Get Started'!$G110&lt;&gt;0),IF(AJ4&lt;'Get Started'!$H110,0,OFFSET(AJ234,0,-1*'Get Started'!$H110)*'Get Started'!$F42),0)+IF(AND('Get Started'!$H109&lt;='Get Started'!$E27,'Get Started'!$G109&lt;&gt;0),IF(AJ4&lt;'Get Started'!$H109,0,OFFSET(AJ234,0,-1*'Get Started'!$H109)*'Get Started'!$E42*'Get Started'!$G109),0)</f>
        <v>1.05875E-2</v>
      </c>
      <c r="AK239" s="90">
        <f ca="1">IF(AND('Get Started'!$H112&lt;='Get Started'!$E27,'Get Started'!$G112&lt;&gt;0),IF(AND(AK4&lt;'Get Started'!$H112,'Get Started'!$H112&lt;='Get Started'!$E27),0,OFFSET(AK234,0,-1*'Get Started'!$H112)*'Get Started'!$H42),0)+IF(AND('Get Started'!$H111&lt;='Get Started'!$E27,'Get Started'!$G111&lt;&gt;0),IF(AK4&lt;'Get Started'!$H111,0,OFFSET(AK234,0,-1*'Get Started'!$H111)*'Get Started'!$G42),0)+IF(AND('Get Started'!$H110&lt;='Get Started'!$E27,'Get Started'!$G110&lt;&gt;0),IF(AK4&lt;'Get Started'!$H110,0,OFFSET(AK234,0,-1*'Get Started'!$H110)*'Get Started'!$F42),0)+IF(AND('Get Started'!$H109&lt;='Get Started'!$E27,'Get Started'!$G109&lt;&gt;0),IF(AK4&lt;'Get Started'!$H109,0,OFFSET(AK234,0,-1*'Get Started'!$H109)*'Get Started'!$E42*'Get Started'!$G109),0)</f>
        <v>1.05875E-2</v>
      </c>
      <c r="AL239" s="90">
        <f ca="1">IF(AND('Get Started'!$H112&lt;='Get Started'!$E27,'Get Started'!$G112&lt;&gt;0),IF(AND(AL4&lt;'Get Started'!$H112,'Get Started'!$H112&lt;='Get Started'!$E27),0,OFFSET(AL234,0,-1*'Get Started'!$H112)*'Get Started'!$H42),0)+IF(AND('Get Started'!$H111&lt;='Get Started'!$E27,'Get Started'!$G111&lt;&gt;0),IF(AL4&lt;'Get Started'!$H111,0,OFFSET(AL234,0,-1*'Get Started'!$H111)*'Get Started'!$G42),0)+IF(AND('Get Started'!$H110&lt;='Get Started'!$E27,'Get Started'!$G110&lt;&gt;0),IF(AL4&lt;'Get Started'!$H110,0,OFFSET(AL234,0,-1*'Get Started'!$H110)*'Get Started'!$F42),0)+IF(AND('Get Started'!$H109&lt;='Get Started'!$E27,'Get Started'!$G109&lt;&gt;0),IF(AL4&lt;'Get Started'!$H109,0,OFFSET(AL234,0,-1*'Get Started'!$H109)*'Get Started'!$E42*'Get Started'!$G109),0)</f>
        <v>1.05875E-2</v>
      </c>
      <c r="AM239" s="90">
        <f ca="1">IF(AND('Get Started'!$H112&lt;='Get Started'!$E27,'Get Started'!$G112&lt;&gt;0),IF(AND(AM4&lt;'Get Started'!$H112,'Get Started'!$H112&lt;='Get Started'!$E27),0,OFFSET(AM234,0,-1*'Get Started'!$H112)*'Get Started'!$H42),0)+IF(AND('Get Started'!$H111&lt;='Get Started'!$E27,'Get Started'!$G111&lt;&gt;0),IF(AM4&lt;'Get Started'!$H111,0,OFFSET(AM234,0,-1*'Get Started'!$H111)*'Get Started'!$G42),0)+IF(AND('Get Started'!$H110&lt;='Get Started'!$E27,'Get Started'!$G110&lt;&gt;0),IF(AM4&lt;'Get Started'!$H110,0,OFFSET(AM234,0,-1*'Get Started'!$H110)*'Get Started'!$F42),0)+IF(AND('Get Started'!$H109&lt;='Get Started'!$E27,'Get Started'!$G109&lt;&gt;0),IF(AM4&lt;'Get Started'!$H109,0,OFFSET(AM234,0,-1*'Get Started'!$H109)*'Get Started'!$E42*'Get Started'!$G109),0)</f>
        <v>4.8124999999999991E-3</v>
      </c>
      <c r="AN239" s="90">
        <f ca="1">IF(AND('Get Started'!$H112&lt;='Get Started'!$E27,'Get Started'!$G112&lt;&gt;0),IF(AND(AN4&lt;'Get Started'!$H112,'Get Started'!$H112&lt;='Get Started'!$E27),0,OFFSET(AN234,0,-1*'Get Started'!$H112)*'Get Started'!$H42),0)+IF(AND('Get Started'!$H111&lt;='Get Started'!$E27,'Get Started'!$G111&lt;&gt;0),IF(AN4&lt;'Get Started'!$H111,0,OFFSET(AN234,0,-1*'Get Started'!$H111)*'Get Started'!$G42),0)+IF(AND('Get Started'!$H110&lt;='Get Started'!$E27,'Get Started'!$G110&lt;&gt;0),IF(AN4&lt;'Get Started'!$H110,0,OFFSET(AN234,0,-1*'Get Started'!$H110)*'Get Started'!$F42),0)+IF(AND('Get Started'!$H109&lt;='Get Started'!$E27,'Get Started'!$G109&lt;&gt;0),IF(AN4&lt;'Get Started'!$H109,0,OFFSET(AN234,0,-1*'Get Started'!$H109)*'Get Started'!$E42*'Get Started'!$G109),0)</f>
        <v>4.8124999999999991E-3</v>
      </c>
      <c r="AO239" s="90">
        <f ca="1">IF(AND('Get Started'!$H112&lt;='Get Started'!$E27,'Get Started'!$G112&lt;&gt;0),IF(AND(AO4&lt;'Get Started'!$H112,'Get Started'!$H112&lt;='Get Started'!$E27),0,OFFSET(AO234,0,-1*'Get Started'!$H112)*'Get Started'!$H42),0)+IF(AND('Get Started'!$H111&lt;='Get Started'!$E27,'Get Started'!$G111&lt;&gt;0),IF(AO4&lt;'Get Started'!$H111,0,OFFSET(AO234,0,-1*'Get Started'!$H111)*'Get Started'!$G42),0)+IF(AND('Get Started'!$H110&lt;='Get Started'!$E27,'Get Started'!$G110&lt;&gt;0),IF(AO4&lt;'Get Started'!$H110,0,OFFSET(AO234,0,-1*'Get Started'!$H110)*'Get Started'!$F42),0)+IF(AND('Get Started'!$H109&lt;='Get Started'!$E27,'Get Started'!$G109&lt;&gt;0),IF(AO4&lt;'Get Started'!$H109,0,OFFSET(AO234,0,-1*'Get Started'!$H109)*'Get Started'!$E42*'Get Started'!$G109),0)</f>
        <v>4.8124999999999991E-3</v>
      </c>
      <c r="AP239" s="90">
        <f ca="1">IF(AND('Get Started'!$H112&lt;='Get Started'!$E27,'Get Started'!$G112&lt;&gt;0),IF(AND(AP4&lt;'Get Started'!$H112,'Get Started'!$H112&lt;='Get Started'!$E27),0,OFFSET(AP234,0,-1*'Get Started'!$H112)*'Get Started'!$H42),0)+IF(AND('Get Started'!$H111&lt;='Get Started'!$E27,'Get Started'!$G111&lt;&gt;0),IF(AP4&lt;'Get Started'!$H111,0,OFFSET(AP234,0,-1*'Get Started'!$H111)*'Get Started'!$G42),0)+IF(AND('Get Started'!$H110&lt;='Get Started'!$E27,'Get Started'!$G110&lt;&gt;0),IF(AP4&lt;'Get Started'!$H110,0,OFFSET(AP234,0,-1*'Get Started'!$H110)*'Get Started'!$F42),0)+IF(AND('Get Started'!$H109&lt;='Get Started'!$E27,'Get Started'!$G109&lt;&gt;0),IF(AP4&lt;'Get Started'!$H109,0,OFFSET(AP234,0,-1*'Get Started'!$H109)*'Get Started'!$E42*'Get Started'!$G109),0)</f>
        <v>4.8124999999999991E-3</v>
      </c>
      <c r="AQ239" s="90">
        <f ca="1">IF(AND('Get Started'!$H112&lt;='Get Started'!$E27,'Get Started'!$G112&lt;&gt;0),IF(AND(AQ4&lt;'Get Started'!$H112,'Get Started'!$H112&lt;='Get Started'!$E27),0,OFFSET(AQ234,0,-1*'Get Started'!$H112)*'Get Started'!$H42),0)+IF(AND('Get Started'!$H111&lt;='Get Started'!$E27,'Get Started'!$G111&lt;&gt;0),IF(AQ4&lt;'Get Started'!$H111,0,OFFSET(AQ234,0,-1*'Get Started'!$H111)*'Get Started'!$G42),0)+IF(AND('Get Started'!$H110&lt;='Get Started'!$E27,'Get Started'!$G110&lt;&gt;0),IF(AQ4&lt;'Get Started'!$H110,0,OFFSET(AQ234,0,-1*'Get Started'!$H110)*'Get Started'!$F42),0)+IF(AND('Get Started'!$H109&lt;='Get Started'!$E27,'Get Started'!$G109&lt;&gt;0),IF(AQ4&lt;'Get Started'!$H109,0,OFFSET(AQ234,0,-1*'Get Started'!$H109)*'Get Started'!$E42*'Get Started'!$G109),0)</f>
        <v>5.7749999999999998E-3</v>
      </c>
      <c r="AR239" s="90">
        <f ca="1">IF(AND('Get Started'!$H112&lt;='Get Started'!$E27,'Get Started'!$G112&lt;&gt;0),IF(AND(AR4&lt;'Get Started'!$H112,'Get Started'!$H112&lt;='Get Started'!$E27),0,OFFSET(AR234,0,-1*'Get Started'!$H112)*'Get Started'!$H42),0)+IF(AND('Get Started'!$H111&lt;='Get Started'!$E27,'Get Started'!$G111&lt;&gt;0),IF(AR4&lt;'Get Started'!$H111,0,OFFSET(AR234,0,-1*'Get Started'!$H111)*'Get Started'!$G42),0)+IF(AND('Get Started'!$H110&lt;='Get Started'!$E27,'Get Started'!$G110&lt;&gt;0),IF(AR4&lt;'Get Started'!$H110,0,OFFSET(AR234,0,-1*'Get Started'!$H110)*'Get Started'!$F42),0)+IF(AND('Get Started'!$H109&lt;='Get Started'!$E27,'Get Started'!$G109&lt;&gt;0),IF(AR4&lt;'Get Started'!$H109,0,OFFSET(AR234,0,-1*'Get Started'!$H109)*'Get Started'!$E42*'Get Started'!$G109),0)</f>
        <v>5.7749999999999998E-3</v>
      </c>
      <c r="AS239" s="90">
        <f ca="1">IF(AND('Get Started'!$H112&lt;='Get Started'!$E27,'Get Started'!$G112&lt;&gt;0),IF(AND(AS4&lt;'Get Started'!$H112,'Get Started'!$H112&lt;='Get Started'!$E27),0,OFFSET(AS234,0,-1*'Get Started'!$H112)*'Get Started'!$H42),0)+IF(AND('Get Started'!$H111&lt;='Get Started'!$E27,'Get Started'!$G111&lt;&gt;0),IF(AS4&lt;'Get Started'!$H111,0,OFFSET(AS234,0,-1*'Get Started'!$H111)*'Get Started'!$G42),0)+IF(AND('Get Started'!$H110&lt;='Get Started'!$E27,'Get Started'!$G110&lt;&gt;0),IF(AS4&lt;'Get Started'!$H110,0,OFFSET(AS234,0,-1*'Get Started'!$H110)*'Get Started'!$F42),0)+IF(AND('Get Started'!$H109&lt;='Get Started'!$E27,'Get Started'!$G109&lt;&gt;0),IF(AS4&lt;'Get Started'!$H109,0,OFFSET(AS234,0,-1*'Get Started'!$H109)*'Get Started'!$E42*'Get Started'!$G109),0)</f>
        <v>5.7749999999999998E-3</v>
      </c>
      <c r="AT239" s="90">
        <f ca="1">IF(AND('Get Started'!$H112&lt;='Get Started'!$E27,'Get Started'!$G112&lt;&gt;0),IF(AND(AT4&lt;'Get Started'!$H112,'Get Started'!$H112&lt;='Get Started'!$E27),0,OFFSET(AT234,0,-1*'Get Started'!$H112)*'Get Started'!$H42),0)+IF(AND('Get Started'!$H111&lt;='Get Started'!$E27,'Get Started'!$G111&lt;&gt;0),IF(AT4&lt;'Get Started'!$H111,0,OFFSET(AT234,0,-1*'Get Started'!$H111)*'Get Started'!$G42),0)+IF(AND('Get Started'!$H110&lt;='Get Started'!$E27,'Get Started'!$G110&lt;&gt;0),IF(AT4&lt;'Get Started'!$H110,0,OFFSET(AT234,0,-1*'Get Started'!$H110)*'Get Started'!$F42),0)+IF(AND('Get Started'!$H109&lt;='Get Started'!$E27,'Get Started'!$G109&lt;&gt;0),IF(AT4&lt;'Get Started'!$H109,0,OFFSET(AT234,0,-1*'Get Started'!$H109)*'Get Started'!$E42*'Get Started'!$G109),0)</f>
        <v>5.7749999999999998E-3</v>
      </c>
      <c r="AU239" s="90">
        <f ca="1">IF(AND('Get Started'!$H112&lt;='Get Started'!$E27,'Get Started'!$G112&lt;&gt;0),IF(AND(AU4&lt;'Get Started'!$H112,'Get Started'!$H112&lt;='Get Started'!$E27),0,OFFSET(AU234,0,-1*'Get Started'!$H112)*'Get Started'!$H42),0)+IF(AND('Get Started'!$H111&lt;='Get Started'!$E27,'Get Started'!$G111&lt;&gt;0),IF(AU4&lt;'Get Started'!$H111,0,OFFSET(AU234,0,-1*'Get Started'!$H111)*'Get Started'!$G42),0)+IF(AND('Get Started'!$H110&lt;='Get Started'!$E27,'Get Started'!$G110&lt;&gt;0),IF(AU4&lt;'Get Started'!$H110,0,OFFSET(AU234,0,-1*'Get Started'!$H110)*'Get Started'!$F42),0)+IF(AND('Get Started'!$H109&lt;='Get Started'!$E27,'Get Started'!$G109&lt;&gt;0),IF(AU4&lt;'Get Started'!$H109,0,OFFSET(AU234,0,-1*'Get Started'!$H109)*'Get Started'!$E42*'Get Started'!$G109),0)</f>
        <v>0</v>
      </c>
      <c r="AV239" s="90">
        <f ca="1">IF(AND('Get Started'!$H112&lt;='Get Started'!$E27,'Get Started'!$G112&lt;&gt;0),IF(AND(AV4&lt;'Get Started'!$H112,'Get Started'!$H112&lt;='Get Started'!$E27),0,OFFSET(AV234,0,-1*'Get Started'!$H112)*'Get Started'!$H42),0)+IF(AND('Get Started'!$H111&lt;='Get Started'!$E27,'Get Started'!$G111&lt;&gt;0),IF(AV4&lt;'Get Started'!$H111,0,OFFSET(AV234,0,-1*'Get Started'!$H111)*'Get Started'!$G42),0)+IF(AND('Get Started'!$H110&lt;='Get Started'!$E27,'Get Started'!$G110&lt;&gt;0),IF(AV4&lt;'Get Started'!$H110,0,OFFSET(AV234,0,-1*'Get Started'!$H110)*'Get Started'!$F42),0)+IF(AND('Get Started'!$H109&lt;='Get Started'!$E27,'Get Started'!$G109&lt;&gt;0),IF(AV4&lt;'Get Started'!$H109,0,OFFSET(AV234,0,-1*'Get Started'!$H109)*'Get Started'!$E42*'Get Started'!$G109),0)</f>
        <v>0</v>
      </c>
      <c r="AW239" s="90">
        <f ca="1">IF(AND('Get Started'!$H112&lt;='Get Started'!$E27,'Get Started'!$G112&lt;&gt;0),IF(AND(AW4&lt;'Get Started'!$H112,'Get Started'!$H112&lt;='Get Started'!$E27),0,OFFSET(AW234,0,-1*'Get Started'!$H112)*'Get Started'!$H42),0)+IF(AND('Get Started'!$H111&lt;='Get Started'!$E27,'Get Started'!$G111&lt;&gt;0),IF(AW4&lt;'Get Started'!$H111,0,OFFSET(AW234,0,-1*'Get Started'!$H111)*'Get Started'!$G42),0)+IF(AND('Get Started'!$H110&lt;='Get Started'!$E27,'Get Started'!$G110&lt;&gt;0),IF(AW4&lt;'Get Started'!$H110,0,OFFSET(AW234,0,-1*'Get Started'!$H110)*'Get Started'!$F42),0)+IF(AND('Get Started'!$H109&lt;='Get Started'!$E27,'Get Started'!$G109&lt;&gt;0),IF(AW4&lt;'Get Started'!$H109,0,OFFSET(AW234,0,-1*'Get Started'!$H109)*'Get Started'!$E42*'Get Started'!$G109),0)</f>
        <v>0</v>
      </c>
      <c r="AX239" s="90">
        <f ca="1">IF(AND('Get Started'!$H112&lt;='Get Started'!$E27,'Get Started'!$G112&lt;&gt;0),IF(AND(AX4&lt;'Get Started'!$H112,'Get Started'!$H112&lt;='Get Started'!$E27),0,OFFSET(AX234,0,-1*'Get Started'!$H112)*'Get Started'!$H42),0)+IF(AND('Get Started'!$H111&lt;='Get Started'!$E27,'Get Started'!$G111&lt;&gt;0),IF(AX4&lt;'Get Started'!$H111,0,OFFSET(AX234,0,-1*'Get Started'!$H111)*'Get Started'!$G42),0)+IF(AND('Get Started'!$H110&lt;='Get Started'!$E27,'Get Started'!$G110&lt;&gt;0),IF(AX4&lt;'Get Started'!$H110,0,OFFSET(AX234,0,-1*'Get Started'!$H110)*'Get Started'!$F42),0)+IF(AND('Get Started'!$H109&lt;='Get Started'!$E27,'Get Started'!$G109&lt;&gt;0),IF(AX4&lt;'Get Started'!$H109,0,OFFSET(AX234,0,-1*'Get Started'!$H109)*'Get Started'!$E42*'Get Started'!$G109),0)</f>
        <v>0</v>
      </c>
      <c r="AY239" s="90">
        <f ca="1">IF(AND('Get Started'!$H112&lt;='Get Started'!$E27,'Get Started'!$G112&lt;&gt;0),IF(AND(AY4&lt;'Get Started'!$H112,'Get Started'!$H112&lt;='Get Started'!$E27),0,OFFSET(AY234,0,-1*'Get Started'!$H112)*'Get Started'!$H42),0)+IF(AND('Get Started'!$H111&lt;='Get Started'!$E27,'Get Started'!$G111&lt;&gt;0),IF(AY4&lt;'Get Started'!$H111,0,OFFSET(AY234,0,-1*'Get Started'!$H111)*'Get Started'!$G42),0)+IF(AND('Get Started'!$H110&lt;='Get Started'!$E27,'Get Started'!$G110&lt;&gt;0),IF(AY4&lt;'Get Started'!$H110,0,OFFSET(AY234,0,-1*'Get Started'!$H110)*'Get Started'!$F42),0)+IF(AND('Get Started'!$H109&lt;='Get Started'!$E27,'Get Started'!$G109&lt;&gt;0),IF(AY4&lt;'Get Started'!$H109,0,OFFSET(AY234,0,-1*'Get Started'!$H109)*'Get Started'!$E42*'Get Started'!$G109),0)</f>
        <v>0</v>
      </c>
      <c r="AZ239" s="90">
        <f ca="1">IF(AND('Get Started'!$H112&lt;='Get Started'!$E27,'Get Started'!$G112&lt;&gt;0),IF(AND(AZ4&lt;'Get Started'!$H112,'Get Started'!$H112&lt;='Get Started'!$E27),0,OFFSET(AZ234,0,-1*'Get Started'!$H112)*'Get Started'!$H42),0)+IF(AND('Get Started'!$H111&lt;='Get Started'!$E27,'Get Started'!$G111&lt;&gt;0),IF(AZ4&lt;'Get Started'!$H111,0,OFFSET(AZ234,0,-1*'Get Started'!$H111)*'Get Started'!$G42),0)+IF(AND('Get Started'!$H110&lt;='Get Started'!$E27,'Get Started'!$G110&lt;&gt;0),IF(AZ4&lt;'Get Started'!$H110,0,OFFSET(AZ234,0,-1*'Get Started'!$H110)*'Get Started'!$F42),0)+IF(AND('Get Started'!$H109&lt;='Get Started'!$E27,'Get Started'!$G109&lt;&gt;0),IF(AZ4&lt;'Get Started'!$H109,0,OFFSET(AZ234,0,-1*'Get Started'!$H109)*'Get Started'!$E42*'Get Started'!$G109),0)</f>
        <v>0</v>
      </c>
      <c r="BA239" s="90">
        <f ca="1">IF(AND('Get Started'!$H112&lt;='Get Started'!$E27,'Get Started'!$G112&lt;&gt;0),IF(AND(BA4&lt;'Get Started'!$H112,'Get Started'!$H112&lt;='Get Started'!$E27),0,OFFSET(BA234,0,-1*'Get Started'!$H112)*'Get Started'!$H42),0)+IF(AND('Get Started'!$H111&lt;='Get Started'!$E27,'Get Started'!$G111&lt;&gt;0),IF(BA4&lt;'Get Started'!$H111,0,OFFSET(BA234,0,-1*'Get Started'!$H111)*'Get Started'!$G42),0)+IF(AND('Get Started'!$H110&lt;='Get Started'!$E27,'Get Started'!$G110&lt;&gt;0),IF(BA4&lt;'Get Started'!$H110,0,OFFSET(BA234,0,-1*'Get Started'!$H110)*'Get Started'!$F42),0)+IF(AND('Get Started'!$H109&lt;='Get Started'!$E27,'Get Started'!$G109&lt;&gt;0),IF(BA4&lt;'Get Started'!$H109,0,OFFSET(BA234,0,-1*'Get Started'!$H109)*'Get Started'!$E42*'Get Started'!$G109),0)</f>
        <v>0</v>
      </c>
      <c r="BB239" s="90">
        <f ca="1">IF(AND('Get Started'!$H112&lt;='Get Started'!$E27,'Get Started'!$G112&lt;&gt;0),IF(AND(BB4&lt;'Get Started'!$H112,'Get Started'!$H112&lt;='Get Started'!$E27),0,OFFSET(BB234,0,-1*'Get Started'!$H112)*'Get Started'!$H42),0)+IF(AND('Get Started'!$H111&lt;='Get Started'!$E27,'Get Started'!$G111&lt;&gt;0),IF(BB4&lt;'Get Started'!$H111,0,OFFSET(BB234,0,-1*'Get Started'!$H111)*'Get Started'!$G42),0)+IF(AND('Get Started'!$H110&lt;='Get Started'!$E27,'Get Started'!$G110&lt;&gt;0),IF(BB4&lt;'Get Started'!$H110,0,OFFSET(BB234,0,-1*'Get Started'!$H110)*'Get Started'!$F42),0)+IF(AND('Get Started'!$H109&lt;='Get Started'!$E27,'Get Started'!$G109&lt;&gt;0),IF(BB4&lt;'Get Started'!$H109,0,OFFSET(BB234,0,-1*'Get Started'!$H109)*'Get Started'!$E42*'Get Started'!$G109),0)</f>
        <v>0</v>
      </c>
      <c r="BC239" s="90">
        <f ca="1">IF(AND('Get Started'!$H112&lt;='Get Started'!$E27,'Get Started'!$G112&lt;&gt;0),IF(AND(BC4&lt;'Get Started'!$H112,'Get Started'!$H112&lt;='Get Started'!$E27),0,OFFSET(BC234,0,-1*'Get Started'!$H112)*'Get Started'!$H42),0)+IF(AND('Get Started'!$H111&lt;='Get Started'!$E27,'Get Started'!$G111&lt;&gt;0),IF(BC4&lt;'Get Started'!$H111,0,OFFSET(BC234,0,-1*'Get Started'!$H111)*'Get Started'!$G42),0)+IF(AND('Get Started'!$H110&lt;='Get Started'!$E27,'Get Started'!$G110&lt;&gt;0),IF(BC4&lt;'Get Started'!$H110,0,OFFSET(BC234,0,-1*'Get Started'!$H110)*'Get Started'!$F42),0)+IF(AND('Get Started'!$H109&lt;='Get Started'!$E27,'Get Started'!$G109&lt;&gt;0),IF(BC4&lt;'Get Started'!$H109,0,OFFSET(BC234,0,-1*'Get Started'!$H109)*'Get Started'!$E42*'Get Started'!$G109),0)</f>
        <v>0</v>
      </c>
      <c r="BD239" s="90">
        <f ca="1">IF(AND('Get Started'!$H112&lt;='Get Started'!$E27,'Get Started'!$G112&lt;&gt;0),IF(AND(BD4&lt;'Get Started'!$H112,'Get Started'!$H112&lt;='Get Started'!$E27),0,OFFSET(BD234,0,-1*'Get Started'!$H112)*'Get Started'!$H42),0)+IF(AND('Get Started'!$H111&lt;='Get Started'!$E27,'Get Started'!$G111&lt;&gt;0),IF(BD4&lt;'Get Started'!$H111,0,OFFSET(BD234,0,-1*'Get Started'!$H111)*'Get Started'!$G42),0)+IF(AND('Get Started'!$H110&lt;='Get Started'!$E27,'Get Started'!$G110&lt;&gt;0),IF(BD4&lt;'Get Started'!$H110,0,OFFSET(BD234,0,-1*'Get Started'!$H110)*'Get Started'!$F42),0)+IF(AND('Get Started'!$H109&lt;='Get Started'!$E27,'Get Started'!$G109&lt;&gt;0),IF(BD4&lt;'Get Started'!$H109,0,OFFSET(BD234,0,-1*'Get Started'!$H109)*'Get Started'!$E42*'Get Started'!$G109),0)</f>
        <v>0</v>
      </c>
      <c r="BE239" s="90">
        <f ca="1">IF(AND('Get Started'!$H112&lt;='Get Started'!$E27,'Get Started'!$G112&lt;&gt;0),IF(AND(BE4&lt;'Get Started'!$H112,'Get Started'!$H112&lt;='Get Started'!$E27),0,OFFSET(BE234,0,-1*'Get Started'!$H112)*'Get Started'!$H42),0)+IF(AND('Get Started'!$H111&lt;='Get Started'!$E27,'Get Started'!$G111&lt;&gt;0),IF(BE4&lt;'Get Started'!$H111,0,OFFSET(BE234,0,-1*'Get Started'!$H111)*'Get Started'!$G42),0)+IF(AND('Get Started'!$H110&lt;='Get Started'!$E27,'Get Started'!$G110&lt;&gt;0),IF(BE4&lt;'Get Started'!$H110,0,OFFSET(BE234,0,-1*'Get Started'!$H110)*'Get Started'!$F42),0)+IF(AND('Get Started'!$H109&lt;='Get Started'!$E27,'Get Started'!$G109&lt;&gt;0),IF(BE4&lt;'Get Started'!$H109,0,OFFSET(BE234,0,-1*'Get Started'!$H109)*'Get Started'!$E42*'Get Started'!$G109),0)</f>
        <v>0</v>
      </c>
      <c r="BF239" s="90">
        <f ca="1">IF(AND('Get Started'!$H112&lt;='Get Started'!$E27,'Get Started'!$G112&lt;&gt;0),IF(AND(BF4&lt;'Get Started'!$H112,'Get Started'!$H112&lt;='Get Started'!$E27),0,OFFSET(BF234,0,-1*'Get Started'!$H112)*'Get Started'!$H42),0)+IF(AND('Get Started'!$H111&lt;='Get Started'!$E27,'Get Started'!$G111&lt;&gt;0),IF(BF4&lt;'Get Started'!$H111,0,OFFSET(BF234,0,-1*'Get Started'!$H111)*'Get Started'!$G42),0)+IF(AND('Get Started'!$H110&lt;='Get Started'!$E27,'Get Started'!$G110&lt;&gt;0),IF(BF4&lt;'Get Started'!$H110,0,OFFSET(BF234,0,-1*'Get Started'!$H110)*'Get Started'!$F42),0)+IF(AND('Get Started'!$H109&lt;='Get Started'!$E27,'Get Started'!$G109&lt;&gt;0),IF(BF4&lt;'Get Started'!$H109,0,OFFSET(BF234,0,-1*'Get Started'!$H109)*'Get Started'!$E42*'Get Started'!$G109),0)</f>
        <v>0</v>
      </c>
      <c r="BG239" s="90">
        <f ca="1">IF(AND('Get Started'!$H112&lt;='Get Started'!$E27,'Get Started'!$G112&lt;&gt;0),IF(AND(BG4&lt;'Get Started'!$H112,'Get Started'!$H112&lt;='Get Started'!$E27),0,OFFSET(BG234,0,-1*'Get Started'!$H112)*'Get Started'!$H42),0)+IF(AND('Get Started'!$H111&lt;='Get Started'!$E27,'Get Started'!$G111&lt;&gt;0),IF(BG4&lt;'Get Started'!$H111,0,OFFSET(BG234,0,-1*'Get Started'!$H111)*'Get Started'!$G42),0)+IF(AND('Get Started'!$H110&lt;='Get Started'!$E27,'Get Started'!$G110&lt;&gt;0),IF(BG4&lt;'Get Started'!$H110,0,OFFSET(BG234,0,-1*'Get Started'!$H110)*'Get Started'!$F42),0)+IF(AND('Get Started'!$H109&lt;='Get Started'!$E27,'Get Started'!$G109&lt;&gt;0),IF(BG4&lt;'Get Started'!$H109,0,OFFSET(BG234,0,-1*'Get Started'!$H109)*'Get Started'!$E42*'Get Started'!$G109),0)</f>
        <v>0</v>
      </c>
      <c r="BH239" s="90">
        <f ca="1">IF(AND('Get Started'!$H112&lt;='Get Started'!$E27,'Get Started'!$G112&lt;&gt;0),IF(AND(BH4&lt;'Get Started'!$H112,'Get Started'!$H112&lt;='Get Started'!$E27),0,OFFSET(BH234,0,-1*'Get Started'!$H112)*'Get Started'!$H42),0)+IF(AND('Get Started'!$H111&lt;='Get Started'!$E27,'Get Started'!$G111&lt;&gt;0),IF(BH4&lt;'Get Started'!$H111,0,OFFSET(BH234,0,-1*'Get Started'!$H111)*'Get Started'!$G42),0)+IF(AND('Get Started'!$H110&lt;='Get Started'!$E27,'Get Started'!$G110&lt;&gt;0),IF(BH4&lt;'Get Started'!$H110,0,OFFSET(BH234,0,-1*'Get Started'!$H110)*'Get Started'!$F42),0)+IF(AND('Get Started'!$H109&lt;='Get Started'!$E27,'Get Started'!$G109&lt;&gt;0),IF(BH4&lt;'Get Started'!$H109,0,OFFSET(BH234,0,-1*'Get Started'!$H109)*'Get Started'!$E42*'Get Started'!$G109),0)</f>
        <v>0</v>
      </c>
      <c r="BI239" s="90">
        <f ca="1">IF(AND('Get Started'!$H112&lt;='Get Started'!$E27,'Get Started'!$G112&lt;&gt;0),IF(AND(BI4&lt;'Get Started'!$H112,'Get Started'!$H112&lt;='Get Started'!$E27),0,OFFSET(BI234,0,-1*'Get Started'!$H112)*'Get Started'!$H42),0)+IF(AND('Get Started'!$H111&lt;='Get Started'!$E27,'Get Started'!$G111&lt;&gt;0),IF(BI4&lt;'Get Started'!$H111,0,OFFSET(BI234,0,-1*'Get Started'!$H111)*'Get Started'!$G42),0)+IF(AND('Get Started'!$H110&lt;='Get Started'!$E27,'Get Started'!$G110&lt;&gt;0),IF(BI4&lt;'Get Started'!$H110,0,OFFSET(BI234,0,-1*'Get Started'!$H110)*'Get Started'!$F42),0)+IF(AND('Get Started'!$H109&lt;='Get Started'!$E27,'Get Started'!$G109&lt;&gt;0),IF(BI4&lt;'Get Started'!$H109,0,OFFSET(BI234,0,-1*'Get Started'!$H109)*'Get Started'!$E42*'Get Started'!$G109),0)</f>
        <v>0</v>
      </c>
      <c r="BJ239" s="90">
        <f ca="1">IF(AND('Get Started'!$H112&lt;='Get Started'!$E27,'Get Started'!$G112&lt;&gt;0),IF(AND(BJ4&lt;'Get Started'!$H112,'Get Started'!$H112&lt;='Get Started'!$E27),0,OFFSET(BJ234,0,-1*'Get Started'!$H112)*'Get Started'!$H42),0)+IF(AND('Get Started'!$H111&lt;='Get Started'!$E27,'Get Started'!$G111&lt;&gt;0),IF(BJ4&lt;'Get Started'!$H111,0,OFFSET(BJ234,0,-1*'Get Started'!$H111)*'Get Started'!$G42),0)+IF(AND('Get Started'!$H110&lt;='Get Started'!$E27,'Get Started'!$G110&lt;&gt;0),IF(BJ4&lt;'Get Started'!$H110,0,OFFSET(BJ234,0,-1*'Get Started'!$H110)*'Get Started'!$F42),0)+IF(AND('Get Started'!$H109&lt;='Get Started'!$E27,'Get Started'!$G109&lt;&gt;0),IF(BJ4&lt;'Get Started'!$H109,0,OFFSET(BJ234,0,-1*'Get Started'!$H109)*'Get Started'!$E42*'Get Started'!$G109),0)</f>
        <v>0</v>
      </c>
      <c r="BK239" s="90">
        <f ca="1">IF(AND('Get Started'!$H112&lt;='Get Started'!$E27,'Get Started'!$G112&lt;&gt;0),IF(AND(BK4&lt;'Get Started'!$H112,'Get Started'!$H112&lt;='Get Started'!$E27),0,OFFSET(BK234,0,-1*'Get Started'!$H112)*'Get Started'!$H42),0)+IF(AND('Get Started'!$H111&lt;='Get Started'!$E27,'Get Started'!$G111&lt;&gt;0),IF(BK4&lt;'Get Started'!$H111,0,OFFSET(BK234,0,-1*'Get Started'!$H111)*'Get Started'!$G42),0)+IF(AND('Get Started'!$H110&lt;='Get Started'!$E27,'Get Started'!$G110&lt;&gt;0),IF(BK4&lt;'Get Started'!$H110,0,OFFSET(BK234,0,-1*'Get Started'!$H110)*'Get Started'!$F42),0)+IF(AND('Get Started'!$H109&lt;='Get Started'!$E27,'Get Started'!$G109&lt;&gt;0),IF(BK4&lt;'Get Started'!$H109,0,OFFSET(BK234,0,-1*'Get Started'!$H109)*'Get Started'!$E42*'Get Started'!$G109),0)</f>
        <v>0</v>
      </c>
      <c r="BL239" s="90">
        <f ca="1">IF(AND('Get Started'!$H112&lt;='Get Started'!$E27,'Get Started'!$G112&lt;&gt;0),IF(AND(BL4&lt;'Get Started'!$H112,'Get Started'!$H112&lt;='Get Started'!$E27),0,OFFSET(BL234,0,-1*'Get Started'!$H112)*'Get Started'!$H42),0)+IF(AND('Get Started'!$H111&lt;='Get Started'!$E27,'Get Started'!$G111&lt;&gt;0),IF(BL4&lt;'Get Started'!$H111,0,OFFSET(BL234,0,-1*'Get Started'!$H111)*'Get Started'!$G42),0)+IF(AND('Get Started'!$H110&lt;='Get Started'!$E27,'Get Started'!$G110&lt;&gt;0),IF(BL4&lt;'Get Started'!$H110,0,OFFSET(BL234,0,-1*'Get Started'!$H110)*'Get Started'!$F42),0)+IF(AND('Get Started'!$H109&lt;='Get Started'!$E27,'Get Started'!$G109&lt;&gt;0),IF(BL4&lt;'Get Started'!$H109,0,OFFSET(BL234,0,-1*'Get Started'!$H109)*'Get Started'!$E42*'Get Started'!$G109),0)</f>
        <v>0</v>
      </c>
      <c r="BM239" s="90">
        <f ca="1">IF(AND('Get Started'!$H112&lt;='Get Started'!$E27,'Get Started'!$G112&lt;&gt;0),IF(AND(BM4&lt;'Get Started'!$H112,'Get Started'!$H112&lt;='Get Started'!$E27),0,OFFSET(BM234,0,-1*'Get Started'!$H112)*'Get Started'!$H42),0)+IF(AND('Get Started'!$H111&lt;='Get Started'!$E27,'Get Started'!$G111&lt;&gt;0),IF(BM4&lt;'Get Started'!$H111,0,OFFSET(BM234,0,-1*'Get Started'!$H111)*'Get Started'!$G42),0)+IF(AND('Get Started'!$H110&lt;='Get Started'!$E27,'Get Started'!$G110&lt;&gt;0),IF(BM4&lt;'Get Started'!$H110,0,OFFSET(BM234,0,-1*'Get Started'!$H110)*'Get Started'!$F42),0)+IF(AND('Get Started'!$H109&lt;='Get Started'!$E27,'Get Started'!$G109&lt;&gt;0),IF(BM4&lt;'Get Started'!$H109,0,OFFSET(BM234,0,-1*'Get Started'!$H109)*'Get Started'!$E42*'Get Started'!$G109),0)</f>
        <v>0</v>
      </c>
      <c r="BN239" s="90">
        <f ca="1">IF(AND('Get Started'!$H112&lt;='Get Started'!$E27,'Get Started'!$G112&lt;&gt;0),IF(AND(BN4&lt;'Get Started'!$H112,'Get Started'!$H112&lt;='Get Started'!$E27),0,OFFSET(BN234,0,-1*'Get Started'!$H112)*'Get Started'!$H42),0)+IF(AND('Get Started'!$H111&lt;='Get Started'!$E27,'Get Started'!$G111&lt;&gt;0),IF(BN4&lt;'Get Started'!$H111,0,OFFSET(BN234,0,-1*'Get Started'!$H111)*'Get Started'!$G42),0)+IF(AND('Get Started'!$H110&lt;='Get Started'!$E27,'Get Started'!$G110&lt;&gt;0),IF(BN4&lt;'Get Started'!$H110,0,OFFSET(BN234,0,-1*'Get Started'!$H110)*'Get Started'!$F42),0)+IF(AND('Get Started'!$H109&lt;='Get Started'!$E27,'Get Started'!$G109&lt;&gt;0),IF(BN4&lt;'Get Started'!$H109,0,OFFSET(BN234,0,-1*'Get Started'!$H109)*'Get Started'!$E42*'Get Started'!$G109),0)</f>
        <v>0</v>
      </c>
      <c r="BO239" s="90">
        <f ca="1">IF(AND('Get Started'!$H112&lt;='Get Started'!$E27,'Get Started'!$G112&lt;&gt;0),IF(AND(BO4&lt;'Get Started'!$H112,'Get Started'!$H112&lt;='Get Started'!$E27),0,OFFSET(BO234,0,-1*'Get Started'!$H112)*'Get Started'!$H42),0)+IF(AND('Get Started'!$H111&lt;='Get Started'!$E27,'Get Started'!$G111&lt;&gt;0),IF(BO4&lt;'Get Started'!$H111,0,OFFSET(BO234,0,-1*'Get Started'!$H111)*'Get Started'!$G42),0)+IF(AND('Get Started'!$H110&lt;='Get Started'!$E27,'Get Started'!$G110&lt;&gt;0),IF(BO4&lt;'Get Started'!$H110,0,OFFSET(BO234,0,-1*'Get Started'!$H110)*'Get Started'!$F42),0)+IF(AND('Get Started'!$H109&lt;='Get Started'!$E27,'Get Started'!$G109&lt;&gt;0),IF(BO4&lt;'Get Started'!$H109,0,OFFSET(BO234,0,-1*'Get Started'!$H109)*'Get Started'!$E42*'Get Started'!$G109),0)</f>
        <v>0</v>
      </c>
      <c r="BP239" s="90">
        <f ca="1">IF(AND('Get Started'!$H112&lt;='Get Started'!$E27,'Get Started'!$G112&lt;&gt;0),IF(AND(BP4&lt;'Get Started'!$H112,'Get Started'!$H112&lt;='Get Started'!$E27),0,OFFSET(BP234,0,-1*'Get Started'!$H112)*'Get Started'!$H42),0)+IF(AND('Get Started'!$H111&lt;='Get Started'!$E27,'Get Started'!$G111&lt;&gt;0),IF(BP4&lt;'Get Started'!$H111,0,OFFSET(BP234,0,-1*'Get Started'!$H111)*'Get Started'!$G42),0)+IF(AND('Get Started'!$H110&lt;='Get Started'!$E27,'Get Started'!$G110&lt;&gt;0),IF(BP4&lt;'Get Started'!$H110,0,OFFSET(BP234,0,-1*'Get Started'!$H110)*'Get Started'!$F42),0)+IF(AND('Get Started'!$H109&lt;='Get Started'!$E27,'Get Started'!$G109&lt;&gt;0),IF(BP4&lt;'Get Started'!$H109,0,OFFSET(BP234,0,-1*'Get Started'!$H109)*'Get Started'!$E42*'Get Started'!$G109),0)</f>
        <v>0</v>
      </c>
      <c r="BQ239" s="90">
        <f ca="1">IF(AND('Get Started'!$H112&lt;='Get Started'!$E27,'Get Started'!$G112&lt;&gt;0),IF(AND(BQ4&lt;'Get Started'!$H112,'Get Started'!$H112&lt;='Get Started'!$E27),0,OFFSET(BQ234,0,-1*'Get Started'!$H112)*'Get Started'!$H42),0)+IF(AND('Get Started'!$H111&lt;='Get Started'!$E27,'Get Started'!$G111&lt;&gt;0),IF(BQ4&lt;'Get Started'!$H111,0,OFFSET(BQ234,0,-1*'Get Started'!$H111)*'Get Started'!$G42),0)+IF(AND('Get Started'!$H110&lt;='Get Started'!$E27,'Get Started'!$G110&lt;&gt;0),IF(BQ4&lt;'Get Started'!$H110,0,OFFSET(BQ234,0,-1*'Get Started'!$H110)*'Get Started'!$F42),0)+IF(AND('Get Started'!$H109&lt;='Get Started'!$E27,'Get Started'!$G109&lt;&gt;0),IF(BQ4&lt;'Get Started'!$H109,0,OFFSET(BQ234,0,-1*'Get Started'!$H109)*'Get Started'!$E42*'Get Started'!$G109),0)</f>
        <v>0</v>
      </c>
      <c r="BR239" s="90">
        <f ca="1">IF(AND('Get Started'!$H112&lt;='Get Started'!$E27,'Get Started'!$G112&lt;&gt;0),IF(AND(BR4&lt;'Get Started'!$H112,'Get Started'!$H112&lt;='Get Started'!$E27),0,OFFSET(BR234,0,-1*'Get Started'!$H112)*'Get Started'!$H42),0)+IF(AND('Get Started'!$H111&lt;='Get Started'!$E27,'Get Started'!$G111&lt;&gt;0),IF(BR4&lt;'Get Started'!$H111,0,OFFSET(BR234,0,-1*'Get Started'!$H111)*'Get Started'!$G42),0)+IF(AND('Get Started'!$H110&lt;='Get Started'!$E27,'Get Started'!$G110&lt;&gt;0),IF(BR4&lt;'Get Started'!$H110,0,OFFSET(BR234,0,-1*'Get Started'!$H110)*'Get Started'!$F42),0)+IF(AND('Get Started'!$H109&lt;='Get Started'!$E27,'Get Started'!$G109&lt;&gt;0),IF(BR4&lt;'Get Started'!$H109,0,OFFSET(BR234,0,-1*'Get Started'!$H109)*'Get Started'!$E42*'Get Started'!$G109),0)</f>
        <v>0</v>
      </c>
      <c r="BS239" s="90">
        <f ca="1">IF(AND('Get Started'!$H112&lt;='Get Started'!$E27,'Get Started'!$G112&lt;&gt;0),IF(AND(BS4&lt;'Get Started'!$H112,'Get Started'!$H112&lt;='Get Started'!$E27),0,OFFSET(BS234,0,-1*'Get Started'!$H112)*'Get Started'!$H42),0)+IF(AND('Get Started'!$H111&lt;='Get Started'!$E27,'Get Started'!$G111&lt;&gt;0),IF(BS4&lt;'Get Started'!$H111,0,OFFSET(BS234,0,-1*'Get Started'!$H111)*'Get Started'!$G42),0)+IF(AND('Get Started'!$H110&lt;='Get Started'!$E27,'Get Started'!$G110&lt;&gt;0),IF(BS4&lt;'Get Started'!$H110,0,OFFSET(BS234,0,-1*'Get Started'!$H110)*'Get Started'!$F42),0)+IF(AND('Get Started'!$H109&lt;='Get Started'!$E27,'Get Started'!$G109&lt;&gt;0),IF(BS4&lt;'Get Started'!$H109,0,OFFSET(BS234,0,-1*'Get Started'!$H109)*'Get Started'!$E42*'Get Started'!$G109),0)</f>
        <v>0</v>
      </c>
      <c r="BT239" s="90">
        <f ca="1">IF(AND('Get Started'!$H112&lt;='Get Started'!$E27,'Get Started'!$G112&lt;&gt;0),IF(AND(BT4&lt;'Get Started'!$H112,'Get Started'!$H112&lt;='Get Started'!$E27),0,OFFSET(BT234,0,-1*'Get Started'!$H112)*'Get Started'!$H42),0)+IF(AND('Get Started'!$H111&lt;='Get Started'!$E27,'Get Started'!$G111&lt;&gt;0),IF(BT4&lt;'Get Started'!$H111,0,OFFSET(BT234,0,-1*'Get Started'!$H111)*'Get Started'!$G42),0)+IF(AND('Get Started'!$H110&lt;='Get Started'!$E27,'Get Started'!$G110&lt;&gt;0),IF(BT4&lt;'Get Started'!$H110,0,OFFSET(BT234,0,-1*'Get Started'!$H110)*'Get Started'!$F42),0)+IF(AND('Get Started'!$H109&lt;='Get Started'!$E27,'Get Started'!$G109&lt;&gt;0),IF(BT4&lt;'Get Started'!$H109,0,OFFSET(BT234,0,-1*'Get Started'!$H109)*'Get Started'!$E42*'Get Started'!$G109),0)</f>
        <v>0</v>
      </c>
      <c r="BU239" s="90">
        <f ca="1">IF(AND('Get Started'!$H112&lt;='Get Started'!$E27,'Get Started'!$G112&lt;&gt;0),IF(AND(BU4&lt;'Get Started'!$H112,'Get Started'!$H112&lt;='Get Started'!$E27),0,OFFSET(BU234,0,-1*'Get Started'!$H112)*'Get Started'!$H42),0)+IF(AND('Get Started'!$H111&lt;='Get Started'!$E27,'Get Started'!$G111&lt;&gt;0),IF(BU4&lt;'Get Started'!$H111,0,OFFSET(BU234,0,-1*'Get Started'!$H111)*'Get Started'!$G42),0)+IF(AND('Get Started'!$H110&lt;='Get Started'!$E27,'Get Started'!$G110&lt;&gt;0),IF(BU4&lt;'Get Started'!$H110,0,OFFSET(BU234,0,-1*'Get Started'!$H110)*'Get Started'!$F42),0)+IF(AND('Get Started'!$H109&lt;='Get Started'!$E27,'Get Started'!$G109&lt;&gt;0),IF(BU4&lt;'Get Started'!$H109,0,OFFSET(BU234,0,-1*'Get Started'!$H109)*'Get Started'!$E42*'Get Started'!$G109),0)</f>
        <v>0</v>
      </c>
      <c r="BV239" s="90">
        <f ca="1">IF(AND('Get Started'!$H112&lt;='Get Started'!$E27,'Get Started'!$G112&lt;&gt;0),IF(AND(BV4&lt;'Get Started'!$H112,'Get Started'!$H112&lt;='Get Started'!$E27),0,OFFSET(BV234,0,-1*'Get Started'!$H112)*'Get Started'!$H42),0)+IF(AND('Get Started'!$H111&lt;='Get Started'!$E27,'Get Started'!$G111&lt;&gt;0),IF(BV4&lt;'Get Started'!$H111,0,OFFSET(BV234,0,-1*'Get Started'!$H111)*'Get Started'!$G42),0)+IF(AND('Get Started'!$H110&lt;='Get Started'!$E27,'Get Started'!$G110&lt;&gt;0),IF(BV4&lt;'Get Started'!$H110,0,OFFSET(BV234,0,-1*'Get Started'!$H110)*'Get Started'!$F42),0)+IF(AND('Get Started'!$H109&lt;='Get Started'!$E27,'Get Started'!$G109&lt;&gt;0),IF(BV4&lt;'Get Started'!$H109,0,OFFSET(BV234,0,-1*'Get Started'!$H109)*'Get Started'!$E42*'Get Started'!$G109),0)</f>
        <v>0</v>
      </c>
      <c r="BW239" s="90">
        <f ca="1">IF(AND('Get Started'!$H112&lt;='Get Started'!$E27,'Get Started'!$G112&lt;&gt;0),IF(AND(BW4&lt;'Get Started'!$H112,'Get Started'!$H112&lt;='Get Started'!$E27),0,OFFSET(BW234,0,-1*'Get Started'!$H112)*'Get Started'!$H42),0)+IF(AND('Get Started'!$H111&lt;='Get Started'!$E27,'Get Started'!$G111&lt;&gt;0),IF(BW4&lt;'Get Started'!$H111,0,OFFSET(BW234,0,-1*'Get Started'!$H111)*'Get Started'!$G42),0)+IF(AND('Get Started'!$H110&lt;='Get Started'!$E27,'Get Started'!$G110&lt;&gt;0),IF(BW4&lt;'Get Started'!$H110,0,OFFSET(BW234,0,-1*'Get Started'!$H110)*'Get Started'!$F42),0)+IF(AND('Get Started'!$H109&lt;='Get Started'!$E27,'Get Started'!$G109&lt;&gt;0),IF(BW4&lt;'Get Started'!$H109,0,OFFSET(BW234,0,-1*'Get Started'!$H109)*'Get Started'!$E42*'Get Started'!$G109),0)</f>
        <v>0</v>
      </c>
      <c r="BX239" s="90">
        <f ca="1">IF(AND('Get Started'!$H112&lt;='Get Started'!$E27,'Get Started'!$G112&lt;&gt;0),IF(AND(BX4&lt;'Get Started'!$H112,'Get Started'!$H112&lt;='Get Started'!$E27),0,OFFSET(BX234,0,-1*'Get Started'!$H112)*'Get Started'!$H42),0)+IF(AND('Get Started'!$H111&lt;='Get Started'!$E27,'Get Started'!$G111&lt;&gt;0),IF(BX4&lt;'Get Started'!$H111,0,OFFSET(BX234,0,-1*'Get Started'!$H111)*'Get Started'!$G42),0)+IF(AND('Get Started'!$H110&lt;='Get Started'!$E27,'Get Started'!$G110&lt;&gt;0),IF(BX4&lt;'Get Started'!$H110,0,OFFSET(BX234,0,-1*'Get Started'!$H110)*'Get Started'!$F42),0)+IF(AND('Get Started'!$H109&lt;='Get Started'!$E27,'Get Started'!$G109&lt;&gt;0),IF(BX4&lt;'Get Started'!$H109,0,OFFSET(BX234,0,-1*'Get Started'!$H109)*'Get Started'!$E42*'Get Started'!$G109),0)</f>
        <v>0</v>
      </c>
      <c r="BY239" s="90">
        <f ca="1">IF(AND('Get Started'!$H112&lt;='Get Started'!$E27,'Get Started'!$G112&lt;&gt;0),IF(AND(BY4&lt;'Get Started'!$H112,'Get Started'!$H112&lt;='Get Started'!$E27),0,OFFSET(BY234,0,-1*'Get Started'!$H112)*'Get Started'!$H42),0)+IF(AND('Get Started'!$H111&lt;='Get Started'!$E27,'Get Started'!$G111&lt;&gt;0),IF(BY4&lt;'Get Started'!$H111,0,OFFSET(BY234,0,-1*'Get Started'!$H111)*'Get Started'!$G42),0)+IF(AND('Get Started'!$H110&lt;='Get Started'!$E27,'Get Started'!$G110&lt;&gt;0),IF(BY4&lt;'Get Started'!$H110,0,OFFSET(BY234,0,-1*'Get Started'!$H110)*'Get Started'!$F42),0)+IF(AND('Get Started'!$H109&lt;='Get Started'!$E27,'Get Started'!$G109&lt;&gt;0),IF(BY4&lt;'Get Started'!$H109,0,OFFSET(BY234,0,-1*'Get Started'!$H109)*'Get Started'!$E42*'Get Started'!$G109),0)</f>
        <v>0</v>
      </c>
      <c r="BZ239" s="90">
        <f ca="1">IF(AND('Get Started'!$H112&lt;='Get Started'!$E27,'Get Started'!$G112&lt;&gt;0),IF(AND(BZ4&lt;'Get Started'!$H112,'Get Started'!$H112&lt;='Get Started'!$E27),0,OFFSET(BZ234,0,-1*'Get Started'!$H112)*'Get Started'!$H42),0)+IF(AND('Get Started'!$H111&lt;='Get Started'!$E27,'Get Started'!$G111&lt;&gt;0),IF(BZ4&lt;'Get Started'!$H111,0,OFFSET(BZ234,0,-1*'Get Started'!$H111)*'Get Started'!$G42),0)+IF(AND('Get Started'!$H110&lt;='Get Started'!$E27,'Get Started'!$G110&lt;&gt;0),IF(BZ4&lt;'Get Started'!$H110,0,OFFSET(BZ234,0,-1*'Get Started'!$H110)*'Get Started'!$F42),0)+IF(AND('Get Started'!$H109&lt;='Get Started'!$E27,'Get Started'!$G109&lt;&gt;0),IF(BZ4&lt;'Get Started'!$H109,0,OFFSET(BZ234,0,-1*'Get Started'!$H109)*'Get Started'!$E42*'Get Started'!$G109),0)</f>
        <v>0</v>
      </c>
      <c r="CA239" s="90">
        <f ca="1">IF(AND('Get Started'!$H112&lt;='Get Started'!$E27,'Get Started'!$G112&lt;&gt;0),IF(AND(CA4&lt;'Get Started'!$H112,'Get Started'!$H112&lt;='Get Started'!$E27),0,OFFSET(CA234,0,-1*'Get Started'!$H112)*'Get Started'!$H42),0)+IF(AND('Get Started'!$H111&lt;='Get Started'!$E27,'Get Started'!$G111&lt;&gt;0),IF(CA4&lt;'Get Started'!$H111,0,OFFSET(CA234,0,-1*'Get Started'!$H111)*'Get Started'!$G42),0)+IF(AND('Get Started'!$H110&lt;='Get Started'!$E27,'Get Started'!$G110&lt;&gt;0),IF(CA4&lt;'Get Started'!$H110,0,OFFSET(CA234,0,-1*'Get Started'!$H110)*'Get Started'!$F42),0)+IF(AND('Get Started'!$H109&lt;='Get Started'!$E27,'Get Started'!$G109&lt;&gt;0),IF(CA4&lt;'Get Started'!$H109,0,OFFSET(CA234,0,-1*'Get Started'!$H109)*'Get Started'!$E42*'Get Started'!$G109),0)</f>
        <v>0</v>
      </c>
      <c r="CB239" s="90">
        <f ca="1">IF(AND('Get Started'!$H112&lt;='Get Started'!$E27,'Get Started'!$G112&lt;&gt;0),IF(AND(CB4&lt;'Get Started'!$H112,'Get Started'!$H112&lt;='Get Started'!$E27),0,OFFSET(CB234,0,-1*'Get Started'!$H112)*'Get Started'!$H42),0)+IF(AND('Get Started'!$H111&lt;='Get Started'!$E27,'Get Started'!$G111&lt;&gt;0),IF(CB4&lt;'Get Started'!$H111,0,OFFSET(CB234,0,-1*'Get Started'!$H111)*'Get Started'!$G42),0)+IF(AND('Get Started'!$H110&lt;='Get Started'!$E27,'Get Started'!$G110&lt;&gt;0),IF(CB4&lt;'Get Started'!$H110,0,OFFSET(CB234,0,-1*'Get Started'!$H110)*'Get Started'!$F42),0)+IF(AND('Get Started'!$H109&lt;='Get Started'!$E27,'Get Started'!$G109&lt;&gt;0),IF(CB4&lt;'Get Started'!$H109,0,OFFSET(CB234,0,-1*'Get Started'!$H109)*'Get Started'!$E42*'Get Started'!$G109),0)</f>
        <v>0</v>
      </c>
      <c r="CC239" s="90">
        <f ca="1">IF(AND('Get Started'!$H112&lt;='Get Started'!$E27,'Get Started'!$G112&lt;&gt;0),IF(AND(CC4&lt;'Get Started'!$H112,'Get Started'!$H112&lt;='Get Started'!$E27),0,OFFSET(CC234,0,-1*'Get Started'!$H112)*'Get Started'!$H42),0)+IF(AND('Get Started'!$H111&lt;='Get Started'!$E27,'Get Started'!$G111&lt;&gt;0),IF(CC4&lt;'Get Started'!$H111,0,OFFSET(CC234,0,-1*'Get Started'!$H111)*'Get Started'!$G42),0)+IF(AND('Get Started'!$H110&lt;='Get Started'!$E27,'Get Started'!$G110&lt;&gt;0),IF(CC4&lt;'Get Started'!$H110,0,OFFSET(CC234,0,-1*'Get Started'!$H110)*'Get Started'!$F42),0)+IF(AND('Get Started'!$H109&lt;='Get Started'!$E27,'Get Started'!$G109&lt;&gt;0),IF(CC4&lt;'Get Started'!$H109,0,OFFSET(CC234,0,-1*'Get Started'!$H109)*'Get Started'!$E42*'Get Started'!$G109),0)</f>
        <v>0</v>
      </c>
      <c r="CD239" s="90">
        <f ca="1">IF(AND('Get Started'!$H112&lt;='Get Started'!$E27,'Get Started'!$G112&lt;&gt;0),IF(AND(CD4&lt;'Get Started'!$H112,'Get Started'!$H112&lt;='Get Started'!$E27),0,OFFSET(CD234,0,-1*'Get Started'!$H112)*'Get Started'!$H42),0)+IF(AND('Get Started'!$H111&lt;='Get Started'!$E27,'Get Started'!$G111&lt;&gt;0),IF(CD4&lt;'Get Started'!$H111,0,OFFSET(CD234,0,-1*'Get Started'!$H111)*'Get Started'!$G42),0)+IF(AND('Get Started'!$H110&lt;='Get Started'!$E27,'Get Started'!$G110&lt;&gt;0),IF(CD4&lt;'Get Started'!$H110,0,OFFSET(CD234,0,-1*'Get Started'!$H110)*'Get Started'!$F42),0)+IF(AND('Get Started'!$H109&lt;='Get Started'!$E27,'Get Started'!$G109&lt;&gt;0),IF(CD4&lt;'Get Started'!$H109,0,OFFSET(CD234,0,-1*'Get Started'!$H109)*'Get Started'!$E42*'Get Started'!$G109),0)</f>
        <v>0</v>
      </c>
      <c r="CE239" s="90">
        <f ca="1">IF(AND('Get Started'!$H112&lt;='Get Started'!$E27,'Get Started'!$G112&lt;&gt;0),IF(AND(CE4&lt;'Get Started'!$H112,'Get Started'!$H112&lt;='Get Started'!$E27),0,OFFSET(CE234,0,-1*'Get Started'!$H112)*'Get Started'!$H42),0)+IF(AND('Get Started'!$H111&lt;='Get Started'!$E27,'Get Started'!$G111&lt;&gt;0),IF(CE4&lt;'Get Started'!$H111,0,OFFSET(CE234,0,-1*'Get Started'!$H111)*'Get Started'!$G42),0)+IF(AND('Get Started'!$H110&lt;='Get Started'!$E27,'Get Started'!$G110&lt;&gt;0),IF(CE4&lt;'Get Started'!$H110,0,OFFSET(CE234,0,-1*'Get Started'!$H110)*'Get Started'!$F42),0)+IF(AND('Get Started'!$H109&lt;='Get Started'!$E27,'Get Started'!$G109&lt;&gt;0),IF(CE4&lt;'Get Started'!$H109,0,OFFSET(CE234,0,-1*'Get Started'!$H109)*'Get Started'!$E42*'Get Started'!$G109),0)</f>
        <v>0</v>
      </c>
      <c r="CF239" s="90">
        <f ca="1">IF(AND('Get Started'!$H112&lt;='Get Started'!$E27,'Get Started'!$G112&lt;&gt;0),IF(AND(CF4&lt;'Get Started'!$H112,'Get Started'!$H112&lt;='Get Started'!$E27),0,OFFSET(CF234,0,-1*'Get Started'!$H112)*'Get Started'!$H42),0)+IF(AND('Get Started'!$H111&lt;='Get Started'!$E27,'Get Started'!$G111&lt;&gt;0),IF(CF4&lt;'Get Started'!$H111,0,OFFSET(CF234,0,-1*'Get Started'!$H111)*'Get Started'!$G42),0)+IF(AND('Get Started'!$H110&lt;='Get Started'!$E27,'Get Started'!$G110&lt;&gt;0),IF(CF4&lt;'Get Started'!$H110,0,OFFSET(CF234,0,-1*'Get Started'!$H110)*'Get Started'!$F42),0)+IF(AND('Get Started'!$H109&lt;='Get Started'!$E27,'Get Started'!$G109&lt;&gt;0),IF(CF4&lt;'Get Started'!$H109,0,OFFSET(CF234,0,-1*'Get Started'!$H109)*'Get Started'!$E42*'Get Started'!$G109),0)</f>
        <v>0</v>
      </c>
      <c r="CG239" s="90">
        <f ca="1">IF(AND('Get Started'!$H112&lt;='Get Started'!$E27,'Get Started'!$G112&lt;&gt;0),IF(AND(CG4&lt;'Get Started'!$H112,'Get Started'!$H112&lt;='Get Started'!$E27),0,OFFSET(CG234,0,-1*'Get Started'!$H112)*'Get Started'!$H42),0)+IF(AND('Get Started'!$H111&lt;='Get Started'!$E27,'Get Started'!$G111&lt;&gt;0),IF(CG4&lt;'Get Started'!$H111,0,OFFSET(CG234,0,-1*'Get Started'!$H111)*'Get Started'!$G42),0)+IF(AND('Get Started'!$H110&lt;='Get Started'!$E27,'Get Started'!$G110&lt;&gt;0),IF(CG4&lt;'Get Started'!$H110,0,OFFSET(CG234,0,-1*'Get Started'!$H110)*'Get Started'!$F42),0)+IF(AND('Get Started'!$H109&lt;='Get Started'!$E27,'Get Started'!$G109&lt;&gt;0),IF(CG4&lt;'Get Started'!$H109,0,OFFSET(CG234,0,-1*'Get Started'!$H109)*'Get Started'!$E42*'Get Started'!$G109),0)</f>
        <v>0</v>
      </c>
      <c r="CH239" s="90">
        <f ca="1">IF(AND('Get Started'!$H112&lt;='Get Started'!$E27,'Get Started'!$G112&lt;&gt;0),IF(AND(CH4&lt;'Get Started'!$H112,'Get Started'!$H112&lt;='Get Started'!$E27),0,OFFSET(CH234,0,-1*'Get Started'!$H112)*'Get Started'!$H42),0)+IF(AND('Get Started'!$H111&lt;='Get Started'!$E27,'Get Started'!$G111&lt;&gt;0),IF(CH4&lt;'Get Started'!$H111,0,OFFSET(CH234,0,-1*'Get Started'!$H111)*'Get Started'!$G42),0)+IF(AND('Get Started'!$H110&lt;='Get Started'!$E27,'Get Started'!$G110&lt;&gt;0),IF(CH4&lt;'Get Started'!$H110,0,OFFSET(CH234,0,-1*'Get Started'!$H110)*'Get Started'!$F42),0)+IF(AND('Get Started'!$H109&lt;='Get Started'!$E27,'Get Started'!$G109&lt;&gt;0),IF(CH4&lt;'Get Started'!$H109,0,OFFSET(CH234,0,-1*'Get Started'!$H109)*'Get Started'!$E42*'Get Started'!$G109),0)</f>
        <v>0</v>
      </c>
    </row>
    <row r="240" spans="1:86" ht="13" outlineLevel="1">
      <c r="B240" s="13" t="s">
        <v>335</v>
      </c>
      <c r="C240" s="13"/>
      <c r="D240" s="13" t="s">
        <v>238</v>
      </c>
      <c r="E240" s="88">
        <f t="shared" ca="1" si="172"/>
        <v>3.8500000000000006E-2</v>
      </c>
      <c r="F240" s="48"/>
      <c r="G240" s="90">
        <f ca="1">IF('Get Started'!$E28="invested capital",G239,IF('Get Started'!$E28="invested capital plus cost basis",G238,G237))*G11</f>
        <v>0</v>
      </c>
      <c r="H240" s="90">
        <f ca="1">IF('Get Started'!$E28="invested capital",H239,IF('Get Started'!$E28="invested capital plus cost basis",H238,H237))*H11</f>
        <v>0</v>
      </c>
      <c r="I240" s="90">
        <f ca="1">IF('Get Started'!$E28="invested capital",I239,IF('Get Started'!$E28="invested capital plus cost basis",I238,I237))*I11</f>
        <v>0</v>
      </c>
      <c r="J240" s="90">
        <f ca="1">IF('Get Started'!$E28="invested capital",J239,IF('Get Started'!$E28="invested capital plus cost basis",J238,J237))*J11</f>
        <v>0</v>
      </c>
      <c r="K240" s="90">
        <f ca="1">IF('Get Started'!$E28="invested capital",K239,IF('Get Started'!$E28="invested capital plus cost basis",K238,K237))*K11</f>
        <v>0</v>
      </c>
      <c r="L240" s="90">
        <f ca="1">IF('Get Started'!$E28="invested capital",L239,IF('Get Started'!$E28="invested capital plus cost basis",L238,L237))*L11</f>
        <v>0</v>
      </c>
      <c r="M240" s="90">
        <f ca="1">IF('Get Started'!$E28="invested capital",M239,IF('Get Started'!$E28="invested capital plus cost basis",M238,M237))*M11</f>
        <v>0</v>
      </c>
      <c r="N240" s="90">
        <f ca="1">IF('Get Started'!$E28="invested capital",N239,IF('Get Started'!$E28="invested capital plus cost basis",N238,N237))*N11</f>
        <v>0</v>
      </c>
      <c r="O240" s="90">
        <f ca="1">IF('Get Started'!$E28="invested capital",O239,IF('Get Started'!$E28="invested capital plus cost basis",O238,O237))*O11</f>
        <v>0</v>
      </c>
      <c r="P240" s="90">
        <f ca="1">IF('Get Started'!$E28="invested capital",P239,IF('Get Started'!$E28="invested capital plus cost basis",P238,P237))*P11</f>
        <v>0</v>
      </c>
      <c r="Q240" s="90">
        <f ca="1">IF('Get Started'!$E28="invested capital",Q239,IF('Get Started'!$E28="invested capital plus cost basis",Q238,Q237))*Q11</f>
        <v>0</v>
      </c>
      <c r="R240" s="90">
        <f ca="1">IF('Get Started'!$E28="invested capital",R239,IF('Get Started'!$E28="invested capital plus cost basis",R238,R237))*R11</f>
        <v>0</v>
      </c>
      <c r="S240" s="90">
        <f ca="1">IF('Get Started'!$E28="invested capital",S239,IF('Get Started'!$E28="invested capital plus cost basis",S238,S237))*S11</f>
        <v>9.6250000000000016E-3</v>
      </c>
      <c r="T240" s="90">
        <f ca="1">IF('Get Started'!$E28="invested capital",T239,IF('Get Started'!$E28="invested capital plus cost basis",T238,T237))*T11</f>
        <v>9.6250000000000016E-3</v>
      </c>
      <c r="U240" s="90">
        <f ca="1">IF('Get Started'!$E28="invested capital",U239,IF('Get Started'!$E28="invested capital plus cost basis",U238,U237))*U11</f>
        <v>9.6250000000000016E-3</v>
      </c>
      <c r="V240" s="90">
        <f ca="1">IF('Get Started'!$E28="invested capital",V239,IF('Get Started'!$E28="invested capital plus cost basis",V238,V237))*V11</f>
        <v>9.6250000000000016E-3</v>
      </c>
      <c r="W240" s="90">
        <f ca="1">IF('Get Started'!$E28="invested capital",W239,IF('Get Started'!$E28="invested capital plus cost basis",W238,W237))*W11</f>
        <v>0</v>
      </c>
      <c r="X240" s="90">
        <f ca="1">IF('Get Started'!$E28="invested capital",X239,IF('Get Started'!$E28="invested capital plus cost basis",X238,X237))*X11</f>
        <v>0</v>
      </c>
      <c r="Y240" s="90">
        <f ca="1">IF('Get Started'!$E28="invested capital",Y239,IF('Get Started'!$E28="invested capital plus cost basis",Y238,Y237))*Y11</f>
        <v>0</v>
      </c>
      <c r="Z240" s="90">
        <f ca="1">IF('Get Started'!$E28="invested capital",Z239,IF('Get Started'!$E28="invested capital plus cost basis",Z238,Z237))*Z11</f>
        <v>0</v>
      </c>
      <c r="AA240" s="90">
        <f ca="1">IF('Get Started'!$E28="invested capital",AA239,IF('Get Started'!$E28="invested capital plus cost basis",AA238,AA237))*AA11</f>
        <v>0</v>
      </c>
      <c r="AB240" s="90">
        <f ca="1">IF('Get Started'!$E28="invested capital",AB239,IF('Get Started'!$E28="invested capital plus cost basis",AB238,AB237))*AB11</f>
        <v>0</v>
      </c>
      <c r="AC240" s="90">
        <f ca="1">IF('Get Started'!$E28="invested capital",AC239,IF('Get Started'!$E28="invested capital plus cost basis",AC238,AC237))*AC11</f>
        <v>0</v>
      </c>
      <c r="AD240" s="90">
        <f ca="1">IF('Get Started'!$E28="invested capital",AD239,IF('Get Started'!$E28="invested capital plus cost basis",AD238,AD237))*AD11</f>
        <v>0</v>
      </c>
      <c r="AE240" s="90">
        <f ca="1">IF('Get Started'!$E28="invested capital",AE239,IF('Get Started'!$E28="invested capital plus cost basis",AE238,AE237))*AE11</f>
        <v>0</v>
      </c>
      <c r="AF240" s="90">
        <f ca="1">IF('Get Started'!$E28="invested capital",AF239,IF('Get Started'!$E28="invested capital plus cost basis",AF238,AF237))*AF11</f>
        <v>0</v>
      </c>
      <c r="AG240" s="90">
        <f ca="1">IF('Get Started'!$E28="invested capital",AG239,IF('Get Started'!$E28="invested capital plus cost basis",AG238,AG237))*AG11</f>
        <v>0</v>
      </c>
      <c r="AH240" s="90">
        <f ca="1">IF('Get Started'!$E28="invested capital",AH239,IF('Get Started'!$E28="invested capital plus cost basis",AH238,AH237))*AH11</f>
        <v>0</v>
      </c>
      <c r="AI240" s="90">
        <f ca="1">IF('Get Started'!$E28="invested capital",AI239,IF('Get Started'!$E28="invested capital plus cost basis",AI238,AI237))*AI11</f>
        <v>0</v>
      </c>
      <c r="AJ240" s="90">
        <f ca="1">IF('Get Started'!$E28="invested capital",AJ239,IF('Get Started'!$E28="invested capital plus cost basis",AJ238,AJ237))*AJ11</f>
        <v>0</v>
      </c>
      <c r="AK240" s="90">
        <f ca="1">IF('Get Started'!$E28="invested capital",AK239,IF('Get Started'!$E28="invested capital plus cost basis",AK238,AK237))*AK11</f>
        <v>0</v>
      </c>
      <c r="AL240" s="90">
        <f ca="1">IF('Get Started'!$E28="invested capital",AL239,IF('Get Started'!$E28="invested capital plus cost basis",AL238,AL237))*AL11</f>
        <v>0</v>
      </c>
      <c r="AM240" s="90">
        <f ca="1">IF('Get Started'!$E28="invested capital",AM239,IF('Get Started'!$E28="invested capital plus cost basis",AM238,AM237))*AM11</f>
        <v>0</v>
      </c>
      <c r="AN240" s="90">
        <f ca="1">IF('Get Started'!$E28="invested capital",AN239,IF('Get Started'!$E28="invested capital plus cost basis",AN238,AN237))*AN11</f>
        <v>0</v>
      </c>
      <c r="AO240" s="90">
        <f ca="1">IF('Get Started'!$E28="invested capital",AO239,IF('Get Started'!$E28="invested capital plus cost basis",AO238,AO237))*AO11</f>
        <v>0</v>
      </c>
      <c r="AP240" s="90">
        <f ca="1">IF('Get Started'!$E28="invested capital",AP239,IF('Get Started'!$E28="invested capital plus cost basis",AP238,AP237))*AP11</f>
        <v>0</v>
      </c>
      <c r="AQ240" s="90">
        <f ca="1">IF('Get Started'!$E28="invested capital",AQ239,IF('Get Started'!$E28="invested capital plus cost basis",AQ238,AQ237))*AQ11</f>
        <v>0</v>
      </c>
      <c r="AR240" s="90">
        <f ca="1">IF('Get Started'!$E28="invested capital",AR239,IF('Get Started'!$E28="invested capital plus cost basis",AR238,AR237))*AR11</f>
        <v>0</v>
      </c>
      <c r="AS240" s="90">
        <f ca="1">IF('Get Started'!$E28="invested capital",AS239,IF('Get Started'!$E28="invested capital plus cost basis",AS238,AS237))*AS11</f>
        <v>0</v>
      </c>
      <c r="AT240" s="90">
        <f ca="1">IF('Get Started'!$E28="invested capital",AT239,IF('Get Started'!$E28="invested capital plus cost basis",AT238,AT237))*AT11</f>
        <v>0</v>
      </c>
      <c r="AU240" s="90">
        <f ca="1">IF('Get Started'!$E28="invested capital",AU239,IF('Get Started'!$E28="invested capital plus cost basis",AU238,AU237))*AU11</f>
        <v>0</v>
      </c>
      <c r="AV240" s="90">
        <f ca="1">IF('Get Started'!$E28="invested capital",AV239,IF('Get Started'!$E28="invested capital plus cost basis",AV238,AV237))*AV11</f>
        <v>0</v>
      </c>
      <c r="AW240" s="90">
        <f ca="1">IF('Get Started'!$E28="invested capital",AW239,IF('Get Started'!$E28="invested capital plus cost basis",AW238,AW237))*AW11</f>
        <v>0</v>
      </c>
      <c r="AX240" s="90">
        <f ca="1">IF('Get Started'!$E28="invested capital",AX239,IF('Get Started'!$E28="invested capital plus cost basis",AX238,AX237))*AX11</f>
        <v>0</v>
      </c>
      <c r="AY240" s="90">
        <f ca="1">IF('Get Started'!$E28="invested capital",AY239,IF('Get Started'!$E28="invested capital plus cost basis",AY238,AY237))*AY11</f>
        <v>0</v>
      </c>
      <c r="AZ240" s="90">
        <f ca="1">IF('Get Started'!$E28="invested capital",AZ239,IF('Get Started'!$E28="invested capital plus cost basis",AZ238,AZ237))*AZ11</f>
        <v>0</v>
      </c>
      <c r="BA240" s="90">
        <f ca="1">IF('Get Started'!$E28="invested capital",BA239,IF('Get Started'!$E28="invested capital plus cost basis",BA238,BA237))*BA11</f>
        <v>0</v>
      </c>
      <c r="BB240" s="90">
        <f ca="1">IF('Get Started'!$E28="invested capital",BB239,IF('Get Started'!$E28="invested capital plus cost basis",BB238,BB237))*BB11</f>
        <v>0</v>
      </c>
      <c r="BC240" s="90">
        <f ca="1">IF('Get Started'!$E28="invested capital",BC239,IF('Get Started'!$E28="invested capital plus cost basis",BC238,BC237))*BC11</f>
        <v>0</v>
      </c>
      <c r="BD240" s="90">
        <f ca="1">IF('Get Started'!$E28="invested capital",BD239,IF('Get Started'!$E28="invested capital plus cost basis",BD238,BD237))*BD11</f>
        <v>0</v>
      </c>
      <c r="BE240" s="90">
        <f ca="1">IF('Get Started'!$E28="invested capital",BE239,IF('Get Started'!$E28="invested capital plus cost basis",BE238,BE237))*BE11</f>
        <v>0</v>
      </c>
      <c r="BF240" s="90">
        <f ca="1">IF('Get Started'!$E28="invested capital",BF239,IF('Get Started'!$E28="invested capital plus cost basis",BF238,BF237))*BF11</f>
        <v>0</v>
      </c>
      <c r="BG240" s="90">
        <f ca="1">IF('Get Started'!$E28="invested capital",BG239,IF('Get Started'!$E28="invested capital plus cost basis",BG238,BG237))*BG11</f>
        <v>0</v>
      </c>
      <c r="BH240" s="90">
        <f ca="1">IF('Get Started'!$E28="invested capital",BH239,IF('Get Started'!$E28="invested capital plus cost basis",BH238,BH237))*BH11</f>
        <v>0</v>
      </c>
      <c r="BI240" s="90">
        <f ca="1">IF('Get Started'!$E28="invested capital",BI239,IF('Get Started'!$E28="invested capital plus cost basis",BI238,BI237))*BI11</f>
        <v>0</v>
      </c>
      <c r="BJ240" s="90">
        <f ca="1">IF('Get Started'!$E28="invested capital",BJ239,IF('Get Started'!$E28="invested capital plus cost basis",BJ238,BJ237))*BJ11</f>
        <v>0</v>
      </c>
      <c r="BK240" s="90">
        <f ca="1">IF('Get Started'!$E28="invested capital",BK239,IF('Get Started'!$E28="invested capital plus cost basis",BK238,BK237))*BK11</f>
        <v>0</v>
      </c>
      <c r="BL240" s="90">
        <f ca="1">IF('Get Started'!$E28="invested capital",BL239,IF('Get Started'!$E28="invested capital plus cost basis",BL238,BL237))*BL11</f>
        <v>0</v>
      </c>
      <c r="BM240" s="90">
        <f ca="1">IF('Get Started'!$E28="invested capital",BM239,IF('Get Started'!$E28="invested capital plus cost basis",BM238,BM237))*BM11</f>
        <v>0</v>
      </c>
      <c r="BN240" s="90">
        <f ca="1">IF('Get Started'!$E28="invested capital",BN239,IF('Get Started'!$E28="invested capital plus cost basis",BN238,BN237))*BN11</f>
        <v>0</v>
      </c>
      <c r="BO240" s="90">
        <f ca="1">IF('Get Started'!$E28="invested capital",BO239,IF('Get Started'!$E28="invested capital plus cost basis",BO238,BO237))*BO11</f>
        <v>0</v>
      </c>
      <c r="BP240" s="90">
        <f ca="1">IF('Get Started'!$E28="invested capital",BP239,IF('Get Started'!$E28="invested capital plus cost basis",BP238,BP237))*BP11</f>
        <v>0</v>
      </c>
      <c r="BQ240" s="90">
        <f ca="1">IF('Get Started'!$E28="invested capital",BQ239,IF('Get Started'!$E28="invested capital plus cost basis",BQ238,BQ237))*BQ11</f>
        <v>0</v>
      </c>
      <c r="BR240" s="90">
        <f ca="1">IF('Get Started'!$E28="invested capital",BR239,IF('Get Started'!$E28="invested capital plus cost basis",BR238,BR237))*BR11</f>
        <v>0</v>
      </c>
      <c r="BS240" s="90">
        <f ca="1">IF('Get Started'!$E28="invested capital",BS239,IF('Get Started'!$E28="invested capital plus cost basis",BS238,BS237))*BS11</f>
        <v>0</v>
      </c>
      <c r="BT240" s="90">
        <f ca="1">IF('Get Started'!$E28="invested capital",BT239,IF('Get Started'!$E28="invested capital plus cost basis",BT238,BT237))*BT11</f>
        <v>0</v>
      </c>
      <c r="BU240" s="90">
        <f ca="1">IF('Get Started'!$E28="invested capital",BU239,IF('Get Started'!$E28="invested capital plus cost basis",BU238,BU237))*BU11</f>
        <v>0</v>
      </c>
      <c r="BV240" s="90">
        <f ca="1">IF('Get Started'!$E28="invested capital",BV239,IF('Get Started'!$E28="invested capital plus cost basis",BV238,BV237))*BV11</f>
        <v>0</v>
      </c>
      <c r="BW240" s="90">
        <f ca="1">IF('Get Started'!$E28="invested capital",BW239,IF('Get Started'!$E28="invested capital plus cost basis",BW238,BW237))*BW11</f>
        <v>0</v>
      </c>
      <c r="BX240" s="90">
        <f ca="1">IF('Get Started'!$E28="invested capital",BX239,IF('Get Started'!$E28="invested capital plus cost basis",BX238,BX237))*BX11</f>
        <v>0</v>
      </c>
      <c r="BY240" s="90">
        <f ca="1">IF('Get Started'!$E28="invested capital",BY239,IF('Get Started'!$E28="invested capital plus cost basis",BY238,BY237))*BY11</f>
        <v>0</v>
      </c>
      <c r="BZ240" s="90">
        <f ca="1">IF('Get Started'!$E28="invested capital",BZ239,IF('Get Started'!$E28="invested capital plus cost basis",BZ238,BZ237))*BZ11</f>
        <v>0</v>
      </c>
      <c r="CA240" s="90">
        <f ca="1">IF('Get Started'!$E28="invested capital",CA239,IF('Get Started'!$E28="invested capital plus cost basis",CA238,CA237))*CA11</f>
        <v>0</v>
      </c>
      <c r="CB240" s="90">
        <f ca="1">IF('Get Started'!$E28="invested capital",CB239,IF('Get Started'!$E28="invested capital plus cost basis",CB238,CB237))*CB11</f>
        <v>0</v>
      </c>
      <c r="CC240" s="90">
        <f ca="1">IF('Get Started'!$E28="invested capital",CC239,IF('Get Started'!$E28="invested capital plus cost basis",CC238,CC237))*CC11</f>
        <v>0</v>
      </c>
      <c r="CD240" s="90">
        <f ca="1">IF('Get Started'!$E28="invested capital",CD239,IF('Get Started'!$E28="invested capital plus cost basis",CD238,CD237))*CD11</f>
        <v>0</v>
      </c>
      <c r="CE240" s="90">
        <f ca="1">IF('Get Started'!$E28="invested capital",CE239,IF('Get Started'!$E28="invested capital plus cost basis",CE238,CE237))*CE11</f>
        <v>0</v>
      </c>
      <c r="CF240" s="90">
        <f ca="1">IF('Get Started'!$E28="invested capital",CF239,IF('Get Started'!$E28="invested capital plus cost basis",CF238,CF237))*CF11</f>
        <v>0</v>
      </c>
      <c r="CG240" s="90">
        <f ca="1">IF('Get Started'!$E28="invested capital",CG239,IF('Get Started'!$E28="invested capital plus cost basis",CG238,CG237))*CG11</f>
        <v>0</v>
      </c>
      <c r="CH240" s="90">
        <f ca="1">IF('Get Started'!$E28="invested capital",CH239,IF('Get Started'!$E28="invested capital plus cost basis",CH238,CH237))*CH11</f>
        <v>0</v>
      </c>
    </row>
    <row r="241" spans="1:86" ht="13" outlineLevel="1">
      <c r="A241" s="13"/>
      <c r="B241" s="13" t="s">
        <v>336</v>
      </c>
      <c r="C241" s="13"/>
      <c r="D241" s="13" t="s">
        <v>247</v>
      </c>
      <c r="E241" s="88">
        <f t="shared" si="172"/>
        <v>3.0000000000000016E-2</v>
      </c>
      <c r="F241" s="48"/>
      <c r="G241" s="90">
        <f t="shared" ref="G241:CH241" si="181">F241+G217</f>
        <v>7.5000000000000002E-4</v>
      </c>
      <c r="H241" s="90">
        <f t="shared" si="181"/>
        <v>1.5E-3</v>
      </c>
      <c r="I241" s="90">
        <f t="shared" si="181"/>
        <v>2.2500000000000003E-3</v>
      </c>
      <c r="J241" s="90">
        <f t="shared" si="181"/>
        <v>3.0000000000000001E-3</v>
      </c>
      <c r="K241" s="90">
        <f t="shared" si="181"/>
        <v>3.7499999999999999E-3</v>
      </c>
      <c r="L241" s="90">
        <f t="shared" si="181"/>
        <v>4.4999999999999997E-3</v>
      </c>
      <c r="M241" s="90">
        <f t="shared" si="181"/>
        <v>5.2499999999999995E-3</v>
      </c>
      <c r="N241" s="90">
        <f t="shared" si="181"/>
        <v>5.9999999999999993E-3</v>
      </c>
      <c r="O241" s="90">
        <f t="shared" si="181"/>
        <v>6.7499999999999991E-3</v>
      </c>
      <c r="P241" s="90">
        <f t="shared" si="181"/>
        <v>7.4999999999999989E-3</v>
      </c>
      <c r="Q241" s="90">
        <f t="shared" si="181"/>
        <v>8.2499999999999987E-3</v>
      </c>
      <c r="R241" s="90">
        <f t="shared" si="181"/>
        <v>8.9999999999999993E-3</v>
      </c>
      <c r="S241" s="90">
        <f t="shared" si="181"/>
        <v>9.75E-3</v>
      </c>
      <c r="T241" s="90">
        <f t="shared" si="181"/>
        <v>1.0500000000000001E-2</v>
      </c>
      <c r="U241" s="90">
        <f t="shared" si="181"/>
        <v>1.1250000000000001E-2</v>
      </c>
      <c r="V241" s="90">
        <f t="shared" si="181"/>
        <v>1.2000000000000002E-2</v>
      </c>
      <c r="W241" s="90">
        <f t="shared" si="181"/>
        <v>1.2750000000000003E-2</v>
      </c>
      <c r="X241" s="90">
        <f t="shared" si="181"/>
        <v>1.3500000000000003E-2</v>
      </c>
      <c r="Y241" s="90">
        <f t="shared" si="181"/>
        <v>1.4250000000000004E-2</v>
      </c>
      <c r="Z241" s="90">
        <f t="shared" si="181"/>
        <v>1.5000000000000005E-2</v>
      </c>
      <c r="AA241" s="90">
        <f t="shared" si="181"/>
        <v>1.5750000000000004E-2</v>
      </c>
      <c r="AB241" s="90">
        <f t="shared" si="181"/>
        <v>1.6500000000000004E-2</v>
      </c>
      <c r="AC241" s="90">
        <f t="shared" si="181"/>
        <v>1.7250000000000005E-2</v>
      </c>
      <c r="AD241" s="90">
        <f t="shared" si="181"/>
        <v>1.8000000000000006E-2</v>
      </c>
      <c r="AE241" s="90">
        <f t="shared" si="181"/>
        <v>1.8750000000000006E-2</v>
      </c>
      <c r="AF241" s="90">
        <f t="shared" si="181"/>
        <v>1.9500000000000007E-2</v>
      </c>
      <c r="AG241" s="90">
        <f t="shared" si="181"/>
        <v>2.0250000000000008E-2</v>
      </c>
      <c r="AH241" s="90">
        <f t="shared" si="181"/>
        <v>2.1000000000000008E-2</v>
      </c>
      <c r="AI241" s="90">
        <f t="shared" si="181"/>
        <v>2.1750000000000009E-2</v>
      </c>
      <c r="AJ241" s="90">
        <f t="shared" si="181"/>
        <v>2.250000000000001E-2</v>
      </c>
      <c r="AK241" s="90">
        <f t="shared" si="181"/>
        <v>2.325000000000001E-2</v>
      </c>
      <c r="AL241" s="90">
        <f t="shared" si="181"/>
        <v>2.4000000000000011E-2</v>
      </c>
      <c r="AM241" s="90">
        <f t="shared" si="181"/>
        <v>2.4750000000000012E-2</v>
      </c>
      <c r="AN241" s="90">
        <f t="shared" si="181"/>
        <v>2.5500000000000012E-2</v>
      </c>
      <c r="AO241" s="90">
        <f t="shared" si="181"/>
        <v>2.6250000000000013E-2</v>
      </c>
      <c r="AP241" s="90">
        <f t="shared" si="181"/>
        <v>2.7000000000000014E-2</v>
      </c>
      <c r="AQ241" s="90">
        <f t="shared" si="181"/>
        <v>2.7750000000000014E-2</v>
      </c>
      <c r="AR241" s="90">
        <f t="shared" si="181"/>
        <v>2.8500000000000015E-2</v>
      </c>
      <c r="AS241" s="90">
        <f t="shared" si="181"/>
        <v>2.9250000000000016E-2</v>
      </c>
      <c r="AT241" s="90">
        <f t="shared" si="181"/>
        <v>3.0000000000000016E-2</v>
      </c>
      <c r="AU241" s="90">
        <f t="shared" si="181"/>
        <v>3.0000000000000016E-2</v>
      </c>
      <c r="AV241" s="90">
        <f t="shared" si="181"/>
        <v>3.0000000000000016E-2</v>
      </c>
      <c r="AW241" s="90">
        <f t="shared" si="181"/>
        <v>3.0000000000000016E-2</v>
      </c>
      <c r="AX241" s="90">
        <f t="shared" si="181"/>
        <v>3.0000000000000016E-2</v>
      </c>
      <c r="AY241" s="90">
        <f t="shared" si="181"/>
        <v>3.0000000000000016E-2</v>
      </c>
      <c r="AZ241" s="90">
        <f t="shared" si="181"/>
        <v>3.0000000000000016E-2</v>
      </c>
      <c r="BA241" s="90">
        <f t="shared" si="181"/>
        <v>3.0000000000000016E-2</v>
      </c>
      <c r="BB241" s="90">
        <f t="shared" si="181"/>
        <v>3.0000000000000016E-2</v>
      </c>
      <c r="BC241" s="90">
        <f t="shared" si="181"/>
        <v>3.0000000000000016E-2</v>
      </c>
      <c r="BD241" s="90">
        <f t="shared" si="181"/>
        <v>3.0000000000000016E-2</v>
      </c>
      <c r="BE241" s="90">
        <f t="shared" si="181"/>
        <v>3.0000000000000016E-2</v>
      </c>
      <c r="BF241" s="90">
        <f t="shared" si="181"/>
        <v>3.0000000000000016E-2</v>
      </c>
      <c r="BG241" s="90">
        <f t="shared" si="181"/>
        <v>3.0000000000000016E-2</v>
      </c>
      <c r="BH241" s="90">
        <f t="shared" si="181"/>
        <v>3.0000000000000016E-2</v>
      </c>
      <c r="BI241" s="90">
        <f t="shared" si="181"/>
        <v>3.0000000000000016E-2</v>
      </c>
      <c r="BJ241" s="90">
        <f t="shared" si="181"/>
        <v>3.0000000000000016E-2</v>
      </c>
      <c r="BK241" s="90">
        <f t="shared" si="181"/>
        <v>3.0000000000000016E-2</v>
      </c>
      <c r="BL241" s="90">
        <f t="shared" si="181"/>
        <v>3.0000000000000016E-2</v>
      </c>
      <c r="BM241" s="90">
        <f t="shared" si="181"/>
        <v>3.0000000000000016E-2</v>
      </c>
      <c r="BN241" s="90">
        <f t="shared" si="181"/>
        <v>3.0000000000000016E-2</v>
      </c>
      <c r="BO241" s="90">
        <f t="shared" si="181"/>
        <v>3.0000000000000016E-2</v>
      </c>
      <c r="BP241" s="90">
        <f t="shared" si="181"/>
        <v>3.0000000000000016E-2</v>
      </c>
      <c r="BQ241" s="90">
        <f t="shared" si="181"/>
        <v>3.0000000000000016E-2</v>
      </c>
      <c r="BR241" s="90">
        <f t="shared" si="181"/>
        <v>3.0000000000000016E-2</v>
      </c>
      <c r="BS241" s="90">
        <f t="shared" si="181"/>
        <v>3.0000000000000016E-2</v>
      </c>
      <c r="BT241" s="90">
        <f t="shared" si="181"/>
        <v>3.0000000000000016E-2</v>
      </c>
      <c r="BU241" s="90">
        <f t="shared" si="181"/>
        <v>3.0000000000000016E-2</v>
      </c>
      <c r="BV241" s="90">
        <f t="shared" si="181"/>
        <v>3.0000000000000016E-2</v>
      </c>
      <c r="BW241" s="90">
        <f t="shared" si="181"/>
        <v>3.0000000000000016E-2</v>
      </c>
      <c r="BX241" s="90">
        <f t="shared" si="181"/>
        <v>3.0000000000000016E-2</v>
      </c>
      <c r="BY241" s="90">
        <f t="shared" si="181"/>
        <v>3.0000000000000016E-2</v>
      </c>
      <c r="BZ241" s="90">
        <f t="shared" si="181"/>
        <v>3.0000000000000016E-2</v>
      </c>
      <c r="CA241" s="90">
        <f t="shared" si="181"/>
        <v>3.0000000000000016E-2</v>
      </c>
      <c r="CB241" s="90">
        <f t="shared" si="181"/>
        <v>3.0000000000000016E-2</v>
      </c>
      <c r="CC241" s="90">
        <f t="shared" si="181"/>
        <v>3.0000000000000016E-2</v>
      </c>
      <c r="CD241" s="90">
        <f t="shared" si="181"/>
        <v>3.0000000000000016E-2</v>
      </c>
      <c r="CE241" s="90">
        <f t="shared" si="181"/>
        <v>3.0000000000000016E-2</v>
      </c>
      <c r="CF241" s="90">
        <f t="shared" si="181"/>
        <v>3.0000000000000016E-2</v>
      </c>
      <c r="CG241" s="90">
        <f t="shared" si="181"/>
        <v>3.0000000000000016E-2</v>
      </c>
      <c r="CH241" s="90">
        <f t="shared" si="181"/>
        <v>3.0000000000000016E-2</v>
      </c>
    </row>
    <row r="242" spans="1:86" ht="13" outlineLevel="1">
      <c r="A242" s="13"/>
      <c r="B242" s="13" t="str">
        <f t="shared" ref="B242:B243" si="182">"cumulative "&amp;B218</f>
        <v>cumulative management fees</v>
      </c>
      <c r="C242" s="13"/>
      <c r="D242" s="13" t="s">
        <v>247</v>
      </c>
      <c r="E242" s="88">
        <f t="shared" si="172"/>
        <v>0.19599999999999984</v>
      </c>
      <c r="F242" s="48"/>
      <c r="G242" s="90">
        <f t="shared" ref="G242:CH242" si="183">F242+G218</f>
        <v>4.8999999999999998E-3</v>
      </c>
      <c r="H242" s="90">
        <f t="shared" si="183"/>
        <v>9.7999999999999997E-3</v>
      </c>
      <c r="I242" s="90">
        <f t="shared" si="183"/>
        <v>1.47E-2</v>
      </c>
      <c r="J242" s="90">
        <f t="shared" si="183"/>
        <v>1.9599999999999999E-2</v>
      </c>
      <c r="K242" s="90">
        <f t="shared" si="183"/>
        <v>2.4500000000000001E-2</v>
      </c>
      <c r="L242" s="90">
        <f t="shared" si="183"/>
        <v>2.9400000000000003E-2</v>
      </c>
      <c r="M242" s="90">
        <f t="shared" si="183"/>
        <v>3.4300000000000004E-2</v>
      </c>
      <c r="N242" s="90">
        <f t="shared" si="183"/>
        <v>3.9200000000000006E-2</v>
      </c>
      <c r="O242" s="90">
        <f t="shared" si="183"/>
        <v>4.4100000000000007E-2</v>
      </c>
      <c r="P242" s="90">
        <f t="shared" si="183"/>
        <v>4.9000000000000009E-2</v>
      </c>
      <c r="Q242" s="90">
        <f t="shared" si="183"/>
        <v>5.390000000000001E-2</v>
      </c>
      <c r="R242" s="90">
        <f t="shared" si="183"/>
        <v>5.8800000000000012E-2</v>
      </c>
      <c r="S242" s="90">
        <f t="shared" si="183"/>
        <v>6.3700000000000007E-2</v>
      </c>
      <c r="T242" s="90">
        <f t="shared" si="183"/>
        <v>6.8600000000000008E-2</v>
      </c>
      <c r="U242" s="90">
        <f t="shared" si="183"/>
        <v>7.350000000000001E-2</v>
      </c>
      <c r="V242" s="90">
        <f t="shared" si="183"/>
        <v>7.8400000000000011E-2</v>
      </c>
      <c r="W242" s="90">
        <f t="shared" si="183"/>
        <v>8.3300000000000013E-2</v>
      </c>
      <c r="X242" s="90">
        <f t="shared" si="183"/>
        <v>8.8200000000000014E-2</v>
      </c>
      <c r="Y242" s="90">
        <f t="shared" si="183"/>
        <v>9.3100000000000016E-2</v>
      </c>
      <c r="Z242" s="90">
        <f t="shared" si="183"/>
        <v>9.8000000000000018E-2</v>
      </c>
      <c r="AA242" s="90">
        <f t="shared" si="183"/>
        <v>0.10290000000000002</v>
      </c>
      <c r="AB242" s="90">
        <f t="shared" si="183"/>
        <v>0.10780000000000002</v>
      </c>
      <c r="AC242" s="90">
        <f t="shared" si="183"/>
        <v>0.11270000000000002</v>
      </c>
      <c r="AD242" s="90">
        <f t="shared" si="183"/>
        <v>0.11760000000000002</v>
      </c>
      <c r="AE242" s="90">
        <f t="shared" si="183"/>
        <v>0.12250000000000003</v>
      </c>
      <c r="AF242" s="90">
        <f t="shared" si="183"/>
        <v>0.12740000000000001</v>
      </c>
      <c r="AG242" s="90">
        <f t="shared" si="183"/>
        <v>0.1323</v>
      </c>
      <c r="AH242" s="90">
        <f t="shared" si="183"/>
        <v>0.13719999999999999</v>
      </c>
      <c r="AI242" s="90">
        <f t="shared" si="183"/>
        <v>0.14209999999999998</v>
      </c>
      <c r="AJ242" s="90">
        <f t="shared" si="183"/>
        <v>0.14699999999999996</v>
      </c>
      <c r="AK242" s="90">
        <f t="shared" si="183"/>
        <v>0.15189999999999995</v>
      </c>
      <c r="AL242" s="90">
        <f t="shared" si="183"/>
        <v>0.15679999999999994</v>
      </c>
      <c r="AM242" s="90">
        <f t="shared" si="183"/>
        <v>0.16169999999999993</v>
      </c>
      <c r="AN242" s="90">
        <f t="shared" si="183"/>
        <v>0.16659999999999991</v>
      </c>
      <c r="AO242" s="90">
        <f t="shared" si="183"/>
        <v>0.1714999999999999</v>
      </c>
      <c r="AP242" s="90">
        <f t="shared" si="183"/>
        <v>0.17639999999999989</v>
      </c>
      <c r="AQ242" s="90">
        <f t="shared" si="183"/>
        <v>0.18129999999999988</v>
      </c>
      <c r="AR242" s="90">
        <f t="shared" si="183"/>
        <v>0.18619999999999987</v>
      </c>
      <c r="AS242" s="90">
        <f t="shared" si="183"/>
        <v>0.19109999999999985</v>
      </c>
      <c r="AT242" s="90">
        <f t="shared" si="183"/>
        <v>0.19599999999999984</v>
      </c>
      <c r="AU242" s="90">
        <f t="shared" si="183"/>
        <v>0.19599999999999984</v>
      </c>
      <c r="AV242" s="90">
        <f t="shared" si="183"/>
        <v>0.19599999999999984</v>
      </c>
      <c r="AW242" s="90">
        <f t="shared" si="183"/>
        <v>0.19599999999999984</v>
      </c>
      <c r="AX242" s="90">
        <f t="shared" si="183"/>
        <v>0.19599999999999984</v>
      </c>
      <c r="AY242" s="90">
        <f t="shared" si="183"/>
        <v>0.19599999999999984</v>
      </c>
      <c r="AZ242" s="90">
        <f t="shared" si="183"/>
        <v>0.19599999999999984</v>
      </c>
      <c r="BA242" s="90">
        <f t="shared" si="183"/>
        <v>0.19599999999999984</v>
      </c>
      <c r="BB242" s="90">
        <f t="shared" si="183"/>
        <v>0.19599999999999984</v>
      </c>
      <c r="BC242" s="90">
        <f t="shared" si="183"/>
        <v>0.19599999999999984</v>
      </c>
      <c r="BD242" s="90">
        <f t="shared" si="183"/>
        <v>0.19599999999999984</v>
      </c>
      <c r="BE242" s="90">
        <f t="shared" si="183"/>
        <v>0.19599999999999984</v>
      </c>
      <c r="BF242" s="90">
        <f t="shared" si="183"/>
        <v>0.19599999999999984</v>
      </c>
      <c r="BG242" s="90">
        <f t="shared" si="183"/>
        <v>0.19599999999999984</v>
      </c>
      <c r="BH242" s="90">
        <f t="shared" si="183"/>
        <v>0.19599999999999984</v>
      </c>
      <c r="BI242" s="90">
        <f t="shared" si="183"/>
        <v>0.19599999999999984</v>
      </c>
      <c r="BJ242" s="90">
        <f t="shared" si="183"/>
        <v>0.19599999999999984</v>
      </c>
      <c r="BK242" s="90">
        <f t="shared" si="183"/>
        <v>0.19599999999999984</v>
      </c>
      <c r="BL242" s="90">
        <f t="shared" si="183"/>
        <v>0.19599999999999984</v>
      </c>
      <c r="BM242" s="90">
        <f t="shared" si="183"/>
        <v>0.19599999999999984</v>
      </c>
      <c r="BN242" s="90">
        <f t="shared" si="183"/>
        <v>0.19599999999999984</v>
      </c>
      <c r="BO242" s="90">
        <f t="shared" si="183"/>
        <v>0.19599999999999984</v>
      </c>
      <c r="BP242" s="90">
        <f t="shared" si="183"/>
        <v>0.19599999999999984</v>
      </c>
      <c r="BQ242" s="90">
        <f t="shared" si="183"/>
        <v>0.19599999999999984</v>
      </c>
      <c r="BR242" s="90">
        <f t="shared" si="183"/>
        <v>0.19599999999999984</v>
      </c>
      <c r="BS242" s="90">
        <f t="shared" si="183"/>
        <v>0.19599999999999984</v>
      </c>
      <c r="BT242" s="90">
        <f t="shared" si="183"/>
        <v>0.19599999999999984</v>
      </c>
      <c r="BU242" s="90">
        <f t="shared" si="183"/>
        <v>0.19599999999999984</v>
      </c>
      <c r="BV242" s="90">
        <f t="shared" si="183"/>
        <v>0.19599999999999984</v>
      </c>
      <c r="BW242" s="90">
        <f t="shared" si="183"/>
        <v>0.19599999999999984</v>
      </c>
      <c r="BX242" s="90">
        <f t="shared" si="183"/>
        <v>0.19599999999999984</v>
      </c>
      <c r="BY242" s="90">
        <f t="shared" si="183"/>
        <v>0.19599999999999984</v>
      </c>
      <c r="BZ242" s="90">
        <f t="shared" si="183"/>
        <v>0.19599999999999984</v>
      </c>
      <c r="CA242" s="90">
        <f t="shared" si="183"/>
        <v>0.19599999999999984</v>
      </c>
      <c r="CB242" s="90">
        <f t="shared" si="183"/>
        <v>0.19599999999999984</v>
      </c>
      <c r="CC242" s="90">
        <f t="shared" si="183"/>
        <v>0.19599999999999984</v>
      </c>
      <c r="CD242" s="90">
        <f t="shared" si="183"/>
        <v>0.19599999999999984</v>
      </c>
      <c r="CE242" s="90">
        <f t="shared" si="183"/>
        <v>0.19599999999999984</v>
      </c>
      <c r="CF242" s="90">
        <f t="shared" si="183"/>
        <v>0.19599999999999984</v>
      </c>
      <c r="CG242" s="90">
        <f t="shared" si="183"/>
        <v>0.19599999999999984</v>
      </c>
      <c r="CH242" s="90">
        <f t="shared" si="183"/>
        <v>0.19599999999999984</v>
      </c>
    </row>
    <row r="243" spans="1:86" ht="13" outlineLevel="1">
      <c r="A243" s="13"/>
      <c r="B243" s="13" t="str">
        <f t="shared" si="182"/>
        <v>cumulative proceeds recycled</v>
      </c>
      <c r="C243" s="13"/>
      <c r="D243" s="13" t="s">
        <v>247</v>
      </c>
      <c r="E243" s="88">
        <f t="shared" ca="1" si="172"/>
        <v>3.8500000000000006E-2</v>
      </c>
      <c r="F243" s="48"/>
      <c r="G243" s="90">
        <f t="shared" ref="G243:CH243" ca="1" si="184">F243+G219</f>
        <v>0</v>
      </c>
      <c r="H243" s="90">
        <f t="shared" ca="1" si="184"/>
        <v>0</v>
      </c>
      <c r="I243" s="90">
        <f t="shared" ca="1" si="184"/>
        <v>0</v>
      </c>
      <c r="J243" s="90">
        <f t="shared" ca="1" si="184"/>
        <v>0</v>
      </c>
      <c r="K243" s="90">
        <f t="shared" ca="1" si="184"/>
        <v>0</v>
      </c>
      <c r="L243" s="90">
        <f t="shared" ca="1" si="184"/>
        <v>0</v>
      </c>
      <c r="M243" s="90">
        <f t="shared" ca="1" si="184"/>
        <v>0</v>
      </c>
      <c r="N243" s="90">
        <f t="shared" ca="1" si="184"/>
        <v>0</v>
      </c>
      <c r="O243" s="90">
        <f t="shared" ca="1" si="184"/>
        <v>0</v>
      </c>
      <c r="P243" s="90">
        <f t="shared" ca="1" si="184"/>
        <v>0</v>
      </c>
      <c r="Q243" s="90">
        <f t="shared" ca="1" si="184"/>
        <v>0</v>
      </c>
      <c r="R243" s="90">
        <f t="shared" ca="1" si="184"/>
        <v>0</v>
      </c>
      <c r="S243" s="90">
        <f t="shared" ca="1" si="184"/>
        <v>9.6250000000000016E-3</v>
      </c>
      <c r="T243" s="90">
        <f t="shared" ca="1" si="184"/>
        <v>1.9250000000000003E-2</v>
      </c>
      <c r="U243" s="90">
        <f t="shared" ca="1" si="184"/>
        <v>2.8875000000000005E-2</v>
      </c>
      <c r="V243" s="90">
        <f t="shared" ca="1" si="184"/>
        <v>3.8500000000000006E-2</v>
      </c>
      <c r="W243" s="90">
        <f t="shared" ca="1" si="184"/>
        <v>3.8500000000000006E-2</v>
      </c>
      <c r="X243" s="90">
        <f t="shared" ca="1" si="184"/>
        <v>3.8500000000000006E-2</v>
      </c>
      <c r="Y243" s="90">
        <f t="shared" ca="1" si="184"/>
        <v>3.8500000000000006E-2</v>
      </c>
      <c r="Z243" s="90">
        <f t="shared" ca="1" si="184"/>
        <v>3.8500000000000006E-2</v>
      </c>
      <c r="AA243" s="90">
        <f t="shared" ca="1" si="184"/>
        <v>3.8500000000000006E-2</v>
      </c>
      <c r="AB243" s="90">
        <f t="shared" ca="1" si="184"/>
        <v>3.8500000000000006E-2</v>
      </c>
      <c r="AC243" s="90">
        <f t="shared" ca="1" si="184"/>
        <v>3.8500000000000006E-2</v>
      </c>
      <c r="AD243" s="90">
        <f t="shared" ca="1" si="184"/>
        <v>3.8500000000000006E-2</v>
      </c>
      <c r="AE243" s="90">
        <f t="shared" ca="1" si="184"/>
        <v>3.8500000000000006E-2</v>
      </c>
      <c r="AF243" s="90">
        <f t="shared" ca="1" si="184"/>
        <v>3.8500000000000006E-2</v>
      </c>
      <c r="AG243" s="90">
        <f t="shared" ca="1" si="184"/>
        <v>3.8500000000000006E-2</v>
      </c>
      <c r="AH243" s="90">
        <f t="shared" ca="1" si="184"/>
        <v>3.8500000000000006E-2</v>
      </c>
      <c r="AI243" s="90">
        <f t="shared" ca="1" si="184"/>
        <v>3.8500000000000006E-2</v>
      </c>
      <c r="AJ243" s="90">
        <f t="shared" ca="1" si="184"/>
        <v>3.8500000000000006E-2</v>
      </c>
      <c r="AK243" s="90">
        <f t="shared" ca="1" si="184"/>
        <v>3.8500000000000006E-2</v>
      </c>
      <c r="AL243" s="90">
        <f t="shared" ca="1" si="184"/>
        <v>3.8500000000000006E-2</v>
      </c>
      <c r="AM243" s="90">
        <f t="shared" ca="1" si="184"/>
        <v>3.8500000000000006E-2</v>
      </c>
      <c r="AN243" s="90">
        <f t="shared" ca="1" si="184"/>
        <v>3.8500000000000006E-2</v>
      </c>
      <c r="AO243" s="90">
        <f t="shared" ca="1" si="184"/>
        <v>3.8500000000000006E-2</v>
      </c>
      <c r="AP243" s="90">
        <f t="shared" ca="1" si="184"/>
        <v>3.8500000000000006E-2</v>
      </c>
      <c r="AQ243" s="90">
        <f t="shared" ca="1" si="184"/>
        <v>3.8500000000000006E-2</v>
      </c>
      <c r="AR243" s="90">
        <f t="shared" ca="1" si="184"/>
        <v>3.8500000000000006E-2</v>
      </c>
      <c r="AS243" s="90">
        <f t="shared" ca="1" si="184"/>
        <v>3.8500000000000006E-2</v>
      </c>
      <c r="AT243" s="90">
        <f t="shared" ca="1" si="184"/>
        <v>3.8500000000000006E-2</v>
      </c>
      <c r="AU243" s="90">
        <f t="shared" ca="1" si="184"/>
        <v>3.8500000000000006E-2</v>
      </c>
      <c r="AV243" s="90">
        <f t="shared" ca="1" si="184"/>
        <v>3.8500000000000006E-2</v>
      </c>
      <c r="AW243" s="90">
        <f t="shared" ca="1" si="184"/>
        <v>3.8500000000000006E-2</v>
      </c>
      <c r="AX243" s="90">
        <f t="shared" ca="1" si="184"/>
        <v>3.8500000000000006E-2</v>
      </c>
      <c r="AY243" s="90">
        <f t="shared" ca="1" si="184"/>
        <v>3.8500000000000006E-2</v>
      </c>
      <c r="AZ243" s="90">
        <f t="shared" ca="1" si="184"/>
        <v>3.8500000000000006E-2</v>
      </c>
      <c r="BA243" s="90">
        <f t="shared" ca="1" si="184"/>
        <v>3.8500000000000006E-2</v>
      </c>
      <c r="BB243" s="90">
        <f t="shared" ca="1" si="184"/>
        <v>3.8500000000000006E-2</v>
      </c>
      <c r="BC243" s="90">
        <f t="shared" ca="1" si="184"/>
        <v>3.8500000000000006E-2</v>
      </c>
      <c r="BD243" s="90">
        <f t="shared" ca="1" si="184"/>
        <v>3.8500000000000006E-2</v>
      </c>
      <c r="BE243" s="90">
        <f t="shared" ca="1" si="184"/>
        <v>3.8500000000000006E-2</v>
      </c>
      <c r="BF243" s="90">
        <f t="shared" ca="1" si="184"/>
        <v>3.8500000000000006E-2</v>
      </c>
      <c r="BG243" s="90">
        <f t="shared" ca="1" si="184"/>
        <v>3.8500000000000006E-2</v>
      </c>
      <c r="BH243" s="90">
        <f t="shared" ca="1" si="184"/>
        <v>3.8500000000000006E-2</v>
      </c>
      <c r="BI243" s="90">
        <f t="shared" ca="1" si="184"/>
        <v>3.8500000000000006E-2</v>
      </c>
      <c r="BJ243" s="90">
        <f t="shared" ca="1" si="184"/>
        <v>3.8500000000000006E-2</v>
      </c>
      <c r="BK243" s="90">
        <f t="shared" ca="1" si="184"/>
        <v>3.8500000000000006E-2</v>
      </c>
      <c r="BL243" s="90">
        <f t="shared" ca="1" si="184"/>
        <v>3.8500000000000006E-2</v>
      </c>
      <c r="BM243" s="90">
        <f t="shared" ca="1" si="184"/>
        <v>3.8500000000000006E-2</v>
      </c>
      <c r="BN243" s="90">
        <f t="shared" ca="1" si="184"/>
        <v>3.8500000000000006E-2</v>
      </c>
      <c r="BO243" s="90">
        <f t="shared" ca="1" si="184"/>
        <v>3.8500000000000006E-2</v>
      </c>
      <c r="BP243" s="90">
        <f t="shared" ca="1" si="184"/>
        <v>3.8500000000000006E-2</v>
      </c>
      <c r="BQ243" s="90">
        <f t="shared" ca="1" si="184"/>
        <v>3.8500000000000006E-2</v>
      </c>
      <c r="BR243" s="90">
        <f t="shared" ca="1" si="184"/>
        <v>3.8500000000000006E-2</v>
      </c>
      <c r="BS243" s="90">
        <f t="shared" ca="1" si="184"/>
        <v>3.8500000000000006E-2</v>
      </c>
      <c r="BT243" s="90">
        <f t="shared" ca="1" si="184"/>
        <v>3.8500000000000006E-2</v>
      </c>
      <c r="BU243" s="90">
        <f t="shared" ca="1" si="184"/>
        <v>3.8500000000000006E-2</v>
      </c>
      <c r="BV243" s="90">
        <f t="shared" ca="1" si="184"/>
        <v>3.8500000000000006E-2</v>
      </c>
      <c r="BW243" s="90">
        <f t="shared" ca="1" si="184"/>
        <v>3.8500000000000006E-2</v>
      </c>
      <c r="BX243" s="90">
        <f t="shared" ca="1" si="184"/>
        <v>3.8500000000000006E-2</v>
      </c>
      <c r="BY243" s="90">
        <f t="shared" ca="1" si="184"/>
        <v>3.8500000000000006E-2</v>
      </c>
      <c r="BZ243" s="90">
        <f t="shared" ca="1" si="184"/>
        <v>3.8500000000000006E-2</v>
      </c>
      <c r="CA243" s="90">
        <f t="shared" ca="1" si="184"/>
        <v>3.8500000000000006E-2</v>
      </c>
      <c r="CB243" s="90">
        <f t="shared" ca="1" si="184"/>
        <v>3.8500000000000006E-2</v>
      </c>
      <c r="CC243" s="90">
        <f t="shared" ca="1" si="184"/>
        <v>3.8500000000000006E-2</v>
      </c>
      <c r="CD243" s="90">
        <f t="shared" ca="1" si="184"/>
        <v>3.8500000000000006E-2</v>
      </c>
      <c r="CE243" s="90">
        <f t="shared" ca="1" si="184"/>
        <v>3.8500000000000006E-2</v>
      </c>
      <c r="CF243" s="90">
        <f t="shared" ca="1" si="184"/>
        <v>3.8500000000000006E-2</v>
      </c>
      <c r="CG243" s="90">
        <f t="shared" ca="1" si="184"/>
        <v>3.8500000000000006E-2</v>
      </c>
      <c r="CH243" s="90">
        <f t="shared" ca="1" si="184"/>
        <v>3.8500000000000006E-2</v>
      </c>
    </row>
    <row r="244" spans="1:86" ht="13" outlineLevel="1">
      <c r="A244" s="13"/>
      <c r="B244" s="13"/>
      <c r="C244" s="13"/>
      <c r="D244" s="13"/>
      <c r="E244" s="91"/>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row>
    <row r="245" spans="1:86" ht="13" outlineLevel="1">
      <c r="A245" s="13"/>
      <c r="B245" s="44" t="s">
        <v>337</v>
      </c>
      <c r="C245" s="13"/>
      <c r="D245" s="13"/>
      <c r="E245" s="48"/>
      <c r="F245" s="48"/>
      <c r="G245" s="89"/>
      <c r="H245" s="89"/>
      <c r="I245" s="89"/>
      <c r="J245" s="89"/>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row>
    <row r="246" spans="1:86" ht="13" outlineLevel="1">
      <c r="A246" s="13"/>
      <c r="B246" s="13" t="s">
        <v>328</v>
      </c>
      <c r="C246" s="13"/>
      <c r="D246" s="13" t="s">
        <v>238</v>
      </c>
      <c r="E246" s="88">
        <f t="shared" ref="E246:E267" si="185">IF(D246="sum",SUM(G246:CH246),IF(D246="final",CH246,IF(D246="initial",G246,IF(D246="average",AVERAGE(G246:CH246),0))))</f>
        <v>0.59999999999999987</v>
      </c>
      <c r="F246" s="48"/>
      <c r="G246" s="52">
        <f>G8*G8/$E8*'Get Started'!$E82</f>
        <v>3.7499999999999999E-2</v>
      </c>
      <c r="H246" s="52">
        <f>H8*H8/$E8*'Get Started'!$E82</f>
        <v>3.7499999999999999E-2</v>
      </c>
      <c r="I246" s="52">
        <f>I8*I8/$E8*'Get Started'!$E82</f>
        <v>3.7499999999999999E-2</v>
      </c>
      <c r="J246" s="52">
        <f>J8*J8/$E8*'Get Started'!$E82</f>
        <v>3.7499999999999999E-2</v>
      </c>
      <c r="K246" s="52">
        <f>K8*K8/$E8*'Get Started'!$E82</f>
        <v>3.7499999999999999E-2</v>
      </c>
      <c r="L246" s="52">
        <f>L8*L8/$E8*'Get Started'!$E82</f>
        <v>3.7499999999999999E-2</v>
      </c>
      <c r="M246" s="52">
        <f>M8*M8/$E8*'Get Started'!$E82</f>
        <v>3.7499999999999999E-2</v>
      </c>
      <c r="N246" s="52">
        <f>N8*N8/$E8*'Get Started'!$E82</f>
        <v>3.7499999999999999E-2</v>
      </c>
      <c r="O246" s="52">
        <f>O8*O8/$E8*'Get Started'!$E82</f>
        <v>3.7499999999999999E-2</v>
      </c>
      <c r="P246" s="52">
        <f>P8*P8/$E8*'Get Started'!$E82</f>
        <v>3.7499999999999999E-2</v>
      </c>
      <c r="Q246" s="52">
        <f>Q8*Q8/$E8*'Get Started'!$E82</f>
        <v>3.7499999999999999E-2</v>
      </c>
      <c r="R246" s="52">
        <f>R8*R8/$E8*'Get Started'!$E82</f>
        <v>3.7499999999999999E-2</v>
      </c>
      <c r="S246" s="52">
        <f>S8*S8/$E8*'Get Started'!$E82</f>
        <v>3.7499999999999999E-2</v>
      </c>
      <c r="T246" s="52">
        <f>T8*T8/$E8*'Get Started'!$E82</f>
        <v>3.7499999999999999E-2</v>
      </c>
      <c r="U246" s="52">
        <f>U8*U8/$E8*'Get Started'!$E82</f>
        <v>3.7499999999999999E-2</v>
      </c>
      <c r="V246" s="52">
        <f>V8*V8/$E8*'Get Started'!$E82</f>
        <v>3.7499999999999999E-2</v>
      </c>
      <c r="W246" s="52">
        <f>W8*W8/$E8*'Get Started'!$E82</f>
        <v>0</v>
      </c>
      <c r="X246" s="52">
        <f>X8*X8/$E8*'Get Started'!$E82</f>
        <v>0</v>
      </c>
      <c r="Y246" s="52">
        <f>Y8*Y8/$E8*'Get Started'!$E82</f>
        <v>0</v>
      </c>
      <c r="Z246" s="52">
        <f>Z8*Z8/$E8*'Get Started'!$E82</f>
        <v>0</v>
      </c>
      <c r="AA246" s="52">
        <f>AA8*AA8/$E8*'Get Started'!$E82</f>
        <v>0</v>
      </c>
      <c r="AB246" s="52">
        <f>AB8*AB8/$E8*'Get Started'!$E82</f>
        <v>0</v>
      </c>
      <c r="AC246" s="52">
        <f>AC8*AC8/$E8*'Get Started'!$E82</f>
        <v>0</v>
      </c>
      <c r="AD246" s="52">
        <f>AD8*AD8/$E8*'Get Started'!$E82</f>
        <v>0</v>
      </c>
      <c r="AE246" s="52">
        <f>AE8*AE8/$E8*'Get Started'!$E82</f>
        <v>0</v>
      </c>
      <c r="AF246" s="52">
        <f>AF8*AF8/$E8*'Get Started'!$E82</f>
        <v>0</v>
      </c>
      <c r="AG246" s="52">
        <f>AG8*AG8/$E8*'Get Started'!$E82</f>
        <v>0</v>
      </c>
      <c r="AH246" s="52">
        <f>AH8*AH8/$E8*'Get Started'!$E82</f>
        <v>0</v>
      </c>
      <c r="AI246" s="52">
        <f>AI8*AI8/$E8*'Get Started'!$E82</f>
        <v>0</v>
      </c>
      <c r="AJ246" s="52">
        <f>AJ8*AJ8/$E8*'Get Started'!$E82</f>
        <v>0</v>
      </c>
      <c r="AK246" s="52">
        <f>AK8*AK8/$E8*'Get Started'!$E82</f>
        <v>0</v>
      </c>
      <c r="AL246" s="52">
        <f>AL8*AL8/$E8*'Get Started'!$E82</f>
        <v>0</v>
      </c>
      <c r="AM246" s="52">
        <f>AM8*AM8/$E8*'Get Started'!$E82</f>
        <v>0</v>
      </c>
      <c r="AN246" s="52">
        <f>AN8*AN8/$E8*'Get Started'!$E82</f>
        <v>0</v>
      </c>
      <c r="AO246" s="52">
        <f>AO8*AO8/$E8*'Get Started'!$E82</f>
        <v>0</v>
      </c>
      <c r="AP246" s="52">
        <f>AP8*AP8/$E8*'Get Started'!$E82</f>
        <v>0</v>
      </c>
      <c r="AQ246" s="52">
        <f>AQ8*AQ8/$E8*'Get Started'!$E82</f>
        <v>0</v>
      </c>
      <c r="AR246" s="52">
        <f>AR8*AR8/$E8*'Get Started'!$E82</f>
        <v>0</v>
      </c>
      <c r="AS246" s="52">
        <f>AS8*AS8/$E8*'Get Started'!$E82</f>
        <v>0</v>
      </c>
      <c r="AT246" s="52">
        <f>AT8*AT8/$E8*'Get Started'!$E82</f>
        <v>0</v>
      </c>
      <c r="AU246" s="52">
        <f>AU8*AU8/$E8*'Get Started'!$E82</f>
        <v>0</v>
      </c>
      <c r="AV246" s="52">
        <f>AV8*AV8/$E8*'Get Started'!$E82</f>
        <v>0</v>
      </c>
      <c r="AW246" s="52">
        <f>AW8*AW8/$E8*'Get Started'!$E82</f>
        <v>0</v>
      </c>
      <c r="AX246" s="52">
        <f>AX8*AX8/$E8*'Get Started'!$E82</f>
        <v>0</v>
      </c>
      <c r="AY246" s="52">
        <f>AY8*AY8/$E8*'Get Started'!$E82</f>
        <v>0</v>
      </c>
      <c r="AZ246" s="52">
        <f>AZ8*AZ8/$E8*'Get Started'!$E82</f>
        <v>0</v>
      </c>
      <c r="BA246" s="52">
        <f>BA8*BA8/$E8*'Get Started'!$E82</f>
        <v>0</v>
      </c>
      <c r="BB246" s="52">
        <f>BB8*BB8/$E8*'Get Started'!$E82</f>
        <v>0</v>
      </c>
      <c r="BC246" s="52">
        <f>BC8*BC8/$E8*'Get Started'!$E82</f>
        <v>0</v>
      </c>
      <c r="BD246" s="52">
        <f>BD8*BD8/$E8*'Get Started'!$E82</f>
        <v>0</v>
      </c>
      <c r="BE246" s="52">
        <f>BE8*BE8/$E8*'Get Started'!$E82</f>
        <v>0</v>
      </c>
      <c r="BF246" s="52">
        <f>BF8*BF8/$E8*'Get Started'!$E82</f>
        <v>0</v>
      </c>
      <c r="BG246" s="52">
        <f>BG8*BG8/$E8*'Get Started'!$E82</f>
        <v>0</v>
      </c>
      <c r="BH246" s="52">
        <f>BH8*BH8/$E8*'Get Started'!$E82</f>
        <v>0</v>
      </c>
      <c r="BI246" s="52">
        <f>BI8*BI8/$E8*'Get Started'!$E82</f>
        <v>0</v>
      </c>
      <c r="BJ246" s="52">
        <f>BJ8*BJ8/$E8*'Get Started'!$E82</f>
        <v>0</v>
      </c>
      <c r="BK246" s="52">
        <f>BK8*BK8/$E8*'Get Started'!$E82</f>
        <v>0</v>
      </c>
      <c r="BL246" s="52">
        <f>BL8*BL8/$E8*'Get Started'!$E82</f>
        <v>0</v>
      </c>
      <c r="BM246" s="52">
        <f>BM8*BM8/$E8*'Get Started'!$E82</f>
        <v>0</v>
      </c>
      <c r="BN246" s="52">
        <f>BN8*BN8/$E8*'Get Started'!$E82</f>
        <v>0</v>
      </c>
      <c r="BO246" s="52">
        <f>BO8*BO8/$E8*'Get Started'!$E82</f>
        <v>0</v>
      </c>
      <c r="BP246" s="52">
        <f>BP8*BP8/$E8*'Get Started'!$E82</f>
        <v>0</v>
      </c>
      <c r="BQ246" s="52">
        <f>BQ8*BQ8/$E8*'Get Started'!$E82</f>
        <v>0</v>
      </c>
      <c r="BR246" s="52">
        <f>BR8*BR8/$E8*'Get Started'!$E82</f>
        <v>0</v>
      </c>
      <c r="BS246" s="52">
        <f>BS8*BS8/$E8*'Get Started'!$E82</f>
        <v>0</v>
      </c>
      <c r="BT246" s="52">
        <f>BT8*BT8/$E8*'Get Started'!$E82</f>
        <v>0</v>
      </c>
      <c r="BU246" s="52">
        <f>BU8*BU8/$E8*'Get Started'!$E82</f>
        <v>0</v>
      </c>
      <c r="BV246" s="52">
        <f>BV8*BV8/$E8*'Get Started'!$E82</f>
        <v>0</v>
      </c>
      <c r="BW246" s="52">
        <f>BW8*BW8/$E8*'Get Started'!$E82</f>
        <v>0</v>
      </c>
      <c r="BX246" s="52">
        <f>BX8*BX8/$E8*'Get Started'!$E82</f>
        <v>0</v>
      </c>
      <c r="BY246" s="52">
        <f>BY8*BY8/$E8*'Get Started'!$E82</f>
        <v>0</v>
      </c>
      <c r="BZ246" s="52">
        <f>BZ8*BZ8/$E8*'Get Started'!$E82</f>
        <v>0</v>
      </c>
      <c r="CA246" s="52">
        <f>CA8*CA8/$E8*'Get Started'!$E82</f>
        <v>0</v>
      </c>
      <c r="CB246" s="52">
        <f>CB8*CB8/$E8*'Get Started'!$E82</f>
        <v>0</v>
      </c>
      <c r="CC246" s="52">
        <f>CC8*CC8/$E8*'Get Started'!$E82</f>
        <v>0</v>
      </c>
      <c r="CD246" s="52">
        <f>CD8*CD8/$E8*'Get Started'!$E82</f>
        <v>0</v>
      </c>
      <c r="CE246" s="52">
        <f>CE8*CE8/$E8*'Get Started'!$E82</f>
        <v>0</v>
      </c>
      <c r="CF246" s="52">
        <f>CF8*CF8/$E8*'Get Started'!$E82</f>
        <v>0</v>
      </c>
      <c r="CG246" s="52">
        <f>CG8*CG8/$E8*'Get Started'!$E82</f>
        <v>0</v>
      </c>
      <c r="CH246" s="52">
        <f>CH8*CH8/$E8*'Get Started'!$E82</f>
        <v>0</v>
      </c>
    </row>
    <row r="247" spans="1:86" ht="13" outlineLevel="1">
      <c r="A247" s="13"/>
      <c r="B247" s="13" t="s">
        <v>328</v>
      </c>
      <c r="C247" s="13"/>
      <c r="D247" s="13" t="s">
        <v>238</v>
      </c>
      <c r="E247" s="88">
        <f t="shared" si="185"/>
        <v>0.20000000000000004</v>
      </c>
      <c r="F247" s="48"/>
      <c r="G247" s="52">
        <f>G8*G8/$E8*'Get Started'!$F82</f>
        <v>1.2500000000000001E-2</v>
      </c>
      <c r="H247" s="52">
        <f>H8*H8/$E8*'Get Started'!$F82</f>
        <v>1.2500000000000001E-2</v>
      </c>
      <c r="I247" s="52">
        <f>I8*I8/$E8*'Get Started'!$F82</f>
        <v>1.2500000000000001E-2</v>
      </c>
      <c r="J247" s="52">
        <f>J8*J8/$E8*'Get Started'!$F82</f>
        <v>1.2500000000000001E-2</v>
      </c>
      <c r="K247" s="52">
        <f>K8*K8/$E8*'Get Started'!$F82</f>
        <v>1.2500000000000001E-2</v>
      </c>
      <c r="L247" s="52">
        <f>L8*L8/$E8*'Get Started'!$F82</f>
        <v>1.2500000000000001E-2</v>
      </c>
      <c r="M247" s="52">
        <f>M8*M8/$E8*'Get Started'!$F82</f>
        <v>1.2500000000000001E-2</v>
      </c>
      <c r="N247" s="52">
        <f>N8*N8/$E8*'Get Started'!$F82</f>
        <v>1.2500000000000001E-2</v>
      </c>
      <c r="O247" s="52">
        <f>O8*O8/$E8*'Get Started'!$F82</f>
        <v>1.2500000000000001E-2</v>
      </c>
      <c r="P247" s="52">
        <f>P8*P8/$E8*'Get Started'!$F82</f>
        <v>1.2500000000000001E-2</v>
      </c>
      <c r="Q247" s="52">
        <f>Q8*Q8/$E8*'Get Started'!$F82</f>
        <v>1.2500000000000001E-2</v>
      </c>
      <c r="R247" s="52">
        <f>R8*R8/$E8*'Get Started'!$F82</f>
        <v>1.2500000000000001E-2</v>
      </c>
      <c r="S247" s="52">
        <f>S8*S8/$E8*'Get Started'!$F82</f>
        <v>1.2500000000000001E-2</v>
      </c>
      <c r="T247" s="52">
        <f>T8*T8/$E8*'Get Started'!$F82</f>
        <v>1.2500000000000001E-2</v>
      </c>
      <c r="U247" s="52">
        <f>U8*U8/$E8*'Get Started'!$F82</f>
        <v>1.2500000000000001E-2</v>
      </c>
      <c r="V247" s="52">
        <f>V8*V8/$E8*'Get Started'!$F82</f>
        <v>1.2500000000000001E-2</v>
      </c>
      <c r="W247" s="52">
        <f>W8*W8/$E8*'Get Started'!$F82</f>
        <v>0</v>
      </c>
      <c r="X247" s="52">
        <f>X8*X8/$E8*'Get Started'!$F82</f>
        <v>0</v>
      </c>
      <c r="Y247" s="52">
        <f>Y8*Y8/$E8*'Get Started'!$F82</f>
        <v>0</v>
      </c>
      <c r="Z247" s="52">
        <f>Z8*Z8/$E8*'Get Started'!$F82</f>
        <v>0</v>
      </c>
      <c r="AA247" s="52">
        <f>AA8*AA8/$E8*'Get Started'!$F82</f>
        <v>0</v>
      </c>
      <c r="AB247" s="52">
        <f>AB8*AB8/$E8*'Get Started'!$F82</f>
        <v>0</v>
      </c>
      <c r="AC247" s="52">
        <f>AC8*AC8/$E8*'Get Started'!$F82</f>
        <v>0</v>
      </c>
      <c r="AD247" s="52">
        <f>AD8*AD8/$E8*'Get Started'!$F82</f>
        <v>0</v>
      </c>
      <c r="AE247" s="52">
        <f>AE8*AE8/$E8*'Get Started'!$F82</f>
        <v>0</v>
      </c>
      <c r="AF247" s="52">
        <f>AF8*AF8/$E8*'Get Started'!$F82</f>
        <v>0</v>
      </c>
      <c r="AG247" s="52">
        <f>AG8*AG8/$E8*'Get Started'!$F82</f>
        <v>0</v>
      </c>
      <c r="AH247" s="52">
        <f>AH8*AH8/$E8*'Get Started'!$F82</f>
        <v>0</v>
      </c>
      <c r="AI247" s="52">
        <f>AI8*AI8/$E8*'Get Started'!$F82</f>
        <v>0</v>
      </c>
      <c r="AJ247" s="52">
        <f>AJ8*AJ8/$E8*'Get Started'!$F82</f>
        <v>0</v>
      </c>
      <c r="AK247" s="52">
        <f>AK8*AK8/$E8*'Get Started'!$F82</f>
        <v>0</v>
      </c>
      <c r="AL247" s="52">
        <f>AL8*AL8/$E8*'Get Started'!$F82</f>
        <v>0</v>
      </c>
      <c r="AM247" s="52">
        <f>AM8*AM8/$E8*'Get Started'!$F82</f>
        <v>0</v>
      </c>
      <c r="AN247" s="52">
        <f>AN8*AN8/$E8*'Get Started'!$F82</f>
        <v>0</v>
      </c>
      <c r="AO247" s="52">
        <f>AO8*AO8/$E8*'Get Started'!$F82</f>
        <v>0</v>
      </c>
      <c r="AP247" s="52">
        <f>AP8*AP8/$E8*'Get Started'!$F82</f>
        <v>0</v>
      </c>
      <c r="AQ247" s="52">
        <f>AQ8*AQ8/$E8*'Get Started'!$F82</f>
        <v>0</v>
      </c>
      <c r="AR247" s="52">
        <f>AR8*AR8/$E8*'Get Started'!$F82</f>
        <v>0</v>
      </c>
      <c r="AS247" s="52">
        <f>AS8*AS8/$E8*'Get Started'!$F82</f>
        <v>0</v>
      </c>
      <c r="AT247" s="52">
        <f>AT8*AT8/$E8*'Get Started'!$F82</f>
        <v>0</v>
      </c>
      <c r="AU247" s="52">
        <f>AU8*AU8/$E8*'Get Started'!$F82</f>
        <v>0</v>
      </c>
      <c r="AV247" s="52">
        <f>AV8*AV8/$E8*'Get Started'!$F82</f>
        <v>0</v>
      </c>
      <c r="AW247" s="52">
        <f>AW8*AW8/$E8*'Get Started'!$F82</f>
        <v>0</v>
      </c>
      <c r="AX247" s="52">
        <f>AX8*AX8/$E8*'Get Started'!$F82</f>
        <v>0</v>
      </c>
      <c r="AY247" s="52">
        <f>AY8*AY8/$E8*'Get Started'!$F82</f>
        <v>0</v>
      </c>
      <c r="AZ247" s="52">
        <f>AZ8*AZ8/$E8*'Get Started'!$F82</f>
        <v>0</v>
      </c>
      <c r="BA247" s="52">
        <f>BA8*BA8/$E8*'Get Started'!$F82</f>
        <v>0</v>
      </c>
      <c r="BB247" s="52">
        <f>BB8*BB8/$E8*'Get Started'!$F82</f>
        <v>0</v>
      </c>
      <c r="BC247" s="52">
        <f>BC8*BC8/$E8*'Get Started'!$F82</f>
        <v>0</v>
      </c>
      <c r="BD247" s="52">
        <f>BD8*BD8/$E8*'Get Started'!$F82</f>
        <v>0</v>
      </c>
      <c r="BE247" s="52">
        <f>BE8*BE8/$E8*'Get Started'!$F82</f>
        <v>0</v>
      </c>
      <c r="BF247" s="52">
        <f>BF8*BF8/$E8*'Get Started'!$F82</f>
        <v>0</v>
      </c>
      <c r="BG247" s="52">
        <f>BG8*BG8/$E8*'Get Started'!$F82</f>
        <v>0</v>
      </c>
      <c r="BH247" s="52">
        <f>BH8*BH8/$E8*'Get Started'!$F82</f>
        <v>0</v>
      </c>
      <c r="BI247" s="52">
        <f>BI8*BI8/$E8*'Get Started'!$F82</f>
        <v>0</v>
      </c>
      <c r="BJ247" s="52">
        <f>BJ8*BJ8/$E8*'Get Started'!$F82</f>
        <v>0</v>
      </c>
      <c r="BK247" s="52">
        <f>BK8*BK8/$E8*'Get Started'!$F82</f>
        <v>0</v>
      </c>
      <c r="BL247" s="52">
        <f>BL8*BL8/$E8*'Get Started'!$F82</f>
        <v>0</v>
      </c>
      <c r="BM247" s="52">
        <f>BM8*BM8/$E8*'Get Started'!$F82</f>
        <v>0</v>
      </c>
      <c r="BN247" s="52">
        <f>BN8*BN8/$E8*'Get Started'!$F82</f>
        <v>0</v>
      </c>
      <c r="BO247" s="52">
        <f>BO8*BO8/$E8*'Get Started'!$F82</f>
        <v>0</v>
      </c>
      <c r="BP247" s="52">
        <f>BP8*BP8/$E8*'Get Started'!$F82</f>
        <v>0</v>
      </c>
      <c r="BQ247" s="52">
        <f>BQ8*BQ8/$E8*'Get Started'!$F82</f>
        <v>0</v>
      </c>
      <c r="BR247" s="52">
        <f>BR8*BR8/$E8*'Get Started'!$F82</f>
        <v>0</v>
      </c>
      <c r="BS247" s="52">
        <f>BS8*BS8/$E8*'Get Started'!$F82</f>
        <v>0</v>
      </c>
      <c r="BT247" s="52">
        <f>BT8*BT8/$E8*'Get Started'!$F82</f>
        <v>0</v>
      </c>
      <c r="BU247" s="52">
        <f>BU8*BU8/$E8*'Get Started'!$F82</f>
        <v>0</v>
      </c>
      <c r="BV247" s="52">
        <f>BV8*BV8/$E8*'Get Started'!$F82</f>
        <v>0</v>
      </c>
      <c r="BW247" s="52">
        <f>BW8*BW8/$E8*'Get Started'!$F82</f>
        <v>0</v>
      </c>
      <c r="BX247" s="52">
        <f>BX8*BX8/$E8*'Get Started'!$F82</f>
        <v>0</v>
      </c>
      <c r="BY247" s="52">
        <f>BY8*BY8/$E8*'Get Started'!$F82</f>
        <v>0</v>
      </c>
      <c r="BZ247" s="52">
        <f>BZ8*BZ8/$E8*'Get Started'!$F82</f>
        <v>0</v>
      </c>
      <c r="CA247" s="52">
        <f>CA8*CA8/$E8*'Get Started'!$F82</f>
        <v>0</v>
      </c>
      <c r="CB247" s="52">
        <f>CB8*CB8/$E8*'Get Started'!$F82</f>
        <v>0</v>
      </c>
      <c r="CC247" s="52">
        <f>CC8*CC8/$E8*'Get Started'!$F82</f>
        <v>0</v>
      </c>
      <c r="CD247" s="52">
        <f>CD8*CD8/$E8*'Get Started'!$F82</f>
        <v>0</v>
      </c>
      <c r="CE247" s="52">
        <f>CE8*CE8/$E8*'Get Started'!$F82</f>
        <v>0</v>
      </c>
      <c r="CF247" s="52">
        <f>CF8*CF8/$E8*'Get Started'!$F82</f>
        <v>0</v>
      </c>
      <c r="CG247" s="52">
        <f>CG8*CG8/$E8*'Get Started'!$F82</f>
        <v>0</v>
      </c>
      <c r="CH247" s="52">
        <f>CH8*CH8/$E8*'Get Started'!$F82</f>
        <v>0</v>
      </c>
    </row>
    <row r="248" spans="1:86" ht="13" outlineLevel="1">
      <c r="A248" s="13"/>
      <c r="B248" s="13" t="s">
        <v>328</v>
      </c>
      <c r="C248" s="13"/>
      <c r="D248" s="13" t="s">
        <v>238</v>
      </c>
      <c r="E248" s="88">
        <f t="shared" si="185"/>
        <v>0.10000000000000002</v>
      </c>
      <c r="F248" s="48"/>
      <c r="G248" s="52">
        <f>G8*G8/$E8*'Get Started'!$G82</f>
        <v>6.2500000000000003E-3</v>
      </c>
      <c r="H248" s="52">
        <f>H8*H8/$E8*'Get Started'!$G82</f>
        <v>6.2500000000000003E-3</v>
      </c>
      <c r="I248" s="52">
        <f>I8*I8/$E8*'Get Started'!$G82</f>
        <v>6.2500000000000003E-3</v>
      </c>
      <c r="J248" s="52">
        <f>J8*J8/$E8*'Get Started'!$G82</f>
        <v>6.2500000000000003E-3</v>
      </c>
      <c r="K248" s="52">
        <f>K8*K8/$E8*'Get Started'!$G82</f>
        <v>6.2500000000000003E-3</v>
      </c>
      <c r="L248" s="52">
        <f>L8*L8/$E8*'Get Started'!$G82</f>
        <v>6.2500000000000003E-3</v>
      </c>
      <c r="M248" s="52">
        <f>M8*M8/$E8*'Get Started'!$G82</f>
        <v>6.2500000000000003E-3</v>
      </c>
      <c r="N248" s="52">
        <f>N8*N8/$E8*'Get Started'!$G82</f>
        <v>6.2500000000000003E-3</v>
      </c>
      <c r="O248" s="52">
        <f>O8*O8/$E8*'Get Started'!$G82</f>
        <v>6.2500000000000003E-3</v>
      </c>
      <c r="P248" s="52">
        <f>P8*P8/$E8*'Get Started'!$G82</f>
        <v>6.2500000000000003E-3</v>
      </c>
      <c r="Q248" s="52">
        <f>Q8*Q8/$E8*'Get Started'!$G82</f>
        <v>6.2500000000000003E-3</v>
      </c>
      <c r="R248" s="52">
        <f>R8*R8/$E8*'Get Started'!$G82</f>
        <v>6.2500000000000003E-3</v>
      </c>
      <c r="S248" s="52">
        <f>S8*S8/$E8*'Get Started'!$G82</f>
        <v>6.2500000000000003E-3</v>
      </c>
      <c r="T248" s="52">
        <f>T8*T8/$E8*'Get Started'!$G82</f>
        <v>6.2500000000000003E-3</v>
      </c>
      <c r="U248" s="52">
        <f>U8*U8/$E8*'Get Started'!$G82</f>
        <v>6.2500000000000003E-3</v>
      </c>
      <c r="V248" s="52">
        <f>V8*V8/$E8*'Get Started'!$G82</f>
        <v>6.2500000000000003E-3</v>
      </c>
      <c r="W248" s="52">
        <f>W8*W8/$E8*'Get Started'!$G82</f>
        <v>0</v>
      </c>
      <c r="X248" s="52">
        <f>X8*X8/$E8*'Get Started'!$G82</f>
        <v>0</v>
      </c>
      <c r="Y248" s="52">
        <f>Y8*Y8/$E8*'Get Started'!$G82</f>
        <v>0</v>
      </c>
      <c r="Z248" s="52">
        <f>Z8*Z8/$E8*'Get Started'!$G82</f>
        <v>0</v>
      </c>
      <c r="AA248" s="52">
        <f>AA8*AA8/$E8*'Get Started'!$G82</f>
        <v>0</v>
      </c>
      <c r="AB248" s="52">
        <f>AB8*AB8/$E8*'Get Started'!$G82</f>
        <v>0</v>
      </c>
      <c r="AC248" s="52">
        <f>AC8*AC8/$E8*'Get Started'!$G82</f>
        <v>0</v>
      </c>
      <c r="AD248" s="52">
        <f>AD8*AD8/$E8*'Get Started'!$G82</f>
        <v>0</v>
      </c>
      <c r="AE248" s="52">
        <f>AE8*AE8/$E8*'Get Started'!$G82</f>
        <v>0</v>
      </c>
      <c r="AF248" s="52">
        <f>AF8*AF8/$E8*'Get Started'!$G82</f>
        <v>0</v>
      </c>
      <c r="AG248" s="52">
        <f>AG8*AG8/$E8*'Get Started'!$G82</f>
        <v>0</v>
      </c>
      <c r="AH248" s="52">
        <f>AH8*AH8/$E8*'Get Started'!$G82</f>
        <v>0</v>
      </c>
      <c r="AI248" s="52">
        <f>AI8*AI8/$E8*'Get Started'!$G82</f>
        <v>0</v>
      </c>
      <c r="AJ248" s="52">
        <f>AJ8*AJ8/$E8*'Get Started'!$G82</f>
        <v>0</v>
      </c>
      <c r="AK248" s="52">
        <f>AK8*AK8/$E8*'Get Started'!$G82</f>
        <v>0</v>
      </c>
      <c r="AL248" s="52">
        <f>AL8*AL8/$E8*'Get Started'!$G82</f>
        <v>0</v>
      </c>
      <c r="AM248" s="52">
        <f>AM8*AM8/$E8*'Get Started'!$G82</f>
        <v>0</v>
      </c>
      <c r="AN248" s="52">
        <f>AN8*AN8/$E8*'Get Started'!$G82</f>
        <v>0</v>
      </c>
      <c r="AO248" s="52">
        <f>AO8*AO8/$E8*'Get Started'!$G82</f>
        <v>0</v>
      </c>
      <c r="AP248" s="52">
        <f>AP8*AP8/$E8*'Get Started'!$G82</f>
        <v>0</v>
      </c>
      <c r="AQ248" s="52">
        <f>AQ8*AQ8/$E8*'Get Started'!$G82</f>
        <v>0</v>
      </c>
      <c r="AR248" s="52">
        <f>AR8*AR8/$E8*'Get Started'!$G82</f>
        <v>0</v>
      </c>
      <c r="AS248" s="52">
        <f>AS8*AS8/$E8*'Get Started'!$G82</f>
        <v>0</v>
      </c>
      <c r="AT248" s="52">
        <f>AT8*AT8/$E8*'Get Started'!$G82</f>
        <v>0</v>
      </c>
      <c r="AU248" s="52">
        <f>AU8*AU8/$E8*'Get Started'!$G82</f>
        <v>0</v>
      </c>
      <c r="AV248" s="52">
        <f>AV8*AV8/$E8*'Get Started'!$G82</f>
        <v>0</v>
      </c>
      <c r="AW248" s="52">
        <f>AW8*AW8/$E8*'Get Started'!$G82</f>
        <v>0</v>
      </c>
      <c r="AX248" s="52">
        <f>AX8*AX8/$E8*'Get Started'!$G82</f>
        <v>0</v>
      </c>
      <c r="AY248" s="52">
        <f>AY8*AY8/$E8*'Get Started'!$G82</f>
        <v>0</v>
      </c>
      <c r="AZ248" s="52">
        <f>AZ8*AZ8/$E8*'Get Started'!$G82</f>
        <v>0</v>
      </c>
      <c r="BA248" s="52">
        <f>BA8*BA8/$E8*'Get Started'!$G82</f>
        <v>0</v>
      </c>
      <c r="BB248" s="52">
        <f>BB8*BB8/$E8*'Get Started'!$G82</f>
        <v>0</v>
      </c>
      <c r="BC248" s="52">
        <f>BC8*BC8/$E8*'Get Started'!$G82</f>
        <v>0</v>
      </c>
      <c r="BD248" s="52">
        <f>BD8*BD8/$E8*'Get Started'!$G82</f>
        <v>0</v>
      </c>
      <c r="BE248" s="52">
        <f>BE8*BE8/$E8*'Get Started'!$G82</f>
        <v>0</v>
      </c>
      <c r="BF248" s="52">
        <f>BF8*BF8/$E8*'Get Started'!$G82</f>
        <v>0</v>
      </c>
      <c r="BG248" s="52">
        <f>BG8*BG8/$E8*'Get Started'!$G82</f>
        <v>0</v>
      </c>
      <c r="BH248" s="52">
        <f>BH8*BH8/$E8*'Get Started'!$G82</f>
        <v>0</v>
      </c>
      <c r="BI248" s="52">
        <f>BI8*BI8/$E8*'Get Started'!$G82</f>
        <v>0</v>
      </c>
      <c r="BJ248" s="52">
        <f>BJ8*BJ8/$E8*'Get Started'!$G82</f>
        <v>0</v>
      </c>
      <c r="BK248" s="52">
        <f>BK8*BK8/$E8*'Get Started'!$G82</f>
        <v>0</v>
      </c>
      <c r="BL248" s="52">
        <f>BL8*BL8/$E8*'Get Started'!$G82</f>
        <v>0</v>
      </c>
      <c r="BM248" s="52">
        <f>BM8*BM8/$E8*'Get Started'!$G82</f>
        <v>0</v>
      </c>
      <c r="BN248" s="52">
        <f>BN8*BN8/$E8*'Get Started'!$G82</f>
        <v>0</v>
      </c>
      <c r="BO248" s="52">
        <f>BO8*BO8/$E8*'Get Started'!$G82</f>
        <v>0</v>
      </c>
      <c r="BP248" s="52">
        <f>BP8*BP8/$E8*'Get Started'!$G82</f>
        <v>0</v>
      </c>
      <c r="BQ248" s="52">
        <f>BQ8*BQ8/$E8*'Get Started'!$G82</f>
        <v>0</v>
      </c>
      <c r="BR248" s="52">
        <f>BR8*BR8/$E8*'Get Started'!$G82</f>
        <v>0</v>
      </c>
      <c r="BS248" s="52">
        <f>BS8*BS8/$E8*'Get Started'!$G82</f>
        <v>0</v>
      </c>
      <c r="BT248" s="52">
        <f>BT8*BT8/$E8*'Get Started'!$G82</f>
        <v>0</v>
      </c>
      <c r="BU248" s="52">
        <f>BU8*BU8/$E8*'Get Started'!$G82</f>
        <v>0</v>
      </c>
      <c r="BV248" s="52">
        <f>BV8*BV8/$E8*'Get Started'!$G82</f>
        <v>0</v>
      </c>
      <c r="BW248" s="52">
        <f>BW8*BW8/$E8*'Get Started'!$G82</f>
        <v>0</v>
      </c>
      <c r="BX248" s="52">
        <f>BX8*BX8/$E8*'Get Started'!$G82</f>
        <v>0</v>
      </c>
      <c r="BY248" s="52">
        <f>BY8*BY8/$E8*'Get Started'!$G82</f>
        <v>0</v>
      </c>
      <c r="BZ248" s="52">
        <f>BZ8*BZ8/$E8*'Get Started'!$G82</f>
        <v>0</v>
      </c>
      <c r="CA248" s="52">
        <f>CA8*CA8/$E8*'Get Started'!$G82</f>
        <v>0</v>
      </c>
      <c r="CB248" s="52">
        <f>CB8*CB8/$E8*'Get Started'!$G82</f>
        <v>0</v>
      </c>
      <c r="CC248" s="52">
        <f>CC8*CC8/$E8*'Get Started'!$G82</f>
        <v>0</v>
      </c>
      <c r="CD248" s="52">
        <f>CD8*CD8/$E8*'Get Started'!$G82</f>
        <v>0</v>
      </c>
      <c r="CE248" s="52">
        <f>CE8*CE8/$E8*'Get Started'!$G82</f>
        <v>0</v>
      </c>
      <c r="CF248" s="52">
        <f>CF8*CF8/$E8*'Get Started'!$G82</f>
        <v>0</v>
      </c>
      <c r="CG248" s="52">
        <f>CG8*CG8/$E8*'Get Started'!$G82</f>
        <v>0</v>
      </c>
      <c r="CH248" s="52">
        <f>CH8*CH8/$E8*'Get Started'!$G82</f>
        <v>0</v>
      </c>
    </row>
    <row r="249" spans="1:86" ht="13" outlineLevel="1">
      <c r="A249" s="13"/>
      <c r="B249" s="13" t="s">
        <v>328</v>
      </c>
      <c r="C249" s="13"/>
      <c r="D249" s="13" t="s">
        <v>238</v>
      </c>
      <c r="E249" s="88">
        <f t="shared" si="185"/>
        <v>0.1</v>
      </c>
      <c r="F249" s="48"/>
      <c r="G249" s="52">
        <f>G8*G8/$E8*'Get Started'!$H82</f>
        <v>6.2499999999999986E-3</v>
      </c>
      <c r="H249" s="52">
        <f>H8*H8/$E8*'Get Started'!$H82</f>
        <v>6.2499999999999986E-3</v>
      </c>
      <c r="I249" s="52">
        <f>I8*I8/$E8*'Get Started'!$H82</f>
        <v>6.2499999999999986E-3</v>
      </c>
      <c r="J249" s="52">
        <f>J8*J8/$E8*'Get Started'!$H82</f>
        <v>6.2499999999999986E-3</v>
      </c>
      <c r="K249" s="52">
        <f>K8*K8/$E8*'Get Started'!$H82</f>
        <v>6.2499999999999986E-3</v>
      </c>
      <c r="L249" s="52">
        <f>L8*L8/$E8*'Get Started'!$H82</f>
        <v>6.2499999999999986E-3</v>
      </c>
      <c r="M249" s="52">
        <f>M8*M8/$E8*'Get Started'!$H82</f>
        <v>6.2499999999999986E-3</v>
      </c>
      <c r="N249" s="52">
        <f>N8*N8/$E8*'Get Started'!$H82</f>
        <v>6.2499999999999986E-3</v>
      </c>
      <c r="O249" s="52">
        <f>O8*O8/$E8*'Get Started'!$H82</f>
        <v>6.2499999999999986E-3</v>
      </c>
      <c r="P249" s="52">
        <f>P8*P8/$E8*'Get Started'!$H82</f>
        <v>6.2499999999999986E-3</v>
      </c>
      <c r="Q249" s="52">
        <f>Q8*Q8/$E8*'Get Started'!$H82</f>
        <v>6.2499999999999986E-3</v>
      </c>
      <c r="R249" s="52">
        <f>R8*R8/$E8*'Get Started'!$H82</f>
        <v>6.2499999999999986E-3</v>
      </c>
      <c r="S249" s="52">
        <f>S8*S8/$E8*'Get Started'!$H82</f>
        <v>6.2499999999999986E-3</v>
      </c>
      <c r="T249" s="52">
        <f>T8*T8/$E8*'Get Started'!$H82</f>
        <v>6.2499999999999986E-3</v>
      </c>
      <c r="U249" s="52">
        <f>U8*U8/$E8*'Get Started'!$H82</f>
        <v>6.2499999999999986E-3</v>
      </c>
      <c r="V249" s="52">
        <f>V8*V8/$E8*'Get Started'!$H82</f>
        <v>6.2499999999999986E-3</v>
      </c>
      <c r="W249" s="52">
        <f>W8*W8/$E8*'Get Started'!$H82</f>
        <v>0</v>
      </c>
      <c r="X249" s="52">
        <f>X8*X8/$E8*'Get Started'!$H82</f>
        <v>0</v>
      </c>
      <c r="Y249" s="52">
        <f>Y8*Y8/$E8*'Get Started'!$H82</f>
        <v>0</v>
      </c>
      <c r="Z249" s="52">
        <f>Z8*Z8/$E8*'Get Started'!$H82</f>
        <v>0</v>
      </c>
      <c r="AA249" s="52">
        <f>AA8*AA8/$E8*'Get Started'!$H82</f>
        <v>0</v>
      </c>
      <c r="AB249" s="52">
        <f>AB8*AB8/$E8*'Get Started'!$H82</f>
        <v>0</v>
      </c>
      <c r="AC249" s="52">
        <f>AC8*AC8/$E8*'Get Started'!$H82</f>
        <v>0</v>
      </c>
      <c r="AD249" s="52">
        <f>AD8*AD8/$E8*'Get Started'!$H82</f>
        <v>0</v>
      </c>
      <c r="AE249" s="52">
        <f>AE8*AE8/$E8*'Get Started'!$H82</f>
        <v>0</v>
      </c>
      <c r="AF249" s="52">
        <f>AF8*AF8/$E8*'Get Started'!$H82</f>
        <v>0</v>
      </c>
      <c r="AG249" s="52">
        <f>AG8*AG8/$E8*'Get Started'!$H82</f>
        <v>0</v>
      </c>
      <c r="AH249" s="52">
        <f>AH8*AH8/$E8*'Get Started'!$H82</f>
        <v>0</v>
      </c>
      <c r="AI249" s="52">
        <f>AI8*AI8/$E8*'Get Started'!$H82</f>
        <v>0</v>
      </c>
      <c r="AJ249" s="52">
        <f>AJ8*AJ8/$E8*'Get Started'!$H82</f>
        <v>0</v>
      </c>
      <c r="AK249" s="52">
        <f>AK8*AK8/$E8*'Get Started'!$H82</f>
        <v>0</v>
      </c>
      <c r="AL249" s="52">
        <f>AL8*AL8/$E8*'Get Started'!$H82</f>
        <v>0</v>
      </c>
      <c r="AM249" s="52">
        <f>AM8*AM8/$E8*'Get Started'!$H82</f>
        <v>0</v>
      </c>
      <c r="AN249" s="52">
        <f>AN8*AN8/$E8*'Get Started'!$H82</f>
        <v>0</v>
      </c>
      <c r="AO249" s="52">
        <f>AO8*AO8/$E8*'Get Started'!$H82</f>
        <v>0</v>
      </c>
      <c r="AP249" s="52">
        <f>AP8*AP8/$E8*'Get Started'!$H82</f>
        <v>0</v>
      </c>
      <c r="AQ249" s="52">
        <f>AQ8*AQ8/$E8*'Get Started'!$H82</f>
        <v>0</v>
      </c>
      <c r="AR249" s="52">
        <f>AR8*AR8/$E8*'Get Started'!$H82</f>
        <v>0</v>
      </c>
      <c r="AS249" s="52">
        <f>AS8*AS8/$E8*'Get Started'!$H82</f>
        <v>0</v>
      </c>
      <c r="AT249" s="52">
        <f>AT8*AT8/$E8*'Get Started'!$H82</f>
        <v>0</v>
      </c>
      <c r="AU249" s="52">
        <f>AU8*AU8/$E8*'Get Started'!$H82</f>
        <v>0</v>
      </c>
      <c r="AV249" s="52">
        <f>AV8*AV8/$E8*'Get Started'!$H82</f>
        <v>0</v>
      </c>
      <c r="AW249" s="52">
        <f>AW8*AW8/$E8*'Get Started'!$H82</f>
        <v>0</v>
      </c>
      <c r="AX249" s="52">
        <f>AX8*AX8/$E8*'Get Started'!$H82</f>
        <v>0</v>
      </c>
      <c r="AY249" s="52">
        <f>AY8*AY8/$E8*'Get Started'!$H82</f>
        <v>0</v>
      </c>
      <c r="AZ249" s="52">
        <f>AZ8*AZ8/$E8*'Get Started'!$H82</f>
        <v>0</v>
      </c>
      <c r="BA249" s="52">
        <f>BA8*BA8/$E8*'Get Started'!$H82</f>
        <v>0</v>
      </c>
      <c r="BB249" s="52">
        <f>BB8*BB8/$E8*'Get Started'!$H82</f>
        <v>0</v>
      </c>
      <c r="BC249" s="52">
        <f>BC8*BC8/$E8*'Get Started'!$H82</f>
        <v>0</v>
      </c>
      <c r="BD249" s="52">
        <f>BD8*BD8/$E8*'Get Started'!$H82</f>
        <v>0</v>
      </c>
      <c r="BE249" s="52">
        <f>BE8*BE8/$E8*'Get Started'!$H82</f>
        <v>0</v>
      </c>
      <c r="BF249" s="52">
        <f>BF8*BF8/$E8*'Get Started'!$H82</f>
        <v>0</v>
      </c>
      <c r="BG249" s="52">
        <f>BG8*BG8/$E8*'Get Started'!$H82</f>
        <v>0</v>
      </c>
      <c r="BH249" s="52">
        <f>BH8*BH8/$E8*'Get Started'!$H82</f>
        <v>0</v>
      </c>
      <c r="BI249" s="52">
        <f>BI8*BI8/$E8*'Get Started'!$H82</f>
        <v>0</v>
      </c>
      <c r="BJ249" s="52">
        <f>BJ8*BJ8/$E8*'Get Started'!$H82</f>
        <v>0</v>
      </c>
      <c r="BK249" s="52">
        <f>BK8*BK8/$E8*'Get Started'!$H82</f>
        <v>0</v>
      </c>
      <c r="BL249" s="52">
        <f>BL8*BL8/$E8*'Get Started'!$H82</f>
        <v>0</v>
      </c>
      <c r="BM249" s="52">
        <f>BM8*BM8/$E8*'Get Started'!$H82</f>
        <v>0</v>
      </c>
      <c r="BN249" s="52">
        <f>BN8*BN8/$E8*'Get Started'!$H82</f>
        <v>0</v>
      </c>
      <c r="BO249" s="52">
        <f>BO8*BO8/$E8*'Get Started'!$H82</f>
        <v>0</v>
      </c>
      <c r="BP249" s="52">
        <f>BP8*BP8/$E8*'Get Started'!$H82</f>
        <v>0</v>
      </c>
      <c r="BQ249" s="52">
        <f>BQ8*BQ8/$E8*'Get Started'!$H82</f>
        <v>0</v>
      </c>
      <c r="BR249" s="52">
        <f>BR8*BR8/$E8*'Get Started'!$H82</f>
        <v>0</v>
      </c>
      <c r="BS249" s="52">
        <f>BS8*BS8/$E8*'Get Started'!$H82</f>
        <v>0</v>
      </c>
      <c r="BT249" s="52">
        <f>BT8*BT8/$E8*'Get Started'!$H82</f>
        <v>0</v>
      </c>
      <c r="BU249" s="52">
        <f>BU8*BU8/$E8*'Get Started'!$H82</f>
        <v>0</v>
      </c>
      <c r="BV249" s="52">
        <f>BV8*BV8/$E8*'Get Started'!$H82</f>
        <v>0</v>
      </c>
      <c r="BW249" s="52">
        <f>BW8*BW8/$E8*'Get Started'!$H82</f>
        <v>0</v>
      </c>
      <c r="BX249" s="52">
        <f>BX8*BX8/$E8*'Get Started'!$H82</f>
        <v>0</v>
      </c>
      <c r="BY249" s="52">
        <f>BY8*BY8/$E8*'Get Started'!$H82</f>
        <v>0</v>
      </c>
      <c r="BZ249" s="52">
        <f>BZ8*BZ8/$E8*'Get Started'!$H82</f>
        <v>0</v>
      </c>
      <c r="CA249" s="52">
        <f>CA8*CA8/$E8*'Get Started'!$H82</f>
        <v>0</v>
      </c>
      <c r="CB249" s="52">
        <f>CB8*CB8/$E8*'Get Started'!$H82</f>
        <v>0</v>
      </c>
      <c r="CC249" s="52">
        <f>CC8*CC8/$E8*'Get Started'!$H82</f>
        <v>0</v>
      </c>
      <c r="CD249" s="52">
        <f>CD8*CD8/$E8*'Get Started'!$H82</f>
        <v>0</v>
      </c>
      <c r="CE249" s="52">
        <f>CE8*CE8/$E8*'Get Started'!$H82</f>
        <v>0</v>
      </c>
      <c r="CF249" s="52">
        <f>CF8*CF8/$E8*'Get Started'!$H82</f>
        <v>0</v>
      </c>
      <c r="CG249" s="52">
        <f>CG8*CG8/$E8*'Get Started'!$H82</f>
        <v>0</v>
      </c>
      <c r="CH249" s="52">
        <f>CH8*CH8/$E8*'Get Started'!$H82</f>
        <v>0</v>
      </c>
    </row>
    <row r="250" spans="1:86" ht="13" outlineLevel="1">
      <c r="A250" s="13"/>
      <c r="B250" s="13" t="str">
        <f>B248&amp;" total"</f>
        <v>new invested capital total</v>
      </c>
      <c r="C250" s="13"/>
      <c r="D250" s="13" t="s">
        <v>238</v>
      </c>
      <c r="E250" s="88">
        <f t="shared" si="185"/>
        <v>1</v>
      </c>
      <c r="F250" s="48"/>
      <c r="G250" s="52">
        <f t="shared" ref="G250:CH250" si="186">SUM(G246:G249)</f>
        <v>6.25E-2</v>
      </c>
      <c r="H250" s="52">
        <f t="shared" si="186"/>
        <v>6.25E-2</v>
      </c>
      <c r="I250" s="52">
        <f t="shared" si="186"/>
        <v>6.25E-2</v>
      </c>
      <c r="J250" s="52">
        <f t="shared" si="186"/>
        <v>6.25E-2</v>
      </c>
      <c r="K250" s="52">
        <f t="shared" si="186"/>
        <v>6.25E-2</v>
      </c>
      <c r="L250" s="52">
        <f t="shared" si="186"/>
        <v>6.25E-2</v>
      </c>
      <c r="M250" s="52">
        <f t="shared" si="186"/>
        <v>6.25E-2</v>
      </c>
      <c r="N250" s="52">
        <f t="shared" si="186"/>
        <v>6.25E-2</v>
      </c>
      <c r="O250" s="52">
        <f t="shared" si="186"/>
        <v>6.25E-2</v>
      </c>
      <c r="P250" s="52">
        <f t="shared" si="186"/>
        <v>6.25E-2</v>
      </c>
      <c r="Q250" s="52">
        <f t="shared" si="186"/>
        <v>6.25E-2</v>
      </c>
      <c r="R250" s="52">
        <f t="shared" si="186"/>
        <v>6.25E-2</v>
      </c>
      <c r="S250" s="52">
        <f t="shared" si="186"/>
        <v>6.25E-2</v>
      </c>
      <c r="T250" s="52">
        <f t="shared" si="186"/>
        <v>6.25E-2</v>
      </c>
      <c r="U250" s="52">
        <f t="shared" si="186"/>
        <v>6.25E-2</v>
      </c>
      <c r="V250" s="52">
        <f t="shared" si="186"/>
        <v>6.25E-2</v>
      </c>
      <c r="W250" s="52">
        <f t="shared" si="186"/>
        <v>0</v>
      </c>
      <c r="X250" s="52">
        <f t="shared" si="186"/>
        <v>0</v>
      </c>
      <c r="Y250" s="52">
        <f t="shared" si="186"/>
        <v>0</v>
      </c>
      <c r="Z250" s="52">
        <f t="shared" si="186"/>
        <v>0</v>
      </c>
      <c r="AA250" s="52">
        <f t="shared" si="186"/>
        <v>0</v>
      </c>
      <c r="AB250" s="52">
        <f t="shared" si="186"/>
        <v>0</v>
      </c>
      <c r="AC250" s="52">
        <f t="shared" si="186"/>
        <v>0</v>
      </c>
      <c r="AD250" s="52">
        <f t="shared" si="186"/>
        <v>0</v>
      </c>
      <c r="AE250" s="52">
        <f t="shared" si="186"/>
        <v>0</v>
      </c>
      <c r="AF250" s="52">
        <f t="shared" si="186"/>
        <v>0</v>
      </c>
      <c r="AG250" s="52">
        <f t="shared" si="186"/>
        <v>0</v>
      </c>
      <c r="AH250" s="52">
        <f t="shared" si="186"/>
        <v>0</v>
      </c>
      <c r="AI250" s="52">
        <f t="shared" si="186"/>
        <v>0</v>
      </c>
      <c r="AJ250" s="52">
        <f t="shared" si="186"/>
        <v>0</v>
      </c>
      <c r="AK250" s="52">
        <f t="shared" si="186"/>
        <v>0</v>
      </c>
      <c r="AL250" s="52">
        <f t="shared" si="186"/>
        <v>0</v>
      </c>
      <c r="AM250" s="52">
        <f t="shared" si="186"/>
        <v>0</v>
      </c>
      <c r="AN250" s="52">
        <f t="shared" si="186"/>
        <v>0</v>
      </c>
      <c r="AO250" s="52">
        <f t="shared" si="186"/>
        <v>0</v>
      </c>
      <c r="AP250" s="52">
        <f t="shared" si="186"/>
        <v>0</v>
      </c>
      <c r="AQ250" s="52">
        <f t="shared" si="186"/>
        <v>0</v>
      </c>
      <c r="AR250" s="52">
        <f t="shared" si="186"/>
        <v>0</v>
      </c>
      <c r="AS250" s="52">
        <f t="shared" si="186"/>
        <v>0</v>
      </c>
      <c r="AT250" s="52">
        <f t="shared" si="186"/>
        <v>0</v>
      </c>
      <c r="AU250" s="52">
        <f t="shared" si="186"/>
        <v>0</v>
      </c>
      <c r="AV250" s="52">
        <f t="shared" si="186"/>
        <v>0</v>
      </c>
      <c r="AW250" s="52">
        <f t="shared" si="186"/>
        <v>0</v>
      </c>
      <c r="AX250" s="52">
        <f t="shared" si="186"/>
        <v>0</v>
      </c>
      <c r="AY250" s="52">
        <f t="shared" si="186"/>
        <v>0</v>
      </c>
      <c r="AZ250" s="52">
        <f t="shared" si="186"/>
        <v>0</v>
      </c>
      <c r="BA250" s="52">
        <f t="shared" si="186"/>
        <v>0</v>
      </c>
      <c r="BB250" s="52">
        <f t="shared" si="186"/>
        <v>0</v>
      </c>
      <c r="BC250" s="52">
        <f t="shared" si="186"/>
        <v>0</v>
      </c>
      <c r="BD250" s="52">
        <f t="shared" si="186"/>
        <v>0</v>
      </c>
      <c r="BE250" s="52">
        <f t="shared" si="186"/>
        <v>0</v>
      </c>
      <c r="BF250" s="52">
        <f t="shared" si="186"/>
        <v>0</v>
      </c>
      <c r="BG250" s="52">
        <f t="shared" si="186"/>
        <v>0</v>
      </c>
      <c r="BH250" s="52">
        <f t="shared" si="186"/>
        <v>0</v>
      </c>
      <c r="BI250" s="52">
        <f t="shared" si="186"/>
        <v>0</v>
      </c>
      <c r="BJ250" s="52">
        <f t="shared" si="186"/>
        <v>0</v>
      </c>
      <c r="BK250" s="52">
        <f t="shared" si="186"/>
        <v>0</v>
      </c>
      <c r="BL250" s="52">
        <f t="shared" si="186"/>
        <v>0</v>
      </c>
      <c r="BM250" s="52">
        <f t="shared" si="186"/>
        <v>0</v>
      </c>
      <c r="BN250" s="52">
        <f t="shared" si="186"/>
        <v>0</v>
      </c>
      <c r="BO250" s="52">
        <f t="shared" si="186"/>
        <v>0</v>
      </c>
      <c r="BP250" s="52">
        <f t="shared" si="186"/>
        <v>0</v>
      </c>
      <c r="BQ250" s="52">
        <f t="shared" si="186"/>
        <v>0</v>
      </c>
      <c r="BR250" s="52">
        <f t="shared" si="186"/>
        <v>0</v>
      </c>
      <c r="BS250" s="52">
        <f t="shared" si="186"/>
        <v>0</v>
      </c>
      <c r="BT250" s="52">
        <f t="shared" si="186"/>
        <v>0</v>
      </c>
      <c r="BU250" s="52">
        <f t="shared" si="186"/>
        <v>0</v>
      </c>
      <c r="BV250" s="52">
        <f t="shared" si="186"/>
        <v>0</v>
      </c>
      <c r="BW250" s="52">
        <f t="shared" si="186"/>
        <v>0</v>
      </c>
      <c r="BX250" s="52">
        <f t="shared" si="186"/>
        <v>0</v>
      </c>
      <c r="BY250" s="52">
        <f t="shared" si="186"/>
        <v>0</v>
      </c>
      <c r="BZ250" s="52">
        <f t="shared" si="186"/>
        <v>0</v>
      </c>
      <c r="CA250" s="52">
        <f t="shared" si="186"/>
        <v>0</v>
      </c>
      <c r="CB250" s="52">
        <f t="shared" si="186"/>
        <v>0</v>
      </c>
      <c r="CC250" s="52">
        <f t="shared" si="186"/>
        <v>0</v>
      </c>
      <c r="CD250" s="52">
        <f t="shared" si="186"/>
        <v>0</v>
      </c>
      <c r="CE250" s="52">
        <f t="shared" si="186"/>
        <v>0</v>
      </c>
      <c r="CF250" s="52">
        <f t="shared" si="186"/>
        <v>0</v>
      </c>
      <c r="CG250" s="52">
        <f t="shared" si="186"/>
        <v>0</v>
      </c>
      <c r="CH250" s="52">
        <f t="shared" si="186"/>
        <v>0</v>
      </c>
    </row>
    <row r="251" spans="1:86" ht="13" outlineLevel="1">
      <c r="A251" s="13"/>
      <c r="B251" s="13" t="s">
        <v>329</v>
      </c>
      <c r="C251" s="13"/>
      <c r="D251" s="13" t="s">
        <v>238</v>
      </c>
      <c r="E251" s="88">
        <f t="shared" ca="1" si="185"/>
        <v>0</v>
      </c>
      <c r="F251" s="48"/>
      <c r="G251" s="52">
        <f ca="1">IFERROR(IF(G4&lt;'Get Started'!$E55,0,OFFSET(G246,0,-1*'Get Started'!$E55)*'Get Started'!$E84/'Get Started'!$E82),0)+IFERROR(IF(G4&lt;'Get Started'!$E65,0,OFFSET(G246,0,-1*'Get Started'!$E65)*'Get Started'!$E86/'Get Started'!$E82),0)</f>
        <v>0</v>
      </c>
      <c r="H251" s="52">
        <f ca="1">IFERROR(IF(H4&lt;'Get Started'!$E55,0,OFFSET(H246,0,-1*'Get Started'!$E55)*'Get Started'!$E84/'Get Started'!$E82),0)+IFERROR(IF(H4&lt;'Get Started'!$E65,0,OFFSET(H246,0,-1*'Get Started'!$E65)*'Get Started'!$E86/'Get Started'!$E82),0)</f>
        <v>0</v>
      </c>
      <c r="I251" s="52">
        <f ca="1">IFERROR(IF(I4&lt;'Get Started'!$E55,0,OFFSET(I246,0,-1*'Get Started'!$E55)*'Get Started'!$E84/'Get Started'!$E82),0)+IFERROR(IF(I4&lt;'Get Started'!$E65,0,OFFSET(I246,0,-1*'Get Started'!$E65)*'Get Started'!$E86/'Get Started'!$E82),0)</f>
        <v>0</v>
      </c>
      <c r="J251" s="52">
        <f ca="1">IFERROR(IF(J4&lt;'Get Started'!$E55,0,OFFSET(J246,0,-1*'Get Started'!$E55)*'Get Started'!$E84/'Get Started'!$E82),0)+IFERROR(IF(J4&lt;'Get Started'!$E65,0,OFFSET(J246,0,-1*'Get Started'!$E65)*'Get Started'!$E86/'Get Started'!$E82),0)</f>
        <v>0</v>
      </c>
      <c r="K251" s="52">
        <f ca="1">IFERROR(IF(K4&lt;'Get Started'!$E55,0,OFFSET(K246,0,-1*'Get Started'!$E55)*'Get Started'!$E84/'Get Started'!$E82),0)+IFERROR(IF(K4&lt;'Get Started'!$E65,0,OFFSET(K246,0,-1*'Get Started'!$E65)*'Get Started'!$E86/'Get Started'!$E82),0)</f>
        <v>0</v>
      </c>
      <c r="L251" s="52">
        <f ca="1">IFERROR(IF(L4&lt;'Get Started'!$E55,0,OFFSET(L246,0,-1*'Get Started'!$E55)*'Get Started'!$E84/'Get Started'!$E82),0)+IFERROR(IF(L4&lt;'Get Started'!$E65,0,OFFSET(L246,0,-1*'Get Started'!$E65)*'Get Started'!$E86/'Get Started'!$E82),0)</f>
        <v>0</v>
      </c>
      <c r="M251" s="52">
        <f ca="1">IFERROR(IF(M4&lt;'Get Started'!$E55,0,OFFSET(M246,0,-1*'Get Started'!$E55)*'Get Started'!$E84/'Get Started'!$E82),0)+IFERROR(IF(M4&lt;'Get Started'!$E65,0,OFFSET(M246,0,-1*'Get Started'!$E65)*'Get Started'!$E86/'Get Started'!$E82),0)</f>
        <v>0</v>
      </c>
      <c r="N251" s="52">
        <f ca="1">IFERROR(IF(N4&lt;'Get Started'!$E55,0,OFFSET(N246,0,-1*'Get Started'!$E55)*'Get Started'!$E84/'Get Started'!$E82),0)+IFERROR(IF(N4&lt;'Get Started'!$E65,0,OFFSET(N246,0,-1*'Get Started'!$E65)*'Get Started'!$E86/'Get Started'!$E82),0)</f>
        <v>0</v>
      </c>
      <c r="O251" s="52">
        <f ca="1">IFERROR(IF(O4&lt;'Get Started'!$E55,0,OFFSET(O246,0,-1*'Get Started'!$E55)*'Get Started'!$E84/'Get Started'!$E82),0)+IFERROR(IF(O4&lt;'Get Started'!$E65,0,OFFSET(O246,0,-1*'Get Started'!$E65)*'Get Started'!$E86/'Get Started'!$E82),0)</f>
        <v>0</v>
      </c>
      <c r="P251" s="52">
        <f ca="1">IFERROR(IF(P4&lt;'Get Started'!$E55,0,OFFSET(P246,0,-1*'Get Started'!$E55)*'Get Started'!$E84/'Get Started'!$E82),0)+IFERROR(IF(P4&lt;'Get Started'!$E65,0,OFFSET(P246,0,-1*'Get Started'!$E65)*'Get Started'!$E86/'Get Started'!$E82),0)</f>
        <v>0</v>
      </c>
      <c r="Q251" s="52">
        <f ca="1">IFERROR(IF(Q4&lt;'Get Started'!$E55,0,OFFSET(Q246,0,-1*'Get Started'!$E55)*'Get Started'!$E84/'Get Started'!$E82),0)+IFERROR(IF(Q4&lt;'Get Started'!$E65,0,OFFSET(Q246,0,-1*'Get Started'!$E65)*'Get Started'!$E86/'Get Started'!$E82),0)</f>
        <v>0</v>
      </c>
      <c r="R251" s="52">
        <f ca="1">IFERROR(IF(R4&lt;'Get Started'!$E55,0,OFFSET(R246,0,-1*'Get Started'!$E55)*'Get Started'!$E84/'Get Started'!$E82),0)+IFERROR(IF(R4&lt;'Get Started'!$E65,0,OFFSET(R246,0,-1*'Get Started'!$E65)*'Get Started'!$E86/'Get Started'!$E82),0)</f>
        <v>0</v>
      </c>
      <c r="S251" s="52">
        <f ca="1">IFERROR(IF(S4&lt;'Get Started'!$E55,0,OFFSET(S246,0,-1*'Get Started'!$E55)*'Get Started'!$E84/'Get Started'!$E82),0)+IFERROR(IF(S4&lt;'Get Started'!$E65,0,OFFSET(S246,0,-1*'Get Started'!$E65)*'Get Started'!$E86/'Get Started'!$E82),0)</f>
        <v>0</v>
      </c>
      <c r="T251" s="52">
        <f ca="1">IFERROR(IF(T4&lt;'Get Started'!$E55,0,OFFSET(T246,0,-1*'Get Started'!$E55)*'Get Started'!$E84/'Get Started'!$E82),0)+IFERROR(IF(T4&lt;'Get Started'!$E65,0,OFFSET(T246,0,-1*'Get Started'!$E65)*'Get Started'!$E86/'Get Started'!$E82),0)</f>
        <v>0</v>
      </c>
      <c r="U251" s="52">
        <f ca="1">IFERROR(IF(U4&lt;'Get Started'!$E55,0,OFFSET(U246,0,-1*'Get Started'!$E55)*'Get Started'!$E84/'Get Started'!$E82),0)+IFERROR(IF(U4&lt;'Get Started'!$E65,0,OFFSET(U246,0,-1*'Get Started'!$E65)*'Get Started'!$E86/'Get Started'!$E82),0)</f>
        <v>0</v>
      </c>
      <c r="V251" s="52">
        <f ca="1">IFERROR(IF(V4&lt;'Get Started'!$E55,0,OFFSET(V246,0,-1*'Get Started'!$E55)*'Get Started'!$E84/'Get Started'!$E82),0)+IFERROR(IF(V4&lt;'Get Started'!$E65,0,OFFSET(V246,0,-1*'Get Started'!$E65)*'Get Started'!$E86/'Get Started'!$E82),0)</f>
        <v>0</v>
      </c>
      <c r="W251" s="52">
        <f ca="1">IFERROR(IF(W4&lt;'Get Started'!$E55,0,OFFSET(W246,0,-1*'Get Started'!$E55)*'Get Started'!$E84/'Get Started'!$E82),0)+IFERROR(IF(W4&lt;'Get Started'!$E65,0,OFFSET(W246,0,-1*'Get Started'!$E65)*'Get Started'!$E86/'Get Started'!$E82),0)</f>
        <v>0</v>
      </c>
      <c r="X251" s="52">
        <f ca="1">IFERROR(IF(X4&lt;'Get Started'!$E55,0,OFFSET(X246,0,-1*'Get Started'!$E55)*'Get Started'!$E84/'Get Started'!$E82),0)+IFERROR(IF(X4&lt;'Get Started'!$E65,0,OFFSET(X246,0,-1*'Get Started'!$E65)*'Get Started'!$E86/'Get Started'!$E82),0)</f>
        <v>0</v>
      </c>
      <c r="Y251" s="52">
        <f ca="1">IFERROR(IF(Y4&lt;'Get Started'!$E55,0,OFFSET(Y246,0,-1*'Get Started'!$E55)*'Get Started'!$E84/'Get Started'!$E82),0)+IFERROR(IF(Y4&lt;'Get Started'!$E65,0,OFFSET(Y246,0,-1*'Get Started'!$E65)*'Get Started'!$E86/'Get Started'!$E82),0)</f>
        <v>0</v>
      </c>
      <c r="Z251" s="52">
        <f ca="1">IFERROR(IF(Z4&lt;'Get Started'!$E55,0,OFFSET(Z246,0,-1*'Get Started'!$E55)*'Get Started'!$E84/'Get Started'!$E82),0)+IFERROR(IF(Z4&lt;'Get Started'!$E65,0,OFFSET(Z246,0,-1*'Get Started'!$E65)*'Get Started'!$E86/'Get Started'!$E82),0)</f>
        <v>0</v>
      </c>
      <c r="AA251" s="52">
        <f ca="1">IFERROR(IF(AA4&lt;'Get Started'!$E55,0,OFFSET(AA246,0,-1*'Get Started'!$E55)*'Get Started'!$E84/'Get Started'!$E82),0)+IFERROR(IF(AA4&lt;'Get Started'!$E65,0,OFFSET(AA246,0,-1*'Get Started'!$E65)*'Get Started'!$E86/'Get Started'!$E82),0)</f>
        <v>0</v>
      </c>
      <c r="AB251" s="52">
        <f ca="1">IFERROR(IF(AB4&lt;'Get Started'!$E55,0,OFFSET(AB246,0,-1*'Get Started'!$E55)*'Get Started'!$E84/'Get Started'!$E82),0)+IFERROR(IF(AB4&lt;'Get Started'!$E65,0,OFFSET(AB246,0,-1*'Get Started'!$E65)*'Get Started'!$E86/'Get Started'!$E82),0)</f>
        <v>0</v>
      </c>
      <c r="AC251" s="52">
        <f ca="1">IFERROR(IF(AC4&lt;'Get Started'!$E55,0,OFFSET(AC246,0,-1*'Get Started'!$E55)*'Get Started'!$E84/'Get Started'!$E82),0)+IFERROR(IF(AC4&lt;'Get Started'!$E65,0,OFFSET(AC246,0,-1*'Get Started'!$E65)*'Get Started'!$E86/'Get Started'!$E82),0)</f>
        <v>0</v>
      </c>
      <c r="AD251" s="52">
        <f ca="1">IFERROR(IF(AD4&lt;'Get Started'!$E55,0,OFFSET(AD246,0,-1*'Get Started'!$E55)*'Get Started'!$E84/'Get Started'!$E82),0)+IFERROR(IF(AD4&lt;'Get Started'!$E65,0,OFFSET(AD246,0,-1*'Get Started'!$E65)*'Get Started'!$E86/'Get Started'!$E82),0)</f>
        <v>0</v>
      </c>
      <c r="AE251" s="52">
        <f ca="1">IFERROR(IF(AE4&lt;'Get Started'!$E55,0,OFFSET(AE246,0,-1*'Get Started'!$E55)*'Get Started'!$E84/'Get Started'!$E82),0)+IFERROR(IF(AE4&lt;'Get Started'!$E65,0,OFFSET(AE246,0,-1*'Get Started'!$E65)*'Get Started'!$E86/'Get Started'!$E82),0)</f>
        <v>0</v>
      </c>
      <c r="AF251" s="52">
        <f ca="1">IFERROR(IF(AF4&lt;'Get Started'!$E55,0,OFFSET(AF246,0,-1*'Get Started'!$E55)*'Get Started'!$E84/'Get Started'!$E82),0)+IFERROR(IF(AF4&lt;'Get Started'!$E65,0,OFFSET(AF246,0,-1*'Get Started'!$E65)*'Get Started'!$E86/'Get Started'!$E82),0)</f>
        <v>0</v>
      </c>
      <c r="AG251" s="52">
        <f ca="1">IFERROR(IF(AG4&lt;'Get Started'!$E55,0,OFFSET(AG246,0,-1*'Get Started'!$E55)*'Get Started'!$E84/'Get Started'!$E82),0)+IFERROR(IF(AG4&lt;'Get Started'!$E65,0,OFFSET(AG246,0,-1*'Get Started'!$E65)*'Get Started'!$E86/'Get Started'!$E82),0)</f>
        <v>0</v>
      </c>
      <c r="AH251" s="52">
        <f ca="1">IFERROR(IF(AH4&lt;'Get Started'!$E55,0,OFFSET(AH246,0,-1*'Get Started'!$E55)*'Get Started'!$E84/'Get Started'!$E82),0)+IFERROR(IF(AH4&lt;'Get Started'!$E65,0,OFFSET(AH246,0,-1*'Get Started'!$E65)*'Get Started'!$E86/'Get Started'!$E82),0)</f>
        <v>0</v>
      </c>
      <c r="AI251" s="52">
        <f ca="1">IFERROR(IF(AI4&lt;'Get Started'!$E55,0,OFFSET(AI246,0,-1*'Get Started'!$E55)*'Get Started'!$E84/'Get Started'!$E82),0)+IFERROR(IF(AI4&lt;'Get Started'!$E65,0,OFFSET(AI246,0,-1*'Get Started'!$E65)*'Get Started'!$E86/'Get Started'!$E82),0)</f>
        <v>0</v>
      </c>
      <c r="AJ251" s="52">
        <f ca="1">IFERROR(IF(AJ4&lt;'Get Started'!$E55,0,OFFSET(AJ246,0,-1*'Get Started'!$E55)*'Get Started'!$E84/'Get Started'!$E82),0)+IFERROR(IF(AJ4&lt;'Get Started'!$E65,0,OFFSET(AJ246,0,-1*'Get Started'!$E65)*'Get Started'!$E86/'Get Started'!$E82),0)</f>
        <v>0</v>
      </c>
      <c r="AK251" s="52">
        <f ca="1">IFERROR(IF(AK4&lt;'Get Started'!$E55,0,OFFSET(AK246,0,-1*'Get Started'!$E55)*'Get Started'!$E84/'Get Started'!$E82),0)+IFERROR(IF(AK4&lt;'Get Started'!$E65,0,OFFSET(AK246,0,-1*'Get Started'!$E65)*'Get Started'!$E86/'Get Started'!$E82),0)</f>
        <v>0</v>
      </c>
      <c r="AL251" s="52">
        <f ca="1">IFERROR(IF(AL4&lt;'Get Started'!$E55,0,OFFSET(AL246,0,-1*'Get Started'!$E55)*'Get Started'!$E84/'Get Started'!$E82),0)+IFERROR(IF(AL4&lt;'Get Started'!$E65,0,OFFSET(AL246,0,-1*'Get Started'!$E65)*'Get Started'!$E86/'Get Started'!$E82),0)</f>
        <v>0</v>
      </c>
      <c r="AM251" s="52">
        <f ca="1">IFERROR(IF(AM4&lt;'Get Started'!$E55,0,OFFSET(AM246,0,-1*'Get Started'!$E55)*'Get Started'!$E84/'Get Started'!$E82),0)+IFERROR(IF(AM4&lt;'Get Started'!$E65,0,OFFSET(AM246,0,-1*'Get Started'!$E65)*'Get Started'!$E86/'Get Started'!$E82),0)</f>
        <v>0</v>
      </c>
      <c r="AN251" s="52">
        <f ca="1">IFERROR(IF(AN4&lt;'Get Started'!$E55,0,OFFSET(AN246,0,-1*'Get Started'!$E55)*'Get Started'!$E84/'Get Started'!$E82),0)+IFERROR(IF(AN4&lt;'Get Started'!$E65,0,OFFSET(AN246,0,-1*'Get Started'!$E65)*'Get Started'!$E86/'Get Started'!$E82),0)</f>
        <v>0</v>
      </c>
      <c r="AO251" s="52">
        <f ca="1">IFERROR(IF(AO4&lt;'Get Started'!$E55,0,OFFSET(AO246,0,-1*'Get Started'!$E55)*'Get Started'!$E84/'Get Started'!$E82),0)+IFERROR(IF(AO4&lt;'Get Started'!$E65,0,OFFSET(AO246,0,-1*'Get Started'!$E65)*'Get Started'!$E86/'Get Started'!$E82),0)</f>
        <v>0</v>
      </c>
      <c r="AP251" s="52">
        <f ca="1">IFERROR(IF(AP4&lt;'Get Started'!$E55,0,OFFSET(AP246,0,-1*'Get Started'!$E55)*'Get Started'!$E84/'Get Started'!$E82),0)+IFERROR(IF(AP4&lt;'Get Started'!$E65,0,OFFSET(AP246,0,-1*'Get Started'!$E65)*'Get Started'!$E86/'Get Started'!$E82),0)</f>
        <v>0</v>
      </c>
      <c r="AQ251" s="52">
        <f ca="1">IFERROR(IF(AQ4&lt;'Get Started'!$E55,0,OFFSET(AQ246,0,-1*'Get Started'!$E55)*'Get Started'!$E84/'Get Started'!$E82),0)+IFERROR(IF(AQ4&lt;'Get Started'!$E65,0,OFFSET(AQ246,0,-1*'Get Started'!$E65)*'Get Started'!$E86/'Get Started'!$E82),0)</f>
        <v>0</v>
      </c>
      <c r="AR251" s="52">
        <f ca="1">IFERROR(IF(AR4&lt;'Get Started'!$E55,0,OFFSET(AR246,0,-1*'Get Started'!$E55)*'Get Started'!$E84/'Get Started'!$E82),0)+IFERROR(IF(AR4&lt;'Get Started'!$E65,0,OFFSET(AR246,0,-1*'Get Started'!$E65)*'Get Started'!$E86/'Get Started'!$E82),0)</f>
        <v>0</v>
      </c>
      <c r="AS251" s="52">
        <f ca="1">IFERROR(IF(AS4&lt;'Get Started'!$E55,0,OFFSET(AS246,0,-1*'Get Started'!$E55)*'Get Started'!$E84/'Get Started'!$E82),0)+IFERROR(IF(AS4&lt;'Get Started'!$E65,0,OFFSET(AS246,0,-1*'Get Started'!$E65)*'Get Started'!$E86/'Get Started'!$E82),0)</f>
        <v>0</v>
      </c>
      <c r="AT251" s="52">
        <f ca="1">IFERROR(IF(AT4&lt;'Get Started'!$E55,0,OFFSET(AT246,0,-1*'Get Started'!$E55)*'Get Started'!$E84/'Get Started'!$E82),0)+IFERROR(IF(AT4&lt;'Get Started'!$E65,0,OFFSET(AT246,0,-1*'Get Started'!$E65)*'Get Started'!$E86/'Get Started'!$E82),0)</f>
        <v>0</v>
      </c>
      <c r="AU251" s="52">
        <f ca="1">IFERROR(IF(AU4&lt;'Get Started'!$E55,0,OFFSET(AU246,0,-1*'Get Started'!$E55)*'Get Started'!$E84/'Get Started'!$E82),0)+IFERROR(IF(AU4&lt;'Get Started'!$E65,0,OFFSET(AU246,0,-1*'Get Started'!$E65)*'Get Started'!$E86/'Get Started'!$E82),0)</f>
        <v>0</v>
      </c>
      <c r="AV251" s="52">
        <f ca="1">IFERROR(IF(AV4&lt;'Get Started'!$E55,0,OFFSET(AV246,0,-1*'Get Started'!$E55)*'Get Started'!$E84/'Get Started'!$E82),0)+IFERROR(IF(AV4&lt;'Get Started'!$E65,0,OFFSET(AV246,0,-1*'Get Started'!$E65)*'Get Started'!$E86/'Get Started'!$E82),0)</f>
        <v>0</v>
      </c>
      <c r="AW251" s="52">
        <f ca="1">IFERROR(IF(AW4&lt;'Get Started'!$E55,0,OFFSET(AW246,0,-1*'Get Started'!$E55)*'Get Started'!$E84/'Get Started'!$E82),0)+IFERROR(IF(AW4&lt;'Get Started'!$E65,0,OFFSET(AW246,0,-1*'Get Started'!$E65)*'Get Started'!$E86/'Get Started'!$E82),0)</f>
        <v>0</v>
      </c>
      <c r="AX251" s="52">
        <f ca="1">IFERROR(IF(AX4&lt;'Get Started'!$E55,0,OFFSET(AX246,0,-1*'Get Started'!$E55)*'Get Started'!$E84/'Get Started'!$E82),0)+IFERROR(IF(AX4&lt;'Get Started'!$E65,0,OFFSET(AX246,0,-1*'Get Started'!$E65)*'Get Started'!$E86/'Get Started'!$E82),0)</f>
        <v>0</v>
      </c>
      <c r="AY251" s="52">
        <f ca="1">IFERROR(IF(AY4&lt;'Get Started'!$E55,0,OFFSET(AY246,0,-1*'Get Started'!$E55)*'Get Started'!$E84/'Get Started'!$E82),0)+IFERROR(IF(AY4&lt;'Get Started'!$E65,0,OFFSET(AY246,0,-1*'Get Started'!$E65)*'Get Started'!$E86/'Get Started'!$E82),0)</f>
        <v>0</v>
      </c>
      <c r="AZ251" s="52">
        <f ca="1">IFERROR(IF(AZ4&lt;'Get Started'!$E55,0,OFFSET(AZ246,0,-1*'Get Started'!$E55)*'Get Started'!$E84/'Get Started'!$E82),0)+IFERROR(IF(AZ4&lt;'Get Started'!$E65,0,OFFSET(AZ246,0,-1*'Get Started'!$E65)*'Get Started'!$E86/'Get Started'!$E82),0)</f>
        <v>0</v>
      </c>
      <c r="BA251" s="52">
        <f ca="1">IFERROR(IF(BA4&lt;'Get Started'!$E55,0,OFFSET(BA246,0,-1*'Get Started'!$E55)*'Get Started'!$E84/'Get Started'!$E82),0)+IFERROR(IF(BA4&lt;'Get Started'!$E65,0,OFFSET(BA246,0,-1*'Get Started'!$E65)*'Get Started'!$E86/'Get Started'!$E82),0)</f>
        <v>0</v>
      </c>
      <c r="BB251" s="52">
        <f ca="1">IFERROR(IF(BB4&lt;'Get Started'!$E55,0,OFFSET(BB246,0,-1*'Get Started'!$E55)*'Get Started'!$E84/'Get Started'!$E82),0)+IFERROR(IF(BB4&lt;'Get Started'!$E65,0,OFFSET(BB246,0,-1*'Get Started'!$E65)*'Get Started'!$E86/'Get Started'!$E82),0)</f>
        <v>0</v>
      </c>
      <c r="BC251" s="52">
        <f ca="1">IFERROR(IF(BC4&lt;'Get Started'!$E55,0,OFFSET(BC246,0,-1*'Get Started'!$E55)*'Get Started'!$E84/'Get Started'!$E82),0)+IFERROR(IF(BC4&lt;'Get Started'!$E65,0,OFFSET(BC246,0,-1*'Get Started'!$E65)*'Get Started'!$E86/'Get Started'!$E82),0)</f>
        <v>0</v>
      </c>
      <c r="BD251" s="52">
        <f ca="1">IFERROR(IF(BD4&lt;'Get Started'!$E55,0,OFFSET(BD246,0,-1*'Get Started'!$E55)*'Get Started'!$E84/'Get Started'!$E82),0)+IFERROR(IF(BD4&lt;'Get Started'!$E65,0,OFFSET(BD246,0,-1*'Get Started'!$E65)*'Get Started'!$E86/'Get Started'!$E82),0)</f>
        <v>0</v>
      </c>
      <c r="BE251" s="52">
        <f ca="1">IFERROR(IF(BE4&lt;'Get Started'!$E55,0,OFFSET(BE246,0,-1*'Get Started'!$E55)*'Get Started'!$E84/'Get Started'!$E82),0)+IFERROR(IF(BE4&lt;'Get Started'!$E65,0,OFFSET(BE246,0,-1*'Get Started'!$E65)*'Get Started'!$E86/'Get Started'!$E82),0)</f>
        <v>0</v>
      </c>
      <c r="BF251" s="52">
        <f ca="1">IFERROR(IF(BF4&lt;'Get Started'!$E55,0,OFFSET(BF246,0,-1*'Get Started'!$E55)*'Get Started'!$E84/'Get Started'!$E82),0)+IFERROR(IF(BF4&lt;'Get Started'!$E65,0,OFFSET(BF246,0,-1*'Get Started'!$E65)*'Get Started'!$E86/'Get Started'!$E82),0)</f>
        <v>0</v>
      </c>
      <c r="BG251" s="52">
        <f ca="1">IFERROR(IF(BG4&lt;'Get Started'!$E55,0,OFFSET(BG246,0,-1*'Get Started'!$E55)*'Get Started'!$E84/'Get Started'!$E82),0)+IFERROR(IF(BG4&lt;'Get Started'!$E65,0,OFFSET(BG246,0,-1*'Get Started'!$E65)*'Get Started'!$E86/'Get Started'!$E82),0)</f>
        <v>0</v>
      </c>
      <c r="BH251" s="52">
        <f ca="1">IFERROR(IF(BH4&lt;'Get Started'!$E55,0,OFFSET(BH246,0,-1*'Get Started'!$E55)*'Get Started'!$E84/'Get Started'!$E82),0)+IFERROR(IF(BH4&lt;'Get Started'!$E65,0,OFFSET(BH246,0,-1*'Get Started'!$E65)*'Get Started'!$E86/'Get Started'!$E82),0)</f>
        <v>0</v>
      </c>
      <c r="BI251" s="52">
        <f ca="1">IFERROR(IF(BI4&lt;'Get Started'!$E55,0,OFFSET(BI246,0,-1*'Get Started'!$E55)*'Get Started'!$E84/'Get Started'!$E82),0)+IFERROR(IF(BI4&lt;'Get Started'!$E65,0,OFFSET(BI246,0,-1*'Get Started'!$E65)*'Get Started'!$E86/'Get Started'!$E82),0)</f>
        <v>0</v>
      </c>
      <c r="BJ251" s="52">
        <f ca="1">IFERROR(IF(BJ4&lt;'Get Started'!$E55,0,OFFSET(BJ246,0,-1*'Get Started'!$E55)*'Get Started'!$E84/'Get Started'!$E82),0)+IFERROR(IF(BJ4&lt;'Get Started'!$E65,0,OFFSET(BJ246,0,-1*'Get Started'!$E65)*'Get Started'!$E86/'Get Started'!$E82),0)</f>
        <v>0</v>
      </c>
      <c r="BK251" s="52">
        <f ca="1">IFERROR(IF(BK4&lt;'Get Started'!$E55,0,OFFSET(BK246,0,-1*'Get Started'!$E55)*'Get Started'!$E84/'Get Started'!$E82),0)+IFERROR(IF(BK4&lt;'Get Started'!$E65,0,OFFSET(BK246,0,-1*'Get Started'!$E65)*'Get Started'!$E86/'Get Started'!$E82),0)</f>
        <v>0</v>
      </c>
      <c r="BL251" s="52">
        <f ca="1">IFERROR(IF(BL4&lt;'Get Started'!$E55,0,OFFSET(BL246,0,-1*'Get Started'!$E55)*'Get Started'!$E84/'Get Started'!$E82),0)+IFERROR(IF(BL4&lt;'Get Started'!$E65,0,OFFSET(BL246,0,-1*'Get Started'!$E65)*'Get Started'!$E86/'Get Started'!$E82),0)</f>
        <v>0</v>
      </c>
      <c r="BM251" s="52">
        <f ca="1">IFERROR(IF(BM4&lt;'Get Started'!$E55,0,OFFSET(BM246,0,-1*'Get Started'!$E55)*'Get Started'!$E84/'Get Started'!$E82),0)+IFERROR(IF(BM4&lt;'Get Started'!$E65,0,OFFSET(BM246,0,-1*'Get Started'!$E65)*'Get Started'!$E86/'Get Started'!$E82),0)</f>
        <v>0</v>
      </c>
      <c r="BN251" s="52">
        <f ca="1">IFERROR(IF(BN4&lt;'Get Started'!$E55,0,OFFSET(BN246,0,-1*'Get Started'!$E55)*'Get Started'!$E84/'Get Started'!$E82),0)+IFERROR(IF(BN4&lt;'Get Started'!$E65,0,OFFSET(BN246,0,-1*'Get Started'!$E65)*'Get Started'!$E86/'Get Started'!$E82),0)</f>
        <v>0</v>
      </c>
      <c r="BO251" s="52">
        <f ca="1">IFERROR(IF(BO4&lt;'Get Started'!$E55,0,OFFSET(BO246,0,-1*'Get Started'!$E55)*'Get Started'!$E84/'Get Started'!$E82),0)+IFERROR(IF(BO4&lt;'Get Started'!$E65,0,OFFSET(BO246,0,-1*'Get Started'!$E65)*'Get Started'!$E86/'Get Started'!$E82),0)</f>
        <v>0</v>
      </c>
      <c r="BP251" s="52">
        <f ca="1">IFERROR(IF(BP4&lt;'Get Started'!$E55,0,OFFSET(BP246,0,-1*'Get Started'!$E55)*'Get Started'!$E84/'Get Started'!$E82),0)+IFERROR(IF(BP4&lt;'Get Started'!$E65,0,OFFSET(BP246,0,-1*'Get Started'!$E65)*'Get Started'!$E86/'Get Started'!$E82),0)</f>
        <v>0</v>
      </c>
      <c r="BQ251" s="52">
        <f ca="1">IFERROR(IF(BQ4&lt;'Get Started'!$E55,0,OFFSET(BQ246,0,-1*'Get Started'!$E55)*'Get Started'!$E84/'Get Started'!$E82),0)+IFERROR(IF(BQ4&lt;'Get Started'!$E65,0,OFFSET(BQ246,0,-1*'Get Started'!$E65)*'Get Started'!$E86/'Get Started'!$E82),0)</f>
        <v>0</v>
      </c>
      <c r="BR251" s="52">
        <f ca="1">IFERROR(IF(BR4&lt;'Get Started'!$E55,0,OFFSET(BR246,0,-1*'Get Started'!$E55)*'Get Started'!$E84/'Get Started'!$E82),0)+IFERROR(IF(BR4&lt;'Get Started'!$E65,0,OFFSET(BR246,0,-1*'Get Started'!$E65)*'Get Started'!$E86/'Get Started'!$E82),0)</f>
        <v>0</v>
      </c>
      <c r="BS251" s="52">
        <f ca="1">IFERROR(IF(BS4&lt;'Get Started'!$E55,0,OFFSET(BS246,0,-1*'Get Started'!$E55)*'Get Started'!$E84/'Get Started'!$E82),0)+IFERROR(IF(BS4&lt;'Get Started'!$E65,0,OFFSET(BS246,0,-1*'Get Started'!$E65)*'Get Started'!$E86/'Get Started'!$E82),0)</f>
        <v>0</v>
      </c>
      <c r="BT251" s="52">
        <f ca="1">IFERROR(IF(BT4&lt;'Get Started'!$E55,0,OFFSET(BT246,0,-1*'Get Started'!$E55)*'Get Started'!$E84/'Get Started'!$E82),0)+IFERROR(IF(BT4&lt;'Get Started'!$E65,0,OFFSET(BT246,0,-1*'Get Started'!$E65)*'Get Started'!$E86/'Get Started'!$E82),0)</f>
        <v>0</v>
      </c>
      <c r="BU251" s="52">
        <f ca="1">IFERROR(IF(BU4&lt;'Get Started'!$E55,0,OFFSET(BU246,0,-1*'Get Started'!$E55)*'Get Started'!$E84/'Get Started'!$E82),0)+IFERROR(IF(BU4&lt;'Get Started'!$E65,0,OFFSET(BU246,0,-1*'Get Started'!$E65)*'Get Started'!$E86/'Get Started'!$E82),0)</f>
        <v>0</v>
      </c>
      <c r="BV251" s="52">
        <f ca="1">IFERROR(IF(BV4&lt;'Get Started'!$E55,0,OFFSET(BV246,0,-1*'Get Started'!$E55)*'Get Started'!$E84/'Get Started'!$E82),0)+IFERROR(IF(BV4&lt;'Get Started'!$E65,0,OFFSET(BV246,0,-1*'Get Started'!$E65)*'Get Started'!$E86/'Get Started'!$E82),0)</f>
        <v>0</v>
      </c>
      <c r="BW251" s="52">
        <f ca="1">IFERROR(IF(BW4&lt;'Get Started'!$E55,0,OFFSET(BW246,0,-1*'Get Started'!$E55)*'Get Started'!$E84/'Get Started'!$E82),0)+IFERROR(IF(BW4&lt;'Get Started'!$E65,0,OFFSET(BW246,0,-1*'Get Started'!$E65)*'Get Started'!$E86/'Get Started'!$E82),0)</f>
        <v>0</v>
      </c>
      <c r="BX251" s="52">
        <f ca="1">IFERROR(IF(BX4&lt;'Get Started'!$E55,0,OFFSET(BX246,0,-1*'Get Started'!$E55)*'Get Started'!$E84/'Get Started'!$E82),0)+IFERROR(IF(BX4&lt;'Get Started'!$E65,0,OFFSET(BX246,0,-1*'Get Started'!$E65)*'Get Started'!$E86/'Get Started'!$E82),0)</f>
        <v>0</v>
      </c>
      <c r="BY251" s="52">
        <f ca="1">IFERROR(IF(BY4&lt;'Get Started'!$E55,0,OFFSET(BY246,0,-1*'Get Started'!$E55)*'Get Started'!$E84/'Get Started'!$E82),0)+IFERROR(IF(BY4&lt;'Get Started'!$E65,0,OFFSET(BY246,0,-1*'Get Started'!$E65)*'Get Started'!$E86/'Get Started'!$E82),0)</f>
        <v>0</v>
      </c>
      <c r="BZ251" s="52">
        <f ca="1">IFERROR(IF(BZ4&lt;'Get Started'!$E55,0,OFFSET(BZ246,0,-1*'Get Started'!$E55)*'Get Started'!$E84/'Get Started'!$E82),0)+IFERROR(IF(BZ4&lt;'Get Started'!$E65,0,OFFSET(BZ246,0,-1*'Get Started'!$E65)*'Get Started'!$E86/'Get Started'!$E82),0)</f>
        <v>0</v>
      </c>
      <c r="CA251" s="52">
        <f ca="1">IFERROR(IF(CA4&lt;'Get Started'!$E55,0,OFFSET(CA246,0,-1*'Get Started'!$E55)*'Get Started'!$E84/'Get Started'!$E82),0)+IFERROR(IF(CA4&lt;'Get Started'!$E65,0,OFFSET(CA246,0,-1*'Get Started'!$E65)*'Get Started'!$E86/'Get Started'!$E82),0)</f>
        <v>0</v>
      </c>
      <c r="CB251" s="52">
        <f ca="1">IFERROR(IF(CB4&lt;'Get Started'!$E55,0,OFFSET(CB246,0,-1*'Get Started'!$E55)*'Get Started'!$E84/'Get Started'!$E82),0)+IFERROR(IF(CB4&lt;'Get Started'!$E65,0,OFFSET(CB246,0,-1*'Get Started'!$E65)*'Get Started'!$E86/'Get Started'!$E82),0)</f>
        <v>0</v>
      </c>
      <c r="CC251" s="52">
        <f ca="1">IFERROR(IF(CC4&lt;'Get Started'!$E55,0,OFFSET(CC246,0,-1*'Get Started'!$E55)*'Get Started'!$E84/'Get Started'!$E82),0)+IFERROR(IF(CC4&lt;'Get Started'!$E65,0,OFFSET(CC246,0,-1*'Get Started'!$E65)*'Get Started'!$E86/'Get Started'!$E82),0)</f>
        <v>0</v>
      </c>
      <c r="CD251" s="52">
        <f ca="1">IFERROR(IF(CD4&lt;'Get Started'!$E55,0,OFFSET(CD246,0,-1*'Get Started'!$E55)*'Get Started'!$E84/'Get Started'!$E82),0)+IFERROR(IF(CD4&lt;'Get Started'!$E65,0,OFFSET(CD246,0,-1*'Get Started'!$E65)*'Get Started'!$E86/'Get Started'!$E82),0)</f>
        <v>0</v>
      </c>
      <c r="CE251" s="52">
        <f ca="1">IFERROR(IF(CE4&lt;'Get Started'!$E55,0,OFFSET(CE246,0,-1*'Get Started'!$E55)*'Get Started'!$E84/'Get Started'!$E82),0)+IFERROR(IF(CE4&lt;'Get Started'!$E65,0,OFFSET(CE246,0,-1*'Get Started'!$E65)*'Get Started'!$E86/'Get Started'!$E82),0)</f>
        <v>0</v>
      </c>
      <c r="CF251" s="52">
        <f ca="1">IFERROR(IF(CF4&lt;'Get Started'!$E55,0,OFFSET(CF246,0,-1*'Get Started'!$E55)*'Get Started'!$E84/'Get Started'!$E82),0)+IFERROR(IF(CF4&lt;'Get Started'!$E65,0,OFFSET(CF246,0,-1*'Get Started'!$E65)*'Get Started'!$E86/'Get Started'!$E82),0)</f>
        <v>0</v>
      </c>
      <c r="CG251" s="52">
        <f ca="1">IFERROR(IF(CG4&lt;'Get Started'!$E55,0,OFFSET(CG246,0,-1*'Get Started'!$E55)*'Get Started'!$E84/'Get Started'!$E82),0)+IFERROR(IF(CG4&lt;'Get Started'!$E65,0,OFFSET(CG246,0,-1*'Get Started'!$E65)*'Get Started'!$E86/'Get Started'!$E82),0)</f>
        <v>0</v>
      </c>
      <c r="CH251" s="52">
        <f ca="1">IFERROR(IF(CH4&lt;'Get Started'!$E55,0,OFFSET(CH246,0,-1*'Get Started'!$E55)*'Get Started'!$E84/'Get Started'!$E82),0)+IFERROR(IF(CH4&lt;'Get Started'!$E65,0,OFFSET(CH246,0,-1*'Get Started'!$E65)*'Get Started'!$E86/'Get Started'!$E82),0)</f>
        <v>0</v>
      </c>
    </row>
    <row r="252" spans="1:86" ht="13" outlineLevel="1">
      <c r="A252" s="13"/>
      <c r="B252" s="13" t="s">
        <v>329</v>
      </c>
      <c r="C252" s="13"/>
      <c r="D252" s="13" t="s">
        <v>238</v>
      </c>
      <c r="E252" s="88">
        <f t="shared" ca="1" si="185"/>
        <v>0</v>
      </c>
      <c r="F252" s="48"/>
      <c r="G252" s="52">
        <f ca="1">IFERROR(IF(G4&lt;'Get Started'!$F55,0,OFFSET(G247,0,-1*'Get Started'!$F55)*'Get Started'!$F84/'Get Started'!$F82),0)+IFERROR(IF(G4&lt;'Get Started'!$F65,0,OFFSET(G247,0,-1*'Get Started'!$F65)*'Get Started'!$F86/'Get Started'!$F82),0)</f>
        <v>0</v>
      </c>
      <c r="H252" s="52">
        <f ca="1">IFERROR(IF(H4&lt;'Get Started'!$F55,0,OFFSET(H247,0,-1*'Get Started'!$F55)*'Get Started'!$F84/'Get Started'!$F82),0)+IFERROR(IF(H4&lt;'Get Started'!$F65,0,OFFSET(H247,0,-1*'Get Started'!$F65)*'Get Started'!$F86/'Get Started'!$F82),0)</f>
        <v>0</v>
      </c>
      <c r="I252" s="52">
        <f ca="1">IFERROR(IF(I4&lt;'Get Started'!$F55,0,OFFSET(I247,0,-1*'Get Started'!$F55)*'Get Started'!$F84/'Get Started'!$F82),0)+IFERROR(IF(I4&lt;'Get Started'!$F65,0,OFFSET(I247,0,-1*'Get Started'!$F65)*'Get Started'!$F86/'Get Started'!$F82),0)</f>
        <v>0</v>
      </c>
      <c r="J252" s="52">
        <f ca="1">IFERROR(IF(J4&lt;'Get Started'!$F55,0,OFFSET(J247,0,-1*'Get Started'!$F55)*'Get Started'!$F84/'Get Started'!$F82),0)+IFERROR(IF(J4&lt;'Get Started'!$F65,0,OFFSET(J247,0,-1*'Get Started'!$F65)*'Get Started'!$F86/'Get Started'!$F82),0)</f>
        <v>0</v>
      </c>
      <c r="K252" s="52">
        <f ca="1">IFERROR(IF(K4&lt;'Get Started'!$F55,0,OFFSET(K247,0,-1*'Get Started'!$F55)*'Get Started'!$F84/'Get Started'!$F82),0)+IFERROR(IF(K4&lt;'Get Started'!$F65,0,OFFSET(K247,0,-1*'Get Started'!$F65)*'Get Started'!$F86/'Get Started'!$F82),0)</f>
        <v>0</v>
      </c>
      <c r="L252" s="52">
        <f ca="1">IFERROR(IF(L4&lt;'Get Started'!$F55,0,OFFSET(L247,0,-1*'Get Started'!$F55)*'Get Started'!$F84/'Get Started'!$F82),0)+IFERROR(IF(L4&lt;'Get Started'!$F65,0,OFFSET(L247,0,-1*'Get Started'!$F65)*'Get Started'!$F86/'Get Started'!$F82),0)</f>
        <v>0</v>
      </c>
      <c r="M252" s="52">
        <f ca="1">IFERROR(IF(M4&lt;'Get Started'!$F55,0,OFFSET(M247,0,-1*'Get Started'!$F55)*'Get Started'!$F84/'Get Started'!$F82),0)+IFERROR(IF(M4&lt;'Get Started'!$F65,0,OFFSET(M247,0,-1*'Get Started'!$F65)*'Get Started'!$F86/'Get Started'!$F82),0)</f>
        <v>0</v>
      </c>
      <c r="N252" s="52">
        <f ca="1">IFERROR(IF(N4&lt;'Get Started'!$F55,0,OFFSET(N247,0,-1*'Get Started'!$F55)*'Get Started'!$F84/'Get Started'!$F82),0)+IFERROR(IF(N4&lt;'Get Started'!$F65,0,OFFSET(N247,0,-1*'Get Started'!$F65)*'Get Started'!$F86/'Get Started'!$F82),0)</f>
        <v>0</v>
      </c>
      <c r="O252" s="52">
        <f ca="1">IFERROR(IF(O4&lt;'Get Started'!$F55,0,OFFSET(O247,0,-1*'Get Started'!$F55)*'Get Started'!$F84/'Get Started'!$F82),0)+IFERROR(IF(O4&lt;'Get Started'!$F65,0,OFFSET(O247,0,-1*'Get Started'!$F65)*'Get Started'!$F86/'Get Started'!$F82),0)</f>
        <v>0</v>
      </c>
      <c r="P252" s="52">
        <f ca="1">IFERROR(IF(P4&lt;'Get Started'!$F55,0,OFFSET(P247,0,-1*'Get Started'!$F55)*'Get Started'!$F84/'Get Started'!$F82),0)+IFERROR(IF(P4&lt;'Get Started'!$F65,0,OFFSET(P247,0,-1*'Get Started'!$F65)*'Get Started'!$F86/'Get Started'!$F82),0)</f>
        <v>0</v>
      </c>
      <c r="Q252" s="52">
        <f ca="1">IFERROR(IF(Q4&lt;'Get Started'!$F55,0,OFFSET(Q247,0,-1*'Get Started'!$F55)*'Get Started'!$F84/'Get Started'!$F82),0)+IFERROR(IF(Q4&lt;'Get Started'!$F65,0,OFFSET(Q247,0,-1*'Get Started'!$F65)*'Get Started'!$F86/'Get Started'!$F82),0)</f>
        <v>0</v>
      </c>
      <c r="R252" s="52">
        <f ca="1">IFERROR(IF(R4&lt;'Get Started'!$F55,0,OFFSET(R247,0,-1*'Get Started'!$F55)*'Get Started'!$F84/'Get Started'!$F82),0)+IFERROR(IF(R4&lt;'Get Started'!$F65,0,OFFSET(R247,0,-1*'Get Started'!$F65)*'Get Started'!$F86/'Get Started'!$F82),0)</f>
        <v>0</v>
      </c>
      <c r="S252" s="52">
        <f ca="1">IFERROR(IF(S4&lt;'Get Started'!$F55,0,OFFSET(S247,0,-1*'Get Started'!$F55)*'Get Started'!$F84/'Get Started'!$F82),0)+IFERROR(IF(S4&lt;'Get Started'!$F65,0,OFFSET(S247,0,-1*'Get Started'!$F65)*'Get Started'!$F86/'Get Started'!$F82),0)</f>
        <v>0</v>
      </c>
      <c r="T252" s="52">
        <f ca="1">IFERROR(IF(T4&lt;'Get Started'!$F55,0,OFFSET(T247,0,-1*'Get Started'!$F55)*'Get Started'!$F84/'Get Started'!$F82),0)+IFERROR(IF(T4&lt;'Get Started'!$F65,0,OFFSET(T247,0,-1*'Get Started'!$F65)*'Get Started'!$F86/'Get Started'!$F82),0)</f>
        <v>0</v>
      </c>
      <c r="U252" s="52">
        <f ca="1">IFERROR(IF(U4&lt;'Get Started'!$F55,0,OFFSET(U247,0,-1*'Get Started'!$F55)*'Get Started'!$F84/'Get Started'!$F82),0)+IFERROR(IF(U4&lt;'Get Started'!$F65,0,OFFSET(U247,0,-1*'Get Started'!$F65)*'Get Started'!$F86/'Get Started'!$F82),0)</f>
        <v>0</v>
      </c>
      <c r="V252" s="52">
        <f ca="1">IFERROR(IF(V4&lt;'Get Started'!$F55,0,OFFSET(V247,0,-1*'Get Started'!$F55)*'Get Started'!$F84/'Get Started'!$F82),0)+IFERROR(IF(V4&lt;'Get Started'!$F65,0,OFFSET(V247,0,-1*'Get Started'!$F65)*'Get Started'!$F86/'Get Started'!$F82),0)</f>
        <v>0</v>
      </c>
      <c r="W252" s="52">
        <f ca="1">IFERROR(IF(W4&lt;'Get Started'!$F55,0,OFFSET(W247,0,-1*'Get Started'!$F55)*'Get Started'!$F84/'Get Started'!$F82),0)+IFERROR(IF(W4&lt;'Get Started'!$F65,0,OFFSET(W247,0,-1*'Get Started'!$F65)*'Get Started'!$F86/'Get Started'!$F82),0)</f>
        <v>0</v>
      </c>
      <c r="X252" s="52">
        <f ca="1">IFERROR(IF(X4&lt;'Get Started'!$F55,0,OFFSET(X247,0,-1*'Get Started'!$F55)*'Get Started'!$F84/'Get Started'!$F82),0)+IFERROR(IF(X4&lt;'Get Started'!$F65,0,OFFSET(X247,0,-1*'Get Started'!$F65)*'Get Started'!$F86/'Get Started'!$F82),0)</f>
        <v>0</v>
      </c>
      <c r="Y252" s="52">
        <f ca="1">IFERROR(IF(Y4&lt;'Get Started'!$F55,0,OFFSET(Y247,0,-1*'Get Started'!$F55)*'Get Started'!$F84/'Get Started'!$F82),0)+IFERROR(IF(Y4&lt;'Get Started'!$F65,0,OFFSET(Y247,0,-1*'Get Started'!$F65)*'Get Started'!$F86/'Get Started'!$F82),0)</f>
        <v>0</v>
      </c>
      <c r="Z252" s="52">
        <f ca="1">IFERROR(IF(Z4&lt;'Get Started'!$F55,0,OFFSET(Z247,0,-1*'Get Started'!$F55)*'Get Started'!$F84/'Get Started'!$F82),0)+IFERROR(IF(Z4&lt;'Get Started'!$F65,0,OFFSET(Z247,0,-1*'Get Started'!$F65)*'Get Started'!$F86/'Get Started'!$F82),0)</f>
        <v>0</v>
      </c>
      <c r="AA252" s="52">
        <f ca="1">IFERROR(IF(AA4&lt;'Get Started'!$F55,0,OFFSET(AA247,0,-1*'Get Started'!$F55)*'Get Started'!$F84/'Get Started'!$F82),0)+IFERROR(IF(AA4&lt;'Get Started'!$F65,0,OFFSET(AA247,0,-1*'Get Started'!$F65)*'Get Started'!$F86/'Get Started'!$F82),0)</f>
        <v>0</v>
      </c>
      <c r="AB252" s="52">
        <f ca="1">IFERROR(IF(AB4&lt;'Get Started'!$F55,0,OFFSET(AB247,0,-1*'Get Started'!$F55)*'Get Started'!$F84/'Get Started'!$F82),0)+IFERROR(IF(AB4&lt;'Get Started'!$F65,0,OFFSET(AB247,0,-1*'Get Started'!$F65)*'Get Started'!$F86/'Get Started'!$F82),0)</f>
        <v>0</v>
      </c>
      <c r="AC252" s="52">
        <f ca="1">IFERROR(IF(AC4&lt;'Get Started'!$F55,0,OFFSET(AC247,0,-1*'Get Started'!$F55)*'Get Started'!$F84/'Get Started'!$F82),0)+IFERROR(IF(AC4&lt;'Get Started'!$F65,0,OFFSET(AC247,0,-1*'Get Started'!$F65)*'Get Started'!$F86/'Get Started'!$F82),0)</f>
        <v>0</v>
      </c>
      <c r="AD252" s="52">
        <f ca="1">IFERROR(IF(AD4&lt;'Get Started'!$F55,0,OFFSET(AD247,0,-1*'Get Started'!$F55)*'Get Started'!$F84/'Get Started'!$F82),0)+IFERROR(IF(AD4&lt;'Get Started'!$F65,0,OFFSET(AD247,0,-1*'Get Started'!$F65)*'Get Started'!$F86/'Get Started'!$F82),0)</f>
        <v>0</v>
      </c>
      <c r="AE252" s="52">
        <f ca="1">IFERROR(IF(AE4&lt;'Get Started'!$F55,0,OFFSET(AE247,0,-1*'Get Started'!$F55)*'Get Started'!$F84/'Get Started'!$F82),0)+IFERROR(IF(AE4&lt;'Get Started'!$F65,0,OFFSET(AE247,0,-1*'Get Started'!$F65)*'Get Started'!$F86/'Get Started'!$F82),0)</f>
        <v>0</v>
      </c>
      <c r="AF252" s="52">
        <f ca="1">IFERROR(IF(AF4&lt;'Get Started'!$F55,0,OFFSET(AF247,0,-1*'Get Started'!$F55)*'Get Started'!$F84/'Get Started'!$F82),0)+IFERROR(IF(AF4&lt;'Get Started'!$F65,0,OFFSET(AF247,0,-1*'Get Started'!$F65)*'Get Started'!$F86/'Get Started'!$F82),0)</f>
        <v>0</v>
      </c>
      <c r="AG252" s="52">
        <f ca="1">IFERROR(IF(AG4&lt;'Get Started'!$F55,0,OFFSET(AG247,0,-1*'Get Started'!$F55)*'Get Started'!$F84/'Get Started'!$F82),0)+IFERROR(IF(AG4&lt;'Get Started'!$F65,0,OFFSET(AG247,0,-1*'Get Started'!$F65)*'Get Started'!$F86/'Get Started'!$F82),0)</f>
        <v>0</v>
      </c>
      <c r="AH252" s="52">
        <f ca="1">IFERROR(IF(AH4&lt;'Get Started'!$F55,0,OFFSET(AH247,0,-1*'Get Started'!$F55)*'Get Started'!$F84/'Get Started'!$F82),0)+IFERROR(IF(AH4&lt;'Get Started'!$F65,0,OFFSET(AH247,0,-1*'Get Started'!$F65)*'Get Started'!$F86/'Get Started'!$F82),0)</f>
        <v>0</v>
      </c>
      <c r="AI252" s="52">
        <f ca="1">IFERROR(IF(AI4&lt;'Get Started'!$F55,0,OFFSET(AI247,0,-1*'Get Started'!$F55)*'Get Started'!$F84/'Get Started'!$F82),0)+IFERROR(IF(AI4&lt;'Get Started'!$F65,0,OFFSET(AI247,0,-1*'Get Started'!$F65)*'Get Started'!$F86/'Get Started'!$F82),0)</f>
        <v>0</v>
      </c>
      <c r="AJ252" s="52">
        <f ca="1">IFERROR(IF(AJ4&lt;'Get Started'!$F55,0,OFFSET(AJ247,0,-1*'Get Started'!$F55)*'Get Started'!$F84/'Get Started'!$F82),0)+IFERROR(IF(AJ4&lt;'Get Started'!$F65,0,OFFSET(AJ247,0,-1*'Get Started'!$F65)*'Get Started'!$F86/'Get Started'!$F82),0)</f>
        <v>0</v>
      </c>
      <c r="AK252" s="52">
        <f ca="1">IFERROR(IF(AK4&lt;'Get Started'!$F55,0,OFFSET(AK247,0,-1*'Get Started'!$F55)*'Get Started'!$F84/'Get Started'!$F82),0)+IFERROR(IF(AK4&lt;'Get Started'!$F65,0,OFFSET(AK247,0,-1*'Get Started'!$F65)*'Get Started'!$F86/'Get Started'!$F82),0)</f>
        <v>0</v>
      </c>
      <c r="AL252" s="52">
        <f ca="1">IFERROR(IF(AL4&lt;'Get Started'!$F55,0,OFFSET(AL247,0,-1*'Get Started'!$F55)*'Get Started'!$F84/'Get Started'!$F82),0)+IFERROR(IF(AL4&lt;'Get Started'!$F65,0,OFFSET(AL247,0,-1*'Get Started'!$F65)*'Get Started'!$F86/'Get Started'!$F82),0)</f>
        <v>0</v>
      </c>
      <c r="AM252" s="52">
        <f ca="1">IFERROR(IF(AM4&lt;'Get Started'!$F55,0,OFFSET(AM247,0,-1*'Get Started'!$F55)*'Get Started'!$F84/'Get Started'!$F82),0)+IFERROR(IF(AM4&lt;'Get Started'!$F65,0,OFFSET(AM247,0,-1*'Get Started'!$F65)*'Get Started'!$F86/'Get Started'!$F82),0)</f>
        <v>0</v>
      </c>
      <c r="AN252" s="52">
        <f ca="1">IFERROR(IF(AN4&lt;'Get Started'!$F55,0,OFFSET(AN247,0,-1*'Get Started'!$F55)*'Get Started'!$F84/'Get Started'!$F82),0)+IFERROR(IF(AN4&lt;'Get Started'!$F65,0,OFFSET(AN247,0,-1*'Get Started'!$F65)*'Get Started'!$F86/'Get Started'!$F82),0)</f>
        <v>0</v>
      </c>
      <c r="AO252" s="52">
        <f ca="1">IFERROR(IF(AO4&lt;'Get Started'!$F55,0,OFFSET(AO247,0,-1*'Get Started'!$F55)*'Get Started'!$F84/'Get Started'!$F82),0)+IFERROR(IF(AO4&lt;'Get Started'!$F65,0,OFFSET(AO247,0,-1*'Get Started'!$F65)*'Get Started'!$F86/'Get Started'!$F82),0)</f>
        <v>0</v>
      </c>
      <c r="AP252" s="52">
        <f ca="1">IFERROR(IF(AP4&lt;'Get Started'!$F55,0,OFFSET(AP247,0,-1*'Get Started'!$F55)*'Get Started'!$F84/'Get Started'!$F82),0)+IFERROR(IF(AP4&lt;'Get Started'!$F65,0,OFFSET(AP247,0,-1*'Get Started'!$F65)*'Get Started'!$F86/'Get Started'!$F82),0)</f>
        <v>0</v>
      </c>
      <c r="AQ252" s="52">
        <f ca="1">IFERROR(IF(AQ4&lt;'Get Started'!$F55,0,OFFSET(AQ247,0,-1*'Get Started'!$F55)*'Get Started'!$F84/'Get Started'!$F82),0)+IFERROR(IF(AQ4&lt;'Get Started'!$F65,0,OFFSET(AQ247,0,-1*'Get Started'!$F65)*'Get Started'!$F86/'Get Started'!$F82),0)</f>
        <v>0</v>
      </c>
      <c r="AR252" s="52">
        <f ca="1">IFERROR(IF(AR4&lt;'Get Started'!$F55,0,OFFSET(AR247,0,-1*'Get Started'!$F55)*'Get Started'!$F84/'Get Started'!$F82),0)+IFERROR(IF(AR4&lt;'Get Started'!$F65,0,OFFSET(AR247,0,-1*'Get Started'!$F65)*'Get Started'!$F86/'Get Started'!$F82),0)</f>
        <v>0</v>
      </c>
      <c r="AS252" s="52">
        <f ca="1">IFERROR(IF(AS4&lt;'Get Started'!$F55,0,OFFSET(AS247,0,-1*'Get Started'!$F55)*'Get Started'!$F84/'Get Started'!$F82),0)+IFERROR(IF(AS4&lt;'Get Started'!$F65,0,OFFSET(AS247,0,-1*'Get Started'!$F65)*'Get Started'!$F86/'Get Started'!$F82),0)</f>
        <v>0</v>
      </c>
      <c r="AT252" s="52">
        <f ca="1">IFERROR(IF(AT4&lt;'Get Started'!$F55,0,OFFSET(AT247,0,-1*'Get Started'!$F55)*'Get Started'!$F84/'Get Started'!$F82),0)+IFERROR(IF(AT4&lt;'Get Started'!$F65,0,OFFSET(AT247,0,-1*'Get Started'!$F65)*'Get Started'!$F86/'Get Started'!$F82),0)</f>
        <v>0</v>
      </c>
      <c r="AU252" s="52">
        <f ca="1">IFERROR(IF(AU4&lt;'Get Started'!$F55,0,OFFSET(AU247,0,-1*'Get Started'!$F55)*'Get Started'!$F84/'Get Started'!$F82),0)+IFERROR(IF(AU4&lt;'Get Started'!$F65,0,OFFSET(AU247,0,-1*'Get Started'!$F65)*'Get Started'!$F86/'Get Started'!$F82),0)</f>
        <v>0</v>
      </c>
      <c r="AV252" s="52">
        <f ca="1">IFERROR(IF(AV4&lt;'Get Started'!$F55,0,OFFSET(AV247,0,-1*'Get Started'!$F55)*'Get Started'!$F84/'Get Started'!$F82),0)+IFERROR(IF(AV4&lt;'Get Started'!$F65,0,OFFSET(AV247,0,-1*'Get Started'!$F65)*'Get Started'!$F86/'Get Started'!$F82),0)</f>
        <v>0</v>
      </c>
      <c r="AW252" s="52">
        <f ca="1">IFERROR(IF(AW4&lt;'Get Started'!$F55,0,OFFSET(AW247,0,-1*'Get Started'!$F55)*'Get Started'!$F84/'Get Started'!$F82),0)+IFERROR(IF(AW4&lt;'Get Started'!$F65,0,OFFSET(AW247,0,-1*'Get Started'!$F65)*'Get Started'!$F86/'Get Started'!$F82),0)</f>
        <v>0</v>
      </c>
      <c r="AX252" s="52">
        <f ca="1">IFERROR(IF(AX4&lt;'Get Started'!$F55,0,OFFSET(AX247,0,-1*'Get Started'!$F55)*'Get Started'!$F84/'Get Started'!$F82),0)+IFERROR(IF(AX4&lt;'Get Started'!$F65,0,OFFSET(AX247,0,-1*'Get Started'!$F65)*'Get Started'!$F86/'Get Started'!$F82),0)</f>
        <v>0</v>
      </c>
      <c r="AY252" s="52">
        <f ca="1">IFERROR(IF(AY4&lt;'Get Started'!$F55,0,OFFSET(AY247,0,-1*'Get Started'!$F55)*'Get Started'!$F84/'Get Started'!$F82),0)+IFERROR(IF(AY4&lt;'Get Started'!$F65,0,OFFSET(AY247,0,-1*'Get Started'!$F65)*'Get Started'!$F86/'Get Started'!$F82),0)</f>
        <v>0</v>
      </c>
      <c r="AZ252" s="52">
        <f ca="1">IFERROR(IF(AZ4&lt;'Get Started'!$F55,0,OFFSET(AZ247,0,-1*'Get Started'!$F55)*'Get Started'!$F84/'Get Started'!$F82),0)+IFERROR(IF(AZ4&lt;'Get Started'!$F65,0,OFFSET(AZ247,0,-1*'Get Started'!$F65)*'Get Started'!$F86/'Get Started'!$F82),0)</f>
        <v>0</v>
      </c>
      <c r="BA252" s="52">
        <f ca="1">IFERROR(IF(BA4&lt;'Get Started'!$F55,0,OFFSET(BA247,0,-1*'Get Started'!$F55)*'Get Started'!$F84/'Get Started'!$F82),0)+IFERROR(IF(BA4&lt;'Get Started'!$F65,0,OFFSET(BA247,0,-1*'Get Started'!$F65)*'Get Started'!$F86/'Get Started'!$F82),0)</f>
        <v>0</v>
      </c>
      <c r="BB252" s="52">
        <f ca="1">IFERROR(IF(BB4&lt;'Get Started'!$F55,0,OFFSET(BB247,0,-1*'Get Started'!$F55)*'Get Started'!$F84/'Get Started'!$F82),0)+IFERROR(IF(BB4&lt;'Get Started'!$F65,0,OFFSET(BB247,0,-1*'Get Started'!$F65)*'Get Started'!$F86/'Get Started'!$F82),0)</f>
        <v>0</v>
      </c>
      <c r="BC252" s="52">
        <f ca="1">IFERROR(IF(BC4&lt;'Get Started'!$F55,0,OFFSET(BC247,0,-1*'Get Started'!$F55)*'Get Started'!$F84/'Get Started'!$F82),0)+IFERROR(IF(BC4&lt;'Get Started'!$F65,0,OFFSET(BC247,0,-1*'Get Started'!$F65)*'Get Started'!$F86/'Get Started'!$F82),0)</f>
        <v>0</v>
      </c>
      <c r="BD252" s="52">
        <f ca="1">IFERROR(IF(BD4&lt;'Get Started'!$F55,0,OFFSET(BD247,0,-1*'Get Started'!$F55)*'Get Started'!$F84/'Get Started'!$F82),0)+IFERROR(IF(BD4&lt;'Get Started'!$F65,0,OFFSET(BD247,0,-1*'Get Started'!$F65)*'Get Started'!$F86/'Get Started'!$F82),0)</f>
        <v>0</v>
      </c>
      <c r="BE252" s="52">
        <f ca="1">IFERROR(IF(BE4&lt;'Get Started'!$F55,0,OFFSET(BE247,0,-1*'Get Started'!$F55)*'Get Started'!$F84/'Get Started'!$F82),0)+IFERROR(IF(BE4&lt;'Get Started'!$F65,0,OFFSET(BE247,0,-1*'Get Started'!$F65)*'Get Started'!$F86/'Get Started'!$F82),0)</f>
        <v>0</v>
      </c>
      <c r="BF252" s="52">
        <f ca="1">IFERROR(IF(BF4&lt;'Get Started'!$F55,0,OFFSET(BF247,0,-1*'Get Started'!$F55)*'Get Started'!$F84/'Get Started'!$F82),0)+IFERROR(IF(BF4&lt;'Get Started'!$F65,0,OFFSET(BF247,0,-1*'Get Started'!$F65)*'Get Started'!$F86/'Get Started'!$F82),0)</f>
        <v>0</v>
      </c>
      <c r="BG252" s="52">
        <f ca="1">IFERROR(IF(BG4&lt;'Get Started'!$F55,0,OFFSET(BG247,0,-1*'Get Started'!$F55)*'Get Started'!$F84/'Get Started'!$F82),0)+IFERROR(IF(BG4&lt;'Get Started'!$F65,0,OFFSET(BG247,0,-1*'Get Started'!$F65)*'Get Started'!$F86/'Get Started'!$F82),0)</f>
        <v>0</v>
      </c>
      <c r="BH252" s="52">
        <f ca="1">IFERROR(IF(BH4&lt;'Get Started'!$F55,0,OFFSET(BH247,0,-1*'Get Started'!$F55)*'Get Started'!$F84/'Get Started'!$F82),0)+IFERROR(IF(BH4&lt;'Get Started'!$F65,0,OFFSET(BH247,0,-1*'Get Started'!$F65)*'Get Started'!$F86/'Get Started'!$F82),0)</f>
        <v>0</v>
      </c>
      <c r="BI252" s="52">
        <f ca="1">IFERROR(IF(BI4&lt;'Get Started'!$F55,0,OFFSET(BI247,0,-1*'Get Started'!$F55)*'Get Started'!$F84/'Get Started'!$F82),0)+IFERROR(IF(BI4&lt;'Get Started'!$F65,0,OFFSET(BI247,0,-1*'Get Started'!$F65)*'Get Started'!$F86/'Get Started'!$F82),0)</f>
        <v>0</v>
      </c>
      <c r="BJ252" s="52">
        <f ca="1">IFERROR(IF(BJ4&lt;'Get Started'!$F55,0,OFFSET(BJ247,0,-1*'Get Started'!$F55)*'Get Started'!$F84/'Get Started'!$F82),0)+IFERROR(IF(BJ4&lt;'Get Started'!$F65,0,OFFSET(BJ247,0,-1*'Get Started'!$F65)*'Get Started'!$F86/'Get Started'!$F82),0)</f>
        <v>0</v>
      </c>
      <c r="BK252" s="52">
        <f ca="1">IFERROR(IF(BK4&lt;'Get Started'!$F55,0,OFFSET(BK247,0,-1*'Get Started'!$F55)*'Get Started'!$F84/'Get Started'!$F82),0)+IFERROR(IF(BK4&lt;'Get Started'!$F65,0,OFFSET(BK247,0,-1*'Get Started'!$F65)*'Get Started'!$F86/'Get Started'!$F82),0)</f>
        <v>0</v>
      </c>
      <c r="BL252" s="52">
        <f ca="1">IFERROR(IF(BL4&lt;'Get Started'!$F55,0,OFFSET(BL247,0,-1*'Get Started'!$F55)*'Get Started'!$F84/'Get Started'!$F82),0)+IFERROR(IF(BL4&lt;'Get Started'!$F65,0,OFFSET(BL247,0,-1*'Get Started'!$F65)*'Get Started'!$F86/'Get Started'!$F82),0)</f>
        <v>0</v>
      </c>
      <c r="BM252" s="52">
        <f ca="1">IFERROR(IF(BM4&lt;'Get Started'!$F55,0,OFFSET(BM247,0,-1*'Get Started'!$F55)*'Get Started'!$F84/'Get Started'!$F82),0)+IFERROR(IF(BM4&lt;'Get Started'!$F65,0,OFFSET(BM247,0,-1*'Get Started'!$F65)*'Get Started'!$F86/'Get Started'!$F82),0)</f>
        <v>0</v>
      </c>
      <c r="BN252" s="52">
        <f ca="1">IFERROR(IF(BN4&lt;'Get Started'!$F55,0,OFFSET(BN247,0,-1*'Get Started'!$F55)*'Get Started'!$F84/'Get Started'!$F82),0)+IFERROR(IF(BN4&lt;'Get Started'!$F65,0,OFFSET(BN247,0,-1*'Get Started'!$F65)*'Get Started'!$F86/'Get Started'!$F82),0)</f>
        <v>0</v>
      </c>
      <c r="BO252" s="52">
        <f ca="1">IFERROR(IF(BO4&lt;'Get Started'!$F55,0,OFFSET(BO247,0,-1*'Get Started'!$F55)*'Get Started'!$F84/'Get Started'!$F82),0)+IFERROR(IF(BO4&lt;'Get Started'!$F65,0,OFFSET(BO247,0,-1*'Get Started'!$F65)*'Get Started'!$F86/'Get Started'!$F82),0)</f>
        <v>0</v>
      </c>
      <c r="BP252" s="52">
        <f ca="1">IFERROR(IF(BP4&lt;'Get Started'!$F55,0,OFFSET(BP247,0,-1*'Get Started'!$F55)*'Get Started'!$F84/'Get Started'!$F82),0)+IFERROR(IF(BP4&lt;'Get Started'!$F65,0,OFFSET(BP247,0,-1*'Get Started'!$F65)*'Get Started'!$F86/'Get Started'!$F82),0)</f>
        <v>0</v>
      </c>
      <c r="BQ252" s="52">
        <f ca="1">IFERROR(IF(BQ4&lt;'Get Started'!$F55,0,OFFSET(BQ247,0,-1*'Get Started'!$F55)*'Get Started'!$F84/'Get Started'!$F82),0)+IFERROR(IF(BQ4&lt;'Get Started'!$F65,0,OFFSET(BQ247,0,-1*'Get Started'!$F65)*'Get Started'!$F86/'Get Started'!$F82),0)</f>
        <v>0</v>
      </c>
      <c r="BR252" s="52">
        <f ca="1">IFERROR(IF(BR4&lt;'Get Started'!$F55,0,OFFSET(BR247,0,-1*'Get Started'!$F55)*'Get Started'!$F84/'Get Started'!$F82),0)+IFERROR(IF(BR4&lt;'Get Started'!$F65,0,OFFSET(BR247,0,-1*'Get Started'!$F65)*'Get Started'!$F86/'Get Started'!$F82),0)</f>
        <v>0</v>
      </c>
      <c r="BS252" s="52">
        <f ca="1">IFERROR(IF(BS4&lt;'Get Started'!$F55,0,OFFSET(BS247,0,-1*'Get Started'!$F55)*'Get Started'!$F84/'Get Started'!$F82),0)+IFERROR(IF(BS4&lt;'Get Started'!$F65,0,OFFSET(BS247,0,-1*'Get Started'!$F65)*'Get Started'!$F86/'Get Started'!$F82),0)</f>
        <v>0</v>
      </c>
      <c r="BT252" s="52">
        <f ca="1">IFERROR(IF(BT4&lt;'Get Started'!$F55,0,OFFSET(BT247,0,-1*'Get Started'!$F55)*'Get Started'!$F84/'Get Started'!$F82),0)+IFERROR(IF(BT4&lt;'Get Started'!$F65,0,OFFSET(BT247,0,-1*'Get Started'!$F65)*'Get Started'!$F86/'Get Started'!$F82),0)</f>
        <v>0</v>
      </c>
      <c r="BU252" s="52">
        <f ca="1">IFERROR(IF(BU4&lt;'Get Started'!$F55,0,OFFSET(BU247,0,-1*'Get Started'!$F55)*'Get Started'!$F84/'Get Started'!$F82),0)+IFERROR(IF(BU4&lt;'Get Started'!$F65,0,OFFSET(BU247,0,-1*'Get Started'!$F65)*'Get Started'!$F86/'Get Started'!$F82),0)</f>
        <v>0</v>
      </c>
      <c r="BV252" s="52">
        <f ca="1">IFERROR(IF(BV4&lt;'Get Started'!$F55,0,OFFSET(BV247,0,-1*'Get Started'!$F55)*'Get Started'!$F84/'Get Started'!$F82),0)+IFERROR(IF(BV4&lt;'Get Started'!$F65,0,OFFSET(BV247,0,-1*'Get Started'!$F65)*'Get Started'!$F86/'Get Started'!$F82),0)</f>
        <v>0</v>
      </c>
      <c r="BW252" s="52">
        <f ca="1">IFERROR(IF(BW4&lt;'Get Started'!$F55,0,OFFSET(BW247,0,-1*'Get Started'!$F55)*'Get Started'!$F84/'Get Started'!$F82),0)+IFERROR(IF(BW4&lt;'Get Started'!$F65,0,OFFSET(BW247,0,-1*'Get Started'!$F65)*'Get Started'!$F86/'Get Started'!$F82),0)</f>
        <v>0</v>
      </c>
      <c r="BX252" s="52">
        <f ca="1">IFERROR(IF(BX4&lt;'Get Started'!$F55,0,OFFSET(BX247,0,-1*'Get Started'!$F55)*'Get Started'!$F84/'Get Started'!$F82),0)+IFERROR(IF(BX4&lt;'Get Started'!$F65,0,OFFSET(BX247,0,-1*'Get Started'!$F65)*'Get Started'!$F86/'Get Started'!$F82),0)</f>
        <v>0</v>
      </c>
      <c r="BY252" s="52">
        <f ca="1">IFERROR(IF(BY4&lt;'Get Started'!$F55,0,OFFSET(BY247,0,-1*'Get Started'!$F55)*'Get Started'!$F84/'Get Started'!$F82),0)+IFERROR(IF(BY4&lt;'Get Started'!$F65,0,OFFSET(BY247,0,-1*'Get Started'!$F65)*'Get Started'!$F86/'Get Started'!$F82),0)</f>
        <v>0</v>
      </c>
      <c r="BZ252" s="52">
        <f ca="1">IFERROR(IF(BZ4&lt;'Get Started'!$F55,0,OFFSET(BZ247,0,-1*'Get Started'!$F55)*'Get Started'!$F84/'Get Started'!$F82),0)+IFERROR(IF(BZ4&lt;'Get Started'!$F65,0,OFFSET(BZ247,0,-1*'Get Started'!$F65)*'Get Started'!$F86/'Get Started'!$F82),0)</f>
        <v>0</v>
      </c>
      <c r="CA252" s="52">
        <f ca="1">IFERROR(IF(CA4&lt;'Get Started'!$F55,0,OFFSET(CA247,0,-1*'Get Started'!$F55)*'Get Started'!$F84/'Get Started'!$F82),0)+IFERROR(IF(CA4&lt;'Get Started'!$F65,0,OFFSET(CA247,0,-1*'Get Started'!$F65)*'Get Started'!$F86/'Get Started'!$F82),0)</f>
        <v>0</v>
      </c>
      <c r="CB252" s="52">
        <f ca="1">IFERROR(IF(CB4&lt;'Get Started'!$F55,0,OFFSET(CB247,0,-1*'Get Started'!$F55)*'Get Started'!$F84/'Get Started'!$F82),0)+IFERROR(IF(CB4&lt;'Get Started'!$F65,0,OFFSET(CB247,0,-1*'Get Started'!$F65)*'Get Started'!$F86/'Get Started'!$F82),0)</f>
        <v>0</v>
      </c>
      <c r="CC252" s="52">
        <f ca="1">IFERROR(IF(CC4&lt;'Get Started'!$F55,0,OFFSET(CC247,0,-1*'Get Started'!$F55)*'Get Started'!$F84/'Get Started'!$F82),0)+IFERROR(IF(CC4&lt;'Get Started'!$F65,0,OFFSET(CC247,0,-1*'Get Started'!$F65)*'Get Started'!$F86/'Get Started'!$F82),0)</f>
        <v>0</v>
      </c>
      <c r="CD252" s="52">
        <f ca="1">IFERROR(IF(CD4&lt;'Get Started'!$F55,0,OFFSET(CD247,0,-1*'Get Started'!$F55)*'Get Started'!$F84/'Get Started'!$F82),0)+IFERROR(IF(CD4&lt;'Get Started'!$F65,0,OFFSET(CD247,0,-1*'Get Started'!$F65)*'Get Started'!$F86/'Get Started'!$F82),0)</f>
        <v>0</v>
      </c>
      <c r="CE252" s="52">
        <f ca="1">IFERROR(IF(CE4&lt;'Get Started'!$F55,0,OFFSET(CE247,0,-1*'Get Started'!$F55)*'Get Started'!$F84/'Get Started'!$F82),0)+IFERROR(IF(CE4&lt;'Get Started'!$F65,0,OFFSET(CE247,0,-1*'Get Started'!$F65)*'Get Started'!$F86/'Get Started'!$F82),0)</f>
        <v>0</v>
      </c>
      <c r="CF252" s="52">
        <f ca="1">IFERROR(IF(CF4&lt;'Get Started'!$F55,0,OFFSET(CF247,0,-1*'Get Started'!$F55)*'Get Started'!$F84/'Get Started'!$F82),0)+IFERROR(IF(CF4&lt;'Get Started'!$F65,0,OFFSET(CF247,0,-1*'Get Started'!$F65)*'Get Started'!$F86/'Get Started'!$F82),0)</f>
        <v>0</v>
      </c>
      <c r="CG252" s="52">
        <f ca="1">IFERROR(IF(CG4&lt;'Get Started'!$F55,0,OFFSET(CG247,0,-1*'Get Started'!$F55)*'Get Started'!$F84/'Get Started'!$F82),0)+IFERROR(IF(CG4&lt;'Get Started'!$F65,0,OFFSET(CG247,0,-1*'Get Started'!$F65)*'Get Started'!$F86/'Get Started'!$F82),0)</f>
        <v>0</v>
      </c>
      <c r="CH252" s="52">
        <f ca="1">IFERROR(IF(CH4&lt;'Get Started'!$F55,0,OFFSET(CH247,0,-1*'Get Started'!$F55)*'Get Started'!$F84/'Get Started'!$F82),0)+IFERROR(IF(CH4&lt;'Get Started'!$F65,0,OFFSET(CH247,0,-1*'Get Started'!$F65)*'Get Started'!$F86/'Get Started'!$F82),0)</f>
        <v>0</v>
      </c>
    </row>
    <row r="253" spans="1:86" ht="13" outlineLevel="1">
      <c r="A253" s="13"/>
      <c r="B253" s="13" t="s">
        <v>329</v>
      </c>
      <c r="C253" s="13"/>
      <c r="D253" s="13" t="s">
        <v>238</v>
      </c>
      <c r="E253" s="88">
        <f t="shared" ca="1" si="185"/>
        <v>0</v>
      </c>
      <c r="F253" s="48"/>
      <c r="G253" s="52">
        <f ca="1">IFERROR(IF(G4&lt;'Get Started'!$G55,0,OFFSET(G248,0,-1*'Get Started'!$G55)*'Get Started'!$G84/'Get Started'!$G82),0)+IFERROR(IF(G4&lt;'Get Started'!$G65,0,OFFSET(G248,0,-1*'Get Started'!$G65)*'Get Started'!$G86/'Get Started'!$G82),0)</f>
        <v>0</v>
      </c>
      <c r="H253" s="52">
        <f ca="1">IFERROR(IF(H4&lt;'Get Started'!$G55,0,OFFSET(H248,0,-1*'Get Started'!$G55)*'Get Started'!$G84/'Get Started'!$G82),0)+IFERROR(IF(H4&lt;'Get Started'!$G65,0,OFFSET(H248,0,-1*'Get Started'!$G65)*'Get Started'!$G86/'Get Started'!$G82),0)</f>
        <v>0</v>
      </c>
      <c r="I253" s="52">
        <f ca="1">IFERROR(IF(I4&lt;'Get Started'!$G55,0,OFFSET(I248,0,-1*'Get Started'!$G55)*'Get Started'!$G84/'Get Started'!$G82),0)+IFERROR(IF(I4&lt;'Get Started'!$G65,0,OFFSET(I248,0,-1*'Get Started'!$G65)*'Get Started'!$G86/'Get Started'!$G82),0)</f>
        <v>0</v>
      </c>
      <c r="J253" s="52">
        <f ca="1">IFERROR(IF(J4&lt;'Get Started'!$G55,0,OFFSET(J248,0,-1*'Get Started'!$G55)*'Get Started'!$G84/'Get Started'!$G82),0)+IFERROR(IF(J4&lt;'Get Started'!$G65,0,OFFSET(J248,0,-1*'Get Started'!$G65)*'Get Started'!$G86/'Get Started'!$G82),0)</f>
        <v>0</v>
      </c>
      <c r="K253" s="52">
        <f ca="1">IFERROR(IF(K4&lt;'Get Started'!$G55,0,OFFSET(K248,0,-1*'Get Started'!$G55)*'Get Started'!$G84/'Get Started'!$G82),0)+IFERROR(IF(K4&lt;'Get Started'!$G65,0,OFFSET(K248,0,-1*'Get Started'!$G65)*'Get Started'!$G86/'Get Started'!$G82),0)</f>
        <v>0</v>
      </c>
      <c r="L253" s="52">
        <f ca="1">IFERROR(IF(L4&lt;'Get Started'!$G55,0,OFFSET(L248,0,-1*'Get Started'!$G55)*'Get Started'!$G84/'Get Started'!$G82),0)+IFERROR(IF(L4&lt;'Get Started'!$G65,0,OFFSET(L248,0,-1*'Get Started'!$G65)*'Get Started'!$G86/'Get Started'!$G82),0)</f>
        <v>0</v>
      </c>
      <c r="M253" s="52">
        <f ca="1">IFERROR(IF(M4&lt;'Get Started'!$G55,0,OFFSET(M248,0,-1*'Get Started'!$G55)*'Get Started'!$G84/'Get Started'!$G82),0)+IFERROR(IF(M4&lt;'Get Started'!$G65,0,OFFSET(M248,0,-1*'Get Started'!$G65)*'Get Started'!$G86/'Get Started'!$G82),0)</f>
        <v>0</v>
      </c>
      <c r="N253" s="52">
        <f ca="1">IFERROR(IF(N4&lt;'Get Started'!$G55,0,OFFSET(N248,0,-1*'Get Started'!$G55)*'Get Started'!$G84/'Get Started'!$G82),0)+IFERROR(IF(N4&lt;'Get Started'!$G65,0,OFFSET(N248,0,-1*'Get Started'!$G65)*'Get Started'!$G86/'Get Started'!$G82),0)</f>
        <v>0</v>
      </c>
      <c r="O253" s="52">
        <f ca="1">IFERROR(IF(O4&lt;'Get Started'!$G55,0,OFFSET(O248,0,-1*'Get Started'!$G55)*'Get Started'!$G84/'Get Started'!$G82),0)+IFERROR(IF(O4&lt;'Get Started'!$G65,0,OFFSET(O248,0,-1*'Get Started'!$G65)*'Get Started'!$G86/'Get Started'!$G82),0)</f>
        <v>0</v>
      </c>
      <c r="P253" s="52">
        <f ca="1">IFERROR(IF(P4&lt;'Get Started'!$G55,0,OFFSET(P248,0,-1*'Get Started'!$G55)*'Get Started'!$G84/'Get Started'!$G82),0)+IFERROR(IF(P4&lt;'Get Started'!$G65,0,OFFSET(P248,0,-1*'Get Started'!$G65)*'Get Started'!$G86/'Get Started'!$G82),0)</f>
        <v>0</v>
      </c>
      <c r="Q253" s="52">
        <f ca="1">IFERROR(IF(Q4&lt;'Get Started'!$G55,0,OFFSET(Q248,0,-1*'Get Started'!$G55)*'Get Started'!$G84/'Get Started'!$G82),0)+IFERROR(IF(Q4&lt;'Get Started'!$G65,0,OFFSET(Q248,0,-1*'Get Started'!$G65)*'Get Started'!$G86/'Get Started'!$G82),0)</f>
        <v>0</v>
      </c>
      <c r="R253" s="52">
        <f ca="1">IFERROR(IF(R4&lt;'Get Started'!$G55,0,OFFSET(R248,0,-1*'Get Started'!$G55)*'Get Started'!$G84/'Get Started'!$G82),0)+IFERROR(IF(R4&lt;'Get Started'!$G65,0,OFFSET(R248,0,-1*'Get Started'!$G65)*'Get Started'!$G86/'Get Started'!$G82),0)</f>
        <v>0</v>
      </c>
      <c r="S253" s="52">
        <f ca="1">IFERROR(IF(S4&lt;'Get Started'!$G55,0,OFFSET(S248,0,-1*'Get Started'!$G55)*'Get Started'!$G84/'Get Started'!$G82),0)+IFERROR(IF(S4&lt;'Get Started'!$G65,0,OFFSET(S248,0,-1*'Get Started'!$G65)*'Get Started'!$G86/'Get Started'!$G82),0)</f>
        <v>0</v>
      </c>
      <c r="T253" s="52">
        <f ca="1">IFERROR(IF(T4&lt;'Get Started'!$G55,0,OFFSET(T248,0,-1*'Get Started'!$G55)*'Get Started'!$G84/'Get Started'!$G82),0)+IFERROR(IF(T4&lt;'Get Started'!$G65,0,OFFSET(T248,0,-1*'Get Started'!$G65)*'Get Started'!$G86/'Get Started'!$G82),0)</f>
        <v>0</v>
      </c>
      <c r="U253" s="52">
        <f ca="1">IFERROR(IF(U4&lt;'Get Started'!$G55,0,OFFSET(U248,0,-1*'Get Started'!$G55)*'Get Started'!$G84/'Get Started'!$G82),0)+IFERROR(IF(U4&lt;'Get Started'!$G65,0,OFFSET(U248,0,-1*'Get Started'!$G65)*'Get Started'!$G86/'Get Started'!$G82),0)</f>
        <v>0</v>
      </c>
      <c r="V253" s="52">
        <f ca="1">IFERROR(IF(V4&lt;'Get Started'!$G55,0,OFFSET(V248,0,-1*'Get Started'!$G55)*'Get Started'!$G84/'Get Started'!$G82),0)+IFERROR(IF(V4&lt;'Get Started'!$G65,0,OFFSET(V248,0,-1*'Get Started'!$G65)*'Get Started'!$G86/'Get Started'!$G82),0)</f>
        <v>0</v>
      </c>
      <c r="W253" s="52">
        <f ca="1">IFERROR(IF(W4&lt;'Get Started'!$G55,0,OFFSET(W248,0,-1*'Get Started'!$G55)*'Get Started'!$G84/'Get Started'!$G82),0)+IFERROR(IF(W4&lt;'Get Started'!$G65,0,OFFSET(W248,0,-1*'Get Started'!$G65)*'Get Started'!$G86/'Get Started'!$G82),0)</f>
        <v>0</v>
      </c>
      <c r="X253" s="52">
        <f ca="1">IFERROR(IF(X4&lt;'Get Started'!$G55,0,OFFSET(X248,0,-1*'Get Started'!$G55)*'Get Started'!$G84/'Get Started'!$G82),0)+IFERROR(IF(X4&lt;'Get Started'!$G65,0,OFFSET(X248,0,-1*'Get Started'!$G65)*'Get Started'!$G86/'Get Started'!$G82),0)</f>
        <v>0</v>
      </c>
      <c r="Y253" s="52">
        <f ca="1">IFERROR(IF(Y4&lt;'Get Started'!$G55,0,OFFSET(Y248,0,-1*'Get Started'!$G55)*'Get Started'!$G84/'Get Started'!$G82),0)+IFERROR(IF(Y4&lt;'Get Started'!$G65,0,OFFSET(Y248,0,-1*'Get Started'!$G65)*'Get Started'!$G86/'Get Started'!$G82),0)</f>
        <v>0</v>
      </c>
      <c r="Z253" s="52">
        <f ca="1">IFERROR(IF(Z4&lt;'Get Started'!$G55,0,OFFSET(Z248,0,-1*'Get Started'!$G55)*'Get Started'!$G84/'Get Started'!$G82),0)+IFERROR(IF(Z4&lt;'Get Started'!$G65,0,OFFSET(Z248,0,-1*'Get Started'!$G65)*'Get Started'!$G86/'Get Started'!$G82),0)</f>
        <v>0</v>
      </c>
      <c r="AA253" s="52">
        <f ca="1">IFERROR(IF(AA4&lt;'Get Started'!$G55,0,OFFSET(AA248,0,-1*'Get Started'!$G55)*'Get Started'!$G84/'Get Started'!$G82),0)+IFERROR(IF(AA4&lt;'Get Started'!$G65,0,OFFSET(AA248,0,-1*'Get Started'!$G65)*'Get Started'!$G86/'Get Started'!$G82),0)</f>
        <v>0</v>
      </c>
      <c r="AB253" s="52">
        <f ca="1">IFERROR(IF(AB4&lt;'Get Started'!$G55,0,OFFSET(AB248,0,-1*'Get Started'!$G55)*'Get Started'!$G84/'Get Started'!$G82),0)+IFERROR(IF(AB4&lt;'Get Started'!$G65,0,OFFSET(AB248,0,-1*'Get Started'!$G65)*'Get Started'!$G86/'Get Started'!$G82),0)</f>
        <v>0</v>
      </c>
      <c r="AC253" s="52">
        <f ca="1">IFERROR(IF(AC4&lt;'Get Started'!$G55,0,OFFSET(AC248,0,-1*'Get Started'!$G55)*'Get Started'!$G84/'Get Started'!$G82),0)+IFERROR(IF(AC4&lt;'Get Started'!$G65,0,OFFSET(AC248,0,-1*'Get Started'!$G65)*'Get Started'!$G86/'Get Started'!$G82),0)</f>
        <v>0</v>
      </c>
      <c r="AD253" s="52">
        <f ca="1">IFERROR(IF(AD4&lt;'Get Started'!$G55,0,OFFSET(AD248,0,-1*'Get Started'!$G55)*'Get Started'!$G84/'Get Started'!$G82),0)+IFERROR(IF(AD4&lt;'Get Started'!$G65,0,OFFSET(AD248,0,-1*'Get Started'!$G65)*'Get Started'!$G86/'Get Started'!$G82),0)</f>
        <v>0</v>
      </c>
      <c r="AE253" s="52">
        <f ca="1">IFERROR(IF(AE4&lt;'Get Started'!$G55,0,OFFSET(AE248,0,-1*'Get Started'!$G55)*'Get Started'!$G84/'Get Started'!$G82),0)+IFERROR(IF(AE4&lt;'Get Started'!$G65,0,OFFSET(AE248,0,-1*'Get Started'!$G65)*'Get Started'!$G86/'Get Started'!$G82),0)</f>
        <v>0</v>
      </c>
      <c r="AF253" s="52">
        <f ca="1">IFERROR(IF(AF4&lt;'Get Started'!$G55,0,OFFSET(AF248,0,-1*'Get Started'!$G55)*'Get Started'!$G84/'Get Started'!$G82),0)+IFERROR(IF(AF4&lt;'Get Started'!$G65,0,OFFSET(AF248,0,-1*'Get Started'!$G65)*'Get Started'!$G86/'Get Started'!$G82),0)</f>
        <v>0</v>
      </c>
      <c r="AG253" s="52">
        <f ca="1">IFERROR(IF(AG4&lt;'Get Started'!$G55,0,OFFSET(AG248,0,-1*'Get Started'!$G55)*'Get Started'!$G84/'Get Started'!$G82),0)+IFERROR(IF(AG4&lt;'Get Started'!$G65,0,OFFSET(AG248,0,-1*'Get Started'!$G65)*'Get Started'!$G86/'Get Started'!$G82),0)</f>
        <v>0</v>
      </c>
      <c r="AH253" s="52">
        <f ca="1">IFERROR(IF(AH4&lt;'Get Started'!$G55,0,OFFSET(AH248,0,-1*'Get Started'!$G55)*'Get Started'!$G84/'Get Started'!$G82),0)+IFERROR(IF(AH4&lt;'Get Started'!$G65,0,OFFSET(AH248,0,-1*'Get Started'!$G65)*'Get Started'!$G86/'Get Started'!$G82),0)</f>
        <v>0</v>
      </c>
      <c r="AI253" s="52">
        <f ca="1">IFERROR(IF(AI4&lt;'Get Started'!$G55,0,OFFSET(AI248,0,-1*'Get Started'!$G55)*'Get Started'!$G84/'Get Started'!$G82),0)+IFERROR(IF(AI4&lt;'Get Started'!$G65,0,OFFSET(AI248,0,-1*'Get Started'!$G65)*'Get Started'!$G86/'Get Started'!$G82),0)</f>
        <v>0</v>
      </c>
      <c r="AJ253" s="52">
        <f ca="1">IFERROR(IF(AJ4&lt;'Get Started'!$G55,0,OFFSET(AJ248,0,-1*'Get Started'!$G55)*'Get Started'!$G84/'Get Started'!$G82),0)+IFERROR(IF(AJ4&lt;'Get Started'!$G65,0,OFFSET(AJ248,0,-1*'Get Started'!$G65)*'Get Started'!$G86/'Get Started'!$G82),0)</f>
        <v>0</v>
      </c>
      <c r="AK253" s="52">
        <f ca="1">IFERROR(IF(AK4&lt;'Get Started'!$G55,0,OFFSET(AK248,0,-1*'Get Started'!$G55)*'Get Started'!$G84/'Get Started'!$G82),0)+IFERROR(IF(AK4&lt;'Get Started'!$G65,0,OFFSET(AK248,0,-1*'Get Started'!$G65)*'Get Started'!$G86/'Get Started'!$G82),0)</f>
        <v>0</v>
      </c>
      <c r="AL253" s="52">
        <f ca="1">IFERROR(IF(AL4&lt;'Get Started'!$G55,0,OFFSET(AL248,0,-1*'Get Started'!$G55)*'Get Started'!$G84/'Get Started'!$G82),0)+IFERROR(IF(AL4&lt;'Get Started'!$G65,0,OFFSET(AL248,0,-1*'Get Started'!$G65)*'Get Started'!$G86/'Get Started'!$G82),0)</f>
        <v>0</v>
      </c>
      <c r="AM253" s="52">
        <f ca="1">IFERROR(IF(AM4&lt;'Get Started'!$G55,0,OFFSET(AM248,0,-1*'Get Started'!$G55)*'Get Started'!$G84/'Get Started'!$G82),0)+IFERROR(IF(AM4&lt;'Get Started'!$G65,0,OFFSET(AM248,0,-1*'Get Started'!$G65)*'Get Started'!$G86/'Get Started'!$G82),0)</f>
        <v>0</v>
      </c>
      <c r="AN253" s="52">
        <f ca="1">IFERROR(IF(AN4&lt;'Get Started'!$G55,0,OFFSET(AN248,0,-1*'Get Started'!$G55)*'Get Started'!$G84/'Get Started'!$G82),0)+IFERROR(IF(AN4&lt;'Get Started'!$G65,0,OFFSET(AN248,0,-1*'Get Started'!$G65)*'Get Started'!$G86/'Get Started'!$G82),0)</f>
        <v>0</v>
      </c>
      <c r="AO253" s="52">
        <f ca="1">IFERROR(IF(AO4&lt;'Get Started'!$G55,0,OFFSET(AO248,0,-1*'Get Started'!$G55)*'Get Started'!$G84/'Get Started'!$G82),0)+IFERROR(IF(AO4&lt;'Get Started'!$G65,0,OFFSET(AO248,0,-1*'Get Started'!$G65)*'Get Started'!$G86/'Get Started'!$G82),0)</f>
        <v>0</v>
      </c>
      <c r="AP253" s="52">
        <f ca="1">IFERROR(IF(AP4&lt;'Get Started'!$G55,0,OFFSET(AP248,0,-1*'Get Started'!$G55)*'Get Started'!$G84/'Get Started'!$G82),0)+IFERROR(IF(AP4&lt;'Get Started'!$G65,0,OFFSET(AP248,0,-1*'Get Started'!$G65)*'Get Started'!$G86/'Get Started'!$G82),0)</f>
        <v>0</v>
      </c>
      <c r="AQ253" s="52">
        <f ca="1">IFERROR(IF(AQ4&lt;'Get Started'!$G55,0,OFFSET(AQ248,0,-1*'Get Started'!$G55)*'Get Started'!$G84/'Get Started'!$G82),0)+IFERROR(IF(AQ4&lt;'Get Started'!$G65,0,OFFSET(AQ248,0,-1*'Get Started'!$G65)*'Get Started'!$G86/'Get Started'!$G82),0)</f>
        <v>0</v>
      </c>
      <c r="AR253" s="52">
        <f ca="1">IFERROR(IF(AR4&lt;'Get Started'!$G55,0,OFFSET(AR248,0,-1*'Get Started'!$G55)*'Get Started'!$G84/'Get Started'!$G82),0)+IFERROR(IF(AR4&lt;'Get Started'!$G65,0,OFFSET(AR248,0,-1*'Get Started'!$G65)*'Get Started'!$G86/'Get Started'!$G82),0)</f>
        <v>0</v>
      </c>
      <c r="AS253" s="52">
        <f ca="1">IFERROR(IF(AS4&lt;'Get Started'!$G55,0,OFFSET(AS248,0,-1*'Get Started'!$G55)*'Get Started'!$G84/'Get Started'!$G82),0)+IFERROR(IF(AS4&lt;'Get Started'!$G65,0,OFFSET(AS248,0,-1*'Get Started'!$G65)*'Get Started'!$G86/'Get Started'!$G82),0)</f>
        <v>0</v>
      </c>
      <c r="AT253" s="52">
        <f ca="1">IFERROR(IF(AT4&lt;'Get Started'!$G55,0,OFFSET(AT248,0,-1*'Get Started'!$G55)*'Get Started'!$G84/'Get Started'!$G82),0)+IFERROR(IF(AT4&lt;'Get Started'!$G65,0,OFFSET(AT248,0,-1*'Get Started'!$G65)*'Get Started'!$G86/'Get Started'!$G82),0)</f>
        <v>0</v>
      </c>
      <c r="AU253" s="52">
        <f ca="1">IFERROR(IF(AU4&lt;'Get Started'!$G55,0,OFFSET(AU248,0,-1*'Get Started'!$G55)*'Get Started'!$G84/'Get Started'!$G82),0)+IFERROR(IF(AU4&lt;'Get Started'!$G65,0,OFFSET(AU248,0,-1*'Get Started'!$G65)*'Get Started'!$G86/'Get Started'!$G82),0)</f>
        <v>0</v>
      </c>
      <c r="AV253" s="52">
        <f ca="1">IFERROR(IF(AV4&lt;'Get Started'!$G55,0,OFFSET(AV248,0,-1*'Get Started'!$G55)*'Get Started'!$G84/'Get Started'!$G82),0)+IFERROR(IF(AV4&lt;'Get Started'!$G65,0,OFFSET(AV248,0,-1*'Get Started'!$G65)*'Get Started'!$G86/'Get Started'!$G82),0)</f>
        <v>0</v>
      </c>
      <c r="AW253" s="52">
        <f ca="1">IFERROR(IF(AW4&lt;'Get Started'!$G55,0,OFFSET(AW248,0,-1*'Get Started'!$G55)*'Get Started'!$G84/'Get Started'!$G82),0)+IFERROR(IF(AW4&lt;'Get Started'!$G65,0,OFFSET(AW248,0,-1*'Get Started'!$G65)*'Get Started'!$G86/'Get Started'!$G82),0)</f>
        <v>0</v>
      </c>
      <c r="AX253" s="52">
        <f ca="1">IFERROR(IF(AX4&lt;'Get Started'!$G55,0,OFFSET(AX248,0,-1*'Get Started'!$G55)*'Get Started'!$G84/'Get Started'!$G82),0)+IFERROR(IF(AX4&lt;'Get Started'!$G65,0,OFFSET(AX248,0,-1*'Get Started'!$G65)*'Get Started'!$G86/'Get Started'!$G82),0)</f>
        <v>0</v>
      </c>
      <c r="AY253" s="52">
        <f ca="1">IFERROR(IF(AY4&lt;'Get Started'!$G55,0,OFFSET(AY248,0,-1*'Get Started'!$G55)*'Get Started'!$G84/'Get Started'!$G82),0)+IFERROR(IF(AY4&lt;'Get Started'!$G65,0,OFFSET(AY248,0,-1*'Get Started'!$G65)*'Get Started'!$G86/'Get Started'!$G82),0)</f>
        <v>0</v>
      </c>
      <c r="AZ253" s="52">
        <f ca="1">IFERROR(IF(AZ4&lt;'Get Started'!$G55,0,OFFSET(AZ248,0,-1*'Get Started'!$G55)*'Get Started'!$G84/'Get Started'!$G82),0)+IFERROR(IF(AZ4&lt;'Get Started'!$G65,0,OFFSET(AZ248,0,-1*'Get Started'!$G65)*'Get Started'!$G86/'Get Started'!$G82),0)</f>
        <v>0</v>
      </c>
      <c r="BA253" s="52">
        <f ca="1">IFERROR(IF(BA4&lt;'Get Started'!$G55,0,OFFSET(BA248,0,-1*'Get Started'!$G55)*'Get Started'!$G84/'Get Started'!$G82),0)+IFERROR(IF(BA4&lt;'Get Started'!$G65,0,OFFSET(BA248,0,-1*'Get Started'!$G65)*'Get Started'!$G86/'Get Started'!$G82),0)</f>
        <v>0</v>
      </c>
      <c r="BB253" s="52">
        <f ca="1">IFERROR(IF(BB4&lt;'Get Started'!$G55,0,OFFSET(BB248,0,-1*'Get Started'!$G55)*'Get Started'!$G84/'Get Started'!$G82),0)+IFERROR(IF(BB4&lt;'Get Started'!$G65,0,OFFSET(BB248,0,-1*'Get Started'!$G65)*'Get Started'!$G86/'Get Started'!$G82),0)</f>
        <v>0</v>
      </c>
      <c r="BC253" s="52">
        <f ca="1">IFERROR(IF(BC4&lt;'Get Started'!$G55,0,OFFSET(BC248,0,-1*'Get Started'!$G55)*'Get Started'!$G84/'Get Started'!$G82),0)+IFERROR(IF(BC4&lt;'Get Started'!$G65,0,OFFSET(BC248,0,-1*'Get Started'!$G65)*'Get Started'!$G86/'Get Started'!$G82),0)</f>
        <v>0</v>
      </c>
      <c r="BD253" s="52">
        <f ca="1">IFERROR(IF(BD4&lt;'Get Started'!$G55,0,OFFSET(BD248,0,-1*'Get Started'!$G55)*'Get Started'!$G84/'Get Started'!$G82),0)+IFERROR(IF(BD4&lt;'Get Started'!$G65,0,OFFSET(BD248,0,-1*'Get Started'!$G65)*'Get Started'!$G86/'Get Started'!$G82),0)</f>
        <v>0</v>
      </c>
      <c r="BE253" s="52">
        <f ca="1">IFERROR(IF(BE4&lt;'Get Started'!$G55,0,OFFSET(BE248,0,-1*'Get Started'!$G55)*'Get Started'!$G84/'Get Started'!$G82),0)+IFERROR(IF(BE4&lt;'Get Started'!$G65,0,OFFSET(BE248,0,-1*'Get Started'!$G65)*'Get Started'!$G86/'Get Started'!$G82),0)</f>
        <v>0</v>
      </c>
      <c r="BF253" s="52">
        <f ca="1">IFERROR(IF(BF4&lt;'Get Started'!$G55,0,OFFSET(BF248,0,-1*'Get Started'!$G55)*'Get Started'!$G84/'Get Started'!$G82),0)+IFERROR(IF(BF4&lt;'Get Started'!$G65,0,OFFSET(BF248,0,-1*'Get Started'!$G65)*'Get Started'!$G86/'Get Started'!$G82),0)</f>
        <v>0</v>
      </c>
      <c r="BG253" s="52">
        <f ca="1">IFERROR(IF(BG4&lt;'Get Started'!$G55,0,OFFSET(BG248,0,-1*'Get Started'!$G55)*'Get Started'!$G84/'Get Started'!$G82),0)+IFERROR(IF(BG4&lt;'Get Started'!$G65,0,OFFSET(BG248,0,-1*'Get Started'!$G65)*'Get Started'!$G86/'Get Started'!$G82),0)</f>
        <v>0</v>
      </c>
      <c r="BH253" s="52">
        <f ca="1">IFERROR(IF(BH4&lt;'Get Started'!$G55,0,OFFSET(BH248,0,-1*'Get Started'!$G55)*'Get Started'!$G84/'Get Started'!$G82),0)+IFERROR(IF(BH4&lt;'Get Started'!$G65,0,OFFSET(BH248,0,-1*'Get Started'!$G65)*'Get Started'!$G86/'Get Started'!$G82),0)</f>
        <v>0</v>
      </c>
      <c r="BI253" s="52">
        <f ca="1">IFERROR(IF(BI4&lt;'Get Started'!$G55,0,OFFSET(BI248,0,-1*'Get Started'!$G55)*'Get Started'!$G84/'Get Started'!$G82),0)+IFERROR(IF(BI4&lt;'Get Started'!$G65,0,OFFSET(BI248,0,-1*'Get Started'!$G65)*'Get Started'!$G86/'Get Started'!$G82),0)</f>
        <v>0</v>
      </c>
      <c r="BJ253" s="52">
        <f ca="1">IFERROR(IF(BJ4&lt;'Get Started'!$G55,0,OFFSET(BJ248,0,-1*'Get Started'!$G55)*'Get Started'!$G84/'Get Started'!$G82),0)+IFERROR(IF(BJ4&lt;'Get Started'!$G65,0,OFFSET(BJ248,0,-1*'Get Started'!$G65)*'Get Started'!$G86/'Get Started'!$G82),0)</f>
        <v>0</v>
      </c>
      <c r="BK253" s="52">
        <f ca="1">IFERROR(IF(BK4&lt;'Get Started'!$G55,0,OFFSET(BK248,0,-1*'Get Started'!$G55)*'Get Started'!$G84/'Get Started'!$G82),0)+IFERROR(IF(BK4&lt;'Get Started'!$G65,0,OFFSET(BK248,0,-1*'Get Started'!$G65)*'Get Started'!$G86/'Get Started'!$G82),0)</f>
        <v>0</v>
      </c>
      <c r="BL253" s="52">
        <f ca="1">IFERROR(IF(BL4&lt;'Get Started'!$G55,0,OFFSET(BL248,0,-1*'Get Started'!$G55)*'Get Started'!$G84/'Get Started'!$G82),0)+IFERROR(IF(BL4&lt;'Get Started'!$G65,0,OFFSET(BL248,0,-1*'Get Started'!$G65)*'Get Started'!$G86/'Get Started'!$G82),0)</f>
        <v>0</v>
      </c>
      <c r="BM253" s="52">
        <f ca="1">IFERROR(IF(BM4&lt;'Get Started'!$G55,0,OFFSET(BM248,0,-1*'Get Started'!$G55)*'Get Started'!$G84/'Get Started'!$G82),0)+IFERROR(IF(BM4&lt;'Get Started'!$G65,0,OFFSET(BM248,0,-1*'Get Started'!$G65)*'Get Started'!$G86/'Get Started'!$G82),0)</f>
        <v>0</v>
      </c>
      <c r="BN253" s="52">
        <f ca="1">IFERROR(IF(BN4&lt;'Get Started'!$G55,0,OFFSET(BN248,0,-1*'Get Started'!$G55)*'Get Started'!$G84/'Get Started'!$G82),0)+IFERROR(IF(BN4&lt;'Get Started'!$G65,0,OFFSET(BN248,0,-1*'Get Started'!$G65)*'Get Started'!$G86/'Get Started'!$G82),0)</f>
        <v>0</v>
      </c>
      <c r="BO253" s="52">
        <f ca="1">IFERROR(IF(BO4&lt;'Get Started'!$G55,0,OFFSET(BO248,0,-1*'Get Started'!$G55)*'Get Started'!$G84/'Get Started'!$G82),0)+IFERROR(IF(BO4&lt;'Get Started'!$G65,0,OFFSET(BO248,0,-1*'Get Started'!$G65)*'Get Started'!$G86/'Get Started'!$G82),0)</f>
        <v>0</v>
      </c>
      <c r="BP253" s="52">
        <f ca="1">IFERROR(IF(BP4&lt;'Get Started'!$G55,0,OFFSET(BP248,0,-1*'Get Started'!$G55)*'Get Started'!$G84/'Get Started'!$G82),0)+IFERROR(IF(BP4&lt;'Get Started'!$G65,0,OFFSET(BP248,0,-1*'Get Started'!$G65)*'Get Started'!$G86/'Get Started'!$G82),0)</f>
        <v>0</v>
      </c>
      <c r="BQ253" s="52">
        <f ca="1">IFERROR(IF(BQ4&lt;'Get Started'!$G55,0,OFFSET(BQ248,0,-1*'Get Started'!$G55)*'Get Started'!$G84/'Get Started'!$G82),0)+IFERROR(IF(BQ4&lt;'Get Started'!$G65,0,OFFSET(BQ248,0,-1*'Get Started'!$G65)*'Get Started'!$G86/'Get Started'!$G82),0)</f>
        <v>0</v>
      </c>
      <c r="BR253" s="52">
        <f ca="1">IFERROR(IF(BR4&lt;'Get Started'!$G55,0,OFFSET(BR248,0,-1*'Get Started'!$G55)*'Get Started'!$G84/'Get Started'!$G82),0)+IFERROR(IF(BR4&lt;'Get Started'!$G65,0,OFFSET(BR248,0,-1*'Get Started'!$G65)*'Get Started'!$G86/'Get Started'!$G82),0)</f>
        <v>0</v>
      </c>
      <c r="BS253" s="52">
        <f ca="1">IFERROR(IF(BS4&lt;'Get Started'!$G55,0,OFFSET(BS248,0,-1*'Get Started'!$G55)*'Get Started'!$G84/'Get Started'!$G82),0)+IFERROR(IF(BS4&lt;'Get Started'!$G65,0,OFFSET(BS248,0,-1*'Get Started'!$G65)*'Get Started'!$G86/'Get Started'!$G82),0)</f>
        <v>0</v>
      </c>
      <c r="BT253" s="52">
        <f ca="1">IFERROR(IF(BT4&lt;'Get Started'!$G55,0,OFFSET(BT248,0,-1*'Get Started'!$G55)*'Get Started'!$G84/'Get Started'!$G82),0)+IFERROR(IF(BT4&lt;'Get Started'!$G65,0,OFFSET(BT248,0,-1*'Get Started'!$G65)*'Get Started'!$G86/'Get Started'!$G82),0)</f>
        <v>0</v>
      </c>
      <c r="BU253" s="52">
        <f ca="1">IFERROR(IF(BU4&lt;'Get Started'!$G55,0,OFFSET(BU248,0,-1*'Get Started'!$G55)*'Get Started'!$G84/'Get Started'!$G82),0)+IFERROR(IF(BU4&lt;'Get Started'!$G65,0,OFFSET(BU248,0,-1*'Get Started'!$G65)*'Get Started'!$G86/'Get Started'!$G82),0)</f>
        <v>0</v>
      </c>
      <c r="BV253" s="52">
        <f ca="1">IFERROR(IF(BV4&lt;'Get Started'!$G55,0,OFFSET(BV248,0,-1*'Get Started'!$G55)*'Get Started'!$G84/'Get Started'!$G82),0)+IFERROR(IF(BV4&lt;'Get Started'!$G65,0,OFFSET(BV248,0,-1*'Get Started'!$G65)*'Get Started'!$G86/'Get Started'!$G82),0)</f>
        <v>0</v>
      </c>
      <c r="BW253" s="52">
        <f ca="1">IFERROR(IF(BW4&lt;'Get Started'!$G55,0,OFFSET(BW248,0,-1*'Get Started'!$G55)*'Get Started'!$G84/'Get Started'!$G82),0)+IFERROR(IF(BW4&lt;'Get Started'!$G65,0,OFFSET(BW248,0,-1*'Get Started'!$G65)*'Get Started'!$G86/'Get Started'!$G82),0)</f>
        <v>0</v>
      </c>
      <c r="BX253" s="52">
        <f ca="1">IFERROR(IF(BX4&lt;'Get Started'!$G55,0,OFFSET(BX248,0,-1*'Get Started'!$G55)*'Get Started'!$G84/'Get Started'!$G82),0)+IFERROR(IF(BX4&lt;'Get Started'!$G65,0,OFFSET(BX248,0,-1*'Get Started'!$G65)*'Get Started'!$G86/'Get Started'!$G82),0)</f>
        <v>0</v>
      </c>
      <c r="BY253" s="52">
        <f ca="1">IFERROR(IF(BY4&lt;'Get Started'!$G55,0,OFFSET(BY248,0,-1*'Get Started'!$G55)*'Get Started'!$G84/'Get Started'!$G82),0)+IFERROR(IF(BY4&lt;'Get Started'!$G65,0,OFFSET(BY248,0,-1*'Get Started'!$G65)*'Get Started'!$G86/'Get Started'!$G82),0)</f>
        <v>0</v>
      </c>
      <c r="BZ253" s="52">
        <f ca="1">IFERROR(IF(BZ4&lt;'Get Started'!$G55,0,OFFSET(BZ248,0,-1*'Get Started'!$G55)*'Get Started'!$G84/'Get Started'!$G82),0)+IFERROR(IF(BZ4&lt;'Get Started'!$G65,0,OFFSET(BZ248,0,-1*'Get Started'!$G65)*'Get Started'!$G86/'Get Started'!$G82),0)</f>
        <v>0</v>
      </c>
      <c r="CA253" s="52">
        <f ca="1">IFERROR(IF(CA4&lt;'Get Started'!$G55,0,OFFSET(CA248,0,-1*'Get Started'!$G55)*'Get Started'!$G84/'Get Started'!$G82),0)+IFERROR(IF(CA4&lt;'Get Started'!$G65,0,OFFSET(CA248,0,-1*'Get Started'!$G65)*'Get Started'!$G86/'Get Started'!$G82),0)</f>
        <v>0</v>
      </c>
      <c r="CB253" s="52">
        <f ca="1">IFERROR(IF(CB4&lt;'Get Started'!$G55,0,OFFSET(CB248,0,-1*'Get Started'!$G55)*'Get Started'!$G84/'Get Started'!$G82),0)+IFERROR(IF(CB4&lt;'Get Started'!$G65,0,OFFSET(CB248,0,-1*'Get Started'!$G65)*'Get Started'!$G86/'Get Started'!$G82),0)</f>
        <v>0</v>
      </c>
      <c r="CC253" s="52">
        <f ca="1">IFERROR(IF(CC4&lt;'Get Started'!$G55,0,OFFSET(CC248,0,-1*'Get Started'!$G55)*'Get Started'!$G84/'Get Started'!$G82),0)+IFERROR(IF(CC4&lt;'Get Started'!$G65,0,OFFSET(CC248,0,-1*'Get Started'!$G65)*'Get Started'!$G86/'Get Started'!$G82),0)</f>
        <v>0</v>
      </c>
      <c r="CD253" s="52">
        <f ca="1">IFERROR(IF(CD4&lt;'Get Started'!$G55,0,OFFSET(CD248,0,-1*'Get Started'!$G55)*'Get Started'!$G84/'Get Started'!$G82),0)+IFERROR(IF(CD4&lt;'Get Started'!$G65,0,OFFSET(CD248,0,-1*'Get Started'!$G65)*'Get Started'!$G86/'Get Started'!$G82),0)</f>
        <v>0</v>
      </c>
      <c r="CE253" s="52">
        <f ca="1">IFERROR(IF(CE4&lt;'Get Started'!$G55,0,OFFSET(CE248,0,-1*'Get Started'!$G55)*'Get Started'!$G84/'Get Started'!$G82),0)+IFERROR(IF(CE4&lt;'Get Started'!$G65,0,OFFSET(CE248,0,-1*'Get Started'!$G65)*'Get Started'!$G86/'Get Started'!$G82),0)</f>
        <v>0</v>
      </c>
      <c r="CF253" s="52">
        <f ca="1">IFERROR(IF(CF4&lt;'Get Started'!$G55,0,OFFSET(CF248,0,-1*'Get Started'!$G55)*'Get Started'!$G84/'Get Started'!$G82),0)+IFERROR(IF(CF4&lt;'Get Started'!$G65,0,OFFSET(CF248,0,-1*'Get Started'!$G65)*'Get Started'!$G86/'Get Started'!$G82),0)</f>
        <v>0</v>
      </c>
      <c r="CG253" s="52">
        <f ca="1">IFERROR(IF(CG4&lt;'Get Started'!$G55,0,OFFSET(CG248,0,-1*'Get Started'!$G55)*'Get Started'!$G84/'Get Started'!$G82),0)+IFERROR(IF(CG4&lt;'Get Started'!$G65,0,OFFSET(CG248,0,-1*'Get Started'!$G65)*'Get Started'!$G86/'Get Started'!$G82),0)</f>
        <v>0</v>
      </c>
      <c r="CH253" s="52">
        <f ca="1">IFERROR(IF(CH4&lt;'Get Started'!$G55,0,OFFSET(CH248,0,-1*'Get Started'!$G55)*'Get Started'!$G84/'Get Started'!$G82),0)+IFERROR(IF(CH4&lt;'Get Started'!$G65,0,OFFSET(CH248,0,-1*'Get Started'!$G65)*'Get Started'!$G86/'Get Started'!$G82),0)</f>
        <v>0</v>
      </c>
    </row>
    <row r="254" spans="1:86" ht="13" outlineLevel="1">
      <c r="A254" s="13"/>
      <c r="B254" s="13" t="s">
        <v>329</v>
      </c>
      <c r="C254" s="13"/>
      <c r="D254" s="13" t="s">
        <v>238</v>
      </c>
      <c r="E254" s="88">
        <f t="shared" ca="1" si="185"/>
        <v>0</v>
      </c>
      <c r="F254" s="48"/>
      <c r="G254" s="52">
        <f ca="1">IFERROR(IF(G4&lt;'Get Started'!$H55,0,OFFSET(G249,0,-1*'Get Started'!$H55)*'Get Started'!$H84/'Get Started'!$H82),0)+IFERROR(IF(G4&lt;'Get Started'!$H65,0,OFFSET(G249,0,-1*'Get Started'!$H65)*'Get Started'!$H86/'Get Started'!$H82),0)</f>
        <v>0</v>
      </c>
      <c r="H254" s="52">
        <f ca="1">IFERROR(IF(H4&lt;'Get Started'!$H55,0,OFFSET(H249,0,-1*'Get Started'!$H55)*'Get Started'!$H84/'Get Started'!$H82),0)+IFERROR(IF(H4&lt;'Get Started'!$H65,0,OFFSET(H249,0,-1*'Get Started'!$H65)*'Get Started'!$H86/'Get Started'!$H82),0)</f>
        <v>0</v>
      </c>
      <c r="I254" s="52">
        <f ca="1">IFERROR(IF(I4&lt;'Get Started'!$H55,0,OFFSET(I249,0,-1*'Get Started'!$H55)*'Get Started'!$H84/'Get Started'!$H82),0)+IFERROR(IF(I4&lt;'Get Started'!$H65,0,OFFSET(I249,0,-1*'Get Started'!$H65)*'Get Started'!$H86/'Get Started'!$H82),0)</f>
        <v>0</v>
      </c>
      <c r="J254" s="52">
        <f ca="1">IFERROR(IF(J4&lt;'Get Started'!$H55,0,OFFSET(J249,0,-1*'Get Started'!$H55)*'Get Started'!$H84/'Get Started'!$H82),0)+IFERROR(IF(J4&lt;'Get Started'!$H65,0,OFFSET(J249,0,-1*'Get Started'!$H65)*'Get Started'!$H86/'Get Started'!$H82),0)</f>
        <v>0</v>
      </c>
      <c r="K254" s="52">
        <f ca="1">IFERROR(IF(K4&lt;'Get Started'!$H55,0,OFFSET(K249,0,-1*'Get Started'!$H55)*'Get Started'!$H84/'Get Started'!$H82),0)+IFERROR(IF(K4&lt;'Get Started'!$H65,0,OFFSET(K249,0,-1*'Get Started'!$H65)*'Get Started'!$H86/'Get Started'!$H82),0)</f>
        <v>0</v>
      </c>
      <c r="L254" s="52">
        <f ca="1">IFERROR(IF(L4&lt;'Get Started'!$H55,0,OFFSET(L249,0,-1*'Get Started'!$H55)*'Get Started'!$H84/'Get Started'!$H82),0)+IFERROR(IF(L4&lt;'Get Started'!$H65,0,OFFSET(L249,0,-1*'Get Started'!$H65)*'Get Started'!$H86/'Get Started'!$H82),0)</f>
        <v>0</v>
      </c>
      <c r="M254" s="52">
        <f ca="1">IFERROR(IF(M4&lt;'Get Started'!$H55,0,OFFSET(M249,0,-1*'Get Started'!$H55)*'Get Started'!$H84/'Get Started'!$H82),0)+IFERROR(IF(M4&lt;'Get Started'!$H65,0,OFFSET(M249,0,-1*'Get Started'!$H65)*'Get Started'!$H86/'Get Started'!$H82),0)</f>
        <v>0</v>
      </c>
      <c r="N254" s="52">
        <f ca="1">IFERROR(IF(N4&lt;'Get Started'!$H55,0,OFFSET(N249,0,-1*'Get Started'!$H55)*'Get Started'!$H84/'Get Started'!$H82),0)+IFERROR(IF(N4&lt;'Get Started'!$H65,0,OFFSET(N249,0,-1*'Get Started'!$H65)*'Get Started'!$H86/'Get Started'!$H82),0)</f>
        <v>0</v>
      </c>
      <c r="O254" s="52">
        <f ca="1">IFERROR(IF(O4&lt;'Get Started'!$H55,0,OFFSET(O249,0,-1*'Get Started'!$H55)*'Get Started'!$H84/'Get Started'!$H82),0)+IFERROR(IF(O4&lt;'Get Started'!$H65,0,OFFSET(O249,0,-1*'Get Started'!$H65)*'Get Started'!$H86/'Get Started'!$H82),0)</f>
        <v>0</v>
      </c>
      <c r="P254" s="52">
        <f ca="1">IFERROR(IF(P4&lt;'Get Started'!$H55,0,OFFSET(P249,0,-1*'Get Started'!$H55)*'Get Started'!$H84/'Get Started'!$H82),0)+IFERROR(IF(P4&lt;'Get Started'!$H65,0,OFFSET(P249,0,-1*'Get Started'!$H65)*'Get Started'!$H86/'Get Started'!$H82),0)</f>
        <v>0</v>
      </c>
      <c r="Q254" s="52">
        <f ca="1">IFERROR(IF(Q4&lt;'Get Started'!$H55,0,OFFSET(Q249,0,-1*'Get Started'!$H55)*'Get Started'!$H84/'Get Started'!$H82),0)+IFERROR(IF(Q4&lt;'Get Started'!$H65,0,OFFSET(Q249,0,-1*'Get Started'!$H65)*'Get Started'!$H86/'Get Started'!$H82),0)</f>
        <v>0</v>
      </c>
      <c r="R254" s="52">
        <f ca="1">IFERROR(IF(R4&lt;'Get Started'!$H55,0,OFFSET(R249,0,-1*'Get Started'!$H55)*'Get Started'!$H84/'Get Started'!$H82),0)+IFERROR(IF(R4&lt;'Get Started'!$H65,0,OFFSET(R249,0,-1*'Get Started'!$H65)*'Get Started'!$H86/'Get Started'!$H82),0)</f>
        <v>0</v>
      </c>
      <c r="S254" s="52">
        <f ca="1">IFERROR(IF(S4&lt;'Get Started'!$H55,0,OFFSET(S249,0,-1*'Get Started'!$H55)*'Get Started'!$H84/'Get Started'!$H82),0)+IFERROR(IF(S4&lt;'Get Started'!$H65,0,OFFSET(S249,0,-1*'Get Started'!$H65)*'Get Started'!$H86/'Get Started'!$H82),0)</f>
        <v>0</v>
      </c>
      <c r="T254" s="52">
        <f ca="1">IFERROR(IF(T4&lt;'Get Started'!$H55,0,OFFSET(T249,0,-1*'Get Started'!$H55)*'Get Started'!$H84/'Get Started'!$H82),0)+IFERROR(IF(T4&lt;'Get Started'!$H65,0,OFFSET(T249,0,-1*'Get Started'!$H65)*'Get Started'!$H86/'Get Started'!$H82),0)</f>
        <v>0</v>
      </c>
      <c r="U254" s="52">
        <f ca="1">IFERROR(IF(U4&lt;'Get Started'!$H55,0,OFFSET(U249,0,-1*'Get Started'!$H55)*'Get Started'!$H84/'Get Started'!$H82),0)+IFERROR(IF(U4&lt;'Get Started'!$H65,0,OFFSET(U249,0,-1*'Get Started'!$H65)*'Get Started'!$H86/'Get Started'!$H82),0)</f>
        <v>0</v>
      </c>
      <c r="V254" s="52">
        <f ca="1">IFERROR(IF(V4&lt;'Get Started'!$H55,0,OFFSET(V249,0,-1*'Get Started'!$H55)*'Get Started'!$H84/'Get Started'!$H82),0)+IFERROR(IF(V4&lt;'Get Started'!$H65,0,OFFSET(V249,0,-1*'Get Started'!$H65)*'Get Started'!$H86/'Get Started'!$H82),0)</f>
        <v>0</v>
      </c>
      <c r="W254" s="52">
        <f ca="1">IFERROR(IF(W4&lt;'Get Started'!$H55,0,OFFSET(W249,0,-1*'Get Started'!$H55)*'Get Started'!$H84/'Get Started'!$H82),0)+IFERROR(IF(W4&lt;'Get Started'!$H65,0,OFFSET(W249,0,-1*'Get Started'!$H65)*'Get Started'!$H86/'Get Started'!$H82),0)</f>
        <v>0</v>
      </c>
      <c r="X254" s="52">
        <f ca="1">IFERROR(IF(X4&lt;'Get Started'!$H55,0,OFFSET(X249,0,-1*'Get Started'!$H55)*'Get Started'!$H84/'Get Started'!$H82),0)+IFERROR(IF(X4&lt;'Get Started'!$H65,0,OFFSET(X249,0,-1*'Get Started'!$H65)*'Get Started'!$H86/'Get Started'!$H82),0)</f>
        <v>0</v>
      </c>
      <c r="Y254" s="52">
        <f ca="1">IFERROR(IF(Y4&lt;'Get Started'!$H55,0,OFFSET(Y249,0,-1*'Get Started'!$H55)*'Get Started'!$H84/'Get Started'!$H82),0)+IFERROR(IF(Y4&lt;'Get Started'!$H65,0,OFFSET(Y249,0,-1*'Get Started'!$H65)*'Get Started'!$H86/'Get Started'!$H82),0)</f>
        <v>0</v>
      </c>
      <c r="Z254" s="52">
        <f ca="1">IFERROR(IF(Z4&lt;'Get Started'!$H55,0,OFFSET(Z249,0,-1*'Get Started'!$H55)*'Get Started'!$H84/'Get Started'!$H82),0)+IFERROR(IF(Z4&lt;'Get Started'!$H65,0,OFFSET(Z249,0,-1*'Get Started'!$H65)*'Get Started'!$H86/'Get Started'!$H82),0)</f>
        <v>0</v>
      </c>
      <c r="AA254" s="52">
        <f ca="1">IFERROR(IF(AA4&lt;'Get Started'!$H55,0,OFFSET(AA249,0,-1*'Get Started'!$H55)*'Get Started'!$H84/'Get Started'!$H82),0)+IFERROR(IF(AA4&lt;'Get Started'!$H65,0,OFFSET(AA249,0,-1*'Get Started'!$H65)*'Get Started'!$H86/'Get Started'!$H82),0)</f>
        <v>0</v>
      </c>
      <c r="AB254" s="52">
        <f ca="1">IFERROR(IF(AB4&lt;'Get Started'!$H55,0,OFFSET(AB249,0,-1*'Get Started'!$H55)*'Get Started'!$H84/'Get Started'!$H82),0)+IFERROR(IF(AB4&lt;'Get Started'!$H65,0,OFFSET(AB249,0,-1*'Get Started'!$H65)*'Get Started'!$H86/'Get Started'!$H82),0)</f>
        <v>0</v>
      </c>
      <c r="AC254" s="52">
        <f ca="1">IFERROR(IF(AC4&lt;'Get Started'!$H55,0,OFFSET(AC249,0,-1*'Get Started'!$H55)*'Get Started'!$H84/'Get Started'!$H82),0)+IFERROR(IF(AC4&lt;'Get Started'!$H65,0,OFFSET(AC249,0,-1*'Get Started'!$H65)*'Get Started'!$H86/'Get Started'!$H82),0)</f>
        <v>0</v>
      </c>
      <c r="AD254" s="52">
        <f ca="1">IFERROR(IF(AD4&lt;'Get Started'!$H55,0,OFFSET(AD249,0,-1*'Get Started'!$H55)*'Get Started'!$H84/'Get Started'!$H82),0)+IFERROR(IF(AD4&lt;'Get Started'!$H65,0,OFFSET(AD249,0,-1*'Get Started'!$H65)*'Get Started'!$H86/'Get Started'!$H82),0)</f>
        <v>0</v>
      </c>
      <c r="AE254" s="52">
        <f ca="1">IFERROR(IF(AE4&lt;'Get Started'!$H55,0,OFFSET(AE249,0,-1*'Get Started'!$H55)*'Get Started'!$H84/'Get Started'!$H82),0)+IFERROR(IF(AE4&lt;'Get Started'!$H65,0,OFFSET(AE249,0,-1*'Get Started'!$H65)*'Get Started'!$H86/'Get Started'!$H82),0)</f>
        <v>0</v>
      </c>
      <c r="AF254" s="52">
        <f ca="1">IFERROR(IF(AF4&lt;'Get Started'!$H55,0,OFFSET(AF249,0,-1*'Get Started'!$H55)*'Get Started'!$H84/'Get Started'!$H82),0)+IFERROR(IF(AF4&lt;'Get Started'!$H65,0,OFFSET(AF249,0,-1*'Get Started'!$H65)*'Get Started'!$H86/'Get Started'!$H82),0)</f>
        <v>0</v>
      </c>
      <c r="AG254" s="52">
        <f ca="1">IFERROR(IF(AG4&lt;'Get Started'!$H55,0,OFFSET(AG249,0,-1*'Get Started'!$H55)*'Get Started'!$H84/'Get Started'!$H82),0)+IFERROR(IF(AG4&lt;'Get Started'!$H65,0,OFFSET(AG249,0,-1*'Get Started'!$H65)*'Get Started'!$H86/'Get Started'!$H82),0)</f>
        <v>0</v>
      </c>
      <c r="AH254" s="52">
        <f ca="1">IFERROR(IF(AH4&lt;'Get Started'!$H55,0,OFFSET(AH249,0,-1*'Get Started'!$H55)*'Get Started'!$H84/'Get Started'!$H82),0)+IFERROR(IF(AH4&lt;'Get Started'!$H65,0,OFFSET(AH249,0,-1*'Get Started'!$H65)*'Get Started'!$H86/'Get Started'!$H82),0)</f>
        <v>0</v>
      </c>
      <c r="AI254" s="52">
        <f ca="1">IFERROR(IF(AI4&lt;'Get Started'!$H55,0,OFFSET(AI249,0,-1*'Get Started'!$H55)*'Get Started'!$H84/'Get Started'!$H82),0)+IFERROR(IF(AI4&lt;'Get Started'!$H65,0,OFFSET(AI249,0,-1*'Get Started'!$H65)*'Get Started'!$H86/'Get Started'!$H82),0)</f>
        <v>0</v>
      </c>
      <c r="AJ254" s="52">
        <f ca="1">IFERROR(IF(AJ4&lt;'Get Started'!$H55,0,OFFSET(AJ249,0,-1*'Get Started'!$H55)*'Get Started'!$H84/'Get Started'!$H82),0)+IFERROR(IF(AJ4&lt;'Get Started'!$H65,0,OFFSET(AJ249,0,-1*'Get Started'!$H65)*'Get Started'!$H86/'Get Started'!$H82),0)</f>
        <v>0</v>
      </c>
      <c r="AK254" s="52">
        <f ca="1">IFERROR(IF(AK4&lt;'Get Started'!$H55,0,OFFSET(AK249,0,-1*'Get Started'!$H55)*'Get Started'!$H84/'Get Started'!$H82),0)+IFERROR(IF(AK4&lt;'Get Started'!$H65,0,OFFSET(AK249,0,-1*'Get Started'!$H65)*'Get Started'!$H86/'Get Started'!$H82),0)</f>
        <v>0</v>
      </c>
      <c r="AL254" s="52">
        <f ca="1">IFERROR(IF(AL4&lt;'Get Started'!$H55,0,OFFSET(AL249,0,-1*'Get Started'!$H55)*'Get Started'!$H84/'Get Started'!$H82),0)+IFERROR(IF(AL4&lt;'Get Started'!$H65,0,OFFSET(AL249,0,-1*'Get Started'!$H65)*'Get Started'!$H86/'Get Started'!$H82),0)</f>
        <v>0</v>
      </c>
      <c r="AM254" s="52">
        <f ca="1">IFERROR(IF(AM4&lt;'Get Started'!$H55,0,OFFSET(AM249,0,-1*'Get Started'!$H55)*'Get Started'!$H84/'Get Started'!$H82),0)+IFERROR(IF(AM4&lt;'Get Started'!$H65,0,OFFSET(AM249,0,-1*'Get Started'!$H65)*'Get Started'!$H86/'Get Started'!$H82),0)</f>
        <v>0</v>
      </c>
      <c r="AN254" s="52">
        <f ca="1">IFERROR(IF(AN4&lt;'Get Started'!$H55,0,OFFSET(AN249,0,-1*'Get Started'!$H55)*'Get Started'!$H84/'Get Started'!$H82),0)+IFERROR(IF(AN4&lt;'Get Started'!$H65,0,OFFSET(AN249,0,-1*'Get Started'!$H65)*'Get Started'!$H86/'Get Started'!$H82),0)</f>
        <v>0</v>
      </c>
      <c r="AO254" s="52">
        <f ca="1">IFERROR(IF(AO4&lt;'Get Started'!$H55,0,OFFSET(AO249,0,-1*'Get Started'!$H55)*'Get Started'!$H84/'Get Started'!$H82),0)+IFERROR(IF(AO4&lt;'Get Started'!$H65,0,OFFSET(AO249,0,-1*'Get Started'!$H65)*'Get Started'!$H86/'Get Started'!$H82),0)</f>
        <v>0</v>
      </c>
      <c r="AP254" s="52">
        <f ca="1">IFERROR(IF(AP4&lt;'Get Started'!$H55,0,OFFSET(AP249,0,-1*'Get Started'!$H55)*'Get Started'!$H84/'Get Started'!$H82),0)+IFERROR(IF(AP4&lt;'Get Started'!$H65,0,OFFSET(AP249,0,-1*'Get Started'!$H65)*'Get Started'!$H86/'Get Started'!$H82),0)</f>
        <v>0</v>
      </c>
      <c r="AQ254" s="52">
        <f ca="1">IFERROR(IF(AQ4&lt;'Get Started'!$H55,0,OFFSET(AQ249,0,-1*'Get Started'!$H55)*'Get Started'!$H84/'Get Started'!$H82),0)+IFERROR(IF(AQ4&lt;'Get Started'!$H65,0,OFFSET(AQ249,0,-1*'Get Started'!$H65)*'Get Started'!$H86/'Get Started'!$H82),0)</f>
        <v>0</v>
      </c>
      <c r="AR254" s="52">
        <f ca="1">IFERROR(IF(AR4&lt;'Get Started'!$H55,0,OFFSET(AR249,0,-1*'Get Started'!$H55)*'Get Started'!$H84/'Get Started'!$H82),0)+IFERROR(IF(AR4&lt;'Get Started'!$H65,0,OFFSET(AR249,0,-1*'Get Started'!$H65)*'Get Started'!$H86/'Get Started'!$H82),0)</f>
        <v>0</v>
      </c>
      <c r="AS254" s="52">
        <f ca="1">IFERROR(IF(AS4&lt;'Get Started'!$H55,0,OFFSET(AS249,0,-1*'Get Started'!$H55)*'Get Started'!$H84/'Get Started'!$H82),0)+IFERROR(IF(AS4&lt;'Get Started'!$H65,0,OFFSET(AS249,0,-1*'Get Started'!$H65)*'Get Started'!$H86/'Get Started'!$H82),0)</f>
        <v>0</v>
      </c>
      <c r="AT254" s="52">
        <f ca="1">IFERROR(IF(AT4&lt;'Get Started'!$H55,0,OFFSET(AT249,0,-1*'Get Started'!$H55)*'Get Started'!$H84/'Get Started'!$H82),0)+IFERROR(IF(AT4&lt;'Get Started'!$H65,0,OFFSET(AT249,0,-1*'Get Started'!$H65)*'Get Started'!$H86/'Get Started'!$H82),0)</f>
        <v>0</v>
      </c>
      <c r="AU254" s="52">
        <f ca="1">IFERROR(IF(AU4&lt;'Get Started'!$H55,0,OFFSET(AU249,0,-1*'Get Started'!$H55)*'Get Started'!$H84/'Get Started'!$H82),0)+IFERROR(IF(AU4&lt;'Get Started'!$H65,0,OFFSET(AU249,0,-1*'Get Started'!$H65)*'Get Started'!$H86/'Get Started'!$H82),0)</f>
        <v>0</v>
      </c>
      <c r="AV254" s="52">
        <f ca="1">IFERROR(IF(AV4&lt;'Get Started'!$H55,0,OFFSET(AV249,0,-1*'Get Started'!$H55)*'Get Started'!$H84/'Get Started'!$H82),0)+IFERROR(IF(AV4&lt;'Get Started'!$H65,0,OFFSET(AV249,0,-1*'Get Started'!$H65)*'Get Started'!$H86/'Get Started'!$H82),0)</f>
        <v>0</v>
      </c>
      <c r="AW254" s="52">
        <f ca="1">IFERROR(IF(AW4&lt;'Get Started'!$H55,0,OFFSET(AW249,0,-1*'Get Started'!$H55)*'Get Started'!$H84/'Get Started'!$H82),0)+IFERROR(IF(AW4&lt;'Get Started'!$H65,0,OFFSET(AW249,0,-1*'Get Started'!$H65)*'Get Started'!$H86/'Get Started'!$H82),0)</f>
        <v>0</v>
      </c>
      <c r="AX254" s="52">
        <f ca="1">IFERROR(IF(AX4&lt;'Get Started'!$H55,0,OFFSET(AX249,0,-1*'Get Started'!$H55)*'Get Started'!$H84/'Get Started'!$H82),0)+IFERROR(IF(AX4&lt;'Get Started'!$H65,0,OFFSET(AX249,0,-1*'Get Started'!$H65)*'Get Started'!$H86/'Get Started'!$H82),0)</f>
        <v>0</v>
      </c>
      <c r="AY254" s="52">
        <f ca="1">IFERROR(IF(AY4&lt;'Get Started'!$H55,0,OFFSET(AY249,0,-1*'Get Started'!$H55)*'Get Started'!$H84/'Get Started'!$H82),0)+IFERROR(IF(AY4&lt;'Get Started'!$H65,0,OFFSET(AY249,0,-1*'Get Started'!$H65)*'Get Started'!$H86/'Get Started'!$H82),0)</f>
        <v>0</v>
      </c>
      <c r="AZ254" s="52">
        <f ca="1">IFERROR(IF(AZ4&lt;'Get Started'!$H55,0,OFFSET(AZ249,0,-1*'Get Started'!$H55)*'Get Started'!$H84/'Get Started'!$H82),0)+IFERROR(IF(AZ4&lt;'Get Started'!$H65,0,OFFSET(AZ249,0,-1*'Get Started'!$H65)*'Get Started'!$H86/'Get Started'!$H82),0)</f>
        <v>0</v>
      </c>
      <c r="BA254" s="52">
        <f ca="1">IFERROR(IF(BA4&lt;'Get Started'!$H55,0,OFFSET(BA249,0,-1*'Get Started'!$H55)*'Get Started'!$H84/'Get Started'!$H82),0)+IFERROR(IF(BA4&lt;'Get Started'!$H65,0,OFFSET(BA249,0,-1*'Get Started'!$H65)*'Get Started'!$H86/'Get Started'!$H82),0)</f>
        <v>0</v>
      </c>
      <c r="BB254" s="52">
        <f ca="1">IFERROR(IF(BB4&lt;'Get Started'!$H55,0,OFFSET(BB249,0,-1*'Get Started'!$H55)*'Get Started'!$H84/'Get Started'!$H82),0)+IFERROR(IF(BB4&lt;'Get Started'!$H65,0,OFFSET(BB249,0,-1*'Get Started'!$H65)*'Get Started'!$H86/'Get Started'!$H82),0)</f>
        <v>0</v>
      </c>
      <c r="BC254" s="52">
        <f ca="1">IFERROR(IF(BC4&lt;'Get Started'!$H55,0,OFFSET(BC249,0,-1*'Get Started'!$H55)*'Get Started'!$H84/'Get Started'!$H82),0)+IFERROR(IF(BC4&lt;'Get Started'!$H65,0,OFFSET(BC249,0,-1*'Get Started'!$H65)*'Get Started'!$H86/'Get Started'!$H82),0)</f>
        <v>0</v>
      </c>
      <c r="BD254" s="52">
        <f ca="1">IFERROR(IF(BD4&lt;'Get Started'!$H55,0,OFFSET(BD249,0,-1*'Get Started'!$H55)*'Get Started'!$H84/'Get Started'!$H82),0)+IFERROR(IF(BD4&lt;'Get Started'!$H65,0,OFFSET(BD249,0,-1*'Get Started'!$H65)*'Get Started'!$H86/'Get Started'!$H82),0)</f>
        <v>0</v>
      </c>
      <c r="BE254" s="52">
        <f ca="1">IFERROR(IF(BE4&lt;'Get Started'!$H55,0,OFFSET(BE249,0,-1*'Get Started'!$H55)*'Get Started'!$H84/'Get Started'!$H82),0)+IFERROR(IF(BE4&lt;'Get Started'!$H65,0,OFFSET(BE249,0,-1*'Get Started'!$H65)*'Get Started'!$H86/'Get Started'!$H82),0)</f>
        <v>0</v>
      </c>
      <c r="BF254" s="52">
        <f ca="1">IFERROR(IF(BF4&lt;'Get Started'!$H55,0,OFFSET(BF249,0,-1*'Get Started'!$H55)*'Get Started'!$H84/'Get Started'!$H82),0)+IFERROR(IF(BF4&lt;'Get Started'!$H65,0,OFFSET(BF249,0,-1*'Get Started'!$H65)*'Get Started'!$H86/'Get Started'!$H82),0)</f>
        <v>0</v>
      </c>
      <c r="BG254" s="52">
        <f ca="1">IFERROR(IF(BG4&lt;'Get Started'!$H55,0,OFFSET(BG249,0,-1*'Get Started'!$H55)*'Get Started'!$H84/'Get Started'!$H82),0)+IFERROR(IF(BG4&lt;'Get Started'!$H65,0,OFFSET(BG249,0,-1*'Get Started'!$H65)*'Get Started'!$H86/'Get Started'!$H82),0)</f>
        <v>0</v>
      </c>
      <c r="BH254" s="52">
        <f ca="1">IFERROR(IF(BH4&lt;'Get Started'!$H55,0,OFFSET(BH249,0,-1*'Get Started'!$H55)*'Get Started'!$H84/'Get Started'!$H82),0)+IFERROR(IF(BH4&lt;'Get Started'!$H65,0,OFFSET(BH249,0,-1*'Get Started'!$H65)*'Get Started'!$H86/'Get Started'!$H82),0)</f>
        <v>0</v>
      </c>
      <c r="BI254" s="52">
        <f ca="1">IFERROR(IF(BI4&lt;'Get Started'!$H55,0,OFFSET(BI249,0,-1*'Get Started'!$H55)*'Get Started'!$H84/'Get Started'!$H82),0)+IFERROR(IF(BI4&lt;'Get Started'!$H65,0,OFFSET(BI249,0,-1*'Get Started'!$H65)*'Get Started'!$H86/'Get Started'!$H82),0)</f>
        <v>0</v>
      </c>
      <c r="BJ254" s="52">
        <f ca="1">IFERROR(IF(BJ4&lt;'Get Started'!$H55,0,OFFSET(BJ249,0,-1*'Get Started'!$H55)*'Get Started'!$H84/'Get Started'!$H82),0)+IFERROR(IF(BJ4&lt;'Get Started'!$H65,0,OFFSET(BJ249,0,-1*'Get Started'!$H65)*'Get Started'!$H86/'Get Started'!$H82),0)</f>
        <v>0</v>
      </c>
      <c r="BK254" s="52">
        <f ca="1">IFERROR(IF(BK4&lt;'Get Started'!$H55,0,OFFSET(BK249,0,-1*'Get Started'!$H55)*'Get Started'!$H84/'Get Started'!$H82),0)+IFERROR(IF(BK4&lt;'Get Started'!$H65,0,OFFSET(BK249,0,-1*'Get Started'!$H65)*'Get Started'!$H86/'Get Started'!$H82),0)</f>
        <v>0</v>
      </c>
      <c r="BL254" s="52">
        <f ca="1">IFERROR(IF(BL4&lt;'Get Started'!$H55,0,OFFSET(BL249,0,-1*'Get Started'!$H55)*'Get Started'!$H84/'Get Started'!$H82),0)+IFERROR(IF(BL4&lt;'Get Started'!$H65,0,OFFSET(BL249,0,-1*'Get Started'!$H65)*'Get Started'!$H86/'Get Started'!$H82),0)</f>
        <v>0</v>
      </c>
      <c r="BM254" s="52">
        <f ca="1">IFERROR(IF(BM4&lt;'Get Started'!$H55,0,OFFSET(BM249,0,-1*'Get Started'!$H55)*'Get Started'!$H84/'Get Started'!$H82),0)+IFERROR(IF(BM4&lt;'Get Started'!$H65,0,OFFSET(BM249,0,-1*'Get Started'!$H65)*'Get Started'!$H86/'Get Started'!$H82),0)</f>
        <v>0</v>
      </c>
      <c r="BN254" s="52">
        <f ca="1">IFERROR(IF(BN4&lt;'Get Started'!$H55,0,OFFSET(BN249,0,-1*'Get Started'!$H55)*'Get Started'!$H84/'Get Started'!$H82),0)+IFERROR(IF(BN4&lt;'Get Started'!$H65,0,OFFSET(BN249,0,-1*'Get Started'!$H65)*'Get Started'!$H86/'Get Started'!$H82),0)</f>
        <v>0</v>
      </c>
      <c r="BO254" s="52">
        <f ca="1">IFERROR(IF(BO4&lt;'Get Started'!$H55,0,OFFSET(BO249,0,-1*'Get Started'!$H55)*'Get Started'!$H84/'Get Started'!$H82),0)+IFERROR(IF(BO4&lt;'Get Started'!$H65,0,OFFSET(BO249,0,-1*'Get Started'!$H65)*'Get Started'!$H86/'Get Started'!$H82),0)</f>
        <v>0</v>
      </c>
      <c r="BP254" s="52">
        <f ca="1">IFERROR(IF(BP4&lt;'Get Started'!$H55,0,OFFSET(BP249,0,-1*'Get Started'!$H55)*'Get Started'!$H84/'Get Started'!$H82),0)+IFERROR(IF(BP4&lt;'Get Started'!$H65,0,OFFSET(BP249,0,-1*'Get Started'!$H65)*'Get Started'!$H86/'Get Started'!$H82),0)</f>
        <v>0</v>
      </c>
      <c r="BQ254" s="52">
        <f ca="1">IFERROR(IF(BQ4&lt;'Get Started'!$H55,0,OFFSET(BQ249,0,-1*'Get Started'!$H55)*'Get Started'!$H84/'Get Started'!$H82),0)+IFERROR(IF(BQ4&lt;'Get Started'!$H65,0,OFFSET(BQ249,0,-1*'Get Started'!$H65)*'Get Started'!$H86/'Get Started'!$H82),0)</f>
        <v>0</v>
      </c>
      <c r="BR254" s="52">
        <f ca="1">IFERROR(IF(BR4&lt;'Get Started'!$H55,0,OFFSET(BR249,0,-1*'Get Started'!$H55)*'Get Started'!$H84/'Get Started'!$H82),0)+IFERROR(IF(BR4&lt;'Get Started'!$H65,0,OFFSET(BR249,0,-1*'Get Started'!$H65)*'Get Started'!$H86/'Get Started'!$H82),0)</f>
        <v>0</v>
      </c>
      <c r="BS254" s="52">
        <f ca="1">IFERROR(IF(BS4&lt;'Get Started'!$H55,0,OFFSET(BS249,0,-1*'Get Started'!$H55)*'Get Started'!$H84/'Get Started'!$H82),0)+IFERROR(IF(BS4&lt;'Get Started'!$H65,0,OFFSET(BS249,0,-1*'Get Started'!$H65)*'Get Started'!$H86/'Get Started'!$H82),0)</f>
        <v>0</v>
      </c>
      <c r="BT254" s="52">
        <f ca="1">IFERROR(IF(BT4&lt;'Get Started'!$H55,0,OFFSET(BT249,0,-1*'Get Started'!$H55)*'Get Started'!$H84/'Get Started'!$H82),0)+IFERROR(IF(BT4&lt;'Get Started'!$H65,0,OFFSET(BT249,0,-1*'Get Started'!$H65)*'Get Started'!$H86/'Get Started'!$H82),0)</f>
        <v>0</v>
      </c>
      <c r="BU254" s="52">
        <f ca="1">IFERROR(IF(BU4&lt;'Get Started'!$H55,0,OFFSET(BU249,0,-1*'Get Started'!$H55)*'Get Started'!$H84/'Get Started'!$H82),0)+IFERROR(IF(BU4&lt;'Get Started'!$H65,0,OFFSET(BU249,0,-1*'Get Started'!$H65)*'Get Started'!$H86/'Get Started'!$H82),0)</f>
        <v>0</v>
      </c>
      <c r="BV254" s="52">
        <f ca="1">IFERROR(IF(BV4&lt;'Get Started'!$H55,0,OFFSET(BV249,0,-1*'Get Started'!$H55)*'Get Started'!$H84/'Get Started'!$H82),0)+IFERROR(IF(BV4&lt;'Get Started'!$H65,0,OFFSET(BV249,0,-1*'Get Started'!$H65)*'Get Started'!$H86/'Get Started'!$H82),0)</f>
        <v>0</v>
      </c>
      <c r="BW254" s="52">
        <f ca="1">IFERROR(IF(BW4&lt;'Get Started'!$H55,0,OFFSET(BW249,0,-1*'Get Started'!$H55)*'Get Started'!$H84/'Get Started'!$H82),0)+IFERROR(IF(BW4&lt;'Get Started'!$H65,0,OFFSET(BW249,0,-1*'Get Started'!$H65)*'Get Started'!$H86/'Get Started'!$H82),0)</f>
        <v>0</v>
      </c>
      <c r="BX254" s="52">
        <f ca="1">IFERROR(IF(BX4&lt;'Get Started'!$H55,0,OFFSET(BX249,0,-1*'Get Started'!$H55)*'Get Started'!$H84/'Get Started'!$H82),0)+IFERROR(IF(BX4&lt;'Get Started'!$H65,0,OFFSET(BX249,0,-1*'Get Started'!$H65)*'Get Started'!$H86/'Get Started'!$H82),0)</f>
        <v>0</v>
      </c>
      <c r="BY254" s="52">
        <f ca="1">IFERROR(IF(BY4&lt;'Get Started'!$H55,0,OFFSET(BY249,0,-1*'Get Started'!$H55)*'Get Started'!$H84/'Get Started'!$H82),0)+IFERROR(IF(BY4&lt;'Get Started'!$H65,0,OFFSET(BY249,0,-1*'Get Started'!$H65)*'Get Started'!$H86/'Get Started'!$H82),0)</f>
        <v>0</v>
      </c>
      <c r="BZ254" s="52">
        <f ca="1">IFERROR(IF(BZ4&lt;'Get Started'!$H55,0,OFFSET(BZ249,0,-1*'Get Started'!$H55)*'Get Started'!$H84/'Get Started'!$H82),0)+IFERROR(IF(BZ4&lt;'Get Started'!$H65,0,OFFSET(BZ249,0,-1*'Get Started'!$H65)*'Get Started'!$H86/'Get Started'!$H82),0)</f>
        <v>0</v>
      </c>
      <c r="CA254" s="52">
        <f ca="1">IFERROR(IF(CA4&lt;'Get Started'!$H55,0,OFFSET(CA249,0,-1*'Get Started'!$H55)*'Get Started'!$H84/'Get Started'!$H82),0)+IFERROR(IF(CA4&lt;'Get Started'!$H65,0,OFFSET(CA249,0,-1*'Get Started'!$H65)*'Get Started'!$H86/'Get Started'!$H82),0)</f>
        <v>0</v>
      </c>
      <c r="CB254" s="52">
        <f ca="1">IFERROR(IF(CB4&lt;'Get Started'!$H55,0,OFFSET(CB249,0,-1*'Get Started'!$H55)*'Get Started'!$H84/'Get Started'!$H82),0)+IFERROR(IF(CB4&lt;'Get Started'!$H65,0,OFFSET(CB249,0,-1*'Get Started'!$H65)*'Get Started'!$H86/'Get Started'!$H82),0)</f>
        <v>0</v>
      </c>
      <c r="CC254" s="52">
        <f ca="1">IFERROR(IF(CC4&lt;'Get Started'!$H55,0,OFFSET(CC249,0,-1*'Get Started'!$H55)*'Get Started'!$H84/'Get Started'!$H82),0)+IFERROR(IF(CC4&lt;'Get Started'!$H65,0,OFFSET(CC249,0,-1*'Get Started'!$H65)*'Get Started'!$H86/'Get Started'!$H82),0)</f>
        <v>0</v>
      </c>
      <c r="CD254" s="52">
        <f ca="1">IFERROR(IF(CD4&lt;'Get Started'!$H55,0,OFFSET(CD249,0,-1*'Get Started'!$H55)*'Get Started'!$H84/'Get Started'!$H82),0)+IFERROR(IF(CD4&lt;'Get Started'!$H65,0,OFFSET(CD249,0,-1*'Get Started'!$H65)*'Get Started'!$H86/'Get Started'!$H82),0)</f>
        <v>0</v>
      </c>
      <c r="CE254" s="52">
        <f ca="1">IFERROR(IF(CE4&lt;'Get Started'!$H55,0,OFFSET(CE249,0,-1*'Get Started'!$H55)*'Get Started'!$H84/'Get Started'!$H82),0)+IFERROR(IF(CE4&lt;'Get Started'!$H65,0,OFFSET(CE249,0,-1*'Get Started'!$H65)*'Get Started'!$H86/'Get Started'!$H82),0)</f>
        <v>0</v>
      </c>
      <c r="CF254" s="52">
        <f ca="1">IFERROR(IF(CF4&lt;'Get Started'!$H55,0,OFFSET(CF249,0,-1*'Get Started'!$H55)*'Get Started'!$H84/'Get Started'!$H82),0)+IFERROR(IF(CF4&lt;'Get Started'!$H65,0,OFFSET(CF249,0,-1*'Get Started'!$H65)*'Get Started'!$H86/'Get Started'!$H82),0)</f>
        <v>0</v>
      </c>
      <c r="CG254" s="52">
        <f ca="1">IFERROR(IF(CG4&lt;'Get Started'!$H55,0,OFFSET(CG249,0,-1*'Get Started'!$H55)*'Get Started'!$H84/'Get Started'!$H82),0)+IFERROR(IF(CG4&lt;'Get Started'!$H65,0,OFFSET(CG249,0,-1*'Get Started'!$H65)*'Get Started'!$H86/'Get Started'!$H82),0)</f>
        <v>0</v>
      </c>
      <c r="CH254" s="52">
        <f ca="1">IFERROR(IF(CH4&lt;'Get Started'!$H55,0,OFFSET(CH249,0,-1*'Get Started'!$H55)*'Get Started'!$H84/'Get Started'!$H82),0)+IFERROR(IF(CH4&lt;'Get Started'!$H65,0,OFFSET(CH249,0,-1*'Get Started'!$H65)*'Get Started'!$H86/'Get Started'!$H82),0)</f>
        <v>0</v>
      </c>
    </row>
    <row r="255" spans="1:86" ht="13" outlineLevel="1">
      <c r="A255" s="13"/>
      <c r="B255" s="13" t="str">
        <f>B253&amp;" total"</f>
        <v>follow invested capital total</v>
      </c>
      <c r="C255" s="13"/>
      <c r="D255" s="13" t="s">
        <v>238</v>
      </c>
      <c r="E255" s="88">
        <f t="shared" ca="1" si="185"/>
        <v>0</v>
      </c>
      <c r="F255" s="48"/>
      <c r="G255" s="52">
        <f t="shared" ref="G255:CH255" ca="1" si="187">SUM(G251:G254)</f>
        <v>0</v>
      </c>
      <c r="H255" s="52">
        <f t="shared" ca="1" si="187"/>
        <v>0</v>
      </c>
      <c r="I255" s="52">
        <f t="shared" ca="1" si="187"/>
        <v>0</v>
      </c>
      <c r="J255" s="52">
        <f t="shared" ca="1" si="187"/>
        <v>0</v>
      </c>
      <c r="K255" s="52">
        <f t="shared" ca="1" si="187"/>
        <v>0</v>
      </c>
      <c r="L255" s="52">
        <f t="shared" ca="1" si="187"/>
        <v>0</v>
      </c>
      <c r="M255" s="52">
        <f t="shared" ca="1" si="187"/>
        <v>0</v>
      </c>
      <c r="N255" s="52">
        <f t="shared" ca="1" si="187"/>
        <v>0</v>
      </c>
      <c r="O255" s="52">
        <f t="shared" ca="1" si="187"/>
        <v>0</v>
      </c>
      <c r="P255" s="52">
        <f t="shared" ca="1" si="187"/>
        <v>0</v>
      </c>
      <c r="Q255" s="52">
        <f t="shared" ca="1" si="187"/>
        <v>0</v>
      </c>
      <c r="R255" s="52">
        <f t="shared" ca="1" si="187"/>
        <v>0</v>
      </c>
      <c r="S255" s="52">
        <f t="shared" ca="1" si="187"/>
        <v>0</v>
      </c>
      <c r="T255" s="52">
        <f t="shared" ca="1" si="187"/>
        <v>0</v>
      </c>
      <c r="U255" s="52">
        <f t="shared" ca="1" si="187"/>
        <v>0</v>
      </c>
      <c r="V255" s="52">
        <f t="shared" ca="1" si="187"/>
        <v>0</v>
      </c>
      <c r="W255" s="52">
        <f t="shared" ca="1" si="187"/>
        <v>0</v>
      </c>
      <c r="X255" s="52">
        <f t="shared" ca="1" si="187"/>
        <v>0</v>
      </c>
      <c r="Y255" s="52">
        <f t="shared" ca="1" si="187"/>
        <v>0</v>
      </c>
      <c r="Z255" s="52">
        <f t="shared" ca="1" si="187"/>
        <v>0</v>
      </c>
      <c r="AA255" s="52">
        <f t="shared" ca="1" si="187"/>
        <v>0</v>
      </c>
      <c r="AB255" s="52">
        <f t="shared" ca="1" si="187"/>
        <v>0</v>
      </c>
      <c r="AC255" s="52">
        <f t="shared" ca="1" si="187"/>
        <v>0</v>
      </c>
      <c r="AD255" s="52">
        <f t="shared" ca="1" si="187"/>
        <v>0</v>
      </c>
      <c r="AE255" s="52">
        <f t="shared" ca="1" si="187"/>
        <v>0</v>
      </c>
      <c r="AF255" s="52">
        <f t="shared" ca="1" si="187"/>
        <v>0</v>
      </c>
      <c r="AG255" s="52">
        <f t="shared" ca="1" si="187"/>
        <v>0</v>
      </c>
      <c r="AH255" s="52">
        <f t="shared" ca="1" si="187"/>
        <v>0</v>
      </c>
      <c r="AI255" s="52">
        <f t="shared" ca="1" si="187"/>
        <v>0</v>
      </c>
      <c r="AJ255" s="52">
        <f t="shared" ca="1" si="187"/>
        <v>0</v>
      </c>
      <c r="AK255" s="52">
        <f t="shared" ca="1" si="187"/>
        <v>0</v>
      </c>
      <c r="AL255" s="52">
        <f t="shared" ca="1" si="187"/>
        <v>0</v>
      </c>
      <c r="AM255" s="52">
        <f t="shared" ca="1" si="187"/>
        <v>0</v>
      </c>
      <c r="AN255" s="52">
        <f t="shared" ca="1" si="187"/>
        <v>0</v>
      </c>
      <c r="AO255" s="52">
        <f t="shared" ca="1" si="187"/>
        <v>0</v>
      </c>
      <c r="AP255" s="52">
        <f t="shared" ca="1" si="187"/>
        <v>0</v>
      </c>
      <c r="AQ255" s="52">
        <f t="shared" ca="1" si="187"/>
        <v>0</v>
      </c>
      <c r="AR255" s="52">
        <f t="shared" ca="1" si="187"/>
        <v>0</v>
      </c>
      <c r="AS255" s="52">
        <f t="shared" ca="1" si="187"/>
        <v>0</v>
      </c>
      <c r="AT255" s="52">
        <f t="shared" ca="1" si="187"/>
        <v>0</v>
      </c>
      <c r="AU255" s="52">
        <f t="shared" ca="1" si="187"/>
        <v>0</v>
      </c>
      <c r="AV255" s="52">
        <f t="shared" ca="1" si="187"/>
        <v>0</v>
      </c>
      <c r="AW255" s="52">
        <f t="shared" ca="1" si="187"/>
        <v>0</v>
      </c>
      <c r="AX255" s="52">
        <f t="shared" ca="1" si="187"/>
        <v>0</v>
      </c>
      <c r="AY255" s="52">
        <f t="shared" ca="1" si="187"/>
        <v>0</v>
      </c>
      <c r="AZ255" s="52">
        <f t="shared" ca="1" si="187"/>
        <v>0</v>
      </c>
      <c r="BA255" s="52">
        <f t="shared" ca="1" si="187"/>
        <v>0</v>
      </c>
      <c r="BB255" s="52">
        <f t="shared" ca="1" si="187"/>
        <v>0</v>
      </c>
      <c r="BC255" s="52">
        <f t="shared" ca="1" si="187"/>
        <v>0</v>
      </c>
      <c r="BD255" s="52">
        <f t="shared" ca="1" si="187"/>
        <v>0</v>
      </c>
      <c r="BE255" s="52">
        <f t="shared" ca="1" si="187"/>
        <v>0</v>
      </c>
      <c r="BF255" s="52">
        <f t="shared" ca="1" si="187"/>
        <v>0</v>
      </c>
      <c r="BG255" s="52">
        <f t="shared" ca="1" si="187"/>
        <v>0</v>
      </c>
      <c r="BH255" s="52">
        <f t="shared" ca="1" si="187"/>
        <v>0</v>
      </c>
      <c r="BI255" s="52">
        <f t="shared" ca="1" si="187"/>
        <v>0</v>
      </c>
      <c r="BJ255" s="52">
        <f t="shared" ca="1" si="187"/>
        <v>0</v>
      </c>
      <c r="BK255" s="52">
        <f t="shared" ca="1" si="187"/>
        <v>0</v>
      </c>
      <c r="BL255" s="52">
        <f t="shared" ca="1" si="187"/>
        <v>0</v>
      </c>
      <c r="BM255" s="52">
        <f t="shared" ca="1" si="187"/>
        <v>0</v>
      </c>
      <c r="BN255" s="52">
        <f t="shared" ca="1" si="187"/>
        <v>0</v>
      </c>
      <c r="BO255" s="52">
        <f t="shared" ca="1" si="187"/>
        <v>0</v>
      </c>
      <c r="BP255" s="52">
        <f t="shared" ca="1" si="187"/>
        <v>0</v>
      </c>
      <c r="BQ255" s="52">
        <f t="shared" ca="1" si="187"/>
        <v>0</v>
      </c>
      <c r="BR255" s="52">
        <f t="shared" ca="1" si="187"/>
        <v>0</v>
      </c>
      <c r="BS255" s="52">
        <f t="shared" ca="1" si="187"/>
        <v>0</v>
      </c>
      <c r="BT255" s="52">
        <f t="shared" ca="1" si="187"/>
        <v>0</v>
      </c>
      <c r="BU255" s="52">
        <f t="shared" ca="1" si="187"/>
        <v>0</v>
      </c>
      <c r="BV255" s="52">
        <f t="shared" ca="1" si="187"/>
        <v>0</v>
      </c>
      <c r="BW255" s="52">
        <f t="shared" ca="1" si="187"/>
        <v>0</v>
      </c>
      <c r="BX255" s="52">
        <f t="shared" ca="1" si="187"/>
        <v>0</v>
      </c>
      <c r="BY255" s="52">
        <f t="shared" ca="1" si="187"/>
        <v>0</v>
      </c>
      <c r="BZ255" s="52">
        <f t="shared" ca="1" si="187"/>
        <v>0</v>
      </c>
      <c r="CA255" s="52">
        <f t="shared" ca="1" si="187"/>
        <v>0</v>
      </c>
      <c r="CB255" s="52">
        <f t="shared" ca="1" si="187"/>
        <v>0</v>
      </c>
      <c r="CC255" s="52">
        <f t="shared" ca="1" si="187"/>
        <v>0</v>
      </c>
      <c r="CD255" s="52">
        <f t="shared" ca="1" si="187"/>
        <v>0</v>
      </c>
      <c r="CE255" s="52">
        <f t="shared" ca="1" si="187"/>
        <v>0</v>
      </c>
      <c r="CF255" s="52">
        <f t="shared" ca="1" si="187"/>
        <v>0</v>
      </c>
      <c r="CG255" s="52">
        <f t="shared" ca="1" si="187"/>
        <v>0</v>
      </c>
      <c r="CH255" s="52">
        <f t="shared" ca="1" si="187"/>
        <v>0</v>
      </c>
    </row>
    <row r="256" spans="1:86" ht="13" outlineLevel="1">
      <c r="A256" s="13"/>
      <c r="B256" s="13" t="s">
        <v>330</v>
      </c>
      <c r="C256" s="13"/>
      <c r="D256" s="13" t="s">
        <v>238</v>
      </c>
      <c r="E256" s="88">
        <f t="shared" ca="1" si="185"/>
        <v>0.59999999999999987</v>
      </c>
      <c r="F256" s="48"/>
      <c r="G256" s="52">
        <f t="shared" ref="G256:CH256" ca="1" si="188">G246+IFERROR(G246*$E251/$E246,0)</f>
        <v>3.7499999999999999E-2</v>
      </c>
      <c r="H256" s="52">
        <f t="shared" ca="1" si="188"/>
        <v>3.7499999999999999E-2</v>
      </c>
      <c r="I256" s="52">
        <f t="shared" ca="1" si="188"/>
        <v>3.7499999999999999E-2</v>
      </c>
      <c r="J256" s="52">
        <f t="shared" ca="1" si="188"/>
        <v>3.7499999999999999E-2</v>
      </c>
      <c r="K256" s="52">
        <f t="shared" ca="1" si="188"/>
        <v>3.7499999999999999E-2</v>
      </c>
      <c r="L256" s="52">
        <f t="shared" ca="1" si="188"/>
        <v>3.7499999999999999E-2</v>
      </c>
      <c r="M256" s="52">
        <f t="shared" ca="1" si="188"/>
        <v>3.7499999999999999E-2</v>
      </c>
      <c r="N256" s="52">
        <f t="shared" ca="1" si="188"/>
        <v>3.7499999999999999E-2</v>
      </c>
      <c r="O256" s="52">
        <f t="shared" ca="1" si="188"/>
        <v>3.7499999999999999E-2</v>
      </c>
      <c r="P256" s="52">
        <f t="shared" ca="1" si="188"/>
        <v>3.7499999999999999E-2</v>
      </c>
      <c r="Q256" s="52">
        <f t="shared" ca="1" si="188"/>
        <v>3.7499999999999999E-2</v>
      </c>
      <c r="R256" s="52">
        <f t="shared" ca="1" si="188"/>
        <v>3.7499999999999999E-2</v>
      </c>
      <c r="S256" s="52">
        <f t="shared" ca="1" si="188"/>
        <v>3.7499999999999999E-2</v>
      </c>
      <c r="T256" s="52">
        <f t="shared" ca="1" si="188"/>
        <v>3.7499999999999999E-2</v>
      </c>
      <c r="U256" s="52">
        <f t="shared" ca="1" si="188"/>
        <v>3.7499999999999999E-2</v>
      </c>
      <c r="V256" s="52">
        <f t="shared" ca="1" si="188"/>
        <v>3.7499999999999999E-2</v>
      </c>
      <c r="W256" s="52">
        <f t="shared" ca="1" si="188"/>
        <v>0</v>
      </c>
      <c r="X256" s="52">
        <f t="shared" ca="1" si="188"/>
        <v>0</v>
      </c>
      <c r="Y256" s="52">
        <f t="shared" ca="1" si="188"/>
        <v>0</v>
      </c>
      <c r="Z256" s="52">
        <f t="shared" ca="1" si="188"/>
        <v>0</v>
      </c>
      <c r="AA256" s="52">
        <f t="shared" ca="1" si="188"/>
        <v>0</v>
      </c>
      <c r="AB256" s="52">
        <f t="shared" ca="1" si="188"/>
        <v>0</v>
      </c>
      <c r="AC256" s="52">
        <f t="shared" ca="1" si="188"/>
        <v>0</v>
      </c>
      <c r="AD256" s="52">
        <f t="shared" ca="1" si="188"/>
        <v>0</v>
      </c>
      <c r="AE256" s="52">
        <f t="shared" ca="1" si="188"/>
        <v>0</v>
      </c>
      <c r="AF256" s="52">
        <f t="shared" ca="1" si="188"/>
        <v>0</v>
      </c>
      <c r="AG256" s="52">
        <f t="shared" ca="1" si="188"/>
        <v>0</v>
      </c>
      <c r="AH256" s="52">
        <f t="shared" ca="1" si="188"/>
        <v>0</v>
      </c>
      <c r="AI256" s="52">
        <f t="shared" ca="1" si="188"/>
        <v>0</v>
      </c>
      <c r="AJ256" s="52">
        <f t="shared" ca="1" si="188"/>
        <v>0</v>
      </c>
      <c r="AK256" s="52">
        <f t="shared" ca="1" si="188"/>
        <v>0</v>
      </c>
      <c r="AL256" s="52">
        <f t="shared" ca="1" si="188"/>
        <v>0</v>
      </c>
      <c r="AM256" s="52">
        <f t="shared" ca="1" si="188"/>
        <v>0</v>
      </c>
      <c r="AN256" s="52">
        <f t="shared" ca="1" si="188"/>
        <v>0</v>
      </c>
      <c r="AO256" s="52">
        <f t="shared" ca="1" si="188"/>
        <v>0</v>
      </c>
      <c r="AP256" s="52">
        <f t="shared" ca="1" si="188"/>
        <v>0</v>
      </c>
      <c r="AQ256" s="52">
        <f t="shared" ca="1" si="188"/>
        <v>0</v>
      </c>
      <c r="AR256" s="52">
        <f t="shared" ca="1" si="188"/>
        <v>0</v>
      </c>
      <c r="AS256" s="52">
        <f t="shared" ca="1" si="188"/>
        <v>0</v>
      </c>
      <c r="AT256" s="52">
        <f t="shared" ca="1" si="188"/>
        <v>0</v>
      </c>
      <c r="AU256" s="52">
        <f t="shared" ca="1" si="188"/>
        <v>0</v>
      </c>
      <c r="AV256" s="52">
        <f t="shared" ca="1" si="188"/>
        <v>0</v>
      </c>
      <c r="AW256" s="52">
        <f t="shared" ca="1" si="188"/>
        <v>0</v>
      </c>
      <c r="AX256" s="52">
        <f t="shared" ca="1" si="188"/>
        <v>0</v>
      </c>
      <c r="AY256" s="52">
        <f t="shared" ca="1" si="188"/>
        <v>0</v>
      </c>
      <c r="AZ256" s="52">
        <f t="shared" ca="1" si="188"/>
        <v>0</v>
      </c>
      <c r="BA256" s="52">
        <f t="shared" ca="1" si="188"/>
        <v>0</v>
      </c>
      <c r="BB256" s="52">
        <f t="shared" ca="1" si="188"/>
        <v>0</v>
      </c>
      <c r="BC256" s="52">
        <f t="shared" ca="1" si="188"/>
        <v>0</v>
      </c>
      <c r="BD256" s="52">
        <f t="shared" ca="1" si="188"/>
        <v>0</v>
      </c>
      <c r="BE256" s="52">
        <f t="shared" ca="1" si="188"/>
        <v>0</v>
      </c>
      <c r="BF256" s="52">
        <f t="shared" ca="1" si="188"/>
        <v>0</v>
      </c>
      <c r="BG256" s="52">
        <f t="shared" ca="1" si="188"/>
        <v>0</v>
      </c>
      <c r="BH256" s="52">
        <f t="shared" ca="1" si="188"/>
        <v>0</v>
      </c>
      <c r="BI256" s="52">
        <f t="shared" ca="1" si="188"/>
        <v>0</v>
      </c>
      <c r="BJ256" s="52">
        <f t="shared" ca="1" si="188"/>
        <v>0</v>
      </c>
      <c r="BK256" s="52">
        <f t="shared" ca="1" si="188"/>
        <v>0</v>
      </c>
      <c r="BL256" s="52">
        <f t="shared" ca="1" si="188"/>
        <v>0</v>
      </c>
      <c r="BM256" s="52">
        <f t="shared" ca="1" si="188"/>
        <v>0</v>
      </c>
      <c r="BN256" s="52">
        <f t="shared" ca="1" si="188"/>
        <v>0</v>
      </c>
      <c r="BO256" s="52">
        <f t="shared" ca="1" si="188"/>
        <v>0</v>
      </c>
      <c r="BP256" s="52">
        <f t="shared" ca="1" si="188"/>
        <v>0</v>
      </c>
      <c r="BQ256" s="52">
        <f t="shared" ca="1" si="188"/>
        <v>0</v>
      </c>
      <c r="BR256" s="52">
        <f t="shared" ca="1" si="188"/>
        <v>0</v>
      </c>
      <c r="BS256" s="52">
        <f t="shared" ca="1" si="188"/>
        <v>0</v>
      </c>
      <c r="BT256" s="52">
        <f t="shared" ca="1" si="188"/>
        <v>0</v>
      </c>
      <c r="BU256" s="52">
        <f t="shared" ca="1" si="188"/>
        <v>0</v>
      </c>
      <c r="BV256" s="52">
        <f t="shared" ca="1" si="188"/>
        <v>0</v>
      </c>
      <c r="BW256" s="52">
        <f t="shared" ca="1" si="188"/>
        <v>0</v>
      </c>
      <c r="BX256" s="52">
        <f t="shared" ca="1" si="188"/>
        <v>0</v>
      </c>
      <c r="BY256" s="52">
        <f t="shared" ca="1" si="188"/>
        <v>0</v>
      </c>
      <c r="BZ256" s="52">
        <f t="shared" ca="1" si="188"/>
        <v>0</v>
      </c>
      <c r="CA256" s="52">
        <f t="shared" ca="1" si="188"/>
        <v>0</v>
      </c>
      <c r="CB256" s="52">
        <f t="shared" ca="1" si="188"/>
        <v>0</v>
      </c>
      <c r="CC256" s="52">
        <f t="shared" ca="1" si="188"/>
        <v>0</v>
      </c>
      <c r="CD256" s="52">
        <f t="shared" ca="1" si="188"/>
        <v>0</v>
      </c>
      <c r="CE256" s="52">
        <f t="shared" ca="1" si="188"/>
        <v>0</v>
      </c>
      <c r="CF256" s="52">
        <f t="shared" ca="1" si="188"/>
        <v>0</v>
      </c>
      <c r="CG256" s="52">
        <f t="shared" ca="1" si="188"/>
        <v>0</v>
      </c>
      <c r="CH256" s="52">
        <f t="shared" ca="1" si="188"/>
        <v>0</v>
      </c>
    </row>
    <row r="257" spans="1:86" ht="13" outlineLevel="1">
      <c r="A257" s="13"/>
      <c r="B257" s="13" t="s">
        <v>330</v>
      </c>
      <c r="C257" s="13"/>
      <c r="D257" s="13" t="s">
        <v>238</v>
      </c>
      <c r="E257" s="88">
        <f t="shared" ca="1" si="185"/>
        <v>0.20000000000000004</v>
      </c>
      <c r="F257" s="48"/>
      <c r="G257" s="52">
        <f t="shared" ref="G257:CH257" ca="1" si="189">G247+IFERROR(G247*$E252/$E247,0)</f>
        <v>1.2500000000000001E-2</v>
      </c>
      <c r="H257" s="52">
        <f t="shared" ca="1" si="189"/>
        <v>1.2500000000000001E-2</v>
      </c>
      <c r="I257" s="52">
        <f t="shared" ca="1" si="189"/>
        <v>1.2500000000000001E-2</v>
      </c>
      <c r="J257" s="52">
        <f t="shared" ca="1" si="189"/>
        <v>1.2500000000000001E-2</v>
      </c>
      <c r="K257" s="52">
        <f t="shared" ca="1" si="189"/>
        <v>1.2500000000000001E-2</v>
      </c>
      <c r="L257" s="52">
        <f t="shared" ca="1" si="189"/>
        <v>1.2500000000000001E-2</v>
      </c>
      <c r="M257" s="52">
        <f t="shared" ca="1" si="189"/>
        <v>1.2500000000000001E-2</v>
      </c>
      <c r="N257" s="52">
        <f t="shared" ca="1" si="189"/>
        <v>1.2500000000000001E-2</v>
      </c>
      <c r="O257" s="52">
        <f t="shared" ca="1" si="189"/>
        <v>1.2500000000000001E-2</v>
      </c>
      <c r="P257" s="52">
        <f t="shared" ca="1" si="189"/>
        <v>1.2500000000000001E-2</v>
      </c>
      <c r="Q257" s="52">
        <f t="shared" ca="1" si="189"/>
        <v>1.2500000000000001E-2</v>
      </c>
      <c r="R257" s="52">
        <f t="shared" ca="1" si="189"/>
        <v>1.2500000000000001E-2</v>
      </c>
      <c r="S257" s="52">
        <f t="shared" ca="1" si="189"/>
        <v>1.2500000000000001E-2</v>
      </c>
      <c r="T257" s="52">
        <f t="shared" ca="1" si="189"/>
        <v>1.2500000000000001E-2</v>
      </c>
      <c r="U257" s="52">
        <f t="shared" ca="1" si="189"/>
        <v>1.2500000000000001E-2</v>
      </c>
      <c r="V257" s="52">
        <f t="shared" ca="1" si="189"/>
        <v>1.2500000000000001E-2</v>
      </c>
      <c r="W257" s="52">
        <f t="shared" ca="1" si="189"/>
        <v>0</v>
      </c>
      <c r="X257" s="52">
        <f t="shared" ca="1" si="189"/>
        <v>0</v>
      </c>
      <c r="Y257" s="52">
        <f t="shared" ca="1" si="189"/>
        <v>0</v>
      </c>
      <c r="Z257" s="52">
        <f t="shared" ca="1" si="189"/>
        <v>0</v>
      </c>
      <c r="AA257" s="52">
        <f t="shared" ca="1" si="189"/>
        <v>0</v>
      </c>
      <c r="AB257" s="52">
        <f t="shared" ca="1" si="189"/>
        <v>0</v>
      </c>
      <c r="AC257" s="52">
        <f t="shared" ca="1" si="189"/>
        <v>0</v>
      </c>
      <c r="AD257" s="52">
        <f t="shared" ca="1" si="189"/>
        <v>0</v>
      </c>
      <c r="AE257" s="52">
        <f t="shared" ca="1" si="189"/>
        <v>0</v>
      </c>
      <c r="AF257" s="52">
        <f t="shared" ca="1" si="189"/>
        <v>0</v>
      </c>
      <c r="AG257" s="52">
        <f t="shared" ca="1" si="189"/>
        <v>0</v>
      </c>
      <c r="AH257" s="52">
        <f t="shared" ca="1" si="189"/>
        <v>0</v>
      </c>
      <c r="AI257" s="52">
        <f t="shared" ca="1" si="189"/>
        <v>0</v>
      </c>
      <c r="AJ257" s="52">
        <f t="shared" ca="1" si="189"/>
        <v>0</v>
      </c>
      <c r="AK257" s="52">
        <f t="shared" ca="1" si="189"/>
        <v>0</v>
      </c>
      <c r="AL257" s="52">
        <f t="shared" ca="1" si="189"/>
        <v>0</v>
      </c>
      <c r="AM257" s="52">
        <f t="shared" ca="1" si="189"/>
        <v>0</v>
      </c>
      <c r="AN257" s="52">
        <f t="shared" ca="1" si="189"/>
        <v>0</v>
      </c>
      <c r="AO257" s="52">
        <f t="shared" ca="1" si="189"/>
        <v>0</v>
      </c>
      <c r="AP257" s="52">
        <f t="shared" ca="1" si="189"/>
        <v>0</v>
      </c>
      <c r="AQ257" s="52">
        <f t="shared" ca="1" si="189"/>
        <v>0</v>
      </c>
      <c r="AR257" s="52">
        <f t="shared" ca="1" si="189"/>
        <v>0</v>
      </c>
      <c r="AS257" s="52">
        <f t="shared" ca="1" si="189"/>
        <v>0</v>
      </c>
      <c r="AT257" s="52">
        <f t="shared" ca="1" si="189"/>
        <v>0</v>
      </c>
      <c r="AU257" s="52">
        <f t="shared" ca="1" si="189"/>
        <v>0</v>
      </c>
      <c r="AV257" s="52">
        <f t="shared" ca="1" si="189"/>
        <v>0</v>
      </c>
      <c r="AW257" s="52">
        <f t="shared" ca="1" si="189"/>
        <v>0</v>
      </c>
      <c r="AX257" s="52">
        <f t="shared" ca="1" si="189"/>
        <v>0</v>
      </c>
      <c r="AY257" s="52">
        <f t="shared" ca="1" si="189"/>
        <v>0</v>
      </c>
      <c r="AZ257" s="52">
        <f t="shared" ca="1" si="189"/>
        <v>0</v>
      </c>
      <c r="BA257" s="52">
        <f t="shared" ca="1" si="189"/>
        <v>0</v>
      </c>
      <c r="BB257" s="52">
        <f t="shared" ca="1" si="189"/>
        <v>0</v>
      </c>
      <c r="BC257" s="52">
        <f t="shared" ca="1" si="189"/>
        <v>0</v>
      </c>
      <c r="BD257" s="52">
        <f t="shared" ca="1" si="189"/>
        <v>0</v>
      </c>
      <c r="BE257" s="52">
        <f t="shared" ca="1" si="189"/>
        <v>0</v>
      </c>
      <c r="BF257" s="52">
        <f t="shared" ca="1" si="189"/>
        <v>0</v>
      </c>
      <c r="BG257" s="52">
        <f t="shared" ca="1" si="189"/>
        <v>0</v>
      </c>
      <c r="BH257" s="52">
        <f t="shared" ca="1" si="189"/>
        <v>0</v>
      </c>
      <c r="BI257" s="52">
        <f t="shared" ca="1" si="189"/>
        <v>0</v>
      </c>
      <c r="BJ257" s="52">
        <f t="shared" ca="1" si="189"/>
        <v>0</v>
      </c>
      <c r="BK257" s="52">
        <f t="shared" ca="1" si="189"/>
        <v>0</v>
      </c>
      <c r="BL257" s="52">
        <f t="shared" ca="1" si="189"/>
        <v>0</v>
      </c>
      <c r="BM257" s="52">
        <f t="shared" ca="1" si="189"/>
        <v>0</v>
      </c>
      <c r="BN257" s="52">
        <f t="shared" ca="1" si="189"/>
        <v>0</v>
      </c>
      <c r="BO257" s="52">
        <f t="shared" ca="1" si="189"/>
        <v>0</v>
      </c>
      <c r="BP257" s="52">
        <f t="shared" ca="1" si="189"/>
        <v>0</v>
      </c>
      <c r="BQ257" s="52">
        <f t="shared" ca="1" si="189"/>
        <v>0</v>
      </c>
      <c r="BR257" s="52">
        <f t="shared" ca="1" si="189"/>
        <v>0</v>
      </c>
      <c r="BS257" s="52">
        <f t="shared" ca="1" si="189"/>
        <v>0</v>
      </c>
      <c r="BT257" s="52">
        <f t="shared" ca="1" si="189"/>
        <v>0</v>
      </c>
      <c r="BU257" s="52">
        <f t="shared" ca="1" si="189"/>
        <v>0</v>
      </c>
      <c r="BV257" s="52">
        <f t="shared" ca="1" si="189"/>
        <v>0</v>
      </c>
      <c r="BW257" s="52">
        <f t="shared" ca="1" si="189"/>
        <v>0</v>
      </c>
      <c r="BX257" s="52">
        <f t="shared" ca="1" si="189"/>
        <v>0</v>
      </c>
      <c r="BY257" s="52">
        <f t="shared" ca="1" si="189"/>
        <v>0</v>
      </c>
      <c r="BZ257" s="52">
        <f t="shared" ca="1" si="189"/>
        <v>0</v>
      </c>
      <c r="CA257" s="52">
        <f t="shared" ca="1" si="189"/>
        <v>0</v>
      </c>
      <c r="CB257" s="52">
        <f t="shared" ca="1" si="189"/>
        <v>0</v>
      </c>
      <c r="CC257" s="52">
        <f t="shared" ca="1" si="189"/>
        <v>0</v>
      </c>
      <c r="CD257" s="52">
        <f t="shared" ca="1" si="189"/>
        <v>0</v>
      </c>
      <c r="CE257" s="52">
        <f t="shared" ca="1" si="189"/>
        <v>0</v>
      </c>
      <c r="CF257" s="52">
        <f t="shared" ca="1" si="189"/>
        <v>0</v>
      </c>
      <c r="CG257" s="52">
        <f t="shared" ca="1" si="189"/>
        <v>0</v>
      </c>
      <c r="CH257" s="52">
        <f t="shared" ca="1" si="189"/>
        <v>0</v>
      </c>
    </row>
    <row r="258" spans="1:86" ht="13" outlineLevel="1">
      <c r="A258" s="13"/>
      <c r="B258" s="13" t="s">
        <v>330</v>
      </c>
      <c r="C258" s="13"/>
      <c r="D258" s="13" t="s">
        <v>238</v>
      </c>
      <c r="E258" s="88">
        <f t="shared" ca="1" si="185"/>
        <v>0.10000000000000002</v>
      </c>
      <c r="F258" s="48"/>
      <c r="G258" s="52">
        <f t="shared" ref="G258:CH258" ca="1" si="190">G248+IFERROR(G248*$E253/$E248,0)</f>
        <v>6.2500000000000003E-3</v>
      </c>
      <c r="H258" s="52">
        <f t="shared" ca="1" si="190"/>
        <v>6.2500000000000003E-3</v>
      </c>
      <c r="I258" s="52">
        <f t="shared" ca="1" si="190"/>
        <v>6.2500000000000003E-3</v>
      </c>
      <c r="J258" s="52">
        <f t="shared" ca="1" si="190"/>
        <v>6.2500000000000003E-3</v>
      </c>
      <c r="K258" s="52">
        <f t="shared" ca="1" si="190"/>
        <v>6.2500000000000003E-3</v>
      </c>
      <c r="L258" s="52">
        <f t="shared" ca="1" si="190"/>
        <v>6.2500000000000003E-3</v>
      </c>
      <c r="M258" s="52">
        <f t="shared" ca="1" si="190"/>
        <v>6.2500000000000003E-3</v>
      </c>
      <c r="N258" s="52">
        <f t="shared" ca="1" si="190"/>
        <v>6.2500000000000003E-3</v>
      </c>
      <c r="O258" s="52">
        <f t="shared" ca="1" si="190"/>
        <v>6.2500000000000003E-3</v>
      </c>
      <c r="P258" s="52">
        <f t="shared" ca="1" si="190"/>
        <v>6.2500000000000003E-3</v>
      </c>
      <c r="Q258" s="52">
        <f t="shared" ca="1" si="190"/>
        <v>6.2500000000000003E-3</v>
      </c>
      <c r="R258" s="52">
        <f t="shared" ca="1" si="190"/>
        <v>6.2500000000000003E-3</v>
      </c>
      <c r="S258" s="52">
        <f t="shared" ca="1" si="190"/>
        <v>6.2500000000000003E-3</v>
      </c>
      <c r="T258" s="52">
        <f t="shared" ca="1" si="190"/>
        <v>6.2500000000000003E-3</v>
      </c>
      <c r="U258" s="52">
        <f t="shared" ca="1" si="190"/>
        <v>6.2500000000000003E-3</v>
      </c>
      <c r="V258" s="52">
        <f t="shared" ca="1" si="190"/>
        <v>6.2500000000000003E-3</v>
      </c>
      <c r="W258" s="52">
        <f t="shared" ca="1" si="190"/>
        <v>0</v>
      </c>
      <c r="X258" s="52">
        <f t="shared" ca="1" si="190"/>
        <v>0</v>
      </c>
      <c r="Y258" s="52">
        <f t="shared" ca="1" si="190"/>
        <v>0</v>
      </c>
      <c r="Z258" s="52">
        <f t="shared" ca="1" si="190"/>
        <v>0</v>
      </c>
      <c r="AA258" s="52">
        <f t="shared" ca="1" si="190"/>
        <v>0</v>
      </c>
      <c r="AB258" s="52">
        <f t="shared" ca="1" si="190"/>
        <v>0</v>
      </c>
      <c r="AC258" s="52">
        <f t="shared" ca="1" si="190"/>
        <v>0</v>
      </c>
      <c r="AD258" s="52">
        <f t="shared" ca="1" si="190"/>
        <v>0</v>
      </c>
      <c r="AE258" s="52">
        <f t="shared" ca="1" si="190"/>
        <v>0</v>
      </c>
      <c r="AF258" s="52">
        <f t="shared" ca="1" si="190"/>
        <v>0</v>
      </c>
      <c r="AG258" s="52">
        <f t="shared" ca="1" si="190"/>
        <v>0</v>
      </c>
      <c r="AH258" s="52">
        <f t="shared" ca="1" si="190"/>
        <v>0</v>
      </c>
      <c r="AI258" s="52">
        <f t="shared" ca="1" si="190"/>
        <v>0</v>
      </c>
      <c r="AJ258" s="52">
        <f t="shared" ca="1" si="190"/>
        <v>0</v>
      </c>
      <c r="AK258" s="52">
        <f t="shared" ca="1" si="190"/>
        <v>0</v>
      </c>
      <c r="AL258" s="52">
        <f t="shared" ca="1" si="190"/>
        <v>0</v>
      </c>
      <c r="AM258" s="52">
        <f t="shared" ca="1" si="190"/>
        <v>0</v>
      </c>
      <c r="AN258" s="52">
        <f t="shared" ca="1" si="190"/>
        <v>0</v>
      </c>
      <c r="AO258" s="52">
        <f t="shared" ca="1" si="190"/>
        <v>0</v>
      </c>
      <c r="AP258" s="52">
        <f t="shared" ca="1" si="190"/>
        <v>0</v>
      </c>
      <c r="AQ258" s="52">
        <f t="shared" ca="1" si="190"/>
        <v>0</v>
      </c>
      <c r="AR258" s="52">
        <f t="shared" ca="1" si="190"/>
        <v>0</v>
      </c>
      <c r="AS258" s="52">
        <f t="shared" ca="1" si="190"/>
        <v>0</v>
      </c>
      <c r="AT258" s="52">
        <f t="shared" ca="1" si="190"/>
        <v>0</v>
      </c>
      <c r="AU258" s="52">
        <f t="shared" ca="1" si="190"/>
        <v>0</v>
      </c>
      <c r="AV258" s="52">
        <f t="shared" ca="1" si="190"/>
        <v>0</v>
      </c>
      <c r="AW258" s="52">
        <f t="shared" ca="1" si="190"/>
        <v>0</v>
      </c>
      <c r="AX258" s="52">
        <f t="shared" ca="1" si="190"/>
        <v>0</v>
      </c>
      <c r="AY258" s="52">
        <f t="shared" ca="1" si="190"/>
        <v>0</v>
      </c>
      <c r="AZ258" s="52">
        <f t="shared" ca="1" si="190"/>
        <v>0</v>
      </c>
      <c r="BA258" s="52">
        <f t="shared" ca="1" si="190"/>
        <v>0</v>
      </c>
      <c r="BB258" s="52">
        <f t="shared" ca="1" si="190"/>
        <v>0</v>
      </c>
      <c r="BC258" s="52">
        <f t="shared" ca="1" si="190"/>
        <v>0</v>
      </c>
      <c r="BD258" s="52">
        <f t="shared" ca="1" si="190"/>
        <v>0</v>
      </c>
      <c r="BE258" s="52">
        <f t="shared" ca="1" si="190"/>
        <v>0</v>
      </c>
      <c r="BF258" s="52">
        <f t="shared" ca="1" si="190"/>
        <v>0</v>
      </c>
      <c r="BG258" s="52">
        <f t="shared" ca="1" si="190"/>
        <v>0</v>
      </c>
      <c r="BH258" s="52">
        <f t="shared" ca="1" si="190"/>
        <v>0</v>
      </c>
      <c r="BI258" s="52">
        <f t="shared" ca="1" si="190"/>
        <v>0</v>
      </c>
      <c r="BJ258" s="52">
        <f t="shared" ca="1" si="190"/>
        <v>0</v>
      </c>
      <c r="BK258" s="52">
        <f t="shared" ca="1" si="190"/>
        <v>0</v>
      </c>
      <c r="BL258" s="52">
        <f t="shared" ca="1" si="190"/>
        <v>0</v>
      </c>
      <c r="BM258" s="52">
        <f t="shared" ca="1" si="190"/>
        <v>0</v>
      </c>
      <c r="BN258" s="52">
        <f t="shared" ca="1" si="190"/>
        <v>0</v>
      </c>
      <c r="BO258" s="52">
        <f t="shared" ca="1" si="190"/>
        <v>0</v>
      </c>
      <c r="BP258" s="52">
        <f t="shared" ca="1" si="190"/>
        <v>0</v>
      </c>
      <c r="BQ258" s="52">
        <f t="shared" ca="1" si="190"/>
        <v>0</v>
      </c>
      <c r="BR258" s="52">
        <f t="shared" ca="1" si="190"/>
        <v>0</v>
      </c>
      <c r="BS258" s="52">
        <f t="shared" ca="1" si="190"/>
        <v>0</v>
      </c>
      <c r="BT258" s="52">
        <f t="shared" ca="1" si="190"/>
        <v>0</v>
      </c>
      <c r="BU258" s="52">
        <f t="shared" ca="1" si="190"/>
        <v>0</v>
      </c>
      <c r="BV258" s="52">
        <f t="shared" ca="1" si="190"/>
        <v>0</v>
      </c>
      <c r="BW258" s="52">
        <f t="shared" ca="1" si="190"/>
        <v>0</v>
      </c>
      <c r="BX258" s="52">
        <f t="shared" ca="1" si="190"/>
        <v>0</v>
      </c>
      <c r="BY258" s="52">
        <f t="shared" ca="1" si="190"/>
        <v>0</v>
      </c>
      <c r="BZ258" s="52">
        <f t="shared" ca="1" si="190"/>
        <v>0</v>
      </c>
      <c r="CA258" s="52">
        <f t="shared" ca="1" si="190"/>
        <v>0</v>
      </c>
      <c r="CB258" s="52">
        <f t="shared" ca="1" si="190"/>
        <v>0</v>
      </c>
      <c r="CC258" s="52">
        <f t="shared" ca="1" si="190"/>
        <v>0</v>
      </c>
      <c r="CD258" s="52">
        <f t="shared" ca="1" si="190"/>
        <v>0</v>
      </c>
      <c r="CE258" s="52">
        <f t="shared" ca="1" si="190"/>
        <v>0</v>
      </c>
      <c r="CF258" s="52">
        <f t="shared" ca="1" si="190"/>
        <v>0</v>
      </c>
      <c r="CG258" s="52">
        <f t="shared" ca="1" si="190"/>
        <v>0</v>
      </c>
      <c r="CH258" s="52">
        <f t="shared" ca="1" si="190"/>
        <v>0</v>
      </c>
    </row>
    <row r="259" spans="1:86" ht="13" outlineLevel="1">
      <c r="A259" s="13"/>
      <c r="B259" s="13" t="s">
        <v>330</v>
      </c>
      <c r="C259" s="13"/>
      <c r="D259" s="13" t="s">
        <v>238</v>
      </c>
      <c r="E259" s="88">
        <f t="shared" ca="1" si="185"/>
        <v>0.1</v>
      </c>
      <c r="F259" s="48"/>
      <c r="G259" s="52">
        <f t="shared" ref="G259:CH259" ca="1" si="191">G249+IFERROR(G249*$E254/$E249,0)</f>
        <v>6.2499999999999986E-3</v>
      </c>
      <c r="H259" s="52">
        <f t="shared" ca="1" si="191"/>
        <v>6.2499999999999986E-3</v>
      </c>
      <c r="I259" s="52">
        <f t="shared" ca="1" si="191"/>
        <v>6.2499999999999986E-3</v>
      </c>
      <c r="J259" s="52">
        <f t="shared" ca="1" si="191"/>
        <v>6.2499999999999986E-3</v>
      </c>
      <c r="K259" s="52">
        <f t="shared" ca="1" si="191"/>
        <v>6.2499999999999986E-3</v>
      </c>
      <c r="L259" s="52">
        <f t="shared" ca="1" si="191"/>
        <v>6.2499999999999986E-3</v>
      </c>
      <c r="M259" s="52">
        <f t="shared" ca="1" si="191"/>
        <v>6.2499999999999986E-3</v>
      </c>
      <c r="N259" s="52">
        <f t="shared" ca="1" si="191"/>
        <v>6.2499999999999986E-3</v>
      </c>
      <c r="O259" s="52">
        <f t="shared" ca="1" si="191"/>
        <v>6.2499999999999986E-3</v>
      </c>
      <c r="P259" s="52">
        <f t="shared" ca="1" si="191"/>
        <v>6.2499999999999986E-3</v>
      </c>
      <c r="Q259" s="52">
        <f t="shared" ca="1" si="191"/>
        <v>6.2499999999999986E-3</v>
      </c>
      <c r="R259" s="52">
        <f t="shared" ca="1" si="191"/>
        <v>6.2499999999999986E-3</v>
      </c>
      <c r="S259" s="52">
        <f t="shared" ca="1" si="191"/>
        <v>6.2499999999999986E-3</v>
      </c>
      <c r="T259" s="52">
        <f t="shared" ca="1" si="191"/>
        <v>6.2499999999999986E-3</v>
      </c>
      <c r="U259" s="52">
        <f t="shared" ca="1" si="191"/>
        <v>6.2499999999999986E-3</v>
      </c>
      <c r="V259" s="52">
        <f t="shared" ca="1" si="191"/>
        <v>6.2499999999999986E-3</v>
      </c>
      <c r="W259" s="52">
        <f t="shared" ca="1" si="191"/>
        <v>0</v>
      </c>
      <c r="X259" s="52">
        <f t="shared" ca="1" si="191"/>
        <v>0</v>
      </c>
      <c r="Y259" s="52">
        <f t="shared" ca="1" si="191"/>
        <v>0</v>
      </c>
      <c r="Z259" s="52">
        <f t="shared" ca="1" si="191"/>
        <v>0</v>
      </c>
      <c r="AA259" s="52">
        <f t="shared" ca="1" si="191"/>
        <v>0</v>
      </c>
      <c r="AB259" s="52">
        <f t="shared" ca="1" si="191"/>
        <v>0</v>
      </c>
      <c r="AC259" s="52">
        <f t="shared" ca="1" si="191"/>
        <v>0</v>
      </c>
      <c r="AD259" s="52">
        <f t="shared" ca="1" si="191"/>
        <v>0</v>
      </c>
      <c r="AE259" s="52">
        <f t="shared" ca="1" si="191"/>
        <v>0</v>
      </c>
      <c r="AF259" s="52">
        <f t="shared" ca="1" si="191"/>
        <v>0</v>
      </c>
      <c r="AG259" s="52">
        <f t="shared" ca="1" si="191"/>
        <v>0</v>
      </c>
      <c r="AH259" s="52">
        <f t="shared" ca="1" si="191"/>
        <v>0</v>
      </c>
      <c r="AI259" s="52">
        <f t="shared" ca="1" si="191"/>
        <v>0</v>
      </c>
      <c r="AJ259" s="52">
        <f t="shared" ca="1" si="191"/>
        <v>0</v>
      </c>
      <c r="AK259" s="52">
        <f t="shared" ca="1" si="191"/>
        <v>0</v>
      </c>
      <c r="AL259" s="52">
        <f t="shared" ca="1" si="191"/>
        <v>0</v>
      </c>
      <c r="AM259" s="52">
        <f t="shared" ca="1" si="191"/>
        <v>0</v>
      </c>
      <c r="AN259" s="52">
        <f t="shared" ca="1" si="191"/>
        <v>0</v>
      </c>
      <c r="AO259" s="52">
        <f t="shared" ca="1" si="191"/>
        <v>0</v>
      </c>
      <c r="AP259" s="52">
        <f t="shared" ca="1" si="191"/>
        <v>0</v>
      </c>
      <c r="AQ259" s="52">
        <f t="shared" ca="1" si="191"/>
        <v>0</v>
      </c>
      <c r="AR259" s="52">
        <f t="shared" ca="1" si="191"/>
        <v>0</v>
      </c>
      <c r="AS259" s="52">
        <f t="shared" ca="1" si="191"/>
        <v>0</v>
      </c>
      <c r="AT259" s="52">
        <f t="shared" ca="1" si="191"/>
        <v>0</v>
      </c>
      <c r="AU259" s="52">
        <f t="shared" ca="1" si="191"/>
        <v>0</v>
      </c>
      <c r="AV259" s="52">
        <f t="shared" ca="1" si="191"/>
        <v>0</v>
      </c>
      <c r="AW259" s="52">
        <f t="shared" ca="1" si="191"/>
        <v>0</v>
      </c>
      <c r="AX259" s="52">
        <f t="shared" ca="1" si="191"/>
        <v>0</v>
      </c>
      <c r="AY259" s="52">
        <f t="shared" ca="1" si="191"/>
        <v>0</v>
      </c>
      <c r="AZ259" s="52">
        <f t="shared" ca="1" si="191"/>
        <v>0</v>
      </c>
      <c r="BA259" s="52">
        <f t="shared" ca="1" si="191"/>
        <v>0</v>
      </c>
      <c r="BB259" s="52">
        <f t="shared" ca="1" si="191"/>
        <v>0</v>
      </c>
      <c r="BC259" s="52">
        <f t="shared" ca="1" si="191"/>
        <v>0</v>
      </c>
      <c r="BD259" s="52">
        <f t="shared" ca="1" si="191"/>
        <v>0</v>
      </c>
      <c r="BE259" s="52">
        <f t="shared" ca="1" si="191"/>
        <v>0</v>
      </c>
      <c r="BF259" s="52">
        <f t="shared" ca="1" si="191"/>
        <v>0</v>
      </c>
      <c r="BG259" s="52">
        <f t="shared" ca="1" si="191"/>
        <v>0</v>
      </c>
      <c r="BH259" s="52">
        <f t="shared" ca="1" si="191"/>
        <v>0</v>
      </c>
      <c r="BI259" s="52">
        <f t="shared" ca="1" si="191"/>
        <v>0</v>
      </c>
      <c r="BJ259" s="52">
        <f t="shared" ca="1" si="191"/>
        <v>0</v>
      </c>
      <c r="BK259" s="52">
        <f t="shared" ca="1" si="191"/>
        <v>0</v>
      </c>
      <c r="BL259" s="52">
        <f t="shared" ca="1" si="191"/>
        <v>0</v>
      </c>
      <c r="BM259" s="52">
        <f t="shared" ca="1" si="191"/>
        <v>0</v>
      </c>
      <c r="BN259" s="52">
        <f t="shared" ca="1" si="191"/>
        <v>0</v>
      </c>
      <c r="BO259" s="52">
        <f t="shared" ca="1" si="191"/>
        <v>0</v>
      </c>
      <c r="BP259" s="52">
        <f t="shared" ca="1" si="191"/>
        <v>0</v>
      </c>
      <c r="BQ259" s="52">
        <f t="shared" ca="1" si="191"/>
        <v>0</v>
      </c>
      <c r="BR259" s="52">
        <f t="shared" ca="1" si="191"/>
        <v>0</v>
      </c>
      <c r="BS259" s="52">
        <f t="shared" ca="1" si="191"/>
        <v>0</v>
      </c>
      <c r="BT259" s="52">
        <f t="shared" ca="1" si="191"/>
        <v>0</v>
      </c>
      <c r="BU259" s="52">
        <f t="shared" ca="1" si="191"/>
        <v>0</v>
      </c>
      <c r="BV259" s="52">
        <f t="shared" ca="1" si="191"/>
        <v>0</v>
      </c>
      <c r="BW259" s="52">
        <f t="shared" ca="1" si="191"/>
        <v>0</v>
      </c>
      <c r="BX259" s="52">
        <f t="shared" ca="1" si="191"/>
        <v>0</v>
      </c>
      <c r="BY259" s="52">
        <f t="shared" ca="1" si="191"/>
        <v>0</v>
      </c>
      <c r="BZ259" s="52">
        <f t="shared" ca="1" si="191"/>
        <v>0</v>
      </c>
      <c r="CA259" s="52">
        <f t="shared" ca="1" si="191"/>
        <v>0</v>
      </c>
      <c r="CB259" s="52">
        <f t="shared" ca="1" si="191"/>
        <v>0</v>
      </c>
      <c r="CC259" s="52">
        <f t="shared" ca="1" si="191"/>
        <v>0</v>
      </c>
      <c r="CD259" s="52">
        <f t="shared" ca="1" si="191"/>
        <v>0</v>
      </c>
      <c r="CE259" s="52">
        <f t="shared" ca="1" si="191"/>
        <v>0</v>
      </c>
      <c r="CF259" s="52">
        <f t="shared" ca="1" si="191"/>
        <v>0</v>
      </c>
      <c r="CG259" s="52">
        <f t="shared" ca="1" si="191"/>
        <v>0</v>
      </c>
      <c r="CH259" s="52">
        <f t="shared" ca="1" si="191"/>
        <v>0</v>
      </c>
    </row>
    <row r="260" spans="1:86" ht="13" outlineLevel="1">
      <c r="A260" s="13"/>
      <c r="B260" s="13" t="str">
        <f>B258&amp;" total"</f>
        <v>invested capital, per cohort total</v>
      </c>
      <c r="C260" s="13"/>
      <c r="D260" s="13" t="s">
        <v>238</v>
      </c>
      <c r="E260" s="88">
        <f t="shared" ca="1" si="185"/>
        <v>1</v>
      </c>
      <c r="F260" s="48"/>
      <c r="G260" s="52">
        <f t="shared" ref="G260:CH260" ca="1" si="192">SUM(G256:G259)</f>
        <v>6.25E-2</v>
      </c>
      <c r="H260" s="52">
        <f t="shared" ca="1" si="192"/>
        <v>6.25E-2</v>
      </c>
      <c r="I260" s="52">
        <f t="shared" ca="1" si="192"/>
        <v>6.25E-2</v>
      </c>
      <c r="J260" s="52">
        <f t="shared" ca="1" si="192"/>
        <v>6.25E-2</v>
      </c>
      <c r="K260" s="52">
        <f t="shared" ca="1" si="192"/>
        <v>6.25E-2</v>
      </c>
      <c r="L260" s="52">
        <f t="shared" ca="1" si="192"/>
        <v>6.25E-2</v>
      </c>
      <c r="M260" s="52">
        <f t="shared" ca="1" si="192"/>
        <v>6.25E-2</v>
      </c>
      <c r="N260" s="52">
        <f t="shared" ca="1" si="192"/>
        <v>6.25E-2</v>
      </c>
      <c r="O260" s="52">
        <f t="shared" ca="1" si="192"/>
        <v>6.25E-2</v>
      </c>
      <c r="P260" s="52">
        <f t="shared" ca="1" si="192"/>
        <v>6.25E-2</v>
      </c>
      <c r="Q260" s="52">
        <f t="shared" ca="1" si="192"/>
        <v>6.25E-2</v>
      </c>
      <c r="R260" s="52">
        <f t="shared" ca="1" si="192"/>
        <v>6.25E-2</v>
      </c>
      <c r="S260" s="52">
        <f t="shared" ca="1" si="192"/>
        <v>6.25E-2</v>
      </c>
      <c r="T260" s="52">
        <f t="shared" ca="1" si="192"/>
        <v>6.25E-2</v>
      </c>
      <c r="U260" s="52">
        <f t="shared" ca="1" si="192"/>
        <v>6.25E-2</v>
      </c>
      <c r="V260" s="52">
        <f t="shared" ca="1" si="192"/>
        <v>6.25E-2</v>
      </c>
      <c r="W260" s="52">
        <f t="shared" ca="1" si="192"/>
        <v>0</v>
      </c>
      <c r="X260" s="52">
        <f t="shared" ca="1" si="192"/>
        <v>0</v>
      </c>
      <c r="Y260" s="52">
        <f t="shared" ca="1" si="192"/>
        <v>0</v>
      </c>
      <c r="Z260" s="52">
        <f t="shared" ca="1" si="192"/>
        <v>0</v>
      </c>
      <c r="AA260" s="52">
        <f t="shared" ca="1" si="192"/>
        <v>0</v>
      </c>
      <c r="AB260" s="52">
        <f t="shared" ca="1" si="192"/>
        <v>0</v>
      </c>
      <c r="AC260" s="52">
        <f t="shared" ca="1" si="192"/>
        <v>0</v>
      </c>
      <c r="AD260" s="52">
        <f t="shared" ca="1" si="192"/>
        <v>0</v>
      </c>
      <c r="AE260" s="52">
        <f t="shared" ca="1" si="192"/>
        <v>0</v>
      </c>
      <c r="AF260" s="52">
        <f t="shared" ca="1" si="192"/>
        <v>0</v>
      </c>
      <c r="AG260" s="52">
        <f t="shared" ca="1" si="192"/>
        <v>0</v>
      </c>
      <c r="AH260" s="52">
        <f t="shared" ca="1" si="192"/>
        <v>0</v>
      </c>
      <c r="AI260" s="52">
        <f t="shared" ca="1" si="192"/>
        <v>0</v>
      </c>
      <c r="AJ260" s="52">
        <f t="shared" ca="1" si="192"/>
        <v>0</v>
      </c>
      <c r="AK260" s="52">
        <f t="shared" ca="1" si="192"/>
        <v>0</v>
      </c>
      <c r="AL260" s="52">
        <f t="shared" ca="1" si="192"/>
        <v>0</v>
      </c>
      <c r="AM260" s="52">
        <f t="shared" ca="1" si="192"/>
        <v>0</v>
      </c>
      <c r="AN260" s="52">
        <f t="shared" ca="1" si="192"/>
        <v>0</v>
      </c>
      <c r="AO260" s="52">
        <f t="shared" ca="1" si="192"/>
        <v>0</v>
      </c>
      <c r="AP260" s="52">
        <f t="shared" ca="1" si="192"/>
        <v>0</v>
      </c>
      <c r="AQ260" s="52">
        <f t="shared" ca="1" si="192"/>
        <v>0</v>
      </c>
      <c r="AR260" s="52">
        <f t="shared" ca="1" si="192"/>
        <v>0</v>
      </c>
      <c r="AS260" s="52">
        <f t="shared" ca="1" si="192"/>
        <v>0</v>
      </c>
      <c r="AT260" s="52">
        <f t="shared" ca="1" si="192"/>
        <v>0</v>
      </c>
      <c r="AU260" s="52">
        <f t="shared" ca="1" si="192"/>
        <v>0</v>
      </c>
      <c r="AV260" s="52">
        <f t="shared" ca="1" si="192"/>
        <v>0</v>
      </c>
      <c r="AW260" s="52">
        <f t="shared" ca="1" si="192"/>
        <v>0</v>
      </c>
      <c r="AX260" s="52">
        <f t="shared" ca="1" si="192"/>
        <v>0</v>
      </c>
      <c r="AY260" s="52">
        <f t="shared" ca="1" si="192"/>
        <v>0</v>
      </c>
      <c r="AZ260" s="52">
        <f t="shared" ca="1" si="192"/>
        <v>0</v>
      </c>
      <c r="BA260" s="52">
        <f t="shared" ca="1" si="192"/>
        <v>0</v>
      </c>
      <c r="BB260" s="52">
        <f t="shared" ca="1" si="192"/>
        <v>0</v>
      </c>
      <c r="BC260" s="52">
        <f t="shared" ca="1" si="192"/>
        <v>0</v>
      </c>
      <c r="BD260" s="52">
        <f t="shared" ca="1" si="192"/>
        <v>0</v>
      </c>
      <c r="BE260" s="52">
        <f t="shared" ca="1" si="192"/>
        <v>0</v>
      </c>
      <c r="BF260" s="52">
        <f t="shared" ca="1" si="192"/>
        <v>0</v>
      </c>
      <c r="BG260" s="52">
        <f t="shared" ca="1" si="192"/>
        <v>0</v>
      </c>
      <c r="BH260" s="52">
        <f t="shared" ca="1" si="192"/>
        <v>0</v>
      </c>
      <c r="BI260" s="52">
        <f t="shared" ca="1" si="192"/>
        <v>0</v>
      </c>
      <c r="BJ260" s="52">
        <f t="shared" ca="1" si="192"/>
        <v>0</v>
      </c>
      <c r="BK260" s="52">
        <f t="shared" ca="1" si="192"/>
        <v>0</v>
      </c>
      <c r="BL260" s="52">
        <f t="shared" ca="1" si="192"/>
        <v>0</v>
      </c>
      <c r="BM260" s="52">
        <f t="shared" ca="1" si="192"/>
        <v>0</v>
      </c>
      <c r="BN260" s="52">
        <f t="shared" ca="1" si="192"/>
        <v>0</v>
      </c>
      <c r="BO260" s="52">
        <f t="shared" ca="1" si="192"/>
        <v>0</v>
      </c>
      <c r="BP260" s="52">
        <f t="shared" ca="1" si="192"/>
        <v>0</v>
      </c>
      <c r="BQ260" s="52">
        <f t="shared" ca="1" si="192"/>
        <v>0</v>
      </c>
      <c r="BR260" s="52">
        <f t="shared" ca="1" si="192"/>
        <v>0</v>
      </c>
      <c r="BS260" s="52">
        <f t="shared" ca="1" si="192"/>
        <v>0</v>
      </c>
      <c r="BT260" s="52">
        <f t="shared" ca="1" si="192"/>
        <v>0</v>
      </c>
      <c r="BU260" s="52">
        <f t="shared" ca="1" si="192"/>
        <v>0</v>
      </c>
      <c r="BV260" s="52">
        <f t="shared" ca="1" si="192"/>
        <v>0</v>
      </c>
      <c r="BW260" s="52">
        <f t="shared" ca="1" si="192"/>
        <v>0</v>
      </c>
      <c r="BX260" s="52">
        <f t="shared" ca="1" si="192"/>
        <v>0</v>
      </c>
      <c r="BY260" s="52">
        <f t="shared" ca="1" si="192"/>
        <v>0</v>
      </c>
      <c r="BZ260" s="52">
        <f t="shared" ca="1" si="192"/>
        <v>0</v>
      </c>
      <c r="CA260" s="52">
        <f t="shared" ca="1" si="192"/>
        <v>0</v>
      </c>
      <c r="CB260" s="52">
        <f t="shared" ca="1" si="192"/>
        <v>0</v>
      </c>
      <c r="CC260" s="52">
        <f t="shared" ca="1" si="192"/>
        <v>0</v>
      </c>
      <c r="CD260" s="52">
        <f t="shared" ca="1" si="192"/>
        <v>0</v>
      </c>
      <c r="CE260" s="52">
        <f t="shared" ca="1" si="192"/>
        <v>0</v>
      </c>
      <c r="CF260" s="52">
        <f t="shared" ca="1" si="192"/>
        <v>0</v>
      </c>
      <c r="CG260" s="52">
        <f t="shared" ca="1" si="192"/>
        <v>0</v>
      </c>
      <c r="CH260" s="52">
        <f t="shared" ca="1" si="192"/>
        <v>0</v>
      </c>
    </row>
    <row r="261" spans="1:86" ht="13" outlineLevel="1">
      <c r="A261" s="13"/>
      <c r="B261" s="13" t="s">
        <v>338</v>
      </c>
      <c r="C261" s="13"/>
      <c r="D261" s="13" t="s">
        <v>238</v>
      </c>
      <c r="E261" s="88">
        <f t="shared" ca="1" si="185"/>
        <v>0.59999999999999987</v>
      </c>
      <c r="F261" s="48"/>
      <c r="G261" s="52">
        <f ca="1">IF(G4&lt;'Get Started'!$E77,0,OFFSET(G256,0,-1*'Get Started'!$E77))</f>
        <v>0</v>
      </c>
      <c r="H261" s="52">
        <f ca="1">IF(H4&lt;'Get Started'!$E77,0,OFFSET(H256,0,-1*'Get Started'!$E77))</f>
        <v>0</v>
      </c>
      <c r="I261" s="52">
        <f ca="1">IF(I4&lt;'Get Started'!$E77,0,OFFSET(I256,0,-1*'Get Started'!$E77))</f>
        <v>0</v>
      </c>
      <c r="J261" s="52">
        <f ca="1">IF(J4&lt;'Get Started'!$E77,0,OFFSET(J256,0,-1*'Get Started'!$E77))</f>
        <v>0</v>
      </c>
      <c r="K261" s="52">
        <f ca="1">IF(K4&lt;'Get Started'!$E77,0,OFFSET(K256,0,-1*'Get Started'!$E77))</f>
        <v>0</v>
      </c>
      <c r="L261" s="52">
        <f ca="1">IF(L4&lt;'Get Started'!$E77,0,OFFSET(L256,0,-1*'Get Started'!$E77))</f>
        <v>0</v>
      </c>
      <c r="M261" s="52">
        <f ca="1">IF(M4&lt;'Get Started'!$E77,0,OFFSET(M256,0,-1*'Get Started'!$E77))</f>
        <v>0</v>
      </c>
      <c r="N261" s="52">
        <f ca="1">IF(N4&lt;'Get Started'!$E77,0,OFFSET(N256,0,-1*'Get Started'!$E77))</f>
        <v>0</v>
      </c>
      <c r="O261" s="52">
        <f ca="1">IF(O4&lt;'Get Started'!$E77,0,OFFSET(O256,0,-1*'Get Started'!$E77))</f>
        <v>3.7499999999999999E-2</v>
      </c>
      <c r="P261" s="52">
        <f ca="1">IF(P4&lt;'Get Started'!$E77,0,OFFSET(P256,0,-1*'Get Started'!$E77))</f>
        <v>3.7499999999999999E-2</v>
      </c>
      <c r="Q261" s="52">
        <f ca="1">IF(Q4&lt;'Get Started'!$E77,0,OFFSET(Q256,0,-1*'Get Started'!$E77))</f>
        <v>3.7499999999999999E-2</v>
      </c>
      <c r="R261" s="52">
        <f ca="1">IF(R4&lt;'Get Started'!$E77,0,OFFSET(R256,0,-1*'Get Started'!$E77))</f>
        <v>3.7499999999999999E-2</v>
      </c>
      <c r="S261" s="52">
        <f ca="1">IF(S4&lt;'Get Started'!$E77,0,OFFSET(S256,0,-1*'Get Started'!$E77))</f>
        <v>3.7499999999999999E-2</v>
      </c>
      <c r="T261" s="52">
        <f ca="1">IF(T4&lt;'Get Started'!$E77,0,OFFSET(T256,0,-1*'Get Started'!$E77))</f>
        <v>3.7499999999999999E-2</v>
      </c>
      <c r="U261" s="52">
        <f ca="1">IF(U4&lt;'Get Started'!$E77,0,OFFSET(U256,0,-1*'Get Started'!$E77))</f>
        <v>3.7499999999999999E-2</v>
      </c>
      <c r="V261" s="52">
        <f ca="1">IF(V4&lt;'Get Started'!$E77,0,OFFSET(V256,0,-1*'Get Started'!$E77))</f>
        <v>3.7499999999999999E-2</v>
      </c>
      <c r="W261" s="52">
        <f ca="1">IF(W4&lt;'Get Started'!$E77,0,OFFSET(W256,0,-1*'Get Started'!$E77))</f>
        <v>3.7499999999999999E-2</v>
      </c>
      <c r="X261" s="52">
        <f ca="1">IF(X4&lt;'Get Started'!$E77,0,OFFSET(X256,0,-1*'Get Started'!$E77))</f>
        <v>3.7499999999999999E-2</v>
      </c>
      <c r="Y261" s="52">
        <f ca="1">IF(Y4&lt;'Get Started'!$E77,0,OFFSET(Y256,0,-1*'Get Started'!$E77))</f>
        <v>3.7499999999999999E-2</v>
      </c>
      <c r="Z261" s="52">
        <f ca="1">IF(Z4&lt;'Get Started'!$E77,0,OFFSET(Z256,0,-1*'Get Started'!$E77))</f>
        <v>3.7499999999999999E-2</v>
      </c>
      <c r="AA261" s="52">
        <f ca="1">IF(AA4&lt;'Get Started'!$E77,0,OFFSET(AA256,0,-1*'Get Started'!$E77))</f>
        <v>3.7499999999999999E-2</v>
      </c>
      <c r="AB261" s="52">
        <f ca="1">IF(AB4&lt;'Get Started'!$E77,0,OFFSET(AB256,0,-1*'Get Started'!$E77))</f>
        <v>3.7499999999999999E-2</v>
      </c>
      <c r="AC261" s="52">
        <f ca="1">IF(AC4&lt;'Get Started'!$E77,0,OFFSET(AC256,0,-1*'Get Started'!$E77))</f>
        <v>3.7499999999999999E-2</v>
      </c>
      <c r="AD261" s="52">
        <f ca="1">IF(AD4&lt;'Get Started'!$E77,0,OFFSET(AD256,0,-1*'Get Started'!$E77))</f>
        <v>3.7499999999999999E-2</v>
      </c>
      <c r="AE261" s="52">
        <f ca="1">IF(AE4&lt;'Get Started'!$E77,0,OFFSET(AE256,0,-1*'Get Started'!$E77))</f>
        <v>0</v>
      </c>
      <c r="AF261" s="52">
        <f ca="1">IF(AF4&lt;'Get Started'!$E77,0,OFFSET(AF256,0,-1*'Get Started'!$E77))</f>
        <v>0</v>
      </c>
      <c r="AG261" s="52">
        <f ca="1">IF(AG4&lt;'Get Started'!$E77,0,OFFSET(AG256,0,-1*'Get Started'!$E77))</f>
        <v>0</v>
      </c>
      <c r="AH261" s="52">
        <f ca="1">IF(AH4&lt;'Get Started'!$E77,0,OFFSET(AH256,0,-1*'Get Started'!$E77))</f>
        <v>0</v>
      </c>
      <c r="AI261" s="52">
        <f ca="1">IF(AI4&lt;'Get Started'!$E77,0,OFFSET(AI256,0,-1*'Get Started'!$E77))</f>
        <v>0</v>
      </c>
      <c r="AJ261" s="52">
        <f ca="1">IF(AJ4&lt;'Get Started'!$E77,0,OFFSET(AJ256,0,-1*'Get Started'!$E77))</f>
        <v>0</v>
      </c>
      <c r="AK261" s="52">
        <f ca="1">IF(AK4&lt;'Get Started'!$E77,0,OFFSET(AK256,0,-1*'Get Started'!$E77))</f>
        <v>0</v>
      </c>
      <c r="AL261" s="52">
        <f ca="1">IF(AL4&lt;'Get Started'!$E77,0,OFFSET(AL256,0,-1*'Get Started'!$E77))</f>
        <v>0</v>
      </c>
      <c r="AM261" s="52">
        <f ca="1">IF(AM4&lt;'Get Started'!$E77,0,OFFSET(AM256,0,-1*'Get Started'!$E77))</f>
        <v>0</v>
      </c>
      <c r="AN261" s="52">
        <f ca="1">IF(AN4&lt;'Get Started'!$E77,0,OFFSET(AN256,0,-1*'Get Started'!$E77))</f>
        <v>0</v>
      </c>
      <c r="AO261" s="52">
        <f ca="1">IF(AO4&lt;'Get Started'!$E77,0,OFFSET(AO256,0,-1*'Get Started'!$E77))</f>
        <v>0</v>
      </c>
      <c r="AP261" s="52">
        <f ca="1">IF(AP4&lt;'Get Started'!$E77,0,OFFSET(AP256,0,-1*'Get Started'!$E77))</f>
        <v>0</v>
      </c>
      <c r="AQ261" s="52">
        <f ca="1">IF(AQ4&lt;'Get Started'!$E77,0,OFFSET(AQ256,0,-1*'Get Started'!$E77))</f>
        <v>0</v>
      </c>
      <c r="AR261" s="52">
        <f ca="1">IF(AR4&lt;'Get Started'!$E77,0,OFFSET(AR256,0,-1*'Get Started'!$E77))</f>
        <v>0</v>
      </c>
      <c r="AS261" s="52">
        <f ca="1">IF(AS4&lt;'Get Started'!$E77,0,OFFSET(AS256,0,-1*'Get Started'!$E77))</f>
        <v>0</v>
      </c>
      <c r="AT261" s="52">
        <f ca="1">IF(AT4&lt;'Get Started'!$E77,0,OFFSET(AT256,0,-1*'Get Started'!$E77))</f>
        <v>0</v>
      </c>
      <c r="AU261" s="52">
        <f ca="1">IF(AU4&lt;'Get Started'!$E77,0,OFFSET(AU256,0,-1*'Get Started'!$E77))</f>
        <v>0</v>
      </c>
      <c r="AV261" s="52">
        <f ca="1">IF(AV4&lt;'Get Started'!$E77,0,OFFSET(AV256,0,-1*'Get Started'!$E77))</f>
        <v>0</v>
      </c>
      <c r="AW261" s="52">
        <f ca="1">IF(AW4&lt;'Get Started'!$E77,0,OFFSET(AW256,0,-1*'Get Started'!$E77))</f>
        <v>0</v>
      </c>
      <c r="AX261" s="52">
        <f ca="1">IF(AX4&lt;'Get Started'!$E77,0,OFFSET(AX256,0,-1*'Get Started'!$E77))</f>
        <v>0</v>
      </c>
      <c r="AY261" s="52">
        <f ca="1">IF(AY4&lt;'Get Started'!$E77,0,OFFSET(AY256,0,-1*'Get Started'!$E77))</f>
        <v>0</v>
      </c>
      <c r="AZ261" s="52">
        <f ca="1">IF(AZ4&lt;'Get Started'!$E77,0,OFFSET(AZ256,0,-1*'Get Started'!$E77))</f>
        <v>0</v>
      </c>
      <c r="BA261" s="52">
        <f ca="1">IF(BA4&lt;'Get Started'!$E77,0,OFFSET(BA256,0,-1*'Get Started'!$E77))</f>
        <v>0</v>
      </c>
      <c r="BB261" s="52">
        <f ca="1">IF(BB4&lt;'Get Started'!$E77,0,OFFSET(BB256,0,-1*'Get Started'!$E77))</f>
        <v>0</v>
      </c>
      <c r="BC261" s="52">
        <f ca="1">IF(BC4&lt;'Get Started'!$E77,0,OFFSET(BC256,0,-1*'Get Started'!$E77))</f>
        <v>0</v>
      </c>
      <c r="BD261" s="52">
        <f ca="1">IF(BD4&lt;'Get Started'!$E77,0,OFFSET(BD256,0,-1*'Get Started'!$E77))</f>
        <v>0</v>
      </c>
      <c r="BE261" s="52">
        <f ca="1">IF(BE4&lt;'Get Started'!$E77,0,OFFSET(BE256,0,-1*'Get Started'!$E77))</f>
        <v>0</v>
      </c>
      <c r="BF261" s="52">
        <f ca="1">IF(BF4&lt;'Get Started'!$E77,0,OFFSET(BF256,0,-1*'Get Started'!$E77))</f>
        <v>0</v>
      </c>
      <c r="BG261" s="52">
        <f ca="1">IF(BG4&lt;'Get Started'!$E77,0,OFFSET(BG256,0,-1*'Get Started'!$E77))</f>
        <v>0</v>
      </c>
      <c r="BH261" s="52">
        <f ca="1">IF(BH4&lt;'Get Started'!$E77,0,OFFSET(BH256,0,-1*'Get Started'!$E77))</f>
        <v>0</v>
      </c>
      <c r="BI261" s="52">
        <f ca="1">IF(BI4&lt;'Get Started'!$E77,0,OFFSET(BI256,0,-1*'Get Started'!$E77))</f>
        <v>0</v>
      </c>
      <c r="BJ261" s="52">
        <f ca="1">IF(BJ4&lt;'Get Started'!$E77,0,OFFSET(BJ256,0,-1*'Get Started'!$E77))</f>
        <v>0</v>
      </c>
      <c r="BK261" s="52">
        <f ca="1">IF(BK4&lt;'Get Started'!$E77,0,OFFSET(BK256,0,-1*'Get Started'!$E77))</f>
        <v>0</v>
      </c>
      <c r="BL261" s="52">
        <f ca="1">IF(BL4&lt;'Get Started'!$E77,0,OFFSET(BL256,0,-1*'Get Started'!$E77))</f>
        <v>0</v>
      </c>
      <c r="BM261" s="52">
        <f ca="1">IF(BM4&lt;'Get Started'!$E77,0,OFFSET(BM256,0,-1*'Get Started'!$E77))</f>
        <v>0</v>
      </c>
      <c r="BN261" s="52">
        <f ca="1">IF(BN4&lt;'Get Started'!$E77,0,OFFSET(BN256,0,-1*'Get Started'!$E77))</f>
        <v>0</v>
      </c>
      <c r="BO261" s="52">
        <f ca="1">IF(BO4&lt;'Get Started'!$E77,0,OFFSET(BO256,0,-1*'Get Started'!$E77))</f>
        <v>0</v>
      </c>
      <c r="BP261" s="52">
        <f ca="1">IF(BP4&lt;'Get Started'!$E77,0,OFFSET(BP256,0,-1*'Get Started'!$E77))</f>
        <v>0</v>
      </c>
      <c r="BQ261" s="52">
        <f ca="1">IF(BQ4&lt;'Get Started'!$E77,0,OFFSET(BQ256,0,-1*'Get Started'!$E77))</f>
        <v>0</v>
      </c>
      <c r="BR261" s="52">
        <f ca="1">IF(BR4&lt;'Get Started'!$E77,0,OFFSET(BR256,0,-1*'Get Started'!$E77))</f>
        <v>0</v>
      </c>
      <c r="BS261" s="52">
        <f ca="1">IF(BS4&lt;'Get Started'!$E77,0,OFFSET(BS256,0,-1*'Get Started'!$E77))</f>
        <v>0</v>
      </c>
      <c r="BT261" s="52">
        <f ca="1">IF(BT4&lt;'Get Started'!$E77,0,OFFSET(BT256,0,-1*'Get Started'!$E77))</f>
        <v>0</v>
      </c>
      <c r="BU261" s="52">
        <f ca="1">IF(BU4&lt;'Get Started'!$E77,0,OFFSET(BU256,0,-1*'Get Started'!$E77))</f>
        <v>0</v>
      </c>
      <c r="BV261" s="52">
        <f ca="1">IF(BV4&lt;'Get Started'!$E77,0,OFFSET(BV256,0,-1*'Get Started'!$E77))</f>
        <v>0</v>
      </c>
      <c r="BW261" s="52">
        <f ca="1">IF(BW4&lt;'Get Started'!$E77,0,OFFSET(BW256,0,-1*'Get Started'!$E77))</f>
        <v>0</v>
      </c>
      <c r="BX261" s="52">
        <f ca="1">IF(BX4&lt;'Get Started'!$E77,0,OFFSET(BX256,0,-1*'Get Started'!$E77))</f>
        <v>0</v>
      </c>
      <c r="BY261" s="52">
        <f ca="1">IF(BY4&lt;'Get Started'!$E77,0,OFFSET(BY256,0,-1*'Get Started'!$E77))</f>
        <v>0</v>
      </c>
      <c r="BZ261" s="52">
        <f ca="1">IF(BZ4&lt;'Get Started'!$E77,0,OFFSET(BZ256,0,-1*'Get Started'!$E77))</f>
        <v>0</v>
      </c>
      <c r="CA261" s="52">
        <f ca="1">IF(CA4&lt;'Get Started'!$E77,0,OFFSET(CA256,0,-1*'Get Started'!$E77))</f>
        <v>0</v>
      </c>
      <c r="CB261" s="52">
        <f ca="1">IF(CB4&lt;'Get Started'!$E77,0,OFFSET(CB256,0,-1*'Get Started'!$E77))</f>
        <v>0</v>
      </c>
      <c r="CC261" s="52">
        <f ca="1">IF(CC4&lt;'Get Started'!$E77,0,OFFSET(CC256,0,-1*'Get Started'!$E77))</f>
        <v>0</v>
      </c>
      <c r="CD261" s="52">
        <f ca="1">IF(CD4&lt;'Get Started'!$E77,0,OFFSET(CD256,0,-1*'Get Started'!$E77))</f>
        <v>0</v>
      </c>
      <c r="CE261" s="52">
        <f ca="1">IF(CE4&lt;'Get Started'!$E77,0,OFFSET(CE256,0,-1*'Get Started'!$E77))</f>
        <v>0</v>
      </c>
      <c r="CF261" s="52">
        <f ca="1">IF(CF4&lt;'Get Started'!$E77,0,OFFSET(CF256,0,-1*'Get Started'!$E77))</f>
        <v>0</v>
      </c>
      <c r="CG261" s="52">
        <f ca="1">IF(CG4&lt;'Get Started'!$E77,0,OFFSET(CG256,0,-1*'Get Started'!$E77))</f>
        <v>0</v>
      </c>
      <c r="CH261" s="52">
        <f ca="1">IF(CH4&lt;'Get Started'!$E77,0,OFFSET(CH256,0,-1*'Get Started'!$E77))</f>
        <v>0</v>
      </c>
    </row>
    <row r="262" spans="1:86" ht="13" outlineLevel="1">
      <c r="A262" s="13"/>
      <c r="B262" s="13" t="s">
        <v>338</v>
      </c>
      <c r="C262" s="13"/>
      <c r="D262" s="13" t="s">
        <v>238</v>
      </c>
      <c r="E262" s="88">
        <f t="shared" ca="1" si="185"/>
        <v>0.20000000000000004</v>
      </c>
      <c r="F262" s="48"/>
      <c r="G262" s="52">
        <f ca="1">IF(G4&lt;'Get Started'!$F77,0,OFFSET(G257,0,-1*'Get Started'!$F77))</f>
        <v>0</v>
      </c>
      <c r="H262" s="52">
        <f ca="1">IF(H4&lt;'Get Started'!$F77,0,OFFSET(H257,0,-1*'Get Started'!$F77))</f>
        <v>0</v>
      </c>
      <c r="I262" s="52">
        <f ca="1">IF(I4&lt;'Get Started'!$F77,0,OFFSET(I257,0,-1*'Get Started'!$F77))</f>
        <v>0</v>
      </c>
      <c r="J262" s="52">
        <f ca="1">IF(J4&lt;'Get Started'!$F77,0,OFFSET(J257,0,-1*'Get Started'!$F77))</f>
        <v>0</v>
      </c>
      <c r="K262" s="52">
        <f ca="1">IF(K4&lt;'Get Started'!$F77,0,OFFSET(K257,0,-1*'Get Started'!$F77))</f>
        <v>0</v>
      </c>
      <c r="L262" s="52">
        <f ca="1">IF(L4&lt;'Get Started'!$F77,0,OFFSET(L257,0,-1*'Get Started'!$F77))</f>
        <v>0</v>
      </c>
      <c r="M262" s="52">
        <f ca="1">IF(M4&lt;'Get Started'!$F77,0,OFFSET(M257,0,-1*'Get Started'!$F77))</f>
        <v>0</v>
      </c>
      <c r="N262" s="52">
        <f ca="1">IF(N4&lt;'Get Started'!$F77,0,OFFSET(N257,0,-1*'Get Started'!$F77))</f>
        <v>0</v>
      </c>
      <c r="O262" s="52">
        <f ca="1">IF(O4&lt;'Get Started'!$F77,0,OFFSET(O257,0,-1*'Get Started'!$F77))</f>
        <v>0</v>
      </c>
      <c r="P262" s="52">
        <f ca="1">IF(P4&lt;'Get Started'!$F77,0,OFFSET(P257,0,-1*'Get Started'!$F77))</f>
        <v>0</v>
      </c>
      <c r="Q262" s="52">
        <f ca="1">IF(Q4&lt;'Get Started'!$F77,0,OFFSET(Q257,0,-1*'Get Started'!$F77))</f>
        <v>0</v>
      </c>
      <c r="R262" s="52">
        <f ca="1">IF(R4&lt;'Get Started'!$F77,0,OFFSET(R257,0,-1*'Get Started'!$F77))</f>
        <v>0</v>
      </c>
      <c r="S262" s="52">
        <f ca="1">IF(S4&lt;'Get Started'!$F77,0,OFFSET(S257,0,-1*'Get Started'!$F77))</f>
        <v>1.2500000000000001E-2</v>
      </c>
      <c r="T262" s="52">
        <f ca="1">IF(T4&lt;'Get Started'!$F77,0,OFFSET(T257,0,-1*'Get Started'!$F77))</f>
        <v>1.2500000000000001E-2</v>
      </c>
      <c r="U262" s="52">
        <f ca="1">IF(U4&lt;'Get Started'!$F77,0,OFFSET(U257,0,-1*'Get Started'!$F77))</f>
        <v>1.2500000000000001E-2</v>
      </c>
      <c r="V262" s="52">
        <f ca="1">IF(V4&lt;'Get Started'!$F77,0,OFFSET(V257,0,-1*'Get Started'!$F77))</f>
        <v>1.2500000000000001E-2</v>
      </c>
      <c r="W262" s="52">
        <f ca="1">IF(W4&lt;'Get Started'!$F77,0,OFFSET(W257,0,-1*'Get Started'!$F77))</f>
        <v>1.2500000000000001E-2</v>
      </c>
      <c r="X262" s="52">
        <f ca="1">IF(X4&lt;'Get Started'!$F77,0,OFFSET(X257,0,-1*'Get Started'!$F77))</f>
        <v>1.2500000000000001E-2</v>
      </c>
      <c r="Y262" s="52">
        <f ca="1">IF(Y4&lt;'Get Started'!$F77,0,OFFSET(Y257,0,-1*'Get Started'!$F77))</f>
        <v>1.2500000000000001E-2</v>
      </c>
      <c r="Z262" s="52">
        <f ca="1">IF(Z4&lt;'Get Started'!$F77,0,OFFSET(Z257,0,-1*'Get Started'!$F77))</f>
        <v>1.2500000000000001E-2</v>
      </c>
      <c r="AA262" s="52">
        <f ca="1">IF(AA4&lt;'Get Started'!$F77,0,OFFSET(AA257,0,-1*'Get Started'!$F77))</f>
        <v>1.2500000000000001E-2</v>
      </c>
      <c r="AB262" s="52">
        <f ca="1">IF(AB4&lt;'Get Started'!$F77,0,OFFSET(AB257,0,-1*'Get Started'!$F77))</f>
        <v>1.2500000000000001E-2</v>
      </c>
      <c r="AC262" s="52">
        <f ca="1">IF(AC4&lt;'Get Started'!$F77,0,OFFSET(AC257,0,-1*'Get Started'!$F77))</f>
        <v>1.2500000000000001E-2</v>
      </c>
      <c r="AD262" s="52">
        <f ca="1">IF(AD4&lt;'Get Started'!$F77,0,OFFSET(AD257,0,-1*'Get Started'!$F77))</f>
        <v>1.2500000000000001E-2</v>
      </c>
      <c r="AE262" s="52">
        <f ca="1">IF(AE4&lt;'Get Started'!$F77,0,OFFSET(AE257,0,-1*'Get Started'!$F77))</f>
        <v>1.2500000000000001E-2</v>
      </c>
      <c r="AF262" s="52">
        <f ca="1">IF(AF4&lt;'Get Started'!$F77,0,OFFSET(AF257,0,-1*'Get Started'!$F77))</f>
        <v>1.2500000000000001E-2</v>
      </c>
      <c r="AG262" s="52">
        <f ca="1">IF(AG4&lt;'Get Started'!$F77,0,OFFSET(AG257,0,-1*'Get Started'!$F77))</f>
        <v>1.2500000000000001E-2</v>
      </c>
      <c r="AH262" s="52">
        <f ca="1">IF(AH4&lt;'Get Started'!$F77,0,OFFSET(AH257,0,-1*'Get Started'!$F77))</f>
        <v>1.2500000000000001E-2</v>
      </c>
      <c r="AI262" s="52">
        <f ca="1">IF(AI4&lt;'Get Started'!$F77,0,OFFSET(AI257,0,-1*'Get Started'!$F77))</f>
        <v>0</v>
      </c>
      <c r="AJ262" s="52">
        <f ca="1">IF(AJ4&lt;'Get Started'!$F77,0,OFFSET(AJ257,0,-1*'Get Started'!$F77))</f>
        <v>0</v>
      </c>
      <c r="AK262" s="52">
        <f ca="1">IF(AK4&lt;'Get Started'!$F77,0,OFFSET(AK257,0,-1*'Get Started'!$F77))</f>
        <v>0</v>
      </c>
      <c r="AL262" s="52">
        <f ca="1">IF(AL4&lt;'Get Started'!$F77,0,OFFSET(AL257,0,-1*'Get Started'!$F77))</f>
        <v>0</v>
      </c>
      <c r="AM262" s="52">
        <f ca="1">IF(AM4&lt;'Get Started'!$F77,0,OFFSET(AM257,0,-1*'Get Started'!$F77))</f>
        <v>0</v>
      </c>
      <c r="AN262" s="52">
        <f ca="1">IF(AN4&lt;'Get Started'!$F77,0,OFFSET(AN257,0,-1*'Get Started'!$F77))</f>
        <v>0</v>
      </c>
      <c r="AO262" s="52">
        <f ca="1">IF(AO4&lt;'Get Started'!$F77,0,OFFSET(AO257,0,-1*'Get Started'!$F77))</f>
        <v>0</v>
      </c>
      <c r="AP262" s="52">
        <f ca="1">IF(AP4&lt;'Get Started'!$F77,0,OFFSET(AP257,0,-1*'Get Started'!$F77))</f>
        <v>0</v>
      </c>
      <c r="AQ262" s="52">
        <f ca="1">IF(AQ4&lt;'Get Started'!$F77,0,OFFSET(AQ257,0,-1*'Get Started'!$F77))</f>
        <v>0</v>
      </c>
      <c r="AR262" s="52">
        <f ca="1">IF(AR4&lt;'Get Started'!$F77,0,OFFSET(AR257,0,-1*'Get Started'!$F77))</f>
        <v>0</v>
      </c>
      <c r="AS262" s="52">
        <f ca="1">IF(AS4&lt;'Get Started'!$F77,0,OFFSET(AS257,0,-1*'Get Started'!$F77))</f>
        <v>0</v>
      </c>
      <c r="AT262" s="52">
        <f ca="1">IF(AT4&lt;'Get Started'!$F77,0,OFFSET(AT257,0,-1*'Get Started'!$F77))</f>
        <v>0</v>
      </c>
      <c r="AU262" s="52">
        <f ca="1">IF(AU4&lt;'Get Started'!$F77,0,OFFSET(AU257,0,-1*'Get Started'!$F77))</f>
        <v>0</v>
      </c>
      <c r="AV262" s="52">
        <f ca="1">IF(AV4&lt;'Get Started'!$F77,0,OFFSET(AV257,0,-1*'Get Started'!$F77))</f>
        <v>0</v>
      </c>
      <c r="AW262" s="52">
        <f ca="1">IF(AW4&lt;'Get Started'!$F77,0,OFFSET(AW257,0,-1*'Get Started'!$F77))</f>
        <v>0</v>
      </c>
      <c r="AX262" s="52">
        <f ca="1">IF(AX4&lt;'Get Started'!$F77,0,OFFSET(AX257,0,-1*'Get Started'!$F77))</f>
        <v>0</v>
      </c>
      <c r="AY262" s="52">
        <f ca="1">IF(AY4&lt;'Get Started'!$F77,0,OFFSET(AY257,0,-1*'Get Started'!$F77))</f>
        <v>0</v>
      </c>
      <c r="AZ262" s="52">
        <f ca="1">IF(AZ4&lt;'Get Started'!$F77,0,OFFSET(AZ257,0,-1*'Get Started'!$F77))</f>
        <v>0</v>
      </c>
      <c r="BA262" s="52">
        <f ca="1">IF(BA4&lt;'Get Started'!$F77,0,OFFSET(BA257,0,-1*'Get Started'!$F77))</f>
        <v>0</v>
      </c>
      <c r="BB262" s="52">
        <f ca="1">IF(BB4&lt;'Get Started'!$F77,0,OFFSET(BB257,0,-1*'Get Started'!$F77))</f>
        <v>0</v>
      </c>
      <c r="BC262" s="52">
        <f ca="1">IF(BC4&lt;'Get Started'!$F77,0,OFFSET(BC257,0,-1*'Get Started'!$F77))</f>
        <v>0</v>
      </c>
      <c r="BD262" s="52">
        <f ca="1">IF(BD4&lt;'Get Started'!$F77,0,OFFSET(BD257,0,-1*'Get Started'!$F77))</f>
        <v>0</v>
      </c>
      <c r="BE262" s="52">
        <f ca="1">IF(BE4&lt;'Get Started'!$F77,0,OFFSET(BE257,0,-1*'Get Started'!$F77))</f>
        <v>0</v>
      </c>
      <c r="BF262" s="52">
        <f ca="1">IF(BF4&lt;'Get Started'!$F77,0,OFFSET(BF257,0,-1*'Get Started'!$F77))</f>
        <v>0</v>
      </c>
      <c r="BG262" s="52">
        <f ca="1">IF(BG4&lt;'Get Started'!$F77,0,OFFSET(BG257,0,-1*'Get Started'!$F77))</f>
        <v>0</v>
      </c>
      <c r="BH262" s="52">
        <f ca="1">IF(BH4&lt;'Get Started'!$F77,0,OFFSET(BH257,0,-1*'Get Started'!$F77))</f>
        <v>0</v>
      </c>
      <c r="BI262" s="52">
        <f ca="1">IF(BI4&lt;'Get Started'!$F77,0,OFFSET(BI257,0,-1*'Get Started'!$F77))</f>
        <v>0</v>
      </c>
      <c r="BJ262" s="52">
        <f ca="1">IF(BJ4&lt;'Get Started'!$F77,0,OFFSET(BJ257,0,-1*'Get Started'!$F77))</f>
        <v>0</v>
      </c>
      <c r="BK262" s="52">
        <f ca="1">IF(BK4&lt;'Get Started'!$F77,0,OFFSET(BK257,0,-1*'Get Started'!$F77))</f>
        <v>0</v>
      </c>
      <c r="BL262" s="52">
        <f ca="1">IF(BL4&lt;'Get Started'!$F77,0,OFFSET(BL257,0,-1*'Get Started'!$F77))</f>
        <v>0</v>
      </c>
      <c r="BM262" s="52">
        <f ca="1">IF(BM4&lt;'Get Started'!$F77,0,OFFSET(BM257,0,-1*'Get Started'!$F77))</f>
        <v>0</v>
      </c>
      <c r="BN262" s="52">
        <f ca="1">IF(BN4&lt;'Get Started'!$F77,0,OFFSET(BN257,0,-1*'Get Started'!$F77))</f>
        <v>0</v>
      </c>
      <c r="BO262" s="52">
        <f ca="1">IF(BO4&lt;'Get Started'!$F77,0,OFFSET(BO257,0,-1*'Get Started'!$F77))</f>
        <v>0</v>
      </c>
      <c r="BP262" s="52">
        <f ca="1">IF(BP4&lt;'Get Started'!$F77,0,OFFSET(BP257,0,-1*'Get Started'!$F77))</f>
        <v>0</v>
      </c>
      <c r="BQ262" s="52">
        <f ca="1">IF(BQ4&lt;'Get Started'!$F77,0,OFFSET(BQ257,0,-1*'Get Started'!$F77))</f>
        <v>0</v>
      </c>
      <c r="BR262" s="52">
        <f ca="1">IF(BR4&lt;'Get Started'!$F77,0,OFFSET(BR257,0,-1*'Get Started'!$F77))</f>
        <v>0</v>
      </c>
      <c r="BS262" s="52">
        <f ca="1">IF(BS4&lt;'Get Started'!$F77,0,OFFSET(BS257,0,-1*'Get Started'!$F77))</f>
        <v>0</v>
      </c>
      <c r="BT262" s="52">
        <f ca="1">IF(BT4&lt;'Get Started'!$F77,0,OFFSET(BT257,0,-1*'Get Started'!$F77))</f>
        <v>0</v>
      </c>
      <c r="BU262" s="52">
        <f ca="1">IF(BU4&lt;'Get Started'!$F77,0,OFFSET(BU257,0,-1*'Get Started'!$F77))</f>
        <v>0</v>
      </c>
      <c r="BV262" s="52">
        <f ca="1">IF(BV4&lt;'Get Started'!$F77,0,OFFSET(BV257,0,-1*'Get Started'!$F77))</f>
        <v>0</v>
      </c>
      <c r="BW262" s="52">
        <f ca="1">IF(BW4&lt;'Get Started'!$F77,0,OFFSET(BW257,0,-1*'Get Started'!$F77))</f>
        <v>0</v>
      </c>
      <c r="BX262" s="52">
        <f ca="1">IF(BX4&lt;'Get Started'!$F77,0,OFFSET(BX257,0,-1*'Get Started'!$F77))</f>
        <v>0</v>
      </c>
      <c r="BY262" s="52">
        <f ca="1">IF(BY4&lt;'Get Started'!$F77,0,OFFSET(BY257,0,-1*'Get Started'!$F77))</f>
        <v>0</v>
      </c>
      <c r="BZ262" s="52">
        <f ca="1">IF(BZ4&lt;'Get Started'!$F77,0,OFFSET(BZ257,0,-1*'Get Started'!$F77))</f>
        <v>0</v>
      </c>
      <c r="CA262" s="52">
        <f ca="1">IF(CA4&lt;'Get Started'!$F77,0,OFFSET(CA257,0,-1*'Get Started'!$F77))</f>
        <v>0</v>
      </c>
      <c r="CB262" s="52">
        <f ca="1">IF(CB4&lt;'Get Started'!$F77,0,OFFSET(CB257,0,-1*'Get Started'!$F77))</f>
        <v>0</v>
      </c>
      <c r="CC262" s="52">
        <f ca="1">IF(CC4&lt;'Get Started'!$F77,0,OFFSET(CC257,0,-1*'Get Started'!$F77))</f>
        <v>0</v>
      </c>
      <c r="CD262" s="52">
        <f ca="1">IF(CD4&lt;'Get Started'!$F77,0,OFFSET(CD257,0,-1*'Get Started'!$F77))</f>
        <v>0</v>
      </c>
      <c r="CE262" s="52">
        <f ca="1">IF(CE4&lt;'Get Started'!$F77,0,OFFSET(CE257,0,-1*'Get Started'!$F77))</f>
        <v>0</v>
      </c>
      <c r="CF262" s="52">
        <f ca="1">IF(CF4&lt;'Get Started'!$F77,0,OFFSET(CF257,0,-1*'Get Started'!$F77))</f>
        <v>0</v>
      </c>
      <c r="CG262" s="52">
        <f ca="1">IF(CG4&lt;'Get Started'!$F77,0,OFFSET(CG257,0,-1*'Get Started'!$F77))</f>
        <v>0</v>
      </c>
      <c r="CH262" s="52">
        <f ca="1">IF(CH4&lt;'Get Started'!$F77,0,OFFSET(CH257,0,-1*'Get Started'!$F77))</f>
        <v>0</v>
      </c>
    </row>
    <row r="263" spans="1:86" ht="13" outlineLevel="1">
      <c r="A263" s="13"/>
      <c r="B263" s="13" t="s">
        <v>338</v>
      </c>
      <c r="C263" s="13"/>
      <c r="D263" s="13" t="s">
        <v>238</v>
      </c>
      <c r="E263" s="88">
        <f t="shared" ca="1" si="185"/>
        <v>0.10000000000000002</v>
      </c>
      <c r="F263" s="48"/>
      <c r="G263" s="52">
        <f ca="1">IF(G4&lt;'Get Started'!$G77,0,OFFSET(G258,0,-1*'Get Started'!$G77))</f>
        <v>0</v>
      </c>
      <c r="H263" s="52">
        <f ca="1">IF(H4&lt;'Get Started'!$G77,0,OFFSET(H258,0,-1*'Get Started'!$G77))</f>
        <v>0</v>
      </c>
      <c r="I263" s="52">
        <f ca="1">IF(I4&lt;'Get Started'!$G77,0,OFFSET(I258,0,-1*'Get Started'!$G77))</f>
        <v>0</v>
      </c>
      <c r="J263" s="52">
        <f ca="1">IF(J4&lt;'Get Started'!$G77,0,OFFSET(J258,0,-1*'Get Started'!$G77))</f>
        <v>0</v>
      </c>
      <c r="K263" s="52">
        <f ca="1">IF(K4&lt;'Get Started'!$G77,0,OFFSET(K258,0,-1*'Get Started'!$G77))</f>
        <v>0</v>
      </c>
      <c r="L263" s="52">
        <f ca="1">IF(L4&lt;'Get Started'!$G77,0,OFFSET(L258,0,-1*'Get Started'!$G77))</f>
        <v>0</v>
      </c>
      <c r="M263" s="52">
        <f ca="1">IF(M4&lt;'Get Started'!$G77,0,OFFSET(M258,0,-1*'Get Started'!$G77))</f>
        <v>0</v>
      </c>
      <c r="N263" s="52">
        <f ca="1">IF(N4&lt;'Get Started'!$G77,0,OFFSET(N258,0,-1*'Get Started'!$G77))</f>
        <v>0</v>
      </c>
      <c r="O263" s="52">
        <f ca="1">IF(O4&lt;'Get Started'!$G77,0,OFFSET(O258,0,-1*'Get Started'!$G77))</f>
        <v>0</v>
      </c>
      <c r="P263" s="52">
        <f ca="1">IF(P4&lt;'Get Started'!$G77,0,OFFSET(P258,0,-1*'Get Started'!$G77))</f>
        <v>0</v>
      </c>
      <c r="Q263" s="52">
        <f ca="1">IF(Q4&lt;'Get Started'!$G77,0,OFFSET(Q258,0,-1*'Get Started'!$G77))</f>
        <v>0</v>
      </c>
      <c r="R263" s="52">
        <f ca="1">IF(R4&lt;'Get Started'!$G77,0,OFFSET(R258,0,-1*'Get Started'!$G77))</f>
        <v>0</v>
      </c>
      <c r="S263" s="52">
        <f ca="1">IF(S4&lt;'Get Started'!$G77,0,OFFSET(S258,0,-1*'Get Started'!$G77))</f>
        <v>0</v>
      </c>
      <c r="T263" s="52">
        <f ca="1">IF(T4&lt;'Get Started'!$G77,0,OFFSET(T258,0,-1*'Get Started'!$G77))</f>
        <v>0</v>
      </c>
      <c r="U263" s="52">
        <f ca="1">IF(U4&lt;'Get Started'!$G77,0,OFFSET(U258,0,-1*'Get Started'!$G77))</f>
        <v>0</v>
      </c>
      <c r="V263" s="52">
        <f ca="1">IF(V4&lt;'Get Started'!$G77,0,OFFSET(V258,0,-1*'Get Started'!$G77))</f>
        <v>0</v>
      </c>
      <c r="W263" s="52">
        <f ca="1">IF(W4&lt;'Get Started'!$G77,0,OFFSET(W258,0,-1*'Get Started'!$G77))</f>
        <v>6.2500000000000003E-3</v>
      </c>
      <c r="X263" s="52">
        <f ca="1">IF(X4&lt;'Get Started'!$G77,0,OFFSET(X258,0,-1*'Get Started'!$G77))</f>
        <v>6.2500000000000003E-3</v>
      </c>
      <c r="Y263" s="52">
        <f ca="1">IF(Y4&lt;'Get Started'!$G77,0,OFFSET(Y258,0,-1*'Get Started'!$G77))</f>
        <v>6.2500000000000003E-3</v>
      </c>
      <c r="Z263" s="52">
        <f ca="1">IF(Z4&lt;'Get Started'!$G77,0,OFFSET(Z258,0,-1*'Get Started'!$G77))</f>
        <v>6.2500000000000003E-3</v>
      </c>
      <c r="AA263" s="52">
        <f ca="1">IF(AA4&lt;'Get Started'!$G77,0,OFFSET(AA258,0,-1*'Get Started'!$G77))</f>
        <v>6.2500000000000003E-3</v>
      </c>
      <c r="AB263" s="52">
        <f ca="1">IF(AB4&lt;'Get Started'!$G77,0,OFFSET(AB258,0,-1*'Get Started'!$G77))</f>
        <v>6.2500000000000003E-3</v>
      </c>
      <c r="AC263" s="52">
        <f ca="1">IF(AC4&lt;'Get Started'!$G77,0,OFFSET(AC258,0,-1*'Get Started'!$G77))</f>
        <v>6.2500000000000003E-3</v>
      </c>
      <c r="AD263" s="52">
        <f ca="1">IF(AD4&lt;'Get Started'!$G77,0,OFFSET(AD258,0,-1*'Get Started'!$G77))</f>
        <v>6.2500000000000003E-3</v>
      </c>
      <c r="AE263" s="52">
        <f ca="1">IF(AE4&lt;'Get Started'!$G77,0,OFFSET(AE258,0,-1*'Get Started'!$G77))</f>
        <v>6.2500000000000003E-3</v>
      </c>
      <c r="AF263" s="52">
        <f ca="1">IF(AF4&lt;'Get Started'!$G77,0,OFFSET(AF258,0,-1*'Get Started'!$G77))</f>
        <v>6.2500000000000003E-3</v>
      </c>
      <c r="AG263" s="52">
        <f ca="1">IF(AG4&lt;'Get Started'!$G77,0,OFFSET(AG258,0,-1*'Get Started'!$G77))</f>
        <v>6.2500000000000003E-3</v>
      </c>
      <c r="AH263" s="52">
        <f ca="1">IF(AH4&lt;'Get Started'!$G77,0,OFFSET(AH258,0,-1*'Get Started'!$G77))</f>
        <v>6.2500000000000003E-3</v>
      </c>
      <c r="AI263" s="52">
        <f ca="1">IF(AI4&lt;'Get Started'!$G77,0,OFFSET(AI258,0,-1*'Get Started'!$G77))</f>
        <v>6.2500000000000003E-3</v>
      </c>
      <c r="AJ263" s="52">
        <f ca="1">IF(AJ4&lt;'Get Started'!$G77,0,OFFSET(AJ258,0,-1*'Get Started'!$G77))</f>
        <v>6.2500000000000003E-3</v>
      </c>
      <c r="AK263" s="52">
        <f ca="1">IF(AK4&lt;'Get Started'!$G77,0,OFFSET(AK258,0,-1*'Get Started'!$G77))</f>
        <v>6.2500000000000003E-3</v>
      </c>
      <c r="AL263" s="52">
        <f ca="1">IF(AL4&lt;'Get Started'!$G77,0,OFFSET(AL258,0,-1*'Get Started'!$G77))</f>
        <v>6.2500000000000003E-3</v>
      </c>
      <c r="AM263" s="52">
        <f ca="1">IF(AM4&lt;'Get Started'!$G77,0,OFFSET(AM258,0,-1*'Get Started'!$G77))</f>
        <v>0</v>
      </c>
      <c r="AN263" s="52">
        <f ca="1">IF(AN4&lt;'Get Started'!$G77,0,OFFSET(AN258,0,-1*'Get Started'!$G77))</f>
        <v>0</v>
      </c>
      <c r="AO263" s="52">
        <f ca="1">IF(AO4&lt;'Get Started'!$G77,0,OFFSET(AO258,0,-1*'Get Started'!$G77))</f>
        <v>0</v>
      </c>
      <c r="AP263" s="52">
        <f ca="1">IF(AP4&lt;'Get Started'!$G77,0,OFFSET(AP258,0,-1*'Get Started'!$G77))</f>
        <v>0</v>
      </c>
      <c r="AQ263" s="52">
        <f ca="1">IF(AQ4&lt;'Get Started'!$G77,0,OFFSET(AQ258,0,-1*'Get Started'!$G77))</f>
        <v>0</v>
      </c>
      <c r="AR263" s="52">
        <f ca="1">IF(AR4&lt;'Get Started'!$G77,0,OFFSET(AR258,0,-1*'Get Started'!$G77))</f>
        <v>0</v>
      </c>
      <c r="AS263" s="52">
        <f ca="1">IF(AS4&lt;'Get Started'!$G77,0,OFFSET(AS258,0,-1*'Get Started'!$G77))</f>
        <v>0</v>
      </c>
      <c r="AT263" s="52">
        <f ca="1">IF(AT4&lt;'Get Started'!$G77,0,OFFSET(AT258,0,-1*'Get Started'!$G77))</f>
        <v>0</v>
      </c>
      <c r="AU263" s="52">
        <f ca="1">IF(AU4&lt;'Get Started'!$G77,0,OFFSET(AU258,0,-1*'Get Started'!$G77))</f>
        <v>0</v>
      </c>
      <c r="AV263" s="52">
        <f ca="1">IF(AV4&lt;'Get Started'!$G77,0,OFFSET(AV258,0,-1*'Get Started'!$G77))</f>
        <v>0</v>
      </c>
      <c r="AW263" s="52">
        <f ca="1">IF(AW4&lt;'Get Started'!$G77,0,OFFSET(AW258,0,-1*'Get Started'!$G77))</f>
        <v>0</v>
      </c>
      <c r="AX263" s="52">
        <f ca="1">IF(AX4&lt;'Get Started'!$G77,0,OFFSET(AX258,0,-1*'Get Started'!$G77))</f>
        <v>0</v>
      </c>
      <c r="AY263" s="52">
        <f ca="1">IF(AY4&lt;'Get Started'!$G77,0,OFFSET(AY258,0,-1*'Get Started'!$G77))</f>
        <v>0</v>
      </c>
      <c r="AZ263" s="52">
        <f ca="1">IF(AZ4&lt;'Get Started'!$G77,0,OFFSET(AZ258,0,-1*'Get Started'!$G77))</f>
        <v>0</v>
      </c>
      <c r="BA263" s="52">
        <f ca="1">IF(BA4&lt;'Get Started'!$G77,0,OFFSET(BA258,0,-1*'Get Started'!$G77))</f>
        <v>0</v>
      </c>
      <c r="BB263" s="52">
        <f ca="1">IF(BB4&lt;'Get Started'!$G77,0,OFFSET(BB258,0,-1*'Get Started'!$G77))</f>
        <v>0</v>
      </c>
      <c r="BC263" s="52">
        <f ca="1">IF(BC4&lt;'Get Started'!$G77,0,OFFSET(BC258,0,-1*'Get Started'!$G77))</f>
        <v>0</v>
      </c>
      <c r="BD263" s="52">
        <f ca="1">IF(BD4&lt;'Get Started'!$G77,0,OFFSET(BD258,0,-1*'Get Started'!$G77))</f>
        <v>0</v>
      </c>
      <c r="BE263" s="52">
        <f ca="1">IF(BE4&lt;'Get Started'!$G77,0,OFFSET(BE258,0,-1*'Get Started'!$G77))</f>
        <v>0</v>
      </c>
      <c r="BF263" s="52">
        <f ca="1">IF(BF4&lt;'Get Started'!$G77,0,OFFSET(BF258,0,-1*'Get Started'!$G77))</f>
        <v>0</v>
      </c>
      <c r="BG263" s="52">
        <f ca="1">IF(BG4&lt;'Get Started'!$G77,0,OFFSET(BG258,0,-1*'Get Started'!$G77))</f>
        <v>0</v>
      </c>
      <c r="BH263" s="52">
        <f ca="1">IF(BH4&lt;'Get Started'!$G77,0,OFFSET(BH258,0,-1*'Get Started'!$G77))</f>
        <v>0</v>
      </c>
      <c r="BI263" s="52">
        <f ca="1">IF(BI4&lt;'Get Started'!$G77,0,OFFSET(BI258,0,-1*'Get Started'!$G77))</f>
        <v>0</v>
      </c>
      <c r="BJ263" s="52">
        <f ca="1">IF(BJ4&lt;'Get Started'!$G77,0,OFFSET(BJ258,0,-1*'Get Started'!$G77))</f>
        <v>0</v>
      </c>
      <c r="BK263" s="52">
        <f ca="1">IF(BK4&lt;'Get Started'!$G77,0,OFFSET(BK258,0,-1*'Get Started'!$G77))</f>
        <v>0</v>
      </c>
      <c r="BL263" s="52">
        <f ca="1">IF(BL4&lt;'Get Started'!$G77,0,OFFSET(BL258,0,-1*'Get Started'!$G77))</f>
        <v>0</v>
      </c>
      <c r="BM263" s="52">
        <f ca="1">IF(BM4&lt;'Get Started'!$G77,0,OFFSET(BM258,0,-1*'Get Started'!$G77))</f>
        <v>0</v>
      </c>
      <c r="BN263" s="52">
        <f ca="1">IF(BN4&lt;'Get Started'!$G77,0,OFFSET(BN258,0,-1*'Get Started'!$G77))</f>
        <v>0</v>
      </c>
      <c r="BO263" s="52">
        <f ca="1">IF(BO4&lt;'Get Started'!$G77,0,OFFSET(BO258,0,-1*'Get Started'!$G77))</f>
        <v>0</v>
      </c>
      <c r="BP263" s="52">
        <f ca="1">IF(BP4&lt;'Get Started'!$G77,0,OFFSET(BP258,0,-1*'Get Started'!$G77))</f>
        <v>0</v>
      </c>
      <c r="BQ263" s="52">
        <f ca="1">IF(BQ4&lt;'Get Started'!$G77,0,OFFSET(BQ258,0,-1*'Get Started'!$G77))</f>
        <v>0</v>
      </c>
      <c r="BR263" s="52">
        <f ca="1">IF(BR4&lt;'Get Started'!$G77,0,OFFSET(BR258,0,-1*'Get Started'!$G77))</f>
        <v>0</v>
      </c>
      <c r="BS263" s="52">
        <f ca="1">IF(BS4&lt;'Get Started'!$G77,0,OFFSET(BS258,0,-1*'Get Started'!$G77))</f>
        <v>0</v>
      </c>
      <c r="BT263" s="52">
        <f ca="1">IF(BT4&lt;'Get Started'!$G77,0,OFFSET(BT258,0,-1*'Get Started'!$G77))</f>
        <v>0</v>
      </c>
      <c r="BU263" s="52">
        <f ca="1">IF(BU4&lt;'Get Started'!$G77,0,OFFSET(BU258,0,-1*'Get Started'!$G77))</f>
        <v>0</v>
      </c>
      <c r="BV263" s="52">
        <f ca="1">IF(BV4&lt;'Get Started'!$G77,0,OFFSET(BV258,0,-1*'Get Started'!$G77))</f>
        <v>0</v>
      </c>
      <c r="BW263" s="52">
        <f ca="1">IF(BW4&lt;'Get Started'!$G77,0,OFFSET(BW258,0,-1*'Get Started'!$G77))</f>
        <v>0</v>
      </c>
      <c r="BX263" s="52">
        <f ca="1">IF(BX4&lt;'Get Started'!$G77,0,OFFSET(BX258,0,-1*'Get Started'!$G77))</f>
        <v>0</v>
      </c>
      <c r="BY263" s="52">
        <f ca="1">IF(BY4&lt;'Get Started'!$G77,0,OFFSET(BY258,0,-1*'Get Started'!$G77))</f>
        <v>0</v>
      </c>
      <c r="BZ263" s="52">
        <f ca="1">IF(BZ4&lt;'Get Started'!$G77,0,OFFSET(BZ258,0,-1*'Get Started'!$G77))</f>
        <v>0</v>
      </c>
      <c r="CA263" s="52">
        <f ca="1">IF(CA4&lt;'Get Started'!$G77,0,OFFSET(CA258,0,-1*'Get Started'!$G77))</f>
        <v>0</v>
      </c>
      <c r="CB263" s="52">
        <f ca="1">IF(CB4&lt;'Get Started'!$G77,0,OFFSET(CB258,0,-1*'Get Started'!$G77))</f>
        <v>0</v>
      </c>
      <c r="CC263" s="52">
        <f ca="1">IF(CC4&lt;'Get Started'!$G77,0,OFFSET(CC258,0,-1*'Get Started'!$G77))</f>
        <v>0</v>
      </c>
      <c r="CD263" s="52">
        <f ca="1">IF(CD4&lt;'Get Started'!$G77,0,OFFSET(CD258,0,-1*'Get Started'!$G77))</f>
        <v>0</v>
      </c>
      <c r="CE263" s="52">
        <f ca="1">IF(CE4&lt;'Get Started'!$G77,0,OFFSET(CE258,0,-1*'Get Started'!$G77))</f>
        <v>0</v>
      </c>
      <c r="CF263" s="52">
        <f ca="1">IF(CF4&lt;'Get Started'!$G77,0,OFFSET(CF258,0,-1*'Get Started'!$G77))</f>
        <v>0</v>
      </c>
      <c r="CG263" s="52">
        <f ca="1">IF(CG4&lt;'Get Started'!$G77,0,OFFSET(CG258,0,-1*'Get Started'!$G77))</f>
        <v>0</v>
      </c>
      <c r="CH263" s="52">
        <f ca="1">IF(CH4&lt;'Get Started'!$G77,0,OFFSET(CH258,0,-1*'Get Started'!$G77))</f>
        <v>0</v>
      </c>
    </row>
    <row r="264" spans="1:86" ht="13" outlineLevel="1">
      <c r="A264" s="13"/>
      <c r="B264" s="13" t="s">
        <v>338</v>
      </c>
      <c r="C264" s="13"/>
      <c r="D264" s="13" t="s">
        <v>238</v>
      </c>
      <c r="E264" s="88">
        <f t="shared" ca="1" si="185"/>
        <v>0.1</v>
      </c>
      <c r="F264" s="48"/>
      <c r="G264" s="52">
        <f ca="1">IF(G4&lt;'Get Started'!$H77,0,OFFSET(G259,0,-1*'Get Started'!$H77))</f>
        <v>0</v>
      </c>
      <c r="H264" s="52">
        <f ca="1">IF(H4&lt;'Get Started'!$H77,0,OFFSET(H259,0,-1*'Get Started'!$H77))</f>
        <v>0</v>
      </c>
      <c r="I264" s="52">
        <f ca="1">IF(I4&lt;'Get Started'!$H77,0,OFFSET(I259,0,-1*'Get Started'!$H77))</f>
        <v>0</v>
      </c>
      <c r="J264" s="52">
        <f ca="1">IF(J4&lt;'Get Started'!$H77,0,OFFSET(J259,0,-1*'Get Started'!$H77))</f>
        <v>0</v>
      </c>
      <c r="K264" s="52">
        <f ca="1">IF(K4&lt;'Get Started'!$H77,0,OFFSET(K259,0,-1*'Get Started'!$H77))</f>
        <v>0</v>
      </c>
      <c r="L264" s="52">
        <f ca="1">IF(L4&lt;'Get Started'!$H77,0,OFFSET(L259,0,-1*'Get Started'!$H77))</f>
        <v>0</v>
      </c>
      <c r="M264" s="52">
        <f ca="1">IF(M4&lt;'Get Started'!$H77,0,OFFSET(M259,0,-1*'Get Started'!$H77))</f>
        <v>0</v>
      </c>
      <c r="N264" s="52">
        <f ca="1">IF(N4&lt;'Get Started'!$H77,0,OFFSET(N259,0,-1*'Get Started'!$H77))</f>
        <v>0</v>
      </c>
      <c r="O264" s="52">
        <f ca="1">IF(O4&lt;'Get Started'!$H77,0,OFFSET(O259,0,-1*'Get Started'!$H77))</f>
        <v>0</v>
      </c>
      <c r="P264" s="52">
        <f ca="1">IF(P4&lt;'Get Started'!$H77,0,OFFSET(P259,0,-1*'Get Started'!$H77))</f>
        <v>0</v>
      </c>
      <c r="Q264" s="52">
        <f ca="1">IF(Q4&lt;'Get Started'!$H77,0,OFFSET(Q259,0,-1*'Get Started'!$H77))</f>
        <v>0</v>
      </c>
      <c r="R264" s="52">
        <f ca="1">IF(R4&lt;'Get Started'!$H77,0,OFFSET(R259,0,-1*'Get Started'!$H77))</f>
        <v>0</v>
      </c>
      <c r="S264" s="52">
        <f ca="1">IF(S4&lt;'Get Started'!$H77,0,OFFSET(S259,0,-1*'Get Started'!$H77))</f>
        <v>0</v>
      </c>
      <c r="T264" s="52">
        <f ca="1">IF(T4&lt;'Get Started'!$H77,0,OFFSET(T259,0,-1*'Get Started'!$H77))</f>
        <v>0</v>
      </c>
      <c r="U264" s="52">
        <f ca="1">IF(U4&lt;'Get Started'!$H77,0,OFFSET(U259,0,-1*'Get Started'!$H77))</f>
        <v>0</v>
      </c>
      <c r="V264" s="52">
        <f ca="1">IF(V4&lt;'Get Started'!$H77,0,OFFSET(V259,0,-1*'Get Started'!$H77))</f>
        <v>0</v>
      </c>
      <c r="W264" s="52">
        <f ca="1">IF(W4&lt;'Get Started'!$H77,0,OFFSET(W259,0,-1*'Get Started'!$H77))</f>
        <v>0</v>
      </c>
      <c r="X264" s="52">
        <f ca="1">IF(X4&lt;'Get Started'!$H77,0,OFFSET(X259,0,-1*'Get Started'!$H77))</f>
        <v>0</v>
      </c>
      <c r="Y264" s="52">
        <f ca="1">IF(Y4&lt;'Get Started'!$H77,0,OFFSET(Y259,0,-1*'Get Started'!$H77))</f>
        <v>0</v>
      </c>
      <c r="Z264" s="52">
        <f ca="1">IF(Z4&lt;'Get Started'!$H77,0,OFFSET(Z259,0,-1*'Get Started'!$H77))</f>
        <v>0</v>
      </c>
      <c r="AA264" s="52">
        <f ca="1">IF(AA4&lt;'Get Started'!$H77,0,OFFSET(AA259,0,-1*'Get Started'!$H77))</f>
        <v>0</v>
      </c>
      <c r="AB264" s="52">
        <f ca="1">IF(AB4&lt;'Get Started'!$H77,0,OFFSET(AB259,0,-1*'Get Started'!$H77))</f>
        <v>0</v>
      </c>
      <c r="AC264" s="52">
        <f ca="1">IF(AC4&lt;'Get Started'!$H77,0,OFFSET(AC259,0,-1*'Get Started'!$H77))</f>
        <v>0</v>
      </c>
      <c r="AD264" s="52">
        <f ca="1">IF(AD4&lt;'Get Started'!$H77,0,OFFSET(AD259,0,-1*'Get Started'!$H77))</f>
        <v>0</v>
      </c>
      <c r="AE264" s="52">
        <f ca="1">IF(AE4&lt;'Get Started'!$H77,0,OFFSET(AE259,0,-1*'Get Started'!$H77))</f>
        <v>6.2499999999999986E-3</v>
      </c>
      <c r="AF264" s="52">
        <f ca="1">IF(AF4&lt;'Get Started'!$H77,0,OFFSET(AF259,0,-1*'Get Started'!$H77))</f>
        <v>6.2499999999999986E-3</v>
      </c>
      <c r="AG264" s="52">
        <f ca="1">IF(AG4&lt;'Get Started'!$H77,0,OFFSET(AG259,0,-1*'Get Started'!$H77))</f>
        <v>6.2499999999999986E-3</v>
      </c>
      <c r="AH264" s="52">
        <f ca="1">IF(AH4&lt;'Get Started'!$H77,0,OFFSET(AH259,0,-1*'Get Started'!$H77))</f>
        <v>6.2499999999999986E-3</v>
      </c>
      <c r="AI264" s="52">
        <f ca="1">IF(AI4&lt;'Get Started'!$H77,0,OFFSET(AI259,0,-1*'Get Started'!$H77))</f>
        <v>6.2499999999999986E-3</v>
      </c>
      <c r="AJ264" s="52">
        <f ca="1">IF(AJ4&lt;'Get Started'!$H77,0,OFFSET(AJ259,0,-1*'Get Started'!$H77))</f>
        <v>6.2499999999999986E-3</v>
      </c>
      <c r="AK264" s="52">
        <f ca="1">IF(AK4&lt;'Get Started'!$H77,0,OFFSET(AK259,0,-1*'Get Started'!$H77))</f>
        <v>6.2499999999999986E-3</v>
      </c>
      <c r="AL264" s="52">
        <f ca="1">IF(AL4&lt;'Get Started'!$H77,0,OFFSET(AL259,0,-1*'Get Started'!$H77))</f>
        <v>6.2499999999999986E-3</v>
      </c>
      <c r="AM264" s="52">
        <f ca="1">IF(AM4&lt;'Get Started'!$H77,0,OFFSET(AM259,0,-1*'Get Started'!$H77))</f>
        <v>6.2499999999999986E-3</v>
      </c>
      <c r="AN264" s="52">
        <f ca="1">IF(AN4&lt;'Get Started'!$H77,0,OFFSET(AN259,0,-1*'Get Started'!$H77))</f>
        <v>6.2499999999999986E-3</v>
      </c>
      <c r="AO264" s="52">
        <f ca="1">IF(AO4&lt;'Get Started'!$H77,0,OFFSET(AO259,0,-1*'Get Started'!$H77))</f>
        <v>6.2499999999999986E-3</v>
      </c>
      <c r="AP264" s="52">
        <f ca="1">IF(AP4&lt;'Get Started'!$H77,0,OFFSET(AP259,0,-1*'Get Started'!$H77))</f>
        <v>6.2499999999999986E-3</v>
      </c>
      <c r="AQ264" s="52">
        <f ca="1">IF(AQ4&lt;'Get Started'!$H77,0,OFFSET(AQ259,0,-1*'Get Started'!$H77))</f>
        <v>6.2499999999999986E-3</v>
      </c>
      <c r="AR264" s="52">
        <f ca="1">IF(AR4&lt;'Get Started'!$H77,0,OFFSET(AR259,0,-1*'Get Started'!$H77))</f>
        <v>6.2499999999999986E-3</v>
      </c>
      <c r="AS264" s="52">
        <f ca="1">IF(AS4&lt;'Get Started'!$H77,0,OFFSET(AS259,0,-1*'Get Started'!$H77))</f>
        <v>6.2499999999999986E-3</v>
      </c>
      <c r="AT264" s="52">
        <f ca="1">IF(AT4&lt;'Get Started'!$H77,0,OFFSET(AT259,0,-1*'Get Started'!$H77))</f>
        <v>6.2499999999999986E-3</v>
      </c>
      <c r="AU264" s="52">
        <f ca="1">IF(AU4&lt;'Get Started'!$H77,0,OFFSET(AU259,0,-1*'Get Started'!$H77))</f>
        <v>0</v>
      </c>
      <c r="AV264" s="52">
        <f ca="1">IF(AV4&lt;'Get Started'!$H77,0,OFFSET(AV259,0,-1*'Get Started'!$H77))</f>
        <v>0</v>
      </c>
      <c r="AW264" s="52">
        <f ca="1">IF(AW4&lt;'Get Started'!$H77,0,OFFSET(AW259,0,-1*'Get Started'!$H77))</f>
        <v>0</v>
      </c>
      <c r="AX264" s="52">
        <f ca="1">IF(AX4&lt;'Get Started'!$H77,0,OFFSET(AX259,0,-1*'Get Started'!$H77))</f>
        <v>0</v>
      </c>
      <c r="AY264" s="52">
        <f ca="1">IF(AY4&lt;'Get Started'!$H77,0,OFFSET(AY259,0,-1*'Get Started'!$H77))</f>
        <v>0</v>
      </c>
      <c r="AZ264" s="52">
        <f ca="1">IF(AZ4&lt;'Get Started'!$H77,0,OFFSET(AZ259,0,-1*'Get Started'!$H77))</f>
        <v>0</v>
      </c>
      <c r="BA264" s="52">
        <f ca="1">IF(BA4&lt;'Get Started'!$H77,0,OFFSET(BA259,0,-1*'Get Started'!$H77))</f>
        <v>0</v>
      </c>
      <c r="BB264" s="52">
        <f ca="1">IF(BB4&lt;'Get Started'!$H77,0,OFFSET(BB259,0,-1*'Get Started'!$H77))</f>
        <v>0</v>
      </c>
      <c r="BC264" s="52">
        <f ca="1">IF(BC4&lt;'Get Started'!$H77,0,OFFSET(BC259,0,-1*'Get Started'!$H77))</f>
        <v>0</v>
      </c>
      <c r="BD264" s="52">
        <f ca="1">IF(BD4&lt;'Get Started'!$H77,0,OFFSET(BD259,0,-1*'Get Started'!$H77))</f>
        <v>0</v>
      </c>
      <c r="BE264" s="52">
        <f ca="1">IF(BE4&lt;'Get Started'!$H77,0,OFFSET(BE259,0,-1*'Get Started'!$H77))</f>
        <v>0</v>
      </c>
      <c r="BF264" s="52">
        <f ca="1">IF(BF4&lt;'Get Started'!$H77,0,OFFSET(BF259,0,-1*'Get Started'!$H77))</f>
        <v>0</v>
      </c>
      <c r="BG264" s="52">
        <f ca="1">IF(BG4&lt;'Get Started'!$H77,0,OFFSET(BG259,0,-1*'Get Started'!$H77))</f>
        <v>0</v>
      </c>
      <c r="BH264" s="52">
        <f ca="1">IF(BH4&lt;'Get Started'!$H77,0,OFFSET(BH259,0,-1*'Get Started'!$H77))</f>
        <v>0</v>
      </c>
      <c r="BI264" s="52">
        <f ca="1">IF(BI4&lt;'Get Started'!$H77,0,OFFSET(BI259,0,-1*'Get Started'!$H77))</f>
        <v>0</v>
      </c>
      <c r="BJ264" s="52">
        <f ca="1">IF(BJ4&lt;'Get Started'!$H77,0,OFFSET(BJ259,0,-1*'Get Started'!$H77))</f>
        <v>0</v>
      </c>
      <c r="BK264" s="52">
        <f ca="1">IF(BK4&lt;'Get Started'!$H77,0,OFFSET(BK259,0,-1*'Get Started'!$H77))</f>
        <v>0</v>
      </c>
      <c r="BL264" s="52">
        <f ca="1">IF(BL4&lt;'Get Started'!$H77,0,OFFSET(BL259,0,-1*'Get Started'!$H77))</f>
        <v>0</v>
      </c>
      <c r="BM264" s="52">
        <f ca="1">IF(BM4&lt;'Get Started'!$H77,0,OFFSET(BM259,0,-1*'Get Started'!$H77))</f>
        <v>0</v>
      </c>
      <c r="BN264" s="52">
        <f ca="1">IF(BN4&lt;'Get Started'!$H77,0,OFFSET(BN259,0,-1*'Get Started'!$H77))</f>
        <v>0</v>
      </c>
      <c r="BO264" s="52">
        <f ca="1">IF(BO4&lt;'Get Started'!$H77,0,OFFSET(BO259,0,-1*'Get Started'!$H77))</f>
        <v>0</v>
      </c>
      <c r="BP264" s="52">
        <f ca="1">IF(BP4&lt;'Get Started'!$H77,0,OFFSET(BP259,0,-1*'Get Started'!$H77))</f>
        <v>0</v>
      </c>
      <c r="BQ264" s="52">
        <f ca="1">IF(BQ4&lt;'Get Started'!$H77,0,OFFSET(BQ259,0,-1*'Get Started'!$H77))</f>
        <v>0</v>
      </c>
      <c r="BR264" s="52">
        <f ca="1">IF(BR4&lt;'Get Started'!$H77,0,OFFSET(BR259,0,-1*'Get Started'!$H77))</f>
        <v>0</v>
      </c>
      <c r="BS264" s="52">
        <f ca="1">IF(BS4&lt;'Get Started'!$H77,0,OFFSET(BS259,0,-1*'Get Started'!$H77))</f>
        <v>0</v>
      </c>
      <c r="BT264" s="52">
        <f ca="1">IF(BT4&lt;'Get Started'!$H77,0,OFFSET(BT259,0,-1*'Get Started'!$H77))</f>
        <v>0</v>
      </c>
      <c r="BU264" s="52">
        <f ca="1">IF(BU4&lt;'Get Started'!$H77,0,OFFSET(BU259,0,-1*'Get Started'!$H77))</f>
        <v>0</v>
      </c>
      <c r="BV264" s="52">
        <f ca="1">IF(BV4&lt;'Get Started'!$H77,0,OFFSET(BV259,0,-1*'Get Started'!$H77))</f>
        <v>0</v>
      </c>
      <c r="BW264" s="52">
        <f ca="1">IF(BW4&lt;'Get Started'!$H77,0,OFFSET(BW259,0,-1*'Get Started'!$H77))</f>
        <v>0</v>
      </c>
      <c r="BX264" s="52">
        <f ca="1">IF(BX4&lt;'Get Started'!$H77,0,OFFSET(BX259,0,-1*'Get Started'!$H77))</f>
        <v>0</v>
      </c>
      <c r="BY264" s="52">
        <f ca="1">IF(BY4&lt;'Get Started'!$H77,0,OFFSET(BY259,0,-1*'Get Started'!$H77))</f>
        <v>0</v>
      </c>
      <c r="BZ264" s="52">
        <f ca="1">IF(BZ4&lt;'Get Started'!$H77,0,OFFSET(BZ259,0,-1*'Get Started'!$H77))</f>
        <v>0</v>
      </c>
      <c r="CA264" s="52">
        <f ca="1">IF(CA4&lt;'Get Started'!$H77,0,OFFSET(CA259,0,-1*'Get Started'!$H77))</f>
        <v>0</v>
      </c>
      <c r="CB264" s="52">
        <f ca="1">IF(CB4&lt;'Get Started'!$H77,0,OFFSET(CB259,0,-1*'Get Started'!$H77))</f>
        <v>0</v>
      </c>
      <c r="CC264" s="52">
        <f ca="1">IF(CC4&lt;'Get Started'!$H77,0,OFFSET(CC259,0,-1*'Get Started'!$H77))</f>
        <v>0</v>
      </c>
      <c r="CD264" s="52">
        <f ca="1">IF(CD4&lt;'Get Started'!$H77,0,OFFSET(CD259,0,-1*'Get Started'!$H77))</f>
        <v>0</v>
      </c>
      <c r="CE264" s="52">
        <f ca="1">IF(CE4&lt;'Get Started'!$H77,0,OFFSET(CE259,0,-1*'Get Started'!$H77))</f>
        <v>0</v>
      </c>
      <c r="CF264" s="52">
        <f ca="1">IF(CF4&lt;'Get Started'!$H77,0,OFFSET(CF259,0,-1*'Get Started'!$H77))</f>
        <v>0</v>
      </c>
      <c r="CG264" s="52">
        <f ca="1">IF(CG4&lt;'Get Started'!$H77,0,OFFSET(CG259,0,-1*'Get Started'!$H77))</f>
        <v>0</v>
      </c>
      <c r="CH264" s="52">
        <f ca="1">IF(CH4&lt;'Get Started'!$H77,0,OFFSET(CH259,0,-1*'Get Started'!$H77))</f>
        <v>0</v>
      </c>
    </row>
    <row r="265" spans="1:86" ht="13" outlineLevel="1">
      <c r="A265" s="13"/>
      <c r="B265" s="13" t="str">
        <f>B263&amp;" total"</f>
        <v>exited invested capital total</v>
      </c>
      <c r="C265" s="13"/>
      <c r="D265" s="13" t="s">
        <v>238</v>
      </c>
      <c r="E265" s="88">
        <f t="shared" ca="1" si="185"/>
        <v>0.99999999999999989</v>
      </c>
      <c r="F265" s="48"/>
      <c r="G265" s="52">
        <f t="shared" ref="G265:CH265" ca="1" si="193">SUM(G261:G264)</f>
        <v>0</v>
      </c>
      <c r="H265" s="52">
        <f t="shared" ca="1" si="193"/>
        <v>0</v>
      </c>
      <c r="I265" s="52">
        <f t="shared" ca="1" si="193"/>
        <v>0</v>
      </c>
      <c r="J265" s="52">
        <f t="shared" ca="1" si="193"/>
        <v>0</v>
      </c>
      <c r="K265" s="52">
        <f t="shared" ca="1" si="193"/>
        <v>0</v>
      </c>
      <c r="L265" s="52">
        <f t="shared" ca="1" si="193"/>
        <v>0</v>
      </c>
      <c r="M265" s="52">
        <f t="shared" ca="1" si="193"/>
        <v>0</v>
      </c>
      <c r="N265" s="52">
        <f t="shared" ca="1" si="193"/>
        <v>0</v>
      </c>
      <c r="O265" s="52">
        <f t="shared" ca="1" si="193"/>
        <v>3.7499999999999999E-2</v>
      </c>
      <c r="P265" s="52">
        <f t="shared" ca="1" si="193"/>
        <v>3.7499999999999999E-2</v>
      </c>
      <c r="Q265" s="52">
        <f t="shared" ca="1" si="193"/>
        <v>3.7499999999999999E-2</v>
      </c>
      <c r="R265" s="52">
        <f t="shared" ca="1" si="193"/>
        <v>3.7499999999999999E-2</v>
      </c>
      <c r="S265" s="52">
        <f t="shared" ca="1" si="193"/>
        <v>0.05</v>
      </c>
      <c r="T265" s="52">
        <f t="shared" ca="1" si="193"/>
        <v>0.05</v>
      </c>
      <c r="U265" s="52">
        <f t="shared" ca="1" si="193"/>
        <v>0.05</v>
      </c>
      <c r="V265" s="52">
        <f t="shared" ca="1" si="193"/>
        <v>0.05</v>
      </c>
      <c r="W265" s="52">
        <f t="shared" ca="1" si="193"/>
        <v>5.6250000000000001E-2</v>
      </c>
      <c r="X265" s="52">
        <f t="shared" ca="1" si="193"/>
        <v>5.6250000000000001E-2</v>
      </c>
      <c r="Y265" s="52">
        <f t="shared" ca="1" si="193"/>
        <v>5.6250000000000001E-2</v>
      </c>
      <c r="Z265" s="52">
        <f t="shared" ca="1" si="193"/>
        <v>5.6250000000000001E-2</v>
      </c>
      <c r="AA265" s="52">
        <f t="shared" ca="1" si="193"/>
        <v>5.6250000000000001E-2</v>
      </c>
      <c r="AB265" s="52">
        <f t="shared" ca="1" si="193"/>
        <v>5.6250000000000001E-2</v>
      </c>
      <c r="AC265" s="52">
        <f t="shared" ca="1" si="193"/>
        <v>5.6250000000000001E-2</v>
      </c>
      <c r="AD265" s="52">
        <f t="shared" ca="1" si="193"/>
        <v>5.6250000000000001E-2</v>
      </c>
      <c r="AE265" s="52">
        <f t="shared" ca="1" si="193"/>
        <v>2.5000000000000001E-2</v>
      </c>
      <c r="AF265" s="52">
        <f t="shared" ca="1" si="193"/>
        <v>2.5000000000000001E-2</v>
      </c>
      <c r="AG265" s="52">
        <f t="shared" ca="1" si="193"/>
        <v>2.5000000000000001E-2</v>
      </c>
      <c r="AH265" s="52">
        <f t="shared" ca="1" si="193"/>
        <v>2.5000000000000001E-2</v>
      </c>
      <c r="AI265" s="52">
        <f t="shared" ca="1" si="193"/>
        <v>1.2499999999999999E-2</v>
      </c>
      <c r="AJ265" s="52">
        <f t="shared" ca="1" si="193"/>
        <v>1.2499999999999999E-2</v>
      </c>
      <c r="AK265" s="52">
        <f t="shared" ca="1" si="193"/>
        <v>1.2499999999999999E-2</v>
      </c>
      <c r="AL265" s="52">
        <f t="shared" ca="1" si="193"/>
        <v>1.2499999999999999E-2</v>
      </c>
      <c r="AM265" s="52">
        <f t="shared" ca="1" si="193"/>
        <v>6.2499999999999986E-3</v>
      </c>
      <c r="AN265" s="52">
        <f t="shared" ca="1" si="193"/>
        <v>6.2499999999999986E-3</v>
      </c>
      <c r="AO265" s="52">
        <f t="shared" ca="1" si="193"/>
        <v>6.2499999999999986E-3</v>
      </c>
      <c r="AP265" s="52">
        <f t="shared" ca="1" si="193"/>
        <v>6.2499999999999986E-3</v>
      </c>
      <c r="AQ265" s="52">
        <f t="shared" ca="1" si="193"/>
        <v>6.2499999999999986E-3</v>
      </c>
      <c r="AR265" s="52">
        <f t="shared" ca="1" si="193"/>
        <v>6.2499999999999986E-3</v>
      </c>
      <c r="AS265" s="52">
        <f t="shared" ca="1" si="193"/>
        <v>6.2499999999999986E-3</v>
      </c>
      <c r="AT265" s="52">
        <f t="shared" ca="1" si="193"/>
        <v>6.2499999999999986E-3</v>
      </c>
      <c r="AU265" s="52">
        <f t="shared" ca="1" si="193"/>
        <v>0</v>
      </c>
      <c r="AV265" s="52">
        <f t="shared" ca="1" si="193"/>
        <v>0</v>
      </c>
      <c r="AW265" s="52">
        <f t="shared" ca="1" si="193"/>
        <v>0</v>
      </c>
      <c r="AX265" s="52">
        <f t="shared" ca="1" si="193"/>
        <v>0</v>
      </c>
      <c r="AY265" s="52">
        <f t="shared" ca="1" si="193"/>
        <v>0</v>
      </c>
      <c r="AZ265" s="52">
        <f t="shared" ca="1" si="193"/>
        <v>0</v>
      </c>
      <c r="BA265" s="52">
        <f t="shared" ca="1" si="193"/>
        <v>0</v>
      </c>
      <c r="BB265" s="52">
        <f t="shared" ca="1" si="193"/>
        <v>0</v>
      </c>
      <c r="BC265" s="52">
        <f t="shared" ca="1" si="193"/>
        <v>0</v>
      </c>
      <c r="BD265" s="52">
        <f t="shared" ca="1" si="193"/>
        <v>0</v>
      </c>
      <c r="BE265" s="52">
        <f t="shared" ca="1" si="193"/>
        <v>0</v>
      </c>
      <c r="BF265" s="52">
        <f t="shared" ca="1" si="193"/>
        <v>0</v>
      </c>
      <c r="BG265" s="52">
        <f t="shared" ca="1" si="193"/>
        <v>0</v>
      </c>
      <c r="BH265" s="52">
        <f t="shared" ca="1" si="193"/>
        <v>0</v>
      </c>
      <c r="BI265" s="52">
        <f t="shared" ca="1" si="193"/>
        <v>0</v>
      </c>
      <c r="BJ265" s="52">
        <f t="shared" ca="1" si="193"/>
        <v>0</v>
      </c>
      <c r="BK265" s="52">
        <f t="shared" ca="1" si="193"/>
        <v>0</v>
      </c>
      <c r="BL265" s="52">
        <f t="shared" ca="1" si="193"/>
        <v>0</v>
      </c>
      <c r="BM265" s="52">
        <f t="shared" ca="1" si="193"/>
        <v>0</v>
      </c>
      <c r="BN265" s="52">
        <f t="shared" ca="1" si="193"/>
        <v>0</v>
      </c>
      <c r="BO265" s="52">
        <f t="shared" ca="1" si="193"/>
        <v>0</v>
      </c>
      <c r="BP265" s="52">
        <f t="shared" ca="1" si="193"/>
        <v>0</v>
      </c>
      <c r="BQ265" s="52">
        <f t="shared" ca="1" si="193"/>
        <v>0</v>
      </c>
      <c r="BR265" s="52">
        <f t="shared" ca="1" si="193"/>
        <v>0</v>
      </c>
      <c r="BS265" s="52">
        <f t="shared" ca="1" si="193"/>
        <v>0</v>
      </c>
      <c r="BT265" s="52">
        <f t="shared" ca="1" si="193"/>
        <v>0</v>
      </c>
      <c r="BU265" s="52">
        <f t="shared" ca="1" si="193"/>
        <v>0</v>
      </c>
      <c r="BV265" s="52">
        <f t="shared" ca="1" si="193"/>
        <v>0</v>
      </c>
      <c r="BW265" s="52">
        <f t="shared" ca="1" si="193"/>
        <v>0</v>
      </c>
      <c r="BX265" s="52">
        <f t="shared" ca="1" si="193"/>
        <v>0</v>
      </c>
      <c r="BY265" s="52">
        <f t="shared" ca="1" si="193"/>
        <v>0</v>
      </c>
      <c r="BZ265" s="52">
        <f t="shared" ca="1" si="193"/>
        <v>0</v>
      </c>
      <c r="CA265" s="52">
        <f t="shared" ca="1" si="193"/>
        <v>0</v>
      </c>
      <c r="CB265" s="52">
        <f t="shared" ca="1" si="193"/>
        <v>0</v>
      </c>
      <c r="CC265" s="52">
        <f t="shared" ca="1" si="193"/>
        <v>0</v>
      </c>
      <c r="CD265" s="52">
        <f t="shared" ca="1" si="193"/>
        <v>0</v>
      </c>
      <c r="CE265" s="52">
        <f t="shared" ca="1" si="193"/>
        <v>0</v>
      </c>
      <c r="CF265" s="52">
        <f t="shared" ca="1" si="193"/>
        <v>0</v>
      </c>
      <c r="CG265" s="52">
        <f t="shared" ca="1" si="193"/>
        <v>0</v>
      </c>
      <c r="CH265" s="52">
        <f t="shared" ca="1" si="193"/>
        <v>0</v>
      </c>
    </row>
    <row r="266" spans="1:86" ht="13" outlineLevel="1">
      <c r="A266" s="13"/>
      <c r="B266" s="13" t="s">
        <v>339</v>
      </c>
      <c r="C266" s="13"/>
      <c r="D266" s="13" t="s">
        <v>247</v>
      </c>
      <c r="E266" s="88">
        <f t="shared" ca="1" si="185"/>
        <v>0</v>
      </c>
      <c r="F266" s="48"/>
      <c r="G266" s="52">
        <f t="shared" ref="G266:CH266" ca="1" si="194">ROUND(G250+G265*-1+G255+F266,10)</f>
        <v>6.25E-2</v>
      </c>
      <c r="H266" s="52">
        <f t="shared" ca="1" si="194"/>
        <v>0.125</v>
      </c>
      <c r="I266" s="52">
        <f t="shared" ca="1" si="194"/>
        <v>0.1875</v>
      </c>
      <c r="J266" s="52">
        <f t="shared" ca="1" si="194"/>
        <v>0.25</v>
      </c>
      <c r="K266" s="52">
        <f t="shared" ca="1" si="194"/>
        <v>0.3125</v>
      </c>
      <c r="L266" s="52">
        <f t="shared" ca="1" si="194"/>
        <v>0.375</v>
      </c>
      <c r="M266" s="52">
        <f t="shared" ca="1" si="194"/>
        <v>0.4375</v>
      </c>
      <c r="N266" s="52">
        <f t="shared" ca="1" si="194"/>
        <v>0.5</v>
      </c>
      <c r="O266" s="52">
        <f t="shared" ca="1" si="194"/>
        <v>0.52500000000000002</v>
      </c>
      <c r="P266" s="52">
        <f t="shared" ca="1" si="194"/>
        <v>0.55000000000000004</v>
      </c>
      <c r="Q266" s="52">
        <f t="shared" ca="1" si="194"/>
        <v>0.57499999999999996</v>
      </c>
      <c r="R266" s="52">
        <f t="shared" ca="1" si="194"/>
        <v>0.6</v>
      </c>
      <c r="S266" s="52">
        <f t="shared" ca="1" si="194"/>
        <v>0.61250000000000004</v>
      </c>
      <c r="T266" s="52">
        <f t="shared" ca="1" si="194"/>
        <v>0.625</v>
      </c>
      <c r="U266" s="52">
        <f t="shared" ca="1" si="194"/>
        <v>0.63749999999999996</v>
      </c>
      <c r="V266" s="52">
        <f t="shared" ca="1" si="194"/>
        <v>0.65</v>
      </c>
      <c r="W266" s="52">
        <f t="shared" ca="1" si="194"/>
        <v>0.59375</v>
      </c>
      <c r="X266" s="52">
        <f t="shared" ca="1" si="194"/>
        <v>0.53749999999999998</v>
      </c>
      <c r="Y266" s="52">
        <f t="shared" ca="1" si="194"/>
        <v>0.48125000000000001</v>
      </c>
      <c r="Z266" s="52">
        <f t="shared" ca="1" si="194"/>
        <v>0.42499999999999999</v>
      </c>
      <c r="AA266" s="52">
        <f t="shared" ca="1" si="194"/>
        <v>0.36875000000000002</v>
      </c>
      <c r="AB266" s="52">
        <f t="shared" ca="1" si="194"/>
        <v>0.3125</v>
      </c>
      <c r="AC266" s="52">
        <f t="shared" ca="1" si="194"/>
        <v>0.25624999999999998</v>
      </c>
      <c r="AD266" s="52">
        <f t="shared" ca="1" si="194"/>
        <v>0.2</v>
      </c>
      <c r="AE266" s="52">
        <f t="shared" ca="1" si="194"/>
        <v>0.17499999999999999</v>
      </c>
      <c r="AF266" s="52">
        <f t="shared" ca="1" si="194"/>
        <v>0.15</v>
      </c>
      <c r="AG266" s="52">
        <f t="shared" ca="1" si="194"/>
        <v>0.125</v>
      </c>
      <c r="AH266" s="52">
        <f t="shared" ca="1" si="194"/>
        <v>0.1</v>
      </c>
      <c r="AI266" s="52">
        <f t="shared" ca="1" si="194"/>
        <v>8.7499999999999994E-2</v>
      </c>
      <c r="AJ266" s="52">
        <f t="shared" ca="1" si="194"/>
        <v>7.4999999999999997E-2</v>
      </c>
      <c r="AK266" s="52">
        <f t="shared" ca="1" si="194"/>
        <v>6.25E-2</v>
      </c>
      <c r="AL266" s="52">
        <f t="shared" ca="1" si="194"/>
        <v>0.05</v>
      </c>
      <c r="AM266" s="52">
        <f t="shared" ca="1" si="194"/>
        <v>4.3749999999999997E-2</v>
      </c>
      <c r="AN266" s="52">
        <f t="shared" ca="1" si="194"/>
        <v>3.7499999999999999E-2</v>
      </c>
      <c r="AO266" s="52">
        <f t="shared" ca="1" si="194"/>
        <v>3.125E-2</v>
      </c>
      <c r="AP266" s="52">
        <f t="shared" ca="1" si="194"/>
        <v>2.5000000000000001E-2</v>
      </c>
      <c r="AQ266" s="52">
        <f t="shared" ca="1" si="194"/>
        <v>1.8749999999999999E-2</v>
      </c>
      <c r="AR266" s="52">
        <f t="shared" ca="1" si="194"/>
        <v>1.2500000000000001E-2</v>
      </c>
      <c r="AS266" s="52">
        <f t="shared" ca="1" si="194"/>
        <v>6.2500000000000003E-3</v>
      </c>
      <c r="AT266" s="52">
        <f t="shared" ca="1" si="194"/>
        <v>0</v>
      </c>
      <c r="AU266" s="52">
        <f t="shared" ca="1" si="194"/>
        <v>0</v>
      </c>
      <c r="AV266" s="52">
        <f t="shared" ca="1" si="194"/>
        <v>0</v>
      </c>
      <c r="AW266" s="52">
        <f t="shared" ca="1" si="194"/>
        <v>0</v>
      </c>
      <c r="AX266" s="52">
        <f t="shared" ca="1" si="194"/>
        <v>0</v>
      </c>
      <c r="AY266" s="52">
        <f t="shared" ca="1" si="194"/>
        <v>0</v>
      </c>
      <c r="AZ266" s="52">
        <f t="shared" ca="1" si="194"/>
        <v>0</v>
      </c>
      <c r="BA266" s="52">
        <f t="shared" ca="1" si="194"/>
        <v>0</v>
      </c>
      <c r="BB266" s="52">
        <f t="shared" ca="1" si="194"/>
        <v>0</v>
      </c>
      <c r="BC266" s="52">
        <f t="shared" ca="1" si="194"/>
        <v>0</v>
      </c>
      <c r="BD266" s="52">
        <f t="shared" ca="1" si="194"/>
        <v>0</v>
      </c>
      <c r="BE266" s="52">
        <f t="shared" ca="1" si="194"/>
        <v>0</v>
      </c>
      <c r="BF266" s="52">
        <f t="shared" ca="1" si="194"/>
        <v>0</v>
      </c>
      <c r="BG266" s="52">
        <f t="shared" ca="1" si="194"/>
        <v>0</v>
      </c>
      <c r="BH266" s="52">
        <f t="shared" ca="1" si="194"/>
        <v>0</v>
      </c>
      <c r="BI266" s="52">
        <f t="shared" ca="1" si="194"/>
        <v>0</v>
      </c>
      <c r="BJ266" s="52">
        <f t="shared" ca="1" si="194"/>
        <v>0</v>
      </c>
      <c r="BK266" s="52">
        <f t="shared" ca="1" si="194"/>
        <v>0</v>
      </c>
      <c r="BL266" s="52">
        <f t="shared" ca="1" si="194"/>
        <v>0</v>
      </c>
      <c r="BM266" s="52">
        <f t="shared" ca="1" si="194"/>
        <v>0</v>
      </c>
      <c r="BN266" s="52">
        <f t="shared" ca="1" si="194"/>
        <v>0</v>
      </c>
      <c r="BO266" s="52">
        <f t="shared" ca="1" si="194"/>
        <v>0</v>
      </c>
      <c r="BP266" s="52">
        <f t="shared" ca="1" si="194"/>
        <v>0</v>
      </c>
      <c r="BQ266" s="52">
        <f t="shared" ca="1" si="194"/>
        <v>0</v>
      </c>
      <c r="BR266" s="52">
        <f t="shared" ca="1" si="194"/>
        <v>0</v>
      </c>
      <c r="BS266" s="52">
        <f t="shared" ca="1" si="194"/>
        <v>0</v>
      </c>
      <c r="BT266" s="52">
        <f t="shared" ca="1" si="194"/>
        <v>0</v>
      </c>
      <c r="BU266" s="52">
        <f t="shared" ca="1" si="194"/>
        <v>0</v>
      </c>
      <c r="BV266" s="52">
        <f t="shared" ca="1" si="194"/>
        <v>0</v>
      </c>
      <c r="BW266" s="52">
        <f t="shared" ca="1" si="194"/>
        <v>0</v>
      </c>
      <c r="BX266" s="52">
        <f t="shared" ca="1" si="194"/>
        <v>0</v>
      </c>
      <c r="BY266" s="52">
        <f t="shared" ca="1" si="194"/>
        <v>0</v>
      </c>
      <c r="BZ266" s="52">
        <f t="shared" ca="1" si="194"/>
        <v>0</v>
      </c>
      <c r="CA266" s="52">
        <f t="shared" ca="1" si="194"/>
        <v>0</v>
      </c>
      <c r="CB266" s="52">
        <f t="shared" ca="1" si="194"/>
        <v>0</v>
      </c>
      <c r="CC266" s="52">
        <f t="shared" ca="1" si="194"/>
        <v>0</v>
      </c>
      <c r="CD266" s="52">
        <f t="shared" ca="1" si="194"/>
        <v>0</v>
      </c>
      <c r="CE266" s="52">
        <f t="shared" ca="1" si="194"/>
        <v>0</v>
      </c>
      <c r="CF266" s="52">
        <f t="shared" ca="1" si="194"/>
        <v>0</v>
      </c>
      <c r="CG266" s="52">
        <f t="shared" ca="1" si="194"/>
        <v>0</v>
      </c>
      <c r="CH266" s="52">
        <f t="shared" ca="1" si="194"/>
        <v>0</v>
      </c>
    </row>
    <row r="267" spans="1:86" ht="13" outlineLevel="1">
      <c r="A267" s="13"/>
      <c r="B267" s="13" t="s">
        <v>340</v>
      </c>
      <c r="C267" s="13"/>
      <c r="D267" s="13" t="s">
        <v>238</v>
      </c>
      <c r="E267" s="88">
        <f t="shared" si="185"/>
        <v>0</v>
      </c>
      <c r="F267" s="48"/>
      <c r="G267" s="88">
        <f>IF(G15&lt;&gt;"committed",(G266+F266)/2*IF($C17=TRUE,(1-'Get Started'!$E10),1)*G14,0)</f>
        <v>0</v>
      </c>
      <c r="H267" s="88">
        <f>IF(H15&lt;&gt;"committed",(H266+G266)/2*IF($C17=TRUE,(1-'Get Started'!$E10),1)*H14,0)</f>
        <v>0</v>
      </c>
      <c r="I267" s="88">
        <f>IF(I15&lt;&gt;"committed",(I266+H266)/2*IF($C17=TRUE,(1-'Get Started'!$E10),1)*I14,0)</f>
        <v>0</v>
      </c>
      <c r="J267" s="88">
        <f>IF(J15&lt;&gt;"committed",(J266+I266)/2*IF($C17=TRUE,(1-'Get Started'!$E10),1)*J14,0)</f>
        <v>0</v>
      </c>
      <c r="K267" s="88">
        <f>IF(K15&lt;&gt;"committed",(K266+J266)/2*IF($C17=TRUE,(1-'Get Started'!$E10),1)*K14,0)</f>
        <v>0</v>
      </c>
      <c r="L267" s="88">
        <f>IF(L15&lt;&gt;"committed",(L266+K266)/2*IF($C17=TRUE,(1-'Get Started'!$E10),1)*L14,0)</f>
        <v>0</v>
      </c>
      <c r="M267" s="88">
        <f>IF(M15&lt;&gt;"committed",(M266+L266)/2*IF($C17=TRUE,(1-'Get Started'!$E10),1)*M14,0)</f>
        <v>0</v>
      </c>
      <c r="N267" s="88">
        <f>IF(N15&lt;&gt;"committed",(N266+M266)/2*IF($C17=TRUE,(1-'Get Started'!$E10),1)*N14,0)</f>
        <v>0</v>
      </c>
      <c r="O267" s="88">
        <f>IF(O15&lt;&gt;"committed",(O266+N266)/2*IF($C17=TRUE,(1-'Get Started'!$E10),1)*O14,0)</f>
        <v>0</v>
      </c>
      <c r="P267" s="88">
        <f>IF(P15&lt;&gt;"committed",(P266+O266)/2*IF($C17=TRUE,(1-'Get Started'!$E10),1)*P14,0)</f>
        <v>0</v>
      </c>
      <c r="Q267" s="88">
        <f>IF(Q15&lt;&gt;"committed",(Q266+P266)/2*IF($C17=TRUE,(1-'Get Started'!$E10),1)*Q14,0)</f>
        <v>0</v>
      </c>
      <c r="R267" s="88">
        <f>IF(R15&lt;&gt;"committed",(R266+Q266)/2*IF($C17=TRUE,(1-'Get Started'!$E10),1)*R14,0)</f>
        <v>0</v>
      </c>
      <c r="S267" s="88">
        <f>IF(S15&lt;&gt;"committed",(S266+R266)/2*IF($C17=TRUE,(1-'Get Started'!$E10),1)*S14,0)</f>
        <v>0</v>
      </c>
      <c r="T267" s="88">
        <f>IF(T15&lt;&gt;"committed",(T266+S266)/2*IF($C17=TRUE,(1-'Get Started'!$E10),1)*T14,0)</f>
        <v>0</v>
      </c>
      <c r="U267" s="88">
        <f>IF(U15&lt;&gt;"committed",(U266+T266)/2*IF($C17=TRUE,(1-'Get Started'!$E10),1)*U14,0)</f>
        <v>0</v>
      </c>
      <c r="V267" s="88">
        <f>IF(V15&lt;&gt;"committed",(V266+U266)/2*IF($C17=TRUE,(1-'Get Started'!$E10),1)*V14,0)</f>
        <v>0</v>
      </c>
      <c r="W267" s="88">
        <f>IF(W15&lt;&gt;"committed",(W266+V266)/2*IF($C17=TRUE,(1-'Get Started'!$E10),1)*W14,0)</f>
        <v>0</v>
      </c>
      <c r="X267" s="88">
        <f>IF(X15&lt;&gt;"committed",(X266+W266)/2*IF($C17=TRUE,(1-'Get Started'!$E10),1)*X14,0)</f>
        <v>0</v>
      </c>
      <c r="Y267" s="88">
        <f>IF(Y15&lt;&gt;"committed",(Y266+X266)/2*IF($C17=TRUE,(1-'Get Started'!$E10),1)*Y14,0)</f>
        <v>0</v>
      </c>
      <c r="Z267" s="88">
        <f>IF(Z15&lt;&gt;"committed",(Z266+Y266)/2*IF($C17=TRUE,(1-'Get Started'!$E10),1)*Z14,0)</f>
        <v>0</v>
      </c>
      <c r="AA267" s="88">
        <f>IF(AA15&lt;&gt;"committed",(AA266+Z266)/2*IF($C17=TRUE,(1-'Get Started'!$E10),1)*AA14,0)</f>
        <v>0</v>
      </c>
      <c r="AB267" s="88">
        <f>IF(AB15&lt;&gt;"committed",(AB266+AA266)/2*IF($C17=TRUE,(1-'Get Started'!$E10),1)*AB14,0)</f>
        <v>0</v>
      </c>
      <c r="AC267" s="88">
        <f>IF(AC15&lt;&gt;"committed",(AC266+AB266)/2*IF($C17=TRUE,(1-'Get Started'!$E10),1)*AC14,0)</f>
        <v>0</v>
      </c>
      <c r="AD267" s="88">
        <f>IF(AD15&lt;&gt;"committed",(AD266+AC266)/2*IF($C17=TRUE,(1-'Get Started'!$E10),1)*AD14,0)</f>
        <v>0</v>
      </c>
      <c r="AE267" s="88">
        <f>IF(AE15&lt;&gt;"committed",(AE266+AD266)/2*IF($C17=TRUE,(1-'Get Started'!$E10),1)*AE14,0)</f>
        <v>0</v>
      </c>
      <c r="AF267" s="88">
        <f>IF(AF15&lt;&gt;"committed",(AF266+AE266)/2*IF($C17=TRUE,(1-'Get Started'!$E10),1)*AF14,0)</f>
        <v>0</v>
      </c>
      <c r="AG267" s="88">
        <f>IF(AG15&lt;&gt;"committed",(AG266+AF266)/2*IF($C17=TRUE,(1-'Get Started'!$E10),1)*AG14,0)</f>
        <v>0</v>
      </c>
      <c r="AH267" s="88">
        <f>IF(AH15&lt;&gt;"committed",(AH266+AG266)/2*IF($C17=TRUE,(1-'Get Started'!$E10),1)*AH14,0)</f>
        <v>0</v>
      </c>
      <c r="AI267" s="88">
        <f>IF(AI15&lt;&gt;"committed",(AI266+AH266)/2*IF($C17=TRUE,(1-'Get Started'!$E10),1)*AI14,0)</f>
        <v>0</v>
      </c>
      <c r="AJ267" s="88">
        <f>IF(AJ15&lt;&gt;"committed",(AJ266+AI266)/2*IF($C17=TRUE,(1-'Get Started'!$E10),1)*AJ14,0)</f>
        <v>0</v>
      </c>
      <c r="AK267" s="88">
        <f>IF(AK15&lt;&gt;"committed",(AK266+AJ266)/2*IF($C17=TRUE,(1-'Get Started'!$E10),1)*AK14,0)</f>
        <v>0</v>
      </c>
      <c r="AL267" s="88">
        <f>IF(AL15&lt;&gt;"committed",(AL266+AK266)/2*IF($C17=TRUE,(1-'Get Started'!$E10),1)*AL14,0)</f>
        <v>0</v>
      </c>
      <c r="AM267" s="88">
        <f>IF(AM15&lt;&gt;"committed",(AM266+AL266)/2*IF($C17=TRUE,(1-'Get Started'!$E10),1)*AM14,0)</f>
        <v>0</v>
      </c>
      <c r="AN267" s="88">
        <f>IF(AN15&lt;&gt;"committed",(AN266+AM266)/2*IF($C17=TRUE,(1-'Get Started'!$E10),1)*AN14,0)</f>
        <v>0</v>
      </c>
      <c r="AO267" s="88">
        <f>IF(AO15&lt;&gt;"committed",(AO266+AN266)/2*IF($C17=TRUE,(1-'Get Started'!$E10),1)*AO14,0)</f>
        <v>0</v>
      </c>
      <c r="AP267" s="88">
        <f>IF(AP15&lt;&gt;"committed",(AP266+AO266)/2*IF($C17=TRUE,(1-'Get Started'!$E10),1)*AP14,0)</f>
        <v>0</v>
      </c>
      <c r="AQ267" s="88">
        <f>IF(AQ15&lt;&gt;"committed",(AQ266+AP266)/2*IF($C17=TRUE,(1-'Get Started'!$E10),1)*AQ14,0)</f>
        <v>0</v>
      </c>
      <c r="AR267" s="88">
        <f>IF(AR15&lt;&gt;"committed",(AR266+AQ266)/2*IF($C17=TRUE,(1-'Get Started'!$E10),1)*AR14,0)</f>
        <v>0</v>
      </c>
      <c r="AS267" s="88">
        <f>IF(AS15&lt;&gt;"committed",(AS266+AR266)/2*IF($C17=TRUE,(1-'Get Started'!$E10),1)*AS14,0)</f>
        <v>0</v>
      </c>
      <c r="AT267" s="88">
        <f>IF(AT15&lt;&gt;"committed",(AT266+AS266)/2*IF($C17=TRUE,(1-'Get Started'!$E10),1)*AT14,0)</f>
        <v>0</v>
      </c>
      <c r="AU267" s="88">
        <f>IF(AU15&lt;&gt;"committed",(AU266+AT266)/2*IF($C17=TRUE,(1-'Get Started'!$E10),1)*AU14,0)</f>
        <v>0</v>
      </c>
      <c r="AV267" s="88">
        <f>IF(AV15&lt;&gt;"committed",(AV266+AU266)/2*IF($C17=TRUE,(1-'Get Started'!$E10),1)*AV14,0)</f>
        <v>0</v>
      </c>
      <c r="AW267" s="88">
        <f>IF(AW15&lt;&gt;"committed",(AW266+AV266)/2*IF($C17=TRUE,(1-'Get Started'!$E10),1)*AW14,0)</f>
        <v>0</v>
      </c>
      <c r="AX267" s="88">
        <f>IF(AX15&lt;&gt;"committed",(AX266+AW266)/2*IF($C17=TRUE,(1-'Get Started'!$E10),1)*AX14,0)</f>
        <v>0</v>
      </c>
      <c r="AY267" s="88">
        <f>IF(AY15&lt;&gt;"committed",(AY266+AX266)/2*IF($C17=TRUE,(1-'Get Started'!$E10),1)*AY14,0)</f>
        <v>0</v>
      </c>
      <c r="AZ267" s="88">
        <f>IF(AZ15&lt;&gt;"committed",(AZ266+AY266)/2*IF($C17=TRUE,(1-'Get Started'!$E10),1)*AZ14,0)</f>
        <v>0</v>
      </c>
      <c r="BA267" s="88">
        <f>IF(BA15&lt;&gt;"committed",(BA266+AZ266)/2*IF($C17=TRUE,(1-'Get Started'!$E10),1)*BA14,0)</f>
        <v>0</v>
      </c>
      <c r="BB267" s="88">
        <f>IF(BB15&lt;&gt;"committed",(BB266+BA266)/2*IF($C17=TRUE,(1-'Get Started'!$E10),1)*BB14,0)</f>
        <v>0</v>
      </c>
      <c r="BC267" s="88">
        <f>IF(BC15&lt;&gt;"committed",(BC266+BB266)/2*IF($C17=TRUE,(1-'Get Started'!$E10),1)*BC14,0)</f>
        <v>0</v>
      </c>
      <c r="BD267" s="88">
        <f>IF(BD15&lt;&gt;"committed",(BD266+BC266)/2*IF($C17=TRUE,(1-'Get Started'!$E10),1)*BD14,0)</f>
        <v>0</v>
      </c>
      <c r="BE267" s="88">
        <f>IF(BE15&lt;&gt;"committed",(BE266+BD266)/2*IF($C17=TRUE,(1-'Get Started'!$E10),1)*BE14,0)</f>
        <v>0</v>
      </c>
      <c r="BF267" s="88">
        <f>IF(BF15&lt;&gt;"committed",(BF266+BE266)/2*IF($C17=TRUE,(1-'Get Started'!$E10),1)*BF14,0)</f>
        <v>0</v>
      </c>
      <c r="BG267" s="88">
        <f>IF(BG15&lt;&gt;"committed",(BG266+BF266)/2*IF($C17=TRUE,(1-'Get Started'!$E10),1)*BG14,0)</f>
        <v>0</v>
      </c>
      <c r="BH267" s="88">
        <f>IF(BH15&lt;&gt;"committed",(BH266+BG266)/2*IF($C17=TRUE,(1-'Get Started'!$E10),1)*BH14,0)</f>
        <v>0</v>
      </c>
      <c r="BI267" s="88">
        <f>IF(BI15&lt;&gt;"committed",(BI266+BH266)/2*IF($C17=TRUE,(1-'Get Started'!$E10),1)*BI14,0)</f>
        <v>0</v>
      </c>
      <c r="BJ267" s="88">
        <f>IF(BJ15&lt;&gt;"committed",(BJ266+BI266)/2*IF($C17=TRUE,(1-'Get Started'!$E10),1)*BJ14,0)</f>
        <v>0</v>
      </c>
      <c r="BK267" s="88">
        <f>IF(BK15&lt;&gt;"committed",(BK266+BJ266)/2*IF($C17=TRUE,(1-'Get Started'!$E10),1)*BK14,0)</f>
        <v>0</v>
      </c>
      <c r="BL267" s="88">
        <f>IF(BL15&lt;&gt;"committed",(BL266+BK266)/2*IF($C17=TRUE,(1-'Get Started'!$E10),1)*BL14,0)</f>
        <v>0</v>
      </c>
      <c r="BM267" s="88">
        <f>IF(BM15&lt;&gt;"committed",(BM266+BL266)/2*IF($C17=TRUE,(1-'Get Started'!$E10),1)*BM14,0)</f>
        <v>0</v>
      </c>
      <c r="BN267" s="88">
        <f>IF(BN15&lt;&gt;"committed",(BN266+BM266)/2*IF($C17=TRUE,(1-'Get Started'!$E10),1)*BN14,0)</f>
        <v>0</v>
      </c>
      <c r="BO267" s="88">
        <f>IF(BO15&lt;&gt;"committed",(BO266+BN266)/2*IF($C17=TRUE,(1-'Get Started'!$E10),1)*BO14,0)</f>
        <v>0</v>
      </c>
      <c r="BP267" s="88">
        <f>IF(BP15&lt;&gt;"committed",(BP266+BO266)/2*IF($C17=TRUE,(1-'Get Started'!$E10),1)*BP14,0)</f>
        <v>0</v>
      </c>
      <c r="BQ267" s="88">
        <f>IF(BQ15&lt;&gt;"committed",(BQ266+BP266)/2*IF($C17=TRUE,(1-'Get Started'!$E10),1)*BQ14,0)</f>
        <v>0</v>
      </c>
      <c r="BR267" s="88">
        <f>IF(BR15&lt;&gt;"committed",(BR266+BQ266)/2*IF($C17=TRUE,(1-'Get Started'!$E10),1)*BR14,0)</f>
        <v>0</v>
      </c>
      <c r="BS267" s="88">
        <f>IF(BS15&lt;&gt;"committed",(BS266+BR266)/2*IF($C17=TRUE,(1-'Get Started'!$E10),1)*BS14,0)</f>
        <v>0</v>
      </c>
      <c r="BT267" s="88">
        <f>IF(BT15&lt;&gt;"committed",(BT266+BS266)/2*IF($C17=TRUE,(1-'Get Started'!$E10),1)*BT14,0)</f>
        <v>0</v>
      </c>
      <c r="BU267" s="88">
        <f>IF(BU15&lt;&gt;"committed",(BU266+BT266)/2*IF($C17=TRUE,(1-'Get Started'!$E10),1)*BU14,0)</f>
        <v>0</v>
      </c>
      <c r="BV267" s="88">
        <f>IF(BV15&lt;&gt;"committed",(BV266+BU266)/2*IF($C17=TRUE,(1-'Get Started'!$E10),1)*BV14,0)</f>
        <v>0</v>
      </c>
      <c r="BW267" s="88">
        <f>IF(BW15&lt;&gt;"committed",(BW266+BV266)/2*IF($C17=TRUE,(1-'Get Started'!$E10),1)*BW14,0)</f>
        <v>0</v>
      </c>
      <c r="BX267" s="88">
        <f>IF(BX15&lt;&gt;"committed",(BX266+BW266)/2*IF($C17=TRUE,(1-'Get Started'!$E10),1)*BX14,0)</f>
        <v>0</v>
      </c>
      <c r="BY267" s="88">
        <f>IF(BY15&lt;&gt;"committed",(BY266+BX266)/2*IF($C17=TRUE,(1-'Get Started'!$E10),1)*BY14,0)</f>
        <v>0</v>
      </c>
      <c r="BZ267" s="88">
        <f>IF(BZ15&lt;&gt;"committed",(BZ266+BY266)/2*IF($C17=TRUE,(1-'Get Started'!$E10),1)*BZ14,0)</f>
        <v>0</v>
      </c>
      <c r="CA267" s="88">
        <f>IF(CA15&lt;&gt;"committed",(CA266+BZ266)/2*IF($C17=TRUE,(1-'Get Started'!$E10),1)*CA14,0)</f>
        <v>0</v>
      </c>
      <c r="CB267" s="88">
        <f>IF(CB15&lt;&gt;"committed",(CB266+CA266)/2*IF($C17=TRUE,(1-'Get Started'!$E10),1)*CB14,0)</f>
        <v>0</v>
      </c>
      <c r="CC267" s="88">
        <f>IF(CC15&lt;&gt;"committed",(CC266+CB266)/2*IF($C17=TRUE,(1-'Get Started'!$E10),1)*CC14,0)</f>
        <v>0</v>
      </c>
      <c r="CD267" s="88">
        <f>IF(CD15&lt;&gt;"committed",(CD266+CC266)/2*IF($C17=TRUE,(1-'Get Started'!$E10),1)*CD14,0)</f>
        <v>0</v>
      </c>
      <c r="CE267" s="88">
        <f>IF(CE15&lt;&gt;"committed",(CE266+CD266)/2*IF($C17=TRUE,(1-'Get Started'!$E10),1)*CE14,0)</f>
        <v>0</v>
      </c>
      <c r="CF267" s="88">
        <f>IF(CF15&lt;&gt;"committed",(CF266+CE266)/2*IF($C17=TRUE,(1-'Get Started'!$E10),1)*CF14,0)</f>
        <v>0</v>
      </c>
      <c r="CG267" s="88">
        <f>IF(CG15&lt;&gt;"committed",(CG266+CF266)/2*IF($C17=TRUE,(1-'Get Started'!$E10),1)*CG14,0)</f>
        <v>0</v>
      </c>
      <c r="CH267" s="88">
        <f>IF(CH15&lt;&gt;"committed",(CH266+CG266)/2*IF($C17=TRUE,(1-'Get Started'!$E10),1)*CH14,0)</f>
        <v>0</v>
      </c>
    </row>
    <row r="268" spans="1:86" ht="13" outlineLevel="1">
      <c r="B268" s="15"/>
      <c r="C268" s="15"/>
      <c r="D268" s="15"/>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c r="CE268" s="29"/>
      <c r="CF268" s="29"/>
      <c r="CG268" s="29"/>
      <c r="CH268" s="29"/>
    </row>
    <row r="269" spans="1:86" ht="13">
      <c r="B269" s="15"/>
      <c r="C269" s="15"/>
      <c r="D269" s="15"/>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c r="CE269" s="29"/>
      <c r="CF269" s="29"/>
      <c r="CG269" s="29"/>
      <c r="CH269" s="29"/>
    </row>
  </sheetData>
  <dataValidations count="4">
    <dataValidation type="list" allowBlank="1" sqref="D93" xr:uid="{00000000-0002-0000-0900-000000000000}">
      <formula1>"sum,final,initial,average,max"</formula1>
    </dataValidation>
    <dataValidation type="list" allowBlank="1" sqref="D8:D11 D14:D20 D22:D28 D30:D87 D89:D92 D95:D185 D188:D194 D197:D201 D204:D210 D215:D243 D246:D267" xr:uid="{00000000-0002-0000-0900-000001000000}">
      <formula1>"sum,final,initial,average"</formula1>
    </dataValidation>
    <dataValidation type="list" allowBlank="1" showInputMessage="1" showErrorMessage="1" prompt="You can change the method used to calculate management fees per year. Note, if you choose &quot;called&quot; or &quot;assets under management&quot; (specifically, current invested capital), that creates a circular reference given the nature of how those fees are calculated (" sqref="G15:CH15" xr:uid="{00000000-0002-0000-0900-000002000000}">
      <formula1>"committed,called,assets under management"</formula1>
    </dataValidation>
    <dataValidation type="list" allowBlank="1" sqref="C187" xr:uid="{00000000-0002-0000-0900-000003000000}">
      <formula1>"Total Fund (European),Deal-by-deal with clawback (American),Deal-by-deal no clawback (SPVs)"</formula1>
    </dataValidation>
  </dataValidations>
  <hyperlinks>
    <hyperlink ref="C9"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H40"/>
  <sheetViews>
    <sheetView showGridLines="0" workbookViewId="0"/>
  </sheetViews>
  <sheetFormatPr baseColWidth="10" defaultColWidth="12.6640625" defaultRowHeight="15.75" customHeight="1"/>
  <cols>
    <col min="1" max="1" width="4.33203125" customWidth="1"/>
    <col min="2" max="2" width="30.1640625" customWidth="1"/>
    <col min="3" max="3" width="12.5" customWidth="1"/>
    <col min="4" max="4" width="10.33203125" customWidth="1"/>
    <col min="5" max="5" width="11" customWidth="1"/>
    <col min="6" max="6" width="9" customWidth="1"/>
  </cols>
  <sheetData>
    <row r="1" spans="1:86" ht="15.75" customHeight="1">
      <c r="A1" s="1"/>
      <c r="B1" s="68"/>
    </row>
    <row r="2" spans="1:86">
      <c r="B2" s="2" t="s">
        <v>359</v>
      </c>
      <c r="C2" s="15" t="s">
        <v>360</v>
      </c>
    </row>
    <row r="4" spans="1:86" ht="15.75" customHeight="1">
      <c r="A4" s="15"/>
      <c r="B4" s="22" t="str">
        <f>Forecast!B4</f>
        <v>Relative Quarter</v>
      </c>
      <c r="C4" s="69"/>
      <c r="D4" s="70"/>
      <c r="E4" s="70"/>
      <c r="F4" s="71"/>
      <c r="G4" s="72">
        <f>Forecast!G4</f>
        <v>1</v>
      </c>
      <c r="H4" s="72">
        <f>Forecast!H4</f>
        <v>2</v>
      </c>
      <c r="I4" s="72">
        <f>Forecast!I4</f>
        <v>3</v>
      </c>
      <c r="J4" s="72">
        <f>Forecast!J4</f>
        <v>4</v>
      </c>
      <c r="K4" s="72">
        <f>Forecast!K4</f>
        <v>5</v>
      </c>
      <c r="L4" s="72">
        <f>Forecast!L4</f>
        <v>6</v>
      </c>
      <c r="M4" s="72">
        <f>Forecast!M4</f>
        <v>7</v>
      </c>
      <c r="N4" s="72">
        <f>Forecast!N4</f>
        <v>8</v>
      </c>
      <c r="O4" s="72">
        <f>Forecast!O4</f>
        <v>9</v>
      </c>
      <c r="P4" s="72">
        <f>Forecast!P4</f>
        <v>10</v>
      </c>
      <c r="Q4" s="72">
        <f>Forecast!Q4</f>
        <v>11</v>
      </c>
      <c r="R4" s="72">
        <f>Forecast!R4</f>
        <v>12</v>
      </c>
      <c r="S4" s="72">
        <f>Forecast!S4</f>
        <v>13</v>
      </c>
      <c r="T4" s="72">
        <f>Forecast!T4</f>
        <v>14</v>
      </c>
      <c r="U4" s="72">
        <f>Forecast!U4</f>
        <v>15</v>
      </c>
      <c r="V4" s="72">
        <f>Forecast!V4</f>
        <v>16</v>
      </c>
      <c r="W4" s="72">
        <f>Forecast!W4</f>
        <v>17</v>
      </c>
      <c r="X4" s="72">
        <f>Forecast!X4</f>
        <v>18</v>
      </c>
      <c r="Y4" s="72">
        <f>Forecast!Y4</f>
        <v>19</v>
      </c>
      <c r="Z4" s="72">
        <f>Forecast!Z4</f>
        <v>20</v>
      </c>
      <c r="AA4" s="72">
        <f>Forecast!AA4</f>
        <v>21</v>
      </c>
      <c r="AB4" s="72">
        <f>Forecast!AB4</f>
        <v>22</v>
      </c>
      <c r="AC4" s="72">
        <f>Forecast!AC4</f>
        <v>23</v>
      </c>
      <c r="AD4" s="72">
        <f>Forecast!AD4</f>
        <v>24</v>
      </c>
      <c r="AE4" s="72">
        <f>Forecast!AE4</f>
        <v>25</v>
      </c>
      <c r="AF4" s="72">
        <f>Forecast!AF4</f>
        <v>26</v>
      </c>
      <c r="AG4" s="72">
        <f>Forecast!AG4</f>
        <v>27</v>
      </c>
      <c r="AH4" s="72">
        <f>Forecast!AH4</f>
        <v>28</v>
      </c>
      <c r="AI4" s="72">
        <f>Forecast!AI4</f>
        <v>29</v>
      </c>
      <c r="AJ4" s="72">
        <f>Forecast!AJ4</f>
        <v>30</v>
      </c>
      <c r="AK4" s="72">
        <f>Forecast!AK4</f>
        <v>31</v>
      </c>
      <c r="AL4" s="72">
        <f>Forecast!AL4</f>
        <v>32</v>
      </c>
      <c r="AM4" s="72">
        <f>Forecast!AM4</f>
        <v>33</v>
      </c>
      <c r="AN4" s="72">
        <f>Forecast!AN4</f>
        <v>34</v>
      </c>
      <c r="AO4" s="72">
        <f>Forecast!AO4</f>
        <v>35</v>
      </c>
      <c r="AP4" s="72">
        <f>Forecast!AP4</f>
        <v>36</v>
      </c>
      <c r="AQ4" s="72">
        <f>Forecast!AQ4</f>
        <v>37</v>
      </c>
      <c r="AR4" s="72">
        <f>Forecast!AR4</f>
        <v>38</v>
      </c>
      <c r="AS4" s="72">
        <f>Forecast!AS4</f>
        <v>39</v>
      </c>
      <c r="AT4" s="72">
        <f>Forecast!AT4</f>
        <v>40</v>
      </c>
      <c r="AU4" s="72">
        <f>Forecast!AU4</f>
        <v>41</v>
      </c>
      <c r="AV4" s="72">
        <f>Forecast!AV4</f>
        <v>42</v>
      </c>
      <c r="AW4" s="72">
        <f>Forecast!AW4</f>
        <v>43</v>
      </c>
      <c r="AX4" s="72">
        <f>Forecast!AX4</f>
        <v>44</v>
      </c>
      <c r="AY4" s="72">
        <f>Forecast!AY4</f>
        <v>45</v>
      </c>
      <c r="AZ4" s="72">
        <f>Forecast!AZ4</f>
        <v>46</v>
      </c>
      <c r="BA4" s="72">
        <f>Forecast!BA4</f>
        <v>47</v>
      </c>
      <c r="BB4" s="72">
        <f>Forecast!BB4</f>
        <v>48</v>
      </c>
      <c r="BC4" s="72">
        <f>Forecast!BC4</f>
        <v>49</v>
      </c>
      <c r="BD4" s="72">
        <f>Forecast!BD4</f>
        <v>50</v>
      </c>
      <c r="BE4" s="72">
        <f>Forecast!BE4</f>
        <v>51</v>
      </c>
      <c r="BF4" s="72">
        <f>Forecast!BF4</f>
        <v>52</v>
      </c>
      <c r="BG4" s="72">
        <f>Forecast!BG4</f>
        <v>53</v>
      </c>
      <c r="BH4" s="72">
        <f>Forecast!BH4</f>
        <v>54</v>
      </c>
      <c r="BI4" s="72">
        <f>Forecast!BI4</f>
        <v>55</v>
      </c>
      <c r="BJ4" s="72">
        <f>Forecast!BJ4</f>
        <v>56</v>
      </c>
      <c r="BK4" s="72">
        <f>Forecast!BK4</f>
        <v>57</v>
      </c>
      <c r="BL4" s="72">
        <f>Forecast!BL4</f>
        <v>58</v>
      </c>
      <c r="BM4" s="72">
        <f>Forecast!BM4</f>
        <v>59</v>
      </c>
      <c r="BN4" s="72">
        <f>Forecast!BN4</f>
        <v>60</v>
      </c>
      <c r="BO4" s="72">
        <f>Forecast!BO4</f>
        <v>61</v>
      </c>
      <c r="BP4" s="72">
        <f>Forecast!BP4</f>
        <v>62</v>
      </c>
      <c r="BQ4" s="72">
        <f>Forecast!BQ4</f>
        <v>63</v>
      </c>
      <c r="BR4" s="72">
        <f>Forecast!BR4</f>
        <v>64</v>
      </c>
      <c r="BS4" s="72">
        <f>Forecast!BS4</f>
        <v>65</v>
      </c>
      <c r="BT4" s="72">
        <f>Forecast!BT4</f>
        <v>66</v>
      </c>
      <c r="BU4" s="72">
        <f>Forecast!BU4</f>
        <v>67</v>
      </c>
      <c r="BV4" s="72">
        <f>Forecast!BV4</f>
        <v>68</v>
      </c>
      <c r="BW4" s="72">
        <f>Forecast!BW4</f>
        <v>69</v>
      </c>
      <c r="BX4" s="72">
        <f>Forecast!BX4</f>
        <v>70</v>
      </c>
      <c r="BY4" s="72">
        <f>Forecast!BY4</f>
        <v>71</v>
      </c>
      <c r="BZ4" s="72">
        <f>Forecast!BZ4</f>
        <v>72</v>
      </c>
      <c r="CA4" s="72">
        <f>Forecast!CA4</f>
        <v>73</v>
      </c>
      <c r="CB4" s="72">
        <f>Forecast!CB4</f>
        <v>74</v>
      </c>
      <c r="CC4" s="72">
        <f>Forecast!CC4</f>
        <v>75</v>
      </c>
      <c r="CD4" s="72">
        <f>Forecast!CD4</f>
        <v>76</v>
      </c>
      <c r="CE4" s="72">
        <f>Forecast!CE4</f>
        <v>77</v>
      </c>
      <c r="CF4" s="72">
        <f>Forecast!CF4</f>
        <v>78</v>
      </c>
      <c r="CG4" s="72">
        <f>Forecast!CG4</f>
        <v>79</v>
      </c>
      <c r="CH4" s="72">
        <f>Forecast!CH4</f>
        <v>80</v>
      </c>
    </row>
    <row r="5" spans="1:86" ht="15.75" customHeight="1">
      <c r="B5" s="15" t="str">
        <f>Forecast!B5</f>
        <v>Date at end of period</v>
      </c>
      <c r="C5" s="15"/>
      <c r="F5" s="73"/>
      <c r="G5" s="94">
        <f ca="1">Forecast!G5</f>
        <v>46022</v>
      </c>
      <c r="H5" s="75">
        <f ca="1">Forecast!H5</f>
        <v>46112</v>
      </c>
      <c r="I5" s="75">
        <f ca="1">Forecast!I5</f>
        <v>46203</v>
      </c>
      <c r="J5" s="75">
        <f ca="1">Forecast!J5</f>
        <v>46295</v>
      </c>
      <c r="K5" s="75">
        <f ca="1">Forecast!K5</f>
        <v>46387</v>
      </c>
      <c r="L5" s="75">
        <f ca="1">Forecast!L5</f>
        <v>46477</v>
      </c>
      <c r="M5" s="75">
        <f ca="1">Forecast!M5</f>
        <v>46568</v>
      </c>
      <c r="N5" s="75">
        <f ca="1">Forecast!N5</f>
        <v>46660</v>
      </c>
      <c r="O5" s="75">
        <f ca="1">Forecast!O5</f>
        <v>46752</v>
      </c>
      <c r="P5" s="75">
        <f ca="1">Forecast!P5</f>
        <v>46843</v>
      </c>
      <c r="Q5" s="75">
        <f ca="1">Forecast!Q5</f>
        <v>46934</v>
      </c>
      <c r="R5" s="75">
        <f ca="1">Forecast!R5</f>
        <v>47026</v>
      </c>
      <c r="S5" s="75">
        <f ca="1">Forecast!S5</f>
        <v>47118</v>
      </c>
      <c r="T5" s="75">
        <f ca="1">Forecast!T5</f>
        <v>47208</v>
      </c>
      <c r="U5" s="75">
        <f ca="1">Forecast!U5</f>
        <v>47299</v>
      </c>
      <c r="V5" s="75">
        <f ca="1">Forecast!V5</f>
        <v>47391</v>
      </c>
      <c r="W5" s="75">
        <f ca="1">Forecast!W5</f>
        <v>47483</v>
      </c>
      <c r="X5" s="75">
        <f ca="1">Forecast!X5</f>
        <v>47573</v>
      </c>
      <c r="Y5" s="75">
        <f ca="1">Forecast!Y5</f>
        <v>47664</v>
      </c>
      <c r="Z5" s="75">
        <f ca="1">Forecast!Z5</f>
        <v>47756</v>
      </c>
      <c r="AA5" s="75">
        <f ca="1">Forecast!AA5</f>
        <v>47848</v>
      </c>
      <c r="AB5" s="75">
        <f ca="1">Forecast!AB5</f>
        <v>47938</v>
      </c>
      <c r="AC5" s="75">
        <f ca="1">Forecast!AC5</f>
        <v>48029</v>
      </c>
      <c r="AD5" s="75">
        <f ca="1">Forecast!AD5</f>
        <v>48121</v>
      </c>
      <c r="AE5" s="75">
        <f ca="1">Forecast!AE5</f>
        <v>48213</v>
      </c>
      <c r="AF5" s="75">
        <f ca="1">Forecast!AF5</f>
        <v>48304</v>
      </c>
      <c r="AG5" s="75">
        <f ca="1">Forecast!AG5</f>
        <v>48395</v>
      </c>
      <c r="AH5" s="75">
        <f ca="1">Forecast!AH5</f>
        <v>48487</v>
      </c>
      <c r="AI5" s="75">
        <f ca="1">Forecast!AI5</f>
        <v>48579</v>
      </c>
      <c r="AJ5" s="75">
        <f ca="1">Forecast!AJ5</f>
        <v>48669</v>
      </c>
      <c r="AK5" s="75">
        <f ca="1">Forecast!AK5</f>
        <v>48760</v>
      </c>
      <c r="AL5" s="75">
        <f ca="1">Forecast!AL5</f>
        <v>48852</v>
      </c>
      <c r="AM5" s="75">
        <f ca="1">Forecast!AM5</f>
        <v>48944</v>
      </c>
      <c r="AN5" s="75">
        <f ca="1">Forecast!AN5</f>
        <v>49034</v>
      </c>
      <c r="AO5" s="75">
        <f ca="1">Forecast!AO5</f>
        <v>49125</v>
      </c>
      <c r="AP5" s="75">
        <f ca="1">Forecast!AP5</f>
        <v>49217</v>
      </c>
      <c r="AQ5" s="75">
        <f ca="1">Forecast!AQ5</f>
        <v>49309</v>
      </c>
      <c r="AR5" s="75">
        <f ca="1">Forecast!AR5</f>
        <v>49399</v>
      </c>
      <c r="AS5" s="75">
        <f ca="1">Forecast!AS5</f>
        <v>49490</v>
      </c>
      <c r="AT5" s="75">
        <f ca="1">Forecast!AT5</f>
        <v>49582</v>
      </c>
      <c r="AU5" s="75">
        <f ca="1">Forecast!AU5</f>
        <v>49674</v>
      </c>
      <c r="AV5" s="75">
        <f ca="1">Forecast!AV5</f>
        <v>49765</v>
      </c>
      <c r="AW5" s="75">
        <f ca="1">Forecast!AW5</f>
        <v>49856</v>
      </c>
      <c r="AX5" s="75">
        <f ca="1">Forecast!AX5</f>
        <v>49948</v>
      </c>
      <c r="AY5" s="75">
        <f ca="1">Forecast!AY5</f>
        <v>50040</v>
      </c>
      <c r="AZ5" s="75">
        <f ca="1">Forecast!AZ5</f>
        <v>50130</v>
      </c>
      <c r="BA5" s="75">
        <f ca="1">Forecast!BA5</f>
        <v>50221</v>
      </c>
      <c r="BB5" s="75">
        <f ca="1">Forecast!BB5</f>
        <v>50313</v>
      </c>
      <c r="BC5" s="75">
        <f ca="1">Forecast!BC5</f>
        <v>50405</v>
      </c>
      <c r="BD5" s="75">
        <f ca="1">Forecast!BD5</f>
        <v>50495</v>
      </c>
      <c r="BE5" s="75">
        <f ca="1">Forecast!BE5</f>
        <v>50586</v>
      </c>
      <c r="BF5" s="75">
        <f ca="1">Forecast!BF5</f>
        <v>50678</v>
      </c>
      <c r="BG5" s="75">
        <f ca="1">Forecast!BG5</f>
        <v>50770</v>
      </c>
      <c r="BH5" s="75">
        <f ca="1">Forecast!BH5</f>
        <v>50860</v>
      </c>
      <c r="BI5" s="75">
        <f ca="1">Forecast!BI5</f>
        <v>50951</v>
      </c>
      <c r="BJ5" s="75">
        <f ca="1">Forecast!BJ5</f>
        <v>51043</v>
      </c>
      <c r="BK5" s="75">
        <f ca="1">Forecast!BK5</f>
        <v>51135</v>
      </c>
      <c r="BL5" s="75">
        <f ca="1">Forecast!BL5</f>
        <v>51226</v>
      </c>
      <c r="BM5" s="75">
        <f ca="1">Forecast!BM5</f>
        <v>51317</v>
      </c>
      <c r="BN5" s="75">
        <f ca="1">Forecast!BN5</f>
        <v>51409</v>
      </c>
      <c r="BO5" s="75">
        <f ca="1">Forecast!BO5</f>
        <v>51501</v>
      </c>
      <c r="BP5" s="75">
        <f ca="1">Forecast!BP5</f>
        <v>51591</v>
      </c>
      <c r="BQ5" s="75">
        <f ca="1">Forecast!BQ5</f>
        <v>51682</v>
      </c>
      <c r="BR5" s="75">
        <f ca="1">Forecast!BR5</f>
        <v>51774</v>
      </c>
      <c r="BS5" s="75">
        <f ca="1">Forecast!BS5</f>
        <v>51866</v>
      </c>
      <c r="BT5" s="75">
        <f ca="1">Forecast!BT5</f>
        <v>51956</v>
      </c>
      <c r="BU5" s="75">
        <f ca="1">Forecast!BU5</f>
        <v>52047</v>
      </c>
      <c r="BV5" s="75">
        <f ca="1">Forecast!BV5</f>
        <v>52139</v>
      </c>
      <c r="BW5" s="75">
        <f ca="1">Forecast!BW5</f>
        <v>52231</v>
      </c>
      <c r="BX5" s="75">
        <f ca="1">Forecast!BX5</f>
        <v>52321</v>
      </c>
      <c r="BY5" s="75">
        <f ca="1">Forecast!BY5</f>
        <v>52412</v>
      </c>
      <c r="BZ5" s="75">
        <f ca="1">Forecast!BZ5</f>
        <v>52504</v>
      </c>
      <c r="CA5" s="75">
        <f ca="1">Forecast!CA5</f>
        <v>52596</v>
      </c>
      <c r="CB5" s="75">
        <f ca="1">Forecast!CB5</f>
        <v>52687</v>
      </c>
      <c r="CC5" s="75">
        <f ca="1">Forecast!CC5</f>
        <v>52778</v>
      </c>
      <c r="CD5" s="75">
        <f ca="1">Forecast!CD5</f>
        <v>52870</v>
      </c>
      <c r="CE5" s="75">
        <f ca="1">Forecast!CE5</f>
        <v>52962</v>
      </c>
      <c r="CF5" s="75">
        <f ca="1">Forecast!CF5</f>
        <v>53052</v>
      </c>
      <c r="CG5" s="75">
        <f ca="1">Forecast!CG5</f>
        <v>53143</v>
      </c>
      <c r="CH5" s="75">
        <f ca="1">Forecast!CH5</f>
        <v>53235</v>
      </c>
    </row>
    <row r="6" spans="1:86" ht="15.75" customHeight="1">
      <c r="B6" s="15"/>
      <c r="C6" s="15"/>
      <c r="D6" s="15"/>
      <c r="E6" s="15"/>
      <c r="F6" s="73"/>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row>
    <row r="7" spans="1:86" ht="15.75" customHeight="1">
      <c r="B7" s="68" t="s">
        <v>361</v>
      </c>
      <c r="C7" s="15"/>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row>
    <row r="8" spans="1:86" ht="15.75" customHeight="1">
      <c r="B8" s="15" t="s">
        <v>242</v>
      </c>
      <c r="C8" s="15"/>
      <c r="D8" s="15" t="s">
        <v>238</v>
      </c>
      <c r="E8" s="29">
        <f t="shared" ref="E8:E10" si="0">IF(D8="sum",SUM(G8:CH8),IF(D8="final",CH8,IF(D8="initial",G8,IF(D8="average",AVERAGE(G8:CH8),0))))</f>
        <v>4900000</v>
      </c>
      <c r="F8" s="29"/>
      <c r="G8" s="29">
        <f>Forecast!G41*(1-Forecast!G18)</f>
        <v>122500</v>
      </c>
      <c r="H8" s="29">
        <f>Forecast!H41*(1-Forecast!H18)</f>
        <v>122500</v>
      </c>
      <c r="I8" s="29">
        <f>Forecast!I41*(1-Forecast!I18)</f>
        <v>122500</v>
      </c>
      <c r="J8" s="29">
        <f>Forecast!J41*(1-Forecast!J18)</f>
        <v>122500</v>
      </c>
      <c r="K8" s="29">
        <f>Forecast!K41*(1-Forecast!K18)</f>
        <v>122500</v>
      </c>
      <c r="L8" s="29">
        <f>Forecast!L41*(1-Forecast!L18)</f>
        <v>122500</v>
      </c>
      <c r="M8" s="29">
        <f>Forecast!M41*(1-Forecast!M18)</f>
        <v>122500</v>
      </c>
      <c r="N8" s="29">
        <f>Forecast!N41*(1-Forecast!N18)</f>
        <v>122500</v>
      </c>
      <c r="O8" s="29">
        <f>Forecast!O41*(1-Forecast!O18)</f>
        <v>122500</v>
      </c>
      <c r="P8" s="29">
        <f>Forecast!P41*(1-Forecast!P18)</f>
        <v>122500</v>
      </c>
      <c r="Q8" s="29">
        <f>Forecast!Q41*(1-Forecast!Q18)</f>
        <v>122500</v>
      </c>
      <c r="R8" s="29">
        <f>Forecast!R41*(1-Forecast!R18)</f>
        <v>122500</v>
      </c>
      <c r="S8" s="29">
        <f>Forecast!S41*(1-Forecast!S18)</f>
        <v>122500</v>
      </c>
      <c r="T8" s="29">
        <f>Forecast!T41*(1-Forecast!T18)</f>
        <v>122500</v>
      </c>
      <c r="U8" s="29">
        <f>Forecast!U41*(1-Forecast!U18)</f>
        <v>122500</v>
      </c>
      <c r="V8" s="29">
        <f>Forecast!V41*(1-Forecast!V18)</f>
        <v>122500</v>
      </c>
      <c r="W8" s="29">
        <f>Forecast!W41*(1-Forecast!W18)</f>
        <v>122500</v>
      </c>
      <c r="X8" s="29">
        <f>Forecast!X41*(1-Forecast!X18)</f>
        <v>122500</v>
      </c>
      <c r="Y8" s="29">
        <f>Forecast!Y41*(1-Forecast!Y18)</f>
        <v>122500</v>
      </c>
      <c r="Z8" s="29">
        <f>Forecast!Z41*(1-Forecast!Z18)</f>
        <v>122500</v>
      </c>
      <c r="AA8" s="29">
        <f>Forecast!AA41*(1-Forecast!AA18)</f>
        <v>122500</v>
      </c>
      <c r="AB8" s="29">
        <f>Forecast!AB41*(1-Forecast!AB18)</f>
        <v>122500</v>
      </c>
      <c r="AC8" s="29">
        <f>Forecast!AC41*(1-Forecast!AC18)</f>
        <v>122500</v>
      </c>
      <c r="AD8" s="29">
        <f>Forecast!AD41*(1-Forecast!AD18)</f>
        <v>122500</v>
      </c>
      <c r="AE8" s="29">
        <f>Forecast!AE41*(1-Forecast!AE18)</f>
        <v>122500</v>
      </c>
      <c r="AF8" s="29">
        <f>Forecast!AF41*(1-Forecast!AF18)</f>
        <v>122500</v>
      </c>
      <c r="AG8" s="29">
        <f>Forecast!AG41*(1-Forecast!AG18)</f>
        <v>122500</v>
      </c>
      <c r="AH8" s="29">
        <f>Forecast!AH41*(1-Forecast!AH18)</f>
        <v>122500</v>
      </c>
      <c r="AI8" s="29">
        <f>Forecast!AI41*(1-Forecast!AI18)</f>
        <v>122500</v>
      </c>
      <c r="AJ8" s="29">
        <f>Forecast!AJ41*(1-Forecast!AJ18)</f>
        <v>122500</v>
      </c>
      <c r="AK8" s="29">
        <f>Forecast!AK41*(1-Forecast!AK18)</f>
        <v>122500</v>
      </c>
      <c r="AL8" s="29">
        <f>Forecast!AL41*(1-Forecast!AL18)</f>
        <v>122500</v>
      </c>
      <c r="AM8" s="29">
        <f>Forecast!AM41*(1-Forecast!AM18)</f>
        <v>122500</v>
      </c>
      <c r="AN8" s="29">
        <f>Forecast!AN41*(1-Forecast!AN18)</f>
        <v>122500</v>
      </c>
      <c r="AO8" s="29">
        <f>Forecast!AO41*(1-Forecast!AO18)</f>
        <v>122500</v>
      </c>
      <c r="AP8" s="29">
        <f>Forecast!AP41*(1-Forecast!AP18)</f>
        <v>122500</v>
      </c>
      <c r="AQ8" s="29">
        <f>Forecast!AQ41*(1-Forecast!AQ18)</f>
        <v>122500</v>
      </c>
      <c r="AR8" s="29">
        <f>Forecast!AR41*(1-Forecast!AR18)</f>
        <v>122500</v>
      </c>
      <c r="AS8" s="29">
        <f>Forecast!AS41*(1-Forecast!AS18)</f>
        <v>122500</v>
      </c>
      <c r="AT8" s="29">
        <f>Forecast!AT41*(1-Forecast!AT18)</f>
        <v>122500</v>
      </c>
      <c r="AU8" s="29">
        <f>Forecast!AU41*(1-Forecast!AU18)</f>
        <v>0</v>
      </c>
      <c r="AV8" s="29">
        <f>Forecast!AV41*(1-Forecast!AV18)</f>
        <v>0</v>
      </c>
      <c r="AW8" s="29">
        <f>Forecast!AW41*(1-Forecast!AW18)</f>
        <v>0</v>
      </c>
      <c r="AX8" s="29">
        <f>Forecast!AX41*(1-Forecast!AX18)</f>
        <v>0</v>
      </c>
      <c r="AY8" s="29">
        <f>Forecast!AY41*(1-Forecast!AY18)</f>
        <v>0</v>
      </c>
      <c r="AZ8" s="29">
        <f>Forecast!AZ41*(1-Forecast!AZ18)</f>
        <v>0</v>
      </c>
      <c r="BA8" s="29">
        <f>Forecast!BA41*(1-Forecast!BA18)</f>
        <v>0</v>
      </c>
      <c r="BB8" s="29">
        <f>Forecast!BB41*(1-Forecast!BB18)</f>
        <v>0</v>
      </c>
      <c r="BC8" s="29">
        <f>Forecast!BC41*(1-Forecast!BC18)</f>
        <v>0</v>
      </c>
      <c r="BD8" s="29">
        <f>Forecast!BD41*(1-Forecast!BD18)</f>
        <v>0</v>
      </c>
      <c r="BE8" s="29">
        <f>Forecast!BE41*(1-Forecast!BE18)</f>
        <v>0</v>
      </c>
      <c r="BF8" s="29">
        <f>Forecast!BF41*(1-Forecast!BF18)</f>
        <v>0</v>
      </c>
      <c r="BG8" s="29">
        <f>Forecast!BG41*(1-Forecast!BG18)</f>
        <v>0</v>
      </c>
      <c r="BH8" s="29">
        <f>Forecast!BH41*(1-Forecast!BH18)</f>
        <v>0</v>
      </c>
      <c r="BI8" s="29">
        <f>Forecast!BI41*(1-Forecast!BI18)</f>
        <v>0</v>
      </c>
      <c r="BJ8" s="29">
        <f>Forecast!BJ41*(1-Forecast!BJ18)</f>
        <v>0</v>
      </c>
      <c r="BK8" s="29">
        <f>Forecast!BK41*(1-Forecast!BK18)</f>
        <v>0</v>
      </c>
      <c r="BL8" s="29">
        <f>Forecast!BL41*(1-Forecast!BL18)</f>
        <v>0</v>
      </c>
      <c r="BM8" s="29">
        <f>Forecast!BM41*(1-Forecast!BM18)</f>
        <v>0</v>
      </c>
      <c r="BN8" s="29">
        <f>Forecast!BN41*(1-Forecast!BN18)</f>
        <v>0</v>
      </c>
      <c r="BO8" s="29">
        <f>Forecast!BO41*(1-Forecast!BO18)</f>
        <v>0</v>
      </c>
      <c r="BP8" s="29">
        <f>Forecast!BP41*(1-Forecast!BP18)</f>
        <v>0</v>
      </c>
      <c r="BQ8" s="29">
        <f>Forecast!BQ41*(1-Forecast!BQ18)</f>
        <v>0</v>
      </c>
      <c r="BR8" s="29">
        <f>Forecast!BR41*(1-Forecast!BR18)</f>
        <v>0</v>
      </c>
      <c r="BS8" s="29">
        <f>Forecast!BS41*(1-Forecast!BS18)</f>
        <v>0</v>
      </c>
      <c r="BT8" s="29">
        <f>Forecast!BT41*(1-Forecast!BT18)</f>
        <v>0</v>
      </c>
      <c r="BU8" s="29">
        <f>Forecast!BU41*(1-Forecast!BU18)</f>
        <v>0</v>
      </c>
      <c r="BV8" s="29">
        <f>Forecast!BV41*(1-Forecast!BV18)</f>
        <v>0</v>
      </c>
      <c r="BW8" s="29">
        <f>Forecast!BW41*(1-Forecast!BW18)</f>
        <v>0</v>
      </c>
      <c r="BX8" s="29">
        <f>Forecast!BX41*(1-Forecast!BX18)</f>
        <v>0</v>
      </c>
      <c r="BY8" s="29">
        <f>Forecast!BY41*(1-Forecast!BY18)</f>
        <v>0</v>
      </c>
      <c r="BZ8" s="29">
        <f>Forecast!BZ41*(1-Forecast!BZ18)</f>
        <v>0</v>
      </c>
      <c r="CA8" s="29">
        <f>Forecast!CA41*(1-Forecast!CA18)</f>
        <v>0</v>
      </c>
      <c r="CB8" s="29">
        <f>Forecast!CB41*(1-Forecast!CB18)</f>
        <v>0</v>
      </c>
      <c r="CC8" s="29">
        <f>Forecast!CC41*(1-Forecast!CC18)</f>
        <v>0</v>
      </c>
      <c r="CD8" s="29">
        <f>Forecast!CD41*(1-Forecast!CD18)</f>
        <v>0</v>
      </c>
      <c r="CE8" s="29">
        <f>Forecast!CE41*(1-Forecast!CE18)</f>
        <v>0</v>
      </c>
      <c r="CF8" s="29">
        <f>Forecast!CF41*(1-Forecast!CF18)</f>
        <v>0</v>
      </c>
      <c r="CG8" s="29">
        <f>Forecast!CG41*(1-Forecast!CG18)</f>
        <v>0</v>
      </c>
      <c r="CH8" s="29">
        <f>Forecast!CH41*(1-Forecast!CH18)</f>
        <v>0</v>
      </c>
    </row>
    <row r="9" spans="1:86" ht="15.75" customHeight="1">
      <c r="B9" s="28" t="s">
        <v>362</v>
      </c>
      <c r="C9" s="15"/>
      <c r="D9" s="15" t="s">
        <v>238</v>
      </c>
      <c r="E9" s="29">
        <f t="shared" si="0"/>
        <v>0</v>
      </c>
      <c r="F9" s="29"/>
      <c r="G9" s="28">
        <v>0</v>
      </c>
      <c r="H9" s="28">
        <v>0</v>
      </c>
      <c r="I9" s="28">
        <v>0</v>
      </c>
      <c r="J9" s="28">
        <v>0</v>
      </c>
      <c r="K9" s="28">
        <v>0</v>
      </c>
      <c r="L9" s="28">
        <v>0</v>
      </c>
      <c r="M9" s="28">
        <v>0</v>
      </c>
      <c r="N9" s="28">
        <v>0</v>
      </c>
      <c r="O9" s="28">
        <v>0</v>
      </c>
      <c r="P9" s="28">
        <v>0</v>
      </c>
      <c r="Q9" s="28">
        <v>0</v>
      </c>
      <c r="R9" s="28">
        <v>0</v>
      </c>
      <c r="S9" s="28">
        <v>0</v>
      </c>
      <c r="T9" s="28">
        <v>0</v>
      </c>
      <c r="U9" s="28">
        <v>0</v>
      </c>
      <c r="V9" s="28">
        <v>0</v>
      </c>
      <c r="W9" s="28">
        <v>0</v>
      </c>
      <c r="X9" s="28">
        <v>0</v>
      </c>
      <c r="Y9" s="28">
        <v>0</v>
      </c>
      <c r="Z9" s="28">
        <v>0</v>
      </c>
      <c r="AA9" s="28">
        <v>0</v>
      </c>
      <c r="AB9" s="28">
        <v>0</v>
      </c>
      <c r="AC9" s="28">
        <v>0</v>
      </c>
      <c r="AD9" s="28">
        <v>0</v>
      </c>
      <c r="AE9" s="28">
        <v>0</v>
      </c>
      <c r="AF9" s="28">
        <v>0</v>
      </c>
      <c r="AG9" s="28">
        <v>0</v>
      </c>
      <c r="AH9" s="28">
        <v>0</v>
      </c>
      <c r="AI9" s="28">
        <v>0</v>
      </c>
      <c r="AJ9" s="28">
        <v>0</v>
      </c>
      <c r="AK9" s="28">
        <v>0</v>
      </c>
      <c r="AL9" s="28">
        <v>0</v>
      </c>
      <c r="AM9" s="28">
        <v>0</v>
      </c>
      <c r="AN9" s="28">
        <v>0</v>
      </c>
      <c r="AO9" s="28">
        <v>0</v>
      </c>
      <c r="AP9" s="28">
        <v>0</v>
      </c>
      <c r="AQ9" s="28">
        <v>0</v>
      </c>
      <c r="AR9" s="28">
        <v>0</v>
      </c>
      <c r="AS9" s="28">
        <v>0</v>
      </c>
      <c r="AT9" s="28">
        <v>0</v>
      </c>
      <c r="AU9" s="28">
        <v>0</v>
      </c>
      <c r="AV9" s="28">
        <v>0</v>
      </c>
      <c r="AW9" s="28">
        <v>0</v>
      </c>
      <c r="AX9" s="28">
        <v>0</v>
      </c>
      <c r="AY9" s="28">
        <v>0</v>
      </c>
      <c r="AZ9" s="28">
        <v>0</v>
      </c>
      <c r="BA9" s="28">
        <v>0</v>
      </c>
      <c r="BB9" s="28">
        <v>0</v>
      </c>
      <c r="BC9" s="28">
        <v>0</v>
      </c>
      <c r="BD9" s="28">
        <v>0</v>
      </c>
      <c r="BE9" s="28">
        <v>0</v>
      </c>
      <c r="BF9" s="28">
        <v>0</v>
      </c>
      <c r="BG9" s="28">
        <v>0</v>
      </c>
      <c r="BH9" s="28">
        <v>0</v>
      </c>
      <c r="BI9" s="28">
        <v>0</v>
      </c>
      <c r="BJ9" s="28">
        <v>0</v>
      </c>
      <c r="BK9" s="28">
        <v>0</v>
      </c>
      <c r="BL9" s="28">
        <v>0</v>
      </c>
      <c r="BM9" s="28">
        <v>0</v>
      </c>
      <c r="BN9" s="28">
        <v>0</v>
      </c>
      <c r="BO9" s="28">
        <v>0</v>
      </c>
      <c r="BP9" s="28">
        <v>0</v>
      </c>
      <c r="BQ9" s="28">
        <v>0</v>
      </c>
      <c r="BR9" s="28">
        <v>0</v>
      </c>
      <c r="BS9" s="28">
        <v>0</v>
      </c>
      <c r="BT9" s="28">
        <v>0</v>
      </c>
      <c r="BU9" s="28">
        <v>0</v>
      </c>
      <c r="BV9" s="28">
        <v>0</v>
      </c>
      <c r="BW9" s="28">
        <v>0</v>
      </c>
      <c r="BX9" s="28">
        <v>0</v>
      </c>
      <c r="BY9" s="28">
        <v>0</v>
      </c>
      <c r="BZ9" s="28">
        <v>0</v>
      </c>
      <c r="CA9" s="28">
        <v>0</v>
      </c>
      <c r="CB9" s="28">
        <v>0</v>
      </c>
      <c r="CC9" s="28">
        <v>0</v>
      </c>
      <c r="CD9" s="28">
        <v>0</v>
      </c>
      <c r="CE9" s="28">
        <v>0</v>
      </c>
      <c r="CF9" s="28">
        <v>0</v>
      </c>
      <c r="CG9" s="28">
        <v>0</v>
      </c>
      <c r="CH9" s="28">
        <v>0</v>
      </c>
    </row>
    <row r="10" spans="1:86" ht="15.75" customHeight="1">
      <c r="B10" s="15" t="s">
        <v>361</v>
      </c>
      <c r="C10" s="15"/>
      <c r="D10" s="15" t="s">
        <v>238</v>
      </c>
      <c r="E10" s="29">
        <f t="shared" si="0"/>
        <v>4900000</v>
      </c>
      <c r="F10" s="29"/>
      <c r="G10" s="80">
        <f t="shared" ref="G10:CH10" si="1">SUM(G8:G9)</f>
        <v>122500</v>
      </c>
      <c r="H10" s="80">
        <f t="shared" si="1"/>
        <v>122500</v>
      </c>
      <c r="I10" s="80">
        <f t="shared" si="1"/>
        <v>122500</v>
      </c>
      <c r="J10" s="80">
        <f t="shared" si="1"/>
        <v>122500</v>
      </c>
      <c r="K10" s="80">
        <f t="shared" si="1"/>
        <v>122500</v>
      </c>
      <c r="L10" s="80">
        <f t="shared" si="1"/>
        <v>122500</v>
      </c>
      <c r="M10" s="80">
        <f t="shared" si="1"/>
        <v>122500</v>
      </c>
      <c r="N10" s="80">
        <f t="shared" si="1"/>
        <v>122500</v>
      </c>
      <c r="O10" s="80">
        <f t="shared" si="1"/>
        <v>122500</v>
      </c>
      <c r="P10" s="80">
        <f t="shared" si="1"/>
        <v>122500</v>
      </c>
      <c r="Q10" s="80">
        <f t="shared" si="1"/>
        <v>122500</v>
      </c>
      <c r="R10" s="80">
        <f t="shared" si="1"/>
        <v>122500</v>
      </c>
      <c r="S10" s="80">
        <f t="shared" si="1"/>
        <v>122500</v>
      </c>
      <c r="T10" s="80">
        <f t="shared" si="1"/>
        <v>122500</v>
      </c>
      <c r="U10" s="80">
        <f t="shared" si="1"/>
        <v>122500</v>
      </c>
      <c r="V10" s="80">
        <f t="shared" si="1"/>
        <v>122500</v>
      </c>
      <c r="W10" s="80">
        <f t="shared" si="1"/>
        <v>122500</v>
      </c>
      <c r="X10" s="80">
        <f t="shared" si="1"/>
        <v>122500</v>
      </c>
      <c r="Y10" s="80">
        <f t="shared" si="1"/>
        <v>122500</v>
      </c>
      <c r="Z10" s="80">
        <f t="shared" si="1"/>
        <v>122500</v>
      </c>
      <c r="AA10" s="80">
        <f t="shared" si="1"/>
        <v>122500</v>
      </c>
      <c r="AB10" s="80">
        <f t="shared" si="1"/>
        <v>122500</v>
      </c>
      <c r="AC10" s="80">
        <f t="shared" si="1"/>
        <v>122500</v>
      </c>
      <c r="AD10" s="80">
        <f t="shared" si="1"/>
        <v>122500</v>
      </c>
      <c r="AE10" s="80">
        <f t="shared" si="1"/>
        <v>122500</v>
      </c>
      <c r="AF10" s="80">
        <f t="shared" si="1"/>
        <v>122500</v>
      </c>
      <c r="AG10" s="80">
        <f t="shared" si="1"/>
        <v>122500</v>
      </c>
      <c r="AH10" s="80">
        <f t="shared" si="1"/>
        <v>122500</v>
      </c>
      <c r="AI10" s="80">
        <f t="shared" si="1"/>
        <v>122500</v>
      </c>
      <c r="AJ10" s="80">
        <f t="shared" si="1"/>
        <v>122500</v>
      </c>
      <c r="AK10" s="80">
        <f t="shared" si="1"/>
        <v>122500</v>
      </c>
      <c r="AL10" s="80">
        <f t="shared" si="1"/>
        <v>122500</v>
      </c>
      <c r="AM10" s="80">
        <f t="shared" si="1"/>
        <v>122500</v>
      </c>
      <c r="AN10" s="80">
        <f t="shared" si="1"/>
        <v>122500</v>
      </c>
      <c r="AO10" s="80">
        <f t="shared" si="1"/>
        <v>122500</v>
      </c>
      <c r="AP10" s="80">
        <f t="shared" si="1"/>
        <v>122500</v>
      </c>
      <c r="AQ10" s="80">
        <f t="shared" si="1"/>
        <v>122500</v>
      </c>
      <c r="AR10" s="80">
        <f t="shared" si="1"/>
        <v>122500</v>
      </c>
      <c r="AS10" s="80">
        <f t="shared" si="1"/>
        <v>122500</v>
      </c>
      <c r="AT10" s="80">
        <f t="shared" si="1"/>
        <v>122500</v>
      </c>
      <c r="AU10" s="80">
        <f t="shared" si="1"/>
        <v>0</v>
      </c>
      <c r="AV10" s="80">
        <f t="shared" si="1"/>
        <v>0</v>
      </c>
      <c r="AW10" s="80">
        <f t="shared" si="1"/>
        <v>0</v>
      </c>
      <c r="AX10" s="80">
        <f t="shared" si="1"/>
        <v>0</v>
      </c>
      <c r="AY10" s="80">
        <f t="shared" si="1"/>
        <v>0</v>
      </c>
      <c r="AZ10" s="80">
        <f t="shared" si="1"/>
        <v>0</v>
      </c>
      <c r="BA10" s="80">
        <f t="shared" si="1"/>
        <v>0</v>
      </c>
      <c r="BB10" s="80">
        <f t="shared" si="1"/>
        <v>0</v>
      </c>
      <c r="BC10" s="80">
        <f t="shared" si="1"/>
        <v>0</v>
      </c>
      <c r="BD10" s="80">
        <f t="shared" si="1"/>
        <v>0</v>
      </c>
      <c r="BE10" s="80">
        <f t="shared" si="1"/>
        <v>0</v>
      </c>
      <c r="BF10" s="80">
        <f t="shared" si="1"/>
        <v>0</v>
      </c>
      <c r="BG10" s="80">
        <f t="shared" si="1"/>
        <v>0</v>
      </c>
      <c r="BH10" s="80">
        <f t="shared" si="1"/>
        <v>0</v>
      </c>
      <c r="BI10" s="80">
        <f t="shared" si="1"/>
        <v>0</v>
      </c>
      <c r="BJ10" s="80">
        <f t="shared" si="1"/>
        <v>0</v>
      </c>
      <c r="BK10" s="80">
        <f t="shared" si="1"/>
        <v>0</v>
      </c>
      <c r="BL10" s="80">
        <f t="shared" si="1"/>
        <v>0</v>
      </c>
      <c r="BM10" s="80">
        <f t="shared" si="1"/>
        <v>0</v>
      </c>
      <c r="BN10" s="80">
        <f t="shared" si="1"/>
        <v>0</v>
      </c>
      <c r="BO10" s="80">
        <f t="shared" si="1"/>
        <v>0</v>
      </c>
      <c r="BP10" s="80">
        <f t="shared" si="1"/>
        <v>0</v>
      </c>
      <c r="BQ10" s="80">
        <f t="shared" si="1"/>
        <v>0</v>
      </c>
      <c r="BR10" s="80">
        <f t="shared" si="1"/>
        <v>0</v>
      </c>
      <c r="BS10" s="80">
        <f t="shared" si="1"/>
        <v>0</v>
      </c>
      <c r="BT10" s="80">
        <f t="shared" si="1"/>
        <v>0</v>
      </c>
      <c r="BU10" s="80">
        <f t="shared" si="1"/>
        <v>0</v>
      </c>
      <c r="BV10" s="80">
        <f t="shared" si="1"/>
        <v>0</v>
      </c>
      <c r="BW10" s="80">
        <f t="shared" si="1"/>
        <v>0</v>
      </c>
      <c r="BX10" s="80">
        <f t="shared" si="1"/>
        <v>0</v>
      </c>
      <c r="BY10" s="80">
        <f t="shared" si="1"/>
        <v>0</v>
      </c>
      <c r="BZ10" s="80">
        <f t="shared" si="1"/>
        <v>0</v>
      </c>
      <c r="CA10" s="80">
        <f t="shared" si="1"/>
        <v>0</v>
      </c>
      <c r="CB10" s="80">
        <f t="shared" si="1"/>
        <v>0</v>
      </c>
      <c r="CC10" s="80">
        <f t="shared" si="1"/>
        <v>0</v>
      </c>
      <c r="CD10" s="80">
        <f t="shared" si="1"/>
        <v>0</v>
      </c>
      <c r="CE10" s="80">
        <f t="shared" si="1"/>
        <v>0</v>
      </c>
      <c r="CF10" s="80">
        <f t="shared" si="1"/>
        <v>0</v>
      </c>
      <c r="CG10" s="80">
        <f t="shared" si="1"/>
        <v>0</v>
      </c>
      <c r="CH10" s="80">
        <f t="shared" si="1"/>
        <v>0</v>
      </c>
    </row>
    <row r="11" spans="1:86" ht="15.75" customHeight="1">
      <c r="B11" s="68"/>
      <c r="C11" s="15"/>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row>
    <row r="12" spans="1:86" ht="15.75" customHeight="1">
      <c r="B12" s="68" t="s">
        <v>363</v>
      </c>
      <c r="C12" s="15"/>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row>
    <row r="13" spans="1:86" ht="15.75" customHeight="1">
      <c r="B13" s="28" t="s">
        <v>364</v>
      </c>
      <c r="C13" s="15"/>
      <c r="D13" s="15" t="s">
        <v>238</v>
      </c>
      <c r="E13" s="29">
        <f t="shared" ref="E13:E27" si="2">IF(D13="sum",SUM(G13:CH13),IF(D13="final",CH13,IF(D13="initial",G13,IF(D13="average",AVERAGE(G13:CH13),0))))</f>
        <v>0</v>
      </c>
      <c r="F13" s="29"/>
      <c r="G13" s="28">
        <v>0</v>
      </c>
      <c r="H13" s="28">
        <v>0</v>
      </c>
      <c r="I13" s="28">
        <v>0</v>
      </c>
      <c r="J13" s="28">
        <v>0</v>
      </c>
      <c r="K13" s="28">
        <v>0</v>
      </c>
      <c r="L13" s="28">
        <v>0</v>
      </c>
      <c r="M13" s="28">
        <v>0</v>
      </c>
      <c r="N13" s="28">
        <v>0</v>
      </c>
      <c r="O13" s="28">
        <v>0</v>
      </c>
      <c r="P13" s="28">
        <v>0</v>
      </c>
      <c r="Q13" s="28">
        <v>0</v>
      </c>
      <c r="R13" s="28">
        <v>0</v>
      </c>
      <c r="S13" s="28">
        <v>0</v>
      </c>
      <c r="T13" s="28">
        <v>0</v>
      </c>
      <c r="U13" s="28">
        <v>0</v>
      </c>
      <c r="V13" s="28">
        <v>0</v>
      </c>
      <c r="W13" s="28">
        <v>0</v>
      </c>
      <c r="X13" s="28">
        <v>0</v>
      </c>
      <c r="Y13" s="28">
        <v>0</v>
      </c>
      <c r="Z13" s="28">
        <v>0</v>
      </c>
      <c r="AA13" s="28">
        <v>0</v>
      </c>
      <c r="AB13" s="28">
        <v>0</v>
      </c>
      <c r="AC13" s="28">
        <v>0</v>
      </c>
      <c r="AD13" s="28">
        <v>0</v>
      </c>
      <c r="AE13" s="28">
        <v>0</v>
      </c>
      <c r="AF13" s="28">
        <v>0</v>
      </c>
      <c r="AG13" s="28">
        <v>0</v>
      </c>
      <c r="AH13" s="28">
        <v>0</v>
      </c>
      <c r="AI13" s="28">
        <v>0</v>
      </c>
      <c r="AJ13" s="28">
        <v>0</v>
      </c>
      <c r="AK13" s="28">
        <v>0</v>
      </c>
      <c r="AL13" s="28">
        <v>0</v>
      </c>
      <c r="AM13" s="28">
        <v>0</v>
      </c>
      <c r="AN13" s="28">
        <v>0</v>
      </c>
      <c r="AO13" s="28">
        <v>0</v>
      </c>
      <c r="AP13" s="28">
        <v>0</v>
      </c>
      <c r="AQ13" s="28">
        <v>0</v>
      </c>
      <c r="AR13" s="28">
        <v>0</v>
      </c>
      <c r="AS13" s="28">
        <v>0</v>
      </c>
      <c r="AT13" s="28">
        <v>0</v>
      </c>
      <c r="AU13" s="28">
        <v>0</v>
      </c>
      <c r="AV13" s="28">
        <v>0</v>
      </c>
      <c r="AW13" s="28">
        <v>0</v>
      </c>
      <c r="AX13" s="28">
        <v>0</v>
      </c>
      <c r="AY13" s="28">
        <v>0</v>
      </c>
      <c r="AZ13" s="28">
        <v>0</v>
      </c>
      <c r="BA13" s="28">
        <v>0</v>
      </c>
      <c r="BB13" s="28">
        <v>0</v>
      </c>
      <c r="BC13" s="28">
        <v>0</v>
      </c>
      <c r="BD13" s="28">
        <v>0</v>
      </c>
      <c r="BE13" s="28">
        <v>0</v>
      </c>
      <c r="BF13" s="28">
        <v>0</v>
      </c>
      <c r="BG13" s="28">
        <v>0</v>
      </c>
      <c r="BH13" s="28">
        <v>0</v>
      </c>
      <c r="BI13" s="28">
        <v>0</v>
      </c>
      <c r="BJ13" s="28">
        <v>0</v>
      </c>
      <c r="BK13" s="28">
        <v>0</v>
      </c>
      <c r="BL13" s="28">
        <v>0</v>
      </c>
      <c r="BM13" s="28">
        <v>0</v>
      </c>
      <c r="BN13" s="28">
        <v>0</v>
      </c>
      <c r="BO13" s="28">
        <v>0</v>
      </c>
      <c r="BP13" s="28">
        <v>0</v>
      </c>
      <c r="BQ13" s="28">
        <v>0</v>
      </c>
      <c r="BR13" s="28">
        <v>0</v>
      </c>
      <c r="BS13" s="28">
        <v>0</v>
      </c>
      <c r="BT13" s="28">
        <v>0</v>
      </c>
      <c r="BU13" s="28">
        <v>0</v>
      </c>
      <c r="BV13" s="28">
        <v>0</v>
      </c>
      <c r="BW13" s="28">
        <v>0</v>
      </c>
      <c r="BX13" s="28">
        <v>0</v>
      </c>
      <c r="BY13" s="28">
        <v>0</v>
      </c>
      <c r="BZ13" s="28">
        <v>0</v>
      </c>
      <c r="CA13" s="28">
        <v>0</v>
      </c>
      <c r="CB13" s="28">
        <v>0</v>
      </c>
      <c r="CC13" s="28">
        <v>0</v>
      </c>
      <c r="CD13" s="28">
        <v>0</v>
      </c>
      <c r="CE13" s="28">
        <v>0</v>
      </c>
      <c r="CF13" s="28">
        <v>0</v>
      </c>
      <c r="CG13" s="28">
        <v>0</v>
      </c>
      <c r="CH13" s="28">
        <v>0</v>
      </c>
    </row>
    <row r="14" spans="1:86" ht="15.75" customHeight="1">
      <c r="B14" s="28" t="s">
        <v>365</v>
      </c>
      <c r="C14" s="15"/>
      <c r="D14" s="15" t="s">
        <v>238</v>
      </c>
      <c r="E14" s="29">
        <f t="shared" si="2"/>
        <v>0</v>
      </c>
      <c r="F14" s="29"/>
      <c r="G14" s="28">
        <v>0</v>
      </c>
      <c r="H14" s="28">
        <v>0</v>
      </c>
      <c r="I14" s="28">
        <v>0</v>
      </c>
      <c r="J14" s="28">
        <v>0</v>
      </c>
      <c r="K14" s="28">
        <v>0</v>
      </c>
      <c r="L14" s="28">
        <v>0</v>
      </c>
      <c r="M14" s="28">
        <v>0</v>
      </c>
      <c r="N14" s="28">
        <v>0</v>
      </c>
      <c r="O14" s="28">
        <v>0</v>
      </c>
      <c r="P14" s="28">
        <v>0</v>
      </c>
      <c r="Q14" s="28">
        <v>0</v>
      </c>
      <c r="R14" s="28">
        <v>0</v>
      </c>
      <c r="S14" s="28">
        <v>0</v>
      </c>
      <c r="T14" s="28">
        <v>0</v>
      </c>
      <c r="U14" s="28">
        <v>0</v>
      </c>
      <c r="V14" s="28">
        <v>0</v>
      </c>
      <c r="W14" s="28">
        <v>0</v>
      </c>
      <c r="X14" s="28">
        <v>0</v>
      </c>
      <c r="Y14" s="28">
        <v>0</v>
      </c>
      <c r="Z14" s="28">
        <v>0</v>
      </c>
      <c r="AA14" s="28">
        <v>0</v>
      </c>
      <c r="AB14" s="28">
        <v>0</v>
      </c>
      <c r="AC14" s="28">
        <v>0</v>
      </c>
      <c r="AD14" s="28">
        <v>0</v>
      </c>
      <c r="AE14" s="28">
        <v>0</v>
      </c>
      <c r="AF14" s="28">
        <v>0</v>
      </c>
      <c r="AG14" s="28">
        <v>0</v>
      </c>
      <c r="AH14" s="28">
        <v>0</v>
      </c>
      <c r="AI14" s="28">
        <v>0</v>
      </c>
      <c r="AJ14" s="28">
        <v>0</v>
      </c>
      <c r="AK14" s="28">
        <v>0</v>
      </c>
      <c r="AL14" s="28">
        <v>0</v>
      </c>
      <c r="AM14" s="28">
        <v>0</v>
      </c>
      <c r="AN14" s="28">
        <v>0</v>
      </c>
      <c r="AO14" s="28">
        <v>0</v>
      </c>
      <c r="AP14" s="28">
        <v>0</v>
      </c>
      <c r="AQ14" s="28">
        <v>0</v>
      </c>
      <c r="AR14" s="28">
        <v>0</v>
      </c>
      <c r="AS14" s="28">
        <v>0</v>
      </c>
      <c r="AT14" s="28">
        <v>0</v>
      </c>
      <c r="AU14" s="28">
        <v>0</v>
      </c>
      <c r="AV14" s="28">
        <v>0</v>
      </c>
      <c r="AW14" s="28">
        <v>0</v>
      </c>
      <c r="AX14" s="28">
        <v>0</v>
      </c>
      <c r="AY14" s="28">
        <v>0</v>
      </c>
      <c r="AZ14" s="28">
        <v>0</v>
      </c>
      <c r="BA14" s="28">
        <v>0</v>
      </c>
      <c r="BB14" s="28">
        <v>0</v>
      </c>
      <c r="BC14" s="28">
        <v>0</v>
      </c>
      <c r="BD14" s="28">
        <v>0</v>
      </c>
      <c r="BE14" s="28">
        <v>0</v>
      </c>
      <c r="BF14" s="28">
        <v>0</v>
      </c>
      <c r="BG14" s="28">
        <v>0</v>
      </c>
      <c r="BH14" s="28">
        <v>0</v>
      </c>
      <c r="BI14" s="28">
        <v>0</v>
      </c>
      <c r="BJ14" s="28">
        <v>0</v>
      </c>
      <c r="BK14" s="28">
        <v>0</v>
      </c>
      <c r="BL14" s="28">
        <v>0</v>
      </c>
      <c r="BM14" s="28">
        <v>0</v>
      </c>
      <c r="BN14" s="28">
        <v>0</v>
      </c>
      <c r="BO14" s="28">
        <v>0</v>
      </c>
      <c r="BP14" s="28">
        <v>0</v>
      </c>
      <c r="BQ14" s="28">
        <v>0</v>
      </c>
      <c r="BR14" s="28">
        <v>0</v>
      </c>
      <c r="BS14" s="28">
        <v>0</v>
      </c>
      <c r="BT14" s="28">
        <v>0</v>
      </c>
      <c r="BU14" s="28">
        <v>0</v>
      </c>
      <c r="BV14" s="28">
        <v>0</v>
      </c>
      <c r="BW14" s="28">
        <v>0</v>
      </c>
      <c r="BX14" s="28">
        <v>0</v>
      </c>
      <c r="BY14" s="28">
        <v>0</v>
      </c>
      <c r="BZ14" s="28">
        <v>0</v>
      </c>
      <c r="CA14" s="28">
        <v>0</v>
      </c>
      <c r="CB14" s="28">
        <v>0</v>
      </c>
      <c r="CC14" s="28">
        <v>0</v>
      </c>
      <c r="CD14" s="28">
        <v>0</v>
      </c>
      <c r="CE14" s="28">
        <v>0</v>
      </c>
      <c r="CF14" s="28">
        <v>0</v>
      </c>
      <c r="CG14" s="28">
        <v>0</v>
      </c>
      <c r="CH14" s="28">
        <v>0</v>
      </c>
    </row>
    <row r="15" spans="1:86" ht="15.75" customHeight="1">
      <c r="B15" s="28" t="s">
        <v>366</v>
      </c>
      <c r="C15" s="15"/>
      <c r="D15" s="15" t="s">
        <v>238</v>
      </c>
      <c r="E15" s="29">
        <f t="shared" si="2"/>
        <v>0</v>
      </c>
      <c r="F15" s="29"/>
      <c r="G15" s="28">
        <v>0</v>
      </c>
      <c r="H15" s="28">
        <v>0</v>
      </c>
      <c r="I15" s="28">
        <v>0</v>
      </c>
      <c r="J15" s="28">
        <v>0</v>
      </c>
      <c r="K15" s="28">
        <v>0</v>
      </c>
      <c r="L15" s="28">
        <v>0</v>
      </c>
      <c r="M15" s="28">
        <v>0</v>
      </c>
      <c r="N15" s="28">
        <v>0</v>
      </c>
      <c r="O15" s="28">
        <v>0</v>
      </c>
      <c r="P15" s="28">
        <v>0</v>
      </c>
      <c r="Q15" s="28">
        <v>0</v>
      </c>
      <c r="R15" s="28">
        <v>0</v>
      </c>
      <c r="S15" s="28">
        <v>0</v>
      </c>
      <c r="T15" s="28">
        <v>0</v>
      </c>
      <c r="U15" s="28">
        <v>0</v>
      </c>
      <c r="V15" s="28">
        <v>0</v>
      </c>
      <c r="W15" s="28">
        <v>0</v>
      </c>
      <c r="X15" s="28">
        <v>0</v>
      </c>
      <c r="Y15" s="28">
        <v>0</v>
      </c>
      <c r="Z15" s="28">
        <v>0</v>
      </c>
      <c r="AA15" s="28">
        <v>0</v>
      </c>
      <c r="AB15" s="28">
        <v>0</v>
      </c>
      <c r="AC15" s="28">
        <v>0</v>
      </c>
      <c r="AD15" s="28">
        <v>0</v>
      </c>
      <c r="AE15" s="28">
        <v>0</v>
      </c>
      <c r="AF15" s="28">
        <v>0</v>
      </c>
      <c r="AG15" s="28">
        <v>0</v>
      </c>
      <c r="AH15" s="28">
        <v>0</v>
      </c>
      <c r="AI15" s="28">
        <v>0</v>
      </c>
      <c r="AJ15" s="28">
        <v>0</v>
      </c>
      <c r="AK15" s="28">
        <v>0</v>
      </c>
      <c r="AL15" s="28">
        <v>0</v>
      </c>
      <c r="AM15" s="28">
        <v>0</v>
      </c>
      <c r="AN15" s="28">
        <v>0</v>
      </c>
      <c r="AO15" s="28">
        <v>0</v>
      </c>
      <c r="AP15" s="28">
        <v>0</v>
      </c>
      <c r="AQ15" s="28">
        <v>0</v>
      </c>
      <c r="AR15" s="28">
        <v>0</v>
      </c>
      <c r="AS15" s="28">
        <v>0</v>
      </c>
      <c r="AT15" s="28">
        <v>0</v>
      </c>
      <c r="AU15" s="28">
        <v>0</v>
      </c>
      <c r="AV15" s="28">
        <v>0</v>
      </c>
      <c r="AW15" s="28">
        <v>0</v>
      </c>
      <c r="AX15" s="28">
        <v>0</v>
      </c>
      <c r="AY15" s="28">
        <v>0</v>
      </c>
      <c r="AZ15" s="28">
        <v>0</v>
      </c>
      <c r="BA15" s="28">
        <v>0</v>
      </c>
      <c r="BB15" s="28">
        <v>0</v>
      </c>
      <c r="BC15" s="28">
        <v>0</v>
      </c>
      <c r="BD15" s="28">
        <v>0</v>
      </c>
      <c r="BE15" s="28">
        <v>0</v>
      </c>
      <c r="BF15" s="28">
        <v>0</v>
      </c>
      <c r="BG15" s="28">
        <v>0</v>
      </c>
      <c r="BH15" s="28">
        <v>0</v>
      </c>
      <c r="BI15" s="28">
        <v>0</v>
      </c>
      <c r="BJ15" s="28">
        <v>0</v>
      </c>
      <c r="BK15" s="28">
        <v>0</v>
      </c>
      <c r="BL15" s="28">
        <v>0</v>
      </c>
      <c r="BM15" s="28">
        <v>0</v>
      </c>
      <c r="BN15" s="28">
        <v>0</v>
      </c>
      <c r="BO15" s="28">
        <v>0</v>
      </c>
      <c r="BP15" s="28">
        <v>0</v>
      </c>
      <c r="BQ15" s="28">
        <v>0</v>
      </c>
      <c r="BR15" s="28">
        <v>0</v>
      </c>
      <c r="BS15" s="28">
        <v>0</v>
      </c>
      <c r="BT15" s="28">
        <v>0</v>
      </c>
      <c r="BU15" s="28">
        <v>0</v>
      </c>
      <c r="BV15" s="28">
        <v>0</v>
      </c>
      <c r="BW15" s="28">
        <v>0</v>
      </c>
      <c r="BX15" s="28">
        <v>0</v>
      </c>
      <c r="BY15" s="28">
        <v>0</v>
      </c>
      <c r="BZ15" s="28">
        <v>0</v>
      </c>
      <c r="CA15" s="28">
        <v>0</v>
      </c>
      <c r="CB15" s="28">
        <v>0</v>
      </c>
      <c r="CC15" s="28">
        <v>0</v>
      </c>
      <c r="CD15" s="28">
        <v>0</v>
      </c>
      <c r="CE15" s="28">
        <v>0</v>
      </c>
      <c r="CF15" s="28">
        <v>0</v>
      </c>
      <c r="CG15" s="28">
        <v>0</v>
      </c>
      <c r="CH15" s="28">
        <v>0</v>
      </c>
    </row>
    <row r="16" spans="1:86" ht="15.75" customHeight="1">
      <c r="B16" s="28" t="s">
        <v>367</v>
      </c>
      <c r="C16" s="15"/>
      <c r="D16" s="15" t="s">
        <v>238</v>
      </c>
      <c r="E16" s="29">
        <f t="shared" si="2"/>
        <v>0</v>
      </c>
      <c r="F16" s="29"/>
      <c r="G16" s="28">
        <v>0</v>
      </c>
      <c r="H16" s="28">
        <v>0</v>
      </c>
      <c r="I16" s="28">
        <v>0</v>
      </c>
      <c r="J16" s="28">
        <v>0</v>
      </c>
      <c r="K16" s="28">
        <v>0</v>
      </c>
      <c r="L16" s="28">
        <v>0</v>
      </c>
      <c r="M16" s="28">
        <v>0</v>
      </c>
      <c r="N16" s="28">
        <v>0</v>
      </c>
      <c r="O16" s="28">
        <v>0</v>
      </c>
      <c r="P16" s="28">
        <v>0</v>
      </c>
      <c r="Q16" s="28">
        <v>0</v>
      </c>
      <c r="R16" s="28">
        <v>0</v>
      </c>
      <c r="S16" s="28">
        <v>0</v>
      </c>
      <c r="T16" s="28">
        <v>0</v>
      </c>
      <c r="U16" s="28">
        <v>0</v>
      </c>
      <c r="V16" s="28">
        <v>0</v>
      </c>
      <c r="W16" s="28">
        <v>0</v>
      </c>
      <c r="X16" s="28">
        <v>0</v>
      </c>
      <c r="Y16" s="28">
        <v>0</v>
      </c>
      <c r="Z16" s="28">
        <v>0</v>
      </c>
      <c r="AA16" s="28">
        <v>0</v>
      </c>
      <c r="AB16" s="28">
        <v>0</v>
      </c>
      <c r="AC16" s="28">
        <v>0</v>
      </c>
      <c r="AD16" s="28">
        <v>0</v>
      </c>
      <c r="AE16" s="28">
        <v>0</v>
      </c>
      <c r="AF16" s="28">
        <v>0</v>
      </c>
      <c r="AG16" s="28">
        <v>0</v>
      </c>
      <c r="AH16" s="28">
        <v>0</v>
      </c>
      <c r="AI16" s="28">
        <v>0</v>
      </c>
      <c r="AJ16" s="28">
        <v>0</v>
      </c>
      <c r="AK16" s="28">
        <v>0</v>
      </c>
      <c r="AL16" s="28">
        <v>0</v>
      </c>
      <c r="AM16" s="28">
        <v>0</v>
      </c>
      <c r="AN16" s="28">
        <v>0</v>
      </c>
      <c r="AO16" s="28">
        <v>0</v>
      </c>
      <c r="AP16" s="28">
        <v>0</v>
      </c>
      <c r="AQ16" s="28">
        <v>0</v>
      </c>
      <c r="AR16" s="28">
        <v>0</v>
      </c>
      <c r="AS16" s="28">
        <v>0</v>
      </c>
      <c r="AT16" s="28">
        <v>0</v>
      </c>
      <c r="AU16" s="28">
        <v>0</v>
      </c>
      <c r="AV16" s="28">
        <v>0</v>
      </c>
      <c r="AW16" s="28">
        <v>0</v>
      </c>
      <c r="AX16" s="28">
        <v>0</v>
      </c>
      <c r="AY16" s="28">
        <v>0</v>
      </c>
      <c r="AZ16" s="28">
        <v>0</v>
      </c>
      <c r="BA16" s="28">
        <v>0</v>
      </c>
      <c r="BB16" s="28">
        <v>0</v>
      </c>
      <c r="BC16" s="28">
        <v>0</v>
      </c>
      <c r="BD16" s="28">
        <v>0</v>
      </c>
      <c r="BE16" s="28">
        <v>0</v>
      </c>
      <c r="BF16" s="28">
        <v>0</v>
      </c>
      <c r="BG16" s="28">
        <v>0</v>
      </c>
      <c r="BH16" s="28">
        <v>0</v>
      </c>
      <c r="BI16" s="28">
        <v>0</v>
      </c>
      <c r="BJ16" s="28">
        <v>0</v>
      </c>
      <c r="BK16" s="28">
        <v>0</v>
      </c>
      <c r="BL16" s="28">
        <v>0</v>
      </c>
      <c r="BM16" s="28">
        <v>0</v>
      </c>
      <c r="BN16" s="28">
        <v>0</v>
      </c>
      <c r="BO16" s="28">
        <v>0</v>
      </c>
      <c r="BP16" s="28">
        <v>0</v>
      </c>
      <c r="BQ16" s="28">
        <v>0</v>
      </c>
      <c r="BR16" s="28">
        <v>0</v>
      </c>
      <c r="BS16" s="28">
        <v>0</v>
      </c>
      <c r="BT16" s="28">
        <v>0</v>
      </c>
      <c r="BU16" s="28">
        <v>0</v>
      </c>
      <c r="BV16" s="28">
        <v>0</v>
      </c>
      <c r="BW16" s="28">
        <v>0</v>
      </c>
      <c r="BX16" s="28">
        <v>0</v>
      </c>
      <c r="BY16" s="28">
        <v>0</v>
      </c>
      <c r="BZ16" s="28">
        <v>0</v>
      </c>
      <c r="CA16" s="28">
        <v>0</v>
      </c>
      <c r="CB16" s="28">
        <v>0</v>
      </c>
      <c r="CC16" s="28">
        <v>0</v>
      </c>
      <c r="CD16" s="28">
        <v>0</v>
      </c>
      <c r="CE16" s="28">
        <v>0</v>
      </c>
      <c r="CF16" s="28">
        <v>0</v>
      </c>
      <c r="CG16" s="28">
        <v>0</v>
      </c>
      <c r="CH16" s="28">
        <v>0</v>
      </c>
    </row>
    <row r="17" spans="2:86" ht="15.75" customHeight="1">
      <c r="B17" s="28" t="s">
        <v>368</v>
      </c>
      <c r="C17" s="15"/>
      <c r="D17" s="15" t="s">
        <v>238</v>
      </c>
      <c r="E17" s="29">
        <f t="shared" si="2"/>
        <v>0</v>
      </c>
      <c r="F17" s="29"/>
      <c r="G17" s="28">
        <v>0</v>
      </c>
      <c r="H17" s="28">
        <v>0</v>
      </c>
      <c r="I17" s="28">
        <v>0</v>
      </c>
      <c r="J17" s="28">
        <v>0</v>
      </c>
      <c r="K17" s="28">
        <v>0</v>
      </c>
      <c r="L17" s="28">
        <v>0</v>
      </c>
      <c r="M17" s="28">
        <v>0</v>
      </c>
      <c r="N17" s="28">
        <v>0</v>
      </c>
      <c r="O17" s="28">
        <v>0</v>
      </c>
      <c r="P17" s="28">
        <v>0</v>
      </c>
      <c r="Q17" s="28">
        <v>0</v>
      </c>
      <c r="R17" s="28">
        <v>0</v>
      </c>
      <c r="S17" s="28">
        <v>0</v>
      </c>
      <c r="T17" s="28">
        <v>0</v>
      </c>
      <c r="U17" s="28">
        <v>0</v>
      </c>
      <c r="V17" s="28">
        <v>0</v>
      </c>
      <c r="W17" s="28">
        <v>0</v>
      </c>
      <c r="X17" s="28">
        <v>0</v>
      </c>
      <c r="Y17" s="28">
        <v>0</v>
      </c>
      <c r="Z17" s="28">
        <v>0</v>
      </c>
      <c r="AA17" s="28">
        <v>0</v>
      </c>
      <c r="AB17" s="28">
        <v>0</v>
      </c>
      <c r="AC17" s="28">
        <v>0</v>
      </c>
      <c r="AD17" s="28">
        <v>0</v>
      </c>
      <c r="AE17" s="28">
        <v>0</v>
      </c>
      <c r="AF17" s="28">
        <v>0</v>
      </c>
      <c r="AG17" s="28">
        <v>0</v>
      </c>
      <c r="AH17" s="28">
        <v>0</v>
      </c>
      <c r="AI17" s="28">
        <v>0</v>
      </c>
      <c r="AJ17" s="28">
        <v>0</v>
      </c>
      <c r="AK17" s="28">
        <v>0</v>
      </c>
      <c r="AL17" s="28">
        <v>0</v>
      </c>
      <c r="AM17" s="28">
        <v>0</v>
      </c>
      <c r="AN17" s="28">
        <v>0</v>
      </c>
      <c r="AO17" s="28">
        <v>0</v>
      </c>
      <c r="AP17" s="28">
        <v>0</v>
      </c>
      <c r="AQ17" s="28">
        <v>0</v>
      </c>
      <c r="AR17" s="28">
        <v>0</v>
      </c>
      <c r="AS17" s="28">
        <v>0</v>
      </c>
      <c r="AT17" s="28">
        <v>0</v>
      </c>
      <c r="AU17" s="28">
        <v>0</v>
      </c>
      <c r="AV17" s="28">
        <v>0</v>
      </c>
      <c r="AW17" s="28">
        <v>0</v>
      </c>
      <c r="AX17" s="28">
        <v>0</v>
      </c>
      <c r="AY17" s="28">
        <v>0</v>
      </c>
      <c r="AZ17" s="28">
        <v>0</v>
      </c>
      <c r="BA17" s="28">
        <v>0</v>
      </c>
      <c r="BB17" s="28">
        <v>0</v>
      </c>
      <c r="BC17" s="28">
        <v>0</v>
      </c>
      <c r="BD17" s="28">
        <v>0</v>
      </c>
      <c r="BE17" s="28">
        <v>0</v>
      </c>
      <c r="BF17" s="28">
        <v>0</v>
      </c>
      <c r="BG17" s="28">
        <v>0</v>
      </c>
      <c r="BH17" s="28">
        <v>0</v>
      </c>
      <c r="BI17" s="28">
        <v>0</v>
      </c>
      <c r="BJ17" s="28">
        <v>0</v>
      </c>
      <c r="BK17" s="28">
        <v>0</v>
      </c>
      <c r="BL17" s="28">
        <v>0</v>
      </c>
      <c r="BM17" s="28">
        <v>0</v>
      </c>
      <c r="BN17" s="28">
        <v>0</v>
      </c>
      <c r="BO17" s="28">
        <v>0</v>
      </c>
      <c r="BP17" s="28">
        <v>0</v>
      </c>
      <c r="BQ17" s="28">
        <v>0</v>
      </c>
      <c r="BR17" s="28">
        <v>0</v>
      </c>
      <c r="BS17" s="28">
        <v>0</v>
      </c>
      <c r="BT17" s="28">
        <v>0</v>
      </c>
      <c r="BU17" s="28">
        <v>0</v>
      </c>
      <c r="BV17" s="28">
        <v>0</v>
      </c>
      <c r="BW17" s="28">
        <v>0</v>
      </c>
      <c r="BX17" s="28">
        <v>0</v>
      </c>
      <c r="BY17" s="28">
        <v>0</v>
      </c>
      <c r="BZ17" s="28">
        <v>0</v>
      </c>
      <c r="CA17" s="28">
        <v>0</v>
      </c>
      <c r="CB17" s="28">
        <v>0</v>
      </c>
      <c r="CC17" s="28">
        <v>0</v>
      </c>
      <c r="CD17" s="28">
        <v>0</v>
      </c>
      <c r="CE17" s="28">
        <v>0</v>
      </c>
      <c r="CF17" s="28">
        <v>0</v>
      </c>
      <c r="CG17" s="28">
        <v>0</v>
      </c>
      <c r="CH17" s="28">
        <v>0</v>
      </c>
    </row>
    <row r="18" spans="2:86" ht="15.75" customHeight="1">
      <c r="B18" s="28" t="s">
        <v>369</v>
      </c>
      <c r="C18" s="15"/>
      <c r="D18" s="15" t="s">
        <v>238</v>
      </c>
      <c r="E18" s="29">
        <f t="shared" si="2"/>
        <v>0</v>
      </c>
      <c r="F18" s="29"/>
      <c r="G18" s="28">
        <v>0</v>
      </c>
      <c r="H18" s="28">
        <v>0</v>
      </c>
      <c r="I18" s="28">
        <v>0</v>
      </c>
      <c r="J18" s="28">
        <v>0</v>
      </c>
      <c r="K18" s="28">
        <v>0</v>
      </c>
      <c r="L18" s="28">
        <v>0</v>
      </c>
      <c r="M18" s="28">
        <v>0</v>
      </c>
      <c r="N18" s="28">
        <v>0</v>
      </c>
      <c r="O18" s="28">
        <v>0</v>
      </c>
      <c r="P18" s="28">
        <v>0</v>
      </c>
      <c r="Q18" s="28">
        <v>0</v>
      </c>
      <c r="R18" s="28">
        <v>0</v>
      </c>
      <c r="S18" s="28">
        <v>0</v>
      </c>
      <c r="T18" s="28">
        <v>0</v>
      </c>
      <c r="U18" s="28">
        <v>0</v>
      </c>
      <c r="V18" s="28">
        <v>0</v>
      </c>
      <c r="W18" s="28">
        <v>0</v>
      </c>
      <c r="X18" s="28">
        <v>0</v>
      </c>
      <c r="Y18" s="28">
        <v>0</v>
      </c>
      <c r="Z18" s="28">
        <v>0</v>
      </c>
      <c r="AA18" s="28">
        <v>0</v>
      </c>
      <c r="AB18" s="28">
        <v>0</v>
      </c>
      <c r="AC18" s="28">
        <v>0</v>
      </c>
      <c r="AD18" s="28">
        <v>0</v>
      </c>
      <c r="AE18" s="28">
        <v>0</v>
      </c>
      <c r="AF18" s="28">
        <v>0</v>
      </c>
      <c r="AG18" s="28">
        <v>0</v>
      </c>
      <c r="AH18" s="28">
        <v>0</v>
      </c>
      <c r="AI18" s="28">
        <v>0</v>
      </c>
      <c r="AJ18" s="28">
        <v>0</v>
      </c>
      <c r="AK18" s="28">
        <v>0</v>
      </c>
      <c r="AL18" s="28">
        <v>0</v>
      </c>
      <c r="AM18" s="28">
        <v>0</v>
      </c>
      <c r="AN18" s="28">
        <v>0</v>
      </c>
      <c r="AO18" s="28">
        <v>0</v>
      </c>
      <c r="AP18" s="28">
        <v>0</v>
      </c>
      <c r="AQ18" s="28">
        <v>0</v>
      </c>
      <c r="AR18" s="28">
        <v>0</v>
      </c>
      <c r="AS18" s="28">
        <v>0</v>
      </c>
      <c r="AT18" s="28">
        <v>0</v>
      </c>
      <c r="AU18" s="28">
        <v>0</v>
      </c>
      <c r="AV18" s="28">
        <v>0</v>
      </c>
      <c r="AW18" s="28">
        <v>0</v>
      </c>
      <c r="AX18" s="28">
        <v>0</v>
      </c>
      <c r="AY18" s="28">
        <v>0</v>
      </c>
      <c r="AZ18" s="28">
        <v>0</v>
      </c>
      <c r="BA18" s="28">
        <v>0</v>
      </c>
      <c r="BB18" s="28">
        <v>0</v>
      </c>
      <c r="BC18" s="28">
        <v>0</v>
      </c>
      <c r="BD18" s="28">
        <v>0</v>
      </c>
      <c r="BE18" s="28">
        <v>0</v>
      </c>
      <c r="BF18" s="28">
        <v>0</v>
      </c>
      <c r="BG18" s="28">
        <v>0</v>
      </c>
      <c r="BH18" s="28">
        <v>0</v>
      </c>
      <c r="BI18" s="28">
        <v>0</v>
      </c>
      <c r="BJ18" s="28">
        <v>0</v>
      </c>
      <c r="BK18" s="28">
        <v>0</v>
      </c>
      <c r="BL18" s="28">
        <v>0</v>
      </c>
      <c r="BM18" s="28">
        <v>0</v>
      </c>
      <c r="BN18" s="28">
        <v>0</v>
      </c>
      <c r="BO18" s="28">
        <v>0</v>
      </c>
      <c r="BP18" s="28">
        <v>0</v>
      </c>
      <c r="BQ18" s="28">
        <v>0</v>
      </c>
      <c r="BR18" s="28">
        <v>0</v>
      </c>
      <c r="BS18" s="28">
        <v>0</v>
      </c>
      <c r="BT18" s="28">
        <v>0</v>
      </c>
      <c r="BU18" s="28">
        <v>0</v>
      </c>
      <c r="BV18" s="28">
        <v>0</v>
      </c>
      <c r="BW18" s="28">
        <v>0</v>
      </c>
      <c r="BX18" s="28">
        <v>0</v>
      </c>
      <c r="BY18" s="28">
        <v>0</v>
      </c>
      <c r="BZ18" s="28">
        <v>0</v>
      </c>
      <c r="CA18" s="28">
        <v>0</v>
      </c>
      <c r="CB18" s="28">
        <v>0</v>
      </c>
      <c r="CC18" s="28">
        <v>0</v>
      </c>
      <c r="CD18" s="28">
        <v>0</v>
      </c>
      <c r="CE18" s="28">
        <v>0</v>
      </c>
      <c r="CF18" s="28">
        <v>0</v>
      </c>
      <c r="CG18" s="28">
        <v>0</v>
      </c>
      <c r="CH18" s="28">
        <v>0</v>
      </c>
    </row>
    <row r="19" spans="2:86" ht="15.75" customHeight="1">
      <c r="B19" s="28" t="s">
        <v>370</v>
      </c>
      <c r="C19" s="15"/>
      <c r="D19" s="15" t="s">
        <v>238</v>
      </c>
      <c r="E19" s="29">
        <f t="shared" si="2"/>
        <v>0</v>
      </c>
      <c r="F19" s="29"/>
      <c r="G19" s="28">
        <v>0</v>
      </c>
      <c r="H19" s="28">
        <v>0</v>
      </c>
      <c r="I19" s="28">
        <v>0</v>
      </c>
      <c r="J19" s="28">
        <v>0</v>
      </c>
      <c r="K19" s="28">
        <v>0</v>
      </c>
      <c r="L19" s="28">
        <v>0</v>
      </c>
      <c r="M19" s="28">
        <v>0</v>
      </c>
      <c r="N19" s="28">
        <v>0</v>
      </c>
      <c r="O19" s="28">
        <v>0</v>
      </c>
      <c r="P19" s="28">
        <v>0</v>
      </c>
      <c r="Q19" s="28">
        <v>0</v>
      </c>
      <c r="R19" s="28">
        <v>0</v>
      </c>
      <c r="S19" s="28">
        <v>0</v>
      </c>
      <c r="T19" s="28">
        <v>0</v>
      </c>
      <c r="U19" s="28">
        <v>0</v>
      </c>
      <c r="V19" s="28">
        <v>0</v>
      </c>
      <c r="W19" s="28">
        <v>0</v>
      </c>
      <c r="X19" s="28">
        <v>0</v>
      </c>
      <c r="Y19" s="28">
        <v>0</v>
      </c>
      <c r="Z19" s="28">
        <v>0</v>
      </c>
      <c r="AA19" s="28">
        <v>0</v>
      </c>
      <c r="AB19" s="28">
        <v>0</v>
      </c>
      <c r="AC19" s="28">
        <v>0</v>
      </c>
      <c r="AD19" s="28">
        <v>0</v>
      </c>
      <c r="AE19" s="28">
        <v>0</v>
      </c>
      <c r="AF19" s="28">
        <v>0</v>
      </c>
      <c r="AG19" s="28">
        <v>0</v>
      </c>
      <c r="AH19" s="28">
        <v>0</v>
      </c>
      <c r="AI19" s="28">
        <v>0</v>
      </c>
      <c r="AJ19" s="28">
        <v>0</v>
      </c>
      <c r="AK19" s="28">
        <v>0</v>
      </c>
      <c r="AL19" s="28">
        <v>0</v>
      </c>
      <c r="AM19" s="28">
        <v>0</v>
      </c>
      <c r="AN19" s="28">
        <v>0</v>
      </c>
      <c r="AO19" s="28">
        <v>0</v>
      </c>
      <c r="AP19" s="28">
        <v>0</v>
      </c>
      <c r="AQ19" s="28">
        <v>0</v>
      </c>
      <c r="AR19" s="28">
        <v>0</v>
      </c>
      <c r="AS19" s="28">
        <v>0</v>
      </c>
      <c r="AT19" s="28">
        <v>0</v>
      </c>
      <c r="AU19" s="28">
        <v>0</v>
      </c>
      <c r="AV19" s="28">
        <v>0</v>
      </c>
      <c r="AW19" s="28">
        <v>0</v>
      </c>
      <c r="AX19" s="28">
        <v>0</v>
      </c>
      <c r="AY19" s="28">
        <v>0</v>
      </c>
      <c r="AZ19" s="28">
        <v>0</v>
      </c>
      <c r="BA19" s="28">
        <v>0</v>
      </c>
      <c r="BB19" s="28">
        <v>0</v>
      </c>
      <c r="BC19" s="28">
        <v>0</v>
      </c>
      <c r="BD19" s="28">
        <v>0</v>
      </c>
      <c r="BE19" s="28">
        <v>0</v>
      </c>
      <c r="BF19" s="28">
        <v>0</v>
      </c>
      <c r="BG19" s="28">
        <v>0</v>
      </c>
      <c r="BH19" s="28">
        <v>0</v>
      </c>
      <c r="BI19" s="28">
        <v>0</v>
      </c>
      <c r="BJ19" s="28">
        <v>0</v>
      </c>
      <c r="BK19" s="28">
        <v>0</v>
      </c>
      <c r="BL19" s="28">
        <v>0</v>
      </c>
      <c r="BM19" s="28">
        <v>0</v>
      </c>
      <c r="BN19" s="28">
        <v>0</v>
      </c>
      <c r="BO19" s="28">
        <v>0</v>
      </c>
      <c r="BP19" s="28">
        <v>0</v>
      </c>
      <c r="BQ19" s="28">
        <v>0</v>
      </c>
      <c r="BR19" s="28">
        <v>0</v>
      </c>
      <c r="BS19" s="28">
        <v>0</v>
      </c>
      <c r="BT19" s="28">
        <v>0</v>
      </c>
      <c r="BU19" s="28">
        <v>0</v>
      </c>
      <c r="BV19" s="28">
        <v>0</v>
      </c>
      <c r="BW19" s="28">
        <v>0</v>
      </c>
      <c r="BX19" s="28">
        <v>0</v>
      </c>
      <c r="BY19" s="28">
        <v>0</v>
      </c>
      <c r="BZ19" s="28">
        <v>0</v>
      </c>
      <c r="CA19" s="28">
        <v>0</v>
      </c>
      <c r="CB19" s="28">
        <v>0</v>
      </c>
      <c r="CC19" s="28">
        <v>0</v>
      </c>
      <c r="CD19" s="28">
        <v>0</v>
      </c>
      <c r="CE19" s="28">
        <v>0</v>
      </c>
      <c r="CF19" s="28">
        <v>0</v>
      </c>
      <c r="CG19" s="28">
        <v>0</v>
      </c>
      <c r="CH19" s="28">
        <v>0</v>
      </c>
    </row>
    <row r="20" spans="2:86" ht="15.75" customHeight="1">
      <c r="B20" s="28" t="s">
        <v>371</v>
      </c>
      <c r="C20" s="15"/>
      <c r="D20" s="15" t="s">
        <v>238</v>
      </c>
      <c r="E20" s="29">
        <f t="shared" si="2"/>
        <v>0</v>
      </c>
      <c r="F20" s="29"/>
      <c r="G20" s="28">
        <v>0</v>
      </c>
      <c r="H20" s="28">
        <v>0</v>
      </c>
      <c r="I20" s="28">
        <v>0</v>
      </c>
      <c r="J20" s="28">
        <v>0</v>
      </c>
      <c r="K20" s="28">
        <v>0</v>
      </c>
      <c r="L20" s="28">
        <v>0</v>
      </c>
      <c r="M20" s="28">
        <v>0</v>
      </c>
      <c r="N20" s="28">
        <v>0</v>
      </c>
      <c r="O20" s="28">
        <v>0</v>
      </c>
      <c r="P20" s="28">
        <v>0</v>
      </c>
      <c r="Q20" s="28">
        <v>0</v>
      </c>
      <c r="R20" s="28">
        <v>0</v>
      </c>
      <c r="S20" s="28">
        <v>0</v>
      </c>
      <c r="T20" s="28">
        <v>0</v>
      </c>
      <c r="U20" s="28">
        <v>0</v>
      </c>
      <c r="V20" s="28">
        <v>0</v>
      </c>
      <c r="W20" s="28">
        <v>0</v>
      </c>
      <c r="X20" s="28">
        <v>0</v>
      </c>
      <c r="Y20" s="28">
        <v>0</v>
      </c>
      <c r="Z20" s="28">
        <v>0</v>
      </c>
      <c r="AA20" s="28">
        <v>0</v>
      </c>
      <c r="AB20" s="28">
        <v>0</v>
      </c>
      <c r="AC20" s="28">
        <v>0</v>
      </c>
      <c r="AD20" s="28">
        <v>0</v>
      </c>
      <c r="AE20" s="28">
        <v>0</v>
      </c>
      <c r="AF20" s="28">
        <v>0</v>
      </c>
      <c r="AG20" s="28">
        <v>0</v>
      </c>
      <c r="AH20" s="28">
        <v>0</v>
      </c>
      <c r="AI20" s="28">
        <v>0</v>
      </c>
      <c r="AJ20" s="28">
        <v>0</v>
      </c>
      <c r="AK20" s="28">
        <v>0</v>
      </c>
      <c r="AL20" s="28">
        <v>0</v>
      </c>
      <c r="AM20" s="28">
        <v>0</v>
      </c>
      <c r="AN20" s="28">
        <v>0</v>
      </c>
      <c r="AO20" s="28">
        <v>0</v>
      </c>
      <c r="AP20" s="28">
        <v>0</v>
      </c>
      <c r="AQ20" s="28">
        <v>0</v>
      </c>
      <c r="AR20" s="28">
        <v>0</v>
      </c>
      <c r="AS20" s="28">
        <v>0</v>
      </c>
      <c r="AT20" s="28">
        <v>0</v>
      </c>
      <c r="AU20" s="28">
        <v>0</v>
      </c>
      <c r="AV20" s="28">
        <v>0</v>
      </c>
      <c r="AW20" s="28">
        <v>0</v>
      </c>
      <c r="AX20" s="28">
        <v>0</v>
      </c>
      <c r="AY20" s="28">
        <v>0</v>
      </c>
      <c r="AZ20" s="28">
        <v>0</v>
      </c>
      <c r="BA20" s="28">
        <v>0</v>
      </c>
      <c r="BB20" s="28">
        <v>0</v>
      </c>
      <c r="BC20" s="28">
        <v>0</v>
      </c>
      <c r="BD20" s="28">
        <v>0</v>
      </c>
      <c r="BE20" s="28">
        <v>0</v>
      </c>
      <c r="BF20" s="28">
        <v>0</v>
      </c>
      <c r="BG20" s="28">
        <v>0</v>
      </c>
      <c r="BH20" s="28">
        <v>0</v>
      </c>
      <c r="BI20" s="28">
        <v>0</v>
      </c>
      <c r="BJ20" s="28">
        <v>0</v>
      </c>
      <c r="BK20" s="28">
        <v>0</v>
      </c>
      <c r="BL20" s="28">
        <v>0</v>
      </c>
      <c r="BM20" s="28">
        <v>0</v>
      </c>
      <c r="BN20" s="28">
        <v>0</v>
      </c>
      <c r="BO20" s="28">
        <v>0</v>
      </c>
      <c r="BP20" s="28">
        <v>0</v>
      </c>
      <c r="BQ20" s="28">
        <v>0</v>
      </c>
      <c r="BR20" s="28">
        <v>0</v>
      </c>
      <c r="BS20" s="28">
        <v>0</v>
      </c>
      <c r="BT20" s="28">
        <v>0</v>
      </c>
      <c r="BU20" s="28">
        <v>0</v>
      </c>
      <c r="BV20" s="28">
        <v>0</v>
      </c>
      <c r="BW20" s="28">
        <v>0</v>
      </c>
      <c r="BX20" s="28">
        <v>0</v>
      </c>
      <c r="BY20" s="28">
        <v>0</v>
      </c>
      <c r="BZ20" s="28">
        <v>0</v>
      </c>
      <c r="CA20" s="28">
        <v>0</v>
      </c>
      <c r="CB20" s="28">
        <v>0</v>
      </c>
      <c r="CC20" s="28">
        <v>0</v>
      </c>
      <c r="CD20" s="28">
        <v>0</v>
      </c>
      <c r="CE20" s="28">
        <v>0</v>
      </c>
      <c r="CF20" s="28">
        <v>0</v>
      </c>
      <c r="CG20" s="28">
        <v>0</v>
      </c>
      <c r="CH20" s="28">
        <v>0</v>
      </c>
    </row>
    <row r="21" spans="2:86" ht="15.75" customHeight="1">
      <c r="B21" s="28" t="s">
        <v>371</v>
      </c>
      <c r="C21" s="15"/>
      <c r="D21" s="15" t="s">
        <v>238</v>
      </c>
      <c r="E21" s="29">
        <f t="shared" si="2"/>
        <v>0</v>
      </c>
      <c r="F21" s="29"/>
      <c r="G21" s="28">
        <v>0</v>
      </c>
      <c r="H21" s="28">
        <v>0</v>
      </c>
      <c r="I21" s="28">
        <v>0</v>
      </c>
      <c r="J21" s="28">
        <v>0</v>
      </c>
      <c r="K21" s="28">
        <v>0</v>
      </c>
      <c r="L21" s="28">
        <v>0</v>
      </c>
      <c r="M21" s="28">
        <v>0</v>
      </c>
      <c r="N21" s="28">
        <v>0</v>
      </c>
      <c r="O21" s="28">
        <v>0</v>
      </c>
      <c r="P21" s="28">
        <v>0</v>
      </c>
      <c r="Q21" s="28">
        <v>0</v>
      </c>
      <c r="R21" s="28">
        <v>0</v>
      </c>
      <c r="S21" s="28">
        <v>0</v>
      </c>
      <c r="T21" s="28">
        <v>0</v>
      </c>
      <c r="U21" s="28">
        <v>0</v>
      </c>
      <c r="V21" s="28">
        <v>0</v>
      </c>
      <c r="W21" s="28">
        <v>0</v>
      </c>
      <c r="X21" s="28">
        <v>0</v>
      </c>
      <c r="Y21" s="28">
        <v>0</v>
      </c>
      <c r="Z21" s="28">
        <v>0</v>
      </c>
      <c r="AA21" s="28">
        <v>0</v>
      </c>
      <c r="AB21" s="28">
        <v>0</v>
      </c>
      <c r="AC21" s="28">
        <v>0</v>
      </c>
      <c r="AD21" s="28">
        <v>0</v>
      </c>
      <c r="AE21" s="28">
        <v>0</v>
      </c>
      <c r="AF21" s="28">
        <v>0</v>
      </c>
      <c r="AG21" s="28">
        <v>0</v>
      </c>
      <c r="AH21" s="28">
        <v>0</v>
      </c>
      <c r="AI21" s="28">
        <v>0</v>
      </c>
      <c r="AJ21" s="28">
        <v>0</v>
      </c>
      <c r="AK21" s="28">
        <v>0</v>
      </c>
      <c r="AL21" s="28">
        <v>0</v>
      </c>
      <c r="AM21" s="28">
        <v>0</v>
      </c>
      <c r="AN21" s="28">
        <v>0</v>
      </c>
      <c r="AO21" s="28">
        <v>0</v>
      </c>
      <c r="AP21" s="28">
        <v>0</v>
      </c>
      <c r="AQ21" s="28">
        <v>0</v>
      </c>
      <c r="AR21" s="28">
        <v>0</v>
      </c>
      <c r="AS21" s="28">
        <v>0</v>
      </c>
      <c r="AT21" s="28">
        <v>0</v>
      </c>
      <c r="AU21" s="28">
        <v>0</v>
      </c>
      <c r="AV21" s="28">
        <v>0</v>
      </c>
      <c r="AW21" s="28">
        <v>0</v>
      </c>
      <c r="AX21" s="28">
        <v>0</v>
      </c>
      <c r="AY21" s="28">
        <v>0</v>
      </c>
      <c r="AZ21" s="28">
        <v>0</v>
      </c>
      <c r="BA21" s="28">
        <v>0</v>
      </c>
      <c r="BB21" s="28">
        <v>0</v>
      </c>
      <c r="BC21" s="28">
        <v>0</v>
      </c>
      <c r="BD21" s="28">
        <v>0</v>
      </c>
      <c r="BE21" s="28">
        <v>0</v>
      </c>
      <c r="BF21" s="28">
        <v>0</v>
      </c>
      <c r="BG21" s="28">
        <v>0</v>
      </c>
      <c r="BH21" s="28">
        <v>0</v>
      </c>
      <c r="BI21" s="28">
        <v>0</v>
      </c>
      <c r="BJ21" s="28">
        <v>0</v>
      </c>
      <c r="BK21" s="28">
        <v>0</v>
      </c>
      <c r="BL21" s="28">
        <v>0</v>
      </c>
      <c r="BM21" s="28">
        <v>0</v>
      </c>
      <c r="BN21" s="28">
        <v>0</v>
      </c>
      <c r="BO21" s="28">
        <v>0</v>
      </c>
      <c r="BP21" s="28">
        <v>0</v>
      </c>
      <c r="BQ21" s="28">
        <v>0</v>
      </c>
      <c r="BR21" s="28">
        <v>0</v>
      </c>
      <c r="BS21" s="28">
        <v>0</v>
      </c>
      <c r="BT21" s="28">
        <v>0</v>
      </c>
      <c r="BU21" s="28">
        <v>0</v>
      </c>
      <c r="BV21" s="28">
        <v>0</v>
      </c>
      <c r="BW21" s="28">
        <v>0</v>
      </c>
      <c r="BX21" s="28">
        <v>0</v>
      </c>
      <c r="BY21" s="28">
        <v>0</v>
      </c>
      <c r="BZ21" s="28">
        <v>0</v>
      </c>
      <c r="CA21" s="28">
        <v>0</v>
      </c>
      <c r="CB21" s="28">
        <v>0</v>
      </c>
      <c r="CC21" s="28">
        <v>0</v>
      </c>
      <c r="CD21" s="28">
        <v>0</v>
      </c>
      <c r="CE21" s="28">
        <v>0</v>
      </c>
      <c r="CF21" s="28">
        <v>0</v>
      </c>
      <c r="CG21" s="28">
        <v>0</v>
      </c>
      <c r="CH21" s="28">
        <v>0</v>
      </c>
    </row>
    <row r="22" spans="2:86" ht="15.75" customHeight="1">
      <c r="B22" s="28" t="s">
        <v>371</v>
      </c>
      <c r="C22" s="15"/>
      <c r="D22" s="15" t="s">
        <v>238</v>
      </c>
      <c r="E22" s="29">
        <f t="shared" si="2"/>
        <v>0</v>
      </c>
      <c r="F22" s="29"/>
      <c r="G22" s="28">
        <v>0</v>
      </c>
      <c r="H22" s="28">
        <v>0</v>
      </c>
      <c r="I22" s="28">
        <v>0</v>
      </c>
      <c r="J22" s="28">
        <v>0</v>
      </c>
      <c r="K22" s="28">
        <v>0</v>
      </c>
      <c r="L22" s="28">
        <v>0</v>
      </c>
      <c r="M22" s="28">
        <v>0</v>
      </c>
      <c r="N22" s="28">
        <v>0</v>
      </c>
      <c r="O22" s="28">
        <v>0</v>
      </c>
      <c r="P22" s="28">
        <v>0</v>
      </c>
      <c r="Q22" s="28">
        <v>0</v>
      </c>
      <c r="R22" s="28">
        <v>0</v>
      </c>
      <c r="S22" s="28">
        <v>0</v>
      </c>
      <c r="T22" s="28">
        <v>0</v>
      </c>
      <c r="U22" s="28">
        <v>0</v>
      </c>
      <c r="V22" s="28">
        <v>0</v>
      </c>
      <c r="W22" s="28">
        <v>0</v>
      </c>
      <c r="X22" s="28">
        <v>0</v>
      </c>
      <c r="Y22" s="28">
        <v>0</v>
      </c>
      <c r="Z22" s="28">
        <v>0</v>
      </c>
      <c r="AA22" s="28">
        <v>0</v>
      </c>
      <c r="AB22" s="28">
        <v>0</v>
      </c>
      <c r="AC22" s="28">
        <v>0</v>
      </c>
      <c r="AD22" s="28">
        <v>0</v>
      </c>
      <c r="AE22" s="28">
        <v>0</v>
      </c>
      <c r="AF22" s="28">
        <v>0</v>
      </c>
      <c r="AG22" s="28">
        <v>0</v>
      </c>
      <c r="AH22" s="28">
        <v>0</v>
      </c>
      <c r="AI22" s="28">
        <v>0</v>
      </c>
      <c r="AJ22" s="28">
        <v>0</v>
      </c>
      <c r="AK22" s="28">
        <v>0</v>
      </c>
      <c r="AL22" s="28">
        <v>0</v>
      </c>
      <c r="AM22" s="28">
        <v>0</v>
      </c>
      <c r="AN22" s="28">
        <v>0</v>
      </c>
      <c r="AO22" s="28">
        <v>0</v>
      </c>
      <c r="AP22" s="28">
        <v>0</v>
      </c>
      <c r="AQ22" s="28">
        <v>0</v>
      </c>
      <c r="AR22" s="28">
        <v>0</v>
      </c>
      <c r="AS22" s="28">
        <v>0</v>
      </c>
      <c r="AT22" s="28">
        <v>0</v>
      </c>
      <c r="AU22" s="28">
        <v>0</v>
      </c>
      <c r="AV22" s="28">
        <v>0</v>
      </c>
      <c r="AW22" s="28">
        <v>0</v>
      </c>
      <c r="AX22" s="28">
        <v>0</v>
      </c>
      <c r="AY22" s="28">
        <v>0</v>
      </c>
      <c r="AZ22" s="28">
        <v>0</v>
      </c>
      <c r="BA22" s="28">
        <v>0</v>
      </c>
      <c r="BB22" s="28">
        <v>0</v>
      </c>
      <c r="BC22" s="28">
        <v>0</v>
      </c>
      <c r="BD22" s="28">
        <v>0</v>
      </c>
      <c r="BE22" s="28">
        <v>0</v>
      </c>
      <c r="BF22" s="28">
        <v>0</v>
      </c>
      <c r="BG22" s="28">
        <v>0</v>
      </c>
      <c r="BH22" s="28">
        <v>0</v>
      </c>
      <c r="BI22" s="28">
        <v>0</v>
      </c>
      <c r="BJ22" s="28">
        <v>0</v>
      </c>
      <c r="BK22" s="28">
        <v>0</v>
      </c>
      <c r="BL22" s="28">
        <v>0</v>
      </c>
      <c r="BM22" s="28">
        <v>0</v>
      </c>
      <c r="BN22" s="28">
        <v>0</v>
      </c>
      <c r="BO22" s="28">
        <v>0</v>
      </c>
      <c r="BP22" s="28">
        <v>0</v>
      </c>
      <c r="BQ22" s="28">
        <v>0</v>
      </c>
      <c r="BR22" s="28">
        <v>0</v>
      </c>
      <c r="BS22" s="28">
        <v>0</v>
      </c>
      <c r="BT22" s="28">
        <v>0</v>
      </c>
      <c r="BU22" s="28">
        <v>0</v>
      </c>
      <c r="BV22" s="28">
        <v>0</v>
      </c>
      <c r="BW22" s="28">
        <v>0</v>
      </c>
      <c r="BX22" s="28">
        <v>0</v>
      </c>
      <c r="BY22" s="28">
        <v>0</v>
      </c>
      <c r="BZ22" s="28">
        <v>0</v>
      </c>
      <c r="CA22" s="28">
        <v>0</v>
      </c>
      <c r="CB22" s="28">
        <v>0</v>
      </c>
      <c r="CC22" s="28">
        <v>0</v>
      </c>
      <c r="CD22" s="28">
        <v>0</v>
      </c>
      <c r="CE22" s="28">
        <v>0</v>
      </c>
      <c r="CF22" s="28">
        <v>0</v>
      </c>
      <c r="CG22" s="28">
        <v>0</v>
      </c>
      <c r="CH22" s="28">
        <v>0</v>
      </c>
    </row>
    <row r="23" spans="2:86" ht="15.75" customHeight="1">
      <c r="B23" s="28" t="s">
        <v>371</v>
      </c>
      <c r="C23" s="15"/>
      <c r="D23" s="15" t="s">
        <v>238</v>
      </c>
      <c r="E23" s="29">
        <f t="shared" si="2"/>
        <v>0</v>
      </c>
      <c r="F23" s="29"/>
      <c r="G23" s="28">
        <v>0</v>
      </c>
      <c r="H23" s="28">
        <v>0</v>
      </c>
      <c r="I23" s="28">
        <v>0</v>
      </c>
      <c r="J23" s="28">
        <v>0</v>
      </c>
      <c r="K23" s="28">
        <v>0</v>
      </c>
      <c r="L23" s="28">
        <v>0</v>
      </c>
      <c r="M23" s="28">
        <v>0</v>
      </c>
      <c r="N23" s="28">
        <v>0</v>
      </c>
      <c r="O23" s="28">
        <v>0</v>
      </c>
      <c r="P23" s="28">
        <v>0</v>
      </c>
      <c r="Q23" s="28">
        <v>0</v>
      </c>
      <c r="R23" s="28">
        <v>0</v>
      </c>
      <c r="S23" s="28">
        <v>0</v>
      </c>
      <c r="T23" s="28">
        <v>0</v>
      </c>
      <c r="U23" s="28">
        <v>0</v>
      </c>
      <c r="V23" s="28">
        <v>0</v>
      </c>
      <c r="W23" s="28">
        <v>0</v>
      </c>
      <c r="X23" s="28">
        <v>0</v>
      </c>
      <c r="Y23" s="28">
        <v>0</v>
      </c>
      <c r="Z23" s="28">
        <v>0</v>
      </c>
      <c r="AA23" s="28">
        <v>0</v>
      </c>
      <c r="AB23" s="28">
        <v>0</v>
      </c>
      <c r="AC23" s="28">
        <v>0</v>
      </c>
      <c r="AD23" s="28">
        <v>0</v>
      </c>
      <c r="AE23" s="28">
        <v>0</v>
      </c>
      <c r="AF23" s="28">
        <v>0</v>
      </c>
      <c r="AG23" s="28">
        <v>0</v>
      </c>
      <c r="AH23" s="28">
        <v>0</v>
      </c>
      <c r="AI23" s="28">
        <v>0</v>
      </c>
      <c r="AJ23" s="28">
        <v>0</v>
      </c>
      <c r="AK23" s="28">
        <v>0</v>
      </c>
      <c r="AL23" s="28">
        <v>0</v>
      </c>
      <c r="AM23" s="28">
        <v>0</v>
      </c>
      <c r="AN23" s="28">
        <v>0</v>
      </c>
      <c r="AO23" s="28">
        <v>0</v>
      </c>
      <c r="AP23" s="28">
        <v>0</v>
      </c>
      <c r="AQ23" s="28">
        <v>0</v>
      </c>
      <c r="AR23" s="28">
        <v>0</v>
      </c>
      <c r="AS23" s="28">
        <v>0</v>
      </c>
      <c r="AT23" s="28">
        <v>0</v>
      </c>
      <c r="AU23" s="28">
        <v>0</v>
      </c>
      <c r="AV23" s="28">
        <v>0</v>
      </c>
      <c r="AW23" s="28">
        <v>0</v>
      </c>
      <c r="AX23" s="28">
        <v>0</v>
      </c>
      <c r="AY23" s="28">
        <v>0</v>
      </c>
      <c r="AZ23" s="28">
        <v>0</v>
      </c>
      <c r="BA23" s="28">
        <v>0</v>
      </c>
      <c r="BB23" s="28">
        <v>0</v>
      </c>
      <c r="BC23" s="28">
        <v>0</v>
      </c>
      <c r="BD23" s="28">
        <v>0</v>
      </c>
      <c r="BE23" s="28">
        <v>0</v>
      </c>
      <c r="BF23" s="28">
        <v>0</v>
      </c>
      <c r="BG23" s="28">
        <v>0</v>
      </c>
      <c r="BH23" s="28">
        <v>0</v>
      </c>
      <c r="BI23" s="28">
        <v>0</v>
      </c>
      <c r="BJ23" s="28">
        <v>0</v>
      </c>
      <c r="BK23" s="28">
        <v>0</v>
      </c>
      <c r="BL23" s="28">
        <v>0</v>
      </c>
      <c r="BM23" s="28">
        <v>0</v>
      </c>
      <c r="BN23" s="28">
        <v>0</v>
      </c>
      <c r="BO23" s="28">
        <v>0</v>
      </c>
      <c r="BP23" s="28">
        <v>0</v>
      </c>
      <c r="BQ23" s="28">
        <v>0</v>
      </c>
      <c r="BR23" s="28">
        <v>0</v>
      </c>
      <c r="BS23" s="28">
        <v>0</v>
      </c>
      <c r="BT23" s="28">
        <v>0</v>
      </c>
      <c r="BU23" s="28">
        <v>0</v>
      </c>
      <c r="BV23" s="28">
        <v>0</v>
      </c>
      <c r="BW23" s="28">
        <v>0</v>
      </c>
      <c r="BX23" s="28">
        <v>0</v>
      </c>
      <c r="BY23" s="28">
        <v>0</v>
      </c>
      <c r="BZ23" s="28">
        <v>0</v>
      </c>
      <c r="CA23" s="28">
        <v>0</v>
      </c>
      <c r="CB23" s="28">
        <v>0</v>
      </c>
      <c r="CC23" s="28">
        <v>0</v>
      </c>
      <c r="CD23" s="28">
        <v>0</v>
      </c>
      <c r="CE23" s="28">
        <v>0</v>
      </c>
      <c r="CF23" s="28">
        <v>0</v>
      </c>
      <c r="CG23" s="28">
        <v>0</v>
      </c>
      <c r="CH23" s="28">
        <v>0</v>
      </c>
    </row>
    <row r="24" spans="2:86" ht="15.75" customHeight="1">
      <c r="B24" s="28" t="s">
        <v>371</v>
      </c>
      <c r="C24" s="15"/>
      <c r="D24" s="15" t="s">
        <v>238</v>
      </c>
      <c r="E24" s="29">
        <f t="shared" si="2"/>
        <v>0</v>
      </c>
      <c r="F24" s="29"/>
      <c r="G24" s="28">
        <v>0</v>
      </c>
      <c r="H24" s="28">
        <v>0</v>
      </c>
      <c r="I24" s="28">
        <v>0</v>
      </c>
      <c r="J24" s="28">
        <v>0</v>
      </c>
      <c r="K24" s="28">
        <v>0</v>
      </c>
      <c r="L24" s="28">
        <v>0</v>
      </c>
      <c r="M24" s="28">
        <v>0</v>
      </c>
      <c r="N24" s="28">
        <v>0</v>
      </c>
      <c r="O24" s="28">
        <v>0</v>
      </c>
      <c r="P24" s="28">
        <v>0</v>
      </c>
      <c r="Q24" s="28">
        <v>0</v>
      </c>
      <c r="R24" s="28">
        <v>0</v>
      </c>
      <c r="S24" s="28">
        <v>0</v>
      </c>
      <c r="T24" s="28">
        <v>0</v>
      </c>
      <c r="U24" s="28">
        <v>0</v>
      </c>
      <c r="V24" s="28">
        <v>0</v>
      </c>
      <c r="W24" s="28">
        <v>0</v>
      </c>
      <c r="X24" s="28">
        <v>0</v>
      </c>
      <c r="Y24" s="28">
        <v>0</v>
      </c>
      <c r="Z24" s="28">
        <v>0</v>
      </c>
      <c r="AA24" s="28">
        <v>0</v>
      </c>
      <c r="AB24" s="28">
        <v>0</v>
      </c>
      <c r="AC24" s="28">
        <v>0</v>
      </c>
      <c r="AD24" s="28">
        <v>0</v>
      </c>
      <c r="AE24" s="28">
        <v>0</v>
      </c>
      <c r="AF24" s="28">
        <v>0</v>
      </c>
      <c r="AG24" s="28">
        <v>0</v>
      </c>
      <c r="AH24" s="28">
        <v>0</v>
      </c>
      <c r="AI24" s="28">
        <v>0</v>
      </c>
      <c r="AJ24" s="28">
        <v>0</v>
      </c>
      <c r="AK24" s="28">
        <v>0</v>
      </c>
      <c r="AL24" s="28">
        <v>0</v>
      </c>
      <c r="AM24" s="28">
        <v>0</v>
      </c>
      <c r="AN24" s="28">
        <v>0</v>
      </c>
      <c r="AO24" s="28">
        <v>0</v>
      </c>
      <c r="AP24" s="28">
        <v>0</v>
      </c>
      <c r="AQ24" s="28">
        <v>0</v>
      </c>
      <c r="AR24" s="28">
        <v>0</v>
      </c>
      <c r="AS24" s="28">
        <v>0</v>
      </c>
      <c r="AT24" s="28">
        <v>0</v>
      </c>
      <c r="AU24" s="28">
        <v>0</v>
      </c>
      <c r="AV24" s="28">
        <v>0</v>
      </c>
      <c r="AW24" s="28">
        <v>0</v>
      </c>
      <c r="AX24" s="28">
        <v>0</v>
      </c>
      <c r="AY24" s="28">
        <v>0</v>
      </c>
      <c r="AZ24" s="28">
        <v>0</v>
      </c>
      <c r="BA24" s="28">
        <v>0</v>
      </c>
      <c r="BB24" s="28">
        <v>0</v>
      </c>
      <c r="BC24" s="28">
        <v>0</v>
      </c>
      <c r="BD24" s="28">
        <v>0</v>
      </c>
      <c r="BE24" s="28">
        <v>0</v>
      </c>
      <c r="BF24" s="28">
        <v>0</v>
      </c>
      <c r="BG24" s="28">
        <v>0</v>
      </c>
      <c r="BH24" s="28">
        <v>0</v>
      </c>
      <c r="BI24" s="28">
        <v>0</v>
      </c>
      <c r="BJ24" s="28">
        <v>0</v>
      </c>
      <c r="BK24" s="28">
        <v>0</v>
      </c>
      <c r="BL24" s="28">
        <v>0</v>
      </c>
      <c r="BM24" s="28">
        <v>0</v>
      </c>
      <c r="BN24" s="28">
        <v>0</v>
      </c>
      <c r="BO24" s="28">
        <v>0</v>
      </c>
      <c r="BP24" s="28">
        <v>0</v>
      </c>
      <c r="BQ24" s="28">
        <v>0</v>
      </c>
      <c r="BR24" s="28">
        <v>0</v>
      </c>
      <c r="BS24" s="28">
        <v>0</v>
      </c>
      <c r="BT24" s="28">
        <v>0</v>
      </c>
      <c r="BU24" s="28">
        <v>0</v>
      </c>
      <c r="BV24" s="28">
        <v>0</v>
      </c>
      <c r="BW24" s="28">
        <v>0</v>
      </c>
      <c r="BX24" s="28">
        <v>0</v>
      </c>
      <c r="BY24" s="28">
        <v>0</v>
      </c>
      <c r="BZ24" s="28">
        <v>0</v>
      </c>
      <c r="CA24" s="28">
        <v>0</v>
      </c>
      <c r="CB24" s="28">
        <v>0</v>
      </c>
      <c r="CC24" s="28">
        <v>0</v>
      </c>
      <c r="CD24" s="28">
        <v>0</v>
      </c>
      <c r="CE24" s="28">
        <v>0</v>
      </c>
      <c r="CF24" s="28">
        <v>0</v>
      </c>
      <c r="CG24" s="28">
        <v>0</v>
      </c>
      <c r="CH24" s="28">
        <v>0</v>
      </c>
    </row>
    <row r="25" spans="2:86" ht="15.75" customHeight="1">
      <c r="B25" s="28" t="s">
        <v>362</v>
      </c>
      <c r="C25" s="15"/>
      <c r="D25" s="15" t="s">
        <v>238</v>
      </c>
      <c r="E25" s="29">
        <f t="shared" si="2"/>
        <v>0</v>
      </c>
      <c r="F25" s="29"/>
      <c r="G25" s="28">
        <v>0</v>
      </c>
      <c r="H25" s="28">
        <v>0</v>
      </c>
      <c r="I25" s="28">
        <v>0</v>
      </c>
      <c r="J25" s="28">
        <v>0</v>
      </c>
      <c r="K25" s="28">
        <v>0</v>
      </c>
      <c r="L25" s="28">
        <v>0</v>
      </c>
      <c r="M25" s="28">
        <v>0</v>
      </c>
      <c r="N25" s="28">
        <v>0</v>
      </c>
      <c r="O25" s="28">
        <v>0</v>
      </c>
      <c r="P25" s="28">
        <v>0</v>
      </c>
      <c r="Q25" s="28">
        <v>0</v>
      </c>
      <c r="R25" s="28">
        <v>0</v>
      </c>
      <c r="S25" s="28">
        <v>0</v>
      </c>
      <c r="T25" s="28">
        <v>0</v>
      </c>
      <c r="U25" s="28">
        <v>0</v>
      </c>
      <c r="V25" s="28">
        <v>0</v>
      </c>
      <c r="W25" s="28">
        <v>0</v>
      </c>
      <c r="X25" s="28">
        <v>0</v>
      </c>
      <c r="Y25" s="28">
        <v>0</v>
      </c>
      <c r="Z25" s="28">
        <v>0</v>
      </c>
      <c r="AA25" s="28">
        <v>0</v>
      </c>
      <c r="AB25" s="28">
        <v>0</v>
      </c>
      <c r="AC25" s="28">
        <v>0</v>
      </c>
      <c r="AD25" s="28">
        <v>0</v>
      </c>
      <c r="AE25" s="28">
        <v>0</v>
      </c>
      <c r="AF25" s="28">
        <v>0</v>
      </c>
      <c r="AG25" s="28">
        <v>0</v>
      </c>
      <c r="AH25" s="28">
        <v>0</v>
      </c>
      <c r="AI25" s="28">
        <v>0</v>
      </c>
      <c r="AJ25" s="28">
        <v>0</v>
      </c>
      <c r="AK25" s="28">
        <v>0</v>
      </c>
      <c r="AL25" s="28">
        <v>0</v>
      </c>
      <c r="AM25" s="28">
        <v>0</v>
      </c>
      <c r="AN25" s="28">
        <v>0</v>
      </c>
      <c r="AO25" s="28">
        <v>0</v>
      </c>
      <c r="AP25" s="28">
        <v>0</v>
      </c>
      <c r="AQ25" s="28">
        <v>0</v>
      </c>
      <c r="AR25" s="28">
        <v>0</v>
      </c>
      <c r="AS25" s="28">
        <v>0</v>
      </c>
      <c r="AT25" s="28">
        <v>0</v>
      </c>
      <c r="AU25" s="28">
        <v>0</v>
      </c>
      <c r="AV25" s="28">
        <v>0</v>
      </c>
      <c r="AW25" s="28">
        <v>0</v>
      </c>
      <c r="AX25" s="28">
        <v>0</v>
      </c>
      <c r="AY25" s="28">
        <v>0</v>
      </c>
      <c r="AZ25" s="28">
        <v>0</v>
      </c>
      <c r="BA25" s="28">
        <v>0</v>
      </c>
      <c r="BB25" s="28">
        <v>0</v>
      </c>
      <c r="BC25" s="28">
        <v>0</v>
      </c>
      <c r="BD25" s="28">
        <v>0</v>
      </c>
      <c r="BE25" s="28">
        <v>0</v>
      </c>
      <c r="BF25" s="28">
        <v>0</v>
      </c>
      <c r="BG25" s="28">
        <v>0</v>
      </c>
      <c r="BH25" s="28">
        <v>0</v>
      </c>
      <c r="BI25" s="28">
        <v>0</v>
      </c>
      <c r="BJ25" s="28">
        <v>0</v>
      </c>
      <c r="BK25" s="28">
        <v>0</v>
      </c>
      <c r="BL25" s="28">
        <v>0</v>
      </c>
      <c r="BM25" s="28">
        <v>0</v>
      </c>
      <c r="BN25" s="28">
        <v>0</v>
      </c>
      <c r="BO25" s="28">
        <v>0</v>
      </c>
      <c r="BP25" s="28">
        <v>0</v>
      </c>
      <c r="BQ25" s="28">
        <v>0</v>
      </c>
      <c r="BR25" s="28">
        <v>0</v>
      </c>
      <c r="BS25" s="28">
        <v>0</v>
      </c>
      <c r="BT25" s="28">
        <v>0</v>
      </c>
      <c r="BU25" s="28">
        <v>0</v>
      </c>
      <c r="BV25" s="28">
        <v>0</v>
      </c>
      <c r="BW25" s="28">
        <v>0</v>
      </c>
      <c r="BX25" s="28">
        <v>0</v>
      </c>
      <c r="BY25" s="28">
        <v>0</v>
      </c>
      <c r="BZ25" s="28">
        <v>0</v>
      </c>
      <c r="CA25" s="28">
        <v>0</v>
      </c>
      <c r="CB25" s="28">
        <v>0</v>
      </c>
      <c r="CC25" s="28">
        <v>0</v>
      </c>
      <c r="CD25" s="28">
        <v>0</v>
      </c>
      <c r="CE25" s="28">
        <v>0</v>
      </c>
      <c r="CF25" s="28">
        <v>0</v>
      </c>
      <c r="CG25" s="28">
        <v>0</v>
      </c>
      <c r="CH25" s="28">
        <v>0</v>
      </c>
    </row>
    <row r="26" spans="2:86" ht="15.75" customHeight="1">
      <c r="B26" s="28" t="s">
        <v>362</v>
      </c>
      <c r="C26" s="15"/>
      <c r="D26" s="15" t="s">
        <v>238</v>
      </c>
      <c r="E26" s="29">
        <f t="shared" si="2"/>
        <v>0</v>
      </c>
      <c r="F26" s="29"/>
      <c r="G26" s="28">
        <v>0</v>
      </c>
      <c r="H26" s="28">
        <v>0</v>
      </c>
      <c r="I26" s="28">
        <v>0</v>
      </c>
      <c r="J26" s="28">
        <v>0</v>
      </c>
      <c r="K26" s="28">
        <v>0</v>
      </c>
      <c r="L26" s="28">
        <v>0</v>
      </c>
      <c r="M26" s="28">
        <v>0</v>
      </c>
      <c r="N26" s="28">
        <v>0</v>
      </c>
      <c r="O26" s="28">
        <v>0</v>
      </c>
      <c r="P26" s="28">
        <v>0</v>
      </c>
      <c r="Q26" s="28">
        <v>0</v>
      </c>
      <c r="R26" s="28">
        <v>0</v>
      </c>
      <c r="S26" s="28">
        <v>0</v>
      </c>
      <c r="T26" s="28">
        <v>0</v>
      </c>
      <c r="U26" s="28">
        <v>0</v>
      </c>
      <c r="V26" s="28">
        <v>0</v>
      </c>
      <c r="W26" s="28">
        <v>0</v>
      </c>
      <c r="X26" s="28">
        <v>0</v>
      </c>
      <c r="Y26" s="28">
        <v>0</v>
      </c>
      <c r="Z26" s="28">
        <v>0</v>
      </c>
      <c r="AA26" s="28">
        <v>0</v>
      </c>
      <c r="AB26" s="28">
        <v>0</v>
      </c>
      <c r="AC26" s="28">
        <v>0</v>
      </c>
      <c r="AD26" s="28">
        <v>0</v>
      </c>
      <c r="AE26" s="28">
        <v>0</v>
      </c>
      <c r="AF26" s="28">
        <v>0</v>
      </c>
      <c r="AG26" s="28">
        <v>0</v>
      </c>
      <c r="AH26" s="28">
        <v>0</v>
      </c>
      <c r="AI26" s="28">
        <v>0</v>
      </c>
      <c r="AJ26" s="28">
        <v>0</v>
      </c>
      <c r="AK26" s="28">
        <v>0</v>
      </c>
      <c r="AL26" s="28">
        <v>0</v>
      </c>
      <c r="AM26" s="28">
        <v>0</v>
      </c>
      <c r="AN26" s="28">
        <v>0</v>
      </c>
      <c r="AO26" s="28">
        <v>0</v>
      </c>
      <c r="AP26" s="28">
        <v>0</v>
      </c>
      <c r="AQ26" s="28">
        <v>0</v>
      </c>
      <c r="AR26" s="28">
        <v>0</v>
      </c>
      <c r="AS26" s="28">
        <v>0</v>
      </c>
      <c r="AT26" s="28">
        <v>0</v>
      </c>
      <c r="AU26" s="28">
        <v>0</v>
      </c>
      <c r="AV26" s="28">
        <v>0</v>
      </c>
      <c r="AW26" s="28">
        <v>0</v>
      </c>
      <c r="AX26" s="28">
        <v>0</v>
      </c>
      <c r="AY26" s="28">
        <v>0</v>
      </c>
      <c r="AZ26" s="28">
        <v>0</v>
      </c>
      <c r="BA26" s="28">
        <v>0</v>
      </c>
      <c r="BB26" s="28">
        <v>0</v>
      </c>
      <c r="BC26" s="28">
        <v>0</v>
      </c>
      <c r="BD26" s="28">
        <v>0</v>
      </c>
      <c r="BE26" s="28">
        <v>0</v>
      </c>
      <c r="BF26" s="28">
        <v>0</v>
      </c>
      <c r="BG26" s="28">
        <v>0</v>
      </c>
      <c r="BH26" s="28">
        <v>0</v>
      </c>
      <c r="BI26" s="28">
        <v>0</v>
      </c>
      <c r="BJ26" s="28">
        <v>0</v>
      </c>
      <c r="BK26" s="28">
        <v>0</v>
      </c>
      <c r="BL26" s="28">
        <v>0</v>
      </c>
      <c r="BM26" s="28">
        <v>0</v>
      </c>
      <c r="BN26" s="28">
        <v>0</v>
      </c>
      <c r="BO26" s="28">
        <v>0</v>
      </c>
      <c r="BP26" s="28">
        <v>0</v>
      </c>
      <c r="BQ26" s="28">
        <v>0</v>
      </c>
      <c r="BR26" s="28">
        <v>0</v>
      </c>
      <c r="BS26" s="28">
        <v>0</v>
      </c>
      <c r="BT26" s="28">
        <v>0</v>
      </c>
      <c r="BU26" s="28">
        <v>0</v>
      </c>
      <c r="BV26" s="28">
        <v>0</v>
      </c>
      <c r="BW26" s="28">
        <v>0</v>
      </c>
      <c r="BX26" s="28">
        <v>0</v>
      </c>
      <c r="BY26" s="28">
        <v>0</v>
      </c>
      <c r="BZ26" s="28">
        <v>0</v>
      </c>
      <c r="CA26" s="28">
        <v>0</v>
      </c>
      <c r="CB26" s="28">
        <v>0</v>
      </c>
      <c r="CC26" s="28">
        <v>0</v>
      </c>
      <c r="CD26" s="28">
        <v>0</v>
      </c>
      <c r="CE26" s="28">
        <v>0</v>
      </c>
      <c r="CF26" s="28">
        <v>0</v>
      </c>
      <c r="CG26" s="28">
        <v>0</v>
      </c>
      <c r="CH26" s="28">
        <v>0</v>
      </c>
    </row>
    <row r="27" spans="2:86" ht="15.75" customHeight="1">
      <c r="B27" s="15" t="s">
        <v>363</v>
      </c>
      <c r="C27" s="15"/>
      <c r="D27" s="15" t="s">
        <v>238</v>
      </c>
      <c r="E27" s="29">
        <f t="shared" si="2"/>
        <v>0</v>
      </c>
      <c r="F27" s="29"/>
      <c r="G27" s="80">
        <f t="shared" ref="G27:CH27" si="3">SUM(G13:G26)</f>
        <v>0</v>
      </c>
      <c r="H27" s="80">
        <f t="shared" si="3"/>
        <v>0</v>
      </c>
      <c r="I27" s="80">
        <f t="shared" si="3"/>
        <v>0</v>
      </c>
      <c r="J27" s="80">
        <f t="shared" si="3"/>
        <v>0</v>
      </c>
      <c r="K27" s="80">
        <f t="shared" si="3"/>
        <v>0</v>
      </c>
      <c r="L27" s="80">
        <f t="shared" si="3"/>
        <v>0</v>
      </c>
      <c r="M27" s="80">
        <f t="shared" si="3"/>
        <v>0</v>
      </c>
      <c r="N27" s="80">
        <f t="shared" si="3"/>
        <v>0</v>
      </c>
      <c r="O27" s="80">
        <f t="shared" si="3"/>
        <v>0</v>
      </c>
      <c r="P27" s="80">
        <f t="shared" si="3"/>
        <v>0</v>
      </c>
      <c r="Q27" s="80">
        <f t="shared" si="3"/>
        <v>0</v>
      </c>
      <c r="R27" s="80">
        <f t="shared" si="3"/>
        <v>0</v>
      </c>
      <c r="S27" s="80">
        <f t="shared" si="3"/>
        <v>0</v>
      </c>
      <c r="T27" s="80">
        <f t="shared" si="3"/>
        <v>0</v>
      </c>
      <c r="U27" s="80">
        <f t="shared" si="3"/>
        <v>0</v>
      </c>
      <c r="V27" s="80">
        <f t="shared" si="3"/>
        <v>0</v>
      </c>
      <c r="W27" s="80">
        <f t="shared" si="3"/>
        <v>0</v>
      </c>
      <c r="X27" s="80">
        <f t="shared" si="3"/>
        <v>0</v>
      </c>
      <c r="Y27" s="80">
        <f t="shared" si="3"/>
        <v>0</v>
      </c>
      <c r="Z27" s="80">
        <f t="shared" si="3"/>
        <v>0</v>
      </c>
      <c r="AA27" s="80">
        <f t="shared" si="3"/>
        <v>0</v>
      </c>
      <c r="AB27" s="80">
        <f t="shared" si="3"/>
        <v>0</v>
      </c>
      <c r="AC27" s="80">
        <f t="shared" si="3"/>
        <v>0</v>
      </c>
      <c r="AD27" s="80">
        <f t="shared" si="3"/>
        <v>0</v>
      </c>
      <c r="AE27" s="80">
        <f t="shared" si="3"/>
        <v>0</v>
      </c>
      <c r="AF27" s="80">
        <f t="shared" si="3"/>
        <v>0</v>
      </c>
      <c r="AG27" s="80">
        <f t="shared" si="3"/>
        <v>0</v>
      </c>
      <c r="AH27" s="80">
        <f t="shared" si="3"/>
        <v>0</v>
      </c>
      <c r="AI27" s="80">
        <f t="shared" si="3"/>
        <v>0</v>
      </c>
      <c r="AJ27" s="80">
        <f t="shared" si="3"/>
        <v>0</v>
      </c>
      <c r="AK27" s="80">
        <f t="shared" si="3"/>
        <v>0</v>
      </c>
      <c r="AL27" s="80">
        <f t="shared" si="3"/>
        <v>0</v>
      </c>
      <c r="AM27" s="80">
        <f t="shared" si="3"/>
        <v>0</v>
      </c>
      <c r="AN27" s="80">
        <f t="shared" si="3"/>
        <v>0</v>
      </c>
      <c r="AO27" s="80">
        <f t="shared" si="3"/>
        <v>0</v>
      </c>
      <c r="AP27" s="80">
        <f t="shared" si="3"/>
        <v>0</v>
      </c>
      <c r="AQ27" s="80">
        <f t="shared" si="3"/>
        <v>0</v>
      </c>
      <c r="AR27" s="80">
        <f t="shared" si="3"/>
        <v>0</v>
      </c>
      <c r="AS27" s="80">
        <f t="shared" si="3"/>
        <v>0</v>
      </c>
      <c r="AT27" s="80">
        <f t="shared" si="3"/>
        <v>0</v>
      </c>
      <c r="AU27" s="80">
        <f t="shared" si="3"/>
        <v>0</v>
      </c>
      <c r="AV27" s="80">
        <f t="shared" si="3"/>
        <v>0</v>
      </c>
      <c r="AW27" s="80">
        <f t="shared" si="3"/>
        <v>0</v>
      </c>
      <c r="AX27" s="80">
        <f t="shared" si="3"/>
        <v>0</v>
      </c>
      <c r="AY27" s="80">
        <f t="shared" si="3"/>
        <v>0</v>
      </c>
      <c r="AZ27" s="80">
        <f t="shared" si="3"/>
        <v>0</v>
      </c>
      <c r="BA27" s="80">
        <f t="shared" si="3"/>
        <v>0</v>
      </c>
      <c r="BB27" s="80">
        <f t="shared" si="3"/>
        <v>0</v>
      </c>
      <c r="BC27" s="80">
        <f t="shared" si="3"/>
        <v>0</v>
      </c>
      <c r="BD27" s="80">
        <f t="shared" si="3"/>
        <v>0</v>
      </c>
      <c r="BE27" s="80">
        <f t="shared" si="3"/>
        <v>0</v>
      </c>
      <c r="BF27" s="80">
        <f t="shared" si="3"/>
        <v>0</v>
      </c>
      <c r="BG27" s="80">
        <f t="shared" si="3"/>
        <v>0</v>
      </c>
      <c r="BH27" s="80">
        <f t="shared" si="3"/>
        <v>0</v>
      </c>
      <c r="BI27" s="80">
        <f t="shared" si="3"/>
        <v>0</v>
      </c>
      <c r="BJ27" s="80">
        <f t="shared" si="3"/>
        <v>0</v>
      </c>
      <c r="BK27" s="80">
        <f t="shared" si="3"/>
        <v>0</v>
      </c>
      <c r="BL27" s="80">
        <f t="shared" si="3"/>
        <v>0</v>
      </c>
      <c r="BM27" s="80">
        <f t="shared" si="3"/>
        <v>0</v>
      </c>
      <c r="BN27" s="80">
        <f t="shared" si="3"/>
        <v>0</v>
      </c>
      <c r="BO27" s="80">
        <f t="shared" si="3"/>
        <v>0</v>
      </c>
      <c r="BP27" s="80">
        <f t="shared" si="3"/>
        <v>0</v>
      </c>
      <c r="BQ27" s="80">
        <f t="shared" si="3"/>
        <v>0</v>
      </c>
      <c r="BR27" s="80">
        <f t="shared" si="3"/>
        <v>0</v>
      </c>
      <c r="BS27" s="80">
        <f t="shared" si="3"/>
        <v>0</v>
      </c>
      <c r="BT27" s="80">
        <f t="shared" si="3"/>
        <v>0</v>
      </c>
      <c r="BU27" s="80">
        <f t="shared" si="3"/>
        <v>0</v>
      </c>
      <c r="BV27" s="80">
        <f t="shared" si="3"/>
        <v>0</v>
      </c>
      <c r="BW27" s="80">
        <f t="shared" si="3"/>
        <v>0</v>
      </c>
      <c r="BX27" s="80">
        <f t="shared" si="3"/>
        <v>0</v>
      </c>
      <c r="BY27" s="80">
        <f t="shared" si="3"/>
        <v>0</v>
      </c>
      <c r="BZ27" s="80">
        <f t="shared" si="3"/>
        <v>0</v>
      </c>
      <c r="CA27" s="80">
        <f t="shared" si="3"/>
        <v>0</v>
      </c>
      <c r="CB27" s="80">
        <f t="shared" si="3"/>
        <v>0</v>
      </c>
      <c r="CC27" s="80">
        <f t="shared" si="3"/>
        <v>0</v>
      </c>
      <c r="CD27" s="80">
        <f t="shared" si="3"/>
        <v>0</v>
      </c>
      <c r="CE27" s="80">
        <f t="shared" si="3"/>
        <v>0</v>
      </c>
      <c r="CF27" s="80">
        <f t="shared" si="3"/>
        <v>0</v>
      </c>
      <c r="CG27" s="80">
        <f t="shared" si="3"/>
        <v>0</v>
      </c>
      <c r="CH27" s="80">
        <f t="shared" si="3"/>
        <v>0</v>
      </c>
    </row>
    <row r="28" spans="2:86" ht="15.75" customHeight="1">
      <c r="B28" s="15"/>
      <c r="C28" s="15"/>
      <c r="D28" s="15"/>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row>
    <row r="29" spans="2:86" ht="15.75" customHeight="1">
      <c r="B29" s="68" t="s">
        <v>372</v>
      </c>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row>
    <row r="30" spans="2:86" ht="15.75" customHeight="1">
      <c r="B30" s="15" t="s">
        <v>373</v>
      </c>
      <c r="C30" s="15"/>
      <c r="D30" s="15" t="s">
        <v>252</v>
      </c>
      <c r="E30" s="29">
        <f t="shared" ref="E30:E34" si="4">IF(D30="sum",SUM(G30:CH30),IF(D30="final",CH30,IF(D30="initial",G30,IF(D30="average",AVERAGE(G30:CH30),0))))</f>
        <v>0</v>
      </c>
      <c r="F30" s="29"/>
      <c r="G30" s="28">
        <v>0</v>
      </c>
      <c r="H30" s="29">
        <f t="shared" ref="H30:CH30" si="5">G34</f>
        <v>122500</v>
      </c>
      <c r="I30" s="29">
        <f t="shared" si="5"/>
        <v>245000</v>
      </c>
      <c r="J30" s="29">
        <f t="shared" si="5"/>
        <v>367500</v>
      </c>
      <c r="K30" s="29">
        <f t="shared" si="5"/>
        <v>490000</v>
      </c>
      <c r="L30" s="29">
        <f t="shared" si="5"/>
        <v>612500</v>
      </c>
      <c r="M30" s="29">
        <f t="shared" si="5"/>
        <v>735000</v>
      </c>
      <c r="N30" s="29">
        <f t="shared" si="5"/>
        <v>857500</v>
      </c>
      <c r="O30" s="29">
        <f t="shared" si="5"/>
        <v>980000</v>
      </c>
      <c r="P30" s="29">
        <f t="shared" si="5"/>
        <v>1102500</v>
      </c>
      <c r="Q30" s="29">
        <f t="shared" si="5"/>
        <v>1225000</v>
      </c>
      <c r="R30" s="29">
        <f t="shared" si="5"/>
        <v>1347500</v>
      </c>
      <c r="S30" s="29">
        <f t="shared" si="5"/>
        <v>1470000</v>
      </c>
      <c r="T30" s="29">
        <f t="shared" si="5"/>
        <v>1592500</v>
      </c>
      <c r="U30" s="29">
        <f t="shared" si="5"/>
        <v>1715000</v>
      </c>
      <c r="V30" s="29">
        <f t="shared" si="5"/>
        <v>1837500</v>
      </c>
      <c r="W30" s="29">
        <f t="shared" si="5"/>
        <v>1960000</v>
      </c>
      <c r="X30" s="29">
        <f t="shared" si="5"/>
        <v>2082500</v>
      </c>
      <c r="Y30" s="29">
        <f t="shared" si="5"/>
        <v>2205000</v>
      </c>
      <c r="Z30" s="29">
        <f t="shared" si="5"/>
        <v>2327500</v>
      </c>
      <c r="AA30" s="29">
        <f t="shared" si="5"/>
        <v>2450000</v>
      </c>
      <c r="AB30" s="29">
        <f t="shared" si="5"/>
        <v>2572500</v>
      </c>
      <c r="AC30" s="29">
        <f t="shared" si="5"/>
        <v>2695000</v>
      </c>
      <c r="AD30" s="29">
        <f t="shared" si="5"/>
        <v>2817500</v>
      </c>
      <c r="AE30" s="29">
        <f t="shared" si="5"/>
        <v>2940000</v>
      </c>
      <c r="AF30" s="29">
        <f t="shared" si="5"/>
        <v>3062500</v>
      </c>
      <c r="AG30" s="29">
        <f t="shared" si="5"/>
        <v>3185000</v>
      </c>
      <c r="AH30" s="29">
        <f t="shared" si="5"/>
        <v>3307500</v>
      </c>
      <c r="AI30" s="29">
        <f t="shared" si="5"/>
        <v>3430000</v>
      </c>
      <c r="AJ30" s="29">
        <f t="shared" si="5"/>
        <v>3552500</v>
      </c>
      <c r="AK30" s="29">
        <f t="shared" si="5"/>
        <v>3675000</v>
      </c>
      <c r="AL30" s="29">
        <f t="shared" si="5"/>
        <v>3797500</v>
      </c>
      <c r="AM30" s="29">
        <f t="shared" si="5"/>
        <v>3920000</v>
      </c>
      <c r="AN30" s="29">
        <f t="shared" si="5"/>
        <v>4042500</v>
      </c>
      <c r="AO30" s="29">
        <f t="shared" si="5"/>
        <v>4165000</v>
      </c>
      <c r="AP30" s="29">
        <f t="shared" si="5"/>
        <v>4287500</v>
      </c>
      <c r="AQ30" s="29">
        <f t="shared" si="5"/>
        <v>4410000</v>
      </c>
      <c r="AR30" s="29">
        <f t="shared" si="5"/>
        <v>4532500</v>
      </c>
      <c r="AS30" s="29">
        <f t="shared" si="5"/>
        <v>4655000</v>
      </c>
      <c r="AT30" s="29">
        <f t="shared" si="5"/>
        <v>4777500</v>
      </c>
      <c r="AU30" s="29">
        <f t="shared" si="5"/>
        <v>4900000</v>
      </c>
      <c r="AV30" s="29">
        <f t="shared" si="5"/>
        <v>4900000</v>
      </c>
      <c r="AW30" s="29">
        <f t="shared" si="5"/>
        <v>4900000</v>
      </c>
      <c r="AX30" s="29">
        <f t="shared" si="5"/>
        <v>4900000</v>
      </c>
      <c r="AY30" s="29">
        <f t="shared" si="5"/>
        <v>4900000</v>
      </c>
      <c r="AZ30" s="29">
        <f t="shared" si="5"/>
        <v>4900000</v>
      </c>
      <c r="BA30" s="29">
        <f t="shared" si="5"/>
        <v>4900000</v>
      </c>
      <c r="BB30" s="29">
        <f t="shared" si="5"/>
        <v>4900000</v>
      </c>
      <c r="BC30" s="29">
        <f t="shared" si="5"/>
        <v>4900000</v>
      </c>
      <c r="BD30" s="29">
        <f t="shared" si="5"/>
        <v>4900000</v>
      </c>
      <c r="BE30" s="29">
        <f t="shared" si="5"/>
        <v>4900000</v>
      </c>
      <c r="BF30" s="29">
        <f t="shared" si="5"/>
        <v>4900000</v>
      </c>
      <c r="BG30" s="29">
        <f t="shared" si="5"/>
        <v>4900000</v>
      </c>
      <c r="BH30" s="29">
        <f t="shared" si="5"/>
        <v>4900000</v>
      </c>
      <c r="BI30" s="29">
        <f t="shared" si="5"/>
        <v>4900000</v>
      </c>
      <c r="BJ30" s="29">
        <f t="shared" si="5"/>
        <v>4900000</v>
      </c>
      <c r="BK30" s="29">
        <f t="shared" si="5"/>
        <v>4900000</v>
      </c>
      <c r="BL30" s="29">
        <f t="shared" si="5"/>
        <v>4900000</v>
      </c>
      <c r="BM30" s="29">
        <f t="shared" si="5"/>
        <v>4900000</v>
      </c>
      <c r="BN30" s="29">
        <f t="shared" si="5"/>
        <v>4900000</v>
      </c>
      <c r="BO30" s="29">
        <f t="shared" si="5"/>
        <v>4900000</v>
      </c>
      <c r="BP30" s="29">
        <f t="shared" si="5"/>
        <v>4900000</v>
      </c>
      <c r="BQ30" s="29">
        <f t="shared" si="5"/>
        <v>4900000</v>
      </c>
      <c r="BR30" s="29">
        <f t="shared" si="5"/>
        <v>4900000</v>
      </c>
      <c r="BS30" s="29">
        <f t="shared" si="5"/>
        <v>4900000</v>
      </c>
      <c r="BT30" s="29">
        <f t="shared" si="5"/>
        <v>4900000</v>
      </c>
      <c r="BU30" s="29">
        <f t="shared" si="5"/>
        <v>4900000</v>
      </c>
      <c r="BV30" s="29">
        <f t="shared" si="5"/>
        <v>4900000</v>
      </c>
      <c r="BW30" s="29">
        <f t="shared" si="5"/>
        <v>4900000</v>
      </c>
      <c r="BX30" s="29">
        <f t="shared" si="5"/>
        <v>4900000</v>
      </c>
      <c r="BY30" s="29">
        <f t="shared" si="5"/>
        <v>4900000</v>
      </c>
      <c r="BZ30" s="29">
        <f t="shared" si="5"/>
        <v>4900000</v>
      </c>
      <c r="CA30" s="29">
        <f t="shared" si="5"/>
        <v>4900000</v>
      </c>
      <c r="CB30" s="29">
        <f t="shared" si="5"/>
        <v>4900000</v>
      </c>
      <c r="CC30" s="29">
        <f t="shared" si="5"/>
        <v>4900000</v>
      </c>
      <c r="CD30" s="29">
        <f t="shared" si="5"/>
        <v>4900000</v>
      </c>
      <c r="CE30" s="29">
        <f t="shared" si="5"/>
        <v>4900000</v>
      </c>
      <c r="CF30" s="29">
        <f t="shared" si="5"/>
        <v>4900000</v>
      </c>
      <c r="CG30" s="29">
        <f t="shared" si="5"/>
        <v>4900000</v>
      </c>
      <c r="CH30" s="29">
        <f t="shared" si="5"/>
        <v>4900000</v>
      </c>
    </row>
    <row r="31" spans="2:86" ht="15.75" customHeight="1">
      <c r="B31" s="15" t="s">
        <v>361</v>
      </c>
      <c r="C31" s="15"/>
      <c r="D31" s="15" t="s">
        <v>238</v>
      </c>
      <c r="E31" s="29">
        <f t="shared" si="4"/>
        <v>4900000</v>
      </c>
      <c r="F31" s="29"/>
      <c r="G31" s="29">
        <f t="shared" ref="G31:CH31" si="6">G10</f>
        <v>122500</v>
      </c>
      <c r="H31" s="29">
        <f t="shared" si="6"/>
        <v>122500</v>
      </c>
      <c r="I31" s="29">
        <f t="shared" si="6"/>
        <v>122500</v>
      </c>
      <c r="J31" s="29">
        <f t="shared" si="6"/>
        <v>122500</v>
      </c>
      <c r="K31" s="29">
        <f t="shared" si="6"/>
        <v>122500</v>
      </c>
      <c r="L31" s="29">
        <f t="shared" si="6"/>
        <v>122500</v>
      </c>
      <c r="M31" s="29">
        <f t="shared" si="6"/>
        <v>122500</v>
      </c>
      <c r="N31" s="29">
        <f t="shared" si="6"/>
        <v>122500</v>
      </c>
      <c r="O31" s="29">
        <f t="shared" si="6"/>
        <v>122500</v>
      </c>
      <c r="P31" s="29">
        <f t="shared" si="6"/>
        <v>122500</v>
      </c>
      <c r="Q31" s="29">
        <f t="shared" si="6"/>
        <v>122500</v>
      </c>
      <c r="R31" s="29">
        <f t="shared" si="6"/>
        <v>122500</v>
      </c>
      <c r="S31" s="29">
        <f t="shared" si="6"/>
        <v>122500</v>
      </c>
      <c r="T31" s="29">
        <f t="shared" si="6"/>
        <v>122500</v>
      </c>
      <c r="U31" s="29">
        <f t="shared" si="6"/>
        <v>122500</v>
      </c>
      <c r="V31" s="29">
        <f t="shared" si="6"/>
        <v>122500</v>
      </c>
      <c r="W31" s="29">
        <f t="shared" si="6"/>
        <v>122500</v>
      </c>
      <c r="X31" s="29">
        <f t="shared" si="6"/>
        <v>122500</v>
      </c>
      <c r="Y31" s="29">
        <f t="shared" si="6"/>
        <v>122500</v>
      </c>
      <c r="Z31" s="29">
        <f t="shared" si="6"/>
        <v>122500</v>
      </c>
      <c r="AA31" s="29">
        <f t="shared" si="6"/>
        <v>122500</v>
      </c>
      <c r="AB31" s="29">
        <f t="shared" si="6"/>
        <v>122500</v>
      </c>
      <c r="AC31" s="29">
        <f t="shared" si="6"/>
        <v>122500</v>
      </c>
      <c r="AD31" s="29">
        <f t="shared" si="6"/>
        <v>122500</v>
      </c>
      <c r="AE31" s="29">
        <f t="shared" si="6"/>
        <v>122500</v>
      </c>
      <c r="AF31" s="29">
        <f t="shared" si="6"/>
        <v>122500</v>
      </c>
      <c r="AG31" s="29">
        <f t="shared" si="6"/>
        <v>122500</v>
      </c>
      <c r="AH31" s="29">
        <f t="shared" si="6"/>
        <v>122500</v>
      </c>
      <c r="AI31" s="29">
        <f t="shared" si="6"/>
        <v>122500</v>
      </c>
      <c r="AJ31" s="29">
        <f t="shared" si="6"/>
        <v>122500</v>
      </c>
      <c r="AK31" s="29">
        <f t="shared" si="6"/>
        <v>122500</v>
      </c>
      <c r="AL31" s="29">
        <f t="shared" si="6"/>
        <v>122500</v>
      </c>
      <c r="AM31" s="29">
        <f t="shared" si="6"/>
        <v>122500</v>
      </c>
      <c r="AN31" s="29">
        <f t="shared" si="6"/>
        <v>122500</v>
      </c>
      <c r="AO31" s="29">
        <f t="shared" si="6"/>
        <v>122500</v>
      </c>
      <c r="AP31" s="29">
        <f t="shared" si="6"/>
        <v>122500</v>
      </c>
      <c r="AQ31" s="29">
        <f t="shared" si="6"/>
        <v>122500</v>
      </c>
      <c r="AR31" s="29">
        <f t="shared" si="6"/>
        <v>122500</v>
      </c>
      <c r="AS31" s="29">
        <f t="shared" si="6"/>
        <v>122500</v>
      </c>
      <c r="AT31" s="29">
        <f t="shared" si="6"/>
        <v>122500</v>
      </c>
      <c r="AU31" s="29">
        <f t="shared" si="6"/>
        <v>0</v>
      </c>
      <c r="AV31" s="29">
        <f t="shared" si="6"/>
        <v>0</v>
      </c>
      <c r="AW31" s="29">
        <f t="shared" si="6"/>
        <v>0</v>
      </c>
      <c r="AX31" s="29">
        <f t="shared" si="6"/>
        <v>0</v>
      </c>
      <c r="AY31" s="29">
        <f t="shared" si="6"/>
        <v>0</v>
      </c>
      <c r="AZ31" s="29">
        <f t="shared" si="6"/>
        <v>0</v>
      </c>
      <c r="BA31" s="29">
        <f t="shared" si="6"/>
        <v>0</v>
      </c>
      <c r="BB31" s="29">
        <f t="shared" si="6"/>
        <v>0</v>
      </c>
      <c r="BC31" s="29">
        <f t="shared" si="6"/>
        <v>0</v>
      </c>
      <c r="BD31" s="29">
        <f t="shared" si="6"/>
        <v>0</v>
      </c>
      <c r="BE31" s="29">
        <f t="shared" si="6"/>
        <v>0</v>
      </c>
      <c r="BF31" s="29">
        <f t="shared" si="6"/>
        <v>0</v>
      </c>
      <c r="BG31" s="29">
        <f t="shared" si="6"/>
        <v>0</v>
      </c>
      <c r="BH31" s="29">
        <f t="shared" si="6"/>
        <v>0</v>
      </c>
      <c r="BI31" s="29">
        <f t="shared" si="6"/>
        <v>0</v>
      </c>
      <c r="BJ31" s="29">
        <f t="shared" si="6"/>
        <v>0</v>
      </c>
      <c r="BK31" s="29">
        <f t="shared" si="6"/>
        <v>0</v>
      </c>
      <c r="BL31" s="29">
        <f t="shared" si="6"/>
        <v>0</v>
      </c>
      <c r="BM31" s="29">
        <f t="shared" si="6"/>
        <v>0</v>
      </c>
      <c r="BN31" s="29">
        <f t="shared" si="6"/>
        <v>0</v>
      </c>
      <c r="BO31" s="29">
        <f t="shared" si="6"/>
        <v>0</v>
      </c>
      <c r="BP31" s="29">
        <f t="shared" si="6"/>
        <v>0</v>
      </c>
      <c r="BQ31" s="29">
        <f t="shared" si="6"/>
        <v>0</v>
      </c>
      <c r="BR31" s="29">
        <f t="shared" si="6"/>
        <v>0</v>
      </c>
      <c r="BS31" s="29">
        <f t="shared" si="6"/>
        <v>0</v>
      </c>
      <c r="BT31" s="29">
        <f t="shared" si="6"/>
        <v>0</v>
      </c>
      <c r="BU31" s="29">
        <f t="shared" si="6"/>
        <v>0</v>
      </c>
      <c r="BV31" s="29">
        <f t="shared" si="6"/>
        <v>0</v>
      </c>
      <c r="BW31" s="29">
        <f t="shared" si="6"/>
        <v>0</v>
      </c>
      <c r="BX31" s="29">
        <f t="shared" si="6"/>
        <v>0</v>
      </c>
      <c r="BY31" s="29">
        <f t="shared" si="6"/>
        <v>0</v>
      </c>
      <c r="BZ31" s="29">
        <f t="shared" si="6"/>
        <v>0</v>
      </c>
      <c r="CA31" s="29">
        <f t="shared" si="6"/>
        <v>0</v>
      </c>
      <c r="CB31" s="29">
        <f t="shared" si="6"/>
        <v>0</v>
      </c>
      <c r="CC31" s="29">
        <f t="shared" si="6"/>
        <v>0</v>
      </c>
      <c r="CD31" s="29">
        <f t="shared" si="6"/>
        <v>0</v>
      </c>
      <c r="CE31" s="29">
        <f t="shared" si="6"/>
        <v>0</v>
      </c>
      <c r="CF31" s="29">
        <f t="shared" si="6"/>
        <v>0</v>
      </c>
      <c r="CG31" s="29">
        <f t="shared" si="6"/>
        <v>0</v>
      </c>
      <c r="CH31" s="29">
        <f t="shared" si="6"/>
        <v>0</v>
      </c>
    </row>
    <row r="32" spans="2:86" ht="15.75" customHeight="1">
      <c r="B32" s="15" t="s">
        <v>363</v>
      </c>
      <c r="C32" s="15"/>
      <c r="D32" s="15" t="s">
        <v>238</v>
      </c>
      <c r="E32" s="29">
        <f t="shared" si="4"/>
        <v>0</v>
      </c>
      <c r="F32" s="29"/>
      <c r="G32" s="29">
        <f t="shared" ref="G32:CH32" si="7">-1*G27</f>
        <v>0</v>
      </c>
      <c r="H32" s="29">
        <f t="shared" si="7"/>
        <v>0</v>
      </c>
      <c r="I32" s="29">
        <f t="shared" si="7"/>
        <v>0</v>
      </c>
      <c r="J32" s="29">
        <f t="shared" si="7"/>
        <v>0</v>
      </c>
      <c r="K32" s="29">
        <f t="shared" si="7"/>
        <v>0</v>
      </c>
      <c r="L32" s="29">
        <f t="shared" si="7"/>
        <v>0</v>
      </c>
      <c r="M32" s="29">
        <f t="shared" si="7"/>
        <v>0</v>
      </c>
      <c r="N32" s="29">
        <f t="shared" si="7"/>
        <v>0</v>
      </c>
      <c r="O32" s="29">
        <f t="shared" si="7"/>
        <v>0</v>
      </c>
      <c r="P32" s="29">
        <f t="shared" si="7"/>
        <v>0</v>
      </c>
      <c r="Q32" s="29">
        <f t="shared" si="7"/>
        <v>0</v>
      </c>
      <c r="R32" s="29">
        <f t="shared" si="7"/>
        <v>0</v>
      </c>
      <c r="S32" s="29">
        <f t="shared" si="7"/>
        <v>0</v>
      </c>
      <c r="T32" s="29">
        <f t="shared" si="7"/>
        <v>0</v>
      </c>
      <c r="U32" s="29">
        <f t="shared" si="7"/>
        <v>0</v>
      </c>
      <c r="V32" s="29">
        <f t="shared" si="7"/>
        <v>0</v>
      </c>
      <c r="W32" s="29">
        <f t="shared" si="7"/>
        <v>0</v>
      </c>
      <c r="X32" s="29">
        <f t="shared" si="7"/>
        <v>0</v>
      </c>
      <c r="Y32" s="29">
        <f t="shared" si="7"/>
        <v>0</v>
      </c>
      <c r="Z32" s="29">
        <f t="shared" si="7"/>
        <v>0</v>
      </c>
      <c r="AA32" s="29">
        <f t="shared" si="7"/>
        <v>0</v>
      </c>
      <c r="AB32" s="29">
        <f t="shared" si="7"/>
        <v>0</v>
      </c>
      <c r="AC32" s="29">
        <f t="shared" si="7"/>
        <v>0</v>
      </c>
      <c r="AD32" s="29">
        <f t="shared" si="7"/>
        <v>0</v>
      </c>
      <c r="AE32" s="29">
        <f t="shared" si="7"/>
        <v>0</v>
      </c>
      <c r="AF32" s="29">
        <f t="shared" si="7"/>
        <v>0</v>
      </c>
      <c r="AG32" s="29">
        <f t="shared" si="7"/>
        <v>0</v>
      </c>
      <c r="AH32" s="29">
        <f t="shared" si="7"/>
        <v>0</v>
      </c>
      <c r="AI32" s="29">
        <f t="shared" si="7"/>
        <v>0</v>
      </c>
      <c r="AJ32" s="29">
        <f t="shared" si="7"/>
        <v>0</v>
      </c>
      <c r="AK32" s="29">
        <f t="shared" si="7"/>
        <v>0</v>
      </c>
      <c r="AL32" s="29">
        <f t="shared" si="7"/>
        <v>0</v>
      </c>
      <c r="AM32" s="29">
        <f t="shared" si="7"/>
        <v>0</v>
      </c>
      <c r="AN32" s="29">
        <f t="shared" si="7"/>
        <v>0</v>
      </c>
      <c r="AO32" s="29">
        <f t="shared" si="7"/>
        <v>0</v>
      </c>
      <c r="AP32" s="29">
        <f t="shared" si="7"/>
        <v>0</v>
      </c>
      <c r="AQ32" s="29">
        <f t="shared" si="7"/>
        <v>0</v>
      </c>
      <c r="AR32" s="29">
        <f t="shared" si="7"/>
        <v>0</v>
      </c>
      <c r="AS32" s="29">
        <f t="shared" si="7"/>
        <v>0</v>
      </c>
      <c r="AT32" s="29">
        <f t="shared" si="7"/>
        <v>0</v>
      </c>
      <c r="AU32" s="29">
        <f t="shared" si="7"/>
        <v>0</v>
      </c>
      <c r="AV32" s="29">
        <f t="shared" si="7"/>
        <v>0</v>
      </c>
      <c r="AW32" s="29">
        <f t="shared" si="7"/>
        <v>0</v>
      </c>
      <c r="AX32" s="29">
        <f t="shared" si="7"/>
        <v>0</v>
      </c>
      <c r="AY32" s="29">
        <f t="shared" si="7"/>
        <v>0</v>
      </c>
      <c r="AZ32" s="29">
        <f t="shared" si="7"/>
        <v>0</v>
      </c>
      <c r="BA32" s="29">
        <f t="shared" si="7"/>
        <v>0</v>
      </c>
      <c r="BB32" s="29">
        <f t="shared" si="7"/>
        <v>0</v>
      </c>
      <c r="BC32" s="29">
        <f t="shared" si="7"/>
        <v>0</v>
      </c>
      <c r="BD32" s="29">
        <f t="shared" si="7"/>
        <v>0</v>
      </c>
      <c r="BE32" s="29">
        <f t="shared" si="7"/>
        <v>0</v>
      </c>
      <c r="BF32" s="29">
        <f t="shared" si="7"/>
        <v>0</v>
      </c>
      <c r="BG32" s="29">
        <f t="shared" si="7"/>
        <v>0</v>
      </c>
      <c r="BH32" s="29">
        <f t="shared" si="7"/>
        <v>0</v>
      </c>
      <c r="BI32" s="29">
        <f t="shared" si="7"/>
        <v>0</v>
      </c>
      <c r="BJ32" s="29">
        <f t="shared" si="7"/>
        <v>0</v>
      </c>
      <c r="BK32" s="29">
        <f t="shared" si="7"/>
        <v>0</v>
      </c>
      <c r="BL32" s="29">
        <f t="shared" si="7"/>
        <v>0</v>
      </c>
      <c r="BM32" s="29">
        <f t="shared" si="7"/>
        <v>0</v>
      </c>
      <c r="BN32" s="29">
        <f t="shared" si="7"/>
        <v>0</v>
      </c>
      <c r="BO32" s="29">
        <f t="shared" si="7"/>
        <v>0</v>
      </c>
      <c r="BP32" s="29">
        <f t="shared" si="7"/>
        <v>0</v>
      </c>
      <c r="BQ32" s="29">
        <f t="shared" si="7"/>
        <v>0</v>
      </c>
      <c r="BR32" s="29">
        <f t="shared" si="7"/>
        <v>0</v>
      </c>
      <c r="BS32" s="29">
        <f t="shared" si="7"/>
        <v>0</v>
      </c>
      <c r="BT32" s="29">
        <f t="shared" si="7"/>
        <v>0</v>
      </c>
      <c r="BU32" s="29">
        <f t="shared" si="7"/>
        <v>0</v>
      </c>
      <c r="BV32" s="29">
        <f t="shared" si="7"/>
        <v>0</v>
      </c>
      <c r="BW32" s="29">
        <f t="shared" si="7"/>
        <v>0</v>
      </c>
      <c r="BX32" s="29">
        <f t="shared" si="7"/>
        <v>0</v>
      </c>
      <c r="BY32" s="29">
        <f t="shared" si="7"/>
        <v>0</v>
      </c>
      <c r="BZ32" s="29">
        <f t="shared" si="7"/>
        <v>0</v>
      </c>
      <c r="CA32" s="29">
        <f t="shared" si="7"/>
        <v>0</v>
      </c>
      <c r="CB32" s="29">
        <f t="shared" si="7"/>
        <v>0</v>
      </c>
      <c r="CC32" s="29">
        <f t="shared" si="7"/>
        <v>0</v>
      </c>
      <c r="CD32" s="29">
        <f t="shared" si="7"/>
        <v>0</v>
      </c>
      <c r="CE32" s="29">
        <f t="shared" si="7"/>
        <v>0</v>
      </c>
      <c r="CF32" s="29">
        <f t="shared" si="7"/>
        <v>0</v>
      </c>
      <c r="CG32" s="29">
        <f t="shared" si="7"/>
        <v>0</v>
      </c>
      <c r="CH32" s="29">
        <f t="shared" si="7"/>
        <v>0</v>
      </c>
    </row>
    <row r="33" spans="2:86" ht="15.75" customHeight="1">
      <c r="B33" s="15" t="s">
        <v>374</v>
      </c>
      <c r="C33" s="15" t="s">
        <v>375</v>
      </c>
      <c r="D33" s="15" t="s">
        <v>238</v>
      </c>
      <c r="E33" s="29">
        <f t="shared" si="4"/>
        <v>0</v>
      </c>
      <c r="F33" s="29"/>
      <c r="G33" s="28">
        <v>0</v>
      </c>
      <c r="H33" s="28">
        <v>0</v>
      </c>
      <c r="I33" s="28">
        <v>0</v>
      </c>
      <c r="J33" s="28">
        <v>0</v>
      </c>
      <c r="K33" s="28">
        <v>0</v>
      </c>
      <c r="L33" s="28">
        <v>0</v>
      </c>
      <c r="M33" s="28">
        <v>0</v>
      </c>
      <c r="N33" s="28">
        <v>0</v>
      </c>
      <c r="O33" s="28">
        <v>0</v>
      </c>
      <c r="P33" s="28">
        <v>0</v>
      </c>
      <c r="Q33" s="28">
        <v>0</v>
      </c>
      <c r="R33" s="28">
        <v>0</v>
      </c>
      <c r="S33" s="28">
        <v>0</v>
      </c>
      <c r="T33" s="28">
        <v>0</v>
      </c>
      <c r="U33" s="28">
        <v>0</v>
      </c>
      <c r="V33" s="28">
        <v>0</v>
      </c>
      <c r="W33" s="28">
        <v>0</v>
      </c>
      <c r="X33" s="28">
        <v>0</v>
      </c>
      <c r="Y33" s="28">
        <v>0</v>
      </c>
      <c r="Z33" s="28">
        <v>0</v>
      </c>
      <c r="AA33" s="28">
        <v>0</v>
      </c>
      <c r="AB33" s="28">
        <v>0</v>
      </c>
      <c r="AC33" s="28">
        <v>0</v>
      </c>
      <c r="AD33" s="28">
        <v>0</v>
      </c>
      <c r="AE33" s="28">
        <v>0</v>
      </c>
      <c r="AF33" s="28">
        <v>0</v>
      </c>
      <c r="AG33" s="28">
        <v>0</v>
      </c>
      <c r="AH33" s="28">
        <v>0</v>
      </c>
      <c r="AI33" s="28">
        <v>0</v>
      </c>
      <c r="AJ33" s="28">
        <v>0</v>
      </c>
      <c r="AK33" s="28">
        <v>0</v>
      </c>
      <c r="AL33" s="28">
        <v>0</v>
      </c>
      <c r="AM33" s="28">
        <v>0</v>
      </c>
      <c r="AN33" s="28">
        <v>0</v>
      </c>
      <c r="AO33" s="28">
        <v>0</v>
      </c>
      <c r="AP33" s="28">
        <v>0</v>
      </c>
      <c r="AQ33" s="28">
        <v>0</v>
      </c>
      <c r="AR33" s="28">
        <v>0</v>
      </c>
      <c r="AS33" s="28">
        <v>0</v>
      </c>
      <c r="AT33" s="28">
        <v>0</v>
      </c>
      <c r="AU33" s="28">
        <v>0</v>
      </c>
      <c r="AV33" s="28">
        <v>0</v>
      </c>
      <c r="AW33" s="28">
        <v>0</v>
      </c>
      <c r="AX33" s="28">
        <v>0</v>
      </c>
      <c r="AY33" s="28">
        <v>0</v>
      </c>
      <c r="AZ33" s="28">
        <v>0</v>
      </c>
      <c r="BA33" s="28">
        <v>0</v>
      </c>
      <c r="BB33" s="28">
        <v>0</v>
      </c>
      <c r="BC33" s="28">
        <v>0</v>
      </c>
      <c r="BD33" s="28">
        <v>0</v>
      </c>
      <c r="BE33" s="28">
        <v>0</v>
      </c>
      <c r="BF33" s="28">
        <v>0</v>
      </c>
      <c r="BG33" s="28">
        <v>0</v>
      </c>
      <c r="BH33" s="28">
        <v>0</v>
      </c>
      <c r="BI33" s="28">
        <v>0</v>
      </c>
      <c r="BJ33" s="28">
        <v>0</v>
      </c>
      <c r="BK33" s="28">
        <v>0</v>
      </c>
      <c r="BL33" s="28">
        <v>0</v>
      </c>
      <c r="BM33" s="28">
        <v>0</v>
      </c>
      <c r="BN33" s="28">
        <v>0</v>
      </c>
      <c r="BO33" s="28">
        <v>0</v>
      </c>
      <c r="BP33" s="28">
        <v>0</v>
      </c>
      <c r="BQ33" s="28">
        <v>0</v>
      </c>
      <c r="BR33" s="28">
        <v>0</v>
      </c>
      <c r="BS33" s="28">
        <v>0</v>
      </c>
      <c r="BT33" s="28">
        <v>0</v>
      </c>
      <c r="BU33" s="28">
        <v>0</v>
      </c>
      <c r="BV33" s="28">
        <v>0</v>
      </c>
      <c r="BW33" s="28">
        <v>0</v>
      </c>
      <c r="BX33" s="28">
        <v>0</v>
      </c>
      <c r="BY33" s="28">
        <v>0</v>
      </c>
      <c r="BZ33" s="28">
        <v>0</v>
      </c>
      <c r="CA33" s="28">
        <v>0</v>
      </c>
      <c r="CB33" s="28">
        <v>0</v>
      </c>
      <c r="CC33" s="28">
        <v>0</v>
      </c>
      <c r="CD33" s="28">
        <v>0</v>
      </c>
      <c r="CE33" s="28">
        <v>0</v>
      </c>
      <c r="CF33" s="28">
        <v>0</v>
      </c>
      <c r="CG33" s="28">
        <v>0</v>
      </c>
      <c r="CH33" s="28">
        <v>0</v>
      </c>
    </row>
    <row r="34" spans="2:86" ht="15.75" customHeight="1">
      <c r="B34" s="15" t="s">
        <v>376</v>
      </c>
      <c r="C34" s="15"/>
      <c r="D34" s="15" t="s">
        <v>247</v>
      </c>
      <c r="E34" s="29">
        <f t="shared" si="4"/>
        <v>4900000</v>
      </c>
      <c r="F34" s="29"/>
      <c r="G34" s="80">
        <f t="shared" ref="G34:CH34" si="8">SUM(G30:G33)</f>
        <v>122500</v>
      </c>
      <c r="H34" s="80">
        <f t="shared" si="8"/>
        <v>245000</v>
      </c>
      <c r="I34" s="80">
        <f t="shared" si="8"/>
        <v>367500</v>
      </c>
      <c r="J34" s="80">
        <f t="shared" si="8"/>
        <v>490000</v>
      </c>
      <c r="K34" s="80">
        <f t="shared" si="8"/>
        <v>612500</v>
      </c>
      <c r="L34" s="80">
        <f t="shared" si="8"/>
        <v>735000</v>
      </c>
      <c r="M34" s="80">
        <f t="shared" si="8"/>
        <v>857500</v>
      </c>
      <c r="N34" s="80">
        <f t="shared" si="8"/>
        <v>980000</v>
      </c>
      <c r="O34" s="80">
        <f t="shared" si="8"/>
        <v>1102500</v>
      </c>
      <c r="P34" s="80">
        <f t="shared" si="8"/>
        <v>1225000</v>
      </c>
      <c r="Q34" s="80">
        <f t="shared" si="8"/>
        <v>1347500</v>
      </c>
      <c r="R34" s="80">
        <f t="shared" si="8"/>
        <v>1470000</v>
      </c>
      <c r="S34" s="80">
        <f t="shared" si="8"/>
        <v>1592500</v>
      </c>
      <c r="T34" s="80">
        <f t="shared" si="8"/>
        <v>1715000</v>
      </c>
      <c r="U34" s="80">
        <f t="shared" si="8"/>
        <v>1837500</v>
      </c>
      <c r="V34" s="80">
        <f t="shared" si="8"/>
        <v>1960000</v>
      </c>
      <c r="W34" s="80">
        <f t="shared" si="8"/>
        <v>2082500</v>
      </c>
      <c r="X34" s="80">
        <f t="shared" si="8"/>
        <v>2205000</v>
      </c>
      <c r="Y34" s="80">
        <f t="shared" si="8"/>
        <v>2327500</v>
      </c>
      <c r="Z34" s="80">
        <f t="shared" si="8"/>
        <v>2450000</v>
      </c>
      <c r="AA34" s="80">
        <f t="shared" si="8"/>
        <v>2572500</v>
      </c>
      <c r="AB34" s="80">
        <f t="shared" si="8"/>
        <v>2695000</v>
      </c>
      <c r="AC34" s="80">
        <f t="shared" si="8"/>
        <v>2817500</v>
      </c>
      <c r="AD34" s="80">
        <f t="shared" si="8"/>
        <v>2940000</v>
      </c>
      <c r="AE34" s="80">
        <f t="shared" si="8"/>
        <v>3062500</v>
      </c>
      <c r="AF34" s="80">
        <f t="shared" si="8"/>
        <v>3185000</v>
      </c>
      <c r="AG34" s="80">
        <f t="shared" si="8"/>
        <v>3307500</v>
      </c>
      <c r="AH34" s="80">
        <f t="shared" si="8"/>
        <v>3430000</v>
      </c>
      <c r="AI34" s="80">
        <f t="shared" si="8"/>
        <v>3552500</v>
      </c>
      <c r="AJ34" s="80">
        <f t="shared" si="8"/>
        <v>3675000</v>
      </c>
      <c r="AK34" s="80">
        <f t="shared" si="8"/>
        <v>3797500</v>
      </c>
      <c r="AL34" s="80">
        <f t="shared" si="8"/>
        <v>3920000</v>
      </c>
      <c r="AM34" s="80">
        <f t="shared" si="8"/>
        <v>4042500</v>
      </c>
      <c r="AN34" s="80">
        <f t="shared" si="8"/>
        <v>4165000</v>
      </c>
      <c r="AO34" s="80">
        <f t="shared" si="8"/>
        <v>4287500</v>
      </c>
      <c r="AP34" s="80">
        <f t="shared" si="8"/>
        <v>4410000</v>
      </c>
      <c r="AQ34" s="80">
        <f t="shared" si="8"/>
        <v>4532500</v>
      </c>
      <c r="AR34" s="80">
        <f t="shared" si="8"/>
        <v>4655000</v>
      </c>
      <c r="AS34" s="80">
        <f t="shared" si="8"/>
        <v>4777500</v>
      </c>
      <c r="AT34" s="80">
        <f t="shared" si="8"/>
        <v>4900000</v>
      </c>
      <c r="AU34" s="80">
        <f t="shared" si="8"/>
        <v>4900000</v>
      </c>
      <c r="AV34" s="80">
        <f t="shared" si="8"/>
        <v>4900000</v>
      </c>
      <c r="AW34" s="80">
        <f t="shared" si="8"/>
        <v>4900000</v>
      </c>
      <c r="AX34" s="80">
        <f t="shared" si="8"/>
        <v>4900000</v>
      </c>
      <c r="AY34" s="80">
        <f t="shared" si="8"/>
        <v>4900000</v>
      </c>
      <c r="AZ34" s="80">
        <f t="shared" si="8"/>
        <v>4900000</v>
      </c>
      <c r="BA34" s="80">
        <f t="shared" si="8"/>
        <v>4900000</v>
      </c>
      <c r="BB34" s="80">
        <f t="shared" si="8"/>
        <v>4900000</v>
      </c>
      <c r="BC34" s="80">
        <f t="shared" si="8"/>
        <v>4900000</v>
      </c>
      <c r="BD34" s="80">
        <f t="shared" si="8"/>
        <v>4900000</v>
      </c>
      <c r="BE34" s="80">
        <f t="shared" si="8"/>
        <v>4900000</v>
      </c>
      <c r="BF34" s="80">
        <f t="shared" si="8"/>
        <v>4900000</v>
      </c>
      <c r="BG34" s="80">
        <f t="shared" si="8"/>
        <v>4900000</v>
      </c>
      <c r="BH34" s="80">
        <f t="shared" si="8"/>
        <v>4900000</v>
      </c>
      <c r="BI34" s="80">
        <f t="shared" si="8"/>
        <v>4900000</v>
      </c>
      <c r="BJ34" s="80">
        <f t="shared" si="8"/>
        <v>4900000</v>
      </c>
      <c r="BK34" s="80">
        <f t="shared" si="8"/>
        <v>4900000</v>
      </c>
      <c r="BL34" s="80">
        <f t="shared" si="8"/>
        <v>4900000</v>
      </c>
      <c r="BM34" s="80">
        <f t="shared" si="8"/>
        <v>4900000</v>
      </c>
      <c r="BN34" s="80">
        <f t="shared" si="8"/>
        <v>4900000</v>
      </c>
      <c r="BO34" s="80">
        <f t="shared" si="8"/>
        <v>4900000</v>
      </c>
      <c r="BP34" s="80">
        <f t="shared" si="8"/>
        <v>4900000</v>
      </c>
      <c r="BQ34" s="80">
        <f t="shared" si="8"/>
        <v>4900000</v>
      </c>
      <c r="BR34" s="80">
        <f t="shared" si="8"/>
        <v>4900000</v>
      </c>
      <c r="BS34" s="80">
        <f t="shared" si="8"/>
        <v>4900000</v>
      </c>
      <c r="BT34" s="80">
        <f t="shared" si="8"/>
        <v>4900000</v>
      </c>
      <c r="BU34" s="80">
        <f t="shared" si="8"/>
        <v>4900000</v>
      </c>
      <c r="BV34" s="80">
        <f t="shared" si="8"/>
        <v>4900000</v>
      </c>
      <c r="BW34" s="80">
        <f t="shared" si="8"/>
        <v>4900000</v>
      </c>
      <c r="BX34" s="80">
        <f t="shared" si="8"/>
        <v>4900000</v>
      </c>
      <c r="BY34" s="80">
        <f t="shared" si="8"/>
        <v>4900000</v>
      </c>
      <c r="BZ34" s="80">
        <f t="shared" si="8"/>
        <v>4900000</v>
      </c>
      <c r="CA34" s="80">
        <f t="shared" si="8"/>
        <v>4900000</v>
      </c>
      <c r="CB34" s="80">
        <f t="shared" si="8"/>
        <v>4900000</v>
      </c>
      <c r="CC34" s="80">
        <f t="shared" si="8"/>
        <v>4900000</v>
      </c>
      <c r="CD34" s="80">
        <f t="shared" si="8"/>
        <v>4900000</v>
      </c>
      <c r="CE34" s="80">
        <f t="shared" si="8"/>
        <v>4900000</v>
      </c>
      <c r="CF34" s="80">
        <f t="shared" si="8"/>
        <v>4900000</v>
      </c>
      <c r="CG34" s="80">
        <f t="shared" si="8"/>
        <v>4900000</v>
      </c>
      <c r="CH34" s="80">
        <f t="shared" si="8"/>
        <v>4900000</v>
      </c>
    </row>
    <row r="35" spans="2:86" ht="15.75" customHeight="1">
      <c r="B35" s="15"/>
      <c r="C35" s="15"/>
      <c r="D35" s="15"/>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row>
    <row r="36" spans="2:86" ht="15.75" customHeight="1">
      <c r="B36" s="68" t="s">
        <v>377</v>
      </c>
      <c r="C36" s="15"/>
      <c r="D36" s="15"/>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row>
    <row r="37" spans="2:86" ht="15.75" customHeight="1">
      <c r="B37" s="15" t="s">
        <v>220</v>
      </c>
      <c r="C37" s="15"/>
      <c r="D37" s="15" t="s">
        <v>238</v>
      </c>
      <c r="E37" s="29">
        <f t="shared" ref="E37:E38" ca="1" si="9">IF(D37="sum",SUM(G37:CH37),IF(D37="final",CH37,IF(D37="initial",G37,IF(D37="average",AVERAGE(G37:CH37),0))))</f>
        <v>21803315</v>
      </c>
      <c r="F37" s="29"/>
      <c r="G37" s="29">
        <f ca="1">Forecast!G46</f>
        <v>0</v>
      </c>
      <c r="H37" s="29">
        <f ca="1">Forecast!H46</f>
        <v>0</v>
      </c>
      <c r="I37" s="29">
        <f ca="1">Forecast!I46</f>
        <v>0</v>
      </c>
      <c r="J37" s="29">
        <f ca="1">Forecast!J46</f>
        <v>0</v>
      </c>
      <c r="K37" s="29">
        <f ca="1">Forecast!K46</f>
        <v>0</v>
      </c>
      <c r="L37" s="29">
        <f ca="1">Forecast!L46</f>
        <v>0</v>
      </c>
      <c r="M37" s="29">
        <f ca="1">Forecast!M46</f>
        <v>0</v>
      </c>
      <c r="N37" s="29">
        <f ca="1">Forecast!N46</f>
        <v>0</v>
      </c>
      <c r="O37" s="29">
        <f ca="1">Forecast!O46</f>
        <v>0</v>
      </c>
      <c r="P37" s="29">
        <f ca="1">Forecast!P46</f>
        <v>0</v>
      </c>
      <c r="Q37" s="29">
        <f ca="1">Forecast!Q46</f>
        <v>0</v>
      </c>
      <c r="R37" s="29">
        <f ca="1">Forecast!R46</f>
        <v>0</v>
      </c>
      <c r="S37" s="29">
        <f ca="1">Forecast!S46</f>
        <v>0</v>
      </c>
      <c r="T37" s="29">
        <f ca="1">Forecast!T46</f>
        <v>0</v>
      </c>
      <c r="U37" s="29">
        <f ca="1">Forecast!U46</f>
        <v>0</v>
      </c>
      <c r="V37" s="29">
        <f ca="1">Forecast!V46</f>
        <v>0</v>
      </c>
      <c r="W37" s="29">
        <f ca="1">Forecast!W46</f>
        <v>0</v>
      </c>
      <c r="X37" s="29">
        <f ca="1">Forecast!X46</f>
        <v>0</v>
      </c>
      <c r="Y37" s="29">
        <f ca="1">Forecast!Y46</f>
        <v>399455.65476190578</v>
      </c>
      <c r="Z37" s="29">
        <f ca="1">Forecast!Z46</f>
        <v>429474.10714285728</v>
      </c>
      <c r="AA37" s="29">
        <f ca="1">Forecast!AA46</f>
        <v>393759.82142857183</v>
      </c>
      <c r="AB37" s="29">
        <f ca="1">Forecast!AB46</f>
        <v>393759.82142857183</v>
      </c>
      <c r="AC37" s="29">
        <f ca="1">Forecast!AC46</f>
        <v>393759.82142857183</v>
      </c>
      <c r="AD37" s="29">
        <f ca="1">Forecast!AD46</f>
        <v>393759.82142857183</v>
      </c>
      <c r="AE37" s="29">
        <f ca="1">Forecast!AE46</f>
        <v>1524451.3690476192</v>
      </c>
      <c r="AF37" s="29">
        <f ca="1">Forecast!AF46</f>
        <v>1524451.3690476192</v>
      </c>
      <c r="AG37" s="29">
        <f ca="1">Forecast!AG46</f>
        <v>1524451.3690476192</v>
      </c>
      <c r="AH37" s="29">
        <f ca="1">Forecast!AH46</f>
        <v>1524451.3690476192</v>
      </c>
      <c r="AI37" s="29">
        <f ca="1">Forecast!AI46</f>
        <v>1389823.8095238095</v>
      </c>
      <c r="AJ37" s="29">
        <f ca="1">Forecast!AJ46</f>
        <v>1389823.8095238095</v>
      </c>
      <c r="AK37" s="29">
        <f ca="1">Forecast!AK46</f>
        <v>1389823.8095238095</v>
      </c>
      <c r="AL37" s="29">
        <f ca="1">Forecast!AL46</f>
        <v>1389823.8095238095</v>
      </c>
      <c r="AM37" s="29">
        <f ca="1">Forecast!AM46</f>
        <v>879800.59523809515</v>
      </c>
      <c r="AN37" s="29">
        <f ca="1">Forecast!AN46</f>
        <v>879800.59523809515</v>
      </c>
      <c r="AO37" s="29">
        <f ca="1">Forecast!AO46</f>
        <v>879800.59523809515</v>
      </c>
      <c r="AP37" s="29">
        <f ca="1">Forecast!AP46</f>
        <v>879800.59523809515</v>
      </c>
      <c r="AQ37" s="29">
        <f ca="1">Forecast!AQ46</f>
        <v>1055760.7142857139</v>
      </c>
      <c r="AR37" s="29">
        <f ca="1">Forecast!AR46</f>
        <v>1055760.7142857139</v>
      </c>
      <c r="AS37" s="29">
        <f ca="1">Forecast!AS46</f>
        <v>1055760.7142857139</v>
      </c>
      <c r="AT37" s="29">
        <f ca="1">Forecast!AT46</f>
        <v>1055760.7142857139</v>
      </c>
      <c r="AU37" s="29">
        <f ca="1">Forecast!AU46</f>
        <v>0</v>
      </c>
      <c r="AV37" s="29">
        <f ca="1">Forecast!AV46</f>
        <v>0</v>
      </c>
      <c r="AW37" s="29">
        <f ca="1">Forecast!AW46</f>
        <v>0</v>
      </c>
      <c r="AX37" s="29">
        <f ca="1">Forecast!AX46</f>
        <v>0</v>
      </c>
      <c r="AY37" s="29">
        <f ca="1">Forecast!AY46</f>
        <v>0</v>
      </c>
      <c r="AZ37" s="29">
        <f ca="1">Forecast!AZ46</f>
        <v>0</v>
      </c>
      <c r="BA37" s="29">
        <f ca="1">Forecast!BA46</f>
        <v>0</v>
      </c>
      <c r="BB37" s="29">
        <f ca="1">Forecast!BB46</f>
        <v>0</v>
      </c>
      <c r="BC37" s="29">
        <f ca="1">Forecast!BC46</f>
        <v>0</v>
      </c>
      <c r="BD37" s="29">
        <f ca="1">Forecast!BD46</f>
        <v>0</v>
      </c>
      <c r="BE37" s="29">
        <f ca="1">Forecast!BE46</f>
        <v>0</v>
      </c>
      <c r="BF37" s="29">
        <f ca="1">Forecast!BF46</f>
        <v>0</v>
      </c>
      <c r="BG37" s="29">
        <f ca="1">Forecast!BG46</f>
        <v>0</v>
      </c>
      <c r="BH37" s="29">
        <f ca="1">Forecast!BH46</f>
        <v>0</v>
      </c>
      <c r="BI37" s="29">
        <f ca="1">Forecast!BI46</f>
        <v>0</v>
      </c>
      <c r="BJ37" s="29">
        <f ca="1">Forecast!BJ46</f>
        <v>0</v>
      </c>
      <c r="BK37" s="29">
        <f ca="1">Forecast!BK46</f>
        <v>0</v>
      </c>
      <c r="BL37" s="29">
        <f ca="1">Forecast!BL46</f>
        <v>0</v>
      </c>
      <c r="BM37" s="29">
        <f ca="1">Forecast!BM46</f>
        <v>0</v>
      </c>
      <c r="BN37" s="29">
        <f ca="1">Forecast!BN46</f>
        <v>0</v>
      </c>
      <c r="BO37" s="29">
        <f ca="1">Forecast!BO46</f>
        <v>0</v>
      </c>
      <c r="BP37" s="29">
        <f ca="1">Forecast!BP46</f>
        <v>0</v>
      </c>
      <c r="BQ37" s="29">
        <f ca="1">Forecast!BQ46</f>
        <v>0</v>
      </c>
      <c r="BR37" s="29">
        <f ca="1">Forecast!BR46</f>
        <v>0</v>
      </c>
      <c r="BS37" s="29">
        <f ca="1">Forecast!BS46</f>
        <v>0</v>
      </c>
      <c r="BT37" s="29">
        <f ca="1">Forecast!BT46</f>
        <v>0</v>
      </c>
      <c r="BU37" s="29">
        <f ca="1">Forecast!BU46</f>
        <v>0</v>
      </c>
      <c r="BV37" s="29">
        <f ca="1">Forecast!BV46</f>
        <v>0</v>
      </c>
      <c r="BW37" s="29">
        <f ca="1">Forecast!BW46</f>
        <v>0</v>
      </c>
      <c r="BX37" s="29">
        <f ca="1">Forecast!BX46</f>
        <v>0</v>
      </c>
      <c r="BY37" s="29">
        <f ca="1">Forecast!BY46</f>
        <v>0</v>
      </c>
      <c r="BZ37" s="29">
        <f ca="1">Forecast!BZ46</f>
        <v>0</v>
      </c>
      <c r="CA37" s="29">
        <f ca="1">Forecast!CA46</f>
        <v>0</v>
      </c>
      <c r="CB37" s="29">
        <f ca="1">Forecast!CB46</f>
        <v>0</v>
      </c>
      <c r="CC37" s="29">
        <f ca="1">Forecast!CC46</f>
        <v>0</v>
      </c>
      <c r="CD37" s="29">
        <f ca="1">Forecast!CD46</f>
        <v>0</v>
      </c>
      <c r="CE37" s="29">
        <f ca="1">Forecast!CE46</f>
        <v>0</v>
      </c>
      <c r="CF37" s="29">
        <f ca="1">Forecast!CF46</f>
        <v>0</v>
      </c>
      <c r="CG37" s="29">
        <f ca="1">Forecast!CG46</f>
        <v>0</v>
      </c>
      <c r="CH37" s="29">
        <f ca="1">Forecast!CH46</f>
        <v>0</v>
      </c>
    </row>
    <row r="38" spans="2:86" ht="15.75" customHeight="1">
      <c r="B38" s="15" t="s">
        <v>378</v>
      </c>
      <c r="C38" s="15" t="s">
        <v>379</v>
      </c>
      <c r="D38" s="15" t="s">
        <v>238</v>
      </c>
      <c r="E38" s="29">
        <f t="shared" ca="1" si="9"/>
        <v>-21803315</v>
      </c>
      <c r="F38" s="29"/>
      <c r="G38" s="29">
        <f t="shared" ref="G38:CH38" ca="1" si="10">G37*-1</f>
        <v>0</v>
      </c>
      <c r="H38" s="29">
        <f t="shared" ca="1" si="10"/>
        <v>0</v>
      </c>
      <c r="I38" s="29">
        <f t="shared" ca="1" si="10"/>
        <v>0</v>
      </c>
      <c r="J38" s="29">
        <f t="shared" ca="1" si="10"/>
        <v>0</v>
      </c>
      <c r="K38" s="29">
        <f t="shared" ca="1" si="10"/>
        <v>0</v>
      </c>
      <c r="L38" s="29">
        <f t="shared" ca="1" si="10"/>
        <v>0</v>
      </c>
      <c r="M38" s="29">
        <f t="shared" ca="1" si="10"/>
        <v>0</v>
      </c>
      <c r="N38" s="29">
        <f t="shared" ca="1" si="10"/>
        <v>0</v>
      </c>
      <c r="O38" s="29">
        <f t="shared" ca="1" si="10"/>
        <v>0</v>
      </c>
      <c r="P38" s="29">
        <f t="shared" ca="1" si="10"/>
        <v>0</v>
      </c>
      <c r="Q38" s="29">
        <f t="shared" ca="1" si="10"/>
        <v>0</v>
      </c>
      <c r="R38" s="29">
        <f t="shared" ca="1" si="10"/>
        <v>0</v>
      </c>
      <c r="S38" s="29">
        <f t="shared" ca="1" si="10"/>
        <v>0</v>
      </c>
      <c r="T38" s="29">
        <f t="shared" ca="1" si="10"/>
        <v>0</v>
      </c>
      <c r="U38" s="29">
        <f t="shared" ca="1" si="10"/>
        <v>0</v>
      </c>
      <c r="V38" s="29">
        <f t="shared" ca="1" si="10"/>
        <v>0</v>
      </c>
      <c r="W38" s="29">
        <f t="shared" ca="1" si="10"/>
        <v>0</v>
      </c>
      <c r="X38" s="29">
        <f t="shared" ca="1" si="10"/>
        <v>0</v>
      </c>
      <c r="Y38" s="29">
        <f t="shared" ca="1" si="10"/>
        <v>-399455.65476190578</v>
      </c>
      <c r="Z38" s="29">
        <f t="shared" ca="1" si="10"/>
        <v>-429474.10714285728</v>
      </c>
      <c r="AA38" s="29">
        <f t="shared" ca="1" si="10"/>
        <v>-393759.82142857183</v>
      </c>
      <c r="AB38" s="29">
        <f t="shared" ca="1" si="10"/>
        <v>-393759.82142857183</v>
      </c>
      <c r="AC38" s="29">
        <f t="shared" ca="1" si="10"/>
        <v>-393759.82142857183</v>
      </c>
      <c r="AD38" s="29">
        <f t="shared" ca="1" si="10"/>
        <v>-393759.82142857183</v>
      </c>
      <c r="AE38" s="29">
        <f t="shared" ca="1" si="10"/>
        <v>-1524451.3690476192</v>
      </c>
      <c r="AF38" s="29">
        <f t="shared" ca="1" si="10"/>
        <v>-1524451.3690476192</v>
      </c>
      <c r="AG38" s="29">
        <f t="shared" ca="1" si="10"/>
        <v>-1524451.3690476192</v>
      </c>
      <c r="AH38" s="29">
        <f t="shared" ca="1" si="10"/>
        <v>-1524451.3690476192</v>
      </c>
      <c r="AI38" s="29">
        <f t="shared" ca="1" si="10"/>
        <v>-1389823.8095238095</v>
      </c>
      <c r="AJ38" s="29">
        <f t="shared" ca="1" si="10"/>
        <v>-1389823.8095238095</v>
      </c>
      <c r="AK38" s="29">
        <f t="shared" ca="1" si="10"/>
        <v>-1389823.8095238095</v>
      </c>
      <c r="AL38" s="29">
        <f t="shared" ca="1" si="10"/>
        <v>-1389823.8095238095</v>
      </c>
      <c r="AM38" s="29">
        <f t="shared" ca="1" si="10"/>
        <v>-879800.59523809515</v>
      </c>
      <c r="AN38" s="29">
        <f t="shared" ca="1" si="10"/>
        <v>-879800.59523809515</v>
      </c>
      <c r="AO38" s="29">
        <f t="shared" ca="1" si="10"/>
        <v>-879800.59523809515</v>
      </c>
      <c r="AP38" s="29">
        <f t="shared" ca="1" si="10"/>
        <v>-879800.59523809515</v>
      </c>
      <c r="AQ38" s="29">
        <f t="shared" ca="1" si="10"/>
        <v>-1055760.7142857139</v>
      </c>
      <c r="AR38" s="29">
        <f t="shared" ca="1" si="10"/>
        <v>-1055760.7142857139</v>
      </c>
      <c r="AS38" s="29">
        <f t="shared" ca="1" si="10"/>
        <v>-1055760.7142857139</v>
      </c>
      <c r="AT38" s="29">
        <f t="shared" ca="1" si="10"/>
        <v>-1055760.7142857139</v>
      </c>
      <c r="AU38" s="29">
        <f t="shared" ca="1" si="10"/>
        <v>0</v>
      </c>
      <c r="AV38" s="29">
        <f t="shared" ca="1" si="10"/>
        <v>0</v>
      </c>
      <c r="AW38" s="29">
        <f t="shared" ca="1" si="10"/>
        <v>0</v>
      </c>
      <c r="AX38" s="29">
        <f t="shared" ca="1" si="10"/>
        <v>0</v>
      </c>
      <c r="AY38" s="29">
        <f t="shared" ca="1" si="10"/>
        <v>0</v>
      </c>
      <c r="AZ38" s="29">
        <f t="shared" ca="1" si="10"/>
        <v>0</v>
      </c>
      <c r="BA38" s="29">
        <f t="shared" ca="1" si="10"/>
        <v>0</v>
      </c>
      <c r="BB38" s="29">
        <f t="shared" ca="1" si="10"/>
        <v>0</v>
      </c>
      <c r="BC38" s="29">
        <f t="shared" ca="1" si="10"/>
        <v>0</v>
      </c>
      <c r="BD38" s="29">
        <f t="shared" ca="1" si="10"/>
        <v>0</v>
      </c>
      <c r="BE38" s="29">
        <f t="shared" ca="1" si="10"/>
        <v>0</v>
      </c>
      <c r="BF38" s="29">
        <f t="shared" ca="1" si="10"/>
        <v>0</v>
      </c>
      <c r="BG38" s="29">
        <f t="shared" ca="1" si="10"/>
        <v>0</v>
      </c>
      <c r="BH38" s="29">
        <f t="shared" ca="1" si="10"/>
        <v>0</v>
      </c>
      <c r="BI38" s="29">
        <f t="shared" ca="1" si="10"/>
        <v>0</v>
      </c>
      <c r="BJ38" s="29">
        <f t="shared" ca="1" si="10"/>
        <v>0</v>
      </c>
      <c r="BK38" s="29">
        <f t="shared" ca="1" si="10"/>
        <v>0</v>
      </c>
      <c r="BL38" s="29">
        <f t="shared" ca="1" si="10"/>
        <v>0</v>
      </c>
      <c r="BM38" s="29">
        <f t="shared" ca="1" si="10"/>
        <v>0</v>
      </c>
      <c r="BN38" s="29">
        <f t="shared" ca="1" si="10"/>
        <v>0</v>
      </c>
      <c r="BO38" s="29">
        <f t="shared" ca="1" si="10"/>
        <v>0</v>
      </c>
      <c r="BP38" s="29">
        <f t="shared" ca="1" si="10"/>
        <v>0</v>
      </c>
      <c r="BQ38" s="29">
        <f t="shared" ca="1" si="10"/>
        <v>0</v>
      </c>
      <c r="BR38" s="29">
        <f t="shared" ca="1" si="10"/>
        <v>0</v>
      </c>
      <c r="BS38" s="29">
        <f t="shared" ca="1" si="10"/>
        <v>0</v>
      </c>
      <c r="BT38" s="29">
        <f t="shared" ca="1" si="10"/>
        <v>0</v>
      </c>
      <c r="BU38" s="29">
        <f t="shared" ca="1" si="10"/>
        <v>0</v>
      </c>
      <c r="BV38" s="29">
        <f t="shared" ca="1" si="10"/>
        <v>0</v>
      </c>
      <c r="BW38" s="29">
        <f t="shared" ca="1" si="10"/>
        <v>0</v>
      </c>
      <c r="BX38" s="29">
        <f t="shared" ca="1" si="10"/>
        <v>0</v>
      </c>
      <c r="BY38" s="29">
        <f t="shared" ca="1" si="10"/>
        <v>0</v>
      </c>
      <c r="BZ38" s="29">
        <f t="shared" ca="1" si="10"/>
        <v>0</v>
      </c>
      <c r="CA38" s="29">
        <f t="shared" ca="1" si="10"/>
        <v>0</v>
      </c>
      <c r="CB38" s="29">
        <f t="shared" ca="1" si="10"/>
        <v>0</v>
      </c>
      <c r="CC38" s="29">
        <f t="shared" ca="1" si="10"/>
        <v>0</v>
      </c>
      <c r="CD38" s="29">
        <f t="shared" ca="1" si="10"/>
        <v>0</v>
      </c>
      <c r="CE38" s="29">
        <f t="shared" ca="1" si="10"/>
        <v>0</v>
      </c>
      <c r="CF38" s="29">
        <f t="shared" ca="1" si="10"/>
        <v>0</v>
      </c>
      <c r="CG38" s="29">
        <f t="shared" ca="1" si="10"/>
        <v>0</v>
      </c>
      <c r="CH38" s="29">
        <f t="shared" ca="1" si="10"/>
        <v>0</v>
      </c>
    </row>
    <row r="39" spans="2:86" ht="15.75" customHeight="1">
      <c r="B39" s="15"/>
      <c r="C39" s="15"/>
      <c r="D39" s="15"/>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row>
    <row r="40" spans="2:86" ht="15.75" customHeight="1">
      <c r="B40" s="15"/>
      <c r="C40" s="15"/>
      <c r="D40" s="15"/>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row>
  </sheetData>
  <dataValidations count="1">
    <dataValidation type="list" allowBlank="1" sqref="D8:D10 D13:D27 D30:D34 D37:D38" xr:uid="{00000000-0002-0000-0A00-000000000000}">
      <formula1>"sum,final,initial,average"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27"/>
  <sheetViews>
    <sheetView showGridLines="0" workbookViewId="0"/>
  </sheetViews>
  <sheetFormatPr baseColWidth="10" defaultColWidth="12.6640625" defaultRowHeight="15.75" customHeight="1"/>
  <cols>
    <col min="1" max="1" width="4.5" customWidth="1"/>
    <col min="2" max="2" width="37.6640625" customWidth="1"/>
    <col min="3" max="3" width="43.33203125" customWidth="1"/>
    <col min="4" max="4" width="70.1640625" customWidth="1"/>
  </cols>
  <sheetData>
    <row r="1" spans="1:6" ht="15.75" customHeight="1">
      <c r="A1" s="13"/>
      <c r="B1" s="13"/>
      <c r="C1" s="13"/>
      <c r="D1" s="13"/>
      <c r="E1" s="13"/>
      <c r="F1" s="13"/>
    </row>
    <row r="2" spans="1:6">
      <c r="A2" s="13"/>
      <c r="B2" s="95" t="s">
        <v>380</v>
      </c>
      <c r="C2" s="13"/>
      <c r="D2" s="13"/>
      <c r="E2" s="13"/>
      <c r="F2" s="13"/>
    </row>
    <row r="3" spans="1:6" ht="15.75" customHeight="1">
      <c r="A3" s="13"/>
      <c r="B3" s="96" t="s">
        <v>381</v>
      </c>
      <c r="C3" s="97"/>
      <c r="D3" s="13"/>
      <c r="E3" s="13"/>
      <c r="F3" s="13"/>
    </row>
    <row r="4" spans="1:6" ht="15.75" customHeight="1">
      <c r="A4" s="13"/>
      <c r="B4" s="13"/>
      <c r="C4" s="13"/>
      <c r="D4" s="13"/>
      <c r="E4" s="13"/>
      <c r="F4" s="13"/>
    </row>
    <row r="5" spans="1:6" ht="15.75" customHeight="1">
      <c r="A5" s="13"/>
      <c r="B5" s="41" t="s">
        <v>382</v>
      </c>
      <c r="C5" s="41" t="s">
        <v>383</v>
      </c>
      <c r="D5" s="41" t="s">
        <v>384</v>
      </c>
      <c r="E5" s="13"/>
      <c r="F5" s="13"/>
    </row>
    <row r="6" spans="1:6" ht="15.75" customHeight="1">
      <c r="A6" s="13"/>
      <c r="B6" s="13"/>
      <c r="C6" s="13"/>
      <c r="D6" s="13"/>
      <c r="E6" s="13"/>
      <c r="F6" s="13"/>
    </row>
    <row r="7" spans="1:6" ht="15.75" customHeight="1">
      <c r="A7" s="13"/>
      <c r="B7" s="98" t="s">
        <v>385</v>
      </c>
      <c r="C7" s="98" t="s">
        <v>386</v>
      </c>
      <c r="D7" s="99" t="s">
        <v>387</v>
      </c>
      <c r="E7" s="13"/>
      <c r="F7" s="13"/>
    </row>
    <row r="8" spans="1:6" ht="15.75" customHeight="1">
      <c r="A8" s="13"/>
      <c r="B8" s="14" t="s">
        <v>388</v>
      </c>
      <c r="C8" s="14" t="s">
        <v>389</v>
      </c>
      <c r="D8" s="100" t="s">
        <v>390</v>
      </c>
      <c r="E8" s="13"/>
      <c r="F8" s="13"/>
    </row>
    <row r="9" spans="1:6" ht="15.75" customHeight="1">
      <c r="A9" s="13"/>
      <c r="B9" s="98" t="s">
        <v>391</v>
      </c>
      <c r="C9" s="98" t="s">
        <v>392</v>
      </c>
      <c r="D9" s="99" t="s">
        <v>393</v>
      </c>
      <c r="E9" s="13"/>
      <c r="F9" s="13"/>
    </row>
    <row r="10" spans="1:6" ht="15.75" customHeight="1">
      <c r="A10" s="13"/>
      <c r="B10" s="14" t="s">
        <v>394</v>
      </c>
      <c r="C10" s="14" t="s">
        <v>395</v>
      </c>
      <c r="D10" s="100" t="s">
        <v>396</v>
      </c>
      <c r="E10" s="13"/>
      <c r="F10" s="13"/>
    </row>
    <row r="11" spans="1:6" ht="15.75" customHeight="1">
      <c r="A11" s="13"/>
      <c r="B11" s="98" t="s">
        <v>397</v>
      </c>
      <c r="C11" s="98" t="s">
        <v>398</v>
      </c>
      <c r="D11" s="99" t="s">
        <v>399</v>
      </c>
      <c r="E11" s="13"/>
      <c r="F11" s="13"/>
    </row>
    <row r="12" spans="1:6" ht="15.75" customHeight="1">
      <c r="A12" s="13"/>
      <c r="B12" s="14" t="s">
        <v>400</v>
      </c>
      <c r="C12" s="14" t="s">
        <v>401</v>
      </c>
      <c r="D12" s="100" t="s">
        <v>402</v>
      </c>
      <c r="E12" s="13"/>
      <c r="F12" s="13"/>
    </row>
    <row r="13" spans="1:6" ht="15.75" customHeight="1">
      <c r="A13" s="13"/>
      <c r="B13" s="98" t="s">
        <v>403</v>
      </c>
      <c r="C13" s="98" t="s">
        <v>404</v>
      </c>
      <c r="D13" s="101" t="s">
        <v>405</v>
      </c>
      <c r="E13" s="13"/>
      <c r="F13" s="13"/>
    </row>
    <row r="14" spans="1:6" ht="15.75" customHeight="1">
      <c r="A14" s="13"/>
      <c r="B14" s="14" t="s">
        <v>403</v>
      </c>
      <c r="C14" s="14" t="s">
        <v>406</v>
      </c>
      <c r="D14" s="102" t="s">
        <v>405</v>
      </c>
      <c r="E14" s="13"/>
      <c r="F14" s="13"/>
    </row>
    <row r="15" spans="1:6" ht="15.75" customHeight="1">
      <c r="A15" s="13"/>
      <c r="B15" s="98" t="s">
        <v>407</v>
      </c>
      <c r="C15" s="98" t="s">
        <v>408</v>
      </c>
      <c r="D15" s="101" t="s">
        <v>405</v>
      </c>
      <c r="E15" s="13"/>
      <c r="F15" s="13"/>
    </row>
    <row r="16" spans="1:6" ht="15.75" customHeight="1">
      <c r="A16" s="13"/>
      <c r="B16" s="14" t="s">
        <v>409</v>
      </c>
      <c r="C16" s="14" t="s">
        <v>410</v>
      </c>
      <c r="D16" s="102" t="s">
        <v>405</v>
      </c>
      <c r="E16" s="13"/>
      <c r="F16" s="13"/>
    </row>
    <row r="17" spans="1:6" ht="15.75" customHeight="1">
      <c r="A17" s="13"/>
      <c r="B17" s="98" t="s">
        <v>411</v>
      </c>
      <c r="C17" s="98" t="s">
        <v>412</v>
      </c>
      <c r="D17" s="99" t="s">
        <v>413</v>
      </c>
      <c r="E17" s="13"/>
      <c r="F17" s="13"/>
    </row>
    <row r="18" spans="1:6" ht="15.75" customHeight="1">
      <c r="A18" s="13"/>
      <c r="B18" s="14" t="s">
        <v>414</v>
      </c>
      <c r="C18" s="14" t="s">
        <v>415</v>
      </c>
      <c r="D18" s="102" t="s">
        <v>405</v>
      </c>
      <c r="E18" s="13"/>
      <c r="F18" s="13"/>
    </row>
    <row r="19" spans="1:6" ht="15.75" customHeight="1">
      <c r="A19" s="13"/>
      <c r="B19" s="98" t="s">
        <v>416</v>
      </c>
      <c r="C19" s="98" t="s">
        <v>417</v>
      </c>
      <c r="D19" s="103" t="s">
        <v>418</v>
      </c>
      <c r="E19" s="13"/>
      <c r="F19" s="13"/>
    </row>
    <row r="20" spans="1:6" ht="15.75" customHeight="1">
      <c r="A20" s="13"/>
      <c r="B20" s="14" t="s">
        <v>419</v>
      </c>
      <c r="C20" s="14" t="s">
        <v>420</v>
      </c>
      <c r="D20" s="102" t="s">
        <v>421</v>
      </c>
      <c r="E20" s="13"/>
      <c r="F20" s="13"/>
    </row>
    <row r="21" spans="1:6" ht="15.75" customHeight="1">
      <c r="A21" s="13"/>
      <c r="B21" s="98" t="s">
        <v>422</v>
      </c>
      <c r="C21" s="98" t="s">
        <v>423</v>
      </c>
      <c r="D21" s="99" t="s">
        <v>424</v>
      </c>
      <c r="E21" s="13"/>
      <c r="F21" s="13"/>
    </row>
    <row r="22" spans="1:6" ht="15.75" customHeight="1">
      <c r="A22" s="13"/>
      <c r="B22" s="14" t="s">
        <v>425</v>
      </c>
      <c r="C22" s="14" t="s">
        <v>426</v>
      </c>
      <c r="D22" s="100" t="s">
        <v>427</v>
      </c>
      <c r="E22" s="13"/>
      <c r="F22" s="13"/>
    </row>
    <row r="23" spans="1:6" ht="15.75" customHeight="1">
      <c r="A23" s="13"/>
      <c r="B23" s="98" t="s">
        <v>428</v>
      </c>
      <c r="C23" s="98" t="s">
        <v>429</v>
      </c>
      <c r="D23" s="99" t="s">
        <v>430</v>
      </c>
      <c r="E23" s="13"/>
      <c r="F23" s="13"/>
    </row>
    <row r="24" spans="1:6" ht="15.75" customHeight="1">
      <c r="A24" s="13"/>
      <c r="B24" s="14" t="s">
        <v>431</v>
      </c>
      <c r="C24" s="14" t="s">
        <v>432</v>
      </c>
      <c r="D24" s="100" t="s">
        <v>433</v>
      </c>
      <c r="E24" s="13"/>
      <c r="F24" s="13"/>
    </row>
    <row r="25" spans="1:6" ht="15.75" customHeight="1">
      <c r="A25" s="13"/>
      <c r="B25" s="98" t="s">
        <v>434</v>
      </c>
      <c r="C25" s="98" t="s">
        <v>435</v>
      </c>
      <c r="D25" s="104" t="s">
        <v>436</v>
      </c>
      <c r="E25" s="13"/>
      <c r="F25" s="13"/>
    </row>
    <row r="26" spans="1:6" ht="15.75" customHeight="1">
      <c r="A26" s="13"/>
      <c r="B26" s="14" t="s">
        <v>437</v>
      </c>
      <c r="C26" s="14" t="s">
        <v>438</v>
      </c>
      <c r="D26" s="105" t="s">
        <v>439</v>
      </c>
      <c r="E26" s="13"/>
      <c r="F26" s="13"/>
    </row>
    <row r="27" spans="1:6" ht="15.75" customHeight="1">
      <c r="A27" s="13"/>
      <c r="B27" s="13"/>
      <c r="C27" s="13"/>
      <c r="D27" s="13"/>
      <c r="E27" s="13"/>
      <c r="F27" s="13"/>
    </row>
  </sheetData>
  <hyperlinks>
    <hyperlink ref="D7" r:id="rId1" xr:uid="{00000000-0004-0000-0B00-000000000000}"/>
    <hyperlink ref="D8" r:id="rId2" xr:uid="{00000000-0004-0000-0B00-000001000000}"/>
    <hyperlink ref="D9" r:id="rId3" xr:uid="{00000000-0004-0000-0B00-000002000000}"/>
    <hyperlink ref="D10" r:id="rId4" xr:uid="{00000000-0004-0000-0B00-000003000000}"/>
    <hyperlink ref="D11" r:id="rId5" xr:uid="{00000000-0004-0000-0B00-000004000000}"/>
    <hyperlink ref="D12" r:id="rId6" xr:uid="{00000000-0004-0000-0B00-000005000000}"/>
    <hyperlink ref="D13" r:id="rId7" xr:uid="{00000000-0004-0000-0B00-000006000000}"/>
    <hyperlink ref="D14" r:id="rId8" xr:uid="{00000000-0004-0000-0B00-000007000000}"/>
    <hyperlink ref="D15" r:id="rId9" xr:uid="{00000000-0004-0000-0B00-000008000000}"/>
    <hyperlink ref="D16" r:id="rId10" xr:uid="{00000000-0004-0000-0B00-000009000000}"/>
    <hyperlink ref="D17" r:id="rId11" xr:uid="{00000000-0004-0000-0B00-00000A000000}"/>
    <hyperlink ref="D18" r:id="rId12" xr:uid="{00000000-0004-0000-0B00-00000B000000}"/>
    <hyperlink ref="D20" r:id="rId13" xr:uid="{00000000-0004-0000-0B00-00000C000000}"/>
    <hyperlink ref="D21" r:id="rId14" xr:uid="{00000000-0004-0000-0B00-00000D000000}"/>
    <hyperlink ref="D22" r:id="rId15" xr:uid="{00000000-0004-0000-0B00-00000E000000}"/>
    <hyperlink ref="D23" r:id="rId16" xr:uid="{00000000-0004-0000-0B00-00000F000000}"/>
    <hyperlink ref="D24" r:id="rId17" xr:uid="{00000000-0004-0000-0B00-000010000000}"/>
    <hyperlink ref="D25" r:id="rId18" xr:uid="{00000000-0004-0000-0B00-000011000000}"/>
    <hyperlink ref="D26" r:id="rId19" xr:uid="{00000000-0004-0000-0B00-000012000000}"/>
  </hyperlinks>
  <pageMargins left="0.7" right="0.7" top="0.75" bottom="0.75" header="0.3" footer="0.3"/>
  <tableParts count="1">
    <tablePart r:id="rId20"/>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V22"/>
  <sheetViews>
    <sheetView showGridLines="0" workbookViewId="0">
      <selection activeCell="D12" sqref="D12"/>
    </sheetView>
  </sheetViews>
  <sheetFormatPr baseColWidth="10" defaultColWidth="12.6640625" defaultRowHeight="15.75" customHeight="1"/>
  <cols>
    <col min="1" max="1" width="5.1640625" customWidth="1"/>
    <col min="2" max="2" width="28.6640625" customWidth="1"/>
    <col min="3" max="3" width="21.1640625" customWidth="1"/>
    <col min="4" max="4" width="16.33203125" customWidth="1"/>
    <col min="5" max="5" width="11.33203125" customWidth="1"/>
    <col min="6" max="13" width="12.6640625" customWidth="1"/>
    <col min="14" max="14" width="15.33203125" customWidth="1"/>
    <col min="15" max="19" width="12.6640625" customWidth="1"/>
  </cols>
  <sheetData>
    <row r="1" spans="1:22" ht="13">
      <c r="A1" s="13"/>
      <c r="B1" s="13"/>
      <c r="C1" s="13"/>
      <c r="D1" s="13"/>
      <c r="E1" s="13"/>
      <c r="F1" s="13"/>
      <c r="G1" s="13"/>
      <c r="H1" s="13"/>
      <c r="I1" s="13"/>
      <c r="J1" s="13"/>
      <c r="K1" s="13"/>
      <c r="L1" s="13"/>
      <c r="M1" s="13"/>
      <c r="N1" s="13"/>
      <c r="O1" s="13"/>
      <c r="P1" s="13"/>
      <c r="Q1" s="13"/>
      <c r="R1" s="13"/>
      <c r="S1" s="13"/>
      <c r="T1" s="13"/>
      <c r="U1" s="13"/>
      <c r="V1" s="13"/>
    </row>
    <row r="2" spans="1:22" ht="18">
      <c r="A2" s="13"/>
      <c r="B2" s="95" t="s">
        <v>440</v>
      </c>
      <c r="C2" s="13"/>
      <c r="D2" s="13"/>
      <c r="E2" s="13"/>
      <c r="F2" s="13"/>
      <c r="G2" s="13"/>
      <c r="H2" s="13"/>
      <c r="I2" s="13"/>
      <c r="J2" s="13"/>
      <c r="K2" s="13"/>
      <c r="L2" s="13"/>
      <c r="M2" s="13"/>
      <c r="N2" s="13"/>
      <c r="O2" s="13"/>
      <c r="P2" s="13"/>
      <c r="Q2" s="13"/>
      <c r="R2" s="13"/>
      <c r="S2" s="13"/>
      <c r="T2" s="13"/>
      <c r="U2" s="13"/>
      <c r="V2" s="13"/>
    </row>
    <row r="3" spans="1:22" ht="13">
      <c r="A3" s="13"/>
      <c r="B3" s="40" t="s">
        <v>441</v>
      </c>
      <c r="C3" s="13"/>
      <c r="D3" s="13"/>
      <c r="E3" s="13"/>
      <c r="F3" s="13"/>
      <c r="G3" s="13"/>
      <c r="H3" s="13"/>
      <c r="I3" s="13"/>
      <c r="J3" s="13"/>
      <c r="K3" s="13"/>
      <c r="L3" s="13"/>
      <c r="M3" s="13"/>
      <c r="N3" s="13"/>
      <c r="O3" s="13"/>
      <c r="P3" s="13"/>
      <c r="Q3" s="13"/>
      <c r="R3" s="13"/>
      <c r="S3" s="13"/>
      <c r="T3" s="13"/>
      <c r="U3" s="13"/>
      <c r="V3" s="13"/>
    </row>
    <row r="4" spans="1:22" ht="13">
      <c r="A4" s="13"/>
      <c r="B4" s="13"/>
      <c r="C4" s="13"/>
      <c r="D4" s="13"/>
      <c r="E4" s="13"/>
      <c r="F4" s="13"/>
      <c r="G4" s="13"/>
      <c r="H4" s="13"/>
      <c r="I4" s="13"/>
      <c r="J4" s="13"/>
      <c r="K4" s="13"/>
      <c r="L4" s="13"/>
      <c r="M4" s="13"/>
      <c r="N4" s="13"/>
      <c r="O4" s="13"/>
      <c r="P4" s="13"/>
      <c r="Q4" s="13"/>
      <c r="R4" s="13"/>
      <c r="S4" s="13"/>
      <c r="T4" s="13"/>
      <c r="U4" s="13"/>
      <c r="V4" s="13"/>
    </row>
    <row r="5" spans="1:22" ht="42">
      <c r="A5" s="13"/>
      <c r="B5" s="106" t="s">
        <v>442</v>
      </c>
      <c r="C5" s="106" t="s">
        <v>384</v>
      </c>
      <c r="D5" s="106" t="s">
        <v>368</v>
      </c>
      <c r="E5" s="106" t="s">
        <v>443</v>
      </c>
      <c r="F5" s="107" t="s">
        <v>444</v>
      </c>
      <c r="G5" s="107" t="s">
        <v>445</v>
      </c>
      <c r="H5" s="107" t="s">
        <v>446</v>
      </c>
      <c r="I5" s="107" t="s">
        <v>447</v>
      </c>
      <c r="J5" s="107" t="s">
        <v>186</v>
      </c>
      <c r="K5" s="107" t="s">
        <v>35</v>
      </c>
      <c r="L5" s="107" t="s">
        <v>448</v>
      </c>
      <c r="M5" s="107" t="s">
        <v>449</v>
      </c>
      <c r="N5" s="107" t="s">
        <v>450</v>
      </c>
      <c r="O5" s="107" t="s">
        <v>451</v>
      </c>
      <c r="P5" s="107" t="s">
        <v>452</v>
      </c>
      <c r="Q5" s="107" t="s">
        <v>453</v>
      </c>
      <c r="R5" s="107" t="s">
        <v>454</v>
      </c>
      <c r="S5" s="107" t="s">
        <v>455</v>
      </c>
      <c r="T5" s="107" t="s">
        <v>456</v>
      </c>
      <c r="U5" s="107" t="s">
        <v>457</v>
      </c>
      <c r="V5" s="13"/>
    </row>
    <row r="6" spans="1:22" ht="13">
      <c r="A6" s="108"/>
      <c r="B6" s="108"/>
      <c r="C6" s="108"/>
      <c r="D6" s="108"/>
      <c r="E6" s="108"/>
      <c r="F6" s="108"/>
      <c r="G6" s="108"/>
      <c r="H6" s="108"/>
      <c r="I6" s="108"/>
      <c r="J6" s="108"/>
      <c r="K6" s="108"/>
      <c r="L6" s="108"/>
      <c r="M6" s="108"/>
      <c r="N6" s="108"/>
      <c r="O6" s="108"/>
      <c r="P6" s="108"/>
      <c r="Q6" s="108"/>
      <c r="R6" s="108"/>
      <c r="S6" s="108"/>
      <c r="T6" s="108"/>
      <c r="U6" s="108"/>
      <c r="V6" s="108"/>
    </row>
    <row r="7" spans="1:22" ht="42">
      <c r="A7" s="108"/>
      <c r="B7" s="14" t="s">
        <v>458</v>
      </c>
      <c r="C7" s="109" t="s">
        <v>459</v>
      </c>
      <c r="D7" s="14" t="s">
        <v>460</v>
      </c>
      <c r="E7" s="14" t="s">
        <v>461</v>
      </c>
      <c r="F7" s="123" t="b">
        <v>1</v>
      </c>
      <c r="G7" s="123" t="b">
        <v>0</v>
      </c>
      <c r="H7" s="123" t="b">
        <v>0</v>
      </c>
      <c r="I7" s="123" t="b">
        <v>1</v>
      </c>
      <c r="J7" s="123" t="b">
        <v>0</v>
      </c>
      <c r="K7" s="123" t="b">
        <v>0</v>
      </c>
      <c r="L7" s="123" t="b">
        <v>0</v>
      </c>
      <c r="M7" s="123" t="b">
        <v>0</v>
      </c>
      <c r="N7" s="123" t="b">
        <v>0</v>
      </c>
      <c r="O7" s="123" t="b">
        <v>0</v>
      </c>
      <c r="P7" s="123" t="b">
        <v>0</v>
      </c>
      <c r="Q7" s="123" t="b">
        <v>0</v>
      </c>
      <c r="R7" s="123" t="b">
        <v>0</v>
      </c>
      <c r="S7" s="123" t="b">
        <v>0</v>
      </c>
      <c r="T7" s="123" t="b">
        <v>0</v>
      </c>
      <c r="U7" s="123" t="b">
        <v>0</v>
      </c>
      <c r="V7" s="108"/>
    </row>
    <row r="8" spans="1:22" ht="42">
      <c r="A8" s="108"/>
      <c r="B8" s="98" t="s">
        <v>407</v>
      </c>
      <c r="C8" s="110" t="s">
        <v>462</v>
      </c>
      <c r="D8" s="98" t="s">
        <v>460</v>
      </c>
      <c r="E8" s="98" t="s">
        <v>463</v>
      </c>
      <c r="F8" s="124" t="b">
        <v>1</v>
      </c>
      <c r="G8" s="124" t="b">
        <v>1</v>
      </c>
      <c r="H8" s="124" t="b">
        <v>0</v>
      </c>
      <c r="I8" s="124" t="b">
        <v>1</v>
      </c>
      <c r="J8" s="124" t="b">
        <v>0</v>
      </c>
      <c r="K8" s="124" t="b">
        <v>0</v>
      </c>
      <c r="L8" s="124" t="b">
        <v>0</v>
      </c>
      <c r="M8" s="124" t="b">
        <v>0</v>
      </c>
      <c r="N8" s="124" t="b">
        <v>0</v>
      </c>
      <c r="O8" s="124" t="b">
        <v>0</v>
      </c>
      <c r="P8" s="124" t="b">
        <v>0</v>
      </c>
      <c r="Q8" s="124" t="b">
        <v>0</v>
      </c>
      <c r="R8" s="124" t="b">
        <v>0</v>
      </c>
      <c r="S8" s="124" t="b">
        <v>0</v>
      </c>
      <c r="T8" s="124" t="b">
        <v>0</v>
      </c>
      <c r="U8" s="124" t="b">
        <v>0</v>
      </c>
      <c r="V8" s="108"/>
    </row>
    <row r="9" spans="1:22" ht="42">
      <c r="A9" s="108"/>
      <c r="B9" s="14" t="s">
        <v>464</v>
      </c>
      <c r="C9" s="109" t="s">
        <v>465</v>
      </c>
      <c r="D9" s="14" t="s">
        <v>460</v>
      </c>
      <c r="E9" s="14" t="s">
        <v>463</v>
      </c>
      <c r="F9" s="123" t="b">
        <v>1</v>
      </c>
      <c r="G9" s="123" t="b">
        <v>1</v>
      </c>
      <c r="H9" s="123" t="b">
        <v>0</v>
      </c>
      <c r="I9" s="123" t="b">
        <v>1</v>
      </c>
      <c r="J9" s="123" t="b">
        <v>1</v>
      </c>
      <c r="K9" s="123" t="b">
        <v>1</v>
      </c>
      <c r="L9" s="123" t="b">
        <v>0</v>
      </c>
      <c r="M9" s="123" t="b">
        <v>0</v>
      </c>
      <c r="N9" s="123" t="b">
        <v>0</v>
      </c>
      <c r="O9" s="123" t="b">
        <v>0</v>
      </c>
      <c r="P9" s="123" t="b">
        <v>0</v>
      </c>
      <c r="Q9" s="123" t="b">
        <v>0</v>
      </c>
      <c r="R9" s="123" t="b">
        <v>0</v>
      </c>
      <c r="S9" s="123" t="b">
        <v>0</v>
      </c>
      <c r="T9" s="123" t="b">
        <v>0</v>
      </c>
      <c r="U9" s="123" t="b">
        <v>0</v>
      </c>
      <c r="V9" s="108"/>
    </row>
    <row r="10" spans="1:22" ht="42">
      <c r="A10" s="108"/>
      <c r="B10" s="98" t="s">
        <v>466</v>
      </c>
      <c r="C10" s="110" t="s">
        <v>467</v>
      </c>
      <c r="D10" s="98" t="s">
        <v>468</v>
      </c>
      <c r="E10" s="111" t="s">
        <v>463</v>
      </c>
      <c r="F10" s="124" t="b">
        <v>1</v>
      </c>
      <c r="G10" s="124" t="b">
        <v>1</v>
      </c>
      <c r="H10" s="124" t="b">
        <v>0</v>
      </c>
      <c r="I10" s="124" t="b">
        <v>1</v>
      </c>
      <c r="J10" s="124" t="b">
        <v>1</v>
      </c>
      <c r="K10" s="124" t="b">
        <v>0</v>
      </c>
      <c r="L10" s="124" t="b">
        <v>0</v>
      </c>
      <c r="M10" s="124" t="b">
        <v>0</v>
      </c>
      <c r="N10" s="124" t="b">
        <v>0</v>
      </c>
      <c r="O10" s="124" t="b">
        <v>0</v>
      </c>
      <c r="P10" s="124" t="b">
        <v>0</v>
      </c>
      <c r="Q10" s="124" t="b">
        <v>0</v>
      </c>
      <c r="R10" s="124" t="b">
        <v>0</v>
      </c>
      <c r="S10" s="124" t="b">
        <v>0</v>
      </c>
      <c r="T10" s="124" t="b">
        <v>0</v>
      </c>
      <c r="U10" s="124" t="b">
        <v>0</v>
      </c>
      <c r="V10" s="108"/>
    </row>
    <row r="11" spans="1:22" ht="42">
      <c r="A11" s="108"/>
      <c r="B11" s="14" t="s">
        <v>469</v>
      </c>
      <c r="C11" s="109" t="s">
        <v>470</v>
      </c>
      <c r="D11" s="14" t="s">
        <v>468</v>
      </c>
      <c r="E11" s="112" t="s">
        <v>463</v>
      </c>
      <c r="F11" s="123" t="b">
        <v>1</v>
      </c>
      <c r="G11" s="123" t="b">
        <v>1</v>
      </c>
      <c r="H11" s="123" t="b">
        <v>0</v>
      </c>
      <c r="I11" s="123" t="b">
        <v>1</v>
      </c>
      <c r="J11" s="123" t="b">
        <v>1</v>
      </c>
      <c r="K11" s="123" t="b">
        <v>0</v>
      </c>
      <c r="L11" s="123" t="b">
        <v>0</v>
      </c>
      <c r="M11" s="123" t="b">
        <v>0</v>
      </c>
      <c r="N11" s="123" t="b">
        <v>0</v>
      </c>
      <c r="O11" s="123" t="b">
        <v>0</v>
      </c>
      <c r="P11" s="123" t="b">
        <v>0</v>
      </c>
      <c r="Q11" s="123" t="b">
        <v>0</v>
      </c>
      <c r="R11" s="123" t="b">
        <v>0</v>
      </c>
      <c r="S11" s="123" t="b">
        <v>1</v>
      </c>
      <c r="T11" s="123" t="b">
        <v>1</v>
      </c>
      <c r="U11" s="123" t="b">
        <v>0</v>
      </c>
      <c r="V11" s="108"/>
    </row>
    <row r="12" spans="1:22" ht="28">
      <c r="A12" s="108"/>
      <c r="B12" s="98" t="s">
        <v>471</v>
      </c>
      <c r="C12" s="110" t="s">
        <v>472</v>
      </c>
      <c r="D12" s="98" t="s">
        <v>468</v>
      </c>
      <c r="E12" s="111" t="s">
        <v>473</v>
      </c>
      <c r="F12" s="124" t="b">
        <v>1</v>
      </c>
      <c r="G12" s="124" t="b">
        <v>1</v>
      </c>
      <c r="H12" s="124" t="b">
        <v>0</v>
      </c>
      <c r="I12" s="124" t="b">
        <v>1</v>
      </c>
      <c r="J12" s="124" t="b">
        <v>1</v>
      </c>
      <c r="K12" s="124" t="b">
        <v>1</v>
      </c>
      <c r="L12" s="124" t="b">
        <v>0</v>
      </c>
      <c r="M12" s="124" t="b">
        <v>0</v>
      </c>
      <c r="N12" s="124" t="b">
        <v>0</v>
      </c>
      <c r="O12" s="124" t="b">
        <v>0</v>
      </c>
      <c r="P12" s="124" t="b">
        <v>0</v>
      </c>
      <c r="Q12" s="124" t="b">
        <v>0</v>
      </c>
      <c r="R12" s="124" t="b">
        <v>0</v>
      </c>
      <c r="S12" s="124" t="b">
        <v>0</v>
      </c>
      <c r="T12" s="124" t="b">
        <v>1</v>
      </c>
      <c r="U12" s="124" t="b">
        <v>0</v>
      </c>
      <c r="V12" s="108"/>
    </row>
    <row r="13" spans="1:22" ht="28">
      <c r="A13" s="108"/>
      <c r="B13" s="14" t="s">
        <v>474</v>
      </c>
      <c r="C13" s="109" t="s">
        <v>413</v>
      </c>
      <c r="D13" s="14" t="s">
        <v>468</v>
      </c>
      <c r="E13" s="112" t="s">
        <v>475</v>
      </c>
      <c r="F13" s="123" t="b">
        <v>1</v>
      </c>
      <c r="G13" s="123" t="b">
        <v>1</v>
      </c>
      <c r="H13" s="123" t="b">
        <v>1</v>
      </c>
      <c r="I13" s="123" t="b">
        <v>1</v>
      </c>
      <c r="J13" s="123" t="b">
        <v>1</v>
      </c>
      <c r="K13" s="123" t="b">
        <v>0</v>
      </c>
      <c r="L13" s="123" t="b">
        <v>1</v>
      </c>
      <c r="M13" s="123" t="b">
        <v>0</v>
      </c>
      <c r="N13" s="123" t="b">
        <v>0</v>
      </c>
      <c r="O13" s="123" t="b">
        <v>1</v>
      </c>
      <c r="P13" s="123" t="b">
        <v>1</v>
      </c>
      <c r="Q13" s="123" t="b">
        <v>0</v>
      </c>
      <c r="R13" s="123" t="b">
        <v>0</v>
      </c>
      <c r="S13" s="123" t="b">
        <v>0</v>
      </c>
      <c r="T13" s="123" t="b">
        <v>1</v>
      </c>
      <c r="U13" s="123" t="b">
        <v>0</v>
      </c>
      <c r="V13" s="108"/>
    </row>
    <row r="14" spans="1:22" ht="37.5" customHeight="1">
      <c r="A14" s="108"/>
      <c r="B14" s="98" t="s">
        <v>476</v>
      </c>
      <c r="C14" s="110" t="s">
        <v>477</v>
      </c>
      <c r="D14" s="98" t="s">
        <v>468</v>
      </c>
      <c r="E14" s="111" t="s">
        <v>478</v>
      </c>
      <c r="F14" s="124" t="b">
        <v>1</v>
      </c>
      <c r="G14" s="124" t="b">
        <v>1</v>
      </c>
      <c r="H14" s="124" t="b">
        <v>1</v>
      </c>
      <c r="I14" s="124" t="b">
        <v>1</v>
      </c>
      <c r="J14" s="124" t="b">
        <v>1</v>
      </c>
      <c r="K14" s="124" t="b">
        <v>0</v>
      </c>
      <c r="L14" s="124" t="b">
        <v>1</v>
      </c>
      <c r="M14" s="124" t="b">
        <v>1</v>
      </c>
      <c r="N14" s="124" t="b">
        <v>1</v>
      </c>
      <c r="O14" s="124" t="b">
        <v>1</v>
      </c>
      <c r="P14" s="124" t="b">
        <v>1</v>
      </c>
      <c r="Q14" s="124" t="b">
        <v>0</v>
      </c>
      <c r="R14" s="124" t="b">
        <v>0</v>
      </c>
      <c r="S14" s="124" t="b">
        <v>0</v>
      </c>
      <c r="T14" s="124" t="b">
        <v>1</v>
      </c>
      <c r="U14" s="124" t="b">
        <v>0</v>
      </c>
      <c r="V14" s="108"/>
    </row>
    <row r="15" spans="1:22" ht="42">
      <c r="A15" s="108"/>
      <c r="B15" s="14" t="s">
        <v>479</v>
      </c>
      <c r="C15" s="109" t="s">
        <v>480</v>
      </c>
      <c r="D15" s="14" t="s">
        <v>468</v>
      </c>
      <c r="E15" s="14" t="s">
        <v>463</v>
      </c>
      <c r="F15" s="123" t="b">
        <v>1</v>
      </c>
      <c r="G15" s="123" t="b">
        <v>0</v>
      </c>
      <c r="H15" s="123" t="b">
        <v>0</v>
      </c>
      <c r="I15" s="123" t="b">
        <v>1</v>
      </c>
      <c r="J15" s="123" t="b">
        <v>0</v>
      </c>
      <c r="K15" s="123" t="b">
        <v>0</v>
      </c>
      <c r="L15" s="123" t="b">
        <v>0</v>
      </c>
      <c r="M15" s="123" t="b">
        <v>1</v>
      </c>
      <c r="N15" s="123" t="b">
        <v>0</v>
      </c>
      <c r="O15" s="123" t="b">
        <v>0</v>
      </c>
      <c r="P15" s="123" t="b">
        <v>0</v>
      </c>
      <c r="Q15" s="123" t="b">
        <v>0</v>
      </c>
      <c r="R15" s="123" t="b">
        <v>0</v>
      </c>
      <c r="S15" s="123" t="b">
        <v>0</v>
      </c>
      <c r="T15" s="123" t="b">
        <v>0</v>
      </c>
      <c r="U15" s="123" t="b">
        <v>0</v>
      </c>
      <c r="V15" s="108"/>
    </row>
    <row r="16" spans="1:22" ht="42">
      <c r="A16" s="108"/>
      <c r="B16" s="98" t="s">
        <v>481</v>
      </c>
      <c r="C16" s="110" t="s">
        <v>482</v>
      </c>
      <c r="D16" s="98" t="s">
        <v>468</v>
      </c>
      <c r="E16" s="98" t="s">
        <v>463</v>
      </c>
      <c r="F16" s="124" t="b">
        <v>1</v>
      </c>
      <c r="G16" s="124" t="b">
        <v>1</v>
      </c>
      <c r="H16" s="124" t="b">
        <v>0</v>
      </c>
      <c r="I16" s="124" t="b">
        <v>1</v>
      </c>
      <c r="J16" s="124" t="b">
        <v>1</v>
      </c>
      <c r="K16" s="124" t="b">
        <v>0</v>
      </c>
      <c r="L16" s="124" t="b">
        <v>0</v>
      </c>
      <c r="M16" s="124" t="b">
        <v>0</v>
      </c>
      <c r="N16" s="124" t="b">
        <v>0</v>
      </c>
      <c r="O16" s="124" t="b">
        <v>0</v>
      </c>
      <c r="P16" s="124" t="b">
        <v>0</v>
      </c>
      <c r="Q16" s="124" t="b">
        <v>0</v>
      </c>
      <c r="R16" s="124" t="b">
        <v>0</v>
      </c>
      <c r="S16" s="124" t="b">
        <v>0</v>
      </c>
      <c r="T16" s="124" t="b">
        <v>0</v>
      </c>
      <c r="U16" s="124" t="b">
        <v>1</v>
      </c>
      <c r="V16" s="108"/>
    </row>
    <row r="17" spans="1:22" ht="42">
      <c r="A17" s="108"/>
      <c r="B17" s="14" t="s">
        <v>422</v>
      </c>
      <c r="C17" s="109" t="s">
        <v>483</v>
      </c>
      <c r="D17" s="14" t="s">
        <v>468</v>
      </c>
      <c r="E17" s="14" t="s">
        <v>463</v>
      </c>
      <c r="F17" s="123" t="b">
        <v>1</v>
      </c>
      <c r="G17" s="123" t="b">
        <v>1</v>
      </c>
      <c r="H17" s="123" t="b">
        <v>0</v>
      </c>
      <c r="I17" s="123" t="b">
        <v>0</v>
      </c>
      <c r="J17" s="123" t="b">
        <v>0</v>
      </c>
      <c r="K17" s="123" t="b">
        <v>0</v>
      </c>
      <c r="L17" s="123" t="b">
        <v>0</v>
      </c>
      <c r="M17" s="123" t="b">
        <v>0</v>
      </c>
      <c r="N17" s="123" t="b">
        <v>0</v>
      </c>
      <c r="O17" s="123" t="b">
        <v>0</v>
      </c>
      <c r="P17" s="123" t="b">
        <v>0</v>
      </c>
      <c r="Q17" s="123" t="b">
        <v>1</v>
      </c>
      <c r="R17" s="123" t="b">
        <v>0</v>
      </c>
      <c r="S17" s="123" t="b">
        <v>0</v>
      </c>
      <c r="T17" s="123" t="b">
        <v>0</v>
      </c>
      <c r="U17" s="123" t="b">
        <v>0</v>
      </c>
      <c r="V17" s="108"/>
    </row>
    <row r="18" spans="1:22" ht="42">
      <c r="A18" s="108"/>
      <c r="B18" s="98" t="s">
        <v>425</v>
      </c>
      <c r="C18" s="110" t="s">
        <v>427</v>
      </c>
      <c r="D18" s="98" t="s">
        <v>484</v>
      </c>
      <c r="E18" s="98" t="s">
        <v>463</v>
      </c>
      <c r="F18" s="124" t="b">
        <v>0</v>
      </c>
      <c r="G18" s="124" t="b">
        <v>0</v>
      </c>
      <c r="H18" s="124" t="b">
        <v>0</v>
      </c>
      <c r="I18" s="124" t="b">
        <v>0</v>
      </c>
      <c r="J18" s="124" t="b">
        <v>0</v>
      </c>
      <c r="K18" s="124" t="b">
        <v>0</v>
      </c>
      <c r="L18" s="124" t="b">
        <v>0</v>
      </c>
      <c r="M18" s="124" t="b">
        <v>0</v>
      </c>
      <c r="N18" s="124" t="b">
        <v>0</v>
      </c>
      <c r="O18" s="124" t="b">
        <v>0</v>
      </c>
      <c r="P18" s="124" t="b">
        <v>0</v>
      </c>
      <c r="Q18" s="124" t="b">
        <v>0</v>
      </c>
      <c r="R18" s="124" t="b">
        <v>1</v>
      </c>
      <c r="S18" s="124" t="b">
        <v>0</v>
      </c>
      <c r="T18" s="124" t="b">
        <v>0</v>
      </c>
      <c r="U18" s="124" t="b">
        <v>0</v>
      </c>
      <c r="V18" s="108"/>
    </row>
    <row r="19" spans="1:22" ht="42">
      <c r="A19" s="108"/>
      <c r="B19" s="14" t="s">
        <v>428</v>
      </c>
      <c r="C19" s="113" t="s">
        <v>485</v>
      </c>
      <c r="D19" s="14" t="s">
        <v>484</v>
      </c>
      <c r="E19" s="14" t="s">
        <v>463</v>
      </c>
      <c r="F19" s="123" t="b">
        <v>0</v>
      </c>
      <c r="G19" s="123" t="b">
        <v>0</v>
      </c>
      <c r="H19" s="123" t="b">
        <v>0</v>
      </c>
      <c r="I19" s="123" t="b">
        <v>0</v>
      </c>
      <c r="J19" s="123" t="b">
        <v>0</v>
      </c>
      <c r="K19" s="123" t="b">
        <v>0</v>
      </c>
      <c r="L19" s="123" t="b">
        <v>0</v>
      </c>
      <c r="M19" s="123" t="b">
        <v>0</v>
      </c>
      <c r="N19" s="123" t="b">
        <v>0</v>
      </c>
      <c r="O19" s="123" t="b">
        <v>0</v>
      </c>
      <c r="P19" s="123" t="b">
        <v>0</v>
      </c>
      <c r="Q19" s="123" t="b">
        <v>0</v>
      </c>
      <c r="R19" s="123" t="b">
        <v>1</v>
      </c>
      <c r="S19" s="123" t="b">
        <v>0</v>
      </c>
      <c r="T19" s="123" t="b">
        <v>0</v>
      </c>
      <c r="U19" s="123" t="b">
        <v>0</v>
      </c>
      <c r="V19" s="108"/>
    </row>
    <row r="20" spans="1:22" ht="42">
      <c r="A20" s="108"/>
      <c r="B20" s="98" t="s">
        <v>486</v>
      </c>
      <c r="C20" s="114" t="s">
        <v>487</v>
      </c>
      <c r="D20" s="98" t="s">
        <v>484</v>
      </c>
      <c r="E20" s="98" t="s">
        <v>463</v>
      </c>
      <c r="F20" s="124" t="b">
        <v>0</v>
      </c>
      <c r="G20" s="124" t="b">
        <v>0</v>
      </c>
      <c r="H20" s="124" t="b">
        <v>0</v>
      </c>
      <c r="I20" s="124" t="b">
        <v>0</v>
      </c>
      <c r="J20" s="124" t="b">
        <v>0</v>
      </c>
      <c r="K20" s="124" t="b">
        <v>0</v>
      </c>
      <c r="L20" s="124" t="b">
        <v>0</v>
      </c>
      <c r="M20" s="124" t="b">
        <v>0</v>
      </c>
      <c r="N20" s="124" t="b">
        <v>0</v>
      </c>
      <c r="O20" s="124" t="b">
        <v>0</v>
      </c>
      <c r="P20" s="124" t="b">
        <v>0</v>
      </c>
      <c r="Q20" s="124" t="b">
        <v>0</v>
      </c>
      <c r="R20" s="124" t="b">
        <v>0</v>
      </c>
      <c r="S20" s="124" t="b">
        <v>0</v>
      </c>
      <c r="T20" s="124" t="b">
        <v>1</v>
      </c>
      <c r="U20" s="124" t="b">
        <v>0</v>
      </c>
      <c r="V20" s="108"/>
    </row>
    <row r="21" spans="1:22" ht="84">
      <c r="A21" s="13"/>
      <c r="B21" s="14" t="s">
        <v>488</v>
      </c>
      <c r="C21" s="113" t="s">
        <v>418</v>
      </c>
      <c r="D21" s="14" t="s">
        <v>489</v>
      </c>
      <c r="E21" s="14" t="s">
        <v>490</v>
      </c>
      <c r="F21" s="123" t="b">
        <v>0</v>
      </c>
      <c r="G21" s="123" t="b">
        <v>0</v>
      </c>
      <c r="H21" s="123" t="b">
        <v>0</v>
      </c>
      <c r="I21" s="123" t="b">
        <v>0</v>
      </c>
      <c r="J21" s="123" t="b">
        <v>0</v>
      </c>
      <c r="K21" s="123" t="b">
        <v>0</v>
      </c>
      <c r="L21" s="123" t="b">
        <v>0</v>
      </c>
      <c r="M21" s="123" t="b">
        <v>0</v>
      </c>
      <c r="N21" s="123" t="b">
        <v>0</v>
      </c>
      <c r="O21" s="123" t="b">
        <v>0</v>
      </c>
      <c r="P21" s="123" t="b">
        <v>0</v>
      </c>
      <c r="Q21" s="123" t="b">
        <v>0</v>
      </c>
      <c r="R21" s="123" t="b">
        <v>0</v>
      </c>
      <c r="S21" s="123" t="b">
        <v>0</v>
      </c>
      <c r="T21" s="123" t="b">
        <v>0</v>
      </c>
      <c r="U21" s="123" t="b">
        <v>0</v>
      </c>
      <c r="V21" s="108"/>
    </row>
    <row r="22" spans="1:22" ht="13">
      <c r="A22" s="13"/>
      <c r="B22" s="13"/>
      <c r="C22" s="13"/>
      <c r="D22" s="13"/>
      <c r="E22" s="13"/>
      <c r="F22" s="13"/>
      <c r="G22" s="13"/>
      <c r="H22" s="13"/>
      <c r="I22" s="13"/>
      <c r="J22" s="13"/>
      <c r="K22" s="13"/>
      <c r="L22" s="13"/>
      <c r="M22" s="13"/>
      <c r="N22" s="13"/>
      <c r="O22" s="13"/>
      <c r="P22" s="13"/>
      <c r="Q22" s="13"/>
      <c r="R22" s="13"/>
      <c r="S22" s="13"/>
      <c r="T22" s="13"/>
      <c r="U22" s="13"/>
      <c r="V22" s="13"/>
    </row>
  </sheetData>
  <hyperlinks>
    <hyperlink ref="C7" r:id="rId1" xr:uid="{00000000-0004-0000-0C00-000000000000}"/>
    <hyperlink ref="C8" r:id="rId2" xr:uid="{00000000-0004-0000-0C00-000001000000}"/>
    <hyperlink ref="C9" r:id="rId3" xr:uid="{00000000-0004-0000-0C00-000002000000}"/>
    <hyperlink ref="C10" r:id="rId4" xr:uid="{00000000-0004-0000-0C00-000003000000}"/>
    <hyperlink ref="C11" r:id="rId5" xr:uid="{00000000-0004-0000-0C00-000004000000}"/>
    <hyperlink ref="C12" r:id="rId6" xr:uid="{00000000-0004-0000-0C00-000005000000}"/>
    <hyperlink ref="C13" r:id="rId7" xr:uid="{00000000-0004-0000-0C00-000006000000}"/>
    <hyperlink ref="C14" r:id="rId8" xr:uid="{00000000-0004-0000-0C00-000007000000}"/>
    <hyperlink ref="C15" r:id="rId9" xr:uid="{00000000-0004-0000-0C00-000008000000}"/>
    <hyperlink ref="C16" r:id="rId10" xr:uid="{00000000-0004-0000-0C00-000009000000}"/>
    <hyperlink ref="C17" r:id="rId11" xr:uid="{00000000-0004-0000-0C00-00000A000000}"/>
    <hyperlink ref="C18" r:id="rId12" xr:uid="{00000000-0004-0000-0C00-00000B000000}"/>
    <hyperlink ref="C19" r:id="rId13" xr:uid="{00000000-0004-0000-0C00-00000C000000}"/>
    <hyperlink ref="C20" r:id="rId14" xr:uid="{00000000-0004-0000-0C00-00000D000000}"/>
    <hyperlink ref="C21" r:id="rId15" xr:uid="{00000000-0004-0000-0C00-00000E000000}"/>
  </hyperlinks>
  <pageMargins left="0.7" right="0.7" top="0.75" bottom="0.75" header="0.3" footer="0.3"/>
  <tableParts count="1">
    <tablePart r:id="rId1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C42"/>
  <sheetViews>
    <sheetView showGridLines="0" workbookViewId="0"/>
  </sheetViews>
  <sheetFormatPr baseColWidth="10" defaultColWidth="12.6640625" defaultRowHeight="15.75" customHeight="1"/>
  <cols>
    <col min="1" max="1" width="5.5" customWidth="1"/>
    <col min="2" max="2" width="31.6640625" customWidth="1"/>
    <col min="3" max="3" width="80.1640625" customWidth="1"/>
  </cols>
  <sheetData>
    <row r="2" spans="2:3">
      <c r="B2" s="2" t="s">
        <v>43</v>
      </c>
    </row>
    <row r="3" spans="2:3" ht="15.75" customHeight="1">
      <c r="B3" s="20" t="s">
        <v>491</v>
      </c>
    </row>
    <row r="4" spans="2:3" ht="15.75" customHeight="1">
      <c r="B4" s="15"/>
    </row>
    <row r="5" spans="2:3" ht="15.75" customHeight="1">
      <c r="B5" s="22" t="s">
        <v>492</v>
      </c>
      <c r="C5" s="22" t="s">
        <v>493</v>
      </c>
    </row>
    <row r="6" spans="2:3" ht="15.75" customHeight="1">
      <c r="B6" s="11"/>
      <c r="C6" s="11"/>
    </row>
    <row r="7" spans="2:3" ht="15.75" customHeight="1">
      <c r="B7" s="11" t="s">
        <v>494</v>
      </c>
      <c r="C7" s="11" t="s">
        <v>495</v>
      </c>
    </row>
    <row r="8" spans="2:3" ht="15.75" customHeight="1">
      <c r="B8" s="11" t="s">
        <v>496</v>
      </c>
      <c r="C8" s="11" t="s">
        <v>497</v>
      </c>
    </row>
    <row r="9" spans="2:3" ht="15.75" customHeight="1">
      <c r="B9" s="11" t="s">
        <v>498</v>
      </c>
      <c r="C9" s="11" t="s">
        <v>499</v>
      </c>
    </row>
    <row r="10" spans="2:3" ht="15.75" customHeight="1">
      <c r="B10" s="11" t="s">
        <v>500</v>
      </c>
      <c r="C10" s="11" t="s">
        <v>501</v>
      </c>
    </row>
    <row r="11" spans="2:3" ht="15.75" customHeight="1">
      <c r="B11" s="11" t="s">
        <v>258</v>
      </c>
      <c r="C11" s="11" t="s">
        <v>502</v>
      </c>
    </row>
    <row r="12" spans="2:3" ht="15.75" customHeight="1">
      <c r="B12" s="11" t="s">
        <v>253</v>
      </c>
      <c r="C12" s="11" t="s">
        <v>503</v>
      </c>
    </row>
    <row r="13" spans="2:3" ht="15.75" customHeight="1">
      <c r="B13" s="11" t="s">
        <v>504</v>
      </c>
      <c r="C13" s="11" t="s">
        <v>505</v>
      </c>
    </row>
    <row r="14" spans="2:3" ht="15.75" customHeight="1">
      <c r="B14" s="11" t="s">
        <v>267</v>
      </c>
      <c r="C14" s="11" t="s">
        <v>506</v>
      </c>
    </row>
    <row r="15" spans="2:3" ht="15.75" customHeight="1">
      <c r="B15" s="11" t="s">
        <v>268</v>
      </c>
      <c r="C15" s="11" t="s">
        <v>507</v>
      </c>
    </row>
    <row r="16" spans="2:3" ht="15.75" customHeight="1">
      <c r="B16" s="11" t="s">
        <v>242</v>
      </c>
      <c r="C16" s="11" t="s">
        <v>508</v>
      </c>
    </row>
    <row r="17" spans="2:3" ht="15.75" customHeight="1">
      <c r="B17" s="11" t="s">
        <v>509</v>
      </c>
      <c r="C17" s="11" t="s">
        <v>510</v>
      </c>
    </row>
    <row r="18" spans="2:3" ht="15.75" customHeight="1">
      <c r="B18" s="115" t="s">
        <v>218</v>
      </c>
      <c r="C18" s="11" t="s">
        <v>511</v>
      </c>
    </row>
    <row r="19" spans="2:3" ht="15.75" customHeight="1">
      <c r="B19" s="115" t="s">
        <v>269</v>
      </c>
      <c r="C19" s="11" t="s">
        <v>512</v>
      </c>
    </row>
    <row r="20" spans="2:3" ht="15.75" customHeight="1">
      <c r="B20" s="115" t="s">
        <v>270</v>
      </c>
      <c r="C20" s="11" t="s">
        <v>513</v>
      </c>
    </row>
    <row r="21" spans="2:3" ht="15.75" customHeight="1">
      <c r="B21" s="115" t="s">
        <v>220</v>
      </c>
      <c r="C21" s="11" t="s">
        <v>514</v>
      </c>
    </row>
    <row r="22" spans="2:3" ht="15.75" customHeight="1">
      <c r="B22" s="115" t="s">
        <v>515</v>
      </c>
      <c r="C22" s="11" t="s">
        <v>516</v>
      </c>
    </row>
    <row r="23" spans="2:3" ht="15.75" customHeight="1">
      <c r="B23" s="115" t="s">
        <v>517</v>
      </c>
      <c r="C23" s="11" t="s">
        <v>518</v>
      </c>
    </row>
    <row r="24" spans="2:3" ht="15.75" customHeight="1">
      <c r="B24" s="115" t="s">
        <v>519</v>
      </c>
      <c r="C24" s="11" t="s">
        <v>520</v>
      </c>
    </row>
    <row r="25" spans="2:3" ht="15.75" customHeight="1">
      <c r="B25" s="115" t="s">
        <v>221</v>
      </c>
      <c r="C25" s="11" t="s">
        <v>521</v>
      </c>
    </row>
    <row r="26" spans="2:3" ht="15.75" customHeight="1">
      <c r="B26" s="115" t="s">
        <v>271</v>
      </c>
      <c r="C26" s="11" t="s">
        <v>522</v>
      </c>
    </row>
    <row r="27" spans="2:3" ht="15.75" customHeight="1">
      <c r="B27" s="115" t="s">
        <v>274</v>
      </c>
      <c r="C27" s="11" t="s">
        <v>275</v>
      </c>
    </row>
    <row r="28" spans="2:3" ht="15.75" customHeight="1">
      <c r="B28" s="115" t="s">
        <v>276</v>
      </c>
      <c r="C28" s="11" t="s">
        <v>523</v>
      </c>
    </row>
    <row r="29" spans="2:3" ht="15.75" customHeight="1">
      <c r="B29" s="115" t="s">
        <v>278</v>
      </c>
      <c r="C29" s="11" t="s">
        <v>279</v>
      </c>
    </row>
    <row r="30" spans="2:3" ht="15.75" customHeight="1">
      <c r="B30" s="115" t="s">
        <v>286</v>
      </c>
      <c r="C30" s="11" t="s">
        <v>524</v>
      </c>
    </row>
    <row r="31" spans="2:3" ht="15.75" customHeight="1">
      <c r="B31" s="115" t="s">
        <v>287</v>
      </c>
      <c r="C31" s="11" t="s">
        <v>525</v>
      </c>
    </row>
    <row r="32" spans="2:3" ht="15.75" customHeight="1">
      <c r="B32" s="115" t="s">
        <v>288</v>
      </c>
      <c r="C32" s="11" t="s">
        <v>526</v>
      </c>
    </row>
    <row r="33" spans="2:3" ht="15.75" customHeight="1">
      <c r="B33" s="115" t="s">
        <v>289</v>
      </c>
      <c r="C33" s="11" t="s">
        <v>527</v>
      </c>
    </row>
    <row r="34" spans="2:3" ht="15.75" customHeight="1">
      <c r="B34" s="115" t="s">
        <v>293</v>
      </c>
      <c r="C34" s="11" t="s">
        <v>528</v>
      </c>
    </row>
    <row r="35" spans="2:3" ht="15.75" customHeight="1">
      <c r="B35" s="115" t="s">
        <v>222</v>
      </c>
      <c r="C35" s="11" t="s">
        <v>529</v>
      </c>
    </row>
    <row r="36" spans="2:3" ht="15.75" customHeight="1">
      <c r="B36" s="115" t="s">
        <v>226</v>
      </c>
      <c r="C36" s="11" t="s">
        <v>530</v>
      </c>
    </row>
    <row r="37" spans="2:3" ht="15.75" customHeight="1">
      <c r="B37" s="115" t="s">
        <v>295</v>
      </c>
      <c r="C37" s="11" t="s">
        <v>531</v>
      </c>
    </row>
    <row r="38" spans="2:3" ht="15.75" customHeight="1">
      <c r="B38" s="115" t="s">
        <v>224</v>
      </c>
      <c r="C38" s="11" t="s">
        <v>532</v>
      </c>
    </row>
    <row r="39" spans="2:3" ht="15.75" customHeight="1">
      <c r="B39" s="115" t="s">
        <v>228</v>
      </c>
      <c r="C39" s="11" t="s">
        <v>533</v>
      </c>
    </row>
    <row r="40" spans="2:3" ht="15.75" customHeight="1">
      <c r="B40" s="115" t="s">
        <v>296</v>
      </c>
      <c r="C40" s="11" t="s">
        <v>534</v>
      </c>
    </row>
    <row r="41" spans="2:3" ht="15.75" customHeight="1">
      <c r="B41" s="11" t="s">
        <v>535</v>
      </c>
      <c r="C41" s="11" t="s">
        <v>536</v>
      </c>
    </row>
    <row r="42" spans="2:3" ht="15.75" customHeight="1">
      <c r="B42" s="11" t="s">
        <v>537</v>
      </c>
      <c r="C42" s="11" t="s">
        <v>538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B1:D25"/>
  <sheetViews>
    <sheetView showGridLines="0" workbookViewId="0">
      <selection activeCell="B10" sqref="B10"/>
    </sheetView>
  </sheetViews>
  <sheetFormatPr baseColWidth="10" defaultColWidth="12.6640625" defaultRowHeight="15.75" customHeight="1"/>
  <cols>
    <col min="1" max="1" width="5.5" customWidth="1"/>
    <col min="2" max="2" width="17.6640625" customWidth="1"/>
    <col min="3" max="3" width="16" customWidth="1"/>
    <col min="4" max="4" width="100.5" customWidth="1"/>
  </cols>
  <sheetData>
    <row r="1" spans="2:4" ht="15.75" customHeight="1">
      <c r="C1" s="116"/>
    </row>
    <row r="2" spans="2:4">
      <c r="B2" s="2" t="s">
        <v>45</v>
      </c>
      <c r="C2" s="116"/>
    </row>
    <row r="3" spans="2:4" ht="15.75" customHeight="1">
      <c r="B3" s="20" t="s">
        <v>539</v>
      </c>
      <c r="C3" s="116"/>
    </row>
    <row r="4" spans="2:4" ht="15.75" customHeight="1">
      <c r="B4" s="15"/>
      <c r="C4" s="116"/>
    </row>
    <row r="5" spans="2:4" ht="15.75" customHeight="1">
      <c r="B5" s="22" t="s">
        <v>540</v>
      </c>
      <c r="C5" s="25" t="s">
        <v>541</v>
      </c>
      <c r="D5" s="22" t="s">
        <v>493</v>
      </c>
    </row>
    <row r="6" spans="2:4" ht="15.75" customHeight="1">
      <c r="B6" s="11"/>
      <c r="C6" s="117"/>
      <c r="D6" s="11"/>
    </row>
    <row r="7" spans="2:4" ht="60" customHeight="1">
      <c r="B7" s="115" t="s">
        <v>542</v>
      </c>
      <c r="C7" s="118">
        <v>45687</v>
      </c>
      <c r="D7" s="115" t="s">
        <v>543</v>
      </c>
    </row>
    <row r="8" spans="2:4" ht="60" customHeight="1">
      <c r="B8" s="115" t="s">
        <v>544</v>
      </c>
      <c r="C8" s="118">
        <v>45674</v>
      </c>
      <c r="D8" s="115" t="s">
        <v>545</v>
      </c>
    </row>
    <row r="9" spans="2:4" ht="60" customHeight="1">
      <c r="B9" s="115" t="s">
        <v>546</v>
      </c>
      <c r="C9" s="118">
        <v>45533</v>
      </c>
      <c r="D9" s="115" t="s">
        <v>547</v>
      </c>
    </row>
    <row r="10" spans="2:4" ht="60" customHeight="1">
      <c r="B10" s="115" t="s">
        <v>548</v>
      </c>
      <c r="C10" s="118">
        <v>45529</v>
      </c>
      <c r="D10" s="115" t="s">
        <v>549</v>
      </c>
    </row>
    <row r="11" spans="2:4" ht="60" customHeight="1">
      <c r="B11" s="115" t="s">
        <v>550</v>
      </c>
      <c r="C11" s="118">
        <v>45527</v>
      </c>
      <c r="D11" s="115" t="s">
        <v>551</v>
      </c>
    </row>
    <row r="12" spans="2:4" ht="60" customHeight="1">
      <c r="B12" s="115" t="s">
        <v>552</v>
      </c>
      <c r="C12" s="118">
        <v>45524</v>
      </c>
      <c r="D12" s="115" t="s">
        <v>553</v>
      </c>
    </row>
    <row r="13" spans="2:4" ht="60" customHeight="1">
      <c r="B13" s="115" t="s">
        <v>554</v>
      </c>
      <c r="C13" s="118">
        <v>45356</v>
      </c>
      <c r="D13" s="115" t="s">
        <v>555</v>
      </c>
    </row>
    <row r="14" spans="2:4" ht="60" customHeight="1">
      <c r="B14" s="115" t="s">
        <v>556</v>
      </c>
      <c r="C14" s="118">
        <v>45276</v>
      </c>
      <c r="D14" s="115" t="s">
        <v>557</v>
      </c>
    </row>
    <row r="15" spans="2:4" ht="60" customHeight="1">
      <c r="B15" s="115" t="s">
        <v>558</v>
      </c>
      <c r="C15" s="118">
        <v>45272</v>
      </c>
      <c r="D15" s="115" t="s">
        <v>559</v>
      </c>
    </row>
    <row r="16" spans="2:4" ht="60" customHeight="1">
      <c r="B16" s="115" t="s">
        <v>560</v>
      </c>
      <c r="C16" s="118">
        <v>45268</v>
      </c>
      <c r="D16" s="115" t="s">
        <v>561</v>
      </c>
    </row>
    <row r="17" spans="2:4" ht="60" customHeight="1">
      <c r="B17" s="115" t="s">
        <v>562</v>
      </c>
      <c r="C17" s="118">
        <v>45266</v>
      </c>
      <c r="D17" s="115" t="s">
        <v>563</v>
      </c>
    </row>
    <row r="18" spans="2:4" ht="60" customHeight="1">
      <c r="B18" s="115" t="s">
        <v>564</v>
      </c>
      <c r="C18" s="118">
        <v>45248</v>
      </c>
      <c r="D18" s="115" t="s">
        <v>565</v>
      </c>
    </row>
    <row r="19" spans="2:4" ht="60" customHeight="1">
      <c r="B19" s="115" t="s">
        <v>566</v>
      </c>
      <c r="C19" s="118">
        <v>45238</v>
      </c>
      <c r="D19" s="115" t="s">
        <v>567</v>
      </c>
    </row>
    <row r="20" spans="2:4" ht="60" customHeight="1">
      <c r="B20" s="115" t="s">
        <v>568</v>
      </c>
      <c r="C20" s="118">
        <v>44924</v>
      </c>
      <c r="D20" s="119" t="s">
        <v>569</v>
      </c>
    </row>
    <row r="21" spans="2:4" ht="60" customHeight="1">
      <c r="B21" s="115" t="s">
        <v>570</v>
      </c>
      <c r="C21" s="118">
        <v>44861</v>
      </c>
      <c r="D21" s="115" t="s">
        <v>571</v>
      </c>
    </row>
    <row r="22" spans="2:4" ht="60" customHeight="1">
      <c r="B22" s="11" t="s">
        <v>572</v>
      </c>
      <c r="C22" s="120">
        <v>44669</v>
      </c>
      <c r="D22" s="11" t="s">
        <v>573</v>
      </c>
    </row>
    <row r="23" spans="2:4" ht="60" customHeight="1">
      <c r="B23" s="11" t="s">
        <v>574</v>
      </c>
      <c r="C23" s="120">
        <v>44624</v>
      </c>
      <c r="D23" s="11" t="s">
        <v>575</v>
      </c>
    </row>
    <row r="24" spans="2:4" ht="60" customHeight="1">
      <c r="B24" s="11" t="s">
        <v>576</v>
      </c>
      <c r="C24" s="120">
        <v>44470</v>
      </c>
      <c r="D24" s="121" t="s">
        <v>577</v>
      </c>
    </row>
    <row r="25" spans="2:4" ht="15.75" customHeight="1">
      <c r="C25" s="116"/>
    </row>
  </sheetData>
  <hyperlinks>
    <hyperlink ref="D20" r:id="rId1" xr:uid="{00000000-0004-0000-0E00-000000000000}"/>
    <hyperlink ref="D24" r:id="rId2" xr:uid="{00000000-0004-0000-0E00-000001000000}"/>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License</vt:lpstr>
      <vt:lpstr>Get Started</vt:lpstr>
      <vt:lpstr>Get Started  2</vt:lpstr>
      <vt:lpstr>Forecast  2</vt:lpstr>
      <vt:lpstr>Get Started  3</vt:lpstr>
      <vt:lpstr>Forecast  3</vt:lpstr>
      <vt:lpstr>Scenarios</vt:lpstr>
      <vt:lpstr>Key Reports</vt:lpstr>
      <vt:lpstr>Forecast</vt:lpstr>
      <vt:lpstr>Management Company</vt:lpstr>
      <vt:lpstr>Resources</vt:lpstr>
      <vt:lpstr>Model Comparison</vt:lpstr>
      <vt:lpstr>Glossary</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2025-01-30T13:49:24Z</dcterms:modified>
</cp:coreProperties>
</file>